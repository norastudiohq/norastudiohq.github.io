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:\My Drive\Joker\projects\products\07-debt-payoff\"/>
    </mc:Choice>
  </mc:AlternateContent>
  <xr:revisionPtr revIDLastSave="0" documentId="13_ncr:1_{2E1AD729-5FD8-454B-83B9-C8C2F4D76893}" xr6:coauthVersionLast="47" xr6:coauthVersionMax="47" xr10:uidLastSave="{00000000-0000-0000-0000-000000000000}"/>
  <bookViews>
    <workbookView xWindow="34290" yWindow="-210" windowWidth="34620" windowHeight="13900" xr2:uid="{00000000-000D-0000-FFFF-FFFF00000000}"/>
  </bookViews>
  <sheets>
    <sheet name="Start Here" sheetId="1" r:id="rId1"/>
    <sheet name="Dashboard" sheetId="2" r:id="rId2"/>
    <sheet name="Debts" sheetId="3" r:id="rId3"/>
    <sheet name="Payoff Schedule" sheetId="4" r:id="rId4"/>
    <sheet name="Lists" sheetId="5" state="hidden" r:id="rId5"/>
    <sheet name="Calc" sheetId="6" state="hidden" r:id="rId6"/>
    <sheet name="Minimums Engine" sheetId="7" state="hidden" r:id="rId7"/>
    <sheet name="Snowball Engine" sheetId="8" state="hidden" r:id="rId8"/>
    <sheet name="Avalanche Engine" sheetId="9" state="hidden" r:id="rId9"/>
    <sheet name="My Order Engine" sheetId="10" state="hidden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6" l="1"/>
  <c r="B24" i="6"/>
  <c r="C23" i="6"/>
  <c r="B23" i="6"/>
  <c r="C22" i="6"/>
  <c r="B22" i="6"/>
  <c r="C21" i="6"/>
  <c r="B21" i="6"/>
  <c r="C20" i="6"/>
  <c r="B20" i="6"/>
  <c r="C19" i="6"/>
  <c r="B19" i="6"/>
  <c r="C18" i="6"/>
  <c r="B18" i="6"/>
  <c r="C17" i="6"/>
  <c r="B17" i="6"/>
  <c r="C16" i="6"/>
  <c r="B16" i="6"/>
  <c r="C15" i="6"/>
  <c r="B15" i="6"/>
  <c r="C14" i="6"/>
  <c r="B14" i="6"/>
  <c r="C13" i="6"/>
  <c r="B13" i="6"/>
  <c r="C12" i="6"/>
  <c r="B12" i="6"/>
  <c r="C11" i="6"/>
  <c r="B11" i="6" s="1"/>
  <c r="Z6" i="2" s="1"/>
  <c r="C10" i="6"/>
  <c r="B10" i="6" s="1"/>
  <c r="Z5" i="2" s="1"/>
  <c r="C8" i="6"/>
  <c r="C5" i="6"/>
  <c r="C4" i="6"/>
  <c r="O3" i="6"/>
  <c r="C3" i="6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L21" i="3"/>
  <c r="K21" i="3"/>
  <c r="I21" i="3"/>
  <c r="J21" i="3" s="1"/>
  <c r="H21" i="3"/>
  <c r="G21" i="3"/>
  <c r="L20" i="3"/>
  <c r="K20" i="3"/>
  <c r="I20" i="3"/>
  <c r="J20" i="3" s="1"/>
  <c r="H20" i="3"/>
  <c r="G20" i="3"/>
  <c r="L19" i="3"/>
  <c r="K19" i="3"/>
  <c r="I19" i="3"/>
  <c r="J19" i="3" s="1"/>
  <c r="H19" i="3"/>
  <c r="G19" i="3"/>
  <c r="L18" i="3"/>
  <c r="K18" i="3"/>
  <c r="I18" i="3"/>
  <c r="J18" i="3" s="1"/>
  <c r="H18" i="3"/>
  <c r="G18" i="3"/>
  <c r="L17" i="3"/>
  <c r="K17" i="3"/>
  <c r="I17" i="3"/>
  <c r="J17" i="3" s="1"/>
  <c r="H17" i="3"/>
  <c r="G17" i="3"/>
  <c r="L16" i="3"/>
  <c r="K16" i="3"/>
  <c r="I16" i="3"/>
  <c r="J16" i="3" s="1"/>
  <c r="H16" i="3"/>
  <c r="G16" i="3"/>
  <c r="L15" i="3"/>
  <c r="K15" i="3"/>
  <c r="I15" i="3"/>
  <c r="J15" i="3" s="1"/>
  <c r="H15" i="3"/>
  <c r="G15" i="3"/>
  <c r="L14" i="3"/>
  <c r="K14" i="3"/>
  <c r="I14" i="3"/>
  <c r="J14" i="3" s="1"/>
  <c r="H14" i="3"/>
  <c r="G14" i="3"/>
  <c r="L13" i="3"/>
  <c r="K13" i="3"/>
  <c r="I13" i="3"/>
  <c r="J13" i="3" s="1"/>
  <c r="H13" i="3"/>
  <c r="G13" i="3"/>
  <c r="L12" i="3"/>
  <c r="K12" i="3"/>
  <c r="I12" i="3"/>
  <c r="J12" i="3" s="1"/>
  <c r="H12" i="3"/>
  <c r="G12" i="3"/>
  <c r="L11" i="3"/>
  <c r="K11" i="3"/>
  <c r="I11" i="3"/>
  <c r="J11" i="3" s="1"/>
  <c r="H11" i="3"/>
  <c r="G11" i="3"/>
  <c r="G10" i="3"/>
  <c r="L10" i="3" s="1"/>
  <c r="G9" i="3"/>
  <c r="L9" i="3" s="1"/>
  <c r="G8" i="3"/>
  <c r="L8" i="3" s="1"/>
  <c r="G7" i="3"/>
  <c r="K2" i="3"/>
  <c r="Z26" i="2"/>
  <c r="Z25" i="2"/>
  <c r="B25" i="2"/>
  <c r="Z24" i="2"/>
  <c r="B24" i="2"/>
  <c r="Z23" i="2"/>
  <c r="B23" i="2"/>
  <c r="L22" i="2"/>
  <c r="B22" i="2"/>
  <c r="AA19" i="2"/>
  <c r="Z19" i="2"/>
  <c r="AA18" i="2"/>
  <c r="Z18" i="2"/>
  <c r="AA17" i="2"/>
  <c r="Z17" i="2"/>
  <c r="AA16" i="2"/>
  <c r="Z16" i="2"/>
  <c r="AA15" i="2"/>
  <c r="Z15" i="2"/>
  <c r="AA14" i="2"/>
  <c r="Z14" i="2"/>
  <c r="AA13" i="2"/>
  <c r="Z13" i="2"/>
  <c r="AA12" i="2"/>
  <c r="Z12" i="2"/>
  <c r="AA11" i="2"/>
  <c r="Z11" i="2"/>
  <c r="AA10" i="2"/>
  <c r="Z10" i="2"/>
  <c r="AA9" i="2"/>
  <c r="Z9" i="2"/>
  <c r="Z8" i="2"/>
  <c r="Z7" i="2"/>
  <c r="G5" i="2"/>
  <c r="E24" i="6" l="1"/>
  <c r="L24" i="6"/>
  <c r="K24" i="6"/>
  <c r="J24" i="6"/>
  <c r="I24" i="6"/>
  <c r="G24" i="6"/>
  <c r="F24" i="6"/>
  <c r="D24" i="6"/>
  <c r="AB19" i="2" s="1"/>
  <c r="J23" i="6"/>
  <c r="I23" i="6"/>
  <c r="G23" i="6"/>
  <c r="F23" i="6"/>
  <c r="E23" i="6"/>
  <c r="D23" i="6"/>
  <c r="AB18" i="2" s="1"/>
  <c r="K23" i="6"/>
  <c r="L23" i="6"/>
  <c r="L22" i="6"/>
  <c r="K22" i="6"/>
  <c r="J22" i="6"/>
  <c r="I22" i="6"/>
  <c r="G22" i="6"/>
  <c r="F22" i="6"/>
  <c r="E22" i="6"/>
  <c r="D22" i="6"/>
  <c r="AB17" i="2" s="1"/>
  <c r="J21" i="6"/>
  <c r="I21" i="6"/>
  <c r="G21" i="6"/>
  <c r="F21" i="6"/>
  <c r="E21" i="6"/>
  <c r="D21" i="6"/>
  <c r="AB16" i="2" s="1"/>
  <c r="L21" i="6"/>
  <c r="K21" i="6"/>
  <c r="L20" i="6"/>
  <c r="K20" i="6"/>
  <c r="J20" i="6"/>
  <c r="I20" i="6"/>
  <c r="G20" i="6"/>
  <c r="F20" i="6"/>
  <c r="E20" i="6"/>
  <c r="D20" i="6"/>
  <c r="AB15" i="2" s="1"/>
  <c r="J19" i="6"/>
  <c r="D19" i="6"/>
  <c r="AB14" i="2" s="1"/>
  <c r="E19" i="6"/>
  <c r="F19" i="6"/>
  <c r="G19" i="6"/>
  <c r="I19" i="6"/>
  <c r="L19" i="6"/>
  <c r="K19" i="6"/>
  <c r="D18" i="6"/>
  <c r="AB13" i="2" s="1"/>
  <c r="E18" i="6"/>
  <c r="F18" i="6"/>
  <c r="G18" i="6"/>
  <c r="I18" i="6"/>
  <c r="J18" i="6"/>
  <c r="K18" i="6"/>
  <c r="L18" i="6"/>
  <c r="I17" i="6"/>
  <c r="L17" i="6"/>
  <c r="K17" i="6"/>
  <c r="J17" i="6"/>
  <c r="G17" i="6"/>
  <c r="F17" i="6"/>
  <c r="E17" i="6"/>
  <c r="D17" i="6"/>
  <c r="AB12" i="2" s="1"/>
  <c r="D16" i="6"/>
  <c r="AB11" i="2" s="1"/>
  <c r="E16" i="6"/>
  <c r="F16" i="6"/>
  <c r="G16" i="6"/>
  <c r="I16" i="6"/>
  <c r="J16" i="6"/>
  <c r="L16" i="6"/>
  <c r="K16" i="6"/>
  <c r="D15" i="6"/>
  <c r="AB10" i="2" s="1"/>
  <c r="I15" i="6"/>
  <c r="E15" i="6"/>
  <c r="L15" i="6"/>
  <c r="F15" i="6"/>
  <c r="G15" i="6"/>
  <c r="J15" i="6"/>
  <c r="K15" i="6"/>
  <c r="J14" i="6"/>
  <c r="I14" i="6"/>
  <c r="G14" i="6"/>
  <c r="F14" i="6"/>
  <c r="E14" i="6"/>
  <c r="D14" i="6"/>
  <c r="AB9" i="2" s="1"/>
  <c r="L14" i="6"/>
  <c r="K14" i="6"/>
  <c r="E13" i="6"/>
  <c r="G13" i="6"/>
  <c r="F13" i="6"/>
  <c r="D13" i="6"/>
  <c r="G12" i="6"/>
  <c r="F12" i="6"/>
  <c r="E12" i="6"/>
  <c r="D12" i="6"/>
  <c r="AB7" i="2" s="1"/>
  <c r="G11" i="6"/>
  <c r="F11" i="6"/>
  <c r="E11" i="6"/>
  <c r="J11" i="6" s="1"/>
  <c r="D11" i="6"/>
  <c r="G10" i="6"/>
  <c r="K12" i="6" s="1"/>
  <c r="F10" i="6"/>
  <c r="C6" i="6" s="1"/>
  <c r="E10" i="6"/>
  <c r="D10" i="6"/>
  <c r="K10" i="6"/>
  <c r="J10" i="6"/>
  <c r="C45" i="6"/>
  <c r="G22" i="3"/>
  <c r="L7" i="3"/>
  <c r="C46" i="6" s="1"/>
  <c r="H4" i="2" s="1"/>
  <c r="K13" i="6" l="1"/>
  <c r="K11" i="6"/>
  <c r="J12" i="6"/>
  <c r="I10" i="6"/>
  <c r="I12" i="6"/>
  <c r="L12" i="6" s="1"/>
  <c r="H9" i="3" s="1"/>
  <c r="AJ2" i="7"/>
  <c r="AJ2" i="8"/>
  <c r="C7" i="6"/>
  <c r="D3" i="2"/>
  <c r="E22" i="3"/>
  <c r="AB5" i="2"/>
  <c r="C9" i="6"/>
  <c r="AH2" i="10"/>
  <c r="AI2" i="10"/>
  <c r="AJ2" i="10"/>
  <c r="AK2" i="10"/>
  <c r="AL2" i="10"/>
  <c r="AM2" i="10"/>
  <c r="AN2" i="10"/>
  <c r="AO2" i="10"/>
  <c r="AP2" i="10"/>
  <c r="AQ2" i="10"/>
  <c r="AR2" i="10"/>
  <c r="AS2" i="10"/>
  <c r="AT2" i="10"/>
  <c r="AU2" i="10"/>
  <c r="AV2" i="10"/>
  <c r="AH2" i="9"/>
  <c r="AI2" i="9"/>
  <c r="AJ2" i="9"/>
  <c r="AB8" i="2"/>
  <c r="J13" i="6"/>
  <c r="I13" i="6"/>
  <c r="AB6" i="2"/>
  <c r="I11" i="6"/>
  <c r="L10" i="6"/>
  <c r="C44" i="6"/>
  <c r="L16" i="2" s="1"/>
  <c r="AL2" i="9" l="1"/>
  <c r="AM2" i="9"/>
  <c r="AN2" i="9"/>
  <c r="AO2" i="9"/>
  <c r="AP2" i="9"/>
  <c r="AQ2" i="9"/>
  <c r="AR2" i="9"/>
  <c r="AS2" i="9"/>
  <c r="AT2" i="9"/>
  <c r="AU2" i="9"/>
  <c r="AV2" i="9"/>
  <c r="AK2" i="9"/>
  <c r="AJ3" i="7"/>
  <c r="AJ4" i="7"/>
  <c r="AJ6" i="7"/>
  <c r="AJ3" i="8"/>
  <c r="AJ4" i="8"/>
  <c r="AJ6" i="8"/>
  <c r="B16" i="2"/>
  <c r="B8" i="2"/>
  <c r="AA29" i="2"/>
  <c r="C22" i="3"/>
  <c r="AH3" i="10"/>
  <c r="AH4" i="10"/>
  <c r="AH6" i="10"/>
  <c r="AI3" i="10"/>
  <c r="AI4" i="10"/>
  <c r="AI6" i="10"/>
  <c r="AJ3" i="10"/>
  <c r="AJ4" i="10"/>
  <c r="AJ6" i="10"/>
  <c r="AK3" i="10"/>
  <c r="AK4" i="10"/>
  <c r="AK6" i="10"/>
  <c r="AL3" i="10"/>
  <c r="AL4" i="10"/>
  <c r="AL6" i="10"/>
  <c r="AL369" i="10"/>
  <c r="AL370" i="10"/>
  <c r="AM3" i="10"/>
  <c r="AM4" i="10"/>
  <c r="AM6" i="10"/>
  <c r="AM369" i="10"/>
  <c r="AM370" i="10"/>
  <c r="AN3" i="10"/>
  <c r="AN4" i="10"/>
  <c r="AN6" i="10"/>
  <c r="AN369" i="10"/>
  <c r="AN370" i="10"/>
  <c r="AO3" i="10"/>
  <c r="AO4" i="10"/>
  <c r="AO6" i="10"/>
  <c r="AO369" i="10"/>
  <c r="AO370" i="10"/>
  <c r="AP3" i="10"/>
  <c r="AP4" i="10"/>
  <c r="AP6" i="10"/>
  <c r="AP369" i="10"/>
  <c r="AP370" i="10"/>
  <c r="AQ3" i="10"/>
  <c r="AQ4" i="10"/>
  <c r="AQ6" i="10"/>
  <c r="AQ369" i="10"/>
  <c r="AQ370" i="10"/>
  <c r="AR3" i="10"/>
  <c r="AR4" i="10"/>
  <c r="AR6" i="10"/>
  <c r="AR369" i="10"/>
  <c r="AR370" i="10"/>
  <c r="AS3" i="10"/>
  <c r="AS4" i="10"/>
  <c r="AS6" i="10"/>
  <c r="AS369" i="10"/>
  <c r="AS370" i="10"/>
  <c r="AT3" i="10"/>
  <c r="AT4" i="10"/>
  <c r="AT6" i="10"/>
  <c r="AT369" i="10"/>
  <c r="AT370" i="10"/>
  <c r="AU3" i="10"/>
  <c r="AU4" i="10"/>
  <c r="AU6" i="10"/>
  <c r="AU369" i="10"/>
  <c r="AU370" i="10"/>
  <c r="AV3" i="10"/>
  <c r="AV4" i="10"/>
  <c r="AV6" i="10"/>
  <c r="AV369" i="10"/>
  <c r="AV370" i="10"/>
  <c r="AH3" i="9"/>
  <c r="AH6" i="9"/>
  <c r="AH4" i="9"/>
  <c r="AI3" i="9"/>
  <c r="AI4" i="9"/>
  <c r="AI6" i="9"/>
  <c r="AJ3" i="9"/>
  <c r="AJ4" i="9"/>
  <c r="AJ6" i="9"/>
  <c r="AK3" i="9"/>
  <c r="AK4" i="9"/>
  <c r="AK6" i="9"/>
  <c r="AL3" i="9"/>
  <c r="AL4" i="9"/>
  <c r="AL6" i="9"/>
  <c r="AL369" i="9"/>
  <c r="AL370" i="9"/>
  <c r="AM3" i="9"/>
  <c r="AM4" i="9"/>
  <c r="AM6" i="9"/>
  <c r="AM369" i="9"/>
  <c r="AM370" i="9"/>
  <c r="AN3" i="9"/>
  <c r="AN4" i="9"/>
  <c r="AV3" i="9"/>
  <c r="AV4" i="9"/>
  <c r="AV6" i="9"/>
  <c r="AV369" i="9"/>
  <c r="AV370" i="9"/>
  <c r="L13" i="6"/>
  <c r="H10" i="3" s="1"/>
  <c r="L11" i="6"/>
  <c r="H8" i="3" s="1"/>
  <c r="H7" i="3"/>
  <c r="AH2" i="7"/>
  <c r="AI2" i="7"/>
  <c r="AK2" i="7"/>
  <c r="AL2" i="7"/>
  <c r="AM2" i="7"/>
  <c r="AN2" i="7"/>
  <c r="AO2" i="7"/>
  <c r="AP2" i="7"/>
  <c r="AR2" i="7"/>
  <c r="AS2" i="7"/>
  <c r="AT2" i="7"/>
  <c r="AU2" i="7"/>
  <c r="AV2" i="7"/>
  <c r="AM2" i="8"/>
  <c r="AN2" i="8"/>
  <c r="AP2" i="8"/>
  <c r="AR2" i="8"/>
  <c r="AT2" i="8"/>
  <c r="AU2" i="8"/>
  <c r="AI2" i="8"/>
  <c r="AK2" i="8"/>
  <c r="AL2" i="8"/>
  <c r="AO2" i="8"/>
  <c r="AQ2" i="8"/>
  <c r="AS2" i="8"/>
  <c r="AV2" i="8"/>
  <c r="AQ2" i="7"/>
  <c r="AH2" i="8"/>
  <c r="AN6" i="9" l="1"/>
  <c r="AN369" i="9"/>
  <c r="AN370" i="9"/>
  <c r="AO3" i="9"/>
  <c r="AO6" i="9"/>
  <c r="AO4" i="9"/>
  <c r="AO369" i="9"/>
  <c r="AO370" i="9"/>
  <c r="AP3" i="9"/>
  <c r="AP4" i="9"/>
  <c r="AP6" i="9"/>
  <c r="AP369" i="9"/>
  <c r="AP370" i="9"/>
  <c r="AQ3" i="9"/>
  <c r="AQ4" i="9"/>
  <c r="AQ6" i="9"/>
  <c r="AQ369" i="9"/>
  <c r="AQ370" i="9"/>
  <c r="AR3" i="9"/>
  <c r="AR4" i="9"/>
  <c r="AR6" i="9"/>
  <c r="AR369" i="9"/>
  <c r="AR370" i="9"/>
  <c r="AS3" i="9"/>
  <c r="AS4" i="9"/>
  <c r="AS6" i="9"/>
  <c r="AS369" i="9"/>
  <c r="AS370" i="9"/>
  <c r="AT3" i="9"/>
  <c r="AT6" i="9"/>
  <c r="AT4" i="9"/>
  <c r="AT369" i="9"/>
  <c r="AT370" i="9"/>
  <c r="AU3" i="9"/>
  <c r="AU4" i="9"/>
  <c r="AU6" i="9"/>
  <c r="AU369" i="9"/>
  <c r="AU370" i="9"/>
  <c r="F7" i="7"/>
  <c r="F7" i="8"/>
  <c r="AW6" i="10"/>
  <c r="D7" i="10"/>
  <c r="AX7" i="10"/>
  <c r="E7" i="10"/>
  <c r="F7" i="10"/>
  <c r="G7" i="10"/>
  <c r="H7" i="10"/>
  <c r="W7" i="10"/>
  <c r="AL7" i="10"/>
  <c r="I7" i="10"/>
  <c r="X7" i="10"/>
  <c r="AM7" i="10"/>
  <c r="J7" i="10"/>
  <c r="Y7" i="10"/>
  <c r="AN7" i="10"/>
  <c r="K7" i="10"/>
  <c r="Z7" i="10"/>
  <c r="AO7" i="10"/>
  <c r="L7" i="10"/>
  <c r="AA7" i="10"/>
  <c r="AP7" i="10"/>
  <c r="M7" i="10"/>
  <c r="AB7" i="10"/>
  <c r="AQ7" i="10"/>
  <c r="N7" i="10"/>
  <c r="AC7" i="10"/>
  <c r="AR7" i="10"/>
  <c r="O7" i="10"/>
  <c r="AD7" i="10"/>
  <c r="AS7" i="10"/>
  <c r="P7" i="10"/>
  <c r="AE7" i="10"/>
  <c r="AT7" i="10"/>
  <c r="Q7" i="10"/>
  <c r="AF7" i="10"/>
  <c r="AU7" i="10"/>
  <c r="R7" i="10"/>
  <c r="AG7" i="10"/>
  <c r="AV7" i="10"/>
  <c r="AX7" i="9"/>
  <c r="D7" i="9"/>
  <c r="AW6" i="9"/>
  <c r="E7" i="9"/>
  <c r="F7" i="9"/>
  <c r="G7" i="9"/>
  <c r="H7" i="9"/>
  <c r="W7" i="9"/>
  <c r="AL7" i="9"/>
  <c r="X7" i="9"/>
  <c r="I7" i="9"/>
  <c r="AM7" i="9"/>
  <c r="J7" i="9"/>
  <c r="AN7" i="9"/>
  <c r="Y7" i="9"/>
  <c r="AO7" i="9"/>
  <c r="K7" i="9"/>
  <c r="Z7" i="9"/>
  <c r="AA7" i="9"/>
  <c r="AP7" i="9"/>
  <c r="L7" i="9"/>
  <c r="M7" i="9"/>
  <c r="AQ7" i="9"/>
  <c r="AB7" i="9"/>
  <c r="N7" i="9"/>
  <c r="AR7" i="9"/>
  <c r="AC7" i="9"/>
  <c r="AS7" i="9"/>
  <c r="O7" i="9"/>
  <c r="AD7" i="9"/>
  <c r="P7" i="9"/>
  <c r="AE7" i="9"/>
  <c r="AT7" i="9"/>
  <c r="Q7" i="9"/>
  <c r="AF7" i="9"/>
  <c r="AU7" i="9"/>
  <c r="R7" i="9"/>
  <c r="AG7" i="9"/>
  <c r="AV7" i="9"/>
  <c r="AH6" i="7"/>
  <c r="AH4" i="7"/>
  <c r="AH3" i="7"/>
  <c r="AI6" i="7"/>
  <c r="AI4" i="7"/>
  <c r="AI3" i="7"/>
  <c r="AK6" i="7"/>
  <c r="AK4" i="7"/>
  <c r="AK3" i="7"/>
  <c r="AL369" i="7"/>
  <c r="AL370" i="7"/>
  <c r="AL6" i="7"/>
  <c r="AL4" i="7"/>
  <c r="AL3" i="7"/>
  <c r="AM370" i="7"/>
  <c r="AM369" i="7"/>
  <c r="AM6" i="7"/>
  <c r="AM4" i="7"/>
  <c r="AM3" i="7"/>
  <c r="AN370" i="7"/>
  <c r="AN369" i="7"/>
  <c r="AN6" i="7"/>
  <c r="AN4" i="7"/>
  <c r="AN3" i="7"/>
  <c r="AO369" i="7"/>
  <c r="AO370" i="7"/>
  <c r="AO6" i="7"/>
  <c r="AO4" i="7"/>
  <c r="AO3" i="7"/>
  <c r="AP370" i="7"/>
  <c r="AP369" i="7"/>
  <c r="AP6" i="7"/>
  <c r="AP4" i="7"/>
  <c r="AP3" i="7"/>
  <c r="AR370" i="7"/>
  <c r="AR369" i="7"/>
  <c r="AR6" i="7"/>
  <c r="AR4" i="7"/>
  <c r="AR3" i="7"/>
  <c r="AS370" i="7"/>
  <c r="AS369" i="7"/>
  <c r="AS6" i="7"/>
  <c r="AS4" i="7"/>
  <c r="AS3" i="7"/>
  <c r="AT370" i="7"/>
  <c r="AT369" i="7"/>
  <c r="AT6" i="7"/>
  <c r="AT4" i="7"/>
  <c r="AT3" i="7"/>
  <c r="AU369" i="7"/>
  <c r="AU370" i="7"/>
  <c r="AU6" i="7"/>
  <c r="AU4" i="7"/>
  <c r="AU3" i="7"/>
  <c r="AV370" i="7"/>
  <c r="AV369" i="7"/>
  <c r="AV6" i="7"/>
  <c r="AV4" i="7"/>
  <c r="AV3" i="7"/>
  <c r="AM370" i="8"/>
  <c r="AM369" i="8"/>
  <c r="AM6" i="8"/>
  <c r="AM4" i="8"/>
  <c r="AM3" i="8"/>
  <c r="AN370" i="8"/>
  <c r="AN369" i="8"/>
  <c r="AN3" i="8"/>
  <c r="AN6" i="8"/>
  <c r="AN4" i="8"/>
  <c r="AP370" i="8"/>
  <c r="AP369" i="8"/>
  <c r="AP4" i="8"/>
  <c r="AP3" i="8"/>
  <c r="AP6" i="8"/>
  <c r="AR370" i="8"/>
  <c r="AR369" i="8"/>
  <c r="AR6" i="8"/>
  <c r="AR4" i="8"/>
  <c r="AR3" i="8"/>
  <c r="AT370" i="8"/>
  <c r="AT369" i="8"/>
  <c r="AT6" i="8"/>
  <c r="AT4" i="8"/>
  <c r="AT3" i="8"/>
  <c r="AU370" i="8"/>
  <c r="AU369" i="8"/>
  <c r="AU6" i="8"/>
  <c r="AU3" i="8"/>
  <c r="AU4" i="8"/>
  <c r="AI4" i="8"/>
  <c r="AI6" i="8"/>
  <c r="AI3" i="8"/>
  <c r="AK3" i="8"/>
  <c r="AK6" i="8"/>
  <c r="AK4" i="8"/>
  <c r="AL4" i="8"/>
  <c r="AL370" i="8"/>
  <c r="AL369" i="8"/>
  <c r="AL6" i="8"/>
  <c r="AL3" i="8"/>
  <c r="AO3" i="8"/>
  <c r="AO370" i="8"/>
  <c r="AO369" i="8"/>
  <c r="AO6" i="8"/>
  <c r="AO4" i="8"/>
  <c r="AQ4" i="8"/>
  <c r="AQ3" i="8"/>
  <c r="AQ370" i="8"/>
  <c r="AQ369" i="8"/>
  <c r="AQ6" i="8"/>
  <c r="AS4" i="8"/>
  <c r="AS370" i="8"/>
  <c r="AS369" i="8"/>
  <c r="AS6" i="8"/>
  <c r="AS3" i="8"/>
  <c r="AV3" i="8"/>
  <c r="AV370" i="8"/>
  <c r="AV369" i="8"/>
  <c r="AV6" i="8"/>
  <c r="AV4" i="8"/>
  <c r="AQ370" i="7"/>
  <c r="AQ369" i="7"/>
  <c r="AQ6" i="7"/>
  <c r="AQ4" i="7"/>
  <c r="AQ3" i="7"/>
  <c r="AH4" i="8"/>
  <c r="AH6" i="8"/>
  <c r="AH3" i="8"/>
  <c r="C7" i="10" l="1"/>
  <c r="H8" i="10"/>
  <c r="W8" i="10"/>
  <c r="AL8" i="10"/>
  <c r="I8" i="10"/>
  <c r="X8" i="10"/>
  <c r="AM8" i="10"/>
  <c r="J8" i="10"/>
  <c r="Y8" i="10"/>
  <c r="AN8" i="10"/>
  <c r="K8" i="10"/>
  <c r="Z8" i="10"/>
  <c r="AO8" i="10"/>
  <c r="L8" i="10"/>
  <c r="AA8" i="10"/>
  <c r="AP8" i="10"/>
  <c r="M8" i="10"/>
  <c r="AB8" i="10"/>
  <c r="AQ8" i="10"/>
  <c r="N8" i="10"/>
  <c r="AC8" i="10"/>
  <c r="AR8" i="10"/>
  <c r="O8" i="10"/>
  <c r="AD8" i="10"/>
  <c r="AS8" i="10"/>
  <c r="P8" i="10"/>
  <c r="AE8" i="10"/>
  <c r="AT8" i="10"/>
  <c r="Q8" i="10"/>
  <c r="AF8" i="10"/>
  <c r="AU8" i="10"/>
  <c r="R8" i="10"/>
  <c r="AG8" i="10"/>
  <c r="AV8" i="10"/>
  <c r="C7" i="9"/>
  <c r="AL8" i="9"/>
  <c r="W8" i="9"/>
  <c r="H8" i="9"/>
  <c r="AM8" i="9"/>
  <c r="I8" i="9"/>
  <c r="X8" i="9"/>
  <c r="J8" i="9"/>
  <c r="Y8" i="9"/>
  <c r="AN8" i="9"/>
  <c r="K8" i="9"/>
  <c r="Z8" i="9"/>
  <c r="AO8" i="9"/>
  <c r="AP8" i="9"/>
  <c r="L8" i="9"/>
  <c r="AA8" i="9"/>
  <c r="M8" i="9"/>
  <c r="AB8" i="9"/>
  <c r="AQ8" i="9"/>
  <c r="N8" i="9"/>
  <c r="AC8" i="9"/>
  <c r="AR8" i="9"/>
  <c r="O8" i="9"/>
  <c r="AD8" i="9"/>
  <c r="AS8" i="9"/>
  <c r="P8" i="9"/>
  <c r="AE8" i="9"/>
  <c r="AT8" i="9"/>
  <c r="AF8" i="9"/>
  <c r="Q8" i="9"/>
  <c r="AU8" i="9"/>
  <c r="R8" i="9"/>
  <c r="AG8" i="9"/>
  <c r="AV8" i="9"/>
  <c r="AW6" i="7"/>
  <c r="X5" i="2" s="1"/>
  <c r="D7" i="7"/>
  <c r="AX7" i="7"/>
  <c r="E7" i="7"/>
  <c r="G7" i="7"/>
  <c r="W7" i="7"/>
  <c r="H7" i="7"/>
  <c r="AL7" i="7"/>
  <c r="AM7" i="7"/>
  <c r="I7" i="7"/>
  <c r="X7" i="7"/>
  <c r="Y7" i="7"/>
  <c r="J7" i="7"/>
  <c r="AN7" i="7"/>
  <c r="K7" i="7"/>
  <c r="Z7" i="7"/>
  <c r="AO7" i="7"/>
  <c r="AP7" i="7"/>
  <c r="L7" i="7"/>
  <c r="AA7" i="7"/>
  <c r="AR7" i="7"/>
  <c r="N7" i="7"/>
  <c r="AC7" i="7"/>
  <c r="AS7" i="7"/>
  <c r="O7" i="7"/>
  <c r="AD7" i="7"/>
  <c r="AT7" i="7"/>
  <c r="P7" i="7"/>
  <c r="AE7" i="7"/>
  <c r="Q7" i="7"/>
  <c r="AF7" i="7"/>
  <c r="AU7" i="7"/>
  <c r="R7" i="7"/>
  <c r="AG7" i="7"/>
  <c r="AV7" i="7"/>
  <c r="I7" i="8"/>
  <c r="AM7" i="8"/>
  <c r="X7" i="8"/>
  <c r="J7" i="8"/>
  <c r="Y7" i="8"/>
  <c r="AN7" i="8"/>
  <c r="AA7" i="8"/>
  <c r="L7" i="8"/>
  <c r="AP7" i="8"/>
  <c r="N7" i="8"/>
  <c r="AC7" i="8"/>
  <c r="AR7" i="8"/>
  <c r="P7" i="8"/>
  <c r="AT7" i="8"/>
  <c r="AE7" i="8"/>
  <c r="Q7" i="8"/>
  <c r="AF7" i="8"/>
  <c r="AU7" i="8"/>
  <c r="E7" i="8"/>
  <c r="G7" i="8"/>
  <c r="W7" i="8"/>
  <c r="H7" i="8"/>
  <c r="AL7" i="8"/>
  <c r="K7" i="8"/>
  <c r="Z7" i="8"/>
  <c r="AO7" i="8"/>
  <c r="AB7" i="8"/>
  <c r="M7" i="8"/>
  <c r="AQ7" i="8"/>
  <c r="AD7" i="8"/>
  <c r="O7" i="8"/>
  <c r="AS7" i="8"/>
  <c r="R7" i="8"/>
  <c r="AG7" i="8"/>
  <c r="AV7" i="8"/>
  <c r="M7" i="7"/>
  <c r="AB7" i="7"/>
  <c r="AQ7" i="7"/>
  <c r="D7" i="8"/>
  <c r="AW6" i="8"/>
  <c r="W5" i="2" s="1"/>
  <c r="AX7" i="8"/>
  <c r="S7" i="10" l="1"/>
  <c r="H9" i="10"/>
  <c r="W9" i="10"/>
  <c r="AL9" i="10"/>
  <c r="I9" i="10"/>
  <c r="X9" i="10"/>
  <c r="AM9" i="10"/>
  <c r="J9" i="10"/>
  <c r="Y9" i="10"/>
  <c r="AN9" i="10"/>
  <c r="K9" i="10"/>
  <c r="Z9" i="10"/>
  <c r="AO9" i="10"/>
  <c r="L9" i="10"/>
  <c r="AA9" i="10"/>
  <c r="AP9" i="10"/>
  <c r="M9" i="10"/>
  <c r="AB9" i="10"/>
  <c r="AQ9" i="10"/>
  <c r="N9" i="10"/>
  <c r="AC9" i="10"/>
  <c r="AR9" i="10"/>
  <c r="O9" i="10"/>
  <c r="AD9" i="10"/>
  <c r="AS9" i="10"/>
  <c r="P9" i="10"/>
  <c r="AE9" i="10"/>
  <c r="AT9" i="10"/>
  <c r="Q9" i="10"/>
  <c r="AF9" i="10"/>
  <c r="AU9" i="10"/>
  <c r="R9" i="10"/>
  <c r="AG9" i="10"/>
  <c r="AV9" i="10"/>
  <c r="S7" i="9"/>
  <c r="H9" i="9"/>
  <c r="W9" i="9"/>
  <c r="AL9" i="9"/>
  <c r="I9" i="9"/>
  <c r="X9" i="9"/>
  <c r="AM9" i="9"/>
  <c r="Y9" i="9"/>
  <c r="AN9" i="9"/>
  <c r="J9" i="9"/>
  <c r="AO9" i="9"/>
  <c r="Z9" i="9"/>
  <c r="K9" i="9"/>
  <c r="L9" i="9"/>
  <c r="AA9" i="9"/>
  <c r="AP9" i="9"/>
  <c r="M9" i="9"/>
  <c r="AB9" i="9"/>
  <c r="AQ9" i="9"/>
  <c r="N9" i="9"/>
  <c r="AR9" i="9"/>
  <c r="AC9" i="9"/>
  <c r="O9" i="9"/>
  <c r="AD9" i="9"/>
  <c r="AS9" i="9"/>
  <c r="AE9" i="9"/>
  <c r="AT9" i="9"/>
  <c r="P9" i="9"/>
  <c r="Q9" i="9"/>
  <c r="AF9" i="9"/>
  <c r="AU9" i="9"/>
  <c r="R9" i="9"/>
  <c r="AG9" i="9"/>
  <c r="AV9" i="9"/>
  <c r="C7" i="7"/>
  <c r="W8" i="7"/>
  <c r="AL8" i="7"/>
  <c r="H8" i="7"/>
  <c r="I8" i="7"/>
  <c r="X8" i="7"/>
  <c r="AM8" i="7"/>
  <c r="Y8" i="7"/>
  <c r="J8" i="7"/>
  <c r="AN8" i="7"/>
  <c r="K8" i="7"/>
  <c r="Z8" i="7"/>
  <c r="AO8" i="7"/>
  <c r="L8" i="7"/>
  <c r="AA8" i="7"/>
  <c r="AP8" i="7"/>
  <c r="N8" i="7"/>
  <c r="AC8" i="7"/>
  <c r="AR8" i="7"/>
  <c r="O8" i="7"/>
  <c r="AD8" i="7"/>
  <c r="AS8" i="7"/>
  <c r="P8" i="7"/>
  <c r="AE8" i="7"/>
  <c r="AT8" i="7"/>
  <c r="AU8" i="7"/>
  <c r="Q8" i="7"/>
  <c r="AF8" i="7"/>
  <c r="AV8" i="7"/>
  <c r="R8" i="7"/>
  <c r="AG8" i="7"/>
  <c r="I8" i="8"/>
  <c r="AM8" i="8"/>
  <c r="X8" i="8"/>
  <c r="J8" i="8"/>
  <c r="Y8" i="8"/>
  <c r="AN8" i="8"/>
  <c r="L8" i="8"/>
  <c r="AA8" i="8"/>
  <c r="AP8" i="8"/>
  <c r="N8" i="8"/>
  <c r="AC8" i="8"/>
  <c r="AR8" i="8"/>
  <c r="P8" i="8"/>
  <c r="AE8" i="8"/>
  <c r="AT8" i="8"/>
  <c r="Q8" i="8"/>
  <c r="AU8" i="8"/>
  <c r="AF8" i="8"/>
  <c r="H8" i="8"/>
  <c r="AL8" i="8"/>
  <c r="W8" i="8"/>
  <c r="K8" i="8"/>
  <c r="Z8" i="8"/>
  <c r="AO8" i="8"/>
  <c r="M8" i="8"/>
  <c r="AB8" i="8"/>
  <c r="AQ8" i="8"/>
  <c r="O8" i="8"/>
  <c r="AD8" i="8"/>
  <c r="AS8" i="8"/>
  <c r="R8" i="8"/>
  <c r="AV8" i="8"/>
  <c r="AG8" i="8"/>
  <c r="M8" i="7"/>
  <c r="AB8" i="7"/>
  <c r="AQ8" i="7"/>
  <c r="C7" i="8"/>
  <c r="T7" i="10" l="1"/>
  <c r="AH7" i="10"/>
  <c r="H10" i="10"/>
  <c r="W10" i="10"/>
  <c r="AL10" i="10"/>
  <c r="I10" i="10"/>
  <c r="X10" i="10"/>
  <c r="AM10" i="10"/>
  <c r="J10" i="10"/>
  <c r="Y10" i="10"/>
  <c r="AN10" i="10"/>
  <c r="K10" i="10"/>
  <c r="Z10" i="10"/>
  <c r="AO10" i="10"/>
  <c r="L10" i="10"/>
  <c r="AA10" i="10"/>
  <c r="AP10" i="10"/>
  <c r="M10" i="10"/>
  <c r="AB10" i="10"/>
  <c r="AQ10" i="10"/>
  <c r="N10" i="10"/>
  <c r="AC10" i="10"/>
  <c r="AR10" i="10"/>
  <c r="O10" i="10"/>
  <c r="AD10" i="10"/>
  <c r="AS10" i="10"/>
  <c r="P10" i="10"/>
  <c r="AE10" i="10"/>
  <c r="AT10" i="10"/>
  <c r="Q10" i="10"/>
  <c r="AF10" i="10"/>
  <c r="AU10" i="10"/>
  <c r="R10" i="10"/>
  <c r="AG10" i="10"/>
  <c r="AV10" i="10"/>
  <c r="AH7" i="9"/>
  <c r="H10" i="9"/>
  <c r="W10" i="9"/>
  <c r="AL10" i="9"/>
  <c r="I10" i="9"/>
  <c r="X10" i="9"/>
  <c r="AM10" i="9"/>
  <c r="J10" i="9"/>
  <c r="AN10" i="9"/>
  <c r="Y10" i="9"/>
  <c r="Z10" i="9"/>
  <c r="AO10" i="9"/>
  <c r="K10" i="9"/>
  <c r="AP10" i="9"/>
  <c r="AA10" i="9"/>
  <c r="L10" i="9"/>
  <c r="AQ10" i="9"/>
  <c r="M10" i="9"/>
  <c r="AB10" i="9"/>
  <c r="AC10" i="9"/>
  <c r="N10" i="9"/>
  <c r="AR10" i="9"/>
  <c r="AS10" i="9"/>
  <c r="AD10" i="9"/>
  <c r="O10" i="9"/>
  <c r="P10" i="9"/>
  <c r="AE10" i="9"/>
  <c r="AT10" i="9"/>
  <c r="Q10" i="9"/>
  <c r="AF10" i="9"/>
  <c r="AU10" i="9"/>
  <c r="AV10" i="9"/>
  <c r="R10" i="9"/>
  <c r="AG10" i="9"/>
  <c r="S7" i="7"/>
  <c r="W9" i="7"/>
  <c r="AL9" i="7"/>
  <c r="H9" i="7"/>
  <c r="I9" i="7"/>
  <c r="X9" i="7"/>
  <c r="AM9" i="7"/>
  <c r="J9" i="7"/>
  <c r="Y9" i="7"/>
  <c r="AN9" i="7"/>
  <c r="Z9" i="7"/>
  <c r="AO9" i="7"/>
  <c r="K9" i="7"/>
  <c r="AA9" i="7"/>
  <c r="AP9" i="7"/>
  <c r="L9" i="7"/>
  <c r="N9" i="7"/>
  <c r="AC9" i="7"/>
  <c r="AR9" i="7"/>
  <c r="O9" i="7"/>
  <c r="AD9" i="7"/>
  <c r="AS9" i="7"/>
  <c r="P9" i="7"/>
  <c r="AE9" i="7"/>
  <c r="AT9" i="7"/>
  <c r="Q9" i="7"/>
  <c r="AF9" i="7"/>
  <c r="AU9" i="7"/>
  <c r="R9" i="7"/>
  <c r="AG9" i="7"/>
  <c r="AV9" i="7"/>
  <c r="I9" i="8"/>
  <c r="X9" i="8"/>
  <c r="AM9" i="8"/>
  <c r="Y9" i="8"/>
  <c r="AN9" i="8"/>
  <c r="J9" i="8"/>
  <c r="L9" i="8"/>
  <c r="AA9" i="8"/>
  <c r="AP9" i="8"/>
  <c r="AC9" i="8"/>
  <c r="N9" i="8"/>
  <c r="AR9" i="8"/>
  <c r="P9" i="8"/>
  <c r="AE9" i="8"/>
  <c r="AT9" i="8"/>
  <c r="AF9" i="8"/>
  <c r="Q9" i="8"/>
  <c r="AU9" i="8"/>
  <c r="H9" i="8"/>
  <c r="W9" i="8"/>
  <c r="AL9" i="8"/>
  <c r="AO9" i="8"/>
  <c r="K9" i="8"/>
  <c r="Z9" i="8"/>
  <c r="AB9" i="8"/>
  <c r="AQ9" i="8"/>
  <c r="M9" i="8"/>
  <c r="O9" i="8"/>
  <c r="AD9" i="8"/>
  <c r="AS9" i="8"/>
  <c r="R9" i="8"/>
  <c r="AG9" i="8"/>
  <c r="AV9" i="8"/>
  <c r="M9" i="7"/>
  <c r="AB9" i="7"/>
  <c r="AQ9" i="7"/>
  <c r="S7" i="8"/>
  <c r="T7" i="9"/>
  <c r="U7" i="10" l="1"/>
  <c r="V7" i="10" s="1"/>
  <c r="AK7" i="10" s="1"/>
  <c r="AI7" i="10"/>
  <c r="D8" i="10"/>
  <c r="H11" i="10"/>
  <c r="W11" i="10"/>
  <c r="AL11" i="10"/>
  <c r="I11" i="10"/>
  <c r="X11" i="10"/>
  <c r="AM11" i="10"/>
  <c r="J11" i="10"/>
  <c r="Y11" i="10"/>
  <c r="AN11" i="10"/>
  <c r="K11" i="10"/>
  <c r="Z11" i="10"/>
  <c r="AO11" i="10"/>
  <c r="L11" i="10"/>
  <c r="AA11" i="10"/>
  <c r="AP11" i="10"/>
  <c r="M11" i="10"/>
  <c r="AB11" i="10"/>
  <c r="AQ11" i="10"/>
  <c r="N11" i="10"/>
  <c r="AC11" i="10"/>
  <c r="AR11" i="10"/>
  <c r="O11" i="10"/>
  <c r="AD11" i="10"/>
  <c r="AS11" i="10"/>
  <c r="P11" i="10"/>
  <c r="AE11" i="10"/>
  <c r="AT11" i="10"/>
  <c r="Q11" i="10"/>
  <c r="AF11" i="10"/>
  <c r="AU11" i="10"/>
  <c r="R11" i="10"/>
  <c r="AG11" i="10"/>
  <c r="AV11" i="10"/>
  <c r="D8" i="9"/>
  <c r="H11" i="9"/>
  <c r="W11" i="9"/>
  <c r="AL11" i="9"/>
  <c r="I11" i="9"/>
  <c r="X11" i="9"/>
  <c r="AM11" i="9"/>
  <c r="J11" i="9"/>
  <c r="Y11" i="9"/>
  <c r="AN11" i="9"/>
  <c r="Z11" i="9"/>
  <c r="K11" i="9"/>
  <c r="AO11" i="9"/>
  <c r="L11" i="9"/>
  <c r="AP11" i="9"/>
  <c r="AA11" i="9"/>
  <c r="M11" i="9"/>
  <c r="AQ11" i="9"/>
  <c r="AB11" i="9"/>
  <c r="N11" i="9"/>
  <c r="AR11" i="9"/>
  <c r="AC11" i="9"/>
  <c r="O11" i="9"/>
  <c r="AD11" i="9"/>
  <c r="AS11" i="9"/>
  <c r="P11" i="9"/>
  <c r="AT11" i="9"/>
  <c r="AE11" i="9"/>
  <c r="AF11" i="9"/>
  <c r="AU11" i="9"/>
  <c r="Q11" i="9"/>
  <c r="R11" i="9"/>
  <c r="AV11" i="9"/>
  <c r="AG11" i="9"/>
  <c r="T7" i="7"/>
  <c r="AH7" i="7"/>
  <c r="H10" i="7"/>
  <c r="W10" i="7"/>
  <c r="AL10" i="7"/>
  <c r="I10" i="7"/>
  <c r="X10" i="7"/>
  <c r="AM10" i="7"/>
  <c r="J10" i="7"/>
  <c r="Y10" i="7"/>
  <c r="AN10" i="7"/>
  <c r="K10" i="7"/>
  <c r="Z10" i="7"/>
  <c r="AO10" i="7"/>
  <c r="L10" i="7"/>
  <c r="AP10" i="7"/>
  <c r="AA10" i="7"/>
  <c r="N10" i="7"/>
  <c r="AC10" i="7"/>
  <c r="AR10" i="7"/>
  <c r="O10" i="7"/>
  <c r="AS10" i="7"/>
  <c r="AD10" i="7"/>
  <c r="P10" i="7"/>
  <c r="AE10" i="7"/>
  <c r="AT10" i="7"/>
  <c r="Q10" i="7"/>
  <c r="AF10" i="7"/>
  <c r="AU10" i="7"/>
  <c r="R10" i="7"/>
  <c r="AG10" i="7"/>
  <c r="AV10" i="7"/>
  <c r="I10" i="8"/>
  <c r="X10" i="8"/>
  <c r="AM10" i="8"/>
  <c r="J10" i="8"/>
  <c r="AN10" i="8"/>
  <c r="Y10" i="8"/>
  <c r="L10" i="8"/>
  <c r="AA10" i="8"/>
  <c r="AP10" i="8"/>
  <c r="N10" i="8"/>
  <c r="AC10" i="8"/>
  <c r="AR10" i="8"/>
  <c r="P10" i="8"/>
  <c r="AE10" i="8"/>
  <c r="AT10" i="8"/>
  <c r="AF10" i="8"/>
  <c r="AU10" i="8"/>
  <c r="Q10" i="8"/>
  <c r="H10" i="8"/>
  <c r="AL10" i="8"/>
  <c r="W10" i="8"/>
  <c r="K10" i="8"/>
  <c r="Z10" i="8"/>
  <c r="AO10" i="8"/>
  <c r="AQ10" i="8"/>
  <c r="M10" i="8"/>
  <c r="AB10" i="8"/>
  <c r="O10" i="8"/>
  <c r="AD10" i="8"/>
  <c r="AS10" i="8"/>
  <c r="AV10" i="8"/>
  <c r="R10" i="8"/>
  <c r="AG10" i="8"/>
  <c r="M10" i="7"/>
  <c r="AQ10" i="7"/>
  <c r="AB10" i="7"/>
  <c r="AH7" i="8"/>
  <c r="T7" i="8"/>
  <c r="AI7" i="9"/>
  <c r="U7" i="9"/>
  <c r="G8" i="10" l="1"/>
  <c r="AY7" i="10"/>
  <c r="AJ7" i="10"/>
  <c r="E8" i="10"/>
  <c r="H12" i="10"/>
  <c r="W12" i="10"/>
  <c r="AL12" i="10"/>
  <c r="I12" i="10"/>
  <c r="X12" i="10"/>
  <c r="AM12" i="10"/>
  <c r="J12" i="10"/>
  <c r="Y12" i="10"/>
  <c r="AN12" i="10"/>
  <c r="K12" i="10"/>
  <c r="Z12" i="10"/>
  <c r="AO12" i="10"/>
  <c r="L12" i="10"/>
  <c r="AA12" i="10"/>
  <c r="AP12" i="10"/>
  <c r="M12" i="10"/>
  <c r="AB12" i="10"/>
  <c r="AQ12" i="10"/>
  <c r="N12" i="10"/>
  <c r="AC12" i="10"/>
  <c r="AR12" i="10"/>
  <c r="O12" i="10"/>
  <c r="AD12" i="10"/>
  <c r="AS12" i="10"/>
  <c r="P12" i="10"/>
  <c r="AE12" i="10"/>
  <c r="AT12" i="10"/>
  <c r="Q12" i="10"/>
  <c r="AF12" i="10"/>
  <c r="AU12" i="10"/>
  <c r="R12" i="10"/>
  <c r="AG12" i="10"/>
  <c r="AV12" i="10"/>
  <c r="AL12" i="9"/>
  <c r="H12" i="9"/>
  <c r="W12" i="9"/>
  <c r="X12" i="9"/>
  <c r="AM12" i="9"/>
  <c r="I12" i="9"/>
  <c r="Y12" i="9"/>
  <c r="J12" i="9"/>
  <c r="AN12" i="9"/>
  <c r="K12" i="9"/>
  <c r="Z12" i="9"/>
  <c r="AO12" i="9"/>
  <c r="AP12" i="9"/>
  <c r="L12" i="9"/>
  <c r="AA12" i="9"/>
  <c r="AQ12" i="9"/>
  <c r="M12" i="9"/>
  <c r="AB12" i="9"/>
  <c r="N12" i="9"/>
  <c r="AC12" i="9"/>
  <c r="AR12" i="9"/>
  <c r="AD12" i="9"/>
  <c r="AS12" i="9"/>
  <c r="O12" i="9"/>
  <c r="AE12" i="9"/>
  <c r="P12" i="9"/>
  <c r="AT12" i="9"/>
  <c r="Q12" i="9"/>
  <c r="AU12" i="9"/>
  <c r="AF12" i="9"/>
  <c r="AV12" i="9"/>
  <c r="AG12" i="9"/>
  <c r="R12" i="9"/>
  <c r="U7" i="7"/>
  <c r="V7" i="7"/>
  <c r="AK7" i="7" s="1"/>
  <c r="AI7" i="7"/>
  <c r="D8" i="7"/>
  <c r="H11" i="7"/>
  <c r="W11" i="7"/>
  <c r="AL11" i="7"/>
  <c r="I11" i="7"/>
  <c r="X11" i="7"/>
  <c r="AM11" i="7"/>
  <c r="J11" i="7"/>
  <c r="Y11" i="7"/>
  <c r="AN11" i="7"/>
  <c r="K11" i="7"/>
  <c r="Z11" i="7"/>
  <c r="AO11" i="7"/>
  <c r="L11" i="7"/>
  <c r="AA11" i="7"/>
  <c r="AP11" i="7"/>
  <c r="N11" i="7"/>
  <c r="AC11" i="7"/>
  <c r="AR11" i="7"/>
  <c r="O11" i="7"/>
  <c r="AD11" i="7"/>
  <c r="AS11" i="7"/>
  <c r="P11" i="7"/>
  <c r="AE11" i="7"/>
  <c r="AT11" i="7"/>
  <c r="Q11" i="7"/>
  <c r="AF11" i="7"/>
  <c r="AU11" i="7"/>
  <c r="R11" i="7"/>
  <c r="AV11" i="7"/>
  <c r="AG11" i="7"/>
  <c r="I11" i="8"/>
  <c r="X11" i="8"/>
  <c r="AM11" i="8"/>
  <c r="J11" i="8"/>
  <c r="Y11" i="8"/>
  <c r="AN11" i="8"/>
  <c r="AA11" i="8"/>
  <c r="AP11" i="8"/>
  <c r="L11" i="8"/>
  <c r="N11" i="8"/>
  <c r="AC11" i="8"/>
  <c r="AR11" i="8"/>
  <c r="P11" i="8"/>
  <c r="AT11" i="8"/>
  <c r="AE11" i="8"/>
  <c r="Q11" i="8"/>
  <c r="AF11" i="8"/>
  <c r="AU11" i="8"/>
  <c r="H11" i="8"/>
  <c r="W11" i="8"/>
  <c r="AL11" i="8"/>
  <c r="K11" i="8"/>
  <c r="Z11" i="8"/>
  <c r="AO11" i="8"/>
  <c r="M11" i="8"/>
  <c r="AB11" i="8"/>
  <c r="AQ11" i="8"/>
  <c r="O11" i="8"/>
  <c r="AS11" i="8"/>
  <c r="AD11" i="8"/>
  <c r="AV11" i="8"/>
  <c r="R11" i="8"/>
  <c r="AG11" i="8"/>
  <c r="M11" i="7"/>
  <c r="AB11" i="7"/>
  <c r="AQ11" i="7"/>
  <c r="D8" i="8"/>
  <c r="U7" i="8"/>
  <c r="AJ7" i="8" s="1"/>
  <c r="AI7" i="8"/>
  <c r="E8" i="9"/>
  <c r="V7" i="8"/>
  <c r="AJ7" i="9"/>
  <c r="V7" i="9"/>
  <c r="F8" i="10" l="1"/>
  <c r="H13" i="10"/>
  <c r="W13" i="10"/>
  <c r="AL13" i="10"/>
  <c r="I13" i="10"/>
  <c r="X13" i="10"/>
  <c r="AM13" i="10"/>
  <c r="J13" i="10"/>
  <c r="Y13" i="10"/>
  <c r="AN13" i="10"/>
  <c r="K13" i="10"/>
  <c r="Z13" i="10"/>
  <c r="AO13" i="10"/>
  <c r="L13" i="10"/>
  <c r="AA13" i="10"/>
  <c r="AP13" i="10"/>
  <c r="M13" i="10"/>
  <c r="AB13" i="10"/>
  <c r="AQ13" i="10"/>
  <c r="N13" i="10"/>
  <c r="AC13" i="10"/>
  <c r="AR13" i="10"/>
  <c r="O13" i="10"/>
  <c r="AD13" i="10"/>
  <c r="AS13" i="10"/>
  <c r="P13" i="10"/>
  <c r="AE13" i="10"/>
  <c r="AT13" i="10"/>
  <c r="Q13" i="10"/>
  <c r="AF13" i="10"/>
  <c r="AU13" i="10"/>
  <c r="R13" i="10"/>
  <c r="AG13" i="10"/>
  <c r="AV13" i="10"/>
  <c r="AL13" i="9"/>
  <c r="H13" i="9"/>
  <c r="W13" i="9"/>
  <c r="X13" i="9"/>
  <c r="AM13" i="9"/>
  <c r="I13" i="9"/>
  <c r="J13" i="9"/>
  <c r="AN13" i="9"/>
  <c r="Y13" i="9"/>
  <c r="K13" i="9"/>
  <c r="Z13" i="9"/>
  <c r="AO13" i="9"/>
  <c r="AP13" i="9"/>
  <c r="L13" i="9"/>
  <c r="AA13" i="9"/>
  <c r="M13" i="9"/>
  <c r="AQ13" i="9"/>
  <c r="AB13" i="9"/>
  <c r="N13" i="9"/>
  <c r="AR13" i="9"/>
  <c r="AC13" i="9"/>
  <c r="O13" i="9"/>
  <c r="AD13" i="9"/>
  <c r="AS13" i="9"/>
  <c r="P13" i="9"/>
  <c r="AE13" i="9"/>
  <c r="AT13" i="9"/>
  <c r="Q13" i="9"/>
  <c r="AF13" i="9"/>
  <c r="AU13" i="9"/>
  <c r="AV13" i="9"/>
  <c r="R13" i="9"/>
  <c r="AG13" i="9"/>
  <c r="AY7" i="7"/>
  <c r="AJ7" i="7"/>
  <c r="G8" i="7"/>
  <c r="E8" i="7"/>
  <c r="H12" i="7"/>
  <c r="W12" i="7"/>
  <c r="AL12" i="7"/>
  <c r="I12" i="7"/>
  <c r="AM12" i="7"/>
  <c r="X12" i="7"/>
  <c r="J12" i="7"/>
  <c r="Y12" i="7"/>
  <c r="AN12" i="7"/>
  <c r="AO12" i="7"/>
  <c r="K12" i="7"/>
  <c r="Z12" i="7"/>
  <c r="L12" i="7"/>
  <c r="AA12" i="7"/>
  <c r="AP12" i="7"/>
  <c r="N12" i="7"/>
  <c r="AC12" i="7"/>
  <c r="AR12" i="7"/>
  <c r="O12" i="7"/>
  <c r="AS12" i="7"/>
  <c r="AD12" i="7"/>
  <c r="P12" i="7"/>
  <c r="AE12" i="7"/>
  <c r="AT12" i="7"/>
  <c r="Q12" i="7"/>
  <c r="AF12" i="7"/>
  <c r="AU12" i="7"/>
  <c r="AG12" i="7"/>
  <c r="R12" i="7"/>
  <c r="AV12" i="7"/>
  <c r="I12" i="8"/>
  <c r="X12" i="8"/>
  <c r="AM12" i="8"/>
  <c r="J12" i="8"/>
  <c r="Y12" i="8"/>
  <c r="AN12" i="8"/>
  <c r="L12" i="8"/>
  <c r="AA12" i="8"/>
  <c r="AP12" i="8"/>
  <c r="AC12" i="8"/>
  <c r="AR12" i="8"/>
  <c r="N12" i="8"/>
  <c r="P12" i="8"/>
  <c r="AE12" i="8"/>
  <c r="AT12" i="8"/>
  <c r="AF12" i="8"/>
  <c r="Q12" i="8"/>
  <c r="AU12" i="8"/>
  <c r="H12" i="8"/>
  <c r="W12" i="8"/>
  <c r="AL12" i="8"/>
  <c r="K12" i="8"/>
  <c r="Z12" i="8"/>
  <c r="AO12" i="8"/>
  <c r="M12" i="8"/>
  <c r="AB12" i="8"/>
  <c r="AQ12" i="8"/>
  <c r="AD12" i="8"/>
  <c r="AS12" i="8"/>
  <c r="O12" i="8"/>
  <c r="R12" i="8"/>
  <c r="AG12" i="8"/>
  <c r="AV12" i="8"/>
  <c r="M12" i="7"/>
  <c r="AB12" i="7"/>
  <c r="AQ12" i="7"/>
  <c r="F8" i="8"/>
  <c r="E8" i="8"/>
  <c r="F8" i="9"/>
  <c r="AW7" i="10"/>
  <c r="AX8" i="10"/>
  <c r="AX8" i="8"/>
  <c r="AK7" i="8"/>
  <c r="AW7" i="8" s="1"/>
  <c r="AY7" i="8"/>
  <c r="AK7" i="9"/>
  <c r="AY7" i="9"/>
  <c r="AW7" i="9" l="1"/>
  <c r="AX8" i="9"/>
  <c r="C8" i="10"/>
  <c r="H14" i="10"/>
  <c r="W14" i="10"/>
  <c r="AL14" i="10"/>
  <c r="I14" i="10"/>
  <c r="X14" i="10"/>
  <c r="AM14" i="10"/>
  <c r="J14" i="10"/>
  <c r="Y14" i="10"/>
  <c r="AN14" i="10"/>
  <c r="K14" i="10"/>
  <c r="Z14" i="10"/>
  <c r="AO14" i="10"/>
  <c r="L14" i="10"/>
  <c r="AA14" i="10"/>
  <c r="AP14" i="10"/>
  <c r="M14" i="10"/>
  <c r="AB14" i="10"/>
  <c r="AQ14" i="10"/>
  <c r="N14" i="10"/>
  <c r="AC14" i="10"/>
  <c r="AR14" i="10"/>
  <c r="O14" i="10"/>
  <c r="AD14" i="10"/>
  <c r="AS14" i="10"/>
  <c r="P14" i="10"/>
  <c r="AE14" i="10"/>
  <c r="AT14" i="10"/>
  <c r="Q14" i="10"/>
  <c r="AF14" i="10"/>
  <c r="AU14" i="10"/>
  <c r="R14" i="10"/>
  <c r="AG14" i="10"/>
  <c r="AV14" i="10"/>
  <c r="AL14" i="9"/>
  <c r="W14" i="9"/>
  <c r="H14" i="9"/>
  <c r="I14" i="9"/>
  <c r="X14" i="9"/>
  <c r="AM14" i="9"/>
  <c r="J14" i="9"/>
  <c r="AN14" i="9"/>
  <c r="Y14" i="9"/>
  <c r="K14" i="9"/>
  <c r="Z14" i="9"/>
  <c r="AO14" i="9"/>
  <c r="L14" i="9"/>
  <c r="AP14" i="9"/>
  <c r="AA14" i="9"/>
  <c r="M14" i="9"/>
  <c r="AQ14" i="9"/>
  <c r="AB14" i="9"/>
  <c r="AC14" i="9"/>
  <c r="AR14" i="9"/>
  <c r="N14" i="9"/>
  <c r="O14" i="9"/>
  <c r="AS14" i="9"/>
  <c r="AD14" i="9"/>
  <c r="P14" i="9"/>
  <c r="AE14" i="9"/>
  <c r="AT14" i="9"/>
  <c r="Q14" i="9"/>
  <c r="AF14" i="9"/>
  <c r="AU14" i="9"/>
  <c r="R14" i="9"/>
  <c r="AG14" i="9"/>
  <c r="AV14" i="9"/>
  <c r="AX8" i="7"/>
  <c r="AW7" i="7"/>
  <c r="F8" i="7"/>
  <c r="H13" i="7"/>
  <c r="W13" i="7"/>
  <c r="AL13" i="7"/>
  <c r="AM13" i="7"/>
  <c r="I13" i="7"/>
  <c r="X13" i="7"/>
  <c r="J13" i="7"/>
  <c r="AN13" i="7"/>
  <c r="Y13" i="7"/>
  <c r="K13" i="7"/>
  <c r="AO13" i="7"/>
  <c r="Z13" i="7"/>
  <c r="AA13" i="7"/>
  <c r="L13" i="7"/>
  <c r="AP13" i="7"/>
  <c r="AC13" i="7"/>
  <c r="N13" i="7"/>
  <c r="AR13" i="7"/>
  <c r="O13" i="7"/>
  <c r="AD13" i="7"/>
  <c r="AS13" i="7"/>
  <c r="P13" i="7"/>
  <c r="AE13" i="7"/>
  <c r="AT13" i="7"/>
  <c r="Q13" i="7"/>
  <c r="AF13" i="7"/>
  <c r="AU13" i="7"/>
  <c r="R13" i="7"/>
  <c r="AG13" i="7"/>
  <c r="AV13" i="7"/>
  <c r="I13" i="8"/>
  <c r="X13" i="8"/>
  <c r="AM13" i="8"/>
  <c r="AN13" i="8"/>
  <c r="J13" i="8"/>
  <c r="Y13" i="8"/>
  <c r="AA13" i="8"/>
  <c r="L13" i="8"/>
  <c r="AP13" i="8"/>
  <c r="N13" i="8"/>
  <c r="AC13" i="8"/>
  <c r="AR13" i="8"/>
  <c r="P13" i="8"/>
  <c r="AT13" i="8"/>
  <c r="AE13" i="8"/>
  <c r="Q13" i="8"/>
  <c r="AF13" i="8"/>
  <c r="AU13" i="8"/>
  <c r="H13" i="8"/>
  <c r="W13" i="8"/>
  <c r="AL13" i="8"/>
  <c r="AO13" i="8"/>
  <c r="K13" i="8"/>
  <c r="Z13" i="8"/>
  <c r="M13" i="8"/>
  <c r="AB13" i="8"/>
  <c r="AQ13" i="8"/>
  <c r="AD13" i="8"/>
  <c r="AS13" i="8"/>
  <c r="O13" i="8"/>
  <c r="R13" i="8"/>
  <c r="AG13" i="8"/>
  <c r="AV13" i="8"/>
  <c r="AB13" i="7"/>
  <c r="AQ13" i="7"/>
  <c r="M13" i="7"/>
  <c r="G8" i="8"/>
  <c r="G8" i="9"/>
  <c r="C8" i="8"/>
  <c r="C8" i="9"/>
  <c r="S8" i="10" l="1"/>
  <c r="H15" i="10"/>
  <c r="W15" i="10"/>
  <c r="AL15" i="10"/>
  <c r="I15" i="10"/>
  <c r="X15" i="10"/>
  <c r="AM15" i="10"/>
  <c r="J15" i="10"/>
  <c r="Y15" i="10"/>
  <c r="AN15" i="10"/>
  <c r="K15" i="10"/>
  <c r="Z15" i="10"/>
  <c r="AO15" i="10"/>
  <c r="L15" i="10"/>
  <c r="AA15" i="10"/>
  <c r="AP15" i="10"/>
  <c r="M15" i="10"/>
  <c r="AB15" i="10"/>
  <c r="AQ15" i="10"/>
  <c r="N15" i="10"/>
  <c r="AC15" i="10"/>
  <c r="AR15" i="10"/>
  <c r="O15" i="10"/>
  <c r="AD15" i="10"/>
  <c r="AS15" i="10"/>
  <c r="P15" i="10"/>
  <c r="AE15" i="10"/>
  <c r="AT15" i="10"/>
  <c r="Q15" i="10"/>
  <c r="AF15" i="10"/>
  <c r="AU15" i="10"/>
  <c r="R15" i="10"/>
  <c r="AG15" i="10"/>
  <c r="AV15" i="10"/>
  <c r="W15" i="9"/>
  <c r="H15" i="9"/>
  <c r="AL15" i="9"/>
  <c r="X15" i="9"/>
  <c r="AM15" i="9"/>
  <c r="I15" i="9"/>
  <c r="J15" i="9"/>
  <c r="Y15" i="9"/>
  <c r="AN15" i="9"/>
  <c r="Z15" i="9"/>
  <c r="AO15" i="9"/>
  <c r="K15" i="9"/>
  <c r="AA15" i="9"/>
  <c r="L15" i="9"/>
  <c r="AP15" i="9"/>
  <c r="M15" i="9"/>
  <c r="AQ15" i="9"/>
  <c r="AB15" i="9"/>
  <c r="AC15" i="9"/>
  <c r="N15" i="9"/>
  <c r="AR15" i="9"/>
  <c r="O15" i="9"/>
  <c r="AD15" i="9"/>
  <c r="AS15" i="9"/>
  <c r="P15" i="9"/>
  <c r="AT15" i="9"/>
  <c r="AE15" i="9"/>
  <c r="AF15" i="9"/>
  <c r="AU15" i="9"/>
  <c r="Q15" i="9"/>
  <c r="AV15" i="9"/>
  <c r="R15" i="9"/>
  <c r="AG15" i="9"/>
  <c r="C8" i="7"/>
  <c r="H14" i="7"/>
  <c r="W14" i="7"/>
  <c r="AL14" i="7"/>
  <c r="I14" i="7"/>
  <c r="AM14" i="7"/>
  <c r="X14" i="7"/>
  <c r="Y14" i="7"/>
  <c r="J14" i="7"/>
  <c r="AN14" i="7"/>
  <c r="Z14" i="7"/>
  <c r="AO14" i="7"/>
  <c r="K14" i="7"/>
  <c r="L14" i="7"/>
  <c r="AA14" i="7"/>
  <c r="AP14" i="7"/>
  <c r="AC14" i="7"/>
  <c r="N14" i="7"/>
  <c r="AR14" i="7"/>
  <c r="AD14" i="7"/>
  <c r="AS14" i="7"/>
  <c r="O14" i="7"/>
  <c r="P14" i="7"/>
  <c r="AE14" i="7"/>
  <c r="AT14" i="7"/>
  <c r="AU14" i="7"/>
  <c r="Q14" i="7"/>
  <c r="AF14" i="7"/>
  <c r="R14" i="7"/>
  <c r="AG14" i="7"/>
  <c r="AV14" i="7"/>
  <c r="I14" i="8"/>
  <c r="X14" i="8"/>
  <c r="AM14" i="8"/>
  <c r="J14" i="8"/>
  <c r="AN14" i="8"/>
  <c r="Y14" i="8"/>
  <c r="L14" i="8"/>
  <c r="AA14" i="8"/>
  <c r="AP14" i="8"/>
  <c r="N14" i="8"/>
  <c r="AC14" i="8"/>
  <c r="AR14" i="8"/>
  <c r="P14" i="8"/>
  <c r="AE14" i="8"/>
  <c r="AT14" i="8"/>
  <c r="AU14" i="8"/>
  <c r="Q14" i="8"/>
  <c r="AF14" i="8"/>
  <c r="H14" i="8"/>
  <c r="W14" i="8"/>
  <c r="AL14" i="8"/>
  <c r="AO14" i="8"/>
  <c r="K14" i="8"/>
  <c r="Z14" i="8"/>
  <c r="M14" i="8"/>
  <c r="AQ14" i="8"/>
  <c r="AB14" i="8"/>
  <c r="AS14" i="8"/>
  <c r="O14" i="8"/>
  <c r="AD14" i="8"/>
  <c r="AV14" i="8"/>
  <c r="R14" i="8"/>
  <c r="AG14" i="8"/>
  <c r="M14" i="7"/>
  <c r="AB14" i="7"/>
  <c r="AQ14" i="7"/>
  <c r="S8" i="8"/>
  <c r="S8" i="9"/>
  <c r="T8" i="9" s="1"/>
  <c r="AI8" i="9" s="1"/>
  <c r="AH8" i="10" l="1"/>
  <c r="H16" i="10"/>
  <c r="W16" i="10"/>
  <c r="AL16" i="10"/>
  <c r="I16" i="10"/>
  <c r="X16" i="10"/>
  <c r="AM16" i="10"/>
  <c r="J16" i="10"/>
  <c r="Y16" i="10"/>
  <c r="AN16" i="10"/>
  <c r="K16" i="10"/>
  <c r="Z16" i="10"/>
  <c r="AO16" i="10"/>
  <c r="L16" i="10"/>
  <c r="AA16" i="10"/>
  <c r="AP16" i="10"/>
  <c r="M16" i="10"/>
  <c r="AB16" i="10"/>
  <c r="AQ16" i="10"/>
  <c r="N16" i="10"/>
  <c r="AC16" i="10"/>
  <c r="AR16" i="10"/>
  <c r="O16" i="10"/>
  <c r="AD16" i="10"/>
  <c r="AS16" i="10"/>
  <c r="P16" i="10"/>
  <c r="AE16" i="10"/>
  <c r="AT16" i="10"/>
  <c r="Q16" i="10"/>
  <c r="AF16" i="10"/>
  <c r="AU16" i="10"/>
  <c r="R16" i="10"/>
  <c r="AG16" i="10"/>
  <c r="AV16" i="10"/>
  <c r="W16" i="9"/>
  <c r="H16" i="9"/>
  <c r="AL16" i="9"/>
  <c r="AM16" i="9"/>
  <c r="I16" i="9"/>
  <c r="X16" i="9"/>
  <c r="J16" i="9"/>
  <c r="Y16" i="9"/>
  <c r="AN16" i="9"/>
  <c r="K16" i="9"/>
  <c r="AO16" i="9"/>
  <c r="Z16" i="9"/>
  <c r="AP16" i="9"/>
  <c r="AA16" i="9"/>
  <c r="L16" i="9"/>
  <c r="M16" i="9"/>
  <c r="AB16" i="9"/>
  <c r="AQ16" i="9"/>
  <c r="N16" i="9"/>
  <c r="AR16" i="9"/>
  <c r="AC16" i="9"/>
  <c r="AD16" i="9"/>
  <c r="AS16" i="9"/>
  <c r="O16" i="9"/>
  <c r="AE16" i="9"/>
  <c r="P16" i="9"/>
  <c r="AT16" i="9"/>
  <c r="Q16" i="9"/>
  <c r="AF16" i="9"/>
  <c r="AU16" i="9"/>
  <c r="R16" i="9"/>
  <c r="AV16" i="9"/>
  <c r="AG16" i="9"/>
  <c r="S8" i="7"/>
  <c r="T8" i="7" s="1"/>
  <c r="H15" i="7"/>
  <c r="W15" i="7"/>
  <c r="AL15" i="7"/>
  <c r="I15" i="7"/>
  <c r="X15" i="7"/>
  <c r="AM15" i="7"/>
  <c r="J15" i="7"/>
  <c r="Y15" i="7"/>
  <c r="AN15" i="7"/>
  <c r="K15" i="7"/>
  <c r="Z15" i="7"/>
  <c r="AO15" i="7"/>
  <c r="L15" i="7"/>
  <c r="AA15" i="7"/>
  <c r="AP15" i="7"/>
  <c r="N15" i="7"/>
  <c r="AC15" i="7"/>
  <c r="AR15" i="7"/>
  <c r="O15" i="7"/>
  <c r="AD15" i="7"/>
  <c r="AS15" i="7"/>
  <c r="P15" i="7"/>
  <c r="AE15" i="7"/>
  <c r="AT15" i="7"/>
  <c r="Q15" i="7"/>
  <c r="AF15" i="7"/>
  <c r="AU15" i="7"/>
  <c r="R15" i="7"/>
  <c r="AG15" i="7"/>
  <c r="AV15" i="7"/>
  <c r="I15" i="8"/>
  <c r="X15" i="8"/>
  <c r="AM15" i="8"/>
  <c r="J15" i="8"/>
  <c r="Y15" i="8"/>
  <c r="AN15" i="8"/>
  <c r="L15" i="8"/>
  <c r="AP15" i="8"/>
  <c r="AA15" i="8"/>
  <c r="N15" i="8"/>
  <c r="AC15" i="8"/>
  <c r="AR15" i="8"/>
  <c r="P15" i="8"/>
  <c r="AE15" i="8"/>
  <c r="AT15" i="8"/>
  <c r="Q15" i="8"/>
  <c r="AF15" i="8"/>
  <c r="AU15" i="8"/>
  <c r="W15" i="8"/>
  <c r="H15" i="8"/>
  <c r="AL15" i="8"/>
  <c r="K15" i="8"/>
  <c r="Z15" i="8"/>
  <c r="AO15" i="8"/>
  <c r="M15" i="8"/>
  <c r="AQ15" i="8"/>
  <c r="AB15" i="8"/>
  <c r="O15" i="8"/>
  <c r="AD15" i="8"/>
  <c r="AS15" i="8"/>
  <c r="AV15" i="8"/>
  <c r="R15" i="8"/>
  <c r="AG15" i="8"/>
  <c r="M15" i="7"/>
  <c r="AB15" i="7"/>
  <c r="AQ15" i="7"/>
  <c r="T8" i="8"/>
  <c r="AH8" i="8"/>
  <c r="U8" i="9"/>
  <c r="AH8" i="9"/>
  <c r="E9" i="9"/>
  <c r="T8" i="10"/>
  <c r="D9" i="10" l="1"/>
  <c r="H17" i="10"/>
  <c r="W17" i="10"/>
  <c r="AL17" i="10"/>
  <c r="I17" i="10"/>
  <c r="X17" i="10"/>
  <c r="AM17" i="10"/>
  <c r="J17" i="10"/>
  <c r="Y17" i="10"/>
  <c r="AN17" i="10"/>
  <c r="K17" i="10"/>
  <c r="Z17" i="10"/>
  <c r="AO17" i="10"/>
  <c r="L17" i="10"/>
  <c r="AA17" i="10"/>
  <c r="AP17" i="10"/>
  <c r="M17" i="10"/>
  <c r="AB17" i="10"/>
  <c r="AQ17" i="10"/>
  <c r="N17" i="10"/>
  <c r="AC17" i="10"/>
  <c r="AR17" i="10"/>
  <c r="O17" i="10"/>
  <c r="AD17" i="10"/>
  <c r="AS17" i="10"/>
  <c r="P17" i="10"/>
  <c r="AE17" i="10"/>
  <c r="AT17" i="10"/>
  <c r="Q17" i="10"/>
  <c r="AF17" i="10"/>
  <c r="AU17" i="10"/>
  <c r="R17" i="10"/>
  <c r="AG17" i="10"/>
  <c r="AV17" i="10"/>
  <c r="AL17" i="9"/>
  <c r="H17" i="9"/>
  <c r="W17" i="9"/>
  <c r="I17" i="9"/>
  <c r="X17" i="9"/>
  <c r="AM17" i="9"/>
  <c r="AN17" i="9"/>
  <c r="J17" i="9"/>
  <c r="Y17" i="9"/>
  <c r="Z17" i="9"/>
  <c r="AO17" i="9"/>
  <c r="K17" i="9"/>
  <c r="AA17" i="9"/>
  <c r="L17" i="9"/>
  <c r="AP17" i="9"/>
  <c r="AB17" i="9"/>
  <c r="M17" i="9"/>
  <c r="AQ17" i="9"/>
  <c r="AC17" i="9"/>
  <c r="AR17" i="9"/>
  <c r="N17" i="9"/>
  <c r="AD17" i="9"/>
  <c r="AS17" i="9"/>
  <c r="O17" i="9"/>
  <c r="AE17" i="9"/>
  <c r="AT17" i="9"/>
  <c r="P17" i="9"/>
  <c r="AF17" i="9"/>
  <c r="AU17" i="9"/>
  <c r="Q17" i="9"/>
  <c r="R17" i="9"/>
  <c r="AV17" i="9"/>
  <c r="AG17" i="9"/>
  <c r="U8" i="7"/>
  <c r="AH8" i="7"/>
  <c r="H16" i="7"/>
  <c r="W16" i="7"/>
  <c r="AL16" i="7"/>
  <c r="I16" i="7"/>
  <c r="X16" i="7"/>
  <c r="AM16" i="7"/>
  <c r="J16" i="7"/>
  <c r="Y16" i="7"/>
  <c r="AN16" i="7"/>
  <c r="K16" i="7"/>
  <c r="Z16" i="7"/>
  <c r="AO16" i="7"/>
  <c r="L16" i="7"/>
  <c r="AA16" i="7"/>
  <c r="AP16" i="7"/>
  <c r="N16" i="7"/>
  <c r="AC16" i="7"/>
  <c r="AR16" i="7"/>
  <c r="O16" i="7"/>
  <c r="AD16" i="7"/>
  <c r="AS16" i="7"/>
  <c r="P16" i="7"/>
  <c r="AE16" i="7"/>
  <c r="AT16" i="7"/>
  <c r="Q16" i="7"/>
  <c r="AF16" i="7"/>
  <c r="AU16" i="7"/>
  <c r="R16" i="7"/>
  <c r="AG16" i="7"/>
  <c r="AV16" i="7"/>
  <c r="X16" i="8"/>
  <c r="I16" i="8"/>
  <c r="AM16" i="8"/>
  <c r="AN16" i="8"/>
  <c r="J16" i="8"/>
  <c r="Y16" i="8"/>
  <c r="AP16" i="8"/>
  <c r="L16" i="8"/>
  <c r="AA16" i="8"/>
  <c r="AC16" i="8"/>
  <c r="AR16" i="8"/>
  <c r="N16" i="8"/>
  <c r="P16" i="8"/>
  <c r="AE16" i="8"/>
  <c r="AT16" i="8"/>
  <c r="Q16" i="8"/>
  <c r="AF16" i="8"/>
  <c r="AU16" i="8"/>
  <c r="W16" i="8"/>
  <c r="H16" i="8"/>
  <c r="AL16" i="8"/>
  <c r="AO16" i="8"/>
  <c r="K16" i="8"/>
  <c r="Z16" i="8"/>
  <c r="M16" i="8"/>
  <c r="AB16" i="8"/>
  <c r="AQ16" i="8"/>
  <c r="O16" i="8"/>
  <c r="AD16" i="8"/>
  <c r="AS16" i="8"/>
  <c r="AV16" i="8"/>
  <c r="R16" i="8"/>
  <c r="AG16" i="8"/>
  <c r="M16" i="7"/>
  <c r="AB16" i="7"/>
  <c r="AQ16" i="7"/>
  <c r="U8" i="8"/>
  <c r="AI8" i="8"/>
  <c r="D9" i="8"/>
  <c r="V8" i="9"/>
  <c r="AJ8" i="9"/>
  <c r="D9" i="9"/>
  <c r="AI8" i="7"/>
  <c r="AI8" i="10"/>
  <c r="U8" i="10"/>
  <c r="V8" i="10" s="1"/>
  <c r="AK8" i="10" s="1"/>
  <c r="H18" i="10" l="1"/>
  <c r="W18" i="10"/>
  <c r="AL18" i="10"/>
  <c r="I18" i="10"/>
  <c r="X18" i="10"/>
  <c r="AM18" i="10"/>
  <c r="J18" i="10"/>
  <c r="Y18" i="10"/>
  <c r="AN18" i="10"/>
  <c r="K18" i="10"/>
  <c r="Z18" i="10"/>
  <c r="AO18" i="10"/>
  <c r="L18" i="10"/>
  <c r="AA18" i="10"/>
  <c r="AP18" i="10"/>
  <c r="M18" i="10"/>
  <c r="AB18" i="10"/>
  <c r="AQ18" i="10"/>
  <c r="N18" i="10"/>
  <c r="AC18" i="10"/>
  <c r="AR18" i="10"/>
  <c r="O18" i="10"/>
  <c r="AD18" i="10"/>
  <c r="AS18" i="10"/>
  <c r="P18" i="10"/>
  <c r="AE18" i="10"/>
  <c r="AT18" i="10"/>
  <c r="Q18" i="10"/>
  <c r="AF18" i="10"/>
  <c r="AU18" i="10"/>
  <c r="R18" i="10"/>
  <c r="AG18" i="10"/>
  <c r="AV18" i="10"/>
  <c r="AL18" i="9"/>
  <c r="H18" i="9"/>
  <c r="W18" i="9"/>
  <c r="AM18" i="9"/>
  <c r="I18" i="9"/>
  <c r="X18" i="9"/>
  <c r="J18" i="9"/>
  <c r="Y18" i="9"/>
  <c r="AN18" i="9"/>
  <c r="K18" i="9"/>
  <c r="AO18" i="9"/>
  <c r="Z18" i="9"/>
  <c r="L18" i="9"/>
  <c r="AP18" i="9"/>
  <c r="AA18" i="9"/>
  <c r="AB18" i="9"/>
  <c r="M18" i="9"/>
  <c r="AQ18" i="9"/>
  <c r="N18" i="9"/>
  <c r="AR18" i="9"/>
  <c r="AC18" i="9"/>
  <c r="AS18" i="9"/>
  <c r="AD18" i="9"/>
  <c r="O18" i="9"/>
  <c r="AT18" i="9"/>
  <c r="P18" i="9"/>
  <c r="AE18" i="9"/>
  <c r="AF18" i="9"/>
  <c r="Q18" i="9"/>
  <c r="AU18" i="9"/>
  <c r="AV18" i="9"/>
  <c r="AG18" i="9"/>
  <c r="R18" i="9"/>
  <c r="D9" i="7"/>
  <c r="H17" i="7"/>
  <c r="W17" i="7"/>
  <c r="AL17" i="7"/>
  <c r="I17" i="7"/>
  <c r="X17" i="7"/>
  <c r="AM17" i="7"/>
  <c r="J17" i="7"/>
  <c r="Y17" i="7"/>
  <c r="AN17" i="7"/>
  <c r="K17" i="7"/>
  <c r="Z17" i="7"/>
  <c r="AO17" i="7"/>
  <c r="L17" i="7"/>
  <c r="AA17" i="7"/>
  <c r="AP17" i="7"/>
  <c r="N17" i="7"/>
  <c r="AC17" i="7"/>
  <c r="AR17" i="7"/>
  <c r="O17" i="7"/>
  <c r="AD17" i="7"/>
  <c r="AS17" i="7"/>
  <c r="P17" i="7"/>
  <c r="AE17" i="7"/>
  <c r="AT17" i="7"/>
  <c r="Q17" i="7"/>
  <c r="AF17" i="7"/>
  <c r="AU17" i="7"/>
  <c r="R17" i="7"/>
  <c r="AG17" i="7"/>
  <c r="AV17" i="7"/>
  <c r="I17" i="8"/>
  <c r="AM17" i="8"/>
  <c r="X17" i="8"/>
  <c r="J17" i="8"/>
  <c r="Y17" i="8"/>
  <c r="AN17" i="8"/>
  <c r="L17" i="8"/>
  <c r="AA17" i="8"/>
  <c r="AP17" i="8"/>
  <c r="AC17" i="8"/>
  <c r="N17" i="8"/>
  <c r="AR17" i="8"/>
  <c r="P17" i="8"/>
  <c r="AE17" i="8"/>
  <c r="AT17" i="8"/>
  <c r="Q17" i="8"/>
  <c r="AF17" i="8"/>
  <c r="AU17" i="8"/>
  <c r="H17" i="8"/>
  <c r="W17" i="8"/>
  <c r="AL17" i="8"/>
  <c r="K17" i="8"/>
  <c r="Z17" i="8"/>
  <c r="AO17" i="8"/>
  <c r="M17" i="8"/>
  <c r="AB17" i="8"/>
  <c r="AQ17" i="8"/>
  <c r="O17" i="8"/>
  <c r="AD17" i="8"/>
  <c r="AS17" i="8"/>
  <c r="AG17" i="8"/>
  <c r="R17" i="8"/>
  <c r="AV17" i="8"/>
  <c r="M17" i="7"/>
  <c r="AB17" i="7"/>
  <c r="AQ17" i="7"/>
  <c r="V8" i="8"/>
  <c r="AJ8" i="8"/>
  <c r="E9" i="8"/>
  <c r="AY8" i="9"/>
  <c r="AK8" i="9"/>
  <c r="F9" i="9"/>
  <c r="E9" i="7"/>
  <c r="E9" i="10"/>
  <c r="AY8" i="10"/>
  <c r="AJ8" i="10"/>
  <c r="G9" i="10"/>
  <c r="AJ8" i="7"/>
  <c r="V8" i="7"/>
  <c r="AK8" i="8" l="1"/>
  <c r="AY8" i="8"/>
  <c r="H19" i="10"/>
  <c r="W19" i="10"/>
  <c r="AL19" i="10"/>
  <c r="I19" i="10"/>
  <c r="X19" i="10"/>
  <c r="AM19" i="10"/>
  <c r="J19" i="10"/>
  <c r="Y19" i="10"/>
  <c r="AN19" i="10"/>
  <c r="K19" i="10"/>
  <c r="Z19" i="10"/>
  <c r="AO19" i="10"/>
  <c r="L19" i="10"/>
  <c r="AA19" i="10"/>
  <c r="AP19" i="10"/>
  <c r="M19" i="10"/>
  <c r="AB19" i="10"/>
  <c r="AQ19" i="10"/>
  <c r="N19" i="10"/>
  <c r="AC19" i="10"/>
  <c r="AR19" i="10"/>
  <c r="O19" i="10"/>
  <c r="AD19" i="10"/>
  <c r="AS19" i="10"/>
  <c r="P19" i="10"/>
  <c r="AE19" i="10"/>
  <c r="AT19" i="10"/>
  <c r="Q19" i="10"/>
  <c r="AF19" i="10"/>
  <c r="AU19" i="10"/>
  <c r="R19" i="10"/>
  <c r="AG19" i="10"/>
  <c r="AV19" i="10"/>
  <c r="W19" i="9"/>
  <c r="AL19" i="9"/>
  <c r="H19" i="9"/>
  <c r="I19" i="9"/>
  <c r="AM19" i="9"/>
  <c r="X19" i="9"/>
  <c r="Y19" i="9"/>
  <c r="J19" i="9"/>
  <c r="AN19" i="9"/>
  <c r="K19" i="9"/>
  <c r="Z19" i="9"/>
  <c r="AO19" i="9"/>
  <c r="L19" i="9"/>
  <c r="AP19" i="9"/>
  <c r="AA19" i="9"/>
  <c r="AB19" i="9"/>
  <c r="AQ19" i="9"/>
  <c r="M19" i="9"/>
  <c r="N19" i="9"/>
  <c r="AC19" i="9"/>
  <c r="AR19" i="9"/>
  <c r="O19" i="9"/>
  <c r="AD19" i="9"/>
  <c r="AS19" i="9"/>
  <c r="P19" i="9"/>
  <c r="AT19" i="9"/>
  <c r="AE19" i="9"/>
  <c r="Q19" i="9"/>
  <c r="AU19" i="9"/>
  <c r="AF19" i="9"/>
  <c r="AV19" i="9"/>
  <c r="R19" i="9"/>
  <c r="AG19" i="9"/>
  <c r="H18" i="7"/>
  <c r="W18" i="7"/>
  <c r="AL18" i="7"/>
  <c r="I18" i="7"/>
  <c r="X18" i="7"/>
  <c r="AM18" i="7"/>
  <c r="J18" i="7"/>
  <c r="Y18" i="7"/>
  <c r="AN18" i="7"/>
  <c r="K18" i="7"/>
  <c r="Z18" i="7"/>
  <c r="AO18" i="7"/>
  <c r="L18" i="7"/>
  <c r="AA18" i="7"/>
  <c r="AP18" i="7"/>
  <c r="N18" i="7"/>
  <c r="AC18" i="7"/>
  <c r="AR18" i="7"/>
  <c r="O18" i="7"/>
  <c r="AD18" i="7"/>
  <c r="AS18" i="7"/>
  <c r="P18" i="7"/>
  <c r="AE18" i="7"/>
  <c r="AT18" i="7"/>
  <c r="Q18" i="7"/>
  <c r="AF18" i="7"/>
  <c r="AU18" i="7"/>
  <c r="R18" i="7"/>
  <c r="AG18" i="7"/>
  <c r="AV18" i="7"/>
  <c r="I18" i="8"/>
  <c r="X18" i="8"/>
  <c r="AM18" i="8"/>
  <c r="Y18" i="8"/>
  <c r="J18" i="8"/>
  <c r="AN18" i="8"/>
  <c r="AA18" i="8"/>
  <c r="L18" i="8"/>
  <c r="AP18" i="8"/>
  <c r="N18" i="8"/>
  <c r="AR18" i="8"/>
  <c r="AC18" i="8"/>
  <c r="P18" i="8"/>
  <c r="AE18" i="8"/>
  <c r="AT18" i="8"/>
  <c r="Q18" i="8"/>
  <c r="AF18" i="8"/>
  <c r="AU18" i="8"/>
  <c r="H18" i="8"/>
  <c r="W18" i="8"/>
  <c r="AL18" i="8"/>
  <c r="K18" i="8"/>
  <c r="Z18" i="8"/>
  <c r="AO18" i="8"/>
  <c r="M18" i="8"/>
  <c r="AB18" i="8"/>
  <c r="AQ18" i="8"/>
  <c r="O18" i="8"/>
  <c r="AS18" i="8"/>
  <c r="AD18" i="8"/>
  <c r="R18" i="8"/>
  <c r="AG18" i="8"/>
  <c r="AV18" i="8"/>
  <c r="M18" i="7"/>
  <c r="AB18" i="7"/>
  <c r="AQ18" i="7"/>
  <c r="G9" i="8"/>
  <c r="AW8" i="8"/>
  <c r="AX9" i="8"/>
  <c r="F9" i="8"/>
  <c r="AX9" i="9"/>
  <c r="AW8" i="9"/>
  <c r="G9" i="9"/>
  <c r="AX9" i="10"/>
  <c r="AW8" i="10"/>
  <c r="F9" i="10"/>
  <c r="F9" i="7"/>
  <c r="AY8" i="7"/>
  <c r="AK8" i="7"/>
  <c r="H20" i="10" l="1"/>
  <c r="W20" i="10"/>
  <c r="AL20" i="10"/>
  <c r="I20" i="10"/>
  <c r="X20" i="10"/>
  <c r="AM20" i="10"/>
  <c r="J20" i="10"/>
  <c r="Y20" i="10"/>
  <c r="AN20" i="10"/>
  <c r="K20" i="10"/>
  <c r="Z20" i="10"/>
  <c r="AO20" i="10"/>
  <c r="L20" i="10"/>
  <c r="AA20" i="10"/>
  <c r="AP20" i="10"/>
  <c r="M20" i="10"/>
  <c r="AB20" i="10"/>
  <c r="AQ20" i="10"/>
  <c r="N20" i="10"/>
  <c r="AC20" i="10"/>
  <c r="AR20" i="10"/>
  <c r="O20" i="10"/>
  <c r="AD20" i="10"/>
  <c r="AS20" i="10"/>
  <c r="P20" i="10"/>
  <c r="AE20" i="10"/>
  <c r="AT20" i="10"/>
  <c r="Q20" i="10"/>
  <c r="AF20" i="10"/>
  <c r="AU20" i="10"/>
  <c r="R20" i="10"/>
  <c r="AG20" i="10"/>
  <c r="AV20" i="10"/>
  <c r="H20" i="9"/>
  <c r="W20" i="9"/>
  <c r="AL20" i="9"/>
  <c r="X20" i="9"/>
  <c r="AM20" i="9"/>
  <c r="I20" i="9"/>
  <c r="AN20" i="9"/>
  <c r="J20" i="9"/>
  <c r="Y20" i="9"/>
  <c r="K20" i="9"/>
  <c r="Z20" i="9"/>
  <c r="AO20" i="9"/>
  <c r="L20" i="9"/>
  <c r="AA20" i="9"/>
  <c r="AP20" i="9"/>
  <c r="AB20" i="9"/>
  <c r="M20" i="9"/>
  <c r="AQ20" i="9"/>
  <c r="AR20" i="9"/>
  <c r="N20" i="9"/>
  <c r="AC20" i="9"/>
  <c r="O20" i="9"/>
  <c r="AD20" i="9"/>
  <c r="AS20" i="9"/>
  <c r="AT20" i="9"/>
  <c r="P20" i="9"/>
  <c r="AE20" i="9"/>
  <c r="Q20" i="9"/>
  <c r="AU20" i="9"/>
  <c r="AF20" i="9"/>
  <c r="AV20" i="9"/>
  <c r="R20" i="9"/>
  <c r="AG20" i="9"/>
  <c r="H19" i="7"/>
  <c r="W19" i="7"/>
  <c r="AL19" i="7"/>
  <c r="I19" i="7"/>
  <c r="X19" i="7"/>
  <c r="AM19" i="7"/>
  <c r="J19" i="7"/>
  <c r="Y19" i="7"/>
  <c r="AN19" i="7"/>
  <c r="K19" i="7"/>
  <c r="Z19" i="7"/>
  <c r="AO19" i="7"/>
  <c r="L19" i="7"/>
  <c r="AA19" i="7"/>
  <c r="AP19" i="7"/>
  <c r="N19" i="7"/>
  <c r="AC19" i="7"/>
  <c r="AR19" i="7"/>
  <c r="O19" i="7"/>
  <c r="AD19" i="7"/>
  <c r="AS19" i="7"/>
  <c r="P19" i="7"/>
  <c r="AE19" i="7"/>
  <c r="AT19" i="7"/>
  <c r="Q19" i="7"/>
  <c r="AF19" i="7"/>
  <c r="AU19" i="7"/>
  <c r="R19" i="7"/>
  <c r="AG19" i="7"/>
  <c r="AV19" i="7"/>
  <c r="I19" i="8"/>
  <c r="X19" i="8"/>
  <c r="AM19" i="8"/>
  <c r="J19" i="8"/>
  <c r="Y19" i="8"/>
  <c r="AN19" i="8"/>
  <c r="L19" i="8"/>
  <c r="AP19" i="8"/>
  <c r="AA19" i="8"/>
  <c r="N19" i="8"/>
  <c r="AR19" i="8"/>
  <c r="AC19" i="8"/>
  <c r="P19" i="8"/>
  <c r="AE19" i="8"/>
  <c r="AT19" i="8"/>
  <c r="Q19" i="8"/>
  <c r="AF19" i="8"/>
  <c r="AU19" i="8"/>
  <c r="AL19" i="8"/>
  <c r="H19" i="8"/>
  <c r="W19" i="8"/>
  <c r="K19" i="8"/>
  <c r="Z19" i="8"/>
  <c r="AO19" i="8"/>
  <c r="M19" i="8"/>
  <c r="AQ19" i="8"/>
  <c r="AB19" i="8"/>
  <c r="O19" i="8"/>
  <c r="AD19" i="8"/>
  <c r="AS19" i="8"/>
  <c r="AG19" i="8"/>
  <c r="AV19" i="8"/>
  <c r="R19" i="8"/>
  <c r="M19" i="7"/>
  <c r="AB19" i="7"/>
  <c r="AQ19" i="7"/>
  <c r="C9" i="8"/>
  <c r="C9" i="9"/>
  <c r="C9" i="10"/>
  <c r="AW8" i="7"/>
  <c r="AX9" i="7"/>
  <c r="G9" i="7"/>
  <c r="C9" i="7" s="1"/>
  <c r="H21" i="10" l="1"/>
  <c r="W21" i="10"/>
  <c r="AL21" i="10"/>
  <c r="I21" i="10"/>
  <c r="X21" i="10"/>
  <c r="AM21" i="10"/>
  <c r="J21" i="10"/>
  <c r="Y21" i="10"/>
  <c r="AN21" i="10"/>
  <c r="K21" i="10"/>
  <c r="Z21" i="10"/>
  <c r="AO21" i="10"/>
  <c r="L21" i="10"/>
  <c r="AA21" i="10"/>
  <c r="AP21" i="10"/>
  <c r="M21" i="10"/>
  <c r="AB21" i="10"/>
  <c r="AQ21" i="10"/>
  <c r="N21" i="10"/>
  <c r="AC21" i="10"/>
  <c r="AR21" i="10"/>
  <c r="O21" i="10"/>
  <c r="AD21" i="10"/>
  <c r="AS21" i="10"/>
  <c r="P21" i="10"/>
  <c r="AE21" i="10"/>
  <c r="AT21" i="10"/>
  <c r="Q21" i="10"/>
  <c r="AF21" i="10"/>
  <c r="AU21" i="10"/>
  <c r="R21" i="10"/>
  <c r="AG21" i="10"/>
  <c r="AV21" i="10"/>
  <c r="H21" i="9"/>
  <c r="W21" i="9"/>
  <c r="AL21" i="9"/>
  <c r="X21" i="9"/>
  <c r="I21" i="9"/>
  <c r="AM21" i="9"/>
  <c r="J21" i="9"/>
  <c r="Y21" i="9"/>
  <c r="AN21" i="9"/>
  <c r="K21" i="9"/>
  <c r="AO21" i="9"/>
  <c r="Z21" i="9"/>
  <c r="L21" i="9"/>
  <c r="AA21" i="9"/>
  <c r="AP21" i="9"/>
  <c r="M21" i="9"/>
  <c r="AQ21" i="9"/>
  <c r="AB21" i="9"/>
  <c r="AC21" i="9"/>
  <c r="N21" i="9"/>
  <c r="AR21" i="9"/>
  <c r="O21" i="9"/>
  <c r="AS21" i="9"/>
  <c r="AD21" i="9"/>
  <c r="AT21" i="9"/>
  <c r="P21" i="9"/>
  <c r="AE21" i="9"/>
  <c r="Q21" i="9"/>
  <c r="AF21" i="9"/>
  <c r="AU21" i="9"/>
  <c r="R21" i="9"/>
  <c r="AG21" i="9"/>
  <c r="AV21" i="9"/>
  <c r="H20" i="7"/>
  <c r="W20" i="7"/>
  <c r="AL20" i="7"/>
  <c r="I20" i="7"/>
  <c r="X20" i="7"/>
  <c r="AM20" i="7"/>
  <c r="J20" i="7"/>
  <c r="Y20" i="7"/>
  <c r="AN20" i="7"/>
  <c r="K20" i="7"/>
  <c r="Z20" i="7"/>
  <c r="AO20" i="7"/>
  <c r="L20" i="7"/>
  <c r="AA20" i="7"/>
  <c r="AP20" i="7"/>
  <c r="N20" i="7"/>
  <c r="AC20" i="7"/>
  <c r="AR20" i="7"/>
  <c r="O20" i="7"/>
  <c r="AD20" i="7"/>
  <c r="AS20" i="7"/>
  <c r="P20" i="7"/>
  <c r="AE20" i="7"/>
  <c r="AT20" i="7"/>
  <c r="Q20" i="7"/>
  <c r="AF20" i="7"/>
  <c r="AU20" i="7"/>
  <c r="R20" i="7"/>
  <c r="AG20" i="7"/>
  <c r="AV20" i="7"/>
  <c r="I20" i="8"/>
  <c r="AM20" i="8"/>
  <c r="X20" i="8"/>
  <c r="J20" i="8"/>
  <c r="AN20" i="8"/>
  <c r="Y20" i="8"/>
  <c r="L20" i="8"/>
  <c r="AA20" i="8"/>
  <c r="AP20" i="8"/>
  <c r="AC20" i="8"/>
  <c r="N20" i="8"/>
  <c r="AR20" i="8"/>
  <c r="AE20" i="8"/>
  <c r="P20" i="8"/>
  <c r="AT20" i="8"/>
  <c r="AF20" i="8"/>
  <c r="Q20" i="8"/>
  <c r="AU20" i="8"/>
  <c r="W20" i="8"/>
  <c r="H20" i="8"/>
  <c r="AL20" i="8"/>
  <c r="AO20" i="8"/>
  <c r="K20" i="8"/>
  <c r="Z20" i="8"/>
  <c r="AB20" i="8"/>
  <c r="AQ20" i="8"/>
  <c r="M20" i="8"/>
  <c r="O20" i="8"/>
  <c r="AD20" i="8"/>
  <c r="AS20" i="8"/>
  <c r="R20" i="8"/>
  <c r="AG20" i="8"/>
  <c r="AV20" i="8"/>
  <c r="M20" i="7"/>
  <c r="AB20" i="7"/>
  <c r="AQ20" i="7"/>
  <c r="S9" i="8"/>
  <c r="S9" i="9"/>
  <c r="S9" i="10"/>
  <c r="S9" i="7"/>
  <c r="T9" i="7" s="1"/>
  <c r="H22" i="10" l="1"/>
  <c r="W22" i="10"/>
  <c r="AL22" i="10"/>
  <c r="I22" i="10"/>
  <c r="X22" i="10"/>
  <c r="AM22" i="10"/>
  <c r="J22" i="10"/>
  <c r="Y22" i="10"/>
  <c r="AN22" i="10"/>
  <c r="K22" i="10"/>
  <c r="Z22" i="10"/>
  <c r="AO22" i="10"/>
  <c r="L22" i="10"/>
  <c r="AA22" i="10"/>
  <c r="AP22" i="10"/>
  <c r="M22" i="10"/>
  <c r="AB22" i="10"/>
  <c r="AQ22" i="10"/>
  <c r="N22" i="10"/>
  <c r="AC22" i="10"/>
  <c r="AR22" i="10"/>
  <c r="O22" i="10"/>
  <c r="AD22" i="10"/>
  <c r="AS22" i="10"/>
  <c r="P22" i="10"/>
  <c r="AE22" i="10"/>
  <c r="AT22" i="10"/>
  <c r="Q22" i="10"/>
  <c r="AF22" i="10"/>
  <c r="AU22" i="10"/>
  <c r="R22" i="10"/>
  <c r="AG22" i="10"/>
  <c r="AV22" i="10"/>
  <c r="W22" i="9"/>
  <c r="H22" i="9"/>
  <c r="AL22" i="9"/>
  <c r="I22" i="9"/>
  <c r="AM22" i="9"/>
  <c r="X22" i="9"/>
  <c r="J22" i="9"/>
  <c r="Y22" i="9"/>
  <c r="AN22" i="9"/>
  <c r="K22" i="9"/>
  <c r="Z22" i="9"/>
  <c r="AO22" i="9"/>
  <c r="L22" i="9"/>
  <c r="AA22" i="9"/>
  <c r="AP22" i="9"/>
  <c r="M22" i="9"/>
  <c r="AB22" i="9"/>
  <c r="AQ22" i="9"/>
  <c r="N22" i="9"/>
  <c r="AC22" i="9"/>
  <c r="AR22" i="9"/>
  <c r="O22" i="9"/>
  <c r="AS22" i="9"/>
  <c r="AD22" i="9"/>
  <c r="P22" i="9"/>
  <c r="AT22" i="9"/>
  <c r="AE22" i="9"/>
  <c r="AU22" i="9"/>
  <c r="Q22" i="9"/>
  <c r="AF22" i="9"/>
  <c r="R22" i="9"/>
  <c r="AG22" i="9"/>
  <c r="AV22" i="9"/>
  <c r="H21" i="7"/>
  <c r="W21" i="7"/>
  <c r="AL21" i="7"/>
  <c r="I21" i="7"/>
  <c r="X21" i="7"/>
  <c r="AM21" i="7"/>
  <c r="J21" i="7"/>
  <c r="Y21" i="7"/>
  <c r="AN21" i="7"/>
  <c r="K21" i="7"/>
  <c r="Z21" i="7"/>
  <c r="AO21" i="7"/>
  <c r="L21" i="7"/>
  <c r="AA21" i="7"/>
  <c r="AP21" i="7"/>
  <c r="N21" i="7"/>
  <c r="AC21" i="7"/>
  <c r="AR21" i="7"/>
  <c r="O21" i="7"/>
  <c r="AD21" i="7"/>
  <c r="AS21" i="7"/>
  <c r="P21" i="7"/>
  <c r="AE21" i="7"/>
  <c r="AT21" i="7"/>
  <c r="Q21" i="7"/>
  <c r="AF21" i="7"/>
  <c r="AU21" i="7"/>
  <c r="R21" i="7"/>
  <c r="AG21" i="7"/>
  <c r="AV21" i="7"/>
  <c r="I21" i="8"/>
  <c r="X21" i="8"/>
  <c r="AM21" i="8"/>
  <c r="AN21" i="8"/>
  <c r="J21" i="8"/>
  <c r="Y21" i="8"/>
  <c r="AA21" i="8"/>
  <c r="AP21" i="8"/>
  <c r="L21" i="8"/>
  <c r="N21" i="8"/>
  <c r="AR21" i="8"/>
  <c r="AC21" i="8"/>
  <c r="AE21" i="8"/>
  <c r="AT21" i="8"/>
  <c r="P21" i="8"/>
  <c r="Q21" i="8"/>
  <c r="AF21" i="8"/>
  <c r="AU21" i="8"/>
  <c r="W21" i="8"/>
  <c r="AL21" i="8"/>
  <c r="H21" i="8"/>
  <c r="AO21" i="8"/>
  <c r="K21" i="8"/>
  <c r="Z21" i="8"/>
  <c r="M21" i="8"/>
  <c r="AB21" i="8"/>
  <c r="AQ21" i="8"/>
  <c r="O21" i="8"/>
  <c r="AS21" i="8"/>
  <c r="AD21" i="8"/>
  <c r="R21" i="8"/>
  <c r="AV21" i="8"/>
  <c r="AG21" i="8"/>
  <c r="M21" i="7"/>
  <c r="AB21" i="7"/>
  <c r="AQ21" i="7"/>
  <c r="AH9" i="8"/>
  <c r="AH9" i="9"/>
  <c r="AH9" i="10"/>
  <c r="AH9" i="7"/>
  <c r="T9" i="8"/>
  <c r="T9" i="9"/>
  <c r="T9" i="10"/>
  <c r="AI9" i="7"/>
  <c r="U9" i="7"/>
  <c r="H23" i="10" l="1"/>
  <c r="W23" i="10"/>
  <c r="AL23" i="10"/>
  <c r="I23" i="10"/>
  <c r="X23" i="10"/>
  <c r="AM23" i="10"/>
  <c r="J23" i="10"/>
  <c r="Y23" i="10"/>
  <c r="AN23" i="10"/>
  <c r="K23" i="10"/>
  <c r="Z23" i="10"/>
  <c r="AO23" i="10"/>
  <c r="L23" i="10"/>
  <c r="AA23" i="10"/>
  <c r="AP23" i="10"/>
  <c r="M23" i="10"/>
  <c r="AB23" i="10"/>
  <c r="AQ23" i="10"/>
  <c r="N23" i="10"/>
  <c r="AC23" i="10"/>
  <c r="AR23" i="10"/>
  <c r="O23" i="10"/>
  <c r="AD23" i="10"/>
  <c r="AS23" i="10"/>
  <c r="P23" i="10"/>
  <c r="AE23" i="10"/>
  <c r="AT23" i="10"/>
  <c r="Q23" i="10"/>
  <c r="AF23" i="10"/>
  <c r="AU23" i="10"/>
  <c r="R23" i="10"/>
  <c r="AG23" i="10"/>
  <c r="AV23" i="10"/>
  <c r="H23" i="9"/>
  <c r="W23" i="9"/>
  <c r="AL23" i="9"/>
  <c r="I23" i="9"/>
  <c r="X23" i="9"/>
  <c r="AM23" i="9"/>
  <c r="J23" i="9"/>
  <c r="Y23" i="9"/>
  <c r="AN23" i="9"/>
  <c r="Z23" i="9"/>
  <c r="K23" i="9"/>
  <c r="AO23" i="9"/>
  <c r="AA23" i="9"/>
  <c r="AP23" i="9"/>
  <c r="L23" i="9"/>
  <c r="M23" i="9"/>
  <c r="AB23" i="9"/>
  <c r="AQ23" i="9"/>
  <c r="N23" i="9"/>
  <c r="AC23" i="9"/>
  <c r="AR23" i="9"/>
  <c r="AS23" i="9"/>
  <c r="O23" i="9"/>
  <c r="AD23" i="9"/>
  <c r="P23" i="9"/>
  <c r="AE23" i="9"/>
  <c r="AT23" i="9"/>
  <c r="Q23" i="9"/>
  <c r="AF23" i="9"/>
  <c r="AU23" i="9"/>
  <c r="AV23" i="9"/>
  <c r="R23" i="9"/>
  <c r="AG23" i="9"/>
  <c r="H22" i="7"/>
  <c r="W22" i="7"/>
  <c r="AL22" i="7"/>
  <c r="I22" i="7"/>
  <c r="X22" i="7"/>
  <c r="AM22" i="7"/>
  <c r="J22" i="7"/>
  <c r="Y22" i="7"/>
  <c r="AN22" i="7"/>
  <c r="K22" i="7"/>
  <c r="Z22" i="7"/>
  <c r="AO22" i="7"/>
  <c r="L22" i="7"/>
  <c r="AA22" i="7"/>
  <c r="AP22" i="7"/>
  <c r="N22" i="7"/>
  <c r="AC22" i="7"/>
  <c r="AR22" i="7"/>
  <c r="O22" i="7"/>
  <c r="AD22" i="7"/>
  <c r="AS22" i="7"/>
  <c r="P22" i="7"/>
  <c r="AE22" i="7"/>
  <c r="AT22" i="7"/>
  <c r="Q22" i="7"/>
  <c r="AF22" i="7"/>
  <c r="AU22" i="7"/>
  <c r="R22" i="7"/>
  <c r="AG22" i="7"/>
  <c r="AV22" i="7"/>
  <c r="X22" i="8"/>
  <c r="AM22" i="8"/>
  <c r="I22" i="8"/>
  <c r="J22" i="8"/>
  <c r="Y22" i="8"/>
  <c r="AN22" i="8"/>
  <c r="L22" i="8"/>
  <c r="AA22" i="8"/>
  <c r="AP22" i="8"/>
  <c r="AC22" i="8"/>
  <c r="N22" i="8"/>
  <c r="AR22" i="8"/>
  <c r="P22" i="8"/>
  <c r="AE22" i="8"/>
  <c r="AT22" i="8"/>
  <c r="Q22" i="8"/>
  <c r="AF22" i="8"/>
  <c r="AU22" i="8"/>
  <c r="H22" i="8"/>
  <c r="W22" i="8"/>
  <c r="AL22" i="8"/>
  <c r="K22" i="8"/>
  <c r="Z22" i="8"/>
  <c r="AO22" i="8"/>
  <c r="M22" i="8"/>
  <c r="AB22" i="8"/>
  <c r="AQ22" i="8"/>
  <c r="O22" i="8"/>
  <c r="AD22" i="8"/>
  <c r="AS22" i="8"/>
  <c r="R22" i="8"/>
  <c r="AV22" i="8"/>
  <c r="AG22" i="8"/>
  <c r="M22" i="7"/>
  <c r="AB22" i="7"/>
  <c r="AQ22" i="7"/>
  <c r="S10" i="8"/>
  <c r="D10" i="8"/>
  <c r="AH10" i="8"/>
  <c r="D10" i="9"/>
  <c r="D10" i="10"/>
  <c r="D10" i="7"/>
  <c r="E10" i="7"/>
  <c r="AI9" i="8"/>
  <c r="U9" i="8"/>
  <c r="AI9" i="9"/>
  <c r="U9" i="9"/>
  <c r="AI9" i="10"/>
  <c r="U9" i="10"/>
  <c r="AJ9" i="7"/>
  <c r="V9" i="7"/>
  <c r="AJ9" i="8" l="1"/>
  <c r="V9" i="8"/>
  <c r="H24" i="10"/>
  <c r="W24" i="10"/>
  <c r="AL24" i="10"/>
  <c r="I24" i="10"/>
  <c r="X24" i="10"/>
  <c r="AM24" i="10"/>
  <c r="J24" i="10"/>
  <c r="Y24" i="10"/>
  <c r="AN24" i="10"/>
  <c r="K24" i="10"/>
  <c r="Z24" i="10"/>
  <c r="AO24" i="10"/>
  <c r="L24" i="10"/>
  <c r="AA24" i="10"/>
  <c r="AP24" i="10"/>
  <c r="M24" i="10"/>
  <c r="AB24" i="10"/>
  <c r="AQ24" i="10"/>
  <c r="N24" i="10"/>
  <c r="AC24" i="10"/>
  <c r="AR24" i="10"/>
  <c r="O24" i="10"/>
  <c r="AD24" i="10"/>
  <c r="AS24" i="10"/>
  <c r="P24" i="10"/>
  <c r="AE24" i="10"/>
  <c r="AT24" i="10"/>
  <c r="Q24" i="10"/>
  <c r="AF24" i="10"/>
  <c r="AU24" i="10"/>
  <c r="R24" i="10"/>
  <c r="AG24" i="10"/>
  <c r="AV24" i="10"/>
  <c r="H24" i="9"/>
  <c r="W24" i="9"/>
  <c r="AL24" i="9"/>
  <c r="X24" i="9"/>
  <c r="AM24" i="9"/>
  <c r="I24" i="9"/>
  <c r="Y24" i="9"/>
  <c r="AN24" i="9"/>
  <c r="J24" i="9"/>
  <c r="Z24" i="9"/>
  <c r="K24" i="9"/>
  <c r="AO24" i="9"/>
  <c r="AP24" i="9"/>
  <c r="L24" i="9"/>
  <c r="AA24" i="9"/>
  <c r="M24" i="9"/>
  <c r="AB24" i="9"/>
  <c r="AQ24" i="9"/>
  <c r="AC24" i="9"/>
  <c r="AR24" i="9"/>
  <c r="N24" i="9"/>
  <c r="O24" i="9"/>
  <c r="AD24" i="9"/>
  <c r="AS24" i="9"/>
  <c r="P24" i="9"/>
  <c r="AE24" i="9"/>
  <c r="AT24" i="9"/>
  <c r="Q24" i="9"/>
  <c r="AF24" i="9"/>
  <c r="AU24" i="9"/>
  <c r="R24" i="9"/>
  <c r="AG24" i="9"/>
  <c r="AV24" i="9"/>
  <c r="H23" i="7"/>
  <c r="W23" i="7"/>
  <c r="AL23" i="7"/>
  <c r="I23" i="7"/>
  <c r="X23" i="7"/>
  <c r="AM23" i="7"/>
  <c r="J23" i="7"/>
  <c r="Y23" i="7"/>
  <c r="AN23" i="7"/>
  <c r="K23" i="7"/>
  <c r="Z23" i="7"/>
  <c r="AO23" i="7"/>
  <c r="L23" i="7"/>
  <c r="AA23" i="7"/>
  <c r="AP23" i="7"/>
  <c r="N23" i="7"/>
  <c r="AC23" i="7"/>
  <c r="AR23" i="7"/>
  <c r="O23" i="7"/>
  <c r="AD23" i="7"/>
  <c r="AS23" i="7"/>
  <c r="P23" i="7"/>
  <c r="AE23" i="7"/>
  <c r="AT23" i="7"/>
  <c r="Q23" i="7"/>
  <c r="AF23" i="7"/>
  <c r="AU23" i="7"/>
  <c r="R23" i="7"/>
  <c r="AG23" i="7"/>
  <c r="AV23" i="7"/>
  <c r="I23" i="8"/>
  <c r="X23" i="8"/>
  <c r="AM23" i="8"/>
  <c r="J23" i="8"/>
  <c r="Y23" i="8"/>
  <c r="AN23" i="8"/>
  <c r="L23" i="8"/>
  <c r="AA23" i="8"/>
  <c r="AP23" i="8"/>
  <c r="AC23" i="8"/>
  <c r="AR23" i="8"/>
  <c r="N23" i="8"/>
  <c r="AE23" i="8"/>
  <c r="P23" i="8"/>
  <c r="AT23" i="8"/>
  <c r="AF23" i="8"/>
  <c r="Q23" i="8"/>
  <c r="AU23" i="8"/>
  <c r="H23" i="8"/>
  <c r="W23" i="8"/>
  <c r="AL23" i="8"/>
  <c r="K23" i="8"/>
  <c r="Z23" i="8"/>
  <c r="AO23" i="8"/>
  <c r="M23" i="8"/>
  <c r="AB23" i="8"/>
  <c r="AQ23" i="8"/>
  <c r="AD23" i="8"/>
  <c r="O23" i="8"/>
  <c r="AS23" i="8"/>
  <c r="R23" i="8"/>
  <c r="AG23" i="8"/>
  <c r="AV23" i="8"/>
  <c r="M23" i="7"/>
  <c r="AB23" i="7"/>
  <c r="AQ23" i="7"/>
  <c r="AH11" i="8"/>
  <c r="D11" i="8"/>
  <c r="S11" i="8"/>
  <c r="E10" i="8"/>
  <c r="F10" i="8"/>
  <c r="E10" i="9"/>
  <c r="E10" i="10"/>
  <c r="F10" i="7"/>
  <c r="AJ9" i="9"/>
  <c r="V9" i="9"/>
  <c r="AJ9" i="10"/>
  <c r="V9" i="10"/>
  <c r="AK9" i="7"/>
  <c r="AY9" i="7"/>
  <c r="AK9" i="8" l="1"/>
  <c r="G10" i="8" s="1"/>
  <c r="C10" i="8" s="1"/>
  <c r="AY9" i="8"/>
  <c r="H25" i="10"/>
  <c r="W25" i="10"/>
  <c r="AL25" i="10"/>
  <c r="I25" i="10"/>
  <c r="X25" i="10"/>
  <c r="AM25" i="10"/>
  <c r="J25" i="10"/>
  <c r="Y25" i="10"/>
  <c r="AN25" i="10"/>
  <c r="K25" i="10"/>
  <c r="Z25" i="10"/>
  <c r="AO25" i="10"/>
  <c r="L25" i="10"/>
  <c r="AA25" i="10"/>
  <c r="AP25" i="10"/>
  <c r="M25" i="10"/>
  <c r="AB25" i="10"/>
  <c r="AQ25" i="10"/>
  <c r="N25" i="10"/>
  <c r="AC25" i="10"/>
  <c r="AR25" i="10"/>
  <c r="O25" i="10"/>
  <c r="AD25" i="10"/>
  <c r="AS25" i="10"/>
  <c r="P25" i="10"/>
  <c r="AE25" i="10"/>
  <c r="AT25" i="10"/>
  <c r="Q25" i="10"/>
  <c r="AF25" i="10"/>
  <c r="AU25" i="10"/>
  <c r="R25" i="10"/>
  <c r="AG25" i="10"/>
  <c r="AV25" i="10"/>
  <c r="W25" i="9"/>
  <c r="H25" i="9"/>
  <c r="AL25" i="9"/>
  <c r="AM25" i="9"/>
  <c r="I25" i="9"/>
  <c r="X25" i="9"/>
  <c r="J25" i="9"/>
  <c r="Y25" i="9"/>
  <c r="AN25" i="9"/>
  <c r="K25" i="9"/>
  <c r="Z25" i="9"/>
  <c r="AO25" i="9"/>
  <c r="L25" i="9"/>
  <c r="AA25" i="9"/>
  <c r="AP25" i="9"/>
  <c r="AB25" i="9"/>
  <c r="AQ25" i="9"/>
  <c r="M25" i="9"/>
  <c r="N25" i="9"/>
  <c r="AR25" i="9"/>
  <c r="AC25" i="9"/>
  <c r="O25" i="9"/>
  <c r="AS25" i="9"/>
  <c r="AD25" i="9"/>
  <c r="P25" i="9"/>
  <c r="AE25" i="9"/>
  <c r="AT25" i="9"/>
  <c r="AF25" i="9"/>
  <c r="Q25" i="9"/>
  <c r="AU25" i="9"/>
  <c r="R25" i="9"/>
  <c r="AG25" i="9"/>
  <c r="AV25" i="9"/>
  <c r="H24" i="7"/>
  <c r="W24" i="7"/>
  <c r="AL24" i="7"/>
  <c r="I24" i="7"/>
  <c r="X24" i="7"/>
  <c r="AM24" i="7"/>
  <c r="J24" i="7"/>
  <c r="Y24" i="7"/>
  <c r="AN24" i="7"/>
  <c r="K24" i="7"/>
  <c r="Z24" i="7"/>
  <c r="AO24" i="7"/>
  <c r="L24" i="7"/>
  <c r="AA24" i="7"/>
  <c r="AP24" i="7"/>
  <c r="N24" i="7"/>
  <c r="AC24" i="7"/>
  <c r="AR24" i="7"/>
  <c r="O24" i="7"/>
  <c r="AD24" i="7"/>
  <c r="AS24" i="7"/>
  <c r="P24" i="7"/>
  <c r="AE24" i="7"/>
  <c r="AT24" i="7"/>
  <c r="Q24" i="7"/>
  <c r="AF24" i="7"/>
  <c r="AU24" i="7"/>
  <c r="R24" i="7"/>
  <c r="AG24" i="7"/>
  <c r="AV24" i="7"/>
  <c r="X24" i="8"/>
  <c r="I24" i="8"/>
  <c r="AM24" i="8"/>
  <c r="Y24" i="8"/>
  <c r="J24" i="8"/>
  <c r="AN24" i="8"/>
  <c r="L24" i="8"/>
  <c r="AA24" i="8"/>
  <c r="AP24" i="8"/>
  <c r="AR24" i="8"/>
  <c r="N24" i="8"/>
  <c r="AC24" i="8"/>
  <c r="P24" i="8"/>
  <c r="AE24" i="8"/>
  <c r="AT24" i="8"/>
  <c r="Q24" i="8"/>
  <c r="AF24" i="8"/>
  <c r="AU24" i="8"/>
  <c r="H24" i="8"/>
  <c r="W24" i="8"/>
  <c r="AL24" i="8"/>
  <c r="K24" i="8"/>
  <c r="Z24" i="8"/>
  <c r="AO24" i="8"/>
  <c r="AQ24" i="8"/>
  <c r="M24" i="8"/>
  <c r="AB24" i="8"/>
  <c r="O24" i="8"/>
  <c r="AD24" i="8"/>
  <c r="AS24" i="8"/>
  <c r="AG24" i="8"/>
  <c r="R24" i="8"/>
  <c r="AV24" i="8"/>
  <c r="M24" i="7"/>
  <c r="AB24" i="7"/>
  <c r="AQ24" i="7"/>
  <c r="S12" i="8"/>
  <c r="D12" i="8"/>
  <c r="AH12" i="8"/>
  <c r="F10" i="9"/>
  <c r="F10" i="10"/>
  <c r="G10" i="7"/>
  <c r="AW9" i="7"/>
  <c r="X6" i="2" s="1"/>
  <c r="AX10" i="7"/>
  <c r="C10" i="7"/>
  <c r="AK9" i="9"/>
  <c r="AY9" i="9"/>
  <c r="AK9" i="10"/>
  <c r="AY9" i="10"/>
  <c r="AW9" i="8" l="1"/>
  <c r="W6" i="2" s="1"/>
  <c r="AX10" i="8"/>
  <c r="T10" i="8"/>
  <c r="AX10" i="9"/>
  <c r="AW9" i="9"/>
  <c r="AX10" i="10"/>
  <c r="AW9" i="10"/>
  <c r="H26" i="10"/>
  <c r="W26" i="10"/>
  <c r="AL26" i="10"/>
  <c r="I26" i="10"/>
  <c r="X26" i="10"/>
  <c r="AM26" i="10"/>
  <c r="J26" i="10"/>
  <c r="Y26" i="10"/>
  <c r="AN26" i="10"/>
  <c r="K26" i="10"/>
  <c r="Z26" i="10"/>
  <c r="AO26" i="10"/>
  <c r="L26" i="10"/>
  <c r="AA26" i="10"/>
  <c r="AP26" i="10"/>
  <c r="M26" i="10"/>
  <c r="AB26" i="10"/>
  <c r="AQ26" i="10"/>
  <c r="N26" i="10"/>
  <c r="AC26" i="10"/>
  <c r="AR26" i="10"/>
  <c r="O26" i="10"/>
  <c r="AD26" i="10"/>
  <c r="AS26" i="10"/>
  <c r="P26" i="10"/>
  <c r="AE26" i="10"/>
  <c r="AT26" i="10"/>
  <c r="Q26" i="10"/>
  <c r="AF26" i="10"/>
  <c r="AU26" i="10"/>
  <c r="R26" i="10"/>
  <c r="AG26" i="10"/>
  <c r="AV26" i="10"/>
  <c r="H26" i="9"/>
  <c r="W26" i="9"/>
  <c r="AL26" i="9"/>
  <c r="I26" i="9"/>
  <c r="X26" i="9"/>
  <c r="AM26" i="9"/>
  <c r="Y26" i="9"/>
  <c r="J26" i="9"/>
  <c r="AN26" i="9"/>
  <c r="Z26" i="9"/>
  <c r="K26" i="9"/>
  <c r="AO26" i="9"/>
  <c r="L26" i="9"/>
  <c r="AA26" i="9"/>
  <c r="AP26" i="9"/>
  <c r="M26" i="9"/>
  <c r="AB26" i="9"/>
  <c r="AQ26" i="9"/>
  <c r="N26" i="9"/>
  <c r="AC26" i="9"/>
  <c r="AR26" i="9"/>
  <c r="O26" i="9"/>
  <c r="AD26" i="9"/>
  <c r="AS26" i="9"/>
  <c r="AE26" i="9"/>
  <c r="P26" i="9"/>
  <c r="AT26" i="9"/>
  <c r="Q26" i="9"/>
  <c r="AF26" i="9"/>
  <c r="AU26" i="9"/>
  <c r="R26" i="9"/>
  <c r="AV26" i="9"/>
  <c r="AG26" i="9"/>
  <c r="H25" i="7"/>
  <c r="W25" i="7"/>
  <c r="AL25" i="7"/>
  <c r="I25" i="7"/>
  <c r="X25" i="7"/>
  <c r="AM25" i="7"/>
  <c r="J25" i="7"/>
  <c r="Y25" i="7"/>
  <c r="AN25" i="7"/>
  <c r="K25" i="7"/>
  <c r="Z25" i="7"/>
  <c r="AO25" i="7"/>
  <c r="L25" i="7"/>
  <c r="AA25" i="7"/>
  <c r="AP25" i="7"/>
  <c r="N25" i="7"/>
  <c r="AC25" i="7"/>
  <c r="AR25" i="7"/>
  <c r="O25" i="7"/>
  <c r="AD25" i="7"/>
  <c r="AS25" i="7"/>
  <c r="P25" i="7"/>
  <c r="AE25" i="7"/>
  <c r="AT25" i="7"/>
  <c r="Q25" i="7"/>
  <c r="AF25" i="7"/>
  <c r="AU25" i="7"/>
  <c r="R25" i="7"/>
  <c r="AG25" i="7"/>
  <c r="AV25" i="7"/>
  <c r="I25" i="8"/>
  <c r="X25" i="8"/>
  <c r="AM25" i="8"/>
  <c r="J25" i="8"/>
  <c r="Y25" i="8"/>
  <c r="AN25" i="8"/>
  <c r="L25" i="8"/>
  <c r="AA25" i="8"/>
  <c r="AP25" i="8"/>
  <c r="N25" i="8"/>
  <c r="AC25" i="8"/>
  <c r="AR25" i="8"/>
  <c r="P25" i="8"/>
  <c r="AE25" i="8"/>
  <c r="AT25" i="8"/>
  <c r="Q25" i="8"/>
  <c r="AF25" i="8"/>
  <c r="AU25" i="8"/>
  <c r="H25" i="8"/>
  <c r="W25" i="8"/>
  <c r="AL25" i="8"/>
  <c r="K25" i="8"/>
  <c r="Z25" i="8"/>
  <c r="AO25" i="8"/>
  <c r="M25" i="8"/>
  <c r="AB25" i="8"/>
  <c r="AQ25" i="8"/>
  <c r="O25" i="8"/>
  <c r="AD25" i="8"/>
  <c r="AS25" i="8"/>
  <c r="R25" i="8"/>
  <c r="AG25" i="8"/>
  <c r="AV25" i="8"/>
  <c r="M25" i="7"/>
  <c r="AB25" i="7"/>
  <c r="AQ25" i="7"/>
  <c r="D13" i="8"/>
  <c r="S13" i="8"/>
  <c r="AH13" i="8"/>
  <c r="S10" i="7"/>
  <c r="T10" i="7"/>
  <c r="AI10" i="7" s="1"/>
  <c r="G10" i="9"/>
  <c r="G10" i="10"/>
  <c r="U10" i="7" l="1"/>
  <c r="AJ10" i="7" s="1"/>
  <c r="U10" i="8"/>
  <c r="V10" i="8"/>
  <c r="AK10" i="8" s="1"/>
  <c r="G11" i="8" s="1"/>
  <c r="AI10" i="8"/>
  <c r="H27" i="10"/>
  <c r="W27" i="10"/>
  <c r="AL27" i="10"/>
  <c r="I27" i="10"/>
  <c r="X27" i="10"/>
  <c r="AM27" i="10"/>
  <c r="J27" i="10"/>
  <c r="Y27" i="10"/>
  <c r="AN27" i="10"/>
  <c r="K27" i="10"/>
  <c r="Z27" i="10"/>
  <c r="AO27" i="10"/>
  <c r="L27" i="10"/>
  <c r="AA27" i="10"/>
  <c r="AP27" i="10"/>
  <c r="M27" i="10"/>
  <c r="AB27" i="10"/>
  <c r="AQ27" i="10"/>
  <c r="N27" i="10"/>
  <c r="AC27" i="10"/>
  <c r="AR27" i="10"/>
  <c r="O27" i="10"/>
  <c r="AD27" i="10"/>
  <c r="AS27" i="10"/>
  <c r="P27" i="10"/>
  <c r="AE27" i="10"/>
  <c r="AT27" i="10"/>
  <c r="Q27" i="10"/>
  <c r="AF27" i="10"/>
  <c r="AU27" i="10"/>
  <c r="R27" i="10"/>
  <c r="AG27" i="10"/>
  <c r="AV27" i="10"/>
  <c r="H27" i="9"/>
  <c r="W27" i="9"/>
  <c r="AL27" i="9"/>
  <c r="I27" i="9"/>
  <c r="X27" i="9"/>
  <c r="AM27" i="9"/>
  <c r="J27" i="9"/>
  <c r="Y27" i="9"/>
  <c r="AN27" i="9"/>
  <c r="Z27" i="9"/>
  <c r="AO27" i="9"/>
  <c r="K27" i="9"/>
  <c r="L27" i="9"/>
  <c r="AA27" i="9"/>
  <c r="AP27" i="9"/>
  <c r="M27" i="9"/>
  <c r="AB27" i="9"/>
  <c r="AQ27" i="9"/>
  <c r="N27" i="9"/>
  <c r="AC27" i="9"/>
  <c r="AR27" i="9"/>
  <c r="AD27" i="9"/>
  <c r="O27" i="9"/>
  <c r="AS27" i="9"/>
  <c r="AE27" i="9"/>
  <c r="P27" i="9"/>
  <c r="AT27" i="9"/>
  <c r="AF27" i="9"/>
  <c r="AU27" i="9"/>
  <c r="Q27" i="9"/>
  <c r="R27" i="9"/>
  <c r="AV27" i="9"/>
  <c r="AG27" i="9"/>
  <c r="H26" i="7"/>
  <c r="W26" i="7"/>
  <c r="AL26" i="7"/>
  <c r="I26" i="7"/>
  <c r="X26" i="7"/>
  <c r="AM26" i="7"/>
  <c r="J26" i="7"/>
  <c r="Y26" i="7"/>
  <c r="AN26" i="7"/>
  <c r="K26" i="7"/>
  <c r="Z26" i="7"/>
  <c r="AO26" i="7"/>
  <c r="L26" i="7"/>
  <c r="AA26" i="7"/>
  <c r="AP26" i="7"/>
  <c r="N26" i="7"/>
  <c r="AC26" i="7"/>
  <c r="AR26" i="7"/>
  <c r="O26" i="7"/>
  <c r="AD26" i="7"/>
  <c r="AS26" i="7"/>
  <c r="P26" i="7"/>
  <c r="AE26" i="7"/>
  <c r="AT26" i="7"/>
  <c r="Q26" i="7"/>
  <c r="AF26" i="7"/>
  <c r="AU26" i="7"/>
  <c r="R26" i="7"/>
  <c r="AG26" i="7"/>
  <c r="AV26" i="7"/>
  <c r="I26" i="8"/>
  <c r="X26" i="8"/>
  <c r="AM26" i="8"/>
  <c r="J26" i="8"/>
  <c r="Y26" i="8"/>
  <c r="AN26" i="8"/>
  <c r="L26" i="8"/>
  <c r="AA26" i="8"/>
  <c r="AP26" i="8"/>
  <c r="N26" i="8"/>
  <c r="AC26" i="8"/>
  <c r="AR26" i="8"/>
  <c r="P26" i="8"/>
  <c r="AE26" i="8"/>
  <c r="AT26" i="8"/>
  <c r="Q26" i="8"/>
  <c r="AF26" i="8"/>
  <c r="AU26" i="8"/>
  <c r="H26" i="8"/>
  <c r="W26" i="8"/>
  <c r="AL26" i="8"/>
  <c r="K26" i="8"/>
  <c r="Z26" i="8"/>
  <c r="AO26" i="8"/>
  <c r="M26" i="8"/>
  <c r="AB26" i="8"/>
  <c r="AQ26" i="8"/>
  <c r="O26" i="8"/>
  <c r="AD26" i="8"/>
  <c r="AS26" i="8"/>
  <c r="R26" i="8"/>
  <c r="AG26" i="8"/>
  <c r="AV26" i="8"/>
  <c r="M26" i="7"/>
  <c r="AB26" i="7"/>
  <c r="AQ26" i="7"/>
  <c r="S14" i="8"/>
  <c r="AH14" i="8"/>
  <c r="D14" i="8"/>
  <c r="AH10" i="7"/>
  <c r="E11" i="7"/>
  <c r="C10" i="9"/>
  <c r="C10" i="10"/>
  <c r="V10" i="7"/>
  <c r="AJ10" i="8" l="1"/>
  <c r="F11" i="8" s="1"/>
  <c r="AY10" i="8"/>
  <c r="E11" i="8"/>
  <c r="C11" i="8" s="1"/>
  <c r="AW10" i="8"/>
  <c r="AX11" i="8"/>
  <c r="H28" i="10"/>
  <c r="W28" i="10"/>
  <c r="AL28" i="10"/>
  <c r="I28" i="10"/>
  <c r="X28" i="10"/>
  <c r="AM28" i="10"/>
  <c r="J28" i="10"/>
  <c r="Y28" i="10"/>
  <c r="AN28" i="10"/>
  <c r="K28" i="10"/>
  <c r="Z28" i="10"/>
  <c r="AO28" i="10"/>
  <c r="L28" i="10"/>
  <c r="AA28" i="10"/>
  <c r="AP28" i="10"/>
  <c r="M28" i="10"/>
  <c r="AB28" i="10"/>
  <c r="AQ28" i="10"/>
  <c r="N28" i="10"/>
  <c r="AC28" i="10"/>
  <c r="AR28" i="10"/>
  <c r="O28" i="10"/>
  <c r="AD28" i="10"/>
  <c r="AS28" i="10"/>
  <c r="P28" i="10"/>
  <c r="AE28" i="10"/>
  <c r="AT28" i="10"/>
  <c r="Q28" i="10"/>
  <c r="AF28" i="10"/>
  <c r="AU28" i="10"/>
  <c r="R28" i="10"/>
  <c r="AG28" i="10"/>
  <c r="AV28" i="10"/>
  <c r="H28" i="9"/>
  <c r="AL28" i="9"/>
  <c r="W28" i="9"/>
  <c r="I28" i="9"/>
  <c r="X28" i="9"/>
  <c r="AM28" i="9"/>
  <c r="J28" i="9"/>
  <c r="Y28" i="9"/>
  <c r="AN28" i="9"/>
  <c r="AO28" i="9"/>
  <c r="K28" i="9"/>
  <c r="Z28" i="9"/>
  <c r="AP28" i="9"/>
  <c r="L28" i="9"/>
  <c r="AA28" i="9"/>
  <c r="AB28" i="9"/>
  <c r="M28" i="9"/>
  <c r="AQ28" i="9"/>
  <c r="N28" i="9"/>
  <c r="AC28" i="9"/>
  <c r="AR28" i="9"/>
  <c r="O28" i="9"/>
  <c r="AD28" i="9"/>
  <c r="AS28" i="9"/>
  <c r="P28" i="9"/>
  <c r="AT28" i="9"/>
  <c r="AE28" i="9"/>
  <c r="AF28" i="9"/>
  <c r="Q28" i="9"/>
  <c r="AU28" i="9"/>
  <c r="R28" i="9"/>
  <c r="AG28" i="9"/>
  <c r="AV28" i="9"/>
  <c r="H27" i="7"/>
  <c r="W27" i="7"/>
  <c r="AL27" i="7"/>
  <c r="I27" i="7"/>
  <c r="X27" i="7"/>
  <c r="AM27" i="7"/>
  <c r="J27" i="7"/>
  <c r="Y27" i="7"/>
  <c r="AN27" i="7"/>
  <c r="K27" i="7"/>
  <c r="Z27" i="7"/>
  <c r="AO27" i="7"/>
  <c r="L27" i="7"/>
  <c r="AA27" i="7"/>
  <c r="AP27" i="7"/>
  <c r="N27" i="7"/>
  <c r="AC27" i="7"/>
  <c r="AR27" i="7"/>
  <c r="O27" i="7"/>
  <c r="AD27" i="7"/>
  <c r="AS27" i="7"/>
  <c r="P27" i="7"/>
  <c r="AE27" i="7"/>
  <c r="AT27" i="7"/>
  <c r="Q27" i="7"/>
  <c r="AF27" i="7"/>
  <c r="AU27" i="7"/>
  <c r="R27" i="7"/>
  <c r="AG27" i="7"/>
  <c r="AV27" i="7"/>
  <c r="I27" i="8"/>
  <c r="X27" i="8"/>
  <c r="AM27" i="8"/>
  <c r="J27" i="8"/>
  <c r="Y27" i="8"/>
  <c r="AN27" i="8"/>
  <c r="L27" i="8"/>
  <c r="AA27" i="8"/>
  <c r="AP27" i="8"/>
  <c r="N27" i="8"/>
  <c r="AC27" i="8"/>
  <c r="AR27" i="8"/>
  <c r="P27" i="8"/>
  <c r="AE27" i="8"/>
  <c r="AT27" i="8"/>
  <c r="Q27" i="8"/>
  <c r="AF27" i="8"/>
  <c r="AU27" i="8"/>
  <c r="H27" i="8"/>
  <c r="W27" i="8"/>
  <c r="AL27" i="8"/>
  <c r="K27" i="8"/>
  <c r="Z27" i="8"/>
  <c r="AO27" i="8"/>
  <c r="M27" i="8"/>
  <c r="AB27" i="8"/>
  <c r="AQ27" i="8"/>
  <c r="O27" i="8"/>
  <c r="AD27" i="8"/>
  <c r="AS27" i="8"/>
  <c r="R27" i="8"/>
  <c r="AG27" i="8"/>
  <c r="AV27" i="8"/>
  <c r="M27" i="7"/>
  <c r="AB27" i="7"/>
  <c r="AQ27" i="7"/>
  <c r="D15" i="8"/>
  <c r="S15" i="8"/>
  <c r="AH15" i="8"/>
  <c r="D11" i="7"/>
  <c r="S10" i="9"/>
  <c r="S10" i="10"/>
  <c r="F11" i="7"/>
  <c r="AK10" i="7"/>
  <c r="AY10" i="7"/>
  <c r="AW10" i="7" l="1"/>
  <c r="AX11" i="7"/>
  <c r="H29" i="10"/>
  <c r="W29" i="10"/>
  <c r="AL29" i="10"/>
  <c r="I29" i="10"/>
  <c r="X29" i="10"/>
  <c r="AM29" i="10"/>
  <c r="J29" i="10"/>
  <c r="Y29" i="10"/>
  <c r="AN29" i="10"/>
  <c r="K29" i="10"/>
  <c r="Z29" i="10"/>
  <c r="AO29" i="10"/>
  <c r="L29" i="10"/>
  <c r="AA29" i="10"/>
  <c r="AP29" i="10"/>
  <c r="M29" i="10"/>
  <c r="AB29" i="10"/>
  <c r="AQ29" i="10"/>
  <c r="N29" i="10"/>
  <c r="AC29" i="10"/>
  <c r="AR29" i="10"/>
  <c r="O29" i="10"/>
  <c r="AD29" i="10"/>
  <c r="AS29" i="10"/>
  <c r="P29" i="10"/>
  <c r="AE29" i="10"/>
  <c r="AT29" i="10"/>
  <c r="Q29" i="10"/>
  <c r="AF29" i="10"/>
  <c r="AU29" i="10"/>
  <c r="R29" i="10"/>
  <c r="AG29" i="10"/>
  <c r="AV29" i="10"/>
  <c r="H29" i="9"/>
  <c r="W29" i="9"/>
  <c r="AL29" i="9"/>
  <c r="X29" i="9"/>
  <c r="AM29" i="9"/>
  <c r="I29" i="9"/>
  <c r="J29" i="9"/>
  <c r="Y29" i="9"/>
  <c r="AN29" i="9"/>
  <c r="K29" i="9"/>
  <c r="Z29" i="9"/>
  <c r="AO29" i="9"/>
  <c r="L29" i="9"/>
  <c r="AA29" i="9"/>
  <c r="AP29" i="9"/>
  <c r="M29" i="9"/>
  <c r="AB29" i="9"/>
  <c r="AQ29" i="9"/>
  <c r="N29" i="9"/>
  <c r="AC29" i="9"/>
  <c r="AR29" i="9"/>
  <c r="O29" i="9"/>
  <c r="AD29" i="9"/>
  <c r="AS29" i="9"/>
  <c r="P29" i="9"/>
  <c r="AE29" i="9"/>
  <c r="AT29" i="9"/>
  <c r="AF29" i="9"/>
  <c r="AU29" i="9"/>
  <c r="Q29" i="9"/>
  <c r="AG29" i="9"/>
  <c r="AV29" i="9"/>
  <c r="R29" i="9"/>
  <c r="H28" i="7"/>
  <c r="W28" i="7"/>
  <c r="AL28" i="7"/>
  <c r="I28" i="7"/>
  <c r="X28" i="7"/>
  <c r="AM28" i="7"/>
  <c r="J28" i="7"/>
  <c r="Y28" i="7"/>
  <c r="AN28" i="7"/>
  <c r="K28" i="7"/>
  <c r="Z28" i="7"/>
  <c r="AO28" i="7"/>
  <c r="L28" i="7"/>
  <c r="AA28" i="7"/>
  <c r="AP28" i="7"/>
  <c r="N28" i="7"/>
  <c r="AC28" i="7"/>
  <c r="AR28" i="7"/>
  <c r="O28" i="7"/>
  <c r="AD28" i="7"/>
  <c r="AS28" i="7"/>
  <c r="P28" i="7"/>
  <c r="AE28" i="7"/>
  <c r="AT28" i="7"/>
  <c r="Q28" i="7"/>
  <c r="AF28" i="7"/>
  <c r="AU28" i="7"/>
  <c r="R28" i="7"/>
  <c r="AG28" i="7"/>
  <c r="AV28" i="7"/>
  <c r="I28" i="8"/>
  <c r="X28" i="8"/>
  <c r="AM28" i="8"/>
  <c r="J28" i="8"/>
  <c r="Y28" i="8"/>
  <c r="AN28" i="8"/>
  <c r="AA28" i="8"/>
  <c r="AP28" i="8"/>
  <c r="L28" i="8"/>
  <c r="AC28" i="8"/>
  <c r="AR28" i="8"/>
  <c r="N28" i="8"/>
  <c r="AE28" i="8"/>
  <c r="P28" i="8"/>
  <c r="AT28" i="8"/>
  <c r="Q28" i="8"/>
  <c r="AF28" i="8"/>
  <c r="AU28" i="8"/>
  <c r="H28" i="8"/>
  <c r="W28" i="8"/>
  <c r="AL28" i="8"/>
  <c r="AO28" i="8"/>
  <c r="K28" i="8"/>
  <c r="Z28" i="8"/>
  <c r="AB28" i="8"/>
  <c r="M28" i="8"/>
  <c r="AQ28" i="8"/>
  <c r="O28" i="8"/>
  <c r="AD28" i="8"/>
  <c r="AS28" i="8"/>
  <c r="AG28" i="8"/>
  <c r="AV28" i="8"/>
  <c r="R28" i="8"/>
  <c r="M28" i="7"/>
  <c r="AB28" i="7"/>
  <c r="AQ28" i="7"/>
  <c r="S16" i="8"/>
  <c r="D16" i="8"/>
  <c r="AH16" i="8"/>
  <c r="AH10" i="9"/>
  <c r="AH10" i="10"/>
  <c r="T11" i="8"/>
  <c r="U11" i="8"/>
  <c r="AJ11" i="8" s="1"/>
  <c r="G11" i="7"/>
  <c r="T10" i="9"/>
  <c r="T10" i="10"/>
  <c r="V11" i="8" l="1"/>
  <c r="AK11" i="8" s="1"/>
  <c r="H30" i="10"/>
  <c r="W30" i="10"/>
  <c r="AL30" i="10"/>
  <c r="I30" i="10"/>
  <c r="X30" i="10"/>
  <c r="AM30" i="10"/>
  <c r="J30" i="10"/>
  <c r="Y30" i="10"/>
  <c r="AN30" i="10"/>
  <c r="K30" i="10"/>
  <c r="Z30" i="10"/>
  <c r="AO30" i="10"/>
  <c r="L30" i="10"/>
  <c r="AA30" i="10"/>
  <c r="AP30" i="10"/>
  <c r="M30" i="10"/>
  <c r="AB30" i="10"/>
  <c r="AQ30" i="10"/>
  <c r="N30" i="10"/>
  <c r="AC30" i="10"/>
  <c r="AR30" i="10"/>
  <c r="O30" i="10"/>
  <c r="AD30" i="10"/>
  <c r="AS30" i="10"/>
  <c r="P30" i="10"/>
  <c r="AE30" i="10"/>
  <c r="AT30" i="10"/>
  <c r="Q30" i="10"/>
  <c r="AF30" i="10"/>
  <c r="AU30" i="10"/>
  <c r="R30" i="10"/>
  <c r="AG30" i="10"/>
  <c r="AV30" i="10"/>
  <c r="W30" i="9"/>
  <c r="AL30" i="9"/>
  <c r="H30" i="9"/>
  <c r="AM30" i="9"/>
  <c r="I30" i="9"/>
  <c r="X30" i="9"/>
  <c r="J30" i="9"/>
  <c r="Y30" i="9"/>
  <c r="AN30" i="9"/>
  <c r="K30" i="9"/>
  <c r="AO30" i="9"/>
  <c r="Z30" i="9"/>
  <c r="L30" i="9"/>
  <c r="AA30" i="9"/>
  <c r="AP30" i="9"/>
  <c r="M30" i="9"/>
  <c r="AB30" i="9"/>
  <c r="AQ30" i="9"/>
  <c r="N30" i="9"/>
  <c r="AC30" i="9"/>
  <c r="AR30" i="9"/>
  <c r="O30" i="9"/>
  <c r="AD30" i="9"/>
  <c r="AS30" i="9"/>
  <c r="AE30" i="9"/>
  <c r="AT30" i="9"/>
  <c r="P30" i="9"/>
  <c r="Q30" i="9"/>
  <c r="AF30" i="9"/>
  <c r="AU30" i="9"/>
  <c r="R30" i="9"/>
  <c r="AG30" i="9"/>
  <c r="AV30" i="9"/>
  <c r="H29" i="7"/>
  <c r="W29" i="7"/>
  <c r="AL29" i="7"/>
  <c r="I29" i="7"/>
  <c r="X29" i="7"/>
  <c r="AM29" i="7"/>
  <c r="J29" i="7"/>
  <c r="Y29" i="7"/>
  <c r="AN29" i="7"/>
  <c r="K29" i="7"/>
  <c r="Z29" i="7"/>
  <c r="AO29" i="7"/>
  <c r="L29" i="7"/>
  <c r="AA29" i="7"/>
  <c r="AP29" i="7"/>
  <c r="N29" i="7"/>
  <c r="AC29" i="7"/>
  <c r="AR29" i="7"/>
  <c r="O29" i="7"/>
  <c r="AD29" i="7"/>
  <c r="AS29" i="7"/>
  <c r="P29" i="7"/>
  <c r="AE29" i="7"/>
  <c r="AT29" i="7"/>
  <c r="Q29" i="7"/>
  <c r="AF29" i="7"/>
  <c r="AU29" i="7"/>
  <c r="R29" i="7"/>
  <c r="AG29" i="7"/>
  <c r="AV29" i="7"/>
  <c r="I29" i="8"/>
  <c r="X29" i="8"/>
  <c r="AM29" i="8"/>
  <c r="J29" i="8"/>
  <c r="Y29" i="8"/>
  <c r="AN29" i="8"/>
  <c r="L29" i="8"/>
  <c r="AP29" i="8"/>
  <c r="AA29" i="8"/>
  <c r="N29" i="8"/>
  <c r="AC29" i="8"/>
  <c r="AR29" i="8"/>
  <c r="AE29" i="8"/>
  <c r="P29" i="8"/>
  <c r="AT29" i="8"/>
  <c r="Q29" i="8"/>
  <c r="AF29" i="8"/>
  <c r="AU29" i="8"/>
  <c r="H29" i="8"/>
  <c r="W29" i="8"/>
  <c r="AL29" i="8"/>
  <c r="K29" i="8"/>
  <c r="Z29" i="8"/>
  <c r="AO29" i="8"/>
  <c r="M29" i="8"/>
  <c r="AB29" i="8"/>
  <c r="AQ29" i="8"/>
  <c r="O29" i="8"/>
  <c r="AD29" i="8"/>
  <c r="AS29" i="8"/>
  <c r="R29" i="8"/>
  <c r="AG29" i="8"/>
  <c r="AV29" i="8"/>
  <c r="M29" i="7"/>
  <c r="AB29" i="7"/>
  <c r="AQ29" i="7"/>
  <c r="AH17" i="8"/>
  <c r="D17" i="8"/>
  <c r="S17" i="8"/>
  <c r="D11" i="9"/>
  <c r="D11" i="10"/>
  <c r="G12" i="8"/>
  <c r="AY11" i="8"/>
  <c r="AI11" i="8"/>
  <c r="F12" i="8"/>
  <c r="C11" i="7"/>
  <c r="AI10" i="9"/>
  <c r="U10" i="9"/>
  <c r="AI10" i="10"/>
  <c r="U10" i="10"/>
  <c r="H31" i="10" l="1"/>
  <c r="W31" i="10"/>
  <c r="AL31" i="10"/>
  <c r="I31" i="10"/>
  <c r="X31" i="10"/>
  <c r="AM31" i="10"/>
  <c r="J31" i="10"/>
  <c r="Y31" i="10"/>
  <c r="AN31" i="10"/>
  <c r="K31" i="10"/>
  <c r="Z31" i="10"/>
  <c r="AO31" i="10"/>
  <c r="L31" i="10"/>
  <c r="AA31" i="10"/>
  <c r="AP31" i="10"/>
  <c r="M31" i="10"/>
  <c r="AB31" i="10"/>
  <c r="AQ31" i="10"/>
  <c r="N31" i="10"/>
  <c r="AC31" i="10"/>
  <c r="AR31" i="10"/>
  <c r="O31" i="10"/>
  <c r="AD31" i="10"/>
  <c r="AS31" i="10"/>
  <c r="P31" i="10"/>
  <c r="AE31" i="10"/>
  <c r="AT31" i="10"/>
  <c r="Q31" i="10"/>
  <c r="AF31" i="10"/>
  <c r="AU31" i="10"/>
  <c r="R31" i="10"/>
  <c r="AG31" i="10"/>
  <c r="AV31" i="10"/>
  <c r="H31" i="9"/>
  <c r="W31" i="9"/>
  <c r="AL31" i="9"/>
  <c r="I31" i="9"/>
  <c r="AM31" i="9"/>
  <c r="X31" i="9"/>
  <c r="Y31" i="9"/>
  <c r="AN31" i="9"/>
  <c r="J31" i="9"/>
  <c r="AO31" i="9"/>
  <c r="K31" i="9"/>
  <c r="Z31" i="9"/>
  <c r="AA31" i="9"/>
  <c r="AP31" i="9"/>
  <c r="L31" i="9"/>
  <c r="M31" i="9"/>
  <c r="AB31" i="9"/>
  <c r="AQ31" i="9"/>
  <c r="AC31" i="9"/>
  <c r="N31" i="9"/>
  <c r="AR31" i="9"/>
  <c r="O31" i="9"/>
  <c r="AS31" i="9"/>
  <c r="AD31" i="9"/>
  <c r="P31" i="9"/>
  <c r="AE31" i="9"/>
  <c r="AT31" i="9"/>
  <c r="AF31" i="9"/>
  <c r="AU31" i="9"/>
  <c r="Q31" i="9"/>
  <c r="R31" i="9"/>
  <c r="AG31" i="9"/>
  <c r="AV31" i="9"/>
  <c r="H30" i="7"/>
  <c r="W30" i="7"/>
  <c r="AL30" i="7"/>
  <c r="I30" i="7"/>
  <c r="X30" i="7"/>
  <c r="AM30" i="7"/>
  <c r="J30" i="7"/>
  <c r="Y30" i="7"/>
  <c r="AN30" i="7"/>
  <c r="K30" i="7"/>
  <c r="Z30" i="7"/>
  <c r="AO30" i="7"/>
  <c r="L30" i="7"/>
  <c r="AA30" i="7"/>
  <c r="AP30" i="7"/>
  <c r="N30" i="7"/>
  <c r="AC30" i="7"/>
  <c r="AR30" i="7"/>
  <c r="O30" i="7"/>
  <c r="AD30" i="7"/>
  <c r="AS30" i="7"/>
  <c r="P30" i="7"/>
  <c r="AE30" i="7"/>
  <c r="AT30" i="7"/>
  <c r="Q30" i="7"/>
  <c r="AF30" i="7"/>
  <c r="AU30" i="7"/>
  <c r="R30" i="7"/>
  <c r="AG30" i="7"/>
  <c r="AV30" i="7"/>
  <c r="X30" i="8"/>
  <c r="AM30" i="8"/>
  <c r="I30" i="8"/>
  <c r="J30" i="8"/>
  <c r="Y30" i="8"/>
  <c r="AN30" i="8"/>
  <c r="L30" i="8"/>
  <c r="AA30" i="8"/>
  <c r="AP30" i="8"/>
  <c r="N30" i="8"/>
  <c r="AC30" i="8"/>
  <c r="AR30" i="8"/>
  <c r="P30" i="8"/>
  <c r="AE30" i="8"/>
  <c r="AT30" i="8"/>
  <c r="Q30" i="8"/>
  <c r="AF30" i="8"/>
  <c r="AU30" i="8"/>
  <c r="H30" i="8"/>
  <c r="W30" i="8"/>
  <c r="AL30" i="8"/>
  <c r="K30" i="8"/>
  <c r="Z30" i="8"/>
  <c r="AO30" i="8"/>
  <c r="AB30" i="8"/>
  <c r="M30" i="8"/>
  <c r="AQ30" i="8"/>
  <c r="O30" i="8"/>
  <c r="AD30" i="8"/>
  <c r="AS30" i="8"/>
  <c r="AG30" i="8"/>
  <c r="R30" i="8"/>
  <c r="AV30" i="8"/>
  <c r="M30" i="7"/>
  <c r="AB30" i="7"/>
  <c r="AQ30" i="7"/>
  <c r="D18" i="8"/>
  <c r="S18" i="8"/>
  <c r="AH18" i="8"/>
  <c r="E12" i="8"/>
  <c r="AW11" i="8"/>
  <c r="AX12" i="8"/>
  <c r="S11" i="7"/>
  <c r="T11" i="7"/>
  <c r="AI11" i="7" s="1"/>
  <c r="E11" i="9"/>
  <c r="E11" i="10"/>
  <c r="AJ10" i="9"/>
  <c r="V10" i="9"/>
  <c r="AJ10" i="10"/>
  <c r="V10" i="10"/>
  <c r="U11" i="7" l="1"/>
  <c r="H32" i="10"/>
  <c r="W32" i="10"/>
  <c r="AL32" i="10"/>
  <c r="I32" i="10"/>
  <c r="X32" i="10"/>
  <c r="AM32" i="10"/>
  <c r="J32" i="10"/>
  <c r="Y32" i="10"/>
  <c r="AN32" i="10"/>
  <c r="K32" i="10"/>
  <c r="Z32" i="10"/>
  <c r="AO32" i="10"/>
  <c r="L32" i="10"/>
  <c r="AA32" i="10"/>
  <c r="AP32" i="10"/>
  <c r="M32" i="10"/>
  <c r="AB32" i="10"/>
  <c r="AQ32" i="10"/>
  <c r="N32" i="10"/>
  <c r="AC32" i="10"/>
  <c r="AR32" i="10"/>
  <c r="O32" i="10"/>
  <c r="AD32" i="10"/>
  <c r="AS32" i="10"/>
  <c r="P32" i="10"/>
  <c r="AE32" i="10"/>
  <c r="AT32" i="10"/>
  <c r="Q32" i="10"/>
  <c r="AF32" i="10"/>
  <c r="AU32" i="10"/>
  <c r="R32" i="10"/>
  <c r="AG32" i="10"/>
  <c r="AV32" i="10"/>
  <c r="W32" i="9"/>
  <c r="H32" i="9"/>
  <c r="AL32" i="9"/>
  <c r="AM32" i="9"/>
  <c r="I32" i="9"/>
  <c r="X32" i="9"/>
  <c r="Y32" i="9"/>
  <c r="AN32" i="9"/>
  <c r="J32" i="9"/>
  <c r="K32" i="9"/>
  <c r="Z32" i="9"/>
  <c r="AO32" i="9"/>
  <c r="L32" i="9"/>
  <c r="AA32" i="9"/>
  <c r="AP32" i="9"/>
  <c r="AB32" i="9"/>
  <c r="AQ32" i="9"/>
  <c r="M32" i="9"/>
  <c r="AC32" i="9"/>
  <c r="N32" i="9"/>
  <c r="AR32" i="9"/>
  <c r="O32" i="9"/>
  <c r="AD32" i="9"/>
  <c r="AS32" i="9"/>
  <c r="P32" i="9"/>
  <c r="AE32" i="9"/>
  <c r="AT32" i="9"/>
  <c r="Q32" i="9"/>
  <c r="AF32" i="9"/>
  <c r="AU32" i="9"/>
  <c r="R32" i="9"/>
  <c r="AG32" i="9"/>
  <c r="AV32" i="9"/>
  <c r="H31" i="7"/>
  <c r="W31" i="7"/>
  <c r="AL31" i="7"/>
  <c r="I31" i="7"/>
  <c r="X31" i="7"/>
  <c r="AM31" i="7"/>
  <c r="J31" i="7"/>
  <c r="Y31" i="7"/>
  <c r="AN31" i="7"/>
  <c r="K31" i="7"/>
  <c r="Z31" i="7"/>
  <c r="AO31" i="7"/>
  <c r="L31" i="7"/>
  <c r="AA31" i="7"/>
  <c r="AP31" i="7"/>
  <c r="N31" i="7"/>
  <c r="AC31" i="7"/>
  <c r="AR31" i="7"/>
  <c r="O31" i="7"/>
  <c r="AD31" i="7"/>
  <c r="AS31" i="7"/>
  <c r="P31" i="7"/>
  <c r="AE31" i="7"/>
  <c r="AT31" i="7"/>
  <c r="Q31" i="7"/>
  <c r="AF31" i="7"/>
  <c r="AU31" i="7"/>
  <c r="R31" i="7"/>
  <c r="AG31" i="7"/>
  <c r="AV31" i="7"/>
  <c r="I31" i="8"/>
  <c r="X31" i="8"/>
  <c r="AM31" i="8"/>
  <c r="Y31" i="8"/>
  <c r="AN31" i="8"/>
  <c r="J31" i="8"/>
  <c r="AA31" i="8"/>
  <c r="AP31" i="8"/>
  <c r="L31" i="8"/>
  <c r="AC31" i="8"/>
  <c r="N31" i="8"/>
  <c r="AR31" i="8"/>
  <c r="AE31" i="8"/>
  <c r="AT31" i="8"/>
  <c r="P31" i="8"/>
  <c r="Q31" i="8"/>
  <c r="AF31" i="8"/>
  <c r="AU31" i="8"/>
  <c r="W31" i="8"/>
  <c r="H31" i="8"/>
  <c r="AL31" i="8"/>
  <c r="AO31" i="8"/>
  <c r="K31" i="8"/>
  <c r="Z31" i="8"/>
  <c r="M31" i="8"/>
  <c r="AQ31" i="8"/>
  <c r="AB31" i="8"/>
  <c r="AD31" i="8"/>
  <c r="AS31" i="8"/>
  <c r="O31" i="8"/>
  <c r="R31" i="8"/>
  <c r="AG31" i="8"/>
  <c r="AV31" i="8"/>
  <c r="M31" i="7"/>
  <c r="AB31" i="7"/>
  <c r="AQ31" i="7"/>
  <c r="D19" i="8"/>
  <c r="S19" i="8"/>
  <c r="AH19" i="8"/>
  <c r="C12" i="8"/>
  <c r="AH11" i="7"/>
  <c r="E12" i="7"/>
  <c r="F11" i="9"/>
  <c r="F11" i="10"/>
  <c r="T12" i="8"/>
  <c r="AK10" i="9"/>
  <c r="AY10" i="9"/>
  <c r="AK10" i="10"/>
  <c r="AY10" i="10"/>
  <c r="AJ11" i="7" l="1"/>
  <c r="F12" i="7" s="1"/>
  <c r="V11" i="7"/>
  <c r="AX11" i="9"/>
  <c r="AW10" i="9"/>
  <c r="AX11" i="10"/>
  <c r="AW10" i="10"/>
  <c r="H33" i="10"/>
  <c r="W33" i="10"/>
  <c r="AL33" i="10"/>
  <c r="I33" i="10"/>
  <c r="X33" i="10"/>
  <c r="AM33" i="10"/>
  <c r="J33" i="10"/>
  <c r="Y33" i="10"/>
  <c r="AN33" i="10"/>
  <c r="K33" i="10"/>
  <c r="Z33" i="10"/>
  <c r="AO33" i="10"/>
  <c r="L33" i="10"/>
  <c r="AA33" i="10"/>
  <c r="AP33" i="10"/>
  <c r="M33" i="10"/>
  <c r="AB33" i="10"/>
  <c r="AQ33" i="10"/>
  <c r="N33" i="10"/>
  <c r="AC33" i="10"/>
  <c r="AR33" i="10"/>
  <c r="O33" i="10"/>
  <c r="AD33" i="10"/>
  <c r="AS33" i="10"/>
  <c r="P33" i="10"/>
  <c r="AE33" i="10"/>
  <c r="AT33" i="10"/>
  <c r="Q33" i="10"/>
  <c r="AF33" i="10"/>
  <c r="AU33" i="10"/>
  <c r="R33" i="10"/>
  <c r="AG33" i="10"/>
  <c r="AV33" i="10"/>
  <c r="H33" i="9"/>
  <c r="W33" i="9"/>
  <c r="AL33" i="9"/>
  <c r="I33" i="9"/>
  <c r="X33" i="9"/>
  <c r="AM33" i="9"/>
  <c r="J33" i="9"/>
  <c r="Y33" i="9"/>
  <c r="AN33" i="9"/>
  <c r="Z33" i="9"/>
  <c r="K33" i="9"/>
  <c r="AO33" i="9"/>
  <c r="AA33" i="9"/>
  <c r="AP33" i="9"/>
  <c r="L33" i="9"/>
  <c r="M33" i="9"/>
  <c r="AB33" i="9"/>
  <c r="AQ33" i="9"/>
  <c r="AC33" i="9"/>
  <c r="AR33" i="9"/>
  <c r="N33" i="9"/>
  <c r="AD33" i="9"/>
  <c r="O33" i="9"/>
  <c r="AS33" i="9"/>
  <c r="P33" i="9"/>
  <c r="AE33" i="9"/>
  <c r="AT33" i="9"/>
  <c r="Q33" i="9"/>
  <c r="AF33" i="9"/>
  <c r="AU33" i="9"/>
  <c r="AV33" i="9"/>
  <c r="R33" i="9"/>
  <c r="AG33" i="9"/>
  <c r="H32" i="7"/>
  <c r="W32" i="7"/>
  <c r="AL32" i="7"/>
  <c r="I32" i="7"/>
  <c r="X32" i="7"/>
  <c r="AM32" i="7"/>
  <c r="J32" i="7"/>
  <c r="Y32" i="7"/>
  <c r="AN32" i="7"/>
  <c r="K32" i="7"/>
  <c r="Z32" i="7"/>
  <c r="AO32" i="7"/>
  <c r="L32" i="7"/>
  <c r="AA32" i="7"/>
  <c r="AP32" i="7"/>
  <c r="N32" i="7"/>
  <c r="AC32" i="7"/>
  <c r="AR32" i="7"/>
  <c r="O32" i="7"/>
  <c r="AD32" i="7"/>
  <c r="AS32" i="7"/>
  <c r="P32" i="7"/>
  <c r="AE32" i="7"/>
  <c r="AT32" i="7"/>
  <c r="Q32" i="7"/>
  <c r="AF32" i="7"/>
  <c r="AU32" i="7"/>
  <c r="R32" i="7"/>
  <c r="AG32" i="7"/>
  <c r="AV32" i="7"/>
  <c r="AM32" i="8"/>
  <c r="I32" i="8"/>
  <c r="X32" i="8"/>
  <c r="Y32" i="8"/>
  <c r="J32" i="8"/>
  <c r="AN32" i="8"/>
  <c r="AA32" i="8"/>
  <c r="AP32" i="8"/>
  <c r="L32" i="8"/>
  <c r="AR32" i="8"/>
  <c r="N32" i="8"/>
  <c r="AC32" i="8"/>
  <c r="P32" i="8"/>
  <c r="AE32" i="8"/>
  <c r="AT32" i="8"/>
  <c r="AU32" i="8"/>
  <c r="Q32" i="8"/>
  <c r="AF32" i="8"/>
  <c r="H32" i="8"/>
  <c r="W32" i="8"/>
  <c r="AL32" i="8"/>
  <c r="Z32" i="8"/>
  <c r="K32" i="8"/>
  <c r="AO32" i="8"/>
  <c r="AB32" i="8"/>
  <c r="AQ32" i="8"/>
  <c r="M32" i="8"/>
  <c r="O32" i="8"/>
  <c r="AS32" i="8"/>
  <c r="AD32" i="8"/>
  <c r="R32" i="8"/>
  <c r="AG32" i="8"/>
  <c r="AV32" i="8"/>
  <c r="M32" i="7"/>
  <c r="AB32" i="7"/>
  <c r="AQ32" i="7"/>
  <c r="S20" i="8"/>
  <c r="D20" i="8"/>
  <c r="AH20" i="8"/>
  <c r="U12" i="8"/>
  <c r="D12" i="7"/>
  <c r="G11" i="9"/>
  <c r="G11" i="10"/>
  <c r="AI12" i="8"/>
  <c r="AY11" i="7" l="1"/>
  <c r="AK11" i="7"/>
  <c r="G12" i="7" s="1"/>
  <c r="H34" i="10"/>
  <c r="W34" i="10"/>
  <c r="AL34" i="10"/>
  <c r="I34" i="10"/>
  <c r="X34" i="10"/>
  <c r="AM34" i="10"/>
  <c r="J34" i="10"/>
  <c r="Y34" i="10"/>
  <c r="AN34" i="10"/>
  <c r="K34" i="10"/>
  <c r="Z34" i="10"/>
  <c r="AO34" i="10"/>
  <c r="L34" i="10"/>
  <c r="AA34" i="10"/>
  <c r="AP34" i="10"/>
  <c r="M34" i="10"/>
  <c r="AB34" i="10"/>
  <c r="AQ34" i="10"/>
  <c r="N34" i="10"/>
  <c r="AC34" i="10"/>
  <c r="AR34" i="10"/>
  <c r="O34" i="10"/>
  <c r="AD34" i="10"/>
  <c r="AS34" i="10"/>
  <c r="P34" i="10"/>
  <c r="AE34" i="10"/>
  <c r="AT34" i="10"/>
  <c r="Q34" i="10"/>
  <c r="AF34" i="10"/>
  <c r="AU34" i="10"/>
  <c r="R34" i="10"/>
  <c r="AG34" i="10"/>
  <c r="AV34" i="10"/>
  <c r="H34" i="9"/>
  <c r="W34" i="9"/>
  <c r="AL34" i="9"/>
  <c r="I34" i="9"/>
  <c r="X34" i="9"/>
  <c r="AM34" i="9"/>
  <c r="J34" i="9"/>
  <c r="Y34" i="9"/>
  <c r="AN34" i="9"/>
  <c r="Z34" i="9"/>
  <c r="AO34" i="9"/>
  <c r="K34" i="9"/>
  <c r="L34" i="9"/>
  <c r="AA34" i="9"/>
  <c r="AP34" i="9"/>
  <c r="M34" i="9"/>
  <c r="AB34" i="9"/>
  <c r="AQ34" i="9"/>
  <c r="N34" i="9"/>
  <c r="AC34" i="9"/>
  <c r="AR34" i="9"/>
  <c r="O34" i="9"/>
  <c r="AD34" i="9"/>
  <c r="AS34" i="9"/>
  <c r="AE34" i="9"/>
  <c r="P34" i="9"/>
  <c r="AT34" i="9"/>
  <c r="AF34" i="9"/>
  <c r="AU34" i="9"/>
  <c r="Q34" i="9"/>
  <c r="AV34" i="9"/>
  <c r="R34" i="9"/>
  <c r="AG34" i="9"/>
  <c r="H33" i="7"/>
  <c r="W33" i="7"/>
  <c r="AL33" i="7"/>
  <c r="I33" i="7"/>
  <c r="X33" i="7"/>
  <c r="AM33" i="7"/>
  <c r="J33" i="7"/>
  <c r="Y33" i="7"/>
  <c r="AN33" i="7"/>
  <c r="K33" i="7"/>
  <c r="Z33" i="7"/>
  <c r="AO33" i="7"/>
  <c r="L33" i="7"/>
  <c r="AA33" i="7"/>
  <c r="AP33" i="7"/>
  <c r="N33" i="7"/>
  <c r="AC33" i="7"/>
  <c r="AR33" i="7"/>
  <c r="O33" i="7"/>
  <c r="AD33" i="7"/>
  <c r="AS33" i="7"/>
  <c r="P33" i="7"/>
  <c r="AE33" i="7"/>
  <c r="AT33" i="7"/>
  <c r="Q33" i="7"/>
  <c r="AF33" i="7"/>
  <c r="AU33" i="7"/>
  <c r="R33" i="7"/>
  <c r="AG33" i="7"/>
  <c r="AV33" i="7"/>
  <c r="I33" i="8"/>
  <c r="X33" i="8"/>
  <c r="AM33" i="8"/>
  <c r="J33" i="8"/>
  <c r="Y33" i="8"/>
  <c r="AN33" i="8"/>
  <c r="L33" i="8"/>
  <c r="AA33" i="8"/>
  <c r="AP33" i="8"/>
  <c r="N33" i="8"/>
  <c r="AC33" i="8"/>
  <c r="AR33" i="8"/>
  <c r="P33" i="8"/>
  <c r="AE33" i="8"/>
  <c r="AT33" i="8"/>
  <c r="Q33" i="8"/>
  <c r="AF33" i="8"/>
  <c r="AU33" i="8"/>
  <c r="H33" i="8"/>
  <c r="W33" i="8"/>
  <c r="AL33" i="8"/>
  <c r="K33" i="8"/>
  <c r="Z33" i="8"/>
  <c r="AO33" i="8"/>
  <c r="M33" i="8"/>
  <c r="AB33" i="8"/>
  <c r="AQ33" i="8"/>
  <c r="O33" i="8"/>
  <c r="AD33" i="8"/>
  <c r="AS33" i="8"/>
  <c r="R33" i="8"/>
  <c r="AG33" i="8"/>
  <c r="AV33" i="8"/>
  <c r="M33" i="7"/>
  <c r="AB33" i="7"/>
  <c r="AQ33" i="7"/>
  <c r="D21" i="8"/>
  <c r="S21" i="8"/>
  <c r="AH21" i="8"/>
  <c r="E13" i="8"/>
  <c r="AJ12" i="8"/>
  <c r="V12" i="8"/>
  <c r="C11" i="9"/>
  <c r="C11" i="10"/>
  <c r="AW11" i="7" l="1"/>
  <c r="AX12" i="7"/>
  <c r="H35" i="10"/>
  <c r="W35" i="10"/>
  <c r="AL35" i="10"/>
  <c r="I35" i="10"/>
  <c r="X35" i="10"/>
  <c r="AM35" i="10"/>
  <c r="J35" i="10"/>
  <c r="Y35" i="10"/>
  <c r="AN35" i="10"/>
  <c r="K35" i="10"/>
  <c r="Z35" i="10"/>
  <c r="AO35" i="10"/>
  <c r="L35" i="10"/>
  <c r="AA35" i="10"/>
  <c r="AP35" i="10"/>
  <c r="M35" i="10"/>
  <c r="AB35" i="10"/>
  <c r="AQ35" i="10"/>
  <c r="N35" i="10"/>
  <c r="AC35" i="10"/>
  <c r="AR35" i="10"/>
  <c r="O35" i="10"/>
  <c r="AD35" i="10"/>
  <c r="AS35" i="10"/>
  <c r="P35" i="10"/>
  <c r="AE35" i="10"/>
  <c r="AT35" i="10"/>
  <c r="Q35" i="10"/>
  <c r="AF35" i="10"/>
  <c r="AU35" i="10"/>
  <c r="R35" i="10"/>
  <c r="AG35" i="10"/>
  <c r="AV35" i="10"/>
  <c r="H35" i="9"/>
  <c r="W35" i="9"/>
  <c r="AL35" i="9"/>
  <c r="I35" i="9"/>
  <c r="X35" i="9"/>
  <c r="AM35" i="9"/>
  <c r="Y35" i="9"/>
  <c r="AN35" i="9"/>
  <c r="J35" i="9"/>
  <c r="K35" i="9"/>
  <c r="Z35" i="9"/>
  <c r="AO35" i="9"/>
  <c r="L35" i="9"/>
  <c r="AA35" i="9"/>
  <c r="AP35" i="9"/>
  <c r="M35" i="9"/>
  <c r="AB35" i="9"/>
  <c r="AQ35" i="9"/>
  <c r="AC35" i="9"/>
  <c r="AR35" i="9"/>
  <c r="N35" i="9"/>
  <c r="O35" i="9"/>
  <c r="AD35" i="9"/>
  <c r="AS35" i="9"/>
  <c r="AE35" i="9"/>
  <c r="AT35" i="9"/>
  <c r="P35" i="9"/>
  <c r="Q35" i="9"/>
  <c r="AF35" i="9"/>
  <c r="AU35" i="9"/>
  <c r="AG35" i="9"/>
  <c r="AV35" i="9"/>
  <c r="R35" i="9"/>
  <c r="H34" i="7"/>
  <c r="W34" i="7"/>
  <c r="AL34" i="7"/>
  <c r="I34" i="7"/>
  <c r="X34" i="7"/>
  <c r="AM34" i="7"/>
  <c r="J34" i="7"/>
  <c r="Y34" i="7"/>
  <c r="AN34" i="7"/>
  <c r="K34" i="7"/>
  <c r="Z34" i="7"/>
  <c r="AO34" i="7"/>
  <c r="L34" i="7"/>
  <c r="AA34" i="7"/>
  <c r="AP34" i="7"/>
  <c r="N34" i="7"/>
  <c r="AC34" i="7"/>
  <c r="AR34" i="7"/>
  <c r="O34" i="7"/>
  <c r="AD34" i="7"/>
  <c r="AS34" i="7"/>
  <c r="P34" i="7"/>
  <c r="AE34" i="7"/>
  <c r="AT34" i="7"/>
  <c r="Q34" i="7"/>
  <c r="AF34" i="7"/>
  <c r="AU34" i="7"/>
  <c r="R34" i="7"/>
  <c r="AG34" i="7"/>
  <c r="AV34" i="7"/>
  <c r="I34" i="8"/>
  <c r="X34" i="8"/>
  <c r="AM34" i="8"/>
  <c r="J34" i="8"/>
  <c r="Y34" i="8"/>
  <c r="AN34" i="8"/>
  <c r="L34" i="8"/>
  <c r="AA34" i="8"/>
  <c r="AP34" i="8"/>
  <c r="N34" i="8"/>
  <c r="AC34" i="8"/>
  <c r="AR34" i="8"/>
  <c r="P34" i="8"/>
  <c r="AE34" i="8"/>
  <c r="AT34" i="8"/>
  <c r="Q34" i="8"/>
  <c r="AF34" i="8"/>
  <c r="AU34" i="8"/>
  <c r="H34" i="8"/>
  <c r="W34" i="8"/>
  <c r="AL34" i="8"/>
  <c r="K34" i="8"/>
  <c r="Z34" i="8"/>
  <c r="AO34" i="8"/>
  <c r="M34" i="8"/>
  <c r="AB34" i="8"/>
  <c r="AQ34" i="8"/>
  <c r="O34" i="8"/>
  <c r="AD34" i="8"/>
  <c r="AS34" i="8"/>
  <c r="R34" i="8"/>
  <c r="AG34" i="8"/>
  <c r="AV34" i="8"/>
  <c r="M34" i="7"/>
  <c r="AB34" i="7"/>
  <c r="AQ34" i="7"/>
  <c r="AH22" i="8"/>
  <c r="D22" i="8"/>
  <c r="S22" i="8"/>
  <c r="F13" i="8"/>
  <c r="AY12" i="8"/>
  <c r="AK12" i="8"/>
  <c r="S11" i="9"/>
  <c r="T11" i="9" s="1"/>
  <c r="S11" i="10"/>
  <c r="T11" i="10"/>
  <c r="C12" i="7"/>
  <c r="AI11" i="10" l="1"/>
  <c r="U11" i="10"/>
  <c r="H36" i="10"/>
  <c r="W36" i="10"/>
  <c r="AL36" i="10"/>
  <c r="I36" i="10"/>
  <c r="X36" i="10"/>
  <c r="AM36" i="10"/>
  <c r="J36" i="10"/>
  <c r="Y36" i="10"/>
  <c r="AN36" i="10"/>
  <c r="K36" i="10"/>
  <c r="Z36" i="10"/>
  <c r="AO36" i="10"/>
  <c r="L36" i="10"/>
  <c r="AA36" i="10"/>
  <c r="AP36" i="10"/>
  <c r="M36" i="10"/>
  <c r="AB36" i="10"/>
  <c r="AQ36" i="10"/>
  <c r="N36" i="10"/>
  <c r="AC36" i="10"/>
  <c r="AR36" i="10"/>
  <c r="O36" i="10"/>
  <c r="AD36" i="10"/>
  <c r="AS36" i="10"/>
  <c r="P36" i="10"/>
  <c r="AE36" i="10"/>
  <c r="AT36" i="10"/>
  <c r="Q36" i="10"/>
  <c r="AF36" i="10"/>
  <c r="AU36" i="10"/>
  <c r="R36" i="10"/>
  <c r="AG36" i="10"/>
  <c r="AV36" i="10"/>
  <c r="H36" i="9"/>
  <c r="W36" i="9"/>
  <c r="AL36" i="9"/>
  <c r="I36" i="9"/>
  <c r="X36" i="9"/>
  <c r="AM36" i="9"/>
  <c r="J36" i="9"/>
  <c r="Y36" i="9"/>
  <c r="AN36" i="9"/>
  <c r="K36" i="9"/>
  <c r="Z36" i="9"/>
  <c r="AO36" i="9"/>
  <c r="L36" i="9"/>
  <c r="AA36" i="9"/>
  <c r="AP36" i="9"/>
  <c r="M36" i="9"/>
  <c r="AB36" i="9"/>
  <c r="AQ36" i="9"/>
  <c r="AR36" i="9"/>
  <c r="N36" i="9"/>
  <c r="AC36" i="9"/>
  <c r="O36" i="9"/>
  <c r="AD36" i="9"/>
  <c r="AS36" i="9"/>
  <c r="P36" i="9"/>
  <c r="AT36" i="9"/>
  <c r="AE36" i="9"/>
  <c r="Q36" i="9"/>
  <c r="AF36" i="9"/>
  <c r="AU36" i="9"/>
  <c r="R36" i="9"/>
  <c r="AV36" i="9"/>
  <c r="AG36" i="9"/>
  <c r="H35" i="7"/>
  <c r="W35" i="7"/>
  <c r="AL35" i="7"/>
  <c r="I35" i="7"/>
  <c r="X35" i="7"/>
  <c r="AM35" i="7"/>
  <c r="J35" i="7"/>
  <c r="Y35" i="7"/>
  <c r="AN35" i="7"/>
  <c r="K35" i="7"/>
  <c r="Z35" i="7"/>
  <c r="AO35" i="7"/>
  <c r="L35" i="7"/>
  <c r="AA35" i="7"/>
  <c r="AP35" i="7"/>
  <c r="N35" i="7"/>
  <c r="AC35" i="7"/>
  <c r="AR35" i="7"/>
  <c r="O35" i="7"/>
  <c r="AD35" i="7"/>
  <c r="AS35" i="7"/>
  <c r="P35" i="7"/>
  <c r="AE35" i="7"/>
  <c r="AT35" i="7"/>
  <c r="Q35" i="7"/>
  <c r="AF35" i="7"/>
  <c r="AU35" i="7"/>
  <c r="R35" i="7"/>
  <c r="AG35" i="7"/>
  <c r="AV35" i="7"/>
  <c r="I35" i="8"/>
  <c r="X35" i="8"/>
  <c r="AM35" i="8"/>
  <c r="J35" i="8"/>
  <c r="Y35" i="8"/>
  <c r="AN35" i="8"/>
  <c r="L35" i="8"/>
  <c r="AA35" i="8"/>
  <c r="AP35" i="8"/>
  <c r="N35" i="8"/>
  <c r="AC35" i="8"/>
  <c r="AR35" i="8"/>
  <c r="P35" i="8"/>
  <c r="AE35" i="8"/>
  <c r="AT35" i="8"/>
  <c r="Q35" i="8"/>
  <c r="AF35" i="8"/>
  <c r="AU35" i="8"/>
  <c r="H35" i="8"/>
  <c r="W35" i="8"/>
  <c r="AL35" i="8"/>
  <c r="K35" i="8"/>
  <c r="Z35" i="8"/>
  <c r="AO35" i="8"/>
  <c r="M35" i="8"/>
  <c r="AB35" i="8"/>
  <c r="AQ35" i="8"/>
  <c r="O35" i="8"/>
  <c r="AD35" i="8"/>
  <c r="AS35" i="8"/>
  <c r="R35" i="8"/>
  <c r="AG35" i="8"/>
  <c r="AV35" i="8"/>
  <c r="M35" i="7"/>
  <c r="AB35" i="7"/>
  <c r="AQ35" i="7"/>
  <c r="S23" i="8"/>
  <c r="AH23" i="8"/>
  <c r="D23" i="8"/>
  <c r="AX13" i="8"/>
  <c r="AW12" i="8"/>
  <c r="W7" i="2" s="1"/>
  <c r="G13" i="8"/>
  <c r="AH11" i="9"/>
  <c r="AH11" i="10"/>
  <c r="E12" i="10"/>
  <c r="S12" i="7"/>
  <c r="T12" i="7" s="1"/>
  <c r="C13" i="8"/>
  <c r="U11" i="9"/>
  <c r="AI11" i="9"/>
  <c r="AJ11" i="10" l="1"/>
  <c r="F12" i="10" s="1"/>
  <c r="V11" i="10"/>
  <c r="H37" i="10"/>
  <c r="W37" i="10"/>
  <c r="AL37" i="10"/>
  <c r="I37" i="10"/>
  <c r="X37" i="10"/>
  <c r="AM37" i="10"/>
  <c r="J37" i="10"/>
  <c r="Y37" i="10"/>
  <c r="AN37" i="10"/>
  <c r="K37" i="10"/>
  <c r="Z37" i="10"/>
  <c r="AO37" i="10"/>
  <c r="L37" i="10"/>
  <c r="AA37" i="10"/>
  <c r="AP37" i="10"/>
  <c r="M37" i="10"/>
  <c r="AB37" i="10"/>
  <c r="AQ37" i="10"/>
  <c r="N37" i="10"/>
  <c r="AC37" i="10"/>
  <c r="AR37" i="10"/>
  <c r="O37" i="10"/>
  <c r="AD37" i="10"/>
  <c r="AS37" i="10"/>
  <c r="P37" i="10"/>
  <c r="AE37" i="10"/>
  <c r="AT37" i="10"/>
  <c r="Q37" i="10"/>
  <c r="AF37" i="10"/>
  <c r="AU37" i="10"/>
  <c r="R37" i="10"/>
  <c r="AG37" i="10"/>
  <c r="AV37" i="10"/>
  <c r="H37" i="9"/>
  <c r="W37" i="9"/>
  <c r="AL37" i="9"/>
  <c r="X37" i="9"/>
  <c r="AM37" i="9"/>
  <c r="I37" i="9"/>
  <c r="Y37" i="9"/>
  <c r="J37" i="9"/>
  <c r="AN37" i="9"/>
  <c r="Z37" i="9"/>
  <c r="K37" i="9"/>
  <c r="AO37" i="9"/>
  <c r="L37" i="9"/>
  <c r="AA37" i="9"/>
  <c r="AP37" i="9"/>
  <c r="M37" i="9"/>
  <c r="AB37" i="9"/>
  <c r="AQ37" i="9"/>
  <c r="N37" i="9"/>
  <c r="AC37" i="9"/>
  <c r="AR37" i="9"/>
  <c r="AD37" i="9"/>
  <c r="O37" i="9"/>
  <c r="AS37" i="9"/>
  <c r="AE37" i="9"/>
  <c r="AT37" i="9"/>
  <c r="P37" i="9"/>
  <c r="AU37" i="9"/>
  <c r="Q37" i="9"/>
  <c r="AF37" i="9"/>
  <c r="R37" i="9"/>
  <c r="AG37" i="9"/>
  <c r="AV37" i="9"/>
  <c r="H36" i="7"/>
  <c r="W36" i="7"/>
  <c r="AL36" i="7"/>
  <c r="I36" i="7"/>
  <c r="X36" i="7"/>
  <c r="AM36" i="7"/>
  <c r="J36" i="7"/>
  <c r="Y36" i="7"/>
  <c r="AN36" i="7"/>
  <c r="K36" i="7"/>
  <c r="Z36" i="7"/>
  <c r="AO36" i="7"/>
  <c r="L36" i="7"/>
  <c r="AA36" i="7"/>
  <c r="AP36" i="7"/>
  <c r="N36" i="7"/>
  <c r="AC36" i="7"/>
  <c r="AR36" i="7"/>
  <c r="O36" i="7"/>
  <c r="AD36" i="7"/>
  <c r="AS36" i="7"/>
  <c r="P36" i="7"/>
  <c r="AE36" i="7"/>
  <c r="AT36" i="7"/>
  <c r="Q36" i="7"/>
  <c r="AF36" i="7"/>
  <c r="AU36" i="7"/>
  <c r="R36" i="7"/>
  <c r="AG36" i="7"/>
  <c r="AV36" i="7"/>
  <c r="I36" i="8"/>
  <c r="X36" i="8"/>
  <c r="AM36" i="8"/>
  <c r="J36" i="8"/>
  <c r="Y36" i="8"/>
  <c r="AN36" i="8"/>
  <c r="L36" i="8"/>
  <c r="AA36" i="8"/>
  <c r="AP36" i="8"/>
  <c r="N36" i="8"/>
  <c r="AC36" i="8"/>
  <c r="AR36" i="8"/>
  <c r="P36" i="8"/>
  <c r="AE36" i="8"/>
  <c r="AT36" i="8"/>
  <c r="Q36" i="8"/>
  <c r="AF36" i="8"/>
  <c r="AU36" i="8"/>
  <c r="H36" i="8"/>
  <c r="W36" i="8"/>
  <c r="AL36" i="8"/>
  <c r="K36" i="8"/>
  <c r="Z36" i="8"/>
  <c r="AO36" i="8"/>
  <c r="M36" i="8"/>
  <c r="AB36" i="8"/>
  <c r="AQ36" i="8"/>
  <c r="O36" i="8"/>
  <c r="AD36" i="8"/>
  <c r="AS36" i="8"/>
  <c r="R36" i="8"/>
  <c r="AG36" i="8"/>
  <c r="AV36" i="8"/>
  <c r="M36" i="7"/>
  <c r="AB36" i="7"/>
  <c r="AQ36" i="7"/>
  <c r="AH24" i="8"/>
  <c r="D24" i="8"/>
  <c r="S24" i="8"/>
  <c r="D12" i="9"/>
  <c r="D12" i="10"/>
  <c r="AH12" i="7"/>
  <c r="T13" i="8"/>
  <c r="U13" i="8" s="1"/>
  <c r="AJ13" i="8" s="1"/>
  <c r="E12" i="9"/>
  <c r="AI12" i="7"/>
  <c r="U12" i="7"/>
  <c r="V12" i="7"/>
  <c r="AK12" i="7" s="1"/>
  <c r="AJ11" i="9"/>
  <c r="V11" i="9"/>
  <c r="AK11" i="10" l="1"/>
  <c r="G12" i="10" s="1"/>
  <c r="C12" i="10" s="1"/>
  <c r="AY11" i="10"/>
  <c r="AJ12" i="7"/>
  <c r="AY12" i="7"/>
  <c r="H38" i="10"/>
  <c r="W38" i="10"/>
  <c r="AL38" i="10"/>
  <c r="I38" i="10"/>
  <c r="X38" i="10"/>
  <c r="AM38" i="10"/>
  <c r="J38" i="10"/>
  <c r="Y38" i="10"/>
  <c r="AN38" i="10"/>
  <c r="K38" i="10"/>
  <c r="Z38" i="10"/>
  <c r="AO38" i="10"/>
  <c r="L38" i="10"/>
  <c r="AA38" i="10"/>
  <c r="AP38" i="10"/>
  <c r="M38" i="10"/>
  <c r="AB38" i="10"/>
  <c r="AQ38" i="10"/>
  <c r="N38" i="10"/>
  <c r="AC38" i="10"/>
  <c r="AR38" i="10"/>
  <c r="O38" i="10"/>
  <c r="AD38" i="10"/>
  <c r="AS38" i="10"/>
  <c r="P38" i="10"/>
  <c r="AE38" i="10"/>
  <c r="AT38" i="10"/>
  <c r="Q38" i="10"/>
  <c r="AF38" i="10"/>
  <c r="AU38" i="10"/>
  <c r="R38" i="10"/>
  <c r="AG38" i="10"/>
  <c r="AV38" i="10"/>
  <c r="H38" i="9"/>
  <c r="W38" i="9"/>
  <c r="AL38" i="9"/>
  <c r="I38" i="9"/>
  <c r="X38" i="9"/>
  <c r="AM38" i="9"/>
  <c r="J38" i="9"/>
  <c r="Y38" i="9"/>
  <c r="AN38" i="9"/>
  <c r="K38" i="9"/>
  <c r="Z38" i="9"/>
  <c r="AO38" i="9"/>
  <c r="L38" i="9"/>
  <c r="AA38" i="9"/>
  <c r="AP38" i="9"/>
  <c r="M38" i="9"/>
  <c r="AB38" i="9"/>
  <c r="AQ38" i="9"/>
  <c r="N38" i="9"/>
  <c r="AC38" i="9"/>
  <c r="AR38" i="9"/>
  <c r="O38" i="9"/>
  <c r="AD38" i="9"/>
  <c r="AS38" i="9"/>
  <c r="P38" i="9"/>
  <c r="AE38" i="9"/>
  <c r="AT38" i="9"/>
  <c r="Q38" i="9"/>
  <c r="AF38" i="9"/>
  <c r="AU38" i="9"/>
  <c r="R38" i="9"/>
  <c r="AG38" i="9"/>
  <c r="AV38" i="9"/>
  <c r="H37" i="7"/>
  <c r="W37" i="7"/>
  <c r="AL37" i="7"/>
  <c r="I37" i="7"/>
  <c r="X37" i="7"/>
  <c r="AM37" i="7"/>
  <c r="J37" i="7"/>
  <c r="Y37" i="7"/>
  <c r="AN37" i="7"/>
  <c r="K37" i="7"/>
  <c r="Z37" i="7"/>
  <c r="AO37" i="7"/>
  <c r="L37" i="7"/>
  <c r="AA37" i="7"/>
  <c r="AP37" i="7"/>
  <c r="N37" i="7"/>
  <c r="AC37" i="7"/>
  <c r="AR37" i="7"/>
  <c r="O37" i="7"/>
  <c r="AD37" i="7"/>
  <c r="AS37" i="7"/>
  <c r="P37" i="7"/>
  <c r="AE37" i="7"/>
  <c r="AT37" i="7"/>
  <c r="Q37" i="7"/>
  <c r="AF37" i="7"/>
  <c r="AU37" i="7"/>
  <c r="R37" i="7"/>
  <c r="AG37" i="7"/>
  <c r="AV37" i="7"/>
  <c r="I37" i="8"/>
  <c r="X37" i="8"/>
  <c r="AM37" i="8"/>
  <c r="J37" i="8"/>
  <c r="Y37" i="8"/>
  <c r="AN37" i="8"/>
  <c r="L37" i="8"/>
  <c r="AA37" i="8"/>
  <c r="AP37" i="8"/>
  <c r="N37" i="8"/>
  <c r="AC37" i="8"/>
  <c r="AR37" i="8"/>
  <c r="P37" i="8"/>
  <c r="AE37" i="8"/>
  <c r="AT37" i="8"/>
  <c r="Q37" i="8"/>
  <c r="AF37" i="8"/>
  <c r="AU37" i="8"/>
  <c r="H37" i="8"/>
  <c r="W37" i="8"/>
  <c r="AL37" i="8"/>
  <c r="K37" i="8"/>
  <c r="Z37" i="8"/>
  <c r="AO37" i="8"/>
  <c r="M37" i="8"/>
  <c r="AB37" i="8"/>
  <c r="AQ37" i="8"/>
  <c r="O37" i="8"/>
  <c r="AD37" i="8"/>
  <c r="AS37" i="8"/>
  <c r="R37" i="8"/>
  <c r="AG37" i="8"/>
  <c r="AV37" i="8"/>
  <c r="M37" i="7"/>
  <c r="AB37" i="7"/>
  <c r="AQ37" i="7"/>
  <c r="D25" i="8"/>
  <c r="S25" i="8"/>
  <c r="AH25" i="8"/>
  <c r="AW12" i="7"/>
  <c r="X7" i="2" s="1"/>
  <c r="AX13" i="7"/>
  <c r="D13" i="7"/>
  <c r="F14" i="8"/>
  <c r="V13" i="8"/>
  <c r="AI13" i="8"/>
  <c r="E13" i="7"/>
  <c r="F13" i="7"/>
  <c r="G13" i="7"/>
  <c r="F12" i="9"/>
  <c r="AK11" i="9"/>
  <c r="AY11" i="9"/>
  <c r="AW11" i="10" l="1"/>
  <c r="AX12" i="10"/>
  <c r="AK13" i="8"/>
  <c r="AY13" i="8"/>
  <c r="H39" i="10"/>
  <c r="W39" i="10"/>
  <c r="AL39" i="10"/>
  <c r="I39" i="10"/>
  <c r="X39" i="10"/>
  <c r="AM39" i="10"/>
  <c r="J39" i="10"/>
  <c r="Y39" i="10"/>
  <c r="AN39" i="10"/>
  <c r="K39" i="10"/>
  <c r="Z39" i="10"/>
  <c r="AO39" i="10"/>
  <c r="L39" i="10"/>
  <c r="AA39" i="10"/>
  <c r="AP39" i="10"/>
  <c r="M39" i="10"/>
  <c r="AB39" i="10"/>
  <c r="AQ39" i="10"/>
  <c r="N39" i="10"/>
  <c r="AC39" i="10"/>
  <c r="AR39" i="10"/>
  <c r="O39" i="10"/>
  <c r="AD39" i="10"/>
  <c r="AS39" i="10"/>
  <c r="P39" i="10"/>
  <c r="AE39" i="10"/>
  <c r="AT39" i="10"/>
  <c r="Q39" i="10"/>
  <c r="AF39" i="10"/>
  <c r="AU39" i="10"/>
  <c r="R39" i="10"/>
  <c r="AG39" i="10"/>
  <c r="AV39" i="10"/>
  <c r="H39" i="9"/>
  <c r="W39" i="9"/>
  <c r="AL39" i="9"/>
  <c r="I39" i="9"/>
  <c r="X39" i="9"/>
  <c r="AM39" i="9"/>
  <c r="J39" i="9"/>
  <c r="Y39" i="9"/>
  <c r="AN39" i="9"/>
  <c r="K39" i="9"/>
  <c r="Z39" i="9"/>
  <c r="AO39" i="9"/>
  <c r="L39" i="9"/>
  <c r="AA39" i="9"/>
  <c r="AP39" i="9"/>
  <c r="M39" i="9"/>
  <c r="AB39" i="9"/>
  <c r="AQ39" i="9"/>
  <c r="N39" i="9"/>
  <c r="AC39" i="9"/>
  <c r="AR39" i="9"/>
  <c r="O39" i="9"/>
  <c r="AD39" i="9"/>
  <c r="AS39" i="9"/>
  <c r="P39" i="9"/>
  <c r="AE39" i="9"/>
  <c r="AT39" i="9"/>
  <c r="Q39" i="9"/>
  <c r="AF39" i="9"/>
  <c r="AU39" i="9"/>
  <c r="R39" i="9"/>
  <c r="AG39" i="9"/>
  <c r="AV39" i="9"/>
  <c r="H38" i="7"/>
  <c r="W38" i="7"/>
  <c r="AL38" i="7"/>
  <c r="I38" i="7"/>
  <c r="X38" i="7"/>
  <c r="AM38" i="7"/>
  <c r="J38" i="7"/>
  <c r="Y38" i="7"/>
  <c r="AN38" i="7"/>
  <c r="K38" i="7"/>
  <c r="Z38" i="7"/>
  <c r="AO38" i="7"/>
  <c r="L38" i="7"/>
  <c r="AA38" i="7"/>
  <c r="AP38" i="7"/>
  <c r="N38" i="7"/>
  <c r="AC38" i="7"/>
  <c r="AR38" i="7"/>
  <c r="O38" i="7"/>
  <c r="AD38" i="7"/>
  <c r="AS38" i="7"/>
  <c r="P38" i="7"/>
  <c r="AE38" i="7"/>
  <c r="AT38" i="7"/>
  <c r="Q38" i="7"/>
  <c r="AF38" i="7"/>
  <c r="AU38" i="7"/>
  <c r="R38" i="7"/>
  <c r="AG38" i="7"/>
  <c r="AV38" i="7"/>
  <c r="I38" i="8"/>
  <c r="X38" i="8"/>
  <c r="AM38" i="8"/>
  <c r="J38" i="8"/>
  <c r="Y38" i="8"/>
  <c r="AN38" i="8"/>
  <c r="L38" i="8"/>
  <c r="AA38" i="8"/>
  <c r="AP38" i="8"/>
  <c r="N38" i="8"/>
  <c r="AC38" i="8"/>
  <c r="AR38" i="8"/>
  <c r="P38" i="8"/>
  <c r="AE38" i="8"/>
  <c r="AT38" i="8"/>
  <c r="Q38" i="8"/>
  <c r="AF38" i="8"/>
  <c r="AU38" i="8"/>
  <c r="H38" i="8"/>
  <c r="W38" i="8"/>
  <c r="AL38" i="8"/>
  <c r="K38" i="8"/>
  <c r="Z38" i="8"/>
  <c r="AO38" i="8"/>
  <c r="M38" i="8"/>
  <c r="AB38" i="8"/>
  <c r="AQ38" i="8"/>
  <c r="O38" i="8"/>
  <c r="AD38" i="8"/>
  <c r="AS38" i="8"/>
  <c r="R38" i="8"/>
  <c r="AG38" i="8"/>
  <c r="AV38" i="8"/>
  <c r="M38" i="7"/>
  <c r="AB38" i="7"/>
  <c r="AQ38" i="7"/>
  <c r="D26" i="8"/>
  <c r="S26" i="8"/>
  <c r="AH26" i="8"/>
  <c r="C13" i="7"/>
  <c r="G14" i="8"/>
  <c r="AI14" i="8"/>
  <c r="E14" i="8"/>
  <c r="T14" i="8"/>
  <c r="AX14" i="8"/>
  <c r="AW13" i="8"/>
  <c r="G12" i="9"/>
  <c r="AX12" i="9"/>
  <c r="AW11" i="9"/>
  <c r="S12" i="10"/>
  <c r="T12" i="10" s="1"/>
  <c r="H40" i="10" l="1"/>
  <c r="W40" i="10"/>
  <c r="AL40" i="10"/>
  <c r="I40" i="10"/>
  <c r="X40" i="10"/>
  <c r="AM40" i="10"/>
  <c r="J40" i="10"/>
  <c r="Y40" i="10"/>
  <c r="AN40" i="10"/>
  <c r="K40" i="10"/>
  <c r="Z40" i="10"/>
  <c r="AO40" i="10"/>
  <c r="L40" i="10"/>
  <c r="AA40" i="10"/>
  <c r="AP40" i="10"/>
  <c r="M40" i="10"/>
  <c r="AB40" i="10"/>
  <c r="AQ40" i="10"/>
  <c r="N40" i="10"/>
  <c r="AC40" i="10"/>
  <c r="AR40" i="10"/>
  <c r="O40" i="10"/>
  <c r="AD40" i="10"/>
  <c r="AS40" i="10"/>
  <c r="P40" i="10"/>
  <c r="AE40" i="10"/>
  <c r="AT40" i="10"/>
  <c r="Q40" i="10"/>
  <c r="AF40" i="10"/>
  <c r="AU40" i="10"/>
  <c r="R40" i="10"/>
  <c r="AG40" i="10"/>
  <c r="AV40" i="10"/>
  <c r="H40" i="9"/>
  <c r="W40" i="9"/>
  <c r="AL40" i="9"/>
  <c r="I40" i="9"/>
  <c r="X40" i="9"/>
  <c r="AM40" i="9"/>
  <c r="J40" i="9"/>
  <c r="Y40" i="9"/>
  <c r="AN40" i="9"/>
  <c r="K40" i="9"/>
  <c r="Z40" i="9"/>
  <c r="AO40" i="9"/>
  <c r="L40" i="9"/>
  <c r="AA40" i="9"/>
  <c r="AP40" i="9"/>
  <c r="M40" i="9"/>
  <c r="AB40" i="9"/>
  <c r="AQ40" i="9"/>
  <c r="N40" i="9"/>
  <c r="AC40" i="9"/>
  <c r="AR40" i="9"/>
  <c r="O40" i="9"/>
  <c r="AD40" i="9"/>
  <c r="AS40" i="9"/>
  <c r="P40" i="9"/>
  <c r="AE40" i="9"/>
  <c r="AT40" i="9"/>
  <c r="Q40" i="9"/>
  <c r="AF40" i="9"/>
  <c r="AU40" i="9"/>
  <c r="R40" i="9"/>
  <c r="AG40" i="9"/>
  <c r="AV40" i="9"/>
  <c r="H39" i="7"/>
  <c r="W39" i="7"/>
  <c r="AL39" i="7"/>
  <c r="I39" i="7"/>
  <c r="X39" i="7"/>
  <c r="AM39" i="7"/>
  <c r="J39" i="7"/>
  <c r="Y39" i="7"/>
  <c r="AN39" i="7"/>
  <c r="K39" i="7"/>
  <c r="Z39" i="7"/>
  <c r="AO39" i="7"/>
  <c r="L39" i="7"/>
  <c r="AA39" i="7"/>
  <c r="AP39" i="7"/>
  <c r="N39" i="7"/>
  <c r="AC39" i="7"/>
  <c r="AR39" i="7"/>
  <c r="O39" i="7"/>
  <c r="AD39" i="7"/>
  <c r="AS39" i="7"/>
  <c r="P39" i="7"/>
  <c r="AE39" i="7"/>
  <c r="AT39" i="7"/>
  <c r="Q39" i="7"/>
  <c r="AF39" i="7"/>
  <c r="AU39" i="7"/>
  <c r="R39" i="7"/>
  <c r="AG39" i="7"/>
  <c r="AV39" i="7"/>
  <c r="I39" i="8"/>
  <c r="X39" i="8"/>
  <c r="AM39" i="8"/>
  <c r="J39" i="8"/>
  <c r="Y39" i="8"/>
  <c r="AN39" i="8"/>
  <c r="L39" i="8"/>
  <c r="AA39" i="8"/>
  <c r="AP39" i="8"/>
  <c r="N39" i="8"/>
  <c r="AC39" i="8"/>
  <c r="AR39" i="8"/>
  <c r="P39" i="8"/>
  <c r="AE39" i="8"/>
  <c r="AT39" i="8"/>
  <c r="Q39" i="8"/>
  <c r="AF39" i="8"/>
  <c r="AU39" i="8"/>
  <c r="H39" i="8"/>
  <c r="W39" i="8"/>
  <c r="AL39" i="8"/>
  <c r="K39" i="8"/>
  <c r="Z39" i="8"/>
  <c r="AO39" i="8"/>
  <c r="M39" i="8"/>
  <c r="AB39" i="8"/>
  <c r="AQ39" i="8"/>
  <c r="O39" i="8"/>
  <c r="AD39" i="8"/>
  <c r="AS39" i="8"/>
  <c r="R39" i="8"/>
  <c r="AG39" i="8"/>
  <c r="AV39" i="8"/>
  <c r="M39" i="7"/>
  <c r="AB39" i="7"/>
  <c r="AQ39" i="7"/>
  <c r="D27" i="8"/>
  <c r="S27" i="8"/>
  <c r="AH27" i="8"/>
  <c r="AI15" i="8"/>
  <c r="T15" i="8"/>
  <c r="E15" i="8"/>
  <c r="C14" i="8"/>
  <c r="U14" i="8" s="1"/>
  <c r="C12" i="9"/>
  <c r="AH12" i="10"/>
  <c r="AI12" i="10"/>
  <c r="U12" i="10"/>
  <c r="S13" i="7"/>
  <c r="T13" i="7" s="1"/>
  <c r="AI13" i="7" s="1"/>
  <c r="AJ14" i="8" l="1"/>
  <c r="V14" i="8"/>
  <c r="H41" i="10"/>
  <c r="W41" i="10"/>
  <c r="AL41" i="10"/>
  <c r="I41" i="10"/>
  <c r="X41" i="10"/>
  <c r="AM41" i="10"/>
  <c r="J41" i="10"/>
  <c r="Y41" i="10"/>
  <c r="AN41" i="10"/>
  <c r="K41" i="10"/>
  <c r="Z41" i="10"/>
  <c r="AO41" i="10"/>
  <c r="L41" i="10"/>
  <c r="AA41" i="10"/>
  <c r="AP41" i="10"/>
  <c r="M41" i="10"/>
  <c r="AB41" i="10"/>
  <c r="AQ41" i="10"/>
  <c r="N41" i="10"/>
  <c r="AC41" i="10"/>
  <c r="AR41" i="10"/>
  <c r="O41" i="10"/>
  <c r="AD41" i="10"/>
  <c r="AS41" i="10"/>
  <c r="P41" i="10"/>
  <c r="AE41" i="10"/>
  <c r="AT41" i="10"/>
  <c r="Q41" i="10"/>
  <c r="AF41" i="10"/>
  <c r="AU41" i="10"/>
  <c r="R41" i="10"/>
  <c r="AG41" i="10"/>
  <c r="AV41" i="10"/>
  <c r="H41" i="9"/>
  <c r="W41" i="9"/>
  <c r="AL41" i="9"/>
  <c r="I41" i="9"/>
  <c r="X41" i="9"/>
  <c r="AM41" i="9"/>
  <c r="J41" i="9"/>
  <c r="Y41" i="9"/>
  <c r="AN41" i="9"/>
  <c r="K41" i="9"/>
  <c r="Z41" i="9"/>
  <c r="AO41" i="9"/>
  <c r="L41" i="9"/>
  <c r="AA41" i="9"/>
  <c r="AP41" i="9"/>
  <c r="M41" i="9"/>
  <c r="AB41" i="9"/>
  <c r="AQ41" i="9"/>
  <c r="N41" i="9"/>
  <c r="AC41" i="9"/>
  <c r="AR41" i="9"/>
  <c r="O41" i="9"/>
  <c r="AD41" i="9"/>
  <c r="AS41" i="9"/>
  <c r="P41" i="9"/>
  <c r="AE41" i="9"/>
  <c r="AT41" i="9"/>
  <c r="Q41" i="9"/>
  <c r="AF41" i="9"/>
  <c r="AU41" i="9"/>
  <c r="R41" i="9"/>
  <c r="AG41" i="9"/>
  <c r="AV41" i="9"/>
  <c r="H40" i="7"/>
  <c r="W40" i="7"/>
  <c r="AL40" i="7"/>
  <c r="I40" i="7"/>
  <c r="X40" i="7"/>
  <c r="AM40" i="7"/>
  <c r="J40" i="7"/>
  <c r="Y40" i="7"/>
  <c r="AN40" i="7"/>
  <c r="K40" i="7"/>
  <c r="Z40" i="7"/>
  <c r="AO40" i="7"/>
  <c r="L40" i="7"/>
  <c r="AA40" i="7"/>
  <c r="AP40" i="7"/>
  <c r="N40" i="7"/>
  <c r="AC40" i="7"/>
  <c r="AR40" i="7"/>
  <c r="O40" i="7"/>
  <c r="AD40" i="7"/>
  <c r="AS40" i="7"/>
  <c r="P40" i="7"/>
  <c r="AE40" i="7"/>
  <c r="AT40" i="7"/>
  <c r="Q40" i="7"/>
  <c r="AF40" i="7"/>
  <c r="AU40" i="7"/>
  <c r="R40" i="7"/>
  <c r="AG40" i="7"/>
  <c r="AV40" i="7"/>
  <c r="I40" i="8"/>
  <c r="X40" i="8"/>
  <c r="AM40" i="8"/>
  <c r="J40" i="8"/>
  <c r="Y40" i="8"/>
  <c r="AN40" i="8"/>
  <c r="L40" i="8"/>
  <c r="AA40" i="8"/>
  <c r="AP40" i="8"/>
  <c r="N40" i="8"/>
  <c r="AC40" i="8"/>
  <c r="AR40" i="8"/>
  <c r="P40" i="8"/>
  <c r="AE40" i="8"/>
  <c r="AT40" i="8"/>
  <c r="Q40" i="8"/>
  <c r="AF40" i="8"/>
  <c r="AU40" i="8"/>
  <c r="H40" i="8"/>
  <c r="W40" i="8"/>
  <c r="AL40" i="8"/>
  <c r="K40" i="8"/>
  <c r="Z40" i="8"/>
  <c r="AO40" i="8"/>
  <c r="M40" i="8"/>
  <c r="AB40" i="8"/>
  <c r="AQ40" i="8"/>
  <c r="O40" i="8"/>
  <c r="AD40" i="8"/>
  <c r="AS40" i="8"/>
  <c r="R40" i="8"/>
  <c r="AG40" i="8"/>
  <c r="AV40" i="8"/>
  <c r="M40" i="7"/>
  <c r="AB40" i="7"/>
  <c r="AQ40" i="7"/>
  <c r="AH28" i="8"/>
  <c r="D28" i="8"/>
  <c r="S28" i="8"/>
  <c r="E16" i="8"/>
  <c r="T16" i="8"/>
  <c r="AI16" i="8"/>
  <c r="F15" i="8"/>
  <c r="S12" i="9"/>
  <c r="T12" i="9"/>
  <c r="AI12" i="9" s="1"/>
  <c r="D13" i="10"/>
  <c r="E13" i="10"/>
  <c r="V12" i="10"/>
  <c r="AJ12" i="10"/>
  <c r="U13" i="7"/>
  <c r="AH13" i="7"/>
  <c r="V13" i="7"/>
  <c r="AK13" i="7" s="1"/>
  <c r="E14" i="7"/>
  <c r="AK14" i="8" l="1"/>
  <c r="AY14" i="8"/>
  <c r="U12" i="9"/>
  <c r="AJ12" i="9" s="1"/>
  <c r="F13" i="9" s="1"/>
  <c r="H42" i="10"/>
  <c r="W42" i="10"/>
  <c r="AL42" i="10"/>
  <c r="I42" i="10"/>
  <c r="X42" i="10"/>
  <c r="AM42" i="10"/>
  <c r="J42" i="10"/>
  <c r="Y42" i="10"/>
  <c r="AN42" i="10"/>
  <c r="K42" i="10"/>
  <c r="Z42" i="10"/>
  <c r="AO42" i="10"/>
  <c r="L42" i="10"/>
  <c r="AA42" i="10"/>
  <c r="AP42" i="10"/>
  <c r="M42" i="10"/>
  <c r="AB42" i="10"/>
  <c r="AQ42" i="10"/>
  <c r="N42" i="10"/>
  <c r="AC42" i="10"/>
  <c r="AR42" i="10"/>
  <c r="O42" i="10"/>
  <c r="AD42" i="10"/>
  <c r="AS42" i="10"/>
  <c r="P42" i="10"/>
  <c r="AE42" i="10"/>
  <c r="AT42" i="10"/>
  <c r="Q42" i="10"/>
  <c r="AF42" i="10"/>
  <c r="AU42" i="10"/>
  <c r="R42" i="10"/>
  <c r="AG42" i="10"/>
  <c r="AV42" i="10"/>
  <c r="H42" i="9"/>
  <c r="W42" i="9"/>
  <c r="AL42" i="9"/>
  <c r="I42" i="9"/>
  <c r="X42" i="9"/>
  <c r="AM42" i="9"/>
  <c r="J42" i="9"/>
  <c r="Y42" i="9"/>
  <c r="AN42" i="9"/>
  <c r="K42" i="9"/>
  <c r="Z42" i="9"/>
  <c r="AO42" i="9"/>
  <c r="L42" i="9"/>
  <c r="AA42" i="9"/>
  <c r="AP42" i="9"/>
  <c r="M42" i="9"/>
  <c r="AB42" i="9"/>
  <c r="AQ42" i="9"/>
  <c r="N42" i="9"/>
  <c r="AC42" i="9"/>
  <c r="AR42" i="9"/>
  <c r="O42" i="9"/>
  <c r="AD42" i="9"/>
  <c r="AS42" i="9"/>
  <c r="P42" i="9"/>
  <c r="AE42" i="9"/>
  <c r="AT42" i="9"/>
  <c r="Q42" i="9"/>
  <c r="AF42" i="9"/>
  <c r="AU42" i="9"/>
  <c r="R42" i="9"/>
  <c r="AG42" i="9"/>
  <c r="AV42" i="9"/>
  <c r="H41" i="7"/>
  <c r="W41" i="7"/>
  <c r="AL41" i="7"/>
  <c r="I41" i="7"/>
  <c r="X41" i="7"/>
  <c r="AM41" i="7"/>
  <c r="J41" i="7"/>
  <c r="Y41" i="7"/>
  <c r="AN41" i="7"/>
  <c r="K41" i="7"/>
  <c r="Z41" i="7"/>
  <c r="AO41" i="7"/>
  <c r="L41" i="7"/>
  <c r="AA41" i="7"/>
  <c r="AP41" i="7"/>
  <c r="N41" i="7"/>
  <c r="AC41" i="7"/>
  <c r="AR41" i="7"/>
  <c r="O41" i="7"/>
  <c r="AD41" i="7"/>
  <c r="AS41" i="7"/>
  <c r="P41" i="7"/>
  <c r="AE41" i="7"/>
  <c r="AT41" i="7"/>
  <c r="Q41" i="7"/>
  <c r="AF41" i="7"/>
  <c r="AU41" i="7"/>
  <c r="R41" i="7"/>
  <c r="AG41" i="7"/>
  <c r="AV41" i="7"/>
  <c r="I41" i="8"/>
  <c r="X41" i="8"/>
  <c r="AM41" i="8"/>
  <c r="J41" i="8"/>
  <c r="Y41" i="8"/>
  <c r="AN41" i="8"/>
  <c r="L41" i="8"/>
  <c r="AA41" i="8"/>
  <c r="AP41" i="8"/>
  <c r="N41" i="8"/>
  <c r="AC41" i="8"/>
  <c r="AR41" i="8"/>
  <c r="P41" i="8"/>
  <c r="AE41" i="8"/>
  <c r="AT41" i="8"/>
  <c r="Q41" i="8"/>
  <c r="AF41" i="8"/>
  <c r="AU41" i="8"/>
  <c r="H41" i="8"/>
  <c r="W41" i="8"/>
  <c r="AL41" i="8"/>
  <c r="K41" i="8"/>
  <c r="Z41" i="8"/>
  <c r="AO41" i="8"/>
  <c r="M41" i="8"/>
  <c r="AB41" i="8"/>
  <c r="AQ41" i="8"/>
  <c r="O41" i="8"/>
  <c r="AD41" i="8"/>
  <c r="AS41" i="8"/>
  <c r="R41" i="8"/>
  <c r="AG41" i="8"/>
  <c r="AV41" i="8"/>
  <c r="M41" i="7"/>
  <c r="AB41" i="7"/>
  <c r="AQ41" i="7"/>
  <c r="D29" i="8"/>
  <c r="AH29" i="8"/>
  <c r="S29" i="8"/>
  <c r="E17" i="8"/>
  <c r="T17" i="8"/>
  <c r="AI17" i="8"/>
  <c r="V12" i="9"/>
  <c r="AK12" i="9" s="1"/>
  <c r="AY12" i="9"/>
  <c r="AH12" i="9"/>
  <c r="E13" i="9"/>
  <c r="AY12" i="10"/>
  <c r="AK12" i="10"/>
  <c r="F13" i="10"/>
  <c r="D14" i="7"/>
  <c r="G14" i="7"/>
  <c r="AX13" i="10"/>
  <c r="AW12" i="10"/>
  <c r="AJ13" i="7"/>
  <c r="AY13" i="7"/>
  <c r="AW14" i="8" l="1"/>
  <c r="AX15" i="8"/>
  <c r="G15" i="8"/>
  <c r="C15" i="8" s="1"/>
  <c r="U15" i="8" s="1"/>
  <c r="V15" i="8" s="1"/>
  <c r="AK15" i="8" s="1"/>
  <c r="AX14" i="7"/>
  <c r="AW13" i="7"/>
  <c r="H43" i="10"/>
  <c r="W43" i="10"/>
  <c r="AL43" i="10"/>
  <c r="I43" i="10"/>
  <c r="X43" i="10"/>
  <c r="AM43" i="10"/>
  <c r="J43" i="10"/>
  <c r="Y43" i="10"/>
  <c r="AN43" i="10"/>
  <c r="K43" i="10"/>
  <c r="Z43" i="10"/>
  <c r="AO43" i="10"/>
  <c r="L43" i="10"/>
  <c r="AA43" i="10"/>
  <c r="AP43" i="10"/>
  <c r="M43" i="10"/>
  <c r="AB43" i="10"/>
  <c r="AQ43" i="10"/>
  <c r="N43" i="10"/>
  <c r="AC43" i="10"/>
  <c r="AR43" i="10"/>
  <c r="O43" i="10"/>
  <c r="AD43" i="10"/>
  <c r="AS43" i="10"/>
  <c r="P43" i="10"/>
  <c r="AE43" i="10"/>
  <c r="AT43" i="10"/>
  <c r="Q43" i="10"/>
  <c r="AF43" i="10"/>
  <c r="AU43" i="10"/>
  <c r="R43" i="10"/>
  <c r="AG43" i="10"/>
  <c r="AV43" i="10"/>
  <c r="H43" i="9"/>
  <c r="W43" i="9"/>
  <c r="AL43" i="9"/>
  <c r="I43" i="9"/>
  <c r="X43" i="9"/>
  <c r="AM43" i="9"/>
  <c r="J43" i="9"/>
  <c r="Y43" i="9"/>
  <c r="AN43" i="9"/>
  <c r="K43" i="9"/>
  <c r="Z43" i="9"/>
  <c r="AO43" i="9"/>
  <c r="L43" i="9"/>
  <c r="AA43" i="9"/>
  <c r="AP43" i="9"/>
  <c r="M43" i="9"/>
  <c r="AB43" i="9"/>
  <c r="AQ43" i="9"/>
  <c r="N43" i="9"/>
  <c r="AC43" i="9"/>
  <c r="AR43" i="9"/>
  <c r="O43" i="9"/>
  <c r="AD43" i="9"/>
  <c r="AS43" i="9"/>
  <c r="P43" i="9"/>
  <c r="AE43" i="9"/>
  <c r="AT43" i="9"/>
  <c r="Q43" i="9"/>
  <c r="AF43" i="9"/>
  <c r="AU43" i="9"/>
  <c r="R43" i="9"/>
  <c r="AG43" i="9"/>
  <c r="AV43" i="9"/>
  <c r="H42" i="7"/>
  <c r="W42" i="7"/>
  <c r="AL42" i="7"/>
  <c r="I42" i="7"/>
  <c r="X42" i="7"/>
  <c r="AM42" i="7"/>
  <c r="J42" i="7"/>
  <c r="Y42" i="7"/>
  <c r="AN42" i="7"/>
  <c r="K42" i="7"/>
  <c r="Z42" i="7"/>
  <c r="AO42" i="7"/>
  <c r="L42" i="7"/>
  <c r="AA42" i="7"/>
  <c r="AP42" i="7"/>
  <c r="N42" i="7"/>
  <c r="AC42" i="7"/>
  <c r="AR42" i="7"/>
  <c r="O42" i="7"/>
  <c r="AD42" i="7"/>
  <c r="AS42" i="7"/>
  <c r="P42" i="7"/>
  <c r="AE42" i="7"/>
  <c r="AT42" i="7"/>
  <c r="Q42" i="7"/>
  <c r="AF42" i="7"/>
  <c r="AU42" i="7"/>
  <c r="R42" i="7"/>
  <c r="AG42" i="7"/>
  <c r="AV42" i="7"/>
  <c r="I42" i="8"/>
  <c r="X42" i="8"/>
  <c r="AM42" i="8"/>
  <c r="J42" i="8"/>
  <c r="Y42" i="8"/>
  <c r="AN42" i="8"/>
  <c r="L42" i="8"/>
  <c r="AA42" i="8"/>
  <c r="AP42" i="8"/>
  <c r="N42" i="8"/>
  <c r="AC42" i="8"/>
  <c r="AR42" i="8"/>
  <c r="P42" i="8"/>
  <c r="AE42" i="8"/>
  <c r="AT42" i="8"/>
  <c r="Q42" i="8"/>
  <c r="AF42" i="8"/>
  <c r="AU42" i="8"/>
  <c r="H42" i="8"/>
  <c r="W42" i="8"/>
  <c r="AL42" i="8"/>
  <c r="K42" i="8"/>
  <c r="Z42" i="8"/>
  <c r="AO42" i="8"/>
  <c r="M42" i="8"/>
  <c r="AB42" i="8"/>
  <c r="AQ42" i="8"/>
  <c r="O42" i="8"/>
  <c r="AD42" i="8"/>
  <c r="AS42" i="8"/>
  <c r="R42" i="8"/>
  <c r="AG42" i="8"/>
  <c r="AV42" i="8"/>
  <c r="M42" i="7"/>
  <c r="AB42" i="7"/>
  <c r="AQ42" i="7"/>
  <c r="S30" i="8"/>
  <c r="D30" i="8"/>
  <c r="AH30" i="8"/>
  <c r="E18" i="8"/>
  <c r="T18" i="8"/>
  <c r="AI18" i="8"/>
  <c r="G13" i="9"/>
  <c r="D13" i="9"/>
  <c r="AW12" i="9"/>
  <c r="S13" i="9"/>
  <c r="AH13" i="9"/>
  <c r="AX13" i="9"/>
  <c r="G13" i="10"/>
  <c r="F14" i="7"/>
  <c r="H44" i="10" l="1"/>
  <c r="W44" i="10"/>
  <c r="AL44" i="10"/>
  <c r="I44" i="10"/>
  <c r="X44" i="10"/>
  <c r="AM44" i="10"/>
  <c r="J44" i="10"/>
  <c r="Y44" i="10"/>
  <c r="AN44" i="10"/>
  <c r="K44" i="10"/>
  <c r="Z44" i="10"/>
  <c r="AO44" i="10"/>
  <c r="L44" i="10"/>
  <c r="AA44" i="10"/>
  <c r="AP44" i="10"/>
  <c r="M44" i="10"/>
  <c r="AB44" i="10"/>
  <c r="AQ44" i="10"/>
  <c r="N44" i="10"/>
  <c r="AC44" i="10"/>
  <c r="AR44" i="10"/>
  <c r="O44" i="10"/>
  <c r="AD44" i="10"/>
  <c r="AS44" i="10"/>
  <c r="P44" i="10"/>
  <c r="AE44" i="10"/>
  <c r="AT44" i="10"/>
  <c r="Q44" i="10"/>
  <c r="AF44" i="10"/>
  <c r="AU44" i="10"/>
  <c r="R44" i="10"/>
  <c r="AG44" i="10"/>
  <c r="AV44" i="10"/>
  <c r="H44" i="9"/>
  <c r="W44" i="9"/>
  <c r="AL44" i="9"/>
  <c r="I44" i="9"/>
  <c r="X44" i="9"/>
  <c r="AM44" i="9"/>
  <c r="J44" i="9"/>
  <c r="Y44" i="9"/>
  <c r="AN44" i="9"/>
  <c r="K44" i="9"/>
  <c r="Z44" i="9"/>
  <c r="AO44" i="9"/>
  <c r="L44" i="9"/>
  <c r="AA44" i="9"/>
  <c r="AP44" i="9"/>
  <c r="M44" i="9"/>
  <c r="AB44" i="9"/>
  <c r="AQ44" i="9"/>
  <c r="N44" i="9"/>
  <c r="AC44" i="9"/>
  <c r="AR44" i="9"/>
  <c r="O44" i="9"/>
  <c r="AD44" i="9"/>
  <c r="AS44" i="9"/>
  <c r="P44" i="9"/>
  <c r="AE44" i="9"/>
  <c r="AT44" i="9"/>
  <c r="Q44" i="9"/>
  <c r="AF44" i="9"/>
  <c r="AU44" i="9"/>
  <c r="R44" i="9"/>
  <c r="AG44" i="9"/>
  <c r="AV44" i="9"/>
  <c r="H43" i="7"/>
  <c r="W43" i="7"/>
  <c r="AL43" i="7"/>
  <c r="I43" i="7"/>
  <c r="X43" i="7"/>
  <c r="AM43" i="7"/>
  <c r="J43" i="7"/>
  <c r="Y43" i="7"/>
  <c r="AN43" i="7"/>
  <c r="K43" i="7"/>
  <c r="Z43" i="7"/>
  <c r="AO43" i="7"/>
  <c r="L43" i="7"/>
  <c r="AA43" i="7"/>
  <c r="AP43" i="7"/>
  <c r="N43" i="7"/>
  <c r="AC43" i="7"/>
  <c r="AR43" i="7"/>
  <c r="O43" i="7"/>
  <c r="AD43" i="7"/>
  <c r="AS43" i="7"/>
  <c r="P43" i="7"/>
  <c r="AE43" i="7"/>
  <c r="AT43" i="7"/>
  <c r="Q43" i="7"/>
  <c r="AF43" i="7"/>
  <c r="AU43" i="7"/>
  <c r="R43" i="7"/>
  <c r="AG43" i="7"/>
  <c r="AV43" i="7"/>
  <c r="I43" i="8"/>
  <c r="X43" i="8"/>
  <c r="AM43" i="8"/>
  <c r="J43" i="8"/>
  <c r="Y43" i="8"/>
  <c r="AN43" i="8"/>
  <c r="L43" i="8"/>
  <c r="AA43" i="8"/>
  <c r="AP43" i="8"/>
  <c r="N43" i="8"/>
  <c r="AC43" i="8"/>
  <c r="AR43" i="8"/>
  <c r="P43" i="8"/>
  <c r="AE43" i="8"/>
  <c r="AT43" i="8"/>
  <c r="Q43" i="8"/>
  <c r="AF43" i="8"/>
  <c r="AU43" i="8"/>
  <c r="H43" i="8"/>
  <c r="W43" i="8"/>
  <c r="AL43" i="8"/>
  <c r="K43" i="8"/>
  <c r="Z43" i="8"/>
  <c r="AO43" i="8"/>
  <c r="M43" i="8"/>
  <c r="AB43" i="8"/>
  <c r="AQ43" i="8"/>
  <c r="O43" i="8"/>
  <c r="AD43" i="8"/>
  <c r="AS43" i="8"/>
  <c r="R43" i="8"/>
  <c r="AG43" i="8"/>
  <c r="AV43" i="8"/>
  <c r="M43" i="7"/>
  <c r="AB43" i="7"/>
  <c r="AQ43" i="7"/>
  <c r="D31" i="8"/>
  <c r="S31" i="8"/>
  <c r="AH31" i="8"/>
  <c r="E19" i="8"/>
  <c r="T19" i="8"/>
  <c r="AI19" i="8"/>
  <c r="C13" i="9"/>
  <c r="D14" i="9"/>
  <c r="S14" i="9"/>
  <c r="AH14" i="9"/>
  <c r="G16" i="8"/>
  <c r="AY15" i="8"/>
  <c r="AJ15" i="8"/>
  <c r="C13" i="10"/>
  <c r="C14" i="7"/>
  <c r="H45" i="10" l="1"/>
  <c r="W45" i="10"/>
  <c r="AL45" i="10"/>
  <c r="I45" i="10"/>
  <c r="X45" i="10"/>
  <c r="AM45" i="10"/>
  <c r="J45" i="10"/>
  <c r="Y45" i="10"/>
  <c r="AN45" i="10"/>
  <c r="K45" i="10"/>
  <c r="Z45" i="10"/>
  <c r="AO45" i="10"/>
  <c r="L45" i="10"/>
  <c r="AA45" i="10"/>
  <c r="AP45" i="10"/>
  <c r="M45" i="10"/>
  <c r="AB45" i="10"/>
  <c r="AQ45" i="10"/>
  <c r="N45" i="10"/>
  <c r="AC45" i="10"/>
  <c r="AR45" i="10"/>
  <c r="O45" i="10"/>
  <c r="AD45" i="10"/>
  <c r="AS45" i="10"/>
  <c r="P45" i="10"/>
  <c r="AE45" i="10"/>
  <c r="AT45" i="10"/>
  <c r="Q45" i="10"/>
  <c r="AF45" i="10"/>
  <c r="AU45" i="10"/>
  <c r="R45" i="10"/>
  <c r="AG45" i="10"/>
  <c r="AV45" i="10"/>
  <c r="H45" i="9"/>
  <c r="W45" i="9"/>
  <c r="AL45" i="9"/>
  <c r="I45" i="9"/>
  <c r="X45" i="9"/>
  <c r="AM45" i="9"/>
  <c r="J45" i="9"/>
  <c r="Y45" i="9"/>
  <c r="AN45" i="9"/>
  <c r="K45" i="9"/>
  <c r="Z45" i="9"/>
  <c r="AO45" i="9"/>
  <c r="L45" i="9"/>
  <c r="AA45" i="9"/>
  <c r="AP45" i="9"/>
  <c r="M45" i="9"/>
  <c r="AB45" i="9"/>
  <c r="AQ45" i="9"/>
  <c r="N45" i="9"/>
  <c r="AC45" i="9"/>
  <c r="AR45" i="9"/>
  <c r="O45" i="9"/>
  <c r="AD45" i="9"/>
  <c r="AS45" i="9"/>
  <c r="P45" i="9"/>
  <c r="AE45" i="9"/>
  <c r="AT45" i="9"/>
  <c r="Q45" i="9"/>
  <c r="AF45" i="9"/>
  <c r="AU45" i="9"/>
  <c r="R45" i="9"/>
  <c r="AG45" i="9"/>
  <c r="AV45" i="9"/>
  <c r="H44" i="7"/>
  <c r="W44" i="7"/>
  <c r="AL44" i="7"/>
  <c r="I44" i="7"/>
  <c r="X44" i="7"/>
  <c r="AM44" i="7"/>
  <c r="J44" i="7"/>
  <c r="Y44" i="7"/>
  <c r="AN44" i="7"/>
  <c r="K44" i="7"/>
  <c r="Z44" i="7"/>
  <c r="AO44" i="7"/>
  <c r="L44" i="7"/>
  <c r="AA44" i="7"/>
  <c r="AP44" i="7"/>
  <c r="N44" i="7"/>
  <c r="AC44" i="7"/>
  <c r="AR44" i="7"/>
  <c r="O44" i="7"/>
  <c r="AD44" i="7"/>
  <c r="AS44" i="7"/>
  <c r="P44" i="7"/>
  <c r="AE44" i="7"/>
  <c r="AT44" i="7"/>
  <c r="Q44" i="7"/>
  <c r="AF44" i="7"/>
  <c r="AU44" i="7"/>
  <c r="R44" i="7"/>
  <c r="AG44" i="7"/>
  <c r="AV44" i="7"/>
  <c r="I44" i="8"/>
  <c r="X44" i="8"/>
  <c r="AM44" i="8"/>
  <c r="J44" i="8"/>
  <c r="Y44" i="8"/>
  <c r="AN44" i="8"/>
  <c r="L44" i="8"/>
  <c r="AA44" i="8"/>
  <c r="AP44" i="8"/>
  <c r="N44" i="8"/>
  <c r="AC44" i="8"/>
  <c r="AR44" i="8"/>
  <c r="P44" i="8"/>
  <c r="AE44" i="8"/>
  <c r="AT44" i="8"/>
  <c r="Q44" i="8"/>
  <c r="AF44" i="8"/>
  <c r="AU44" i="8"/>
  <c r="H44" i="8"/>
  <c r="W44" i="8"/>
  <c r="AL44" i="8"/>
  <c r="K44" i="8"/>
  <c r="Z44" i="8"/>
  <c r="AO44" i="8"/>
  <c r="M44" i="8"/>
  <c r="AB44" i="8"/>
  <c r="AQ44" i="8"/>
  <c r="O44" i="8"/>
  <c r="AD44" i="8"/>
  <c r="AS44" i="8"/>
  <c r="R44" i="8"/>
  <c r="AG44" i="8"/>
  <c r="AV44" i="8"/>
  <c r="M44" i="7"/>
  <c r="AB44" i="7"/>
  <c r="AQ44" i="7"/>
  <c r="D32" i="8"/>
  <c r="S32" i="8"/>
  <c r="AH32" i="8"/>
  <c r="E20" i="8"/>
  <c r="T20" i="8"/>
  <c r="AI20" i="8"/>
  <c r="T13" i="9"/>
  <c r="D15" i="9"/>
  <c r="S15" i="9"/>
  <c r="AH15" i="9"/>
  <c r="F16" i="8"/>
  <c r="AW15" i="8"/>
  <c r="W8" i="2" s="1"/>
  <c r="AX16" i="8"/>
  <c r="S13" i="10"/>
  <c r="S14" i="7"/>
  <c r="T14" i="7" s="1"/>
  <c r="H46" i="10" l="1"/>
  <c r="AL46" i="10"/>
  <c r="W46" i="10"/>
  <c r="I46" i="10"/>
  <c r="AM46" i="10"/>
  <c r="X46" i="10"/>
  <c r="J46" i="10"/>
  <c r="AN46" i="10"/>
  <c r="Y46" i="10"/>
  <c r="K46" i="10"/>
  <c r="Z46" i="10"/>
  <c r="AO46" i="10"/>
  <c r="L46" i="10"/>
  <c r="AA46" i="10"/>
  <c r="AP46" i="10"/>
  <c r="M46" i="10"/>
  <c r="AQ46" i="10"/>
  <c r="AB46" i="10"/>
  <c r="N46" i="10"/>
  <c r="AR46" i="10"/>
  <c r="AC46" i="10"/>
  <c r="O46" i="10"/>
  <c r="AD46" i="10"/>
  <c r="AS46" i="10"/>
  <c r="AE46" i="10"/>
  <c r="AT46" i="10"/>
  <c r="P46" i="10"/>
  <c r="AU46" i="10"/>
  <c r="AF46" i="10"/>
  <c r="Q46" i="10"/>
  <c r="R46" i="10"/>
  <c r="AV46" i="10"/>
  <c r="AG46" i="10"/>
  <c r="H46" i="9"/>
  <c r="W46" i="9"/>
  <c r="AL46" i="9"/>
  <c r="I46" i="9"/>
  <c r="X46" i="9"/>
  <c r="AM46" i="9"/>
  <c r="J46" i="9"/>
  <c r="Y46" i="9"/>
  <c r="AN46" i="9"/>
  <c r="K46" i="9"/>
  <c r="Z46" i="9"/>
  <c r="AO46" i="9"/>
  <c r="L46" i="9"/>
  <c r="AA46" i="9"/>
  <c r="AP46" i="9"/>
  <c r="M46" i="9"/>
  <c r="AB46" i="9"/>
  <c r="AQ46" i="9"/>
  <c r="N46" i="9"/>
  <c r="AC46" i="9"/>
  <c r="AR46" i="9"/>
  <c r="O46" i="9"/>
  <c r="AD46" i="9"/>
  <c r="AS46" i="9"/>
  <c r="P46" i="9"/>
  <c r="AE46" i="9"/>
  <c r="AT46" i="9"/>
  <c r="Q46" i="9"/>
  <c r="AF46" i="9"/>
  <c r="AU46" i="9"/>
  <c r="R46" i="9"/>
  <c r="AG46" i="9"/>
  <c r="AV46" i="9"/>
  <c r="H45" i="7"/>
  <c r="W45" i="7"/>
  <c r="AL45" i="7"/>
  <c r="I45" i="7"/>
  <c r="X45" i="7"/>
  <c r="AM45" i="7"/>
  <c r="J45" i="7"/>
  <c r="Y45" i="7"/>
  <c r="AN45" i="7"/>
  <c r="K45" i="7"/>
  <c r="Z45" i="7"/>
  <c r="AO45" i="7"/>
  <c r="L45" i="7"/>
  <c r="AA45" i="7"/>
  <c r="AP45" i="7"/>
  <c r="N45" i="7"/>
  <c r="AC45" i="7"/>
  <c r="AR45" i="7"/>
  <c r="O45" i="7"/>
  <c r="AD45" i="7"/>
  <c r="AS45" i="7"/>
  <c r="P45" i="7"/>
  <c r="AE45" i="7"/>
  <c r="AT45" i="7"/>
  <c r="Q45" i="7"/>
  <c r="AF45" i="7"/>
  <c r="AU45" i="7"/>
  <c r="R45" i="7"/>
  <c r="AG45" i="7"/>
  <c r="AV45" i="7"/>
  <c r="I45" i="8"/>
  <c r="X45" i="8"/>
  <c r="AM45" i="8"/>
  <c r="J45" i="8"/>
  <c r="Y45" i="8"/>
  <c r="AN45" i="8"/>
  <c r="L45" i="8"/>
  <c r="AA45" i="8"/>
  <c r="AP45" i="8"/>
  <c r="N45" i="8"/>
  <c r="AC45" i="8"/>
  <c r="AR45" i="8"/>
  <c r="P45" i="8"/>
  <c r="AE45" i="8"/>
  <c r="AT45" i="8"/>
  <c r="Q45" i="8"/>
  <c r="AF45" i="8"/>
  <c r="AU45" i="8"/>
  <c r="H45" i="8"/>
  <c r="W45" i="8"/>
  <c r="AL45" i="8"/>
  <c r="K45" i="8"/>
  <c r="Z45" i="8"/>
  <c r="AO45" i="8"/>
  <c r="M45" i="8"/>
  <c r="AB45" i="8"/>
  <c r="AQ45" i="8"/>
  <c r="O45" i="8"/>
  <c r="AD45" i="8"/>
  <c r="AS45" i="8"/>
  <c r="R45" i="8"/>
  <c r="AG45" i="8"/>
  <c r="AV45" i="8"/>
  <c r="M45" i="7"/>
  <c r="AB45" i="7"/>
  <c r="AQ45" i="7"/>
  <c r="D33" i="8"/>
  <c r="S33" i="8"/>
  <c r="AH33" i="8"/>
  <c r="E21" i="8"/>
  <c r="T21" i="8"/>
  <c r="AI21" i="8"/>
  <c r="AI13" i="9"/>
  <c r="D16" i="9"/>
  <c r="S16" i="9"/>
  <c r="AH16" i="9"/>
  <c r="C16" i="8"/>
  <c r="U16" i="8" s="1"/>
  <c r="AH13" i="10"/>
  <c r="U14" i="7"/>
  <c r="AH14" i="7"/>
  <c r="U13" i="9"/>
  <c r="T13" i="10"/>
  <c r="AI14" i="7"/>
  <c r="AL47" i="10" l="1"/>
  <c r="H47" i="10"/>
  <c r="W47" i="10"/>
  <c r="AM47" i="10"/>
  <c r="I47" i="10"/>
  <c r="X47" i="10"/>
  <c r="AN47" i="10"/>
  <c r="J47" i="10"/>
  <c r="Y47" i="10"/>
  <c r="AO47" i="10"/>
  <c r="K47" i="10"/>
  <c r="Z47" i="10"/>
  <c r="AA47" i="10"/>
  <c r="AP47" i="10"/>
  <c r="L47" i="10"/>
  <c r="M47" i="10"/>
  <c r="AB47" i="10"/>
  <c r="AQ47" i="10"/>
  <c r="N47" i="10"/>
  <c r="AC47" i="10"/>
  <c r="AR47" i="10"/>
  <c r="O47" i="10"/>
  <c r="AD47" i="10"/>
  <c r="AS47" i="10"/>
  <c r="P47" i="10"/>
  <c r="AE47" i="10"/>
  <c r="AT47" i="10"/>
  <c r="AU47" i="10"/>
  <c r="Q47" i="10"/>
  <c r="AF47" i="10"/>
  <c r="R47" i="10"/>
  <c r="AV47" i="10"/>
  <c r="AG47" i="10"/>
  <c r="H47" i="9"/>
  <c r="W47" i="9"/>
  <c r="AL47" i="9"/>
  <c r="I47" i="9"/>
  <c r="X47" i="9"/>
  <c r="AM47" i="9"/>
  <c r="J47" i="9"/>
  <c r="Y47" i="9"/>
  <c r="AN47" i="9"/>
  <c r="K47" i="9"/>
  <c r="Z47" i="9"/>
  <c r="AO47" i="9"/>
  <c r="L47" i="9"/>
  <c r="AA47" i="9"/>
  <c r="AP47" i="9"/>
  <c r="M47" i="9"/>
  <c r="AB47" i="9"/>
  <c r="AQ47" i="9"/>
  <c r="N47" i="9"/>
  <c r="AC47" i="9"/>
  <c r="AR47" i="9"/>
  <c r="O47" i="9"/>
  <c r="AD47" i="9"/>
  <c r="AS47" i="9"/>
  <c r="P47" i="9"/>
  <c r="AE47" i="9"/>
  <c r="AT47" i="9"/>
  <c r="Q47" i="9"/>
  <c r="AF47" i="9"/>
  <c r="AU47" i="9"/>
  <c r="R47" i="9"/>
  <c r="AG47" i="9"/>
  <c r="AV47" i="9"/>
  <c r="H46" i="7"/>
  <c r="W46" i="7"/>
  <c r="AL46" i="7"/>
  <c r="I46" i="7"/>
  <c r="X46" i="7"/>
  <c r="AM46" i="7"/>
  <c r="J46" i="7"/>
  <c r="Y46" i="7"/>
  <c r="AN46" i="7"/>
  <c r="K46" i="7"/>
  <c r="Z46" i="7"/>
  <c r="AO46" i="7"/>
  <c r="L46" i="7"/>
  <c r="AA46" i="7"/>
  <c r="AP46" i="7"/>
  <c r="N46" i="7"/>
  <c r="AC46" i="7"/>
  <c r="AR46" i="7"/>
  <c r="O46" i="7"/>
  <c r="AD46" i="7"/>
  <c r="AS46" i="7"/>
  <c r="P46" i="7"/>
  <c r="AE46" i="7"/>
  <c r="AT46" i="7"/>
  <c r="Q46" i="7"/>
  <c r="AF46" i="7"/>
  <c r="AU46" i="7"/>
  <c r="R46" i="7"/>
  <c r="AG46" i="7"/>
  <c r="AV46" i="7"/>
  <c r="I46" i="8"/>
  <c r="X46" i="8"/>
  <c r="AM46" i="8"/>
  <c r="J46" i="8"/>
  <c r="Y46" i="8"/>
  <c r="AN46" i="8"/>
  <c r="L46" i="8"/>
  <c r="AA46" i="8"/>
  <c r="AP46" i="8"/>
  <c r="N46" i="8"/>
  <c r="AC46" i="8"/>
  <c r="AR46" i="8"/>
  <c r="P46" i="8"/>
  <c r="AE46" i="8"/>
  <c r="AT46" i="8"/>
  <c r="Q46" i="8"/>
  <c r="AF46" i="8"/>
  <c r="AU46" i="8"/>
  <c r="H46" i="8"/>
  <c r="W46" i="8"/>
  <c r="AL46" i="8"/>
  <c r="K46" i="8"/>
  <c r="Z46" i="8"/>
  <c r="AO46" i="8"/>
  <c r="M46" i="8"/>
  <c r="AB46" i="8"/>
  <c r="AQ46" i="8"/>
  <c r="O46" i="8"/>
  <c r="AD46" i="8"/>
  <c r="AS46" i="8"/>
  <c r="R46" i="8"/>
  <c r="AG46" i="8"/>
  <c r="AV46" i="8"/>
  <c r="M46" i="7"/>
  <c r="AB46" i="7"/>
  <c r="AQ46" i="7"/>
  <c r="D34" i="8"/>
  <c r="S34" i="8"/>
  <c r="AH34" i="8"/>
  <c r="E22" i="8"/>
  <c r="T22" i="8"/>
  <c r="AI22" i="8"/>
  <c r="E14" i="9"/>
  <c r="D17" i="9"/>
  <c r="S17" i="9"/>
  <c r="AH17" i="9"/>
  <c r="D14" i="10"/>
  <c r="D15" i="7"/>
  <c r="E15" i="7"/>
  <c r="V16" i="8"/>
  <c r="AJ16" i="8"/>
  <c r="AJ14" i="7"/>
  <c r="V14" i="7"/>
  <c r="AJ13" i="9"/>
  <c r="V13" i="9"/>
  <c r="AI13" i="10"/>
  <c r="U13" i="10"/>
  <c r="V13" i="10" s="1"/>
  <c r="AK13" i="10" s="1"/>
  <c r="AX15" i="7" l="1"/>
  <c r="AW14" i="7"/>
  <c r="AK14" i="7"/>
  <c r="AY14" i="7"/>
  <c r="W48" i="10"/>
  <c r="AL48" i="10"/>
  <c r="H48" i="10"/>
  <c r="I48" i="10"/>
  <c r="AM48" i="10"/>
  <c r="X48" i="10"/>
  <c r="Y48" i="10"/>
  <c r="AN48" i="10"/>
  <c r="J48" i="10"/>
  <c r="Z48" i="10"/>
  <c r="K48" i="10"/>
  <c r="AO48" i="10"/>
  <c r="L48" i="10"/>
  <c r="AA48" i="10"/>
  <c r="AP48" i="10"/>
  <c r="M48" i="10"/>
  <c r="AB48" i="10"/>
  <c r="AQ48" i="10"/>
  <c r="N48" i="10"/>
  <c r="AC48" i="10"/>
  <c r="AR48" i="10"/>
  <c r="O48" i="10"/>
  <c r="AS48" i="10"/>
  <c r="AD48" i="10"/>
  <c r="AE48" i="10"/>
  <c r="P48" i="10"/>
  <c r="AT48" i="10"/>
  <c r="AU48" i="10"/>
  <c r="AF48" i="10"/>
  <c r="Q48" i="10"/>
  <c r="R48" i="10"/>
  <c r="AV48" i="10"/>
  <c r="AG48" i="10"/>
  <c r="H48" i="9"/>
  <c r="W48" i="9"/>
  <c r="AL48" i="9"/>
  <c r="I48" i="9"/>
  <c r="X48" i="9"/>
  <c r="AM48" i="9"/>
  <c r="J48" i="9"/>
  <c r="Y48" i="9"/>
  <c r="AN48" i="9"/>
  <c r="K48" i="9"/>
  <c r="Z48" i="9"/>
  <c r="AO48" i="9"/>
  <c r="L48" i="9"/>
  <c r="AA48" i="9"/>
  <c r="AP48" i="9"/>
  <c r="M48" i="9"/>
  <c r="AB48" i="9"/>
  <c r="AQ48" i="9"/>
  <c r="N48" i="9"/>
  <c r="AC48" i="9"/>
  <c r="AR48" i="9"/>
  <c r="O48" i="9"/>
  <c r="AD48" i="9"/>
  <c r="AS48" i="9"/>
  <c r="P48" i="9"/>
  <c r="AE48" i="9"/>
  <c r="AT48" i="9"/>
  <c r="Q48" i="9"/>
  <c r="AF48" i="9"/>
  <c r="AU48" i="9"/>
  <c r="R48" i="9"/>
  <c r="AG48" i="9"/>
  <c r="AV48" i="9"/>
  <c r="H47" i="7"/>
  <c r="W47" i="7"/>
  <c r="AL47" i="7"/>
  <c r="I47" i="7"/>
  <c r="X47" i="7"/>
  <c r="AM47" i="7"/>
  <c r="J47" i="7"/>
  <c r="Y47" i="7"/>
  <c r="AN47" i="7"/>
  <c r="K47" i="7"/>
  <c r="Z47" i="7"/>
  <c r="AO47" i="7"/>
  <c r="L47" i="7"/>
  <c r="AA47" i="7"/>
  <c r="AP47" i="7"/>
  <c r="N47" i="7"/>
  <c r="AC47" i="7"/>
  <c r="AR47" i="7"/>
  <c r="O47" i="7"/>
  <c r="AD47" i="7"/>
  <c r="AS47" i="7"/>
  <c r="P47" i="7"/>
  <c r="AE47" i="7"/>
  <c r="AT47" i="7"/>
  <c r="Q47" i="7"/>
  <c r="AF47" i="7"/>
  <c r="AU47" i="7"/>
  <c r="R47" i="7"/>
  <c r="AG47" i="7"/>
  <c r="AV47" i="7"/>
  <c r="AM47" i="8"/>
  <c r="I47" i="8"/>
  <c r="X47" i="8"/>
  <c r="Y47" i="8"/>
  <c r="J47" i="8"/>
  <c r="AN47" i="8"/>
  <c r="AA47" i="8"/>
  <c r="L47" i="8"/>
  <c r="AP47" i="8"/>
  <c r="N47" i="8"/>
  <c r="AC47" i="8"/>
  <c r="AR47" i="8"/>
  <c r="P47" i="8"/>
  <c r="AE47" i="8"/>
  <c r="AT47" i="8"/>
  <c r="Q47" i="8"/>
  <c r="AF47" i="8"/>
  <c r="AU47" i="8"/>
  <c r="H47" i="8"/>
  <c r="AL47" i="8"/>
  <c r="W47" i="8"/>
  <c r="AO47" i="8"/>
  <c r="K47" i="8"/>
  <c r="Z47" i="8"/>
  <c r="M47" i="8"/>
  <c r="AB47" i="8"/>
  <c r="AQ47" i="8"/>
  <c r="O47" i="8"/>
  <c r="AD47" i="8"/>
  <c r="AS47" i="8"/>
  <c r="R47" i="8"/>
  <c r="AG47" i="8"/>
  <c r="AV47" i="8"/>
  <c r="M47" i="7"/>
  <c r="AB47" i="7"/>
  <c r="AQ47" i="7"/>
  <c r="D35" i="8"/>
  <c r="S35" i="8"/>
  <c r="AH35" i="8"/>
  <c r="E23" i="8"/>
  <c r="T23" i="8"/>
  <c r="AI23" i="8"/>
  <c r="D18" i="9"/>
  <c r="AH18" i="9"/>
  <c r="S18" i="9"/>
  <c r="AX17" i="8"/>
  <c r="AW16" i="8"/>
  <c r="F17" i="8"/>
  <c r="F15" i="7"/>
  <c r="G15" i="7"/>
  <c r="F14" i="9"/>
  <c r="E14" i="10"/>
  <c r="G14" i="10"/>
  <c r="AY13" i="10"/>
  <c r="AJ13" i="10"/>
  <c r="AK16" i="8"/>
  <c r="AY16" i="8"/>
  <c r="AK13" i="9"/>
  <c r="AY13" i="9"/>
  <c r="AL49" i="10" l="1"/>
  <c r="H49" i="10"/>
  <c r="W49" i="10"/>
  <c r="I49" i="10"/>
  <c r="AM49" i="10"/>
  <c r="X49" i="10"/>
  <c r="Y49" i="10"/>
  <c r="AN49" i="10"/>
  <c r="J49" i="10"/>
  <c r="K49" i="10"/>
  <c r="Z49" i="10"/>
  <c r="AO49" i="10"/>
  <c r="L49" i="10"/>
  <c r="AA49" i="10"/>
  <c r="AP49" i="10"/>
  <c r="AB49" i="10"/>
  <c r="M49" i="10"/>
  <c r="AQ49" i="10"/>
  <c r="AC49" i="10"/>
  <c r="AR49" i="10"/>
  <c r="N49" i="10"/>
  <c r="AS49" i="10"/>
  <c r="AD49" i="10"/>
  <c r="O49" i="10"/>
  <c r="AE49" i="10"/>
  <c r="P49" i="10"/>
  <c r="AT49" i="10"/>
  <c r="AU49" i="10"/>
  <c r="Q49" i="10"/>
  <c r="AF49" i="10"/>
  <c r="R49" i="10"/>
  <c r="AG49" i="10"/>
  <c r="AV49" i="10"/>
  <c r="H49" i="9"/>
  <c r="W49" i="9"/>
  <c r="AL49" i="9"/>
  <c r="I49" i="9"/>
  <c r="X49" i="9"/>
  <c r="AM49" i="9"/>
  <c r="Y49" i="9"/>
  <c r="AN49" i="9"/>
  <c r="J49" i="9"/>
  <c r="K49" i="9"/>
  <c r="Z49" i="9"/>
  <c r="AO49" i="9"/>
  <c r="L49" i="9"/>
  <c r="AA49" i="9"/>
  <c r="AP49" i="9"/>
  <c r="M49" i="9"/>
  <c r="AB49" i="9"/>
  <c r="AQ49" i="9"/>
  <c r="N49" i="9"/>
  <c r="AC49" i="9"/>
  <c r="AR49" i="9"/>
  <c r="AD49" i="9"/>
  <c r="AS49" i="9"/>
  <c r="O49" i="9"/>
  <c r="P49" i="9"/>
  <c r="AE49" i="9"/>
  <c r="AT49" i="9"/>
  <c r="Q49" i="9"/>
  <c r="AF49" i="9"/>
  <c r="AU49" i="9"/>
  <c r="R49" i="9"/>
  <c r="AG49" i="9"/>
  <c r="AV49" i="9"/>
  <c r="H48" i="7"/>
  <c r="W48" i="7"/>
  <c r="AL48" i="7"/>
  <c r="I48" i="7"/>
  <c r="X48" i="7"/>
  <c r="AM48" i="7"/>
  <c r="J48" i="7"/>
  <c r="Y48" i="7"/>
  <c r="AN48" i="7"/>
  <c r="K48" i="7"/>
  <c r="Z48" i="7"/>
  <c r="AO48" i="7"/>
  <c r="L48" i="7"/>
  <c r="AA48" i="7"/>
  <c r="AP48" i="7"/>
  <c r="N48" i="7"/>
  <c r="AC48" i="7"/>
  <c r="AR48" i="7"/>
  <c r="O48" i="7"/>
  <c r="AD48" i="7"/>
  <c r="AS48" i="7"/>
  <c r="P48" i="7"/>
  <c r="AE48" i="7"/>
  <c r="AT48" i="7"/>
  <c r="Q48" i="7"/>
  <c r="AF48" i="7"/>
  <c r="AU48" i="7"/>
  <c r="R48" i="7"/>
  <c r="AG48" i="7"/>
  <c r="AV48" i="7"/>
  <c r="I48" i="8"/>
  <c r="AM48" i="8"/>
  <c r="X48" i="8"/>
  <c r="J48" i="8"/>
  <c r="AN48" i="8"/>
  <c r="Y48" i="8"/>
  <c r="L48" i="8"/>
  <c r="AA48" i="8"/>
  <c r="AP48" i="8"/>
  <c r="N48" i="8"/>
  <c r="AC48" i="8"/>
  <c r="AR48" i="8"/>
  <c r="P48" i="8"/>
  <c r="AE48" i="8"/>
  <c r="AT48" i="8"/>
  <c r="Q48" i="8"/>
  <c r="AU48" i="8"/>
  <c r="AF48" i="8"/>
  <c r="H48" i="8"/>
  <c r="W48" i="8"/>
  <c r="AL48" i="8"/>
  <c r="K48" i="8"/>
  <c r="AO48" i="8"/>
  <c r="Z48" i="8"/>
  <c r="M48" i="8"/>
  <c r="AB48" i="8"/>
  <c r="AQ48" i="8"/>
  <c r="O48" i="8"/>
  <c r="AD48" i="8"/>
  <c r="AS48" i="8"/>
  <c r="R48" i="8"/>
  <c r="AG48" i="8"/>
  <c r="AV48" i="8"/>
  <c r="M48" i="7"/>
  <c r="AB48" i="7"/>
  <c r="AQ48" i="7"/>
  <c r="D36" i="8"/>
  <c r="S36" i="8"/>
  <c r="AH36" i="8"/>
  <c r="T24" i="8"/>
  <c r="AI24" i="8"/>
  <c r="E24" i="8"/>
  <c r="D19" i="9"/>
  <c r="S19" i="9"/>
  <c r="AH19" i="9"/>
  <c r="AX14" i="10"/>
  <c r="AW13" i="10"/>
  <c r="F14" i="10"/>
  <c r="G17" i="8"/>
  <c r="G14" i="9"/>
  <c r="AX14" i="9"/>
  <c r="AW13" i="9"/>
  <c r="C15" i="7"/>
  <c r="C14" i="9"/>
  <c r="T14" i="9" l="1"/>
  <c r="U14" i="9"/>
  <c r="AL50" i="10"/>
  <c r="W50" i="10"/>
  <c r="H50" i="10"/>
  <c r="X50" i="10"/>
  <c r="I50" i="10"/>
  <c r="AM50" i="10"/>
  <c r="J50" i="10"/>
  <c r="Y50" i="10"/>
  <c r="AN50" i="10"/>
  <c r="K50" i="10"/>
  <c r="Z50" i="10"/>
  <c r="AO50" i="10"/>
  <c r="AP50" i="10"/>
  <c r="AA50" i="10"/>
  <c r="L50" i="10"/>
  <c r="AB50" i="10"/>
  <c r="AQ50" i="10"/>
  <c r="M50" i="10"/>
  <c r="AC50" i="10"/>
  <c r="N50" i="10"/>
  <c r="AR50" i="10"/>
  <c r="AD50" i="10"/>
  <c r="O50" i="10"/>
  <c r="AS50" i="10"/>
  <c r="AT50" i="10"/>
  <c r="AE50" i="10"/>
  <c r="P50" i="10"/>
  <c r="AU50" i="10"/>
  <c r="Q50" i="10"/>
  <c r="AF50" i="10"/>
  <c r="AV50" i="10"/>
  <c r="R50" i="10"/>
  <c r="AG50" i="10"/>
  <c r="H50" i="9"/>
  <c r="W50" i="9"/>
  <c r="AL50" i="9"/>
  <c r="I50" i="9"/>
  <c r="AM50" i="9"/>
  <c r="X50" i="9"/>
  <c r="J50" i="9"/>
  <c r="Y50" i="9"/>
  <c r="AN50" i="9"/>
  <c r="K50" i="9"/>
  <c r="Z50" i="9"/>
  <c r="AO50" i="9"/>
  <c r="L50" i="9"/>
  <c r="AA50" i="9"/>
  <c r="AP50" i="9"/>
  <c r="AQ50" i="9"/>
  <c r="M50" i="9"/>
  <c r="AB50" i="9"/>
  <c r="N50" i="9"/>
  <c r="AC50" i="9"/>
  <c r="AR50" i="9"/>
  <c r="O50" i="9"/>
  <c r="AD50" i="9"/>
  <c r="AS50" i="9"/>
  <c r="AE50" i="9"/>
  <c r="P50" i="9"/>
  <c r="AT50" i="9"/>
  <c r="Q50" i="9"/>
  <c r="AF50" i="9"/>
  <c r="AU50" i="9"/>
  <c r="R50" i="9"/>
  <c r="AG50" i="9"/>
  <c r="AV50" i="9"/>
  <c r="H49" i="7"/>
  <c r="W49" i="7"/>
  <c r="AL49" i="7"/>
  <c r="I49" i="7"/>
  <c r="X49" i="7"/>
  <c r="AM49" i="7"/>
  <c r="J49" i="7"/>
  <c r="Y49" i="7"/>
  <c r="AN49" i="7"/>
  <c r="K49" i="7"/>
  <c r="Z49" i="7"/>
  <c r="AO49" i="7"/>
  <c r="L49" i="7"/>
  <c r="AA49" i="7"/>
  <c r="AP49" i="7"/>
  <c r="N49" i="7"/>
  <c r="AC49" i="7"/>
  <c r="AR49" i="7"/>
  <c r="O49" i="7"/>
  <c r="AD49" i="7"/>
  <c r="AS49" i="7"/>
  <c r="P49" i="7"/>
  <c r="AE49" i="7"/>
  <c r="AT49" i="7"/>
  <c r="Q49" i="7"/>
  <c r="AF49" i="7"/>
  <c r="AU49" i="7"/>
  <c r="R49" i="7"/>
  <c r="AG49" i="7"/>
  <c r="AV49" i="7"/>
  <c r="I49" i="8"/>
  <c r="AM49" i="8"/>
  <c r="X49" i="8"/>
  <c r="AN49" i="8"/>
  <c r="J49" i="8"/>
  <c r="Y49" i="8"/>
  <c r="L49" i="8"/>
  <c r="AA49" i="8"/>
  <c r="AP49" i="8"/>
  <c r="N49" i="8"/>
  <c r="AC49" i="8"/>
  <c r="AR49" i="8"/>
  <c r="AE49" i="8"/>
  <c r="P49" i="8"/>
  <c r="AT49" i="8"/>
  <c r="AU49" i="8"/>
  <c r="Q49" i="8"/>
  <c r="AF49" i="8"/>
  <c r="H49" i="8"/>
  <c r="W49" i="8"/>
  <c r="AL49" i="8"/>
  <c r="Z49" i="8"/>
  <c r="K49" i="8"/>
  <c r="AO49" i="8"/>
  <c r="M49" i="8"/>
  <c r="AB49" i="8"/>
  <c r="AQ49" i="8"/>
  <c r="AD49" i="8"/>
  <c r="O49" i="8"/>
  <c r="AS49" i="8"/>
  <c r="R49" i="8"/>
  <c r="AG49" i="8"/>
  <c r="AV49" i="8"/>
  <c r="M49" i="7"/>
  <c r="AB49" i="7"/>
  <c r="AQ49" i="7"/>
  <c r="D37" i="8"/>
  <c r="S37" i="8"/>
  <c r="AH37" i="8"/>
  <c r="E25" i="8"/>
  <c r="T25" i="8"/>
  <c r="AI25" i="8"/>
  <c r="S20" i="9"/>
  <c r="D20" i="9"/>
  <c r="AH20" i="9"/>
  <c r="S15" i="7"/>
  <c r="C14" i="10"/>
  <c r="C17" i="8"/>
  <c r="AI14" i="9"/>
  <c r="AJ14" i="9" l="1"/>
  <c r="F15" i="9" s="1"/>
  <c r="V14" i="9"/>
  <c r="W51" i="10"/>
  <c r="H51" i="10"/>
  <c r="AL51" i="10"/>
  <c r="I51" i="10"/>
  <c r="X51" i="10"/>
  <c r="AM51" i="10"/>
  <c r="Y51" i="10"/>
  <c r="J51" i="10"/>
  <c r="AN51" i="10"/>
  <c r="Z51" i="10"/>
  <c r="K51" i="10"/>
  <c r="AO51" i="10"/>
  <c r="AA51" i="10"/>
  <c r="AP51" i="10"/>
  <c r="L51" i="10"/>
  <c r="M51" i="10"/>
  <c r="AQ51" i="10"/>
  <c r="AB51" i="10"/>
  <c r="AC51" i="10"/>
  <c r="N51" i="10"/>
  <c r="AR51" i="10"/>
  <c r="AS51" i="10"/>
  <c r="AD51" i="10"/>
  <c r="O51" i="10"/>
  <c r="AE51" i="10"/>
  <c r="AT51" i="10"/>
  <c r="P51" i="10"/>
  <c r="Q51" i="10"/>
  <c r="AF51" i="10"/>
  <c r="AU51" i="10"/>
  <c r="AG51" i="10"/>
  <c r="R51" i="10"/>
  <c r="AV51" i="10"/>
  <c r="H51" i="9"/>
  <c r="W51" i="9"/>
  <c r="AL51" i="9"/>
  <c r="I51" i="9"/>
  <c r="X51" i="9"/>
  <c r="AM51" i="9"/>
  <c r="J51" i="9"/>
  <c r="Y51" i="9"/>
  <c r="AN51" i="9"/>
  <c r="K51" i="9"/>
  <c r="Z51" i="9"/>
  <c r="AO51" i="9"/>
  <c r="L51" i="9"/>
  <c r="AA51" i="9"/>
  <c r="AP51" i="9"/>
  <c r="M51" i="9"/>
  <c r="AB51" i="9"/>
  <c r="AQ51" i="9"/>
  <c r="N51" i="9"/>
  <c r="AC51" i="9"/>
  <c r="AR51" i="9"/>
  <c r="O51" i="9"/>
  <c r="AD51" i="9"/>
  <c r="AS51" i="9"/>
  <c r="P51" i="9"/>
  <c r="AE51" i="9"/>
  <c r="AT51" i="9"/>
  <c r="Q51" i="9"/>
  <c r="AF51" i="9"/>
  <c r="AU51" i="9"/>
  <c r="R51" i="9"/>
  <c r="AG51" i="9"/>
  <c r="AV51" i="9"/>
  <c r="H50" i="7"/>
  <c r="W50" i="7"/>
  <c r="AL50" i="7"/>
  <c r="I50" i="7"/>
  <c r="X50" i="7"/>
  <c r="AM50" i="7"/>
  <c r="J50" i="7"/>
  <c r="Y50" i="7"/>
  <c r="AN50" i="7"/>
  <c r="K50" i="7"/>
  <c r="Z50" i="7"/>
  <c r="AO50" i="7"/>
  <c r="L50" i="7"/>
  <c r="AA50" i="7"/>
  <c r="AP50" i="7"/>
  <c r="N50" i="7"/>
  <c r="AC50" i="7"/>
  <c r="AR50" i="7"/>
  <c r="O50" i="7"/>
  <c r="AD50" i="7"/>
  <c r="AS50" i="7"/>
  <c r="P50" i="7"/>
  <c r="AE50" i="7"/>
  <c r="AT50" i="7"/>
  <c r="Q50" i="7"/>
  <c r="AF50" i="7"/>
  <c r="AU50" i="7"/>
  <c r="R50" i="7"/>
  <c r="AG50" i="7"/>
  <c r="AV50" i="7"/>
  <c r="I50" i="8"/>
  <c r="X50" i="8"/>
  <c r="AM50" i="8"/>
  <c r="J50" i="8"/>
  <c r="Y50" i="8"/>
  <c r="AN50" i="8"/>
  <c r="L50" i="8"/>
  <c r="AA50" i="8"/>
  <c r="AP50" i="8"/>
  <c r="N50" i="8"/>
  <c r="AR50" i="8"/>
  <c r="AC50" i="8"/>
  <c r="P50" i="8"/>
  <c r="AE50" i="8"/>
  <c r="AT50" i="8"/>
  <c r="Q50" i="8"/>
  <c r="AF50" i="8"/>
  <c r="AU50" i="8"/>
  <c r="H50" i="8"/>
  <c r="W50" i="8"/>
  <c r="AL50" i="8"/>
  <c r="K50" i="8"/>
  <c r="Z50" i="8"/>
  <c r="AO50" i="8"/>
  <c r="M50" i="8"/>
  <c r="AB50" i="8"/>
  <c r="AQ50" i="8"/>
  <c r="O50" i="8"/>
  <c r="AD50" i="8"/>
  <c r="AS50" i="8"/>
  <c r="R50" i="8"/>
  <c r="AG50" i="8"/>
  <c r="AV50" i="8"/>
  <c r="M50" i="7"/>
  <c r="AB50" i="7"/>
  <c r="AQ50" i="7"/>
  <c r="D38" i="8"/>
  <c r="S38" i="8"/>
  <c r="AH38" i="8"/>
  <c r="E26" i="8"/>
  <c r="T26" i="8"/>
  <c r="AI26" i="8"/>
  <c r="AH21" i="9"/>
  <c r="D21" i="9"/>
  <c r="S21" i="9"/>
  <c r="AH15" i="7"/>
  <c r="S14" i="10"/>
  <c r="T14" i="10" s="1"/>
  <c r="U17" i="8"/>
  <c r="V17" i="8" s="1"/>
  <c r="AK17" i="8" s="1"/>
  <c r="E15" i="9"/>
  <c r="T15" i="7"/>
  <c r="AY14" i="9" l="1"/>
  <c r="AK14" i="9"/>
  <c r="AL52" i="10"/>
  <c r="H52" i="10"/>
  <c r="W52" i="10"/>
  <c r="X52" i="10"/>
  <c r="AM52" i="10"/>
  <c r="I52" i="10"/>
  <c r="J52" i="10"/>
  <c r="AN52" i="10"/>
  <c r="Y52" i="10"/>
  <c r="K52" i="10"/>
  <c r="Z52" i="10"/>
  <c r="AO52" i="10"/>
  <c r="AA52" i="10"/>
  <c r="AP52" i="10"/>
  <c r="L52" i="10"/>
  <c r="AB52" i="10"/>
  <c r="M52" i="10"/>
  <c r="AQ52" i="10"/>
  <c r="AR52" i="10"/>
  <c r="N52" i="10"/>
  <c r="AC52" i="10"/>
  <c r="O52" i="10"/>
  <c r="AS52" i="10"/>
  <c r="AD52" i="10"/>
  <c r="AE52" i="10"/>
  <c r="P52" i="10"/>
  <c r="AT52" i="10"/>
  <c r="AF52" i="10"/>
  <c r="Q52" i="10"/>
  <c r="AU52" i="10"/>
  <c r="AG52" i="10"/>
  <c r="AV52" i="10"/>
  <c r="R52" i="10"/>
  <c r="H52" i="9"/>
  <c r="W52" i="9"/>
  <c r="AL52" i="9"/>
  <c r="I52" i="9"/>
  <c r="X52" i="9"/>
  <c r="AM52" i="9"/>
  <c r="J52" i="9"/>
  <c r="Y52" i="9"/>
  <c r="AN52" i="9"/>
  <c r="K52" i="9"/>
  <c r="Z52" i="9"/>
  <c r="AO52" i="9"/>
  <c r="L52" i="9"/>
  <c r="AA52" i="9"/>
  <c r="AP52" i="9"/>
  <c r="M52" i="9"/>
  <c r="AB52" i="9"/>
  <c r="AQ52" i="9"/>
  <c r="N52" i="9"/>
  <c r="AC52" i="9"/>
  <c r="AR52" i="9"/>
  <c r="O52" i="9"/>
  <c r="AD52" i="9"/>
  <c r="AS52" i="9"/>
  <c r="P52" i="9"/>
  <c r="AE52" i="9"/>
  <c r="AT52" i="9"/>
  <c r="Q52" i="9"/>
  <c r="AF52" i="9"/>
  <c r="AU52" i="9"/>
  <c r="R52" i="9"/>
  <c r="AG52" i="9"/>
  <c r="AV52" i="9"/>
  <c r="H51" i="7"/>
  <c r="W51" i="7"/>
  <c r="AL51" i="7"/>
  <c r="I51" i="7"/>
  <c r="X51" i="7"/>
  <c r="AM51" i="7"/>
  <c r="J51" i="7"/>
  <c r="Y51" i="7"/>
  <c r="AN51" i="7"/>
  <c r="K51" i="7"/>
  <c r="Z51" i="7"/>
  <c r="AO51" i="7"/>
  <c r="L51" i="7"/>
  <c r="AA51" i="7"/>
  <c r="AP51" i="7"/>
  <c r="N51" i="7"/>
  <c r="AC51" i="7"/>
  <c r="AR51" i="7"/>
  <c r="O51" i="7"/>
  <c r="AD51" i="7"/>
  <c r="AS51" i="7"/>
  <c r="P51" i="7"/>
  <c r="AE51" i="7"/>
  <c r="AT51" i="7"/>
  <c r="Q51" i="7"/>
  <c r="AF51" i="7"/>
  <c r="AU51" i="7"/>
  <c r="R51" i="7"/>
  <c r="AG51" i="7"/>
  <c r="AV51" i="7"/>
  <c r="AM51" i="8"/>
  <c r="I51" i="8"/>
  <c r="X51" i="8"/>
  <c r="J51" i="8"/>
  <c r="Y51" i="8"/>
  <c r="AN51" i="8"/>
  <c r="L51" i="8"/>
  <c r="AA51" i="8"/>
  <c r="AP51" i="8"/>
  <c r="AC51" i="8"/>
  <c r="AR51" i="8"/>
  <c r="N51" i="8"/>
  <c r="AE51" i="8"/>
  <c r="AT51" i="8"/>
  <c r="P51" i="8"/>
  <c r="Q51" i="8"/>
  <c r="AF51" i="8"/>
  <c r="AU51" i="8"/>
  <c r="AL51" i="8"/>
  <c r="H51" i="8"/>
  <c r="W51" i="8"/>
  <c r="Z51" i="8"/>
  <c r="AO51" i="8"/>
  <c r="K51" i="8"/>
  <c r="M51" i="8"/>
  <c r="AB51" i="8"/>
  <c r="AQ51" i="8"/>
  <c r="O51" i="8"/>
  <c r="AD51" i="8"/>
  <c r="AS51" i="8"/>
  <c r="R51" i="8"/>
  <c r="AG51" i="8"/>
  <c r="AV51" i="8"/>
  <c r="M51" i="7"/>
  <c r="AB51" i="7"/>
  <c r="AQ51" i="7"/>
  <c r="D39" i="8"/>
  <c r="S39" i="8"/>
  <c r="AH39" i="8"/>
  <c r="E27" i="8"/>
  <c r="T27" i="8"/>
  <c r="AI27" i="8"/>
  <c r="D22" i="9"/>
  <c r="S22" i="9"/>
  <c r="AH22" i="9"/>
  <c r="D16" i="7"/>
  <c r="AH14" i="10"/>
  <c r="AY17" i="8"/>
  <c r="AJ17" i="8"/>
  <c r="U14" i="10"/>
  <c r="AI14" i="10"/>
  <c r="G18" i="8"/>
  <c r="AI15" i="7"/>
  <c r="U15" i="7"/>
  <c r="V15" i="7"/>
  <c r="AK15" i="7" s="1"/>
  <c r="G15" i="9" l="1"/>
  <c r="AW14" i="9"/>
  <c r="AX15" i="9"/>
  <c r="AL53" i="10"/>
  <c r="H53" i="10"/>
  <c r="W53" i="10"/>
  <c r="X53" i="10"/>
  <c r="I53" i="10"/>
  <c r="AM53" i="10"/>
  <c r="Y53" i="10"/>
  <c r="AN53" i="10"/>
  <c r="J53" i="10"/>
  <c r="Z53" i="10"/>
  <c r="AO53" i="10"/>
  <c r="K53" i="10"/>
  <c r="L53" i="10"/>
  <c r="AP53" i="10"/>
  <c r="AA53" i="10"/>
  <c r="AB53" i="10"/>
  <c r="AQ53" i="10"/>
  <c r="M53" i="10"/>
  <c r="AR53" i="10"/>
  <c r="AC53" i="10"/>
  <c r="N53" i="10"/>
  <c r="AD53" i="10"/>
  <c r="AS53" i="10"/>
  <c r="O53" i="10"/>
  <c r="AE53" i="10"/>
  <c r="AT53" i="10"/>
  <c r="P53" i="10"/>
  <c r="AF53" i="10"/>
  <c r="AU53" i="10"/>
  <c r="Q53" i="10"/>
  <c r="AV53" i="10"/>
  <c r="AG53" i="10"/>
  <c r="R53" i="10"/>
  <c r="H53" i="9"/>
  <c r="W53" i="9"/>
  <c r="AL53" i="9"/>
  <c r="I53" i="9"/>
  <c r="X53" i="9"/>
  <c r="AM53" i="9"/>
  <c r="J53" i="9"/>
  <c r="Y53" i="9"/>
  <c r="AN53" i="9"/>
  <c r="K53" i="9"/>
  <c r="Z53" i="9"/>
  <c r="AO53" i="9"/>
  <c r="L53" i="9"/>
  <c r="AA53" i="9"/>
  <c r="AP53" i="9"/>
  <c r="M53" i="9"/>
  <c r="AB53" i="9"/>
  <c r="AQ53" i="9"/>
  <c r="N53" i="9"/>
  <c r="AC53" i="9"/>
  <c r="AR53" i="9"/>
  <c r="O53" i="9"/>
  <c r="AD53" i="9"/>
  <c r="AS53" i="9"/>
  <c r="P53" i="9"/>
  <c r="AE53" i="9"/>
  <c r="AT53" i="9"/>
  <c r="Q53" i="9"/>
  <c r="AF53" i="9"/>
  <c r="AU53" i="9"/>
  <c r="R53" i="9"/>
  <c r="AG53" i="9"/>
  <c r="AV53" i="9"/>
  <c r="H52" i="7"/>
  <c r="W52" i="7"/>
  <c r="AL52" i="7"/>
  <c r="I52" i="7"/>
  <c r="X52" i="7"/>
  <c r="AM52" i="7"/>
  <c r="J52" i="7"/>
  <c r="Y52" i="7"/>
  <c r="AN52" i="7"/>
  <c r="K52" i="7"/>
  <c r="Z52" i="7"/>
  <c r="AO52" i="7"/>
  <c r="L52" i="7"/>
  <c r="AA52" i="7"/>
  <c r="AP52" i="7"/>
  <c r="N52" i="7"/>
  <c r="AC52" i="7"/>
  <c r="AR52" i="7"/>
  <c r="O52" i="7"/>
  <c r="AD52" i="7"/>
  <c r="AS52" i="7"/>
  <c r="P52" i="7"/>
  <c r="AE52" i="7"/>
  <c r="AT52" i="7"/>
  <c r="Q52" i="7"/>
  <c r="AF52" i="7"/>
  <c r="AU52" i="7"/>
  <c r="R52" i="7"/>
  <c r="AG52" i="7"/>
  <c r="AV52" i="7"/>
  <c r="I52" i="8"/>
  <c r="X52" i="8"/>
  <c r="AM52" i="8"/>
  <c r="J52" i="8"/>
  <c r="Y52" i="8"/>
  <c r="AN52" i="8"/>
  <c r="AA52" i="8"/>
  <c r="AP52" i="8"/>
  <c r="L52" i="8"/>
  <c r="AC52" i="8"/>
  <c r="N52" i="8"/>
  <c r="AR52" i="8"/>
  <c r="AT52" i="8"/>
  <c r="P52" i="8"/>
  <c r="AE52" i="8"/>
  <c r="Q52" i="8"/>
  <c r="AF52" i="8"/>
  <c r="AU52" i="8"/>
  <c r="H52" i="8"/>
  <c r="W52" i="8"/>
  <c r="AL52" i="8"/>
  <c r="K52" i="8"/>
  <c r="Z52" i="8"/>
  <c r="AO52" i="8"/>
  <c r="AB52" i="8"/>
  <c r="M52" i="8"/>
  <c r="AQ52" i="8"/>
  <c r="O52" i="8"/>
  <c r="AD52" i="8"/>
  <c r="AS52" i="8"/>
  <c r="R52" i="8"/>
  <c r="AG52" i="8"/>
  <c r="AV52" i="8"/>
  <c r="M52" i="7"/>
  <c r="AB52" i="7"/>
  <c r="AQ52" i="7"/>
  <c r="D40" i="8"/>
  <c r="S40" i="8"/>
  <c r="AH40" i="8"/>
  <c r="E28" i="8"/>
  <c r="T28" i="8"/>
  <c r="AI28" i="8"/>
  <c r="D23" i="9"/>
  <c r="S23" i="9"/>
  <c r="AH23" i="9"/>
  <c r="D15" i="10"/>
  <c r="F18" i="8"/>
  <c r="AX18" i="8"/>
  <c r="AW17" i="8"/>
  <c r="E15" i="10"/>
  <c r="E16" i="7"/>
  <c r="G16" i="7"/>
  <c r="C15" i="9"/>
  <c r="AJ14" i="10"/>
  <c r="V14" i="10"/>
  <c r="AJ15" i="7"/>
  <c r="AY15" i="7"/>
  <c r="H54" i="10" l="1"/>
  <c r="AL54" i="10"/>
  <c r="W54" i="10"/>
  <c r="AM54" i="10"/>
  <c r="I54" i="10"/>
  <c r="X54" i="10"/>
  <c r="Y54" i="10"/>
  <c r="J54" i="10"/>
  <c r="AN54" i="10"/>
  <c r="K54" i="10"/>
  <c r="Z54" i="10"/>
  <c r="AO54" i="10"/>
  <c r="AP54" i="10"/>
  <c r="L54" i="10"/>
  <c r="AA54" i="10"/>
  <c r="AQ54" i="10"/>
  <c r="M54" i="10"/>
  <c r="AB54" i="10"/>
  <c r="N54" i="10"/>
  <c r="AC54" i="10"/>
  <c r="AR54" i="10"/>
  <c r="O54" i="10"/>
  <c r="AD54" i="10"/>
  <c r="AS54" i="10"/>
  <c r="AE54" i="10"/>
  <c r="P54" i="10"/>
  <c r="AT54" i="10"/>
  <c r="AF54" i="10"/>
  <c r="AU54" i="10"/>
  <c r="Q54" i="10"/>
  <c r="R54" i="10"/>
  <c r="AG54" i="10"/>
  <c r="AV54" i="10"/>
  <c r="H54" i="9"/>
  <c r="W54" i="9"/>
  <c r="AL54" i="9"/>
  <c r="I54" i="9"/>
  <c r="X54" i="9"/>
  <c r="AM54" i="9"/>
  <c r="J54" i="9"/>
  <c r="Y54" i="9"/>
  <c r="AN54" i="9"/>
  <c r="K54" i="9"/>
  <c r="Z54" i="9"/>
  <c r="AO54" i="9"/>
  <c r="L54" i="9"/>
  <c r="AA54" i="9"/>
  <c r="AP54" i="9"/>
  <c r="M54" i="9"/>
  <c r="AB54" i="9"/>
  <c r="AQ54" i="9"/>
  <c r="N54" i="9"/>
  <c r="AC54" i="9"/>
  <c r="AR54" i="9"/>
  <c r="O54" i="9"/>
  <c r="AD54" i="9"/>
  <c r="AS54" i="9"/>
  <c r="P54" i="9"/>
  <c r="AE54" i="9"/>
  <c r="AT54" i="9"/>
  <c r="Q54" i="9"/>
  <c r="AF54" i="9"/>
  <c r="AU54" i="9"/>
  <c r="R54" i="9"/>
  <c r="AG54" i="9"/>
  <c r="AV54" i="9"/>
  <c r="H53" i="7"/>
  <c r="W53" i="7"/>
  <c r="AL53" i="7"/>
  <c r="I53" i="7"/>
  <c r="X53" i="7"/>
  <c r="AM53" i="7"/>
  <c r="J53" i="7"/>
  <c r="Y53" i="7"/>
  <c r="AN53" i="7"/>
  <c r="K53" i="7"/>
  <c r="Z53" i="7"/>
  <c r="AO53" i="7"/>
  <c r="L53" i="7"/>
  <c r="AA53" i="7"/>
  <c r="AP53" i="7"/>
  <c r="N53" i="7"/>
  <c r="AC53" i="7"/>
  <c r="AR53" i="7"/>
  <c r="O53" i="7"/>
  <c r="AD53" i="7"/>
  <c r="AS53" i="7"/>
  <c r="P53" i="7"/>
  <c r="AE53" i="7"/>
  <c r="AT53" i="7"/>
  <c r="Q53" i="7"/>
  <c r="AF53" i="7"/>
  <c r="AU53" i="7"/>
  <c r="R53" i="7"/>
  <c r="AG53" i="7"/>
  <c r="AV53" i="7"/>
  <c r="I53" i="8"/>
  <c r="X53" i="8"/>
  <c r="AM53" i="8"/>
  <c r="J53" i="8"/>
  <c r="Y53" i="8"/>
  <c r="AN53" i="8"/>
  <c r="AA53" i="8"/>
  <c r="L53" i="8"/>
  <c r="AP53" i="8"/>
  <c r="N53" i="8"/>
  <c r="AC53" i="8"/>
  <c r="AR53" i="8"/>
  <c r="P53" i="8"/>
  <c r="AT53" i="8"/>
  <c r="AE53" i="8"/>
  <c r="Q53" i="8"/>
  <c r="AF53" i="8"/>
  <c r="AU53" i="8"/>
  <c r="H53" i="8"/>
  <c r="W53" i="8"/>
  <c r="AL53" i="8"/>
  <c r="K53" i="8"/>
  <c r="Z53" i="8"/>
  <c r="AO53" i="8"/>
  <c r="M53" i="8"/>
  <c r="AB53" i="8"/>
  <c r="AQ53" i="8"/>
  <c r="AD53" i="8"/>
  <c r="AS53" i="8"/>
  <c r="O53" i="8"/>
  <c r="R53" i="8"/>
  <c r="AG53" i="8"/>
  <c r="AV53" i="8"/>
  <c r="M53" i="7"/>
  <c r="AB53" i="7"/>
  <c r="AQ53" i="7"/>
  <c r="D41" i="8"/>
  <c r="S41" i="8"/>
  <c r="AH41" i="8"/>
  <c r="E29" i="8"/>
  <c r="T29" i="8"/>
  <c r="AI29" i="8"/>
  <c r="D24" i="9"/>
  <c r="S24" i="9"/>
  <c r="AH24" i="9"/>
  <c r="C18" i="8"/>
  <c r="T15" i="9"/>
  <c r="U15" i="9" s="1"/>
  <c r="AJ15" i="9" s="1"/>
  <c r="F15" i="10"/>
  <c r="F16" i="7"/>
  <c r="AW15" i="7"/>
  <c r="X8" i="2" s="1"/>
  <c r="AX16" i="7"/>
  <c r="U18" i="8"/>
  <c r="C16" i="7"/>
  <c r="AK14" i="10"/>
  <c r="AY14" i="10"/>
  <c r="W55" i="10" l="1"/>
  <c r="AL55" i="10"/>
  <c r="H55" i="10"/>
  <c r="AM55" i="10"/>
  <c r="X55" i="10"/>
  <c r="I55" i="10"/>
  <c r="AN55" i="10"/>
  <c r="Y55" i="10"/>
  <c r="J55" i="10"/>
  <c r="K55" i="10"/>
  <c r="Z55" i="10"/>
  <c r="AO55" i="10"/>
  <c r="AP55" i="10"/>
  <c r="L55" i="10"/>
  <c r="AA55" i="10"/>
  <c r="AQ55" i="10"/>
  <c r="M55" i="10"/>
  <c r="AB55" i="10"/>
  <c r="AR55" i="10"/>
  <c r="N55" i="10"/>
  <c r="AC55" i="10"/>
  <c r="AS55" i="10"/>
  <c r="AD55" i="10"/>
  <c r="O55" i="10"/>
  <c r="AE55" i="10"/>
  <c r="P55" i="10"/>
  <c r="AT55" i="10"/>
  <c r="AF55" i="10"/>
  <c r="Q55" i="10"/>
  <c r="AU55" i="10"/>
  <c r="AV55" i="10"/>
  <c r="R55" i="10"/>
  <c r="AG55" i="10"/>
  <c r="H55" i="9"/>
  <c r="W55" i="9"/>
  <c r="AL55" i="9"/>
  <c r="I55" i="9"/>
  <c r="X55" i="9"/>
  <c r="AM55" i="9"/>
  <c r="J55" i="9"/>
  <c r="Y55" i="9"/>
  <c r="AN55" i="9"/>
  <c r="K55" i="9"/>
  <c r="Z55" i="9"/>
  <c r="AO55" i="9"/>
  <c r="L55" i="9"/>
  <c r="AA55" i="9"/>
  <c r="AP55" i="9"/>
  <c r="M55" i="9"/>
  <c r="AB55" i="9"/>
  <c r="AQ55" i="9"/>
  <c r="N55" i="9"/>
  <c r="AC55" i="9"/>
  <c r="AR55" i="9"/>
  <c r="O55" i="9"/>
  <c r="AD55" i="9"/>
  <c r="AS55" i="9"/>
  <c r="P55" i="9"/>
  <c r="AE55" i="9"/>
  <c r="AT55" i="9"/>
  <c r="Q55" i="9"/>
  <c r="AF55" i="9"/>
  <c r="AU55" i="9"/>
  <c r="R55" i="9"/>
  <c r="AG55" i="9"/>
  <c r="AV55" i="9"/>
  <c r="H54" i="7"/>
  <c r="W54" i="7"/>
  <c r="AL54" i="7"/>
  <c r="I54" i="7"/>
  <c r="X54" i="7"/>
  <c r="AM54" i="7"/>
  <c r="J54" i="7"/>
  <c r="Y54" i="7"/>
  <c r="AN54" i="7"/>
  <c r="K54" i="7"/>
  <c r="Z54" i="7"/>
  <c r="AO54" i="7"/>
  <c r="L54" i="7"/>
  <c r="AA54" i="7"/>
  <c r="AP54" i="7"/>
  <c r="N54" i="7"/>
  <c r="AC54" i="7"/>
  <c r="AR54" i="7"/>
  <c r="O54" i="7"/>
  <c r="AD54" i="7"/>
  <c r="AS54" i="7"/>
  <c r="P54" i="7"/>
  <c r="AE54" i="7"/>
  <c r="AT54" i="7"/>
  <c r="Q54" i="7"/>
  <c r="AF54" i="7"/>
  <c r="AU54" i="7"/>
  <c r="R54" i="7"/>
  <c r="AG54" i="7"/>
  <c r="AV54" i="7"/>
  <c r="X54" i="8"/>
  <c r="AM54" i="8"/>
  <c r="I54" i="8"/>
  <c r="Y54" i="8"/>
  <c r="AN54" i="8"/>
  <c r="J54" i="8"/>
  <c r="AA54" i="8"/>
  <c r="L54" i="8"/>
  <c r="AP54" i="8"/>
  <c r="N54" i="8"/>
  <c r="AC54" i="8"/>
  <c r="AR54" i="8"/>
  <c r="P54" i="8"/>
  <c r="AT54" i="8"/>
  <c r="AE54" i="8"/>
  <c r="Q54" i="8"/>
  <c r="AF54" i="8"/>
  <c r="AU54" i="8"/>
  <c r="H54" i="8"/>
  <c r="W54" i="8"/>
  <c r="AL54" i="8"/>
  <c r="K54" i="8"/>
  <c r="Z54" i="8"/>
  <c r="AO54" i="8"/>
  <c r="M54" i="8"/>
  <c r="AB54" i="8"/>
  <c r="AQ54" i="8"/>
  <c r="O54" i="8"/>
  <c r="AD54" i="8"/>
  <c r="AS54" i="8"/>
  <c r="R54" i="8"/>
  <c r="AG54" i="8"/>
  <c r="AV54" i="8"/>
  <c r="M54" i="7"/>
  <c r="AB54" i="7"/>
  <c r="AQ54" i="7"/>
  <c r="D42" i="8"/>
  <c r="S42" i="8"/>
  <c r="AH42" i="8"/>
  <c r="E30" i="8"/>
  <c r="T30" i="8"/>
  <c r="AI30" i="8"/>
  <c r="S25" i="9"/>
  <c r="AH25" i="9"/>
  <c r="D25" i="9"/>
  <c r="F16" i="9"/>
  <c r="V15" i="9"/>
  <c r="AI15" i="9"/>
  <c r="G15" i="10"/>
  <c r="C15" i="10" s="1"/>
  <c r="AX15" i="10"/>
  <c r="AW14" i="10"/>
  <c r="V18" i="8"/>
  <c r="AK18" i="8" s="1"/>
  <c r="AY18" i="8"/>
  <c r="AJ18" i="8"/>
  <c r="S16" i="7"/>
  <c r="T16" i="7" s="1"/>
  <c r="W56" i="10" l="1"/>
  <c r="H56" i="10"/>
  <c r="AL56" i="10"/>
  <c r="I56" i="10"/>
  <c r="X56" i="10"/>
  <c r="AM56" i="10"/>
  <c r="Y56" i="10"/>
  <c r="AN56" i="10"/>
  <c r="J56" i="10"/>
  <c r="Z56" i="10"/>
  <c r="AO56" i="10"/>
  <c r="K56" i="10"/>
  <c r="AP56" i="10"/>
  <c r="AA56" i="10"/>
  <c r="L56" i="10"/>
  <c r="M56" i="10"/>
  <c r="AQ56" i="10"/>
  <c r="AB56" i="10"/>
  <c r="N56" i="10"/>
  <c r="AR56" i="10"/>
  <c r="AC56" i="10"/>
  <c r="AS56" i="10"/>
  <c r="AD56" i="10"/>
  <c r="O56" i="10"/>
  <c r="AE56" i="10"/>
  <c r="P56" i="10"/>
  <c r="AT56" i="10"/>
  <c r="Q56" i="10"/>
  <c r="AF56" i="10"/>
  <c r="AU56" i="10"/>
  <c r="AV56" i="10"/>
  <c r="AG56" i="10"/>
  <c r="R56" i="10"/>
  <c r="H56" i="9"/>
  <c r="W56" i="9"/>
  <c r="AL56" i="9"/>
  <c r="I56" i="9"/>
  <c r="X56" i="9"/>
  <c r="AM56" i="9"/>
  <c r="J56" i="9"/>
  <c r="Y56" i="9"/>
  <c r="AN56" i="9"/>
  <c r="K56" i="9"/>
  <c r="Z56" i="9"/>
  <c r="AO56" i="9"/>
  <c r="L56" i="9"/>
  <c r="AA56" i="9"/>
  <c r="AP56" i="9"/>
  <c r="M56" i="9"/>
  <c r="AB56" i="9"/>
  <c r="AQ56" i="9"/>
  <c r="N56" i="9"/>
  <c r="AC56" i="9"/>
  <c r="AR56" i="9"/>
  <c r="O56" i="9"/>
  <c r="AD56" i="9"/>
  <c r="AS56" i="9"/>
  <c r="P56" i="9"/>
  <c r="AE56" i="9"/>
  <c r="AT56" i="9"/>
  <c r="Q56" i="9"/>
  <c r="AF56" i="9"/>
  <c r="AU56" i="9"/>
  <c r="R56" i="9"/>
  <c r="AG56" i="9"/>
  <c r="AV56" i="9"/>
  <c r="H55" i="7"/>
  <c r="W55" i="7"/>
  <c r="AL55" i="7"/>
  <c r="I55" i="7"/>
  <c r="X55" i="7"/>
  <c r="AM55" i="7"/>
  <c r="J55" i="7"/>
  <c r="Y55" i="7"/>
  <c r="AN55" i="7"/>
  <c r="K55" i="7"/>
  <c r="Z55" i="7"/>
  <c r="AO55" i="7"/>
  <c r="L55" i="7"/>
  <c r="AA55" i="7"/>
  <c r="AP55" i="7"/>
  <c r="N55" i="7"/>
  <c r="AC55" i="7"/>
  <c r="AR55" i="7"/>
  <c r="O55" i="7"/>
  <c r="AD55" i="7"/>
  <c r="AS55" i="7"/>
  <c r="P55" i="7"/>
  <c r="AE55" i="7"/>
  <c r="AT55" i="7"/>
  <c r="Q55" i="7"/>
  <c r="AF55" i="7"/>
  <c r="AU55" i="7"/>
  <c r="R55" i="7"/>
  <c r="AG55" i="7"/>
  <c r="AV55" i="7"/>
  <c r="X55" i="8"/>
  <c r="AM55" i="8"/>
  <c r="I55" i="8"/>
  <c r="J55" i="8"/>
  <c r="Y55" i="8"/>
  <c r="AN55" i="8"/>
  <c r="L55" i="8"/>
  <c r="AA55" i="8"/>
  <c r="AP55" i="8"/>
  <c r="N55" i="8"/>
  <c r="AC55" i="8"/>
  <c r="AR55" i="8"/>
  <c r="P55" i="8"/>
  <c r="AE55" i="8"/>
  <c r="AT55" i="8"/>
  <c r="Q55" i="8"/>
  <c r="AU55" i="8"/>
  <c r="AF55" i="8"/>
  <c r="H55" i="8"/>
  <c r="W55" i="8"/>
  <c r="AL55" i="8"/>
  <c r="K55" i="8"/>
  <c r="Z55" i="8"/>
  <c r="AO55" i="8"/>
  <c r="AQ55" i="8"/>
  <c r="M55" i="8"/>
  <c r="AB55" i="8"/>
  <c r="O55" i="8"/>
  <c r="AD55" i="8"/>
  <c r="AS55" i="8"/>
  <c r="R55" i="8"/>
  <c r="AG55" i="8"/>
  <c r="AV55" i="8"/>
  <c r="M55" i="7"/>
  <c r="AB55" i="7"/>
  <c r="AQ55" i="7"/>
  <c r="D43" i="8"/>
  <c r="S43" i="8"/>
  <c r="AH43" i="8"/>
  <c r="E31" i="8"/>
  <c r="T31" i="8"/>
  <c r="AI31" i="8"/>
  <c r="D26" i="9"/>
  <c r="S26" i="9"/>
  <c r="AH26" i="9"/>
  <c r="E16" i="9"/>
  <c r="G19" i="8"/>
  <c r="S15" i="10"/>
  <c r="T15" i="10" s="1"/>
  <c r="AI15" i="10" s="1"/>
  <c r="F19" i="8"/>
  <c r="AW18" i="8"/>
  <c r="W9" i="2" s="1"/>
  <c r="AX19" i="8"/>
  <c r="AH16" i="7"/>
  <c r="U16" i="7"/>
  <c r="V16" i="7" s="1"/>
  <c r="AK16" i="7" s="1"/>
  <c r="AI16" i="7"/>
  <c r="AK15" i="9"/>
  <c r="AY15" i="9"/>
  <c r="AW15" i="9" l="1"/>
  <c r="AX16" i="9"/>
  <c r="W57" i="10"/>
  <c r="H57" i="10"/>
  <c r="AL57" i="10"/>
  <c r="I57" i="10"/>
  <c r="AM57" i="10"/>
  <c r="X57" i="10"/>
  <c r="J57" i="10"/>
  <c r="AN57" i="10"/>
  <c r="Y57" i="10"/>
  <c r="Z57" i="10"/>
  <c r="K57" i="10"/>
  <c r="AO57" i="10"/>
  <c r="AA57" i="10"/>
  <c r="AP57" i="10"/>
  <c r="L57" i="10"/>
  <c r="M57" i="10"/>
  <c r="AB57" i="10"/>
  <c r="AQ57" i="10"/>
  <c r="N57" i="10"/>
  <c r="AC57" i="10"/>
  <c r="AR57" i="10"/>
  <c r="O57" i="10"/>
  <c r="AD57" i="10"/>
  <c r="AS57" i="10"/>
  <c r="P57" i="10"/>
  <c r="AT57" i="10"/>
  <c r="AE57" i="10"/>
  <c r="AF57" i="10"/>
  <c r="AU57" i="10"/>
  <c r="Q57" i="10"/>
  <c r="AG57" i="10"/>
  <c r="R57" i="10"/>
  <c r="AV57" i="10"/>
  <c r="H57" i="9"/>
  <c r="W57" i="9"/>
  <c r="AL57" i="9"/>
  <c r="I57" i="9"/>
  <c r="X57" i="9"/>
  <c r="AM57" i="9"/>
  <c r="J57" i="9"/>
  <c r="Y57" i="9"/>
  <c r="AN57" i="9"/>
  <c r="K57" i="9"/>
  <c r="Z57" i="9"/>
  <c r="AO57" i="9"/>
  <c r="L57" i="9"/>
  <c r="AA57" i="9"/>
  <c r="AP57" i="9"/>
  <c r="M57" i="9"/>
  <c r="AB57" i="9"/>
  <c r="AQ57" i="9"/>
  <c r="N57" i="9"/>
  <c r="AC57" i="9"/>
  <c r="AR57" i="9"/>
  <c r="O57" i="9"/>
  <c r="AD57" i="9"/>
  <c r="AS57" i="9"/>
  <c r="P57" i="9"/>
  <c r="AE57" i="9"/>
  <c r="AT57" i="9"/>
  <c r="Q57" i="9"/>
  <c r="AF57" i="9"/>
  <c r="AU57" i="9"/>
  <c r="R57" i="9"/>
  <c r="AG57" i="9"/>
  <c r="AV57" i="9"/>
  <c r="H56" i="7"/>
  <c r="W56" i="7"/>
  <c r="AL56" i="7"/>
  <c r="I56" i="7"/>
  <c r="X56" i="7"/>
  <c r="AM56" i="7"/>
  <c r="J56" i="7"/>
  <c r="Y56" i="7"/>
  <c r="AN56" i="7"/>
  <c r="K56" i="7"/>
  <c r="Z56" i="7"/>
  <c r="AO56" i="7"/>
  <c r="L56" i="7"/>
  <c r="AA56" i="7"/>
  <c r="AP56" i="7"/>
  <c r="N56" i="7"/>
  <c r="AC56" i="7"/>
  <c r="AR56" i="7"/>
  <c r="O56" i="7"/>
  <c r="AD56" i="7"/>
  <c r="AS56" i="7"/>
  <c r="P56" i="7"/>
  <c r="AE56" i="7"/>
  <c r="AT56" i="7"/>
  <c r="Q56" i="7"/>
  <c r="AF56" i="7"/>
  <c r="AU56" i="7"/>
  <c r="R56" i="7"/>
  <c r="AG56" i="7"/>
  <c r="AV56" i="7"/>
  <c r="I56" i="8"/>
  <c r="X56" i="8"/>
  <c r="AM56" i="8"/>
  <c r="J56" i="8"/>
  <c r="Y56" i="8"/>
  <c r="AN56" i="8"/>
  <c r="L56" i="8"/>
  <c r="AA56" i="8"/>
  <c r="AP56" i="8"/>
  <c r="N56" i="8"/>
  <c r="AC56" i="8"/>
  <c r="AR56" i="8"/>
  <c r="P56" i="8"/>
  <c r="AE56" i="8"/>
  <c r="AT56" i="8"/>
  <c r="Q56" i="8"/>
  <c r="AF56" i="8"/>
  <c r="AU56" i="8"/>
  <c r="H56" i="8"/>
  <c r="W56" i="8"/>
  <c r="AL56" i="8"/>
  <c r="K56" i="8"/>
  <c r="AO56" i="8"/>
  <c r="Z56" i="8"/>
  <c r="M56" i="8"/>
  <c r="AB56" i="8"/>
  <c r="AQ56" i="8"/>
  <c r="O56" i="8"/>
  <c r="AD56" i="8"/>
  <c r="AS56" i="8"/>
  <c r="R56" i="8"/>
  <c r="AG56" i="8"/>
  <c r="AV56" i="8"/>
  <c r="M56" i="7"/>
  <c r="AB56" i="7"/>
  <c r="AQ56" i="7"/>
  <c r="D44" i="8"/>
  <c r="S44" i="8"/>
  <c r="AH44" i="8"/>
  <c r="E32" i="8"/>
  <c r="T32" i="8"/>
  <c r="AI32" i="8"/>
  <c r="D27" i="9"/>
  <c r="AH27" i="9"/>
  <c r="S27" i="9"/>
  <c r="U15" i="10"/>
  <c r="AH15" i="10"/>
  <c r="E16" i="10"/>
  <c r="C19" i="8"/>
  <c r="D17" i="7"/>
  <c r="E17" i="7"/>
  <c r="G17" i="7"/>
  <c r="G16" i="9"/>
  <c r="C16" i="9" s="1"/>
  <c r="AJ16" i="7"/>
  <c r="AY16" i="7"/>
  <c r="AX17" i="7" l="1"/>
  <c r="AW16" i="7"/>
  <c r="H58" i="10"/>
  <c r="W58" i="10"/>
  <c r="AL58" i="10"/>
  <c r="I58" i="10"/>
  <c r="X58" i="10"/>
  <c r="AM58" i="10"/>
  <c r="AN58" i="10"/>
  <c r="J58" i="10"/>
  <c r="Y58" i="10"/>
  <c r="AO58" i="10"/>
  <c r="K58" i="10"/>
  <c r="Z58" i="10"/>
  <c r="AA58" i="10"/>
  <c r="AP58" i="10"/>
  <c r="L58" i="10"/>
  <c r="AB58" i="10"/>
  <c r="M58" i="10"/>
  <c r="AQ58" i="10"/>
  <c r="N58" i="10"/>
  <c r="AC58" i="10"/>
  <c r="AR58" i="10"/>
  <c r="O58" i="10"/>
  <c r="AD58" i="10"/>
  <c r="AS58" i="10"/>
  <c r="AT58" i="10"/>
  <c r="AE58" i="10"/>
  <c r="P58" i="10"/>
  <c r="Q58" i="10"/>
  <c r="AU58" i="10"/>
  <c r="AF58" i="10"/>
  <c r="AG58" i="10"/>
  <c r="AV58" i="10"/>
  <c r="R58" i="10"/>
  <c r="H58" i="9"/>
  <c r="W58" i="9"/>
  <c r="AL58" i="9"/>
  <c r="I58" i="9"/>
  <c r="X58" i="9"/>
  <c r="AM58" i="9"/>
  <c r="J58" i="9"/>
  <c r="Y58" i="9"/>
  <c r="AN58" i="9"/>
  <c r="K58" i="9"/>
  <c r="Z58" i="9"/>
  <c r="AO58" i="9"/>
  <c r="L58" i="9"/>
  <c r="AA58" i="9"/>
  <c r="AP58" i="9"/>
  <c r="M58" i="9"/>
  <c r="AB58" i="9"/>
  <c r="AQ58" i="9"/>
  <c r="N58" i="9"/>
  <c r="AC58" i="9"/>
  <c r="AR58" i="9"/>
  <c r="O58" i="9"/>
  <c r="AD58" i="9"/>
  <c r="AS58" i="9"/>
  <c r="P58" i="9"/>
  <c r="AE58" i="9"/>
  <c r="AT58" i="9"/>
  <c r="Q58" i="9"/>
  <c r="AF58" i="9"/>
  <c r="AU58" i="9"/>
  <c r="R58" i="9"/>
  <c r="AG58" i="9"/>
  <c r="AV58" i="9"/>
  <c r="H57" i="7"/>
  <c r="W57" i="7"/>
  <c r="AL57" i="7"/>
  <c r="I57" i="7"/>
  <c r="X57" i="7"/>
  <c r="AM57" i="7"/>
  <c r="J57" i="7"/>
  <c r="Y57" i="7"/>
  <c r="AN57" i="7"/>
  <c r="K57" i="7"/>
  <c r="Z57" i="7"/>
  <c r="AO57" i="7"/>
  <c r="L57" i="7"/>
  <c r="AA57" i="7"/>
  <c r="AP57" i="7"/>
  <c r="N57" i="7"/>
  <c r="AC57" i="7"/>
  <c r="AR57" i="7"/>
  <c r="O57" i="7"/>
  <c r="AD57" i="7"/>
  <c r="AS57" i="7"/>
  <c r="P57" i="7"/>
  <c r="AE57" i="7"/>
  <c r="AT57" i="7"/>
  <c r="Q57" i="7"/>
  <c r="AF57" i="7"/>
  <c r="AU57" i="7"/>
  <c r="R57" i="7"/>
  <c r="AG57" i="7"/>
  <c r="AV57" i="7"/>
  <c r="I57" i="8"/>
  <c r="AM57" i="8"/>
  <c r="X57" i="8"/>
  <c r="J57" i="8"/>
  <c r="Y57" i="8"/>
  <c r="AN57" i="8"/>
  <c r="AA57" i="8"/>
  <c r="AP57" i="8"/>
  <c r="L57" i="8"/>
  <c r="AC57" i="8"/>
  <c r="AR57" i="8"/>
  <c r="N57" i="8"/>
  <c r="AE57" i="8"/>
  <c r="P57" i="8"/>
  <c r="AT57" i="8"/>
  <c r="Q57" i="8"/>
  <c r="AF57" i="8"/>
  <c r="AU57" i="8"/>
  <c r="H57" i="8"/>
  <c r="AL57" i="8"/>
  <c r="W57" i="8"/>
  <c r="K57" i="8"/>
  <c r="Z57" i="8"/>
  <c r="AO57" i="8"/>
  <c r="AB57" i="8"/>
  <c r="AQ57" i="8"/>
  <c r="M57" i="8"/>
  <c r="AD57" i="8"/>
  <c r="AS57" i="8"/>
  <c r="O57" i="8"/>
  <c r="R57" i="8"/>
  <c r="AG57" i="8"/>
  <c r="AV57" i="8"/>
  <c r="M57" i="7"/>
  <c r="AB57" i="7"/>
  <c r="AQ57" i="7"/>
  <c r="D45" i="8"/>
  <c r="S45" i="8"/>
  <c r="AH45" i="8"/>
  <c r="E33" i="8"/>
  <c r="T33" i="8"/>
  <c r="AI33" i="8"/>
  <c r="D28" i="9"/>
  <c r="S28" i="9"/>
  <c r="AH28" i="9"/>
  <c r="T16" i="9"/>
  <c r="V15" i="10"/>
  <c r="AJ15" i="10"/>
  <c r="D16" i="10"/>
  <c r="F17" i="7"/>
  <c r="U19" i="8"/>
  <c r="V19" i="8" s="1"/>
  <c r="AK19" i="8" s="1"/>
  <c r="H59" i="10" l="1"/>
  <c r="W59" i="10"/>
  <c r="AL59" i="10"/>
  <c r="I59" i="10"/>
  <c r="X59" i="10"/>
  <c r="AM59" i="10"/>
  <c r="AN59" i="10"/>
  <c r="Y59" i="10"/>
  <c r="J59" i="10"/>
  <c r="K59" i="10"/>
  <c r="AO59" i="10"/>
  <c r="Z59" i="10"/>
  <c r="L59" i="10"/>
  <c r="AP59" i="10"/>
  <c r="AA59" i="10"/>
  <c r="AQ59" i="10"/>
  <c r="AB59" i="10"/>
  <c r="M59" i="10"/>
  <c r="AC59" i="10"/>
  <c r="AR59" i="10"/>
  <c r="N59" i="10"/>
  <c r="AD59" i="10"/>
  <c r="AS59" i="10"/>
  <c r="O59" i="10"/>
  <c r="AE59" i="10"/>
  <c r="AT59" i="10"/>
  <c r="P59" i="10"/>
  <c r="AF59" i="10"/>
  <c r="Q59" i="10"/>
  <c r="AU59" i="10"/>
  <c r="AG59" i="10"/>
  <c r="R59" i="10"/>
  <c r="AV59" i="10"/>
  <c r="H59" i="9"/>
  <c r="W59" i="9"/>
  <c r="AL59" i="9"/>
  <c r="I59" i="9"/>
  <c r="X59" i="9"/>
  <c r="AM59" i="9"/>
  <c r="J59" i="9"/>
  <c r="Y59" i="9"/>
  <c r="AN59" i="9"/>
  <c r="K59" i="9"/>
  <c r="Z59" i="9"/>
  <c r="AO59" i="9"/>
  <c r="L59" i="9"/>
  <c r="AA59" i="9"/>
  <c r="AP59" i="9"/>
  <c r="M59" i="9"/>
  <c r="AB59" i="9"/>
  <c r="AQ59" i="9"/>
  <c r="N59" i="9"/>
  <c r="AC59" i="9"/>
  <c r="AR59" i="9"/>
  <c r="O59" i="9"/>
  <c r="AD59" i="9"/>
  <c r="AS59" i="9"/>
  <c r="P59" i="9"/>
  <c r="AE59" i="9"/>
  <c r="AT59" i="9"/>
  <c r="Q59" i="9"/>
  <c r="AF59" i="9"/>
  <c r="AU59" i="9"/>
  <c r="R59" i="9"/>
  <c r="AG59" i="9"/>
  <c r="AV59" i="9"/>
  <c r="H58" i="7"/>
  <c r="W58" i="7"/>
  <c r="AL58" i="7"/>
  <c r="I58" i="7"/>
  <c r="X58" i="7"/>
  <c r="AM58" i="7"/>
  <c r="J58" i="7"/>
  <c r="Y58" i="7"/>
  <c r="AN58" i="7"/>
  <c r="K58" i="7"/>
  <c r="Z58" i="7"/>
  <c r="AO58" i="7"/>
  <c r="L58" i="7"/>
  <c r="AA58" i="7"/>
  <c r="AP58" i="7"/>
  <c r="N58" i="7"/>
  <c r="AC58" i="7"/>
  <c r="AR58" i="7"/>
  <c r="O58" i="7"/>
  <c r="AD58" i="7"/>
  <c r="AS58" i="7"/>
  <c r="P58" i="7"/>
  <c r="AE58" i="7"/>
  <c r="AT58" i="7"/>
  <c r="Q58" i="7"/>
  <c r="AF58" i="7"/>
  <c r="AU58" i="7"/>
  <c r="R58" i="7"/>
  <c r="AG58" i="7"/>
  <c r="AV58" i="7"/>
  <c r="I58" i="8"/>
  <c r="X58" i="8"/>
  <c r="AM58" i="8"/>
  <c r="J58" i="8"/>
  <c r="Y58" i="8"/>
  <c r="AN58" i="8"/>
  <c r="AA58" i="8"/>
  <c r="AP58" i="8"/>
  <c r="L58" i="8"/>
  <c r="AR58" i="8"/>
  <c r="N58" i="8"/>
  <c r="AC58" i="8"/>
  <c r="AE58" i="8"/>
  <c r="AT58" i="8"/>
  <c r="P58" i="8"/>
  <c r="Q58" i="8"/>
  <c r="AF58" i="8"/>
  <c r="AU58" i="8"/>
  <c r="H58" i="8"/>
  <c r="W58" i="8"/>
  <c r="AL58" i="8"/>
  <c r="Z58" i="8"/>
  <c r="K58" i="8"/>
  <c r="AO58" i="8"/>
  <c r="AQ58" i="8"/>
  <c r="M58" i="8"/>
  <c r="AB58" i="8"/>
  <c r="O58" i="8"/>
  <c r="AD58" i="8"/>
  <c r="AS58" i="8"/>
  <c r="R58" i="8"/>
  <c r="AG58" i="8"/>
  <c r="AV58" i="8"/>
  <c r="M58" i="7"/>
  <c r="AB58" i="7"/>
  <c r="AQ58" i="7"/>
  <c r="D46" i="8"/>
  <c r="S46" i="8"/>
  <c r="AH46" i="8"/>
  <c r="E34" i="8"/>
  <c r="T34" i="8"/>
  <c r="AI34" i="8"/>
  <c r="D29" i="9"/>
  <c r="S29" i="9"/>
  <c r="AH29" i="9"/>
  <c r="AI16" i="9"/>
  <c r="AY15" i="10"/>
  <c r="AK15" i="10"/>
  <c r="F16" i="10"/>
  <c r="G20" i="8"/>
  <c r="AJ19" i="8"/>
  <c r="AY19" i="8"/>
  <c r="U16" i="9"/>
  <c r="V16" i="9"/>
  <c r="AK16" i="9" s="1"/>
  <c r="C17" i="7"/>
  <c r="AJ16" i="9" l="1"/>
  <c r="AY16" i="9"/>
  <c r="AL60" i="10"/>
  <c r="H60" i="10"/>
  <c r="W60" i="10"/>
  <c r="AM60" i="10"/>
  <c r="I60" i="10"/>
  <c r="X60" i="10"/>
  <c r="J60" i="10"/>
  <c r="AN60" i="10"/>
  <c r="Y60" i="10"/>
  <c r="K60" i="10"/>
  <c r="Z60" i="10"/>
  <c r="AO60" i="10"/>
  <c r="L60" i="10"/>
  <c r="AP60" i="10"/>
  <c r="AA60" i="10"/>
  <c r="AB60" i="10"/>
  <c r="AQ60" i="10"/>
  <c r="M60" i="10"/>
  <c r="AR60" i="10"/>
  <c r="N60" i="10"/>
  <c r="AC60" i="10"/>
  <c r="AD60" i="10"/>
  <c r="AS60" i="10"/>
  <c r="O60" i="10"/>
  <c r="AE60" i="10"/>
  <c r="AT60" i="10"/>
  <c r="P60" i="10"/>
  <c r="AF60" i="10"/>
  <c r="Q60" i="10"/>
  <c r="AU60" i="10"/>
  <c r="AG60" i="10"/>
  <c r="AV60" i="10"/>
  <c r="R60" i="10"/>
  <c r="H60" i="9"/>
  <c r="W60" i="9"/>
  <c r="AL60" i="9"/>
  <c r="I60" i="9"/>
  <c r="X60" i="9"/>
  <c r="AM60" i="9"/>
  <c r="J60" i="9"/>
  <c r="Y60" i="9"/>
  <c r="AN60" i="9"/>
  <c r="K60" i="9"/>
  <c r="Z60" i="9"/>
  <c r="AO60" i="9"/>
  <c r="L60" i="9"/>
  <c r="AA60" i="9"/>
  <c r="AP60" i="9"/>
  <c r="M60" i="9"/>
  <c r="AB60" i="9"/>
  <c r="AQ60" i="9"/>
  <c r="N60" i="9"/>
  <c r="AC60" i="9"/>
  <c r="AR60" i="9"/>
  <c r="O60" i="9"/>
  <c r="AD60" i="9"/>
  <c r="AS60" i="9"/>
  <c r="P60" i="9"/>
  <c r="AE60" i="9"/>
  <c r="AT60" i="9"/>
  <c r="Q60" i="9"/>
  <c r="AF60" i="9"/>
  <c r="AU60" i="9"/>
  <c r="R60" i="9"/>
  <c r="AG60" i="9"/>
  <c r="AV60" i="9"/>
  <c r="H59" i="7"/>
  <c r="W59" i="7"/>
  <c r="AL59" i="7"/>
  <c r="I59" i="7"/>
  <c r="X59" i="7"/>
  <c r="AM59" i="7"/>
  <c r="J59" i="7"/>
  <c r="Y59" i="7"/>
  <c r="AN59" i="7"/>
  <c r="K59" i="7"/>
  <c r="Z59" i="7"/>
  <c r="AO59" i="7"/>
  <c r="L59" i="7"/>
  <c r="AA59" i="7"/>
  <c r="AP59" i="7"/>
  <c r="N59" i="7"/>
  <c r="AC59" i="7"/>
  <c r="AR59" i="7"/>
  <c r="O59" i="7"/>
  <c r="AD59" i="7"/>
  <c r="AS59" i="7"/>
  <c r="P59" i="7"/>
  <c r="AE59" i="7"/>
  <c r="AT59" i="7"/>
  <c r="Q59" i="7"/>
  <c r="AF59" i="7"/>
  <c r="AU59" i="7"/>
  <c r="R59" i="7"/>
  <c r="AG59" i="7"/>
  <c r="AV59" i="7"/>
  <c r="X59" i="8"/>
  <c r="AM59" i="8"/>
  <c r="I59" i="8"/>
  <c r="AN59" i="8"/>
  <c r="J59" i="8"/>
  <c r="Y59" i="8"/>
  <c r="AA59" i="8"/>
  <c r="AP59" i="8"/>
  <c r="L59" i="8"/>
  <c r="N59" i="8"/>
  <c r="AR59" i="8"/>
  <c r="AC59" i="8"/>
  <c r="P59" i="8"/>
  <c r="AE59" i="8"/>
  <c r="AT59" i="8"/>
  <c r="AF59" i="8"/>
  <c r="AU59" i="8"/>
  <c r="Q59" i="8"/>
  <c r="W59" i="8"/>
  <c r="AL59" i="8"/>
  <c r="H59" i="8"/>
  <c r="Z59" i="8"/>
  <c r="AO59" i="8"/>
  <c r="K59" i="8"/>
  <c r="M59" i="8"/>
  <c r="AB59" i="8"/>
  <c r="AQ59" i="8"/>
  <c r="AD59" i="8"/>
  <c r="O59" i="8"/>
  <c r="AS59" i="8"/>
  <c r="AG59" i="8"/>
  <c r="R59" i="8"/>
  <c r="AV59" i="8"/>
  <c r="M59" i="7"/>
  <c r="AB59" i="7"/>
  <c r="AQ59" i="7"/>
  <c r="D47" i="8"/>
  <c r="S47" i="8"/>
  <c r="AH47" i="8"/>
  <c r="E35" i="8"/>
  <c r="T35" i="8"/>
  <c r="AI35" i="8"/>
  <c r="D30" i="9"/>
  <c r="S30" i="9"/>
  <c r="AH30" i="9"/>
  <c r="E17" i="9"/>
  <c r="AW16" i="9"/>
  <c r="AX17" i="9"/>
  <c r="G16" i="10"/>
  <c r="C16" i="10" s="1"/>
  <c r="AW19" i="8"/>
  <c r="AX20" i="8"/>
  <c r="F20" i="8"/>
  <c r="F17" i="9"/>
  <c r="G17" i="9"/>
  <c r="S17" i="7"/>
  <c r="T17" i="7" s="1"/>
  <c r="AX16" i="10"/>
  <c r="AW15" i="10"/>
  <c r="W61" i="10" l="1"/>
  <c r="H61" i="10"/>
  <c r="AL61" i="10"/>
  <c r="X61" i="10"/>
  <c r="I61" i="10"/>
  <c r="AM61" i="10"/>
  <c r="J61" i="10"/>
  <c r="Y61" i="10"/>
  <c r="AN61" i="10"/>
  <c r="Z61" i="10"/>
  <c r="K61" i="10"/>
  <c r="AO61" i="10"/>
  <c r="L61" i="10"/>
  <c r="AP61" i="10"/>
  <c r="AA61" i="10"/>
  <c r="AB61" i="10"/>
  <c r="AQ61" i="10"/>
  <c r="M61" i="10"/>
  <c r="AR61" i="10"/>
  <c r="N61" i="10"/>
  <c r="AC61" i="10"/>
  <c r="O61" i="10"/>
  <c r="AS61" i="10"/>
  <c r="AD61" i="10"/>
  <c r="P61" i="10"/>
  <c r="AE61" i="10"/>
  <c r="AT61" i="10"/>
  <c r="AU61" i="10"/>
  <c r="Q61" i="10"/>
  <c r="AF61" i="10"/>
  <c r="R61" i="10"/>
  <c r="AV61" i="10"/>
  <c r="AG61" i="10"/>
  <c r="H61" i="9"/>
  <c r="W61" i="9"/>
  <c r="AL61" i="9"/>
  <c r="I61" i="9"/>
  <c r="X61" i="9"/>
  <c r="AM61" i="9"/>
  <c r="J61" i="9"/>
  <c r="Y61" i="9"/>
  <c r="AN61" i="9"/>
  <c r="K61" i="9"/>
  <c r="Z61" i="9"/>
  <c r="AO61" i="9"/>
  <c r="L61" i="9"/>
  <c r="AA61" i="9"/>
  <c r="AP61" i="9"/>
  <c r="M61" i="9"/>
  <c r="AB61" i="9"/>
  <c r="AQ61" i="9"/>
  <c r="N61" i="9"/>
  <c r="AC61" i="9"/>
  <c r="AR61" i="9"/>
  <c r="O61" i="9"/>
  <c r="AD61" i="9"/>
  <c r="AS61" i="9"/>
  <c r="P61" i="9"/>
  <c r="AE61" i="9"/>
  <c r="AT61" i="9"/>
  <c r="Q61" i="9"/>
  <c r="AF61" i="9"/>
  <c r="AU61" i="9"/>
  <c r="R61" i="9"/>
  <c r="AG61" i="9"/>
  <c r="AV61" i="9"/>
  <c r="H60" i="7"/>
  <c r="W60" i="7"/>
  <c r="AL60" i="7"/>
  <c r="I60" i="7"/>
  <c r="X60" i="7"/>
  <c r="AM60" i="7"/>
  <c r="J60" i="7"/>
  <c r="Y60" i="7"/>
  <c r="AN60" i="7"/>
  <c r="K60" i="7"/>
  <c r="Z60" i="7"/>
  <c r="AO60" i="7"/>
  <c r="L60" i="7"/>
  <c r="AA60" i="7"/>
  <c r="AP60" i="7"/>
  <c r="N60" i="7"/>
  <c r="AC60" i="7"/>
  <c r="AR60" i="7"/>
  <c r="O60" i="7"/>
  <c r="AD60" i="7"/>
  <c r="AS60" i="7"/>
  <c r="P60" i="7"/>
  <c r="AE60" i="7"/>
  <c r="AT60" i="7"/>
  <c r="Q60" i="7"/>
  <c r="AF60" i="7"/>
  <c r="AU60" i="7"/>
  <c r="R60" i="7"/>
  <c r="AG60" i="7"/>
  <c r="AV60" i="7"/>
  <c r="AM60" i="8"/>
  <c r="I60" i="8"/>
  <c r="X60" i="8"/>
  <c r="J60" i="8"/>
  <c r="Y60" i="8"/>
  <c r="AN60" i="8"/>
  <c r="AA60" i="8"/>
  <c r="L60" i="8"/>
  <c r="AP60" i="8"/>
  <c r="AC60" i="8"/>
  <c r="N60" i="8"/>
  <c r="AR60" i="8"/>
  <c r="AE60" i="8"/>
  <c r="P60" i="8"/>
  <c r="AT60" i="8"/>
  <c r="Q60" i="8"/>
  <c r="AF60" i="8"/>
  <c r="AU60" i="8"/>
  <c r="H60" i="8"/>
  <c r="W60" i="8"/>
  <c r="AL60" i="8"/>
  <c r="Z60" i="8"/>
  <c r="K60" i="8"/>
  <c r="AO60" i="8"/>
  <c r="M60" i="8"/>
  <c r="AB60" i="8"/>
  <c r="AQ60" i="8"/>
  <c r="AD60" i="8"/>
  <c r="O60" i="8"/>
  <c r="AS60" i="8"/>
  <c r="R60" i="8"/>
  <c r="AG60" i="8"/>
  <c r="AV60" i="8"/>
  <c r="M60" i="7"/>
  <c r="AB60" i="7"/>
  <c r="AQ60" i="7"/>
  <c r="D48" i="8"/>
  <c r="S48" i="8"/>
  <c r="AH48" i="8"/>
  <c r="E36" i="8"/>
  <c r="T36" i="8"/>
  <c r="AI36" i="8"/>
  <c r="S31" i="9"/>
  <c r="AH31" i="9"/>
  <c r="D31" i="9"/>
  <c r="C17" i="9"/>
  <c r="S16" i="10"/>
  <c r="T16" i="10"/>
  <c r="AI16" i="10" s="1"/>
  <c r="C20" i="8"/>
  <c r="AH17" i="7"/>
  <c r="U20" i="8"/>
  <c r="U17" i="7"/>
  <c r="V17" i="7"/>
  <c r="AK17" i="7" s="1"/>
  <c r="AI17" i="7"/>
  <c r="H62" i="10" l="1"/>
  <c r="AL62" i="10"/>
  <c r="W62" i="10"/>
  <c r="X62" i="10"/>
  <c r="AM62" i="10"/>
  <c r="I62" i="10"/>
  <c r="Y62" i="10"/>
  <c r="J62" i="10"/>
  <c r="AN62" i="10"/>
  <c r="AO62" i="10"/>
  <c r="K62" i="10"/>
  <c r="Z62" i="10"/>
  <c r="L62" i="10"/>
  <c r="AA62" i="10"/>
  <c r="AP62" i="10"/>
  <c r="AQ62" i="10"/>
  <c r="AB62" i="10"/>
  <c r="M62" i="10"/>
  <c r="AR62" i="10"/>
  <c r="N62" i="10"/>
  <c r="AC62" i="10"/>
  <c r="O62" i="10"/>
  <c r="AS62" i="10"/>
  <c r="AD62" i="10"/>
  <c r="P62" i="10"/>
  <c r="AT62" i="10"/>
  <c r="AE62" i="10"/>
  <c r="AF62" i="10"/>
  <c r="Q62" i="10"/>
  <c r="AU62" i="10"/>
  <c r="AG62" i="10"/>
  <c r="R62" i="10"/>
  <c r="AV62" i="10"/>
  <c r="H62" i="9"/>
  <c r="W62" i="9"/>
  <c r="AL62" i="9"/>
  <c r="I62" i="9"/>
  <c r="X62" i="9"/>
  <c r="AM62" i="9"/>
  <c r="J62" i="9"/>
  <c r="Y62" i="9"/>
  <c r="AN62" i="9"/>
  <c r="K62" i="9"/>
  <c r="Z62" i="9"/>
  <c r="AO62" i="9"/>
  <c r="L62" i="9"/>
  <c r="AA62" i="9"/>
  <c r="AP62" i="9"/>
  <c r="M62" i="9"/>
  <c r="AB62" i="9"/>
  <c r="AQ62" i="9"/>
  <c r="N62" i="9"/>
  <c r="AC62" i="9"/>
  <c r="AR62" i="9"/>
  <c r="O62" i="9"/>
  <c r="AD62" i="9"/>
  <c r="AS62" i="9"/>
  <c r="P62" i="9"/>
  <c r="AE62" i="9"/>
  <c r="AT62" i="9"/>
  <c r="Q62" i="9"/>
  <c r="AF62" i="9"/>
  <c r="AU62" i="9"/>
  <c r="R62" i="9"/>
  <c r="AG62" i="9"/>
  <c r="AV62" i="9"/>
  <c r="H61" i="7"/>
  <c r="W61" i="7"/>
  <c r="AL61" i="7"/>
  <c r="I61" i="7"/>
  <c r="X61" i="7"/>
  <c r="AM61" i="7"/>
  <c r="J61" i="7"/>
  <c r="Y61" i="7"/>
  <c r="AN61" i="7"/>
  <c r="K61" i="7"/>
  <c r="Z61" i="7"/>
  <c r="AO61" i="7"/>
  <c r="L61" i="7"/>
  <c r="AA61" i="7"/>
  <c r="AP61" i="7"/>
  <c r="N61" i="7"/>
  <c r="AC61" i="7"/>
  <c r="AR61" i="7"/>
  <c r="O61" i="7"/>
  <c r="AD61" i="7"/>
  <c r="AS61" i="7"/>
  <c r="P61" i="7"/>
  <c r="AE61" i="7"/>
  <c r="AT61" i="7"/>
  <c r="Q61" i="7"/>
  <c r="AF61" i="7"/>
  <c r="AU61" i="7"/>
  <c r="R61" i="7"/>
  <c r="AG61" i="7"/>
  <c r="AV61" i="7"/>
  <c r="I61" i="8"/>
  <c r="X61" i="8"/>
  <c r="AM61" i="8"/>
  <c r="Y61" i="8"/>
  <c r="AN61" i="8"/>
  <c r="J61" i="8"/>
  <c r="AA61" i="8"/>
  <c r="L61" i="8"/>
  <c r="AP61" i="8"/>
  <c r="N61" i="8"/>
  <c r="AC61" i="8"/>
  <c r="AR61" i="8"/>
  <c r="AE61" i="8"/>
  <c r="P61" i="8"/>
  <c r="AT61" i="8"/>
  <c r="Q61" i="8"/>
  <c r="AF61" i="8"/>
  <c r="AU61" i="8"/>
  <c r="H61" i="8"/>
  <c r="W61" i="8"/>
  <c r="AL61" i="8"/>
  <c r="Z61" i="8"/>
  <c r="AO61" i="8"/>
  <c r="K61" i="8"/>
  <c r="M61" i="8"/>
  <c r="AB61" i="8"/>
  <c r="AQ61" i="8"/>
  <c r="O61" i="8"/>
  <c r="AS61" i="8"/>
  <c r="AD61" i="8"/>
  <c r="R61" i="8"/>
  <c r="AG61" i="8"/>
  <c r="AV61" i="8"/>
  <c r="M61" i="7"/>
  <c r="AB61" i="7"/>
  <c r="AQ61" i="7"/>
  <c r="D49" i="8"/>
  <c r="S49" i="8"/>
  <c r="AH49" i="8"/>
  <c r="E37" i="8"/>
  <c r="T37" i="8"/>
  <c r="AI37" i="8"/>
  <c r="D32" i="9"/>
  <c r="S32" i="9"/>
  <c r="AH32" i="9"/>
  <c r="T17" i="9"/>
  <c r="U16" i="10"/>
  <c r="AH16" i="10"/>
  <c r="E17" i="10"/>
  <c r="D18" i="7"/>
  <c r="AX18" i="7"/>
  <c r="G18" i="7"/>
  <c r="E18" i="7"/>
  <c r="V20" i="8"/>
  <c r="AK20" i="8" s="1"/>
  <c r="AY20" i="8"/>
  <c r="AJ20" i="8"/>
  <c r="AJ17" i="7"/>
  <c r="AW17" i="7" s="1"/>
  <c r="AY17" i="7"/>
  <c r="AL63" i="10" l="1"/>
  <c r="W63" i="10"/>
  <c r="H63" i="10"/>
  <c r="AM63" i="10"/>
  <c r="I63" i="10"/>
  <c r="X63" i="10"/>
  <c r="J63" i="10"/>
  <c r="AN63" i="10"/>
  <c r="Y63" i="10"/>
  <c r="AO63" i="10"/>
  <c r="Z63" i="10"/>
  <c r="K63" i="10"/>
  <c r="L63" i="10"/>
  <c r="AP63" i="10"/>
  <c r="AA63" i="10"/>
  <c r="AB63" i="10"/>
  <c r="M63" i="10"/>
  <c r="AQ63" i="10"/>
  <c r="N63" i="10"/>
  <c r="AC63" i="10"/>
  <c r="AR63" i="10"/>
  <c r="O63" i="10"/>
  <c r="AD63" i="10"/>
  <c r="AS63" i="10"/>
  <c r="AT63" i="10"/>
  <c r="P63" i="10"/>
  <c r="AE63" i="10"/>
  <c r="Q63" i="10"/>
  <c r="AU63" i="10"/>
  <c r="AF63" i="10"/>
  <c r="AV63" i="10"/>
  <c r="AG63" i="10"/>
  <c r="R63" i="10"/>
  <c r="H63" i="9"/>
  <c r="W63" i="9"/>
  <c r="AL63" i="9"/>
  <c r="I63" i="9"/>
  <c r="X63" i="9"/>
  <c r="AM63" i="9"/>
  <c r="J63" i="9"/>
  <c r="Y63" i="9"/>
  <c r="AN63" i="9"/>
  <c r="K63" i="9"/>
  <c r="Z63" i="9"/>
  <c r="AO63" i="9"/>
  <c r="L63" i="9"/>
  <c r="AA63" i="9"/>
  <c r="AP63" i="9"/>
  <c r="M63" i="9"/>
  <c r="AB63" i="9"/>
  <c r="AQ63" i="9"/>
  <c r="N63" i="9"/>
  <c r="AC63" i="9"/>
  <c r="AR63" i="9"/>
  <c r="O63" i="9"/>
  <c r="AD63" i="9"/>
  <c r="AS63" i="9"/>
  <c r="P63" i="9"/>
  <c r="AE63" i="9"/>
  <c r="AT63" i="9"/>
  <c r="Q63" i="9"/>
  <c r="AF63" i="9"/>
  <c r="AU63" i="9"/>
  <c r="R63" i="9"/>
  <c r="AG63" i="9"/>
  <c r="AV63" i="9"/>
  <c r="H62" i="7"/>
  <c r="W62" i="7"/>
  <c r="AL62" i="7"/>
  <c r="I62" i="7"/>
  <c r="X62" i="7"/>
  <c r="AM62" i="7"/>
  <c r="J62" i="7"/>
  <c r="Y62" i="7"/>
  <c r="AN62" i="7"/>
  <c r="K62" i="7"/>
  <c r="Z62" i="7"/>
  <c r="AO62" i="7"/>
  <c r="L62" i="7"/>
  <c r="AA62" i="7"/>
  <c r="AP62" i="7"/>
  <c r="N62" i="7"/>
  <c r="AC62" i="7"/>
  <c r="AR62" i="7"/>
  <c r="O62" i="7"/>
  <c r="AD62" i="7"/>
  <c r="AS62" i="7"/>
  <c r="P62" i="7"/>
  <c r="AE62" i="7"/>
  <c r="AT62" i="7"/>
  <c r="Q62" i="7"/>
  <c r="AF62" i="7"/>
  <c r="AU62" i="7"/>
  <c r="R62" i="7"/>
  <c r="AG62" i="7"/>
  <c r="AV62" i="7"/>
  <c r="AM62" i="8"/>
  <c r="I62" i="8"/>
  <c r="X62" i="8"/>
  <c r="Y62" i="8"/>
  <c r="AN62" i="8"/>
  <c r="J62" i="8"/>
  <c r="L62" i="8"/>
  <c r="AP62" i="8"/>
  <c r="AA62" i="8"/>
  <c r="N62" i="8"/>
  <c r="AC62" i="8"/>
  <c r="AR62" i="8"/>
  <c r="P62" i="8"/>
  <c r="AE62" i="8"/>
  <c r="AT62" i="8"/>
  <c r="Q62" i="8"/>
  <c r="AF62" i="8"/>
  <c r="AU62" i="8"/>
  <c r="AL62" i="8"/>
  <c r="H62" i="8"/>
  <c r="W62" i="8"/>
  <c r="K62" i="8"/>
  <c r="Z62" i="8"/>
  <c r="AO62" i="8"/>
  <c r="AB62" i="8"/>
  <c r="M62" i="8"/>
  <c r="AQ62" i="8"/>
  <c r="O62" i="8"/>
  <c r="AD62" i="8"/>
  <c r="AS62" i="8"/>
  <c r="R62" i="8"/>
  <c r="AV62" i="8"/>
  <c r="AG62" i="8"/>
  <c r="M62" i="7"/>
  <c r="AB62" i="7"/>
  <c r="AQ62" i="7"/>
  <c r="D50" i="8"/>
  <c r="S50" i="8"/>
  <c r="AH50" i="8"/>
  <c r="E38" i="8"/>
  <c r="T38" i="8"/>
  <c r="AI38" i="8"/>
  <c r="D33" i="9"/>
  <c r="S33" i="9"/>
  <c r="AH33" i="9"/>
  <c r="U17" i="9"/>
  <c r="AI17" i="9"/>
  <c r="D17" i="10"/>
  <c r="G21" i="8"/>
  <c r="AX21" i="8"/>
  <c r="AW20" i="8"/>
  <c r="F21" i="8"/>
  <c r="F18" i="7"/>
  <c r="AJ16" i="10"/>
  <c r="V16" i="10"/>
  <c r="AK16" i="10" s="1"/>
  <c r="AY16" i="10"/>
  <c r="AW16" i="10" l="1"/>
  <c r="AX17" i="10"/>
  <c r="W64" i="10"/>
  <c r="H64" i="10"/>
  <c r="AL64" i="10"/>
  <c r="I64" i="10"/>
  <c r="X64" i="10"/>
  <c r="AM64" i="10"/>
  <c r="J64" i="10"/>
  <c r="AN64" i="10"/>
  <c r="Y64" i="10"/>
  <c r="Z64" i="10"/>
  <c r="K64" i="10"/>
  <c r="AO64" i="10"/>
  <c r="L64" i="10"/>
  <c r="AP64" i="10"/>
  <c r="AA64" i="10"/>
  <c r="M64" i="10"/>
  <c r="AB64" i="10"/>
  <c r="AQ64" i="10"/>
  <c r="N64" i="10"/>
  <c r="AR64" i="10"/>
  <c r="AC64" i="10"/>
  <c r="AD64" i="10"/>
  <c r="AS64" i="10"/>
  <c r="O64" i="10"/>
  <c r="AE64" i="10"/>
  <c r="AT64" i="10"/>
  <c r="P64" i="10"/>
  <c r="Q64" i="10"/>
  <c r="AF64" i="10"/>
  <c r="AU64" i="10"/>
  <c r="R64" i="10"/>
  <c r="AV64" i="10"/>
  <c r="AG64" i="10"/>
  <c r="H64" i="9"/>
  <c r="W64" i="9"/>
  <c r="AL64" i="9"/>
  <c r="I64" i="9"/>
  <c r="X64" i="9"/>
  <c r="AM64" i="9"/>
  <c r="J64" i="9"/>
  <c r="Y64" i="9"/>
  <c r="AN64" i="9"/>
  <c r="K64" i="9"/>
  <c r="Z64" i="9"/>
  <c r="AO64" i="9"/>
  <c r="L64" i="9"/>
  <c r="AA64" i="9"/>
  <c r="AP64" i="9"/>
  <c r="M64" i="9"/>
  <c r="AB64" i="9"/>
  <c r="AQ64" i="9"/>
  <c r="N64" i="9"/>
  <c r="AC64" i="9"/>
  <c r="AR64" i="9"/>
  <c r="O64" i="9"/>
  <c r="AD64" i="9"/>
  <c r="AS64" i="9"/>
  <c r="P64" i="9"/>
  <c r="AE64" i="9"/>
  <c r="AT64" i="9"/>
  <c r="Q64" i="9"/>
  <c r="AF64" i="9"/>
  <c r="AU64" i="9"/>
  <c r="R64" i="9"/>
  <c r="AG64" i="9"/>
  <c r="AV64" i="9"/>
  <c r="H63" i="7"/>
  <c r="W63" i="7"/>
  <c r="AL63" i="7"/>
  <c r="I63" i="7"/>
  <c r="X63" i="7"/>
  <c r="AM63" i="7"/>
  <c r="J63" i="7"/>
  <c r="Y63" i="7"/>
  <c r="AN63" i="7"/>
  <c r="K63" i="7"/>
  <c r="Z63" i="7"/>
  <c r="AO63" i="7"/>
  <c r="L63" i="7"/>
  <c r="AA63" i="7"/>
  <c r="AP63" i="7"/>
  <c r="N63" i="7"/>
  <c r="AC63" i="7"/>
  <c r="AR63" i="7"/>
  <c r="O63" i="7"/>
  <c r="AD63" i="7"/>
  <c r="AS63" i="7"/>
  <c r="P63" i="7"/>
  <c r="AE63" i="7"/>
  <c r="AT63" i="7"/>
  <c r="Q63" i="7"/>
  <c r="AF63" i="7"/>
  <c r="AU63" i="7"/>
  <c r="R63" i="7"/>
  <c r="AG63" i="7"/>
  <c r="AV63" i="7"/>
  <c r="X63" i="8"/>
  <c r="I63" i="8"/>
  <c r="AM63" i="8"/>
  <c r="Y63" i="8"/>
  <c r="J63" i="8"/>
  <c r="AN63" i="8"/>
  <c r="AP63" i="8"/>
  <c r="L63" i="8"/>
  <c r="AA63" i="8"/>
  <c r="AC63" i="8"/>
  <c r="AR63" i="8"/>
  <c r="N63" i="8"/>
  <c r="AT63" i="8"/>
  <c r="P63" i="8"/>
  <c r="AE63" i="8"/>
  <c r="Q63" i="8"/>
  <c r="AF63" i="8"/>
  <c r="AU63" i="8"/>
  <c r="W63" i="8"/>
  <c r="H63" i="8"/>
  <c r="AL63" i="8"/>
  <c r="Z63" i="8"/>
  <c r="K63" i="8"/>
  <c r="AO63" i="8"/>
  <c r="M63" i="8"/>
  <c r="AB63" i="8"/>
  <c r="AQ63" i="8"/>
  <c r="AS63" i="8"/>
  <c r="O63" i="8"/>
  <c r="AD63" i="8"/>
  <c r="AG63" i="8"/>
  <c r="AV63" i="8"/>
  <c r="R63" i="8"/>
  <c r="M63" i="7"/>
  <c r="AB63" i="7"/>
  <c r="AQ63" i="7"/>
  <c r="D51" i="8"/>
  <c r="S51" i="8"/>
  <c r="AH51" i="8"/>
  <c r="E39" i="8"/>
  <c r="T39" i="8"/>
  <c r="AI39" i="8"/>
  <c r="D34" i="9"/>
  <c r="S34" i="9"/>
  <c r="AH34" i="9"/>
  <c r="V17" i="9"/>
  <c r="AJ17" i="9"/>
  <c r="E18" i="9"/>
  <c r="C21" i="8"/>
  <c r="F17" i="10"/>
  <c r="G17" i="10"/>
  <c r="C18" i="7"/>
  <c r="H65" i="10" l="1"/>
  <c r="W65" i="10"/>
  <c r="AL65" i="10"/>
  <c r="I65" i="10"/>
  <c r="AM65" i="10"/>
  <c r="X65" i="10"/>
  <c r="J65" i="10"/>
  <c r="AN65" i="10"/>
  <c r="Y65" i="10"/>
  <c r="Z65" i="10"/>
  <c r="K65" i="10"/>
  <c r="AO65" i="10"/>
  <c r="L65" i="10"/>
  <c r="AP65" i="10"/>
  <c r="AA65" i="10"/>
  <c r="AB65" i="10"/>
  <c r="AQ65" i="10"/>
  <c r="M65" i="10"/>
  <c r="N65" i="10"/>
  <c r="AR65" i="10"/>
  <c r="AC65" i="10"/>
  <c r="AD65" i="10"/>
  <c r="AS65" i="10"/>
  <c r="O65" i="10"/>
  <c r="AE65" i="10"/>
  <c r="P65" i="10"/>
  <c r="AT65" i="10"/>
  <c r="Q65" i="10"/>
  <c r="AF65" i="10"/>
  <c r="AU65" i="10"/>
  <c r="AV65" i="10"/>
  <c r="AG65" i="10"/>
  <c r="R65" i="10"/>
  <c r="H65" i="9"/>
  <c r="W65" i="9"/>
  <c r="AL65" i="9"/>
  <c r="I65" i="9"/>
  <c r="X65" i="9"/>
  <c r="AM65" i="9"/>
  <c r="J65" i="9"/>
  <c r="Y65" i="9"/>
  <c r="AN65" i="9"/>
  <c r="K65" i="9"/>
  <c r="Z65" i="9"/>
  <c r="AO65" i="9"/>
  <c r="L65" i="9"/>
  <c r="AA65" i="9"/>
  <c r="AP65" i="9"/>
  <c r="M65" i="9"/>
  <c r="AB65" i="9"/>
  <c r="AQ65" i="9"/>
  <c r="N65" i="9"/>
  <c r="AC65" i="9"/>
  <c r="AR65" i="9"/>
  <c r="O65" i="9"/>
  <c r="AD65" i="9"/>
  <c r="AS65" i="9"/>
  <c r="P65" i="9"/>
  <c r="AE65" i="9"/>
  <c r="AT65" i="9"/>
  <c r="Q65" i="9"/>
  <c r="AF65" i="9"/>
  <c r="AU65" i="9"/>
  <c r="R65" i="9"/>
  <c r="AG65" i="9"/>
  <c r="AV65" i="9"/>
  <c r="H64" i="7"/>
  <c r="W64" i="7"/>
  <c r="AL64" i="7"/>
  <c r="I64" i="7"/>
  <c r="X64" i="7"/>
  <c r="AM64" i="7"/>
  <c r="J64" i="7"/>
  <c r="Y64" i="7"/>
  <c r="AN64" i="7"/>
  <c r="K64" i="7"/>
  <c r="Z64" i="7"/>
  <c r="AO64" i="7"/>
  <c r="L64" i="7"/>
  <c r="AA64" i="7"/>
  <c r="AP64" i="7"/>
  <c r="N64" i="7"/>
  <c r="AC64" i="7"/>
  <c r="AR64" i="7"/>
  <c r="O64" i="7"/>
  <c r="AD64" i="7"/>
  <c r="AS64" i="7"/>
  <c r="P64" i="7"/>
  <c r="AE64" i="7"/>
  <c r="AT64" i="7"/>
  <c r="Q64" i="7"/>
  <c r="AF64" i="7"/>
  <c r="AU64" i="7"/>
  <c r="R64" i="7"/>
  <c r="AG64" i="7"/>
  <c r="AV64" i="7"/>
  <c r="I64" i="8"/>
  <c r="X64" i="8"/>
  <c r="AM64" i="8"/>
  <c r="J64" i="8"/>
  <c r="Y64" i="8"/>
  <c r="AN64" i="8"/>
  <c r="L64" i="8"/>
  <c r="AA64" i="8"/>
  <c r="AP64" i="8"/>
  <c r="N64" i="8"/>
  <c r="AC64" i="8"/>
  <c r="AR64" i="8"/>
  <c r="AE64" i="8"/>
  <c r="P64" i="8"/>
  <c r="AT64" i="8"/>
  <c r="Q64" i="8"/>
  <c r="AF64" i="8"/>
  <c r="AU64" i="8"/>
  <c r="AL64" i="8"/>
  <c r="H64" i="8"/>
  <c r="W64" i="8"/>
  <c r="AO64" i="8"/>
  <c r="K64" i="8"/>
  <c r="Z64" i="8"/>
  <c r="M64" i="8"/>
  <c r="AB64" i="8"/>
  <c r="AQ64" i="8"/>
  <c r="O64" i="8"/>
  <c r="AS64" i="8"/>
  <c r="AD64" i="8"/>
  <c r="R64" i="8"/>
  <c r="AG64" i="8"/>
  <c r="AV64" i="8"/>
  <c r="M64" i="7"/>
  <c r="AB64" i="7"/>
  <c r="AQ64" i="7"/>
  <c r="D52" i="8"/>
  <c r="S52" i="8"/>
  <c r="AH52" i="8"/>
  <c r="E40" i="8"/>
  <c r="T40" i="8"/>
  <c r="AI40" i="8"/>
  <c r="D35" i="9"/>
  <c r="S35" i="9"/>
  <c r="AH35" i="9"/>
  <c r="AY17" i="9"/>
  <c r="AK17" i="9"/>
  <c r="F18" i="9"/>
  <c r="U21" i="8"/>
  <c r="V21" i="8" s="1"/>
  <c r="AK21" i="8" s="1"/>
  <c r="S18" i="7"/>
  <c r="C17" i="10"/>
  <c r="AL66" i="10" l="1"/>
  <c r="W66" i="10"/>
  <c r="H66" i="10"/>
  <c r="AM66" i="10"/>
  <c r="I66" i="10"/>
  <c r="X66" i="10"/>
  <c r="J66" i="10"/>
  <c r="Y66" i="10"/>
  <c r="AN66" i="10"/>
  <c r="K66" i="10"/>
  <c r="AO66" i="10"/>
  <c r="Z66" i="10"/>
  <c r="L66" i="10"/>
  <c r="AP66" i="10"/>
  <c r="AA66" i="10"/>
  <c r="AQ66" i="10"/>
  <c r="M66" i="10"/>
  <c r="AB66" i="10"/>
  <c r="N66" i="10"/>
  <c r="AC66" i="10"/>
  <c r="AR66" i="10"/>
  <c r="AS66" i="10"/>
  <c r="AD66" i="10"/>
  <c r="O66" i="10"/>
  <c r="AE66" i="10"/>
  <c r="AT66" i="10"/>
  <c r="P66" i="10"/>
  <c r="AF66" i="10"/>
  <c r="AU66" i="10"/>
  <c r="Q66" i="10"/>
  <c r="AG66" i="10"/>
  <c r="AV66" i="10"/>
  <c r="R66" i="10"/>
  <c r="H66" i="9"/>
  <c r="W66" i="9"/>
  <c r="AL66" i="9"/>
  <c r="I66" i="9"/>
  <c r="X66" i="9"/>
  <c r="AM66" i="9"/>
  <c r="J66" i="9"/>
  <c r="Y66" i="9"/>
  <c r="AN66" i="9"/>
  <c r="K66" i="9"/>
  <c r="Z66" i="9"/>
  <c r="AO66" i="9"/>
  <c r="L66" i="9"/>
  <c r="AA66" i="9"/>
  <c r="AP66" i="9"/>
  <c r="M66" i="9"/>
  <c r="AB66" i="9"/>
  <c r="AQ66" i="9"/>
  <c r="N66" i="9"/>
  <c r="AC66" i="9"/>
  <c r="AR66" i="9"/>
  <c r="O66" i="9"/>
  <c r="AD66" i="9"/>
  <c r="AS66" i="9"/>
  <c r="P66" i="9"/>
  <c r="AE66" i="9"/>
  <c r="AT66" i="9"/>
  <c r="Q66" i="9"/>
  <c r="AF66" i="9"/>
  <c r="AU66" i="9"/>
  <c r="R66" i="9"/>
  <c r="AG66" i="9"/>
  <c r="AV66" i="9"/>
  <c r="H65" i="7"/>
  <c r="W65" i="7"/>
  <c r="AL65" i="7"/>
  <c r="I65" i="7"/>
  <c r="X65" i="7"/>
  <c r="AM65" i="7"/>
  <c r="J65" i="7"/>
  <c r="Y65" i="7"/>
  <c r="AN65" i="7"/>
  <c r="K65" i="7"/>
  <c r="Z65" i="7"/>
  <c r="AO65" i="7"/>
  <c r="L65" i="7"/>
  <c r="AA65" i="7"/>
  <c r="AP65" i="7"/>
  <c r="N65" i="7"/>
  <c r="AC65" i="7"/>
  <c r="AR65" i="7"/>
  <c r="O65" i="7"/>
  <c r="AD65" i="7"/>
  <c r="AS65" i="7"/>
  <c r="P65" i="7"/>
  <c r="AE65" i="7"/>
  <c r="AT65" i="7"/>
  <c r="Q65" i="7"/>
  <c r="AF65" i="7"/>
  <c r="AU65" i="7"/>
  <c r="R65" i="7"/>
  <c r="AG65" i="7"/>
  <c r="AV65" i="7"/>
  <c r="I65" i="8"/>
  <c r="X65" i="8"/>
  <c r="AM65" i="8"/>
  <c r="Y65" i="8"/>
  <c r="AN65" i="8"/>
  <c r="J65" i="8"/>
  <c r="L65" i="8"/>
  <c r="AA65" i="8"/>
  <c r="AP65" i="8"/>
  <c r="AC65" i="8"/>
  <c r="AR65" i="8"/>
  <c r="N65" i="8"/>
  <c r="AT65" i="8"/>
  <c r="P65" i="8"/>
  <c r="AE65" i="8"/>
  <c r="AU65" i="8"/>
  <c r="Q65" i="8"/>
  <c r="AF65" i="8"/>
  <c r="H65" i="8"/>
  <c r="W65" i="8"/>
  <c r="AL65" i="8"/>
  <c r="K65" i="8"/>
  <c r="Z65" i="8"/>
  <c r="AO65" i="8"/>
  <c r="AB65" i="8"/>
  <c r="AQ65" i="8"/>
  <c r="M65" i="8"/>
  <c r="AS65" i="8"/>
  <c r="O65" i="8"/>
  <c r="AD65" i="8"/>
  <c r="AV65" i="8"/>
  <c r="R65" i="8"/>
  <c r="AG65" i="8"/>
  <c r="M65" i="7"/>
  <c r="AB65" i="7"/>
  <c r="AQ65" i="7"/>
  <c r="S53" i="8"/>
  <c r="AH53" i="8"/>
  <c r="D53" i="8"/>
  <c r="E41" i="8"/>
  <c r="T41" i="8"/>
  <c r="AI41" i="8"/>
  <c r="D36" i="9"/>
  <c r="AH36" i="9"/>
  <c r="S36" i="9"/>
  <c r="G18" i="9"/>
  <c r="AY21" i="8"/>
  <c r="AJ21" i="8"/>
  <c r="G22" i="8"/>
  <c r="AH18" i="7"/>
  <c r="S17" i="10"/>
  <c r="AW17" i="9"/>
  <c r="AX18" i="9"/>
  <c r="T18" i="7"/>
  <c r="U18" i="7" s="1"/>
  <c r="W67" i="10" l="1"/>
  <c r="H67" i="10"/>
  <c r="AL67" i="10"/>
  <c r="AM67" i="10"/>
  <c r="I67" i="10"/>
  <c r="X67" i="10"/>
  <c r="AN67" i="10"/>
  <c r="J67" i="10"/>
  <c r="Y67" i="10"/>
  <c r="Z67" i="10"/>
  <c r="K67" i="10"/>
  <c r="AO67" i="10"/>
  <c r="AA67" i="10"/>
  <c r="AP67" i="10"/>
  <c r="L67" i="10"/>
  <c r="AB67" i="10"/>
  <c r="AQ67" i="10"/>
  <c r="M67" i="10"/>
  <c r="N67" i="10"/>
  <c r="AR67" i="10"/>
  <c r="AC67" i="10"/>
  <c r="O67" i="10"/>
  <c r="AS67" i="10"/>
  <c r="AD67" i="10"/>
  <c r="P67" i="10"/>
  <c r="AE67" i="10"/>
  <c r="AT67" i="10"/>
  <c r="Q67" i="10"/>
  <c r="AF67" i="10"/>
  <c r="AU67" i="10"/>
  <c r="AG67" i="10"/>
  <c r="AV67" i="10"/>
  <c r="R67" i="10"/>
  <c r="H67" i="9"/>
  <c r="W67" i="9"/>
  <c r="AL67" i="9"/>
  <c r="I67" i="9"/>
  <c r="X67" i="9"/>
  <c r="AM67" i="9"/>
  <c r="J67" i="9"/>
  <c r="Y67" i="9"/>
  <c r="AN67" i="9"/>
  <c r="K67" i="9"/>
  <c r="Z67" i="9"/>
  <c r="AO67" i="9"/>
  <c r="L67" i="9"/>
  <c r="AA67" i="9"/>
  <c r="AP67" i="9"/>
  <c r="M67" i="9"/>
  <c r="AB67" i="9"/>
  <c r="AQ67" i="9"/>
  <c r="N67" i="9"/>
  <c r="AC67" i="9"/>
  <c r="AR67" i="9"/>
  <c r="O67" i="9"/>
  <c r="AD67" i="9"/>
  <c r="AS67" i="9"/>
  <c r="P67" i="9"/>
  <c r="AE67" i="9"/>
  <c r="AT67" i="9"/>
  <c r="Q67" i="9"/>
  <c r="AF67" i="9"/>
  <c r="AU67" i="9"/>
  <c r="R67" i="9"/>
  <c r="AG67" i="9"/>
  <c r="AV67" i="9"/>
  <c r="H66" i="7"/>
  <c r="W66" i="7"/>
  <c r="AL66" i="7"/>
  <c r="I66" i="7"/>
  <c r="X66" i="7"/>
  <c r="AM66" i="7"/>
  <c r="J66" i="7"/>
  <c r="Y66" i="7"/>
  <c r="AN66" i="7"/>
  <c r="K66" i="7"/>
  <c r="Z66" i="7"/>
  <c r="AO66" i="7"/>
  <c r="L66" i="7"/>
  <c r="AA66" i="7"/>
  <c r="AP66" i="7"/>
  <c r="N66" i="7"/>
  <c r="AC66" i="7"/>
  <c r="AR66" i="7"/>
  <c r="O66" i="7"/>
  <c r="AD66" i="7"/>
  <c r="AS66" i="7"/>
  <c r="P66" i="7"/>
  <c r="AE66" i="7"/>
  <c r="AT66" i="7"/>
  <c r="Q66" i="7"/>
  <c r="AF66" i="7"/>
  <c r="AU66" i="7"/>
  <c r="R66" i="7"/>
  <c r="AG66" i="7"/>
  <c r="AV66" i="7"/>
  <c r="I66" i="8"/>
  <c r="X66" i="8"/>
  <c r="AM66" i="8"/>
  <c r="J66" i="8"/>
  <c r="Y66" i="8"/>
  <c r="AN66" i="8"/>
  <c r="L66" i="8"/>
  <c r="AA66" i="8"/>
  <c r="AP66" i="8"/>
  <c r="AC66" i="8"/>
  <c r="AR66" i="8"/>
  <c r="N66" i="8"/>
  <c r="AT66" i="8"/>
  <c r="P66" i="8"/>
  <c r="AE66" i="8"/>
  <c r="Q66" i="8"/>
  <c r="AF66" i="8"/>
  <c r="AU66" i="8"/>
  <c r="H66" i="8"/>
  <c r="W66" i="8"/>
  <c r="AL66" i="8"/>
  <c r="K66" i="8"/>
  <c r="Z66" i="8"/>
  <c r="AO66" i="8"/>
  <c r="M66" i="8"/>
  <c r="AQ66" i="8"/>
  <c r="AB66" i="8"/>
  <c r="AS66" i="8"/>
  <c r="O66" i="8"/>
  <c r="AD66" i="8"/>
  <c r="AV66" i="8"/>
  <c r="R66" i="8"/>
  <c r="AG66" i="8"/>
  <c r="M66" i="7"/>
  <c r="AB66" i="7"/>
  <c r="AQ66" i="7"/>
  <c r="D54" i="8"/>
  <c r="S54" i="8"/>
  <c r="AH54" i="8"/>
  <c r="E42" i="8"/>
  <c r="T42" i="8"/>
  <c r="AI42" i="8"/>
  <c r="D37" i="9"/>
  <c r="S37" i="9"/>
  <c r="AH37" i="9"/>
  <c r="C18" i="9"/>
  <c r="F22" i="8"/>
  <c r="AW21" i="8"/>
  <c r="W10" i="2" s="1"/>
  <c r="AX22" i="8"/>
  <c r="D19" i="7"/>
  <c r="AH17" i="10"/>
  <c r="AJ18" i="7"/>
  <c r="T17" i="10"/>
  <c r="U17" i="10"/>
  <c r="AJ17" i="10" s="1"/>
  <c r="AI18" i="7"/>
  <c r="V18" i="7"/>
  <c r="W68" i="10" l="1"/>
  <c r="AL68" i="10"/>
  <c r="H68" i="10"/>
  <c r="X68" i="10"/>
  <c r="AM68" i="10"/>
  <c r="I68" i="10"/>
  <c r="J68" i="10"/>
  <c r="Y68" i="10"/>
  <c r="AN68" i="10"/>
  <c r="K68" i="10"/>
  <c r="Z68" i="10"/>
  <c r="AO68" i="10"/>
  <c r="L68" i="10"/>
  <c r="AP68" i="10"/>
  <c r="AA68" i="10"/>
  <c r="AQ68" i="10"/>
  <c r="M68" i="10"/>
  <c r="AB68" i="10"/>
  <c r="AC68" i="10"/>
  <c r="AR68" i="10"/>
  <c r="N68" i="10"/>
  <c r="O68" i="10"/>
  <c r="AD68" i="10"/>
  <c r="AS68" i="10"/>
  <c r="AT68" i="10"/>
  <c r="AE68" i="10"/>
  <c r="P68" i="10"/>
  <c r="AF68" i="10"/>
  <c r="AU68" i="10"/>
  <c r="Q68" i="10"/>
  <c r="AV68" i="10"/>
  <c r="R68" i="10"/>
  <c r="AG68" i="10"/>
  <c r="H68" i="9"/>
  <c r="W68" i="9"/>
  <c r="AL68" i="9"/>
  <c r="I68" i="9"/>
  <c r="X68" i="9"/>
  <c r="AM68" i="9"/>
  <c r="J68" i="9"/>
  <c r="Y68" i="9"/>
  <c r="AN68" i="9"/>
  <c r="K68" i="9"/>
  <c r="Z68" i="9"/>
  <c r="AO68" i="9"/>
  <c r="L68" i="9"/>
  <c r="AA68" i="9"/>
  <c r="AP68" i="9"/>
  <c r="M68" i="9"/>
  <c r="AB68" i="9"/>
  <c r="AQ68" i="9"/>
  <c r="N68" i="9"/>
  <c r="AC68" i="9"/>
  <c r="AR68" i="9"/>
  <c r="O68" i="9"/>
  <c r="AD68" i="9"/>
  <c r="AS68" i="9"/>
  <c r="P68" i="9"/>
  <c r="AE68" i="9"/>
  <c r="AT68" i="9"/>
  <c r="Q68" i="9"/>
  <c r="AF68" i="9"/>
  <c r="AU68" i="9"/>
  <c r="R68" i="9"/>
  <c r="AG68" i="9"/>
  <c r="AV68" i="9"/>
  <c r="H67" i="7"/>
  <c r="W67" i="7"/>
  <c r="AL67" i="7"/>
  <c r="I67" i="7"/>
  <c r="X67" i="7"/>
  <c r="AM67" i="7"/>
  <c r="J67" i="7"/>
  <c r="Y67" i="7"/>
  <c r="AN67" i="7"/>
  <c r="K67" i="7"/>
  <c r="Z67" i="7"/>
  <c r="AO67" i="7"/>
  <c r="L67" i="7"/>
  <c r="AA67" i="7"/>
  <c r="AP67" i="7"/>
  <c r="N67" i="7"/>
  <c r="AC67" i="7"/>
  <c r="AR67" i="7"/>
  <c r="O67" i="7"/>
  <c r="AD67" i="7"/>
  <c r="AS67" i="7"/>
  <c r="P67" i="7"/>
  <c r="AE67" i="7"/>
  <c r="AT67" i="7"/>
  <c r="Q67" i="7"/>
  <c r="AF67" i="7"/>
  <c r="AU67" i="7"/>
  <c r="R67" i="7"/>
  <c r="AG67" i="7"/>
  <c r="AV67" i="7"/>
  <c r="AM67" i="8"/>
  <c r="I67" i="8"/>
  <c r="X67" i="8"/>
  <c r="Y67" i="8"/>
  <c r="AN67" i="8"/>
  <c r="J67" i="8"/>
  <c r="L67" i="8"/>
  <c r="AA67" i="8"/>
  <c r="AP67" i="8"/>
  <c r="AC67" i="8"/>
  <c r="N67" i="8"/>
  <c r="AR67" i="8"/>
  <c r="AT67" i="8"/>
  <c r="P67" i="8"/>
  <c r="AE67" i="8"/>
  <c r="Q67" i="8"/>
  <c r="AF67" i="8"/>
  <c r="AU67" i="8"/>
  <c r="H67" i="8"/>
  <c r="W67" i="8"/>
  <c r="AL67" i="8"/>
  <c r="Z67" i="8"/>
  <c r="K67" i="8"/>
  <c r="AO67" i="8"/>
  <c r="AB67" i="8"/>
  <c r="AQ67" i="8"/>
  <c r="M67" i="8"/>
  <c r="O67" i="8"/>
  <c r="AD67" i="8"/>
  <c r="AS67" i="8"/>
  <c r="AG67" i="8"/>
  <c r="R67" i="8"/>
  <c r="AV67" i="8"/>
  <c r="M67" i="7"/>
  <c r="AB67" i="7"/>
  <c r="AQ67" i="7"/>
  <c r="D55" i="8"/>
  <c r="S55" i="8"/>
  <c r="AH55" i="8"/>
  <c r="E43" i="8"/>
  <c r="T43" i="8"/>
  <c r="AI43" i="8"/>
  <c r="D38" i="9"/>
  <c r="S38" i="9"/>
  <c r="AH38" i="9"/>
  <c r="T18" i="9"/>
  <c r="U18" i="9" s="1"/>
  <c r="AJ18" i="9" s="1"/>
  <c r="C22" i="8"/>
  <c r="D18" i="10"/>
  <c r="F19" i="7"/>
  <c r="F18" i="10"/>
  <c r="E19" i="7"/>
  <c r="AI17" i="10"/>
  <c r="V17" i="10"/>
  <c r="AK18" i="7"/>
  <c r="AY18" i="7"/>
  <c r="W69" i="10" l="1"/>
  <c r="H69" i="10"/>
  <c r="AL69" i="10"/>
  <c r="X69" i="10"/>
  <c r="AM69" i="10"/>
  <c r="I69" i="10"/>
  <c r="Y69" i="10"/>
  <c r="AN69" i="10"/>
  <c r="J69" i="10"/>
  <c r="Z69" i="10"/>
  <c r="AO69" i="10"/>
  <c r="K69" i="10"/>
  <c r="AA69" i="10"/>
  <c r="L69" i="10"/>
  <c r="AP69" i="10"/>
  <c r="M69" i="10"/>
  <c r="AB69" i="10"/>
  <c r="AQ69" i="10"/>
  <c r="AR69" i="10"/>
  <c r="N69" i="10"/>
  <c r="AC69" i="10"/>
  <c r="AD69" i="10"/>
  <c r="AS69" i="10"/>
  <c r="O69" i="10"/>
  <c r="AT69" i="10"/>
  <c r="P69" i="10"/>
  <c r="AE69" i="10"/>
  <c r="AF69" i="10"/>
  <c r="Q69" i="10"/>
  <c r="AU69" i="10"/>
  <c r="AG69" i="10"/>
  <c r="R69" i="10"/>
  <c r="AV69" i="10"/>
  <c r="H69" i="9"/>
  <c r="W69" i="9"/>
  <c r="AL69" i="9"/>
  <c r="I69" i="9"/>
  <c r="X69" i="9"/>
  <c r="AM69" i="9"/>
  <c r="J69" i="9"/>
  <c r="Y69" i="9"/>
  <c r="AN69" i="9"/>
  <c r="K69" i="9"/>
  <c r="Z69" i="9"/>
  <c r="AO69" i="9"/>
  <c r="L69" i="9"/>
  <c r="AA69" i="9"/>
  <c r="AP69" i="9"/>
  <c r="M69" i="9"/>
  <c r="AB69" i="9"/>
  <c r="AQ69" i="9"/>
  <c r="N69" i="9"/>
  <c r="AC69" i="9"/>
  <c r="AR69" i="9"/>
  <c r="O69" i="9"/>
  <c r="AD69" i="9"/>
  <c r="AS69" i="9"/>
  <c r="P69" i="9"/>
  <c r="AE69" i="9"/>
  <c r="AT69" i="9"/>
  <c r="Q69" i="9"/>
  <c r="AF69" i="9"/>
  <c r="AU69" i="9"/>
  <c r="R69" i="9"/>
  <c r="AG69" i="9"/>
  <c r="AV69" i="9"/>
  <c r="H68" i="7"/>
  <c r="W68" i="7"/>
  <c r="AL68" i="7"/>
  <c r="I68" i="7"/>
  <c r="X68" i="7"/>
  <c r="AM68" i="7"/>
  <c r="J68" i="7"/>
  <c r="Y68" i="7"/>
  <c r="AN68" i="7"/>
  <c r="K68" i="7"/>
  <c r="Z68" i="7"/>
  <c r="AO68" i="7"/>
  <c r="L68" i="7"/>
  <c r="AA68" i="7"/>
  <c r="AP68" i="7"/>
  <c r="N68" i="7"/>
  <c r="AC68" i="7"/>
  <c r="AR68" i="7"/>
  <c r="O68" i="7"/>
  <c r="AD68" i="7"/>
  <c r="AS68" i="7"/>
  <c r="P68" i="7"/>
  <c r="AE68" i="7"/>
  <c r="AT68" i="7"/>
  <c r="Q68" i="7"/>
  <c r="AF68" i="7"/>
  <c r="AU68" i="7"/>
  <c r="R68" i="7"/>
  <c r="AG68" i="7"/>
  <c r="AV68" i="7"/>
  <c r="I68" i="8"/>
  <c r="X68" i="8"/>
  <c r="AM68" i="8"/>
  <c r="J68" i="8"/>
  <c r="Y68" i="8"/>
  <c r="AN68" i="8"/>
  <c r="L68" i="8"/>
  <c r="AA68" i="8"/>
  <c r="AP68" i="8"/>
  <c r="N68" i="8"/>
  <c r="AC68" i="8"/>
  <c r="AR68" i="8"/>
  <c r="P68" i="8"/>
  <c r="AE68" i="8"/>
  <c r="AT68" i="8"/>
  <c r="AU68" i="8"/>
  <c r="Q68" i="8"/>
  <c r="AF68" i="8"/>
  <c r="AL68" i="8"/>
  <c r="H68" i="8"/>
  <c r="W68" i="8"/>
  <c r="AO68" i="8"/>
  <c r="K68" i="8"/>
  <c r="Z68" i="8"/>
  <c r="AB68" i="8"/>
  <c r="AQ68" i="8"/>
  <c r="M68" i="8"/>
  <c r="AS68" i="8"/>
  <c r="O68" i="8"/>
  <c r="AD68" i="8"/>
  <c r="R68" i="8"/>
  <c r="AG68" i="8"/>
  <c r="AV68" i="8"/>
  <c r="M68" i="7"/>
  <c r="AB68" i="7"/>
  <c r="AQ68" i="7"/>
  <c r="AH56" i="8"/>
  <c r="D56" i="8"/>
  <c r="S56" i="8"/>
  <c r="E44" i="8"/>
  <c r="T44" i="8"/>
  <c r="AI44" i="8"/>
  <c r="D39" i="9"/>
  <c r="S39" i="9"/>
  <c r="AH39" i="9"/>
  <c r="F19" i="9"/>
  <c r="V18" i="9"/>
  <c r="AI18" i="9"/>
  <c r="U22" i="8"/>
  <c r="V22" i="8" s="1"/>
  <c r="AK22" i="8" s="1"/>
  <c r="E18" i="10"/>
  <c r="G19" i="7"/>
  <c r="AW18" i="7"/>
  <c r="X9" i="2" s="1"/>
  <c r="AX19" i="7"/>
  <c r="AK17" i="10"/>
  <c r="AW17" i="10" s="1"/>
  <c r="AY17" i="10"/>
  <c r="H70" i="10" l="1"/>
  <c r="W70" i="10"/>
  <c r="AL70" i="10"/>
  <c r="I70" i="10"/>
  <c r="X70" i="10"/>
  <c r="AM70" i="10"/>
  <c r="AN70" i="10"/>
  <c r="J70" i="10"/>
  <c r="Y70" i="10"/>
  <c r="AO70" i="10"/>
  <c r="K70" i="10"/>
  <c r="Z70" i="10"/>
  <c r="AP70" i="10"/>
  <c r="AA70" i="10"/>
  <c r="L70" i="10"/>
  <c r="AB70" i="10"/>
  <c r="AQ70" i="10"/>
  <c r="M70" i="10"/>
  <c r="N70" i="10"/>
  <c r="AC70" i="10"/>
  <c r="AR70" i="10"/>
  <c r="O70" i="10"/>
  <c r="AS70" i="10"/>
  <c r="AD70" i="10"/>
  <c r="P70" i="10"/>
  <c r="AE70" i="10"/>
  <c r="AT70" i="10"/>
  <c r="Q70" i="10"/>
  <c r="AU70" i="10"/>
  <c r="AF70" i="10"/>
  <c r="AV70" i="10"/>
  <c r="R70" i="10"/>
  <c r="AG70" i="10"/>
  <c r="H70" i="9"/>
  <c r="W70" i="9"/>
  <c r="AL70" i="9"/>
  <c r="I70" i="9"/>
  <c r="X70" i="9"/>
  <c r="AM70" i="9"/>
  <c r="J70" i="9"/>
  <c r="Y70" i="9"/>
  <c r="AN70" i="9"/>
  <c r="K70" i="9"/>
  <c r="Z70" i="9"/>
  <c r="AO70" i="9"/>
  <c r="L70" i="9"/>
  <c r="AA70" i="9"/>
  <c r="AP70" i="9"/>
  <c r="M70" i="9"/>
  <c r="AB70" i="9"/>
  <c r="AQ70" i="9"/>
  <c r="N70" i="9"/>
  <c r="AC70" i="9"/>
  <c r="AR70" i="9"/>
  <c r="O70" i="9"/>
  <c r="AD70" i="9"/>
  <c r="AS70" i="9"/>
  <c r="P70" i="9"/>
  <c r="AE70" i="9"/>
  <c r="AT70" i="9"/>
  <c r="Q70" i="9"/>
  <c r="AF70" i="9"/>
  <c r="AU70" i="9"/>
  <c r="R70" i="9"/>
  <c r="AG70" i="9"/>
  <c r="AV70" i="9"/>
  <c r="H69" i="7"/>
  <c r="W69" i="7"/>
  <c r="AL69" i="7"/>
  <c r="I69" i="7"/>
  <c r="X69" i="7"/>
  <c r="AM69" i="7"/>
  <c r="J69" i="7"/>
  <c r="Y69" i="7"/>
  <c r="AN69" i="7"/>
  <c r="K69" i="7"/>
  <c r="Z69" i="7"/>
  <c r="AO69" i="7"/>
  <c r="L69" i="7"/>
  <c r="AA69" i="7"/>
  <c r="AP69" i="7"/>
  <c r="N69" i="7"/>
  <c r="AC69" i="7"/>
  <c r="AR69" i="7"/>
  <c r="O69" i="7"/>
  <c r="AD69" i="7"/>
  <c r="AS69" i="7"/>
  <c r="P69" i="7"/>
  <c r="AE69" i="7"/>
  <c r="AT69" i="7"/>
  <c r="Q69" i="7"/>
  <c r="AF69" i="7"/>
  <c r="AU69" i="7"/>
  <c r="R69" i="7"/>
  <c r="AG69" i="7"/>
  <c r="AV69" i="7"/>
  <c r="I69" i="8"/>
  <c r="X69" i="8"/>
  <c r="AM69" i="8"/>
  <c r="J69" i="8"/>
  <c r="Y69" i="8"/>
  <c r="AN69" i="8"/>
  <c r="AA69" i="8"/>
  <c r="AP69" i="8"/>
  <c r="L69" i="8"/>
  <c r="AR69" i="8"/>
  <c r="N69" i="8"/>
  <c r="AC69" i="8"/>
  <c r="P69" i="8"/>
  <c r="AE69" i="8"/>
  <c r="AT69" i="8"/>
  <c r="Q69" i="8"/>
  <c r="AF69" i="8"/>
  <c r="AU69" i="8"/>
  <c r="H69" i="8"/>
  <c r="W69" i="8"/>
  <c r="AL69" i="8"/>
  <c r="Z69" i="8"/>
  <c r="K69" i="8"/>
  <c r="AO69" i="8"/>
  <c r="AB69" i="8"/>
  <c r="AQ69" i="8"/>
  <c r="M69" i="8"/>
  <c r="O69" i="8"/>
  <c r="AD69" i="8"/>
  <c r="AS69" i="8"/>
  <c r="R69" i="8"/>
  <c r="AV69" i="8"/>
  <c r="AG69" i="8"/>
  <c r="M69" i="7"/>
  <c r="AB69" i="7"/>
  <c r="AQ69" i="7"/>
  <c r="D57" i="8"/>
  <c r="S57" i="8"/>
  <c r="AH57" i="8"/>
  <c r="E45" i="8"/>
  <c r="T45" i="8"/>
  <c r="AI45" i="8"/>
  <c r="D40" i="9"/>
  <c r="S40" i="9"/>
  <c r="AH40" i="9"/>
  <c r="E19" i="9"/>
  <c r="AY22" i="8"/>
  <c r="AJ22" i="8"/>
  <c r="G23" i="8"/>
  <c r="C19" i="7"/>
  <c r="G18" i="10"/>
  <c r="AX18" i="10"/>
  <c r="AK18" i="9"/>
  <c r="AY18" i="9"/>
  <c r="C18" i="10"/>
  <c r="AW18" i="9" l="1"/>
  <c r="AX19" i="9"/>
  <c r="W71" i="10"/>
  <c r="H71" i="10"/>
  <c r="AL71" i="10"/>
  <c r="X71" i="10"/>
  <c r="I71" i="10"/>
  <c r="AM71" i="10"/>
  <c r="J71" i="10"/>
  <c r="Y71" i="10"/>
  <c r="AN71" i="10"/>
  <c r="K71" i="10"/>
  <c r="Z71" i="10"/>
  <c r="AO71" i="10"/>
  <c r="L71" i="10"/>
  <c r="AA71" i="10"/>
  <c r="AP71" i="10"/>
  <c r="AB71" i="10"/>
  <c r="M71" i="10"/>
  <c r="AQ71" i="10"/>
  <c r="AC71" i="10"/>
  <c r="AR71" i="10"/>
  <c r="N71" i="10"/>
  <c r="AD71" i="10"/>
  <c r="O71" i="10"/>
  <c r="AS71" i="10"/>
  <c r="AE71" i="10"/>
  <c r="AT71" i="10"/>
  <c r="P71" i="10"/>
  <c r="Q71" i="10"/>
  <c r="AF71" i="10"/>
  <c r="AU71" i="10"/>
  <c r="R71" i="10"/>
  <c r="AG71" i="10"/>
  <c r="AV71" i="10"/>
  <c r="H71" i="9"/>
  <c r="W71" i="9"/>
  <c r="AL71" i="9"/>
  <c r="I71" i="9"/>
  <c r="X71" i="9"/>
  <c r="AM71" i="9"/>
  <c r="J71" i="9"/>
  <c r="Y71" i="9"/>
  <c r="AN71" i="9"/>
  <c r="K71" i="9"/>
  <c r="Z71" i="9"/>
  <c r="AO71" i="9"/>
  <c r="L71" i="9"/>
  <c r="AA71" i="9"/>
  <c r="AP71" i="9"/>
  <c r="M71" i="9"/>
  <c r="AB71" i="9"/>
  <c r="AQ71" i="9"/>
  <c r="N71" i="9"/>
  <c r="AC71" i="9"/>
  <c r="AR71" i="9"/>
  <c r="O71" i="9"/>
  <c r="AD71" i="9"/>
  <c r="AS71" i="9"/>
  <c r="P71" i="9"/>
  <c r="AE71" i="9"/>
  <c r="AT71" i="9"/>
  <c r="Q71" i="9"/>
  <c r="AF71" i="9"/>
  <c r="AU71" i="9"/>
  <c r="R71" i="9"/>
  <c r="AG71" i="9"/>
  <c r="AV71" i="9"/>
  <c r="H70" i="7"/>
  <c r="W70" i="7"/>
  <c r="AL70" i="7"/>
  <c r="I70" i="7"/>
  <c r="X70" i="7"/>
  <c r="AM70" i="7"/>
  <c r="J70" i="7"/>
  <c r="Y70" i="7"/>
  <c r="AN70" i="7"/>
  <c r="K70" i="7"/>
  <c r="Z70" i="7"/>
  <c r="AO70" i="7"/>
  <c r="L70" i="7"/>
  <c r="AA70" i="7"/>
  <c r="AP70" i="7"/>
  <c r="N70" i="7"/>
  <c r="AC70" i="7"/>
  <c r="AR70" i="7"/>
  <c r="O70" i="7"/>
  <c r="AD70" i="7"/>
  <c r="AS70" i="7"/>
  <c r="P70" i="7"/>
  <c r="AE70" i="7"/>
  <c r="AT70" i="7"/>
  <c r="Q70" i="7"/>
  <c r="AF70" i="7"/>
  <c r="AU70" i="7"/>
  <c r="R70" i="7"/>
  <c r="AG70" i="7"/>
  <c r="AV70" i="7"/>
  <c r="I70" i="8"/>
  <c r="X70" i="8"/>
  <c r="AM70" i="8"/>
  <c r="J70" i="8"/>
  <c r="AN70" i="8"/>
  <c r="Y70" i="8"/>
  <c r="L70" i="8"/>
  <c r="AA70" i="8"/>
  <c r="AP70" i="8"/>
  <c r="AC70" i="8"/>
  <c r="N70" i="8"/>
  <c r="AR70" i="8"/>
  <c r="P70" i="8"/>
  <c r="AE70" i="8"/>
  <c r="AT70" i="8"/>
  <c r="Q70" i="8"/>
  <c r="AF70" i="8"/>
  <c r="AU70" i="8"/>
  <c r="H70" i="8"/>
  <c r="W70" i="8"/>
  <c r="AL70" i="8"/>
  <c r="K70" i="8"/>
  <c r="Z70" i="8"/>
  <c r="AO70" i="8"/>
  <c r="M70" i="8"/>
  <c r="AB70" i="8"/>
  <c r="AQ70" i="8"/>
  <c r="O70" i="8"/>
  <c r="AS70" i="8"/>
  <c r="AD70" i="8"/>
  <c r="AG70" i="8"/>
  <c r="R70" i="8"/>
  <c r="AV70" i="8"/>
  <c r="M70" i="7"/>
  <c r="AB70" i="7"/>
  <c r="AQ70" i="7"/>
  <c r="D58" i="8"/>
  <c r="S58" i="8"/>
  <c r="AH58" i="8"/>
  <c r="E46" i="8"/>
  <c r="T46" i="8"/>
  <c r="AI46" i="8"/>
  <c r="D41" i="9"/>
  <c r="S41" i="9"/>
  <c r="AH41" i="9"/>
  <c r="F23" i="8"/>
  <c r="AW22" i="8"/>
  <c r="AX23" i="8"/>
  <c r="S19" i="7"/>
  <c r="G19" i="9"/>
  <c r="S18" i="10"/>
  <c r="H72" i="10" l="1"/>
  <c r="W72" i="10"/>
  <c r="AL72" i="10"/>
  <c r="AM72" i="10"/>
  <c r="I72" i="10"/>
  <c r="X72" i="10"/>
  <c r="J72" i="10"/>
  <c r="Y72" i="10"/>
  <c r="AN72" i="10"/>
  <c r="K72" i="10"/>
  <c r="Z72" i="10"/>
  <c r="AO72" i="10"/>
  <c r="AP72" i="10"/>
  <c r="L72" i="10"/>
  <c r="AA72" i="10"/>
  <c r="AQ72" i="10"/>
  <c r="AB72" i="10"/>
  <c r="M72" i="10"/>
  <c r="AC72" i="10"/>
  <c r="N72" i="10"/>
  <c r="AR72" i="10"/>
  <c r="O72" i="10"/>
  <c r="AD72" i="10"/>
  <c r="AS72" i="10"/>
  <c r="AT72" i="10"/>
  <c r="P72" i="10"/>
  <c r="AE72" i="10"/>
  <c r="AU72" i="10"/>
  <c r="Q72" i="10"/>
  <c r="AF72" i="10"/>
  <c r="AG72" i="10"/>
  <c r="AV72" i="10"/>
  <c r="R72" i="10"/>
  <c r="H72" i="9"/>
  <c r="W72" i="9"/>
  <c r="AL72" i="9"/>
  <c r="I72" i="9"/>
  <c r="X72" i="9"/>
  <c r="AM72" i="9"/>
  <c r="J72" i="9"/>
  <c r="Y72" i="9"/>
  <c r="AN72" i="9"/>
  <c r="K72" i="9"/>
  <c r="Z72" i="9"/>
  <c r="AO72" i="9"/>
  <c r="L72" i="9"/>
  <c r="AA72" i="9"/>
  <c r="AP72" i="9"/>
  <c r="M72" i="9"/>
  <c r="AB72" i="9"/>
  <c r="AQ72" i="9"/>
  <c r="N72" i="9"/>
  <c r="AC72" i="9"/>
  <c r="AR72" i="9"/>
  <c r="O72" i="9"/>
  <c r="AD72" i="9"/>
  <c r="AS72" i="9"/>
  <c r="P72" i="9"/>
  <c r="AE72" i="9"/>
  <c r="AT72" i="9"/>
  <c r="Q72" i="9"/>
  <c r="AF72" i="9"/>
  <c r="AU72" i="9"/>
  <c r="R72" i="9"/>
  <c r="AG72" i="9"/>
  <c r="AV72" i="9"/>
  <c r="H71" i="7"/>
  <c r="W71" i="7"/>
  <c r="AL71" i="7"/>
  <c r="I71" i="7"/>
  <c r="X71" i="7"/>
  <c r="AM71" i="7"/>
  <c r="J71" i="7"/>
  <c r="Y71" i="7"/>
  <c r="AN71" i="7"/>
  <c r="K71" i="7"/>
  <c r="Z71" i="7"/>
  <c r="AO71" i="7"/>
  <c r="L71" i="7"/>
  <c r="AA71" i="7"/>
  <c r="AP71" i="7"/>
  <c r="N71" i="7"/>
  <c r="AC71" i="7"/>
  <c r="AR71" i="7"/>
  <c r="O71" i="7"/>
  <c r="AD71" i="7"/>
  <c r="AS71" i="7"/>
  <c r="P71" i="7"/>
  <c r="AE71" i="7"/>
  <c r="AT71" i="7"/>
  <c r="Q71" i="7"/>
  <c r="AF71" i="7"/>
  <c r="AU71" i="7"/>
  <c r="R71" i="7"/>
  <c r="AG71" i="7"/>
  <c r="AV71" i="7"/>
  <c r="I71" i="8"/>
  <c r="X71" i="8"/>
  <c r="AM71" i="8"/>
  <c r="J71" i="8"/>
  <c r="Y71" i="8"/>
  <c r="AN71" i="8"/>
  <c r="L71" i="8"/>
  <c r="AA71" i="8"/>
  <c r="AP71" i="8"/>
  <c r="N71" i="8"/>
  <c r="AC71" i="8"/>
  <c r="AR71" i="8"/>
  <c r="AE71" i="8"/>
  <c r="AT71" i="8"/>
  <c r="P71" i="8"/>
  <c r="Q71" i="8"/>
  <c r="AU71" i="8"/>
  <c r="AF71" i="8"/>
  <c r="H71" i="8"/>
  <c r="W71" i="8"/>
  <c r="AL71" i="8"/>
  <c r="Z71" i="8"/>
  <c r="AO71" i="8"/>
  <c r="K71" i="8"/>
  <c r="AQ71" i="8"/>
  <c r="M71" i="8"/>
  <c r="AB71" i="8"/>
  <c r="O71" i="8"/>
  <c r="AS71" i="8"/>
  <c r="AD71" i="8"/>
  <c r="R71" i="8"/>
  <c r="AG71" i="8"/>
  <c r="AV71" i="8"/>
  <c r="M71" i="7"/>
  <c r="AB71" i="7"/>
  <c r="AQ71" i="7"/>
  <c r="AH59" i="8"/>
  <c r="D59" i="8"/>
  <c r="S59" i="8"/>
  <c r="AI47" i="8"/>
  <c r="E47" i="8"/>
  <c r="T47" i="8"/>
  <c r="D42" i="9"/>
  <c r="S42" i="9"/>
  <c r="AH42" i="9"/>
  <c r="C23" i="8"/>
  <c r="U23" i="8" s="1"/>
  <c r="AH19" i="7"/>
  <c r="AH18" i="10"/>
  <c r="T19" i="7"/>
  <c r="U19" i="7" s="1"/>
  <c r="C19" i="9"/>
  <c r="T18" i="10"/>
  <c r="W73" i="10" l="1"/>
  <c r="AL73" i="10"/>
  <c r="H73" i="10"/>
  <c r="I73" i="10"/>
  <c r="X73" i="10"/>
  <c r="AM73" i="10"/>
  <c r="J73" i="10"/>
  <c r="Y73" i="10"/>
  <c r="AN73" i="10"/>
  <c r="Z73" i="10"/>
  <c r="AO73" i="10"/>
  <c r="K73" i="10"/>
  <c r="L73" i="10"/>
  <c r="AP73" i="10"/>
  <c r="AA73" i="10"/>
  <c r="M73" i="10"/>
  <c r="AB73" i="10"/>
  <c r="AQ73" i="10"/>
  <c r="N73" i="10"/>
  <c r="AR73" i="10"/>
  <c r="AC73" i="10"/>
  <c r="O73" i="10"/>
  <c r="AD73" i="10"/>
  <c r="AS73" i="10"/>
  <c r="AT73" i="10"/>
  <c r="P73" i="10"/>
  <c r="AE73" i="10"/>
  <c r="AU73" i="10"/>
  <c r="Q73" i="10"/>
  <c r="AF73" i="10"/>
  <c r="R73" i="10"/>
  <c r="AV73" i="10"/>
  <c r="AG73" i="10"/>
  <c r="H73" i="9"/>
  <c r="W73" i="9"/>
  <c r="AL73" i="9"/>
  <c r="I73" i="9"/>
  <c r="X73" i="9"/>
  <c r="AM73" i="9"/>
  <c r="J73" i="9"/>
  <c r="Y73" i="9"/>
  <c r="AN73" i="9"/>
  <c r="K73" i="9"/>
  <c r="Z73" i="9"/>
  <c r="AO73" i="9"/>
  <c r="L73" i="9"/>
  <c r="AA73" i="9"/>
  <c r="AP73" i="9"/>
  <c r="M73" i="9"/>
  <c r="AB73" i="9"/>
  <c r="AQ73" i="9"/>
  <c r="N73" i="9"/>
  <c r="AC73" i="9"/>
  <c r="AR73" i="9"/>
  <c r="O73" i="9"/>
  <c r="AD73" i="9"/>
  <c r="AS73" i="9"/>
  <c r="P73" i="9"/>
  <c r="AE73" i="9"/>
  <c r="AT73" i="9"/>
  <c r="Q73" i="9"/>
  <c r="AF73" i="9"/>
  <c r="AU73" i="9"/>
  <c r="R73" i="9"/>
  <c r="AG73" i="9"/>
  <c r="AV73" i="9"/>
  <c r="H72" i="7"/>
  <c r="W72" i="7"/>
  <c r="AL72" i="7"/>
  <c r="I72" i="7"/>
  <c r="X72" i="7"/>
  <c r="AM72" i="7"/>
  <c r="J72" i="7"/>
  <c r="Y72" i="7"/>
  <c r="AN72" i="7"/>
  <c r="K72" i="7"/>
  <c r="Z72" i="7"/>
  <c r="AO72" i="7"/>
  <c r="L72" i="7"/>
  <c r="AA72" i="7"/>
  <c r="AP72" i="7"/>
  <c r="N72" i="7"/>
  <c r="AC72" i="7"/>
  <c r="AR72" i="7"/>
  <c r="O72" i="7"/>
  <c r="AD72" i="7"/>
  <c r="AS72" i="7"/>
  <c r="P72" i="7"/>
  <c r="AE72" i="7"/>
  <c r="AT72" i="7"/>
  <c r="Q72" i="7"/>
  <c r="AF72" i="7"/>
  <c r="AU72" i="7"/>
  <c r="R72" i="7"/>
  <c r="AG72" i="7"/>
  <c r="AV72" i="7"/>
  <c r="I72" i="8"/>
  <c r="X72" i="8"/>
  <c r="AM72" i="8"/>
  <c r="J72" i="8"/>
  <c r="Y72" i="8"/>
  <c r="AN72" i="8"/>
  <c r="L72" i="8"/>
  <c r="AA72" i="8"/>
  <c r="AP72" i="8"/>
  <c r="N72" i="8"/>
  <c r="AC72" i="8"/>
  <c r="AR72" i="8"/>
  <c r="P72" i="8"/>
  <c r="AE72" i="8"/>
  <c r="AT72" i="8"/>
  <c r="Q72" i="8"/>
  <c r="AF72" i="8"/>
  <c r="AU72" i="8"/>
  <c r="H72" i="8"/>
  <c r="W72" i="8"/>
  <c r="AL72" i="8"/>
  <c r="K72" i="8"/>
  <c r="Z72" i="8"/>
  <c r="AO72" i="8"/>
  <c r="M72" i="8"/>
  <c r="AB72" i="8"/>
  <c r="AQ72" i="8"/>
  <c r="O72" i="8"/>
  <c r="AD72" i="8"/>
  <c r="AS72" i="8"/>
  <c r="R72" i="8"/>
  <c r="AG72" i="8"/>
  <c r="AV72" i="8"/>
  <c r="M72" i="7"/>
  <c r="AB72" i="7"/>
  <c r="AQ72" i="7"/>
  <c r="D60" i="8"/>
  <c r="AH60" i="8"/>
  <c r="S60" i="8"/>
  <c r="E48" i="8"/>
  <c r="T48" i="8"/>
  <c r="AI48" i="8"/>
  <c r="D43" i="9"/>
  <c r="S43" i="9"/>
  <c r="AH43" i="9"/>
  <c r="D20" i="7"/>
  <c r="S20" i="7"/>
  <c r="AH20" i="7"/>
  <c r="D19" i="10"/>
  <c r="T19" i="9"/>
  <c r="U19" i="9" s="1"/>
  <c r="AJ19" i="9" s="1"/>
  <c r="AJ23" i="8"/>
  <c r="V23" i="8"/>
  <c r="AI19" i="7"/>
  <c r="AJ19" i="7"/>
  <c r="V19" i="7"/>
  <c r="AI18" i="10"/>
  <c r="U18" i="10"/>
  <c r="V18" i="10"/>
  <c r="AK18" i="10" s="1"/>
  <c r="AL74" i="10" l="1"/>
  <c r="H74" i="10"/>
  <c r="W74" i="10"/>
  <c r="I74" i="10"/>
  <c r="X74" i="10"/>
  <c r="AM74" i="10"/>
  <c r="AN74" i="10"/>
  <c r="J74" i="10"/>
  <c r="Y74" i="10"/>
  <c r="K74" i="10"/>
  <c r="Z74" i="10"/>
  <c r="AO74" i="10"/>
  <c r="L74" i="10"/>
  <c r="AA74" i="10"/>
  <c r="AP74" i="10"/>
  <c r="M74" i="10"/>
  <c r="AB74" i="10"/>
  <c r="AQ74" i="10"/>
  <c r="AC74" i="10"/>
  <c r="AR74" i="10"/>
  <c r="N74" i="10"/>
  <c r="AD74" i="10"/>
  <c r="AS74" i="10"/>
  <c r="O74" i="10"/>
  <c r="P74" i="10"/>
  <c r="AT74" i="10"/>
  <c r="AE74" i="10"/>
  <c r="Q74" i="10"/>
  <c r="AU74" i="10"/>
  <c r="AF74" i="10"/>
  <c r="R74" i="10"/>
  <c r="AG74" i="10"/>
  <c r="AV74" i="10"/>
  <c r="H74" i="9"/>
  <c r="W74" i="9"/>
  <c r="AL74" i="9"/>
  <c r="I74" i="9"/>
  <c r="X74" i="9"/>
  <c r="AM74" i="9"/>
  <c r="J74" i="9"/>
  <c r="Y74" i="9"/>
  <c r="AN74" i="9"/>
  <c r="K74" i="9"/>
  <c r="Z74" i="9"/>
  <c r="AO74" i="9"/>
  <c r="L74" i="9"/>
  <c r="AA74" i="9"/>
  <c r="AP74" i="9"/>
  <c r="M74" i="9"/>
  <c r="AB74" i="9"/>
  <c r="AQ74" i="9"/>
  <c r="N74" i="9"/>
  <c r="AC74" i="9"/>
  <c r="AR74" i="9"/>
  <c r="O74" i="9"/>
  <c r="AD74" i="9"/>
  <c r="AS74" i="9"/>
  <c r="P74" i="9"/>
  <c r="AE74" i="9"/>
  <c r="AT74" i="9"/>
  <c r="Q74" i="9"/>
  <c r="AF74" i="9"/>
  <c r="AU74" i="9"/>
  <c r="R74" i="9"/>
  <c r="AG74" i="9"/>
  <c r="AV74" i="9"/>
  <c r="H73" i="7"/>
  <c r="W73" i="7"/>
  <c r="AL73" i="7"/>
  <c r="I73" i="7"/>
  <c r="X73" i="7"/>
  <c r="AM73" i="7"/>
  <c r="J73" i="7"/>
  <c r="Y73" i="7"/>
  <c r="AN73" i="7"/>
  <c r="K73" i="7"/>
  <c r="Z73" i="7"/>
  <c r="AO73" i="7"/>
  <c r="L73" i="7"/>
  <c r="AA73" i="7"/>
  <c r="AP73" i="7"/>
  <c r="N73" i="7"/>
  <c r="AC73" i="7"/>
  <c r="AR73" i="7"/>
  <c r="O73" i="7"/>
  <c r="AD73" i="7"/>
  <c r="AS73" i="7"/>
  <c r="P73" i="7"/>
  <c r="AE73" i="7"/>
  <c r="AT73" i="7"/>
  <c r="Q73" i="7"/>
  <c r="AF73" i="7"/>
  <c r="AU73" i="7"/>
  <c r="R73" i="7"/>
  <c r="AG73" i="7"/>
  <c r="AV73" i="7"/>
  <c r="AM73" i="8"/>
  <c r="I73" i="8"/>
  <c r="X73" i="8"/>
  <c r="J73" i="8"/>
  <c r="Y73" i="8"/>
  <c r="AN73" i="8"/>
  <c r="L73" i="8"/>
  <c r="AA73" i="8"/>
  <c r="AP73" i="8"/>
  <c r="N73" i="8"/>
  <c r="AC73" i="8"/>
  <c r="AR73" i="8"/>
  <c r="P73" i="8"/>
  <c r="AE73" i="8"/>
  <c r="AT73" i="8"/>
  <c r="AU73" i="8"/>
  <c r="Q73" i="8"/>
  <c r="AF73" i="8"/>
  <c r="H73" i="8"/>
  <c r="W73" i="8"/>
  <c r="AL73" i="8"/>
  <c r="K73" i="8"/>
  <c r="AO73" i="8"/>
  <c r="Z73" i="8"/>
  <c r="M73" i="8"/>
  <c r="AB73" i="8"/>
  <c r="AQ73" i="8"/>
  <c r="O73" i="8"/>
  <c r="AS73" i="8"/>
  <c r="AD73" i="8"/>
  <c r="R73" i="8"/>
  <c r="AG73" i="8"/>
  <c r="AV73" i="8"/>
  <c r="M73" i="7"/>
  <c r="AB73" i="7"/>
  <c r="AQ73" i="7"/>
  <c r="S61" i="8"/>
  <c r="AH61" i="8"/>
  <c r="D61" i="8"/>
  <c r="E49" i="8"/>
  <c r="T49" i="8"/>
  <c r="AI49" i="8"/>
  <c r="D44" i="9"/>
  <c r="S44" i="9"/>
  <c r="AH44" i="9"/>
  <c r="D21" i="7"/>
  <c r="S21" i="7"/>
  <c r="AH21" i="7"/>
  <c r="V19" i="9"/>
  <c r="AI19" i="9"/>
  <c r="F20" i="9"/>
  <c r="F24" i="8"/>
  <c r="E20" i="7"/>
  <c r="F20" i="7"/>
  <c r="E19" i="10"/>
  <c r="AY18" i="10"/>
  <c r="AJ18" i="10"/>
  <c r="G19" i="10"/>
  <c r="AK23" i="8"/>
  <c r="AY23" i="8"/>
  <c r="AK19" i="7"/>
  <c r="AY19" i="7"/>
  <c r="AX24" i="8" l="1"/>
  <c r="AW23" i="8"/>
  <c r="W75" i="10"/>
  <c r="AL75" i="10"/>
  <c r="H75" i="10"/>
  <c r="AM75" i="10"/>
  <c r="I75" i="10"/>
  <c r="X75" i="10"/>
  <c r="J75" i="10"/>
  <c r="AN75" i="10"/>
  <c r="Y75" i="10"/>
  <c r="K75" i="10"/>
  <c r="AO75" i="10"/>
  <c r="Z75" i="10"/>
  <c r="AA75" i="10"/>
  <c r="AP75" i="10"/>
  <c r="L75" i="10"/>
  <c r="AQ75" i="10"/>
  <c r="AB75" i="10"/>
  <c r="M75" i="10"/>
  <c r="AC75" i="10"/>
  <c r="AR75" i="10"/>
  <c r="N75" i="10"/>
  <c r="AS75" i="10"/>
  <c r="O75" i="10"/>
  <c r="AD75" i="10"/>
  <c r="P75" i="10"/>
  <c r="AT75" i="10"/>
  <c r="AE75" i="10"/>
  <c r="AU75" i="10"/>
  <c r="Q75" i="10"/>
  <c r="AF75" i="10"/>
  <c r="R75" i="10"/>
  <c r="AV75" i="10"/>
  <c r="AG75" i="10"/>
  <c r="H75" i="9"/>
  <c r="W75" i="9"/>
  <c r="AL75" i="9"/>
  <c r="I75" i="9"/>
  <c r="X75" i="9"/>
  <c r="AM75" i="9"/>
  <c r="J75" i="9"/>
  <c r="Y75" i="9"/>
  <c r="AN75" i="9"/>
  <c r="K75" i="9"/>
  <c r="Z75" i="9"/>
  <c r="AO75" i="9"/>
  <c r="L75" i="9"/>
  <c r="AA75" i="9"/>
  <c r="AP75" i="9"/>
  <c r="M75" i="9"/>
  <c r="AB75" i="9"/>
  <c r="AQ75" i="9"/>
  <c r="N75" i="9"/>
  <c r="AC75" i="9"/>
  <c r="AR75" i="9"/>
  <c r="O75" i="9"/>
  <c r="AD75" i="9"/>
  <c r="AS75" i="9"/>
  <c r="P75" i="9"/>
  <c r="AE75" i="9"/>
  <c r="AT75" i="9"/>
  <c r="Q75" i="9"/>
  <c r="AF75" i="9"/>
  <c r="AU75" i="9"/>
  <c r="R75" i="9"/>
  <c r="AG75" i="9"/>
  <c r="AV75" i="9"/>
  <c r="H74" i="7"/>
  <c r="W74" i="7"/>
  <c r="AL74" i="7"/>
  <c r="I74" i="7"/>
  <c r="X74" i="7"/>
  <c r="AM74" i="7"/>
  <c r="J74" i="7"/>
  <c r="Y74" i="7"/>
  <c r="AN74" i="7"/>
  <c r="K74" i="7"/>
  <c r="Z74" i="7"/>
  <c r="AO74" i="7"/>
  <c r="L74" i="7"/>
  <c r="AA74" i="7"/>
  <c r="AP74" i="7"/>
  <c r="N74" i="7"/>
  <c r="AC74" i="7"/>
  <c r="AR74" i="7"/>
  <c r="O74" i="7"/>
  <c r="AD74" i="7"/>
  <c r="AS74" i="7"/>
  <c r="P74" i="7"/>
  <c r="AE74" i="7"/>
  <c r="AT74" i="7"/>
  <c r="Q74" i="7"/>
  <c r="AF74" i="7"/>
  <c r="AU74" i="7"/>
  <c r="R74" i="7"/>
  <c r="AG74" i="7"/>
  <c r="AV74" i="7"/>
  <c r="I74" i="8"/>
  <c r="AM74" i="8"/>
  <c r="X74" i="8"/>
  <c r="Y74" i="8"/>
  <c r="J74" i="8"/>
  <c r="AN74" i="8"/>
  <c r="AA74" i="8"/>
  <c r="L74" i="8"/>
  <c r="AP74" i="8"/>
  <c r="N74" i="8"/>
  <c r="AR74" i="8"/>
  <c r="AC74" i="8"/>
  <c r="P74" i="8"/>
  <c r="AE74" i="8"/>
  <c r="AT74" i="8"/>
  <c r="Q74" i="8"/>
  <c r="AF74" i="8"/>
  <c r="AU74" i="8"/>
  <c r="AL74" i="8"/>
  <c r="H74" i="8"/>
  <c r="W74" i="8"/>
  <c r="Z74" i="8"/>
  <c r="K74" i="8"/>
  <c r="AO74" i="8"/>
  <c r="AQ74" i="8"/>
  <c r="M74" i="8"/>
  <c r="AB74" i="8"/>
  <c r="O74" i="8"/>
  <c r="AD74" i="8"/>
  <c r="AS74" i="8"/>
  <c r="R74" i="8"/>
  <c r="AG74" i="8"/>
  <c r="AV74" i="8"/>
  <c r="M74" i="7"/>
  <c r="AB74" i="7"/>
  <c r="AQ74" i="7"/>
  <c r="D62" i="8"/>
  <c r="S62" i="8"/>
  <c r="AH62" i="8"/>
  <c r="E50" i="8"/>
  <c r="T50" i="8"/>
  <c r="AI50" i="8"/>
  <c r="D45" i="9"/>
  <c r="S45" i="9"/>
  <c r="AH45" i="9"/>
  <c r="D22" i="7"/>
  <c r="S22" i="7"/>
  <c r="AH22" i="7"/>
  <c r="E20" i="9"/>
  <c r="AW18" i="10"/>
  <c r="AX19" i="10"/>
  <c r="F19" i="10"/>
  <c r="G24" i="8"/>
  <c r="G20" i="7"/>
  <c r="AX20" i="7"/>
  <c r="AW19" i="7"/>
  <c r="AK19" i="9"/>
  <c r="AY19" i="9"/>
  <c r="AX20" i="9" l="1"/>
  <c r="AW19" i="9"/>
  <c r="H76" i="10"/>
  <c r="AL76" i="10"/>
  <c r="W76" i="10"/>
  <c r="AM76" i="10"/>
  <c r="I76" i="10"/>
  <c r="X76" i="10"/>
  <c r="J76" i="10"/>
  <c r="AN76" i="10"/>
  <c r="Y76" i="10"/>
  <c r="AO76" i="10"/>
  <c r="K76" i="10"/>
  <c r="Z76" i="10"/>
  <c r="AA76" i="10"/>
  <c r="AP76" i="10"/>
  <c r="L76" i="10"/>
  <c r="AQ76" i="10"/>
  <c r="M76" i="10"/>
  <c r="AB76" i="10"/>
  <c r="AC76" i="10"/>
  <c r="N76" i="10"/>
  <c r="AR76" i="10"/>
  <c r="AD76" i="10"/>
  <c r="AS76" i="10"/>
  <c r="O76" i="10"/>
  <c r="P76" i="10"/>
  <c r="AT76" i="10"/>
  <c r="AE76" i="10"/>
  <c r="AU76" i="10"/>
  <c r="Q76" i="10"/>
  <c r="AF76" i="10"/>
  <c r="R76" i="10"/>
  <c r="AG76" i="10"/>
  <c r="AV76" i="10"/>
  <c r="H76" i="9"/>
  <c r="W76" i="9"/>
  <c r="AL76" i="9"/>
  <c r="I76" i="9"/>
  <c r="X76" i="9"/>
  <c r="AM76" i="9"/>
  <c r="J76" i="9"/>
  <c r="Y76" i="9"/>
  <c r="AN76" i="9"/>
  <c r="K76" i="9"/>
  <c r="Z76" i="9"/>
  <c r="AO76" i="9"/>
  <c r="L76" i="9"/>
  <c r="AA76" i="9"/>
  <c r="AP76" i="9"/>
  <c r="M76" i="9"/>
  <c r="AB76" i="9"/>
  <c r="AQ76" i="9"/>
  <c r="N76" i="9"/>
  <c r="AC76" i="9"/>
  <c r="AR76" i="9"/>
  <c r="O76" i="9"/>
  <c r="AD76" i="9"/>
  <c r="AS76" i="9"/>
  <c r="P76" i="9"/>
  <c r="AE76" i="9"/>
  <c r="AT76" i="9"/>
  <c r="Q76" i="9"/>
  <c r="AF76" i="9"/>
  <c r="AU76" i="9"/>
  <c r="R76" i="9"/>
  <c r="AG76" i="9"/>
  <c r="AV76" i="9"/>
  <c r="H75" i="7"/>
  <c r="W75" i="7"/>
  <c r="AL75" i="7"/>
  <c r="I75" i="7"/>
  <c r="X75" i="7"/>
  <c r="AM75" i="7"/>
  <c r="J75" i="7"/>
  <c r="Y75" i="7"/>
  <c r="AN75" i="7"/>
  <c r="K75" i="7"/>
  <c r="Z75" i="7"/>
  <c r="AO75" i="7"/>
  <c r="L75" i="7"/>
  <c r="AA75" i="7"/>
  <c r="AP75" i="7"/>
  <c r="N75" i="7"/>
  <c r="AC75" i="7"/>
  <c r="AR75" i="7"/>
  <c r="O75" i="7"/>
  <c r="AD75" i="7"/>
  <c r="AS75" i="7"/>
  <c r="P75" i="7"/>
  <c r="AE75" i="7"/>
  <c r="AT75" i="7"/>
  <c r="Q75" i="7"/>
  <c r="AF75" i="7"/>
  <c r="AU75" i="7"/>
  <c r="R75" i="7"/>
  <c r="AG75" i="7"/>
  <c r="AV75" i="7"/>
  <c r="I75" i="8"/>
  <c r="X75" i="8"/>
  <c r="AM75" i="8"/>
  <c r="J75" i="8"/>
  <c r="Y75" i="8"/>
  <c r="AN75" i="8"/>
  <c r="AA75" i="8"/>
  <c r="AP75" i="8"/>
  <c r="L75" i="8"/>
  <c r="N75" i="8"/>
  <c r="AC75" i="8"/>
  <c r="AR75" i="8"/>
  <c r="P75" i="8"/>
  <c r="AT75" i="8"/>
  <c r="AE75" i="8"/>
  <c r="AU75" i="8"/>
  <c r="Q75" i="8"/>
  <c r="AF75" i="8"/>
  <c r="H75" i="8"/>
  <c r="W75" i="8"/>
  <c r="AL75" i="8"/>
  <c r="Z75" i="8"/>
  <c r="AO75" i="8"/>
  <c r="K75" i="8"/>
  <c r="M75" i="8"/>
  <c r="AB75" i="8"/>
  <c r="AQ75" i="8"/>
  <c r="O75" i="8"/>
  <c r="AS75" i="8"/>
  <c r="AD75" i="8"/>
  <c r="AV75" i="8"/>
  <c r="R75" i="8"/>
  <c r="AG75" i="8"/>
  <c r="M75" i="7"/>
  <c r="AB75" i="7"/>
  <c r="AQ75" i="7"/>
  <c r="D63" i="8"/>
  <c r="AH63" i="8"/>
  <c r="S63" i="8"/>
  <c r="E51" i="8"/>
  <c r="AI51" i="8"/>
  <c r="T51" i="8"/>
  <c r="D46" i="9"/>
  <c r="S46" i="9"/>
  <c r="AH46" i="9"/>
  <c r="D23" i="7"/>
  <c r="S23" i="7"/>
  <c r="AH23" i="7"/>
  <c r="C19" i="10"/>
  <c r="C20" i="7"/>
  <c r="AK20" i="9"/>
  <c r="V20" i="9"/>
  <c r="G20" i="9"/>
  <c r="C24" i="8"/>
  <c r="U24" i="8" s="1"/>
  <c r="AJ24" i="8" l="1"/>
  <c r="V24" i="8"/>
  <c r="AL77" i="10"/>
  <c r="H77" i="10"/>
  <c r="W77" i="10"/>
  <c r="I77" i="10"/>
  <c r="X77" i="10"/>
  <c r="AM77" i="10"/>
  <c r="J77" i="10"/>
  <c r="Y77" i="10"/>
  <c r="AN77" i="10"/>
  <c r="AO77" i="10"/>
  <c r="K77" i="10"/>
  <c r="Z77" i="10"/>
  <c r="AA77" i="10"/>
  <c r="AP77" i="10"/>
  <c r="L77" i="10"/>
  <c r="M77" i="10"/>
  <c r="AQ77" i="10"/>
  <c r="AB77" i="10"/>
  <c r="N77" i="10"/>
  <c r="AR77" i="10"/>
  <c r="AC77" i="10"/>
  <c r="O77" i="10"/>
  <c r="AS77" i="10"/>
  <c r="AD77" i="10"/>
  <c r="AT77" i="10"/>
  <c r="P77" i="10"/>
  <c r="AE77" i="10"/>
  <c r="AF77" i="10"/>
  <c r="Q77" i="10"/>
  <c r="AU77" i="10"/>
  <c r="AG77" i="10"/>
  <c r="AV77" i="10"/>
  <c r="R77" i="10"/>
  <c r="H77" i="9"/>
  <c r="W77" i="9"/>
  <c r="AL77" i="9"/>
  <c r="I77" i="9"/>
  <c r="X77" i="9"/>
  <c r="AM77" i="9"/>
  <c r="J77" i="9"/>
  <c r="Y77" i="9"/>
  <c r="AN77" i="9"/>
  <c r="K77" i="9"/>
  <c r="Z77" i="9"/>
  <c r="AO77" i="9"/>
  <c r="L77" i="9"/>
  <c r="AA77" i="9"/>
  <c r="AP77" i="9"/>
  <c r="M77" i="9"/>
  <c r="AB77" i="9"/>
  <c r="AQ77" i="9"/>
  <c r="N77" i="9"/>
  <c r="AC77" i="9"/>
  <c r="AR77" i="9"/>
  <c r="O77" i="9"/>
  <c r="AD77" i="9"/>
  <c r="AS77" i="9"/>
  <c r="P77" i="9"/>
  <c r="AE77" i="9"/>
  <c r="AT77" i="9"/>
  <c r="Q77" i="9"/>
  <c r="AF77" i="9"/>
  <c r="AU77" i="9"/>
  <c r="R77" i="9"/>
  <c r="AG77" i="9"/>
  <c r="AV77" i="9"/>
  <c r="H76" i="7"/>
  <c r="W76" i="7"/>
  <c r="AL76" i="7"/>
  <c r="I76" i="7"/>
  <c r="X76" i="7"/>
  <c r="AM76" i="7"/>
  <c r="J76" i="7"/>
  <c r="Y76" i="7"/>
  <c r="AN76" i="7"/>
  <c r="K76" i="7"/>
  <c r="Z76" i="7"/>
  <c r="AO76" i="7"/>
  <c r="L76" i="7"/>
  <c r="AA76" i="7"/>
  <c r="AP76" i="7"/>
  <c r="N76" i="7"/>
  <c r="AC76" i="7"/>
  <c r="AR76" i="7"/>
  <c r="O76" i="7"/>
  <c r="AD76" i="7"/>
  <c r="AS76" i="7"/>
  <c r="P76" i="7"/>
  <c r="AE76" i="7"/>
  <c r="AT76" i="7"/>
  <c r="Q76" i="7"/>
  <c r="AF76" i="7"/>
  <c r="AU76" i="7"/>
  <c r="R76" i="7"/>
  <c r="AG76" i="7"/>
  <c r="AV76" i="7"/>
  <c r="I76" i="8"/>
  <c r="X76" i="8"/>
  <c r="AM76" i="8"/>
  <c r="J76" i="8"/>
  <c r="Y76" i="8"/>
  <c r="AN76" i="8"/>
  <c r="AA76" i="8"/>
  <c r="AP76" i="8"/>
  <c r="L76" i="8"/>
  <c r="AC76" i="8"/>
  <c r="N76" i="8"/>
  <c r="AR76" i="8"/>
  <c r="P76" i="8"/>
  <c r="AE76" i="8"/>
  <c r="AT76" i="8"/>
  <c r="Q76" i="8"/>
  <c r="AF76" i="8"/>
  <c r="AU76" i="8"/>
  <c r="AL76" i="8"/>
  <c r="H76" i="8"/>
  <c r="W76" i="8"/>
  <c r="K76" i="8"/>
  <c r="AO76" i="8"/>
  <c r="Z76" i="8"/>
  <c r="AB76" i="8"/>
  <c r="AQ76" i="8"/>
  <c r="M76" i="8"/>
  <c r="O76" i="8"/>
  <c r="AD76" i="8"/>
  <c r="AS76" i="8"/>
  <c r="R76" i="8"/>
  <c r="AG76" i="8"/>
  <c r="AV76" i="8"/>
  <c r="M76" i="7"/>
  <c r="AB76" i="7"/>
  <c r="AQ76" i="7"/>
  <c r="S64" i="8"/>
  <c r="AH64" i="8"/>
  <c r="D64" i="8"/>
  <c r="E52" i="8"/>
  <c r="AI52" i="8"/>
  <c r="T52" i="8"/>
  <c r="D47" i="9"/>
  <c r="S47" i="9"/>
  <c r="AH47" i="9"/>
  <c r="D24" i="7"/>
  <c r="S24" i="7"/>
  <c r="AH24" i="7"/>
  <c r="S19" i="10"/>
  <c r="T20" i="7"/>
  <c r="U20" i="7" s="1"/>
  <c r="AJ20" i="7" s="1"/>
  <c r="G21" i="9"/>
  <c r="V21" i="9"/>
  <c r="AK21" i="9"/>
  <c r="F25" i="8"/>
  <c r="C20" i="9"/>
  <c r="AK24" i="8" l="1"/>
  <c r="AY24" i="8"/>
  <c r="AL78" i="10"/>
  <c r="W78" i="10"/>
  <c r="H78" i="10"/>
  <c r="I78" i="10"/>
  <c r="AM78" i="10"/>
  <c r="X78" i="10"/>
  <c r="J78" i="10"/>
  <c r="AN78" i="10"/>
  <c r="Y78" i="10"/>
  <c r="AO78" i="10"/>
  <c r="Z78" i="10"/>
  <c r="K78" i="10"/>
  <c r="AP78" i="10"/>
  <c r="L78" i="10"/>
  <c r="AA78" i="10"/>
  <c r="AB78" i="10"/>
  <c r="AQ78" i="10"/>
  <c r="M78" i="10"/>
  <c r="N78" i="10"/>
  <c r="AC78" i="10"/>
  <c r="AR78" i="10"/>
  <c r="AS78" i="10"/>
  <c r="O78" i="10"/>
  <c r="AD78" i="10"/>
  <c r="AT78" i="10"/>
  <c r="P78" i="10"/>
  <c r="AE78" i="10"/>
  <c r="AF78" i="10"/>
  <c r="AU78" i="10"/>
  <c r="Q78" i="10"/>
  <c r="AG78" i="10"/>
  <c r="AV78" i="10"/>
  <c r="R78" i="10"/>
  <c r="H78" i="9"/>
  <c r="W78" i="9"/>
  <c r="AL78" i="9"/>
  <c r="I78" i="9"/>
  <c r="X78" i="9"/>
  <c r="AM78" i="9"/>
  <c r="J78" i="9"/>
  <c r="Y78" i="9"/>
  <c r="AN78" i="9"/>
  <c r="K78" i="9"/>
  <c r="Z78" i="9"/>
  <c r="AO78" i="9"/>
  <c r="L78" i="9"/>
  <c r="AA78" i="9"/>
  <c r="AP78" i="9"/>
  <c r="M78" i="9"/>
  <c r="AB78" i="9"/>
  <c r="AQ78" i="9"/>
  <c r="N78" i="9"/>
  <c r="AC78" i="9"/>
  <c r="AR78" i="9"/>
  <c r="O78" i="9"/>
  <c r="AD78" i="9"/>
  <c r="AS78" i="9"/>
  <c r="P78" i="9"/>
  <c r="AE78" i="9"/>
  <c r="AT78" i="9"/>
  <c r="Q78" i="9"/>
  <c r="AF78" i="9"/>
  <c r="AU78" i="9"/>
  <c r="R78" i="9"/>
  <c r="AG78" i="9"/>
  <c r="AV78" i="9"/>
  <c r="H77" i="7"/>
  <c r="W77" i="7"/>
  <c r="AL77" i="7"/>
  <c r="I77" i="7"/>
  <c r="X77" i="7"/>
  <c r="AM77" i="7"/>
  <c r="J77" i="7"/>
  <c r="Y77" i="7"/>
  <c r="AN77" i="7"/>
  <c r="K77" i="7"/>
  <c r="Z77" i="7"/>
  <c r="AO77" i="7"/>
  <c r="L77" i="7"/>
  <c r="AA77" i="7"/>
  <c r="AP77" i="7"/>
  <c r="N77" i="7"/>
  <c r="AC77" i="7"/>
  <c r="AR77" i="7"/>
  <c r="O77" i="7"/>
  <c r="AD77" i="7"/>
  <c r="AS77" i="7"/>
  <c r="P77" i="7"/>
  <c r="AE77" i="7"/>
  <c r="AT77" i="7"/>
  <c r="Q77" i="7"/>
  <c r="AF77" i="7"/>
  <c r="AU77" i="7"/>
  <c r="R77" i="7"/>
  <c r="AG77" i="7"/>
  <c r="AV77" i="7"/>
  <c r="I77" i="8"/>
  <c r="X77" i="8"/>
  <c r="AM77" i="8"/>
  <c r="Y77" i="8"/>
  <c r="AN77" i="8"/>
  <c r="J77" i="8"/>
  <c r="L77" i="8"/>
  <c r="AA77" i="8"/>
  <c r="AP77" i="8"/>
  <c r="N77" i="8"/>
  <c r="AC77" i="8"/>
  <c r="AR77" i="8"/>
  <c r="AE77" i="8"/>
  <c r="P77" i="8"/>
  <c r="AT77" i="8"/>
  <c r="Q77" i="8"/>
  <c r="AF77" i="8"/>
  <c r="AU77" i="8"/>
  <c r="H77" i="8"/>
  <c r="W77" i="8"/>
  <c r="AL77" i="8"/>
  <c r="K77" i="8"/>
  <c r="Z77" i="8"/>
  <c r="AO77" i="8"/>
  <c r="M77" i="8"/>
  <c r="AB77" i="8"/>
  <c r="AQ77" i="8"/>
  <c r="O77" i="8"/>
  <c r="AD77" i="8"/>
  <c r="AS77" i="8"/>
  <c r="AV77" i="8"/>
  <c r="R77" i="8"/>
  <c r="AG77" i="8"/>
  <c r="M77" i="7"/>
  <c r="AB77" i="7"/>
  <c r="AQ77" i="7"/>
  <c r="D65" i="8"/>
  <c r="S65" i="8"/>
  <c r="AH65" i="8"/>
  <c r="E53" i="8"/>
  <c r="AI53" i="8"/>
  <c r="T53" i="8"/>
  <c r="D48" i="9"/>
  <c r="S48" i="9"/>
  <c r="AH48" i="9"/>
  <c r="D25" i="7"/>
  <c r="S25" i="7"/>
  <c r="AH25" i="7"/>
  <c r="AH19" i="10"/>
  <c r="F21" i="7"/>
  <c r="V20" i="7"/>
  <c r="AI20" i="7"/>
  <c r="G22" i="9"/>
  <c r="V22" i="9"/>
  <c r="AK22" i="9"/>
  <c r="T20" i="9"/>
  <c r="U20" i="9" s="1"/>
  <c r="AJ20" i="9" s="1"/>
  <c r="T19" i="10"/>
  <c r="AX25" i="8" l="1"/>
  <c r="AW24" i="8"/>
  <c r="W11" i="2" s="1"/>
  <c r="G25" i="8"/>
  <c r="H79" i="10"/>
  <c r="AL79" i="10"/>
  <c r="W79" i="10"/>
  <c r="I79" i="10"/>
  <c r="X79" i="10"/>
  <c r="AM79" i="10"/>
  <c r="AN79" i="10"/>
  <c r="J79" i="10"/>
  <c r="Y79" i="10"/>
  <c r="K79" i="10"/>
  <c r="Z79" i="10"/>
  <c r="AO79" i="10"/>
  <c r="AP79" i="10"/>
  <c r="L79" i="10"/>
  <c r="AA79" i="10"/>
  <c r="M79" i="10"/>
  <c r="AB79" i="10"/>
  <c r="AQ79" i="10"/>
  <c r="AR79" i="10"/>
  <c r="N79" i="10"/>
  <c r="AC79" i="10"/>
  <c r="AS79" i="10"/>
  <c r="O79" i="10"/>
  <c r="AD79" i="10"/>
  <c r="AT79" i="10"/>
  <c r="P79" i="10"/>
  <c r="AE79" i="10"/>
  <c r="Q79" i="10"/>
  <c r="AU79" i="10"/>
  <c r="AF79" i="10"/>
  <c r="R79" i="10"/>
  <c r="AG79" i="10"/>
  <c r="AV79" i="10"/>
  <c r="H79" i="9"/>
  <c r="W79" i="9"/>
  <c r="AL79" i="9"/>
  <c r="I79" i="9"/>
  <c r="X79" i="9"/>
  <c r="AM79" i="9"/>
  <c r="J79" i="9"/>
  <c r="Y79" i="9"/>
  <c r="AN79" i="9"/>
  <c r="K79" i="9"/>
  <c r="Z79" i="9"/>
  <c r="AO79" i="9"/>
  <c r="L79" i="9"/>
  <c r="AA79" i="9"/>
  <c r="AP79" i="9"/>
  <c r="M79" i="9"/>
  <c r="AB79" i="9"/>
  <c r="AQ79" i="9"/>
  <c r="N79" i="9"/>
  <c r="AC79" i="9"/>
  <c r="AR79" i="9"/>
  <c r="O79" i="9"/>
  <c r="AD79" i="9"/>
  <c r="AS79" i="9"/>
  <c r="P79" i="9"/>
  <c r="AE79" i="9"/>
  <c r="AT79" i="9"/>
  <c r="Q79" i="9"/>
  <c r="AF79" i="9"/>
  <c r="AU79" i="9"/>
  <c r="R79" i="9"/>
  <c r="AG79" i="9"/>
  <c r="AV79" i="9"/>
  <c r="H78" i="7"/>
  <c r="W78" i="7"/>
  <c r="AL78" i="7"/>
  <c r="I78" i="7"/>
  <c r="X78" i="7"/>
  <c r="AM78" i="7"/>
  <c r="J78" i="7"/>
  <c r="Y78" i="7"/>
  <c r="AN78" i="7"/>
  <c r="K78" i="7"/>
  <c r="Z78" i="7"/>
  <c r="AO78" i="7"/>
  <c r="L78" i="7"/>
  <c r="AA78" i="7"/>
  <c r="AP78" i="7"/>
  <c r="N78" i="7"/>
  <c r="AC78" i="7"/>
  <c r="AR78" i="7"/>
  <c r="O78" i="7"/>
  <c r="AD78" i="7"/>
  <c r="AS78" i="7"/>
  <c r="P78" i="7"/>
  <c r="AE78" i="7"/>
  <c r="AT78" i="7"/>
  <c r="Q78" i="7"/>
  <c r="AF78" i="7"/>
  <c r="AU78" i="7"/>
  <c r="R78" i="7"/>
  <c r="AG78" i="7"/>
  <c r="AV78" i="7"/>
  <c r="I78" i="8"/>
  <c r="X78" i="8"/>
  <c r="AM78" i="8"/>
  <c r="J78" i="8"/>
  <c r="Y78" i="8"/>
  <c r="AN78" i="8"/>
  <c r="L78" i="8"/>
  <c r="AA78" i="8"/>
  <c r="AP78" i="8"/>
  <c r="N78" i="8"/>
  <c r="AR78" i="8"/>
  <c r="AC78" i="8"/>
  <c r="AE78" i="8"/>
  <c r="AT78" i="8"/>
  <c r="P78" i="8"/>
  <c r="AF78" i="8"/>
  <c r="AU78" i="8"/>
  <c r="Q78" i="8"/>
  <c r="AL78" i="8"/>
  <c r="H78" i="8"/>
  <c r="W78" i="8"/>
  <c r="K78" i="8"/>
  <c r="Z78" i="8"/>
  <c r="AO78" i="8"/>
  <c r="AB78" i="8"/>
  <c r="M78" i="8"/>
  <c r="AQ78" i="8"/>
  <c r="AD78" i="8"/>
  <c r="AS78" i="8"/>
  <c r="O78" i="8"/>
  <c r="R78" i="8"/>
  <c r="AG78" i="8"/>
  <c r="AV78" i="8"/>
  <c r="M78" i="7"/>
  <c r="AB78" i="7"/>
  <c r="AQ78" i="7"/>
  <c r="D66" i="8"/>
  <c r="S66" i="8"/>
  <c r="AH66" i="8"/>
  <c r="T54" i="8"/>
  <c r="E54" i="8"/>
  <c r="AI54" i="8"/>
  <c r="D49" i="9"/>
  <c r="S49" i="9"/>
  <c r="AH49" i="9"/>
  <c r="D26" i="7"/>
  <c r="S26" i="7"/>
  <c r="AH26" i="7"/>
  <c r="D20" i="10"/>
  <c r="E21" i="7"/>
  <c r="G23" i="9"/>
  <c r="AK23" i="9"/>
  <c r="V23" i="9"/>
  <c r="F21" i="9"/>
  <c r="AY20" i="9"/>
  <c r="AI20" i="9"/>
  <c r="AK20" i="7"/>
  <c r="AY20" i="7"/>
  <c r="AI19" i="10"/>
  <c r="U19" i="10"/>
  <c r="V19" i="10" s="1"/>
  <c r="AK19" i="10" s="1"/>
  <c r="C25" i="8" l="1"/>
  <c r="AW20" i="7"/>
  <c r="AX21" i="7"/>
  <c r="H80" i="10"/>
  <c r="W80" i="10"/>
  <c r="AL80" i="10"/>
  <c r="AM80" i="10"/>
  <c r="I80" i="10"/>
  <c r="X80" i="10"/>
  <c r="Y80" i="10"/>
  <c r="AN80" i="10"/>
  <c r="J80" i="10"/>
  <c r="Z80" i="10"/>
  <c r="K80" i="10"/>
  <c r="AO80" i="10"/>
  <c r="L80" i="10"/>
  <c r="AP80" i="10"/>
  <c r="AA80" i="10"/>
  <c r="AB80" i="10"/>
  <c r="M80" i="10"/>
  <c r="AQ80" i="10"/>
  <c r="N80" i="10"/>
  <c r="AR80" i="10"/>
  <c r="AC80" i="10"/>
  <c r="O80" i="10"/>
  <c r="AD80" i="10"/>
  <c r="AS80" i="10"/>
  <c r="AE80" i="10"/>
  <c r="P80" i="10"/>
  <c r="AT80" i="10"/>
  <c r="Q80" i="10"/>
  <c r="AF80" i="10"/>
  <c r="AU80" i="10"/>
  <c r="R80" i="10"/>
  <c r="AG80" i="10"/>
  <c r="AV80" i="10"/>
  <c r="H80" i="9"/>
  <c r="W80" i="9"/>
  <c r="AL80" i="9"/>
  <c r="I80" i="9"/>
  <c r="X80" i="9"/>
  <c r="AM80" i="9"/>
  <c r="J80" i="9"/>
  <c r="Y80" i="9"/>
  <c r="AN80" i="9"/>
  <c r="K80" i="9"/>
  <c r="Z80" i="9"/>
  <c r="AO80" i="9"/>
  <c r="L80" i="9"/>
  <c r="AA80" i="9"/>
  <c r="AP80" i="9"/>
  <c r="M80" i="9"/>
  <c r="AB80" i="9"/>
  <c r="AQ80" i="9"/>
  <c r="N80" i="9"/>
  <c r="AC80" i="9"/>
  <c r="AR80" i="9"/>
  <c r="O80" i="9"/>
  <c r="AD80" i="9"/>
  <c r="AS80" i="9"/>
  <c r="P80" i="9"/>
  <c r="AE80" i="9"/>
  <c r="AT80" i="9"/>
  <c r="Q80" i="9"/>
  <c r="AF80" i="9"/>
  <c r="AU80" i="9"/>
  <c r="R80" i="9"/>
  <c r="AG80" i="9"/>
  <c r="AV80" i="9"/>
  <c r="H79" i="7"/>
  <c r="W79" i="7"/>
  <c r="AL79" i="7"/>
  <c r="I79" i="7"/>
  <c r="X79" i="7"/>
  <c r="AM79" i="7"/>
  <c r="J79" i="7"/>
  <c r="Y79" i="7"/>
  <c r="AN79" i="7"/>
  <c r="K79" i="7"/>
  <c r="Z79" i="7"/>
  <c r="AO79" i="7"/>
  <c r="L79" i="7"/>
  <c r="AA79" i="7"/>
  <c r="AP79" i="7"/>
  <c r="N79" i="7"/>
  <c r="AC79" i="7"/>
  <c r="AR79" i="7"/>
  <c r="O79" i="7"/>
  <c r="AD79" i="7"/>
  <c r="AS79" i="7"/>
  <c r="P79" i="7"/>
  <c r="AE79" i="7"/>
  <c r="AT79" i="7"/>
  <c r="Q79" i="7"/>
  <c r="AF79" i="7"/>
  <c r="AU79" i="7"/>
  <c r="R79" i="7"/>
  <c r="AG79" i="7"/>
  <c r="AV79" i="7"/>
  <c r="X79" i="8"/>
  <c r="I79" i="8"/>
  <c r="AM79" i="8"/>
  <c r="Y79" i="8"/>
  <c r="J79" i="8"/>
  <c r="AN79" i="8"/>
  <c r="L79" i="8"/>
  <c r="AA79" i="8"/>
  <c r="AP79" i="8"/>
  <c r="AR79" i="8"/>
  <c r="N79" i="8"/>
  <c r="AC79" i="8"/>
  <c r="AT79" i="8"/>
  <c r="P79" i="8"/>
  <c r="AE79" i="8"/>
  <c r="Q79" i="8"/>
  <c r="AF79" i="8"/>
  <c r="AU79" i="8"/>
  <c r="H79" i="8"/>
  <c r="AL79" i="8"/>
  <c r="W79" i="8"/>
  <c r="K79" i="8"/>
  <c r="Z79" i="8"/>
  <c r="AO79" i="8"/>
  <c r="AQ79" i="8"/>
  <c r="M79" i="8"/>
  <c r="AB79" i="8"/>
  <c r="AS79" i="8"/>
  <c r="O79" i="8"/>
  <c r="AD79" i="8"/>
  <c r="AG79" i="8"/>
  <c r="AV79" i="8"/>
  <c r="R79" i="8"/>
  <c r="M79" i="7"/>
  <c r="AB79" i="7"/>
  <c r="AQ79" i="7"/>
  <c r="D67" i="8"/>
  <c r="S67" i="8"/>
  <c r="AH67" i="8"/>
  <c r="T55" i="8"/>
  <c r="AI55" i="8"/>
  <c r="E55" i="8"/>
  <c r="D50" i="9"/>
  <c r="S50" i="9"/>
  <c r="AH50" i="9"/>
  <c r="D27" i="7"/>
  <c r="S27" i="7"/>
  <c r="AH27" i="7"/>
  <c r="G24" i="9"/>
  <c r="V24" i="9"/>
  <c r="AK24" i="9"/>
  <c r="E21" i="9"/>
  <c r="AW20" i="9"/>
  <c r="AX21" i="9"/>
  <c r="G21" i="7"/>
  <c r="E20" i="10"/>
  <c r="G20" i="10"/>
  <c r="V20" i="10"/>
  <c r="AK20" i="10"/>
  <c r="AJ19" i="10"/>
  <c r="AY19" i="10"/>
  <c r="U25" i="8" l="1"/>
  <c r="V25" i="8"/>
  <c r="AK25" i="8" s="1"/>
  <c r="G26" i="8" s="1"/>
  <c r="H81" i="10"/>
  <c r="W81" i="10"/>
  <c r="AL81" i="10"/>
  <c r="X81" i="10"/>
  <c r="AM81" i="10"/>
  <c r="I81" i="10"/>
  <c r="Y81" i="10"/>
  <c r="AN81" i="10"/>
  <c r="J81" i="10"/>
  <c r="AO81" i="10"/>
  <c r="K81" i="10"/>
  <c r="Z81" i="10"/>
  <c r="AP81" i="10"/>
  <c r="AA81" i="10"/>
  <c r="L81" i="10"/>
  <c r="AQ81" i="10"/>
  <c r="M81" i="10"/>
  <c r="AB81" i="10"/>
  <c r="AC81" i="10"/>
  <c r="N81" i="10"/>
  <c r="AR81" i="10"/>
  <c r="O81" i="10"/>
  <c r="AD81" i="10"/>
  <c r="AS81" i="10"/>
  <c r="AT81" i="10"/>
  <c r="P81" i="10"/>
  <c r="AE81" i="10"/>
  <c r="AF81" i="10"/>
  <c r="AU81" i="10"/>
  <c r="Q81" i="10"/>
  <c r="AG81" i="10"/>
  <c r="AV81" i="10"/>
  <c r="R81" i="10"/>
  <c r="H81" i="9"/>
  <c r="W81" i="9"/>
  <c r="AL81" i="9"/>
  <c r="I81" i="9"/>
  <c r="X81" i="9"/>
  <c r="AM81" i="9"/>
  <c r="J81" i="9"/>
  <c r="Y81" i="9"/>
  <c r="AN81" i="9"/>
  <c r="K81" i="9"/>
  <c r="Z81" i="9"/>
  <c r="AO81" i="9"/>
  <c r="L81" i="9"/>
  <c r="AA81" i="9"/>
  <c r="AP81" i="9"/>
  <c r="M81" i="9"/>
  <c r="AB81" i="9"/>
  <c r="AQ81" i="9"/>
  <c r="N81" i="9"/>
  <c r="AC81" i="9"/>
  <c r="AR81" i="9"/>
  <c r="O81" i="9"/>
  <c r="AD81" i="9"/>
  <c r="AS81" i="9"/>
  <c r="P81" i="9"/>
  <c r="AE81" i="9"/>
  <c r="AT81" i="9"/>
  <c r="Q81" i="9"/>
  <c r="AF81" i="9"/>
  <c r="AU81" i="9"/>
  <c r="R81" i="9"/>
  <c r="AG81" i="9"/>
  <c r="AV81" i="9"/>
  <c r="H80" i="7"/>
  <c r="W80" i="7"/>
  <c r="AL80" i="7"/>
  <c r="I80" i="7"/>
  <c r="X80" i="7"/>
  <c r="AM80" i="7"/>
  <c r="J80" i="7"/>
  <c r="Y80" i="7"/>
  <c r="AN80" i="7"/>
  <c r="K80" i="7"/>
  <c r="Z80" i="7"/>
  <c r="AO80" i="7"/>
  <c r="L80" i="7"/>
  <c r="AA80" i="7"/>
  <c r="AP80" i="7"/>
  <c r="N80" i="7"/>
  <c r="AC80" i="7"/>
  <c r="AR80" i="7"/>
  <c r="O80" i="7"/>
  <c r="AD80" i="7"/>
  <c r="AS80" i="7"/>
  <c r="P80" i="7"/>
  <c r="AE80" i="7"/>
  <c r="AT80" i="7"/>
  <c r="Q80" i="7"/>
  <c r="AF80" i="7"/>
  <c r="AU80" i="7"/>
  <c r="R80" i="7"/>
  <c r="AG80" i="7"/>
  <c r="AV80" i="7"/>
  <c r="I80" i="8"/>
  <c r="X80" i="8"/>
  <c r="AM80" i="8"/>
  <c r="Y80" i="8"/>
  <c r="AN80" i="8"/>
  <c r="J80" i="8"/>
  <c r="L80" i="8"/>
  <c r="AA80" i="8"/>
  <c r="AP80" i="8"/>
  <c r="N80" i="8"/>
  <c r="AC80" i="8"/>
  <c r="AR80" i="8"/>
  <c r="P80" i="8"/>
  <c r="AT80" i="8"/>
  <c r="AE80" i="8"/>
  <c r="AU80" i="8"/>
  <c r="Q80" i="8"/>
  <c r="AF80" i="8"/>
  <c r="H80" i="8"/>
  <c r="W80" i="8"/>
  <c r="AL80" i="8"/>
  <c r="AO80" i="8"/>
  <c r="K80" i="8"/>
  <c r="Z80" i="8"/>
  <c r="AB80" i="8"/>
  <c r="M80" i="8"/>
  <c r="AQ80" i="8"/>
  <c r="O80" i="8"/>
  <c r="AD80" i="8"/>
  <c r="AS80" i="8"/>
  <c r="R80" i="8"/>
  <c r="AG80" i="8"/>
  <c r="AV80" i="8"/>
  <c r="M80" i="7"/>
  <c r="AB80" i="7"/>
  <c r="AQ80" i="7"/>
  <c r="D68" i="8"/>
  <c r="S68" i="8"/>
  <c r="AH68" i="8"/>
  <c r="E56" i="8"/>
  <c r="T56" i="8"/>
  <c r="AI56" i="8"/>
  <c r="D51" i="9"/>
  <c r="S51" i="9"/>
  <c r="AH51" i="9"/>
  <c r="D28" i="7"/>
  <c r="S28" i="7"/>
  <c r="AH28" i="7"/>
  <c r="G25" i="9"/>
  <c r="V25" i="9"/>
  <c r="AK25" i="9"/>
  <c r="C21" i="9"/>
  <c r="T21" i="9" s="1"/>
  <c r="G21" i="10"/>
  <c r="V21" i="10"/>
  <c r="AK21" i="10"/>
  <c r="F20" i="10"/>
  <c r="AX20" i="10"/>
  <c r="AW19" i="10"/>
  <c r="C21" i="7"/>
  <c r="AJ25" i="8" l="1"/>
  <c r="AY25" i="8"/>
  <c r="AL82" i="10"/>
  <c r="H82" i="10"/>
  <c r="W82" i="10"/>
  <c r="I82" i="10"/>
  <c r="X82" i="10"/>
  <c r="AM82" i="10"/>
  <c r="J82" i="10"/>
  <c r="AN82" i="10"/>
  <c r="Y82" i="10"/>
  <c r="K82" i="10"/>
  <c r="Z82" i="10"/>
  <c r="AO82" i="10"/>
  <c r="AA82" i="10"/>
  <c r="AP82" i="10"/>
  <c r="L82" i="10"/>
  <c r="AB82" i="10"/>
  <c r="M82" i="10"/>
  <c r="AQ82" i="10"/>
  <c r="AC82" i="10"/>
  <c r="AR82" i="10"/>
  <c r="N82" i="10"/>
  <c r="O82" i="10"/>
  <c r="AS82" i="10"/>
  <c r="AD82" i="10"/>
  <c r="AE82" i="10"/>
  <c r="AT82" i="10"/>
  <c r="P82" i="10"/>
  <c r="Q82" i="10"/>
  <c r="AU82" i="10"/>
  <c r="AF82" i="10"/>
  <c r="R82" i="10"/>
  <c r="AV82" i="10"/>
  <c r="AG82" i="10"/>
  <c r="H82" i="9"/>
  <c r="W82" i="9"/>
  <c r="AL82" i="9"/>
  <c r="I82" i="9"/>
  <c r="X82" i="9"/>
  <c r="AM82" i="9"/>
  <c r="J82" i="9"/>
  <c r="Y82" i="9"/>
  <c r="AN82" i="9"/>
  <c r="K82" i="9"/>
  <c r="Z82" i="9"/>
  <c r="AO82" i="9"/>
  <c r="L82" i="9"/>
  <c r="AA82" i="9"/>
  <c r="AP82" i="9"/>
  <c r="M82" i="9"/>
  <c r="AB82" i="9"/>
  <c r="AQ82" i="9"/>
  <c r="N82" i="9"/>
  <c r="AC82" i="9"/>
  <c r="AR82" i="9"/>
  <c r="O82" i="9"/>
  <c r="AD82" i="9"/>
  <c r="AS82" i="9"/>
  <c r="P82" i="9"/>
  <c r="AE82" i="9"/>
  <c r="AT82" i="9"/>
  <c r="Q82" i="9"/>
  <c r="AF82" i="9"/>
  <c r="AU82" i="9"/>
  <c r="R82" i="9"/>
  <c r="AG82" i="9"/>
  <c r="AV82" i="9"/>
  <c r="H81" i="7"/>
  <c r="W81" i="7"/>
  <c r="AL81" i="7"/>
  <c r="I81" i="7"/>
  <c r="X81" i="7"/>
  <c r="AM81" i="7"/>
  <c r="J81" i="7"/>
  <c r="Y81" i="7"/>
  <c r="AN81" i="7"/>
  <c r="K81" i="7"/>
  <c r="Z81" i="7"/>
  <c r="AO81" i="7"/>
  <c r="L81" i="7"/>
  <c r="AA81" i="7"/>
  <c r="AP81" i="7"/>
  <c r="N81" i="7"/>
  <c r="AC81" i="7"/>
  <c r="AR81" i="7"/>
  <c r="O81" i="7"/>
  <c r="AD81" i="7"/>
  <c r="AS81" i="7"/>
  <c r="P81" i="7"/>
  <c r="AE81" i="7"/>
  <c r="AT81" i="7"/>
  <c r="Q81" i="7"/>
  <c r="AF81" i="7"/>
  <c r="AU81" i="7"/>
  <c r="R81" i="7"/>
  <c r="AG81" i="7"/>
  <c r="AV81" i="7"/>
  <c r="I81" i="8"/>
  <c r="X81" i="8"/>
  <c r="AM81" i="8"/>
  <c r="J81" i="8"/>
  <c r="Y81" i="8"/>
  <c r="AN81" i="8"/>
  <c r="AP81" i="8"/>
  <c r="L81" i="8"/>
  <c r="AA81" i="8"/>
  <c r="AR81" i="8"/>
  <c r="N81" i="8"/>
  <c r="AC81" i="8"/>
  <c r="AT81" i="8"/>
  <c r="P81" i="8"/>
  <c r="AE81" i="8"/>
  <c r="Q81" i="8"/>
  <c r="AF81" i="8"/>
  <c r="AU81" i="8"/>
  <c r="H81" i="8"/>
  <c r="AL81" i="8"/>
  <c r="W81" i="8"/>
  <c r="AO81" i="8"/>
  <c r="K81" i="8"/>
  <c r="Z81" i="8"/>
  <c r="AQ81" i="8"/>
  <c r="M81" i="8"/>
  <c r="AB81" i="8"/>
  <c r="AD81" i="8"/>
  <c r="O81" i="8"/>
  <c r="AS81" i="8"/>
  <c r="R81" i="8"/>
  <c r="AG81" i="8"/>
  <c r="AV81" i="8"/>
  <c r="M81" i="7"/>
  <c r="AB81" i="7"/>
  <c r="AQ81" i="7"/>
  <c r="S69" i="8"/>
  <c r="D69" i="8"/>
  <c r="AH69" i="8"/>
  <c r="T57" i="8"/>
  <c r="AI57" i="8"/>
  <c r="E57" i="8"/>
  <c r="D52" i="9"/>
  <c r="S52" i="9"/>
  <c r="AH52" i="9"/>
  <c r="D29" i="7"/>
  <c r="S29" i="7"/>
  <c r="AH29" i="7"/>
  <c r="G26" i="9"/>
  <c r="V26" i="9"/>
  <c r="AK26" i="9"/>
  <c r="G22" i="10"/>
  <c r="V22" i="10"/>
  <c r="AK22" i="10"/>
  <c r="T21" i="7"/>
  <c r="U21" i="7" s="1"/>
  <c r="AJ21" i="7" s="1"/>
  <c r="U21" i="9"/>
  <c r="AI21" i="9"/>
  <c r="C20" i="10"/>
  <c r="F26" i="8" l="1"/>
  <c r="AX26" i="8"/>
  <c r="U26" i="8"/>
  <c r="AW25" i="8"/>
  <c r="AJ26" i="8"/>
  <c r="H83" i="10"/>
  <c r="W83" i="10"/>
  <c r="AL83" i="10"/>
  <c r="I83" i="10"/>
  <c r="X83" i="10"/>
  <c r="AM83" i="10"/>
  <c r="J83" i="10"/>
  <c r="Y83" i="10"/>
  <c r="AN83" i="10"/>
  <c r="K83" i="10"/>
  <c r="Z83" i="10"/>
  <c r="AO83" i="10"/>
  <c r="L83" i="10"/>
  <c r="AA83" i="10"/>
  <c r="AP83" i="10"/>
  <c r="M83" i="10"/>
  <c r="AB83" i="10"/>
  <c r="AQ83" i="10"/>
  <c r="N83" i="10"/>
  <c r="AC83" i="10"/>
  <c r="AR83" i="10"/>
  <c r="O83" i="10"/>
  <c r="AD83" i="10"/>
  <c r="AS83" i="10"/>
  <c r="P83" i="10"/>
  <c r="AE83" i="10"/>
  <c r="AT83" i="10"/>
  <c r="Q83" i="10"/>
  <c r="AF83" i="10"/>
  <c r="AU83" i="10"/>
  <c r="R83" i="10"/>
  <c r="AG83" i="10"/>
  <c r="AV83" i="10"/>
  <c r="H83" i="9"/>
  <c r="W83" i="9"/>
  <c r="AL83" i="9"/>
  <c r="I83" i="9"/>
  <c r="X83" i="9"/>
  <c r="AM83" i="9"/>
  <c r="J83" i="9"/>
  <c r="Y83" i="9"/>
  <c r="AN83" i="9"/>
  <c r="K83" i="9"/>
  <c r="Z83" i="9"/>
  <c r="AO83" i="9"/>
  <c r="L83" i="9"/>
  <c r="AA83" i="9"/>
  <c r="AP83" i="9"/>
  <c r="M83" i="9"/>
  <c r="AB83" i="9"/>
  <c r="AQ83" i="9"/>
  <c r="N83" i="9"/>
  <c r="AC83" i="9"/>
  <c r="AR83" i="9"/>
  <c r="O83" i="9"/>
  <c r="AD83" i="9"/>
  <c r="AS83" i="9"/>
  <c r="P83" i="9"/>
  <c r="AE83" i="9"/>
  <c r="AT83" i="9"/>
  <c r="Q83" i="9"/>
  <c r="AF83" i="9"/>
  <c r="AU83" i="9"/>
  <c r="R83" i="9"/>
  <c r="AG83" i="9"/>
  <c r="AV83" i="9"/>
  <c r="H82" i="7"/>
  <c r="W82" i="7"/>
  <c r="AL82" i="7"/>
  <c r="I82" i="7"/>
  <c r="X82" i="7"/>
  <c r="AM82" i="7"/>
  <c r="J82" i="7"/>
  <c r="Y82" i="7"/>
  <c r="AN82" i="7"/>
  <c r="K82" i="7"/>
  <c r="Z82" i="7"/>
  <c r="AO82" i="7"/>
  <c r="L82" i="7"/>
  <c r="AA82" i="7"/>
  <c r="AP82" i="7"/>
  <c r="N82" i="7"/>
  <c r="AC82" i="7"/>
  <c r="AR82" i="7"/>
  <c r="O82" i="7"/>
  <c r="AD82" i="7"/>
  <c r="AS82" i="7"/>
  <c r="P82" i="7"/>
  <c r="AE82" i="7"/>
  <c r="AT82" i="7"/>
  <c r="Q82" i="7"/>
  <c r="AF82" i="7"/>
  <c r="AU82" i="7"/>
  <c r="R82" i="7"/>
  <c r="AG82" i="7"/>
  <c r="AV82" i="7"/>
  <c r="AM82" i="8"/>
  <c r="I82" i="8"/>
  <c r="X82" i="8"/>
  <c r="AN82" i="8"/>
  <c r="J82" i="8"/>
  <c r="Y82" i="8"/>
  <c r="L82" i="8"/>
  <c r="AA82" i="8"/>
  <c r="AP82" i="8"/>
  <c r="AC82" i="8"/>
  <c r="AR82" i="8"/>
  <c r="N82" i="8"/>
  <c r="AE82" i="8"/>
  <c r="P82" i="8"/>
  <c r="AT82" i="8"/>
  <c r="AF82" i="8"/>
  <c r="Q82" i="8"/>
  <c r="AU82" i="8"/>
  <c r="W82" i="8"/>
  <c r="H82" i="8"/>
  <c r="AL82" i="8"/>
  <c r="K82" i="8"/>
  <c r="Z82" i="8"/>
  <c r="AO82" i="8"/>
  <c r="AQ82" i="8"/>
  <c r="M82" i="8"/>
  <c r="AB82" i="8"/>
  <c r="O82" i="8"/>
  <c r="AS82" i="8"/>
  <c r="AD82" i="8"/>
  <c r="R82" i="8"/>
  <c r="AG82" i="8"/>
  <c r="AV82" i="8"/>
  <c r="M82" i="7"/>
  <c r="AB82" i="7"/>
  <c r="AQ82" i="7"/>
  <c r="D70" i="8"/>
  <c r="S70" i="8"/>
  <c r="AH70" i="8"/>
  <c r="AI58" i="8"/>
  <c r="E58" i="8"/>
  <c r="T58" i="8"/>
  <c r="D53" i="9"/>
  <c r="S53" i="9"/>
  <c r="AH53" i="9"/>
  <c r="D30" i="7"/>
  <c r="S30" i="7"/>
  <c r="AH30" i="7"/>
  <c r="G27" i="9"/>
  <c r="V27" i="9"/>
  <c r="AK27" i="9"/>
  <c r="G23" i="10"/>
  <c r="V23" i="10"/>
  <c r="AK23" i="10"/>
  <c r="V21" i="7"/>
  <c r="AI21" i="7"/>
  <c r="F22" i="7"/>
  <c r="E22" i="9"/>
  <c r="S20" i="10"/>
  <c r="AJ21" i="9"/>
  <c r="AY21" i="9"/>
  <c r="C26" i="8" l="1"/>
  <c r="V26" i="8" s="1"/>
  <c r="AJ27" i="8"/>
  <c r="U27" i="8"/>
  <c r="F27" i="8"/>
  <c r="AW26" i="8"/>
  <c r="AX27" i="8"/>
  <c r="AW21" i="9"/>
  <c r="AX22" i="9"/>
  <c r="H84" i="10"/>
  <c r="W84" i="10"/>
  <c r="AL84" i="10"/>
  <c r="I84" i="10"/>
  <c r="X84" i="10"/>
  <c r="AM84" i="10"/>
  <c r="J84" i="10"/>
  <c r="Y84" i="10"/>
  <c r="AN84" i="10"/>
  <c r="K84" i="10"/>
  <c r="Z84" i="10"/>
  <c r="AO84" i="10"/>
  <c r="L84" i="10"/>
  <c r="AA84" i="10"/>
  <c r="AP84" i="10"/>
  <c r="M84" i="10"/>
  <c r="AB84" i="10"/>
  <c r="AQ84" i="10"/>
  <c r="N84" i="10"/>
  <c r="AC84" i="10"/>
  <c r="AR84" i="10"/>
  <c r="O84" i="10"/>
  <c r="AD84" i="10"/>
  <c r="AS84" i="10"/>
  <c r="P84" i="10"/>
  <c r="AE84" i="10"/>
  <c r="AT84" i="10"/>
  <c r="Q84" i="10"/>
  <c r="AF84" i="10"/>
  <c r="AU84" i="10"/>
  <c r="R84" i="10"/>
  <c r="AG84" i="10"/>
  <c r="AV84" i="10"/>
  <c r="H84" i="9"/>
  <c r="W84" i="9"/>
  <c r="AL84" i="9"/>
  <c r="I84" i="9"/>
  <c r="X84" i="9"/>
  <c r="AM84" i="9"/>
  <c r="J84" i="9"/>
  <c r="Y84" i="9"/>
  <c r="AN84" i="9"/>
  <c r="K84" i="9"/>
  <c r="Z84" i="9"/>
  <c r="AO84" i="9"/>
  <c r="L84" i="9"/>
  <c r="AA84" i="9"/>
  <c r="AP84" i="9"/>
  <c r="M84" i="9"/>
  <c r="AB84" i="9"/>
  <c r="AQ84" i="9"/>
  <c r="N84" i="9"/>
  <c r="AC84" i="9"/>
  <c r="AR84" i="9"/>
  <c r="O84" i="9"/>
  <c r="AD84" i="9"/>
  <c r="AS84" i="9"/>
  <c r="P84" i="9"/>
  <c r="AE84" i="9"/>
  <c r="AT84" i="9"/>
  <c r="Q84" i="9"/>
  <c r="AF84" i="9"/>
  <c r="AU84" i="9"/>
  <c r="R84" i="9"/>
  <c r="AG84" i="9"/>
  <c r="AV84" i="9"/>
  <c r="H83" i="7"/>
  <c r="W83" i="7"/>
  <c r="AL83" i="7"/>
  <c r="I83" i="7"/>
  <c r="X83" i="7"/>
  <c r="AM83" i="7"/>
  <c r="J83" i="7"/>
  <c r="Y83" i="7"/>
  <c r="AN83" i="7"/>
  <c r="K83" i="7"/>
  <c r="Z83" i="7"/>
  <c r="AO83" i="7"/>
  <c r="L83" i="7"/>
  <c r="AA83" i="7"/>
  <c r="AP83" i="7"/>
  <c r="N83" i="7"/>
  <c r="AC83" i="7"/>
  <c r="AR83" i="7"/>
  <c r="O83" i="7"/>
  <c r="AD83" i="7"/>
  <c r="AS83" i="7"/>
  <c r="P83" i="7"/>
  <c r="AE83" i="7"/>
  <c r="AT83" i="7"/>
  <c r="Q83" i="7"/>
  <c r="AF83" i="7"/>
  <c r="AU83" i="7"/>
  <c r="R83" i="7"/>
  <c r="AG83" i="7"/>
  <c r="AV83" i="7"/>
  <c r="I83" i="8"/>
  <c r="X83" i="8"/>
  <c r="AM83" i="8"/>
  <c r="J83" i="8"/>
  <c r="Y83" i="8"/>
  <c r="AN83" i="8"/>
  <c r="AA83" i="8"/>
  <c r="L83" i="8"/>
  <c r="AP83" i="8"/>
  <c r="N83" i="8"/>
  <c r="AC83" i="8"/>
  <c r="AR83" i="8"/>
  <c r="AT83" i="8"/>
  <c r="P83" i="8"/>
  <c r="AE83" i="8"/>
  <c r="AU83" i="8"/>
  <c r="Q83" i="8"/>
  <c r="AF83" i="8"/>
  <c r="H83" i="8"/>
  <c r="W83" i="8"/>
  <c r="AL83" i="8"/>
  <c r="K83" i="8"/>
  <c r="Z83" i="8"/>
  <c r="AO83" i="8"/>
  <c r="M83" i="8"/>
  <c r="AB83" i="8"/>
  <c r="AQ83" i="8"/>
  <c r="O83" i="8"/>
  <c r="AD83" i="8"/>
  <c r="AS83" i="8"/>
  <c r="R83" i="8"/>
  <c r="AG83" i="8"/>
  <c r="AV83" i="8"/>
  <c r="M83" i="7"/>
  <c r="AB83" i="7"/>
  <c r="AQ83" i="7"/>
  <c r="D71" i="8"/>
  <c r="AH71" i="8"/>
  <c r="S71" i="8"/>
  <c r="E59" i="8"/>
  <c r="T59" i="8"/>
  <c r="AI59" i="8"/>
  <c r="D54" i="9"/>
  <c r="S54" i="9"/>
  <c r="AH54" i="9"/>
  <c r="D31" i="7"/>
  <c r="S31" i="7"/>
  <c r="AH31" i="7"/>
  <c r="G28" i="9"/>
  <c r="V28" i="9"/>
  <c r="AK28" i="9"/>
  <c r="G24" i="10"/>
  <c r="V24" i="10"/>
  <c r="AK24" i="10"/>
  <c r="E22" i="7"/>
  <c r="AH20" i="10"/>
  <c r="F22" i="9"/>
  <c r="AK21" i="7"/>
  <c r="AY21" i="7"/>
  <c r="T20" i="10"/>
  <c r="AJ28" i="8" l="1"/>
  <c r="U28" i="8"/>
  <c r="F28" i="8"/>
  <c r="AK26" i="8"/>
  <c r="AY26" i="8"/>
  <c r="AW21" i="7"/>
  <c r="X10" i="2" s="1"/>
  <c r="AX22" i="7"/>
  <c r="H85" i="10"/>
  <c r="W85" i="10"/>
  <c r="AL85" i="10"/>
  <c r="I85" i="10"/>
  <c r="X85" i="10"/>
  <c r="AM85" i="10"/>
  <c r="J85" i="10"/>
  <c r="Y85" i="10"/>
  <c r="AN85" i="10"/>
  <c r="K85" i="10"/>
  <c r="Z85" i="10"/>
  <c r="AO85" i="10"/>
  <c r="L85" i="10"/>
  <c r="AA85" i="10"/>
  <c r="AP85" i="10"/>
  <c r="M85" i="10"/>
  <c r="AB85" i="10"/>
  <c r="AQ85" i="10"/>
  <c r="N85" i="10"/>
  <c r="AC85" i="10"/>
  <c r="AR85" i="10"/>
  <c r="O85" i="10"/>
  <c r="AD85" i="10"/>
  <c r="AS85" i="10"/>
  <c r="P85" i="10"/>
  <c r="AE85" i="10"/>
  <c r="AT85" i="10"/>
  <c r="Q85" i="10"/>
  <c r="AF85" i="10"/>
  <c r="AU85" i="10"/>
  <c r="R85" i="10"/>
  <c r="AG85" i="10"/>
  <c r="AV85" i="10"/>
  <c r="H85" i="9"/>
  <c r="W85" i="9"/>
  <c r="AL85" i="9"/>
  <c r="I85" i="9"/>
  <c r="X85" i="9"/>
  <c r="AM85" i="9"/>
  <c r="J85" i="9"/>
  <c r="Y85" i="9"/>
  <c r="AN85" i="9"/>
  <c r="K85" i="9"/>
  <c r="Z85" i="9"/>
  <c r="AO85" i="9"/>
  <c r="L85" i="9"/>
  <c r="AA85" i="9"/>
  <c r="AP85" i="9"/>
  <c r="M85" i="9"/>
  <c r="AB85" i="9"/>
  <c r="AQ85" i="9"/>
  <c r="N85" i="9"/>
  <c r="AC85" i="9"/>
  <c r="AR85" i="9"/>
  <c r="O85" i="9"/>
  <c r="AD85" i="9"/>
  <c r="AS85" i="9"/>
  <c r="P85" i="9"/>
  <c r="AE85" i="9"/>
  <c r="AT85" i="9"/>
  <c r="Q85" i="9"/>
  <c r="AF85" i="9"/>
  <c r="AU85" i="9"/>
  <c r="R85" i="9"/>
  <c r="AG85" i="9"/>
  <c r="AV85" i="9"/>
  <c r="H84" i="7"/>
  <c r="W84" i="7"/>
  <c r="AL84" i="7"/>
  <c r="I84" i="7"/>
  <c r="X84" i="7"/>
  <c r="AM84" i="7"/>
  <c r="J84" i="7"/>
  <c r="Y84" i="7"/>
  <c r="AN84" i="7"/>
  <c r="K84" i="7"/>
  <c r="Z84" i="7"/>
  <c r="AO84" i="7"/>
  <c r="L84" i="7"/>
  <c r="AA84" i="7"/>
  <c r="AP84" i="7"/>
  <c r="N84" i="7"/>
  <c r="AC84" i="7"/>
  <c r="AR84" i="7"/>
  <c r="O84" i="7"/>
  <c r="AD84" i="7"/>
  <c r="AS84" i="7"/>
  <c r="P84" i="7"/>
  <c r="AE84" i="7"/>
  <c r="AT84" i="7"/>
  <c r="Q84" i="7"/>
  <c r="AF84" i="7"/>
  <c r="AU84" i="7"/>
  <c r="R84" i="7"/>
  <c r="AG84" i="7"/>
  <c r="AV84" i="7"/>
  <c r="I84" i="8"/>
  <c r="X84" i="8"/>
  <c r="AM84" i="8"/>
  <c r="J84" i="8"/>
  <c r="AN84" i="8"/>
  <c r="Y84" i="8"/>
  <c r="L84" i="8"/>
  <c r="AA84" i="8"/>
  <c r="AP84" i="8"/>
  <c r="AC84" i="8"/>
  <c r="N84" i="8"/>
  <c r="AR84" i="8"/>
  <c r="AE84" i="8"/>
  <c r="P84" i="8"/>
  <c r="AT84" i="8"/>
  <c r="AF84" i="8"/>
  <c r="Q84" i="8"/>
  <c r="AU84" i="8"/>
  <c r="W84" i="8"/>
  <c r="AL84" i="8"/>
  <c r="H84" i="8"/>
  <c r="K84" i="8"/>
  <c r="Z84" i="8"/>
  <c r="AO84" i="8"/>
  <c r="AB84" i="8"/>
  <c r="M84" i="8"/>
  <c r="AQ84" i="8"/>
  <c r="O84" i="8"/>
  <c r="AD84" i="8"/>
  <c r="AS84" i="8"/>
  <c r="AG84" i="8"/>
  <c r="AV84" i="8"/>
  <c r="R84" i="8"/>
  <c r="M84" i="7"/>
  <c r="AB84" i="7"/>
  <c r="AQ84" i="7"/>
  <c r="D72" i="8"/>
  <c r="S72" i="8"/>
  <c r="AH72" i="8"/>
  <c r="E60" i="8"/>
  <c r="T60" i="8"/>
  <c r="AI60" i="8"/>
  <c r="D55" i="9"/>
  <c r="S55" i="9"/>
  <c r="AH55" i="9"/>
  <c r="D32" i="7"/>
  <c r="S32" i="7"/>
  <c r="AH32" i="7"/>
  <c r="G29" i="9"/>
  <c r="V29" i="9"/>
  <c r="AK29" i="9"/>
  <c r="G25" i="10"/>
  <c r="V25" i="10"/>
  <c r="AK25" i="10"/>
  <c r="D21" i="10"/>
  <c r="G22" i="7"/>
  <c r="C22" i="9"/>
  <c r="AI20" i="10"/>
  <c r="U20" i="10"/>
  <c r="U29" i="8" l="1"/>
  <c r="AJ29" i="8"/>
  <c r="F29" i="8"/>
  <c r="G27" i="8"/>
  <c r="AW20" i="10"/>
  <c r="AX21" i="10"/>
  <c r="H86" i="10"/>
  <c r="W86" i="10"/>
  <c r="AL86" i="10"/>
  <c r="I86" i="10"/>
  <c r="X86" i="10"/>
  <c r="AM86" i="10"/>
  <c r="J86" i="10"/>
  <c r="Y86" i="10"/>
  <c r="AN86" i="10"/>
  <c r="K86" i="10"/>
  <c r="Z86" i="10"/>
  <c r="AO86" i="10"/>
  <c r="L86" i="10"/>
  <c r="AA86" i="10"/>
  <c r="AP86" i="10"/>
  <c r="M86" i="10"/>
  <c r="AB86" i="10"/>
  <c r="AQ86" i="10"/>
  <c r="N86" i="10"/>
  <c r="AC86" i="10"/>
  <c r="AR86" i="10"/>
  <c r="O86" i="10"/>
  <c r="AD86" i="10"/>
  <c r="AS86" i="10"/>
  <c r="P86" i="10"/>
  <c r="AE86" i="10"/>
  <c r="AT86" i="10"/>
  <c r="Q86" i="10"/>
  <c r="AF86" i="10"/>
  <c r="AU86" i="10"/>
  <c r="R86" i="10"/>
  <c r="AG86" i="10"/>
  <c r="AV86" i="10"/>
  <c r="H86" i="9"/>
  <c r="W86" i="9"/>
  <c r="AL86" i="9"/>
  <c r="I86" i="9"/>
  <c r="X86" i="9"/>
  <c r="AM86" i="9"/>
  <c r="J86" i="9"/>
  <c r="Y86" i="9"/>
  <c r="AN86" i="9"/>
  <c r="K86" i="9"/>
  <c r="Z86" i="9"/>
  <c r="AO86" i="9"/>
  <c r="L86" i="9"/>
  <c r="AA86" i="9"/>
  <c r="AP86" i="9"/>
  <c r="M86" i="9"/>
  <c r="AB86" i="9"/>
  <c r="AQ86" i="9"/>
  <c r="N86" i="9"/>
  <c r="AC86" i="9"/>
  <c r="AR86" i="9"/>
  <c r="O86" i="9"/>
  <c r="AD86" i="9"/>
  <c r="AS86" i="9"/>
  <c r="P86" i="9"/>
  <c r="AE86" i="9"/>
  <c r="AT86" i="9"/>
  <c r="Q86" i="9"/>
  <c r="AF86" i="9"/>
  <c r="AU86" i="9"/>
  <c r="R86" i="9"/>
  <c r="AG86" i="9"/>
  <c r="AV86" i="9"/>
  <c r="H85" i="7"/>
  <c r="W85" i="7"/>
  <c r="AL85" i="7"/>
  <c r="I85" i="7"/>
  <c r="X85" i="7"/>
  <c r="AM85" i="7"/>
  <c r="J85" i="7"/>
  <c r="Y85" i="7"/>
  <c r="AN85" i="7"/>
  <c r="K85" i="7"/>
  <c r="Z85" i="7"/>
  <c r="AO85" i="7"/>
  <c r="L85" i="7"/>
  <c r="AA85" i="7"/>
  <c r="AP85" i="7"/>
  <c r="N85" i="7"/>
  <c r="AC85" i="7"/>
  <c r="AR85" i="7"/>
  <c r="O85" i="7"/>
  <c r="AD85" i="7"/>
  <c r="AS85" i="7"/>
  <c r="P85" i="7"/>
  <c r="AE85" i="7"/>
  <c r="AT85" i="7"/>
  <c r="Q85" i="7"/>
  <c r="AF85" i="7"/>
  <c r="AU85" i="7"/>
  <c r="R85" i="7"/>
  <c r="AG85" i="7"/>
  <c r="AV85" i="7"/>
  <c r="I85" i="8"/>
  <c r="X85" i="8"/>
  <c r="AM85" i="8"/>
  <c r="J85" i="8"/>
  <c r="Y85" i="8"/>
  <c r="AN85" i="8"/>
  <c r="AP85" i="8"/>
  <c r="L85" i="8"/>
  <c r="AA85" i="8"/>
  <c r="N85" i="8"/>
  <c r="AC85" i="8"/>
  <c r="AR85" i="8"/>
  <c r="P85" i="8"/>
  <c r="AE85" i="8"/>
  <c r="AT85" i="8"/>
  <c r="Q85" i="8"/>
  <c r="AU85" i="8"/>
  <c r="AF85" i="8"/>
  <c r="H85" i="8"/>
  <c r="W85" i="8"/>
  <c r="AL85" i="8"/>
  <c r="K85" i="8"/>
  <c r="Z85" i="8"/>
  <c r="AO85" i="8"/>
  <c r="M85" i="8"/>
  <c r="AB85" i="8"/>
  <c r="AQ85" i="8"/>
  <c r="AD85" i="8"/>
  <c r="AS85" i="8"/>
  <c r="O85" i="8"/>
  <c r="AG85" i="8"/>
  <c r="R85" i="8"/>
  <c r="AV85" i="8"/>
  <c r="M85" i="7"/>
  <c r="AB85" i="7"/>
  <c r="AQ85" i="7"/>
  <c r="D73" i="8"/>
  <c r="S73" i="8"/>
  <c r="AH73" i="8"/>
  <c r="E61" i="8"/>
  <c r="T61" i="8"/>
  <c r="AI61" i="8"/>
  <c r="D56" i="9"/>
  <c r="S56" i="9"/>
  <c r="AH56" i="9"/>
  <c r="D33" i="7"/>
  <c r="S33" i="7"/>
  <c r="AH33" i="7"/>
  <c r="G30" i="9"/>
  <c r="V30" i="9"/>
  <c r="AK30" i="9"/>
  <c r="G26" i="10"/>
  <c r="V26" i="10"/>
  <c r="AK26" i="10"/>
  <c r="E21" i="10"/>
  <c r="C22" i="7"/>
  <c r="T22" i="9"/>
  <c r="U22" i="9"/>
  <c r="AJ22" i="9" s="1"/>
  <c r="AJ20" i="10"/>
  <c r="AY20" i="10"/>
  <c r="U30" i="8" l="1"/>
  <c r="F30" i="8"/>
  <c r="AJ30" i="8"/>
  <c r="C27" i="8"/>
  <c r="V27" i="8" s="1"/>
  <c r="H87" i="10"/>
  <c r="W87" i="10"/>
  <c r="AL87" i="10"/>
  <c r="I87" i="10"/>
  <c r="X87" i="10"/>
  <c r="AM87" i="10"/>
  <c r="J87" i="10"/>
  <c r="Y87" i="10"/>
  <c r="AN87" i="10"/>
  <c r="K87" i="10"/>
  <c r="Z87" i="10"/>
  <c r="AO87" i="10"/>
  <c r="L87" i="10"/>
  <c r="AA87" i="10"/>
  <c r="AP87" i="10"/>
  <c r="M87" i="10"/>
  <c r="AB87" i="10"/>
  <c r="AQ87" i="10"/>
  <c r="N87" i="10"/>
  <c r="AC87" i="10"/>
  <c r="AR87" i="10"/>
  <c r="O87" i="10"/>
  <c r="AD87" i="10"/>
  <c r="AS87" i="10"/>
  <c r="P87" i="10"/>
  <c r="AE87" i="10"/>
  <c r="AT87" i="10"/>
  <c r="Q87" i="10"/>
  <c r="AF87" i="10"/>
  <c r="AU87" i="10"/>
  <c r="R87" i="10"/>
  <c r="AG87" i="10"/>
  <c r="AV87" i="10"/>
  <c r="H87" i="9"/>
  <c r="W87" i="9"/>
  <c r="AL87" i="9"/>
  <c r="I87" i="9"/>
  <c r="X87" i="9"/>
  <c r="AM87" i="9"/>
  <c r="J87" i="9"/>
  <c r="Y87" i="9"/>
  <c r="AN87" i="9"/>
  <c r="K87" i="9"/>
  <c r="Z87" i="9"/>
  <c r="AO87" i="9"/>
  <c r="L87" i="9"/>
  <c r="AA87" i="9"/>
  <c r="AP87" i="9"/>
  <c r="M87" i="9"/>
  <c r="AB87" i="9"/>
  <c r="AQ87" i="9"/>
  <c r="N87" i="9"/>
  <c r="AC87" i="9"/>
  <c r="AR87" i="9"/>
  <c r="O87" i="9"/>
  <c r="AD87" i="9"/>
  <c r="AS87" i="9"/>
  <c r="P87" i="9"/>
  <c r="AE87" i="9"/>
  <c r="AT87" i="9"/>
  <c r="Q87" i="9"/>
  <c r="AF87" i="9"/>
  <c r="AU87" i="9"/>
  <c r="R87" i="9"/>
  <c r="AG87" i="9"/>
  <c r="AV87" i="9"/>
  <c r="H86" i="7"/>
  <c r="W86" i="7"/>
  <c r="AL86" i="7"/>
  <c r="I86" i="7"/>
  <c r="X86" i="7"/>
  <c r="AM86" i="7"/>
  <c r="J86" i="7"/>
  <c r="Y86" i="7"/>
  <c r="AN86" i="7"/>
  <c r="K86" i="7"/>
  <c r="Z86" i="7"/>
  <c r="AO86" i="7"/>
  <c r="L86" i="7"/>
  <c r="AA86" i="7"/>
  <c r="AP86" i="7"/>
  <c r="N86" i="7"/>
  <c r="AC86" i="7"/>
  <c r="AR86" i="7"/>
  <c r="O86" i="7"/>
  <c r="AD86" i="7"/>
  <c r="AS86" i="7"/>
  <c r="P86" i="7"/>
  <c r="AE86" i="7"/>
  <c r="AT86" i="7"/>
  <c r="Q86" i="7"/>
  <c r="AF86" i="7"/>
  <c r="AU86" i="7"/>
  <c r="R86" i="7"/>
  <c r="AG86" i="7"/>
  <c r="AV86" i="7"/>
  <c r="X86" i="8"/>
  <c r="I86" i="8"/>
  <c r="AM86" i="8"/>
  <c r="Y86" i="8"/>
  <c r="J86" i="8"/>
  <c r="AN86" i="8"/>
  <c r="L86" i="8"/>
  <c r="AA86" i="8"/>
  <c r="AP86" i="8"/>
  <c r="N86" i="8"/>
  <c r="AC86" i="8"/>
  <c r="AR86" i="8"/>
  <c r="P86" i="8"/>
  <c r="AE86" i="8"/>
  <c r="AT86" i="8"/>
  <c r="AF86" i="8"/>
  <c r="Q86" i="8"/>
  <c r="AU86" i="8"/>
  <c r="AL86" i="8"/>
  <c r="H86" i="8"/>
  <c r="W86" i="8"/>
  <c r="Z86" i="8"/>
  <c r="AO86" i="8"/>
  <c r="K86" i="8"/>
  <c r="M86" i="8"/>
  <c r="AB86" i="8"/>
  <c r="AQ86" i="8"/>
  <c r="AS86" i="8"/>
  <c r="O86" i="8"/>
  <c r="AD86" i="8"/>
  <c r="R86" i="8"/>
  <c r="AG86" i="8"/>
  <c r="AV86" i="8"/>
  <c r="M86" i="7"/>
  <c r="AB86" i="7"/>
  <c r="AQ86" i="7"/>
  <c r="D74" i="8"/>
  <c r="S74" i="8"/>
  <c r="AH74" i="8"/>
  <c r="AI62" i="8"/>
  <c r="E62" i="8"/>
  <c r="T62" i="8"/>
  <c r="D57" i="9"/>
  <c r="S57" i="9"/>
  <c r="AH57" i="9"/>
  <c r="D34" i="7"/>
  <c r="S34" i="7"/>
  <c r="AH34" i="7"/>
  <c r="G31" i="9"/>
  <c r="V31" i="9"/>
  <c r="AK31" i="9"/>
  <c r="G27" i="10"/>
  <c r="V27" i="10"/>
  <c r="AK27" i="10"/>
  <c r="T22" i="7"/>
  <c r="U22" i="7" s="1"/>
  <c r="AJ22" i="7" s="1"/>
  <c r="AY22" i="9"/>
  <c r="AI22" i="9"/>
  <c r="F23" i="9"/>
  <c r="F21" i="10"/>
  <c r="C21" i="10"/>
  <c r="AJ31" i="8" l="1"/>
  <c r="U31" i="8"/>
  <c r="F31" i="8"/>
  <c r="AK27" i="8"/>
  <c r="AY27" i="8"/>
  <c r="H88" i="10"/>
  <c r="W88" i="10"/>
  <c r="AL88" i="10"/>
  <c r="I88" i="10"/>
  <c r="X88" i="10"/>
  <c r="AM88" i="10"/>
  <c r="J88" i="10"/>
  <c r="Y88" i="10"/>
  <c r="AN88" i="10"/>
  <c r="K88" i="10"/>
  <c r="Z88" i="10"/>
  <c r="AO88" i="10"/>
  <c r="L88" i="10"/>
  <c r="AA88" i="10"/>
  <c r="AP88" i="10"/>
  <c r="M88" i="10"/>
  <c r="AB88" i="10"/>
  <c r="AQ88" i="10"/>
  <c r="N88" i="10"/>
  <c r="AC88" i="10"/>
  <c r="AR88" i="10"/>
  <c r="O88" i="10"/>
  <c r="AD88" i="10"/>
  <c r="AS88" i="10"/>
  <c r="P88" i="10"/>
  <c r="AE88" i="10"/>
  <c r="AT88" i="10"/>
  <c r="Q88" i="10"/>
  <c r="AF88" i="10"/>
  <c r="AU88" i="10"/>
  <c r="R88" i="10"/>
  <c r="AG88" i="10"/>
  <c r="AV88" i="10"/>
  <c r="H88" i="9"/>
  <c r="W88" i="9"/>
  <c r="AL88" i="9"/>
  <c r="I88" i="9"/>
  <c r="X88" i="9"/>
  <c r="AM88" i="9"/>
  <c r="J88" i="9"/>
  <c r="Y88" i="9"/>
  <c r="AN88" i="9"/>
  <c r="K88" i="9"/>
  <c r="Z88" i="9"/>
  <c r="AO88" i="9"/>
  <c r="L88" i="9"/>
  <c r="AA88" i="9"/>
  <c r="AP88" i="9"/>
  <c r="M88" i="9"/>
  <c r="AB88" i="9"/>
  <c r="AQ88" i="9"/>
  <c r="N88" i="9"/>
  <c r="AC88" i="9"/>
  <c r="AR88" i="9"/>
  <c r="O88" i="9"/>
  <c r="AD88" i="9"/>
  <c r="AS88" i="9"/>
  <c r="P88" i="9"/>
  <c r="AE88" i="9"/>
  <c r="AT88" i="9"/>
  <c r="Q88" i="9"/>
  <c r="AF88" i="9"/>
  <c r="AU88" i="9"/>
  <c r="R88" i="9"/>
  <c r="AG88" i="9"/>
  <c r="AV88" i="9"/>
  <c r="H87" i="7"/>
  <c r="W87" i="7"/>
  <c r="AL87" i="7"/>
  <c r="I87" i="7"/>
  <c r="X87" i="7"/>
  <c r="AM87" i="7"/>
  <c r="J87" i="7"/>
  <c r="Y87" i="7"/>
  <c r="AN87" i="7"/>
  <c r="K87" i="7"/>
  <c r="Z87" i="7"/>
  <c r="AO87" i="7"/>
  <c r="L87" i="7"/>
  <c r="AA87" i="7"/>
  <c r="AP87" i="7"/>
  <c r="N87" i="7"/>
  <c r="AC87" i="7"/>
  <c r="AR87" i="7"/>
  <c r="O87" i="7"/>
  <c r="AD87" i="7"/>
  <c r="AS87" i="7"/>
  <c r="P87" i="7"/>
  <c r="AE87" i="7"/>
  <c r="AT87" i="7"/>
  <c r="Q87" i="7"/>
  <c r="AF87" i="7"/>
  <c r="AU87" i="7"/>
  <c r="R87" i="7"/>
  <c r="AG87" i="7"/>
  <c r="AV87" i="7"/>
  <c r="I87" i="8"/>
  <c r="X87" i="8"/>
  <c r="AM87" i="8"/>
  <c r="J87" i="8"/>
  <c r="Y87" i="8"/>
  <c r="AN87" i="8"/>
  <c r="L87" i="8"/>
  <c r="AA87" i="8"/>
  <c r="AP87" i="8"/>
  <c r="N87" i="8"/>
  <c r="AC87" i="8"/>
  <c r="AR87" i="8"/>
  <c r="P87" i="8"/>
  <c r="AE87" i="8"/>
  <c r="AT87" i="8"/>
  <c r="Q87" i="8"/>
  <c r="AF87" i="8"/>
  <c r="AU87" i="8"/>
  <c r="H87" i="8"/>
  <c r="W87" i="8"/>
  <c r="AL87" i="8"/>
  <c r="K87" i="8"/>
  <c r="Z87" i="8"/>
  <c r="AO87" i="8"/>
  <c r="M87" i="8"/>
  <c r="AB87" i="8"/>
  <c r="AQ87" i="8"/>
  <c r="O87" i="8"/>
  <c r="AD87" i="8"/>
  <c r="AS87" i="8"/>
  <c r="R87" i="8"/>
  <c r="AG87" i="8"/>
  <c r="AV87" i="8"/>
  <c r="M87" i="7"/>
  <c r="AB87" i="7"/>
  <c r="AQ87" i="7"/>
  <c r="D75" i="8"/>
  <c r="S75" i="8"/>
  <c r="AH75" i="8"/>
  <c r="E63" i="8"/>
  <c r="AI63" i="8"/>
  <c r="T63" i="8"/>
  <c r="D58" i="9"/>
  <c r="S58" i="9"/>
  <c r="AH58" i="9"/>
  <c r="D35" i="7"/>
  <c r="S35" i="7"/>
  <c r="AH35" i="7"/>
  <c r="G32" i="9"/>
  <c r="V32" i="9"/>
  <c r="AK32" i="9"/>
  <c r="G28" i="10"/>
  <c r="V28" i="10"/>
  <c r="AK28" i="10"/>
  <c r="V22" i="7"/>
  <c r="AI22" i="7"/>
  <c r="F23" i="7"/>
  <c r="E23" i="9"/>
  <c r="AW22" i="9"/>
  <c r="AX23" i="9"/>
  <c r="S21" i="10"/>
  <c r="T21" i="10"/>
  <c r="AI21" i="10" s="1"/>
  <c r="AJ32" i="8" l="1"/>
  <c r="U32" i="8"/>
  <c r="F32" i="8"/>
  <c r="G28" i="8"/>
  <c r="AW27" i="8"/>
  <c r="W12" i="2" s="1"/>
  <c r="AX28" i="8"/>
  <c r="AK22" i="7"/>
  <c r="AY22" i="7"/>
  <c r="H89" i="10"/>
  <c r="W89" i="10"/>
  <c r="AL89" i="10"/>
  <c r="I89" i="10"/>
  <c r="X89" i="10"/>
  <c r="AM89" i="10"/>
  <c r="J89" i="10"/>
  <c r="Y89" i="10"/>
  <c r="AN89" i="10"/>
  <c r="K89" i="10"/>
  <c r="Z89" i="10"/>
  <c r="AO89" i="10"/>
  <c r="L89" i="10"/>
  <c r="AA89" i="10"/>
  <c r="AP89" i="10"/>
  <c r="M89" i="10"/>
  <c r="AB89" i="10"/>
  <c r="AQ89" i="10"/>
  <c r="N89" i="10"/>
  <c r="AC89" i="10"/>
  <c r="AR89" i="10"/>
  <c r="O89" i="10"/>
  <c r="AD89" i="10"/>
  <c r="AS89" i="10"/>
  <c r="P89" i="10"/>
  <c r="AE89" i="10"/>
  <c r="AT89" i="10"/>
  <c r="Q89" i="10"/>
  <c r="AF89" i="10"/>
  <c r="AU89" i="10"/>
  <c r="R89" i="10"/>
  <c r="AG89" i="10"/>
  <c r="AV89" i="10"/>
  <c r="H89" i="9"/>
  <c r="W89" i="9"/>
  <c r="AL89" i="9"/>
  <c r="I89" i="9"/>
  <c r="X89" i="9"/>
  <c r="AM89" i="9"/>
  <c r="J89" i="9"/>
  <c r="Y89" i="9"/>
  <c r="AN89" i="9"/>
  <c r="K89" i="9"/>
  <c r="Z89" i="9"/>
  <c r="AO89" i="9"/>
  <c r="L89" i="9"/>
  <c r="AA89" i="9"/>
  <c r="AP89" i="9"/>
  <c r="M89" i="9"/>
  <c r="AB89" i="9"/>
  <c r="AQ89" i="9"/>
  <c r="N89" i="9"/>
  <c r="AC89" i="9"/>
  <c r="AR89" i="9"/>
  <c r="O89" i="9"/>
  <c r="AD89" i="9"/>
  <c r="AS89" i="9"/>
  <c r="P89" i="9"/>
  <c r="AE89" i="9"/>
  <c r="AT89" i="9"/>
  <c r="Q89" i="9"/>
  <c r="AF89" i="9"/>
  <c r="AU89" i="9"/>
  <c r="R89" i="9"/>
  <c r="AG89" i="9"/>
  <c r="AV89" i="9"/>
  <c r="H88" i="7"/>
  <c r="W88" i="7"/>
  <c r="AL88" i="7"/>
  <c r="I88" i="7"/>
  <c r="X88" i="7"/>
  <c r="AM88" i="7"/>
  <c r="J88" i="7"/>
  <c r="Y88" i="7"/>
  <c r="AN88" i="7"/>
  <c r="K88" i="7"/>
  <c r="Z88" i="7"/>
  <c r="AO88" i="7"/>
  <c r="L88" i="7"/>
  <c r="AA88" i="7"/>
  <c r="AP88" i="7"/>
  <c r="N88" i="7"/>
  <c r="AC88" i="7"/>
  <c r="AR88" i="7"/>
  <c r="O88" i="7"/>
  <c r="AD88" i="7"/>
  <c r="AS88" i="7"/>
  <c r="P88" i="7"/>
  <c r="AE88" i="7"/>
  <c r="AT88" i="7"/>
  <c r="Q88" i="7"/>
  <c r="AF88" i="7"/>
  <c r="AU88" i="7"/>
  <c r="R88" i="7"/>
  <c r="AG88" i="7"/>
  <c r="AV88" i="7"/>
  <c r="AM88" i="8"/>
  <c r="I88" i="8"/>
  <c r="X88" i="8"/>
  <c r="J88" i="8"/>
  <c r="Y88" i="8"/>
  <c r="AN88" i="8"/>
  <c r="AP88" i="8"/>
  <c r="L88" i="8"/>
  <c r="AA88" i="8"/>
  <c r="N88" i="8"/>
  <c r="AC88" i="8"/>
  <c r="AR88" i="8"/>
  <c r="P88" i="8"/>
  <c r="AE88" i="8"/>
  <c r="AT88" i="8"/>
  <c r="Q88" i="8"/>
  <c r="AF88" i="8"/>
  <c r="AU88" i="8"/>
  <c r="H88" i="8"/>
  <c r="W88" i="8"/>
  <c r="AL88" i="8"/>
  <c r="K88" i="8"/>
  <c r="AO88" i="8"/>
  <c r="Z88" i="8"/>
  <c r="AB88" i="8"/>
  <c r="AQ88" i="8"/>
  <c r="M88" i="8"/>
  <c r="O88" i="8"/>
  <c r="AD88" i="8"/>
  <c r="AS88" i="8"/>
  <c r="AV88" i="8"/>
  <c r="R88" i="8"/>
  <c r="AG88" i="8"/>
  <c r="M88" i="7"/>
  <c r="AB88" i="7"/>
  <c r="AQ88" i="7"/>
  <c r="S76" i="8"/>
  <c r="AH76" i="8"/>
  <c r="D76" i="8"/>
  <c r="T64" i="8"/>
  <c r="AI64" i="8"/>
  <c r="E64" i="8"/>
  <c r="D59" i="9"/>
  <c r="S59" i="9"/>
  <c r="AH59" i="9"/>
  <c r="D36" i="7"/>
  <c r="S36" i="7"/>
  <c r="AH36" i="7"/>
  <c r="G33" i="9"/>
  <c r="AK33" i="9"/>
  <c r="V33" i="9"/>
  <c r="G29" i="10"/>
  <c r="V29" i="10"/>
  <c r="AK29" i="10"/>
  <c r="G23" i="7"/>
  <c r="AX23" i="7"/>
  <c r="AW22" i="7"/>
  <c r="E23" i="7"/>
  <c r="C23" i="9"/>
  <c r="U21" i="10"/>
  <c r="AH21" i="10"/>
  <c r="E22" i="10"/>
  <c r="U33" i="8" l="1"/>
  <c r="AJ33" i="8"/>
  <c r="F33" i="8"/>
  <c r="C28" i="8"/>
  <c r="V28" i="8" s="1"/>
  <c r="H90" i="10"/>
  <c r="W90" i="10"/>
  <c r="AL90" i="10"/>
  <c r="I90" i="10"/>
  <c r="X90" i="10"/>
  <c r="AM90" i="10"/>
  <c r="J90" i="10"/>
  <c r="Y90" i="10"/>
  <c r="AN90" i="10"/>
  <c r="K90" i="10"/>
  <c r="Z90" i="10"/>
  <c r="AO90" i="10"/>
  <c r="L90" i="10"/>
  <c r="AA90" i="10"/>
  <c r="AP90" i="10"/>
  <c r="M90" i="10"/>
  <c r="AB90" i="10"/>
  <c r="AQ90" i="10"/>
  <c r="N90" i="10"/>
  <c r="AC90" i="10"/>
  <c r="AR90" i="10"/>
  <c r="O90" i="10"/>
  <c r="AD90" i="10"/>
  <c r="AS90" i="10"/>
  <c r="P90" i="10"/>
  <c r="AE90" i="10"/>
  <c r="AT90" i="10"/>
  <c r="Q90" i="10"/>
  <c r="AF90" i="10"/>
  <c r="AU90" i="10"/>
  <c r="R90" i="10"/>
  <c r="AG90" i="10"/>
  <c r="AV90" i="10"/>
  <c r="H90" i="9"/>
  <c r="W90" i="9"/>
  <c r="AL90" i="9"/>
  <c r="I90" i="9"/>
  <c r="X90" i="9"/>
  <c r="AM90" i="9"/>
  <c r="J90" i="9"/>
  <c r="Y90" i="9"/>
  <c r="AN90" i="9"/>
  <c r="K90" i="9"/>
  <c r="Z90" i="9"/>
  <c r="AO90" i="9"/>
  <c r="L90" i="9"/>
  <c r="AA90" i="9"/>
  <c r="AP90" i="9"/>
  <c r="M90" i="9"/>
  <c r="AB90" i="9"/>
  <c r="AQ90" i="9"/>
  <c r="N90" i="9"/>
  <c r="AC90" i="9"/>
  <c r="AR90" i="9"/>
  <c r="O90" i="9"/>
  <c r="AD90" i="9"/>
  <c r="AS90" i="9"/>
  <c r="P90" i="9"/>
  <c r="AE90" i="9"/>
  <c r="AT90" i="9"/>
  <c r="Q90" i="9"/>
  <c r="AF90" i="9"/>
  <c r="AU90" i="9"/>
  <c r="R90" i="9"/>
  <c r="AG90" i="9"/>
  <c r="AV90" i="9"/>
  <c r="H89" i="7"/>
  <c r="W89" i="7"/>
  <c r="AL89" i="7"/>
  <c r="I89" i="7"/>
  <c r="X89" i="7"/>
  <c r="AM89" i="7"/>
  <c r="J89" i="7"/>
  <c r="Y89" i="7"/>
  <c r="AN89" i="7"/>
  <c r="K89" i="7"/>
  <c r="Z89" i="7"/>
  <c r="AO89" i="7"/>
  <c r="L89" i="7"/>
  <c r="AA89" i="7"/>
  <c r="AP89" i="7"/>
  <c r="N89" i="7"/>
  <c r="AC89" i="7"/>
  <c r="AR89" i="7"/>
  <c r="O89" i="7"/>
  <c r="AD89" i="7"/>
  <c r="AS89" i="7"/>
  <c r="P89" i="7"/>
  <c r="AE89" i="7"/>
  <c r="AT89" i="7"/>
  <c r="Q89" i="7"/>
  <c r="AF89" i="7"/>
  <c r="AU89" i="7"/>
  <c r="R89" i="7"/>
  <c r="AG89" i="7"/>
  <c r="AV89" i="7"/>
  <c r="I89" i="8"/>
  <c r="X89" i="8"/>
  <c r="AM89" i="8"/>
  <c r="J89" i="8"/>
  <c r="Y89" i="8"/>
  <c r="AN89" i="8"/>
  <c r="L89" i="8"/>
  <c r="AA89" i="8"/>
  <c r="AP89" i="8"/>
  <c r="N89" i="8"/>
  <c r="AR89" i="8"/>
  <c r="AC89" i="8"/>
  <c r="P89" i="8"/>
  <c r="AE89" i="8"/>
  <c r="AT89" i="8"/>
  <c r="Q89" i="8"/>
  <c r="AF89" i="8"/>
  <c r="AU89" i="8"/>
  <c r="H89" i="8"/>
  <c r="W89" i="8"/>
  <c r="AL89" i="8"/>
  <c r="K89" i="8"/>
  <c r="Z89" i="8"/>
  <c r="AO89" i="8"/>
  <c r="M89" i="8"/>
  <c r="AQ89" i="8"/>
  <c r="AB89" i="8"/>
  <c r="O89" i="8"/>
  <c r="AS89" i="8"/>
  <c r="AD89" i="8"/>
  <c r="R89" i="8"/>
  <c r="AG89" i="8"/>
  <c r="AV89" i="8"/>
  <c r="M89" i="7"/>
  <c r="AB89" i="7"/>
  <c r="AQ89" i="7"/>
  <c r="D77" i="8"/>
  <c r="S77" i="8"/>
  <c r="AH77" i="8"/>
  <c r="E65" i="8"/>
  <c r="T65" i="8"/>
  <c r="AI65" i="8"/>
  <c r="D60" i="9"/>
  <c r="S60" i="9"/>
  <c r="AH60" i="9"/>
  <c r="D37" i="7"/>
  <c r="S37" i="7"/>
  <c r="AH37" i="7"/>
  <c r="V34" i="9"/>
  <c r="AK34" i="9"/>
  <c r="G34" i="9"/>
  <c r="G30" i="10"/>
  <c r="V30" i="10"/>
  <c r="AK30" i="10"/>
  <c r="C23" i="7"/>
  <c r="T23" i="9"/>
  <c r="U23" i="9"/>
  <c r="AJ23" i="9" s="1"/>
  <c r="AJ21" i="10"/>
  <c r="AY21" i="10"/>
  <c r="AX22" i="10"/>
  <c r="D22" i="10"/>
  <c r="AW21" i="10"/>
  <c r="T23" i="7"/>
  <c r="AJ34" i="8" l="1"/>
  <c r="U34" i="8"/>
  <c r="F34" i="8"/>
  <c r="AK28" i="8"/>
  <c r="AY28" i="8"/>
  <c r="H91" i="10"/>
  <c r="W91" i="10"/>
  <c r="AL91" i="10"/>
  <c r="I91" i="10"/>
  <c r="X91" i="10"/>
  <c r="AM91" i="10"/>
  <c r="J91" i="10"/>
  <c r="Y91" i="10"/>
  <c r="AN91" i="10"/>
  <c r="K91" i="10"/>
  <c r="Z91" i="10"/>
  <c r="AO91" i="10"/>
  <c r="L91" i="10"/>
  <c r="AA91" i="10"/>
  <c r="AP91" i="10"/>
  <c r="M91" i="10"/>
  <c r="AB91" i="10"/>
  <c r="AQ91" i="10"/>
  <c r="N91" i="10"/>
  <c r="AC91" i="10"/>
  <c r="AR91" i="10"/>
  <c r="O91" i="10"/>
  <c r="AD91" i="10"/>
  <c r="AS91" i="10"/>
  <c r="P91" i="10"/>
  <c r="AE91" i="10"/>
  <c r="AT91" i="10"/>
  <c r="Q91" i="10"/>
  <c r="AF91" i="10"/>
  <c r="AU91" i="10"/>
  <c r="R91" i="10"/>
  <c r="AG91" i="10"/>
  <c r="AV91" i="10"/>
  <c r="H91" i="9"/>
  <c r="W91" i="9"/>
  <c r="AL91" i="9"/>
  <c r="I91" i="9"/>
  <c r="X91" i="9"/>
  <c r="AM91" i="9"/>
  <c r="J91" i="9"/>
  <c r="Y91" i="9"/>
  <c r="AN91" i="9"/>
  <c r="K91" i="9"/>
  <c r="Z91" i="9"/>
  <c r="AO91" i="9"/>
  <c r="L91" i="9"/>
  <c r="AA91" i="9"/>
  <c r="AP91" i="9"/>
  <c r="M91" i="9"/>
  <c r="AB91" i="9"/>
  <c r="AQ91" i="9"/>
  <c r="N91" i="9"/>
  <c r="AC91" i="9"/>
  <c r="AR91" i="9"/>
  <c r="O91" i="9"/>
  <c r="AD91" i="9"/>
  <c r="AS91" i="9"/>
  <c r="P91" i="9"/>
  <c r="AE91" i="9"/>
  <c r="AT91" i="9"/>
  <c r="Q91" i="9"/>
  <c r="AF91" i="9"/>
  <c r="AU91" i="9"/>
  <c r="R91" i="9"/>
  <c r="AG91" i="9"/>
  <c r="AV91" i="9"/>
  <c r="H90" i="7"/>
  <c r="W90" i="7"/>
  <c r="AL90" i="7"/>
  <c r="I90" i="7"/>
  <c r="X90" i="7"/>
  <c r="AM90" i="7"/>
  <c r="J90" i="7"/>
  <c r="Y90" i="7"/>
  <c r="AN90" i="7"/>
  <c r="K90" i="7"/>
  <c r="Z90" i="7"/>
  <c r="AO90" i="7"/>
  <c r="L90" i="7"/>
  <c r="AA90" i="7"/>
  <c r="AP90" i="7"/>
  <c r="N90" i="7"/>
  <c r="AC90" i="7"/>
  <c r="AR90" i="7"/>
  <c r="O90" i="7"/>
  <c r="AD90" i="7"/>
  <c r="AS90" i="7"/>
  <c r="P90" i="7"/>
  <c r="AE90" i="7"/>
  <c r="AT90" i="7"/>
  <c r="Q90" i="7"/>
  <c r="AF90" i="7"/>
  <c r="AU90" i="7"/>
  <c r="R90" i="7"/>
  <c r="AG90" i="7"/>
  <c r="AV90" i="7"/>
  <c r="X90" i="8"/>
  <c r="AM90" i="8"/>
  <c r="I90" i="8"/>
  <c r="AN90" i="8"/>
  <c r="J90" i="8"/>
  <c r="Y90" i="8"/>
  <c r="AA90" i="8"/>
  <c r="AP90" i="8"/>
  <c r="L90" i="8"/>
  <c r="N90" i="8"/>
  <c r="AC90" i="8"/>
  <c r="AR90" i="8"/>
  <c r="P90" i="8"/>
  <c r="AE90" i="8"/>
  <c r="AT90" i="8"/>
  <c r="AF90" i="8"/>
  <c r="Q90" i="8"/>
  <c r="AU90" i="8"/>
  <c r="H90" i="8"/>
  <c r="AL90" i="8"/>
  <c r="W90" i="8"/>
  <c r="Z90" i="8"/>
  <c r="AO90" i="8"/>
  <c r="K90" i="8"/>
  <c r="AB90" i="8"/>
  <c r="M90" i="8"/>
  <c r="AQ90" i="8"/>
  <c r="O90" i="8"/>
  <c r="AD90" i="8"/>
  <c r="AS90" i="8"/>
  <c r="R90" i="8"/>
  <c r="AG90" i="8"/>
  <c r="AV90" i="8"/>
  <c r="M90" i="7"/>
  <c r="AB90" i="7"/>
  <c r="AQ90" i="7"/>
  <c r="D78" i="8"/>
  <c r="S78" i="8"/>
  <c r="AH78" i="8"/>
  <c r="E66" i="8"/>
  <c r="T66" i="8"/>
  <c r="AI66" i="8"/>
  <c r="D61" i="9"/>
  <c r="S61" i="9"/>
  <c r="AH61" i="9"/>
  <c r="D38" i="7"/>
  <c r="S38" i="7"/>
  <c r="AH38" i="7"/>
  <c r="G35" i="9"/>
  <c r="AK35" i="9"/>
  <c r="V35" i="9"/>
  <c r="G31" i="10"/>
  <c r="V31" i="10"/>
  <c r="AK31" i="10"/>
  <c r="U23" i="7"/>
  <c r="AJ23" i="7" s="1"/>
  <c r="V23" i="7"/>
  <c r="AK23" i="7" s="1"/>
  <c r="AY23" i="9"/>
  <c r="AI23" i="9"/>
  <c r="F24" i="9"/>
  <c r="F22" i="10"/>
  <c r="C22" i="10" s="1"/>
  <c r="S22" i="10" s="1"/>
  <c r="AY23" i="7"/>
  <c r="AI23" i="7"/>
  <c r="AJ35" i="8" l="1"/>
  <c r="U35" i="8"/>
  <c r="F35" i="8"/>
  <c r="AX29" i="8"/>
  <c r="AW28" i="8"/>
  <c r="G29" i="8"/>
  <c r="H92" i="10"/>
  <c r="W92" i="10"/>
  <c r="AL92" i="10"/>
  <c r="I92" i="10"/>
  <c r="X92" i="10"/>
  <c r="AM92" i="10"/>
  <c r="J92" i="10"/>
  <c r="Y92" i="10"/>
  <c r="AN92" i="10"/>
  <c r="K92" i="10"/>
  <c r="Z92" i="10"/>
  <c r="AO92" i="10"/>
  <c r="L92" i="10"/>
  <c r="AA92" i="10"/>
  <c r="AP92" i="10"/>
  <c r="M92" i="10"/>
  <c r="AB92" i="10"/>
  <c r="AQ92" i="10"/>
  <c r="N92" i="10"/>
  <c r="AC92" i="10"/>
  <c r="AR92" i="10"/>
  <c r="O92" i="10"/>
  <c r="AD92" i="10"/>
  <c r="AS92" i="10"/>
  <c r="P92" i="10"/>
  <c r="AE92" i="10"/>
  <c r="AT92" i="10"/>
  <c r="Q92" i="10"/>
  <c r="AF92" i="10"/>
  <c r="AU92" i="10"/>
  <c r="R92" i="10"/>
  <c r="AG92" i="10"/>
  <c r="AV92" i="10"/>
  <c r="H92" i="9"/>
  <c r="W92" i="9"/>
  <c r="AL92" i="9"/>
  <c r="I92" i="9"/>
  <c r="X92" i="9"/>
  <c r="AM92" i="9"/>
  <c r="J92" i="9"/>
  <c r="Y92" i="9"/>
  <c r="AN92" i="9"/>
  <c r="K92" i="9"/>
  <c r="Z92" i="9"/>
  <c r="AO92" i="9"/>
  <c r="L92" i="9"/>
  <c r="AA92" i="9"/>
  <c r="AP92" i="9"/>
  <c r="M92" i="9"/>
  <c r="AB92" i="9"/>
  <c r="AQ92" i="9"/>
  <c r="N92" i="9"/>
  <c r="AC92" i="9"/>
  <c r="AR92" i="9"/>
  <c r="O92" i="9"/>
  <c r="AD92" i="9"/>
  <c r="AS92" i="9"/>
  <c r="P92" i="9"/>
  <c r="AE92" i="9"/>
  <c r="AT92" i="9"/>
  <c r="Q92" i="9"/>
  <c r="AF92" i="9"/>
  <c r="AU92" i="9"/>
  <c r="R92" i="9"/>
  <c r="AG92" i="9"/>
  <c r="AV92" i="9"/>
  <c r="H91" i="7"/>
  <c r="W91" i="7"/>
  <c r="AL91" i="7"/>
  <c r="I91" i="7"/>
  <c r="X91" i="7"/>
  <c r="AM91" i="7"/>
  <c r="J91" i="7"/>
  <c r="Y91" i="7"/>
  <c r="AN91" i="7"/>
  <c r="K91" i="7"/>
  <c r="Z91" i="7"/>
  <c r="AO91" i="7"/>
  <c r="L91" i="7"/>
  <c r="AA91" i="7"/>
  <c r="AP91" i="7"/>
  <c r="N91" i="7"/>
  <c r="AC91" i="7"/>
  <c r="AR91" i="7"/>
  <c r="O91" i="7"/>
  <c r="AD91" i="7"/>
  <c r="AS91" i="7"/>
  <c r="P91" i="7"/>
  <c r="AE91" i="7"/>
  <c r="AT91" i="7"/>
  <c r="Q91" i="7"/>
  <c r="AF91" i="7"/>
  <c r="AU91" i="7"/>
  <c r="R91" i="7"/>
  <c r="AG91" i="7"/>
  <c r="AV91" i="7"/>
  <c r="AM91" i="8"/>
  <c r="I91" i="8"/>
  <c r="X91" i="8"/>
  <c r="J91" i="8"/>
  <c r="AN91" i="8"/>
  <c r="Y91" i="8"/>
  <c r="L91" i="8"/>
  <c r="AA91" i="8"/>
  <c r="AP91" i="8"/>
  <c r="N91" i="8"/>
  <c r="AR91" i="8"/>
  <c r="AC91" i="8"/>
  <c r="P91" i="8"/>
  <c r="AE91" i="8"/>
  <c r="AT91" i="8"/>
  <c r="AF91" i="8"/>
  <c r="Q91" i="8"/>
  <c r="AU91" i="8"/>
  <c r="H91" i="8"/>
  <c r="W91" i="8"/>
  <c r="AL91" i="8"/>
  <c r="AO91" i="8"/>
  <c r="K91" i="8"/>
  <c r="Z91" i="8"/>
  <c r="AB91" i="8"/>
  <c r="AQ91" i="8"/>
  <c r="M91" i="8"/>
  <c r="O91" i="8"/>
  <c r="AD91" i="8"/>
  <c r="AS91" i="8"/>
  <c r="R91" i="8"/>
  <c r="AG91" i="8"/>
  <c r="AV91" i="8"/>
  <c r="M91" i="7"/>
  <c r="AB91" i="7"/>
  <c r="AQ91" i="7"/>
  <c r="D79" i="8"/>
  <c r="S79" i="8"/>
  <c r="AH79" i="8"/>
  <c r="E67" i="8"/>
  <c r="T67" i="8"/>
  <c r="AI67" i="8"/>
  <c r="D62" i="9"/>
  <c r="S62" i="9"/>
  <c r="AH62" i="9"/>
  <c r="D39" i="7"/>
  <c r="S39" i="7"/>
  <c r="AH39" i="7"/>
  <c r="G36" i="9"/>
  <c r="V36" i="9"/>
  <c r="AK36" i="9"/>
  <c r="G32" i="10"/>
  <c r="V32" i="10"/>
  <c r="AK32" i="10"/>
  <c r="F24" i="7"/>
  <c r="G24" i="7"/>
  <c r="E24" i="9"/>
  <c r="AW23" i="9"/>
  <c r="AX24" i="9"/>
  <c r="AX24" i="7"/>
  <c r="AW23" i="7"/>
  <c r="E24" i="7"/>
  <c r="T22" i="10"/>
  <c r="AH22" i="10"/>
  <c r="AJ36" i="8" l="1"/>
  <c r="U36" i="8"/>
  <c r="F36" i="8"/>
  <c r="C29" i="8"/>
  <c r="V29" i="8" s="1"/>
  <c r="G30" i="8"/>
  <c r="AW29" i="8"/>
  <c r="H93" i="10"/>
  <c r="W93" i="10"/>
  <c r="AL93" i="10"/>
  <c r="I93" i="10"/>
  <c r="X93" i="10"/>
  <c r="AM93" i="10"/>
  <c r="J93" i="10"/>
  <c r="Y93" i="10"/>
  <c r="AN93" i="10"/>
  <c r="K93" i="10"/>
  <c r="Z93" i="10"/>
  <c r="AO93" i="10"/>
  <c r="L93" i="10"/>
  <c r="AA93" i="10"/>
  <c r="AP93" i="10"/>
  <c r="M93" i="10"/>
  <c r="AB93" i="10"/>
  <c r="AQ93" i="10"/>
  <c r="N93" i="10"/>
  <c r="AC93" i="10"/>
  <c r="AR93" i="10"/>
  <c r="O93" i="10"/>
  <c r="AD93" i="10"/>
  <c r="AS93" i="10"/>
  <c r="P93" i="10"/>
  <c r="AE93" i="10"/>
  <c r="AT93" i="10"/>
  <c r="Q93" i="10"/>
  <c r="AF93" i="10"/>
  <c r="AU93" i="10"/>
  <c r="R93" i="10"/>
  <c r="AG93" i="10"/>
  <c r="AV93" i="10"/>
  <c r="H93" i="9"/>
  <c r="W93" i="9"/>
  <c r="AL93" i="9"/>
  <c r="I93" i="9"/>
  <c r="X93" i="9"/>
  <c r="AM93" i="9"/>
  <c r="J93" i="9"/>
  <c r="Y93" i="9"/>
  <c r="AN93" i="9"/>
  <c r="K93" i="9"/>
  <c r="Z93" i="9"/>
  <c r="AO93" i="9"/>
  <c r="L93" i="9"/>
  <c r="AA93" i="9"/>
  <c r="AP93" i="9"/>
  <c r="M93" i="9"/>
  <c r="AB93" i="9"/>
  <c r="AQ93" i="9"/>
  <c r="N93" i="9"/>
  <c r="AC93" i="9"/>
  <c r="AR93" i="9"/>
  <c r="O93" i="9"/>
  <c r="AD93" i="9"/>
  <c r="AS93" i="9"/>
  <c r="P93" i="9"/>
  <c r="AE93" i="9"/>
  <c r="AT93" i="9"/>
  <c r="Q93" i="9"/>
  <c r="AF93" i="9"/>
  <c r="AU93" i="9"/>
  <c r="R93" i="9"/>
  <c r="AG93" i="9"/>
  <c r="AV93" i="9"/>
  <c r="H92" i="7"/>
  <c r="W92" i="7"/>
  <c r="AL92" i="7"/>
  <c r="I92" i="7"/>
  <c r="X92" i="7"/>
  <c r="AM92" i="7"/>
  <c r="J92" i="7"/>
  <c r="Y92" i="7"/>
  <c r="AN92" i="7"/>
  <c r="K92" i="7"/>
  <c r="Z92" i="7"/>
  <c r="AO92" i="7"/>
  <c r="L92" i="7"/>
  <c r="AA92" i="7"/>
  <c r="AP92" i="7"/>
  <c r="N92" i="7"/>
  <c r="AC92" i="7"/>
  <c r="AR92" i="7"/>
  <c r="O92" i="7"/>
  <c r="AD92" i="7"/>
  <c r="AS92" i="7"/>
  <c r="P92" i="7"/>
  <c r="AE92" i="7"/>
  <c r="AT92" i="7"/>
  <c r="Q92" i="7"/>
  <c r="AF92" i="7"/>
  <c r="AU92" i="7"/>
  <c r="R92" i="7"/>
  <c r="AG92" i="7"/>
  <c r="AV92" i="7"/>
  <c r="X92" i="8"/>
  <c r="I92" i="8"/>
  <c r="AM92" i="8"/>
  <c r="J92" i="8"/>
  <c r="Y92" i="8"/>
  <c r="AN92" i="8"/>
  <c r="L92" i="8"/>
  <c r="AA92" i="8"/>
  <c r="AP92" i="8"/>
  <c r="N92" i="8"/>
  <c r="AC92" i="8"/>
  <c r="AR92" i="8"/>
  <c r="AT92" i="8"/>
  <c r="P92" i="8"/>
  <c r="AE92" i="8"/>
  <c r="Q92" i="8"/>
  <c r="AF92" i="8"/>
  <c r="AU92" i="8"/>
  <c r="AL92" i="8"/>
  <c r="H92" i="8"/>
  <c r="W92" i="8"/>
  <c r="K92" i="8"/>
  <c r="Z92" i="8"/>
  <c r="AO92" i="8"/>
  <c r="M92" i="8"/>
  <c r="AB92" i="8"/>
  <c r="AQ92" i="8"/>
  <c r="O92" i="8"/>
  <c r="AD92" i="8"/>
  <c r="AS92" i="8"/>
  <c r="AG92" i="8"/>
  <c r="R92" i="8"/>
  <c r="AV92" i="8"/>
  <c r="M92" i="7"/>
  <c r="AB92" i="7"/>
  <c r="AQ92" i="7"/>
  <c r="D80" i="8"/>
  <c r="S80" i="8"/>
  <c r="AH80" i="8"/>
  <c r="T68" i="8"/>
  <c r="E68" i="8"/>
  <c r="AI68" i="8"/>
  <c r="D63" i="9"/>
  <c r="S63" i="9"/>
  <c r="AH63" i="9"/>
  <c r="D40" i="7"/>
  <c r="S40" i="7"/>
  <c r="AH40" i="7"/>
  <c r="V37" i="9"/>
  <c r="AK37" i="9"/>
  <c r="G37" i="9"/>
  <c r="G33" i="10"/>
  <c r="V33" i="10"/>
  <c r="AK33" i="10"/>
  <c r="C24" i="9"/>
  <c r="C24" i="7"/>
  <c r="T24" i="7" s="1"/>
  <c r="U22" i="10"/>
  <c r="AI22" i="10"/>
  <c r="D23" i="10"/>
  <c r="T24" i="9"/>
  <c r="AJ37" i="8" l="1"/>
  <c r="U37" i="8"/>
  <c r="F37" i="8"/>
  <c r="C30" i="8"/>
  <c r="V30" i="8" s="1"/>
  <c r="AY30" i="8" s="1"/>
  <c r="AK30" i="8"/>
  <c r="AK29" i="8"/>
  <c r="AX30" i="8" s="1"/>
  <c r="AY29" i="8"/>
  <c r="H94" i="10"/>
  <c r="W94" i="10"/>
  <c r="AL94" i="10"/>
  <c r="I94" i="10"/>
  <c r="X94" i="10"/>
  <c r="AM94" i="10"/>
  <c r="J94" i="10"/>
  <c r="Y94" i="10"/>
  <c r="AN94" i="10"/>
  <c r="K94" i="10"/>
  <c r="Z94" i="10"/>
  <c r="AO94" i="10"/>
  <c r="L94" i="10"/>
  <c r="AA94" i="10"/>
  <c r="AP94" i="10"/>
  <c r="M94" i="10"/>
  <c r="AB94" i="10"/>
  <c r="AQ94" i="10"/>
  <c r="N94" i="10"/>
  <c r="AC94" i="10"/>
  <c r="AR94" i="10"/>
  <c r="O94" i="10"/>
  <c r="AD94" i="10"/>
  <c r="AS94" i="10"/>
  <c r="P94" i="10"/>
  <c r="AE94" i="10"/>
  <c r="AT94" i="10"/>
  <c r="Q94" i="10"/>
  <c r="AF94" i="10"/>
  <c r="AU94" i="10"/>
  <c r="R94" i="10"/>
  <c r="AG94" i="10"/>
  <c r="AV94" i="10"/>
  <c r="H94" i="9"/>
  <c r="W94" i="9"/>
  <c r="AL94" i="9"/>
  <c r="I94" i="9"/>
  <c r="X94" i="9"/>
  <c r="AM94" i="9"/>
  <c r="J94" i="9"/>
  <c r="Y94" i="9"/>
  <c r="AN94" i="9"/>
  <c r="K94" i="9"/>
  <c r="Z94" i="9"/>
  <c r="AO94" i="9"/>
  <c r="L94" i="9"/>
  <c r="AA94" i="9"/>
  <c r="AP94" i="9"/>
  <c r="M94" i="9"/>
  <c r="AB94" i="9"/>
  <c r="AQ94" i="9"/>
  <c r="N94" i="9"/>
  <c r="AC94" i="9"/>
  <c r="AR94" i="9"/>
  <c r="O94" i="9"/>
  <c r="AD94" i="9"/>
  <c r="AS94" i="9"/>
  <c r="P94" i="9"/>
  <c r="AE94" i="9"/>
  <c r="AT94" i="9"/>
  <c r="Q94" i="9"/>
  <c r="AF94" i="9"/>
  <c r="AU94" i="9"/>
  <c r="R94" i="9"/>
  <c r="AG94" i="9"/>
  <c r="AV94" i="9"/>
  <c r="H93" i="7"/>
  <c r="W93" i="7"/>
  <c r="AL93" i="7"/>
  <c r="I93" i="7"/>
  <c r="X93" i="7"/>
  <c r="AM93" i="7"/>
  <c r="J93" i="7"/>
  <c r="Y93" i="7"/>
  <c r="AN93" i="7"/>
  <c r="K93" i="7"/>
  <c r="Z93" i="7"/>
  <c r="AO93" i="7"/>
  <c r="L93" i="7"/>
  <c r="AA93" i="7"/>
  <c r="AP93" i="7"/>
  <c r="N93" i="7"/>
  <c r="AC93" i="7"/>
  <c r="AR93" i="7"/>
  <c r="O93" i="7"/>
  <c r="AD93" i="7"/>
  <c r="AS93" i="7"/>
  <c r="P93" i="7"/>
  <c r="AE93" i="7"/>
  <c r="AT93" i="7"/>
  <c r="Q93" i="7"/>
  <c r="AF93" i="7"/>
  <c r="AU93" i="7"/>
  <c r="R93" i="7"/>
  <c r="AG93" i="7"/>
  <c r="AV93" i="7"/>
  <c r="AM93" i="8"/>
  <c r="I93" i="8"/>
  <c r="X93" i="8"/>
  <c r="J93" i="8"/>
  <c r="Y93" i="8"/>
  <c r="AN93" i="8"/>
  <c r="L93" i="8"/>
  <c r="AA93" i="8"/>
  <c r="AP93" i="8"/>
  <c r="N93" i="8"/>
  <c r="AC93" i="8"/>
  <c r="AR93" i="8"/>
  <c r="AT93" i="8"/>
  <c r="P93" i="8"/>
  <c r="AE93" i="8"/>
  <c r="Q93" i="8"/>
  <c r="AF93" i="8"/>
  <c r="AU93" i="8"/>
  <c r="H93" i="8"/>
  <c r="W93" i="8"/>
  <c r="AL93" i="8"/>
  <c r="K93" i="8"/>
  <c r="Z93" i="8"/>
  <c r="AO93" i="8"/>
  <c r="M93" i="8"/>
  <c r="AB93" i="8"/>
  <c r="AQ93" i="8"/>
  <c r="AS93" i="8"/>
  <c r="O93" i="8"/>
  <c r="AD93" i="8"/>
  <c r="R93" i="8"/>
  <c r="AG93" i="8"/>
  <c r="AV93" i="8"/>
  <c r="M93" i="7"/>
  <c r="AB93" i="7"/>
  <c r="AQ93" i="7"/>
  <c r="S81" i="8"/>
  <c r="D81" i="8"/>
  <c r="AH81" i="8"/>
  <c r="E69" i="8"/>
  <c r="AI69" i="8"/>
  <c r="T69" i="8"/>
  <c r="D64" i="9"/>
  <c r="S64" i="9"/>
  <c r="AH64" i="9"/>
  <c r="D41" i="7"/>
  <c r="S41" i="7"/>
  <c r="AH41" i="7"/>
  <c r="G38" i="9"/>
  <c r="V38" i="9"/>
  <c r="AK38" i="9"/>
  <c r="G34" i="10"/>
  <c r="V34" i="10"/>
  <c r="AK34" i="10"/>
  <c r="AY22" i="10"/>
  <c r="AJ22" i="10"/>
  <c r="E23" i="10"/>
  <c r="U24" i="9"/>
  <c r="AI24" i="7"/>
  <c r="U24" i="7"/>
  <c r="AW22" i="10"/>
  <c r="AX23" i="10"/>
  <c r="AI24" i="9"/>
  <c r="AJ38" i="8" l="1"/>
  <c r="F38" i="8"/>
  <c r="U38" i="8"/>
  <c r="AX31" i="8"/>
  <c r="AW30" i="8"/>
  <c r="W13" i="2" s="1"/>
  <c r="G31" i="8"/>
  <c r="AJ24" i="9"/>
  <c r="AY24" i="9"/>
  <c r="H95" i="10"/>
  <c r="W95" i="10"/>
  <c r="AL95" i="10"/>
  <c r="I95" i="10"/>
  <c r="X95" i="10"/>
  <c r="AM95" i="10"/>
  <c r="J95" i="10"/>
  <c r="Y95" i="10"/>
  <c r="AN95" i="10"/>
  <c r="K95" i="10"/>
  <c r="Z95" i="10"/>
  <c r="AO95" i="10"/>
  <c r="L95" i="10"/>
  <c r="AA95" i="10"/>
  <c r="AP95" i="10"/>
  <c r="M95" i="10"/>
  <c r="AB95" i="10"/>
  <c r="AQ95" i="10"/>
  <c r="N95" i="10"/>
  <c r="AC95" i="10"/>
  <c r="AR95" i="10"/>
  <c r="O95" i="10"/>
  <c r="AD95" i="10"/>
  <c r="AS95" i="10"/>
  <c r="P95" i="10"/>
  <c r="AE95" i="10"/>
  <c r="AT95" i="10"/>
  <c r="Q95" i="10"/>
  <c r="AF95" i="10"/>
  <c r="AU95" i="10"/>
  <c r="R95" i="10"/>
  <c r="AG95" i="10"/>
  <c r="AV95" i="10"/>
  <c r="H95" i="9"/>
  <c r="W95" i="9"/>
  <c r="AL95" i="9"/>
  <c r="I95" i="9"/>
  <c r="X95" i="9"/>
  <c r="AM95" i="9"/>
  <c r="J95" i="9"/>
  <c r="Y95" i="9"/>
  <c r="AN95" i="9"/>
  <c r="K95" i="9"/>
  <c r="Z95" i="9"/>
  <c r="AO95" i="9"/>
  <c r="L95" i="9"/>
  <c r="AA95" i="9"/>
  <c r="AP95" i="9"/>
  <c r="M95" i="9"/>
  <c r="AB95" i="9"/>
  <c r="AQ95" i="9"/>
  <c r="N95" i="9"/>
  <c r="AC95" i="9"/>
  <c r="AR95" i="9"/>
  <c r="O95" i="9"/>
  <c r="AD95" i="9"/>
  <c r="AS95" i="9"/>
  <c r="P95" i="9"/>
  <c r="AE95" i="9"/>
  <c r="AT95" i="9"/>
  <c r="Q95" i="9"/>
  <c r="AF95" i="9"/>
  <c r="AU95" i="9"/>
  <c r="R95" i="9"/>
  <c r="AG95" i="9"/>
  <c r="AV95" i="9"/>
  <c r="H94" i="7"/>
  <c r="W94" i="7"/>
  <c r="AL94" i="7"/>
  <c r="I94" i="7"/>
  <c r="X94" i="7"/>
  <c r="AM94" i="7"/>
  <c r="J94" i="7"/>
  <c r="Y94" i="7"/>
  <c r="AN94" i="7"/>
  <c r="K94" i="7"/>
  <c r="Z94" i="7"/>
  <c r="AO94" i="7"/>
  <c r="L94" i="7"/>
  <c r="AA94" i="7"/>
  <c r="AP94" i="7"/>
  <c r="N94" i="7"/>
  <c r="AC94" i="7"/>
  <c r="AR94" i="7"/>
  <c r="O94" i="7"/>
  <c r="AD94" i="7"/>
  <c r="AS94" i="7"/>
  <c r="P94" i="7"/>
  <c r="AE94" i="7"/>
  <c r="AT94" i="7"/>
  <c r="Q94" i="7"/>
  <c r="AF94" i="7"/>
  <c r="AU94" i="7"/>
  <c r="R94" i="7"/>
  <c r="AG94" i="7"/>
  <c r="AV94" i="7"/>
  <c r="I94" i="8"/>
  <c r="AM94" i="8"/>
  <c r="X94" i="8"/>
  <c r="Y94" i="8"/>
  <c r="J94" i="8"/>
  <c r="AN94" i="8"/>
  <c r="L94" i="8"/>
  <c r="AA94" i="8"/>
  <c r="AP94" i="8"/>
  <c r="AC94" i="8"/>
  <c r="N94" i="8"/>
  <c r="AR94" i="8"/>
  <c r="P94" i="8"/>
  <c r="AT94" i="8"/>
  <c r="AE94" i="8"/>
  <c r="Q94" i="8"/>
  <c r="AF94" i="8"/>
  <c r="AU94" i="8"/>
  <c r="W94" i="8"/>
  <c r="AL94" i="8"/>
  <c r="H94" i="8"/>
  <c r="AO94" i="8"/>
  <c r="K94" i="8"/>
  <c r="Z94" i="8"/>
  <c r="AB94" i="8"/>
  <c r="AQ94" i="8"/>
  <c r="M94" i="8"/>
  <c r="O94" i="8"/>
  <c r="AD94" i="8"/>
  <c r="AS94" i="8"/>
  <c r="AG94" i="8"/>
  <c r="AV94" i="8"/>
  <c r="R94" i="8"/>
  <c r="M94" i="7"/>
  <c r="AB94" i="7"/>
  <c r="AQ94" i="7"/>
  <c r="S82" i="8"/>
  <c r="D82" i="8"/>
  <c r="AH82" i="8"/>
  <c r="E70" i="8"/>
  <c r="T70" i="8"/>
  <c r="AI70" i="8"/>
  <c r="D65" i="9"/>
  <c r="S65" i="9"/>
  <c r="AH65" i="9"/>
  <c r="D42" i="7"/>
  <c r="S42" i="7"/>
  <c r="AH42" i="7"/>
  <c r="G39" i="9"/>
  <c r="V39" i="9"/>
  <c r="AK39" i="9"/>
  <c r="G35" i="10"/>
  <c r="V35" i="10"/>
  <c r="AK35" i="10"/>
  <c r="F23" i="10"/>
  <c r="F25" i="9"/>
  <c r="E25" i="7"/>
  <c r="AW24" i="9"/>
  <c r="AX25" i="9"/>
  <c r="E25" i="9"/>
  <c r="AJ24" i="7"/>
  <c r="V24" i="7"/>
  <c r="AJ39" i="8" l="1"/>
  <c r="U39" i="8"/>
  <c r="F39" i="8"/>
  <c r="C31" i="8"/>
  <c r="V31" i="8" s="1"/>
  <c r="AY31" i="8"/>
  <c r="AK31" i="8"/>
  <c r="H96" i="10"/>
  <c r="W96" i="10"/>
  <c r="AL96" i="10"/>
  <c r="I96" i="10"/>
  <c r="X96" i="10"/>
  <c r="AM96" i="10"/>
  <c r="J96" i="10"/>
  <c r="Y96" i="10"/>
  <c r="AN96" i="10"/>
  <c r="K96" i="10"/>
  <c r="Z96" i="10"/>
  <c r="AO96" i="10"/>
  <c r="L96" i="10"/>
  <c r="AA96" i="10"/>
  <c r="AP96" i="10"/>
  <c r="M96" i="10"/>
  <c r="AB96" i="10"/>
  <c r="AQ96" i="10"/>
  <c r="N96" i="10"/>
  <c r="AC96" i="10"/>
  <c r="AR96" i="10"/>
  <c r="O96" i="10"/>
  <c r="AD96" i="10"/>
  <c r="AS96" i="10"/>
  <c r="P96" i="10"/>
  <c r="AE96" i="10"/>
  <c r="AT96" i="10"/>
  <c r="Q96" i="10"/>
  <c r="AF96" i="10"/>
  <c r="AU96" i="10"/>
  <c r="R96" i="10"/>
  <c r="AG96" i="10"/>
  <c r="AV96" i="10"/>
  <c r="H96" i="9"/>
  <c r="W96" i="9"/>
  <c r="AL96" i="9"/>
  <c r="I96" i="9"/>
  <c r="X96" i="9"/>
  <c r="AM96" i="9"/>
  <c r="J96" i="9"/>
  <c r="Y96" i="9"/>
  <c r="AN96" i="9"/>
  <c r="K96" i="9"/>
  <c r="Z96" i="9"/>
  <c r="AO96" i="9"/>
  <c r="L96" i="9"/>
  <c r="AA96" i="9"/>
  <c r="AP96" i="9"/>
  <c r="M96" i="9"/>
  <c r="AB96" i="9"/>
  <c r="AQ96" i="9"/>
  <c r="N96" i="9"/>
  <c r="AC96" i="9"/>
  <c r="AR96" i="9"/>
  <c r="O96" i="9"/>
  <c r="AD96" i="9"/>
  <c r="AS96" i="9"/>
  <c r="P96" i="9"/>
  <c r="AE96" i="9"/>
  <c r="AT96" i="9"/>
  <c r="Q96" i="9"/>
  <c r="AF96" i="9"/>
  <c r="AU96" i="9"/>
  <c r="R96" i="9"/>
  <c r="AG96" i="9"/>
  <c r="AV96" i="9"/>
  <c r="H95" i="7"/>
  <c r="W95" i="7"/>
  <c r="AL95" i="7"/>
  <c r="I95" i="7"/>
  <c r="X95" i="7"/>
  <c r="AM95" i="7"/>
  <c r="J95" i="7"/>
  <c r="Y95" i="7"/>
  <c r="AN95" i="7"/>
  <c r="K95" i="7"/>
  <c r="Z95" i="7"/>
  <c r="AO95" i="7"/>
  <c r="L95" i="7"/>
  <c r="AA95" i="7"/>
  <c r="AP95" i="7"/>
  <c r="N95" i="7"/>
  <c r="AC95" i="7"/>
  <c r="AR95" i="7"/>
  <c r="O95" i="7"/>
  <c r="AD95" i="7"/>
  <c r="AS95" i="7"/>
  <c r="P95" i="7"/>
  <c r="AE95" i="7"/>
  <c r="AT95" i="7"/>
  <c r="Q95" i="7"/>
  <c r="AF95" i="7"/>
  <c r="AU95" i="7"/>
  <c r="R95" i="7"/>
  <c r="AG95" i="7"/>
  <c r="AV95" i="7"/>
  <c r="I95" i="8"/>
  <c r="X95" i="8"/>
  <c r="AM95" i="8"/>
  <c r="J95" i="8"/>
  <c r="Y95" i="8"/>
  <c r="AN95" i="8"/>
  <c r="AP95" i="8"/>
  <c r="L95" i="8"/>
  <c r="AA95" i="8"/>
  <c r="N95" i="8"/>
  <c r="AC95" i="8"/>
  <c r="AR95" i="8"/>
  <c r="AT95" i="8"/>
  <c r="P95" i="8"/>
  <c r="AE95" i="8"/>
  <c r="Q95" i="8"/>
  <c r="AF95" i="8"/>
  <c r="AU95" i="8"/>
  <c r="W95" i="8"/>
  <c r="AL95" i="8"/>
  <c r="H95" i="8"/>
  <c r="Z95" i="8"/>
  <c r="K95" i="8"/>
  <c r="AO95" i="8"/>
  <c r="AB95" i="8"/>
  <c r="AQ95" i="8"/>
  <c r="M95" i="8"/>
  <c r="O95" i="8"/>
  <c r="AD95" i="8"/>
  <c r="AS95" i="8"/>
  <c r="R95" i="8"/>
  <c r="AG95" i="8"/>
  <c r="AV95" i="8"/>
  <c r="M95" i="7"/>
  <c r="AB95" i="7"/>
  <c r="AQ95" i="7"/>
  <c r="S83" i="8"/>
  <c r="AH83" i="8"/>
  <c r="D83" i="8"/>
  <c r="E71" i="8"/>
  <c r="AI71" i="8"/>
  <c r="T71" i="8"/>
  <c r="D66" i="9"/>
  <c r="S66" i="9"/>
  <c r="AH66" i="9"/>
  <c r="D43" i="7"/>
  <c r="S43" i="7"/>
  <c r="AH43" i="7"/>
  <c r="G40" i="9"/>
  <c r="V40" i="9"/>
  <c r="AK40" i="9"/>
  <c r="G36" i="10"/>
  <c r="V36" i="10"/>
  <c r="AK36" i="10"/>
  <c r="C23" i="10"/>
  <c r="C25" i="9"/>
  <c r="F25" i="7"/>
  <c r="AK24" i="7"/>
  <c r="AY24" i="7"/>
  <c r="AJ40" i="8" l="1"/>
  <c r="U40" i="8"/>
  <c r="F40" i="8"/>
  <c r="AW31" i="8"/>
  <c r="G32" i="8"/>
  <c r="C32" i="8" s="1"/>
  <c r="V32" i="8" s="1"/>
  <c r="AX32" i="8"/>
  <c r="H97" i="10"/>
  <c r="W97" i="10"/>
  <c r="AL97" i="10"/>
  <c r="I97" i="10"/>
  <c r="X97" i="10"/>
  <c r="AM97" i="10"/>
  <c r="J97" i="10"/>
  <c r="Y97" i="10"/>
  <c r="AN97" i="10"/>
  <c r="K97" i="10"/>
  <c r="Z97" i="10"/>
  <c r="AO97" i="10"/>
  <c r="L97" i="10"/>
  <c r="AA97" i="10"/>
  <c r="AP97" i="10"/>
  <c r="M97" i="10"/>
  <c r="AB97" i="10"/>
  <c r="AQ97" i="10"/>
  <c r="N97" i="10"/>
  <c r="AC97" i="10"/>
  <c r="AR97" i="10"/>
  <c r="O97" i="10"/>
  <c r="AD97" i="10"/>
  <c r="AS97" i="10"/>
  <c r="P97" i="10"/>
  <c r="AE97" i="10"/>
  <c r="AT97" i="10"/>
  <c r="Q97" i="10"/>
  <c r="AF97" i="10"/>
  <c r="AU97" i="10"/>
  <c r="R97" i="10"/>
  <c r="AG97" i="10"/>
  <c r="AV97" i="10"/>
  <c r="H97" i="9"/>
  <c r="W97" i="9"/>
  <c r="AL97" i="9"/>
  <c r="I97" i="9"/>
  <c r="X97" i="9"/>
  <c r="AM97" i="9"/>
  <c r="J97" i="9"/>
  <c r="Y97" i="9"/>
  <c r="AN97" i="9"/>
  <c r="K97" i="9"/>
  <c r="Z97" i="9"/>
  <c r="AO97" i="9"/>
  <c r="L97" i="9"/>
  <c r="AA97" i="9"/>
  <c r="AP97" i="9"/>
  <c r="M97" i="9"/>
  <c r="AB97" i="9"/>
  <c r="AQ97" i="9"/>
  <c r="N97" i="9"/>
  <c r="AC97" i="9"/>
  <c r="AR97" i="9"/>
  <c r="O97" i="9"/>
  <c r="AD97" i="9"/>
  <c r="AS97" i="9"/>
  <c r="P97" i="9"/>
  <c r="AE97" i="9"/>
  <c r="AT97" i="9"/>
  <c r="Q97" i="9"/>
  <c r="AF97" i="9"/>
  <c r="AU97" i="9"/>
  <c r="R97" i="9"/>
  <c r="AG97" i="9"/>
  <c r="AV97" i="9"/>
  <c r="H96" i="7"/>
  <c r="W96" i="7"/>
  <c r="AL96" i="7"/>
  <c r="I96" i="7"/>
  <c r="X96" i="7"/>
  <c r="AM96" i="7"/>
  <c r="J96" i="7"/>
  <c r="Y96" i="7"/>
  <c r="AN96" i="7"/>
  <c r="K96" i="7"/>
  <c r="Z96" i="7"/>
  <c r="AO96" i="7"/>
  <c r="L96" i="7"/>
  <c r="AA96" i="7"/>
  <c r="AP96" i="7"/>
  <c r="N96" i="7"/>
  <c r="AC96" i="7"/>
  <c r="AR96" i="7"/>
  <c r="O96" i="7"/>
  <c r="AD96" i="7"/>
  <c r="AS96" i="7"/>
  <c r="P96" i="7"/>
  <c r="AE96" i="7"/>
  <c r="AT96" i="7"/>
  <c r="Q96" i="7"/>
  <c r="AF96" i="7"/>
  <c r="AU96" i="7"/>
  <c r="R96" i="7"/>
  <c r="AG96" i="7"/>
  <c r="AV96" i="7"/>
  <c r="X96" i="8"/>
  <c r="AM96" i="8"/>
  <c r="I96" i="8"/>
  <c r="J96" i="8"/>
  <c r="Y96" i="8"/>
  <c r="AN96" i="8"/>
  <c r="L96" i="8"/>
  <c r="AA96" i="8"/>
  <c r="AP96" i="8"/>
  <c r="N96" i="8"/>
  <c r="AR96" i="8"/>
  <c r="AC96" i="8"/>
  <c r="AE96" i="8"/>
  <c r="AT96" i="8"/>
  <c r="P96" i="8"/>
  <c r="Q96" i="8"/>
  <c r="AF96" i="8"/>
  <c r="AU96" i="8"/>
  <c r="H96" i="8"/>
  <c r="W96" i="8"/>
  <c r="AL96" i="8"/>
  <c r="AO96" i="8"/>
  <c r="K96" i="8"/>
  <c r="Z96" i="8"/>
  <c r="AQ96" i="8"/>
  <c r="M96" i="8"/>
  <c r="AB96" i="8"/>
  <c r="AS96" i="8"/>
  <c r="O96" i="8"/>
  <c r="AD96" i="8"/>
  <c r="R96" i="8"/>
  <c r="AG96" i="8"/>
  <c r="AV96" i="8"/>
  <c r="M96" i="7"/>
  <c r="AB96" i="7"/>
  <c r="AQ96" i="7"/>
  <c r="D84" i="8"/>
  <c r="S84" i="8"/>
  <c r="AH84" i="8"/>
  <c r="E72" i="8"/>
  <c r="T72" i="8"/>
  <c r="AI72" i="8"/>
  <c r="D67" i="9"/>
  <c r="S67" i="9"/>
  <c r="AH67" i="9"/>
  <c r="D44" i="7"/>
  <c r="S44" i="7"/>
  <c r="AH44" i="7"/>
  <c r="G41" i="9"/>
  <c r="V41" i="9"/>
  <c r="AK41" i="9"/>
  <c r="G37" i="10"/>
  <c r="V37" i="10"/>
  <c r="AK37" i="10"/>
  <c r="S23" i="10"/>
  <c r="T23" i="10" s="1"/>
  <c r="AI23" i="10" s="1"/>
  <c r="T25" i="9"/>
  <c r="U25" i="9"/>
  <c r="AJ25" i="9" s="1"/>
  <c r="G25" i="7"/>
  <c r="AX25" i="7"/>
  <c r="AW24" i="7"/>
  <c r="X11" i="2" s="1"/>
  <c r="AJ41" i="8" l="1"/>
  <c r="U41" i="8"/>
  <c r="F41" i="8"/>
  <c r="H98" i="10"/>
  <c r="W98" i="10"/>
  <c r="AL98" i="10"/>
  <c r="I98" i="10"/>
  <c r="X98" i="10"/>
  <c r="AM98" i="10"/>
  <c r="J98" i="10"/>
  <c r="Y98" i="10"/>
  <c r="AN98" i="10"/>
  <c r="K98" i="10"/>
  <c r="Z98" i="10"/>
  <c r="AO98" i="10"/>
  <c r="L98" i="10"/>
  <c r="AA98" i="10"/>
  <c r="AP98" i="10"/>
  <c r="M98" i="10"/>
  <c r="AB98" i="10"/>
  <c r="AQ98" i="10"/>
  <c r="N98" i="10"/>
  <c r="AC98" i="10"/>
  <c r="AR98" i="10"/>
  <c r="O98" i="10"/>
  <c r="AD98" i="10"/>
  <c r="AS98" i="10"/>
  <c r="P98" i="10"/>
  <c r="AE98" i="10"/>
  <c r="AT98" i="10"/>
  <c r="Q98" i="10"/>
  <c r="AF98" i="10"/>
  <c r="AU98" i="10"/>
  <c r="R98" i="10"/>
  <c r="AG98" i="10"/>
  <c r="AV98" i="10"/>
  <c r="H98" i="9"/>
  <c r="W98" i="9"/>
  <c r="AL98" i="9"/>
  <c r="I98" i="9"/>
  <c r="X98" i="9"/>
  <c r="AM98" i="9"/>
  <c r="J98" i="9"/>
  <c r="Y98" i="9"/>
  <c r="AN98" i="9"/>
  <c r="K98" i="9"/>
  <c r="Z98" i="9"/>
  <c r="AO98" i="9"/>
  <c r="L98" i="9"/>
  <c r="AA98" i="9"/>
  <c r="AP98" i="9"/>
  <c r="M98" i="9"/>
  <c r="AB98" i="9"/>
  <c r="AQ98" i="9"/>
  <c r="N98" i="9"/>
  <c r="AC98" i="9"/>
  <c r="AR98" i="9"/>
  <c r="O98" i="9"/>
  <c r="AD98" i="9"/>
  <c r="AS98" i="9"/>
  <c r="P98" i="9"/>
  <c r="AE98" i="9"/>
  <c r="AT98" i="9"/>
  <c r="Q98" i="9"/>
  <c r="AF98" i="9"/>
  <c r="AU98" i="9"/>
  <c r="R98" i="9"/>
  <c r="AG98" i="9"/>
  <c r="AV98" i="9"/>
  <c r="H97" i="7"/>
  <c r="W97" i="7"/>
  <c r="AL97" i="7"/>
  <c r="I97" i="7"/>
  <c r="X97" i="7"/>
  <c r="AM97" i="7"/>
  <c r="J97" i="7"/>
  <c r="Y97" i="7"/>
  <c r="AN97" i="7"/>
  <c r="K97" i="7"/>
  <c r="Z97" i="7"/>
  <c r="AO97" i="7"/>
  <c r="L97" i="7"/>
  <c r="AA97" i="7"/>
  <c r="AP97" i="7"/>
  <c r="N97" i="7"/>
  <c r="AC97" i="7"/>
  <c r="AR97" i="7"/>
  <c r="O97" i="7"/>
  <c r="AD97" i="7"/>
  <c r="AS97" i="7"/>
  <c r="P97" i="7"/>
  <c r="AE97" i="7"/>
  <c r="AT97" i="7"/>
  <c r="Q97" i="7"/>
  <c r="AF97" i="7"/>
  <c r="AU97" i="7"/>
  <c r="R97" i="7"/>
  <c r="AG97" i="7"/>
  <c r="AV97" i="7"/>
  <c r="I97" i="8"/>
  <c r="X97" i="8"/>
  <c r="AM97" i="8"/>
  <c r="Y97" i="8"/>
  <c r="J97" i="8"/>
  <c r="AN97" i="8"/>
  <c r="L97" i="8"/>
  <c r="AP97" i="8"/>
  <c r="AA97" i="8"/>
  <c r="N97" i="8"/>
  <c r="AR97" i="8"/>
  <c r="AC97" i="8"/>
  <c r="P97" i="8"/>
  <c r="AT97" i="8"/>
  <c r="AE97" i="8"/>
  <c r="Q97" i="8"/>
  <c r="AF97" i="8"/>
  <c r="AU97" i="8"/>
  <c r="H97" i="8"/>
  <c r="W97" i="8"/>
  <c r="AL97" i="8"/>
  <c r="Z97" i="8"/>
  <c r="AO97" i="8"/>
  <c r="K97" i="8"/>
  <c r="M97" i="8"/>
  <c r="AB97" i="8"/>
  <c r="AQ97" i="8"/>
  <c r="O97" i="8"/>
  <c r="AD97" i="8"/>
  <c r="AS97" i="8"/>
  <c r="AV97" i="8"/>
  <c r="R97" i="8"/>
  <c r="AG97" i="8"/>
  <c r="M97" i="7"/>
  <c r="AB97" i="7"/>
  <c r="AQ97" i="7"/>
  <c r="D85" i="8"/>
  <c r="S85" i="8"/>
  <c r="AH85" i="8"/>
  <c r="T73" i="8"/>
  <c r="AI73" i="8"/>
  <c r="E73" i="8"/>
  <c r="D68" i="9"/>
  <c r="S68" i="9"/>
  <c r="AH68" i="9"/>
  <c r="D45" i="7"/>
  <c r="S45" i="7"/>
  <c r="AH45" i="7"/>
  <c r="G42" i="9"/>
  <c r="V42" i="9"/>
  <c r="AK42" i="9"/>
  <c r="G38" i="10"/>
  <c r="V38" i="10"/>
  <c r="AK38" i="10"/>
  <c r="E24" i="10"/>
  <c r="U23" i="10"/>
  <c r="AH23" i="10"/>
  <c r="AY25" i="9"/>
  <c r="AI25" i="9"/>
  <c r="F26" i="9"/>
  <c r="AK32" i="8"/>
  <c r="AY32" i="8"/>
  <c r="C25" i="7"/>
  <c r="AJ42" i="8" l="1"/>
  <c r="U42" i="8"/>
  <c r="F42" i="8"/>
  <c r="H99" i="10"/>
  <c r="W99" i="10"/>
  <c r="AL99" i="10"/>
  <c r="I99" i="10"/>
  <c r="X99" i="10"/>
  <c r="AM99" i="10"/>
  <c r="J99" i="10"/>
  <c r="Y99" i="10"/>
  <c r="AN99" i="10"/>
  <c r="K99" i="10"/>
  <c r="Z99" i="10"/>
  <c r="AO99" i="10"/>
  <c r="L99" i="10"/>
  <c r="AA99" i="10"/>
  <c r="AP99" i="10"/>
  <c r="M99" i="10"/>
  <c r="AB99" i="10"/>
  <c r="AQ99" i="10"/>
  <c r="N99" i="10"/>
  <c r="AC99" i="10"/>
  <c r="AR99" i="10"/>
  <c r="O99" i="10"/>
  <c r="AD99" i="10"/>
  <c r="AS99" i="10"/>
  <c r="P99" i="10"/>
  <c r="AE99" i="10"/>
  <c r="AT99" i="10"/>
  <c r="Q99" i="10"/>
  <c r="AF99" i="10"/>
  <c r="AU99" i="10"/>
  <c r="R99" i="10"/>
  <c r="AG99" i="10"/>
  <c r="AV99" i="10"/>
  <c r="H99" i="9"/>
  <c r="W99" i="9"/>
  <c r="AL99" i="9"/>
  <c r="I99" i="9"/>
  <c r="X99" i="9"/>
  <c r="AM99" i="9"/>
  <c r="J99" i="9"/>
  <c r="Y99" i="9"/>
  <c r="AN99" i="9"/>
  <c r="K99" i="9"/>
  <c r="Z99" i="9"/>
  <c r="AO99" i="9"/>
  <c r="L99" i="9"/>
  <c r="AA99" i="9"/>
  <c r="AP99" i="9"/>
  <c r="M99" i="9"/>
  <c r="AB99" i="9"/>
  <c r="AQ99" i="9"/>
  <c r="N99" i="9"/>
  <c r="AC99" i="9"/>
  <c r="AR99" i="9"/>
  <c r="O99" i="9"/>
  <c r="AD99" i="9"/>
  <c r="AS99" i="9"/>
  <c r="P99" i="9"/>
  <c r="AE99" i="9"/>
  <c r="AT99" i="9"/>
  <c r="Q99" i="9"/>
  <c r="AF99" i="9"/>
  <c r="AU99" i="9"/>
  <c r="R99" i="9"/>
  <c r="AG99" i="9"/>
  <c r="AV99" i="9"/>
  <c r="H98" i="7"/>
  <c r="W98" i="7"/>
  <c r="AL98" i="7"/>
  <c r="I98" i="7"/>
  <c r="X98" i="7"/>
  <c r="AM98" i="7"/>
  <c r="J98" i="7"/>
  <c r="Y98" i="7"/>
  <c r="AN98" i="7"/>
  <c r="K98" i="7"/>
  <c r="Z98" i="7"/>
  <c r="AO98" i="7"/>
  <c r="L98" i="7"/>
  <c r="AA98" i="7"/>
  <c r="AP98" i="7"/>
  <c r="N98" i="7"/>
  <c r="AC98" i="7"/>
  <c r="AR98" i="7"/>
  <c r="O98" i="7"/>
  <c r="AD98" i="7"/>
  <c r="AS98" i="7"/>
  <c r="P98" i="7"/>
  <c r="AE98" i="7"/>
  <c r="AT98" i="7"/>
  <c r="Q98" i="7"/>
  <c r="AF98" i="7"/>
  <c r="AU98" i="7"/>
  <c r="R98" i="7"/>
  <c r="AG98" i="7"/>
  <c r="AV98" i="7"/>
  <c r="I98" i="8"/>
  <c r="X98" i="8"/>
  <c r="AM98" i="8"/>
  <c r="J98" i="8"/>
  <c r="Y98" i="8"/>
  <c r="AN98" i="8"/>
  <c r="L98" i="8"/>
  <c r="AA98" i="8"/>
  <c r="AP98" i="8"/>
  <c r="N98" i="8"/>
  <c r="AC98" i="8"/>
  <c r="AR98" i="8"/>
  <c r="P98" i="8"/>
  <c r="AE98" i="8"/>
  <c r="AT98" i="8"/>
  <c r="Q98" i="8"/>
  <c r="AF98" i="8"/>
  <c r="AU98" i="8"/>
  <c r="H98" i="8"/>
  <c r="W98" i="8"/>
  <c r="AL98" i="8"/>
  <c r="K98" i="8"/>
  <c r="Z98" i="8"/>
  <c r="AO98" i="8"/>
  <c r="M98" i="8"/>
  <c r="AB98" i="8"/>
  <c r="AQ98" i="8"/>
  <c r="O98" i="8"/>
  <c r="AD98" i="8"/>
  <c r="AS98" i="8"/>
  <c r="R98" i="8"/>
  <c r="AG98" i="8"/>
  <c r="AV98" i="8"/>
  <c r="M98" i="7"/>
  <c r="AB98" i="7"/>
  <c r="AQ98" i="7"/>
  <c r="D86" i="8"/>
  <c r="S86" i="8"/>
  <c r="AH86" i="8"/>
  <c r="AI74" i="8"/>
  <c r="E74" i="8"/>
  <c r="T74" i="8"/>
  <c r="D69" i="9"/>
  <c r="S69" i="9"/>
  <c r="AH69" i="9"/>
  <c r="D46" i="7"/>
  <c r="S46" i="7"/>
  <c r="AH46" i="7"/>
  <c r="G43" i="9"/>
  <c r="V43" i="9"/>
  <c r="AK43" i="9"/>
  <c r="G39" i="10"/>
  <c r="V39" i="10"/>
  <c r="AK39" i="10"/>
  <c r="S24" i="10"/>
  <c r="AH24" i="10"/>
  <c r="D24" i="10"/>
  <c r="AI26" i="9"/>
  <c r="T26" i="9"/>
  <c r="E26" i="9"/>
  <c r="AW25" i="9"/>
  <c r="AX26" i="9"/>
  <c r="AX33" i="8"/>
  <c r="AW32" i="8"/>
  <c r="G33" i="8"/>
  <c r="T25" i="7"/>
  <c r="U25" i="7" s="1"/>
  <c r="AJ25" i="7" s="1"/>
  <c r="AJ23" i="10"/>
  <c r="AY23" i="10"/>
  <c r="AJ43" i="8" l="1"/>
  <c r="U43" i="8"/>
  <c r="F43" i="8"/>
  <c r="AW23" i="10"/>
  <c r="AX24" i="10"/>
  <c r="H100" i="10"/>
  <c r="W100" i="10"/>
  <c r="AL100" i="10"/>
  <c r="I100" i="10"/>
  <c r="X100" i="10"/>
  <c r="AM100" i="10"/>
  <c r="J100" i="10"/>
  <c r="Y100" i="10"/>
  <c r="AN100" i="10"/>
  <c r="K100" i="10"/>
  <c r="Z100" i="10"/>
  <c r="AO100" i="10"/>
  <c r="L100" i="10"/>
  <c r="AA100" i="10"/>
  <c r="AP100" i="10"/>
  <c r="M100" i="10"/>
  <c r="AB100" i="10"/>
  <c r="AQ100" i="10"/>
  <c r="N100" i="10"/>
  <c r="AC100" i="10"/>
  <c r="AR100" i="10"/>
  <c r="O100" i="10"/>
  <c r="AD100" i="10"/>
  <c r="AS100" i="10"/>
  <c r="P100" i="10"/>
  <c r="AE100" i="10"/>
  <c r="AT100" i="10"/>
  <c r="Q100" i="10"/>
  <c r="AF100" i="10"/>
  <c r="AU100" i="10"/>
  <c r="R100" i="10"/>
  <c r="AG100" i="10"/>
  <c r="AV100" i="10"/>
  <c r="H100" i="9"/>
  <c r="W100" i="9"/>
  <c r="AL100" i="9"/>
  <c r="I100" i="9"/>
  <c r="X100" i="9"/>
  <c r="AM100" i="9"/>
  <c r="J100" i="9"/>
  <c r="Y100" i="9"/>
  <c r="AN100" i="9"/>
  <c r="K100" i="9"/>
  <c r="Z100" i="9"/>
  <c r="AO100" i="9"/>
  <c r="L100" i="9"/>
  <c r="AA100" i="9"/>
  <c r="AP100" i="9"/>
  <c r="M100" i="9"/>
  <c r="AB100" i="9"/>
  <c r="AQ100" i="9"/>
  <c r="N100" i="9"/>
  <c r="AC100" i="9"/>
  <c r="AR100" i="9"/>
  <c r="O100" i="9"/>
  <c r="AD100" i="9"/>
  <c r="AS100" i="9"/>
  <c r="P100" i="9"/>
  <c r="AE100" i="9"/>
  <c r="AT100" i="9"/>
  <c r="Q100" i="9"/>
  <c r="AF100" i="9"/>
  <c r="AU100" i="9"/>
  <c r="R100" i="9"/>
  <c r="AG100" i="9"/>
  <c r="AV100" i="9"/>
  <c r="H99" i="7"/>
  <c r="W99" i="7"/>
  <c r="AL99" i="7"/>
  <c r="I99" i="7"/>
  <c r="X99" i="7"/>
  <c r="AM99" i="7"/>
  <c r="J99" i="7"/>
  <c r="Y99" i="7"/>
  <c r="AN99" i="7"/>
  <c r="K99" i="7"/>
  <c r="Z99" i="7"/>
  <c r="AO99" i="7"/>
  <c r="L99" i="7"/>
  <c r="AA99" i="7"/>
  <c r="AP99" i="7"/>
  <c r="N99" i="7"/>
  <c r="AC99" i="7"/>
  <c r="AR99" i="7"/>
  <c r="O99" i="7"/>
  <c r="AD99" i="7"/>
  <c r="AS99" i="7"/>
  <c r="P99" i="7"/>
  <c r="AE99" i="7"/>
  <c r="AT99" i="7"/>
  <c r="Q99" i="7"/>
  <c r="AF99" i="7"/>
  <c r="AU99" i="7"/>
  <c r="R99" i="7"/>
  <c r="AG99" i="7"/>
  <c r="AV99" i="7"/>
  <c r="I99" i="8"/>
  <c r="X99" i="8"/>
  <c r="AM99" i="8"/>
  <c r="J99" i="8"/>
  <c r="Y99" i="8"/>
  <c r="AN99" i="8"/>
  <c r="L99" i="8"/>
  <c r="AA99" i="8"/>
  <c r="AP99" i="8"/>
  <c r="N99" i="8"/>
  <c r="AC99" i="8"/>
  <c r="AR99" i="8"/>
  <c r="P99" i="8"/>
  <c r="AE99" i="8"/>
  <c r="AT99" i="8"/>
  <c r="Q99" i="8"/>
  <c r="AF99" i="8"/>
  <c r="AU99" i="8"/>
  <c r="H99" i="8"/>
  <c r="W99" i="8"/>
  <c r="AL99" i="8"/>
  <c r="K99" i="8"/>
  <c r="Z99" i="8"/>
  <c r="AO99" i="8"/>
  <c r="M99" i="8"/>
  <c r="AB99" i="8"/>
  <c r="AQ99" i="8"/>
  <c r="O99" i="8"/>
  <c r="AD99" i="8"/>
  <c r="AS99" i="8"/>
  <c r="R99" i="8"/>
  <c r="AG99" i="8"/>
  <c r="AV99" i="8"/>
  <c r="M99" i="7"/>
  <c r="AB99" i="7"/>
  <c r="AQ99" i="7"/>
  <c r="D87" i="8"/>
  <c r="S87" i="8"/>
  <c r="AH87" i="8"/>
  <c r="E75" i="8"/>
  <c r="T75" i="8"/>
  <c r="AI75" i="8"/>
  <c r="D70" i="9"/>
  <c r="S70" i="9"/>
  <c r="AH70" i="9"/>
  <c r="D47" i="7"/>
  <c r="S47" i="7"/>
  <c r="AH47" i="7"/>
  <c r="G44" i="9"/>
  <c r="V44" i="9"/>
  <c r="AK44" i="9"/>
  <c r="G40" i="10"/>
  <c r="V40" i="10"/>
  <c r="AK40" i="10"/>
  <c r="AH25" i="10"/>
  <c r="S25" i="10"/>
  <c r="D25" i="10"/>
  <c r="E27" i="9"/>
  <c r="T27" i="9"/>
  <c r="AI27" i="9"/>
  <c r="C26" i="9"/>
  <c r="U26" i="9" s="1"/>
  <c r="C33" i="8"/>
  <c r="F26" i="7"/>
  <c r="V25" i="7"/>
  <c r="AK25" i="7" s="1"/>
  <c r="AY25" i="7"/>
  <c r="AI25" i="7"/>
  <c r="F24" i="10"/>
  <c r="V33" i="8"/>
  <c r="AJ44" i="8" l="1"/>
  <c r="F44" i="8"/>
  <c r="U44" i="8"/>
  <c r="H101" i="10"/>
  <c r="W101" i="10"/>
  <c r="AL101" i="10"/>
  <c r="I101" i="10"/>
  <c r="X101" i="10"/>
  <c r="AM101" i="10"/>
  <c r="J101" i="10"/>
  <c r="Y101" i="10"/>
  <c r="AN101" i="10"/>
  <c r="K101" i="10"/>
  <c r="Z101" i="10"/>
  <c r="AO101" i="10"/>
  <c r="L101" i="10"/>
  <c r="AA101" i="10"/>
  <c r="AP101" i="10"/>
  <c r="M101" i="10"/>
  <c r="AB101" i="10"/>
  <c r="AQ101" i="10"/>
  <c r="N101" i="10"/>
  <c r="AC101" i="10"/>
  <c r="AR101" i="10"/>
  <c r="O101" i="10"/>
  <c r="AD101" i="10"/>
  <c r="AS101" i="10"/>
  <c r="P101" i="10"/>
  <c r="AE101" i="10"/>
  <c r="AT101" i="10"/>
  <c r="Q101" i="10"/>
  <c r="AF101" i="10"/>
  <c r="AU101" i="10"/>
  <c r="R101" i="10"/>
  <c r="AG101" i="10"/>
  <c r="AV101" i="10"/>
  <c r="H101" i="9"/>
  <c r="W101" i="9"/>
  <c r="AL101" i="9"/>
  <c r="I101" i="9"/>
  <c r="X101" i="9"/>
  <c r="AM101" i="9"/>
  <c r="J101" i="9"/>
  <c r="Y101" i="9"/>
  <c r="AN101" i="9"/>
  <c r="K101" i="9"/>
  <c r="Z101" i="9"/>
  <c r="AO101" i="9"/>
  <c r="L101" i="9"/>
  <c r="AA101" i="9"/>
  <c r="AP101" i="9"/>
  <c r="M101" i="9"/>
  <c r="AB101" i="9"/>
  <c r="AQ101" i="9"/>
  <c r="N101" i="9"/>
  <c r="AC101" i="9"/>
  <c r="AR101" i="9"/>
  <c r="O101" i="9"/>
  <c r="AD101" i="9"/>
  <c r="AS101" i="9"/>
  <c r="P101" i="9"/>
  <c r="AE101" i="9"/>
  <c r="AT101" i="9"/>
  <c r="Q101" i="9"/>
  <c r="AF101" i="9"/>
  <c r="AU101" i="9"/>
  <c r="R101" i="9"/>
  <c r="AG101" i="9"/>
  <c r="AV101" i="9"/>
  <c r="H100" i="7"/>
  <c r="W100" i="7"/>
  <c r="AL100" i="7"/>
  <c r="I100" i="7"/>
  <c r="X100" i="7"/>
  <c r="AM100" i="7"/>
  <c r="J100" i="7"/>
  <c r="Y100" i="7"/>
  <c r="AN100" i="7"/>
  <c r="K100" i="7"/>
  <c r="Z100" i="7"/>
  <c r="AO100" i="7"/>
  <c r="L100" i="7"/>
  <c r="AA100" i="7"/>
  <c r="AP100" i="7"/>
  <c r="N100" i="7"/>
  <c r="AC100" i="7"/>
  <c r="AR100" i="7"/>
  <c r="O100" i="7"/>
  <c r="AD100" i="7"/>
  <c r="AS100" i="7"/>
  <c r="P100" i="7"/>
  <c r="AE100" i="7"/>
  <c r="AT100" i="7"/>
  <c r="Q100" i="7"/>
  <c r="AF100" i="7"/>
  <c r="AU100" i="7"/>
  <c r="R100" i="7"/>
  <c r="AG100" i="7"/>
  <c r="AV100" i="7"/>
  <c r="I100" i="8"/>
  <c r="X100" i="8"/>
  <c r="AM100" i="8"/>
  <c r="J100" i="8"/>
  <c r="Y100" i="8"/>
  <c r="AN100" i="8"/>
  <c r="L100" i="8"/>
  <c r="AA100" i="8"/>
  <c r="AP100" i="8"/>
  <c r="N100" i="8"/>
  <c r="AC100" i="8"/>
  <c r="AR100" i="8"/>
  <c r="P100" i="8"/>
  <c r="AE100" i="8"/>
  <c r="AT100" i="8"/>
  <c r="Q100" i="8"/>
  <c r="AF100" i="8"/>
  <c r="AU100" i="8"/>
  <c r="H100" i="8"/>
  <c r="W100" i="8"/>
  <c r="AL100" i="8"/>
  <c r="K100" i="8"/>
  <c r="Z100" i="8"/>
  <c r="AO100" i="8"/>
  <c r="M100" i="8"/>
  <c r="AB100" i="8"/>
  <c r="AQ100" i="8"/>
  <c r="O100" i="8"/>
  <c r="AD100" i="8"/>
  <c r="AS100" i="8"/>
  <c r="R100" i="8"/>
  <c r="AG100" i="8"/>
  <c r="AV100" i="8"/>
  <c r="M100" i="7"/>
  <c r="AB100" i="7"/>
  <c r="AQ100" i="7"/>
  <c r="D88" i="8"/>
  <c r="S88" i="8"/>
  <c r="AH88" i="8"/>
  <c r="E76" i="8"/>
  <c r="T76" i="8"/>
  <c r="AI76" i="8"/>
  <c r="D71" i="9"/>
  <c r="S71" i="9"/>
  <c r="AH71" i="9"/>
  <c r="D48" i="7"/>
  <c r="S48" i="7"/>
  <c r="AH48" i="7"/>
  <c r="G45" i="9"/>
  <c r="V45" i="9"/>
  <c r="AK45" i="9"/>
  <c r="G41" i="10"/>
  <c r="V41" i="10"/>
  <c r="AK41" i="10"/>
  <c r="D26" i="10"/>
  <c r="S26" i="10"/>
  <c r="AH26" i="10"/>
  <c r="E28" i="9"/>
  <c r="T28" i="9"/>
  <c r="AI28" i="9"/>
  <c r="G26" i="7"/>
  <c r="AX26" i="7"/>
  <c r="AW25" i="7"/>
  <c r="E26" i="7"/>
  <c r="AJ26" i="9"/>
  <c r="AY26" i="9"/>
  <c r="C24" i="10"/>
  <c r="AK33" i="8"/>
  <c r="AY33" i="8"/>
  <c r="U45" i="8" l="1"/>
  <c r="AJ45" i="8"/>
  <c r="F45" i="8"/>
  <c r="H102" i="10"/>
  <c r="W102" i="10"/>
  <c r="AL102" i="10"/>
  <c r="I102" i="10"/>
  <c r="X102" i="10"/>
  <c r="AM102" i="10"/>
  <c r="J102" i="10"/>
  <c r="Y102" i="10"/>
  <c r="AN102" i="10"/>
  <c r="K102" i="10"/>
  <c r="Z102" i="10"/>
  <c r="AO102" i="10"/>
  <c r="L102" i="10"/>
  <c r="AA102" i="10"/>
  <c r="AP102" i="10"/>
  <c r="M102" i="10"/>
  <c r="AB102" i="10"/>
  <c r="AQ102" i="10"/>
  <c r="N102" i="10"/>
  <c r="AC102" i="10"/>
  <c r="AR102" i="10"/>
  <c r="O102" i="10"/>
  <c r="AD102" i="10"/>
  <c r="AS102" i="10"/>
  <c r="P102" i="10"/>
  <c r="AE102" i="10"/>
  <c r="AT102" i="10"/>
  <c r="Q102" i="10"/>
  <c r="AF102" i="10"/>
  <c r="AU102" i="10"/>
  <c r="R102" i="10"/>
  <c r="AG102" i="10"/>
  <c r="AV102" i="10"/>
  <c r="H102" i="9"/>
  <c r="W102" i="9"/>
  <c r="AL102" i="9"/>
  <c r="I102" i="9"/>
  <c r="X102" i="9"/>
  <c r="AM102" i="9"/>
  <c r="J102" i="9"/>
  <c r="Y102" i="9"/>
  <c r="AN102" i="9"/>
  <c r="K102" i="9"/>
  <c r="Z102" i="9"/>
  <c r="AO102" i="9"/>
  <c r="L102" i="9"/>
  <c r="AA102" i="9"/>
  <c r="AP102" i="9"/>
  <c r="M102" i="9"/>
  <c r="AB102" i="9"/>
  <c r="AQ102" i="9"/>
  <c r="N102" i="9"/>
  <c r="AC102" i="9"/>
  <c r="AR102" i="9"/>
  <c r="O102" i="9"/>
  <c r="AD102" i="9"/>
  <c r="AS102" i="9"/>
  <c r="P102" i="9"/>
  <c r="AE102" i="9"/>
  <c r="AT102" i="9"/>
  <c r="Q102" i="9"/>
  <c r="AF102" i="9"/>
  <c r="AU102" i="9"/>
  <c r="R102" i="9"/>
  <c r="AG102" i="9"/>
  <c r="AV102" i="9"/>
  <c r="H101" i="7"/>
  <c r="W101" i="7"/>
  <c r="AL101" i="7"/>
  <c r="I101" i="7"/>
  <c r="X101" i="7"/>
  <c r="AM101" i="7"/>
  <c r="J101" i="7"/>
  <c r="Y101" i="7"/>
  <c r="AN101" i="7"/>
  <c r="K101" i="7"/>
  <c r="Z101" i="7"/>
  <c r="AO101" i="7"/>
  <c r="L101" i="7"/>
  <c r="AA101" i="7"/>
  <c r="AP101" i="7"/>
  <c r="N101" i="7"/>
  <c r="AC101" i="7"/>
  <c r="AR101" i="7"/>
  <c r="O101" i="7"/>
  <c r="AD101" i="7"/>
  <c r="AS101" i="7"/>
  <c r="P101" i="7"/>
  <c r="AE101" i="7"/>
  <c r="AT101" i="7"/>
  <c r="Q101" i="7"/>
  <c r="AF101" i="7"/>
  <c r="AU101" i="7"/>
  <c r="R101" i="7"/>
  <c r="AG101" i="7"/>
  <c r="AV101" i="7"/>
  <c r="I101" i="8"/>
  <c r="X101" i="8"/>
  <c r="AM101" i="8"/>
  <c r="J101" i="8"/>
  <c r="Y101" i="8"/>
  <c r="AN101" i="8"/>
  <c r="L101" i="8"/>
  <c r="AA101" i="8"/>
  <c r="AP101" i="8"/>
  <c r="N101" i="8"/>
  <c r="AC101" i="8"/>
  <c r="AR101" i="8"/>
  <c r="P101" i="8"/>
  <c r="AE101" i="8"/>
  <c r="AT101" i="8"/>
  <c r="Q101" i="8"/>
  <c r="AF101" i="8"/>
  <c r="AU101" i="8"/>
  <c r="H101" i="8"/>
  <c r="W101" i="8"/>
  <c r="AL101" i="8"/>
  <c r="K101" i="8"/>
  <c r="Z101" i="8"/>
  <c r="AO101" i="8"/>
  <c r="M101" i="8"/>
  <c r="AB101" i="8"/>
  <c r="AQ101" i="8"/>
  <c r="O101" i="8"/>
  <c r="AD101" i="8"/>
  <c r="AS101" i="8"/>
  <c r="R101" i="8"/>
  <c r="AG101" i="8"/>
  <c r="AV101" i="8"/>
  <c r="M101" i="7"/>
  <c r="AB101" i="7"/>
  <c r="AQ101" i="7"/>
  <c r="AH89" i="8"/>
  <c r="D89" i="8"/>
  <c r="S89" i="8"/>
  <c r="E77" i="8"/>
  <c r="T77" i="8"/>
  <c r="AI77" i="8"/>
  <c r="D72" i="9"/>
  <c r="S72" i="9"/>
  <c r="AH72" i="9"/>
  <c r="D49" i="7"/>
  <c r="S49" i="7"/>
  <c r="AH49" i="7"/>
  <c r="G46" i="9"/>
  <c r="V46" i="9"/>
  <c r="AK46" i="9"/>
  <c r="G42" i="10"/>
  <c r="V42" i="10"/>
  <c r="AK42" i="10"/>
  <c r="D27" i="10"/>
  <c r="S27" i="10"/>
  <c r="AH27" i="10"/>
  <c r="E29" i="9"/>
  <c r="T29" i="9"/>
  <c r="AI29" i="9"/>
  <c r="C26" i="7"/>
  <c r="T26" i="7" s="1"/>
  <c r="AI26" i="7" s="1"/>
  <c r="F27" i="9"/>
  <c r="AX27" i="9"/>
  <c r="AW26" i="9"/>
  <c r="T24" i="10"/>
  <c r="U24" i="10" s="1"/>
  <c r="AJ24" i="10" s="1"/>
  <c r="AW33" i="8"/>
  <c r="W14" i="2" s="1"/>
  <c r="AX34" i="8"/>
  <c r="G34" i="8"/>
  <c r="AJ46" i="8" l="1"/>
  <c r="U46" i="8"/>
  <c r="F46" i="8"/>
  <c r="H103" i="10"/>
  <c r="W103" i="10"/>
  <c r="AL103" i="10"/>
  <c r="I103" i="10"/>
  <c r="X103" i="10"/>
  <c r="AM103" i="10"/>
  <c r="J103" i="10"/>
  <c r="Y103" i="10"/>
  <c r="AN103" i="10"/>
  <c r="K103" i="10"/>
  <c r="Z103" i="10"/>
  <c r="AO103" i="10"/>
  <c r="L103" i="10"/>
  <c r="AA103" i="10"/>
  <c r="AP103" i="10"/>
  <c r="M103" i="10"/>
  <c r="AB103" i="10"/>
  <c r="AQ103" i="10"/>
  <c r="N103" i="10"/>
  <c r="AC103" i="10"/>
  <c r="AR103" i="10"/>
  <c r="O103" i="10"/>
  <c r="AD103" i="10"/>
  <c r="AS103" i="10"/>
  <c r="P103" i="10"/>
  <c r="AE103" i="10"/>
  <c r="AT103" i="10"/>
  <c r="Q103" i="10"/>
  <c r="AF103" i="10"/>
  <c r="AU103" i="10"/>
  <c r="R103" i="10"/>
  <c r="AG103" i="10"/>
  <c r="AV103" i="10"/>
  <c r="H103" i="9"/>
  <c r="W103" i="9"/>
  <c r="AL103" i="9"/>
  <c r="I103" i="9"/>
  <c r="X103" i="9"/>
  <c r="AM103" i="9"/>
  <c r="J103" i="9"/>
  <c r="Y103" i="9"/>
  <c r="AN103" i="9"/>
  <c r="K103" i="9"/>
  <c r="Z103" i="9"/>
  <c r="AO103" i="9"/>
  <c r="L103" i="9"/>
  <c r="AA103" i="9"/>
  <c r="AP103" i="9"/>
  <c r="M103" i="9"/>
  <c r="AB103" i="9"/>
  <c r="AQ103" i="9"/>
  <c r="N103" i="9"/>
  <c r="AC103" i="9"/>
  <c r="AR103" i="9"/>
  <c r="O103" i="9"/>
  <c r="AD103" i="9"/>
  <c r="AS103" i="9"/>
  <c r="P103" i="9"/>
  <c r="AE103" i="9"/>
  <c r="AT103" i="9"/>
  <c r="Q103" i="9"/>
  <c r="AF103" i="9"/>
  <c r="AU103" i="9"/>
  <c r="R103" i="9"/>
  <c r="AG103" i="9"/>
  <c r="AV103" i="9"/>
  <c r="H102" i="7"/>
  <c r="W102" i="7"/>
  <c r="AL102" i="7"/>
  <c r="I102" i="7"/>
  <c r="X102" i="7"/>
  <c r="AM102" i="7"/>
  <c r="J102" i="7"/>
  <c r="Y102" i="7"/>
  <c r="AN102" i="7"/>
  <c r="K102" i="7"/>
  <c r="Z102" i="7"/>
  <c r="AO102" i="7"/>
  <c r="L102" i="7"/>
  <c r="AA102" i="7"/>
  <c r="AP102" i="7"/>
  <c r="N102" i="7"/>
  <c r="AC102" i="7"/>
  <c r="AR102" i="7"/>
  <c r="O102" i="7"/>
  <c r="AD102" i="7"/>
  <c r="AS102" i="7"/>
  <c r="P102" i="7"/>
  <c r="AE102" i="7"/>
  <c r="AT102" i="7"/>
  <c r="Q102" i="7"/>
  <c r="AF102" i="7"/>
  <c r="AU102" i="7"/>
  <c r="R102" i="7"/>
  <c r="AG102" i="7"/>
  <c r="AV102" i="7"/>
  <c r="I102" i="8"/>
  <c r="X102" i="8"/>
  <c r="AM102" i="8"/>
  <c r="J102" i="8"/>
  <c r="Y102" i="8"/>
  <c r="AN102" i="8"/>
  <c r="L102" i="8"/>
  <c r="AA102" i="8"/>
  <c r="AP102" i="8"/>
  <c r="N102" i="8"/>
  <c r="AC102" i="8"/>
  <c r="AR102" i="8"/>
  <c r="P102" i="8"/>
  <c r="AE102" i="8"/>
  <c r="AT102" i="8"/>
  <c r="Q102" i="8"/>
  <c r="AF102" i="8"/>
  <c r="AU102" i="8"/>
  <c r="H102" i="8"/>
  <c r="W102" i="8"/>
  <c r="AL102" i="8"/>
  <c r="K102" i="8"/>
  <c r="Z102" i="8"/>
  <c r="AO102" i="8"/>
  <c r="M102" i="8"/>
  <c r="AB102" i="8"/>
  <c r="AQ102" i="8"/>
  <c r="O102" i="8"/>
  <c r="AD102" i="8"/>
  <c r="AS102" i="8"/>
  <c r="R102" i="8"/>
  <c r="AG102" i="8"/>
  <c r="AV102" i="8"/>
  <c r="M102" i="7"/>
  <c r="AB102" i="7"/>
  <c r="AQ102" i="7"/>
  <c r="D90" i="8"/>
  <c r="S90" i="8"/>
  <c r="AH90" i="8"/>
  <c r="T78" i="8"/>
  <c r="AI78" i="8"/>
  <c r="E78" i="8"/>
  <c r="D73" i="9"/>
  <c r="S73" i="9"/>
  <c r="AH73" i="9"/>
  <c r="D50" i="7"/>
  <c r="S50" i="7"/>
  <c r="AH50" i="7"/>
  <c r="G47" i="9"/>
  <c r="V47" i="9"/>
  <c r="AK47" i="9"/>
  <c r="G43" i="10"/>
  <c r="V43" i="10"/>
  <c r="AK43" i="10"/>
  <c r="D28" i="10"/>
  <c r="S28" i="10"/>
  <c r="AH28" i="10"/>
  <c r="E30" i="9"/>
  <c r="T30" i="9"/>
  <c r="AI30" i="9"/>
  <c r="C27" i="9"/>
  <c r="U27" i="9" s="1"/>
  <c r="AY24" i="10"/>
  <c r="AI24" i="10"/>
  <c r="C34" i="8"/>
  <c r="V34" i="8" s="1"/>
  <c r="E27" i="7"/>
  <c r="U26" i="7"/>
  <c r="F25" i="10"/>
  <c r="F47" i="8" l="1"/>
  <c r="U47" i="8"/>
  <c r="AJ47" i="8"/>
  <c r="H104" i="10"/>
  <c r="W104" i="10"/>
  <c r="AL104" i="10"/>
  <c r="I104" i="10"/>
  <c r="X104" i="10"/>
  <c r="AM104" i="10"/>
  <c r="J104" i="10"/>
  <c r="Y104" i="10"/>
  <c r="AN104" i="10"/>
  <c r="K104" i="10"/>
  <c r="Z104" i="10"/>
  <c r="AO104" i="10"/>
  <c r="L104" i="10"/>
  <c r="AA104" i="10"/>
  <c r="AP104" i="10"/>
  <c r="M104" i="10"/>
  <c r="AB104" i="10"/>
  <c r="AQ104" i="10"/>
  <c r="N104" i="10"/>
  <c r="AC104" i="10"/>
  <c r="AR104" i="10"/>
  <c r="O104" i="10"/>
  <c r="AD104" i="10"/>
  <c r="AS104" i="10"/>
  <c r="P104" i="10"/>
  <c r="AE104" i="10"/>
  <c r="AT104" i="10"/>
  <c r="Q104" i="10"/>
  <c r="AF104" i="10"/>
  <c r="AU104" i="10"/>
  <c r="R104" i="10"/>
  <c r="AG104" i="10"/>
  <c r="AV104" i="10"/>
  <c r="H104" i="9"/>
  <c r="W104" i="9"/>
  <c r="AL104" i="9"/>
  <c r="I104" i="9"/>
  <c r="X104" i="9"/>
  <c r="AM104" i="9"/>
  <c r="J104" i="9"/>
  <c r="Y104" i="9"/>
  <c r="AN104" i="9"/>
  <c r="K104" i="9"/>
  <c r="Z104" i="9"/>
  <c r="AO104" i="9"/>
  <c r="L104" i="9"/>
  <c r="AA104" i="9"/>
  <c r="AP104" i="9"/>
  <c r="M104" i="9"/>
  <c r="AB104" i="9"/>
  <c r="AQ104" i="9"/>
  <c r="N104" i="9"/>
  <c r="AC104" i="9"/>
  <c r="AR104" i="9"/>
  <c r="O104" i="9"/>
  <c r="AD104" i="9"/>
  <c r="AS104" i="9"/>
  <c r="P104" i="9"/>
  <c r="AE104" i="9"/>
  <c r="AT104" i="9"/>
  <c r="Q104" i="9"/>
  <c r="AF104" i="9"/>
  <c r="AU104" i="9"/>
  <c r="R104" i="9"/>
  <c r="AG104" i="9"/>
  <c r="AV104" i="9"/>
  <c r="H103" i="7"/>
  <c r="W103" i="7"/>
  <c r="AL103" i="7"/>
  <c r="I103" i="7"/>
  <c r="X103" i="7"/>
  <c r="AM103" i="7"/>
  <c r="J103" i="7"/>
  <c r="Y103" i="7"/>
  <c r="AN103" i="7"/>
  <c r="K103" i="7"/>
  <c r="Z103" i="7"/>
  <c r="AO103" i="7"/>
  <c r="L103" i="7"/>
  <c r="AA103" i="7"/>
  <c r="AP103" i="7"/>
  <c r="N103" i="7"/>
  <c r="AC103" i="7"/>
  <c r="AR103" i="7"/>
  <c r="O103" i="7"/>
  <c r="AD103" i="7"/>
  <c r="AS103" i="7"/>
  <c r="P103" i="7"/>
  <c r="AE103" i="7"/>
  <c r="AT103" i="7"/>
  <c r="Q103" i="7"/>
  <c r="AF103" i="7"/>
  <c r="AU103" i="7"/>
  <c r="R103" i="7"/>
  <c r="AG103" i="7"/>
  <c r="AV103" i="7"/>
  <c r="I103" i="8"/>
  <c r="X103" i="8"/>
  <c r="AM103" i="8"/>
  <c r="J103" i="8"/>
  <c r="Y103" i="8"/>
  <c r="AN103" i="8"/>
  <c r="L103" i="8"/>
  <c r="AA103" i="8"/>
  <c r="AP103" i="8"/>
  <c r="N103" i="8"/>
  <c r="AC103" i="8"/>
  <c r="AR103" i="8"/>
  <c r="P103" i="8"/>
  <c r="AE103" i="8"/>
  <c r="AT103" i="8"/>
  <c r="Q103" i="8"/>
  <c r="AF103" i="8"/>
  <c r="AU103" i="8"/>
  <c r="H103" i="8"/>
  <c r="W103" i="8"/>
  <c r="AL103" i="8"/>
  <c r="K103" i="8"/>
  <c r="Z103" i="8"/>
  <c r="AO103" i="8"/>
  <c r="M103" i="8"/>
  <c r="AB103" i="8"/>
  <c r="AQ103" i="8"/>
  <c r="O103" i="8"/>
  <c r="AD103" i="8"/>
  <c r="AS103" i="8"/>
  <c r="R103" i="8"/>
  <c r="AG103" i="8"/>
  <c r="AV103" i="8"/>
  <c r="M103" i="7"/>
  <c r="AB103" i="7"/>
  <c r="AQ103" i="7"/>
  <c r="D91" i="8"/>
  <c r="S91" i="8"/>
  <c r="AH91" i="8"/>
  <c r="E79" i="8"/>
  <c r="T79" i="8"/>
  <c r="AI79" i="8"/>
  <c r="D74" i="9"/>
  <c r="S74" i="9"/>
  <c r="AH74" i="9"/>
  <c r="D51" i="7"/>
  <c r="S51" i="7"/>
  <c r="AH51" i="7"/>
  <c r="G48" i="9"/>
  <c r="V48" i="9"/>
  <c r="AK48" i="9"/>
  <c r="G44" i="10"/>
  <c r="V44" i="10"/>
  <c r="AK44" i="10"/>
  <c r="D29" i="10"/>
  <c r="S29" i="10"/>
  <c r="AH29" i="10"/>
  <c r="E31" i="9"/>
  <c r="T31" i="9"/>
  <c r="AI31" i="9"/>
  <c r="AW24" i="10"/>
  <c r="AX25" i="10"/>
  <c r="E25" i="10"/>
  <c r="AY27" i="9"/>
  <c r="AJ27" i="9"/>
  <c r="AY34" i="8"/>
  <c r="AK34" i="8"/>
  <c r="AJ26" i="7"/>
  <c r="V26" i="7"/>
  <c r="F48" i="8" l="1"/>
  <c r="AJ48" i="8"/>
  <c r="U48" i="8"/>
  <c r="H105" i="10"/>
  <c r="W105" i="10"/>
  <c r="AL105" i="10"/>
  <c r="I105" i="10"/>
  <c r="X105" i="10"/>
  <c r="AM105" i="10"/>
  <c r="J105" i="10"/>
  <c r="Y105" i="10"/>
  <c r="AN105" i="10"/>
  <c r="K105" i="10"/>
  <c r="Z105" i="10"/>
  <c r="AO105" i="10"/>
  <c r="L105" i="10"/>
  <c r="AA105" i="10"/>
  <c r="AP105" i="10"/>
  <c r="M105" i="10"/>
  <c r="AB105" i="10"/>
  <c r="AQ105" i="10"/>
  <c r="N105" i="10"/>
  <c r="AC105" i="10"/>
  <c r="AR105" i="10"/>
  <c r="O105" i="10"/>
  <c r="AD105" i="10"/>
  <c r="AS105" i="10"/>
  <c r="P105" i="10"/>
  <c r="AE105" i="10"/>
  <c r="AT105" i="10"/>
  <c r="Q105" i="10"/>
  <c r="AF105" i="10"/>
  <c r="AU105" i="10"/>
  <c r="R105" i="10"/>
  <c r="AG105" i="10"/>
  <c r="AV105" i="10"/>
  <c r="H105" i="9"/>
  <c r="W105" i="9"/>
  <c r="AL105" i="9"/>
  <c r="I105" i="9"/>
  <c r="X105" i="9"/>
  <c r="AM105" i="9"/>
  <c r="J105" i="9"/>
  <c r="Y105" i="9"/>
  <c r="AN105" i="9"/>
  <c r="K105" i="9"/>
  <c r="Z105" i="9"/>
  <c r="AO105" i="9"/>
  <c r="L105" i="9"/>
  <c r="AA105" i="9"/>
  <c r="AP105" i="9"/>
  <c r="M105" i="9"/>
  <c r="AB105" i="9"/>
  <c r="AQ105" i="9"/>
  <c r="N105" i="9"/>
  <c r="AC105" i="9"/>
  <c r="AR105" i="9"/>
  <c r="O105" i="9"/>
  <c r="AD105" i="9"/>
  <c r="AS105" i="9"/>
  <c r="P105" i="9"/>
  <c r="AE105" i="9"/>
  <c r="AT105" i="9"/>
  <c r="Q105" i="9"/>
  <c r="AF105" i="9"/>
  <c r="AU105" i="9"/>
  <c r="R105" i="9"/>
  <c r="AG105" i="9"/>
  <c r="AV105" i="9"/>
  <c r="H104" i="7"/>
  <c r="W104" i="7"/>
  <c r="AL104" i="7"/>
  <c r="I104" i="7"/>
  <c r="X104" i="7"/>
  <c r="AM104" i="7"/>
  <c r="J104" i="7"/>
  <c r="Y104" i="7"/>
  <c r="AN104" i="7"/>
  <c r="K104" i="7"/>
  <c r="Z104" i="7"/>
  <c r="AO104" i="7"/>
  <c r="L104" i="7"/>
  <c r="AA104" i="7"/>
  <c r="AP104" i="7"/>
  <c r="N104" i="7"/>
  <c r="AC104" i="7"/>
  <c r="AR104" i="7"/>
  <c r="O104" i="7"/>
  <c r="AD104" i="7"/>
  <c r="AS104" i="7"/>
  <c r="P104" i="7"/>
  <c r="AE104" i="7"/>
  <c r="AT104" i="7"/>
  <c r="Q104" i="7"/>
  <c r="AF104" i="7"/>
  <c r="AU104" i="7"/>
  <c r="R104" i="7"/>
  <c r="AG104" i="7"/>
  <c r="AV104" i="7"/>
  <c r="I104" i="8"/>
  <c r="X104" i="8"/>
  <c r="AM104" i="8"/>
  <c r="J104" i="8"/>
  <c r="Y104" i="8"/>
  <c r="AN104" i="8"/>
  <c r="L104" i="8"/>
  <c r="AA104" i="8"/>
  <c r="AP104" i="8"/>
  <c r="N104" i="8"/>
  <c r="AC104" i="8"/>
  <c r="AR104" i="8"/>
  <c r="P104" i="8"/>
  <c r="AE104" i="8"/>
  <c r="AT104" i="8"/>
  <c r="Q104" i="8"/>
  <c r="AF104" i="8"/>
  <c r="AU104" i="8"/>
  <c r="H104" i="8"/>
  <c r="W104" i="8"/>
  <c r="AL104" i="8"/>
  <c r="K104" i="8"/>
  <c r="Z104" i="8"/>
  <c r="AO104" i="8"/>
  <c r="M104" i="8"/>
  <c r="AB104" i="8"/>
  <c r="AQ104" i="8"/>
  <c r="O104" i="8"/>
  <c r="AD104" i="8"/>
  <c r="AS104" i="8"/>
  <c r="R104" i="8"/>
  <c r="AG104" i="8"/>
  <c r="AV104" i="8"/>
  <c r="M104" i="7"/>
  <c r="AB104" i="7"/>
  <c r="AQ104" i="7"/>
  <c r="AH92" i="8"/>
  <c r="D92" i="8"/>
  <c r="S92" i="8"/>
  <c r="AI80" i="8"/>
  <c r="E80" i="8"/>
  <c r="T80" i="8"/>
  <c r="D75" i="9"/>
  <c r="S75" i="9"/>
  <c r="AH75" i="9"/>
  <c r="D52" i="7"/>
  <c r="S52" i="7"/>
  <c r="AH52" i="7"/>
  <c r="G49" i="9"/>
  <c r="V49" i="9"/>
  <c r="AK49" i="9"/>
  <c r="G45" i="10"/>
  <c r="V45" i="10"/>
  <c r="AK45" i="10"/>
  <c r="D30" i="10"/>
  <c r="S30" i="10"/>
  <c r="AH30" i="10"/>
  <c r="E32" i="9"/>
  <c r="T32" i="9"/>
  <c r="AI32" i="9"/>
  <c r="C25" i="10"/>
  <c r="AX28" i="9"/>
  <c r="AW27" i="9"/>
  <c r="F28" i="9"/>
  <c r="AX35" i="8"/>
  <c r="AW34" i="8"/>
  <c r="G35" i="8"/>
  <c r="V35" i="8"/>
  <c r="AK35" i="8"/>
  <c r="F27" i="7"/>
  <c r="T25" i="10"/>
  <c r="AK26" i="7"/>
  <c r="AY26" i="7"/>
  <c r="AJ49" i="8" l="1"/>
  <c r="U49" i="8"/>
  <c r="F49" i="8"/>
  <c r="AW26" i="7"/>
  <c r="AX27" i="7"/>
  <c r="H106" i="10"/>
  <c r="W106" i="10"/>
  <c r="AL106" i="10"/>
  <c r="I106" i="10"/>
  <c r="X106" i="10"/>
  <c r="AM106" i="10"/>
  <c r="J106" i="10"/>
  <c r="Y106" i="10"/>
  <c r="AN106" i="10"/>
  <c r="K106" i="10"/>
  <c r="Z106" i="10"/>
  <c r="AO106" i="10"/>
  <c r="L106" i="10"/>
  <c r="AA106" i="10"/>
  <c r="AP106" i="10"/>
  <c r="M106" i="10"/>
  <c r="AB106" i="10"/>
  <c r="AQ106" i="10"/>
  <c r="N106" i="10"/>
  <c r="AC106" i="10"/>
  <c r="AR106" i="10"/>
  <c r="O106" i="10"/>
  <c r="AD106" i="10"/>
  <c r="AS106" i="10"/>
  <c r="P106" i="10"/>
  <c r="AE106" i="10"/>
  <c r="AT106" i="10"/>
  <c r="Q106" i="10"/>
  <c r="AF106" i="10"/>
  <c r="AU106" i="10"/>
  <c r="R106" i="10"/>
  <c r="AG106" i="10"/>
  <c r="AV106" i="10"/>
  <c r="H106" i="9"/>
  <c r="W106" i="9"/>
  <c r="AL106" i="9"/>
  <c r="I106" i="9"/>
  <c r="X106" i="9"/>
  <c r="AM106" i="9"/>
  <c r="J106" i="9"/>
  <c r="Y106" i="9"/>
  <c r="AN106" i="9"/>
  <c r="K106" i="9"/>
  <c r="Z106" i="9"/>
  <c r="AO106" i="9"/>
  <c r="L106" i="9"/>
  <c r="AA106" i="9"/>
  <c r="AP106" i="9"/>
  <c r="M106" i="9"/>
  <c r="AB106" i="9"/>
  <c r="AQ106" i="9"/>
  <c r="N106" i="9"/>
  <c r="AC106" i="9"/>
  <c r="AR106" i="9"/>
  <c r="O106" i="9"/>
  <c r="AD106" i="9"/>
  <c r="AS106" i="9"/>
  <c r="P106" i="9"/>
  <c r="AE106" i="9"/>
  <c r="AT106" i="9"/>
  <c r="Q106" i="9"/>
  <c r="AF106" i="9"/>
  <c r="AU106" i="9"/>
  <c r="R106" i="9"/>
  <c r="AG106" i="9"/>
  <c r="AV106" i="9"/>
  <c r="H105" i="7"/>
  <c r="W105" i="7"/>
  <c r="AL105" i="7"/>
  <c r="I105" i="7"/>
  <c r="X105" i="7"/>
  <c r="AM105" i="7"/>
  <c r="J105" i="7"/>
  <c r="Y105" i="7"/>
  <c r="AN105" i="7"/>
  <c r="K105" i="7"/>
  <c r="Z105" i="7"/>
  <c r="AO105" i="7"/>
  <c r="L105" i="7"/>
  <c r="AA105" i="7"/>
  <c r="AP105" i="7"/>
  <c r="N105" i="7"/>
  <c r="AC105" i="7"/>
  <c r="AR105" i="7"/>
  <c r="O105" i="7"/>
  <c r="AD105" i="7"/>
  <c r="AS105" i="7"/>
  <c r="P105" i="7"/>
  <c r="AE105" i="7"/>
  <c r="AT105" i="7"/>
  <c r="Q105" i="7"/>
  <c r="AF105" i="7"/>
  <c r="AU105" i="7"/>
  <c r="R105" i="7"/>
  <c r="AG105" i="7"/>
  <c r="AV105" i="7"/>
  <c r="I105" i="8"/>
  <c r="X105" i="8"/>
  <c r="AM105" i="8"/>
  <c r="J105" i="8"/>
  <c r="Y105" i="8"/>
  <c r="AN105" i="8"/>
  <c r="L105" i="8"/>
  <c r="AA105" i="8"/>
  <c r="AP105" i="8"/>
  <c r="N105" i="8"/>
  <c r="AC105" i="8"/>
  <c r="AR105" i="8"/>
  <c r="P105" i="8"/>
  <c r="AE105" i="8"/>
  <c r="AT105" i="8"/>
  <c r="Q105" i="8"/>
  <c r="AF105" i="8"/>
  <c r="AU105" i="8"/>
  <c r="H105" i="8"/>
  <c r="W105" i="8"/>
  <c r="AL105" i="8"/>
  <c r="K105" i="8"/>
  <c r="Z105" i="8"/>
  <c r="AO105" i="8"/>
  <c r="M105" i="8"/>
  <c r="AB105" i="8"/>
  <c r="AQ105" i="8"/>
  <c r="O105" i="8"/>
  <c r="AD105" i="8"/>
  <c r="AS105" i="8"/>
  <c r="R105" i="8"/>
  <c r="AG105" i="8"/>
  <c r="AV105" i="8"/>
  <c r="M105" i="7"/>
  <c r="AB105" i="7"/>
  <c r="AQ105" i="7"/>
  <c r="D93" i="8"/>
  <c r="AH93" i="8"/>
  <c r="S93" i="8"/>
  <c r="AI81" i="8"/>
  <c r="E81" i="8"/>
  <c r="T81" i="8"/>
  <c r="D76" i="9"/>
  <c r="S76" i="9"/>
  <c r="AH76" i="9"/>
  <c r="D53" i="7"/>
  <c r="S53" i="7"/>
  <c r="AH53" i="7"/>
  <c r="V50" i="9"/>
  <c r="G50" i="9"/>
  <c r="AK50" i="9"/>
  <c r="G46" i="10"/>
  <c r="V46" i="10"/>
  <c r="AK46" i="10"/>
  <c r="D31" i="10"/>
  <c r="S31" i="10"/>
  <c r="AH31" i="10"/>
  <c r="E33" i="9"/>
  <c r="T33" i="9"/>
  <c r="AI33" i="9"/>
  <c r="C28" i="9"/>
  <c r="AY35" i="8"/>
  <c r="C35" i="8"/>
  <c r="AX36" i="8"/>
  <c r="AW35" i="8"/>
  <c r="G36" i="8"/>
  <c r="V36" i="8"/>
  <c r="AK36" i="8"/>
  <c r="G27" i="7"/>
  <c r="U25" i="10"/>
  <c r="U28" i="9"/>
  <c r="AI25" i="10"/>
  <c r="F50" i="8" l="1"/>
  <c r="AJ50" i="8"/>
  <c r="U50" i="8"/>
  <c r="H107" i="10"/>
  <c r="W107" i="10"/>
  <c r="AL107" i="10"/>
  <c r="I107" i="10"/>
  <c r="X107" i="10"/>
  <c r="AM107" i="10"/>
  <c r="J107" i="10"/>
  <c r="Y107" i="10"/>
  <c r="AN107" i="10"/>
  <c r="K107" i="10"/>
  <c r="Z107" i="10"/>
  <c r="AO107" i="10"/>
  <c r="L107" i="10"/>
  <c r="AA107" i="10"/>
  <c r="AP107" i="10"/>
  <c r="M107" i="10"/>
  <c r="AB107" i="10"/>
  <c r="AQ107" i="10"/>
  <c r="N107" i="10"/>
  <c r="AC107" i="10"/>
  <c r="AR107" i="10"/>
  <c r="O107" i="10"/>
  <c r="AD107" i="10"/>
  <c r="AS107" i="10"/>
  <c r="P107" i="10"/>
  <c r="AE107" i="10"/>
  <c r="AT107" i="10"/>
  <c r="Q107" i="10"/>
  <c r="AF107" i="10"/>
  <c r="AU107" i="10"/>
  <c r="R107" i="10"/>
  <c r="AG107" i="10"/>
  <c r="AV107" i="10"/>
  <c r="H107" i="9"/>
  <c r="W107" i="9"/>
  <c r="AL107" i="9"/>
  <c r="I107" i="9"/>
  <c r="X107" i="9"/>
  <c r="AM107" i="9"/>
  <c r="J107" i="9"/>
  <c r="Y107" i="9"/>
  <c r="AN107" i="9"/>
  <c r="K107" i="9"/>
  <c r="Z107" i="9"/>
  <c r="AO107" i="9"/>
  <c r="L107" i="9"/>
  <c r="AA107" i="9"/>
  <c r="AP107" i="9"/>
  <c r="M107" i="9"/>
  <c r="AB107" i="9"/>
  <c r="AQ107" i="9"/>
  <c r="N107" i="9"/>
  <c r="AC107" i="9"/>
  <c r="AR107" i="9"/>
  <c r="O107" i="9"/>
  <c r="AD107" i="9"/>
  <c r="AS107" i="9"/>
  <c r="P107" i="9"/>
  <c r="AE107" i="9"/>
  <c r="AT107" i="9"/>
  <c r="Q107" i="9"/>
  <c r="AF107" i="9"/>
  <c r="AU107" i="9"/>
  <c r="R107" i="9"/>
  <c r="AG107" i="9"/>
  <c r="AV107" i="9"/>
  <c r="H106" i="7"/>
  <c r="W106" i="7"/>
  <c r="AL106" i="7"/>
  <c r="I106" i="7"/>
  <c r="X106" i="7"/>
  <c r="AM106" i="7"/>
  <c r="J106" i="7"/>
  <c r="Y106" i="7"/>
  <c r="AN106" i="7"/>
  <c r="K106" i="7"/>
  <c r="Z106" i="7"/>
  <c r="AO106" i="7"/>
  <c r="L106" i="7"/>
  <c r="AA106" i="7"/>
  <c r="AP106" i="7"/>
  <c r="N106" i="7"/>
  <c r="AC106" i="7"/>
  <c r="AR106" i="7"/>
  <c r="O106" i="7"/>
  <c r="AD106" i="7"/>
  <c r="AS106" i="7"/>
  <c r="P106" i="7"/>
  <c r="AE106" i="7"/>
  <c r="AT106" i="7"/>
  <c r="Q106" i="7"/>
  <c r="AF106" i="7"/>
  <c r="AU106" i="7"/>
  <c r="R106" i="7"/>
  <c r="AG106" i="7"/>
  <c r="AV106" i="7"/>
  <c r="I106" i="8"/>
  <c r="X106" i="8"/>
  <c r="AM106" i="8"/>
  <c r="J106" i="8"/>
  <c r="Y106" i="8"/>
  <c r="AN106" i="8"/>
  <c r="L106" i="8"/>
  <c r="AA106" i="8"/>
  <c r="AP106" i="8"/>
  <c r="N106" i="8"/>
  <c r="AC106" i="8"/>
  <c r="AR106" i="8"/>
  <c r="P106" i="8"/>
  <c r="AE106" i="8"/>
  <c r="AT106" i="8"/>
  <c r="Q106" i="8"/>
  <c r="AF106" i="8"/>
  <c r="AU106" i="8"/>
  <c r="H106" i="8"/>
  <c r="W106" i="8"/>
  <c r="AL106" i="8"/>
  <c r="K106" i="8"/>
  <c r="Z106" i="8"/>
  <c r="AO106" i="8"/>
  <c r="M106" i="8"/>
  <c r="AB106" i="8"/>
  <c r="AQ106" i="8"/>
  <c r="O106" i="8"/>
  <c r="AD106" i="8"/>
  <c r="AS106" i="8"/>
  <c r="R106" i="8"/>
  <c r="AG106" i="8"/>
  <c r="AV106" i="8"/>
  <c r="M106" i="7"/>
  <c r="AB106" i="7"/>
  <c r="AQ106" i="7"/>
  <c r="S94" i="8"/>
  <c r="D94" i="8"/>
  <c r="AH94" i="8"/>
  <c r="T82" i="8"/>
  <c r="E82" i="8"/>
  <c r="AI82" i="8"/>
  <c r="D77" i="9"/>
  <c r="S77" i="9"/>
  <c r="AH77" i="9"/>
  <c r="D54" i="7"/>
  <c r="S54" i="7"/>
  <c r="AH54" i="7"/>
  <c r="G51" i="9"/>
  <c r="V51" i="9"/>
  <c r="AK51" i="9"/>
  <c r="AK47" i="10"/>
  <c r="G47" i="10"/>
  <c r="V47" i="10"/>
  <c r="D32" i="10"/>
  <c r="S32" i="10"/>
  <c r="AH32" i="10"/>
  <c r="E34" i="9"/>
  <c r="T34" i="9"/>
  <c r="AI34" i="9"/>
  <c r="C36" i="8"/>
  <c r="AY36" i="8"/>
  <c r="AW36" i="8"/>
  <c r="W15" i="2" s="1"/>
  <c r="AX37" i="8"/>
  <c r="G37" i="8"/>
  <c r="V37" i="8"/>
  <c r="AK37" i="8"/>
  <c r="AI26" i="10"/>
  <c r="T26" i="10"/>
  <c r="E26" i="10"/>
  <c r="C27" i="7"/>
  <c r="AJ25" i="10"/>
  <c r="AY25" i="10"/>
  <c r="AJ28" i="9"/>
  <c r="AY28" i="9"/>
  <c r="AJ51" i="8" l="1"/>
  <c r="U51" i="8"/>
  <c r="F51" i="8"/>
  <c r="AW25" i="10"/>
  <c r="AX26" i="10"/>
  <c r="H108" i="10"/>
  <c r="W108" i="10"/>
  <c r="AL108" i="10"/>
  <c r="I108" i="10"/>
  <c r="X108" i="10"/>
  <c r="AM108" i="10"/>
  <c r="J108" i="10"/>
  <c r="Y108" i="10"/>
  <c r="AN108" i="10"/>
  <c r="K108" i="10"/>
  <c r="Z108" i="10"/>
  <c r="AO108" i="10"/>
  <c r="L108" i="10"/>
  <c r="AA108" i="10"/>
  <c r="AP108" i="10"/>
  <c r="M108" i="10"/>
  <c r="AB108" i="10"/>
  <c r="AQ108" i="10"/>
  <c r="N108" i="10"/>
  <c r="AC108" i="10"/>
  <c r="AR108" i="10"/>
  <c r="O108" i="10"/>
  <c r="AD108" i="10"/>
  <c r="AS108" i="10"/>
  <c r="P108" i="10"/>
  <c r="AE108" i="10"/>
  <c r="AT108" i="10"/>
  <c r="Q108" i="10"/>
  <c r="AF108" i="10"/>
  <c r="AU108" i="10"/>
  <c r="R108" i="10"/>
  <c r="AG108" i="10"/>
  <c r="AV108" i="10"/>
  <c r="H108" i="9"/>
  <c r="W108" i="9"/>
  <c r="AL108" i="9"/>
  <c r="I108" i="9"/>
  <c r="X108" i="9"/>
  <c r="AM108" i="9"/>
  <c r="J108" i="9"/>
  <c r="Y108" i="9"/>
  <c r="AN108" i="9"/>
  <c r="K108" i="9"/>
  <c r="Z108" i="9"/>
  <c r="AO108" i="9"/>
  <c r="L108" i="9"/>
  <c r="AA108" i="9"/>
  <c r="AP108" i="9"/>
  <c r="M108" i="9"/>
  <c r="AB108" i="9"/>
  <c r="AQ108" i="9"/>
  <c r="N108" i="9"/>
  <c r="AC108" i="9"/>
  <c r="AR108" i="9"/>
  <c r="O108" i="9"/>
  <c r="AD108" i="9"/>
  <c r="AS108" i="9"/>
  <c r="P108" i="9"/>
  <c r="AE108" i="9"/>
  <c r="AT108" i="9"/>
  <c r="Q108" i="9"/>
  <c r="AF108" i="9"/>
  <c r="AU108" i="9"/>
  <c r="R108" i="9"/>
  <c r="AG108" i="9"/>
  <c r="AV108" i="9"/>
  <c r="H107" i="7"/>
  <c r="W107" i="7"/>
  <c r="AL107" i="7"/>
  <c r="I107" i="7"/>
  <c r="X107" i="7"/>
  <c r="AM107" i="7"/>
  <c r="J107" i="7"/>
  <c r="Y107" i="7"/>
  <c r="AN107" i="7"/>
  <c r="K107" i="7"/>
  <c r="Z107" i="7"/>
  <c r="AO107" i="7"/>
  <c r="L107" i="7"/>
  <c r="AA107" i="7"/>
  <c r="AP107" i="7"/>
  <c r="N107" i="7"/>
  <c r="AC107" i="7"/>
  <c r="AR107" i="7"/>
  <c r="O107" i="7"/>
  <c r="AD107" i="7"/>
  <c r="AS107" i="7"/>
  <c r="P107" i="7"/>
  <c r="AE107" i="7"/>
  <c r="AT107" i="7"/>
  <c r="Q107" i="7"/>
  <c r="AF107" i="7"/>
  <c r="AU107" i="7"/>
  <c r="R107" i="7"/>
  <c r="AG107" i="7"/>
  <c r="AV107" i="7"/>
  <c r="I107" i="8"/>
  <c r="X107" i="8"/>
  <c r="AM107" i="8"/>
  <c r="J107" i="8"/>
  <c r="Y107" i="8"/>
  <c r="AN107" i="8"/>
  <c r="L107" i="8"/>
  <c r="AA107" i="8"/>
  <c r="AP107" i="8"/>
  <c r="N107" i="8"/>
  <c r="AC107" i="8"/>
  <c r="AR107" i="8"/>
  <c r="P107" i="8"/>
  <c r="AE107" i="8"/>
  <c r="AT107" i="8"/>
  <c r="Q107" i="8"/>
  <c r="AF107" i="8"/>
  <c r="AU107" i="8"/>
  <c r="H107" i="8"/>
  <c r="W107" i="8"/>
  <c r="AL107" i="8"/>
  <c r="K107" i="8"/>
  <c r="Z107" i="8"/>
  <c r="AO107" i="8"/>
  <c r="M107" i="8"/>
  <c r="AB107" i="8"/>
  <c r="AQ107" i="8"/>
  <c r="O107" i="8"/>
  <c r="AD107" i="8"/>
  <c r="AS107" i="8"/>
  <c r="R107" i="8"/>
  <c r="AG107" i="8"/>
  <c r="AV107" i="8"/>
  <c r="M107" i="7"/>
  <c r="AB107" i="7"/>
  <c r="AQ107" i="7"/>
  <c r="D95" i="8"/>
  <c r="S95" i="8"/>
  <c r="AH95" i="8"/>
  <c r="E83" i="8"/>
  <c r="T83" i="8"/>
  <c r="AI83" i="8"/>
  <c r="D78" i="9"/>
  <c r="S78" i="9"/>
  <c r="AH78" i="9"/>
  <c r="D55" i="7"/>
  <c r="S55" i="7"/>
  <c r="AH55" i="7"/>
  <c r="G52" i="9"/>
  <c r="V52" i="9"/>
  <c r="AK52" i="9"/>
  <c r="AK48" i="10"/>
  <c r="G48" i="10"/>
  <c r="V48" i="10"/>
  <c r="D33" i="10"/>
  <c r="S33" i="10"/>
  <c r="AH33" i="10"/>
  <c r="E35" i="9"/>
  <c r="T35" i="9"/>
  <c r="AI35" i="9"/>
  <c r="C37" i="8"/>
  <c r="AY37" i="8"/>
  <c r="AW37" i="8"/>
  <c r="AX38" i="8"/>
  <c r="G38" i="8"/>
  <c r="V38" i="8"/>
  <c r="AK38" i="8"/>
  <c r="E27" i="10"/>
  <c r="T27" i="10"/>
  <c r="AI27" i="10"/>
  <c r="T27" i="7"/>
  <c r="F26" i="10"/>
  <c r="AW28" i="9"/>
  <c r="AX29" i="9"/>
  <c r="F29" i="9"/>
  <c r="AJ52" i="8" l="1"/>
  <c r="U52" i="8"/>
  <c r="F52" i="8"/>
  <c r="H109" i="10"/>
  <c r="W109" i="10"/>
  <c r="AL109" i="10"/>
  <c r="I109" i="10"/>
  <c r="X109" i="10"/>
  <c r="AM109" i="10"/>
  <c r="J109" i="10"/>
  <c r="Y109" i="10"/>
  <c r="AN109" i="10"/>
  <c r="K109" i="10"/>
  <c r="Z109" i="10"/>
  <c r="AO109" i="10"/>
  <c r="L109" i="10"/>
  <c r="AA109" i="10"/>
  <c r="AP109" i="10"/>
  <c r="M109" i="10"/>
  <c r="AB109" i="10"/>
  <c r="AQ109" i="10"/>
  <c r="N109" i="10"/>
  <c r="AC109" i="10"/>
  <c r="AR109" i="10"/>
  <c r="O109" i="10"/>
  <c r="AD109" i="10"/>
  <c r="AS109" i="10"/>
  <c r="P109" i="10"/>
  <c r="AE109" i="10"/>
  <c r="AT109" i="10"/>
  <c r="Q109" i="10"/>
  <c r="AF109" i="10"/>
  <c r="AU109" i="10"/>
  <c r="R109" i="10"/>
  <c r="AG109" i="10"/>
  <c r="AV109" i="10"/>
  <c r="H109" i="9"/>
  <c r="W109" i="9"/>
  <c r="AL109" i="9"/>
  <c r="I109" i="9"/>
  <c r="X109" i="9"/>
  <c r="AM109" i="9"/>
  <c r="J109" i="9"/>
  <c r="Y109" i="9"/>
  <c r="AN109" i="9"/>
  <c r="K109" i="9"/>
  <c r="Z109" i="9"/>
  <c r="AO109" i="9"/>
  <c r="L109" i="9"/>
  <c r="AA109" i="9"/>
  <c r="AP109" i="9"/>
  <c r="M109" i="9"/>
  <c r="AB109" i="9"/>
  <c r="AQ109" i="9"/>
  <c r="N109" i="9"/>
  <c r="AC109" i="9"/>
  <c r="AR109" i="9"/>
  <c r="O109" i="9"/>
  <c r="AD109" i="9"/>
  <c r="AS109" i="9"/>
  <c r="P109" i="9"/>
  <c r="AE109" i="9"/>
  <c r="AT109" i="9"/>
  <c r="Q109" i="9"/>
  <c r="AF109" i="9"/>
  <c r="AU109" i="9"/>
  <c r="R109" i="9"/>
  <c r="AG109" i="9"/>
  <c r="AV109" i="9"/>
  <c r="H108" i="7"/>
  <c r="W108" i="7"/>
  <c r="AL108" i="7"/>
  <c r="I108" i="7"/>
  <c r="X108" i="7"/>
  <c r="AM108" i="7"/>
  <c r="J108" i="7"/>
  <c r="Y108" i="7"/>
  <c r="AN108" i="7"/>
  <c r="K108" i="7"/>
  <c r="Z108" i="7"/>
  <c r="AO108" i="7"/>
  <c r="L108" i="7"/>
  <c r="AA108" i="7"/>
  <c r="AP108" i="7"/>
  <c r="N108" i="7"/>
  <c r="AC108" i="7"/>
  <c r="AR108" i="7"/>
  <c r="O108" i="7"/>
  <c r="AD108" i="7"/>
  <c r="AS108" i="7"/>
  <c r="P108" i="7"/>
  <c r="AE108" i="7"/>
  <c r="AT108" i="7"/>
  <c r="Q108" i="7"/>
  <c r="AF108" i="7"/>
  <c r="AU108" i="7"/>
  <c r="R108" i="7"/>
  <c r="AG108" i="7"/>
  <c r="AV108" i="7"/>
  <c r="I108" i="8"/>
  <c r="X108" i="8"/>
  <c r="AM108" i="8"/>
  <c r="J108" i="8"/>
  <c r="Y108" i="8"/>
  <c r="AN108" i="8"/>
  <c r="L108" i="8"/>
  <c r="AA108" i="8"/>
  <c r="AP108" i="8"/>
  <c r="N108" i="8"/>
  <c r="AC108" i="8"/>
  <c r="AR108" i="8"/>
  <c r="P108" i="8"/>
  <c r="AE108" i="8"/>
  <c r="AT108" i="8"/>
  <c r="Q108" i="8"/>
  <c r="AF108" i="8"/>
  <c r="AU108" i="8"/>
  <c r="H108" i="8"/>
  <c r="W108" i="8"/>
  <c r="AL108" i="8"/>
  <c r="K108" i="8"/>
  <c r="Z108" i="8"/>
  <c r="AO108" i="8"/>
  <c r="M108" i="8"/>
  <c r="AB108" i="8"/>
  <c r="AQ108" i="8"/>
  <c r="O108" i="8"/>
  <c r="AD108" i="8"/>
  <c r="AS108" i="8"/>
  <c r="R108" i="8"/>
  <c r="AG108" i="8"/>
  <c r="AV108" i="8"/>
  <c r="M108" i="7"/>
  <c r="AB108" i="7"/>
  <c r="AQ108" i="7"/>
  <c r="D96" i="8"/>
  <c r="S96" i="8"/>
  <c r="AH96" i="8"/>
  <c r="E84" i="8"/>
  <c r="T84" i="8"/>
  <c r="AI84" i="8"/>
  <c r="D79" i="9"/>
  <c r="S79" i="9"/>
  <c r="AH79" i="9"/>
  <c r="D56" i="7"/>
  <c r="S56" i="7"/>
  <c r="AH56" i="7"/>
  <c r="G53" i="9"/>
  <c r="V53" i="9"/>
  <c r="AK53" i="9"/>
  <c r="AK49" i="10"/>
  <c r="G49" i="10"/>
  <c r="V49" i="10"/>
  <c r="D34" i="10"/>
  <c r="S34" i="10"/>
  <c r="AH34" i="10"/>
  <c r="E36" i="9"/>
  <c r="T36" i="9"/>
  <c r="AI36" i="9"/>
  <c r="AY38" i="8"/>
  <c r="C38" i="8"/>
  <c r="AX39" i="8"/>
  <c r="AW38" i="8"/>
  <c r="G39" i="8"/>
  <c r="V39" i="8"/>
  <c r="AK39" i="8"/>
  <c r="E28" i="10"/>
  <c r="T28" i="10"/>
  <c r="AI28" i="10"/>
  <c r="AI27" i="7"/>
  <c r="C29" i="9"/>
  <c r="U27" i="7"/>
  <c r="V27" i="7"/>
  <c r="AK27" i="7" s="1"/>
  <c r="C26" i="10"/>
  <c r="U26" i="10" s="1"/>
  <c r="U29" i="9"/>
  <c r="AY29" i="9" s="1"/>
  <c r="AJ29" i="9"/>
  <c r="F53" i="8" l="1"/>
  <c r="U53" i="8"/>
  <c r="AJ53" i="8"/>
  <c r="H110" i="10"/>
  <c r="W110" i="10"/>
  <c r="AL110" i="10"/>
  <c r="I110" i="10"/>
  <c r="X110" i="10"/>
  <c r="AM110" i="10"/>
  <c r="J110" i="10"/>
  <c r="Y110" i="10"/>
  <c r="AN110" i="10"/>
  <c r="K110" i="10"/>
  <c r="Z110" i="10"/>
  <c r="AO110" i="10"/>
  <c r="L110" i="10"/>
  <c r="AA110" i="10"/>
  <c r="AP110" i="10"/>
  <c r="M110" i="10"/>
  <c r="AB110" i="10"/>
  <c r="AQ110" i="10"/>
  <c r="N110" i="10"/>
  <c r="AC110" i="10"/>
  <c r="AR110" i="10"/>
  <c r="O110" i="10"/>
  <c r="AD110" i="10"/>
  <c r="AS110" i="10"/>
  <c r="P110" i="10"/>
  <c r="AE110" i="10"/>
  <c r="AT110" i="10"/>
  <c r="Q110" i="10"/>
  <c r="AF110" i="10"/>
  <c r="AU110" i="10"/>
  <c r="R110" i="10"/>
  <c r="AG110" i="10"/>
  <c r="AV110" i="10"/>
  <c r="H110" i="9"/>
  <c r="W110" i="9"/>
  <c r="AL110" i="9"/>
  <c r="I110" i="9"/>
  <c r="X110" i="9"/>
  <c r="AM110" i="9"/>
  <c r="J110" i="9"/>
  <c r="Y110" i="9"/>
  <c r="AN110" i="9"/>
  <c r="K110" i="9"/>
  <c r="Z110" i="9"/>
  <c r="AO110" i="9"/>
  <c r="L110" i="9"/>
  <c r="AA110" i="9"/>
  <c r="AP110" i="9"/>
  <c r="M110" i="9"/>
  <c r="AB110" i="9"/>
  <c r="AQ110" i="9"/>
  <c r="N110" i="9"/>
  <c r="AC110" i="9"/>
  <c r="AR110" i="9"/>
  <c r="O110" i="9"/>
  <c r="AD110" i="9"/>
  <c r="AS110" i="9"/>
  <c r="P110" i="9"/>
  <c r="AE110" i="9"/>
  <c r="AT110" i="9"/>
  <c r="Q110" i="9"/>
  <c r="AF110" i="9"/>
  <c r="AU110" i="9"/>
  <c r="R110" i="9"/>
  <c r="AG110" i="9"/>
  <c r="AV110" i="9"/>
  <c r="H109" i="7"/>
  <c r="W109" i="7"/>
  <c r="AL109" i="7"/>
  <c r="I109" i="7"/>
  <c r="X109" i="7"/>
  <c r="AM109" i="7"/>
  <c r="J109" i="7"/>
  <c r="Y109" i="7"/>
  <c r="AN109" i="7"/>
  <c r="K109" i="7"/>
  <c r="Z109" i="7"/>
  <c r="AO109" i="7"/>
  <c r="L109" i="7"/>
  <c r="AA109" i="7"/>
  <c r="AP109" i="7"/>
  <c r="N109" i="7"/>
  <c r="AC109" i="7"/>
  <c r="AR109" i="7"/>
  <c r="O109" i="7"/>
  <c r="AD109" i="7"/>
  <c r="AS109" i="7"/>
  <c r="P109" i="7"/>
  <c r="AE109" i="7"/>
  <c r="AT109" i="7"/>
  <c r="Q109" i="7"/>
  <c r="AF109" i="7"/>
  <c r="AU109" i="7"/>
  <c r="R109" i="7"/>
  <c r="AG109" i="7"/>
  <c r="AV109" i="7"/>
  <c r="I109" i="8"/>
  <c r="X109" i="8"/>
  <c r="AM109" i="8"/>
  <c r="J109" i="8"/>
  <c r="Y109" i="8"/>
  <c r="AN109" i="8"/>
  <c r="L109" i="8"/>
  <c r="AA109" i="8"/>
  <c r="AP109" i="8"/>
  <c r="N109" i="8"/>
  <c r="AC109" i="8"/>
  <c r="AR109" i="8"/>
  <c r="P109" i="8"/>
  <c r="AE109" i="8"/>
  <c r="AT109" i="8"/>
  <c r="Q109" i="8"/>
  <c r="AF109" i="8"/>
  <c r="AU109" i="8"/>
  <c r="H109" i="8"/>
  <c r="W109" i="8"/>
  <c r="AL109" i="8"/>
  <c r="K109" i="8"/>
  <c r="Z109" i="8"/>
  <c r="AO109" i="8"/>
  <c r="M109" i="8"/>
  <c r="AB109" i="8"/>
  <c r="AQ109" i="8"/>
  <c r="O109" i="8"/>
  <c r="AD109" i="8"/>
  <c r="AS109" i="8"/>
  <c r="R109" i="8"/>
  <c r="AG109" i="8"/>
  <c r="AV109" i="8"/>
  <c r="M109" i="7"/>
  <c r="AB109" i="7"/>
  <c r="AQ109" i="7"/>
  <c r="S97" i="8"/>
  <c r="AH97" i="8"/>
  <c r="D97" i="8"/>
  <c r="T85" i="8"/>
  <c r="AI85" i="8"/>
  <c r="E85" i="8"/>
  <c r="D80" i="9"/>
  <c r="S80" i="9"/>
  <c r="AH80" i="9"/>
  <c r="D57" i="7"/>
  <c r="S57" i="7"/>
  <c r="AH57" i="7"/>
  <c r="G54" i="9"/>
  <c r="V54" i="9"/>
  <c r="AK54" i="9"/>
  <c r="AK50" i="10"/>
  <c r="G50" i="10"/>
  <c r="V50" i="10"/>
  <c r="D35" i="10"/>
  <c r="S35" i="10"/>
  <c r="AH35" i="10"/>
  <c r="E37" i="9"/>
  <c r="T37" i="9"/>
  <c r="AI37" i="9"/>
  <c r="AY39" i="8"/>
  <c r="C39" i="8"/>
  <c r="AX40" i="8"/>
  <c r="AW39" i="8"/>
  <c r="W16" i="2" s="1"/>
  <c r="G40" i="8"/>
  <c r="V40" i="8"/>
  <c r="AK40" i="8"/>
  <c r="E29" i="10"/>
  <c r="T29" i="10"/>
  <c r="AI29" i="10"/>
  <c r="E28" i="7"/>
  <c r="G28" i="7"/>
  <c r="F30" i="9"/>
  <c r="AW29" i="9"/>
  <c r="AX30" i="9"/>
  <c r="AJ27" i="7"/>
  <c r="AY27" i="7"/>
  <c r="AY26" i="10"/>
  <c r="AJ26" i="10"/>
  <c r="AJ54" i="8" l="1"/>
  <c r="F54" i="8"/>
  <c r="U54" i="8"/>
  <c r="AW27" i="7"/>
  <c r="X12" i="2" s="1"/>
  <c r="AX28" i="7"/>
  <c r="H111" i="10"/>
  <c r="W111" i="10"/>
  <c r="AL111" i="10"/>
  <c r="I111" i="10"/>
  <c r="X111" i="10"/>
  <c r="AM111" i="10"/>
  <c r="J111" i="10"/>
  <c r="Y111" i="10"/>
  <c r="AN111" i="10"/>
  <c r="K111" i="10"/>
  <c r="Z111" i="10"/>
  <c r="AO111" i="10"/>
  <c r="L111" i="10"/>
  <c r="AA111" i="10"/>
  <c r="AP111" i="10"/>
  <c r="M111" i="10"/>
  <c r="AB111" i="10"/>
  <c r="AQ111" i="10"/>
  <c r="N111" i="10"/>
  <c r="AC111" i="10"/>
  <c r="AR111" i="10"/>
  <c r="O111" i="10"/>
  <c r="AD111" i="10"/>
  <c r="AS111" i="10"/>
  <c r="P111" i="10"/>
  <c r="AE111" i="10"/>
  <c r="AT111" i="10"/>
  <c r="Q111" i="10"/>
  <c r="AF111" i="10"/>
  <c r="AU111" i="10"/>
  <c r="R111" i="10"/>
  <c r="AG111" i="10"/>
  <c r="AV111" i="10"/>
  <c r="H111" i="9"/>
  <c r="W111" i="9"/>
  <c r="AL111" i="9"/>
  <c r="I111" i="9"/>
  <c r="X111" i="9"/>
  <c r="AM111" i="9"/>
  <c r="J111" i="9"/>
  <c r="Y111" i="9"/>
  <c r="AN111" i="9"/>
  <c r="K111" i="9"/>
  <c r="Z111" i="9"/>
  <c r="AO111" i="9"/>
  <c r="L111" i="9"/>
  <c r="AA111" i="9"/>
  <c r="AP111" i="9"/>
  <c r="M111" i="9"/>
  <c r="AB111" i="9"/>
  <c r="AQ111" i="9"/>
  <c r="N111" i="9"/>
  <c r="AC111" i="9"/>
  <c r="AR111" i="9"/>
  <c r="O111" i="9"/>
  <c r="AD111" i="9"/>
  <c r="AS111" i="9"/>
  <c r="P111" i="9"/>
  <c r="AE111" i="9"/>
  <c r="AT111" i="9"/>
  <c r="Q111" i="9"/>
  <c r="AF111" i="9"/>
  <c r="AU111" i="9"/>
  <c r="R111" i="9"/>
  <c r="AG111" i="9"/>
  <c r="AV111" i="9"/>
  <c r="H110" i="7"/>
  <c r="W110" i="7"/>
  <c r="AL110" i="7"/>
  <c r="I110" i="7"/>
  <c r="X110" i="7"/>
  <c r="AM110" i="7"/>
  <c r="J110" i="7"/>
  <c r="Y110" i="7"/>
  <c r="AN110" i="7"/>
  <c r="K110" i="7"/>
  <c r="Z110" i="7"/>
  <c r="AO110" i="7"/>
  <c r="L110" i="7"/>
  <c r="AA110" i="7"/>
  <c r="AP110" i="7"/>
  <c r="N110" i="7"/>
  <c r="AC110" i="7"/>
  <c r="AR110" i="7"/>
  <c r="O110" i="7"/>
  <c r="AD110" i="7"/>
  <c r="AS110" i="7"/>
  <c r="P110" i="7"/>
  <c r="AE110" i="7"/>
  <c r="AT110" i="7"/>
  <c r="Q110" i="7"/>
  <c r="AF110" i="7"/>
  <c r="AU110" i="7"/>
  <c r="R110" i="7"/>
  <c r="AG110" i="7"/>
  <c r="AV110" i="7"/>
  <c r="I110" i="8"/>
  <c r="X110" i="8"/>
  <c r="AM110" i="8"/>
  <c r="J110" i="8"/>
  <c r="Y110" i="8"/>
  <c r="AN110" i="8"/>
  <c r="L110" i="8"/>
  <c r="AA110" i="8"/>
  <c r="AP110" i="8"/>
  <c r="N110" i="8"/>
  <c r="AC110" i="8"/>
  <c r="AR110" i="8"/>
  <c r="P110" i="8"/>
  <c r="AE110" i="8"/>
  <c r="AT110" i="8"/>
  <c r="Q110" i="8"/>
  <c r="AF110" i="8"/>
  <c r="AU110" i="8"/>
  <c r="H110" i="8"/>
  <c r="W110" i="8"/>
  <c r="AL110" i="8"/>
  <c r="K110" i="8"/>
  <c r="Z110" i="8"/>
  <c r="AO110" i="8"/>
  <c r="M110" i="8"/>
  <c r="AB110" i="8"/>
  <c r="AQ110" i="8"/>
  <c r="O110" i="8"/>
  <c r="AD110" i="8"/>
  <c r="AS110" i="8"/>
  <c r="R110" i="8"/>
  <c r="AG110" i="8"/>
  <c r="AV110" i="8"/>
  <c r="M110" i="7"/>
  <c r="AB110" i="7"/>
  <c r="AQ110" i="7"/>
  <c r="D98" i="8"/>
  <c r="S98" i="8"/>
  <c r="AH98" i="8"/>
  <c r="E86" i="8"/>
  <c r="AI86" i="8"/>
  <c r="T86" i="8"/>
  <c r="D81" i="9"/>
  <c r="S81" i="9"/>
  <c r="AH81" i="9"/>
  <c r="D58" i="7"/>
  <c r="S58" i="7"/>
  <c r="AH58" i="7"/>
  <c r="G55" i="9"/>
  <c r="V55" i="9"/>
  <c r="AK55" i="9"/>
  <c r="V51" i="10"/>
  <c r="AK51" i="10"/>
  <c r="G51" i="10"/>
  <c r="D36" i="10"/>
  <c r="S36" i="10"/>
  <c r="AH36" i="10"/>
  <c r="E38" i="9"/>
  <c r="T38" i="9"/>
  <c r="AI38" i="9"/>
  <c r="AY40" i="8"/>
  <c r="C40" i="8"/>
  <c r="AX41" i="8"/>
  <c r="AW40" i="8"/>
  <c r="G41" i="8"/>
  <c r="V41" i="8"/>
  <c r="AK41" i="8"/>
  <c r="E30" i="10"/>
  <c r="T30" i="10"/>
  <c r="AI30" i="10"/>
  <c r="C30" i="9"/>
  <c r="F28" i="7"/>
  <c r="AW26" i="10"/>
  <c r="AX27" i="10"/>
  <c r="F27" i="10"/>
  <c r="U30" i="9"/>
  <c r="AJ55" i="8" l="1"/>
  <c r="F55" i="8"/>
  <c r="U55" i="8"/>
  <c r="H112" i="10"/>
  <c r="W112" i="10"/>
  <c r="AL112" i="10"/>
  <c r="I112" i="10"/>
  <c r="X112" i="10"/>
  <c r="AM112" i="10"/>
  <c r="J112" i="10"/>
  <c r="Y112" i="10"/>
  <c r="AN112" i="10"/>
  <c r="K112" i="10"/>
  <c r="Z112" i="10"/>
  <c r="AO112" i="10"/>
  <c r="L112" i="10"/>
  <c r="AA112" i="10"/>
  <c r="AP112" i="10"/>
  <c r="M112" i="10"/>
  <c r="AB112" i="10"/>
  <c r="AQ112" i="10"/>
  <c r="N112" i="10"/>
  <c r="AC112" i="10"/>
  <c r="AR112" i="10"/>
  <c r="O112" i="10"/>
  <c r="AD112" i="10"/>
  <c r="AS112" i="10"/>
  <c r="P112" i="10"/>
  <c r="AE112" i="10"/>
  <c r="AT112" i="10"/>
  <c r="Q112" i="10"/>
  <c r="AF112" i="10"/>
  <c r="AU112" i="10"/>
  <c r="R112" i="10"/>
  <c r="AG112" i="10"/>
  <c r="AV112" i="10"/>
  <c r="H112" i="9"/>
  <c r="W112" i="9"/>
  <c r="AL112" i="9"/>
  <c r="I112" i="9"/>
  <c r="X112" i="9"/>
  <c r="AM112" i="9"/>
  <c r="J112" i="9"/>
  <c r="Y112" i="9"/>
  <c r="AN112" i="9"/>
  <c r="K112" i="9"/>
  <c r="Z112" i="9"/>
  <c r="AO112" i="9"/>
  <c r="L112" i="9"/>
  <c r="AA112" i="9"/>
  <c r="AP112" i="9"/>
  <c r="M112" i="9"/>
  <c r="AB112" i="9"/>
  <c r="AQ112" i="9"/>
  <c r="N112" i="9"/>
  <c r="AC112" i="9"/>
  <c r="AR112" i="9"/>
  <c r="O112" i="9"/>
  <c r="AD112" i="9"/>
  <c r="AS112" i="9"/>
  <c r="P112" i="9"/>
  <c r="AE112" i="9"/>
  <c r="AT112" i="9"/>
  <c r="Q112" i="9"/>
  <c r="AF112" i="9"/>
  <c r="AU112" i="9"/>
  <c r="R112" i="9"/>
  <c r="AG112" i="9"/>
  <c r="AV112" i="9"/>
  <c r="H111" i="7"/>
  <c r="W111" i="7"/>
  <c r="AL111" i="7"/>
  <c r="I111" i="7"/>
  <c r="X111" i="7"/>
  <c r="AM111" i="7"/>
  <c r="J111" i="7"/>
  <c r="Y111" i="7"/>
  <c r="AN111" i="7"/>
  <c r="K111" i="7"/>
  <c r="Z111" i="7"/>
  <c r="AO111" i="7"/>
  <c r="L111" i="7"/>
  <c r="AA111" i="7"/>
  <c r="AP111" i="7"/>
  <c r="N111" i="7"/>
  <c r="AC111" i="7"/>
  <c r="AR111" i="7"/>
  <c r="O111" i="7"/>
  <c r="AD111" i="7"/>
  <c r="AS111" i="7"/>
  <c r="P111" i="7"/>
  <c r="AE111" i="7"/>
  <c r="AT111" i="7"/>
  <c r="Q111" i="7"/>
  <c r="AF111" i="7"/>
  <c r="AU111" i="7"/>
  <c r="R111" i="7"/>
  <c r="AG111" i="7"/>
  <c r="AV111" i="7"/>
  <c r="I111" i="8"/>
  <c r="X111" i="8"/>
  <c r="AM111" i="8"/>
  <c r="J111" i="8"/>
  <c r="Y111" i="8"/>
  <c r="AN111" i="8"/>
  <c r="L111" i="8"/>
  <c r="AA111" i="8"/>
  <c r="AP111" i="8"/>
  <c r="N111" i="8"/>
  <c r="AC111" i="8"/>
  <c r="AR111" i="8"/>
  <c r="P111" i="8"/>
  <c r="AE111" i="8"/>
  <c r="AT111" i="8"/>
  <c r="Q111" i="8"/>
  <c r="AF111" i="8"/>
  <c r="AU111" i="8"/>
  <c r="H111" i="8"/>
  <c r="W111" i="8"/>
  <c r="AL111" i="8"/>
  <c r="K111" i="8"/>
  <c r="Z111" i="8"/>
  <c r="AO111" i="8"/>
  <c r="M111" i="8"/>
  <c r="AB111" i="8"/>
  <c r="AQ111" i="8"/>
  <c r="O111" i="8"/>
  <c r="AD111" i="8"/>
  <c r="AS111" i="8"/>
  <c r="R111" i="8"/>
  <c r="AG111" i="8"/>
  <c r="AV111" i="8"/>
  <c r="M111" i="7"/>
  <c r="AB111" i="7"/>
  <c r="AQ111" i="7"/>
  <c r="D99" i="8"/>
  <c r="S99" i="8"/>
  <c r="AH99" i="8"/>
  <c r="E87" i="8"/>
  <c r="T87" i="8"/>
  <c r="AI87" i="8"/>
  <c r="D82" i="9"/>
  <c r="S82" i="9"/>
  <c r="AH82" i="9"/>
  <c r="D59" i="7"/>
  <c r="S59" i="7"/>
  <c r="AH59" i="7"/>
  <c r="G56" i="9"/>
  <c r="V56" i="9"/>
  <c r="AK56" i="9"/>
  <c r="G52" i="10"/>
  <c r="V52" i="10"/>
  <c r="AK52" i="10"/>
  <c r="D37" i="10"/>
  <c r="S37" i="10"/>
  <c r="AH37" i="10"/>
  <c r="E39" i="9"/>
  <c r="T39" i="9"/>
  <c r="AI39" i="9"/>
  <c r="C41" i="8"/>
  <c r="AY41" i="8"/>
  <c r="AX42" i="8"/>
  <c r="AW41" i="8"/>
  <c r="G42" i="8"/>
  <c r="V42" i="8"/>
  <c r="AK42" i="8"/>
  <c r="E31" i="10"/>
  <c r="T31" i="10"/>
  <c r="AI31" i="10"/>
  <c r="C27" i="10"/>
  <c r="U27" i="10" s="1"/>
  <c r="AJ27" i="10" s="1"/>
  <c r="AY27" i="10"/>
  <c r="AW27" i="10"/>
  <c r="AX28" i="10"/>
  <c r="F28" i="10"/>
  <c r="C28" i="7"/>
  <c r="AY30" i="9"/>
  <c r="AJ30" i="9"/>
  <c r="F56" i="8" l="1"/>
  <c r="AJ56" i="8"/>
  <c r="U56" i="8"/>
  <c r="H113" i="10"/>
  <c r="W113" i="10"/>
  <c r="AL113" i="10"/>
  <c r="I113" i="10"/>
  <c r="X113" i="10"/>
  <c r="AM113" i="10"/>
  <c r="J113" i="10"/>
  <c r="Y113" i="10"/>
  <c r="AN113" i="10"/>
  <c r="K113" i="10"/>
  <c r="Z113" i="10"/>
  <c r="AO113" i="10"/>
  <c r="L113" i="10"/>
  <c r="AA113" i="10"/>
  <c r="AP113" i="10"/>
  <c r="M113" i="10"/>
  <c r="AB113" i="10"/>
  <c r="AQ113" i="10"/>
  <c r="N113" i="10"/>
  <c r="AC113" i="10"/>
  <c r="AR113" i="10"/>
  <c r="O113" i="10"/>
  <c r="AD113" i="10"/>
  <c r="AS113" i="10"/>
  <c r="P113" i="10"/>
  <c r="AE113" i="10"/>
  <c r="AT113" i="10"/>
  <c r="Q113" i="10"/>
  <c r="AF113" i="10"/>
  <c r="AU113" i="10"/>
  <c r="R113" i="10"/>
  <c r="AG113" i="10"/>
  <c r="AV113" i="10"/>
  <c r="H113" i="9"/>
  <c r="W113" i="9"/>
  <c r="AL113" i="9"/>
  <c r="I113" i="9"/>
  <c r="X113" i="9"/>
  <c r="AM113" i="9"/>
  <c r="J113" i="9"/>
  <c r="Y113" i="9"/>
  <c r="AN113" i="9"/>
  <c r="K113" i="9"/>
  <c r="Z113" i="9"/>
  <c r="AO113" i="9"/>
  <c r="L113" i="9"/>
  <c r="AA113" i="9"/>
  <c r="AP113" i="9"/>
  <c r="M113" i="9"/>
  <c r="AB113" i="9"/>
  <c r="AQ113" i="9"/>
  <c r="N113" i="9"/>
  <c r="AC113" i="9"/>
  <c r="AR113" i="9"/>
  <c r="O113" i="9"/>
  <c r="AD113" i="9"/>
  <c r="AS113" i="9"/>
  <c r="P113" i="9"/>
  <c r="AE113" i="9"/>
  <c r="AT113" i="9"/>
  <c r="Q113" i="9"/>
  <c r="AF113" i="9"/>
  <c r="AU113" i="9"/>
  <c r="R113" i="9"/>
  <c r="AG113" i="9"/>
  <c r="AV113" i="9"/>
  <c r="H112" i="7"/>
  <c r="W112" i="7"/>
  <c r="AL112" i="7"/>
  <c r="I112" i="7"/>
  <c r="X112" i="7"/>
  <c r="AM112" i="7"/>
  <c r="J112" i="7"/>
  <c r="Y112" i="7"/>
  <c r="AN112" i="7"/>
  <c r="K112" i="7"/>
  <c r="Z112" i="7"/>
  <c r="AO112" i="7"/>
  <c r="L112" i="7"/>
  <c r="AA112" i="7"/>
  <c r="AP112" i="7"/>
  <c r="N112" i="7"/>
  <c r="AC112" i="7"/>
  <c r="AR112" i="7"/>
  <c r="O112" i="7"/>
  <c r="AD112" i="7"/>
  <c r="AS112" i="7"/>
  <c r="P112" i="7"/>
  <c r="AE112" i="7"/>
  <c r="AT112" i="7"/>
  <c r="Q112" i="7"/>
  <c r="AF112" i="7"/>
  <c r="AU112" i="7"/>
  <c r="R112" i="7"/>
  <c r="AG112" i="7"/>
  <c r="AV112" i="7"/>
  <c r="I112" i="8"/>
  <c r="X112" i="8"/>
  <c r="AM112" i="8"/>
  <c r="J112" i="8"/>
  <c r="Y112" i="8"/>
  <c r="AN112" i="8"/>
  <c r="L112" i="8"/>
  <c r="AA112" i="8"/>
  <c r="AP112" i="8"/>
  <c r="N112" i="8"/>
  <c r="AC112" i="8"/>
  <c r="AR112" i="8"/>
  <c r="P112" i="8"/>
  <c r="AE112" i="8"/>
  <c r="AT112" i="8"/>
  <c r="Q112" i="8"/>
  <c r="AF112" i="8"/>
  <c r="AU112" i="8"/>
  <c r="H112" i="8"/>
  <c r="W112" i="8"/>
  <c r="AL112" i="8"/>
  <c r="K112" i="8"/>
  <c r="Z112" i="8"/>
  <c r="AO112" i="8"/>
  <c r="M112" i="8"/>
  <c r="AB112" i="8"/>
  <c r="AQ112" i="8"/>
  <c r="O112" i="8"/>
  <c r="AD112" i="8"/>
  <c r="AS112" i="8"/>
  <c r="R112" i="8"/>
  <c r="AG112" i="8"/>
  <c r="AV112" i="8"/>
  <c r="M112" i="7"/>
  <c r="AB112" i="7"/>
  <c r="AQ112" i="7"/>
  <c r="D100" i="8"/>
  <c r="S100" i="8"/>
  <c r="AH100" i="8"/>
  <c r="E88" i="8"/>
  <c r="T88" i="8"/>
  <c r="AI88" i="8"/>
  <c r="D83" i="9"/>
  <c r="S83" i="9"/>
  <c r="AH83" i="9"/>
  <c r="D60" i="7"/>
  <c r="S60" i="7"/>
  <c r="AH60" i="7"/>
  <c r="G57" i="9"/>
  <c r="V57" i="9"/>
  <c r="AK57" i="9"/>
  <c r="AK53" i="10"/>
  <c r="G53" i="10"/>
  <c r="V53" i="10"/>
  <c r="D38" i="10"/>
  <c r="S38" i="10"/>
  <c r="AH38" i="10"/>
  <c r="E40" i="9"/>
  <c r="T40" i="9"/>
  <c r="AI40" i="9"/>
  <c r="AY42" i="8"/>
  <c r="C42" i="8"/>
  <c r="AW42" i="8"/>
  <c r="W17" i="2" s="1"/>
  <c r="AX43" i="8"/>
  <c r="G43" i="8"/>
  <c r="V43" i="8"/>
  <c r="AK43" i="8"/>
  <c r="E32" i="10"/>
  <c r="T32" i="10"/>
  <c r="AI32" i="10"/>
  <c r="C28" i="10"/>
  <c r="U28" i="10" s="1"/>
  <c r="T28" i="7"/>
  <c r="AX31" i="9"/>
  <c r="AW30" i="9"/>
  <c r="F31" i="9"/>
  <c r="F57" i="8" l="1"/>
  <c r="U57" i="8"/>
  <c r="AJ57" i="8"/>
  <c r="H114" i="10"/>
  <c r="W114" i="10"/>
  <c r="AL114" i="10"/>
  <c r="I114" i="10"/>
  <c r="X114" i="10"/>
  <c r="AM114" i="10"/>
  <c r="J114" i="10"/>
  <c r="Y114" i="10"/>
  <c r="AN114" i="10"/>
  <c r="K114" i="10"/>
  <c r="Z114" i="10"/>
  <c r="AO114" i="10"/>
  <c r="L114" i="10"/>
  <c r="AA114" i="10"/>
  <c r="AP114" i="10"/>
  <c r="M114" i="10"/>
  <c r="AB114" i="10"/>
  <c r="AQ114" i="10"/>
  <c r="N114" i="10"/>
  <c r="AC114" i="10"/>
  <c r="AR114" i="10"/>
  <c r="O114" i="10"/>
  <c r="AD114" i="10"/>
  <c r="AS114" i="10"/>
  <c r="P114" i="10"/>
  <c r="AE114" i="10"/>
  <c r="AT114" i="10"/>
  <c r="Q114" i="10"/>
  <c r="AF114" i="10"/>
  <c r="AU114" i="10"/>
  <c r="R114" i="10"/>
  <c r="AG114" i="10"/>
  <c r="AV114" i="10"/>
  <c r="H114" i="9"/>
  <c r="W114" i="9"/>
  <c r="AL114" i="9"/>
  <c r="I114" i="9"/>
  <c r="X114" i="9"/>
  <c r="AM114" i="9"/>
  <c r="J114" i="9"/>
  <c r="Y114" i="9"/>
  <c r="AN114" i="9"/>
  <c r="K114" i="9"/>
  <c r="Z114" i="9"/>
  <c r="AO114" i="9"/>
  <c r="L114" i="9"/>
  <c r="AA114" i="9"/>
  <c r="AP114" i="9"/>
  <c r="M114" i="9"/>
  <c r="AB114" i="9"/>
  <c r="AQ114" i="9"/>
  <c r="N114" i="9"/>
  <c r="AC114" i="9"/>
  <c r="AR114" i="9"/>
  <c r="O114" i="9"/>
  <c r="AD114" i="9"/>
  <c r="AS114" i="9"/>
  <c r="P114" i="9"/>
  <c r="AE114" i="9"/>
  <c r="AT114" i="9"/>
  <c r="Q114" i="9"/>
  <c r="AF114" i="9"/>
  <c r="AU114" i="9"/>
  <c r="R114" i="9"/>
  <c r="AG114" i="9"/>
  <c r="AV114" i="9"/>
  <c r="H113" i="7"/>
  <c r="W113" i="7"/>
  <c r="AL113" i="7"/>
  <c r="I113" i="7"/>
  <c r="X113" i="7"/>
  <c r="AM113" i="7"/>
  <c r="J113" i="7"/>
  <c r="Y113" i="7"/>
  <c r="AN113" i="7"/>
  <c r="K113" i="7"/>
  <c r="Z113" i="7"/>
  <c r="AO113" i="7"/>
  <c r="L113" i="7"/>
  <c r="AA113" i="7"/>
  <c r="AP113" i="7"/>
  <c r="N113" i="7"/>
  <c r="AC113" i="7"/>
  <c r="AR113" i="7"/>
  <c r="O113" i="7"/>
  <c r="AD113" i="7"/>
  <c r="AS113" i="7"/>
  <c r="P113" i="7"/>
  <c r="AE113" i="7"/>
  <c r="AT113" i="7"/>
  <c r="Q113" i="7"/>
  <c r="AF113" i="7"/>
  <c r="AU113" i="7"/>
  <c r="R113" i="7"/>
  <c r="AG113" i="7"/>
  <c r="AV113" i="7"/>
  <c r="I113" i="8"/>
  <c r="X113" i="8"/>
  <c r="AM113" i="8"/>
  <c r="J113" i="8"/>
  <c r="Y113" i="8"/>
  <c r="AN113" i="8"/>
  <c r="L113" i="8"/>
  <c r="AA113" i="8"/>
  <c r="AP113" i="8"/>
  <c r="N113" i="8"/>
  <c r="AC113" i="8"/>
  <c r="AR113" i="8"/>
  <c r="P113" i="8"/>
  <c r="AE113" i="8"/>
  <c r="AT113" i="8"/>
  <c r="Q113" i="8"/>
  <c r="AF113" i="8"/>
  <c r="AU113" i="8"/>
  <c r="H113" i="8"/>
  <c r="W113" i="8"/>
  <c r="AL113" i="8"/>
  <c r="K113" i="8"/>
  <c r="Z113" i="8"/>
  <c r="AO113" i="8"/>
  <c r="M113" i="8"/>
  <c r="AB113" i="8"/>
  <c r="AQ113" i="8"/>
  <c r="O113" i="8"/>
  <c r="AD113" i="8"/>
  <c r="AS113" i="8"/>
  <c r="R113" i="8"/>
  <c r="AG113" i="8"/>
  <c r="AV113" i="8"/>
  <c r="M113" i="7"/>
  <c r="AB113" i="7"/>
  <c r="AQ113" i="7"/>
  <c r="D101" i="8"/>
  <c r="S101" i="8"/>
  <c r="AH101" i="8"/>
  <c r="E89" i="8"/>
  <c r="AI89" i="8"/>
  <c r="T89" i="8"/>
  <c r="D84" i="9"/>
  <c r="S84" i="9"/>
  <c r="AH84" i="9"/>
  <c r="D61" i="7"/>
  <c r="S61" i="7"/>
  <c r="AH61" i="7"/>
  <c r="G58" i="9"/>
  <c r="V58" i="9"/>
  <c r="AK58" i="9"/>
  <c r="V54" i="10"/>
  <c r="AK54" i="10"/>
  <c r="G54" i="10"/>
  <c r="D39" i="10"/>
  <c r="S39" i="10"/>
  <c r="AH39" i="10"/>
  <c r="E41" i="9"/>
  <c r="T41" i="9"/>
  <c r="AI41" i="9"/>
  <c r="AY43" i="8"/>
  <c r="C43" i="8"/>
  <c r="AX44" i="8"/>
  <c r="AW43" i="8"/>
  <c r="G44" i="8"/>
  <c r="V44" i="8"/>
  <c r="AK44" i="8"/>
  <c r="E33" i="10"/>
  <c r="T33" i="10"/>
  <c r="AI33" i="10"/>
  <c r="AI28" i="7"/>
  <c r="C31" i="9"/>
  <c r="U31" i="9" s="1"/>
  <c r="AJ28" i="10"/>
  <c r="AY28" i="10"/>
  <c r="U28" i="7"/>
  <c r="AJ58" i="8" l="1"/>
  <c r="F58" i="8"/>
  <c r="U58" i="8"/>
  <c r="H115" i="10"/>
  <c r="W115" i="10"/>
  <c r="AL115" i="10"/>
  <c r="I115" i="10"/>
  <c r="X115" i="10"/>
  <c r="AM115" i="10"/>
  <c r="J115" i="10"/>
  <c r="Y115" i="10"/>
  <c r="AN115" i="10"/>
  <c r="K115" i="10"/>
  <c r="Z115" i="10"/>
  <c r="AO115" i="10"/>
  <c r="L115" i="10"/>
  <c r="AA115" i="10"/>
  <c r="AP115" i="10"/>
  <c r="M115" i="10"/>
  <c r="AB115" i="10"/>
  <c r="AQ115" i="10"/>
  <c r="N115" i="10"/>
  <c r="AC115" i="10"/>
  <c r="AR115" i="10"/>
  <c r="O115" i="10"/>
  <c r="AD115" i="10"/>
  <c r="AS115" i="10"/>
  <c r="P115" i="10"/>
  <c r="AE115" i="10"/>
  <c r="AT115" i="10"/>
  <c r="Q115" i="10"/>
  <c r="AF115" i="10"/>
  <c r="AU115" i="10"/>
  <c r="R115" i="10"/>
  <c r="AG115" i="10"/>
  <c r="AV115" i="10"/>
  <c r="H115" i="9"/>
  <c r="W115" i="9"/>
  <c r="AL115" i="9"/>
  <c r="I115" i="9"/>
  <c r="X115" i="9"/>
  <c r="AM115" i="9"/>
  <c r="J115" i="9"/>
  <c r="Y115" i="9"/>
  <c r="AN115" i="9"/>
  <c r="K115" i="9"/>
  <c r="Z115" i="9"/>
  <c r="AO115" i="9"/>
  <c r="L115" i="9"/>
  <c r="AA115" i="9"/>
  <c r="AP115" i="9"/>
  <c r="M115" i="9"/>
  <c r="AB115" i="9"/>
  <c r="AQ115" i="9"/>
  <c r="N115" i="9"/>
  <c r="AC115" i="9"/>
  <c r="AR115" i="9"/>
  <c r="O115" i="9"/>
  <c r="AD115" i="9"/>
  <c r="AS115" i="9"/>
  <c r="P115" i="9"/>
  <c r="AE115" i="9"/>
  <c r="AT115" i="9"/>
  <c r="Q115" i="9"/>
  <c r="AF115" i="9"/>
  <c r="AU115" i="9"/>
  <c r="R115" i="9"/>
  <c r="AG115" i="9"/>
  <c r="AV115" i="9"/>
  <c r="H114" i="7"/>
  <c r="W114" i="7"/>
  <c r="AL114" i="7"/>
  <c r="I114" i="7"/>
  <c r="X114" i="7"/>
  <c r="AM114" i="7"/>
  <c r="J114" i="7"/>
  <c r="Y114" i="7"/>
  <c r="AN114" i="7"/>
  <c r="K114" i="7"/>
  <c r="Z114" i="7"/>
  <c r="AO114" i="7"/>
  <c r="L114" i="7"/>
  <c r="AA114" i="7"/>
  <c r="AP114" i="7"/>
  <c r="N114" i="7"/>
  <c r="AC114" i="7"/>
  <c r="AR114" i="7"/>
  <c r="O114" i="7"/>
  <c r="AD114" i="7"/>
  <c r="AS114" i="7"/>
  <c r="P114" i="7"/>
  <c r="AE114" i="7"/>
  <c r="AT114" i="7"/>
  <c r="Q114" i="7"/>
  <c r="AF114" i="7"/>
  <c r="AU114" i="7"/>
  <c r="R114" i="7"/>
  <c r="AG114" i="7"/>
  <c r="AV114" i="7"/>
  <c r="I114" i="8"/>
  <c r="X114" i="8"/>
  <c r="AM114" i="8"/>
  <c r="J114" i="8"/>
  <c r="Y114" i="8"/>
  <c r="AN114" i="8"/>
  <c r="L114" i="8"/>
  <c r="AA114" i="8"/>
  <c r="AP114" i="8"/>
  <c r="N114" i="8"/>
  <c r="AC114" i="8"/>
  <c r="AR114" i="8"/>
  <c r="P114" i="8"/>
  <c r="AE114" i="8"/>
  <c r="AT114" i="8"/>
  <c r="Q114" i="8"/>
  <c r="AF114" i="8"/>
  <c r="AU114" i="8"/>
  <c r="H114" i="8"/>
  <c r="W114" i="8"/>
  <c r="AL114" i="8"/>
  <c r="K114" i="8"/>
  <c r="Z114" i="8"/>
  <c r="AO114" i="8"/>
  <c r="M114" i="8"/>
  <c r="AB114" i="8"/>
  <c r="AQ114" i="8"/>
  <c r="O114" i="8"/>
  <c r="AD114" i="8"/>
  <c r="AS114" i="8"/>
  <c r="R114" i="8"/>
  <c r="AG114" i="8"/>
  <c r="AV114" i="8"/>
  <c r="M114" i="7"/>
  <c r="AB114" i="7"/>
  <c r="AQ114" i="7"/>
  <c r="D102" i="8"/>
  <c r="S102" i="8"/>
  <c r="AH102" i="8"/>
  <c r="T90" i="8"/>
  <c r="AI90" i="8"/>
  <c r="E90" i="8"/>
  <c r="D85" i="9"/>
  <c r="S85" i="9"/>
  <c r="AH85" i="9"/>
  <c r="D62" i="7"/>
  <c r="S62" i="7"/>
  <c r="AH62" i="7"/>
  <c r="G59" i="9"/>
  <c r="V59" i="9"/>
  <c r="AK59" i="9"/>
  <c r="AK55" i="10"/>
  <c r="G55" i="10"/>
  <c r="V55" i="10"/>
  <c r="D40" i="10"/>
  <c r="S40" i="10"/>
  <c r="AH40" i="10"/>
  <c r="E42" i="9"/>
  <c r="T42" i="9"/>
  <c r="AI42" i="9"/>
  <c r="AY44" i="8"/>
  <c r="C44" i="8"/>
  <c r="AX45" i="8"/>
  <c r="AW44" i="8"/>
  <c r="G45" i="8"/>
  <c r="V45" i="8"/>
  <c r="AK45" i="8"/>
  <c r="E34" i="10"/>
  <c r="T34" i="10"/>
  <c r="AI34" i="10"/>
  <c r="E29" i="7"/>
  <c r="F29" i="10"/>
  <c r="AX29" i="10"/>
  <c r="AW28" i="10"/>
  <c r="AJ28" i="7"/>
  <c r="V28" i="7"/>
  <c r="AY31" i="9"/>
  <c r="AJ31" i="9"/>
  <c r="F59" i="8" l="1"/>
  <c r="AJ59" i="8"/>
  <c r="U59" i="8"/>
  <c r="AW28" i="7"/>
  <c r="AX29" i="7"/>
  <c r="H116" i="10"/>
  <c r="W116" i="10"/>
  <c r="AL116" i="10"/>
  <c r="I116" i="10"/>
  <c r="X116" i="10"/>
  <c r="AM116" i="10"/>
  <c r="J116" i="10"/>
  <c r="Y116" i="10"/>
  <c r="AN116" i="10"/>
  <c r="K116" i="10"/>
  <c r="Z116" i="10"/>
  <c r="AO116" i="10"/>
  <c r="L116" i="10"/>
  <c r="AA116" i="10"/>
  <c r="AP116" i="10"/>
  <c r="M116" i="10"/>
  <c r="AB116" i="10"/>
  <c r="AQ116" i="10"/>
  <c r="N116" i="10"/>
  <c r="AC116" i="10"/>
  <c r="AR116" i="10"/>
  <c r="O116" i="10"/>
  <c r="AD116" i="10"/>
  <c r="AS116" i="10"/>
  <c r="P116" i="10"/>
  <c r="AE116" i="10"/>
  <c r="AT116" i="10"/>
  <c r="Q116" i="10"/>
  <c r="AF116" i="10"/>
  <c r="AU116" i="10"/>
  <c r="R116" i="10"/>
  <c r="AG116" i="10"/>
  <c r="AV116" i="10"/>
  <c r="H116" i="9"/>
  <c r="W116" i="9"/>
  <c r="AL116" i="9"/>
  <c r="I116" i="9"/>
  <c r="X116" i="9"/>
  <c r="AM116" i="9"/>
  <c r="J116" i="9"/>
  <c r="Y116" i="9"/>
  <c r="AN116" i="9"/>
  <c r="K116" i="9"/>
  <c r="Z116" i="9"/>
  <c r="AO116" i="9"/>
  <c r="L116" i="9"/>
  <c r="AA116" i="9"/>
  <c r="AP116" i="9"/>
  <c r="M116" i="9"/>
  <c r="AB116" i="9"/>
  <c r="AQ116" i="9"/>
  <c r="N116" i="9"/>
  <c r="AC116" i="9"/>
  <c r="AR116" i="9"/>
  <c r="O116" i="9"/>
  <c r="AD116" i="9"/>
  <c r="AS116" i="9"/>
  <c r="P116" i="9"/>
  <c r="AE116" i="9"/>
  <c r="AT116" i="9"/>
  <c r="Q116" i="9"/>
  <c r="AF116" i="9"/>
  <c r="AU116" i="9"/>
  <c r="R116" i="9"/>
  <c r="AG116" i="9"/>
  <c r="AV116" i="9"/>
  <c r="H115" i="7"/>
  <c r="W115" i="7"/>
  <c r="AL115" i="7"/>
  <c r="I115" i="7"/>
  <c r="X115" i="7"/>
  <c r="AM115" i="7"/>
  <c r="J115" i="7"/>
  <c r="Y115" i="7"/>
  <c r="AN115" i="7"/>
  <c r="K115" i="7"/>
  <c r="Z115" i="7"/>
  <c r="AO115" i="7"/>
  <c r="L115" i="7"/>
  <c r="AA115" i="7"/>
  <c r="AP115" i="7"/>
  <c r="N115" i="7"/>
  <c r="AC115" i="7"/>
  <c r="AR115" i="7"/>
  <c r="O115" i="7"/>
  <c r="AD115" i="7"/>
  <c r="AS115" i="7"/>
  <c r="P115" i="7"/>
  <c r="AE115" i="7"/>
  <c r="AT115" i="7"/>
  <c r="Q115" i="7"/>
  <c r="AF115" i="7"/>
  <c r="AU115" i="7"/>
  <c r="R115" i="7"/>
  <c r="AG115" i="7"/>
  <c r="AV115" i="7"/>
  <c r="I115" i="8"/>
  <c r="X115" i="8"/>
  <c r="AM115" i="8"/>
  <c r="J115" i="8"/>
  <c r="Y115" i="8"/>
  <c r="AN115" i="8"/>
  <c r="L115" i="8"/>
  <c r="AA115" i="8"/>
  <c r="AP115" i="8"/>
  <c r="N115" i="8"/>
  <c r="AC115" i="8"/>
  <c r="AR115" i="8"/>
  <c r="P115" i="8"/>
  <c r="AE115" i="8"/>
  <c r="AT115" i="8"/>
  <c r="Q115" i="8"/>
  <c r="AF115" i="8"/>
  <c r="AU115" i="8"/>
  <c r="H115" i="8"/>
  <c r="W115" i="8"/>
  <c r="AL115" i="8"/>
  <c r="K115" i="8"/>
  <c r="Z115" i="8"/>
  <c r="AO115" i="8"/>
  <c r="M115" i="8"/>
  <c r="AB115" i="8"/>
  <c r="AQ115" i="8"/>
  <c r="O115" i="8"/>
  <c r="AD115" i="8"/>
  <c r="AS115" i="8"/>
  <c r="R115" i="8"/>
  <c r="AG115" i="8"/>
  <c r="AV115" i="8"/>
  <c r="M115" i="7"/>
  <c r="AB115" i="7"/>
  <c r="AQ115" i="7"/>
  <c r="D103" i="8"/>
  <c r="S103" i="8"/>
  <c r="AH103" i="8"/>
  <c r="T91" i="8"/>
  <c r="E91" i="8"/>
  <c r="AI91" i="8"/>
  <c r="D86" i="9"/>
  <c r="S86" i="9"/>
  <c r="AH86" i="9"/>
  <c r="D63" i="7"/>
  <c r="S63" i="7"/>
  <c r="AH63" i="7"/>
  <c r="G60" i="9"/>
  <c r="V60" i="9"/>
  <c r="AK60" i="9"/>
  <c r="V56" i="10"/>
  <c r="G56" i="10"/>
  <c r="AK56" i="10"/>
  <c r="D41" i="10"/>
  <c r="S41" i="10"/>
  <c r="AH41" i="10"/>
  <c r="E43" i="9"/>
  <c r="T43" i="9"/>
  <c r="AI43" i="9"/>
  <c r="AY45" i="8"/>
  <c r="C45" i="8"/>
  <c r="AX46" i="8"/>
  <c r="AW45" i="8"/>
  <c r="W18" i="2" s="1"/>
  <c r="G46" i="8"/>
  <c r="V46" i="8"/>
  <c r="AK46" i="8"/>
  <c r="E35" i="10"/>
  <c r="T35" i="10"/>
  <c r="AI35" i="10"/>
  <c r="C29" i="10"/>
  <c r="F29" i="7"/>
  <c r="AX32" i="9"/>
  <c r="AW31" i="9"/>
  <c r="F32" i="9"/>
  <c r="U29" i="10"/>
  <c r="AK28" i="7"/>
  <c r="AY28" i="7"/>
  <c r="AJ60" i="8" l="1"/>
  <c r="F60" i="8"/>
  <c r="U60" i="8"/>
  <c r="H117" i="10"/>
  <c r="W117" i="10"/>
  <c r="AL117" i="10"/>
  <c r="I117" i="10"/>
  <c r="X117" i="10"/>
  <c r="AM117" i="10"/>
  <c r="J117" i="10"/>
  <c r="Y117" i="10"/>
  <c r="AN117" i="10"/>
  <c r="K117" i="10"/>
  <c r="Z117" i="10"/>
  <c r="AO117" i="10"/>
  <c r="L117" i="10"/>
  <c r="AA117" i="10"/>
  <c r="AP117" i="10"/>
  <c r="M117" i="10"/>
  <c r="AB117" i="10"/>
  <c r="AQ117" i="10"/>
  <c r="N117" i="10"/>
  <c r="AC117" i="10"/>
  <c r="AR117" i="10"/>
  <c r="O117" i="10"/>
  <c r="AD117" i="10"/>
  <c r="AS117" i="10"/>
  <c r="P117" i="10"/>
  <c r="AE117" i="10"/>
  <c r="AT117" i="10"/>
  <c r="Q117" i="10"/>
  <c r="AF117" i="10"/>
  <c r="AU117" i="10"/>
  <c r="R117" i="10"/>
  <c r="AG117" i="10"/>
  <c r="AV117" i="10"/>
  <c r="H117" i="9"/>
  <c r="W117" i="9"/>
  <c r="AL117" i="9"/>
  <c r="I117" i="9"/>
  <c r="X117" i="9"/>
  <c r="AM117" i="9"/>
  <c r="J117" i="9"/>
  <c r="Y117" i="9"/>
  <c r="AN117" i="9"/>
  <c r="K117" i="9"/>
  <c r="Z117" i="9"/>
  <c r="AO117" i="9"/>
  <c r="L117" i="9"/>
  <c r="AA117" i="9"/>
  <c r="AP117" i="9"/>
  <c r="M117" i="9"/>
  <c r="AB117" i="9"/>
  <c r="AQ117" i="9"/>
  <c r="N117" i="9"/>
  <c r="AC117" i="9"/>
  <c r="AR117" i="9"/>
  <c r="O117" i="9"/>
  <c r="AD117" i="9"/>
  <c r="AS117" i="9"/>
  <c r="P117" i="9"/>
  <c r="AE117" i="9"/>
  <c r="AT117" i="9"/>
  <c r="Q117" i="9"/>
  <c r="AF117" i="9"/>
  <c r="AU117" i="9"/>
  <c r="R117" i="9"/>
  <c r="AG117" i="9"/>
  <c r="AV117" i="9"/>
  <c r="H116" i="7"/>
  <c r="W116" i="7"/>
  <c r="AL116" i="7"/>
  <c r="I116" i="7"/>
  <c r="X116" i="7"/>
  <c r="AM116" i="7"/>
  <c r="J116" i="7"/>
  <c r="Y116" i="7"/>
  <c r="AN116" i="7"/>
  <c r="K116" i="7"/>
  <c r="Z116" i="7"/>
  <c r="AO116" i="7"/>
  <c r="L116" i="7"/>
  <c r="AA116" i="7"/>
  <c r="AP116" i="7"/>
  <c r="N116" i="7"/>
  <c r="AC116" i="7"/>
  <c r="AR116" i="7"/>
  <c r="O116" i="7"/>
  <c r="AD116" i="7"/>
  <c r="AS116" i="7"/>
  <c r="P116" i="7"/>
  <c r="AE116" i="7"/>
  <c r="AT116" i="7"/>
  <c r="Q116" i="7"/>
  <c r="AF116" i="7"/>
  <c r="AU116" i="7"/>
  <c r="R116" i="7"/>
  <c r="AG116" i="7"/>
  <c r="AV116" i="7"/>
  <c r="I116" i="8"/>
  <c r="X116" i="8"/>
  <c r="AM116" i="8"/>
  <c r="J116" i="8"/>
  <c r="Y116" i="8"/>
  <c r="AN116" i="8"/>
  <c r="L116" i="8"/>
  <c r="AA116" i="8"/>
  <c r="AP116" i="8"/>
  <c r="N116" i="8"/>
  <c r="AC116" i="8"/>
  <c r="AR116" i="8"/>
  <c r="P116" i="8"/>
  <c r="AE116" i="8"/>
  <c r="AT116" i="8"/>
  <c r="Q116" i="8"/>
  <c r="AF116" i="8"/>
  <c r="AU116" i="8"/>
  <c r="H116" i="8"/>
  <c r="W116" i="8"/>
  <c r="AL116" i="8"/>
  <c r="K116" i="8"/>
  <c r="Z116" i="8"/>
  <c r="AO116" i="8"/>
  <c r="M116" i="8"/>
  <c r="AB116" i="8"/>
  <c r="AQ116" i="8"/>
  <c r="O116" i="8"/>
  <c r="AD116" i="8"/>
  <c r="AS116" i="8"/>
  <c r="R116" i="8"/>
  <c r="AG116" i="8"/>
  <c r="AV116" i="8"/>
  <c r="M116" i="7"/>
  <c r="AB116" i="7"/>
  <c r="AQ116" i="7"/>
  <c r="D104" i="8"/>
  <c r="S104" i="8"/>
  <c r="AH104" i="8"/>
  <c r="E92" i="8"/>
  <c r="T92" i="8"/>
  <c r="AI92" i="8"/>
  <c r="D87" i="9"/>
  <c r="S87" i="9"/>
  <c r="AH87" i="9"/>
  <c r="D64" i="7"/>
  <c r="S64" i="7"/>
  <c r="AH64" i="7"/>
  <c r="G61" i="9"/>
  <c r="V61" i="9"/>
  <c r="AK61" i="9"/>
  <c r="V57" i="10"/>
  <c r="G57" i="10"/>
  <c r="AK57" i="10"/>
  <c r="D42" i="10"/>
  <c r="S42" i="10"/>
  <c r="AH42" i="10"/>
  <c r="E44" i="9"/>
  <c r="T44" i="9"/>
  <c r="AI44" i="9"/>
  <c r="C46" i="8"/>
  <c r="AY46" i="8"/>
  <c r="AW46" i="8"/>
  <c r="AX47" i="8"/>
  <c r="V47" i="8"/>
  <c r="AK47" i="8"/>
  <c r="G47" i="8"/>
  <c r="E36" i="10"/>
  <c r="T36" i="10"/>
  <c r="AI36" i="10"/>
  <c r="C32" i="9"/>
  <c r="U32" i="9" s="1"/>
  <c r="G29" i="7"/>
  <c r="C29" i="7" s="1"/>
  <c r="AY29" i="10"/>
  <c r="AJ29" i="10"/>
  <c r="F61" i="8" l="1"/>
  <c r="U61" i="8"/>
  <c r="AJ61" i="8"/>
  <c r="H118" i="10"/>
  <c r="W118" i="10"/>
  <c r="AL118" i="10"/>
  <c r="I118" i="10"/>
  <c r="X118" i="10"/>
  <c r="AM118" i="10"/>
  <c r="J118" i="10"/>
  <c r="Y118" i="10"/>
  <c r="AN118" i="10"/>
  <c r="K118" i="10"/>
  <c r="Z118" i="10"/>
  <c r="AO118" i="10"/>
  <c r="L118" i="10"/>
  <c r="AA118" i="10"/>
  <c r="AP118" i="10"/>
  <c r="M118" i="10"/>
  <c r="AB118" i="10"/>
  <c r="AQ118" i="10"/>
  <c r="N118" i="10"/>
  <c r="AC118" i="10"/>
  <c r="AR118" i="10"/>
  <c r="O118" i="10"/>
  <c r="AD118" i="10"/>
  <c r="AS118" i="10"/>
  <c r="P118" i="10"/>
  <c r="AE118" i="10"/>
  <c r="AT118" i="10"/>
  <c r="Q118" i="10"/>
  <c r="AF118" i="10"/>
  <c r="AU118" i="10"/>
  <c r="R118" i="10"/>
  <c r="AG118" i="10"/>
  <c r="AV118" i="10"/>
  <c r="H118" i="9"/>
  <c r="W118" i="9"/>
  <c r="AL118" i="9"/>
  <c r="I118" i="9"/>
  <c r="X118" i="9"/>
  <c r="AM118" i="9"/>
  <c r="J118" i="9"/>
  <c r="Y118" i="9"/>
  <c r="AN118" i="9"/>
  <c r="K118" i="9"/>
  <c r="Z118" i="9"/>
  <c r="AO118" i="9"/>
  <c r="L118" i="9"/>
  <c r="AA118" i="9"/>
  <c r="AP118" i="9"/>
  <c r="M118" i="9"/>
  <c r="AB118" i="9"/>
  <c r="AQ118" i="9"/>
  <c r="N118" i="9"/>
  <c r="AC118" i="9"/>
  <c r="AR118" i="9"/>
  <c r="O118" i="9"/>
  <c r="AD118" i="9"/>
  <c r="AS118" i="9"/>
  <c r="P118" i="9"/>
  <c r="AE118" i="9"/>
  <c r="AT118" i="9"/>
  <c r="Q118" i="9"/>
  <c r="AF118" i="9"/>
  <c r="AU118" i="9"/>
  <c r="R118" i="9"/>
  <c r="AG118" i="9"/>
  <c r="AV118" i="9"/>
  <c r="H117" i="7"/>
  <c r="W117" i="7"/>
  <c r="AL117" i="7"/>
  <c r="I117" i="7"/>
  <c r="X117" i="7"/>
  <c r="AM117" i="7"/>
  <c r="J117" i="7"/>
  <c r="Y117" i="7"/>
  <c r="AN117" i="7"/>
  <c r="K117" i="7"/>
  <c r="Z117" i="7"/>
  <c r="AO117" i="7"/>
  <c r="L117" i="7"/>
  <c r="AA117" i="7"/>
  <c r="AP117" i="7"/>
  <c r="N117" i="7"/>
  <c r="AC117" i="7"/>
  <c r="AR117" i="7"/>
  <c r="O117" i="7"/>
  <c r="AD117" i="7"/>
  <c r="AS117" i="7"/>
  <c r="P117" i="7"/>
  <c r="AE117" i="7"/>
  <c r="AT117" i="7"/>
  <c r="Q117" i="7"/>
  <c r="AF117" i="7"/>
  <c r="AU117" i="7"/>
  <c r="R117" i="7"/>
  <c r="AG117" i="7"/>
  <c r="AV117" i="7"/>
  <c r="I117" i="8"/>
  <c r="X117" i="8"/>
  <c r="AM117" i="8"/>
  <c r="J117" i="8"/>
  <c r="Y117" i="8"/>
  <c r="AN117" i="8"/>
  <c r="L117" i="8"/>
  <c r="AA117" i="8"/>
  <c r="AP117" i="8"/>
  <c r="N117" i="8"/>
  <c r="AC117" i="8"/>
  <c r="AR117" i="8"/>
  <c r="P117" i="8"/>
  <c r="AE117" i="8"/>
  <c r="AT117" i="8"/>
  <c r="Q117" i="8"/>
  <c r="AF117" i="8"/>
  <c r="AU117" i="8"/>
  <c r="H117" i="8"/>
  <c r="W117" i="8"/>
  <c r="AL117" i="8"/>
  <c r="K117" i="8"/>
  <c r="Z117" i="8"/>
  <c r="AO117" i="8"/>
  <c r="M117" i="8"/>
  <c r="AB117" i="8"/>
  <c r="AQ117" i="8"/>
  <c r="O117" i="8"/>
  <c r="AD117" i="8"/>
  <c r="AS117" i="8"/>
  <c r="R117" i="8"/>
  <c r="AG117" i="8"/>
  <c r="AV117" i="8"/>
  <c r="M117" i="7"/>
  <c r="AB117" i="7"/>
  <c r="AQ117" i="7"/>
  <c r="D105" i="8"/>
  <c r="S105" i="8"/>
  <c r="AH105" i="8"/>
  <c r="T93" i="8"/>
  <c r="E93" i="8"/>
  <c r="AI93" i="8"/>
  <c r="D88" i="9"/>
  <c r="S88" i="9"/>
  <c r="AH88" i="9"/>
  <c r="D65" i="7"/>
  <c r="S65" i="7"/>
  <c r="AH65" i="7"/>
  <c r="G62" i="9"/>
  <c r="V62" i="9"/>
  <c r="AK62" i="9"/>
  <c r="G58" i="10"/>
  <c r="V58" i="10"/>
  <c r="AK58" i="10"/>
  <c r="D43" i="10"/>
  <c r="S43" i="10"/>
  <c r="AH43" i="10"/>
  <c r="E45" i="9"/>
  <c r="T45" i="9"/>
  <c r="AI45" i="9"/>
  <c r="AW47" i="8"/>
  <c r="AX48" i="8"/>
  <c r="V48" i="8"/>
  <c r="AK48" i="8"/>
  <c r="G48" i="8"/>
  <c r="AY47" i="8"/>
  <c r="C47" i="8"/>
  <c r="E37" i="10"/>
  <c r="T37" i="10"/>
  <c r="AI37" i="10"/>
  <c r="T29" i="7"/>
  <c r="U29" i="7" s="1"/>
  <c r="AJ29" i="7" s="1"/>
  <c r="F30" i="10"/>
  <c r="AW29" i="10"/>
  <c r="AX30" i="10"/>
  <c r="AJ32" i="9"/>
  <c r="AY32" i="9"/>
  <c r="AJ62" i="8" l="1"/>
  <c r="U62" i="8"/>
  <c r="F62" i="8"/>
  <c r="H119" i="10"/>
  <c r="W119" i="10"/>
  <c r="AL119" i="10"/>
  <c r="I119" i="10"/>
  <c r="X119" i="10"/>
  <c r="AM119" i="10"/>
  <c r="J119" i="10"/>
  <c r="Y119" i="10"/>
  <c r="AN119" i="10"/>
  <c r="K119" i="10"/>
  <c r="Z119" i="10"/>
  <c r="AO119" i="10"/>
  <c r="L119" i="10"/>
  <c r="AA119" i="10"/>
  <c r="AP119" i="10"/>
  <c r="M119" i="10"/>
  <c r="AB119" i="10"/>
  <c r="AQ119" i="10"/>
  <c r="N119" i="10"/>
  <c r="AC119" i="10"/>
  <c r="AR119" i="10"/>
  <c r="O119" i="10"/>
  <c r="AD119" i="10"/>
  <c r="AS119" i="10"/>
  <c r="P119" i="10"/>
  <c r="AE119" i="10"/>
  <c r="AT119" i="10"/>
  <c r="Q119" i="10"/>
  <c r="AF119" i="10"/>
  <c r="AU119" i="10"/>
  <c r="R119" i="10"/>
  <c r="AG119" i="10"/>
  <c r="AV119" i="10"/>
  <c r="H119" i="9"/>
  <c r="W119" i="9"/>
  <c r="AL119" i="9"/>
  <c r="I119" i="9"/>
  <c r="X119" i="9"/>
  <c r="AM119" i="9"/>
  <c r="J119" i="9"/>
  <c r="Y119" i="9"/>
  <c r="AN119" i="9"/>
  <c r="K119" i="9"/>
  <c r="Z119" i="9"/>
  <c r="AO119" i="9"/>
  <c r="L119" i="9"/>
  <c r="AA119" i="9"/>
  <c r="AP119" i="9"/>
  <c r="M119" i="9"/>
  <c r="AB119" i="9"/>
  <c r="AQ119" i="9"/>
  <c r="N119" i="9"/>
  <c r="AC119" i="9"/>
  <c r="AR119" i="9"/>
  <c r="O119" i="9"/>
  <c r="AD119" i="9"/>
  <c r="AS119" i="9"/>
  <c r="P119" i="9"/>
  <c r="AE119" i="9"/>
  <c r="AT119" i="9"/>
  <c r="Q119" i="9"/>
  <c r="AF119" i="9"/>
  <c r="AU119" i="9"/>
  <c r="R119" i="9"/>
  <c r="AG119" i="9"/>
  <c r="AV119" i="9"/>
  <c r="H118" i="7"/>
  <c r="W118" i="7"/>
  <c r="AL118" i="7"/>
  <c r="I118" i="7"/>
  <c r="X118" i="7"/>
  <c r="AM118" i="7"/>
  <c r="J118" i="7"/>
  <c r="Y118" i="7"/>
  <c r="AN118" i="7"/>
  <c r="K118" i="7"/>
  <c r="Z118" i="7"/>
  <c r="AO118" i="7"/>
  <c r="L118" i="7"/>
  <c r="AA118" i="7"/>
  <c r="AP118" i="7"/>
  <c r="N118" i="7"/>
  <c r="AC118" i="7"/>
  <c r="AR118" i="7"/>
  <c r="O118" i="7"/>
  <c r="AD118" i="7"/>
  <c r="AS118" i="7"/>
  <c r="P118" i="7"/>
  <c r="AE118" i="7"/>
  <c r="AT118" i="7"/>
  <c r="Q118" i="7"/>
  <c r="AF118" i="7"/>
  <c r="AU118" i="7"/>
  <c r="R118" i="7"/>
  <c r="AG118" i="7"/>
  <c r="AV118" i="7"/>
  <c r="I118" i="8"/>
  <c r="X118" i="8"/>
  <c r="AM118" i="8"/>
  <c r="J118" i="8"/>
  <c r="Y118" i="8"/>
  <c r="AN118" i="8"/>
  <c r="L118" i="8"/>
  <c r="AA118" i="8"/>
  <c r="AP118" i="8"/>
  <c r="N118" i="8"/>
  <c r="AC118" i="8"/>
  <c r="AR118" i="8"/>
  <c r="P118" i="8"/>
  <c r="AE118" i="8"/>
  <c r="AT118" i="8"/>
  <c r="Q118" i="8"/>
  <c r="AF118" i="8"/>
  <c r="AU118" i="8"/>
  <c r="H118" i="8"/>
  <c r="W118" i="8"/>
  <c r="AL118" i="8"/>
  <c r="K118" i="8"/>
  <c r="Z118" i="8"/>
  <c r="AO118" i="8"/>
  <c r="M118" i="8"/>
  <c r="AB118" i="8"/>
  <c r="AQ118" i="8"/>
  <c r="O118" i="8"/>
  <c r="AD118" i="8"/>
  <c r="AS118" i="8"/>
  <c r="R118" i="8"/>
  <c r="AG118" i="8"/>
  <c r="AV118" i="8"/>
  <c r="M118" i="7"/>
  <c r="AB118" i="7"/>
  <c r="AQ118" i="7"/>
  <c r="D106" i="8"/>
  <c r="S106" i="8"/>
  <c r="AH106" i="8"/>
  <c r="T94" i="8"/>
  <c r="E94" i="8"/>
  <c r="AI94" i="8"/>
  <c r="D89" i="9"/>
  <c r="S89" i="9"/>
  <c r="AH89" i="9"/>
  <c r="D66" i="7"/>
  <c r="S66" i="7"/>
  <c r="AH66" i="7"/>
  <c r="G63" i="9"/>
  <c r="V63" i="9"/>
  <c r="AK63" i="9"/>
  <c r="AK59" i="10"/>
  <c r="V59" i="10"/>
  <c r="G59" i="10"/>
  <c r="D44" i="10"/>
  <c r="S44" i="10"/>
  <c r="AH44" i="10"/>
  <c r="E46" i="9"/>
  <c r="T46" i="9"/>
  <c r="AI46" i="9"/>
  <c r="AX49" i="8"/>
  <c r="AW48" i="8"/>
  <c r="W19" i="2" s="1"/>
  <c r="G49" i="8"/>
  <c r="V49" i="8"/>
  <c r="AK49" i="8"/>
  <c r="AY48" i="8"/>
  <c r="C48" i="8"/>
  <c r="E38" i="10"/>
  <c r="T38" i="10"/>
  <c r="AI38" i="10"/>
  <c r="V29" i="7"/>
  <c r="AI29" i="7"/>
  <c r="C30" i="10"/>
  <c r="AW32" i="9"/>
  <c r="AX33" i="9"/>
  <c r="F33" i="9"/>
  <c r="F30" i="7"/>
  <c r="U30" i="10"/>
  <c r="U63" i="8" l="1"/>
  <c r="F63" i="8"/>
  <c r="AJ63" i="8"/>
  <c r="H120" i="10"/>
  <c r="W120" i="10"/>
  <c r="AL120" i="10"/>
  <c r="I120" i="10"/>
  <c r="X120" i="10"/>
  <c r="AM120" i="10"/>
  <c r="J120" i="10"/>
  <c r="Y120" i="10"/>
  <c r="AN120" i="10"/>
  <c r="K120" i="10"/>
  <c r="Z120" i="10"/>
  <c r="AO120" i="10"/>
  <c r="L120" i="10"/>
  <c r="AA120" i="10"/>
  <c r="AP120" i="10"/>
  <c r="M120" i="10"/>
  <c r="AB120" i="10"/>
  <c r="AQ120" i="10"/>
  <c r="N120" i="10"/>
  <c r="AC120" i="10"/>
  <c r="AR120" i="10"/>
  <c r="O120" i="10"/>
  <c r="AD120" i="10"/>
  <c r="AS120" i="10"/>
  <c r="P120" i="10"/>
  <c r="AE120" i="10"/>
  <c r="AT120" i="10"/>
  <c r="Q120" i="10"/>
  <c r="AF120" i="10"/>
  <c r="AU120" i="10"/>
  <c r="R120" i="10"/>
  <c r="AG120" i="10"/>
  <c r="AV120" i="10"/>
  <c r="H120" i="9"/>
  <c r="W120" i="9"/>
  <c r="AL120" i="9"/>
  <c r="I120" i="9"/>
  <c r="X120" i="9"/>
  <c r="AM120" i="9"/>
  <c r="J120" i="9"/>
  <c r="Y120" i="9"/>
  <c r="AN120" i="9"/>
  <c r="K120" i="9"/>
  <c r="Z120" i="9"/>
  <c r="AO120" i="9"/>
  <c r="L120" i="9"/>
  <c r="AA120" i="9"/>
  <c r="AP120" i="9"/>
  <c r="M120" i="9"/>
  <c r="AB120" i="9"/>
  <c r="AQ120" i="9"/>
  <c r="N120" i="9"/>
  <c r="AC120" i="9"/>
  <c r="AR120" i="9"/>
  <c r="O120" i="9"/>
  <c r="AD120" i="9"/>
  <c r="AS120" i="9"/>
  <c r="P120" i="9"/>
  <c r="AE120" i="9"/>
  <c r="AT120" i="9"/>
  <c r="Q120" i="9"/>
  <c r="AF120" i="9"/>
  <c r="AU120" i="9"/>
  <c r="R120" i="9"/>
  <c r="AG120" i="9"/>
  <c r="AV120" i="9"/>
  <c r="H119" i="7"/>
  <c r="W119" i="7"/>
  <c r="AL119" i="7"/>
  <c r="I119" i="7"/>
  <c r="X119" i="7"/>
  <c r="AM119" i="7"/>
  <c r="J119" i="7"/>
  <c r="Y119" i="7"/>
  <c r="AN119" i="7"/>
  <c r="K119" i="7"/>
  <c r="Z119" i="7"/>
  <c r="AO119" i="7"/>
  <c r="L119" i="7"/>
  <c r="AA119" i="7"/>
  <c r="AP119" i="7"/>
  <c r="N119" i="7"/>
  <c r="AC119" i="7"/>
  <c r="AR119" i="7"/>
  <c r="O119" i="7"/>
  <c r="AD119" i="7"/>
  <c r="AS119" i="7"/>
  <c r="P119" i="7"/>
  <c r="AE119" i="7"/>
  <c r="AT119" i="7"/>
  <c r="Q119" i="7"/>
  <c r="AF119" i="7"/>
  <c r="AU119" i="7"/>
  <c r="R119" i="7"/>
  <c r="AG119" i="7"/>
  <c r="AV119" i="7"/>
  <c r="I119" i="8"/>
  <c r="X119" i="8"/>
  <c r="AM119" i="8"/>
  <c r="J119" i="8"/>
  <c r="Y119" i="8"/>
  <c r="AN119" i="8"/>
  <c r="L119" i="8"/>
  <c r="AA119" i="8"/>
  <c r="AP119" i="8"/>
  <c r="N119" i="8"/>
  <c r="AC119" i="8"/>
  <c r="AR119" i="8"/>
  <c r="P119" i="8"/>
  <c r="AE119" i="8"/>
  <c r="AT119" i="8"/>
  <c r="Q119" i="8"/>
  <c r="AF119" i="8"/>
  <c r="AU119" i="8"/>
  <c r="H119" i="8"/>
  <c r="W119" i="8"/>
  <c r="AL119" i="8"/>
  <c r="K119" i="8"/>
  <c r="Z119" i="8"/>
  <c r="AO119" i="8"/>
  <c r="M119" i="8"/>
  <c r="AB119" i="8"/>
  <c r="AQ119" i="8"/>
  <c r="O119" i="8"/>
  <c r="AD119" i="8"/>
  <c r="AS119" i="8"/>
  <c r="R119" i="8"/>
  <c r="AG119" i="8"/>
  <c r="AV119" i="8"/>
  <c r="M119" i="7"/>
  <c r="AB119" i="7"/>
  <c r="AQ119" i="7"/>
  <c r="D107" i="8"/>
  <c r="S107" i="8"/>
  <c r="AH107" i="8"/>
  <c r="T95" i="8"/>
  <c r="E95" i="8"/>
  <c r="AI95" i="8"/>
  <c r="D90" i="9"/>
  <c r="S90" i="9"/>
  <c r="AH90" i="9"/>
  <c r="D67" i="7"/>
  <c r="S67" i="7"/>
  <c r="AH67" i="7"/>
  <c r="G64" i="9"/>
  <c r="V64" i="9"/>
  <c r="AK64" i="9"/>
  <c r="AK60" i="10"/>
  <c r="G60" i="10"/>
  <c r="V60" i="10"/>
  <c r="D45" i="10"/>
  <c r="S45" i="10"/>
  <c r="AH45" i="10"/>
  <c r="E47" i="9"/>
  <c r="T47" i="9"/>
  <c r="AI47" i="9"/>
  <c r="AY49" i="8"/>
  <c r="C49" i="8"/>
  <c r="AW49" i="8"/>
  <c r="AX50" i="8"/>
  <c r="G50" i="8"/>
  <c r="V50" i="8"/>
  <c r="AK50" i="8"/>
  <c r="E39" i="10"/>
  <c r="T39" i="10"/>
  <c r="AI39" i="10"/>
  <c r="E30" i="7"/>
  <c r="C33" i="9"/>
  <c r="U33" i="9" s="1"/>
  <c r="AK29" i="7"/>
  <c r="AY29" i="7"/>
  <c r="AJ30" i="10"/>
  <c r="AY30" i="10"/>
  <c r="U64" i="8" l="1"/>
  <c r="AJ64" i="8"/>
  <c r="F64" i="8"/>
  <c r="AW29" i="7"/>
  <c r="AX30" i="7"/>
  <c r="H121" i="10"/>
  <c r="W121" i="10"/>
  <c r="AL121" i="10"/>
  <c r="I121" i="10"/>
  <c r="X121" i="10"/>
  <c r="AM121" i="10"/>
  <c r="J121" i="10"/>
  <c r="Y121" i="10"/>
  <c r="AN121" i="10"/>
  <c r="K121" i="10"/>
  <c r="Z121" i="10"/>
  <c r="AO121" i="10"/>
  <c r="L121" i="10"/>
  <c r="AA121" i="10"/>
  <c r="AP121" i="10"/>
  <c r="M121" i="10"/>
  <c r="AB121" i="10"/>
  <c r="AQ121" i="10"/>
  <c r="N121" i="10"/>
  <c r="AC121" i="10"/>
  <c r="AR121" i="10"/>
  <c r="O121" i="10"/>
  <c r="AD121" i="10"/>
  <c r="AS121" i="10"/>
  <c r="P121" i="10"/>
  <c r="AE121" i="10"/>
  <c r="AT121" i="10"/>
  <c r="Q121" i="10"/>
  <c r="AF121" i="10"/>
  <c r="AU121" i="10"/>
  <c r="R121" i="10"/>
  <c r="AG121" i="10"/>
  <c r="AV121" i="10"/>
  <c r="H121" i="9"/>
  <c r="W121" i="9"/>
  <c r="AL121" i="9"/>
  <c r="I121" i="9"/>
  <c r="X121" i="9"/>
  <c r="AM121" i="9"/>
  <c r="J121" i="9"/>
  <c r="Y121" i="9"/>
  <c r="AN121" i="9"/>
  <c r="K121" i="9"/>
  <c r="Z121" i="9"/>
  <c r="AO121" i="9"/>
  <c r="L121" i="9"/>
  <c r="AA121" i="9"/>
  <c r="AP121" i="9"/>
  <c r="M121" i="9"/>
  <c r="AB121" i="9"/>
  <c r="AQ121" i="9"/>
  <c r="N121" i="9"/>
  <c r="AC121" i="9"/>
  <c r="AR121" i="9"/>
  <c r="O121" i="9"/>
  <c r="AD121" i="9"/>
  <c r="AS121" i="9"/>
  <c r="P121" i="9"/>
  <c r="AE121" i="9"/>
  <c r="AT121" i="9"/>
  <c r="Q121" i="9"/>
  <c r="AF121" i="9"/>
  <c r="AU121" i="9"/>
  <c r="R121" i="9"/>
  <c r="AG121" i="9"/>
  <c r="AV121" i="9"/>
  <c r="H120" i="7"/>
  <c r="W120" i="7"/>
  <c r="AL120" i="7"/>
  <c r="I120" i="7"/>
  <c r="X120" i="7"/>
  <c r="AM120" i="7"/>
  <c r="J120" i="7"/>
  <c r="Y120" i="7"/>
  <c r="AN120" i="7"/>
  <c r="K120" i="7"/>
  <c r="Z120" i="7"/>
  <c r="AO120" i="7"/>
  <c r="L120" i="7"/>
  <c r="AA120" i="7"/>
  <c r="AP120" i="7"/>
  <c r="N120" i="7"/>
  <c r="AC120" i="7"/>
  <c r="AR120" i="7"/>
  <c r="O120" i="7"/>
  <c r="AD120" i="7"/>
  <c r="AS120" i="7"/>
  <c r="P120" i="7"/>
  <c r="AE120" i="7"/>
  <c r="AT120" i="7"/>
  <c r="Q120" i="7"/>
  <c r="AF120" i="7"/>
  <c r="AU120" i="7"/>
  <c r="R120" i="7"/>
  <c r="AG120" i="7"/>
  <c r="AV120" i="7"/>
  <c r="I120" i="8"/>
  <c r="X120" i="8"/>
  <c r="AM120" i="8"/>
  <c r="J120" i="8"/>
  <c r="Y120" i="8"/>
  <c r="AN120" i="8"/>
  <c r="L120" i="8"/>
  <c r="AA120" i="8"/>
  <c r="AP120" i="8"/>
  <c r="N120" i="8"/>
  <c r="AC120" i="8"/>
  <c r="AR120" i="8"/>
  <c r="P120" i="8"/>
  <c r="AE120" i="8"/>
  <c r="AT120" i="8"/>
  <c r="Q120" i="8"/>
  <c r="AF120" i="8"/>
  <c r="AU120" i="8"/>
  <c r="H120" i="8"/>
  <c r="W120" i="8"/>
  <c r="AL120" i="8"/>
  <c r="K120" i="8"/>
  <c r="Z120" i="8"/>
  <c r="AO120" i="8"/>
  <c r="M120" i="8"/>
  <c r="AB120" i="8"/>
  <c r="AQ120" i="8"/>
  <c r="O120" i="8"/>
  <c r="AD120" i="8"/>
  <c r="AS120" i="8"/>
  <c r="R120" i="8"/>
  <c r="AG120" i="8"/>
  <c r="AV120" i="8"/>
  <c r="M120" i="7"/>
  <c r="AB120" i="7"/>
  <c r="AQ120" i="7"/>
  <c r="D108" i="8"/>
  <c r="S108" i="8"/>
  <c r="AH108" i="8"/>
  <c r="T96" i="8"/>
  <c r="E96" i="8"/>
  <c r="AI96" i="8"/>
  <c r="D91" i="9"/>
  <c r="S91" i="9"/>
  <c r="AH91" i="9"/>
  <c r="D68" i="7"/>
  <c r="S68" i="7"/>
  <c r="AH68" i="7"/>
  <c r="G65" i="9"/>
  <c r="V65" i="9"/>
  <c r="AK65" i="9"/>
  <c r="AK61" i="10"/>
  <c r="G61" i="10"/>
  <c r="V61" i="10"/>
  <c r="D46" i="10"/>
  <c r="AH46" i="10"/>
  <c r="S46" i="10"/>
  <c r="E48" i="9"/>
  <c r="T48" i="9"/>
  <c r="AI48" i="9"/>
  <c r="AY50" i="8"/>
  <c r="C50" i="8"/>
  <c r="AX51" i="8"/>
  <c r="AW50" i="8"/>
  <c r="V51" i="8"/>
  <c r="AK51" i="8"/>
  <c r="G51" i="8"/>
  <c r="E40" i="10"/>
  <c r="T40" i="10"/>
  <c r="AI40" i="10"/>
  <c r="G30" i="7"/>
  <c r="AW30" i="10"/>
  <c r="AX31" i="10"/>
  <c r="F31" i="10"/>
  <c r="AJ33" i="9"/>
  <c r="AY33" i="9"/>
  <c r="AJ65" i="8" l="1"/>
  <c r="U65" i="8"/>
  <c r="F65" i="8"/>
  <c r="AW33" i="9"/>
  <c r="AX34" i="9"/>
  <c r="F34" i="9"/>
  <c r="H122" i="10"/>
  <c r="W122" i="10"/>
  <c r="AL122" i="10"/>
  <c r="I122" i="10"/>
  <c r="X122" i="10"/>
  <c r="AM122" i="10"/>
  <c r="J122" i="10"/>
  <c r="Y122" i="10"/>
  <c r="AN122" i="10"/>
  <c r="K122" i="10"/>
  <c r="Z122" i="10"/>
  <c r="AO122" i="10"/>
  <c r="L122" i="10"/>
  <c r="AA122" i="10"/>
  <c r="AP122" i="10"/>
  <c r="M122" i="10"/>
  <c r="AB122" i="10"/>
  <c r="AQ122" i="10"/>
  <c r="N122" i="10"/>
  <c r="AC122" i="10"/>
  <c r="AR122" i="10"/>
  <c r="O122" i="10"/>
  <c r="AD122" i="10"/>
  <c r="AS122" i="10"/>
  <c r="P122" i="10"/>
  <c r="AE122" i="10"/>
  <c r="AT122" i="10"/>
  <c r="Q122" i="10"/>
  <c r="AF122" i="10"/>
  <c r="AU122" i="10"/>
  <c r="R122" i="10"/>
  <c r="AG122" i="10"/>
  <c r="AV122" i="10"/>
  <c r="H122" i="9"/>
  <c r="W122" i="9"/>
  <c r="AL122" i="9"/>
  <c r="I122" i="9"/>
  <c r="X122" i="9"/>
  <c r="AM122" i="9"/>
  <c r="J122" i="9"/>
  <c r="Y122" i="9"/>
  <c r="AN122" i="9"/>
  <c r="K122" i="9"/>
  <c r="Z122" i="9"/>
  <c r="AO122" i="9"/>
  <c r="L122" i="9"/>
  <c r="AA122" i="9"/>
  <c r="AP122" i="9"/>
  <c r="M122" i="9"/>
  <c r="AB122" i="9"/>
  <c r="AQ122" i="9"/>
  <c r="N122" i="9"/>
  <c r="AC122" i="9"/>
  <c r="AR122" i="9"/>
  <c r="O122" i="9"/>
  <c r="AD122" i="9"/>
  <c r="AS122" i="9"/>
  <c r="P122" i="9"/>
  <c r="AE122" i="9"/>
  <c r="AT122" i="9"/>
  <c r="Q122" i="9"/>
  <c r="AF122" i="9"/>
  <c r="AU122" i="9"/>
  <c r="R122" i="9"/>
  <c r="AG122" i="9"/>
  <c r="AV122" i="9"/>
  <c r="H121" i="7"/>
  <c r="W121" i="7"/>
  <c r="AL121" i="7"/>
  <c r="I121" i="7"/>
  <c r="X121" i="7"/>
  <c r="AM121" i="7"/>
  <c r="J121" i="7"/>
  <c r="Y121" i="7"/>
  <c r="AN121" i="7"/>
  <c r="K121" i="7"/>
  <c r="Z121" i="7"/>
  <c r="AO121" i="7"/>
  <c r="L121" i="7"/>
  <c r="AA121" i="7"/>
  <c r="AP121" i="7"/>
  <c r="N121" i="7"/>
  <c r="AC121" i="7"/>
  <c r="AR121" i="7"/>
  <c r="O121" i="7"/>
  <c r="AD121" i="7"/>
  <c r="AS121" i="7"/>
  <c r="P121" i="7"/>
  <c r="AE121" i="7"/>
  <c r="AT121" i="7"/>
  <c r="Q121" i="7"/>
  <c r="AF121" i="7"/>
  <c r="AU121" i="7"/>
  <c r="R121" i="7"/>
  <c r="AG121" i="7"/>
  <c r="AV121" i="7"/>
  <c r="I121" i="8"/>
  <c r="X121" i="8"/>
  <c r="AM121" i="8"/>
  <c r="J121" i="8"/>
  <c r="Y121" i="8"/>
  <c r="AN121" i="8"/>
  <c r="L121" i="8"/>
  <c r="AA121" i="8"/>
  <c r="AP121" i="8"/>
  <c r="N121" i="8"/>
  <c r="AC121" i="8"/>
  <c r="AR121" i="8"/>
  <c r="P121" i="8"/>
  <c r="AE121" i="8"/>
  <c r="AT121" i="8"/>
  <c r="Q121" i="8"/>
  <c r="AF121" i="8"/>
  <c r="AU121" i="8"/>
  <c r="H121" i="8"/>
  <c r="W121" i="8"/>
  <c r="AL121" i="8"/>
  <c r="K121" i="8"/>
  <c r="Z121" i="8"/>
  <c r="AO121" i="8"/>
  <c r="M121" i="8"/>
  <c r="AB121" i="8"/>
  <c r="AQ121" i="8"/>
  <c r="O121" i="8"/>
  <c r="AD121" i="8"/>
  <c r="AS121" i="8"/>
  <c r="R121" i="8"/>
  <c r="AG121" i="8"/>
  <c r="AV121" i="8"/>
  <c r="M121" i="7"/>
  <c r="AB121" i="7"/>
  <c r="AQ121" i="7"/>
  <c r="D109" i="8"/>
  <c r="S109" i="8"/>
  <c r="AH109" i="8"/>
  <c r="E97" i="8"/>
  <c r="T97" i="8"/>
  <c r="AI97" i="8"/>
  <c r="D92" i="9"/>
  <c r="S92" i="9"/>
  <c r="AH92" i="9"/>
  <c r="D69" i="7"/>
  <c r="S69" i="7"/>
  <c r="AH69" i="7"/>
  <c r="G66" i="9"/>
  <c r="V66" i="9"/>
  <c r="AK66" i="9"/>
  <c r="G62" i="10"/>
  <c r="AK62" i="10"/>
  <c r="V62" i="10"/>
  <c r="S47" i="10"/>
  <c r="D47" i="10"/>
  <c r="AH47" i="10"/>
  <c r="E49" i="9"/>
  <c r="T49" i="9"/>
  <c r="AI49" i="9"/>
  <c r="AX52" i="8"/>
  <c r="AW51" i="8"/>
  <c r="W20" i="2" s="1"/>
  <c r="G52" i="8"/>
  <c r="V52" i="8"/>
  <c r="AK52" i="8"/>
  <c r="AY51" i="8"/>
  <c r="C51" i="8"/>
  <c r="E41" i="10"/>
  <c r="T41" i="10"/>
  <c r="AI41" i="10"/>
  <c r="C31" i="10"/>
  <c r="C30" i="7"/>
  <c r="U31" i="10"/>
  <c r="U66" i="8" l="1"/>
  <c r="F66" i="8"/>
  <c r="AJ66" i="8"/>
  <c r="C34" i="9"/>
  <c r="U34" i="9" s="1"/>
  <c r="AJ34" i="9"/>
  <c r="AY34" i="9"/>
  <c r="H123" i="10"/>
  <c r="W123" i="10"/>
  <c r="AL123" i="10"/>
  <c r="I123" i="10"/>
  <c r="X123" i="10"/>
  <c r="AM123" i="10"/>
  <c r="J123" i="10"/>
  <c r="Y123" i="10"/>
  <c r="AN123" i="10"/>
  <c r="K123" i="10"/>
  <c r="Z123" i="10"/>
  <c r="AO123" i="10"/>
  <c r="L123" i="10"/>
  <c r="AA123" i="10"/>
  <c r="AP123" i="10"/>
  <c r="M123" i="10"/>
  <c r="AB123" i="10"/>
  <c r="AQ123" i="10"/>
  <c r="N123" i="10"/>
  <c r="AC123" i="10"/>
  <c r="AR123" i="10"/>
  <c r="O123" i="10"/>
  <c r="AD123" i="10"/>
  <c r="AS123" i="10"/>
  <c r="P123" i="10"/>
  <c r="AE123" i="10"/>
  <c r="AT123" i="10"/>
  <c r="Q123" i="10"/>
  <c r="AF123" i="10"/>
  <c r="AU123" i="10"/>
  <c r="R123" i="10"/>
  <c r="AG123" i="10"/>
  <c r="AV123" i="10"/>
  <c r="H123" i="9"/>
  <c r="W123" i="9"/>
  <c r="AL123" i="9"/>
  <c r="I123" i="9"/>
  <c r="X123" i="9"/>
  <c r="AM123" i="9"/>
  <c r="J123" i="9"/>
  <c r="Y123" i="9"/>
  <c r="AN123" i="9"/>
  <c r="K123" i="9"/>
  <c r="Z123" i="9"/>
  <c r="AO123" i="9"/>
  <c r="L123" i="9"/>
  <c r="AA123" i="9"/>
  <c r="AP123" i="9"/>
  <c r="M123" i="9"/>
  <c r="AB123" i="9"/>
  <c r="AQ123" i="9"/>
  <c r="N123" i="9"/>
  <c r="AC123" i="9"/>
  <c r="AR123" i="9"/>
  <c r="O123" i="9"/>
  <c r="AD123" i="9"/>
  <c r="AS123" i="9"/>
  <c r="P123" i="9"/>
  <c r="AE123" i="9"/>
  <c r="AT123" i="9"/>
  <c r="Q123" i="9"/>
  <c r="AF123" i="9"/>
  <c r="AU123" i="9"/>
  <c r="R123" i="9"/>
  <c r="AG123" i="9"/>
  <c r="AV123" i="9"/>
  <c r="H122" i="7"/>
  <c r="W122" i="7"/>
  <c r="AL122" i="7"/>
  <c r="I122" i="7"/>
  <c r="X122" i="7"/>
  <c r="AM122" i="7"/>
  <c r="J122" i="7"/>
  <c r="Y122" i="7"/>
  <c r="AN122" i="7"/>
  <c r="K122" i="7"/>
  <c r="Z122" i="7"/>
  <c r="AO122" i="7"/>
  <c r="L122" i="7"/>
  <c r="AA122" i="7"/>
  <c r="AP122" i="7"/>
  <c r="N122" i="7"/>
  <c r="AC122" i="7"/>
  <c r="AR122" i="7"/>
  <c r="O122" i="7"/>
  <c r="AD122" i="7"/>
  <c r="AS122" i="7"/>
  <c r="P122" i="7"/>
  <c r="AE122" i="7"/>
  <c r="AT122" i="7"/>
  <c r="Q122" i="7"/>
  <c r="AF122" i="7"/>
  <c r="AU122" i="7"/>
  <c r="R122" i="7"/>
  <c r="AG122" i="7"/>
  <c r="AV122" i="7"/>
  <c r="I122" i="8"/>
  <c r="X122" i="8"/>
  <c r="AM122" i="8"/>
  <c r="J122" i="8"/>
  <c r="Y122" i="8"/>
  <c r="AN122" i="8"/>
  <c r="L122" i="8"/>
  <c r="AA122" i="8"/>
  <c r="AP122" i="8"/>
  <c r="N122" i="8"/>
  <c r="AC122" i="8"/>
  <c r="AR122" i="8"/>
  <c r="P122" i="8"/>
  <c r="AE122" i="8"/>
  <c r="AT122" i="8"/>
  <c r="Q122" i="8"/>
  <c r="AF122" i="8"/>
  <c r="AU122" i="8"/>
  <c r="H122" i="8"/>
  <c r="W122" i="8"/>
  <c r="AL122" i="8"/>
  <c r="K122" i="8"/>
  <c r="Z122" i="8"/>
  <c r="AO122" i="8"/>
  <c r="M122" i="8"/>
  <c r="AB122" i="8"/>
  <c r="AQ122" i="8"/>
  <c r="O122" i="8"/>
  <c r="AD122" i="8"/>
  <c r="AS122" i="8"/>
  <c r="R122" i="8"/>
  <c r="AG122" i="8"/>
  <c r="AV122" i="8"/>
  <c r="M122" i="7"/>
  <c r="AB122" i="7"/>
  <c r="AQ122" i="7"/>
  <c r="D110" i="8"/>
  <c r="S110" i="8"/>
  <c r="AH110" i="8"/>
  <c r="E98" i="8"/>
  <c r="T98" i="8"/>
  <c r="AI98" i="8"/>
  <c r="D93" i="9"/>
  <c r="S93" i="9"/>
  <c r="AH93" i="9"/>
  <c r="D70" i="7"/>
  <c r="S70" i="7"/>
  <c r="AH70" i="7"/>
  <c r="G67" i="9"/>
  <c r="V67" i="9"/>
  <c r="AK67" i="9"/>
  <c r="V63" i="10"/>
  <c r="G63" i="10"/>
  <c r="AK63" i="10"/>
  <c r="S48" i="10"/>
  <c r="AH48" i="10"/>
  <c r="D48" i="10"/>
  <c r="E50" i="9"/>
  <c r="AI50" i="9"/>
  <c r="T50" i="9"/>
  <c r="C52" i="8"/>
  <c r="AY52" i="8"/>
  <c r="AW52" i="8"/>
  <c r="AX53" i="8"/>
  <c r="G53" i="8"/>
  <c r="V53" i="8"/>
  <c r="AK53" i="8"/>
  <c r="E42" i="10"/>
  <c r="T42" i="10"/>
  <c r="AI42" i="10"/>
  <c r="T30" i="7"/>
  <c r="U30" i="7" s="1"/>
  <c r="AJ30" i="7" s="1"/>
  <c r="AJ31" i="10"/>
  <c r="AY31" i="10"/>
  <c r="U67" i="8" l="1"/>
  <c r="AJ67" i="8"/>
  <c r="F67" i="8"/>
  <c r="U35" i="9"/>
  <c r="AW34" i="9"/>
  <c r="F35" i="9"/>
  <c r="AX35" i="9"/>
  <c r="AJ35" i="9"/>
  <c r="H124" i="10"/>
  <c r="W124" i="10"/>
  <c r="AL124" i="10"/>
  <c r="I124" i="10"/>
  <c r="X124" i="10"/>
  <c r="AM124" i="10"/>
  <c r="J124" i="10"/>
  <c r="Y124" i="10"/>
  <c r="AN124" i="10"/>
  <c r="K124" i="10"/>
  <c r="Z124" i="10"/>
  <c r="AO124" i="10"/>
  <c r="L124" i="10"/>
  <c r="AA124" i="10"/>
  <c r="AP124" i="10"/>
  <c r="M124" i="10"/>
  <c r="AB124" i="10"/>
  <c r="AQ124" i="10"/>
  <c r="N124" i="10"/>
  <c r="AC124" i="10"/>
  <c r="AR124" i="10"/>
  <c r="O124" i="10"/>
  <c r="AD124" i="10"/>
  <c r="AS124" i="10"/>
  <c r="P124" i="10"/>
  <c r="AE124" i="10"/>
  <c r="AT124" i="10"/>
  <c r="Q124" i="10"/>
  <c r="AF124" i="10"/>
  <c r="AU124" i="10"/>
  <c r="R124" i="10"/>
  <c r="AG124" i="10"/>
  <c r="AV124" i="10"/>
  <c r="H124" i="9"/>
  <c r="W124" i="9"/>
  <c r="AL124" i="9"/>
  <c r="I124" i="9"/>
  <c r="X124" i="9"/>
  <c r="AM124" i="9"/>
  <c r="J124" i="9"/>
  <c r="Y124" i="9"/>
  <c r="AN124" i="9"/>
  <c r="K124" i="9"/>
  <c r="Z124" i="9"/>
  <c r="AO124" i="9"/>
  <c r="L124" i="9"/>
  <c r="AA124" i="9"/>
  <c r="AP124" i="9"/>
  <c r="M124" i="9"/>
  <c r="AB124" i="9"/>
  <c r="AQ124" i="9"/>
  <c r="N124" i="9"/>
  <c r="AC124" i="9"/>
  <c r="AR124" i="9"/>
  <c r="O124" i="9"/>
  <c r="AD124" i="9"/>
  <c r="AS124" i="9"/>
  <c r="P124" i="9"/>
  <c r="AE124" i="9"/>
  <c r="AT124" i="9"/>
  <c r="Q124" i="9"/>
  <c r="AF124" i="9"/>
  <c r="AU124" i="9"/>
  <c r="R124" i="9"/>
  <c r="AG124" i="9"/>
  <c r="AV124" i="9"/>
  <c r="H123" i="7"/>
  <c r="W123" i="7"/>
  <c r="AL123" i="7"/>
  <c r="I123" i="7"/>
  <c r="X123" i="7"/>
  <c r="AM123" i="7"/>
  <c r="J123" i="7"/>
  <c r="Y123" i="7"/>
  <c r="AN123" i="7"/>
  <c r="K123" i="7"/>
  <c r="Z123" i="7"/>
  <c r="AO123" i="7"/>
  <c r="L123" i="7"/>
  <c r="AA123" i="7"/>
  <c r="AP123" i="7"/>
  <c r="N123" i="7"/>
  <c r="AC123" i="7"/>
  <c r="AR123" i="7"/>
  <c r="O123" i="7"/>
  <c r="AD123" i="7"/>
  <c r="AS123" i="7"/>
  <c r="P123" i="7"/>
  <c r="AE123" i="7"/>
  <c r="AT123" i="7"/>
  <c r="Q123" i="7"/>
  <c r="AF123" i="7"/>
  <c r="AU123" i="7"/>
  <c r="R123" i="7"/>
  <c r="AG123" i="7"/>
  <c r="AV123" i="7"/>
  <c r="I123" i="8"/>
  <c r="X123" i="8"/>
  <c r="AM123" i="8"/>
  <c r="J123" i="8"/>
  <c r="Y123" i="8"/>
  <c r="AN123" i="8"/>
  <c r="L123" i="8"/>
  <c r="AA123" i="8"/>
  <c r="AP123" i="8"/>
  <c r="N123" i="8"/>
  <c r="AC123" i="8"/>
  <c r="AR123" i="8"/>
  <c r="P123" i="8"/>
  <c r="AE123" i="8"/>
  <c r="AT123" i="8"/>
  <c r="Q123" i="8"/>
  <c r="AF123" i="8"/>
  <c r="AU123" i="8"/>
  <c r="H123" i="8"/>
  <c r="W123" i="8"/>
  <c r="AL123" i="8"/>
  <c r="K123" i="8"/>
  <c r="Z123" i="8"/>
  <c r="AO123" i="8"/>
  <c r="M123" i="8"/>
  <c r="AB123" i="8"/>
  <c r="AQ123" i="8"/>
  <c r="O123" i="8"/>
  <c r="AD123" i="8"/>
  <c r="AS123" i="8"/>
  <c r="R123" i="8"/>
  <c r="AG123" i="8"/>
  <c r="AV123" i="8"/>
  <c r="M123" i="7"/>
  <c r="AB123" i="7"/>
  <c r="AQ123" i="7"/>
  <c r="D111" i="8"/>
  <c r="S111" i="8"/>
  <c r="AH111" i="8"/>
  <c r="E99" i="8"/>
  <c r="T99" i="8"/>
  <c r="AI99" i="8"/>
  <c r="D94" i="9"/>
  <c r="S94" i="9"/>
  <c r="AH94" i="9"/>
  <c r="D71" i="7"/>
  <c r="S71" i="7"/>
  <c r="AH71" i="7"/>
  <c r="G68" i="9"/>
  <c r="V68" i="9"/>
  <c r="AK68" i="9"/>
  <c r="G64" i="10"/>
  <c r="V64" i="10"/>
  <c r="AK64" i="10"/>
  <c r="D49" i="10"/>
  <c r="AH49" i="10"/>
  <c r="S49" i="10"/>
  <c r="E51" i="9"/>
  <c r="T51" i="9"/>
  <c r="AI51" i="9"/>
  <c r="C53" i="8"/>
  <c r="AY53" i="8"/>
  <c r="AX54" i="8"/>
  <c r="AW53" i="8"/>
  <c r="G54" i="8"/>
  <c r="V54" i="8"/>
  <c r="AK54" i="8"/>
  <c r="E43" i="10"/>
  <c r="T43" i="10"/>
  <c r="AI43" i="10"/>
  <c r="V30" i="7"/>
  <c r="AK30" i="7" s="1"/>
  <c r="AY30" i="7"/>
  <c r="AI30" i="7"/>
  <c r="F31" i="7"/>
  <c r="AX32" i="10"/>
  <c r="AW31" i="10"/>
  <c r="F32" i="10"/>
  <c r="AJ68" i="8" l="1"/>
  <c r="F68" i="8"/>
  <c r="U68" i="8"/>
  <c r="AY35" i="9"/>
  <c r="C35" i="9"/>
  <c r="U36" i="9"/>
  <c r="AJ36" i="9"/>
  <c r="AJ37" i="9" s="1"/>
  <c r="F36" i="9"/>
  <c r="AX36" i="9"/>
  <c r="AW35" i="9"/>
  <c r="H125" i="10"/>
  <c r="W125" i="10"/>
  <c r="AL125" i="10"/>
  <c r="I125" i="10"/>
  <c r="X125" i="10"/>
  <c r="AM125" i="10"/>
  <c r="J125" i="10"/>
  <c r="Y125" i="10"/>
  <c r="AN125" i="10"/>
  <c r="K125" i="10"/>
  <c r="Z125" i="10"/>
  <c r="AO125" i="10"/>
  <c r="L125" i="10"/>
  <c r="AA125" i="10"/>
  <c r="AP125" i="10"/>
  <c r="M125" i="10"/>
  <c r="AB125" i="10"/>
  <c r="AQ125" i="10"/>
  <c r="N125" i="10"/>
  <c r="AC125" i="10"/>
  <c r="AR125" i="10"/>
  <c r="O125" i="10"/>
  <c r="AD125" i="10"/>
  <c r="AS125" i="10"/>
  <c r="P125" i="10"/>
  <c r="AE125" i="10"/>
  <c r="AT125" i="10"/>
  <c r="Q125" i="10"/>
  <c r="AF125" i="10"/>
  <c r="AU125" i="10"/>
  <c r="R125" i="10"/>
  <c r="AG125" i="10"/>
  <c r="AV125" i="10"/>
  <c r="H125" i="9"/>
  <c r="W125" i="9"/>
  <c r="AL125" i="9"/>
  <c r="I125" i="9"/>
  <c r="X125" i="9"/>
  <c r="AM125" i="9"/>
  <c r="J125" i="9"/>
  <c r="Y125" i="9"/>
  <c r="AN125" i="9"/>
  <c r="K125" i="9"/>
  <c r="Z125" i="9"/>
  <c r="AO125" i="9"/>
  <c r="L125" i="9"/>
  <c r="AA125" i="9"/>
  <c r="AP125" i="9"/>
  <c r="M125" i="9"/>
  <c r="AB125" i="9"/>
  <c r="AQ125" i="9"/>
  <c r="N125" i="9"/>
  <c r="AC125" i="9"/>
  <c r="AR125" i="9"/>
  <c r="O125" i="9"/>
  <c r="AD125" i="9"/>
  <c r="AS125" i="9"/>
  <c r="P125" i="9"/>
  <c r="AE125" i="9"/>
  <c r="AT125" i="9"/>
  <c r="Q125" i="9"/>
  <c r="AF125" i="9"/>
  <c r="AU125" i="9"/>
  <c r="R125" i="9"/>
  <c r="AG125" i="9"/>
  <c r="AV125" i="9"/>
  <c r="H124" i="7"/>
  <c r="W124" i="7"/>
  <c r="AL124" i="7"/>
  <c r="I124" i="7"/>
  <c r="X124" i="7"/>
  <c r="AM124" i="7"/>
  <c r="J124" i="7"/>
  <c r="Y124" i="7"/>
  <c r="AN124" i="7"/>
  <c r="K124" i="7"/>
  <c r="Z124" i="7"/>
  <c r="AO124" i="7"/>
  <c r="L124" i="7"/>
  <c r="AA124" i="7"/>
  <c r="AP124" i="7"/>
  <c r="N124" i="7"/>
  <c r="AC124" i="7"/>
  <c r="AR124" i="7"/>
  <c r="O124" i="7"/>
  <c r="AD124" i="7"/>
  <c r="AS124" i="7"/>
  <c r="P124" i="7"/>
  <c r="AE124" i="7"/>
  <c r="AT124" i="7"/>
  <c r="Q124" i="7"/>
  <c r="AF124" i="7"/>
  <c r="AU124" i="7"/>
  <c r="R124" i="7"/>
  <c r="AG124" i="7"/>
  <c r="AV124" i="7"/>
  <c r="I124" i="8"/>
  <c r="X124" i="8"/>
  <c r="AM124" i="8"/>
  <c r="J124" i="8"/>
  <c r="Y124" i="8"/>
  <c r="AN124" i="8"/>
  <c r="L124" i="8"/>
  <c r="AA124" i="8"/>
  <c r="AP124" i="8"/>
  <c r="N124" i="8"/>
  <c r="AC124" i="8"/>
  <c r="AR124" i="8"/>
  <c r="P124" i="8"/>
  <c r="AE124" i="8"/>
  <c r="AT124" i="8"/>
  <c r="Q124" i="8"/>
  <c r="AF124" i="8"/>
  <c r="AU124" i="8"/>
  <c r="H124" i="8"/>
  <c r="W124" i="8"/>
  <c r="AL124" i="8"/>
  <c r="K124" i="8"/>
  <c r="Z124" i="8"/>
  <c r="AO124" i="8"/>
  <c r="M124" i="8"/>
  <c r="AB124" i="8"/>
  <c r="AQ124" i="8"/>
  <c r="O124" i="8"/>
  <c r="AD124" i="8"/>
  <c r="AS124" i="8"/>
  <c r="R124" i="8"/>
  <c r="AG124" i="8"/>
  <c r="AV124" i="8"/>
  <c r="M124" i="7"/>
  <c r="AB124" i="7"/>
  <c r="AQ124" i="7"/>
  <c r="D112" i="8"/>
  <c r="S112" i="8"/>
  <c r="AH112" i="8"/>
  <c r="E100" i="8"/>
  <c r="T100" i="8"/>
  <c r="AI100" i="8"/>
  <c r="D95" i="9"/>
  <c r="S95" i="9"/>
  <c r="AH95" i="9"/>
  <c r="D72" i="7"/>
  <c r="S72" i="7"/>
  <c r="AH72" i="7"/>
  <c r="G69" i="9"/>
  <c r="V69" i="9"/>
  <c r="AK69" i="9"/>
  <c r="G65" i="10"/>
  <c r="AK65" i="10"/>
  <c r="V65" i="10"/>
  <c r="D50" i="10"/>
  <c r="S50" i="10"/>
  <c r="AH50" i="10"/>
  <c r="E52" i="9"/>
  <c r="T52" i="9"/>
  <c r="AI52" i="9"/>
  <c r="C54" i="8"/>
  <c r="AY54" i="8"/>
  <c r="AX55" i="8"/>
  <c r="AW54" i="8"/>
  <c r="W21" i="2" s="1"/>
  <c r="G55" i="8"/>
  <c r="V55" i="8"/>
  <c r="AK55" i="8"/>
  <c r="E44" i="10"/>
  <c r="T44" i="10"/>
  <c r="AI44" i="10"/>
  <c r="AX37" i="9"/>
  <c r="AW36" i="9"/>
  <c r="F37" i="9"/>
  <c r="U37" i="9"/>
  <c r="G31" i="7"/>
  <c r="E31" i="7"/>
  <c r="AW30" i="7"/>
  <c r="X13" i="2" s="1"/>
  <c r="AX31" i="7"/>
  <c r="C32" i="10"/>
  <c r="U32" i="10"/>
  <c r="AJ69" i="8" l="1"/>
  <c r="U69" i="8"/>
  <c r="F69" i="8"/>
  <c r="AY36" i="9"/>
  <c r="C36" i="9"/>
  <c r="H126" i="10"/>
  <c r="W126" i="10"/>
  <c r="AL126" i="10"/>
  <c r="I126" i="10"/>
  <c r="X126" i="10"/>
  <c r="AM126" i="10"/>
  <c r="J126" i="10"/>
  <c r="Y126" i="10"/>
  <c r="AN126" i="10"/>
  <c r="K126" i="10"/>
  <c r="Z126" i="10"/>
  <c r="AO126" i="10"/>
  <c r="L126" i="10"/>
  <c r="AA126" i="10"/>
  <c r="AP126" i="10"/>
  <c r="M126" i="10"/>
  <c r="AB126" i="10"/>
  <c r="AQ126" i="10"/>
  <c r="N126" i="10"/>
  <c r="AC126" i="10"/>
  <c r="AR126" i="10"/>
  <c r="O126" i="10"/>
  <c r="AD126" i="10"/>
  <c r="AS126" i="10"/>
  <c r="P126" i="10"/>
  <c r="AE126" i="10"/>
  <c r="AT126" i="10"/>
  <c r="Q126" i="10"/>
  <c r="AF126" i="10"/>
  <c r="AU126" i="10"/>
  <c r="R126" i="10"/>
  <c r="AG126" i="10"/>
  <c r="AV126" i="10"/>
  <c r="H126" i="9"/>
  <c r="W126" i="9"/>
  <c r="AL126" i="9"/>
  <c r="I126" i="9"/>
  <c r="X126" i="9"/>
  <c r="AM126" i="9"/>
  <c r="J126" i="9"/>
  <c r="Y126" i="9"/>
  <c r="AN126" i="9"/>
  <c r="K126" i="9"/>
  <c r="Z126" i="9"/>
  <c r="AO126" i="9"/>
  <c r="L126" i="9"/>
  <c r="AA126" i="9"/>
  <c r="AP126" i="9"/>
  <c r="M126" i="9"/>
  <c r="AB126" i="9"/>
  <c r="AQ126" i="9"/>
  <c r="N126" i="9"/>
  <c r="AC126" i="9"/>
  <c r="AR126" i="9"/>
  <c r="O126" i="9"/>
  <c r="AD126" i="9"/>
  <c r="AS126" i="9"/>
  <c r="P126" i="9"/>
  <c r="AE126" i="9"/>
  <c r="AT126" i="9"/>
  <c r="Q126" i="9"/>
  <c r="AF126" i="9"/>
  <c r="AU126" i="9"/>
  <c r="R126" i="9"/>
  <c r="AG126" i="9"/>
  <c r="AV126" i="9"/>
  <c r="H125" i="7"/>
  <c r="W125" i="7"/>
  <c r="AL125" i="7"/>
  <c r="I125" i="7"/>
  <c r="X125" i="7"/>
  <c r="AM125" i="7"/>
  <c r="J125" i="7"/>
  <c r="Y125" i="7"/>
  <c r="AN125" i="7"/>
  <c r="K125" i="7"/>
  <c r="Z125" i="7"/>
  <c r="AO125" i="7"/>
  <c r="L125" i="7"/>
  <c r="AA125" i="7"/>
  <c r="AP125" i="7"/>
  <c r="N125" i="7"/>
  <c r="AC125" i="7"/>
  <c r="AR125" i="7"/>
  <c r="O125" i="7"/>
  <c r="AD125" i="7"/>
  <c r="AS125" i="7"/>
  <c r="P125" i="7"/>
  <c r="AE125" i="7"/>
  <c r="AT125" i="7"/>
  <c r="Q125" i="7"/>
  <c r="AF125" i="7"/>
  <c r="AU125" i="7"/>
  <c r="R125" i="7"/>
  <c r="AG125" i="7"/>
  <c r="AV125" i="7"/>
  <c r="I125" i="8"/>
  <c r="X125" i="8"/>
  <c r="AM125" i="8"/>
  <c r="J125" i="8"/>
  <c r="Y125" i="8"/>
  <c r="AN125" i="8"/>
  <c r="L125" i="8"/>
  <c r="AA125" i="8"/>
  <c r="AP125" i="8"/>
  <c r="N125" i="8"/>
  <c r="AC125" i="8"/>
  <c r="AR125" i="8"/>
  <c r="P125" i="8"/>
  <c r="AE125" i="8"/>
  <c r="AT125" i="8"/>
  <c r="Q125" i="8"/>
  <c r="AF125" i="8"/>
  <c r="AU125" i="8"/>
  <c r="H125" i="8"/>
  <c r="W125" i="8"/>
  <c r="AL125" i="8"/>
  <c r="K125" i="8"/>
  <c r="Z125" i="8"/>
  <c r="AO125" i="8"/>
  <c r="M125" i="8"/>
  <c r="AB125" i="8"/>
  <c r="AQ125" i="8"/>
  <c r="O125" i="8"/>
  <c r="AD125" i="8"/>
  <c r="AS125" i="8"/>
  <c r="R125" i="8"/>
  <c r="AG125" i="8"/>
  <c r="AV125" i="8"/>
  <c r="M125" i="7"/>
  <c r="AB125" i="7"/>
  <c r="AQ125" i="7"/>
  <c r="D113" i="8"/>
  <c r="S113" i="8"/>
  <c r="AH113" i="8"/>
  <c r="E101" i="8"/>
  <c r="T101" i="8"/>
  <c r="AI101" i="8"/>
  <c r="D96" i="9"/>
  <c r="S96" i="9"/>
  <c r="AH96" i="9"/>
  <c r="D73" i="7"/>
  <c r="S73" i="7"/>
  <c r="AH73" i="7"/>
  <c r="G70" i="9"/>
  <c r="V70" i="9"/>
  <c r="AK70" i="9"/>
  <c r="V66" i="10"/>
  <c r="AK66" i="10"/>
  <c r="G66" i="10"/>
  <c r="AH51" i="10"/>
  <c r="D51" i="10"/>
  <c r="S51" i="10"/>
  <c r="E53" i="9"/>
  <c r="T53" i="9"/>
  <c r="AI53" i="9"/>
  <c r="AY55" i="8"/>
  <c r="C55" i="8"/>
  <c r="AX56" i="8"/>
  <c r="AW55" i="8"/>
  <c r="G56" i="8"/>
  <c r="AK56" i="8"/>
  <c r="V56" i="8"/>
  <c r="E45" i="10"/>
  <c r="T45" i="10"/>
  <c r="AI45" i="10"/>
  <c r="C37" i="9"/>
  <c r="AY37" i="9"/>
  <c r="AW37" i="9"/>
  <c r="AX38" i="9"/>
  <c r="F38" i="9"/>
  <c r="U38" i="9"/>
  <c r="AJ38" i="9"/>
  <c r="C31" i="7"/>
  <c r="T31" i="7" s="1"/>
  <c r="AY32" i="10"/>
  <c r="AJ32" i="10"/>
  <c r="AJ70" i="8" l="1"/>
  <c r="U70" i="8"/>
  <c r="F70" i="8"/>
  <c r="W127" i="10"/>
  <c r="AL127" i="10"/>
  <c r="H127" i="10"/>
  <c r="I127" i="10"/>
  <c r="X127" i="10"/>
  <c r="AM127" i="10"/>
  <c r="Y127" i="10"/>
  <c r="AN127" i="10"/>
  <c r="J127" i="10"/>
  <c r="Z127" i="10"/>
  <c r="AO127" i="10"/>
  <c r="K127" i="10"/>
  <c r="AA127" i="10"/>
  <c r="AP127" i="10"/>
  <c r="L127" i="10"/>
  <c r="M127" i="10"/>
  <c r="AB127" i="10"/>
  <c r="AQ127" i="10"/>
  <c r="N127" i="10"/>
  <c r="AC127" i="10"/>
  <c r="AR127" i="10"/>
  <c r="O127" i="10"/>
  <c r="AD127" i="10"/>
  <c r="AS127" i="10"/>
  <c r="P127" i="10"/>
  <c r="AE127" i="10"/>
  <c r="AT127" i="10"/>
  <c r="AU127" i="10"/>
  <c r="Q127" i="10"/>
  <c r="AF127" i="10"/>
  <c r="AV127" i="10"/>
  <c r="R127" i="10"/>
  <c r="AG127" i="10"/>
  <c r="H127" i="9"/>
  <c r="W127" i="9"/>
  <c r="AL127" i="9"/>
  <c r="I127" i="9"/>
  <c r="X127" i="9"/>
  <c r="AM127" i="9"/>
  <c r="J127" i="9"/>
  <c r="Y127" i="9"/>
  <c r="AN127" i="9"/>
  <c r="K127" i="9"/>
  <c r="Z127" i="9"/>
  <c r="AO127" i="9"/>
  <c r="L127" i="9"/>
  <c r="AA127" i="9"/>
  <c r="AP127" i="9"/>
  <c r="M127" i="9"/>
  <c r="AB127" i="9"/>
  <c r="AQ127" i="9"/>
  <c r="N127" i="9"/>
  <c r="AC127" i="9"/>
  <c r="AR127" i="9"/>
  <c r="O127" i="9"/>
  <c r="AD127" i="9"/>
  <c r="AS127" i="9"/>
  <c r="P127" i="9"/>
  <c r="AE127" i="9"/>
  <c r="AT127" i="9"/>
  <c r="Q127" i="9"/>
  <c r="AF127" i="9"/>
  <c r="AU127" i="9"/>
  <c r="R127" i="9"/>
  <c r="AG127" i="9"/>
  <c r="AV127" i="9"/>
  <c r="H126" i="7"/>
  <c r="W126" i="7"/>
  <c r="AL126" i="7"/>
  <c r="I126" i="7"/>
  <c r="X126" i="7"/>
  <c r="AM126" i="7"/>
  <c r="J126" i="7"/>
  <c r="Y126" i="7"/>
  <c r="AN126" i="7"/>
  <c r="K126" i="7"/>
  <c r="Z126" i="7"/>
  <c r="AO126" i="7"/>
  <c r="L126" i="7"/>
  <c r="AA126" i="7"/>
  <c r="AP126" i="7"/>
  <c r="N126" i="7"/>
  <c r="AC126" i="7"/>
  <c r="AR126" i="7"/>
  <c r="O126" i="7"/>
  <c r="AD126" i="7"/>
  <c r="AS126" i="7"/>
  <c r="P126" i="7"/>
  <c r="AE126" i="7"/>
  <c r="AT126" i="7"/>
  <c r="Q126" i="7"/>
  <c r="AF126" i="7"/>
  <c r="AU126" i="7"/>
  <c r="R126" i="7"/>
  <c r="AG126" i="7"/>
  <c r="AV126" i="7"/>
  <c r="I126" i="8"/>
  <c r="X126" i="8"/>
  <c r="AM126" i="8"/>
  <c r="J126" i="8"/>
  <c r="Y126" i="8"/>
  <c r="AN126" i="8"/>
  <c r="L126" i="8"/>
  <c r="AA126" i="8"/>
  <c r="AP126" i="8"/>
  <c r="N126" i="8"/>
  <c r="AC126" i="8"/>
  <c r="AR126" i="8"/>
  <c r="P126" i="8"/>
  <c r="AE126" i="8"/>
  <c r="AT126" i="8"/>
  <c r="Q126" i="8"/>
  <c r="AF126" i="8"/>
  <c r="AU126" i="8"/>
  <c r="H126" i="8"/>
  <c r="W126" i="8"/>
  <c r="AL126" i="8"/>
  <c r="K126" i="8"/>
  <c r="Z126" i="8"/>
  <c r="AO126" i="8"/>
  <c r="M126" i="8"/>
  <c r="AB126" i="8"/>
  <c r="AQ126" i="8"/>
  <c r="O126" i="8"/>
  <c r="AD126" i="8"/>
  <c r="AS126" i="8"/>
  <c r="R126" i="8"/>
  <c r="AG126" i="8"/>
  <c r="AV126" i="8"/>
  <c r="M126" i="7"/>
  <c r="AB126" i="7"/>
  <c r="AQ126" i="7"/>
  <c r="D114" i="8"/>
  <c r="S114" i="8"/>
  <c r="AH114" i="8"/>
  <c r="E102" i="8"/>
  <c r="T102" i="8"/>
  <c r="AI102" i="8"/>
  <c r="D97" i="9"/>
  <c r="S97" i="9"/>
  <c r="AH97" i="9"/>
  <c r="D74" i="7"/>
  <c r="S74" i="7"/>
  <c r="AH74" i="7"/>
  <c r="G71" i="9"/>
  <c r="V71" i="9"/>
  <c r="AK71" i="9"/>
  <c r="V67" i="10"/>
  <c r="G67" i="10"/>
  <c r="AK67" i="10"/>
  <c r="D52" i="10"/>
  <c r="S52" i="10"/>
  <c r="AH52" i="10"/>
  <c r="E54" i="9"/>
  <c r="T54" i="9"/>
  <c r="AI54" i="9"/>
  <c r="AY56" i="8"/>
  <c r="C56" i="8"/>
  <c r="AX57" i="8"/>
  <c r="AW56" i="8"/>
  <c r="G57" i="8"/>
  <c r="V57" i="8"/>
  <c r="AK57" i="8"/>
  <c r="E46" i="10"/>
  <c r="T46" i="10"/>
  <c r="AI46" i="10"/>
  <c r="C38" i="9"/>
  <c r="AY38" i="9"/>
  <c r="AW38" i="9"/>
  <c r="AX39" i="9"/>
  <c r="F39" i="9"/>
  <c r="U39" i="9"/>
  <c r="AJ39" i="9"/>
  <c r="U31" i="7"/>
  <c r="AJ31" i="7" s="1"/>
  <c r="V31" i="7"/>
  <c r="AK31" i="7" s="1"/>
  <c r="AX33" i="10"/>
  <c r="AW32" i="10"/>
  <c r="F33" i="10"/>
  <c r="AY31" i="7"/>
  <c r="AI31" i="7"/>
  <c r="AJ71" i="8" l="1"/>
  <c r="U71" i="8"/>
  <c r="F71" i="8"/>
  <c r="H128" i="10"/>
  <c r="W128" i="10"/>
  <c r="AL128" i="10"/>
  <c r="I128" i="10"/>
  <c r="AM128" i="10"/>
  <c r="X128" i="10"/>
  <c r="Y128" i="10"/>
  <c r="J128" i="10"/>
  <c r="AN128" i="10"/>
  <c r="Z128" i="10"/>
  <c r="K128" i="10"/>
  <c r="AO128" i="10"/>
  <c r="AA128" i="10"/>
  <c r="AP128" i="10"/>
  <c r="L128" i="10"/>
  <c r="M128" i="10"/>
  <c r="AQ128" i="10"/>
  <c r="AB128" i="10"/>
  <c r="N128" i="10"/>
  <c r="AC128" i="10"/>
  <c r="AR128" i="10"/>
  <c r="O128" i="10"/>
  <c r="AS128" i="10"/>
  <c r="AD128" i="10"/>
  <c r="P128" i="10"/>
  <c r="AE128" i="10"/>
  <c r="AT128" i="10"/>
  <c r="AF128" i="10"/>
  <c r="AU128" i="10"/>
  <c r="Q128" i="10"/>
  <c r="R128" i="10"/>
  <c r="AG128" i="10"/>
  <c r="AV128" i="10"/>
  <c r="H128" i="9"/>
  <c r="W128" i="9"/>
  <c r="AL128" i="9"/>
  <c r="I128" i="9"/>
  <c r="X128" i="9"/>
  <c r="AM128" i="9"/>
  <c r="J128" i="9"/>
  <c r="Y128" i="9"/>
  <c r="AN128" i="9"/>
  <c r="K128" i="9"/>
  <c r="Z128" i="9"/>
  <c r="AO128" i="9"/>
  <c r="L128" i="9"/>
  <c r="AA128" i="9"/>
  <c r="AP128" i="9"/>
  <c r="M128" i="9"/>
  <c r="AB128" i="9"/>
  <c r="AQ128" i="9"/>
  <c r="N128" i="9"/>
  <c r="AC128" i="9"/>
  <c r="AR128" i="9"/>
  <c r="O128" i="9"/>
  <c r="AD128" i="9"/>
  <c r="AS128" i="9"/>
  <c r="P128" i="9"/>
  <c r="AE128" i="9"/>
  <c r="AT128" i="9"/>
  <c r="Q128" i="9"/>
  <c r="AF128" i="9"/>
  <c r="AU128" i="9"/>
  <c r="R128" i="9"/>
  <c r="AG128" i="9"/>
  <c r="AV128" i="9"/>
  <c r="H127" i="7"/>
  <c r="W127" i="7"/>
  <c r="AL127" i="7"/>
  <c r="I127" i="7"/>
  <c r="X127" i="7"/>
  <c r="AM127" i="7"/>
  <c r="J127" i="7"/>
  <c r="Y127" i="7"/>
  <c r="AN127" i="7"/>
  <c r="K127" i="7"/>
  <c r="Z127" i="7"/>
  <c r="AO127" i="7"/>
  <c r="L127" i="7"/>
  <c r="AA127" i="7"/>
  <c r="AP127" i="7"/>
  <c r="N127" i="7"/>
  <c r="AC127" i="7"/>
  <c r="AR127" i="7"/>
  <c r="O127" i="7"/>
  <c r="AD127" i="7"/>
  <c r="AS127" i="7"/>
  <c r="P127" i="7"/>
  <c r="AE127" i="7"/>
  <c r="AT127" i="7"/>
  <c r="Q127" i="7"/>
  <c r="AF127" i="7"/>
  <c r="AU127" i="7"/>
  <c r="R127" i="7"/>
  <c r="AG127" i="7"/>
  <c r="AV127" i="7"/>
  <c r="I127" i="8"/>
  <c r="X127" i="8"/>
  <c r="AM127" i="8"/>
  <c r="J127" i="8"/>
  <c r="Y127" i="8"/>
  <c r="AN127" i="8"/>
  <c r="L127" i="8"/>
  <c r="AA127" i="8"/>
  <c r="AP127" i="8"/>
  <c r="N127" i="8"/>
  <c r="AC127" i="8"/>
  <c r="AR127" i="8"/>
  <c r="P127" i="8"/>
  <c r="AE127" i="8"/>
  <c r="AT127" i="8"/>
  <c r="Q127" i="8"/>
  <c r="AF127" i="8"/>
  <c r="AU127" i="8"/>
  <c r="H127" i="8"/>
  <c r="W127" i="8"/>
  <c r="AL127" i="8"/>
  <c r="K127" i="8"/>
  <c r="Z127" i="8"/>
  <c r="AO127" i="8"/>
  <c r="M127" i="8"/>
  <c r="AB127" i="8"/>
  <c r="AQ127" i="8"/>
  <c r="O127" i="8"/>
  <c r="AD127" i="8"/>
  <c r="AS127" i="8"/>
  <c r="R127" i="8"/>
  <c r="AG127" i="8"/>
  <c r="AV127" i="8"/>
  <c r="M127" i="7"/>
  <c r="AB127" i="7"/>
  <c r="AQ127" i="7"/>
  <c r="D115" i="8"/>
  <c r="S115" i="8"/>
  <c r="AH115" i="8"/>
  <c r="E103" i="8"/>
  <c r="T103" i="8"/>
  <c r="AI103" i="8"/>
  <c r="D98" i="9"/>
  <c r="S98" i="9"/>
  <c r="AH98" i="9"/>
  <c r="D75" i="7"/>
  <c r="S75" i="7"/>
  <c r="AH75" i="7"/>
  <c r="G72" i="9"/>
  <c r="V72" i="9"/>
  <c r="AK72" i="9"/>
  <c r="V68" i="10"/>
  <c r="AK68" i="10"/>
  <c r="G68" i="10"/>
  <c r="D53" i="10"/>
  <c r="AH53" i="10"/>
  <c r="S53" i="10"/>
  <c r="E55" i="9"/>
  <c r="T55" i="9"/>
  <c r="AI55" i="9"/>
  <c r="AY57" i="8"/>
  <c r="C57" i="8"/>
  <c r="AW57" i="8"/>
  <c r="W22" i="2" s="1"/>
  <c r="AX58" i="8"/>
  <c r="G58" i="8"/>
  <c r="V58" i="8"/>
  <c r="AK58" i="8"/>
  <c r="E47" i="10"/>
  <c r="AI47" i="10"/>
  <c r="T47" i="10"/>
  <c r="C39" i="9"/>
  <c r="AY39" i="9"/>
  <c r="AW39" i="9"/>
  <c r="AX40" i="9"/>
  <c r="F40" i="9"/>
  <c r="U40" i="9"/>
  <c r="AJ40" i="9"/>
  <c r="F32" i="7"/>
  <c r="G32" i="7"/>
  <c r="C33" i="10"/>
  <c r="U33" i="10" s="1"/>
  <c r="AX32" i="7"/>
  <c r="AW31" i="7"/>
  <c r="E32" i="7"/>
  <c r="AJ72" i="8" l="1"/>
  <c r="F72" i="8"/>
  <c r="U72" i="8"/>
  <c r="W129" i="10"/>
  <c r="AL129" i="10"/>
  <c r="H129" i="10"/>
  <c r="I129" i="10"/>
  <c r="X129" i="10"/>
  <c r="AM129" i="10"/>
  <c r="J129" i="10"/>
  <c r="Y129" i="10"/>
  <c r="AN129" i="10"/>
  <c r="K129" i="10"/>
  <c r="Z129" i="10"/>
  <c r="AO129" i="10"/>
  <c r="AP129" i="10"/>
  <c r="L129" i="10"/>
  <c r="AA129" i="10"/>
  <c r="M129" i="10"/>
  <c r="AB129" i="10"/>
  <c r="AQ129" i="10"/>
  <c r="N129" i="10"/>
  <c r="AC129" i="10"/>
  <c r="AR129" i="10"/>
  <c r="AS129" i="10"/>
  <c r="O129" i="10"/>
  <c r="AD129" i="10"/>
  <c r="AT129" i="10"/>
  <c r="P129" i="10"/>
  <c r="AE129" i="10"/>
  <c r="Q129" i="10"/>
  <c r="AF129" i="10"/>
  <c r="AU129" i="10"/>
  <c r="R129" i="10"/>
  <c r="AG129" i="10"/>
  <c r="AV129" i="10"/>
  <c r="H129" i="9"/>
  <c r="W129" i="9"/>
  <c r="AL129" i="9"/>
  <c r="I129" i="9"/>
  <c r="X129" i="9"/>
  <c r="AM129" i="9"/>
  <c r="J129" i="9"/>
  <c r="Y129" i="9"/>
  <c r="AN129" i="9"/>
  <c r="K129" i="9"/>
  <c r="Z129" i="9"/>
  <c r="AO129" i="9"/>
  <c r="L129" i="9"/>
  <c r="AA129" i="9"/>
  <c r="AP129" i="9"/>
  <c r="M129" i="9"/>
  <c r="AB129" i="9"/>
  <c r="AQ129" i="9"/>
  <c r="N129" i="9"/>
  <c r="AC129" i="9"/>
  <c r="AR129" i="9"/>
  <c r="O129" i="9"/>
  <c r="AD129" i="9"/>
  <c r="AS129" i="9"/>
  <c r="P129" i="9"/>
  <c r="AE129" i="9"/>
  <c r="AT129" i="9"/>
  <c r="Q129" i="9"/>
  <c r="AF129" i="9"/>
  <c r="AU129" i="9"/>
  <c r="R129" i="9"/>
  <c r="AG129" i="9"/>
  <c r="AV129" i="9"/>
  <c r="H128" i="7"/>
  <c r="W128" i="7"/>
  <c r="AL128" i="7"/>
  <c r="I128" i="7"/>
  <c r="X128" i="7"/>
  <c r="AM128" i="7"/>
  <c r="J128" i="7"/>
  <c r="Y128" i="7"/>
  <c r="AN128" i="7"/>
  <c r="K128" i="7"/>
  <c r="Z128" i="7"/>
  <c r="AO128" i="7"/>
  <c r="L128" i="7"/>
  <c r="AA128" i="7"/>
  <c r="AP128" i="7"/>
  <c r="N128" i="7"/>
  <c r="AC128" i="7"/>
  <c r="AR128" i="7"/>
  <c r="O128" i="7"/>
  <c r="AD128" i="7"/>
  <c r="AS128" i="7"/>
  <c r="P128" i="7"/>
  <c r="AE128" i="7"/>
  <c r="AT128" i="7"/>
  <c r="Q128" i="7"/>
  <c r="AF128" i="7"/>
  <c r="AU128" i="7"/>
  <c r="R128" i="7"/>
  <c r="AG128" i="7"/>
  <c r="AV128" i="7"/>
  <c r="I128" i="8"/>
  <c r="X128" i="8"/>
  <c r="AM128" i="8"/>
  <c r="J128" i="8"/>
  <c r="Y128" i="8"/>
  <c r="AN128" i="8"/>
  <c r="L128" i="8"/>
  <c r="AA128" i="8"/>
  <c r="AP128" i="8"/>
  <c r="N128" i="8"/>
  <c r="AC128" i="8"/>
  <c r="AR128" i="8"/>
  <c r="P128" i="8"/>
  <c r="AE128" i="8"/>
  <c r="AT128" i="8"/>
  <c r="Q128" i="8"/>
  <c r="AF128" i="8"/>
  <c r="AU128" i="8"/>
  <c r="H128" i="8"/>
  <c r="W128" i="8"/>
  <c r="AL128" i="8"/>
  <c r="K128" i="8"/>
  <c r="Z128" i="8"/>
  <c r="AO128" i="8"/>
  <c r="M128" i="8"/>
  <c r="AB128" i="8"/>
  <c r="AQ128" i="8"/>
  <c r="O128" i="8"/>
  <c r="AD128" i="8"/>
  <c r="AS128" i="8"/>
  <c r="R128" i="8"/>
  <c r="AG128" i="8"/>
  <c r="AV128" i="8"/>
  <c r="M128" i="7"/>
  <c r="AB128" i="7"/>
  <c r="AQ128" i="7"/>
  <c r="D116" i="8"/>
  <c r="S116" i="8"/>
  <c r="AH116" i="8"/>
  <c r="E104" i="8"/>
  <c r="T104" i="8"/>
  <c r="AI104" i="8"/>
  <c r="D99" i="9"/>
  <c r="S99" i="9"/>
  <c r="AH99" i="9"/>
  <c r="D76" i="7"/>
  <c r="S76" i="7"/>
  <c r="AH76" i="7"/>
  <c r="G73" i="9"/>
  <c r="V73" i="9"/>
  <c r="AK73" i="9"/>
  <c r="G69" i="10"/>
  <c r="AK69" i="10"/>
  <c r="V69" i="10"/>
  <c r="AH54" i="10"/>
  <c r="D54" i="10"/>
  <c r="S54" i="10"/>
  <c r="E56" i="9"/>
  <c r="T56" i="9"/>
  <c r="AI56" i="9"/>
  <c r="C58" i="8"/>
  <c r="AY58" i="8"/>
  <c r="AW58" i="8"/>
  <c r="AX59" i="8"/>
  <c r="V59" i="8"/>
  <c r="AK59" i="8"/>
  <c r="G59" i="8"/>
  <c r="T48" i="10"/>
  <c r="E48" i="10"/>
  <c r="AI48" i="10"/>
  <c r="C40" i="9"/>
  <c r="AY40" i="9"/>
  <c r="AX41" i="9"/>
  <c r="AW40" i="9"/>
  <c r="F41" i="9"/>
  <c r="U41" i="9"/>
  <c r="AJ41" i="9"/>
  <c r="C32" i="7"/>
  <c r="T32" i="7" s="1"/>
  <c r="AJ33" i="10"/>
  <c r="AY33" i="10"/>
  <c r="U73" i="8" l="1"/>
  <c r="F73" i="8"/>
  <c r="AJ73" i="8"/>
  <c r="AL130" i="10"/>
  <c r="H130" i="10"/>
  <c r="W130" i="10"/>
  <c r="I130" i="10"/>
  <c r="X130" i="10"/>
  <c r="AM130" i="10"/>
  <c r="J130" i="10"/>
  <c r="Y130" i="10"/>
  <c r="AN130" i="10"/>
  <c r="K130" i="10"/>
  <c r="Z130" i="10"/>
  <c r="AO130" i="10"/>
  <c r="L130" i="10"/>
  <c r="AA130" i="10"/>
  <c r="AP130" i="10"/>
  <c r="M130" i="10"/>
  <c r="AB130" i="10"/>
  <c r="AQ130" i="10"/>
  <c r="N130" i="10"/>
  <c r="AR130" i="10"/>
  <c r="AC130" i="10"/>
  <c r="O130" i="10"/>
  <c r="AS130" i="10"/>
  <c r="AD130" i="10"/>
  <c r="P130" i="10"/>
  <c r="AT130" i="10"/>
  <c r="AE130" i="10"/>
  <c r="Q130" i="10"/>
  <c r="AF130" i="10"/>
  <c r="AU130" i="10"/>
  <c r="R130" i="10"/>
  <c r="AG130" i="10"/>
  <c r="AV130" i="10"/>
  <c r="H130" i="9"/>
  <c r="W130" i="9"/>
  <c r="AL130" i="9"/>
  <c r="I130" i="9"/>
  <c r="X130" i="9"/>
  <c r="AM130" i="9"/>
  <c r="J130" i="9"/>
  <c r="Y130" i="9"/>
  <c r="AN130" i="9"/>
  <c r="K130" i="9"/>
  <c r="Z130" i="9"/>
  <c r="AO130" i="9"/>
  <c r="L130" i="9"/>
  <c r="AA130" i="9"/>
  <c r="AP130" i="9"/>
  <c r="M130" i="9"/>
  <c r="AB130" i="9"/>
  <c r="AQ130" i="9"/>
  <c r="N130" i="9"/>
  <c r="AC130" i="9"/>
  <c r="AR130" i="9"/>
  <c r="O130" i="9"/>
  <c r="AD130" i="9"/>
  <c r="AS130" i="9"/>
  <c r="P130" i="9"/>
  <c r="AE130" i="9"/>
  <c r="AT130" i="9"/>
  <c r="Q130" i="9"/>
  <c r="AF130" i="9"/>
  <c r="AU130" i="9"/>
  <c r="R130" i="9"/>
  <c r="AG130" i="9"/>
  <c r="AV130" i="9"/>
  <c r="H129" i="7"/>
  <c r="W129" i="7"/>
  <c r="AL129" i="7"/>
  <c r="I129" i="7"/>
  <c r="X129" i="7"/>
  <c r="AM129" i="7"/>
  <c r="J129" i="7"/>
  <c r="Y129" i="7"/>
  <c r="AN129" i="7"/>
  <c r="K129" i="7"/>
  <c r="Z129" i="7"/>
  <c r="AO129" i="7"/>
  <c r="L129" i="7"/>
  <c r="AA129" i="7"/>
  <c r="AP129" i="7"/>
  <c r="N129" i="7"/>
  <c r="AC129" i="7"/>
  <c r="AR129" i="7"/>
  <c r="O129" i="7"/>
  <c r="AD129" i="7"/>
  <c r="AS129" i="7"/>
  <c r="P129" i="7"/>
  <c r="AE129" i="7"/>
  <c r="AT129" i="7"/>
  <c r="Q129" i="7"/>
  <c r="AF129" i="7"/>
  <c r="AU129" i="7"/>
  <c r="R129" i="7"/>
  <c r="AG129" i="7"/>
  <c r="AV129" i="7"/>
  <c r="I129" i="8"/>
  <c r="X129" i="8"/>
  <c r="AM129" i="8"/>
  <c r="J129" i="8"/>
  <c r="Y129" i="8"/>
  <c r="AN129" i="8"/>
  <c r="L129" i="8"/>
  <c r="AA129" i="8"/>
  <c r="AP129" i="8"/>
  <c r="N129" i="8"/>
  <c r="AC129" i="8"/>
  <c r="AR129" i="8"/>
  <c r="P129" i="8"/>
  <c r="AE129" i="8"/>
  <c r="AT129" i="8"/>
  <c r="Q129" i="8"/>
  <c r="AF129" i="8"/>
  <c r="AU129" i="8"/>
  <c r="H129" i="8"/>
  <c r="W129" i="8"/>
  <c r="AL129" i="8"/>
  <c r="K129" i="8"/>
  <c r="Z129" i="8"/>
  <c r="AO129" i="8"/>
  <c r="M129" i="8"/>
  <c r="AB129" i="8"/>
  <c r="AQ129" i="8"/>
  <c r="O129" i="8"/>
  <c r="AD129" i="8"/>
  <c r="AS129" i="8"/>
  <c r="R129" i="8"/>
  <c r="AG129" i="8"/>
  <c r="AV129" i="8"/>
  <c r="M129" i="7"/>
  <c r="AB129" i="7"/>
  <c r="AQ129" i="7"/>
  <c r="D117" i="8"/>
  <c r="S117" i="8"/>
  <c r="AH117" i="8"/>
  <c r="E105" i="8"/>
  <c r="T105" i="8"/>
  <c r="AI105" i="8"/>
  <c r="D100" i="9"/>
  <c r="S100" i="9"/>
  <c r="AH100" i="9"/>
  <c r="D77" i="7"/>
  <c r="S77" i="7"/>
  <c r="AH77" i="7"/>
  <c r="G74" i="9"/>
  <c r="V74" i="9"/>
  <c r="AK74" i="9"/>
  <c r="V70" i="10"/>
  <c r="G70" i="10"/>
  <c r="AK70" i="10"/>
  <c r="AH55" i="10"/>
  <c r="S55" i="10"/>
  <c r="D55" i="10"/>
  <c r="E57" i="9"/>
  <c r="T57" i="9"/>
  <c r="AI57" i="9"/>
  <c r="AX60" i="8"/>
  <c r="AW59" i="8"/>
  <c r="G60" i="8"/>
  <c r="V60" i="8"/>
  <c r="AK60" i="8"/>
  <c r="C59" i="8"/>
  <c r="AY59" i="8"/>
  <c r="T49" i="10"/>
  <c r="AI49" i="10"/>
  <c r="E49" i="10"/>
  <c r="C41" i="9"/>
  <c r="AY41" i="9"/>
  <c r="AX42" i="9"/>
  <c r="AW41" i="9"/>
  <c r="F42" i="9"/>
  <c r="U42" i="9"/>
  <c r="AJ42" i="9"/>
  <c r="F34" i="10"/>
  <c r="AX34" i="10"/>
  <c r="AW33" i="10"/>
  <c r="AI32" i="7"/>
  <c r="U32" i="7"/>
  <c r="F74" i="8" l="1"/>
  <c r="AJ74" i="8"/>
  <c r="U74" i="8"/>
  <c r="AL131" i="10"/>
  <c r="H131" i="10"/>
  <c r="W131" i="10"/>
  <c r="I131" i="10"/>
  <c r="X131" i="10"/>
  <c r="AM131" i="10"/>
  <c r="J131" i="10"/>
  <c r="Y131" i="10"/>
  <c r="AN131" i="10"/>
  <c r="K131" i="10"/>
  <c r="Z131" i="10"/>
  <c r="AO131" i="10"/>
  <c r="AP131" i="10"/>
  <c r="L131" i="10"/>
  <c r="AA131" i="10"/>
  <c r="AQ131" i="10"/>
  <c r="M131" i="10"/>
  <c r="AB131" i="10"/>
  <c r="N131" i="10"/>
  <c r="AC131" i="10"/>
  <c r="AR131" i="10"/>
  <c r="O131" i="10"/>
  <c r="AD131" i="10"/>
  <c r="AS131" i="10"/>
  <c r="P131" i="10"/>
  <c r="AE131" i="10"/>
  <c r="AT131" i="10"/>
  <c r="Q131" i="10"/>
  <c r="AF131" i="10"/>
  <c r="AU131" i="10"/>
  <c r="R131" i="10"/>
  <c r="AV131" i="10"/>
  <c r="AG131" i="10"/>
  <c r="H131" i="9"/>
  <c r="W131" i="9"/>
  <c r="AL131" i="9"/>
  <c r="I131" i="9"/>
  <c r="X131" i="9"/>
  <c r="AM131" i="9"/>
  <c r="J131" i="9"/>
  <c r="Y131" i="9"/>
  <c r="AN131" i="9"/>
  <c r="K131" i="9"/>
  <c r="Z131" i="9"/>
  <c r="AO131" i="9"/>
  <c r="L131" i="9"/>
  <c r="AA131" i="9"/>
  <c r="AP131" i="9"/>
  <c r="M131" i="9"/>
  <c r="AB131" i="9"/>
  <c r="AQ131" i="9"/>
  <c r="N131" i="9"/>
  <c r="AC131" i="9"/>
  <c r="AR131" i="9"/>
  <c r="O131" i="9"/>
  <c r="AD131" i="9"/>
  <c r="AS131" i="9"/>
  <c r="P131" i="9"/>
  <c r="AE131" i="9"/>
  <c r="AT131" i="9"/>
  <c r="Q131" i="9"/>
  <c r="AF131" i="9"/>
  <c r="AU131" i="9"/>
  <c r="R131" i="9"/>
  <c r="AG131" i="9"/>
  <c r="AV131" i="9"/>
  <c r="H130" i="7"/>
  <c r="W130" i="7"/>
  <c r="AL130" i="7"/>
  <c r="I130" i="7"/>
  <c r="X130" i="7"/>
  <c r="AM130" i="7"/>
  <c r="J130" i="7"/>
  <c r="Y130" i="7"/>
  <c r="AN130" i="7"/>
  <c r="K130" i="7"/>
  <c r="Z130" i="7"/>
  <c r="AO130" i="7"/>
  <c r="L130" i="7"/>
  <c r="AA130" i="7"/>
  <c r="AP130" i="7"/>
  <c r="N130" i="7"/>
  <c r="AC130" i="7"/>
  <c r="AR130" i="7"/>
  <c r="O130" i="7"/>
  <c r="AD130" i="7"/>
  <c r="AS130" i="7"/>
  <c r="P130" i="7"/>
  <c r="AE130" i="7"/>
  <c r="AT130" i="7"/>
  <c r="Q130" i="7"/>
  <c r="AF130" i="7"/>
  <c r="AU130" i="7"/>
  <c r="R130" i="7"/>
  <c r="AG130" i="7"/>
  <c r="AV130" i="7"/>
  <c r="I130" i="8"/>
  <c r="X130" i="8"/>
  <c r="AM130" i="8"/>
  <c r="J130" i="8"/>
  <c r="Y130" i="8"/>
  <c r="AN130" i="8"/>
  <c r="L130" i="8"/>
  <c r="AA130" i="8"/>
  <c r="AP130" i="8"/>
  <c r="N130" i="8"/>
  <c r="AC130" i="8"/>
  <c r="AR130" i="8"/>
  <c r="P130" i="8"/>
  <c r="AE130" i="8"/>
  <c r="AT130" i="8"/>
  <c r="Q130" i="8"/>
  <c r="AF130" i="8"/>
  <c r="AU130" i="8"/>
  <c r="H130" i="8"/>
  <c r="W130" i="8"/>
  <c r="AL130" i="8"/>
  <c r="K130" i="8"/>
  <c r="Z130" i="8"/>
  <c r="AO130" i="8"/>
  <c r="M130" i="8"/>
  <c r="AB130" i="8"/>
  <c r="AQ130" i="8"/>
  <c r="O130" i="8"/>
  <c r="AD130" i="8"/>
  <c r="AS130" i="8"/>
  <c r="R130" i="8"/>
  <c r="AG130" i="8"/>
  <c r="AV130" i="8"/>
  <c r="M130" i="7"/>
  <c r="AB130" i="7"/>
  <c r="AQ130" i="7"/>
  <c r="D118" i="8"/>
  <c r="S118" i="8"/>
  <c r="AH118" i="8"/>
  <c r="E106" i="8"/>
  <c r="T106" i="8"/>
  <c r="AI106" i="8"/>
  <c r="D101" i="9"/>
  <c r="S101" i="9"/>
  <c r="AH101" i="9"/>
  <c r="D78" i="7"/>
  <c r="S78" i="7"/>
  <c r="AH78" i="7"/>
  <c r="G75" i="9"/>
  <c r="V75" i="9"/>
  <c r="AK75" i="9"/>
  <c r="G71" i="10"/>
  <c r="V71" i="10"/>
  <c r="AK71" i="10"/>
  <c r="S56" i="10"/>
  <c r="AH56" i="10"/>
  <c r="D56" i="10"/>
  <c r="E58" i="9"/>
  <c r="T58" i="9"/>
  <c r="AI58" i="9"/>
  <c r="AY60" i="8"/>
  <c r="C60" i="8"/>
  <c r="AX61" i="8"/>
  <c r="AW60" i="8"/>
  <c r="W23" i="2" s="1"/>
  <c r="G61" i="8"/>
  <c r="V61" i="8"/>
  <c r="AK61" i="8"/>
  <c r="E50" i="10"/>
  <c r="T50" i="10"/>
  <c r="AI50" i="10"/>
  <c r="C42" i="9"/>
  <c r="AY42" i="9"/>
  <c r="AW42" i="9"/>
  <c r="AX43" i="9"/>
  <c r="F43" i="9"/>
  <c r="U43" i="9"/>
  <c r="AJ43" i="9"/>
  <c r="C34" i="10"/>
  <c r="E33" i="7"/>
  <c r="AJ32" i="7"/>
  <c r="V32" i="7"/>
  <c r="U34" i="10"/>
  <c r="F75" i="8" l="1"/>
  <c r="U75" i="8"/>
  <c r="AJ75" i="8"/>
  <c r="H132" i="10"/>
  <c r="W132" i="10"/>
  <c r="AL132" i="10"/>
  <c r="I132" i="10"/>
  <c r="X132" i="10"/>
  <c r="AM132" i="10"/>
  <c r="J132" i="10"/>
  <c r="Y132" i="10"/>
  <c r="AN132" i="10"/>
  <c r="Z132" i="10"/>
  <c r="K132" i="10"/>
  <c r="AO132" i="10"/>
  <c r="L132" i="10"/>
  <c r="AA132" i="10"/>
  <c r="AP132" i="10"/>
  <c r="M132" i="10"/>
  <c r="AB132" i="10"/>
  <c r="AQ132" i="10"/>
  <c r="AC132" i="10"/>
  <c r="N132" i="10"/>
  <c r="AR132" i="10"/>
  <c r="AD132" i="10"/>
  <c r="AS132" i="10"/>
  <c r="O132" i="10"/>
  <c r="AE132" i="10"/>
  <c r="AT132" i="10"/>
  <c r="P132" i="10"/>
  <c r="Q132" i="10"/>
  <c r="AF132" i="10"/>
  <c r="AU132" i="10"/>
  <c r="AV132" i="10"/>
  <c r="R132" i="10"/>
  <c r="AG132" i="10"/>
  <c r="H132" i="9"/>
  <c r="W132" i="9"/>
  <c r="AL132" i="9"/>
  <c r="I132" i="9"/>
  <c r="X132" i="9"/>
  <c r="AM132" i="9"/>
  <c r="J132" i="9"/>
  <c r="Y132" i="9"/>
  <c r="AN132" i="9"/>
  <c r="K132" i="9"/>
  <c r="Z132" i="9"/>
  <c r="AO132" i="9"/>
  <c r="L132" i="9"/>
  <c r="AA132" i="9"/>
  <c r="AP132" i="9"/>
  <c r="M132" i="9"/>
  <c r="AB132" i="9"/>
  <c r="AQ132" i="9"/>
  <c r="N132" i="9"/>
  <c r="AC132" i="9"/>
  <c r="AR132" i="9"/>
  <c r="O132" i="9"/>
  <c r="AD132" i="9"/>
  <c r="AS132" i="9"/>
  <c r="P132" i="9"/>
  <c r="AE132" i="9"/>
  <c r="AT132" i="9"/>
  <c r="Q132" i="9"/>
  <c r="AF132" i="9"/>
  <c r="AU132" i="9"/>
  <c r="R132" i="9"/>
  <c r="AG132" i="9"/>
  <c r="AV132" i="9"/>
  <c r="H131" i="7"/>
  <c r="W131" i="7"/>
  <c r="AL131" i="7"/>
  <c r="I131" i="7"/>
  <c r="X131" i="7"/>
  <c r="AM131" i="7"/>
  <c r="J131" i="7"/>
  <c r="Y131" i="7"/>
  <c r="AN131" i="7"/>
  <c r="K131" i="7"/>
  <c r="Z131" i="7"/>
  <c r="AO131" i="7"/>
  <c r="L131" i="7"/>
  <c r="AA131" i="7"/>
  <c r="AP131" i="7"/>
  <c r="N131" i="7"/>
  <c r="AC131" i="7"/>
  <c r="AR131" i="7"/>
  <c r="O131" i="7"/>
  <c r="AD131" i="7"/>
  <c r="AS131" i="7"/>
  <c r="P131" i="7"/>
  <c r="AE131" i="7"/>
  <c r="AT131" i="7"/>
  <c r="Q131" i="7"/>
  <c r="AF131" i="7"/>
  <c r="AU131" i="7"/>
  <c r="R131" i="7"/>
  <c r="AG131" i="7"/>
  <c r="AV131" i="7"/>
  <c r="I131" i="8"/>
  <c r="X131" i="8"/>
  <c r="AM131" i="8"/>
  <c r="J131" i="8"/>
  <c r="Y131" i="8"/>
  <c r="AN131" i="8"/>
  <c r="L131" i="8"/>
  <c r="AA131" i="8"/>
  <c r="AP131" i="8"/>
  <c r="N131" i="8"/>
  <c r="AC131" i="8"/>
  <c r="AR131" i="8"/>
  <c r="P131" i="8"/>
  <c r="AE131" i="8"/>
  <c r="AT131" i="8"/>
  <c r="Q131" i="8"/>
  <c r="AF131" i="8"/>
  <c r="AU131" i="8"/>
  <c r="H131" i="8"/>
  <c r="W131" i="8"/>
  <c r="AL131" i="8"/>
  <c r="K131" i="8"/>
  <c r="Z131" i="8"/>
  <c r="AO131" i="8"/>
  <c r="M131" i="8"/>
  <c r="AB131" i="8"/>
  <c r="AQ131" i="8"/>
  <c r="O131" i="8"/>
  <c r="AD131" i="8"/>
  <c r="AS131" i="8"/>
  <c r="R131" i="8"/>
  <c r="AG131" i="8"/>
  <c r="AV131" i="8"/>
  <c r="M131" i="7"/>
  <c r="AB131" i="7"/>
  <c r="AQ131" i="7"/>
  <c r="D119" i="8"/>
  <c r="S119" i="8"/>
  <c r="AH119" i="8"/>
  <c r="E107" i="8"/>
  <c r="T107" i="8"/>
  <c r="AI107" i="8"/>
  <c r="D102" i="9"/>
  <c r="S102" i="9"/>
  <c r="AH102" i="9"/>
  <c r="D79" i="7"/>
  <c r="S79" i="7"/>
  <c r="AH79" i="7"/>
  <c r="G76" i="9"/>
  <c r="V76" i="9"/>
  <c r="AK76" i="9"/>
  <c r="AK72" i="10"/>
  <c r="G72" i="10"/>
  <c r="V72" i="10"/>
  <c r="S57" i="10"/>
  <c r="D57" i="10"/>
  <c r="AH57" i="10"/>
  <c r="E59" i="9"/>
  <c r="T59" i="9"/>
  <c r="AI59" i="9"/>
  <c r="AY61" i="8"/>
  <c r="C61" i="8"/>
  <c r="AX62" i="8"/>
  <c r="AW61" i="8"/>
  <c r="V62" i="8"/>
  <c r="AK62" i="8"/>
  <c r="G62" i="8"/>
  <c r="E51" i="10"/>
  <c r="T51" i="10"/>
  <c r="AI51" i="10"/>
  <c r="AY43" i="9"/>
  <c r="C43" i="9"/>
  <c r="AX44" i="9"/>
  <c r="AW43" i="9"/>
  <c r="F44" i="9"/>
  <c r="U44" i="9"/>
  <c r="AJ44" i="9"/>
  <c r="F33" i="7"/>
  <c r="AY32" i="7"/>
  <c r="AK32" i="7"/>
  <c r="AX33" i="7"/>
  <c r="AW32" i="7"/>
  <c r="AJ34" i="10"/>
  <c r="AY34" i="10"/>
  <c r="U76" i="8" l="1"/>
  <c r="AJ76" i="8"/>
  <c r="F76" i="8"/>
  <c r="H133" i="10"/>
  <c r="AL133" i="10"/>
  <c r="W133" i="10"/>
  <c r="I133" i="10"/>
  <c r="X133" i="10"/>
  <c r="AM133" i="10"/>
  <c r="J133" i="10"/>
  <c r="Y133" i="10"/>
  <c r="AN133" i="10"/>
  <c r="K133" i="10"/>
  <c r="Z133" i="10"/>
  <c r="AO133" i="10"/>
  <c r="L133" i="10"/>
  <c r="AA133" i="10"/>
  <c r="AP133" i="10"/>
  <c r="M133" i="10"/>
  <c r="AB133" i="10"/>
  <c r="AQ133" i="10"/>
  <c r="AC133" i="10"/>
  <c r="AR133" i="10"/>
  <c r="N133" i="10"/>
  <c r="AD133" i="10"/>
  <c r="O133" i="10"/>
  <c r="AS133" i="10"/>
  <c r="AE133" i="10"/>
  <c r="P133" i="10"/>
  <c r="AT133" i="10"/>
  <c r="AF133" i="10"/>
  <c r="Q133" i="10"/>
  <c r="AU133" i="10"/>
  <c r="AG133" i="10"/>
  <c r="AV133" i="10"/>
  <c r="R133" i="10"/>
  <c r="H133" i="9"/>
  <c r="W133" i="9"/>
  <c r="AL133" i="9"/>
  <c r="I133" i="9"/>
  <c r="X133" i="9"/>
  <c r="AM133" i="9"/>
  <c r="J133" i="9"/>
  <c r="Y133" i="9"/>
  <c r="AN133" i="9"/>
  <c r="K133" i="9"/>
  <c r="Z133" i="9"/>
  <c r="AO133" i="9"/>
  <c r="L133" i="9"/>
  <c r="AA133" i="9"/>
  <c r="AP133" i="9"/>
  <c r="M133" i="9"/>
  <c r="AB133" i="9"/>
  <c r="AQ133" i="9"/>
  <c r="N133" i="9"/>
  <c r="AC133" i="9"/>
  <c r="AR133" i="9"/>
  <c r="O133" i="9"/>
  <c r="AD133" i="9"/>
  <c r="AS133" i="9"/>
  <c r="P133" i="9"/>
  <c r="AE133" i="9"/>
  <c r="AT133" i="9"/>
  <c r="Q133" i="9"/>
  <c r="AF133" i="9"/>
  <c r="AU133" i="9"/>
  <c r="R133" i="9"/>
  <c r="AG133" i="9"/>
  <c r="AV133" i="9"/>
  <c r="H132" i="7"/>
  <c r="W132" i="7"/>
  <c r="AL132" i="7"/>
  <c r="I132" i="7"/>
  <c r="X132" i="7"/>
  <c r="AM132" i="7"/>
  <c r="J132" i="7"/>
  <c r="Y132" i="7"/>
  <c r="AN132" i="7"/>
  <c r="K132" i="7"/>
  <c r="Z132" i="7"/>
  <c r="AO132" i="7"/>
  <c r="L132" i="7"/>
  <c r="AA132" i="7"/>
  <c r="AP132" i="7"/>
  <c r="N132" i="7"/>
  <c r="AC132" i="7"/>
  <c r="AR132" i="7"/>
  <c r="O132" i="7"/>
  <c r="AD132" i="7"/>
  <c r="AS132" i="7"/>
  <c r="P132" i="7"/>
  <c r="AE132" i="7"/>
  <c r="AT132" i="7"/>
  <c r="Q132" i="7"/>
  <c r="AF132" i="7"/>
  <c r="AU132" i="7"/>
  <c r="R132" i="7"/>
  <c r="AG132" i="7"/>
  <c r="AV132" i="7"/>
  <c r="I132" i="8"/>
  <c r="X132" i="8"/>
  <c r="AM132" i="8"/>
  <c r="J132" i="8"/>
  <c r="Y132" i="8"/>
  <c r="AN132" i="8"/>
  <c r="L132" i="8"/>
  <c r="AA132" i="8"/>
  <c r="AP132" i="8"/>
  <c r="N132" i="8"/>
  <c r="AC132" i="8"/>
  <c r="AR132" i="8"/>
  <c r="P132" i="8"/>
  <c r="AE132" i="8"/>
  <c r="AT132" i="8"/>
  <c r="Q132" i="8"/>
  <c r="AF132" i="8"/>
  <c r="AU132" i="8"/>
  <c r="H132" i="8"/>
  <c r="W132" i="8"/>
  <c r="AL132" i="8"/>
  <c r="K132" i="8"/>
  <c r="Z132" i="8"/>
  <c r="AO132" i="8"/>
  <c r="M132" i="8"/>
  <c r="AB132" i="8"/>
  <c r="AQ132" i="8"/>
  <c r="O132" i="8"/>
  <c r="AD132" i="8"/>
  <c r="AS132" i="8"/>
  <c r="R132" i="8"/>
  <c r="AG132" i="8"/>
  <c r="AV132" i="8"/>
  <c r="M132" i="7"/>
  <c r="AB132" i="7"/>
  <c r="AQ132" i="7"/>
  <c r="D120" i="8"/>
  <c r="S120" i="8"/>
  <c r="AH120" i="8"/>
  <c r="E108" i="8"/>
  <c r="T108" i="8"/>
  <c r="AI108" i="8"/>
  <c r="D103" i="9"/>
  <c r="S103" i="9"/>
  <c r="AH103" i="9"/>
  <c r="D80" i="7"/>
  <c r="S80" i="7"/>
  <c r="AH80" i="7"/>
  <c r="G77" i="9"/>
  <c r="V77" i="9"/>
  <c r="AK77" i="9"/>
  <c r="G73" i="10"/>
  <c r="V73" i="10"/>
  <c r="AK73" i="10"/>
  <c r="AH58" i="10"/>
  <c r="S58" i="10"/>
  <c r="D58" i="10"/>
  <c r="E60" i="9"/>
  <c r="T60" i="9"/>
  <c r="AI60" i="9"/>
  <c r="AX63" i="8"/>
  <c r="AW62" i="8"/>
  <c r="AK63" i="8"/>
  <c r="G63" i="8"/>
  <c r="V63" i="8"/>
  <c r="AY62" i="8"/>
  <c r="C62" i="8"/>
  <c r="AI52" i="10"/>
  <c r="E52" i="10"/>
  <c r="T52" i="10"/>
  <c r="C44" i="9"/>
  <c r="AY44" i="9"/>
  <c r="AW44" i="9"/>
  <c r="AX45" i="9"/>
  <c r="F45" i="9"/>
  <c r="U45" i="9"/>
  <c r="AJ45" i="9"/>
  <c r="G33" i="7"/>
  <c r="AJ35" i="10"/>
  <c r="U35" i="10"/>
  <c r="F35" i="10"/>
  <c r="AW34" i="10"/>
  <c r="AX35" i="10"/>
  <c r="AJ77" i="8" l="1"/>
  <c r="F77" i="8"/>
  <c r="U77" i="8"/>
  <c r="H134" i="10"/>
  <c r="W134" i="10"/>
  <c r="AL134" i="10"/>
  <c r="X134" i="10"/>
  <c r="AM134" i="10"/>
  <c r="I134" i="10"/>
  <c r="Y134" i="10"/>
  <c r="J134" i="10"/>
  <c r="AN134" i="10"/>
  <c r="K134" i="10"/>
  <c r="Z134" i="10"/>
  <c r="AO134" i="10"/>
  <c r="L134" i="10"/>
  <c r="AA134" i="10"/>
  <c r="AP134" i="10"/>
  <c r="M134" i="10"/>
  <c r="AB134" i="10"/>
  <c r="AQ134" i="10"/>
  <c r="AR134" i="10"/>
  <c r="N134" i="10"/>
  <c r="AC134" i="10"/>
  <c r="AS134" i="10"/>
  <c r="O134" i="10"/>
  <c r="AD134" i="10"/>
  <c r="P134" i="10"/>
  <c r="AT134" i="10"/>
  <c r="AE134" i="10"/>
  <c r="Q134" i="10"/>
  <c r="AU134" i="10"/>
  <c r="AF134" i="10"/>
  <c r="R134" i="10"/>
  <c r="AG134" i="10"/>
  <c r="AV134" i="10"/>
  <c r="H134" i="9"/>
  <c r="W134" i="9"/>
  <c r="AL134" i="9"/>
  <c r="I134" i="9"/>
  <c r="X134" i="9"/>
  <c r="AM134" i="9"/>
  <c r="J134" i="9"/>
  <c r="Y134" i="9"/>
  <c r="AN134" i="9"/>
  <c r="K134" i="9"/>
  <c r="Z134" i="9"/>
  <c r="AO134" i="9"/>
  <c r="L134" i="9"/>
  <c r="AA134" i="9"/>
  <c r="AP134" i="9"/>
  <c r="M134" i="9"/>
  <c r="AB134" i="9"/>
  <c r="AQ134" i="9"/>
  <c r="N134" i="9"/>
  <c r="AC134" i="9"/>
  <c r="AR134" i="9"/>
  <c r="O134" i="9"/>
  <c r="AD134" i="9"/>
  <c r="AS134" i="9"/>
  <c r="P134" i="9"/>
  <c r="AE134" i="9"/>
  <c r="AT134" i="9"/>
  <c r="Q134" i="9"/>
  <c r="AF134" i="9"/>
  <c r="AU134" i="9"/>
  <c r="R134" i="9"/>
  <c r="AG134" i="9"/>
  <c r="AV134" i="9"/>
  <c r="H133" i="7"/>
  <c r="W133" i="7"/>
  <c r="AL133" i="7"/>
  <c r="I133" i="7"/>
  <c r="X133" i="7"/>
  <c r="AM133" i="7"/>
  <c r="J133" i="7"/>
  <c r="Y133" i="7"/>
  <c r="AN133" i="7"/>
  <c r="K133" i="7"/>
  <c r="Z133" i="7"/>
  <c r="AO133" i="7"/>
  <c r="L133" i="7"/>
  <c r="AA133" i="7"/>
  <c r="AP133" i="7"/>
  <c r="N133" i="7"/>
  <c r="AC133" i="7"/>
  <c r="AR133" i="7"/>
  <c r="O133" i="7"/>
  <c r="AD133" i="7"/>
  <c r="AS133" i="7"/>
  <c r="P133" i="7"/>
  <c r="AE133" i="7"/>
  <c r="AT133" i="7"/>
  <c r="Q133" i="7"/>
  <c r="AF133" i="7"/>
  <c r="AU133" i="7"/>
  <c r="R133" i="7"/>
  <c r="AG133" i="7"/>
  <c r="AV133" i="7"/>
  <c r="I133" i="8"/>
  <c r="X133" i="8"/>
  <c r="AM133" i="8"/>
  <c r="J133" i="8"/>
  <c r="Y133" i="8"/>
  <c r="AN133" i="8"/>
  <c r="L133" i="8"/>
  <c r="AA133" i="8"/>
  <c r="AP133" i="8"/>
  <c r="N133" i="8"/>
  <c r="AC133" i="8"/>
  <c r="AR133" i="8"/>
  <c r="P133" i="8"/>
  <c r="AE133" i="8"/>
  <c r="AT133" i="8"/>
  <c r="Q133" i="8"/>
  <c r="AF133" i="8"/>
  <c r="AU133" i="8"/>
  <c r="H133" i="8"/>
  <c r="W133" i="8"/>
  <c r="AL133" i="8"/>
  <c r="K133" i="8"/>
  <c r="Z133" i="8"/>
  <c r="AO133" i="8"/>
  <c r="M133" i="8"/>
  <c r="AB133" i="8"/>
  <c r="AQ133" i="8"/>
  <c r="O133" i="8"/>
  <c r="AD133" i="8"/>
  <c r="AS133" i="8"/>
  <c r="R133" i="8"/>
  <c r="AG133" i="8"/>
  <c r="AV133" i="8"/>
  <c r="M133" i="7"/>
  <c r="AB133" i="7"/>
  <c r="AQ133" i="7"/>
  <c r="D121" i="8"/>
  <c r="S121" i="8"/>
  <c r="AH121" i="8"/>
  <c r="E109" i="8"/>
  <c r="T109" i="8"/>
  <c r="AI109" i="8"/>
  <c r="D104" i="9"/>
  <c r="S104" i="9"/>
  <c r="AH104" i="9"/>
  <c r="D81" i="7"/>
  <c r="S81" i="7"/>
  <c r="AH81" i="7"/>
  <c r="G78" i="9"/>
  <c r="V78" i="9"/>
  <c r="AK78" i="9"/>
  <c r="AK74" i="10"/>
  <c r="V74" i="10"/>
  <c r="G74" i="10"/>
  <c r="AH59" i="10"/>
  <c r="S59" i="10"/>
  <c r="D59" i="10"/>
  <c r="E61" i="9"/>
  <c r="T61" i="9"/>
  <c r="AI61" i="9"/>
  <c r="AX64" i="8"/>
  <c r="AW63" i="8"/>
  <c r="W24" i="2" s="1"/>
  <c r="AK64" i="8"/>
  <c r="G64" i="8"/>
  <c r="V64" i="8"/>
  <c r="AY63" i="8"/>
  <c r="C63" i="8"/>
  <c r="E53" i="10"/>
  <c r="AI53" i="10"/>
  <c r="T53" i="10"/>
  <c r="C45" i="9"/>
  <c r="AY45" i="9"/>
  <c r="AW45" i="9"/>
  <c r="AX46" i="9"/>
  <c r="F46" i="9"/>
  <c r="U46" i="9"/>
  <c r="AJ46" i="9"/>
  <c r="C33" i="7"/>
  <c r="AW35" i="10"/>
  <c r="AX36" i="10"/>
  <c r="F36" i="10"/>
  <c r="U36" i="10"/>
  <c r="AJ36" i="10"/>
  <c r="AY35" i="10"/>
  <c r="C35" i="10"/>
  <c r="U78" i="8" l="1"/>
  <c r="AJ78" i="8"/>
  <c r="F78" i="8"/>
  <c r="W135" i="10"/>
  <c r="H135" i="10"/>
  <c r="AL135" i="10"/>
  <c r="I135" i="10"/>
  <c r="X135" i="10"/>
  <c r="AM135" i="10"/>
  <c r="J135" i="10"/>
  <c r="Y135" i="10"/>
  <c r="AN135" i="10"/>
  <c r="AO135" i="10"/>
  <c r="K135" i="10"/>
  <c r="Z135" i="10"/>
  <c r="L135" i="10"/>
  <c r="AA135" i="10"/>
  <c r="AP135" i="10"/>
  <c r="M135" i="10"/>
  <c r="AB135" i="10"/>
  <c r="AQ135" i="10"/>
  <c r="N135" i="10"/>
  <c r="AC135" i="10"/>
  <c r="AR135" i="10"/>
  <c r="O135" i="10"/>
  <c r="AD135" i="10"/>
  <c r="AS135" i="10"/>
  <c r="P135" i="10"/>
  <c r="AE135" i="10"/>
  <c r="AT135" i="10"/>
  <c r="Q135" i="10"/>
  <c r="AF135" i="10"/>
  <c r="AU135" i="10"/>
  <c r="R135" i="10"/>
  <c r="AG135" i="10"/>
  <c r="AV135" i="10"/>
  <c r="H135" i="9"/>
  <c r="W135" i="9"/>
  <c r="AL135" i="9"/>
  <c r="I135" i="9"/>
  <c r="X135" i="9"/>
  <c r="AM135" i="9"/>
  <c r="J135" i="9"/>
  <c r="Y135" i="9"/>
  <c r="AN135" i="9"/>
  <c r="K135" i="9"/>
  <c r="Z135" i="9"/>
  <c r="AO135" i="9"/>
  <c r="L135" i="9"/>
  <c r="AA135" i="9"/>
  <c r="AP135" i="9"/>
  <c r="M135" i="9"/>
  <c r="AB135" i="9"/>
  <c r="AQ135" i="9"/>
  <c r="N135" i="9"/>
  <c r="AC135" i="9"/>
  <c r="AR135" i="9"/>
  <c r="O135" i="9"/>
  <c r="AD135" i="9"/>
  <c r="AS135" i="9"/>
  <c r="P135" i="9"/>
  <c r="AE135" i="9"/>
  <c r="AT135" i="9"/>
  <c r="Q135" i="9"/>
  <c r="AF135" i="9"/>
  <c r="AU135" i="9"/>
  <c r="R135" i="9"/>
  <c r="AG135" i="9"/>
  <c r="AV135" i="9"/>
  <c r="H134" i="7"/>
  <c r="W134" i="7"/>
  <c r="AL134" i="7"/>
  <c r="I134" i="7"/>
  <c r="X134" i="7"/>
  <c r="AM134" i="7"/>
  <c r="J134" i="7"/>
  <c r="Y134" i="7"/>
  <c r="AN134" i="7"/>
  <c r="K134" i="7"/>
  <c r="Z134" i="7"/>
  <c r="AO134" i="7"/>
  <c r="L134" i="7"/>
  <c r="AA134" i="7"/>
  <c r="AP134" i="7"/>
  <c r="N134" i="7"/>
  <c r="AC134" i="7"/>
  <c r="AR134" i="7"/>
  <c r="O134" i="7"/>
  <c r="AD134" i="7"/>
  <c r="AS134" i="7"/>
  <c r="P134" i="7"/>
  <c r="AE134" i="7"/>
  <c r="AT134" i="7"/>
  <c r="Q134" i="7"/>
  <c r="AF134" i="7"/>
  <c r="AU134" i="7"/>
  <c r="R134" i="7"/>
  <c r="AG134" i="7"/>
  <c r="AV134" i="7"/>
  <c r="I134" i="8"/>
  <c r="X134" i="8"/>
  <c r="AM134" i="8"/>
  <c r="J134" i="8"/>
  <c r="Y134" i="8"/>
  <c r="AN134" i="8"/>
  <c r="L134" i="8"/>
  <c r="AA134" i="8"/>
  <c r="AP134" i="8"/>
  <c r="N134" i="8"/>
  <c r="AC134" i="8"/>
  <c r="AR134" i="8"/>
  <c r="P134" i="8"/>
  <c r="AE134" i="8"/>
  <c r="AT134" i="8"/>
  <c r="Q134" i="8"/>
  <c r="AF134" i="8"/>
  <c r="AU134" i="8"/>
  <c r="H134" i="8"/>
  <c r="W134" i="8"/>
  <c r="AL134" i="8"/>
  <c r="K134" i="8"/>
  <c r="Z134" i="8"/>
  <c r="AO134" i="8"/>
  <c r="M134" i="8"/>
  <c r="AB134" i="8"/>
  <c r="AQ134" i="8"/>
  <c r="O134" i="8"/>
  <c r="AD134" i="8"/>
  <c r="AS134" i="8"/>
  <c r="R134" i="8"/>
  <c r="AG134" i="8"/>
  <c r="AV134" i="8"/>
  <c r="M134" i="7"/>
  <c r="AB134" i="7"/>
  <c r="AQ134" i="7"/>
  <c r="D122" i="8"/>
  <c r="S122" i="8"/>
  <c r="AH122" i="8"/>
  <c r="E110" i="8"/>
  <c r="T110" i="8"/>
  <c r="AI110" i="8"/>
  <c r="D105" i="9"/>
  <c r="S105" i="9"/>
  <c r="AH105" i="9"/>
  <c r="D82" i="7"/>
  <c r="S82" i="7"/>
  <c r="AH82" i="7"/>
  <c r="G79" i="9"/>
  <c r="V79" i="9"/>
  <c r="AK79" i="9"/>
  <c r="V75" i="10"/>
  <c r="G75" i="10"/>
  <c r="AK75" i="10"/>
  <c r="S60" i="10"/>
  <c r="AH60" i="10"/>
  <c r="D60" i="10"/>
  <c r="E62" i="9"/>
  <c r="T62" i="9"/>
  <c r="AI62" i="9"/>
  <c r="AW64" i="8"/>
  <c r="AX65" i="8"/>
  <c r="G65" i="8"/>
  <c r="V65" i="8"/>
  <c r="AK65" i="8"/>
  <c r="AY64" i="8"/>
  <c r="C64" i="8"/>
  <c r="AI54" i="10"/>
  <c r="T54" i="10"/>
  <c r="E54" i="10"/>
  <c r="C46" i="9"/>
  <c r="AY46" i="9"/>
  <c r="AW46" i="9"/>
  <c r="AX47" i="9"/>
  <c r="F47" i="9"/>
  <c r="U47" i="9"/>
  <c r="AJ47" i="9"/>
  <c r="T33" i="7"/>
  <c r="C36" i="10"/>
  <c r="AY36" i="10"/>
  <c r="AW36" i="10"/>
  <c r="AX37" i="10"/>
  <c r="F37" i="10"/>
  <c r="U37" i="10"/>
  <c r="AJ37" i="10"/>
  <c r="U79" i="8" l="1"/>
  <c r="AJ79" i="8"/>
  <c r="F79" i="8"/>
  <c r="H136" i="10"/>
  <c r="W136" i="10"/>
  <c r="AL136" i="10"/>
  <c r="I136" i="10"/>
  <c r="X136" i="10"/>
  <c r="AM136" i="10"/>
  <c r="J136" i="10"/>
  <c r="Y136" i="10"/>
  <c r="AN136" i="10"/>
  <c r="K136" i="10"/>
  <c r="Z136" i="10"/>
  <c r="AO136" i="10"/>
  <c r="L136" i="10"/>
  <c r="AA136" i="10"/>
  <c r="AP136" i="10"/>
  <c r="M136" i="10"/>
  <c r="AB136" i="10"/>
  <c r="AQ136" i="10"/>
  <c r="N136" i="10"/>
  <c r="AC136" i="10"/>
  <c r="AR136" i="10"/>
  <c r="O136" i="10"/>
  <c r="AD136" i="10"/>
  <c r="AS136" i="10"/>
  <c r="P136" i="10"/>
  <c r="AE136" i="10"/>
  <c r="AT136" i="10"/>
  <c r="Q136" i="10"/>
  <c r="AF136" i="10"/>
  <c r="AU136" i="10"/>
  <c r="R136" i="10"/>
  <c r="AG136" i="10"/>
  <c r="AV136" i="10"/>
  <c r="H136" i="9"/>
  <c r="W136" i="9"/>
  <c r="AL136" i="9"/>
  <c r="I136" i="9"/>
  <c r="X136" i="9"/>
  <c r="AM136" i="9"/>
  <c r="J136" i="9"/>
  <c r="Y136" i="9"/>
  <c r="AN136" i="9"/>
  <c r="K136" i="9"/>
  <c r="Z136" i="9"/>
  <c r="AO136" i="9"/>
  <c r="L136" i="9"/>
  <c r="AA136" i="9"/>
  <c r="AP136" i="9"/>
  <c r="M136" i="9"/>
  <c r="AB136" i="9"/>
  <c r="AQ136" i="9"/>
  <c r="N136" i="9"/>
  <c r="AC136" i="9"/>
  <c r="AR136" i="9"/>
  <c r="O136" i="9"/>
  <c r="AD136" i="9"/>
  <c r="AS136" i="9"/>
  <c r="P136" i="9"/>
  <c r="AE136" i="9"/>
  <c r="AT136" i="9"/>
  <c r="Q136" i="9"/>
  <c r="AF136" i="9"/>
  <c r="AU136" i="9"/>
  <c r="R136" i="9"/>
  <c r="AG136" i="9"/>
  <c r="AV136" i="9"/>
  <c r="H135" i="7"/>
  <c r="W135" i="7"/>
  <c r="AL135" i="7"/>
  <c r="I135" i="7"/>
  <c r="X135" i="7"/>
  <c r="AM135" i="7"/>
  <c r="J135" i="7"/>
  <c r="Y135" i="7"/>
  <c r="AN135" i="7"/>
  <c r="K135" i="7"/>
  <c r="Z135" i="7"/>
  <c r="AO135" i="7"/>
  <c r="L135" i="7"/>
  <c r="AA135" i="7"/>
  <c r="AP135" i="7"/>
  <c r="N135" i="7"/>
  <c r="AC135" i="7"/>
  <c r="AR135" i="7"/>
  <c r="O135" i="7"/>
  <c r="AD135" i="7"/>
  <c r="AS135" i="7"/>
  <c r="P135" i="7"/>
  <c r="AE135" i="7"/>
  <c r="AT135" i="7"/>
  <c r="Q135" i="7"/>
  <c r="AF135" i="7"/>
  <c r="AU135" i="7"/>
  <c r="R135" i="7"/>
  <c r="AG135" i="7"/>
  <c r="AV135" i="7"/>
  <c r="I135" i="8"/>
  <c r="X135" i="8"/>
  <c r="AM135" i="8"/>
  <c r="J135" i="8"/>
  <c r="Y135" i="8"/>
  <c r="AN135" i="8"/>
  <c r="L135" i="8"/>
  <c r="AA135" i="8"/>
  <c r="AP135" i="8"/>
  <c r="N135" i="8"/>
  <c r="AC135" i="8"/>
  <c r="AR135" i="8"/>
  <c r="P135" i="8"/>
  <c r="AE135" i="8"/>
  <c r="AT135" i="8"/>
  <c r="Q135" i="8"/>
  <c r="AF135" i="8"/>
  <c r="AU135" i="8"/>
  <c r="H135" i="8"/>
  <c r="W135" i="8"/>
  <c r="AL135" i="8"/>
  <c r="K135" i="8"/>
  <c r="Z135" i="8"/>
  <c r="AO135" i="8"/>
  <c r="M135" i="8"/>
  <c r="AB135" i="8"/>
  <c r="AQ135" i="8"/>
  <c r="O135" i="8"/>
  <c r="AD135" i="8"/>
  <c r="AS135" i="8"/>
  <c r="R135" i="8"/>
  <c r="AG135" i="8"/>
  <c r="AV135" i="8"/>
  <c r="M135" i="7"/>
  <c r="AB135" i="7"/>
  <c r="AQ135" i="7"/>
  <c r="D123" i="8"/>
  <c r="S123" i="8"/>
  <c r="AH123" i="8"/>
  <c r="E111" i="8"/>
  <c r="T111" i="8"/>
  <c r="AI111" i="8"/>
  <c r="D106" i="9"/>
  <c r="S106" i="9"/>
  <c r="AH106" i="9"/>
  <c r="D83" i="7"/>
  <c r="S83" i="7"/>
  <c r="AH83" i="7"/>
  <c r="G80" i="9"/>
  <c r="V80" i="9"/>
  <c r="AK80" i="9"/>
  <c r="G76" i="10"/>
  <c r="V76" i="10"/>
  <c r="AK76" i="10"/>
  <c r="S61" i="10"/>
  <c r="D61" i="10"/>
  <c r="AH61" i="10"/>
  <c r="E63" i="9"/>
  <c r="T63" i="9"/>
  <c r="AI63" i="9"/>
  <c r="AY65" i="8"/>
  <c r="C65" i="8"/>
  <c r="AX66" i="8"/>
  <c r="AW65" i="8"/>
  <c r="G66" i="8"/>
  <c r="AK66" i="8"/>
  <c r="V66" i="8"/>
  <c r="E55" i="10"/>
  <c r="AI55" i="10"/>
  <c r="T55" i="10"/>
  <c r="C47" i="9"/>
  <c r="AY47" i="9"/>
  <c r="AX48" i="9"/>
  <c r="AW47" i="9"/>
  <c r="F48" i="9"/>
  <c r="U48" i="9"/>
  <c r="AJ48" i="9"/>
  <c r="AI33" i="7"/>
  <c r="AY37" i="10"/>
  <c r="C37" i="10"/>
  <c r="AW37" i="10"/>
  <c r="AX38" i="10"/>
  <c r="F38" i="10"/>
  <c r="U38" i="10"/>
  <c r="AJ38" i="10"/>
  <c r="U33" i="7"/>
  <c r="F80" i="8" l="1"/>
  <c r="U80" i="8"/>
  <c r="AJ80" i="8"/>
  <c r="H137" i="10"/>
  <c r="W137" i="10"/>
  <c r="AL137" i="10"/>
  <c r="I137" i="10"/>
  <c r="X137" i="10"/>
  <c r="AM137" i="10"/>
  <c r="J137" i="10"/>
  <c r="Y137" i="10"/>
  <c r="AN137" i="10"/>
  <c r="K137" i="10"/>
  <c r="Z137" i="10"/>
  <c r="AO137" i="10"/>
  <c r="L137" i="10"/>
  <c r="AA137" i="10"/>
  <c r="AP137" i="10"/>
  <c r="M137" i="10"/>
  <c r="AB137" i="10"/>
  <c r="AQ137" i="10"/>
  <c r="N137" i="10"/>
  <c r="AC137" i="10"/>
  <c r="AR137" i="10"/>
  <c r="O137" i="10"/>
  <c r="AD137" i="10"/>
  <c r="AS137" i="10"/>
  <c r="P137" i="10"/>
  <c r="AE137" i="10"/>
  <c r="AT137" i="10"/>
  <c r="Q137" i="10"/>
  <c r="AF137" i="10"/>
  <c r="AU137" i="10"/>
  <c r="R137" i="10"/>
  <c r="AG137" i="10"/>
  <c r="AV137" i="10"/>
  <c r="H137" i="9"/>
  <c r="W137" i="9"/>
  <c r="AL137" i="9"/>
  <c r="I137" i="9"/>
  <c r="X137" i="9"/>
  <c r="AM137" i="9"/>
  <c r="J137" i="9"/>
  <c r="Y137" i="9"/>
  <c r="AN137" i="9"/>
  <c r="K137" i="9"/>
  <c r="Z137" i="9"/>
  <c r="AO137" i="9"/>
  <c r="L137" i="9"/>
  <c r="AA137" i="9"/>
  <c r="AP137" i="9"/>
  <c r="M137" i="9"/>
  <c r="AB137" i="9"/>
  <c r="AQ137" i="9"/>
  <c r="N137" i="9"/>
  <c r="AC137" i="9"/>
  <c r="AR137" i="9"/>
  <c r="O137" i="9"/>
  <c r="AD137" i="9"/>
  <c r="AS137" i="9"/>
  <c r="P137" i="9"/>
  <c r="AE137" i="9"/>
  <c r="AT137" i="9"/>
  <c r="Q137" i="9"/>
  <c r="AF137" i="9"/>
  <c r="AU137" i="9"/>
  <c r="R137" i="9"/>
  <c r="AG137" i="9"/>
  <c r="AV137" i="9"/>
  <c r="H136" i="7"/>
  <c r="W136" i="7"/>
  <c r="AL136" i="7"/>
  <c r="I136" i="7"/>
  <c r="X136" i="7"/>
  <c r="AM136" i="7"/>
  <c r="J136" i="7"/>
  <c r="Y136" i="7"/>
  <c r="AN136" i="7"/>
  <c r="K136" i="7"/>
  <c r="Z136" i="7"/>
  <c r="AO136" i="7"/>
  <c r="L136" i="7"/>
  <c r="AA136" i="7"/>
  <c r="AP136" i="7"/>
  <c r="N136" i="7"/>
  <c r="AC136" i="7"/>
  <c r="AR136" i="7"/>
  <c r="O136" i="7"/>
  <c r="AD136" i="7"/>
  <c r="AS136" i="7"/>
  <c r="P136" i="7"/>
  <c r="AE136" i="7"/>
  <c r="AT136" i="7"/>
  <c r="Q136" i="7"/>
  <c r="AF136" i="7"/>
  <c r="AU136" i="7"/>
  <c r="R136" i="7"/>
  <c r="AG136" i="7"/>
  <c r="AV136" i="7"/>
  <c r="I136" i="8"/>
  <c r="X136" i="8"/>
  <c r="AM136" i="8"/>
  <c r="J136" i="8"/>
  <c r="Y136" i="8"/>
  <c r="AN136" i="8"/>
  <c r="L136" i="8"/>
  <c r="AA136" i="8"/>
  <c r="AP136" i="8"/>
  <c r="N136" i="8"/>
  <c r="AC136" i="8"/>
  <c r="AR136" i="8"/>
  <c r="P136" i="8"/>
  <c r="AE136" i="8"/>
  <c r="AT136" i="8"/>
  <c r="Q136" i="8"/>
  <c r="AF136" i="8"/>
  <c r="AU136" i="8"/>
  <c r="H136" i="8"/>
  <c r="W136" i="8"/>
  <c r="AL136" i="8"/>
  <c r="K136" i="8"/>
  <c r="Z136" i="8"/>
  <c r="AO136" i="8"/>
  <c r="M136" i="8"/>
  <c r="AB136" i="8"/>
  <c r="AQ136" i="8"/>
  <c r="O136" i="8"/>
  <c r="AD136" i="8"/>
  <c r="AS136" i="8"/>
  <c r="R136" i="8"/>
  <c r="AG136" i="8"/>
  <c r="AV136" i="8"/>
  <c r="M136" i="7"/>
  <c r="AB136" i="7"/>
  <c r="AQ136" i="7"/>
  <c r="D124" i="8"/>
  <c r="S124" i="8"/>
  <c r="AH124" i="8"/>
  <c r="E112" i="8"/>
  <c r="T112" i="8"/>
  <c r="AI112" i="8"/>
  <c r="D107" i="9"/>
  <c r="S107" i="9"/>
  <c r="AH107" i="9"/>
  <c r="D84" i="7"/>
  <c r="S84" i="7"/>
  <c r="AH84" i="7"/>
  <c r="G81" i="9"/>
  <c r="V81" i="9"/>
  <c r="AK81" i="9"/>
  <c r="G77" i="10"/>
  <c r="V77" i="10"/>
  <c r="AK77" i="10"/>
  <c r="AH62" i="10"/>
  <c r="D62" i="10"/>
  <c r="S62" i="10"/>
  <c r="E64" i="9"/>
  <c r="T64" i="9"/>
  <c r="AI64" i="9"/>
  <c r="C66" i="8"/>
  <c r="AY66" i="8"/>
  <c r="AW66" i="8"/>
  <c r="W25" i="2" s="1"/>
  <c r="AX67" i="8"/>
  <c r="G67" i="8"/>
  <c r="V67" i="8"/>
  <c r="AK67" i="8"/>
  <c r="E56" i="10"/>
  <c r="AI56" i="10"/>
  <c r="T56" i="10"/>
  <c r="C48" i="9"/>
  <c r="AY48" i="9"/>
  <c r="AX49" i="9"/>
  <c r="AW48" i="9"/>
  <c r="F49" i="9"/>
  <c r="U49" i="9"/>
  <c r="AJ49" i="9"/>
  <c r="E34" i="7"/>
  <c r="C38" i="10"/>
  <c r="AY38" i="10"/>
  <c r="AX39" i="10"/>
  <c r="AW38" i="10"/>
  <c r="F39" i="10"/>
  <c r="U39" i="10"/>
  <c r="AJ39" i="10"/>
  <c r="AJ33" i="7"/>
  <c r="V33" i="7"/>
  <c r="F81" i="8" l="1"/>
  <c r="U81" i="8"/>
  <c r="AJ81" i="8"/>
  <c r="AL138" i="10"/>
  <c r="H138" i="10"/>
  <c r="W138" i="10"/>
  <c r="I138" i="10"/>
  <c r="X138" i="10"/>
  <c r="AM138" i="10"/>
  <c r="Y138" i="10"/>
  <c r="J138" i="10"/>
  <c r="AN138" i="10"/>
  <c r="AO138" i="10"/>
  <c r="K138" i="10"/>
  <c r="Z138" i="10"/>
  <c r="L138" i="10"/>
  <c r="AA138" i="10"/>
  <c r="AP138" i="10"/>
  <c r="M138" i="10"/>
  <c r="AQ138" i="10"/>
  <c r="AB138" i="10"/>
  <c r="N138" i="10"/>
  <c r="AC138" i="10"/>
  <c r="AR138" i="10"/>
  <c r="AD138" i="10"/>
  <c r="O138" i="10"/>
  <c r="AS138" i="10"/>
  <c r="P138" i="10"/>
  <c r="AT138" i="10"/>
  <c r="AE138" i="10"/>
  <c r="Q138" i="10"/>
  <c r="AF138" i="10"/>
  <c r="AU138" i="10"/>
  <c r="R138" i="10"/>
  <c r="AV138" i="10"/>
  <c r="AG138" i="10"/>
  <c r="H138" i="9"/>
  <c r="W138" i="9"/>
  <c r="AL138" i="9"/>
  <c r="I138" i="9"/>
  <c r="X138" i="9"/>
  <c r="AM138" i="9"/>
  <c r="J138" i="9"/>
  <c r="Y138" i="9"/>
  <c r="AN138" i="9"/>
  <c r="K138" i="9"/>
  <c r="Z138" i="9"/>
  <c r="AO138" i="9"/>
  <c r="L138" i="9"/>
  <c r="AA138" i="9"/>
  <c r="AP138" i="9"/>
  <c r="M138" i="9"/>
  <c r="AB138" i="9"/>
  <c r="AQ138" i="9"/>
  <c r="N138" i="9"/>
  <c r="AC138" i="9"/>
  <c r="AR138" i="9"/>
  <c r="O138" i="9"/>
  <c r="AD138" i="9"/>
  <c r="AS138" i="9"/>
  <c r="P138" i="9"/>
  <c r="AE138" i="9"/>
  <c r="AT138" i="9"/>
  <c r="Q138" i="9"/>
  <c r="AF138" i="9"/>
  <c r="AU138" i="9"/>
  <c r="R138" i="9"/>
  <c r="AG138" i="9"/>
  <c r="AV138" i="9"/>
  <c r="H137" i="7"/>
  <c r="W137" i="7"/>
  <c r="AL137" i="7"/>
  <c r="I137" i="7"/>
  <c r="X137" i="7"/>
  <c r="AM137" i="7"/>
  <c r="J137" i="7"/>
  <c r="Y137" i="7"/>
  <c r="AN137" i="7"/>
  <c r="K137" i="7"/>
  <c r="Z137" i="7"/>
  <c r="AO137" i="7"/>
  <c r="L137" i="7"/>
  <c r="AA137" i="7"/>
  <c r="AP137" i="7"/>
  <c r="N137" i="7"/>
  <c r="AC137" i="7"/>
  <c r="AR137" i="7"/>
  <c r="O137" i="7"/>
  <c r="AD137" i="7"/>
  <c r="AS137" i="7"/>
  <c r="P137" i="7"/>
  <c r="AE137" i="7"/>
  <c r="AT137" i="7"/>
  <c r="Q137" i="7"/>
  <c r="AF137" i="7"/>
  <c r="AU137" i="7"/>
  <c r="R137" i="7"/>
  <c r="AG137" i="7"/>
  <c r="AV137" i="7"/>
  <c r="I137" i="8"/>
  <c r="X137" i="8"/>
  <c r="AM137" i="8"/>
  <c r="J137" i="8"/>
  <c r="Y137" i="8"/>
  <c r="AN137" i="8"/>
  <c r="L137" i="8"/>
  <c r="AA137" i="8"/>
  <c r="AP137" i="8"/>
  <c r="N137" i="8"/>
  <c r="AC137" i="8"/>
  <c r="AR137" i="8"/>
  <c r="P137" i="8"/>
  <c r="AE137" i="8"/>
  <c r="AT137" i="8"/>
  <c r="Q137" i="8"/>
  <c r="AF137" i="8"/>
  <c r="AU137" i="8"/>
  <c r="H137" i="8"/>
  <c r="W137" i="8"/>
  <c r="AL137" i="8"/>
  <c r="K137" i="8"/>
  <c r="Z137" i="8"/>
  <c r="AO137" i="8"/>
  <c r="M137" i="8"/>
  <c r="AB137" i="8"/>
  <c r="AQ137" i="8"/>
  <c r="O137" i="8"/>
  <c r="AD137" i="8"/>
  <c r="AS137" i="8"/>
  <c r="R137" i="8"/>
  <c r="AG137" i="8"/>
  <c r="AV137" i="8"/>
  <c r="M137" i="7"/>
  <c r="AB137" i="7"/>
  <c r="AQ137" i="7"/>
  <c r="D125" i="8"/>
  <c r="S125" i="8"/>
  <c r="AH125" i="8"/>
  <c r="E113" i="8"/>
  <c r="T113" i="8"/>
  <c r="AI113" i="8"/>
  <c r="D108" i="9"/>
  <c r="S108" i="9"/>
  <c r="AH108" i="9"/>
  <c r="D85" i="7"/>
  <c r="S85" i="7"/>
  <c r="AH85" i="7"/>
  <c r="G82" i="9"/>
  <c r="V82" i="9"/>
  <c r="AK82" i="9"/>
  <c r="AK78" i="10"/>
  <c r="G78" i="10"/>
  <c r="V78" i="10"/>
  <c r="D63" i="10"/>
  <c r="S63" i="10"/>
  <c r="AH63" i="10"/>
  <c r="E65" i="9"/>
  <c r="T65" i="9"/>
  <c r="AI65" i="9"/>
  <c r="C67" i="8"/>
  <c r="AY67" i="8"/>
  <c r="AX68" i="8"/>
  <c r="AW67" i="8"/>
  <c r="G68" i="8"/>
  <c r="AK68" i="8"/>
  <c r="V68" i="8"/>
  <c r="AI57" i="10"/>
  <c r="E57" i="10"/>
  <c r="T57" i="10"/>
  <c r="AY49" i="9"/>
  <c r="C49" i="9"/>
  <c r="AX50" i="9"/>
  <c r="AW49" i="9"/>
  <c r="F50" i="9"/>
  <c r="U50" i="9"/>
  <c r="AJ50" i="9"/>
  <c r="C39" i="10"/>
  <c r="AY39" i="10"/>
  <c r="AW39" i="10"/>
  <c r="AX40" i="10"/>
  <c r="F40" i="10"/>
  <c r="U40" i="10"/>
  <c r="AJ40" i="10"/>
  <c r="F34" i="7"/>
  <c r="AK33" i="7"/>
  <c r="AY33" i="7"/>
  <c r="U82" i="8" l="1"/>
  <c r="F82" i="8"/>
  <c r="AJ82" i="8"/>
  <c r="H139" i="10"/>
  <c r="W139" i="10"/>
  <c r="AL139" i="10"/>
  <c r="I139" i="10"/>
  <c r="AM139" i="10"/>
  <c r="X139" i="10"/>
  <c r="J139" i="10"/>
  <c r="Y139" i="10"/>
  <c r="AN139" i="10"/>
  <c r="K139" i="10"/>
  <c r="Z139" i="10"/>
  <c r="AO139" i="10"/>
  <c r="L139" i="10"/>
  <c r="AP139" i="10"/>
  <c r="AA139" i="10"/>
  <c r="M139" i="10"/>
  <c r="AQ139" i="10"/>
  <c r="AB139" i="10"/>
  <c r="N139" i="10"/>
  <c r="AC139" i="10"/>
  <c r="AR139" i="10"/>
  <c r="O139" i="10"/>
  <c r="AD139" i="10"/>
  <c r="AS139" i="10"/>
  <c r="P139" i="10"/>
  <c r="AE139" i="10"/>
  <c r="AT139" i="10"/>
  <c r="Q139" i="10"/>
  <c r="AF139" i="10"/>
  <c r="AU139" i="10"/>
  <c r="R139" i="10"/>
  <c r="AG139" i="10"/>
  <c r="AV139" i="10"/>
  <c r="H139" i="9"/>
  <c r="W139" i="9"/>
  <c r="AL139" i="9"/>
  <c r="I139" i="9"/>
  <c r="X139" i="9"/>
  <c r="AM139" i="9"/>
  <c r="J139" i="9"/>
  <c r="Y139" i="9"/>
  <c r="AN139" i="9"/>
  <c r="K139" i="9"/>
  <c r="Z139" i="9"/>
  <c r="AO139" i="9"/>
  <c r="L139" i="9"/>
  <c r="AA139" i="9"/>
  <c r="AP139" i="9"/>
  <c r="M139" i="9"/>
  <c r="AB139" i="9"/>
  <c r="AQ139" i="9"/>
  <c r="N139" i="9"/>
  <c r="AC139" i="9"/>
  <c r="AR139" i="9"/>
  <c r="O139" i="9"/>
  <c r="AD139" i="9"/>
  <c r="AS139" i="9"/>
  <c r="P139" i="9"/>
  <c r="AE139" i="9"/>
  <c r="AT139" i="9"/>
  <c r="Q139" i="9"/>
  <c r="AF139" i="9"/>
  <c r="AU139" i="9"/>
  <c r="R139" i="9"/>
  <c r="AG139" i="9"/>
  <c r="AV139" i="9"/>
  <c r="H138" i="7"/>
  <c r="W138" i="7"/>
  <c r="AL138" i="7"/>
  <c r="I138" i="7"/>
  <c r="X138" i="7"/>
  <c r="AM138" i="7"/>
  <c r="J138" i="7"/>
  <c r="Y138" i="7"/>
  <c r="AN138" i="7"/>
  <c r="K138" i="7"/>
  <c r="Z138" i="7"/>
  <c r="AO138" i="7"/>
  <c r="L138" i="7"/>
  <c r="AA138" i="7"/>
  <c r="AP138" i="7"/>
  <c r="N138" i="7"/>
  <c r="AC138" i="7"/>
  <c r="AR138" i="7"/>
  <c r="O138" i="7"/>
  <c r="AD138" i="7"/>
  <c r="AS138" i="7"/>
  <c r="P138" i="7"/>
  <c r="AE138" i="7"/>
  <c r="AT138" i="7"/>
  <c r="Q138" i="7"/>
  <c r="AF138" i="7"/>
  <c r="AU138" i="7"/>
  <c r="R138" i="7"/>
  <c r="AG138" i="7"/>
  <c r="AV138" i="7"/>
  <c r="I138" i="8"/>
  <c r="X138" i="8"/>
  <c r="AM138" i="8"/>
  <c r="J138" i="8"/>
  <c r="Y138" i="8"/>
  <c r="AN138" i="8"/>
  <c r="L138" i="8"/>
  <c r="AA138" i="8"/>
  <c r="AP138" i="8"/>
  <c r="N138" i="8"/>
  <c r="AC138" i="8"/>
  <c r="AR138" i="8"/>
  <c r="P138" i="8"/>
  <c r="AE138" i="8"/>
  <c r="AT138" i="8"/>
  <c r="Q138" i="8"/>
  <c r="AF138" i="8"/>
  <c r="AU138" i="8"/>
  <c r="H138" i="8"/>
  <c r="W138" i="8"/>
  <c r="AL138" i="8"/>
  <c r="K138" i="8"/>
  <c r="Z138" i="8"/>
  <c r="AO138" i="8"/>
  <c r="M138" i="8"/>
  <c r="AB138" i="8"/>
  <c r="AQ138" i="8"/>
  <c r="O138" i="8"/>
  <c r="AD138" i="8"/>
  <c r="AS138" i="8"/>
  <c r="R138" i="8"/>
  <c r="AG138" i="8"/>
  <c r="AV138" i="8"/>
  <c r="M138" i="7"/>
  <c r="AB138" i="7"/>
  <c r="AQ138" i="7"/>
  <c r="D126" i="8"/>
  <c r="S126" i="8"/>
  <c r="AH126" i="8"/>
  <c r="E114" i="8"/>
  <c r="T114" i="8"/>
  <c r="AI114" i="8"/>
  <c r="D109" i="9"/>
  <c r="S109" i="9"/>
  <c r="AH109" i="9"/>
  <c r="D86" i="7"/>
  <c r="S86" i="7"/>
  <c r="AH86" i="7"/>
  <c r="G83" i="9"/>
  <c r="V83" i="9"/>
  <c r="AK83" i="9"/>
  <c r="AK79" i="10"/>
  <c r="G79" i="10"/>
  <c r="V79" i="10"/>
  <c r="AH64" i="10"/>
  <c r="D64" i="10"/>
  <c r="S64" i="10"/>
  <c r="E66" i="9"/>
  <c r="T66" i="9"/>
  <c r="AI66" i="9"/>
  <c r="AY68" i="8"/>
  <c r="C68" i="8"/>
  <c r="AX69" i="8"/>
  <c r="AW68" i="8"/>
  <c r="G69" i="8"/>
  <c r="V69" i="8"/>
  <c r="AK69" i="8"/>
  <c r="E58" i="10"/>
  <c r="AI58" i="10"/>
  <c r="T58" i="10"/>
  <c r="C50" i="9"/>
  <c r="AY50" i="9"/>
  <c r="AW50" i="9"/>
  <c r="AX51" i="9"/>
  <c r="F51" i="9"/>
  <c r="U51" i="9"/>
  <c r="AJ51" i="9"/>
  <c r="AY40" i="10"/>
  <c r="C40" i="10"/>
  <c r="AX41" i="10"/>
  <c r="AW40" i="10"/>
  <c r="F41" i="10"/>
  <c r="U41" i="10"/>
  <c r="AJ41" i="10"/>
  <c r="G34" i="7"/>
  <c r="C34" i="7" s="1"/>
  <c r="T34" i="7" s="1"/>
  <c r="AX34" i="7"/>
  <c r="AW33" i="7"/>
  <c r="X14" i="2" s="1"/>
  <c r="F83" i="8" l="1"/>
  <c r="U83" i="8"/>
  <c r="AJ83" i="8"/>
  <c r="H140" i="10"/>
  <c r="AL140" i="10"/>
  <c r="W140" i="10"/>
  <c r="X140" i="10"/>
  <c r="AM140" i="10"/>
  <c r="I140" i="10"/>
  <c r="AN140" i="10"/>
  <c r="J140" i="10"/>
  <c r="Y140" i="10"/>
  <c r="K140" i="10"/>
  <c r="AO140" i="10"/>
  <c r="Z140" i="10"/>
  <c r="AA140" i="10"/>
  <c r="AP140" i="10"/>
  <c r="L140" i="10"/>
  <c r="M140" i="10"/>
  <c r="AB140" i="10"/>
  <c r="AQ140" i="10"/>
  <c r="AR140" i="10"/>
  <c r="N140" i="10"/>
  <c r="AC140" i="10"/>
  <c r="O140" i="10"/>
  <c r="AS140" i="10"/>
  <c r="AD140" i="10"/>
  <c r="AT140" i="10"/>
  <c r="P140" i="10"/>
  <c r="AE140" i="10"/>
  <c r="Q140" i="10"/>
  <c r="AF140" i="10"/>
  <c r="AU140" i="10"/>
  <c r="AV140" i="10"/>
  <c r="R140" i="10"/>
  <c r="AG140" i="10"/>
  <c r="H140" i="9"/>
  <c r="W140" i="9"/>
  <c r="AL140" i="9"/>
  <c r="I140" i="9"/>
  <c r="X140" i="9"/>
  <c r="AM140" i="9"/>
  <c r="J140" i="9"/>
  <c r="Y140" i="9"/>
  <c r="AN140" i="9"/>
  <c r="K140" i="9"/>
  <c r="Z140" i="9"/>
  <c r="AO140" i="9"/>
  <c r="L140" i="9"/>
  <c r="AA140" i="9"/>
  <c r="AP140" i="9"/>
  <c r="M140" i="9"/>
  <c r="AB140" i="9"/>
  <c r="AQ140" i="9"/>
  <c r="N140" i="9"/>
  <c r="AC140" i="9"/>
  <c r="AR140" i="9"/>
  <c r="O140" i="9"/>
  <c r="AD140" i="9"/>
  <c r="AS140" i="9"/>
  <c r="P140" i="9"/>
  <c r="AE140" i="9"/>
  <c r="AT140" i="9"/>
  <c r="Q140" i="9"/>
  <c r="AF140" i="9"/>
  <c r="AU140" i="9"/>
  <c r="R140" i="9"/>
  <c r="AG140" i="9"/>
  <c r="AV140" i="9"/>
  <c r="H139" i="7"/>
  <c r="W139" i="7"/>
  <c r="AL139" i="7"/>
  <c r="I139" i="7"/>
  <c r="X139" i="7"/>
  <c r="AM139" i="7"/>
  <c r="J139" i="7"/>
  <c r="Y139" i="7"/>
  <c r="AN139" i="7"/>
  <c r="K139" i="7"/>
  <c r="Z139" i="7"/>
  <c r="AO139" i="7"/>
  <c r="L139" i="7"/>
  <c r="AA139" i="7"/>
  <c r="AP139" i="7"/>
  <c r="N139" i="7"/>
  <c r="AC139" i="7"/>
  <c r="AR139" i="7"/>
  <c r="O139" i="7"/>
  <c r="AD139" i="7"/>
  <c r="AS139" i="7"/>
  <c r="P139" i="7"/>
  <c r="AE139" i="7"/>
  <c r="AT139" i="7"/>
  <c r="Q139" i="7"/>
  <c r="AF139" i="7"/>
  <c r="AU139" i="7"/>
  <c r="R139" i="7"/>
  <c r="AG139" i="7"/>
  <c r="AV139" i="7"/>
  <c r="I139" i="8"/>
  <c r="X139" i="8"/>
  <c r="AM139" i="8"/>
  <c r="J139" i="8"/>
  <c r="Y139" i="8"/>
  <c r="AN139" i="8"/>
  <c r="L139" i="8"/>
  <c r="AA139" i="8"/>
  <c r="AP139" i="8"/>
  <c r="N139" i="8"/>
  <c r="AC139" i="8"/>
  <c r="AR139" i="8"/>
  <c r="P139" i="8"/>
  <c r="AE139" i="8"/>
  <c r="AT139" i="8"/>
  <c r="Q139" i="8"/>
  <c r="AF139" i="8"/>
  <c r="AU139" i="8"/>
  <c r="H139" i="8"/>
  <c r="W139" i="8"/>
  <c r="AL139" i="8"/>
  <c r="K139" i="8"/>
  <c r="Z139" i="8"/>
  <c r="AO139" i="8"/>
  <c r="M139" i="8"/>
  <c r="AB139" i="8"/>
  <c r="AQ139" i="8"/>
  <c r="O139" i="8"/>
  <c r="AD139" i="8"/>
  <c r="AS139" i="8"/>
  <c r="R139" i="8"/>
  <c r="AG139" i="8"/>
  <c r="AV139" i="8"/>
  <c r="M139" i="7"/>
  <c r="AB139" i="7"/>
  <c r="AQ139" i="7"/>
  <c r="D127" i="8"/>
  <c r="S127" i="8"/>
  <c r="AH127" i="8"/>
  <c r="E115" i="8"/>
  <c r="T115" i="8"/>
  <c r="AI115" i="8"/>
  <c r="D110" i="9"/>
  <c r="S110" i="9"/>
  <c r="AH110" i="9"/>
  <c r="D87" i="7"/>
  <c r="S87" i="7"/>
  <c r="AH87" i="7"/>
  <c r="G84" i="9"/>
  <c r="V84" i="9"/>
  <c r="AK84" i="9"/>
  <c r="G80" i="10"/>
  <c r="AK80" i="10"/>
  <c r="V80" i="10"/>
  <c r="S65" i="10"/>
  <c r="AH65" i="10"/>
  <c r="D65" i="10"/>
  <c r="E67" i="9"/>
  <c r="T67" i="9"/>
  <c r="AI67" i="9"/>
  <c r="AY69" i="8"/>
  <c r="C69" i="8"/>
  <c r="AX70" i="8"/>
  <c r="AW69" i="8"/>
  <c r="W26" i="2" s="1"/>
  <c r="G70" i="8"/>
  <c r="V70" i="8"/>
  <c r="AK70" i="8"/>
  <c r="T59" i="10"/>
  <c r="E59" i="10"/>
  <c r="AI59" i="10"/>
  <c r="C51" i="9"/>
  <c r="AY51" i="9"/>
  <c r="AW51" i="9"/>
  <c r="AX52" i="9"/>
  <c r="F52" i="9"/>
  <c r="U52" i="9"/>
  <c r="AJ52" i="9"/>
  <c r="AY41" i="10"/>
  <c r="C41" i="10"/>
  <c r="AW41" i="10"/>
  <c r="AX42" i="10"/>
  <c r="F42" i="10"/>
  <c r="U42" i="10"/>
  <c r="AJ42" i="10"/>
  <c r="AI34" i="7"/>
  <c r="U34" i="7"/>
  <c r="U84" i="8" l="1"/>
  <c r="F84" i="8"/>
  <c r="AJ84" i="8"/>
  <c r="H141" i="10"/>
  <c r="W141" i="10"/>
  <c r="AL141" i="10"/>
  <c r="I141" i="10"/>
  <c r="X141" i="10"/>
  <c r="AM141" i="10"/>
  <c r="J141" i="10"/>
  <c r="Y141" i="10"/>
  <c r="AN141" i="10"/>
  <c r="K141" i="10"/>
  <c r="Z141" i="10"/>
  <c r="AO141" i="10"/>
  <c r="L141" i="10"/>
  <c r="AA141" i="10"/>
  <c r="AP141" i="10"/>
  <c r="AB141" i="10"/>
  <c r="AQ141" i="10"/>
  <c r="M141" i="10"/>
  <c r="N141" i="10"/>
  <c r="AC141" i="10"/>
  <c r="AR141" i="10"/>
  <c r="O141" i="10"/>
  <c r="AD141" i="10"/>
  <c r="AS141" i="10"/>
  <c r="P141" i="10"/>
  <c r="AE141" i="10"/>
  <c r="AT141" i="10"/>
  <c r="AU141" i="10"/>
  <c r="Q141" i="10"/>
  <c r="AF141" i="10"/>
  <c r="R141" i="10"/>
  <c r="AG141" i="10"/>
  <c r="AV141" i="10"/>
  <c r="H141" i="9"/>
  <c r="W141" i="9"/>
  <c r="AL141" i="9"/>
  <c r="I141" i="9"/>
  <c r="X141" i="9"/>
  <c r="AM141" i="9"/>
  <c r="J141" i="9"/>
  <c r="Y141" i="9"/>
  <c r="AN141" i="9"/>
  <c r="K141" i="9"/>
  <c r="Z141" i="9"/>
  <c r="AO141" i="9"/>
  <c r="L141" i="9"/>
  <c r="AA141" i="9"/>
  <c r="AP141" i="9"/>
  <c r="M141" i="9"/>
  <c r="AB141" i="9"/>
  <c r="AQ141" i="9"/>
  <c r="N141" i="9"/>
  <c r="AC141" i="9"/>
  <c r="AR141" i="9"/>
  <c r="O141" i="9"/>
  <c r="AD141" i="9"/>
  <c r="AS141" i="9"/>
  <c r="P141" i="9"/>
  <c r="AE141" i="9"/>
  <c r="AT141" i="9"/>
  <c r="Q141" i="9"/>
  <c r="AF141" i="9"/>
  <c r="AU141" i="9"/>
  <c r="R141" i="9"/>
  <c r="AG141" i="9"/>
  <c r="AV141" i="9"/>
  <c r="H140" i="7"/>
  <c r="W140" i="7"/>
  <c r="AL140" i="7"/>
  <c r="I140" i="7"/>
  <c r="X140" i="7"/>
  <c r="AM140" i="7"/>
  <c r="J140" i="7"/>
  <c r="Y140" i="7"/>
  <c r="AN140" i="7"/>
  <c r="K140" i="7"/>
  <c r="Z140" i="7"/>
  <c r="AO140" i="7"/>
  <c r="L140" i="7"/>
  <c r="AA140" i="7"/>
  <c r="AP140" i="7"/>
  <c r="N140" i="7"/>
  <c r="AC140" i="7"/>
  <c r="AR140" i="7"/>
  <c r="O140" i="7"/>
  <c r="AD140" i="7"/>
  <c r="AS140" i="7"/>
  <c r="P140" i="7"/>
  <c r="AE140" i="7"/>
  <c r="AT140" i="7"/>
  <c r="Q140" i="7"/>
  <c r="AF140" i="7"/>
  <c r="AU140" i="7"/>
  <c r="R140" i="7"/>
  <c r="AG140" i="7"/>
  <c r="AV140" i="7"/>
  <c r="I140" i="8"/>
  <c r="X140" i="8"/>
  <c r="AM140" i="8"/>
  <c r="J140" i="8"/>
  <c r="Y140" i="8"/>
  <c r="AN140" i="8"/>
  <c r="L140" i="8"/>
  <c r="AA140" i="8"/>
  <c r="AP140" i="8"/>
  <c r="N140" i="8"/>
  <c r="AC140" i="8"/>
  <c r="AR140" i="8"/>
  <c r="P140" i="8"/>
  <c r="AE140" i="8"/>
  <c r="AT140" i="8"/>
  <c r="Q140" i="8"/>
  <c r="AF140" i="8"/>
  <c r="AU140" i="8"/>
  <c r="H140" i="8"/>
  <c r="W140" i="8"/>
  <c r="AL140" i="8"/>
  <c r="K140" i="8"/>
  <c r="Z140" i="8"/>
  <c r="AO140" i="8"/>
  <c r="M140" i="8"/>
  <c r="AB140" i="8"/>
  <c r="AQ140" i="8"/>
  <c r="O140" i="8"/>
  <c r="AD140" i="8"/>
  <c r="AS140" i="8"/>
  <c r="R140" i="8"/>
  <c r="AG140" i="8"/>
  <c r="AV140" i="8"/>
  <c r="M140" i="7"/>
  <c r="AB140" i="7"/>
  <c r="AQ140" i="7"/>
  <c r="D128" i="8"/>
  <c r="S128" i="8"/>
  <c r="AH128" i="8"/>
  <c r="E116" i="8"/>
  <c r="T116" i="8"/>
  <c r="AI116" i="8"/>
  <c r="D111" i="9"/>
  <c r="S111" i="9"/>
  <c r="AH111" i="9"/>
  <c r="D88" i="7"/>
  <c r="S88" i="7"/>
  <c r="AH88" i="7"/>
  <c r="G85" i="9"/>
  <c r="V85" i="9"/>
  <c r="AK85" i="9"/>
  <c r="V81" i="10"/>
  <c r="G81" i="10"/>
  <c r="AK81" i="10"/>
  <c r="D66" i="10"/>
  <c r="S66" i="10"/>
  <c r="AH66" i="10"/>
  <c r="E68" i="9"/>
  <c r="T68" i="9"/>
  <c r="AI68" i="9"/>
  <c r="AY70" i="8"/>
  <c r="C70" i="8"/>
  <c r="AX71" i="8"/>
  <c r="AW70" i="8"/>
  <c r="G71" i="8"/>
  <c r="V71" i="8"/>
  <c r="AK71" i="8"/>
  <c r="T60" i="10"/>
  <c r="AI60" i="10"/>
  <c r="E60" i="10"/>
  <c r="AY52" i="9"/>
  <c r="C52" i="9"/>
  <c r="AX53" i="9"/>
  <c r="AW52" i="9"/>
  <c r="F53" i="9"/>
  <c r="U53" i="9"/>
  <c r="AJ53" i="9"/>
  <c r="AY42" i="10"/>
  <c r="C42" i="10"/>
  <c r="AX43" i="10"/>
  <c r="AW42" i="10"/>
  <c r="F43" i="10"/>
  <c r="U43" i="10"/>
  <c r="AJ43" i="10"/>
  <c r="E35" i="7"/>
  <c r="AJ34" i="7"/>
  <c r="V34" i="7"/>
  <c r="F85" i="8" l="1"/>
  <c r="AJ85" i="8"/>
  <c r="U85" i="8"/>
  <c r="H142" i="10"/>
  <c r="W142" i="10"/>
  <c r="AL142" i="10"/>
  <c r="I142" i="10"/>
  <c r="X142" i="10"/>
  <c r="AM142" i="10"/>
  <c r="J142" i="10"/>
  <c r="AN142" i="10"/>
  <c r="Y142" i="10"/>
  <c r="K142" i="10"/>
  <c r="AO142" i="10"/>
  <c r="Z142" i="10"/>
  <c r="L142" i="10"/>
  <c r="AA142" i="10"/>
  <c r="AP142" i="10"/>
  <c r="M142" i="10"/>
  <c r="AQ142" i="10"/>
  <c r="AB142" i="10"/>
  <c r="N142" i="10"/>
  <c r="AC142" i="10"/>
  <c r="AR142" i="10"/>
  <c r="O142" i="10"/>
  <c r="AD142" i="10"/>
  <c r="AS142" i="10"/>
  <c r="P142" i="10"/>
  <c r="AT142" i="10"/>
  <c r="AE142" i="10"/>
  <c r="Q142" i="10"/>
  <c r="AF142" i="10"/>
  <c r="AU142" i="10"/>
  <c r="R142" i="10"/>
  <c r="AV142" i="10"/>
  <c r="AG142" i="10"/>
  <c r="H142" i="9"/>
  <c r="W142" i="9"/>
  <c r="AL142" i="9"/>
  <c r="I142" i="9"/>
  <c r="X142" i="9"/>
  <c r="AM142" i="9"/>
  <c r="J142" i="9"/>
  <c r="Y142" i="9"/>
  <c r="AN142" i="9"/>
  <c r="K142" i="9"/>
  <c r="Z142" i="9"/>
  <c r="AO142" i="9"/>
  <c r="L142" i="9"/>
  <c r="AA142" i="9"/>
  <c r="AP142" i="9"/>
  <c r="M142" i="9"/>
  <c r="AB142" i="9"/>
  <c r="AQ142" i="9"/>
  <c r="N142" i="9"/>
  <c r="AC142" i="9"/>
  <c r="AR142" i="9"/>
  <c r="O142" i="9"/>
  <c r="AD142" i="9"/>
  <c r="AS142" i="9"/>
  <c r="P142" i="9"/>
  <c r="AE142" i="9"/>
  <c r="AT142" i="9"/>
  <c r="Q142" i="9"/>
  <c r="AF142" i="9"/>
  <c r="AU142" i="9"/>
  <c r="R142" i="9"/>
  <c r="AG142" i="9"/>
  <c r="AV142" i="9"/>
  <c r="H141" i="7"/>
  <c r="W141" i="7"/>
  <c r="AL141" i="7"/>
  <c r="I141" i="7"/>
  <c r="X141" i="7"/>
  <c r="AM141" i="7"/>
  <c r="J141" i="7"/>
  <c r="Y141" i="7"/>
  <c r="AN141" i="7"/>
  <c r="K141" i="7"/>
  <c r="Z141" i="7"/>
  <c r="AO141" i="7"/>
  <c r="L141" i="7"/>
  <c r="AA141" i="7"/>
  <c r="AP141" i="7"/>
  <c r="N141" i="7"/>
  <c r="AC141" i="7"/>
  <c r="AR141" i="7"/>
  <c r="O141" i="7"/>
  <c r="AD141" i="7"/>
  <c r="AS141" i="7"/>
  <c r="P141" i="7"/>
  <c r="AE141" i="7"/>
  <c r="AT141" i="7"/>
  <c r="Q141" i="7"/>
  <c r="AF141" i="7"/>
  <c r="AU141" i="7"/>
  <c r="R141" i="7"/>
  <c r="AG141" i="7"/>
  <c r="AV141" i="7"/>
  <c r="I141" i="8"/>
  <c r="X141" i="8"/>
  <c r="AM141" i="8"/>
  <c r="J141" i="8"/>
  <c r="Y141" i="8"/>
  <c r="AN141" i="8"/>
  <c r="L141" i="8"/>
  <c r="AA141" i="8"/>
  <c r="AP141" i="8"/>
  <c r="N141" i="8"/>
  <c r="AC141" i="8"/>
  <c r="AR141" i="8"/>
  <c r="P141" i="8"/>
  <c r="AE141" i="8"/>
  <c r="AT141" i="8"/>
  <c r="Q141" i="8"/>
  <c r="AF141" i="8"/>
  <c r="AU141" i="8"/>
  <c r="H141" i="8"/>
  <c r="W141" i="8"/>
  <c r="AL141" i="8"/>
  <c r="K141" i="8"/>
  <c r="Z141" i="8"/>
  <c r="AO141" i="8"/>
  <c r="M141" i="8"/>
  <c r="AB141" i="8"/>
  <c r="AQ141" i="8"/>
  <c r="O141" i="8"/>
  <c r="AD141" i="8"/>
  <c r="AS141" i="8"/>
  <c r="R141" i="8"/>
  <c r="AG141" i="8"/>
  <c r="AV141" i="8"/>
  <c r="M141" i="7"/>
  <c r="AB141" i="7"/>
  <c r="AQ141" i="7"/>
  <c r="D129" i="8"/>
  <c r="S129" i="8"/>
  <c r="AH129" i="8"/>
  <c r="E117" i="8"/>
  <c r="T117" i="8"/>
  <c r="AI117" i="8"/>
  <c r="D112" i="9"/>
  <c r="S112" i="9"/>
  <c r="AH112" i="9"/>
  <c r="D89" i="7"/>
  <c r="S89" i="7"/>
  <c r="AH89" i="7"/>
  <c r="G86" i="9"/>
  <c r="V86" i="9"/>
  <c r="AK86" i="9"/>
  <c r="G82" i="10"/>
  <c r="AK82" i="10"/>
  <c r="V82" i="10"/>
  <c r="S67" i="10"/>
  <c r="AH67" i="10"/>
  <c r="D67" i="10"/>
  <c r="E69" i="9"/>
  <c r="T69" i="9"/>
  <c r="AI69" i="9"/>
  <c r="AY71" i="8"/>
  <c r="C71" i="8"/>
  <c r="AX72" i="8"/>
  <c r="AW71" i="8"/>
  <c r="G72" i="8"/>
  <c r="V72" i="8"/>
  <c r="AK72" i="8"/>
  <c r="E61" i="10"/>
  <c r="T61" i="10"/>
  <c r="AI61" i="10"/>
  <c r="AY53" i="9"/>
  <c r="C53" i="9"/>
  <c r="AX54" i="9"/>
  <c r="AW53" i="9"/>
  <c r="F54" i="9"/>
  <c r="U54" i="9"/>
  <c r="AJ54" i="9"/>
  <c r="C43" i="10"/>
  <c r="AY43" i="10"/>
  <c r="AW43" i="10"/>
  <c r="AX44" i="10"/>
  <c r="F44" i="10"/>
  <c r="U44" i="10"/>
  <c r="AJ44" i="10"/>
  <c r="F35" i="7"/>
  <c r="AK34" i="7"/>
  <c r="AY34" i="7"/>
  <c r="U86" i="8" l="1"/>
  <c r="F86" i="8"/>
  <c r="AJ86" i="8"/>
  <c r="AL143" i="10"/>
  <c r="H143" i="10"/>
  <c r="W143" i="10"/>
  <c r="I143" i="10"/>
  <c r="X143" i="10"/>
  <c r="AM143" i="10"/>
  <c r="J143" i="10"/>
  <c r="AN143" i="10"/>
  <c r="Y143" i="10"/>
  <c r="Z143" i="10"/>
  <c r="K143" i="10"/>
  <c r="AO143" i="10"/>
  <c r="L143" i="10"/>
  <c r="AA143" i="10"/>
  <c r="AP143" i="10"/>
  <c r="AQ143" i="10"/>
  <c r="M143" i="10"/>
  <c r="AB143" i="10"/>
  <c r="N143" i="10"/>
  <c r="AC143" i="10"/>
  <c r="AR143" i="10"/>
  <c r="AD143" i="10"/>
  <c r="O143" i="10"/>
  <c r="AS143" i="10"/>
  <c r="P143" i="10"/>
  <c r="AE143" i="10"/>
  <c r="AT143" i="10"/>
  <c r="Q143" i="10"/>
  <c r="AF143" i="10"/>
  <c r="AU143" i="10"/>
  <c r="R143" i="10"/>
  <c r="AG143" i="10"/>
  <c r="AV143" i="10"/>
  <c r="H143" i="9"/>
  <c r="W143" i="9"/>
  <c r="AL143" i="9"/>
  <c r="I143" i="9"/>
  <c r="X143" i="9"/>
  <c r="AM143" i="9"/>
  <c r="J143" i="9"/>
  <c r="Y143" i="9"/>
  <c r="AN143" i="9"/>
  <c r="K143" i="9"/>
  <c r="Z143" i="9"/>
  <c r="AO143" i="9"/>
  <c r="L143" i="9"/>
  <c r="AA143" i="9"/>
  <c r="AP143" i="9"/>
  <c r="M143" i="9"/>
  <c r="AB143" i="9"/>
  <c r="AQ143" i="9"/>
  <c r="N143" i="9"/>
  <c r="AC143" i="9"/>
  <c r="AR143" i="9"/>
  <c r="O143" i="9"/>
  <c r="AD143" i="9"/>
  <c r="AS143" i="9"/>
  <c r="P143" i="9"/>
  <c r="AE143" i="9"/>
  <c r="AT143" i="9"/>
  <c r="Q143" i="9"/>
  <c r="AF143" i="9"/>
  <c r="AU143" i="9"/>
  <c r="R143" i="9"/>
  <c r="AG143" i="9"/>
  <c r="AV143" i="9"/>
  <c r="H142" i="7"/>
  <c r="W142" i="7"/>
  <c r="AL142" i="7"/>
  <c r="I142" i="7"/>
  <c r="X142" i="7"/>
  <c r="AM142" i="7"/>
  <c r="J142" i="7"/>
  <c r="Y142" i="7"/>
  <c r="AN142" i="7"/>
  <c r="K142" i="7"/>
  <c r="Z142" i="7"/>
  <c r="AO142" i="7"/>
  <c r="L142" i="7"/>
  <c r="AA142" i="7"/>
  <c r="AP142" i="7"/>
  <c r="N142" i="7"/>
  <c r="AC142" i="7"/>
  <c r="AR142" i="7"/>
  <c r="O142" i="7"/>
  <c r="AD142" i="7"/>
  <c r="AS142" i="7"/>
  <c r="P142" i="7"/>
  <c r="AE142" i="7"/>
  <c r="AT142" i="7"/>
  <c r="Q142" i="7"/>
  <c r="AF142" i="7"/>
  <c r="AU142" i="7"/>
  <c r="R142" i="7"/>
  <c r="AG142" i="7"/>
  <c r="AV142" i="7"/>
  <c r="I142" i="8"/>
  <c r="X142" i="8"/>
  <c r="AM142" i="8"/>
  <c r="J142" i="8"/>
  <c r="Y142" i="8"/>
  <c r="AN142" i="8"/>
  <c r="L142" i="8"/>
  <c r="AA142" i="8"/>
  <c r="AP142" i="8"/>
  <c r="N142" i="8"/>
  <c r="AC142" i="8"/>
  <c r="AR142" i="8"/>
  <c r="P142" i="8"/>
  <c r="AE142" i="8"/>
  <c r="AT142" i="8"/>
  <c r="Q142" i="8"/>
  <c r="AF142" i="8"/>
  <c r="AU142" i="8"/>
  <c r="H142" i="8"/>
  <c r="W142" i="8"/>
  <c r="AL142" i="8"/>
  <c r="K142" i="8"/>
  <c r="Z142" i="8"/>
  <c r="AO142" i="8"/>
  <c r="M142" i="8"/>
  <c r="AB142" i="8"/>
  <c r="AQ142" i="8"/>
  <c r="O142" i="8"/>
  <c r="AD142" i="8"/>
  <c r="AS142" i="8"/>
  <c r="R142" i="8"/>
  <c r="AG142" i="8"/>
  <c r="AV142" i="8"/>
  <c r="M142" i="7"/>
  <c r="AB142" i="7"/>
  <c r="AQ142" i="7"/>
  <c r="D130" i="8"/>
  <c r="S130" i="8"/>
  <c r="AH130" i="8"/>
  <c r="E118" i="8"/>
  <c r="T118" i="8"/>
  <c r="AI118" i="8"/>
  <c r="D113" i="9"/>
  <c r="S113" i="9"/>
  <c r="AH113" i="9"/>
  <c r="D90" i="7"/>
  <c r="S90" i="7"/>
  <c r="AH90" i="7"/>
  <c r="G87" i="9"/>
  <c r="V87" i="9"/>
  <c r="AK87" i="9"/>
  <c r="G83" i="10"/>
  <c r="V83" i="10"/>
  <c r="AK83" i="10"/>
  <c r="AH68" i="10"/>
  <c r="D68" i="10"/>
  <c r="S68" i="10"/>
  <c r="E70" i="9"/>
  <c r="T70" i="9"/>
  <c r="AI70" i="9"/>
  <c r="C72" i="8"/>
  <c r="AY72" i="8"/>
  <c r="AW72" i="8"/>
  <c r="W27" i="2" s="1"/>
  <c r="AX73" i="8"/>
  <c r="AK73" i="8"/>
  <c r="G73" i="8"/>
  <c r="V73" i="8"/>
  <c r="E62" i="10"/>
  <c r="T62" i="10"/>
  <c r="AI62" i="10"/>
  <c r="C54" i="9"/>
  <c r="AY54" i="9"/>
  <c r="AX55" i="9"/>
  <c r="AW54" i="9"/>
  <c r="F55" i="9"/>
  <c r="U55" i="9"/>
  <c r="AJ55" i="9"/>
  <c r="AY44" i="10"/>
  <c r="C44" i="10"/>
  <c r="AX45" i="10"/>
  <c r="AW44" i="10"/>
  <c r="F45" i="10"/>
  <c r="U45" i="10"/>
  <c r="AJ45" i="10"/>
  <c r="G35" i="7"/>
  <c r="C35" i="7" s="1"/>
  <c r="AX35" i="7"/>
  <c r="AW34" i="7"/>
  <c r="U87" i="8" l="1"/>
  <c r="AJ87" i="8"/>
  <c r="F87" i="8"/>
  <c r="T35" i="7"/>
  <c r="H144" i="10"/>
  <c r="W144" i="10"/>
  <c r="AL144" i="10"/>
  <c r="I144" i="10"/>
  <c r="AM144" i="10"/>
  <c r="X144" i="10"/>
  <c r="J144" i="10"/>
  <c r="Y144" i="10"/>
  <c r="AN144" i="10"/>
  <c r="AO144" i="10"/>
  <c r="K144" i="10"/>
  <c r="Z144" i="10"/>
  <c r="AP144" i="10"/>
  <c r="L144" i="10"/>
  <c r="AA144" i="10"/>
  <c r="M144" i="10"/>
  <c r="AB144" i="10"/>
  <c r="AQ144" i="10"/>
  <c r="N144" i="10"/>
  <c r="AC144" i="10"/>
  <c r="AR144" i="10"/>
  <c r="AD144" i="10"/>
  <c r="O144" i="10"/>
  <c r="AS144" i="10"/>
  <c r="P144" i="10"/>
  <c r="AE144" i="10"/>
  <c r="AT144" i="10"/>
  <c r="Q144" i="10"/>
  <c r="AF144" i="10"/>
  <c r="AU144" i="10"/>
  <c r="AG144" i="10"/>
  <c r="R144" i="10"/>
  <c r="AV144" i="10"/>
  <c r="H144" i="9"/>
  <c r="W144" i="9"/>
  <c r="AL144" i="9"/>
  <c r="I144" i="9"/>
  <c r="X144" i="9"/>
  <c r="AM144" i="9"/>
  <c r="J144" i="9"/>
  <c r="Y144" i="9"/>
  <c r="AN144" i="9"/>
  <c r="K144" i="9"/>
  <c r="Z144" i="9"/>
  <c r="AO144" i="9"/>
  <c r="L144" i="9"/>
  <c r="AA144" i="9"/>
  <c r="AP144" i="9"/>
  <c r="M144" i="9"/>
  <c r="AB144" i="9"/>
  <c r="AQ144" i="9"/>
  <c r="N144" i="9"/>
  <c r="AC144" i="9"/>
  <c r="AR144" i="9"/>
  <c r="O144" i="9"/>
  <c r="AD144" i="9"/>
  <c r="AS144" i="9"/>
  <c r="P144" i="9"/>
  <c r="AE144" i="9"/>
  <c r="AT144" i="9"/>
  <c r="Q144" i="9"/>
  <c r="AF144" i="9"/>
  <c r="AU144" i="9"/>
  <c r="R144" i="9"/>
  <c r="AG144" i="9"/>
  <c r="AV144" i="9"/>
  <c r="H143" i="7"/>
  <c r="W143" i="7"/>
  <c r="AL143" i="7"/>
  <c r="I143" i="7"/>
  <c r="X143" i="7"/>
  <c r="AM143" i="7"/>
  <c r="J143" i="7"/>
  <c r="Y143" i="7"/>
  <c r="AN143" i="7"/>
  <c r="K143" i="7"/>
  <c r="Z143" i="7"/>
  <c r="AO143" i="7"/>
  <c r="L143" i="7"/>
  <c r="AA143" i="7"/>
  <c r="AP143" i="7"/>
  <c r="N143" i="7"/>
  <c r="AC143" i="7"/>
  <c r="AR143" i="7"/>
  <c r="O143" i="7"/>
  <c r="AD143" i="7"/>
  <c r="AS143" i="7"/>
  <c r="P143" i="7"/>
  <c r="AE143" i="7"/>
  <c r="AT143" i="7"/>
  <c r="Q143" i="7"/>
  <c r="AF143" i="7"/>
  <c r="AU143" i="7"/>
  <c r="R143" i="7"/>
  <c r="AG143" i="7"/>
  <c r="AV143" i="7"/>
  <c r="I143" i="8"/>
  <c r="X143" i="8"/>
  <c r="AM143" i="8"/>
  <c r="J143" i="8"/>
  <c r="Y143" i="8"/>
  <c r="AN143" i="8"/>
  <c r="L143" i="8"/>
  <c r="AA143" i="8"/>
  <c r="AP143" i="8"/>
  <c r="N143" i="8"/>
  <c r="AC143" i="8"/>
  <c r="AR143" i="8"/>
  <c r="P143" i="8"/>
  <c r="AE143" i="8"/>
  <c r="AT143" i="8"/>
  <c r="Q143" i="8"/>
  <c r="AF143" i="8"/>
  <c r="AU143" i="8"/>
  <c r="H143" i="8"/>
  <c r="W143" i="8"/>
  <c r="AL143" i="8"/>
  <c r="K143" i="8"/>
  <c r="Z143" i="8"/>
  <c r="AO143" i="8"/>
  <c r="M143" i="8"/>
  <c r="AB143" i="8"/>
  <c r="AQ143" i="8"/>
  <c r="O143" i="8"/>
  <c r="AD143" i="8"/>
  <c r="AS143" i="8"/>
  <c r="R143" i="8"/>
  <c r="AG143" i="8"/>
  <c r="AV143" i="8"/>
  <c r="M143" i="7"/>
  <c r="AB143" i="7"/>
  <c r="AQ143" i="7"/>
  <c r="D131" i="8"/>
  <c r="S131" i="8"/>
  <c r="AH131" i="8"/>
  <c r="E119" i="8"/>
  <c r="T119" i="8"/>
  <c r="AI119" i="8"/>
  <c r="D114" i="9"/>
  <c r="S114" i="9"/>
  <c r="AH114" i="9"/>
  <c r="D91" i="7"/>
  <c r="S91" i="7"/>
  <c r="AH91" i="7"/>
  <c r="G88" i="9"/>
  <c r="V88" i="9"/>
  <c r="AK88" i="9"/>
  <c r="G84" i="10"/>
  <c r="V84" i="10"/>
  <c r="AK84" i="10"/>
  <c r="AH69" i="10"/>
  <c r="D69" i="10"/>
  <c r="S69" i="10"/>
  <c r="E71" i="9"/>
  <c r="T71" i="9"/>
  <c r="AI71" i="9"/>
  <c r="AX74" i="8"/>
  <c r="AW73" i="8"/>
  <c r="G74" i="8"/>
  <c r="AK74" i="8"/>
  <c r="V74" i="8"/>
  <c r="C73" i="8"/>
  <c r="AY73" i="8"/>
  <c r="T63" i="10"/>
  <c r="E63" i="10"/>
  <c r="AI63" i="10"/>
  <c r="AY55" i="9"/>
  <c r="C55" i="9"/>
  <c r="AW55" i="9"/>
  <c r="AX56" i="9"/>
  <c r="F56" i="9"/>
  <c r="U56" i="9"/>
  <c r="AJ56" i="9"/>
  <c r="AY45" i="10"/>
  <c r="C45" i="10"/>
  <c r="AX46" i="10"/>
  <c r="AW45" i="10"/>
  <c r="F46" i="10"/>
  <c r="U46" i="10"/>
  <c r="AJ46" i="10"/>
  <c r="U88" i="8" l="1"/>
  <c r="AJ88" i="8"/>
  <c r="F88" i="8"/>
  <c r="AI35" i="7"/>
  <c r="E36" i="7" s="1"/>
  <c r="U35" i="7"/>
  <c r="H145" i="10"/>
  <c r="W145" i="10"/>
  <c r="AL145" i="10"/>
  <c r="I145" i="10"/>
  <c r="X145" i="10"/>
  <c r="AM145" i="10"/>
  <c r="J145" i="10"/>
  <c r="Y145" i="10"/>
  <c r="AN145" i="10"/>
  <c r="K145" i="10"/>
  <c r="Z145" i="10"/>
  <c r="AO145" i="10"/>
  <c r="AP145" i="10"/>
  <c r="L145" i="10"/>
  <c r="AA145" i="10"/>
  <c r="M145" i="10"/>
  <c r="AB145" i="10"/>
  <c r="AQ145" i="10"/>
  <c r="N145" i="10"/>
  <c r="AC145" i="10"/>
  <c r="AR145" i="10"/>
  <c r="AD145" i="10"/>
  <c r="AS145" i="10"/>
  <c r="O145" i="10"/>
  <c r="P145" i="10"/>
  <c r="AT145" i="10"/>
  <c r="AE145" i="10"/>
  <c r="Q145" i="10"/>
  <c r="AF145" i="10"/>
  <c r="AU145" i="10"/>
  <c r="AG145" i="10"/>
  <c r="R145" i="10"/>
  <c r="AV145" i="10"/>
  <c r="H145" i="9"/>
  <c r="W145" i="9"/>
  <c r="AL145" i="9"/>
  <c r="I145" i="9"/>
  <c r="X145" i="9"/>
  <c r="AM145" i="9"/>
  <c r="J145" i="9"/>
  <c r="Y145" i="9"/>
  <c r="AN145" i="9"/>
  <c r="K145" i="9"/>
  <c r="Z145" i="9"/>
  <c r="AO145" i="9"/>
  <c r="L145" i="9"/>
  <c r="AA145" i="9"/>
  <c r="AP145" i="9"/>
  <c r="M145" i="9"/>
  <c r="AB145" i="9"/>
  <c r="AQ145" i="9"/>
  <c r="N145" i="9"/>
  <c r="AC145" i="9"/>
  <c r="AR145" i="9"/>
  <c r="O145" i="9"/>
  <c r="AD145" i="9"/>
  <c r="AS145" i="9"/>
  <c r="P145" i="9"/>
  <c r="AE145" i="9"/>
  <c r="AT145" i="9"/>
  <c r="Q145" i="9"/>
  <c r="AF145" i="9"/>
  <c r="AU145" i="9"/>
  <c r="R145" i="9"/>
  <c r="AG145" i="9"/>
  <c r="AV145" i="9"/>
  <c r="H144" i="7"/>
  <c r="W144" i="7"/>
  <c r="AL144" i="7"/>
  <c r="I144" i="7"/>
  <c r="X144" i="7"/>
  <c r="AM144" i="7"/>
  <c r="J144" i="7"/>
  <c r="Y144" i="7"/>
  <c r="AN144" i="7"/>
  <c r="K144" i="7"/>
  <c r="Z144" i="7"/>
  <c r="AO144" i="7"/>
  <c r="L144" i="7"/>
  <c r="AA144" i="7"/>
  <c r="AP144" i="7"/>
  <c r="N144" i="7"/>
  <c r="AC144" i="7"/>
  <c r="AR144" i="7"/>
  <c r="O144" i="7"/>
  <c r="AD144" i="7"/>
  <c r="AS144" i="7"/>
  <c r="P144" i="7"/>
  <c r="AE144" i="7"/>
  <c r="AT144" i="7"/>
  <c r="Q144" i="7"/>
  <c r="AF144" i="7"/>
  <c r="AU144" i="7"/>
  <c r="R144" i="7"/>
  <c r="AG144" i="7"/>
  <c r="AV144" i="7"/>
  <c r="I144" i="8"/>
  <c r="X144" i="8"/>
  <c r="AM144" i="8"/>
  <c r="J144" i="8"/>
  <c r="Y144" i="8"/>
  <c r="AN144" i="8"/>
  <c r="L144" i="8"/>
  <c r="AA144" i="8"/>
  <c r="AP144" i="8"/>
  <c r="N144" i="8"/>
  <c r="AC144" i="8"/>
  <c r="AR144" i="8"/>
  <c r="P144" i="8"/>
  <c r="AE144" i="8"/>
  <c r="AT144" i="8"/>
  <c r="Q144" i="8"/>
  <c r="AF144" i="8"/>
  <c r="AU144" i="8"/>
  <c r="H144" i="8"/>
  <c r="W144" i="8"/>
  <c r="AL144" i="8"/>
  <c r="K144" i="8"/>
  <c r="Z144" i="8"/>
  <c r="AO144" i="8"/>
  <c r="M144" i="8"/>
  <c r="AB144" i="8"/>
  <c r="AQ144" i="8"/>
  <c r="O144" i="8"/>
  <c r="AD144" i="8"/>
  <c r="AS144" i="8"/>
  <c r="R144" i="8"/>
  <c r="AG144" i="8"/>
  <c r="AV144" i="8"/>
  <c r="M144" i="7"/>
  <c r="AB144" i="7"/>
  <c r="AQ144" i="7"/>
  <c r="D132" i="8"/>
  <c r="S132" i="8"/>
  <c r="AH132" i="8"/>
  <c r="E120" i="8"/>
  <c r="T120" i="8"/>
  <c r="AI120" i="8"/>
  <c r="D115" i="9"/>
  <c r="S115" i="9"/>
  <c r="AH115" i="9"/>
  <c r="D92" i="7"/>
  <c r="S92" i="7"/>
  <c r="AH92" i="7"/>
  <c r="G89" i="9"/>
  <c r="V89" i="9"/>
  <c r="AK89" i="9"/>
  <c r="G85" i="10"/>
  <c r="V85" i="10"/>
  <c r="AK85" i="10"/>
  <c r="S70" i="10"/>
  <c r="D70" i="10"/>
  <c r="AH70" i="10"/>
  <c r="E72" i="9"/>
  <c r="T72" i="9"/>
  <c r="AI72" i="9"/>
  <c r="C74" i="8"/>
  <c r="AY74" i="8"/>
  <c r="AX75" i="8"/>
  <c r="AW74" i="8"/>
  <c r="G75" i="8"/>
  <c r="V75" i="8"/>
  <c r="AK75" i="8"/>
  <c r="E64" i="10"/>
  <c r="T64" i="10"/>
  <c r="AI64" i="10"/>
  <c r="AY56" i="9"/>
  <c r="C56" i="9"/>
  <c r="AW56" i="9"/>
  <c r="AX57" i="9"/>
  <c r="F57" i="9"/>
  <c r="U57" i="9"/>
  <c r="AJ57" i="9"/>
  <c r="C46" i="10"/>
  <c r="AY46" i="10"/>
  <c r="AX47" i="10"/>
  <c r="AW46" i="10"/>
  <c r="F47" i="10"/>
  <c r="U47" i="10"/>
  <c r="AJ47" i="10"/>
  <c r="F89" i="8" l="1"/>
  <c r="AJ89" i="8"/>
  <c r="U89" i="8"/>
  <c r="AJ35" i="7"/>
  <c r="V35" i="7"/>
  <c r="H146" i="10"/>
  <c r="W146" i="10"/>
  <c r="AL146" i="10"/>
  <c r="I146" i="10"/>
  <c r="X146" i="10"/>
  <c r="AM146" i="10"/>
  <c r="J146" i="10"/>
  <c r="Y146" i="10"/>
  <c r="AN146" i="10"/>
  <c r="AO146" i="10"/>
  <c r="K146" i="10"/>
  <c r="Z146" i="10"/>
  <c r="L146" i="10"/>
  <c r="AA146" i="10"/>
  <c r="AP146" i="10"/>
  <c r="M146" i="10"/>
  <c r="AB146" i="10"/>
  <c r="AQ146" i="10"/>
  <c r="N146" i="10"/>
  <c r="AC146" i="10"/>
  <c r="AR146" i="10"/>
  <c r="O146" i="10"/>
  <c r="AS146" i="10"/>
  <c r="AD146" i="10"/>
  <c r="AE146" i="10"/>
  <c r="P146" i="10"/>
  <c r="AT146" i="10"/>
  <c r="Q146" i="10"/>
  <c r="AF146" i="10"/>
  <c r="AU146" i="10"/>
  <c r="R146" i="10"/>
  <c r="AG146" i="10"/>
  <c r="AV146" i="10"/>
  <c r="H146" i="9"/>
  <c r="W146" i="9"/>
  <c r="AL146" i="9"/>
  <c r="I146" i="9"/>
  <c r="X146" i="9"/>
  <c r="AM146" i="9"/>
  <c r="J146" i="9"/>
  <c r="Y146" i="9"/>
  <c r="AN146" i="9"/>
  <c r="K146" i="9"/>
  <c r="Z146" i="9"/>
  <c r="AO146" i="9"/>
  <c r="L146" i="9"/>
  <c r="AA146" i="9"/>
  <c r="AP146" i="9"/>
  <c r="M146" i="9"/>
  <c r="AB146" i="9"/>
  <c r="AQ146" i="9"/>
  <c r="N146" i="9"/>
  <c r="AC146" i="9"/>
  <c r="AR146" i="9"/>
  <c r="O146" i="9"/>
  <c r="AD146" i="9"/>
  <c r="AS146" i="9"/>
  <c r="P146" i="9"/>
  <c r="AE146" i="9"/>
  <c r="AT146" i="9"/>
  <c r="Q146" i="9"/>
  <c r="AF146" i="9"/>
  <c r="AU146" i="9"/>
  <c r="R146" i="9"/>
  <c r="AG146" i="9"/>
  <c r="AV146" i="9"/>
  <c r="H145" i="7"/>
  <c r="W145" i="7"/>
  <c r="AL145" i="7"/>
  <c r="I145" i="7"/>
  <c r="X145" i="7"/>
  <c r="AM145" i="7"/>
  <c r="J145" i="7"/>
  <c r="Y145" i="7"/>
  <c r="AN145" i="7"/>
  <c r="K145" i="7"/>
  <c r="Z145" i="7"/>
  <c r="AO145" i="7"/>
  <c r="L145" i="7"/>
  <c r="AA145" i="7"/>
  <c r="AP145" i="7"/>
  <c r="N145" i="7"/>
  <c r="AC145" i="7"/>
  <c r="AR145" i="7"/>
  <c r="O145" i="7"/>
  <c r="AD145" i="7"/>
  <c r="AS145" i="7"/>
  <c r="P145" i="7"/>
  <c r="AE145" i="7"/>
  <c r="AT145" i="7"/>
  <c r="Q145" i="7"/>
  <c r="AF145" i="7"/>
  <c r="AU145" i="7"/>
  <c r="R145" i="7"/>
  <c r="AG145" i="7"/>
  <c r="AV145" i="7"/>
  <c r="I145" i="8"/>
  <c r="X145" i="8"/>
  <c r="AM145" i="8"/>
  <c r="J145" i="8"/>
  <c r="Y145" i="8"/>
  <c r="AN145" i="8"/>
  <c r="L145" i="8"/>
  <c r="AA145" i="8"/>
  <c r="AP145" i="8"/>
  <c r="N145" i="8"/>
  <c r="AC145" i="8"/>
  <c r="AR145" i="8"/>
  <c r="P145" i="8"/>
  <c r="AE145" i="8"/>
  <c r="AT145" i="8"/>
  <c r="Q145" i="8"/>
  <c r="AF145" i="8"/>
  <c r="AU145" i="8"/>
  <c r="H145" i="8"/>
  <c r="W145" i="8"/>
  <c r="AL145" i="8"/>
  <c r="K145" i="8"/>
  <c r="Z145" i="8"/>
  <c r="AO145" i="8"/>
  <c r="M145" i="8"/>
  <c r="AB145" i="8"/>
  <c r="AQ145" i="8"/>
  <c r="O145" i="8"/>
  <c r="AD145" i="8"/>
  <c r="AS145" i="8"/>
  <c r="R145" i="8"/>
  <c r="AG145" i="8"/>
  <c r="AV145" i="8"/>
  <c r="M145" i="7"/>
  <c r="AB145" i="7"/>
  <c r="AQ145" i="7"/>
  <c r="D133" i="8"/>
  <c r="S133" i="8"/>
  <c r="AH133" i="8"/>
  <c r="E121" i="8"/>
  <c r="T121" i="8"/>
  <c r="AI121" i="8"/>
  <c r="D116" i="9"/>
  <c r="S116" i="9"/>
  <c r="AH116" i="9"/>
  <c r="D93" i="7"/>
  <c r="S93" i="7"/>
  <c r="AH93" i="7"/>
  <c r="G90" i="9"/>
  <c r="V90" i="9"/>
  <c r="AK90" i="9"/>
  <c r="G86" i="10"/>
  <c r="V86" i="10"/>
  <c r="AK86" i="10"/>
  <c r="D71" i="10"/>
  <c r="S71" i="10"/>
  <c r="AH71" i="10"/>
  <c r="E73" i="9"/>
  <c r="T73" i="9"/>
  <c r="AI73" i="9"/>
  <c r="C75" i="8"/>
  <c r="AY75" i="8"/>
  <c r="AX76" i="8"/>
  <c r="AW75" i="8"/>
  <c r="W28" i="2" s="1"/>
  <c r="G76" i="8"/>
  <c r="V76" i="8"/>
  <c r="AK76" i="8"/>
  <c r="E65" i="10"/>
  <c r="T65" i="10"/>
  <c r="AI65" i="10"/>
  <c r="C57" i="9"/>
  <c r="AY57" i="9"/>
  <c r="AW57" i="9"/>
  <c r="AX58" i="9"/>
  <c r="F58" i="9"/>
  <c r="U58" i="9"/>
  <c r="AJ58" i="9"/>
  <c r="C47" i="10"/>
  <c r="AY47" i="10"/>
  <c r="AX48" i="10"/>
  <c r="AW47" i="10"/>
  <c r="AJ48" i="10"/>
  <c r="U48" i="10"/>
  <c r="F48" i="10"/>
  <c r="AJ90" i="8" l="1"/>
  <c r="F90" i="8"/>
  <c r="U90" i="8"/>
  <c r="AX36" i="7"/>
  <c r="F36" i="7"/>
  <c r="C36" i="7" s="1"/>
  <c r="T36" i="7" s="1"/>
  <c r="AW35" i="7"/>
  <c r="AK35" i="7"/>
  <c r="G36" i="7" s="1"/>
  <c r="AY35" i="7"/>
  <c r="H147" i="10"/>
  <c r="W147" i="10"/>
  <c r="AL147" i="10"/>
  <c r="I147" i="10"/>
  <c r="X147" i="10"/>
  <c r="AM147" i="10"/>
  <c r="Y147" i="10"/>
  <c r="J147" i="10"/>
  <c r="AN147" i="10"/>
  <c r="K147" i="10"/>
  <c r="Z147" i="10"/>
  <c r="AO147" i="10"/>
  <c r="L147" i="10"/>
  <c r="AP147" i="10"/>
  <c r="AA147" i="10"/>
  <c r="M147" i="10"/>
  <c r="AB147" i="10"/>
  <c r="AQ147" i="10"/>
  <c r="N147" i="10"/>
  <c r="AC147" i="10"/>
  <c r="AR147" i="10"/>
  <c r="O147" i="10"/>
  <c r="AD147" i="10"/>
  <c r="AS147" i="10"/>
  <c r="P147" i="10"/>
  <c r="AE147" i="10"/>
  <c r="AT147" i="10"/>
  <c r="Q147" i="10"/>
  <c r="AU147" i="10"/>
  <c r="AF147" i="10"/>
  <c r="R147" i="10"/>
  <c r="AG147" i="10"/>
  <c r="AV147" i="10"/>
  <c r="H147" i="9"/>
  <c r="W147" i="9"/>
  <c r="AL147" i="9"/>
  <c r="I147" i="9"/>
  <c r="X147" i="9"/>
  <c r="AM147" i="9"/>
  <c r="J147" i="9"/>
  <c r="Y147" i="9"/>
  <c r="AN147" i="9"/>
  <c r="K147" i="9"/>
  <c r="Z147" i="9"/>
  <c r="AO147" i="9"/>
  <c r="L147" i="9"/>
  <c r="AA147" i="9"/>
  <c r="AP147" i="9"/>
  <c r="M147" i="9"/>
  <c r="AB147" i="9"/>
  <c r="AQ147" i="9"/>
  <c r="N147" i="9"/>
  <c r="AC147" i="9"/>
  <c r="AR147" i="9"/>
  <c r="O147" i="9"/>
  <c r="AD147" i="9"/>
  <c r="AS147" i="9"/>
  <c r="P147" i="9"/>
  <c r="AE147" i="9"/>
  <c r="AT147" i="9"/>
  <c r="Q147" i="9"/>
  <c r="AF147" i="9"/>
  <c r="AU147" i="9"/>
  <c r="R147" i="9"/>
  <c r="AG147" i="9"/>
  <c r="AV147" i="9"/>
  <c r="H146" i="7"/>
  <c r="W146" i="7"/>
  <c r="AL146" i="7"/>
  <c r="I146" i="7"/>
  <c r="X146" i="7"/>
  <c r="AM146" i="7"/>
  <c r="J146" i="7"/>
  <c r="Y146" i="7"/>
  <c r="AN146" i="7"/>
  <c r="K146" i="7"/>
  <c r="Z146" i="7"/>
  <c r="AO146" i="7"/>
  <c r="L146" i="7"/>
  <c r="AA146" i="7"/>
  <c r="AP146" i="7"/>
  <c r="N146" i="7"/>
  <c r="AC146" i="7"/>
  <c r="AR146" i="7"/>
  <c r="O146" i="7"/>
  <c r="AD146" i="7"/>
  <c r="AS146" i="7"/>
  <c r="P146" i="7"/>
  <c r="AE146" i="7"/>
  <c r="AT146" i="7"/>
  <c r="Q146" i="7"/>
  <c r="AF146" i="7"/>
  <c r="AU146" i="7"/>
  <c r="R146" i="7"/>
  <c r="AG146" i="7"/>
  <c r="AV146" i="7"/>
  <c r="I146" i="8"/>
  <c r="X146" i="8"/>
  <c r="AM146" i="8"/>
  <c r="J146" i="8"/>
  <c r="Y146" i="8"/>
  <c r="AN146" i="8"/>
  <c r="L146" i="8"/>
  <c r="AA146" i="8"/>
  <c r="AP146" i="8"/>
  <c r="N146" i="8"/>
  <c r="AC146" i="8"/>
  <c r="AR146" i="8"/>
  <c r="P146" i="8"/>
  <c r="AE146" i="8"/>
  <c r="AT146" i="8"/>
  <c r="Q146" i="8"/>
  <c r="AF146" i="8"/>
  <c r="AU146" i="8"/>
  <c r="H146" i="8"/>
  <c r="W146" i="8"/>
  <c r="AL146" i="8"/>
  <c r="K146" i="8"/>
  <c r="Z146" i="8"/>
  <c r="AO146" i="8"/>
  <c r="M146" i="8"/>
  <c r="AB146" i="8"/>
  <c r="AQ146" i="8"/>
  <c r="O146" i="8"/>
  <c r="AD146" i="8"/>
  <c r="AS146" i="8"/>
  <c r="R146" i="8"/>
  <c r="AG146" i="8"/>
  <c r="AV146" i="8"/>
  <c r="M146" i="7"/>
  <c r="AB146" i="7"/>
  <c r="AQ146" i="7"/>
  <c r="D134" i="8"/>
  <c r="S134" i="8"/>
  <c r="AH134" i="8"/>
  <c r="E122" i="8"/>
  <c r="T122" i="8"/>
  <c r="AI122" i="8"/>
  <c r="D117" i="9"/>
  <c r="S117" i="9"/>
  <c r="AH117" i="9"/>
  <c r="D94" i="7"/>
  <c r="S94" i="7"/>
  <c r="AH94" i="7"/>
  <c r="G91" i="9"/>
  <c r="V91" i="9"/>
  <c r="AK91" i="9"/>
  <c r="G87" i="10"/>
  <c r="V87" i="10"/>
  <c r="AK87" i="10"/>
  <c r="AH72" i="10"/>
  <c r="S72" i="10"/>
  <c r="D72" i="10"/>
  <c r="E74" i="9"/>
  <c r="T74" i="9"/>
  <c r="AI74" i="9"/>
  <c r="C76" i="8"/>
  <c r="AY76" i="8"/>
  <c r="AX77" i="8"/>
  <c r="AW76" i="8"/>
  <c r="V77" i="8"/>
  <c r="G77" i="8"/>
  <c r="AK77" i="8"/>
  <c r="T66" i="10"/>
  <c r="E66" i="10"/>
  <c r="AI66" i="10"/>
  <c r="AY58" i="9"/>
  <c r="C58" i="9"/>
  <c r="AX59" i="9"/>
  <c r="AW58" i="9"/>
  <c r="F59" i="9"/>
  <c r="U59" i="9"/>
  <c r="AJ59" i="9"/>
  <c r="AW48" i="10"/>
  <c r="AX49" i="10"/>
  <c r="AJ49" i="10"/>
  <c r="U49" i="10"/>
  <c r="F49" i="10"/>
  <c r="C48" i="10"/>
  <c r="AY48" i="10"/>
  <c r="AJ91" i="8" l="1"/>
  <c r="U91" i="8"/>
  <c r="F91" i="8"/>
  <c r="W148" i="10"/>
  <c r="H148" i="10"/>
  <c r="AL148" i="10"/>
  <c r="X148" i="10"/>
  <c r="I148" i="10"/>
  <c r="AM148" i="10"/>
  <c r="Y148" i="10"/>
  <c r="AN148" i="10"/>
  <c r="J148" i="10"/>
  <c r="K148" i="10"/>
  <c r="AO148" i="10"/>
  <c r="Z148" i="10"/>
  <c r="AA148" i="10"/>
  <c r="AP148" i="10"/>
  <c r="L148" i="10"/>
  <c r="AQ148" i="10"/>
  <c r="M148" i="10"/>
  <c r="AB148" i="10"/>
  <c r="N148" i="10"/>
  <c r="AC148" i="10"/>
  <c r="AR148" i="10"/>
  <c r="AD148" i="10"/>
  <c r="AS148" i="10"/>
  <c r="O148" i="10"/>
  <c r="AE148" i="10"/>
  <c r="AT148" i="10"/>
  <c r="P148" i="10"/>
  <c r="Q148" i="10"/>
  <c r="AF148" i="10"/>
  <c r="AU148" i="10"/>
  <c r="R148" i="10"/>
  <c r="AG148" i="10"/>
  <c r="AV148" i="10"/>
  <c r="H148" i="9"/>
  <c r="W148" i="9"/>
  <c r="AL148" i="9"/>
  <c r="I148" i="9"/>
  <c r="X148" i="9"/>
  <c r="AM148" i="9"/>
  <c r="J148" i="9"/>
  <c r="Y148" i="9"/>
  <c r="AN148" i="9"/>
  <c r="K148" i="9"/>
  <c r="Z148" i="9"/>
  <c r="AO148" i="9"/>
  <c r="L148" i="9"/>
  <c r="AA148" i="9"/>
  <c r="AP148" i="9"/>
  <c r="M148" i="9"/>
  <c r="AB148" i="9"/>
  <c r="AQ148" i="9"/>
  <c r="N148" i="9"/>
  <c r="AC148" i="9"/>
  <c r="AR148" i="9"/>
  <c r="O148" i="9"/>
  <c r="AD148" i="9"/>
  <c r="AS148" i="9"/>
  <c r="P148" i="9"/>
  <c r="AE148" i="9"/>
  <c r="AT148" i="9"/>
  <c r="Q148" i="9"/>
  <c r="AF148" i="9"/>
  <c r="AU148" i="9"/>
  <c r="R148" i="9"/>
  <c r="AG148" i="9"/>
  <c r="AV148" i="9"/>
  <c r="H147" i="7"/>
  <c r="W147" i="7"/>
  <c r="AL147" i="7"/>
  <c r="I147" i="7"/>
  <c r="X147" i="7"/>
  <c r="AM147" i="7"/>
  <c r="J147" i="7"/>
  <c r="Y147" i="7"/>
  <c r="AN147" i="7"/>
  <c r="K147" i="7"/>
  <c r="Z147" i="7"/>
  <c r="AO147" i="7"/>
  <c r="L147" i="7"/>
  <c r="AA147" i="7"/>
  <c r="AP147" i="7"/>
  <c r="N147" i="7"/>
  <c r="AC147" i="7"/>
  <c r="AR147" i="7"/>
  <c r="O147" i="7"/>
  <c r="AD147" i="7"/>
  <c r="AS147" i="7"/>
  <c r="P147" i="7"/>
  <c r="AE147" i="7"/>
  <c r="AT147" i="7"/>
  <c r="Q147" i="7"/>
  <c r="AF147" i="7"/>
  <c r="AU147" i="7"/>
  <c r="R147" i="7"/>
  <c r="AG147" i="7"/>
  <c r="AV147" i="7"/>
  <c r="I147" i="8"/>
  <c r="X147" i="8"/>
  <c r="AM147" i="8"/>
  <c r="J147" i="8"/>
  <c r="Y147" i="8"/>
  <c r="AN147" i="8"/>
  <c r="L147" i="8"/>
  <c r="AA147" i="8"/>
  <c r="AP147" i="8"/>
  <c r="N147" i="8"/>
  <c r="AC147" i="8"/>
  <c r="AR147" i="8"/>
  <c r="P147" i="8"/>
  <c r="AE147" i="8"/>
  <c r="AT147" i="8"/>
  <c r="Q147" i="8"/>
  <c r="AF147" i="8"/>
  <c r="AU147" i="8"/>
  <c r="H147" i="8"/>
  <c r="W147" i="8"/>
  <c r="AL147" i="8"/>
  <c r="K147" i="8"/>
  <c r="Z147" i="8"/>
  <c r="AO147" i="8"/>
  <c r="M147" i="8"/>
  <c r="AB147" i="8"/>
  <c r="AQ147" i="8"/>
  <c r="O147" i="8"/>
  <c r="AD147" i="8"/>
  <c r="AS147" i="8"/>
  <c r="R147" i="8"/>
  <c r="AG147" i="8"/>
  <c r="AV147" i="8"/>
  <c r="M147" i="7"/>
  <c r="AB147" i="7"/>
  <c r="AQ147" i="7"/>
  <c r="D135" i="8"/>
  <c r="S135" i="8"/>
  <c r="AH135" i="8"/>
  <c r="E123" i="8"/>
  <c r="T123" i="8"/>
  <c r="AI123" i="8"/>
  <c r="D118" i="9"/>
  <c r="S118" i="9"/>
  <c r="AH118" i="9"/>
  <c r="D95" i="7"/>
  <c r="S95" i="7"/>
  <c r="AH95" i="7"/>
  <c r="G92" i="9"/>
  <c r="V92" i="9"/>
  <c r="AK92" i="9"/>
  <c r="G88" i="10"/>
  <c r="V88" i="10"/>
  <c r="AK88" i="10"/>
  <c r="S73" i="10"/>
  <c r="AH73" i="10"/>
  <c r="D73" i="10"/>
  <c r="E75" i="9"/>
  <c r="T75" i="9"/>
  <c r="AI75" i="9"/>
  <c r="AY77" i="8"/>
  <c r="C77" i="8"/>
  <c r="AW77" i="8"/>
  <c r="AX78" i="8"/>
  <c r="G78" i="8"/>
  <c r="V78" i="8"/>
  <c r="AK78" i="8"/>
  <c r="E67" i="10"/>
  <c r="T67" i="10"/>
  <c r="AI67" i="10"/>
  <c r="AY59" i="9"/>
  <c r="C59" i="9"/>
  <c r="AX60" i="9"/>
  <c r="AW59" i="9"/>
  <c r="F60" i="9"/>
  <c r="U60" i="9"/>
  <c r="AJ60" i="9"/>
  <c r="AW49" i="10"/>
  <c r="AX50" i="10"/>
  <c r="F50" i="10"/>
  <c r="U50" i="10"/>
  <c r="AJ50" i="10"/>
  <c r="C49" i="10"/>
  <c r="AY49" i="10"/>
  <c r="U36" i="7"/>
  <c r="AI36" i="7"/>
  <c r="F92" i="8" l="1"/>
  <c r="AJ92" i="8"/>
  <c r="U92" i="8"/>
  <c r="W149" i="10"/>
  <c r="H149" i="10"/>
  <c r="AL149" i="10"/>
  <c r="I149" i="10"/>
  <c r="X149" i="10"/>
  <c r="AM149" i="10"/>
  <c r="J149" i="10"/>
  <c r="AN149" i="10"/>
  <c r="Y149" i="10"/>
  <c r="AO149" i="10"/>
  <c r="K149" i="10"/>
  <c r="Z149" i="10"/>
  <c r="L149" i="10"/>
  <c r="AA149" i="10"/>
  <c r="AP149" i="10"/>
  <c r="AB149" i="10"/>
  <c r="AQ149" i="10"/>
  <c r="M149" i="10"/>
  <c r="N149" i="10"/>
  <c r="AC149" i="10"/>
  <c r="AR149" i="10"/>
  <c r="O149" i="10"/>
  <c r="AD149" i="10"/>
  <c r="AS149" i="10"/>
  <c r="P149" i="10"/>
  <c r="AE149" i="10"/>
  <c r="AT149" i="10"/>
  <c r="AF149" i="10"/>
  <c r="Q149" i="10"/>
  <c r="AU149" i="10"/>
  <c r="R149" i="10"/>
  <c r="AG149" i="10"/>
  <c r="AV149" i="10"/>
  <c r="H149" i="9"/>
  <c r="W149" i="9"/>
  <c r="AL149" i="9"/>
  <c r="I149" i="9"/>
  <c r="X149" i="9"/>
  <c r="AM149" i="9"/>
  <c r="J149" i="9"/>
  <c r="Y149" i="9"/>
  <c r="AN149" i="9"/>
  <c r="K149" i="9"/>
  <c r="Z149" i="9"/>
  <c r="AO149" i="9"/>
  <c r="L149" i="9"/>
  <c r="AA149" i="9"/>
  <c r="AP149" i="9"/>
  <c r="M149" i="9"/>
  <c r="AB149" i="9"/>
  <c r="AQ149" i="9"/>
  <c r="N149" i="9"/>
  <c r="AC149" i="9"/>
  <c r="AR149" i="9"/>
  <c r="O149" i="9"/>
  <c r="AD149" i="9"/>
  <c r="AS149" i="9"/>
  <c r="P149" i="9"/>
  <c r="AE149" i="9"/>
  <c r="AT149" i="9"/>
  <c r="Q149" i="9"/>
  <c r="AF149" i="9"/>
  <c r="AU149" i="9"/>
  <c r="R149" i="9"/>
  <c r="AG149" i="9"/>
  <c r="AV149" i="9"/>
  <c r="H148" i="7"/>
  <c r="W148" i="7"/>
  <c r="AL148" i="7"/>
  <c r="I148" i="7"/>
  <c r="X148" i="7"/>
  <c r="AM148" i="7"/>
  <c r="J148" i="7"/>
  <c r="Y148" i="7"/>
  <c r="AN148" i="7"/>
  <c r="K148" i="7"/>
  <c r="Z148" i="7"/>
  <c r="AO148" i="7"/>
  <c r="L148" i="7"/>
  <c r="AA148" i="7"/>
  <c r="AP148" i="7"/>
  <c r="N148" i="7"/>
  <c r="AC148" i="7"/>
  <c r="AR148" i="7"/>
  <c r="O148" i="7"/>
  <c r="AD148" i="7"/>
  <c r="AS148" i="7"/>
  <c r="P148" i="7"/>
  <c r="AE148" i="7"/>
  <c r="AT148" i="7"/>
  <c r="Q148" i="7"/>
  <c r="AF148" i="7"/>
  <c r="AU148" i="7"/>
  <c r="R148" i="7"/>
  <c r="AG148" i="7"/>
  <c r="AV148" i="7"/>
  <c r="I148" i="8"/>
  <c r="X148" i="8"/>
  <c r="AM148" i="8"/>
  <c r="J148" i="8"/>
  <c r="Y148" i="8"/>
  <c r="AN148" i="8"/>
  <c r="L148" i="8"/>
  <c r="AA148" i="8"/>
  <c r="AP148" i="8"/>
  <c r="N148" i="8"/>
  <c r="AC148" i="8"/>
  <c r="AR148" i="8"/>
  <c r="P148" i="8"/>
  <c r="AE148" i="8"/>
  <c r="AT148" i="8"/>
  <c r="Q148" i="8"/>
  <c r="AF148" i="8"/>
  <c r="AU148" i="8"/>
  <c r="H148" i="8"/>
  <c r="W148" i="8"/>
  <c r="AL148" i="8"/>
  <c r="K148" i="8"/>
  <c r="Z148" i="8"/>
  <c r="AO148" i="8"/>
  <c r="M148" i="8"/>
  <c r="AB148" i="8"/>
  <c r="AQ148" i="8"/>
  <c r="O148" i="8"/>
  <c r="AD148" i="8"/>
  <c r="AS148" i="8"/>
  <c r="R148" i="8"/>
  <c r="AG148" i="8"/>
  <c r="AV148" i="8"/>
  <c r="M148" i="7"/>
  <c r="AB148" i="7"/>
  <c r="AQ148" i="7"/>
  <c r="D136" i="8"/>
  <c r="S136" i="8"/>
  <c r="AH136" i="8"/>
  <c r="E124" i="8"/>
  <c r="T124" i="8"/>
  <c r="AI124" i="8"/>
  <c r="D119" i="9"/>
  <c r="S119" i="9"/>
  <c r="AH119" i="9"/>
  <c r="D96" i="7"/>
  <c r="S96" i="7"/>
  <c r="AH96" i="7"/>
  <c r="G93" i="9"/>
  <c r="V93" i="9"/>
  <c r="AK93" i="9"/>
  <c r="G89" i="10"/>
  <c r="V89" i="10"/>
  <c r="AK89" i="10"/>
  <c r="AH74" i="10"/>
  <c r="D74" i="10"/>
  <c r="S74" i="10"/>
  <c r="E76" i="9"/>
  <c r="T76" i="9"/>
  <c r="AI76" i="9"/>
  <c r="AY78" i="8"/>
  <c r="C78" i="8"/>
  <c r="AX79" i="8"/>
  <c r="AW78" i="8"/>
  <c r="W29" i="2" s="1"/>
  <c r="G79" i="8"/>
  <c r="AK79" i="8"/>
  <c r="V79" i="8"/>
  <c r="T68" i="10"/>
  <c r="AI68" i="10"/>
  <c r="E68" i="10"/>
  <c r="AY60" i="9"/>
  <c r="C60" i="9"/>
  <c r="AX61" i="9"/>
  <c r="AW60" i="9"/>
  <c r="F61" i="9"/>
  <c r="U61" i="9"/>
  <c r="AJ61" i="9"/>
  <c r="C50" i="10"/>
  <c r="AY50" i="10"/>
  <c r="AW50" i="10"/>
  <c r="AX51" i="10"/>
  <c r="U51" i="10"/>
  <c r="AJ51" i="10"/>
  <c r="F51" i="10"/>
  <c r="V36" i="7"/>
  <c r="AJ36" i="7"/>
  <c r="E37" i="7"/>
  <c r="AJ93" i="8" l="1"/>
  <c r="U93" i="8"/>
  <c r="F93" i="8"/>
  <c r="H150" i="10"/>
  <c r="AL150" i="10"/>
  <c r="W150" i="10"/>
  <c r="X150" i="10"/>
  <c r="AM150" i="10"/>
  <c r="I150" i="10"/>
  <c r="Y150" i="10"/>
  <c r="AN150" i="10"/>
  <c r="J150" i="10"/>
  <c r="Z150" i="10"/>
  <c r="AO150" i="10"/>
  <c r="K150" i="10"/>
  <c r="AA150" i="10"/>
  <c r="AP150" i="10"/>
  <c r="L150" i="10"/>
  <c r="M150" i="10"/>
  <c r="AQ150" i="10"/>
  <c r="AB150" i="10"/>
  <c r="AR150" i="10"/>
  <c r="N150" i="10"/>
  <c r="AC150" i="10"/>
  <c r="AS150" i="10"/>
  <c r="O150" i="10"/>
  <c r="AD150" i="10"/>
  <c r="AE150" i="10"/>
  <c r="AT150" i="10"/>
  <c r="P150" i="10"/>
  <c r="AF150" i="10"/>
  <c r="Q150" i="10"/>
  <c r="AU150" i="10"/>
  <c r="R150" i="10"/>
  <c r="AG150" i="10"/>
  <c r="AV150" i="10"/>
  <c r="H150" i="9"/>
  <c r="W150" i="9"/>
  <c r="AL150" i="9"/>
  <c r="I150" i="9"/>
  <c r="X150" i="9"/>
  <c r="AM150" i="9"/>
  <c r="J150" i="9"/>
  <c r="Y150" i="9"/>
  <c r="AN150" i="9"/>
  <c r="K150" i="9"/>
  <c r="Z150" i="9"/>
  <c r="AO150" i="9"/>
  <c r="L150" i="9"/>
  <c r="AA150" i="9"/>
  <c r="AP150" i="9"/>
  <c r="M150" i="9"/>
  <c r="AB150" i="9"/>
  <c r="AQ150" i="9"/>
  <c r="N150" i="9"/>
  <c r="AC150" i="9"/>
  <c r="AR150" i="9"/>
  <c r="O150" i="9"/>
  <c r="AD150" i="9"/>
  <c r="AS150" i="9"/>
  <c r="P150" i="9"/>
  <c r="AE150" i="9"/>
  <c r="AT150" i="9"/>
  <c r="Q150" i="9"/>
  <c r="AF150" i="9"/>
  <c r="AU150" i="9"/>
  <c r="R150" i="9"/>
  <c r="AG150" i="9"/>
  <c r="AV150" i="9"/>
  <c r="H149" i="7"/>
  <c r="W149" i="7"/>
  <c r="AL149" i="7"/>
  <c r="I149" i="7"/>
  <c r="X149" i="7"/>
  <c r="AM149" i="7"/>
  <c r="J149" i="7"/>
  <c r="Y149" i="7"/>
  <c r="AN149" i="7"/>
  <c r="K149" i="7"/>
  <c r="Z149" i="7"/>
  <c r="AO149" i="7"/>
  <c r="L149" i="7"/>
  <c r="AA149" i="7"/>
  <c r="AP149" i="7"/>
  <c r="N149" i="7"/>
  <c r="AC149" i="7"/>
  <c r="AR149" i="7"/>
  <c r="O149" i="7"/>
  <c r="AD149" i="7"/>
  <c r="AS149" i="7"/>
  <c r="P149" i="7"/>
  <c r="AE149" i="7"/>
  <c r="AT149" i="7"/>
  <c r="Q149" i="7"/>
  <c r="AF149" i="7"/>
  <c r="AU149" i="7"/>
  <c r="R149" i="7"/>
  <c r="AG149" i="7"/>
  <c r="AV149" i="7"/>
  <c r="I149" i="8"/>
  <c r="X149" i="8"/>
  <c r="AM149" i="8"/>
  <c r="J149" i="8"/>
  <c r="Y149" i="8"/>
  <c r="AN149" i="8"/>
  <c r="L149" i="8"/>
  <c r="AA149" i="8"/>
  <c r="AP149" i="8"/>
  <c r="N149" i="8"/>
  <c r="AC149" i="8"/>
  <c r="AR149" i="8"/>
  <c r="P149" i="8"/>
  <c r="AE149" i="8"/>
  <c r="AT149" i="8"/>
  <c r="Q149" i="8"/>
  <c r="AF149" i="8"/>
  <c r="AU149" i="8"/>
  <c r="H149" i="8"/>
  <c r="W149" i="8"/>
  <c r="AL149" i="8"/>
  <c r="K149" i="8"/>
  <c r="Z149" i="8"/>
  <c r="AO149" i="8"/>
  <c r="M149" i="8"/>
  <c r="AB149" i="8"/>
  <c r="AQ149" i="8"/>
  <c r="O149" i="8"/>
  <c r="AD149" i="8"/>
  <c r="AS149" i="8"/>
  <c r="R149" i="8"/>
  <c r="AG149" i="8"/>
  <c r="AV149" i="8"/>
  <c r="M149" i="7"/>
  <c r="AB149" i="7"/>
  <c r="AQ149" i="7"/>
  <c r="D137" i="8"/>
  <c r="S137" i="8"/>
  <c r="AH137" i="8"/>
  <c r="E125" i="8"/>
  <c r="T125" i="8"/>
  <c r="AI125" i="8"/>
  <c r="D120" i="9"/>
  <c r="S120" i="9"/>
  <c r="AH120" i="9"/>
  <c r="D97" i="7"/>
  <c r="S97" i="7"/>
  <c r="AH97" i="7"/>
  <c r="G94" i="9"/>
  <c r="V94" i="9"/>
  <c r="AK94" i="9"/>
  <c r="G90" i="10"/>
  <c r="V90" i="10"/>
  <c r="AK90" i="10"/>
  <c r="S75" i="10"/>
  <c r="AH75" i="10"/>
  <c r="D75" i="10"/>
  <c r="E77" i="9"/>
  <c r="T77" i="9"/>
  <c r="AI77" i="9"/>
  <c r="AY79" i="8"/>
  <c r="C79" i="8"/>
  <c r="AX80" i="8"/>
  <c r="AW79" i="8"/>
  <c r="V80" i="8"/>
  <c r="G80" i="8"/>
  <c r="AK80" i="8"/>
  <c r="AI69" i="10"/>
  <c r="E69" i="10"/>
  <c r="T69" i="10"/>
  <c r="C61" i="9"/>
  <c r="AY61" i="9"/>
  <c r="AW61" i="9"/>
  <c r="AX62" i="9"/>
  <c r="F62" i="9"/>
  <c r="U62" i="9"/>
  <c r="AJ62" i="9"/>
  <c r="AW51" i="10"/>
  <c r="AX52" i="10"/>
  <c r="U52" i="10"/>
  <c r="AJ52" i="10"/>
  <c r="F52" i="10"/>
  <c r="AY51" i="10"/>
  <c r="C51" i="10"/>
  <c r="AY36" i="7"/>
  <c r="AK36" i="7"/>
  <c r="F37" i="7"/>
  <c r="AJ94" i="8" l="1"/>
  <c r="U94" i="8"/>
  <c r="F94" i="8"/>
  <c r="H151" i="10"/>
  <c r="AL151" i="10"/>
  <c r="W151" i="10"/>
  <c r="I151" i="10"/>
  <c r="X151" i="10"/>
  <c r="AM151" i="10"/>
  <c r="AN151" i="10"/>
  <c r="J151" i="10"/>
  <c r="Y151" i="10"/>
  <c r="K151" i="10"/>
  <c r="Z151" i="10"/>
  <c r="AO151" i="10"/>
  <c r="L151" i="10"/>
  <c r="AP151" i="10"/>
  <c r="AA151" i="10"/>
  <c r="M151" i="10"/>
  <c r="AB151" i="10"/>
  <c r="AQ151" i="10"/>
  <c r="N151" i="10"/>
  <c r="AR151" i="10"/>
  <c r="AC151" i="10"/>
  <c r="O151" i="10"/>
  <c r="AS151" i="10"/>
  <c r="AD151" i="10"/>
  <c r="AT151" i="10"/>
  <c r="P151" i="10"/>
  <c r="AE151" i="10"/>
  <c r="Q151" i="10"/>
  <c r="AF151" i="10"/>
  <c r="AU151" i="10"/>
  <c r="R151" i="10"/>
  <c r="AV151" i="10"/>
  <c r="AG151" i="10"/>
  <c r="H151" i="9"/>
  <c r="W151" i="9"/>
  <c r="AL151" i="9"/>
  <c r="I151" i="9"/>
  <c r="X151" i="9"/>
  <c r="AM151" i="9"/>
  <c r="J151" i="9"/>
  <c r="Y151" i="9"/>
  <c r="AN151" i="9"/>
  <c r="K151" i="9"/>
  <c r="Z151" i="9"/>
  <c r="AO151" i="9"/>
  <c r="L151" i="9"/>
  <c r="AA151" i="9"/>
  <c r="AP151" i="9"/>
  <c r="M151" i="9"/>
  <c r="AB151" i="9"/>
  <c r="AQ151" i="9"/>
  <c r="N151" i="9"/>
  <c r="AC151" i="9"/>
  <c r="AR151" i="9"/>
  <c r="O151" i="9"/>
  <c r="AD151" i="9"/>
  <c r="AS151" i="9"/>
  <c r="P151" i="9"/>
  <c r="AE151" i="9"/>
  <c r="AT151" i="9"/>
  <c r="Q151" i="9"/>
  <c r="AF151" i="9"/>
  <c r="AU151" i="9"/>
  <c r="R151" i="9"/>
  <c r="AG151" i="9"/>
  <c r="AV151" i="9"/>
  <c r="H150" i="7"/>
  <c r="W150" i="7"/>
  <c r="AL150" i="7"/>
  <c r="I150" i="7"/>
  <c r="X150" i="7"/>
  <c r="AM150" i="7"/>
  <c r="J150" i="7"/>
  <c r="Y150" i="7"/>
  <c r="AN150" i="7"/>
  <c r="K150" i="7"/>
  <c r="Z150" i="7"/>
  <c r="AO150" i="7"/>
  <c r="L150" i="7"/>
  <c r="AA150" i="7"/>
  <c r="AP150" i="7"/>
  <c r="N150" i="7"/>
  <c r="AC150" i="7"/>
  <c r="AR150" i="7"/>
  <c r="O150" i="7"/>
  <c r="AD150" i="7"/>
  <c r="AS150" i="7"/>
  <c r="P150" i="7"/>
  <c r="AE150" i="7"/>
  <c r="AT150" i="7"/>
  <c r="Q150" i="7"/>
  <c r="AF150" i="7"/>
  <c r="AU150" i="7"/>
  <c r="R150" i="7"/>
  <c r="AG150" i="7"/>
  <c r="AV150" i="7"/>
  <c r="I150" i="8"/>
  <c r="X150" i="8"/>
  <c r="AM150" i="8"/>
  <c r="J150" i="8"/>
  <c r="Y150" i="8"/>
  <c r="AN150" i="8"/>
  <c r="L150" i="8"/>
  <c r="AA150" i="8"/>
  <c r="AP150" i="8"/>
  <c r="N150" i="8"/>
  <c r="AC150" i="8"/>
  <c r="AR150" i="8"/>
  <c r="P150" i="8"/>
  <c r="AE150" i="8"/>
  <c r="AT150" i="8"/>
  <c r="Q150" i="8"/>
  <c r="AF150" i="8"/>
  <c r="AU150" i="8"/>
  <c r="H150" i="8"/>
  <c r="W150" i="8"/>
  <c r="AL150" i="8"/>
  <c r="K150" i="8"/>
  <c r="Z150" i="8"/>
  <c r="AO150" i="8"/>
  <c r="M150" i="8"/>
  <c r="AB150" i="8"/>
  <c r="AQ150" i="8"/>
  <c r="O150" i="8"/>
  <c r="AD150" i="8"/>
  <c r="AS150" i="8"/>
  <c r="R150" i="8"/>
  <c r="AG150" i="8"/>
  <c r="AV150" i="8"/>
  <c r="M150" i="7"/>
  <c r="AB150" i="7"/>
  <c r="AQ150" i="7"/>
  <c r="D138" i="8"/>
  <c r="S138" i="8"/>
  <c r="AH138" i="8"/>
  <c r="E126" i="8"/>
  <c r="T126" i="8"/>
  <c r="AI126" i="8"/>
  <c r="D121" i="9"/>
  <c r="S121" i="9"/>
  <c r="AH121" i="9"/>
  <c r="D98" i="7"/>
  <c r="S98" i="7"/>
  <c r="AH98" i="7"/>
  <c r="G95" i="9"/>
  <c r="V95" i="9"/>
  <c r="AK95" i="9"/>
  <c r="G91" i="10"/>
  <c r="V91" i="10"/>
  <c r="AK91" i="10"/>
  <c r="D76" i="10"/>
  <c r="S76" i="10"/>
  <c r="AH76" i="10"/>
  <c r="E78" i="9"/>
  <c r="T78" i="9"/>
  <c r="AI78" i="9"/>
  <c r="C80" i="8"/>
  <c r="AY80" i="8"/>
  <c r="AX81" i="8"/>
  <c r="AW80" i="8"/>
  <c r="V81" i="8"/>
  <c r="G81" i="8"/>
  <c r="AK81" i="8"/>
  <c r="E70" i="10"/>
  <c r="T70" i="10"/>
  <c r="AI70" i="10"/>
  <c r="C62" i="9"/>
  <c r="AY62" i="9"/>
  <c r="AW62" i="9"/>
  <c r="AX63" i="9"/>
  <c r="F63" i="9"/>
  <c r="U63" i="9"/>
  <c r="AJ63" i="9"/>
  <c r="AW52" i="10"/>
  <c r="AX53" i="10"/>
  <c r="F53" i="10"/>
  <c r="U53" i="10"/>
  <c r="AJ53" i="10"/>
  <c r="C52" i="10"/>
  <c r="AY52" i="10"/>
  <c r="AW36" i="7"/>
  <c r="X15" i="2" s="1"/>
  <c r="AX37" i="7"/>
  <c r="G37" i="7"/>
  <c r="AJ95" i="8" l="1"/>
  <c r="U95" i="8"/>
  <c r="F95" i="8"/>
  <c r="H152" i="10"/>
  <c r="W152" i="10"/>
  <c r="AL152" i="10"/>
  <c r="I152" i="10"/>
  <c r="X152" i="10"/>
  <c r="AM152" i="10"/>
  <c r="J152" i="10"/>
  <c r="Y152" i="10"/>
  <c r="AN152" i="10"/>
  <c r="K152" i="10"/>
  <c r="Z152" i="10"/>
  <c r="AO152" i="10"/>
  <c r="L152" i="10"/>
  <c r="AA152" i="10"/>
  <c r="AP152" i="10"/>
  <c r="M152" i="10"/>
  <c r="AB152" i="10"/>
  <c r="AQ152" i="10"/>
  <c r="N152" i="10"/>
  <c r="AC152" i="10"/>
  <c r="AR152" i="10"/>
  <c r="O152" i="10"/>
  <c r="AD152" i="10"/>
  <c r="AS152" i="10"/>
  <c r="P152" i="10"/>
  <c r="AT152" i="10"/>
  <c r="AE152" i="10"/>
  <c r="AF152" i="10"/>
  <c r="AU152" i="10"/>
  <c r="Q152" i="10"/>
  <c r="R152" i="10"/>
  <c r="AG152" i="10"/>
  <c r="AV152" i="10"/>
  <c r="H152" i="9"/>
  <c r="W152" i="9"/>
  <c r="AL152" i="9"/>
  <c r="I152" i="9"/>
  <c r="X152" i="9"/>
  <c r="AM152" i="9"/>
  <c r="J152" i="9"/>
  <c r="Y152" i="9"/>
  <c r="AN152" i="9"/>
  <c r="K152" i="9"/>
  <c r="Z152" i="9"/>
  <c r="AO152" i="9"/>
  <c r="L152" i="9"/>
  <c r="AA152" i="9"/>
  <c r="AP152" i="9"/>
  <c r="M152" i="9"/>
  <c r="AB152" i="9"/>
  <c r="AQ152" i="9"/>
  <c r="N152" i="9"/>
  <c r="AC152" i="9"/>
  <c r="AR152" i="9"/>
  <c r="O152" i="9"/>
  <c r="AD152" i="9"/>
  <c r="AS152" i="9"/>
  <c r="P152" i="9"/>
  <c r="AE152" i="9"/>
  <c r="AT152" i="9"/>
  <c r="Q152" i="9"/>
  <c r="AF152" i="9"/>
  <c r="AU152" i="9"/>
  <c r="R152" i="9"/>
  <c r="AG152" i="9"/>
  <c r="AV152" i="9"/>
  <c r="H151" i="7"/>
  <c r="W151" i="7"/>
  <c r="AL151" i="7"/>
  <c r="I151" i="7"/>
  <c r="X151" i="7"/>
  <c r="AM151" i="7"/>
  <c r="J151" i="7"/>
  <c r="Y151" i="7"/>
  <c r="AN151" i="7"/>
  <c r="K151" i="7"/>
  <c r="Z151" i="7"/>
  <c r="AO151" i="7"/>
  <c r="L151" i="7"/>
  <c r="AA151" i="7"/>
  <c r="AP151" i="7"/>
  <c r="N151" i="7"/>
  <c r="AC151" i="7"/>
  <c r="AR151" i="7"/>
  <c r="O151" i="7"/>
  <c r="AD151" i="7"/>
  <c r="AS151" i="7"/>
  <c r="P151" i="7"/>
  <c r="AE151" i="7"/>
  <c r="AT151" i="7"/>
  <c r="Q151" i="7"/>
  <c r="AF151" i="7"/>
  <c r="AU151" i="7"/>
  <c r="R151" i="7"/>
  <c r="AG151" i="7"/>
  <c r="AV151" i="7"/>
  <c r="I151" i="8"/>
  <c r="X151" i="8"/>
  <c r="AM151" i="8"/>
  <c r="J151" i="8"/>
  <c r="Y151" i="8"/>
  <c r="AN151" i="8"/>
  <c r="L151" i="8"/>
  <c r="AA151" i="8"/>
  <c r="AP151" i="8"/>
  <c r="N151" i="8"/>
  <c r="AC151" i="8"/>
  <c r="AR151" i="8"/>
  <c r="P151" i="8"/>
  <c r="AE151" i="8"/>
  <c r="AT151" i="8"/>
  <c r="Q151" i="8"/>
  <c r="AF151" i="8"/>
  <c r="AU151" i="8"/>
  <c r="H151" i="8"/>
  <c r="W151" i="8"/>
  <c r="AL151" i="8"/>
  <c r="K151" i="8"/>
  <c r="Z151" i="8"/>
  <c r="AO151" i="8"/>
  <c r="M151" i="8"/>
  <c r="AB151" i="8"/>
  <c r="AQ151" i="8"/>
  <c r="O151" i="8"/>
  <c r="AD151" i="8"/>
  <c r="AS151" i="8"/>
  <c r="R151" i="8"/>
  <c r="AG151" i="8"/>
  <c r="AV151" i="8"/>
  <c r="M151" i="7"/>
  <c r="AB151" i="7"/>
  <c r="AQ151" i="7"/>
  <c r="D139" i="8"/>
  <c r="S139" i="8"/>
  <c r="AH139" i="8"/>
  <c r="E127" i="8"/>
  <c r="T127" i="8"/>
  <c r="AI127" i="8"/>
  <c r="D122" i="9"/>
  <c r="S122" i="9"/>
  <c r="AH122" i="9"/>
  <c r="D99" i="7"/>
  <c r="S99" i="7"/>
  <c r="AH99" i="7"/>
  <c r="G96" i="9"/>
  <c r="V96" i="9"/>
  <c r="AK96" i="9"/>
  <c r="G92" i="10"/>
  <c r="V92" i="10"/>
  <c r="AK92" i="10"/>
  <c r="S77" i="10"/>
  <c r="AH77" i="10"/>
  <c r="D77" i="10"/>
  <c r="E79" i="9"/>
  <c r="T79" i="9"/>
  <c r="AI79" i="9"/>
  <c r="C81" i="8"/>
  <c r="AY81" i="8"/>
  <c r="AW81" i="8"/>
  <c r="W30" i="2" s="1"/>
  <c r="AX82" i="8"/>
  <c r="G82" i="8"/>
  <c r="V82" i="8"/>
  <c r="AK82" i="8"/>
  <c r="E71" i="10"/>
  <c r="T71" i="10"/>
  <c r="AI71" i="10"/>
  <c r="C63" i="9"/>
  <c r="AY63" i="9"/>
  <c r="AW63" i="9"/>
  <c r="AX64" i="9"/>
  <c r="F64" i="9"/>
  <c r="U64" i="9"/>
  <c r="AJ64" i="9"/>
  <c r="AY53" i="10"/>
  <c r="C53" i="10"/>
  <c r="AX54" i="10"/>
  <c r="AW53" i="10"/>
  <c r="AJ54" i="10"/>
  <c r="F54" i="10"/>
  <c r="U54" i="10"/>
  <c r="C37" i="7"/>
  <c r="F96" i="8" l="1"/>
  <c r="AJ96" i="8"/>
  <c r="U96" i="8"/>
  <c r="W153" i="10"/>
  <c r="AL153" i="10"/>
  <c r="H153" i="10"/>
  <c r="AM153" i="10"/>
  <c r="I153" i="10"/>
  <c r="X153" i="10"/>
  <c r="AN153" i="10"/>
  <c r="J153" i="10"/>
  <c r="Y153" i="10"/>
  <c r="Z153" i="10"/>
  <c r="K153" i="10"/>
  <c r="AO153" i="10"/>
  <c r="AA153" i="10"/>
  <c r="AP153" i="10"/>
  <c r="L153" i="10"/>
  <c r="M153" i="10"/>
  <c r="AB153" i="10"/>
  <c r="AQ153" i="10"/>
  <c r="N153" i="10"/>
  <c r="AC153" i="10"/>
  <c r="AR153" i="10"/>
  <c r="AS153" i="10"/>
  <c r="O153" i="10"/>
  <c r="AD153" i="10"/>
  <c r="AT153" i="10"/>
  <c r="P153" i="10"/>
  <c r="AE153" i="10"/>
  <c r="Q153" i="10"/>
  <c r="AF153" i="10"/>
  <c r="AU153" i="10"/>
  <c r="AG153" i="10"/>
  <c r="R153" i="10"/>
  <c r="AV153" i="10"/>
  <c r="H153" i="9"/>
  <c r="W153" i="9"/>
  <c r="AL153" i="9"/>
  <c r="I153" i="9"/>
  <c r="X153" i="9"/>
  <c r="AM153" i="9"/>
  <c r="J153" i="9"/>
  <c r="Y153" i="9"/>
  <c r="AN153" i="9"/>
  <c r="K153" i="9"/>
  <c r="Z153" i="9"/>
  <c r="AO153" i="9"/>
  <c r="L153" i="9"/>
  <c r="AA153" i="9"/>
  <c r="AP153" i="9"/>
  <c r="M153" i="9"/>
  <c r="AB153" i="9"/>
  <c r="AQ153" i="9"/>
  <c r="N153" i="9"/>
  <c r="AC153" i="9"/>
  <c r="AR153" i="9"/>
  <c r="O153" i="9"/>
  <c r="AD153" i="9"/>
  <c r="AS153" i="9"/>
  <c r="P153" i="9"/>
  <c r="AE153" i="9"/>
  <c r="AT153" i="9"/>
  <c r="Q153" i="9"/>
  <c r="AF153" i="9"/>
  <c r="AU153" i="9"/>
  <c r="R153" i="9"/>
  <c r="AG153" i="9"/>
  <c r="AV153" i="9"/>
  <c r="H152" i="7"/>
  <c r="W152" i="7"/>
  <c r="AL152" i="7"/>
  <c r="I152" i="7"/>
  <c r="X152" i="7"/>
  <c r="AM152" i="7"/>
  <c r="J152" i="7"/>
  <c r="Y152" i="7"/>
  <c r="AN152" i="7"/>
  <c r="K152" i="7"/>
  <c r="Z152" i="7"/>
  <c r="AO152" i="7"/>
  <c r="L152" i="7"/>
  <c r="AA152" i="7"/>
  <c r="AP152" i="7"/>
  <c r="N152" i="7"/>
  <c r="AC152" i="7"/>
  <c r="AR152" i="7"/>
  <c r="O152" i="7"/>
  <c r="AD152" i="7"/>
  <c r="AS152" i="7"/>
  <c r="P152" i="7"/>
  <c r="AE152" i="7"/>
  <c r="AT152" i="7"/>
  <c r="Q152" i="7"/>
  <c r="AF152" i="7"/>
  <c r="AU152" i="7"/>
  <c r="R152" i="7"/>
  <c r="AG152" i="7"/>
  <c r="AV152" i="7"/>
  <c r="I152" i="8"/>
  <c r="X152" i="8"/>
  <c r="AM152" i="8"/>
  <c r="J152" i="8"/>
  <c r="Y152" i="8"/>
  <c r="AN152" i="8"/>
  <c r="L152" i="8"/>
  <c r="AA152" i="8"/>
  <c r="AP152" i="8"/>
  <c r="N152" i="8"/>
  <c r="AC152" i="8"/>
  <c r="AR152" i="8"/>
  <c r="P152" i="8"/>
  <c r="AE152" i="8"/>
  <c r="AT152" i="8"/>
  <c r="Q152" i="8"/>
  <c r="AF152" i="8"/>
  <c r="AU152" i="8"/>
  <c r="H152" i="8"/>
  <c r="W152" i="8"/>
  <c r="AL152" i="8"/>
  <c r="K152" i="8"/>
  <c r="Z152" i="8"/>
  <c r="AO152" i="8"/>
  <c r="M152" i="8"/>
  <c r="AB152" i="8"/>
  <c r="AQ152" i="8"/>
  <c r="O152" i="8"/>
  <c r="AD152" i="8"/>
  <c r="AS152" i="8"/>
  <c r="R152" i="8"/>
  <c r="AG152" i="8"/>
  <c r="AV152" i="8"/>
  <c r="M152" i="7"/>
  <c r="AB152" i="7"/>
  <c r="AQ152" i="7"/>
  <c r="D140" i="8"/>
  <c r="S140" i="8"/>
  <c r="AH140" i="8"/>
  <c r="E128" i="8"/>
  <c r="T128" i="8"/>
  <c r="AI128" i="8"/>
  <c r="D123" i="9"/>
  <c r="S123" i="9"/>
  <c r="AH123" i="9"/>
  <c r="D100" i="7"/>
  <c r="S100" i="7"/>
  <c r="AH100" i="7"/>
  <c r="G97" i="9"/>
  <c r="V97" i="9"/>
  <c r="AK97" i="9"/>
  <c r="G93" i="10"/>
  <c r="V93" i="10"/>
  <c r="AK93" i="10"/>
  <c r="D78" i="10"/>
  <c r="S78" i="10"/>
  <c r="AH78" i="10"/>
  <c r="E80" i="9"/>
  <c r="T80" i="9"/>
  <c r="AI80" i="9"/>
  <c r="AY82" i="8"/>
  <c r="C82" i="8"/>
  <c r="AW82" i="8"/>
  <c r="AX83" i="8"/>
  <c r="G83" i="8"/>
  <c r="V83" i="8"/>
  <c r="AK83" i="8"/>
  <c r="E72" i="10"/>
  <c r="T72" i="10"/>
  <c r="AI72" i="10"/>
  <c r="C64" i="9"/>
  <c r="AY64" i="9"/>
  <c r="AW64" i="9"/>
  <c r="AX65" i="9"/>
  <c r="F65" i="9"/>
  <c r="U65" i="9"/>
  <c r="AJ65" i="9"/>
  <c r="AX55" i="10"/>
  <c r="AW54" i="10"/>
  <c r="U55" i="10"/>
  <c r="AJ55" i="10"/>
  <c r="F55" i="10"/>
  <c r="AY54" i="10"/>
  <c r="C54" i="10"/>
  <c r="T37" i="7"/>
  <c r="U37" i="7" s="1"/>
  <c r="AJ37" i="7" s="1"/>
  <c r="U97" i="8" l="1"/>
  <c r="AJ97" i="8"/>
  <c r="F97" i="8"/>
  <c r="H154" i="10"/>
  <c r="W154" i="10"/>
  <c r="AL154" i="10"/>
  <c r="I154" i="10"/>
  <c r="X154" i="10"/>
  <c r="AM154" i="10"/>
  <c r="J154" i="10"/>
  <c r="AN154" i="10"/>
  <c r="Y154" i="10"/>
  <c r="K154" i="10"/>
  <c r="Z154" i="10"/>
  <c r="AO154" i="10"/>
  <c r="L154" i="10"/>
  <c r="AA154" i="10"/>
  <c r="AP154" i="10"/>
  <c r="M154" i="10"/>
  <c r="AB154" i="10"/>
  <c r="AQ154" i="10"/>
  <c r="AC154" i="10"/>
  <c r="AR154" i="10"/>
  <c r="N154" i="10"/>
  <c r="O154" i="10"/>
  <c r="AD154" i="10"/>
  <c r="AS154" i="10"/>
  <c r="P154" i="10"/>
  <c r="AE154" i="10"/>
  <c r="AT154" i="10"/>
  <c r="Q154" i="10"/>
  <c r="AU154" i="10"/>
  <c r="AF154" i="10"/>
  <c r="R154" i="10"/>
  <c r="AG154" i="10"/>
  <c r="AV154" i="10"/>
  <c r="H154" i="9"/>
  <c r="W154" i="9"/>
  <c r="AL154" i="9"/>
  <c r="I154" i="9"/>
  <c r="X154" i="9"/>
  <c r="AM154" i="9"/>
  <c r="J154" i="9"/>
  <c r="Y154" i="9"/>
  <c r="AN154" i="9"/>
  <c r="K154" i="9"/>
  <c r="Z154" i="9"/>
  <c r="AO154" i="9"/>
  <c r="L154" i="9"/>
  <c r="AA154" i="9"/>
  <c r="AP154" i="9"/>
  <c r="M154" i="9"/>
  <c r="AB154" i="9"/>
  <c r="AQ154" i="9"/>
  <c r="N154" i="9"/>
  <c r="AC154" i="9"/>
  <c r="AR154" i="9"/>
  <c r="O154" i="9"/>
  <c r="AD154" i="9"/>
  <c r="AS154" i="9"/>
  <c r="P154" i="9"/>
  <c r="AE154" i="9"/>
  <c r="AT154" i="9"/>
  <c r="Q154" i="9"/>
  <c r="AF154" i="9"/>
  <c r="AU154" i="9"/>
  <c r="R154" i="9"/>
  <c r="AG154" i="9"/>
  <c r="AV154" i="9"/>
  <c r="H153" i="7"/>
  <c r="W153" i="7"/>
  <c r="AL153" i="7"/>
  <c r="I153" i="7"/>
  <c r="X153" i="7"/>
  <c r="AM153" i="7"/>
  <c r="J153" i="7"/>
  <c r="Y153" i="7"/>
  <c r="AN153" i="7"/>
  <c r="K153" i="7"/>
  <c r="Z153" i="7"/>
  <c r="AO153" i="7"/>
  <c r="L153" i="7"/>
  <c r="AA153" i="7"/>
  <c r="AP153" i="7"/>
  <c r="N153" i="7"/>
  <c r="AC153" i="7"/>
  <c r="AR153" i="7"/>
  <c r="O153" i="7"/>
  <c r="AD153" i="7"/>
  <c r="AS153" i="7"/>
  <c r="P153" i="7"/>
  <c r="AE153" i="7"/>
  <c r="AT153" i="7"/>
  <c r="Q153" i="7"/>
  <c r="AF153" i="7"/>
  <c r="AU153" i="7"/>
  <c r="R153" i="7"/>
  <c r="AG153" i="7"/>
  <c r="AV153" i="7"/>
  <c r="I153" i="8"/>
  <c r="X153" i="8"/>
  <c r="AM153" i="8"/>
  <c r="J153" i="8"/>
  <c r="Y153" i="8"/>
  <c r="AN153" i="8"/>
  <c r="L153" i="8"/>
  <c r="AA153" i="8"/>
  <c r="AP153" i="8"/>
  <c r="N153" i="8"/>
  <c r="AC153" i="8"/>
  <c r="AR153" i="8"/>
  <c r="P153" i="8"/>
  <c r="AE153" i="8"/>
  <c r="AT153" i="8"/>
  <c r="Q153" i="8"/>
  <c r="AF153" i="8"/>
  <c r="AU153" i="8"/>
  <c r="H153" i="8"/>
  <c r="W153" i="8"/>
  <c r="AL153" i="8"/>
  <c r="K153" i="8"/>
  <c r="Z153" i="8"/>
  <c r="AO153" i="8"/>
  <c r="M153" i="8"/>
  <c r="AB153" i="8"/>
  <c r="AQ153" i="8"/>
  <c r="O153" i="8"/>
  <c r="AD153" i="8"/>
  <c r="AS153" i="8"/>
  <c r="R153" i="8"/>
  <c r="AG153" i="8"/>
  <c r="AV153" i="8"/>
  <c r="M153" i="7"/>
  <c r="AB153" i="7"/>
  <c r="AQ153" i="7"/>
  <c r="D141" i="8"/>
  <c r="S141" i="8"/>
  <c r="AH141" i="8"/>
  <c r="E129" i="8"/>
  <c r="T129" i="8"/>
  <c r="AI129" i="8"/>
  <c r="D124" i="9"/>
  <c r="S124" i="9"/>
  <c r="AH124" i="9"/>
  <c r="D101" i="7"/>
  <c r="S101" i="7"/>
  <c r="AH101" i="7"/>
  <c r="G98" i="9"/>
  <c r="V98" i="9"/>
  <c r="AK98" i="9"/>
  <c r="G94" i="10"/>
  <c r="V94" i="10"/>
  <c r="AK94" i="10"/>
  <c r="AH79" i="10"/>
  <c r="D79" i="10"/>
  <c r="S79" i="10"/>
  <c r="E81" i="9"/>
  <c r="T81" i="9"/>
  <c r="AI81" i="9"/>
  <c r="C83" i="8"/>
  <c r="AY83" i="8"/>
  <c r="AW83" i="8"/>
  <c r="AX84" i="8"/>
  <c r="V84" i="8"/>
  <c r="AK84" i="8"/>
  <c r="G84" i="8"/>
  <c r="T73" i="10"/>
  <c r="AI73" i="10"/>
  <c r="E73" i="10"/>
  <c r="C65" i="9"/>
  <c r="AY65" i="9"/>
  <c r="AX66" i="9"/>
  <c r="AW65" i="9"/>
  <c r="F66" i="9"/>
  <c r="U66" i="9"/>
  <c r="AJ66" i="9"/>
  <c r="AX56" i="10"/>
  <c r="AW55" i="10"/>
  <c r="F56" i="10"/>
  <c r="U56" i="10"/>
  <c r="AJ56" i="10"/>
  <c r="AY55" i="10"/>
  <c r="C55" i="10"/>
  <c r="V37" i="7"/>
  <c r="AI37" i="7"/>
  <c r="F38" i="7"/>
  <c r="AJ98" i="8" l="1"/>
  <c r="U98" i="8"/>
  <c r="F98" i="8"/>
  <c r="H155" i="10"/>
  <c r="W155" i="10"/>
  <c r="AL155" i="10"/>
  <c r="I155" i="10"/>
  <c r="X155" i="10"/>
  <c r="AM155" i="10"/>
  <c r="AN155" i="10"/>
  <c r="J155" i="10"/>
  <c r="Y155" i="10"/>
  <c r="K155" i="10"/>
  <c r="Z155" i="10"/>
  <c r="AO155" i="10"/>
  <c r="L155" i="10"/>
  <c r="AA155" i="10"/>
  <c r="AP155" i="10"/>
  <c r="M155" i="10"/>
  <c r="AB155" i="10"/>
  <c r="AQ155" i="10"/>
  <c r="N155" i="10"/>
  <c r="AC155" i="10"/>
  <c r="AR155" i="10"/>
  <c r="O155" i="10"/>
  <c r="AD155" i="10"/>
  <c r="AS155" i="10"/>
  <c r="P155" i="10"/>
  <c r="AE155" i="10"/>
  <c r="AT155" i="10"/>
  <c r="Q155" i="10"/>
  <c r="AF155" i="10"/>
  <c r="AU155" i="10"/>
  <c r="AG155" i="10"/>
  <c r="AV155" i="10"/>
  <c r="R155" i="10"/>
  <c r="H155" i="9"/>
  <c r="W155" i="9"/>
  <c r="AL155" i="9"/>
  <c r="I155" i="9"/>
  <c r="X155" i="9"/>
  <c r="AM155" i="9"/>
  <c r="J155" i="9"/>
  <c r="Y155" i="9"/>
  <c r="AN155" i="9"/>
  <c r="K155" i="9"/>
  <c r="Z155" i="9"/>
  <c r="AO155" i="9"/>
  <c r="L155" i="9"/>
  <c r="AA155" i="9"/>
  <c r="AP155" i="9"/>
  <c r="M155" i="9"/>
  <c r="AB155" i="9"/>
  <c r="AQ155" i="9"/>
  <c r="N155" i="9"/>
  <c r="AC155" i="9"/>
  <c r="AR155" i="9"/>
  <c r="O155" i="9"/>
  <c r="AD155" i="9"/>
  <c r="AS155" i="9"/>
  <c r="P155" i="9"/>
  <c r="AE155" i="9"/>
  <c r="AT155" i="9"/>
  <c r="Q155" i="9"/>
  <c r="AF155" i="9"/>
  <c r="AU155" i="9"/>
  <c r="R155" i="9"/>
  <c r="AG155" i="9"/>
  <c r="AV155" i="9"/>
  <c r="H154" i="7"/>
  <c r="W154" i="7"/>
  <c r="AL154" i="7"/>
  <c r="I154" i="7"/>
  <c r="X154" i="7"/>
  <c r="AM154" i="7"/>
  <c r="J154" i="7"/>
  <c r="Y154" i="7"/>
  <c r="AN154" i="7"/>
  <c r="K154" i="7"/>
  <c r="Z154" i="7"/>
  <c r="AO154" i="7"/>
  <c r="L154" i="7"/>
  <c r="AA154" i="7"/>
  <c r="AP154" i="7"/>
  <c r="N154" i="7"/>
  <c r="AC154" i="7"/>
  <c r="AR154" i="7"/>
  <c r="O154" i="7"/>
  <c r="AD154" i="7"/>
  <c r="AS154" i="7"/>
  <c r="P154" i="7"/>
  <c r="AE154" i="7"/>
  <c r="AT154" i="7"/>
  <c r="Q154" i="7"/>
  <c r="AF154" i="7"/>
  <c r="AU154" i="7"/>
  <c r="R154" i="7"/>
  <c r="AG154" i="7"/>
  <c r="AV154" i="7"/>
  <c r="I154" i="8"/>
  <c r="X154" i="8"/>
  <c r="AM154" i="8"/>
  <c r="J154" i="8"/>
  <c r="Y154" i="8"/>
  <c r="AN154" i="8"/>
  <c r="L154" i="8"/>
  <c r="AA154" i="8"/>
  <c r="AP154" i="8"/>
  <c r="N154" i="8"/>
  <c r="AC154" i="8"/>
  <c r="AR154" i="8"/>
  <c r="P154" i="8"/>
  <c r="AE154" i="8"/>
  <c r="AT154" i="8"/>
  <c r="Q154" i="8"/>
  <c r="AF154" i="8"/>
  <c r="AU154" i="8"/>
  <c r="H154" i="8"/>
  <c r="W154" i="8"/>
  <c r="AL154" i="8"/>
  <c r="K154" i="8"/>
  <c r="Z154" i="8"/>
  <c r="AO154" i="8"/>
  <c r="M154" i="8"/>
  <c r="AB154" i="8"/>
  <c r="AQ154" i="8"/>
  <c r="O154" i="8"/>
  <c r="AD154" i="8"/>
  <c r="AS154" i="8"/>
  <c r="R154" i="8"/>
  <c r="AG154" i="8"/>
  <c r="AV154" i="8"/>
  <c r="M154" i="7"/>
  <c r="AB154" i="7"/>
  <c r="AQ154" i="7"/>
  <c r="D142" i="8"/>
  <c r="S142" i="8"/>
  <c r="AH142" i="8"/>
  <c r="E130" i="8"/>
  <c r="T130" i="8"/>
  <c r="AI130" i="8"/>
  <c r="D125" i="9"/>
  <c r="S125" i="9"/>
  <c r="AH125" i="9"/>
  <c r="D102" i="7"/>
  <c r="S102" i="7"/>
  <c r="AH102" i="7"/>
  <c r="G99" i="9"/>
  <c r="V99" i="9"/>
  <c r="AK99" i="9"/>
  <c r="G95" i="10"/>
  <c r="V95" i="10"/>
  <c r="AK95" i="10"/>
  <c r="D80" i="10"/>
  <c r="S80" i="10"/>
  <c r="AH80" i="10"/>
  <c r="E82" i="9"/>
  <c r="T82" i="9"/>
  <c r="AI82" i="9"/>
  <c r="AX85" i="8"/>
  <c r="AW84" i="8"/>
  <c r="W31" i="2" s="1"/>
  <c r="G85" i="8"/>
  <c r="V85" i="8"/>
  <c r="AK85" i="8"/>
  <c r="AY84" i="8"/>
  <c r="C84" i="8"/>
  <c r="AI74" i="10"/>
  <c r="T74" i="10"/>
  <c r="E74" i="10"/>
  <c r="AY66" i="9"/>
  <c r="C66" i="9"/>
  <c r="AW66" i="9"/>
  <c r="AX67" i="9"/>
  <c r="F67" i="9"/>
  <c r="U67" i="9"/>
  <c r="AJ67" i="9"/>
  <c r="C56" i="10"/>
  <c r="AY56" i="10"/>
  <c r="AX57" i="10"/>
  <c r="AW56" i="10"/>
  <c r="U57" i="10"/>
  <c r="AJ57" i="10"/>
  <c r="F57" i="10"/>
  <c r="E38" i="7"/>
  <c r="AK37" i="7"/>
  <c r="AY37" i="7"/>
  <c r="AJ99" i="8" l="1"/>
  <c r="U99" i="8"/>
  <c r="F99" i="8"/>
  <c r="AX38" i="7"/>
  <c r="AW37" i="7"/>
  <c r="W156" i="10"/>
  <c r="AL156" i="10"/>
  <c r="H156" i="10"/>
  <c r="I156" i="10"/>
  <c r="X156" i="10"/>
  <c r="AM156" i="10"/>
  <c r="AN156" i="10"/>
  <c r="J156" i="10"/>
  <c r="Y156" i="10"/>
  <c r="K156" i="10"/>
  <c r="Z156" i="10"/>
  <c r="AO156" i="10"/>
  <c r="AP156" i="10"/>
  <c r="L156" i="10"/>
  <c r="AA156" i="10"/>
  <c r="M156" i="10"/>
  <c r="AB156" i="10"/>
  <c r="AQ156" i="10"/>
  <c r="AC156" i="10"/>
  <c r="N156" i="10"/>
  <c r="AR156" i="10"/>
  <c r="AD156" i="10"/>
  <c r="AS156" i="10"/>
  <c r="O156" i="10"/>
  <c r="P156" i="10"/>
  <c r="AE156" i="10"/>
  <c r="AT156" i="10"/>
  <c r="Q156" i="10"/>
  <c r="AF156" i="10"/>
  <c r="AU156" i="10"/>
  <c r="R156" i="10"/>
  <c r="AG156" i="10"/>
  <c r="AV156" i="10"/>
  <c r="H156" i="9"/>
  <c r="W156" i="9"/>
  <c r="AL156" i="9"/>
  <c r="I156" i="9"/>
  <c r="X156" i="9"/>
  <c r="AM156" i="9"/>
  <c r="J156" i="9"/>
  <c r="Y156" i="9"/>
  <c r="AN156" i="9"/>
  <c r="K156" i="9"/>
  <c r="Z156" i="9"/>
  <c r="AO156" i="9"/>
  <c r="L156" i="9"/>
  <c r="AA156" i="9"/>
  <c r="AP156" i="9"/>
  <c r="M156" i="9"/>
  <c r="AB156" i="9"/>
  <c r="AQ156" i="9"/>
  <c r="N156" i="9"/>
  <c r="AC156" i="9"/>
  <c r="AR156" i="9"/>
  <c r="O156" i="9"/>
  <c r="AD156" i="9"/>
  <c r="AS156" i="9"/>
  <c r="P156" i="9"/>
  <c r="AE156" i="9"/>
  <c r="AT156" i="9"/>
  <c r="Q156" i="9"/>
  <c r="AF156" i="9"/>
  <c r="AU156" i="9"/>
  <c r="R156" i="9"/>
  <c r="AG156" i="9"/>
  <c r="AV156" i="9"/>
  <c r="H155" i="7"/>
  <c r="W155" i="7"/>
  <c r="AL155" i="7"/>
  <c r="I155" i="7"/>
  <c r="X155" i="7"/>
  <c r="AM155" i="7"/>
  <c r="J155" i="7"/>
  <c r="Y155" i="7"/>
  <c r="AN155" i="7"/>
  <c r="K155" i="7"/>
  <c r="Z155" i="7"/>
  <c r="AO155" i="7"/>
  <c r="L155" i="7"/>
  <c r="AA155" i="7"/>
  <c r="AP155" i="7"/>
  <c r="N155" i="7"/>
  <c r="AC155" i="7"/>
  <c r="AR155" i="7"/>
  <c r="O155" i="7"/>
  <c r="AD155" i="7"/>
  <c r="AS155" i="7"/>
  <c r="P155" i="7"/>
  <c r="AE155" i="7"/>
  <c r="AT155" i="7"/>
  <c r="Q155" i="7"/>
  <c r="AF155" i="7"/>
  <c r="AU155" i="7"/>
  <c r="R155" i="7"/>
  <c r="AG155" i="7"/>
  <c r="AV155" i="7"/>
  <c r="I155" i="8"/>
  <c r="X155" i="8"/>
  <c r="AM155" i="8"/>
  <c r="J155" i="8"/>
  <c r="Y155" i="8"/>
  <c r="AN155" i="8"/>
  <c r="L155" i="8"/>
  <c r="AA155" i="8"/>
  <c r="AP155" i="8"/>
  <c r="N155" i="8"/>
  <c r="AC155" i="8"/>
  <c r="AR155" i="8"/>
  <c r="P155" i="8"/>
  <c r="AE155" i="8"/>
  <c r="AT155" i="8"/>
  <c r="Q155" i="8"/>
  <c r="AF155" i="8"/>
  <c r="AU155" i="8"/>
  <c r="H155" i="8"/>
  <c r="W155" i="8"/>
  <c r="AL155" i="8"/>
  <c r="K155" i="8"/>
  <c r="Z155" i="8"/>
  <c r="AO155" i="8"/>
  <c r="M155" i="8"/>
  <c r="AB155" i="8"/>
  <c r="AQ155" i="8"/>
  <c r="O155" i="8"/>
  <c r="AD155" i="8"/>
  <c r="AS155" i="8"/>
  <c r="R155" i="8"/>
  <c r="AG155" i="8"/>
  <c r="AV155" i="8"/>
  <c r="M155" i="7"/>
  <c r="AB155" i="7"/>
  <c r="AQ155" i="7"/>
  <c r="D143" i="8"/>
  <c r="S143" i="8"/>
  <c r="AH143" i="8"/>
  <c r="E131" i="8"/>
  <c r="T131" i="8"/>
  <c r="AI131" i="8"/>
  <c r="D126" i="9"/>
  <c r="S126" i="9"/>
  <c r="AH126" i="9"/>
  <c r="D103" i="7"/>
  <c r="S103" i="7"/>
  <c r="AH103" i="7"/>
  <c r="G100" i="9"/>
  <c r="V100" i="9"/>
  <c r="AK100" i="9"/>
  <c r="G96" i="10"/>
  <c r="V96" i="10"/>
  <c r="AK96" i="10"/>
  <c r="D81" i="10"/>
  <c r="S81" i="10"/>
  <c r="AH81" i="10"/>
  <c r="E83" i="9"/>
  <c r="T83" i="9"/>
  <c r="AI83" i="9"/>
  <c r="AY85" i="8"/>
  <c r="C85" i="8"/>
  <c r="AW85" i="8"/>
  <c r="AX86" i="8"/>
  <c r="AK86" i="8"/>
  <c r="G86" i="8"/>
  <c r="V86" i="8"/>
  <c r="E75" i="10"/>
  <c r="T75" i="10"/>
  <c r="AI75" i="10"/>
  <c r="AY67" i="9"/>
  <c r="C67" i="9"/>
  <c r="AX68" i="9"/>
  <c r="AW67" i="9"/>
  <c r="F68" i="9"/>
  <c r="U68" i="9"/>
  <c r="AJ68" i="9"/>
  <c r="AX58" i="10"/>
  <c r="AW57" i="10"/>
  <c r="F58" i="10"/>
  <c r="AJ58" i="10"/>
  <c r="U58" i="10"/>
  <c r="AY57" i="10"/>
  <c r="C57" i="10"/>
  <c r="G38" i="7"/>
  <c r="AJ100" i="8" l="1"/>
  <c r="U100" i="8"/>
  <c r="F100" i="8"/>
  <c r="H157" i="10"/>
  <c r="AL157" i="10"/>
  <c r="W157" i="10"/>
  <c r="X157" i="10"/>
  <c r="AM157" i="10"/>
  <c r="I157" i="10"/>
  <c r="AN157" i="10"/>
  <c r="J157" i="10"/>
  <c r="Y157" i="10"/>
  <c r="K157" i="10"/>
  <c r="AO157" i="10"/>
  <c r="Z157" i="10"/>
  <c r="AA157" i="10"/>
  <c r="AP157" i="10"/>
  <c r="L157" i="10"/>
  <c r="AB157" i="10"/>
  <c r="M157" i="10"/>
  <c r="AQ157" i="10"/>
  <c r="N157" i="10"/>
  <c r="AC157" i="10"/>
  <c r="AR157" i="10"/>
  <c r="AD157" i="10"/>
  <c r="AS157" i="10"/>
  <c r="O157" i="10"/>
  <c r="P157" i="10"/>
  <c r="AT157" i="10"/>
  <c r="AE157" i="10"/>
  <c r="Q157" i="10"/>
  <c r="AF157" i="10"/>
  <c r="AU157" i="10"/>
  <c r="AG157" i="10"/>
  <c r="R157" i="10"/>
  <c r="AV157" i="10"/>
  <c r="H157" i="9"/>
  <c r="W157" i="9"/>
  <c r="AL157" i="9"/>
  <c r="I157" i="9"/>
  <c r="X157" i="9"/>
  <c r="AM157" i="9"/>
  <c r="J157" i="9"/>
  <c r="Y157" i="9"/>
  <c r="AN157" i="9"/>
  <c r="K157" i="9"/>
  <c r="Z157" i="9"/>
  <c r="AO157" i="9"/>
  <c r="L157" i="9"/>
  <c r="AA157" i="9"/>
  <c r="AP157" i="9"/>
  <c r="M157" i="9"/>
  <c r="AB157" i="9"/>
  <c r="AQ157" i="9"/>
  <c r="N157" i="9"/>
  <c r="AC157" i="9"/>
  <c r="AR157" i="9"/>
  <c r="O157" i="9"/>
  <c r="AD157" i="9"/>
  <c r="AS157" i="9"/>
  <c r="P157" i="9"/>
  <c r="AE157" i="9"/>
  <c r="AT157" i="9"/>
  <c r="Q157" i="9"/>
  <c r="AF157" i="9"/>
  <c r="AU157" i="9"/>
  <c r="R157" i="9"/>
  <c r="AG157" i="9"/>
  <c r="AV157" i="9"/>
  <c r="H156" i="7"/>
  <c r="W156" i="7"/>
  <c r="AL156" i="7"/>
  <c r="I156" i="7"/>
  <c r="X156" i="7"/>
  <c r="AM156" i="7"/>
  <c r="J156" i="7"/>
  <c r="Y156" i="7"/>
  <c r="AN156" i="7"/>
  <c r="K156" i="7"/>
  <c r="Z156" i="7"/>
  <c r="AO156" i="7"/>
  <c r="L156" i="7"/>
  <c r="AA156" i="7"/>
  <c r="AP156" i="7"/>
  <c r="N156" i="7"/>
  <c r="AC156" i="7"/>
  <c r="AR156" i="7"/>
  <c r="O156" i="7"/>
  <c r="AD156" i="7"/>
  <c r="AS156" i="7"/>
  <c r="P156" i="7"/>
  <c r="AE156" i="7"/>
  <c r="AT156" i="7"/>
  <c r="Q156" i="7"/>
  <c r="AF156" i="7"/>
  <c r="AU156" i="7"/>
  <c r="R156" i="7"/>
  <c r="AG156" i="7"/>
  <c r="AV156" i="7"/>
  <c r="I156" i="8"/>
  <c r="X156" i="8"/>
  <c r="AM156" i="8"/>
  <c r="J156" i="8"/>
  <c r="Y156" i="8"/>
  <c r="AN156" i="8"/>
  <c r="L156" i="8"/>
  <c r="AA156" i="8"/>
  <c r="AP156" i="8"/>
  <c r="N156" i="8"/>
  <c r="AC156" i="8"/>
  <c r="AR156" i="8"/>
  <c r="P156" i="8"/>
  <c r="AE156" i="8"/>
  <c r="AT156" i="8"/>
  <c r="Q156" i="8"/>
  <c r="AF156" i="8"/>
  <c r="AU156" i="8"/>
  <c r="H156" i="8"/>
  <c r="W156" i="8"/>
  <c r="AL156" i="8"/>
  <c r="K156" i="8"/>
  <c r="Z156" i="8"/>
  <c r="AO156" i="8"/>
  <c r="M156" i="8"/>
  <c r="AB156" i="8"/>
  <c r="AQ156" i="8"/>
  <c r="O156" i="8"/>
  <c r="AD156" i="8"/>
  <c r="AS156" i="8"/>
  <c r="R156" i="8"/>
  <c r="AG156" i="8"/>
  <c r="AV156" i="8"/>
  <c r="M156" i="7"/>
  <c r="AB156" i="7"/>
  <c r="AQ156" i="7"/>
  <c r="D144" i="8"/>
  <c r="S144" i="8"/>
  <c r="AH144" i="8"/>
  <c r="E132" i="8"/>
  <c r="T132" i="8"/>
  <c r="AI132" i="8"/>
  <c r="D127" i="9"/>
  <c r="S127" i="9"/>
  <c r="AH127" i="9"/>
  <c r="D104" i="7"/>
  <c r="S104" i="7"/>
  <c r="AH104" i="7"/>
  <c r="G101" i="9"/>
  <c r="V101" i="9"/>
  <c r="AK101" i="9"/>
  <c r="G97" i="10"/>
  <c r="V97" i="10"/>
  <c r="AK97" i="10"/>
  <c r="AH82" i="10"/>
  <c r="D82" i="10"/>
  <c r="S82" i="10"/>
  <c r="E84" i="9"/>
  <c r="T84" i="9"/>
  <c r="AI84" i="9"/>
  <c r="AX87" i="8"/>
  <c r="AW86" i="8"/>
  <c r="G87" i="8"/>
  <c r="V87" i="8"/>
  <c r="AK87" i="8"/>
  <c r="AY86" i="8"/>
  <c r="C86" i="8"/>
  <c r="E76" i="10"/>
  <c r="T76" i="10"/>
  <c r="AI76" i="10"/>
  <c r="C68" i="9"/>
  <c r="AY68" i="9"/>
  <c r="AX69" i="9"/>
  <c r="AW68" i="9"/>
  <c r="F69" i="9"/>
  <c r="U69" i="9"/>
  <c r="AJ69" i="9"/>
  <c r="AY58" i="10"/>
  <c r="C58" i="10"/>
  <c r="AW58" i="10"/>
  <c r="AX59" i="10"/>
  <c r="AJ59" i="10"/>
  <c r="U59" i="10"/>
  <c r="F59" i="10"/>
  <c r="C38" i="7"/>
  <c r="U101" i="8" l="1"/>
  <c r="AJ101" i="8"/>
  <c r="F101" i="8"/>
  <c r="H158" i="10"/>
  <c r="AL158" i="10"/>
  <c r="W158" i="10"/>
  <c r="AM158" i="10"/>
  <c r="I158" i="10"/>
  <c r="X158" i="10"/>
  <c r="Y158" i="10"/>
  <c r="J158" i="10"/>
  <c r="AN158" i="10"/>
  <c r="Z158" i="10"/>
  <c r="AO158" i="10"/>
  <c r="K158" i="10"/>
  <c r="L158" i="10"/>
  <c r="AA158" i="10"/>
  <c r="AP158" i="10"/>
  <c r="M158" i="10"/>
  <c r="AQ158" i="10"/>
  <c r="AB158" i="10"/>
  <c r="N158" i="10"/>
  <c r="AC158" i="10"/>
  <c r="AR158" i="10"/>
  <c r="O158" i="10"/>
  <c r="AD158" i="10"/>
  <c r="AS158" i="10"/>
  <c r="P158" i="10"/>
  <c r="AE158" i="10"/>
  <c r="AT158" i="10"/>
  <c r="AF158" i="10"/>
  <c r="AU158" i="10"/>
  <c r="Q158" i="10"/>
  <c r="R158" i="10"/>
  <c r="AG158" i="10"/>
  <c r="AV158" i="10"/>
  <c r="H158" i="9"/>
  <c r="W158" i="9"/>
  <c r="AL158" i="9"/>
  <c r="I158" i="9"/>
  <c r="X158" i="9"/>
  <c r="AM158" i="9"/>
  <c r="J158" i="9"/>
  <c r="Y158" i="9"/>
  <c r="AN158" i="9"/>
  <c r="K158" i="9"/>
  <c r="Z158" i="9"/>
  <c r="AO158" i="9"/>
  <c r="L158" i="9"/>
  <c r="AA158" i="9"/>
  <c r="AP158" i="9"/>
  <c r="M158" i="9"/>
  <c r="AB158" i="9"/>
  <c r="AQ158" i="9"/>
  <c r="N158" i="9"/>
  <c r="AC158" i="9"/>
  <c r="AR158" i="9"/>
  <c r="O158" i="9"/>
  <c r="AD158" i="9"/>
  <c r="AS158" i="9"/>
  <c r="P158" i="9"/>
  <c r="AE158" i="9"/>
  <c r="AT158" i="9"/>
  <c r="Q158" i="9"/>
  <c r="AF158" i="9"/>
  <c r="AU158" i="9"/>
  <c r="R158" i="9"/>
  <c r="AG158" i="9"/>
  <c r="AV158" i="9"/>
  <c r="H157" i="7"/>
  <c r="W157" i="7"/>
  <c r="AL157" i="7"/>
  <c r="I157" i="7"/>
  <c r="X157" i="7"/>
  <c r="AM157" i="7"/>
  <c r="J157" i="7"/>
  <c r="Y157" i="7"/>
  <c r="AN157" i="7"/>
  <c r="K157" i="7"/>
  <c r="Z157" i="7"/>
  <c r="AO157" i="7"/>
  <c r="L157" i="7"/>
  <c r="AA157" i="7"/>
  <c r="AP157" i="7"/>
  <c r="N157" i="7"/>
  <c r="AC157" i="7"/>
  <c r="AR157" i="7"/>
  <c r="O157" i="7"/>
  <c r="AD157" i="7"/>
  <c r="AS157" i="7"/>
  <c r="P157" i="7"/>
  <c r="AE157" i="7"/>
  <c r="AT157" i="7"/>
  <c r="Q157" i="7"/>
  <c r="AF157" i="7"/>
  <c r="AU157" i="7"/>
  <c r="R157" i="7"/>
  <c r="AG157" i="7"/>
  <c r="AV157" i="7"/>
  <c r="I157" i="8"/>
  <c r="X157" i="8"/>
  <c r="AM157" i="8"/>
  <c r="J157" i="8"/>
  <c r="Y157" i="8"/>
  <c r="AN157" i="8"/>
  <c r="L157" i="8"/>
  <c r="AA157" i="8"/>
  <c r="AP157" i="8"/>
  <c r="N157" i="8"/>
  <c r="AC157" i="8"/>
  <c r="AR157" i="8"/>
  <c r="P157" i="8"/>
  <c r="AE157" i="8"/>
  <c r="AT157" i="8"/>
  <c r="Q157" i="8"/>
  <c r="AF157" i="8"/>
  <c r="AU157" i="8"/>
  <c r="H157" i="8"/>
  <c r="W157" i="8"/>
  <c r="AL157" i="8"/>
  <c r="K157" i="8"/>
  <c r="Z157" i="8"/>
  <c r="AO157" i="8"/>
  <c r="M157" i="8"/>
  <c r="AB157" i="8"/>
  <c r="AQ157" i="8"/>
  <c r="O157" i="8"/>
  <c r="AD157" i="8"/>
  <c r="AS157" i="8"/>
  <c r="R157" i="8"/>
  <c r="AG157" i="8"/>
  <c r="AV157" i="8"/>
  <c r="M157" i="7"/>
  <c r="AB157" i="7"/>
  <c r="AQ157" i="7"/>
  <c r="D145" i="8"/>
  <c r="S145" i="8"/>
  <c r="AH145" i="8"/>
  <c r="E133" i="8"/>
  <c r="T133" i="8"/>
  <c r="AI133" i="8"/>
  <c r="D128" i="9"/>
  <c r="S128" i="9"/>
  <c r="AH128" i="9"/>
  <c r="D105" i="7"/>
  <c r="S105" i="7"/>
  <c r="AH105" i="7"/>
  <c r="G102" i="9"/>
  <c r="V102" i="9"/>
  <c r="AK102" i="9"/>
  <c r="G98" i="10"/>
  <c r="V98" i="10"/>
  <c r="AK98" i="10"/>
  <c r="D83" i="10"/>
  <c r="S83" i="10"/>
  <c r="AH83" i="10"/>
  <c r="E85" i="9"/>
  <c r="T85" i="9"/>
  <c r="AI85" i="9"/>
  <c r="AY87" i="8"/>
  <c r="C87" i="8"/>
  <c r="AX88" i="8"/>
  <c r="AW87" i="8"/>
  <c r="W32" i="2" s="1"/>
  <c r="V88" i="8"/>
  <c r="G88" i="8"/>
  <c r="AK88" i="8"/>
  <c r="E77" i="10"/>
  <c r="T77" i="10"/>
  <c r="AI77" i="10"/>
  <c r="C69" i="9"/>
  <c r="AY69" i="9"/>
  <c r="AW69" i="9"/>
  <c r="AX70" i="9"/>
  <c r="F70" i="9"/>
  <c r="U70" i="9"/>
  <c r="AJ70" i="9"/>
  <c r="AW59" i="10"/>
  <c r="AX60" i="10"/>
  <c r="AJ60" i="10"/>
  <c r="F60" i="10"/>
  <c r="U60" i="10"/>
  <c r="C59" i="10"/>
  <c r="AY59" i="10"/>
  <c r="T38" i="7"/>
  <c r="U38" i="7" s="1"/>
  <c r="AJ38" i="7" s="1"/>
  <c r="U102" i="8" l="1"/>
  <c r="F102" i="8"/>
  <c r="AJ102" i="8"/>
  <c r="H159" i="10"/>
  <c r="W159" i="10"/>
  <c r="AL159" i="10"/>
  <c r="I159" i="10"/>
  <c r="X159" i="10"/>
  <c r="AM159" i="10"/>
  <c r="J159" i="10"/>
  <c r="Y159" i="10"/>
  <c r="AN159" i="10"/>
  <c r="K159" i="10"/>
  <c r="Z159" i="10"/>
  <c r="AO159" i="10"/>
  <c r="L159" i="10"/>
  <c r="AA159" i="10"/>
  <c r="AP159" i="10"/>
  <c r="M159" i="10"/>
  <c r="AQ159" i="10"/>
  <c r="AB159" i="10"/>
  <c r="AC159" i="10"/>
  <c r="N159" i="10"/>
  <c r="AR159" i="10"/>
  <c r="O159" i="10"/>
  <c r="AD159" i="10"/>
  <c r="AS159" i="10"/>
  <c r="P159" i="10"/>
  <c r="AE159" i="10"/>
  <c r="AT159" i="10"/>
  <c r="AF159" i="10"/>
  <c r="Q159" i="10"/>
  <c r="AU159" i="10"/>
  <c r="AG159" i="10"/>
  <c r="R159" i="10"/>
  <c r="AV159" i="10"/>
  <c r="H159" i="9"/>
  <c r="W159" i="9"/>
  <c r="AL159" i="9"/>
  <c r="I159" i="9"/>
  <c r="X159" i="9"/>
  <c r="AM159" i="9"/>
  <c r="J159" i="9"/>
  <c r="Y159" i="9"/>
  <c r="AN159" i="9"/>
  <c r="K159" i="9"/>
  <c r="Z159" i="9"/>
  <c r="AO159" i="9"/>
  <c r="L159" i="9"/>
  <c r="AA159" i="9"/>
  <c r="AP159" i="9"/>
  <c r="M159" i="9"/>
  <c r="AB159" i="9"/>
  <c r="AQ159" i="9"/>
  <c r="N159" i="9"/>
  <c r="AC159" i="9"/>
  <c r="AR159" i="9"/>
  <c r="O159" i="9"/>
  <c r="AD159" i="9"/>
  <c r="AS159" i="9"/>
  <c r="P159" i="9"/>
  <c r="AE159" i="9"/>
  <c r="AT159" i="9"/>
  <c r="Q159" i="9"/>
  <c r="AF159" i="9"/>
  <c r="AU159" i="9"/>
  <c r="R159" i="9"/>
  <c r="AG159" i="9"/>
  <c r="AV159" i="9"/>
  <c r="H158" i="7"/>
  <c r="W158" i="7"/>
  <c r="AL158" i="7"/>
  <c r="I158" i="7"/>
  <c r="X158" i="7"/>
  <c r="AM158" i="7"/>
  <c r="J158" i="7"/>
  <c r="Y158" i="7"/>
  <c r="AN158" i="7"/>
  <c r="K158" i="7"/>
  <c r="Z158" i="7"/>
  <c r="AO158" i="7"/>
  <c r="L158" i="7"/>
  <c r="AA158" i="7"/>
  <c r="AP158" i="7"/>
  <c r="N158" i="7"/>
  <c r="AC158" i="7"/>
  <c r="AR158" i="7"/>
  <c r="O158" i="7"/>
  <c r="AD158" i="7"/>
  <c r="AS158" i="7"/>
  <c r="P158" i="7"/>
  <c r="AE158" i="7"/>
  <c r="AT158" i="7"/>
  <c r="Q158" i="7"/>
  <c r="AF158" i="7"/>
  <c r="AU158" i="7"/>
  <c r="R158" i="7"/>
  <c r="AG158" i="7"/>
  <c r="AV158" i="7"/>
  <c r="I158" i="8"/>
  <c r="X158" i="8"/>
  <c r="AM158" i="8"/>
  <c r="J158" i="8"/>
  <c r="Y158" i="8"/>
  <c r="AN158" i="8"/>
  <c r="L158" i="8"/>
  <c r="AA158" i="8"/>
  <c r="AP158" i="8"/>
  <c r="N158" i="8"/>
  <c r="AC158" i="8"/>
  <c r="AR158" i="8"/>
  <c r="P158" i="8"/>
  <c r="AE158" i="8"/>
  <c r="AT158" i="8"/>
  <c r="Q158" i="8"/>
  <c r="AF158" i="8"/>
  <c r="AU158" i="8"/>
  <c r="H158" i="8"/>
  <c r="W158" i="8"/>
  <c r="AL158" i="8"/>
  <c r="K158" i="8"/>
  <c r="Z158" i="8"/>
  <c r="AO158" i="8"/>
  <c r="M158" i="8"/>
  <c r="AB158" i="8"/>
  <c r="AQ158" i="8"/>
  <c r="O158" i="8"/>
  <c r="AD158" i="8"/>
  <c r="AS158" i="8"/>
  <c r="R158" i="8"/>
  <c r="AG158" i="8"/>
  <c r="AV158" i="8"/>
  <c r="M158" i="7"/>
  <c r="AB158" i="7"/>
  <c r="AQ158" i="7"/>
  <c r="D146" i="8"/>
  <c r="S146" i="8"/>
  <c r="AH146" i="8"/>
  <c r="E134" i="8"/>
  <c r="T134" i="8"/>
  <c r="AI134" i="8"/>
  <c r="D129" i="9"/>
  <c r="S129" i="9"/>
  <c r="AH129" i="9"/>
  <c r="D106" i="7"/>
  <c r="S106" i="7"/>
  <c r="AH106" i="7"/>
  <c r="G103" i="9"/>
  <c r="V103" i="9"/>
  <c r="AK103" i="9"/>
  <c r="G99" i="10"/>
  <c r="V99" i="10"/>
  <c r="AK99" i="10"/>
  <c r="D84" i="10"/>
  <c r="S84" i="10"/>
  <c r="AH84" i="10"/>
  <c r="E86" i="9"/>
  <c r="T86" i="9"/>
  <c r="AI86" i="9"/>
  <c r="AY88" i="8"/>
  <c r="C88" i="8"/>
  <c r="AX89" i="8"/>
  <c r="AW88" i="8"/>
  <c r="G89" i="8"/>
  <c r="V89" i="8"/>
  <c r="AK89" i="8"/>
  <c r="E78" i="10"/>
  <c r="T78" i="10"/>
  <c r="AI78" i="10"/>
  <c r="AY70" i="9"/>
  <c r="C70" i="9"/>
  <c r="AW70" i="9"/>
  <c r="AX71" i="9"/>
  <c r="F71" i="9"/>
  <c r="U71" i="9"/>
  <c r="AJ71" i="9"/>
  <c r="AX61" i="10"/>
  <c r="AW60" i="10"/>
  <c r="U61" i="10"/>
  <c r="AJ61" i="10"/>
  <c r="F61" i="10"/>
  <c r="C60" i="10"/>
  <c r="AY60" i="10"/>
  <c r="V38" i="7"/>
  <c r="AI38" i="7"/>
  <c r="F39" i="7"/>
  <c r="AJ103" i="8" l="1"/>
  <c r="F103" i="8"/>
  <c r="U103" i="8"/>
  <c r="H160" i="10"/>
  <c r="W160" i="10"/>
  <c r="AL160" i="10"/>
  <c r="I160" i="10"/>
  <c r="X160" i="10"/>
  <c r="AM160" i="10"/>
  <c r="J160" i="10"/>
  <c r="Y160" i="10"/>
  <c r="AN160" i="10"/>
  <c r="K160" i="10"/>
  <c r="Z160" i="10"/>
  <c r="AO160" i="10"/>
  <c r="L160" i="10"/>
  <c r="AA160" i="10"/>
  <c r="AP160" i="10"/>
  <c r="AB160" i="10"/>
  <c r="AQ160" i="10"/>
  <c r="M160" i="10"/>
  <c r="N160" i="10"/>
  <c r="AC160" i="10"/>
  <c r="AR160" i="10"/>
  <c r="O160" i="10"/>
  <c r="AS160" i="10"/>
  <c r="AD160" i="10"/>
  <c r="P160" i="10"/>
  <c r="AT160" i="10"/>
  <c r="AE160" i="10"/>
  <c r="Q160" i="10"/>
  <c r="AF160" i="10"/>
  <c r="AU160" i="10"/>
  <c r="R160" i="10"/>
  <c r="AV160" i="10"/>
  <c r="AG160" i="10"/>
  <c r="H160" i="9"/>
  <c r="W160" i="9"/>
  <c r="AL160" i="9"/>
  <c r="I160" i="9"/>
  <c r="X160" i="9"/>
  <c r="AM160" i="9"/>
  <c r="J160" i="9"/>
  <c r="Y160" i="9"/>
  <c r="AN160" i="9"/>
  <c r="K160" i="9"/>
  <c r="Z160" i="9"/>
  <c r="AO160" i="9"/>
  <c r="L160" i="9"/>
  <c r="AA160" i="9"/>
  <c r="AP160" i="9"/>
  <c r="M160" i="9"/>
  <c r="AB160" i="9"/>
  <c r="AQ160" i="9"/>
  <c r="N160" i="9"/>
  <c r="AC160" i="9"/>
  <c r="AR160" i="9"/>
  <c r="O160" i="9"/>
  <c r="AD160" i="9"/>
  <c r="AS160" i="9"/>
  <c r="P160" i="9"/>
  <c r="AE160" i="9"/>
  <c r="AT160" i="9"/>
  <c r="Q160" i="9"/>
  <c r="AF160" i="9"/>
  <c r="AU160" i="9"/>
  <c r="R160" i="9"/>
  <c r="AG160" i="9"/>
  <c r="AV160" i="9"/>
  <c r="H159" i="7"/>
  <c r="W159" i="7"/>
  <c r="AL159" i="7"/>
  <c r="I159" i="7"/>
  <c r="X159" i="7"/>
  <c r="AM159" i="7"/>
  <c r="J159" i="7"/>
  <c r="Y159" i="7"/>
  <c r="AN159" i="7"/>
  <c r="K159" i="7"/>
  <c r="Z159" i="7"/>
  <c r="AO159" i="7"/>
  <c r="L159" i="7"/>
  <c r="AA159" i="7"/>
  <c r="AP159" i="7"/>
  <c r="N159" i="7"/>
  <c r="AC159" i="7"/>
  <c r="AR159" i="7"/>
  <c r="O159" i="7"/>
  <c r="AD159" i="7"/>
  <c r="AS159" i="7"/>
  <c r="P159" i="7"/>
  <c r="AE159" i="7"/>
  <c r="AT159" i="7"/>
  <c r="Q159" i="7"/>
  <c r="AF159" i="7"/>
  <c r="AU159" i="7"/>
  <c r="R159" i="7"/>
  <c r="AG159" i="7"/>
  <c r="AV159" i="7"/>
  <c r="I159" i="8"/>
  <c r="X159" i="8"/>
  <c r="AM159" i="8"/>
  <c r="J159" i="8"/>
  <c r="Y159" i="8"/>
  <c r="AN159" i="8"/>
  <c r="L159" i="8"/>
  <c r="AA159" i="8"/>
  <c r="AP159" i="8"/>
  <c r="N159" i="8"/>
  <c r="AC159" i="8"/>
  <c r="AR159" i="8"/>
  <c r="P159" i="8"/>
  <c r="AE159" i="8"/>
  <c r="AT159" i="8"/>
  <c r="Q159" i="8"/>
  <c r="AF159" i="8"/>
  <c r="AU159" i="8"/>
  <c r="H159" i="8"/>
  <c r="W159" i="8"/>
  <c r="AL159" i="8"/>
  <c r="K159" i="8"/>
  <c r="Z159" i="8"/>
  <c r="AO159" i="8"/>
  <c r="M159" i="8"/>
  <c r="AB159" i="8"/>
  <c r="AQ159" i="8"/>
  <c r="O159" i="8"/>
  <c r="AD159" i="8"/>
  <c r="AS159" i="8"/>
  <c r="R159" i="8"/>
  <c r="AG159" i="8"/>
  <c r="AV159" i="8"/>
  <c r="M159" i="7"/>
  <c r="AB159" i="7"/>
  <c r="AQ159" i="7"/>
  <c r="D147" i="8"/>
  <c r="S147" i="8"/>
  <c r="AH147" i="8"/>
  <c r="E135" i="8"/>
  <c r="T135" i="8"/>
  <c r="AI135" i="8"/>
  <c r="D130" i="9"/>
  <c r="S130" i="9"/>
  <c r="AH130" i="9"/>
  <c r="D107" i="7"/>
  <c r="S107" i="7"/>
  <c r="AH107" i="7"/>
  <c r="G104" i="9"/>
  <c r="V104" i="9"/>
  <c r="AK104" i="9"/>
  <c r="G100" i="10"/>
  <c r="V100" i="10"/>
  <c r="AK100" i="10"/>
  <c r="D85" i="10"/>
  <c r="S85" i="10"/>
  <c r="AH85" i="10"/>
  <c r="E87" i="9"/>
  <c r="T87" i="9"/>
  <c r="AI87" i="9"/>
  <c r="C89" i="8"/>
  <c r="AY89" i="8"/>
  <c r="AW89" i="8"/>
  <c r="AX90" i="8"/>
  <c r="G90" i="8"/>
  <c r="V90" i="8"/>
  <c r="AK90" i="8"/>
  <c r="E79" i="10"/>
  <c r="T79" i="10"/>
  <c r="AI79" i="10"/>
  <c r="C71" i="9"/>
  <c r="AY71" i="9"/>
  <c r="AX72" i="9"/>
  <c r="AW71" i="9"/>
  <c r="F72" i="9"/>
  <c r="U72" i="9"/>
  <c r="AJ72" i="9"/>
  <c r="AX62" i="10"/>
  <c r="AW61" i="10"/>
  <c r="U62" i="10"/>
  <c r="AJ62" i="10"/>
  <c r="F62" i="10"/>
  <c r="C61" i="10"/>
  <c r="AY61" i="10"/>
  <c r="E39" i="7"/>
  <c r="AW38" i="7"/>
  <c r="AK38" i="7"/>
  <c r="AX39" i="7" s="1"/>
  <c r="AY38" i="7"/>
  <c r="AJ104" i="8" l="1"/>
  <c r="F104" i="8"/>
  <c r="U104" i="8"/>
  <c r="H161" i="10"/>
  <c r="W161" i="10"/>
  <c r="AL161" i="10"/>
  <c r="X161" i="10"/>
  <c r="AM161" i="10"/>
  <c r="I161" i="10"/>
  <c r="J161" i="10"/>
  <c r="Y161" i="10"/>
  <c r="AN161" i="10"/>
  <c r="Z161" i="10"/>
  <c r="K161" i="10"/>
  <c r="AO161" i="10"/>
  <c r="L161" i="10"/>
  <c r="AA161" i="10"/>
  <c r="AP161" i="10"/>
  <c r="AB161" i="10"/>
  <c r="M161" i="10"/>
  <c r="AQ161" i="10"/>
  <c r="N161" i="10"/>
  <c r="AR161" i="10"/>
  <c r="AC161" i="10"/>
  <c r="O161" i="10"/>
  <c r="AD161" i="10"/>
  <c r="AS161" i="10"/>
  <c r="P161" i="10"/>
  <c r="AE161" i="10"/>
  <c r="AT161" i="10"/>
  <c r="Q161" i="10"/>
  <c r="AF161" i="10"/>
  <c r="AU161" i="10"/>
  <c r="R161" i="10"/>
  <c r="AG161" i="10"/>
  <c r="AV161" i="10"/>
  <c r="H161" i="9"/>
  <c r="W161" i="9"/>
  <c r="AL161" i="9"/>
  <c r="I161" i="9"/>
  <c r="X161" i="9"/>
  <c r="AM161" i="9"/>
  <c r="J161" i="9"/>
  <c r="Y161" i="9"/>
  <c r="AN161" i="9"/>
  <c r="K161" i="9"/>
  <c r="Z161" i="9"/>
  <c r="AO161" i="9"/>
  <c r="L161" i="9"/>
  <c r="AA161" i="9"/>
  <c r="AP161" i="9"/>
  <c r="M161" i="9"/>
  <c r="AB161" i="9"/>
  <c r="AQ161" i="9"/>
  <c r="N161" i="9"/>
  <c r="AC161" i="9"/>
  <c r="AR161" i="9"/>
  <c r="O161" i="9"/>
  <c r="AD161" i="9"/>
  <c r="AS161" i="9"/>
  <c r="P161" i="9"/>
  <c r="AE161" i="9"/>
  <c r="AT161" i="9"/>
  <c r="Q161" i="9"/>
  <c r="AF161" i="9"/>
  <c r="AU161" i="9"/>
  <c r="R161" i="9"/>
  <c r="AG161" i="9"/>
  <c r="AV161" i="9"/>
  <c r="H160" i="7"/>
  <c r="W160" i="7"/>
  <c r="AL160" i="7"/>
  <c r="I160" i="7"/>
  <c r="X160" i="7"/>
  <c r="AM160" i="7"/>
  <c r="J160" i="7"/>
  <c r="Y160" i="7"/>
  <c r="AN160" i="7"/>
  <c r="K160" i="7"/>
  <c r="Z160" i="7"/>
  <c r="AO160" i="7"/>
  <c r="L160" i="7"/>
  <c r="AA160" i="7"/>
  <c r="AP160" i="7"/>
  <c r="N160" i="7"/>
  <c r="AC160" i="7"/>
  <c r="AR160" i="7"/>
  <c r="O160" i="7"/>
  <c r="AD160" i="7"/>
  <c r="AS160" i="7"/>
  <c r="P160" i="7"/>
  <c r="AE160" i="7"/>
  <c r="AT160" i="7"/>
  <c r="Q160" i="7"/>
  <c r="AF160" i="7"/>
  <c r="AU160" i="7"/>
  <c r="R160" i="7"/>
  <c r="AG160" i="7"/>
  <c r="AV160" i="7"/>
  <c r="I160" i="8"/>
  <c r="X160" i="8"/>
  <c r="AM160" i="8"/>
  <c r="J160" i="8"/>
  <c r="Y160" i="8"/>
  <c r="AN160" i="8"/>
  <c r="L160" i="8"/>
  <c r="AA160" i="8"/>
  <c r="AP160" i="8"/>
  <c r="N160" i="8"/>
  <c r="AC160" i="8"/>
  <c r="AR160" i="8"/>
  <c r="P160" i="8"/>
  <c r="AE160" i="8"/>
  <c r="AT160" i="8"/>
  <c r="Q160" i="8"/>
  <c r="AF160" i="8"/>
  <c r="AU160" i="8"/>
  <c r="H160" i="8"/>
  <c r="W160" i="8"/>
  <c r="AL160" i="8"/>
  <c r="K160" i="8"/>
  <c r="Z160" i="8"/>
  <c r="AO160" i="8"/>
  <c r="M160" i="8"/>
  <c r="AB160" i="8"/>
  <c r="AQ160" i="8"/>
  <c r="O160" i="8"/>
  <c r="AD160" i="8"/>
  <c r="AS160" i="8"/>
  <c r="R160" i="8"/>
  <c r="AG160" i="8"/>
  <c r="AV160" i="8"/>
  <c r="M160" i="7"/>
  <c r="AB160" i="7"/>
  <c r="AQ160" i="7"/>
  <c r="D148" i="8"/>
  <c r="S148" i="8"/>
  <c r="AH148" i="8"/>
  <c r="E136" i="8"/>
  <c r="T136" i="8"/>
  <c r="AI136" i="8"/>
  <c r="D131" i="9"/>
  <c r="S131" i="9"/>
  <c r="AH131" i="9"/>
  <c r="D108" i="7"/>
  <c r="S108" i="7"/>
  <c r="AH108" i="7"/>
  <c r="G105" i="9"/>
  <c r="V105" i="9"/>
  <c r="AK105" i="9"/>
  <c r="G101" i="10"/>
  <c r="V101" i="10"/>
  <c r="AK101" i="10"/>
  <c r="D86" i="10"/>
  <c r="S86" i="10"/>
  <c r="AH86" i="10"/>
  <c r="E88" i="9"/>
  <c r="T88" i="9"/>
  <c r="AI88" i="9"/>
  <c r="AY90" i="8"/>
  <c r="C90" i="8"/>
  <c r="AX91" i="8"/>
  <c r="AW90" i="8"/>
  <c r="W33" i="2" s="1"/>
  <c r="G91" i="8"/>
  <c r="V91" i="8"/>
  <c r="AK91" i="8"/>
  <c r="T80" i="10"/>
  <c r="E80" i="10"/>
  <c r="AI80" i="10"/>
  <c r="C72" i="9"/>
  <c r="AY72" i="9"/>
  <c r="AX73" i="9"/>
  <c r="AW72" i="9"/>
  <c r="F73" i="9"/>
  <c r="U73" i="9"/>
  <c r="AJ73" i="9"/>
  <c r="AW62" i="10"/>
  <c r="AX63" i="10"/>
  <c r="F63" i="10"/>
  <c r="AJ63" i="10"/>
  <c r="U63" i="10"/>
  <c r="AY62" i="10"/>
  <c r="C62" i="10"/>
  <c r="G39" i="7"/>
  <c r="F105" i="8" l="1"/>
  <c r="AJ105" i="8"/>
  <c r="U105" i="8"/>
  <c r="H162" i="10"/>
  <c r="W162" i="10"/>
  <c r="AL162" i="10"/>
  <c r="I162" i="10"/>
  <c r="X162" i="10"/>
  <c r="AM162" i="10"/>
  <c r="J162" i="10"/>
  <c r="Y162" i="10"/>
  <c r="AN162" i="10"/>
  <c r="K162" i="10"/>
  <c r="Z162" i="10"/>
  <c r="AO162" i="10"/>
  <c r="AA162" i="10"/>
  <c r="AP162" i="10"/>
  <c r="L162" i="10"/>
  <c r="M162" i="10"/>
  <c r="AQ162" i="10"/>
  <c r="AB162" i="10"/>
  <c r="AC162" i="10"/>
  <c r="AR162" i="10"/>
  <c r="N162" i="10"/>
  <c r="O162" i="10"/>
  <c r="AD162" i="10"/>
  <c r="AS162" i="10"/>
  <c r="AT162" i="10"/>
  <c r="P162" i="10"/>
  <c r="AE162" i="10"/>
  <c r="Q162" i="10"/>
  <c r="AF162" i="10"/>
  <c r="AU162" i="10"/>
  <c r="R162" i="10"/>
  <c r="AG162" i="10"/>
  <c r="AV162" i="10"/>
  <c r="H162" i="9"/>
  <c r="W162" i="9"/>
  <c r="AL162" i="9"/>
  <c r="I162" i="9"/>
  <c r="X162" i="9"/>
  <c r="AM162" i="9"/>
  <c r="J162" i="9"/>
  <c r="Y162" i="9"/>
  <c r="AN162" i="9"/>
  <c r="K162" i="9"/>
  <c r="Z162" i="9"/>
  <c r="AO162" i="9"/>
  <c r="L162" i="9"/>
  <c r="AA162" i="9"/>
  <c r="AP162" i="9"/>
  <c r="M162" i="9"/>
  <c r="AB162" i="9"/>
  <c r="AQ162" i="9"/>
  <c r="N162" i="9"/>
  <c r="AC162" i="9"/>
  <c r="AR162" i="9"/>
  <c r="O162" i="9"/>
  <c r="AD162" i="9"/>
  <c r="AS162" i="9"/>
  <c r="P162" i="9"/>
  <c r="AE162" i="9"/>
  <c r="AT162" i="9"/>
  <c r="Q162" i="9"/>
  <c r="AF162" i="9"/>
  <c r="AU162" i="9"/>
  <c r="R162" i="9"/>
  <c r="AG162" i="9"/>
  <c r="AV162" i="9"/>
  <c r="H161" i="7"/>
  <c r="W161" i="7"/>
  <c r="AL161" i="7"/>
  <c r="I161" i="7"/>
  <c r="X161" i="7"/>
  <c r="AM161" i="7"/>
  <c r="J161" i="7"/>
  <c r="Y161" i="7"/>
  <c r="AN161" i="7"/>
  <c r="K161" i="7"/>
  <c r="Z161" i="7"/>
  <c r="AO161" i="7"/>
  <c r="L161" i="7"/>
  <c r="AA161" i="7"/>
  <c r="AP161" i="7"/>
  <c r="N161" i="7"/>
  <c r="AC161" i="7"/>
  <c r="AR161" i="7"/>
  <c r="O161" i="7"/>
  <c r="AD161" i="7"/>
  <c r="AS161" i="7"/>
  <c r="P161" i="7"/>
  <c r="AE161" i="7"/>
  <c r="AT161" i="7"/>
  <c r="Q161" i="7"/>
  <c r="AF161" i="7"/>
  <c r="AU161" i="7"/>
  <c r="R161" i="7"/>
  <c r="AG161" i="7"/>
  <c r="AV161" i="7"/>
  <c r="I161" i="8"/>
  <c r="X161" i="8"/>
  <c r="AM161" i="8"/>
  <c r="J161" i="8"/>
  <c r="Y161" i="8"/>
  <c r="AN161" i="8"/>
  <c r="L161" i="8"/>
  <c r="AA161" i="8"/>
  <c r="AP161" i="8"/>
  <c r="N161" i="8"/>
  <c r="AC161" i="8"/>
  <c r="AR161" i="8"/>
  <c r="P161" i="8"/>
  <c r="AE161" i="8"/>
  <c r="AT161" i="8"/>
  <c r="Q161" i="8"/>
  <c r="AF161" i="8"/>
  <c r="AU161" i="8"/>
  <c r="H161" i="8"/>
  <c r="W161" i="8"/>
  <c r="AL161" i="8"/>
  <c r="K161" i="8"/>
  <c r="Z161" i="8"/>
  <c r="AO161" i="8"/>
  <c r="M161" i="8"/>
  <c r="AB161" i="8"/>
  <c r="AQ161" i="8"/>
  <c r="O161" i="8"/>
  <c r="AD161" i="8"/>
  <c r="AS161" i="8"/>
  <c r="R161" i="8"/>
  <c r="AG161" i="8"/>
  <c r="AV161" i="8"/>
  <c r="M161" i="7"/>
  <c r="AB161" i="7"/>
  <c r="AQ161" i="7"/>
  <c r="D149" i="8"/>
  <c r="S149" i="8"/>
  <c r="AH149" i="8"/>
  <c r="E137" i="8"/>
  <c r="T137" i="8"/>
  <c r="AI137" i="8"/>
  <c r="D132" i="9"/>
  <c r="S132" i="9"/>
  <c r="AH132" i="9"/>
  <c r="D109" i="7"/>
  <c r="S109" i="7"/>
  <c r="AH109" i="7"/>
  <c r="G106" i="9"/>
  <c r="V106" i="9"/>
  <c r="AK106" i="9"/>
  <c r="G102" i="10"/>
  <c r="V102" i="10"/>
  <c r="AK102" i="10"/>
  <c r="D87" i="10"/>
  <c r="S87" i="10"/>
  <c r="AH87" i="10"/>
  <c r="E89" i="9"/>
  <c r="T89" i="9"/>
  <c r="AI89" i="9"/>
  <c r="AY91" i="8"/>
  <c r="C91" i="8"/>
  <c r="AX92" i="8"/>
  <c r="AW91" i="8"/>
  <c r="G92" i="8"/>
  <c r="V92" i="8"/>
  <c r="AK92" i="8"/>
  <c r="E81" i="10"/>
  <c r="T81" i="10"/>
  <c r="AI81" i="10"/>
  <c r="C73" i="9"/>
  <c r="AY73" i="9"/>
  <c r="AW73" i="9"/>
  <c r="AX74" i="9"/>
  <c r="F74" i="9"/>
  <c r="U74" i="9"/>
  <c r="AJ74" i="9"/>
  <c r="C63" i="10"/>
  <c r="AY63" i="10"/>
  <c r="AX64" i="10"/>
  <c r="AW63" i="10"/>
  <c r="F64" i="10"/>
  <c r="U64" i="10"/>
  <c r="AJ64" i="10"/>
  <c r="C39" i="7"/>
  <c r="AJ106" i="8" l="1"/>
  <c r="F106" i="8"/>
  <c r="U106" i="8"/>
  <c r="W163" i="10"/>
  <c r="AL163" i="10"/>
  <c r="H163" i="10"/>
  <c r="AM163" i="10"/>
  <c r="I163" i="10"/>
  <c r="X163" i="10"/>
  <c r="Y163" i="10"/>
  <c r="J163" i="10"/>
  <c r="AN163" i="10"/>
  <c r="AO163" i="10"/>
  <c r="K163" i="10"/>
  <c r="Z163" i="10"/>
  <c r="L163" i="10"/>
  <c r="AA163" i="10"/>
  <c r="AP163" i="10"/>
  <c r="AB163" i="10"/>
  <c r="M163" i="10"/>
  <c r="AQ163" i="10"/>
  <c r="AR163" i="10"/>
  <c r="N163" i="10"/>
  <c r="AC163" i="10"/>
  <c r="O163" i="10"/>
  <c r="AD163" i="10"/>
  <c r="AS163" i="10"/>
  <c r="P163" i="10"/>
  <c r="AE163" i="10"/>
  <c r="AT163" i="10"/>
  <c r="AU163" i="10"/>
  <c r="Q163" i="10"/>
  <c r="AF163" i="10"/>
  <c r="R163" i="10"/>
  <c r="AG163" i="10"/>
  <c r="AV163" i="10"/>
  <c r="H163" i="9"/>
  <c r="W163" i="9"/>
  <c r="AL163" i="9"/>
  <c r="I163" i="9"/>
  <c r="X163" i="9"/>
  <c r="AM163" i="9"/>
  <c r="J163" i="9"/>
  <c r="Y163" i="9"/>
  <c r="AN163" i="9"/>
  <c r="K163" i="9"/>
  <c r="Z163" i="9"/>
  <c r="AO163" i="9"/>
  <c r="L163" i="9"/>
  <c r="AA163" i="9"/>
  <c r="AP163" i="9"/>
  <c r="M163" i="9"/>
  <c r="AB163" i="9"/>
  <c r="AQ163" i="9"/>
  <c r="N163" i="9"/>
  <c r="AC163" i="9"/>
  <c r="AR163" i="9"/>
  <c r="O163" i="9"/>
  <c r="AD163" i="9"/>
  <c r="AS163" i="9"/>
  <c r="P163" i="9"/>
  <c r="AE163" i="9"/>
  <c r="AT163" i="9"/>
  <c r="Q163" i="9"/>
  <c r="AF163" i="9"/>
  <c r="AU163" i="9"/>
  <c r="R163" i="9"/>
  <c r="AG163" i="9"/>
  <c r="AV163" i="9"/>
  <c r="H162" i="7"/>
  <c r="W162" i="7"/>
  <c r="AL162" i="7"/>
  <c r="I162" i="7"/>
  <c r="X162" i="7"/>
  <c r="AM162" i="7"/>
  <c r="J162" i="7"/>
  <c r="Y162" i="7"/>
  <c r="AN162" i="7"/>
  <c r="K162" i="7"/>
  <c r="Z162" i="7"/>
  <c r="AO162" i="7"/>
  <c r="L162" i="7"/>
  <c r="AA162" i="7"/>
  <c r="AP162" i="7"/>
  <c r="N162" i="7"/>
  <c r="AC162" i="7"/>
  <c r="AR162" i="7"/>
  <c r="O162" i="7"/>
  <c r="AD162" i="7"/>
  <c r="AS162" i="7"/>
  <c r="P162" i="7"/>
  <c r="AE162" i="7"/>
  <c r="AT162" i="7"/>
  <c r="Q162" i="7"/>
  <c r="AF162" i="7"/>
  <c r="AU162" i="7"/>
  <c r="R162" i="7"/>
  <c r="AG162" i="7"/>
  <c r="AV162" i="7"/>
  <c r="I162" i="8"/>
  <c r="X162" i="8"/>
  <c r="AM162" i="8"/>
  <c r="J162" i="8"/>
  <c r="Y162" i="8"/>
  <c r="AN162" i="8"/>
  <c r="L162" i="8"/>
  <c r="AA162" i="8"/>
  <c r="AP162" i="8"/>
  <c r="N162" i="8"/>
  <c r="AC162" i="8"/>
  <c r="AR162" i="8"/>
  <c r="P162" i="8"/>
  <c r="AE162" i="8"/>
  <c r="AT162" i="8"/>
  <c r="Q162" i="8"/>
  <c r="AF162" i="8"/>
  <c r="AU162" i="8"/>
  <c r="H162" i="8"/>
  <c r="W162" i="8"/>
  <c r="AL162" i="8"/>
  <c r="K162" i="8"/>
  <c r="Z162" i="8"/>
  <c r="AO162" i="8"/>
  <c r="M162" i="8"/>
  <c r="AB162" i="8"/>
  <c r="AQ162" i="8"/>
  <c r="O162" i="8"/>
  <c r="AD162" i="8"/>
  <c r="AS162" i="8"/>
  <c r="R162" i="8"/>
  <c r="AG162" i="8"/>
  <c r="AV162" i="8"/>
  <c r="M162" i="7"/>
  <c r="AB162" i="7"/>
  <c r="AQ162" i="7"/>
  <c r="D150" i="8"/>
  <c r="S150" i="8"/>
  <c r="AH150" i="8"/>
  <c r="E138" i="8"/>
  <c r="T138" i="8"/>
  <c r="AI138" i="8"/>
  <c r="D133" i="9"/>
  <c r="S133" i="9"/>
  <c r="AH133" i="9"/>
  <c r="D110" i="7"/>
  <c r="S110" i="7"/>
  <c r="AH110" i="7"/>
  <c r="G107" i="9"/>
  <c r="V107" i="9"/>
  <c r="AK107" i="9"/>
  <c r="G103" i="10"/>
  <c r="V103" i="10"/>
  <c r="AK103" i="10"/>
  <c r="D88" i="10"/>
  <c r="S88" i="10"/>
  <c r="AH88" i="10"/>
  <c r="E90" i="9"/>
  <c r="T90" i="9"/>
  <c r="AI90" i="9"/>
  <c r="AY92" i="8"/>
  <c r="C92" i="8"/>
  <c r="AX93" i="8"/>
  <c r="AW92" i="8"/>
  <c r="V93" i="8"/>
  <c r="G93" i="8"/>
  <c r="AK93" i="8"/>
  <c r="E82" i="10"/>
  <c r="AI82" i="10"/>
  <c r="T82" i="10"/>
  <c r="AY74" i="9"/>
  <c r="C74" i="9"/>
  <c r="AX75" i="9"/>
  <c r="AW74" i="9"/>
  <c r="F75" i="9"/>
  <c r="U75" i="9"/>
  <c r="AJ75" i="9"/>
  <c r="AY64" i="10"/>
  <c r="C64" i="10"/>
  <c r="AW64" i="10"/>
  <c r="AX65" i="10"/>
  <c r="U65" i="10"/>
  <c r="AJ65" i="10"/>
  <c r="F65" i="10"/>
  <c r="T39" i="7"/>
  <c r="U39" i="7" s="1"/>
  <c r="AJ39" i="7" s="1"/>
  <c r="AJ107" i="8" l="1"/>
  <c r="U107" i="8"/>
  <c r="F107" i="8"/>
  <c r="H164" i="10"/>
  <c r="W164" i="10"/>
  <c r="AL164" i="10"/>
  <c r="X164" i="10"/>
  <c r="I164" i="10"/>
  <c r="AM164" i="10"/>
  <c r="Y164" i="10"/>
  <c r="AN164" i="10"/>
  <c r="J164" i="10"/>
  <c r="K164" i="10"/>
  <c r="Z164" i="10"/>
  <c r="AO164" i="10"/>
  <c r="L164" i="10"/>
  <c r="AA164" i="10"/>
  <c r="AP164" i="10"/>
  <c r="M164" i="10"/>
  <c r="AB164" i="10"/>
  <c r="AQ164" i="10"/>
  <c r="N164" i="10"/>
  <c r="AC164" i="10"/>
  <c r="AR164" i="10"/>
  <c r="AS164" i="10"/>
  <c r="O164" i="10"/>
  <c r="AD164" i="10"/>
  <c r="P164" i="10"/>
  <c r="AE164" i="10"/>
  <c r="AT164" i="10"/>
  <c r="Q164" i="10"/>
  <c r="AF164" i="10"/>
  <c r="AU164" i="10"/>
  <c r="R164" i="10"/>
  <c r="AG164" i="10"/>
  <c r="AV164" i="10"/>
  <c r="H164" i="9"/>
  <c r="W164" i="9"/>
  <c r="AL164" i="9"/>
  <c r="I164" i="9"/>
  <c r="X164" i="9"/>
  <c r="AM164" i="9"/>
  <c r="J164" i="9"/>
  <c r="Y164" i="9"/>
  <c r="AN164" i="9"/>
  <c r="K164" i="9"/>
  <c r="Z164" i="9"/>
  <c r="AO164" i="9"/>
  <c r="L164" i="9"/>
  <c r="AA164" i="9"/>
  <c r="AP164" i="9"/>
  <c r="M164" i="9"/>
  <c r="AB164" i="9"/>
  <c r="AQ164" i="9"/>
  <c r="N164" i="9"/>
  <c r="AC164" i="9"/>
  <c r="AR164" i="9"/>
  <c r="O164" i="9"/>
  <c r="AD164" i="9"/>
  <c r="AS164" i="9"/>
  <c r="P164" i="9"/>
  <c r="AE164" i="9"/>
  <c r="AT164" i="9"/>
  <c r="Q164" i="9"/>
  <c r="AF164" i="9"/>
  <c r="AU164" i="9"/>
  <c r="R164" i="9"/>
  <c r="AG164" i="9"/>
  <c r="AV164" i="9"/>
  <c r="H163" i="7"/>
  <c r="W163" i="7"/>
  <c r="AL163" i="7"/>
  <c r="I163" i="7"/>
  <c r="X163" i="7"/>
  <c r="AM163" i="7"/>
  <c r="J163" i="7"/>
  <c r="Y163" i="7"/>
  <c r="AN163" i="7"/>
  <c r="K163" i="7"/>
  <c r="Z163" i="7"/>
  <c r="AO163" i="7"/>
  <c r="L163" i="7"/>
  <c r="AA163" i="7"/>
  <c r="AP163" i="7"/>
  <c r="N163" i="7"/>
  <c r="AC163" i="7"/>
  <c r="AR163" i="7"/>
  <c r="O163" i="7"/>
  <c r="AD163" i="7"/>
  <c r="AS163" i="7"/>
  <c r="P163" i="7"/>
  <c r="AE163" i="7"/>
  <c r="AT163" i="7"/>
  <c r="Q163" i="7"/>
  <c r="AF163" i="7"/>
  <c r="AU163" i="7"/>
  <c r="R163" i="7"/>
  <c r="AG163" i="7"/>
  <c r="AV163" i="7"/>
  <c r="I163" i="8"/>
  <c r="X163" i="8"/>
  <c r="AM163" i="8"/>
  <c r="J163" i="8"/>
  <c r="Y163" i="8"/>
  <c r="AN163" i="8"/>
  <c r="L163" i="8"/>
  <c r="AA163" i="8"/>
  <c r="AP163" i="8"/>
  <c r="N163" i="8"/>
  <c r="AC163" i="8"/>
  <c r="AR163" i="8"/>
  <c r="P163" i="8"/>
  <c r="AE163" i="8"/>
  <c r="AT163" i="8"/>
  <c r="Q163" i="8"/>
  <c r="AF163" i="8"/>
  <c r="AU163" i="8"/>
  <c r="H163" i="8"/>
  <c r="W163" i="8"/>
  <c r="AL163" i="8"/>
  <c r="K163" i="8"/>
  <c r="Z163" i="8"/>
  <c r="AO163" i="8"/>
  <c r="M163" i="8"/>
  <c r="AB163" i="8"/>
  <c r="AQ163" i="8"/>
  <c r="O163" i="8"/>
  <c r="AD163" i="8"/>
  <c r="AS163" i="8"/>
  <c r="R163" i="8"/>
  <c r="AG163" i="8"/>
  <c r="AV163" i="8"/>
  <c r="M163" i="7"/>
  <c r="AB163" i="7"/>
  <c r="AQ163" i="7"/>
  <c r="D151" i="8"/>
  <c r="S151" i="8"/>
  <c r="AH151" i="8"/>
  <c r="E139" i="8"/>
  <c r="T139" i="8"/>
  <c r="AI139" i="8"/>
  <c r="D134" i="9"/>
  <c r="S134" i="9"/>
  <c r="AH134" i="9"/>
  <c r="D111" i="7"/>
  <c r="S111" i="7"/>
  <c r="AH111" i="7"/>
  <c r="G108" i="9"/>
  <c r="V108" i="9"/>
  <c r="AK108" i="9"/>
  <c r="G104" i="10"/>
  <c r="V104" i="10"/>
  <c r="AK104" i="10"/>
  <c r="D89" i="10"/>
  <c r="S89" i="10"/>
  <c r="AH89" i="10"/>
  <c r="E91" i="9"/>
  <c r="T91" i="9"/>
  <c r="AI91" i="9"/>
  <c r="C93" i="8"/>
  <c r="AY93" i="8"/>
  <c r="AW93" i="8"/>
  <c r="W34" i="2" s="1"/>
  <c r="AX94" i="8"/>
  <c r="G94" i="8"/>
  <c r="AK94" i="8"/>
  <c r="V94" i="8"/>
  <c r="E83" i="10"/>
  <c r="T83" i="10"/>
  <c r="AI83" i="10"/>
  <c r="C75" i="9"/>
  <c r="AY75" i="9"/>
  <c r="AW75" i="9"/>
  <c r="AX76" i="9"/>
  <c r="F76" i="9"/>
  <c r="U76" i="9"/>
  <c r="AJ76" i="9"/>
  <c r="AX66" i="10"/>
  <c r="AW65" i="10"/>
  <c r="AJ66" i="10"/>
  <c r="F66" i="10"/>
  <c r="U66" i="10"/>
  <c r="C65" i="10"/>
  <c r="AY65" i="10"/>
  <c r="V39" i="7"/>
  <c r="AI39" i="7"/>
  <c r="F40" i="7"/>
  <c r="AJ108" i="8" l="1"/>
  <c r="U108" i="8"/>
  <c r="F108" i="8"/>
  <c r="H165" i="10"/>
  <c r="W165" i="10"/>
  <c r="AL165" i="10"/>
  <c r="I165" i="10"/>
  <c r="X165" i="10"/>
  <c r="AM165" i="10"/>
  <c r="J165" i="10"/>
  <c r="Y165" i="10"/>
  <c r="AN165" i="10"/>
  <c r="K165" i="10"/>
  <c r="Z165" i="10"/>
  <c r="AO165" i="10"/>
  <c r="L165" i="10"/>
  <c r="AA165" i="10"/>
  <c r="AP165" i="10"/>
  <c r="AB165" i="10"/>
  <c r="M165" i="10"/>
  <c r="AQ165" i="10"/>
  <c r="N165" i="10"/>
  <c r="AC165" i="10"/>
  <c r="AR165" i="10"/>
  <c r="AD165" i="10"/>
  <c r="AS165" i="10"/>
  <c r="O165" i="10"/>
  <c r="P165" i="10"/>
  <c r="AE165" i="10"/>
  <c r="AT165" i="10"/>
  <c r="Q165" i="10"/>
  <c r="AF165" i="10"/>
  <c r="AU165" i="10"/>
  <c r="R165" i="10"/>
  <c r="AV165" i="10"/>
  <c r="AG165" i="10"/>
  <c r="H165" i="9"/>
  <c r="W165" i="9"/>
  <c r="AL165" i="9"/>
  <c r="I165" i="9"/>
  <c r="X165" i="9"/>
  <c r="AM165" i="9"/>
  <c r="J165" i="9"/>
  <c r="Y165" i="9"/>
  <c r="AN165" i="9"/>
  <c r="K165" i="9"/>
  <c r="Z165" i="9"/>
  <c r="AO165" i="9"/>
  <c r="L165" i="9"/>
  <c r="AA165" i="9"/>
  <c r="AP165" i="9"/>
  <c r="M165" i="9"/>
  <c r="AB165" i="9"/>
  <c r="AQ165" i="9"/>
  <c r="N165" i="9"/>
  <c r="AC165" i="9"/>
  <c r="AR165" i="9"/>
  <c r="O165" i="9"/>
  <c r="AD165" i="9"/>
  <c r="AS165" i="9"/>
  <c r="P165" i="9"/>
  <c r="AE165" i="9"/>
  <c r="AT165" i="9"/>
  <c r="Q165" i="9"/>
  <c r="AF165" i="9"/>
  <c r="AU165" i="9"/>
  <c r="R165" i="9"/>
  <c r="AG165" i="9"/>
  <c r="AV165" i="9"/>
  <c r="H164" i="7"/>
  <c r="W164" i="7"/>
  <c r="AL164" i="7"/>
  <c r="I164" i="7"/>
  <c r="X164" i="7"/>
  <c r="AM164" i="7"/>
  <c r="J164" i="7"/>
  <c r="Y164" i="7"/>
  <c r="AN164" i="7"/>
  <c r="K164" i="7"/>
  <c r="Z164" i="7"/>
  <c r="AO164" i="7"/>
  <c r="L164" i="7"/>
  <c r="AA164" i="7"/>
  <c r="AP164" i="7"/>
  <c r="N164" i="7"/>
  <c r="AC164" i="7"/>
  <c r="AR164" i="7"/>
  <c r="O164" i="7"/>
  <c r="AD164" i="7"/>
  <c r="AS164" i="7"/>
  <c r="P164" i="7"/>
  <c r="AE164" i="7"/>
  <c r="AT164" i="7"/>
  <c r="Q164" i="7"/>
  <c r="AF164" i="7"/>
  <c r="AU164" i="7"/>
  <c r="R164" i="7"/>
  <c r="AG164" i="7"/>
  <c r="AV164" i="7"/>
  <c r="I164" i="8"/>
  <c r="X164" i="8"/>
  <c r="AM164" i="8"/>
  <c r="J164" i="8"/>
  <c r="Y164" i="8"/>
  <c r="AN164" i="8"/>
  <c r="L164" i="8"/>
  <c r="AA164" i="8"/>
  <c r="AP164" i="8"/>
  <c r="N164" i="8"/>
  <c r="AC164" i="8"/>
  <c r="AR164" i="8"/>
  <c r="P164" i="8"/>
  <c r="AE164" i="8"/>
  <c r="AT164" i="8"/>
  <c r="Q164" i="8"/>
  <c r="AF164" i="8"/>
  <c r="AU164" i="8"/>
  <c r="H164" i="8"/>
  <c r="W164" i="8"/>
  <c r="AL164" i="8"/>
  <c r="K164" i="8"/>
  <c r="Z164" i="8"/>
  <c r="AO164" i="8"/>
  <c r="M164" i="8"/>
  <c r="AB164" i="8"/>
  <c r="AQ164" i="8"/>
  <c r="O164" i="8"/>
  <c r="AD164" i="8"/>
  <c r="AS164" i="8"/>
  <c r="R164" i="8"/>
  <c r="AG164" i="8"/>
  <c r="AV164" i="8"/>
  <c r="M164" i="7"/>
  <c r="AB164" i="7"/>
  <c r="AQ164" i="7"/>
  <c r="D152" i="8"/>
  <c r="S152" i="8"/>
  <c r="AH152" i="8"/>
  <c r="E140" i="8"/>
  <c r="T140" i="8"/>
  <c r="AI140" i="8"/>
  <c r="D135" i="9"/>
  <c r="S135" i="9"/>
  <c r="AH135" i="9"/>
  <c r="D112" i="7"/>
  <c r="S112" i="7"/>
  <c r="AH112" i="7"/>
  <c r="G109" i="9"/>
  <c r="V109" i="9"/>
  <c r="AK109" i="9"/>
  <c r="G105" i="10"/>
  <c r="V105" i="10"/>
  <c r="AK105" i="10"/>
  <c r="D90" i="10"/>
  <c r="S90" i="10"/>
  <c r="AH90" i="10"/>
  <c r="E92" i="9"/>
  <c r="T92" i="9"/>
  <c r="AI92" i="9"/>
  <c r="C94" i="8"/>
  <c r="AY94" i="8"/>
  <c r="AX95" i="8"/>
  <c r="AW94" i="8"/>
  <c r="V95" i="8"/>
  <c r="G95" i="8"/>
  <c r="AK95" i="8"/>
  <c r="E84" i="10"/>
  <c r="T84" i="10"/>
  <c r="AI84" i="10"/>
  <c r="C76" i="9"/>
  <c r="AY76" i="9"/>
  <c r="AW76" i="9"/>
  <c r="AX77" i="9"/>
  <c r="F77" i="9"/>
  <c r="U77" i="9"/>
  <c r="AJ77" i="9"/>
  <c r="AW66" i="10"/>
  <c r="AX67" i="10"/>
  <c r="U67" i="10"/>
  <c r="AJ67" i="10"/>
  <c r="F67" i="10"/>
  <c r="AY66" i="10"/>
  <c r="C66" i="10"/>
  <c r="E40" i="7"/>
  <c r="AK39" i="7"/>
  <c r="AY39" i="7"/>
  <c r="AJ109" i="8" l="1"/>
  <c r="U109" i="8"/>
  <c r="F109" i="8"/>
  <c r="AX40" i="7"/>
  <c r="AW39" i="7"/>
  <c r="X16" i="2" s="1"/>
  <c r="W166" i="10"/>
  <c r="H166" i="10"/>
  <c r="AL166" i="10"/>
  <c r="X166" i="10"/>
  <c r="I166" i="10"/>
  <c r="AM166" i="10"/>
  <c r="J166" i="10"/>
  <c r="Y166" i="10"/>
  <c r="AN166" i="10"/>
  <c r="K166" i="10"/>
  <c r="Z166" i="10"/>
  <c r="AO166" i="10"/>
  <c r="L166" i="10"/>
  <c r="AA166" i="10"/>
  <c r="AP166" i="10"/>
  <c r="M166" i="10"/>
  <c r="AQ166" i="10"/>
  <c r="AB166" i="10"/>
  <c r="N166" i="10"/>
  <c r="AC166" i="10"/>
  <c r="AR166" i="10"/>
  <c r="O166" i="10"/>
  <c r="AD166" i="10"/>
  <c r="AS166" i="10"/>
  <c r="P166" i="10"/>
  <c r="AE166" i="10"/>
  <c r="AT166" i="10"/>
  <c r="AF166" i="10"/>
  <c r="Q166" i="10"/>
  <c r="AU166" i="10"/>
  <c r="R166" i="10"/>
  <c r="AG166" i="10"/>
  <c r="AV166" i="10"/>
  <c r="H166" i="9"/>
  <c r="W166" i="9"/>
  <c r="AL166" i="9"/>
  <c r="I166" i="9"/>
  <c r="X166" i="9"/>
  <c r="AM166" i="9"/>
  <c r="J166" i="9"/>
  <c r="Y166" i="9"/>
  <c r="AN166" i="9"/>
  <c r="K166" i="9"/>
  <c r="Z166" i="9"/>
  <c r="AO166" i="9"/>
  <c r="L166" i="9"/>
  <c r="AA166" i="9"/>
  <c r="AP166" i="9"/>
  <c r="M166" i="9"/>
  <c r="AB166" i="9"/>
  <c r="AQ166" i="9"/>
  <c r="N166" i="9"/>
  <c r="AC166" i="9"/>
  <c r="AR166" i="9"/>
  <c r="O166" i="9"/>
  <c r="AD166" i="9"/>
  <c r="AS166" i="9"/>
  <c r="P166" i="9"/>
  <c r="AE166" i="9"/>
  <c r="AT166" i="9"/>
  <c r="Q166" i="9"/>
  <c r="AF166" i="9"/>
  <c r="AU166" i="9"/>
  <c r="R166" i="9"/>
  <c r="AG166" i="9"/>
  <c r="AV166" i="9"/>
  <c r="H165" i="7"/>
  <c r="W165" i="7"/>
  <c r="AL165" i="7"/>
  <c r="I165" i="7"/>
  <c r="X165" i="7"/>
  <c r="AM165" i="7"/>
  <c r="J165" i="7"/>
  <c r="Y165" i="7"/>
  <c r="AN165" i="7"/>
  <c r="K165" i="7"/>
  <c r="Z165" i="7"/>
  <c r="AO165" i="7"/>
  <c r="L165" i="7"/>
  <c r="AA165" i="7"/>
  <c r="AP165" i="7"/>
  <c r="N165" i="7"/>
  <c r="AC165" i="7"/>
  <c r="AR165" i="7"/>
  <c r="O165" i="7"/>
  <c r="AD165" i="7"/>
  <c r="AS165" i="7"/>
  <c r="P165" i="7"/>
  <c r="AE165" i="7"/>
  <c r="AT165" i="7"/>
  <c r="Q165" i="7"/>
  <c r="AF165" i="7"/>
  <c r="AU165" i="7"/>
  <c r="R165" i="7"/>
  <c r="AG165" i="7"/>
  <c r="AV165" i="7"/>
  <c r="I165" i="8"/>
  <c r="X165" i="8"/>
  <c r="AM165" i="8"/>
  <c r="J165" i="8"/>
  <c r="Y165" i="8"/>
  <c r="AN165" i="8"/>
  <c r="L165" i="8"/>
  <c r="AA165" i="8"/>
  <c r="AP165" i="8"/>
  <c r="N165" i="8"/>
  <c r="AC165" i="8"/>
  <c r="AR165" i="8"/>
  <c r="P165" i="8"/>
  <c r="AE165" i="8"/>
  <c r="AT165" i="8"/>
  <c r="Q165" i="8"/>
  <c r="AF165" i="8"/>
  <c r="AU165" i="8"/>
  <c r="H165" i="8"/>
  <c r="W165" i="8"/>
  <c r="AL165" i="8"/>
  <c r="K165" i="8"/>
  <c r="Z165" i="8"/>
  <c r="AO165" i="8"/>
  <c r="M165" i="8"/>
  <c r="AB165" i="8"/>
  <c r="AQ165" i="8"/>
  <c r="O165" i="8"/>
  <c r="AD165" i="8"/>
  <c r="AS165" i="8"/>
  <c r="R165" i="8"/>
  <c r="AG165" i="8"/>
  <c r="AV165" i="8"/>
  <c r="M165" i="7"/>
  <c r="AB165" i="7"/>
  <c r="AQ165" i="7"/>
  <c r="D153" i="8"/>
  <c r="S153" i="8"/>
  <c r="AH153" i="8"/>
  <c r="E141" i="8"/>
  <c r="T141" i="8"/>
  <c r="AI141" i="8"/>
  <c r="D136" i="9"/>
  <c r="S136" i="9"/>
  <c r="AH136" i="9"/>
  <c r="D113" i="7"/>
  <c r="S113" i="7"/>
  <c r="AH113" i="7"/>
  <c r="G110" i="9"/>
  <c r="V110" i="9"/>
  <c r="AK110" i="9"/>
  <c r="G106" i="10"/>
  <c r="V106" i="10"/>
  <c r="AK106" i="10"/>
  <c r="D91" i="10"/>
  <c r="S91" i="10"/>
  <c r="AH91" i="10"/>
  <c r="E93" i="9"/>
  <c r="T93" i="9"/>
  <c r="AI93" i="9"/>
  <c r="AY95" i="8"/>
  <c r="C95" i="8"/>
  <c r="AX96" i="8"/>
  <c r="AW95" i="8"/>
  <c r="G96" i="8"/>
  <c r="V96" i="8"/>
  <c r="AK96" i="8"/>
  <c r="E85" i="10"/>
  <c r="T85" i="10"/>
  <c r="AI85" i="10"/>
  <c r="AY77" i="9"/>
  <c r="C77" i="9"/>
  <c r="AX78" i="9"/>
  <c r="AW77" i="9"/>
  <c r="F78" i="9"/>
  <c r="U78" i="9"/>
  <c r="AJ78" i="9"/>
  <c r="AX68" i="10"/>
  <c r="AW67" i="10"/>
  <c r="F68" i="10"/>
  <c r="AJ68" i="10"/>
  <c r="U68" i="10"/>
  <c r="C67" i="10"/>
  <c r="AY67" i="10"/>
  <c r="G40" i="7"/>
  <c r="U110" i="8" l="1"/>
  <c r="AJ110" i="8"/>
  <c r="F110" i="8"/>
  <c r="AL167" i="10"/>
  <c r="H167" i="10"/>
  <c r="W167" i="10"/>
  <c r="I167" i="10"/>
  <c r="X167" i="10"/>
  <c r="AM167" i="10"/>
  <c r="J167" i="10"/>
  <c r="Y167" i="10"/>
  <c r="AN167" i="10"/>
  <c r="K167" i="10"/>
  <c r="Z167" i="10"/>
  <c r="AO167" i="10"/>
  <c r="L167" i="10"/>
  <c r="AA167" i="10"/>
  <c r="AP167" i="10"/>
  <c r="M167" i="10"/>
  <c r="AB167" i="10"/>
  <c r="AQ167" i="10"/>
  <c r="N167" i="10"/>
  <c r="AR167" i="10"/>
  <c r="AC167" i="10"/>
  <c r="O167" i="10"/>
  <c r="AD167" i="10"/>
  <c r="AS167" i="10"/>
  <c r="P167" i="10"/>
  <c r="AE167" i="10"/>
  <c r="AT167" i="10"/>
  <c r="Q167" i="10"/>
  <c r="AU167" i="10"/>
  <c r="AF167" i="10"/>
  <c r="AG167" i="10"/>
  <c r="AV167" i="10"/>
  <c r="R167" i="10"/>
  <c r="H167" i="9"/>
  <c r="W167" i="9"/>
  <c r="AL167" i="9"/>
  <c r="I167" i="9"/>
  <c r="AM167" i="9"/>
  <c r="X167" i="9"/>
  <c r="J167" i="9"/>
  <c r="Y167" i="9"/>
  <c r="AN167" i="9"/>
  <c r="K167" i="9"/>
  <c r="AO167" i="9"/>
  <c r="Z167" i="9"/>
  <c r="AA167" i="9"/>
  <c r="L167" i="9"/>
  <c r="AP167" i="9"/>
  <c r="M167" i="9"/>
  <c r="AB167" i="9"/>
  <c r="AQ167" i="9"/>
  <c r="N167" i="9"/>
  <c r="AC167" i="9"/>
  <c r="AR167" i="9"/>
  <c r="AD167" i="9"/>
  <c r="AS167" i="9"/>
  <c r="O167" i="9"/>
  <c r="P167" i="9"/>
  <c r="AE167" i="9"/>
  <c r="AT167" i="9"/>
  <c r="AF167" i="9"/>
  <c r="Q167" i="9"/>
  <c r="AU167" i="9"/>
  <c r="R167" i="9"/>
  <c r="AG167" i="9"/>
  <c r="AV167" i="9"/>
  <c r="H166" i="7"/>
  <c r="W166" i="7"/>
  <c r="AL166" i="7"/>
  <c r="I166" i="7"/>
  <c r="X166" i="7"/>
  <c r="AM166" i="7"/>
  <c r="J166" i="7"/>
  <c r="Y166" i="7"/>
  <c r="AN166" i="7"/>
  <c r="K166" i="7"/>
  <c r="Z166" i="7"/>
  <c r="AO166" i="7"/>
  <c r="L166" i="7"/>
  <c r="AA166" i="7"/>
  <c r="AP166" i="7"/>
  <c r="N166" i="7"/>
  <c r="AC166" i="7"/>
  <c r="AR166" i="7"/>
  <c r="O166" i="7"/>
  <c r="AD166" i="7"/>
  <c r="AS166" i="7"/>
  <c r="P166" i="7"/>
  <c r="AE166" i="7"/>
  <c r="AT166" i="7"/>
  <c r="Q166" i="7"/>
  <c r="AF166" i="7"/>
  <c r="AU166" i="7"/>
  <c r="R166" i="7"/>
  <c r="AG166" i="7"/>
  <c r="AV166" i="7"/>
  <c r="I166" i="8"/>
  <c r="X166" i="8"/>
  <c r="AM166" i="8"/>
  <c r="J166" i="8"/>
  <c r="Y166" i="8"/>
  <c r="AN166" i="8"/>
  <c r="L166" i="8"/>
  <c r="AA166" i="8"/>
  <c r="AP166" i="8"/>
  <c r="N166" i="8"/>
  <c r="AC166" i="8"/>
  <c r="AR166" i="8"/>
  <c r="P166" i="8"/>
  <c r="AE166" i="8"/>
  <c r="AT166" i="8"/>
  <c r="Q166" i="8"/>
  <c r="AF166" i="8"/>
  <c r="AU166" i="8"/>
  <c r="H166" i="8"/>
  <c r="W166" i="8"/>
  <c r="AL166" i="8"/>
  <c r="K166" i="8"/>
  <c r="Z166" i="8"/>
  <c r="AO166" i="8"/>
  <c r="M166" i="8"/>
  <c r="AB166" i="8"/>
  <c r="AQ166" i="8"/>
  <c r="O166" i="8"/>
  <c r="AD166" i="8"/>
  <c r="AS166" i="8"/>
  <c r="R166" i="8"/>
  <c r="AG166" i="8"/>
  <c r="AV166" i="8"/>
  <c r="M166" i="7"/>
  <c r="AB166" i="7"/>
  <c r="AQ166" i="7"/>
  <c r="D154" i="8"/>
  <c r="S154" i="8"/>
  <c r="AH154" i="8"/>
  <c r="E142" i="8"/>
  <c r="T142" i="8"/>
  <c r="AI142" i="8"/>
  <c r="D137" i="9"/>
  <c r="S137" i="9"/>
  <c r="AH137" i="9"/>
  <c r="D114" i="7"/>
  <c r="S114" i="7"/>
  <c r="AH114" i="7"/>
  <c r="G111" i="9"/>
  <c r="V111" i="9"/>
  <c r="AK111" i="9"/>
  <c r="G107" i="10"/>
  <c r="V107" i="10"/>
  <c r="AK107" i="10"/>
  <c r="D92" i="10"/>
  <c r="S92" i="10"/>
  <c r="AH92" i="10"/>
  <c r="E94" i="9"/>
  <c r="T94" i="9"/>
  <c r="AI94" i="9"/>
  <c r="AY96" i="8"/>
  <c r="C96" i="8"/>
  <c r="AW96" i="8"/>
  <c r="W35" i="2" s="1"/>
  <c r="AX97" i="8"/>
  <c r="V97" i="8"/>
  <c r="AK97" i="8"/>
  <c r="G97" i="8"/>
  <c r="E86" i="10"/>
  <c r="T86" i="10"/>
  <c r="AI86" i="10"/>
  <c r="C78" i="9"/>
  <c r="AY78" i="9"/>
  <c r="AX79" i="9"/>
  <c r="AW78" i="9"/>
  <c r="F79" i="9"/>
  <c r="U79" i="9"/>
  <c r="AJ79" i="9"/>
  <c r="AY68" i="10"/>
  <c r="C68" i="10"/>
  <c r="AX69" i="10"/>
  <c r="AW68" i="10"/>
  <c r="F69" i="10"/>
  <c r="U69" i="10"/>
  <c r="AJ69" i="10"/>
  <c r="C40" i="7"/>
  <c r="U111" i="8" l="1"/>
  <c r="AJ111" i="8"/>
  <c r="F111" i="8"/>
  <c r="W168" i="10"/>
  <c r="H168" i="10"/>
  <c r="AL168" i="10"/>
  <c r="I168" i="10"/>
  <c r="X168" i="10"/>
  <c r="AM168" i="10"/>
  <c r="AN168" i="10"/>
  <c r="J168" i="10"/>
  <c r="Y168" i="10"/>
  <c r="Z168" i="10"/>
  <c r="AO168" i="10"/>
  <c r="K168" i="10"/>
  <c r="L168" i="10"/>
  <c r="AA168" i="10"/>
  <c r="AP168" i="10"/>
  <c r="M168" i="10"/>
  <c r="AB168" i="10"/>
  <c r="AQ168" i="10"/>
  <c r="AC168" i="10"/>
  <c r="N168" i="10"/>
  <c r="AR168" i="10"/>
  <c r="AD168" i="10"/>
  <c r="O168" i="10"/>
  <c r="AS168" i="10"/>
  <c r="P168" i="10"/>
  <c r="AE168" i="10"/>
  <c r="AT168" i="10"/>
  <c r="AF168" i="10"/>
  <c r="AU168" i="10"/>
  <c r="Q168" i="10"/>
  <c r="R168" i="10"/>
  <c r="AG168" i="10"/>
  <c r="AV168" i="10"/>
  <c r="H168" i="9"/>
  <c r="AL168" i="9"/>
  <c r="W168" i="9"/>
  <c r="I168" i="9"/>
  <c r="AM168" i="9"/>
  <c r="X168" i="9"/>
  <c r="Y168" i="9"/>
  <c r="AN168" i="9"/>
  <c r="J168" i="9"/>
  <c r="Z168" i="9"/>
  <c r="AO168" i="9"/>
  <c r="K168" i="9"/>
  <c r="AA168" i="9"/>
  <c r="AP168" i="9"/>
  <c r="L168" i="9"/>
  <c r="AQ168" i="9"/>
  <c r="M168" i="9"/>
  <c r="AB168" i="9"/>
  <c r="AC168" i="9"/>
  <c r="AR168" i="9"/>
  <c r="N168" i="9"/>
  <c r="AD168" i="9"/>
  <c r="AS168" i="9"/>
  <c r="O168" i="9"/>
  <c r="P168" i="9"/>
  <c r="AE168" i="9"/>
  <c r="AT168" i="9"/>
  <c r="Q168" i="9"/>
  <c r="AF168" i="9"/>
  <c r="AU168" i="9"/>
  <c r="R168" i="9"/>
  <c r="AG168" i="9"/>
  <c r="AV168" i="9"/>
  <c r="H167" i="7"/>
  <c r="W167" i="7"/>
  <c r="AL167" i="7"/>
  <c r="I167" i="7"/>
  <c r="X167" i="7"/>
  <c r="AM167" i="7"/>
  <c r="J167" i="7"/>
  <c r="Y167" i="7"/>
  <c r="AN167" i="7"/>
  <c r="K167" i="7"/>
  <c r="Z167" i="7"/>
  <c r="AO167" i="7"/>
  <c r="L167" i="7"/>
  <c r="AA167" i="7"/>
  <c r="AP167" i="7"/>
  <c r="N167" i="7"/>
  <c r="AC167" i="7"/>
  <c r="AR167" i="7"/>
  <c r="O167" i="7"/>
  <c r="AD167" i="7"/>
  <c r="AS167" i="7"/>
  <c r="P167" i="7"/>
  <c r="AE167" i="7"/>
  <c r="AT167" i="7"/>
  <c r="Q167" i="7"/>
  <c r="AF167" i="7"/>
  <c r="AU167" i="7"/>
  <c r="R167" i="7"/>
  <c r="AG167" i="7"/>
  <c r="AV167" i="7"/>
  <c r="I167" i="8"/>
  <c r="X167" i="8"/>
  <c r="AM167" i="8"/>
  <c r="J167" i="8"/>
  <c r="Y167" i="8"/>
  <c r="AN167" i="8"/>
  <c r="L167" i="8"/>
  <c r="AA167" i="8"/>
  <c r="AP167" i="8"/>
  <c r="N167" i="8"/>
  <c r="AC167" i="8"/>
  <c r="AR167" i="8"/>
  <c r="P167" i="8"/>
  <c r="AE167" i="8"/>
  <c r="AT167" i="8"/>
  <c r="Q167" i="8"/>
  <c r="AF167" i="8"/>
  <c r="AU167" i="8"/>
  <c r="H167" i="8"/>
  <c r="W167" i="8"/>
  <c r="AL167" i="8"/>
  <c r="K167" i="8"/>
  <c r="Z167" i="8"/>
  <c r="AO167" i="8"/>
  <c r="M167" i="8"/>
  <c r="AB167" i="8"/>
  <c r="AQ167" i="8"/>
  <c r="O167" i="8"/>
  <c r="AD167" i="8"/>
  <c r="AS167" i="8"/>
  <c r="R167" i="8"/>
  <c r="AG167" i="8"/>
  <c r="AV167" i="8"/>
  <c r="M167" i="7"/>
  <c r="AB167" i="7"/>
  <c r="AQ167" i="7"/>
  <c r="D155" i="8"/>
  <c r="S155" i="8"/>
  <c r="AH155" i="8"/>
  <c r="E143" i="8"/>
  <c r="T143" i="8"/>
  <c r="AI143" i="8"/>
  <c r="D138" i="9"/>
  <c r="S138" i="9"/>
  <c r="AH138" i="9"/>
  <c r="D115" i="7"/>
  <c r="S115" i="7"/>
  <c r="AH115" i="7"/>
  <c r="G112" i="9"/>
  <c r="V112" i="9"/>
  <c r="AK112" i="9"/>
  <c r="G108" i="10"/>
  <c r="V108" i="10"/>
  <c r="AK108" i="10"/>
  <c r="D93" i="10"/>
  <c r="S93" i="10"/>
  <c r="AH93" i="10"/>
  <c r="E95" i="9"/>
  <c r="T95" i="9"/>
  <c r="AI95" i="9"/>
  <c r="AW97" i="8"/>
  <c r="AX98" i="8"/>
  <c r="G98" i="8"/>
  <c r="V98" i="8"/>
  <c r="AK98" i="8"/>
  <c r="AY97" i="8"/>
  <c r="C97" i="8"/>
  <c r="E87" i="10"/>
  <c r="T87" i="10"/>
  <c r="AI87" i="10"/>
  <c r="AY79" i="9"/>
  <c r="C79" i="9"/>
  <c r="AX80" i="9"/>
  <c r="AW79" i="9"/>
  <c r="F80" i="9"/>
  <c r="U80" i="9"/>
  <c r="AJ80" i="9"/>
  <c r="C69" i="10"/>
  <c r="AY69" i="10"/>
  <c r="AX70" i="10"/>
  <c r="AW69" i="10"/>
  <c r="U70" i="10"/>
  <c r="AJ70" i="10"/>
  <c r="F70" i="10"/>
  <c r="T40" i="7"/>
  <c r="U40" i="7"/>
  <c r="AJ40" i="7" s="1"/>
  <c r="U112" i="8" l="1"/>
  <c r="F112" i="8"/>
  <c r="AJ112" i="8"/>
  <c r="W169" i="10"/>
  <c r="AL169" i="10"/>
  <c r="H169" i="10"/>
  <c r="I169" i="10"/>
  <c r="X169" i="10"/>
  <c r="AM169" i="10"/>
  <c r="J169" i="10"/>
  <c r="AN169" i="10"/>
  <c r="Y169" i="10"/>
  <c r="K169" i="10"/>
  <c r="Z169" i="10"/>
  <c r="AO169" i="10"/>
  <c r="L169" i="10"/>
  <c r="AA169" i="10"/>
  <c r="AP169" i="10"/>
  <c r="M169" i="10"/>
  <c r="AB169" i="10"/>
  <c r="AQ169" i="10"/>
  <c r="N169" i="10"/>
  <c r="AC169" i="10"/>
  <c r="AR169" i="10"/>
  <c r="O169" i="10"/>
  <c r="AD169" i="10"/>
  <c r="AS169" i="10"/>
  <c r="P169" i="10"/>
  <c r="AE169" i="10"/>
  <c r="AT169" i="10"/>
  <c r="AF169" i="10"/>
  <c r="AU169" i="10"/>
  <c r="Q169" i="10"/>
  <c r="R169" i="10"/>
  <c r="AV169" i="10"/>
  <c r="AG169" i="10"/>
  <c r="H169" i="9"/>
  <c r="W169" i="9"/>
  <c r="AL169" i="9"/>
  <c r="I169" i="9"/>
  <c r="X169" i="9"/>
  <c r="AM169" i="9"/>
  <c r="Y169" i="9"/>
  <c r="J169" i="9"/>
  <c r="AN169" i="9"/>
  <c r="Z169" i="9"/>
  <c r="K169" i="9"/>
  <c r="AO169" i="9"/>
  <c r="AA169" i="9"/>
  <c r="AP169" i="9"/>
  <c r="L169" i="9"/>
  <c r="AB169" i="9"/>
  <c r="AQ169" i="9"/>
  <c r="M169" i="9"/>
  <c r="N169" i="9"/>
  <c r="AC169" i="9"/>
  <c r="AR169" i="9"/>
  <c r="O169" i="9"/>
  <c r="AD169" i="9"/>
  <c r="AS169" i="9"/>
  <c r="AT169" i="9"/>
  <c r="P169" i="9"/>
  <c r="AE169" i="9"/>
  <c r="Q169" i="9"/>
  <c r="AF169" i="9"/>
  <c r="AU169" i="9"/>
  <c r="R169" i="9"/>
  <c r="AV169" i="9"/>
  <c r="AG169" i="9"/>
  <c r="H168" i="7"/>
  <c r="W168" i="7"/>
  <c r="AL168" i="7"/>
  <c r="I168" i="7"/>
  <c r="X168" i="7"/>
  <c r="AM168" i="7"/>
  <c r="J168" i="7"/>
  <c r="Y168" i="7"/>
  <c r="AN168" i="7"/>
  <c r="K168" i="7"/>
  <c r="Z168" i="7"/>
  <c r="AO168" i="7"/>
  <c r="L168" i="7"/>
  <c r="AA168" i="7"/>
  <c r="AP168" i="7"/>
  <c r="N168" i="7"/>
  <c r="AC168" i="7"/>
  <c r="AR168" i="7"/>
  <c r="O168" i="7"/>
  <c r="AD168" i="7"/>
  <c r="AS168" i="7"/>
  <c r="P168" i="7"/>
  <c r="AE168" i="7"/>
  <c r="AT168" i="7"/>
  <c r="Q168" i="7"/>
  <c r="AF168" i="7"/>
  <c r="AU168" i="7"/>
  <c r="R168" i="7"/>
  <c r="AG168" i="7"/>
  <c r="AV168" i="7"/>
  <c r="I168" i="8"/>
  <c r="X168" i="8"/>
  <c r="AM168" i="8"/>
  <c r="J168" i="8"/>
  <c r="Y168" i="8"/>
  <c r="AN168" i="8"/>
  <c r="L168" i="8"/>
  <c r="AA168" i="8"/>
  <c r="AP168" i="8"/>
  <c r="N168" i="8"/>
  <c r="AC168" i="8"/>
  <c r="AR168" i="8"/>
  <c r="P168" i="8"/>
  <c r="AE168" i="8"/>
  <c r="AT168" i="8"/>
  <c r="Q168" i="8"/>
  <c r="AF168" i="8"/>
  <c r="AU168" i="8"/>
  <c r="H168" i="8"/>
  <c r="W168" i="8"/>
  <c r="AL168" i="8"/>
  <c r="K168" i="8"/>
  <c r="Z168" i="8"/>
  <c r="AO168" i="8"/>
  <c r="M168" i="8"/>
  <c r="AB168" i="8"/>
  <c r="AQ168" i="8"/>
  <c r="O168" i="8"/>
  <c r="AD168" i="8"/>
  <c r="AS168" i="8"/>
  <c r="R168" i="8"/>
  <c r="AG168" i="8"/>
  <c r="AV168" i="8"/>
  <c r="M168" i="7"/>
  <c r="AB168" i="7"/>
  <c r="AQ168" i="7"/>
  <c r="D156" i="8"/>
  <c r="S156" i="8"/>
  <c r="AH156" i="8"/>
  <c r="E144" i="8"/>
  <c r="T144" i="8"/>
  <c r="AI144" i="8"/>
  <c r="D139" i="9"/>
  <c r="S139" i="9"/>
  <c r="AH139" i="9"/>
  <c r="D116" i="7"/>
  <c r="S116" i="7"/>
  <c r="AH116" i="7"/>
  <c r="G113" i="9"/>
  <c r="V113" i="9"/>
  <c r="AK113" i="9"/>
  <c r="G109" i="10"/>
  <c r="V109" i="10"/>
  <c r="AK109" i="10"/>
  <c r="D94" i="10"/>
  <c r="S94" i="10"/>
  <c r="AH94" i="10"/>
  <c r="E96" i="9"/>
  <c r="T96" i="9"/>
  <c r="AI96" i="9"/>
  <c r="C98" i="8"/>
  <c r="AY98" i="8"/>
  <c r="AX99" i="8"/>
  <c r="AW98" i="8"/>
  <c r="G99" i="8"/>
  <c r="V99" i="8"/>
  <c r="AK99" i="8"/>
  <c r="E88" i="10"/>
  <c r="T88" i="10"/>
  <c r="AI88" i="10"/>
  <c r="AY80" i="9"/>
  <c r="C80" i="9"/>
  <c r="AX81" i="9"/>
  <c r="AW80" i="9"/>
  <c r="F81" i="9"/>
  <c r="U81" i="9"/>
  <c r="AJ81" i="9"/>
  <c r="AX71" i="10"/>
  <c r="AW70" i="10"/>
  <c r="U71" i="10"/>
  <c r="F71" i="10"/>
  <c r="AJ71" i="10"/>
  <c r="AY70" i="10"/>
  <c r="C70" i="10"/>
  <c r="V40" i="7"/>
  <c r="AI40" i="7"/>
  <c r="F41" i="7"/>
  <c r="AJ113" i="8" l="1"/>
  <c r="U113" i="8"/>
  <c r="F113" i="8"/>
  <c r="H170" i="10"/>
  <c r="W170" i="10"/>
  <c r="AL170" i="10"/>
  <c r="X170" i="10"/>
  <c r="AM170" i="10"/>
  <c r="I170" i="10"/>
  <c r="J170" i="10"/>
  <c r="Y170" i="10"/>
  <c r="AN170" i="10"/>
  <c r="K170" i="10"/>
  <c r="Z170" i="10"/>
  <c r="AO170" i="10"/>
  <c r="L170" i="10"/>
  <c r="AA170" i="10"/>
  <c r="AP170" i="10"/>
  <c r="AB170" i="10"/>
  <c r="AQ170" i="10"/>
  <c r="M170" i="10"/>
  <c r="N170" i="10"/>
  <c r="AC170" i="10"/>
  <c r="AR170" i="10"/>
  <c r="AD170" i="10"/>
  <c r="AS170" i="10"/>
  <c r="O170" i="10"/>
  <c r="P170" i="10"/>
  <c r="AE170" i="10"/>
  <c r="AT170" i="10"/>
  <c r="Q170" i="10"/>
  <c r="AF170" i="10"/>
  <c r="AU170" i="10"/>
  <c r="AG170" i="10"/>
  <c r="AV170" i="10"/>
  <c r="R170" i="10"/>
  <c r="H170" i="9"/>
  <c r="AL170" i="9"/>
  <c r="W170" i="9"/>
  <c r="AM170" i="9"/>
  <c r="I170" i="9"/>
  <c r="X170" i="9"/>
  <c r="Y170" i="9"/>
  <c r="AN170" i="9"/>
  <c r="J170" i="9"/>
  <c r="Z170" i="9"/>
  <c r="K170" i="9"/>
  <c r="AO170" i="9"/>
  <c r="L170" i="9"/>
  <c r="AP170" i="9"/>
  <c r="AA170" i="9"/>
  <c r="M170" i="9"/>
  <c r="AB170" i="9"/>
  <c r="AQ170" i="9"/>
  <c r="N170" i="9"/>
  <c r="AC170" i="9"/>
  <c r="AR170" i="9"/>
  <c r="O170" i="9"/>
  <c r="AS170" i="9"/>
  <c r="AD170" i="9"/>
  <c r="P170" i="9"/>
  <c r="AT170" i="9"/>
  <c r="AE170" i="9"/>
  <c r="AF170" i="9"/>
  <c r="Q170" i="9"/>
  <c r="AU170" i="9"/>
  <c r="R170" i="9"/>
  <c r="AV170" i="9"/>
  <c r="AG170" i="9"/>
  <c r="H169" i="7"/>
  <c r="W169" i="7"/>
  <c r="AL169" i="7"/>
  <c r="I169" i="7"/>
  <c r="X169" i="7"/>
  <c r="AM169" i="7"/>
  <c r="J169" i="7"/>
  <c r="Y169" i="7"/>
  <c r="AN169" i="7"/>
  <c r="K169" i="7"/>
  <c r="Z169" i="7"/>
  <c r="AO169" i="7"/>
  <c r="L169" i="7"/>
  <c r="AA169" i="7"/>
  <c r="AP169" i="7"/>
  <c r="N169" i="7"/>
  <c r="AC169" i="7"/>
  <c r="AR169" i="7"/>
  <c r="O169" i="7"/>
  <c r="AD169" i="7"/>
  <c r="AS169" i="7"/>
  <c r="P169" i="7"/>
  <c r="AE169" i="7"/>
  <c r="AT169" i="7"/>
  <c r="Q169" i="7"/>
  <c r="AF169" i="7"/>
  <c r="AU169" i="7"/>
  <c r="R169" i="7"/>
  <c r="AG169" i="7"/>
  <c r="AV169" i="7"/>
  <c r="I169" i="8"/>
  <c r="X169" i="8"/>
  <c r="AM169" i="8"/>
  <c r="J169" i="8"/>
  <c r="Y169" i="8"/>
  <c r="AN169" i="8"/>
  <c r="L169" i="8"/>
  <c r="AA169" i="8"/>
  <c r="AP169" i="8"/>
  <c r="N169" i="8"/>
  <c r="AC169" i="8"/>
  <c r="AR169" i="8"/>
  <c r="P169" i="8"/>
  <c r="AE169" i="8"/>
  <c r="AT169" i="8"/>
  <c r="Q169" i="8"/>
  <c r="AF169" i="8"/>
  <c r="AU169" i="8"/>
  <c r="H169" i="8"/>
  <c r="W169" i="8"/>
  <c r="AL169" i="8"/>
  <c r="K169" i="8"/>
  <c r="Z169" i="8"/>
  <c r="AO169" i="8"/>
  <c r="M169" i="8"/>
  <c r="AB169" i="8"/>
  <c r="AQ169" i="8"/>
  <c r="O169" i="8"/>
  <c r="AD169" i="8"/>
  <c r="AS169" i="8"/>
  <c r="R169" i="8"/>
  <c r="AG169" i="8"/>
  <c r="AV169" i="8"/>
  <c r="M169" i="7"/>
  <c r="AB169" i="7"/>
  <c r="AQ169" i="7"/>
  <c r="D157" i="8"/>
  <c r="S157" i="8"/>
  <c r="AH157" i="8"/>
  <c r="E145" i="8"/>
  <c r="T145" i="8"/>
  <c r="AI145" i="8"/>
  <c r="D140" i="9"/>
  <c r="S140" i="9"/>
  <c r="AH140" i="9"/>
  <c r="D117" i="7"/>
  <c r="S117" i="7"/>
  <c r="AH117" i="7"/>
  <c r="G114" i="9"/>
  <c r="V114" i="9"/>
  <c r="AK114" i="9"/>
  <c r="G110" i="10"/>
  <c r="V110" i="10"/>
  <c r="AK110" i="10"/>
  <c r="D95" i="10"/>
  <c r="S95" i="10"/>
  <c r="AH95" i="10"/>
  <c r="E97" i="9"/>
  <c r="T97" i="9"/>
  <c r="AI97" i="9"/>
  <c r="C99" i="8"/>
  <c r="AY99" i="8"/>
  <c r="AX100" i="8"/>
  <c r="AW99" i="8"/>
  <c r="W36" i="2" s="1"/>
  <c r="G100" i="8"/>
  <c r="V100" i="8"/>
  <c r="AK100" i="8"/>
  <c r="E89" i="10"/>
  <c r="T89" i="10"/>
  <c r="AI89" i="10"/>
  <c r="AY81" i="9"/>
  <c r="C81" i="9"/>
  <c r="AX82" i="9"/>
  <c r="AW81" i="9"/>
  <c r="F82" i="9"/>
  <c r="U82" i="9"/>
  <c r="AJ82" i="9"/>
  <c r="AY71" i="10"/>
  <c r="C71" i="10"/>
  <c r="AW71" i="10"/>
  <c r="AX72" i="10"/>
  <c r="F72" i="10"/>
  <c r="U72" i="10"/>
  <c r="AJ72" i="10"/>
  <c r="E41" i="7"/>
  <c r="AK40" i="7"/>
  <c r="AY40" i="7"/>
  <c r="AJ114" i="8" l="1"/>
  <c r="U114" i="8"/>
  <c r="F114" i="8"/>
  <c r="AX41" i="7"/>
  <c r="AW40" i="7"/>
  <c r="H171" i="10"/>
  <c r="W171" i="10"/>
  <c r="AL171" i="10"/>
  <c r="I171" i="10"/>
  <c r="X171" i="10"/>
  <c r="AM171" i="10"/>
  <c r="J171" i="10"/>
  <c r="Y171" i="10"/>
  <c r="AN171" i="10"/>
  <c r="K171" i="10"/>
  <c r="Z171" i="10"/>
  <c r="AO171" i="10"/>
  <c r="L171" i="10"/>
  <c r="AA171" i="10"/>
  <c r="AP171" i="10"/>
  <c r="M171" i="10"/>
  <c r="AB171" i="10"/>
  <c r="AQ171" i="10"/>
  <c r="N171" i="10"/>
  <c r="AC171" i="10"/>
  <c r="AR171" i="10"/>
  <c r="O171" i="10"/>
  <c r="AD171" i="10"/>
  <c r="AS171" i="10"/>
  <c r="P171" i="10"/>
  <c r="AE171" i="10"/>
  <c r="AT171" i="10"/>
  <c r="Q171" i="10"/>
  <c r="AF171" i="10"/>
  <c r="AU171" i="10"/>
  <c r="R171" i="10"/>
  <c r="AG171" i="10"/>
  <c r="AV171" i="10"/>
  <c r="H171" i="9"/>
  <c r="W171" i="9"/>
  <c r="AL171" i="9"/>
  <c r="I171" i="9"/>
  <c r="X171" i="9"/>
  <c r="AM171" i="9"/>
  <c r="J171" i="9"/>
  <c r="Y171" i="9"/>
  <c r="AN171" i="9"/>
  <c r="K171" i="9"/>
  <c r="Z171" i="9"/>
  <c r="AO171" i="9"/>
  <c r="AA171" i="9"/>
  <c r="L171" i="9"/>
  <c r="AP171" i="9"/>
  <c r="M171" i="9"/>
  <c r="AB171" i="9"/>
  <c r="AQ171" i="9"/>
  <c r="AC171" i="9"/>
  <c r="N171" i="9"/>
  <c r="AR171" i="9"/>
  <c r="AD171" i="9"/>
  <c r="O171" i="9"/>
  <c r="AS171" i="9"/>
  <c r="AE171" i="9"/>
  <c r="P171" i="9"/>
  <c r="AT171" i="9"/>
  <c r="Q171" i="9"/>
  <c r="AF171" i="9"/>
  <c r="AU171" i="9"/>
  <c r="AG171" i="9"/>
  <c r="R171" i="9"/>
  <c r="AV171" i="9"/>
  <c r="H170" i="7"/>
  <c r="W170" i="7"/>
  <c r="AL170" i="7"/>
  <c r="I170" i="7"/>
  <c r="X170" i="7"/>
  <c r="AM170" i="7"/>
  <c r="J170" i="7"/>
  <c r="Y170" i="7"/>
  <c r="AN170" i="7"/>
  <c r="K170" i="7"/>
  <c r="Z170" i="7"/>
  <c r="AO170" i="7"/>
  <c r="L170" i="7"/>
  <c r="AA170" i="7"/>
  <c r="AP170" i="7"/>
  <c r="N170" i="7"/>
  <c r="AC170" i="7"/>
  <c r="AR170" i="7"/>
  <c r="O170" i="7"/>
  <c r="AD170" i="7"/>
  <c r="AS170" i="7"/>
  <c r="P170" i="7"/>
  <c r="AE170" i="7"/>
  <c r="AT170" i="7"/>
  <c r="Q170" i="7"/>
  <c r="AF170" i="7"/>
  <c r="AU170" i="7"/>
  <c r="R170" i="7"/>
  <c r="AG170" i="7"/>
  <c r="AV170" i="7"/>
  <c r="I170" i="8"/>
  <c r="X170" i="8"/>
  <c r="AM170" i="8"/>
  <c r="J170" i="8"/>
  <c r="Y170" i="8"/>
  <c r="AN170" i="8"/>
  <c r="L170" i="8"/>
  <c r="AA170" i="8"/>
  <c r="AP170" i="8"/>
  <c r="N170" i="8"/>
  <c r="AC170" i="8"/>
  <c r="AR170" i="8"/>
  <c r="P170" i="8"/>
  <c r="AE170" i="8"/>
  <c r="AT170" i="8"/>
  <c r="Q170" i="8"/>
  <c r="AF170" i="8"/>
  <c r="AU170" i="8"/>
  <c r="H170" i="8"/>
  <c r="W170" i="8"/>
  <c r="AL170" i="8"/>
  <c r="K170" i="8"/>
  <c r="Z170" i="8"/>
  <c r="AO170" i="8"/>
  <c r="M170" i="8"/>
  <c r="AB170" i="8"/>
  <c r="AQ170" i="8"/>
  <c r="O170" i="8"/>
  <c r="AD170" i="8"/>
  <c r="AS170" i="8"/>
  <c r="R170" i="8"/>
  <c r="AG170" i="8"/>
  <c r="AV170" i="8"/>
  <c r="M170" i="7"/>
  <c r="AB170" i="7"/>
  <c r="AQ170" i="7"/>
  <c r="D158" i="8"/>
  <c r="S158" i="8"/>
  <c r="AH158" i="8"/>
  <c r="E146" i="8"/>
  <c r="T146" i="8"/>
  <c r="AI146" i="8"/>
  <c r="D141" i="9"/>
  <c r="S141" i="9"/>
  <c r="AH141" i="9"/>
  <c r="D118" i="7"/>
  <c r="S118" i="7"/>
  <c r="AH118" i="7"/>
  <c r="G115" i="9"/>
  <c r="V115" i="9"/>
  <c r="AK115" i="9"/>
  <c r="G111" i="10"/>
  <c r="V111" i="10"/>
  <c r="AK111" i="10"/>
  <c r="D96" i="10"/>
  <c r="S96" i="10"/>
  <c r="AH96" i="10"/>
  <c r="E98" i="9"/>
  <c r="T98" i="9"/>
  <c r="AI98" i="9"/>
  <c r="C100" i="8"/>
  <c r="AY100" i="8"/>
  <c r="AX101" i="8"/>
  <c r="AW100" i="8"/>
  <c r="G101" i="8"/>
  <c r="V101" i="8"/>
  <c r="AK101" i="8"/>
  <c r="E90" i="10"/>
  <c r="T90" i="10"/>
  <c r="AI90" i="10"/>
  <c r="AY82" i="9"/>
  <c r="C82" i="9"/>
  <c r="AW82" i="9"/>
  <c r="AX83" i="9"/>
  <c r="F83" i="9"/>
  <c r="U83" i="9"/>
  <c r="AJ83" i="9"/>
  <c r="AY72" i="10"/>
  <c r="C72" i="10"/>
  <c r="AW72" i="10"/>
  <c r="AX73" i="10"/>
  <c r="F73" i="10"/>
  <c r="U73" i="10"/>
  <c r="AJ73" i="10"/>
  <c r="G41" i="7"/>
  <c r="AJ115" i="8" l="1"/>
  <c r="U115" i="8"/>
  <c r="F115" i="8"/>
  <c r="H172" i="10"/>
  <c r="W172" i="10"/>
  <c r="AL172" i="10"/>
  <c r="I172" i="10"/>
  <c r="X172" i="10"/>
  <c r="AM172" i="10"/>
  <c r="J172" i="10"/>
  <c r="Y172" i="10"/>
  <c r="AN172" i="10"/>
  <c r="K172" i="10"/>
  <c r="Z172" i="10"/>
  <c r="AO172" i="10"/>
  <c r="L172" i="10"/>
  <c r="AA172" i="10"/>
  <c r="AP172" i="10"/>
  <c r="M172" i="10"/>
  <c r="AQ172" i="10"/>
  <c r="AB172" i="10"/>
  <c r="N172" i="10"/>
  <c r="AC172" i="10"/>
  <c r="AR172" i="10"/>
  <c r="O172" i="10"/>
  <c r="AD172" i="10"/>
  <c r="AS172" i="10"/>
  <c r="P172" i="10"/>
  <c r="AT172" i="10"/>
  <c r="AE172" i="10"/>
  <c r="Q172" i="10"/>
  <c r="AF172" i="10"/>
  <c r="AU172" i="10"/>
  <c r="R172" i="10"/>
  <c r="AG172" i="10"/>
  <c r="AV172" i="10"/>
  <c r="H172" i="9"/>
  <c r="W172" i="9"/>
  <c r="AL172" i="9"/>
  <c r="I172" i="9"/>
  <c r="X172" i="9"/>
  <c r="AM172" i="9"/>
  <c r="J172" i="9"/>
  <c r="Y172" i="9"/>
  <c r="AN172" i="9"/>
  <c r="Z172" i="9"/>
  <c r="K172" i="9"/>
  <c r="AO172" i="9"/>
  <c r="AA172" i="9"/>
  <c r="AP172" i="9"/>
  <c r="L172" i="9"/>
  <c r="M172" i="9"/>
  <c r="AB172" i="9"/>
  <c r="AQ172" i="9"/>
  <c r="AC172" i="9"/>
  <c r="N172" i="9"/>
  <c r="AR172" i="9"/>
  <c r="AS172" i="9"/>
  <c r="O172" i="9"/>
  <c r="AD172" i="9"/>
  <c r="P172" i="9"/>
  <c r="AE172" i="9"/>
  <c r="AT172" i="9"/>
  <c r="AF172" i="9"/>
  <c r="AU172" i="9"/>
  <c r="Q172" i="9"/>
  <c r="AV172" i="9"/>
  <c r="R172" i="9"/>
  <c r="AG172" i="9"/>
  <c r="H171" i="7"/>
  <c r="W171" i="7"/>
  <c r="AL171" i="7"/>
  <c r="I171" i="7"/>
  <c r="X171" i="7"/>
  <c r="AM171" i="7"/>
  <c r="J171" i="7"/>
  <c r="Y171" i="7"/>
  <c r="AN171" i="7"/>
  <c r="K171" i="7"/>
  <c r="Z171" i="7"/>
  <c r="AO171" i="7"/>
  <c r="L171" i="7"/>
  <c r="AA171" i="7"/>
  <c r="AP171" i="7"/>
  <c r="N171" i="7"/>
  <c r="AC171" i="7"/>
  <c r="AR171" i="7"/>
  <c r="O171" i="7"/>
  <c r="AD171" i="7"/>
  <c r="AS171" i="7"/>
  <c r="P171" i="7"/>
  <c r="AE171" i="7"/>
  <c r="AT171" i="7"/>
  <c r="Q171" i="7"/>
  <c r="AF171" i="7"/>
  <c r="AU171" i="7"/>
  <c r="R171" i="7"/>
  <c r="AG171" i="7"/>
  <c r="AV171" i="7"/>
  <c r="I171" i="8"/>
  <c r="X171" i="8"/>
  <c r="AM171" i="8"/>
  <c r="J171" i="8"/>
  <c r="Y171" i="8"/>
  <c r="AN171" i="8"/>
  <c r="L171" i="8"/>
  <c r="AA171" i="8"/>
  <c r="AP171" i="8"/>
  <c r="N171" i="8"/>
  <c r="AC171" i="8"/>
  <c r="AR171" i="8"/>
  <c r="P171" i="8"/>
  <c r="AE171" i="8"/>
  <c r="AT171" i="8"/>
  <c r="Q171" i="8"/>
  <c r="AF171" i="8"/>
  <c r="AU171" i="8"/>
  <c r="H171" i="8"/>
  <c r="W171" i="8"/>
  <c r="AL171" i="8"/>
  <c r="K171" i="8"/>
  <c r="Z171" i="8"/>
  <c r="AO171" i="8"/>
  <c r="M171" i="8"/>
  <c r="AB171" i="8"/>
  <c r="AQ171" i="8"/>
  <c r="O171" i="8"/>
  <c r="AD171" i="8"/>
  <c r="AS171" i="8"/>
  <c r="R171" i="8"/>
  <c r="AG171" i="8"/>
  <c r="AV171" i="8"/>
  <c r="M171" i="7"/>
  <c r="AB171" i="7"/>
  <c r="AQ171" i="7"/>
  <c r="D159" i="8"/>
  <c r="S159" i="8"/>
  <c r="AH159" i="8"/>
  <c r="E147" i="8"/>
  <c r="T147" i="8"/>
  <c r="AI147" i="8"/>
  <c r="D142" i="9"/>
  <c r="S142" i="9"/>
  <c r="AH142" i="9"/>
  <c r="D119" i="7"/>
  <c r="S119" i="7"/>
  <c r="AH119" i="7"/>
  <c r="G116" i="9"/>
  <c r="V116" i="9"/>
  <c r="AK116" i="9"/>
  <c r="G112" i="10"/>
  <c r="V112" i="10"/>
  <c r="AK112" i="10"/>
  <c r="D97" i="10"/>
  <c r="S97" i="10"/>
  <c r="AH97" i="10"/>
  <c r="E99" i="9"/>
  <c r="T99" i="9"/>
  <c r="AI99" i="9"/>
  <c r="C101" i="8"/>
  <c r="AY101" i="8"/>
  <c r="AX102" i="8"/>
  <c r="AW101" i="8"/>
  <c r="G102" i="8"/>
  <c r="V102" i="8"/>
  <c r="AK102" i="8"/>
  <c r="E91" i="10"/>
  <c r="T91" i="10"/>
  <c r="AI91" i="10"/>
  <c r="AY83" i="9"/>
  <c r="C83" i="9"/>
  <c r="AX84" i="9"/>
  <c r="AW83" i="9"/>
  <c r="F84" i="9"/>
  <c r="U84" i="9"/>
  <c r="AJ84" i="9"/>
  <c r="C73" i="10"/>
  <c r="AY73" i="10"/>
  <c r="AX74" i="10"/>
  <c r="AW73" i="10"/>
  <c r="AJ74" i="10"/>
  <c r="U74" i="10"/>
  <c r="F74" i="10"/>
  <c r="C41" i="7"/>
  <c r="U116" i="8" l="1"/>
  <c r="AJ116" i="8"/>
  <c r="F116" i="8"/>
  <c r="H173" i="10"/>
  <c r="W173" i="10"/>
  <c r="AL173" i="10"/>
  <c r="I173" i="10"/>
  <c r="X173" i="10"/>
  <c r="AM173" i="10"/>
  <c r="J173" i="10"/>
  <c r="Y173" i="10"/>
  <c r="AN173" i="10"/>
  <c r="K173" i="10"/>
  <c r="Z173" i="10"/>
  <c r="AO173" i="10"/>
  <c r="L173" i="10"/>
  <c r="AA173" i="10"/>
  <c r="AP173" i="10"/>
  <c r="AB173" i="10"/>
  <c r="AQ173" i="10"/>
  <c r="M173" i="10"/>
  <c r="AR173" i="10"/>
  <c r="N173" i="10"/>
  <c r="AC173" i="10"/>
  <c r="O173" i="10"/>
  <c r="AD173" i="10"/>
  <c r="AS173" i="10"/>
  <c r="P173" i="10"/>
  <c r="AE173" i="10"/>
  <c r="AT173" i="10"/>
  <c r="Q173" i="10"/>
  <c r="AF173" i="10"/>
  <c r="AU173" i="10"/>
  <c r="R173" i="10"/>
  <c r="AG173" i="10"/>
  <c r="AV173" i="10"/>
  <c r="AL173" i="9"/>
  <c r="H173" i="9"/>
  <c r="W173" i="9"/>
  <c r="AM173" i="9"/>
  <c r="I173" i="9"/>
  <c r="X173" i="9"/>
  <c r="AN173" i="9"/>
  <c r="J173" i="9"/>
  <c r="Y173" i="9"/>
  <c r="K173" i="9"/>
  <c r="Z173" i="9"/>
  <c r="AO173" i="9"/>
  <c r="L173" i="9"/>
  <c r="AA173" i="9"/>
  <c r="AP173" i="9"/>
  <c r="M173" i="9"/>
  <c r="AB173" i="9"/>
  <c r="AQ173" i="9"/>
  <c r="N173" i="9"/>
  <c r="AC173" i="9"/>
  <c r="AR173" i="9"/>
  <c r="O173" i="9"/>
  <c r="AD173" i="9"/>
  <c r="AS173" i="9"/>
  <c r="AT173" i="9"/>
  <c r="P173" i="9"/>
  <c r="AE173" i="9"/>
  <c r="Q173" i="9"/>
  <c r="AF173" i="9"/>
  <c r="AU173" i="9"/>
  <c r="R173" i="9"/>
  <c r="AG173" i="9"/>
  <c r="AV173" i="9"/>
  <c r="H172" i="7"/>
  <c r="W172" i="7"/>
  <c r="AL172" i="7"/>
  <c r="I172" i="7"/>
  <c r="X172" i="7"/>
  <c r="AM172" i="7"/>
  <c r="J172" i="7"/>
  <c r="Y172" i="7"/>
  <c r="AN172" i="7"/>
  <c r="K172" i="7"/>
  <c r="Z172" i="7"/>
  <c r="AO172" i="7"/>
  <c r="L172" i="7"/>
  <c r="AA172" i="7"/>
  <c r="AP172" i="7"/>
  <c r="N172" i="7"/>
  <c r="AC172" i="7"/>
  <c r="AR172" i="7"/>
  <c r="O172" i="7"/>
  <c r="AD172" i="7"/>
  <c r="AS172" i="7"/>
  <c r="P172" i="7"/>
  <c r="AE172" i="7"/>
  <c r="AT172" i="7"/>
  <c r="Q172" i="7"/>
  <c r="AF172" i="7"/>
  <c r="AU172" i="7"/>
  <c r="R172" i="7"/>
  <c r="AG172" i="7"/>
  <c r="AV172" i="7"/>
  <c r="I172" i="8"/>
  <c r="X172" i="8"/>
  <c r="AM172" i="8"/>
  <c r="J172" i="8"/>
  <c r="Y172" i="8"/>
  <c r="AN172" i="8"/>
  <c r="L172" i="8"/>
  <c r="AA172" i="8"/>
  <c r="AP172" i="8"/>
  <c r="N172" i="8"/>
  <c r="AC172" i="8"/>
  <c r="AR172" i="8"/>
  <c r="P172" i="8"/>
  <c r="AE172" i="8"/>
  <c r="AT172" i="8"/>
  <c r="Q172" i="8"/>
  <c r="AF172" i="8"/>
  <c r="AU172" i="8"/>
  <c r="H172" i="8"/>
  <c r="W172" i="8"/>
  <c r="AL172" i="8"/>
  <c r="K172" i="8"/>
  <c r="Z172" i="8"/>
  <c r="AO172" i="8"/>
  <c r="M172" i="8"/>
  <c r="AB172" i="8"/>
  <c r="AQ172" i="8"/>
  <c r="O172" i="8"/>
  <c r="AD172" i="8"/>
  <c r="AS172" i="8"/>
  <c r="R172" i="8"/>
  <c r="AG172" i="8"/>
  <c r="AV172" i="8"/>
  <c r="M172" i="7"/>
  <c r="AB172" i="7"/>
  <c r="AQ172" i="7"/>
  <c r="D160" i="8"/>
  <c r="S160" i="8"/>
  <c r="AH160" i="8"/>
  <c r="E148" i="8"/>
  <c r="T148" i="8"/>
  <c r="AI148" i="8"/>
  <c r="D143" i="9"/>
  <c r="S143" i="9"/>
  <c r="AH143" i="9"/>
  <c r="D120" i="7"/>
  <c r="S120" i="7"/>
  <c r="AH120" i="7"/>
  <c r="G117" i="9"/>
  <c r="V117" i="9"/>
  <c r="AK117" i="9"/>
  <c r="G113" i="10"/>
  <c r="V113" i="10"/>
  <c r="AK113" i="10"/>
  <c r="D98" i="10"/>
  <c r="S98" i="10"/>
  <c r="AH98" i="10"/>
  <c r="E100" i="9"/>
  <c r="T100" i="9"/>
  <c r="AI100" i="9"/>
  <c r="AY102" i="8"/>
  <c r="C102" i="8"/>
  <c r="AX103" i="8"/>
  <c r="AW102" i="8"/>
  <c r="W37" i="2" s="1"/>
  <c r="G103" i="8"/>
  <c r="V103" i="8"/>
  <c r="AK103" i="8"/>
  <c r="E92" i="10"/>
  <c r="T92" i="10"/>
  <c r="AI92" i="10"/>
  <c r="AY84" i="9"/>
  <c r="C84" i="9"/>
  <c r="AW84" i="9"/>
  <c r="AX85" i="9"/>
  <c r="F85" i="9"/>
  <c r="U85" i="9"/>
  <c r="AJ85" i="9"/>
  <c r="AX75" i="10"/>
  <c r="AW74" i="10"/>
  <c r="U75" i="10"/>
  <c r="F75" i="10"/>
  <c r="AJ75" i="10"/>
  <c r="C74" i="10"/>
  <c r="AY74" i="10"/>
  <c r="T41" i="7"/>
  <c r="U41" i="7" s="1"/>
  <c r="AJ41" i="7" s="1"/>
  <c r="AJ117" i="8" l="1"/>
  <c r="U117" i="8"/>
  <c r="F117" i="8"/>
  <c r="H174" i="10"/>
  <c r="W174" i="10"/>
  <c r="AL174" i="10"/>
  <c r="I174" i="10"/>
  <c r="X174" i="10"/>
  <c r="AM174" i="10"/>
  <c r="AN174" i="10"/>
  <c r="J174" i="10"/>
  <c r="Y174" i="10"/>
  <c r="K174" i="10"/>
  <c r="Z174" i="10"/>
  <c r="AO174" i="10"/>
  <c r="L174" i="10"/>
  <c r="AA174" i="10"/>
  <c r="AP174" i="10"/>
  <c r="M174" i="10"/>
  <c r="AQ174" i="10"/>
  <c r="AB174" i="10"/>
  <c r="N174" i="10"/>
  <c r="AC174" i="10"/>
  <c r="AR174" i="10"/>
  <c r="AD174" i="10"/>
  <c r="O174" i="10"/>
  <c r="AS174" i="10"/>
  <c r="AE174" i="10"/>
  <c r="P174" i="10"/>
  <c r="AT174" i="10"/>
  <c r="Q174" i="10"/>
  <c r="AF174" i="10"/>
  <c r="AU174" i="10"/>
  <c r="R174" i="10"/>
  <c r="AG174" i="10"/>
  <c r="AV174" i="10"/>
  <c r="H174" i="9"/>
  <c r="W174" i="9"/>
  <c r="AL174" i="9"/>
  <c r="I174" i="9"/>
  <c r="X174" i="9"/>
  <c r="AM174" i="9"/>
  <c r="J174" i="9"/>
  <c r="AN174" i="9"/>
  <c r="Y174" i="9"/>
  <c r="K174" i="9"/>
  <c r="Z174" i="9"/>
  <c r="AO174" i="9"/>
  <c r="AA174" i="9"/>
  <c r="L174" i="9"/>
  <c r="AP174" i="9"/>
  <c r="AQ174" i="9"/>
  <c r="M174" i="9"/>
  <c r="AB174" i="9"/>
  <c r="AR174" i="9"/>
  <c r="N174" i="9"/>
  <c r="AC174" i="9"/>
  <c r="AD174" i="9"/>
  <c r="O174" i="9"/>
  <c r="AS174" i="9"/>
  <c r="AE174" i="9"/>
  <c r="AT174" i="9"/>
  <c r="P174" i="9"/>
  <c r="AF174" i="9"/>
  <c r="Q174" i="9"/>
  <c r="AU174" i="9"/>
  <c r="AG174" i="9"/>
  <c r="R174" i="9"/>
  <c r="AV174" i="9"/>
  <c r="H173" i="7"/>
  <c r="W173" i="7"/>
  <c r="AL173" i="7"/>
  <c r="I173" i="7"/>
  <c r="X173" i="7"/>
  <c r="AM173" i="7"/>
  <c r="J173" i="7"/>
  <c r="Y173" i="7"/>
  <c r="AN173" i="7"/>
  <c r="K173" i="7"/>
  <c r="Z173" i="7"/>
  <c r="AO173" i="7"/>
  <c r="L173" i="7"/>
  <c r="AA173" i="7"/>
  <c r="AP173" i="7"/>
  <c r="N173" i="7"/>
  <c r="AC173" i="7"/>
  <c r="AR173" i="7"/>
  <c r="O173" i="7"/>
  <c r="AD173" i="7"/>
  <c r="AS173" i="7"/>
  <c r="P173" i="7"/>
  <c r="AE173" i="7"/>
  <c r="AT173" i="7"/>
  <c r="Q173" i="7"/>
  <c r="AF173" i="7"/>
  <c r="AU173" i="7"/>
  <c r="R173" i="7"/>
  <c r="AG173" i="7"/>
  <c r="AV173" i="7"/>
  <c r="I173" i="8"/>
  <c r="X173" i="8"/>
  <c r="AM173" i="8"/>
  <c r="J173" i="8"/>
  <c r="Y173" i="8"/>
  <c r="AN173" i="8"/>
  <c r="L173" i="8"/>
  <c r="AA173" i="8"/>
  <c r="AP173" i="8"/>
  <c r="N173" i="8"/>
  <c r="AC173" i="8"/>
  <c r="AR173" i="8"/>
  <c r="P173" i="8"/>
  <c r="AE173" i="8"/>
  <c r="AT173" i="8"/>
  <c r="Q173" i="8"/>
  <c r="AF173" i="8"/>
  <c r="AU173" i="8"/>
  <c r="H173" i="8"/>
  <c r="W173" i="8"/>
  <c r="AL173" i="8"/>
  <c r="K173" i="8"/>
  <c r="Z173" i="8"/>
  <c r="AO173" i="8"/>
  <c r="M173" i="8"/>
  <c r="AB173" i="8"/>
  <c r="AQ173" i="8"/>
  <c r="O173" i="8"/>
  <c r="AD173" i="8"/>
  <c r="AS173" i="8"/>
  <c r="R173" i="8"/>
  <c r="AG173" i="8"/>
  <c r="AV173" i="8"/>
  <c r="M173" i="7"/>
  <c r="AB173" i="7"/>
  <c r="AQ173" i="7"/>
  <c r="D161" i="8"/>
  <c r="S161" i="8"/>
  <c r="AH161" i="8"/>
  <c r="E149" i="8"/>
  <c r="T149" i="8"/>
  <c r="AI149" i="8"/>
  <c r="D144" i="9"/>
  <c r="S144" i="9"/>
  <c r="AH144" i="9"/>
  <c r="D121" i="7"/>
  <c r="S121" i="7"/>
  <c r="AH121" i="7"/>
  <c r="G118" i="9"/>
  <c r="V118" i="9"/>
  <c r="AK118" i="9"/>
  <c r="G114" i="10"/>
  <c r="V114" i="10"/>
  <c r="AK114" i="10"/>
  <c r="D99" i="10"/>
  <c r="S99" i="10"/>
  <c r="AH99" i="10"/>
  <c r="E101" i="9"/>
  <c r="T101" i="9"/>
  <c r="AI101" i="9"/>
  <c r="C103" i="8"/>
  <c r="AY103" i="8"/>
  <c r="AX104" i="8"/>
  <c r="AW103" i="8"/>
  <c r="G104" i="8"/>
  <c r="V104" i="8"/>
  <c r="AK104" i="8"/>
  <c r="E93" i="10"/>
  <c r="T93" i="10"/>
  <c r="AI93" i="10"/>
  <c r="C85" i="9"/>
  <c r="AY85" i="9"/>
  <c r="AW85" i="9"/>
  <c r="AX86" i="9"/>
  <c r="F86" i="9"/>
  <c r="U86" i="9"/>
  <c r="AJ86" i="9"/>
  <c r="C75" i="10"/>
  <c r="AY75" i="10"/>
  <c r="AW75" i="10"/>
  <c r="AX76" i="10"/>
  <c r="F76" i="10"/>
  <c r="AJ76" i="10"/>
  <c r="U76" i="10"/>
  <c r="V41" i="7"/>
  <c r="AI41" i="7"/>
  <c r="F42" i="7"/>
  <c r="U118" i="8" l="1"/>
  <c r="AJ118" i="8"/>
  <c r="F118" i="8"/>
  <c r="W175" i="10"/>
  <c r="AL175" i="10"/>
  <c r="H175" i="10"/>
  <c r="I175" i="10"/>
  <c r="X175" i="10"/>
  <c r="AM175" i="10"/>
  <c r="J175" i="10"/>
  <c r="Y175" i="10"/>
  <c r="AN175" i="10"/>
  <c r="K175" i="10"/>
  <c r="Z175" i="10"/>
  <c r="AO175" i="10"/>
  <c r="L175" i="10"/>
  <c r="AA175" i="10"/>
  <c r="AP175" i="10"/>
  <c r="M175" i="10"/>
  <c r="AB175" i="10"/>
  <c r="AQ175" i="10"/>
  <c r="AC175" i="10"/>
  <c r="AR175" i="10"/>
  <c r="N175" i="10"/>
  <c r="O175" i="10"/>
  <c r="AD175" i="10"/>
  <c r="AS175" i="10"/>
  <c r="P175" i="10"/>
  <c r="AE175" i="10"/>
  <c r="AT175" i="10"/>
  <c r="AF175" i="10"/>
  <c r="AU175" i="10"/>
  <c r="Q175" i="10"/>
  <c r="R175" i="10"/>
  <c r="AG175" i="10"/>
  <c r="AV175" i="10"/>
  <c r="W175" i="9"/>
  <c r="AL175" i="9"/>
  <c r="H175" i="9"/>
  <c r="I175" i="9"/>
  <c r="X175" i="9"/>
  <c r="AM175" i="9"/>
  <c r="J175" i="9"/>
  <c r="Y175" i="9"/>
  <c r="AN175" i="9"/>
  <c r="K175" i="9"/>
  <c r="Z175" i="9"/>
  <c r="AO175" i="9"/>
  <c r="AA175" i="9"/>
  <c r="AP175" i="9"/>
  <c r="L175" i="9"/>
  <c r="M175" i="9"/>
  <c r="AB175" i="9"/>
  <c r="AQ175" i="9"/>
  <c r="N175" i="9"/>
  <c r="AC175" i="9"/>
  <c r="AR175" i="9"/>
  <c r="O175" i="9"/>
  <c r="AD175" i="9"/>
  <c r="AS175" i="9"/>
  <c r="P175" i="9"/>
  <c r="AT175" i="9"/>
  <c r="AE175" i="9"/>
  <c r="Q175" i="9"/>
  <c r="AF175" i="9"/>
  <c r="AU175" i="9"/>
  <c r="R175" i="9"/>
  <c r="AG175" i="9"/>
  <c r="AV175" i="9"/>
  <c r="H174" i="7"/>
  <c r="W174" i="7"/>
  <c r="AL174" i="7"/>
  <c r="I174" i="7"/>
  <c r="X174" i="7"/>
  <c r="AM174" i="7"/>
  <c r="J174" i="7"/>
  <c r="Y174" i="7"/>
  <c r="AN174" i="7"/>
  <c r="K174" i="7"/>
  <c r="Z174" i="7"/>
  <c r="AO174" i="7"/>
  <c r="L174" i="7"/>
  <c r="AA174" i="7"/>
  <c r="AP174" i="7"/>
  <c r="N174" i="7"/>
  <c r="AC174" i="7"/>
  <c r="AR174" i="7"/>
  <c r="O174" i="7"/>
  <c r="AD174" i="7"/>
  <c r="AS174" i="7"/>
  <c r="P174" i="7"/>
  <c r="AE174" i="7"/>
  <c r="AT174" i="7"/>
  <c r="Q174" i="7"/>
  <c r="AF174" i="7"/>
  <c r="AU174" i="7"/>
  <c r="R174" i="7"/>
  <c r="AG174" i="7"/>
  <c r="AV174" i="7"/>
  <c r="I174" i="8"/>
  <c r="X174" i="8"/>
  <c r="AM174" i="8"/>
  <c r="J174" i="8"/>
  <c r="Y174" i="8"/>
  <c r="AN174" i="8"/>
  <c r="L174" i="8"/>
  <c r="AA174" i="8"/>
  <c r="AP174" i="8"/>
  <c r="N174" i="8"/>
  <c r="AC174" i="8"/>
  <c r="AR174" i="8"/>
  <c r="P174" i="8"/>
  <c r="AE174" i="8"/>
  <c r="AT174" i="8"/>
  <c r="Q174" i="8"/>
  <c r="AF174" i="8"/>
  <c r="AU174" i="8"/>
  <c r="H174" i="8"/>
  <c r="W174" i="8"/>
  <c r="AL174" i="8"/>
  <c r="K174" i="8"/>
  <c r="Z174" i="8"/>
  <c r="AO174" i="8"/>
  <c r="M174" i="8"/>
  <c r="AB174" i="8"/>
  <c r="AQ174" i="8"/>
  <c r="O174" i="8"/>
  <c r="AD174" i="8"/>
  <c r="AS174" i="8"/>
  <c r="R174" i="8"/>
  <c r="AG174" i="8"/>
  <c r="AV174" i="8"/>
  <c r="M174" i="7"/>
  <c r="AB174" i="7"/>
  <c r="AQ174" i="7"/>
  <c r="D162" i="8"/>
  <c r="S162" i="8"/>
  <c r="AH162" i="8"/>
  <c r="E150" i="8"/>
  <c r="T150" i="8"/>
  <c r="AI150" i="8"/>
  <c r="D145" i="9"/>
  <c r="S145" i="9"/>
  <c r="AH145" i="9"/>
  <c r="D122" i="7"/>
  <c r="S122" i="7"/>
  <c r="AH122" i="7"/>
  <c r="G119" i="9"/>
  <c r="V119" i="9"/>
  <c r="AK119" i="9"/>
  <c r="G115" i="10"/>
  <c r="V115" i="10"/>
  <c r="AK115" i="10"/>
  <c r="D100" i="10"/>
  <c r="S100" i="10"/>
  <c r="AH100" i="10"/>
  <c r="E102" i="9"/>
  <c r="T102" i="9"/>
  <c r="AI102" i="9"/>
  <c r="AY104" i="8"/>
  <c r="C104" i="8"/>
  <c r="AX105" i="8"/>
  <c r="AW104" i="8"/>
  <c r="G105" i="8"/>
  <c r="V105" i="8"/>
  <c r="AK105" i="8"/>
  <c r="E94" i="10"/>
  <c r="T94" i="10"/>
  <c r="AI94" i="10"/>
  <c r="C86" i="9"/>
  <c r="AY86" i="9"/>
  <c r="AX87" i="9"/>
  <c r="AW86" i="9"/>
  <c r="F87" i="9"/>
  <c r="U87" i="9"/>
  <c r="AJ87" i="9"/>
  <c r="C76" i="10"/>
  <c r="AY76" i="10"/>
  <c r="AX77" i="10"/>
  <c r="AW76" i="10"/>
  <c r="AJ77" i="10"/>
  <c r="F77" i="10"/>
  <c r="U77" i="10"/>
  <c r="E42" i="7"/>
  <c r="AK41" i="7"/>
  <c r="AY41" i="7"/>
  <c r="F119" i="8" l="1"/>
  <c r="AJ119" i="8"/>
  <c r="U119" i="8"/>
  <c r="AX42" i="7"/>
  <c r="AW41" i="7"/>
  <c r="H176" i="10"/>
  <c r="W176" i="10"/>
  <c r="AL176" i="10"/>
  <c r="X176" i="10"/>
  <c r="AM176" i="10"/>
  <c r="I176" i="10"/>
  <c r="Y176" i="10"/>
  <c r="AN176" i="10"/>
  <c r="J176" i="10"/>
  <c r="K176" i="10"/>
  <c r="Z176" i="10"/>
  <c r="AO176" i="10"/>
  <c r="L176" i="10"/>
  <c r="AP176" i="10"/>
  <c r="AA176" i="10"/>
  <c r="AB176" i="10"/>
  <c r="M176" i="10"/>
  <c r="AQ176" i="10"/>
  <c r="N176" i="10"/>
  <c r="AC176" i="10"/>
  <c r="AR176" i="10"/>
  <c r="AS176" i="10"/>
  <c r="O176" i="10"/>
  <c r="AD176" i="10"/>
  <c r="AT176" i="10"/>
  <c r="P176" i="10"/>
  <c r="AE176" i="10"/>
  <c r="Q176" i="10"/>
  <c r="AF176" i="10"/>
  <c r="AU176" i="10"/>
  <c r="AG176" i="10"/>
  <c r="R176" i="10"/>
  <c r="AV176" i="10"/>
  <c r="W176" i="9"/>
  <c r="H176" i="9"/>
  <c r="AL176" i="9"/>
  <c r="X176" i="9"/>
  <c r="I176" i="9"/>
  <c r="AM176" i="9"/>
  <c r="J176" i="9"/>
  <c r="Y176" i="9"/>
  <c r="AN176" i="9"/>
  <c r="K176" i="9"/>
  <c r="Z176" i="9"/>
  <c r="AO176" i="9"/>
  <c r="L176" i="9"/>
  <c r="AA176" i="9"/>
  <c r="AP176" i="9"/>
  <c r="M176" i="9"/>
  <c r="AB176" i="9"/>
  <c r="AQ176" i="9"/>
  <c r="N176" i="9"/>
  <c r="AC176" i="9"/>
  <c r="AR176" i="9"/>
  <c r="AD176" i="9"/>
  <c r="O176" i="9"/>
  <c r="AS176" i="9"/>
  <c r="P176" i="9"/>
  <c r="AE176" i="9"/>
  <c r="AT176" i="9"/>
  <c r="AF176" i="9"/>
  <c r="AU176" i="9"/>
  <c r="Q176" i="9"/>
  <c r="R176" i="9"/>
  <c r="AG176" i="9"/>
  <c r="AV176" i="9"/>
  <c r="H175" i="7"/>
  <c r="W175" i="7"/>
  <c r="AL175" i="7"/>
  <c r="I175" i="7"/>
  <c r="X175" i="7"/>
  <c r="AM175" i="7"/>
  <c r="J175" i="7"/>
  <c r="Y175" i="7"/>
  <c r="AN175" i="7"/>
  <c r="K175" i="7"/>
  <c r="Z175" i="7"/>
  <c r="AO175" i="7"/>
  <c r="L175" i="7"/>
  <c r="AA175" i="7"/>
  <c r="AP175" i="7"/>
  <c r="N175" i="7"/>
  <c r="AC175" i="7"/>
  <c r="AR175" i="7"/>
  <c r="O175" i="7"/>
  <c r="AD175" i="7"/>
  <c r="AS175" i="7"/>
  <c r="P175" i="7"/>
  <c r="AE175" i="7"/>
  <c r="AT175" i="7"/>
  <c r="Q175" i="7"/>
  <c r="AF175" i="7"/>
  <c r="AU175" i="7"/>
  <c r="R175" i="7"/>
  <c r="AG175" i="7"/>
  <c r="AV175" i="7"/>
  <c r="I175" i="8"/>
  <c r="X175" i="8"/>
  <c r="AM175" i="8"/>
  <c r="J175" i="8"/>
  <c r="Y175" i="8"/>
  <c r="AN175" i="8"/>
  <c r="L175" i="8"/>
  <c r="AA175" i="8"/>
  <c r="AP175" i="8"/>
  <c r="N175" i="8"/>
  <c r="AC175" i="8"/>
  <c r="AR175" i="8"/>
  <c r="P175" i="8"/>
  <c r="AE175" i="8"/>
  <c r="AT175" i="8"/>
  <c r="Q175" i="8"/>
  <c r="AF175" i="8"/>
  <c r="AU175" i="8"/>
  <c r="H175" i="8"/>
  <c r="W175" i="8"/>
  <c r="AL175" i="8"/>
  <c r="K175" i="8"/>
  <c r="Z175" i="8"/>
  <c r="AO175" i="8"/>
  <c r="M175" i="8"/>
  <c r="AB175" i="8"/>
  <c r="AQ175" i="8"/>
  <c r="O175" i="8"/>
  <c r="AD175" i="8"/>
  <c r="AS175" i="8"/>
  <c r="R175" i="8"/>
  <c r="AG175" i="8"/>
  <c r="AV175" i="8"/>
  <c r="M175" i="7"/>
  <c r="AB175" i="7"/>
  <c r="AQ175" i="7"/>
  <c r="D163" i="8"/>
  <c r="S163" i="8"/>
  <c r="AH163" i="8"/>
  <c r="E151" i="8"/>
  <c r="T151" i="8"/>
  <c r="AI151" i="8"/>
  <c r="D146" i="9"/>
  <c r="S146" i="9"/>
  <c r="AH146" i="9"/>
  <c r="D123" i="7"/>
  <c r="S123" i="7"/>
  <c r="AH123" i="7"/>
  <c r="G120" i="9"/>
  <c r="V120" i="9"/>
  <c r="AK120" i="9"/>
  <c r="G116" i="10"/>
  <c r="V116" i="10"/>
  <c r="AK116" i="10"/>
  <c r="D101" i="10"/>
  <c r="S101" i="10"/>
  <c r="AH101" i="10"/>
  <c r="E103" i="9"/>
  <c r="T103" i="9"/>
  <c r="AI103" i="9"/>
  <c r="AY105" i="8"/>
  <c r="C105" i="8"/>
  <c r="AX106" i="8"/>
  <c r="AW105" i="8"/>
  <c r="W38" i="2" s="1"/>
  <c r="G106" i="8"/>
  <c r="V106" i="8"/>
  <c r="AK106" i="8"/>
  <c r="E95" i="10"/>
  <c r="T95" i="10"/>
  <c r="AI95" i="10"/>
  <c r="AY87" i="9"/>
  <c r="C87" i="9"/>
  <c r="AX88" i="9"/>
  <c r="AW87" i="9"/>
  <c r="F88" i="9"/>
  <c r="U88" i="9"/>
  <c r="AJ88" i="9"/>
  <c r="AX78" i="10"/>
  <c r="AW77" i="10"/>
  <c r="U78" i="10"/>
  <c r="F78" i="10"/>
  <c r="AJ78" i="10"/>
  <c r="AY77" i="10"/>
  <c r="C77" i="10"/>
  <c r="G42" i="7"/>
  <c r="U120" i="8" l="1"/>
  <c r="AJ120" i="8"/>
  <c r="F120" i="8"/>
  <c r="H177" i="10"/>
  <c r="AL177" i="10"/>
  <c r="W177" i="10"/>
  <c r="X177" i="10"/>
  <c r="I177" i="10"/>
  <c r="AM177" i="10"/>
  <c r="J177" i="10"/>
  <c r="Y177" i="10"/>
  <c r="AN177" i="10"/>
  <c r="K177" i="10"/>
  <c r="Z177" i="10"/>
  <c r="AO177" i="10"/>
  <c r="L177" i="10"/>
  <c r="AA177" i="10"/>
  <c r="AP177" i="10"/>
  <c r="AB177" i="10"/>
  <c r="M177" i="10"/>
  <c r="AQ177" i="10"/>
  <c r="N177" i="10"/>
  <c r="AC177" i="10"/>
  <c r="AR177" i="10"/>
  <c r="O177" i="10"/>
  <c r="AD177" i="10"/>
  <c r="AS177" i="10"/>
  <c r="P177" i="10"/>
  <c r="AE177" i="10"/>
  <c r="AT177" i="10"/>
  <c r="Q177" i="10"/>
  <c r="AF177" i="10"/>
  <c r="AU177" i="10"/>
  <c r="R177" i="10"/>
  <c r="AG177" i="10"/>
  <c r="AV177" i="10"/>
  <c r="H177" i="9"/>
  <c r="AL177" i="9"/>
  <c r="W177" i="9"/>
  <c r="I177" i="9"/>
  <c r="AM177" i="9"/>
  <c r="X177" i="9"/>
  <c r="J177" i="9"/>
  <c r="Y177" i="9"/>
  <c r="AN177" i="9"/>
  <c r="K177" i="9"/>
  <c r="AO177" i="9"/>
  <c r="Z177" i="9"/>
  <c r="AP177" i="9"/>
  <c r="L177" i="9"/>
  <c r="AA177" i="9"/>
  <c r="AQ177" i="9"/>
  <c r="M177" i="9"/>
  <c r="AB177" i="9"/>
  <c r="N177" i="9"/>
  <c r="AR177" i="9"/>
  <c r="AC177" i="9"/>
  <c r="O177" i="9"/>
  <c r="AS177" i="9"/>
  <c r="AD177" i="9"/>
  <c r="AE177" i="9"/>
  <c r="P177" i="9"/>
  <c r="AT177" i="9"/>
  <c r="Q177" i="9"/>
  <c r="AU177" i="9"/>
  <c r="AF177" i="9"/>
  <c r="R177" i="9"/>
  <c r="AG177" i="9"/>
  <c r="AV177" i="9"/>
  <c r="H176" i="7"/>
  <c r="W176" i="7"/>
  <c r="AL176" i="7"/>
  <c r="I176" i="7"/>
  <c r="X176" i="7"/>
  <c r="AM176" i="7"/>
  <c r="J176" i="7"/>
  <c r="Y176" i="7"/>
  <c r="AN176" i="7"/>
  <c r="K176" i="7"/>
  <c r="Z176" i="7"/>
  <c r="AO176" i="7"/>
  <c r="L176" i="7"/>
  <c r="AA176" i="7"/>
  <c r="AP176" i="7"/>
  <c r="N176" i="7"/>
  <c r="AC176" i="7"/>
  <c r="AR176" i="7"/>
  <c r="O176" i="7"/>
  <c r="AD176" i="7"/>
  <c r="AS176" i="7"/>
  <c r="P176" i="7"/>
  <c r="AE176" i="7"/>
  <c r="AT176" i="7"/>
  <c r="Q176" i="7"/>
  <c r="AF176" i="7"/>
  <c r="AU176" i="7"/>
  <c r="R176" i="7"/>
  <c r="AG176" i="7"/>
  <c r="AV176" i="7"/>
  <c r="I176" i="8"/>
  <c r="X176" i="8"/>
  <c r="AM176" i="8"/>
  <c r="J176" i="8"/>
  <c r="Y176" i="8"/>
  <c r="AN176" i="8"/>
  <c r="L176" i="8"/>
  <c r="AA176" i="8"/>
  <c r="AP176" i="8"/>
  <c r="N176" i="8"/>
  <c r="AC176" i="8"/>
  <c r="AR176" i="8"/>
  <c r="P176" i="8"/>
  <c r="AE176" i="8"/>
  <c r="AT176" i="8"/>
  <c r="Q176" i="8"/>
  <c r="AF176" i="8"/>
  <c r="AU176" i="8"/>
  <c r="H176" i="8"/>
  <c r="W176" i="8"/>
  <c r="AL176" i="8"/>
  <c r="K176" i="8"/>
  <c r="Z176" i="8"/>
  <c r="AO176" i="8"/>
  <c r="M176" i="8"/>
  <c r="AB176" i="8"/>
  <c r="AQ176" i="8"/>
  <c r="O176" i="8"/>
  <c r="AD176" i="8"/>
  <c r="AS176" i="8"/>
  <c r="R176" i="8"/>
  <c r="AG176" i="8"/>
  <c r="AV176" i="8"/>
  <c r="M176" i="7"/>
  <c r="AB176" i="7"/>
  <c r="AQ176" i="7"/>
  <c r="D164" i="8"/>
  <c r="S164" i="8"/>
  <c r="AH164" i="8"/>
  <c r="E152" i="8"/>
  <c r="T152" i="8"/>
  <c r="AI152" i="8"/>
  <c r="D147" i="9"/>
  <c r="S147" i="9"/>
  <c r="AH147" i="9"/>
  <c r="D124" i="7"/>
  <c r="S124" i="7"/>
  <c r="AH124" i="7"/>
  <c r="G121" i="9"/>
  <c r="V121" i="9"/>
  <c r="AK121" i="9"/>
  <c r="G117" i="10"/>
  <c r="V117" i="10"/>
  <c r="AK117" i="10"/>
  <c r="D102" i="10"/>
  <c r="S102" i="10"/>
  <c r="AH102" i="10"/>
  <c r="E104" i="9"/>
  <c r="T104" i="9"/>
  <c r="AI104" i="9"/>
  <c r="AY106" i="8"/>
  <c r="C106" i="8"/>
  <c r="AX107" i="8"/>
  <c r="AW106" i="8"/>
  <c r="G107" i="8"/>
  <c r="V107" i="8"/>
  <c r="AK107" i="8"/>
  <c r="E96" i="10"/>
  <c r="T96" i="10"/>
  <c r="AI96" i="10"/>
  <c r="C88" i="9"/>
  <c r="AY88" i="9"/>
  <c r="AX89" i="9"/>
  <c r="AW88" i="9"/>
  <c r="F89" i="9"/>
  <c r="U89" i="9"/>
  <c r="AJ89" i="9"/>
  <c r="AY78" i="10"/>
  <c r="C78" i="10"/>
  <c r="AX79" i="10"/>
  <c r="AW78" i="10"/>
  <c r="U79" i="10"/>
  <c r="AJ79" i="10"/>
  <c r="F79" i="10"/>
  <c r="C42" i="7"/>
  <c r="AJ121" i="8" l="1"/>
  <c r="U121" i="8"/>
  <c r="F121" i="8"/>
  <c r="H178" i="10"/>
  <c r="W178" i="10"/>
  <c r="AL178" i="10"/>
  <c r="I178" i="10"/>
  <c r="X178" i="10"/>
  <c r="AM178" i="10"/>
  <c r="J178" i="10"/>
  <c r="Y178" i="10"/>
  <c r="AN178" i="10"/>
  <c r="K178" i="10"/>
  <c r="Z178" i="10"/>
  <c r="AO178" i="10"/>
  <c r="AA178" i="10"/>
  <c r="L178" i="10"/>
  <c r="AP178" i="10"/>
  <c r="AB178" i="10"/>
  <c r="AQ178" i="10"/>
  <c r="M178" i="10"/>
  <c r="AR178" i="10"/>
  <c r="N178" i="10"/>
  <c r="AC178" i="10"/>
  <c r="O178" i="10"/>
  <c r="AS178" i="10"/>
  <c r="AD178" i="10"/>
  <c r="AT178" i="10"/>
  <c r="P178" i="10"/>
  <c r="AE178" i="10"/>
  <c r="AU178" i="10"/>
  <c r="Q178" i="10"/>
  <c r="AF178" i="10"/>
  <c r="AV178" i="10"/>
  <c r="R178" i="10"/>
  <c r="AG178" i="10"/>
  <c r="H178" i="9"/>
  <c r="AL178" i="9"/>
  <c r="W178" i="9"/>
  <c r="I178" i="9"/>
  <c r="X178" i="9"/>
  <c r="AM178" i="9"/>
  <c r="AN178" i="9"/>
  <c r="J178" i="9"/>
  <c r="Y178" i="9"/>
  <c r="K178" i="9"/>
  <c r="AO178" i="9"/>
  <c r="Z178" i="9"/>
  <c r="L178" i="9"/>
  <c r="AA178" i="9"/>
  <c r="AP178" i="9"/>
  <c r="AQ178" i="9"/>
  <c r="M178" i="9"/>
  <c r="AB178" i="9"/>
  <c r="AC178" i="9"/>
  <c r="AR178" i="9"/>
  <c r="N178" i="9"/>
  <c r="AD178" i="9"/>
  <c r="AS178" i="9"/>
  <c r="O178" i="9"/>
  <c r="P178" i="9"/>
  <c r="AE178" i="9"/>
  <c r="AT178" i="9"/>
  <c r="Q178" i="9"/>
  <c r="AF178" i="9"/>
  <c r="AU178" i="9"/>
  <c r="AV178" i="9"/>
  <c r="R178" i="9"/>
  <c r="AG178" i="9"/>
  <c r="H177" i="7"/>
  <c r="W177" i="7"/>
  <c r="AL177" i="7"/>
  <c r="I177" i="7"/>
  <c r="X177" i="7"/>
  <c r="AM177" i="7"/>
  <c r="J177" i="7"/>
  <c r="Y177" i="7"/>
  <c r="AN177" i="7"/>
  <c r="K177" i="7"/>
  <c r="Z177" i="7"/>
  <c r="AO177" i="7"/>
  <c r="L177" i="7"/>
  <c r="AA177" i="7"/>
  <c r="AP177" i="7"/>
  <c r="N177" i="7"/>
  <c r="AC177" i="7"/>
  <c r="AR177" i="7"/>
  <c r="O177" i="7"/>
  <c r="AD177" i="7"/>
  <c r="AS177" i="7"/>
  <c r="P177" i="7"/>
  <c r="AE177" i="7"/>
  <c r="AT177" i="7"/>
  <c r="Q177" i="7"/>
  <c r="AF177" i="7"/>
  <c r="AU177" i="7"/>
  <c r="R177" i="7"/>
  <c r="AG177" i="7"/>
  <c r="AV177" i="7"/>
  <c r="I177" i="8"/>
  <c r="X177" i="8"/>
  <c r="AM177" i="8"/>
  <c r="J177" i="8"/>
  <c r="Y177" i="8"/>
  <c r="AN177" i="8"/>
  <c r="L177" i="8"/>
  <c r="AA177" i="8"/>
  <c r="AP177" i="8"/>
  <c r="N177" i="8"/>
  <c r="AC177" i="8"/>
  <c r="AR177" i="8"/>
  <c r="P177" i="8"/>
  <c r="AE177" i="8"/>
  <c r="AT177" i="8"/>
  <c r="Q177" i="8"/>
  <c r="AF177" i="8"/>
  <c r="AU177" i="8"/>
  <c r="H177" i="8"/>
  <c r="W177" i="8"/>
  <c r="AL177" i="8"/>
  <c r="K177" i="8"/>
  <c r="Z177" i="8"/>
  <c r="AO177" i="8"/>
  <c r="M177" i="8"/>
  <c r="AB177" i="8"/>
  <c r="AQ177" i="8"/>
  <c r="O177" i="8"/>
  <c r="AD177" i="8"/>
  <c r="AS177" i="8"/>
  <c r="R177" i="8"/>
  <c r="AG177" i="8"/>
  <c r="AV177" i="8"/>
  <c r="M177" i="7"/>
  <c r="AB177" i="7"/>
  <c r="AQ177" i="7"/>
  <c r="D165" i="8"/>
  <c r="S165" i="8"/>
  <c r="AH165" i="8"/>
  <c r="E153" i="8"/>
  <c r="T153" i="8"/>
  <c r="AI153" i="8"/>
  <c r="D148" i="9"/>
  <c r="S148" i="9"/>
  <c r="AH148" i="9"/>
  <c r="D125" i="7"/>
  <c r="S125" i="7"/>
  <c r="AH125" i="7"/>
  <c r="G122" i="9"/>
  <c r="V122" i="9"/>
  <c r="AK122" i="9"/>
  <c r="G118" i="10"/>
  <c r="V118" i="10"/>
  <c r="AK118" i="10"/>
  <c r="D103" i="10"/>
  <c r="S103" i="10"/>
  <c r="AH103" i="10"/>
  <c r="E105" i="9"/>
  <c r="T105" i="9"/>
  <c r="AI105" i="9"/>
  <c r="C107" i="8"/>
  <c r="AY107" i="8"/>
  <c r="AW107" i="8"/>
  <c r="AX108" i="8"/>
  <c r="G108" i="8"/>
  <c r="V108" i="8"/>
  <c r="AK108" i="8"/>
  <c r="E97" i="10"/>
  <c r="T97" i="10"/>
  <c r="AI97" i="10"/>
  <c r="AY89" i="9"/>
  <c r="C89" i="9"/>
  <c r="AX90" i="9"/>
  <c r="AW89" i="9"/>
  <c r="F90" i="9"/>
  <c r="U90" i="9"/>
  <c r="AJ90" i="9"/>
  <c r="AW79" i="10"/>
  <c r="AX80" i="10"/>
  <c r="U80" i="10"/>
  <c r="AJ80" i="10"/>
  <c r="F80" i="10"/>
  <c r="C79" i="10"/>
  <c r="AY79" i="10"/>
  <c r="T42" i="7"/>
  <c r="U42" i="7" s="1"/>
  <c r="AJ42" i="7" s="1"/>
  <c r="AJ122" i="8" l="1"/>
  <c r="U122" i="8"/>
  <c r="F122" i="8"/>
  <c r="H179" i="10"/>
  <c r="W179" i="10"/>
  <c r="AL179" i="10"/>
  <c r="I179" i="10"/>
  <c r="X179" i="10"/>
  <c r="AM179" i="10"/>
  <c r="J179" i="10"/>
  <c r="Y179" i="10"/>
  <c r="AN179" i="10"/>
  <c r="K179" i="10"/>
  <c r="Z179" i="10"/>
  <c r="AO179" i="10"/>
  <c r="AA179" i="10"/>
  <c r="AP179" i="10"/>
  <c r="L179" i="10"/>
  <c r="AB179" i="10"/>
  <c r="M179" i="10"/>
  <c r="AQ179" i="10"/>
  <c r="N179" i="10"/>
  <c r="AC179" i="10"/>
  <c r="AR179" i="10"/>
  <c r="O179" i="10"/>
  <c r="AD179" i="10"/>
  <c r="AS179" i="10"/>
  <c r="P179" i="10"/>
  <c r="AE179" i="10"/>
  <c r="AT179" i="10"/>
  <c r="Q179" i="10"/>
  <c r="AF179" i="10"/>
  <c r="AU179" i="10"/>
  <c r="R179" i="10"/>
  <c r="AG179" i="10"/>
  <c r="AV179" i="10"/>
  <c r="H179" i="9"/>
  <c r="W179" i="9"/>
  <c r="AL179" i="9"/>
  <c r="I179" i="9"/>
  <c r="X179" i="9"/>
  <c r="AM179" i="9"/>
  <c r="J179" i="9"/>
  <c r="Y179" i="9"/>
  <c r="AN179" i="9"/>
  <c r="K179" i="9"/>
  <c r="Z179" i="9"/>
  <c r="AO179" i="9"/>
  <c r="AA179" i="9"/>
  <c r="L179" i="9"/>
  <c r="AP179" i="9"/>
  <c r="M179" i="9"/>
  <c r="AB179" i="9"/>
  <c r="AQ179" i="9"/>
  <c r="N179" i="9"/>
  <c r="AC179" i="9"/>
  <c r="AR179" i="9"/>
  <c r="AD179" i="9"/>
  <c r="AS179" i="9"/>
  <c r="O179" i="9"/>
  <c r="AT179" i="9"/>
  <c r="P179" i="9"/>
  <c r="AE179" i="9"/>
  <c r="Q179" i="9"/>
  <c r="AF179" i="9"/>
  <c r="AU179" i="9"/>
  <c r="AG179" i="9"/>
  <c r="AV179" i="9"/>
  <c r="R179" i="9"/>
  <c r="H178" i="7"/>
  <c r="W178" i="7"/>
  <c r="AL178" i="7"/>
  <c r="I178" i="7"/>
  <c r="X178" i="7"/>
  <c r="AM178" i="7"/>
  <c r="J178" i="7"/>
  <c r="Y178" i="7"/>
  <c r="AN178" i="7"/>
  <c r="K178" i="7"/>
  <c r="Z178" i="7"/>
  <c r="AO178" i="7"/>
  <c r="L178" i="7"/>
  <c r="AA178" i="7"/>
  <c r="AP178" i="7"/>
  <c r="N178" i="7"/>
  <c r="AC178" i="7"/>
  <c r="AR178" i="7"/>
  <c r="O178" i="7"/>
  <c r="AD178" i="7"/>
  <c r="AS178" i="7"/>
  <c r="P178" i="7"/>
  <c r="AE178" i="7"/>
  <c r="AT178" i="7"/>
  <c r="Q178" i="7"/>
  <c r="AF178" i="7"/>
  <c r="AU178" i="7"/>
  <c r="R178" i="7"/>
  <c r="AG178" i="7"/>
  <c r="AV178" i="7"/>
  <c r="I178" i="8"/>
  <c r="X178" i="8"/>
  <c r="AM178" i="8"/>
  <c r="J178" i="8"/>
  <c r="Y178" i="8"/>
  <c r="AN178" i="8"/>
  <c r="L178" i="8"/>
  <c r="AA178" i="8"/>
  <c r="AP178" i="8"/>
  <c r="N178" i="8"/>
  <c r="AC178" i="8"/>
  <c r="AR178" i="8"/>
  <c r="P178" i="8"/>
  <c r="AE178" i="8"/>
  <c r="AT178" i="8"/>
  <c r="Q178" i="8"/>
  <c r="AF178" i="8"/>
  <c r="AU178" i="8"/>
  <c r="H178" i="8"/>
  <c r="W178" i="8"/>
  <c r="AL178" i="8"/>
  <c r="K178" i="8"/>
  <c r="Z178" i="8"/>
  <c r="AO178" i="8"/>
  <c r="M178" i="8"/>
  <c r="AB178" i="8"/>
  <c r="AQ178" i="8"/>
  <c r="O178" i="8"/>
  <c r="AD178" i="8"/>
  <c r="AS178" i="8"/>
  <c r="R178" i="8"/>
  <c r="AG178" i="8"/>
  <c r="AV178" i="8"/>
  <c r="M178" i="7"/>
  <c r="AB178" i="7"/>
  <c r="AQ178" i="7"/>
  <c r="D166" i="8"/>
  <c r="S166" i="8"/>
  <c r="AH166" i="8"/>
  <c r="E154" i="8"/>
  <c r="T154" i="8"/>
  <c r="AI154" i="8"/>
  <c r="D149" i="9"/>
  <c r="S149" i="9"/>
  <c r="AH149" i="9"/>
  <c r="D126" i="7"/>
  <c r="S126" i="7"/>
  <c r="AH126" i="7"/>
  <c r="G123" i="9"/>
  <c r="V123" i="9"/>
  <c r="AK123" i="9"/>
  <c r="G119" i="10"/>
  <c r="V119" i="10"/>
  <c r="AK119" i="10"/>
  <c r="D104" i="10"/>
  <c r="S104" i="10"/>
  <c r="AH104" i="10"/>
  <c r="E106" i="9"/>
  <c r="T106" i="9"/>
  <c r="AI106" i="9"/>
  <c r="AY108" i="8"/>
  <c r="C108" i="8"/>
  <c r="AW108" i="8"/>
  <c r="W39" i="2" s="1"/>
  <c r="AX109" i="8"/>
  <c r="G109" i="8"/>
  <c r="V109" i="8"/>
  <c r="AK109" i="8"/>
  <c r="E98" i="10"/>
  <c r="T98" i="10"/>
  <c r="AI98" i="10"/>
  <c r="C90" i="9"/>
  <c r="AY90" i="9"/>
  <c r="AW90" i="9"/>
  <c r="AX91" i="9"/>
  <c r="F91" i="9"/>
  <c r="U91" i="9"/>
  <c r="AJ91" i="9"/>
  <c r="AW80" i="10"/>
  <c r="AX81" i="10"/>
  <c r="F81" i="10"/>
  <c r="U81" i="10"/>
  <c r="AJ81" i="10"/>
  <c r="AY80" i="10"/>
  <c r="C80" i="10"/>
  <c r="V42" i="7"/>
  <c r="AI42" i="7"/>
  <c r="F43" i="7"/>
  <c r="F123" i="8" l="1"/>
  <c r="U123" i="8"/>
  <c r="AJ123" i="8"/>
  <c r="AK42" i="7"/>
  <c r="AY42" i="7"/>
  <c r="H180" i="10"/>
  <c r="W180" i="10"/>
  <c r="AL180" i="10"/>
  <c r="I180" i="10"/>
  <c r="X180" i="10"/>
  <c r="AM180" i="10"/>
  <c r="J180" i="10"/>
  <c r="Y180" i="10"/>
  <c r="AN180" i="10"/>
  <c r="K180" i="10"/>
  <c r="Z180" i="10"/>
  <c r="AO180" i="10"/>
  <c r="L180" i="10"/>
  <c r="AP180" i="10"/>
  <c r="AA180" i="10"/>
  <c r="AB180" i="10"/>
  <c r="M180" i="10"/>
  <c r="AQ180" i="10"/>
  <c r="N180" i="10"/>
  <c r="AC180" i="10"/>
  <c r="AR180" i="10"/>
  <c r="O180" i="10"/>
  <c r="AD180" i="10"/>
  <c r="AS180" i="10"/>
  <c r="P180" i="10"/>
  <c r="AE180" i="10"/>
  <c r="AT180" i="10"/>
  <c r="Q180" i="10"/>
  <c r="AU180" i="10"/>
  <c r="AF180" i="10"/>
  <c r="R180" i="10"/>
  <c r="AG180" i="10"/>
  <c r="AV180" i="10"/>
  <c r="H180" i="9"/>
  <c r="W180" i="9"/>
  <c r="AL180" i="9"/>
  <c r="X180" i="9"/>
  <c r="I180" i="9"/>
  <c r="AM180" i="9"/>
  <c r="J180" i="9"/>
  <c r="Y180" i="9"/>
  <c r="AN180" i="9"/>
  <c r="Z180" i="9"/>
  <c r="AO180" i="9"/>
  <c r="K180" i="9"/>
  <c r="AP180" i="9"/>
  <c r="L180" i="9"/>
  <c r="AA180" i="9"/>
  <c r="M180" i="9"/>
  <c r="AQ180" i="9"/>
  <c r="AB180" i="9"/>
  <c r="N180" i="9"/>
  <c r="AC180" i="9"/>
  <c r="AR180" i="9"/>
  <c r="O180" i="9"/>
  <c r="AD180" i="9"/>
  <c r="AS180" i="9"/>
  <c r="AE180" i="9"/>
  <c r="AT180" i="9"/>
  <c r="P180" i="9"/>
  <c r="AU180" i="9"/>
  <c r="Q180" i="9"/>
  <c r="AF180" i="9"/>
  <c r="R180" i="9"/>
  <c r="AG180" i="9"/>
  <c r="AV180" i="9"/>
  <c r="H179" i="7"/>
  <c r="W179" i="7"/>
  <c r="AL179" i="7"/>
  <c r="I179" i="7"/>
  <c r="X179" i="7"/>
  <c r="AM179" i="7"/>
  <c r="J179" i="7"/>
  <c r="Y179" i="7"/>
  <c r="AN179" i="7"/>
  <c r="K179" i="7"/>
  <c r="Z179" i="7"/>
  <c r="AO179" i="7"/>
  <c r="L179" i="7"/>
  <c r="AA179" i="7"/>
  <c r="AP179" i="7"/>
  <c r="N179" i="7"/>
  <c r="AC179" i="7"/>
  <c r="AR179" i="7"/>
  <c r="O179" i="7"/>
  <c r="AD179" i="7"/>
  <c r="AS179" i="7"/>
  <c r="P179" i="7"/>
  <c r="AE179" i="7"/>
  <c r="AT179" i="7"/>
  <c r="Q179" i="7"/>
  <c r="AF179" i="7"/>
  <c r="AU179" i="7"/>
  <c r="R179" i="7"/>
  <c r="AG179" i="7"/>
  <c r="AV179" i="7"/>
  <c r="I179" i="8"/>
  <c r="X179" i="8"/>
  <c r="AM179" i="8"/>
  <c r="J179" i="8"/>
  <c r="Y179" i="8"/>
  <c r="AN179" i="8"/>
  <c r="L179" i="8"/>
  <c r="AA179" i="8"/>
  <c r="AP179" i="8"/>
  <c r="N179" i="8"/>
  <c r="AC179" i="8"/>
  <c r="AR179" i="8"/>
  <c r="P179" i="8"/>
  <c r="AE179" i="8"/>
  <c r="AT179" i="8"/>
  <c r="Q179" i="8"/>
  <c r="AF179" i="8"/>
  <c r="AU179" i="8"/>
  <c r="H179" i="8"/>
  <c r="W179" i="8"/>
  <c r="AL179" i="8"/>
  <c r="K179" i="8"/>
  <c r="Z179" i="8"/>
  <c r="AO179" i="8"/>
  <c r="M179" i="8"/>
  <c r="AB179" i="8"/>
  <c r="AQ179" i="8"/>
  <c r="O179" i="8"/>
  <c r="AD179" i="8"/>
  <c r="AS179" i="8"/>
  <c r="R179" i="8"/>
  <c r="AG179" i="8"/>
  <c r="AV179" i="8"/>
  <c r="M179" i="7"/>
  <c r="AB179" i="7"/>
  <c r="AQ179" i="7"/>
  <c r="D167" i="8"/>
  <c r="S167" i="8"/>
  <c r="AH167" i="8"/>
  <c r="E155" i="8"/>
  <c r="T155" i="8"/>
  <c r="AI155" i="8"/>
  <c r="D150" i="9"/>
  <c r="S150" i="9"/>
  <c r="AH150" i="9"/>
  <c r="D127" i="7"/>
  <c r="S127" i="7"/>
  <c r="AH127" i="7"/>
  <c r="G124" i="9"/>
  <c r="V124" i="9"/>
  <c r="AK124" i="9"/>
  <c r="G120" i="10"/>
  <c r="V120" i="10"/>
  <c r="AK120" i="10"/>
  <c r="D105" i="10"/>
  <c r="S105" i="10"/>
  <c r="AH105" i="10"/>
  <c r="E107" i="9"/>
  <c r="T107" i="9"/>
  <c r="AI107" i="9"/>
  <c r="AY109" i="8"/>
  <c r="C109" i="8"/>
  <c r="AX110" i="8"/>
  <c r="AW109" i="8"/>
  <c r="G110" i="8"/>
  <c r="V110" i="8"/>
  <c r="AK110" i="8"/>
  <c r="E99" i="10"/>
  <c r="T99" i="10"/>
  <c r="AI99" i="10"/>
  <c r="C91" i="9"/>
  <c r="AY91" i="9"/>
  <c r="AX92" i="9"/>
  <c r="AW91" i="9"/>
  <c r="F92" i="9"/>
  <c r="U92" i="9"/>
  <c r="AJ92" i="9"/>
  <c r="C81" i="10"/>
  <c r="AY81" i="10"/>
  <c r="AX82" i="10"/>
  <c r="AW81" i="10"/>
  <c r="U82" i="10"/>
  <c r="F82" i="10"/>
  <c r="AJ82" i="10"/>
  <c r="G43" i="7"/>
  <c r="E43" i="7"/>
  <c r="AW42" i="7"/>
  <c r="X17" i="2" s="1"/>
  <c r="AX43" i="7"/>
  <c r="AJ124" i="8" l="1"/>
  <c r="U124" i="8"/>
  <c r="F124" i="8"/>
  <c r="H181" i="10"/>
  <c r="W181" i="10"/>
  <c r="AL181" i="10"/>
  <c r="I181" i="10"/>
  <c r="X181" i="10"/>
  <c r="AM181" i="10"/>
  <c r="J181" i="10"/>
  <c r="Y181" i="10"/>
  <c r="AN181" i="10"/>
  <c r="K181" i="10"/>
  <c r="Z181" i="10"/>
  <c r="AO181" i="10"/>
  <c r="AA181" i="10"/>
  <c r="AP181" i="10"/>
  <c r="L181" i="10"/>
  <c r="AB181" i="10"/>
  <c r="AQ181" i="10"/>
  <c r="M181" i="10"/>
  <c r="N181" i="10"/>
  <c r="AC181" i="10"/>
  <c r="AR181" i="10"/>
  <c r="O181" i="10"/>
  <c r="AD181" i="10"/>
  <c r="AS181" i="10"/>
  <c r="P181" i="10"/>
  <c r="AT181" i="10"/>
  <c r="AE181" i="10"/>
  <c r="Q181" i="10"/>
  <c r="AF181" i="10"/>
  <c r="AU181" i="10"/>
  <c r="AG181" i="10"/>
  <c r="R181" i="10"/>
  <c r="AV181" i="10"/>
  <c r="H181" i="9"/>
  <c r="AL181" i="9"/>
  <c r="W181" i="9"/>
  <c r="X181" i="9"/>
  <c r="I181" i="9"/>
  <c r="AM181" i="9"/>
  <c r="Y181" i="9"/>
  <c r="J181" i="9"/>
  <c r="AN181" i="9"/>
  <c r="K181" i="9"/>
  <c r="Z181" i="9"/>
  <c r="AO181" i="9"/>
  <c r="L181" i="9"/>
  <c r="AA181" i="9"/>
  <c r="AP181" i="9"/>
  <c r="M181" i="9"/>
  <c r="AB181" i="9"/>
  <c r="AQ181" i="9"/>
  <c r="N181" i="9"/>
  <c r="AC181" i="9"/>
  <c r="AR181" i="9"/>
  <c r="O181" i="9"/>
  <c r="AD181" i="9"/>
  <c r="AS181" i="9"/>
  <c r="P181" i="9"/>
  <c r="AE181" i="9"/>
  <c r="AT181" i="9"/>
  <c r="Q181" i="9"/>
  <c r="AU181" i="9"/>
  <c r="AF181" i="9"/>
  <c r="AG181" i="9"/>
  <c r="AV181" i="9"/>
  <c r="R181" i="9"/>
  <c r="H180" i="7"/>
  <c r="W180" i="7"/>
  <c r="AL180" i="7"/>
  <c r="I180" i="7"/>
  <c r="X180" i="7"/>
  <c r="AM180" i="7"/>
  <c r="J180" i="7"/>
  <c r="Y180" i="7"/>
  <c r="AN180" i="7"/>
  <c r="K180" i="7"/>
  <c r="Z180" i="7"/>
  <c r="AO180" i="7"/>
  <c r="L180" i="7"/>
  <c r="AA180" i="7"/>
  <c r="AP180" i="7"/>
  <c r="N180" i="7"/>
  <c r="AC180" i="7"/>
  <c r="AR180" i="7"/>
  <c r="O180" i="7"/>
  <c r="AD180" i="7"/>
  <c r="AS180" i="7"/>
  <c r="P180" i="7"/>
  <c r="AE180" i="7"/>
  <c r="AT180" i="7"/>
  <c r="Q180" i="7"/>
  <c r="AF180" i="7"/>
  <c r="AU180" i="7"/>
  <c r="R180" i="7"/>
  <c r="AG180" i="7"/>
  <c r="AV180" i="7"/>
  <c r="I180" i="8"/>
  <c r="X180" i="8"/>
  <c r="AM180" i="8"/>
  <c r="J180" i="8"/>
  <c r="Y180" i="8"/>
  <c r="AN180" i="8"/>
  <c r="L180" i="8"/>
  <c r="AA180" i="8"/>
  <c r="AP180" i="8"/>
  <c r="N180" i="8"/>
  <c r="AC180" i="8"/>
  <c r="AR180" i="8"/>
  <c r="P180" i="8"/>
  <c r="AE180" i="8"/>
  <c r="AT180" i="8"/>
  <c r="Q180" i="8"/>
  <c r="AF180" i="8"/>
  <c r="AU180" i="8"/>
  <c r="H180" i="8"/>
  <c r="W180" i="8"/>
  <c r="AL180" i="8"/>
  <c r="K180" i="8"/>
  <c r="Z180" i="8"/>
  <c r="AO180" i="8"/>
  <c r="M180" i="8"/>
  <c r="AB180" i="8"/>
  <c r="AQ180" i="8"/>
  <c r="O180" i="8"/>
  <c r="AD180" i="8"/>
  <c r="AS180" i="8"/>
  <c r="R180" i="8"/>
  <c r="AG180" i="8"/>
  <c r="AV180" i="8"/>
  <c r="M180" i="7"/>
  <c r="AB180" i="7"/>
  <c r="AQ180" i="7"/>
  <c r="D168" i="8"/>
  <c r="S168" i="8"/>
  <c r="AH168" i="8"/>
  <c r="E156" i="8"/>
  <c r="T156" i="8"/>
  <c r="AI156" i="8"/>
  <c r="D151" i="9"/>
  <c r="S151" i="9"/>
  <c r="AH151" i="9"/>
  <c r="D128" i="7"/>
  <c r="S128" i="7"/>
  <c r="AH128" i="7"/>
  <c r="G125" i="9"/>
  <c r="V125" i="9"/>
  <c r="AK125" i="9"/>
  <c r="G121" i="10"/>
  <c r="V121" i="10"/>
  <c r="AK121" i="10"/>
  <c r="D106" i="10"/>
  <c r="S106" i="10"/>
  <c r="AH106" i="10"/>
  <c r="E108" i="9"/>
  <c r="T108" i="9"/>
  <c r="AI108" i="9"/>
  <c r="C110" i="8"/>
  <c r="AY110" i="8"/>
  <c r="AX111" i="8"/>
  <c r="AW110" i="8"/>
  <c r="G111" i="8"/>
  <c r="V111" i="8"/>
  <c r="AK111" i="8"/>
  <c r="E100" i="10"/>
  <c r="T100" i="10"/>
  <c r="AI100" i="10"/>
  <c r="AY92" i="9"/>
  <c r="C92" i="9"/>
  <c r="AW92" i="9"/>
  <c r="AX93" i="9"/>
  <c r="F93" i="9"/>
  <c r="U93" i="9"/>
  <c r="AJ93" i="9"/>
  <c r="C82" i="10"/>
  <c r="AY82" i="10"/>
  <c r="AW82" i="10"/>
  <c r="AX83" i="10"/>
  <c r="F83" i="10"/>
  <c r="U83" i="10"/>
  <c r="AJ83" i="10"/>
  <c r="C43" i="7"/>
  <c r="T43" i="7"/>
  <c r="U125" i="8" l="1"/>
  <c r="AJ125" i="8"/>
  <c r="F125" i="8"/>
  <c r="H182" i="10"/>
  <c r="W182" i="10"/>
  <c r="AL182" i="10"/>
  <c r="I182" i="10"/>
  <c r="X182" i="10"/>
  <c r="AM182" i="10"/>
  <c r="J182" i="10"/>
  <c r="Y182" i="10"/>
  <c r="AN182" i="10"/>
  <c r="Z182" i="10"/>
  <c r="AO182" i="10"/>
  <c r="K182" i="10"/>
  <c r="L182" i="10"/>
  <c r="AA182" i="10"/>
  <c r="AP182" i="10"/>
  <c r="AB182" i="10"/>
  <c r="AQ182" i="10"/>
  <c r="M182" i="10"/>
  <c r="N182" i="10"/>
  <c r="AC182" i="10"/>
  <c r="AR182" i="10"/>
  <c r="O182" i="10"/>
  <c r="AD182" i="10"/>
  <c r="AS182" i="10"/>
  <c r="P182" i="10"/>
  <c r="AE182" i="10"/>
  <c r="AT182" i="10"/>
  <c r="Q182" i="10"/>
  <c r="AF182" i="10"/>
  <c r="AU182" i="10"/>
  <c r="R182" i="10"/>
  <c r="AG182" i="10"/>
  <c r="AV182" i="10"/>
  <c r="H182" i="9"/>
  <c r="W182" i="9"/>
  <c r="AL182" i="9"/>
  <c r="AM182" i="9"/>
  <c r="I182" i="9"/>
  <c r="X182" i="9"/>
  <c r="J182" i="9"/>
  <c r="Y182" i="9"/>
  <c r="AN182" i="9"/>
  <c r="Z182" i="9"/>
  <c r="K182" i="9"/>
  <c r="AO182" i="9"/>
  <c r="L182" i="9"/>
  <c r="AA182" i="9"/>
  <c r="AP182" i="9"/>
  <c r="AB182" i="9"/>
  <c r="M182" i="9"/>
  <c r="AQ182" i="9"/>
  <c r="N182" i="9"/>
  <c r="AC182" i="9"/>
  <c r="AR182" i="9"/>
  <c r="AS182" i="9"/>
  <c r="O182" i="9"/>
  <c r="AD182" i="9"/>
  <c r="P182" i="9"/>
  <c r="AE182" i="9"/>
  <c r="AT182" i="9"/>
  <c r="Q182" i="9"/>
  <c r="AF182" i="9"/>
  <c r="AU182" i="9"/>
  <c r="AV182" i="9"/>
  <c r="R182" i="9"/>
  <c r="AG182" i="9"/>
  <c r="H181" i="7"/>
  <c r="W181" i="7"/>
  <c r="AL181" i="7"/>
  <c r="I181" i="7"/>
  <c r="X181" i="7"/>
  <c r="AM181" i="7"/>
  <c r="J181" i="7"/>
  <c r="Y181" i="7"/>
  <c r="AN181" i="7"/>
  <c r="K181" i="7"/>
  <c r="Z181" i="7"/>
  <c r="AO181" i="7"/>
  <c r="L181" i="7"/>
  <c r="AA181" i="7"/>
  <c r="AP181" i="7"/>
  <c r="N181" i="7"/>
  <c r="AC181" i="7"/>
  <c r="AR181" i="7"/>
  <c r="O181" i="7"/>
  <c r="AD181" i="7"/>
  <c r="AS181" i="7"/>
  <c r="P181" i="7"/>
  <c r="AE181" i="7"/>
  <c r="AT181" i="7"/>
  <c r="Q181" i="7"/>
  <c r="AF181" i="7"/>
  <c r="AU181" i="7"/>
  <c r="R181" i="7"/>
  <c r="AG181" i="7"/>
  <c r="AV181" i="7"/>
  <c r="I181" i="8"/>
  <c r="X181" i="8"/>
  <c r="AM181" i="8"/>
  <c r="J181" i="8"/>
  <c r="Y181" i="8"/>
  <c r="AN181" i="8"/>
  <c r="L181" i="8"/>
  <c r="AA181" i="8"/>
  <c r="AP181" i="8"/>
  <c r="N181" i="8"/>
  <c r="AC181" i="8"/>
  <c r="AR181" i="8"/>
  <c r="P181" i="8"/>
  <c r="AE181" i="8"/>
  <c r="AT181" i="8"/>
  <c r="Q181" i="8"/>
  <c r="AF181" i="8"/>
  <c r="AU181" i="8"/>
  <c r="H181" i="8"/>
  <c r="W181" i="8"/>
  <c r="AL181" i="8"/>
  <c r="K181" i="8"/>
  <c r="Z181" i="8"/>
  <c r="AO181" i="8"/>
  <c r="M181" i="8"/>
  <c r="AB181" i="8"/>
  <c r="AQ181" i="8"/>
  <c r="O181" i="8"/>
  <c r="AD181" i="8"/>
  <c r="AS181" i="8"/>
  <c r="R181" i="8"/>
  <c r="AG181" i="8"/>
  <c r="AV181" i="8"/>
  <c r="M181" i="7"/>
  <c r="AB181" i="7"/>
  <c r="AQ181" i="7"/>
  <c r="D169" i="8"/>
  <c r="S169" i="8"/>
  <c r="AH169" i="8"/>
  <c r="E157" i="8"/>
  <c r="T157" i="8"/>
  <c r="AI157" i="8"/>
  <c r="D152" i="9"/>
  <c r="S152" i="9"/>
  <c r="AH152" i="9"/>
  <c r="D129" i="7"/>
  <c r="S129" i="7"/>
  <c r="AH129" i="7"/>
  <c r="G126" i="9"/>
  <c r="V126" i="9"/>
  <c r="AK126" i="9"/>
  <c r="G122" i="10"/>
  <c r="V122" i="10"/>
  <c r="AK122" i="10"/>
  <c r="D107" i="10"/>
  <c r="S107" i="10"/>
  <c r="AH107" i="10"/>
  <c r="E109" i="9"/>
  <c r="T109" i="9"/>
  <c r="AI109" i="9"/>
  <c r="AY111" i="8"/>
  <c r="C111" i="8"/>
  <c r="AX112" i="8"/>
  <c r="AW111" i="8"/>
  <c r="W40" i="2" s="1"/>
  <c r="G112" i="8"/>
  <c r="V112" i="8"/>
  <c r="AK112" i="8"/>
  <c r="E101" i="10"/>
  <c r="T101" i="10"/>
  <c r="AI101" i="10"/>
  <c r="AY93" i="9"/>
  <c r="C93" i="9"/>
  <c r="AW93" i="9"/>
  <c r="AX94" i="9"/>
  <c r="F94" i="9"/>
  <c r="U94" i="9"/>
  <c r="AJ94" i="9"/>
  <c r="AY83" i="10"/>
  <c r="C83" i="10"/>
  <c r="AX84" i="10"/>
  <c r="AW83" i="10"/>
  <c r="F84" i="10"/>
  <c r="U84" i="10"/>
  <c r="AJ84" i="10"/>
  <c r="U43" i="7"/>
  <c r="AI43" i="7"/>
  <c r="AJ126" i="8" l="1"/>
  <c r="U126" i="8"/>
  <c r="F126" i="8"/>
  <c r="H183" i="10"/>
  <c r="W183" i="10"/>
  <c r="AL183" i="10"/>
  <c r="I183" i="10"/>
  <c r="X183" i="10"/>
  <c r="AM183" i="10"/>
  <c r="J183" i="10"/>
  <c r="Y183" i="10"/>
  <c r="AN183" i="10"/>
  <c r="K183" i="10"/>
  <c r="Z183" i="10"/>
  <c r="AO183" i="10"/>
  <c r="L183" i="10"/>
  <c r="AA183" i="10"/>
  <c r="AP183" i="10"/>
  <c r="M183" i="10"/>
  <c r="AB183" i="10"/>
  <c r="AQ183" i="10"/>
  <c r="N183" i="10"/>
  <c r="AC183" i="10"/>
  <c r="AR183" i="10"/>
  <c r="O183" i="10"/>
  <c r="AD183" i="10"/>
  <c r="AS183" i="10"/>
  <c r="P183" i="10"/>
  <c r="AE183" i="10"/>
  <c r="AT183" i="10"/>
  <c r="Q183" i="10"/>
  <c r="AF183" i="10"/>
  <c r="AU183" i="10"/>
  <c r="R183" i="10"/>
  <c r="AG183" i="10"/>
  <c r="AV183" i="10"/>
  <c r="H183" i="9"/>
  <c r="W183" i="9"/>
  <c r="AL183" i="9"/>
  <c r="I183" i="9"/>
  <c r="X183" i="9"/>
  <c r="AM183" i="9"/>
  <c r="AN183" i="9"/>
  <c r="J183" i="9"/>
  <c r="Y183" i="9"/>
  <c r="K183" i="9"/>
  <c r="Z183" i="9"/>
  <c r="AO183" i="9"/>
  <c r="L183" i="9"/>
  <c r="AA183" i="9"/>
  <c r="AP183" i="9"/>
  <c r="AQ183" i="9"/>
  <c r="M183" i="9"/>
  <c r="AB183" i="9"/>
  <c r="AR183" i="9"/>
  <c r="N183" i="9"/>
  <c r="AC183" i="9"/>
  <c r="O183" i="9"/>
  <c r="AD183" i="9"/>
  <c r="AS183" i="9"/>
  <c r="AT183" i="9"/>
  <c r="P183" i="9"/>
  <c r="AE183" i="9"/>
  <c r="AF183" i="9"/>
  <c r="Q183" i="9"/>
  <c r="AU183" i="9"/>
  <c r="AG183" i="9"/>
  <c r="AV183" i="9"/>
  <c r="R183" i="9"/>
  <c r="H182" i="7"/>
  <c r="W182" i="7"/>
  <c r="AL182" i="7"/>
  <c r="I182" i="7"/>
  <c r="X182" i="7"/>
  <c r="AM182" i="7"/>
  <c r="J182" i="7"/>
  <c r="Y182" i="7"/>
  <c r="AN182" i="7"/>
  <c r="K182" i="7"/>
  <c r="Z182" i="7"/>
  <c r="AO182" i="7"/>
  <c r="L182" i="7"/>
  <c r="AA182" i="7"/>
  <c r="AP182" i="7"/>
  <c r="N182" i="7"/>
  <c r="AC182" i="7"/>
  <c r="AR182" i="7"/>
  <c r="O182" i="7"/>
  <c r="AD182" i="7"/>
  <c r="AS182" i="7"/>
  <c r="P182" i="7"/>
  <c r="AE182" i="7"/>
  <c r="AT182" i="7"/>
  <c r="Q182" i="7"/>
  <c r="AF182" i="7"/>
  <c r="AU182" i="7"/>
  <c r="R182" i="7"/>
  <c r="AG182" i="7"/>
  <c r="AV182" i="7"/>
  <c r="I182" i="8"/>
  <c r="X182" i="8"/>
  <c r="AM182" i="8"/>
  <c r="J182" i="8"/>
  <c r="Y182" i="8"/>
  <c r="AN182" i="8"/>
  <c r="L182" i="8"/>
  <c r="AA182" i="8"/>
  <c r="AP182" i="8"/>
  <c r="N182" i="8"/>
  <c r="AC182" i="8"/>
  <c r="AR182" i="8"/>
  <c r="P182" i="8"/>
  <c r="AE182" i="8"/>
  <c r="AT182" i="8"/>
  <c r="Q182" i="8"/>
  <c r="AF182" i="8"/>
  <c r="AU182" i="8"/>
  <c r="H182" i="8"/>
  <c r="W182" i="8"/>
  <c r="AL182" i="8"/>
  <c r="K182" i="8"/>
  <c r="Z182" i="8"/>
  <c r="AO182" i="8"/>
  <c r="M182" i="8"/>
  <c r="AB182" i="8"/>
  <c r="AQ182" i="8"/>
  <c r="O182" i="8"/>
  <c r="AD182" i="8"/>
  <c r="AS182" i="8"/>
  <c r="R182" i="8"/>
  <c r="AG182" i="8"/>
  <c r="AV182" i="8"/>
  <c r="M182" i="7"/>
  <c r="AB182" i="7"/>
  <c r="AQ182" i="7"/>
  <c r="D170" i="8"/>
  <c r="S170" i="8"/>
  <c r="AH170" i="8"/>
  <c r="E158" i="8"/>
  <c r="T158" i="8"/>
  <c r="AI158" i="8"/>
  <c r="D153" i="9"/>
  <c r="S153" i="9"/>
  <c r="AH153" i="9"/>
  <c r="D130" i="7"/>
  <c r="S130" i="7"/>
  <c r="AH130" i="7"/>
  <c r="G127" i="9"/>
  <c r="V127" i="9"/>
  <c r="AK127" i="9"/>
  <c r="G123" i="10"/>
  <c r="V123" i="10"/>
  <c r="AK123" i="10"/>
  <c r="D108" i="10"/>
  <c r="S108" i="10"/>
  <c r="AH108" i="10"/>
  <c r="E110" i="9"/>
  <c r="T110" i="9"/>
  <c r="AI110" i="9"/>
  <c r="C112" i="8"/>
  <c r="AY112" i="8"/>
  <c r="AW112" i="8"/>
  <c r="AX113" i="8"/>
  <c r="G113" i="8"/>
  <c r="V113" i="8"/>
  <c r="AK113" i="8"/>
  <c r="E102" i="10"/>
  <c r="T102" i="10"/>
  <c r="AI102" i="10"/>
  <c r="C94" i="9"/>
  <c r="AY94" i="9"/>
  <c r="AW94" i="9"/>
  <c r="AX95" i="9"/>
  <c r="F95" i="9"/>
  <c r="U95" i="9"/>
  <c r="AJ95" i="9"/>
  <c r="AY84" i="10"/>
  <c r="C84" i="10"/>
  <c r="AX85" i="10"/>
  <c r="AW84" i="10"/>
  <c r="F85" i="10"/>
  <c r="U85" i="10"/>
  <c r="AJ85" i="10"/>
  <c r="E44" i="7"/>
  <c r="AJ43" i="7"/>
  <c r="V43" i="7"/>
  <c r="F127" i="8" l="1"/>
  <c r="U127" i="8"/>
  <c r="AJ127" i="8"/>
  <c r="H184" i="10"/>
  <c r="W184" i="10"/>
  <c r="AL184" i="10"/>
  <c r="I184" i="10"/>
  <c r="X184" i="10"/>
  <c r="AM184" i="10"/>
  <c r="J184" i="10"/>
  <c r="Y184" i="10"/>
  <c r="AN184" i="10"/>
  <c r="K184" i="10"/>
  <c r="Z184" i="10"/>
  <c r="AO184" i="10"/>
  <c r="L184" i="10"/>
  <c r="AA184" i="10"/>
  <c r="AP184" i="10"/>
  <c r="M184" i="10"/>
  <c r="AB184" i="10"/>
  <c r="AQ184" i="10"/>
  <c r="N184" i="10"/>
  <c r="AC184" i="10"/>
  <c r="AR184" i="10"/>
  <c r="O184" i="10"/>
  <c r="AD184" i="10"/>
  <c r="AS184" i="10"/>
  <c r="P184" i="10"/>
  <c r="AE184" i="10"/>
  <c r="AT184" i="10"/>
  <c r="Q184" i="10"/>
  <c r="AF184" i="10"/>
  <c r="AU184" i="10"/>
  <c r="R184" i="10"/>
  <c r="AG184" i="10"/>
  <c r="AV184" i="10"/>
  <c r="H184" i="9"/>
  <c r="W184" i="9"/>
  <c r="AL184" i="9"/>
  <c r="I184" i="9"/>
  <c r="X184" i="9"/>
  <c r="AM184" i="9"/>
  <c r="J184" i="9"/>
  <c r="Y184" i="9"/>
  <c r="AN184" i="9"/>
  <c r="K184" i="9"/>
  <c r="Z184" i="9"/>
  <c r="AO184" i="9"/>
  <c r="L184" i="9"/>
  <c r="AP184" i="9"/>
  <c r="AA184" i="9"/>
  <c r="M184" i="9"/>
  <c r="AQ184" i="9"/>
  <c r="AB184" i="9"/>
  <c r="N184" i="9"/>
  <c r="AR184" i="9"/>
  <c r="AC184" i="9"/>
  <c r="AD184" i="9"/>
  <c r="AS184" i="9"/>
  <c r="O184" i="9"/>
  <c r="P184" i="9"/>
  <c r="AE184" i="9"/>
  <c r="AT184" i="9"/>
  <c r="AF184" i="9"/>
  <c r="Q184" i="9"/>
  <c r="AU184" i="9"/>
  <c r="R184" i="9"/>
  <c r="AV184" i="9"/>
  <c r="AG184" i="9"/>
  <c r="H183" i="7"/>
  <c r="W183" i="7"/>
  <c r="AL183" i="7"/>
  <c r="I183" i="7"/>
  <c r="X183" i="7"/>
  <c r="AM183" i="7"/>
  <c r="J183" i="7"/>
  <c r="Y183" i="7"/>
  <c r="AN183" i="7"/>
  <c r="K183" i="7"/>
  <c r="Z183" i="7"/>
  <c r="AO183" i="7"/>
  <c r="L183" i="7"/>
  <c r="AA183" i="7"/>
  <c r="AP183" i="7"/>
  <c r="N183" i="7"/>
  <c r="AC183" i="7"/>
  <c r="AR183" i="7"/>
  <c r="O183" i="7"/>
  <c r="AD183" i="7"/>
  <c r="AS183" i="7"/>
  <c r="P183" i="7"/>
  <c r="AE183" i="7"/>
  <c r="AT183" i="7"/>
  <c r="Q183" i="7"/>
  <c r="AF183" i="7"/>
  <c r="AU183" i="7"/>
  <c r="R183" i="7"/>
  <c r="AG183" i="7"/>
  <c r="AV183" i="7"/>
  <c r="I183" i="8"/>
  <c r="X183" i="8"/>
  <c r="AM183" i="8"/>
  <c r="J183" i="8"/>
  <c r="Y183" i="8"/>
  <c r="AN183" i="8"/>
  <c r="L183" i="8"/>
  <c r="AA183" i="8"/>
  <c r="AP183" i="8"/>
  <c r="N183" i="8"/>
  <c r="AC183" i="8"/>
  <c r="AR183" i="8"/>
  <c r="P183" i="8"/>
  <c r="AE183" i="8"/>
  <c r="AT183" i="8"/>
  <c r="Q183" i="8"/>
  <c r="AF183" i="8"/>
  <c r="AU183" i="8"/>
  <c r="H183" i="8"/>
  <c r="W183" i="8"/>
  <c r="AL183" i="8"/>
  <c r="K183" i="8"/>
  <c r="Z183" i="8"/>
  <c r="AO183" i="8"/>
  <c r="M183" i="8"/>
  <c r="AB183" i="8"/>
  <c r="AQ183" i="8"/>
  <c r="O183" i="8"/>
  <c r="AD183" i="8"/>
  <c r="AS183" i="8"/>
  <c r="R183" i="8"/>
  <c r="AG183" i="8"/>
  <c r="AV183" i="8"/>
  <c r="M183" i="7"/>
  <c r="AB183" i="7"/>
  <c r="AQ183" i="7"/>
  <c r="D171" i="8"/>
  <c r="S171" i="8"/>
  <c r="AH171" i="8"/>
  <c r="E159" i="8"/>
  <c r="T159" i="8"/>
  <c r="AI159" i="8"/>
  <c r="D154" i="9"/>
  <c r="S154" i="9"/>
  <c r="AH154" i="9"/>
  <c r="D131" i="7"/>
  <c r="S131" i="7"/>
  <c r="AH131" i="7"/>
  <c r="G128" i="9"/>
  <c r="V128" i="9"/>
  <c r="AK128" i="9"/>
  <c r="G124" i="10"/>
  <c r="V124" i="10"/>
  <c r="AK124" i="10"/>
  <c r="D109" i="10"/>
  <c r="S109" i="10"/>
  <c r="AH109" i="10"/>
  <c r="E111" i="9"/>
  <c r="T111" i="9"/>
  <c r="AI111" i="9"/>
  <c r="C113" i="8"/>
  <c r="AY113" i="8"/>
  <c r="AW113" i="8"/>
  <c r="AX114" i="8"/>
  <c r="G114" i="8"/>
  <c r="V114" i="8"/>
  <c r="AK114" i="8"/>
  <c r="E103" i="10"/>
  <c r="T103" i="10"/>
  <c r="AI103" i="10"/>
  <c r="AY95" i="9"/>
  <c r="C95" i="9"/>
  <c r="AW95" i="9"/>
  <c r="AX96" i="9"/>
  <c r="F96" i="9"/>
  <c r="U96" i="9"/>
  <c r="AJ96" i="9"/>
  <c r="C85" i="10"/>
  <c r="AY85" i="10"/>
  <c r="AW85" i="10"/>
  <c r="AX86" i="10"/>
  <c r="F86" i="10"/>
  <c r="U86" i="10"/>
  <c r="AJ86" i="10"/>
  <c r="F44" i="7"/>
  <c r="AK43" i="7"/>
  <c r="AY43" i="7"/>
  <c r="F128" i="8" l="1"/>
  <c r="U128" i="8"/>
  <c r="AJ128" i="8"/>
  <c r="H185" i="10"/>
  <c r="W185" i="10"/>
  <c r="AL185" i="10"/>
  <c r="I185" i="10"/>
  <c r="X185" i="10"/>
  <c r="AM185" i="10"/>
  <c r="J185" i="10"/>
  <c r="Y185" i="10"/>
  <c r="AN185" i="10"/>
  <c r="K185" i="10"/>
  <c r="Z185" i="10"/>
  <c r="AO185" i="10"/>
  <c r="L185" i="10"/>
  <c r="AA185" i="10"/>
  <c r="AP185" i="10"/>
  <c r="M185" i="10"/>
  <c r="AB185" i="10"/>
  <c r="AQ185" i="10"/>
  <c r="N185" i="10"/>
  <c r="AC185" i="10"/>
  <c r="AR185" i="10"/>
  <c r="O185" i="10"/>
  <c r="AD185" i="10"/>
  <c r="AS185" i="10"/>
  <c r="P185" i="10"/>
  <c r="AE185" i="10"/>
  <c r="AT185" i="10"/>
  <c r="Q185" i="10"/>
  <c r="AF185" i="10"/>
  <c r="AU185" i="10"/>
  <c r="R185" i="10"/>
  <c r="AG185" i="10"/>
  <c r="AV185" i="10"/>
  <c r="H185" i="9"/>
  <c r="W185" i="9"/>
  <c r="AL185" i="9"/>
  <c r="I185" i="9"/>
  <c r="X185" i="9"/>
  <c r="AM185" i="9"/>
  <c r="J185" i="9"/>
  <c r="Y185" i="9"/>
  <c r="AN185" i="9"/>
  <c r="K185" i="9"/>
  <c r="Z185" i="9"/>
  <c r="AO185" i="9"/>
  <c r="L185" i="9"/>
  <c r="AA185" i="9"/>
  <c r="AP185" i="9"/>
  <c r="M185" i="9"/>
  <c r="AB185" i="9"/>
  <c r="AQ185" i="9"/>
  <c r="N185" i="9"/>
  <c r="AC185" i="9"/>
  <c r="AR185" i="9"/>
  <c r="O185" i="9"/>
  <c r="AD185" i="9"/>
  <c r="AS185" i="9"/>
  <c r="P185" i="9"/>
  <c r="AE185" i="9"/>
  <c r="AT185" i="9"/>
  <c r="Q185" i="9"/>
  <c r="AF185" i="9"/>
  <c r="AU185" i="9"/>
  <c r="R185" i="9"/>
  <c r="AG185" i="9"/>
  <c r="AV185" i="9"/>
  <c r="H184" i="7"/>
  <c r="W184" i="7"/>
  <c r="AL184" i="7"/>
  <c r="I184" i="7"/>
  <c r="X184" i="7"/>
  <c r="AM184" i="7"/>
  <c r="J184" i="7"/>
  <c r="Y184" i="7"/>
  <c r="AN184" i="7"/>
  <c r="K184" i="7"/>
  <c r="Z184" i="7"/>
  <c r="AO184" i="7"/>
  <c r="L184" i="7"/>
  <c r="AA184" i="7"/>
  <c r="AP184" i="7"/>
  <c r="N184" i="7"/>
  <c r="AC184" i="7"/>
  <c r="AR184" i="7"/>
  <c r="O184" i="7"/>
  <c r="AD184" i="7"/>
  <c r="AS184" i="7"/>
  <c r="P184" i="7"/>
  <c r="AE184" i="7"/>
  <c r="AT184" i="7"/>
  <c r="Q184" i="7"/>
  <c r="AF184" i="7"/>
  <c r="AU184" i="7"/>
  <c r="R184" i="7"/>
  <c r="AG184" i="7"/>
  <c r="AV184" i="7"/>
  <c r="I184" i="8"/>
  <c r="X184" i="8"/>
  <c r="AM184" i="8"/>
  <c r="J184" i="8"/>
  <c r="Y184" i="8"/>
  <c r="AN184" i="8"/>
  <c r="L184" i="8"/>
  <c r="AA184" i="8"/>
  <c r="AP184" i="8"/>
  <c r="N184" i="8"/>
  <c r="AC184" i="8"/>
  <c r="AR184" i="8"/>
  <c r="P184" i="8"/>
  <c r="AE184" i="8"/>
  <c r="AT184" i="8"/>
  <c r="Q184" i="8"/>
  <c r="AF184" i="8"/>
  <c r="AU184" i="8"/>
  <c r="H184" i="8"/>
  <c r="W184" i="8"/>
  <c r="AL184" i="8"/>
  <c r="K184" i="8"/>
  <c r="Z184" i="8"/>
  <c r="AO184" i="8"/>
  <c r="M184" i="8"/>
  <c r="AB184" i="8"/>
  <c r="AQ184" i="8"/>
  <c r="O184" i="8"/>
  <c r="AD184" i="8"/>
  <c r="AS184" i="8"/>
  <c r="R184" i="8"/>
  <c r="AG184" i="8"/>
  <c r="AV184" i="8"/>
  <c r="M184" i="7"/>
  <c r="AB184" i="7"/>
  <c r="AQ184" i="7"/>
  <c r="D172" i="8"/>
  <c r="S172" i="8"/>
  <c r="AH172" i="8"/>
  <c r="E160" i="8"/>
  <c r="T160" i="8"/>
  <c r="AI160" i="8"/>
  <c r="D155" i="9"/>
  <c r="S155" i="9"/>
  <c r="AH155" i="9"/>
  <c r="D132" i="7"/>
  <c r="S132" i="7"/>
  <c r="AH132" i="7"/>
  <c r="G129" i="9"/>
  <c r="V129" i="9"/>
  <c r="AK129" i="9"/>
  <c r="G125" i="10"/>
  <c r="V125" i="10"/>
  <c r="AK125" i="10"/>
  <c r="D110" i="10"/>
  <c r="S110" i="10"/>
  <c r="AH110" i="10"/>
  <c r="E112" i="9"/>
  <c r="T112" i="9"/>
  <c r="AI112" i="9"/>
  <c r="C114" i="8"/>
  <c r="AY114" i="8"/>
  <c r="AX115" i="8"/>
  <c r="AW114" i="8"/>
  <c r="W41" i="2" s="1"/>
  <c r="G115" i="8"/>
  <c r="V115" i="8"/>
  <c r="AK115" i="8"/>
  <c r="E104" i="10"/>
  <c r="T104" i="10"/>
  <c r="AI104" i="10"/>
  <c r="C96" i="9"/>
  <c r="AY96" i="9"/>
  <c r="AW96" i="9"/>
  <c r="AX97" i="9"/>
  <c r="F97" i="9"/>
  <c r="U97" i="9"/>
  <c r="AJ97" i="9"/>
  <c r="AY86" i="10"/>
  <c r="C86" i="10"/>
  <c r="AX87" i="10"/>
  <c r="AW86" i="10"/>
  <c r="F87" i="10"/>
  <c r="U87" i="10"/>
  <c r="AJ87" i="10"/>
  <c r="G44" i="7"/>
  <c r="AW43" i="7"/>
  <c r="AX44" i="7"/>
  <c r="C44" i="7"/>
  <c r="AJ129" i="8" l="1"/>
  <c r="F129" i="8"/>
  <c r="U129" i="8"/>
  <c r="H186" i="10"/>
  <c r="W186" i="10"/>
  <c r="AL186" i="10"/>
  <c r="I186" i="10"/>
  <c r="X186" i="10"/>
  <c r="AM186" i="10"/>
  <c r="J186" i="10"/>
  <c r="Y186" i="10"/>
  <c r="AN186" i="10"/>
  <c r="K186" i="10"/>
  <c r="Z186" i="10"/>
  <c r="AO186" i="10"/>
  <c r="L186" i="10"/>
  <c r="AA186" i="10"/>
  <c r="AP186" i="10"/>
  <c r="M186" i="10"/>
  <c r="AB186" i="10"/>
  <c r="AQ186" i="10"/>
  <c r="N186" i="10"/>
  <c r="AC186" i="10"/>
  <c r="AR186" i="10"/>
  <c r="O186" i="10"/>
  <c r="AD186" i="10"/>
  <c r="AS186" i="10"/>
  <c r="P186" i="10"/>
  <c r="AE186" i="10"/>
  <c r="AT186" i="10"/>
  <c r="Q186" i="10"/>
  <c r="AF186" i="10"/>
  <c r="AU186" i="10"/>
  <c r="R186" i="10"/>
  <c r="AG186" i="10"/>
  <c r="AV186" i="10"/>
  <c r="H186" i="9"/>
  <c r="W186" i="9"/>
  <c r="AL186" i="9"/>
  <c r="I186" i="9"/>
  <c r="X186" i="9"/>
  <c r="AM186" i="9"/>
  <c r="J186" i="9"/>
  <c r="Y186" i="9"/>
  <c r="AN186" i="9"/>
  <c r="K186" i="9"/>
  <c r="Z186" i="9"/>
  <c r="AO186" i="9"/>
  <c r="L186" i="9"/>
  <c r="AA186" i="9"/>
  <c r="AP186" i="9"/>
  <c r="M186" i="9"/>
  <c r="AB186" i="9"/>
  <c r="AQ186" i="9"/>
  <c r="N186" i="9"/>
  <c r="AC186" i="9"/>
  <c r="AR186" i="9"/>
  <c r="O186" i="9"/>
  <c r="AD186" i="9"/>
  <c r="AS186" i="9"/>
  <c r="P186" i="9"/>
  <c r="AE186" i="9"/>
  <c r="AT186" i="9"/>
  <c r="Q186" i="9"/>
  <c r="AF186" i="9"/>
  <c r="AU186" i="9"/>
  <c r="R186" i="9"/>
  <c r="AG186" i="9"/>
  <c r="AV186" i="9"/>
  <c r="H185" i="7"/>
  <c r="W185" i="7"/>
  <c r="AL185" i="7"/>
  <c r="I185" i="7"/>
  <c r="X185" i="7"/>
  <c r="AM185" i="7"/>
  <c r="J185" i="7"/>
  <c r="Y185" i="7"/>
  <c r="AN185" i="7"/>
  <c r="K185" i="7"/>
  <c r="Z185" i="7"/>
  <c r="AO185" i="7"/>
  <c r="L185" i="7"/>
  <c r="AA185" i="7"/>
  <c r="AP185" i="7"/>
  <c r="N185" i="7"/>
  <c r="AC185" i="7"/>
  <c r="AR185" i="7"/>
  <c r="O185" i="7"/>
  <c r="AD185" i="7"/>
  <c r="AS185" i="7"/>
  <c r="P185" i="7"/>
  <c r="AE185" i="7"/>
  <c r="AT185" i="7"/>
  <c r="Q185" i="7"/>
  <c r="AF185" i="7"/>
  <c r="AU185" i="7"/>
  <c r="R185" i="7"/>
  <c r="AG185" i="7"/>
  <c r="AV185" i="7"/>
  <c r="I185" i="8"/>
  <c r="X185" i="8"/>
  <c r="AM185" i="8"/>
  <c r="J185" i="8"/>
  <c r="Y185" i="8"/>
  <c r="AN185" i="8"/>
  <c r="L185" i="8"/>
  <c r="AA185" i="8"/>
  <c r="AP185" i="8"/>
  <c r="N185" i="8"/>
  <c r="AC185" i="8"/>
  <c r="AR185" i="8"/>
  <c r="P185" i="8"/>
  <c r="AE185" i="8"/>
  <c r="AT185" i="8"/>
  <c r="Q185" i="8"/>
  <c r="AF185" i="8"/>
  <c r="AU185" i="8"/>
  <c r="H185" i="8"/>
  <c r="W185" i="8"/>
  <c r="AL185" i="8"/>
  <c r="K185" i="8"/>
  <c r="Z185" i="8"/>
  <c r="AO185" i="8"/>
  <c r="M185" i="8"/>
  <c r="AB185" i="8"/>
  <c r="AQ185" i="8"/>
  <c r="O185" i="8"/>
  <c r="AD185" i="8"/>
  <c r="AS185" i="8"/>
  <c r="R185" i="8"/>
  <c r="AG185" i="8"/>
  <c r="AV185" i="8"/>
  <c r="M185" i="7"/>
  <c r="AB185" i="7"/>
  <c r="AQ185" i="7"/>
  <c r="D173" i="8"/>
  <c r="S173" i="8"/>
  <c r="AH173" i="8"/>
  <c r="E161" i="8"/>
  <c r="T161" i="8"/>
  <c r="AI161" i="8"/>
  <c r="D156" i="9"/>
  <c r="S156" i="9"/>
  <c r="AH156" i="9"/>
  <c r="D133" i="7"/>
  <c r="S133" i="7"/>
  <c r="AH133" i="7"/>
  <c r="G130" i="9"/>
  <c r="V130" i="9"/>
  <c r="AK130" i="9"/>
  <c r="G126" i="10"/>
  <c r="V126" i="10"/>
  <c r="AK126" i="10"/>
  <c r="D111" i="10"/>
  <c r="S111" i="10"/>
  <c r="AH111" i="10"/>
  <c r="E113" i="9"/>
  <c r="T113" i="9"/>
  <c r="AI113" i="9"/>
  <c r="AY115" i="8"/>
  <c r="C115" i="8"/>
  <c r="AX116" i="8"/>
  <c r="AW115" i="8"/>
  <c r="G116" i="8"/>
  <c r="V116" i="8"/>
  <c r="AK116" i="8"/>
  <c r="E105" i="10"/>
  <c r="T105" i="10"/>
  <c r="AI105" i="10"/>
  <c r="C97" i="9"/>
  <c r="AY97" i="9"/>
  <c r="AW97" i="9"/>
  <c r="AX98" i="9"/>
  <c r="F98" i="9"/>
  <c r="U98" i="9"/>
  <c r="AJ98" i="9"/>
  <c r="AY87" i="10"/>
  <c r="C87" i="10"/>
  <c r="AX88" i="10"/>
  <c r="AW87" i="10"/>
  <c r="F88" i="10"/>
  <c r="U88" i="10"/>
  <c r="AJ88" i="10"/>
  <c r="T44" i="7"/>
  <c r="U44" i="7" s="1"/>
  <c r="AJ130" i="8" l="1"/>
  <c r="U130" i="8"/>
  <c r="F130" i="8"/>
  <c r="V44" i="7"/>
  <c r="AJ44" i="7"/>
  <c r="F45" i="7" s="1"/>
  <c r="H187" i="10"/>
  <c r="W187" i="10"/>
  <c r="AL187" i="10"/>
  <c r="I187" i="10"/>
  <c r="X187" i="10"/>
  <c r="AM187" i="10"/>
  <c r="J187" i="10"/>
  <c r="Y187" i="10"/>
  <c r="AN187" i="10"/>
  <c r="K187" i="10"/>
  <c r="Z187" i="10"/>
  <c r="AO187" i="10"/>
  <c r="L187" i="10"/>
  <c r="AA187" i="10"/>
  <c r="AP187" i="10"/>
  <c r="M187" i="10"/>
  <c r="AB187" i="10"/>
  <c r="AQ187" i="10"/>
  <c r="N187" i="10"/>
  <c r="AC187" i="10"/>
  <c r="AR187" i="10"/>
  <c r="O187" i="10"/>
  <c r="AD187" i="10"/>
  <c r="AS187" i="10"/>
  <c r="P187" i="10"/>
  <c r="AE187" i="10"/>
  <c r="AT187" i="10"/>
  <c r="Q187" i="10"/>
  <c r="AF187" i="10"/>
  <c r="AU187" i="10"/>
  <c r="R187" i="10"/>
  <c r="AG187" i="10"/>
  <c r="AV187" i="10"/>
  <c r="H187" i="9"/>
  <c r="W187" i="9"/>
  <c r="AL187" i="9"/>
  <c r="I187" i="9"/>
  <c r="X187" i="9"/>
  <c r="AM187" i="9"/>
  <c r="J187" i="9"/>
  <c r="Y187" i="9"/>
  <c r="AN187" i="9"/>
  <c r="K187" i="9"/>
  <c r="Z187" i="9"/>
  <c r="AO187" i="9"/>
  <c r="L187" i="9"/>
  <c r="AA187" i="9"/>
  <c r="AP187" i="9"/>
  <c r="M187" i="9"/>
  <c r="AB187" i="9"/>
  <c r="AQ187" i="9"/>
  <c r="N187" i="9"/>
  <c r="AC187" i="9"/>
  <c r="AR187" i="9"/>
  <c r="O187" i="9"/>
  <c r="AD187" i="9"/>
  <c r="AS187" i="9"/>
  <c r="P187" i="9"/>
  <c r="AE187" i="9"/>
  <c r="AT187" i="9"/>
  <c r="Q187" i="9"/>
  <c r="AF187" i="9"/>
  <c r="AU187" i="9"/>
  <c r="R187" i="9"/>
  <c r="AG187" i="9"/>
  <c r="AV187" i="9"/>
  <c r="H186" i="7"/>
  <c r="W186" i="7"/>
  <c r="AL186" i="7"/>
  <c r="I186" i="7"/>
  <c r="X186" i="7"/>
  <c r="AM186" i="7"/>
  <c r="J186" i="7"/>
  <c r="Y186" i="7"/>
  <c r="AN186" i="7"/>
  <c r="K186" i="7"/>
  <c r="Z186" i="7"/>
  <c r="AO186" i="7"/>
  <c r="L186" i="7"/>
  <c r="AA186" i="7"/>
  <c r="AP186" i="7"/>
  <c r="N186" i="7"/>
  <c r="AC186" i="7"/>
  <c r="AR186" i="7"/>
  <c r="O186" i="7"/>
  <c r="AD186" i="7"/>
  <c r="AS186" i="7"/>
  <c r="P186" i="7"/>
  <c r="AE186" i="7"/>
  <c r="AT186" i="7"/>
  <c r="Q186" i="7"/>
  <c r="AF186" i="7"/>
  <c r="AU186" i="7"/>
  <c r="R186" i="7"/>
  <c r="AG186" i="7"/>
  <c r="AV186" i="7"/>
  <c r="I186" i="8"/>
  <c r="X186" i="8"/>
  <c r="AM186" i="8"/>
  <c r="J186" i="8"/>
  <c r="Y186" i="8"/>
  <c r="AN186" i="8"/>
  <c r="L186" i="8"/>
  <c r="AA186" i="8"/>
  <c r="AP186" i="8"/>
  <c r="N186" i="8"/>
  <c r="AC186" i="8"/>
  <c r="AR186" i="8"/>
  <c r="P186" i="8"/>
  <c r="AE186" i="8"/>
  <c r="AT186" i="8"/>
  <c r="Q186" i="8"/>
  <c r="AF186" i="8"/>
  <c r="AU186" i="8"/>
  <c r="H186" i="8"/>
  <c r="W186" i="8"/>
  <c r="AL186" i="8"/>
  <c r="K186" i="8"/>
  <c r="Z186" i="8"/>
  <c r="AO186" i="8"/>
  <c r="M186" i="8"/>
  <c r="AB186" i="8"/>
  <c r="AQ186" i="8"/>
  <c r="O186" i="8"/>
  <c r="AD186" i="8"/>
  <c r="AS186" i="8"/>
  <c r="R186" i="8"/>
  <c r="AG186" i="8"/>
  <c r="AV186" i="8"/>
  <c r="M186" i="7"/>
  <c r="AB186" i="7"/>
  <c r="AQ186" i="7"/>
  <c r="D174" i="8"/>
  <c r="S174" i="8"/>
  <c r="AH174" i="8"/>
  <c r="E162" i="8"/>
  <c r="T162" i="8"/>
  <c r="AI162" i="8"/>
  <c r="D157" i="9"/>
  <c r="S157" i="9"/>
  <c r="AH157" i="9"/>
  <c r="D134" i="7"/>
  <c r="S134" i="7"/>
  <c r="AH134" i="7"/>
  <c r="G131" i="9"/>
  <c r="V131" i="9"/>
  <c r="AK131" i="9"/>
  <c r="V127" i="10"/>
  <c r="G127" i="10"/>
  <c r="AK127" i="10"/>
  <c r="D112" i="10"/>
  <c r="S112" i="10"/>
  <c r="AH112" i="10"/>
  <c r="E114" i="9"/>
  <c r="T114" i="9"/>
  <c r="AI114" i="9"/>
  <c r="AY116" i="8"/>
  <c r="C116" i="8"/>
  <c r="AX117" i="8"/>
  <c r="AW116" i="8"/>
  <c r="G117" i="8"/>
  <c r="V117" i="8"/>
  <c r="AK117" i="8"/>
  <c r="E106" i="10"/>
  <c r="T106" i="10"/>
  <c r="AI106" i="10"/>
  <c r="C98" i="9"/>
  <c r="AY98" i="9"/>
  <c r="AX99" i="9"/>
  <c r="AW98" i="9"/>
  <c r="F99" i="9"/>
  <c r="U99" i="9"/>
  <c r="AJ99" i="9"/>
  <c r="AY88" i="10"/>
  <c r="C88" i="10"/>
  <c r="AX89" i="10"/>
  <c r="AW88" i="10"/>
  <c r="F89" i="10"/>
  <c r="U89" i="10"/>
  <c r="AJ89" i="10"/>
  <c r="AI44" i="7"/>
  <c r="AJ131" i="8" l="1"/>
  <c r="F131" i="8"/>
  <c r="U131" i="8"/>
  <c r="AK44" i="7"/>
  <c r="G45" i="7" s="1"/>
  <c r="AY44" i="7"/>
  <c r="H188" i="10"/>
  <c r="W188" i="10"/>
  <c r="AL188" i="10"/>
  <c r="I188" i="10"/>
  <c r="X188" i="10"/>
  <c r="AM188" i="10"/>
  <c r="J188" i="10"/>
  <c r="Y188" i="10"/>
  <c r="AN188" i="10"/>
  <c r="K188" i="10"/>
  <c r="Z188" i="10"/>
  <c r="AO188" i="10"/>
  <c r="L188" i="10"/>
  <c r="AA188" i="10"/>
  <c r="AP188" i="10"/>
  <c r="M188" i="10"/>
  <c r="AB188" i="10"/>
  <c r="AQ188" i="10"/>
  <c r="N188" i="10"/>
  <c r="AC188" i="10"/>
  <c r="AR188" i="10"/>
  <c r="O188" i="10"/>
  <c r="AD188" i="10"/>
  <c r="AS188" i="10"/>
  <c r="P188" i="10"/>
  <c r="AE188" i="10"/>
  <c r="AT188" i="10"/>
  <c r="Q188" i="10"/>
  <c r="AF188" i="10"/>
  <c r="AU188" i="10"/>
  <c r="R188" i="10"/>
  <c r="AG188" i="10"/>
  <c r="AV188" i="10"/>
  <c r="H188" i="9"/>
  <c r="W188" i="9"/>
  <c r="AL188" i="9"/>
  <c r="I188" i="9"/>
  <c r="X188" i="9"/>
  <c r="AM188" i="9"/>
  <c r="J188" i="9"/>
  <c r="Y188" i="9"/>
  <c r="AN188" i="9"/>
  <c r="K188" i="9"/>
  <c r="Z188" i="9"/>
  <c r="AO188" i="9"/>
  <c r="L188" i="9"/>
  <c r="AA188" i="9"/>
  <c r="AP188" i="9"/>
  <c r="M188" i="9"/>
  <c r="AB188" i="9"/>
  <c r="AQ188" i="9"/>
  <c r="N188" i="9"/>
  <c r="AC188" i="9"/>
  <c r="AR188" i="9"/>
  <c r="O188" i="9"/>
  <c r="AD188" i="9"/>
  <c r="AS188" i="9"/>
  <c r="P188" i="9"/>
  <c r="AE188" i="9"/>
  <c r="AT188" i="9"/>
  <c r="Q188" i="9"/>
  <c r="AF188" i="9"/>
  <c r="AU188" i="9"/>
  <c r="R188" i="9"/>
  <c r="AG188" i="9"/>
  <c r="AV188" i="9"/>
  <c r="H187" i="7"/>
  <c r="W187" i="7"/>
  <c r="AL187" i="7"/>
  <c r="I187" i="7"/>
  <c r="X187" i="7"/>
  <c r="AM187" i="7"/>
  <c r="J187" i="7"/>
  <c r="Y187" i="7"/>
  <c r="AN187" i="7"/>
  <c r="K187" i="7"/>
  <c r="Z187" i="7"/>
  <c r="AO187" i="7"/>
  <c r="L187" i="7"/>
  <c r="AA187" i="7"/>
  <c r="AP187" i="7"/>
  <c r="N187" i="7"/>
  <c r="AC187" i="7"/>
  <c r="AR187" i="7"/>
  <c r="O187" i="7"/>
  <c r="AD187" i="7"/>
  <c r="AS187" i="7"/>
  <c r="P187" i="7"/>
  <c r="AE187" i="7"/>
  <c r="AT187" i="7"/>
  <c r="Q187" i="7"/>
  <c r="AF187" i="7"/>
  <c r="AU187" i="7"/>
  <c r="R187" i="7"/>
  <c r="AG187" i="7"/>
  <c r="AV187" i="7"/>
  <c r="I187" i="8"/>
  <c r="X187" i="8"/>
  <c r="AM187" i="8"/>
  <c r="J187" i="8"/>
  <c r="Y187" i="8"/>
  <c r="AN187" i="8"/>
  <c r="L187" i="8"/>
  <c r="AA187" i="8"/>
  <c r="AP187" i="8"/>
  <c r="N187" i="8"/>
  <c r="AC187" i="8"/>
  <c r="AR187" i="8"/>
  <c r="P187" i="8"/>
  <c r="AE187" i="8"/>
  <c r="AT187" i="8"/>
  <c r="Q187" i="8"/>
  <c r="AF187" i="8"/>
  <c r="AU187" i="8"/>
  <c r="H187" i="8"/>
  <c r="W187" i="8"/>
  <c r="AL187" i="8"/>
  <c r="K187" i="8"/>
  <c r="Z187" i="8"/>
  <c r="AO187" i="8"/>
  <c r="M187" i="8"/>
  <c r="AB187" i="8"/>
  <c r="AQ187" i="8"/>
  <c r="O187" i="8"/>
  <c r="AD187" i="8"/>
  <c r="AS187" i="8"/>
  <c r="R187" i="8"/>
  <c r="AG187" i="8"/>
  <c r="AV187" i="8"/>
  <c r="M187" i="7"/>
  <c r="AB187" i="7"/>
  <c r="AQ187" i="7"/>
  <c r="D175" i="8"/>
  <c r="S175" i="8"/>
  <c r="AH175" i="8"/>
  <c r="E163" i="8"/>
  <c r="T163" i="8"/>
  <c r="AI163" i="8"/>
  <c r="D158" i="9"/>
  <c r="S158" i="9"/>
  <c r="AH158" i="9"/>
  <c r="D135" i="7"/>
  <c r="S135" i="7"/>
  <c r="AH135" i="7"/>
  <c r="G132" i="9"/>
  <c r="V132" i="9"/>
  <c r="AK132" i="9"/>
  <c r="AK128" i="10"/>
  <c r="G128" i="10"/>
  <c r="V128" i="10"/>
  <c r="D113" i="10"/>
  <c r="S113" i="10"/>
  <c r="AH113" i="10"/>
  <c r="E115" i="9"/>
  <c r="T115" i="9"/>
  <c r="AI115" i="9"/>
  <c r="C117" i="8"/>
  <c r="AY117" i="8"/>
  <c r="AX118" i="8"/>
  <c r="AW117" i="8"/>
  <c r="W42" i="2" s="1"/>
  <c r="G118" i="8"/>
  <c r="V118" i="8"/>
  <c r="AK118" i="8"/>
  <c r="E107" i="10"/>
  <c r="T107" i="10"/>
  <c r="AI107" i="10"/>
  <c r="AY99" i="9"/>
  <c r="C99" i="9"/>
  <c r="AX100" i="9"/>
  <c r="AW99" i="9"/>
  <c r="F100" i="9"/>
  <c r="U100" i="9"/>
  <c r="AJ100" i="9"/>
  <c r="C89" i="10"/>
  <c r="AY89" i="10"/>
  <c r="AX90" i="10"/>
  <c r="AW89" i="10"/>
  <c r="F90" i="10"/>
  <c r="U90" i="10"/>
  <c r="AJ90" i="10"/>
  <c r="AW44" i="7"/>
  <c r="AX45" i="7"/>
  <c r="E45" i="7"/>
  <c r="AJ132" i="8" l="1"/>
  <c r="U132" i="8"/>
  <c r="F132" i="8"/>
  <c r="H189" i="10"/>
  <c r="W189" i="10"/>
  <c r="AL189" i="10"/>
  <c r="I189" i="10"/>
  <c r="X189" i="10"/>
  <c r="AM189" i="10"/>
  <c r="J189" i="10"/>
  <c r="Y189" i="10"/>
  <c r="AN189" i="10"/>
  <c r="K189" i="10"/>
  <c r="Z189" i="10"/>
  <c r="AO189" i="10"/>
  <c r="L189" i="10"/>
  <c r="AA189" i="10"/>
  <c r="AP189" i="10"/>
  <c r="M189" i="10"/>
  <c r="AB189" i="10"/>
  <c r="AQ189" i="10"/>
  <c r="N189" i="10"/>
  <c r="AC189" i="10"/>
  <c r="AR189" i="10"/>
  <c r="O189" i="10"/>
  <c r="AD189" i="10"/>
  <c r="AS189" i="10"/>
  <c r="P189" i="10"/>
  <c r="AE189" i="10"/>
  <c r="AT189" i="10"/>
  <c r="Q189" i="10"/>
  <c r="AF189" i="10"/>
  <c r="AU189" i="10"/>
  <c r="R189" i="10"/>
  <c r="AG189" i="10"/>
  <c r="AV189" i="10"/>
  <c r="H189" i="9"/>
  <c r="W189" i="9"/>
  <c r="AL189" i="9"/>
  <c r="I189" i="9"/>
  <c r="X189" i="9"/>
  <c r="AM189" i="9"/>
  <c r="J189" i="9"/>
  <c r="Y189" i="9"/>
  <c r="AN189" i="9"/>
  <c r="K189" i="9"/>
  <c r="Z189" i="9"/>
  <c r="AO189" i="9"/>
  <c r="L189" i="9"/>
  <c r="AA189" i="9"/>
  <c r="AP189" i="9"/>
  <c r="M189" i="9"/>
  <c r="AB189" i="9"/>
  <c r="AQ189" i="9"/>
  <c r="N189" i="9"/>
  <c r="AC189" i="9"/>
  <c r="AR189" i="9"/>
  <c r="O189" i="9"/>
  <c r="AD189" i="9"/>
  <c r="AS189" i="9"/>
  <c r="P189" i="9"/>
  <c r="AE189" i="9"/>
  <c r="AT189" i="9"/>
  <c r="Q189" i="9"/>
  <c r="AF189" i="9"/>
  <c r="AU189" i="9"/>
  <c r="R189" i="9"/>
  <c r="AG189" i="9"/>
  <c r="AV189" i="9"/>
  <c r="H188" i="7"/>
  <c r="W188" i="7"/>
  <c r="AL188" i="7"/>
  <c r="I188" i="7"/>
  <c r="X188" i="7"/>
  <c r="AM188" i="7"/>
  <c r="J188" i="7"/>
  <c r="Y188" i="7"/>
  <c r="AN188" i="7"/>
  <c r="K188" i="7"/>
  <c r="Z188" i="7"/>
  <c r="AO188" i="7"/>
  <c r="L188" i="7"/>
  <c r="AA188" i="7"/>
  <c r="AP188" i="7"/>
  <c r="N188" i="7"/>
  <c r="AC188" i="7"/>
  <c r="AR188" i="7"/>
  <c r="O188" i="7"/>
  <c r="AD188" i="7"/>
  <c r="AS188" i="7"/>
  <c r="P188" i="7"/>
  <c r="AE188" i="7"/>
  <c r="AT188" i="7"/>
  <c r="Q188" i="7"/>
  <c r="AF188" i="7"/>
  <c r="AU188" i="7"/>
  <c r="R188" i="7"/>
  <c r="AG188" i="7"/>
  <c r="AV188" i="7"/>
  <c r="I188" i="8"/>
  <c r="X188" i="8"/>
  <c r="AM188" i="8"/>
  <c r="J188" i="8"/>
  <c r="Y188" i="8"/>
  <c r="AN188" i="8"/>
  <c r="L188" i="8"/>
  <c r="AA188" i="8"/>
  <c r="AP188" i="8"/>
  <c r="N188" i="8"/>
  <c r="AC188" i="8"/>
  <c r="AR188" i="8"/>
  <c r="P188" i="8"/>
  <c r="AE188" i="8"/>
  <c r="AT188" i="8"/>
  <c r="Q188" i="8"/>
  <c r="AF188" i="8"/>
  <c r="AU188" i="8"/>
  <c r="H188" i="8"/>
  <c r="W188" i="8"/>
  <c r="AL188" i="8"/>
  <c r="K188" i="8"/>
  <c r="Z188" i="8"/>
  <c r="AO188" i="8"/>
  <c r="M188" i="8"/>
  <c r="AB188" i="8"/>
  <c r="AQ188" i="8"/>
  <c r="O188" i="8"/>
  <c r="AD188" i="8"/>
  <c r="AS188" i="8"/>
  <c r="R188" i="8"/>
  <c r="AG188" i="8"/>
  <c r="AV188" i="8"/>
  <c r="M188" i="7"/>
  <c r="AB188" i="7"/>
  <c r="AQ188" i="7"/>
  <c r="D176" i="8"/>
  <c r="S176" i="8"/>
  <c r="AH176" i="8"/>
  <c r="E164" i="8"/>
  <c r="T164" i="8"/>
  <c r="AI164" i="8"/>
  <c r="D159" i="9"/>
  <c r="S159" i="9"/>
  <c r="AH159" i="9"/>
  <c r="D136" i="7"/>
  <c r="S136" i="7"/>
  <c r="AH136" i="7"/>
  <c r="G133" i="9"/>
  <c r="V133" i="9"/>
  <c r="AK133" i="9"/>
  <c r="V129" i="10"/>
  <c r="G129" i="10"/>
  <c r="AK129" i="10"/>
  <c r="D114" i="10"/>
  <c r="S114" i="10"/>
  <c r="AH114" i="10"/>
  <c r="E116" i="9"/>
  <c r="T116" i="9"/>
  <c r="AI116" i="9"/>
  <c r="AY118" i="8"/>
  <c r="C118" i="8"/>
  <c r="AX119" i="8"/>
  <c r="AW118" i="8"/>
  <c r="G119" i="8"/>
  <c r="V119" i="8"/>
  <c r="AK119" i="8"/>
  <c r="E108" i="10"/>
  <c r="T108" i="10"/>
  <c r="AI108" i="10"/>
  <c r="AY100" i="9"/>
  <c r="C100" i="9"/>
  <c r="AW100" i="9"/>
  <c r="AX101" i="9"/>
  <c r="F101" i="9"/>
  <c r="U101" i="9"/>
  <c r="AJ101" i="9"/>
  <c r="C90" i="10"/>
  <c r="AY90" i="10"/>
  <c r="AW90" i="10"/>
  <c r="AX91" i="10"/>
  <c r="F91" i="10"/>
  <c r="U91" i="10"/>
  <c r="AJ91" i="10"/>
  <c r="C45" i="7"/>
  <c r="AJ133" i="8" l="1"/>
  <c r="U133" i="8"/>
  <c r="F133" i="8"/>
  <c r="H190" i="10"/>
  <c r="W190" i="10"/>
  <c r="AL190" i="10"/>
  <c r="I190" i="10"/>
  <c r="X190" i="10"/>
  <c r="AM190" i="10"/>
  <c r="J190" i="10"/>
  <c r="Y190" i="10"/>
  <c r="AN190" i="10"/>
  <c r="K190" i="10"/>
  <c r="Z190" i="10"/>
  <c r="AO190" i="10"/>
  <c r="L190" i="10"/>
  <c r="AA190" i="10"/>
  <c r="AP190" i="10"/>
  <c r="M190" i="10"/>
  <c r="AB190" i="10"/>
  <c r="AQ190" i="10"/>
  <c r="N190" i="10"/>
  <c r="AC190" i="10"/>
  <c r="AR190" i="10"/>
  <c r="O190" i="10"/>
  <c r="AD190" i="10"/>
  <c r="AS190" i="10"/>
  <c r="P190" i="10"/>
  <c r="AE190" i="10"/>
  <c r="AT190" i="10"/>
  <c r="Q190" i="10"/>
  <c r="AF190" i="10"/>
  <c r="AU190" i="10"/>
  <c r="R190" i="10"/>
  <c r="AG190" i="10"/>
  <c r="AV190" i="10"/>
  <c r="H190" i="9"/>
  <c r="W190" i="9"/>
  <c r="AL190" i="9"/>
  <c r="I190" i="9"/>
  <c r="X190" i="9"/>
  <c r="AM190" i="9"/>
  <c r="J190" i="9"/>
  <c r="Y190" i="9"/>
  <c r="AN190" i="9"/>
  <c r="K190" i="9"/>
  <c r="Z190" i="9"/>
  <c r="AO190" i="9"/>
  <c r="L190" i="9"/>
  <c r="AA190" i="9"/>
  <c r="AP190" i="9"/>
  <c r="M190" i="9"/>
  <c r="AB190" i="9"/>
  <c r="AQ190" i="9"/>
  <c r="N190" i="9"/>
  <c r="AC190" i="9"/>
  <c r="AR190" i="9"/>
  <c r="O190" i="9"/>
  <c r="AD190" i="9"/>
  <c r="AS190" i="9"/>
  <c r="P190" i="9"/>
  <c r="AE190" i="9"/>
  <c r="AT190" i="9"/>
  <c r="Q190" i="9"/>
  <c r="AF190" i="9"/>
  <c r="AU190" i="9"/>
  <c r="R190" i="9"/>
  <c r="AG190" i="9"/>
  <c r="AV190" i="9"/>
  <c r="H189" i="7"/>
  <c r="W189" i="7"/>
  <c r="AL189" i="7"/>
  <c r="I189" i="7"/>
  <c r="X189" i="7"/>
  <c r="AM189" i="7"/>
  <c r="J189" i="7"/>
  <c r="Y189" i="7"/>
  <c r="AN189" i="7"/>
  <c r="K189" i="7"/>
  <c r="Z189" i="7"/>
  <c r="AO189" i="7"/>
  <c r="L189" i="7"/>
  <c r="AA189" i="7"/>
  <c r="AP189" i="7"/>
  <c r="N189" i="7"/>
  <c r="AC189" i="7"/>
  <c r="AR189" i="7"/>
  <c r="O189" i="7"/>
  <c r="AD189" i="7"/>
  <c r="AS189" i="7"/>
  <c r="P189" i="7"/>
  <c r="AE189" i="7"/>
  <c r="AT189" i="7"/>
  <c r="Q189" i="7"/>
  <c r="AF189" i="7"/>
  <c r="AU189" i="7"/>
  <c r="R189" i="7"/>
  <c r="AG189" i="7"/>
  <c r="AV189" i="7"/>
  <c r="I189" i="8"/>
  <c r="X189" i="8"/>
  <c r="AM189" i="8"/>
  <c r="J189" i="8"/>
  <c r="Y189" i="8"/>
  <c r="AN189" i="8"/>
  <c r="L189" i="8"/>
  <c r="AA189" i="8"/>
  <c r="AP189" i="8"/>
  <c r="N189" i="8"/>
  <c r="AC189" i="8"/>
  <c r="AR189" i="8"/>
  <c r="P189" i="8"/>
  <c r="AE189" i="8"/>
  <c r="AT189" i="8"/>
  <c r="Q189" i="8"/>
  <c r="AF189" i="8"/>
  <c r="AU189" i="8"/>
  <c r="H189" i="8"/>
  <c r="W189" i="8"/>
  <c r="AL189" i="8"/>
  <c r="K189" i="8"/>
  <c r="Z189" i="8"/>
  <c r="AO189" i="8"/>
  <c r="M189" i="8"/>
  <c r="AB189" i="8"/>
  <c r="AQ189" i="8"/>
  <c r="O189" i="8"/>
  <c r="AD189" i="8"/>
  <c r="AS189" i="8"/>
  <c r="R189" i="8"/>
  <c r="AG189" i="8"/>
  <c r="AV189" i="8"/>
  <c r="M189" i="7"/>
  <c r="AB189" i="7"/>
  <c r="AQ189" i="7"/>
  <c r="D177" i="8"/>
  <c r="S177" i="8"/>
  <c r="AH177" i="8"/>
  <c r="E165" i="8"/>
  <c r="T165" i="8"/>
  <c r="AI165" i="8"/>
  <c r="D160" i="9"/>
  <c r="S160" i="9"/>
  <c r="AH160" i="9"/>
  <c r="D137" i="7"/>
  <c r="S137" i="7"/>
  <c r="AH137" i="7"/>
  <c r="G134" i="9"/>
  <c r="V134" i="9"/>
  <c r="AK134" i="9"/>
  <c r="G130" i="10"/>
  <c r="V130" i="10"/>
  <c r="AK130" i="10"/>
  <c r="D115" i="10"/>
  <c r="S115" i="10"/>
  <c r="AH115" i="10"/>
  <c r="E117" i="9"/>
  <c r="T117" i="9"/>
  <c r="AI117" i="9"/>
  <c r="C119" i="8"/>
  <c r="AY119" i="8"/>
  <c r="AX120" i="8"/>
  <c r="AW119" i="8"/>
  <c r="G120" i="8"/>
  <c r="V120" i="8"/>
  <c r="AK120" i="8"/>
  <c r="E109" i="10"/>
  <c r="T109" i="10"/>
  <c r="AI109" i="10"/>
  <c r="AY101" i="9"/>
  <c r="C101" i="9"/>
  <c r="AX102" i="9"/>
  <c r="AW101" i="9"/>
  <c r="F102" i="9"/>
  <c r="U102" i="9"/>
  <c r="AJ102" i="9"/>
  <c r="AY91" i="10"/>
  <c r="C91" i="10"/>
  <c r="AW91" i="10"/>
  <c r="AX92" i="10"/>
  <c r="F92" i="10"/>
  <c r="U92" i="10"/>
  <c r="AJ92" i="10"/>
  <c r="T45" i="7"/>
  <c r="U134" i="8" l="1"/>
  <c r="AJ134" i="8"/>
  <c r="F134" i="8"/>
  <c r="H191" i="10"/>
  <c r="W191" i="10"/>
  <c r="AL191" i="10"/>
  <c r="I191" i="10"/>
  <c r="X191" i="10"/>
  <c r="AM191" i="10"/>
  <c r="J191" i="10"/>
  <c r="Y191" i="10"/>
  <c r="AN191" i="10"/>
  <c r="K191" i="10"/>
  <c r="Z191" i="10"/>
  <c r="AO191" i="10"/>
  <c r="L191" i="10"/>
  <c r="AA191" i="10"/>
  <c r="AP191" i="10"/>
  <c r="M191" i="10"/>
  <c r="AB191" i="10"/>
  <c r="AQ191" i="10"/>
  <c r="N191" i="10"/>
  <c r="AC191" i="10"/>
  <c r="AR191" i="10"/>
  <c r="O191" i="10"/>
  <c r="AD191" i="10"/>
  <c r="AS191" i="10"/>
  <c r="P191" i="10"/>
  <c r="AE191" i="10"/>
  <c r="AT191" i="10"/>
  <c r="Q191" i="10"/>
  <c r="AF191" i="10"/>
  <c r="AU191" i="10"/>
  <c r="R191" i="10"/>
  <c r="AG191" i="10"/>
  <c r="AV191" i="10"/>
  <c r="H191" i="9"/>
  <c r="W191" i="9"/>
  <c r="AL191" i="9"/>
  <c r="I191" i="9"/>
  <c r="X191" i="9"/>
  <c r="AM191" i="9"/>
  <c r="J191" i="9"/>
  <c r="Y191" i="9"/>
  <c r="AN191" i="9"/>
  <c r="K191" i="9"/>
  <c r="Z191" i="9"/>
  <c r="AO191" i="9"/>
  <c r="L191" i="9"/>
  <c r="AA191" i="9"/>
  <c r="AP191" i="9"/>
  <c r="M191" i="9"/>
  <c r="AB191" i="9"/>
  <c r="AQ191" i="9"/>
  <c r="N191" i="9"/>
  <c r="AC191" i="9"/>
  <c r="AR191" i="9"/>
  <c r="O191" i="9"/>
  <c r="AD191" i="9"/>
  <c r="AS191" i="9"/>
  <c r="P191" i="9"/>
  <c r="AE191" i="9"/>
  <c r="AT191" i="9"/>
  <c r="Q191" i="9"/>
  <c r="AF191" i="9"/>
  <c r="AU191" i="9"/>
  <c r="R191" i="9"/>
  <c r="AG191" i="9"/>
  <c r="AV191" i="9"/>
  <c r="H190" i="7"/>
  <c r="W190" i="7"/>
  <c r="AL190" i="7"/>
  <c r="I190" i="7"/>
  <c r="X190" i="7"/>
  <c r="AM190" i="7"/>
  <c r="J190" i="7"/>
  <c r="Y190" i="7"/>
  <c r="AN190" i="7"/>
  <c r="K190" i="7"/>
  <c r="Z190" i="7"/>
  <c r="AO190" i="7"/>
  <c r="L190" i="7"/>
  <c r="AA190" i="7"/>
  <c r="AP190" i="7"/>
  <c r="N190" i="7"/>
  <c r="AC190" i="7"/>
  <c r="AR190" i="7"/>
  <c r="O190" i="7"/>
  <c r="AD190" i="7"/>
  <c r="AS190" i="7"/>
  <c r="P190" i="7"/>
  <c r="AE190" i="7"/>
  <c r="AT190" i="7"/>
  <c r="Q190" i="7"/>
  <c r="AF190" i="7"/>
  <c r="AU190" i="7"/>
  <c r="R190" i="7"/>
  <c r="AG190" i="7"/>
  <c r="AV190" i="7"/>
  <c r="I190" i="8"/>
  <c r="X190" i="8"/>
  <c r="AM190" i="8"/>
  <c r="J190" i="8"/>
  <c r="Y190" i="8"/>
  <c r="AN190" i="8"/>
  <c r="L190" i="8"/>
  <c r="AA190" i="8"/>
  <c r="AP190" i="8"/>
  <c r="N190" i="8"/>
  <c r="AC190" i="8"/>
  <c r="AR190" i="8"/>
  <c r="P190" i="8"/>
  <c r="AE190" i="8"/>
  <c r="AT190" i="8"/>
  <c r="Q190" i="8"/>
  <c r="AF190" i="8"/>
  <c r="AU190" i="8"/>
  <c r="H190" i="8"/>
  <c r="W190" i="8"/>
  <c r="AL190" i="8"/>
  <c r="K190" i="8"/>
  <c r="Z190" i="8"/>
  <c r="AO190" i="8"/>
  <c r="M190" i="8"/>
  <c r="AB190" i="8"/>
  <c r="AQ190" i="8"/>
  <c r="O190" i="8"/>
  <c r="AD190" i="8"/>
  <c r="AS190" i="8"/>
  <c r="R190" i="8"/>
  <c r="AG190" i="8"/>
  <c r="AV190" i="8"/>
  <c r="M190" i="7"/>
  <c r="AB190" i="7"/>
  <c r="AQ190" i="7"/>
  <c r="D178" i="8"/>
  <c r="S178" i="8"/>
  <c r="AH178" i="8"/>
  <c r="E166" i="8"/>
  <c r="T166" i="8"/>
  <c r="AI166" i="8"/>
  <c r="D161" i="9"/>
  <c r="S161" i="9"/>
  <c r="AH161" i="9"/>
  <c r="D138" i="7"/>
  <c r="S138" i="7"/>
  <c r="AH138" i="7"/>
  <c r="G135" i="9"/>
  <c r="V135" i="9"/>
  <c r="AK135" i="9"/>
  <c r="G131" i="10"/>
  <c r="V131" i="10"/>
  <c r="AK131" i="10"/>
  <c r="D116" i="10"/>
  <c r="S116" i="10"/>
  <c r="AH116" i="10"/>
  <c r="E118" i="9"/>
  <c r="T118" i="9"/>
  <c r="AI118" i="9"/>
  <c r="AY120" i="8"/>
  <c r="C120" i="8"/>
  <c r="AX121" i="8"/>
  <c r="AW120" i="8"/>
  <c r="W43" i="2" s="1"/>
  <c r="G121" i="8"/>
  <c r="V121" i="8"/>
  <c r="AK121" i="8"/>
  <c r="E110" i="10"/>
  <c r="T110" i="10"/>
  <c r="AI110" i="10"/>
  <c r="AY102" i="9"/>
  <c r="C102" i="9"/>
  <c r="AX103" i="9"/>
  <c r="AW102" i="9"/>
  <c r="F103" i="9"/>
  <c r="U103" i="9"/>
  <c r="AJ103" i="9"/>
  <c r="C92" i="10"/>
  <c r="AY92" i="10"/>
  <c r="AW92" i="10"/>
  <c r="AX93" i="10"/>
  <c r="F93" i="10"/>
  <c r="U93" i="10"/>
  <c r="AJ93" i="10"/>
  <c r="AI45" i="7"/>
  <c r="U45" i="7"/>
  <c r="V45" i="7"/>
  <c r="AK45" i="7" s="1"/>
  <c r="AJ135" i="8" l="1"/>
  <c r="U135" i="8"/>
  <c r="F135" i="8"/>
  <c r="H192" i="10"/>
  <c r="W192" i="10"/>
  <c r="AL192" i="10"/>
  <c r="I192" i="10"/>
  <c r="X192" i="10"/>
  <c r="AM192" i="10"/>
  <c r="J192" i="10"/>
  <c r="Y192" i="10"/>
  <c r="AN192" i="10"/>
  <c r="K192" i="10"/>
  <c r="Z192" i="10"/>
  <c r="AO192" i="10"/>
  <c r="L192" i="10"/>
  <c r="AA192" i="10"/>
  <c r="AP192" i="10"/>
  <c r="M192" i="10"/>
  <c r="AB192" i="10"/>
  <c r="AQ192" i="10"/>
  <c r="N192" i="10"/>
  <c r="AC192" i="10"/>
  <c r="AR192" i="10"/>
  <c r="O192" i="10"/>
  <c r="AD192" i="10"/>
  <c r="AS192" i="10"/>
  <c r="P192" i="10"/>
  <c r="AE192" i="10"/>
  <c r="AT192" i="10"/>
  <c r="Q192" i="10"/>
  <c r="AF192" i="10"/>
  <c r="AU192" i="10"/>
  <c r="R192" i="10"/>
  <c r="AG192" i="10"/>
  <c r="AV192" i="10"/>
  <c r="H192" i="9"/>
  <c r="W192" i="9"/>
  <c r="AL192" i="9"/>
  <c r="I192" i="9"/>
  <c r="X192" i="9"/>
  <c r="AM192" i="9"/>
  <c r="J192" i="9"/>
  <c r="Y192" i="9"/>
  <c r="AN192" i="9"/>
  <c r="K192" i="9"/>
  <c r="Z192" i="9"/>
  <c r="AO192" i="9"/>
  <c r="L192" i="9"/>
  <c r="AA192" i="9"/>
  <c r="AP192" i="9"/>
  <c r="M192" i="9"/>
  <c r="AB192" i="9"/>
  <c r="AQ192" i="9"/>
  <c r="N192" i="9"/>
  <c r="AC192" i="9"/>
  <c r="AR192" i="9"/>
  <c r="O192" i="9"/>
  <c r="AD192" i="9"/>
  <c r="AS192" i="9"/>
  <c r="P192" i="9"/>
  <c r="AE192" i="9"/>
  <c r="AT192" i="9"/>
  <c r="Q192" i="9"/>
  <c r="AF192" i="9"/>
  <c r="AU192" i="9"/>
  <c r="R192" i="9"/>
  <c r="AG192" i="9"/>
  <c r="AV192" i="9"/>
  <c r="H191" i="7"/>
  <c r="W191" i="7"/>
  <c r="AL191" i="7"/>
  <c r="I191" i="7"/>
  <c r="X191" i="7"/>
  <c r="AM191" i="7"/>
  <c r="J191" i="7"/>
  <c r="Y191" i="7"/>
  <c r="AN191" i="7"/>
  <c r="K191" i="7"/>
  <c r="Z191" i="7"/>
  <c r="AO191" i="7"/>
  <c r="L191" i="7"/>
  <c r="AA191" i="7"/>
  <c r="AP191" i="7"/>
  <c r="N191" i="7"/>
  <c r="AC191" i="7"/>
  <c r="AR191" i="7"/>
  <c r="O191" i="7"/>
  <c r="AD191" i="7"/>
  <c r="AS191" i="7"/>
  <c r="P191" i="7"/>
  <c r="AE191" i="7"/>
  <c r="AT191" i="7"/>
  <c r="Q191" i="7"/>
  <c r="AF191" i="7"/>
  <c r="AU191" i="7"/>
  <c r="R191" i="7"/>
  <c r="AG191" i="7"/>
  <c r="AV191" i="7"/>
  <c r="I191" i="8"/>
  <c r="X191" i="8"/>
  <c r="AM191" i="8"/>
  <c r="J191" i="8"/>
  <c r="Y191" i="8"/>
  <c r="AN191" i="8"/>
  <c r="L191" i="8"/>
  <c r="AA191" i="8"/>
  <c r="AP191" i="8"/>
  <c r="N191" i="8"/>
  <c r="AC191" i="8"/>
  <c r="AR191" i="8"/>
  <c r="P191" i="8"/>
  <c r="AE191" i="8"/>
  <c r="AT191" i="8"/>
  <c r="Q191" i="8"/>
  <c r="AF191" i="8"/>
  <c r="AU191" i="8"/>
  <c r="H191" i="8"/>
  <c r="W191" i="8"/>
  <c r="AL191" i="8"/>
  <c r="K191" i="8"/>
  <c r="Z191" i="8"/>
  <c r="AO191" i="8"/>
  <c r="M191" i="8"/>
  <c r="AB191" i="8"/>
  <c r="AQ191" i="8"/>
  <c r="O191" i="8"/>
  <c r="AD191" i="8"/>
  <c r="AS191" i="8"/>
  <c r="R191" i="8"/>
  <c r="AG191" i="8"/>
  <c r="AV191" i="8"/>
  <c r="M191" i="7"/>
  <c r="AB191" i="7"/>
  <c r="AQ191" i="7"/>
  <c r="D179" i="8"/>
  <c r="S179" i="8"/>
  <c r="AH179" i="8"/>
  <c r="E167" i="8"/>
  <c r="T167" i="8"/>
  <c r="AI167" i="8"/>
  <c r="D162" i="9"/>
  <c r="S162" i="9"/>
  <c r="AH162" i="9"/>
  <c r="D139" i="7"/>
  <c r="S139" i="7"/>
  <c r="AH139" i="7"/>
  <c r="G136" i="9"/>
  <c r="V136" i="9"/>
  <c r="AK136" i="9"/>
  <c r="G132" i="10"/>
  <c r="V132" i="10"/>
  <c r="AK132" i="10"/>
  <c r="D117" i="10"/>
  <c r="S117" i="10"/>
  <c r="AH117" i="10"/>
  <c r="E119" i="9"/>
  <c r="T119" i="9"/>
  <c r="AI119" i="9"/>
  <c r="C121" i="8"/>
  <c r="AY121" i="8"/>
  <c r="AX122" i="8"/>
  <c r="AW121" i="8"/>
  <c r="G122" i="8"/>
  <c r="V122" i="8"/>
  <c r="AK122" i="8"/>
  <c r="E111" i="10"/>
  <c r="T111" i="10"/>
  <c r="AI111" i="10"/>
  <c r="AY103" i="9"/>
  <c r="C103" i="9"/>
  <c r="AW103" i="9"/>
  <c r="AX104" i="9"/>
  <c r="F104" i="9"/>
  <c r="U104" i="9"/>
  <c r="AJ104" i="9"/>
  <c r="C93" i="10"/>
  <c r="AY93" i="10"/>
  <c r="AW93" i="10"/>
  <c r="AX94" i="10"/>
  <c r="F94" i="10"/>
  <c r="U94" i="10"/>
  <c r="AJ94" i="10"/>
  <c r="E46" i="7"/>
  <c r="G46" i="7"/>
  <c r="AJ45" i="7"/>
  <c r="AY45" i="7"/>
  <c r="AJ136" i="8" l="1"/>
  <c r="F136" i="8"/>
  <c r="U136" i="8"/>
  <c r="AX46" i="7"/>
  <c r="AW45" i="7"/>
  <c r="X18" i="2" s="1"/>
  <c r="H193" i="10"/>
  <c r="W193" i="10"/>
  <c r="AL193" i="10"/>
  <c r="I193" i="10"/>
  <c r="X193" i="10"/>
  <c r="AM193" i="10"/>
  <c r="J193" i="10"/>
  <c r="Y193" i="10"/>
  <c r="AN193" i="10"/>
  <c r="K193" i="10"/>
  <c r="Z193" i="10"/>
  <c r="AO193" i="10"/>
  <c r="L193" i="10"/>
  <c r="AA193" i="10"/>
  <c r="AP193" i="10"/>
  <c r="M193" i="10"/>
  <c r="AB193" i="10"/>
  <c r="AQ193" i="10"/>
  <c r="N193" i="10"/>
  <c r="AC193" i="10"/>
  <c r="AR193" i="10"/>
  <c r="O193" i="10"/>
  <c r="AD193" i="10"/>
  <c r="AS193" i="10"/>
  <c r="P193" i="10"/>
  <c r="AE193" i="10"/>
  <c r="AT193" i="10"/>
  <c r="Q193" i="10"/>
  <c r="AF193" i="10"/>
  <c r="AU193" i="10"/>
  <c r="R193" i="10"/>
  <c r="AG193" i="10"/>
  <c r="AV193" i="10"/>
  <c r="H193" i="9"/>
  <c r="W193" i="9"/>
  <c r="AL193" i="9"/>
  <c r="I193" i="9"/>
  <c r="X193" i="9"/>
  <c r="AM193" i="9"/>
  <c r="J193" i="9"/>
  <c r="Y193" i="9"/>
  <c r="AN193" i="9"/>
  <c r="K193" i="9"/>
  <c r="Z193" i="9"/>
  <c r="AO193" i="9"/>
  <c r="L193" i="9"/>
  <c r="AA193" i="9"/>
  <c r="AP193" i="9"/>
  <c r="M193" i="9"/>
  <c r="AB193" i="9"/>
  <c r="AQ193" i="9"/>
  <c r="N193" i="9"/>
  <c r="AC193" i="9"/>
  <c r="AR193" i="9"/>
  <c r="O193" i="9"/>
  <c r="AD193" i="9"/>
  <c r="AS193" i="9"/>
  <c r="P193" i="9"/>
  <c r="AE193" i="9"/>
  <c r="AT193" i="9"/>
  <c r="Q193" i="9"/>
  <c r="AF193" i="9"/>
  <c r="AU193" i="9"/>
  <c r="R193" i="9"/>
  <c r="AG193" i="9"/>
  <c r="AV193" i="9"/>
  <c r="H192" i="7"/>
  <c r="W192" i="7"/>
  <c r="AL192" i="7"/>
  <c r="I192" i="7"/>
  <c r="X192" i="7"/>
  <c r="AM192" i="7"/>
  <c r="J192" i="7"/>
  <c r="Y192" i="7"/>
  <c r="AN192" i="7"/>
  <c r="K192" i="7"/>
  <c r="Z192" i="7"/>
  <c r="AO192" i="7"/>
  <c r="L192" i="7"/>
  <c r="AA192" i="7"/>
  <c r="AP192" i="7"/>
  <c r="N192" i="7"/>
  <c r="AC192" i="7"/>
  <c r="AR192" i="7"/>
  <c r="O192" i="7"/>
  <c r="AD192" i="7"/>
  <c r="AS192" i="7"/>
  <c r="P192" i="7"/>
  <c r="AE192" i="7"/>
  <c r="AT192" i="7"/>
  <c r="Q192" i="7"/>
  <c r="AF192" i="7"/>
  <c r="AU192" i="7"/>
  <c r="R192" i="7"/>
  <c r="AG192" i="7"/>
  <c r="AV192" i="7"/>
  <c r="I192" i="8"/>
  <c r="X192" i="8"/>
  <c r="AM192" i="8"/>
  <c r="J192" i="8"/>
  <c r="Y192" i="8"/>
  <c r="AN192" i="8"/>
  <c r="L192" i="8"/>
  <c r="AA192" i="8"/>
  <c r="AP192" i="8"/>
  <c r="N192" i="8"/>
  <c r="AC192" i="8"/>
  <c r="AR192" i="8"/>
  <c r="P192" i="8"/>
  <c r="AE192" i="8"/>
  <c r="AT192" i="8"/>
  <c r="Q192" i="8"/>
  <c r="AF192" i="8"/>
  <c r="AU192" i="8"/>
  <c r="H192" i="8"/>
  <c r="W192" i="8"/>
  <c r="AL192" i="8"/>
  <c r="K192" i="8"/>
  <c r="Z192" i="8"/>
  <c r="AO192" i="8"/>
  <c r="M192" i="8"/>
  <c r="AB192" i="8"/>
  <c r="AQ192" i="8"/>
  <c r="O192" i="8"/>
  <c r="AD192" i="8"/>
  <c r="AS192" i="8"/>
  <c r="R192" i="8"/>
  <c r="AG192" i="8"/>
  <c r="AV192" i="8"/>
  <c r="M192" i="7"/>
  <c r="AB192" i="7"/>
  <c r="AQ192" i="7"/>
  <c r="D180" i="8"/>
  <c r="S180" i="8"/>
  <c r="AH180" i="8"/>
  <c r="E168" i="8"/>
  <c r="T168" i="8"/>
  <c r="AI168" i="8"/>
  <c r="D163" i="9"/>
  <c r="S163" i="9"/>
  <c r="AH163" i="9"/>
  <c r="D140" i="7"/>
  <c r="S140" i="7"/>
  <c r="AH140" i="7"/>
  <c r="G137" i="9"/>
  <c r="V137" i="9"/>
  <c r="AK137" i="9"/>
  <c r="G133" i="10"/>
  <c r="AK133" i="10"/>
  <c r="V133" i="10"/>
  <c r="D118" i="10"/>
  <c r="S118" i="10"/>
  <c r="AH118" i="10"/>
  <c r="E120" i="9"/>
  <c r="T120" i="9"/>
  <c r="AI120" i="9"/>
  <c r="C122" i="8"/>
  <c r="AY122" i="8"/>
  <c r="AW122" i="8"/>
  <c r="AX123" i="8"/>
  <c r="G123" i="8"/>
  <c r="V123" i="8"/>
  <c r="AK123" i="8"/>
  <c r="E112" i="10"/>
  <c r="T112" i="10"/>
  <c r="AI112" i="10"/>
  <c r="AY104" i="9"/>
  <c r="C104" i="9"/>
  <c r="AX105" i="9"/>
  <c r="AW104" i="9"/>
  <c r="F105" i="9"/>
  <c r="U105" i="9"/>
  <c r="AJ105" i="9"/>
  <c r="AY94" i="10"/>
  <c r="C94" i="10"/>
  <c r="AW94" i="10"/>
  <c r="AX95" i="10"/>
  <c r="F95" i="10"/>
  <c r="U95" i="10"/>
  <c r="AJ95" i="10"/>
  <c r="F46" i="7"/>
  <c r="AJ137" i="8" l="1"/>
  <c r="F137" i="8"/>
  <c r="U137" i="8"/>
  <c r="H194" i="10"/>
  <c r="W194" i="10"/>
  <c r="AL194" i="10"/>
  <c r="I194" i="10"/>
  <c r="X194" i="10"/>
  <c r="AM194" i="10"/>
  <c r="J194" i="10"/>
  <c r="Y194" i="10"/>
  <c r="AN194" i="10"/>
  <c r="K194" i="10"/>
  <c r="Z194" i="10"/>
  <c r="AO194" i="10"/>
  <c r="L194" i="10"/>
  <c r="AA194" i="10"/>
  <c r="AP194" i="10"/>
  <c r="M194" i="10"/>
  <c r="AB194" i="10"/>
  <c r="AQ194" i="10"/>
  <c r="N194" i="10"/>
  <c r="AC194" i="10"/>
  <c r="AR194" i="10"/>
  <c r="O194" i="10"/>
  <c r="AD194" i="10"/>
  <c r="AS194" i="10"/>
  <c r="P194" i="10"/>
  <c r="AE194" i="10"/>
  <c r="AT194" i="10"/>
  <c r="Q194" i="10"/>
  <c r="AF194" i="10"/>
  <c r="AU194" i="10"/>
  <c r="R194" i="10"/>
  <c r="AG194" i="10"/>
  <c r="AV194" i="10"/>
  <c r="H194" i="9"/>
  <c r="W194" i="9"/>
  <c r="AL194" i="9"/>
  <c r="I194" i="9"/>
  <c r="X194" i="9"/>
  <c r="AM194" i="9"/>
  <c r="J194" i="9"/>
  <c r="Y194" i="9"/>
  <c r="AN194" i="9"/>
  <c r="K194" i="9"/>
  <c r="Z194" i="9"/>
  <c r="AO194" i="9"/>
  <c r="L194" i="9"/>
  <c r="AA194" i="9"/>
  <c r="AP194" i="9"/>
  <c r="M194" i="9"/>
  <c r="AB194" i="9"/>
  <c r="AQ194" i="9"/>
  <c r="N194" i="9"/>
  <c r="AC194" i="9"/>
  <c r="AR194" i="9"/>
  <c r="O194" i="9"/>
  <c r="AD194" i="9"/>
  <c r="AS194" i="9"/>
  <c r="P194" i="9"/>
  <c r="AE194" i="9"/>
  <c r="AT194" i="9"/>
  <c r="Q194" i="9"/>
  <c r="AF194" i="9"/>
  <c r="AU194" i="9"/>
  <c r="R194" i="9"/>
  <c r="AG194" i="9"/>
  <c r="AV194" i="9"/>
  <c r="H193" i="7"/>
  <c r="W193" i="7"/>
  <c r="AL193" i="7"/>
  <c r="I193" i="7"/>
  <c r="X193" i="7"/>
  <c r="AM193" i="7"/>
  <c r="J193" i="7"/>
  <c r="Y193" i="7"/>
  <c r="AN193" i="7"/>
  <c r="K193" i="7"/>
  <c r="Z193" i="7"/>
  <c r="AO193" i="7"/>
  <c r="L193" i="7"/>
  <c r="AA193" i="7"/>
  <c r="AP193" i="7"/>
  <c r="N193" i="7"/>
  <c r="AC193" i="7"/>
  <c r="AR193" i="7"/>
  <c r="O193" i="7"/>
  <c r="AD193" i="7"/>
  <c r="AS193" i="7"/>
  <c r="P193" i="7"/>
  <c r="AE193" i="7"/>
  <c r="AT193" i="7"/>
  <c r="Q193" i="7"/>
  <c r="AF193" i="7"/>
  <c r="AU193" i="7"/>
  <c r="R193" i="7"/>
  <c r="AG193" i="7"/>
  <c r="AV193" i="7"/>
  <c r="I193" i="8"/>
  <c r="X193" i="8"/>
  <c r="AM193" i="8"/>
  <c r="J193" i="8"/>
  <c r="Y193" i="8"/>
  <c r="AN193" i="8"/>
  <c r="L193" i="8"/>
  <c r="AA193" i="8"/>
  <c r="AP193" i="8"/>
  <c r="N193" i="8"/>
  <c r="AC193" i="8"/>
  <c r="AR193" i="8"/>
  <c r="P193" i="8"/>
  <c r="AE193" i="8"/>
  <c r="AT193" i="8"/>
  <c r="Q193" i="8"/>
  <c r="AF193" i="8"/>
  <c r="AU193" i="8"/>
  <c r="H193" i="8"/>
  <c r="W193" i="8"/>
  <c r="AL193" i="8"/>
  <c r="K193" i="8"/>
  <c r="Z193" i="8"/>
  <c r="AO193" i="8"/>
  <c r="M193" i="8"/>
  <c r="AB193" i="8"/>
  <c r="AQ193" i="8"/>
  <c r="O193" i="8"/>
  <c r="AD193" i="8"/>
  <c r="AS193" i="8"/>
  <c r="R193" i="8"/>
  <c r="AG193" i="8"/>
  <c r="AV193" i="8"/>
  <c r="M193" i="7"/>
  <c r="AB193" i="7"/>
  <c r="AQ193" i="7"/>
  <c r="D181" i="8"/>
  <c r="S181" i="8"/>
  <c r="AH181" i="8"/>
  <c r="E169" i="8"/>
  <c r="T169" i="8"/>
  <c r="AI169" i="8"/>
  <c r="D164" i="9"/>
  <c r="S164" i="9"/>
  <c r="AH164" i="9"/>
  <c r="D141" i="7"/>
  <c r="S141" i="7"/>
  <c r="AH141" i="7"/>
  <c r="G138" i="9"/>
  <c r="V138" i="9"/>
  <c r="AK138" i="9"/>
  <c r="AK134" i="10"/>
  <c r="G134" i="10"/>
  <c r="V134" i="10"/>
  <c r="D119" i="10"/>
  <c r="S119" i="10"/>
  <c r="AH119" i="10"/>
  <c r="E121" i="9"/>
  <c r="T121" i="9"/>
  <c r="AI121" i="9"/>
  <c r="C123" i="8"/>
  <c r="AY123" i="8"/>
  <c r="AX124" i="8"/>
  <c r="AW123" i="8"/>
  <c r="W44" i="2" s="1"/>
  <c r="G124" i="8"/>
  <c r="V124" i="8"/>
  <c r="AK124" i="8"/>
  <c r="E113" i="10"/>
  <c r="T113" i="10"/>
  <c r="AI113" i="10"/>
  <c r="AY105" i="9"/>
  <c r="C105" i="9"/>
  <c r="AX106" i="9"/>
  <c r="AW105" i="9"/>
  <c r="F106" i="9"/>
  <c r="U106" i="9"/>
  <c r="AJ106" i="9"/>
  <c r="C95" i="10"/>
  <c r="AY95" i="10"/>
  <c r="AW95" i="10"/>
  <c r="AX96" i="10"/>
  <c r="F96" i="10"/>
  <c r="U96" i="10"/>
  <c r="AJ96" i="10"/>
  <c r="C46" i="7"/>
  <c r="U138" i="8" l="1"/>
  <c r="AJ138" i="8"/>
  <c r="F138" i="8"/>
  <c r="H195" i="10"/>
  <c r="W195" i="10"/>
  <c r="AL195" i="10"/>
  <c r="I195" i="10"/>
  <c r="X195" i="10"/>
  <c r="AM195" i="10"/>
  <c r="J195" i="10"/>
  <c r="Y195" i="10"/>
  <c r="AN195" i="10"/>
  <c r="K195" i="10"/>
  <c r="Z195" i="10"/>
  <c r="AO195" i="10"/>
  <c r="L195" i="10"/>
  <c r="AA195" i="10"/>
  <c r="AP195" i="10"/>
  <c r="M195" i="10"/>
  <c r="AB195" i="10"/>
  <c r="AQ195" i="10"/>
  <c r="N195" i="10"/>
  <c r="AC195" i="10"/>
  <c r="AR195" i="10"/>
  <c r="O195" i="10"/>
  <c r="AD195" i="10"/>
  <c r="AS195" i="10"/>
  <c r="P195" i="10"/>
  <c r="AE195" i="10"/>
  <c r="AT195" i="10"/>
  <c r="Q195" i="10"/>
  <c r="AF195" i="10"/>
  <c r="AU195" i="10"/>
  <c r="R195" i="10"/>
  <c r="AG195" i="10"/>
  <c r="AV195" i="10"/>
  <c r="H195" i="9"/>
  <c r="W195" i="9"/>
  <c r="AL195" i="9"/>
  <c r="I195" i="9"/>
  <c r="X195" i="9"/>
  <c r="AM195" i="9"/>
  <c r="J195" i="9"/>
  <c r="Y195" i="9"/>
  <c r="AN195" i="9"/>
  <c r="K195" i="9"/>
  <c r="Z195" i="9"/>
  <c r="AO195" i="9"/>
  <c r="L195" i="9"/>
  <c r="AA195" i="9"/>
  <c r="AP195" i="9"/>
  <c r="M195" i="9"/>
  <c r="AB195" i="9"/>
  <c r="AQ195" i="9"/>
  <c r="N195" i="9"/>
  <c r="AC195" i="9"/>
  <c r="AR195" i="9"/>
  <c r="O195" i="9"/>
  <c r="AD195" i="9"/>
  <c r="AS195" i="9"/>
  <c r="P195" i="9"/>
  <c r="AE195" i="9"/>
  <c r="AT195" i="9"/>
  <c r="Q195" i="9"/>
  <c r="AF195" i="9"/>
  <c r="AU195" i="9"/>
  <c r="R195" i="9"/>
  <c r="AG195" i="9"/>
  <c r="AV195" i="9"/>
  <c r="H194" i="7"/>
  <c r="W194" i="7"/>
  <c r="AL194" i="7"/>
  <c r="I194" i="7"/>
  <c r="X194" i="7"/>
  <c r="AM194" i="7"/>
  <c r="J194" i="7"/>
  <c r="Y194" i="7"/>
  <c r="AN194" i="7"/>
  <c r="K194" i="7"/>
  <c r="Z194" i="7"/>
  <c r="AO194" i="7"/>
  <c r="L194" i="7"/>
  <c r="AA194" i="7"/>
  <c r="AP194" i="7"/>
  <c r="N194" i="7"/>
  <c r="AC194" i="7"/>
  <c r="AR194" i="7"/>
  <c r="O194" i="7"/>
  <c r="AD194" i="7"/>
  <c r="AS194" i="7"/>
  <c r="P194" i="7"/>
  <c r="AE194" i="7"/>
  <c r="AT194" i="7"/>
  <c r="Q194" i="7"/>
  <c r="AF194" i="7"/>
  <c r="AU194" i="7"/>
  <c r="R194" i="7"/>
  <c r="AG194" i="7"/>
  <c r="AV194" i="7"/>
  <c r="I194" i="8"/>
  <c r="X194" i="8"/>
  <c r="AM194" i="8"/>
  <c r="J194" i="8"/>
  <c r="Y194" i="8"/>
  <c r="AN194" i="8"/>
  <c r="L194" i="8"/>
  <c r="AA194" i="8"/>
  <c r="AP194" i="8"/>
  <c r="N194" i="8"/>
  <c r="AC194" i="8"/>
  <c r="AR194" i="8"/>
  <c r="P194" i="8"/>
  <c r="AE194" i="8"/>
  <c r="AT194" i="8"/>
  <c r="Q194" i="8"/>
  <c r="AF194" i="8"/>
  <c r="AU194" i="8"/>
  <c r="H194" i="8"/>
  <c r="W194" i="8"/>
  <c r="AL194" i="8"/>
  <c r="K194" i="8"/>
  <c r="Z194" i="8"/>
  <c r="AO194" i="8"/>
  <c r="M194" i="8"/>
  <c r="AB194" i="8"/>
  <c r="AQ194" i="8"/>
  <c r="O194" i="8"/>
  <c r="AD194" i="8"/>
  <c r="AS194" i="8"/>
  <c r="R194" i="8"/>
  <c r="AG194" i="8"/>
  <c r="AV194" i="8"/>
  <c r="M194" i="7"/>
  <c r="AB194" i="7"/>
  <c r="AQ194" i="7"/>
  <c r="D182" i="8"/>
  <c r="S182" i="8"/>
  <c r="AH182" i="8"/>
  <c r="E170" i="8"/>
  <c r="T170" i="8"/>
  <c r="AI170" i="8"/>
  <c r="D165" i="9"/>
  <c r="S165" i="9"/>
  <c r="AH165" i="9"/>
  <c r="D142" i="7"/>
  <c r="S142" i="7"/>
  <c r="AH142" i="7"/>
  <c r="G139" i="9"/>
  <c r="V139" i="9"/>
  <c r="AK139" i="9"/>
  <c r="G135" i="10"/>
  <c r="V135" i="10"/>
  <c r="AK135" i="10"/>
  <c r="D120" i="10"/>
  <c r="S120" i="10"/>
  <c r="AH120" i="10"/>
  <c r="E122" i="9"/>
  <c r="T122" i="9"/>
  <c r="AI122" i="9"/>
  <c r="C124" i="8"/>
  <c r="AY124" i="8"/>
  <c r="AW124" i="8"/>
  <c r="AX125" i="8"/>
  <c r="G125" i="8"/>
  <c r="V125" i="8"/>
  <c r="AK125" i="8"/>
  <c r="E114" i="10"/>
  <c r="T114" i="10"/>
  <c r="AI114" i="10"/>
  <c r="C106" i="9"/>
  <c r="AY106" i="9"/>
  <c r="AX107" i="9"/>
  <c r="AW106" i="9"/>
  <c r="F107" i="9"/>
  <c r="U107" i="9"/>
  <c r="AJ107" i="9"/>
  <c r="C96" i="10"/>
  <c r="AY96" i="10"/>
  <c r="AW96" i="10"/>
  <c r="AX97" i="10"/>
  <c r="F97" i="10"/>
  <c r="U97" i="10"/>
  <c r="AJ97" i="10"/>
  <c r="T46" i="7"/>
  <c r="AJ139" i="8" l="1"/>
  <c r="U139" i="8"/>
  <c r="F139" i="8"/>
  <c r="H196" i="10"/>
  <c r="W196" i="10"/>
  <c r="AL196" i="10"/>
  <c r="I196" i="10"/>
  <c r="X196" i="10"/>
  <c r="AM196" i="10"/>
  <c r="J196" i="10"/>
  <c r="Y196" i="10"/>
  <c r="AN196" i="10"/>
  <c r="K196" i="10"/>
  <c r="Z196" i="10"/>
  <c r="AO196" i="10"/>
  <c r="L196" i="10"/>
  <c r="AA196" i="10"/>
  <c r="AP196" i="10"/>
  <c r="M196" i="10"/>
  <c r="AB196" i="10"/>
  <c r="AQ196" i="10"/>
  <c r="N196" i="10"/>
  <c r="AC196" i="10"/>
  <c r="AR196" i="10"/>
  <c r="O196" i="10"/>
  <c r="AD196" i="10"/>
  <c r="AS196" i="10"/>
  <c r="P196" i="10"/>
  <c r="AE196" i="10"/>
  <c r="AT196" i="10"/>
  <c r="Q196" i="10"/>
  <c r="AF196" i="10"/>
  <c r="AU196" i="10"/>
  <c r="R196" i="10"/>
  <c r="AG196" i="10"/>
  <c r="AV196" i="10"/>
  <c r="H196" i="9"/>
  <c r="W196" i="9"/>
  <c r="AL196" i="9"/>
  <c r="I196" i="9"/>
  <c r="X196" i="9"/>
  <c r="AM196" i="9"/>
  <c r="J196" i="9"/>
  <c r="Y196" i="9"/>
  <c r="AN196" i="9"/>
  <c r="K196" i="9"/>
  <c r="Z196" i="9"/>
  <c r="AO196" i="9"/>
  <c r="L196" i="9"/>
  <c r="AA196" i="9"/>
  <c r="AP196" i="9"/>
  <c r="M196" i="9"/>
  <c r="AB196" i="9"/>
  <c r="AQ196" i="9"/>
  <c r="N196" i="9"/>
  <c r="AC196" i="9"/>
  <c r="AR196" i="9"/>
  <c r="O196" i="9"/>
  <c r="AD196" i="9"/>
  <c r="AS196" i="9"/>
  <c r="P196" i="9"/>
  <c r="AE196" i="9"/>
  <c r="AT196" i="9"/>
  <c r="Q196" i="9"/>
  <c r="AF196" i="9"/>
  <c r="AU196" i="9"/>
  <c r="R196" i="9"/>
  <c r="AG196" i="9"/>
  <c r="AV196" i="9"/>
  <c r="H195" i="7"/>
  <c r="W195" i="7"/>
  <c r="AL195" i="7"/>
  <c r="I195" i="7"/>
  <c r="X195" i="7"/>
  <c r="AM195" i="7"/>
  <c r="J195" i="7"/>
  <c r="Y195" i="7"/>
  <c r="AN195" i="7"/>
  <c r="K195" i="7"/>
  <c r="Z195" i="7"/>
  <c r="AO195" i="7"/>
  <c r="L195" i="7"/>
  <c r="AA195" i="7"/>
  <c r="AP195" i="7"/>
  <c r="N195" i="7"/>
  <c r="AC195" i="7"/>
  <c r="AR195" i="7"/>
  <c r="O195" i="7"/>
  <c r="AD195" i="7"/>
  <c r="AS195" i="7"/>
  <c r="P195" i="7"/>
  <c r="AE195" i="7"/>
  <c r="AT195" i="7"/>
  <c r="Q195" i="7"/>
  <c r="AF195" i="7"/>
  <c r="AU195" i="7"/>
  <c r="R195" i="7"/>
  <c r="AG195" i="7"/>
  <c r="AV195" i="7"/>
  <c r="I195" i="8"/>
  <c r="X195" i="8"/>
  <c r="AM195" i="8"/>
  <c r="J195" i="8"/>
  <c r="Y195" i="8"/>
  <c r="AN195" i="8"/>
  <c r="L195" i="8"/>
  <c r="AA195" i="8"/>
  <c r="AP195" i="8"/>
  <c r="N195" i="8"/>
  <c r="AC195" i="8"/>
  <c r="AR195" i="8"/>
  <c r="P195" i="8"/>
  <c r="AE195" i="8"/>
  <c r="AT195" i="8"/>
  <c r="Q195" i="8"/>
  <c r="AF195" i="8"/>
  <c r="AU195" i="8"/>
  <c r="H195" i="8"/>
  <c r="W195" i="8"/>
  <c r="AL195" i="8"/>
  <c r="K195" i="8"/>
  <c r="Z195" i="8"/>
  <c r="AO195" i="8"/>
  <c r="M195" i="8"/>
  <c r="AB195" i="8"/>
  <c r="AQ195" i="8"/>
  <c r="O195" i="8"/>
  <c r="AD195" i="8"/>
  <c r="AS195" i="8"/>
  <c r="R195" i="8"/>
  <c r="AG195" i="8"/>
  <c r="AV195" i="8"/>
  <c r="M195" i="7"/>
  <c r="AB195" i="7"/>
  <c r="AQ195" i="7"/>
  <c r="D183" i="8"/>
  <c r="S183" i="8"/>
  <c r="AH183" i="8"/>
  <c r="E171" i="8"/>
  <c r="T171" i="8"/>
  <c r="AI171" i="8"/>
  <c r="D166" i="9"/>
  <c r="S166" i="9"/>
  <c r="AH166" i="9"/>
  <c r="D143" i="7"/>
  <c r="S143" i="7"/>
  <c r="AH143" i="7"/>
  <c r="G140" i="9"/>
  <c r="V140" i="9"/>
  <c r="AK140" i="9"/>
  <c r="G136" i="10"/>
  <c r="V136" i="10"/>
  <c r="AK136" i="10"/>
  <c r="D121" i="10"/>
  <c r="S121" i="10"/>
  <c r="AH121" i="10"/>
  <c r="E123" i="9"/>
  <c r="T123" i="9"/>
  <c r="AI123" i="9"/>
  <c r="C125" i="8"/>
  <c r="AY125" i="8"/>
  <c r="AW125" i="8"/>
  <c r="AX126" i="8"/>
  <c r="G126" i="8"/>
  <c r="V126" i="8"/>
  <c r="AK126" i="8"/>
  <c r="E115" i="10"/>
  <c r="T115" i="10"/>
  <c r="AI115" i="10"/>
  <c r="C107" i="9"/>
  <c r="AY107" i="9"/>
  <c r="AW107" i="9"/>
  <c r="AX108" i="9"/>
  <c r="F108" i="9"/>
  <c r="U108" i="9"/>
  <c r="AJ108" i="9"/>
  <c r="C97" i="10"/>
  <c r="AY97" i="10"/>
  <c r="AX98" i="10"/>
  <c r="AW97" i="10"/>
  <c r="F98" i="10"/>
  <c r="U98" i="10"/>
  <c r="AJ98" i="10"/>
  <c r="U46" i="7"/>
  <c r="AI46" i="7"/>
  <c r="AJ140" i="8" l="1"/>
  <c r="U140" i="8"/>
  <c r="F140" i="8"/>
  <c r="H197" i="10"/>
  <c r="W197" i="10"/>
  <c r="AL197" i="10"/>
  <c r="I197" i="10"/>
  <c r="X197" i="10"/>
  <c r="AM197" i="10"/>
  <c r="J197" i="10"/>
  <c r="Y197" i="10"/>
  <c r="AN197" i="10"/>
  <c r="K197" i="10"/>
  <c r="Z197" i="10"/>
  <c r="AO197" i="10"/>
  <c r="L197" i="10"/>
  <c r="AA197" i="10"/>
  <c r="AP197" i="10"/>
  <c r="M197" i="10"/>
  <c r="AB197" i="10"/>
  <c r="AQ197" i="10"/>
  <c r="N197" i="10"/>
  <c r="AC197" i="10"/>
  <c r="AR197" i="10"/>
  <c r="O197" i="10"/>
  <c r="AD197" i="10"/>
  <c r="AS197" i="10"/>
  <c r="P197" i="10"/>
  <c r="AE197" i="10"/>
  <c r="AT197" i="10"/>
  <c r="Q197" i="10"/>
  <c r="AF197" i="10"/>
  <c r="AU197" i="10"/>
  <c r="R197" i="10"/>
  <c r="AG197" i="10"/>
  <c r="AV197" i="10"/>
  <c r="H197" i="9"/>
  <c r="W197" i="9"/>
  <c r="AL197" i="9"/>
  <c r="I197" i="9"/>
  <c r="X197" i="9"/>
  <c r="AM197" i="9"/>
  <c r="J197" i="9"/>
  <c r="Y197" i="9"/>
  <c r="AN197" i="9"/>
  <c r="K197" i="9"/>
  <c r="Z197" i="9"/>
  <c r="AO197" i="9"/>
  <c r="L197" i="9"/>
  <c r="AA197" i="9"/>
  <c r="AP197" i="9"/>
  <c r="M197" i="9"/>
  <c r="AB197" i="9"/>
  <c r="AQ197" i="9"/>
  <c r="N197" i="9"/>
  <c r="AC197" i="9"/>
  <c r="AR197" i="9"/>
  <c r="O197" i="9"/>
  <c r="AD197" i="9"/>
  <c r="AS197" i="9"/>
  <c r="P197" i="9"/>
  <c r="AE197" i="9"/>
  <c r="AT197" i="9"/>
  <c r="Q197" i="9"/>
  <c r="AF197" i="9"/>
  <c r="AU197" i="9"/>
  <c r="R197" i="9"/>
  <c r="AG197" i="9"/>
  <c r="AV197" i="9"/>
  <c r="H196" i="7"/>
  <c r="W196" i="7"/>
  <c r="AL196" i="7"/>
  <c r="I196" i="7"/>
  <c r="X196" i="7"/>
  <c r="AM196" i="7"/>
  <c r="J196" i="7"/>
  <c r="Y196" i="7"/>
  <c r="AN196" i="7"/>
  <c r="K196" i="7"/>
  <c r="Z196" i="7"/>
  <c r="AO196" i="7"/>
  <c r="L196" i="7"/>
  <c r="AA196" i="7"/>
  <c r="AP196" i="7"/>
  <c r="N196" i="7"/>
  <c r="AC196" i="7"/>
  <c r="AR196" i="7"/>
  <c r="O196" i="7"/>
  <c r="AD196" i="7"/>
  <c r="AS196" i="7"/>
  <c r="P196" i="7"/>
  <c r="AE196" i="7"/>
  <c r="AT196" i="7"/>
  <c r="Q196" i="7"/>
  <c r="AF196" i="7"/>
  <c r="AU196" i="7"/>
  <c r="R196" i="7"/>
  <c r="AG196" i="7"/>
  <c r="AV196" i="7"/>
  <c r="I196" i="8"/>
  <c r="X196" i="8"/>
  <c r="AM196" i="8"/>
  <c r="J196" i="8"/>
  <c r="Y196" i="8"/>
  <c r="AN196" i="8"/>
  <c r="L196" i="8"/>
  <c r="AA196" i="8"/>
  <c r="AP196" i="8"/>
  <c r="N196" i="8"/>
  <c r="AC196" i="8"/>
  <c r="AR196" i="8"/>
  <c r="P196" i="8"/>
  <c r="AE196" i="8"/>
  <c r="AT196" i="8"/>
  <c r="Q196" i="8"/>
  <c r="AF196" i="8"/>
  <c r="AU196" i="8"/>
  <c r="H196" i="8"/>
  <c r="W196" i="8"/>
  <c r="AL196" i="8"/>
  <c r="K196" i="8"/>
  <c r="Z196" i="8"/>
  <c r="AO196" i="8"/>
  <c r="M196" i="8"/>
  <c r="AB196" i="8"/>
  <c r="AQ196" i="8"/>
  <c r="O196" i="8"/>
  <c r="AD196" i="8"/>
  <c r="AS196" i="8"/>
  <c r="R196" i="8"/>
  <c r="AG196" i="8"/>
  <c r="AV196" i="8"/>
  <c r="M196" i="7"/>
  <c r="AB196" i="7"/>
  <c r="AQ196" i="7"/>
  <c r="D184" i="8"/>
  <c r="S184" i="8"/>
  <c r="AH184" i="8"/>
  <c r="E172" i="8"/>
  <c r="T172" i="8"/>
  <c r="AI172" i="8"/>
  <c r="D167" i="9"/>
  <c r="S167" i="9"/>
  <c r="AH167" i="9"/>
  <c r="D144" i="7"/>
  <c r="S144" i="7"/>
  <c r="AH144" i="7"/>
  <c r="G141" i="9"/>
  <c r="V141" i="9"/>
  <c r="AK141" i="9"/>
  <c r="G137" i="10"/>
  <c r="V137" i="10"/>
  <c r="AK137" i="10"/>
  <c r="D122" i="10"/>
  <c r="S122" i="10"/>
  <c r="AH122" i="10"/>
  <c r="E124" i="9"/>
  <c r="T124" i="9"/>
  <c r="AI124" i="9"/>
  <c r="AY126" i="8"/>
  <c r="C126" i="8"/>
  <c r="AX127" i="8"/>
  <c r="AW126" i="8"/>
  <c r="W45" i="2" s="1"/>
  <c r="G127" i="8"/>
  <c r="V127" i="8"/>
  <c r="AK127" i="8"/>
  <c r="E116" i="10"/>
  <c r="T116" i="10"/>
  <c r="AI116" i="10"/>
  <c r="AY108" i="9"/>
  <c r="C108" i="9"/>
  <c r="AX109" i="9"/>
  <c r="AW108" i="9"/>
  <c r="F109" i="9"/>
  <c r="U109" i="9"/>
  <c r="AJ109" i="9"/>
  <c r="C98" i="10"/>
  <c r="AY98" i="10"/>
  <c r="AX99" i="10"/>
  <c r="AW98" i="10"/>
  <c r="F99" i="10"/>
  <c r="U99" i="10"/>
  <c r="AJ99" i="10"/>
  <c r="V46" i="7"/>
  <c r="AJ46" i="7"/>
  <c r="E47" i="7"/>
  <c r="AJ141" i="8" l="1"/>
  <c r="U141" i="8"/>
  <c r="F141" i="8"/>
  <c r="H198" i="10"/>
  <c r="W198" i="10"/>
  <c r="AL198" i="10"/>
  <c r="I198" i="10"/>
  <c r="X198" i="10"/>
  <c r="AM198" i="10"/>
  <c r="J198" i="10"/>
  <c r="Y198" i="10"/>
  <c r="AN198" i="10"/>
  <c r="K198" i="10"/>
  <c r="Z198" i="10"/>
  <c r="AO198" i="10"/>
  <c r="L198" i="10"/>
  <c r="AA198" i="10"/>
  <c r="AP198" i="10"/>
  <c r="M198" i="10"/>
  <c r="AB198" i="10"/>
  <c r="AQ198" i="10"/>
  <c r="N198" i="10"/>
  <c r="AC198" i="10"/>
  <c r="AR198" i="10"/>
  <c r="O198" i="10"/>
  <c r="AD198" i="10"/>
  <c r="AS198" i="10"/>
  <c r="P198" i="10"/>
  <c r="AE198" i="10"/>
  <c r="AT198" i="10"/>
  <c r="Q198" i="10"/>
  <c r="AF198" i="10"/>
  <c r="AU198" i="10"/>
  <c r="R198" i="10"/>
  <c r="AG198" i="10"/>
  <c r="AV198" i="10"/>
  <c r="H198" i="9"/>
  <c r="W198" i="9"/>
  <c r="AL198" i="9"/>
  <c r="I198" i="9"/>
  <c r="X198" i="9"/>
  <c r="AM198" i="9"/>
  <c r="J198" i="9"/>
  <c r="Y198" i="9"/>
  <c r="AN198" i="9"/>
  <c r="K198" i="9"/>
  <c r="Z198" i="9"/>
  <c r="AO198" i="9"/>
  <c r="L198" i="9"/>
  <c r="AA198" i="9"/>
  <c r="AP198" i="9"/>
  <c r="M198" i="9"/>
  <c r="AB198" i="9"/>
  <c r="AQ198" i="9"/>
  <c r="N198" i="9"/>
  <c r="AC198" i="9"/>
  <c r="AR198" i="9"/>
  <c r="O198" i="9"/>
  <c r="AD198" i="9"/>
  <c r="AS198" i="9"/>
  <c r="P198" i="9"/>
  <c r="AE198" i="9"/>
  <c r="AT198" i="9"/>
  <c r="Q198" i="9"/>
  <c r="AF198" i="9"/>
  <c r="AU198" i="9"/>
  <c r="R198" i="9"/>
  <c r="AG198" i="9"/>
  <c r="AV198" i="9"/>
  <c r="H197" i="7"/>
  <c r="W197" i="7"/>
  <c r="AL197" i="7"/>
  <c r="I197" i="7"/>
  <c r="X197" i="7"/>
  <c r="AM197" i="7"/>
  <c r="J197" i="7"/>
  <c r="Y197" i="7"/>
  <c r="AN197" i="7"/>
  <c r="K197" i="7"/>
  <c r="Z197" i="7"/>
  <c r="AO197" i="7"/>
  <c r="L197" i="7"/>
  <c r="AA197" i="7"/>
  <c r="AP197" i="7"/>
  <c r="N197" i="7"/>
  <c r="AC197" i="7"/>
  <c r="AR197" i="7"/>
  <c r="O197" i="7"/>
  <c r="AD197" i="7"/>
  <c r="AS197" i="7"/>
  <c r="P197" i="7"/>
  <c r="AE197" i="7"/>
  <c r="AT197" i="7"/>
  <c r="Q197" i="7"/>
  <c r="AF197" i="7"/>
  <c r="AU197" i="7"/>
  <c r="R197" i="7"/>
  <c r="AG197" i="7"/>
  <c r="AV197" i="7"/>
  <c r="I197" i="8"/>
  <c r="X197" i="8"/>
  <c r="AM197" i="8"/>
  <c r="J197" i="8"/>
  <c r="Y197" i="8"/>
  <c r="AN197" i="8"/>
  <c r="L197" i="8"/>
  <c r="AA197" i="8"/>
  <c r="AP197" i="8"/>
  <c r="N197" i="8"/>
  <c r="AC197" i="8"/>
  <c r="AR197" i="8"/>
  <c r="P197" i="8"/>
  <c r="AE197" i="8"/>
  <c r="AT197" i="8"/>
  <c r="Q197" i="8"/>
  <c r="AF197" i="8"/>
  <c r="AU197" i="8"/>
  <c r="H197" i="8"/>
  <c r="W197" i="8"/>
  <c r="AL197" i="8"/>
  <c r="K197" i="8"/>
  <c r="Z197" i="8"/>
  <c r="AO197" i="8"/>
  <c r="M197" i="8"/>
  <c r="AB197" i="8"/>
  <c r="AQ197" i="8"/>
  <c r="O197" i="8"/>
  <c r="AD197" i="8"/>
  <c r="AS197" i="8"/>
  <c r="R197" i="8"/>
  <c r="AG197" i="8"/>
  <c r="AV197" i="8"/>
  <c r="M197" i="7"/>
  <c r="AB197" i="7"/>
  <c r="AQ197" i="7"/>
  <c r="D185" i="8"/>
  <c r="S185" i="8"/>
  <c r="AH185" i="8"/>
  <c r="E173" i="8"/>
  <c r="T173" i="8"/>
  <c r="AI173" i="8"/>
  <c r="D168" i="9"/>
  <c r="AH168" i="9"/>
  <c r="S168" i="9"/>
  <c r="D145" i="7"/>
  <c r="S145" i="7"/>
  <c r="AH145" i="7"/>
  <c r="G142" i="9"/>
  <c r="V142" i="9"/>
  <c r="AK142" i="9"/>
  <c r="G138" i="10"/>
  <c r="V138" i="10"/>
  <c r="AK138" i="10"/>
  <c r="D123" i="10"/>
  <c r="S123" i="10"/>
  <c r="AH123" i="10"/>
  <c r="E125" i="9"/>
  <c r="T125" i="9"/>
  <c r="AI125" i="9"/>
  <c r="AY127" i="8"/>
  <c r="C127" i="8"/>
  <c r="AW127" i="8"/>
  <c r="AX128" i="8"/>
  <c r="G128" i="8"/>
  <c r="V128" i="8"/>
  <c r="AK128" i="8"/>
  <c r="E117" i="10"/>
  <c r="T117" i="10"/>
  <c r="AI117" i="10"/>
  <c r="AY109" i="9"/>
  <c r="C109" i="9"/>
  <c r="AW109" i="9"/>
  <c r="AX110" i="9"/>
  <c r="F110" i="9"/>
  <c r="U110" i="9"/>
  <c r="AJ110" i="9"/>
  <c r="C99" i="10"/>
  <c r="AY99" i="10"/>
  <c r="AW99" i="10"/>
  <c r="AX100" i="10"/>
  <c r="F100" i="10"/>
  <c r="U100" i="10"/>
  <c r="AJ100" i="10"/>
  <c r="AY46" i="7"/>
  <c r="AK46" i="7"/>
  <c r="F47" i="7"/>
  <c r="AX47" i="7"/>
  <c r="AW46" i="7"/>
  <c r="AJ142" i="8" l="1"/>
  <c r="U142" i="8"/>
  <c r="F142" i="8"/>
  <c r="H199" i="10"/>
  <c r="W199" i="10"/>
  <c r="AL199" i="10"/>
  <c r="I199" i="10"/>
  <c r="X199" i="10"/>
  <c r="AM199" i="10"/>
  <c r="J199" i="10"/>
  <c r="Y199" i="10"/>
  <c r="AN199" i="10"/>
  <c r="K199" i="10"/>
  <c r="Z199" i="10"/>
  <c r="AO199" i="10"/>
  <c r="L199" i="10"/>
  <c r="AA199" i="10"/>
  <c r="AP199" i="10"/>
  <c r="M199" i="10"/>
  <c r="AB199" i="10"/>
  <c r="AQ199" i="10"/>
  <c r="N199" i="10"/>
  <c r="AC199" i="10"/>
  <c r="AR199" i="10"/>
  <c r="O199" i="10"/>
  <c r="AD199" i="10"/>
  <c r="AS199" i="10"/>
  <c r="P199" i="10"/>
  <c r="AE199" i="10"/>
  <c r="AT199" i="10"/>
  <c r="Q199" i="10"/>
  <c r="AF199" i="10"/>
  <c r="AU199" i="10"/>
  <c r="R199" i="10"/>
  <c r="AG199" i="10"/>
  <c r="AV199" i="10"/>
  <c r="H199" i="9"/>
  <c r="W199" i="9"/>
  <c r="AL199" i="9"/>
  <c r="I199" i="9"/>
  <c r="X199" i="9"/>
  <c r="AM199" i="9"/>
  <c r="J199" i="9"/>
  <c r="Y199" i="9"/>
  <c r="AN199" i="9"/>
  <c r="K199" i="9"/>
  <c r="Z199" i="9"/>
  <c r="AO199" i="9"/>
  <c r="L199" i="9"/>
  <c r="AA199" i="9"/>
  <c r="AP199" i="9"/>
  <c r="M199" i="9"/>
  <c r="AB199" i="9"/>
  <c r="AQ199" i="9"/>
  <c r="N199" i="9"/>
  <c r="AC199" i="9"/>
  <c r="AR199" i="9"/>
  <c r="O199" i="9"/>
  <c r="AD199" i="9"/>
  <c r="AS199" i="9"/>
  <c r="P199" i="9"/>
  <c r="AE199" i="9"/>
  <c r="AT199" i="9"/>
  <c r="Q199" i="9"/>
  <c r="AF199" i="9"/>
  <c r="AU199" i="9"/>
  <c r="R199" i="9"/>
  <c r="AG199" i="9"/>
  <c r="AV199" i="9"/>
  <c r="H198" i="7"/>
  <c r="W198" i="7"/>
  <c r="AL198" i="7"/>
  <c r="I198" i="7"/>
  <c r="X198" i="7"/>
  <c r="AM198" i="7"/>
  <c r="J198" i="7"/>
  <c r="Y198" i="7"/>
  <c r="AN198" i="7"/>
  <c r="K198" i="7"/>
  <c r="Z198" i="7"/>
  <c r="AO198" i="7"/>
  <c r="L198" i="7"/>
  <c r="AA198" i="7"/>
  <c r="AP198" i="7"/>
  <c r="N198" i="7"/>
  <c r="AC198" i="7"/>
  <c r="AR198" i="7"/>
  <c r="O198" i="7"/>
  <c r="AD198" i="7"/>
  <c r="AS198" i="7"/>
  <c r="P198" i="7"/>
  <c r="AE198" i="7"/>
  <c r="AT198" i="7"/>
  <c r="Q198" i="7"/>
  <c r="AF198" i="7"/>
  <c r="AU198" i="7"/>
  <c r="R198" i="7"/>
  <c r="AG198" i="7"/>
  <c r="AV198" i="7"/>
  <c r="I198" i="8"/>
  <c r="X198" i="8"/>
  <c r="AM198" i="8"/>
  <c r="J198" i="8"/>
  <c r="Y198" i="8"/>
  <c r="AN198" i="8"/>
  <c r="L198" i="8"/>
  <c r="AA198" i="8"/>
  <c r="AP198" i="8"/>
  <c r="N198" i="8"/>
  <c r="AC198" i="8"/>
  <c r="AR198" i="8"/>
  <c r="P198" i="8"/>
  <c r="AE198" i="8"/>
  <c r="AT198" i="8"/>
  <c r="Q198" i="8"/>
  <c r="AF198" i="8"/>
  <c r="AU198" i="8"/>
  <c r="H198" i="8"/>
  <c r="W198" i="8"/>
  <c r="AL198" i="8"/>
  <c r="K198" i="8"/>
  <c r="Z198" i="8"/>
  <c r="AO198" i="8"/>
  <c r="M198" i="8"/>
  <c r="AB198" i="8"/>
  <c r="AQ198" i="8"/>
  <c r="O198" i="8"/>
  <c r="AD198" i="8"/>
  <c r="AS198" i="8"/>
  <c r="R198" i="8"/>
  <c r="AG198" i="8"/>
  <c r="AV198" i="8"/>
  <c r="M198" i="7"/>
  <c r="AB198" i="7"/>
  <c r="AQ198" i="7"/>
  <c r="D186" i="8"/>
  <c r="S186" i="8"/>
  <c r="AH186" i="8"/>
  <c r="E174" i="8"/>
  <c r="T174" i="8"/>
  <c r="AI174" i="8"/>
  <c r="S169" i="9"/>
  <c r="D169" i="9"/>
  <c r="AH169" i="9"/>
  <c r="D146" i="7"/>
  <c r="S146" i="7"/>
  <c r="AH146" i="7"/>
  <c r="G143" i="9"/>
  <c r="V143" i="9"/>
  <c r="AK143" i="9"/>
  <c r="V139" i="10"/>
  <c r="G139" i="10"/>
  <c r="AK139" i="10"/>
  <c r="D124" i="10"/>
  <c r="S124" i="10"/>
  <c r="AH124" i="10"/>
  <c r="E126" i="9"/>
  <c r="T126" i="9"/>
  <c r="AI126" i="9"/>
  <c r="C128" i="8"/>
  <c r="AY128" i="8"/>
  <c r="AX129" i="8"/>
  <c r="AW128" i="8"/>
  <c r="G129" i="8"/>
  <c r="V129" i="8"/>
  <c r="AK129" i="8"/>
  <c r="E118" i="10"/>
  <c r="T118" i="10"/>
  <c r="AI118" i="10"/>
  <c r="C110" i="9"/>
  <c r="AY110" i="9"/>
  <c r="AW110" i="9"/>
  <c r="AX111" i="9"/>
  <c r="F111" i="9"/>
  <c r="U111" i="9"/>
  <c r="AJ111" i="9"/>
  <c r="AY100" i="10"/>
  <c r="C100" i="10"/>
  <c r="AX101" i="10"/>
  <c r="AW100" i="10"/>
  <c r="F101" i="10"/>
  <c r="U101" i="10"/>
  <c r="AJ101" i="10"/>
  <c r="G47" i="7"/>
  <c r="AJ143" i="8" l="1"/>
  <c r="F143" i="8"/>
  <c r="U143" i="8"/>
  <c r="H200" i="10"/>
  <c r="W200" i="10"/>
  <c r="AL200" i="10"/>
  <c r="I200" i="10"/>
  <c r="X200" i="10"/>
  <c r="AM200" i="10"/>
  <c r="J200" i="10"/>
  <c r="Y200" i="10"/>
  <c r="AN200" i="10"/>
  <c r="K200" i="10"/>
  <c r="Z200" i="10"/>
  <c r="AO200" i="10"/>
  <c r="L200" i="10"/>
  <c r="AA200" i="10"/>
  <c r="AP200" i="10"/>
  <c r="M200" i="10"/>
  <c r="AB200" i="10"/>
  <c r="AQ200" i="10"/>
  <c r="N200" i="10"/>
  <c r="AC200" i="10"/>
  <c r="AR200" i="10"/>
  <c r="O200" i="10"/>
  <c r="AD200" i="10"/>
  <c r="AS200" i="10"/>
  <c r="P200" i="10"/>
  <c r="AE200" i="10"/>
  <c r="AT200" i="10"/>
  <c r="Q200" i="10"/>
  <c r="AF200" i="10"/>
  <c r="AU200" i="10"/>
  <c r="R200" i="10"/>
  <c r="AG200" i="10"/>
  <c r="AV200" i="10"/>
  <c r="H200" i="9"/>
  <c r="W200" i="9"/>
  <c r="AL200" i="9"/>
  <c r="I200" i="9"/>
  <c r="X200" i="9"/>
  <c r="AM200" i="9"/>
  <c r="J200" i="9"/>
  <c r="Y200" i="9"/>
  <c r="AN200" i="9"/>
  <c r="K200" i="9"/>
  <c r="Z200" i="9"/>
  <c r="AO200" i="9"/>
  <c r="L200" i="9"/>
  <c r="AA200" i="9"/>
  <c r="AP200" i="9"/>
  <c r="M200" i="9"/>
  <c r="AB200" i="9"/>
  <c r="AQ200" i="9"/>
  <c r="N200" i="9"/>
  <c r="AC200" i="9"/>
  <c r="AR200" i="9"/>
  <c r="O200" i="9"/>
  <c r="AD200" i="9"/>
  <c r="AS200" i="9"/>
  <c r="P200" i="9"/>
  <c r="AE200" i="9"/>
  <c r="AT200" i="9"/>
  <c r="Q200" i="9"/>
  <c r="AF200" i="9"/>
  <c r="AU200" i="9"/>
  <c r="R200" i="9"/>
  <c r="AG200" i="9"/>
  <c r="AV200" i="9"/>
  <c r="H199" i="7"/>
  <c r="W199" i="7"/>
  <c r="AL199" i="7"/>
  <c r="I199" i="7"/>
  <c r="X199" i="7"/>
  <c r="AM199" i="7"/>
  <c r="J199" i="7"/>
  <c r="Y199" i="7"/>
  <c r="AN199" i="7"/>
  <c r="K199" i="7"/>
  <c r="Z199" i="7"/>
  <c r="AO199" i="7"/>
  <c r="L199" i="7"/>
  <c r="AA199" i="7"/>
  <c r="AP199" i="7"/>
  <c r="N199" i="7"/>
  <c r="AC199" i="7"/>
  <c r="AR199" i="7"/>
  <c r="O199" i="7"/>
  <c r="AD199" i="7"/>
  <c r="AS199" i="7"/>
  <c r="P199" i="7"/>
  <c r="AE199" i="7"/>
  <c r="AT199" i="7"/>
  <c r="Q199" i="7"/>
  <c r="AF199" i="7"/>
  <c r="AU199" i="7"/>
  <c r="R199" i="7"/>
  <c r="AG199" i="7"/>
  <c r="AV199" i="7"/>
  <c r="I199" i="8"/>
  <c r="X199" i="8"/>
  <c r="AM199" i="8"/>
  <c r="J199" i="8"/>
  <c r="Y199" i="8"/>
  <c r="AN199" i="8"/>
  <c r="L199" i="8"/>
  <c r="AA199" i="8"/>
  <c r="AP199" i="8"/>
  <c r="N199" i="8"/>
  <c r="AC199" i="8"/>
  <c r="AR199" i="8"/>
  <c r="P199" i="8"/>
  <c r="AE199" i="8"/>
  <c r="AT199" i="8"/>
  <c r="Q199" i="8"/>
  <c r="AF199" i="8"/>
  <c r="AU199" i="8"/>
  <c r="H199" i="8"/>
  <c r="W199" i="8"/>
  <c r="AL199" i="8"/>
  <c r="K199" i="8"/>
  <c r="Z199" i="8"/>
  <c r="AO199" i="8"/>
  <c r="M199" i="8"/>
  <c r="AB199" i="8"/>
  <c r="AQ199" i="8"/>
  <c r="O199" i="8"/>
  <c r="AD199" i="8"/>
  <c r="AS199" i="8"/>
  <c r="R199" i="8"/>
  <c r="AG199" i="8"/>
  <c r="AV199" i="8"/>
  <c r="M199" i="7"/>
  <c r="AB199" i="7"/>
  <c r="AQ199" i="7"/>
  <c r="D187" i="8"/>
  <c r="S187" i="8"/>
  <c r="AH187" i="8"/>
  <c r="E175" i="8"/>
  <c r="T175" i="8"/>
  <c r="AI175" i="8"/>
  <c r="AH170" i="9"/>
  <c r="D170" i="9"/>
  <c r="S170" i="9"/>
  <c r="D147" i="7"/>
  <c r="S147" i="7"/>
  <c r="AH147" i="7"/>
  <c r="G144" i="9"/>
  <c r="V144" i="9"/>
  <c r="AK144" i="9"/>
  <c r="G140" i="10"/>
  <c r="AK140" i="10"/>
  <c r="V140" i="10"/>
  <c r="D125" i="10"/>
  <c r="S125" i="10"/>
  <c r="AH125" i="10"/>
  <c r="E127" i="9"/>
  <c r="T127" i="9"/>
  <c r="AI127" i="9"/>
  <c r="C129" i="8"/>
  <c r="AY129" i="8"/>
  <c r="AW129" i="8"/>
  <c r="W46" i="2" s="1"/>
  <c r="AX130" i="8"/>
  <c r="G130" i="8"/>
  <c r="V130" i="8"/>
  <c r="AK130" i="8"/>
  <c r="E119" i="10"/>
  <c r="T119" i="10"/>
  <c r="AI119" i="10"/>
  <c r="C111" i="9"/>
  <c r="AY111" i="9"/>
  <c r="AW111" i="9"/>
  <c r="AX112" i="9"/>
  <c r="F112" i="9"/>
  <c r="U112" i="9"/>
  <c r="AJ112" i="9"/>
  <c r="AY101" i="10"/>
  <c r="C101" i="10"/>
  <c r="AX102" i="10"/>
  <c r="AW101" i="10"/>
  <c r="F102" i="10"/>
  <c r="U102" i="10"/>
  <c r="AJ102" i="10"/>
  <c r="C47" i="7"/>
  <c r="U144" i="8" l="1"/>
  <c r="AJ144" i="8"/>
  <c r="F144" i="8"/>
  <c r="H201" i="10"/>
  <c r="W201" i="10"/>
  <c r="AL201" i="10"/>
  <c r="I201" i="10"/>
  <c r="X201" i="10"/>
  <c r="AM201" i="10"/>
  <c r="J201" i="10"/>
  <c r="Y201" i="10"/>
  <c r="AN201" i="10"/>
  <c r="K201" i="10"/>
  <c r="Z201" i="10"/>
  <c r="AO201" i="10"/>
  <c r="L201" i="10"/>
  <c r="AA201" i="10"/>
  <c r="AP201" i="10"/>
  <c r="M201" i="10"/>
  <c r="AB201" i="10"/>
  <c r="AQ201" i="10"/>
  <c r="N201" i="10"/>
  <c r="AC201" i="10"/>
  <c r="AR201" i="10"/>
  <c r="O201" i="10"/>
  <c r="AD201" i="10"/>
  <c r="AS201" i="10"/>
  <c r="P201" i="10"/>
  <c r="AE201" i="10"/>
  <c r="AT201" i="10"/>
  <c r="Q201" i="10"/>
  <c r="AF201" i="10"/>
  <c r="AU201" i="10"/>
  <c r="R201" i="10"/>
  <c r="AG201" i="10"/>
  <c r="AV201" i="10"/>
  <c r="H201" i="9"/>
  <c r="W201" i="9"/>
  <c r="AL201" i="9"/>
  <c r="I201" i="9"/>
  <c r="X201" i="9"/>
  <c r="AM201" i="9"/>
  <c r="J201" i="9"/>
  <c r="Y201" i="9"/>
  <c r="AN201" i="9"/>
  <c r="K201" i="9"/>
  <c r="Z201" i="9"/>
  <c r="AO201" i="9"/>
  <c r="L201" i="9"/>
  <c r="AA201" i="9"/>
  <c r="AP201" i="9"/>
  <c r="M201" i="9"/>
  <c r="AB201" i="9"/>
  <c r="AQ201" i="9"/>
  <c r="N201" i="9"/>
  <c r="AC201" i="9"/>
  <c r="AR201" i="9"/>
  <c r="O201" i="9"/>
  <c r="AD201" i="9"/>
  <c r="AS201" i="9"/>
  <c r="P201" i="9"/>
  <c r="AE201" i="9"/>
  <c r="AT201" i="9"/>
  <c r="Q201" i="9"/>
  <c r="AF201" i="9"/>
  <c r="AU201" i="9"/>
  <c r="R201" i="9"/>
  <c r="AG201" i="9"/>
  <c r="AV201" i="9"/>
  <c r="H200" i="7"/>
  <c r="W200" i="7"/>
  <c r="AL200" i="7"/>
  <c r="I200" i="7"/>
  <c r="X200" i="7"/>
  <c r="AM200" i="7"/>
  <c r="J200" i="7"/>
  <c r="Y200" i="7"/>
  <c r="AN200" i="7"/>
  <c r="K200" i="7"/>
  <c r="Z200" i="7"/>
  <c r="AO200" i="7"/>
  <c r="L200" i="7"/>
  <c r="AA200" i="7"/>
  <c r="AP200" i="7"/>
  <c r="N200" i="7"/>
  <c r="AC200" i="7"/>
  <c r="AR200" i="7"/>
  <c r="O200" i="7"/>
  <c r="AD200" i="7"/>
  <c r="AS200" i="7"/>
  <c r="P200" i="7"/>
  <c r="AE200" i="7"/>
  <c r="AT200" i="7"/>
  <c r="Q200" i="7"/>
  <c r="AF200" i="7"/>
  <c r="AU200" i="7"/>
  <c r="R200" i="7"/>
  <c r="AG200" i="7"/>
  <c r="AV200" i="7"/>
  <c r="I200" i="8"/>
  <c r="X200" i="8"/>
  <c r="AM200" i="8"/>
  <c r="J200" i="8"/>
  <c r="Y200" i="8"/>
  <c r="AN200" i="8"/>
  <c r="L200" i="8"/>
  <c r="AA200" i="8"/>
  <c r="AP200" i="8"/>
  <c r="N200" i="8"/>
  <c r="AC200" i="8"/>
  <c r="AR200" i="8"/>
  <c r="P200" i="8"/>
  <c r="AE200" i="8"/>
  <c r="AT200" i="8"/>
  <c r="Q200" i="8"/>
  <c r="AF200" i="8"/>
  <c r="AU200" i="8"/>
  <c r="H200" i="8"/>
  <c r="W200" i="8"/>
  <c r="AL200" i="8"/>
  <c r="K200" i="8"/>
  <c r="Z200" i="8"/>
  <c r="AO200" i="8"/>
  <c r="M200" i="8"/>
  <c r="AB200" i="8"/>
  <c r="AQ200" i="8"/>
  <c r="O200" i="8"/>
  <c r="AD200" i="8"/>
  <c r="AS200" i="8"/>
  <c r="R200" i="8"/>
  <c r="AG200" i="8"/>
  <c r="AV200" i="8"/>
  <c r="M200" i="7"/>
  <c r="AB200" i="7"/>
  <c r="AQ200" i="7"/>
  <c r="D188" i="8"/>
  <c r="S188" i="8"/>
  <c r="AH188" i="8"/>
  <c r="E176" i="8"/>
  <c r="T176" i="8"/>
  <c r="AI176" i="8"/>
  <c r="AH171" i="9"/>
  <c r="D171" i="9"/>
  <c r="S171" i="9"/>
  <c r="D148" i="7"/>
  <c r="S148" i="7"/>
  <c r="AH148" i="7"/>
  <c r="G145" i="9"/>
  <c r="V145" i="9"/>
  <c r="AK145" i="9"/>
  <c r="G141" i="10"/>
  <c r="V141" i="10"/>
  <c r="AK141" i="10"/>
  <c r="D126" i="10"/>
  <c r="S126" i="10"/>
  <c r="AH126" i="10"/>
  <c r="E128" i="9"/>
  <c r="T128" i="9"/>
  <c r="AI128" i="9"/>
  <c r="C130" i="8"/>
  <c r="AY130" i="8"/>
  <c r="AW130" i="8"/>
  <c r="AX131" i="8"/>
  <c r="G131" i="8"/>
  <c r="V131" i="8"/>
  <c r="AK131" i="8"/>
  <c r="E120" i="10"/>
  <c r="T120" i="10"/>
  <c r="AI120" i="10"/>
  <c r="AY112" i="9"/>
  <c r="C112" i="9"/>
  <c r="AX113" i="9"/>
  <c r="AW112" i="9"/>
  <c r="F113" i="9"/>
  <c r="U113" i="9"/>
  <c r="AJ113" i="9"/>
  <c r="C102" i="10"/>
  <c r="AY102" i="10"/>
  <c r="AW102" i="10"/>
  <c r="AX103" i="10"/>
  <c r="F103" i="10"/>
  <c r="U103" i="10"/>
  <c r="AJ103" i="10"/>
  <c r="T47" i="7"/>
  <c r="U47" i="7" s="1"/>
  <c r="AJ47" i="7" s="1"/>
  <c r="U145" i="8" l="1"/>
  <c r="AJ145" i="8"/>
  <c r="F145" i="8"/>
  <c r="H202" i="10"/>
  <c r="W202" i="10"/>
  <c r="AL202" i="10"/>
  <c r="I202" i="10"/>
  <c r="X202" i="10"/>
  <c r="AM202" i="10"/>
  <c r="J202" i="10"/>
  <c r="Y202" i="10"/>
  <c r="AN202" i="10"/>
  <c r="K202" i="10"/>
  <c r="Z202" i="10"/>
  <c r="AO202" i="10"/>
  <c r="L202" i="10"/>
  <c r="AA202" i="10"/>
  <c r="AP202" i="10"/>
  <c r="M202" i="10"/>
  <c r="AB202" i="10"/>
  <c r="AQ202" i="10"/>
  <c r="N202" i="10"/>
  <c r="AC202" i="10"/>
  <c r="AR202" i="10"/>
  <c r="O202" i="10"/>
  <c r="AD202" i="10"/>
  <c r="AS202" i="10"/>
  <c r="P202" i="10"/>
  <c r="AE202" i="10"/>
  <c r="AT202" i="10"/>
  <c r="Q202" i="10"/>
  <c r="AF202" i="10"/>
  <c r="AU202" i="10"/>
  <c r="R202" i="10"/>
  <c r="AG202" i="10"/>
  <c r="AV202" i="10"/>
  <c r="H202" i="9"/>
  <c r="W202" i="9"/>
  <c r="AL202" i="9"/>
  <c r="I202" i="9"/>
  <c r="X202" i="9"/>
  <c r="AM202" i="9"/>
  <c r="J202" i="9"/>
  <c r="Y202" i="9"/>
  <c r="AN202" i="9"/>
  <c r="K202" i="9"/>
  <c r="Z202" i="9"/>
  <c r="AO202" i="9"/>
  <c r="L202" i="9"/>
  <c r="AA202" i="9"/>
  <c r="AP202" i="9"/>
  <c r="M202" i="9"/>
  <c r="AB202" i="9"/>
  <c r="AQ202" i="9"/>
  <c r="N202" i="9"/>
  <c r="AC202" i="9"/>
  <c r="AR202" i="9"/>
  <c r="O202" i="9"/>
  <c r="AD202" i="9"/>
  <c r="AS202" i="9"/>
  <c r="P202" i="9"/>
  <c r="AE202" i="9"/>
  <c r="AT202" i="9"/>
  <c r="Q202" i="9"/>
  <c r="AF202" i="9"/>
  <c r="AU202" i="9"/>
  <c r="R202" i="9"/>
  <c r="AG202" i="9"/>
  <c r="AV202" i="9"/>
  <c r="H201" i="7"/>
  <c r="W201" i="7"/>
  <c r="AL201" i="7"/>
  <c r="I201" i="7"/>
  <c r="X201" i="7"/>
  <c r="AM201" i="7"/>
  <c r="J201" i="7"/>
  <c r="Y201" i="7"/>
  <c r="AN201" i="7"/>
  <c r="K201" i="7"/>
  <c r="Z201" i="7"/>
  <c r="AO201" i="7"/>
  <c r="L201" i="7"/>
  <c r="AA201" i="7"/>
  <c r="AP201" i="7"/>
  <c r="N201" i="7"/>
  <c r="AC201" i="7"/>
  <c r="AR201" i="7"/>
  <c r="O201" i="7"/>
  <c r="AD201" i="7"/>
  <c r="AS201" i="7"/>
  <c r="P201" i="7"/>
  <c r="AE201" i="7"/>
  <c r="AT201" i="7"/>
  <c r="Q201" i="7"/>
  <c r="AF201" i="7"/>
  <c r="AU201" i="7"/>
  <c r="R201" i="7"/>
  <c r="AG201" i="7"/>
  <c r="AV201" i="7"/>
  <c r="I201" i="8"/>
  <c r="X201" i="8"/>
  <c r="AM201" i="8"/>
  <c r="J201" i="8"/>
  <c r="Y201" i="8"/>
  <c r="AN201" i="8"/>
  <c r="L201" i="8"/>
  <c r="AA201" i="8"/>
  <c r="AP201" i="8"/>
  <c r="N201" i="8"/>
  <c r="AC201" i="8"/>
  <c r="AR201" i="8"/>
  <c r="P201" i="8"/>
  <c r="AE201" i="8"/>
  <c r="AT201" i="8"/>
  <c r="Q201" i="8"/>
  <c r="AF201" i="8"/>
  <c r="AU201" i="8"/>
  <c r="H201" i="8"/>
  <c r="W201" i="8"/>
  <c r="AL201" i="8"/>
  <c r="K201" i="8"/>
  <c r="Z201" i="8"/>
  <c r="AO201" i="8"/>
  <c r="M201" i="8"/>
  <c r="AB201" i="8"/>
  <c r="AQ201" i="8"/>
  <c r="O201" i="8"/>
  <c r="AD201" i="8"/>
  <c r="AS201" i="8"/>
  <c r="R201" i="8"/>
  <c r="AG201" i="8"/>
  <c r="AV201" i="8"/>
  <c r="M201" i="7"/>
  <c r="AB201" i="7"/>
  <c r="AQ201" i="7"/>
  <c r="D189" i="8"/>
  <c r="S189" i="8"/>
  <c r="AH189" i="8"/>
  <c r="E177" i="8"/>
  <c r="T177" i="8"/>
  <c r="AI177" i="8"/>
  <c r="AH172" i="9"/>
  <c r="D172" i="9"/>
  <c r="S172" i="9"/>
  <c r="D149" i="7"/>
  <c r="S149" i="7"/>
  <c r="AH149" i="7"/>
  <c r="G146" i="9"/>
  <c r="V146" i="9"/>
  <c r="AK146" i="9"/>
  <c r="G142" i="10"/>
  <c r="AK142" i="10"/>
  <c r="V142" i="10"/>
  <c r="D127" i="10"/>
  <c r="S127" i="10"/>
  <c r="AH127" i="10"/>
  <c r="E129" i="9"/>
  <c r="T129" i="9"/>
  <c r="AI129" i="9"/>
  <c r="C131" i="8"/>
  <c r="AY131" i="8"/>
  <c r="AW131" i="8"/>
  <c r="AX132" i="8"/>
  <c r="G132" i="8"/>
  <c r="V132" i="8"/>
  <c r="AK132" i="8"/>
  <c r="E121" i="10"/>
  <c r="T121" i="10"/>
  <c r="AI121" i="10"/>
  <c r="AY113" i="9"/>
  <c r="C113" i="9"/>
  <c r="AX114" i="9"/>
  <c r="AW113" i="9"/>
  <c r="F114" i="9"/>
  <c r="U114" i="9"/>
  <c r="AJ114" i="9"/>
  <c r="C103" i="10"/>
  <c r="AY103" i="10"/>
  <c r="AX104" i="10"/>
  <c r="AW103" i="10"/>
  <c r="F104" i="10"/>
  <c r="U104" i="10"/>
  <c r="AJ104" i="10"/>
  <c r="V47" i="7"/>
  <c r="AI47" i="7"/>
  <c r="F48" i="7"/>
  <c r="AJ146" i="8" l="1"/>
  <c r="U146" i="8"/>
  <c r="F146" i="8"/>
  <c r="AK47" i="7"/>
  <c r="AY47" i="7"/>
  <c r="H203" i="10"/>
  <c r="W203" i="10"/>
  <c r="AL203" i="10"/>
  <c r="I203" i="10"/>
  <c r="X203" i="10"/>
  <c r="AM203" i="10"/>
  <c r="J203" i="10"/>
  <c r="Y203" i="10"/>
  <c r="AN203" i="10"/>
  <c r="K203" i="10"/>
  <c r="Z203" i="10"/>
  <c r="AO203" i="10"/>
  <c r="L203" i="10"/>
  <c r="AA203" i="10"/>
  <c r="AP203" i="10"/>
  <c r="M203" i="10"/>
  <c r="AB203" i="10"/>
  <c r="AQ203" i="10"/>
  <c r="N203" i="10"/>
  <c r="AC203" i="10"/>
  <c r="AR203" i="10"/>
  <c r="O203" i="10"/>
  <c r="AD203" i="10"/>
  <c r="AS203" i="10"/>
  <c r="P203" i="10"/>
  <c r="AE203" i="10"/>
  <c r="AT203" i="10"/>
  <c r="Q203" i="10"/>
  <c r="AF203" i="10"/>
  <c r="AU203" i="10"/>
  <c r="R203" i="10"/>
  <c r="AG203" i="10"/>
  <c r="AV203" i="10"/>
  <c r="H203" i="9"/>
  <c r="W203" i="9"/>
  <c r="AL203" i="9"/>
  <c r="I203" i="9"/>
  <c r="X203" i="9"/>
  <c r="AM203" i="9"/>
  <c r="J203" i="9"/>
  <c r="Y203" i="9"/>
  <c r="AN203" i="9"/>
  <c r="K203" i="9"/>
  <c r="Z203" i="9"/>
  <c r="AO203" i="9"/>
  <c r="L203" i="9"/>
  <c r="AA203" i="9"/>
  <c r="AP203" i="9"/>
  <c r="M203" i="9"/>
  <c r="AB203" i="9"/>
  <c r="AQ203" i="9"/>
  <c r="N203" i="9"/>
  <c r="AC203" i="9"/>
  <c r="AR203" i="9"/>
  <c r="O203" i="9"/>
  <c r="AD203" i="9"/>
  <c r="AS203" i="9"/>
  <c r="P203" i="9"/>
  <c r="AE203" i="9"/>
  <c r="AT203" i="9"/>
  <c r="Q203" i="9"/>
  <c r="AF203" i="9"/>
  <c r="AU203" i="9"/>
  <c r="R203" i="9"/>
  <c r="AG203" i="9"/>
  <c r="AV203" i="9"/>
  <c r="H202" i="7"/>
  <c r="W202" i="7"/>
  <c r="AL202" i="7"/>
  <c r="I202" i="7"/>
  <c r="X202" i="7"/>
  <c r="AM202" i="7"/>
  <c r="J202" i="7"/>
  <c r="Y202" i="7"/>
  <c r="AN202" i="7"/>
  <c r="K202" i="7"/>
  <c r="Z202" i="7"/>
  <c r="AO202" i="7"/>
  <c r="L202" i="7"/>
  <c r="AA202" i="7"/>
  <c r="AP202" i="7"/>
  <c r="N202" i="7"/>
  <c r="AC202" i="7"/>
  <c r="AR202" i="7"/>
  <c r="O202" i="7"/>
  <c r="AD202" i="7"/>
  <c r="AS202" i="7"/>
  <c r="P202" i="7"/>
  <c r="AE202" i="7"/>
  <c r="AT202" i="7"/>
  <c r="Q202" i="7"/>
  <c r="AF202" i="7"/>
  <c r="AU202" i="7"/>
  <c r="R202" i="7"/>
  <c r="AG202" i="7"/>
  <c r="AV202" i="7"/>
  <c r="I202" i="8"/>
  <c r="X202" i="8"/>
  <c r="AM202" i="8"/>
  <c r="J202" i="8"/>
  <c r="Y202" i="8"/>
  <c r="AN202" i="8"/>
  <c r="L202" i="8"/>
  <c r="AA202" i="8"/>
  <c r="AP202" i="8"/>
  <c r="N202" i="8"/>
  <c r="AC202" i="8"/>
  <c r="AR202" i="8"/>
  <c r="P202" i="8"/>
  <c r="AE202" i="8"/>
  <c r="AT202" i="8"/>
  <c r="Q202" i="8"/>
  <c r="AF202" i="8"/>
  <c r="AU202" i="8"/>
  <c r="H202" i="8"/>
  <c r="W202" i="8"/>
  <c r="AL202" i="8"/>
  <c r="K202" i="8"/>
  <c r="Z202" i="8"/>
  <c r="AO202" i="8"/>
  <c r="M202" i="8"/>
  <c r="AB202" i="8"/>
  <c r="AQ202" i="8"/>
  <c r="O202" i="8"/>
  <c r="AD202" i="8"/>
  <c r="AS202" i="8"/>
  <c r="R202" i="8"/>
  <c r="AG202" i="8"/>
  <c r="AV202" i="8"/>
  <c r="M202" i="7"/>
  <c r="AB202" i="7"/>
  <c r="AQ202" i="7"/>
  <c r="D190" i="8"/>
  <c r="S190" i="8"/>
  <c r="AH190" i="8"/>
  <c r="E178" i="8"/>
  <c r="T178" i="8"/>
  <c r="AI178" i="8"/>
  <c r="D173" i="9"/>
  <c r="AH173" i="9"/>
  <c r="S173" i="9"/>
  <c r="D150" i="7"/>
  <c r="S150" i="7"/>
  <c r="AH150" i="7"/>
  <c r="G147" i="9"/>
  <c r="V147" i="9"/>
  <c r="AK147" i="9"/>
  <c r="G143" i="10"/>
  <c r="V143" i="10"/>
  <c r="AK143" i="10"/>
  <c r="D128" i="10"/>
  <c r="S128" i="10"/>
  <c r="AH128" i="10"/>
  <c r="E130" i="9"/>
  <c r="T130" i="9"/>
  <c r="AI130" i="9"/>
  <c r="C132" i="8"/>
  <c r="AY132" i="8"/>
  <c r="AW132" i="8"/>
  <c r="W47" i="2" s="1"/>
  <c r="AX133" i="8"/>
  <c r="G133" i="8"/>
  <c r="V133" i="8"/>
  <c r="AK133" i="8"/>
  <c r="E122" i="10"/>
  <c r="T122" i="10"/>
  <c r="AI122" i="10"/>
  <c r="C114" i="9"/>
  <c r="AY114" i="9"/>
  <c r="AX115" i="9"/>
  <c r="AW114" i="9"/>
  <c r="F115" i="9"/>
  <c r="U115" i="9"/>
  <c r="AJ115" i="9"/>
  <c r="AY104" i="10"/>
  <c r="C104" i="10"/>
  <c r="AW104" i="10"/>
  <c r="AX105" i="10"/>
  <c r="F105" i="10"/>
  <c r="U105" i="10"/>
  <c r="AJ105" i="10"/>
  <c r="G48" i="7"/>
  <c r="AW47" i="7"/>
  <c r="AX48" i="7"/>
  <c r="E48" i="7"/>
  <c r="AJ147" i="8" l="1"/>
  <c r="U147" i="8"/>
  <c r="F147" i="8"/>
  <c r="H204" i="10"/>
  <c r="W204" i="10"/>
  <c r="AL204" i="10"/>
  <c r="I204" i="10"/>
  <c r="X204" i="10"/>
  <c r="AM204" i="10"/>
  <c r="J204" i="10"/>
  <c r="Y204" i="10"/>
  <c r="AN204" i="10"/>
  <c r="K204" i="10"/>
  <c r="Z204" i="10"/>
  <c r="AO204" i="10"/>
  <c r="L204" i="10"/>
  <c r="AA204" i="10"/>
  <c r="AP204" i="10"/>
  <c r="M204" i="10"/>
  <c r="AB204" i="10"/>
  <c r="AQ204" i="10"/>
  <c r="N204" i="10"/>
  <c r="AC204" i="10"/>
  <c r="AR204" i="10"/>
  <c r="O204" i="10"/>
  <c r="AD204" i="10"/>
  <c r="AS204" i="10"/>
  <c r="P204" i="10"/>
  <c r="AE204" i="10"/>
  <c r="AT204" i="10"/>
  <c r="Q204" i="10"/>
  <c r="AF204" i="10"/>
  <c r="AU204" i="10"/>
  <c r="R204" i="10"/>
  <c r="AG204" i="10"/>
  <c r="AV204" i="10"/>
  <c r="H204" i="9"/>
  <c r="W204" i="9"/>
  <c r="AL204" i="9"/>
  <c r="I204" i="9"/>
  <c r="X204" i="9"/>
  <c r="AM204" i="9"/>
  <c r="J204" i="9"/>
  <c r="Y204" i="9"/>
  <c r="AN204" i="9"/>
  <c r="K204" i="9"/>
  <c r="Z204" i="9"/>
  <c r="AO204" i="9"/>
  <c r="L204" i="9"/>
  <c r="AA204" i="9"/>
  <c r="AP204" i="9"/>
  <c r="M204" i="9"/>
  <c r="AB204" i="9"/>
  <c r="AQ204" i="9"/>
  <c r="N204" i="9"/>
  <c r="AC204" i="9"/>
  <c r="AR204" i="9"/>
  <c r="O204" i="9"/>
  <c r="AD204" i="9"/>
  <c r="AS204" i="9"/>
  <c r="P204" i="9"/>
  <c r="AE204" i="9"/>
  <c r="AT204" i="9"/>
  <c r="Q204" i="9"/>
  <c r="AF204" i="9"/>
  <c r="AU204" i="9"/>
  <c r="R204" i="9"/>
  <c r="AG204" i="9"/>
  <c r="AV204" i="9"/>
  <c r="H203" i="7"/>
  <c r="W203" i="7"/>
  <c r="AL203" i="7"/>
  <c r="I203" i="7"/>
  <c r="X203" i="7"/>
  <c r="AM203" i="7"/>
  <c r="J203" i="7"/>
  <c r="Y203" i="7"/>
  <c r="AN203" i="7"/>
  <c r="K203" i="7"/>
  <c r="Z203" i="7"/>
  <c r="AO203" i="7"/>
  <c r="L203" i="7"/>
  <c r="AA203" i="7"/>
  <c r="AP203" i="7"/>
  <c r="N203" i="7"/>
  <c r="AC203" i="7"/>
  <c r="AR203" i="7"/>
  <c r="O203" i="7"/>
  <c r="AD203" i="7"/>
  <c r="AS203" i="7"/>
  <c r="P203" i="7"/>
  <c r="AE203" i="7"/>
  <c r="AT203" i="7"/>
  <c r="Q203" i="7"/>
  <c r="AF203" i="7"/>
  <c r="AU203" i="7"/>
  <c r="R203" i="7"/>
  <c r="AG203" i="7"/>
  <c r="AV203" i="7"/>
  <c r="I203" i="8"/>
  <c r="X203" i="8"/>
  <c r="AM203" i="8"/>
  <c r="J203" i="8"/>
  <c r="Y203" i="8"/>
  <c r="AN203" i="8"/>
  <c r="L203" i="8"/>
  <c r="AA203" i="8"/>
  <c r="AP203" i="8"/>
  <c r="N203" i="8"/>
  <c r="AC203" i="8"/>
  <c r="AR203" i="8"/>
  <c r="P203" i="8"/>
  <c r="AE203" i="8"/>
  <c r="AT203" i="8"/>
  <c r="Q203" i="8"/>
  <c r="AF203" i="8"/>
  <c r="AU203" i="8"/>
  <c r="H203" i="8"/>
  <c r="W203" i="8"/>
  <c r="AL203" i="8"/>
  <c r="K203" i="8"/>
  <c r="Z203" i="8"/>
  <c r="AO203" i="8"/>
  <c r="M203" i="8"/>
  <c r="AB203" i="8"/>
  <c r="AQ203" i="8"/>
  <c r="O203" i="8"/>
  <c r="AD203" i="8"/>
  <c r="AS203" i="8"/>
  <c r="R203" i="8"/>
  <c r="AG203" i="8"/>
  <c r="AV203" i="8"/>
  <c r="M203" i="7"/>
  <c r="AB203" i="7"/>
  <c r="AQ203" i="7"/>
  <c r="D191" i="8"/>
  <c r="S191" i="8"/>
  <c r="AH191" i="8"/>
  <c r="E179" i="8"/>
  <c r="T179" i="8"/>
  <c r="AI179" i="8"/>
  <c r="D174" i="9"/>
  <c r="AH174" i="9"/>
  <c r="S174" i="9"/>
  <c r="D151" i="7"/>
  <c r="S151" i="7"/>
  <c r="AH151" i="7"/>
  <c r="G148" i="9"/>
  <c r="V148" i="9"/>
  <c r="AK148" i="9"/>
  <c r="G144" i="10"/>
  <c r="V144" i="10"/>
  <c r="AK144" i="10"/>
  <c r="AH129" i="10"/>
  <c r="D129" i="10"/>
  <c r="S129" i="10"/>
  <c r="E131" i="9"/>
  <c r="T131" i="9"/>
  <c r="AI131" i="9"/>
  <c r="AY133" i="8"/>
  <c r="C133" i="8"/>
  <c r="AX134" i="8"/>
  <c r="AW133" i="8"/>
  <c r="G134" i="8"/>
  <c r="V134" i="8"/>
  <c r="AK134" i="8"/>
  <c r="E123" i="10"/>
  <c r="T123" i="10"/>
  <c r="AI123" i="10"/>
  <c r="AY115" i="9"/>
  <c r="C115" i="9"/>
  <c r="AX116" i="9"/>
  <c r="AW115" i="9"/>
  <c r="F116" i="9"/>
  <c r="U116" i="9"/>
  <c r="AJ116" i="9"/>
  <c r="AY105" i="10"/>
  <c r="C105" i="10"/>
  <c r="AX106" i="10"/>
  <c r="AW105" i="10"/>
  <c r="F106" i="10"/>
  <c r="U106" i="10"/>
  <c r="AJ106" i="10"/>
  <c r="C48" i="7"/>
  <c r="T48" i="7"/>
  <c r="AJ148" i="8" l="1"/>
  <c r="U148" i="8"/>
  <c r="F148" i="8"/>
  <c r="H205" i="10"/>
  <c r="W205" i="10"/>
  <c r="AL205" i="10"/>
  <c r="I205" i="10"/>
  <c r="X205" i="10"/>
  <c r="AM205" i="10"/>
  <c r="J205" i="10"/>
  <c r="Y205" i="10"/>
  <c r="AN205" i="10"/>
  <c r="K205" i="10"/>
  <c r="Z205" i="10"/>
  <c r="AO205" i="10"/>
  <c r="L205" i="10"/>
  <c r="AA205" i="10"/>
  <c r="AP205" i="10"/>
  <c r="M205" i="10"/>
  <c r="AB205" i="10"/>
  <c r="AQ205" i="10"/>
  <c r="N205" i="10"/>
  <c r="AC205" i="10"/>
  <c r="AR205" i="10"/>
  <c r="O205" i="10"/>
  <c r="AD205" i="10"/>
  <c r="AS205" i="10"/>
  <c r="P205" i="10"/>
  <c r="AE205" i="10"/>
  <c r="AT205" i="10"/>
  <c r="Q205" i="10"/>
  <c r="AF205" i="10"/>
  <c r="AU205" i="10"/>
  <c r="R205" i="10"/>
  <c r="AG205" i="10"/>
  <c r="AV205" i="10"/>
  <c r="H205" i="9"/>
  <c r="W205" i="9"/>
  <c r="AL205" i="9"/>
  <c r="I205" i="9"/>
  <c r="X205" i="9"/>
  <c r="AM205" i="9"/>
  <c r="J205" i="9"/>
  <c r="Y205" i="9"/>
  <c r="AN205" i="9"/>
  <c r="K205" i="9"/>
  <c r="Z205" i="9"/>
  <c r="AO205" i="9"/>
  <c r="L205" i="9"/>
  <c r="AA205" i="9"/>
  <c r="AP205" i="9"/>
  <c r="M205" i="9"/>
  <c r="AB205" i="9"/>
  <c r="AQ205" i="9"/>
  <c r="N205" i="9"/>
  <c r="AC205" i="9"/>
  <c r="AR205" i="9"/>
  <c r="O205" i="9"/>
  <c r="AD205" i="9"/>
  <c r="AS205" i="9"/>
  <c r="P205" i="9"/>
  <c r="AE205" i="9"/>
  <c r="AT205" i="9"/>
  <c r="Q205" i="9"/>
  <c r="AF205" i="9"/>
  <c r="AU205" i="9"/>
  <c r="R205" i="9"/>
  <c r="AG205" i="9"/>
  <c r="AV205" i="9"/>
  <c r="H204" i="7"/>
  <c r="W204" i="7"/>
  <c r="AL204" i="7"/>
  <c r="I204" i="7"/>
  <c r="X204" i="7"/>
  <c r="AM204" i="7"/>
  <c r="J204" i="7"/>
  <c r="Y204" i="7"/>
  <c r="AN204" i="7"/>
  <c r="K204" i="7"/>
  <c r="Z204" i="7"/>
  <c r="AO204" i="7"/>
  <c r="L204" i="7"/>
  <c r="AA204" i="7"/>
  <c r="AP204" i="7"/>
  <c r="N204" i="7"/>
  <c r="AC204" i="7"/>
  <c r="AR204" i="7"/>
  <c r="O204" i="7"/>
  <c r="AD204" i="7"/>
  <c r="AS204" i="7"/>
  <c r="P204" i="7"/>
  <c r="AE204" i="7"/>
  <c r="AT204" i="7"/>
  <c r="Q204" i="7"/>
  <c r="AF204" i="7"/>
  <c r="AU204" i="7"/>
  <c r="R204" i="7"/>
  <c r="AG204" i="7"/>
  <c r="AV204" i="7"/>
  <c r="I204" i="8"/>
  <c r="X204" i="8"/>
  <c r="AM204" i="8"/>
  <c r="J204" i="8"/>
  <c r="Y204" i="8"/>
  <c r="AN204" i="8"/>
  <c r="L204" i="8"/>
  <c r="AA204" i="8"/>
  <c r="AP204" i="8"/>
  <c r="N204" i="8"/>
  <c r="AC204" i="8"/>
  <c r="AR204" i="8"/>
  <c r="P204" i="8"/>
  <c r="AE204" i="8"/>
  <c r="AT204" i="8"/>
  <c r="Q204" i="8"/>
  <c r="AF204" i="8"/>
  <c r="AU204" i="8"/>
  <c r="H204" i="8"/>
  <c r="W204" i="8"/>
  <c r="AL204" i="8"/>
  <c r="K204" i="8"/>
  <c r="Z204" i="8"/>
  <c r="AO204" i="8"/>
  <c r="M204" i="8"/>
  <c r="AB204" i="8"/>
  <c r="AQ204" i="8"/>
  <c r="O204" i="8"/>
  <c r="AD204" i="8"/>
  <c r="AS204" i="8"/>
  <c r="R204" i="8"/>
  <c r="AG204" i="8"/>
  <c r="AV204" i="8"/>
  <c r="M204" i="7"/>
  <c r="AB204" i="7"/>
  <c r="AQ204" i="7"/>
  <c r="D192" i="8"/>
  <c r="S192" i="8"/>
  <c r="AH192" i="8"/>
  <c r="E180" i="8"/>
  <c r="T180" i="8"/>
  <c r="AI180" i="8"/>
  <c r="D175" i="9"/>
  <c r="S175" i="9"/>
  <c r="AH175" i="9"/>
  <c r="D152" i="7"/>
  <c r="S152" i="7"/>
  <c r="AH152" i="7"/>
  <c r="G149" i="9"/>
  <c r="V149" i="9"/>
  <c r="AK149" i="9"/>
  <c r="G145" i="10"/>
  <c r="V145" i="10"/>
  <c r="AK145" i="10"/>
  <c r="D130" i="10"/>
  <c r="S130" i="10"/>
  <c r="AH130" i="10"/>
  <c r="E132" i="9"/>
  <c r="T132" i="9"/>
  <c r="AI132" i="9"/>
  <c r="C134" i="8"/>
  <c r="AY134" i="8"/>
  <c r="AW134" i="8"/>
  <c r="AX135" i="8"/>
  <c r="G135" i="8"/>
  <c r="V135" i="8"/>
  <c r="AK135" i="8"/>
  <c r="E124" i="10"/>
  <c r="T124" i="10"/>
  <c r="AI124" i="10"/>
  <c r="AY116" i="9"/>
  <c r="C116" i="9"/>
  <c r="AW116" i="9"/>
  <c r="AX117" i="9"/>
  <c r="F117" i="9"/>
  <c r="U117" i="9"/>
  <c r="AJ117" i="9"/>
  <c r="C106" i="10"/>
  <c r="AY106" i="10"/>
  <c r="AX107" i="10"/>
  <c r="AW106" i="10"/>
  <c r="F107" i="10"/>
  <c r="U107" i="10"/>
  <c r="AJ107" i="10"/>
  <c r="U48" i="7"/>
  <c r="AI48" i="7"/>
  <c r="AJ149" i="8" l="1"/>
  <c r="U149" i="8"/>
  <c r="F149" i="8"/>
  <c r="H206" i="10"/>
  <c r="W206" i="10"/>
  <c r="AL206" i="10"/>
  <c r="I206" i="10"/>
  <c r="X206" i="10"/>
  <c r="AM206" i="10"/>
  <c r="J206" i="10"/>
  <c r="Y206" i="10"/>
  <c r="AN206" i="10"/>
  <c r="K206" i="10"/>
  <c r="Z206" i="10"/>
  <c r="AO206" i="10"/>
  <c r="L206" i="10"/>
  <c r="AA206" i="10"/>
  <c r="AP206" i="10"/>
  <c r="M206" i="10"/>
  <c r="AB206" i="10"/>
  <c r="AQ206" i="10"/>
  <c r="N206" i="10"/>
  <c r="AC206" i="10"/>
  <c r="AR206" i="10"/>
  <c r="O206" i="10"/>
  <c r="AD206" i="10"/>
  <c r="AS206" i="10"/>
  <c r="P206" i="10"/>
  <c r="AE206" i="10"/>
  <c r="AT206" i="10"/>
  <c r="Q206" i="10"/>
  <c r="AF206" i="10"/>
  <c r="AU206" i="10"/>
  <c r="R206" i="10"/>
  <c r="AG206" i="10"/>
  <c r="AV206" i="10"/>
  <c r="H206" i="9"/>
  <c r="W206" i="9"/>
  <c r="AL206" i="9"/>
  <c r="I206" i="9"/>
  <c r="X206" i="9"/>
  <c r="AM206" i="9"/>
  <c r="J206" i="9"/>
  <c r="Y206" i="9"/>
  <c r="AN206" i="9"/>
  <c r="K206" i="9"/>
  <c r="Z206" i="9"/>
  <c r="AO206" i="9"/>
  <c r="L206" i="9"/>
  <c r="AA206" i="9"/>
  <c r="AP206" i="9"/>
  <c r="M206" i="9"/>
  <c r="AB206" i="9"/>
  <c r="AQ206" i="9"/>
  <c r="N206" i="9"/>
  <c r="AC206" i="9"/>
  <c r="AR206" i="9"/>
  <c r="O206" i="9"/>
  <c r="AD206" i="9"/>
  <c r="AS206" i="9"/>
  <c r="P206" i="9"/>
  <c r="AE206" i="9"/>
  <c r="AT206" i="9"/>
  <c r="Q206" i="9"/>
  <c r="AF206" i="9"/>
  <c r="AU206" i="9"/>
  <c r="R206" i="9"/>
  <c r="AG206" i="9"/>
  <c r="AV206" i="9"/>
  <c r="H205" i="7"/>
  <c r="W205" i="7"/>
  <c r="AL205" i="7"/>
  <c r="I205" i="7"/>
  <c r="X205" i="7"/>
  <c r="AM205" i="7"/>
  <c r="J205" i="7"/>
  <c r="Y205" i="7"/>
  <c r="AN205" i="7"/>
  <c r="K205" i="7"/>
  <c r="Z205" i="7"/>
  <c r="AO205" i="7"/>
  <c r="L205" i="7"/>
  <c r="AA205" i="7"/>
  <c r="AP205" i="7"/>
  <c r="N205" i="7"/>
  <c r="AC205" i="7"/>
  <c r="AR205" i="7"/>
  <c r="O205" i="7"/>
  <c r="AD205" i="7"/>
  <c r="AS205" i="7"/>
  <c r="P205" i="7"/>
  <c r="AE205" i="7"/>
  <c r="AT205" i="7"/>
  <c r="Q205" i="7"/>
  <c r="AF205" i="7"/>
  <c r="AU205" i="7"/>
  <c r="R205" i="7"/>
  <c r="AG205" i="7"/>
  <c r="AV205" i="7"/>
  <c r="I205" i="8"/>
  <c r="X205" i="8"/>
  <c r="AM205" i="8"/>
  <c r="J205" i="8"/>
  <c r="Y205" i="8"/>
  <c r="AN205" i="8"/>
  <c r="L205" i="8"/>
  <c r="AA205" i="8"/>
  <c r="AP205" i="8"/>
  <c r="N205" i="8"/>
  <c r="AC205" i="8"/>
  <c r="AR205" i="8"/>
  <c r="P205" i="8"/>
  <c r="AE205" i="8"/>
  <c r="AT205" i="8"/>
  <c r="Q205" i="8"/>
  <c r="AF205" i="8"/>
  <c r="AU205" i="8"/>
  <c r="H205" i="8"/>
  <c r="W205" i="8"/>
  <c r="AL205" i="8"/>
  <c r="K205" i="8"/>
  <c r="Z205" i="8"/>
  <c r="AO205" i="8"/>
  <c r="M205" i="8"/>
  <c r="AB205" i="8"/>
  <c r="AQ205" i="8"/>
  <c r="O205" i="8"/>
  <c r="AD205" i="8"/>
  <c r="AS205" i="8"/>
  <c r="R205" i="8"/>
  <c r="AG205" i="8"/>
  <c r="AV205" i="8"/>
  <c r="M205" i="7"/>
  <c r="AB205" i="7"/>
  <c r="AQ205" i="7"/>
  <c r="D193" i="8"/>
  <c r="S193" i="8"/>
  <c r="AH193" i="8"/>
  <c r="E181" i="8"/>
  <c r="T181" i="8"/>
  <c r="AI181" i="8"/>
  <c r="AH176" i="9"/>
  <c r="D176" i="9"/>
  <c r="S176" i="9"/>
  <c r="D153" i="7"/>
  <c r="S153" i="7"/>
  <c r="AH153" i="7"/>
  <c r="G150" i="9"/>
  <c r="V150" i="9"/>
  <c r="AK150" i="9"/>
  <c r="G146" i="10"/>
  <c r="AK146" i="10"/>
  <c r="V146" i="10"/>
  <c r="D131" i="10"/>
  <c r="S131" i="10"/>
  <c r="AH131" i="10"/>
  <c r="E133" i="9"/>
  <c r="T133" i="9"/>
  <c r="AI133" i="9"/>
  <c r="C135" i="8"/>
  <c r="AY135" i="8"/>
  <c r="AX136" i="8"/>
  <c r="AW135" i="8"/>
  <c r="W48" i="2" s="1"/>
  <c r="G136" i="8"/>
  <c r="V136" i="8"/>
  <c r="AK136" i="8"/>
  <c r="E125" i="10"/>
  <c r="T125" i="10"/>
  <c r="AI125" i="10"/>
  <c r="AY117" i="9"/>
  <c r="C117" i="9"/>
  <c r="AX118" i="9"/>
  <c r="AW117" i="9"/>
  <c r="F118" i="9"/>
  <c r="U118" i="9"/>
  <c r="AJ118" i="9"/>
  <c r="C107" i="10"/>
  <c r="AY107" i="10"/>
  <c r="AW107" i="10"/>
  <c r="AX108" i="10"/>
  <c r="F108" i="10"/>
  <c r="U108" i="10"/>
  <c r="AJ108" i="10"/>
  <c r="E49" i="7"/>
  <c r="AJ48" i="7"/>
  <c r="V48" i="7"/>
  <c r="U150" i="8" l="1"/>
  <c r="F150" i="8"/>
  <c r="AJ150" i="8"/>
  <c r="H207" i="10"/>
  <c r="W207" i="10"/>
  <c r="AL207" i="10"/>
  <c r="I207" i="10"/>
  <c r="X207" i="10"/>
  <c r="AM207" i="10"/>
  <c r="J207" i="10"/>
  <c r="Y207" i="10"/>
  <c r="AN207" i="10"/>
  <c r="K207" i="10"/>
  <c r="Z207" i="10"/>
  <c r="AO207" i="10"/>
  <c r="L207" i="10"/>
  <c r="AA207" i="10"/>
  <c r="AP207" i="10"/>
  <c r="M207" i="10"/>
  <c r="AB207" i="10"/>
  <c r="AQ207" i="10"/>
  <c r="N207" i="10"/>
  <c r="AC207" i="10"/>
  <c r="AR207" i="10"/>
  <c r="O207" i="10"/>
  <c r="AD207" i="10"/>
  <c r="AS207" i="10"/>
  <c r="P207" i="10"/>
  <c r="AE207" i="10"/>
  <c r="AT207" i="10"/>
  <c r="Q207" i="10"/>
  <c r="AF207" i="10"/>
  <c r="AU207" i="10"/>
  <c r="R207" i="10"/>
  <c r="AG207" i="10"/>
  <c r="AV207" i="10"/>
  <c r="H207" i="9"/>
  <c r="W207" i="9"/>
  <c r="AL207" i="9"/>
  <c r="I207" i="9"/>
  <c r="X207" i="9"/>
  <c r="AM207" i="9"/>
  <c r="J207" i="9"/>
  <c r="Y207" i="9"/>
  <c r="AN207" i="9"/>
  <c r="K207" i="9"/>
  <c r="Z207" i="9"/>
  <c r="AO207" i="9"/>
  <c r="L207" i="9"/>
  <c r="AA207" i="9"/>
  <c r="AP207" i="9"/>
  <c r="M207" i="9"/>
  <c r="AB207" i="9"/>
  <c r="AQ207" i="9"/>
  <c r="N207" i="9"/>
  <c r="AC207" i="9"/>
  <c r="AR207" i="9"/>
  <c r="O207" i="9"/>
  <c r="AD207" i="9"/>
  <c r="AS207" i="9"/>
  <c r="P207" i="9"/>
  <c r="AE207" i="9"/>
  <c r="AT207" i="9"/>
  <c r="Q207" i="9"/>
  <c r="AF207" i="9"/>
  <c r="AU207" i="9"/>
  <c r="R207" i="9"/>
  <c r="AG207" i="9"/>
  <c r="AV207" i="9"/>
  <c r="H206" i="7"/>
  <c r="W206" i="7"/>
  <c r="AL206" i="7"/>
  <c r="I206" i="7"/>
  <c r="X206" i="7"/>
  <c r="AM206" i="7"/>
  <c r="J206" i="7"/>
  <c r="Y206" i="7"/>
  <c r="AN206" i="7"/>
  <c r="K206" i="7"/>
  <c r="Z206" i="7"/>
  <c r="AO206" i="7"/>
  <c r="L206" i="7"/>
  <c r="AA206" i="7"/>
  <c r="AP206" i="7"/>
  <c r="N206" i="7"/>
  <c r="AC206" i="7"/>
  <c r="AR206" i="7"/>
  <c r="O206" i="7"/>
  <c r="AD206" i="7"/>
  <c r="AS206" i="7"/>
  <c r="P206" i="7"/>
  <c r="AE206" i="7"/>
  <c r="AT206" i="7"/>
  <c r="Q206" i="7"/>
  <c r="AF206" i="7"/>
  <c r="AU206" i="7"/>
  <c r="R206" i="7"/>
  <c r="AG206" i="7"/>
  <c r="AV206" i="7"/>
  <c r="I206" i="8"/>
  <c r="X206" i="8"/>
  <c r="AM206" i="8"/>
  <c r="J206" i="8"/>
  <c r="Y206" i="8"/>
  <c r="AN206" i="8"/>
  <c r="L206" i="8"/>
  <c r="AA206" i="8"/>
  <c r="AP206" i="8"/>
  <c r="N206" i="8"/>
  <c r="AC206" i="8"/>
  <c r="AR206" i="8"/>
  <c r="P206" i="8"/>
  <c r="AE206" i="8"/>
  <c r="AT206" i="8"/>
  <c r="Q206" i="8"/>
  <c r="AF206" i="8"/>
  <c r="AU206" i="8"/>
  <c r="H206" i="8"/>
  <c r="W206" i="8"/>
  <c r="AL206" i="8"/>
  <c r="K206" i="8"/>
  <c r="Z206" i="8"/>
  <c r="AO206" i="8"/>
  <c r="M206" i="8"/>
  <c r="AB206" i="8"/>
  <c r="AQ206" i="8"/>
  <c r="O206" i="8"/>
  <c r="AD206" i="8"/>
  <c r="AS206" i="8"/>
  <c r="R206" i="8"/>
  <c r="AG206" i="8"/>
  <c r="AV206" i="8"/>
  <c r="M206" i="7"/>
  <c r="AB206" i="7"/>
  <c r="AQ206" i="7"/>
  <c r="D194" i="8"/>
  <c r="S194" i="8"/>
  <c r="AH194" i="8"/>
  <c r="E182" i="8"/>
  <c r="T182" i="8"/>
  <c r="AI182" i="8"/>
  <c r="D177" i="9"/>
  <c r="AH177" i="9"/>
  <c r="S177" i="9"/>
  <c r="D154" i="7"/>
  <c r="S154" i="7"/>
  <c r="AH154" i="7"/>
  <c r="G151" i="9"/>
  <c r="V151" i="9"/>
  <c r="AK151" i="9"/>
  <c r="G147" i="10"/>
  <c r="AK147" i="10"/>
  <c r="V147" i="10"/>
  <c r="S132" i="10"/>
  <c r="AH132" i="10"/>
  <c r="D132" i="10"/>
  <c r="E134" i="9"/>
  <c r="T134" i="9"/>
  <c r="AI134" i="9"/>
  <c r="C136" i="8"/>
  <c r="AY136" i="8"/>
  <c r="AX137" i="8"/>
  <c r="AW136" i="8"/>
  <c r="G137" i="8"/>
  <c r="V137" i="8"/>
  <c r="AK137" i="8"/>
  <c r="E126" i="10"/>
  <c r="T126" i="10"/>
  <c r="AI126" i="10"/>
  <c r="C118" i="9"/>
  <c r="AY118" i="9"/>
  <c r="AW118" i="9"/>
  <c r="AX119" i="9"/>
  <c r="F119" i="9"/>
  <c r="U119" i="9"/>
  <c r="AJ119" i="9"/>
  <c r="C108" i="10"/>
  <c r="AY108" i="10"/>
  <c r="AW108" i="10"/>
  <c r="AX109" i="10"/>
  <c r="F109" i="10"/>
  <c r="U109" i="10"/>
  <c r="AJ109" i="10"/>
  <c r="F49" i="7"/>
  <c r="AK48" i="7"/>
  <c r="AY48" i="7"/>
  <c r="U151" i="8" l="1"/>
  <c r="AJ151" i="8"/>
  <c r="F151" i="8"/>
  <c r="H208" i="10"/>
  <c r="W208" i="10"/>
  <c r="AL208" i="10"/>
  <c r="I208" i="10"/>
  <c r="X208" i="10"/>
  <c r="AM208" i="10"/>
  <c r="J208" i="10"/>
  <c r="Y208" i="10"/>
  <c r="AN208" i="10"/>
  <c r="K208" i="10"/>
  <c r="Z208" i="10"/>
  <c r="AO208" i="10"/>
  <c r="L208" i="10"/>
  <c r="AA208" i="10"/>
  <c r="AP208" i="10"/>
  <c r="M208" i="10"/>
  <c r="AB208" i="10"/>
  <c r="AQ208" i="10"/>
  <c r="N208" i="10"/>
  <c r="AC208" i="10"/>
  <c r="AR208" i="10"/>
  <c r="O208" i="10"/>
  <c r="AD208" i="10"/>
  <c r="AS208" i="10"/>
  <c r="P208" i="10"/>
  <c r="AE208" i="10"/>
  <c r="AT208" i="10"/>
  <c r="Q208" i="10"/>
  <c r="AF208" i="10"/>
  <c r="AU208" i="10"/>
  <c r="R208" i="10"/>
  <c r="AG208" i="10"/>
  <c r="AV208" i="10"/>
  <c r="H208" i="9"/>
  <c r="W208" i="9"/>
  <c r="AL208" i="9"/>
  <c r="I208" i="9"/>
  <c r="X208" i="9"/>
  <c r="AM208" i="9"/>
  <c r="J208" i="9"/>
  <c r="Y208" i="9"/>
  <c r="AN208" i="9"/>
  <c r="K208" i="9"/>
  <c r="Z208" i="9"/>
  <c r="AO208" i="9"/>
  <c r="L208" i="9"/>
  <c r="AA208" i="9"/>
  <c r="AP208" i="9"/>
  <c r="M208" i="9"/>
  <c r="AB208" i="9"/>
  <c r="AQ208" i="9"/>
  <c r="N208" i="9"/>
  <c r="AC208" i="9"/>
  <c r="AR208" i="9"/>
  <c r="O208" i="9"/>
  <c r="AD208" i="9"/>
  <c r="AS208" i="9"/>
  <c r="P208" i="9"/>
  <c r="AE208" i="9"/>
  <c r="AT208" i="9"/>
  <c r="Q208" i="9"/>
  <c r="AF208" i="9"/>
  <c r="AU208" i="9"/>
  <c r="R208" i="9"/>
  <c r="AG208" i="9"/>
  <c r="AV208" i="9"/>
  <c r="H207" i="7"/>
  <c r="W207" i="7"/>
  <c r="AL207" i="7"/>
  <c r="I207" i="7"/>
  <c r="X207" i="7"/>
  <c r="AM207" i="7"/>
  <c r="J207" i="7"/>
  <c r="Y207" i="7"/>
  <c r="AN207" i="7"/>
  <c r="K207" i="7"/>
  <c r="Z207" i="7"/>
  <c r="AO207" i="7"/>
  <c r="L207" i="7"/>
  <c r="AA207" i="7"/>
  <c r="AP207" i="7"/>
  <c r="N207" i="7"/>
  <c r="AC207" i="7"/>
  <c r="AR207" i="7"/>
  <c r="O207" i="7"/>
  <c r="AD207" i="7"/>
  <c r="AS207" i="7"/>
  <c r="P207" i="7"/>
  <c r="AE207" i="7"/>
  <c r="AT207" i="7"/>
  <c r="Q207" i="7"/>
  <c r="AF207" i="7"/>
  <c r="AU207" i="7"/>
  <c r="R207" i="7"/>
  <c r="AG207" i="7"/>
  <c r="AV207" i="7"/>
  <c r="I207" i="8"/>
  <c r="X207" i="8"/>
  <c r="AM207" i="8"/>
  <c r="J207" i="8"/>
  <c r="Y207" i="8"/>
  <c r="AN207" i="8"/>
  <c r="L207" i="8"/>
  <c r="AA207" i="8"/>
  <c r="AP207" i="8"/>
  <c r="N207" i="8"/>
  <c r="AC207" i="8"/>
  <c r="AR207" i="8"/>
  <c r="P207" i="8"/>
  <c r="AE207" i="8"/>
  <c r="AT207" i="8"/>
  <c r="Q207" i="8"/>
  <c r="AF207" i="8"/>
  <c r="AU207" i="8"/>
  <c r="H207" i="8"/>
  <c r="W207" i="8"/>
  <c r="AL207" i="8"/>
  <c r="K207" i="8"/>
  <c r="Z207" i="8"/>
  <c r="AO207" i="8"/>
  <c r="M207" i="8"/>
  <c r="AB207" i="8"/>
  <c r="AQ207" i="8"/>
  <c r="O207" i="8"/>
  <c r="AD207" i="8"/>
  <c r="AS207" i="8"/>
  <c r="R207" i="8"/>
  <c r="AG207" i="8"/>
  <c r="AV207" i="8"/>
  <c r="M207" i="7"/>
  <c r="AB207" i="7"/>
  <c r="AQ207" i="7"/>
  <c r="D195" i="8"/>
  <c r="S195" i="8"/>
  <c r="AH195" i="8"/>
  <c r="E183" i="8"/>
  <c r="T183" i="8"/>
  <c r="AI183" i="8"/>
  <c r="D178" i="9"/>
  <c r="S178" i="9"/>
  <c r="AH178" i="9"/>
  <c r="D155" i="7"/>
  <c r="S155" i="7"/>
  <c r="AH155" i="7"/>
  <c r="G152" i="9"/>
  <c r="V152" i="9"/>
  <c r="AK152" i="9"/>
  <c r="G148" i="10"/>
  <c r="V148" i="10"/>
  <c r="AK148" i="10"/>
  <c r="S133" i="10"/>
  <c r="D133" i="10"/>
  <c r="AH133" i="10"/>
  <c r="E135" i="9"/>
  <c r="T135" i="9"/>
  <c r="AI135" i="9"/>
  <c r="C137" i="8"/>
  <c r="AY137" i="8"/>
  <c r="AX138" i="8"/>
  <c r="AW137" i="8"/>
  <c r="G138" i="8"/>
  <c r="V138" i="8"/>
  <c r="AK138" i="8"/>
  <c r="E127" i="10"/>
  <c r="T127" i="10"/>
  <c r="AI127" i="10"/>
  <c r="C119" i="9"/>
  <c r="AY119" i="9"/>
  <c r="AW119" i="9"/>
  <c r="AX120" i="9"/>
  <c r="F120" i="9"/>
  <c r="U120" i="9"/>
  <c r="AJ120" i="9"/>
  <c r="C109" i="10"/>
  <c r="AY109" i="10"/>
  <c r="AW109" i="10"/>
  <c r="AX110" i="10"/>
  <c r="F110" i="10"/>
  <c r="U110" i="10"/>
  <c r="AJ110" i="10"/>
  <c r="G49" i="7"/>
  <c r="V49" i="7"/>
  <c r="AK49" i="7"/>
  <c r="AX49" i="7"/>
  <c r="AW48" i="7"/>
  <c r="X19" i="2" s="1"/>
  <c r="C49" i="7"/>
  <c r="T49" i="7" s="1"/>
  <c r="U49" i="7" s="1"/>
  <c r="AJ49" i="7" s="1"/>
  <c r="AJ152" i="8" l="1"/>
  <c r="U152" i="8"/>
  <c r="F152" i="8"/>
  <c r="H209" i="10"/>
  <c r="W209" i="10"/>
  <c r="AL209" i="10"/>
  <c r="I209" i="10"/>
  <c r="X209" i="10"/>
  <c r="AM209" i="10"/>
  <c r="J209" i="10"/>
  <c r="Y209" i="10"/>
  <c r="AN209" i="10"/>
  <c r="K209" i="10"/>
  <c r="Z209" i="10"/>
  <c r="AO209" i="10"/>
  <c r="L209" i="10"/>
  <c r="AA209" i="10"/>
  <c r="AP209" i="10"/>
  <c r="M209" i="10"/>
  <c r="AB209" i="10"/>
  <c r="AQ209" i="10"/>
  <c r="N209" i="10"/>
  <c r="AC209" i="10"/>
  <c r="AR209" i="10"/>
  <c r="O209" i="10"/>
  <c r="AD209" i="10"/>
  <c r="AS209" i="10"/>
  <c r="P209" i="10"/>
  <c r="AE209" i="10"/>
  <c r="AT209" i="10"/>
  <c r="Q209" i="10"/>
  <c r="AF209" i="10"/>
  <c r="AU209" i="10"/>
  <c r="R209" i="10"/>
  <c r="AG209" i="10"/>
  <c r="AV209" i="10"/>
  <c r="H209" i="9"/>
  <c r="W209" i="9"/>
  <c r="AL209" i="9"/>
  <c r="I209" i="9"/>
  <c r="X209" i="9"/>
  <c r="AM209" i="9"/>
  <c r="J209" i="9"/>
  <c r="Y209" i="9"/>
  <c r="AN209" i="9"/>
  <c r="K209" i="9"/>
  <c r="Z209" i="9"/>
  <c r="AO209" i="9"/>
  <c r="L209" i="9"/>
  <c r="AA209" i="9"/>
  <c r="AP209" i="9"/>
  <c r="M209" i="9"/>
  <c r="AB209" i="9"/>
  <c r="AQ209" i="9"/>
  <c r="N209" i="9"/>
  <c r="AC209" i="9"/>
  <c r="AR209" i="9"/>
  <c r="O209" i="9"/>
  <c r="AD209" i="9"/>
  <c r="AS209" i="9"/>
  <c r="P209" i="9"/>
  <c r="AE209" i="9"/>
  <c r="AT209" i="9"/>
  <c r="Q209" i="9"/>
  <c r="AF209" i="9"/>
  <c r="AU209" i="9"/>
  <c r="R209" i="9"/>
  <c r="AG209" i="9"/>
  <c r="AV209" i="9"/>
  <c r="H208" i="7"/>
  <c r="W208" i="7"/>
  <c r="AL208" i="7"/>
  <c r="I208" i="7"/>
  <c r="X208" i="7"/>
  <c r="AM208" i="7"/>
  <c r="J208" i="7"/>
  <c r="Y208" i="7"/>
  <c r="AN208" i="7"/>
  <c r="K208" i="7"/>
  <c r="Z208" i="7"/>
  <c r="AO208" i="7"/>
  <c r="L208" i="7"/>
  <c r="AA208" i="7"/>
  <c r="AP208" i="7"/>
  <c r="N208" i="7"/>
  <c r="AC208" i="7"/>
  <c r="AR208" i="7"/>
  <c r="O208" i="7"/>
  <c r="AD208" i="7"/>
  <c r="AS208" i="7"/>
  <c r="P208" i="7"/>
  <c r="AE208" i="7"/>
  <c r="AT208" i="7"/>
  <c r="Q208" i="7"/>
  <c r="AF208" i="7"/>
  <c r="AU208" i="7"/>
  <c r="R208" i="7"/>
  <c r="AG208" i="7"/>
  <c r="AV208" i="7"/>
  <c r="I208" i="8"/>
  <c r="X208" i="8"/>
  <c r="AM208" i="8"/>
  <c r="J208" i="8"/>
  <c r="Y208" i="8"/>
  <c r="AN208" i="8"/>
  <c r="L208" i="8"/>
  <c r="AA208" i="8"/>
  <c r="AP208" i="8"/>
  <c r="AR208" i="8"/>
  <c r="N208" i="8"/>
  <c r="AC208" i="8"/>
  <c r="AE208" i="8"/>
  <c r="P208" i="8"/>
  <c r="AT208" i="8"/>
  <c r="AU208" i="8"/>
  <c r="Q208" i="8"/>
  <c r="AF208" i="8"/>
  <c r="H208" i="8"/>
  <c r="W208" i="8"/>
  <c r="AL208" i="8"/>
  <c r="K208" i="8"/>
  <c r="Z208" i="8"/>
  <c r="AO208" i="8"/>
  <c r="AQ208" i="8"/>
  <c r="M208" i="8"/>
  <c r="AB208" i="8"/>
  <c r="AS208" i="8"/>
  <c r="AD208" i="8"/>
  <c r="O208" i="8"/>
  <c r="AG208" i="8"/>
  <c r="R208" i="8"/>
  <c r="AV208" i="8"/>
  <c r="M208" i="7"/>
  <c r="AB208" i="7"/>
  <c r="AQ208" i="7"/>
  <c r="D196" i="8"/>
  <c r="S196" i="8"/>
  <c r="AH196" i="8"/>
  <c r="E184" i="8"/>
  <c r="T184" i="8"/>
  <c r="AI184" i="8"/>
  <c r="S179" i="9"/>
  <c r="D179" i="9"/>
  <c r="AH179" i="9"/>
  <c r="D156" i="7"/>
  <c r="S156" i="7"/>
  <c r="AH156" i="7"/>
  <c r="G153" i="9"/>
  <c r="V153" i="9"/>
  <c r="AK153" i="9"/>
  <c r="V149" i="10"/>
  <c r="G149" i="10"/>
  <c r="AK149" i="10"/>
  <c r="D134" i="10"/>
  <c r="AH134" i="10"/>
  <c r="S134" i="10"/>
  <c r="E136" i="9"/>
  <c r="T136" i="9"/>
  <c r="AI136" i="9"/>
  <c r="AY138" i="8"/>
  <c r="C138" i="8"/>
  <c r="AX139" i="8"/>
  <c r="AW138" i="8"/>
  <c r="W49" i="2" s="1"/>
  <c r="G139" i="8"/>
  <c r="V139" i="8"/>
  <c r="AK139" i="8"/>
  <c r="E128" i="10"/>
  <c r="T128" i="10"/>
  <c r="AI128" i="10"/>
  <c r="C120" i="9"/>
  <c r="AY120" i="9"/>
  <c r="AX121" i="9"/>
  <c r="AW120" i="9"/>
  <c r="F121" i="9"/>
  <c r="U121" i="9"/>
  <c r="AJ121" i="9"/>
  <c r="C110" i="10"/>
  <c r="AY110" i="10"/>
  <c r="AX111" i="10"/>
  <c r="AW110" i="10"/>
  <c r="F111" i="10"/>
  <c r="U111" i="10"/>
  <c r="AJ111" i="10"/>
  <c r="G50" i="7"/>
  <c r="V50" i="7"/>
  <c r="AK50" i="7"/>
  <c r="F50" i="7"/>
  <c r="AI49" i="7"/>
  <c r="AY49" i="7"/>
  <c r="AJ153" i="8" l="1"/>
  <c r="U153" i="8"/>
  <c r="F153" i="8"/>
  <c r="H210" i="10"/>
  <c r="W210" i="10"/>
  <c r="AL210" i="10"/>
  <c r="I210" i="10"/>
  <c r="X210" i="10"/>
  <c r="AM210" i="10"/>
  <c r="J210" i="10"/>
  <c r="Y210" i="10"/>
  <c r="AN210" i="10"/>
  <c r="K210" i="10"/>
  <c r="Z210" i="10"/>
  <c r="AO210" i="10"/>
  <c r="L210" i="10"/>
  <c r="AA210" i="10"/>
  <c r="AP210" i="10"/>
  <c r="M210" i="10"/>
  <c r="AB210" i="10"/>
  <c r="AQ210" i="10"/>
  <c r="N210" i="10"/>
  <c r="AC210" i="10"/>
  <c r="AR210" i="10"/>
  <c r="O210" i="10"/>
  <c r="AD210" i="10"/>
  <c r="AS210" i="10"/>
  <c r="P210" i="10"/>
  <c r="AE210" i="10"/>
  <c r="AT210" i="10"/>
  <c r="Q210" i="10"/>
  <c r="AF210" i="10"/>
  <c r="AU210" i="10"/>
  <c r="R210" i="10"/>
  <c r="AG210" i="10"/>
  <c r="AV210" i="10"/>
  <c r="H210" i="9"/>
  <c r="W210" i="9"/>
  <c r="AL210" i="9"/>
  <c r="I210" i="9"/>
  <c r="X210" i="9"/>
  <c r="AM210" i="9"/>
  <c r="J210" i="9"/>
  <c r="Y210" i="9"/>
  <c r="AN210" i="9"/>
  <c r="K210" i="9"/>
  <c r="Z210" i="9"/>
  <c r="AO210" i="9"/>
  <c r="L210" i="9"/>
  <c r="AA210" i="9"/>
  <c r="AP210" i="9"/>
  <c r="M210" i="9"/>
  <c r="AB210" i="9"/>
  <c r="AQ210" i="9"/>
  <c r="N210" i="9"/>
  <c r="AC210" i="9"/>
  <c r="AR210" i="9"/>
  <c r="O210" i="9"/>
  <c r="AD210" i="9"/>
  <c r="AS210" i="9"/>
  <c r="P210" i="9"/>
  <c r="AE210" i="9"/>
  <c r="AT210" i="9"/>
  <c r="Q210" i="9"/>
  <c r="AF210" i="9"/>
  <c r="AU210" i="9"/>
  <c r="R210" i="9"/>
  <c r="AG210" i="9"/>
  <c r="AV210" i="9"/>
  <c r="H209" i="7"/>
  <c r="W209" i="7"/>
  <c r="AL209" i="7"/>
  <c r="I209" i="7"/>
  <c r="X209" i="7"/>
  <c r="AM209" i="7"/>
  <c r="J209" i="7"/>
  <c r="Y209" i="7"/>
  <c r="AN209" i="7"/>
  <c r="K209" i="7"/>
  <c r="Z209" i="7"/>
  <c r="AO209" i="7"/>
  <c r="L209" i="7"/>
  <c r="AA209" i="7"/>
  <c r="AP209" i="7"/>
  <c r="N209" i="7"/>
  <c r="AC209" i="7"/>
  <c r="AR209" i="7"/>
  <c r="O209" i="7"/>
  <c r="AD209" i="7"/>
  <c r="AS209" i="7"/>
  <c r="P209" i="7"/>
  <c r="AE209" i="7"/>
  <c r="AT209" i="7"/>
  <c r="Q209" i="7"/>
  <c r="AF209" i="7"/>
  <c r="AU209" i="7"/>
  <c r="R209" i="7"/>
  <c r="AG209" i="7"/>
  <c r="AV209" i="7"/>
  <c r="X209" i="8"/>
  <c r="I209" i="8"/>
  <c r="AM209" i="8"/>
  <c r="J209" i="8"/>
  <c r="Y209" i="8"/>
  <c r="AN209" i="8"/>
  <c r="L209" i="8"/>
  <c r="AA209" i="8"/>
  <c r="AP209" i="8"/>
  <c r="AC209" i="8"/>
  <c r="N209" i="8"/>
  <c r="AR209" i="8"/>
  <c r="P209" i="8"/>
  <c r="AE209" i="8"/>
  <c r="AT209" i="8"/>
  <c r="AF209" i="8"/>
  <c r="Q209" i="8"/>
  <c r="AU209" i="8"/>
  <c r="W209" i="8"/>
  <c r="H209" i="8"/>
  <c r="AL209" i="8"/>
  <c r="Z209" i="8"/>
  <c r="AO209" i="8"/>
  <c r="K209" i="8"/>
  <c r="AB209" i="8"/>
  <c r="M209" i="8"/>
  <c r="AQ209" i="8"/>
  <c r="AD209" i="8"/>
  <c r="O209" i="8"/>
  <c r="AS209" i="8"/>
  <c r="AG209" i="8"/>
  <c r="R209" i="8"/>
  <c r="AV209" i="8"/>
  <c r="M209" i="7"/>
  <c r="AB209" i="7"/>
  <c r="AQ209" i="7"/>
  <c r="D197" i="8"/>
  <c r="S197" i="8"/>
  <c r="AH197" i="8"/>
  <c r="E185" i="8"/>
  <c r="T185" i="8"/>
  <c r="AI185" i="8"/>
  <c r="D180" i="9"/>
  <c r="S180" i="9"/>
  <c r="AH180" i="9"/>
  <c r="D157" i="7"/>
  <c r="S157" i="7"/>
  <c r="AH157" i="7"/>
  <c r="G154" i="9"/>
  <c r="V154" i="9"/>
  <c r="AK154" i="9"/>
  <c r="AK150" i="10"/>
  <c r="G150" i="10"/>
  <c r="V150" i="10"/>
  <c r="AH135" i="10"/>
  <c r="D135" i="10"/>
  <c r="S135" i="10"/>
  <c r="E137" i="9"/>
  <c r="T137" i="9"/>
  <c r="AI137" i="9"/>
  <c r="AY139" i="8"/>
  <c r="C139" i="8"/>
  <c r="AX140" i="8"/>
  <c r="AW139" i="8"/>
  <c r="G140" i="8"/>
  <c r="V140" i="8"/>
  <c r="AK140" i="8"/>
  <c r="E129" i="10"/>
  <c r="T129" i="10"/>
  <c r="AI129" i="10"/>
  <c r="C121" i="9"/>
  <c r="AY121" i="9"/>
  <c r="AX122" i="9"/>
  <c r="AW121" i="9"/>
  <c r="F122" i="9"/>
  <c r="U122" i="9"/>
  <c r="AJ122" i="9"/>
  <c r="C111" i="10"/>
  <c r="AY111" i="10"/>
  <c r="AX112" i="10"/>
  <c r="AW111" i="10"/>
  <c r="F112" i="10"/>
  <c r="U112" i="10"/>
  <c r="AJ112" i="10"/>
  <c r="G51" i="7"/>
  <c r="V51" i="7"/>
  <c r="AK51" i="7"/>
  <c r="E50" i="7"/>
  <c r="AX50" i="7"/>
  <c r="AW49" i="7"/>
  <c r="AJ154" i="8" l="1"/>
  <c r="U154" i="8"/>
  <c r="F154" i="8"/>
  <c r="H211" i="10"/>
  <c r="W211" i="10"/>
  <c r="AL211" i="10"/>
  <c r="I211" i="10"/>
  <c r="X211" i="10"/>
  <c r="AM211" i="10"/>
  <c r="J211" i="10"/>
  <c r="Y211" i="10"/>
  <c r="AN211" i="10"/>
  <c r="K211" i="10"/>
  <c r="Z211" i="10"/>
  <c r="AO211" i="10"/>
  <c r="L211" i="10"/>
  <c r="AA211" i="10"/>
  <c r="AP211" i="10"/>
  <c r="M211" i="10"/>
  <c r="AB211" i="10"/>
  <c r="AQ211" i="10"/>
  <c r="N211" i="10"/>
  <c r="AC211" i="10"/>
  <c r="AR211" i="10"/>
  <c r="O211" i="10"/>
  <c r="AD211" i="10"/>
  <c r="AS211" i="10"/>
  <c r="P211" i="10"/>
  <c r="AE211" i="10"/>
  <c r="AT211" i="10"/>
  <c r="Q211" i="10"/>
  <c r="AF211" i="10"/>
  <c r="AU211" i="10"/>
  <c r="R211" i="10"/>
  <c r="AG211" i="10"/>
  <c r="AV211" i="10"/>
  <c r="H211" i="9"/>
  <c r="W211" i="9"/>
  <c r="AL211" i="9"/>
  <c r="I211" i="9"/>
  <c r="X211" i="9"/>
  <c r="AM211" i="9"/>
  <c r="J211" i="9"/>
  <c r="Y211" i="9"/>
  <c r="AN211" i="9"/>
  <c r="K211" i="9"/>
  <c r="Z211" i="9"/>
  <c r="AO211" i="9"/>
  <c r="L211" i="9"/>
  <c r="AA211" i="9"/>
  <c r="AP211" i="9"/>
  <c r="M211" i="9"/>
  <c r="AB211" i="9"/>
  <c r="AQ211" i="9"/>
  <c r="N211" i="9"/>
  <c r="AC211" i="9"/>
  <c r="AR211" i="9"/>
  <c r="O211" i="9"/>
  <c r="AD211" i="9"/>
  <c r="AS211" i="9"/>
  <c r="P211" i="9"/>
  <c r="AE211" i="9"/>
  <c r="AT211" i="9"/>
  <c r="Q211" i="9"/>
  <c r="AF211" i="9"/>
  <c r="AU211" i="9"/>
  <c r="R211" i="9"/>
  <c r="AG211" i="9"/>
  <c r="AV211" i="9"/>
  <c r="H210" i="7"/>
  <c r="W210" i="7"/>
  <c r="AL210" i="7"/>
  <c r="I210" i="7"/>
  <c r="X210" i="7"/>
  <c r="AM210" i="7"/>
  <c r="J210" i="7"/>
  <c r="Y210" i="7"/>
  <c r="AN210" i="7"/>
  <c r="K210" i="7"/>
  <c r="Z210" i="7"/>
  <c r="AO210" i="7"/>
  <c r="L210" i="7"/>
  <c r="AA210" i="7"/>
  <c r="AP210" i="7"/>
  <c r="N210" i="7"/>
  <c r="AC210" i="7"/>
  <c r="AR210" i="7"/>
  <c r="O210" i="7"/>
  <c r="AD210" i="7"/>
  <c r="AS210" i="7"/>
  <c r="P210" i="7"/>
  <c r="AE210" i="7"/>
  <c r="AT210" i="7"/>
  <c r="Q210" i="7"/>
  <c r="AF210" i="7"/>
  <c r="AU210" i="7"/>
  <c r="R210" i="7"/>
  <c r="AG210" i="7"/>
  <c r="AV210" i="7"/>
  <c r="AM210" i="8"/>
  <c r="I210" i="8"/>
  <c r="X210" i="8"/>
  <c r="J210" i="8"/>
  <c r="Y210" i="8"/>
  <c r="AN210" i="8"/>
  <c r="L210" i="8"/>
  <c r="AA210" i="8"/>
  <c r="AP210" i="8"/>
  <c r="N210" i="8"/>
  <c r="AC210" i="8"/>
  <c r="AR210" i="8"/>
  <c r="P210" i="8"/>
  <c r="AE210" i="8"/>
  <c r="AT210" i="8"/>
  <c r="AF210" i="8"/>
  <c r="AU210" i="8"/>
  <c r="Q210" i="8"/>
  <c r="AL210" i="8"/>
  <c r="H210" i="8"/>
  <c r="W210" i="8"/>
  <c r="Z210" i="8"/>
  <c r="AO210" i="8"/>
  <c r="K210" i="8"/>
  <c r="M210" i="8"/>
  <c r="AB210" i="8"/>
  <c r="AQ210" i="8"/>
  <c r="O210" i="8"/>
  <c r="AD210" i="8"/>
  <c r="AS210" i="8"/>
  <c r="AG210" i="8"/>
  <c r="AV210" i="8"/>
  <c r="R210" i="8"/>
  <c r="M210" i="7"/>
  <c r="AB210" i="7"/>
  <c r="AQ210" i="7"/>
  <c r="D198" i="8"/>
  <c r="S198" i="8"/>
  <c r="AH198" i="8"/>
  <c r="E186" i="8"/>
  <c r="T186" i="8"/>
  <c r="AI186" i="8"/>
  <c r="S181" i="9"/>
  <c r="AH181" i="9"/>
  <c r="D181" i="9"/>
  <c r="D158" i="7"/>
  <c r="S158" i="7"/>
  <c r="AH158" i="7"/>
  <c r="G155" i="9"/>
  <c r="V155" i="9"/>
  <c r="AK155" i="9"/>
  <c r="V151" i="10"/>
  <c r="G151" i="10"/>
  <c r="AK151" i="10"/>
  <c r="D136" i="10"/>
  <c r="S136" i="10"/>
  <c r="AH136" i="10"/>
  <c r="E138" i="9"/>
  <c r="T138" i="9"/>
  <c r="AI138" i="9"/>
  <c r="AY140" i="8"/>
  <c r="C140" i="8"/>
  <c r="AX141" i="8"/>
  <c r="AW140" i="8"/>
  <c r="G141" i="8"/>
  <c r="V141" i="8"/>
  <c r="AK141" i="8"/>
  <c r="T130" i="10"/>
  <c r="AI130" i="10"/>
  <c r="E130" i="10"/>
  <c r="C122" i="9"/>
  <c r="AY122" i="9"/>
  <c r="AX123" i="9"/>
  <c r="AW122" i="9"/>
  <c r="F123" i="9"/>
  <c r="U123" i="9"/>
  <c r="AJ123" i="9"/>
  <c r="AY112" i="10"/>
  <c r="C112" i="10"/>
  <c r="AW112" i="10"/>
  <c r="AX113" i="10"/>
  <c r="F113" i="10"/>
  <c r="U113" i="10"/>
  <c r="AJ113" i="10"/>
  <c r="G52" i="7"/>
  <c r="V52" i="7"/>
  <c r="AK52" i="7"/>
  <c r="C50" i="7"/>
  <c r="T50" i="7" s="1"/>
  <c r="F155" i="8" l="1"/>
  <c r="U155" i="8"/>
  <c r="AJ155" i="8"/>
  <c r="H212" i="10"/>
  <c r="W212" i="10"/>
  <c r="AL212" i="10"/>
  <c r="I212" i="10"/>
  <c r="X212" i="10"/>
  <c r="AM212" i="10"/>
  <c r="J212" i="10"/>
  <c r="Y212" i="10"/>
  <c r="AN212" i="10"/>
  <c r="K212" i="10"/>
  <c r="Z212" i="10"/>
  <c r="AO212" i="10"/>
  <c r="L212" i="10"/>
  <c r="AA212" i="10"/>
  <c r="AP212" i="10"/>
  <c r="M212" i="10"/>
  <c r="AB212" i="10"/>
  <c r="AQ212" i="10"/>
  <c r="N212" i="10"/>
  <c r="AC212" i="10"/>
  <c r="AR212" i="10"/>
  <c r="O212" i="10"/>
  <c r="AD212" i="10"/>
  <c r="AS212" i="10"/>
  <c r="P212" i="10"/>
  <c r="AE212" i="10"/>
  <c r="AT212" i="10"/>
  <c r="Q212" i="10"/>
  <c r="AF212" i="10"/>
  <c r="AU212" i="10"/>
  <c r="R212" i="10"/>
  <c r="AG212" i="10"/>
  <c r="AV212" i="10"/>
  <c r="H212" i="9"/>
  <c r="W212" i="9"/>
  <c r="AL212" i="9"/>
  <c r="I212" i="9"/>
  <c r="X212" i="9"/>
  <c r="AM212" i="9"/>
  <c r="J212" i="9"/>
  <c r="Y212" i="9"/>
  <c r="AN212" i="9"/>
  <c r="K212" i="9"/>
  <c r="Z212" i="9"/>
  <c r="AO212" i="9"/>
  <c r="L212" i="9"/>
  <c r="AA212" i="9"/>
  <c r="AP212" i="9"/>
  <c r="M212" i="9"/>
  <c r="AB212" i="9"/>
  <c r="AQ212" i="9"/>
  <c r="N212" i="9"/>
  <c r="AC212" i="9"/>
  <c r="AR212" i="9"/>
  <c r="O212" i="9"/>
  <c r="AD212" i="9"/>
  <c r="AS212" i="9"/>
  <c r="P212" i="9"/>
  <c r="AE212" i="9"/>
  <c r="AT212" i="9"/>
  <c r="Q212" i="9"/>
  <c r="AF212" i="9"/>
  <c r="AU212" i="9"/>
  <c r="R212" i="9"/>
  <c r="AG212" i="9"/>
  <c r="AV212" i="9"/>
  <c r="H211" i="7"/>
  <c r="W211" i="7"/>
  <c r="AL211" i="7"/>
  <c r="I211" i="7"/>
  <c r="X211" i="7"/>
  <c r="AM211" i="7"/>
  <c r="J211" i="7"/>
  <c r="Y211" i="7"/>
  <c r="AN211" i="7"/>
  <c r="K211" i="7"/>
  <c r="Z211" i="7"/>
  <c r="AO211" i="7"/>
  <c r="L211" i="7"/>
  <c r="AA211" i="7"/>
  <c r="AP211" i="7"/>
  <c r="N211" i="7"/>
  <c r="AC211" i="7"/>
  <c r="AR211" i="7"/>
  <c r="O211" i="7"/>
  <c r="AD211" i="7"/>
  <c r="AS211" i="7"/>
  <c r="P211" i="7"/>
  <c r="AE211" i="7"/>
  <c r="AT211" i="7"/>
  <c r="Q211" i="7"/>
  <c r="AF211" i="7"/>
  <c r="AU211" i="7"/>
  <c r="R211" i="7"/>
  <c r="AG211" i="7"/>
  <c r="AV211" i="7"/>
  <c r="I211" i="8"/>
  <c r="AM211" i="8"/>
  <c r="X211" i="8"/>
  <c r="Y211" i="8"/>
  <c r="AN211" i="8"/>
  <c r="J211" i="8"/>
  <c r="AP211" i="8"/>
  <c r="L211" i="8"/>
  <c r="AA211" i="8"/>
  <c r="AC211" i="8"/>
  <c r="N211" i="8"/>
  <c r="AR211" i="8"/>
  <c r="AT211" i="8"/>
  <c r="P211" i="8"/>
  <c r="AE211" i="8"/>
  <c r="Q211" i="8"/>
  <c r="AF211" i="8"/>
  <c r="AU211" i="8"/>
  <c r="H211" i="8"/>
  <c r="W211" i="8"/>
  <c r="AL211" i="8"/>
  <c r="K211" i="8"/>
  <c r="AO211" i="8"/>
  <c r="Z211" i="8"/>
  <c r="AB211" i="8"/>
  <c r="AQ211" i="8"/>
  <c r="M211" i="8"/>
  <c r="AS211" i="8"/>
  <c r="O211" i="8"/>
  <c r="AD211" i="8"/>
  <c r="R211" i="8"/>
  <c r="AG211" i="8"/>
  <c r="AV211" i="8"/>
  <c r="M211" i="7"/>
  <c r="AB211" i="7"/>
  <c r="AQ211" i="7"/>
  <c r="D199" i="8"/>
  <c r="S199" i="8"/>
  <c r="AH199" i="8"/>
  <c r="E187" i="8"/>
  <c r="T187" i="8"/>
  <c r="AI187" i="8"/>
  <c r="D182" i="9"/>
  <c r="AH182" i="9"/>
  <c r="S182" i="9"/>
  <c r="D159" i="7"/>
  <c r="S159" i="7"/>
  <c r="AH159" i="7"/>
  <c r="G156" i="9"/>
  <c r="V156" i="9"/>
  <c r="AK156" i="9"/>
  <c r="V152" i="10"/>
  <c r="G152" i="10"/>
  <c r="AK152" i="10"/>
  <c r="D137" i="10"/>
  <c r="S137" i="10"/>
  <c r="AH137" i="10"/>
  <c r="E139" i="9"/>
  <c r="T139" i="9"/>
  <c r="AI139" i="9"/>
  <c r="C141" i="8"/>
  <c r="AY141" i="8"/>
  <c r="AW141" i="8"/>
  <c r="W50" i="2" s="1"/>
  <c r="AX142" i="8"/>
  <c r="G142" i="8"/>
  <c r="V142" i="8"/>
  <c r="AK142" i="8"/>
  <c r="T131" i="10"/>
  <c r="AI131" i="10"/>
  <c r="E131" i="10"/>
  <c r="C123" i="9"/>
  <c r="AY123" i="9"/>
  <c r="AW123" i="9"/>
  <c r="AX124" i="9"/>
  <c r="F124" i="9"/>
  <c r="U124" i="9"/>
  <c r="AJ124" i="9"/>
  <c r="C113" i="10"/>
  <c r="AY113" i="10"/>
  <c r="AX114" i="10"/>
  <c r="AW113" i="10"/>
  <c r="F114" i="10"/>
  <c r="U114" i="10"/>
  <c r="AJ114" i="10"/>
  <c r="G53" i="7"/>
  <c r="V53" i="7"/>
  <c r="AK53" i="7"/>
  <c r="U50" i="7"/>
  <c r="AJ50" i="7" s="1"/>
  <c r="AY50" i="7"/>
  <c r="AI50" i="7"/>
  <c r="AJ156" i="8" l="1"/>
  <c r="F156" i="8"/>
  <c r="U156" i="8"/>
  <c r="H213" i="10"/>
  <c r="W213" i="10"/>
  <c r="AL213" i="10"/>
  <c r="I213" i="10"/>
  <c r="X213" i="10"/>
  <c r="AM213" i="10"/>
  <c r="J213" i="10"/>
  <c r="Y213" i="10"/>
  <c r="AN213" i="10"/>
  <c r="K213" i="10"/>
  <c r="Z213" i="10"/>
  <c r="AO213" i="10"/>
  <c r="L213" i="10"/>
  <c r="AA213" i="10"/>
  <c r="AP213" i="10"/>
  <c r="M213" i="10"/>
  <c r="AB213" i="10"/>
  <c r="AQ213" i="10"/>
  <c r="N213" i="10"/>
  <c r="AC213" i="10"/>
  <c r="AR213" i="10"/>
  <c r="O213" i="10"/>
  <c r="AD213" i="10"/>
  <c r="AS213" i="10"/>
  <c r="P213" i="10"/>
  <c r="AE213" i="10"/>
  <c r="AT213" i="10"/>
  <c r="Q213" i="10"/>
  <c r="AF213" i="10"/>
  <c r="AU213" i="10"/>
  <c r="R213" i="10"/>
  <c r="AG213" i="10"/>
  <c r="AV213" i="10"/>
  <c r="H213" i="9"/>
  <c r="W213" i="9"/>
  <c r="AL213" i="9"/>
  <c r="I213" i="9"/>
  <c r="X213" i="9"/>
  <c r="AM213" i="9"/>
  <c r="J213" i="9"/>
  <c r="Y213" i="9"/>
  <c r="AN213" i="9"/>
  <c r="K213" i="9"/>
  <c r="Z213" i="9"/>
  <c r="AO213" i="9"/>
  <c r="L213" i="9"/>
  <c r="AA213" i="9"/>
  <c r="AP213" i="9"/>
  <c r="M213" i="9"/>
  <c r="AB213" i="9"/>
  <c r="AQ213" i="9"/>
  <c r="N213" i="9"/>
  <c r="AC213" i="9"/>
  <c r="AR213" i="9"/>
  <c r="O213" i="9"/>
  <c r="AD213" i="9"/>
  <c r="AS213" i="9"/>
  <c r="P213" i="9"/>
  <c r="AE213" i="9"/>
  <c r="AT213" i="9"/>
  <c r="Q213" i="9"/>
  <c r="AF213" i="9"/>
  <c r="AU213" i="9"/>
  <c r="R213" i="9"/>
  <c r="AG213" i="9"/>
  <c r="AV213" i="9"/>
  <c r="H212" i="7"/>
  <c r="W212" i="7"/>
  <c r="AL212" i="7"/>
  <c r="I212" i="7"/>
  <c r="X212" i="7"/>
  <c r="AM212" i="7"/>
  <c r="J212" i="7"/>
  <c r="Y212" i="7"/>
  <c r="AN212" i="7"/>
  <c r="K212" i="7"/>
  <c r="Z212" i="7"/>
  <c r="AO212" i="7"/>
  <c r="L212" i="7"/>
  <c r="AA212" i="7"/>
  <c r="AP212" i="7"/>
  <c r="N212" i="7"/>
  <c r="AC212" i="7"/>
  <c r="AR212" i="7"/>
  <c r="O212" i="7"/>
  <c r="AD212" i="7"/>
  <c r="AS212" i="7"/>
  <c r="P212" i="7"/>
  <c r="AE212" i="7"/>
  <c r="AT212" i="7"/>
  <c r="Q212" i="7"/>
  <c r="AF212" i="7"/>
  <c r="AU212" i="7"/>
  <c r="R212" i="7"/>
  <c r="AG212" i="7"/>
  <c r="AV212" i="7"/>
  <c r="AM212" i="8"/>
  <c r="I212" i="8"/>
  <c r="X212" i="8"/>
  <c r="J212" i="8"/>
  <c r="AN212" i="8"/>
  <c r="Y212" i="8"/>
  <c r="AP212" i="8"/>
  <c r="L212" i="8"/>
  <c r="AA212" i="8"/>
  <c r="AC212" i="8"/>
  <c r="N212" i="8"/>
  <c r="AR212" i="8"/>
  <c r="AE212" i="8"/>
  <c r="AT212" i="8"/>
  <c r="P212" i="8"/>
  <c r="Q212" i="8"/>
  <c r="AF212" i="8"/>
  <c r="AU212" i="8"/>
  <c r="H212" i="8"/>
  <c r="W212" i="8"/>
  <c r="AL212" i="8"/>
  <c r="K212" i="8"/>
  <c r="AO212" i="8"/>
  <c r="Z212" i="8"/>
  <c r="M212" i="8"/>
  <c r="AB212" i="8"/>
  <c r="AQ212" i="8"/>
  <c r="AD212" i="8"/>
  <c r="AS212" i="8"/>
  <c r="O212" i="8"/>
  <c r="R212" i="8"/>
  <c r="AG212" i="8"/>
  <c r="AV212" i="8"/>
  <c r="M212" i="7"/>
  <c r="AB212" i="7"/>
  <c r="AQ212" i="7"/>
  <c r="D200" i="8"/>
  <c r="S200" i="8"/>
  <c r="AH200" i="8"/>
  <c r="E188" i="8"/>
  <c r="T188" i="8"/>
  <c r="AI188" i="8"/>
  <c r="S183" i="9"/>
  <c r="D183" i="9"/>
  <c r="AH183" i="9"/>
  <c r="D160" i="7"/>
  <c r="S160" i="7"/>
  <c r="AH160" i="7"/>
  <c r="G157" i="9"/>
  <c r="V157" i="9"/>
  <c r="AK157" i="9"/>
  <c r="AK153" i="10"/>
  <c r="G153" i="10"/>
  <c r="V153" i="10"/>
  <c r="D138" i="10"/>
  <c r="S138" i="10"/>
  <c r="AH138" i="10"/>
  <c r="E140" i="9"/>
  <c r="T140" i="9"/>
  <c r="AI140" i="9"/>
  <c r="C142" i="8"/>
  <c r="AY142" i="8"/>
  <c r="AW142" i="8"/>
  <c r="AX143" i="8"/>
  <c r="G143" i="8"/>
  <c r="V143" i="8"/>
  <c r="AK143" i="8"/>
  <c r="E132" i="10"/>
  <c r="T132" i="10"/>
  <c r="AI132" i="10"/>
  <c r="C124" i="9"/>
  <c r="AY124" i="9"/>
  <c r="AW124" i="9"/>
  <c r="AX125" i="9"/>
  <c r="F125" i="9"/>
  <c r="U125" i="9"/>
  <c r="AJ125" i="9"/>
  <c r="AY114" i="10"/>
  <c r="C114" i="10"/>
  <c r="AX115" i="10"/>
  <c r="AW114" i="10"/>
  <c r="F115" i="10"/>
  <c r="U115" i="10"/>
  <c r="AJ115" i="10"/>
  <c r="G54" i="7"/>
  <c r="V54" i="7"/>
  <c r="AK54" i="7"/>
  <c r="F51" i="7"/>
  <c r="AX51" i="7"/>
  <c r="AW50" i="7"/>
  <c r="E51" i="7"/>
  <c r="AJ157" i="8" l="1"/>
  <c r="U157" i="8"/>
  <c r="F157" i="8"/>
  <c r="H214" i="10"/>
  <c r="W214" i="10"/>
  <c r="AL214" i="10"/>
  <c r="I214" i="10"/>
  <c r="X214" i="10"/>
  <c r="AM214" i="10"/>
  <c r="J214" i="10"/>
  <c r="Y214" i="10"/>
  <c r="AN214" i="10"/>
  <c r="K214" i="10"/>
  <c r="Z214" i="10"/>
  <c r="AO214" i="10"/>
  <c r="L214" i="10"/>
  <c r="AA214" i="10"/>
  <c r="AP214" i="10"/>
  <c r="M214" i="10"/>
  <c r="AB214" i="10"/>
  <c r="AQ214" i="10"/>
  <c r="N214" i="10"/>
  <c r="AC214" i="10"/>
  <c r="AR214" i="10"/>
  <c r="O214" i="10"/>
  <c r="AD214" i="10"/>
  <c r="AS214" i="10"/>
  <c r="P214" i="10"/>
  <c r="AE214" i="10"/>
  <c r="AT214" i="10"/>
  <c r="Q214" i="10"/>
  <c r="AF214" i="10"/>
  <c r="AU214" i="10"/>
  <c r="R214" i="10"/>
  <c r="AG214" i="10"/>
  <c r="AV214" i="10"/>
  <c r="H214" i="9"/>
  <c r="W214" i="9"/>
  <c r="AL214" i="9"/>
  <c r="I214" i="9"/>
  <c r="X214" i="9"/>
  <c r="AM214" i="9"/>
  <c r="J214" i="9"/>
  <c r="Y214" i="9"/>
  <c r="AN214" i="9"/>
  <c r="K214" i="9"/>
  <c r="Z214" i="9"/>
  <c r="AO214" i="9"/>
  <c r="L214" i="9"/>
  <c r="AA214" i="9"/>
  <c r="AP214" i="9"/>
  <c r="M214" i="9"/>
  <c r="AB214" i="9"/>
  <c r="AQ214" i="9"/>
  <c r="N214" i="9"/>
  <c r="AC214" i="9"/>
  <c r="AR214" i="9"/>
  <c r="O214" i="9"/>
  <c r="AD214" i="9"/>
  <c r="AS214" i="9"/>
  <c r="P214" i="9"/>
  <c r="AE214" i="9"/>
  <c r="AT214" i="9"/>
  <c r="Q214" i="9"/>
  <c r="AF214" i="9"/>
  <c r="AU214" i="9"/>
  <c r="R214" i="9"/>
  <c r="AG214" i="9"/>
  <c r="AV214" i="9"/>
  <c r="H213" i="7"/>
  <c r="W213" i="7"/>
  <c r="AL213" i="7"/>
  <c r="I213" i="7"/>
  <c r="X213" i="7"/>
  <c r="AM213" i="7"/>
  <c r="J213" i="7"/>
  <c r="Y213" i="7"/>
  <c r="AN213" i="7"/>
  <c r="K213" i="7"/>
  <c r="Z213" i="7"/>
  <c r="AO213" i="7"/>
  <c r="L213" i="7"/>
  <c r="AA213" i="7"/>
  <c r="AP213" i="7"/>
  <c r="N213" i="7"/>
  <c r="AC213" i="7"/>
  <c r="AR213" i="7"/>
  <c r="O213" i="7"/>
  <c r="AD213" i="7"/>
  <c r="AS213" i="7"/>
  <c r="P213" i="7"/>
  <c r="AE213" i="7"/>
  <c r="AT213" i="7"/>
  <c r="Q213" i="7"/>
  <c r="AF213" i="7"/>
  <c r="AU213" i="7"/>
  <c r="R213" i="7"/>
  <c r="AG213" i="7"/>
  <c r="AV213" i="7"/>
  <c r="I213" i="8"/>
  <c r="X213" i="8"/>
  <c r="AM213" i="8"/>
  <c r="J213" i="8"/>
  <c r="Y213" i="8"/>
  <c r="AN213" i="8"/>
  <c r="AA213" i="8"/>
  <c r="AP213" i="8"/>
  <c r="L213" i="8"/>
  <c r="AR213" i="8"/>
  <c r="N213" i="8"/>
  <c r="AC213" i="8"/>
  <c r="AE213" i="8"/>
  <c r="P213" i="8"/>
  <c r="AT213" i="8"/>
  <c r="AF213" i="8"/>
  <c r="Q213" i="8"/>
  <c r="AU213" i="8"/>
  <c r="H213" i="8"/>
  <c r="W213" i="8"/>
  <c r="AL213" i="8"/>
  <c r="K213" i="8"/>
  <c r="Z213" i="8"/>
  <c r="AO213" i="8"/>
  <c r="M213" i="8"/>
  <c r="AQ213" i="8"/>
  <c r="AB213" i="8"/>
  <c r="AS213" i="8"/>
  <c r="O213" i="8"/>
  <c r="AD213" i="8"/>
  <c r="R213" i="8"/>
  <c r="AG213" i="8"/>
  <c r="AV213" i="8"/>
  <c r="M213" i="7"/>
  <c r="AB213" i="7"/>
  <c r="AQ213" i="7"/>
  <c r="D201" i="8"/>
  <c r="S201" i="8"/>
  <c r="AH201" i="8"/>
  <c r="E189" i="8"/>
  <c r="T189" i="8"/>
  <c r="AI189" i="8"/>
  <c r="S184" i="9"/>
  <c r="D184" i="9"/>
  <c r="AH184" i="9"/>
  <c r="D161" i="7"/>
  <c r="S161" i="7"/>
  <c r="AH161" i="7"/>
  <c r="G158" i="9"/>
  <c r="V158" i="9"/>
  <c r="AK158" i="9"/>
  <c r="G154" i="10"/>
  <c r="V154" i="10"/>
  <c r="AK154" i="10"/>
  <c r="D139" i="10"/>
  <c r="S139" i="10"/>
  <c r="AH139" i="10"/>
  <c r="E141" i="9"/>
  <c r="T141" i="9"/>
  <c r="AI141" i="9"/>
  <c r="C143" i="8"/>
  <c r="AY143" i="8"/>
  <c r="AX144" i="8"/>
  <c r="AW143" i="8"/>
  <c r="G144" i="8"/>
  <c r="V144" i="8"/>
  <c r="AK144" i="8"/>
  <c r="E133" i="10"/>
  <c r="T133" i="10"/>
  <c r="AI133" i="10"/>
  <c r="AY125" i="9"/>
  <c r="C125" i="9"/>
  <c r="AX126" i="9"/>
  <c r="AW125" i="9"/>
  <c r="F126" i="9"/>
  <c r="U126" i="9"/>
  <c r="AJ126" i="9"/>
  <c r="AY115" i="10"/>
  <c r="C115" i="10"/>
  <c r="AX116" i="10"/>
  <c r="AW115" i="10"/>
  <c r="F116" i="10"/>
  <c r="U116" i="10"/>
  <c r="AJ116" i="10"/>
  <c r="G55" i="7"/>
  <c r="V55" i="7"/>
  <c r="AK55" i="7"/>
  <c r="C51" i="7"/>
  <c r="T51" i="7" s="1"/>
  <c r="U51" i="7"/>
  <c r="AJ51" i="7" s="1"/>
  <c r="F158" i="8" l="1"/>
  <c r="U158" i="8"/>
  <c r="AJ158" i="8"/>
  <c r="H215" i="10"/>
  <c r="W215" i="10"/>
  <c r="AL215" i="10"/>
  <c r="I215" i="10"/>
  <c r="X215" i="10"/>
  <c r="AM215" i="10"/>
  <c r="J215" i="10"/>
  <c r="Y215" i="10"/>
  <c r="AN215" i="10"/>
  <c r="K215" i="10"/>
  <c r="Z215" i="10"/>
  <c r="AO215" i="10"/>
  <c r="L215" i="10"/>
  <c r="AA215" i="10"/>
  <c r="AP215" i="10"/>
  <c r="M215" i="10"/>
  <c r="AB215" i="10"/>
  <c r="AQ215" i="10"/>
  <c r="N215" i="10"/>
  <c r="AC215" i="10"/>
  <c r="AR215" i="10"/>
  <c r="O215" i="10"/>
  <c r="AD215" i="10"/>
  <c r="AS215" i="10"/>
  <c r="P215" i="10"/>
  <c r="AE215" i="10"/>
  <c r="AT215" i="10"/>
  <c r="Q215" i="10"/>
  <c r="AF215" i="10"/>
  <c r="AU215" i="10"/>
  <c r="R215" i="10"/>
  <c r="AG215" i="10"/>
  <c r="AV215" i="10"/>
  <c r="H215" i="9"/>
  <c r="W215" i="9"/>
  <c r="AL215" i="9"/>
  <c r="I215" i="9"/>
  <c r="X215" i="9"/>
  <c r="AM215" i="9"/>
  <c r="J215" i="9"/>
  <c r="Y215" i="9"/>
  <c r="AN215" i="9"/>
  <c r="K215" i="9"/>
  <c r="Z215" i="9"/>
  <c r="AO215" i="9"/>
  <c r="L215" i="9"/>
  <c r="AA215" i="9"/>
  <c r="AP215" i="9"/>
  <c r="M215" i="9"/>
  <c r="AB215" i="9"/>
  <c r="AQ215" i="9"/>
  <c r="N215" i="9"/>
  <c r="AC215" i="9"/>
  <c r="AR215" i="9"/>
  <c r="O215" i="9"/>
  <c r="AD215" i="9"/>
  <c r="AS215" i="9"/>
  <c r="P215" i="9"/>
  <c r="AE215" i="9"/>
  <c r="AT215" i="9"/>
  <c r="Q215" i="9"/>
  <c r="AF215" i="9"/>
  <c r="AU215" i="9"/>
  <c r="R215" i="9"/>
  <c r="AG215" i="9"/>
  <c r="AV215" i="9"/>
  <c r="H214" i="7"/>
  <c r="W214" i="7"/>
  <c r="AL214" i="7"/>
  <c r="I214" i="7"/>
  <c r="X214" i="7"/>
  <c r="AM214" i="7"/>
  <c r="J214" i="7"/>
  <c r="Y214" i="7"/>
  <c r="AN214" i="7"/>
  <c r="K214" i="7"/>
  <c r="Z214" i="7"/>
  <c r="AO214" i="7"/>
  <c r="L214" i="7"/>
  <c r="AA214" i="7"/>
  <c r="AP214" i="7"/>
  <c r="N214" i="7"/>
  <c r="AC214" i="7"/>
  <c r="AR214" i="7"/>
  <c r="O214" i="7"/>
  <c r="AD214" i="7"/>
  <c r="AS214" i="7"/>
  <c r="P214" i="7"/>
  <c r="AE214" i="7"/>
  <c r="AT214" i="7"/>
  <c r="Q214" i="7"/>
  <c r="AF214" i="7"/>
  <c r="AU214" i="7"/>
  <c r="R214" i="7"/>
  <c r="AG214" i="7"/>
  <c r="AV214" i="7"/>
  <c r="I214" i="8"/>
  <c r="AM214" i="8"/>
  <c r="X214" i="8"/>
  <c r="J214" i="8"/>
  <c r="AN214" i="8"/>
  <c r="Y214" i="8"/>
  <c r="AP214" i="8"/>
  <c r="AA214" i="8"/>
  <c r="L214" i="8"/>
  <c r="N214" i="8"/>
  <c r="AR214" i="8"/>
  <c r="AC214" i="8"/>
  <c r="AE214" i="8"/>
  <c r="P214" i="8"/>
  <c r="AT214" i="8"/>
  <c r="Q214" i="8"/>
  <c r="AU214" i="8"/>
  <c r="AF214" i="8"/>
  <c r="H214" i="8"/>
  <c r="AL214" i="8"/>
  <c r="W214" i="8"/>
  <c r="AO214" i="8"/>
  <c r="K214" i="8"/>
  <c r="Z214" i="8"/>
  <c r="M214" i="8"/>
  <c r="AQ214" i="8"/>
  <c r="AB214" i="8"/>
  <c r="O214" i="8"/>
  <c r="AS214" i="8"/>
  <c r="AD214" i="8"/>
  <c r="AV214" i="8"/>
  <c r="R214" i="8"/>
  <c r="AG214" i="8"/>
  <c r="M214" i="7"/>
  <c r="AB214" i="7"/>
  <c r="AQ214" i="7"/>
  <c r="D202" i="8"/>
  <c r="S202" i="8"/>
  <c r="AH202" i="8"/>
  <c r="E190" i="8"/>
  <c r="T190" i="8"/>
  <c r="AI190" i="8"/>
  <c r="D185" i="9"/>
  <c r="S185" i="9"/>
  <c r="AH185" i="9"/>
  <c r="D162" i="7"/>
  <c r="S162" i="7"/>
  <c r="AH162" i="7"/>
  <c r="G159" i="9"/>
  <c r="V159" i="9"/>
  <c r="AK159" i="9"/>
  <c r="AK155" i="10"/>
  <c r="G155" i="10"/>
  <c r="V155" i="10"/>
  <c r="D140" i="10"/>
  <c r="S140" i="10"/>
  <c r="AH140" i="10"/>
  <c r="E142" i="9"/>
  <c r="T142" i="9"/>
  <c r="AI142" i="9"/>
  <c r="AY144" i="8"/>
  <c r="C144" i="8"/>
  <c r="AW144" i="8"/>
  <c r="W51" i="2" s="1"/>
  <c r="AX145" i="8"/>
  <c r="G145" i="8"/>
  <c r="V145" i="8"/>
  <c r="AK145" i="8"/>
  <c r="E134" i="10"/>
  <c r="AI134" i="10"/>
  <c r="T134" i="10"/>
  <c r="C126" i="9"/>
  <c r="AY126" i="9"/>
  <c r="AX127" i="9"/>
  <c r="AW126" i="9"/>
  <c r="F127" i="9"/>
  <c r="U127" i="9"/>
  <c r="AJ127" i="9"/>
  <c r="C116" i="10"/>
  <c r="AY116" i="10"/>
  <c r="AW116" i="10"/>
  <c r="AX117" i="10"/>
  <c r="F117" i="10"/>
  <c r="U117" i="10"/>
  <c r="AJ117" i="10"/>
  <c r="G56" i="7"/>
  <c r="V56" i="7"/>
  <c r="AK56" i="7"/>
  <c r="F52" i="7"/>
  <c r="AI51" i="7"/>
  <c r="AY51" i="7"/>
  <c r="AJ159" i="8" l="1"/>
  <c r="U159" i="8"/>
  <c r="F159" i="8"/>
  <c r="H216" i="10"/>
  <c r="W216" i="10"/>
  <c r="AL216" i="10"/>
  <c r="I216" i="10"/>
  <c r="X216" i="10"/>
  <c r="AM216" i="10"/>
  <c r="J216" i="10"/>
  <c r="Y216" i="10"/>
  <c r="AN216" i="10"/>
  <c r="K216" i="10"/>
  <c r="Z216" i="10"/>
  <c r="AO216" i="10"/>
  <c r="L216" i="10"/>
  <c r="AA216" i="10"/>
  <c r="AP216" i="10"/>
  <c r="M216" i="10"/>
  <c r="AB216" i="10"/>
  <c r="AQ216" i="10"/>
  <c r="N216" i="10"/>
  <c r="AC216" i="10"/>
  <c r="AR216" i="10"/>
  <c r="O216" i="10"/>
  <c r="AD216" i="10"/>
  <c r="AS216" i="10"/>
  <c r="P216" i="10"/>
  <c r="AE216" i="10"/>
  <c r="AT216" i="10"/>
  <c r="Q216" i="10"/>
  <c r="AF216" i="10"/>
  <c r="AU216" i="10"/>
  <c r="R216" i="10"/>
  <c r="AG216" i="10"/>
  <c r="AV216" i="10"/>
  <c r="H216" i="9"/>
  <c r="W216" i="9"/>
  <c r="AL216" i="9"/>
  <c r="I216" i="9"/>
  <c r="X216" i="9"/>
  <c r="AM216" i="9"/>
  <c r="J216" i="9"/>
  <c r="Y216" i="9"/>
  <c r="AN216" i="9"/>
  <c r="K216" i="9"/>
  <c r="Z216" i="9"/>
  <c r="AO216" i="9"/>
  <c r="L216" i="9"/>
  <c r="AA216" i="9"/>
  <c r="AP216" i="9"/>
  <c r="M216" i="9"/>
  <c r="AB216" i="9"/>
  <c r="AQ216" i="9"/>
  <c r="N216" i="9"/>
  <c r="AC216" i="9"/>
  <c r="AR216" i="9"/>
  <c r="O216" i="9"/>
  <c r="AD216" i="9"/>
  <c r="AS216" i="9"/>
  <c r="P216" i="9"/>
  <c r="AE216" i="9"/>
  <c r="AT216" i="9"/>
  <c r="Q216" i="9"/>
  <c r="AF216" i="9"/>
  <c r="AU216" i="9"/>
  <c r="R216" i="9"/>
  <c r="AG216" i="9"/>
  <c r="AV216" i="9"/>
  <c r="H215" i="7"/>
  <c r="W215" i="7"/>
  <c r="AL215" i="7"/>
  <c r="I215" i="7"/>
  <c r="X215" i="7"/>
  <c r="AM215" i="7"/>
  <c r="J215" i="7"/>
  <c r="Y215" i="7"/>
  <c r="AN215" i="7"/>
  <c r="K215" i="7"/>
  <c r="Z215" i="7"/>
  <c r="AO215" i="7"/>
  <c r="L215" i="7"/>
  <c r="AA215" i="7"/>
  <c r="AP215" i="7"/>
  <c r="N215" i="7"/>
  <c r="AC215" i="7"/>
  <c r="AR215" i="7"/>
  <c r="O215" i="7"/>
  <c r="AD215" i="7"/>
  <c r="AS215" i="7"/>
  <c r="P215" i="7"/>
  <c r="AE215" i="7"/>
  <c r="AT215" i="7"/>
  <c r="Q215" i="7"/>
  <c r="AF215" i="7"/>
  <c r="AU215" i="7"/>
  <c r="R215" i="7"/>
  <c r="AG215" i="7"/>
  <c r="AV215" i="7"/>
  <c r="I215" i="8"/>
  <c r="AM215" i="8"/>
  <c r="X215" i="8"/>
  <c r="AN215" i="8"/>
  <c r="Y215" i="8"/>
  <c r="J215" i="8"/>
  <c r="AA215" i="8"/>
  <c r="L215" i="8"/>
  <c r="AP215" i="8"/>
  <c r="N215" i="8"/>
  <c r="AC215" i="8"/>
  <c r="AR215" i="8"/>
  <c r="P215" i="8"/>
  <c r="AE215" i="8"/>
  <c r="AT215" i="8"/>
  <c r="AF215" i="8"/>
  <c r="AU215" i="8"/>
  <c r="Q215" i="8"/>
  <c r="H215" i="8"/>
  <c r="W215" i="8"/>
  <c r="AL215" i="8"/>
  <c r="Z215" i="8"/>
  <c r="K215" i="8"/>
  <c r="AO215" i="8"/>
  <c r="M215" i="8"/>
  <c r="AQ215" i="8"/>
  <c r="AB215" i="8"/>
  <c r="O215" i="8"/>
  <c r="AS215" i="8"/>
  <c r="AD215" i="8"/>
  <c r="AG215" i="8"/>
  <c r="R215" i="8"/>
  <c r="AV215" i="8"/>
  <c r="M215" i="7"/>
  <c r="AB215" i="7"/>
  <c r="AQ215" i="7"/>
  <c r="D203" i="8"/>
  <c r="S203" i="8"/>
  <c r="AH203" i="8"/>
  <c r="E191" i="8"/>
  <c r="T191" i="8"/>
  <c r="AI191" i="8"/>
  <c r="D186" i="9"/>
  <c r="S186" i="9"/>
  <c r="AH186" i="9"/>
  <c r="D163" i="7"/>
  <c r="S163" i="7"/>
  <c r="AH163" i="7"/>
  <c r="G160" i="9"/>
  <c r="V160" i="9"/>
  <c r="AK160" i="9"/>
  <c r="G156" i="10"/>
  <c r="V156" i="10"/>
  <c r="AK156" i="10"/>
  <c r="D141" i="10"/>
  <c r="S141" i="10"/>
  <c r="AH141" i="10"/>
  <c r="E143" i="9"/>
  <c r="T143" i="9"/>
  <c r="AI143" i="9"/>
  <c r="C145" i="8"/>
  <c r="AY145" i="8"/>
  <c r="AX146" i="8"/>
  <c r="AW145" i="8"/>
  <c r="G146" i="8"/>
  <c r="V146" i="8"/>
  <c r="AK146" i="8"/>
  <c r="E135" i="10"/>
  <c r="T135" i="10"/>
  <c r="AI135" i="10"/>
  <c r="AY127" i="9"/>
  <c r="C127" i="9"/>
  <c r="AW127" i="9"/>
  <c r="AX128" i="9"/>
  <c r="F128" i="9"/>
  <c r="U128" i="9"/>
  <c r="AJ128" i="9"/>
  <c r="AY117" i="10"/>
  <c r="C117" i="10"/>
  <c r="AX118" i="10"/>
  <c r="AW117" i="10"/>
  <c r="F118" i="10"/>
  <c r="U118" i="10"/>
  <c r="AJ118" i="10"/>
  <c r="G57" i="7"/>
  <c r="V57" i="7"/>
  <c r="AK57" i="7"/>
  <c r="AW51" i="7"/>
  <c r="X20" i="2" s="1"/>
  <c r="AX52" i="7"/>
  <c r="E52" i="7"/>
  <c r="AJ160" i="8" l="1"/>
  <c r="U160" i="8"/>
  <c r="F160" i="8"/>
  <c r="H217" i="10"/>
  <c r="W217" i="10"/>
  <c r="AL217" i="10"/>
  <c r="I217" i="10"/>
  <c r="X217" i="10"/>
  <c r="AM217" i="10"/>
  <c r="J217" i="10"/>
  <c r="Y217" i="10"/>
  <c r="AN217" i="10"/>
  <c r="K217" i="10"/>
  <c r="Z217" i="10"/>
  <c r="AO217" i="10"/>
  <c r="L217" i="10"/>
  <c r="AA217" i="10"/>
  <c r="AP217" i="10"/>
  <c r="M217" i="10"/>
  <c r="AB217" i="10"/>
  <c r="AQ217" i="10"/>
  <c r="N217" i="10"/>
  <c r="AC217" i="10"/>
  <c r="AR217" i="10"/>
  <c r="O217" i="10"/>
  <c r="AD217" i="10"/>
  <c r="AS217" i="10"/>
  <c r="P217" i="10"/>
  <c r="AE217" i="10"/>
  <c r="AT217" i="10"/>
  <c r="Q217" i="10"/>
  <c r="AF217" i="10"/>
  <c r="AU217" i="10"/>
  <c r="R217" i="10"/>
  <c r="AG217" i="10"/>
  <c r="AV217" i="10"/>
  <c r="H217" i="9"/>
  <c r="W217" i="9"/>
  <c r="AL217" i="9"/>
  <c r="I217" i="9"/>
  <c r="X217" i="9"/>
  <c r="AM217" i="9"/>
  <c r="J217" i="9"/>
  <c r="Y217" i="9"/>
  <c r="AN217" i="9"/>
  <c r="K217" i="9"/>
  <c r="Z217" i="9"/>
  <c r="AO217" i="9"/>
  <c r="L217" i="9"/>
  <c r="AA217" i="9"/>
  <c r="AP217" i="9"/>
  <c r="M217" i="9"/>
  <c r="AB217" i="9"/>
  <c r="AQ217" i="9"/>
  <c r="N217" i="9"/>
  <c r="AC217" i="9"/>
  <c r="AR217" i="9"/>
  <c r="O217" i="9"/>
  <c r="AD217" i="9"/>
  <c r="AS217" i="9"/>
  <c r="P217" i="9"/>
  <c r="AE217" i="9"/>
  <c r="AT217" i="9"/>
  <c r="Q217" i="9"/>
  <c r="AF217" i="9"/>
  <c r="AU217" i="9"/>
  <c r="R217" i="9"/>
  <c r="AG217" i="9"/>
  <c r="AV217" i="9"/>
  <c r="H216" i="7"/>
  <c r="W216" i="7"/>
  <c r="AL216" i="7"/>
  <c r="I216" i="7"/>
  <c r="X216" i="7"/>
  <c r="AM216" i="7"/>
  <c r="J216" i="7"/>
  <c r="Y216" i="7"/>
  <c r="AN216" i="7"/>
  <c r="K216" i="7"/>
  <c r="Z216" i="7"/>
  <c r="AO216" i="7"/>
  <c r="L216" i="7"/>
  <c r="AA216" i="7"/>
  <c r="AP216" i="7"/>
  <c r="N216" i="7"/>
  <c r="AC216" i="7"/>
  <c r="AR216" i="7"/>
  <c r="O216" i="7"/>
  <c r="AD216" i="7"/>
  <c r="AS216" i="7"/>
  <c r="P216" i="7"/>
  <c r="AE216" i="7"/>
  <c r="AT216" i="7"/>
  <c r="Q216" i="7"/>
  <c r="AF216" i="7"/>
  <c r="AU216" i="7"/>
  <c r="R216" i="7"/>
  <c r="AG216" i="7"/>
  <c r="AV216" i="7"/>
  <c r="X216" i="8"/>
  <c r="I216" i="8"/>
  <c r="AM216" i="8"/>
  <c r="Y216" i="8"/>
  <c r="J216" i="8"/>
  <c r="AN216" i="8"/>
  <c r="AA216" i="8"/>
  <c r="AP216" i="8"/>
  <c r="L216" i="8"/>
  <c r="N216" i="8"/>
  <c r="AR216" i="8"/>
  <c r="AC216" i="8"/>
  <c r="AE216" i="8"/>
  <c r="P216" i="8"/>
  <c r="AT216" i="8"/>
  <c r="AU216" i="8"/>
  <c r="AF216" i="8"/>
  <c r="Q216" i="8"/>
  <c r="AL216" i="8"/>
  <c r="W216" i="8"/>
  <c r="H216" i="8"/>
  <c r="Z216" i="8"/>
  <c r="K216" i="8"/>
  <c r="AO216" i="8"/>
  <c r="AQ216" i="8"/>
  <c r="AB216" i="8"/>
  <c r="M216" i="8"/>
  <c r="AD216" i="8"/>
  <c r="AS216" i="8"/>
  <c r="O216" i="8"/>
  <c r="R216" i="8"/>
  <c r="AG216" i="8"/>
  <c r="AV216" i="8"/>
  <c r="M216" i="7"/>
  <c r="AB216" i="7"/>
  <c r="AQ216" i="7"/>
  <c r="D204" i="8"/>
  <c r="S204" i="8"/>
  <c r="AH204" i="8"/>
  <c r="E192" i="8"/>
  <c r="T192" i="8"/>
  <c r="AI192" i="8"/>
  <c r="D187" i="9"/>
  <c r="S187" i="9"/>
  <c r="AH187" i="9"/>
  <c r="D164" i="7"/>
  <c r="S164" i="7"/>
  <c r="AH164" i="7"/>
  <c r="G161" i="9"/>
  <c r="V161" i="9"/>
  <c r="AK161" i="9"/>
  <c r="G157" i="10"/>
  <c r="AK157" i="10"/>
  <c r="V157" i="10"/>
  <c r="D142" i="10"/>
  <c r="S142" i="10"/>
  <c r="AH142" i="10"/>
  <c r="E144" i="9"/>
  <c r="T144" i="9"/>
  <c r="AI144" i="9"/>
  <c r="C146" i="8"/>
  <c r="AY146" i="8"/>
  <c r="AW146" i="8"/>
  <c r="AX147" i="8"/>
  <c r="G147" i="8"/>
  <c r="V147" i="8"/>
  <c r="AK147" i="8"/>
  <c r="E136" i="10"/>
  <c r="T136" i="10"/>
  <c r="AI136" i="10"/>
  <c r="C128" i="9"/>
  <c r="AY128" i="9"/>
  <c r="AW128" i="9"/>
  <c r="AX129" i="9"/>
  <c r="F129" i="9"/>
  <c r="U129" i="9"/>
  <c r="AJ129" i="9"/>
  <c r="AY118" i="10"/>
  <c r="C118" i="10"/>
  <c r="AX119" i="10"/>
  <c r="AW118" i="10"/>
  <c r="F119" i="10"/>
  <c r="U119" i="10"/>
  <c r="AJ119" i="10"/>
  <c r="G58" i="7"/>
  <c r="V58" i="7"/>
  <c r="AK58" i="7"/>
  <c r="C52" i="7"/>
  <c r="T52" i="7"/>
  <c r="AJ161" i="8" l="1"/>
  <c r="U161" i="8"/>
  <c r="F161" i="8"/>
  <c r="H218" i="10"/>
  <c r="W218" i="10"/>
  <c r="AL218" i="10"/>
  <c r="I218" i="10"/>
  <c r="X218" i="10"/>
  <c r="AM218" i="10"/>
  <c r="J218" i="10"/>
  <c r="Y218" i="10"/>
  <c r="AN218" i="10"/>
  <c r="K218" i="10"/>
  <c r="Z218" i="10"/>
  <c r="AO218" i="10"/>
  <c r="L218" i="10"/>
  <c r="AA218" i="10"/>
  <c r="AP218" i="10"/>
  <c r="M218" i="10"/>
  <c r="AB218" i="10"/>
  <c r="AQ218" i="10"/>
  <c r="N218" i="10"/>
  <c r="AC218" i="10"/>
  <c r="AR218" i="10"/>
  <c r="O218" i="10"/>
  <c r="AD218" i="10"/>
  <c r="AS218" i="10"/>
  <c r="P218" i="10"/>
  <c r="AE218" i="10"/>
  <c r="AT218" i="10"/>
  <c r="Q218" i="10"/>
  <c r="AF218" i="10"/>
  <c r="AU218" i="10"/>
  <c r="R218" i="10"/>
  <c r="AG218" i="10"/>
  <c r="AV218" i="10"/>
  <c r="H218" i="9"/>
  <c r="W218" i="9"/>
  <c r="AL218" i="9"/>
  <c r="I218" i="9"/>
  <c r="X218" i="9"/>
  <c r="AM218" i="9"/>
  <c r="J218" i="9"/>
  <c r="Y218" i="9"/>
  <c r="AN218" i="9"/>
  <c r="K218" i="9"/>
  <c r="Z218" i="9"/>
  <c r="AO218" i="9"/>
  <c r="L218" i="9"/>
  <c r="AA218" i="9"/>
  <c r="AP218" i="9"/>
  <c r="M218" i="9"/>
  <c r="AB218" i="9"/>
  <c r="AQ218" i="9"/>
  <c r="N218" i="9"/>
  <c r="AC218" i="9"/>
  <c r="AR218" i="9"/>
  <c r="O218" i="9"/>
  <c r="AD218" i="9"/>
  <c r="AS218" i="9"/>
  <c r="P218" i="9"/>
  <c r="AE218" i="9"/>
  <c r="AT218" i="9"/>
  <c r="Q218" i="9"/>
  <c r="AF218" i="9"/>
  <c r="AU218" i="9"/>
  <c r="R218" i="9"/>
  <c r="AG218" i="9"/>
  <c r="AV218" i="9"/>
  <c r="H217" i="7"/>
  <c r="W217" i="7"/>
  <c r="AL217" i="7"/>
  <c r="I217" i="7"/>
  <c r="X217" i="7"/>
  <c r="AM217" i="7"/>
  <c r="J217" i="7"/>
  <c r="Y217" i="7"/>
  <c r="AN217" i="7"/>
  <c r="K217" i="7"/>
  <c r="Z217" i="7"/>
  <c r="AO217" i="7"/>
  <c r="L217" i="7"/>
  <c r="AA217" i="7"/>
  <c r="AP217" i="7"/>
  <c r="N217" i="7"/>
  <c r="AC217" i="7"/>
  <c r="AR217" i="7"/>
  <c r="O217" i="7"/>
  <c r="AD217" i="7"/>
  <c r="AS217" i="7"/>
  <c r="P217" i="7"/>
  <c r="AE217" i="7"/>
  <c r="AT217" i="7"/>
  <c r="Q217" i="7"/>
  <c r="AF217" i="7"/>
  <c r="AU217" i="7"/>
  <c r="R217" i="7"/>
  <c r="AG217" i="7"/>
  <c r="AV217" i="7"/>
  <c r="I217" i="8"/>
  <c r="AM217" i="8"/>
  <c r="X217" i="8"/>
  <c r="AN217" i="8"/>
  <c r="J217" i="8"/>
  <c r="Y217" i="8"/>
  <c r="AA217" i="8"/>
  <c r="L217" i="8"/>
  <c r="AP217" i="8"/>
  <c r="N217" i="8"/>
  <c r="AC217" i="8"/>
  <c r="AR217" i="8"/>
  <c r="P217" i="8"/>
  <c r="AE217" i="8"/>
  <c r="AT217" i="8"/>
  <c r="Q217" i="8"/>
  <c r="AF217" i="8"/>
  <c r="AU217" i="8"/>
  <c r="H217" i="8"/>
  <c r="W217" i="8"/>
  <c r="AL217" i="8"/>
  <c r="AO217" i="8"/>
  <c r="Z217" i="8"/>
  <c r="K217" i="8"/>
  <c r="AQ217" i="8"/>
  <c r="M217" i="8"/>
  <c r="AB217" i="8"/>
  <c r="O217" i="8"/>
  <c r="AS217" i="8"/>
  <c r="AD217" i="8"/>
  <c r="AV217" i="8"/>
  <c r="R217" i="8"/>
  <c r="AG217" i="8"/>
  <c r="M217" i="7"/>
  <c r="AB217" i="7"/>
  <c r="AQ217" i="7"/>
  <c r="D205" i="8"/>
  <c r="S205" i="8"/>
  <c r="AH205" i="8"/>
  <c r="E193" i="8"/>
  <c r="T193" i="8"/>
  <c r="AI193" i="8"/>
  <c r="D188" i="9"/>
  <c r="S188" i="9"/>
  <c r="AH188" i="9"/>
  <c r="D165" i="7"/>
  <c r="S165" i="7"/>
  <c r="AH165" i="7"/>
  <c r="G162" i="9"/>
  <c r="V162" i="9"/>
  <c r="AK162" i="9"/>
  <c r="G158" i="10"/>
  <c r="V158" i="10"/>
  <c r="AK158" i="10"/>
  <c r="D143" i="10"/>
  <c r="S143" i="10"/>
  <c r="AH143" i="10"/>
  <c r="E145" i="9"/>
  <c r="T145" i="9"/>
  <c r="AI145" i="9"/>
  <c r="AY147" i="8"/>
  <c r="C147" i="8"/>
  <c r="AX148" i="8"/>
  <c r="AW147" i="8"/>
  <c r="W52" i="2" s="1"/>
  <c r="G148" i="8"/>
  <c r="V148" i="8"/>
  <c r="AK148" i="8"/>
  <c r="E137" i="10"/>
  <c r="T137" i="10"/>
  <c r="AI137" i="10"/>
  <c r="C129" i="9"/>
  <c r="AY129" i="9"/>
  <c r="AW129" i="9"/>
  <c r="AX130" i="9"/>
  <c r="F130" i="9"/>
  <c r="U130" i="9"/>
  <c r="AJ130" i="9"/>
  <c r="AY119" i="10"/>
  <c r="C119" i="10"/>
  <c r="AX120" i="10"/>
  <c r="AW119" i="10"/>
  <c r="F120" i="10"/>
  <c r="U120" i="10"/>
  <c r="AJ120" i="10"/>
  <c r="G59" i="7"/>
  <c r="V59" i="7"/>
  <c r="AK59" i="7"/>
  <c r="U52" i="7"/>
  <c r="AI52" i="7"/>
  <c r="U162" i="8" l="1"/>
  <c r="F162" i="8"/>
  <c r="AJ162" i="8"/>
  <c r="H219" i="10"/>
  <c r="W219" i="10"/>
  <c r="AL219" i="10"/>
  <c r="I219" i="10"/>
  <c r="X219" i="10"/>
  <c r="AM219" i="10"/>
  <c r="J219" i="10"/>
  <c r="Y219" i="10"/>
  <c r="AN219" i="10"/>
  <c r="K219" i="10"/>
  <c r="Z219" i="10"/>
  <c r="AO219" i="10"/>
  <c r="L219" i="10"/>
  <c r="AA219" i="10"/>
  <c r="AP219" i="10"/>
  <c r="M219" i="10"/>
  <c r="AB219" i="10"/>
  <c r="AQ219" i="10"/>
  <c r="N219" i="10"/>
  <c r="AC219" i="10"/>
  <c r="AR219" i="10"/>
  <c r="O219" i="10"/>
  <c r="AD219" i="10"/>
  <c r="AS219" i="10"/>
  <c r="P219" i="10"/>
  <c r="AE219" i="10"/>
  <c r="AT219" i="10"/>
  <c r="Q219" i="10"/>
  <c r="AF219" i="10"/>
  <c r="AU219" i="10"/>
  <c r="R219" i="10"/>
  <c r="AG219" i="10"/>
  <c r="AV219" i="10"/>
  <c r="H219" i="9"/>
  <c r="W219" i="9"/>
  <c r="AL219" i="9"/>
  <c r="I219" i="9"/>
  <c r="X219" i="9"/>
  <c r="AM219" i="9"/>
  <c r="J219" i="9"/>
  <c r="Y219" i="9"/>
  <c r="AN219" i="9"/>
  <c r="K219" i="9"/>
  <c r="Z219" i="9"/>
  <c r="AO219" i="9"/>
  <c r="L219" i="9"/>
  <c r="AA219" i="9"/>
  <c r="AP219" i="9"/>
  <c r="M219" i="9"/>
  <c r="AB219" i="9"/>
  <c r="AQ219" i="9"/>
  <c r="N219" i="9"/>
  <c r="AC219" i="9"/>
  <c r="AR219" i="9"/>
  <c r="O219" i="9"/>
  <c r="AD219" i="9"/>
  <c r="AS219" i="9"/>
  <c r="P219" i="9"/>
  <c r="AE219" i="9"/>
  <c r="AT219" i="9"/>
  <c r="Q219" i="9"/>
  <c r="AF219" i="9"/>
  <c r="AU219" i="9"/>
  <c r="R219" i="9"/>
  <c r="AG219" i="9"/>
  <c r="AV219" i="9"/>
  <c r="H218" i="7"/>
  <c r="W218" i="7"/>
  <c r="AL218" i="7"/>
  <c r="I218" i="7"/>
  <c r="X218" i="7"/>
  <c r="AM218" i="7"/>
  <c r="J218" i="7"/>
  <c r="Y218" i="7"/>
  <c r="AN218" i="7"/>
  <c r="K218" i="7"/>
  <c r="Z218" i="7"/>
  <c r="AO218" i="7"/>
  <c r="L218" i="7"/>
  <c r="AA218" i="7"/>
  <c r="AP218" i="7"/>
  <c r="N218" i="7"/>
  <c r="AC218" i="7"/>
  <c r="AR218" i="7"/>
  <c r="O218" i="7"/>
  <c r="AD218" i="7"/>
  <c r="AS218" i="7"/>
  <c r="P218" i="7"/>
  <c r="AE218" i="7"/>
  <c r="AT218" i="7"/>
  <c r="Q218" i="7"/>
  <c r="AF218" i="7"/>
  <c r="AU218" i="7"/>
  <c r="R218" i="7"/>
  <c r="AG218" i="7"/>
  <c r="AV218" i="7"/>
  <c r="I218" i="8"/>
  <c r="AM218" i="8"/>
  <c r="X218" i="8"/>
  <c r="J218" i="8"/>
  <c r="AN218" i="8"/>
  <c r="Y218" i="8"/>
  <c r="L218" i="8"/>
  <c r="AA218" i="8"/>
  <c r="AP218" i="8"/>
  <c r="AC218" i="8"/>
  <c r="AR218" i="8"/>
  <c r="N218" i="8"/>
  <c r="P218" i="8"/>
  <c r="AE218" i="8"/>
  <c r="AT218" i="8"/>
  <c r="AU218" i="8"/>
  <c r="Q218" i="8"/>
  <c r="AF218" i="8"/>
  <c r="W218" i="8"/>
  <c r="H218" i="8"/>
  <c r="AL218" i="8"/>
  <c r="K218" i="8"/>
  <c r="Z218" i="8"/>
  <c r="AO218" i="8"/>
  <c r="M218" i="8"/>
  <c r="AB218" i="8"/>
  <c r="AQ218" i="8"/>
  <c r="AD218" i="8"/>
  <c r="AS218" i="8"/>
  <c r="O218" i="8"/>
  <c r="R218" i="8"/>
  <c r="AG218" i="8"/>
  <c r="AV218" i="8"/>
  <c r="M218" i="7"/>
  <c r="AB218" i="7"/>
  <c r="AQ218" i="7"/>
  <c r="D206" i="8"/>
  <c r="S206" i="8"/>
  <c r="AH206" i="8"/>
  <c r="E194" i="8"/>
  <c r="T194" i="8"/>
  <c r="AI194" i="8"/>
  <c r="D189" i="9"/>
  <c r="S189" i="9"/>
  <c r="AH189" i="9"/>
  <c r="D166" i="7"/>
  <c r="S166" i="7"/>
  <c r="AH166" i="7"/>
  <c r="G163" i="9"/>
  <c r="V163" i="9"/>
  <c r="AK163" i="9"/>
  <c r="V159" i="10"/>
  <c r="G159" i="10"/>
  <c r="AK159" i="10"/>
  <c r="D144" i="10"/>
  <c r="S144" i="10"/>
  <c r="AH144" i="10"/>
  <c r="E146" i="9"/>
  <c r="T146" i="9"/>
  <c r="AI146" i="9"/>
  <c r="AY148" i="8"/>
  <c r="C148" i="8"/>
  <c r="AX149" i="8"/>
  <c r="AW148" i="8"/>
  <c r="G149" i="8"/>
  <c r="V149" i="8"/>
  <c r="AK149" i="8"/>
  <c r="E138" i="10"/>
  <c r="T138" i="10"/>
  <c r="AI138" i="10"/>
  <c r="C130" i="9"/>
  <c r="AY130" i="9"/>
  <c r="AX131" i="9"/>
  <c r="AW130" i="9"/>
  <c r="F131" i="9"/>
  <c r="U131" i="9"/>
  <c r="AJ131" i="9"/>
  <c r="C120" i="10"/>
  <c r="AY120" i="10"/>
  <c r="AW120" i="10"/>
  <c r="AX121" i="10"/>
  <c r="F121" i="10"/>
  <c r="U121" i="10"/>
  <c r="AJ121" i="10"/>
  <c r="G60" i="7"/>
  <c r="V60" i="7"/>
  <c r="AK60" i="7"/>
  <c r="E53" i="7"/>
  <c r="AJ52" i="7"/>
  <c r="AY52" i="7"/>
  <c r="U163" i="8" l="1"/>
  <c r="F163" i="8"/>
  <c r="AJ163" i="8"/>
  <c r="AX53" i="7"/>
  <c r="AW52" i="7"/>
  <c r="H220" i="10"/>
  <c r="W220" i="10"/>
  <c r="AL220" i="10"/>
  <c r="I220" i="10"/>
  <c r="X220" i="10"/>
  <c r="AM220" i="10"/>
  <c r="J220" i="10"/>
  <c r="Y220" i="10"/>
  <c r="AN220" i="10"/>
  <c r="K220" i="10"/>
  <c r="Z220" i="10"/>
  <c r="AO220" i="10"/>
  <c r="L220" i="10"/>
  <c r="AA220" i="10"/>
  <c r="AP220" i="10"/>
  <c r="M220" i="10"/>
  <c r="AB220" i="10"/>
  <c r="AQ220" i="10"/>
  <c r="N220" i="10"/>
  <c r="AC220" i="10"/>
  <c r="AR220" i="10"/>
  <c r="O220" i="10"/>
  <c r="AD220" i="10"/>
  <c r="AS220" i="10"/>
  <c r="P220" i="10"/>
  <c r="AE220" i="10"/>
  <c r="AT220" i="10"/>
  <c r="Q220" i="10"/>
  <c r="AF220" i="10"/>
  <c r="AU220" i="10"/>
  <c r="R220" i="10"/>
  <c r="AG220" i="10"/>
  <c r="AV220" i="10"/>
  <c r="H220" i="9"/>
  <c r="W220" i="9"/>
  <c r="AL220" i="9"/>
  <c r="I220" i="9"/>
  <c r="X220" i="9"/>
  <c r="AM220" i="9"/>
  <c r="J220" i="9"/>
  <c r="Y220" i="9"/>
  <c r="AN220" i="9"/>
  <c r="K220" i="9"/>
  <c r="Z220" i="9"/>
  <c r="AO220" i="9"/>
  <c r="L220" i="9"/>
  <c r="AA220" i="9"/>
  <c r="AP220" i="9"/>
  <c r="M220" i="9"/>
  <c r="AB220" i="9"/>
  <c r="AQ220" i="9"/>
  <c r="N220" i="9"/>
  <c r="AC220" i="9"/>
  <c r="AR220" i="9"/>
  <c r="O220" i="9"/>
  <c r="AD220" i="9"/>
  <c r="AS220" i="9"/>
  <c r="P220" i="9"/>
  <c r="AE220" i="9"/>
  <c r="AT220" i="9"/>
  <c r="Q220" i="9"/>
  <c r="AF220" i="9"/>
  <c r="AU220" i="9"/>
  <c r="R220" i="9"/>
  <c r="AG220" i="9"/>
  <c r="AV220" i="9"/>
  <c r="H219" i="7"/>
  <c r="W219" i="7"/>
  <c r="AL219" i="7"/>
  <c r="I219" i="7"/>
  <c r="X219" i="7"/>
  <c r="AM219" i="7"/>
  <c r="J219" i="7"/>
  <c r="Y219" i="7"/>
  <c r="AN219" i="7"/>
  <c r="K219" i="7"/>
  <c r="Z219" i="7"/>
  <c r="AO219" i="7"/>
  <c r="L219" i="7"/>
  <c r="AA219" i="7"/>
  <c r="AP219" i="7"/>
  <c r="N219" i="7"/>
  <c r="AC219" i="7"/>
  <c r="AR219" i="7"/>
  <c r="O219" i="7"/>
  <c r="AD219" i="7"/>
  <c r="AS219" i="7"/>
  <c r="P219" i="7"/>
  <c r="AE219" i="7"/>
  <c r="AT219" i="7"/>
  <c r="Q219" i="7"/>
  <c r="AF219" i="7"/>
  <c r="AU219" i="7"/>
  <c r="R219" i="7"/>
  <c r="AG219" i="7"/>
  <c r="AV219" i="7"/>
  <c r="AM219" i="8"/>
  <c r="X219" i="8"/>
  <c r="I219" i="8"/>
  <c r="J219" i="8"/>
  <c r="AN219" i="8"/>
  <c r="Y219" i="8"/>
  <c r="AA219" i="8"/>
  <c r="L219" i="8"/>
  <c r="AP219" i="8"/>
  <c r="N219" i="8"/>
  <c r="AC219" i="8"/>
  <c r="AR219" i="8"/>
  <c r="AE219" i="8"/>
  <c r="AT219" i="8"/>
  <c r="P219" i="8"/>
  <c r="Q219" i="8"/>
  <c r="AF219" i="8"/>
  <c r="AU219" i="8"/>
  <c r="H219" i="8"/>
  <c r="W219" i="8"/>
  <c r="AL219" i="8"/>
  <c r="Z219" i="8"/>
  <c r="AO219" i="8"/>
  <c r="K219" i="8"/>
  <c r="M219" i="8"/>
  <c r="AB219" i="8"/>
  <c r="AQ219" i="8"/>
  <c r="AS219" i="8"/>
  <c r="O219" i="8"/>
  <c r="AD219" i="8"/>
  <c r="AG219" i="8"/>
  <c r="R219" i="8"/>
  <c r="AV219" i="8"/>
  <c r="M219" i="7"/>
  <c r="AB219" i="7"/>
  <c r="AQ219" i="7"/>
  <c r="D207" i="8"/>
  <c r="S207" i="8"/>
  <c r="AH207" i="8"/>
  <c r="E195" i="8"/>
  <c r="T195" i="8"/>
  <c r="AI195" i="8"/>
  <c r="D190" i="9"/>
  <c r="S190" i="9"/>
  <c r="AH190" i="9"/>
  <c r="D167" i="7"/>
  <c r="S167" i="7"/>
  <c r="AH167" i="7"/>
  <c r="G164" i="9"/>
  <c r="V164" i="9"/>
  <c r="AK164" i="9"/>
  <c r="G160" i="10"/>
  <c r="V160" i="10"/>
  <c r="AK160" i="10"/>
  <c r="D145" i="10"/>
  <c r="S145" i="10"/>
  <c r="AH145" i="10"/>
  <c r="E147" i="9"/>
  <c r="T147" i="9"/>
  <c r="AI147" i="9"/>
  <c r="C149" i="8"/>
  <c r="AY149" i="8"/>
  <c r="AW149" i="8"/>
  <c r="AX150" i="8"/>
  <c r="G150" i="8"/>
  <c r="V150" i="8"/>
  <c r="AK150" i="8"/>
  <c r="T139" i="10"/>
  <c r="E139" i="10"/>
  <c r="AI139" i="10"/>
  <c r="C131" i="9"/>
  <c r="AY131" i="9"/>
  <c r="AW131" i="9"/>
  <c r="AX132" i="9"/>
  <c r="F132" i="9"/>
  <c r="U132" i="9"/>
  <c r="AJ132" i="9"/>
  <c r="C121" i="10"/>
  <c r="AY121" i="10"/>
  <c r="AX122" i="10"/>
  <c r="AW121" i="10"/>
  <c r="F122" i="10"/>
  <c r="U122" i="10"/>
  <c r="AJ122" i="10"/>
  <c r="G61" i="7"/>
  <c r="V61" i="7"/>
  <c r="AK61" i="7"/>
  <c r="F53" i="7"/>
  <c r="AJ164" i="8" l="1"/>
  <c r="U164" i="8"/>
  <c r="F164" i="8"/>
  <c r="H221" i="10"/>
  <c r="W221" i="10"/>
  <c r="AL221" i="10"/>
  <c r="I221" i="10"/>
  <c r="X221" i="10"/>
  <c r="AM221" i="10"/>
  <c r="J221" i="10"/>
  <c r="Y221" i="10"/>
  <c r="AN221" i="10"/>
  <c r="K221" i="10"/>
  <c r="Z221" i="10"/>
  <c r="AO221" i="10"/>
  <c r="L221" i="10"/>
  <c r="AA221" i="10"/>
  <c r="AP221" i="10"/>
  <c r="M221" i="10"/>
  <c r="AB221" i="10"/>
  <c r="AQ221" i="10"/>
  <c r="N221" i="10"/>
  <c r="AC221" i="10"/>
  <c r="AR221" i="10"/>
  <c r="O221" i="10"/>
  <c r="AD221" i="10"/>
  <c r="AS221" i="10"/>
  <c r="P221" i="10"/>
  <c r="AE221" i="10"/>
  <c r="AT221" i="10"/>
  <c r="Q221" i="10"/>
  <c r="AF221" i="10"/>
  <c r="AU221" i="10"/>
  <c r="R221" i="10"/>
  <c r="AG221" i="10"/>
  <c r="AV221" i="10"/>
  <c r="H221" i="9"/>
  <c r="W221" i="9"/>
  <c r="AL221" i="9"/>
  <c r="I221" i="9"/>
  <c r="X221" i="9"/>
  <c r="AM221" i="9"/>
  <c r="J221" i="9"/>
  <c r="Y221" i="9"/>
  <c r="AN221" i="9"/>
  <c r="K221" i="9"/>
  <c r="Z221" i="9"/>
  <c r="AO221" i="9"/>
  <c r="L221" i="9"/>
  <c r="AA221" i="9"/>
  <c r="AP221" i="9"/>
  <c r="M221" i="9"/>
  <c r="AB221" i="9"/>
  <c r="AQ221" i="9"/>
  <c r="N221" i="9"/>
  <c r="AC221" i="9"/>
  <c r="AR221" i="9"/>
  <c r="O221" i="9"/>
  <c r="AD221" i="9"/>
  <c r="AS221" i="9"/>
  <c r="P221" i="9"/>
  <c r="AE221" i="9"/>
  <c r="AT221" i="9"/>
  <c r="Q221" i="9"/>
  <c r="AF221" i="9"/>
  <c r="AU221" i="9"/>
  <c r="R221" i="9"/>
  <c r="AG221" i="9"/>
  <c r="AV221" i="9"/>
  <c r="H220" i="7"/>
  <c r="W220" i="7"/>
  <c r="AL220" i="7"/>
  <c r="I220" i="7"/>
  <c r="X220" i="7"/>
  <c r="AM220" i="7"/>
  <c r="J220" i="7"/>
  <c r="Y220" i="7"/>
  <c r="AN220" i="7"/>
  <c r="K220" i="7"/>
  <c r="Z220" i="7"/>
  <c r="AO220" i="7"/>
  <c r="L220" i="7"/>
  <c r="AA220" i="7"/>
  <c r="AP220" i="7"/>
  <c r="N220" i="7"/>
  <c r="AC220" i="7"/>
  <c r="AR220" i="7"/>
  <c r="O220" i="7"/>
  <c r="AD220" i="7"/>
  <c r="AS220" i="7"/>
  <c r="P220" i="7"/>
  <c r="AE220" i="7"/>
  <c r="AT220" i="7"/>
  <c r="Q220" i="7"/>
  <c r="AF220" i="7"/>
  <c r="AU220" i="7"/>
  <c r="R220" i="7"/>
  <c r="AG220" i="7"/>
  <c r="AV220" i="7"/>
  <c r="I220" i="8"/>
  <c r="X220" i="8"/>
  <c r="AM220" i="8"/>
  <c r="J220" i="8"/>
  <c r="AN220" i="8"/>
  <c r="Y220" i="8"/>
  <c r="AA220" i="8"/>
  <c r="AP220" i="8"/>
  <c r="L220" i="8"/>
  <c r="N220" i="8"/>
  <c r="AR220" i="8"/>
  <c r="AC220" i="8"/>
  <c r="AE220" i="8"/>
  <c r="P220" i="8"/>
  <c r="AT220" i="8"/>
  <c r="Q220" i="8"/>
  <c r="AF220" i="8"/>
  <c r="AU220" i="8"/>
  <c r="H220" i="8"/>
  <c r="W220" i="8"/>
  <c r="AL220" i="8"/>
  <c r="AO220" i="8"/>
  <c r="K220" i="8"/>
  <c r="Z220" i="8"/>
  <c r="AQ220" i="8"/>
  <c r="AB220" i="8"/>
  <c r="M220" i="8"/>
  <c r="O220" i="8"/>
  <c r="AD220" i="8"/>
  <c r="AS220" i="8"/>
  <c r="AV220" i="8"/>
  <c r="R220" i="8"/>
  <c r="AG220" i="8"/>
  <c r="M220" i="7"/>
  <c r="AB220" i="7"/>
  <c r="AQ220" i="7"/>
  <c r="S208" i="8"/>
  <c r="D208" i="8"/>
  <c r="AH208" i="8"/>
  <c r="E196" i="8"/>
  <c r="T196" i="8"/>
  <c r="AI196" i="8"/>
  <c r="D191" i="9"/>
  <c r="S191" i="9"/>
  <c r="AH191" i="9"/>
  <c r="D168" i="7"/>
  <c r="S168" i="7"/>
  <c r="AH168" i="7"/>
  <c r="G165" i="9"/>
  <c r="V165" i="9"/>
  <c r="AK165" i="9"/>
  <c r="G161" i="10"/>
  <c r="V161" i="10"/>
  <c r="AK161" i="10"/>
  <c r="D146" i="10"/>
  <c r="AH146" i="10"/>
  <c r="S146" i="10"/>
  <c r="E148" i="9"/>
  <c r="T148" i="9"/>
  <c r="AI148" i="9"/>
  <c r="C150" i="8"/>
  <c r="AY150" i="8"/>
  <c r="AX151" i="8"/>
  <c r="AW150" i="8"/>
  <c r="W53" i="2" s="1"/>
  <c r="G151" i="8"/>
  <c r="V151" i="8"/>
  <c r="AK151" i="8"/>
  <c r="AI140" i="10"/>
  <c r="E140" i="10"/>
  <c r="T140" i="10"/>
  <c r="AY132" i="9"/>
  <c r="C132" i="9"/>
  <c r="AW132" i="9"/>
  <c r="AX133" i="9"/>
  <c r="F133" i="9"/>
  <c r="U133" i="9"/>
  <c r="AJ133" i="9"/>
  <c r="AY122" i="10"/>
  <c r="C122" i="10"/>
  <c r="AX123" i="10"/>
  <c r="AW122" i="10"/>
  <c r="F123" i="10"/>
  <c r="U123" i="10"/>
  <c r="AJ123" i="10"/>
  <c r="G62" i="7"/>
  <c r="V62" i="7"/>
  <c r="AK62" i="7"/>
  <c r="C53" i="7"/>
  <c r="T53" i="7" s="1"/>
  <c r="U165" i="8" l="1"/>
  <c r="AJ165" i="8"/>
  <c r="F165" i="8"/>
  <c r="H222" i="10"/>
  <c r="W222" i="10"/>
  <c r="AL222" i="10"/>
  <c r="I222" i="10"/>
  <c r="X222" i="10"/>
  <c r="AM222" i="10"/>
  <c r="J222" i="10"/>
  <c r="Y222" i="10"/>
  <c r="AN222" i="10"/>
  <c r="K222" i="10"/>
  <c r="Z222" i="10"/>
  <c r="AO222" i="10"/>
  <c r="L222" i="10"/>
  <c r="AA222" i="10"/>
  <c r="AP222" i="10"/>
  <c r="M222" i="10"/>
  <c r="AB222" i="10"/>
  <c r="AQ222" i="10"/>
  <c r="N222" i="10"/>
  <c r="AC222" i="10"/>
  <c r="AR222" i="10"/>
  <c r="O222" i="10"/>
  <c r="AD222" i="10"/>
  <c r="AS222" i="10"/>
  <c r="P222" i="10"/>
  <c r="AE222" i="10"/>
  <c r="AT222" i="10"/>
  <c r="Q222" i="10"/>
  <c r="AF222" i="10"/>
  <c r="AU222" i="10"/>
  <c r="R222" i="10"/>
  <c r="AG222" i="10"/>
  <c r="AV222" i="10"/>
  <c r="H222" i="9"/>
  <c r="W222" i="9"/>
  <c r="AL222" i="9"/>
  <c r="I222" i="9"/>
  <c r="X222" i="9"/>
  <c r="AM222" i="9"/>
  <c r="J222" i="9"/>
  <c r="Y222" i="9"/>
  <c r="AN222" i="9"/>
  <c r="K222" i="9"/>
  <c r="Z222" i="9"/>
  <c r="AO222" i="9"/>
  <c r="L222" i="9"/>
  <c r="AA222" i="9"/>
  <c r="AP222" i="9"/>
  <c r="M222" i="9"/>
  <c r="AB222" i="9"/>
  <c r="AQ222" i="9"/>
  <c r="N222" i="9"/>
  <c r="AC222" i="9"/>
  <c r="AR222" i="9"/>
  <c r="O222" i="9"/>
  <c r="AD222" i="9"/>
  <c r="AS222" i="9"/>
  <c r="P222" i="9"/>
  <c r="AE222" i="9"/>
  <c r="AT222" i="9"/>
  <c r="Q222" i="9"/>
  <c r="AF222" i="9"/>
  <c r="AU222" i="9"/>
  <c r="R222" i="9"/>
  <c r="AG222" i="9"/>
  <c r="AV222" i="9"/>
  <c r="H221" i="7"/>
  <c r="W221" i="7"/>
  <c r="AL221" i="7"/>
  <c r="I221" i="7"/>
  <c r="X221" i="7"/>
  <c r="AM221" i="7"/>
  <c r="J221" i="7"/>
  <c r="Y221" i="7"/>
  <c r="AN221" i="7"/>
  <c r="K221" i="7"/>
  <c r="Z221" i="7"/>
  <c r="AO221" i="7"/>
  <c r="L221" i="7"/>
  <c r="AA221" i="7"/>
  <c r="AP221" i="7"/>
  <c r="N221" i="7"/>
  <c r="AC221" i="7"/>
  <c r="AR221" i="7"/>
  <c r="O221" i="7"/>
  <c r="AD221" i="7"/>
  <c r="AS221" i="7"/>
  <c r="P221" i="7"/>
  <c r="AE221" i="7"/>
  <c r="AT221" i="7"/>
  <c r="Q221" i="7"/>
  <c r="AF221" i="7"/>
  <c r="AU221" i="7"/>
  <c r="R221" i="7"/>
  <c r="AG221" i="7"/>
  <c r="AV221" i="7"/>
  <c r="I221" i="8"/>
  <c r="X221" i="8"/>
  <c r="AM221" i="8"/>
  <c r="J221" i="8"/>
  <c r="Y221" i="8"/>
  <c r="AN221" i="8"/>
  <c r="AP221" i="8"/>
  <c r="L221" i="8"/>
  <c r="AA221" i="8"/>
  <c r="N221" i="8"/>
  <c r="AR221" i="8"/>
  <c r="AC221" i="8"/>
  <c r="AT221" i="8"/>
  <c r="AE221" i="8"/>
  <c r="P221" i="8"/>
  <c r="Q221" i="8"/>
  <c r="AF221" i="8"/>
  <c r="AU221" i="8"/>
  <c r="W221" i="8"/>
  <c r="AL221" i="8"/>
  <c r="H221" i="8"/>
  <c r="Z221" i="8"/>
  <c r="K221" i="8"/>
  <c r="AO221" i="8"/>
  <c r="AQ221" i="8"/>
  <c r="AB221" i="8"/>
  <c r="M221" i="8"/>
  <c r="AD221" i="8"/>
  <c r="AS221" i="8"/>
  <c r="O221" i="8"/>
  <c r="AV221" i="8"/>
  <c r="R221" i="8"/>
  <c r="AG221" i="8"/>
  <c r="M221" i="7"/>
  <c r="AB221" i="7"/>
  <c r="AQ221" i="7"/>
  <c r="D209" i="8"/>
  <c r="AH209" i="8"/>
  <c r="S209" i="8"/>
  <c r="E197" i="8"/>
  <c r="T197" i="8"/>
  <c r="AI197" i="8"/>
  <c r="D192" i="9"/>
  <c r="S192" i="9"/>
  <c r="AH192" i="9"/>
  <c r="D169" i="7"/>
  <c r="S169" i="7"/>
  <c r="AH169" i="7"/>
  <c r="G166" i="9"/>
  <c r="V166" i="9"/>
  <c r="AK166" i="9"/>
  <c r="V162" i="10"/>
  <c r="AK162" i="10"/>
  <c r="G162" i="10"/>
  <c r="D147" i="10"/>
  <c r="S147" i="10"/>
  <c r="AH147" i="10"/>
  <c r="E149" i="9"/>
  <c r="T149" i="9"/>
  <c r="AI149" i="9"/>
  <c r="AY151" i="8"/>
  <c r="C151" i="8"/>
  <c r="AW151" i="8"/>
  <c r="AX152" i="8"/>
  <c r="G152" i="8"/>
  <c r="V152" i="8"/>
  <c r="AK152" i="8"/>
  <c r="E141" i="10"/>
  <c r="T141" i="10"/>
  <c r="AI141" i="10"/>
  <c r="AY133" i="9"/>
  <c r="C133" i="9"/>
  <c r="AX134" i="9"/>
  <c r="AW133" i="9"/>
  <c r="F134" i="9"/>
  <c r="U134" i="9"/>
  <c r="AJ134" i="9"/>
  <c r="AY123" i="10"/>
  <c r="C123" i="10"/>
  <c r="AW123" i="10"/>
  <c r="AX124" i="10"/>
  <c r="F124" i="10"/>
  <c r="U124" i="10"/>
  <c r="AJ124" i="10"/>
  <c r="G63" i="7"/>
  <c r="V63" i="7"/>
  <c r="AK63" i="7"/>
  <c r="AI53" i="7"/>
  <c r="U53" i="7"/>
  <c r="AJ166" i="8" l="1"/>
  <c r="U166" i="8"/>
  <c r="F166" i="8"/>
  <c r="H223" i="10"/>
  <c r="W223" i="10"/>
  <c r="AL223" i="10"/>
  <c r="I223" i="10"/>
  <c r="X223" i="10"/>
  <c r="AM223" i="10"/>
  <c r="J223" i="10"/>
  <c r="Y223" i="10"/>
  <c r="AN223" i="10"/>
  <c r="K223" i="10"/>
  <c r="Z223" i="10"/>
  <c r="AO223" i="10"/>
  <c r="L223" i="10"/>
  <c r="AA223" i="10"/>
  <c r="AP223" i="10"/>
  <c r="M223" i="10"/>
  <c r="AB223" i="10"/>
  <c r="AQ223" i="10"/>
  <c r="N223" i="10"/>
  <c r="AC223" i="10"/>
  <c r="AR223" i="10"/>
  <c r="O223" i="10"/>
  <c r="AD223" i="10"/>
  <c r="AS223" i="10"/>
  <c r="P223" i="10"/>
  <c r="AE223" i="10"/>
  <c r="AT223" i="10"/>
  <c r="Q223" i="10"/>
  <c r="AF223" i="10"/>
  <c r="AU223" i="10"/>
  <c r="R223" i="10"/>
  <c r="AG223" i="10"/>
  <c r="AV223" i="10"/>
  <c r="H223" i="9"/>
  <c r="W223" i="9"/>
  <c r="AL223" i="9"/>
  <c r="I223" i="9"/>
  <c r="X223" i="9"/>
  <c r="AM223" i="9"/>
  <c r="J223" i="9"/>
  <c r="Y223" i="9"/>
  <c r="AN223" i="9"/>
  <c r="K223" i="9"/>
  <c r="Z223" i="9"/>
  <c r="AO223" i="9"/>
  <c r="L223" i="9"/>
  <c r="AA223" i="9"/>
  <c r="AP223" i="9"/>
  <c r="M223" i="9"/>
  <c r="AB223" i="9"/>
  <c r="AQ223" i="9"/>
  <c r="N223" i="9"/>
  <c r="AC223" i="9"/>
  <c r="AR223" i="9"/>
  <c r="O223" i="9"/>
  <c r="AD223" i="9"/>
  <c r="AS223" i="9"/>
  <c r="P223" i="9"/>
  <c r="AE223" i="9"/>
  <c r="AT223" i="9"/>
  <c r="Q223" i="9"/>
  <c r="AF223" i="9"/>
  <c r="AU223" i="9"/>
  <c r="R223" i="9"/>
  <c r="AG223" i="9"/>
  <c r="AV223" i="9"/>
  <c r="H222" i="7"/>
  <c r="W222" i="7"/>
  <c r="AL222" i="7"/>
  <c r="I222" i="7"/>
  <c r="X222" i="7"/>
  <c r="AM222" i="7"/>
  <c r="J222" i="7"/>
  <c r="Y222" i="7"/>
  <c r="AN222" i="7"/>
  <c r="K222" i="7"/>
  <c r="Z222" i="7"/>
  <c r="AO222" i="7"/>
  <c r="L222" i="7"/>
  <c r="AA222" i="7"/>
  <c r="AP222" i="7"/>
  <c r="N222" i="7"/>
  <c r="AC222" i="7"/>
  <c r="AR222" i="7"/>
  <c r="O222" i="7"/>
  <c r="AD222" i="7"/>
  <c r="AS222" i="7"/>
  <c r="P222" i="7"/>
  <c r="AE222" i="7"/>
  <c r="AT222" i="7"/>
  <c r="Q222" i="7"/>
  <c r="AF222" i="7"/>
  <c r="AU222" i="7"/>
  <c r="R222" i="7"/>
  <c r="AG222" i="7"/>
  <c r="AV222" i="7"/>
  <c r="X222" i="8"/>
  <c r="I222" i="8"/>
  <c r="AM222" i="8"/>
  <c r="Y222" i="8"/>
  <c r="AN222" i="8"/>
  <c r="J222" i="8"/>
  <c r="AP222" i="8"/>
  <c r="AA222" i="8"/>
  <c r="L222" i="8"/>
  <c r="AC222" i="8"/>
  <c r="N222" i="8"/>
  <c r="AR222" i="8"/>
  <c r="AT222" i="8"/>
  <c r="P222" i="8"/>
  <c r="AE222" i="8"/>
  <c r="AF222" i="8"/>
  <c r="Q222" i="8"/>
  <c r="AU222" i="8"/>
  <c r="W222" i="8"/>
  <c r="AL222" i="8"/>
  <c r="H222" i="8"/>
  <c r="AO222" i="8"/>
  <c r="K222" i="8"/>
  <c r="Z222" i="8"/>
  <c r="M222" i="8"/>
  <c r="AB222" i="8"/>
  <c r="AQ222" i="8"/>
  <c r="AD222" i="8"/>
  <c r="AS222" i="8"/>
  <c r="O222" i="8"/>
  <c r="R222" i="8"/>
  <c r="AV222" i="8"/>
  <c r="AG222" i="8"/>
  <c r="M222" i="7"/>
  <c r="AB222" i="7"/>
  <c r="AQ222" i="7"/>
  <c r="D210" i="8"/>
  <c r="S210" i="8"/>
  <c r="AH210" i="8"/>
  <c r="E198" i="8"/>
  <c r="T198" i="8"/>
  <c r="AI198" i="8"/>
  <c r="D193" i="9"/>
  <c r="S193" i="9"/>
  <c r="AH193" i="9"/>
  <c r="D170" i="7"/>
  <c r="S170" i="7"/>
  <c r="AH170" i="7"/>
  <c r="G167" i="9"/>
  <c r="V167" i="9"/>
  <c r="AK167" i="9"/>
  <c r="G163" i="10"/>
  <c r="V163" i="10"/>
  <c r="AK163" i="10"/>
  <c r="S148" i="10"/>
  <c r="D148" i="10"/>
  <c r="AH148" i="10"/>
  <c r="E150" i="9"/>
  <c r="T150" i="9"/>
  <c r="AI150" i="9"/>
  <c r="C152" i="8"/>
  <c r="AY152" i="8"/>
  <c r="AX153" i="8"/>
  <c r="AW152" i="8"/>
  <c r="G153" i="8"/>
  <c r="V153" i="8"/>
  <c r="AK153" i="8"/>
  <c r="AI142" i="10"/>
  <c r="E142" i="10"/>
  <c r="T142" i="10"/>
  <c r="C134" i="9"/>
  <c r="AY134" i="9"/>
  <c r="AW134" i="9"/>
  <c r="AX135" i="9"/>
  <c r="F135" i="9"/>
  <c r="U135" i="9"/>
  <c r="AJ135" i="9"/>
  <c r="AY124" i="10"/>
  <c r="C124" i="10"/>
  <c r="AW124" i="10"/>
  <c r="AX125" i="10"/>
  <c r="F125" i="10"/>
  <c r="U125" i="10"/>
  <c r="AJ125" i="10"/>
  <c r="G64" i="7"/>
  <c r="V64" i="7"/>
  <c r="AK64" i="7"/>
  <c r="E54" i="7"/>
  <c r="AJ53" i="7"/>
  <c r="AY53" i="7"/>
  <c r="F167" i="8" l="1"/>
  <c r="AJ167" i="8"/>
  <c r="U167" i="8"/>
  <c r="AW53" i="7"/>
  <c r="AX54" i="7"/>
  <c r="H224" i="10"/>
  <c r="W224" i="10"/>
  <c r="AL224" i="10"/>
  <c r="I224" i="10"/>
  <c r="X224" i="10"/>
  <c r="AM224" i="10"/>
  <c r="J224" i="10"/>
  <c r="Y224" i="10"/>
  <c r="AN224" i="10"/>
  <c r="K224" i="10"/>
  <c r="Z224" i="10"/>
  <c r="AO224" i="10"/>
  <c r="L224" i="10"/>
  <c r="AA224" i="10"/>
  <c r="AP224" i="10"/>
  <c r="M224" i="10"/>
  <c r="AB224" i="10"/>
  <c r="AQ224" i="10"/>
  <c r="N224" i="10"/>
  <c r="AC224" i="10"/>
  <c r="AR224" i="10"/>
  <c r="O224" i="10"/>
  <c r="AD224" i="10"/>
  <c r="AS224" i="10"/>
  <c r="P224" i="10"/>
  <c r="AE224" i="10"/>
  <c r="AT224" i="10"/>
  <c r="Q224" i="10"/>
  <c r="AF224" i="10"/>
  <c r="AU224" i="10"/>
  <c r="R224" i="10"/>
  <c r="AG224" i="10"/>
  <c r="AV224" i="10"/>
  <c r="H224" i="9"/>
  <c r="W224" i="9"/>
  <c r="AL224" i="9"/>
  <c r="I224" i="9"/>
  <c r="X224" i="9"/>
  <c r="AM224" i="9"/>
  <c r="J224" i="9"/>
  <c r="Y224" i="9"/>
  <c r="AN224" i="9"/>
  <c r="K224" i="9"/>
  <c r="Z224" i="9"/>
  <c r="AO224" i="9"/>
  <c r="L224" i="9"/>
  <c r="AA224" i="9"/>
  <c r="AP224" i="9"/>
  <c r="M224" i="9"/>
  <c r="AB224" i="9"/>
  <c r="AQ224" i="9"/>
  <c r="N224" i="9"/>
  <c r="AC224" i="9"/>
  <c r="AR224" i="9"/>
  <c r="O224" i="9"/>
  <c r="AD224" i="9"/>
  <c r="AS224" i="9"/>
  <c r="P224" i="9"/>
  <c r="AE224" i="9"/>
  <c r="AT224" i="9"/>
  <c r="Q224" i="9"/>
  <c r="AF224" i="9"/>
  <c r="AU224" i="9"/>
  <c r="R224" i="9"/>
  <c r="AG224" i="9"/>
  <c r="AV224" i="9"/>
  <c r="H223" i="7"/>
  <c r="W223" i="7"/>
  <c r="AL223" i="7"/>
  <c r="I223" i="7"/>
  <c r="X223" i="7"/>
  <c r="AM223" i="7"/>
  <c r="J223" i="7"/>
  <c r="Y223" i="7"/>
  <c r="AN223" i="7"/>
  <c r="K223" i="7"/>
  <c r="Z223" i="7"/>
  <c r="AO223" i="7"/>
  <c r="L223" i="7"/>
  <c r="AA223" i="7"/>
  <c r="AP223" i="7"/>
  <c r="N223" i="7"/>
  <c r="AC223" i="7"/>
  <c r="AR223" i="7"/>
  <c r="O223" i="7"/>
  <c r="AD223" i="7"/>
  <c r="AS223" i="7"/>
  <c r="P223" i="7"/>
  <c r="AE223" i="7"/>
  <c r="AT223" i="7"/>
  <c r="Q223" i="7"/>
  <c r="AF223" i="7"/>
  <c r="AU223" i="7"/>
  <c r="R223" i="7"/>
  <c r="AG223" i="7"/>
  <c r="AV223" i="7"/>
  <c r="I223" i="8"/>
  <c r="AM223" i="8"/>
  <c r="X223" i="8"/>
  <c r="J223" i="8"/>
  <c r="Y223" i="8"/>
  <c r="AN223" i="8"/>
  <c r="AA223" i="8"/>
  <c r="AP223" i="8"/>
  <c r="L223" i="8"/>
  <c r="N223" i="8"/>
  <c r="AC223" i="8"/>
  <c r="AR223" i="8"/>
  <c r="P223" i="8"/>
  <c r="AT223" i="8"/>
  <c r="AE223" i="8"/>
  <c r="AU223" i="8"/>
  <c r="Q223" i="8"/>
  <c r="AF223" i="8"/>
  <c r="W223" i="8"/>
  <c r="H223" i="8"/>
  <c r="AL223" i="8"/>
  <c r="Z223" i="8"/>
  <c r="K223" i="8"/>
  <c r="AO223" i="8"/>
  <c r="AQ223" i="8"/>
  <c r="AB223" i="8"/>
  <c r="M223" i="8"/>
  <c r="AD223" i="8"/>
  <c r="AS223" i="8"/>
  <c r="O223" i="8"/>
  <c r="AV223" i="8"/>
  <c r="R223" i="8"/>
  <c r="AG223" i="8"/>
  <c r="M223" i="7"/>
  <c r="AB223" i="7"/>
  <c r="AQ223" i="7"/>
  <c r="D211" i="8"/>
  <c r="AH211" i="8"/>
  <c r="S211" i="8"/>
  <c r="E199" i="8"/>
  <c r="T199" i="8"/>
  <c r="AI199" i="8"/>
  <c r="D194" i="9"/>
  <c r="S194" i="9"/>
  <c r="AH194" i="9"/>
  <c r="D171" i="7"/>
  <c r="S171" i="7"/>
  <c r="AH171" i="7"/>
  <c r="G168" i="9"/>
  <c r="V168" i="9"/>
  <c r="AK168" i="9"/>
  <c r="AK164" i="10"/>
  <c r="G164" i="10"/>
  <c r="V164" i="10"/>
  <c r="D149" i="10"/>
  <c r="AH149" i="10"/>
  <c r="S149" i="10"/>
  <c r="E151" i="9"/>
  <c r="T151" i="9"/>
  <c r="AI151" i="9"/>
  <c r="AY153" i="8"/>
  <c r="C153" i="8"/>
  <c r="AW153" i="8"/>
  <c r="W54" i="2" s="1"/>
  <c r="AX154" i="8"/>
  <c r="G154" i="8"/>
  <c r="V154" i="8"/>
  <c r="AK154" i="8"/>
  <c r="E143" i="10"/>
  <c r="T143" i="10"/>
  <c r="AI143" i="10"/>
  <c r="AY135" i="9"/>
  <c r="C135" i="9"/>
  <c r="AX136" i="9"/>
  <c r="AW135" i="9"/>
  <c r="F136" i="9"/>
  <c r="U136" i="9"/>
  <c r="AJ136" i="9"/>
  <c r="C125" i="10"/>
  <c r="AY125" i="10"/>
  <c r="AX126" i="10"/>
  <c r="AW125" i="10"/>
  <c r="F126" i="10"/>
  <c r="U126" i="10"/>
  <c r="AJ126" i="10"/>
  <c r="G65" i="7"/>
  <c r="V65" i="7"/>
  <c r="AK65" i="7"/>
  <c r="F54" i="7"/>
  <c r="F168" i="8" l="1"/>
  <c r="U168" i="8"/>
  <c r="AJ168" i="8"/>
  <c r="H225" i="10"/>
  <c r="W225" i="10"/>
  <c r="AL225" i="10"/>
  <c r="I225" i="10"/>
  <c r="X225" i="10"/>
  <c r="AM225" i="10"/>
  <c r="J225" i="10"/>
  <c r="Y225" i="10"/>
  <c r="AN225" i="10"/>
  <c r="K225" i="10"/>
  <c r="Z225" i="10"/>
  <c r="AO225" i="10"/>
  <c r="L225" i="10"/>
  <c r="AA225" i="10"/>
  <c r="AP225" i="10"/>
  <c r="M225" i="10"/>
  <c r="AB225" i="10"/>
  <c r="AQ225" i="10"/>
  <c r="N225" i="10"/>
  <c r="AC225" i="10"/>
  <c r="AR225" i="10"/>
  <c r="O225" i="10"/>
  <c r="AD225" i="10"/>
  <c r="AS225" i="10"/>
  <c r="P225" i="10"/>
  <c r="AE225" i="10"/>
  <c r="AT225" i="10"/>
  <c r="Q225" i="10"/>
  <c r="AF225" i="10"/>
  <c r="AU225" i="10"/>
  <c r="R225" i="10"/>
  <c r="AG225" i="10"/>
  <c r="AV225" i="10"/>
  <c r="H225" i="9"/>
  <c r="W225" i="9"/>
  <c r="AL225" i="9"/>
  <c r="I225" i="9"/>
  <c r="X225" i="9"/>
  <c r="AM225" i="9"/>
  <c r="J225" i="9"/>
  <c r="Y225" i="9"/>
  <c r="AN225" i="9"/>
  <c r="K225" i="9"/>
  <c r="Z225" i="9"/>
  <c r="AO225" i="9"/>
  <c r="L225" i="9"/>
  <c r="AA225" i="9"/>
  <c r="AP225" i="9"/>
  <c r="M225" i="9"/>
  <c r="AB225" i="9"/>
  <c r="AQ225" i="9"/>
  <c r="N225" i="9"/>
  <c r="AC225" i="9"/>
  <c r="AR225" i="9"/>
  <c r="O225" i="9"/>
  <c r="AD225" i="9"/>
  <c r="AS225" i="9"/>
  <c r="P225" i="9"/>
  <c r="AE225" i="9"/>
  <c r="AT225" i="9"/>
  <c r="Q225" i="9"/>
  <c r="AF225" i="9"/>
  <c r="AU225" i="9"/>
  <c r="R225" i="9"/>
  <c r="AG225" i="9"/>
  <c r="AV225" i="9"/>
  <c r="H224" i="7"/>
  <c r="W224" i="7"/>
  <c r="AL224" i="7"/>
  <c r="I224" i="7"/>
  <c r="X224" i="7"/>
  <c r="AM224" i="7"/>
  <c r="J224" i="7"/>
  <c r="Y224" i="7"/>
  <c r="AN224" i="7"/>
  <c r="K224" i="7"/>
  <c r="Z224" i="7"/>
  <c r="AO224" i="7"/>
  <c r="L224" i="7"/>
  <c r="AA224" i="7"/>
  <c r="AP224" i="7"/>
  <c r="N224" i="7"/>
  <c r="AC224" i="7"/>
  <c r="AR224" i="7"/>
  <c r="O224" i="7"/>
  <c r="AD224" i="7"/>
  <c r="AS224" i="7"/>
  <c r="P224" i="7"/>
  <c r="AE224" i="7"/>
  <c r="AT224" i="7"/>
  <c r="Q224" i="7"/>
  <c r="AF224" i="7"/>
  <c r="AU224" i="7"/>
  <c r="R224" i="7"/>
  <c r="AG224" i="7"/>
  <c r="AV224" i="7"/>
  <c r="X224" i="8"/>
  <c r="I224" i="8"/>
  <c r="AM224" i="8"/>
  <c r="J224" i="8"/>
  <c r="Y224" i="8"/>
  <c r="AN224" i="8"/>
  <c r="L224" i="8"/>
  <c r="AA224" i="8"/>
  <c r="AP224" i="8"/>
  <c r="AC224" i="8"/>
  <c r="AR224" i="8"/>
  <c r="N224" i="8"/>
  <c r="AT224" i="8"/>
  <c r="AE224" i="8"/>
  <c r="P224" i="8"/>
  <c r="Q224" i="8"/>
  <c r="AU224" i="8"/>
  <c r="AF224" i="8"/>
  <c r="H224" i="8"/>
  <c r="W224" i="8"/>
  <c r="AL224" i="8"/>
  <c r="K224" i="8"/>
  <c r="Z224" i="8"/>
  <c r="AO224" i="8"/>
  <c r="AB224" i="8"/>
  <c r="AQ224" i="8"/>
  <c r="M224" i="8"/>
  <c r="O224" i="8"/>
  <c r="AD224" i="8"/>
  <c r="AS224" i="8"/>
  <c r="R224" i="8"/>
  <c r="AV224" i="8"/>
  <c r="AG224" i="8"/>
  <c r="M224" i="7"/>
  <c r="AB224" i="7"/>
  <c r="AQ224" i="7"/>
  <c r="S212" i="8"/>
  <c r="AH212" i="8"/>
  <c r="D212" i="8"/>
  <c r="E200" i="8"/>
  <c r="T200" i="8"/>
  <c r="AI200" i="8"/>
  <c r="D195" i="9"/>
  <c r="S195" i="9"/>
  <c r="AH195" i="9"/>
  <c r="D172" i="7"/>
  <c r="S172" i="7"/>
  <c r="AH172" i="7"/>
  <c r="V169" i="9"/>
  <c r="AK169" i="9"/>
  <c r="G169" i="9"/>
  <c r="G165" i="10"/>
  <c r="V165" i="10"/>
  <c r="AK165" i="10"/>
  <c r="D150" i="10"/>
  <c r="S150" i="10"/>
  <c r="AH150" i="10"/>
  <c r="E152" i="9"/>
  <c r="T152" i="9"/>
  <c r="AI152" i="9"/>
  <c r="AY154" i="8"/>
  <c r="C154" i="8"/>
  <c r="AW154" i="8"/>
  <c r="AX155" i="8"/>
  <c r="G155" i="8"/>
  <c r="V155" i="8"/>
  <c r="AK155" i="8"/>
  <c r="E144" i="10"/>
  <c r="T144" i="10"/>
  <c r="AI144" i="10"/>
  <c r="AY136" i="9"/>
  <c r="C136" i="9"/>
  <c r="AX137" i="9"/>
  <c r="AW136" i="9"/>
  <c r="F137" i="9"/>
  <c r="U137" i="9"/>
  <c r="AJ137" i="9"/>
  <c r="C126" i="10"/>
  <c r="AY126" i="10"/>
  <c r="AW126" i="10"/>
  <c r="AX127" i="10"/>
  <c r="F127" i="10"/>
  <c r="U127" i="10"/>
  <c r="AJ127" i="10"/>
  <c r="G66" i="7"/>
  <c r="V66" i="7"/>
  <c r="AK66" i="7"/>
  <c r="C54" i="7"/>
  <c r="T54" i="7" s="1"/>
  <c r="AJ169" i="8" l="1"/>
  <c r="U169" i="8"/>
  <c r="F169" i="8"/>
  <c r="H226" i="10"/>
  <c r="W226" i="10"/>
  <c r="AL226" i="10"/>
  <c r="I226" i="10"/>
  <c r="X226" i="10"/>
  <c r="AM226" i="10"/>
  <c r="J226" i="10"/>
  <c r="Y226" i="10"/>
  <c r="AN226" i="10"/>
  <c r="K226" i="10"/>
  <c r="Z226" i="10"/>
  <c r="AO226" i="10"/>
  <c r="L226" i="10"/>
  <c r="AA226" i="10"/>
  <c r="AP226" i="10"/>
  <c r="M226" i="10"/>
  <c r="AB226" i="10"/>
  <c r="AQ226" i="10"/>
  <c r="N226" i="10"/>
  <c r="AC226" i="10"/>
  <c r="AR226" i="10"/>
  <c r="O226" i="10"/>
  <c r="AD226" i="10"/>
  <c r="AS226" i="10"/>
  <c r="P226" i="10"/>
  <c r="AE226" i="10"/>
  <c r="AT226" i="10"/>
  <c r="Q226" i="10"/>
  <c r="AF226" i="10"/>
  <c r="AU226" i="10"/>
  <c r="R226" i="10"/>
  <c r="AG226" i="10"/>
  <c r="AV226" i="10"/>
  <c r="H226" i="9"/>
  <c r="W226" i="9"/>
  <c r="AL226" i="9"/>
  <c r="I226" i="9"/>
  <c r="X226" i="9"/>
  <c r="AM226" i="9"/>
  <c r="J226" i="9"/>
  <c r="Y226" i="9"/>
  <c r="AN226" i="9"/>
  <c r="K226" i="9"/>
  <c r="Z226" i="9"/>
  <c r="AO226" i="9"/>
  <c r="L226" i="9"/>
  <c r="AA226" i="9"/>
  <c r="AP226" i="9"/>
  <c r="M226" i="9"/>
  <c r="AB226" i="9"/>
  <c r="AQ226" i="9"/>
  <c r="N226" i="9"/>
  <c r="AC226" i="9"/>
  <c r="AR226" i="9"/>
  <c r="O226" i="9"/>
  <c r="AD226" i="9"/>
  <c r="AS226" i="9"/>
  <c r="P226" i="9"/>
  <c r="AE226" i="9"/>
  <c r="AT226" i="9"/>
  <c r="Q226" i="9"/>
  <c r="AF226" i="9"/>
  <c r="AU226" i="9"/>
  <c r="R226" i="9"/>
  <c r="AG226" i="9"/>
  <c r="AV226" i="9"/>
  <c r="H225" i="7"/>
  <c r="W225" i="7"/>
  <c r="AL225" i="7"/>
  <c r="I225" i="7"/>
  <c r="X225" i="7"/>
  <c r="AM225" i="7"/>
  <c r="J225" i="7"/>
  <c r="Y225" i="7"/>
  <c r="AN225" i="7"/>
  <c r="K225" i="7"/>
  <c r="Z225" i="7"/>
  <c r="AO225" i="7"/>
  <c r="L225" i="7"/>
  <c r="AA225" i="7"/>
  <c r="AP225" i="7"/>
  <c r="N225" i="7"/>
  <c r="AC225" i="7"/>
  <c r="AR225" i="7"/>
  <c r="O225" i="7"/>
  <c r="AD225" i="7"/>
  <c r="AS225" i="7"/>
  <c r="P225" i="7"/>
  <c r="AE225" i="7"/>
  <c r="AT225" i="7"/>
  <c r="Q225" i="7"/>
  <c r="AF225" i="7"/>
  <c r="AU225" i="7"/>
  <c r="R225" i="7"/>
  <c r="AG225" i="7"/>
  <c r="AV225" i="7"/>
  <c r="I225" i="8"/>
  <c r="AM225" i="8"/>
  <c r="X225" i="8"/>
  <c r="J225" i="8"/>
  <c r="AN225" i="8"/>
  <c r="Y225" i="8"/>
  <c r="AA225" i="8"/>
  <c r="L225" i="8"/>
  <c r="AP225" i="8"/>
  <c r="AR225" i="8"/>
  <c r="N225" i="8"/>
  <c r="AC225" i="8"/>
  <c r="P225" i="8"/>
  <c r="AT225" i="8"/>
  <c r="AE225" i="8"/>
  <c r="Q225" i="8"/>
  <c r="AF225" i="8"/>
  <c r="AU225" i="8"/>
  <c r="W225" i="8"/>
  <c r="H225" i="8"/>
  <c r="AL225" i="8"/>
  <c r="AO225" i="8"/>
  <c r="K225" i="8"/>
  <c r="Z225" i="8"/>
  <c r="AB225" i="8"/>
  <c r="AQ225" i="8"/>
  <c r="M225" i="8"/>
  <c r="AD225" i="8"/>
  <c r="AS225" i="8"/>
  <c r="O225" i="8"/>
  <c r="AV225" i="8"/>
  <c r="AG225" i="8"/>
  <c r="R225" i="8"/>
  <c r="M225" i="7"/>
  <c r="AB225" i="7"/>
  <c r="AQ225" i="7"/>
  <c r="D213" i="8"/>
  <c r="S213" i="8"/>
  <c r="AH213" i="8"/>
  <c r="E201" i="8"/>
  <c r="T201" i="8"/>
  <c r="AI201" i="8"/>
  <c r="D196" i="9"/>
  <c r="S196" i="9"/>
  <c r="AH196" i="9"/>
  <c r="D173" i="7"/>
  <c r="S173" i="7"/>
  <c r="AH173" i="7"/>
  <c r="AK170" i="9"/>
  <c r="G170" i="9"/>
  <c r="V170" i="9"/>
  <c r="V166" i="10"/>
  <c r="G166" i="10"/>
  <c r="AK166" i="10"/>
  <c r="S151" i="10"/>
  <c r="D151" i="10"/>
  <c r="AH151" i="10"/>
  <c r="E153" i="9"/>
  <c r="T153" i="9"/>
  <c r="AI153" i="9"/>
  <c r="C155" i="8"/>
  <c r="AY155" i="8"/>
  <c r="AX156" i="8"/>
  <c r="AW155" i="8"/>
  <c r="G156" i="8"/>
  <c r="V156" i="8"/>
  <c r="AK156" i="8"/>
  <c r="E145" i="10"/>
  <c r="T145" i="10"/>
  <c r="AI145" i="10"/>
  <c r="AY137" i="9"/>
  <c r="C137" i="9"/>
  <c r="AX138" i="9"/>
  <c r="AW137" i="9"/>
  <c r="F138" i="9"/>
  <c r="U138" i="9"/>
  <c r="AJ138" i="9"/>
  <c r="C127" i="10"/>
  <c r="AY127" i="10"/>
  <c r="AX128" i="10"/>
  <c r="AW127" i="10"/>
  <c r="F128" i="10"/>
  <c r="U128" i="10"/>
  <c r="AJ128" i="10"/>
  <c r="G67" i="7"/>
  <c r="V67" i="7"/>
  <c r="AK67" i="7"/>
  <c r="AI54" i="7"/>
  <c r="U54" i="7"/>
  <c r="AJ170" i="8" l="1"/>
  <c r="U170" i="8"/>
  <c r="F170" i="8"/>
  <c r="H227" i="10"/>
  <c r="W227" i="10"/>
  <c r="AL227" i="10"/>
  <c r="I227" i="10"/>
  <c r="X227" i="10"/>
  <c r="AM227" i="10"/>
  <c r="J227" i="10"/>
  <c r="Y227" i="10"/>
  <c r="AN227" i="10"/>
  <c r="K227" i="10"/>
  <c r="Z227" i="10"/>
  <c r="AO227" i="10"/>
  <c r="L227" i="10"/>
  <c r="AA227" i="10"/>
  <c r="AP227" i="10"/>
  <c r="M227" i="10"/>
  <c r="AB227" i="10"/>
  <c r="AQ227" i="10"/>
  <c r="N227" i="10"/>
  <c r="AC227" i="10"/>
  <c r="AR227" i="10"/>
  <c r="O227" i="10"/>
  <c r="AD227" i="10"/>
  <c r="AS227" i="10"/>
  <c r="P227" i="10"/>
  <c r="AE227" i="10"/>
  <c r="AT227" i="10"/>
  <c r="Q227" i="10"/>
  <c r="AF227" i="10"/>
  <c r="AU227" i="10"/>
  <c r="R227" i="10"/>
  <c r="AG227" i="10"/>
  <c r="AV227" i="10"/>
  <c r="H227" i="9"/>
  <c r="W227" i="9"/>
  <c r="AL227" i="9"/>
  <c r="I227" i="9"/>
  <c r="X227" i="9"/>
  <c r="AM227" i="9"/>
  <c r="J227" i="9"/>
  <c r="Y227" i="9"/>
  <c r="AN227" i="9"/>
  <c r="K227" i="9"/>
  <c r="Z227" i="9"/>
  <c r="AO227" i="9"/>
  <c r="L227" i="9"/>
  <c r="AA227" i="9"/>
  <c r="AP227" i="9"/>
  <c r="M227" i="9"/>
  <c r="AB227" i="9"/>
  <c r="AQ227" i="9"/>
  <c r="N227" i="9"/>
  <c r="AC227" i="9"/>
  <c r="AR227" i="9"/>
  <c r="O227" i="9"/>
  <c r="AD227" i="9"/>
  <c r="AS227" i="9"/>
  <c r="P227" i="9"/>
  <c r="AE227" i="9"/>
  <c r="AT227" i="9"/>
  <c r="Q227" i="9"/>
  <c r="AF227" i="9"/>
  <c r="AU227" i="9"/>
  <c r="R227" i="9"/>
  <c r="AG227" i="9"/>
  <c r="AV227" i="9"/>
  <c r="H226" i="7"/>
  <c r="W226" i="7"/>
  <c r="AL226" i="7"/>
  <c r="I226" i="7"/>
  <c r="X226" i="7"/>
  <c r="AM226" i="7"/>
  <c r="J226" i="7"/>
  <c r="Y226" i="7"/>
  <c r="AN226" i="7"/>
  <c r="K226" i="7"/>
  <c r="Z226" i="7"/>
  <c r="AO226" i="7"/>
  <c r="L226" i="7"/>
  <c r="AA226" i="7"/>
  <c r="AP226" i="7"/>
  <c r="N226" i="7"/>
  <c r="AC226" i="7"/>
  <c r="AR226" i="7"/>
  <c r="O226" i="7"/>
  <c r="AD226" i="7"/>
  <c r="AS226" i="7"/>
  <c r="P226" i="7"/>
  <c r="AE226" i="7"/>
  <c r="AT226" i="7"/>
  <c r="Q226" i="7"/>
  <c r="AF226" i="7"/>
  <c r="AU226" i="7"/>
  <c r="R226" i="7"/>
  <c r="AG226" i="7"/>
  <c r="AV226" i="7"/>
  <c r="AM226" i="8"/>
  <c r="X226" i="8"/>
  <c r="I226" i="8"/>
  <c r="Y226" i="8"/>
  <c r="J226" i="8"/>
  <c r="AN226" i="8"/>
  <c r="AP226" i="8"/>
  <c r="L226" i="8"/>
  <c r="AA226" i="8"/>
  <c r="AC226" i="8"/>
  <c r="AR226" i="8"/>
  <c r="N226" i="8"/>
  <c r="AE226" i="8"/>
  <c r="P226" i="8"/>
  <c r="AT226" i="8"/>
  <c r="Q226" i="8"/>
  <c r="AF226" i="8"/>
  <c r="AU226" i="8"/>
  <c r="AL226" i="8"/>
  <c r="H226" i="8"/>
  <c r="W226" i="8"/>
  <c r="K226" i="8"/>
  <c r="Z226" i="8"/>
  <c r="AO226" i="8"/>
  <c r="AB226" i="8"/>
  <c r="AQ226" i="8"/>
  <c r="M226" i="8"/>
  <c r="AD226" i="8"/>
  <c r="O226" i="8"/>
  <c r="AS226" i="8"/>
  <c r="AV226" i="8"/>
  <c r="R226" i="8"/>
  <c r="AG226" i="8"/>
  <c r="M226" i="7"/>
  <c r="AB226" i="7"/>
  <c r="AQ226" i="7"/>
  <c r="D214" i="8"/>
  <c r="AH214" i="8"/>
  <c r="S214" i="8"/>
  <c r="E202" i="8"/>
  <c r="T202" i="8"/>
  <c r="AI202" i="8"/>
  <c r="D197" i="9"/>
  <c r="S197" i="9"/>
  <c r="AH197" i="9"/>
  <c r="D174" i="7"/>
  <c r="S174" i="7"/>
  <c r="AH174" i="7"/>
  <c r="G171" i="9"/>
  <c r="V171" i="9"/>
  <c r="AK171" i="9"/>
  <c r="V167" i="10"/>
  <c r="AK167" i="10"/>
  <c r="G167" i="10"/>
  <c r="S152" i="10"/>
  <c r="AH152" i="10"/>
  <c r="D152" i="10"/>
  <c r="E154" i="9"/>
  <c r="T154" i="9"/>
  <c r="AI154" i="9"/>
  <c r="AY156" i="8"/>
  <c r="C156" i="8"/>
  <c r="AW156" i="8"/>
  <c r="W55" i="2" s="1"/>
  <c r="AX157" i="8"/>
  <c r="G157" i="8"/>
  <c r="V157" i="8"/>
  <c r="AK157" i="8"/>
  <c r="AI146" i="10"/>
  <c r="E146" i="10"/>
  <c r="T146" i="10"/>
  <c r="AY138" i="9"/>
  <c r="C138" i="9"/>
  <c r="AW138" i="9"/>
  <c r="AX139" i="9"/>
  <c r="F139" i="9"/>
  <c r="U139" i="9"/>
  <c r="AJ139" i="9"/>
  <c r="C128" i="10"/>
  <c r="AY128" i="10"/>
  <c r="AX129" i="10"/>
  <c r="AW128" i="10"/>
  <c r="F129" i="10"/>
  <c r="U129" i="10"/>
  <c r="AJ129" i="10"/>
  <c r="G68" i="7"/>
  <c r="V68" i="7"/>
  <c r="AK68" i="7"/>
  <c r="E55" i="7"/>
  <c r="AJ54" i="7"/>
  <c r="AY54" i="7"/>
  <c r="U171" i="8" l="1"/>
  <c r="AJ171" i="8"/>
  <c r="F171" i="8"/>
  <c r="AW54" i="7"/>
  <c r="X21" i="2" s="1"/>
  <c r="AX55" i="7"/>
  <c r="H228" i="10"/>
  <c r="W228" i="10"/>
  <c r="AL228" i="10"/>
  <c r="I228" i="10"/>
  <c r="X228" i="10"/>
  <c r="AM228" i="10"/>
  <c r="J228" i="10"/>
  <c r="Y228" i="10"/>
  <c r="AN228" i="10"/>
  <c r="K228" i="10"/>
  <c r="Z228" i="10"/>
  <c r="AO228" i="10"/>
  <c r="L228" i="10"/>
  <c r="AA228" i="10"/>
  <c r="AP228" i="10"/>
  <c r="M228" i="10"/>
  <c r="AB228" i="10"/>
  <c r="AQ228" i="10"/>
  <c r="N228" i="10"/>
  <c r="AC228" i="10"/>
  <c r="AR228" i="10"/>
  <c r="O228" i="10"/>
  <c r="AD228" i="10"/>
  <c r="AS228" i="10"/>
  <c r="P228" i="10"/>
  <c r="AE228" i="10"/>
  <c r="AT228" i="10"/>
  <c r="Q228" i="10"/>
  <c r="AF228" i="10"/>
  <c r="AU228" i="10"/>
  <c r="R228" i="10"/>
  <c r="AG228" i="10"/>
  <c r="AV228" i="10"/>
  <c r="H228" i="9"/>
  <c r="W228" i="9"/>
  <c r="AL228" i="9"/>
  <c r="I228" i="9"/>
  <c r="X228" i="9"/>
  <c r="AM228" i="9"/>
  <c r="J228" i="9"/>
  <c r="Y228" i="9"/>
  <c r="AN228" i="9"/>
  <c r="K228" i="9"/>
  <c r="Z228" i="9"/>
  <c r="AO228" i="9"/>
  <c r="L228" i="9"/>
  <c r="AA228" i="9"/>
  <c r="AP228" i="9"/>
  <c r="M228" i="9"/>
  <c r="AB228" i="9"/>
  <c r="AQ228" i="9"/>
  <c r="N228" i="9"/>
  <c r="AC228" i="9"/>
  <c r="AR228" i="9"/>
  <c r="O228" i="9"/>
  <c r="AD228" i="9"/>
  <c r="AS228" i="9"/>
  <c r="P228" i="9"/>
  <c r="AE228" i="9"/>
  <c r="AT228" i="9"/>
  <c r="Q228" i="9"/>
  <c r="AF228" i="9"/>
  <c r="AU228" i="9"/>
  <c r="R228" i="9"/>
  <c r="AG228" i="9"/>
  <c r="AV228" i="9"/>
  <c r="H227" i="7"/>
  <c r="W227" i="7"/>
  <c r="AL227" i="7"/>
  <c r="I227" i="7"/>
  <c r="X227" i="7"/>
  <c r="AM227" i="7"/>
  <c r="J227" i="7"/>
  <c r="Y227" i="7"/>
  <c r="AN227" i="7"/>
  <c r="K227" i="7"/>
  <c r="Z227" i="7"/>
  <c r="AO227" i="7"/>
  <c r="L227" i="7"/>
  <c r="AA227" i="7"/>
  <c r="AP227" i="7"/>
  <c r="N227" i="7"/>
  <c r="AC227" i="7"/>
  <c r="AR227" i="7"/>
  <c r="O227" i="7"/>
  <c r="AD227" i="7"/>
  <c r="AS227" i="7"/>
  <c r="P227" i="7"/>
  <c r="AE227" i="7"/>
  <c r="AT227" i="7"/>
  <c r="Q227" i="7"/>
  <c r="AF227" i="7"/>
  <c r="AU227" i="7"/>
  <c r="R227" i="7"/>
  <c r="AG227" i="7"/>
  <c r="AV227" i="7"/>
  <c r="I227" i="8"/>
  <c r="AM227" i="8"/>
  <c r="X227" i="8"/>
  <c r="Y227" i="8"/>
  <c r="J227" i="8"/>
  <c r="AN227" i="8"/>
  <c r="AA227" i="8"/>
  <c r="L227" i="8"/>
  <c r="AP227" i="8"/>
  <c r="AC227" i="8"/>
  <c r="N227" i="8"/>
  <c r="AR227" i="8"/>
  <c r="P227" i="8"/>
  <c r="AE227" i="8"/>
  <c r="AT227" i="8"/>
  <c r="AU227" i="8"/>
  <c r="Q227" i="8"/>
  <c r="AF227" i="8"/>
  <c r="W227" i="8"/>
  <c r="H227" i="8"/>
  <c r="AL227" i="8"/>
  <c r="Z227" i="8"/>
  <c r="K227" i="8"/>
  <c r="AO227" i="8"/>
  <c r="M227" i="8"/>
  <c r="AB227" i="8"/>
  <c r="AQ227" i="8"/>
  <c r="O227" i="8"/>
  <c r="AS227" i="8"/>
  <c r="AD227" i="8"/>
  <c r="AG227" i="8"/>
  <c r="AV227" i="8"/>
  <c r="R227" i="8"/>
  <c r="M227" i="7"/>
  <c r="AB227" i="7"/>
  <c r="AQ227" i="7"/>
  <c r="S215" i="8"/>
  <c r="D215" i="8"/>
  <c r="AH215" i="8"/>
  <c r="E203" i="8"/>
  <c r="T203" i="8"/>
  <c r="AI203" i="8"/>
  <c r="D198" i="9"/>
  <c r="S198" i="9"/>
  <c r="AH198" i="9"/>
  <c r="D175" i="7"/>
  <c r="S175" i="7"/>
  <c r="AH175" i="7"/>
  <c r="G172" i="9"/>
  <c r="V172" i="9"/>
  <c r="AK172" i="9"/>
  <c r="G168" i="10"/>
  <c r="V168" i="10"/>
  <c r="AK168" i="10"/>
  <c r="D153" i="10"/>
  <c r="S153" i="10"/>
  <c r="AH153" i="10"/>
  <c r="E155" i="9"/>
  <c r="T155" i="9"/>
  <c r="AI155" i="9"/>
  <c r="C157" i="8"/>
  <c r="AY157" i="8"/>
  <c r="AW157" i="8"/>
  <c r="AX158" i="8"/>
  <c r="G158" i="8"/>
  <c r="V158" i="8"/>
  <c r="AK158" i="8"/>
  <c r="T147" i="10"/>
  <c r="E147" i="10"/>
  <c r="AI147" i="10"/>
  <c r="AY139" i="9"/>
  <c r="C139" i="9"/>
  <c r="AW139" i="9"/>
  <c r="AX140" i="9"/>
  <c r="F140" i="9"/>
  <c r="U140" i="9"/>
  <c r="AJ140" i="9"/>
  <c r="AY129" i="10"/>
  <c r="C129" i="10"/>
  <c r="AX130" i="10"/>
  <c r="AW129" i="10"/>
  <c r="U130" i="10"/>
  <c r="F130" i="10"/>
  <c r="AJ130" i="10"/>
  <c r="G69" i="7"/>
  <c r="V69" i="7"/>
  <c r="AK69" i="7"/>
  <c r="F55" i="7"/>
  <c r="AJ172" i="8" l="1"/>
  <c r="F172" i="8"/>
  <c r="U172" i="8"/>
  <c r="H229" i="10"/>
  <c r="W229" i="10"/>
  <c r="AL229" i="10"/>
  <c r="I229" i="10"/>
  <c r="X229" i="10"/>
  <c r="AM229" i="10"/>
  <c r="J229" i="10"/>
  <c r="Y229" i="10"/>
  <c r="AN229" i="10"/>
  <c r="K229" i="10"/>
  <c r="Z229" i="10"/>
  <c r="AO229" i="10"/>
  <c r="L229" i="10"/>
  <c r="AA229" i="10"/>
  <c r="AP229" i="10"/>
  <c r="M229" i="10"/>
  <c r="AB229" i="10"/>
  <c r="AQ229" i="10"/>
  <c r="N229" i="10"/>
  <c r="AC229" i="10"/>
  <c r="AR229" i="10"/>
  <c r="O229" i="10"/>
  <c r="AD229" i="10"/>
  <c r="AS229" i="10"/>
  <c r="P229" i="10"/>
  <c r="AE229" i="10"/>
  <c r="AT229" i="10"/>
  <c r="Q229" i="10"/>
  <c r="AF229" i="10"/>
  <c r="AU229" i="10"/>
  <c r="R229" i="10"/>
  <c r="AG229" i="10"/>
  <c r="AV229" i="10"/>
  <c r="H229" i="9"/>
  <c r="W229" i="9"/>
  <c r="AL229" i="9"/>
  <c r="I229" i="9"/>
  <c r="X229" i="9"/>
  <c r="AM229" i="9"/>
  <c r="J229" i="9"/>
  <c r="Y229" i="9"/>
  <c r="AN229" i="9"/>
  <c r="K229" i="9"/>
  <c r="Z229" i="9"/>
  <c r="AO229" i="9"/>
  <c r="L229" i="9"/>
  <c r="AA229" i="9"/>
  <c r="AP229" i="9"/>
  <c r="M229" i="9"/>
  <c r="AB229" i="9"/>
  <c r="AQ229" i="9"/>
  <c r="N229" i="9"/>
  <c r="AC229" i="9"/>
  <c r="AR229" i="9"/>
  <c r="O229" i="9"/>
  <c r="AD229" i="9"/>
  <c r="AS229" i="9"/>
  <c r="P229" i="9"/>
  <c r="AE229" i="9"/>
  <c r="AT229" i="9"/>
  <c r="Q229" i="9"/>
  <c r="AF229" i="9"/>
  <c r="AU229" i="9"/>
  <c r="R229" i="9"/>
  <c r="AG229" i="9"/>
  <c r="AV229" i="9"/>
  <c r="H228" i="7"/>
  <c r="W228" i="7"/>
  <c r="AL228" i="7"/>
  <c r="I228" i="7"/>
  <c r="X228" i="7"/>
  <c r="AM228" i="7"/>
  <c r="J228" i="7"/>
  <c r="Y228" i="7"/>
  <c r="AN228" i="7"/>
  <c r="K228" i="7"/>
  <c r="Z228" i="7"/>
  <c r="AO228" i="7"/>
  <c r="L228" i="7"/>
  <c r="AA228" i="7"/>
  <c r="AP228" i="7"/>
  <c r="N228" i="7"/>
  <c r="AC228" i="7"/>
  <c r="AR228" i="7"/>
  <c r="O228" i="7"/>
  <c r="AD228" i="7"/>
  <c r="AS228" i="7"/>
  <c r="P228" i="7"/>
  <c r="AE228" i="7"/>
  <c r="AT228" i="7"/>
  <c r="Q228" i="7"/>
  <c r="AF228" i="7"/>
  <c r="AU228" i="7"/>
  <c r="R228" i="7"/>
  <c r="AG228" i="7"/>
  <c r="AV228" i="7"/>
  <c r="AM228" i="8"/>
  <c r="X228" i="8"/>
  <c r="I228" i="8"/>
  <c r="Y228" i="8"/>
  <c r="J228" i="8"/>
  <c r="AN228" i="8"/>
  <c r="L228" i="8"/>
  <c r="AA228" i="8"/>
  <c r="AP228" i="8"/>
  <c r="N228" i="8"/>
  <c r="AR228" i="8"/>
  <c r="AC228" i="8"/>
  <c r="AT228" i="8"/>
  <c r="P228" i="8"/>
  <c r="AE228" i="8"/>
  <c r="Q228" i="8"/>
  <c r="AF228" i="8"/>
  <c r="AU228" i="8"/>
  <c r="AL228" i="8"/>
  <c r="H228" i="8"/>
  <c r="W228" i="8"/>
  <c r="AO228" i="8"/>
  <c r="Z228" i="8"/>
  <c r="K228" i="8"/>
  <c r="AQ228" i="8"/>
  <c r="M228" i="8"/>
  <c r="AB228" i="8"/>
  <c r="AD228" i="8"/>
  <c r="AS228" i="8"/>
  <c r="O228" i="8"/>
  <c r="AG228" i="8"/>
  <c r="R228" i="8"/>
  <c r="AV228" i="8"/>
  <c r="M228" i="7"/>
  <c r="AB228" i="7"/>
  <c r="AQ228" i="7"/>
  <c r="D216" i="8"/>
  <c r="S216" i="8"/>
  <c r="AH216" i="8"/>
  <c r="E204" i="8"/>
  <c r="T204" i="8"/>
  <c r="AI204" i="8"/>
  <c r="D199" i="9"/>
  <c r="S199" i="9"/>
  <c r="AH199" i="9"/>
  <c r="D176" i="7"/>
  <c r="S176" i="7"/>
  <c r="AH176" i="7"/>
  <c r="G173" i="9"/>
  <c r="AK173" i="9"/>
  <c r="V173" i="9"/>
  <c r="G169" i="10"/>
  <c r="AK169" i="10"/>
  <c r="V169" i="10"/>
  <c r="D154" i="10"/>
  <c r="S154" i="10"/>
  <c r="AH154" i="10"/>
  <c r="E156" i="9"/>
  <c r="T156" i="9"/>
  <c r="AI156" i="9"/>
  <c r="AY158" i="8"/>
  <c r="C158" i="8"/>
  <c r="AX159" i="8"/>
  <c r="AW158" i="8"/>
  <c r="G159" i="8"/>
  <c r="V159" i="8"/>
  <c r="AK159" i="8"/>
  <c r="T148" i="10"/>
  <c r="E148" i="10"/>
  <c r="AI148" i="10"/>
  <c r="AY140" i="9"/>
  <c r="C140" i="9"/>
  <c r="AX141" i="9"/>
  <c r="AW140" i="9"/>
  <c r="F141" i="9"/>
  <c r="U141" i="9"/>
  <c r="AJ141" i="9"/>
  <c r="C130" i="10"/>
  <c r="AY130" i="10"/>
  <c r="AW130" i="10"/>
  <c r="AX131" i="10"/>
  <c r="F131" i="10"/>
  <c r="U131" i="10"/>
  <c r="AJ131" i="10"/>
  <c r="G70" i="7"/>
  <c r="V70" i="7"/>
  <c r="AK70" i="7"/>
  <c r="C55" i="7"/>
  <c r="AJ173" i="8" l="1"/>
  <c r="U173" i="8"/>
  <c r="F173" i="8"/>
  <c r="H230" i="10"/>
  <c r="W230" i="10"/>
  <c r="AL230" i="10"/>
  <c r="I230" i="10"/>
  <c r="X230" i="10"/>
  <c r="AM230" i="10"/>
  <c r="J230" i="10"/>
  <c r="Y230" i="10"/>
  <c r="AN230" i="10"/>
  <c r="K230" i="10"/>
  <c r="Z230" i="10"/>
  <c r="AO230" i="10"/>
  <c r="L230" i="10"/>
  <c r="AA230" i="10"/>
  <c r="AP230" i="10"/>
  <c r="M230" i="10"/>
  <c r="AB230" i="10"/>
  <c r="AQ230" i="10"/>
  <c r="N230" i="10"/>
  <c r="AC230" i="10"/>
  <c r="AR230" i="10"/>
  <c r="O230" i="10"/>
  <c r="AD230" i="10"/>
  <c r="AS230" i="10"/>
  <c r="P230" i="10"/>
  <c r="AE230" i="10"/>
  <c r="AT230" i="10"/>
  <c r="Q230" i="10"/>
  <c r="AF230" i="10"/>
  <c r="AU230" i="10"/>
  <c r="R230" i="10"/>
  <c r="AG230" i="10"/>
  <c r="AV230" i="10"/>
  <c r="H230" i="9"/>
  <c r="W230" i="9"/>
  <c r="AL230" i="9"/>
  <c r="I230" i="9"/>
  <c r="X230" i="9"/>
  <c r="AM230" i="9"/>
  <c r="J230" i="9"/>
  <c r="Y230" i="9"/>
  <c r="AN230" i="9"/>
  <c r="K230" i="9"/>
  <c r="Z230" i="9"/>
  <c r="AO230" i="9"/>
  <c r="L230" i="9"/>
  <c r="AA230" i="9"/>
  <c r="AP230" i="9"/>
  <c r="M230" i="9"/>
  <c r="AB230" i="9"/>
  <c r="AQ230" i="9"/>
  <c r="N230" i="9"/>
  <c r="AC230" i="9"/>
  <c r="AR230" i="9"/>
  <c r="O230" i="9"/>
  <c r="AD230" i="9"/>
  <c r="AS230" i="9"/>
  <c r="P230" i="9"/>
  <c r="AE230" i="9"/>
  <c r="AT230" i="9"/>
  <c r="Q230" i="9"/>
  <c r="AF230" i="9"/>
  <c r="AU230" i="9"/>
  <c r="R230" i="9"/>
  <c r="AG230" i="9"/>
  <c r="AV230" i="9"/>
  <c r="H229" i="7"/>
  <c r="W229" i="7"/>
  <c r="AL229" i="7"/>
  <c r="I229" i="7"/>
  <c r="X229" i="7"/>
  <c r="AM229" i="7"/>
  <c r="J229" i="7"/>
  <c r="Y229" i="7"/>
  <c r="AN229" i="7"/>
  <c r="K229" i="7"/>
  <c r="Z229" i="7"/>
  <c r="AO229" i="7"/>
  <c r="L229" i="7"/>
  <c r="AA229" i="7"/>
  <c r="AP229" i="7"/>
  <c r="N229" i="7"/>
  <c r="AC229" i="7"/>
  <c r="AR229" i="7"/>
  <c r="O229" i="7"/>
  <c r="AD229" i="7"/>
  <c r="AS229" i="7"/>
  <c r="P229" i="7"/>
  <c r="AE229" i="7"/>
  <c r="AT229" i="7"/>
  <c r="Q229" i="7"/>
  <c r="AF229" i="7"/>
  <c r="AU229" i="7"/>
  <c r="R229" i="7"/>
  <c r="AG229" i="7"/>
  <c r="AV229" i="7"/>
  <c r="I229" i="8"/>
  <c r="X229" i="8"/>
  <c r="AM229" i="8"/>
  <c r="AN229" i="8"/>
  <c r="J229" i="8"/>
  <c r="Y229" i="8"/>
  <c r="AP229" i="8"/>
  <c r="L229" i="8"/>
  <c r="AA229" i="8"/>
  <c r="N229" i="8"/>
  <c r="AC229" i="8"/>
  <c r="AR229" i="8"/>
  <c r="AT229" i="8"/>
  <c r="AE229" i="8"/>
  <c r="P229" i="8"/>
  <c r="AU229" i="8"/>
  <c r="AF229" i="8"/>
  <c r="Q229" i="8"/>
  <c r="AL229" i="8"/>
  <c r="W229" i="8"/>
  <c r="H229" i="8"/>
  <c r="AO229" i="8"/>
  <c r="Z229" i="8"/>
  <c r="K229" i="8"/>
  <c r="M229" i="8"/>
  <c r="AB229" i="8"/>
  <c r="AQ229" i="8"/>
  <c r="AS229" i="8"/>
  <c r="AD229" i="8"/>
  <c r="O229" i="8"/>
  <c r="AG229" i="8"/>
  <c r="AV229" i="8"/>
  <c r="R229" i="8"/>
  <c r="M229" i="7"/>
  <c r="AB229" i="7"/>
  <c r="AQ229" i="7"/>
  <c r="AH217" i="8"/>
  <c r="D217" i="8"/>
  <c r="S217" i="8"/>
  <c r="E205" i="8"/>
  <c r="T205" i="8"/>
  <c r="AI205" i="8"/>
  <c r="D200" i="9"/>
  <c r="S200" i="9"/>
  <c r="AH200" i="9"/>
  <c r="D177" i="7"/>
  <c r="S177" i="7"/>
  <c r="AH177" i="7"/>
  <c r="V174" i="9"/>
  <c r="G174" i="9"/>
  <c r="AK174" i="9"/>
  <c r="G170" i="10"/>
  <c r="V170" i="10"/>
  <c r="AK170" i="10"/>
  <c r="S155" i="10"/>
  <c r="AH155" i="10"/>
  <c r="D155" i="10"/>
  <c r="E157" i="9"/>
  <c r="T157" i="9"/>
  <c r="AI157" i="9"/>
  <c r="C159" i="8"/>
  <c r="AY159" i="8"/>
  <c r="AW159" i="8"/>
  <c r="W56" i="2" s="1"/>
  <c r="AX160" i="8"/>
  <c r="G160" i="8"/>
  <c r="V160" i="8"/>
  <c r="AK160" i="8"/>
  <c r="E149" i="10"/>
  <c r="AI149" i="10"/>
  <c r="T149" i="10"/>
  <c r="C141" i="9"/>
  <c r="AY141" i="9"/>
  <c r="AX142" i="9"/>
  <c r="AW141" i="9"/>
  <c r="F142" i="9"/>
  <c r="U142" i="9"/>
  <c r="AJ142" i="9"/>
  <c r="C131" i="10"/>
  <c r="AY131" i="10"/>
  <c r="AX132" i="10"/>
  <c r="AW131" i="10"/>
  <c r="F132" i="10"/>
  <c r="AJ132" i="10"/>
  <c r="U132" i="10"/>
  <c r="G71" i="7"/>
  <c r="V71" i="7"/>
  <c r="AK71" i="7"/>
  <c r="T55" i="7"/>
  <c r="U55" i="7"/>
  <c r="AJ55" i="7" s="1"/>
  <c r="AJ174" i="8" l="1"/>
  <c r="F174" i="8"/>
  <c r="U174" i="8"/>
  <c r="H231" i="10"/>
  <c r="W231" i="10"/>
  <c r="AL231" i="10"/>
  <c r="I231" i="10"/>
  <c r="X231" i="10"/>
  <c r="AM231" i="10"/>
  <c r="J231" i="10"/>
  <c r="Y231" i="10"/>
  <c r="AN231" i="10"/>
  <c r="K231" i="10"/>
  <c r="Z231" i="10"/>
  <c r="AO231" i="10"/>
  <c r="L231" i="10"/>
  <c r="AA231" i="10"/>
  <c r="AP231" i="10"/>
  <c r="M231" i="10"/>
  <c r="AB231" i="10"/>
  <c r="AQ231" i="10"/>
  <c r="N231" i="10"/>
  <c r="AC231" i="10"/>
  <c r="AR231" i="10"/>
  <c r="O231" i="10"/>
  <c r="AD231" i="10"/>
  <c r="AS231" i="10"/>
  <c r="P231" i="10"/>
  <c r="AE231" i="10"/>
  <c r="AT231" i="10"/>
  <c r="Q231" i="10"/>
  <c r="AF231" i="10"/>
  <c r="AU231" i="10"/>
  <c r="R231" i="10"/>
  <c r="AG231" i="10"/>
  <c r="AV231" i="10"/>
  <c r="H231" i="9"/>
  <c r="W231" i="9"/>
  <c r="AL231" i="9"/>
  <c r="I231" i="9"/>
  <c r="X231" i="9"/>
  <c r="AM231" i="9"/>
  <c r="J231" i="9"/>
  <c r="Y231" i="9"/>
  <c r="AN231" i="9"/>
  <c r="K231" i="9"/>
  <c r="Z231" i="9"/>
  <c r="AO231" i="9"/>
  <c r="L231" i="9"/>
  <c r="AA231" i="9"/>
  <c r="AP231" i="9"/>
  <c r="M231" i="9"/>
  <c r="AB231" i="9"/>
  <c r="AQ231" i="9"/>
  <c r="N231" i="9"/>
  <c r="AC231" i="9"/>
  <c r="AR231" i="9"/>
  <c r="O231" i="9"/>
  <c r="AD231" i="9"/>
  <c r="AS231" i="9"/>
  <c r="P231" i="9"/>
  <c r="AE231" i="9"/>
  <c r="AT231" i="9"/>
  <c r="Q231" i="9"/>
  <c r="AF231" i="9"/>
  <c r="AU231" i="9"/>
  <c r="R231" i="9"/>
  <c r="AG231" i="9"/>
  <c r="AV231" i="9"/>
  <c r="H230" i="7"/>
  <c r="W230" i="7"/>
  <c r="AL230" i="7"/>
  <c r="I230" i="7"/>
  <c r="X230" i="7"/>
  <c r="AM230" i="7"/>
  <c r="J230" i="7"/>
  <c r="Y230" i="7"/>
  <c r="AN230" i="7"/>
  <c r="K230" i="7"/>
  <c r="Z230" i="7"/>
  <c r="AO230" i="7"/>
  <c r="L230" i="7"/>
  <c r="AA230" i="7"/>
  <c r="AP230" i="7"/>
  <c r="N230" i="7"/>
  <c r="AC230" i="7"/>
  <c r="AR230" i="7"/>
  <c r="O230" i="7"/>
  <c r="AD230" i="7"/>
  <c r="AS230" i="7"/>
  <c r="P230" i="7"/>
  <c r="AE230" i="7"/>
  <c r="AT230" i="7"/>
  <c r="Q230" i="7"/>
  <c r="AF230" i="7"/>
  <c r="AU230" i="7"/>
  <c r="R230" i="7"/>
  <c r="AG230" i="7"/>
  <c r="AV230" i="7"/>
  <c r="I230" i="8"/>
  <c r="X230" i="8"/>
  <c r="AM230" i="8"/>
  <c r="J230" i="8"/>
  <c r="Y230" i="8"/>
  <c r="AN230" i="8"/>
  <c r="AP230" i="8"/>
  <c r="L230" i="8"/>
  <c r="AA230" i="8"/>
  <c r="N230" i="8"/>
  <c r="AR230" i="8"/>
  <c r="AC230" i="8"/>
  <c r="P230" i="8"/>
  <c r="AE230" i="8"/>
  <c r="AT230" i="8"/>
  <c r="Q230" i="8"/>
  <c r="AF230" i="8"/>
  <c r="AU230" i="8"/>
  <c r="H230" i="8"/>
  <c r="W230" i="8"/>
  <c r="AL230" i="8"/>
  <c r="Z230" i="8"/>
  <c r="AO230" i="8"/>
  <c r="K230" i="8"/>
  <c r="AB230" i="8"/>
  <c r="M230" i="8"/>
  <c r="AQ230" i="8"/>
  <c r="O230" i="8"/>
  <c r="AD230" i="8"/>
  <c r="AS230" i="8"/>
  <c r="R230" i="8"/>
  <c r="AV230" i="8"/>
  <c r="AG230" i="8"/>
  <c r="M230" i="7"/>
  <c r="AB230" i="7"/>
  <c r="AQ230" i="7"/>
  <c r="S218" i="8"/>
  <c r="AH218" i="8"/>
  <c r="D218" i="8"/>
  <c r="E206" i="8"/>
  <c r="T206" i="8"/>
  <c r="AI206" i="8"/>
  <c r="D201" i="9"/>
  <c r="S201" i="9"/>
  <c r="AH201" i="9"/>
  <c r="D178" i="7"/>
  <c r="S178" i="7"/>
  <c r="AH178" i="7"/>
  <c r="G175" i="9"/>
  <c r="AK175" i="9"/>
  <c r="V175" i="9"/>
  <c r="G171" i="10"/>
  <c r="V171" i="10"/>
  <c r="AK171" i="10"/>
  <c r="D156" i="10"/>
  <c r="AH156" i="10"/>
  <c r="S156" i="10"/>
  <c r="E158" i="9"/>
  <c r="T158" i="9"/>
  <c r="AI158" i="9"/>
  <c r="C160" i="8"/>
  <c r="AY160" i="8"/>
  <c r="AX161" i="8"/>
  <c r="AW160" i="8"/>
  <c r="G161" i="8"/>
  <c r="V161" i="8"/>
  <c r="AK161" i="8"/>
  <c r="E150" i="10"/>
  <c r="T150" i="10"/>
  <c r="AI150" i="10"/>
  <c r="AY142" i="9"/>
  <c r="C142" i="9"/>
  <c r="AW142" i="9"/>
  <c r="AX143" i="9"/>
  <c r="F143" i="9"/>
  <c r="U143" i="9"/>
  <c r="AJ143" i="9"/>
  <c r="AY132" i="10"/>
  <c r="C132" i="10"/>
  <c r="AX133" i="10"/>
  <c r="AW132" i="10"/>
  <c r="F133" i="10"/>
  <c r="AJ133" i="10"/>
  <c r="U133" i="10"/>
  <c r="G72" i="7"/>
  <c r="V72" i="7"/>
  <c r="AK72" i="7"/>
  <c r="AY55" i="7"/>
  <c r="AI55" i="7"/>
  <c r="F56" i="7"/>
  <c r="AJ175" i="8" l="1"/>
  <c r="U175" i="8"/>
  <c r="F175" i="8"/>
  <c r="H232" i="10"/>
  <c r="W232" i="10"/>
  <c r="AL232" i="10"/>
  <c r="I232" i="10"/>
  <c r="X232" i="10"/>
  <c r="AM232" i="10"/>
  <c r="J232" i="10"/>
  <c r="Y232" i="10"/>
  <c r="AN232" i="10"/>
  <c r="K232" i="10"/>
  <c r="Z232" i="10"/>
  <c r="AO232" i="10"/>
  <c r="L232" i="10"/>
  <c r="AA232" i="10"/>
  <c r="AP232" i="10"/>
  <c r="M232" i="10"/>
  <c r="AB232" i="10"/>
  <c r="AQ232" i="10"/>
  <c r="N232" i="10"/>
  <c r="AC232" i="10"/>
  <c r="AR232" i="10"/>
  <c r="O232" i="10"/>
  <c r="AD232" i="10"/>
  <c r="AS232" i="10"/>
  <c r="P232" i="10"/>
  <c r="AE232" i="10"/>
  <c r="AT232" i="10"/>
  <c r="Q232" i="10"/>
  <c r="AF232" i="10"/>
  <c r="AU232" i="10"/>
  <c r="R232" i="10"/>
  <c r="AG232" i="10"/>
  <c r="AV232" i="10"/>
  <c r="H232" i="9"/>
  <c r="W232" i="9"/>
  <c r="AL232" i="9"/>
  <c r="I232" i="9"/>
  <c r="X232" i="9"/>
  <c r="AM232" i="9"/>
  <c r="J232" i="9"/>
  <c r="Y232" i="9"/>
  <c r="AN232" i="9"/>
  <c r="K232" i="9"/>
  <c r="Z232" i="9"/>
  <c r="AO232" i="9"/>
  <c r="L232" i="9"/>
  <c r="AA232" i="9"/>
  <c r="AP232" i="9"/>
  <c r="M232" i="9"/>
  <c r="AB232" i="9"/>
  <c r="AQ232" i="9"/>
  <c r="N232" i="9"/>
  <c r="AC232" i="9"/>
  <c r="AR232" i="9"/>
  <c r="O232" i="9"/>
  <c r="AD232" i="9"/>
  <c r="AS232" i="9"/>
  <c r="P232" i="9"/>
  <c r="AE232" i="9"/>
  <c r="AT232" i="9"/>
  <c r="Q232" i="9"/>
  <c r="AF232" i="9"/>
  <c r="AU232" i="9"/>
  <c r="R232" i="9"/>
  <c r="AG232" i="9"/>
  <c r="AV232" i="9"/>
  <c r="H231" i="7"/>
  <c r="W231" i="7"/>
  <c r="AL231" i="7"/>
  <c r="I231" i="7"/>
  <c r="X231" i="7"/>
  <c r="AM231" i="7"/>
  <c r="J231" i="7"/>
  <c r="Y231" i="7"/>
  <c r="AN231" i="7"/>
  <c r="K231" i="7"/>
  <c r="Z231" i="7"/>
  <c r="AO231" i="7"/>
  <c r="L231" i="7"/>
  <c r="AA231" i="7"/>
  <c r="AP231" i="7"/>
  <c r="N231" i="7"/>
  <c r="AC231" i="7"/>
  <c r="AR231" i="7"/>
  <c r="O231" i="7"/>
  <c r="AD231" i="7"/>
  <c r="AS231" i="7"/>
  <c r="P231" i="7"/>
  <c r="AE231" i="7"/>
  <c r="AT231" i="7"/>
  <c r="Q231" i="7"/>
  <c r="AF231" i="7"/>
  <c r="AU231" i="7"/>
  <c r="R231" i="7"/>
  <c r="AG231" i="7"/>
  <c r="AV231" i="7"/>
  <c r="I231" i="8"/>
  <c r="X231" i="8"/>
  <c r="AM231" i="8"/>
  <c r="Y231" i="8"/>
  <c r="J231" i="8"/>
  <c r="AN231" i="8"/>
  <c r="L231" i="8"/>
  <c r="AP231" i="8"/>
  <c r="AA231" i="8"/>
  <c r="AC231" i="8"/>
  <c r="N231" i="8"/>
  <c r="AR231" i="8"/>
  <c r="AE231" i="8"/>
  <c r="AT231" i="8"/>
  <c r="P231" i="8"/>
  <c r="AF231" i="8"/>
  <c r="AU231" i="8"/>
  <c r="Q231" i="8"/>
  <c r="AL231" i="8"/>
  <c r="H231" i="8"/>
  <c r="W231" i="8"/>
  <c r="AO231" i="8"/>
  <c r="Z231" i="8"/>
  <c r="K231" i="8"/>
  <c r="M231" i="8"/>
  <c r="AQ231" i="8"/>
  <c r="AB231" i="8"/>
  <c r="AD231" i="8"/>
  <c r="O231" i="8"/>
  <c r="AS231" i="8"/>
  <c r="AV231" i="8"/>
  <c r="AG231" i="8"/>
  <c r="R231" i="8"/>
  <c r="M231" i="7"/>
  <c r="AB231" i="7"/>
  <c r="AQ231" i="7"/>
  <c r="D219" i="8"/>
  <c r="AH219" i="8"/>
  <c r="S219" i="8"/>
  <c r="E207" i="8"/>
  <c r="T207" i="8"/>
  <c r="AI207" i="8"/>
  <c r="D202" i="9"/>
  <c r="S202" i="9"/>
  <c r="AH202" i="9"/>
  <c r="D179" i="7"/>
  <c r="S179" i="7"/>
  <c r="AH179" i="7"/>
  <c r="V176" i="9"/>
  <c r="G176" i="9"/>
  <c r="AK176" i="9"/>
  <c r="G172" i="10"/>
  <c r="AK172" i="10"/>
  <c r="V172" i="10"/>
  <c r="D157" i="10"/>
  <c r="AH157" i="10"/>
  <c r="S157" i="10"/>
  <c r="E159" i="9"/>
  <c r="T159" i="9"/>
  <c r="AI159" i="9"/>
  <c r="C161" i="8"/>
  <c r="AY161" i="8"/>
  <c r="AX162" i="8"/>
  <c r="AW161" i="8"/>
  <c r="G162" i="8"/>
  <c r="V162" i="8"/>
  <c r="AK162" i="8"/>
  <c r="T151" i="10"/>
  <c r="E151" i="10"/>
  <c r="AI151" i="10"/>
  <c r="C143" i="9"/>
  <c r="AY143" i="9"/>
  <c r="AX144" i="9"/>
  <c r="AW143" i="9"/>
  <c r="F144" i="9"/>
  <c r="U144" i="9"/>
  <c r="AJ144" i="9"/>
  <c r="AY133" i="10"/>
  <c r="C133" i="10"/>
  <c r="AW133" i="10"/>
  <c r="AX134" i="10"/>
  <c r="AJ134" i="10"/>
  <c r="F134" i="10"/>
  <c r="U134" i="10"/>
  <c r="G73" i="7"/>
  <c r="V73" i="7"/>
  <c r="AK73" i="7"/>
  <c r="E56" i="7"/>
  <c r="AW55" i="7"/>
  <c r="AX56" i="7"/>
  <c r="AJ176" i="8" l="1"/>
  <c r="F176" i="8"/>
  <c r="U176" i="8"/>
  <c r="H233" i="10"/>
  <c r="W233" i="10"/>
  <c r="AL233" i="10"/>
  <c r="I233" i="10"/>
  <c r="X233" i="10"/>
  <c r="AM233" i="10"/>
  <c r="J233" i="10"/>
  <c r="Y233" i="10"/>
  <c r="AN233" i="10"/>
  <c r="K233" i="10"/>
  <c r="Z233" i="10"/>
  <c r="AO233" i="10"/>
  <c r="L233" i="10"/>
  <c r="AA233" i="10"/>
  <c r="AP233" i="10"/>
  <c r="M233" i="10"/>
  <c r="AB233" i="10"/>
  <c r="AQ233" i="10"/>
  <c r="N233" i="10"/>
  <c r="AC233" i="10"/>
  <c r="AR233" i="10"/>
  <c r="O233" i="10"/>
  <c r="AD233" i="10"/>
  <c r="AS233" i="10"/>
  <c r="P233" i="10"/>
  <c r="AE233" i="10"/>
  <c r="AT233" i="10"/>
  <c r="Q233" i="10"/>
  <c r="AF233" i="10"/>
  <c r="AU233" i="10"/>
  <c r="R233" i="10"/>
  <c r="AG233" i="10"/>
  <c r="AV233" i="10"/>
  <c r="H233" i="9"/>
  <c r="W233" i="9"/>
  <c r="AL233" i="9"/>
  <c r="I233" i="9"/>
  <c r="X233" i="9"/>
  <c r="AM233" i="9"/>
  <c r="J233" i="9"/>
  <c r="Y233" i="9"/>
  <c r="AN233" i="9"/>
  <c r="K233" i="9"/>
  <c r="Z233" i="9"/>
  <c r="AO233" i="9"/>
  <c r="L233" i="9"/>
  <c r="AA233" i="9"/>
  <c r="AP233" i="9"/>
  <c r="M233" i="9"/>
  <c r="AB233" i="9"/>
  <c r="AQ233" i="9"/>
  <c r="N233" i="9"/>
  <c r="AC233" i="9"/>
  <c r="AR233" i="9"/>
  <c r="O233" i="9"/>
  <c r="AD233" i="9"/>
  <c r="AS233" i="9"/>
  <c r="P233" i="9"/>
  <c r="AE233" i="9"/>
  <c r="AT233" i="9"/>
  <c r="Q233" i="9"/>
  <c r="AF233" i="9"/>
  <c r="AU233" i="9"/>
  <c r="R233" i="9"/>
  <c r="AG233" i="9"/>
  <c r="AV233" i="9"/>
  <c r="H232" i="7"/>
  <c r="W232" i="7"/>
  <c r="AL232" i="7"/>
  <c r="I232" i="7"/>
  <c r="X232" i="7"/>
  <c r="AM232" i="7"/>
  <c r="J232" i="7"/>
  <c r="Y232" i="7"/>
  <c r="AN232" i="7"/>
  <c r="K232" i="7"/>
  <c r="Z232" i="7"/>
  <c r="AO232" i="7"/>
  <c r="L232" i="7"/>
  <c r="AA232" i="7"/>
  <c r="AP232" i="7"/>
  <c r="N232" i="7"/>
  <c r="AC232" i="7"/>
  <c r="AR232" i="7"/>
  <c r="O232" i="7"/>
  <c r="AD232" i="7"/>
  <c r="AS232" i="7"/>
  <c r="P232" i="7"/>
  <c r="AE232" i="7"/>
  <c r="AT232" i="7"/>
  <c r="Q232" i="7"/>
  <c r="AF232" i="7"/>
  <c r="AU232" i="7"/>
  <c r="R232" i="7"/>
  <c r="AG232" i="7"/>
  <c r="AV232" i="7"/>
  <c r="X232" i="8"/>
  <c r="AM232" i="8"/>
  <c r="I232" i="8"/>
  <c r="J232" i="8"/>
  <c r="Y232" i="8"/>
  <c r="AN232" i="8"/>
  <c r="L232" i="8"/>
  <c r="AA232" i="8"/>
  <c r="AP232" i="8"/>
  <c r="N232" i="8"/>
  <c r="AC232" i="8"/>
  <c r="AR232" i="8"/>
  <c r="P232" i="8"/>
  <c r="AE232" i="8"/>
  <c r="AT232" i="8"/>
  <c r="Q232" i="8"/>
  <c r="AF232" i="8"/>
  <c r="AU232" i="8"/>
  <c r="H232" i="8"/>
  <c r="W232" i="8"/>
  <c r="AL232" i="8"/>
  <c r="K232" i="8"/>
  <c r="Z232" i="8"/>
  <c r="AO232" i="8"/>
  <c r="M232" i="8"/>
  <c r="AB232" i="8"/>
  <c r="AQ232" i="8"/>
  <c r="AD232" i="8"/>
  <c r="AS232" i="8"/>
  <c r="O232" i="8"/>
  <c r="R232" i="8"/>
  <c r="AG232" i="8"/>
  <c r="AV232" i="8"/>
  <c r="M232" i="7"/>
  <c r="AB232" i="7"/>
  <c r="AQ232" i="7"/>
  <c r="D220" i="8"/>
  <c r="S220" i="8"/>
  <c r="AH220" i="8"/>
  <c r="E208" i="8"/>
  <c r="T208" i="8"/>
  <c r="AI208" i="8"/>
  <c r="D203" i="9"/>
  <c r="S203" i="9"/>
  <c r="AH203" i="9"/>
  <c r="D180" i="7"/>
  <c r="S180" i="7"/>
  <c r="AH180" i="7"/>
  <c r="G177" i="9"/>
  <c r="AK177" i="9"/>
  <c r="V177" i="9"/>
  <c r="V173" i="10"/>
  <c r="AK173" i="10"/>
  <c r="G173" i="10"/>
  <c r="S158" i="10"/>
  <c r="D158" i="10"/>
  <c r="AH158" i="10"/>
  <c r="E160" i="9"/>
  <c r="T160" i="9"/>
  <c r="AI160" i="9"/>
  <c r="AY162" i="8"/>
  <c r="C162" i="8"/>
  <c r="AX163" i="8"/>
  <c r="AW162" i="8"/>
  <c r="W57" i="2" s="1"/>
  <c r="G163" i="8"/>
  <c r="V163" i="8"/>
  <c r="AK163" i="8"/>
  <c r="T152" i="10"/>
  <c r="AI152" i="10"/>
  <c r="E152" i="10"/>
  <c r="C144" i="9"/>
  <c r="AY144" i="9"/>
  <c r="AX145" i="9"/>
  <c r="AW144" i="9"/>
  <c r="F145" i="9"/>
  <c r="U145" i="9"/>
  <c r="AJ145" i="9"/>
  <c r="AW134" i="10"/>
  <c r="AX135" i="10"/>
  <c r="AJ135" i="10"/>
  <c r="F135" i="10"/>
  <c r="U135" i="10"/>
  <c r="C134" i="10"/>
  <c r="AY134" i="10"/>
  <c r="G74" i="7"/>
  <c r="V74" i="7"/>
  <c r="AK74" i="7"/>
  <c r="C56" i="7"/>
  <c r="T56" i="7"/>
  <c r="AJ177" i="8" l="1"/>
  <c r="U177" i="8"/>
  <c r="F177" i="8"/>
  <c r="H234" i="10"/>
  <c r="W234" i="10"/>
  <c r="AL234" i="10"/>
  <c r="I234" i="10"/>
  <c r="X234" i="10"/>
  <c r="AM234" i="10"/>
  <c r="J234" i="10"/>
  <c r="Y234" i="10"/>
  <c r="AN234" i="10"/>
  <c r="K234" i="10"/>
  <c r="Z234" i="10"/>
  <c r="AO234" i="10"/>
  <c r="L234" i="10"/>
  <c r="AA234" i="10"/>
  <c r="AP234" i="10"/>
  <c r="M234" i="10"/>
  <c r="AB234" i="10"/>
  <c r="AQ234" i="10"/>
  <c r="N234" i="10"/>
  <c r="AC234" i="10"/>
  <c r="AR234" i="10"/>
  <c r="O234" i="10"/>
  <c r="AD234" i="10"/>
  <c r="AS234" i="10"/>
  <c r="P234" i="10"/>
  <c r="AE234" i="10"/>
  <c r="AT234" i="10"/>
  <c r="Q234" i="10"/>
  <c r="AF234" i="10"/>
  <c r="AU234" i="10"/>
  <c r="R234" i="10"/>
  <c r="AG234" i="10"/>
  <c r="AV234" i="10"/>
  <c r="H234" i="9"/>
  <c r="W234" i="9"/>
  <c r="AL234" i="9"/>
  <c r="I234" i="9"/>
  <c r="X234" i="9"/>
  <c r="AM234" i="9"/>
  <c r="J234" i="9"/>
  <c r="Y234" i="9"/>
  <c r="AN234" i="9"/>
  <c r="K234" i="9"/>
  <c r="Z234" i="9"/>
  <c r="AO234" i="9"/>
  <c r="L234" i="9"/>
  <c r="AA234" i="9"/>
  <c r="AP234" i="9"/>
  <c r="M234" i="9"/>
  <c r="AB234" i="9"/>
  <c r="AQ234" i="9"/>
  <c r="N234" i="9"/>
  <c r="AC234" i="9"/>
  <c r="AR234" i="9"/>
  <c r="O234" i="9"/>
  <c r="AD234" i="9"/>
  <c r="AS234" i="9"/>
  <c r="P234" i="9"/>
  <c r="AE234" i="9"/>
  <c r="AT234" i="9"/>
  <c r="Q234" i="9"/>
  <c r="AF234" i="9"/>
  <c r="AU234" i="9"/>
  <c r="R234" i="9"/>
  <c r="AG234" i="9"/>
  <c r="AV234" i="9"/>
  <c r="H233" i="7"/>
  <c r="W233" i="7"/>
  <c r="AL233" i="7"/>
  <c r="I233" i="7"/>
  <c r="X233" i="7"/>
  <c r="AM233" i="7"/>
  <c r="J233" i="7"/>
  <c r="Y233" i="7"/>
  <c r="AN233" i="7"/>
  <c r="K233" i="7"/>
  <c r="Z233" i="7"/>
  <c r="AO233" i="7"/>
  <c r="L233" i="7"/>
  <c r="AA233" i="7"/>
  <c r="AP233" i="7"/>
  <c r="N233" i="7"/>
  <c r="AC233" i="7"/>
  <c r="AR233" i="7"/>
  <c r="O233" i="7"/>
  <c r="AD233" i="7"/>
  <c r="AS233" i="7"/>
  <c r="P233" i="7"/>
  <c r="AE233" i="7"/>
  <c r="AT233" i="7"/>
  <c r="Q233" i="7"/>
  <c r="AF233" i="7"/>
  <c r="AU233" i="7"/>
  <c r="R233" i="7"/>
  <c r="AG233" i="7"/>
  <c r="AV233" i="7"/>
  <c r="I233" i="8"/>
  <c r="X233" i="8"/>
  <c r="AM233" i="8"/>
  <c r="J233" i="8"/>
  <c r="Y233" i="8"/>
  <c r="AN233" i="8"/>
  <c r="L233" i="8"/>
  <c r="AA233" i="8"/>
  <c r="AP233" i="8"/>
  <c r="N233" i="8"/>
  <c r="AC233" i="8"/>
  <c r="AR233" i="8"/>
  <c r="P233" i="8"/>
  <c r="AE233" i="8"/>
  <c r="AT233" i="8"/>
  <c r="Q233" i="8"/>
  <c r="AF233" i="8"/>
  <c r="AU233" i="8"/>
  <c r="H233" i="8"/>
  <c r="W233" i="8"/>
  <c r="AL233" i="8"/>
  <c r="K233" i="8"/>
  <c r="Z233" i="8"/>
  <c r="AO233" i="8"/>
  <c r="M233" i="8"/>
  <c r="AB233" i="8"/>
  <c r="AQ233" i="8"/>
  <c r="O233" i="8"/>
  <c r="AD233" i="8"/>
  <c r="AS233" i="8"/>
  <c r="R233" i="8"/>
  <c r="AG233" i="8"/>
  <c r="AV233" i="8"/>
  <c r="M233" i="7"/>
  <c r="AB233" i="7"/>
  <c r="AQ233" i="7"/>
  <c r="S221" i="8"/>
  <c r="AH221" i="8"/>
  <c r="D221" i="8"/>
  <c r="AI209" i="8"/>
  <c r="E209" i="8"/>
  <c r="T209" i="8"/>
  <c r="D204" i="9"/>
  <c r="S204" i="9"/>
  <c r="AH204" i="9"/>
  <c r="D181" i="7"/>
  <c r="S181" i="7"/>
  <c r="AH181" i="7"/>
  <c r="AK178" i="9"/>
  <c r="G178" i="9"/>
  <c r="V178" i="9"/>
  <c r="V174" i="10"/>
  <c r="AK174" i="10"/>
  <c r="G174" i="10"/>
  <c r="D159" i="10"/>
  <c r="S159" i="10"/>
  <c r="AH159" i="10"/>
  <c r="E161" i="9"/>
  <c r="T161" i="9"/>
  <c r="AI161" i="9"/>
  <c r="AY163" i="8"/>
  <c r="C163" i="8"/>
  <c r="AX164" i="8"/>
  <c r="AW163" i="8"/>
  <c r="G164" i="8"/>
  <c r="V164" i="8"/>
  <c r="AK164" i="8"/>
  <c r="E153" i="10"/>
  <c r="T153" i="10"/>
  <c r="AI153" i="10"/>
  <c r="C145" i="9"/>
  <c r="AY145" i="9"/>
  <c r="AW145" i="9"/>
  <c r="AX146" i="9"/>
  <c r="F146" i="9"/>
  <c r="U146" i="9"/>
  <c r="AJ146" i="9"/>
  <c r="AX136" i="10"/>
  <c r="AW135" i="10"/>
  <c r="F136" i="10"/>
  <c r="U136" i="10"/>
  <c r="AJ136" i="10"/>
  <c r="C135" i="10"/>
  <c r="AY135" i="10"/>
  <c r="G75" i="7"/>
  <c r="V75" i="7"/>
  <c r="AK75" i="7"/>
  <c r="U56" i="7"/>
  <c r="AI56" i="7"/>
  <c r="AJ178" i="8" l="1"/>
  <c r="U178" i="8"/>
  <c r="F178" i="8"/>
  <c r="H235" i="10"/>
  <c r="W235" i="10"/>
  <c r="AL235" i="10"/>
  <c r="I235" i="10"/>
  <c r="X235" i="10"/>
  <c r="AM235" i="10"/>
  <c r="J235" i="10"/>
  <c r="Y235" i="10"/>
  <c r="AN235" i="10"/>
  <c r="K235" i="10"/>
  <c r="Z235" i="10"/>
  <c r="AO235" i="10"/>
  <c r="L235" i="10"/>
  <c r="AA235" i="10"/>
  <c r="AP235" i="10"/>
  <c r="M235" i="10"/>
  <c r="AB235" i="10"/>
  <c r="AQ235" i="10"/>
  <c r="N235" i="10"/>
  <c r="AC235" i="10"/>
  <c r="AR235" i="10"/>
  <c r="O235" i="10"/>
  <c r="AD235" i="10"/>
  <c r="AS235" i="10"/>
  <c r="P235" i="10"/>
  <c r="AE235" i="10"/>
  <c r="AT235" i="10"/>
  <c r="Q235" i="10"/>
  <c r="AF235" i="10"/>
  <c r="AU235" i="10"/>
  <c r="R235" i="10"/>
  <c r="AG235" i="10"/>
  <c r="AV235" i="10"/>
  <c r="H235" i="9"/>
  <c r="W235" i="9"/>
  <c r="AL235" i="9"/>
  <c r="I235" i="9"/>
  <c r="X235" i="9"/>
  <c r="AM235" i="9"/>
  <c r="J235" i="9"/>
  <c r="Y235" i="9"/>
  <c r="AN235" i="9"/>
  <c r="K235" i="9"/>
  <c r="Z235" i="9"/>
  <c r="AO235" i="9"/>
  <c r="L235" i="9"/>
  <c r="AA235" i="9"/>
  <c r="AP235" i="9"/>
  <c r="M235" i="9"/>
  <c r="AB235" i="9"/>
  <c r="AQ235" i="9"/>
  <c r="N235" i="9"/>
  <c r="AC235" i="9"/>
  <c r="AR235" i="9"/>
  <c r="O235" i="9"/>
  <c r="AD235" i="9"/>
  <c r="AS235" i="9"/>
  <c r="P235" i="9"/>
  <c r="AE235" i="9"/>
  <c r="AT235" i="9"/>
  <c r="Q235" i="9"/>
  <c r="AF235" i="9"/>
  <c r="AU235" i="9"/>
  <c r="R235" i="9"/>
  <c r="AG235" i="9"/>
  <c r="AV235" i="9"/>
  <c r="H234" i="7"/>
  <c r="W234" i="7"/>
  <c r="AL234" i="7"/>
  <c r="I234" i="7"/>
  <c r="X234" i="7"/>
  <c r="AM234" i="7"/>
  <c r="J234" i="7"/>
  <c r="Y234" i="7"/>
  <c r="AN234" i="7"/>
  <c r="K234" i="7"/>
  <c r="Z234" i="7"/>
  <c r="AO234" i="7"/>
  <c r="L234" i="7"/>
  <c r="AA234" i="7"/>
  <c r="AP234" i="7"/>
  <c r="N234" i="7"/>
  <c r="AC234" i="7"/>
  <c r="AR234" i="7"/>
  <c r="O234" i="7"/>
  <c r="AD234" i="7"/>
  <c r="AS234" i="7"/>
  <c r="P234" i="7"/>
  <c r="AE234" i="7"/>
  <c r="AT234" i="7"/>
  <c r="Q234" i="7"/>
  <c r="AF234" i="7"/>
  <c r="AU234" i="7"/>
  <c r="R234" i="7"/>
  <c r="AG234" i="7"/>
  <c r="AV234" i="7"/>
  <c r="I234" i="8"/>
  <c r="X234" i="8"/>
  <c r="AM234" i="8"/>
  <c r="J234" i="8"/>
  <c r="Y234" i="8"/>
  <c r="AN234" i="8"/>
  <c r="L234" i="8"/>
  <c r="AA234" i="8"/>
  <c r="AP234" i="8"/>
  <c r="N234" i="8"/>
  <c r="AC234" i="8"/>
  <c r="AR234" i="8"/>
  <c r="P234" i="8"/>
  <c r="AE234" i="8"/>
  <c r="AT234" i="8"/>
  <c r="Q234" i="8"/>
  <c r="AF234" i="8"/>
  <c r="AU234" i="8"/>
  <c r="H234" i="8"/>
  <c r="W234" i="8"/>
  <c r="AL234" i="8"/>
  <c r="K234" i="8"/>
  <c r="Z234" i="8"/>
  <c r="AO234" i="8"/>
  <c r="M234" i="8"/>
  <c r="AB234" i="8"/>
  <c r="AQ234" i="8"/>
  <c r="O234" i="8"/>
  <c r="AD234" i="8"/>
  <c r="AS234" i="8"/>
  <c r="R234" i="8"/>
  <c r="AG234" i="8"/>
  <c r="AV234" i="8"/>
  <c r="M234" i="7"/>
  <c r="AB234" i="7"/>
  <c r="AQ234" i="7"/>
  <c r="S222" i="8"/>
  <c r="AH222" i="8"/>
  <c r="D222" i="8"/>
  <c r="E210" i="8"/>
  <c r="T210" i="8"/>
  <c r="AI210" i="8"/>
  <c r="D205" i="9"/>
  <c r="S205" i="9"/>
  <c r="AH205" i="9"/>
  <c r="D182" i="7"/>
  <c r="S182" i="7"/>
  <c r="AH182" i="7"/>
  <c r="G179" i="9"/>
  <c r="V179" i="9"/>
  <c r="AK179" i="9"/>
  <c r="G175" i="10"/>
  <c r="V175" i="10"/>
  <c r="AK175" i="10"/>
  <c r="S160" i="10"/>
  <c r="D160" i="10"/>
  <c r="AH160" i="10"/>
  <c r="E162" i="9"/>
  <c r="T162" i="9"/>
  <c r="AI162" i="9"/>
  <c r="C164" i="8"/>
  <c r="AY164" i="8"/>
  <c r="AX165" i="8"/>
  <c r="AW164" i="8"/>
  <c r="G165" i="8"/>
  <c r="V165" i="8"/>
  <c r="AK165" i="8"/>
  <c r="T154" i="10"/>
  <c r="AI154" i="10"/>
  <c r="E154" i="10"/>
  <c r="AY146" i="9"/>
  <c r="C146" i="9"/>
  <c r="AW146" i="9"/>
  <c r="AX147" i="9"/>
  <c r="F147" i="9"/>
  <c r="U147" i="9"/>
  <c r="AJ147" i="9"/>
  <c r="C136" i="10"/>
  <c r="AY136" i="10"/>
  <c r="AX137" i="10"/>
  <c r="AW136" i="10"/>
  <c r="F137" i="10"/>
  <c r="U137" i="10"/>
  <c r="AJ137" i="10"/>
  <c r="G76" i="7"/>
  <c r="V76" i="7"/>
  <c r="AK76" i="7"/>
  <c r="E57" i="7"/>
  <c r="AJ56" i="7"/>
  <c r="AY56" i="7"/>
  <c r="AJ179" i="8" l="1"/>
  <c r="U179" i="8"/>
  <c r="F179" i="8"/>
  <c r="AX57" i="7"/>
  <c r="AW56" i="7"/>
  <c r="H236" i="10"/>
  <c r="W236" i="10"/>
  <c r="AL236" i="10"/>
  <c r="I236" i="10"/>
  <c r="X236" i="10"/>
  <c r="AM236" i="10"/>
  <c r="J236" i="10"/>
  <c r="Y236" i="10"/>
  <c r="AN236" i="10"/>
  <c r="K236" i="10"/>
  <c r="Z236" i="10"/>
  <c r="AO236" i="10"/>
  <c r="L236" i="10"/>
  <c r="AA236" i="10"/>
  <c r="AP236" i="10"/>
  <c r="M236" i="10"/>
  <c r="AB236" i="10"/>
  <c r="AQ236" i="10"/>
  <c r="N236" i="10"/>
  <c r="AC236" i="10"/>
  <c r="AR236" i="10"/>
  <c r="O236" i="10"/>
  <c r="AD236" i="10"/>
  <c r="AS236" i="10"/>
  <c r="P236" i="10"/>
  <c r="AE236" i="10"/>
  <c r="AT236" i="10"/>
  <c r="Q236" i="10"/>
  <c r="AF236" i="10"/>
  <c r="AU236" i="10"/>
  <c r="R236" i="10"/>
  <c r="AG236" i="10"/>
  <c r="AV236" i="10"/>
  <c r="H236" i="9"/>
  <c r="W236" i="9"/>
  <c r="AL236" i="9"/>
  <c r="I236" i="9"/>
  <c r="X236" i="9"/>
  <c r="AM236" i="9"/>
  <c r="J236" i="9"/>
  <c r="Y236" i="9"/>
  <c r="AN236" i="9"/>
  <c r="K236" i="9"/>
  <c r="Z236" i="9"/>
  <c r="AO236" i="9"/>
  <c r="L236" i="9"/>
  <c r="AA236" i="9"/>
  <c r="AP236" i="9"/>
  <c r="M236" i="9"/>
  <c r="AB236" i="9"/>
  <c r="AQ236" i="9"/>
  <c r="N236" i="9"/>
  <c r="AC236" i="9"/>
  <c r="AR236" i="9"/>
  <c r="O236" i="9"/>
  <c r="AD236" i="9"/>
  <c r="AS236" i="9"/>
  <c r="P236" i="9"/>
  <c r="AE236" i="9"/>
  <c r="AT236" i="9"/>
  <c r="Q236" i="9"/>
  <c r="AF236" i="9"/>
  <c r="AU236" i="9"/>
  <c r="R236" i="9"/>
  <c r="AG236" i="9"/>
  <c r="AV236" i="9"/>
  <c r="H235" i="7"/>
  <c r="W235" i="7"/>
  <c r="AL235" i="7"/>
  <c r="I235" i="7"/>
  <c r="X235" i="7"/>
  <c r="AM235" i="7"/>
  <c r="J235" i="7"/>
  <c r="Y235" i="7"/>
  <c r="AN235" i="7"/>
  <c r="K235" i="7"/>
  <c r="Z235" i="7"/>
  <c r="AO235" i="7"/>
  <c r="L235" i="7"/>
  <c r="AA235" i="7"/>
  <c r="AP235" i="7"/>
  <c r="N235" i="7"/>
  <c r="AC235" i="7"/>
  <c r="AR235" i="7"/>
  <c r="O235" i="7"/>
  <c r="AD235" i="7"/>
  <c r="AS235" i="7"/>
  <c r="P235" i="7"/>
  <c r="AE235" i="7"/>
  <c r="AT235" i="7"/>
  <c r="Q235" i="7"/>
  <c r="AF235" i="7"/>
  <c r="AU235" i="7"/>
  <c r="R235" i="7"/>
  <c r="AG235" i="7"/>
  <c r="AV235" i="7"/>
  <c r="I235" i="8"/>
  <c r="X235" i="8"/>
  <c r="AM235" i="8"/>
  <c r="J235" i="8"/>
  <c r="Y235" i="8"/>
  <c r="AN235" i="8"/>
  <c r="L235" i="8"/>
  <c r="AA235" i="8"/>
  <c r="AP235" i="8"/>
  <c r="N235" i="8"/>
  <c r="AC235" i="8"/>
  <c r="AR235" i="8"/>
  <c r="P235" i="8"/>
  <c r="AE235" i="8"/>
  <c r="AT235" i="8"/>
  <c r="Q235" i="8"/>
  <c r="AF235" i="8"/>
  <c r="AU235" i="8"/>
  <c r="H235" i="8"/>
  <c r="W235" i="8"/>
  <c r="AL235" i="8"/>
  <c r="K235" i="8"/>
  <c r="Z235" i="8"/>
  <c r="AO235" i="8"/>
  <c r="M235" i="8"/>
  <c r="AB235" i="8"/>
  <c r="AQ235" i="8"/>
  <c r="O235" i="8"/>
  <c r="AD235" i="8"/>
  <c r="AS235" i="8"/>
  <c r="R235" i="8"/>
  <c r="AG235" i="8"/>
  <c r="AV235" i="8"/>
  <c r="M235" i="7"/>
  <c r="AB235" i="7"/>
  <c r="AQ235" i="7"/>
  <c r="D223" i="8"/>
  <c r="S223" i="8"/>
  <c r="AH223" i="8"/>
  <c r="E211" i="8"/>
  <c r="AI211" i="8"/>
  <c r="T211" i="8"/>
  <c r="D206" i="9"/>
  <c r="S206" i="9"/>
  <c r="AH206" i="9"/>
  <c r="D183" i="7"/>
  <c r="S183" i="7"/>
  <c r="AH183" i="7"/>
  <c r="V180" i="9"/>
  <c r="AK180" i="9"/>
  <c r="G180" i="9"/>
  <c r="AK176" i="10"/>
  <c r="G176" i="10"/>
  <c r="V176" i="10"/>
  <c r="D161" i="10"/>
  <c r="S161" i="10"/>
  <c r="AH161" i="10"/>
  <c r="E163" i="9"/>
  <c r="T163" i="9"/>
  <c r="AI163" i="9"/>
  <c r="AY165" i="8"/>
  <c r="C165" i="8"/>
  <c r="AX166" i="8"/>
  <c r="AW165" i="8"/>
  <c r="W58" i="2" s="1"/>
  <c r="G166" i="8"/>
  <c r="V166" i="8"/>
  <c r="AK166" i="8"/>
  <c r="E155" i="10"/>
  <c r="T155" i="10"/>
  <c r="AI155" i="10"/>
  <c r="AY147" i="9"/>
  <c r="C147" i="9"/>
  <c r="AW147" i="9"/>
  <c r="AX148" i="9"/>
  <c r="F148" i="9"/>
  <c r="U148" i="9"/>
  <c r="AJ148" i="9"/>
  <c r="C137" i="10"/>
  <c r="AY137" i="10"/>
  <c r="AW137" i="10"/>
  <c r="AX138" i="10"/>
  <c r="F138" i="10"/>
  <c r="U138" i="10"/>
  <c r="AJ138" i="10"/>
  <c r="G77" i="7"/>
  <c r="V77" i="7"/>
  <c r="AK77" i="7"/>
  <c r="F57" i="7"/>
  <c r="AJ180" i="8" l="1"/>
  <c r="U180" i="8"/>
  <c r="F180" i="8"/>
  <c r="H237" i="10"/>
  <c r="W237" i="10"/>
  <c r="AL237" i="10"/>
  <c r="I237" i="10"/>
  <c r="X237" i="10"/>
  <c r="AM237" i="10"/>
  <c r="J237" i="10"/>
  <c r="Y237" i="10"/>
  <c r="AN237" i="10"/>
  <c r="K237" i="10"/>
  <c r="Z237" i="10"/>
  <c r="AO237" i="10"/>
  <c r="L237" i="10"/>
  <c r="AA237" i="10"/>
  <c r="AP237" i="10"/>
  <c r="M237" i="10"/>
  <c r="AB237" i="10"/>
  <c r="AQ237" i="10"/>
  <c r="N237" i="10"/>
  <c r="AC237" i="10"/>
  <c r="AR237" i="10"/>
  <c r="O237" i="10"/>
  <c r="AD237" i="10"/>
  <c r="AS237" i="10"/>
  <c r="P237" i="10"/>
  <c r="AE237" i="10"/>
  <c r="AT237" i="10"/>
  <c r="Q237" i="10"/>
  <c r="AF237" i="10"/>
  <c r="AU237" i="10"/>
  <c r="R237" i="10"/>
  <c r="AG237" i="10"/>
  <c r="AV237" i="10"/>
  <c r="H237" i="9"/>
  <c r="W237" i="9"/>
  <c r="AL237" i="9"/>
  <c r="I237" i="9"/>
  <c r="X237" i="9"/>
  <c r="AM237" i="9"/>
  <c r="J237" i="9"/>
  <c r="Y237" i="9"/>
  <c r="AN237" i="9"/>
  <c r="K237" i="9"/>
  <c r="Z237" i="9"/>
  <c r="AO237" i="9"/>
  <c r="L237" i="9"/>
  <c r="AA237" i="9"/>
  <c r="AP237" i="9"/>
  <c r="M237" i="9"/>
  <c r="AB237" i="9"/>
  <c r="AQ237" i="9"/>
  <c r="N237" i="9"/>
  <c r="AC237" i="9"/>
  <c r="AR237" i="9"/>
  <c r="O237" i="9"/>
  <c r="AD237" i="9"/>
  <c r="AS237" i="9"/>
  <c r="P237" i="9"/>
  <c r="AE237" i="9"/>
  <c r="AT237" i="9"/>
  <c r="Q237" i="9"/>
  <c r="AF237" i="9"/>
  <c r="AU237" i="9"/>
  <c r="R237" i="9"/>
  <c r="AG237" i="9"/>
  <c r="AV237" i="9"/>
  <c r="H236" i="7"/>
  <c r="W236" i="7"/>
  <c r="AL236" i="7"/>
  <c r="I236" i="7"/>
  <c r="X236" i="7"/>
  <c r="AM236" i="7"/>
  <c r="J236" i="7"/>
  <c r="Y236" i="7"/>
  <c r="AN236" i="7"/>
  <c r="K236" i="7"/>
  <c r="Z236" i="7"/>
  <c r="AO236" i="7"/>
  <c r="L236" i="7"/>
  <c r="AA236" i="7"/>
  <c r="AP236" i="7"/>
  <c r="N236" i="7"/>
  <c r="AC236" i="7"/>
  <c r="AR236" i="7"/>
  <c r="O236" i="7"/>
  <c r="AD236" i="7"/>
  <c r="AS236" i="7"/>
  <c r="P236" i="7"/>
  <c r="AE236" i="7"/>
  <c r="AT236" i="7"/>
  <c r="Q236" i="7"/>
  <c r="AF236" i="7"/>
  <c r="AU236" i="7"/>
  <c r="R236" i="7"/>
  <c r="AG236" i="7"/>
  <c r="AV236" i="7"/>
  <c r="I236" i="8"/>
  <c r="X236" i="8"/>
  <c r="AM236" i="8"/>
  <c r="J236" i="8"/>
  <c r="Y236" i="8"/>
  <c r="AN236" i="8"/>
  <c r="L236" i="8"/>
  <c r="AA236" i="8"/>
  <c r="AP236" i="8"/>
  <c r="N236" i="8"/>
  <c r="AC236" i="8"/>
  <c r="AR236" i="8"/>
  <c r="P236" i="8"/>
  <c r="AE236" i="8"/>
  <c r="AT236" i="8"/>
  <c r="Q236" i="8"/>
  <c r="AF236" i="8"/>
  <c r="AU236" i="8"/>
  <c r="H236" i="8"/>
  <c r="W236" i="8"/>
  <c r="AL236" i="8"/>
  <c r="K236" i="8"/>
  <c r="Z236" i="8"/>
  <c r="AO236" i="8"/>
  <c r="M236" i="8"/>
  <c r="AB236" i="8"/>
  <c r="AQ236" i="8"/>
  <c r="O236" i="8"/>
  <c r="AD236" i="8"/>
  <c r="AS236" i="8"/>
  <c r="R236" i="8"/>
  <c r="AG236" i="8"/>
  <c r="AV236" i="8"/>
  <c r="M236" i="7"/>
  <c r="AB236" i="7"/>
  <c r="AQ236" i="7"/>
  <c r="D224" i="8"/>
  <c r="S224" i="8"/>
  <c r="AH224" i="8"/>
  <c r="AI212" i="8"/>
  <c r="E212" i="8"/>
  <c r="T212" i="8"/>
  <c r="D207" i="9"/>
  <c r="S207" i="9"/>
  <c r="AH207" i="9"/>
  <c r="D184" i="7"/>
  <c r="S184" i="7"/>
  <c r="AH184" i="7"/>
  <c r="AK181" i="9"/>
  <c r="G181" i="9"/>
  <c r="V181" i="9"/>
  <c r="G177" i="10"/>
  <c r="V177" i="10"/>
  <c r="AK177" i="10"/>
  <c r="D162" i="10"/>
  <c r="S162" i="10"/>
  <c r="AH162" i="10"/>
  <c r="E164" i="9"/>
  <c r="T164" i="9"/>
  <c r="AI164" i="9"/>
  <c r="AY166" i="8"/>
  <c r="C166" i="8"/>
  <c r="AW166" i="8"/>
  <c r="AX167" i="8"/>
  <c r="G167" i="8"/>
  <c r="V167" i="8"/>
  <c r="AK167" i="8"/>
  <c r="E156" i="10"/>
  <c r="T156" i="10"/>
  <c r="AI156" i="10"/>
  <c r="C148" i="9"/>
  <c r="AY148" i="9"/>
  <c r="AX149" i="9"/>
  <c r="AW148" i="9"/>
  <c r="F149" i="9"/>
  <c r="U149" i="9"/>
  <c r="AJ149" i="9"/>
  <c r="C138" i="10"/>
  <c r="AY138" i="10"/>
  <c r="AX139" i="10"/>
  <c r="AW138" i="10"/>
  <c r="F139" i="10"/>
  <c r="U139" i="10"/>
  <c r="AJ139" i="10"/>
  <c r="G78" i="7"/>
  <c r="V78" i="7"/>
  <c r="AK78" i="7"/>
  <c r="C57" i="7"/>
  <c r="AJ181" i="8" l="1"/>
  <c r="U181" i="8"/>
  <c r="F181" i="8"/>
  <c r="H238" i="10"/>
  <c r="W238" i="10"/>
  <c r="AL238" i="10"/>
  <c r="I238" i="10"/>
  <c r="X238" i="10"/>
  <c r="AM238" i="10"/>
  <c r="J238" i="10"/>
  <c r="Y238" i="10"/>
  <c r="AN238" i="10"/>
  <c r="K238" i="10"/>
  <c r="Z238" i="10"/>
  <c r="AO238" i="10"/>
  <c r="L238" i="10"/>
  <c r="AA238" i="10"/>
  <c r="AP238" i="10"/>
  <c r="M238" i="10"/>
  <c r="AB238" i="10"/>
  <c r="AQ238" i="10"/>
  <c r="N238" i="10"/>
  <c r="AC238" i="10"/>
  <c r="AR238" i="10"/>
  <c r="O238" i="10"/>
  <c r="AD238" i="10"/>
  <c r="AS238" i="10"/>
  <c r="P238" i="10"/>
  <c r="AE238" i="10"/>
  <c r="AT238" i="10"/>
  <c r="Q238" i="10"/>
  <c r="AF238" i="10"/>
  <c r="AU238" i="10"/>
  <c r="R238" i="10"/>
  <c r="AG238" i="10"/>
  <c r="AV238" i="10"/>
  <c r="H238" i="9"/>
  <c r="W238" i="9"/>
  <c r="AL238" i="9"/>
  <c r="I238" i="9"/>
  <c r="X238" i="9"/>
  <c r="AM238" i="9"/>
  <c r="J238" i="9"/>
  <c r="Y238" i="9"/>
  <c r="AN238" i="9"/>
  <c r="K238" i="9"/>
  <c r="Z238" i="9"/>
  <c r="AO238" i="9"/>
  <c r="L238" i="9"/>
  <c r="AA238" i="9"/>
  <c r="AP238" i="9"/>
  <c r="M238" i="9"/>
  <c r="AB238" i="9"/>
  <c r="AQ238" i="9"/>
  <c r="N238" i="9"/>
  <c r="AC238" i="9"/>
  <c r="AR238" i="9"/>
  <c r="O238" i="9"/>
  <c r="AD238" i="9"/>
  <c r="AS238" i="9"/>
  <c r="P238" i="9"/>
  <c r="AE238" i="9"/>
  <c r="AT238" i="9"/>
  <c r="Q238" i="9"/>
  <c r="AF238" i="9"/>
  <c r="AU238" i="9"/>
  <c r="R238" i="9"/>
  <c r="AG238" i="9"/>
  <c r="AV238" i="9"/>
  <c r="H237" i="7"/>
  <c r="W237" i="7"/>
  <c r="AL237" i="7"/>
  <c r="I237" i="7"/>
  <c r="X237" i="7"/>
  <c r="AM237" i="7"/>
  <c r="J237" i="7"/>
  <c r="Y237" i="7"/>
  <c r="AN237" i="7"/>
  <c r="K237" i="7"/>
  <c r="Z237" i="7"/>
  <c r="AO237" i="7"/>
  <c r="L237" i="7"/>
  <c r="AA237" i="7"/>
  <c r="AP237" i="7"/>
  <c r="N237" i="7"/>
  <c r="AC237" i="7"/>
  <c r="AR237" i="7"/>
  <c r="O237" i="7"/>
  <c r="AD237" i="7"/>
  <c r="AS237" i="7"/>
  <c r="P237" i="7"/>
  <c r="AE237" i="7"/>
  <c r="AT237" i="7"/>
  <c r="Q237" i="7"/>
  <c r="AF237" i="7"/>
  <c r="AU237" i="7"/>
  <c r="R237" i="7"/>
  <c r="AG237" i="7"/>
  <c r="AV237" i="7"/>
  <c r="I237" i="8"/>
  <c r="X237" i="8"/>
  <c r="AM237" i="8"/>
  <c r="J237" i="8"/>
  <c r="Y237" i="8"/>
  <c r="AN237" i="8"/>
  <c r="L237" i="8"/>
  <c r="AA237" i="8"/>
  <c r="AP237" i="8"/>
  <c r="N237" i="8"/>
  <c r="AC237" i="8"/>
  <c r="AR237" i="8"/>
  <c r="P237" i="8"/>
  <c r="AE237" i="8"/>
  <c r="AT237" i="8"/>
  <c r="Q237" i="8"/>
  <c r="AF237" i="8"/>
  <c r="AU237" i="8"/>
  <c r="H237" i="8"/>
  <c r="W237" i="8"/>
  <c r="AL237" i="8"/>
  <c r="K237" i="8"/>
  <c r="Z237" i="8"/>
  <c r="AO237" i="8"/>
  <c r="M237" i="8"/>
  <c r="AB237" i="8"/>
  <c r="AQ237" i="8"/>
  <c r="O237" i="8"/>
  <c r="AD237" i="8"/>
  <c r="AS237" i="8"/>
  <c r="R237" i="8"/>
  <c r="AG237" i="8"/>
  <c r="AV237" i="8"/>
  <c r="M237" i="7"/>
  <c r="AB237" i="7"/>
  <c r="AQ237" i="7"/>
  <c r="AH225" i="8"/>
  <c r="S225" i="8"/>
  <c r="D225" i="8"/>
  <c r="E213" i="8"/>
  <c r="AI213" i="8"/>
  <c r="T213" i="8"/>
  <c r="D208" i="9"/>
  <c r="S208" i="9"/>
  <c r="AH208" i="9"/>
  <c r="D185" i="7"/>
  <c r="S185" i="7"/>
  <c r="AH185" i="7"/>
  <c r="G182" i="9"/>
  <c r="AK182" i="9"/>
  <c r="V182" i="9"/>
  <c r="AK178" i="10"/>
  <c r="G178" i="10"/>
  <c r="V178" i="10"/>
  <c r="D163" i="10"/>
  <c r="S163" i="10"/>
  <c r="AH163" i="10"/>
  <c r="E165" i="9"/>
  <c r="T165" i="9"/>
  <c r="AI165" i="9"/>
  <c r="AY167" i="8"/>
  <c r="C167" i="8"/>
  <c r="AW167" i="8"/>
  <c r="AX168" i="8"/>
  <c r="G168" i="8"/>
  <c r="V168" i="8"/>
  <c r="AK168" i="8"/>
  <c r="E157" i="10"/>
  <c r="T157" i="10"/>
  <c r="AI157" i="10"/>
  <c r="C149" i="9"/>
  <c r="AY149" i="9"/>
  <c r="AW149" i="9"/>
  <c r="AX150" i="9"/>
  <c r="F150" i="9"/>
  <c r="U150" i="9"/>
  <c r="AJ150" i="9"/>
  <c r="C139" i="10"/>
  <c r="AY139" i="10"/>
  <c r="AW139" i="10"/>
  <c r="AX140" i="10"/>
  <c r="F140" i="10"/>
  <c r="U140" i="10"/>
  <c r="AJ140" i="10"/>
  <c r="G79" i="7"/>
  <c r="V79" i="7"/>
  <c r="AK79" i="7"/>
  <c r="T57" i="7"/>
  <c r="U57" i="7" s="1"/>
  <c r="AJ57" i="7" s="1"/>
  <c r="AJ182" i="8" l="1"/>
  <c r="U182" i="8"/>
  <c r="F182" i="8"/>
  <c r="H239" i="10"/>
  <c r="W239" i="10"/>
  <c r="AL239" i="10"/>
  <c r="I239" i="10"/>
  <c r="X239" i="10"/>
  <c r="AM239" i="10"/>
  <c r="J239" i="10"/>
  <c r="Y239" i="10"/>
  <c r="AN239" i="10"/>
  <c r="K239" i="10"/>
  <c r="Z239" i="10"/>
  <c r="AO239" i="10"/>
  <c r="L239" i="10"/>
  <c r="AA239" i="10"/>
  <c r="AP239" i="10"/>
  <c r="M239" i="10"/>
  <c r="AB239" i="10"/>
  <c r="AQ239" i="10"/>
  <c r="N239" i="10"/>
  <c r="AC239" i="10"/>
  <c r="AR239" i="10"/>
  <c r="O239" i="10"/>
  <c r="AD239" i="10"/>
  <c r="AS239" i="10"/>
  <c r="P239" i="10"/>
  <c r="AE239" i="10"/>
  <c r="AT239" i="10"/>
  <c r="Q239" i="10"/>
  <c r="AF239" i="10"/>
  <c r="AU239" i="10"/>
  <c r="R239" i="10"/>
  <c r="AG239" i="10"/>
  <c r="AV239" i="10"/>
  <c r="H239" i="9"/>
  <c r="W239" i="9"/>
  <c r="AL239" i="9"/>
  <c r="I239" i="9"/>
  <c r="X239" i="9"/>
  <c r="AM239" i="9"/>
  <c r="J239" i="9"/>
  <c r="Y239" i="9"/>
  <c r="AN239" i="9"/>
  <c r="K239" i="9"/>
  <c r="Z239" i="9"/>
  <c r="AO239" i="9"/>
  <c r="L239" i="9"/>
  <c r="AA239" i="9"/>
  <c r="AP239" i="9"/>
  <c r="M239" i="9"/>
  <c r="AB239" i="9"/>
  <c r="AQ239" i="9"/>
  <c r="N239" i="9"/>
  <c r="AC239" i="9"/>
  <c r="AR239" i="9"/>
  <c r="O239" i="9"/>
  <c r="AD239" i="9"/>
  <c r="AS239" i="9"/>
  <c r="P239" i="9"/>
  <c r="AE239" i="9"/>
  <c r="AT239" i="9"/>
  <c r="Q239" i="9"/>
  <c r="AF239" i="9"/>
  <c r="AU239" i="9"/>
  <c r="R239" i="9"/>
  <c r="AG239" i="9"/>
  <c r="AV239" i="9"/>
  <c r="H238" i="7"/>
  <c r="W238" i="7"/>
  <c r="AL238" i="7"/>
  <c r="I238" i="7"/>
  <c r="X238" i="7"/>
  <c r="AM238" i="7"/>
  <c r="J238" i="7"/>
  <c r="Y238" i="7"/>
  <c r="AN238" i="7"/>
  <c r="K238" i="7"/>
  <c r="Z238" i="7"/>
  <c r="AO238" i="7"/>
  <c r="L238" i="7"/>
  <c r="AA238" i="7"/>
  <c r="AP238" i="7"/>
  <c r="N238" i="7"/>
  <c r="AC238" i="7"/>
  <c r="AR238" i="7"/>
  <c r="O238" i="7"/>
  <c r="AD238" i="7"/>
  <c r="AS238" i="7"/>
  <c r="P238" i="7"/>
  <c r="AE238" i="7"/>
  <c r="AT238" i="7"/>
  <c r="Q238" i="7"/>
  <c r="AF238" i="7"/>
  <c r="AU238" i="7"/>
  <c r="R238" i="7"/>
  <c r="AG238" i="7"/>
  <c r="AV238" i="7"/>
  <c r="I238" i="8"/>
  <c r="X238" i="8"/>
  <c r="AM238" i="8"/>
  <c r="J238" i="8"/>
  <c r="Y238" i="8"/>
  <c r="AN238" i="8"/>
  <c r="L238" i="8"/>
  <c r="AA238" i="8"/>
  <c r="AP238" i="8"/>
  <c r="N238" i="8"/>
  <c r="AC238" i="8"/>
  <c r="AR238" i="8"/>
  <c r="P238" i="8"/>
  <c r="AE238" i="8"/>
  <c r="AT238" i="8"/>
  <c r="Q238" i="8"/>
  <c r="AF238" i="8"/>
  <c r="AU238" i="8"/>
  <c r="H238" i="8"/>
  <c r="W238" i="8"/>
  <c r="AL238" i="8"/>
  <c r="K238" i="8"/>
  <c r="Z238" i="8"/>
  <c r="AO238" i="8"/>
  <c r="M238" i="8"/>
  <c r="AB238" i="8"/>
  <c r="AQ238" i="8"/>
  <c r="O238" i="8"/>
  <c r="AD238" i="8"/>
  <c r="AS238" i="8"/>
  <c r="R238" i="8"/>
  <c r="AG238" i="8"/>
  <c r="AV238" i="8"/>
  <c r="M238" i="7"/>
  <c r="AB238" i="7"/>
  <c r="AQ238" i="7"/>
  <c r="S226" i="8"/>
  <c r="D226" i="8"/>
  <c r="AH226" i="8"/>
  <c r="E214" i="8"/>
  <c r="T214" i="8"/>
  <c r="AI214" i="8"/>
  <c r="D209" i="9"/>
  <c r="S209" i="9"/>
  <c r="AH209" i="9"/>
  <c r="D186" i="7"/>
  <c r="S186" i="7"/>
  <c r="AH186" i="7"/>
  <c r="V183" i="9"/>
  <c r="AK183" i="9"/>
  <c r="G183" i="9"/>
  <c r="G179" i="10"/>
  <c r="V179" i="10"/>
  <c r="AK179" i="10"/>
  <c r="D164" i="10"/>
  <c r="S164" i="10"/>
  <c r="AH164" i="10"/>
  <c r="E166" i="9"/>
  <c r="T166" i="9"/>
  <c r="AI166" i="9"/>
  <c r="AY168" i="8"/>
  <c r="C168" i="8"/>
  <c r="AX169" i="8"/>
  <c r="AW168" i="8"/>
  <c r="W59" i="2" s="1"/>
  <c r="G169" i="8"/>
  <c r="V169" i="8"/>
  <c r="AK169" i="8"/>
  <c r="E158" i="10"/>
  <c r="T158" i="10"/>
  <c r="AI158" i="10"/>
  <c r="AY150" i="9"/>
  <c r="C150" i="9"/>
  <c r="AW150" i="9"/>
  <c r="AX151" i="9"/>
  <c r="F151" i="9"/>
  <c r="U151" i="9"/>
  <c r="AJ151" i="9"/>
  <c r="AY140" i="10"/>
  <c r="C140" i="10"/>
  <c r="AX141" i="10"/>
  <c r="AW140" i="10"/>
  <c r="F141" i="10"/>
  <c r="U141" i="10"/>
  <c r="AJ141" i="10"/>
  <c r="G80" i="7"/>
  <c r="V80" i="7"/>
  <c r="AK80" i="7"/>
  <c r="AY57" i="7"/>
  <c r="AI57" i="7"/>
  <c r="F58" i="7"/>
  <c r="U183" i="8" l="1"/>
  <c r="AJ183" i="8"/>
  <c r="F183" i="8"/>
  <c r="H240" i="10"/>
  <c r="W240" i="10"/>
  <c r="AL240" i="10"/>
  <c r="I240" i="10"/>
  <c r="X240" i="10"/>
  <c r="AM240" i="10"/>
  <c r="J240" i="10"/>
  <c r="Y240" i="10"/>
  <c r="AN240" i="10"/>
  <c r="K240" i="10"/>
  <c r="Z240" i="10"/>
  <c r="AO240" i="10"/>
  <c r="L240" i="10"/>
  <c r="AA240" i="10"/>
  <c r="AP240" i="10"/>
  <c r="M240" i="10"/>
  <c r="AB240" i="10"/>
  <c r="AQ240" i="10"/>
  <c r="N240" i="10"/>
  <c r="AC240" i="10"/>
  <c r="AR240" i="10"/>
  <c r="O240" i="10"/>
  <c r="AD240" i="10"/>
  <c r="AS240" i="10"/>
  <c r="P240" i="10"/>
  <c r="AE240" i="10"/>
  <c r="AT240" i="10"/>
  <c r="Q240" i="10"/>
  <c r="AF240" i="10"/>
  <c r="AU240" i="10"/>
  <c r="R240" i="10"/>
  <c r="AG240" i="10"/>
  <c r="AV240" i="10"/>
  <c r="H240" i="9"/>
  <c r="W240" i="9"/>
  <c r="AL240" i="9"/>
  <c r="I240" i="9"/>
  <c r="X240" i="9"/>
  <c r="AM240" i="9"/>
  <c r="J240" i="9"/>
  <c r="Y240" i="9"/>
  <c r="AN240" i="9"/>
  <c r="K240" i="9"/>
  <c r="Z240" i="9"/>
  <c r="AO240" i="9"/>
  <c r="L240" i="9"/>
  <c r="AA240" i="9"/>
  <c r="AP240" i="9"/>
  <c r="M240" i="9"/>
  <c r="AB240" i="9"/>
  <c r="AQ240" i="9"/>
  <c r="N240" i="9"/>
  <c r="AC240" i="9"/>
  <c r="AR240" i="9"/>
  <c r="O240" i="9"/>
  <c r="AD240" i="9"/>
  <c r="AS240" i="9"/>
  <c r="P240" i="9"/>
  <c r="AE240" i="9"/>
  <c r="AT240" i="9"/>
  <c r="Q240" i="9"/>
  <c r="AF240" i="9"/>
  <c r="AU240" i="9"/>
  <c r="R240" i="9"/>
  <c r="AG240" i="9"/>
  <c r="AV240" i="9"/>
  <c r="H239" i="7"/>
  <c r="W239" i="7"/>
  <c r="AL239" i="7"/>
  <c r="I239" i="7"/>
  <c r="X239" i="7"/>
  <c r="AM239" i="7"/>
  <c r="J239" i="7"/>
  <c r="Y239" i="7"/>
  <c r="AN239" i="7"/>
  <c r="K239" i="7"/>
  <c r="Z239" i="7"/>
  <c r="AO239" i="7"/>
  <c r="L239" i="7"/>
  <c r="AA239" i="7"/>
  <c r="AP239" i="7"/>
  <c r="N239" i="7"/>
  <c r="AC239" i="7"/>
  <c r="AR239" i="7"/>
  <c r="O239" i="7"/>
  <c r="AD239" i="7"/>
  <c r="AS239" i="7"/>
  <c r="P239" i="7"/>
  <c r="AE239" i="7"/>
  <c r="AT239" i="7"/>
  <c r="Q239" i="7"/>
  <c r="AF239" i="7"/>
  <c r="AU239" i="7"/>
  <c r="R239" i="7"/>
  <c r="AG239" i="7"/>
  <c r="AV239" i="7"/>
  <c r="I239" i="8"/>
  <c r="X239" i="8"/>
  <c r="AM239" i="8"/>
  <c r="J239" i="8"/>
  <c r="Y239" i="8"/>
  <c r="AN239" i="8"/>
  <c r="L239" i="8"/>
  <c r="AA239" i="8"/>
  <c r="AP239" i="8"/>
  <c r="N239" i="8"/>
  <c r="AC239" i="8"/>
  <c r="AR239" i="8"/>
  <c r="P239" i="8"/>
  <c r="AE239" i="8"/>
  <c r="AT239" i="8"/>
  <c r="Q239" i="8"/>
  <c r="AF239" i="8"/>
  <c r="AU239" i="8"/>
  <c r="H239" i="8"/>
  <c r="W239" i="8"/>
  <c r="AL239" i="8"/>
  <c r="K239" i="8"/>
  <c r="Z239" i="8"/>
  <c r="AO239" i="8"/>
  <c r="M239" i="8"/>
  <c r="AB239" i="8"/>
  <c r="AQ239" i="8"/>
  <c r="O239" i="8"/>
  <c r="AD239" i="8"/>
  <c r="AS239" i="8"/>
  <c r="R239" i="8"/>
  <c r="AG239" i="8"/>
  <c r="AV239" i="8"/>
  <c r="M239" i="7"/>
  <c r="AB239" i="7"/>
  <c r="AQ239" i="7"/>
  <c r="D227" i="8"/>
  <c r="AH227" i="8"/>
  <c r="S227" i="8"/>
  <c r="T215" i="8"/>
  <c r="AI215" i="8"/>
  <c r="E215" i="8"/>
  <c r="D210" i="9"/>
  <c r="S210" i="9"/>
  <c r="AH210" i="9"/>
  <c r="D187" i="7"/>
  <c r="S187" i="7"/>
  <c r="AH187" i="7"/>
  <c r="G184" i="9"/>
  <c r="V184" i="9"/>
  <c r="AK184" i="9"/>
  <c r="G180" i="10"/>
  <c r="V180" i="10"/>
  <c r="AK180" i="10"/>
  <c r="S165" i="10"/>
  <c r="D165" i="10"/>
  <c r="AH165" i="10"/>
  <c r="E167" i="9"/>
  <c r="T167" i="9"/>
  <c r="AI167" i="9"/>
  <c r="AY169" i="8"/>
  <c r="C169" i="8"/>
  <c r="AX170" i="8"/>
  <c r="AW169" i="8"/>
  <c r="G170" i="8"/>
  <c r="V170" i="8"/>
  <c r="AK170" i="8"/>
  <c r="T159" i="10"/>
  <c r="E159" i="10"/>
  <c r="AI159" i="10"/>
  <c r="C151" i="9"/>
  <c r="AY151" i="9"/>
  <c r="AW151" i="9"/>
  <c r="AX152" i="9"/>
  <c r="F152" i="9"/>
  <c r="U152" i="9"/>
  <c r="AJ152" i="9"/>
  <c r="AY141" i="10"/>
  <c r="C141" i="10"/>
  <c r="AX142" i="10"/>
  <c r="AW141" i="10"/>
  <c r="U142" i="10"/>
  <c r="F142" i="10"/>
  <c r="AJ142" i="10"/>
  <c r="G81" i="7"/>
  <c r="V81" i="7"/>
  <c r="AK81" i="7"/>
  <c r="AX58" i="7"/>
  <c r="AW57" i="7"/>
  <c r="X22" i="2" s="1"/>
  <c r="E58" i="7"/>
  <c r="AJ184" i="8" l="1"/>
  <c r="U184" i="8"/>
  <c r="F184" i="8"/>
  <c r="H241" i="10"/>
  <c r="W241" i="10"/>
  <c r="AL241" i="10"/>
  <c r="I241" i="10"/>
  <c r="X241" i="10"/>
  <c r="AM241" i="10"/>
  <c r="J241" i="10"/>
  <c r="Y241" i="10"/>
  <c r="AN241" i="10"/>
  <c r="K241" i="10"/>
  <c r="Z241" i="10"/>
  <c r="AO241" i="10"/>
  <c r="L241" i="10"/>
  <c r="AA241" i="10"/>
  <c r="AP241" i="10"/>
  <c r="M241" i="10"/>
  <c r="AB241" i="10"/>
  <c r="AQ241" i="10"/>
  <c r="N241" i="10"/>
  <c r="AC241" i="10"/>
  <c r="AR241" i="10"/>
  <c r="O241" i="10"/>
  <c r="AD241" i="10"/>
  <c r="AS241" i="10"/>
  <c r="P241" i="10"/>
  <c r="AE241" i="10"/>
  <c r="AT241" i="10"/>
  <c r="Q241" i="10"/>
  <c r="AF241" i="10"/>
  <c r="AU241" i="10"/>
  <c r="R241" i="10"/>
  <c r="AG241" i="10"/>
  <c r="AV241" i="10"/>
  <c r="H241" i="9"/>
  <c r="W241" i="9"/>
  <c r="AL241" i="9"/>
  <c r="I241" i="9"/>
  <c r="X241" i="9"/>
  <c r="AM241" i="9"/>
  <c r="J241" i="9"/>
  <c r="Y241" i="9"/>
  <c r="AN241" i="9"/>
  <c r="K241" i="9"/>
  <c r="Z241" i="9"/>
  <c r="AO241" i="9"/>
  <c r="L241" i="9"/>
  <c r="AA241" i="9"/>
  <c r="AP241" i="9"/>
  <c r="M241" i="9"/>
  <c r="AB241" i="9"/>
  <c r="AQ241" i="9"/>
  <c r="N241" i="9"/>
  <c r="AC241" i="9"/>
  <c r="AR241" i="9"/>
  <c r="O241" i="9"/>
  <c r="AD241" i="9"/>
  <c r="AS241" i="9"/>
  <c r="P241" i="9"/>
  <c r="AE241" i="9"/>
  <c r="AT241" i="9"/>
  <c r="Q241" i="9"/>
  <c r="AF241" i="9"/>
  <c r="AU241" i="9"/>
  <c r="R241" i="9"/>
  <c r="AG241" i="9"/>
  <c r="AV241" i="9"/>
  <c r="H240" i="7"/>
  <c r="W240" i="7"/>
  <c r="AL240" i="7"/>
  <c r="I240" i="7"/>
  <c r="X240" i="7"/>
  <c r="AM240" i="7"/>
  <c r="J240" i="7"/>
  <c r="Y240" i="7"/>
  <c r="AN240" i="7"/>
  <c r="K240" i="7"/>
  <c r="Z240" i="7"/>
  <c r="AO240" i="7"/>
  <c r="L240" i="7"/>
  <c r="AA240" i="7"/>
  <c r="AP240" i="7"/>
  <c r="N240" i="7"/>
  <c r="AC240" i="7"/>
  <c r="AR240" i="7"/>
  <c r="O240" i="7"/>
  <c r="AD240" i="7"/>
  <c r="AS240" i="7"/>
  <c r="P240" i="7"/>
  <c r="AE240" i="7"/>
  <c r="AT240" i="7"/>
  <c r="Q240" i="7"/>
  <c r="AF240" i="7"/>
  <c r="AU240" i="7"/>
  <c r="R240" i="7"/>
  <c r="AG240" i="7"/>
  <c r="AV240" i="7"/>
  <c r="I240" i="8"/>
  <c r="X240" i="8"/>
  <c r="AM240" i="8"/>
  <c r="J240" i="8"/>
  <c r="Y240" i="8"/>
  <c r="AN240" i="8"/>
  <c r="L240" i="8"/>
  <c r="AA240" i="8"/>
  <c r="AP240" i="8"/>
  <c r="N240" i="8"/>
  <c r="AC240" i="8"/>
  <c r="AR240" i="8"/>
  <c r="P240" i="8"/>
  <c r="AE240" i="8"/>
  <c r="AT240" i="8"/>
  <c r="Q240" i="8"/>
  <c r="AF240" i="8"/>
  <c r="AU240" i="8"/>
  <c r="H240" i="8"/>
  <c r="W240" i="8"/>
  <c r="AL240" i="8"/>
  <c r="K240" i="8"/>
  <c r="Z240" i="8"/>
  <c r="AO240" i="8"/>
  <c r="M240" i="8"/>
  <c r="AB240" i="8"/>
  <c r="AQ240" i="8"/>
  <c r="O240" i="8"/>
  <c r="AD240" i="8"/>
  <c r="AS240" i="8"/>
  <c r="R240" i="8"/>
  <c r="AG240" i="8"/>
  <c r="AV240" i="8"/>
  <c r="M240" i="7"/>
  <c r="AB240" i="7"/>
  <c r="AQ240" i="7"/>
  <c r="AH228" i="8"/>
  <c r="D228" i="8"/>
  <c r="S228" i="8"/>
  <c r="T216" i="8"/>
  <c r="E216" i="8"/>
  <c r="AI216" i="8"/>
  <c r="D211" i="9"/>
  <c r="S211" i="9"/>
  <c r="AH211" i="9"/>
  <c r="D188" i="7"/>
  <c r="S188" i="7"/>
  <c r="AH188" i="7"/>
  <c r="G185" i="9"/>
  <c r="V185" i="9"/>
  <c r="AK185" i="9"/>
  <c r="AK181" i="10"/>
  <c r="G181" i="10"/>
  <c r="V181" i="10"/>
  <c r="S166" i="10"/>
  <c r="D166" i="10"/>
  <c r="AH166" i="10"/>
  <c r="E168" i="9"/>
  <c r="T168" i="9"/>
  <c r="AI168" i="9"/>
  <c r="C170" i="8"/>
  <c r="AY170" i="8"/>
  <c r="AX171" i="8"/>
  <c r="AW170" i="8"/>
  <c r="G171" i="8"/>
  <c r="V171" i="8"/>
  <c r="AK171" i="8"/>
  <c r="T160" i="10"/>
  <c r="E160" i="10"/>
  <c r="AI160" i="10"/>
  <c r="C152" i="9"/>
  <c r="AY152" i="9"/>
  <c r="AW152" i="9"/>
  <c r="AX153" i="9"/>
  <c r="F153" i="9"/>
  <c r="U153" i="9"/>
  <c r="AJ153" i="9"/>
  <c r="AY142" i="10"/>
  <c r="C142" i="10"/>
  <c r="AX143" i="10"/>
  <c r="AW142" i="10"/>
  <c r="AJ143" i="10"/>
  <c r="F143" i="10"/>
  <c r="U143" i="10"/>
  <c r="G82" i="7"/>
  <c r="V82" i="7"/>
  <c r="AK82" i="7"/>
  <c r="C58" i="7"/>
  <c r="AJ185" i="8" l="1"/>
  <c r="U185" i="8"/>
  <c r="F185" i="8"/>
  <c r="H242" i="10"/>
  <c r="W242" i="10"/>
  <c r="AL242" i="10"/>
  <c r="I242" i="10"/>
  <c r="X242" i="10"/>
  <c r="AM242" i="10"/>
  <c r="J242" i="10"/>
  <c r="Y242" i="10"/>
  <c r="AN242" i="10"/>
  <c r="K242" i="10"/>
  <c r="Z242" i="10"/>
  <c r="AO242" i="10"/>
  <c r="L242" i="10"/>
  <c r="AA242" i="10"/>
  <c r="AP242" i="10"/>
  <c r="M242" i="10"/>
  <c r="AB242" i="10"/>
  <c r="AQ242" i="10"/>
  <c r="N242" i="10"/>
  <c r="AC242" i="10"/>
  <c r="AR242" i="10"/>
  <c r="O242" i="10"/>
  <c r="AD242" i="10"/>
  <c r="AS242" i="10"/>
  <c r="P242" i="10"/>
  <c r="AE242" i="10"/>
  <c r="AT242" i="10"/>
  <c r="Q242" i="10"/>
  <c r="AF242" i="10"/>
  <c r="AU242" i="10"/>
  <c r="R242" i="10"/>
  <c r="AG242" i="10"/>
  <c r="AV242" i="10"/>
  <c r="H242" i="9"/>
  <c r="W242" i="9"/>
  <c r="AL242" i="9"/>
  <c r="I242" i="9"/>
  <c r="X242" i="9"/>
  <c r="AM242" i="9"/>
  <c r="J242" i="9"/>
  <c r="Y242" i="9"/>
  <c r="AN242" i="9"/>
  <c r="K242" i="9"/>
  <c r="Z242" i="9"/>
  <c r="AO242" i="9"/>
  <c r="L242" i="9"/>
  <c r="AA242" i="9"/>
  <c r="AP242" i="9"/>
  <c r="M242" i="9"/>
  <c r="AB242" i="9"/>
  <c r="AQ242" i="9"/>
  <c r="N242" i="9"/>
  <c r="AC242" i="9"/>
  <c r="AR242" i="9"/>
  <c r="O242" i="9"/>
  <c r="AD242" i="9"/>
  <c r="AS242" i="9"/>
  <c r="P242" i="9"/>
  <c r="AE242" i="9"/>
  <c r="AT242" i="9"/>
  <c r="Q242" i="9"/>
  <c r="AF242" i="9"/>
  <c r="AU242" i="9"/>
  <c r="R242" i="9"/>
  <c r="AG242" i="9"/>
  <c r="AV242" i="9"/>
  <c r="H241" i="7"/>
  <c r="W241" i="7"/>
  <c r="AL241" i="7"/>
  <c r="I241" i="7"/>
  <c r="X241" i="7"/>
  <c r="AM241" i="7"/>
  <c r="J241" i="7"/>
  <c r="Y241" i="7"/>
  <c r="AN241" i="7"/>
  <c r="K241" i="7"/>
  <c r="Z241" i="7"/>
  <c r="AO241" i="7"/>
  <c r="L241" i="7"/>
  <c r="AA241" i="7"/>
  <c r="AP241" i="7"/>
  <c r="N241" i="7"/>
  <c r="AC241" i="7"/>
  <c r="AR241" i="7"/>
  <c r="O241" i="7"/>
  <c r="AD241" i="7"/>
  <c r="AS241" i="7"/>
  <c r="P241" i="7"/>
  <c r="AE241" i="7"/>
  <c r="AT241" i="7"/>
  <c r="Q241" i="7"/>
  <c r="AF241" i="7"/>
  <c r="AU241" i="7"/>
  <c r="R241" i="7"/>
  <c r="AG241" i="7"/>
  <c r="AV241" i="7"/>
  <c r="I241" i="8"/>
  <c r="X241" i="8"/>
  <c r="AM241" i="8"/>
  <c r="J241" i="8"/>
  <c r="Y241" i="8"/>
  <c r="AN241" i="8"/>
  <c r="L241" i="8"/>
  <c r="AA241" i="8"/>
  <c r="AP241" i="8"/>
  <c r="N241" i="8"/>
  <c r="AC241" i="8"/>
  <c r="AR241" i="8"/>
  <c r="P241" i="8"/>
  <c r="AE241" i="8"/>
  <c r="AT241" i="8"/>
  <c r="Q241" i="8"/>
  <c r="AF241" i="8"/>
  <c r="AU241" i="8"/>
  <c r="H241" i="8"/>
  <c r="W241" i="8"/>
  <c r="AL241" i="8"/>
  <c r="K241" i="8"/>
  <c r="Z241" i="8"/>
  <c r="AO241" i="8"/>
  <c r="M241" i="8"/>
  <c r="AB241" i="8"/>
  <c r="AQ241" i="8"/>
  <c r="O241" i="8"/>
  <c r="AD241" i="8"/>
  <c r="AS241" i="8"/>
  <c r="R241" i="8"/>
  <c r="AG241" i="8"/>
  <c r="AV241" i="8"/>
  <c r="M241" i="7"/>
  <c r="AB241" i="7"/>
  <c r="AQ241" i="7"/>
  <c r="AH229" i="8"/>
  <c r="S229" i="8"/>
  <c r="D229" i="8"/>
  <c r="E217" i="8"/>
  <c r="T217" i="8"/>
  <c r="AI217" i="8"/>
  <c r="D212" i="9"/>
  <c r="S212" i="9"/>
  <c r="AH212" i="9"/>
  <c r="D189" i="7"/>
  <c r="S189" i="7"/>
  <c r="AH189" i="7"/>
  <c r="G186" i="9"/>
  <c r="V186" i="9"/>
  <c r="AK186" i="9"/>
  <c r="G182" i="10"/>
  <c r="V182" i="10"/>
  <c r="AK182" i="10"/>
  <c r="D167" i="10"/>
  <c r="S167" i="10"/>
  <c r="AH167" i="10"/>
  <c r="T169" i="9"/>
  <c r="E169" i="9"/>
  <c r="AI169" i="9"/>
  <c r="AY171" i="8"/>
  <c r="C171" i="8"/>
  <c r="AX172" i="8"/>
  <c r="AW171" i="8"/>
  <c r="W60" i="2" s="1"/>
  <c r="G172" i="8"/>
  <c r="V172" i="8"/>
  <c r="AK172" i="8"/>
  <c r="E161" i="10"/>
  <c r="T161" i="10"/>
  <c r="AI161" i="10"/>
  <c r="AY153" i="9"/>
  <c r="C153" i="9"/>
  <c r="AW153" i="9"/>
  <c r="AX154" i="9"/>
  <c r="F154" i="9"/>
  <c r="U154" i="9"/>
  <c r="AJ154" i="9"/>
  <c r="AW143" i="10"/>
  <c r="AX144" i="10"/>
  <c r="AJ144" i="10"/>
  <c r="F144" i="10"/>
  <c r="U144" i="10"/>
  <c r="C143" i="10"/>
  <c r="AY143" i="10"/>
  <c r="G83" i="7"/>
  <c r="V83" i="7"/>
  <c r="AK83" i="7"/>
  <c r="T58" i="7"/>
  <c r="U58" i="7" s="1"/>
  <c r="AJ58" i="7" s="1"/>
  <c r="AJ186" i="8" l="1"/>
  <c r="F186" i="8"/>
  <c r="U186" i="8"/>
  <c r="H243" i="10"/>
  <c r="W243" i="10"/>
  <c r="AL243" i="10"/>
  <c r="I243" i="10"/>
  <c r="X243" i="10"/>
  <c r="AM243" i="10"/>
  <c r="J243" i="10"/>
  <c r="Y243" i="10"/>
  <c r="AN243" i="10"/>
  <c r="K243" i="10"/>
  <c r="Z243" i="10"/>
  <c r="AO243" i="10"/>
  <c r="L243" i="10"/>
  <c r="AA243" i="10"/>
  <c r="AP243" i="10"/>
  <c r="M243" i="10"/>
  <c r="AB243" i="10"/>
  <c r="AQ243" i="10"/>
  <c r="N243" i="10"/>
  <c r="AC243" i="10"/>
  <c r="AR243" i="10"/>
  <c r="O243" i="10"/>
  <c r="AD243" i="10"/>
  <c r="AS243" i="10"/>
  <c r="P243" i="10"/>
  <c r="AE243" i="10"/>
  <c r="AT243" i="10"/>
  <c r="Q243" i="10"/>
  <c r="AF243" i="10"/>
  <c r="AU243" i="10"/>
  <c r="R243" i="10"/>
  <c r="AG243" i="10"/>
  <c r="AV243" i="10"/>
  <c r="H243" i="9"/>
  <c r="W243" i="9"/>
  <c r="AL243" i="9"/>
  <c r="I243" i="9"/>
  <c r="X243" i="9"/>
  <c r="AM243" i="9"/>
  <c r="J243" i="9"/>
  <c r="Y243" i="9"/>
  <c r="AN243" i="9"/>
  <c r="K243" i="9"/>
  <c r="Z243" i="9"/>
  <c r="AO243" i="9"/>
  <c r="L243" i="9"/>
  <c r="AA243" i="9"/>
  <c r="AP243" i="9"/>
  <c r="M243" i="9"/>
  <c r="AB243" i="9"/>
  <c r="AQ243" i="9"/>
  <c r="N243" i="9"/>
  <c r="AC243" i="9"/>
  <c r="AR243" i="9"/>
  <c r="O243" i="9"/>
  <c r="AD243" i="9"/>
  <c r="AS243" i="9"/>
  <c r="P243" i="9"/>
  <c r="AE243" i="9"/>
  <c r="AT243" i="9"/>
  <c r="Q243" i="9"/>
  <c r="AF243" i="9"/>
  <c r="AU243" i="9"/>
  <c r="R243" i="9"/>
  <c r="AG243" i="9"/>
  <c r="AV243" i="9"/>
  <c r="H242" i="7"/>
  <c r="W242" i="7"/>
  <c r="AL242" i="7"/>
  <c r="I242" i="7"/>
  <c r="X242" i="7"/>
  <c r="AM242" i="7"/>
  <c r="J242" i="7"/>
  <c r="Y242" i="7"/>
  <c r="AN242" i="7"/>
  <c r="K242" i="7"/>
  <c r="Z242" i="7"/>
  <c r="AO242" i="7"/>
  <c r="L242" i="7"/>
  <c r="AA242" i="7"/>
  <c r="AP242" i="7"/>
  <c r="N242" i="7"/>
  <c r="AC242" i="7"/>
  <c r="AR242" i="7"/>
  <c r="O242" i="7"/>
  <c r="AD242" i="7"/>
  <c r="AS242" i="7"/>
  <c r="P242" i="7"/>
  <c r="AE242" i="7"/>
  <c r="AT242" i="7"/>
  <c r="Q242" i="7"/>
  <c r="AF242" i="7"/>
  <c r="AU242" i="7"/>
  <c r="R242" i="7"/>
  <c r="AG242" i="7"/>
  <c r="AV242" i="7"/>
  <c r="I242" i="8"/>
  <c r="X242" i="8"/>
  <c r="AM242" i="8"/>
  <c r="J242" i="8"/>
  <c r="Y242" i="8"/>
  <c r="AN242" i="8"/>
  <c r="L242" i="8"/>
  <c r="AA242" i="8"/>
  <c r="AP242" i="8"/>
  <c r="N242" i="8"/>
  <c r="AC242" i="8"/>
  <c r="AR242" i="8"/>
  <c r="P242" i="8"/>
  <c r="AE242" i="8"/>
  <c r="AT242" i="8"/>
  <c r="Q242" i="8"/>
  <c r="AF242" i="8"/>
  <c r="AU242" i="8"/>
  <c r="H242" i="8"/>
  <c r="W242" i="8"/>
  <c r="AL242" i="8"/>
  <c r="K242" i="8"/>
  <c r="Z242" i="8"/>
  <c r="AO242" i="8"/>
  <c r="M242" i="8"/>
  <c r="AB242" i="8"/>
  <c r="AQ242" i="8"/>
  <c r="O242" i="8"/>
  <c r="AD242" i="8"/>
  <c r="AS242" i="8"/>
  <c r="R242" i="8"/>
  <c r="AG242" i="8"/>
  <c r="AV242" i="8"/>
  <c r="M242" i="7"/>
  <c r="AB242" i="7"/>
  <c r="AQ242" i="7"/>
  <c r="D230" i="8"/>
  <c r="S230" i="8"/>
  <c r="AH230" i="8"/>
  <c r="T218" i="8"/>
  <c r="E218" i="8"/>
  <c r="AI218" i="8"/>
  <c r="D213" i="9"/>
  <c r="S213" i="9"/>
  <c r="AH213" i="9"/>
  <c r="D190" i="7"/>
  <c r="S190" i="7"/>
  <c r="AH190" i="7"/>
  <c r="G187" i="9"/>
  <c r="V187" i="9"/>
  <c r="AK187" i="9"/>
  <c r="G183" i="10"/>
  <c r="V183" i="10"/>
  <c r="AK183" i="10"/>
  <c r="D168" i="10"/>
  <c r="S168" i="10"/>
  <c r="AH168" i="10"/>
  <c r="E170" i="9"/>
  <c r="T170" i="9"/>
  <c r="AI170" i="9"/>
  <c r="AY172" i="8"/>
  <c r="C172" i="8"/>
  <c r="AW172" i="8"/>
  <c r="AX173" i="8"/>
  <c r="G173" i="8"/>
  <c r="V173" i="8"/>
  <c r="AK173" i="8"/>
  <c r="E162" i="10"/>
  <c r="T162" i="10"/>
  <c r="AI162" i="10"/>
  <c r="AY154" i="9"/>
  <c r="C154" i="9"/>
  <c r="AX155" i="9"/>
  <c r="AW154" i="9"/>
  <c r="F155" i="9"/>
  <c r="U155" i="9"/>
  <c r="AJ155" i="9"/>
  <c r="AX145" i="10"/>
  <c r="AW144" i="10"/>
  <c r="F145" i="10"/>
  <c r="U145" i="10"/>
  <c r="AJ145" i="10"/>
  <c r="AY144" i="10"/>
  <c r="C144" i="10"/>
  <c r="G84" i="7"/>
  <c r="V84" i="7"/>
  <c r="AK84" i="7"/>
  <c r="AY58" i="7"/>
  <c r="AI58" i="7"/>
  <c r="F59" i="7"/>
  <c r="U187" i="8" l="1"/>
  <c r="AJ187" i="8"/>
  <c r="F187" i="8"/>
  <c r="H244" i="10"/>
  <c r="W244" i="10"/>
  <c r="AL244" i="10"/>
  <c r="I244" i="10"/>
  <c r="X244" i="10"/>
  <c r="AM244" i="10"/>
  <c r="J244" i="10"/>
  <c r="Y244" i="10"/>
  <c r="AN244" i="10"/>
  <c r="K244" i="10"/>
  <c r="Z244" i="10"/>
  <c r="AO244" i="10"/>
  <c r="L244" i="10"/>
  <c r="AA244" i="10"/>
  <c r="AP244" i="10"/>
  <c r="M244" i="10"/>
  <c r="AB244" i="10"/>
  <c r="AQ244" i="10"/>
  <c r="N244" i="10"/>
  <c r="AC244" i="10"/>
  <c r="AR244" i="10"/>
  <c r="O244" i="10"/>
  <c r="AD244" i="10"/>
  <c r="AS244" i="10"/>
  <c r="P244" i="10"/>
  <c r="AE244" i="10"/>
  <c r="AT244" i="10"/>
  <c r="Q244" i="10"/>
  <c r="AF244" i="10"/>
  <c r="AU244" i="10"/>
  <c r="R244" i="10"/>
  <c r="AG244" i="10"/>
  <c r="AV244" i="10"/>
  <c r="H244" i="9"/>
  <c r="W244" i="9"/>
  <c r="AL244" i="9"/>
  <c r="I244" i="9"/>
  <c r="X244" i="9"/>
  <c r="AM244" i="9"/>
  <c r="J244" i="9"/>
  <c r="Y244" i="9"/>
  <c r="AN244" i="9"/>
  <c r="K244" i="9"/>
  <c r="Z244" i="9"/>
  <c r="AO244" i="9"/>
  <c r="L244" i="9"/>
  <c r="AA244" i="9"/>
  <c r="AP244" i="9"/>
  <c r="M244" i="9"/>
  <c r="AB244" i="9"/>
  <c r="AQ244" i="9"/>
  <c r="N244" i="9"/>
  <c r="AC244" i="9"/>
  <c r="AR244" i="9"/>
  <c r="O244" i="9"/>
  <c r="AD244" i="9"/>
  <c r="AS244" i="9"/>
  <c r="P244" i="9"/>
  <c r="AE244" i="9"/>
  <c r="AT244" i="9"/>
  <c r="Q244" i="9"/>
  <c r="AF244" i="9"/>
  <c r="AU244" i="9"/>
  <c r="R244" i="9"/>
  <c r="AG244" i="9"/>
  <c r="AV244" i="9"/>
  <c r="H243" i="7"/>
  <c r="W243" i="7"/>
  <c r="AL243" i="7"/>
  <c r="I243" i="7"/>
  <c r="X243" i="7"/>
  <c r="AM243" i="7"/>
  <c r="J243" i="7"/>
  <c r="Y243" i="7"/>
  <c r="AN243" i="7"/>
  <c r="K243" i="7"/>
  <c r="Z243" i="7"/>
  <c r="AO243" i="7"/>
  <c r="L243" i="7"/>
  <c r="AA243" i="7"/>
  <c r="AP243" i="7"/>
  <c r="N243" i="7"/>
  <c r="AC243" i="7"/>
  <c r="AR243" i="7"/>
  <c r="O243" i="7"/>
  <c r="AD243" i="7"/>
  <c r="AS243" i="7"/>
  <c r="P243" i="7"/>
  <c r="AE243" i="7"/>
  <c r="AT243" i="7"/>
  <c r="Q243" i="7"/>
  <c r="AF243" i="7"/>
  <c r="AU243" i="7"/>
  <c r="R243" i="7"/>
  <c r="AG243" i="7"/>
  <c r="AV243" i="7"/>
  <c r="I243" i="8"/>
  <c r="X243" i="8"/>
  <c r="AM243" i="8"/>
  <c r="J243" i="8"/>
  <c r="Y243" i="8"/>
  <c r="AN243" i="8"/>
  <c r="L243" i="8"/>
  <c r="AA243" i="8"/>
  <c r="AP243" i="8"/>
  <c r="N243" i="8"/>
  <c r="AC243" i="8"/>
  <c r="AR243" i="8"/>
  <c r="P243" i="8"/>
  <c r="AE243" i="8"/>
  <c r="AT243" i="8"/>
  <c r="Q243" i="8"/>
  <c r="AF243" i="8"/>
  <c r="AU243" i="8"/>
  <c r="H243" i="8"/>
  <c r="W243" i="8"/>
  <c r="AL243" i="8"/>
  <c r="K243" i="8"/>
  <c r="Z243" i="8"/>
  <c r="AO243" i="8"/>
  <c r="M243" i="8"/>
  <c r="AB243" i="8"/>
  <c r="AQ243" i="8"/>
  <c r="O243" i="8"/>
  <c r="AD243" i="8"/>
  <c r="AS243" i="8"/>
  <c r="R243" i="8"/>
  <c r="AG243" i="8"/>
  <c r="AV243" i="8"/>
  <c r="M243" i="7"/>
  <c r="AB243" i="7"/>
  <c r="AQ243" i="7"/>
  <c r="D231" i="8"/>
  <c r="S231" i="8"/>
  <c r="AH231" i="8"/>
  <c r="T219" i="8"/>
  <c r="E219" i="8"/>
  <c r="AI219" i="8"/>
  <c r="D214" i="9"/>
  <c r="S214" i="9"/>
  <c r="AH214" i="9"/>
  <c r="D191" i="7"/>
  <c r="S191" i="7"/>
  <c r="AH191" i="7"/>
  <c r="G188" i="9"/>
  <c r="V188" i="9"/>
  <c r="AK188" i="9"/>
  <c r="G184" i="10"/>
  <c r="V184" i="10"/>
  <c r="AK184" i="10"/>
  <c r="D169" i="10"/>
  <c r="S169" i="10"/>
  <c r="AH169" i="10"/>
  <c r="E171" i="9"/>
  <c r="T171" i="9"/>
  <c r="AI171" i="9"/>
  <c r="AY173" i="8"/>
  <c r="C173" i="8"/>
  <c r="AX174" i="8"/>
  <c r="AW173" i="8"/>
  <c r="G174" i="8"/>
  <c r="V174" i="8"/>
  <c r="AK174" i="8"/>
  <c r="E163" i="10"/>
  <c r="T163" i="10"/>
  <c r="AI163" i="10"/>
  <c r="C155" i="9"/>
  <c r="AY155" i="9"/>
  <c r="AW155" i="9"/>
  <c r="AX156" i="9"/>
  <c r="F156" i="9"/>
  <c r="U156" i="9"/>
  <c r="AJ156" i="9"/>
  <c r="C145" i="10"/>
  <c r="AY145" i="10"/>
  <c r="AW145" i="10"/>
  <c r="AX146" i="10"/>
  <c r="U146" i="10"/>
  <c r="AJ146" i="10"/>
  <c r="F146" i="10"/>
  <c r="G85" i="7"/>
  <c r="V85" i="7"/>
  <c r="AK85" i="7"/>
  <c r="E59" i="7"/>
  <c r="AX59" i="7"/>
  <c r="AW58" i="7"/>
  <c r="AJ188" i="8" l="1"/>
  <c r="U188" i="8"/>
  <c r="F188" i="8"/>
  <c r="H245" i="10"/>
  <c r="W245" i="10"/>
  <c r="AL245" i="10"/>
  <c r="I245" i="10"/>
  <c r="X245" i="10"/>
  <c r="AM245" i="10"/>
  <c r="J245" i="10"/>
  <c r="Y245" i="10"/>
  <c r="AN245" i="10"/>
  <c r="K245" i="10"/>
  <c r="Z245" i="10"/>
  <c r="AO245" i="10"/>
  <c r="L245" i="10"/>
  <c r="AA245" i="10"/>
  <c r="AP245" i="10"/>
  <c r="M245" i="10"/>
  <c r="AB245" i="10"/>
  <c r="AQ245" i="10"/>
  <c r="N245" i="10"/>
  <c r="AC245" i="10"/>
  <c r="AR245" i="10"/>
  <c r="O245" i="10"/>
  <c r="AD245" i="10"/>
  <c r="AS245" i="10"/>
  <c r="P245" i="10"/>
  <c r="AE245" i="10"/>
  <c r="AT245" i="10"/>
  <c r="Q245" i="10"/>
  <c r="AF245" i="10"/>
  <c r="AU245" i="10"/>
  <c r="R245" i="10"/>
  <c r="AG245" i="10"/>
  <c r="AV245" i="10"/>
  <c r="H245" i="9"/>
  <c r="W245" i="9"/>
  <c r="AL245" i="9"/>
  <c r="I245" i="9"/>
  <c r="X245" i="9"/>
  <c r="AM245" i="9"/>
  <c r="J245" i="9"/>
  <c r="Y245" i="9"/>
  <c r="AN245" i="9"/>
  <c r="K245" i="9"/>
  <c r="Z245" i="9"/>
  <c r="AO245" i="9"/>
  <c r="L245" i="9"/>
  <c r="AA245" i="9"/>
  <c r="AP245" i="9"/>
  <c r="M245" i="9"/>
  <c r="AB245" i="9"/>
  <c r="AQ245" i="9"/>
  <c r="N245" i="9"/>
  <c r="AC245" i="9"/>
  <c r="AR245" i="9"/>
  <c r="O245" i="9"/>
  <c r="AD245" i="9"/>
  <c r="AS245" i="9"/>
  <c r="P245" i="9"/>
  <c r="AE245" i="9"/>
  <c r="AT245" i="9"/>
  <c r="Q245" i="9"/>
  <c r="AF245" i="9"/>
  <c r="AU245" i="9"/>
  <c r="R245" i="9"/>
  <c r="AG245" i="9"/>
  <c r="AV245" i="9"/>
  <c r="H244" i="7"/>
  <c r="W244" i="7"/>
  <c r="AL244" i="7"/>
  <c r="I244" i="7"/>
  <c r="X244" i="7"/>
  <c r="AM244" i="7"/>
  <c r="J244" i="7"/>
  <c r="Y244" i="7"/>
  <c r="AN244" i="7"/>
  <c r="K244" i="7"/>
  <c r="Z244" i="7"/>
  <c r="AO244" i="7"/>
  <c r="L244" i="7"/>
  <c r="AA244" i="7"/>
  <c r="AP244" i="7"/>
  <c r="N244" i="7"/>
  <c r="AC244" i="7"/>
  <c r="AR244" i="7"/>
  <c r="O244" i="7"/>
  <c r="AD244" i="7"/>
  <c r="AS244" i="7"/>
  <c r="P244" i="7"/>
  <c r="AE244" i="7"/>
  <c r="AT244" i="7"/>
  <c r="Q244" i="7"/>
  <c r="AF244" i="7"/>
  <c r="AU244" i="7"/>
  <c r="R244" i="7"/>
  <c r="AG244" i="7"/>
  <c r="AV244" i="7"/>
  <c r="I244" i="8"/>
  <c r="X244" i="8"/>
  <c r="AM244" i="8"/>
  <c r="J244" i="8"/>
  <c r="Y244" i="8"/>
  <c r="AN244" i="8"/>
  <c r="L244" i="8"/>
  <c r="AA244" i="8"/>
  <c r="AP244" i="8"/>
  <c r="N244" i="8"/>
  <c r="AC244" i="8"/>
  <c r="AR244" i="8"/>
  <c r="P244" i="8"/>
  <c r="AE244" i="8"/>
  <c r="AT244" i="8"/>
  <c r="Q244" i="8"/>
  <c r="AF244" i="8"/>
  <c r="AU244" i="8"/>
  <c r="H244" i="8"/>
  <c r="W244" i="8"/>
  <c r="AL244" i="8"/>
  <c r="K244" i="8"/>
  <c r="Z244" i="8"/>
  <c r="AO244" i="8"/>
  <c r="M244" i="8"/>
  <c r="AB244" i="8"/>
  <c r="AQ244" i="8"/>
  <c r="O244" i="8"/>
  <c r="AD244" i="8"/>
  <c r="AS244" i="8"/>
  <c r="R244" i="8"/>
  <c r="AG244" i="8"/>
  <c r="AV244" i="8"/>
  <c r="M244" i="7"/>
  <c r="AB244" i="7"/>
  <c r="AQ244" i="7"/>
  <c r="D232" i="8"/>
  <c r="S232" i="8"/>
  <c r="AH232" i="8"/>
  <c r="T220" i="8"/>
  <c r="AI220" i="8"/>
  <c r="E220" i="8"/>
  <c r="D215" i="9"/>
  <c r="S215" i="9"/>
  <c r="AH215" i="9"/>
  <c r="D192" i="7"/>
  <c r="S192" i="7"/>
  <c r="AH192" i="7"/>
  <c r="G189" i="9"/>
  <c r="V189" i="9"/>
  <c r="AK189" i="9"/>
  <c r="G185" i="10"/>
  <c r="V185" i="10"/>
  <c r="AK185" i="10"/>
  <c r="S170" i="10"/>
  <c r="AH170" i="10"/>
  <c r="D170" i="10"/>
  <c r="AI172" i="9"/>
  <c r="E172" i="9"/>
  <c r="T172" i="9"/>
  <c r="C174" i="8"/>
  <c r="AY174" i="8"/>
  <c r="AW174" i="8"/>
  <c r="W61" i="2" s="1"/>
  <c r="AX175" i="8"/>
  <c r="G175" i="8"/>
  <c r="V175" i="8"/>
  <c r="AK175" i="8"/>
  <c r="T164" i="10"/>
  <c r="AI164" i="10"/>
  <c r="E164" i="10"/>
  <c r="C156" i="9"/>
  <c r="AY156" i="9"/>
  <c r="AW156" i="9"/>
  <c r="AX157" i="9"/>
  <c r="F157" i="9"/>
  <c r="U157" i="9"/>
  <c r="AJ157" i="9"/>
  <c r="AX147" i="10"/>
  <c r="AW146" i="10"/>
  <c r="F147" i="10"/>
  <c r="U147" i="10"/>
  <c r="AJ147" i="10"/>
  <c r="C146" i="10"/>
  <c r="AY146" i="10"/>
  <c r="G86" i="7"/>
  <c r="V86" i="7"/>
  <c r="AK86" i="7"/>
  <c r="C59" i="7"/>
  <c r="T59" i="7"/>
  <c r="AJ189" i="8" l="1"/>
  <c r="F189" i="8"/>
  <c r="U189" i="8"/>
  <c r="H246" i="10"/>
  <c r="W246" i="10"/>
  <c r="AL246" i="10"/>
  <c r="I246" i="10"/>
  <c r="X246" i="10"/>
  <c r="AM246" i="10"/>
  <c r="J246" i="10"/>
  <c r="Y246" i="10"/>
  <c r="AN246" i="10"/>
  <c r="K246" i="10"/>
  <c r="Z246" i="10"/>
  <c r="AO246" i="10"/>
  <c r="L246" i="10"/>
  <c r="AA246" i="10"/>
  <c r="AP246" i="10"/>
  <c r="M246" i="10"/>
  <c r="AB246" i="10"/>
  <c r="AQ246" i="10"/>
  <c r="N246" i="10"/>
  <c r="AC246" i="10"/>
  <c r="AR246" i="10"/>
  <c r="O246" i="10"/>
  <c r="AD246" i="10"/>
  <c r="AS246" i="10"/>
  <c r="P246" i="10"/>
  <c r="AE246" i="10"/>
  <c r="AT246" i="10"/>
  <c r="Q246" i="10"/>
  <c r="AF246" i="10"/>
  <c r="AU246" i="10"/>
  <c r="R246" i="10"/>
  <c r="AG246" i="10"/>
  <c r="AV246" i="10"/>
  <c r="H246" i="9"/>
  <c r="W246" i="9"/>
  <c r="AL246" i="9"/>
  <c r="I246" i="9"/>
  <c r="X246" i="9"/>
  <c r="AM246" i="9"/>
  <c r="J246" i="9"/>
  <c r="Y246" i="9"/>
  <c r="AN246" i="9"/>
  <c r="K246" i="9"/>
  <c r="Z246" i="9"/>
  <c r="AO246" i="9"/>
  <c r="L246" i="9"/>
  <c r="AA246" i="9"/>
  <c r="AP246" i="9"/>
  <c r="M246" i="9"/>
  <c r="AB246" i="9"/>
  <c r="AQ246" i="9"/>
  <c r="N246" i="9"/>
  <c r="AC246" i="9"/>
  <c r="AR246" i="9"/>
  <c r="O246" i="9"/>
  <c r="AD246" i="9"/>
  <c r="AS246" i="9"/>
  <c r="P246" i="9"/>
  <c r="AE246" i="9"/>
  <c r="AT246" i="9"/>
  <c r="Q246" i="9"/>
  <c r="AF246" i="9"/>
  <c r="AU246" i="9"/>
  <c r="R246" i="9"/>
  <c r="AG246" i="9"/>
  <c r="AV246" i="9"/>
  <c r="H245" i="7"/>
  <c r="W245" i="7"/>
  <c r="AL245" i="7"/>
  <c r="I245" i="7"/>
  <c r="X245" i="7"/>
  <c r="AM245" i="7"/>
  <c r="J245" i="7"/>
  <c r="Y245" i="7"/>
  <c r="AN245" i="7"/>
  <c r="K245" i="7"/>
  <c r="Z245" i="7"/>
  <c r="AO245" i="7"/>
  <c r="L245" i="7"/>
  <c r="AA245" i="7"/>
  <c r="AP245" i="7"/>
  <c r="N245" i="7"/>
  <c r="AC245" i="7"/>
  <c r="AR245" i="7"/>
  <c r="O245" i="7"/>
  <c r="AD245" i="7"/>
  <c r="AS245" i="7"/>
  <c r="P245" i="7"/>
  <c r="AE245" i="7"/>
  <c r="AT245" i="7"/>
  <c r="Q245" i="7"/>
  <c r="AF245" i="7"/>
  <c r="AU245" i="7"/>
  <c r="R245" i="7"/>
  <c r="AG245" i="7"/>
  <c r="AV245" i="7"/>
  <c r="I245" i="8"/>
  <c r="X245" i="8"/>
  <c r="AM245" i="8"/>
  <c r="J245" i="8"/>
  <c r="Y245" i="8"/>
  <c r="AN245" i="8"/>
  <c r="L245" i="8"/>
  <c r="AA245" i="8"/>
  <c r="AP245" i="8"/>
  <c r="N245" i="8"/>
  <c r="AC245" i="8"/>
  <c r="AR245" i="8"/>
  <c r="P245" i="8"/>
  <c r="AE245" i="8"/>
  <c r="AT245" i="8"/>
  <c r="Q245" i="8"/>
  <c r="AF245" i="8"/>
  <c r="AU245" i="8"/>
  <c r="H245" i="8"/>
  <c r="W245" i="8"/>
  <c r="AL245" i="8"/>
  <c r="K245" i="8"/>
  <c r="Z245" i="8"/>
  <c r="AO245" i="8"/>
  <c r="M245" i="8"/>
  <c r="AB245" i="8"/>
  <c r="AQ245" i="8"/>
  <c r="O245" i="8"/>
  <c r="AD245" i="8"/>
  <c r="AS245" i="8"/>
  <c r="R245" i="8"/>
  <c r="AG245" i="8"/>
  <c r="AV245" i="8"/>
  <c r="M245" i="7"/>
  <c r="AB245" i="7"/>
  <c r="AQ245" i="7"/>
  <c r="D233" i="8"/>
  <c r="S233" i="8"/>
  <c r="AH233" i="8"/>
  <c r="T221" i="8"/>
  <c r="AI221" i="8"/>
  <c r="E221" i="8"/>
  <c r="D216" i="9"/>
  <c r="S216" i="9"/>
  <c r="AH216" i="9"/>
  <c r="D193" i="7"/>
  <c r="S193" i="7"/>
  <c r="AH193" i="7"/>
  <c r="G190" i="9"/>
  <c r="V190" i="9"/>
  <c r="AK190" i="9"/>
  <c r="G186" i="10"/>
  <c r="V186" i="10"/>
  <c r="AK186" i="10"/>
  <c r="D171" i="10"/>
  <c r="S171" i="10"/>
  <c r="AH171" i="10"/>
  <c r="E173" i="9"/>
  <c r="T173" i="9"/>
  <c r="AI173" i="9"/>
  <c r="AY175" i="8"/>
  <c r="C175" i="8"/>
  <c r="AX176" i="8"/>
  <c r="AW175" i="8"/>
  <c r="G176" i="8"/>
  <c r="V176" i="8"/>
  <c r="AK176" i="8"/>
  <c r="E165" i="10"/>
  <c r="T165" i="10"/>
  <c r="AI165" i="10"/>
  <c r="AY157" i="9"/>
  <c r="C157" i="9"/>
  <c r="AW157" i="9"/>
  <c r="AX158" i="9"/>
  <c r="F158" i="9"/>
  <c r="U158" i="9"/>
  <c r="AJ158" i="9"/>
  <c r="AY147" i="10"/>
  <c r="C147" i="10"/>
  <c r="AX148" i="10"/>
  <c r="AW147" i="10"/>
  <c r="F148" i="10"/>
  <c r="U148" i="10"/>
  <c r="AJ148" i="10"/>
  <c r="G87" i="7"/>
  <c r="V87" i="7"/>
  <c r="AK87" i="7"/>
  <c r="U59" i="7"/>
  <c r="AI59" i="7"/>
  <c r="AJ190" i="8" l="1"/>
  <c r="U190" i="8"/>
  <c r="F190" i="8"/>
  <c r="H247" i="10"/>
  <c r="W247" i="10"/>
  <c r="AL247" i="10"/>
  <c r="I247" i="10"/>
  <c r="X247" i="10"/>
  <c r="AM247" i="10"/>
  <c r="J247" i="10"/>
  <c r="Y247" i="10"/>
  <c r="AN247" i="10"/>
  <c r="K247" i="10"/>
  <c r="Z247" i="10"/>
  <c r="AO247" i="10"/>
  <c r="L247" i="10"/>
  <c r="AA247" i="10"/>
  <c r="AP247" i="10"/>
  <c r="M247" i="10"/>
  <c r="AB247" i="10"/>
  <c r="AQ247" i="10"/>
  <c r="N247" i="10"/>
  <c r="AC247" i="10"/>
  <c r="AR247" i="10"/>
  <c r="O247" i="10"/>
  <c r="AD247" i="10"/>
  <c r="AS247" i="10"/>
  <c r="P247" i="10"/>
  <c r="AE247" i="10"/>
  <c r="AT247" i="10"/>
  <c r="Q247" i="10"/>
  <c r="AF247" i="10"/>
  <c r="AU247" i="10"/>
  <c r="R247" i="10"/>
  <c r="AG247" i="10"/>
  <c r="AV247" i="10"/>
  <c r="H247" i="9"/>
  <c r="W247" i="9"/>
  <c r="AL247" i="9"/>
  <c r="I247" i="9"/>
  <c r="X247" i="9"/>
  <c r="AM247" i="9"/>
  <c r="J247" i="9"/>
  <c r="Y247" i="9"/>
  <c r="AN247" i="9"/>
  <c r="K247" i="9"/>
  <c r="Z247" i="9"/>
  <c r="AO247" i="9"/>
  <c r="L247" i="9"/>
  <c r="AA247" i="9"/>
  <c r="AP247" i="9"/>
  <c r="M247" i="9"/>
  <c r="AB247" i="9"/>
  <c r="AQ247" i="9"/>
  <c r="N247" i="9"/>
  <c r="AC247" i="9"/>
  <c r="AR247" i="9"/>
  <c r="O247" i="9"/>
  <c r="AD247" i="9"/>
  <c r="AS247" i="9"/>
  <c r="P247" i="9"/>
  <c r="AE247" i="9"/>
  <c r="AT247" i="9"/>
  <c r="Q247" i="9"/>
  <c r="AF247" i="9"/>
  <c r="AU247" i="9"/>
  <c r="R247" i="9"/>
  <c r="AG247" i="9"/>
  <c r="AV247" i="9"/>
  <c r="H246" i="7"/>
  <c r="W246" i="7"/>
  <c r="AL246" i="7"/>
  <c r="I246" i="7"/>
  <c r="X246" i="7"/>
  <c r="AM246" i="7"/>
  <c r="J246" i="7"/>
  <c r="Y246" i="7"/>
  <c r="AN246" i="7"/>
  <c r="K246" i="7"/>
  <c r="Z246" i="7"/>
  <c r="AO246" i="7"/>
  <c r="L246" i="7"/>
  <c r="AA246" i="7"/>
  <c r="AP246" i="7"/>
  <c r="N246" i="7"/>
  <c r="AC246" i="7"/>
  <c r="AR246" i="7"/>
  <c r="O246" i="7"/>
  <c r="AD246" i="7"/>
  <c r="AS246" i="7"/>
  <c r="P246" i="7"/>
  <c r="AE246" i="7"/>
  <c r="AT246" i="7"/>
  <c r="Q246" i="7"/>
  <c r="AF246" i="7"/>
  <c r="AU246" i="7"/>
  <c r="R246" i="7"/>
  <c r="AG246" i="7"/>
  <c r="AV246" i="7"/>
  <c r="I246" i="8"/>
  <c r="X246" i="8"/>
  <c r="AM246" i="8"/>
  <c r="J246" i="8"/>
  <c r="Y246" i="8"/>
  <c r="AN246" i="8"/>
  <c r="L246" i="8"/>
  <c r="AA246" i="8"/>
  <c r="AP246" i="8"/>
  <c r="N246" i="8"/>
  <c r="AC246" i="8"/>
  <c r="AR246" i="8"/>
  <c r="P246" i="8"/>
  <c r="AE246" i="8"/>
  <c r="AT246" i="8"/>
  <c r="Q246" i="8"/>
  <c r="AF246" i="8"/>
  <c r="AU246" i="8"/>
  <c r="H246" i="8"/>
  <c r="W246" i="8"/>
  <c r="AL246" i="8"/>
  <c r="K246" i="8"/>
  <c r="Z246" i="8"/>
  <c r="AO246" i="8"/>
  <c r="M246" i="8"/>
  <c r="AB246" i="8"/>
  <c r="AQ246" i="8"/>
  <c r="O246" i="8"/>
  <c r="AD246" i="8"/>
  <c r="AS246" i="8"/>
  <c r="R246" i="8"/>
  <c r="AG246" i="8"/>
  <c r="AV246" i="8"/>
  <c r="M246" i="7"/>
  <c r="AB246" i="7"/>
  <c r="AQ246" i="7"/>
  <c r="D234" i="8"/>
  <c r="S234" i="8"/>
  <c r="AH234" i="8"/>
  <c r="T222" i="8"/>
  <c r="AI222" i="8"/>
  <c r="E222" i="8"/>
  <c r="D217" i="9"/>
  <c r="S217" i="9"/>
  <c r="AH217" i="9"/>
  <c r="D194" i="7"/>
  <c r="S194" i="7"/>
  <c r="AH194" i="7"/>
  <c r="G191" i="9"/>
  <c r="V191" i="9"/>
  <c r="AK191" i="9"/>
  <c r="G187" i="10"/>
  <c r="V187" i="10"/>
  <c r="AK187" i="10"/>
  <c r="D172" i="10"/>
  <c r="S172" i="10"/>
  <c r="AH172" i="10"/>
  <c r="E174" i="9"/>
  <c r="T174" i="9"/>
  <c r="AI174" i="9"/>
  <c r="C176" i="8"/>
  <c r="AY176" i="8"/>
  <c r="AW176" i="8"/>
  <c r="AX177" i="8"/>
  <c r="G177" i="8"/>
  <c r="V177" i="8"/>
  <c r="AK177" i="8"/>
  <c r="E166" i="10"/>
  <c r="T166" i="10"/>
  <c r="AI166" i="10"/>
  <c r="C158" i="9"/>
  <c r="AY158" i="9"/>
  <c r="AW158" i="9"/>
  <c r="AX159" i="9"/>
  <c r="F159" i="9"/>
  <c r="U159" i="9"/>
  <c r="AJ159" i="9"/>
  <c r="C148" i="10"/>
  <c r="AY148" i="10"/>
  <c r="AW148" i="10"/>
  <c r="AX149" i="10"/>
  <c r="F149" i="10"/>
  <c r="U149" i="10"/>
  <c r="AJ149" i="10"/>
  <c r="G88" i="7"/>
  <c r="V88" i="7"/>
  <c r="AK88" i="7"/>
  <c r="E60" i="7"/>
  <c r="AJ59" i="7"/>
  <c r="AY59" i="7"/>
  <c r="AJ191" i="8" l="1"/>
  <c r="U191" i="8"/>
  <c r="F191" i="8"/>
  <c r="AW59" i="7"/>
  <c r="AX60" i="7"/>
  <c r="H248" i="10"/>
  <c r="W248" i="10"/>
  <c r="AL248" i="10"/>
  <c r="I248" i="10"/>
  <c r="X248" i="10"/>
  <c r="AM248" i="10"/>
  <c r="J248" i="10"/>
  <c r="Y248" i="10"/>
  <c r="AN248" i="10"/>
  <c r="K248" i="10"/>
  <c r="Z248" i="10"/>
  <c r="AO248" i="10"/>
  <c r="L248" i="10"/>
  <c r="AA248" i="10"/>
  <c r="AP248" i="10"/>
  <c r="M248" i="10"/>
  <c r="AB248" i="10"/>
  <c r="AQ248" i="10"/>
  <c r="N248" i="10"/>
  <c r="AC248" i="10"/>
  <c r="AR248" i="10"/>
  <c r="O248" i="10"/>
  <c r="AD248" i="10"/>
  <c r="AS248" i="10"/>
  <c r="P248" i="10"/>
  <c r="AE248" i="10"/>
  <c r="AT248" i="10"/>
  <c r="Q248" i="10"/>
  <c r="AF248" i="10"/>
  <c r="AU248" i="10"/>
  <c r="R248" i="10"/>
  <c r="AG248" i="10"/>
  <c r="AV248" i="10"/>
  <c r="H248" i="9"/>
  <c r="W248" i="9"/>
  <c r="AL248" i="9"/>
  <c r="I248" i="9"/>
  <c r="X248" i="9"/>
  <c r="AM248" i="9"/>
  <c r="J248" i="9"/>
  <c r="Y248" i="9"/>
  <c r="AN248" i="9"/>
  <c r="K248" i="9"/>
  <c r="Z248" i="9"/>
  <c r="AO248" i="9"/>
  <c r="L248" i="9"/>
  <c r="AA248" i="9"/>
  <c r="AP248" i="9"/>
  <c r="M248" i="9"/>
  <c r="AB248" i="9"/>
  <c r="AQ248" i="9"/>
  <c r="N248" i="9"/>
  <c r="AC248" i="9"/>
  <c r="AR248" i="9"/>
  <c r="O248" i="9"/>
  <c r="AD248" i="9"/>
  <c r="AS248" i="9"/>
  <c r="P248" i="9"/>
  <c r="AE248" i="9"/>
  <c r="AT248" i="9"/>
  <c r="Q248" i="9"/>
  <c r="AF248" i="9"/>
  <c r="AU248" i="9"/>
  <c r="R248" i="9"/>
  <c r="AG248" i="9"/>
  <c r="AV248" i="9"/>
  <c r="H247" i="7"/>
  <c r="W247" i="7"/>
  <c r="AL247" i="7"/>
  <c r="I247" i="7"/>
  <c r="X247" i="7"/>
  <c r="AM247" i="7"/>
  <c r="J247" i="7"/>
  <c r="Y247" i="7"/>
  <c r="AN247" i="7"/>
  <c r="K247" i="7"/>
  <c r="Z247" i="7"/>
  <c r="AO247" i="7"/>
  <c r="L247" i="7"/>
  <c r="AA247" i="7"/>
  <c r="AP247" i="7"/>
  <c r="N247" i="7"/>
  <c r="AC247" i="7"/>
  <c r="AR247" i="7"/>
  <c r="O247" i="7"/>
  <c r="AD247" i="7"/>
  <c r="AS247" i="7"/>
  <c r="P247" i="7"/>
  <c r="AE247" i="7"/>
  <c r="AT247" i="7"/>
  <c r="Q247" i="7"/>
  <c r="AF247" i="7"/>
  <c r="AU247" i="7"/>
  <c r="R247" i="7"/>
  <c r="AG247" i="7"/>
  <c r="AV247" i="7"/>
  <c r="I247" i="8"/>
  <c r="X247" i="8"/>
  <c r="AM247" i="8"/>
  <c r="J247" i="8"/>
  <c r="Y247" i="8"/>
  <c r="AN247" i="8"/>
  <c r="L247" i="8"/>
  <c r="AA247" i="8"/>
  <c r="AP247" i="8"/>
  <c r="N247" i="8"/>
  <c r="AC247" i="8"/>
  <c r="AR247" i="8"/>
  <c r="P247" i="8"/>
  <c r="AE247" i="8"/>
  <c r="AT247" i="8"/>
  <c r="Q247" i="8"/>
  <c r="AF247" i="8"/>
  <c r="AU247" i="8"/>
  <c r="H247" i="8"/>
  <c r="W247" i="8"/>
  <c r="AL247" i="8"/>
  <c r="K247" i="8"/>
  <c r="Z247" i="8"/>
  <c r="AO247" i="8"/>
  <c r="M247" i="8"/>
  <c r="AB247" i="8"/>
  <c r="AQ247" i="8"/>
  <c r="O247" i="8"/>
  <c r="AD247" i="8"/>
  <c r="AS247" i="8"/>
  <c r="R247" i="8"/>
  <c r="AG247" i="8"/>
  <c r="AV247" i="8"/>
  <c r="M247" i="7"/>
  <c r="AB247" i="7"/>
  <c r="AQ247" i="7"/>
  <c r="D235" i="8"/>
  <c r="S235" i="8"/>
  <c r="AH235" i="8"/>
  <c r="AI223" i="8"/>
  <c r="E223" i="8"/>
  <c r="T223" i="8"/>
  <c r="D218" i="9"/>
  <c r="S218" i="9"/>
  <c r="AH218" i="9"/>
  <c r="D195" i="7"/>
  <c r="S195" i="7"/>
  <c r="AH195" i="7"/>
  <c r="G192" i="9"/>
  <c r="V192" i="9"/>
  <c r="AK192" i="9"/>
  <c r="G188" i="10"/>
  <c r="V188" i="10"/>
  <c r="AK188" i="10"/>
  <c r="S173" i="10"/>
  <c r="AH173" i="10"/>
  <c r="D173" i="10"/>
  <c r="AI175" i="9"/>
  <c r="E175" i="9"/>
  <c r="T175" i="9"/>
  <c r="C177" i="8"/>
  <c r="AY177" i="8"/>
  <c r="AX178" i="8"/>
  <c r="AW177" i="8"/>
  <c r="W62" i="2" s="1"/>
  <c r="G178" i="8"/>
  <c r="V178" i="8"/>
  <c r="AK178" i="8"/>
  <c r="E167" i="10"/>
  <c r="T167" i="10"/>
  <c r="AI167" i="10"/>
  <c r="AY159" i="9"/>
  <c r="C159" i="9"/>
  <c r="AW159" i="9"/>
  <c r="AX160" i="9"/>
  <c r="F160" i="9"/>
  <c r="U160" i="9"/>
  <c r="AJ160" i="9"/>
  <c r="C149" i="10"/>
  <c r="AY149" i="10"/>
  <c r="AX150" i="10"/>
  <c r="AW149" i="10"/>
  <c r="AJ150" i="10"/>
  <c r="F150" i="10"/>
  <c r="U150" i="10"/>
  <c r="G89" i="7"/>
  <c r="V89" i="7"/>
  <c r="AK89" i="7"/>
  <c r="F60" i="7"/>
  <c r="AJ192" i="8" l="1"/>
  <c r="U192" i="8"/>
  <c r="F192" i="8"/>
  <c r="H249" i="10"/>
  <c r="W249" i="10"/>
  <c r="AL249" i="10"/>
  <c r="I249" i="10"/>
  <c r="X249" i="10"/>
  <c r="AM249" i="10"/>
  <c r="J249" i="10"/>
  <c r="Y249" i="10"/>
  <c r="AN249" i="10"/>
  <c r="K249" i="10"/>
  <c r="Z249" i="10"/>
  <c r="AO249" i="10"/>
  <c r="L249" i="10"/>
  <c r="AA249" i="10"/>
  <c r="AP249" i="10"/>
  <c r="M249" i="10"/>
  <c r="AB249" i="10"/>
  <c r="AQ249" i="10"/>
  <c r="N249" i="10"/>
  <c r="AC249" i="10"/>
  <c r="AR249" i="10"/>
  <c r="O249" i="10"/>
  <c r="AD249" i="10"/>
  <c r="AS249" i="10"/>
  <c r="P249" i="10"/>
  <c r="AE249" i="10"/>
  <c r="AT249" i="10"/>
  <c r="Q249" i="10"/>
  <c r="AF249" i="10"/>
  <c r="AU249" i="10"/>
  <c r="R249" i="10"/>
  <c r="AG249" i="10"/>
  <c r="AV249" i="10"/>
  <c r="H249" i="9"/>
  <c r="W249" i="9"/>
  <c r="AL249" i="9"/>
  <c r="I249" i="9"/>
  <c r="X249" i="9"/>
  <c r="AM249" i="9"/>
  <c r="J249" i="9"/>
  <c r="Y249" i="9"/>
  <c r="AN249" i="9"/>
  <c r="K249" i="9"/>
  <c r="Z249" i="9"/>
  <c r="AO249" i="9"/>
  <c r="L249" i="9"/>
  <c r="AA249" i="9"/>
  <c r="AP249" i="9"/>
  <c r="M249" i="9"/>
  <c r="AB249" i="9"/>
  <c r="AQ249" i="9"/>
  <c r="N249" i="9"/>
  <c r="AC249" i="9"/>
  <c r="AR249" i="9"/>
  <c r="O249" i="9"/>
  <c r="AD249" i="9"/>
  <c r="AS249" i="9"/>
  <c r="P249" i="9"/>
  <c r="AE249" i="9"/>
  <c r="AT249" i="9"/>
  <c r="Q249" i="9"/>
  <c r="AF249" i="9"/>
  <c r="AU249" i="9"/>
  <c r="R249" i="9"/>
  <c r="AG249" i="9"/>
  <c r="AV249" i="9"/>
  <c r="H248" i="7"/>
  <c r="W248" i="7"/>
  <c r="AL248" i="7"/>
  <c r="I248" i="7"/>
  <c r="X248" i="7"/>
  <c r="AM248" i="7"/>
  <c r="J248" i="7"/>
  <c r="Y248" i="7"/>
  <c r="AN248" i="7"/>
  <c r="K248" i="7"/>
  <c r="Z248" i="7"/>
  <c r="AO248" i="7"/>
  <c r="L248" i="7"/>
  <c r="AA248" i="7"/>
  <c r="AP248" i="7"/>
  <c r="N248" i="7"/>
  <c r="AC248" i="7"/>
  <c r="AR248" i="7"/>
  <c r="O248" i="7"/>
  <c r="AD248" i="7"/>
  <c r="AS248" i="7"/>
  <c r="P248" i="7"/>
  <c r="AE248" i="7"/>
  <c r="AT248" i="7"/>
  <c r="Q248" i="7"/>
  <c r="AF248" i="7"/>
  <c r="AU248" i="7"/>
  <c r="R248" i="7"/>
  <c r="AG248" i="7"/>
  <c r="AV248" i="7"/>
  <c r="I248" i="8"/>
  <c r="X248" i="8"/>
  <c r="AM248" i="8"/>
  <c r="J248" i="8"/>
  <c r="Y248" i="8"/>
  <c r="AN248" i="8"/>
  <c r="L248" i="8"/>
  <c r="AA248" i="8"/>
  <c r="AP248" i="8"/>
  <c r="N248" i="8"/>
  <c r="AC248" i="8"/>
  <c r="AR248" i="8"/>
  <c r="P248" i="8"/>
  <c r="AE248" i="8"/>
  <c r="AT248" i="8"/>
  <c r="Q248" i="8"/>
  <c r="AF248" i="8"/>
  <c r="AU248" i="8"/>
  <c r="H248" i="8"/>
  <c r="W248" i="8"/>
  <c r="AL248" i="8"/>
  <c r="K248" i="8"/>
  <c r="Z248" i="8"/>
  <c r="AO248" i="8"/>
  <c r="M248" i="8"/>
  <c r="AB248" i="8"/>
  <c r="AQ248" i="8"/>
  <c r="O248" i="8"/>
  <c r="AD248" i="8"/>
  <c r="AS248" i="8"/>
  <c r="R248" i="8"/>
  <c r="AG248" i="8"/>
  <c r="AV248" i="8"/>
  <c r="M248" i="7"/>
  <c r="AB248" i="7"/>
  <c r="AQ248" i="7"/>
  <c r="D236" i="8"/>
  <c r="S236" i="8"/>
  <c r="AH236" i="8"/>
  <c r="AI224" i="8"/>
  <c r="E224" i="8"/>
  <c r="T224" i="8"/>
  <c r="D219" i="9"/>
  <c r="S219" i="9"/>
  <c r="AH219" i="9"/>
  <c r="D196" i="7"/>
  <c r="S196" i="7"/>
  <c r="AH196" i="7"/>
  <c r="G193" i="9"/>
  <c r="V193" i="9"/>
  <c r="AK193" i="9"/>
  <c r="G189" i="10"/>
  <c r="V189" i="10"/>
  <c r="AK189" i="10"/>
  <c r="D174" i="10"/>
  <c r="S174" i="10"/>
  <c r="AH174" i="10"/>
  <c r="AI176" i="9"/>
  <c r="E176" i="9"/>
  <c r="T176" i="9"/>
  <c r="AY178" i="8"/>
  <c r="C178" i="8"/>
  <c r="AX179" i="8"/>
  <c r="AW178" i="8"/>
  <c r="G179" i="8"/>
  <c r="V179" i="8"/>
  <c r="AK179" i="8"/>
  <c r="E168" i="10"/>
  <c r="T168" i="10"/>
  <c r="AI168" i="10"/>
  <c r="AY160" i="9"/>
  <c r="C160" i="9"/>
  <c r="AX161" i="9"/>
  <c r="AW160" i="9"/>
  <c r="F161" i="9"/>
  <c r="U161" i="9"/>
  <c r="AJ161" i="9"/>
  <c r="AW150" i="10"/>
  <c r="AX151" i="10"/>
  <c r="F151" i="10"/>
  <c r="U151" i="10"/>
  <c r="AJ151" i="10"/>
  <c r="C150" i="10"/>
  <c r="AY150" i="10"/>
  <c r="G90" i="7"/>
  <c r="V90" i="7"/>
  <c r="AK90" i="7"/>
  <c r="C60" i="7"/>
  <c r="U193" i="8" l="1"/>
  <c r="AJ193" i="8"/>
  <c r="F193" i="8"/>
  <c r="H250" i="10"/>
  <c r="W250" i="10"/>
  <c r="AL250" i="10"/>
  <c r="I250" i="10"/>
  <c r="X250" i="10"/>
  <c r="AM250" i="10"/>
  <c r="J250" i="10"/>
  <c r="Y250" i="10"/>
  <c r="AN250" i="10"/>
  <c r="K250" i="10"/>
  <c r="Z250" i="10"/>
  <c r="AO250" i="10"/>
  <c r="L250" i="10"/>
  <c r="AA250" i="10"/>
  <c r="AP250" i="10"/>
  <c r="M250" i="10"/>
  <c r="AB250" i="10"/>
  <c r="AQ250" i="10"/>
  <c r="N250" i="10"/>
  <c r="AC250" i="10"/>
  <c r="AR250" i="10"/>
  <c r="O250" i="10"/>
  <c r="AD250" i="10"/>
  <c r="AS250" i="10"/>
  <c r="P250" i="10"/>
  <c r="AE250" i="10"/>
  <c r="AT250" i="10"/>
  <c r="Q250" i="10"/>
  <c r="AF250" i="10"/>
  <c r="AU250" i="10"/>
  <c r="R250" i="10"/>
  <c r="AG250" i="10"/>
  <c r="AV250" i="10"/>
  <c r="H250" i="9"/>
  <c r="W250" i="9"/>
  <c r="AL250" i="9"/>
  <c r="I250" i="9"/>
  <c r="X250" i="9"/>
  <c r="AM250" i="9"/>
  <c r="J250" i="9"/>
  <c r="Y250" i="9"/>
  <c r="AN250" i="9"/>
  <c r="K250" i="9"/>
  <c r="Z250" i="9"/>
  <c r="AO250" i="9"/>
  <c r="L250" i="9"/>
  <c r="AA250" i="9"/>
  <c r="AP250" i="9"/>
  <c r="M250" i="9"/>
  <c r="AB250" i="9"/>
  <c r="AQ250" i="9"/>
  <c r="N250" i="9"/>
  <c r="AC250" i="9"/>
  <c r="AR250" i="9"/>
  <c r="O250" i="9"/>
  <c r="AD250" i="9"/>
  <c r="AS250" i="9"/>
  <c r="P250" i="9"/>
  <c r="AE250" i="9"/>
  <c r="AT250" i="9"/>
  <c r="Q250" i="9"/>
  <c r="AF250" i="9"/>
  <c r="AU250" i="9"/>
  <c r="R250" i="9"/>
  <c r="AG250" i="9"/>
  <c r="AV250" i="9"/>
  <c r="H249" i="7"/>
  <c r="W249" i="7"/>
  <c r="AL249" i="7"/>
  <c r="I249" i="7"/>
  <c r="X249" i="7"/>
  <c r="AM249" i="7"/>
  <c r="J249" i="7"/>
  <c r="Y249" i="7"/>
  <c r="AN249" i="7"/>
  <c r="K249" i="7"/>
  <c r="Z249" i="7"/>
  <c r="AO249" i="7"/>
  <c r="L249" i="7"/>
  <c r="AA249" i="7"/>
  <c r="AP249" i="7"/>
  <c r="N249" i="7"/>
  <c r="AC249" i="7"/>
  <c r="AR249" i="7"/>
  <c r="O249" i="7"/>
  <c r="AD249" i="7"/>
  <c r="AS249" i="7"/>
  <c r="P249" i="7"/>
  <c r="AE249" i="7"/>
  <c r="AT249" i="7"/>
  <c r="Q249" i="7"/>
  <c r="AF249" i="7"/>
  <c r="AU249" i="7"/>
  <c r="R249" i="7"/>
  <c r="AG249" i="7"/>
  <c r="AV249" i="7"/>
  <c r="I249" i="8"/>
  <c r="X249" i="8"/>
  <c r="AM249" i="8"/>
  <c r="J249" i="8"/>
  <c r="Y249" i="8"/>
  <c r="AN249" i="8"/>
  <c r="L249" i="8"/>
  <c r="AA249" i="8"/>
  <c r="AP249" i="8"/>
  <c r="N249" i="8"/>
  <c r="AC249" i="8"/>
  <c r="AR249" i="8"/>
  <c r="P249" i="8"/>
  <c r="AE249" i="8"/>
  <c r="AT249" i="8"/>
  <c r="Q249" i="8"/>
  <c r="AF249" i="8"/>
  <c r="AU249" i="8"/>
  <c r="H249" i="8"/>
  <c r="W249" i="8"/>
  <c r="AL249" i="8"/>
  <c r="K249" i="8"/>
  <c r="Z249" i="8"/>
  <c r="AO249" i="8"/>
  <c r="M249" i="8"/>
  <c r="AB249" i="8"/>
  <c r="AQ249" i="8"/>
  <c r="O249" i="8"/>
  <c r="AD249" i="8"/>
  <c r="AS249" i="8"/>
  <c r="R249" i="8"/>
  <c r="AG249" i="8"/>
  <c r="AV249" i="8"/>
  <c r="M249" i="7"/>
  <c r="AB249" i="7"/>
  <c r="AQ249" i="7"/>
  <c r="D237" i="8"/>
  <c r="S237" i="8"/>
  <c r="AH237" i="8"/>
  <c r="E225" i="8"/>
  <c r="AI225" i="8"/>
  <c r="T225" i="8"/>
  <c r="D220" i="9"/>
  <c r="S220" i="9"/>
  <c r="AH220" i="9"/>
  <c r="D197" i="7"/>
  <c r="S197" i="7"/>
  <c r="AH197" i="7"/>
  <c r="G194" i="9"/>
  <c r="V194" i="9"/>
  <c r="AK194" i="9"/>
  <c r="G190" i="10"/>
  <c r="V190" i="10"/>
  <c r="AK190" i="10"/>
  <c r="D175" i="10"/>
  <c r="S175" i="10"/>
  <c r="AH175" i="10"/>
  <c r="E177" i="9"/>
  <c r="AI177" i="9"/>
  <c r="T177" i="9"/>
  <c r="AY179" i="8"/>
  <c r="C179" i="8"/>
  <c r="AW179" i="8"/>
  <c r="AX180" i="8"/>
  <c r="G180" i="8"/>
  <c r="V180" i="8"/>
  <c r="AK180" i="8"/>
  <c r="E169" i="10"/>
  <c r="T169" i="10"/>
  <c r="AI169" i="10"/>
  <c r="AY161" i="9"/>
  <c r="C161" i="9"/>
  <c r="AX162" i="9"/>
  <c r="AW161" i="9"/>
  <c r="F162" i="9"/>
  <c r="U162" i="9"/>
  <c r="AJ162" i="9"/>
  <c r="C151" i="10"/>
  <c r="AY151" i="10"/>
  <c r="AW151" i="10"/>
  <c r="AX152" i="10"/>
  <c r="F152" i="10"/>
  <c r="U152" i="10"/>
  <c r="AJ152" i="10"/>
  <c r="G91" i="7"/>
  <c r="V91" i="7"/>
  <c r="AK91" i="7"/>
  <c r="T60" i="7"/>
  <c r="U60" i="7" s="1"/>
  <c r="AJ60" i="7" s="1"/>
  <c r="U194" i="8" l="1"/>
  <c r="F194" i="8"/>
  <c r="AJ194" i="8"/>
  <c r="H251" i="10"/>
  <c r="W251" i="10"/>
  <c r="AL251" i="10"/>
  <c r="I251" i="10"/>
  <c r="X251" i="10"/>
  <c r="AM251" i="10"/>
  <c r="J251" i="10"/>
  <c r="Y251" i="10"/>
  <c r="AN251" i="10"/>
  <c r="K251" i="10"/>
  <c r="Z251" i="10"/>
  <c r="AO251" i="10"/>
  <c r="L251" i="10"/>
  <c r="AA251" i="10"/>
  <c r="AP251" i="10"/>
  <c r="M251" i="10"/>
  <c r="AB251" i="10"/>
  <c r="AQ251" i="10"/>
  <c r="N251" i="10"/>
  <c r="AC251" i="10"/>
  <c r="AR251" i="10"/>
  <c r="O251" i="10"/>
  <c r="AD251" i="10"/>
  <c r="AS251" i="10"/>
  <c r="P251" i="10"/>
  <c r="AE251" i="10"/>
  <c r="AT251" i="10"/>
  <c r="Q251" i="10"/>
  <c r="AF251" i="10"/>
  <c r="AU251" i="10"/>
  <c r="R251" i="10"/>
  <c r="AG251" i="10"/>
  <c r="AV251" i="10"/>
  <c r="H251" i="9"/>
  <c r="W251" i="9"/>
  <c r="AL251" i="9"/>
  <c r="I251" i="9"/>
  <c r="X251" i="9"/>
  <c r="AM251" i="9"/>
  <c r="J251" i="9"/>
  <c r="Y251" i="9"/>
  <c r="AN251" i="9"/>
  <c r="K251" i="9"/>
  <c r="Z251" i="9"/>
  <c r="AO251" i="9"/>
  <c r="L251" i="9"/>
  <c r="AA251" i="9"/>
  <c r="AP251" i="9"/>
  <c r="M251" i="9"/>
  <c r="AB251" i="9"/>
  <c r="AQ251" i="9"/>
  <c r="N251" i="9"/>
  <c r="AC251" i="9"/>
  <c r="AR251" i="9"/>
  <c r="O251" i="9"/>
  <c r="AD251" i="9"/>
  <c r="AS251" i="9"/>
  <c r="P251" i="9"/>
  <c r="AE251" i="9"/>
  <c r="AT251" i="9"/>
  <c r="Q251" i="9"/>
  <c r="AF251" i="9"/>
  <c r="AU251" i="9"/>
  <c r="R251" i="9"/>
  <c r="AG251" i="9"/>
  <c r="AV251" i="9"/>
  <c r="H250" i="7"/>
  <c r="W250" i="7"/>
  <c r="AL250" i="7"/>
  <c r="I250" i="7"/>
  <c r="X250" i="7"/>
  <c r="AM250" i="7"/>
  <c r="J250" i="7"/>
  <c r="Y250" i="7"/>
  <c r="AN250" i="7"/>
  <c r="K250" i="7"/>
  <c r="Z250" i="7"/>
  <c r="AO250" i="7"/>
  <c r="L250" i="7"/>
  <c r="AA250" i="7"/>
  <c r="AP250" i="7"/>
  <c r="N250" i="7"/>
  <c r="AC250" i="7"/>
  <c r="AR250" i="7"/>
  <c r="O250" i="7"/>
  <c r="AD250" i="7"/>
  <c r="AS250" i="7"/>
  <c r="P250" i="7"/>
  <c r="AE250" i="7"/>
  <c r="AT250" i="7"/>
  <c r="Q250" i="7"/>
  <c r="AF250" i="7"/>
  <c r="AU250" i="7"/>
  <c r="R250" i="7"/>
  <c r="AG250" i="7"/>
  <c r="AV250" i="7"/>
  <c r="I250" i="8"/>
  <c r="X250" i="8"/>
  <c r="AM250" i="8"/>
  <c r="J250" i="8"/>
  <c r="Y250" i="8"/>
  <c r="AN250" i="8"/>
  <c r="L250" i="8"/>
  <c r="AA250" i="8"/>
  <c r="AP250" i="8"/>
  <c r="N250" i="8"/>
  <c r="AC250" i="8"/>
  <c r="AR250" i="8"/>
  <c r="P250" i="8"/>
  <c r="AE250" i="8"/>
  <c r="AT250" i="8"/>
  <c r="Q250" i="8"/>
  <c r="AF250" i="8"/>
  <c r="AU250" i="8"/>
  <c r="H250" i="8"/>
  <c r="W250" i="8"/>
  <c r="AL250" i="8"/>
  <c r="K250" i="8"/>
  <c r="Z250" i="8"/>
  <c r="AO250" i="8"/>
  <c r="M250" i="8"/>
  <c r="AB250" i="8"/>
  <c r="AQ250" i="8"/>
  <c r="O250" i="8"/>
  <c r="AD250" i="8"/>
  <c r="AS250" i="8"/>
  <c r="R250" i="8"/>
  <c r="AG250" i="8"/>
  <c r="AV250" i="8"/>
  <c r="M250" i="7"/>
  <c r="AB250" i="7"/>
  <c r="AQ250" i="7"/>
  <c r="D238" i="8"/>
  <c r="S238" i="8"/>
  <c r="AH238" i="8"/>
  <c r="AI226" i="8"/>
  <c r="E226" i="8"/>
  <c r="T226" i="8"/>
  <c r="D221" i="9"/>
  <c r="S221" i="9"/>
  <c r="AH221" i="9"/>
  <c r="D198" i="7"/>
  <c r="S198" i="7"/>
  <c r="AH198" i="7"/>
  <c r="G195" i="9"/>
  <c r="V195" i="9"/>
  <c r="AK195" i="9"/>
  <c r="G191" i="10"/>
  <c r="V191" i="10"/>
  <c r="AK191" i="10"/>
  <c r="AH176" i="10"/>
  <c r="D176" i="10"/>
  <c r="S176" i="10"/>
  <c r="E178" i="9"/>
  <c r="T178" i="9"/>
  <c r="AI178" i="9"/>
  <c r="AY180" i="8"/>
  <c r="C180" i="8"/>
  <c r="AX181" i="8"/>
  <c r="AW180" i="8"/>
  <c r="W63" i="2" s="1"/>
  <c r="G181" i="8"/>
  <c r="V181" i="8"/>
  <c r="AK181" i="8"/>
  <c r="E170" i="10"/>
  <c r="T170" i="10"/>
  <c r="AI170" i="10"/>
  <c r="AY162" i="9"/>
  <c r="C162" i="9"/>
  <c r="AW162" i="9"/>
  <c r="AX163" i="9"/>
  <c r="F163" i="9"/>
  <c r="U163" i="9"/>
  <c r="AJ163" i="9"/>
  <c r="AY152" i="10"/>
  <c r="C152" i="10"/>
  <c r="AX153" i="10"/>
  <c r="AW152" i="10"/>
  <c r="F153" i="10"/>
  <c r="AJ153" i="10"/>
  <c r="U153" i="10"/>
  <c r="G92" i="7"/>
  <c r="V92" i="7"/>
  <c r="AK92" i="7"/>
  <c r="AY60" i="7"/>
  <c r="AI60" i="7"/>
  <c r="F61" i="7"/>
  <c r="AJ195" i="8" l="1"/>
  <c r="U195" i="8"/>
  <c r="F195" i="8"/>
  <c r="H252" i="10"/>
  <c r="W252" i="10"/>
  <c r="AL252" i="10"/>
  <c r="I252" i="10"/>
  <c r="X252" i="10"/>
  <c r="AM252" i="10"/>
  <c r="J252" i="10"/>
  <c r="Y252" i="10"/>
  <c r="AN252" i="10"/>
  <c r="K252" i="10"/>
  <c r="Z252" i="10"/>
  <c r="AO252" i="10"/>
  <c r="L252" i="10"/>
  <c r="AA252" i="10"/>
  <c r="AP252" i="10"/>
  <c r="M252" i="10"/>
  <c r="AB252" i="10"/>
  <c r="AQ252" i="10"/>
  <c r="N252" i="10"/>
  <c r="AC252" i="10"/>
  <c r="AR252" i="10"/>
  <c r="O252" i="10"/>
  <c r="AD252" i="10"/>
  <c r="AS252" i="10"/>
  <c r="P252" i="10"/>
  <c r="AE252" i="10"/>
  <c r="AT252" i="10"/>
  <c r="Q252" i="10"/>
  <c r="AF252" i="10"/>
  <c r="AU252" i="10"/>
  <c r="R252" i="10"/>
  <c r="AG252" i="10"/>
  <c r="AV252" i="10"/>
  <c r="H252" i="9"/>
  <c r="W252" i="9"/>
  <c r="AL252" i="9"/>
  <c r="I252" i="9"/>
  <c r="X252" i="9"/>
  <c r="AM252" i="9"/>
  <c r="J252" i="9"/>
  <c r="Y252" i="9"/>
  <c r="AN252" i="9"/>
  <c r="K252" i="9"/>
  <c r="Z252" i="9"/>
  <c r="AO252" i="9"/>
  <c r="L252" i="9"/>
  <c r="AA252" i="9"/>
  <c r="AP252" i="9"/>
  <c r="M252" i="9"/>
  <c r="AB252" i="9"/>
  <c r="AQ252" i="9"/>
  <c r="N252" i="9"/>
  <c r="AC252" i="9"/>
  <c r="AR252" i="9"/>
  <c r="O252" i="9"/>
  <c r="AD252" i="9"/>
  <c r="AS252" i="9"/>
  <c r="P252" i="9"/>
  <c r="AE252" i="9"/>
  <c r="AT252" i="9"/>
  <c r="Q252" i="9"/>
  <c r="AF252" i="9"/>
  <c r="AU252" i="9"/>
  <c r="R252" i="9"/>
  <c r="AG252" i="9"/>
  <c r="AV252" i="9"/>
  <c r="H251" i="7"/>
  <c r="W251" i="7"/>
  <c r="AL251" i="7"/>
  <c r="I251" i="7"/>
  <c r="X251" i="7"/>
  <c r="AM251" i="7"/>
  <c r="J251" i="7"/>
  <c r="Y251" i="7"/>
  <c r="AN251" i="7"/>
  <c r="K251" i="7"/>
  <c r="Z251" i="7"/>
  <c r="AO251" i="7"/>
  <c r="L251" i="7"/>
  <c r="AA251" i="7"/>
  <c r="AP251" i="7"/>
  <c r="N251" i="7"/>
  <c r="AC251" i="7"/>
  <c r="AR251" i="7"/>
  <c r="O251" i="7"/>
  <c r="AD251" i="7"/>
  <c r="AS251" i="7"/>
  <c r="P251" i="7"/>
  <c r="AE251" i="7"/>
  <c r="AT251" i="7"/>
  <c r="Q251" i="7"/>
  <c r="AF251" i="7"/>
  <c r="AU251" i="7"/>
  <c r="R251" i="7"/>
  <c r="AG251" i="7"/>
  <c r="AV251" i="7"/>
  <c r="I251" i="8"/>
  <c r="X251" i="8"/>
  <c r="AM251" i="8"/>
  <c r="J251" i="8"/>
  <c r="Y251" i="8"/>
  <c r="AN251" i="8"/>
  <c r="L251" i="8"/>
  <c r="AA251" i="8"/>
  <c r="AP251" i="8"/>
  <c r="N251" i="8"/>
  <c r="AC251" i="8"/>
  <c r="AR251" i="8"/>
  <c r="P251" i="8"/>
  <c r="AE251" i="8"/>
  <c r="AT251" i="8"/>
  <c r="Q251" i="8"/>
  <c r="AF251" i="8"/>
  <c r="AU251" i="8"/>
  <c r="H251" i="8"/>
  <c r="W251" i="8"/>
  <c r="AL251" i="8"/>
  <c r="K251" i="8"/>
  <c r="Z251" i="8"/>
  <c r="AO251" i="8"/>
  <c r="M251" i="8"/>
  <c r="AB251" i="8"/>
  <c r="AQ251" i="8"/>
  <c r="O251" i="8"/>
  <c r="AD251" i="8"/>
  <c r="AS251" i="8"/>
  <c r="R251" i="8"/>
  <c r="AG251" i="8"/>
  <c r="AV251" i="8"/>
  <c r="M251" i="7"/>
  <c r="AB251" i="7"/>
  <c r="AQ251" i="7"/>
  <c r="D239" i="8"/>
  <c r="S239" i="8"/>
  <c r="AH239" i="8"/>
  <c r="E227" i="8"/>
  <c r="AI227" i="8"/>
  <c r="T227" i="8"/>
  <c r="D222" i="9"/>
  <c r="S222" i="9"/>
  <c r="AH222" i="9"/>
  <c r="D199" i="7"/>
  <c r="S199" i="7"/>
  <c r="AH199" i="7"/>
  <c r="G196" i="9"/>
  <c r="V196" i="9"/>
  <c r="AK196" i="9"/>
  <c r="G192" i="10"/>
  <c r="V192" i="10"/>
  <c r="AK192" i="10"/>
  <c r="S177" i="10"/>
  <c r="AH177" i="10"/>
  <c r="D177" i="10"/>
  <c r="T179" i="9"/>
  <c r="E179" i="9"/>
  <c r="AI179" i="9"/>
  <c r="C181" i="8"/>
  <c r="AY181" i="8"/>
  <c r="AX182" i="8"/>
  <c r="AW181" i="8"/>
  <c r="G182" i="8"/>
  <c r="V182" i="8"/>
  <c r="AK182" i="8"/>
  <c r="E171" i="10"/>
  <c r="T171" i="10"/>
  <c r="AI171" i="10"/>
  <c r="C163" i="9"/>
  <c r="AY163" i="9"/>
  <c r="AW163" i="9"/>
  <c r="AX164" i="9"/>
  <c r="F164" i="9"/>
  <c r="U164" i="9"/>
  <c r="AJ164" i="9"/>
  <c r="C153" i="10"/>
  <c r="AY153" i="10"/>
  <c r="AW153" i="10"/>
  <c r="AX154" i="10"/>
  <c r="F154" i="10"/>
  <c r="U154" i="10"/>
  <c r="AJ154" i="10"/>
  <c r="G93" i="7"/>
  <c r="V93" i="7"/>
  <c r="AK93" i="7"/>
  <c r="E61" i="7"/>
  <c r="AW60" i="7"/>
  <c r="X23" i="2" s="1"/>
  <c r="AX61" i="7"/>
  <c r="U196" i="8" l="1"/>
  <c r="AJ196" i="8"/>
  <c r="F196" i="8"/>
  <c r="H253" i="10"/>
  <c r="W253" i="10"/>
  <c r="AL253" i="10"/>
  <c r="I253" i="10"/>
  <c r="X253" i="10"/>
  <c r="AM253" i="10"/>
  <c r="J253" i="10"/>
  <c r="Y253" i="10"/>
  <c r="AN253" i="10"/>
  <c r="K253" i="10"/>
  <c r="Z253" i="10"/>
  <c r="AO253" i="10"/>
  <c r="L253" i="10"/>
  <c r="AA253" i="10"/>
  <c r="AP253" i="10"/>
  <c r="M253" i="10"/>
  <c r="AB253" i="10"/>
  <c r="AQ253" i="10"/>
  <c r="N253" i="10"/>
  <c r="AC253" i="10"/>
  <c r="AR253" i="10"/>
  <c r="O253" i="10"/>
  <c r="AD253" i="10"/>
  <c r="AS253" i="10"/>
  <c r="P253" i="10"/>
  <c r="AE253" i="10"/>
  <c r="AT253" i="10"/>
  <c r="Q253" i="10"/>
  <c r="AF253" i="10"/>
  <c r="AU253" i="10"/>
  <c r="R253" i="10"/>
  <c r="AG253" i="10"/>
  <c r="AV253" i="10"/>
  <c r="H253" i="9"/>
  <c r="W253" i="9"/>
  <c r="AL253" i="9"/>
  <c r="I253" i="9"/>
  <c r="X253" i="9"/>
  <c r="AM253" i="9"/>
  <c r="J253" i="9"/>
  <c r="Y253" i="9"/>
  <c r="AN253" i="9"/>
  <c r="K253" i="9"/>
  <c r="Z253" i="9"/>
  <c r="AO253" i="9"/>
  <c r="L253" i="9"/>
  <c r="AA253" i="9"/>
  <c r="AP253" i="9"/>
  <c r="M253" i="9"/>
  <c r="AB253" i="9"/>
  <c r="AQ253" i="9"/>
  <c r="N253" i="9"/>
  <c r="AC253" i="9"/>
  <c r="AR253" i="9"/>
  <c r="O253" i="9"/>
  <c r="AD253" i="9"/>
  <c r="AS253" i="9"/>
  <c r="P253" i="9"/>
  <c r="AE253" i="9"/>
  <c r="AT253" i="9"/>
  <c r="Q253" i="9"/>
  <c r="AF253" i="9"/>
  <c r="AU253" i="9"/>
  <c r="R253" i="9"/>
  <c r="AG253" i="9"/>
  <c r="AV253" i="9"/>
  <c r="H252" i="7"/>
  <c r="W252" i="7"/>
  <c r="AL252" i="7"/>
  <c r="I252" i="7"/>
  <c r="X252" i="7"/>
  <c r="AM252" i="7"/>
  <c r="J252" i="7"/>
  <c r="Y252" i="7"/>
  <c r="AN252" i="7"/>
  <c r="K252" i="7"/>
  <c r="Z252" i="7"/>
  <c r="AO252" i="7"/>
  <c r="L252" i="7"/>
  <c r="AA252" i="7"/>
  <c r="AP252" i="7"/>
  <c r="N252" i="7"/>
  <c r="AC252" i="7"/>
  <c r="AR252" i="7"/>
  <c r="O252" i="7"/>
  <c r="AD252" i="7"/>
  <c r="AS252" i="7"/>
  <c r="P252" i="7"/>
  <c r="AE252" i="7"/>
  <c r="AT252" i="7"/>
  <c r="Q252" i="7"/>
  <c r="AF252" i="7"/>
  <c r="AU252" i="7"/>
  <c r="R252" i="7"/>
  <c r="AG252" i="7"/>
  <c r="AV252" i="7"/>
  <c r="I252" i="8"/>
  <c r="X252" i="8"/>
  <c r="AM252" i="8"/>
  <c r="J252" i="8"/>
  <c r="Y252" i="8"/>
  <c r="AN252" i="8"/>
  <c r="L252" i="8"/>
  <c r="AA252" i="8"/>
  <c r="AP252" i="8"/>
  <c r="N252" i="8"/>
  <c r="AC252" i="8"/>
  <c r="AR252" i="8"/>
  <c r="P252" i="8"/>
  <c r="AE252" i="8"/>
  <c r="AT252" i="8"/>
  <c r="Q252" i="8"/>
  <c r="AF252" i="8"/>
  <c r="AU252" i="8"/>
  <c r="H252" i="8"/>
  <c r="W252" i="8"/>
  <c r="AL252" i="8"/>
  <c r="K252" i="8"/>
  <c r="Z252" i="8"/>
  <c r="AO252" i="8"/>
  <c r="M252" i="8"/>
  <c r="AB252" i="8"/>
  <c r="AQ252" i="8"/>
  <c r="O252" i="8"/>
  <c r="AD252" i="8"/>
  <c r="AS252" i="8"/>
  <c r="R252" i="8"/>
  <c r="AG252" i="8"/>
  <c r="AV252" i="8"/>
  <c r="M252" i="7"/>
  <c r="AB252" i="7"/>
  <c r="AQ252" i="7"/>
  <c r="D240" i="8"/>
  <c r="S240" i="8"/>
  <c r="AH240" i="8"/>
  <c r="E228" i="8"/>
  <c r="AI228" i="8"/>
  <c r="T228" i="8"/>
  <c r="D223" i="9"/>
  <c r="S223" i="9"/>
  <c r="AH223" i="9"/>
  <c r="D200" i="7"/>
  <c r="S200" i="7"/>
  <c r="AH200" i="7"/>
  <c r="G197" i="9"/>
  <c r="V197" i="9"/>
  <c r="AK197" i="9"/>
  <c r="G193" i="10"/>
  <c r="V193" i="10"/>
  <c r="AK193" i="10"/>
  <c r="S178" i="10"/>
  <c r="AH178" i="10"/>
  <c r="D178" i="10"/>
  <c r="T180" i="9"/>
  <c r="AI180" i="9"/>
  <c r="E180" i="9"/>
  <c r="AY182" i="8"/>
  <c r="C182" i="8"/>
  <c r="AW182" i="8"/>
  <c r="AX183" i="8"/>
  <c r="G183" i="8"/>
  <c r="V183" i="8"/>
  <c r="AK183" i="8"/>
  <c r="E172" i="10"/>
  <c r="T172" i="10"/>
  <c r="AI172" i="10"/>
  <c r="C164" i="9"/>
  <c r="AY164" i="9"/>
  <c r="AX165" i="9"/>
  <c r="AW164" i="9"/>
  <c r="F165" i="9"/>
  <c r="U165" i="9"/>
  <c r="AJ165" i="9"/>
  <c r="AY154" i="10"/>
  <c r="C154" i="10"/>
  <c r="AW154" i="10"/>
  <c r="AX155" i="10"/>
  <c r="AJ155" i="10"/>
  <c r="F155" i="10"/>
  <c r="U155" i="10"/>
  <c r="G94" i="7"/>
  <c r="V94" i="7"/>
  <c r="AK94" i="7"/>
  <c r="C61" i="7"/>
  <c r="T61" i="7"/>
  <c r="AJ197" i="8" l="1"/>
  <c r="U197" i="8"/>
  <c r="F197" i="8"/>
  <c r="H254" i="10"/>
  <c r="W254" i="10"/>
  <c r="AL254" i="10"/>
  <c r="I254" i="10"/>
  <c r="X254" i="10"/>
  <c r="AM254" i="10"/>
  <c r="J254" i="10"/>
  <c r="Y254" i="10"/>
  <c r="AN254" i="10"/>
  <c r="K254" i="10"/>
  <c r="Z254" i="10"/>
  <c r="AO254" i="10"/>
  <c r="L254" i="10"/>
  <c r="AA254" i="10"/>
  <c r="AP254" i="10"/>
  <c r="M254" i="10"/>
  <c r="AB254" i="10"/>
  <c r="AQ254" i="10"/>
  <c r="N254" i="10"/>
  <c r="AC254" i="10"/>
  <c r="AR254" i="10"/>
  <c r="O254" i="10"/>
  <c r="AD254" i="10"/>
  <c r="AS254" i="10"/>
  <c r="P254" i="10"/>
  <c r="AE254" i="10"/>
  <c r="AT254" i="10"/>
  <c r="Q254" i="10"/>
  <c r="AF254" i="10"/>
  <c r="AU254" i="10"/>
  <c r="R254" i="10"/>
  <c r="AG254" i="10"/>
  <c r="AV254" i="10"/>
  <c r="H254" i="9"/>
  <c r="W254" i="9"/>
  <c r="AL254" i="9"/>
  <c r="I254" i="9"/>
  <c r="X254" i="9"/>
  <c r="AM254" i="9"/>
  <c r="J254" i="9"/>
  <c r="Y254" i="9"/>
  <c r="AN254" i="9"/>
  <c r="K254" i="9"/>
  <c r="Z254" i="9"/>
  <c r="AO254" i="9"/>
  <c r="L254" i="9"/>
  <c r="AA254" i="9"/>
  <c r="AP254" i="9"/>
  <c r="M254" i="9"/>
  <c r="AB254" i="9"/>
  <c r="AQ254" i="9"/>
  <c r="N254" i="9"/>
  <c r="AC254" i="9"/>
  <c r="AR254" i="9"/>
  <c r="O254" i="9"/>
  <c r="AD254" i="9"/>
  <c r="AS254" i="9"/>
  <c r="P254" i="9"/>
  <c r="AE254" i="9"/>
  <c r="AT254" i="9"/>
  <c r="Q254" i="9"/>
  <c r="AF254" i="9"/>
  <c r="AU254" i="9"/>
  <c r="R254" i="9"/>
  <c r="AG254" i="9"/>
  <c r="AV254" i="9"/>
  <c r="H253" i="7"/>
  <c r="W253" i="7"/>
  <c r="AL253" i="7"/>
  <c r="I253" i="7"/>
  <c r="X253" i="7"/>
  <c r="AM253" i="7"/>
  <c r="J253" i="7"/>
  <c r="Y253" i="7"/>
  <c r="AN253" i="7"/>
  <c r="K253" i="7"/>
  <c r="Z253" i="7"/>
  <c r="AO253" i="7"/>
  <c r="L253" i="7"/>
  <c r="AA253" i="7"/>
  <c r="AP253" i="7"/>
  <c r="N253" i="7"/>
  <c r="AC253" i="7"/>
  <c r="AR253" i="7"/>
  <c r="O253" i="7"/>
  <c r="AD253" i="7"/>
  <c r="AS253" i="7"/>
  <c r="P253" i="7"/>
  <c r="AE253" i="7"/>
  <c r="AT253" i="7"/>
  <c r="Q253" i="7"/>
  <c r="AF253" i="7"/>
  <c r="AU253" i="7"/>
  <c r="R253" i="7"/>
  <c r="AG253" i="7"/>
  <c r="AV253" i="7"/>
  <c r="I253" i="8"/>
  <c r="X253" i="8"/>
  <c r="AM253" i="8"/>
  <c r="J253" i="8"/>
  <c r="Y253" i="8"/>
  <c r="AN253" i="8"/>
  <c r="L253" i="8"/>
  <c r="AA253" i="8"/>
  <c r="AP253" i="8"/>
  <c r="N253" i="8"/>
  <c r="AC253" i="8"/>
  <c r="AR253" i="8"/>
  <c r="P253" i="8"/>
  <c r="AE253" i="8"/>
  <c r="AT253" i="8"/>
  <c r="Q253" i="8"/>
  <c r="AF253" i="8"/>
  <c r="AU253" i="8"/>
  <c r="H253" i="8"/>
  <c r="W253" i="8"/>
  <c r="AL253" i="8"/>
  <c r="K253" i="8"/>
  <c r="Z253" i="8"/>
  <c r="AO253" i="8"/>
  <c r="M253" i="8"/>
  <c r="AB253" i="8"/>
  <c r="AQ253" i="8"/>
  <c r="O253" i="8"/>
  <c r="AD253" i="8"/>
  <c r="AS253" i="8"/>
  <c r="R253" i="8"/>
  <c r="AG253" i="8"/>
  <c r="AV253" i="8"/>
  <c r="M253" i="7"/>
  <c r="AB253" i="7"/>
  <c r="AQ253" i="7"/>
  <c r="D241" i="8"/>
  <c r="S241" i="8"/>
  <c r="AH241" i="8"/>
  <c r="T229" i="8"/>
  <c r="E229" i="8"/>
  <c r="AI229" i="8"/>
  <c r="D224" i="9"/>
  <c r="S224" i="9"/>
  <c r="AH224" i="9"/>
  <c r="D201" i="7"/>
  <c r="S201" i="7"/>
  <c r="AH201" i="7"/>
  <c r="G198" i="9"/>
  <c r="V198" i="9"/>
  <c r="AK198" i="9"/>
  <c r="G194" i="10"/>
  <c r="V194" i="10"/>
  <c r="AK194" i="10"/>
  <c r="D179" i="10"/>
  <c r="S179" i="10"/>
  <c r="AH179" i="10"/>
  <c r="E181" i="9"/>
  <c r="T181" i="9"/>
  <c r="AI181" i="9"/>
  <c r="C183" i="8"/>
  <c r="AY183" i="8"/>
  <c r="AX184" i="8"/>
  <c r="AW183" i="8"/>
  <c r="W64" i="2" s="1"/>
  <c r="G184" i="8"/>
  <c r="V184" i="8"/>
  <c r="AK184" i="8"/>
  <c r="E173" i="10"/>
  <c r="T173" i="10"/>
  <c r="AI173" i="10"/>
  <c r="AY165" i="9"/>
  <c r="C165" i="9"/>
  <c r="AX166" i="9"/>
  <c r="AW165" i="9"/>
  <c r="F166" i="9"/>
  <c r="U166" i="9"/>
  <c r="AJ166" i="9"/>
  <c r="AW155" i="10"/>
  <c r="AX156" i="10"/>
  <c r="F156" i="10"/>
  <c r="U156" i="10"/>
  <c r="AJ156" i="10"/>
  <c r="C155" i="10"/>
  <c r="AY155" i="10"/>
  <c r="G95" i="7"/>
  <c r="V95" i="7"/>
  <c r="AK95" i="7"/>
  <c r="U61" i="7"/>
  <c r="AI61" i="7"/>
  <c r="AJ198" i="8" l="1"/>
  <c r="U198" i="8"/>
  <c r="F198" i="8"/>
  <c r="AJ61" i="7"/>
  <c r="AY61" i="7"/>
  <c r="H255" i="10"/>
  <c r="W255" i="10"/>
  <c r="AL255" i="10"/>
  <c r="I255" i="10"/>
  <c r="X255" i="10"/>
  <c r="AM255" i="10"/>
  <c r="J255" i="10"/>
  <c r="Y255" i="10"/>
  <c r="AN255" i="10"/>
  <c r="K255" i="10"/>
  <c r="Z255" i="10"/>
  <c r="AO255" i="10"/>
  <c r="L255" i="10"/>
  <c r="AA255" i="10"/>
  <c r="AP255" i="10"/>
  <c r="M255" i="10"/>
  <c r="AB255" i="10"/>
  <c r="AQ255" i="10"/>
  <c r="N255" i="10"/>
  <c r="AC255" i="10"/>
  <c r="AR255" i="10"/>
  <c r="O255" i="10"/>
  <c r="AD255" i="10"/>
  <c r="AS255" i="10"/>
  <c r="P255" i="10"/>
  <c r="AE255" i="10"/>
  <c r="AT255" i="10"/>
  <c r="Q255" i="10"/>
  <c r="AF255" i="10"/>
  <c r="AU255" i="10"/>
  <c r="R255" i="10"/>
  <c r="AG255" i="10"/>
  <c r="AV255" i="10"/>
  <c r="H255" i="9"/>
  <c r="W255" i="9"/>
  <c r="AL255" i="9"/>
  <c r="I255" i="9"/>
  <c r="X255" i="9"/>
  <c r="AM255" i="9"/>
  <c r="J255" i="9"/>
  <c r="Y255" i="9"/>
  <c r="AN255" i="9"/>
  <c r="K255" i="9"/>
  <c r="Z255" i="9"/>
  <c r="AO255" i="9"/>
  <c r="L255" i="9"/>
  <c r="AA255" i="9"/>
  <c r="AP255" i="9"/>
  <c r="M255" i="9"/>
  <c r="AB255" i="9"/>
  <c r="AQ255" i="9"/>
  <c r="N255" i="9"/>
  <c r="AC255" i="9"/>
  <c r="AR255" i="9"/>
  <c r="O255" i="9"/>
  <c r="AD255" i="9"/>
  <c r="AS255" i="9"/>
  <c r="P255" i="9"/>
  <c r="AE255" i="9"/>
  <c r="AT255" i="9"/>
  <c r="Q255" i="9"/>
  <c r="AF255" i="9"/>
  <c r="AU255" i="9"/>
  <c r="R255" i="9"/>
  <c r="AG255" i="9"/>
  <c r="AV255" i="9"/>
  <c r="H254" i="7"/>
  <c r="W254" i="7"/>
  <c r="AL254" i="7"/>
  <c r="I254" i="7"/>
  <c r="X254" i="7"/>
  <c r="AM254" i="7"/>
  <c r="J254" i="7"/>
  <c r="Y254" i="7"/>
  <c r="AN254" i="7"/>
  <c r="K254" i="7"/>
  <c r="Z254" i="7"/>
  <c r="AO254" i="7"/>
  <c r="L254" i="7"/>
  <c r="AA254" i="7"/>
  <c r="AP254" i="7"/>
  <c r="N254" i="7"/>
  <c r="AC254" i="7"/>
  <c r="AR254" i="7"/>
  <c r="O254" i="7"/>
  <c r="AD254" i="7"/>
  <c r="AS254" i="7"/>
  <c r="P254" i="7"/>
  <c r="AE254" i="7"/>
  <c r="AT254" i="7"/>
  <c r="Q254" i="7"/>
  <c r="AF254" i="7"/>
  <c r="AU254" i="7"/>
  <c r="R254" i="7"/>
  <c r="AG254" i="7"/>
  <c r="AV254" i="7"/>
  <c r="I254" i="8"/>
  <c r="X254" i="8"/>
  <c r="AM254" i="8"/>
  <c r="J254" i="8"/>
  <c r="Y254" i="8"/>
  <c r="AN254" i="8"/>
  <c r="L254" i="8"/>
  <c r="AA254" i="8"/>
  <c r="AP254" i="8"/>
  <c r="N254" i="8"/>
  <c r="AC254" i="8"/>
  <c r="AR254" i="8"/>
  <c r="P254" i="8"/>
  <c r="AE254" i="8"/>
  <c r="AT254" i="8"/>
  <c r="Q254" i="8"/>
  <c r="AF254" i="8"/>
  <c r="AU254" i="8"/>
  <c r="H254" i="8"/>
  <c r="W254" i="8"/>
  <c r="AL254" i="8"/>
  <c r="K254" i="8"/>
  <c r="Z254" i="8"/>
  <c r="AO254" i="8"/>
  <c r="M254" i="8"/>
  <c r="AB254" i="8"/>
  <c r="AQ254" i="8"/>
  <c r="O254" i="8"/>
  <c r="AD254" i="8"/>
  <c r="AS254" i="8"/>
  <c r="R254" i="8"/>
  <c r="AG254" i="8"/>
  <c r="AV254" i="8"/>
  <c r="M254" i="7"/>
  <c r="AB254" i="7"/>
  <c r="AQ254" i="7"/>
  <c r="D242" i="8"/>
  <c r="S242" i="8"/>
  <c r="AH242" i="8"/>
  <c r="E230" i="8"/>
  <c r="T230" i="8"/>
  <c r="AI230" i="8"/>
  <c r="D225" i="9"/>
  <c r="S225" i="9"/>
  <c r="AH225" i="9"/>
  <c r="D202" i="7"/>
  <c r="S202" i="7"/>
  <c r="AH202" i="7"/>
  <c r="G199" i="9"/>
  <c r="V199" i="9"/>
  <c r="AK199" i="9"/>
  <c r="G195" i="10"/>
  <c r="V195" i="10"/>
  <c r="AK195" i="10"/>
  <c r="S180" i="10"/>
  <c r="AH180" i="10"/>
  <c r="D180" i="10"/>
  <c r="E182" i="9"/>
  <c r="T182" i="9"/>
  <c r="AI182" i="9"/>
  <c r="AY184" i="8"/>
  <c r="C184" i="8"/>
  <c r="AW184" i="8"/>
  <c r="AX185" i="8"/>
  <c r="G185" i="8"/>
  <c r="V185" i="8"/>
  <c r="AK185" i="8"/>
  <c r="E174" i="10"/>
  <c r="T174" i="10"/>
  <c r="AI174" i="10"/>
  <c r="C166" i="9"/>
  <c r="AY166" i="9"/>
  <c r="AW166" i="9"/>
  <c r="AX167" i="9"/>
  <c r="F167" i="9"/>
  <c r="U167" i="9"/>
  <c r="AJ167" i="9"/>
  <c r="C156" i="10"/>
  <c r="AY156" i="10"/>
  <c r="AX157" i="10"/>
  <c r="AW156" i="10"/>
  <c r="F157" i="10"/>
  <c r="U157" i="10"/>
  <c r="AJ157" i="10"/>
  <c r="G96" i="7"/>
  <c r="V96" i="7"/>
  <c r="AK96" i="7"/>
  <c r="F62" i="7"/>
  <c r="AX62" i="7"/>
  <c r="AW61" i="7"/>
  <c r="E62" i="7"/>
  <c r="T62" i="7"/>
  <c r="AI62" i="7"/>
  <c r="AJ199" i="8" l="1"/>
  <c r="F199" i="8"/>
  <c r="U199" i="8"/>
  <c r="H256" i="10"/>
  <c r="W256" i="10"/>
  <c r="AL256" i="10"/>
  <c r="I256" i="10"/>
  <c r="X256" i="10"/>
  <c r="AM256" i="10"/>
  <c r="J256" i="10"/>
  <c r="Y256" i="10"/>
  <c r="AN256" i="10"/>
  <c r="K256" i="10"/>
  <c r="Z256" i="10"/>
  <c r="AO256" i="10"/>
  <c r="L256" i="10"/>
  <c r="AA256" i="10"/>
  <c r="AP256" i="10"/>
  <c r="M256" i="10"/>
  <c r="AB256" i="10"/>
  <c r="AQ256" i="10"/>
  <c r="N256" i="10"/>
  <c r="AC256" i="10"/>
  <c r="AR256" i="10"/>
  <c r="O256" i="10"/>
  <c r="AD256" i="10"/>
  <c r="AS256" i="10"/>
  <c r="P256" i="10"/>
  <c r="AE256" i="10"/>
  <c r="AT256" i="10"/>
  <c r="Q256" i="10"/>
  <c r="AF256" i="10"/>
  <c r="AU256" i="10"/>
  <c r="R256" i="10"/>
  <c r="AG256" i="10"/>
  <c r="AV256" i="10"/>
  <c r="H256" i="9"/>
  <c r="W256" i="9"/>
  <c r="AL256" i="9"/>
  <c r="I256" i="9"/>
  <c r="X256" i="9"/>
  <c r="AM256" i="9"/>
  <c r="J256" i="9"/>
  <c r="Y256" i="9"/>
  <c r="AN256" i="9"/>
  <c r="K256" i="9"/>
  <c r="Z256" i="9"/>
  <c r="AO256" i="9"/>
  <c r="L256" i="9"/>
  <c r="AA256" i="9"/>
  <c r="AP256" i="9"/>
  <c r="M256" i="9"/>
  <c r="AB256" i="9"/>
  <c r="AQ256" i="9"/>
  <c r="N256" i="9"/>
  <c r="AC256" i="9"/>
  <c r="AR256" i="9"/>
  <c r="O256" i="9"/>
  <c r="AD256" i="9"/>
  <c r="AS256" i="9"/>
  <c r="P256" i="9"/>
  <c r="AE256" i="9"/>
  <c r="AT256" i="9"/>
  <c r="Q256" i="9"/>
  <c r="AF256" i="9"/>
  <c r="AU256" i="9"/>
  <c r="R256" i="9"/>
  <c r="AG256" i="9"/>
  <c r="AV256" i="9"/>
  <c r="H255" i="7"/>
  <c r="W255" i="7"/>
  <c r="AL255" i="7"/>
  <c r="I255" i="7"/>
  <c r="X255" i="7"/>
  <c r="AM255" i="7"/>
  <c r="J255" i="7"/>
  <c r="Y255" i="7"/>
  <c r="AN255" i="7"/>
  <c r="K255" i="7"/>
  <c r="Z255" i="7"/>
  <c r="AO255" i="7"/>
  <c r="L255" i="7"/>
  <c r="AA255" i="7"/>
  <c r="AP255" i="7"/>
  <c r="N255" i="7"/>
  <c r="AC255" i="7"/>
  <c r="AR255" i="7"/>
  <c r="O255" i="7"/>
  <c r="AD255" i="7"/>
  <c r="AS255" i="7"/>
  <c r="P255" i="7"/>
  <c r="AE255" i="7"/>
  <c r="AT255" i="7"/>
  <c r="Q255" i="7"/>
  <c r="AF255" i="7"/>
  <c r="AU255" i="7"/>
  <c r="R255" i="7"/>
  <c r="AG255" i="7"/>
  <c r="AV255" i="7"/>
  <c r="I255" i="8"/>
  <c r="X255" i="8"/>
  <c r="AM255" i="8"/>
  <c r="J255" i="8"/>
  <c r="Y255" i="8"/>
  <c r="AN255" i="8"/>
  <c r="L255" i="8"/>
  <c r="AA255" i="8"/>
  <c r="AP255" i="8"/>
  <c r="N255" i="8"/>
  <c r="AC255" i="8"/>
  <c r="AR255" i="8"/>
  <c r="P255" i="8"/>
  <c r="AE255" i="8"/>
  <c r="AT255" i="8"/>
  <c r="Q255" i="8"/>
  <c r="AF255" i="8"/>
  <c r="AU255" i="8"/>
  <c r="H255" i="8"/>
  <c r="W255" i="8"/>
  <c r="AL255" i="8"/>
  <c r="K255" i="8"/>
  <c r="Z255" i="8"/>
  <c r="AO255" i="8"/>
  <c r="M255" i="8"/>
  <c r="AB255" i="8"/>
  <c r="AQ255" i="8"/>
  <c r="O255" i="8"/>
  <c r="AD255" i="8"/>
  <c r="AS255" i="8"/>
  <c r="R255" i="8"/>
  <c r="AG255" i="8"/>
  <c r="AV255" i="8"/>
  <c r="M255" i="7"/>
  <c r="AB255" i="7"/>
  <c r="AQ255" i="7"/>
  <c r="D243" i="8"/>
  <c r="S243" i="8"/>
  <c r="AH243" i="8"/>
  <c r="E231" i="8"/>
  <c r="T231" i="8"/>
  <c r="AI231" i="8"/>
  <c r="D226" i="9"/>
  <c r="S226" i="9"/>
  <c r="AH226" i="9"/>
  <c r="D203" i="7"/>
  <c r="S203" i="7"/>
  <c r="AH203" i="7"/>
  <c r="G200" i="9"/>
  <c r="V200" i="9"/>
  <c r="AK200" i="9"/>
  <c r="G196" i="10"/>
  <c r="V196" i="10"/>
  <c r="AK196" i="10"/>
  <c r="D181" i="10"/>
  <c r="S181" i="10"/>
  <c r="AH181" i="10"/>
  <c r="T183" i="9"/>
  <c r="AI183" i="9"/>
  <c r="E183" i="9"/>
  <c r="C185" i="8"/>
  <c r="AY185" i="8"/>
  <c r="AX186" i="8"/>
  <c r="AW185" i="8"/>
  <c r="G186" i="8"/>
  <c r="V186" i="8"/>
  <c r="AK186" i="8"/>
  <c r="E175" i="10"/>
  <c r="AI175" i="10"/>
  <c r="T175" i="10"/>
  <c r="C167" i="9"/>
  <c r="AY167" i="9"/>
  <c r="AX168" i="9"/>
  <c r="AW167" i="9"/>
  <c r="F168" i="9"/>
  <c r="U168" i="9"/>
  <c r="AJ168" i="9"/>
  <c r="C157" i="10"/>
  <c r="AY157" i="10"/>
  <c r="AX158" i="10"/>
  <c r="AW157" i="10"/>
  <c r="F158" i="10"/>
  <c r="U158" i="10"/>
  <c r="AJ158" i="10"/>
  <c r="G97" i="7"/>
  <c r="V97" i="7"/>
  <c r="AK97" i="7"/>
  <c r="C62" i="7"/>
  <c r="U62" i="7" s="1"/>
  <c r="E63" i="7"/>
  <c r="T63" i="7"/>
  <c r="AI63" i="7"/>
  <c r="AJ200" i="8" l="1"/>
  <c r="U200" i="8"/>
  <c r="F200" i="8"/>
  <c r="H257" i="10"/>
  <c r="W257" i="10"/>
  <c r="AL257" i="10"/>
  <c r="I257" i="10"/>
  <c r="X257" i="10"/>
  <c r="AM257" i="10"/>
  <c r="J257" i="10"/>
  <c r="Y257" i="10"/>
  <c r="AN257" i="10"/>
  <c r="K257" i="10"/>
  <c r="Z257" i="10"/>
  <c r="AO257" i="10"/>
  <c r="L257" i="10"/>
  <c r="AA257" i="10"/>
  <c r="AP257" i="10"/>
  <c r="M257" i="10"/>
  <c r="AB257" i="10"/>
  <c r="AQ257" i="10"/>
  <c r="N257" i="10"/>
  <c r="AC257" i="10"/>
  <c r="AR257" i="10"/>
  <c r="O257" i="10"/>
  <c r="AD257" i="10"/>
  <c r="AS257" i="10"/>
  <c r="P257" i="10"/>
  <c r="AE257" i="10"/>
  <c r="AT257" i="10"/>
  <c r="Q257" i="10"/>
  <c r="AF257" i="10"/>
  <c r="AU257" i="10"/>
  <c r="R257" i="10"/>
  <c r="AG257" i="10"/>
  <c r="AV257" i="10"/>
  <c r="H257" i="9"/>
  <c r="W257" i="9"/>
  <c r="AL257" i="9"/>
  <c r="I257" i="9"/>
  <c r="X257" i="9"/>
  <c r="AM257" i="9"/>
  <c r="J257" i="9"/>
  <c r="Y257" i="9"/>
  <c r="AN257" i="9"/>
  <c r="K257" i="9"/>
  <c r="Z257" i="9"/>
  <c r="AO257" i="9"/>
  <c r="L257" i="9"/>
  <c r="AA257" i="9"/>
  <c r="AP257" i="9"/>
  <c r="M257" i="9"/>
  <c r="AB257" i="9"/>
  <c r="AQ257" i="9"/>
  <c r="N257" i="9"/>
  <c r="AC257" i="9"/>
  <c r="AR257" i="9"/>
  <c r="O257" i="9"/>
  <c r="AD257" i="9"/>
  <c r="AS257" i="9"/>
  <c r="P257" i="9"/>
  <c r="AE257" i="9"/>
  <c r="AT257" i="9"/>
  <c r="Q257" i="9"/>
  <c r="AF257" i="9"/>
  <c r="AU257" i="9"/>
  <c r="R257" i="9"/>
  <c r="AG257" i="9"/>
  <c r="AV257" i="9"/>
  <c r="H256" i="7"/>
  <c r="W256" i="7"/>
  <c r="AL256" i="7"/>
  <c r="I256" i="7"/>
  <c r="X256" i="7"/>
  <c r="AM256" i="7"/>
  <c r="J256" i="7"/>
  <c r="Y256" i="7"/>
  <c r="AN256" i="7"/>
  <c r="K256" i="7"/>
  <c r="Z256" i="7"/>
  <c r="AO256" i="7"/>
  <c r="L256" i="7"/>
  <c r="AA256" i="7"/>
  <c r="AP256" i="7"/>
  <c r="N256" i="7"/>
  <c r="AC256" i="7"/>
  <c r="AR256" i="7"/>
  <c r="O256" i="7"/>
  <c r="AD256" i="7"/>
  <c r="AS256" i="7"/>
  <c r="P256" i="7"/>
  <c r="AE256" i="7"/>
  <c r="AT256" i="7"/>
  <c r="Q256" i="7"/>
  <c r="AF256" i="7"/>
  <c r="AU256" i="7"/>
  <c r="R256" i="7"/>
  <c r="AG256" i="7"/>
  <c r="AV256" i="7"/>
  <c r="I256" i="8"/>
  <c r="X256" i="8"/>
  <c r="AM256" i="8"/>
  <c r="J256" i="8"/>
  <c r="Y256" i="8"/>
  <c r="AN256" i="8"/>
  <c r="L256" i="8"/>
  <c r="AA256" i="8"/>
  <c r="AP256" i="8"/>
  <c r="N256" i="8"/>
  <c r="AC256" i="8"/>
  <c r="AR256" i="8"/>
  <c r="P256" i="8"/>
  <c r="AE256" i="8"/>
  <c r="AT256" i="8"/>
  <c r="Q256" i="8"/>
  <c r="AF256" i="8"/>
  <c r="AU256" i="8"/>
  <c r="H256" i="8"/>
  <c r="W256" i="8"/>
  <c r="AL256" i="8"/>
  <c r="K256" i="8"/>
  <c r="Z256" i="8"/>
  <c r="AO256" i="8"/>
  <c r="M256" i="8"/>
  <c r="AB256" i="8"/>
  <c r="AQ256" i="8"/>
  <c r="O256" i="8"/>
  <c r="AD256" i="8"/>
  <c r="AS256" i="8"/>
  <c r="R256" i="8"/>
  <c r="AG256" i="8"/>
  <c r="AV256" i="8"/>
  <c r="M256" i="7"/>
  <c r="AB256" i="7"/>
  <c r="AQ256" i="7"/>
  <c r="D244" i="8"/>
  <c r="S244" i="8"/>
  <c r="AH244" i="8"/>
  <c r="E232" i="8"/>
  <c r="T232" i="8"/>
  <c r="AI232" i="8"/>
  <c r="D227" i="9"/>
  <c r="S227" i="9"/>
  <c r="AH227" i="9"/>
  <c r="D204" i="7"/>
  <c r="S204" i="7"/>
  <c r="AH204" i="7"/>
  <c r="G201" i="9"/>
  <c r="V201" i="9"/>
  <c r="AK201" i="9"/>
  <c r="G197" i="10"/>
  <c r="V197" i="10"/>
  <c r="AK197" i="10"/>
  <c r="D182" i="10"/>
  <c r="S182" i="10"/>
  <c r="AH182" i="10"/>
  <c r="E184" i="9"/>
  <c r="T184" i="9"/>
  <c r="AI184" i="9"/>
  <c r="AY186" i="8"/>
  <c r="C186" i="8"/>
  <c r="AX187" i="8"/>
  <c r="AW186" i="8"/>
  <c r="W65" i="2" s="1"/>
  <c r="G187" i="8"/>
  <c r="V187" i="8"/>
  <c r="AK187" i="8"/>
  <c r="AI176" i="10"/>
  <c r="E176" i="10"/>
  <c r="T176" i="10"/>
  <c r="C168" i="9"/>
  <c r="AY168" i="9"/>
  <c r="AW168" i="9"/>
  <c r="AX169" i="9"/>
  <c r="F169" i="9"/>
  <c r="U169" i="9"/>
  <c r="AJ169" i="9"/>
  <c r="C158" i="10"/>
  <c r="AY158" i="10"/>
  <c r="AX159" i="10"/>
  <c r="AW158" i="10"/>
  <c r="F159" i="10"/>
  <c r="U159" i="10"/>
  <c r="AJ159" i="10"/>
  <c r="G98" i="7"/>
  <c r="V98" i="7"/>
  <c r="AK98" i="7"/>
  <c r="E64" i="7"/>
  <c r="T64" i="7"/>
  <c r="AI64" i="7"/>
  <c r="AJ62" i="7"/>
  <c r="AY62" i="7"/>
  <c r="F201" i="8" l="1"/>
  <c r="AJ201" i="8"/>
  <c r="U201" i="8"/>
  <c r="H258" i="10"/>
  <c r="W258" i="10"/>
  <c r="AL258" i="10"/>
  <c r="I258" i="10"/>
  <c r="X258" i="10"/>
  <c r="AM258" i="10"/>
  <c r="J258" i="10"/>
  <c r="Y258" i="10"/>
  <c r="AN258" i="10"/>
  <c r="K258" i="10"/>
  <c r="Z258" i="10"/>
  <c r="AO258" i="10"/>
  <c r="L258" i="10"/>
  <c r="AA258" i="10"/>
  <c r="AP258" i="10"/>
  <c r="M258" i="10"/>
  <c r="AB258" i="10"/>
  <c r="AQ258" i="10"/>
  <c r="N258" i="10"/>
  <c r="AC258" i="10"/>
  <c r="AR258" i="10"/>
  <c r="O258" i="10"/>
  <c r="AD258" i="10"/>
  <c r="AS258" i="10"/>
  <c r="P258" i="10"/>
  <c r="AE258" i="10"/>
  <c r="AT258" i="10"/>
  <c r="Q258" i="10"/>
  <c r="AF258" i="10"/>
  <c r="AU258" i="10"/>
  <c r="R258" i="10"/>
  <c r="AG258" i="10"/>
  <c r="AV258" i="10"/>
  <c r="H258" i="9"/>
  <c r="W258" i="9"/>
  <c r="AL258" i="9"/>
  <c r="I258" i="9"/>
  <c r="X258" i="9"/>
  <c r="AM258" i="9"/>
  <c r="J258" i="9"/>
  <c r="Y258" i="9"/>
  <c r="AN258" i="9"/>
  <c r="K258" i="9"/>
  <c r="Z258" i="9"/>
  <c r="AO258" i="9"/>
  <c r="L258" i="9"/>
  <c r="AA258" i="9"/>
  <c r="AP258" i="9"/>
  <c r="M258" i="9"/>
  <c r="AB258" i="9"/>
  <c r="AQ258" i="9"/>
  <c r="N258" i="9"/>
  <c r="AC258" i="9"/>
  <c r="AR258" i="9"/>
  <c r="O258" i="9"/>
  <c r="AD258" i="9"/>
  <c r="AS258" i="9"/>
  <c r="P258" i="9"/>
  <c r="AE258" i="9"/>
  <c r="AT258" i="9"/>
  <c r="Q258" i="9"/>
  <c r="AF258" i="9"/>
  <c r="AU258" i="9"/>
  <c r="R258" i="9"/>
  <c r="AG258" i="9"/>
  <c r="AV258" i="9"/>
  <c r="H257" i="7"/>
  <c r="W257" i="7"/>
  <c r="AL257" i="7"/>
  <c r="I257" i="7"/>
  <c r="X257" i="7"/>
  <c r="AM257" i="7"/>
  <c r="J257" i="7"/>
  <c r="Y257" i="7"/>
  <c r="AN257" i="7"/>
  <c r="K257" i="7"/>
  <c r="Z257" i="7"/>
  <c r="AO257" i="7"/>
  <c r="L257" i="7"/>
  <c r="AA257" i="7"/>
  <c r="AP257" i="7"/>
  <c r="N257" i="7"/>
  <c r="AC257" i="7"/>
  <c r="AR257" i="7"/>
  <c r="O257" i="7"/>
  <c r="AD257" i="7"/>
  <c r="AS257" i="7"/>
  <c r="P257" i="7"/>
  <c r="AE257" i="7"/>
  <c r="AT257" i="7"/>
  <c r="Q257" i="7"/>
  <c r="AF257" i="7"/>
  <c r="AU257" i="7"/>
  <c r="R257" i="7"/>
  <c r="AG257" i="7"/>
  <c r="AV257" i="7"/>
  <c r="I257" i="8"/>
  <c r="X257" i="8"/>
  <c r="AM257" i="8"/>
  <c r="J257" i="8"/>
  <c r="Y257" i="8"/>
  <c r="AN257" i="8"/>
  <c r="L257" i="8"/>
  <c r="AA257" i="8"/>
  <c r="AP257" i="8"/>
  <c r="N257" i="8"/>
  <c r="AC257" i="8"/>
  <c r="AR257" i="8"/>
  <c r="P257" i="8"/>
  <c r="AE257" i="8"/>
  <c r="AT257" i="8"/>
  <c r="Q257" i="8"/>
  <c r="AF257" i="8"/>
  <c r="AU257" i="8"/>
  <c r="H257" i="8"/>
  <c r="W257" i="8"/>
  <c r="AL257" i="8"/>
  <c r="K257" i="8"/>
  <c r="Z257" i="8"/>
  <c r="AO257" i="8"/>
  <c r="M257" i="8"/>
  <c r="AB257" i="8"/>
  <c r="AQ257" i="8"/>
  <c r="O257" i="8"/>
  <c r="AD257" i="8"/>
  <c r="AS257" i="8"/>
  <c r="R257" i="8"/>
  <c r="AG257" i="8"/>
  <c r="AV257" i="8"/>
  <c r="M257" i="7"/>
  <c r="AB257" i="7"/>
  <c r="AQ257" i="7"/>
  <c r="D245" i="8"/>
  <c r="S245" i="8"/>
  <c r="AH245" i="8"/>
  <c r="E233" i="8"/>
  <c r="T233" i="8"/>
  <c r="AI233" i="8"/>
  <c r="D228" i="9"/>
  <c r="S228" i="9"/>
  <c r="AH228" i="9"/>
  <c r="D205" i="7"/>
  <c r="S205" i="7"/>
  <c r="AH205" i="7"/>
  <c r="G202" i="9"/>
  <c r="V202" i="9"/>
  <c r="AK202" i="9"/>
  <c r="G198" i="10"/>
  <c r="V198" i="10"/>
  <c r="AK198" i="10"/>
  <c r="D183" i="10"/>
  <c r="S183" i="10"/>
  <c r="AH183" i="10"/>
  <c r="E185" i="9"/>
  <c r="T185" i="9"/>
  <c r="AI185" i="9"/>
  <c r="C187" i="8"/>
  <c r="AY187" i="8"/>
  <c r="AW187" i="8"/>
  <c r="AX188" i="8"/>
  <c r="G188" i="8"/>
  <c r="V188" i="8"/>
  <c r="AK188" i="8"/>
  <c r="T177" i="10"/>
  <c r="E177" i="10"/>
  <c r="AI177" i="10"/>
  <c r="C169" i="9"/>
  <c r="AY169" i="9"/>
  <c r="AW169" i="9"/>
  <c r="AX170" i="9"/>
  <c r="AJ170" i="9"/>
  <c r="F170" i="9"/>
  <c r="U170" i="9"/>
  <c r="AY159" i="10"/>
  <c r="C159" i="10"/>
  <c r="AW159" i="10"/>
  <c r="AX160" i="10"/>
  <c r="F160" i="10"/>
  <c r="U160" i="10"/>
  <c r="AJ160" i="10"/>
  <c r="G99" i="7"/>
  <c r="V99" i="7"/>
  <c r="AK99" i="7"/>
  <c r="E65" i="7"/>
  <c r="T65" i="7"/>
  <c r="AI65" i="7"/>
  <c r="F63" i="7"/>
  <c r="AX63" i="7"/>
  <c r="AW62" i="7"/>
  <c r="AJ202" i="8" l="1"/>
  <c r="U202" i="8"/>
  <c r="F202" i="8"/>
  <c r="H259" i="10"/>
  <c r="W259" i="10"/>
  <c r="AL259" i="10"/>
  <c r="I259" i="10"/>
  <c r="X259" i="10"/>
  <c r="AM259" i="10"/>
  <c r="J259" i="10"/>
  <c r="Y259" i="10"/>
  <c r="AN259" i="10"/>
  <c r="K259" i="10"/>
  <c r="Z259" i="10"/>
  <c r="AO259" i="10"/>
  <c r="L259" i="10"/>
  <c r="AA259" i="10"/>
  <c r="AP259" i="10"/>
  <c r="M259" i="10"/>
  <c r="AB259" i="10"/>
  <c r="AQ259" i="10"/>
  <c r="N259" i="10"/>
  <c r="AC259" i="10"/>
  <c r="AR259" i="10"/>
  <c r="O259" i="10"/>
  <c r="AD259" i="10"/>
  <c r="AS259" i="10"/>
  <c r="P259" i="10"/>
  <c r="AE259" i="10"/>
  <c r="AT259" i="10"/>
  <c r="Q259" i="10"/>
  <c r="AF259" i="10"/>
  <c r="AU259" i="10"/>
  <c r="R259" i="10"/>
  <c r="AG259" i="10"/>
  <c r="AV259" i="10"/>
  <c r="H259" i="9"/>
  <c r="W259" i="9"/>
  <c r="AL259" i="9"/>
  <c r="I259" i="9"/>
  <c r="X259" i="9"/>
  <c r="AM259" i="9"/>
  <c r="J259" i="9"/>
  <c r="Y259" i="9"/>
  <c r="AN259" i="9"/>
  <c r="K259" i="9"/>
  <c r="Z259" i="9"/>
  <c r="AO259" i="9"/>
  <c r="L259" i="9"/>
  <c r="AA259" i="9"/>
  <c r="AP259" i="9"/>
  <c r="M259" i="9"/>
  <c r="AB259" i="9"/>
  <c r="AQ259" i="9"/>
  <c r="N259" i="9"/>
  <c r="AC259" i="9"/>
  <c r="AR259" i="9"/>
  <c r="O259" i="9"/>
  <c r="AD259" i="9"/>
  <c r="AS259" i="9"/>
  <c r="P259" i="9"/>
  <c r="AE259" i="9"/>
  <c r="AT259" i="9"/>
  <c r="Q259" i="9"/>
  <c r="AF259" i="9"/>
  <c r="AU259" i="9"/>
  <c r="R259" i="9"/>
  <c r="AG259" i="9"/>
  <c r="AV259" i="9"/>
  <c r="H258" i="7"/>
  <c r="W258" i="7"/>
  <c r="AL258" i="7"/>
  <c r="I258" i="7"/>
  <c r="X258" i="7"/>
  <c r="AM258" i="7"/>
  <c r="J258" i="7"/>
  <c r="Y258" i="7"/>
  <c r="AN258" i="7"/>
  <c r="K258" i="7"/>
  <c r="Z258" i="7"/>
  <c r="AO258" i="7"/>
  <c r="L258" i="7"/>
  <c r="AA258" i="7"/>
  <c r="AP258" i="7"/>
  <c r="N258" i="7"/>
  <c r="AC258" i="7"/>
  <c r="AR258" i="7"/>
  <c r="O258" i="7"/>
  <c r="AD258" i="7"/>
  <c r="AS258" i="7"/>
  <c r="P258" i="7"/>
  <c r="AE258" i="7"/>
  <c r="AT258" i="7"/>
  <c r="Q258" i="7"/>
  <c r="AF258" i="7"/>
  <c r="AU258" i="7"/>
  <c r="R258" i="7"/>
  <c r="AG258" i="7"/>
  <c r="AV258" i="7"/>
  <c r="I258" i="8"/>
  <c r="X258" i="8"/>
  <c r="AM258" i="8"/>
  <c r="J258" i="8"/>
  <c r="Y258" i="8"/>
  <c r="AN258" i="8"/>
  <c r="L258" i="8"/>
  <c r="AA258" i="8"/>
  <c r="AP258" i="8"/>
  <c r="N258" i="8"/>
  <c r="AC258" i="8"/>
  <c r="AR258" i="8"/>
  <c r="P258" i="8"/>
  <c r="AE258" i="8"/>
  <c r="AT258" i="8"/>
  <c r="Q258" i="8"/>
  <c r="AF258" i="8"/>
  <c r="AU258" i="8"/>
  <c r="H258" i="8"/>
  <c r="W258" i="8"/>
  <c r="AL258" i="8"/>
  <c r="K258" i="8"/>
  <c r="Z258" i="8"/>
  <c r="AO258" i="8"/>
  <c r="M258" i="8"/>
  <c r="AB258" i="8"/>
  <c r="AQ258" i="8"/>
  <c r="O258" i="8"/>
  <c r="AD258" i="8"/>
  <c r="AS258" i="8"/>
  <c r="R258" i="8"/>
  <c r="AG258" i="8"/>
  <c r="AV258" i="8"/>
  <c r="M258" i="7"/>
  <c r="AB258" i="7"/>
  <c r="AQ258" i="7"/>
  <c r="D246" i="8"/>
  <c r="S246" i="8"/>
  <c r="AH246" i="8"/>
  <c r="E234" i="8"/>
  <c r="T234" i="8"/>
  <c r="AI234" i="8"/>
  <c r="D229" i="9"/>
  <c r="S229" i="9"/>
  <c r="AH229" i="9"/>
  <c r="D206" i="7"/>
  <c r="S206" i="7"/>
  <c r="AH206" i="7"/>
  <c r="G203" i="9"/>
  <c r="V203" i="9"/>
  <c r="AK203" i="9"/>
  <c r="G199" i="10"/>
  <c r="V199" i="10"/>
  <c r="AK199" i="10"/>
  <c r="D184" i="10"/>
  <c r="S184" i="10"/>
  <c r="AH184" i="10"/>
  <c r="E186" i="9"/>
  <c r="T186" i="9"/>
  <c r="AI186" i="9"/>
  <c r="AY188" i="8"/>
  <c r="C188" i="8"/>
  <c r="AW188" i="8"/>
  <c r="AX189" i="8"/>
  <c r="G189" i="8"/>
  <c r="V189" i="8"/>
  <c r="AK189" i="8"/>
  <c r="E178" i="10"/>
  <c r="AI178" i="10"/>
  <c r="T178" i="10"/>
  <c r="AW170" i="9"/>
  <c r="AX171" i="9"/>
  <c r="F171" i="9"/>
  <c r="U171" i="9"/>
  <c r="AJ171" i="9"/>
  <c r="C170" i="9"/>
  <c r="AY170" i="9"/>
  <c r="AY160" i="10"/>
  <c r="C160" i="10"/>
  <c r="AX161" i="10"/>
  <c r="AW160" i="10"/>
  <c r="AJ161" i="10"/>
  <c r="F161" i="10"/>
  <c r="U161" i="10"/>
  <c r="G100" i="7"/>
  <c r="V100" i="7"/>
  <c r="AK100" i="7"/>
  <c r="E66" i="7"/>
  <c r="T66" i="7"/>
  <c r="AI66" i="7"/>
  <c r="C63" i="7"/>
  <c r="U63" i="7" s="1"/>
  <c r="F203" i="8" l="1"/>
  <c r="U203" i="8"/>
  <c r="AJ203" i="8"/>
  <c r="H260" i="10"/>
  <c r="W260" i="10"/>
  <c r="AL260" i="10"/>
  <c r="I260" i="10"/>
  <c r="X260" i="10"/>
  <c r="AM260" i="10"/>
  <c r="J260" i="10"/>
  <c r="Y260" i="10"/>
  <c r="AN260" i="10"/>
  <c r="K260" i="10"/>
  <c r="Z260" i="10"/>
  <c r="AO260" i="10"/>
  <c r="L260" i="10"/>
  <c r="AA260" i="10"/>
  <c r="AP260" i="10"/>
  <c r="M260" i="10"/>
  <c r="AB260" i="10"/>
  <c r="AQ260" i="10"/>
  <c r="N260" i="10"/>
  <c r="AC260" i="10"/>
  <c r="AR260" i="10"/>
  <c r="O260" i="10"/>
  <c r="AD260" i="10"/>
  <c r="AS260" i="10"/>
  <c r="P260" i="10"/>
  <c r="AE260" i="10"/>
  <c r="AT260" i="10"/>
  <c r="Q260" i="10"/>
  <c r="AF260" i="10"/>
  <c r="AU260" i="10"/>
  <c r="R260" i="10"/>
  <c r="AG260" i="10"/>
  <c r="AV260" i="10"/>
  <c r="H260" i="9"/>
  <c r="W260" i="9"/>
  <c r="AL260" i="9"/>
  <c r="I260" i="9"/>
  <c r="X260" i="9"/>
  <c r="AM260" i="9"/>
  <c r="J260" i="9"/>
  <c r="Y260" i="9"/>
  <c r="AN260" i="9"/>
  <c r="K260" i="9"/>
  <c r="Z260" i="9"/>
  <c r="AO260" i="9"/>
  <c r="L260" i="9"/>
  <c r="AA260" i="9"/>
  <c r="AP260" i="9"/>
  <c r="M260" i="9"/>
  <c r="AB260" i="9"/>
  <c r="AQ260" i="9"/>
  <c r="N260" i="9"/>
  <c r="AC260" i="9"/>
  <c r="AR260" i="9"/>
  <c r="O260" i="9"/>
  <c r="AD260" i="9"/>
  <c r="AS260" i="9"/>
  <c r="P260" i="9"/>
  <c r="AE260" i="9"/>
  <c r="AT260" i="9"/>
  <c r="Q260" i="9"/>
  <c r="AF260" i="9"/>
  <c r="AU260" i="9"/>
  <c r="R260" i="9"/>
  <c r="AG260" i="9"/>
  <c r="AV260" i="9"/>
  <c r="H259" i="7"/>
  <c r="W259" i="7"/>
  <c r="AL259" i="7"/>
  <c r="I259" i="7"/>
  <c r="X259" i="7"/>
  <c r="AM259" i="7"/>
  <c r="J259" i="7"/>
  <c r="Y259" i="7"/>
  <c r="AN259" i="7"/>
  <c r="K259" i="7"/>
  <c r="Z259" i="7"/>
  <c r="AO259" i="7"/>
  <c r="L259" i="7"/>
  <c r="AA259" i="7"/>
  <c r="AP259" i="7"/>
  <c r="N259" i="7"/>
  <c r="AC259" i="7"/>
  <c r="AR259" i="7"/>
  <c r="O259" i="7"/>
  <c r="AD259" i="7"/>
  <c r="AS259" i="7"/>
  <c r="P259" i="7"/>
  <c r="AE259" i="7"/>
  <c r="AT259" i="7"/>
  <c r="Q259" i="7"/>
  <c r="AF259" i="7"/>
  <c r="AU259" i="7"/>
  <c r="R259" i="7"/>
  <c r="AG259" i="7"/>
  <c r="AV259" i="7"/>
  <c r="I259" i="8"/>
  <c r="X259" i="8"/>
  <c r="AM259" i="8"/>
  <c r="J259" i="8"/>
  <c r="Y259" i="8"/>
  <c r="AN259" i="8"/>
  <c r="L259" i="8"/>
  <c r="AA259" i="8"/>
  <c r="AP259" i="8"/>
  <c r="N259" i="8"/>
  <c r="AC259" i="8"/>
  <c r="AR259" i="8"/>
  <c r="P259" i="8"/>
  <c r="AE259" i="8"/>
  <c r="AT259" i="8"/>
  <c r="Q259" i="8"/>
  <c r="AF259" i="8"/>
  <c r="AU259" i="8"/>
  <c r="H259" i="8"/>
  <c r="W259" i="8"/>
  <c r="AL259" i="8"/>
  <c r="K259" i="8"/>
  <c r="Z259" i="8"/>
  <c r="AO259" i="8"/>
  <c r="M259" i="8"/>
  <c r="AB259" i="8"/>
  <c r="AQ259" i="8"/>
  <c r="O259" i="8"/>
  <c r="AD259" i="8"/>
  <c r="AS259" i="8"/>
  <c r="R259" i="8"/>
  <c r="AG259" i="8"/>
  <c r="AV259" i="8"/>
  <c r="M259" i="7"/>
  <c r="AB259" i="7"/>
  <c r="AQ259" i="7"/>
  <c r="D247" i="8"/>
  <c r="S247" i="8"/>
  <c r="AH247" i="8"/>
  <c r="E235" i="8"/>
  <c r="T235" i="8"/>
  <c r="AI235" i="8"/>
  <c r="D230" i="9"/>
  <c r="S230" i="9"/>
  <c r="AH230" i="9"/>
  <c r="D207" i="7"/>
  <c r="S207" i="7"/>
  <c r="AH207" i="7"/>
  <c r="G204" i="9"/>
  <c r="V204" i="9"/>
  <c r="AK204" i="9"/>
  <c r="G200" i="10"/>
  <c r="V200" i="10"/>
  <c r="AK200" i="10"/>
  <c r="D185" i="10"/>
  <c r="S185" i="10"/>
  <c r="AH185" i="10"/>
  <c r="E187" i="9"/>
  <c r="T187" i="9"/>
  <c r="AI187" i="9"/>
  <c r="AY189" i="8"/>
  <c r="C189" i="8"/>
  <c r="AX190" i="8"/>
  <c r="AW189" i="8"/>
  <c r="W66" i="2" s="1"/>
  <c r="G190" i="8"/>
  <c r="V190" i="8"/>
  <c r="AK190" i="8"/>
  <c r="AI179" i="10"/>
  <c r="E179" i="10"/>
  <c r="T179" i="10"/>
  <c r="AY171" i="9"/>
  <c r="C171" i="9"/>
  <c r="AX172" i="9"/>
  <c r="AW171" i="9"/>
  <c r="F172" i="9"/>
  <c r="U172" i="9"/>
  <c r="AJ172" i="9"/>
  <c r="AW161" i="10"/>
  <c r="AX162" i="10"/>
  <c r="F162" i="10"/>
  <c r="U162" i="10"/>
  <c r="AJ162" i="10"/>
  <c r="AY161" i="10"/>
  <c r="C161" i="10"/>
  <c r="G101" i="7"/>
  <c r="V101" i="7"/>
  <c r="AK101" i="7"/>
  <c r="E67" i="7"/>
  <c r="T67" i="7"/>
  <c r="AI67" i="7"/>
  <c r="AJ63" i="7"/>
  <c r="AY63" i="7"/>
  <c r="AJ204" i="8" l="1"/>
  <c r="U204" i="8"/>
  <c r="F204" i="8"/>
  <c r="H261" i="10"/>
  <c r="W261" i="10"/>
  <c r="AL261" i="10"/>
  <c r="I261" i="10"/>
  <c r="X261" i="10"/>
  <c r="AM261" i="10"/>
  <c r="J261" i="10"/>
  <c r="Y261" i="10"/>
  <c r="AN261" i="10"/>
  <c r="K261" i="10"/>
  <c r="Z261" i="10"/>
  <c r="AO261" i="10"/>
  <c r="L261" i="10"/>
  <c r="AA261" i="10"/>
  <c r="AP261" i="10"/>
  <c r="M261" i="10"/>
  <c r="AB261" i="10"/>
  <c r="AQ261" i="10"/>
  <c r="N261" i="10"/>
  <c r="AC261" i="10"/>
  <c r="AR261" i="10"/>
  <c r="O261" i="10"/>
  <c r="AD261" i="10"/>
  <c r="AS261" i="10"/>
  <c r="P261" i="10"/>
  <c r="AE261" i="10"/>
  <c r="AT261" i="10"/>
  <c r="Q261" i="10"/>
  <c r="AF261" i="10"/>
  <c r="AU261" i="10"/>
  <c r="R261" i="10"/>
  <c r="AG261" i="10"/>
  <c r="AV261" i="10"/>
  <c r="H261" i="9"/>
  <c r="W261" i="9"/>
  <c r="AL261" i="9"/>
  <c r="I261" i="9"/>
  <c r="X261" i="9"/>
  <c r="AM261" i="9"/>
  <c r="J261" i="9"/>
  <c r="Y261" i="9"/>
  <c r="AN261" i="9"/>
  <c r="K261" i="9"/>
  <c r="Z261" i="9"/>
  <c r="AO261" i="9"/>
  <c r="L261" i="9"/>
  <c r="AA261" i="9"/>
  <c r="AP261" i="9"/>
  <c r="M261" i="9"/>
  <c r="AB261" i="9"/>
  <c r="AQ261" i="9"/>
  <c r="N261" i="9"/>
  <c r="AC261" i="9"/>
  <c r="AR261" i="9"/>
  <c r="O261" i="9"/>
  <c r="AD261" i="9"/>
  <c r="AS261" i="9"/>
  <c r="P261" i="9"/>
  <c r="AE261" i="9"/>
  <c r="AT261" i="9"/>
  <c r="Q261" i="9"/>
  <c r="AF261" i="9"/>
  <c r="AU261" i="9"/>
  <c r="R261" i="9"/>
  <c r="AG261" i="9"/>
  <c r="AV261" i="9"/>
  <c r="H260" i="7"/>
  <c r="W260" i="7"/>
  <c r="AL260" i="7"/>
  <c r="I260" i="7"/>
  <c r="X260" i="7"/>
  <c r="AM260" i="7"/>
  <c r="J260" i="7"/>
  <c r="Y260" i="7"/>
  <c r="AN260" i="7"/>
  <c r="K260" i="7"/>
  <c r="Z260" i="7"/>
  <c r="AO260" i="7"/>
  <c r="L260" i="7"/>
  <c r="AA260" i="7"/>
  <c r="AP260" i="7"/>
  <c r="N260" i="7"/>
  <c r="AC260" i="7"/>
  <c r="AR260" i="7"/>
  <c r="O260" i="7"/>
  <c r="AD260" i="7"/>
  <c r="AS260" i="7"/>
  <c r="P260" i="7"/>
  <c r="AE260" i="7"/>
  <c r="AT260" i="7"/>
  <c r="Q260" i="7"/>
  <c r="AF260" i="7"/>
  <c r="AU260" i="7"/>
  <c r="R260" i="7"/>
  <c r="AG260" i="7"/>
  <c r="AV260" i="7"/>
  <c r="I260" i="8"/>
  <c r="X260" i="8"/>
  <c r="AM260" i="8"/>
  <c r="J260" i="8"/>
  <c r="Y260" i="8"/>
  <c r="AN260" i="8"/>
  <c r="L260" i="8"/>
  <c r="AA260" i="8"/>
  <c r="AP260" i="8"/>
  <c r="N260" i="8"/>
  <c r="AC260" i="8"/>
  <c r="AR260" i="8"/>
  <c r="P260" i="8"/>
  <c r="AE260" i="8"/>
  <c r="AT260" i="8"/>
  <c r="Q260" i="8"/>
  <c r="AF260" i="8"/>
  <c r="AU260" i="8"/>
  <c r="H260" i="8"/>
  <c r="W260" i="8"/>
  <c r="AL260" i="8"/>
  <c r="K260" i="8"/>
  <c r="Z260" i="8"/>
  <c r="AO260" i="8"/>
  <c r="M260" i="8"/>
  <c r="AB260" i="8"/>
  <c r="AQ260" i="8"/>
  <c r="O260" i="8"/>
  <c r="AD260" i="8"/>
  <c r="AS260" i="8"/>
  <c r="R260" i="8"/>
  <c r="AG260" i="8"/>
  <c r="AV260" i="8"/>
  <c r="M260" i="7"/>
  <c r="AB260" i="7"/>
  <c r="AQ260" i="7"/>
  <c r="D248" i="8"/>
  <c r="S248" i="8"/>
  <c r="AH248" i="8"/>
  <c r="E236" i="8"/>
  <c r="T236" i="8"/>
  <c r="AI236" i="8"/>
  <c r="D231" i="9"/>
  <c r="S231" i="9"/>
  <c r="AH231" i="9"/>
  <c r="D208" i="7"/>
  <c r="S208" i="7"/>
  <c r="AH208" i="7"/>
  <c r="G205" i="9"/>
  <c r="V205" i="9"/>
  <c r="AK205" i="9"/>
  <c r="G201" i="10"/>
  <c r="V201" i="10"/>
  <c r="AK201" i="10"/>
  <c r="D186" i="10"/>
  <c r="S186" i="10"/>
  <c r="AH186" i="10"/>
  <c r="E188" i="9"/>
  <c r="T188" i="9"/>
  <c r="AI188" i="9"/>
  <c r="C190" i="8"/>
  <c r="AY190" i="8"/>
  <c r="AX191" i="8"/>
  <c r="AW190" i="8"/>
  <c r="G191" i="8"/>
  <c r="V191" i="8"/>
  <c r="AK191" i="8"/>
  <c r="E180" i="10"/>
  <c r="T180" i="10"/>
  <c r="AI180" i="10"/>
  <c r="C172" i="9"/>
  <c r="AY172" i="9"/>
  <c r="AX173" i="9"/>
  <c r="AW172" i="9"/>
  <c r="U173" i="9"/>
  <c r="AJ173" i="9"/>
  <c r="F173" i="9"/>
  <c r="C162" i="10"/>
  <c r="AY162" i="10"/>
  <c r="AW162" i="10"/>
  <c r="AX163" i="10"/>
  <c r="F163" i="10"/>
  <c r="U163" i="10"/>
  <c r="AJ163" i="10"/>
  <c r="G102" i="7"/>
  <c r="V102" i="7"/>
  <c r="AK102" i="7"/>
  <c r="E68" i="7"/>
  <c r="T68" i="7"/>
  <c r="AI68" i="7"/>
  <c r="AX64" i="7"/>
  <c r="AW63" i="7"/>
  <c r="X24" i="2" s="1"/>
  <c r="F64" i="7"/>
  <c r="AJ205" i="8" l="1"/>
  <c r="U205" i="8"/>
  <c r="F205" i="8"/>
  <c r="H262" i="10"/>
  <c r="W262" i="10"/>
  <c r="AL262" i="10"/>
  <c r="I262" i="10"/>
  <c r="X262" i="10"/>
  <c r="AM262" i="10"/>
  <c r="J262" i="10"/>
  <c r="Y262" i="10"/>
  <c r="AN262" i="10"/>
  <c r="K262" i="10"/>
  <c r="Z262" i="10"/>
  <c r="AO262" i="10"/>
  <c r="L262" i="10"/>
  <c r="AA262" i="10"/>
  <c r="AP262" i="10"/>
  <c r="M262" i="10"/>
  <c r="AB262" i="10"/>
  <c r="AQ262" i="10"/>
  <c r="N262" i="10"/>
  <c r="AC262" i="10"/>
  <c r="AR262" i="10"/>
  <c r="O262" i="10"/>
  <c r="AD262" i="10"/>
  <c r="AS262" i="10"/>
  <c r="P262" i="10"/>
  <c r="AE262" i="10"/>
  <c r="AT262" i="10"/>
  <c r="Q262" i="10"/>
  <c r="AF262" i="10"/>
  <c r="AU262" i="10"/>
  <c r="R262" i="10"/>
  <c r="AG262" i="10"/>
  <c r="AV262" i="10"/>
  <c r="H262" i="9"/>
  <c r="W262" i="9"/>
  <c r="AL262" i="9"/>
  <c r="I262" i="9"/>
  <c r="X262" i="9"/>
  <c r="AM262" i="9"/>
  <c r="J262" i="9"/>
  <c r="Y262" i="9"/>
  <c r="AN262" i="9"/>
  <c r="K262" i="9"/>
  <c r="Z262" i="9"/>
  <c r="AO262" i="9"/>
  <c r="L262" i="9"/>
  <c r="AA262" i="9"/>
  <c r="AP262" i="9"/>
  <c r="M262" i="9"/>
  <c r="AB262" i="9"/>
  <c r="AQ262" i="9"/>
  <c r="N262" i="9"/>
  <c r="AC262" i="9"/>
  <c r="AR262" i="9"/>
  <c r="O262" i="9"/>
  <c r="AD262" i="9"/>
  <c r="AS262" i="9"/>
  <c r="P262" i="9"/>
  <c r="AE262" i="9"/>
  <c r="AT262" i="9"/>
  <c r="Q262" i="9"/>
  <c r="AF262" i="9"/>
  <c r="AU262" i="9"/>
  <c r="R262" i="9"/>
  <c r="AG262" i="9"/>
  <c r="AV262" i="9"/>
  <c r="H261" i="7"/>
  <c r="W261" i="7"/>
  <c r="AL261" i="7"/>
  <c r="I261" i="7"/>
  <c r="X261" i="7"/>
  <c r="AM261" i="7"/>
  <c r="J261" i="7"/>
  <c r="Y261" i="7"/>
  <c r="AN261" i="7"/>
  <c r="K261" i="7"/>
  <c r="Z261" i="7"/>
  <c r="AO261" i="7"/>
  <c r="L261" i="7"/>
  <c r="AA261" i="7"/>
  <c r="AP261" i="7"/>
  <c r="N261" i="7"/>
  <c r="AC261" i="7"/>
  <c r="AR261" i="7"/>
  <c r="O261" i="7"/>
  <c r="AD261" i="7"/>
  <c r="AS261" i="7"/>
  <c r="P261" i="7"/>
  <c r="AE261" i="7"/>
  <c r="AT261" i="7"/>
  <c r="Q261" i="7"/>
  <c r="AF261" i="7"/>
  <c r="AU261" i="7"/>
  <c r="R261" i="7"/>
  <c r="AG261" i="7"/>
  <c r="AV261" i="7"/>
  <c r="I261" i="8"/>
  <c r="X261" i="8"/>
  <c r="AM261" i="8"/>
  <c r="J261" i="8"/>
  <c r="Y261" i="8"/>
  <c r="AN261" i="8"/>
  <c r="L261" i="8"/>
  <c r="AA261" i="8"/>
  <c r="AP261" i="8"/>
  <c r="N261" i="8"/>
  <c r="AC261" i="8"/>
  <c r="AR261" i="8"/>
  <c r="P261" i="8"/>
  <c r="AE261" i="8"/>
  <c r="AT261" i="8"/>
  <c r="Q261" i="8"/>
  <c r="AF261" i="8"/>
  <c r="AU261" i="8"/>
  <c r="H261" i="8"/>
  <c r="W261" i="8"/>
  <c r="AL261" i="8"/>
  <c r="K261" i="8"/>
  <c r="Z261" i="8"/>
  <c r="AO261" i="8"/>
  <c r="M261" i="8"/>
  <c r="AB261" i="8"/>
  <c r="AQ261" i="8"/>
  <c r="O261" i="8"/>
  <c r="AD261" i="8"/>
  <c r="AS261" i="8"/>
  <c r="R261" i="8"/>
  <c r="AG261" i="8"/>
  <c r="AV261" i="8"/>
  <c r="M261" i="7"/>
  <c r="AB261" i="7"/>
  <c r="AQ261" i="7"/>
  <c r="D249" i="8"/>
  <c r="S249" i="8"/>
  <c r="AH249" i="8"/>
  <c r="E237" i="8"/>
  <c r="T237" i="8"/>
  <c r="AI237" i="8"/>
  <c r="D232" i="9"/>
  <c r="S232" i="9"/>
  <c r="AH232" i="9"/>
  <c r="D209" i="7"/>
  <c r="S209" i="7"/>
  <c r="AH209" i="7"/>
  <c r="G206" i="9"/>
  <c r="V206" i="9"/>
  <c r="AK206" i="9"/>
  <c r="G202" i="10"/>
  <c r="V202" i="10"/>
  <c r="AK202" i="10"/>
  <c r="D187" i="10"/>
  <c r="S187" i="10"/>
  <c r="AH187" i="10"/>
  <c r="E189" i="9"/>
  <c r="T189" i="9"/>
  <c r="AI189" i="9"/>
  <c r="C191" i="8"/>
  <c r="AY191" i="8"/>
  <c r="AX192" i="8"/>
  <c r="AW191" i="8"/>
  <c r="G192" i="8"/>
  <c r="V192" i="8"/>
  <c r="AK192" i="8"/>
  <c r="T181" i="10"/>
  <c r="AI181" i="10"/>
  <c r="E181" i="10"/>
  <c r="AX174" i="9"/>
  <c r="AW173" i="9"/>
  <c r="AJ174" i="9"/>
  <c r="F174" i="9"/>
  <c r="U174" i="9"/>
  <c r="AY173" i="9"/>
  <c r="C173" i="9"/>
  <c r="AY163" i="10"/>
  <c r="C163" i="10"/>
  <c r="AX164" i="10"/>
  <c r="AW163" i="10"/>
  <c r="F164" i="10"/>
  <c r="U164" i="10"/>
  <c r="AJ164" i="10"/>
  <c r="G103" i="7"/>
  <c r="V103" i="7"/>
  <c r="AK103" i="7"/>
  <c r="E69" i="7"/>
  <c r="T69" i="7"/>
  <c r="AI69" i="7"/>
  <c r="C64" i="7"/>
  <c r="U64" i="7"/>
  <c r="F206" i="8" l="1"/>
  <c r="U206" i="8"/>
  <c r="AJ206" i="8"/>
  <c r="H263" i="10"/>
  <c r="W263" i="10"/>
  <c r="AL263" i="10"/>
  <c r="I263" i="10"/>
  <c r="X263" i="10"/>
  <c r="AM263" i="10"/>
  <c r="J263" i="10"/>
  <c r="Y263" i="10"/>
  <c r="AN263" i="10"/>
  <c r="K263" i="10"/>
  <c r="Z263" i="10"/>
  <c r="AO263" i="10"/>
  <c r="L263" i="10"/>
  <c r="AA263" i="10"/>
  <c r="AP263" i="10"/>
  <c r="M263" i="10"/>
  <c r="AB263" i="10"/>
  <c r="AQ263" i="10"/>
  <c r="N263" i="10"/>
  <c r="AC263" i="10"/>
  <c r="AR263" i="10"/>
  <c r="O263" i="10"/>
  <c r="AD263" i="10"/>
  <c r="AS263" i="10"/>
  <c r="P263" i="10"/>
  <c r="AE263" i="10"/>
  <c r="AT263" i="10"/>
  <c r="Q263" i="10"/>
  <c r="AF263" i="10"/>
  <c r="AU263" i="10"/>
  <c r="R263" i="10"/>
  <c r="AG263" i="10"/>
  <c r="AV263" i="10"/>
  <c r="H263" i="9"/>
  <c r="W263" i="9"/>
  <c r="AL263" i="9"/>
  <c r="I263" i="9"/>
  <c r="X263" i="9"/>
  <c r="AM263" i="9"/>
  <c r="J263" i="9"/>
  <c r="Y263" i="9"/>
  <c r="AN263" i="9"/>
  <c r="K263" i="9"/>
  <c r="Z263" i="9"/>
  <c r="AO263" i="9"/>
  <c r="L263" i="9"/>
  <c r="AA263" i="9"/>
  <c r="AP263" i="9"/>
  <c r="M263" i="9"/>
  <c r="AB263" i="9"/>
  <c r="AQ263" i="9"/>
  <c r="N263" i="9"/>
  <c r="AC263" i="9"/>
  <c r="AR263" i="9"/>
  <c r="O263" i="9"/>
  <c r="AD263" i="9"/>
  <c r="AS263" i="9"/>
  <c r="P263" i="9"/>
  <c r="AE263" i="9"/>
  <c r="AT263" i="9"/>
  <c r="Q263" i="9"/>
  <c r="AF263" i="9"/>
  <c r="AU263" i="9"/>
  <c r="R263" i="9"/>
  <c r="AG263" i="9"/>
  <c r="AV263" i="9"/>
  <c r="H262" i="7"/>
  <c r="W262" i="7"/>
  <c r="AL262" i="7"/>
  <c r="I262" i="7"/>
  <c r="X262" i="7"/>
  <c r="AM262" i="7"/>
  <c r="J262" i="7"/>
  <c r="Y262" i="7"/>
  <c r="AN262" i="7"/>
  <c r="K262" i="7"/>
  <c r="Z262" i="7"/>
  <c r="AO262" i="7"/>
  <c r="L262" i="7"/>
  <c r="AA262" i="7"/>
  <c r="AP262" i="7"/>
  <c r="N262" i="7"/>
  <c r="AC262" i="7"/>
  <c r="AR262" i="7"/>
  <c r="O262" i="7"/>
  <c r="AD262" i="7"/>
  <c r="AS262" i="7"/>
  <c r="P262" i="7"/>
  <c r="AE262" i="7"/>
  <c r="AT262" i="7"/>
  <c r="Q262" i="7"/>
  <c r="AF262" i="7"/>
  <c r="AU262" i="7"/>
  <c r="R262" i="7"/>
  <c r="AG262" i="7"/>
  <c r="AV262" i="7"/>
  <c r="I262" i="8"/>
  <c r="X262" i="8"/>
  <c r="AM262" i="8"/>
  <c r="J262" i="8"/>
  <c r="Y262" i="8"/>
  <c r="AN262" i="8"/>
  <c r="L262" i="8"/>
  <c r="AA262" i="8"/>
  <c r="AP262" i="8"/>
  <c r="N262" i="8"/>
  <c r="AC262" i="8"/>
  <c r="AR262" i="8"/>
  <c r="P262" i="8"/>
  <c r="AE262" i="8"/>
  <c r="AT262" i="8"/>
  <c r="Q262" i="8"/>
  <c r="AF262" i="8"/>
  <c r="AU262" i="8"/>
  <c r="H262" i="8"/>
  <c r="W262" i="8"/>
  <c r="AL262" i="8"/>
  <c r="K262" i="8"/>
  <c r="Z262" i="8"/>
  <c r="AO262" i="8"/>
  <c r="M262" i="8"/>
  <c r="AB262" i="8"/>
  <c r="AQ262" i="8"/>
  <c r="O262" i="8"/>
  <c r="AD262" i="8"/>
  <c r="AS262" i="8"/>
  <c r="R262" i="8"/>
  <c r="AG262" i="8"/>
  <c r="AV262" i="8"/>
  <c r="M262" i="7"/>
  <c r="AB262" i="7"/>
  <c r="AQ262" i="7"/>
  <c r="D250" i="8"/>
  <c r="S250" i="8"/>
  <c r="AH250" i="8"/>
  <c r="E238" i="8"/>
  <c r="T238" i="8"/>
  <c r="AI238" i="8"/>
  <c r="D233" i="9"/>
  <c r="S233" i="9"/>
  <c r="AH233" i="9"/>
  <c r="D210" i="7"/>
  <c r="S210" i="7"/>
  <c r="AH210" i="7"/>
  <c r="G207" i="9"/>
  <c r="V207" i="9"/>
  <c r="AK207" i="9"/>
  <c r="G203" i="10"/>
  <c r="V203" i="10"/>
  <c r="AK203" i="10"/>
  <c r="D188" i="10"/>
  <c r="S188" i="10"/>
  <c r="AH188" i="10"/>
  <c r="E190" i="9"/>
  <c r="T190" i="9"/>
  <c r="AI190" i="9"/>
  <c r="C192" i="8"/>
  <c r="AY192" i="8"/>
  <c r="AW192" i="8"/>
  <c r="W67" i="2" s="1"/>
  <c r="AX193" i="8"/>
  <c r="G193" i="8"/>
  <c r="V193" i="8"/>
  <c r="AK193" i="8"/>
  <c r="E182" i="10"/>
  <c r="T182" i="10"/>
  <c r="AI182" i="10"/>
  <c r="AX175" i="9"/>
  <c r="AW174" i="9"/>
  <c r="AJ175" i="9"/>
  <c r="F175" i="9"/>
  <c r="U175" i="9"/>
  <c r="C174" i="9"/>
  <c r="AY174" i="9"/>
  <c r="C164" i="10"/>
  <c r="AY164" i="10"/>
  <c r="AW164" i="10"/>
  <c r="AX165" i="10"/>
  <c r="U165" i="10"/>
  <c r="AJ165" i="10"/>
  <c r="F165" i="10"/>
  <c r="G104" i="7"/>
  <c r="V104" i="7"/>
  <c r="AK104" i="7"/>
  <c r="E70" i="7"/>
  <c r="T70" i="7"/>
  <c r="AI70" i="7"/>
  <c r="AY64" i="7"/>
  <c r="AJ64" i="7"/>
  <c r="F207" i="8" l="1"/>
  <c r="AJ207" i="8"/>
  <c r="U207" i="8"/>
  <c r="H264" i="10"/>
  <c r="W264" i="10"/>
  <c r="AL264" i="10"/>
  <c r="I264" i="10"/>
  <c r="X264" i="10"/>
  <c r="AM264" i="10"/>
  <c r="J264" i="10"/>
  <c r="Y264" i="10"/>
  <c r="AN264" i="10"/>
  <c r="K264" i="10"/>
  <c r="Z264" i="10"/>
  <c r="AO264" i="10"/>
  <c r="L264" i="10"/>
  <c r="AA264" i="10"/>
  <c r="AP264" i="10"/>
  <c r="M264" i="10"/>
  <c r="AB264" i="10"/>
  <c r="AQ264" i="10"/>
  <c r="N264" i="10"/>
  <c r="AC264" i="10"/>
  <c r="AR264" i="10"/>
  <c r="O264" i="10"/>
  <c r="AD264" i="10"/>
  <c r="AS264" i="10"/>
  <c r="P264" i="10"/>
  <c r="AE264" i="10"/>
  <c r="AT264" i="10"/>
  <c r="Q264" i="10"/>
  <c r="AF264" i="10"/>
  <c r="AU264" i="10"/>
  <c r="R264" i="10"/>
  <c r="AG264" i="10"/>
  <c r="AV264" i="10"/>
  <c r="H264" i="9"/>
  <c r="W264" i="9"/>
  <c r="AL264" i="9"/>
  <c r="I264" i="9"/>
  <c r="X264" i="9"/>
  <c r="AM264" i="9"/>
  <c r="J264" i="9"/>
  <c r="Y264" i="9"/>
  <c r="AN264" i="9"/>
  <c r="K264" i="9"/>
  <c r="Z264" i="9"/>
  <c r="AO264" i="9"/>
  <c r="L264" i="9"/>
  <c r="AA264" i="9"/>
  <c r="AP264" i="9"/>
  <c r="M264" i="9"/>
  <c r="AB264" i="9"/>
  <c r="AQ264" i="9"/>
  <c r="N264" i="9"/>
  <c r="AC264" i="9"/>
  <c r="AR264" i="9"/>
  <c r="O264" i="9"/>
  <c r="AD264" i="9"/>
  <c r="AS264" i="9"/>
  <c r="P264" i="9"/>
  <c r="AE264" i="9"/>
  <c r="AT264" i="9"/>
  <c r="Q264" i="9"/>
  <c r="AF264" i="9"/>
  <c r="AU264" i="9"/>
  <c r="R264" i="9"/>
  <c r="AG264" i="9"/>
  <c r="AV264" i="9"/>
  <c r="H263" i="7"/>
  <c r="W263" i="7"/>
  <c r="AL263" i="7"/>
  <c r="I263" i="7"/>
  <c r="X263" i="7"/>
  <c r="AM263" i="7"/>
  <c r="J263" i="7"/>
  <c r="Y263" i="7"/>
  <c r="AN263" i="7"/>
  <c r="K263" i="7"/>
  <c r="Z263" i="7"/>
  <c r="AO263" i="7"/>
  <c r="L263" i="7"/>
  <c r="AA263" i="7"/>
  <c r="AP263" i="7"/>
  <c r="N263" i="7"/>
  <c r="AC263" i="7"/>
  <c r="AR263" i="7"/>
  <c r="O263" i="7"/>
  <c r="AD263" i="7"/>
  <c r="AS263" i="7"/>
  <c r="P263" i="7"/>
  <c r="AE263" i="7"/>
  <c r="AT263" i="7"/>
  <c r="Q263" i="7"/>
  <c r="AF263" i="7"/>
  <c r="AU263" i="7"/>
  <c r="R263" i="7"/>
  <c r="AG263" i="7"/>
  <c r="AV263" i="7"/>
  <c r="I263" i="8"/>
  <c r="X263" i="8"/>
  <c r="AM263" i="8"/>
  <c r="J263" i="8"/>
  <c r="Y263" i="8"/>
  <c r="AN263" i="8"/>
  <c r="L263" i="8"/>
  <c r="AA263" i="8"/>
  <c r="AP263" i="8"/>
  <c r="N263" i="8"/>
  <c r="AC263" i="8"/>
  <c r="AR263" i="8"/>
  <c r="P263" i="8"/>
  <c r="AE263" i="8"/>
  <c r="AT263" i="8"/>
  <c r="Q263" i="8"/>
  <c r="AF263" i="8"/>
  <c r="AU263" i="8"/>
  <c r="H263" i="8"/>
  <c r="W263" i="8"/>
  <c r="AL263" i="8"/>
  <c r="K263" i="8"/>
  <c r="Z263" i="8"/>
  <c r="AO263" i="8"/>
  <c r="M263" i="8"/>
  <c r="AB263" i="8"/>
  <c r="AQ263" i="8"/>
  <c r="O263" i="8"/>
  <c r="AD263" i="8"/>
  <c r="AS263" i="8"/>
  <c r="R263" i="8"/>
  <c r="AG263" i="8"/>
  <c r="AV263" i="8"/>
  <c r="M263" i="7"/>
  <c r="AB263" i="7"/>
  <c r="AQ263" i="7"/>
  <c r="D251" i="8"/>
  <c r="S251" i="8"/>
  <c r="AH251" i="8"/>
  <c r="E239" i="8"/>
  <c r="T239" i="8"/>
  <c r="AI239" i="8"/>
  <c r="D234" i="9"/>
  <c r="S234" i="9"/>
  <c r="AH234" i="9"/>
  <c r="D211" i="7"/>
  <c r="S211" i="7"/>
  <c r="AH211" i="7"/>
  <c r="G208" i="9"/>
  <c r="V208" i="9"/>
  <c r="AK208" i="9"/>
  <c r="G204" i="10"/>
  <c r="V204" i="10"/>
  <c r="AK204" i="10"/>
  <c r="D189" i="10"/>
  <c r="S189" i="10"/>
  <c r="AH189" i="10"/>
  <c r="E191" i="9"/>
  <c r="T191" i="9"/>
  <c r="AI191" i="9"/>
  <c r="AY193" i="8"/>
  <c r="C193" i="8"/>
  <c r="AW193" i="8"/>
  <c r="AX194" i="8"/>
  <c r="G194" i="8"/>
  <c r="V194" i="8"/>
  <c r="AK194" i="8"/>
  <c r="E183" i="10"/>
  <c r="T183" i="10"/>
  <c r="AI183" i="10"/>
  <c r="AX176" i="9"/>
  <c r="AW175" i="9"/>
  <c r="U176" i="9"/>
  <c r="F176" i="9"/>
  <c r="AJ176" i="9"/>
  <c r="C175" i="9"/>
  <c r="AY175" i="9"/>
  <c r="AW165" i="10"/>
  <c r="AX166" i="10"/>
  <c r="F166" i="10"/>
  <c r="U166" i="10"/>
  <c r="AJ166" i="10"/>
  <c r="C165" i="10"/>
  <c r="AY165" i="10"/>
  <c r="G105" i="7"/>
  <c r="V105" i="7"/>
  <c r="AK105" i="7"/>
  <c r="E71" i="7"/>
  <c r="T71" i="7"/>
  <c r="AI71" i="7"/>
  <c r="AJ65" i="7"/>
  <c r="U65" i="7"/>
  <c r="F65" i="7"/>
  <c r="AX65" i="7"/>
  <c r="AW64" i="7"/>
  <c r="U208" i="8" l="1"/>
  <c r="F208" i="8"/>
  <c r="AJ208" i="8"/>
  <c r="H265" i="10"/>
  <c r="W265" i="10"/>
  <c r="AL265" i="10"/>
  <c r="I265" i="10"/>
  <c r="X265" i="10"/>
  <c r="AM265" i="10"/>
  <c r="J265" i="10"/>
  <c r="Y265" i="10"/>
  <c r="AN265" i="10"/>
  <c r="K265" i="10"/>
  <c r="Z265" i="10"/>
  <c r="AO265" i="10"/>
  <c r="L265" i="10"/>
  <c r="AA265" i="10"/>
  <c r="AP265" i="10"/>
  <c r="M265" i="10"/>
  <c r="AB265" i="10"/>
  <c r="AQ265" i="10"/>
  <c r="N265" i="10"/>
  <c r="AC265" i="10"/>
  <c r="AR265" i="10"/>
  <c r="O265" i="10"/>
  <c r="AD265" i="10"/>
  <c r="AS265" i="10"/>
  <c r="P265" i="10"/>
  <c r="AE265" i="10"/>
  <c r="AT265" i="10"/>
  <c r="Q265" i="10"/>
  <c r="AF265" i="10"/>
  <c r="AU265" i="10"/>
  <c r="R265" i="10"/>
  <c r="AG265" i="10"/>
  <c r="AV265" i="10"/>
  <c r="H265" i="9"/>
  <c r="W265" i="9"/>
  <c r="AL265" i="9"/>
  <c r="I265" i="9"/>
  <c r="X265" i="9"/>
  <c r="AM265" i="9"/>
  <c r="J265" i="9"/>
  <c r="Y265" i="9"/>
  <c r="AN265" i="9"/>
  <c r="K265" i="9"/>
  <c r="Z265" i="9"/>
  <c r="AO265" i="9"/>
  <c r="L265" i="9"/>
  <c r="AA265" i="9"/>
  <c r="AP265" i="9"/>
  <c r="M265" i="9"/>
  <c r="AB265" i="9"/>
  <c r="AQ265" i="9"/>
  <c r="N265" i="9"/>
  <c r="AC265" i="9"/>
  <c r="AR265" i="9"/>
  <c r="O265" i="9"/>
  <c r="AD265" i="9"/>
  <c r="AS265" i="9"/>
  <c r="P265" i="9"/>
  <c r="AE265" i="9"/>
  <c r="AT265" i="9"/>
  <c r="Q265" i="9"/>
  <c r="AF265" i="9"/>
  <c r="AU265" i="9"/>
  <c r="R265" i="9"/>
  <c r="AG265" i="9"/>
  <c r="AV265" i="9"/>
  <c r="H264" i="7"/>
  <c r="W264" i="7"/>
  <c r="AL264" i="7"/>
  <c r="I264" i="7"/>
  <c r="X264" i="7"/>
  <c r="AM264" i="7"/>
  <c r="J264" i="7"/>
  <c r="Y264" i="7"/>
  <c r="AN264" i="7"/>
  <c r="K264" i="7"/>
  <c r="Z264" i="7"/>
  <c r="AO264" i="7"/>
  <c r="L264" i="7"/>
  <c r="AA264" i="7"/>
  <c r="AP264" i="7"/>
  <c r="N264" i="7"/>
  <c r="AC264" i="7"/>
  <c r="AR264" i="7"/>
  <c r="O264" i="7"/>
  <c r="AD264" i="7"/>
  <c r="AS264" i="7"/>
  <c r="P264" i="7"/>
  <c r="AE264" i="7"/>
  <c r="AT264" i="7"/>
  <c r="Q264" i="7"/>
  <c r="AF264" i="7"/>
  <c r="AU264" i="7"/>
  <c r="R264" i="7"/>
  <c r="AG264" i="7"/>
  <c r="AV264" i="7"/>
  <c r="I264" i="8"/>
  <c r="X264" i="8"/>
  <c r="AM264" i="8"/>
  <c r="J264" i="8"/>
  <c r="Y264" i="8"/>
  <c r="AN264" i="8"/>
  <c r="L264" i="8"/>
  <c r="AA264" i="8"/>
  <c r="AP264" i="8"/>
  <c r="N264" i="8"/>
  <c r="AC264" i="8"/>
  <c r="AR264" i="8"/>
  <c r="P264" i="8"/>
  <c r="AE264" i="8"/>
  <c r="AT264" i="8"/>
  <c r="Q264" i="8"/>
  <c r="AF264" i="8"/>
  <c r="AU264" i="8"/>
  <c r="H264" i="8"/>
  <c r="W264" i="8"/>
  <c r="AL264" i="8"/>
  <c r="K264" i="8"/>
  <c r="Z264" i="8"/>
  <c r="AO264" i="8"/>
  <c r="M264" i="8"/>
  <c r="AB264" i="8"/>
  <c r="AQ264" i="8"/>
  <c r="O264" i="8"/>
  <c r="AD264" i="8"/>
  <c r="AS264" i="8"/>
  <c r="R264" i="8"/>
  <c r="AG264" i="8"/>
  <c r="AV264" i="8"/>
  <c r="M264" i="7"/>
  <c r="AB264" i="7"/>
  <c r="AQ264" i="7"/>
  <c r="D252" i="8"/>
  <c r="S252" i="8"/>
  <c r="AH252" i="8"/>
  <c r="E240" i="8"/>
  <c r="T240" i="8"/>
  <c r="AI240" i="8"/>
  <c r="D235" i="9"/>
  <c r="S235" i="9"/>
  <c r="AH235" i="9"/>
  <c r="D212" i="7"/>
  <c r="S212" i="7"/>
  <c r="AH212" i="7"/>
  <c r="G209" i="9"/>
  <c r="V209" i="9"/>
  <c r="AK209" i="9"/>
  <c r="G205" i="10"/>
  <c r="V205" i="10"/>
  <c r="AK205" i="10"/>
  <c r="D190" i="10"/>
  <c r="S190" i="10"/>
  <c r="AH190" i="10"/>
  <c r="E192" i="9"/>
  <c r="T192" i="9"/>
  <c r="AI192" i="9"/>
  <c r="AY194" i="8"/>
  <c r="C194" i="8"/>
  <c r="AX195" i="8"/>
  <c r="AW194" i="8"/>
  <c r="G195" i="8"/>
  <c r="V195" i="8"/>
  <c r="AK195" i="8"/>
  <c r="E184" i="10"/>
  <c r="T184" i="10"/>
  <c r="AI184" i="10"/>
  <c r="C176" i="9"/>
  <c r="AY176" i="9"/>
  <c r="AW176" i="9"/>
  <c r="AX177" i="9"/>
  <c r="F177" i="9"/>
  <c r="AJ177" i="9"/>
  <c r="U177" i="9"/>
  <c r="C166" i="10"/>
  <c r="AY166" i="10"/>
  <c r="AX167" i="10"/>
  <c r="AW166" i="10"/>
  <c r="F167" i="10"/>
  <c r="U167" i="10"/>
  <c r="AJ167" i="10"/>
  <c r="G106" i="7"/>
  <c r="V106" i="7"/>
  <c r="AK106" i="7"/>
  <c r="E72" i="7"/>
  <c r="T72" i="7"/>
  <c r="AI72" i="7"/>
  <c r="AX66" i="7"/>
  <c r="AW65" i="7"/>
  <c r="F66" i="7"/>
  <c r="U66" i="7"/>
  <c r="AJ66" i="7"/>
  <c r="C65" i="7"/>
  <c r="AY65" i="7"/>
  <c r="F209" i="8" l="1"/>
  <c r="U209" i="8"/>
  <c r="AJ209" i="8"/>
  <c r="H266" i="10"/>
  <c r="W266" i="10"/>
  <c r="AL266" i="10"/>
  <c r="I266" i="10"/>
  <c r="X266" i="10"/>
  <c r="AM266" i="10"/>
  <c r="J266" i="10"/>
  <c r="Y266" i="10"/>
  <c r="AN266" i="10"/>
  <c r="K266" i="10"/>
  <c r="Z266" i="10"/>
  <c r="AO266" i="10"/>
  <c r="L266" i="10"/>
  <c r="AA266" i="10"/>
  <c r="AP266" i="10"/>
  <c r="M266" i="10"/>
  <c r="AB266" i="10"/>
  <c r="AQ266" i="10"/>
  <c r="N266" i="10"/>
  <c r="AC266" i="10"/>
  <c r="AR266" i="10"/>
  <c r="O266" i="10"/>
  <c r="AD266" i="10"/>
  <c r="AS266" i="10"/>
  <c r="P266" i="10"/>
  <c r="AE266" i="10"/>
  <c r="AT266" i="10"/>
  <c r="Q266" i="10"/>
  <c r="AF266" i="10"/>
  <c r="AU266" i="10"/>
  <c r="R266" i="10"/>
  <c r="AG266" i="10"/>
  <c r="AV266" i="10"/>
  <c r="H266" i="9"/>
  <c r="W266" i="9"/>
  <c r="AL266" i="9"/>
  <c r="I266" i="9"/>
  <c r="X266" i="9"/>
  <c r="AM266" i="9"/>
  <c r="J266" i="9"/>
  <c r="Y266" i="9"/>
  <c r="AN266" i="9"/>
  <c r="K266" i="9"/>
  <c r="Z266" i="9"/>
  <c r="AO266" i="9"/>
  <c r="L266" i="9"/>
  <c r="AA266" i="9"/>
  <c r="AP266" i="9"/>
  <c r="M266" i="9"/>
  <c r="AB266" i="9"/>
  <c r="AQ266" i="9"/>
  <c r="N266" i="9"/>
  <c r="AC266" i="9"/>
  <c r="AR266" i="9"/>
  <c r="O266" i="9"/>
  <c r="AD266" i="9"/>
  <c r="AS266" i="9"/>
  <c r="P266" i="9"/>
  <c r="AE266" i="9"/>
  <c r="AT266" i="9"/>
  <c r="Q266" i="9"/>
  <c r="AF266" i="9"/>
  <c r="AU266" i="9"/>
  <c r="R266" i="9"/>
  <c r="AG266" i="9"/>
  <c r="AV266" i="9"/>
  <c r="H265" i="7"/>
  <c r="W265" i="7"/>
  <c r="AL265" i="7"/>
  <c r="I265" i="7"/>
  <c r="X265" i="7"/>
  <c r="AM265" i="7"/>
  <c r="J265" i="7"/>
  <c r="Y265" i="7"/>
  <c r="AN265" i="7"/>
  <c r="K265" i="7"/>
  <c r="Z265" i="7"/>
  <c r="AO265" i="7"/>
  <c r="L265" i="7"/>
  <c r="AA265" i="7"/>
  <c r="AP265" i="7"/>
  <c r="N265" i="7"/>
  <c r="AC265" i="7"/>
  <c r="AR265" i="7"/>
  <c r="O265" i="7"/>
  <c r="AD265" i="7"/>
  <c r="AS265" i="7"/>
  <c r="P265" i="7"/>
  <c r="AE265" i="7"/>
  <c r="AT265" i="7"/>
  <c r="Q265" i="7"/>
  <c r="AF265" i="7"/>
  <c r="AU265" i="7"/>
  <c r="R265" i="7"/>
  <c r="AG265" i="7"/>
  <c r="AV265" i="7"/>
  <c r="I265" i="8"/>
  <c r="X265" i="8"/>
  <c r="AM265" i="8"/>
  <c r="J265" i="8"/>
  <c r="Y265" i="8"/>
  <c r="AN265" i="8"/>
  <c r="L265" i="8"/>
  <c r="AA265" i="8"/>
  <c r="AP265" i="8"/>
  <c r="N265" i="8"/>
  <c r="AC265" i="8"/>
  <c r="AR265" i="8"/>
  <c r="P265" i="8"/>
  <c r="AE265" i="8"/>
  <c r="AT265" i="8"/>
  <c r="Q265" i="8"/>
  <c r="AF265" i="8"/>
  <c r="AU265" i="8"/>
  <c r="H265" i="8"/>
  <c r="W265" i="8"/>
  <c r="AL265" i="8"/>
  <c r="K265" i="8"/>
  <c r="Z265" i="8"/>
  <c r="AO265" i="8"/>
  <c r="M265" i="8"/>
  <c r="AB265" i="8"/>
  <c r="AQ265" i="8"/>
  <c r="O265" i="8"/>
  <c r="AD265" i="8"/>
  <c r="AS265" i="8"/>
  <c r="R265" i="8"/>
  <c r="AG265" i="8"/>
  <c r="AV265" i="8"/>
  <c r="M265" i="7"/>
  <c r="AB265" i="7"/>
  <c r="AQ265" i="7"/>
  <c r="D253" i="8"/>
  <c r="S253" i="8"/>
  <c r="AH253" i="8"/>
  <c r="E241" i="8"/>
  <c r="T241" i="8"/>
  <c r="AI241" i="8"/>
  <c r="D236" i="9"/>
  <c r="S236" i="9"/>
  <c r="AH236" i="9"/>
  <c r="D213" i="7"/>
  <c r="S213" i="7"/>
  <c r="AH213" i="7"/>
  <c r="G210" i="9"/>
  <c r="V210" i="9"/>
  <c r="AK210" i="9"/>
  <c r="G206" i="10"/>
  <c r="V206" i="10"/>
  <c r="AK206" i="10"/>
  <c r="D191" i="10"/>
  <c r="S191" i="10"/>
  <c r="AH191" i="10"/>
  <c r="E193" i="9"/>
  <c r="T193" i="9"/>
  <c r="AI193" i="9"/>
  <c r="AY195" i="8"/>
  <c r="C195" i="8"/>
  <c r="AX196" i="8"/>
  <c r="AW195" i="8"/>
  <c r="W68" i="2" s="1"/>
  <c r="G196" i="8"/>
  <c r="V196" i="8"/>
  <c r="AK196" i="8"/>
  <c r="E185" i="10"/>
  <c r="T185" i="10"/>
  <c r="AI185" i="10"/>
  <c r="AY177" i="9"/>
  <c r="C177" i="9"/>
  <c r="AX178" i="9"/>
  <c r="AW177" i="9"/>
  <c r="U178" i="9"/>
  <c r="F178" i="9"/>
  <c r="AJ178" i="9"/>
  <c r="AY167" i="10"/>
  <c r="C167" i="10"/>
  <c r="AW167" i="10"/>
  <c r="AX168" i="10"/>
  <c r="U168" i="10"/>
  <c r="F168" i="10"/>
  <c r="AJ168" i="10"/>
  <c r="G107" i="7"/>
  <c r="V107" i="7"/>
  <c r="AK107" i="7"/>
  <c r="E73" i="7"/>
  <c r="T73" i="7"/>
  <c r="AI73" i="7"/>
  <c r="C66" i="7"/>
  <c r="AY66" i="7"/>
  <c r="AX67" i="7"/>
  <c r="AW66" i="7"/>
  <c r="X25" i="2" s="1"/>
  <c r="F67" i="7"/>
  <c r="U67" i="7"/>
  <c r="AJ67" i="7"/>
  <c r="AJ210" i="8" l="1"/>
  <c r="F210" i="8"/>
  <c r="U210" i="8"/>
  <c r="H267" i="10"/>
  <c r="W267" i="10"/>
  <c r="AL267" i="10"/>
  <c r="I267" i="10"/>
  <c r="X267" i="10"/>
  <c r="AM267" i="10"/>
  <c r="J267" i="10"/>
  <c r="Y267" i="10"/>
  <c r="AN267" i="10"/>
  <c r="K267" i="10"/>
  <c r="Z267" i="10"/>
  <c r="AO267" i="10"/>
  <c r="L267" i="10"/>
  <c r="AA267" i="10"/>
  <c r="AP267" i="10"/>
  <c r="M267" i="10"/>
  <c r="AB267" i="10"/>
  <c r="AQ267" i="10"/>
  <c r="N267" i="10"/>
  <c r="AC267" i="10"/>
  <c r="AR267" i="10"/>
  <c r="O267" i="10"/>
  <c r="AD267" i="10"/>
  <c r="AS267" i="10"/>
  <c r="P267" i="10"/>
  <c r="AE267" i="10"/>
  <c r="AT267" i="10"/>
  <c r="Q267" i="10"/>
  <c r="AF267" i="10"/>
  <c r="AU267" i="10"/>
  <c r="R267" i="10"/>
  <c r="AG267" i="10"/>
  <c r="AV267" i="10"/>
  <c r="H267" i="9"/>
  <c r="W267" i="9"/>
  <c r="AL267" i="9"/>
  <c r="I267" i="9"/>
  <c r="X267" i="9"/>
  <c r="AM267" i="9"/>
  <c r="J267" i="9"/>
  <c r="Y267" i="9"/>
  <c r="AN267" i="9"/>
  <c r="K267" i="9"/>
  <c r="Z267" i="9"/>
  <c r="AO267" i="9"/>
  <c r="L267" i="9"/>
  <c r="AA267" i="9"/>
  <c r="AP267" i="9"/>
  <c r="M267" i="9"/>
  <c r="AB267" i="9"/>
  <c r="AQ267" i="9"/>
  <c r="N267" i="9"/>
  <c r="AC267" i="9"/>
  <c r="AR267" i="9"/>
  <c r="O267" i="9"/>
  <c r="AD267" i="9"/>
  <c r="AS267" i="9"/>
  <c r="P267" i="9"/>
  <c r="AE267" i="9"/>
  <c r="AT267" i="9"/>
  <c r="Q267" i="9"/>
  <c r="AF267" i="9"/>
  <c r="AU267" i="9"/>
  <c r="R267" i="9"/>
  <c r="AG267" i="9"/>
  <c r="AV267" i="9"/>
  <c r="H266" i="7"/>
  <c r="W266" i="7"/>
  <c r="AL266" i="7"/>
  <c r="I266" i="7"/>
  <c r="X266" i="7"/>
  <c r="AM266" i="7"/>
  <c r="J266" i="7"/>
  <c r="Y266" i="7"/>
  <c r="AN266" i="7"/>
  <c r="K266" i="7"/>
  <c r="Z266" i="7"/>
  <c r="AO266" i="7"/>
  <c r="L266" i="7"/>
  <c r="AA266" i="7"/>
  <c r="AP266" i="7"/>
  <c r="N266" i="7"/>
  <c r="AC266" i="7"/>
  <c r="AR266" i="7"/>
  <c r="O266" i="7"/>
  <c r="AD266" i="7"/>
  <c r="AS266" i="7"/>
  <c r="P266" i="7"/>
  <c r="AE266" i="7"/>
  <c r="AT266" i="7"/>
  <c r="Q266" i="7"/>
  <c r="AF266" i="7"/>
  <c r="AU266" i="7"/>
  <c r="R266" i="7"/>
  <c r="AG266" i="7"/>
  <c r="AV266" i="7"/>
  <c r="I266" i="8"/>
  <c r="X266" i="8"/>
  <c r="AM266" i="8"/>
  <c r="J266" i="8"/>
  <c r="Y266" i="8"/>
  <c r="AN266" i="8"/>
  <c r="L266" i="8"/>
  <c r="AA266" i="8"/>
  <c r="AP266" i="8"/>
  <c r="N266" i="8"/>
  <c r="AC266" i="8"/>
  <c r="AR266" i="8"/>
  <c r="P266" i="8"/>
  <c r="AE266" i="8"/>
  <c r="AT266" i="8"/>
  <c r="Q266" i="8"/>
  <c r="AF266" i="8"/>
  <c r="AU266" i="8"/>
  <c r="H266" i="8"/>
  <c r="W266" i="8"/>
  <c r="AL266" i="8"/>
  <c r="K266" i="8"/>
  <c r="Z266" i="8"/>
  <c r="AO266" i="8"/>
  <c r="M266" i="8"/>
  <c r="AB266" i="8"/>
  <c r="AQ266" i="8"/>
  <c r="O266" i="8"/>
  <c r="AD266" i="8"/>
  <c r="AS266" i="8"/>
  <c r="R266" i="8"/>
  <c r="AG266" i="8"/>
  <c r="AV266" i="8"/>
  <c r="M266" i="7"/>
  <c r="AB266" i="7"/>
  <c r="AQ266" i="7"/>
  <c r="D254" i="8"/>
  <c r="S254" i="8"/>
  <c r="AH254" i="8"/>
  <c r="E242" i="8"/>
  <c r="T242" i="8"/>
  <c r="AI242" i="8"/>
  <c r="D237" i="9"/>
  <c r="S237" i="9"/>
  <c r="AH237" i="9"/>
  <c r="D214" i="7"/>
  <c r="S214" i="7"/>
  <c r="AH214" i="7"/>
  <c r="G211" i="9"/>
  <c r="V211" i="9"/>
  <c r="AK211" i="9"/>
  <c r="G207" i="10"/>
  <c r="V207" i="10"/>
  <c r="AK207" i="10"/>
  <c r="D192" i="10"/>
  <c r="S192" i="10"/>
  <c r="AH192" i="10"/>
  <c r="E194" i="9"/>
  <c r="T194" i="9"/>
  <c r="AI194" i="9"/>
  <c r="C196" i="8"/>
  <c r="AY196" i="8"/>
  <c r="AX197" i="8"/>
  <c r="AW196" i="8"/>
  <c r="G197" i="8"/>
  <c r="V197" i="8"/>
  <c r="AK197" i="8"/>
  <c r="E186" i="10"/>
  <c r="T186" i="10"/>
  <c r="AI186" i="10"/>
  <c r="C178" i="9"/>
  <c r="AY178" i="9"/>
  <c r="AX179" i="9"/>
  <c r="AW178" i="9"/>
  <c r="U179" i="9"/>
  <c r="F179" i="9"/>
  <c r="AJ179" i="9"/>
  <c r="C168" i="10"/>
  <c r="AY168" i="10"/>
  <c r="AW168" i="10"/>
  <c r="AX169" i="10"/>
  <c r="AJ169" i="10"/>
  <c r="F169" i="10"/>
  <c r="U169" i="10"/>
  <c r="G108" i="7"/>
  <c r="V108" i="7"/>
  <c r="AK108" i="7"/>
  <c r="E74" i="7"/>
  <c r="T74" i="7"/>
  <c r="AI74" i="7"/>
  <c r="C67" i="7"/>
  <c r="AY67" i="7"/>
  <c r="AW67" i="7"/>
  <c r="AX68" i="7"/>
  <c r="F68" i="7"/>
  <c r="U68" i="7"/>
  <c r="AJ68" i="7"/>
  <c r="AJ211" i="8" l="1"/>
  <c r="U211" i="8"/>
  <c r="F211" i="8"/>
  <c r="H268" i="10"/>
  <c r="W268" i="10"/>
  <c r="AL268" i="10"/>
  <c r="I268" i="10"/>
  <c r="X268" i="10"/>
  <c r="AM268" i="10"/>
  <c r="J268" i="10"/>
  <c r="Y268" i="10"/>
  <c r="AN268" i="10"/>
  <c r="K268" i="10"/>
  <c r="Z268" i="10"/>
  <c r="AO268" i="10"/>
  <c r="L268" i="10"/>
  <c r="AA268" i="10"/>
  <c r="AP268" i="10"/>
  <c r="M268" i="10"/>
  <c r="AB268" i="10"/>
  <c r="AQ268" i="10"/>
  <c r="N268" i="10"/>
  <c r="AC268" i="10"/>
  <c r="AR268" i="10"/>
  <c r="O268" i="10"/>
  <c r="AD268" i="10"/>
  <c r="AS268" i="10"/>
  <c r="P268" i="10"/>
  <c r="AE268" i="10"/>
  <c r="AT268" i="10"/>
  <c r="Q268" i="10"/>
  <c r="AF268" i="10"/>
  <c r="AU268" i="10"/>
  <c r="R268" i="10"/>
  <c r="AG268" i="10"/>
  <c r="AV268" i="10"/>
  <c r="H268" i="9"/>
  <c r="W268" i="9"/>
  <c r="AL268" i="9"/>
  <c r="I268" i="9"/>
  <c r="X268" i="9"/>
  <c r="AM268" i="9"/>
  <c r="J268" i="9"/>
  <c r="Y268" i="9"/>
  <c r="AN268" i="9"/>
  <c r="K268" i="9"/>
  <c r="Z268" i="9"/>
  <c r="AO268" i="9"/>
  <c r="L268" i="9"/>
  <c r="AA268" i="9"/>
  <c r="AP268" i="9"/>
  <c r="M268" i="9"/>
  <c r="AB268" i="9"/>
  <c r="AQ268" i="9"/>
  <c r="N268" i="9"/>
  <c r="AC268" i="9"/>
  <c r="AR268" i="9"/>
  <c r="O268" i="9"/>
  <c r="AD268" i="9"/>
  <c r="AS268" i="9"/>
  <c r="P268" i="9"/>
  <c r="AE268" i="9"/>
  <c r="AT268" i="9"/>
  <c r="Q268" i="9"/>
  <c r="AF268" i="9"/>
  <c r="AU268" i="9"/>
  <c r="R268" i="9"/>
  <c r="AG268" i="9"/>
  <c r="AV268" i="9"/>
  <c r="H267" i="7"/>
  <c r="W267" i="7"/>
  <c r="AL267" i="7"/>
  <c r="I267" i="7"/>
  <c r="X267" i="7"/>
  <c r="AM267" i="7"/>
  <c r="J267" i="7"/>
  <c r="Y267" i="7"/>
  <c r="AN267" i="7"/>
  <c r="K267" i="7"/>
  <c r="Z267" i="7"/>
  <c r="AO267" i="7"/>
  <c r="L267" i="7"/>
  <c r="AA267" i="7"/>
  <c r="AP267" i="7"/>
  <c r="N267" i="7"/>
  <c r="AC267" i="7"/>
  <c r="AR267" i="7"/>
  <c r="O267" i="7"/>
  <c r="AD267" i="7"/>
  <c r="AS267" i="7"/>
  <c r="P267" i="7"/>
  <c r="AE267" i="7"/>
  <c r="AT267" i="7"/>
  <c r="Q267" i="7"/>
  <c r="AF267" i="7"/>
  <c r="AU267" i="7"/>
  <c r="R267" i="7"/>
  <c r="AG267" i="7"/>
  <c r="AV267" i="7"/>
  <c r="I267" i="8"/>
  <c r="X267" i="8"/>
  <c r="AM267" i="8"/>
  <c r="J267" i="8"/>
  <c r="Y267" i="8"/>
  <c r="AN267" i="8"/>
  <c r="L267" i="8"/>
  <c r="AA267" i="8"/>
  <c r="AP267" i="8"/>
  <c r="N267" i="8"/>
  <c r="AC267" i="8"/>
  <c r="AR267" i="8"/>
  <c r="P267" i="8"/>
  <c r="AE267" i="8"/>
  <c r="AT267" i="8"/>
  <c r="Q267" i="8"/>
  <c r="AF267" i="8"/>
  <c r="AU267" i="8"/>
  <c r="H267" i="8"/>
  <c r="W267" i="8"/>
  <c r="AL267" i="8"/>
  <c r="K267" i="8"/>
  <c r="Z267" i="8"/>
  <c r="AO267" i="8"/>
  <c r="M267" i="8"/>
  <c r="AB267" i="8"/>
  <c r="AQ267" i="8"/>
  <c r="O267" i="8"/>
  <c r="AD267" i="8"/>
  <c r="AS267" i="8"/>
  <c r="R267" i="8"/>
  <c r="AG267" i="8"/>
  <c r="AV267" i="8"/>
  <c r="M267" i="7"/>
  <c r="AB267" i="7"/>
  <c r="AQ267" i="7"/>
  <c r="D255" i="8"/>
  <c r="S255" i="8"/>
  <c r="AH255" i="8"/>
  <c r="E243" i="8"/>
  <c r="T243" i="8"/>
  <c r="AI243" i="8"/>
  <c r="D238" i="9"/>
  <c r="S238" i="9"/>
  <c r="AH238" i="9"/>
  <c r="D215" i="7"/>
  <c r="S215" i="7"/>
  <c r="AH215" i="7"/>
  <c r="G212" i="9"/>
  <c r="V212" i="9"/>
  <c r="AK212" i="9"/>
  <c r="G208" i="10"/>
  <c r="V208" i="10"/>
  <c r="AK208" i="10"/>
  <c r="D193" i="10"/>
  <c r="S193" i="10"/>
  <c r="AH193" i="10"/>
  <c r="E195" i="9"/>
  <c r="T195" i="9"/>
  <c r="AI195" i="9"/>
  <c r="AY197" i="8"/>
  <c r="C197" i="8"/>
  <c r="AW197" i="8"/>
  <c r="AX198" i="8"/>
  <c r="G198" i="8"/>
  <c r="V198" i="8"/>
  <c r="AK198" i="8"/>
  <c r="E187" i="10"/>
  <c r="T187" i="10"/>
  <c r="AI187" i="10"/>
  <c r="AY179" i="9"/>
  <c r="C179" i="9"/>
  <c r="AX180" i="9"/>
  <c r="AW179" i="9"/>
  <c r="F180" i="9"/>
  <c r="U180" i="9"/>
  <c r="AJ180" i="9"/>
  <c r="AX170" i="10"/>
  <c r="AW169" i="10"/>
  <c r="F170" i="10"/>
  <c r="U170" i="10"/>
  <c r="AJ170" i="10"/>
  <c r="C169" i="10"/>
  <c r="AY169" i="10"/>
  <c r="G109" i="7"/>
  <c r="V109" i="7"/>
  <c r="AK109" i="7"/>
  <c r="E75" i="7"/>
  <c r="T75" i="7"/>
  <c r="AI75" i="7"/>
  <c r="AY68" i="7"/>
  <c r="C68" i="7"/>
  <c r="AW68" i="7"/>
  <c r="AX69" i="7"/>
  <c r="F69" i="7"/>
  <c r="U69" i="7"/>
  <c r="AJ69" i="7"/>
  <c r="U212" i="8" l="1"/>
  <c r="F212" i="8"/>
  <c r="AJ212" i="8"/>
  <c r="H269" i="10"/>
  <c r="W269" i="10"/>
  <c r="AL269" i="10"/>
  <c r="I269" i="10"/>
  <c r="X269" i="10"/>
  <c r="AM269" i="10"/>
  <c r="J269" i="10"/>
  <c r="Y269" i="10"/>
  <c r="AN269" i="10"/>
  <c r="K269" i="10"/>
  <c r="Z269" i="10"/>
  <c r="AO269" i="10"/>
  <c r="L269" i="10"/>
  <c r="AA269" i="10"/>
  <c r="AP269" i="10"/>
  <c r="M269" i="10"/>
  <c r="AB269" i="10"/>
  <c r="AQ269" i="10"/>
  <c r="N269" i="10"/>
  <c r="AC269" i="10"/>
  <c r="AR269" i="10"/>
  <c r="O269" i="10"/>
  <c r="AD269" i="10"/>
  <c r="AS269" i="10"/>
  <c r="P269" i="10"/>
  <c r="AE269" i="10"/>
  <c r="AT269" i="10"/>
  <c r="Q269" i="10"/>
  <c r="AF269" i="10"/>
  <c r="AU269" i="10"/>
  <c r="R269" i="10"/>
  <c r="AG269" i="10"/>
  <c r="AV269" i="10"/>
  <c r="H269" i="9"/>
  <c r="W269" i="9"/>
  <c r="AL269" i="9"/>
  <c r="I269" i="9"/>
  <c r="X269" i="9"/>
  <c r="AM269" i="9"/>
  <c r="J269" i="9"/>
  <c r="Y269" i="9"/>
  <c r="AN269" i="9"/>
  <c r="K269" i="9"/>
  <c r="Z269" i="9"/>
  <c r="AO269" i="9"/>
  <c r="L269" i="9"/>
  <c r="AA269" i="9"/>
  <c r="AP269" i="9"/>
  <c r="M269" i="9"/>
  <c r="AB269" i="9"/>
  <c r="AQ269" i="9"/>
  <c r="N269" i="9"/>
  <c r="AC269" i="9"/>
  <c r="AR269" i="9"/>
  <c r="O269" i="9"/>
  <c r="AD269" i="9"/>
  <c r="AS269" i="9"/>
  <c r="P269" i="9"/>
  <c r="AE269" i="9"/>
  <c r="AT269" i="9"/>
  <c r="Q269" i="9"/>
  <c r="AF269" i="9"/>
  <c r="AU269" i="9"/>
  <c r="R269" i="9"/>
  <c r="AG269" i="9"/>
  <c r="AV269" i="9"/>
  <c r="H268" i="7"/>
  <c r="W268" i="7"/>
  <c r="AL268" i="7"/>
  <c r="I268" i="7"/>
  <c r="X268" i="7"/>
  <c r="AM268" i="7"/>
  <c r="J268" i="7"/>
  <c r="Y268" i="7"/>
  <c r="AN268" i="7"/>
  <c r="K268" i="7"/>
  <c r="Z268" i="7"/>
  <c r="AO268" i="7"/>
  <c r="L268" i="7"/>
  <c r="AA268" i="7"/>
  <c r="AP268" i="7"/>
  <c r="N268" i="7"/>
  <c r="AC268" i="7"/>
  <c r="AR268" i="7"/>
  <c r="O268" i="7"/>
  <c r="AD268" i="7"/>
  <c r="AS268" i="7"/>
  <c r="P268" i="7"/>
  <c r="AE268" i="7"/>
  <c r="AT268" i="7"/>
  <c r="Q268" i="7"/>
  <c r="AF268" i="7"/>
  <c r="AU268" i="7"/>
  <c r="R268" i="7"/>
  <c r="AG268" i="7"/>
  <c r="AV268" i="7"/>
  <c r="I268" i="8"/>
  <c r="X268" i="8"/>
  <c r="AM268" i="8"/>
  <c r="J268" i="8"/>
  <c r="Y268" i="8"/>
  <c r="AN268" i="8"/>
  <c r="L268" i="8"/>
  <c r="AA268" i="8"/>
  <c r="AP268" i="8"/>
  <c r="N268" i="8"/>
  <c r="AC268" i="8"/>
  <c r="AR268" i="8"/>
  <c r="P268" i="8"/>
  <c r="AE268" i="8"/>
  <c r="AT268" i="8"/>
  <c r="Q268" i="8"/>
  <c r="AF268" i="8"/>
  <c r="AU268" i="8"/>
  <c r="H268" i="8"/>
  <c r="W268" i="8"/>
  <c r="AL268" i="8"/>
  <c r="K268" i="8"/>
  <c r="Z268" i="8"/>
  <c r="AO268" i="8"/>
  <c r="M268" i="8"/>
  <c r="AB268" i="8"/>
  <c r="AQ268" i="8"/>
  <c r="O268" i="8"/>
  <c r="AD268" i="8"/>
  <c r="AS268" i="8"/>
  <c r="R268" i="8"/>
  <c r="AG268" i="8"/>
  <c r="AV268" i="8"/>
  <c r="M268" i="7"/>
  <c r="AB268" i="7"/>
  <c r="AQ268" i="7"/>
  <c r="D256" i="8"/>
  <c r="S256" i="8"/>
  <c r="AH256" i="8"/>
  <c r="E244" i="8"/>
  <c r="T244" i="8"/>
  <c r="AI244" i="8"/>
  <c r="D239" i="9"/>
  <c r="S239" i="9"/>
  <c r="AH239" i="9"/>
  <c r="D216" i="7"/>
  <c r="S216" i="7"/>
  <c r="AH216" i="7"/>
  <c r="G213" i="9"/>
  <c r="V213" i="9"/>
  <c r="AK213" i="9"/>
  <c r="G209" i="10"/>
  <c r="V209" i="10"/>
  <c r="AK209" i="10"/>
  <c r="D194" i="10"/>
  <c r="S194" i="10"/>
  <c r="AH194" i="10"/>
  <c r="E196" i="9"/>
  <c r="T196" i="9"/>
  <c r="AI196" i="9"/>
  <c r="AY198" i="8"/>
  <c r="C198" i="8"/>
  <c r="AW198" i="8"/>
  <c r="W69" i="2" s="1"/>
  <c r="AX199" i="8"/>
  <c r="G199" i="8"/>
  <c r="V199" i="8"/>
  <c r="AK199" i="8"/>
  <c r="E188" i="10"/>
  <c r="T188" i="10"/>
  <c r="AI188" i="10"/>
  <c r="AY180" i="9"/>
  <c r="C180" i="9"/>
  <c r="AX181" i="9"/>
  <c r="AW180" i="9"/>
  <c r="F181" i="9"/>
  <c r="AJ181" i="9"/>
  <c r="U181" i="9"/>
  <c r="AY170" i="10"/>
  <c r="C170" i="10"/>
  <c r="AX171" i="10"/>
  <c r="AW170" i="10"/>
  <c r="F171" i="10"/>
  <c r="U171" i="10"/>
  <c r="AJ171" i="10"/>
  <c r="G110" i="7"/>
  <c r="V110" i="7"/>
  <c r="AK110" i="7"/>
  <c r="E76" i="7"/>
  <c r="T76" i="7"/>
  <c r="AI76" i="7"/>
  <c r="AY69" i="7"/>
  <c r="C69" i="7"/>
  <c r="AW69" i="7"/>
  <c r="X26" i="2" s="1"/>
  <c r="AX70" i="7"/>
  <c r="F70" i="7"/>
  <c r="U70" i="7"/>
  <c r="AJ70" i="7"/>
  <c r="U213" i="8" l="1"/>
  <c r="AJ213" i="8"/>
  <c r="F213" i="8"/>
  <c r="H270" i="10"/>
  <c r="W270" i="10"/>
  <c r="AL270" i="10"/>
  <c r="I270" i="10"/>
  <c r="X270" i="10"/>
  <c r="AM270" i="10"/>
  <c r="J270" i="10"/>
  <c r="Y270" i="10"/>
  <c r="AN270" i="10"/>
  <c r="K270" i="10"/>
  <c r="Z270" i="10"/>
  <c r="AO270" i="10"/>
  <c r="L270" i="10"/>
  <c r="AA270" i="10"/>
  <c r="AP270" i="10"/>
  <c r="M270" i="10"/>
  <c r="AB270" i="10"/>
  <c r="AQ270" i="10"/>
  <c r="N270" i="10"/>
  <c r="AC270" i="10"/>
  <c r="AR270" i="10"/>
  <c r="O270" i="10"/>
  <c r="AD270" i="10"/>
  <c r="AS270" i="10"/>
  <c r="P270" i="10"/>
  <c r="AE270" i="10"/>
  <c r="AT270" i="10"/>
  <c r="Q270" i="10"/>
  <c r="AF270" i="10"/>
  <c r="AU270" i="10"/>
  <c r="R270" i="10"/>
  <c r="AG270" i="10"/>
  <c r="AV270" i="10"/>
  <c r="H270" i="9"/>
  <c r="W270" i="9"/>
  <c r="AL270" i="9"/>
  <c r="I270" i="9"/>
  <c r="X270" i="9"/>
  <c r="AM270" i="9"/>
  <c r="J270" i="9"/>
  <c r="Y270" i="9"/>
  <c r="AN270" i="9"/>
  <c r="K270" i="9"/>
  <c r="Z270" i="9"/>
  <c r="AO270" i="9"/>
  <c r="L270" i="9"/>
  <c r="AA270" i="9"/>
  <c r="AP270" i="9"/>
  <c r="M270" i="9"/>
  <c r="AB270" i="9"/>
  <c r="AQ270" i="9"/>
  <c r="N270" i="9"/>
  <c r="AC270" i="9"/>
  <c r="AR270" i="9"/>
  <c r="O270" i="9"/>
  <c r="AD270" i="9"/>
  <c r="AS270" i="9"/>
  <c r="P270" i="9"/>
  <c r="AE270" i="9"/>
  <c r="AT270" i="9"/>
  <c r="Q270" i="9"/>
  <c r="AF270" i="9"/>
  <c r="AU270" i="9"/>
  <c r="R270" i="9"/>
  <c r="AG270" i="9"/>
  <c r="AV270" i="9"/>
  <c r="H269" i="7"/>
  <c r="W269" i="7"/>
  <c r="AL269" i="7"/>
  <c r="I269" i="7"/>
  <c r="X269" i="7"/>
  <c r="AM269" i="7"/>
  <c r="J269" i="7"/>
  <c r="Y269" i="7"/>
  <c r="AN269" i="7"/>
  <c r="K269" i="7"/>
  <c r="Z269" i="7"/>
  <c r="AO269" i="7"/>
  <c r="L269" i="7"/>
  <c r="AA269" i="7"/>
  <c r="AP269" i="7"/>
  <c r="N269" i="7"/>
  <c r="AC269" i="7"/>
  <c r="AR269" i="7"/>
  <c r="O269" i="7"/>
  <c r="AD269" i="7"/>
  <c r="AS269" i="7"/>
  <c r="P269" i="7"/>
  <c r="AE269" i="7"/>
  <c r="AT269" i="7"/>
  <c r="Q269" i="7"/>
  <c r="AF269" i="7"/>
  <c r="AU269" i="7"/>
  <c r="R269" i="7"/>
  <c r="AG269" i="7"/>
  <c r="AV269" i="7"/>
  <c r="I269" i="8"/>
  <c r="X269" i="8"/>
  <c r="AM269" i="8"/>
  <c r="J269" i="8"/>
  <c r="Y269" i="8"/>
  <c r="AN269" i="8"/>
  <c r="L269" i="8"/>
  <c r="AA269" i="8"/>
  <c r="AP269" i="8"/>
  <c r="N269" i="8"/>
  <c r="AC269" i="8"/>
  <c r="AR269" i="8"/>
  <c r="P269" i="8"/>
  <c r="AE269" i="8"/>
  <c r="AT269" i="8"/>
  <c r="Q269" i="8"/>
  <c r="AF269" i="8"/>
  <c r="AU269" i="8"/>
  <c r="H269" i="8"/>
  <c r="W269" i="8"/>
  <c r="AL269" i="8"/>
  <c r="K269" i="8"/>
  <c r="Z269" i="8"/>
  <c r="AO269" i="8"/>
  <c r="M269" i="8"/>
  <c r="AB269" i="8"/>
  <c r="AQ269" i="8"/>
  <c r="O269" i="8"/>
  <c r="AD269" i="8"/>
  <c r="AS269" i="8"/>
  <c r="R269" i="8"/>
  <c r="AG269" i="8"/>
  <c r="AV269" i="8"/>
  <c r="M269" i="7"/>
  <c r="AB269" i="7"/>
  <c r="AQ269" i="7"/>
  <c r="D257" i="8"/>
  <c r="S257" i="8"/>
  <c r="AH257" i="8"/>
  <c r="E245" i="8"/>
  <c r="T245" i="8"/>
  <c r="AI245" i="8"/>
  <c r="D240" i="9"/>
  <c r="S240" i="9"/>
  <c r="AH240" i="9"/>
  <c r="D217" i="7"/>
  <c r="S217" i="7"/>
  <c r="AH217" i="7"/>
  <c r="G214" i="9"/>
  <c r="V214" i="9"/>
  <c r="AK214" i="9"/>
  <c r="G210" i="10"/>
  <c r="V210" i="10"/>
  <c r="AK210" i="10"/>
  <c r="D195" i="10"/>
  <c r="S195" i="10"/>
  <c r="AH195" i="10"/>
  <c r="E197" i="9"/>
  <c r="T197" i="9"/>
  <c r="AI197" i="9"/>
  <c r="AY199" i="8"/>
  <c r="C199" i="8"/>
  <c r="AX200" i="8"/>
  <c r="AW199" i="8"/>
  <c r="G200" i="8"/>
  <c r="V200" i="8"/>
  <c r="AK200" i="8"/>
  <c r="E189" i="10"/>
  <c r="T189" i="10"/>
  <c r="AI189" i="10"/>
  <c r="C181" i="9"/>
  <c r="AY181" i="9"/>
  <c r="AW181" i="9"/>
  <c r="AX182" i="9"/>
  <c r="F182" i="9"/>
  <c r="U182" i="9"/>
  <c r="AJ182" i="9"/>
  <c r="C171" i="10"/>
  <c r="AY171" i="10"/>
  <c r="AX172" i="10"/>
  <c r="AW171" i="10"/>
  <c r="F172" i="10"/>
  <c r="U172" i="10"/>
  <c r="AJ172" i="10"/>
  <c r="G111" i="7"/>
  <c r="V111" i="7"/>
  <c r="AK111" i="7"/>
  <c r="E77" i="7"/>
  <c r="T77" i="7"/>
  <c r="AI77" i="7"/>
  <c r="AY70" i="7"/>
  <c r="C70" i="7"/>
  <c r="AW70" i="7"/>
  <c r="AX71" i="7"/>
  <c r="F71" i="7"/>
  <c r="U71" i="7"/>
  <c r="AJ71" i="7"/>
  <c r="AJ214" i="8" l="1"/>
  <c r="U214" i="8"/>
  <c r="F214" i="8"/>
  <c r="H271" i="10"/>
  <c r="W271" i="10"/>
  <c r="AL271" i="10"/>
  <c r="I271" i="10"/>
  <c r="X271" i="10"/>
  <c r="AM271" i="10"/>
  <c r="J271" i="10"/>
  <c r="Y271" i="10"/>
  <c r="AN271" i="10"/>
  <c r="K271" i="10"/>
  <c r="Z271" i="10"/>
  <c r="AO271" i="10"/>
  <c r="L271" i="10"/>
  <c r="AA271" i="10"/>
  <c r="AP271" i="10"/>
  <c r="M271" i="10"/>
  <c r="AB271" i="10"/>
  <c r="AQ271" i="10"/>
  <c r="N271" i="10"/>
  <c r="AC271" i="10"/>
  <c r="AR271" i="10"/>
  <c r="O271" i="10"/>
  <c r="AD271" i="10"/>
  <c r="AS271" i="10"/>
  <c r="P271" i="10"/>
  <c r="AE271" i="10"/>
  <c r="AT271" i="10"/>
  <c r="Q271" i="10"/>
  <c r="AF271" i="10"/>
  <c r="AU271" i="10"/>
  <c r="R271" i="10"/>
  <c r="AG271" i="10"/>
  <c r="AV271" i="10"/>
  <c r="H271" i="9"/>
  <c r="W271" i="9"/>
  <c r="AL271" i="9"/>
  <c r="I271" i="9"/>
  <c r="X271" i="9"/>
  <c r="AM271" i="9"/>
  <c r="J271" i="9"/>
  <c r="Y271" i="9"/>
  <c r="AN271" i="9"/>
  <c r="K271" i="9"/>
  <c r="Z271" i="9"/>
  <c r="AO271" i="9"/>
  <c r="L271" i="9"/>
  <c r="AA271" i="9"/>
  <c r="AP271" i="9"/>
  <c r="M271" i="9"/>
  <c r="AB271" i="9"/>
  <c r="AQ271" i="9"/>
  <c r="N271" i="9"/>
  <c r="AC271" i="9"/>
  <c r="AR271" i="9"/>
  <c r="O271" i="9"/>
  <c r="AD271" i="9"/>
  <c r="AS271" i="9"/>
  <c r="P271" i="9"/>
  <c r="AE271" i="9"/>
  <c r="AT271" i="9"/>
  <c r="Q271" i="9"/>
  <c r="AF271" i="9"/>
  <c r="AU271" i="9"/>
  <c r="R271" i="9"/>
  <c r="AG271" i="9"/>
  <c r="AV271" i="9"/>
  <c r="H270" i="7"/>
  <c r="W270" i="7"/>
  <c r="AL270" i="7"/>
  <c r="I270" i="7"/>
  <c r="X270" i="7"/>
  <c r="AM270" i="7"/>
  <c r="J270" i="7"/>
  <c r="Y270" i="7"/>
  <c r="AN270" i="7"/>
  <c r="K270" i="7"/>
  <c r="Z270" i="7"/>
  <c r="AO270" i="7"/>
  <c r="L270" i="7"/>
  <c r="AA270" i="7"/>
  <c r="AP270" i="7"/>
  <c r="N270" i="7"/>
  <c r="AC270" i="7"/>
  <c r="AR270" i="7"/>
  <c r="O270" i="7"/>
  <c r="AD270" i="7"/>
  <c r="AS270" i="7"/>
  <c r="P270" i="7"/>
  <c r="AE270" i="7"/>
  <c r="AT270" i="7"/>
  <c r="Q270" i="7"/>
  <c r="AF270" i="7"/>
  <c r="AU270" i="7"/>
  <c r="R270" i="7"/>
  <c r="AG270" i="7"/>
  <c r="AV270" i="7"/>
  <c r="I270" i="8"/>
  <c r="X270" i="8"/>
  <c r="AM270" i="8"/>
  <c r="J270" i="8"/>
  <c r="Y270" i="8"/>
  <c r="AN270" i="8"/>
  <c r="L270" i="8"/>
  <c r="AA270" i="8"/>
  <c r="AP270" i="8"/>
  <c r="N270" i="8"/>
  <c r="AC270" i="8"/>
  <c r="AR270" i="8"/>
  <c r="P270" i="8"/>
  <c r="AE270" i="8"/>
  <c r="AT270" i="8"/>
  <c r="Q270" i="8"/>
  <c r="AF270" i="8"/>
  <c r="AU270" i="8"/>
  <c r="H270" i="8"/>
  <c r="W270" i="8"/>
  <c r="AL270" i="8"/>
  <c r="K270" i="8"/>
  <c r="Z270" i="8"/>
  <c r="AO270" i="8"/>
  <c r="M270" i="8"/>
  <c r="AB270" i="8"/>
  <c r="AQ270" i="8"/>
  <c r="O270" i="8"/>
  <c r="AD270" i="8"/>
  <c r="AS270" i="8"/>
  <c r="R270" i="8"/>
  <c r="AG270" i="8"/>
  <c r="AV270" i="8"/>
  <c r="M270" i="7"/>
  <c r="AB270" i="7"/>
  <c r="AQ270" i="7"/>
  <c r="D258" i="8"/>
  <c r="S258" i="8"/>
  <c r="AH258" i="8"/>
  <c r="E246" i="8"/>
  <c r="T246" i="8"/>
  <c r="AI246" i="8"/>
  <c r="D241" i="9"/>
  <c r="S241" i="9"/>
  <c r="AH241" i="9"/>
  <c r="D218" i="7"/>
  <c r="S218" i="7"/>
  <c r="AH218" i="7"/>
  <c r="G215" i="9"/>
  <c r="V215" i="9"/>
  <c r="AK215" i="9"/>
  <c r="G211" i="10"/>
  <c r="V211" i="10"/>
  <c r="AK211" i="10"/>
  <c r="D196" i="10"/>
  <c r="S196" i="10"/>
  <c r="AH196" i="10"/>
  <c r="E198" i="9"/>
  <c r="T198" i="9"/>
  <c r="AI198" i="9"/>
  <c r="AY200" i="8"/>
  <c r="C200" i="8"/>
  <c r="AX201" i="8"/>
  <c r="AW200" i="8"/>
  <c r="G201" i="8"/>
  <c r="V201" i="8"/>
  <c r="AK201" i="8"/>
  <c r="E190" i="10"/>
  <c r="T190" i="10"/>
  <c r="AI190" i="10"/>
  <c r="C182" i="9"/>
  <c r="AY182" i="9"/>
  <c r="AW182" i="9"/>
  <c r="AX183" i="9"/>
  <c r="AJ183" i="9"/>
  <c r="F183" i="9"/>
  <c r="U183" i="9"/>
  <c r="C172" i="10"/>
  <c r="AY172" i="10"/>
  <c r="AW172" i="10"/>
  <c r="AX173" i="10"/>
  <c r="F173" i="10"/>
  <c r="U173" i="10"/>
  <c r="AJ173" i="10"/>
  <c r="G112" i="7"/>
  <c r="V112" i="7"/>
  <c r="AK112" i="7"/>
  <c r="E78" i="7"/>
  <c r="T78" i="7"/>
  <c r="AI78" i="7"/>
  <c r="AY71" i="7"/>
  <c r="C71" i="7"/>
  <c r="AW71" i="7"/>
  <c r="AX72" i="7"/>
  <c r="F72" i="7"/>
  <c r="U72" i="7"/>
  <c r="AJ72" i="7"/>
  <c r="AJ215" i="8" l="1"/>
  <c r="U215" i="8"/>
  <c r="F215" i="8"/>
  <c r="H272" i="10"/>
  <c r="W272" i="10"/>
  <c r="AL272" i="10"/>
  <c r="I272" i="10"/>
  <c r="X272" i="10"/>
  <c r="AM272" i="10"/>
  <c r="J272" i="10"/>
  <c r="Y272" i="10"/>
  <c r="AN272" i="10"/>
  <c r="K272" i="10"/>
  <c r="Z272" i="10"/>
  <c r="AO272" i="10"/>
  <c r="L272" i="10"/>
  <c r="AA272" i="10"/>
  <c r="AP272" i="10"/>
  <c r="M272" i="10"/>
  <c r="AB272" i="10"/>
  <c r="AQ272" i="10"/>
  <c r="N272" i="10"/>
  <c r="AC272" i="10"/>
  <c r="AR272" i="10"/>
  <c r="O272" i="10"/>
  <c r="AD272" i="10"/>
  <c r="AS272" i="10"/>
  <c r="P272" i="10"/>
  <c r="AE272" i="10"/>
  <c r="AT272" i="10"/>
  <c r="Q272" i="10"/>
  <c r="AF272" i="10"/>
  <c r="AU272" i="10"/>
  <c r="R272" i="10"/>
  <c r="AG272" i="10"/>
  <c r="AV272" i="10"/>
  <c r="H272" i="9"/>
  <c r="W272" i="9"/>
  <c r="AL272" i="9"/>
  <c r="I272" i="9"/>
  <c r="X272" i="9"/>
  <c r="AM272" i="9"/>
  <c r="J272" i="9"/>
  <c r="Y272" i="9"/>
  <c r="AN272" i="9"/>
  <c r="K272" i="9"/>
  <c r="Z272" i="9"/>
  <c r="AO272" i="9"/>
  <c r="L272" i="9"/>
  <c r="AA272" i="9"/>
  <c r="AP272" i="9"/>
  <c r="M272" i="9"/>
  <c r="AB272" i="9"/>
  <c r="AQ272" i="9"/>
  <c r="N272" i="9"/>
  <c r="AC272" i="9"/>
  <c r="AR272" i="9"/>
  <c r="O272" i="9"/>
  <c r="AD272" i="9"/>
  <c r="AS272" i="9"/>
  <c r="P272" i="9"/>
  <c r="AE272" i="9"/>
  <c r="AT272" i="9"/>
  <c r="Q272" i="9"/>
  <c r="AF272" i="9"/>
  <c r="AU272" i="9"/>
  <c r="R272" i="9"/>
  <c r="AG272" i="9"/>
  <c r="AV272" i="9"/>
  <c r="H271" i="7"/>
  <c r="W271" i="7"/>
  <c r="AL271" i="7"/>
  <c r="I271" i="7"/>
  <c r="X271" i="7"/>
  <c r="AM271" i="7"/>
  <c r="J271" i="7"/>
  <c r="Y271" i="7"/>
  <c r="AN271" i="7"/>
  <c r="K271" i="7"/>
  <c r="Z271" i="7"/>
  <c r="AO271" i="7"/>
  <c r="L271" i="7"/>
  <c r="AA271" i="7"/>
  <c r="AP271" i="7"/>
  <c r="N271" i="7"/>
  <c r="AC271" i="7"/>
  <c r="AR271" i="7"/>
  <c r="O271" i="7"/>
  <c r="AD271" i="7"/>
  <c r="AS271" i="7"/>
  <c r="P271" i="7"/>
  <c r="AE271" i="7"/>
  <c r="AT271" i="7"/>
  <c r="Q271" i="7"/>
  <c r="AF271" i="7"/>
  <c r="AU271" i="7"/>
  <c r="R271" i="7"/>
  <c r="AG271" i="7"/>
  <c r="AV271" i="7"/>
  <c r="I271" i="8"/>
  <c r="X271" i="8"/>
  <c r="AM271" i="8"/>
  <c r="J271" i="8"/>
  <c r="Y271" i="8"/>
  <c r="AN271" i="8"/>
  <c r="L271" i="8"/>
  <c r="AA271" i="8"/>
  <c r="AP271" i="8"/>
  <c r="N271" i="8"/>
  <c r="AC271" i="8"/>
  <c r="AR271" i="8"/>
  <c r="P271" i="8"/>
  <c r="AE271" i="8"/>
  <c r="AT271" i="8"/>
  <c r="Q271" i="8"/>
  <c r="AF271" i="8"/>
  <c r="AU271" i="8"/>
  <c r="H271" i="8"/>
  <c r="W271" i="8"/>
  <c r="AL271" i="8"/>
  <c r="K271" i="8"/>
  <c r="Z271" i="8"/>
  <c r="AO271" i="8"/>
  <c r="M271" i="8"/>
  <c r="AB271" i="8"/>
  <c r="AQ271" i="8"/>
  <c r="O271" i="8"/>
  <c r="AD271" i="8"/>
  <c r="AS271" i="8"/>
  <c r="R271" i="8"/>
  <c r="AG271" i="8"/>
  <c r="AV271" i="8"/>
  <c r="M271" i="7"/>
  <c r="AB271" i="7"/>
  <c r="AQ271" i="7"/>
  <c r="D259" i="8"/>
  <c r="S259" i="8"/>
  <c r="AH259" i="8"/>
  <c r="E247" i="8"/>
  <c r="T247" i="8"/>
  <c r="AI247" i="8"/>
  <c r="D242" i="9"/>
  <c r="S242" i="9"/>
  <c r="AH242" i="9"/>
  <c r="D219" i="7"/>
  <c r="S219" i="7"/>
  <c r="AH219" i="7"/>
  <c r="G216" i="9"/>
  <c r="V216" i="9"/>
  <c r="AK216" i="9"/>
  <c r="G212" i="10"/>
  <c r="V212" i="10"/>
  <c r="AK212" i="10"/>
  <c r="D197" i="10"/>
  <c r="S197" i="10"/>
  <c r="AH197" i="10"/>
  <c r="E199" i="9"/>
  <c r="T199" i="9"/>
  <c r="AI199" i="9"/>
  <c r="AY201" i="8"/>
  <c r="C201" i="8"/>
  <c r="AX202" i="8"/>
  <c r="AW201" i="8"/>
  <c r="W70" i="2" s="1"/>
  <c r="G202" i="8"/>
  <c r="V202" i="8"/>
  <c r="AK202" i="8"/>
  <c r="E191" i="10"/>
  <c r="T191" i="10"/>
  <c r="AI191" i="10"/>
  <c r="AX184" i="9"/>
  <c r="AW183" i="9"/>
  <c r="F184" i="9"/>
  <c r="AJ184" i="9"/>
  <c r="U184" i="9"/>
  <c r="C183" i="9"/>
  <c r="AY183" i="9"/>
  <c r="C173" i="10"/>
  <c r="AY173" i="10"/>
  <c r="AX174" i="10"/>
  <c r="AW173" i="10"/>
  <c r="U174" i="10"/>
  <c r="F174" i="10"/>
  <c r="AJ174" i="10"/>
  <c r="G113" i="7"/>
  <c r="V113" i="7"/>
  <c r="AK113" i="7"/>
  <c r="E79" i="7"/>
  <c r="T79" i="7"/>
  <c r="AI79" i="7"/>
  <c r="C72" i="7"/>
  <c r="AY72" i="7"/>
  <c r="AX73" i="7"/>
  <c r="AW72" i="7"/>
  <c r="X27" i="2" s="1"/>
  <c r="F73" i="7"/>
  <c r="U73" i="7"/>
  <c r="AJ73" i="7"/>
  <c r="AJ216" i="8" l="1"/>
  <c r="U216" i="8"/>
  <c r="F216" i="8"/>
  <c r="H273" i="10"/>
  <c r="W273" i="10"/>
  <c r="AL273" i="10"/>
  <c r="I273" i="10"/>
  <c r="X273" i="10"/>
  <c r="AM273" i="10"/>
  <c r="J273" i="10"/>
  <c r="Y273" i="10"/>
  <c r="AN273" i="10"/>
  <c r="K273" i="10"/>
  <c r="Z273" i="10"/>
  <c r="AO273" i="10"/>
  <c r="L273" i="10"/>
  <c r="AA273" i="10"/>
  <c r="AP273" i="10"/>
  <c r="M273" i="10"/>
  <c r="AB273" i="10"/>
  <c r="AQ273" i="10"/>
  <c r="N273" i="10"/>
  <c r="AC273" i="10"/>
  <c r="AR273" i="10"/>
  <c r="O273" i="10"/>
  <c r="AD273" i="10"/>
  <c r="AS273" i="10"/>
  <c r="P273" i="10"/>
  <c r="AE273" i="10"/>
  <c r="AT273" i="10"/>
  <c r="Q273" i="10"/>
  <c r="AF273" i="10"/>
  <c r="AU273" i="10"/>
  <c r="R273" i="10"/>
  <c r="AG273" i="10"/>
  <c r="AV273" i="10"/>
  <c r="H273" i="9"/>
  <c r="W273" i="9"/>
  <c r="AL273" i="9"/>
  <c r="I273" i="9"/>
  <c r="X273" i="9"/>
  <c r="AM273" i="9"/>
  <c r="J273" i="9"/>
  <c r="Y273" i="9"/>
  <c r="AN273" i="9"/>
  <c r="K273" i="9"/>
  <c r="Z273" i="9"/>
  <c r="AO273" i="9"/>
  <c r="L273" i="9"/>
  <c r="AA273" i="9"/>
  <c r="AP273" i="9"/>
  <c r="M273" i="9"/>
  <c r="AB273" i="9"/>
  <c r="AQ273" i="9"/>
  <c r="N273" i="9"/>
  <c r="AC273" i="9"/>
  <c r="AR273" i="9"/>
  <c r="O273" i="9"/>
  <c r="AD273" i="9"/>
  <c r="AS273" i="9"/>
  <c r="P273" i="9"/>
  <c r="AE273" i="9"/>
  <c r="AT273" i="9"/>
  <c r="Q273" i="9"/>
  <c r="AF273" i="9"/>
  <c r="AU273" i="9"/>
  <c r="R273" i="9"/>
  <c r="AG273" i="9"/>
  <c r="AV273" i="9"/>
  <c r="H272" i="7"/>
  <c r="W272" i="7"/>
  <c r="AL272" i="7"/>
  <c r="I272" i="7"/>
  <c r="X272" i="7"/>
  <c r="AM272" i="7"/>
  <c r="J272" i="7"/>
  <c r="Y272" i="7"/>
  <c r="AN272" i="7"/>
  <c r="K272" i="7"/>
  <c r="Z272" i="7"/>
  <c r="AO272" i="7"/>
  <c r="L272" i="7"/>
  <c r="AA272" i="7"/>
  <c r="AP272" i="7"/>
  <c r="N272" i="7"/>
  <c r="AC272" i="7"/>
  <c r="AR272" i="7"/>
  <c r="O272" i="7"/>
  <c r="AD272" i="7"/>
  <c r="AS272" i="7"/>
  <c r="P272" i="7"/>
  <c r="AE272" i="7"/>
  <c r="AT272" i="7"/>
  <c r="Q272" i="7"/>
  <c r="AF272" i="7"/>
  <c r="AU272" i="7"/>
  <c r="R272" i="7"/>
  <c r="AG272" i="7"/>
  <c r="AV272" i="7"/>
  <c r="I272" i="8"/>
  <c r="X272" i="8"/>
  <c r="AM272" i="8"/>
  <c r="J272" i="8"/>
  <c r="Y272" i="8"/>
  <c r="AN272" i="8"/>
  <c r="L272" i="8"/>
  <c r="AA272" i="8"/>
  <c r="AP272" i="8"/>
  <c r="N272" i="8"/>
  <c r="AC272" i="8"/>
  <c r="AR272" i="8"/>
  <c r="P272" i="8"/>
  <c r="AE272" i="8"/>
  <c r="AT272" i="8"/>
  <c r="Q272" i="8"/>
  <c r="AF272" i="8"/>
  <c r="AU272" i="8"/>
  <c r="H272" i="8"/>
  <c r="W272" i="8"/>
  <c r="AL272" i="8"/>
  <c r="K272" i="8"/>
  <c r="Z272" i="8"/>
  <c r="AO272" i="8"/>
  <c r="M272" i="8"/>
  <c r="AB272" i="8"/>
  <c r="AQ272" i="8"/>
  <c r="O272" i="8"/>
  <c r="AD272" i="8"/>
  <c r="AS272" i="8"/>
  <c r="R272" i="8"/>
  <c r="AG272" i="8"/>
  <c r="AV272" i="8"/>
  <c r="M272" i="7"/>
  <c r="AB272" i="7"/>
  <c r="AQ272" i="7"/>
  <c r="D260" i="8"/>
  <c r="S260" i="8"/>
  <c r="AH260" i="8"/>
  <c r="E248" i="8"/>
  <c r="T248" i="8"/>
  <c r="AI248" i="8"/>
  <c r="D243" i="9"/>
  <c r="S243" i="9"/>
  <c r="AH243" i="9"/>
  <c r="D220" i="7"/>
  <c r="S220" i="7"/>
  <c r="AH220" i="7"/>
  <c r="G217" i="9"/>
  <c r="V217" i="9"/>
  <c r="AK217" i="9"/>
  <c r="G213" i="10"/>
  <c r="V213" i="10"/>
  <c r="AK213" i="10"/>
  <c r="D198" i="10"/>
  <c r="S198" i="10"/>
  <c r="AH198" i="10"/>
  <c r="E200" i="9"/>
  <c r="T200" i="9"/>
  <c r="AI200" i="9"/>
  <c r="AY202" i="8"/>
  <c r="C202" i="8"/>
  <c r="AX203" i="8"/>
  <c r="AW202" i="8"/>
  <c r="G203" i="8"/>
  <c r="V203" i="8"/>
  <c r="AK203" i="8"/>
  <c r="E192" i="10"/>
  <c r="T192" i="10"/>
  <c r="AI192" i="10"/>
  <c r="C184" i="9"/>
  <c r="AY184" i="9"/>
  <c r="AW184" i="9"/>
  <c r="AX185" i="9"/>
  <c r="F185" i="9"/>
  <c r="U185" i="9"/>
  <c r="AJ185" i="9"/>
  <c r="AY174" i="10"/>
  <c r="C174" i="10"/>
  <c r="AX175" i="10"/>
  <c r="AW174" i="10"/>
  <c r="F175" i="10"/>
  <c r="U175" i="10"/>
  <c r="AJ175" i="10"/>
  <c r="G114" i="7"/>
  <c r="V114" i="7"/>
  <c r="AK114" i="7"/>
  <c r="E80" i="7"/>
  <c r="T80" i="7"/>
  <c r="AI80" i="7"/>
  <c r="AY73" i="7"/>
  <c r="C73" i="7"/>
  <c r="AW73" i="7"/>
  <c r="AX74" i="7"/>
  <c r="F74" i="7"/>
  <c r="U74" i="7"/>
  <c r="AJ74" i="7"/>
  <c r="AJ217" i="8" l="1"/>
  <c r="F217" i="8"/>
  <c r="U217" i="8"/>
  <c r="H274" i="10"/>
  <c r="W274" i="10"/>
  <c r="AL274" i="10"/>
  <c r="I274" i="10"/>
  <c r="X274" i="10"/>
  <c r="AM274" i="10"/>
  <c r="J274" i="10"/>
  <c r="Y274" i="10"/>
  <c r="AN274" i="10"/>
  <c r="K274" i="10"/>
  <c r="Z274" i="10"/>
  <c r="AO274" i="10"/>
  <c r="L274" i="10"/>
  <c r="AA274" i="10"/>
  <c r="AP274" i="10"/>
  <c r="M274" i="10"/>
  <c r="AB274" i="10"/>
  <c r="AQ274" i="10"/>
  <c r="N274" i="10"/>
  <c r="AC274" i="10"/>
  <c r="AR274" i="10"/>
  <c r="O274" i="10"/>
  <c r="AD274" i="10"/>
  <c r="AS274" i="10"/>
  <c r="P274" i="10"/>
  <c r="AE274" i="10"/>
  <c r="AT274" i="10"/>
  <c r="Q274" i="10"/>
  <c r="AF274" i="10"/>
  <c r="AU274" i="10"/>
  <c r="R274" i="10"/>
  <c r="AG274" i="10"/>
  <c r="AV274" i="10"/>
  <c r="H274" i="9"/>
  <c r="W274" i="9"/>
  <c r="AL274" i="9"/>
  <c r="I274" i="9"/>
  <c r="X274" i="9"/>
  <c r="AM274" i="9"/>
  <c r="J274" i="9"/>
  <c r="Y274" i="9"/>
  <c r="AN274" i="9"/>
  <c r="K274" i="9"/>
  <c r="Z274" i="9"/>
  <c r="AO274" i="9"/>
  <c r="L274" i="9"/>
  <c r="AA274" i="9"/>
  <c r="AP274" i="9"/>
  <c r="M274" i="9"/>
  <c r="AB274" i="9"/>
  <c r="AQ274" i="9"/>
  <c r="N274" i="9"/>
  <c r="AC274" i="9"/>
  <c r="AR274" i="9"/>
  <c r="O274" i="9"/>
  <c r="AD274" i="9"/>
  <c r="AS274" i="9"/>
  <c r="P274" i="9"/>
  <c r="AE274" i="9"/>
  <c r="AT274" i="9"/>
  <c r="Q274" i="9"/>
  <c r="AF274" i="9"/>
  <c r="AU274" i="9"/>
  <c r="R274" i="9"/>
  <c r="AG274" i="9"/>
  <c r="AV274" i="9"/>
  <c r="H273" i="7"/>
  <c r="W273" i="7"/>
  <c r="AL273" i="7"/>
  <c r="I273" i="7"/>
  <c r="X273" i="7"/>
  <c r="AM273" i="7"/>
  <c r="J273" i="7"/>
  <c r="Y273" i="7"/>
  <c r="AN273" i="7"/>
  <c r="K273" i="7"/>
  <c r="Z273" i="7"/>
  <c r="AO273" i="7"/>
  <c r="L273" i="7"/>
  <c r="AA273" i="7"/>
  <c r="AP273" i="7"/>
  <c r="N273" i="7"/>
  <c r="AC273" i="7"/>
  <c r="AR273" i="7"/>
  <c r="O273" i="7"/>
  <c r="AD273" i="7"/>
  <c r="AS273" i="7"/>
  <c r="P273" i="7"/>
  <c r="AE273" i="7"/>
  <c r="AT273" i="7"/>
  <c r="Q273" i="7"/>
  <c r="AF273" i="7"/>
  <c r="AU273" i="7"/>
  <c r="R273" i="7"/>
  <c r="AG273" i="7"/>
  <c r="AV273" i="7"/>
  <c r="I273" i="8"/>
  <c r="X273" i="8"/>
  <c r="AM273" i="8"/>
  <c r="J273" i="8"/>
  <c r="Y273" i="8"/>
  <c r="AN273" i="8"/>
  <c r="L273" i="8"/>
  <c r="AA273" i="8"/>
  <c r="AP273" i="8"/>
  <c r="N273" i="8"/>
  <c r="AC273" i="8"/>
  <c r="AR273" i="8"/>
  <c r="P273" i="8"/>
  <c r="AE273" i="8"/>
  <c r="AT273" i="8"/>
  <c r="Q273" i="8"/>
  <c r="AF273" i="8"/>
  <c r="AU273" i="8"/>
  <c r="H273" i="8"/>
  <c r="W273" i="8"/>
  <c r="AL273" i="8"/>
  <c r="K273" i="8"/>
  <c r="Z273" i="8"/>
  <c r="AO273" i="8"/>
  <c r="M273" i="8"/>
  <c r="AB273" i="8"/>
  <c r="AQ273" i="8"/>
  <c r="O273" i="8"/>
  <c r="AD273" i="8"/>
  <c r="AS273" i="8"/>
  <c r="R273" i="8"/>
  <c r="AG273" i="8"/>
  <c r="AV273" i="8"/>
  <c r="M273" i="7"/>
  <c r="AB273" i="7"/>
  <c r="AQ273" i="7"/>
  <c r="D261" i="8"/>
  <c r="S261" i="8"/>
  <c r="AH261" i="8"/>
  <c r="E249" i="8"/>
  <c r="T249" i="8"/>
  <c r="AI249" i="8"/>
  <c r="D244" i="9"/>
  <c r="S244" i="9"/>
  <c r="AH244" i="9"/>
  <c r="D221" i="7"/>
  <c r="S221" i="7"/>
  <c r="AH221" i="7"/>
  <c r="G218" i="9"/>
  <c r="V218" i="9"/>
  <c r="AK218" i="9"/>
  <c r="G214" i="10"/>
  <c r="V214" i="10"/>
  <c r="AK214" i="10"/>
  <c r="D199" i="10"/>
  <c r="S199" i="10"/>
  <c r="AH199" i="10"/>
  <c r="E201" i="9"/>
  <c r="T201" i="9"/>
  <c r="AI201" i="9"/>
  <c r="AY203" i="8"/>
  <c r="C203" i="8"/>
  <c r="AW203" i="8"/>
  <c r="AX204" i="8"/>
  <c r="G204" i="8"/>
  <c r="V204" i="8"/>
  <c r="AK204" i="8"/>
  <c r="E193" i="10"/>
  <c r="T193" i="10"/>
  <c r="AI193" i="10"/>
  <c r="C185" i="9"/>
  <c r="AY185" i="9"/>
  <c r="AX186" i="9"/>
  <c r="AW185" i="9"/>
  <c r="F186" i="9"/>
  <c r="U186" i="9"/>
  <c r="AJ186" i="9"/>
  <c r="AY175" i="10"/>
  <c r="C175" i="10"/>
  <c r="AW175" i="10"/>
  <c r="AX176" i="10"/>
  <c r="F176" i="10"/>
  <c r="U176" i="10"/>
  <c r="AJ176" i="10"/>
  <c r="G115" i="7"/>
  <c r="V115" i="7"/>
  <c r="AK115" i="7"/>
  <c r="E81" i="7"/>
  <c r="T81" i="7"/>
  <c r="AI81" i="7"/>
  <c r="AY74" i="7"/>
  <c r="C74" i="7"/>
  <c r="AW74" i="7"/>
  <c r="AX75" i="7"/>
  <c r="F75" i="7"/>
  <c r="U75" i="7"/>
  <c r="AJ75" i="7"/>
  <c r="AJ218" i="8" l="1"/>
  <c r="U218" i="8"/>
  <c r="F218" i="8"/>
  <c r="H275" i="10"/>
  <c r="W275" i="10"/>
  <c r="AL275" i="10"/>
  <c r="I275" i="10"/>
  <c r="X275" i="10"/>
  <c r="AM275" i="10"/>
  <c r="J275" i="10"/>
  <c r="Y275" i="10"/>
  <c r="AN275" i="10"/>
  <c r="K275" i="10"/>
  <c r="Z275" i="10"/>
  <c r="AO275" i="10"/>
  <c r="L275" i="10"/>
  <c r="AA275" i="10"/>
  <c r="AP275" i="10"/>
  <c r="M275" i="10"/>
  <c r="AB275" i="10"/>
  <c r="AQ275" i="10"/>
  <c r="N275" i="10"/>
  <c r="AC275" i="10"/>
  <c r="AR275" i="10"/>
  <c r="O275" i="10"/>
  <c r="AD275" i="10"/>
  <c r="AS275" i="10"/>
  <c r="P275" i="10"/>
  <c r="AE275" i="10"/>
  <c r="AT275" i="10"/>
  <c r="Q275" i="10"/>
  <c r="AF275" i="10"/>
  <c r="AU275" i="10"/>
  <c r="R275" i="10"/>
  <c r="AG275" i="10"/>
  <c r="AV275" i="10"/>
  <c r="H275" i="9"/>
  <c r="W275" i="9"/>
  <c r="AL275" i="9"/>
  <c r="I275" i="9"/>
  <c r="X275" i="9"/>
  <c r="AM275" i="9"/>
  <c r="J275" i="9"/>
  <c r="Y275" i="9"/>
  <c r="AN275" i="9"/>
  <c r="K275" i="9"/>
  <c r="Z275" i="9"/>
  <c r="AO275" i="9"/>
  <c r="L275" i="9"/>
  <c r="AA275" i="9"/>
  <c r="AP275" i="9"/>
  <c r="M275" i="9"/>
  <c r="AB275" i="9"/>
  <c r="AQ275" i="9"/>
  <c r="N275" i="9"/>
  <c r="AC275" i="9"/>
  <c r="AR275" i="9"/>
  <c r="O275" i="9"/>
  <c r="AD275" i="9"/>
  <c r="AS275" i="9"/>
  <c r="P275" i="9"/>
  <c r="AE275" i="9"/>
  <c r="AT275" i="9"/>
  <c r="Q275" i="9"/>
  <c r="AF275" i="9"/>
  <c r="AU275" i="9"/>
  <c r="R275" i="9"/>
  <c r="AG275" i="9"/>
  <c r="AV275" i="9"/>
  <c r="H274" i="7"/>
  <c r="W274" i="7"/>
  <c r="AL274" i="7"/>
  <c r="I274" i="7"/>
  <c r="X274" i="7"/>
  <c r="AM274" i="7"/>
  <c r="J274" i="7"/>
  <c r="Y274" i="7"/>
  <c r="AN274" i="7"/>
  <c r="K274" i="7"/>
  <c r="Z274" i="7"/>
  <c r="AO274" i="7"/>
  <c r="L274" i="7"/>
  <c r="AA274" i="7"/>
  <c r="AP274" i="7"/>
  <c r="N274" i="7"/>
  <c r="AC274" i="7"/>
  <c r="AR274" i="7"/>
  <c r="O274" i="7"/>
  <c r="AD274" i="7"/>
  <c r="AS274" i="7"/>
  <c r="P274" i="7"/>
  <c r="AE274" i="7"/>
  <c r="AT274" i="7"/>
  <c r="Q274" i="7"/>
  <c r="AF274" i="7"/>
  <c r="AU274" i="7"/>
  <c r="R274" i="7"/>
  <c r="AG274" i="7"/>
  <c r="AV274" i="7"/>
  <c r="I274" i="8"/>
  <c r="X274" i="8"/>
  <c r="AM274" i="8"/>
  <c r="J274" i="8"/>
  <c r="Y274" i="8"/>
  <c r="AN274" i="8"/>
  <c r="L274" i="8"/>
  <c r="AA274" i="8"/>
  <c r="AP274" i="8"/>
  <c r="N274" i="8"/>
  <c r="AC274" i="8"/>
  <c r="AR274" i="8"/>
  <c r="P274" i="8"/>
  <c r="AE274" i="8"/>
  <c r="AT274" i="8"/>
  <c r="Q274" i="8"/>
  <c r="AF274" i="8"/>
  <c r="AU274" i="8"/>
  <c r="H274" i="8"/>
  <c r="W274" i="8"/>
  <c r="AL274" i="8"/>
  <c r="K274" i="8"/>
  <c r="Z274" i="8"/>
  <c r="AO274" i="8"/>
  <c r="M274" i="8"/>
  <c r="AB274" i="8"/>
  <c r="AQ274" i="8"/>
  <c r="O274" i="8"/>
  <c r="AD274" i="8"/>
  <c r="AS274" i="8"/>
  <c r="R274" i="8"/>
  <c r="AG274" i="8"/>
  <c r="AV274" i="8"/>
  <c r="M274" i="7"/>
  <c r="AB274" i="7"/>
  <c r="AQ274" i="7"/>
  <c r="D262" i="8"/>
  <c r="S262" i="8"/>
  <c r="AH262" i="8"/>
  <c r="E250" i="8"/>
  <c r="T250" i="8"/>
  <c r="AI250" i="8"/>
  <c r="D245" i="9"/>
  <c r="S245" i="9"/>
  <c r="AH245" i="9"/>
  <c r="D222" i="7"/>
  <c r="S222" i="7"/>
  <c r="AH222" i="7"/>
  <c r="G219" i="9"/>
  <c r="V219" i="9"/>
  <c r="AK219" i="9"/>
  <c r="G215" i="10"/>
  <c r="V215" i="10"/>
  <c r="AK215" i="10"/>
  <c r="D200" i="10"/>
  <c r="S200" i="10"/>
  <c r="AH200" i="10"/>
  <c r="E202" i="9"/>
  <c r="T202" i="9"/>
  <c r="AI202" i="9"/>
  <c r="AY204" i="8"/>
  <c r="C204" i="8"/>
  <c r="AW204" i="8"/>
  <c r="W71" i="2" s="1"/>
  <c r="AX205" i="8"/>
  <c r="G205" i="8"/>
  <c r="V205" i="8"/>
  <c r="AK205" i="8"/>
  <c r="E194" i="10"/>
  <c r="T194" i="10"/>
  <c r="AI194" i="10"/>
  <c r="AY186" i="9"/>
  <c r="C186" i="9"/>
  <c r="AW186" i="9"/>
  <c r="AX187" i="9"/>
  <c r="F187" i="9"/>
  <c r="U187" i="9"/>
  <c r="AJ187" i="9"/>
  <c r="C176" i="10"/>
  <c r="AY176" i="10"/>
  <c r="AW176" i="10"/>
  <c r="AX177" i="10"/>
  <c r="U177" i="10"/>
  <c r="F177" i="10"/>
  <c r="AJ177" i="10"/>
  <c r="G116" i="7"/>
  <c r="V116" i="7"/>
  <c r="AK116" i="7"/>
  <c r="E82" i="7"/>
  <c r="T82" i="7"/>
  <c r="AI82" i="7"/>
  <c r="AY75" i="7"/>
  <c r="C75" i="7"/>
  <c r="AW75" i="7"/>
  <c r="X28" i="2" s="1"/>
  <c r="AX76" i="7"/>
  <c r="F76" i="7"/>
  <c r="U76" i="7"/>
  <c r="AJ76" i="7"/>
  <c r="AJ219" i="8" l="1"/>
  <c r="U219" i="8"/>
  <c r="F219" i="8"/>
  <c r="H276" i="10"/>
  <c r="W276" i="10"/>
  <c r="AL276" i="10"/>
  <c r="I276" i="10"/>
  <c r="X276" i="10"/>
  <c r="AM276" i="10"/>
  <c r="J276" i="10"/>
  <c r="Y276" i="10"/>
  <c r="AN276" i="10"/>
  <c r="K276" i="10"/>
  <c r="Z276" i="10"/>
  <c r="AO276" i="10"/>
  <c r="L276" i="10"/>
  <c r="AA276" i="10"/>
  <c r="AP276" i="10"/>
  <c r="M276" i="10"/>
  <c r="AB276" i="10"/>
  <c r="AQ276" i="10"/>
  <c r="N276" i="10"/>
  <c r="AC276" i="10"/>
  <c r="AR276" i="10"/>
  <c r="O276" i="10"/>
  <c r="AD276" i="10"/>
  <c r="AS276" i="10"/>
  <c r="P276" i="10"/>
  <c r="AE276" i="10"/>
  <c r="AT276" i="10"/>
  <c r="Q276" i="10"/>
  <c r="AF276" i="10"/>
  <c r="AU276" i="10"/>
  <c r="R276" i="10"/>
  <c r="AG276" i="10"/>
  <c r="AV276" i="10"/>
  <c r="H276" i="9"/>
  <c r="W276" i="9"/>
  <c r="AL276" i="9"/>
  <c r="I276" i="9"/>
  <c r="X276" i="9"/>
  <c r="AM276" i="9"/>
  <c r="J276" i="9"/>
  <c r="Y276" i="9"/>
  <c r="AN276" i="9"/>
  <c r="K276" i="9"/>
  <c r="Z276" i="9"/>
  <c r="AO276" i="9"/>
  <c r="L276" i="9"/>
  <c r="AA276" i="9"/>
  <c r="AP276" i="9"/>
  <c r="M276" i="9"/>
  <c r="AB276" i="9"/>
  <c r="AQ276" i="9"/>
  <c r="N276" i="9"/>
  <c r="AC276" i="9"/>
  <c r="AR276" i="9"/>
  <c r="O276" i="9"/>
  <c r="AD276" i="9"/>
  <c r="AS276" i="9"/>
  <c r="P276" i="9"/>
  <c r="AE276" i="9"/>
  <c r="AT276" i="9"/>
  <c r="Q276" i="9"/>
  <c r="AF276" i="9"/>
  <c r="AU276" i="9"/>
  <c r="R276" i="9"/>
  <c r="AG276" i="9"/>
  <c r="AV276" i="9"/>
  <c r="H275" i="7"/>
  <c r="W275" i="7"/>
  <c r="AL275" i="7"/>
  <c r="I275" i="7"/>
  <c r="X275" i="7"/>
  <c r="AM275" i="7"/>
  <c r="J275" i="7"/>
  <c r="Y275" i="7"/>
  <c r="AN275" i="7"/>
  <c r="K275" i="7"/>
  <c r="Z275" i="7"/>
  <c r="AO275" i="7"/>
  <c r="L275" i="7"/>
  <c r="AA275" i="7"/>
  <c r="AP275" i="7"/>
  <c r="N275" i="7"/>
  <c r="AC275" i="7"/>
  <c r="AR275" i="7"/>
  <c r="O275" i="7"/>
  <c r="AD275" i="7"/>
  <c r="AS275" i="7"/>
  <c r="P275" i="7"/>
  <c r="AE275" i="7"/>
  <c r="AT275" i="7"/>
  <c r="Q275" i="7"/>
  <c r="AF275" i="7"/>
  <c r="AU275" i="7"/>
  <c r="R275" i="7"/>
  <c r="AG275" i="7"/>
  <c r="AV275" i="7"/>
  <c r="I275" i="8"/>
  <c r="X275" i="8"/>
  <c r="AM275" i="8"/>
  <c r="J275" i="8"/>
  <c r="Y275" i="8"/>
  <c r="AN275" i="8"/>
  <c r="L275" i="8"/>
  <c r="AA275" i="8"/>
  <c r="AP275" i="8"/>
  <c r="N275" i="8"/>
  <c r="AC275" i="8"/>
  <c r="AR275" i="8"/>
  <c r="P275" i="8"/>
  <c r="AE275" i="8"/>
  <c r="AT275" i="8"/>
  <c r="Q275" i="8"/>
  <c r="AF275" i="8"/>
  <c r="AU275" i="8"/>
  <c r="H275" i="8"/>
  <c r="W275" i="8"/>
  <c r="AL275" i="8"/>
  <c r="K275" i="8"/>
  <c r="Z275" i="8"/>
  <c r="AO275" i="8"/>
  <c r="M275" i="8"/>
  <c r="AB275" i="8"/>
  <c r="AQ275" i="8"/>
  <c r="O275" i="8"/>
  <c r="AD275" i="8"/>
  <c r="AS275" i="8"/>
  <c r="R275" i="8"/>
  <c r="AG275" i="8"/>
  <c r="AV275" i="8"/>
  <c r="M275" i="7"/>
  <c r="AB275" i="7"/>
  <c r="AQ275" i="7"/>
  <c r="D263" i="8"/>
  <c r="S263" i="8"/>
  <c r="AH263" i="8"/>
  <c r="E251" i="8"/>
  <c r="T251" i="8"/>
  <c r="AI251" i="8"/>
  <c r="D246" i="9"/>
  <c r="S246" i="9"/>
  <c r="AH246" i="9"/>
  <c r="D223" i="7"/>
  <c r="S223" i="7"/>
  <c r="AH223" i="7"/>
  <c r="G220" i="9"/>
  <c r="V220" i="9"/>
  <c r="AK220" i="9"/>
  <c r="G216" i="10"/>
  <c r="V216" i="10"/>
  <c r="AK216" i="10"/>
  <c r="D201" i="10"/>
  <c r="S201" i="10"/>
  <c r="AH201" i="10"/>
  <c r="E203" i="9"/>
  <c r="T203" i="9"/>
  <c r="AI203" i="9"/>
  <c r="AY205" i="8"/>
  <c r="C205" i="8"/>
  <c r="AX206" i="8"/>
  <c r="AW205" i="8"/>
  <c r="G206" i="8"/>
  <c r="V206" i="8"/>
  <c r="AK206" i="8"/>
  <c r="E195" i="10"/>
  <c r="T195" i="10"/>
  <c r="AI195" i="10"/>
  <c r="C187" i="9"/>
  <c r="AY187" i="9"/>
  <c r="AX188" i="9"/>
  <c r="AW187" i="9"/>
  <c r="F188" i="9"/>
  <c r="U188" i="9"/>
  <c r="AJ188" i="9"/>
  <c r="AY177" i="10"/>
  <c r="C177" i="10"/>
  <c r="AX178" i="10"/>
  <c r="AW177" i="10"/>
  <c r="AJ178" i="10"/>
  <c r="F178" i="10"/>
  <c r="U178" i="10"/>
  <c r="G117" i="7"/>
  <c r="V117" i="7"/>
  <c r="AK117" i="7"/>
  <c r="E83" i="7"/>
  <c r="T83" i="7"/>
  <c r="AI83" i="7"/>
  <c r="AY76" i="7"/>
  <c r="C76" i="7"/>
  <c r="AX77" i="7"/>
  <c r="AW76" i="7"/>
  <c r="F77" i="7"/>
  <c r="U77" i="7"/>
  <c r="AJ77" i="7"/>
  <c r="U220" i="8" l="1"/>
  <c r="F220" i="8"/>
  <c r="AJ220" i="8"/>
  <c r="H277" i="10"/>
  <c r="W277" i="10"/>
  <c r="AL277" i="10"/>
  <c r="I277" i="10"/>
  <c r="X277" i="10"/>
  <c r="AM277" i="10"/>
  <c r="J277" i="10"/>
  <c r="Y277" i="10"/>
  <c r="AN277" i="10"/>
  <c r="K277" i="10"/>
  <c r="Z277" i="10"/>
  <c r="AO277" i="10"/>
  <c r="L277" i="10"/>
  <c r="AA277" i="10"/>
  <c r="AP277" i="10"/>
  <c r="M277" i="10"/>
  <c r="AB277" i="10"/>
  <c r="AQ277" i="10"/>
  <c r="N277" i="10"/>
  <c r="AC277" i="10"/>
  <c r="AR277" i="10"/>
  <c r="O277" i="10"/>
  <c r="AD277" i="10"/>
  <c r="AS277" i="10"/>
  <c r="P277" i="10"/>
  <c r="AE277" i="10"/>
  <c r="AT277" i="10"/>
  <c r="Q277" i="10"/>
  <c r="AF277" i="10"/>
  <c r="AU277" i="10"/>
  <c r="R277" i="10"/>
  <c r="AG277" i="10"/>
  <c r="AV277" i="10"/>
  <c r="H277" i="9"/>
  <c r="W277" i="9"/>
  <c r="AL277" i="9"/>
  <c r="I277" i="9"/>
  <c r="X277" i="9"/>
  <c r="AM277" i="9"/>
  <c r="J277" i="9"/>
  <c r="Y277" i="9"/>
  <c r="AN277" i="9"/>
  <c r="K277" i="9"/>
  <c r="Z277" i="9"/>
  <c r="AO277" i="9"/>
  <c r="L277" i="9"/>
  <c r="AA277" i="9"/>
  <c r="AP277" i="9"/>
  <c r="M277" i="9"/>
  <c r="AB277" i="9"/>
  <c r="AQ277" i="9"/>
  <c r="N277" i="9"/>
  <c r="AC277" i="9"/>
  <c r="AR277" i="9"/>
  <c r="O277" i="9"/>
  <c r="AD277" i="9"/>
  <c r="AS277" i="9"/>
  <c r="P277" i="9"/>
  <c r="AE277" i="9"/>
  <c r="AT277" i="9"/>
  <c r="Q277" i="9"/>
  <c r="AF277" i="9"/>
  <c r="AU277" i="9"/>
  <c r="R277" i="9"/>
  <c r="AG277" i="9"/>
  <c r="AV277" i="9"/>
  <c r="H276" i="7"/>
  <c r="W276" i="7"/>
  <c r="AL276" i="7"/>
  <c r="I276" i="7"/>
  <c r="X276" i="7"/>
  <c r="AM276" i="7"/>
  <c r="J276" i="7"/>
  <c r="Y276" i="7"/>
  <c r="AN276" i="7"/>
  <c r="K276" i="7"/>
  <c r="Z276" i="7"/>
  <c r="AO276" i="7"/>
  <c r="L276" i="7"/>
  <c r="AA276" i="7"/>
  <c r="AP276" i="7"/>
  <c r="N276" i="7"/>
  <c r="AC276" i="7"/>
  <c r="AR276" i="7"/>
  <c r="O276" i="7"/>
  <c r="AD276" i="7"/>
  <c r="AS276" i="7"/>
  <c r="P276" i="7"/>
  <c r="AE276" i="7"/>
  <c r="AT276" i="7"/>
  <c r="Q276" i="7"/>
  <c r="AF276" i="7"/>
  <c r="AU276" i="7"/>
  <c r="R276" i="7"/>
  <c r="AG276" i="7"/>
  <c r="AV276" i="7"/>
  <c r="I276" i="8"/>
  <c r="X276" i="8"/>
  <c r="AM276" i="8"/>
  <c r="J276" i="8"/>
  <c r="Y276" i="8"/>
  <c r="AN276" i="8"/>
  <c r="L276" i="8"/>
  <c r="AA276" i="8"/>
  <c r="AP276" i="8"/>
  <c r="N276" i="8"/>
  <c r="AC276" i="8"/>
  <c r="AR276" i="8"/>
  <c r="P276" i="8"/>
  <c r="AE276" i="8"/>
  <c r="AT276" i="8"/>
  <c r="Q276" i="8"/>
  <c r="AF276" i="8"/>
  <c r="AU276" i="8"/>
  <c r="H276" i="8"/>
  <c r="W276" i="8"/>
  <c r="AL276" i="8"/>
  <c r="K276" i="8"/>
  <c r="Z276" i="8"/>
  <c r="AO276" i="8"/>
  <c r="M276" i="8"/>
  <c r="AB276" i="8"/>
  <c r="AQ276" i="8"/>
  <c r="O276" i="8"/>
  <c r="AD276" i="8"/>
  <c r="AS276" i="8"/>
  <c r="R276" i="8"/>
  <c r="AG276" i="8"/>
  <c r="AV276" i="8"/>
  <c r="M276" i="7"/>
  <c r="AB276" i="7"/>
  <c r="AQ276" i="7"/>
  <c r="D264" i="8"/>
  <c r="S264" i="8"/>
  <c r="AH264" i="8"/>
  <c r="E252" i="8"/>
  <c r="T252" i="8"/>
  <c r="AI252" i="8"/>
  <c r="D247" i="9"/>
  <c r="S247" i="9"/>
  <c r="AH247" i="9"/>
  <c r="D224" i="7"/>
  <c r="S224" i="7"/>
  <c r="AH224" i="7"/>
  <c r="G221" i="9"/>
  <c r="V221" i="9"/>
  <c r="AK221" i="9"/>
  <c r="G217" i="10"/>
  <c r="V217" i="10"/>
  <c r="AK217" i="10"/>
  <c r="D202" i="10"/>
  <c r="S202" i="10"/>
  <c r="AH202" i="10"/>
  <c r="E204" i="9"/>
  <c r="T204" i="9"/>
  <c r="AI204" i="9"/>
  <c r="AY206" i="8"/>
  <c r="C206" i="8"/>
  <c r="AX207" i="8"/>
  <c r="AW206" i="8"/>
  <c r="G207" i="8"/>
  <c r="V207" i="8"/>
  <c r="AK207" i="8"/>
  <c r="E196" i="10"/>
  <c r="T196" i="10"/>
  <c r="AI196" i="10"/>
  <c r="C188" i="9"/>
  <c r="AY188" i="9"/>
  <c r="AW188" i="9"/>
  <c r="AX189" i="9"/>
  <c r="F189" i="9"/>
  <c r="U189" i="9"/>
  <c r="AJ189" i="9"/>
  <c r="AW178" i="10"/>
  <c r="AX179" i="10"/>
  <c r="AJ179" i="10"/>
  <c r="F179" i="10"/>
  <c r="U179" i="10"/>
  <c r="C178" i="10"/>
  <c r="AY178" i="10"/>
  <c r="G118" i="7"/>
  <c r="V118" i="7"/>
  <c r="AK118" i="7"/>
  <c r="E84" i="7"/>
  <c r="T84" i="7"/>
  <c r="AI84" i="7"/>
  <c r="C77" i="7"/>
  <c r="AY77" i="7"/>
  <c r="AW77" i="7"/>
  <c r="AX78" i="7"/>
  <c r="F78" i="7"/>
  <c r="U78" i="7"/>
  <c r="AJ78" i="7"/>
  <c r="F221" i="8" l="1"/>
  <c r="U221" i="8"/>
  <c r="AJ221" i="8"/>
  <c r="H278" i="10"/>
  <c r="W278" i="10"/>
  <c r="AL278" i="10"/>
  <c r="I278" i="10"/>
  <c r="X278" i="10"/>
  <c r="AM278" i="10"/>
  <c r="J278" i="10"/>
  <c r="Y278" i="10"/>
  <c r="AN278" i="10"/>
  <c r="K278" i="10"/>
  <c r="Z278" i="10"/>
  <c r="AO278" i="10"/>
  <c r="L278" i="10"/>
  <c r="AA278" i="10"/>
  <c r="AP278" i="10"/>
  <c r="M278" i="10"/>
  <c r="AB278" i="10"/>
  <c r="AQ278" i="10"/>
  <c r="N278" i="10"/>
  <c r="AC278" i="10"/>
  <c r="AR278" i="10"/>
  <c r="O278" i="10"/>
  <c r="AD278" i="10"/>
  <c r="AS278" i="10"/>
  <c r="P278" i="10"/>
  <c r="AE278" i="10"/>
  <c r="AT278" i="10"/>
  <c r="Q278" i="10"/>
  <c r="AF278" i="10"/>
  <c r="AU278" i="10"/>
  <c r="R278" i="10"/>
  <c r="AG278" i="10"/>
  <c r="AV278" i="10"/>
  <c r="H278" i="9"/>
  <c r="W278" i="9"/>
  <c r="AL278" i="9"/>
  <c r="I278" i="9"/>
  <c r="X278" i="9"/>
  <c r="AM278" i="9"/>
  <c r="J278" i="9"/>
  <c r="Y278" i="9"/>
  <c r="AN278" i="9"/>
  <c r="K278" i="9"/>
  <c r="Z278" i="9"/>
  <c r="AO278" i="9"/>
  <c r="L278" i="9"/>
  <c r="AA278" i="9"/>
  <c r="AP278" i="9"/>
  <c r="M278" i="9"/>
  <c r="AB278" i="9"/>
  <c r="AQ278" i="9"/>
  <c r="N278" i="9"/>
  <c r="AC278" i="9"/>
  <c r="AR278" i="9"/>
  <c r="O278" i="9"/>
  <c r="AD278" i="9"/>
  <c r="AS278" i="9"/>
  <c r="P278" i="9"/>
  <c r="AE278" i="9"/>
  <c r="AT278" i="9"/>
  <c r="Q278" i="9"/>
  <c r="AF278" i="9"/>
  <c r="AU278" i="9"/>
  <c r="R278" i="9"/>
  <c r="AG278" i="9"/>
  <c r="AV278" i="9"/>
  <c r="H277" i="7"/>
  <c r="W277" i="7"/>
  <c r="AL277" i="7"/>
  <c r="I277" i="7"/>
  <c r="X277" i="7"/>
  <c r="AM277" i="7"/>
  <c r="J277" i="7"/>
  <c r="Y277" i="7"/>
  <c r="AN277" i="7"/>
  <c r="K277" i="7"/>
  <c r="Z277" i="7"/>
  <c r="AO277" i="7"/>
  <c r="L277" i="7"/>
  <c r="AA277" i="7"/>
  <c r="AP277" i="7"/>
  <c r="N277" i="7"/>
  <c r="AC277" i="7"/>
  <c r="AR277" i="7"/>
  <c r="O277" i="7"/>
  <c r="AD277" i="7"/>
  <c r="AS277" i="7"/>
  <c r="P277" i="7"/>
  <c r="AE277" i="7"/>
  <c r="AT277" i="7"/>
  <c r="Q277" i="7"/>
  <c r="AF277" i="7"/>
  <c r="AU277" i="7"/>
  <c r="R277" i="7"/>
  <c r="AG277" i="7"/>
  <c r="AV277" i="7"/>
  <c r="I277" i="8"/>
  <c r="X277" i="8"/>
  <c r="AM277" i="8"/>
  <c r="J277" i="8"/>
  <c r="Y277" i="8"/>
  <c r="AN277" i="8"/>
  <c r="L277" i="8"/>
  <c r="AA277" i="8"/>
  <c r="AP277" i="8"/>
  <c r="N277" i="8"/>
  <c r="AC277" i="8"/>
  <c r="AR277" i="8"/>
  <c r="P277" i="8"/>
  <c r="AE277" i="8"/>
  <c r="AT277" i="8"/>
  <c r="Q277" i="8"/>
  <c r="AF277" i="8"/>
  <c r="AU277" i="8"/>
  <c r="H277" i="8"/>
  <c r="W277" i="8"/>
  <c r="AL277" i="8"/>
  <c r="K277" i="8"/>
  <c r="Z277" i="8"/>
  <c r="AO277" i="8"/>
  <c r="M277" i="8"/>
  <c r="AB277" i="8"/>
  <c r="AQ277" i="8"/>
  <c r="O277" i="8"/>
  <c r="AD277" i="8"/>
  <c r="AS277" i="8"/>
  <c r="R277" i="8"/>
  <c r="AG277" i="8"/>
  <c r="AV277" i="8"/>
  <c r="M277" i="7"/>
  <c r="AB277" i="7"/>
  <c r="AQ277" i="7"/>
  <c r="D265" i="8"/>
  <c r="S265" i="8"/>
  <c r="AH265" i="8"/>
  <c r="E253" i="8"/>
  <c r="T253" i="8"/>
  <c r="AI253" i="8"/>
  <c r="D248" i="9"/>
  <c r="S248" i="9"/>
  <c r="AH248" i="9"/>
  <c r="D225" i="7"/>
  <c r="S225" i="7"/>
  <c r="AH225" i="7"/>
  <c r="G222" i="9"/>
  <c r="V222" i="9"/>
  <c r="AK222" i="9"/>
  <c r="G218" i="10"/>
  <c r="V218" i="10"/>
  <c r="AK218" i="10"/>
  <c r="D203" i="10"/>
  <c r="S203" i="10"/>
  <c r="AH203" i="10"/>
  <c r="E205" i="9"/>
  <c r="T205" i="9"/>
  <c r="AI205" i="9"/>
  <c r="AY207" i="8"/>
  <c r="C207" i="8"/>
  <c r="AX208" i="8"/>
  <c r="AW207" i="8"/>
  <c r="W72" i="2" s="1"/>
  <c r="G208" i="8"/>
  <c r="V208" i="8"/>
  <c r="AK208" i="8"/>
  <c r="E197" i="10"/>
  <c r="T197" i="10"/>
  <c r="AI197" i="10"/>
  <c r="C189" i="9"/>
  <c r="AY189" i="9"/>
  <c r="AW189" i="9"/>
  <c r="AX190" i="9"/>
  <c r="F190" i="9"/>
  <c r="U190" i="9"/>
  <c r="AJ190" i="9"/>
  <c r="AX180" i="10"/>
  <c r="AW179" i="10"/>
  <c r="U180" i="10"/>
  <c r="F180" i="10"/>
  <c r="AJ180" i="10"/>
  <c r="C179" i="10"/>
  <c r="AY179" i="10"/>
  <c r="G119" i="7"/>
  <c r="V119" i="7"/>
  <c r="AK119" i="7"/>
  <c r="E85" i="7"/>
  <c r="T85" i="7"/>
  <c r="AI85" i="7"/>
  <c r="AY78" i="7"/>
  <c r="C78" i="7"/>
  <c r="AX79" i="7"/>
  <c r="AW78" i="7"/>
  <c r="X29" i="2" s="1"/>
  <c r="F79" i="7"/>
  <c r="U79" i="7"/>
  <c r="AJ79" i="7"/>
  <c r="U222" i="8" l="1"/>
  <c r="F222" i="8"/>
  <c r="AJ222" i="8"/>
  <c r="H279" i="10"/>
  <c r="W279" i="10"/>
  <c r="AL279" i="10"/>
  <c r="I279" i="10"/>
  <c r="X279" i="10"/>
  <c r="AM279" i="10"/>
  <c r="J279" i="10"/>
  <c r="Y279" i="10"/>
  <c r="AN279" i="10"/>
  <c r="K279" i="10"/>
  <c r="Z279" i="10"/>
  <c r="AO279" i="10"/>
  <c r="L279" i="10"/>
  <c r="AA279" i="10"/>
  <c r="AP279" i="10"/>
  <c r="M279" i="10"/>
  <c r="AB279" i="10"/>
  <c r="AQ279" i="10"/>
  <c r="N279" i="10"/>
  <c r="AC279" i="10"/>
  <c r="AR279" i="10"/>
  <c r="O279" i="10"/>
  <c r="AD279" i="10"/>
  <c r="AS279" i="10"/>
  <c r="P279" i="10"/>
  <c r="AE279" i="10"/>
  <c r="AT279" i="10"/>
  <c r="Q279" i="10"/>
  <c r="AF279" i="10"/>
  <c r="AU279" i="10"/>
  <c r="R279" i="10"/>
  <c r="AG279" i="10"/>
  <c r="AV279" i="10"/>
  <c r="H279" i="9"/>
  <c r="W279" i="9"/>
  <c r="AL279" i="9"/>
  <c r="I279" i="9"/>
  <c r="X279" i="9"/>
  <c r="AM279" i="9"/>
  <c r="J279" i="9"/>
  <c r="Y279" i="9"/>
  <c r="AN279" i="9"/>
  <c r="K279" i="9"/>
  <c r="Z279" i="9"/>
  <c r="AO279" i="9"/>
  <c r="L279" i="9"/>
  <c r="AA279" i="9"/>
  <c r="AP279" i="9"/>
  <c r="M279" i="9"/>
  <c r="AB279" i="9"/>
  <c r="AQ279" i="9"/>
  <c r="N279" i="9"/>
  <c r="AC279" i="9"/>
  <c r="AR279" i="9"/>
  <c r="O279" i="9"/>
  <c r="AD279" i="9"/>
  <c r="AS279" i="9"/>
  <c r="P279" i="9"/>
  <c r="AE279" i="9"/>
  <c r="AT279" i="9"/>
  <c r="Q279" i="9"/>
  <c r="AF279" i="9"/>
  <c r="AU279" i="9"/>
  <c r="R279" i="9"/>
  <c r="AG279" i="9"/>
  <c r="AV279" i="9"/>
  <c r="H278" i="7"/>
  <c r="W278" i="7"/>
  <c r="AL278" i="7"/>
  <c r="I278" i="7"/>
  <c r="X278" i="7"/>
  <c r="AM278" i="7"/>
  <c r="J278" i="7"/>
  <c r="Y278" i="7"/>
  <c r="AN278" i="7"/>
  <c r="K278" i="7"/>
  <c r="Z278" i="7"/>
  <c r="AO278" i="7"/>
  <c r="L278" i="7"/>
  <c r="AA278" i="7"/>
  <c r="AP278" i="7"/>
  <c r="N278" i="7"/>
  <c r="AC278" i="7"/>
  <c r="AR278" i="7"/>
  <c r="O278" i="7"/>
  <c r="AD278" i="7"/>
  <c r="AS278" i="7"/>
  <c r="P278" i="7"/>
  <c r="AE278" i="7"/>
  <c r="AT278" i="7"/>
  <c r="Q278" i="7"/>
  <c r="AF278" i="7"/>
  <c r="AU278" i="7"/>
  <c r="R278" i="7"/>
  <c r="AG278" i="7"/>
  <c r="AV278" i="7"/>
  <c r="I278" i="8"/>
  <c r="X278" i="8"/>
  <c r="AM278" i="8"/>
  <c r="J278" i="8"/>
  <c r="Y278" i="8"/>
  <c r="AN278" i="8"/>
  <c r="L278" i="8"/>
  <c r="AA278" i="8"/>
  <c r="AP278" i="8"/>
  <c r="N278" i="8"/>
  <c r="AC278" i="8"/>
  <c r="AR278" i="8"/>
  <c r="P278" i="8"/>
  <c r="AE278" i="8"/>
  <c r="AT278" i="8"/>
  <c r="Q278" i="8"/>
  <c r="AF278" i="8"/>
  <c r="AU278" i="8"/>
  <c r="H278" i="8"/>
  <c r="W278" i="8"/>
  <c r="AL278" i="8"/>
  <c r="K278" i="8"/>
  <c r="Z278" i="8"/>
  <c r="AO278" i="8"/>
  <c r="M278" i="8"/>
  <c r="AB278" i="8"/>
  <c r="AQ278" i="8"/>
  <c r="O278" i="8"/>
  <c r="AD278" i="8"/>
  <c r="AS278" i="8"/>
  <c r="R278" i="8"/>
  <c r="AG278" i="8"/>
  <c r="AV278" i="8"/>
  <c r="M278" i="7"/>
  <c r="AB278" i="7"/>
  <c r="AQ278" i="7"/>
  <c r="D266" i="8"/>
  <c r="S266" i="8"/>
  <c r="AH266" i="8"/>
  <c r="E254" i="8"/>
  <c r="T254" i="8"/>
  <c r="AI254" i="8"/>
  <c r="D249" i="9"/>
  <c r="S249" i="9"/>
  <c r="AH249" i="9"/>
  <c r="D226" i="7"/>
  <c r="S226" i="7"/>
  <c r="AH226" i="7"/>
  <c r="G223" i="9"/>
  <c r="V223" i="9"/>
  <c r="AK223" i="9"/>
  <c r="G219" i="10"/>
  <c r="V219" i="10"/>
  <c r="AK219" i="10"/>
  <c r="D204" i="10"/>
  <c r="S204" i="10"/>
  <c r="AH204" i="10"/>
  <c r="E206" i="9"/>
  <c r="T206" i="9"/>
  <c r="AI206" i="9"/>
  <c r="AY208" i="8"/>
  <c r="C208" i="8"/>
  <c r="AX209" i="8"/>
  <c r="AW208" i="8"/>
  <c r="AK209" i="8"/>
  <c r="G209" i="8"/>
  <c r="V209" i="8"/>
  <c r="E198" i="10"/>
  <c r="T198" i="10"/>
  <c r="AI198" i="10"/>
  <c r="AY190" i="9"/>
  <c r="C190" i="9"/>
  <c r="AW190" i="9"/>
  <c r="AX191" i="9"/>
  <c r="F191" i="9"/>
  <c r="U191" i="9"/>
  <c r="AJ191" i="9"/>
  <c r="AY180" i="10"/>
  <c r="C180" i="10"/>
  <c r="AX181" i="10"/>
  <c r="AW180" i="10"/>
  <c r="F181" i="10"/>
  <c r="U181" i="10"/>
  <c r="AJ181" i="10"/>
  <c r="G120" i="7"/>
  <c r="V120" i="7"/>
  <c r="AK120" i="7"/>
  <c r="E86" i="7"/>
  <c r="T86" i="7"/>
  <c r="AI86" i="7"/>
  <c r="AY79" i="7"/>
  <c r="C79" i="7"/>
  <c r="AX80" i="7"/>
  <c r="AW79" i="7"/>
  <c r="F80" i="7"/>
  <c r="U80" i="7"/>
  <c r="AJ80" i="7"/>
  <c r="U223" i="8" l="1"/>
  <c r="F223" i="8"/>
  <c r="AJ223" i="8"/>
  <c r="H280" i="10"/>
  <c r="W280" i="10"/>
  <c r="AL280" i="10"/>
  <c r="I280" i="10"/>
  <c r="X280" i="10"/>
  <c r="AM280" i="10"/>
  <c r="J280" i="10"/>
  <c r="Y280" i="10"/>
  <c r="AN280" i="10"/>
  <c r="K280" i="10"/>
  <c r="Z280" i="10"/>
  <c r="AO280" i="10"/>
  <c r="L280" i="10"/>
  <c r="AA280" i="10"/>
  <c r="AP280" i="10"/>
  <c r="M280" i="10"/>
  <c r="AB280" i="10"/>
  <c r="AQ280" i="10"/>
  <c r="N280" i="10"/>
  <c r="AC280" i="10"/>
  <c r="AR280" i="10"/>
  <c r="O280" i="10"/>
  <c r="AD280" i="10"/>
  <c r="AS280" i="10"/>
  <c r="P280" i="10"/>
  <c r="AE280" i="10"/>
  <c r="AT280" i="10"/>
  <c r="Q280" i="10"/>
  <c r="AF280" i="10"/>
  <c r="AU280" i="10"/>
  <c r="R280" i="10"/>
  <c r="AG280" i="10"/>
  <c r="AV280" i="10"/>
  <c r="H280" i="9"/>
  <c r="W280" i="9"/>
  <c r="AL280" i="9"/>
  <c r="I280" i="9"/>
  <c r="X280" i="9"/>
  <c r="AM280" i="9"/>
  <c r="J280" i="9"/>
  <c r="Y280" i="9"/>
  <c r="AN280" i="9"/>
  <c r="K280" i="9"/>
  <c r="Z280" i="9"/>
  <c r="AO280" i="9"/>
  <c r="L280" i="9"/>
  <c r="AA280" i="9"/>
  <c r="AP280" i="9"/>
  <c r="M280" i="9"/>
  <c r="AB280" i="9"/>
  <c r="AQ280" i="9"/>
  <c r="N280" i="9"/>
  <c r="AC280" i="9"/>
  <c r="AR280" i="9"/>
  <c r="O280" i="9"/>
  <c r="AD280" i="9"/>
  <c r="AS280" i="9"/>
  <c r="P280" i="9"/>
  <c r="AE280" i="9"/>
  <c r="AT280" i="9"/>
  <c r="Q280" i="9"/>
  <c r="AF280" i="9"/>
  <c r="AU280" i="9"/>
  <c r="R280" i="9"/>
  <c r="AG280" i="9"/>
  <c r="AV280" i="9"/>
  <c r="H279" i="7"/>
  <c r="W279" i="7"/>
  <c r="AL279" i="7"/>
  <c r="I279" i="7"/>
  <c r="X279" i="7"/>
  <c r="AM279" i="7"/>
  <c r="J279" i="7"/>
  <c r="Y279" i="7"/>
  <c r="AN279" i="7"/>
  <c r="K279" i="7"/>
  <c r="Z279" i="7"/>
  <c r="AO279" i="7"/>
  <c r="L279" i="7"/>
  <c r="AA279" i="7"/>
  <c r="AP279" i="7"/>
  <c r="N279" i="7"/>
  <c r="AC279" i="7"/>
  <c r="AR279" i="7"/>
  <c r="O279" i="7"/>
  <c r="AD279" i="7"/>
  <c r="AS279" i="7"/>
  <c r="P279" i="7"/>
  <c r="AE279" i="7"/>
  <c r="AT279" i="7"/>
  <c r="Q279" i="7"/>
  <c r="AF279" i="7"/>
  <c r="AU279" i="7"/>
  <c r="R279" i="7"/>
  <c r="AG279" i="7"/>
  <c r="AV279" i="7"/>
  <c r="I279" i="8"/>
  <c r="X279" i="8"/>
  <c r="AM279" i="8"/>
  <c r="J279" i="8"/>
  <c r="Y279" i="8"/>
  <c r="AN279" i="8"/>
  <c r="L279" i="8"/>
  <c r="AA279" i="8"/>
  <c r="AP279" i="8"/>
  <c r="N279" i="8"/>
  <c r="AC279" i="8"/>
  <c r="AR279" i="8"/>
  <c r="P279" i="8"/>
  <c r="AE279" i="8"/>
  <c r="AT279" i="8"/>
  <c r="Q279" i="8"/>
  <c r="AF279" i="8"/>
  <c r="AU279" i="8"/>
  <c r="H279" i="8"/>
  <c r="W279" i="8"/>
  <c r="AL279" i="8"/>
  <c r="K279" i="8"/>
  <c r="Z279" i="8"/>
  <c r="AO279" i="8"/>
  <c r="M279" i="8"/>
  <c r="AB279" i="8"/>
  <c r="AQ279" i="8"/>
  <c r="O279" i="8"/>
  <c r="AD279" i="8"/>
  <c r="AS279" i="8"/>
  <c r="R279" i="8"/>
  <c r="AG279" i="8"/>
  <c r="AV279" i="8"/>
  <c r="M279" i="7"/>
  <c r="AB279" i="7"/>
  <c r="AQ279" i="7"/>
  <c r="D267" i="8"/>
  <c r="S267" i="8"/>
  <c r="AH267" i="8"/>
  <c r="E255" i="8"/>
  <c r="T255" i="8"/>
  <c r="AI255" i="8"/>
  <c r="D250" i="9"/>
  <c r="S250" i="9"/>
  <c r="AH250" i="9"/>
  <c r="D227" i="7"/>
  <c r="S227" i="7"/>
  <c r="AH227" i="7"/>
  <c r="G224" i="9"/>
  <c r="V224" i="9"/>
  <c r="AK224" i="9"/>
  <c r="G220" i="10"/>
  <c r="V220" i="10"/>
  <c r="AK220" i="10"/>
  <c r="D205" i="10"/>
  <c r="S205" i="10"/>
  <c r="AH205" i="10"/>
  <c r="E207" i="9"/>
  <c r="T207" i="9"/>
  <c r="AI207" i="9"/>
  <c r="AW209" i="8"/>
  <c r="AX210" i="8"/>
  <c r="G210" i="8"/>
  <c r="AK210" i="8"/>
  <c r="V210" i="8"/>
  <c r="C209" i="8"/>
  <c r="AY209" i="8"/>
  <c r="E199" i="10"/>
  <c r="T199" i="10"/>
  <c r="AI199" i="10"/>
  <c r="C191" i="9"/>
  <c r="AY191" i="9"/>
  <c r="AX192" i="9"/>
  <c r="AW191" i="9"/>
  <c r="F192" i="9"/>
  <c r="U192" i="9"/>
  <c r="AJ192" i="9"/>
  <c r="C181" i="10"/>
  <c r="AY181" i="10"/>
  <c r="AW181" i="10"/>
  <c r="AX182" i="10"/>
  <c r="F182" i="10"/>
  <c r="U182" i="10"/>
  <c r="AJ182" i="10"/>
  <c r="G121" i="7"/>
  <c r="V121" i="7"/>
  <c r="AK121" i="7"/>
  <c r="E87" i="7"/>
  <c r="T87" i="7"/>
  <c r="AI87" i="7"/>
  <c r="AY80" i="7"/>
  <c r="C80" i="7"/>
  <c r="AW80" i="7"/>
  <c r="AX81" i="7"/>
  <c r="F81" i="7"/>
  <c r="U81" i="7"/>
  <c r="AJ81" i="7"/>
  <c r="F224" i="8" l="1"/>
  <c r="AJ224" i="8"/>
  <c r="U224" i="8"/>
  <c r="H281" i="10"/>
  <c r="W281" i="10"/>
  <c r="AL281" i="10"/>
  <c r="I281" i="10"/>
  <c r="X281" i="10"/>
  <c r="AM281" i="10"/>
  <c r="J281" i="10"/>
  <c r="Y281" i="10"/>
  <c r="AN281" i="10"/>
  <c r="K281" i="10"/>
  <c r="Z281" i="10"/>
  <c r="AO281" i="10"/>
  <c r="L281" i="10"/>
  <c r="AA281" i="10"/>
  <c r="AP281" i="10"/>
  <c r="M281" i="10"/>
  <c r="AB281" i="10"/>
  <c r="AQ281" i="10"/>
  <c r="N281" i="10"/>
  <c r="AC281" i="10"/>
  <c r="AR281" i="10"/>
  <c r="O281" i="10"/>
  <c r="AD281" i="10"/>
  <c r="AS281" i="10"/>
  <c r="P281" i="10"/>
  <c r="AE281" i="10"/>
  <c r="AT281" i="10"/>
  <c r="Q281" i="10"/>
  <c r="AF281" i="10"/>
  <c r="AU281" i="10"/>
  <c r="R281" i="10"/>
  <c r="AG281" i="10"/>
  <c r="AV281" i="10"/>
  <c r="H281" i="9"/>
  <c r="W281" i="9"/>
  <c r="AL281" i="9"/>
  <c r="I281" i="9"/>
  <c r="X281" i="9"/>
  <c r="AM281" i="9"/>
  <c r="J281" i="9"/>
  <c r="Y281" i="9"/>
  <c r="AN281" i="9"/>
  <c r="K281" i="9"/>
  <c r="Z281" i="9"/>
  <c r="AO281" i="9"/>
  <c r="L281" i="9"/>
  <c r="AA281" i="9"/>
  <c r="AP281" i="9"/>
  <c r="M281" i="9"/>
  <c r="AB281" i="9"/>
  <c r="AQ281" i="9"/>
  <c r="N281" i="9"/>
  <c r="AC281" i="9"/>
  <c r="AR281" i="9"/>
  <c r="O281" i="9"/>
  <c r="AD281" i="9"/>
  <c r="AS281" i="9"/>
  <c r="P281" i="9"/>
  <c r="AE281" i="9"/>
  <c r="AT281" i="9"/>
  <c r="Q281" i="9"/>
  <c r="AF281" i="9"/>
  <c r="AU281" i="9"/>
  <c r="R281" i="9"/>
  <c r="AG281" i="9"/>
  <c r="AV281" i="9"/>
  <c r="H280" i="7"/>
  <c r="W280" i="7"/>
  <c r="AL280" i="7"/>
  <c r="I280" i="7"/>
  <c r="X280" i="7"/>
  <c r="AM280" i="7"/>
  <c r="J280" i="7"/>
  <c r="Y280" i="7"/>
  <c r="AN280" i="7"/>
  <c r="K280" i="7"/>
  <c r="Z280" i="7"/>
  <c r="AO280" i="7"/>
  <c r="L280" i="7"/>
  <c r="AA280" i="7"/>
  <c r="AP280" i="7"/>
  <c r="N280" i="7"/>
  <c r="AC280" i="7"/>
  <c r="AR280" i="7"/>
  <c r="O280" i="7"/>
  <c r="AD280" i="7"/>
  <c r="AS280" i="7"/>
  <c r="P280" i="7"/>
  <c r="AE280" i="7"/>
  <c r="AT280" i="7"/>
  <c r="Q280" i="7"/>
  <c r="AF280" i="7"/>
  <c r="AU280" i="7"/>
  <c r="R280" i="7"/>
  <c r="AG280" i="7"/>
  <c r="AV280" i="7"/>
  <c r="I280" i="8"/>
  <c r="X280" i="8"/>
  <c r="AM280" i="8"/>
  <c r="J280" i="8"/>
  <c r="Y280" i="8"/>
  <c r="AN280" i="8"/>
  <c r="L280" i="8"/>
  <c r="AA280" i="8"/>
  <c r="AP280" i="8"/>
  <c r="N280" i="8"/>
  <c r="AC280" i="8"/>
  <c r="AR280" i="8"/>
  <c r="P280" i="8"/>
  <c r="AE280" i="8"/>
  <c r="AT280" i="8"/>
  <c r="Q280" i="8"/>
  <c r="AF280" i="8"/>
  <c r="AU280" i="8"/>
  <c r="H280" i="8"/>
  <c r="W280" i="8"/>
  <c r="AL280" i="8"/>
  <c r="K280" i="8"/>
  <c r="Z280" i="8"/>
  <c r="AO280" i="8"/>
  <c r="M280" i="8"/>
  <c r="AB280" i="8"/>
  <c r="AQ280" i="8"/>
  <c r="O280" i="8"/>
  <c r="AD280" i="8"/>
  <c r="AS280" i="8"/>
  <c r="R280" i="8"/>
  <c r="AG280" i="8"/>
  <c r="AV280" i="8"/>
  <c r="M280" i="7"/>
  <c r="AB280" i="7"/>
  <c r="AQ280" i="7"/>
  <c r="D268" i="8"/>
  <c r="S268" i="8"/>
  <c r="AH268" i="8"/>
  <c r="E256" i="8"/>
  <c r="T256" i="8"/>
  <c r="AI256" i="8"/>
  <c r="D251" i="9"/>
  <c r="S251" i="9"/>
  <c r="AH251" i="9"/>
  <c r="D228" i="7"/>
  <c r="S228" i="7"/>
  <c r="AH228" i="7"/>
  <c r="G225" i="9"/>
  <c r="V225" i="9"/>
  <c r="AK225" i="9"/>
  <c r="G221" i="10"/>
  <c r="V221" i="10"/>
  <c r="AK221" i="10"/>
  <c r="D206" i="10"/>
  <c r="S206" i="10"/>
  <c r="AH206" i="10"/>
  <c r="E208" i="9"/>
  <c r="T208" i="9"/>
  <c r="AI208" i="9"/>
  <c r="AY210" i="8"/>
  <c r="C210" i="8"/>
  <c r="AX211" i="8"/>
  <c r="AW210" i="8"/>
  <c r="W73" i="2" s="1"/>
  <c r="G211" i="8"/>
  <c r="V211" i="8"/>
  <c r="AK211" i="8"/>
  <c r="E200" i="10"/>
  <c r="T200" i="10"/>
  <c r="AI200" i="10"/>
  <c r="C192" i="9"/>
  <c r="AY192" i="9"/>
  <c r="AW192" i="9"/>
  <c r="AX193" i="9"/>
  <c r="F193" i="9"/>
  <c r="U193" i="9"/>
  <c r="AJ193" i="9"/>
  <c r="C182" i="10"/>
  <c r="AY182" i="10"/>
  <c r="AW182" i="10"/>
  <c r="AX183" i="10"/>
  <c r="F183" i="10"/>
  <c r="U183" i="10"/>
  <c r="AJ183" i="10"/>
  <c r="G122" i="7"/>
  <c r="V122" i="7"/>
  <c r="AK122" i="7"/>
  <c r="E88" i="7"/>
  <c r="T88" i="7"/>
  <c r="AI88" i="7"/>
  <c r="AY81" i="7"/>
  <c r="C81" i="7"/>
  <c r="AW81" i="7"/>
  <c r="X30" i="2" s="1"/>
  <c r="AX82" i="7"/>
  <c r="F82" i="7"/>
  <c r="U82" i="7"/>
  <c r="AJ82" i="7"/>
  <c r="F225" i="8" l="1"/>
  <c r="U225" i="8"/>
  <c r="AJ225" i="8"/>
  <c r="H282" i="10"/>
  <c r="W282" i="10"/>
  <c r="AL282" i="10"/>
  <c r="I282" i="10"/>
  <c r="X282" i="10"/>
  <c r="AM282" i="10"/>
  <c r="J282" i="10"/>
  <c r="Y282" i="10"/>
  <c r="AN282" i="10"/>
  <c r="K282" i="10"/>
  <c r="Z282" i="10"/>
  <c r="AO282" i="10"/>
  <c r="L282" i="10"/>
  <c r="AA282" i="10"/>
  <c r="AP282" i="10"/>
  <c r="M282" i="10"/>
  <c r="AB282" i="10"/>
  <c r="AQ282" i="10"/>
  <c r="N282" i="10"/>
  <c r="AC282" i="10"/>
  <c r="AR282" i="10"/>
  <c r="O282" i="10"/>
  <c r="AD282" i="10"/>
  <c r="AS282" i="10"/>
  <c r="P282" i="10"/>
  <c r="AE282" i="10"/>
  <c r="AT282" i="10"/>
  <c r="Q282" i="10"/>
  <c r="AF282" i="10"/>
  <c r="AU282" i="10"/>
  <c r="R282" i="10"/>
  <c r="AG282" i="10"/>
  <c r="AV282" i="10"/>
  <c r="H282" i="9"/>
  <c r="W282" i="9"/>
  <c r="AL282" i="9"/>
  <c r="I282" i="9"/>
  <c r="X282" i="9"/>
  <c r="AM282" i="9"/>
  <c r="J282" i="9"/>
  <c r="Y282" i="9"/>
  <c r="AN282" i="9"/>
  <c r="K282" i="9"/>
  <c r="Z282" i="9"/>
  <c r="AO282" i="9"/>
  <c r="L282" i="9"/>
  <c r="AA282" i="9"/>
  <c r="AP282" i="9"/>
  <c r="M282" i="9"/>
  <c r="AB282" i="9"/>
  <c r="AQ282" i="9"/>
  <c r="N282" i="9"/>
  <c r="AC282" i="9"/>
  <c r="AR282" i="9"/>
  <c r="O282" i="9"/>
  <c r="AD282" i="9"/>
  <c r="AS282" i="9"/>
  <c r="P282" i="9"/>
  <c r="AE282" i="9"/>
  <c r="AT282" i="9"/>
  <c r="Q282" i="9"/>
  <c r="AF282" i="9"/>
  <c r="AU282" i="9"/>
  <c r="R282" i="9"/>
  <c r="AG282" i="9"/>
  <c r="AV282" i="9"/>
  <c r="H281" i="7"/>
  <c r="W281" i="7"/>
  <c r="AL281" i="7"/>
  <c r="I281" i="7"/>
  <c r="X281" i="7"/>
  <c r="AM281" i="7"/>
  <c r="J281" i="7"/>
  <c r="Y281" i="7"/>
  <c r="AN281" i="7"/>
  <c r="K281" i="7"/>
  <c r="Z281" i="7"/>
  <c r="AO281" i="7"/>
  <c r="L281" i="7"/>
  <c r="AA281" i="7"/>
  <c r="AP281" i="7"/>
  <c r="N281" i="7"/>
  <c r="AC281" i="7"/>
  <c r="AR281" i="7"/>
  <c r="O281" i="7"/>
  <c r="AD281" i="7"/>
  <c r="AS281" i="7"/>
  <c r="P281" i="7"/>
  <c r="AE281" i="7"/>
  <c r="AT281" i="7"/>
  <c r="Q281" i="7"/>
  <c r="AF281" i="7"/>
  <c r="AU281" i="7"/>
  <c r="R281" i="7"/>
  <c r="AG281" i="7"/>
  <c r="AV281" i="7"/>
  <c r="I281" i="8"/>
  <c r="X281" i="8"/>
  <c r="AM281" i="8"/>
  <c r="J281" i="8"/>
  <c r="Y281" i="8"/>
  <c r="AN281" i="8"/>
  <c r="L281" i="8"/>
  <c r="AA281" i="8"/>
  <c r="AP281" i="8"/>
  <c r="N281" i="8"/>
  <c r="AC281" i="8"/>
  <c r="AR281" i="8"/>
  <c r="P281" i="8"/>
  <c r="AE281" i="8"/>
  <c r="AT281" i="8"/>
  <c r="Q281" i="8"/>
  <c r="AF281" i="8"/>
  <c r="AU281" i="8"/>
  <c r="H281" i="8"/>
  <c r="W281" i="8"/>
  <c r="AL281" i="8"/>
  <c r="K281" i="8"/>
  <c r="Z281" i="8"/>
  <c r="AO281" i="8"/>
  <c r="M281" i="8"/>
  <c r="AB281" i="8"/>
  <c r="AQ281" i="8"/>
  <c r="O281" i="8"/>
  <c r="AD281" i="8"/>
  <c r="AS281" i="8"/>
  <c r="R281" i="8"/>
  <c r="AG281" i="8"/>
  <c r="AV281" i="8"/>
  <c r="M281" i="7"/>
  <c r="AB281" i="7"/>
  <c r="AQ281" i="7"/>
  <c r="D269" i="8"/>
  <c r="S269" i="8"/>
  <c r="AH269" i="8"/>
  <c r="E257" i="8"/>
  <c r="T257" i="8"/>
  <c r="AI257" i="8"/>
  <c r="D252" i="9"/>
  <c r="S252" i="9"/>
  <c r="AH252" i="9"/>
  <c r="D229" i="7"/>
  <c r="S229" i="7"/>
  <c r="AH229" i="7"/>
  <c r="G226" i="9"/>
  <c r="V226" i="9"/>
  <c r="AK226" i="9"/>
  <c r="G222" i="10"/>
  <c r="V222" i="10"/>
  <c r="AK222" i="10"/>
  <c r="D207" i="10"/>
  <c r="S207" i="10"/>
  <c r="AH207" i="10"/>
  <c r="E209" i="9"/>
  <c r="T209" i="9"/>
  <c r="AI209" i="9"/>
  <c r="C211" i="8"/>
  <c r="AY211" i="8"/>
  <c r="AW211" i="8"/>
  <c r="AX212" i="8"/>
  <c r="V212" i="8"/>
  <c r="G212" i="8"/>
  <c r="AK212" i="8"/>
  <c r="E201" i="10"/>
  <c r="T201" i="10"/>
  <c r="AI201" i="10"/>
  <c r="C193" i="9"/>
  <c r="AY193" i="9"/>
  <c r="AW193" i="9"/>
  <c r="AX194" i="9"/>
  <c r="F194" i="9"/>
  <c r="U194" i="9"/>
  <c r="AJ194" i="9"/>
  <c r="C183" i="10"/>
  <c r="AY183" i="10"/>
  <c r="AX184" i="10"/>
  <c r="AW183" i="10"/>
  <c r="F184" i="10"/>
  <c r="U184" i="10"/>
  <c r="AJ184" i="10"/>
  <c r="G123" i="7"/>
  <c r="V123" i="7"/>
  <c r="AK123" i="7"/>
  <c r="E89" i="7"/>
  <c r="T89" i="7"/>
  <c r="AI89" i="7"/>
  <c r="C82" i="7"/>
  <c r="AY82" i="7"/>
  <c r="AW82" i="7"/>
  <c r="AX83" i="7"/>
  <c r="F83" i="7"/>
  <c r="U83" i="7"/>
  <c r="AJ83" i="7"/>
  <c r="F226" i="8" l="1"/>
  <c r="U226" i="8"/>
  <c r="AJ226" i="8"/>
  <c r="H283" i="10"/>
  <c r="W283" i="10"/>
  <c r="AL283" i="10"/>
  <c r="I283" i="10"/>
  <c r="X283" i="10"/>
  <c r="AM283" i="10"/>
  <c r="J283" i="10"/>
  <c r="Y283" i="10"/>
  <c r="AN283" i="10"/>
  <c r="K283" i="10"/>
  <c r="Z283" i="10"/>
  <c r="AO283" i="10"/>
  <c r="L283" i="10"/>
  <c r="AA283" i="10"/>
  <c r="AP283" i="10"/>
  <c r="M283" i="10"/>
  <c r="AB283" i="10"/>
  <c r="AQ283" i="10"/>
  <c r="N283" i="10"/>
  <c r="AC283" i="10"/>
  <c r="AR283" i="10"/>
  <c r="O283" i="10"/>
  <c r="AD283" i="10"/>
  <c r="AS283" i="10"/>
  <c r="P283" i="10"/>
  <c r="AE283" i="10"/>
  <c r="AT283" i="10"/>
  <c r="Q283" i="10"/>
  <c r="AF283" i="10"/>
  <c r="AU283" i="10"/>
  <c r="R283" i="10"/>
  <c r="AG283" i="10"/>
  <c r="AV283" i="10"/>
  <c r="H283" i="9"/>
  <c r="W283" i="9"/>
  <c r="AL283" i="9"/>
  <c r="I283" i="9"/>
  <c r="X283" i="9"/>
  <c r="AM283" i="9"/>
  <c r="J283" i="9"/>
  <c r="Y283" i="9"/>
  <c r="AN283" i="9"/>
  <c r="K283" i="9"/>
  <c r="Z283" i="9"/>
  <c r="AO283" i="9"/>
  <c r="L283" i="9"/>
  <c r="AA283" i="9"/>
  <c r="AP283" i="9"/>
  <c r="M283" i="9"/>
  <c r="AB283" i="9"/>
  <c r="AQ283" i="9"/>
  <c r="N283" i="9"/>
  <c r="AC283" i="9"/>
  <c r="AR283" i="9"/>
  <c r="O283" i="9"/>
  <c r="AD283" i="9"/>
  <c r="AS283" i="9"/>
  <c r="P283" i="9"/>
  <c r="AE283" i="9"/>
  <c r="AT283" i="9"/>
  <c r="Q283" i="9"/>
  <c r="AF283" i="9"/>
  <c r="AU283" i="9"/>
  <c r="R283" i="9"/>
  <c r="AG283" i="9"/>
  <c r="AV283" i="9"/>
  <c r="H282" i="7"/>
  <c r="W282" i="7"/>
  <c r="AL282" i="7"/>
  <c r="I282" i="7"/>
  <c r="X282" i="7"/>
  <c r="AM282" i="7"/>
  <c r="J282" i="7"/>
  <c r="Y282" i="7"/>
  <c r="AN282" i="7"/>
  <c r="K282" i="7"/>
  <c r="Z282" i="7"/>
  <c r="AO282" i="7"/>
  <c r="L282" i="7"/>
  <c r="AA282" i="7"/>
  <c r="AP282" i="7"/>
  <c r="N282" i="7"/>
  <c r="AC282" i="7"/>
  <c r="AR282" i="7"/>
  <c r="O282" i="7"/>
  <c r="AD282" i="7"/>
  <c r="AS282" i="7"/>
  <c r="P282" i="7"/>
  <c r="AE282" i="7"/>
  <c r="AT282" i="7"/>
  <c r="Q282" i="7"/>
  <c r="AF282" i="7"/>
  <c r="AU282" i="7"/>
  <c r="R282" i="7"/>
  <c r="AG282" i="7"/>
  <c r="AV282" i="7"/>
  <c r="I282" i="8"/>
  <c r="X282" i="8"/>
  <c r="AM282" i="8"/>
  <c r="J282" i="8"/>
  <c r="Y282" i="8"/>
  <c r="AN282" i="8"/>
  <c r="L282" i="8"/>
  <c r="AA282" i="8"/>
  <c r="AP282" i="8"/>
  <c r="N282" i="8"/>
  <c r="AC282" i="8"/>
  <c r="AR282" i="8"/>
  <c r="P282" i="8"/>
  <c r="AE282" i="8"/>
  <c r="AT282" i="8"/>
  <c r="Q282" i="8"/>
  <c r="AF282" i="8"/>
  <c r="AU282" i="8"/>
  <c r="H282" i="8"/>
  <c r="W282" i="8"/>
  <c r="AL282" i="8"/>
  <c r="K282" i="8"/>
  <c r="Z282" i="8"/>
  <c r="AO282" i="8"/>
  <c r="M282" i="8"/>
  <c r="AB282" i="8"/>
  <c r="AQ282" i="8"/>
  <c r="O282" i="8"/>
  <c r="AD282" i="8"/>
  <c r="AS282" i="8"/>
  <c r="R282" i="8"/>
  <c r="AG282" i="8"/>
  <c r="AV282" i="8"/>
  <c r="M282" i="7"/>
  <c r="AB282" i="7"/>
  <c r="AQ282" i="7"/>
  <c r="D270" i="8"/>
  <c r="S270" i="8"/>
  <c r="AH270" i="8"/>
  <c r="E258" i="8"/>
  <c r="T258" i="8"/>
  <c r="AI258" i="8"/>
  <c r="D253" i="9"/>
  <c r="S253" i="9"/>
  <c r="AH253" i="9"/>
  <c r="D230" i="7"/>
  <c r="S230" i="7"/>
  <c r="AH230" i="7"/>
  <c r="G227" i="9"/>
  <c r="V227" i="9"/>
  <c r="AK227" i="9"/>
  <c r="G223" i="10"/>
  <c r="V223" i="10"/>
  <c r="AK223" i="10"/>
  <c r="D208" i="10"/>
  <c r="S208" i="10"/>
  <c r="AH208" i="10"/>
  <c r="E210" i="9"/>
  <c r="T210" i="9"/>
  <c r="AI210" i="9"/>
  <c r="AY212" i="8"/>
  <c r="C212" i="8"/>
  <c r="AW212" i="8"/>
  <c r="AX213" i="8"/>
  <c r="G213" i="8"/>
  <c r="V213" i="8"/>
  <c r="AK213" i="8"/>
  <c r="E202" i="10"/>
  <c r="T202" i="10"/>
  <c r="AI202" i="10"/>
  <c r="C194" i="9"/>
  <c r="AY194" i="9"/>
  <c r="AX195" i="9"/>
  <c r="AW194" i="9"/>
  <c r="F195" i="9"/>
  <c r="U195" i="9"/>
  <c r="AJ195" i="9"/>
  <c r="AY184" i="10"/>
  <c r="C184" i="10"/>
  <c r="AX185" i="10"/>
  <c r="AW184" i="10"/>
  <c r="F185" i="10"/>
  <c r="U185" i="10"/>
  <c r="AJ185" i="10"/>
  <c r="G124" i="7"/>
  <c r="V124" i="7"/>
  <c r="AK124" i="7"/>
  <c r="E90" i="7"/>
  <c r="T90" i="7"/>
  <c r="AI90" i="7"/>
  <c r="AY83" i="7"/>
  <c r="C83" i="7"/>
  <c r="AX84" i="7"/>
  <c r="AW83" i="7"/>
  <c r="F84" i="7"/>
  <c r="U84" i="7"/>
  <c r="AJ84" i="7"/>
  <c r="U227" i="8" l="1"/>
  <c r="F227" i="8"/>
  <c r="AJ227" i="8"/>
  <c r="H284" i="10"/>
  <c r="W284" i="10"/>
  <c r="AL284" i="10"/>
  <c r="I284" i="10"/>
  <c r="X284" i="10"/>
  <c r="AM284" i="10"/>
  <c r="J284" i="10"/>
  <c r="Y284" i="10"/>
  <c r="AN284" i="10"/>
  <c r="K284" i="10"/>
  <c r="Z284" i="10"/>
  <c r="AO284" i="10"/>
  <c r="L284" i="10"/>
  <c r="AA284" i="10"/>
  <c r="AP284" i="10"/>
  <c r="M284" i="10"/>
  <c r="AB284" i="10"/>
  <c r="AQ284" i="10"/>
  <c r="N284" i="10"/>
  <c r="AC284" i="10"/>
  <c r="AR284" i="10"/>
  <c r="O284" i="10"/>
  <c r="AD284" i="10"/>
  <c r="AS284" i="10"/>
  <c r="P284" i="10"/>
  <c r="AE284" i="10"/>
  <c r="AT284" i="10"/>
  <c r="Q284" i="10"/>
  <c r="AF284" i="10"/>
  <c r="AU284" i="10"/>
  <c r="R284" i="10"/>
  <c r="AG284" i="10"/>
  <c r="AV284" i="10"/>
  <c r="H284" i="9"/>
  <c r="W284" i="9"/>
  <c r="AL284" i="9"/>
  <c r="I284" i="9"/>
  <c r="X284" i="9"/>
  <c r="AM284" i="9"/>
  <c r="J284" i="9"/>
  <c r="Y284" i="9"/>
  <c r="AN284" i="9"/>
  <c r="K284" i="9"/>
  <c r="Z284" i="9"/>
  <c r="AO284" i="9"/>
  <c r="L284" i="9"/>
  <c r="AA284" i="9"/>
  <c r="AP284" i="9"/>
  <c r="M284" i="9"/>
  <c r="AB284" i="9"/>
  <c r="AQ284" i="9"/>
  <c r="N284" i="9"/>
  <c r="AC284" i="9"/>
  <c r="AR284" i="9"/>
  <c r="O284" i="9"/>
  <c r="AD284" i="9"/>
  <c r="AS284" i="9"/>
  <c r="P284" i="9"/>
  <c r="AE284" i="9"/>
  <c r="AT284" i="9"/>
  <c r="Q284" i="9"/>
  <c r="AF284" i="9"/>
  <c r="AU284" i="9"/>
  <c r="R284" i="9"/>
  <c r="AG284" i="9"/>
  <c r="AV284" i="9"/>
  <c r="H283" i="7"/>
  <c r="W283" i="7"/>
  <c r="AL283" i="7"/>
  <c r="I283" i="7"/>
  <c r="X283" i="7"/>
  <c r="AM283" i="7"/>
  <c r="J283" i="7"/>
  <c r="Y283" i="7"/>
  <c r="AN283" i="7"/>
  <c r="K283" i="7"/>
  <c r="Z283" i="7"/>
  <c r="AO283" i="7"/>
  <c r="L283" i="7"/>
  <c r="AA283" i="7"/>
  <c r="AP283" i="7"/>
  <c r="N283" i="7"/>
  <c r="AC283" i="7"/>
  <c r="AR283" i="7"/>
  <c r="O283" i="7"/>
  <c r="AD283" i="7"/>
  <c r="AS283" i="7"/>
  <c r="P283" i="7"/>
  <c r="AE283" i="7"/>
  <c r="AT283" i="7"/>
  <c r="Q283" i="7"/>
  <c r="AF283" i="7"/>
  <c r="AU283" i="7"/>
  <c r="R283" i="7"/>
  <c r="AG283" i="7"/>
  <c r="AV283" i="7"/>
  <c r="I283" i="8"/>
  <c r="X283" i="8"/>
  <c r="AM283" i="8"/>
  <c r="J283" i="8"/>
  <c r="Y283" i="8"/>
  <c r="AN283" i="8"/>
  <c r="L283" i="8"/>
  <c r="AA283" i="8"/>
  <c r="AP283" i="8"/>
  <c r="N283" i="8"/>
  <c r="AC283" i="8"/>
  <c r="AR283" i="8"/>
  <c r="P283" i="8"/>
  <c r="AE283" i="8"/>
  <c r="AT283" i="8"/>
  <c r="Q283" i="8"/>
  <c r="AF283" i="8"/>
  <c r="AU283" i="8"/>
  <c r="H283" i="8"/>
  <c r="W283" i="8"/>
  <c r="AL283" i="8"/>
  <c r="K283" i="8"/>
  <c r="Z283" i="8"/>
  <c r="AO283" i="8"/>
  <c r="M283" i="8"/>
  <c r="AB283" i="8"/>
  <c r="AQ283" i="8"/>
  <c r="O283" i="8"/>
  <c r="AD283" i="8"/>
  <c r="AS283" i="8"/>
  <c r="R283" i="8"/>
  <c r="AG283" i="8"/>
  <c r="AV283" i="8"/>
  <c r="M283" i="7"/>
  <c r="AB283" i="7"/>
  <c r="AQ283" i="7"/>
  <c r="D271" i="8"/>
  <c r="S271" i="8"/>
  <c r="AH271" i="8"/>
  <c r="E259" i="8"/>
  <c r="T259" i="8"/>
  <c r="AI259" i="8"/>
  <c r="D254" i="9"/>
  <c r="S254" i="9"/>
  <c r="AH254" i="9"/>
  <c r="D231" i="7"/>
  <c r="S231" i="7"/>
  <c r="AH231" i="7"/>
  <c r="G228" i="9"/>
  <c r="V228" i="9"/>
  <c r="AK228" i="9"/>
  <c r="G224" i="10"/>
  <c r="V224" i="10"/>
  <c r="AK224" i="10"/>
  <c r="D209" i="10"/>
  <c r="S209" i="10"/>
  <c r="AH209" i="10"/>
  <c r="E211" i="9"/>
  <c r="T211" i="9"/>
  <c r="AI211" i="9"/>
  <c r="AY213" i="8"/>
  <c r="C213" i="8"/>
  <c r="AW213" i="8"/>
  <c r="W74" i="2" s="1"/>
  <c r="AX214" i="8"/>
  <c r="V214" i="8"/>
  <c r="G214" i="8"/>
  <c r="AK214" i="8"/>
  <c r="E203" i="10"/>
  <c r="T203" i="10"/>
  <c r="AI203" i="10"/>
  <c r="C195" i="9"/>
  <c r="AY195" i="9"/>
  <c r="AW195" i="9"/>
  <c r="AX196" i="9"/>
  <c r="F196" i="9"/>
  <c r="U196" i="9"/>
  <c r="AJ196" i="9"/>
  <c r="AY185" i="10"/>
  <c r="C185" i="10"/>
  <c r="AW185" i="10"/>
  <c r="AX186" i="10"/>
  <c r="F186" i="10"/>
  <c r="U186" i="10"/>
  <c r="AJ186" i="10"/>
  <c r="G125" i="7"/>
  <c r="V125" i="7"/>
  <c r="AK125" i="7"/>
  <c r="E91" i="7"/>
  <c r="T91" i="7"/>
  <c r="AI91" i="7"/>
  <c r="AY84" i="7"/>
  <c r="C84" i="7"/>
  <c r="AW84" i="7"/>
  <c r="X31" i="2" s="1"/>
  <c r="AX85" i="7"/>
  <c r="F85" i="7"/>
  <c r="U85" i="7"/>
  <c r="AJ85" i="7"/>
  <c r="F228" i="8" l="1"/>
  <c r="U228" i="8"/>
  <c r="AJ228" i="8"/>
  <c r="H285" i="10"/>
  <c r="W285" i="10"/>
  <c r="AL285" i="10"/>
  <c r="I285" i="10"/>
  <c r="X285" i="10"/>
  <c r="AM285" i="10"/>
  <c r="J285" i="10"/>
  <c r="Y285" i="10"/>
  <c r="AN285" i="10"/>
  <c r="K285" i="10"/>
  <c r="Z285" i="10"/>
  <c r="AO285" i="10"/>
  <c r="L285" i="10"/>
  <c r="AA285" i="10"/>
  <c r="AP285" i="10"/>
  <c r="M285" i="10"/>
  <c r="AB285" i="10"/>
  <c r="AQ285" i="10"/>
  <c r="N285" i="10"/>
  <c r="AC285" i="10"/>
  <c r="AR285" i="10"/>
  <c r="O285" i="10"/>
  <c r="AD285" i="10"/>
  <c r="AS285" i="10"/>
  <c r="P285" i="10"/>
  <c r="AE285" i="10"/>
  <c r="AT285" i="10"/>
  <c r="Q285" i="10"/>
  <c r="AF285" i="10"/>
  <c r="AU285" i="10"/>
  <c r="R285" i="10"/>
  <c r="AG285" i="10"/>
  <c r="AV285" i="10"/>
  <c r="H285" i="9"/>
  <c r="W285" i="9"/>
  <c r="AL285" i="9"/>
  <c r="I285" i="9"/>
  <c r="X285" i="9"/>
  <c r="AM285" i="9"/>
  <c r="J285" i="9"/>
  <c r="Y285" i="9"/>
  <c r="AN285" i="9"/>
  <c r="K285" i="9"/>
  <c r="Z285" i="9"/>
  <c r="AO285" i="9"/>
  <c r="L285" i="9"/>
  <c r="AA285" i="9"/>
  <c r="AP285" i="9"/>
  <c r="M285" i="9"/>
  <c r="AB285" i="9"/>
  <c r="AQ285" i="9"/>
  <c r="N285" i="9"/>
  <c r="AC285" i="9"/>
  <c r="AR285" i="9"/>
  <c r="O285" i="9"/>
  <c r="AD285" i="9"/>
  <c r="AS285" i="9"/>
  <c r="P285" i="9"/>
  <c r="AE285" i="9"/>
  <c r="AT285" i="9"/>
  <c r="Q285" i="9"/>
  <c r="AF285" i="9"/>
  <c r="AU285" i="9"/>
  <c r="R285" i="9"/>
  <c r="AG285" i="9"/>
  <c r="AV285" i="9"/>
  <c r="H284" i="7"/>
  <c r="W284" i="7"/>
  <c r="AL284" i="7"/>
  <c r="I284" i="7"/>
  <c r="X284" i="7"/>
  <c r="AM284" i="7"/>
  <c r="J284" i="7"/>
  <c r="Y284" i="7"/>
  <c r="AN284" i="7"/>
  <c r="K284" i="7"/>
  <c r="Z284" i="7"/>
  <c r="AO284" i="7"/>
  <c r="L284" i="7"/>
  <c r="AA284" i="7"/>
  <c r="AP284" i="7"/>
  <c r="N284" i="7"/>
  <c r="AC284" i="7"/>
  <c r="AR284" i="7"/>
  <c r="O284" i="7"/>
  <c r="AD284" i="7"/>
  <c r="AS284" i="7"/>
  <c r="P284" i="7"/>
  <c r="AE284" i="7"/>
  <c r="AT284" i="7"/>
  <c r="Q284" i="7"/>
  <c r="AF284" i="7"/>
  <c r="AU284" i="7"/>
  <c r="R284" i="7"/>
  <c r="AG284" i="7"/>
  <c r="AV284" i="7"/>
  <c r="I284" i="8"/>
  <c r="X284" i="8"/>
  <c r="AM284" i="8"/>
  <c r="J284" i="8"/>
  <c r="Y284" i="8"/>
  <c r="AN284" i="8"/>
  <c r="L284" i="8"/>
  <c r="AA284" i="8"/>
  <c r="AP284" i="8"/>
  <c r="N284" i="8"/>
  <c r="AC284" i="8"/>
  <c r="AR284" i="8"/>
  <c r="P284" i="8"/>
  <c r="AE284" i="8"/>
  <c r="AT284" i="8"/>
  <c r="Q284" i="8"/>
  <c r="AF284" i="8"/>
  <c r="AU284" i="8"/>
  <c r="H284" i="8"/>
  <c r="W284" i="8"/>
  <c r="AL284" i="8"/>
  <c r="K284" i="8"/>
  <c r="Z284" i="8"/>
  <c r="AO284" i="8"/>
  <c r="M284" i="8"/>
  <c r="AB284" i="8"/>
  <c r="AQ284" i="8"/>
  <c r="O284" i="8"/>
  <c r="AD284" i="8"/>
  <c r="AS284" i="8"/>
  <c r="R284" i="8"/>
  <c r="AG284" i="8"/>
  <c r="AV284" i="8"/>
  <c r="M284" i="7"/>
  <c r="AB284" i="7"/>
  <c r="AQ284" i="7"/>
  <c r="D272" i="8"/>
  <c r="S272" i="8"/>
  <c r="AH272" i="8"/>
  <c r="E260" i="8"/>
  <c r="T260" i="8"/>
  <c r="AI260" i="8"/>
  <c r="D255" i="9"/>
  <c r="S255" i="9"/>
  <c r="AH255" i="9"/>
  <c r="D232" i="7"/>
  <c r="S232" i="7"/>
  <c r="AH232" i="7"/>
  <c r="G229" i="9"/>
  <c r="V229" i="9"/>
  <c r="AK229" i="9"/>
  <c r="G225" i="10"/>
  <c r="V225" i="10"/>
  <c r="AK225" i="10"/>
  <c r="D210" i="10"/>
  <c r="S210" i="10"/>
  <c r="AH210" i="10"/>
  <c r="E212" i="9"/>
  <c r="T212" i="9"/>
  <c r="AI212" i="9"/>
  <c r="AY214" i="8"/>
  <c r="C214" i="8"/>
  <c r="AW214" i="8"/>
  <c r="AX215" i="8"/>
  <c r="G215" i="8"/>
  <c r="V215" i="8"/>
  <c r="AK215" i="8"/>
  <c r="E204" i="10"/>
  <c r="T204" i="10"/>
  <c r="AI204" i="10"/>
  <c r="C196" i="9"/>
  <c r="AY196" i="9"/>
  <c r="AW196" i="9"/>
  <c r="AX197" i="9"/>
  <c r="F197" i="9"/>
  <c r="U197" i="9"/>
  <c r="AJ197" i="9"/>
  <c r="AY186" i="10"/>
  <c r="C186" i="10"/>
  <c r="AX187" i="10"/>
  <c r="AW186" i="10"/>
  <c r="F187" i="10"/>
  <c r="U187" i="10"/>
  <c r="AJ187" i="10"/>
  <c r="G126" i="7"/>
  <c r="V126" i="7"/>
  <c r="AK126" i="7"/>
  <c r="E92" i="7"/>
  <c r="T92" i="7"/>
  <c r="AI92" i="7"/>
  <c r="AY85" i="7"/>
  <c r="C85" i="7"/>
  <c r="AW85" i="7"/>
  <c r="AX86" i="7"/>
  <c r="F86" i="7"/>
  <c r="U86" i="7"/>
  <c r="AJ86" i="7"/>
  <c r="F229" i="8" l="1"/>
  <c r="U229" i="8"/>
  <c r="AJ229" i="8"/>
  <c r="H286" i="10"/>
  <c r="W286" i="10"/>
  <c r="AL286" i="10"/>
  <c r="I286" i="10"/>
  <c r="X286" i="10"/>
  <c r="AM286" i="10"/>
  <c r="J286" i="10"/>
  <c r="Y286" i="10"/>
  <c r="AN286" i="10"/>
  <c r="K286" i="10"/>
  <c r="Z286" i="10"/>
  <c r="AO286" i="10"/>
  <c r="L286" i="10"/>
  <c r="AA286" i="10"/>
  <c r="AP286" i="10"/>
  <c r="M286" i="10"/>
  <c r="AB286" i="10"/>
  <c r="AQ286" i="10"/>
  <c r="N286" i="10"/>
  <c r="AC286" i="10"/>
  <c r="AR286" i="10"/>
  <c r="O286" i="10"/>
  <c r="AD286" i="10"/>
  <c r="AS286" i="10"/>
  <c r="P286" i="10"/>
  <c r="AE286" i="10"/>
  <c r="AT286" i="10"/>
  <c r="Q286" i="10"/>
  <c r="AF286" i="10"/>
  <c r="AU286" i="10"/>
  <c r="R286" i="10"/>
  <c r="AG286" i="10"/>
  <c r="AV286" i="10"/>
  <c r="H286" i="9"/>
  <c r="W286" i="9"/>
  <c r="AL286" i="9"/>
  <c r="I286" i="9"/>
  <c r="X286" i="9"/>
  <c r="AM286" i="9"/>
  <c r="J286" i="9"/>
  <c r="Y286" i="9"/>
  <c r="AN286" i="9"/>
  <c r="K286" i="9"/>
  <c r="Z286" i="9"/>
  <c r="AO286" i="9"/>
  <c r="L286" i="9"/>
  <c r="AA286" i="9"/>
  <c r="AP286" i="9"/>
  <c r="M286" i="9"/>
  <c r="AB286" i="9"/>
  <c r="AQ286" i="9"/>
  <c r="N286" i="9"/>
  <c r="AC286" i="9"/>
  <c r="AR286" i="9"/>
  <c r="O286" i="9"/>
  <c r="AD286" i="9"/>
  <c r="AS286" i="9"/>
  <c r="P286" i="9"/>
  <c r="AE286" i="9"/>
  <c r="AT286" i="9"/>
  <c r="Q286" i="9"/>
  <c r="AF286" i="9"/>
  <c r="AU286" i="9"/>
  <c r="R286" i="9"/>
  <c r="AG286" i="9"/>
  <c r="AV286" i="9"/>
  <c r="H285" i="7"/>
  <c r="W285" i="7"/>
  <c r="AL285" i="7"/>
  <c r="I285" i="7"/>
  <c r="X285" i="7"/>
  <c r="AM285" i="7"/>
  <c r="J285" i="7"/>
  <c r="Y285" i="7"/>
  <c r="AN285" i="7"/>
  <c r="K285" i="7"/>
  <c r="Z285" i="7"/>
  <c r="AO285" i="7"/>
  <c r="L285" i="7"/>
  <c r="AA285" i="7"/>
  <c r="AP285" i="7"/>
  <c r="N285" i="7"/>
  <c r="AC285" i="7"/>
  <c r="AR285" i="7"/>
  <c r="O285" i="7"/>
  <c r="AD285" i="7"/>
  <c r="AS285" i="7"/>
  <c r="P285" i="7"/>
  <c r="AE285" i="7"/>
  <c r="AT285" i="7"/>
  <c r="Q285" i="7"/>
  <c r="AF285" i="7"/>
  <c r="AU285" i="7"/>
  <c r="R285" i="7"/>
  <c r="AG285" i="7"/>
  <c r="AV285" i="7"/>
  <c r="I285" i="8"/>
  <c r="X285" i="8"/>
  <c r="AM285" i="8"/>
  <c r="J285" i="8"/>
  <c r="Y285" i="8"/>
  <c r="AN285" i="8"/>
  <c r="L285" i="8"/>
  <c r="AA285" i="8"/>
  <c r="AP285" i="8"/>
  <c r="N285" i="8"/>
  <c r="AC285" i="8"/>
  <c r="AR285" i="8"/>
  <c r="P285" i="8"/>
  <c r="AE285" i="8"/>
  <c r="AT285" i="8"/>
  <c r="Q285" i="8"/>
  <c r="AF285" i="8"/>
  <c r="AU285" i="8"/>
  <c r="H285" i="8"/>
  <c r="W285" i="8"/>
  <c r="AL285" i="8"/>
  <c r="K285" i="8"/>
  <c r="Z285" i="8"/>
  <c r="AO285" i="8"/>
  <c r="M285" i="8"/>
  <c r="AB285" i="8"/>
  <c r="AQ285" i="8"/>
  <c r="O285" i="8"/>
  <c r="AD285" i="8"/>
  <c r="AS285" i="8"/>
  <c r="R285" i="8"/>
  <c r="AG285" i="8"/>
  <c r="AV285" i="8"/>
  <c r="M285" i="7"/>
  <c r="AB285" i="7"/>
  <c r="AQ285" i="7"/>
  <c r="D273" i="8"/>
  <c r="S273" i="8"/>
  <c r="AH273" i="8"/>
  <c r="E261" i="8"/>
  <c r="T261" i="8"/>
  <c r="AI261" i="8"/>
  <c r="D256" i="9"/>
  <c r="S256" i="9"/>
  <c r="AH256" i="9"/>
  <c r="D233" i="7"/>
  <c r="S233" i="7"/>
  <c r="AH233" i="7"/>
  <c r="G230" i="9"/>
  <c r="V230" i="9"/>
  <c r="AK230" i="9"/>
  <c r="G226" i="10"/>
  <c r="V226" i="10"/>
  <c r="AK226" i="10"/>
  <c r="D211" i="10"/>
  <c r="S211" i="10"/>
  <c r="AH211" i="10"/>
  <c r="E213" i="9"/>
  <c r="T213" i="9"/>
  <c r="AI213" i="9"/>
  <c r="AY215" i="8"/>
  <c r="C215" i="8"/>
  <c r="AW215" i="8"/>
  <c r="AX216" i="8"/>
  <c r="G216" i="8"/>
  <c r="V216" i="8"/>
  <c r="AK216" i="8"/>
  <c r="E205" i="10"/>
  <c r="T205" i="10"/>
  <c r="AI205" i="10"/>
  <c r="C197" i="9"/>
  <c r="AY197" i="9"/>
  <c r="AX198" i="9"/>
  <c r="AW197" i="9"/>
  <c r="F198" i="9"/>
  <c r="U198" i="9"/>
  <c r="AJ198" i="9"/>
  <c r="C187" i="10"/>
  <c r="AY187" i="10"/>
  <c r="AW187" i="10"/>
  <c r="AX188" i="10"/>
  <c r="F188" i="10"/>
  <c r="U188" i="10"/>
  <c r="AJ188" i="10"/>
  <c r="G127" i="7"/>
  <c r="V127" i="7"/>
  <c r="AK127" i="7"/>
  <c r="E93" i="7"/>
  <c r="T93" i="7"/>
  <c r="AI93" i="7"/>
  <c r="AY86" i="7"/>
  <c r="C86" i="7"/>
  <c r="AX87" i="7"/>
  <c r="AW86" i="7"/>
  <c r="F87" i="7"/>
  <c r="U87" i="7"/>
  <c r="AJ87" i="7"/>
  <c r="U230" i="8" l="1"/>
  <c r="AJ230" i="8"/>
  <c r="F230" i="8"/>
  <c r="H287" i="10"/>
  <c r="W287" i="10"/>
  <c r="AL287" i="10"/>
  <c r="I287" i="10"/>
  <c r="X287" i="10"/>
  <c r="AM287" i="10"/>
  <c r="J287" i="10"/>
  <c r="Y287" i="10"/>
  <c r="AN287" i="10"/>
  <c r="K287" i="10"/>
  <c r="Z287" i="10"/>
  <c r="AO287" i="10"/>
  <c r="L287" i="10"/>
  <c r="AA287" i="10"/>
  <c r="AP287" i="10"/>
  <c r="M287" i="10"/>
  <c r="AQ287" i="10"/>
  <c r="AB287" i="10"/>
  <c r="N287" i="10"/>
  <c r="AC287" i="10"/>
  <c r="AR287" i="10"/>
  <c r="O287" i="10"/>
  <c r="AD287" i="10"/>
  <c r="AS287" i="10"/>
  <c r="P287" i="10"/>
  <c r="AE287" i="10"/>
  <c r="AT287" i="10"/>
  <c r="Q287" i="10"/>
  <c r="AF287" i="10"/>
  <c r="AU287" i="10"/>
  <c r="R287" i="10"/>
  <c r="AG287" i="10"/>
  <c r="AV287" i="10"/>
  <c r="H287" i="9"/>
  <c r="W287" i="9"/>
  <c r="AL287" i="9"/>
  <c r="I287" i="9"/>
  <c r="X287" i="9"/>
  <c r="AM287" i="9"/>
  <c r="J287" i="9"/>
  <c r="Y287" i="9"/>
  <c r="AN287" i="9"/>
  <c r="K287" i="9"/>
  <c r="Z287" i="9"/>
  <c r="AO287" i="9"/>
  <c r="L287" i="9"/>
  <c r="AA287" i="9"/>
  <c r="AP287" i="9"/>
  <c r="M287" i="9"/>
  <c r="AB287" i="9"/>
  <c r="AQ287" i="9"/>
  <c r="N287" i="9"/>
  <c r="AC287" i="9"/>
  <c r="AR287" i="9"/>
  <c r="O287" i="9"/>
  <c r="AD287" i="9"/>
  <c r="AS287" i="9"/>
  <c r="P287" i="9"/>
  <c r="AE287" i="9"/>
  <c r="AT287" i="9"/>
  <c r="Q287" i="9"/>
  <c r="AF287" i="9"/>
  <c r="AU287" i="9"/>
  <c r="R287" i="9"/>
  <c r="AG287" i="9"/>
  <c r="AV287" i="9"/>
  <c r="H286" i="7"/>
  <c r="W286" i="7"/>
  <c r="AL286" i="7"/>
  <c r="I286" i="7"/>
  <c r="X286" i="7"/>
  <c r="AM286" i="7"/>
  <c r="J286" i="7"/>
  <c r="Y286" i="7"/>
  <c r="AN286" i="7"/>
  <c r="K286" i="7"/>
  <c r="Z286" i="7"/>
  <c r="AO286" i="7"/>
  <c r="L286" i="7"/>
  <c r="AA286" i="7"/>
  <c r="AP286" i="7"/>
  <c r="N286" i="7"/>
  <c r="AC286" i="7"/>
  <c r="AR286" i="7"/>
  <c r="O286" i="7"/>
  <c r="AD286" i="7"/>
  <c r="AS286" i="7"/>
  <c r="P286" i="7"/>
  <c r="AE286" i="7"/>
  <c r="AT286" i="7"/>
  <c r="Q286" i="7"/>
  <c r="AF286" i="7"/>
  <c r="AU286" i="7"/>
  <c r="R286" i="7"/>
  <c r="AG286" i="7"/>
  <c r="AV286" i="7"/>
  <c r="I286" i="8"/>
  <c r="X286" i="8"/>
  <c r="AM286" i="8"/>
  <c r="J286" i="8"/>
  <c r="Y286" i="8"/>
  <c r="AN286" i="8"/>
  <c r="L286" i="8"/>
  <c r="AA286" i="8"/>
  <c r="AP286" i="8"/>
  <c r="N286" i="8"/>
  <c r="AC286" i="8"/>
  <c r="AR286" i="8"/>
  <c r="P286" i="8"/>
  <c r="AE286" i="8"/>
  <c r="AT286" i="8"/>
  <c r="Q286" i="8"/>
  <c r="AF286" i="8"/>
  <c r="AU286" i="8"/>
  <c r="H286" i="8"/>
  <c r="W286" i="8"/>
  <c r="AL286" i="8"/>
  <c r="K286" i="8"/>
  <c r="Z286" i="8"/>
  <c r="AO286" i="8"/>
  <c r="M286" i="8"/>
  <c r="AB286" i="8"/>
  <c r="AQ286" i="8"/>
  <c r="O286" i="8"/>
  <c r="AD286" i="8"/>
  <c r="AS286" i="8"/>
  <c r="R286" i="8"/>
  <c r="AG286" i="8"/>
  <c r="AV286" i="8"/>
  <c r="M286" i="7"/>
  <c r="AB286" i="7"/>
  <c r="AQ286" i="7"/>
  <c r="D274" i="8"/>
  <c r="S274" i="8"/>
  <c r="AH274" i="8"/>
  <c r="E262" i="8"/>
  <c r="T262" i="8"/>
  <c r="AI262" i="8"/>
  <c r="D257" i="9"/>
  <c r="S257" i="9"/>
  <c r="AH257" i="9"/>
  <c r="D234" i="7"/>
  <c r="S234" i="7"/>
  <c r="AH234" i="7"/>
  <c r="G231" i="9"/>
  <c r="V231" i="9"/>
  <c r="AK231" i="9"/>
  <c r="G227" i="10"/>
  <c r="V227" i="10"/>
  <c r="AK227" i="10"/>
  <c r="D212" i="10"/>
  <c r="S212" i="10"/>
  <c r="AH212" i="10"/>
  <c r="E214" i="9"/>
  <c r="T214" i="9"/>
  <c r="AI214" i="9"/>
  <c r="C216" i="8"/>
  <c r="AY216" i="8"/>
  <c r="AX217" i="8"/>
  <c r="AW216" i="8"/>
  <c r="W75" i="2" s="1"/>
  <c r="G217" i="8"/>
  <c r="AK217" i="8"/>
  <c r="V217" i="8"/>
  <c r="E206" i="10"/>
  <c r="T206" i="10"/>
  <c r="AI206" i="10"/>
  <c r="AY198" i="9"/>
  <c r="C198" i="9"/>
  <c r="AX199" i="9"/>
  <c r="AW198" i="9"/>
  <c r="F199" i="9"/>
  <c r="U199" i="9"/>
  <c r="AJ199" i="9"/>
  <c r="AY188" i="10"/>
  <c r="C188" i="10"/>
  <c r="AX189" i="10"/>
  <c r="AW188" i="10"/>
  <c r="F189" i="10"/>
  <c r="U189" i="10"/>
  <c r="AJ189" i="10"/>
  <c r="G128" i="7"/>
  <c r="V128" i="7"/>
  <c r="AK128" i="7"/>
  <c r="E94" i="7"/>
  <c r="T94" i="7"/>
  <c r="AI94" i="7"/>
  <c r="AY87" i="7"/>
  <c r="C87" i="7"/>
  <c r="AW87" i="7"/>
  <c r="X32" i="2" s="1"/>
  <c r="AX88" i="7"/>
  <c r="F88" i="7"/>
  <c r="U88" i="7"/>
  <c r="AJ88" i="7"/>
  <c r="U231" i="8" l="1"/>
  <c r="F231" i="8"/>
  <c r="AJ231" i="8"/>
  <c r="H288" i="10"/>
  <c r="W288" i="10"/>
  <c r="AL288" i="10"/>
  <c r="I288" i="10"/>
  <c r="X288" i="10"/>
  <c r="AM288" i="10"/>
  <c r="Y288" i="10"/>
  <c r="AN288" i="10"/>
  <c r="J288" i="10"/>
  <c r="K288" i="10"/>
  <c r="Z288" i="10"/>
  <c r="AO288" i="10"/>
  <c r="L288" i="10"/>
  <c r="AP288" i="10"/>
  <c r="AA288" i="10"/>
  <c r="M288" i="10"/>
  <c r="AB288" i="10"/>
  <c r="AQ288" i="10"/>
  <c r="AC288" i="10"/>
  <c r="N288" i="10"/>
  <c r="AR288" i="10"/>
  <c r="O288" i="10"/>
  <c r="AD288" i="10"/>
  <c r="AS288" i="10"/>
  <c r="AE288" i="10"/>
  <c r="AT288" i="10"/>
  <c r="P288" i="10"/>
  <c r="Q288" i="10"/>
  <c r="AF288" i="10"/>
  <c r="AU288" i="10"/>
  <c r="AG288" i="10"/>
  <c r="R288" i="10"/>
  <c r="AV288" i="10"/>
  <c r="H288" i="9"/>
  <c r="W288" i="9"/>
  <c r="AL288" i="9"/>
  <c r="I288" i="9"/>
  <c r="X288" i="9"/>
  <c r="AM288" i="9"/>
  <c r="J288" i="9"/>
  <c r="Y288" i="9"/>
  <c r="AN288" i="9"/>
  <c r="K288" i="9"/>
  <c r="Z288" i="9"/>
  <c r="AO288" i="9"/>
  <c r="L288" i="9"/>
  <c r="AA288" i="9"/>
  <c r="AP288" i="9"/>
  <c r="M288" i="9"/>
  <c r="AB288" i="9"/>
  <c r="AQ288" i="9"/>
  <c r="N288" i="9"/>
  <c r="AC288" i="9"/>
  <c r="AR288" i="9"/>
  <c r="O288" i="9"/>
  <c r="AD288" i="9"/>
  <c r="AS288" i="9"/>
  <c r="P288" i="9"/>
  <c r="AE288" i="9"/>
  <c r="AT288" i="9"/>
  <c r="Q288" i="9"/>
  <c r="AF288" i="9"/>
  <c r="AU288" i="9"/>
  <c r="R288" i="9"/>
  <c r="AG288" i="9"/>
  <c r="AV288" i="9"/>
  <c r="H287" i="7"/>
  <c r="W287" i="7"/>
  <c r="AL287" i="7"/>
  <c r="I287" i="7"/>
  <c r="X287" i="7"/>
  <c r="AM287" i="7"/>
  <c r="J287" i="7"/>
  <c r="Y287" i="7"/>
  <c r="AN287" i="7"/>
  <c r="K287" i="7"/>
  <c r="Z287" i="7"/>
  <c r="AO287" i="7"/>
  <c r="L287" i="7"/>
  <c r="AA287" i="7"/>
  <c r="AP287" i="7"/>
  <c r="N287" i="7"/>
  <c r="AC287" i="7"/>
  <c r="AR287" i="7"/>
  <c r="O287" i="7"/>
  <c r="AD287" i="7"/>
  <c r="AS287" i="7"/>
  <c r="P287" i="7"/>
  <c r="AE287" i="7"/>
  <c r="AT287" i="7"/>
  <c r="Q287" i="7"/>
  <c r="AF287" i="7"/>
  <c r="AU287" i="7"/>
  <c r="R287" i="7"/>
  <c r="AG287" i="7"/>
  <c r="AV287" i="7"/>
  <c r="I287" i="8"/>
  <c r="X287" i="8"/>
  <c r="AM287" i="8"/>
  <c r="J287" i="8"/>
  <c r="Y287" i="8"/>
  <c r="AN287" i="8"/>
  <c r="L287" i="8"/>
  <c r="AA287" i="8"/>
  <c r="AP287" i="8"/>
  <c r="N287" i="8"/>
  <c r="AC287" i="8"/>
  <c r="AR287" i="8"/>
  <c r="P287" i="8"/>
  <c r="AE287" i="8"/>
  <c r="AT287" i="8"/>
  <c r="Q287" i="8"/>
  <c r="AF287" i="8"/>
  <c r="AU287" i="8"/>
  <c r="H287" i="8"/>
  <c r="W287" i="8"/>
  <c r="AL287" i="8"/>
  <c r="K287" i="8"/>
  <c r="Z287" i="8"/>
  <c r="AO287" i="8"/>
  <c r="M287" i="8"/>
  <c r="AB287" i="8"/>
  <c r="AQ287" i="8"/>
  <c r="O287" i="8"/>
  <c r="AD287" i="8"/>
  <c r="AS287" i="8"/>
  <c r="R287" i="8"/>
  <c r="AG287" i="8"/>
  <c r="AV287" i="8"/>
  <c r="M287" i="7"/>
  <c r="AB287" i="7"/>
  <c r="AQ287" i="7"/>
  <c r="D275" i="8"/>
  <c r="S275" i="8"/>
  <c r="AH275" i="8"/>
  <c r="E263" i="8"/>
  <c r="T263" i="8"/>
  <c r="AI263" i="8"/>
  <c r="D258" i="9"/>
  <c r="S258" i="9"/>
  <c r="AH258" i="9"/>
  <c r="D235" i="7"/>
  <c r="S235" i="7"/>
  <c r="AH235" i="7"/>
  <c r="G232" i="9"/>
  <c r="V232" i="9"/>
  <c r="AK232" i="9"/>
  <c r="G228" i="10"/>
  <c r="V228" i="10"/>
  <c r="AK228" i="10"/>
  <c r="D213" i="10"/>
  <c r="S213" i="10"/>
  <c r="AH213" i="10"/>
  <c r="E215" i="9"/>
  <c r="T215" i="9"/>
  <c r="AI215" i="9"/>
  <c r="C217" i="8"/>
  <c r="AY217" i="8"/>
  <c r="AX218" i="8"/>
  <c r="AW217" i="8"/>
  <c r="G218" i="8"/>
  <c r="V218" i="8"/>
  <c r="AK218" i="8"/>
  <c r="E207" i="10"/>
  <c r="T207" i="10"/>
  <c r="AI207" i="10"/>
  <c r="C199" i="9"/>
  <c r="AY199" i="9"/>
  <c r="AW199" i="9"/>
  <c r="AX200" i="9"/>
  <c r="F200" i="9"/>
  <c r="U200" i="9"/>
  <c r="AJ200" i="9"/>
  <c r="C189" i="10"/>
  <c r="AY189" i="10"/>
  <c r="AX190" i="10"/>
  <c r="AW189" i="10"/>
  <c r="F190" i="10"/>
  <c r="U190" i="10"/>
  <c r="AJ190" i="10"/>
  <c r="G129" i="7"/>
  <c r="V129" i="7"/>
  <c r="AK129" i="7"/>
  <c r="E95" i="7"/>
  <c r="T95" i="7"/>
  <c r="AI95" i="7"/>
  <c r="C88" i="7"/>
  <c r="AY88" i="7"/>
  <c r="AW88" i="7"/>
  <c r="AX89" i="7"/>
  <c r="F89" i="7"/>
  <c r="U89" i="7"/>
  <c r="AJ89" i="7"/>
  <c r="U232" i="8" l="1"/>
  <c r="AJ232" i="8"/>
  <c r="F232" i="8"/>
  <c r="H289" i="10"/>
  <c r="W289" i="10"/>
  <c r="AL289" i="10"/>
  <c r="AM289" i="10"/>
  <c r="I289" i="10"/>
  <c r="X289" i="10"/>
  <c r="J289" i="10"/>
  <c r="Y289" i="10"/>
  <c r="AN289" i="10"/>
  <c r="Z289" i="10"/>
  <c r="AO289" i="10"/>
  <c r="K289" i="10"/>
  <c r="L289" i="10"/>
  <c r="AP289" i="10"/>
  <c r="AA289" i="10"/>
  <c r="AB289" i="10"/>
  <c r="M289" i="10"/>
  <c r="AQ289" i="10"/>
  <c r="N289" i="10"/>
  <c r="AC289" i="10"/>
  <c r="AR289" i="10"/>
  <c r="O289" i="10"/>
  <c r="AD289" i="10"/>
  <c r="AS289" i="10"/>
  <c r="AE289" i="10"/>
  <c r="AT289" i="10"/>
  <c r="P289" i="10"/>
  <c r="Q289" i="10"/>
  <c r="AF289" i="10"/>
  <c r="AU289" i="10"/>
  <c r="R289" i="10"/>
  <c r="AV289" i="10"/>
  <c r="AG289" i="10"/>
  <c r="H289" i="9"/>
  <c r="W289" i="9"/>
  <c r="AL289" i="9"/>
  <c r="I289" i="9"/>
  <c r="X289" i="9"/>
  <c r="AM289" i="9"/>
  <c r="J289" i="9"/>
  <c r="Y289" i="9"/>
  <c r="AN289" i="9"/>
  <c r="K289" i="9"/>
  <c r="Z289" i="9"/>
  <c r="AO289" i="9"/>
  <c r="L289" i="9"/>
  <c r="AA289" i="9"/>
  <c r="AP289" i="9"/>
  <c r="M289" i="9"/>
  <c r="AB289" i="9"/>
  <c r="AQ289" i="9"/>
  <c r="N289" i="9"/>
  <c r="AC289" i="9"/>
  <c r="AR289" i="9"/>
  <c r="O289" i="9"/>
  <c r="AD289" i="9"/>
  <c r="AS289" i="9"/>
  <c r="P289" i="9"/>
  <c r="AE289" i="9"/>
  <c r="AT289" i="9"/>
  <c r="Q289" i="9"/>
  <c r="AF289" i="9"/>
  <c r="AU289" i="9"/>
  <c r="R289" i="9"/>
  <c r="AG289" i="9"/>
  <c r="AV289" i="9"/>
  <c r="H288" i="7"/>
  <c r="W288" i="7"/>
  <c r="AL288" i="7"/>
  <c r="I288" i="7"/>
  <c r="X288" i="7"/>
  <c r="AM288" i="7"/>
  <c r="J288" i="7"/>
  <c r="Y288" i="7"/>
  <c r="AN288" i="7"/>
  <c r="K288" i="7"/>
  <c r="Z288" i="7"/>
  <c r="AO288" i="7"/>
  <c r="L288" i="7"/>
  <c r="AA288" i="7"/>
  <c r="AP288" i="7"/>
  <c r="N288" i="7"/>
  <c r="AC288" i="7"/>
  <c r="AR288" i="7"/>
  <c r="O288" i="7"/>
  <c r="AD288" i="7"/>
  <c r="AS288" i="7"/>
  <c r="P288" i="7"/>
  <c r="AE288" i="7"/>
  <c r="AT288" i="7"/>
  <c r="Q288" i="7"/>
  <c r="AF288" i="7"/>
  <c r="AU288" i="7"/>
  <c r="R288" i="7"/>
  <c r="AG288" i="7"/>
  <c r="AV288" i="7"/>
  <c r="X288" i="8"/>
  <c r="AM288" i="8"/>
  <c r="I288" i="8"/>
  <c r="J288" i="8"/>
  <c r="Y288" i="8"/>
  <c r="AN288" i="8"/>
  <c r="AA288" i="8"/>
  <c r="L288" i="8"/>
  <c r="AP288" i="8"/>
  <c r="AC288" i="8"/>
  <c r="AR288" i="8"/>
  <c r="N288" i="8"/>
  <c r="AT288" i="8"/>
  <c r="P288" i="8"/>
  <c r="AE288" i="8"/>
  <c r="Q288" i="8"/>
  <c r="AF288" i="8"/>
  <c r="AU288" i="8"/>
  <c r="W288" i="8"/>
  <c r="H288" i="8"/>
  <c r="AL288" i="8"/>
  <c r="AO288" i="8"/>
  <c r="Z288" i="8"/>
  <c r="K288" i="8"/>
  <c r="M288" i="8"/>
  <c r="AB288" i="8"/>
  <c r="AQ288" i="8"/>
  <c r="AS288" i="8"/>
  <c r="O288" i="8"/>
  <c r="AD288" i="8"/>
  <c r="AV288" i="8"/>
  <c r="R288" i="8"/>
  <c r="AG288" i="8"/>
  <c r="M288" i="7"/>
  <c r="AB288" i="7"/>
  <c r="AQ288" i="7"/>
  <c r="D276" i="8"/>
  <c r="S276" i="8"/>
  <c r="AH276" i="8"/>
  <c r="E264" i="8"/>
  <c r="T264" i="8"/>
  <c r="AI264" i="8"/>
  <c r="D259" i="9"/>
  <c r="S259" i="9"/>
  <c r="AH259" i="9"/>
  <c r="D236" i="7"/>
  <c r="S236" i="7"/>
  <c r="AH236" i="7"/>
  <c r="G233" i="9"/>
  <c r="V233" i="9"/>
  <c r="AK233" i="9"/>
  <c r="G229" i="10"/>
  <c r="V229" i="10"/>
  <c r="AK229" i="10"/>
  <c r="D214" i="10"/>
  <c r="S214" i="10"/>
  <c r="AH214" i="10"/>
  <c r="E216" i="9"/>
  <c r="T216" i="9"/>
  <c r="AI216" i="9"/>
  <c r="C218" i="8"/>
  <c r="AY218" i="8"/>
  <c r="AX219" i="8"/>
  <c r="AW218" i="8"/>
  <c r="G219" i="8"/>
  <c r="V219" i="8"/>
  <c r="AK219" i="8"/>
  <c r="E208" i="10"/>
  <c r="T208" i="10"/>
  <c r="AI208" i="10"/>
  <c r="C200" i="9"/>
  <c r="AY200" i="9"/>
  <c r="AW200" i="9"/>
  <c r="AX201" i="9"/>
  <c r="F201" i="9"/>
  <c r="U201" i="9"/>
  <c r="AJ201" i="9"/>
  <c r="AY190" i="10"/>
  <c r="C190" i="10"/>
  <c r="AX191" i="10"/>
  <c r="AW190" i="10"/>
  <c r="F191" i="10"/>
  <c r="U191" i="10"/>
  <c r="AJ191" i="10"/>
  <c r="G130" i="7"/>
  <c r="V130" i="7"/>
  <c r="AK130" i="7"/>
  <c r="E96" i="7"/>
  <c r="T96" i="7"/>
  <c r="AI96" i="7"/>
  <c r="AY89" i="7"/>
  <c r="C89" i="7"/>
  <c r="AW89" i="7"/>
  <c r="AX90" i="7"/>
  <c r="F90" i="7"/>
  <c r="U90" i="7"/>
  <c r="AJ90" i="7"/>
  <c r="F233" i="8" l="1"/>
  <c r="AJ233" i="8"/>
  <c r="U233" i="8"/>
  <c r="H290" i="10"/>
  <c r="AL290" i="10"/>
  <c r="W290" i="10"/>
  <c r="X290" i="10"/>
  <c r="I290" i="10"/>
  <c r="AM290" i="10"/>
  <c r="J290" i="10"/>
  <c r="AN290" i="10"/>
  <c r="Y290" i="10"/>
  <c r="K290" i="10"/>
  <c r="Z290" i="10"/>
  <c r="AO290" i="10"/>
  <c r="AP290" i="10"/>
  <c r="L290" i="10"/>
  <c r="AA290" i="10"/>
  <c r="AQ290" i="10"/>
  <c r="M290" i="10"/>
  <c r="AB290" i="10"/>
  <c r="AC290" i="10"/>
  <c r="AR290" i="10"/>
  <c r="N290" i="10"/>
  <c r="AD290" i="10"/>
  <c r="O290" i="10"/>
  <c r="AS290" i="10"/>
  <c r="P290" i="10"/>
  <c r="AE290" i="10"/>
  <c r="AT290" i="10"/>
  <c r="AF290" i="10"/>
  <c r="AU290" i="10"/>
  <c r="Q290" i="10"/>
  <c r="R290" i="10"/>
  <c r="AV290" i="10"/>
  <c r="AG290" i="10"/>
  <c r="H290" i="9"/>
  <c r="W290" i="9"/>
  <c r="AL290" i="9"/>
  <c r="I290" i="9"/>
  <c r="X290" i="9"/>
  <c r="AM290" i="9"/>
  <c r="J290" i="9"/>
  <c r="Y290" i="9"/>
  <c r="AN290" i="9"/>
  <c r="K290" i="9"/>
  <c r="Z290" i="9"/>
  <c r="AO290" i="9"/>
  <c r="L290" i="9"/>
  <c r="AA290" i="9"/>
  <c r="AP290" i="9"/>
  <c r="M290" i="9"/>
  <c r="AB290" i="9"/>
  <c r="AQ290" i="9"/>
  <c r="N290" i="9"/>
  <c r="AC290" i="9"/>
  <c r="AR290" i="9"/>
  <c r="O290" i="9"/>
  <c r="AD290" i="9"/>
  <c r="AS290" i="9"/>
  <c r="P290" i="9"/>
  <c r="AE290" i="9"/>
  <c r="AT290" i="9"/>
  <c r="Q290" i="9"/>
  <c r="AF290" i="9"/>
  <c r="AU290" i="9"/>
  <c r="R290" i="9"/>
  <c r="AG290" i="9"/>
  <c r="AV290" i="9"/>
  <c r="H289" i="7"/>
  <c r="W289" i="7"/>
  <c r="AL289" i="7"/>
  <c r="I289" i="7"/>
  <c r="X289" i="7"/>
  <c r="AM289" i="7"/>
  <c r="J289" i="7"/>
  <c r="Y289" i="7"/>
  <c r="AN289" i="7"/>
  <c r="K289" i="7"/>
  <c r="Z289" i="7"/>
  <c r="AO289" i="7"/>
  <c r="L289" i="7"/>
  <c r="AA289" i="7"/>
  <c r="AP289" i="7"/>
  <c r="N289" i="7"/>
  <c r="AC289" i="7"/>
  <c r="AR289" i="7"/>
  <c r="O289" i="7"/>
  <c r="AD289" i="7"/>
  <c r="AS289" i="7"/>
  <c r="P289" i="7"/>
  <c r="AE289" i="7"/>
  <c r="AT289" i="7"/>
  <c r="Q289" i="7"/>
  <c r="AF289" i="7"/>
  <c r="AU289" i="7"/>
  <c r="R289" i="7"/>
  <c r="AG289" i="7"/>
  <c r="AV289" i="7"/>
  <c r="X289" i="8"/>
  <c r="I289" i="8"/>
  <c r="AM289" i="8"/>
  <c r="Y289" i="8"/>
  <c r="AN289" i="8"/>
  <c r="J289" i="8"/>
  <c r="AP289" i="8"/>
  <c r="L289" i="8"/>
  <c r="AA289" i="8"/>
  <c r="AC289" i="8"/>
  <c r="AR289" i="8"/>
  <c r="N289" i="8"/>
  <c r="AE289" i="8"/>
  <c r="P289" i="8"/>
  <c r="AT289" i="8"/>
  <c r="Q289" i="8"/>
  <c r="AF289" i="8"/>
  <c r="AU289" i="8"/>
  <c r="W289" i="8"/>
  <c r="AL289" i="8"/>
  <c r="H289" i="8"/>
  <c r="Z289" i="8"/>
  <c r="K289" i="8"/>
  <c r="AO289" i="8"/>
  <c r="M289" i="8"/>
  <c r="AB289" i="8"/>
  <c r="AQ289" i="8"/>
  <c r="O289" i="8"/>
  <c r="AD289" i="8"/>
  <c r="AS289" i="8"/>
  <c r="R289" i="8"/>
  <c r="AG289" i="8"/>
  <c r="AV289" i="8"/>
  <c r="M289" i="7"/>
  <c r="AB289" i="7"/>
  <c r="AQ289" i="7"/>
  <c r="D277" i="8"/>
  <c r="S277" i="8"/>
  <c r="AH277" i="8"/>
  <c r="E265" i="8"/>
  <c r="T265" i="8"/>
  <c r="AI265" i="8"/>
  <c r="D260" i="9"/>
  <c r="S260" i="9"/>
  <c r="AH260" i="9"/>
  <c r="D237" i="7"/>
  <c r="S237" i="7"/>
  <c r="AH237" i="7"/>
  <c r="G234" i="9"/>
  <c r="V234" i="9"/>
  <c r="AK234" i="9"/>
  <c r="G230" i="10"/>
  <c r="V230" i="10"/>
  <c r="AK230" i="10"/>
  <c r="D215" i="10"/>
  <c r="S215" i="10"/>
  <c r="AH215" i="10"/>
  <c r="E217" i="9"/>
  <c r="T217" i="9"/>
  <c r="AI217" i="9"/>
  <c r="AY219" i="8"/>
  <c r="C219" i="8"/>
  <c r="AW219" i="8"/>
  <c r="W76" i="2" s="1"/>
  <c r="AX220" i="8"/>
  <c r="V220" i="8"/>
  <c r="G220" i="8"/>
  <c r="AK220" i="8"/>
  <c r="E209" i="10"/>
  <c r="T209" i="10"/>
  <c r="AI209" i="10"/>
  <c r="C201" i="9"/>
  <c r="AY201" i="9"/>
  <c r="AW201" i="9"/>
  <c r="AX202" i="9"/>
  <c r="F202" i="9"/>
  <c r="U202" i="9"/>
  <c r="AJ202" i="9"/>
  <c r="C191" i="10"/>
  <c r="AY191" i="10"/>
  <c r="AW191" i="10"/>
  <c r="AX192" i="10"/>
  <c r="F192" i="10"/>
  <c r="U192" i="10"/>
  <c r="AJ192" i="10"/>
  <c r="G131" i="7"/>
  <c r="V131" i="7"/>
  <c r="AK131" i="7"/>
  <c r="E97" i="7"/>
  <c r="T97" i="7"/>
  <c r="AI97" i="7"/>
  <c r="AY90" i="7"/>
  <c r="C90" i="7"/>
  <c r="AW90" i="7"/>
  <c r="X33" i="2" s="1"/>
  <c r="AX91" i="7"/>
  <c r="F91" i="7"/>
  <c r="U91" i="7"/>
  <c r="AJ91" i="7"/>
  <c r="U234" i="8" l="1"/>
  <c r="AJ234" i="8"/>
  <c r="F234" i="8"/>
  <c r="H291" i="10"/>
  <c r="W291" i="10"/>
  <c r="AL291" i="10"/>
  <c r="AM291" i="10"/>
  <c r="I291" i="10"/>
  <c r="X291" i="10"/>
  <c r="J291" i="10"/>
  <c r="Y291" i="10"/>
  <c r="AN291" i="10"/>
  <c r="Z291" i="10"/>
  <c r="K291" i="10"/>
  <c r="AO291" i="10"/>
  <c r="L291" i="10"/>
  <c r="AA291" i="10"/>
  <c r="AP291" i="10"/>
  <c r="M291" i="10"/>
  <c r="AB291" i="10"/>
  <c r="AQ291" i="10"/>
  <c r="N291" i="10"/>
  <c r="AC291" i="10"/>
  <c r="AR291" i="10"/>
  <c r="O291" i="10"/>
  <c r="AD291" i="10"/>
  <c r="AS291" i="10"/>
  <c r="P291" i="10"/>
  <c r="AE291" i="10"/>
  <c r="AT291" i="10"/>
  <c r="Q291" i="10"/>
  <c r="AF291" i="10"/>
  <c r="AU291" i="10"/>
  <c r="R291" i="10"/>
  <c r="AV291" i="10"/>
  <c r="AG291" i="10"/>
  <c r="H291" i="9"/>
  <c r="W291" i="9"/>
  <c r="AL291" i="9"/>
  <c r="I291" i="9"/>
  <c r="X291" i="9"/>
  <c r="AM291" i="9"/>
  <c r="J291" i="9"/>
  <c r="Y291" i="9"/>
  <c r="AN291" i="9"/>
  <c r="K291" i="9"/>
  <c r="Z291" i="9"/>
  <c r="AO291" i="9"/>
  <c r="L291" i="9"/>
  <c r="AA291" i="9"/>
  <c r="AP291" i="9"/>
  <c r="M291" i="9"/>
  <c r="AB291" i="9"/>
  <c r="AQ291" i="9"/>
  <c r="N291" i="9"/>
  <c r="AC291" i="9"/>
  <c r="AR291" i="9"/>
  <c r="O291" i="9"/>
  <c r="AD291" i="9"/>
  <c r="AS291" i="9"/>
  <c r="P291" i="9"/>
  <c r="AE291" i="9"/>
  <c r="AT291" i="9"/>
  <c r="Q291" i="9"/>
  <c r="AF291" i="9"/>
  <c r="AU291" i="9"/>
  <c r="R291" i="9"/>
  <c r="AG291" i="9"/>
  <c r="AV291" i="9"/>
  <c r="H290" i="7"/>
  <c r="W290" i="7"/>
  <c r="AL290" i="7"/>
  <c r="I290" i="7"/>
  <c r="X290" i="7"/>
  <c r="AM290" i="7"/>
  <c r="J290" i="7"/>
  <c r="Y290" i="7"/>
  <c r="AN290" i="7"/>
  <c r="K290" i="7"/>
  <c r="Z290" i="7"/>
  <c r="AO290" i="7"/>
  <c r="L290" i="7"/>
  <c r="AA290" i="7"/>
  <c r="AP290" i="7"/>
  <c r="N290" i="7"/>
  <c r="AC290" i="7"/>
  <c r="AR290" i="7"/>
  <c r="O290" i="7"/>
  <c r="AD290" i="7"/>
  <c r="AS290" i="7"/>
  <c r="P290" i="7"/>
  <c r="AE290" i="7"/>
  <c r="AT290" i="7"/>
  <c r="Q290" i="7"/>
  <c r="AF290" i="7"/>
  <c r="AU290" i="7"/>
  <c r="R290" i="7"/>
  <c r="AG290" i="7"/>
  <c r="AV290" i="7"/>
  <c r="I290" i="8"/>
  <c r="X290" i="8"/>
  <c r="AM290" i="8"/>
  <c r="J290" i="8"/>
  <c r="Y290" i="8"/>
  <c r="AN290" i="8"/>
  <c r="L290" i="8"/>
  <c r="AA290" i="8"/>
  <c r="AP290" i="8"/>
  <c r="AR290" i="8"/>
  <c r="N290" i="8"/>
  <c r="AC290" i="8"/>
  <c r="AE290" i="8"/>
  <c r="P290" i="8"/>
  <c r="AT290" i="8"/>
  <c r="Q290" i="8"/>
  <c r="AF290" i="8"/>
  <c r="AU290" i="8"/>
  <c r="H290" i="8"/>
  <c r="W290" i="8"/>
  <c r="AL290" i="8"/>
  <c r="K290" i="8"/>
  <c r="Z290" i="8"/>
  <c r="AO290" i="8"/>
  <c r="AQ290" i="8"/>
  <c r="M290" i="8"/>
  <c r="AB290" i="8"/>
  <c r="AD290" i="8"/>
  <c r="AS290" i="8"/>
  <c r="O290" i="8"/>
  <c r="AG290" i="8"/>
  <c r="AV290" i="8"/>
  <c r="R290" i="8"/>
  <c r="M290" i="7"/>
  <c r="AB290" i="7"/>
  <c r="AQ290" i="7"/>
  <c r="D278" i="8"/>
  <c r="S278" i="8"/>
  <c r="AH278" i="8"/>
  <c r="E266" i="8"/>
  <c r="T266" i="8"/>
  <c r="AI266" i="8"/>
  <c r="D261" i="9"/>
  <c r="S261" i="9"/>
  <c r="AH261" i="9"/>
  <c r="D238" i="7"/>
  <c r="S238" i="7"/>
  <c r="AH238" i="7"/>
  <c r="G235" i="9"/>
  <c r="V235" i="9"/>
  <c r="AK235" i="9"/>
  <c r="G231" i="10"/>
  <c r="V231" i="10"/>
  <c r="AK231" i="10"/>
  <c r="D216" i="10"/>
  <c r="S216" i="10"/>
  <c r="AH216" i="10"/>
  <c r="E218" i="9"/>
  <c r="T218" i="9"/>
  <c r="AI218" i="9"/>
  <c r="C220" i="8"/>
  <c r="AY220" i="8"/>
  <c r="AX221" i="8"/>
  <c r="AW220" i="8"/>
  <c r="G221" i="8"/>
  <c r="V221" i="8"/>
  <c r="AK221" i="8"/>
  <c r="E210" i="10"/>
  <c r="T210" i="10"/>
  <c r="AI210" i="10"/>
  <c r="AY202" i="9"/>
  <c r="C202" i="9"/>
  <c r="AX203" i="9"/>
  <c r="AW202" i="9"/>
  <c r="F203" i="9"/>
  <c r="U203" i="9"/>
  <c r="AJ203" i="9"/>
  <c r="C192" i="10"/>
  <c r="AY192" i="10"/>
  <c r="AW192" i="10"/>
  <c r="AX193" i="10"/>
  <c r="F193" i="10"/>
  <c r="U193" i="10"/>
  <c r="AJ193" i="10"/>
  <c r="G132" i="7"/>
  <c r="V132" i="7"/>
  <c r="AK132" i="7"/>
  <c r="E98" i="7"/>
  <c r="T98" i="7"/>
  <c r="AI98" i="7"/>
  <c r="C91" i="7"/>
  <c r="AY91" i="7"/>
  <c r="AX92" i="7"/>
  <c r="AW91" i="7"/>
  <c r="F92" i="7"/>
  <c r="U92" i="7"/>
  <c r="AJ92" i="7"/>
  <c r="AJ235" i="8" l="1"/>
  <c r="U235" i="8"/>
  <c r="F235" i="8"/>
  <c r="H292" i="10"/>
  <c r="W292" i="10"/>
  <c r="AL292" i="10"/>
  <c r="X292" i="10"/>
  <c r="I292" i="10"/>
  <c r="AM292" i="10"/>
  <c r="J292" i="10"/>
  <c r="AN292" i="10"/>
  <c r="Y292" i="10"/>
  <c r="K292" i="10"/>
  <c r="Z292" i="10"/>
  <c r="AO292" i="10"/>
  <c r="L292" i="10"/>
  <c r="AA292" i="10"/>
  <c r="AP292" i="10"/>
  <c r="M292" i="10"/>
  <c r="AQ292" i="10"/>
  <c r="AB292" i="10"/>
  <c r="N292" i="10"/>
  <c r="AR292" i="10"/>
  <c r="AC292" i="10"/>
  <c r="O292" i="10"/>
  <c r="AD292" i="10"/>
  <c r="AS292" i="10"/>
  <c r="P292" i="10"/>
  <c r="AE292" i="10"/>
  <c r="AT292" i="10"/>
  <c r="Q292" i="10"/>
  <c r="AF292" i="10"/>
  <c r="AU292" i="10"/>
  <c r="R292" i="10"/>
  <c r="AG292" i="10"/>
  <c r="AV292" i="10"/>
  <c r="H292" i="9"/>
  <c r="W292" i="9"/>
  <c r="AL292" i="9"/>
  <c r="I292" i="9"/>
  <c r="X292" i="9"/>
  <c r="AM292" i="9"/>
  <c r="J292" i="9"/>
  <c r="Y292" i="9"/>
  <c r="AN292" i="9"/>
  <c r="K292" i="9"/>
  <c r="Z292" i="9"/>
  <c r="AO292" i="9"/>
  <c r="L292" i="9"/>
  <c r="AA292" i="9"/>
  <c r="AP292" i="9"/>
  <c r="M292" i="9"/>
  <c r="AB292" i="9"/>
  <c r="AQ292" i="9"/>
  <c r="N292" i="9"/>
  <c r="AC292" i="9"/>
  <c r="AR292" i="9"/>
  <c r="O292" i="9"/>
  <c r="AD292" i="9"/>
  <c r="AS292" i="9"/>
  <c r="P292" i="9"/>
  <c r="AE292" i="9"/>
  <c r="AT292" i="9"/>
  <c r="Q292" i="9"/>
  <c r="AF292" i="9"/>
  <c r="AU292" i="9"/>
  <c r="R292" i="9"/>
  <c r="AG292" i="9"/>
  <c r="AV292" i="9"/>
  <c r="H291" i="7"/>
  <c r="W291" i="7"/>
  <c r="AL291" i="7"/>
  <c r="I291" i="7"/>
  <c r="X291" i="7"/>
  <c r="AM291" i="7"/>
  <c r="J291" i="7"/>
  <c r="Y291" i="7"/>
  <c r="AN291" i="7"/>
  <c r="K291" i="7"/>
  <c r="Z291" i="7"/>
  <c r="AO291" i="7"/>
  <c r="L291" i="7"/>
  <c r="AA291" i="7"/>
  <c r="AP291" i="7"/>
  <c r="N291" i="7"/>
  <c r="AC291" i="7"/>
  <c r="AR291" i="7"/>
  <c r="O291" i="7"/>
  <c r="AD291" i="7"/>
  <c r="AS291" i="7"/>
  <c r="P291" i="7"/>
  <c r="AE291" i="7"/>
  <c r="AT291" i="7"/>
  <c r="Q291" i="7"/>
  <c r="AF291" i="7"/>
  <c r="AU291" i="7"/>
  <c r="R291" i="7"/>
  <c r="AG291" i="7"/>
  <c r="AV291" i="7"/>
  <c r="X291" i="8"/>
  <c r="I291" i="8"/>
  <c r="AM291" i="8"/>
  <c r="AN291" i="8"/>
  <c r="J291" i="8"/>
  <c r="Y291" i="8"/>
  <c r="L291" i="8"/>
  <c r="AA291" i="8"/>
  <c r="AP291" i="8"/>
  <c r="AC291" i="8"/>
  <c r="N291" i="8"/>
  <c r="AR291" i="8"/>
  <c r="AT291" i="8"/>
  <c r="P291" i="8"/>
  <c r="AE291" i="8"/>
  <c r="AF291" i="8"/>
  <c r="Q291" i="8"/>
  <c r="AU291" i="8"/>
  <c r="W291" i="8"/>
  <c r="AL291" i="8"/>
  <c r="H291" i="8"/>
  <c r="K291" i="8"/>
  <c r="AO291" i="8"/>
  <c r="Z291" i="8"/>
  <c r="AB291" i="8"/>
  <c r="M291" i="8"/>
  <c r="AQ291" i="8"/>
  <c r="AD291" i="8"/>
  <c r="O291" i="8"/>
  <c r="AS291" i="8"/>
  <c r="R291" i="8"/>
  <c r="AG291" i="8"/>
  <c r="AV291" i="8"/>
  <c r="M291" i="7"/>
  <c r="AB291" i="7"/>
  <c r="AQ291" i="7"/>
  <c r="D279" i="8"/>
  <c r="S279" i="8"/>
  <c r="AH279" i="8"/>
  <c r="E267" i="8"/>
  <c r="T267" i="8"/>
  <c r="AI267" i="8"/>
  <c r="D262" i="9"/>
  <c r="S262" i="9"/>
  <c r="AH262" i="9"/>
  <c r="D239" i="7"/>
  <c r="S239" i="7"/>
  <c r="AH239" i="7"/>
  <c r="G236" i="9"/>
  <c r="V236" i="9"/>
  <c r="AK236" i="9"/>
  <c r="G232" i="10"/>
  <c r="V232" i="10"/>
  <c r="AK232" i="10"/>
  <c r="D217" i="10"/>
  <c r="S217" i="10"/>
  <c r="AH217" i="10"/>
  <c r="E219" i="9"/>
  <c r="T219" i="9"/>
  <c r="AI219" i="9"/>
  <c r="AY221" i="8"/>
  <c r="C221" i="8"/>
  <c r="AX222" i="8"/>
  <c r="AW221" i="8"/>
  <c r="V222" i="8"/>
  <c r="G222" i="8"/>
  <c r="AK222" i="8"/>
  <c r="E211" i="10"/>
  <c r="T211" i="10"/>
  <c r="AI211" i="10"/>
  <c r="C203" i="9"/>
  <c r="AY203" i="9"/>
  <c r="AW203" i="9"/>
  <c r="AX204" i="9"/>
  <c r="F204" i="9"/>
  <c r="U204" i="9"/>
  <c r="AJ204" i="9"/>
  <c r="C193" i="10"/>
  <c r="AY193" i="10"/>
  <c r="AW193" i="10"/>
  <c r="AX194" i="10"/>
  <c r="F194" i="10"/>
  <c r="U194" i="10"/>
  <c r="AJ194" i="10"/>
  <c r="G133" i="7"/>
  <c r="V133" i="7"/>
  <c r="AK133" i="7"/>
  <c r="E99" i="7"/>
  <c r="T99" i="7"/>
  <c r="AI99" i="7"/>
  <c r="AY92" i="7"/>
  <c r="C92" i="7"/>
  <c r="AW92" i="7"/>
  <c r="AX93" i="7"/>
  <c r="F93" i="7"/>
  <c r="U93" i="7"/>
  <c r="AJ93" i="7"/>
  <c r="U236" i="8" l="1"/>
  <c r="AJ236" i="8"/>
  <c r="F236" i="8"/>
  <c r="H293" i="10"/>
  <c r="W293" i="10"/>
  <c r="AL293" i="10"/>
  <c r="I293" i="10"/>
  <c r="X293" i="10"/>
  <c r="AM293" i="10"/>
  <c r="J293" i="10"/>
  <c r="Y293" i="10"/>
  <c r="AN293" i="10"/>
  <c r="K293" i="10"/>
  <c r="AO293" i="10"/>
  <c r="Z293" i="10"/>
  <c r="L293" i="10"/>
  <c r="AA293" i="10"/>
  <c r="AP293" i="10"/>
  <c r="M293" i="10"/>
  <c r="AB293" i="10"/>
  <c r="AQ293" i="10"/>
  <c r="AC293" i="10"/>
  <c r="N293" i="10"/>
  <c r="AR293" i="10"/>
  <c r="AD293" i="10"/>
  <c r="AS293" i="10"/>
  <c r="O293" i="10"/>
  <c r="P293" i="10"/>
  <c r="AE293" i="10"/>
  <c r="AT293" i="10"/>
  <c r="Q293" i="10"/>
  <c r="AF293" i="10"/>
  <c r="AU293" i="10"/>
  <c r="R293" i="10"/>
  <c r="AG293" i="10"/>
  <c r="AV293" i="10"/>
  <c r="H293" i="9"/>
  <c r="W293" i="9"/>
  <c r="AL293" i="9"/>
  <c r="I293" i="9"/>
  <c r="X293" i="9"/>
  <c r="AM293" i="9"/>
  <c r="J293" i="9"/>
  <c r="Y293" i="9"/>
  <c r="AN293" i="9"/>
  <c r="K293" i="9"/>
  <c r="Z293" i="9"/>
  <c r="AO293" i="9"/>
  <c r="L293" i="9"/>
  <c r="AA293" i="9"/>
  <c r="AP293" i="9"/>
  <c r="M293" i="9"/>
  <c r="AB293" i="9"/>
  <c r="AQ293" i="9"/>
  <c r="N293" i="9"/>
  <c r="AC293" i="9"/>
  <c r="AR293" i="9"/>
  <c r="O293" i="9"/>
  <c r="AD293" i="9"/>
  <c r="AS293" i="9"/>
  <c r="P293" i="9"/>
  <c r="AE293" i="9"/>
  <c r="AT293" i="9"/>
  <c r="Q293" i="9"/>
  <c r="AF293" i="9"/>
  <c r="AU293" i="9"/>
  <c r="R293" i="9"/>
  <c r="AG293" i="9"/>
  <c r="AV293" i="9"/>
  <c r="H292" i="7"/>
  <c r="W292" i="7"/>
  <c r="AL292" i="7"/>
  <c r="I292" i="7"/>
  <c r="X292" i="7"/>
  <c r="AM292" i="7"/>
  <c r="J292" i="7"/>
  <c r="Y292" i="7"/>
  <c r="AN292" i="7"/>
  <c r="K292" i="7"/>
  <c r="Z292" i="7"/>
  <c r="AO292" i="7"/>
  <c r="L292" i="7"/>
  <c r="AA292" i="7"/>
  <c r="AP292" i="7"/>
  <c r="N292" i="7"/>
  <c r="AC292" i="7"/>
  <c r="AR292" i="7"/>
  <c r="O292" i="7"/>
  <c r="AD292" i="7"/>
  <c r="AS292" i="7"/>
  <c r="P292" i="7"/>
  <c r="AE292" i="7"/>
  <c r="AT292" i="7"/>
  <c r="Q292" i="7"/>
  <c r="AF292" i="7"/>
  <c r="AU292" i="7"/>
  <c r="R292" i="7"/>
  <c r="AG292" i="7"/>
  <c r="AV292" i="7"/>
  <c r="I292" i="8"/>
  <c r="X292" i="8"/>
  <c r="AM292" i="8"/>
  <c r="J292" i="8"/>
  <c r="AN292" i="8"/>
  <c r="Y292" i="8"/>
  <c r="L292" i="8"/>
  <c r="AA292" i="8"/>
  <c r="AP292" i="8"/>
  <c r="AR292" i="8"/>
  <c r="N292" i="8"/>
  <c r="AC292" i="8"/>
  <c r="AT292" i="8"/>
  <c r="P292" i="8"/>
  <c r="AE292" i="8"/>
  <c r="Q292" i="8"/>
  <c r="AU292" i="8"/>
  <c r="AF292" i="8"/>
  <c r="H292" i="8"/>
  <c r="W292" i="8"/>
  <c r="AL292" i="8"/>
  <c r="K292" i="8"/>
  <c r="AO292" i="8"/>
  <c r="Z292" i="8"/>
  <c r="M292" i="8"/>
  <c r="AB292" i="8"/>
  <c r="AQ292" i="8"/>
  <c r="AS292" i="8"/>
  <c r="O292" i="8"/>
  <c r="AD292" i="8"/>
  <c r="R292" i="8"/>
  <c r="AG292" i="8"/>
  <c r="AV292" i="8"/>
  <c r="M292" i="7"/>
  <c r="AB292" i="7"/>
  <c r="AQ292" i="7"/>
  <c r="D280" i="8"/>
  <c r="S280" i="8"/>
  <c r="AH280" i="8"/>
  <c r="E268" i="8"/>
  <c r="T268" i="8"/>
  <c r="AI268" i="8"/>
  <c r="D263" i="9"/>
  <c r="S263" i="9"/>
  <c r="AH263" i="9"/>
  <c r="D240" i="7"/>
  <c r="S240" i="7"/>
  <c r="AH240" i="7"/>
  <c r="G237" i="9"/>
  <c r="V237" i="9"/>
  <c r="AK237" i="9"/>
  <c r="G233" i="10"/>
  <c r="V233" i="10"/>
  <c r="AK233" i="10"/>
  <c r="D218" i="10"/>
  <c r="S218" i="10"/>
  <c r="AH218" i="10"/>
  <c r="E220" i="9"/>
  <c r="T220" i="9"/>
  <c r="AI220" i="9"/>
  <c r="AY222" i="8"/>
  <c r="C222" i="8"/>
  <c r="AW222" i="8"/>
  <c r="W77" i="2" s="1"/>
  <c r="AX223" i="8"/>
  <c r="V223" i="8"/>
  <c r="G223" i="8"/>
  <c r="AK223" i="8"/>
  <c r="E212" i="10"/>
  <c r="T212" i="10"/>
  <c r="AI212" i="10"/>
  <c r="C204" i="9"/>
  <c r="AY204" i="9"/>
  <c r="AW204" i="9"/>
  <c r="AX205" i="9"/>
  <c r="F205" i="9"/>
  <c r="U205" i="9"/>
  <c r="AJ205" i="9"/>
  <c r="C194" i="10"/>
  <c r="AY194" i="10"/>
  <c r="AW194" i="10"/>
  <c r="AX195" i="10"/>
  <c r="F195" i="10"/>
  <c r="U195" i="10"/>
  <c r="AJ195" i="10"/>
  <c r="G134" i="7"/>
  <c r="V134" i="7"/>
  <c r="AK134" i="7"/>
  <c r="E100" i="7"/>
  <c r="T100" i="7"/>
  <c r="AI100" i="7"/>
  <c r="AY93" i="7"/>
  <c r="C93" i="7"/>
  <c r="AW93" i="7"/>
  <c r="X34" i="2" s="1"/>
  <c r="AX94" i="7"/>
  <c r="F94" i="7"/>
  <c r="U94" i="7"/>
  <c r="AJ94" i="7"/>
  <c r="AJ237" i="8" l="1"/>
  <c r="F237" i="8"/>
  <c r="U237" i="8"/>
  <c r="H294" i="10"/>
  <c r="W294" i="10"/>
  <c r="AL294" i="10"/>
  <c r="I294" i="10"/>
  <c r="X294" i="10"/>
  <c r="AM294" i="10"/>
  <c r="J294" i="10"/>
  <c r="Y294" i="10"/>
  <c r="AN294" i="10"/>
  <c r="K294" i="10"/>
  <c r="Z294" i="10"/>
  <c r="AO294" i="10"/>
  <c r="L294" i="10"/>
  <c r="AP294" i="10"/>
  <c r="AA294" i="10"/>
  <c r="AQ294" i="10"/>
  <c r="M294" i="10"/>
  <c r="AB294" i="10"/>
  <c r="AR294" i="10"/>
  <c r="N294" i="10"/>
  <c r="AC294" i="10"/>
  <c r="O294" i="10"/>
  <c r="AD294" i="10"/>
  <c r="AS294" i="10"/>
  <c r="AT294" i="10"/>
  <c r="P294" i="10"/>
  <c r="AE294" i="10"/>
  <c r="Q294" i="10"/>
  <c r="AF294" i="10"/>
  <c r="AU294" i="10"/>
  <c r="R294" i="10"/>
  <c r="AG294" i="10"/>
  <c r="AV294" i="10"/>
  <c r="H294" i="9"/>
  <c r="W294" i="9"/>
  <c r="AL294" i="9"/>
  <c r="I294" i="9"/>
  <c r="X294" i="9"/>
  <c r="AM294" i="9"/>
  <c r="J294" i="9"/>
  <c r="Y294" i="9"/>
  <c r="AN294" i="9"/>
  <c r="K294" i="9"/>
  <c r="Z294" i="9"/>
  <c r="AO294" i="9"/>
  <c r="L294" i="9"/>
  <c r="AA294" i="9"/>
  <c r="AP294" i="9"/>
  <c r="M294" i="9"/>
  <c r="AB294" i="9"/>
  <c r="AQ294" i="9"/>
  <c r="N294" i="9"/>
  <c r="AC294" i="9"/>
  <c r="AR294" i="9"/>
  <c r="O294" i="9"/>
  <c r="AD294" i="9"/>
  <c r="AS294" i="9"/>
  <c r="P294" i="9"/>
  <c r="AE294" i="9"/>
  <c r="AT294" i="9"/>
  <c r="Q294" i="9"/>
  <c r="AF294" i="9"/>
  <c r="AU294" i="9"/>
  <c r="R294" i="9"/>
  <c r="AG294" i="9"/>
  <c r="AV294" i="9"/>
  <c r="H293" i="7"/>
  <c r="W293" i="7"/>
  <c r="AL293" i="7"/>
  <c r="I293" i="7"/>
  <c r="X293" i="7"/>
  <c r="AM293" i="7"/>
  <c r="J293" i="7"/>
  <c r="Y293" i="7"/>
  <c r="AN293" i="7"/>
  <c r="K293" i="7"/>
  <c r="Z293" i="7"/>
  <c r="AO293" i="7"/>
  <c r="L293" i="7"/>
  <c r="AA293" i="7"/>
  <c r="AP293" i="7"/>
  <c r="N293" i="7"/>
  <c r="AC293" i="7"/>
  <c r="AR293" i="7"/>
  <c r="O293" i="7"/>
  <c r="AD293" i="7"/>
  <c r="AS293" i="7"/>
  <c r="P293" i="7"/>
  <c r="AE293" i="7"/>
  <c r="AT293" i="7"/>
  <c r="Q293" i="7"/>
  <c r="AF293" i="7"/>
  <c r="AU293" i="7"/>
  <c r="R293" i="7"/>
  <c r="AG293" i="7"/>
  <c r="AV293" i="7"/>
  <c r="I293" i="8"/>
  <c r="X293" i="8"/>
  <c r="AM293" i="8"/>
  <c r="AN293" i="8"/>
  <c r="J293" i="8"/>
  <c r="Y293" i="8"/>
  <c r="AP293" i="8"/>
  <c r="L293" i="8"/>
  <c r="AA293" i="8"/>
  <c r="AR293" i="8"/>
  <c r="AC293" i="8"/>
  <c r="N293" i="8"/>
  <c r="P293" i="8"/>
  <c r="AE293" i="8"/>
  <c r="AT293" i="8"/>
  <c r="Q293" i="8"/>
  <c r="AF293" i="8"/>
  <c r="AU293" i="8"/>
  <c r="H293" i="8"/>
  <c r="W293" i="8"/>
  <c r="AL293" i="8"/>
  <c r="K293" i="8"/>
  <c r="Z293" i="8"/>
  <c r="AO293" i="8"/>
  <c r="AQ293" i="8"/>
  <c r="M293" i="8"/>
  <c r="AB293" i="8"/>
  <c r="AD293" i="8"/>
  <c r="O293" i="8"/>
  <c r="AS293" i="8"/>
  <c r="AV293" i="8"/>
  <c r="R293" i="8"/>
  <c r="AG293" i="8"/>
  <c r="M293" i="7"/>
  <c r="AB293" i="7"/>
  <c r="AQ293" i="7"/>
  <c r="D281" i="8"/>
  <c r="S281" i="8"/>
  <c r="AH281" i="8"/>
  <c r="E269" i="8"/>
  <c r="T269" i="8"/>
  <c r="AI269" i="8"/>
  <c r="D264" i="9"/>
  <c r="S264" i="9"/>
  <c r="AH264" i="9"/>
  <c r="D241" i="7"/>
  <c r="S241" i="7"/>
  <c r="AH241" i="7"/>
  <c r="G238" i="9"/>
  <c r="V238" i="9"/>
  <c r="AK238" i="9"/>
  <c r="G234" i="10"/>
  <c r="V234" i="10"/>
  <c r="AK234" i="10"/>
  <c r="D219" i="10"/>
  <c r="S219" i="10"/>
  <c r="AH219" i="10"/>
  <c r="E221" i="9"/>
  <c r="T221" i="9"/>
  <c r="AI221" i="9"/>
  <c r="AY223" i="8"/>
  <c r="C223" i="8"/>
  <c r="AX224" i="8"/>
  <c r="AW223" i="8"/>
  <c r="G224" i="8"/>
  <c r="V224" i="8"/>
  <c r="AK224" i="8"/>
  <c r="E213" i="10"/>
  <c r="T213" i="10"/>
  <c r="AI213" i="10"/>
  <c r="C205" i="9"/>
  <c r="AY205" i="9"/>
  <c r="AW205" i="9"/>
  <c r="AX206" i="9"/>
  <c r="F206" i="9"/>
  <c r="U206" i="9"/>
  <c r="AJ206" i="9"/>
  <c r="AY195" i="10"/>
  <c r="C195" i="10"/>
  <c r="AW195" i="10"/>
  <c r="AX196" i="10"/>
  <c r="F196" i="10"/>
  <c r="U196" i="10"/>
  <c r="AJ196" i="10"/>
  <c r="G135" i="7"/>
  <c r="V135" i="7"/>
  <c r="AK135" i="7"/>
  <c r="E101" i="7"/>
  <c r="T101" i="7"/>
  <c r="AI101" i="7"/>
  <c r="AY94" i="7"/>
  <c r="C94" i="7"/>
  <c r="AX95" i="7"/>
  <c r="AW94" i="7"/>
  <c r="F95" i="7"/>
  <c r="U95" i="7"/>
  <c r="AJ95" i="7"/>
  <c r="AJ238" i="8" l="1"/>
  <c r="F238" i="8"/>
  <c r="U238" i="8"/>
  <c r="H295" i="10"/>
  <c r="W295" i="10"/>
  <c r="AL295" i="10"/>
  <c r="I295" i="10"/>
  <c r="X295" i="10"/>
  <c r="AM295" i="10"/>
  <c r="J295" i="10"/>
  <c r="Y295" i="10"/>
  <c r="AN295" i="10"/>
  <c r="Z295" i="10"/>
  <c r="AO295" i="10"/>
  <c r="K295" i="10"/>
  <c r="AA295" i="10"/>
  <c r="AP295" i="10"/>
  <c r="L295" i="10"/>
  <c r="AQ295" i="10"/>
  <c r="M295" i="10"/>
  <c r="AB295" i="10"/>
  <c r="N295" i="10"/>
  <c r="AR295" i="10"/>
  <c r="AC295" i="10"/>
  <c r="O295" i="10"/>
  <c r="AD295" i="10"/>
  <c r="AS295" i="10"/>
  <c r="P295" i="10"/>
  <c r="AT295" i="10"/>
  <c r="AE295" i="10"/>
  <c r="Q295" i="10"/>
  <c r="AF295" i="10"/>
  <c r="AU295" i="10"/>
  <c r="AG295" i="10"/>
  <c r="AV295" i="10"/>
  <c r="R295" i="10"/>
  <c r="H295" i="9"/>
  <c r="W295" i="9"/>
  <c r="AL295" i="9"/>
  <c r="I295" i="9"/>
  <c r="X295" i="9"/>
  <c r="AM295" i="9"/>
  <c r="J295" i="9"/>
  <c r="Y295" i="9"/>
  <c r="AN295" i="9"/>
  <c r="K295" i="9"/>
  <c r="Z295" i="9"/>
  <c r="AO295" i="9"/>
  <c r="L295" i="9"/>
  <c r="AA295" i="9"/>
  <c r="AP295" i="9"/>
  <c r="M295" i="9"/>
  <c r="AB295" i="9"/>
  <c r="AQ295" i="9"/>
  <c r="N295" i="9"/>
  <c r="AC295" i="9"/>
  <c r="AR295" i="9"/>
  <c r="O295" i="9"/>
  <c r="AD295" i="9"/>
  <c r="AS295" i="9"/>
  <c r="P295" i="9"/>
  <c r="AE295" i="9"/>
  <c r="AT295" i="9"/>
  <c r="Q295" i="9"/>
  <c r="AF295" i="9"/>
  <c r="AU295" i="9"/>
  <c r="R295" i="9"/>
  <c r="AG295" i="9"/>
  <c r="AV295" i="9"/>
  <c r="H294" i="7"/>
  <c r="W294" i="7"/>
  <c r="AL294" i="7"/>
  <c r="I294" i="7"/>
  <c r="X294" i="7"/>
  <c r="AM294" i="7"/>
  <c r="J294" i="7"/>
  <c r="Y294" i="7"/>
  <c r="AN294" i="7"/>
  <c r="K294" i="7"/>
  <c r="Z294" i="7"/>
  <c r="AO294" i="7"/>
  <c r="L294" i="7"/>
  <c r="AA294" i="7"/>
  <c r="AP294" i="7"/>
  <c r="N294" i="7"/>
  <c r="AC294" i="7"/>
  <c r="AR294" i="7"/>
  <c r="O294" i="7"/>
  <c r="AD294" i="7"/>
  <c r="AS294" i="7"/>
  <c r="P294" i="7"/>
  <c r="AE294" i="7"/>
  <c r="AT294" i="7"/>
  <c r="Q294" i="7"/>
  <c r="AF294" i="7"/>
  <c r="AU294" i="7"/>
  <c r="R294" i="7"/>
  <c r="AG294" i="7"/>
  <c r="AV294" i="7"/>
  <c r="I294" i="8"/>
  <c r="X294" i="8"/>
  <c r="AM294" i="8"/>
  <c r="J294" i="8"/>
  <c r="AN294" i="8"/>
  <c r="Y294" i="8"/>
  <c r="AP294" i="8"/>
  <c r="L294" i="8"/>
  <c r="AA294" i="8"/>
  <c r="AC294" i="8"/>
  <c r="N294" i="8"/>
  <c r="AR294" i="8"/>
  <c r="AT294" i="8"/>
  <c r="AE294" i="8"/>
  <c r="P294" i="8"/>
  <c r="AF294" i="8"/>
  <c r="AU294" i="8"/>
  <c r="Q294" i="8"/>
  <c r="AL294" i="8"/>
  <c r="H294" i="8"/>
  <c r="W294" i="8"/>
  <c r="Z294" i="8"/>
  <c r="AO294" i="8"/>
  <c r="K294" i="8"/>
  <c r="M294" i="8"/>
  <c r="AQ294" i="8"/>
  <c r="AB294" i="8"/>
  <c r="AS294" i="8"/>
  <c r="O294" i="8"/>
  <c r="AD294" i="8"/>
  <c r="R294" i="8"/>
  <c r="AV294" i="8"/>
  <c r="AG294" i="8"/>
  <c r="M294" i="7"/>
  <c r="AB294" i="7"/>
  <c r="AQ294" i="7"/>
  <c r="D282" i="8"/>
  <c r="S282" i="8"/>
  <c r="AH282" i="8"/>
  <c r="E270" i="8"/>
  <c r="T270" i="8"/>
  <c r="AI270" i="8"/>
  <c r="D265" i="9"/>
  <c r="S265" i="9"/>
  <c r="AH265" i="9"/>
  <c r="D242" i="7"/>
  <c r="S242" i="7"/>
  <c r="AH242" i="7"/>
  <c r="G239" i="9"/>
  <c r="V239" i="9"/>
  <c r="AK239" i="9"/>
  <c r="G235" i="10"/>
  <c r="V235" i="10"/>
  <c r="AK235" i="10"/>
  <c r="D220" i="10"/>
  <c r="S220" i="10"/>
  <c r="AH220" i="10"/>
  <c r="E222" i="9"/>
  <c r="T222" i="9"/>
  <c r="AI222" i="9"/>
  <c r="AY224" i="8"/>
  <c r="C224" i="8"/>
  <c r="AX225" i="8"/>
  <c r="AW224" i="8"/>
  <c r="AK225" i="8"/>
  <c r="G225" i="8"/>
  <c r="V225" i="8"/>
  <c r="E214" i="10"/>
  <c r="T214" i="10"/>
  <c r="AI214" i="10"/>
  <c r="C206" i="9"/>
  <c r="AY206" i="9"/>
  <c r="AW206" i="9"/>
  <c r="AX207" i="9"/>
  <c r="F207" i="9"/>
  <c r="U207" i="9"/>
  <c r="AJ207" i="9"/>
  <c r="AY196" i="10"/>
  <c r="C196" i="10"/>
  <c r="AW196" i="10"/>
  <c r="AX197" i="10"/>
  <c r="F197" i="10"/>
  <c r="U197" i="10"/>
  <c r="AJ197" i="10"/>
  <c r="G136" i="7"/>
  <c r="V136" i="7"/>
  <c r="AK136" i="7"/>
  <c r="E102" i="7"/>
  <c r="T102" i="7"/>
  <c r="AI102" i="7"/>
  <c r="AY95" i="7"/>
  <c r="C95" i="7"/>
  <c r="AW95" i="7"/>
  <c r="AX96" i="7"/>
  <c r="F96" i="7"/>
  <c r="U96" i="7"/>
  <c r="AJ96" i="7"/>
  <c r="AJ239" i="8" l="1"/>
  <c r="U239" i="8"/>
  <c r="F239" i="8"/>
  <c r="H296" i="10"/>
  <c r="W296" i="10"/>
  <c r="AL296" i="10"/>
  <c r="I296" i="10"/>
  <c r="AM296" i="10"/>
  <c r="X296" i="10"/>
  <c r="J296" i="10"/>
  <c r="Y296" i="10"/>
  <c r="AN296" i="10"/>
  <c r="K296" i="10"/>
  <c r="Z296" i="10"/>
  <c r="AO296" i="10"/>
  <c r="L296" i="10"/>
  <c r="AA296" i="10"/>
  <c r="AP296" i="10"/>
  <c r="M296" i="10"/>
  <c r="AB296" i="10"/>
  <c r="AQ296" i="10"/>
  <c r="AC296" i="10"/>
  <c r="AR296" i="10"/>
  <c r="N296" i="10"/>
  <c r="AD296" i="10"/>
  <c r="O296" i="10"/>
  <c r="AS296" i="10"/>
  <c r="P296" i="10"/>
  <c r="AE296" i="10"/>
  <c r="AT296" i="10"/>
  <c r="Q296" i="10"/>
  <c r="AF296" i="10"/>
  <c r="AU296" i="10"/>
  <c r="R296" i="10"/>
  <c r="AG296" i="10"/>
  <c r="AV296" i="10"/>
  <c r="H296" i="9"/>
  <c r="W296" i="9"/>
  <c r="AL296" i="9"/>
  <c r="I296" i="9"/>
  <c r="X296" i="9"/>
  <c r="AM296" i="9"/>
  <c r="J296" i="9"/>
  <c r="Y296" i="9"/>
  <c r="AN296" i="9"/>
  <c r="K296" i="9"/>
  <c r="Z296" i="9"/>
  <c r="AO296" i="9"/>
  <c r="L296" i="9"/>
  <c r="AA296" i="9"/>
  <c r="AP296" i="9"/>
  <c r="M296" i="9"/>
  <c r="AB296" i="9"/>
  <c r="AQ296" i="9"/>
  <c r="N296" i="9"/>
  <c r="AC296" i="9"/>
  <c r="AR296" i="9"/>
  <c r="O296" i="9"/>
  <c r="AD296" i="9"/>
  <c r="AS296" i="9"/>
  <c r="P296" i="9"/>
  <c r="AE296" i="9"/>
  <c r="AT296" i="9"/>
  <c r="Q296" i="9"/>
  <c r="AF296" i="9"/>
  <c r="AU296" i="9"/>
  <c r="R296" i="9"/>
  <c r="AG296" i="9"/>
  <c r="AV296" i="9"/>
  <c r="H295" i="7"/>
  <c r="W295" i="7"/>
  <c r="AL295" i="7"/>
  <c r="I295" i="7"/>
  <c r="X295" i="7"/>
  <c r="AM295" i="7"/>
  <c r="J295" i="7"/>
  <c r="Y295" i="7"/>
  <c r="AN295" i="7"/>
  <c r="K295" i="7"/>
  <c r="Z295" i="7"/>
  <c r="AO295" i="7"/>
  <c r="L295" i="7"/>
  <c r="AA295" i="7"/>
  <c r="AP295" i="7"/>
  <c r="N295" i="7"/>
  <c r="AC295" i="7"/>
  <c r="AR295" i="7"/>
  <c r="O295" i="7"/>
  <c r="AD295" i="7"/>
  <c r="AS295" i="7"/>
  <c r="P295" i="7"/>
  <c r="AE295" i="7"/>
  <c r="AT295" i="7"/>
  <c r="Q295" i="7"/>
  <c r="AF295" i="7"/>
  <c r="AU295" i="7"/>
  <c r="R295" i="7"/>
  <c r="AG295" i="7"/>
  <c r="AV295" i="7"/>
  <c r="AM295" i="8"/>
  <c r="I295" i="8"/>
  <c r="X295" i="8"/>
  <c r="Y295" i="8"/>
  <c r="AN295" i="8"/>
  <c r="J295" i="8"/>
  <c r="AA295" i="8"/>
  <c r="L295" i="8"/>
  <c r="AP295" i="8"/>
  <c r="N295" i="8"/>
  <c r="AC295" i="8"/>
  <c r="AR295" i="8"/>
  <c r="AT295" i="8"/>
  <c r="P295" i="8"/>
  <c r="AE295" i="8"/>
  <c r="Q295" i="8"/>
  <c r="AF295" i="8"/>
  <c r="AU295" i="8"/>
  <c r="W295" i="8"/>
  <c r="AL295" i="8"/>
  <c r="H295" i="8"/>
  <c r="Z295" i="8"/>
  <c r="K295" i="8"/>
  <c r="AO295" i="8"/>
  <c r="M295" i="8"/>
  <c r="AQ295" i="8"/>
  <c r="AB295" i="8"/>
  <c r="O295" i="8"/>
  <c r="AD295" i="8"/>
  <c r="AS295" i="8"/>
  <c r="AG295" i="8"/>
  <c r="AV295" i="8"/>
  <c r="R295" i="8"/>
  <c r="M295" i="7"/>
  <c r="AB295" i="7"/>
  <c r="AQ295" i="7"/>
  <c r="D283" i="8"/>
  <c r="S283" i="8"/>
  <c r="AH283" i="8"/>
  <c r="E271" i="8"/>
  <c r="T271" i="8"/>
  <c r="AI271" i="8"/>
  <c r="D266" i="9"/>
  <c r="S266" i="9"/>
  <c r="AH266" i="9"/>
  <c r="D243" i="7"/>
  <c r="S243" i="7"/>
  <c r="AH243" i="7"/>
  <c r="G240" i="9"/>
  <c r="V240" i="9"/>
  <c r="AK240" i="9"/>
  <c r="G236" i="10"/>
  <c r="V236" i="10"/>
  <c r="AK236" i="10"/>
  <c r="D221" i="10"/>
  <c r="S221" i="10"/>
  <c r="AH221" i="10"/>
  <c r="E223" i="9"/>
  <c r="T223" i="9"/>
  <c r="AI223" i="9"/>
  <c r="AW225" i="8"/>
  <c r="W78" i="2" s="1"/>
  <c r="AX226" i="8"/>
  <c r="G226" i="8"/>
  <c r="V226" i="8"/>
  <c r="AK226" i="8"/>
  <c r="AY225" i="8"/>
  <c r="C225" i="8"/>
  <c r="E215" i="10"/>
  <c r="T215" i="10"/>
  <c r="AI215" i="10"/>
  <c r="C207" i="9"/>
  <c r="AY207" i="9"/>
  <c r="AX208" i="9"/>
  <c r="AW207" i="9"/>
  <c r="F208" i="9"/>
  <c r="U208" i="9"/>
  <c r="AJ208" i="9"/>
  <c r="AY197" i="10"/>
  <c r="C197" i="10"/>
  <c r="AW197" i="10"/>
  <c r="AX198" i="10"/>
  <c r="F198" i="10"/>
  <c r="U198" i="10"/>
  <c r="AJ198" i="10"/>
  <c r="G137" i="7"/>
  <c r="V137" i="7"/>
  <c r="AK137" i="7"/>
  <c r="E103" i="7"/>
  <c r="T103" i="7"/>
  <c r="AI103" i="7"/>
  <c r="C96" i="7"/>
  <c r="AY96" i="7"/>
  <c r="AW96" i="7"/>
  <c r="X35" i="2" s="1"/>
  <c r="AX97" i="7"/>
  <c r="F97" i="7"/>
  <c r="U97" i="7"/>
  <c r="AJ97" i="7"/>
  <c r="AJ240" i="8" l="1"/>
  <c r="F240" i="8"/>
  <c r="U240" i="8"/>
  <c r="H297" i="10"/>
  <c r="W297" i="10"/>
  <c r="AL297" i="10"/>
  <c r="I297" i="10"/>
  <c r="AM297" i="10"/>
  <c r="X297" i="10"/>
  <c r="AN297" i="10"/>
  <c r="J297" i="10"/>
  <c r="Y297" i="10"/>
  <c r="K297" i="10"/>
  <c r="Z297" i="10"/>
  <c r="AO297" i="10"/>
  <c r="L297" i="10"/>
  <c r="AA297" i="10"/>
  <c r="AP297" i="10"/>
  <c r="AQ297" i="10"/>
  <c r="M297" i="10"/>
  <c r="AB297" i="10"/>
  <c r="N297" i="10"/>
  <c r="AC297" i="10"/>
  <c r="AR297" i="10"/>
  <c r="O297" i="10"/>
  <c r="AD297" i="10"/>
  <c r="AS297" i="10"/>
  <c r="AE297" i="10"/>
  <c r="AT297" i="10"/>
  <c r="P297" i="10"/>
  <c r="Q297" i="10"/>
  <c r="AU297" i="10"/>
  <c r="AF297" i="10"/>
  <c r="AG297" i="10"/>
  <c r="AV297" i="10"/>
  <c r="R297" i="10"/>
  <c r="H297" i="9"/>
  <c r="W297" i="9"/>
  <c r="AL297" i="9"/>
  <c r="I297" i="9"/>
  <c r="X297" i="9"/>
  <c r="AM297" i="9"/>
  <c r="J297" i="9"/>
  <c r="Y297" i="9"/>
  <c r="AN297" i="9"/>
  <c r="K297" i="9"/>
  <c r="Z297" i="9"/>
  <c r="AO297" i="9"/>
  <c r="L297" i="9"/>
  <c r="AA297" i="9"/>
  <c r="AP297" i="9"/>
  <c r="M297" i="9"/>
  <c r="AB297" i="9"/>
  <c r="AQ297" i="9"/>
  <c r="N297" i="9"/>
  <c r="AC297" i="9"/>
  <c r="AR297" i="9"/>
  <c r="O297" i="9"/>
  <c r="AD297" i="9"/>
  <c r="AS297" i="9"/>
  <c r="P297" i="9"/>
  <c r="AE297" i="9"/>
  <c r="AT297" i="9"/>
  <c r="Q297" i="9"/>
  <c r="AF297" i="9"/>
  <c r="AU297" i="9"/>
  <c r="R297" i="9"/>
  <c r="AG297" i="9"/>
  <c r="AV297" i="9"/>
  <c r="H296" i="7"/>
  <c r="W296" i="7"/>
  <c r="AL296" i="7"/>
  <c r="I296" i="7"/>
  <c r="X296" i="7"/>
  <c r="AM296" i="7"/>
  <c r="J296" i="7"/>
  <c r="Y296" i="7"/>
  <c r="AN296" i="7"/>
  <c r="K296" i="7"/>
  <c r="Z296" i="7"/>
  <c r="AO296" i="7"/>
  <c r="L296" i="7"/>
  <c r="AA296" i="7"/>
  <c r="AP296" i="7"/>
  <c r="N296" i="7"/>
  <c r="AC296" i="7"/>
  <c r="AR296" i="7"/>
  <c r="O296" i="7"/>
  <c r="AD296" i="7"/>
  <c r="AS296" i="7"/>
  <c r="P296" i="7"/>
  <c r="AE296" i="7"/>
  <c r="AT296" i="7"/>
  <c r="Q296" i="7"/>
  <c r="AF296" i="7"/>
  <c r="AU296" i="7"/>
  <c r="R296" i="7"/>
  <c r="AG296" i="7"/>
  <c r="AV296" i="7"/>
  <c r="X296" i="8"/>
  <c r="I296" i="8"/>
  <c r="AM296" i="8"/>
  <c r="Y296" i="8"/>
  <c r="J296" i="8"/>
  <c r="AN296" i="8"/>
  <c r="L296" i="8"/>
  <c r="AA296" i="8"/>
  <c r="AP296" i="8"/>
  <c r="N296" i="8"/>
  <c r="AC296" i="8"/>
  <c r="AR296" i="8"/>
  <c r="AE296" i="8"/>
  <c r="P296" i="8"/>
  <c r="AT296" i="8"/>
  <c r="AF296" i="8"/>
  <c r="AU296" i="8"/>
  <c r="Q296" i="8"/>
  <c r="H296" i="8"/>
  <c r="W296" i="8"/>
  <c r="AL296" i="8"/>
  <c r="Z296" i="8"/>
  <c r="K296" i="8"/>
  <c r="AO296" i="8"/>
  <c r="M296" i="8"/>
  <c r="AB296" i="8"/>
  <c r="AQ296" i="8"/>
  <c r="AS296" i="8"/>
  <c r="O296" i="8"/>
  <c r="AD296" i="8"/>
  <c r="AG296" i="8"/>
  <c r="AV296" i="8"/>
  <c r="R296" i="8"/>
  <c r="M296" i="7"/>
  <c r="AB296" i="7"/>
  <c r="AQ296" i="7"/>
  <c r="D284" i="8"/>
  <c r="S284" i="8"/>
  <c r="AH284" i="8"/>
  <c r="E272" i="8"/>
  <c r="T272" i="8"/>
  <c r="AI272" i="8"/>
  <c r="D267" i="9"/>
  <c r="S267" i="9"/>
  <c r="AH267" i="9"/>
  <c r="D244" i="7"/>
  <c r="S244" i="7"/>
  <c r="AH244" i="7"/>
  <c r="G241" i="9"/>
  <c r="V241" i="9"/>
  <c r="AK241" i="9"/>
  <c r="G237" i="10"/>
  <c r="V237" i="10"/>
  <c r="AK237" i="10"/>
  <c r="D222" i="10"/>
  <c r="S222" i="10"/>
  <c r="AH222" i="10"/>
  <c r="E224" i="9"/>
  <c r="T224" i="9"/>
  <c r="AI224" i="9"/>
  <c r="AY226" i="8"/>
  <c r="C226" i="8"/>
  <c r="AW226" i="8"/>
  <c r="AX227" i="8"/>
  <c r="G227" i="8"/>
  <c r="V227" i="8"/>
  <c r="AK227" i="8"/>
  <c r="E216" i="10"/>
  <c r="T216" i="10"/>
  <c r="AI216" i="10"/>
  <c r="AY208" i="9"/>
  <c r="C208" i="9"/>
  <c r="AX209" i="9"/>
  <c r="AW208" i="9"/>
  <c r="F209" i="9"/>
  <c r="U209" i="9"/>
  <c r="AJ209" i="9"/>
  <c r="C198" i="10"/>
  <c r="AY198" i="10"/>
  <c r="AW198" i="10"/>
  <c r="AX199" i="10"/>
  <c r="F199" i="10"/>
  <c r="U199" i="10"/>
  <c r="AJ199" i="10"/>
  <c r="G138" i="7"/>
  <c r="V138" i="7"/>
  <c r="AK138" i="7"/>
  <c r="E104" i="7"/>
  <c r="T104" i="7"/>
  <c r="AI104" i="7"/>
  <c r="AY97" i="7"/>
  <c r="C97" i="7"/>
  <c r="AX98" i="7"/>
  <c r="AW97" i="7"/>
  <c r="F98" i="7"/>
  <c r="U98" i="7"/>
  <c r="AJ98" i="7"/>
  <c r="AJ241" i="8" l="1"/>
  <c r="U241" i="8"/>
  <c r="F241" i="8"/>
  <c r="AL298" i="10"/>
  <c r="H298" i="10"/>
  <c r="W298" i="10"/>
  <c r="I298" i="10"/>
  <c r="X298" i="10"/>
  <c r="AM298" i="10"/>
  <c r="J298" i="10"/>
  <c r="Y298" i="10"/>
  <c r="AN298" i="10"/>
  <c r="Z298" i="10"/>
  <c r="K298" i="10"/>
  <c r="AO298" i="10"/>
  <c r="L298" i="10"/>
  <c r="AA298" i="10"/>
  <c r="AP298" i="10"/>
  <c r="M298" i="10"/>
  <c r="AB298" i="10"/>
  <c r="AQ298" i="10"/>
  <c r="N298" i="10"/>
  <c r="AC298" i="10"/>
  <c r="AR298" i="10"/>
  <c r="AD298" i="10"/>
  <c r="AS298" i="10"/>
  <c r="O298" i="10"/>
  <c r="P298" i="10"/>
  <c r="AE298" i="10"/>
  <c r="AT298" i="10"/>
  <c r="Q298" i="10"/>
  <c r="AF298" i="10"/>
  <c r="AU298" i="10"/>
  <c r="R298" i="10"/>
  <c r="AG298" i="10"/>
  <c r="AV298" i="10"/>
  <c r="H298" i="9"/>
  <c r="W298" i="9"/>
  <c r="AL298" i="9"/>
  <c r="I298" i="9"/>
  <c r="X298" i="9"/>
  <c r="AM298" i="9"/>
  <c r="J298" i="9"/>
  <c r="Y298" i="9"/>
  <c r="AN298" i="9"/>
  <c r="K298" i="9"/>
  <c r="Z298" i="9"/>
  <c r="AO298" i="9"/>
  <c r="L298" i="9"/>
  <c r="AA298" i="9"/>
  <c r="AP298" i="9"/>
  <c r="M298" i="9"/>
  <c r="AB298" i="9"/>
  <c r="AQ298" i="9"/>
  <c r="N298" i="9"/>
  <c r="AC298" i="9"/>
  <c r="AR298" i="9"/>
  <c r="O298" i="9"/>
  <c r="AD298" i="9"/>
  <c r="AS298" i="9"/>
  <c r="P298" i="9"/>
  <c r="AE298" i="9"/>
  <c r="AT298" i="9"/>
  <c r="Q298" i="9"/>
  <c r="AF298" i="9"/>
  <c r="AU298" i="9"/>
  <c r="R298" i="9"/>
  <c r="AG298" i="9"/>
  <c r="AV298" i="9"/>
  <c r="H297" i="7"/>
  <c r="W297" i="7"/>
  <c r="AL297" i="7"/>
  <c r="I297" i="7"/>
  <c r="X297" i="7"/>
  <c r="AM297" i="7"/>
  <c r="J297" i="7"/>
  <c r="Y297" i="7"/>
  <c r="AN297" i="7"/>
  <c r="K297" i="7"/>
  <c r="Z297" i="7"/>
  <c r="AO297" i="7"/>
  <c r="L297" i="7"/>
  <c r="AA297" i="7"/>
  <c r="AP297" i="7"/>
  <c r="N297" i="7"/>
  <c r="AC297" i="7"/>
  <c r="AR297" i="7"/>
  <c r="O297" i="7"/>
  <c r="AD297" i="7"/>
  <c r="AS297" i="7"/>
  <c r="P297" i="7"/>
  <c r="AE297" i="7"/>
  <c r="AT297" i="7"/>
  <c r="Q297" i="7"/>
  <c r="AF297" i="7"/>
  <c r="AU297" i="7"/>
  <c r="R297" i="7"/>
  <c r="AG297" i="7"/>
  <c r="AV297" i="7"/>
  <c r="AM297" i="8"/>
  <c r="X297" i="8"/>
  <c r="I297" i="8"/>
  <c r="J297" i="8"/>
  <c r="AN297" i="8"/>
  <c r="Y297" i="8"/>
  <c r="AA297" i="8"/>
  <c r="L297" i="8"/>
  <c r="AP297" i="8"/>
  <c r="N297" i="8"/>
  <c r="AC297" i="8"/>
  <c r="AR297" i="8"/>
  <c r="P297" i="8"/>
  <c r="AT297" i="8"/>
  <c r="AE297" i="8"/>
  <c r="AF297" i="8"/>
  <c r="Q297" i="8"/>
  <c r="AU297" i="8"/>
  <c r="H297" i="8"/>
  <c r="AL297" i="8"/>
  <c r="W297" i="8"/>
  <c r="Z297" i="8"/>
  <c r="AO297" i="8"/>
  <c r="K297" i="8"/>
  <c r="AB297" i="8"/>
  <c r="AQ297" i="8"/>
  <c r="M297" i="8"/>
  <c r="AS297" i="8"/>
  <c r="AD297" i="8"/>
  <c r="O297" i="8"/>
  <c r="AV297" i="8"/>
  <c r="R297" i="8"/>
  <c r="AG297" i="8"/>
  <c r="M297" i="7"/>
  <c r="AB297" i="7"/>
  <c r="AQ297" i="7"/>
  <c r="D285" i="8"/>
  <c r="S285" i="8"/>
  <c r="AH285" i="8"/>
  <c r="E273" i="8"/>
  <c r="T273" i="8"/>
  <c r="AI273" i="8"/>
  <c r="D268" i="9"/>
  <c r="S268" i="9"/>
  <c r="AH268" i="9"/>
  <c r="D245" i="7"/>
  <c r="S245" i="7"/>
  <c r="AH245" i="7"/>
  <c r="G242" i="9"/>
  <c r="V242" i="9"/>
  <c r="AK242" i="9"/>
  <c r="G238" i="10"/>
  <c r="V238" i="10"/>
  <c r="AK238" i="10"/>
  <c r="D223" i="10"/>
  <c r="S223" i="10"/>
  <c r="AH223" i="10"/>
  <c r="E225" i="9"/>
  <c r="T225" i="9"/>
  <c r="AI225" i="9"/>
  <c r="C227" i="8"/>
  <c r="AY227" i="8"/>
  <c r="AX228" i="8"/>
  <c r="AW227" i="8"/>
  <c r="AK228" i="8"/>
  <c r="G228" i="8"/>
  <c r="V228" i="8"/>
  <c r="E217" i="10"/>
  <c r="T217" i="10"/>
  <c r="AI217" i="10"/>
  <c r="C209" i="9"/>
  <c r="AY209" i="9"/>
  <c r="AW209" i="9"/>
  <c r="AX210" i="9"/>
  <c r="F210" i="9"/>
  <c r="U210" i="9"/>
  <c r="AJ210" i="9"/>
  <c r="C199" i="10"/>
  <c r="AY199" i="10"/>
  <c r="AW199" i="10"/>
  <c r="AX200" i="10"/>
  <c r="F200" i="10"/>
  <c r="U200" i="10"/>
  <c r="AJ200" i="10"/>
  <c r="G139" i="7"/>
  <c r="V139" i="7"/>
  <c r="AK139" i="7"/>
  <c r="E105" i="7"/>
  <c r="T105" i="7"/>
  <c r="AI105" i="7"/>
  <c r="AY98" i="7"/>
  <c r="C98" i="7"/>
  <c r="AW98" i="7"/>
  <c r="AX99" i="7"/>
  <c r="F99" i="7"/>
  <c r="U99" i="7"/>
  <c r="AJ99" i="7"/>
  <c r="AJ242" i="8" l="1"/>
  <c r="U242" i="8"/>
  <c r="F242" i="8"/>
  <c r="H299" i="10"/>
  <c r="W299" i="10"/>
  <c r="AL299" i="10"/>
  <c r="AM299" i="10"/>
  <c r="I299" i="10"/>
  <c r="X299" i="10"/>
  <c r="J299" i="10"/>
  <c r="Y299" i="10"/>
  <c r="AN299" i="10"/>
  <c r="Z299" i="10"/>
  <c r="K299" i="10"/>
  <c r="AO299" i="10"/>
  <c r="L299" i="10"/>
  <c r="AA299" i="10"/>
  <c r="AP299" i="10"/>
  <c r="M299" i="10"/>
  <c r="AB299" i="10"/>
  <c r="AQ299" i="10"/>
  <c r="N299" i="10"/>
  <c r="AC299" i="10"/>
  <c r="AR299" i="10"/>
  <c r="O299" i="10"/>
  <c r="AD299" i="10"/>
  <c r="AS299" i="10"/>
  <c r="AE299" i="10"/>
  <c r="AT299" i="10"/>
  <c r="P299" i="10"/>
  <c r="Q299" i="10"/>
  <c r="AF299" i="10"/>
  <c r="AU299" i="10"/>
  <c r="AG299" i="10"/>
  <c r="R299" i="10"/>
  <c r="AV299" i="10"/>
  <c r="H299" i="9"/>
  <c r="W299" i="9"/>
  <c r="AL299" i="9"/>
  <c r="I299" i="9"/>
  <c r="X299" i="9"/>
  <c r="AM299" i="9"/>
  <c r="J299" i="9"/>
  <c r="Y299" i="9"/>
  <c r="AN299" i="9"/>
  <c r="K299" i="9"/>
  <c r="Z299" i="9"/>
  <c r="AO299" i="9"/>
  <c r="L299" i="9"/>
  <c r="AA299" i="9"/>
  <c r="AP299" i="9"/>
  <c r="M299" i="9"/>
  <c r="AB299" i="9"/>
  <c r="AQ299" i="9"/>
  <c r="N299" i="9"/>
  <c r="AC299" i="9"/>
  <c r="AR299" i="9"/>
  <c r="O299" i="9"/>
  <c r="AD299" i="9"/>
  <c r="AS299" i="9"/>
  <c r="P299" i="9"/>
  <c r="AE299" i="9"/>
  <c r="AT299" i="9"/>
  <c r="Q299" i="9"/>
  <c r="AF299" i="9"/>
  <c r="AU299" i="9"/>
  <c r="R299" i="9"/>
  <c r="AG299" i="9"/>
  <c r="AV299" i="9"/>
  <c r="H298" i="7"/>
  <c r="W298" i="7"/>
  <c r="AL298" i="7"/>
  <c r="I298" i="7"/>
  <c r="X298" i="7"/>
  <c r="AM298" i="7"/>
  <c r="J298" i="7"/>
  <c r="Y298" i="7"/>
  <c r="AN298" i="7"/>
  <c r="K298" i="7"/>
  <c r="Z298" i="7"/>
  <c r="AO298" i="7"/>
  <c r="L298" i="7"/>
  <c r="AA298" i="7"/>
  <c r="AP298" i="7"/>
  <c r="N298" i="7"/>
  <c r="AC298" i="7"/>
  <c r="AR298" i="7"/>
  <c r="O298" i="7"/>
  <c r="AD298" i="7"/>
  <c r="AS298" i="7"/>
  <c r="P298" i="7"/>
  <c r="AE298" i="7"/>
  <c r="AT298" i="7"/>
  <c r="Q298" i="7"/>
  <c r="AF298" i="7"/>
  <c r="AU298" i="7"/>
  <c r="R298" i="7"/>
  <c r="AG298" i="7"/>
  <c r="AV298" i="7"/>
  <c r="AM298" i="8"/>
  <c r="X298" i="8"/>
  <c r="I298" i="8"/>
  <c r="AN298" i="8"/>
  <c r="Y298" i="8"/>
  <c r="J298" i="8"/>
  <c r="AA298" i="8"/>
  <c r="AP298" i="8"/>
  <c r="L298" i="8"/>
  <c r="N298" i="8"/>
  <c r="AR298" i="8"/>
  <c r="AC298" i="8"/>
  <c r="AT298" i="8"/>
  <c r="AE298" i="8"/>
  <c r="P298" i="8"/>
  <c r="AF298" i="8"/>
  <c r="AU298" i="8"/>
  <c r="Q298" i="8"/>
  <c r="AL298" i="8"/>
  <c r="H298" i="8"/>
  <c r="W298" i="8"/>
  <c r="Z298" i="8"/>
  <c r="AO298" i="8"/>
  <c r="K298" i="8"/>
  <c r="M298" i="8"/>
  <c r="AQ298" i="8"/>
  <c r="AB298" i="8"/>
  <c r="O298" i="8"/>
  <c r="AD298" i="8"/>
  <c r="AS298" i="8"/>
  <c r="AV298" i="8"/>
  <c r="AG298" i="8"/>
  <c r="R298" i="8"/>
  <c r="M298" i="7"/>
  <c r="AB298" i="7"/>
  <c r="AQ298" i="7"/>
  <c r="D286" i="8"/>
  <c r="S286" i="8"/>
  <c r="AH286" i="8"/>
  <c r="E274" i="8"/>
  <c r="T274" i="8"/>
  <c r="AI274" i="8"/>
  <c r="D269" i="9"/>
  <c r="S269" i="9"/>
  <c r="AH269" i="9"/>
  <c r="D246" i="7"/>
  <c r="S246" i="7"/>
  <c r="AH246" i="7"/>
  <c r="G243" i="9"/>
  <c r="V243" i="9"/>
  <c r="AK243" i="9"/>
  <c r="G239" i="10"/>
  <c r="V239" i="10"/>
  <c r="AK239" i="10"/>
  <c r="D224" i="10"/>
  <c r="S224" i="10"/>
  <c r="AH224" i="10"/>
  <c r="E226" i="9"/>
  <c r="T226" i="9"/>
  <c r="AI226" i="9"/>
  <c r="AW228" i="8"/>
  <c r="W79" i="2" s="1"/>
  <c r="AX229" i="8"/>
  <c r="G229" i="8"/>
  <c r="V229" i="8"/>
  <c r="AK229" i="8"/>
  <c r="AY228" i="8"/>
  <c r="C228" i="8"/>
  <c r="E218" i="10"/>
  <c r="T218" i="10"/>
  <c r="AI218" i="10"/>
  <c r="C210" i="9"/>
  <c r="AY210" i="9"/>
  <c r="AW210" i="9"/>
  <c r="AX211" i="9"/>
  <c r="F211" i="9"/>
  <c r="U211" i="9"/>
  <c r="AJ211" i="9"/>
  <c r="C200" i="10"/>
  <c r="AY200" i="10"/>
  <c r="AW200" i="10"/>
  <c r="AX201" i="10"/>
  <c r="F201" i="10"/>
  <c r="U201" i="10"/>
  <c r="AJ201" i="10"/>
  <c r="G140" i="7"/>
  <c r="V140" i="7"/>
  <c r="AK140" i="7"/>
  <c r="E106" i="7"/>
  <c r="T106" i="7"/>
  <c r="AI106" i="7"/>
  <c r="AY99" i="7"/>
  <c r="C99" i="7"/>
  <c r="AX100" i="7"/>
  <c r="AW99" i="7"/>
  <c r="X36" i="2" s="1"/>
  <c r="F100" i="7"/>
  <c r="U100" i="7"/>
  <c r="AJ100" i="7"/>
  <c r="AJ243" i="8" l="1"/>
  <c r="U243" i="8"/>
  <c r="F243" i="8"/>
  <c r="H300" i="10"/>
  <c r="AL300" i="10"/>
  <c r="W300" i="10"/>
  <c r="I300" i="10"/>
  <c r="X300" i="10"/>
  <c r="AM300" i="10"/>
  <c r="J300" i="10"/>
  <c r="Y300" i="10"/>
  <c r="AN300" i="10"/>
  <c r="K300" i="10"/>
  <c r="Z300" i="10"/>
  <c r="AO300" i="10"/>
  <c r="L300" i="10"/>
  <c r="AA300" i="10"/>
  <c r="AP300" i="10"/>
  <c r="M300" i="10"/>
  <c r="AB300" i="10"/>
  <c r="AQ300" i="10"/>
  <c r="N300" i="10"/>
  <c r="AR300" i="10"/>
  <c r="AC300" i="10"/>
  <c r="AS300" i="10"/>
  <c r="O300" i="10"/>
  <c r="AD300" i="10"/>
  <c r="AE300" i="10"/>
  <c r="AT300" i="10"/>
  <c r="P300" i="10"/>
  <c r="Q300" i="10"/>
  <c r="AF300" i="10"/>
  <c r="AU300" i="10"/>
  <c r="R300" i="10"/>
  <c r="AV300" i="10"/>
  <c r="AG300" i="10"/>
  <c r="H300" i="9"/>
  <c r="W300" i="9"/>
  <c r="AL300" i="9"/>
  <c r="I300" i="9"/>
  <c r="X300" i="9"/>
  <c r="AM300" i="9"/>
  <c r="J300" i="9"/>
  <c r="Y300" i="9"/>
  <c r="AN300" i="9"/>
  <c r="K300" i="9"/>
  <c r="Z300" i="9"/>
  <c r="AO300" i="9"/>
  <c r="L300" i="9"/>
  <c r="AA300" i="9"/>
  <c r="AP300" i="9"/>
  <c r="M300" i="9"/>
  <c r="AB300" i="9"/>
  <c r="AQ300" i="9"/>
  <c r="N300" i="9"/>
  <c r="AC300" i="9"/>
  <c r="AR300" i="9"/>
  <c r="O300" i="9"/>
  <c r="AD300" i="9"/>
  <c r="AS300" i="9"/>
  <c r="P300" i="9"/>
  <c r="AE300" i="9"/>
  <c r="AT300" i="9"/>
  <c r="Q300" i="9"/>
  <c r="AF300" i="9"/>
  <c r="AU300" i="9"/>
  <c r="R300" i="9"/>
  <c r="AG300" i="9"/>
  <c r="AV300" i="9"/>
  <c r="H299" i="7"/>
  <c r="W299" i="7"/>
  <c r="AL299" i="7"/>
  <c r="I299" i="7"/>
  <c r="X299" i="7"/>
  <c r="AM299" i="7"/>
  <c r="J299" i="7"/>
  <c r="Y299" i="7"/>
  <c r="AN299" i="7"/>
  <c r="K299" i="7"/>
  <c r="Z299" i="7"/>
  <c r="AO299" i="7"/>
  <c r="L299" i="7"/>
  <c r="AA299" i="7"/>
  <c r="AP299" i="7"/>
  <c r="N299" i="7"/>
  <c r="AC299" i="7"/>
  <c r="AR299" i="7"/>
  <c r="O299" i="7"/>
  <c r="AD299" i="7"/>
  <c r="AS299" i="7"/>
  <c r="P299" i="7"/>
  <c r="AE299" i="7"/>
  <c r="AT299" i="7"/>
  <c r="Q299" i="7"/>
  <c r="AF299" i="7"/>
  <c r="AU299" i="7"/>
  <c r="R299" i="7"/>
  <c r="AG299" i="7"/>
  <c r="AV299" i="7"/>
  <c r="X299" i="8"/>
  <c r="I299" i="8"/>
  <c r="AM299" i="8"/>
  <c r="AN299" i="8"/>
  <c r="J299" i="8"/>
  <c r="Y299" i="8"/>
  <c r="L299" i="8"/>
  <c r="AP299" i="8"/>
  <c r="AA299" i="8"/>
  <c r="AC299" i="8"/>
  <c r="AR299" i="8"/>
  <c r="N299" i="8"/>
  <c r="AT299" i="8"/>
  <c r="P299" i="8"/>
  <c r="AE299" i="8"/>
  <c r="AU299" i="8"/>
  <c r="Q299" i="8"/>
  <c r="AF299" i="8"/>
  <c r="H299" i="8"/>
  <c r="W299" i="8"/>
  <c r="AL299" i="8"/>
  <c r="Z299" i="8"/>
  <c r="AO299" i="8"/>
  <c r="K299" i="8"/>
  <c r="M299" i="8"/>
  <c r="AB299" i="8"/>
  <c r="AQ299" i="8"/>
  <c r="AD299" i="8"/>
  <c r="O299" i="8"/>
  <c r="AS299" i="8"/>
  <c r="AV299" i="8"/>
  <c r="AG299" i="8"/>
  <c r="R299" i="8"/>
  <c r="M299" i="7"/>
  <c r="AB299" i="7"/>
  <c r="AQ299" i="7"/>
  <c r="D287" i="8"/>
  <c r="S287" i="8"/>
  <c r="AH287" i="8"/>
  <c r="E275" i="8"/>
  <c r="T275" i="8"/>
  <c r="AI275" i="8"/>
  <c r="D270" i="9"/>
  <c r="S270" i="9"/>
  <c r="AH270" i="9"/>
  <c r="D247" i="7"/>
  <c r="S247" i="7"/>
  <c r="AH247" i="7"/>
  <c r="G244" i="9"/>
  <c r="V244" i="9"/>
  <c r="AK244" i="9"/>
  <c r="G240" i="10"/>
  <c r="V240" i="10"/>
  <c r="AK240" i="10"/>
  <c r="D225" i="10"/>
  <c r="S225" i="10"/>
  <c r="AH225" i="10"/>
  <c r="E227" i="9"/>
  <c r="T227" i="9"/>
  <c r="AI227" i="9"/>
  <c r="C229" i="8"/>
  <c r="AY229" i="8"/>
  <c r="AW229" i="8"/>
  <c r="AX230" i="8"/>
  <c r="V230" i="8"/>
  <c r="G230" i="8"/>
  <c r="AK230" i="8"/>
  <c r="E219" i="10"/>
  <c r="T219" i="10"/>
  <c r="AI219" i="10"/>
  <c r="C211" i="9"/>
  <c r="AY211" i="9"/>
  <c r="AW211" i="9"/>
  <c r="AX212" i="9"/>
  <c r="F212" i="9"/>
  <c r="U212" i="9"/>
  <c r="AJ212" i="9"/>
  <c r="C201" i="10"/>
  <c r="AY201" i="10"/>
  <c r="AW201" i="10"/>
  <c r="AX202" i="10"/>
  <c r="F202" i="10"/>
  <c r="U202" i="10"/>
  <c r="AJ202" i="10"/>
  <c r="G141" i="7"/>
  <c r="V141" i="7"/>
  <c r="AK141" i="7"/>
  <c r="E107" i="7"/>
  <c r="T107" i="7"/>
  <c r="AI107" i="7"/>
  <c r="C100" i="7"/>
  <c r="AY100" i="7"/>
  <c r="AW100" i="7"/>
  <c r="AX101" i="7"/>
  <c r="F101" i="7"/>
  <c r="U101" i="7"/>
  <c r="AJ101" i="7"/>
  <c r="AJ244" i="8" l="1"/>
  <c r="U244" i="8"/>
  <c r="F244" i="8"/>
  <c r="H301" i="10"/>
  <c r="W301" i="10"/>
  <c r="AL301" i="10"/>
  <c r="X301" i="10"/>
  <c r="AM301" i="10"/>
  <c r="I301" i="10"/>
  <c r="Y301" i="10"/>
  <c r="AN301" i="10"/>
  <c r="J301" i="10"/>
  <c r="K301" i="10"/>
  <c r="Z301" i="10"/>
  <c r="AO301" i="10"/>
  <c r="L301" i="10"/>
  <c r="AA301" i="10"/>
  <c r="AP301" i="10"/>
  <c r="AB301" i="10"/>
  <c r="AQ301" i="10"/>
  <c r="M301" i="10"/>
  <c r="N301" i="10"/>
  <c r="AR301" i="10"/>
  <c r="AC301" i="10"/>
  <c r="O301" i="10"/>
  <c r="AD301" i="10"/>
  <c r="AS301" i="10"/>
  <c r="AE301" i="10"/>
  <c r="P301" i="10"/>
  <c r="AT301" i="10"/>
  <c r="Q301" i="10"/>
  <c r="AU301" i="10"/>
  <c r="AF301" i="10"/>
  <c r="AG301" i="10"/>
  <c r="AV301" i="10"/>
  <c r="R301" i="10"/>
  <c r="H301" i="9"/>
  <c r="W301" i="9"/>
  <c r="AL301" i="9"/>
  <c r="I301" i="9"/>
  <c r="X301" i="9"/>
  <c r="AM301" i="9"/>
  <c r="J301" i="9"/>
  <c r="Y301" i="9"/>
  <c r="AN301" i="9"/>
  <c r="K301" i="9"/>
  <c r="Z301" i="9"/>
  <c r="AO301" i="9"/>
  <c r="L301" i="9"/>
  <c r="AA301" i="9"/>
  <c r="AP301" i="9"/>
  <c r="M301" i="9"/>
  <c r="AB301" i="9"/>
  <c r="AQ301" i="9"/>
  <c r="N301" i="9"/>
  <c r="AC301" i="9"/>
  <c r="AR301" i="9"/>
  <c r="O301" i="9"/>
  <c r="AD301" i="9"/>
  <c r="AS301" i="9"/>
  <c r="P301" i="9"/>
  <c r="AE301" i="9"/>
  <c r="AT301" i="9"/>
  <c r="Q301" i="9"/>
  <c r="AF301" i="9"/>
  <c r="AU301" i="9"/>
  <c r="R301" i="9"/>
  <c r="AG301" i="9"/>
  <c r="AV301" i="9"/>
  <c r="H300" i="7"/>
  <c r="W300" i="7"/>
  <c r="AL300" i="7"/>
  <c r="I300" i="7"/>
  <c r="X300" i="7"/>
  <c r="AM300" i="7"/>
  <c r="J300" i="7"/>
  <c r="Y300" i="7"/>
  <c r="AN300" i="7"/>
  <c r="K300" i="7"/>
  <c r="Z300" i="7"/>
  <c r="AO300" i="7"/>
  <c r="L300" i="7"/>
  <c r="AA300" i="7"/>
  <c r="AP300" i="7"/>
  <c r="N300" i="7"/>
  <c r="AC300" i="7"/>
  <c r="AR300" i="7"/>
  <c r="O300" i="7"/>
  <c r="AD300" i="7"/>
  <c r="AS300" i="7"/>
  <c r="P300" i="7"/>
  <c r="AE300" i="7"/>
  <c r="AT300" i="7"/>
  <c r="Q300" i="7"/>
  <c r="AF300" i="7"/>
  <c r="AU300" i="7"/>
  <c r="R300" i="7"/>
  <c r="AG300" i="7"/>
  <c r="AV300" i="7"/>
  <c r="X300" i="8"/>
  <c r="AM300" i="8"/>
  <c r="I300" i="8"/>
  <c r="J300" i="8"/>
  <c r="Y300" i="8"/>
  <c r="AN300" i="8"/>
  <c r="AA300" i="8"/>
  <c r="AP300" i="8"/>
  <c r="L300" i="8"/>
  <c r="AC300" i="8"/>
  <c r="N300" i="8"/>
  <c r="AR300" i="8"/>
  <c r="P300" i="8"/>
  <c r="AT300" i="8"/>
  <c r="AE300" i="8"/>
  <c r="AU300" i="8"/>
  <c r="Q300" i="8"/>
  <c r="AF300" i="8"/>
  <c r="W300" i="8"/>
  <c r="H300" i="8"/>
  <c r="AL300" i="8"/>
  <c r="K300" i="8"/>
  <c r="Z300" i="8"/>
  <c r="AO300" i="8"/>
  <c r="AQ300" i="8"/>
  <c r="AB300" i="8"/>
  <c r="M300" i="8"/>
  <c r="AD300" i="8"/>
  <c r="AS300" i="8"/>
  <c r="O300" i="8"/>
  <c r="AV300" i="8"/>
  <c r="R300" i="8"/>
  <c r="AG300" i="8"/>
  <c r="M300" i="7"/>
  <c r="AB300" i="7"/>
  <c r="AQ300" i="7"/>
  <c r="D288" i="8"/>
  <c r="S288" i="8"/>
  <c r="AH288" i="8"/>
  <c r="E276" i="8"/>
  <c r="T276" i="8"/>
  <c r="AI276" i="8"/>
  <c r="D271" i="9"/>
  <c r="S271" i="9"/>
  <c r="AH271" i="9"/>
  <c r="D248" i="7"/>
  <c r="S248" i="7"/>
  <c r="AH248" i="7"/>
  <c r="G245" i="9"/>
  <c r="V245" i="9"/>
  <c r="AK245" i="9"/>
  <c r="G241" i="10"/>
  <c r="V241" i="10"/>
  <c r="AK241" i="10"/>
  <c r="D226" i="10"/>
  <c r="S226" i="10"/>
  <c r="AH226" i="10"/>
  <c r="E228" i="9"/>
  <c r="T228" i="9"/>
  <c r="AI228" i="9"/>
  <c r="C230" i="8"/>
  <c r="AY230" i="8"/>
  <c r="AW230" i="8"/>
  <c r="AX231" i="8"/>
  <c r="G231" i="8"/>
  <c r="V231" i="8"/>
  <c r="AK231" i="8"/>
  <c r="E220" i="10"/>
  <c r="T220" i="10"/>
  <c r="AI220" i="10"/>
  <c r="C212" i="9"/>
  <c r="AY212" i="9"/>
  <c r="AW212" i="9"/>
  <c r="AX213" i="9"/>
  <c r="F213" i="9"/>
  <c r="U213" i="9"/>
  <c r="AJ213" i="9"/>
  <c r="C202" i="10"/>
  <c r="AY202" i="10"/>
  <c r="AW202" i="10"/>
  <c r="AX203" i="10"/>
  <c r="F203" i="10"/>
  <c r="U203" i="10"/>
  <c r="AJ203" i="10"/>
  <c r="G142" i="7"/>
  <c r="V142" i="7"/>
  <c r="AK142" i="7"/>
  <c r="E108" i="7"/>
  <c r="T108" i="7"/>
  <c r="AI108" i="7"/>
  <c r="AY101" i="7"/>
  <c r="C101" i="7"/>
  <c r="AW101" i="7"/>
  <c r="AX102" i="7"/>
  <c r="F102" i="7"/>
  <c r="U102" i="7"/>
  <c r="AJ102" i="7"/>
  <c r="AJ245" i="8" l="1"/>
  <c r="U245" i="8"/>
  <c r="F245" i="8"/>
  <c r="AL302" i="10"/>
  <c r="H302" i="10"/>
  <c r="W302" i="10"/>
  <c r="AM302" i="10"/>
  <c r="I302" i="10"/>
  <c r="X302" i="10"/>
  <c r="J302" i="10"/>
  <c r="Y302" i="10"/>
  <c r="AN302" i="10"/>
  <c r="K302" i="10"/>
  <c r="Z302" i="10"/>
  <c r="AO302" i="10"/>
  <c r="L302" i="10"/>
  <c r="AA302" i="10"/>
  <c r="AP302" i="10"/>
  <c r="M302" i="10"/>
  <c r="AB302" i="10"/>
  <c r="AQ302" i="10"/>
  <c r="AC302" i="10"/>
  <c r="AR302" i="10"/>
  <c r="N302" i="10"/>
  <c r="O302" i="10"/>
  <c r="AD302" i="10"/>
  <c r="AS302" i="10"/>
  <c r="P302" i="10"/>
  <c r="AE302" i="10"/>
  <c r="AT302" i="10"/>
  <c r="Q302" i="10"/>
  <c r="AF302" i="10"/>
  <c r="AU302" i="10"/>
  <c r="R302" i="10"/>
  <c r="AV302" i="10"/>
  <c r="AG302" i="10"/>
  <c r="H302" i="9"/>
  <c r="W302" i="9"/>
  <c r="AL302" i="9"/>
  <c r="I302" i="9"/>
  <c r="X302" i="9"/>
  <c r="AM302" i="9"/>
  <c r="J302" i="9"/>
  <c r="Y302" i="9"/>
  <c r="AN302" i="9"/>
  <c r="K302" i="9"/>
  <c r="Z302" i="9"/>
  <c r="AO302" i="9"/>
  <c r="L302" i="9"/>
  <c r="AA302" i="9"/>
  <c r="AP302" i="9"/>
  <c r="M302" i="9"/>
  <c r="AB302" i="9"/>
  <c r="AQ302" i="9"/>
  <c r="N302" i="9"/>
  <c r="AC302" i="9"/>
  <c r="AR302" i="9"/>
  <c r="O302" i="9"/>
  <c r="AD302" i="9"/>
  <c r="AS302" i="9"/>
  <c r="P302" i="9"/>
  <c r="AE302" i="9"/>
  <c r="AT302" i="9"/>
  <c r="Q302" i="9"/>
  <c r="AF302" i="9"/>
  <c r="AU302" i="9"/>
  <c r="R302" i="9"/>
  <c r="AG302" i="9"/>
  <c r="AV302" i="9"/>
  <c r="H301" i="7"/>
  <c r="W301" i="7"/>
  <c r="AL301" i="7"/>
  <c r="I301" i="7"/>
  <c r="X301" i="7"/>
  <c r="AM301" i="7"/>
  <c r="J301" i="7"/>
  <c r="Y301" i="7"/>
  <c r="AN301" i="7"/>
  <c r="K301" i="7"/>
  <c r="Z301" i="7"/>
  <c r="AO301" i="7"/>
  <c r="L301" i="7"/>
  <c r="AA301" i="7"/>
  <c r="AP301" i="7"/>
  <c r="N301" i="7"/>
  <c r="AC301" i="7"/>
  <c r="AR301" i="7"/>
  <c r="O301" i="7"/>
  <c r="AD301" i="7"/>
  <c r="AS301" i="7"/>
  <c r="P301" i="7"/>
  <c r="AE301" i="7"/>
  <c r="AT301" i="7"/>
  <c r="Q301" i="7"/>
  <c r="AF301" i="7"/>
  <c r="AU301" i="7"/>
  <c r="R301" i="7"/>
  <c r="AG301" i="7"/>
  <c r="AV301" i="7"/>
  <c r="I301" i="8"/>
  <c r="X301" i="8"/>
  <c r="AM301" i="8"/>
  <c r="Y301" i="8"/>
  <c r="AN301" i="8"/>
  <c r="J301" i="8"/>
  <c r="AA301" i="8"/>
  <c r="AP301" i="8"/>
  <c r="L301" i="8"/>
  <c r="N301" i="8"/>
  <c r="AC301" i="8"/>
  <c r="AR301" i="8"/>
  <c r="AE301" i="8"/>
  <c r="AT301" i="8"/>
  <c r="P301" i="8"/>
  <c r="Q301" i="8"/>
  <c r="AF301" i="8"/>
  <c r="AU301" i="8"/>
  <c r="AL301" i="8"/>
  <c r="W301" i="8"/>
  <c r="H301" i="8"/>
  <c r="Z301" i="8"/>
  <c r="K301" i="8"/>
  <c r="AO301" i="8"/>
  <c r="M301" i="8"/>
  <c r="AQ301" i="8"/>
  <c r="AB301" i="8"/>
  <c r="O301" i="8"/>
  <c r="AD301" i="8"/>
  <c r="AS301" i="8"/>
  <c r="AG301" i="8"/>
  <c r="R301" i="8"/>
  <c r="AV301" i="8"/>
  <c r="M301" i="7"/>
  <c r="AB301" i="7"/>
  <c r="AQ301" i="7"/>
  <c r="AH289" i="8"/>
  <c r="D289" i="8"/>
  <c r="S289" i="8"/>
  <c r="E277" i="8"/>
  <c r="T277" i="8"/>
  <c r="AI277" i="8"/>
  <c r="D272" i="9"/>
  <c r="S272" i="9"/>
  <c r="AH272" i="9"/>
  <c r="D249" i="7"/>
  <c r="S249" i="7"/>
  <c r="AH249" i="7"/>
  <c r="G246" i="9"/>
  <c r="V246" i="9"/>
  <c r="AK246" i="9"/>
  <c r="G242" i="10"/>
  <c r="V242" i="10"/>
  <c r="AK242" i="10"/>
  <c r="D227" i="10"/>
  <c r="S227" i="10"/>
  <c r="AH227" i="10"/>
  <c r="E229" i="9"/>
  <c r="T229" i="9"/>
  <c r="AI229" i="9"/>
  <c r="C231" i="8"/>
  <c r="AY231" i="8"/>
  <c r="AW231" i="8"/>
  <c r="W80" i="2" s="1"/>
  <c r="AX232" i="8"/>
  <c r="V232" i="8"/>
  <c r="AK232" i="8"/>
  <c r="G232" i="8"/>
  <c r="E221" i="10"/>
  <c r="T221" i="10"/>
  <c r="AI221" i="10"/>
  <c r="AY213" i="9"/>
  <c r="C213" i="9"/>
  <c r="AW213" i="9"/>
  <c r="AX214" i="9"/>
  <c r="F214" i="9"/>
  <c r="U214" i="9"/>
  <c r="AJ214" i="9"/>
  <c r="C203" i="10"/>
  <c r="AY203" i="10"/>
  <c r="AW203" i="10"/>
  <c r="AX204" i="10"/>
  <c r="F204" i="10"/>
  <c r="U204" i="10"/>
  <c r="AJ204" i="10"/>
  <c r="G143" i="7"/>
  <c r="V143" i="7"/>
  <c r="AK143" i="7"/>
  <c r="E109" i="7"/>
  <c r="T109" i="7"/>
  <c r="AI109" i="7"/>
  <c r="AY102" i="7"/>
  <c r="C102" i="7"/>
  <c r="AW102" i="7"/>
  <c r="X37" i="2" s="1"/>
  <c r="AX103" i="7"/>
  <c r="F103" i="7"/>
  <c r="U103" i="7"/>
  <c r="AJ103" i="7"/>
  <c r="U246" i="8" l="1"/>
  <c r="AJ246" i="8"/>
  <c r="F246" i="8"/>
  <c r="AL303" i="10"/>
  <c r="H303" i="10"/>
  <c r="W303" i="10"/>
  <c r="AM303" i="10"/>
  <c r="I303" i="10"/>
  <c r="X303" i="10"/>
  <c r="J303" i="10"/>
  <c r="Y303" i="10"/>
  <c r="AN303" i="10"/>
  <c r="K303" i="10"/>
  <c r="Z303" i="10"/>
  <c r="AO303" i="10"/>
  <c r="L303" i="10"/>
  <c r="AA303" i="10"/>
  <c r="AP303" i="10"/>
  <c r="M303" i="10"/>
  <c r="AB303" i="10"/>
  <c r="AQ303" i="10"/>
  <c r="N303" i="10"/>
  <c r="AC303" i="10"/>
  <c r="AR303" i="10"/>
  <c r="O303" i="10"/>
  <c r="AD303" i="10"/>
  <c r="AS303" i="10"/>
  <c r="P303" i="10"/>
  <c r="AE303" i="10"/>
  <c r="AT303" i="10"/>
  <c r="Q303" i="10"/>
  <c r="AF303" i="10"/>
  <c r="AU303" i="10"/>
  <c r="R303" i="10"/>
  <c r="AV303" i="10"/>
  <c r="AG303" i="10"/>
  <c r="H303" i="9"/>
  <c r="W303" i="9"/>
  <c r="AL303" i="9"/>
  <c r="I303" i="9"/>
  <c r="X303" i="9"/>
  <c r="AM303" i="9"/>
  <c r="J303" i="9"/>
  <c r="Y303" i="9"/>
  <c r="AN303" i="9"/>
  <c r="K303" i="9"/>
  <c r="Z303" i="9"/>
  <c r="AO303" i="9"/>
  <c r="L303" i="9"/>
  <c r="AA303" i="9"/>
  <c r="AP303" i="9"/>
  <c r="M303" i="9"/>
  <c r="AB303" i="9"/>
  <c r="AQ303" i="9"/>
  <c r="N303" i="9"/>
  <c r="AC303" i="9"/>
  <c r="AR303" i="9"/>
  <c r="O303" i="9"/>
  <c r="AD303" i="9"/>
  <c r="AS303" i="9"/>
  <c r="P303" i="9"/>
  <c r="AE303" i="9"/>
  <c r="AT303" i="9"/>
  <c r="Q303" i="9"/>
  <c r="AF303" i="9"/>
  <c r="AU303" i="9"/>
  <c r="R303" i="9"/>
  <c r="AG303" i="9"/>
  <c r="AV303" i="9"/>
  <c r="H302" i="7"/>
  <c r="W302" i="7"/>
  <c r="AL302" i="7"/>
  <c r="I302" i="7"/>
  <c r="X302" i="7"/>
  <c r="AM302" i="7"/>
  <c r="J302" i="7"/>
  <c r="Y302" i="7"/>
  <c r="AN302" i="7"/>
  <c r="K302" i="7"/>
  <c r="Z302" i="7"/>
  <c r="AO302" i="7"/>
  <c r="L302" i="7"/>
  <c r="AA302" i="7"/>
  <c r="AP302" i="7"/>
  <c r="N302" i="7"/>
  <c r="AC302" i="7"/>
  <c r="AR302" i="7"/>
  <c r="O302" i="7"/>
  <c r="AD302" i="7"/>
  <c r="AS302" i="7"/>
  <c r="P302" i="7"/>
  <c r="AE302" i="7"/>
  <c r="AT302" i="7"/>
  <c r="Q302" i="7"/>
  <c r="AF302" i="7"/>
  <c r="AU302" i="7"/>
  <c r="R302" i="7"/>
  <c r="AG302" i="7"/>
  <c r="AV302" i="7"/>
  <c r="I302" i="8"/>
  <c r="X302" i="8"/>
  <c r="AM302" i="8"/>
  <c r="J302" i="8"/>
  <c r="Y302" i="8"/>
  <c r="AN302" i="8"/>
  <c r="AA302" i="8"/>
  <c r="L302" i="8"/>
  <c r="AP302" i="8"/>
  <c r="N302" i="8"/>
  <c r="AC302" i="8"/>
  <c r="AR302" i="8"/>
  <c r="AT302" i="8"/>
  <c r="AE302" i="8"/>
  <c r="P302" i="8"/>
  <c r="Q302" i="8"/>
  <c r="AF302" i="8"/>
  <c r="AU302" i="8"/>
  <c r="H302" i="8"/>
  <c r="W302" i="8"/>
  <c r="AL302" i="8"/>
  <c r="K302" i="8"/>
  <c r="Z302" i="8"/>
  <c r="AO302" i="8"/>
  <c r="AQ302" i="8"/>
  <c r="M302" i="8"/>
  <c r="AB302" i="8"/>
  <c r="AD302" i="8"/>
  <c r="AS302" i="8"/>
  <c r="O302" i="8"/>
  <c r="R302" i="8"/>
  <c r="AV302" i="8"/>
  <c r="AG302" i="8"/>
  <c r="M302" i="7"/>
  <c r="AB302" i="7"/>
  <c r="AQ302" i="7"/>
  <c r="D290" i="8"/>
  <c r="S290" i="8"/>
  <c r="AH290" i="8"/>
  <c r="E278" i="8"/>
  <c r="T278" i="8"/>
  <c r="AI278" i="8"/>
  <c r="D273" i="9"/>
  <c r="S273" i="9"/>
  <c r="AH273" i="9"/>
  <c r="D250" i="7"/>
  <c r="S250" i="7"/>
  <c r="AH250" i="7"/>
  <c r="G247" i="9"/>
  <c r="V247" i="9"/>
  <c r="AK247" i="9"/>
  <c r="G243" i="10"/>
  <c r="V243" i="10"/>
  <c r="AK243" i="10"/>
  <c r="D228" i="10"/>
  <c r="S228" i="10"/>
  <c r="AH228" i="10"/>
  <c r="E230" i="9"/>
  <c r="T230" i="9"/>
  <c r="AI230" i="9"/>
  <c r="AW232" i="8"/>
  <c r="AX233" i="8"/>
  <c r="G233" i="8"/>
  <c r="V233" i="8"/>
  <c r="AK233" i="8"/>
  <c r="AY232" i="8"/>
  <c r="C232" i="8"/>
  <c r="E222" i="10"/>
  <c r="T222" i="10"/>
  <c r="AI222" i="10"/>
  <c r="AY214" i="9"/>
  <c r="C214" i="9"/>
  <c r="AW214" i="9"/>
  <c r="AX215" i="9"/>
  <c r="F215" i="9"/>
  <c r="U215" i="9"/>
  <c r="AJ215" i="9"/>
  <c r="C204" i="10"/>
  <c r="AY204" i="10"/>
  <c r="AW204" i="10"/>
  <c r="AX205" i="10"/>
  <c r="F205" i="10"/>
  <c r="U205" i="10"/>
  <c r="AJ205" i="10"/>
  <c r="G144" i="7"/>
  <c r="V144" i="7"/>
  <c r="AK144" i="7"/>
  <c r="E110" i="7"/>
  <c r="T110" i="7"/>
  <c r="AI110" i="7"/>
  <c r="AY103" i="7"/>
  <c r="C103" i="7"/>
  <c r="AX104" i="7"/>
  <c r="AW103" i="7"/>
  <c r="F104" i="7"/>
  <c r="U104" i="7"/>
  <c r="AJ104" i="7"/>
  <c r="U247" i="8" l="1"/>
  <c r="AJ247" i="8"/>
  <c r="F247" i="8"/>
  <c r="W304" i="10"/>
  <c r="H304" i="10"/>
  <c r="AL304" i="10"/>
  <c r="I304" i="10"/>
  <c r="X304" i="10"/>
  <c r="AM304" i="10"/>
  <c r="J304" i="10"/>
  <c r="AN304" i="10"/>
  <c r="Y304" i="10"/>
  <c r="K304" i="10"/>
  <c r="Z304" i="10"/>
  <c r="AO304" i="10"/>
  <c r="L304" i="10"/>
  <c r="AA304" i="10"/>
  <c r="AP304" i="10"/>
  <c r="M304" i="10"/>
  <c r="AB304" i="10"/>
  <c r="AQ304" i="10"/>
  <c r="AR304" i="10"/>
  <c r="N304" i="10"/>
  <c r="AC304" i="10"/>
  <c r="AS304" i="10"/>
  <c r="O304" i="10"/>
  <c r="AD304" i="10"/>
  <c r="P304" i="10"/>
  <c r="AE304" i="10"/>
  <c r="AT304" i="10"/>
  <c r="Q304" i="10"/>
  <c r="AF304" i="10"/>
  <c r="AU304" i="10"/>
  <c r="R304" i="10"/>
  <c r="AV304" i="10"/>
  <c r="AG304" i="10"/>
  <c r="H304" i="9"/>
  <c r="W304" i="9"/>
  <c r="AL304" i="9"/>
  <c r="I304" i="9"/>
  <c r="X304" i="9"/>
  <c r="AM304" i="9"/>
  <c r="J304" i="9"/>
  <c r="Y304" i="9"/>
  <c r="AN304" i="9"/>
  <c r="K304" i="9"/>
  <c r="Z304" i="9"/>
  <c r="AO304" i="9"/>
  <c r="L304" i="9"/>
  <c r="AA304" i="9"/>
  <c r="AP304" i="9"/>
  <c r="M304" i="9"/>
  <c r="AB304" i="9"/>
  <c r="AQ304" i="9"/>
  <c r="N304" i="9"/>
  <c r="AC304" i="9"/>
  <c r="AR304" i="9"/>
  <c r="O304" i="9"/>
  <c r="AD304" i="9"/>
  <c r="AS304" i="9"/>
  <c r="P304" i="9"/>
  <c r="AE304" i="9"/>
  <c r="AT304" i="9"/>
  <c r="Q304" i="9"/>
  <c r="AF304" i="9"/>
  <c r="AU304" i="9"/>
  <c r="R304" i="9"/>
  <c r="AG304" i="9"/>
  <c r="AV304" i="9"/>
  <c r="H303" i="7"/>
  <c r="W303" i="7"/>
  <c r="AL303" i="7"/>
  <c r="I303" i="7"/>
  <c r="X303" i="7"/>
  <c r="AM303" i="7"/>
  <c r="J303" i="7"/>
  <c r="Y303" i="7"/>
  <c r="AN303" i="7"/>
  <c r="K303" i="7"/>
  <c r="Z303" i="7"/>
  <c r="AO303" i="7"/>
  <c r="L303" i="7"/>
  <c r="AA303" i="7"/>
  <c r="AP303" i="7"/>
  <c r="N303" i="7"/>
  <c r="AC303" i="7"/>
  <c r="AR303" i="7"/>
  <c r="O303" i="7"/>
  <c r="AD303" i="7"/>
  <c r="AS303" i="7"/>
  <c r="P303" i="7"/>
  <c r="AE303" i="7"/>
  <c r="AT303" i="7"/>
  <c r="Q303" i="7"/>
  <c r="AF303" i="7"/>
  <c r="AU303" i="7"/>
  <c r="R303" i="7"/>
  <c r="AG303" i="7"/>
  <c r="AV303" i="7"/>
  <c r="I303" i="8"/>
  <c r="AM303" i="8"/>
  <c r="X303" i="8"/>
  <c r="Y303" i="8"/>
  <c r="J303" i="8"/>
  <c r="AN303" i="8"/>
  <c r="AP303" i="8"/>
  <c r="L303" i="8"/>
  <c r="AA303" i="8"/>
  <c r="N303" i="8"/>
  <c r="AC303" i="8"/>
  <c r="AR303" i="8"/>
  <c r="AT303" i="8"/>
  <c r="P303" i="8"/>
  <c r="AE303" i="8"/>
  <c r="AU303" i="8"/>
  <c r="Q303" i="8"/>
  <c r="AF303" i="8"/>
  <c r="H303" i="8"/>
  <c r="W303" i="8"/>
  <c r="AL303" i="8"/>
  <c r="K303" i="8"/>
  <c r="Z303" i="8"/>
  <c r="AO303" i="8"/>
  <c r="M303" i="8"/>
  <c r="AB303" i="8"/>
  <c r="AQ303" i="8"/>
  <c r="O303" i="8"/>
  <c r="AD303" i="8"/>
  <c r="AS303" i="8"/>
  <c r="R303" i="8"/>
  <c r="AV303" i="8"/>
  <c r="AG303" i="8"/>
  <c r="M303" i="7"/>
  <c r="AB303" i="7"/>
  <c r="AQ303" i="7"/>
  <c r="D291" i="8"/>
  <c r="S291" i="8"/>
  <c r="AH291" i="8"/>
  <c r="E279" i="8"/>
  <c r="T279" i="8"/>
  <c r="AI279" i="8"/>
  <c r="D274" i="9"/>
  <c r="S274" i="9"/>
  <c r="AH274" i="9"/>
  <c r="D251" i="7"/>
  <c r="S251" i="7"/>
  <c r="AH251" i="7"/>
  <c r="G248" i="9"/>
  <c r="V248" i="9"/>
  <c r="AK248" i="9"/>
  <c r="G244" i="10"/>
  <c r="V244" i="10"/>
  <c r="AK244" i="10"/>
  <c r="D229" i="10"/>
  <c r="S229" i="10"/>
  <c r="AH229" i="10"/>
  <c r="E231" i="9"/>
  <c r="T231" i="9"/>
  <c r="AI231" i="9"/>
  <c r="C233" i="8"/>
  <c r="AY233" i="8"/>
  <c r="AW233" i="8"/>
  <c r="AX234" i="8"/>
  <c r="G234" i="8"/>
  <c r="V234" i="8"/>
  <c r="AK234" i="8"/>
  <c r="E223" i="10"/>
  <c r="T223" i="10"/>
  <c r="AI223" i="10"/>
  <c r="C215" i="9"/>
  <c r="AY215" i="9"/>
  <c r="AX216" i="9"/>
  <c r="AW215" i="9"/>
  <c r="F216" i="9"/>
  <c r="U216" i="9"/>
  <c r="AJ216" i="9"/>
  <c r="C205" i="10"/>
  <c r="AY205" i="10"/>
  <c r="AW205" i="10"/>
  <c r="AX206" i="10"/>
  <c r="F206" i="10"/>
  <c r="U206" i="10"/>
  <c r="AJ206" i="10"/>
  <c r="G145" i="7"/>
  <c r="V145" i="7"/>
  <c r="AK145" i="7"/>
  <c r="E111" i="7"/>
  <c r="T111" i="7"/>
  <c r="AI111" i="7"/>
  <c r="AY104" i="7"/>
  <c r="C104" i="7"/>
  <c r="AX105" i="7"/>
  <c r="AW104" i="7"/>
  <c r="F105" i="7"/>
  <c r="U105" i="7"/>
  <c r="AJ105" i="7"/>
  <c r="AJ248" i="8" l="1"/>
  <c r="U248" i="8"/>
  <c r="F248" i="8"/>
  <c r="H305" i="10"/>
  <c r="W305" i="10"/>
  <c r="AL305" i="10"/>
  <c r="AM305" i="10"/>
  <c r="I305" i="10"/>
  <c r="X305" i="10"/>
  <c r="J305" i="10"/>
  <c r="Y305" i="10"/>
  <c r="AN305" i="10"/>
  <c r="K305" i="10"/>
  <c r="Z305" i="10"/>
  <c r="AO305" i="10"/>
  <c r="L305" i="10"/>
  <c r="AA305" i="10"/>
  <c r="AP305" i="10"/>
  <c r="AB305" i="10"/>
  <c r="AQ305" i="10"/>
  <c r="M305" i="10"/>
  <c r="N305" i="10"/>
  <c r="AC305" i="10"/>
  <c r="AR305" i="10"/>
  <c r="O305" i="10"/>
  <c r="AD305" i="10"/>
  <c r="AS305" i="10"/>
  <c r="P305" i="10"/>
  <c r="AE305" i="10"/>
  <c r="AT305" i="10"/>
  <c r="Q305" i="10"/>
  <c r="AF305" i="10"/>
  <c r="AU305" i="10"/>
  <c r="R305" i="10"/>
  <c r="AG305" i="10"/>
  <c r="AV305" i="10"/>
  <c r="H305" i="9"/>
  <c r="W305" i="9"/>
  <c r="AL305" i="9"/>
  <c r="I305" i="9"/>
  <c r="X305" i="9"/>
  <c r="AM305" i="9"/>
  <c r="J305" i="9"/>
  <c r="Y305" i="9"/>
  <c r="AN305" i="9"/>
  <c r="K305" i="9"/>
  <c r="Z305" i="9"/>
  <c r="AO305" i="9"/>
  <c r="L305" i="9"/>
  <c r="AA305" i="9"/>
  <c r="AP305" i="9"/>
  <c r="M305" i="9"/>
  <c r="AB305" i="9"/>
  <c r="AQ305" i="9"/>
  <c r="N305" i="9"/>
  <c r="AC305" i="9"/>
  <c r="AR305" i="9"/>
  <c r="O305" i="9"/>
  <c r="AD305" i="9"/>
  <c r="AS305" i="9"/>
  <c r="P305" i="9"/>
  <c r="AE305" i="9"/>
  <c r="AT305" i="9"/>
  <c r="Q305" i="9"/>
  <c r="AF305" i="9"/>
  <c r="AU305" i="9"/>
  <c r="R305" i="9"/>
  <c r="AG305" i="9"/>
  <c r="AV305" i="9"/>
  <c r="H304" i="7"/>
  <c r="W304" i="7"/>
  <c r="AL304" i="7"/>
  <c r="I304" i="7"/>
  <c r="X304" i="7"/>
  <c r="AM304" i="7"/>
  <c r="J304" i="7"/>
  <c r="Y304" i="7"/>
  <c r="AN304" i="7"/>
  <c r="K304" i="7"/>
  <c r="Z304" i="7"/>
  <c r="AO304" i="7"/>
  <c r="L304" i="7"/>
  <c r="AA304" i="7"/>
  <c r="AP304" i="7"/>
  <c r="N304" i="7"/>
  <c r="AC304" i="7"/>
  <c r="AR304" i="7"/>
  <c r="O304" i="7"/>
  <c r="AD304" i="7"/>
  <c r="AS304" i="7"/>
  <c r="P304" i="7"/>
  <c r="AE304" i="7"/>
  <c r="AT304" i="7"/>
  <c r="Q304" i="7"/>
  <c r="AF304" i="7"/>
  <c r="AU304" i="7"/>
  <c r="R304" i="7"/>
  <c r="AG304" i="7"/>
  <c r="AV304" i="7"/>
  <c r="I304" i="8"/>
  <c r="AM304" i="8"/>
  <c r="X304" i="8"/>
  <c r="Y304" i="8"/>
  <c r="AN304" i="8"/>
  <c r="J304" i="8"/>
  <c r="AA304" i="8"/>
  <c r="AP304" i="8"/>
  <c r="L304" i="8"/>
  <c r="N304" i="8"/>
  <c r="AC304" i="8"/>
  <c r="AR304" i="8"/>
  <c r="AE304" i="8"/>
  <c r="P304" i="8"/>
  <c r="AT304" i="8"/>
  <c r="AF304" i="8"/>
  <c r="AU304" i="8"/>
  <c r="Q304" i="8"/>
  <c r="W304" i="8"/>
  <c r="AL304" i="8"/>
  <c r="H304" i="8"/>
  <c r="AO304" i="8"/>
  <c r="Z304" i="8"/>
  <c r="K304" i="8"/>
  <c r="M304" i="8"/>
  <c r="AQ304" i="8"/>
  <c r="AB304" i="8"/>
  <c r="AD304" i="8"/>
  <c r="AS304" i="8"/>
  <c r="O304" i="8"/>
  <c r="AG304" i="8"/>
  <c r="R304" i="8"/>
  <c r="AV304" i="8"/>
  <c r="M304" i="7"/>
  <c r="AB304" i="7"/>
  <c r="AQ304" i="7"/>
  <c r="D292" i="8"/>
  <c r="S292" i="8"/>
  <c r="AH292" i="8"/>
  <c r="E280" i="8"/>
  <c r="T280" i="8"/>
  <c r="AI280" i="8"/>
  <c r="D275" i="9"/>
  <c r="S275" i="9"/>
  <c r="AH275" i="9"/>
  <c r="D252" i="7"/>
  <c r="S252" i="7"/>
  <c r="AH252" i="7"/>
  <c r="G249" i="9"/>
  <c r="V249" i="9"/>
  <c r="AK249" i="9"/>
  <c r="G245" i="10"/>
  <c r="V245" i="10"/>
  <c r="AK245" i="10"/>
  <c r="D230" i="10"/>
  <c r="S230" i="10"/>
  <c r="AH230" i="10"/>
  <c r="E232" i="9"/>
  <c r="T232" i="9"/>
  <c r="AI232" i="9"/>
  <c r="AY234" i="8"/>
  <c r="C234" i="8"/>
  <c r="AX235" i="8"/>
  <c r="AW234" i="8"/>
  <c r="W81" i="2" s="1"/>
  <c r="G235" i="8"/>
  <c r="V235" i="8"/>
  <c r="AK235" i="8"/>
  <c r="E224" i="10"/>
  <c r="T224" i="10"/>
  <c r="AI224" i="10"/>
  <c r="C216" i="9"/>
  <c r="AY216" i="9"/>
  <c r="AW216" i="9"/>
  <c r="AX217" i="9"/>
  <c r="F217" i="9"/>
  <c r="U217" i="9"/>
  <c r="AJ217" i="9"/>
  <c r="AY206" i="10"/>
  <c r="C206" i="10"/>
  <c r="AW206" i="10"/>
  <c r="AX207" i="10"/>
  <c r="F207" i="10"/>
  <c r="U207" i="10"/>
  <c r="AJ207" i="10"/>
  <c r="G146" i="7"/>
  <c r="V146" i="7"/>
  <c r="AK146" i="7"/>
  <c r="E112" i="7"/>
  <c r="T112" i="7"/>
  <c r="AI112" i="7"/>
  <c r="AY105" i="7"/>
  <c r="C105" i="7"/>
  <c r="AX106" i="7"/>
  <c r="AW105" i="7"/>
  <c r="X38" i="2" s="1"/>
  <c r="F106" i="7"/>
  <c r="U106" i="7"/>
  <c r="AJ106" i="7"/>
  <c r="F249" i="8" l="1"/>
  <c r="U249" i="8"/>
  <c r="AJ249" i="8"/>
  <c r="H306" i="10"/>
  <c r="W306" i="10"/>
  <c r="AL306" i="10"/>
  <c r="I306" i="10"/>
  <c r="X306" i="10"/>
  <c r="AM306" i="10"/>
  <c r="J306" i="10"/>
  <c r="Y306" i="10"/>
  <c r="AN306" i="10"/>
  <c r="K306" i="10"/>
  <c r="Z306" i="10"/>
  <c r="AO306" i="10"/>
  <c r="L306" i="10"/>
  <c r="AA306" i="10"/>
  <c r="AP306" i="10"/>
  <c r="M306" i="10"/>
  <c r="AB306" i="10"/>
  <c r="AQ306" i="10"/>
  <c r="AC306" i="10"/>
  <c r="AR306" i="10"/>
  <c r="N306" i="10"/>
  <c r="AD306" i="10"/>
  <c r="AS306" i="10"/>
  <c r="O306" i="10"/>
  <c r="P306" i="10"/>
  <c r="AE306" i="10"/>
  <c r="AT306" i="10"/>
  <c r="AF306" i="10"/>
  <c r="Q306" i="10"/>
  <c r="AU306" i="10"/>
  <c r="R306" i="10"/>
  <c r="AG306" i="10"/>
  <c r="AV306" i="10"/>
  <c r="H306" i="9"/>
  <c r="W306" i="9"/>
  <c r="AL306" i="9"/>
  <c r="I306" i="9"/>
  <c r="X306" i="9"/>
  <c r="AM306" i="9"/>
  <c r="J306" i="9"/>
  <c r="Y306" i="9"/>
  <c r="AN306" i="9"/>
  <c r="K306" i="9"/>
  <c r="Z306" i="9"/>
  <c r="AO306" i="9"/>
  <c r="L306" i="9"/>
  <c r="AA306" i="9"/>
  <c r="AP306" i="9"/>
  <c r="M306" i="9"/>
  <c r="AB306" i="9"/>
  <c r="AQ306" i="9"/>
  <c r="N306" i="9"/>
  <c r="AC306" i="9"/>
  <c r="AR306" i="9"/>
  <c r="O306" i="9"/>
  <c r="AD306" i="9"/>
  <c r="AS306" i="9"/>
  <c r="P306" i="9"/>
  <c r="AE306" i="9"/>
  <c r="AT306" i="9"/>
  <c r="Q306" i="9"/>
  <c r="AF306" i="9"/>
  <c r="AU306" i="9"/>
  <c r="R306" i="9"/>
  <c r="AG306" i="9"/>
  <c r="AV306" i="9"/>
  <c r="H305" i="7"/>
  <c r="W305" i="7"/>
  <c r="AL305" i="7"/>
  <c r="I305" i="7"/>
  <c r="X305" i="7"/>
  <c r="AM305" i="7"/>
  <c r="J305" i="7"/>
  <c r="Y305" i="7"/>
  <c r="AN305" i="7"/>
  <c r="K305" i="7"/>
  <c r="Z305" i="7"/>
  <c r="AO305" i="7"/>
  <c r="L305" i="7"/>
  <c r="AA305" i="7"/>
  <c r="AP305" i="7"/>
  <c r="N305" i="7"/>
  <c r="AC305" i="7"/>
  <c r="AR305" i="7"/>
  <c r="O305" i="7"/>
  <c r="AD305" i="7"/>
  <c r="AS305" i="7"/>
  <c r="P305" i="7"/>
  <c r="AE305" i="7"/>
  <c r="AT305" i="7"/>
  <c r="Q305" i="7"/>
  <c r="AF305" i="7"/>
  <c r="AU305" i="7"/>
  <c r="R305" i="7"/>
  <c r="AG305" i="7"/>
  <c r="AV305" i="7"/>
  <c r="I305" i="8"/>
  <c r="X305" i="8"/>
  <c r="AM305" i="8"/>
  <c r="Y305" i="8"/>
  <c r="J305" i="8"/>
  <c r="AN305" i="8"/>
  <c r="L305" i="8"/>
  <c r="AA305" i="8"/>
  <c r="AP305" i="8"/>
  <c r="AR305" i="8"/>
  <c r="N305" i="8"/>
  <c r="AC305" i="8"/>
  <c r="AE305" i="8"/>
  <c r="P305" i="8"/>
  <c r="AT305" i="8"/>
  <c r="AF305" i="8"/>
  <c r="Q305" i="8"/>
  <c r="AU305" i="8"/>
  <c r="W305" i="8"/>
  <c r="AL305" i="8"/>
  <c r="H305" i="8"/>
  <c r="AO305" i="8"/>
  <c r="Z305" i="8"/>
  <c r="K305" i="8"/>
  <c r="M305" i="8"/>
  <c r="AB305" i="8"/>
  <c r="AQ305" i="8"/>
  <c r="AD305" i="8"/>
  <c r="AS305" i="8"/>
  <c r="O305" i="8"/>
  <c r="AG305" i="8"/>
  <c r="AV305" i="8"/>
  <c r="R305" i="8"/>
  <c r="M305" i="7"/>
  <c r="AB305" i="7"/>
  <c r="AQ305" i="7"/>
  <c r="S293" i="8"/>
  <c r="AH293" i="8"/>
  <c r="D293" i="8"/>
  <c r="E281" i="8"/>
  <c r="T281" i="8"/>
  <c r="AI281" i="8"/>
  <c r="D276" i="9"/>
  <c r="S276" i="9"/>
  <c r="AH276" i="9"/>
  <c r="D253" i="7"/>
  <c r="S253" i="7"/>
  <c r="AH253" i="7"/>
  <c r="G250" i="9"/>
  <c r="V250" i="9"/>
  <c r="AK250" i="9"/>
  <c r="G246" i="10"/>
  <c r="V246" i="10"/>
  <c r="AK246" i="10"/>
  <c r="D231" i="10"/>
  <c r="S231" i="10"/>
  <c r="AH231" i="10"/>
  <c r="E233" i="9"/>
  <c r="T233" i="9"/>
  <c r="AI233" i="9"/>
  <c r="AY235" i="8"/>
  <c r="C235" i="8"/>
  <c r="AX236" i="8"/>
  <c r="AW235" i="8"/>
  <c r="G236" i="8"/>
  <c r="V236" i="8"/>
  <c r="AK236" i="8"/>
  <c r="E225" i="10"/>
  <c r="T225" i="10"/>
  <c r="AI225" i="10"/>
  <c r="AY217" i="9"/>
  <c r="C217" i="9"/>
  <c r="AX218" i="9"/>
  <c r="AW217" i="9"/>
  <c r="F218" i="9"/>
  <c r="U218" i="9"/>
  <c r="AJ218" i="9"/>
  <c r="AY207" i="10"/>
  <c r="C207" i="10"/>
  <c r="AX208" i="10"/>
  <c r="AW207" i="10"/>
  <c r="F208" i="10"/>
  <c r="U208" i="10"/>
  <c r="AJ208" i="10"/>
  <c r="G147" i="7"/>
  <c r="V147" i="7"/>
  <c r="AK147" i="7"/>
  <c r="E113" i="7"/>
  <c r="T113" i="7"/>
  <c r="AI113" i="7"/>
  <c r="C106" i="7"/>
  <c r="AY106" i="7"/>
  <c r="AW106" i="7"/>
  <c r="AX107" i="7"/>
  <c r="F107" i="7"/>
  <c r="U107" i="7"/>
  <c r="AJ107" i="7"/>
  <c r="AJ250" i="8" l="1"/>
  <c r="U250" i="8"/>
  <c r="F250" i="8"/>
  <c r="H307" i="10"/>
  <c r="W307" i="10"/>
  <c r="AL307" i="10"/>
  <c r="I307" i="10"/>
  <c r="X307" i="10"/>
  <c r="AM307" i="10"/>
  <c r="J307" i="10"/>
  <c r="AN307" i="10"/>
  <c r="Y307" i="10"/>
  <c r="K307" i="10"/>
  <c r="Z307" i="10"/>
  <c r="AO307" i="10"/>
  <c r="L307" i="10"/>
  <c r="AA307" i="10"/>
  <c r="AP307" i="10"/>
  <c r="M307" i="10"/>
  <c r="AB307" i="10"/>
  <c r="AQ307" i="10"/>
  <c r="N307" i="10"/>
  <c r="AC307" i="10"/>
  <c r="AR307" i="10"/>
  <c r="O307" i="10"/>
  <c r="AD307" i="10"/>
  <c r="AS307" i="10"/>
  <c r="P307" i="10"/>
  <c r="AE307" i="10"/>
  <c r="AT307" i="10"/>
  <c r="AF307" i="10"/>
  <c r="AU307" i="10"/>
  <c r="Q307" i="10"/>
  <c r="R307" i="10"/>
  <c r="AG307" i="10"/>
  <c r="AV307" i="10"/>
  <c r="H307" i="9"/>
  <c r="W307" i="9"/>
  <c r="AL307" i="9"/>
  <c r="I307" i="9"/>
  <c r="X307" i="9"/>
  <c r="AM307" i="9"/>
  <c r="J307" i="9"/>
  <c r="Y307" i="9"/>
  <c r="AN307" i="9"/>
  <c r="K307" i="9"/>
  <c r="Z307" i="9"/>
  <c r="AO307" i="9"/>
  <c r="L307" i="9"/>
  <c r="AA307" i="9"/>
  <c r="AP307" i="9"/>
  <c r="M307" i="9"/>
  <c r="AB307" i="9"/>
  <c r="AQ307" i="9"/>
  <c r="N307" i="9"/>
  <c r="AC307" i="9"/>
  <c r="AR307" i="9"/>
  <c r="O307" i="9"/>
  <c r="AD307" i="9"/>
  <c r="AS307" i="9"/>
  <c r="P307" i="9"/>
  <c r="AE307" i="9"/>
  <c r="AT307" i="9"/>
  <c r="Q307" i="9"/>
  <c r="AF307" i="9"/>
  <c r="AU307" i="9"/>
  <c r="R307" i="9"/>
  <c r="AG307" i="9"/>
  <c r="AV307" i="9"/>
  <c r="H306" i="7"/>
  <c r="W306" i="7"/>
  <c r="AL306" i="7"/>
  <c r="I306" i="7"/>
  <c r="X306" i="7"/>
  <c r="AM306" i="7"/>
  <c r="J306" i="7"/>
  <c r="Y306" i="7"/>
  <c r="AN306" i="7"/>
  <c r="K306" i="7"/>
  <c r="Z306" i="7"/>
  <c r="AO306" i="7"/>
  <c r="L306" i="7"/>
  <c r="AA306" i="7"/>
  <c r="AP306" i="7"/>
  <c r="N306" i="7"/>
  <c r="AC306" i="7"/>
  <c r="AR306" i="7"/>
  <c r="O306" i="7"/>
  <c r="AD306" i="7"/>
  <c r="AS306" i="7"/>
  <c r="P306" i="7"/>
  <c r="AE306" i="7"/>
  <c r="AT306" i="7"/>
  <c r="Q306" i="7"/>
  <c r="AF306" i="7"/>
  <c r="AU306" i="7"/>
  <c r="R306" i="7"/>
  <c r="AG306" i="7"/>
  <c r="AV306" i="7"/>
  <c r="I306" i="8"/>
  <c r="X306" i="8"/>
  <c r="AM306" i="8"/>
  <c r="J306" i="8"/>
  <c r="AN306" i="8"/>
  <c r="Y306" i="8"/>
  <c r="L306" i="8"/>
  <c r="AA306" i="8"/>
  <c r="AP306" i="8"/>
  <c r="N306" i="8"/>
  <c r="AC306" i="8"/>
  <c r="AR306" i="8"/>
  <c r="AT306" i="8"/>
  <c r="AE306" i="8"/>
  <c r="P306" i="8"/>
  <c r="AF306" i="8"/>
  <c r="AU306" i="8"/>
  <c r="Q306" i="8"/>
  <c r="W306" i="8"/>
  <c r="AL306" i="8"/>
  <c r="H306" i="8"/>
  <c r="AO306" i="8"/>
  <c r="K306" i="8"/>
  <c r="Z306" i="8"/>
  <c r="AB306" i="8"/>
  <c r="AQ306" i="8"/>
  <c r="M306" i="8"/>
  <c r="AS306" i="8"/>
  <c r="O306" i="8"/>
  <c r="AD306" i="8"/>
  <c r="AG306" i="8"/>
  <c r="AV306" i="8"/>
  <c r="R306" i="8"/>
  <c r="M306" i="7"/>
  <c r="AB306" i="7"/>
  <c r="AQ306" i="7"/>
  <c r="D294" i="8"/>
  <c r="S294" i="8"/>
  <c r="AH294" i="8"/>
  <c r="E282" i="8"/>
  <c r="T282" i="8"/>
  <c r="AI282" i="8"/>
  <c r="D277" i="9"/>
  <c r="S277" i="9"/>
  <c r="AH277" i="9"/>
  <c r="D254" i="7"/>
  <c r="S254" i="7"/>
  <c r="AH254" i="7"/>
  <c r="G251" i="9"/>
  <c r="V251" i="9"/>
  <c r="AK251" i="9"/>
  <c r="G247" i="10"/>
  <c r="V247" i="10"/>
  <c r="AK247" i="10"/>
  <c r="D232" i="10"/>
  <c r="S232" i="10"/>
  <c r="AH232" i="10"/>
  <c r="E234" i="9"/>
  <c r="T234" i="9"/>
  <c r="AI234" i="9"/>
  <c r="AY236" i="8"/>
  <c r="C236" i="8"/>
  <c r="AW236" i="8"/>
  <c r="AX237" i="8"/>
  <c r="G237" i="8"/>
  <c r="V237" i="8"/>
  <c r="AK237" i="8"/>
  <c r="E226" i="10"/>
  <c r="T226" i="10"/>
  <c r="AI226" i="10"/>
  <c r="AY218" i="9"/>
  <c r="C218" i="9"/>
  <c r="AX219" i="9"/>
  <c r="AW218" i="9"/>
  <c r="F219" i="9"/>
  <c r="U219" i="9"/>
  <c r="AJ219" i="9"/>
  <c r="C208" i="10"/>
  <c r="AY208" i="10"/>
  <c r="AW208" i="10"/>
  <c r="AX209" i="10"/>
  <c r="F209" i="10"/>
  <c r="U209" i="10"/>
  <c r="AJ209" i="10"/>
  <c r="G148" i="7"/>
  <c r="V148" i="7"/>
  <c r="AK148" i="7"/>
  <c r="E114" i="7"/>
  <c r="T114" i="7"/>
  <c r="AI114" i="7"/>
  <c r="AY107" i="7"/>
  <c r="C107" i="7"/>
  <c r="AW107" i="7"/>
  <c r="AX108" i="7"/>
  <c r="F108" i="7"/>
  <c r="U108" i="7"/>
  <c r="AJ108" i="7"/>
  <c r="AJ251" i="8" l="1"/>
  <c r="U251" i="8"/>
  <c r="F251" i="8"/>
  <c r="H308" i="10"/>
  <c r="AL308" i="10"/>
  <c r="W308" i="10"/>
  <c r="I308" i="10"/>
  <c r="X308" i="10"/>
  <c r="AM308" i="10"/>
  <c r="Y308" i="10"/>
  <c r="AN308" i="10"/>
  <c r="J308" i="10"/>
  <c r="K308" i="10"/>
  <c r="Z308" i="10"/>
  <c r="AO308" i="10"/>
  <c r="L308" i="10"/>
  <c r="AP308" i="10"/>
  <c r="AA308" i="10"/>
  <c r="M308" i="10"/>
  <c r="AB308" i="10"/>
  <c r="AQ308" i="10"/>
  <c r="N308" i="10"/>
  <c r="AC308" i="10"/>
  <c r="AR308" i="10"/>
  <c r="AD308" i="10"/>
  <c r="AS308" i="10"/>
  <c r="O308" i="10"/>
  <c r="AE308" i="10"/>
  <c r="P308" i="10"/>
  <c r="AT308" i="10"/>
  <c r="Q308" i="10"/>
  <c r="AF308" i="10"/>
  <c r="AU308" i="10"/>
  <c r="R308" i="10"/>
  <c r="AG308" i="10"/>
  <c r="AV308" i="10"/>
  <c r="H308" i="9"/>
  <c r="W308" i="9"/>
  <c r="AL308" i="9"/>
  <c r="I308" i="9"/>
  <c r="X308" i="9"/>
  <c r="AM308" i="9"/>
  <c r="J308" i="9"/>
  <c r="Y308" i="9"/>
  <c r="AN308" i="9"/>
  <c r="K308" i="9"/>
  <c r="Z308" i="9"/>
  <c r="AO308" i="9"/>
  <c r="L308" i="9"/>
  <c r="AA308" i="9"/>
  <c r="AP308" i="9"/>
  <c r="M308" i="9"/>
  <c r="AB308" i="9"/>
  <c r="AQ308" i="9"/>
  <c r="N308" i="9"/>
  <c r="AC308" i="9"/>
  <c r="AR308" i="9"/>
  <c r="O308" i="9"/>
  <c r="AD308" i="9"/>
  <c r="AS308" i="9"/>
  <c r="P308" i="9"/>
  <c r="AE308" i="9"/>
  <c r="AT308" i="9"/>
  <c r="Q308" i="9"/>
  <c r="AF308" i="9"/>
  <c r="AU308" i="9"/>
  <c r="R308" i="9"/>
  <c r="AG308" i="9"/>
  <c r="AV308" i="9"/>
  <c r="H307" i="7"/>
  <c r="W307" i="7"/>
  <c r="AL307" i="7"/>
  <c r="I307" i="7"/>
  <c r="X307" i="7"/>
  <c r="AM307" i="7"/>
  <c r="J307" i="7"/>
  <c r="Y307" i="7"/>
  <c r="AN307" i="7"/>
  <c r="K307" i="7"/>
  <c r="Z307" i="7"/>
  <c r="AO307" i="7"/>
  <c r="L307" i="7"/>
  <c r="AA307" i="7"/>
  <c r="AP307" i="7"/>
  <c r="N307" i="7"/>
  <c r="AC307" i="7"/>
  <c r="AR307" i="7"/>
  <c r="O307" i="7"/>
  <c r="AD307" i="7"/>
  <c r="AS307" i="7"/>
  <c r="P307" i="7"/>
  <c r="AE307" i="7"/>
  <c r="AT307" i="7"/>
  <c r="Q307" i="7"/>
  <c r="AF307" i="7"/>
  <c r="AU307" i="7"/>
  <c r="R307" i="7"/>
  <c r="AG307" i="7"/>
  <c r="AV307" i="7"/>
  <c r="AM307" i="8"/>
  <c r="X307" i="8"/>
  <c r="I307" i="8"/>
  <c r="J307" i="8"/>
  <c r="AN307" i="8"/>
  <c r="Y307" i="8"/>
  <c r="AA307" i="8"/>
  <c r="L307" i="8"/>
  <c r="AP307" i="8"/>
  <c r="N307" i="8"/>
  <c r="AC307" i="8"/>
  <c r="AR307" i="8"/>
  <c r="AE307" i="8"/>
  <c r="P307" i="8"/>
  <c r="AT307" i="8"/>
  <c r="Q307" i="8"/>
  <c r="AF307" i="8"/>
  <c r="AU307" i="8"/>
  <c r="W307" i="8"/>
  <c r="H307" i="8"/>
  <c r="AL307" i="8"/>
  <c r="AO307" i="8"/>
  <c r="Z307" i="8"/>
  <c r="K307" i="8"/>
  <c r="M307" i="8"/>
  <c r="AB307" i="8"/>
  <c r="AQ307" i="8"/>
  <c r="O307" i="8"/>
  <c r="AD307" i="8"/>
  <c r="AS307" i="8"/>
  <c r="AV307" i="8"/>
  <c r="R307" i="8"/>
  <c r="AG307" i="8"/>
  <c r="M307" i="7"/>
  <c r="AB307" i="7"/>
  <c r="AQ307" i="7"/>
  <c r="D295" i="8"/>
  <c r="AH295" i="8"/>
  <c r="S295" i="8"/>
  <c r="E283" i="8"/>
  <c r="T283" i="8"/>
  <c r="AI283" i="8"/>
  <c r="D278" i="9"/>
  <c r="S278" i="9"/>
  <c r="AH278" i="9"/>
  <c r="D255" i="7"/>
  <c r="S255" i="7"/>
  <c r="AH255" i="7"/>
  <c r="G252" i="9"/>
  <c r="V252" i="9"/>
  <c r="AK252" i="9"/>
  <c r="G248" i="10"/>
  <c r="V248" i="10"/>
  <c r="AK248" i="10"/>
  <c r="D233" i="10"/>
  <c r="S233" i="10"/>
  <c r="AH233" i="10"/>
  <c r="E235" i="9"/>
  <c r="T235" i="9"/>
  <c r="AI235" i="9"/>
  <c r="C237" i="8"/>
  <c r="AY237" i="8"/>
  <c r="AX238" i="8"/>
  <c r="AW237" i="8"/>
  <c r="W82" i="2" s="1"/>
  <c r="G238" i="8"/>
  <c r="V238" i="8"/>
  <c r="AK238" i="8"/>
  <c r="E227" i="10"/>
  <c r="T227" i="10"/>
  <c r="AI227" i="10"/>
  <c r="C219" i="9"/>
  <c r="AY219" i="9"/>
  <c r="AW219" i="9"/>
  <c r="AX220" i="9"/>
  <c r="F220" i="9"/>
  <c r="U220" i="9"/>
  <c r="AJ220" i="9"/>
  <c r="AY209" i="10"/>
  <c r="C209" i="10"/>
  <c r="AW209" i="10"/>
  <c r="AX210" i="10"/>
  <c r="F210" i="10"/>
  <c r="U210" i="10"/>
  <c r="AJ210" i="10"/>
  <c r="G149" i="7"/>
  <c r="V149" i="7"/>
  <c r="AK149" i="7"/>
  <c r="E115" i="7"/>
  <c r="T115" i="7"/>
  <c r="AI115" i="7"/>
  <c r="AY108" i="7"/>
  <c r="C108" i="7"/>
  <c r="AW108" i="7"/>
  <c r="X39" i="2" s="1"/>
  <c r="AX109" i="7"/>
  <c r="F109" i="7"/>
  <c r="U109" i="7"/>
  <c r="AJ109" i="7"/>
  <c r="AJ252" i="8" l="1"/>
  <c r="U252" i="8"/>
  <c r="F252" i="8"/>
  <c r="H309" i="10"/>
  <c r="W309" i="10"/>
  <c r="AL309" i="10"/>
  <c r="I309" i="10"/>
  <c r="X309" i="10"/>
  <c r="AM309" i="10"/>
  <c r="J309" i="10"/>
  <c r="Y309" i="10"/>
  <c r="AN309" i="10"/>
  <c r="AO309" i="10"/>
  <c r="K309" i="10"/>
  <c r="Z309" i="10"/>
  <c r="AA309" i="10"/>
  <c r="L309" i="10"/>
  <c r="AP309" i="10"/>
  <c r="M309" i="10"/>
  <c r="AB309" i="10"/>
  <c r="AQ309" i="10"/>
  <c r="N309" i="10"/>
  <c r="AC309" i="10"/>
  <c r="AR309" i="10"/>
  <c r="AD309" i="10"/>
  <c r="AS309" i="10"/>
  <c r="O309" i="10"/>
  <c r="P309" i="10"/>
  <c r="AE309" i="10"/>
  <c r="AT309" i="10"/>
  <c r="AF309" i="10"/>
  <c r="AU309" i="10"/>
  <c r="Q309" i="10"/>
  <c r="R309" i="10"/>
  <c r="AG309" i="10"/>
  <c r="AV309" i="10"/>
  <c r="H309" i="9"/>
  <c r="W309" i="9"/>
  <c r="AL309" i="9"/>
  <c r="I309" i="9"/>
  <c r="X309" i="9"/>
  <c r="AM309" i="9"/>
  <c r="J309" i="9"/>
  <c r="Y309" i="9"/>
  <c r="AN309" i="9"/>
  <c r="K309" i="9"/>
  <c r="Z309" i="9"/>
  <c r="AO309" i="9"/>
  <c r="L309" i="9"/>
  <c r="AA309" i="9"/>
  <c r="AP309" i="9"/>
  <c r="M309" i="9"/>
  <c r="AB309" i="9"/>
  <c r="AQ309" i="9"/>
  <c r="N309" i="9"/>
  <c r="AC309" i="9"/>
  <c r="AR309" i="9"/>
  <c r="O309" i="9"/>
  <c r="AD309" i="9"/>
  <c r="AS309" i="9"/>
  <c r="P309" i="9"/>
  <c r="AE309" i="9"/>
  <c r="AT309" i="9"/>
  <c r="Q309" i="9"/>
  <c r="AF309" i="9"/>
  <c r="AU309" i="9"/>
  <c r="R309" i="9"/>
  <c r="AG309" i="9"/>
  <c r="AV309" i="9"/>
  <c r="H308" i="7"/>
  <c r="W308" i="7"/>
  <c r="AL308" i="7"/>
  <c r="I308" i="7"/>
  <c r="X308" i="7"/>
  <c r="AM308" i="7"/>
  <c r="J308" i="7"/>
  <c r="Y308" i="7"/>
  <c r="AN308" i="7"/>
  <c r="K308" i="7"/>
  <c r="Z308" i="7"/>
  <c r="AO308" i="7"/>
  <c r="L308" i="7"/>
  <c r="AA308" i="7"/>
  <c r="AP308" i="7"/>
  <c r="N308" i="7"/>
  <c r="AC308" i="7"/>
  <c r="AR308" i="7"/>
  <c r="O308" i="7"/>
  <c r="AD308" i="7"/>
  <c r="AS308" i="7"/>
  <c r="P308" i="7"/>
  <c r="AE308" i="7"/>
  <c r="AT308" i="7"/>
  <c r="Q308" i="7"/>
  <c r="AF308" i="7"/>
  <c r="AU308" i="7"/>
  <c r="R308" i="7"/>
  <c r="AG308" i="7"/>
  <c r="AV308" i="7"/>
  <c r="I308" i="8"/>
  <c r="X308" i="8"/>
  <c r="AM308" i="8"/>
  <c r="J308" i="8"/>
  <c r="Y308" i="8"/>
  <c r="AN308" i="8"/>
  <c r="L308" i="8"/>
  <c r="AP308" i="8"/>
  <c r="AA308" i="8"/>
  <c r="AC308" i="8"/>
  <c r="AR308" i="8"/>
  <c r="N308" i="8"/>
  <c r="AE308" i="8"/>
  <c r="AT308" i="8"/>
  <c r="P308" i="8"/>
  <c r="AU308" i="8"/>
  <c r="Q308" i="8"/>
  <c r="AF308" i="8"/>
  <c r="H308" i="8"/>
  <c r="W308" i="8"/>
  <c r="AL308" i="8"/>
  <c r="K308" i="8"/>
  <c r="AO308" i="8"/>
  <c r="Z308" i="8"/>
  <c r="M308" i="8"/>
  <c r="AB308" i="8"/>
  <c r="AQ308" i="8"/>
  <c r="O308" i="8"/>
  <c r="AD308" i="8"/>
  <c r="AS308" i="8"/>
  <c r="R308" i="8"/>
  <c r="AG308" i="8"/>
  <c r="AV308" i="8"/>
  <c r="M308" i="7"/>
  <c r="AB308" i="7"/>
  <c r="AQ308" i="7"/>
  <c r="S296" i="8"/>
  <c r="AH296" i="8"/>
  <c r="D296" i="8"/>
  <c r="E284" i="8"/>
  <c r="T284" i="8"/>
  <c r="AI284" i="8"/>
  <c r="D279" i="9"/>
  <c r="S279" i="9"/>
  <c r="AH279" i="9"/>
  <c r="D256" i="7"/>
  <c r="S256" i="7"/>
  <c r="AH256" i="7"/>
  <c r="G253" i="9"/>
  <c r="V253" i="9"/>
  <c r="AK253" i="9"/>
  <c r="G249" i="10"/>
  <c r="V249" i="10"/>
  <c r="AK249" i="10"/>
  <c r="D234" i="10"/>
  <c r="S234" i="10"/>
  <c r="AH234" i="10"/>
  <c r="E236" i="9"/>
  <c r="T236" i="9"/>
  <c r="AI236" i="9"/>
  <c r="AY238" i="8"/>
  <c r="C238" i="8"/>
  <c r="AX239" i="8"/>
  <c r="AW238" i="8"/>
  <c r="G239" i="8"/>
  <c r="V239" i="8"/>
  <c r="AK239" i="8"/>
  <c r="E228" i="10"/>
  <c r="T228" i="10"/>
  <c r="AI228" i="10"/>
  <c r="AY220" i="9"/>
  <c r="C220" i="9"/>
  <c r="AX221" i="9"/>
  <c r="AW220" i="9"/>
  <c r="F221" i="9"/>
  <c r="U221" i="9"/>
  <c r="AJ221" i="9"/>
  <c r="C210" i="10"/>
  <c r="AY210" i="10"/>
  <c r="AX211" i="10"/>
  <c r="AW210" i="10"/>
  <c r="F211" i="10"/>
  <c r="U211" i="10"/>
  <c r="AJ211" i="10"/>
  <c r="G150" i="7"/>
  <c r="V150" i="7"/>
  <c r="AK150" i="7"/>
  <c r="E116" i="7"/>
  <c r="T116" i="7"/>
  <c r="AI116" i="7"/>
  <c r="AY109" i="7"/>
  <c r="C109" i="7"/>
  <c r="AW109" i="7"/>
  <c r="AX110" i="7"/>
  <c r="F110" i="7"/>
  <c r="U110" i="7"/>
  <c r="AJ110" i="7"/>
  <c r="U253" i="8" l="1"/>
  <c r="AJ253" i="8"/>
  <c r="F253" i="8"/>
  <c r="H310" i="10"/>
  <c r="W310" i="10"/>
  <c r="AL310" i="10"/>
  <c r="I310" i="10"/>
  <c r="X310" i="10"/>
  <c r="AM310" i="10"/>
  <c r="J310" i="10"/>
  <c r="Y310" i="10"/>
  <c r="AN310" i="10"/>
  <c r="K310" i="10"/>
  <c r="AO310" i="10"/>
  <c r="Z310" i="10"/>
  <c r="AA310" i="10"/>
  <c r="AP310" i="10"/>
  <c r="L310" i="10"/>
  <c r="M310" i="10"/>
  <c r="AB310" i="10"/>
  <c r="AQ310" i="10"/>
  <c r="AC310" i="10"/>
  <c r="N310" i="10"/>
  <c r="AR310" i="10"/>
  <c r="O310" i="10"/>
  <c r="AS310" i="10"/>
  <c r="AD310" i="10"/>
  <c r="P310" i="10"/>
  <c r="AE310" i="10"/>
  <c r="AT310" i="10"/>
  <c r="Q310" i="10"/>
  <c r="AF310" i="10"/>
  <c r="AU310" i="10"/>
  <c r="R310" i="10"/>
  <c r="AG310" i="10"/>
  <c r="AV310" i="10"/>
  <c r="H310" i="9"/>
  <c r="W310" i="9"/>
  <c r="AL310" i="9"/>
  <c r="I310" i="9"/>
  <c r="X310" i="9"/>
  <c r="AM310" i="9"/>
  <c r="J310" i="9"/>
  <c r="Y310" i="9"/>
  <c r="AN310" i="9"/>
  <c r="K310" i="9"/>
  <c r="Z310" i="9"/>
  <c r="AO310" i="9"/>
  <c r="L310" i="9"/>
  <c r="AA310" i="9"/>
  <c r="AP310" i="9"/>
  <c r="M310" i="9"/>
  <c r="AB310" i="9"/>
  <c r="AQ310" i="9"/>
  <c r="N310" i="9"/>
  <c r="AC310" i="9"/>
  <c r="AR310" i="9"/>
  <c r="O310" i="9"/>
  <c r="AD310" i="9"/>
  <c r="AS310" i="9"/>
  <c r="P310" i="9"/>
  <c r="AE310" i="9"/>
  <c r="AT310" i="9"/>
  <c r="Q310" i="9"/>
  <c r="AF310" i="9"/>
  <c r="AU310" i="9"/>
  <c r="R310" i="9"/>
  <c r="AG310" i="9"/>
  <c r="AV310" i="9"/>
  <c r="H309" i="7"/>
  <c r="W309" i="7"/>
  <c r="AL309" i="7"/>
  <c r="I309" i="7"/>
  <c r="X309" i="7"/>
  <c r="AM309" i="7"/>
  <c r="J309" i="7"/>
  <c r="Y309" i="7"/>
  <c r="AN309" i="7"/>
  <c r="K309" i="7"/>
  <c r="Z309" i="7"/>
  <c r="AO309" i="7"/>
  <c r="L309" i="7"/>
  <c r="AA309" i="7"/>
  <c r="AP309" i="7"/>
  <c r="N309" i="7"/>
  <c r="AC309" i="7"/>
  <c r="AR309" i="7"/>
  <c r="O309" i="7"/>
  <c r="AD309" i="7"/>
  <c r="AS309" i="7"/>
  <c r="P309" i="7"/>
  <c r="AE309" i="7"/>
  <c r="AT309" i="7"/>
  <c r="Q309" i="7"/>
  <c r="AF309" i="7"/>
  <c r="AU309" i="7"/>
  <c r="R309" i="7"/>
  <c r="AG309" i="7"/>
  <c r="AV309" i="7"/>
  <c r="X309" i="8"/>
  <c r="I309" i="8"/>
  <c r="AM309" i="8"/>
  <c r="Y309" i="8"/>
  <c r="AN309" i="8"/>
  <c r="J309" i="8"/>
  <c r="L309" i="8"/>
  <c r="AA309" i="8"/>
  <c r="AP309" i="8"/>
  <c r="AR309" i="8"/>
  <c r="N309" i="8"/>
  <c r="AC309" i="8"/>
  <c r="P309" i="8"/>
  <c r="AT309" i="8"/>
  <c r="AE309" i="8"/>
  <c r="AU309" i="8"/>
  <c r="Q309" i="8"/>
  <c r="AF309" i="8"/>
  <c r="H309" i="8"/>
  <c r="W309" i="8"/>
  <c r="AL309" i="8"/>
  <c r="K309" i="8"/>
  <c r="Z309" i="8"/>
  <c r="AO309" i="8"/>
  <c r="AQ309" i="8"/>
  <c r="M309" i="8"/>
  <c r="AB309" i="8"/>
  <c r="O309" i="8"/>
  <c r="AD309" i="8"/>
  <c r="AS309" i="8"/>
  <c r="R309" i="8"/>
  <c r="AG309" i="8"/>
  <c r="AV309" i="8"/>
  <c r="M309" i="7"/>
  <c r="AB309" i="7"/>
  <c r="AQ309" i="7"/>
  <c r="D297" i="8"/>
  <c r="AH297" i="8"/>
  <c r="S297" i="8"/>
  <c r="E285" i="8"/>
  <c r="T285" i="8"/>
  <c r="AI285" i="8"/>
  <c r="D280" i="9"/>
  <c r="S280" i="9"/>
  <c r="AH280" i="9"/>
  <c r="D257" i="7"/>
  <c r="S257" i="7"/>
  <c r="AH257" i="7"/>
  <c r="G254" i="9"/>
  <c r="V254" i="9"/>
  <c r="AK254" i="9"/>
  <c r="G250" i="10"/>
  <c r="V250" i="10"/>
  <c r="AK250" i="10"/>
  <c r="D235" i="10"/>
  <c r="S235" i="10"/>
  <c r="AH235" i="10"/>
  <c r="E237" i="9"/>
  <c r="T237" i="9"/>
  <c r="AI237" i="9"/>
  <c r="AY239" i="8"/>
  <c r="C239" i="8"/>
  <c r="AX240" i="8"/>
  <c r="AW239" i="8"/>
  <c r="G240" i="8"/>
  <c r="V240" i="8"/>
  <c r="AK240" i="8"/>
  <c r="E229" i="10"/>
  <c r="T229" i="10"/>
  <c r="AI229" i="10"/>
  <c r="C221" i="9"/>
  <c r="AY221" i="9"/>
  <c r="AW221" i="9"/>
  <c r="AX222" i="9"/>
  <c r="F222" i="9"/>
  <c r="U222" i="9"/>
  <c r="AJ222" i="9"/>
  <c r="AY211" i="10"/>
  <c r="C211" i="10"/>
  <c r="AX212" i="10"/>
  <c r="AW211" i="10"/>
  <c r="F212" i="10"/>
  <c r="U212" i="10"/>
  <c r="AJ212" i="10"/>
  <c r="G151" i="7"/>
  <c r="V151" i="7"/>
  <c r="AK151" i="7"/>
  <c r="E117" i="7"/>
  <c r="T117" i="7"/>
  <c r="AI117" i="7"/>
  <c r="AY110" i="7"/>
  <c r="C110" i="7"/>
  <c r="AX111" i="7"/>
  <c r="AW110" i="7"/>
  <c r="F111" i="7"/>
  <c r="U111" i="7"/>
  <c r="AJ111" i="7"/>
  <c r="AJ254" i="8" l="1"/>
  <c r="U254" i="8"/>
  <c r="F254" i="8"/>
  <c r="W311" i="10"/>
  <c r="H311" i="10"/>
  <c r="AL311" i="10"/>
  <c r="AM311" i="10"/>
  <c r="I311" i="10"/>
  <c r="X311" i="10"/>
  <c r="J311" i="10"/>
  <c r="Y311" i="10"/>
  <c r="AN311" i="10"/>
  <c r="K311" i="10"/>
  <c r="AO311" i="10"/>
  <c r="Z311" i="10"/>
  <c r="L311" i="10"/>
  <c r="AA311" i="10"/>
  <c r="AP311" i="10"/>
  <c r="M311" i="10"/>
  <c r="AB311" i="10"/>
  <c r="AQ311" i="10"/>
  <c r="N311" i="10"/>
  <c r="AC311" i="10"/>
  <c r="AR311" i="10"/>
  <c r="O311" i="10"/>
  <c r="AD311" i="10"/>
  <c r="AS311" i="10"/>
  <c r="P311" i="10"/>
  <c r="AE311" i="10"/>
  <c r="AT311" i="10"/>
  <c r="Q311" i="10"/>
  <c r="AF311" i="10"/>
  <c r="AU311" i="10"/>
  <c r="R311" i="10"/>
  <c r="AG311" i="10"/>
  <c r="AV311" i="10"/>
  <c r="H311" i="9"/>
  <c r="W311" i="9"/>
  <c r="AL311" i="9"/>
  <c r="I311" i="9"/>
  <c r="X311" i="9"/>
  <c r="AM311" i="9"/>
  <c r="J311" i="9"/>
  <c r="Y311" i="9"/>
  <c r="AN311" i="9"/>
  <c r="K311" i="9"/>
  <c r="Z311" i="9"/>
  <c r="AO311" i="9"/>
  <c r="L311" i="9"/>
  <c r="AA311" i="9"/>
  <c r="AP311" i="9"/>
  <c r="M311" i="9"/>
  <c r="AB311" i="9"/>
  <c r="AQ311" i="9"/>
  <c r="N311" i="9"/>
  <c r="AC311" i="9"/>
  <c r="AR311" i="9"/>
  <c r="O311" i="9"/>
  <c r="AD311" i="9"/>
  <c r="AS311" i="9"/>
  <c r="P311" i="9"/>
  <c r="AE311" i="9"/>
  <c r="AT311" i="9"/>
  <c r="Q311" i="9"/>
  <c r="AF311" i="9"/>
  <c r="AU311" i="9"/>
  <c r="R311" i="9"/>
  <c r="AG311" i="9"/>
  <c r="AV311" i="9"/>
  <c r="H310" i="7"/>
  <c r="W310" i="7"/>
  <c r="AL310" i="7"/>
  <c r="I310" i="7"/>
  <c r="X310" i="7"/>
  <c r="AM310" i="7"/>
  <c r="J310" i="7"/>
  <c r="Y310" i="7"/>
  <c r="AN310" i="7"/>
  <c r="K310" i="7"/>
  <c r="Z310" i="7"/>
  <c r="AO310" i="7"/>
  <c r="L310" i="7"/>
  <c r="AA310" i="7"/>
  <c r="AP310" i="7"/>
  <c r="N310" i="7"/>
  <c r="AC310" i="7"/>
  <c r="AR310" i="7"/>
  <c r="O310" i="7"/>
  <c r="AD310" i="7"/>
  <c r="AS310" i="7"/>
  <c r="P310" i="7"/>
  <c r="AE310" i="7"/>
  <c r="AT310" i="7"/>
  <c r="Q310" i="7"/>
  <c r="AF310" i="7"/>
  <c r="AU310" i="7"/>
  <c r="R310" i="7"/>
  <c r="AG310" i="7"/>
  <c r="AV310" i="7"/>
  <c r="AM310" i="8"/>
  <c r="X310" i="8"/>
  <c r="I310" i="8"/>
  <c r="J310" i="8"/>
  <c r="AN310" i="8"/>
  <c r="Y310" i="8"/>
  <c r="L310" i="8"/>
  <c r="AA310" i="8"/>
  <c r="AP310" i="8"/>
  <c r="N310" i="8"/>
  <c r="AC310" i="8"/>
  <c r="AR310" i="8"/>
  <c r="P310" i="8"/>
  <c r="AE310" i="8"/>
  <c r="AT310" i="8"/>
  <c r="Q310" i="8"/>
  <c r="AU310" i="8"/>
  <c r="AF310" i="8"/>
  <c r="W310" i="8"/>
  <c r="AL310" i="8"/>
  <c r="H310" i="8"/>
  <c r="K310" i="8"/>
  <c r="Z310" i="8"/>
  <c r="AO310" i="8"/>
  <c r="M310" i="8"/>
  <c r="AB310" i="8"/>
  <c r="AQ310" i="8"/>
  <c r="AD310" i="8"/>
  <c r="AS310" i="8"/>
  <c r="O310" i="8"/>
  <c r="AG310" i="8"/>
  <c r="R310" i="8"/>
  <c r="AV310" i="8"/>
  <c r="M310" i="7"/>
  <c r="AB310" i="7"/>
  <c r="AQ310" i="7"/>
  <c r="D298" i="8"/>
  <c r="S298" i="8"/>
  <c r="AH298" i="8"/>
  <c r="E286" i="8"/>
  <c r="T286" i="8"/>
  <c r="AI286" i="8"/>
  <c r="D281" i="9"/>
  <c r="S281" i="9"/>
  <c r="AH281" i="9"/>
  <c r="D258" i="7"/>
  <c r="S258" i="7"/>
  <c r="AH258" i="7"/>
  <c r="G255" i="9"/>
  <c r="V255" i="9"/>
  <c r="AK255" i="9"/>
  <c r="G251" i="10"/>
  <c r="V251" i="10"/>
  <c r="AK251" i="10"/>
  <c r="D236" i="10"/>
  <c r="S236" i="10"/>
  <c r="AH236" i="10"/>
  <c r="E238" i="9"/>
  <c r="T238" i="9"/>
  <c r="AI238" i="9"/>
  <c r="AY240" i="8"/>
  <c r="C240" i="8"/>
  <c r="AX241" i="8"/>
  <c r="AW240" i="8"/>
  <c r="W83" i="2" s="1"/>
  <c r="G241" i="8"/>
  <c r="V241" i="8"/>
  <c r="AK241" i="8"/>
  <c r="E230" i="10"/>
  <c r="T230" i="10"/>
  <c r="AI230" i="10"/>
  <c r="C222" i="9"/>
  <c r="AY222" i="9"/>
  <c r="AX223" i="9"/>
  <c r="AW222" i="9"/>
  <c r="F223" i="9"/>
  <c r="U223" i="9"/>
  <c r="AJ223" i="9"/>
  <c r="C212" i="10"/>
  <c r="AY212" i="10"/>
  <c r="AW212" i="10"/>
  <c r="AX213" i="10"/>
  <c r="F213" i="10"/>
  <c r="U213" i="10"/>
  <c r="AJ213" i="10"/>
  <c r="G152" i="7"/>
  <c r="V152" i="7"/>
  <c r="AK152" i="7"/>
  <c r="E118" i="7"/>
  <c r="T118" i="7"/>
  <c r="AI118" i="7"/>
  <c r="AY111" i="7"/>
  <c r="C111" i="7"/>
  <c r="AX112" i="7"/>
  <c r="AW111" i="7"/>
  <c r="X40" i="2" s="1"/>
  <c r="F112" i="7"/>
  <c r="U112" i="7"/>
  <c r="AJ112" i="7"/>
  <c r="F255" i="8" l="1"/>
  <c r="U255" i="8"/>
  <c r="AJ255" i="8"/>
  <c r="H312" i="10"/>
  <c r="AL312" i="10"/>
  <c r="W312" i="10"/>
  <c r="I312" i="10"/>
  <c r="X312" i="10"/>
  <c r="AM312" i="10"/>
  <c r="Y312" i="10"/>
  <c r="J312" i="10"/>
  <c r="AN312" i="10"/>
  <c r="Z312" i="10"/>
  <c r="K312" i="10"/>
  <c r="AO312" i="10"/>
  <c r="AA312" i="10"/>
  <c r="AP312" i="10"/>
  <c r="L312" i="10"/>
  <c r="M312" i="10"/>
  <c r="AB312" i="10"/>
  <c r="AQ312" i="10"/>
  <c r="N312" i="10"/>
  <c r="AC312" i="10"/>
  <c r="AR312" i="10"/>
  <c r="AS312" i="10"/>
  <c r="O312" i="10"/>
  <c r="AD312" i="10"/>
  <c r="AT312" i="10"/>
  <c r="P312" i="10"/>
  <c r="AE312" i="10"/>
  <c r="Q312" i="10"/>
  <c r="AF312" i="10"/>
  <c r="AU312" i="10"/>
  <c r="AG312" i="10"/>
  <c r="R312" i="10"/>
  <c r="AV312" i="10"/>
  <c r="H312" i="9"/>
  <c r="W312" i="9"/>
  <c r="AL312" i="9"/>
  <c r="I312" i="9"/>
  <c r="X312" i="9"/>
  <c r="AM312" i="9"/>
  <c r="J312" i="9"/>
  <c r="Y312" i="9"/>
  <c r="AN312" i="9"/>
  <c r="K312" i="9"/>
  <c r="Z312" i="9"/>
  <c r="AO312" i="9"/>
  <c r="L312" i="9"/>
  <c r="AA312" i="9"/>
  <c r="AP312" i="9"/>
  <c r="M312" i="9"/>
  <c r="AB312" i="9"/>
  <c r="AQ312" i="9"/>
  <c r="N312" i="9"/>
  <c r="AC312" i="9"/>
  <c r="AR312" i="9"/>
  <c r="O312" i="9"/>
  <c r="AD312" i="9"/>
  <c r="AS312" i="9"/>
  <c r="P312" i="9"/>
  <c r="AE312" i="9"/>
  <c r="AT312" i="9"/>
  <c r="Q312" i="9"/>
  <c r="AF312" i="9"/>
  <c r="AU312" i="9"/>
  <c r="R312" i="9"/>
  <c r="AG312" i="9"/>
  <c r="AV312" i="9"/>
  <c r="H311" i="7"/>
  <c r="W311" i="7"/>
  <c r="AL311" i="7"/>
  <c r="I311" i="7"/>
  <c r="X311" i="7"/>
  <c r="AM311" i="7"/>
  <c r="J311" i="7"/>
  <c r="Y311" i="7"/>
  <c r="AN311" i="7"/>
  <c r="K311" i="7"/>
  <c r="Z311" i="7"/>
  <c r="AO311" i="7"/>
  <c r="L311" i="7"/>
  <c r="AA311" i="7"/>
  <c r="AP311" i="7"/>
  <c r="N311" i="7"/>
  <c r="AC311" i="7"/>
  <c r="AR311" i="7"/>
  <c r="O311" i="7"/>
  <c r="AD311" i="7"/>
  <c r="AS311" i="7"/>
  <c r="P311" i="7"/>
  <c r="AE311" i="7"/>
  <c r="AT311" i="7"/>
  <c r="Q311" i="7"/>
  <c r="AF311" i="7"/>
  <c r="AU311" i="7"/>
  <c r="R311" i="7"/>
  <c r="AG311" i="7"/>
  <c r="AV311" i="7"/>
  <c r="I311" i="8"/>
  <c r="X311" i="8"/>
  <c r="AM311" i="8"/>
  <c r="J311" i="8"/>
  <c r="Y311" i="8"/>
  <c r="AN311" i="8"/>
  <c r="L311" i="8"/>
  <c r="AA311" i="8"/>
  <c r="AP311" i="8"/>
  <c r="AC311" i="8"/>
  <c r="N311" i="8"/>
  <c r="AR311" i="8"/>
  <c r="AE311" i="8"/>
  <c r="P311" i="8"/>
  <c r="AT311" i="8"/>
  <c r="AF311" i="8"/>
  <c r="Q311" i="8"/>
  <c r="AU311" i="8"/>
  <c r="H311" i="8"/>
  <c r="AL311" i="8"/>
  <c r="W311" i="8"/>
  <c r="Z311" i="8"/>
  <c r="AO311" i="8"/>
  <c r="K311" i="8"/>
  <c r="AQ311" i="8"/>
  <c r="M311" i="8"/>
  <c r="AB311" i="8"/>
  <c r="AD311" i="8"/>
  <c r="O311" i="8"/>
  <c r="AS311" i="8"/>
  <c r="R311" i="8"/>
  <c r="AG311" i="8"/>
  <c r="AV311" i="8"/>
  <c r="M311" i="7"/>
  <c r="AB311" i="7"/>
  <c r="AQ311" i="7"/>
  <c r="S299" i="8"/>
  <c r="AH299" i="8"/>
  <c r="D299" i="8"/>
  <c r="E287" i="8"/>
  <c r="T287" i="8"/>
  <c r="AI287" i="8"/>
  <c r="D282" i="9"/>
  <c r="S282" i="9"/>
  <c r="AH282" i="9"/>
  <c r="D259" i="7"/>
  <c r="S259" i="7"/>
  <c r="AH259" i="7"/>
  <c r="G256" i="9"/>
  <c r="V256" i="9"/>
  <c r="AK256" i="9"/>
  <c r="G252" i="10"/>
  <c r="V252" i="10"/>
  <c r="AK252" i="10"/>
  <c r="D237" i="10"/>
  <c r="S237" i="10"/>
  <c r="AH237" i="10"/>
  <c r="E239" i="9"/>
  <c r="T239" i="9"/>
  <c r="AI239" i="9"/>
  <c r="AY241" i="8"/>
  <c r="C241" i="8"/>
  <c r="AW241" i="8"/>
  <c r="AX242" i="8"/>
  <c r="G242" i="8"/>
  <c r="V242" i="8"/>
  <c r="AK242" i="8"/>
  <c r="E231" i="10"/>
  <c r="T231" i="10"/>
  <c r="AI231" i="10"/>
  <c r="AY223" i="9"/>
  <c r="C223" i="9"/>
  <c r="AX224" i="9"/>
  <c r="AW223" i="9"/>
  <c r="F224" i="9"/>
  <c r="U224" i="9"/>
  <c r="AJ224" i="9"/>
  <c r="AY213" i="10"/>
  <c r="C213" i="10"/>
  <c r="AW213" i="10"/>
  <c r="AX214" i="10"/>
  <c r="F214" i="10"/>
  <c r="U214" i="10"/>
  <c r="AJ214" i="10"/>
  <c r="G153" i="7"/>
  <c r="V153" i="7"/>
  <c r="AK153" i="7"/>
  <c r="E119" i="7"/>
  <c r="T119" i="7"/>
  <c r="AI119" i="7"/>
  <c r="C112" i="7"/>
  <c r="AY112" i="7"/>
  <c r="AX113" i="7"/>
  <c r="AW112" i="7"/>
  <c r="F113" i="7"/>
  <c r="U113" i="7"/>
  <c r="AJ113" i="7"/>
  <c r="AJ256" i="8" l="1"/>
  <c r="U256" i="8"/>
  <c r="F256" i="8"/>
  <c r="H313" i="10"/>
  <c r="W313" i="10"/>
  <c r="AL313" i="10"/>
  <c r="I313" i="10"/>
  <c r="X313" i="10"/>
  <c r="AM313" i="10"/>
  <c r="J313" i="10"/>
  <c r="Y313" i="10"/>
  <c r="AN313" i="10"/>
  <c r="K313" i="10"/>
  <c r="Z313" i="10"/>
  <c r="AO313" i="10"/>
  <c r="L313" i="10"/>
  <c r="AA313" i="10"/>
  <c r="AP313" i="10"/>
  <c r="AB313" i="10"/>
  <c r="M313" i="10"/>
  <c r="AQ313" i="10"/>
  <c r="N313" i="10"/>
  <c r="AR313" i="10"/>
  <c r="AC313" i="10"/>
  <c r="AS313" i="10"/>
  <c r="O313" i="10"/>
  <c r="AD313" i="10"/>
  <c r="AE313" i="10"/>
  <c r="AT313" i="10"/>
  <c r="P313" i="10"/>
  <c r="Q313" i="10"/>
  <c r="AF313" i="10"/>
  <c r="AU313" i="10"/>
  <c r="R313" i="10"/>
  <c r="AV313" i="10"/>
  <c r="AG313" i="10"/>
  <c r="H313" i="9"/>
  <c r="W313" i="9"/>
  <c r="AL313" i="9"/>
  <c r="I313" i="9"/>
  <c r="X313" i="9"/>
  <c r="AM313" i="9"/>
  <c r="J313" i="9"/>
  <c r="Y313" i="9"/>
  <c r="AN313" i="9"/>
  <c r="K313" i="9"/>
  <c r="Z313" i="9"/>
  <c r="AO313" i="9"/>
  <c r="L313" i="9"/>
  <c r="AA313" i="9"/>
  <c r="AP313" i="9"/>
  <c r="M313" i="9"/>
  <c r="AB313" i="9"/>
  <c r="AQ313" i="9"/>
  <c r="N313" i="9"/>
  <c r="AC313" i="9"/>
  <c r="AR313" i="9"/>
  <c r="O313" i="9"/>
  <c r="AD313" i="9"/>
  <c r="AS313" i="9"/>
  <c r="P313" i="9"/>
  <c r="AE313" i="9"/>
  <c r="AT313" i="9"/>
  <c r="Q313" i="9"/>
  <c r="AF313" i="9"/>
  <c r="AU313" i="9"/>
  <c r="R313" i="9"/>
  <c r="AG313" i="9"/>
  <c r="AV313" i="9"/>
  <c r="H312" i="7"/>
  <c r="W312" i="7"/>
  <c r="AL312" i="7"/>
  <c r="I312" i="7"/>
  <c r="X312" i="7"/>
  <c r="AM312" i="7"/>
  <c r="J312" i="7"/>
  <c r="Y312" i="7"/>
  <c r="AN312" i="7"/>
  <c r="K312" i="7"/>
  <c r="Z312" i="7"/>
  <c r="AO312" i="7"/>
  <c r="L312" i="7"/>
  <c r="AA312" i="7"/>
  <c r="AP312" i="7"/>
  <c r="N312" i="7"/>
  <c r="AC312" i="7"/>
  <c r="AR312" i="7"/>
  <c r="O312" i="7"/>
  <c r="AD312" i="7"/>
  <c r="AS312" i="7"/>
  <c r="P312" i="7"/>
  <c r="AE312" i="7"/>
  <c r="AT312" i="7"/>
  <c r="Q312" i="7"/>
  <c r="AF312" i="7"/>
  <c r="AU312" i="7"/>
  <c r="R312" i="7"/>
  <c r="AG312" i="7"/>
  <c r="AV312" i="7"/>
  <c r="X312" i="8"/>
  <c r="AM312" i="8"/>
  <c r="I312" i="8"/>
  <c r="J312" i="8"/>
  <c r="Y312" i="8"/>
  <c r="AN312" i="8"/>
  <c r="L312" i="8"/>
  <c r="AA312" i="8"/>
  <c r="AP312" i="8"/>
  <c r="AC312" i="8"/>
  <c r="AR312" i="8"/>
  <c r="N312" i="8"/>
  <c r="AE312" i="8"/>
  <c r="AT312" i="8"/>
  <c r="P312" i="8"/>
  <c r="Q312" i="8"/>
  <c r="AF312" i="8"/>
  <c r="AU312" i="8"/>
  <c r="AL312" i="8"/>
  <c r="H312" i="8"/>
  <c r="W312" i="8"/>
  <c r="K312" i="8"/>
  <c r="Z312" i="8"/>
  <c r="AO312" i="8"/>
  <c r="M312" i="8"/>
  <c r="AB312" i="8"/>
  <c r="AQ312" i="8"/>
  <c r="O312" i="8"/>
  <c r="AD312" i="8"/>
  <c r="AS312" i="8"/>
  <c r="R312" i="8"/>
  <c r="AV312" i="8"/>
  <c r="AG312" i="8"/>
  <c r="M312" i="7"/>
  <c r="AB312" i="7"/>
  <c r="AQ312" i="7"/>
  <c r="S300" i="8"/>
  <c r="AH300" i="8"/>
  <c r="D300" i="8"/>
  <c r="E288" i="8"/>
  <c r="AI288" i="8"/>
  <c r="T288" i="8"/>
  <c r="D283" i="9"/>
  <c r="S283" i="9"/>
  <c r="AH283" i="9"/>
  <c r="D260" i="7"/>
  <c r="S260" i="7"/>
  <c r="AH260" i="7"/>
  <c r="G257" i="9"/>
  <c r="V257" i="9"/>
  <c r="AK257" i="9"/>
  <c r="G253" i="10"/>
  <c r="V253" i="10"/>
  <c r="AK253" i="10"/>
  <c r="D238" i="10"/>
  <c r="S238" i="10"/>
  <c r="AH238" i="10"/>
  <c r="E240" i="9"/>
  <c r="T240" i="9"/>
  <c r="AI240" i="9"/>
  <c r="C242" i="8"/>
  <c r="AY242" i="8"/>
  <c r="AW242" i="8"/>
  <c r="AX243" i="8"/>
  <c r="G243" i="8"/>
  <c r="V243" i="8"/>
  <c r="AK243" i="8"/>
  <c r="E232" i="10"/>
  <c r="T232" i="10"/>
  <c r="AI232" i="10"/>
  <c r="AY224" i="9"/>
  <c r="C224" i="9"/>
  <c r="AX225" i="9"/>
  <c r="AW224" i="9"/>
  <c r="F225" i="9"/>
  <c r="U225" i="9"/>
  <c r="AJ225" i="9"/>
  <c r="AY214" i="10"/>
  <c r="C214" i="10"/>
  <c r="AW214" i="10"/>
  <c r="AX215" i="10"/>
  <c r="F215" i="10"/>
  <c r="U215" i="10"/>
  <c r="AJ215" i="10"/>
  <c r="G154" i="7"/>
  <c r="V154" i="7"/>
  <c r="AK154" i="7"/>
  <c r="E120" i="7"/>
  <c r="T120" i="7"/>
  <c r="AI120" i="7"/>
  <c r="C113" i="7"/>
  <c r="AY113" i="7"/>
  <c r="AX114" i="7"/>
  <c r="AW113" i="7"/>
  <c r="F114" i="7"/>
  <c r="U114" i="7"/>
  <c r="AJ114" i="7"/>
  <c r="AJ257" i="8" l="1"/>
  <c r="F257" i="8"/>
  <c r="U257" i="8"/>
  <c r="H314" i="10"/>
  <c r="W314" i="10"/>
  <c r="AL314" i="10"/>
  <c r="AM314" i="10"/>
  <c r="I314" i="10"/>
  <c r="X314" i="10"/>
  <c r="Y314" i="10"/>
  <c r="J314" i="10"/>
  <c r="AN314" i="10"/>
  <c r="Z314" i="10"/>
  <c r="K314" i="10"/>
  <c r="AO314" i="10"/>
  <c r="L314" i="10"/>
  <c r="AA314" i="10"/>
  <c r="AP314" i="10"/>
  <c r="M314" i="10"/>
  <c r="AB314" i="10"/>
  <c r="AQ314" i="10"/>
  <c r="N314" i="10"/>
  <c r="AC314" i="10"/>
  <c r="AR314" i="10"/>
  <c r="O314" i="10"/>
  <c r="AD314" i="10"/>
  <c r="AS314" i="10"/>
  <c r="P314" i="10"/>
  <c r="AE314" i="10"/>
  <c r="AT314" i="10"/>
  <c r="Q314" i="10"/>
  <c r="AF314" i="10"/>
  <c r="AU314" i="10"/>
  <c r="AG314" i="10"/>
  <c r="AV314" i="10"/>
  <c r="R314" i="10"/>
  <c r="H314" i="9"/>
  <c r="W314" i="9"/>
  <c r="AL314" i="9"/>
  <c r="I314" i="9"/>
  <c r="X314" i="9"/>
  <c r="AM314" i="9"/>
  <c r="J314" i="9"/>
  <c r="Y314" i="9"/>
  <c r="AN314" i="9"/>
  <c r="K314" i="9"/>
  <c r="Z314" i="9"/>
  <c r="AO314" i="9"/>
  <c r="L314" i="9"/>
  <c r="AA314" i="9"/>
  <c r="AP314" i="9"/>
  <c r="M314" i="9"/>
  <c r="AB314" i="9"/>
  <c r="AQ314" i="9"/>
  <c r="N314" i="9"/>
  <c r="AC314" i="9"/>
  <c r="AR314" i="9"/>
  <c r="O314" i="9"/>
  <c r="AD314" i="9"/>
  <c r="AS314" i="9"/>
  <c r="P314" i="9"/>
  <c r="AE314" i="9"/>
  <c r="AT314" i="9"/>
  <c r="Q314" i="9"/>
  <c r="AF314" i="9"/>
  <c r="AU314" i="9"/>
  <c r="R314" i="9"/>
  <c r="AG314" i="9"/>
  <c r="AV314" i="9"/>
  <c r="H313" i="7"/>
  <c r="W313" i="7"/>
  <c r="AL313" i="7"/>
  <c r="I313" i="7"/>
  <c r="X313" i="7"/>
  <c r="AM313" i="7"/>
  <c r="J313" i="7"/>
  <c r="Y313" i="7"/>
  <c r="AN313" i="7"/>
  <c r="K313" i="7"/>
  <c r="Z313" i="7"/>
  <c r="AO313" i="7"/>
  <c r="L313" i="7"/>
  <c r="AA313" i="7"/>
  <c r="AP313" i="7"/>
  <c r="N313" i="7"/>
  <c r="AC313" i="7"/>
  <c r="AR313" i="7"/>
  <c r="O313" i="7"/>
  <c r="AD313" i="7"/>
  <c r="AS313" i="7"/>
  <c r="P313" i="7"/>
  <c r="AE313" i="7"/>
  <c r="AT313" i="7"/>
  <c r="Q313" i="7"/>
  <c r="AF313" i="7"/>
  <c r="AU313" i="7"/>
  <c r="R313" i="7"/>
  <c r="AG313" i="7"/>
  <c r="AV313" i="7"/>
  <c r="I313" i="8"/>
  <c r="X313" i="8"/>
  <c r="AM313" i="8"/>
  <c r="AN313" i="8"/>
  <c r="J313" i="8"/>
  <c r="Y313" i="8"/>
  <c r="AA313" i="8"/>
  <c r="L313" i="8"/>
  <c r="AP313" i="8"/>
  <c r="AR313" i="8"/>
  <c r="AC313" i="8"/>
  <c r="N313" i="8"/>
  <c r="AT313" i="8"/>
  <c r="P313" i="8"/>
  <c r="AE313" i="8"/>
  <c r="AU313" i="8"/>
  <c r="AF313" i="8"/>
  <c r="Q313" i="8"/>
  <c r="W313" i="8"/>
  <c r="AL313" i="8"/>
  <c r="H313" i="8"/>
  <c r="Z313" i="8"/>
  <c r="AO313" i="8"/>
  <c r="K313" i="8"/>
  <c r="M313" i="8"/>
  <c r="AB313" i="8"/>
  <c r="AQ313" i="8"/>
  <c r="AD313" i="8"/>
  <c r="O313" i="8"/>
  <c r="AS313" i="8"/>
  <c r="R313" i="8"/>
  <c r="AG313" i="8"/>
  <c r="AV313" i="8"/>
  <c r="M313" i="7"/>
  <c r="AB313" i="7"/>
  <c r="AQ313" i="7"/>
  <c r="D301" i="8"/>
  <c r="S301" i="8"/>
  <c r="AH301" i="8"/>
  <c r="AI289" i="8"/>
  <c r="E289" i="8"/>
  <c r="T289" i="8"/>
  <c r="D284" i="9"/>
  <c r="S284" i="9"/>
  <c r="AH284" i="9"/>
  <c r="D261" i="7"/>
  <c r="S261" i="7"/>
  <c r="AH261" i="7"/>
  <c r="G258" i="9"/>
  <c r="V258" i="9"/>
  <c r="AK258" i="9"/>
  <c r="G254" i="10"/>
  <c r="V254" i="10"/>
  <c r="AK254" i="10"/>
  <c r="D239" i="10"/>
  <c r="S239" i="10"/>
  <c r="AH239" i="10"/>
  <c r="E241" i="9"/>
  <c r="T241" i="9"/>
  <c r="AI241" i="9"/>
  <c r="AY243" i="8"/>
  <c r="C243" i="8"/>
  <c r="AX244" i="8"/>
  <c r="AW243" i="8"/>
  <c r="W84" i="2" s="1"/>
  <c r="G244" i="8"/>
  <c r="V244" i="8"/>
  <c r="AK244" i="8"/>
  <c r="E233" i="10"/>
  <c r="T233" i="10"/>
  <c r="AI233" i="10"/>
  <c r="C225" i="9"/>
  <c r="AY225" i="9"/>
  <c r="AX226" i="9"/>
  <c r="AW225" i="9"/>
  <c r="F226" i="9"/>
  <c r="U226" i="9"/>
  <c r="AJ226" i="9"/>
  <c r="C215" i="10"/>
  <c r="AY215" i="10"/>
  <c r="AX216" i="10"/>
  <c r="AW215" i="10"/>
  <c r="F216" i="10"/>
  <c r="U216" i="10"/>
  <c r="AJ216" i="10"/>
  <c r="G155" i="7"/>
  <c r="V155" i="7"/>
  <c r="AK155" i="7"/>
  <c r="E121" i="7"/>
  <c r="T121" i="7"/>
  <c r="AI121" i="7"/>
  <c r="C114" i="7"/>
  <c r="AY114" i="7"/>
  <c r="AW114" i="7"/>
  <c r="X41" i="2" s="1"/>
  <c r="AX115" i="7"/>
  <c r="F115" i="7"/>
  <c r="U115" i="7"/>
  <c r="AJ115" i="7"/>
  <c r="F258" i="8" l="1"/>
  <c r="AJ258" i="8"/>
  <c r="U258" i="8"/>
  <c r="H315" i="10"/>
  <c r="W315" i="10"/>
  <c r="AL315" i="10"/>
  <c r="X315" i="10"/>
  <c r="I315" i="10"/>
  <c r="AM315" i="10"/>
  <c r="J315" i="10"/>
  <c r="Y315" i="10"/>
  <c r="AN315" i="10"/>
  <c r="K315" i="10"/>
  <c r="Z315" i="10"/>
  <c r="AO315" i="10"/>
  <c r="L315" i="10"/>
  <c r="AA315" i="10"/>
  <c r="AP315" i="10"/>
  <c r="AB315" i="10"/>
  <c r="M315" i="10"/>
  <c r="AQ315" i="10"/>
  <c r="N315" i="10"/>
  <c r="AC315" i="10"/>
  <c r="AR315" i="10"/>
  <c r="O315" i="10"/>
  <c r="AD315" i="10"/>
  <c r="AS315" i="10"/>
  <c r="P315" i="10"/>
  <c r="AT315" i="10"/>
  <c r="AE315" i="10"/>
  <c r="Q315" i="10"/>
  <c r="AF315" i="10"/>
  <c r="AU315" i="10"/>
  <c r="R315" i="10"/>
  <c r="AG315" i="10"/>
  <c r="AV315" i="10"/>
  <c r="H315" i="9"/>
  <c r="W315" i="9"/>
  <c r="AL315" i="9"/>
  <c r="I315" i="9"/>
  <c r="X315" i="9"/>
  <c r="AM315" i="9"/>
  <c r="J315" i="9"/>
  <c r="Y315" i="9"/>
  <c r="AN315" i="9"/>
  <c r="K315" i="9"/>
  <c r="Z315" i="9"/>
  <c r="AO315" i="9"/>
  <c r="L315" i="9"/>
  <c r="AA315" i="9"/>
  <c r="AP315" i="9"/>
  <c r="M315" i="9"/>
  <c r="AB315" i="9"/>
  <c r="AQ315" i="9"/>
  <c r="N315" i="9"/>
  <c r="AC315" i="9"/>
  <c r="AR315" i="9"/>
  <c r="O315" i="9"/>
  <c r="AD315" i="9"/>
  <c r="AS315" i="9"/>
  <c r="P315" i="9"/>
  <c r="AE315" i="9"/>
  <c r="AT315" i="9"/>
  <c r="Q315" i="9"/>
  <c r="AF315" i="9"/>
  <c r="AU315" i="9"/>
  <c r="R315" i="9"/>
  <c r="AG315" i="9"/>
  <c r="AV315" i="9"/>
  <c r="H314" i="7"/>
  <c r="W314" i="7"/>
  <c r="AL314" i="7"/>
  <c r="I314" i="7"/>
  <c r="X314" i="7"/>
  <c r="AM314" i="7"/>
  <c r="J314" i="7"/>
  <c r="Y314" i="7"/>
  <c r="AN314" i="7"/>
  <c r="K314" i="7"/>
  <c r="Z314" i="7"/>
  <c r="AO314" i="7"/>
  <c r="L314" i="7"/>
  <c r="AA314" i="7"/>
  <c r="AP314" i="7"/>
  <c r="N314" i="7"/>
  <c r="AC314" i="7"/>
  <c r="AR314" i="7"/>
  <c r="O314" i="7"/>
  <c r="AD314" i="7"/>
  <c r="AS314" i="7"/>
  <c r="P314" i="7"/>
  <c r="AE314" i="7"/>
  <c r="AT314" i="7"/>
  <c r="Q314" i="7"/>
  <c r="AF314" i="7"/>
  <c r="AU314" i="7"/>
  <c r="R314" i="7"/>
  <c r="AG314" i="7"/>
  <c r="AV314" i="7"/>
  <c r="I314" i="8"/>
  <c r="X314" i="8"/>
  <c r="AM314" i="8"/>
  <c r="J314" i="8"/>
  <c r="AN314" i="8"/>
  <c r="Y314" i="8"/>
  <c r="AA314" i="8"/>
  <c r="L314" i="8"/>
  <c r="AP314" i="8"/>
  <c r="AR314" i="8"/>
  <c r="N314" i="8"/>
  <c r="AC314" i="8"/>
  <c r="P314" i="8"/>
  <c r="AT314" i="8"/>
  <c r="AE314" i="8"/>
  <c r="AF314" i="8"/>
  <c r="AU314" i="8"/>
  <c r="Q314" i="8"/>
  <c r="H314" i="8"/>
  <c r="W314" i="8"/>
  <c r="AL314" i="8"/>
  <c r="K314" i="8"/>
  <c r="Z314" i="8"/>
  <c r="AO314" i="8"/>
  <c r="AB314" i="8"/>
  <c r="AQ314" i="8"/>
  <c r="M314" i="8"/>
  <c r="AS314" i="8"/>
  <c r="O314" i="8"/>
  <c r="AD314" i="8"/>
  <c r="AV314" i="8"/>
  <c r="R314" i="8"/>
  <c r="AG314" i="8"/>
  <c r="M314" i="7"/>
  <c r="AB314" i="7"/>
  <c r="AQ314" i="7"/>
  <c r="D302" i="8"/>
  <c r="S302" i="8"/>
  <c r="AH302" i="8"/>
  <c r="AI290" i="8"/>
  <c r="E290" i="8"/>
  <c r="T290" i="8"/>
  <c r="D285" i="9"/>
  <c r="S285" i="9"/>
  <c r="AH285" i="9"/>
  <c r="D262" i="7"/>
  <c r="S262" i="7"/>
  <c r="AH262" i="7"/>
  <c r="G259" i="9"/>
  <c r="V259" i="9"/>
  <c r="AK259" i="9"/>
  <c r="G255" i="10"/>
  <c r="V255" i="10"/>
  <c r="AK255" i="10"/>
  <c r="D240" i="10"/>
  <c r="S240" i="10"/>
  <c r="AH240" i="10"/>
  <c r="E242" i="9"/>
  <c r="T242" i="9"/>
  <c r="AI242" i="9"/>
  <c r="AY244" i="8"/>
  <c r="C244" i="8"/>
  <c r="AX245" i="8"/>
  <c r="AW244" i="8"/>
  <c r="G245" i="8"/>
  <c r="V245" i="8"/>
  <c r="AK245" i="8"/>
  <c r="E234" i="10"/>
  <c r="T234" i="10"/>
  <c r="AI234" i="10"/>
  <c r="C226" i="9"/>
  <c r="AY226" i="9"/>
  <c r="AW226" i="9"/>
  <c r="AX227" i="9"/>
  <c r="F227" i="9"/>
  <c r="U227" i="9"/>
  <c r="AJ227" i="9"/>
  <c r="AY216" i="10"/>
  <c r="C216" i="10"/>
  <c r="AX217" i="10"/>
  <c r="AW216" i="10"/>
  <c r="F217" i="10"/>
  <c r="U217" i="10"/>
  <c r="AJ217" i="10"/>
  <c r="G156" i="7"/>
  <c r="V156" i="7"/>
  <c r="AK156" i="7"/>
  <c r="E122" i="7"/>
  <c r="T122" i="7"/>
  <c r="AI122" i="7"/>
  <c r="C115" i="7"/>
  <c r="AY115" i="7"/>
  <c r="AW115" i="7"/>
  <c r="AX116" i="7"/>
  <c r="F116" i="7"/>
  <c r="U116" i="7"/>
  <c r="AJ116" i="7"/>
  <c r="F259" i="8" l="1"/>
  <c r="U259" i="8"/>
  <c r="AJ259" i="8"/>
  <c r="H316" i="10"/>
  <c r="W316" i="10"/>
  <c r="AL316" i="10"/>
  <c r="I316" i="10"/>
  <c r="X316" i="10"/>
  <c r="AM316" i="10"/>
  <c r="Y316" i="10"/>
  <c r="AN316" i="10"/>
  <c r="J316" i="10"/>
  <c r="K316" i="10"/>
  <c r="Z316" i="10"/>
  <c r="AO316" i="10"/>
  <c r="L316" i="10"/>
  <c r="AA316" i="10"/>
  <c r="AP316" i="10"/>
  <c r="AB316" i="10"/>
  <c r="AQ316" i="10"/>
  <c r="M316" i="10"/>
  <c r="N316" i="10"/>
  <c r="AC316" i="10"/>
  <c r="AR316" i="10"/>
  <c r="O316" i="10"/>
  <c r="AD316" i="10"/>
  <c r="AS316" i="10"/>
  <c r="AE316" i="10"/>
  <c r="AT316" i="10"/>
  <c r="P316" i="10"/>
  <c r="Q316" i="10"/>
  <c r="AF316" i="10"/>
  <c r="AU316" i="10"/>
  <c r="R316" i="10"/>
  <c r="AV316" i="10"/>
  <c r="AG316" i="10"/>
  <c r="H316" i="9"/>
  <c r="W316" i="9"/>
  <c r="AL316" i="9"/>
  <c r="I316" i="9"/>
  <c r="X316" i="9"/>
  <c r="AM316" i="9"/>
  <c r="J316" i="9"/>
  <c r="Y316" i="9"/>
  <c r="AN316" i="9"/>
  <c r="K316" i="9"/>
  <c r="Z316" i="9"/>
  <c r="AO316" i="9"/>
  <c r="L316" i="9"/>
  <c r="AA316" i="9"/>
  <c r="AP316" i="9"/>
  <c r="M316" i="9"/>
  <c r="AB316" i="9"/>
  <c r="AQ316" i="9"/>
  <c r="N316" i="9"/>
  <c r="AC316" i="9"/>
  <c r="AR316" i="9"/>
  <c r="O316" i="9"/>
  <c r="AD316" i="9"/>
  <c r="AS316" i="9"/>
  <c r="P316" i="9"/>
  <c r="AE316" i="9"/>
  <c r="AT316" i="9"/>
  <c r="Q316" i="9"/>
  <c r="AF316" i="9"/>
  <c r="AU316" i="9"/>
  <c r="R316" i="9"/>
  <c r="AG316" i="9"/>
  <c r="AV316" i="9"/>
  <c r="H315" i="7"/>
  <c r="W315" i="7"/>
  <c r="AL315" i="7"/>
  <c r="I315" i="7"/>
  <c r="X315" i="7"/>
  <c r="AM315" i="7"/>
  <c r="J315" i="7"/>
  <c r="Y315" i="7"/>
  <c r="AN315" i="7"/>
  <c r="K315" i="7"/>
  <c r="Z315" i="7"/>
  <c r="AO315" i="7"/>
  <c r="L315" i="7"/>
  <c r="AA315" i="7"/>
  <c r="AP315" i="7"/>
  <c r="N315" i="7"/>
  <c r="AC315" i="7"/>
  <c r="AR315" i="7"/>
  <c r="O315" i="7"/>
  <c r="AD315" i="7"/>
  <c r="AS315" i="7"/>
  <c r="P315" i="7"/>
  <c r="AE315" i="7"/>
  <c r="AT315" i="7"/>
  <c r="Q315" i="7"/>
  <c r="AF315" i="7"/>
  <c r="AU315" i="7"/>
  <c r="R315" i="7"/>
  <c r="AG315" i="7"/>
  <c r="AV315" i="7"/>
  <c r="I315" i="8"/>
  <c r="X315" i="8"/>
  <c r="AM315" i="8"/>
  <c r="AN315" i="8"/>
  <c r="J315" i="8"/>
  <c r="Y315" i="8"/>
  <c r="L315" i="8"/>
  <c r="AA315" i="8"/>
  <c r="AP315" i="8"/>
  <c r="N315" i="8"/>
  <c r="AC315" i="8"/>
  <c r="AR315" i="8"/>
  <c r="AE315" i="8"/>
  <c r="P315" i="8"/>
  <c r="AT315" i="8"/>
  <c r="Q315" i="8"/>
  <c r="AU315" i="8"/>
  <c r="AF315" i="8"/>
  <c r="H315" i="8"/>
  <c r="W315" i="8"/>
  <c r="AL315" i="8"/>
  <c r="K315" i="8"/>
  <c r="AO315" i="8"/>
  <c r="Z315" i="8"/>
  <c r="AB315" i="8"/>
  <c r="AQ315" i="8"/>
  <c r="M315" i="8"/>
  <c r="AD315" i="8"/>
  <c r="AS315" i="8"/>
  <c r="O315" i="8"/>
  <c r="R315" i="8"/>
  <c r="AV315" i="8"/>
  <c r="AG315" i="8"/>
  <c r="M315" i="7"/>
  <c r="AB315" i="7"/>
  <c r="AQ315" i="7"/>
  <c r="D303" i="8"/>
  <c r="S303" i="8"/>
  <c r="AH303" i="8"/>
  <c r="E291" i="8"/>
  <c r="T291" i="8"/>
  <c r="AI291" i="8"/>
  <c r="D286" i="9"/>
  <c r="S286" i="9"/>
  <c r="AH286" i="9"/>
  <c r="D263" i="7"/>
  <c r="S263" i="7"/>
  <c r="AH263" i="7"/>
  <c r="G260" i="9"/>
  <c r="V260" i="9"/>
  <c r="AK260" i="9"/>
  <c r="G256" i="10"/>
  <c r="V256" i="10"/>
  <c r="AK256" i="10"/>
  <c r="D241" i="10"/>
  <c r="S241" i="10"/>
  <c r="AH241" i="10"/>
  <c r="E243" i="9"/>
  <c r="T243" i="9"/>
  <c r="AI243" i="9"/>
  <c r="C245" i="8"/>
  <c r="AY245" i="8"/>
  <c r="AW245" i="8"/>
  <c r="AX246" i="8"/>
  <c r="G246" i="8"/>
  <c r="V246" i="8"/>
  <c r="AK246" i="8"/>
  <c r="E235" i="10"/>
  <c r="T235" i="10"/>
  <c r="AI235" i="10"/>
  <c r="C227" i="9"/>
  <c r="AY227" i="9"/>
  <c r="AW227" i="9"/>
  <c r="AX228" i="9"/>
  <c r="F228" i="9"/>
  <c r="U228" i="9"/>
  <c r="AJ228" i="9"/>
  <c r="AY217" i="10"/>
  <c r="C217" i="10"/>
  <c r="AW217" i="10"/>
  <c r="AX218" i="10"/>
  <c r="F218" i="10"/>
  <c r="U218" i="10"/>
  <c r="AJ218" i="10"/>
  <c r="G157" i="7"/>
  <c r="V157" i="7"/>
  <c r="AK157" i="7"/>
  <c r="E123" i="7"/>
  <c r="T123" i="7"/>
  <c r="AI123" i="7"/>
  <c r="AY116" i="7"/>
  <c r="C116" i="7"/>
  <c r="AX117" i="7"/>
  <c r="AW116" i="7"/>
  <c r="F117" i="7"/>
  <c r="U117" i="7"/>
  <c r="AJ117" i="7"/>
  <c r="AJ260" i="8" l="1"/>
  <c r="U260" i="8"/>
  <c r="F260" i="8"/>
  <c r="H317" i="10"/>
  <c r="W317" i="10"/>
  <c r="AL317" i="10"/>
  <c r="AM317" i="10"/>
  <c r="I317" i="10"/>
  <c r="X317" i="10"/>
  <c r="AN317" i="10"/>
  <c r="J317" i="10"/>
  <c r="Y317" i="10"/>
  <c r="Z317" i="10"/>
  <c r="AO317" i="10"/>
  <c r="K317" i="10"/>
  <c r="L317" i="10"/>
  <c r="AA317" i="10"/>
  <c r="AP317" i="10"/>
  <c r="AB317" i="10"/>
  <c r="M317" i="10"/>
  <c r="AQ317" i="10"/>
  <c r="AC317" i="10"/>
  <c r="N317" i="10"/>
  <c r="AR317" i="10"/>
  <c r="O317" i="10"/>
  <c r="AD317" i="10"/>
  <c r="AS317" i="10"/>
  <c r="P317" i="10"/>
  <c r="AE317" i="10"/>
  <c r="AT317" i="10"/>
  <c r="AF317" i="10"/>
  <c r="AU317" i="10"/>
  <c r="Q317" i="10"/>
  <c r="AG317" i="10"/>
  <c r="R317" i="10"/>
  <c r="AV317" i="10"/>
  <c r="H317" i="9"/>
  <c r="W317" i="9"/>
  <c r="AL317" i="9"/>
  <c r="I317" i="9"/>
  <c r="X317" i="9"/>
  <c r="AM317" i="9"/>
  <c r="J317" i="9"/>
  <c r="Y317" i="9"/>
  <c r="AN317" i="9"/>
  <c r="K317" i="9"/>
  <c r="Z317" i="9"/>
  <c r="AO317" i="9"/>
  <c r="L317" i="9"/>
  <c r="AA317" i="9"/>
  <c r="AP317" i="9"/>
  <c r="M317" i="9"/>
  <c r="AB317" i="9"/>
  <c r="AQ317" i="9"/>
  <c r="N317" i="9"/>
  <c r="AC317" i="9"/>
  <c r="AR317" i="9"/>
  <c r="O317" i="9"/>
  <c r="AD317" i="9"/>
  <c r="AS317" i="9"/>
  <c r="P317" i="9"/>
  <c r="AE317" i="9"/>
  <c r="AT317" i="9"/>
  <c r="Q317" i="9"/>
  <c r="AF317" i="9"/>
  <c r="AU317" i="9"/>
  <c r="R317" i="9"/>
  <c r="AG317" i="9"/>
  <c r="AV317" i="9"/>
  <c r="H316" i="7"/>
  <c r="W316" i="7"/>
  <c r="AL316" i="7"/>
  <c r="I316" i="7"/>
  <c r="X316" i="7"/>
  <c r="AM316" i="7"/>
  <c r="J316" i="7"/>
  <c r="Y316" i="7"/>
  <c r="AN316" i="7"/>
  <c r="K316" i="7"/>
  <c r="Z316" i="7"/>
  <c r="AO316" i="7"/>
  <c r="L316" i="7"/>
  <c r="AA316" i="7"/>
  <c r="AP316" i="7"/>
  <c r="N316" i="7"/>
  <c r="AC316" i="7"/>
  <c r="AR316" i="7"/>
  <c r="O316" i="7"/>
  <c r="AD316" i="7"/>
  <c r="AS316" i="7"/>
  <c r="P316" i="7"/>
  <c r="AE316" i="7"/>
  <c r="AT316" i="7"/>
  <c r="Q316" i="7"/>
  <c r="AF316" i="7"/>
  <c r="AU316" i="7"/>
  <c r="R316" i="7"/>
  <c r="AG316" i="7"/>
  <c r="AV316" i="7"/>
  <c r="I316" i="8"/>
  <c r="X316" i="8"/>
  <c r="AM316" i="8"/>
  <c r="Y316" i="8"/>
  <c r="J316" i="8"/>
  <c r="AN316" i="8"/>
  <c r="L316" i="8"/>
  <c r="AA316" i="8"/>
  <c r="AP316" i="8"/>
  <c r="AC316" i="8"/>
  <c r="N316" i="8"/>
  <c r="AR316" i="8"/>
  <c r="AT316" i="8"/>
  <c r="P316" i="8"/>
  <c r="AE316" i="8"/>
  <c r="AU316" i="8"/>
  <c r="AF316" i="8"/>
  <c r="Q316" i="8"/>
  <c r="H316" i="8"/>
  <c r="W316" i="8"/>
  <c r="AL316" i="8"/>
  <c r="Z316" i="8"/>
  <c r="AO316" i="8"/>
  <c r="K316" i="8"/>
  <c r="M316" i="8"/>
  <c r="AQ316" i="8"/>
  <c r="AB316" i="8"/>
  <c r="O316" i="8"/>
  <c r="AD316" i="8"/>
  <c r="AS316" i="8"/>
  <c r="R316" i="8"/>
  <c r="AG316" i="8"/>
  <c r="AV316" i="8"/>
  <c r="M316" i="7"/>
  <c r="AB316" i="7"/>
  <c r="AQ316" i="7"/>
  <c r="D304" i="8"/>
  <c r="S304" i="8"/>
  <c r="AH304" i="8"/>
  <c r="AI292" i="8"/>
  <c r="E292" i="8"/>
  <c r="T292" i="8"/>
  <c r="D287" i="9"/>
  <c r="S287" i="9"/>
  <c r="AH287" i="9"/>
  <c r="D264" i="7"/>
  <c r="S264" i="7"/>
  <c r="AH264" i="7"/>
  <c r="G261" i="9"/>
  <c r="V261" i="9"/>
  <c r="AK261" i="9"/>
  <c r="G257" i="10"/>
  <c r="V257" i="10"/>
  <c r="AK257" i="10"/>
  <c r="D242" i="10"/>
  <c r="S242" i="10"/>
  <c r="AH242" i="10"/>
  <c r="E244" i="9"/>
  <c r="T244" i="9"/>
  <c r="AI244" i="9"/>
  <c r="AY246" i="8"/>
  <c r="C246" i="8"/>
  <c r="AX247" i="8"/>
  <c r="AW246" i="8"/>
  <c r="W85" i="2" s="1"/>
  <c r="G247" i="8"/>
  <c r="V247" i="8"/>
  <c r="AK247" i="8"/>
  <c r="E236" i="10"/>
  <c r="T236" i="10"/>
  <c r="AI236" i="10"/>
  <c r="AY228" i="9"/>
  <c r="C228" i="9"/>
  <c r="AX229" i="9"/>
  <c r="AW228" i="9"/>
  <c r="F229" i="9"/>
  <c r="U229" i="9"/>
  <c r="AJ229" i="9"/>
  <c r="AY218" i="10"/>
  <c r="C218" i="10"/>
  <c r="AW218" i="10"/>
  <c r="AX219" i="10"/>
  <c r="F219" i="10"/>
  <c r="U219" i="10"/>
  <c r="AJ219" i="10"/>
  <c r="G158" i="7"/>
  <c r="V158" i="7"/>
  <c r="AK158" i="7"/>
  <c r="E124" i="7"/>
  <c r="T124" i="7"/>
  <c r="AI124" i="7"/>
  <c r="AY117" i="7"/>
  <c r="C117" i="7"/>
  <c r="AW117" i="7"/>
  <c r="X42" i="2" s="1"/>
  <c r="AX118" i="7"/>
  <c r="F118" i="7"/>
  <c r="U118" i="7"/>
  <c r="AJ118" i="7"/>
  <c r="AJ261" i="8" l="1"/>
  <c r="U261" i="8"/>
  <c r="F261" i="8"/>
  <c r="H318" i="10"/>
  <c r="W318" i="10"/>
  <c r="AL318" i="10"/>
  <c r="I318" i="10"/>
  <c r="AM318" i="10"/>
  <c r="X318" i="10"/>
  <c r="J318" i="10"/>
  <c r="Y318" i="10"/>
  <c r="AN318" i="10"/>
  <c r="K318" i="10"/>
  <c r="Z318" i="10"/>
  <c r="AO318" i="10"/>
  <c r="L318" i="10"/>
  <c r="AP318" i="10"/>
  <c r="AA318" i="10"/>
  <c r="M318" i="10"/>
  <c r="AQ318" i="10"/>
  <c r="AB318" i="10"/>
  <c r="N318" i="10"/>
  <c r="AC318" i="10"/>
  <c r="AR318" i="10"/>
  <c r="O318" i="10"/>
  <c r="AD318" i="10"/>
  <c r="AS318" i="10"/>
  <c r="P318" i="10"/>
  <c r="AT318" i="10"/>
  <c r="AE318" i="10"/>
  <c r="AF318" i="10"/>
  <c r="AU318" i="10"/>
  <c r="Q318" i="10"/>
  <c r="R318" i="10"/>
  <c r="AG318" i="10"/>
  <c r="AV318" i="10"/>
  <c r="H318" i="9"/>
  <c r="W318" i="9"/>
  <c r="AL318" i="9"/>
  <c r="I318" i="9"/>
  <c r="X318" i="9"/>
  <c r="AM318" i="9"/>
  <c r="J318" i="9"/>
  <c r="Y318" i="9"/>
  <c r="AN318" i="9"/>
  <c r="K318" i="9"/>
  <c r="Z318" i="9"/>
  <c r="AO318" i="9"/>
  <c r="L318" i="9"/>
  <c r="AA318" i="9"/>
  <c r="AP318" i="9"/>
  <c r="M318" i="9"/>
  <c r="AB318" i="9"/>
  <c r="AQ318" i="9"/>
  <c r="N318" i="9"/>
  <c r="AC318" i="9"/>
  <c r="AR318" i="9"/>
  <c r="O318" i="9"/>
  <c r="AD318" i="9"/>
  <c r="AS318" i="9"/>
  <c r="P318" i="9"/>
  <c r="AE318" i="9"/>
  <c r="AT318" i="9"/>
  <c r="Q318" i="9"/>
  <c r="AF318" i="9"/>
  <c r="AU318" i="9"/>
  <c r="R318" i="9"/>
  <c r="AG318" i="9"/>
  <c r="AV318" i="9"/>
  <c r="H317" i="7"/>
  <c r="W317" i="7"/>
  <c r="AL317" i="7"/>
  <c r="I317" i="7"/>
  <c r="X317" i="7"/>
  <c r="AM317" i="7"/>
  <c r="J317" i="7"/>
  <c r="Y317" i="7"/>
  <c r="AN317" i="7"/>
  <c r="K317" i="7"/>
  <c r="Z317" i="7"/>
  <c r="AO317" i="7"/>
  <c r="L317" i="7"/>
  <c r="AA317" i="7"/>
  <c r="AP317" i="7"/>
  <c r="N317" i="7"/>
  <c r="AC317" i="7"/>
  <c r="AR317" i="7"/>
  <c r="O317" i="7"/>
  <c r="AD317" i="7"/>
  <c r="AS317" i="7"/>
  <c r="P317" i="7"/>
  <c r="AE317" i="7"/>
  <c r="AT317" i="7"/>
  <c r="Q317" i="7"/>
  <c r="AF317" i="7"/>
  <c r="AU317" i="7"/>
  <c r="R317" i="7"/>
  <c r="AG317" i="7"/>
  <c r="AV317" i="7"/>
  <c r="AM317" i="8"/>
  <c r="I317" i="8"/>
  <c r="X317" i="8"/>
  <c r="J317" i="8"/>
  <c r="Y317" i="8"/>
  <c r="AN317" i="8"/>
  <c r="L317" i="8"/>
  <c r="AA317" i="8"/>
  <c r="AP317" i="8"/>
  <c r="AC317" i="8"/>
  <c r="AR317" i="8"/>
  <c r="N317" i="8"/>
  <c r="P317" i="8"/>
  <c r="AE317" i="8"/>
  <c r="AT317" i="8"/>
  <c r="AF317" i="8"/>
  <c r="AU317" i="8"/>
  <c r="Q317" i="8"/>
  <c r="H317" i="8"/>
  <c r="W317" i="8"/>
  <c r="AL317" i="8"/>
  <c r="K317" i="8"/>
  <c r="Z317" i="8"/>
  <c r="AO317" i="8"/>
  <c r="M317" i="8"/>
  <c r="AQ317" i="8"/>
  <c r="AB317" i="8"/>
  <c r="O317" i="8"/>
  <c r="AD317" i="8"/>
  <c r="AS317" i="8"/>
  <c r="AV317" i="8"/>
  <c r="R317" i="8"/>
  <c r="AG317" i="8"/>
  <c r="M317" i="7"/>
  <c r="AB317" i="7"/>
  <c r="AQ317" i="7"/>
  <c r="S305" i="8"/>
  <c r="D305" i="8"/>
  <c r="AH305" i="8"/>
  <c r="T293" i="8"/>
  <c r="AI293" i="8"/>
  <c r="E293" i="8"/>
  <c r="D288" i="9"/>
  <c r="S288" i="9"/>
  <c r="AH288" i="9"/>
  <c r="D265" i="7"/>
  <c r="S265" i="7"/>
  <c r="AH265" i="7"/>
  <c r="G262" i="9"/>
  <c r="V262" i="9"/>
  <c r="AK262" i="9"/>
  <c r="G258" i="10"/>
  <c r="V258" i="10"/>
  <c r="AK258" i="10"/>
  <c r="D243" i="10"/>
  <c r="S243" i="10"/>
  <c r="AH243" i="10"/>
  <c r="E245" i="9"/>
  <c r="T245" i="9"/>
  <c r="AI245" i="9"/>
  <c r="AY247" i="8"/>
  <c r="C247" i="8"/>
  <c r="AW247" i="8"/>
  <c r="AX248" i="8"/>
  <c r="G248" i="8"/>
  <c r="V248" i="8"/>
  <c r="AK248" i="8"/>
  <c r="E237" i="10"/>
  <c r="T237" i="10"/>
  <c r="AI237" i="10"/>
  <c r="C229" i="9"/>
  <c r="AY229" i="9"/>
  <c r="AW229" i="9"/>
  <c r="AX230" i="9"/>
  <c r="F230" i="9"/>
  <c r="U230" i="9"/>
  <c r="AJ230" i="9"/>
  <c r="C219" i="10"/>
  <c r="AY219" i="10"/>
  <c r="AW219" i="10"/>
  <c r="AX220" i="10"/>
  <c r="F220" i="10"/>
  <c r="U220" i="10"/>
  <c r="AJ220" i="10"/>
  <c r="G159" i="7"/>
  <c r="V159" i="7"/>
  <c r="AK159" i="7"/>
  <c r="E125" i="7"/>
  <c r="T125" i="7"/>
  <c r="AI125" i="7"/>
  <c r="C118" i="7"/>
  <c r="AY118" i="7"/>
  <c r="AX119" i="7"/>
  <c r="AW118" i="7"/>
  <c r="F119" i="7"/>
  <c r="U119" i="7"/>
  <c r="AJ119" i="7"/>
  <c r="U262" i="8" l="1"/>
  <c r="AJ262" i="8"/>
  <c r="F262" i="8"/>
  <c r="W319" i="10"/>
  <c r="AL319" i="10"/>
  <c r="H319" i="10"/>
  <c r="I319" i="10"/>
  <c r="X319" i="10"/>
  <c r="AM319" i="10"/>
  <c r="J319" i="10"/>
  <c r="Y319" i="10"/>
  <c r="AN319" i="10"/>
  <c r="K319" i="10"/>
  <c r="Z319" i="10"/>
  <c r="AO319" i="10"/>
  <c r="AA319" i="10"/>
  <c r="L319" i="10"/>
  <c r="AP319" i="10"/>
  <c r="M319" i="10"/>
  <c r="AB319" i="10"/>
  <c r="AQ319" i="10"/>
  <c r="N319" i="10"/>
  <c r="AC319" i="10"/>
  <c r="AR319" i="10"/>
  <c r="O319" i="10"/>
  <c r="AD319" i="10"/>
  <c r="AS319" i="10"/>
  <c r="AE319" i="10"/>
  <c r="AT319" i="10"/>
  <c r="P319" i="10"/>
  <c r="Q319" i="10"/>
  <c r="AF319" i="10"/>
  <c r="AU319" i="10"/>
  <c r="AV319" i="10"/>
  <c r="R319" i="10"/>
  <c r="AG319" i="10"/>
  <c r="H319" i="9"/>
  <c r="W319" i="9"/>
  <c r="AL319" i="9"/>
  <c r="I319" i="9"/>
  <c r="X319" i="9"/>
  <c r="AM319" i="9"/>
  <c r="J319" i="9"/>
  <c r="Y319" i="9"/>
  <c r="AN319" i="9"/>
  <c r="K319" i="9"/>
  <c r="Z319" i="9"/>
  <c r="AO319" i="9"/>
  <c r="L319" i="9"/>
  <c r="AA319" i="9"/>
  <c r="AP319" i="9"/>
  <c r="M319" i="9"/>
  <c r="AB319" i="9"/>
  <c r="AQ319" i="9"/>
  <c r="N319" i="9"/>
  <c r="AC319" i="9"/>
  <c r="AR319" i="9"/>
  <c r="O319" i="9"/>
  <c r="AD319" i="9"/>
  <c r="AS319" i="9"/>
  <c r="P319" i="9"/>
  <c r="AE319" i="9"/>
  <c r="AT319" i="9"/>
  <c r="Q319" i="9"/>
  <c r="AF319" i="9"/>
  <c r="AU319" i="9"/>
  <c r="R319" i="9"/>
  <c r="AG319" i="9"/>
  <c r="AV319" i="9"/>
  <c r="H318" i="7"/>
  <c r="W318" i="7"/>
  <c r="AL318" i="7"/>
  <c r="I318" i="7"/>
  <c r="X318" i="7"/>
  <c r="AM318" i="7"/>
  <c r="J318" i="7"/>
  <c r="Y318" i="7"/>
  <c r="AN318" i="7"/>
  <c r="K318" i="7"/>
  <c r="Z318" i="7"/>
  <c r="AO318" i="7"/>
  <c r="L318" i="7"/>
  <c r="AA318" i="7"/>
  <c r="AP318" i="7"/>
  <c r="N318" i="7"/>
  <c r="AC318" i="7"/>
  <c r="AR318" i="7"/>
  <c r="O318" i="7"/>
  <c r="AD318" i="7"/>
  <c r="AS318" i="7"/>
  <c r="P318" i="7"/>
  <c r="AE318" i="7"/>
  <c r="AT318" i="7"/>
  <c r="Q318" i="7"/>
  <c r="AF318" i="7"/>
  <c r="AU318" i="7"/>
  <c r="R318" i="7"/>
  <c r="AG318" i="7"/>
  <c r="AV318" i="7"/>
  <c r="I318" i="8"/>
  <c r="AM318" i="8"/>
  <c r="X318" i="8"/>
  <c r="Y318" i="8"/>
  <c r="J318" i="8"/>
  <c r="AN318" i="8"/>
  <c r="L318" i="8"/>
  <c r="AP318" i="8"/>
  <c r="AA318" i="8"/>
  <c r="N318" i="8"/>
  <c r="AC318" i="8"/>
  <c r="AR318" i="8"/>
  <c r="AT318" i="8"/>
  <c r="P318" i="8"/>
  <c r="AE318" i="8"/>
  <c r="AF318" i="8"/>
  <c r="AU318" i="8"/>
  <c r="Q318" i="8"/>
  <c r="AL318" i="8"/>
  <c r="W318" i="8"/>
  <c r="H318" i="8"/>
  <c r="Z318" i="8"/>
  <c r="K318" i="8"/>
  <c r="AO318" i="8"/>
  <c r="M318" i="8"/>
  <c r="AB318" i="8"/>
  <c r="AQ318" i="8"/>
  <c r="O318" i="8"/>
  <c r="AD318" i="8"/>
  <c r="AS318" i="8"/>
  <c r="AV318" i="8"/>
  <c r="AG318" i="8"/>
  <c r="R318" i="8"/>
  <c r="M318" i="7"/>
  <c r="AB318" i="7"/>
  <c r="AQ318" i="7"/>
  <c r="AH306" i="8"/>
  <c r="S306" i="8"/>
  <c r="D306" i="8"/>
  <c r="AI294" i="8"/>
  <c r="E294" i="8"/>
  <c r="T294" i="8"/>
  <c r="D289" i="9"/>
  <c r="S289" i="9"/>
  <c r="AH289" i="9"/>
  <c r="D266" i="7"/>
  <c r="S266" i="7"/>
  <c r="AH266" i="7"/>
  <c r="G263" i="9"/>
  <c r="V263" i="9"/>
  <c r="AK263" i="9"/>
  <c r="G259" i="10"/>
  <c r="V259" i="10"/>
  <c r="AK259" i="10"/>
  <c r="D244" i="10"/>
  <c r="S244" i="10"/>
  <c r="AH244" i="10"/>
  <c r="E246" i="9"/>
  <c r="T246" i="9"/>
  <c r="AI246" i="9"/>
  <c r="AY248" i="8"/>
  <c r="C248" i="8"/>
  <c r="AX249" i="8"/>
  <c r="AW248" i="8"/>
  <c r="G249" i="8"/>
  <c r="V249" i="8"/>
  <c r="AK249" i="8"/>
  <c r="E238" i="10"/>
  <c r="T238" i="10"/>
  <c r="AI238" i="10"/>
  <c r="C230" i="9"/>
  <c r="AY230" i="9"/>
  <c r="AX231" i="9"/>
  <c r="AW230" i="9"/>
  <c r="F231" i="9"/>
  <c r="U231" i="9"/>
  <c r="AJ231" i="9"/>
  <c r="C220" i="10"/>
  <c r="AY220" i="10"/>
  <c r="AX221" i="10"/>
  <c r="AW220" i="10"/>
  <c r="F221" i="10"/>
  <c r="U221" i="10"/>
  <c r="AJ221" i="10"/>
  <c r="G160" i="7"/>
  <c r="V160" i="7"/>
  <c r="AK160" i="7"/>
  <c r="E126" i="7"/>
  <c r="T126" i="7"/>
  <c r="AI126" i="7"/>
  <c r="AY119" i="7"/>
  <c r="C119" i="7"/>
  <c r="AW119" i="7"/>
  <c r="AX120" i="7"/>
  <c r="F120" i="7"/>
  <c r="U120" i="7"/>
  <c r="AJ120" i="7"/>
  <c r="F263" i="8" l="1"/>
  <c r="AJ263" i="8"/>
  <c r="U263" i="8"/>
  <c r="W320" i="10"/>
  <c r="AL320" i="10"/>
  <c r="H320" i="10"/>
  <c r="I320" i="10"/>
  <c r="X320" i="10"/>
  <c r="AM320" i="10"/>
  <c r="J320" i="10"/>
  <c r="Y320" i="10"/>
  <c r="AN320" i="10"/>
  <c r="Z320" i="10"/>
  <c r="AO320" i="10"/>
  <c r="K320" i="10"/>
  <c r="L320" i="10"/>
  <c r="AA320" i="10"/>
  <c r="AP320" i="10"/>
  <c r="AB320" i="10"/>
  <c r="M320" i="10"/>
  <c r="AQ320" i="10"/>
  <c r="AC320" i="10"/>
  <c r="N320" i="10"/>
  <c r="AR320" i="10"/>
  <c r="O320" i="10"/>
  <c r="AD320" i="10"/>
  <c r="AS320" i="10"/>
  <c r="AT320" i="10"/>
  <c r="P320" i="10"/>
  <c r="AE320" i="10"/>
  <c r="Q320" i="10"/>
  <c r="AF320" i="10"/>
  <c r="AU320" i="10"/>
  <c r="R320" i="10"/>
  <c r="AG320" i="10"/>
  <c r="AV320" i="10"/>
  <c r="H320" i="9"/>
  <c r="W320" i="9"/>
  <c r="AL320" i="9"/>
  <c r="I320" i="9"/>
  <c r="X320" i="9"/>
  <c r="AM320" i="9"/>
  <c r="J320" i="9"/>
  <c r="Y320" i="9"/>
  <c r="AN320" i="9"/>
  <c r="K320" i="9"/>
  <c r="Z320" i="9"/>
  <c r="AO320" i="9"/>
  <c r="L320" i="9"/>
  <c r="AA320" i="9"/>
  <c r="AP320" i="9"/>
  <c r="M320" i="9"/>
  <c r="AB320" i="9"/>
  <c r="AQ320" i="9"/>
  <c r="N320" i="9"/>
  <c r="AC320" i="9"/>
  <c r="AR320" i="9"/>
  <c r="O320" i="9"/>
  <c r="AD320" i="9"/>
  <c r="AS320" i="9"/>
  <c r="P320" i="9"/>
  <c r="AE320" i="9"/>
  <c r="AT320" i="9"/>
  <c r="Q320" i="9"/>
  <c r="AF320" i="9"/>
  <c r="AU320" i="9"/>
  <c r="R320" i="9"/>
  <c r="AG320" i="9"/>
  <c r="AV320" i="9"/>
  <c r="H319" i="7"/>
  <c r="W319" i="7"/>
  <c r="AL319" i="7"/>
  <c r="I319" i="7"/>
  <c r="X319" i="7"/>
  <c r="AM319" i="7"/>
  <c r="J319" i="7"/>
  <c r="Y319" i="7"/>
  <c r="AN319" i="7"/>
  <c r="K319" i="7"/>
  <c r="Z319" i="7"/>
  <c r="AO319" i="7"/>
  <c r="L319" i="7"/>
  <c r="AA319" i="7"/>
  <c r="AP319" i="7"/>
  <c r="N319" i="7"/>
  <c r="AC319" i="7"/>
  <c r="AR319" i="7"/>
  <c r="O319" i="7"/>
  <c r="AD319" i="7"/>
  <c r="AS319" i="7"/>
  <c r="P319" i="7"/>
  <c r="AE319" i="7"/>
  <c r="AT319" i="7"/>
  <c r="Q319" i="7"/>
  <c r="AF319" i="7"/>
  <c r="AU319" i="7"/>
  <c r="R319" i="7"/>
  <c r="AG319" i="7"/>
  <c r="AV319" i="7"/>
  <c r="AM319" i="8"/>
  <c r="I319" i="8"/>
  <c r="X319" i="8"/>
  <c r="J319" i="8"/>
  <c r="AN319" i="8"/>
  <c r="Y319" i="8"/>
  <c r="AA319" i="8"/>
  <c r="L319" i="8"/>
  <c r="AP319" i="8"/>
  <c r="N319" i="8"/>
  <c r="AR319" i="8"/>
  <c r="AC319" i="8"/>
  <c r="AE319" i="8"/>
  <c r="AT319" i="8"/>
  <c r="P319" i="8"/>
  <c r="Q319" i="8"/>
  <c r="AU319" i="8"/>
  <c r="AF319" i="8"/>
  <c r="AL319" i="8"/>
  <c r="W319" i="8"/>
  <c r="H319" i="8"/>
  <c r="Z319" i="8"/>
  <c r="K319" i="8"/>
  <c r="AO319" i="8"/>
  <c r="M319" i="8"/>
  <c r="AQ319" i="8"/>
  <c r="AB319" i="8"/>
  <c r="O319" i="8"/>
  <c r="AD319" i="8"/>
  <c r="AS319" i="8"/>
  <c r="R319" i="8"/>
  <c r="AG319" i="8"/>
  <c r="AV319" i="8"/>
  <c r="M319" i="7"/>
  <c r="AB319" i="7"/>
  <c r="AQ319" i="7"/>
  <c r="D307" i="8"/>
  <c r="AH307" i="8"/>
  <c r="S307" i="8"/>
  <c r="T295" i="8"/>
  <c r="AI295" i="8"/>
  <c r="E295" i="8"/>
  <c r="D290" i="9"/>
  <c r="S290" i="9"/>
  <c r="AH290" i="9"/>
  <c r="D267" i="7"/>
  <c r="S267" i="7"/>
  <c r="AH267" i="7"/>
  <c r="G264" i="9"/>
  <c r="V264" i="9"/>
  <c r="AK264" i="9"/>
  <c r="G260" i="10"/>
  <c r="V260" i="10"/>
  <c r="AK260" i="10"/>
  <c r="D245" i="10"/>
  <c r="S245" i="10"/>
  <c r="AH245" i="10"/>
  <c r="E247" i="9"/>
  <c r="T247" i="9"/>
  <c r="AI247" i="9"/>
  <c r="C249" i="8"/>
  <c r="AY249" i="8"/>
  <c r="AW249" i="8"/>
  <c r="W86" i="2" s="1"/>
  <c r="AX250" i="8"/>
  <c r="G250" i="8"/>
  <c r="V250" i="8"/>
  <c r="AK250" i="8"/>
  <c r="E239" i="10"/>
  <c r="T239" i="10"/>
  <c r="AI239" i="10"/>
  <c r="C231" i="9"/>
  <c r="AY231" i="9"/>
  <c r="AW231" i="9"/>
  <c r="AX232" i="9"/>
  <c r="F232" i="9"/>
  <c r="U232" i="9"/>
  <c r="AJ232" i="9"/>
  <c r="AY221" i="10"/>
  <c r="C221" i="10"/>
  <c r="AW221" i="10"/>
  <c r="AX222" i="10"/>
  <c r="F222" i="10"/>
  <c r="U222" i="10"/>
  <c r="AJ222" i="10"/>
  <c r="G161" i="7"/>
  <c r="V161" i="7"/>
  <c r="AK161" i="7"/>
  <c r="E127" i="7"/>
  <c r="T127" i="7"/>
  <c r="AI127" i="7"/>
  <c r="C120" i="7"/>
  <c r="AY120" i="7"/>
  <c r="AX121" i="7"/>
  <c r="AW120" i="7"/>
  <c r="X43" i="2" s="1"/>
  <c r="F121" i="7"/>
  <c r="U121" i="7"/>
  <c r="AJ121" i="7"/>
  <c r="F264" i="8" l="1"/>
  <c r="U264" i="8"/>
  <c r="AJ264" i="8"/>
  <c r="H321" i="10"/>
  <c r="W321" i="10"/>
  <c r="AL321" i="10"/>
  <c r="X321" i="10"/>
  <c r="AM321" i="10"/>
  <c r="I321" i="10"/>
  <c r="J321" i="10"/>
  <c r="Y321" i="10"/>
  <c r="AN321" i="10"/>
  <c r="K321" i="10"/>
  <c r="Z321" i="10"/>
  <c r="AO321" i="10"/>
  <c r="L321" i="10"/>
  <c r="AA321" i="10"/>
  <c r="AP321" i="10"/>
  <c r="M321" i="10"/>
  <c r="AB321" i="10"/>
  <c r="AQ321" i="10"/>
  <c r="N321" i="10"/>
  <c r="AC321" i="10"/>
  <c r="AR321" i="10"/>
  <c r="O321" i="10"/>
  <c r="AD321" i="10"/>
  <c r="AS321" i="10"/>
  <c r="AE321" i="10"/>
  <c r="AT321" i="10"/>
  <c r="P321" i="10"/>
  <c r="Q321" i="10"/>
  <c r="AF321" i="10"/>
  <c r="AU321" i="10"/>
  <c r="R321" i="10"/>
  <c r="AG321" i="10"/>
  <c r="AV321" i="10"/>
  <c r="H321" i="9"/>
  <c r="W321" i="9"/>
  <c r="AL321" i="9"/>
  <c r="I321" i="9"/>
  <c r="X321" i="9"/>
  <c r="AM321" i="9"/>
  <c r="J321" i="9"/>
  <c r="Y321" i="9"/>
  <c r="AN321" i="9"/>
  <c r="K321" i="9"/>
  <c r="Z321" i="9"/>
  <c r="AO321" i="9"/>
  <c r="L321" i="9"/>
  <c r="AA321" i="9"/>
  <c r="AP321" i="9"/>
  <c r="M321" i="9"/>
  <c r="AB321" i="9"/>
  <c r="AQ321" i="9"/>
  <c r="N321" i="9"/>
  <c r="AC321" i="9"/>
  <c r="AR321" i="9"/>
  <c r="O321" i="9"/>
  <c r="AD321" i="9"/>
  <c r="AS321" i="9"/>
  <c r="P321" i="9"/>
  <c r="AE321" i="9"/>
  <c r="AT321" i="9"/>
  <c r="Q321" i="9"/>
  <c r="AF321" i="9"/>
  <c r="AU321" i="9"/>
  <c r="R321" i="9"/>
  <c r="AG321" i="9"/>
  <c r="AV321" i="9"/>
  <c r="H320" i="7"/>
  <c r="W320" i="7"/>
  <c r="AL320" i="7"/>
  <c r="I320" i="7"/>
  <c r="X320" i="7"/>
  <c r="AM320" i="7"/>
  <c r="J320" i="7"/>
  <c r="Y320" i="7"/>
  <c r="AN320" i="7"/>
  <c r="K320" i="7"/>
  <c r="Z320" i="7"/>
  <c r="AO320" i="7"/>
  <c r="L320" i="7"/>
  <c r="AA320" i="7"/>
  <c r="AP320" i="7"/>
  <c r="N320" i="7"/>
  <c r="AC320" i="7"/>
  <c r="AR320" i="7"/>
  <c r="O320" i="7"/>
  <c r="AD320" i="7"/>
  <c r="AS320" i="7"/>
  <c r="P320" i="7"/>
  <c r="AE320" i="7"/>
  <c r="AT320" i="7"/>
  <c r="Q320" i="7"/>
  <c r="AF320" i="7"/>
  <c r="AU320" i="7"/>
  <c r="R320" i="7"/>
  <c r="AG320" i="7"/>
  <c r="AV320" i="7"/>
  <c r="I320" i="8"/>
  <c r="X320" i="8"/>
  <c r="AM320" i="8"/>
  <c r="AN320" i="8"/>
  <c r="J320" i="8"/>
  <c r="Y320" i="8"/>
  <c r="L320" i="8"/>
  <c r="AA320" i="8"/>
  <c r="AP320" i="8"/>
  <c r="N320" i="8"/>
  <c r="AC320" i="8"/>
  <c r="AR320" i="8"/>
  <c r="AE320" i="8"/>
  <c r="AT320" i="8"/>
  <c r="P320" i="8"/>
  <c r="AU320" i="8"/>
  <c r="Q320" i="8"/>
  <c r="AF320" i="8"/>
  <c r="W320" i="8"/>
  <c r="AL320" i="8"/>
  <c r="H320" i="8"/>
  <c r="K320" i="8"/>
  <c r="AO320" i="8"/>
  <c r="Z320" i="8"/>
  <c r="M320" i="8"/>
  <c r="AB320" i="8"/>
  <c r="AQ320" i="8"/>
  <c r="O320" i="8"/>
  <c r="AD320" i="8"/>
  <c r="AS320" i="8"/>
  <c r="AG320" i="8"/>
  <c r="R320" i="8"/>
  <c r="AV320" i="8"/>
  <c r="M320" i="7"/>
  <c r="AB320" i="7"/>
  <c r="AQ320" i="7"/>
  <c r="D308" i="8"/>
  <c r="AH308" i="8"/>
  <c r="S308" i="8"/>
  <c r="T296" i="8"/>
  <c r="E296" i="8"/>
  <c r="AI296" i="8"/>
  <c r="D291" i="9"/>
  <c r="S291" i="9"/>
  <c r="AH291" i="9"/>
  <c r="D268" i="7"/>
  <c r="S268" i="7"/>
  <c r="AH268" i="7"/>
  <c r="G265" i="9"/>
  <c r="V265" i="9"/>
  <c r="AK265" i="9"/>
  <c r="G261" i="10"/>
  <c r="V261" i="10"/>
  <c r="AK261" i="10"/>
  <c r="D246" i="10"/>
  <c r="S246" i="10"/>
  <c r="AH246" i="10"/>
  <c r="E248" i="9"/>
  <c r="T248" i="9"/>
  <c r="AI248" i="9"/>
  <c r="C250" i="8"/>
  <c r="AY250" i="8"/>
  <c r="AX251" i="8"/>
  <c r="AW250" i="8"/>
  <c r="G251" i="8"/>
  <c r="V251" i="8"/>
  <c r="AK251" i="8"/>
  <c r="E240" i="10"/>
  <c r="T240" i="10"/>
  <c r="AI240" i="10"/>
  <c r="C232" i="9"/>
  <c r="AY232" i="9"/>
  <c r="AW232" i="9"/>
  <c r="AX233" i="9"/>
  <c r="F233" i="9"/>
  <c r="U233" i="9"/>
  <c r="AJ233" i="9"/>
  <c r="C222" i="10"/>
  <c r="AY222" i="10"/>
  <c r="AW222" i="10"/>
  <c r="AX223" i="10"/>
  <c r="F223" i="10"/>
  <c r="U223" i="10"/>
  <c r="AJ223" i="10"/>
  <c r="G162" i="7"/>
  <c r="V162" i="7"/>
  <c r="AK162" i="7"/>
  <c r="E128" i="7"/>
  <c r="T128" i="7"/>
  <c r="AI128" i="7"/>
  <c r="C121" i="7"/>
  <c r="AY121" i="7"/>
  <c r="AW121" i="7"/>
  <c r="AX122" i="7"/>
  <c r="F122" i="7"/>
  <c r="U122" i="7"/>
  <c r="AJ122" i="7"/>
  <c r="F265" i="8" l="1"/>
  <c r="AJ265" i="8"/>
  <c r="U265" i="8"/>
  <c r="H322" i="10"/>
  <c r="W322" i="10"/>
  <c r="AL322" i="10"/>
  <c r="I322" i="10"/>
  <c r="X322" i="10"/>
  <c r="AM322" i="10"/>
  <c r="J322" i="10"/>
  <c r="Y322" i="10"/>
  <c r="AN322" i="10"/>
  <c r="K322" i="10"/>
  <c r="AO322" i="10"/>
  <c r="Z322" i="10"/>
  <c r="L322" i="10"/>
  <c r="AA322" i="10"/>
  <c r="AP322" i="10"/>
  <c r="AB322" i="10"/>
  <c r="M322" i="10"/>
  <c r="AQ322" i="10"/>
  <c r="AC322" i="10"/>
  <c r="N322" i="10"/>
  <c r="AR322" i="10"/>
  <c r="O322" i="10"/>
  <c r="AD322" i="10"/>
  <c r="AS322" i="10"/>
  <c r="P322" i="10"/>
  <c r="AE322" i="10"/>
  <c r="AT322" i="10"/>
  <c r="AF322" i="10"/>
  <c r="AU322" i="10"/>
  <c r="Q322" i="10"/>
  <c r="R322" i="10"/>
  <c r="AG322" i="10"/>
  <c r="AV322" i="10"/>
  <c r="H322" i="9"/>
  <c r="W322" i="9"/>
  <c r="AL322" i="9"/>
  <c r="I322" i="9"/>
  <c r="X322" i="9"/>
  <c r="AM322" i="9"/>
  <c r="J322" i="9"/>
  <c r="Y322" i="9"/>
  <c r="AN322" i="9"/>
  <c r="K322" i="9"/>
  <c r="Z322" i="9"/>
  <c r="AO322" i="9"/>
  <c r="L322" i="9"/>
  <c r="AA322" i="9"/>
  <c r="AP322" i="9"/>
  <c r="M322" i="9"/>
  <c r="AB322" i="9"/>
  <c r="AQ322" i="9"/>
  <c r="N322" i="9"/>
  <c r="AC322" i="9"/>
  <c r="AR322" i="9"/>
  <c r="O322" i="9"/>
  <c r="AD322" i="9"/>
  <c r="AS322" i="9"/>
  <c r="P322" i="9"/>
  <c r="AE322" i="9"/>
  <c r="AT322" i="9"/>
  <c r="Q322" i="9"/>
  <c r="AF322" i="9"/>
  <c r="AU322" i="9"/>
  <c r="R322" i="9"/>
  <c r="AG322" i="9"/>
  <c r="AV322" i="9"/>
  <c r="H321" i="7"/>
  <c r="W321" i="7"/>
  <c r="AL321" i="7"/>
  <c r="I321" i="7"/>
  <c r="X321" i="7"/>
  <c r="AM321" i="7"/>
  <c r="J321" i="7"/>
  <c r="Y321" i="7"/>
  <c r="AN321" i="7"/>
  <c r="K321" i="7"/>
  <c r="Z321" i="7"/>
  <c r="AO321" i="7"/>
  <c r="L321" i="7"/>
  <c r="AA321" i="7"/>
  <c r="AP321" i="7"/>
  <c r="N321" i="7"/>
  <c r="AC321" i="7"/>
  <c r="AR321" i="7"/>
  <c r="O321" i="7"/>
  <c r="AD321" i="7"/>
  <c r="AS321" i="7"/>
  <c r="P321" i="7"/>
  <c r="AE321" i="7"/>
  <c r="AT321" i="7"/>
  <c r="Q321" i="7"/>
  <c r="AF321" i="7"/>
  <c r="AU321" i="7"/>
  <c r="R321" i="7"/>
  <c r="AG321" i="7"/>
  <c r="AV321" i="7"/>
  <c r="I321" i="8"/>
  <c r="X321" i="8"/>
  <c r="AM321" i="8"/>
  <c r="J321" i="8"/>
  <c r="Y321" i="8"/>
  <c r="AN321" i="8"/>
  <c r="AA321" i="8"/>
  <c r="L321" i="8"/>
  <c r="AP321" i="8"/>
  <c r="N321" i="8"/>
  <c r="AC321" i="8"/>
  <c r="AR321" i="8"/>
  <c r="P321" i="8"/>
  <c r="AT321" i="8"/>
  <c r="AE321" i="8"/>
  <c r="Q321" i="8"/>
  <c r="AF321" i="8"/>
  <c r="AU321" i="8"/>
  <c r="W321" i="8"/>
  <c r="AL321" i="8"/>
  <c r="H321" i="8"/>
  <c r="AO321" i="8"/>
  <c r="Z321" i="8"/>
  <c r="K321" i="8"/>
  <c r="M321" i="8"/>
  <c r="AB321" i="8"/>
  <c r="AQ321" i="8"/>
  <c r="O321" i="8"/>
  <c r="AD321" i="8"/>
  <c r="AS321" i="8"/>
  <c r="AV321" i="8"/>
  <c r="R321" i="8"/>
  <c r="AG321" i="8"/>
  <c r="M321" i="7"/>
  <c r="AB321" i="7"/>
  <c r="AQ321" i="7"/>
  <c r="S309" i="8"/>
  <c r="D309" i="8"/>
  <c r="AH309" i="8"/>
  <c r="E297" i="8"/>
  <c r="AI297" i="8"/>
  <c r="T297" i="8"/>
  <c r="D292" i="9"/>
  <c r="S292" i="9"/>
  <c r="AH292" i="9"/>
  <c r="D269" i="7"/>
  <c r="S269" i="7"/>
  <c r="AH269" i="7"/>
  <c r="G266" i="9"/>
  <c r="V266" i="9"/>
  <c r="AK266" i="9"/>
  <c r="G262" i="10"/>
  <c r="V262" i="10"/>
  <c r="AK262" i="10"/>
  <c r="D247" i="10"/>
  <c r="S247" i="10"/>
  <c r="AH247" i="10"/>
  <c r="E249" i="9"/>
  <c r="T249" i="9"/>
  <c r="AI249" i="9"/>
  <c r="C251" i="8"/>
  <c r="AY251" i="8"/>
  <c r="AX252" i="8"/>
  <c r="AW251" i="8"/>
  <c r="G252" i="8"/>
  <c r="V252" i="8"/>
  <c r="AK252" i="8"/>
  <c r="E241" i="10"/>
  <c r="T241" i="10"/>
  <c r="AI241" i="10"/>
  <c r="C233" i="9"/>
  <c r="AY233" i="9"/>
  <c r="AW233" i="9"/>
  <c r="AX234" i="9"/>
  <c r="F234" i="9"/>
  <c r="U234" i="9"/>
  <c r="AJ234" i="9"/>
  <c r="AY223" i="10"/>
  <c r="C223" i="10"/>
  <c r="AX224" i="10"/>
  <c r="AW223" i="10"/>
  <c r="F224" i="10"/>
  <c r="U224" i="10"/>
  <c r="AJ224" i="10"/>
  <c r="G163" i="7"/>
  <c r="V163" i="7"/>
  <c r="AK163" i="7"/>
  <c r="E129" i="7"/>
  <c r="T129" i="7"/>
  <c r="AI129" i="7"/>
  <c r="AY122" i="7"/>
  <c r="C122" i="7"/>
  <c r="AW122" i="7"/>
  <c r="AX123" i="7"/>
  <c r="F123" i="7"/>
  <c r="U123" i="7"/>
  <c r="AJ123" i="7"/>
  <c r="AJ266" i="8" l="1"/>
  <c r="U266" i="8"/>
  <c r="F266" i="8"/>
  <c r="H323" i="10"/>
  <c r="W323" i="10"/>
  <c r="AL323" i="10"/>
  <c r="I323" i="10"/>
  <c r="X323" i="10"/>
  <c r="AM323" i="10"/>
  <c r="J323" i="10"/>
  <c r="Y323" i="10"/>
  <c r="AN323" i="10"/>
  <c r="Z323" i="10"/>
  <c r="AO323" i="10"/>
  <c r="K323" i="10"/>
  <c r="L323" i="10"/>
  <c r="AA323" i="10"/>
  <c r="AP323" i="10"/>
  <c r="M323" i="10"/>
  <c r="AB323" i="10"/>
  <c r="AQ323" i="10"/>
  <c r="N323" i="10"/>
  <c r="AC323" i="10"/>
  <c r="AR323" i="10"/>
  <c r="O323" i="10"/>
  <c r="AD323" i="10"/>
  <c r="AS323" i="10"/>
  <c r="AE323" i="10"/>
  <c r="P323" i="10"/>
  <c r="AT323" i="10"/>
  <c r="Q323" i="10"/>
  <c r="AF323" i="10"/>
  <c r="AU323" i="10"/>
  <c r="AG323" i="10"/>
  <c r="AV323" i="10"/>
  <c r="R323" i="10"/>
  <c r="H323" i="9"/>
  <c r="W323" i="9"/>
  <c r="AL323" i="9"/>
  <c r="I323" i="9"/>
  <c r="X323" i="9"/>
  <c r="AM323" i="9"/>
  <c r="J323" i="9"/>
  <c r="Y323" i="9"/>
  <c r="AN323" i="9"/>
  <c r="K323" i="9"/>
  <c r="Z323" i="9"/>
  <c r="AO323" i="9"/>
  <c r="L323" i="9"/>
  <c r="AA323" i="9"/>
  <c r="AP323" i="9"/>
  <c r="M323" i="9"/>
  <c r="AB323" i="9"/>
  <c r="AQ323" i="9"/>
  <c r="N323" i="9"/>
  <c r="AC323" i="9"/>
  <c r="AR323" i="9"/>
  <c r="O323" i="9"/>
  <c r="AD323" i="9"/>
  <c r="AS323" i="9"/>
  <c r="P323" i="9"/>
  <c r="AE323" i="9"/>
  <c r="AT323" i="9"/>
  <c r="Q323" i="9"/>
  <c r="AF323" i="9"/>
  <c r="AU323" i="9"/>
  <c r="R323" i="9"/>
  <c r="AG323" i="9"/>
  <c r="AV323" i="9"/>
  <c r="H322" i="7"/>
  <c r="W322" i="7"/>
  <c r="AL322" i="7"/>
  <c r="I322" i="7"/>
  <c r="X322" i="7"/>
  <c r="AM322" i="7"/>
  <c r="J322" i="7"/>
  <c r="Y322" i="7"/>
  <c r="AN322" i="7"/>
  <c r="K322" i="7"/>
  <c r="Z322" i="7"/>
  <c r="AO322" i="7"/>
  <c r="L322" i="7"/>
  <c r="AA322" i="7"/>
  <c r="AP322" i="7"/>
  <c r="N322" i="7"/>
  <c r="AC322" i="7"/>
  <c r="AR322" i="7"/>
  <c r="O322" i="7"/>
  <c r="AD322" i="7"/>
  <c r="AS322" i="7"/>
  <c r="P322" i="7"/>
  <c r="AE322" i="7"/>
  <c r="AT322" i="7"/>
  <c r="Q322" i="7"/>
  <c r="AF322" i="7"/>
  <c r="AU322" i="7"/>
  <c r="R322" i="7"/>
  <c r="AG322" i="7"/>
  <c r="AV322" i="7"/>
  <c r="I322" i="8"/>
  <c r="X322" i="8"/>
  <c r="AM322" i="8"/>
  <c r="Y322" i="8"/>
  <c r="AN322" i="8"/>
  <c r="J322" i="8"/>
  <c r="L322" i="8"/>
  <c r="AA322" i="8"/>
  <c r="AP322" i="8"/>
  <c r="N322" i="8"/>
  <c r="AC322" i="8"/>
  <c r="AR322" i="8"/>
  <c r="P322" i="8"/>
  <c r="AE322" i="8"/>
  <c r="AT322" i="8"/>
  <c r="Q322" i="8"/>
  <c r="AF322" i="8"/>
  <c r="AU322" i="8"/>
  <c r="H322" i="8"/>
  <c r="W322" i="8"/>
  <c r="AL322" i="8"/>
  <c r="K322" i="8"/>
  <c r="Z322" i="8"/>
  <c r="AO322" i="8"/>
  <c r="M322" i="8"/>
  <c r="AB322" i="8"/>
  <c r="AQ322" i="8"/>
  <c r="AD322" i="8"/>
  <c r="AS322" i="8"/>
  <c r="O322" i="8"/>
  <c r="R322" i="8"/>
  <c r="AG322" i="8"/>
  <c r="AV322" i="8"/>
  <c r="M322" i="7"/>
  <c r="AB322" i="7"/>
  <c r="AQ322" i="7"/>
  <c r="D310" i="8"/>
  <c r="S310" i="8"/>
  <c r="AH310" i="8"/>
  <c r="E298" i="8"/>
  <c r="T298" i="8"/>
  <c r="AI298" i="8"/>
  <c r="D293" i="9"/>
  <c r="S293" i="9"/>
  <c r="AH293" i="9"/>
  <c r="D270" i="7"/>
  <c r="S270" i="7"/>
  <c r="AH270" i="7"/>
  <c r="G267" i="9"/>
  <c r="V267" i="9"/>
  <c r="AK267" i="9"/>
  <c r="G263" i="10"/>
  <c r="V263" i="10"/>
  <c r="AK263" i="10"/>
  <c r="D248" i="10"/>
  <c r="S248" i="10"/>
  <c r="AH248" i="10"/>
  <c r="E250" i="9"/>
  <c r="T250" i="9"/>
  <c r="AI250" i="9"/>
  <c r="C252" i="8"/>
  <c r="AY252" i="8"/>
  <c r="AX253" i="8"/>
  <c r="AW252" i="8"/>
  <c r="W87" i="2" s="1"/>
  <c r="G253" i="8"/>
  <c r="V253" i="8"/>
  <c r="AK253" i="8"/>
  <c r="E242" i="10"/>
  <c r="T242" i="10"/>
  <c r="AI242" i="10"/>
  <c r="AY234" i="9"/>
  <c r="C234" i="9"/>
  <c r="AW234" i="9"/>
  <c r="AX235" i="9"/>
  <c r="F235" i="9"/>
  <c r="U235" i="9"/>
  <c r="AJ235" i="9"/>
  <c r="AY224" i="10"/>
  <c r="C224" i="10"/>
  <c r="AX225" i="10"/>
  <c r="AW224" i="10"/>
  <c r="F225" i="10"/>
  <c r="U225" i="10"/>
  <c r="AJ225" i="10"/>
  <c r="G164" i="7"/>
  <c r="V164" i="7"/>
  <c r="AK164" i="7"/>
  <c r="E130" i="7"/>
  <c r="T130" i="7"/>
  <c r="AI130" i="7"/>
  <c r="AY123" i="7"/>
  <c r="C123" i="7"/>
  <c r="AX124" i="7"/>
  <c r="AW123" i="7"/>
  <c r="X44" i="2" s="1"/>
  <c r="F124" i="7"/>
  <c r="U124" i="7"/>
  <c r="AJ124" i="7"/>
  <c r="AJ267" i="8" l="1"/>
  <c r="U267" i="8"/>
  <c r="F267" i="8"/>
  <c r="W324" i="10"/>
  <c r="AL324" i="10"/>
  <c r="H324" i="10"/>
  <c r="X324" i="10"/>
  <c r="AM324" i="10"/>
  <c r="I324" i="10"/>
  <c r="J324" i="10"/>
  <c r="Y324" i="10"/>
  <c r="AN324" i="10"/>
  <c r="K324" i="10"/>
  <c r="Z324" i="10"/>
  <c r="AO324" i="10"/>
  <c r="L324" i="10"/>
  <c r="AA324" i="10"/>
  <c r="AP324" i="10"/>
  <c r="AB324" i="10"/>
  <c r="M324" i="10"/>
  <c r="AQ324" i="10"/>
  <c r="N324" i="10"/>
  <c r="AC324" i="10"/>
  <c r="AR324" i="10"/>
  <c r="O324" i="10"/>
  <c r="AD324" i="10"/>
  <c r="AS324" i="10"/>
  <c r="AE324" i="10"/>
  <c r="P324" i="10"/>
  <c r="AT324" i="10"/>
  <c r="Q324" i="10"/>
  <c r="AF324" i="10"/>
  <c r="AU324" i="10"/>
  <c r="R324" i="10"/>
  <c r="AV324" i="10"/>
  <c r="AG324" i="10"/>
  <c r="H324" i="9"/>
  <c r="W324" i="9"/>
  <c r="AL324" i="9"/>
  <c r="I324" i="9"/>
  <c r="X324" i="9"/>
  <c r="AM324" i="9"/>
  <c r="J324" i="9"/>
  <c r="Y324" i="9"/>
  <c r="AN324" i="9"/>
  <c r="K324" i="9"/>
  <c r="Z324" i="9"/>
  <c r="AO324" i="9"/>
  <c r="L324" i="9"/>
  <c r="AA324" i="9"/>
  <c r="AP324" i="9"/>
  <c r="M324" i="9"/>
  <c r="AB324" i="9"/>
  <c r="AQ324" i="9"/>
  <c r="N324" i="9"/>
  <c r="AC324" i="9"/>
  <c r="AR324" i="9"/>
  <c r="O324" i="9"/>
  <c r="AD324" i="9"/>
  <c r="AS324" i="9"/>
  <c r="P324" i="9"/>
  <c r="AE324" i="9"/>
  <c r="AT324" i="9"/>
  <c r="Q324" i="9"/>
  <c r="AF324" i="9"/>
  <c r="AU324" i="9"/>
  <c r="R324" i="9"/>
  <c r="AG324" i="9"/>
  <c r="AV324" i="9"/>
  <c r="H323" i="7"/>
  <c r="W323" i="7"/>
  <c r="AL323" i="7"/>
  <c r="I323" i="7"/>
  <c r="X323" i="7"/>
  <c r="AM323" i="7"/>
  <c r="J323" i="7"/>
  <c r="Y323" i="7"/>
  <c r="AN323" i="7"/>
  <c r="K323" i="7"/>
  <c r="Z323" i="7"/>
  <c r="AO323" i="7"/>
  <c r="L323" i="7"/>
  <c r="AA323" i="7"/>
  <c r="AP323" i="7"/>
  <c r="N323" i="7"/>
  <c r="AC323" i="7"/>
  <c r="AR323" i="7"/>
  <c r="O323" i="7"/>
  <c r="AD323" i="7"/>
  <c r="AS323" i="7"/>
  <c r="P323" i="7"/>
  <c r="AE323" i="7"/>
  <c r="AT323" i="7"/>
  <c r="Q323" i="7"/>
  <c r="AF323" i="7"/>
  <c r="AU323" i="7"/>
  <c r="R323" i="7"/>
  <c r="AG323" i="7"/>
  <c r="AV323" i="7"/>
  <c r="I323" i="8"/>
  <c r="X323" i="8"/>
  <c r="AM323" i="8"/>
  <c r="J323" i="8"/>
  <c r="Y323" i="8"/>
  <c r="AN323" i="8"/>
  <c r="L323" i="8"/>
  <c r="AA323" i="8"/>
  <c r="AP323" i="8"/>
  <c r="N323" i="8"/>
  <c r="AC323" i="8"/>
  <c r="AR323" i="8"/>
  <c r="P323" i="8"/>
  <c r="AE323" i="8"/>
  <c r="AT323" i="8"/>
  <c r="Q323" i="8"/>
  <c r="AF323" i="8"/>
  <c r="AU323" i="8"/>
  <c r="H323" i="8"/>
  <c r="W323" i="8"/>
  <c r="AL323" i="8"/>
  <c r="K323" i="8"/>
  <c r="Z323" i="8"/>
  <c r="AO323" i="8"/>
  <c r="M323" i="8"/>
  <c r="AB323" i="8"/>
  <c r="AQ323" i="8"/>
  <c r="O323" i="8"/>
  <c r="AD323" i="8"/>
  <c r="AS323" i="8"/>
  <c r="R323" i="8"/>
  <c r="AG323" i="8"/>
  <c r="AV323" i="8"/>
  <c r="M323" i="7"/>
  <c r="AB323" i="7"/>
  <c r="AQ323" i="7"/>
  <c r="D311" i="8"/>
  <c r="S311" i="8"/>
  <c r="AH311" i="8"/>
  <c r="T299" i="8"/>
  <c r="AI299" i="8"/>
  <c r="E299" i="8"/>
  <c r="D294" i="9"/>
  <c r="S294" i="9"/>
  <c r="AH294" i="9"/>
  <c r="D271" i="7"/>
  <c r="S271" i="7"/>
  <c r="AH271" i="7"/>
  <c r="G268" i="9"/>
  <c r="V268" i="9"/>
  <c r="AK268" i="9"/>
  <c r="G264" i="10"/>
  <c r="V264" i="10"/>
  <c r="AK264" i="10"/>
  <c r="D249" i="10"/>
  <c r="S249" i="10"/>
  <c r="AH249" i="10"/>
  <c r="E251" i="9"/>
  <c r="T251" i="9"/>
  <c r="AI251" i="9"/>
  <c r="AY253" i="8"/>
  <c r="C253" i="8"/>
  <c r="AX254" i="8"/>
  <c r="AW253" i="8"/>
  <c r="G254" i="8"/>
  <c r="V254" i="8"/>
  <c r="AK254" i="8"/>
  <c r="E243" i="10"/>
  <c r="T243" i="10"/>
  <c r="AI243" i="10"/>
  <c r="C235" i="9"/>
  <c r="AY235" i="9"/>
  <c r="AW235" i="9"/>
  <c r="AX236" i="9"/>
  <c r="F236" i="9"/>
  <c r="U236" i="9"/>
  <c r="AJ236" i="9"/>
  <c r="C225" i="10"/>
  <c r="AY225" i="10"/>
  <c r="AX226" i="10"/>
  <c r="AW225" i="10"/>
  <c r="F226" i="10"/>
  <c r="U226" i="10"/>
  <c r="AJ226" i="10"/>
  <c r="G165" i="7"/>
  <c r="V165" i="7"/>
  <c r="AK165" i="7"/>
  <c r="E131" i="7"/>
  <c r="T131" i="7"/>
  <c r="AI131" i="7"/>
  <c r="AY124" i="7"/>
  <c r="C124" i="7"/>
  <c r="AW124" i="7"/>
  <c r="AX125" i="7"/>
  <c r="F125" i="7"/>
  <c r="U125" i="7"/>
  <c r="AJ125" i="7"/>
  <c r="AJ268" i="8" l="1"/>
  <c r="U268" i="8"/>
  <c r="F268" i="8"/>
  <c r="H325" i="10"/>
  <c r="W325" i="10"/>
  <c r="AL325" i="10"/>
  <c r="I325" i="10"/>
  <c r="X325" i="10"/>
  <c r="AM325" i="10"/>
  <c r="J325" i="10"/>
  <c r="Y325" i="10"/>
  <c r="AN325" i="10"/>
  <c r="K325" i="10"/>
  <c r="Z325" i="10"/>
  <c r="AO325" i="10"/>
  <c r="AA325" i="10"/>
  <c r="AP325" i="10"/>
  <c r="L325" i="10"/>
  <c r="M325" i="10"/>
  <c r="AB325" i="10"/>
  <c r="AQ325" i="10"/>
  <c r="N325" i="10"/>
  <c r="AC325" i="10"/>
  <c r="AR325" i="10"/>
  <c r="O325" i="10"/>
  <c r="AD325" i="10"/>
  <c r="AS325" i="10"/>
  <c r="P325" i="10"/>
  <c r="AE325" i="10"/>
  <c r="AT325" i="10"/>
  <c r="Q325" i="10"/>
  <c r="AF325" i="10"/>
  <c r="AU325" i="10"/>
  <c r="R325" i="10"/>
  <c r="AG325" i="10"/>
  <c r="AV325" i="10"/>
  <c r="H325" i="9"/>
  <c r="W325" i="9"/>
  <c r="AL325" i="9"/>
  <c r="I325" i="9"/>
  <c r="X325" i="9"/>
  <c r="AM325" i="9"/>
  <c r="J325" i="9"/>
  <c r="Y325" i="9"/>
  <c r="AN325" i="9"/>
  <c r="K325" i="9"/>
  <c r="Z325" i="9"/>
  <c r="AO325" i="9"/>
  <c r="L325" i="9"/>
  <c r="AA325" i="9"/>
  <c r="AP325" i="9"/>
  <c r="M325" i="9"/>
  <c r="AB325" i="9"/>
  <c r="AQ325" i="9"/>
  <c r="N325" i="9"/>
  <c r="AC325" i="9"/>
  <c r="AR325" i="9"/>
  <c r="O325" i="9"/>
  <c r="AD325" i="9"/>
  <c r="AS325" i="9"/>
  <c r="P325" i="9"/>
  <c r="AE325" i="9"/>
  <c r="AT325" i="9"/>
  <c r="Q325" i="9"/>
  <c r="AF325" i="9"/>
  <c r="AU325" i="9"/>
  <c r="R325" i="9"/>
  <c r="AG325" i="9"/>
  <c r="AV325" i="9"/>
  <c r="H324" i="7"/>
  <c r="W324" i="7"/>
  <c r="AL324" i="7"/>
  <c r="I324" i="7"/>
  <c r="X324" i="7"/>
  <c r="AM324" i="7"/>
  <c r="J324" i="7"/>
  <c r="Y324" i="7"/>
  <c r="AN324" i="7"/>
  <c r="K324" i="7"/>
  <c r="Z324" i="7"/>
  <c r="AO324" i="7"/>
  <c r="L324" i="7"/>
  <c r="AA324" i="7"/>
  <c r="AP324" i="7"/>
  <c r="N324" i="7"/>
  <c r="AC324" i="7"/>
  <c r="AR324" i="7"/>
  <c r="O324" i="7"/>
  <c r="AD324" i="7"/>
  <c r="AS324" i="7"/>
  <c r="P324" i="7"/>
  <c r="AE324" i="7"/>
  <c r="AT324" i="7"/>
  <c r="Q324" i="7"/>
  <c r="AF324" i="7"/>
  <c r="AU324" i="7"/>
  <c r="R324" i="7"/>
  <c r="AG324" i="7"/>
  <c r="AV324" i="7"/>
  <c r="I324" i="8"/>
  <c r="X324" i="8"/>
  <c r="AM324" i="8"/>
  <c r="J324" i="8"/>
  <c r="Y324" i="8"/>
  <c r="AN324" i="8"/>
  <c r="L324" i="8"/>
  <c r="AA324" i="8"/>
  <c r="AP324" i="8"/>
  <c r="N324" i="8"/>
  <c r="AC324" i="8"/>
  <c r="AR324" i="8"/>
  <c r="P324" i="8"/>
  <c r="AE324" i="8"/>
  <c r="AT324" i="8"/>
  <c r="Q324" i="8"/>
  <c r="AF324" i="8"/>
  <c r="AU324" i="8"/>
  <c r="H324" i="8"/>
  <c r="W324" i="8"/>
  <c r="AL324" i="8"/>
  <c r="K324" i="8"/>
  <c r="Z324" i="8"/>
  <c r="AO324" i="8"/>
  <c r="M324" i="8"/>
  <c r="AB324" i="8"/>
  <c r="AQ324" i="8"/>
  <c r="O324" i="8"/>
  <c r="AD324" i="8"/>
  <c r="AS324" i="8"/>
  <c r="R324" i="8"/>
  <c r="AG324" i="8"/>
  <c r="AV324" i="8"/>
  <c r="M324" i="7"/>
  <c r="AB324" i="7"/>
  <c r="AQ324" i="7"/>
  <c r="AH312" i="8"/>
  <c r="D312" i="8"/>
  <c r="S312" i="8"/>
  <c r="AI300" i="8"/>
  <c r="T300" i="8"/>
  <c r="E300" i="8"/>
  <c r="D295" i="9"/>
  <c r="S295" i="9"/>
  <c r="AH295" i="9"/>
  <c r="D272" i="7"/>
  <c r="S272" i="7"/>
  <c r="AH272" i="7"/>
  <c r="G269" i="9"/>
  <c r="V269" i="9"/>
  <c r="AK269" i="9"/>
  <c r="G265" i="10"/>
  <c r="V265" i="10"/>
  <c r="AK265" i="10"/>
  <c r="D250" i="10"/>
  <c r="S250" i="10"/>
  <c r="AH250" i="10"/>
  <c r="E252" i="9"/>
  <c r="T252" i="9"/>
  <c r="AI252" i="9"/>
  <c r="C254" i="8"/>
  <c r="AY254" i="8"/>
  <c r="AX255" i="8"/>
  <c r="AW254" i="8"/>
  <c r="G255" i="8"/>
  <c r="V255" i="8"/>
  <c r="AK255" i="8"/>
  <c r="E244" i="10"/>
  <c r="T244" i="10"/>
  <c r="AI244" i="10"/>
  <c r="C236" i="9"/>
  <c r="AY236" i="9"/>
  <c r="AX237" i="9"/>
  <c r="AW236" i="9"/>
  <c r="F237" i="9"/>
  <c r="U237" i="9"/>
  <c r="AJ237" i="9"/>
  <c r="C226" i="10"/>
  <c r="AY226" i="10"/>
  <c r="AW226" i="10"/>
  <c r="AX227" i="10"/>
  <c r="F227" i="10"/>
  <c r="U227" i="10"/>
  <c r="AJ227" i="10"/>
  <c r="G166" i="7"/>
  <c r="V166" i="7"/>
  <c r="AK166" i="7"/>
  <c r="E132" i="7"/>
  <c r="T132" i="7"/>
  <c r="AI132" i="7"/>
  <c r="AY125" i="7"/>
  <c r="C125" i="7"/>
  <c r="AX126" i="7"/>
  <c r="AW125" i="7"/>
  <c r="F126" i="7"/>
  <c r="U126" i="7"/>
  <c r="AJ126" i="7"/>
  <c r="AJ269" i="8" l="1"/>
  <c r="U269" i="8"/>
  <c r="F269" i="8"/>
  <c r="H326" i="10"/>
  <c r="W326" i="10"/>
  <c r="AL326" i="10"/>
  <c r="I326" i="10"/>
  <c r="X326" i="10"/>
  <c r="AM326" i="10"/>
  <c r="Y326" i="10"/>
  <c r="AN326" i="10"/>
  <c r="J326" i="10"/>
  <c r="K326" i="10"/>
  <c r="AO326" i="10"/>
  <c r="Z326" i="10"/>
  <c r="AP326" i="10"/>
  <c r="L326" i="10"/>
  <c r="AA326" i="10"/>
  <c r="M326" i="10"/>
  <c r="AB326" i="10"/>
  <c r="AQ326" i="10"/>
  <c r="N326" i="10"/>
  <c r="AC326" i="10"/>
  <c r="AR326" i="10"/>
  <c r="O326" i="10"/>
  <c r="AD326" i="10"/>
  <c r="AS326" i="10"/>
  <c r="P326" i="10"/>
  <c r="AE326" i="10"/>
  <c r="AT326" i="10"/>
  <c r="AF326" i="10"/>
  <c r="AU326" i="10"/>
  <c r="Q326" i="10"/>
  <c r="R326" i="10"/>
  <c r="AG326" i="10"/>
  <c r="AV326" i="10"/>
  <c r="H326" i="9"/>
  <c r="W326" i="9"/>
  <c r="AL326" i="9"/>
  <c r="I326" i="9"/>
  <c r="X326" i="9"/>
  <c r="AM326" i="9"/>
  <c r="J326" i="9"/>
  <c r="Y326" i="9"/>
  <c r="AN326" i="9"/>
  <c r="K326" i="9"/>
  <c r="Z326" i="9"/>
  <c r="AO326" i="9"/>
  <c r="L326" i="9"/>
  <c r="AA326" i="9"/>
  <c r="AP326" i="9"/>
  <c r="M326" i="9"/>
  <c r="AB326" i="9"/>
  <c r="AQ326" i="9"/>
  <c r="N326" i="9"/>
  <c r="AC326" i="9"/>
  <c r="AR326" i="9"/>
  <c r="O326" i="9"/>
  <c r="AD326" i="9"/>
  <c r="AS326" i="9"/>
  <c r="P326" i="9"/>
  <c r="AE326" i="9"/>
  <c r="AT326" i="9"/>
  <c r="Q326" i="9"/>
  <c r="AF326" i="9"/>
  <c r="AU326" i="9"/>
  <c r="R326" i="9"/>
  <c r="AG326" i="9"/>
  <c r="AV326" i="9"/>
  <c r="H325" i="7"/>
  <c r="W325" i="7"/>
  <c r="AL325" i="7"/>
  <c r="I325" i="7"/>
  <c r="X325" i="7"/>
  <c r="AM325" i="7"/>
  <c r="J325" i="7"/>
  <c r="Y325" i="7"/>
  <c r="AN325" i="7"/>
  <c r="K325" i="7"/>
  <c r="Z325" i="7"/>
  <c r="AO325" i="7"/>
  <c r="L325" i="7"/>
  <c r="AA325" i="7"/>
  <c r="AP325" i="7"/>
  <c r="N325" i="7"/>
  <c r="AC325" i="7"/>
  <c r="AR325" i="7"/>
  <c r="O325" i="7"/>
  <c r="AD325" i="7"/>
  <c r="AS325" i="7"/>
  <c r="P325" i="7"/>
  <c r="AE325" i="7"/>
  <c r="AT325" i="7"/>
  <c r="Q325" i="7"/>
  <c r="AF325" i="7"/>
  <c r="AU325" i="7"/>
  <c r="R325" i="7"/>
  <c r="AG325" i="7"/>
  <c r="AV325" i="7"/>
  <c r="I325" i="8"/>
  <c r="X325" i="8"/>
  <c r="AM325" i="8"/>
  <c r="J325" i="8"/>
  <c r="Y325" i="8"/>
  <c r="AN325" i="8"/>
  <c r="L325" i="8"/>
  <c r="AA325" i="8"/>
  <c r="AP325" i="8"/>
  <c r="N325" i="8"/>
  <c r="AC325" i="8"/>
  <c r="AR325" i="8"/>
  <c r="P325" i="8"/>
  <c r="AE325" i="8"/>
  <c r="AT325" i="8"/>
  <c r="Q325" i="8"/>
  <c r="AF325" i="8"/>
  <c r="AU325" i="8"/>
  <c r="H325" i="8"/>
  <c r="W325" i="8"/>
  <c r="AL325" i="8"/>
  <c r="K325" i="8"/>
  <c r="Z325" i="8"/>
  <c r="AO325" i="8"/>
  <c r="M325" i="8"/>
  <c r="AB325" i="8"/>
  <c r="AQ325" i="8"/>
  <c r="O325" i="8"/>
  <c r="AD325" i="8"/>
  <c r="AS325" i="8"/>
  <c r="R325" i="8"/>
  <c r="AG325" i="8"/>
  <c r="AV325" i="8"/>
  <c r="M325" i="7"/>
  <c r="AB325" i="7"/>
  <c r="AQ325" i="7"/>
  <c r="D313" i="8"/>
  <c r="AH313" i="8"/>
  <c r="S313" i="8"/>
  <c r="T301" i="8"/>
  <c r="E301" i="8"/>
  <c r="AI301" i="8"/>
  <c r="D296" i="9"/>
  <c r="S296" i="9"/>
  <c r="AH296" i="9"/>
  <c r="D273" i="7"/>
  <c r="S273" i="7"/>
  <c r="AH273" i="7"/>
  <c r="G270" i="9"/>
  <c r="V270" i="9"/>
  <c r="AK270" i="9"/>
  <c r="G266" i="10"/>
  <c r="V266" i="10"/>
  <c r="AK266" i="10"/>
  <c r="D251" i="10"/>
  <c r="S251" i="10"/>
  <c r="AH251" i="10"/>
  <c r="E253" i="9"/>
  <c r="T253" i="9"/>
  <c r="AI253" i="9"/>
  <c r="AY255" i="8"/>
  <c r="C255" i="8"/>
  <c r="AX256" i="8"/>
  <c r="AW255" i="8"/>
  <c r="W88" i="2" s="1"/>
  <c r="G256" i="8"/>
  <c r="V256" i="8"/>
  <c r="AK256" i="8"/>
  <c r="E245" i="10"/>
  <c r="T245" i="10"/>
  <c r="AI245" i="10"/>
  <c r="C237" i="9"/>
  <c r="AY237" i="9"/>
  <c r="AX238" i="9"/>
  <c r="AW237" i="9"/>
  <c r="F238" i="9"/>
  <c r="U238" i="9"/>
  <c r="AJ238" i="9"/>
  <c r="AY227" i="10"/>
  <c r="C227" i="10"/>
  <c r="AW227" i="10"/>
  <c r="AX228" i="10"/>
  <c r="F228" i="10"/>
  <c r="U228" i="10"/>
  <c r="AJ228" i="10"/>
  <c r="G167" i="7"/>
  <c r="V167" i="7"/>
  <c r="AK167" i="7"/>
  <c r="E133" i="7"/>
  <c r="T133" i="7"/>
  <c r="AI133" i="7"/>
  <c r="C126" i="7"/>
  <c r="AY126" i="7"/>
  <c r="AW126" i="7"/>
  <c r="X45" i="2" s="1"/>
  <c r="AX127" i="7"/>
  <c r="F127" i="7"/>
  <c r="U127" i="7"/>
  <c r="AJ127" i="7"/>
  <c r="U270" i="8" l="1"/>
  <c r="F270" i="8"/>
  <c r="AJ270" i="8"/>
  <c r="H327" i="10"/>
  <c r="W327" i="10"/>
  <c r="AL327" i="10"/>
  <c r="X327" i="10"/>
  <c r="AM327" i="10"/>
  <c r="I327" i="10"/>
  <c r="J327" i="10"/>
  <c r="AN327" i="10"/>
  <c r="Y327" i="10"/>
  <c r="K327" i="10"/>
  <c r="Z327" i="10"/>
  <c r="AO327" i="10"/>
  <c r="AA327" i="10"/>
  <c r="AP327" i="10"/>
  <c r="L327" i="10"/>
  <c r="AQ327" i="10"/>
  <c r="M327" i="10"/>
  <c r="AB327" i="10"/>
  <c r="AR327" i="10"/>
  <c r="N327" i="10"/>
  <c r="AC327" i="10"/>
  <c r="AS327" i="10"/>
  <c r="O327" i="10"/>
  <c r="AD327" i="10"/>
  <c r="P327" i="10"/>
  <c r="AE327" i="10"/>
  <c r="AT327" i="10"/>
  <c r="Q327" i="10"/>
  <c r="AU327" i="10"/>
  <c r="AF327" i="10"/>
  <c r="R327" i="10"/>
  <c r="AG327" i="10"/>
  <c r="AV327" i="10"/>
  <c r="H327" i="9"/>
  <c r="W327" i="9"/>
  <c r="AL327" i="9"/>
  <c r="I327" i="9"/>
  <c r="X327" i="9"/>
  <c r="AM327" i="9"/>
  <c r="J327" i="9"/>
  <c r="Y327" i="9"/>
  <c r="AN327" i="9"/>
  <c r="K327" i="9"/>
  <c r="Z327" i="9"/>
  <c r="AO327" i="9"/>
  <c r="L327" i="9"/>
  <c r="AA327" i="9"/>
  <c r="AP327" i="9"/>
  <c r="M327" i="9"/>
  <c r="AB327" i="9"/>
  <c r="AQ327" i="9"/>
  <c r="N327" i="9"/>
  <c r="AC327" i="9"/>
  <c r="AR327" i="9"/>
  <c r="O327" i="9"/>
  <c r="AD327" i="9"/>
  <c r="AS327" i="9"/>
  <c r="P327" i="9"/>
  <c r="AE327" i="9"/>
  <c r="AT327" i="9"/>
  <c r="Q327" i="9"/>
  <c r="AF327" i="9"/>
  <c r="AU327" i="9"/>
  <c r="R327" i="9"/>
  <c r="AG327" i="9"/>
  <c r="AV327" i="9"/>
  <c r="H326" i="7"/>
  <c r="W326" i="7"/>
  <c r="AL326" i="7"/>
  <c r="I326" i="7"/>
  <c r="X326" i="7"/>
  <c r="AM326" i="7"/>
  <c r="J326" i="7"/>
  <c r="Y326" i="7"/>
  <c r="AN326" i="7"/>
  <c r="K326" i="7"/>
  <c r="Z326" i="7"/>
  <c r="AO326" i="7"/>
  <c r="L326" i="7"/>
  <c r="AA326" i="7"/>
  <c r="AP326" i="7"/>
  <c r="N326" i="7"/>
  <c r="AC326" i="7"/>
  <c r="AR326" i="7"/>
  <c r="O326" i="7"/>
  <c r="AD326" i="7"/>
  <c r="AS326" i="7"/>
  <c r="P326" i="7"/>
  <c r="AE326" i="7"/>
  <c r="AT326" i="7"/>
  <c r="Q326" i="7"/>
  <c r="AF326" i="7"/>
  <c r="AU326" i="7"/>
  <c r="R326" i="7"/>
  <c r="AG326" i="7"/>
  <c r="AV326" i="7"/>
  <c r="I326" i="8"/>
  <c r="X326" i="8"/>
  <c r="AM326" i="8"/>
  <c r="J326" i="8"/>
  <c r="Y326" i="8"/>
  <c r="AN326" i="8"/>
  <c r="L326" i="8"/>
  <c r="AA326" i="8"/>
  <c r="AP326" i="8"/>
  <c r="N326" i="8"/>
  <c r="AC326" i="8"/>
  <c r="AR326" i="8"/>
  <c r="P326" i="8"/>
  <c r="AE326" i="8"/>
  <c r="AT326" i="8"/>
  <c r="Q326" i="8"/>
  <c r="AF326" i="8"/>
  <c r="AU326" i="8"/>
  <c r="H326" i="8"/>
  <c r="W326" i="8"/>
  <c r="AL326" i="8"/>
  <c r="K326" i="8"/>
  <c r="Z326" i="8"/>
  <c r="AO326" i="8"/>
  <c r="M326" i="8"/>
  <c r="AB326" i="8"/>
  <c r="AQ326" i="8"/>
  <c r="O326" i="8"/>
  <c r="AD326" i="8"/>
  <c r="AS326" i="8"/>
  <c r="R326" i="8"/>
  <c r="AG326" i="8"/>
  <c r="AV326" i="8"/>
  <c r="M326" i="7"/>
  <c r="AB326" i="7"/>
  <c r="AQ326" i="7"/>
  <c r="AH314" i="8"/>
  <c r="D314" i="8"/>
  <c r="S314" i="8"/>
  <c r="AI302" i="8"/>
  <c r="T302" i="8"/>
  <c r="E302" i="8"/>
  <c r="D297" i="9"/>
  <c r="S297" i="9"/>
  <c r="AH297" i="9"/>
  <c r="D274" i="7"/>
  <c r="S274" i="7"/>
  <c r="AH274" i="7"/>
  <c r="G271" i="9"/>
  <c r="V271" i="9"/>
  <c r="AK271" i="9"/>
  <c r="G267" i="10"/>
  <c r="V267" i="10"/>
  <c r="AK267" i="10"/>
  <c r="D252" i="10"/>
  <c r="S252" i="10"/>
  <c r="AH252" i="10"/>
  <c r="E254" i="9"/>
  <c r="T254" i="9"/>
  <c r="AI254" i="9"/>
  <c r="AY256" i="8"/>
  <c r="C256" i="8"/>
  <c r="AX257" i="8"/>
  <c r="AW256" i="8"/>
  <c r="G257" i="8"/>
  <c r="V257" i="8"/>
  <c r="AK257" i="8"/>
  <c r="E246" i="10"/>
  <c r="T246" i="10"/>
  <c r="AI246" i="10"/>
  <c r="AY238" i="9"/>
  <c r="C238" i="9"/>
  <c r="AW238" i="9"/>
  <c r="AX239" i="9"/>
  <c r="F239" i="9"/>
  <c r="U239" i="9"/>
  <c r="AJ239" i="9"/>
  <c r="AY228" i="10"/>
  <c r="C228" i="10"/>
  <c r="AW228" i="10"/>
  <c r="AX229" i="10"/>
  <c r="F229" i="10"/>
  <c r="U229" i="10"/>
  <c r="AJ229" i="10"/>
  <c r="G168" i="7"/>
  <c r="V168" i="7"/>
  <c r="AK168" i="7"/>
  <c r="E134" i="7"/>
  <c r="T134" i="7"/>
  <c r="AI134" i="7"/>
  <c r="AY127" i="7"/>
  <c r="C127" i="7"/>
  <c r="AW127" i="7"/>
  <c r="AX128" i="7"/>
  <c r="F128" i="7"/>
  <c r="U128" i="7"/>
  <c r="AJ128" i="7"/>
  <c r="F271" i="8" l="1"/>
  <c r="AJ271" i="8"/>
  <c r="U271" i="8"/>
  <c r="H328" i="10"/>
  <c r="W328" i="10"/>
  <c r="AL328" i="10"/>
  <c r="X328" i="10"/>
  <c r="AM328" i="10"/>
  <c r="I328" i="10"/>
  <c r="J328" i="10"/>
  <c r="Y328" i="10"/>
  <c r="AN328" i="10"/>
  <c r="Z328" i="10"/>
  <c r="K328" i="10"/>
  <c r="AO328" i="10"/>
  <c r="L328" i="10"/>
  <c r="AA328" i="10"/>
  <c r="AP328" i="10"/>
  <c r="AB328" i="10"/>
  <c r="AQ328" i="10"/>
  <c r="M328" i="10"/>
  <c r="AR328" i="10"/>
  <c r="N328" i="10"/>
  <c r="AC328" i="10"/>
  <c r="O328" i="10"/>
  <c r="AS328" i="10"/>
  <c r="AD328" i="10"/>
  <c r="AE328" i="10"/>
  <c r="P328" i="10"/>
  <c r="AT328" i="10"/>
  <c r="Q328" i="10"/>
  <c r="AF328" i="10"/>
  <c r="AU328" i="10"/>
  <c r="R328" i="10"/>
  <c r="AV328" i="10"/>
  <c r="AG328" i="10"/>
  <c r="H328" i="9"/>
  <c r="AL328" i="9"/>
  <c r="W328" i="9"/>
  <c r="I328" i="9"/>
  <c r="X328" i="9"/>
  <c r="AM328" i="9"/>
  <c r="J328" i="9"/>
  <c r="Y328" i="9"/>
  <c r="AN328" i="9"/>
  <c r="K328" i="9"/>
  <c r="AO328" i="9"/>
  <c r="Z328" i="9"/>
  <c r="AP328" i="9"/>
  <c r="L328" i="9"/>
  <c r="AA328" i="9"/>
  <c r="AB328" i="9"/>
  <c r="M328" i="9"/>
  <c r="AQ328" i="9"/>
  <c r="AR328" i="9"/>
  <c r="AC328" i="9"/>
  <c r="N328" i="9"/>
  <c r="AD328" i="9"/>
  <c r="O328" i="9"/>
  <c r="AS328" i="9"/>
  <c r="AE328" i="9"/>
  <c r="P328" i="9"/>
  <c r="AT328" i="9"/>
  <c r="Q328" i="9"/>
  <c r="AU328" i="9"/>
  <c r="AF328" i="9"/>
  <c r="AG328" i="9"/>
  <c r="R328" i="9"/>
  <c r="AV328" i="9"/>
  <c r="H327" i="7"/>
  <c r="W327" i="7"/>
  <c r="AL327" i="7"/>
  <c r="I327" i="7"/>
  <c r="X327" i="7"/>
  <c r="AM327" i="7"/>
  <c r="J327" i="7"/>
  <c r="Y327" i="7"/>
  <c r="AN327" i="7"/>
  <c r="K327" i="7"/>
  <c r="Z327" i="7"/>
  <c r="AO327" i="7"/>
  <c r="L327" i="7"/>
  <c r="AA327" i="7"/>
  <c r="AP327" i="7"/>
  <c r="N327" i="7"/>
  <c r="AC327" i="7"/>
  <c r="AR327" i="7"/>
  <c r="O327" i="7"/>
  <c r="AD327" i="7"/>
  <c r="AS327" i="7"/>
  <c r="P327" i="7"/>
  <c r="AE327" i="7"/>
  <c r="AT327" i="7"/>
  <c r="Q327" i="7"/>
  <c r="AF327" i="7"/>
  <c r="AU327" i="7"/>
  <c r="R327" i="7"/>
  <c r="AG327" i="7"/>
  <c r="AV327" i="7"/>
  <c r="I327" i="8"/>
  <c r="X327" i="8"/>
  <c r="AM327" i="8"/>
  <c r="J327" i="8"/>
  <c r="Y327" i="8"/>
  <c r="AN327" i="8"/>
  <c r="L327" i="8"/>
  <c r="AA327" i="8"/>
  <c r="AP327" i="8"/>
  <c r="N327" i="8"/>
  <c r="AC327" i="8"/>
  <c r="AR327" i="8"/>
  <c r="P327" i="8"/>
  <c r="AE327" i="8"/>
  <c r="AT327" i="8"/>
  <c r="Q327" i="8"/>
  <c r="AF327" i="8"/>
  <c r="AU327" i="8"/>
  <c r="H327" i="8"/>
  <c r="W327" i="8"/>
  <c r="AL327" i="8"/>
  <c r="K327" i="8"/>
  <c r="Z327" i="8"/>
  <c r="AO327" i="8"/>
  <c r="M327" i="8"/>
  <c r="AB327" i="8"/>
  <c r="AQ327" i="8"/>
  <c r="O327" i="8"/>
  <c r="AD327" i="8"/>
  <c r="AS327" i="8"/>
  <c r="R327" i="8"/>
  <c r="AG327" i="8"/>
  <c r="AV327" i="8"/>
  <c r="M327" i="7"/>
  <c r="AB327" i="7"/>
  <c r="AQ327" i="7"/>
  <c r="D315" i="8"/>
  <c r="AH315" i="8"/>
  <c r="S315" i="8"/>
  <c r="T303" i="8"/>
  <c r="E303" i="8"/>
  <c r="AI303" i="8"/>
  <c r="D298" i="9"/>
  <c r="S298" i="9"/>
  <c r="AH298" i="9"/>
  <c r="D275" i="7"/>
  <c r="S275" i="7"/>
  <c r="AH275" i="7"/>
  <c r="G272" i="9"/>
  <c r="V272" i="9"/>
  <c r="AK272" i="9"/>
  <c r="G268" i="10"/>
  <c r="V268" i="10"/>
  <c r="AK268" i="10"/>
  <c r="D253" i="10"/>
  <c r="S253" i="10"/>
  <c r="AH253" i="10"/>
  <c r="E255" i="9"/>
  <c r="T255" i="9"/>
  <c r="AI255" i="9"/>
  <c r="AY257" i="8"/>
  <c r="C257" i="8"/>
  <c r="AX258" i="8"/>
  <c r="AW257" i="8"/>
  <c r="G258" i="8"/>
  <c r="V258" i="8"/>
  <c r="AK258" i="8"/>
  <c r="E247" i="10"/>
  <c r="T247" i="10"/>
  <c r="AI247" i="10"/>
  <c r="C239" i="9"/>
  <c r="AY239" i="9"/>
  <c r="AW239" i="9"/>
  <c r="AX240" i="9"/>
  <c r="F240" i="9"/>
  <c r="U240" i="9"/>
  <c r="AJ240" i="9"/>
  <c r="C229" i="10"/>
  <c r="AY229" i="10"/>
  <c r="AX230" i="10"/>
  <c r="AW229" i="10"/>
  <c r="F230" i="10"/>
  <c r="U230" i="10"/>
  <c r="AJ230" i="10"/>
  <c r="G169" i="7"/>
  <c r="V169" i="7"/>
  <c r="AK169" i="7"/>
  <c r="E135" i="7"/>
  <c r="T135" i="7"/>
  <c r="AI135" i="7"/>
  <c r="AY128" i="7"/>
  <c r="C128" i="7"/>
  <c r="AW128" i="7"/>
  <c r="AX129" i="7"/>
  <c r="F129" i="7"/>
  <c r="U129" i="7"/>
  <c r="AJ129" i="7"/>
  <c r="AJ272" i="8" l="1"/>
  <c r="F272" i="8"/>
  <c r="U272" i="8"/>
  <c r="H329" i="10"/>
  <c r="W329" i="10"/>
  <c r="AL329" i="10"/>
  <c r="I329" i="10"/>
  <c r="X329" i="10"/>
  <c r="AM329" i="10"/>
  <c r="J329" i="10"/>
  <c r="AN329" i="10"/>
  <c r="Y329" i="10"/>
  <c r="K329" i="10"/>
  <c r="Z329" i="10"/>
  <c r="AO329" i="10"/>
  <c r="L329" i="10"/>
  <c r="AP329" i="10"/>
  <c r="AA329" i="10"/>
  <c r="AB329" i="10"/>
  <c r="M329" i="10"/>
  <c r="AQ329" i="10"/>
  <c r="N329" i="10"/>
  <c r="AC329" i="10"/>
  <c r="AR329" i="10"/>
  <c r="O329" i="10"/>
  <c r="AD329" i="10"/>
  <c r="AS329" i="10"/>
  <c r="AE329" i="10"/>
  <c r="P329" i="10"/>
  <c r="AT329" i="10"/>
  <c r="AF329" i="10"/>
  <c r="AU329" i="10"/>
  <c r="Q329" i="10"/>
  <c r="R329" i="10"/>
  <c r="AG329" i="10"/>
  <c r="AV329" i="10"/>
  <c r="AL329" i="9"/>
  <c r="H329" i="9"/>
  <c r="W329" i="9"/>
  <c r="X329" i="9"/>
  <c r="I329" i="9"/>
  <c r="AM329" i="9"/>
  <c r="Y329" i="9"/>
  <c r="J329" i="9"/>
  <c r="AN329" i="9"/>
  <c r="Z329" i="9"/>
  <c r="AO329" i="9"/>
  <c r="K329" i="9"/>
  <c r="L329" i="9"/>
  <c r="AA329" i="9"/>
  <c r="AP329" i="9"/>
  <c r="M329" i="9"/>
  <c r="AQ329" i="9"/>
  <c r="AB329" i="9"/>
  <c r="AC329" i="9"/>
  <c r="N329" i="9"/>
  <c r="AR329" i="9"/>
  <c r="AS329" i="9"/>
  <c r="O329" i="9"/>
  <c r="AD329" i="9"/>
  <c r="AE329" i="9"/>
  <c r="AT329" i="9"/>
  <c r="P329" i="9"/>
  <c r="AU329" i="9"/>
  <c r="AF329" i="9"/>
  <c r="Q329" i="9"/>
  <c r="R329" i="9"/>
  <c r="AG329" i="9"/>
  <c r="AV329" i="9"/>
  <c r="H328" i="7"/>
  <c r="W328" i="7"/>
  <c r="AL328" i="7"/>
  <c r="I328" i="7"/>
  <c r="X328" i="7"/>
  <c r="AM328" i="7"/>
  <c r="J328" i="7"/>
  <c r="Y328" i="7"/>
  <c r="AN328" i="7"/>
  <c r="K328" i="7"/>
  <c r="Z328" i="7"/>
  <c r="AO328" i="7"/>
  <c r="L328" i="7"/>
  <c r="AA328" i="7"/>
  <c r="AP328" i="7"/>
  <c r="N328" i="7"/>
  <c r="AC328" i="7"/>
  <c r="AR328" i="7"/>
  <c r="O328" i="7"/>
  <c r="AS328" i="7"/>
  <c r="AD328" i="7"/>
  <c r="P328" i="7"/>
  <c r="AT328" i="7"/>
  <c r="AE328" i="7"/>
  <c r="Q328" i="7"/>
  <c r="AF328" i="7"/>
  <c r="AU328" i="7"/>
  <c r="R328" i="7"/>
  <c r="AG328" i="7"/>
  <c r="AV328" i="7"/>
  <c r="I328" i="8"/>
  <c r="X328" i="8"/>
  <c r="AM328" i="8"/>
  <c r="J328" i="8"/>
  <c r="Y328" i="8"/>
  <c r="AN328" i="8"/>
  <c r="L328" i="8"/>
  <c r="AA328" i="8"/>
  <c r="AP328" i="8"/>
  <c r="N328" i="8"/>
  <c r="AC328" i="8"/>
  <c r="AR328" i="8"/>
  <c r="P328" i="8"/>
  <c r="AE328" i="8"/>
  <c r="AT328" i="8"/>
  <c r="Q328" i="8"/>
  <c r="AF328" i="8"/>
  <c r="AU328" i="8"/>
  <c r="H328" i="8"/>
  <c r="W328" i="8"/>
  <c r="AL328" i="8"/>
  <c r="K328" i="8"/>
  <c r="Z328" i="8"/>
  <c r="AO328" i="8"/>
  <c r="M328" i="8"/>
  <c r="AB328" i="8"/>
  <c r="AQ328" i="8"/>
  <c r="O328" i="8"/>
  <c r="AD328" i="8"/>
  <c r="AS328" i="8"/>
  <c r="R328" i="8"/>
  <c r="AG328" i="8"/>
  <c r="AV328" i="8"/>
  <c r="M328" i="7"/>
  <c r="AB328" i="7"/>
  <c r="AQ328" i="7"/>
  <c r="D316" i="8"/>
  <c r="S316" i="8"/>
  <c r="AH316" i="8"/>
  <c r="T304" i="8"/>
  <c r="E304" i="8"/>
  <c r="AI304" i="8"/>
  <c r="D299" i="9"/>
  <c r="S299" i="9"/>
  <c r="AH299" i="9"/>
  <c r="D276" i="7"/>
  <c r="S276" i="7"/>
  <c r="AH276" i="7"/>
  <c r="G273" i="9"/>
  <c r="V273" i="9"/>
  <c r="AK273" i="9"/>
  <c r="G269" i="10"/>
  <c r="V269" i="10"/>
  <c r="AK269" i="10"/>
  <c r="D254" i="10"/>
  <c r="S254" i="10"/>
  <c r="AH254" i="10"/>
  <c r="E256" i="9"/>
  <c r="T256" i="9"/>
  <c r="AI256" i="9"/>
  <c r="C258" i="8"/>
  <c r="AY258" i="8"/>
  <c r="AW258" i="8"/>
  <c r="W89" i="2" s="1"/>
  <c r="AX259" i="8"/>
  <c r="G259" i="8"/>
  <c r="V259" i="8"/>
  <c r="AK259" i="8"/>
  <c r="E248" i="10"/>
  <c r="T248" i="10"/>
  <c r="AI248" i="10"/>
  <c r="C240" i="9"/>
  <c r="AY240" i="9"/>
  <c r="AX241" i="9"/>
  <c r="AW240" i="9"/>
  <c r="F241" i="9"/>
  <c r="U241" i="9"/>
  <c r="AJ241" i="9"/>
  <c r="AY230" i="10"/>
  <c r="C230" i="10"/>
  <c r="AX231" i="10"/>
  <c r="AW230" i="10"/>
  <c r="F231" i="10"/>
  <c r="U231" i="10"/>
  <c r="AJ231" i="10"/>
  <c r="G170" i="7"/>
  <c r="V170" i="7"/>
  <c r="AK170" i="7"/>
  <c r="E136" i="7"/>
  <c r="T136" i="7"/>
  <c r="AI136" i="7"/>
  <c r="AY129" i="7"/>
  <c r="C129" i="7"/>
  <c r="AX130" i="7"/>
  <c r="AW129" i="7"/>
  <c r="X46" i="2" s="1"/>
  <c r="F130" i="7"/>
  <c r="U130" i="7"/>
  <c r="AJ130" i="7"/>
  <c r="U273" i="8" l="1"/>
  <c r="F273" i="8"/>
  <c r="AJ273" i="8"/>
  <c r="AL330" i="10"/>
  <c r="H330" i="10"/>
  <c r="W330" i="10"/>
  <c r="AM330" i="10"/>
  <c r="I330" i="10"/>
  <c r="X330" i="10"/>
  <c r="J330" i="10"/>
  <c r="Y330" i="10"/>
  <c r="AN330" i="10"/>
  <c r="Z330" i="10"/>
  <c r="K330" i="10"/>
  <c r="AO330" i="10"/>
  <c r="L330" i="10"/>
  <c r="AA330" i="10"/>
  <c r="AP330" i="10"/>
  <c r="M330" i="10"/>
  <c r="AB330" i="10"/>
  <c r="AQ330" i="10"/>
  <c r="N330" i="10"/>
  <c r="AC330" i="10"/>
  <c r="AR330" i="10"/>
  <c r="O330" i="10"/>
  <c r="AD330" i="10"/>
  <c r="AS330" i="10"/>
  <c r="AE330" i="10"/>
  <c r="P330" i="10"/>
  <c r="AT330" i="10"/>
  <c r="Q330" i="10"/>
  <c r="AU330" i="10"/>
  <c r="AF330" i="10"/>
  <c r="AG330" i="10"/>
  <c r="AV330" i="10"/>
  <c r="R330" i="10"/>
  <c r="H330" i="9"/>
  <c r="W330" i="9"/>
  <c r="AL330" i="9"/>
  <c r="I330" i="9"/>
  <c r="X330" i="9"/>
  <c r="AM330" i="9"/>
  <c r="J330" i="9"/>
  <c r="Y330" i="9"/>
  <c r="AN330" i="9"/>
  <c r="K330" i="9"/>
  <c r="Z330" i="9"/>
  <c r="AO330" i="9"/>
  <c r="L330" i="9"/>
  <c r="AA330" i="9"/>
  <c r="AP330" i="9"/>
  <c r="M330" i="9"/>
  <c r="AB330" i="9"/>
  <c r="AQ330" i="9"/>
  <c r="N330" i="9"/>
  <c r="AC330" i="9"/>
  <c r="AR330" i="9"/>
  <c r="O330" i="9"/>
  <c r="AD330" i="9"/>
  <c r="AS330" i="9"/>
  <c r="P330" i="9"/>
  <c r="AE330" i="9"/>
  <c r="AT330" i="9"/>
  <c r="Q330" i="9"/>
  <c r="AF330" i="9"/>
  <c r="AU330" i="9"/>
  <c r="R330" i="9"/>
  <c r="AG330" i="9"/>
  <c r="AV330" i="9"/>
  <c r="W329" i="7"/>
  <c r="H329" i="7"/>
  <c r="AL329" i="7"/>
  <c r="I329" i="7"/>
  <c r="AM329" i="7"/>
  <c r="X329" i="7"/>
  <c r="Y329" i="7"/>
  <c r="AN329" i="7"/>
  <c r="J329" i="7"/>
  <c r="Z329" i="7"/>
  <c r="K329" i="7"/>
  <c r="AO329" i="7"/>
  <c r="AP329" i="7"/>
  <c r="AA329" i="7"/>
  <c r="L329" i="7"/>
  <c r="AC329" i="7"/>
  <c r="AR329" i="7"/>
  <c r="N329" i="7"/>
  <c r="O329" i="7"/>
  <c r="AD329" i="7"/>
  <c r="AS329" i="7"/>
  <c r="AE329" i="7"/>
  <c r="AT329" i="7"/>
  <c r="P329" i="7"/>
  <c r="Q329" i="7"/>
  <c r="AF329" i="7"/>
  <c r="AU329" i="7"/>
  <c r="R329" i="7"/>
  <c r="AG329" i="7"/>
  <c r="AV329" i="7"/>
  <c r="I329" i="8"/>
  <c r="X329" i="8"/>
  <c r="AM329" i="8"/>
  <c r="J329" i="8"/>
  <c r="Y329" i="8"/>
  <c r="AN329" i="8"/>
  <c r="L329" i="8"/>
  <c r="AA329" i="8"/>
  <c r="AP329" i="8"/>
  <c r="N329" i="8"/>
  <c r="AC329" i="8"/>
  <c r="AR329" i="8"/>
  <c r="P329" i="8"/>
  <c r="AE329" i="8"/>
  <c r="AT329" i="8"/>
  <c r="Q329" i="8"/>
  <c r="AF329" i="8"/>
  <c r="AU329" i="8"/>
  <c r="H329" i="8"/>
  <c r="W329" i="8"/>
  <c r="AL329" i="8"/>
  <c r="K329" i="8"/>
  <c r="Z329" i="8"/>
  <c r="AO329" i="8"/>
  <c r="M329" i="8"/>
  <c r="AB329" i="8"/>
  <c r="AQ329" i="8"/>
  <c r="O329" i="8"/>
  <c r="AD329" i="8"/>
  <c r="AS329" i="8"/>
  <c r="R329" i="8"/>
  <c r="AG329" i="8"/>
  <c r="AV329" i="8"/>
  <c r="AQ329" i="7"/>
  <c r="M329" i="7"/>
  <c r="AB329" i="7"/>
  <c r="S317" i="8"/>
  <c r="AH317" i="8"/>
  <c r="D317" i="8"/>
  <c r="AI305" i="8"/>
  <c r="T305" i="8"/>
  <c r="E305" i="8"/>
  <c r="D300" i="9"/>
  <c r="S300" i="9"/>
  <c r="AH300" i="9"/>
  <c r="D277" i="7"/>
  <c r="S277" i="7"/>
  <c r="AH277" i="7"/>
  <c r="G274" i="9"/>
  <c r="V274" i="9"/>
  <c r="AK274" i="9"/>
  <c r="G270" i="10"/>
  <c r="V270" i="10"/>
  <c r="AK270" i="10"/>
  <c r="D255" i="10"/>
  <c r="S255" i="10"/>
  <c r="AH255" i="10"/>
  <c r="E257" i="9"/>
  <c r="T257" i="9"/>
  <c r="AI257" i="9"/>
  <c r="AY259" i="8"/>
  <c r="C259" i="8"/>
  <c r="AX260" i="8"/>
  <c r="AW259" i="8"/>
  <c r="G260" i="8"/>
  <c r="V260" i="8"/>
  <c r="AK260" i="8"/>
  <c r="E249" i="10"/>
  <c r="T249" i="10"/>
  <c r="AI249" i="10"/>
  <c r="AY241" i="9"/>
  <c r="C241" i="9"/>
  <c r="AW241" i="9"/>
  <c r="AX242" i="9"/>
  <c r="F242" i="9"/>
  <c r="U242" i="9"/>
  <c r="AJ242" i="9"/>
  <c r="C231" i="10"/>
  <c r="AY231" i="10"/>
  <c r="AX232" i="10"/>
  <c r="AW231" i="10"/>
  <c r="F232" i="10"/>
  <c r="U232" i="10"/>
  <c r="AJ232" i="10"/>
  <c r="G171" i="7"/>
  <c r="V171" i="7"/>
  <c r="AK171" i="7"/>
  <c r="E137" i="7"/>
  <c r="T137" i="7"/>
  <c r="AI137" i="7"/>
  <c r="AY130" i="7"/>
  <c r="C130" i="7"/>
  <c r="AW130" i="7"/>
  <c r="AX131" i="7"/>
  <c r="F131" i="7"/>
  <c r="U131" i="7"/>
  <c r="AJ131" i="7"/>
  <c r="AJ274" i="8" l="1"/>
  <c r="U274" i="8"/>
  <c r="F274" i="8"/>
  <c r="H331" i="10"/>
  <c r="AL331" i="10"/>
  <c r="W331" i="10"/>
  <c r="I331" i="10"/>
  <c r="AM331" i="10"/>
  <c r="X331" i="10"/>
  <c r="J331" i="10"/>
  <c r="AN331" i="10"/>
  <c r="Y331" i="10"/>
  <c r="Z331" i="10"/>
  <c r="K331" i="10"/>
  <c r="AO331" i="10"/>
  <c r="L331" i="10"/>
  <c r="AA331" i="10"/>
  <c r="AP331" i="10"/>
  <c r="M331" i="10"/>
  <c r="AB331" i="10"/>
  <c r="AQ331" i="10"/>
  <c r="N331" i="10"/>
  <c r="AC331" i="10"/>
  <c r="AR331" i="10"/>
  <c r="AD331" i="10"/>
  <c r="AS331" i="10"/>
  <c r="O331" i="10"/>
  <c r="P331" i="10"/>
  <c r="AE331" i="10"/>
  <c r="AT331" i="10"/>
  <c r="Q331" i="10"/>
  <c r="AF331" i="10"/>
  <c r="AU331" i="10"/>
  <c r="R331" i="10"/>
  <c r="AG331" i="10"/>
  <c r="AV331" i="10"/>
  <c r="H331" i="9"/>
  <c r="W331" i="9"/>
  <c r="AL331" i="9"/>
  <c r="I331" i="9"/>
  <c r="X331" i="9"/>
  <c r="AM331" i="9"/>
  <c r="J331" i="9"/>
  <c r="Y331" i="9"/>
  <c r="AN331" i="9"/>
  <c r="K331" i="9"/>
  <c r="Z331" i="9"/>
  <c r="AO331" i="9"/>
  <c r="L331" i="9"/>
  <c r="AA331" i="9"/>
  <c r="AP331" i="9"/>
  <c r="M331" i="9"/>
  <c r="AB331" i="9"/>
  <c r="AQ331" i="9"/>
  <c r="N331" i="9"/>
  <c r="AC331" i="9"/>
  <c r="AR331" i="9"/>
  <c r="O331" i="9"/>
  <c r="AD331" i="9"/>
  <c r="AS331" i="9"/>
  <c r="P331" i="9"/>
  <c r="AE331" i="9"/>
  <c r="AT331" i="9"/>
  <c r="Q331" i="9"/>
  <c r="AF331" i="9"/>
  <c r="AU331" i="9"/>
  <c r="R331" i="9"/>
  <c r="AG331" i="9"/>
  <c r="AV331" i="9"/>
  <c r="H330" i="7"/>
  <c r="AL330" i="7"/>
  <c r="W330" i="7"/>
  <c r="I330" i="7"/>
  <c r="X330" i="7"/>
  <c r="AM330" i="7"/>
  <c r="AN330" i="7"/>
  <c r="J330" i="7"/>
  <c r="Y330" i="7"/>
  <c r="AO330" i="7"/>
  <c r="Z330" i="7"/>
  <c r="K330" i="7"/>
  <c r="L330" i="7"/>
  <c r="AA330" i="7"/>
  <c r="AP330" i="7"/>
  <c r="AC330" i="7"/>
  <c r="AR330" i="7"/>
  <c r="N330" i="7"/>
  <c r="O330" i="7"/>
  <c r="AD330" i="7"/>
  <c r="AS330" i="7"/>
  <c r="AE330" i="7"/>
  <c r="AT330" i="7"/>
  <c r="P330" i="7"/>
  <c r="AU330" i="7"/>
  <c r="AF330" i="7"/>
  <c r="Q330" i="7"/>
  <c r="AG330" i="7"/>
  <c r="R330" i="7"/>
  <c r="AV330" i="7"/>
  <c r="I330" i="8"/>
  <c r="X330" i="8"/>
  <c r="AM330" i="8"/>
  <c r="J330" i="8"/>
  <c r="Y330" i="8"/>
  <c r="AN330" i="8"/>
  <c r="L330" i="8"/>
  <c r="AA330" i="8"/>
  <c r="AP330" i="8"/>
  <c r="N330" i="8"/>
  <c r="AC330" i="8"/>
  <c r="AR330" i="8"/>
  <c r="P330" i="8"/>
  <c r="AE330" i="8"/>
  <c r="AT330" i="8"/>
  <c r="Q330" i="8"/>
  <c r="AF330" i="8"/>
  <c r="AU330" i="8"/>
  <c r="H330" i="8"/>
  <c r="W330" i="8"/>
  <c r="AL330" i="8"/>
  <c r="K330" i="8"/>
  <c r="Z330" i="8"/>
  <c r="AO330" i="8"/>
  <c r="M330" i="8"/>
  <c r="AB330" i="8"/>
  <c r="AQ330" i="8"/>
  <c r="O330" i="8"/>
  <c r="AD330" i="8"/>
  <c r="AS330" i="8"/>
  <c r="R330" i="8"/>
  <c r="AG330" i="8"/>
  <c r="AV330" i="8"/>
  <c r="M330" i="7"/>
  <c r="AB330" i="7"/>
  <c r="AQ330" i="7"/>
  <c r="S318" i="8"/>
  <c r="AH318" i="8"/>
  <c r="D318" i="8"/>
  <c r="E306" i="8"/>
  <c r="T306" i="8"/>
  <c r="AI306" i="8"/>
  <c r="D301" i="9"/>
  <c r="S301" i="9"/>
  <c r="AH301" i="9"/>
  <c r="D278" i="7"/>
  <c r="S278" i="7"/>
  <c r="AH278" i="7"/>
  <c r="G275" i="9"/>
  <c r="V275" i="9"/>
  <c r="AK275" i="9"/>
  <c r="G271" i="10"/>
  <c r="V271" i="10"/>
  <c r="AK271" i="10"/>
  <c r="D256" i="10"/>
  <c r="S256" i="10"/>
  <c r="AH256" i="10"/>
  <c r="E258" i="9"/>
  <c r="T258" i="9"/>
  <c r="AI258" i="9"/>
  <c r="AY260" i="8"/>
  <c r="C260" i="8"/>
  <c r="AW260" i="8"/>
  <c r="AX261" i="8"/>
  <c r="G261" i="8"/>
  <c r="V261" i="8"/>
  <c r="AK261" i="8"/>
  <c r="E250" i="10"/>
  <c r="T250" i="10"/>
  <c r="AI250" i="10"/>
  <c r="C242" i="9"/>
  <c r="AY242" i="9"/>
  <c r="AW242" i="9"/>
  <c r="AX243" i="9"/>
  <c r="F243" i="9"/>
  <c r="U243" i="9"/>
  <c r="AJ243" i="9"/>
  <c r="AY232" i="10"/>
  <c r="C232" i="10"/>
  <c r="AX233" i="10"/>
  <c r="AW232" i="10"/>
  <c r="F233" i="10"/>
  <c r="U233" i="10"/>
  <c r="AJ233" i="10"/>
  <c r="G172" i="7"/>
  <c r="V172" i="7"/>
  <c r="AK172" i="7"/>
  <c r="E138" i="7"/>
  <c r="T138" i="7"/>
  <c r="AI138" i="7"/>
  <c r="AY131" i="7"/>
  <c r="C131" i="7"/>
  <c r="AX132" i="7"/>
  <c r="AW131" i="7"/>
  <c r="F132" i="7"/>
  <c r="U132" i="7"/>
  <c r="AJ132" i="7"/>
  <c r="AJ275" i="8" l="1"/>
  <c r="F275" i="8"/>
  <c r="U275" i="8"/>
  <c r="H332" i="10"/>
  <c r="AL332" i="10"/>
  <c r="W332" i="10"/>
  <c r="I332" i="10"/>
  <c r="X332" i="10"/>
  <c r="AM332" i="10"/>
  <c r="J332" i="10"/>
  <c r="Y332" i="10"/>
  <c r="AN332" i="10"/>
  <c r="Z332" i="10"/>
  <c r="K332" i="10"/>
  <c r="AO332" i="10"/>
  <c r="L332" i="10"/>
  <c r="AA332" i="10"/>
  <c r="AP332" i="10"/>
  <c r="M332" i="10"/>
  <c r="AB332" i="10"/>
  <c r="AQ332" i="10"/>
  <c r="N332" i="10"/>
  <c r="AC332" i="10"/>
  <c r="AR332" i="10"/>
  <c r="O332" i="10"/>
  <c r="AD332" i="10"/>
  <c r="AS332" i="10"/>
  <c r="AE332" i="10"/>
  <c r="AT332" i="10"/>
  <c r="P332" i="10"/>
  <c r="AF332" i="10"/>
  <c r="Q332" i="10"/>
  <c r="AU332" i="10"/>
  <c r="R332" i="10"/>
  <c r="AV332" i="10"/>
  <c r="AG332" i="10"/>
  <c r="H332" i="9"/>
  <c r="W332" i="9"/>
  <c r="AL332" i="9"/>
  <c r="I332" i="9"/>
  <c r="X332" i="9"/>
  <c r="AM332" i="9"/>
  <c r="J332" i="9"/>
  <c r="Y332" i="9"/>
  <c r="AN332" i="9"/>
  <c r="K332" i="9"/>
  <c r="Z332" i="9"/>
  <c r="AO332" i="9"/>
  <c r="L332" i="9"/>
  <c r="AA332" i="9"/>
  <c r="AP332" i="9"/>
  <c r="M332" i="9"/>
  <c r="AB332" i="9"/>
  <c r="AQ332" i="9"/>
  <c r="N332" i="9"/>
  <c r="AC332" i="9"/>
  <c r="AR332" i="9"/>
  <c r="O332" i="9"/>
  <c r="AD332" i="9"/>
  <c r="AS332" i="9"/>
  <c r="P332" i="9"/>
  <c r="AE332" i="9"/>
  <c r="AT332" i="9"/>
  <c r="Q332" i="9"/>
  <c r="AF332" i="9"/>
  <c r="AU332" i="9"/>
  <c r="R332" i="9"/>
  <c r="AG332" i="9"/>
  <c r="AV332" i="9"/>
  <c r="W331" i="7"/>
  <c r="H331" i="7"/>
  <c r="AL331" i="7"/>
  <c r="I331" i="7"/>
  <c r="AM331" i="7"/>
  <c r="X331" i="7"/>
  <c r="Y331" i="7"/>
  <c r="AN331" i="7"/>
  <c r="J331" i="7"/>
  <c r="K331" i="7"/>
  <c r="Z331" i="7"/>
  <c r="AO331" i="7"/>
  <c r="L331" i="7"/>
  <c r="AP331" i="7"/>
  <c r="AA331" i="7"/>
  <c r="AR331" i="7"/>
  <c r="AC331" i="7"/>
  <c r="N331" i="7"/>
  <c r="AD331" i="7"/>
  <c r="O331" i="7"/>
  <c r="AS331" i="7"/>
  <c r="P331" i="7"/>
  <c r="AE331" i="7"/>
  <c r="AT331" i="7"/>
  <c r="Q331" i="7"/>
  <c r="AU331" i="7"/>
  <c r="AF331" i="7"/>
  <c r="R331" i="7"/>
  <c r="AV331" i="7"/>
  <c r="AG331" i="7"/>
  <c r="I331" i="8"/>
  <c r="X331" i="8"/>
  <c r="AM331" i="8"/>
  <c r="J331" i="8"/>
  <c r="Y331" i="8"/>
  <c r="AN331" i="8"/>
  <c r="L331" i="8"/>
  <c r="AA331" i="8"/>
  <c r="AP331" i="8"/>
  <c r="N331" i="8"/>
  <c r="AC331" i="8"/>
  <c r="AR331" i="8"/>
  <c r="P331" i="8"/>
  <c r="AE331" i="8"/>
  <c r="AT331" i="8"/>
  <c r="Q331" i="8"/>
  <c r="AF331" i="8"/>
  <c r="AU331" i="8"/>
  <c r="H331" i="8"/>
  <c r="W331" i="8"/>
  <c r="AL331" i="8"/>
  <c r="K331" i="8"/>
  <c r="Z331" i="8"/>
  <c r="AO331" i="8"/>
  <c r="M331" i="8"/>
  <c r="AB331" i="8"/>
  <c r="AQ331" i="8"/>
  <c r="O331" i="8"/>
  <c r="AD331" i="8"/>
  <c r="AS331" i="8"/>
  <c r="R331" i="8"/>
  <c r="AG331" i="8"/>
  <c r="AV331" i="8"/>
  <c r="AB331" i="7"/>
  <c r="M331" i="7"/>
  <c r="AQ331" i="7"/>
  <c r="AH319" i="8"/>
  <c r="D319" i="8"/>
  <c r="S319" i="8"/>
  <c r="T307" i="8"/>
  <c r="AI307" i="8"/>
  <c r="E307" i="8"/>
  <c r="D302" i="9"/>
  <c r="S302" i="9"/>
  <c r="AH302" i="9"/>
  <c r="D279" i="7"/>
  <c r="S279" i="7"/>
  <c r="AH279" i="7"/>
  <c r="G276" i="9"/>
  <c r="V276" i="9"/>
  <c r="AK276" i="9"/>
  <c r="G272" i="10"/>
  <c r="V272" i="10"/>
  <c r="AK272" i="10"/>
  <c r="D257" i="10"/>
  <c r="S257" i="10"/>
  <c r="AH257" i="10"/>
  <c r="E259" i="9"/>
  <c r="T259" i="9"/>
  <c r="AI259" i="9"/>
  <c r="AY261" i="8"/>
  <c r="C261" i="8"/>
  <c r="AW261" i="8"/>
  <c r="W90" i="2" s="1"/>
  <c r="AX262" i="8"/>
  <c r="G262" i="8"/>
  <c r="V262" i="8"/>
  <c r="AK262" i="8"/>
  <c r="E251" i="10"/>
  <c r="T251" i="10"/>
  <c r="AI251" i="10"/>
  <c r="AY243" i="9"/>
  <c r="C243" i="9"/>
  <c r="AW243" i="9"/>
  <c r="AX244" i="9"/>
  <c r="F244" i="9"/>
  <c r="U244" i="9"/>
  <c r="AJ244" i="9"/>
  <c r="AY233" i="10"/>
  <c r="C233" i="10"/>
  <c r="AX234" i="10"/>
  <c r="AW233" i="10"/>
  <c r="F234" i="10"/>
  <c r="U234" i="10"/>
  <c r="AJ234" i="10"/>
  <c r="G173" i="7"/>
  <c r="V173" i="7"/>
  <c r="AK173" i="7"/>
  <c r="E139" i="7"/>
  <c r="T139" i="7"/>
  <c r="AI139" i="7"/>
  <c r="AY132" i="7"/>
  <c r="C132" i="7"/>
  <c r="AW132" i="7"/>
  <c r="X47" i="2" s="1"/>
  <c r="AX133" i="7"/>
  <c r="F133" i="7"/>
  <c r="U133" i="7"/>
  <c r="AJ133" i="7"/>
  <c r="AJ276" i="8" l="1"/>
  <c r="U276" i="8"/>
  <c r="F276" i="8"/>
  <c r="H333" i="10"/>
  <c r="W333" i="10"/>
  <c r="AL333" i="10"/>
  <c r="X333" i="10"/>
  <c r="AM333" i="10"/>
  <c r="I333" i="10"/>
  <c r="AN333" i="10"/>
  <c r="J333" i="10"/>
  <c r="Y333" i="10"/>
  <c r="K333" i="10"/>
  <c r="Z333" i="10"/>
  <c r="AO333" i="10"/>
  <c r="L333" i="10"/>
  <c r="AA333" i="10"/>
  <c r="AP333" i="10"/>
  <c r="M333" i="10"/>
  <c r="AB333" i="10"/>
  <c r="AQ333" i="10"/>
  <c r="AC333" i="10"/>
  <c r="N333" i="10"/>
  <c r="AR333" i="10"/>
  <c r="O333" i="10"/>
  <c r="AS333" i="10"/>
  <c r="AD333" i="10"/>
  <c r="AE333" i="10"/>
  <c r="AT333" i="10"/>
  <c r="P333" i="10"/>
  <c r="Q333" i="10"/>
  <c r="AF333" i="10"/>
  <c r="AU333" i="10"/>
  <c r="R333" i="10"/>
  <c r="AG333" i="10"/>
  <c r="AV333" i="10"/>
  <c r="H333" i="9"/>
  <c r="W333" i="9"/>
  <c r="AL333" i="9"/>
  <c r="I333" i="9"/>
  <c r="X333" i="9"/>
  <c r="AM333" i="9"/>
  <c r="J333" i="9"/>
  <c r="Y333" i="9"/>
  <c r="AN333" i="9"/>
  <c r="K333" i="9"/>
  <c r="Z333" i="9"/>
  <c r="AO333" i="9"/>
  <c r="L333" i="9"/>
  <c r="AA333" i="9"/>
  <c r="AP333" i="9"/>
  <c r="M333" i="9"/>
  <c r="AB333" i="9"/>
  <c r="AQ333" i="9"/>
  <c r="N333" i="9"/>
  <c r="AC333" i="9"/>
  <c r="AR333" i="9"/>
  <c r="O333" i="9"/>
  <c r="AD333" i="9"/>
  <c r="AS333" i="9"/>
  <c r="P333" i="9"/>
  <c r="AE333" i="9"/>
  <c r="AT333" i="9"/>
  <c r="Q333" i="9"/>
  <c r="AF333" i="9"/>
  <c r="AU333" i="9"/>
  <c r="R333" i="9"/>
  <c r="AG333" i="9"/>
  <c r="AV333" i="9"/>
  <c r="W332" i="7"/>
  <c r="AL332" i="7"/>
  <c r="H332" i="7"/>
  <c r="X332" i="7"/>
  <c r="AM332" i="7"/>
  <c r="I332" i="7"/>
  <c r="J332" i="7"/>
  <c r="Y332" i="7"/>
  <c r="AN332" i="7"/>
  <c r="Z332" i="7"/>
  <c r="K332" i="7"/>
  <c r="AO332" i="7"/>
  <c r="L332" i="7"/>
  <c r="AA332" i="7"/>
  <c r="AP332" i="7"/>
  <c r="AR332" i="7"/>
  <c r="N332" i="7"/>
  <c r="AC332" i="7"/>
  <c r="AS332" i="7"/>
  <c r="AD332" i="7"/>
  <c r="O332" i="7"/>
  <c r="AT332" i="7"/>
  <c r="P332" i="7"/>
  <c r="AE332" i="7"/>
  <c r="AU332" i="7"/>
  <c r="AF332" i="7"/>
  <c r="Q332" i="7"/>
  <c r="R332" i="7"/>
  <c r="AG332" i="7"/>
  <c r="AV332" i="7"/>
  <c r="I332" i="8"/>
  <c r="X332" i="8"/>
  <c r="AM332" i="8"/>
  <c r="J332" i="8"/>
  <c r="Y332" i="8"/>
  <c r="AN332" i="8"/>
  <c r="L332" i="8"/>
  <c r="AA332" i="8"/>
  <c r="AP332" i="8"/>
  <c r="N332" i="8"/>
  <c r="AC332" i="8"/>
  <c r="AR332" i="8"/>
  <c r="P332" i="8"/>
  <c r="AE332" i="8"/>
  <c r="AT332" i="8"/>
  <c r="Q332" i="8"/>
  <c r="AF332" i="8"/>
  <c r="AU332" i="8"/>
  <c r="H332" i="8"/>
  <c r="W332" i="8"/>
  <c r="AL332" i="8"/>
  <c r="K332" i="8"/>
  <c r="Z332" i="8"/>
  <c r="AO332" i="8"/>
  <c r="M332" i="8"/>
  <c r="AB332" i="8"/>
  <c r="AQ332" i="8"/>
  <c r="O332" i="8"/>
  <c r="AD332" i="8"/>
  <c r="AS332" i="8"/>
  <c r="R332" i="8"/>
  <c r="AG332" i="8"/>
  <c r="AV332" i="8"/>
  <c r="AQ332" i="7"/>
  <c r="M332" i="7"/>
  <c r="AB332" i="7"/>
  <c r="AH320" i="8"/>
  <c r="D320" i="8"/>
  <c r="S320" i="8"/>
  <c r="AI308" i="8"/>
  <c r="E308" i="8"/>
  <c r="T308" i="8"/>
  <c r="D303" i="9"/>
  <c r="S303" i="9"/>
  <c r="AH303" i="9"/>
  <c r="D280" i="7"/>
  <c r="S280" i="7"/>
  <c r="AH280" i="7"/>
  <c r="G277" i="9"/>
  <c r="V277" i="9"/>
  <c r="AK277" i="9"/>
  <c r="G273" i="10"/>
  <c r="V273" i="10"/>
  <c r="AK273" i="10"/>
  <c r="D258" i="10"/>
  <c r="S258" i="10"/>
  <c r="AH258" i="10"/>
  <c r="E260" i="9"/>
  <c r="T260" i="9"/>
  <c r="AI260" i="9"/>
  <c r="AY262" i="8"/>
  <c r="C262" i="8"/>
  <c r="AX263" i="8"/>
  <c r="AW262" i="8"/>
  <c r="G263" i="8"/>
  <c r="V263" i="8"/>
  <c r="AK263" i="8"/>
  <c r="E252" i="10"/>
  <c r="T252" i="10"/>
  <c r="AI252" i="10"/>
  <c r="AY244" i="9"/>
  <c r="C244" i="9"/>
  <c r="AW244" i="9"/>
  <c r="AX245" i="9"/>
  <c r="F245" i="9"/>
  <c r="U245" i="9"/>
  <c r="AJ245" i="9"/>
  <c r="AY234" i="10"/>
  <c r="C234" i="10"/>
  <c r="AW234" i="10"/>
  <c r="AX235" i="10"/>
  <c r="F235" i="10"/>
  <c r="U235" i="10"/>
  <c r="AJ235" i="10"/>
  <c r="G174" i="7"/>
  <c r="V174" i="7"/>
  <c r="AK174" i="7"/>
  <c r="E140" i="7"/>
  <c r="T140" i="7"/>
  <c r="AI140" i="7"/>
  <c r="AY133" i="7"/>
  <c r="C133" i="7"/>
  <c r="AW133" i="7"/>
  <c r="AX134" i="7"/>
  <c r="F134" i="7"/>
  <c r="U134" i="7"/>
  <c r="AJ134" i="7"/>
  <c r="AJ277" i="8" l="1"/>
  <c r="U277" i="8"/>
  <c r="F277" i="8"/>
  <c r="H334" i="10"/>
  <c r="W334" i="10"/>
  <c r="AL334" i="10"/>
  <c r="I334" i="10"/>
  <c r="X334" i="10"/>
  <c r="AM334" i="10"/>
  <c r="J334" i="10"/>
  <c r="Y334" i="10"/>
  <c r="AN334" i="10"/>
  <c r="K334" i="10"/>
  <c r="Z334" i="10"/>
  <c r="AO334" i="10"/>
  <c r="L334" i="10"/>
  <c r="AA334" i="10"/>
  <c r="AP334" i="10"/>
  <c r="M334" i="10"/>
  <c r="AB334" i="10"/>
  <c r="AQ334" i="10"/>
  <c r="AC334" i="10"/>
  <c r="AR334" i="10"/>
  <c r="N334" i="10"/>
  <c r="O334" i="10"/>
  <c r="AD334" i="10"/>
  <c r="AS334" i="10"/>
  <c r="P334" i="10"/>
  <c r="AE334" i="10"/>
  <c r="AT334" i="10"/>
  <c r="Q334" i="10"/>
  <c r="AF334" i="10"/>
  <c r="AU334" i="10"/>
  <c r="AG334" i="10"/>
  <c r="AV334" i="10"/>
  <c r="R334" i="10"/>
  <c r="H334" i="9"/>
  <c r="W334" i="9"/>
  <c r="AL334" i="9"/>
  <c r="I334" i="9"/>
  <c r="X334" i="9"/>
  <c r="AM334" i="9"/>
  <c r="J334" i="9"/>
  <c r="Y334" i="9"/>
  <c r="AN334" i="9"/>
  <c r="K334" i="9"/>
  <c r="Z334" i="9"/>
  <c r="AO334" i="9"/>
  <c r="L334" i="9"/>
  <c r="AA334" i="9"/>
  <c r="AP334" i="9"/>
  <c r="M334" i="9"/>
  <c r="AB334" i="9"/>
  <c r="AQ334" i="9"/>
  <c r="N334" i="9"/>
  <c r="AC334" i="9"/>
  <c r="AR334" i="9"/>
  <c r="O334" i="9"/>
  <c r="AD334" i="9"/>
  <c r="AS334" i="9"/>
  <c r="P334" i="9"/>
  <c r="AE334" i="9"/>
  <c r="AT334" i="9"/>
  <c r="Q334" i="9"/>
  <c r="AF334" i="9"/>
  <c r="AU334" i="9"/>
  <c r="R334" i="9"/>
  <c r="AG334" i="9"/>
  <c r="AV334" i="9"/>
  <c r="W333" i="7"/>
  <c r="AL333" i="7"/>
  <c r="H333" i="7"/>
  <c r="I333" i="7"/>
  <c r="X333" i="7"/>
  <c r="AM333" i="7"/>
  <c r="AN333" i="7"/>
  <c r="Y333" i="7"/>
  <c r="J333" i="7"/>
  <c r="K333" i="7"/>
  <c r="AO333" i="7"/>
  <c r="Z333" i="7"/>
  <c r="L333" i="7"/>
  <c r="AA333" i="7"/>
  <c r="AP333" i="7"/>
  <c r="AC333" i="7"/>
  <c r="AR333" i="7"/>
  <c r="N333" i="7"/>
  <c r="O333" i="7"/>
  <c r="AS333" i="7"/>
  <c r="AD333" i="7"/>
  <c r="AE333" i="7"/>
  <c r="AT333" i="7"/>
  <c r="P333" i="7"/>
  <c r="Q333" i="7"/>
  <c r="AF333" i="7"/>
  <c r="AU333" i="7"/>
  <c r="R333" i="7"/>
  <c r="AG333" i="7"/>
  <c r="AV333" i="7"/>
  <c r="I333" i="8"/>
  <c r="X333" i="8"/>
  <c r="AM333" i="8"/>
  <c r="J333" i="8"/>
  <c r="Y333" i="8"/>
  <c r="AN333" i="8"/>
  <c r="L333" i="8"/>
  <c r="AA333" i="8"/>
  <c r="AP333" i="8"/>
  <c r="N333" i="8"/>
  <c r="AC333" i="8"/>
  <c r="AR333" i="8"/>
  <c r="P333" i="8"/>
  <c r="AE333" i="8"/>
  <c r="AT333" i="8"/>
  <c r="Q333" i="8"/>
  <c r="AF333" i="8"/>
  <c r="AU333" i="8"/>
  <c r="H333" i="8"/>
  <c r="W333" i="8"/>
  <c r="AL333" i="8"/>
  <c r="K333" i="8"/>
  <c r="Z333" i="8"/>
  <c r="AO333" i="8"/>
  <c r="M333" i="8"/>
  <c r="AB333" i="8"/>
  <c r="AQ333" i="8"/>
  <c r="O333" i="8"/>
  <c r="AD333" i="8"/>
  <c r="AS333" i="8"/>
  <c r="R333" i="8"/>
  <c r="AG333" i="8"/>
  <c r="AV333" i="8"/>
  <c r="AQ333" i="7"/>
  <c r="M333" i="7"/>
  <c r="AB333" i="7"/>
  <c r="S321" i="8"/>
  <c r="D321" i="8"/>
  <c r="AH321" i="8"/>
  <c r="T309" i="8"/>
  <c r="AI309" i="8"/>
  <c r="E309" i="8"/>
  <c r="D304" i="9"/>
  <c r="S304" i="9"/>
  <c r="AH304" i="9"/>
  <c r="D281" i="7"/>
  <c r="S281" i="7"/>
  <c r="AH281" i="7"/>
  <c r="G278" i="9"/>
  <c r="V278" i="9"/>
  <c r="AK278" i="9"/>
  <c r="G274" i="10"/>
  <c r="V274" i="10"/>
  <c r="AK274" i="10"/>
  <c r="D259" i="10"/>
  <c r="S259" i="10"/>
  <c r="AH259" i="10"/>
  <c r="E261" i="9"/>
  <c r="T261" i="9"/>
  <c r="AI261" i="9"/>
  <c r="AY263" i="8"/>
  <c r="C263" i="8"/>
  <c r="AW263" i="8"/>
  <c r="AX264" i="8"/>
  <c r="G264" i="8"/>
  <c r="V264" i="8"/>
  <c r="AK264" i="8"/>
  <c r="E253" i="10"/>
  <c r="T253" i="10"/>
  <c r="AI253" i="10"/>
  <c r="C245" i="9"/>
  <c r="AY245" i="9"/>
  <c r="AX246" i="9"/>
  <c r="AW245" i="9"/>
  <c r="F246" i="9"/>
  <c r="U246" i="9"/>
  <c r="AJ246" i="9"/>
  <c r="AY235" i="10"/>
  <c r="C235" i="10"/>
  <c r="AW235" i="10"/>
  <c r="AX236" i="10"/>
  <c r="F236" i="10"/>
  <c r="U236" i="10"/>
  <c r="AJ236" i="10"/>
  <c r="G175" i="7"/>
  <c r="V175" i="7"/>
  <c r="AK175" i="7"/>
  <c r="E141" i="7"/>
  <c r="T141" i="7"/>
  <c r="AI141" i="7"/>
  <c r="C134" i="7"/>
  <c r="AY134" i="7"/>
  <c r="AW134" i="7"/>
  <c r="AX135" i="7"/>
  <c r="F135" i="7"/>
  <c r="U135" i="7"/>
  <c r="AJ135" i="7"/>
  <c r="AJ278" i="8" l="1"/>
  <c r="U278" i="8"/>
  <c r="F278" i="8"/>
  <c r="H335" i="10"/>
  <c r="W335" i="10"/>
  <c r="AL335" i="10"/>
  <c r="I335" i="10"/>
  <c r="X335" i="10"/>
  <c r="AM335" i="10"/>
  <c r="J335" i="10"/>
  <c r="Y335" i="10"/>
  <c r="AN335" i="10"/>
  <c r="K335" i="10"/>
  <c r="Z335" i="10"/>
  <c r="AO335" i="10"/>
  <c r="L335" i="10"/>
  <c r="AA335" i="10"/>
  <c r="AP335" i="10"/>
  <c r="M335" i="10"/>
  <c r="AB335" i="10"/>
  <c r="AQ335" i="10"/>
  <c r="N335" i="10"/>
  <c r="AC335" i="10"/>
  <c r="AR335" i="10"/>
  <c r="O335" i="10"/>
  <c r="AD335" i="10"/>
  <c r="AS335" i="10"/>
  <c r="P335" i="10"/>
  <c r="AE335" i="10"/>
  <c r="AT335" i="10"/>
  <c r="Q335" i="10"/>
  <c r="AF335" i="10"/>
  <c r="AU335" i="10"/>
  <c r="R335" i="10"/>
  <c r="AG335" i="10"/>
  <c r="AV335" i="10"/>
  <c r="H335" i="9"/>
  <c r="W335" i="9"/>
  <c r="AL335" i="9"/>
  <c r="I335" i="9"/>
  <c r="X335" i="9"/>
  <c r="AM335" i="9"/>
  <c r="J335" i="9"/>
  <c r="Y335" i="9"/>
  <c r="AN335" i="9"/>
  <c r="K335" i="9"/>
  <c r="Z335" i="9"/>
  <c r="AO335" i="9"/>
  <c r="L335" i="9"/>
  <c r="AA335" i="9"/>
  <c r="AP335" i="9"/>
  <c r="M335" i="9"/>
  <c r="AB335" i="9"/>
  <c r="AQ335" i="9"/>
  <c r="N335" i="9"/>
  <c r="AC335" i="9"/>
  <c r="AR335" i="9"/>
  <c r="O335" i="9"/>
  <c r="AD335" i="9"/>
  <c r="AS335" i="9"/>
  <c r="P335" i="9"/>
  <c r="AE335" i="9"/>
  <c r="AT335" i="9"/>
  <c r="Q335" i="9"/>
  <c r="AF335" i="9"/>
  <c r="AU335" i="9"/>
  <c r="R335" i="9"/>
  <c r="AG335" i="9"/>
  <c r="AV335" i="9"/>
  <c r="H334" i="7"/>
  <c r="AL334" i="7"/>
  <c r="W334" i="7"/>
  <c r="I334" i="7"/>
  <c r="X334" i="7"/>
  <c r="AM334" i="7"/>
  <c r="J334" i="7"/>
  <c r="AN334" i="7"/>
  <c r="Y334" i="7"/>
  <c r="K334" i="7"/>
  <c r="Z334" i="7"/>
  <c r="AO334" i="7"/>
  <c r="L334" i="7"/>
  <c r="AA334" i="7"/>
  <c r="AP334" i="7"/>
  <c r="AC334" i="7"/>
  <c r="N334" i="7"/>
  <c r="AR334" i="7"/>
  <c r="O334" i="7"/>
  <c r="AS334" i="7"/>
  <c r="AD334" i="7"/>
  <c r="P334" i="7"/>
  <c r="AE334" i="7"/>
  <c r="AT334" i="7"/>
  <c r="AF334" i="7"/>
  <c r="Q334" i="7"/>
  <c r="AU334" i="7"/>
  <c r="AG334" i="7"/>
  <c r="AV334" i="7"/>
  <c r="R334" i="7"/>
  <c r="I334" i="8"/>
  <c r="X334" i="8"/>
  <c r="AM334" i="8"/>
  <c r="J334" i="8"/>
  <c r="Y334" i="8"/>
  <c r="AN334" i="8"/>
  <c r="L334" i="8"/>
  <c r="AA334" i="8"/>
  <c r="AP334" i="8"/>
  <c r="N334" i="8"/>
  <c r="AC334" i="8"/>
  <c r="AR334" i="8"/>
  <c r="P334" i="8"/>
  <c r="AE334" i="8"/>
  <c r="AT334" i="8"/>
  <c r="Q334" i="8"/>
  <c r="AF334" i="8"/>
  <c r="AU334" i="8"/>
  <c r="H334" i="8"/>
  <c r="W334" i="8"/>
  <c r="AL334" i="8"/>
  <c r="K334" i="8"/>
  <c r="Z334" i="8"/>
  <c r="AO334" i="8"/>
  <c r="M334" i="8"/>
  <c r="AB334" i="8"/>
  <c r="AQ334" i="8"/>
  <c r="O334" i="8"/>
  <c r="AD334" i="8"/>
  <c r="AS334" i="8"/>
  <c r="R334" i="8"/>
  <c r="AG334" i="8"/>
  <c r="AV334" i="8"/>
  <c r="AQ334" i="7"/>
  <c r="M334" i="7"/>
  <c r="AB334" i="7"/>
  <c r="S322" i="8"/>
  <c r="AH322" i="8"/>
  <c r="D322" i="8"/>
  <c r="T310" i="8"/>
  <c r="E310" i="8"/>
  <c r="AI310" i="8"/>
  <c r="D305" i="9"/>
  <c r="S305" i="9"/>
  <c r="AH305" i="9"/>
  <c r="D282" i="7"/>
  <c r="S282" i="7"/>
  <c r="AH282" i="7"/>
  <c r="G279" i="9"/>
  <c r="V279" i="9"/>
  <c r="AK279" i="9"/>
  <c r="G275" i="10"/>
  <c r="V275" i="10"/>
  <c r="AK275" i="10"/>
  <c r="D260" i="10"/>
  <c r="S260" i="10"/>
  <c r="AH260" i="10"/>
  <c r="E262" i="9"/>
  <c r="T262" i="9"/>
  <c r="AI262" i="9"/>
  <c r="AY264" i="8"/>
  <c r="C264" i="8"/>
  <c r="AX265" i="8"/>
  <c r="AW264" i="8"/>
  <c r="W91" i="2" s="1"/>
  <c r="G265" i="8"/>
  <c r="V265" i="8"/>
  <c r="AK265" i="8"/>
  <c r="E254" i="10"/>
  <c r="T254" i="10"/>
  <c r="AI254" i="10"/>
  <c r="C246" i="9"/>
  <c r="AY246" i="9"/>
  <c r="AW246" i="9"/>
  <c r="AX247" i="9"/>
  <c r="F247" i="9"/>
  <c r="U247" i="9"/>
  <c r="AJ247" i="9"/>
  <c r="AY236" i="10"/>
  <c r="C236" i="10"/>
  <c r="AX237" i="10"/>
  <c r="AW236" i="10"/>
  <c r="F237" i="10"/>
  <c r="U237" i="10"/>
  <c r="AJ237" i="10"/>
  <c r="G176" i="7"/>
  <c r="V176" i="7"/>
  <c r="AK176" i="7"/>
  <c r="E142" i="7"/>
  <c r="T142" i="7"/>
  <c r="AI142" i="7"/>
  <c r="AY135" i="7"/>
  <c r="C135" i="7"/>
  <c r="AX136" i="7"/>
  <c r="AW135" i="7"/>
  <c r="X48" i="2" s="1"/>
  <c r="F136" i="7"/>
  <c r="U136" i="7"/>
  <c r="AJ136" i="7"/>
  <c r="F279" i="8" l="1"/>
  <c r="AJ279" i="8"/>
  <c r="U279" i="8"/>
  <c r="H336" i="10"/>
  <c r="W336" i="10"/>
  <c r="AL336" i="10"/>
  <c r="I336" i="10"/>
  <c r="X336" i="10"/>
  <c r="AM336" i="10"/>
  <c r="J336" i="10"/>
  <c r="Y336" i="10"/>
  <c r="AN336" i="10"/>
  <c r="K336" i="10"/>
  <c r="Z336" i="10"/>
  <c r="AO336" i="10"/>
  <c r="L336" i="10"/>
  <c r="AA336" i="10"/>
  <c r="AP336" i="10"/>
  <c r="M336" i="10"/>
  <c r="AB336" i="10"/>
  <c r="AQ336" i="10"/>
  <c r="N336" i="10"/>
  <c r="AC336" i="10"/>
  <c r="AR336" i="10"/>
  <c r="O336" i="10"/>
  <c r="AD336" i="10"/>
  <c r="AS336" i="10"/>
  <c r="P336" i="10"/>
  <c r="AE336" i="10"/>
  <c r="AT336" i="10"/>
  <c r="Q336" i="10"/>
  <c r="AF336" i="10"/>
  <c r="AU336" i="10"/>
  <c r="R336" i="10"/>
  <c r="AG336" i="10"/>
  <c r="AV336" i="10"/>
  <c r="H336" i="9"/>
  <c r="W336" i="9"/>
  <c r="AL336" i="9"/>
  <c r="I336" i="9"/>
  <c r="X336" i="9"/>
  <c r="AM336" i="9"/>
  <c r="J336" i="9"/>
  <c r="Y336" i="9"/>
  <c r="AN336" i="9"/>
  <c r="K336" i="9"/>
  <c r="Z336" i="9"/>
  <c r="AO336" i="9"/>
  <c r="L336" i="9"/>
  <c r="AA336" i="9"/>
  <c r="AP336" i="9"/>
  <c r="M336" i="9"/>
  <c r="AB336" i="9"/>
  <c r="AQ336" i="9"/>
  <c r="N336" i="9"/>
  <c r="AC336" i="9"/>
  <c r="AR336" i="9"/>
  <c r="O336" i="9"/>
  <c r="AD336" i="9"/>
  <c r="AS336" i="9"/>
  <c r="P336" i="9"/>
  <c r="AE336" i="9"/>
  <c r="AT336" i="9"/>
  <c r="Q336" i="9"/>
  <c r="AF336" i="9"/>
  <c r="AU336" i="9"/>
  <c r="R336" i="9"/>
  <c r="AG336" i="9"/>
  <c r="AV336" i="9"/>
  <c r="H335" i="7"/>
  <c r="AL335" i="7"/>
  <c r="W335" i="7"/>
  <c r="I335" i="7"/>
  <c r="X335" i="7"/>
  <c r="AM335" i="7"/>
  <c r="AN335" i="7"/>
  <c r="J335" i="7"/>
  <c r="Y335" i="7"/>
  <c r="AO335" i="7"/>
  <c r="K335" i="7"/>
  <c r="Z335" i="7"/>
  <c r="AP335" i="7"/>
  <c r="L335" i="7"/>
  <c r="AA335" i="7"/>
  <c r="N335" i="7"/>
  <c r="AC335" i="7"/>
  <c r="AR335" i="7"/>
  <c r="O335" i="7"/>
  <c r="AD335" i="7"/>
  <c r="AS335" i="7"/>
  <c r="AE335" i="7"/>
  <c r="P335" i="7"/>
  <c r="AT335" i="7"/>
  <c r="AU335" i="7"/>
  <c r="Q335" i="7"/>
  <c r="AF335" i="7"/>
  <c r="AV335" i="7"/>
  <c r="AG335" i="7"/>
  <c r="R335" i="7"/>
  <c r="I335" i="8"/>
  <c r="X335" i="8"/>
  <c r="AM335" i="8"/>
  <c r="J335" i="8"/>
  <c r="Y335" i="8"/>
  <c r="AN335" i="8"/>
  <c r="L335" i="8"/>
  <c r="AA335" i="8"/>
  <c r="AP335" i="8"/>
  <c r="N335" i="8"/>
  <c r="AC335" i="8"/>
  <c r="AR335" i="8"/>
  <c r="P335" i="8"/>
  <c r="AE335" i="8"/>
  <c r="AT335" i="8"/>
  <c r="Q335" i="8"/>
  <c r="AF335" i="8"/>
  <c r="AU335" i="8"/>
  <c r="H335" i="8"/>
  <c r="W335" i="8"/>
  <c r="AL335" i="8"/>
  <c r="K335" i="8"/>
  <c r="Z335" i="8"/>
  <c r="AO335" i="8"/>
  <c r="M335" i="8"/>
  <c r="AB335" i="8"/>
  <c r="AQ335" i="8"/>
  <c r="O335" i="8"/>
  <c r="AD335" i="8"/>
  <c r="AS335" i="8"/>
  <c r="R335" i="8"/>
  <c r="AG335" i="8"/>
  <c r="AV335" i="8"/>
  <c r="AB335" i="7"/>
  <c r="M335" i="7"/>
  <c r="AQ335" i="7"/>
  <c r="D323" i="8"/>
  <c r="S323" i="8"/>
  <c r="AH323" i="8"/>
  <c r="E311" i="8"/>
  <c r="AI311" i="8"/>
  <c r="T311" i="8"/>
  <c r="D306" i="9"/>
  <c r="S306" i="9"/>
  <c r="AH306" i="9"/>
  <c r="D283" i="7"/>
  <c r="S283" i="7"/>
  <c r="AH283" i="7"/>
  <c r="G280" i="9"/>
  <c r="V280" i="9"/>
  <c r="AK280" i="9"/>
  <c r="G276" i="10"/>
  <c r="V276" i="10"/>
  <c r="AK276" i="10"/>
  <c r="D261" i="10"/>
  <c r="S261" i="10"/>
  <c r="AH261" i="10"/>
  <c r="E263" i="9"/>
  <c r="T263" i="9"/>
  <c r="AI263" i="9"/>
  <c r="C265" i="8"/>
  <c r="AY265" i="8"/>
  <c r="AX266" i="8"/>
  <c r="AW265" i="8"/>
  <c r="G266" i="8"/>
  <c r="V266" i="8"/>
  <c r="AK266" i="8"/>
  <c r="E255" i="10"/>
  <c r="T255" i="10"/>
  <c r="AI255" i="10"/>
  <c r="AY247" i="9"/>
  <c r="C247" i="9"/>
  <c r="AW247" i="9"/>
  <c r="AX248" i="9"/>
  <c r="F248" i="9"/>
  <c r="U248" i="9"/>
  <c r="AJ248" i="9"/>
  <c r="C237" i="10"/>
  <c r="AY237" i="10"/>
  <c r="AX238" i="10"/>
  <c r="AW237" i="10"/>
  <c r="F238" i="10"/>
  <c r="U238" i="10"/>
  <c r="AJ238" i="10"/>
  <c r="G177" i="7"/>
  <c r="V177" i="7"/>
  <c r="AK177" i="7"/>
  <c r="E143" i="7"/>
  <c r="T143" i="7"/>
  <c r="AI143" i="7"/>
  <c r="AY136" i="7"/>
  <c r="C136" i="7"/>
  <c r="AX137" i="7"/>
  <c r="AW136" i="7"/>
  <c r="F137" i="7"/>
  <c r="U137" i="7"/>
  <c r="AJ137" i="7"/>
  <c r="F280" i="8" l="1"/>
  <c r="AJ280" i="8"/>
  <c r="U280" i="8"/>
  <c r="H337" i="10"/>
  <c r="W337" i="10"/>
  <c r="AL337" i="10"/>
  <c r="I337" i="10"/>
  <c r="X337" i="10"/>
  <c r="AM337" i="10"/>
  <c r="J337" i="10"/>
  <c r="Y337" i="10"/>
  <c r="AN337" i="10"/>
  <c r="K337" i="10"/>
  <c r="Z337" i="10"/>
  <c r="AO337" i="10"/>
  <c r="L337" i="10"/>
  <c r="AA337" i="10"/>
  <c r="AP337" i="10"/>
  <c r="M337" i="10"/>
  <c r="AB337" i="10"/>
  <c r="AQ337" i="10"/>
  <c r="N337" i="10"/>
  <c r="AC337" i="10"/>
  <c r="AR337" i="10"/>
  <c r="O337" i="10"/>
  <c r="AD337" i="10"/>
  <c r="AS337" i="10"/>
  <c r="P337" i="10"/>
  <c r="AE337" i="10"/>
  <c r="AT337" i="10"/>
  <c r="Q337" i="10"/>
  <c r="AF337" i="10"/>
  <c r="AU337" i="10"/>
  <c r="R337" i="10"/>
  <c r="AG337" i="10"/>
  <c r="AV337" i="10"/>
  <c r="H337" i="9"/>
  <c r="W337" i="9"/>
  <c r="AL337" i="9"/>
  <c r="I337" i="9"/>
  <c r="X337" i="9"/>
  <c r="AM337" i="9"/>
  <c r="J337" i="9"/>
  <c r="Y337" i="9"/>
  <c r="AN337" i="9"/>
  <c r="K337" i="9"/>
  <c r="Z337" i="9"/>
  <c r="AO337" i="9"/>
  <c r="L337" i="9"/>
  <c r="AA337" i="9"/>
  <c r="AP337" i="9"/>
  <c r="M337" i="9"/>
  <c r="AB337" i="9"/>
  <c r="AQ337" i="9"/>
  <c r="N337" i="9"/>
  <c r="AC337" i="9"/>
  <c r="AR337" i="9"/>
  <c r="O337" i="9"/>
  <c r="AD337" i="9"/>
  <c r="AS337" i="9"/>
  <c r="P337" i="9"/>
  <c r="AE337" i="9"/>
  <c r="AT337" i="9"/>
  <c r="Q337" i="9"/>
  <c r="AF337" i="9"/>
  <c r="AU337" i="9"/>
  <c r="R337" i="9"/>
  <c r="AG337" i="9"/>
  <c r="AV337" i="9"/>
  <c r="W336" i="7"/>
  <c r="AL336" i="7"/>
  <c r="H336" i="7"/>
  <c r="X336" i="7"/>
  <c r="I336" i="7"/>
  <c r="AM336" i="7"/>
  <c r="J336" i="7"/>
  <c r="AN336" i="7"/>
  <c r="Y336" i="7"/>
  <c r="K336" i="7"/>
  <c r="AO336" i="7"/>
  <c r="Z336" i="7"/>
  <c r="AP336" i="7"/>
  <c r="L336" i="7"/>
  <c r="AA336" i="7"/>
  <c r="N336" i="7"/>
  <c r="AR336" i="7"/>
  <c r="AC336" i="7"/>
  <c r="AD336" i="7"/>
  <c r="O336" i="7"/>
  <c r="AS336" i="7"/>
  <c r="AE336" i="7"/>
  <c r="AT336" i="7"/>
  <c r="P336" i="7"/>
  <c r="Q336" i="7"/>
  <c r="AF336" i="7"/>
  <c r="AU336" i="7"/>
  <c r="AG336" i="7"/>
  <c r="AV336" i="7"/>
  <c r="R336" i="7"/>
  <c r="I336" i="8"/>
  <c r="X336" i="8"/>
  <c r="AM336" i="8"/>
  <c r="J336" i="8"/>
  <c r="Y336" i="8"/>
  <c r="AN336" i="8"/>
  <c r="L336" i="8"/>
  <c r="AA336" i="8"/>
  <c r="AP336" i="8"/>
  <c r="N336" i="8"/>
  <c r="AC336" i="8"/>
  <c r="AR336" i="8"/>
  <c r="P336" i="8"/>
  <c r="AE336" i="8"/>
  <c r="AT336" i="8"/>
  <c r="Q336" i="8"/>
  <c r="AF336" i="8"/>
  <c r="AU336" i="8"/>
  <c r="H336" i="8"/>
  <c r="W336" i="8"/>
  <c r="AL336" i="8"/>
  <c r="K336" i="8"/>
  <c r="Z336" i="8"/>
  <c r="AO336" i="8"/>
  <c r="M336" i="8"/>
  <c r="AB336" i="8"/>
  <c r="AQ336" i="8"/>
  <c r="O336" i="8"/>
  <c r="AD336" i="8"/>
  <c r="AS336" i="8"/>
  <c r="R336" i="8"/>
  <c r="AG336" i="8"/>
  <c r="AV336" i="8"/>
  <c r="M336" i="7"/>
  <c r="AB336" i="7"/>
  <c r="AQ336" i="7"/>
  <c r="D324" i="8"/>
  <c r="S324" i="8"/>
  <c r="AH324" i="8"/>
  <c r="E312" i="8"/>
  <c r="T312" i="8"/>
  <c r="AI312" i="8"/>
  <c r="D307" i="9"/>
  <c r="S307" i="9"/>
  <c r="AH307" i="9"/>
  <c r="D284" i="7"/>
  <c r="S284" i="7"/>
  <c r="AH284" i="7"/>
  <c r="G281" i="9"/>
  <c r="V281" i="9"/>
  <c r="AK281" i="9"/>
  <c r="G277" i="10"/>
  <c r="V277" i="10"/>
  <c r="AK277" i="10"/>
  <c r="D262" i="10"/>
  <c r="S262" i="10"/>
  <c r="AH262" i="10"/>
  <c r="E264" i="9"/>
  <c r="T264" i="9"/>
  <c r="AI264" i="9"/>
  <c r="C266" i="8"/>
  <c r="AY266" i="8"/>
  <c r="AX267" i="8"/>
  <c r="AW266" i="8"/>
  <c r="G267" i="8"/>
  <c r="V267" i="8"/>
  <c r="AK267" i="8"/>
  <c r="E256" i="10"/>
  <c r="T256" i="10"/>
  <c r="AI256" i="10"/>
  <c r="AY248" i="9"/>
  <c r="C248" i="9"/>
  <c r="AW248" i="9"/>
  <c r="AX249" i="9"/>
  <c r="F249" i="9"/>
  <c r="U249" i="9"/>
  <c r="AJ249" i="9"/>
  <c r="C238" i="10"/>
  <c r="AY238" i="10"/>
  <c r="AX239" i="10"/>
  <c r="AW238" i="10"/>
  <c r="F239" i="10"/>
  <c r="U239" i="10"/>
  <c r="AJ239" i="10"/>
  <c r="G178" i="7"/>
  <c r="V178" i="7"/>
  <c r="AK178" i="7"/>
  <c r="E144" i="7"/>
  <c r="T144" i="7"/>
  <c r="AI144" i="7"/>
  <c r="AY137" i="7"/>
  <c r="C137" i="7"/>
  <c r="AX138" i="7"/>
  <c r="AW137" i="7"/>
  <c r="F138" i="7"/>
  <c r="U138" i="7"/>
  <c r="AJ138" i="7"/>
  <c r="AJ281" i="8" l="1"/>
  <c r="U281" i="8"/>
  <c r="F281" i="8"/>
  <c r="H338" i="10"/>
  <c r="W338" i="10"/>
  <c r="AL338" i="10"/>
  <c r="I338" i="10"/>
  <c r="X338" i="10"/>
  <c r="AM338" i="10"/>
  <c r="J338" i="10"/>
  <c r="Y338" i="10"/>
  <c r="AN338" i="10"/>
  <c r="K338" i="10"/>
  <c r="Z338" i="10"/>
  <c r="AO338" i="10"/>
  <c r="L338" i="10"/>
  <c r="AA338" i="10"/>
  <c r="AP338" i="10"/>
  <c r="M338" i="10"/>
  <c r="AB338" i="10"/>
  <c r="AQ338" i="10"/>
  <c r="N338" i="10"/>
  <c r="AC338" i="10"/>
  <c r="AR338" i="10"/>
  <c r="O338" i="10"/>
  <c r="AD338" i="10"/>
  <c r="AS338" i="10"/>
  <c r="P338" i="10"/>
  <c r="AE338" i="10"/>
  <c r="AT338" i="10"/>
  <c r="Q338" i="10"/>
  <c r="AF338" i="10"/>
  <c r="AU338" i="10"/>
  <c r="R338" i="10"/>
  <c r="AG338" i="10"/>
  <c r="AV338" i="10"/>
  <c r="H338" i="9"/>
  <c r="W338" i="9"/>
  <c r="AL338" i="9"/>
  <c r="I338" i="9"/>
  <c r="X338" i="9"/>
  <c r="AM338" i="9"/>
  <c r="J338" i="9"/>
  <c r="Y338" i="9"/>
  <c r="AN338" i="9"/>
  <c r="K338" i="9"/>
  <c r="Z338" i="9"/>
  <c r="AO338" i="9"/>
  <c r="L338" i="9"/>
  <c r="AA338" i="9"/>
  <c r="AP338" i="9"/>
  <c r="M338" i="9"/>
  <c r="AB338" i="9"/>
  <c r="AQ338" i="9"/>
  <c r="N338" i="9"/>
  <c r="AC338" i="9"/>
  <c r="AR338" i="9"/>
  <c r="O338" i="9"/>
  <c r="AD338" i="9"/>
  <c r="AS338" i="9"/>
  <c r="P338" i="9"/>
  <c r="AE338" i="9"/>
  <c r="AT338" i="9"/>
  <c r="Q338" i="9"/>
  <c r="AF338" i="9"/>
  <c r="AU338" i="9"/>
  <c r="R338" i="9"/>
  <c r="AG338" i="9"/>
  <c r="AV338" i="9"/>
  <c r="W337" i="7"/>
  <c r="AL337" i="7"/>
  <c r="H337" i="7"/>
  <c r="I337" i="7"/>
  <c r="X337" i="7"/>
  <c r="AM337" i="7"/>
  <c r="J337" i="7"/>
  <c r="AN337" i="7"/>
  <c r="Y337" i="7"/>
  <c r="K337" i="7"/>
  <c r="AO337" i="7"/>
  <c r="Z337" i="7"/>
  <c r="L337" i="7"/>
  <c r="AA337" i="7"/>
  <c r="AP337" i="7"/>
  <c r="AR337" i="7"/>
  <c r="N337" i="7"/>
  <c r="AC337" i="7"/>
  <c r="AS337" i="7"/>
  <c r="O337" i="7"/>
  <c r="AD337" i="7"/>
  <c r="P337" i="7"/>
  <c r="AT337" i="7"/>
  <c r="AE337" i="7"/>
  <c r="AF337" i="7"/>
  <c r="AU337" i="7"/>
  <c r="Q337" i="7"/>
  <c r="AV337" i="7"/>
  <c r="R337" i="7"/>
  <c r="AG337" i="7"/>
  <c r="I337" i="8"/>
  <c r="X337" i="8"/>
  <c r="AM337" i="8"/>
  <c r="J337" i="8"/>
  <c r="Y337" i="8"/>
  <c r="AN337" i="8"/>
  <c r="L337" i="8"/>
  <c r="AA337" i="8"/>
  <c r="AP337" i="8"/>
  <c r="N337" i="8"/>
  <c r="AC337" i="8"/>
  <c r="AR337" i="8"/>
  <c r="P337" i="8"/>
  <c r="AE337" i="8"/>
  <c r="AT337" i="8"/>
  <c r="Q337" i="8"/>
  <c r="AF337" i="8"/>
  <c r="AU337" i="8"/>
  <c r="H337" i="8"/>
  <c r="W337" i="8"/>
  <c r="AL337" i="8"/>
  <c r="K337" i="8"/>
  <c r="Z337" i="8"/>
  <c r="AO337" i="8"/>
  <c r="M337" i="8"/>
  <c r="AB337" i="8"/>
  <c r="AQ337" i="8"/>
  <c r="O337" i="8"/>
  <c r="AD337" i="8"/>
  <c r="AS337" i="8"/>
  <c r="R337" i="8"/>
  <c r="AG337" i="8"/>
  <c r="AV337" i="8"/>
  <c r="M337" i="7"/>
  <c r="AB337" i="7"/>
  <c r="AQ337" i="7"/>
  <c r="D325" i="8"/>
  <c r="S325" i="8"/>
  <c r="AH325" i="8"/>
  <c r="T313" i="8"/>
  <c r="E313" i="8"/>
  <c r="AI313" i="8"/>
  <c r="D308" i="9"/>
  <c r="S308" i="9"/>
  <c r="AH308" i="9"/>
  <c r="D285" i="7"/>
  <c r="S285" i="7"/>
  <c r="AH285" i="7"/>
  <c r="G282" i="9"/>
  <c r="V282" i="9"/>
  <c r="AK282" i="9"/>
  <c r="G278" i="10"/>
  <c r="V278" i="10"/>
  <c r="AK278" i="10"/>
  <c r="D263" i="10"/>
  <c r="S263" i="10"/>
  <c r="AH263" i="10"/>
  <c r="E265" i="9"/>
  <c r="T265" i="9"/>
  <c r="AI265" i="9"/>
  <c r="AY267" i="8"/>
  <c r="C267" i="8"/>
  <c r="AW267" i="8"/>
  <c r="W92" i="2" s="1"/>
  <c r="AX268" i="8"/>
  <c r="G268" i="8"/>
  <c r="V268" i="8"/>
  <c r="AK268" i="8"/>
  <c r="E257" i="10"/>
  <c r="T257" i="10"/>
  <c r="AI257" i="10"/>
  <c r="C249" i="9"/>
  <c r="AY249" i="9"/>
  <c r="AX250" i="9"/>
  <c r="AW249" i="9"/>
  <c r="F250" i="9"/>
  <c r="U250" i="9"/>
  <c r="AJ250" i="9"/>
  <c r="AY239" i="10"/>
  <c r="C239" i="10"/>
  <c r="AX240" i="10"/>
  <c r="AW239" i="10"/>
  <c r="F240" i="10"/>
  <c r="U240" i="10"/>
  <c r="AJ240" i="10"/>
  <c r="G179" i="7"/>
  <c r="V179" i="7"/>
  <c r="AK179" i="7"/>
  <c r="E145" i="7"/>
  <c r="T145" i="7"/>
  <c r="AI145" i="7"/>
  <c r="C138" i="7"/>
  <c r="AY138" i="7"/>
  <c r="AX139" i="7"/>
  <c r="AW138" i="7"/>
  <c r="X49" i="2" s="1"/>
  <c r="F139" i="7"/>
  <c r="U139" i="7"/>
  <c r="AJ139" i="7"/>
  <c r="U282" i="8" l="1"/>
  <c r="AJ282" i="8"/>
  <c r="F282" i="8"/>
  <c r="H339" i="10"/>
  <c r="W339" i="10"/>
  <c r="AL339" i="10"/>
  <c r="I339" i="10"/>
  <c r="X339" i="10"/>
  <c r="AM339" i="10"/>
  <c r="J339" i="10"/>
  <c r="Y339" i="10"/>
  <c r="AN339" i="10"/>
  <c r="K339" i="10"/>
  <c r="Z339" i="10"/>
  <c r="AO339" i="10"/>
  <c r="L339" i="10"/>
  <c r="AA339" i="10"/>
  <c r="AP339" i="10"/>
  <c r="M339" i="10"/>
  <c r="AB339" i="10"/>
  <c r="AQ339" i="10"/>
  <c r="N339" i="10"/>
  <c r="AC339" i="10"/>
  <c r="AR339" i="10"/>
  <c r="O339" i="10"/>
  <c r="AD339" i="10"/>
  <c r="AS339" i="10"/>
  <c r="P339" i="10"/>
  <c r="AE339" i="10"/>
  <c r="AT339" i="10"/>
  <c r="Q339" i="10"/>
  <c r="AF339" i="10"/>
  <c r="AU339" i="10"/>
  <c r="R339" i="10"/>
  <c r="AG339" i="10"/>
  <c r="AV339" i="10"/>
  <c r="H339" i="9"/>
  <c r="W339" i="9"/>
  <c r="AL339" i="9"/>
  <c r="I339" i="9"/>
  <c r="X339" i="9"/>
  <c r="AM339" i="9"/>
  <c r="J339" i="9"/>
  <c r="Y339" i="9"/>
  <c r="AN339" i="9"/>
  <c r="K339" i="9"/>
  <c r="Z339" i="9"/>
  <c r="AO339" i="9"/>
  <c r="L339" i="9"/>
  <c r="AA339" i="9"/>
  <c r="AP339" i="9"/>
  <c r="M339" i="9"/>
  <c r="AB339" i="9"/>
  <c r="AQ339" i="9"/>
  <c r="N339" i="9"/>
  <c r="AC339" i="9"/>
  <c r="AR339" i="9"/>
  <c r="O339" i="9"/>
  <c r="AD339" i="9"/>
  <c r="AS339" i="9"/>
  <c r="P339" i="9"/>
  <c r="AE339" i="9"/>
  <c r="AT339" i="9"/>
  <c r="Q339" i="9"/>
  <c r="AF339" i="9"/>
  <c r="AU339" i="9"/>
  <c r="R339" i="9"/>
  <c r="AG339" i="9"/>
  <c r="AV339" i="9"/>
  <c r="AL338" i="7"/>
  <c r="H338" i="7"/>
  <c r="W338" i="7"/>
  <c r="AM338" i="7"/>
  <c r="I338" i="7"/>
  <c r="X338" i="7"/>
  <c r="AN338" i="7"/>
  <c r="J338" i="7"/>
  <c r="Y338" i="7"/>
  <c r="AO338" i="7"/>
  <c r="Z338" i="7"/>
  <c r="K338" i="7"/>
  <c r="AP338" i="7"/>
  <c r="L338" i="7"/>
  <c r="AA338" i="7"/>
  <c r="N338" i="7"/>
  <c r="AC338" i="7"/>
  <c r="AR338" i="7"/>
  <c r="O338" i="7"/>
  <c r="AS338" i="7"/>
  <c r="AD338" i="7"/>
  <c r="AE338" i="7"/>
  <c r="P338" i="7"/>
  <c r="AT338" i="7"/>
  <c r="Q338" i="7"/>
  <c r="AF338" i="7"/>
  <c r="AU338" i="7"/>
  <c r="R338" i="7"/>
  <c r="AG338" i="7"/>
  <c r="AV338" i="7"/>
  <c r="I338" i="8"/>
  <c r="X338" i="8"/>
  <c r="AM338" i="8"/>
  <c r="J338" i="8"/>
  <c r="Y338" i="8"/>
  <c r="AN338" i="8"/>
  <c r="L338" i="8"/>
  <c r="AA338" i="8"/>
  <c r="AP338" i="8"/>
  <c r="N338" i="8"/>
  <c r="AC338" i="8"/>
  <c r="AR338" i="8"/>
  <c r="P338" i="8"/>
  <c r="AE338" i="8"/>
  <c r="AT338" i="8"/>
  <c r="Q338" i="8"/>
  <c r="AF338" i="8"/>
  <c r="AU338" i="8"/>
  <c r="H338" i="8"/>
  <c r="W338" i="8"/>
  <c r="AL338" i="8"/>
  <c r="K338" i="8"/>
  <c r="Z338" i="8"/>
  <c r="AO338" i="8"/>
  <c r="M338" i="8"/>
  <c r="AB338" i="8"/>
  <c r="AQ338" i="8"/>
  <c r="O338" i="8"/>
  <c r="AD338" i="8"/>
  <c r="AS338" i="8"/>
  <c r="R338" i="8"/>
  <c r="AG338" i="8"/>
  <c r="AV338" i="8"/>
  <c r="M338" i="7"/>
  <c r="AB338" i="7"/>
  <c r="AQ338" i="7"/>
  <c r="D326" i="8"/>
  <c r="S326" i="8"/>
  <c r="AH326" i="8"/>
  <c r="E314" i="8"/>
  <c r="AI314" i="8"/>
  <c r="T314" i="8"/>
  <c r="D309" i="9"/>
  <c r="S309" i="9"/>
  <c r="AH309" i="9"/>
  <c r="D286" i="7"/>
  <c r="S286" i="7"/>
  <c r="AH286" i="7"/>
  <c r="G283" i="9"/>
  <c r="V283" i="9"/>
  <c r="AK283" i="9"/>
  <c r="G279" i="10"/>
  <c r="V279" i="10"/>
  <c r="AK279" i="10"/>
  <c r="D264" i="10"/>
  <c r="S264" i="10"/>
  <c r="AH264" i="10"/>
  <c r="E266" i="9"/>
  <c r="T266" i="9"/>
  <c r="AI266" i="9"/>
  <c r="AY268" i="8"/>
  <c r="C268" i="8"/>
  <c r="AX269" i="8"/>
  <c r="AW268" i="8"/>
  <c r="G269" i="8"/>
  <c r="V269" i="8"/>
  <c r="AK269" i="8"/>
  <c r="E258" i="10"/>
  <c r="T258" i="10"/>
  <c r="AI258" i="10"/>
  <c r="C250" i="9"/>
  <c r="AY250" i="9"/>
  <c r="AX251" i="9"/>
  <c r="AW250" i="9"/>
  <c r="F251" i="9"/>
  <c r="U251" i="9"/>
  <c r="AJ251" i="9"/>
  <c r="AY240" i="10"/>
  <c r="C240" i="10"/>
  <c r="AX241" i="10"/>
  <c r="AW240" i="10"/>
  <c r="F241" i="10"/>
  <c r="U241" i="10"/>
  <c r="AJ241" i="10"/>
  <c r="G180" i="7"/>
  <c r="V180" i="7"/>
  <c r="AK180" i="7"/>
  <c r="E146" i="7"/>
  <c r="T146" i="7"/>
  <c r="AI146" i="7"/>
  <c r="AY139" i="7"/>
  <c r="C139" i="7"/>
  <c r="AW139" i="7"/>
  <c r="AX140" i="7"/>
  <c r="F140" i="7"/>
  <c r="U140" i="7"/>
  <c r="AJ140" i="7"/>
  <c r="F283" i="8" l="1"/>
  <c r="AJ283" i="8"/>
  <c r="U283" i="8"/>
  <c r="H340" i="10"/>
  <c r="W340" i="10"/>
  <c r="AL340" i="10"/>
  <c r="I340" i="10"/>
  <c r="X340" i="10"/>
  <c r="AM340" i="10"/>
  <c r="J340" i="10"/>
  <c r="Y340" i="10"/>
  <c r="AN340" i="10"/>
  <c r="K340" i="10"/>
  <c r="Z340" i="10"/>
  <c r="AO340" i="10"/>
  <c r="L340" i="10"/>
  <c r="AA340" i="10"/>
  <c r="AP340" i="10"/>
  <c r="M340" i="10"/>
  <c r="AB340" i="10"/>
  <c r="AQ340" i="10"/>
  <c r="N340" i="10"/>
  <c r="AC340" i="10"/>
  <c r="AR340" i="10"/>
  <c r="O340" i="10"/>
  <c r="AD340" i="10"/>
  <c r="AS340" i="10"/>
  <c r="P340" i="10"/>
  <c r="AE340" i="10"/>
  <c r="AT340" i="10"/>
  <c r="Q340" i="10"/>
  <c r="AF340" i="10"/>
  <c r="AU340" i="10"/>
  <c r="R340" i="10"/>
  <c r="AG340" i="10"/>
  <c r="AV340" i="10"/>
  <c r="H340" i="9"/>
  <c r="W340" i="9"/>
  <c r="AL340" i="9"/>
  <c r="I340" i="9"/>
  <c r="X340" i="9"/>
  <c r="AM340" i="9"/>
  <c r="J340" i="9"/>
  <c r="Y340" i="9"/>
  <c r="AN340" i="9"/>
  <c r="K340" i="9"/>
  <c r="Z340" i="9"/>
  <c r="AO340" i="9"/>
  <c r="L340" i="9"/>
  <c r="AA340" i="9"/>
  <c r="AP340" i="9"/>
  <c r="M340" i="9"/>
  <c r="AB340" i="9"/>
  <c r="AQ340" i="9"/>
  <c r="N340" i="9"/>
  <c r="AC340" i="9"/>
  <c r="AR340" i="9"/>
  <c r="O340" i="9"/>
  <c r="AD340" i="9"/>
  <c r="AS340" i="9"/>
  <c r="P340" i="9"/>
  <c r="AE340" i="9"/>
  <c r="AT340" i="9"/>
  <c r="Q340" i="9"/>
  <c r="AF340" i="9"/>
  <c r="AU340" i="9"/>
  <c r="R340" i="9"/>
  <c r="AG340" i="9"/>
  <c r="AV340" i="9"/>
  <c r="W339" i="7"/>
  <c r="AL339" i="7"/>
  <c r="H339" i="7"/>
  <c r="I339" i="7"/>
  <c r="AM339" i="7"/>
  <c r="X339" i="7"/>
  <c r="J339" i="7"/>
  <c r="Y339" i="7"/>
  <c r="AN339" i="7"/>
  <c r="AO339" i="7"/>
  <c r="K339" i="7"/>
  <c r="Z339" i="7"/>
  <c r="L339" i="7"/>
  <c r="AA339" i="7"/>
  <c r="AP339" i="7"/>
  <c r="N339" i="7"/>
  <c r="AR339" i="7"/>
  <c r="AC339" i="7"/>
  <c r="AD339" i="7"/>
  <c r="O339" i="7"/>
  <c r="AS339" i="7"/>
  <c r="AT339" i="7"/>
  <c r="P339" i="7"/>
  <c r="AE339" i="7"/>
  <c r="Q339" i="7"/>
  <c r="AF339" i="7"/>
  <c r="AU339" i="7"/>
  <c r="AV339" i="7"/>
  <c r="AG339" i="7"/>
  <c r="R339" i="7"/>
  <c r="I339" i="8"/>
  <c r="X339" i="8"/>
  <c r="AM339" i="8"/>
  <c r="J339" i="8"/>
  <c r="Y339" i="8"/>
  <c r="AN339" i="8"/>
  <c r="L339" i="8"/>
  <c r="AA339" i="8"/>
  <c r="AP339" i="8"/>
  <c r="N339" i="8"/>
  <c r="AC339" i="8"/>
  <c r="AR339" i="8"/>
  <c r="P339" i="8"/>
  <c r="AE339" i="8"/>
  <c r="AT339" i="8"/>
  <c r="Q339" i="8"/>
  <c r="AF339" i="8"/>
  <c r="AU339" i="8"/>
  <c r="H339" i="8"/>
  <c r="W339" i="8"/>
  <c r="AL339" i="8"/>
  <c r="K339" i="8"/>
  <c r="Z339" i="8"/>
  <c r="AO339" i="8"/>
  <c r="M339" i="8"/>
  <c r="AB339" i="8"/>
  <c r="AQ339" i="8"/>
  <c r="O339" i="8"/>
  <c r="AD339" i="8"/>
  <c r="AS339" i="8"/>
  <c r="R339" i="8"/>
  <c r="AG339" i="8"/>
  <c r="AV339" i="8"/>
  <c r="AB339" i="7"/>
  <c r="M339" i="7"/>
  <c r="AQ339" i="7"/>
  <c r="D327" i="8"/>
  <c r="S327" i="8"/>
  <c r="AH327" i="8"/>
  <c r="E315" i="8"/>
  <c r="T315" i="8"/>
  <c r="AI315" i="8"/>
  <c r="D310" i="9"/>
  <c r="S310" i="9"/>
  <c r="AH310" i="9"/>
  <c r="D287" i="7"/>
  <c r="S287" i="7"/>
  <c r="AH287" i="7"/>
  <c r="G284" i="9"/>
  <c r="V284" i="9"/>
  <c r="AK284" i="9"/>
  <c r="G280" i="10"/>
  <c r="V280" i="10"/>
  <c r="AK280" i="10"/>
  <c r="D265" i="10"/>
  <c r="S265" i="10"/>
  <c r="AH265" i="10"/>
  <c r="E267" i="9"/>
  <c r="T267" i="9"/>
  <c r="AI267" i="9"/>
  <c r="AY269" i="8"/>
  <c r="C269" i="8"/>
  <c r="AX270" i="8"/>
  <c r="AW269" i="8"/>
  <c r="G270" i="8"/>
  <c r="V270" i="8"/>
  <c r="AK270" i="8"/>
  <c r="E259" i="10"/>
  <c r="T259" i="10"/>
  <c r="AI259" i="10"/>
  <c r="AY251" i="9"/>
  <c r="C251" i="9"/>
  <c r="AX252" i="9"/>
  <c r="AW251" i="9"/>
  <c r="F252" i="9"/>
  <c r="U252" i="9"/>
  <c r="AJ252" i="9"/>
  <c r="C241" i="10"/>
  <c r="AY241" i="10"/>
  <c r="AW241" i="10"/>
  <c r="AX242" i="10"/>
  <c r="F242" i="10"/>
  <c r="U242" i="10"/>
  <c r="AJ242" i="10"/>
  <c r="G181" i="7"/>
  <c r="V181" i="7"/>
  <c r="AK181" i="7"/>
  <c r="E147" i="7"/>
  <c r="T147" i="7"/>
  <c r="AI147" i="7"/>
  <c r="C140" i="7"/>
  <c r="AY140" i="7"/>
  <c r="AW140" i="7"/>
  <c r="AX141" i="7"/>
  <c r="F141" i="7"/>
  <c r="U141" i="7"/>
  <c r="AJ141" i="7"/>
  <c r="AJ284" i="8" l="1"/>
  <c r="U284" i="8"/>
  <c r="F284" i="8"/>
  <c r="H341" i="10"/>
  <c r="W341" i="10"/>
  <c r="AL341" i="10"/>
  <c r="I341" i="10"/>
  <c r="X341" i="10"/>
  <c r="AM341" i="10"/>
  <c r="J341" i="10"/>
  <c r="Y341" i="10"/>
  <c r="AN341" i="10"/>
  <c r="K341" i="10"/>
  <c r="Z341" i="10"/>
  <c r="AO341" i="10"/>
  <c r="L341" i="10"/>
  <c r="AA341" i="10"/>
  <c r="AP341" i="10"/>
  <c r="M341" i="10"/>
  <c r="AB341" i="10"/>
  <c r="AQ341" i="10"/>
  <c r="N341" i="10"/>
  <c r="AC341" i="10"/>
  <c r="AR341" i="10"/>
  <c r="O341" i="10"/>
  <c r="AD341" i="10"/>
  <c r="AS341" i="10"/>
  <c r="P341" i="10"/>
  <c r="AE341" i="10"/>
  <c r="AT341" i="10"/>
  <c r="Q341" i="10"/>
  <c r="AF341" i="10"/>
  <c r="AU341" i="10"/>
  <c r="R341" i="10"/>
  <c r="AG341" i="10"/>
  <c r="AV341" i="10"/>
  <c r="H341" i="9"/>
  <c r="W341" i="9"/>
  <c r="AL341" i="9"/>
  <c r="I341" i="9"/>
  <c r="X341" i="9"/>
  <c r="AM341" i="9"/>
  <c r="J341" i="9"/>
  <c r="Y341" i="9"/>
  <c r="AN341" i="9"/>
  <c r="K341" i="9"/>
  <c r="Z341" i="9"/>
  <c r="AO341" i="9"/>
  <c r="L341" i="9"/>
  <c r="AA341" i="9"/>
  <c r="AP341" i="9"/>
  <c r="M341" i="9"/>
  <c r="AB341" i="9"/>
  <c r="AQ341" i="9"/>
  <c r="N341" i="9"/>
  <c r="AC341" i="9"/>
  <c r="AR341" i="9"/>
  <c r="O341" i="9"/>
  <c r="AD341" i="9"/>
  <c r="AS341" i="9"/>
  <c r="P341" i="9"/>
  <c r="AE341" i="9"/>
  <c r="AT341" i="9"/>
  <c r="Q341" i="9"/>
  <c r="AF341" i="9"/>
  <c r="AU341" i="9"/>
  <c r="R341" i="9"/>
  <c r="AG341" i="9"/>
  <c r="AV341" i="9"/>
  <c r="W340" i="7"/>
  <c r="H340" i="7"/>
  <c r="AL340" i="7"/>
  <c r="I340" i="7"/>
  <c r="AM340" i="7"/>
  <c r="X340" i="7"/>
  <c r="AN340" i="7"/>
  <c r="J340" i="7"/>
  <c r="Y340" i="7"/>
  <c r="K340" i="7"/>
  <c r="AO340" i="7"/>
  <c r="Z340" i="7"/>
  <c r="L340" i="7"/>
  <c r="AA340" i="7"/>
  <c r="AP340" i="7"/>
  <c r="N340" i="7"/>
  <c r="AR340" i="7"/>
  <c r="AC340" i="7"/>
  <c r="O340" i="7"/>
  <c r="AD340" i="7"/>
  <c r="AS340" i="7"/>
  <c r="AE340" i="7"/>
  <c r="AT340" i="7"/>
  <c r="P340" i="7"/>
  <c r="AU340" i="7"/>
  <c r="AF340" i="7"/>
  <c r="Q340" i="7"/>
  <c r="AG340" i="7"/>
  <c r="R340" i="7"/>
  <c r="AV340" i="7"/>
  <c r="I340" i="8"/>
  <c r="X340" i="8"/>
  <c r="AM340" i="8"/>
  <c r="J340" i="8"/>
  <c r="Y340" i="8"/>
  <c r="AN340" i="8"/>
  <c r="L340" i="8"/>
  <c r="AA340" i="8"/>
  <c r="AP340" i="8"/>
  <c r="N340" i="8"/>
  <c r="AC340" i="8"/>
  <c r="AR340" i="8"/>
  <c r="P340" i="8"/>
  <c r="AE340" i="8"/>
  <c r="AT340" i="8"/>
  <c r="Q340" i="8"/>
  <c r="AF340" i="8"/>
  <c r="AU340" i="8"/>
  <c r="H340" i="8"/>
  <c r="W340" i="8"/>
  <c r="AL340" i="8"/>
  <c r="K340" i="8"/>
  <c r="Z340" i="8"/>
  <c r="AO340" i="8"/>
  <c r="M340" i="8"/>
  <c r="AB340" i="8"/>
  <c r="AQ340" i="8"/>
  <c r="O340" i="8"/>
  <c r="AD340" i="8"/>
  <c r="AS340" i="8"/>
  <c r="R340" i="8"/>
  <c r="AG340" i="8"/>
  <c r="AV340" i="8"/>
  <c r="AB340" i="7"/>
  <c r="M340" i="7"/>
  <c r="AQ340" i="7"/>
  <c r="D328" i="8"/>
  <c r="S328" i="8"/>
  <c r="AH328" i="8"/>
  <c r="AI316" i="8"/>
  <c r="E316" i="8"/>
  <c r="T316" i="8"/>
  <c r="D311" i="9"/>
  <c r="S311" i="9"/>
  <c r="AH311" i="9"/>
  <c r="D288" i="7"/>
  <c r="S288" i="7"/>
  <c r="AH288" i="7"/>
  <c r="G285" i="9"/>
  <c r="V285" i="9"/>
  <c r="AK285" i="9"/>
  <c r="G281" i="10"/>
  <c r="V281" i="10"/>
  <c r="AK281" i="10"/>
  <c r="D266" i="10"/>
  <c r="S266" i="10"/>
  <c r="AH266" i="10"/>
  <c r="E268" i="9"/>
  <c r="T268" i="9"/>
  <c r="AI268" i="9"/>
  <c r="AY270" i="8"/>
  <c r="C270" i="8"/>
  <c r="AW270" i="8"/>
  <c r="W93" i="2" s="1"/>
  <c r="AX271" i="8"/>
  <c r="G271" i="8"/>
  <c r="V271" i="8"/>
  <c r="AK271" i="8"/>
  <c r="E260" i="10"/>
  <c r="T260" i="10"/>
  <c r="AI260" i="10"/>
  <c r="AY252" i="9"/>
  <c r="C252" i="9"/>
  <c r="AW252" i="9"/>
  <c r="AX253" i="9"/>
  <c r="F253" i="9"/>
  <c r="U253" i="9"/>
  <c r="AJ253" i="9"/>
  <c r="AY242" i="10"/>
  <c r="C242" i="10"/>
  <c r="AX243" i="10"/>
  <c r="AW242" i="10"/>
  <c r="F243" i="10"/>
  <c r="U243" i="10"/>
  <c r="AJ243" i="10"/>
  <c r="G182" i="7"/>
  <c r="V182" i="7"/>
  <c r="AK182" i="7"/>
  <c r="E148" i="7"/>
  <c r="T148" i="7"/>
  <c r="AI148" i="7"/>
  <c r="AY141" i="7"/>
  <c r="C141" i="7"/>
  <c r="AW141" i="7"/>
  <c r="X50" i="2" s="1"/>
  <c r="AX142" i="7"/>
  <c r="F142" i="7"/>
  <c r="U142" i="7"/>
  <c r="AJ142" i="7"/>
  <c r="AJ285" i="8" l="1"/>
  <c r="F285" i="8"/>
  <c r="U285" i="8"/>
  <c r="H342" i="10"/>
  <c r="W342" i="10"/>
  <c r="AL342" i="10"/>
  <c r="I342" i="10"/>
  <c r="X342" i="10"/>
  <c r="AM342" i="10"/>
  <c r="J342" i="10"/>
  <c r="Y342" i="10"/>
  <c r="AN342" i="10"/>
  <c r="K342" i="10"/>
  <c r="Z342" i="10"/>
  <c r="AO342" i="10"/>
  <c r="L342" i="10"/>
  <c r="AA342" i="10"/>
  <c r="AP342" i="10"/>
  <c r="M342" i="10"/>
  <c r="AB342" i="10"/>
  <c r="AQ342" i="10"/>
  <c r="N342" i="10"/>
  <c r="AC342" i="10"/>
  <c r="AR342" i="10"/>
  <c r="O342" i="10"/>
  <c r="AD342" i="10"/>
  <c r="AS342" i="10"/>
  <c r="P342" i="10"/>
  <c r="AE342" i="10"/>
  <c r="AT342" i="10"/>
  <c r="Q342" i="10"/>
  <c r="AF342" i="10"/>
  <c r="AU342" i="10"/>
  <c r="R342" i="10"/>
  <c r="AG342" i="10"/>
  <c r="AV342" i="10"/>
  <c r="H342" i="9"/>
  <c r="W342" i="9"/>
  <c r="AL342" i="9"/>
  <c r="I342" i="9"/>
  <c r="X342" i="9"/>
  <c r="AM342" i="9"/>
  <c r="J342" i="9"/>
  <c r="Y342" i="9"/>
  <c r="AN342" i="9"/>
  <c r="K342" i="9"/>
  <c r="Z342" i="9"/>
  <c r="AO342" i="9"/>
  <c r="L342" i="9"/>
  <c r="AA342" i="9"/>
  <c r="AP342" i="9"/>
  <c r="M342" i="9"/>
  <c r="AB342" i="9"/>
  <c r="AQ342" i="9"/>
  <c r="N342" i="9"/>
  <c r="AC342" i="9"/>
  <c r="AR342" i="9"/>
  <c r="O342" i="9"/>
  <c r="AD342" i="9"/>
  <c r="AS342" i="9"/>
  <c r="P342" i="9"/>
  <c r="AE342" i="9"/>
  <c r="AT342" i="9"/>
  <c r="Q342" i="9"/>
  <c r="AF342" i="9"/>
  <c r="AU342" i="9"/>
  <c r="R342" i="9"/>
  <c r="AG342" i="9"/>
  <c r="AV342" i="9"/>
  <c r="H341" i="7"/>
  <c r="W341" i="7"/>
  <c r="AL341" i="7"/>
  <c r="AM341" i="7"/>
  <c r="I341" i="7"/>
  <c r="X341" i="7"/>
  <c r="Y341" i="7"/>
  <c r="J341" i="7"/>
  <c r="AN341" i="7"/>
  <c r="Z341" i="7"/>
  <c r="K341" i="7"/>
  <c r="AO341" i="7"/>
  <c r="AP341" i="7"/>
  <c r="L341" i="7"/>
  <c r="AA341" i="7"/>
  <c r="N341" i="7"/>
  <c r="AR341" i="7"/>
  <c r="AC341" i="7"/>
  <c r="O341" i="7"/>
  <c r="AS341" i="7"/>
  <c r="AD341" i="7"/>
  <c r="P341" i="7"/>
  <c r="AT341" i="7"/>
  <c r="AE341" i="7"/>
  <c r="AU341" i="7"/>
  <c r="Q341" i="7"/>
  <c r="AF341" i="7"/>
  <c r="AG341" i="7"/>
  <c r="AV341" i="7"/>
  <c r="R341" i="7"/>
  <c r="I341" i="8"/>
  <c r="X341" i="8"/>
  <c r="AM341" i="8"/>
  <c r="J341" i="8"/>
  <c r="Y341" i="8"/>
  <c r="AN341" i="8"/>
  <c r="L341" i="8"/>
  <c r="AA341" i="8"/>
  <c r="AP341" i="8"/>
  <c r="N341" i="8"/>
  <c r="AC341" i="8"/>
  <c r="AR341" i="8"/>
  <c r="P341" i="8"/>
  <c r="AE341" i="8"/>
  <c r="AT341" i="8"/>
  <c r="Q341" i="8"/>
  <c r="AF341" i="8"/>
  <c r="AU341" i="8"/>
  <c r="H341" i="8"/>
  <c r="W341" i="8"/>
  <c r="AL341" i="8"/>
  <c r="K341" i="8"/>
  <c r="Z341" i="8"/>
  <c r="AO341" i="8"/>
  <c r="M341" i="8"/>
  <c r="AB341" i="8"/>
  <c r="AQ341" i="8"/>
  <c r="O341" i="8"/>
  <c r="AD341" i="8"/>
  <c r="AS341" i="8"/>
  <c r="R341" i="8"/>
  <c r="AG341" i="8"/>
  <c r="AV341" i="8"/>
  <c r="AB341" i="7"/>
  <c r="M341" i="7"/>
  <c r="AQ341" i="7"/>
  <c r="D329" i="8"/>
  <c r="S329" i="8"/>
  <c r="AH329" i="8"/>
  <c r="E317" i="8"/>
  <c r="AI317" i="8"/>
  <c r="T317" i="8"/>
  <c r="D312" i="9"/>
  <c r="S312" i="9"/>
  <c r="AH312" i="9"/>
  <c r="D289" i="7"/>
  <c r="S289" i="7"/>
  <c r="AH289" i="7"/>
  <c r="G286" i="9"/>
  <c r="V286" i="9"/>
  <c r="AK286" i="9"/>
  <c r="G282" i="10"/>
  <c r="V282" i="10"/>
  <c r="AK282" i="10"/>
  <c r="D267" i="10"/>
  <c r="S267" i="10"/>
  <c r="AH267" i="10"/>
  <c r="E269" i="9"/>
  <c r="T269" i="9"/>
  <c r="AI269" i="9"/>
  <c r="C271" i="8"/>
  <c r="AY271" i="8"/>
  <c r="AX272" i="8"/>
  <c r="AW271" i="8"/>
  <c r="G272" i="8"/>
  <c r="V272" i="8"/>
  <c r="AK272" i="8"/>
  <c r="E261" i="10"/>
  <c r="T261" i="10"/>
  <c r="AI261" i="10"/>
  <c r="AY253" i="9"/>
  <c r="C253" i="9"/>
  <c r="AX254" i="9"/>
  <c r="AW253" i="9"/>
  <c r="F254" i="9"/>
  <c r="U254" i="9"/>
  <c r="AJ254" i="9"/>
  <c r="AY243" i="10"/>
  <c r="C243" i="10"/>
  <c r="AX244" i="10"/>
  <c r="AW243" i="10"/>
  <c r="F244" i="10"/>
  <c r="U244" i="10"/>
  <c r="AJ244" i="10"/>
  <c r="G183" i="7"/>
  <c r="V183" i="7"/>
  <c r="AK183" i="7"/>
  <c r="E149" i="7"/>
  <c r="T149" i="7"/>
  <c r="AI149" i="7"/>
  <c r="C142" i="7"/>
  <c r="AY142" i="7"/>
  <c r="AW142" i="7"/>
  <c r="AX143" i="7"/>
  <c r="F143" i="7"/>
  <c r="U143" i="7"/>
  <c r="AJ143" i="7"/>
  <c r="U286" i="8" l="1"/>
  <c r="AJ286" i="8"/>
  <c r="F286" i="8"/>
  <c r="H343" i="10"/>
  <c r="W343" i="10"/>
  <c r="AL343" i="10"/>
  <c r="I343" i="10"/>
  <c r="X343" i="10"/>
  <c r="AM343" i="10"/>
  <c r="J343" i="10"/>
  <c r="Y343" i="10"/>
  <c r="AN343" i="10"/>
  <c r="K343" i="10"/>
  <c r="Z343" i="10"/>
  <c r="AO343" i="10"/>
  <c r="L343" i="10"/>
  <c r="AA343" i="10"/>
  <c r="AP343" i="10"/>
  <c r="M343" i="10"/>
  <c r="AB343" i="10"/>
  <c r="AQ343" i="10"/>
  <c r="N343" i="10"/>
  <c r="AC343" i="10"/>
  <c r="AR343" i="10"/>
  <c r="O343" i="10"/>
  <c r="AD343" i="10"/>
  <c r="AS343" i="10"/>
  <c r="P343" i="10"/>
  <c r="AE343" i="10"/>
  <c r="AT343" i="10"/>
  <c r="Q343" i="10"/>
  <c r="AF343" i="10"/>
  <c r="AU343" i="10"/>
  <c r="R343" i="10"/>
  <c r="AG343" i="10"/>
  <c r="AV343" i="10"/>
  <c r="H343" i="9"/>
  <c r="W343" i="9"/>
  <c r="AL343" i="9"/>
  <c r="I343" i="9"/>
  <c r="X343" i="9"/>
  <c r="AM343" i="9"/>
  <c r="J343" i="9"/>
  <c r="Y343" i="9"/>
  <c r="AN343" i="9"/>
  <c r="K343" i="9"/>
  <c r="Z343" i="9"/>
  <c r="AO343" i="9"/>
  <c r="L343" i="9"/>
  <c r="AA343" i="9"/>
  <c r="AP343" i="9"/>
  <c r="M343" i="9"/>
  <c r="AB343" i="9"/>
  <c r="AQ343" i="9"/>
  <c r="N343" i="9"/>
  <c r="AC343" i="9"/>
  <c r="AR343" i="9"/>
  <c r="O343" i="9"/>
  <c r="AD343" i="9"/>
  <c r="AS343" i="9"/>
  <c r="P343" i="9"/>
  <c r="AE343" i="9"/>
  <c r="AT343" i="9"/>
  <c r="Q343" i="9"/>
  <c r="AF343" i="9"/>
  <c r="AU343" i="9"/>
  <c r="R343" i="9"/>
  <c r="AG343" i="9"/>
  <c r="AV343" i="9"/>
  <c r="H342" i="7"/>
  <c r="AL342" i="7"/>
  <c r="W342" i="7"/>
  <c r="X342" i="7"/>
  <c r="AM342" i="7"/>
  <c r="I342" i="7"/>
  <c r="Y342" i="7"/>
  <c r="J342" i="7"/>
  <c r="AN342" i="7"/>
  <c r="K342" i="7"/>
  <c r="Z342" i="7"/>
  <c r="AO342" i="7"/>
  <c r="AA342" i="7"/>
  <c r="L342" i="7"/>
  <c r="AP342" i="7"/>
  <c r="N342" i="7"/>
  <c r="AC342" i="7"/>
  <c r="AR342" i="7"/>
  <c r="AD342" i="7"/>
  <c r="O342" i="7"/>
  <c r="AS342" i="7"/>
  <c r="AT342" i="7"/>
  <c r="P342" i="7"/>
  <c r="AE342" i="7"/>
  <c r="Q342" i="7"/>
  <c r="AU342" i="7"/>
  <c r="AF342" i="7"/>
  <c r="R342" i="7"/>
  <c r="AG342" i="7"/>
  <c r="AV342" i="7"/>
  <c r="I342" i="8"/>
  <c r="X342" i="8"/>
  <c r="AM342" i="8"/>
  <c r="J342" i="8"/>
  <c r="Y342" i="8"/>
  <c r="AN342" i="8"/>
  <c r="L342" i="8"/>
  <c r="AA342" i="8"/>
  <c r="AP342" i="8"/>
  <c r="N342" i="8"/>
  <c r="AC342" i="8"/>
  <c r="AR342" i="8"/>
  <c r="P342" i="8"/>
  <c r="AE342" i="8"/>
  <c r="AT342" i="8"/>
  <c r="Q342" i="8"/>
  <c r="AF342" i="8"/>
  <c r="AU342" i="8"/>
  <c r="H342" i="8"/>
  <c r="W342" i="8"/>
  <c r="AL342" i="8"/>
  <c r="K342" i="8"/>
  <c r="Z342" i="8"/>
  <c r="AO342" i="8"/>
  <c r="M342" i="8"/>
  <c r="AB342" i="8"/>
  <c r="AQ342" i="8"/>
  <c r="O342" i="8"/>
  <c r="AD342" i="8"/>
  <c r="AS342" i="8"/>
  <c r="R342" i="8"/>
  <c r="AG342" i="8"/>
  <c r="AV342" i="8"/>
  <c r="AQ342" i="7"/>
  <c r="AB342" i="7"/>
  <c r="M342" i="7"/>
  <c r="D330" i="8"/>
  <c r="S330" i="8"/>
  <c r="AH330" i="8"/>
  <c r="E318" i="8"/>
  <c r="T318" i="8"/>
  <c r="AI318" i="8"/>
  <c r="D313" i="9"/>
  <c r="S313" i="9"/>
  <c r="AH313" i="9"/>
  <c r="D290" i="7"/>
  <c r="S290" i="7"/>
  <c r="AH290" i="7"/>
  <c r="G287" i="9"/>
  <c r="V287" i="9"/>
  <c r="AK287" i="9"/>
  <c r="G283" i="10"/>
  <c r="V283" i="10"/>
  <c r="AK283" i="10"/>
  <c r="D268" i="10"/>
  <c r="S268" i="10"/>
  <c r="AH268" i="10"/>
  <c r="E270" i="9"/>
  <c r="T270" i="9"/>
  <c r="AI270" i="9"/>
  <c r="AY272" i="8"/>
  <c r="C272" i="8"/>
  <c r="AX273" i="8"/>
  <c r="AW272" i="8"/>
  <c r="G273" i="8"/>
  <c r="V273" i="8"/>
  <c r="AK273" i="8"/>
  <c r="E262" i="10"/>
  <c r="T262" i="10"/>
  <c r="AI262" i="10"/>
  <c r="C254" i="9"/>
  <c r="AY254" i="9"/>
  <c r="AW254" i="9"/>
  <c r="AX255" i="9"/>
  <c r="F255" i="9"/>
  <c r="U255" i="9"/>
  <c r="AJ255" i="9"/>
  <c r="C244" i="10"/>
  <c r="AY244" i="10"/>
  <c r="AW244" i="10"/>
  <c r="AX245" i="10"/>
  <c r="F245" i="10"/>
  <c r="U245" i="10"/>
  <c r="AJ245" i="10"/>
  <c r="G184" i="7"/>
  <c r="V184" i="7"/>
  <c r="AK184" i="7"/>
  <c r="E150" i="7"/>
  <c r="T150" i="7"/>
  <c r="AI150" i="7"/>
  <c r="C143" i="7"/>
  <c r="AY143" i="7"/>
  <c r="AX144" i="7"/>
  <c r="AW143" i="7"/>
  <c r="F144" i="7"/>
  <c r="U144" i="7"/>
  <c r="AJ144" i="7"/>
  <c r="AJ287" i="8" l="1"/>
  <c r="U287" i="8"/>
  <c r="F287" i="8"/>
  <c r="H344" i="10"/>
  <c r="W344" i="10"/>
  <c r="AL344" i="10"/>
  <c r="I344" i="10"/>
  <c r="X344" i="10"/>
  <c r="AM344" i="10"/>
  <c r="J344" i="10"/>
  <c r="Y344" i="10"/>
  <c r="AN344" i="10"/>
  <c r="K344" i="10"/>
  <c r="Z344" i="10"/>
  <c r="AO344" i="10"/>
  <c r="L344" i="10"/>
  <c r="AA344" i="10"/>
  <c r="AP344" i="10"/>
  <c r="M344" i="10"/>
  <c r="AB344" i="10"/>
  <c r="AQ344" i="10"/>
  <c r="N344" i="10"/>
  <c r="AC344" i="10"/>
  <c r="AR344" i="10"/>
  <c r="O344" i="10"/>
  <c r="AD344" i="10"/>
  <c r="AS344" i="10"/>
  <c r="P344" i="10"/>
  <c r="AE344" i="10"/>
  <c r="AT344" i="10"/>
  <c r="Q344" i="10"/>
  <c r="AF344" i="10"/>
  <c r="AU344" i="10"/>
  <c r="R344" i="10"/>
  <c r="AG344" i="10"/>
  <c r="AV344" i="10"/>
  <c r="H344" i="9"/>
  <c r="W344" i="9"/>
  <c r="AL344" i="9"/>
  <c r="I344" i="9"/>
  <c r="X344" i="9"/>
  <c r="AM344" i="9"/>
  <c r="J344" i="9"/>
  <c r="Y344" i="9"/>
  <c r="AN344" i="9"/>
  <c r="K344" i="9"/>
  <c r="Z344" i="9"/>
  <c r="AO344" i="9"/>
  <c r="L344" i="9"/>
  <c r="AA344" i="9"/>
  <c r="AP344" i="9"/>
  <c r="M344" i="9"/>
  <c r="AB344" i="9"/>
  <c r="AQ344" i="9"/>
  <c r="N344" i="9"/>
  <c r="AC344" i="9"/>
  <c r="AR344" i="9"/>
  <c r="O344" i="9"/>
  <c r="AD344" i="9"/>
  <c r="AS344" i="9"/>
  <c r="P344" i="9"/>
  <c r="AE344" i="9"/>
  <c r="AT344" i="9"/>
  <c r="Q344" i="9"/>
  <c r="AF344" i="9"/>
  <c r="AU344" i="9"/>
  <c r="R344" i="9"/>
  <c r="AG344" i="9"/>
  <c r="AV344" i="9"/>
  <c r="H343" i="7"/>
  <c r="W343" i="7"/>
  <c r="AL343" i="7"/>
  <c r="I343" i="7"/>
  <c r="X343" i="7"/>
  <c r="AM343" i="7"/>
  <c r="J343" i="7"/>
  <c r="Y343" i="7"/>
  <c r="AN343" i="7"/>
  <c r="K343" i="7"/>
  <c r="Z343" i="7"/>
  <c r="AO343" i="7"/>
  <c r="L343" i="7"/>
  <c r="AA343" i="7"/>
  <c r="AP343" i="7"/>
  <c r="N343" i="7"/>
  <c r="AC343" i="7"/>
  <c r="AR343" i="7"/>
  <c r="O343" i="7"/>
  <c r="AD343" i="7"/>
  <c r="AS343" i="7"/>
  <c r="P343" i="7"/>
  <c r="AE343" i="7"/>
  <c r="AT343" i="7"/>
  <c r="AU343" i="7"/>
  <c r="Q343" i="7"/>
  <c r="AF343" i="7"/>
  <c r="AV343" i="7"/>
  <c r="R343" i="7"/>
  <c r="AG343" i="7"/>
  <c r="I343" i="8"/>
  <c r="X343" i="8"/>
  <c r="AM343" i="8"/>
  <c r="J343" i="8"/>
  <c r="Y343" i="8"/>
  <c r="AN343" i="8"/>
  <c r="L343" i="8"/>
  <c r="AA343" i="8"/>
  <c r="AP343" i="8"/>
  <c r="N343" i="8"/>
  <c r="AC343" i="8"/>
  <c r="AR343" i="8"/>
  <c r="P343" i="8"/>
  <c r="AE343" i="8"/>
  <c r="AT343" i="8"/>
  <c r="Q343" i="8"/>
  <c r="AF343" i="8"/>
  <c r="AU343" i="8"/>
  <c r="H343" i="8"/>
  <c r="W343" i="8"/>
  <c r="AL343" i="8"/>
  <c r="K343" i="8"/>
  <c r="Z343" i="8"/>
  <c r="AO343" i="8"/>
  <c r="M343" i="8"/>
  <c r="AB343" i="8"/>
  <c r="AQ343" i="8"/>
  <c r="O343" i="8"/>
  <c r="AD343" i="8"/>
  <c r="AS343" i="8"/>
  <c r="R343" i="8"/>
  <c r="AG343" i="8"/>
  <c r="AV343" i="8"/>
  <c r="AB343" i="7"/>
  <c r="M343" i="7"/>
  <c r="AQ343" i="7"/>
  <c r="D331" i="8"/>
  <c r="S331" i="8"/>
  <c r="AH331" i="8"/>
  <c r="E319" i="8"/>
  <c r="T319" i="8"/>
  <c r="AI319" i="8"/>
  <c r="D314" i="9"/>
  <c r="S314" i="9"/>
  <c r="AH314" i="9"/>
  <c r="D291" i="7"/>
  <c r="S291" i="7"/>
  <c r="AH291" i="7"/>
  <c r="G288" i="9"/>
  <c r="V288" i="9"/>
  <c r="AK288" i="9"/>
  <c r="G284" i="10"/>
  <c r="V284" i="10"/>
  <c r="AK284" i="10"/>
  <c r="D269" i="10"/>
  <c r="S269" i="10"/>
  <c r="AH269" i="10"/>
  <c r="E271" i="9"/>
  <c r="T271" i="9"/>
  <c r="AI271" i="9"/>
  <c r="C273" i="8"/>
  <c r="AY273" i="8"/>
  <c r="AX274" i="8"/>
  <c r="AW273" i="8"/>
  <c r="W94" i="2" s="1"/>
  <c r="G274" i="8"/>
  <c r="V274" i="8"/>
  <c r="AK274" i="8"/>
  <c r="E263" i="10"/>
  <c r="T263" i="10"/>
  <c r="AI263" i="10"/>
  <c r="C255" i="9"/>
  <c r="AY255" i="9"/>
  <c r="AW255" i="9"/>
  <c r="AX256" i="9"/>
  <c r="F256" i="9"/>
  <c r="U256" i="9"/>
  <c r="AJ256" i="9"/>
  <c r="C245" i="10"/>
  <c r="AY245" i="10"/>
  <c r="AX246" i="10"/>
  <c r="AW245" i="10"/>
  <c r="F246" i="10"/>
  <c r="U246" i="10"/>
  <c r="AJ246" i="10"/>
  <c r="G185" i="7"/>
  <c r="V185" i="7"/>
  <c r="AK185" i="7"/>
  <c r="E151" i="7"/>
  <c r="T151" i="7"/>
  <c r="AI151" i="7"/>
  <c r="AY144" i="7"/>
  <c r="C144" i="7"/>
  <c r="AX145" i="7"/>
  <c r="AW144" i="7"/>
  <c r="X51" i="2" s="1"/>
  <c r="F145" i="7"/>
  <c r="U145" i="7"/>
  <c r="AJ145" i="7"/>
  <c r="AJ288" i="8" l="1"/>
  <c r="F288" i="8"/>
  <c r="U288" i="8"/>
  <c r="H345" i="10"/>
  <c r="W345" i="10"/>
  <c r="AL345" i="10"/>
  <c r="I345" i="10"/>
  <c r="X345" i="10"/>
  <c r="AM345" i="10"/>
  <c r="J345" i="10"/>
  <c r="Y345" i="10"/>
  <c r="AN345" i="10"/>
  <c r="K345" i="10"/>
  <c r="Z345" i="10"/>
  <c r="AO345" i="10"/>
  <c r="L345" i="10"/>
  <c r="AA345" i="10"/>
  <c r="AP345" i="10"/>
  <c r="M345" i="10"/>
  <c r="AB345" i="10"/>
  <c r="AQ345" i="10"/>
  <c r="N345" i="10"/>
  <c r="AC345" i="10"/>
  <c r="AR345" i="10"/>
  <c r="O345" i="10"/>
  <c r="AD345" i="10"/>
  <c r="AS345" i="10"/>
  <c r="P345" i="10"/>
  <c r="AE345" i="10"/>
  <c r="AT345" i="10"/>
  <c r="Q345" i="10"/>
  <c r="AF345" i="10"/>
  <c r="AU345" i="10"/>
  <c r="R345" i="10"/>
  <c r="AG345" i="10"/>
  <c r="AV345" i="10"/>
  <c r="H345" i="9"/>
  <c r="W345" i="9"/>
  <c r="AL345" i="9"/>
  <c r="I345" i="9"/>
  <c r="X345" i="9"/>
  <c r="AM345" i="9"/>
  <c r="J345" i="9"/>
  <c r="Y345" i="9"/>
  <c r="AN345" i="9"/>
  <c r="K345" i="9"/>
  <c r="Z345" i="9"/>
  <c r="AO345" i="9"/>
  <c r="L345" i="9"/>
  <c r="AA345" i="9"/>
  <c r="AP345" i="9"/>
  <c r="M345" i="9"/>
  <c r="AB345" i="9"/>
  <c r="AQ345" i="9"/>
  <c r="N345" i="9"/>
  <c r="AC345" i="9"/>
  <c r="AR345" i="9"/>
  <c r="O345" i="9"/>
  <c r="AD345" i="9"/>
  <c r="AS345" i="9"/>
  <c r="P345" i="9"/>
  <c r="AE345" i="9"/>
  <c r="AT345" i="9"/>
  <c r="Q345" i="9"/>
  <c r="AF345" i="9"/>
  <c r="AU345" i="9"/>
  <c r="R345" i="9"/>
  <c r="AG345" i="9"/>
  <c r="AV345" i="9"/>
  <c r="AL344" i="7"/>
  <c r="H344" i="7"/>
  <c r="W344" i="7"/>
  <c r="X344" i="7"/>
  <c r="I344" i="7"/>
  <c r="AM344" i="7"/>
  <c r="J344" i="7"/>
  <c r="AN344" i="7"/>
  <c r="Y344" i="7"/>
  <c r="Z344" i="7"/>
  <c r="K344" i="7"/>
  <c r="AO344" i="7"/>
  <c r="L344" i="7"/>
  <c r="AA344" i="7"/>
  <c r="AP344" i="7"/>
  <c r="AC344" i="7"/>
  <c r="N344" i="7"/>
  <c r="AR344" i="7"/>
  <c r="O344" i="7"/>
  <c r="AD344" i="7"/>
  <c r="AS344" i="7"/>
  <c r="AE344" i="7"/>
  <c r="AT344" i="7"/>
  <c r="P344" i="7"/>
  <c r="Q344" i="7"/>
  <c r="AF344" i="7"/>
  <c r="AU344" i="7"/>
  <c r="R344" i="7"/>
  <c r="AG344" i="7"/>
  <c r="AV344" i="7"/>
  <c r="I344" i="8"/>
  <c r="X344" i="8"/>
  <c r="AM344" i="8"/>
  <c r="J344" i="8"/>
  <c r="Y344" i="8"/>
  <c r="AN344" i="8"/>
  <c r="L344" i="8"/>
  <c r="AA344" i="8"/>
  <c r="AP344" i="8"/>
  <c r="N344" i="8"/>
  <c r="AC344" i="8"/>
  <c r="AR344" i="8"/>
  <c r="P344" i="8"/>
  <c r="AE344" i="8"/>
  <c r="AT344" i="8"/>
  <c r="Q344" i="8"/>
  <c r="AF344" i="8"/>
  <c r="AU344" i="8"/>
  <c r="H344" i="8"/>
  <c r="W344" i="8"/>
  <c r="AL344" i="8"/>
  <c r="K344" i="8"/>
  <c r="Z344" i="8"/>
  <c r="AO344" i="8"/>
  <c r="M344" i="8"/>
  <c r="AB344" i="8"/>
  <c r="AQ344" i="8"/>
  <c r="O344" i="8"/>
  <c r="AD344" i="8"/>
  <c r="AS344" i="8"/>
  <c r="R344" i="8"/>
  <c r="AG344" i="8"/>
  <c r="AV344" i="8"/>
  <c r="AQ344" i="7"/>
  <c r="M344" i="7"/>
  <c r="AB344" i="7"/>
  <c r="D332" i="8"/>
  <c r="S332" i="8"/>
  <c r="AH332" i="8"/>
  <c r="AI320" i="8"/>
  <c r="E320" i="8"/>
  <c r="T320" i="8"/>
  <c r="D315" i="9"/>
  <c r="S315" i="9"/>
  <c r="AH315" i="9"/>
  <c r="D292" i="7"/>
  <c r="S292" i="7"/>
  <c r="AH292" i="7"/>
  <c r="G289" i="9"/>
  <c r="V289" i="9"/>
  <c r="AK289" i="9"/>
  <c r="G285" i="10"/>
  <c r="V285" i="10"/>
  <c r="AK285" i="10"/>
  <c r="D270" i="10"/>
  <c r="S270" i="10"/>
  <c r="AH270" i="10"/>
  <c r="E272" i="9"/>
  <c r="T272" i="9"/>
  <c r="AI272" i="9"/>
  <c r="C274" i="8"/>
  <c r="AY274" i="8"/>
  <c r="AW274" i="8"/>
  <c r="AX275" i="8"/>
  <c r="G275" i="8"/>
  <c r="V275" i="8"/>
  <c r="AK275" i="8"/>
  <c r="E264" i="10"/>
  <c r="T264" i="10"/>
  <c r="AI264" i="10"/>
  <c r="C256" i="9"/>
  <c r="AY256" i="9"/>
  <c r="AX257" i="9"/>
  <c r="AW256" i="9"/>
  <c r="F257" i="9"/>
  <c r="U257" i="9"/>
  <c r="AJ257" i="9"/>
  <c r="AY246" i="10"/>
  <c r="C246" i="10"/>
  <c r="AW246" i="10"/>
  <c r="AX247" i="10"/>
  <c r="F247" i="10"/>
  <c r="U247" i="10"/>
  <c r="AJ247" i="10"/>
  <c r="G186" i="7"/>
  <c r="V186" i="7"/>
  <c r="AK186" i="7"/>
  <c r="E152" i="7"/>
  <c r="T152" i="7"/>
  <c r="AI152" i="7"/>
  <c r="AY145" i="7"/>
  <c r="C145" i="7"/>
  <c r="AW145" i="7"/>
  <c r="AX146" i="7"/>
  <c r="F146" i="7"/>
  <c r="U146" i="7"/>
  <c r="AJ146" i="7"/>
  <c r="U289" i="8" l="1"/>
  <c r="AJ289" i="8"/>
  <c r="F289" i="8"/>
  <c r="H346" i="10"/>
  <c r="W346" i="10"/>
  <c r="AL346" i="10"/>
  <c r="I346" i="10"/>
  <c r="X346" i="10"/>
  <c r="AM346" i="10"/>
  <c r="J346" i="10"/>
  <c r="Y346" i="10"/>
  <c r="AN346" i="10"/>
  <c r="K346" i="10"/>
  <c r="Z346" i="10"/>
  <c r="AO346" i="10"/>
  <c r="L346" i="10"/>
  <c r="AA346" i="10"/>
  <c r="AP346" i="10"/>
  <c r="M346" i="10"/>
  <c r="AB346" i="10"/>
  <c r="AQ346" i="10"/>
  <c r="N346" i="10"/>
  <c r="AC346" i="10"/>
  <c r="AR346" i="10"/>
  <c r="O346" i="10"/>
  <c r="AD346" i="10"/>
  <c r="AS346" i="10"/>
  <c r="P346" i="10"/>
  <c r="AE346" i="10"/>
  <c r="AT346" i="10"/>
  <c r="Q346" i="10"/>
  <c r="AF346" i="10"/>
  <c r="AU346" i="10"/>
  <c r="R346" i="10"/>
  <c r="AG346" i="10"/>
  <c r="AV346" i="10"/>
  <c r="H346" i="9"/>
  <c r="W346" i="9"/>
  <c r="AL346" i="9"/>
  <c r="I346" i="9"/>
  <c r="X346" i="9"/>
  <c r="AM346" i="9"/>
  <c r="J346" i="9"/>
  <c r="Y346" i="9"/>
  <c r="AN346" i="9"/>
  <c r="K346" i="9"/>
  <c r="Z346" i="9"/>
  <c r="AO346" i="9"/>
  <c r="L346" i="9"/>
  <c r="AA346" i="9"/>
  <c r="AP346" i="9"/>
  <c r="M346" i="9"/>
  <c r="AB346" i="9"/>
  <c r="AQ346" i="9"/>
  <c r="N346" i="9"/>
  <c r="AC346" i="9"/>
  <c r="AR346" i="9"/>
  <c r="O346" i="9"/>
  <c r="AD346" i="9"/>
  <c r="AS346" i="9"/>
  <c r="P346" i="9"/>
  <c r="AE346" i="9"/>
  <c r="AT346" i="9"/>
  <c r="Q346" i="9"/>
  <c r="AF346" i="9"/>
  <c r="AU346" i="9"/>
  <c r="R346" i="9"/>
  <c r="AG346" i="9"/>
  <c r="AV346" i="9"/>
  <c r="H345" i="7"/>
  <c r="W345" i="7"/>
  <c r="AL345" i="7"/>
  <c r="I345" i="7"/>
  <c r="AM345" i="7"/>
  <c r="X345" i="7"/>
  <c r="J345" i="7"/>
  <c r="Y345" i="7"/>
  <c r="AN345" i="7"/>
  <c r="Z345" i="7"/>
  <c r="K345" i="7"/>
  <c r="AO345" i="7"/>
  <c r="L345" i="7"/>
  <c r="AP345" i="7"/>
  <c r="AA345" i="7"/>
  <c r="AC345" i="7"/>
  <c r="N345" i="7"/>
  <c r="AR345" i="7"/>
  <c r="AD345" i="7"/>
  <c r="O345" i="7"/>
  <c r="AS345" i="7"/>
  <c r="AE345" i="7"/>
  <c r="P345" i="7"/>
  <c r="AT345" i="7"/>
  <c r="AF345" i="7"/>
  <c r="Q345" i="7"/>
  <c r="AU345" i="7"/>
  <c r="R345" i="7"/>
  <c r="AV345" i="7"/>
  <c r="AG345" i="7"/>
  <c r="I345" i="8"/>
  <c r="X345" i="8"/>
  <c r="AM345" i="8"/>
  <c r="J345" i="8"/>
  <c r="Y345" i="8"/>
  <c r="AN345" i="8"/>
  <c r="L345" i="8"/>
  <c r="AA345" i="8"/>
  <c r="AP345" i="8"/>
  <c r="N345" i="8"/>
  <c r="AC345" i="8"/>
  <c r="AR345" i="8"/>
  <c r="P345" i="8"/>
  <c r="AE345" i="8"/>
  <c r="AT345" i="8"/>
  <c r="Q345" i="8"/>
  <c r="AF345" i="8"/>
  <c r="AU345" i="8"/>
  <c r="H345" i="8"/>
  <c r="W345" i="8"/>
  <c r="AL345" i="8"/>
  <c r="K345" i="8"/>
  <c r="Z345" i="8"/>
  <c r="AO345" i="8"/>
  <c r="M345" i="8"/>
  <c r="AB345" i="8"/>
  <c r="AQ345" i="8"/>
  <c r="O345" i="8"/>
  <c r="AD345" i="8"/>
  <c r="AS345" i="8"/>
  <c r="R345" i="8"/>
  <c r="AG345" i="8"/>
  <c r="AV345" i="8"/>
  <c r="M345" i="7"/>
  <c r="AB345" i="7"/>
  <c r="AQ345" i="7"/>
  <c r="D333" i="8"/>
  <c r="S333" i="8"/>
  <c r="AH333" i="8"/>
  <c r="E321" i="8"/>
  <c r="AI321" i="8"/>
  <c r="T321" i="8"/>
  <c r="D316" i="9"/>
  <c r="S316" i="9"/>
  <c r="AH316" i="9"/>
  <c r="D293" i="7"/>
  <c r="S293" i="7"/>
  <c r="AH293" i="7"/>
  <c r="G290" i="9"/>
  <c r="V290" i="9"/>
  <c r="AK290" i="9"/>
  <c r="G286" i="10"/>
  <c r="V286" i="10"/>
  <c r="AK286" i="10"/>
  <c r="D271" i="10"/>
  <c r="S271" i="10"/>
  <c r="AH271" i="10"/>
  <c r="E273" i="9"/>
  <c r="T273" i="9"/>
  <c r="AI273" i="9"/>
  <c r="AY275" i="8"/>
  <c r="C275" i="8"/>
  <c r="AX276" i="8"/>
  <c r="AW275" i="8"/>
  <c r="G276" i="8"/>
  <c r="V276" i="8"/>
  <c r="AK276" i="8"/>
  <c r="E265" i="10"/>
  <c r="T265" i="10"/>
  <c r="AI265" i="10"/>
  <c r="C257" i="9"/>
  <c r="AY257" i="9"/>
  <c r="AX258" i="9"/>
  <c r="AW257" i="9"/>
  <c r="F258" i="9"/>
  <c r="U258" i="9"/>
  <c r="AJ258" i="9"/>
  <c r="C247" i="10"/>
  <c r="AY247" i="10"/>
  <c r="AW247" i="10"/>
  <c r="AX248" i="10"/>
  <c r="F248" i="10"/>
  <c r="U248" i="10"/>
  <c r="AJ248" i="10"/>
  <c r="G187" i="7"/>
  <c r="V187" i="7"/>
  <c r="AK187" i="7"/>
  <c r="E153" i="7"/>
  <c r="T153" i="7"/>
  <c r="AI153" i="7"/>
  <c r="AY146" i="7"/>
  <c r="C146" i="7"/>
  <c r="AX147" i="7"/>
  <c r="AW146" i="7"/>
  <c r="F147" i="7"/>
  <c r="U147" i="7"/>
  <c r="AJ147" i="7"/>
  <c r="U290" i="8" l="1"/>
  <c r="F290" i="8"/>
  <c r="AJ290" i="8"/>
  <c r="H347" i="10"/>
  <c r="W347" i="10"/>
  <c r="AL347" i="10"/>
  <c r="I347" i="10"/>
  <c r="X347" i="10"/>
  <c r="AM347" i="10"/>
  <c r="J347" i="10"/>
  <c r="Y347" i="10"/>
  <c r="AN347" i="10"/>
  <c r="K347" i="10"/>
  <c r="Z347" i="10"/>
  <c r="AO347" i="10"/>
  <c r="L347" i="10"/>
  <c r="AA347" i="10"/>
  <c r="AP347" i="10"/>
  <c r="M347" i="10"/>
  <c r="AB347" i="10"/>
  <c r="AQ347" i="10"/>
  <c r="N347" i="10"/>
  <c r="AC347" i="10"/>
  <c r="AR347" i="10"/>
  <c r="O347" i="10"/>
  <c r="AD347" i="10"/>
  <c r="AS347" i="10"/>
  <c r="P347" i="10"/>
  <c r="AE347" i="10"/>
  <c r="AT347" i="10"/>
  <c r="Q347" i="10"/>
  <c r="AF347" i="10"/>
  <c r="AU347" i="10"/>
  <c r="R347" i="10"/>
  <c r="AG347" i="10"/>
  <c r="AV347" i="10"/>
  <c r="H347" i="9"/>
  <c r="W347" i="9"/>
  <c r="AL347" i="9"/>
  <c r="I347" i="9"/>
  <c r="X347" i="9"/>
  <c r="AM347" i="9"/>
  <c r="J347" i="9"/>
  <c r="Y347" i="9"/>
  <c r="AN347" i="9"/>
  <c r="K347" i="9"/>
  <c r="Z347" i="9"/>
  <c r="AO347" i="9"/>
  <c r="L347" i="9"/>
  <c r="AA347" i="9"/>
  <c r="AP347" i="9"/>
  <c r="M347" i="9"/>
  <c r="AB347" i="9"/>
  <c r="AQ347" i="9"/>
  <c r="N347" i="9"/>
  <c r="AC347" i="9"/>
  <c r="AR347" i="9"/>
  <c r="O347" i="9"/>
  <c r="AD347" i="9"/>
  <c r="AS347" i="9"/>
  <c r="P347" i="9"/>
  <c r="AE347" i="9"/>
  <c r="AT347" i="9"/>
  <c r="Q347" i="9"/>
  <c r="AF347" i="9"/>
  <c r="AU347" i="9"/>
  <c r="R347" i="9"/>
  <c r="AG347" i="9"/>
  <c r="AV347" i="9"/>
  <c r="W346" i="7"/>
  <c r="AL346" i="7"/>
  <c r="H346" i="7"/>
  <c r="I346" i="7"/>
  <c r="AM346" i="7"/>
  <c r="X346" i="7"/>
  <c r="Y346" i="7"/>
  <c r="J346" i="7"/>
  <c r="AN346" i="7"/>
  <c r="K346" i="7"/>
  <c r="Z346" i="7"/>
  <c r="AO346" i="7"/>
  <c r="L346" i="7"/>
  <c r="AA346" i="7"/>
  <c r="AP346" i="7"/>
  <c r="AC346" i="7"/>
  <c r="N346" i="7"/>
  <c r="AR346" i="7"/>
  <c r="O346" i="7"/>
  <c r="AD346" i="7"/>
  <c r="AS346" i="7"/>
  <c r="P346" i="7"/>
  <c r="AE346" i="7"/>
  <c r="AT346" i="7"/>
  <c r="Q346" i="7"/>
  <c r="AF346" i="7"/>
  <c r="AU346" i="7"/>
  <c r="R346" i="7"/>
  <c r="AV346" i="7"/>
  <c r="AG346" i="7"/>
  <c r="I346" i="8"/>
  <c r="X346" i="8"/>
  <c r="AM346" i="8"/>
  <c r="J346" i="8"/>
  <c r="Y346" i="8"/>
  <c r="AN346" i="8"/>
  <c r="L346" i="8"/>
  <c r="AA346" i="8"/>
  <c r="AP346" i="8"/>
  <c r="N346" i="8"/>
  <c r="AC346" i="8"/>
  <c r="AR346" i="8"/>
  <c r="P346" i="8"/>
  <c r="AE346" i="8"/>
  <c r="AT346" i="8"/>
  <c r="Q346" i="8"/>
  <c r="AF346" i="8"/>
  <c r="AU346" i="8"/>
  <c r="H346" i="8"/>
  <c r="W346" i="8"/>
  <c r="AL346" i="8"/>
  <c r="K346" i="8"/>
  <c r="Z346" i="8"/>
  <c r="AO346" i="8"/>
  <c r="M346" i="8"/>
  <c r="AB346" i="8"/>
  <c r="AQ346" i="8"/>
  <c r="O346" i="8"/>
  <c r="AD346" i="8"/>
  <c r="AS346" i="8"/>
  <c r="R346" i="8"/>
  <c r="AG346" i="8"/>
  <c r="AV346" i="8"/>
  <c r="M346" i="7"/>
  <c r="AB346" i="7"/>
  <c r="AQ346" i="7"/>
  <c r="D334" i="8"/>
  <c r="S334" i="8"/>
  <c r="AH334" i="8"/>
  <c r="E322" i="8"/>
  <c r="T322" i="8"/>
  <c r="AI322" i="8"/>
  <c r="D317" i="9"/>
  <c r="S317" i="9"/>
  <c r="AH317" i="9"/>
  <c r="D294" i="7"/>
  <c r="S294" i="7"/>
  <c r="AH294" i="7"/>
  <c r="G291" i="9"/>
  <c r="V291" i="9"/>
  <c r="AK291" i="9"/>
  <c r="G287" i="10"/>
  <c r="V287" i="10"/>
  <c r="AK287" i="10"/>
  <c r="D272" i="10"/>
  <c r="S272" i="10"/>
  <c r="AH272" i="10"/>
  <c r="E274" i="9"/>
  <c r="T274" i="9"/>
  <c r="AI274" i="9"/>
  <c r="AY276" i="8"/>
  <c r="C276" i="8"/>
  <c r="AW276" i="8"/>
  <c r="W95" i="2" s="1"/>
  <c r="AX277" i="8"/>
  <c r="G277" i="8"/>
  <c r="V277" i="8"/>
  <c r="AK277" i="8"/>
  <c r="E266" i="10"/>
  <c r="T266" i="10"/>
  <c r="AI266" i="10"/>
  <c r="C258" i="9"/>
  <c r="AY258" i="9"/>
  <c r="AW258" i="9"/>
  <c r="AX259" i="9"/>
  <c r="F259" i="9"/>
  <c r="U259" i="9"/>
  <c r="AJ259" i="9"/>
  <c r="C248" i="10"/>
  <c r="AY248" i="10"/>
  <c r="AW248" i="10"/>
  <c r="AX249" i="10"/>
  <c r="F249" i="10"/>
  <c r="U249" i="10"/>
  <c r="AJ249" i="10"/>
  <c r="G188" i="7"/>
  <c r="V188" i="7"/>
  <c r="AK188" i="7"/>
  <c r="E154" i="7"/>
  <c r="T154" i="7"/>
  <c r="AI154" i="7"/>
  <c r="C147" i="7"/>
  <c r="AY147" i="7"/>
  <c r="AW147" i="7"/>
  <c r="X52" i="2" s="1"/>
  <c r="AX148" i="7"/>
  <c r="F148" i="7"/>
  <c r="U148" i="7"/>
  <c r="AJ148" i="7"/>
  <c r="AJ291" i="8" l="1"/>
  <c r="F291" i="8"/>
  <c r="U291" i="8"/>
  <c r="H348" i="10"/>
  <c r="W348" i="10"/>
  <c r="AL348" i="10"/>
  <c r="I348" i="10"/>
  <c r="X348" i="10"/>
  <c r="AM348" i="10"/>
  <c r="J348" i="10"/>
  <c r="Y348" i="10"/>
  <c r="AN348" i="10"/>
  <c r="K348" i="10"/>
  <c r="Z348" i="10"/>
  <c r="AO348" i="10"/>
  <c r="L348" i="10"/>
  <c r="AA348" i="10"/>
  <c r="AP348" i="10"/>
  <c r="M348" i="10"/>
  <c r="AB348" i="10"/>
  <c r="AQ348" i="10"/>
  <c r="N348" i="10"/>
  <c r="AC348" i="10"/>
  <c r="AR348" i="10"/>
  <c r="O348" i="10"/>
  <c r="AD348" i="10"/>
  <c r="AS348" i="10"/>
  <c r="P348" i="10"/>
  <c r="AE348" i="10"/>
  <c r="AT348" i="10"/>
  <c r="Q348" i="10"/>
  <c r="AF348" i="10"/>
  <c r="AU348" i="10"/>
  <c r="R348" i="10"/>
  <c r="AG348" i="10"/>
  <c r="AV348" i="10"/>
  <c r="H348" i="9"/>
  <c r="W348" i="9"/>
  <c r="AL348" i="9"/>
  <c r="I348" i="9"/>
  <c r="X348" i="9"/>
  <c r="AM348" i="9"/>
  <c r="J348" i="9"/>
  <c r="Y348" i="9"/>
  <c r="AN348" i="9"/>
  <c r="K348" i="9"/>
  <c r="Z348" i="9"/>
  <c r="AO348" i="9"/>
  <c r="L348" i="9"/>
  <c r="AA348" i="9"/>
  <c r="AP348" i="9"/>
  <c r="M348" i="9"/>
  <c r="AB348" i="9"/>
  <c r="AQ348" i="9"/>
  <c r="N348" i="9"/>
  <c r="AC348" i="9"/>
  <c r="AR348" i="9"/>
  <c r="O348" i="9"/>
  <c r="AD348" i="9"/>
  <c r="AS348" i="9"/>
  <c r="P348" i="9"/>
  <c r="AE348" i="9"/>
  <c r="AT348" i="9"/>
  <c r="Q348" i="9"/>
  <c r="AF348" i="9"/>
  <c r="AU348" i="9"/>
  <c r="R348" i="9"/>
  <c r="AG348" i="9"/>
  <c r="AV348" i="9"/>
  <c r="H347" i="7"/>
  <c r="W347" i="7"/>
  <c r="AL347" i="7"/>
  <c r="I347" i="7"/>
  <c r="X347" i="7"/>
  <c r="AM347" i="7"/>
  <c r="J347" i="7"/>
  <c r="Y347" i="7"/>
  <c r="AN347" i="7"/>
  <c r="K347" i="7"/>
  <c r="Z347" i="7"/>
  <c r="AO347" i="7"/>
  <c r="L347" i="7"/>
  <c r="AA347" i="7"/>
  <c r="AP347" i="7"/>
  <c r="N347" i="7"/>
  <c r="AR347" i="7"/>
  <c r="AC347" i="7"/>
  <c r="AD347" i="7"/>
  <c r="AS347" i="7"/>
  <c r="O347" i="7"/>
  <c r="P347" i="7"/>
  <c r="AE347" i="7"/>
  <c r="AT347" i="7"/>
  <c r="AU347" i="7"/>
  <c r="Q347" i="7"/>
  <c r="AF347" i="7"/>
  <c r="AG347" i="7"/>
  <c r="AV347" i="7"/>
  <c r="R347" i="7"/>
  <c r="I347" i="8"/>
  <c r="X347" i="8"/>
  <c r="AM347" i="8"/>
  <c r="J347" i="8"/>
  <c r="Y347" i="8"/>
  <c r="AN347" i="8"/>
  <c r="L347" i="8"/>
  <c r="AA347" i="8"/>
  <c r="AP347" i="8"/>
  <c r="N347" i="8"/>
  <c r="AC347" i="8"/>
  <c r="AR347" i="8"/>
  <c r="P347" i="8"/>
  <c r="AE347" i="8"/>
  <c r="AT347" i="8"/>
  <c r="Q347" i="8"/>
  <c r="AF347" i="8"/>
  <c r="AU347" i="8"/>
  <c r="H347" i="8"/>
  <c r="W347" i="8"/>
  <c r="AL347" i="8"/>
  <c r="K347" i="8"/>
  <c r="Z347" i="8"/>
  <c r="AO347" i="8"/>
  <c r="M347" i="8"/>
  <c r="AB347" i="8"/>
  <c r="AQ347" i="8"/>
  <c r="O347" i="8"/>
  <c r="AD347" i="8"/>
  <c r="AS347" i="8"/>
  <c r="R347" i="8"/>
  <c r="AG347" i="8"/>
  <c r="AV347" i="8"/>
  <c r="AQ347" i="7"/>
  <c r="M347" i="7"/>
  <c r="AB347" i="7"/>
  <c r="D335" i="8"/>
  <c r="S335" i="8"/>
  <c r="AH335" i="8"/>
  <c r="E323" i="8"/>
  <c r="T323" i="8"/>
  <c r="AI323" i="8"/>
  <c r="D318" i="9"/>
  <c r="S318" i="9"/>
  <c r="AH318" i="9"/>
  <c r="D295" i="7"/>
  <c r="S295" i="7"/>
  <c r="AH295" i="7"/>
  <c r="G292" i="9"/>
  <c r="V292" i="9"/>
  <c r="AK292" i="9"/>
  <c r="G288" i="10"/>
  <c r="V288" i="10"/>
  <c r="AK288" i="10"/>
  <c r="D273" i="10"/>
  <c r="S273" i="10"/>
  <c r="AH273" i="10"/>
  <c r="E275" i="9"/>
  <c r="T275" i="9"/>
  <c r="AI275" i="9"/>
  <c r="C277" i="8"/>
  <c r="AY277" i="8"/>
  <c r="AW277" i="8"/>
  <c r="AX278" i="8"/>
  <c r="G278" i="8"/>
  <c r="V278" i="8"/>
  <c r="AK278" i="8"/>
  <c r="E267" i="10"/>
  <c r="T267" i="10"/>
  <c r="AI267" i="10"/>
  <c r="C259" i="9"/>
  <c r="AY259" i="9"/>
  <c r="AW259" i="9"/>
  <c r="AX260" i="9"/>
  <c r="F260" i="9"/>
  <c r="U260" i="9"/>
  <c r="AJ260" i="9"/>
  <c r="AY249" i="10"/>
  <c r="C249" i="10"/>
  <c r="AW249" i="10"/>
  <c r="AX250" i="10"/>
  <c r="F250" i="10"/>
  <c r="U250" i="10"/>
  <c r="AJ250" i="10"/>
  <c r="G189" i="7"/>
  <c r="V189" i="7"/>
  <c r="AK189" i="7"/>
  <c r="E155" i="7"/>
  <c r="T155" i="7"/>
  <c r="AI155" i="7"/>
  <c r="C148" i="7"/>
  <c r="AY148" i="7"/>
  <c r="AX149" i="7"/>
  <c r="AW148" i="7"/>
  <c r="F149" i="7"/>
  <c r="U149" i="7"/>
  <c r="AJ149" i="7"/>
  <c r="U292" i="8" l="1"/>
  <c r="F292" i="8"/>
  <c r="AJ292" i="8"/>
  <c r="H349" i="10"/>
  <c r="W349" i="10"/>
  <c r="AL349" i="10"/>
  <c r="I349" i="10"/>
  <c r="X349" i="10"/>
  <c r="AM349" i="10"/>
  <c r="J349" i="10"/>
  <c r="Y349" i="10"/>
  <c r="AN349" i="10"/>
  <c r="K349" i="10"/>
  <c r="Z349" i="10"/>
  <c r="AO349" i="10"/>
  <c r="L349" i="10"/>
  <c r="AA349" i="10"/>
  <c r="AP349" i="10"/>
  <c r="M349" i="10"/>
  <c r="AB349" i="10"/>
  <c r="AQ349" i="10"/>
  <c r="N349" i="10"/>
  <c r="AC349" i="10"/>
  <c r="AR349" i="10"/>
  <c r="O349" i="10"/>
  <c r="AD349" i="10"/>
  <c r="AS349" i="10"/>
  <c r="P349" i="10"/>
  <c r="AE349" i="10"/>
  <c r="AT349" i="10"/>
  <c r="Q349" i="10"/>
  <c r="AF349" i="10"/>
  <c r="AU349" i="10"/>
  <c r="R349" i="10"/>
  <c r="AG349" i="10"/>
  <c r="AV349" i="10"/>
  <c r="H349" i="9"/>
  <c r="W349" i="9"/>
  <c r="AL349" i="9"/>
  <c r="I349" i="9"/>
  <c r="X349" i="9"/>
  <c r="AM349" i="9"/>
  <c r="J349" i="9"/>
  <c r="Y349" i="9"/>
  <c r="AN349" i="9"/>
  <c r="K349" i="9"/>
  <c r="Z349" i="9"/>
  <c r="AO349" i="9"/>
  <c r="L349" i="9"/>
  <c r="AA349" i="9"/>
  <c r="AP349" i="9"/>
  <c r="M349" i="9"/>
  <c r="AB349" i="9"/>
  <c r="AQ349" i="9"/>
  <c r="N349" i="9"/>
  <c r="AC349" i="9"/>
  <c r="AR349" i="9"/>
  <c r="O349" i="9"/>
  <c r="AD349" i="9"/>
  <c r="AS349" i="9"/>
  <c r="P349" i="9"/>
  <c r="AE349" i="9"/>
  <c r="AT349" i="9"/>
  <c r="Q349" i="9"/>
  <c r="AF349" i="9"/>
  <c r="AU349" i="9"/>
  <c r="R349" i="9"/>
  <c r="AG349" i="9"/>
  <c r="AV349" i="9"/>
  <c r="AL348" i="7"/>
  <c r="H348" i="7"/>
  <c r="W348" i="7"/>
  <c r="I348" i="7"/>
  <c r="AM348" i="7"/>
  <c r="X348" i="7"/>
  <c r="J348" i="7"/>
  <c r="AN348" i="7"/>
  <c r="Y348" i="7"/>
  <c r="K348" i="7"/>
  <c r="Z348" i="7"/>
  <c r="AO348" i="7"/>
  <c r="AA348" i="7"/>
  <c r="AP348" i="7"/>
  <c r="L348" i="7"/>
  <c r="AC348" i="7"/>
  <c r="AR348" i="7"/>
  <c r="N348" i="7"/>
  <c r="O348" i="7"/>
  <c r="AD348" i="7"/>
  <c r="AS348" i="7"/>
  <c r="P348" i="7"/>
  <c r="AE348" i="7"/>
  <c r="AT348" i="7"/>
  <c r="Q348" i="7"/>
  <c r="AF348" i="7"/>
  <c r="AU348" i="7"/>
  <c r="R348" i="7"/>
  <c r="AG348" i="7"/>
  <c r="AV348" i="7"/>
  <c r="I348" i="8"/>
  <c r="X348" i="8"/>
  <c r="AM348" i="8"/>
  <c r="J348" i="8"/>
  <c r="Y348" i="8"/>
  <c r="AN348" i="8"/>
  <c r="L348" i="8"/>
  <c r="AA348" i="8"/>
  <c r="AP348" i="8"/>
  <c r="N348" i="8"/>
  <c r="AC348" i="8"/>
  <c r="AR348" i="8"/>
  <c r="P348" i="8"/>
  <c r="AE348" i="8"/>
  <c r="AT348" i="8"/>
  <c r="Q348" i="8"/>
  <c r="AF348" i="8"/>
  <c r="AU348" i="8"/>
  <c r="H348" i="8"/>
  <c r="W348" i="8"/>
  <c r="AL348" i="8"/>
  <c r="K348" i="8"/>
  <c r="Z348" i="8"/>
  <c r="AO348" i="8"/>
  <c r="M348" i="8"/>
  <c r="AB348" i="8"/>
  <c r="AQ348" i="8"/>
  <c r="O348" i="8"/>
  <c r="AD348" i="8"/>
  <c r="AS348" i="8"/>
  <c r="R348" i="8"/>
  <c r="AG348" i="8"/>
  <c r="AV348" i="8"/>
  <c r="AB348" i="7"/>
  <c r="AQ348" i="7"/>
  <c r="M348" i="7"/>
  <c r="D336" i="8"/>
  <c r="S336" i="8"/>
  <c r="AH336" i="8"/>
  <c r="E324" i="8"/>
  <c r="T324" i="8"/>
  <c r="AI324" i="8"/>
  <c r="D319" i="9"/>
  <c r="S319" i="9"/>
  <c r="AH319" i="9"/>
  <c r="D296" i="7"/>
  <c r="S296" i="7"/>
  <c r="AH296" i="7"/>
  <c r="G293" i="9"/>
  <c r="V293" i="9"/>
  <c r="AK293" i="9"/>
  <c r="V289" i="10"/>
  <c r="G289" i="10"/>
  <c r="AK289" i="10"/>
  <c r="D274" i="10"/>
  <c r="S274" i="10"/>
  <c r="AH274" i="10"/>
  <c r="E276" i="9"/>
  <c r="T276" i="9"/>
  <c r="AI276" i="9"/>
  <c r="AY278" i="8"/>
  <c r="C278" i="8"/>
  <c r="AX279" i="8"/>
  <c r="AW278" i="8"/>
  <c r="G279" i="8"/>
  <c r="V279" i="8"/>
  <c r="AK279" i="8"/>
  <c r="E268" i="10"/>
  <c r="T268" i="10"/>
  <c r="AI268" i="10"/>
  <c r="C260" i="9"/>
  <c r="AY260" i="9"/>
  <c r="AW260" i="9"/>
  <c r="AX261" i="9"/>
  <c r="F261" i="9"/>
  <c r="U261" i="9"/>
  <c r="AJ261" i="9"/>
  <c r="C250" i="10"/>
  <c r="AY250" i="10"/>
  <c r="AX251" i="10"/>
  <c r="AW250" i="10"/>
  <c r="F251" i="10"/>
  <c r="U251" i="10"/>
  <c r="AJ251" i="10"/>
  <c r="G190" i="7"/>
  <c r="V190" i="7"/>
  <c r="AK190" i="7"/>
  <c r="E156" i="7"/>
  <c r="T156" i="7"/>
  <c r="AI156" i="7"/>
  <c r="AY149" i="7"/>
  <c r="C149" i="7"/>
  <c r="AW149" i="7"/>
  <c r="AX150" i="7"/>
  <c r="F150" i="7"/>
  <c r="U150" i="7"/>
  <c r="AJ150" i="7"/>
  <c r="F293" i="8" l="1"/>
  <c r="AJ293" i="8"/>
  <c r="U293" i="8"/>
  <c r="H350" i="10"/>
  <c r="W350" i="10"/>
  <c r="AL350" i="10"/>
  <c r="I350" i="10"/>
  <c r="X350" i="10"/>
  <c r="AM350" i="10"/>
  <c r="J350" i="10"/>
  <c r="Y350" i="10"/>
  <c r="AN350" i="10"/>
  <c r="K350" i="10"/>
  <c r="Z350" i="10"/>
  <c r="AO350" i="10"/>
  <c r="L350" i="10"/>
  <c r="AA350" i="10"/>
  <c r="AP350" i="10"/>
  <c r="M350" i="10"/>
  <c r="AB350" i="10"/>
  <c r="AQ350" i="10"/>
  <c r="N350" i="10"/>
  <c r="AC350" i="10"/>
  <c r="AR350" i="10"/>
  <c r="O350" i="10"/>
  <c r="AD350" i="10"/>
  <c r="AS350" i="10"/>
  <c r="P350" i="10"/>
  <c r="AE350" i="10"/>
  <c r="AT350" i="10"/>
  <c r="Q350" i="10"/>
  <c r="AF350" i="10"/>
  <c r="AU350" i="10"/>
  <c r="R350" i="10"/>
  <c r="AG350" i="10"/>
  <c r="AV350" i="10"/>
  <c r="H350" i="9"/>
  <c r="W350" i="9"/>
  <c r="AL350" i="9"/>
  <c r="I350" i="9"/>
  <c r="X350" i="9"/>
  <c r="AM350" i="9"/>
  <c r="J350" i="9"/>
  <c r="Y350" i="9"/>
  <c r="AN350" i="9"/>
  <c r="K350" i="9"/>
  <c r="Z350" i="9"/>
  <c r="AO350" i="9"/>
  <c r="L350" i="9"/>
  <c r="AA350" i="9"/>
  <c r="AP350" i="9"/>
  <c r="M350" i="9"/>
  <c r="AB350" i="9"/>
  <c r="AQ350" i="9"/>
  <c r="N350" i="9"/>
  <c r="AC350" i="9"/>
  <c r="AR350" i="9"/>
  <c r="O350" i="9"/>
  <c r="AD350" i="9"/>
  <c r="AS350" i="9"/>
  <c r="P350" i="9"/>
  <c r="AE350" i="9"/>
  <c r="AT350" i="9"/>
  <c r="Q350" i="9"/>
  <c r="AF350" i="9"/>
  <c r="AU350" i="9"/>
  <c r="R350" i="9"/>
  <c r="AG350" i="9"/>
  <c r="AV350" i="9"/>
  <c r="H349" i="7"/>
  <c r="W349" i="7"/>
  <c r="AL349" i="7"/>
  <c r="I349" i="7"/>
  <c r="X349" i="7"/>
  <c r="AM349" i="7"/>
  <c r="J349" i="7"/>
  <c r="Y349" i="7"/>
  <c r="AN349" i="7"/>
  <c r="K349" i="7"/>
  <c r="Z349" i="7"/>
  <c r="AO349" i="7"/>
  <c r="AP349" i="7"/>
  <c r="L349" i="7"/>
  <c r="AA349" i="7"/>
  <c r="AR349" i="7"/>
  <c r="N349" i="7"/>
  <c r="AC349" i="7"/>
  <c r="AD349" i="7"/>
  <c r="AS349" i="7"/>
  <c r="O349" i="7"/>
  <c r="AE349" i="7"/>
  <c r="AT349" i="7"/>
  <c r="P349" i="7"/>
  <c r="Q349" i="7"/>
  <c r="AF349" i="7"/>
  <c r="AU349" i="7"/>
  <c r="R349" i="7"/>
  <c r="AG349" i="7"/>
  <c r="AV349" i="7"/>
  <c r="I349" i="8"/>
  <c r="X349" i="8"/>
  <c r="AM349" i="8"/>
  <c r="J349" i="8"/>
  <c r="Y349" i="8"/>
  <c r="AN349" i="8"/>
  <c r="L349" i="8"/>
  <c r="AA349" i="8"/>
  <c r="AP349" i="8"/>
  <c r="N349" i="8"/>
  <c r="AC349" i="8"/>
  <c r="AR349" i="8"/>
  <c r="P349" i="8"/>
  <c r="AE349" i="8"/>
  <c r="AT349" i="8"/>
  <c r="Q349" i="8"/>
  <c r="AF349" i="8"/>
  <c r="AU349" i="8"/>
  <c r="H349" i="8"/>
  <c r="W349" i="8"/>
  <c r="AL349" i="8"/>
  <c r="K349" i="8"/>
  <c r="Z349" i="8"/>
  <c r="AO349" i="8"/>
  <c r="M349" i="8"/>
  <c r="AB349" i="8"/>
  <c r="AQ349" i="8"/>
  <c r="O349" i="8"/>
  <c r="AD349" i="8"/>
  <c r="AS349" i="8"/>
  <c r="R349" i="8"/>
  <c r="AG349" i="8"/>
  <c r="AV349" i="8"/>
  <c r="AQ349" i="7"/>
  <c r="M349" i="7"/>
  <c r="AB349" i="7"/>
  <c r="D337" i="8"/>
  <c r="S337" i="8"/>
  <c r="AH337" i="8"/>
  <c r="E325" i="8"/>
  <c r="T325" i="8"/>
  <c r="AI325" i="8"/>
  <c r="D320" i="9"/>
  <c r="S320" i="9"/>
  <c r="AH320" i="9"/>
  <c r="D297" i="7"/>
  <c r="S297" i="7"/>
  <c r="AH297" i="7"/>
  <c r="G294" i="9"/>
  <c r="V294" i="9"/>
  <c r="AK294" i="9"/>
  <c r="G290" i="10"/>
  <c r="V290" i="10"/>
  <c r="AK290" i="10"/>
  <c r="D275" i="10"/>
  <c r="S275" i="10"/>
  <c r="AH275" i="10"/>
  <c r="E277" i="9"/>
  <c r="T277" i="9"/>
  <c r="AI277" i="9"/>
  <c r="C279" i="8"/>
  <c r="AY279" i="8"/>
  <c r="AW279" i="8"/>
  <c r="W96" i="2" s="1"/>
  <c r="AX280" i="8"/>
  <c r="G280" i="8"/>
  <c r="V280" i="8"/>
  <c r="AK280" i="8"/>
  <c r="E269" i="10"/>
  <c r="T269" i="10"/>
  <c r="AI269" i="10"/>
  <c r="AY261" i="9"/>
  <c r="C261" i="9"/>
  <c r="AW261" i="9"/>
  <c r="AX262" i="9"/>
  <c r="F262" i="9"/>
  <c r="U262" i="9"/>
  <c r="AJ262" i="9"/>
  <c r="AY251" i="10"/>
  <c r="C251" i="10"/>
  <c r="AW251" i="10"/>
  <c r="AX252" i="10"/>
  <c r="F252" i="10"/>
  <c r="U252" i="10"/>
  <c r="AJ252" i="10"/>
  <c r="G191" i="7"/>
  <c r="V191" i="7"/>
  <c r="AK191" i="7"/>
  <c r="E157" i="7"/>
  <c r="T157" i="7"/>
  <c r="AI157" i="7"/>
  <c r="C150" i="7"/>
  <c r="AY150" i="7"/>
  <c r="AW150" i="7"/>
  <c r="X53" i="2" s="1"/>
  <c r="AX151" i="7"/>
  <c r="F151" i="7"/>
  <c r="U151" i="7"/>
  <c r="AJ151" i="7"/>
  <c r="AJ294" i="8" l="1"/>
  <c r="U294" i="8"/>
  <c r="F294" i="8"/>
  <c r="H351" i="10"/>
  <c r="W351" i="10"/>
  <c r="AL351" i="10"/>
  <c r="I351" i="10"/>
  <c r="X351" i="10"/>
  <c r="AM351" i="10"/>
  <c r="J351" i="10"/>
  <c r="Y351" i="10"/>
  <c r="AN351" i="10"/>
  <c r="K351" i="10"/>
  <c r="Z351" i="10"/>
  <c r="AO351" i="10"/>
  <c r="L351" i="10"/>
  <c r="AA351" i="10"/>
  <c r="AP351" i="10"/>
  <c r="M351" i="10"/>
  <c r="AB351" i="10"/>
  <c r="AQ351" i="10"/>
  <c r="N351" i="10"/>
  <c r="AC351" i="10"/>
  <c r="AR351" i="10"/>
  <c r="O351" i="10"/>
  <c r="AD351" i="10"/>
  <c r="AS351" i="10"/>
  <c r="P351" i="10"/>
  <c r="AE351" i="10"/>
  <c r="AT351" i="10"/>
  <c r="Q351" i="10"/>
  <c r="AF351" i="10"/>
  <c r="AU351" i="10"/>
  <c r="R351" i="10"/>
  <c r="AG351" i="10"/>
  <c r="AV351" i="10"/>
  <c r="H351" i="9"/>
  <c r="W351" i="9"/>
  <c r="AL351" i="9"/>
  <c r="I351" i="9"/>
  <c r="X351" i="9"/>
  <c r="AM351" i="9"/>
  <c r="J351" i="9"/>
  <c r="Y351" i="9"/>
  <c r="AN351" i="9"/>
  <c r="K351" i="9"/>
  <c r="Z351" i="9"/>
  <c r="AO351" i="9"/>
  <c r="L351" i="9"/>
  <c r="AA351" i="9"/>
  <c r="AP351" i="9"/>
  <c r="M351" i="9"/>
  <c r="AB351" i="9"/>
  <c r="AQ351" i="9"/>
  <c r="N351" i="9"/>
  <c r="AC351" i="9"/>
  <c r="AR351" i="9"/>
  <c r="O351" i="9"/>
  <c r="AD351" i="9"/>
  <c r="AS351" i="9"/>
  <c r="P351" i="9"/>
  <c r="AE351" i="9"/>
  <c r="AT351" i="9"/>
  <c r="Q351" i="9"/>
  <c r="AF351" i="9"/>
  <c r="AU351" i="9"/>
  <c r="R351" i="9"/>
  <c r="AG351" i="9"/>
  <c r="AV351" i="9"/>
  <c r="H350" i="7"/>
  <c r="W350" i="7"/>
  <c r="AL350" i="7"/>
  <c r="I350" i="7"/>
  <c r="X350" i="7"/>
  <c r="AM350" i="7"/>
  <c r="AN350" i="7"/>
  <c r="J350" i="7"/>
  <c r="Y350" i="7"/>
  <c r="AO350" i="7"/>
  <c r="K350" i="7"/>
  <c r="Z350" i="7"/>
  <c r="L350" i="7"/>
  <c r="AA350" i="7"/>
  <c r="AP350" i="7"/>
  <c r="N350" i="7"/>
  <c r="AC350" i="7"/>
  <c r="AR350" i="7"/>
  <c r="O350" i="7"/>
  <c r="AD350" i="7"/>
  <c r="AS350" i="7"/>
  <c r="P350" i="7"/>
  <c r="AE350" i="7"/>
  <c r="AT350" i="7"/>
  <c r="Q350" i="7"/>
  <c r="AF350" i="7"/>
  <c r="AU350" i="7"/>
  <c r="R350" i="7"/>
  <c r="AG350" i="7"/>
  <c r="AV350" i="7"/>
  <c r="I350" i="8"/>
  <c r="X350" i="8"/>
  <c r="AM350" i="8"/>
  <c r="J350" i="8"/>
  <c r="Y350" i="8"/>
  <c r="AN350" i="8"/>
  <c r="L350" i="8"/>
  <c r="AA350" i="8"/>
  <c r="AP350" i="8"/>
  <c r="N350" i="8"/>
  <c r="AC350" i="8"/>
  <c r="AR350" i="8"/>
  <c r="P350" i="8"/>
  <c r="AE350" i="8"/>
  <c r="AT350" i="8"/>
  <c r="Q350" i="8"/>
  <c r="AF350" i="8"/>
  <c r="AU350" i="8"/>
  <c r="H350" i="8"/>
  <c r="W350" i="8"/>
  <c r="AL350" i="8"/>
  <c r="K350" i="8"/>
  <c r="Z350" i="8"/>
  <c r="AO350" i="8"/>
  <c r="M350" i="8"/>
  <c r="AB350" i="8"/>
  <c r="AQ350" i="8"/>
  <c r="O350" i="8"/>
  <c r="AD350" i="8"/>
  <c r="AS350" i="8"/>
  <c r="R350" i="8"/>
  <c r="AG350" i="8"/>
  <c r="AV350" i="8"/>
  <c r="M350" i="7"/>
  <c r="AB350" i="7"/>
  <c r="AQ350" i="7"/>
  <c r="D338" i="8"/>
  <c r="S338" i="8"/>
  <c r="AH338" i="8"/>
  <c r="E326" i="8"/>
  <c r="T326" i="8"/>
  <c r="AI326" i="8"/>
  <c r="D321" i="9"/>
  <c r="S321" i="9"/>
  <c r="AH321" i="9"/>
  <c r="D298" i="7"/>
  <c r="S298" i="7"/>
  <c r="AH298" i="7"/>
  <c r="G295" i="9"/>
  <c r="V295" i="9"/>
  <c r="AK295" i="9"/>
  <c r="V291" i="10"/>
  <c r="G291" i="10"/>
  <c r="AK291" i="10"/>
  <c r="D276" i="10"/>
  <c r="S276" i="10"/>
  <c r="AH276" i="10"/>
  <c r="E278" i="9"/>
  <c r="T278" i="9"/>
  <c r="AI278" i="9"/>
  <c r="C280" i="8"/>
  <c r="AY280" i="8"/>
  <c r="AW280" i="8"/>
  <c r="AX281" i="8"/>
  <c r="G281" i="8"/>
  <c r="V281" i="8"/>
  <c r="AK281" i="8"/>
  <c r="E270" i="10"/>
  <c r="T270" i="10"/>
  <c r="AI270" i="10"/>
  <c r="C262" i="9"/>
  <c r="AY262" i="9"/>
  <c r="AX263" i="9"/>
  <c r="AW262" i="9"/>
  <c r="F263" i="9"/>
  <c r="U263" i="9"/>
  <c r="AJ263" i="9"/>
  <c r="C252" i="10"/>
  <c r="AY252" i="10"/>
  <c r="AW252" i="10"/>
  <c r="AX253" i="10"/>
  <c r="F253" i="10"/>
  <c r="U253" i="10"/>
  <c r="AJ253" i="10"/>
  <c r="G192" i="7"/>
  <c r="V192" i="7"/>
  <c r="AK192" i="7"/>
  <c r="E158" i="7"/>
  <c r="T158" i="7"/>
  <c r="AI158" i="7"/>
  <c r="C151" i="7"/>
  <c r="AY151" i="7"/>
  <c r="AW151" i="7"/>
  <c r="AX152" i="7"/>
  <c r="F152" i="7"/>
  <c r="U152" i="7"/>
  <c r="AJ152" i="7"/>
  <c r="AJ295" i="8" l="1"/>
  <c r="U295" i="8"/>
  <c r="F295" i="8"/>
  <c r="H352" i="10"/>
  <c r="W352" i="10"/>
  <c r="AL352" i="10"/>
  <c r="I352" i="10"/>
  <c r="X352" i="10"/>
  <c r="AM352" i="10"/>
  <c r="J352" i="10"/>
  <c r="Y352" i="10"/>
  <c r="AN352" i="10"/>
  <c r="K352" i="10"/>
  <c r="Z352" i="10"/>
  <c r="AO352" i="10"/>
  <c r="L352" i="10"/>
  <c r="AA352" i="10"/>
  <c r="AP352" i="10"/>
  <c r="M352" i="10"/>
  <c r="AB352" i="10"/>
  <c r="AQ352" i="10"/>
  <c r="N352" i="10"/>
  <c r="AC352" i="10"/>
  <c r="AR352" i="10"/>
  <c r="O352" i="10"/>
  <c r="AD352" i="10"/>
  <c r="AS352" i="10"/>
  <c r="P352" i="10"/>
  <c r="AE352" i="10"/>
  <c r="AT352" i="10"/>
  <c r="Q352" i="10"/>
  <c r="AF352" i="10"/>
  <c r="AU352" i="10"/>
  <c r="R352" i="10"/>
  <c r="AG352" i="10"/>
  <c r="AV352" i="10"/>
  <c r="H352" i="9"/>
  <c r="W352" i="9"/>
  <c r="AL352" i="9"/>
  <c r="I352" i="9"/>
  <c r="X352" i="9"/>
  <c r="AM352" i="9"/>
  <c r="J352" i="9"/>
  <c r="Y352" i="9"/>
  <c r="AN352" i="9"/>
  <c r="K352" i="9"/>
  <c r="Z352" i="9"/>
  <c r="AO352" i="9"/>
  <c r="L352" i="9"/>
  <c r="AA352" i="9"/>
  <c r="AP352" i="9"/>
  <c r="M352" i="9"/>
  <c r="AB352" i="9"/>
  <c r="AQ352" i="9"/>
  <c r="N352" i="9"/>
  <c r="AC352" i="9"/>
  <c r="AR352" i="9"/>
  <c r="O352" i="9"/>
  <c r="AD352" i="9"/>
  <c r="AS352" i="9"/>
  <c r="P352" i="9"/>
  <c r="AE352" i="9"/>
  <c r="AT352" i="9"/>
  <c r="Q352" i="9"/>
  <c r="AF352" i="9"/>
  <c r="AU352" i="9"/>
  <c r="R352" i="9"/>
  <c r="AG352" i="9"/>
  <c r="AV352" i="9"/>
  <c r="H351" i="7"/>
  <c r="W351" i="7"/>
  <c r="AL351" i="7"/>
  <c r="I351" i="7"/>
  <c r="X351" i="7"/>
  <c r="AM351" i="7"/>
  <c r="J351" i="7"/>
  <c r="Y351" i="7"/>
  <c r="AN351" i="7"/>
  <c r="Z351" i="7"/>
  <c r="K351" i="7"/>
  <c r="AO351" i="7"/>
  <c r="AA351" i="7"/>
  <c r="L351" i="7"/>
  <c r="AP351" i="7"/>
  <c r="N351" i="7"/>
  <c r="AC351" i="7"/>
  <c r="AR351" i="7"/>
  <c r="O351" i="7"/>
  <c r="AD351" i="7"/>
  <c r="AS351" i="7"/>
  <c r="AE351" i="7"/>
  <c r="P351" i="7"/>
  <c r="AT351" i="7"/>
  <c r="AF351" i="7"/>
  <c r="Q351" i="7"/>
  <c r="AU351" i="7"/>
  <c r="R351" i="7"/>
  <c r="AV351" i="7"/>
  <c r="AG351" i="7"/>
  <c r="I351" i="8"/>
  <c r="X351" i="8"/>
  <c r="AM351" i="8"/>
  <c r="J351" i="8"/>
  <c r="Y351" i="8"/>
  <c r="AN351" i="8"/>
  <c r="L351" i="8"/>
  <c r="AA351" i="8"/>
  <c r="AP351" i="8"/>
  <c r="N351" i="8"/>
  <c r="AC351" i="8"/>
  <c r="AR351" i="8"/>
  <c r="P351" i="8"/>
  <c r="AE351" i="8"/>
  <c r="AT351" i="8"/>
  <c r="Q351" i="8"/>
  <c r="AF351" i="8"/>
  <c r="AU351" i="8"/>
  <c r="H351" i="8"/>
  <c r="W351" i="8"/>
  <c r="AL351" i="8"/>
  <c r="K351" i="8"/>
  <c r="Z351" i="8"/>
  <c r="AO351" i="8"/>
  <c r="M351" i="8"/>
  <c r="AB351" i="8"/>
  <c r="AQ351" i="8"/>
  <c r="O351" i="8"/>
  <c r="AD351" i="8"/>
  <c r="AS351" i="8"/>
  <c r="R351" i="8"/>
  <c r="AG351" i="8"/>
  <c r="AV351" i="8"/>
  <c r="M351" i="7"/>
  <c r="AB351" i="7"/>
  <c r="AQ351" i="7"/>
  <c r="D339" i="8"/>
  <c r="S339" i="8"/>
  <c r="AH339" i="8"/>
  <c r="E327" i="8"/>
  <c r="T327" i="8"/>
  <c r="AI327" i="8"/>
  <c r="D322" i="9"/>
  <c r="S322" i="9"/>
  <c r="AH322" i="9"/>
  <c r="D299" i="7"/>
  <c r="S299" i="7"/>
  <c r="AH299" i="7"/>
  <c r="G296" i="9"/>
  <c r="V296" i="9"/>
  <c r="AK296" i="9"/>
  <c r="G292" i="10"/>
  <c r="AK292" i="10"/>
  <c r="V292" i="10"/>
  <c r="D277" i="10"/>
  <c r="S277" i="10"/>
  <c r="AH277" i="10"/>
  <c r="E279" i="9"/>
  <c r="T279" i="9"/>
  <c r="AI279" i="9"/>
  <c r="AY281" i="8"/>
  <c r="C281" i="8"/>
  <c r="AX282" i="8"/>
  <c r="AW281" i="8"/>
  <c r="G282" i="8"/>
  <c r="V282" i="8"/>
  <c r="AK282" i="8"/>
  <c r="E271" i="10"/>
  <c r="T271" i="10"/>
  <c r="AI271" i="10"/>
  <c r="C263" i="9"/>
  <c r="AY263" i="9"/>
  <c r="AX264" i="9"/>
  <c r="AW263" i="9"/>
  <c r="F264" i="9"/>
  <c r="U264" i="9"/>
  <c r="AJ264" i="9"/>
  <c r="C253" i="10"/>
  <c r="AY253" i="10"/>
  <c r="AX254" i="10"/>
  <c r="AW253" i="10"/>
  <c r="F254" i="10"/>
  <c r="U254" i="10"/>
  <c r="AJ254" i="10"/>
  <c r="G193" i="7"/>
  <c r="V193" i="7"/>
  <c r="AK193" i="7"/>
  <c r="E159" i="7"/>
  <c r="T159" i="7"/>
  <c r="AI159" i="7"/>
  <c r="AY152" i="7"/>
  <c r="C152" i="7"/>
  <c r="AW152" i="7"/>
  <c r="AX153" i="7"/>
  <c r="F153" i="7"/>
  <c r="U153" i="7"/>
  <c r="AJ153" i="7"/>
  <c r="AJ296" i="8" l="1"/>
  <c r="U296" i="8"/>
  <c r="F296" i="8"/>
  <c r="H353" i="10"/>
  <c r="W353" i="10"/>
  <c r="AL353" i="10"/>
  <c r="I353" i="10"/>
  <c r="X353" i="10"/>
  <c r="AM353" i="10"/>
  <c r="J353" i="10"/>
  <c r="Y353" i="10"/>
  <c r="AN353" i="10"/>
  <c r="K353" i="10"/>
  <c r="Z353" i="10"/>
  <c r="AO353" i="10"/>
  <c r="L353" i="10"/>
  <c r="AA353" i="10"/>
  <c r="AP353" i="10"/>
  <c r="M353" i="10"/>
  <c r="AB353" i="10"/>
  <c r="AQ353" i="10"/>
  <c r="N353" i="10"/>
  <c r="AC353" i="10"/>
  <c r="AR353" i="10"/>
  <c r="O353" i="10"/>
  <c r="AD353" i="10"/>
  <c r="AS353" i="10"/>
  <c r="P353" i="10"/>
  <c r="AE353" i="10"/>
  <c r="AT353" i="10"/>
  <c r="Q353" i="10"/>
  <c r="AF353" i="10"/>
  <c r="AU353" i="10"/>
  <c r="R353" i="10"/>
  <c r="AG353" i="10"/>
  <c r="AV353" i="10"/>
  <c r="H353" i="9"/>
  <c r="W353" i="9"/>
  <c r="AL353" i="9"/>
  <c r="I353" i="9"/>
  <c r="X353" i="9"/>
  <c r="AM353" i="9"/>
  <c r="J353" i="9"/>
  <c r="Y353" i="9"/>
  <c r="AN353" i="9"/>
  <c r="K353" i="9"/>
  <c r="Z353" i="9"/>
  <c r="AO353" i="9"/>
  <c r="L353" i="9"/>
  <c r="AA353" i="9"/>
  <c r="AP353" i="9"/>
  <c r="M353" i="9"/>
  <c r="AB353" i="9"/>
  <c r="AQ353" i="9"/>
  <c r="N353" i="9"/>
  <c r="AC353" i="9"/>
  <c r="AR353" i="9"/>
  <c r="O353" i="9"/>
  <c r="AD353" i="9"/>
  <c r="AS353" i="9"/>
  <c r="P353" i="9"/>
  <c r="AE353" i="9"/>
  <c r="AT353" i="9"/>
  <c r="Q353" i="9"/>
  <c r="AF353" i="9"/>
  <c r="AU353" i="9"/>
  <c r="R353" i="9"/>
  <c r="AG353" i="9"/>
  <c r="AV353" i="9"/>
  <c r="AL352" i="7"/>
  <c r="H352" i="7"/>
  <c r="W352" i="7"/>
  <c r="I352" i="7"/>
  <c r="X352" i="7"/>
  <c r="AM352" i="7"/>
  <c r="J352" i="7"/>
  <c r="Y352" i="7"/>
  <c r="AN352" i="7"/>
  <c r="K352" i="7"/>
  <c r="Z352" i="7"/>
  <c r="AO352" i="7"/>
  <c r="L352" i="7"/>
  <c r="AA352" i="7"/>
  <c r="AP352" i="7"/>
  <c r="N352" i="7"/>
  <c r="AC352" i="7"/>
  <c r="AR352" i="7"/>
  <c r="O352" i="7"/>
  <c r="AD352" i="7"/>
  <c r="AS352" i="7"/>
  <c r="P352" i="7"/>
  <c r="AT352" i="7"/>
  <c r="AE352" i="7"/>
  <c r="Q352" i="7"/>
  <c r="AF352" i="7"/>
  <c r="AU352" i="7"/>
  <c r="R352" i="7"/>
  <c r="AV352" i="7"/>
  <c r="AG352" i="7"/>
  <c r="I352" i="8"/>
  <c r="X352" i="8"/>
  <c r="AM352" i="8"/>
  <c r="J352" i="8"/>
  <c r="Y352" i="8"/>
  <c r="AN352" i="8"/>
  <c r="L352" i="8"/>
  <c r="AA352" i="8"/>
  <c r="AP352" i="8"/>
  <c r="N352" i="8"/>
  <c r="AC352" i="8"/>
  <c r="AR352" i="8"/>
  <c r="P352" i="8"/>
  <c r="AE352" i="8"/>
  <c r="AT352" i="8"/>
  <c r="Q352" i="8"/>
  <c r="AF352" i="8"/>
  <c r="AU352" i="8"/>
  <c r="H352" i="8"/>
  <c r="W352" i="8"/>
  <c r="AL352" i="8"/>
  <c r="K352" i="8"/>
  <c r="Z352" i="8"/>
  <c r="AO352" i="8"/>
  <c r="M352" i="8"/>
  <c r="AB352" i="8"/>
  <c r="AQ352" i="8"/>
  <c r="O352" i="8"/>
  <c r="AD352" i="8"/>
  <c r="AS352" i="8"/>
  <c r="R352" i="8"/>
  <c r="AG352" i="8"/>
  <c r="AV352" i="8"/>
  <c r="M352" i="7"/>
  <c r="AB352" i="7"/>
  <c r="AQ352" i="7"/>
  <c r="D340" i="8"/>
  <c r="S340" i="8"/>
  <c r="AH340" i="8"/>
  <c r="E328" i="8"/>
  <c r="T328" i="8"/>
  <c r="AI328" i="8"/>
  <c r="D323" i="9"/>
  <c r="S323" i="9"/>
  <c r="AH323" i="9"/>
  <c r="D300" i="7"/>
  <c r="S300" i="7"/>
  <c r="AH300" i="7"/>
  <c r="G297" i="9"/>
  <c r="V297" i="9"/>
  <c r="AK297" i="9"/>
  <c r="G293" i="10"/>
  <c r="V293" i="10"/>
  <c r="AK293" i="10"/>
  <c r="D278" i="10"/>
  <c r="S278" i="10"/>
  <c r="AH278" i="10"/>
  <c r="E280" i="9"/>
  <c r="T280" i="9"/>
  <c r="AI280" i="9"/>
  <c r="AY282" i="8"/>
  <c r="C282" i="8"/>
  <c r="AX283" i="8"/>
  <c r="AW282" i="8"/>
  <c r="W97" i="2" s="1"/>
  <c r="G283" i="8"/>
  <c r="V283" i="8"/>
  <c r="AK283" i="8"/>
  <c r="E272" i="10"/>
  <c r="T272" i="10"/>
  <c r="AI272" i="10"/>
  <c r="C264" i="9"/>
  <c r="AY264" i="9"/>
  <c r="AW264" i="9"/>
  <c r="AX265" i="9"/>
  <c r="F265" i="9"/>
  <c r="U265" i="9"/>
  <c r="AJ265" i="9"/>
  <c r="AY254" i="10"/>
  <c r="C254" i="10"/>
  <c r="AW254" i="10"/>
  <c r="AX255" i="10"/>
  <c r="F255" i="10"/>
  <c r="U255" i="10"/>
  <c r="AJ255" i="10"/>
  <c r="G194" i="7"/>
  <c r="V194" i="7"/>
  <c r="AK194" i="7"/>
  <c r="E160" i="7"/>
  <c r="T160" i="7"/>
  <c r="AI160" i="7"/>
  <c r="AY153" i="7"/>
  <c r="C153" i="7"/>
  <c r="AW153" i="7"/>
  <c r="X54" i="2" s="1"/>
  <c r="AX154" i="7"/>
  <c r="F154" i="7"/>
  <c r="U154" i="7"/>
  <c r="AJ154" i="7"/>
  <c r="AJ297" i="8" l="1"/>
  <c r="U297" i="8"/>
  <c r="F297" i="8"/>
  <c r="H354" i="10"/>
  <c r="W354" i="10"/>
  <c r="AL354" i="10"/>
  <c r="I354" i="10"/>
  <c r="X354" i="10"/>
  <c r="AM354" i="10"/>
  <c r="J354" i="10"/>
  <c r="Y354" i="10"/>
  <c r="AN354" i="10"/>
  <c r="K354" i="10"/>
  <c r="Z354" i="10"/>
  <c r="AO354" i="10"/>
  <c r="L354" i="10"/>
  <c r="AA354" i="10"/>
  <c r="AP354" i="10"/>
  <c r="M354" i="10"/>
  <c r="AB354" i="10"/>
  <c r="AQ354" i="10"/>
  <c r="N354" i="10"/>
  <c r="AC354" i="10"/>
  <c r="AR354" i="10"/>
  <c r="O354" i="10"/>
  <c r="AD354" i="10"/>
  <c r="AS354" i="10"/>
  <c r="P354" i="10"/>
  <c r="AE354" i="10"/>
  <c r="AT354" i="10"/>
  <c r="Q354" i="10"/>
  <c r="AF354" i="10"/>
  <c r="AU354" i="10"/>
  <c r="R354" i="10"/>
  <c r="AG354" i="10"/>
  <c r="AV354" i="10"/>
  <c r="H354" i="9"/>
  <c r="W354" i="9"/>
  <c r="AL354" i="9"/>
  <c r="I354" i="9"/>
  <c r="X354" i="9"/>
  <c r="AM354" i="9"/>
  <c r="J354" i="9"/>
  <c r="Y354" i="9"/>
  <c r="AN354" i="9"/>
  <c r="K354" i="9"/>
  <c r="Z354" i="9"/>
  <c r="AO354" i="9"/>
  <c r="L354" i="9"/>
  <c r="AA354" i="9"/>
  <c r="AP354" i="9"/>
  <c r="M354" i="9"/>
  <c r="AB354" i="9"/>
  <c r="AQ354" i="9"/>
  <c r="N354" i="9"/>
  <c r="AC354" i="9"/>
  <c r="AR354" i="9"/>
  <c r="O354" i="9"/>
  <c r="AD354" i="9"/>
  <c r="AS354" i="9"/>
  <c r="P354" i="9"/>
  <c r="AE354" i="9"/>
  <c r="AT354" i="9"/>
  <c r="Q354" i="9"/>
  <c r="AF354" i="9"/>
  <c r="AU354" i="9"/>
  <c r="R354" i="9"/>
  <c r="AG354" i="9"/>
  <c r="AV354" i="9"/>
  <c r="W353" i="7"/>
  <c r="H353" i="7"/>
  <c r="AL353" i="7"/>
  <c r="I353" i="7"/>
  <c r="AM353" i="7"/>
  <c r="X353" i="7"/>
  <c r="J353" i="7"/>
  <c r="Y353" i="7"/>
  <c r="AN353" i="7"/>
  <c r="K353" i="7"/>
  <c r="AO353" i="7"/>
  <c r="Z353" i="7"/>
  <c r="AP353" i="7"/>
  <c r="L353" i="7"/>
  <c r="AA353" i="7"/>
  <c r="N353" i="7"/>
  <c r="AC353" i="7"/>
  <c r="AR353" i="7"/>
  <c r="O353" i="7"/>
  <c r="AD353" i="7"/>
  <c r="AS353" i="7"/>
  <c r="P353" i="7"/>
  <c r="AE353" i="7"/>
  <c r="AT353" i="7"/>
  <c r="Q353" i="7"/>
  <c r="AF353" i="7"/>
  <c r="AU353" i="7"/>
  <c r="AG353" i="7"/>
  <c r="AV353" i="7"/>
  <c r="R353" i="7"/>
  <c r="I353" i="8"/>
  <c r="X353" i="8"/>
  <c r="AM353" i="8"/>
  <c r="J353" i="8"/>
  <c r="Y353" i="8"/>
  <c r="AN353" i="8"/>
  <c r="L353" i="8"/>
  <c r="AA353" i="8"/>
  <c r="AP353" i="8"/>
  <c r="N353" i="8"/>
  <c r="AC353" i="8"/>
  <c r="AR353" i="8"/>
  <c r="P353" i="8"/>
  <c r="AE353" i="8"/>
  <c r="AT353" i="8"/>
  <c r="Q353" i="8"/>
  <c r="AF353" i="8"/>
  <c r="AU353" i="8"/>
  <c r="H353" i="8"/>
  <c r="W353" i="8"/>
  <c r="AL353" i="8"/>
  <c r="K353" i="8"/>
  <c r="Z353" i="8"/>
  <c r="AO353" i="8"/>
  <c r="M353" i="8"/>
  <c r="AB353" i="8"/>
  <c r="AQ353" i="8"/>
  <c r="O353" i="8"/>
  <c r="AD353" i="8"/>
  <c r="AS353" i="8"/>
  <c r="R353" i="8"/>
  <c r="AG353" i="8"/>
  <c r="AV353" i="8"/>
  <c r="M353" i="7"/>
  <c r="AB353" i="7"/>
  <c r="AQ353" i="7"/>
  <c r="D341" i="8"/>
  <c r="S341" i="8"/>
  <c r="AH341" i="8"/>
  <c r="E329" i="8"/>
  <c r="T329" i="8"/>
  <c r="AI329" i="8"/>
  <c r="D324" i="9"/>
  <c r="S324" i="9"/>
  <c r="AH324" i="9"/>
  <c r="D301" i="7"/>
  <c r="S301" i="7"/>
  <c r="AH301" i="7"/>
  <c r="G298" i="9"/>
  <c r="V298" i="9"/>
  <c r="AK298" i="9"/>
  <c r="G294" i="10"/>
  <c r="V294" i="10"/>
  <c r="AK294" i="10"/>
  <c r="D279" i="10"/>
  <c r="S279" i="10"/>
  <c r="AH279" i="10"/>
  <c r="E281" i="9"/>
  <c r="T281" i="9"/>
  <c r="AI281" i="9"/>
  <c r="C283" i="8"/>
  <c r="AY283" i="8"/>
  <c r="AW283" i="8"/>
  <c r="AX284" i="8"/>
  <c r="G284" i="8"/>
  <c r="V284" i="8"/>
  <c r="AK284" i="8"/>
  <c r="E273" i="10"/>
  <c r="T273" i="10"/>
  <c r="AI273" i="10"/>
  <c r="C265" i="9"/>
  <c r="AY265" i="9"/>
  <c r="AX266" i="9"/>
  <c r="AW265" i="9"/>
  <c r="F266" i="9"/>
  <c r="U266" i="9"/>
  <c r="AJ266" i="9"/>
  <c r="AY255" i="10"/>
  <c r="C255" i="10"/>
  <c r="AW255" i="10"/>
  <c r="AX256" i="10"/>
  <c r="F256" i="10"/>
  <c r="U256" i="10"/>
  <c r="AJ256" i="10"/>
  <c r="G195" i="7"/>
  <c r="V195" i="7"/>
  <c r="AK195" i="7"/>
  <c r="E161" i="7"/>
  <c r="T161" i="7"/>
  <c r="AI161" i="7"/>
  <c r="AY154" i="7"/>
  <c r="C154" i="7"/>
  <c r="AW154" i="7"/>
  <c r="AX155" i="7"/>
  <c r="F155" i="7"/>
  <c r="U155" i="7"/>
  <c r="AJ155" i="7"/>
  <c r="F298" i="8" l="1"/>
  <c r="U298" i="8"/>
  <c r="AJ298" i="8"/>
  <c r="H355" i="10"/>
  <c r="W355" i="10"/>
  <c r="AL355" i="10"/>
  <c r="I355" i="10"/>
  <c r="X355" i="10"/>
  <c r="AM355" i="10"/>
  <c r="J355" i="10"/>
  <c r="Y355" i="10"/>
  <c r="AN355" i="10"/>
  <c r="K355" i="10"/>
  <c r="Z355" i="10"/>
  <c r="AO355" i="10"/>
  <c r="L355" i="10"/>
  <c r="AA355" i="10"/>
  <c r="AP355" i="10"/>
  <c r="M355" i="10"/>
  <c r="AB355" i="10"/>
  <c r="AQ355" i="10"/>
  <c r="N355" i="10"/>
  <c r="AC355" i="10"/>
  <c r="AR355" i="10"/>
  <c r="O355" i="10"/>
  <c r="AD355" i="10"/>
  <c r="AS355" i="10"/>
  <c r="P355" i="10"/>
  <c r="AE355" i="10"/>
  <c r="AT355" i="10"/>
  <c r="Q355" i="10"/>
  <c r="AF355" i="10"/>
  <c r="AU355" i="10"/>
  <c r="R355" i="10"/>
  <c r="AG355" i="10"/>
  <c r="AV355" i="10"/>
  <c r="H355" i="9"/>
  <c r="W355" i="9"/>
  <c r="AL355" i="9"/>
  <c r="I355" i="9"/>
  <c r="X355" i="9"/>
  <c r="AM355" i="9"/>
  <c r="J355" i="9"/>
  <c r="Y355" i="9"/>
  <c r="AN355" i="9"/>
  <c r="K355" i="9"/>
  <c r="Z355" i="9"/>
  <c r="AO355" i="9"/>
  <c r="L355" i="9"/>
  <c r="AA355" i="9"/>
  <c r="AP355" i="9"/>
  <c r="M355" i="9"/>
  <c r="AB355" i="9"/>
  <c r="AQ355" i="9"/>
  <c r="N355" i="9"/>
  <c r="AC355" i="9"/>
  <c r="AR355" i="9"/>
  <c r="O355" i="9"/>
  <c r="AD355" i="9"/>
  <c r="AS355" i="9"/>
  <c r="P355" i="9"/>
  <c r="AE355" i="9"/>
  <c r="AT355" i="9"/>
  <c r="Q355" i="9"/>
  <c r="AF355" i="9"/>
  <c r="AU355" i="9"/>
  <c r="R355" i="9"/>
  <c r="AG355" i="9"/>
  <c r="AV355" i="9"/>
  <c r="H354" i="7"/>
  <c r="W354" i="7"/>
  <c r="AL354" i="7"/>
  <c r="AM354" i="7"/>
  <c r="I354" i="7"/>
  <c r="X354" i="7"/>
  <c r="J354" i="7"/>
  <c r="AN354" i="7"/>
  <c r="Y354" i="7"/>
  <c r="AO354" i="7"/>
  <c r="K354" i="7"/>
  <c r="Z354" i="7"/>
  <c r="L354" i="7"/>
  <c r="AA354" i="7"/>
  <c r="AP354" i="7"/>
  <c r="N354" i="7"/>
  <c r="AC354" i="7"/>
  <c r="AR354" i="7"/>
  <c r="AD354" i="7"/>
  <c r="AS354" i="7"/>
  <c r="O354" i="7"/>
  <c r="AE354" i="7"/>
  <c r="AT354" i="7"/>
  <c r="P354" i="7"/>
  <c r="AF354" i="7"/>
  <c r="AU354" i="7"/>
  <c r="Q354" i="7"/>
  <c r="R354" i="7"/>
  <c r="AG354" i="7"/>
  <c r="AV354" i="7"/>
  <c r="I354" i="8"/>
  <c r="X354" i="8"/>
  <c r="AM354" i="8"/>
  <c r="J354" i="8"/>
  <c r="Y354" i="8"/>
  <c r="AN354" i="8"/>
  <c r="L354" i="8"/>
  <c r="AA354" i="8"/>
  <c r="AP354" i="8"/>
  <c r="N354" i="8"/>
  <c r="AC354" i="8"/>
  <c r="AR354" i="8"/>
  <c r="P354" i="8"/>
  <c r="AE354" i="8"/>
  <c r="AT354" i="8"/>
  <c r="Q354" i="8"/>
  <c r="AF354" i="8"/>
  <c r="AU354" i="8"/>
  <c r="H354" i="8"/>
  <c r="W354" i="8"/>
  <c r="AL354" i="8"/>
  <c r="K354" i="8"/>
  <c r="Z354" i="8"/>
  <c r="AO354" i="8"/>
  <c r="M354" i="8"/>
  <c r="AB354" i="8"/>
  <c r="AQ354" i="8"/>
  <c r="O354" i="8"/>
  <c r="AD354" i="8"/>
  <c r="AS354" i="8"/>
  <c r="R354" i="8"/>
  <c r="AG354" i="8"/>
  <c r="AV354" i="8"/>
  <c r="AB354" i="7"/>
  <c r="AQ354" i="7"/>
  <c r="M354" i="7"/>
  <c r="D342" i="8"/>
  <c r="S342" i="8"/>
  <c r="AH342" i="8"/>
  <c r="E330" i="8"/>
  <c r="T330" i="8"/>
  <c r="AI330" i="8"/>
  <c r="D325" i="9"/>
  <c r="S325" i="9"/>
  <c r="AH325" i="9"/>
  <c r="D302" i="7"/>
  <c r="S302" i="7"/>
  <c r="AH302" i="7"/>
  <c r="G299" i="9"/>
  <c r="V299" i="9"/>
  <c r="AK299" i="9"/>
  <c r="G295" i="10"/>
  <c r="V295" i="10"/>
  <c r="AK295" i="10"/>
  <c r="D280" i="10"/>
  <c r="S280" i="10"/>
  <c r="AH280" i="10"/>
  <c r="E282" i="9"/>
  <c r="T282" i="9"/>
  <c r="AI282" i="9"/>
  <c r="C284" i="8"/>
  <c r="AY284" i="8"/>
  <c r="AW284" i="8"/>
  <c r="AX285" i="8"/>
  <c r="G285" i="8"/>
  <c r="V285" i="8"/>
  <c r="AK285" i="8"/>
  <c r="E274" i="10"/>
  <c r="T274" i="10"/>
  <c r="AI274" i="10"/>
  <c r="AY266" i="9"/>
  <c r="C266" i="9"/>
  <c r="AW266" i="9"/>
  <c r="AX267" i="9"/>
  <c r="F267" i="9"/>
  <c r="U267" i="9"/>
  <c r="AJ267" i="9"/>
  <c r="C256" i="10"/>
  <c r="AY256" i="10"/>
  <c r="AW256" i="10"/>
  <c r="AX257" i="10"/>
  <c r="F257" i="10"/>
  <c r="U257" i="10"/>
  <c r="AJ257" i="10"/>
  <c r="G196" i="7"/>
  <c r="V196" i="7"/>
  <c r="AK196" i="7"/>
  <c r="E162" i="7"/>
  <c r="T162" i="7"/>
  <c r="AI162" i="7"/>
  <c r="AY155" i="7"/>
  <c r="C155" i="7"/>
  <c r="AW155" i="7"/>
  <c r="AX156" i="7"/>
  <c r="F156" i="7"/>
  <c r="U156" i="7"/>
  <c r="AJ156" i="7"/>
  <c r="U299" i="8" l="1"/>
  <c r="AJ299" i="8"/>
  <c r="F299" i="8"/>
  <c r="H356" i="10"/>
  <c r="W356" i="10"/>
  <c r="AL356" i="10"/>
  <c r="I356" i="10"/>
  <c r="X356" i="10"/>
  <c r="AM356" i="10"/>
  <c r="J356" i="10"/>
  <c r="Y356" i="10"/>
  <c r="AN356" i="10"/>
  <c r="K356" i="10"/>
  <c r="Z356" i="10"/>
  <c r="AO356" i="10"/>
  <c r="L356" i="10"/>
  <c r="AA356" i="10"/>
  <c r="AP356" i="10"/>
  <c r="M356" i="10"/>
  <c r="AB356" i="10"/>
  <c r="AQ356" i="10"/>
  <c r="N356" i="10"/>
  <c r="AC356" i="10"/>
  <c r="AR356" i="10"/>
  <c r="O356" i="10"/>
  <c r="AD356" i="10"/>
  <c r="AS356" i="10"/>
  <c r="P356" i="10"/>
  <c r="AE356" i="10"/>
  <c r="AT356" i="10"/>
  <c r="Q356" i="10"/>
  <c r="AF356" i="10"/>
  <c r="AU356" i="10"/>
  <c r="R356" i="10"/>
  <c r="AG356" i="10"/>
  <c r="AV356" i="10"/>
  <c r="H356" i="9"/>
  <c r="W356" i="9"/>
  <c r="AL356" i="9"/>
  <c r="I356" i="9"/>
  <c r="X356" i="9"/>
  <c r="AM356" i="9"/>
  <c r="J356" i="9"/>
  <c r="Y356" i="9"/>
  <c r="AN356" i="9"/>
  <c r="K356" i="9"/>
  <c r="Z356" i="9"/>
  <c r="AO356" i="9"/>
  <c r="L356" i="9"/>
  <c r="AA356" i="9"/>
  <c r="AP356" i="9"/>
  <c r="M356" i="9"/>
  <c r="AB356" i="9"/>
  <c r="AQ356" i="9"/>
  <c r="N356" i="9"/>
  <c r="AC356" i="9"/>
  <c r="AR356" i="9"/>
  <c r="O356" i="9"/>
  <c r="AD356" i="9"/>
  <c r="AS356" i="9"/>
  <c r="P356" i="9"/>
  <c r="AE356" i="9"/>
  <c r="AT356" i="9"/>
  <c r="Q356" i="9"/>
  <c r="AF356" i="9"/>
  <c r="AU356" i="9"/>
  <c r="R356" i="9"/>
  <c r="AG356" i="9"/>
  <c r="AV356" i="9"/>
  <c r="H355" i="7"/>
  <c r="AL355" i="7"/>
  <c r="W355" i="7"/>
  <c r="I355" i="7"/>
  <c r="X355" i="7"/>
  <c r="AM355" i="7"/>
  <c r="J355" i="7"/>
  <c r="AN355" i="7"/>
  <c r="Y355" i="7"/>
  <c r="K355" i="7"/>
  <c r="Z355" i="7"/>
  <c r="AO355" i="7"/>
  <c r="AA355" i="7"/>
  <c r="L355" i="7"/>
  <c r="AP355" i="7"/>
  <c r="AR355" i="7"/>
  <c r="N355" i="7"/>
  <c r="AC355" i="7"/>
  <c r="AS355" i="7"/>
  <c r="O355" i="7"/>
  <c r="AD355" i="7"/>
  <c r="AT355" i="7"/>
  <c r="P355" i="7"/>
  <c r="AE355" i="7"/>
  <c r="Q355" i="7"/>
  <c r="AF355" i="7"/>
  <c r="AU355" i="7"/>
  <c r="R355" i="7"/>
  <c r="AG355" i="7"/>
  <c r="AV355" i="7"/>
  <c r="I355" i="8"/>
  <c r="X355" i="8"/>
  <c r="AM355" i="8"/>
  <c r="J355" i="8"/>
  <c r="Y355" i="8"/>
  <c r="AN355" i="8"/>
  <c r="L355" i="8"/>
  <c r="AA355" i="8"/>
  <c r="AP355" i="8"/>
  <c r="N355" i="8"/>
  <c r="AC355" i="8"/>
  <c r="AR355" i="8"/>
  <c r="P355" i="8"/>
  <c r="AE355" i="8"/>
  <c r="AT355" i="8"/>
  <c r="Q355" i="8"/>
  <c r="AF355" i="8"/>
  <c r="AU355" i="8"/>
  <c r="H355" i="8"/>
  <c r="W355" i="8"/>
  <c r="AL355" i="8"/>
  <c r="K355" i="8"/>
  <c r="Z355" i="8"/>
  <c r="AO355" i="8"/>
  <c r="M355" i="8"/>
  <c r="AB355" i="8"/>
  <c r="AQ355" i="8"/>
  <c r="O355" i="8"/>
  <c r="AD355" i="8"/>
  <c r="AS355" i="8"/>
  <c r="R355" i="8"/>
  <c r="AG355" i="8"/>
  <c r="AV355" i="8"/>
  <c r="AB355" i="7"/>
  <c r="M355" i="7"/>
  <c r="AQ355" i="7"/>
  <c r="D343" i="8"/>
  <c r="S343" i="8"/>
  <c r="AH343" i="8"/>
  <c r="E331" i="8"/>
  <c r="T331" i="8"/>
  <c r="AI331" i="8"/>
  <c r="D326" i="9"/>
  <c r="S326" i="9"/>
  <c r="AH326" i="9"/>
  <c r="D303" i="7"/>
  <c r="S303" i="7"/>
  <c r="AH303" i="7"/>
  <c r="G300" i="9"/>
  <c r="V300" i="9"/>
  <c r="AK300" i="9"/>
  <c r="V296" i="10"/>
  <c r="G296" i="10"/>
  <c r="AK296" i="10"/>
  <c r="D281" i="10"/>
  <c r="S281" i="10"/>
  <c r="AH281" i="10"/>
  <c r="E283" i="9"/>
  <c r="T283" i="9"/>
  <c r="AI283" i="9"/>
  <c r="AY285" i="8"/>
  <c r="C285" i="8"/>
  <c r="AX286" i="8"/>
  <c r="AW285" i="8"/>
  <c r="W98" i="2" s="1"/>
  <c r="G286" i="8"/>
  <c r="V286" i="8"/>
  <c r="AK286" i="8"/>
  <c r="E275" i="10"/>
  <c r="T275" i="10"/>
  <c r="AI275" i="10"/>
  <c r="AY267" i="9"/>
  <c r="C267" i="9"/>
  <c r="AW267" i="9"/>
  <c r="AX268" i="9"/>
  <c r="F268" i="9"/>
  <c r="U268" i="9"/>
  <c r="AJ268" i="9"/>
  <c r="C257" i="10"/>
  <c r="AY257" i="10"/>
  <c r="AX258" i="10"/>
  <c r="AW257" i="10"/>
  <c r="F258" i="10"/>
  <c r="U258" i="10"/>
  <c r="AJ258" i="10"/>
  <c r="G197" i="7"/>
  <c r="V197" i="7"/>
  <c r="AK197" i="7"/>
  <c r="E163" i="7"/>
  <c r="T163" i="7"/>
  <c r="AI163" i="7"/>
  <c r="AY156" i="7"/>
  <c r="C156" i="7"/>
  <c r="AW156" i="7"/>
  <c r="X55" i="2" s="1"/>
  <c r="AX157" i="7"/>
  <c r="F157" i="7"/>
  <c r="U157" i="7"/>
  <c r="AJ157" i="7"/>
  <c r="F300" i="8" l="1"/>
  <c r="AJ300" i="8"/>
  <c r="U300" i="8"/>
  <c r="H357" i="10"/>
  <c r="W357" i="10"/>
  <c r="AL357" i="10"/>
  <c r="I357" i="10"/>
  <c r="X357" i="10"/>
  <c r="AM357" i="10"/>
  <c r="J357" i="10"/>
  <c r="Y357" i="10"/>
  <c r="AN357" i="10"/>
  <c r="K357" i="10"/>
  <c r="Z357" i="10"/>
  <c r="AO357" i="10"/>
  <c r="L357" i="10"/>
  <c r="AA357" i="10"/>
  <c r="AP357" i="10"/>
  <c r="M357" i="10"/>
  <c r="AB357" i="10"/>
  <c r="AQ357" i="10"/>
  <c r="N357" i="10"/>
  <c r="AC357" i="10"/>
  <c r="AR357" i="10"/>
  <c r="O357" i="10"/>
  <c r="AD357" i="10"/>
  <c r="AS357" i="10"/>
  <c r="P357" i="10"/>
  <c r="AE357" i="10"/>
  <c r="AT357" i="10"/>
  <c r="Q357" i="10"/>
  <c r="AF357" i="10"/>
  <c r="AU357" i="10"/>
  <c r="R357" i="10"/>
  <c r="AG357" i="10"/>
  <c r="AV357" i="10"/>
  <c r="H357" i="9"/>
  <c r="W357" i="9"/>
  <c r="AL357" i="9"/>
  <c r="I357" i="9"/>
  <c r="X357" i="9"/>
  <c r="AM357" i="9"/>
  <c r="J357" i="9"/>
  <c r="Y357" i="9"/>
  <c r="AN357" i="9"/>
  <c r="K357" i="9"/>
  <c r="Z357" i="9"/>
  <c r="AO357" i="9"/>
  <c r="L357" i="9"/>
  <c r="AA357" i="9"/>
  <c r="AP357" i="9"/>
  <c r="M357" i="9"/>
  <c r="AB357" i="9"/>
  <c r="AQ357" i="9"/>
  <c r="N357" i="9"/>
  <c r="AC357" i="9"/>
  <c r="AR357" i="9"/>
  <c r="O357" i="9"/>
  <c r="AD357" i="9"/>
  <c r="AS357" i="9"/>
  <c r="P357" i="9"/>
  <c r="AE357" i="9"/>
  <c r="AT357" i="9"/>
  <c r="Q357" i="9"/>
  <c r="AF357" i="9"/>
  <c r="AU357" i="9"/>
  <c r="R357" i="9"/>
  <c r="AG357" i="9"/>
  <c r="AV357" i="9"/>
  <c r="H356" i="7"/>
  <c r="AL356" i="7"/>
  <c r="W356" i="7"/>
  <c r="I356" i="7"/>
  <c r="X356" i="7"/>
  <c r="AM356" i="7"/>
  <c r="J356" i="7"/>
  <c r="AN356" i="7"/>
  <c r="Y356" i="7"/>
  <c r="K356" i="7"/>
  <c r="Z356" i="7"/>
  <c r="AO356" i="7"/>
  <c r="AA356" i="7"/>
  <c r="AP356" i="7"/>
  <c r="L356" i="7"/>
  <c r="N356" i="7"/>
  <c r="AC356" i="7"/>
  <c r="AR356" i="7"/>
  <c r="O356" i="7"/>
  <c r="AD356" i="7"/>
  <c r="AS356" i="7"/>
  <c r="P356" i="7"/>
  <c r="AE356" i="7"/>
  <c r="AT356" i="7"/>
  <c r="Q356" i="7"/>
  <c r="AF356" i="7"/>
  <c r="AU356" i="7"/>
  <c r="R356" i="7"/>
  <c r="AG356" i="7"/>
  <c r="AV356" i="7"/>
  <c r="I356" i="8"/>
  <c r="X356" i="8"/>
  <c r="AM356" i="8"/>
  <c r="J356" i="8"/>
  <c r="Y356" i="8"/>
  <c r="AN356" i="8"/>
  <c r="L356" i="8"/>
  <c r="AA356" i="8"/>
  <c r="AP356" i="8"/>
  <c r="N356" i="8"/>
  <c r="AC356" i="8"/>
  <c r="AR356" i="8"/>
  <c r="P356" i="8"/>
  <c r="AE356" i="8"/>
  <c r="AT356" i="8"/>
  <c r="Q356" i="8"/>
  <c r="AF356" i="8"/>
  <c r="AU356" i="8"/>
  <c r="H356" i="8"/>
  <c r="W356" i="8"/>
  <c r="AL356" i="8"/>
  <c r="K356" i="8"/>
  <c r="Z356" i="8"/>
  <c r="AO356" i="8"/>
  <c r="M356" i="8"/>
  <c r="AB356" i="8"/>
  <c r="AQ356" i="8"/>
  <c r="O356" i="8"/>
  <c r="AD356" i="8"/>
  <c r="AS356" i="8"/>
  <c r="R356" i="8"/>
  <c r="AG356" i="8"/>
  <c r="AV356" i="8"/>
  <c r="AB356" i="7"/>
  <c r="M356" i="7"/>
  <c r="AQ356" i="7"/>
  <c r="D344" i="8"/>
  <c r="S344" i="8"/>
  <c r="AH344" i="8"/>
  <c r="E332" i="8"/>
  <c r="T332" i="8"/>
  <c r="AI332" i="8"/>
  <c r="D327" i="9"/>
  <c r="S327" i="9"/>
  <c r="AH327" i="9"/>
  <c r="D304" i="7"/>
  <c r="S304" i="7"/>
  <c r="AH304" i="7"/>
  <c r="G301" i="9"/>
  <c r="V301" i="9"/>
  <c r="AK301" i="9"/>
  <c r="G297" i="10"/>
  <c r="V297" i="10"/>
  <c r="AK297" i="10"/>
  <c r="D282" i="10"/>
  <c r="S282" i="10"/>
  <c r="AH282" i="10"/>
  <c r="E284" i="9"/>
  <c r="T284" i="9"/>
  <c r="AI284" i="9"/>
  <c r="AY286" i="8"/>
  <c r="C286" i="8"/>
  <c r="AW286" i="8"/>
  <c r="AX287" i="8"/>
  <c r="G287" i="8"/>
  <c r="V287" i="8"/>
  <c r="AK287" i="8"/>
  <c r="E276" i="10"/>
  <c r="T276" i="10"/>
  <c r="AI276" i="10"/>
  <c r="C268" i="9"/>
  <c r="AY268" i="9"/>
  <c r="AX269" i="9"/>
  <c r="AW268" i="9"/>
  <c r="F269" i="9"/>
  <c r="U269" i="9"/>
  <c r="AJ269" i="9"/>
  <c r="C258" i="10"/>
  <c r="AY258" i="10"/>
  <c r="AX259" i="10"/>
  <c r="AW258" i="10"/>
  <c r="F259" i="10"/>
  <c r="U259" i="10"/>
  <c r="AJ259" i="10"/>
  <c r="G198" i="7"/>
  <c r="V198" i="7"/>
  <c r="AK198" i="7"/>
  <c r="E164" i="7"/>
  <c r="T164" i="7"/>
  <c r="AI164" i="7"/>
  <c r="C157" i="7"/>
  <c r="AY157" i="7"/>
  <c r="AX158" i="7"/>
  <c r="AW157" i="7"/>
  <c r="F158" i="7"/>
  <c r="U158" i="7"/>
  <c r="AJ158" i="7"/>
  <c r="U301" i="8" l="1"/>
  <c r="F301" i="8"/>
  <c r="AJ301" i="8"/>
  <c r="H358" i="10"/>
  <c r="W358" i="10"/>
  <c r="AL358" i="10"/>
  <c r="I358" i="10"/>
  <c r="X358" i="10"/>
  <c r="AM358" i="10"/>
  <c r="J358" i="10"/>
  <c r="Y358" i="10"/>
  <c r="AN358" i="10"/>
  <c r="K358" i="10"/>
  <c r="Z358" i="10"/>
  <c r="AO358" i="10"/>
  <c r="L358" i="10"/>
  <c r="AA358" i="10"/>
  <c r="AP358" i="10"/>
  <c r="M358" i="10"/>
  <c r="AB358" i="10"/>
  <c r="AQ358" i="10"/>
  <c r="N358" i="10"/>
  <c r="AC358" i="10"/>
  <c r="AR358" i="10"/>
  <c r="O358" i="10"/>
  <c r="AD358" i="10"/>
  <c r="AS358" i="10"/>
  <c r="P358" i="10"/>
  <c r="AE358" i="10"/>
  <c r="AT358" i="10"/>
  <c r="Q358" i="10"/>
  <c r="AF358" i="10"/>
  <c r="AU358" i="10"/>
  <c r="R358" i="10"/>
  <c r="AG358" i="10"/>
  <c r="AV358" i="10"/>
  <c r="H358" i="9"/>
  <c r="W358" i="9"/>
  <c r="AL358" i="9"/>
  <c r="I358" i="9"/>
  <c r="X358" i="9"/>
  <c r="AM358" i="9"/>
  <c r="J358" i="9"/>
  <c r="Y358" i="9"/>
  <c r="AN358" i="9"/>
  <c r="K358" i="9"/>
  <c r="Z358" i="9"/>
  <c r="AO358" i="9"/>
  <c r="L358" i="9"/>
  <c r="AA358" i="9"/>
  <c r="AP358" i="9"/>
  <c r="M358" i="9"/>
  <c r="AB358" i="9"/>
  <c r="AQ358" i="9"/>
  <c r="N358" i="9"/>
  <c r="AC358" i="9"/>
  <c r="AR358" i="9"/>
  <c r="O358" i="9"/>
  <c r="AD358" i="9"/>
  <c r="AS358" i="9"/>
  <c r="P358" i="9"/>
  <c r="AE358" i="9"/>
  <c r="AT358" i="9"/>
  <c r="Q358" i="9"/>
  <c r="AF358" i="9"/>
  <c r="AU358" i="9"/>
  <c r="R358" i="9"/>
  <c r="AG358" i="9"/>
  <c r="AV358" i="9"/>
  <c r="H357" i="7"/>
  <c r="W357" i="7"/>
  <c r="AL357" i="7"/>
  <c r="AM357" i="7"/>
  <c r="I357" i="7"/>
  <c r="X357" i="7"/>
  <c r="Y357" i="7"/>
  <c r="J357" i="7"/>
  <c r="AN357" i="7"/>
  <c r="K357" i="7"/>
  <c r="AO357" i="7"/>
  <c r="Z357" i="7"/>
  <c r="L357" i="7"/>
  <c r="AP357" i="7"/>
  <c r="AA357" i="7"/>
  <c r="N357" i="7"/>
  <c r="AC357" i="7"/>
  <c r="AR357" i="7"/>
  <c r="AD357" i="7"/>
  <c r="AS357" i="7"/>
  <c r="O357" i="7"/>
  <c r="AT357" i="7"/>
  <c r="P357" i="7"/>
  <c r="AE357" i="7"/>
  <c r="AF357" i="7"/>
  <c r="AU357" i="7"/>
  <c r="Q357" i="7"/>
  <c r="AG357" i="7"/>
  <c r="R357" i="7"/>
  <c r="AV357" i="7"/>
  <c r="I357" i="8"/>
  <c r="X357" i="8"/>
  <c r="AM357" i="8"/>
  <c r="J357" i="8"/>
  <c r="Y357" i="8"/>
  <c r="AN357" i="8"/>
  <c r="L357" i="8"/>
  <c r="AA357" i="8"/>
  <c r="AP357" i="8"/>
  <c r="N357" i="8"/>
  <c r="AC357" i="8"/>
  <c r="AR357" i="8"/>
  <c r="P357" i="8"/>
  <c r="AE357" i="8"/>
  <c r="AT357" i="8"/>
  <c r="Q357" i="8"/>
  <c r="AF357" i="8"/>
  <c r="AU357" i="8"/>
  <c r="H357" i="8"/>
  <c r="W357" i="8"/>
  <c r="AL357" i="8"/>
  <c r="K357" i="8"/>
  <c r="Z357" i="8"/>
  <c r="AO357" i="8"/>
  <c r="M357" i="8"/>
  <c r="AB357" i="8"/>
  <c r="AQ357" i="8"/>
  <c r="O357" i="8"/>
  <c r="AD357" i="8"/>
  <c r="AS357" i="8"/>
  <c r="R357" i="8"/>
  <c r="AG357" i="8"/>
  <c r="AV357" i="8"/>
  <c r="M357" i="7"/>
  <c r="AB357" i="7"/>
  <c r="AQ357" i="7"/>
  <c r="D345" i="8"/>
  <c r="S345" i="8"/>
  <c r="AH345" i="8"/>
  <c r="E333" i="8"/>
  <c r="T333" i="8"/>
  <c r="AI333" i="8"/>
  <c r="D328" i="9"/>
  <c r="AH328" i="9"/>
  <c r="S328" i="9"/>
  <c r="D305" i="7"/>
  <c r="S305" i="7"/>
  <c r="AH305" i="7"/>
  <c r="G302" i="9"/>
  <c r="V302" i="9"/>
  <c r="AK302" i="9"/>
  <c r="G298" i="10"/>
  <c r="V298" i="10"/>
  <c r="AK298" i="10"/>
  <c r="D283" i="10"/>
  <c r="S283" i="10"/>
  <c r="AH283" i="10"/>
  <c r="E285" i="9"/>
  <c r="T285" i="9"/>
  <c r="AI285" i="9"/>
  <c r="C287" i="8"/>
  <c r="AY287" i="8"/>
  <c r="AX288" i="8"/>
  <c r="AW287" i="8"/>
  <c r="G288" i="8"/>
  <c r="AK288" i="8"/>
  <c r="V288" i="8"/>
  <c r="E277" i="10"/>
  <c r="T277" i="10"/>
  <c r="AI277" i="10"/>
  <c r="C269" i="9"/>
  <c r="AY269" i="9"/>
  <c r="AX270" i="9"/>
  <c r="AW269" i="9"/>
  <c r="F270" i="9"/>
  <c r="U270" i="9"/>
  <c r="AJ270" i="9"/>
  <c r="C259" i="10"/>
  <c r="AY259" i="10"/>
  <c r="AW259" i="10"/>
  <c r="AX260" i="10"/>
  <c r="F260" i="10"/>
  <c r="U260" i="10"/>
  <c r="AJ260" i="10"/>
  <c r="G199" i="7"/>
  <c r="V199" i="7"/>
  <c r="AK199" i="7"/>
  <c r="E165" i="7"/>
  <c r="T165" i="7"/>
  <c r="AI165" i="7"/>
  <c r="AY158" i="7"/>
  <c r="C158" i="7"/>
  <c r="AX159" i="7"/>
  <c r="AW158" i="7"/>
  <c r="F159" i="7"/>
  <c r="U159" i="7"/>
  <c r="AJ159" i="7"/>
  <c r="AJ302" i="8" l="1"/>
  <c r="F302" i="8"/>
  <c r="U302" i="8"/>
  <c r="H359" i="10"/>
  <c r="W359" i="10"/>
  <c r="AL359" i="10"/>
  <c r="I359" i="10"/>
  <c r="X359" i="10"/>
  <c r="AM359" i="10"/>
  <c r="J359" i="10"/>
  <c r="Y359" i="10"/>
  <c r="AN359" i="10"/>
  <c r="K359" i="10"/>
  <c r="Z359" i="10"/>
  <c r="AO359" i="10"/>
  <c r="L359" i="10"/>
  <c r="AA359" i="10"/>
  <c r="AP359" i="10"/>
  <c r="M359" i="10"/>
  <c r="AB359" i="10"/>
  <c r="AQ359" i="10"/>
  <c r="N359" i="10"/>
  <c r="AC359" i="10"/>
  <c r="AR359" i="10"/>
  <c r="O359" i="10"/>
  <c r="AD359" i="10"/>
  <c r="AS359" i="10"/>
  <c r="P359" i="10"/>
  <c r="AE359" i="10"/>
  <c r="AT359" i="10"/>
  <c r="Q359" i="10"/>
  <c r="AF359" i="10"/>
  <c r="AU359" i="10"/>
  <c r="R359" i="10"/>
  <c r="AG359" i="10"/>
  <c r="AV359" i="10"/>
  <c r="H359" i="9"/>
  <c r="W359" i="9"/>
  <c r="AL359" i="9"/>
  <c r="I359" i="9"/>
  <c r="X359" i="9"/>
  <c r="AM359" i="9"/>
  <c r="J359" i="9"/>
  <c r="Y359" i="9"/>
  <c r="AN359" i="9"/>
  <c r="K359" i="9"/>
  <c r="Z359" i="9"/>
  <c r="AO359" i="9"/>
  <c r="L359" i="9"/>
  <c r="AA359" i="9"/>
  <c r="AP359" i="9"/>
  <c r="M359" i="9"/>
  <c r="AB359" i="9"/>
  <c r="AQ359" i="9"/>
  <c r="N359" i="9"/>
  <c r="AC359" i="9"/>
  <c r="AR359" i="9"/>
  <c r="O359" i="9"/>
  <c r="AD359" i="9"/>
  <c r="AS359" i="9"/>
  <c r="P359" i="9"/>
  <c r="AE359" i="9"/>
  <c r="AT359" i="9"/>
  <c r="Q359" i="9"/>
  <c r="AF359" i="9"/>
  <c r="AU359" i="9"/>
  <c r="R359" i="9"/>
  <c r="AG359" i="9"/>
  <c r="AV359" i="9"/>
  <c r="W358" i="7"/>
  <c r="AL358" i="7"/>
  <c r="H358" i="7"/>
  <c r="AM358" i="7"/>
  <c r="I358" i="7"/>
  <c r="X358" i="7"/>
  <c r="AN358" i="7"/>
  <c r="J358" i="7"/>
  <c r="Y358" i="7"/>
  <c r="AO358" i="7"/>
  <c r="K358" i="7"/>
  <c r="Z358" i="7"/>
  <c r="L358" i="7"/>
  <c r="AA358" i="7"/>
  <c r="AP358" i="7"/>
  <c r="AC358" i="7"/>
  <c r="AR358" i="7"/>
  <c r="N358" i="7"/>
  <c r="AD358" i="7"/>
  <c r="AS358" i="7"/>
  <c r="O358" i="7"/>
  <c r="AE358" i="7"/>
  <c r="AT358" i="7"/>
  <c r="P358" i="7"/>
  <c r="AU358" i="7"/>
  <c r="Q358" i="7"/>
  <c r="AF358" i="7"/>
  <c r="R358" i="7"/>
  <c r="AG358" i="7"/>
  <c r="AV358" i="7"/>
  <c r="I358" i="8"/>
  <c r="X358" i="8"/>
  <c r="AM358" i="8"/>
  <c r="J358" i="8"/>
  <c r="Y358" i="8"/>
  <c r="AN358" i="8"/>
  <c r="L358" i="8"/>
  <c r="AA358" i="8"/>
  <c r="AP358" i="8"/>
  <c r="N358" i="8"/>
  <c r="AC358" i="8"/>
  <c r="AR358" i="8"/>
  <c r="P358" i="8"/>
  <c r="AE358" i="8"/>
  <c r="AT358" i="8"/>
  <c r="Q358" i="8"/>
  <c r="AF358" i="8"/>
  <c r="AU358" i="8"/>
  <c r="H358" i="8"/>
  <c r="W358" i="8"/>
  <c r="AL358" i="8"/>
  <c r="K358" i="8"/>
  <c r="Z358" i="8"/>
  <c r="AO358" i="8"/>
  <c r="M358" i="8"/>
  <c r="AB358" i="8"/>
  <c r="AQ358" i="8"/>
  <c r="O358" i="8"/>
  <c r="AD358" i="8"/>
  <c r="AS358" i="8"/>
  <c r="R358" i="8"/>
  <c r="AG358" i="8"/>
  <c r="AV358" i="8"/>
  <c r="M358" i="7"/>
  <c r="AB358" i="7"/>
  <c r="AQ358" i="7"/>
  <c r="D346" i="8"/>
  <c r="S346" i="8"/>
  <c r="AH346" i="8"/>
  <c r="E334" i="8"/>
  <c r="T334" i="8"/>
  <c r="AI334" i="8"/>
  <c r="D329" i="9"/>
  <c r="S329" i="9"/>
  <c r="AH329" i="9"/>
  <c r="D306" i="7"/>
  <c r="S306" i="7"/>
  <c r="AH306" i="7"/>
  <c r="G303" i="9"/>
  <c r="V303" i="9"/>
  <c r="AK303" i="9"/>
  <c r="G299" i="10"/>
  <c r="V299" i="10"/>
  <c r="AK299" i="10"/>
  <c r="D284" i="10"/>
  <c r="S284" i="10"/>
  <c r="AH284" i="10"/>
  <c r="E286" i="9"/>
  <c r="T286" i="9"/>
  <c r="AI286" i="9"/>
  <c r="AY288" i="8"/>
  <c r="C288" i="8"/>
  <c r="AX289" i="8"/>
  <c r="AW288" i="8"/>
  <c r="W99" i="2" s="1"/>
  <c r="G289" i="8"/>
  <c r="V289" i="8"/>
  <c r="AK289" i="8"/>
  <c r="E278" i="10"/>
  <c r="T278" i="10"/>
  <c r="AI278" i="10"/>
  <c r="AY270" i="9"/>
  <c r="C270" i="9"/>
  <c r="AX271" i="9"/>
  <c r="AW270" i="9"/>
  <c r="F271" i="9"/>
  <c r="U271" i="9"/>
  <c r="AJ271" i="9"/>
  <c r="C260" i="10"/>
  <c r="AY260" i="10"/>
  <c r="AW260" i="10"/>
  <c r="AX261" i="10"/>
  <c r="F261" i="10"/>
  <c r="U261" i="10"/>
  <c r="AJ261" i="10"/>
  <c r="G200" i="7"/>
  <c r="V200" i="7"/>
  <c r="AK200" i="7"/>
  <c r="E166" i="7"/>
  <c r="T166" i="7"/>
  <c r="AI166" i="7"/>
  <c r="AY159" i="7"/>
  <c r="C159" i="7"/>
  <c r="AW159" i="7"/>
  <c r="X56" i="2" s="1"/>
  <c r="AX160" i="7"/>
  <c r="F160" i="7"/>
  <c r="U160" i="7"/>
  <c r="AJ160" i="7"/>
  <c r="U303" i="8" l="1"/>
  <c r="F303" i="8"/>
  <c r="AJ303" i="8"/>
  <c r="H360" i="10"/>
  <c r="W360" i="10"/>
  <c r="AL360" i="10"/>
  <c r="I360" i="10"/>
  <c r="X360" i="10"/>
  <c r="AM360" i="10"/>
  <c r="J360" i="10"/>
  <c r="Y360" i="10"/>
  <c r="AN360" i="10"/>
  <c r="K360" i="10"/>
  <c r="Z360" i="10"/>
  <c r="AO360" i="10"/>
  <c r="L360" i="10"/>
  <c r="AA360" i="10"/>
  <c r="AP360" i="10"/>
  <c r="M360" i="10"/>
  <c r="AB360" i="10"/>
  <c r="AQ360" i="10"/>
  <c r="N360" i="10"/>
  <c r="AC360" i="10"/>
  <c r="AR360" i="10"/>
  <c r="O360" i="10"/>
  <c r="AD360" i="10"/>
  <c r="AS360" i="10"/>
  <c r="P360" i="10"/>
  <c r="AE360" i="10"/>
  <c r="AT360" i="10"/>
  <c r="Q360" i="10"/>
  <c r="AF360" i="10"/>
  <c r="AU360" i="10"/>
  <c r="R360" i="10"/>
  <c r="AG360" i="10"/>
  <c r="AV360" i="10"/>
  <c r="H360" i="9"/>
  <c r="W360" i="9"/>
  <c r="AL360" i="9"/>
  <c r="I360" i="9"/>
  <c r="X360" i="9"/>
  <c r="AM360" i="9"/>
  <c r="J360" i="9"/>
  <c r="Y360" i="9"/>
  <c r="AN360" i="9"/>
  <c r="K360" i="9"/>
  <c r="Z360" i="9"/>
  <c r="AO360" i="9"/>
  <c r="L360" i="9"/>
  <c r="AA360" i="9"/>
  <c r="AP360" i="9"/>
  <c r="M360" i="9"/>
  <c r="AB360" i="9"/>
  <c r="AQ360" i="9"/>
  <c r="N360" i="9"/>
  <c r="AC360" i="9"/>
  <c r="AR360" i="9"/>
  <c r="O360" i="9"/>
  <c r="AD360" i="9"/>
  <c r="AS360" i="9"/>
  <c r="P360" i="9"/>
  <c r="AE360" i="9"/>
  <c r="AT360" i="9"/>
  <c r="Q360" i="9"/>
  <c r="AF360" i="9"/>
  <c r="AU360" i="9"/>
  <c r="R360" i="9"/>
  <c r="AG360" i="9"/>
  <c r="AV360" i="9"/>
  <c r="W359" i="7"/>
  <c r="AL359" i="7"/>
  <c r="H359" i="7"/>
  <c r="AM359" i="7"/>
  <c r="I359" i="7"/>
  <c r="X359" i="7"/>
  <c r="AN359" i="7"/>
  <c r="J359" i="7"/>
  <c r="Y359" i="7"/>
  <c r="Z359" i="7"/>
  <c r="K359" i="7"/>
  <c r="AO359" i="7"/>
  <c r="L359" i="7"/>
  <c r="AA359" i="7"/>
  <c r="AP359" i="7"/>
  <c r="N359" i="7"/>
  <c r="AC359" i="7"/>
  <c r="AR359" i="7"/>
  <c r="AD359" i="7"/>
  <c r="O359" i="7"/>
  <c r="AS359" i="7"/>
  <c r="AE359" i="7"/>
  <c r="P359" i="7"/>
  <c r="AT359" i="7"/>
  <c r="Q359" i="7"/>
  <c r="AF359" i="7"/>
  <c r="AU359" i="7"/>
  <c r="R359" i="7"/>
  <c r="AV359" i="7"/>
  <c r="AG359" i="7"/>
  <c r="I359" i="8"/>
  <c r="X359" i="8"/>
  <c r="AM359" i="8"/>
  <c r="J359" i="8"/>
  <c r="Y359" i="8"/>
  <c r="AN359" i="8"/>
  <c r="L359" i="8"/>
  <c r="AA359" i="8"/>
  <c r="AP359" i="8"/>
  <c r="N359" i="8"/>
  <c r="AC359" i="8"/>
  <c r="AR359" i="8"/>
  <c r="P359" i="8"/>
  <c r="AE359" i="8"/>
  <c r="AT359" i="8"/>
  <c r="Q359" i="8"/>
  <c r="AF359" i="8"/>
  <c r="AU359" i="8"/>
  <c r="H359" i="8"/>
  <c r="W359" i="8"/>
  <c r="AL359" i="8"/>
  <c r="K359" i="8"/>
  <c r="Z359" i="8"/>
  <c r="AO359" i="8"/>
  <c r="M359" i="8"/>
  <c r="AB359" i="8"/>
  <c r="AQ359" i="8"/>
  <c r="O359" i="8"/>
  <c r="AD359" i="8"/>
  <c r="AS359" i="8"/>
  <c r="R359" i="8"/>
  <c r="AG359" i="8"/>
  <c r="AV359" i="8"/>
  <c r="M359" i="7"/>
  <c r="AB359" i="7"/>
  <c r="AQ359" i="7"/>
  <c r="D347" i="8"/>
  <c r="S347" i="8"/>
  <c r="AH347" i="8"/>
  <c r="E335" i="8"/>
  <c r="T335" i="8"/>
  <c r="AI335" i="8"/>
  <c r="D330" i="9"/>
  <c r="S330" i="9"/>
  <c r="AH330" i="9"/>
  <c r="D307" i="7"/>
  <c r="S307" i="7"/>
  <c r="AH307" i="7"/>
  <c r="G304" i="9"/>
  <c r="V304" i="9"/>
  <c r="AK304" i="9"/>
  <c r="G300" i="10"/>
  <c r="V300" i="10"/>
  <c r="AK300" i="10"/>
  <c r="D285" i="10"/>
  <c r="S285" i="10"/>
  <c r="AH285" i="10"/>
  <c r="E287" i="9"/>
  <c r="T287" i="9"/>
  <c r="AI287" i="9"/>
  <c r="C289" i="8"/>
  <c r="AY289" i="8"/>
  <c r="AW289" i="8"/>
  <c r="AX290" i="8"/>
  <c r="G290" i="8"/>
  <c r="AK290" i="8"/>
  <c r="V290" i="8"/>
  <c r="E279" i="10"/>
  <c r="T279" i="10"/>
  <c r="AI279" i="10"/>
  <c r="C271" i="9"/>
  <c r="AY271" i="9"/>
  <c r="AX272" i="9"/>
  <c r="AW271" i="9"/>
  <c r="F272" i="9"/>
  <c r="U272" i="9"/>
  <c r="AJ272" i="9"/>
  <c r="C261" i="10"/>
  <c r="AY261" i="10"/>
  <c r="AX262" i="10"/>
  <c r="AW261" i="10"/>
  <c r="F262" i="10"/>
  <c r="U262" i="10"/>
  <c r="AJ262" i="10"/>
  <c r="G201" i="7"/>
  <c r="V201" i="7"/>
  <c r="AK201" i="7"/>
  <c r="E167" i="7"/>
  <c r="T167" i="7"/>
  <c r="AI167" i="7"/>
  <c r="AY160" i="7"/>
  <c r="C160" i="7"/>
  <c r="AX161" i="7"/>
  <c r="AW160" i="7"/>
  <c r="F161" i="7"/>
  <c r="U161" i="7"/>
  <c r="AJ161" i="7"/>
  <c r="AJ304" i="8" l="1"/>
  <c r="U304" i="8"/>
  <c r="F304" i="8"/>
  <c r="H361" i="10"/>
  <c r="W361" i="10"/>
  <c r="AL361" i="10"/>
  <c r="I361" i="10"/>
  <c r="X361" i="10"/>
  <c r="AM361" i="10"/>
  <c r="J361" i="10"/>
  <c r="Y361" i="10"/>
  <c r="AN361" i="10"/>
  <c r="K361" i="10"/>
  <c r="Z361" i="10"/>
  <c r="AO361" i="10"/>
  <c r="L361" i="10"/>
  <c r="AA361" i="10"/>
  <c r="AP361" i="10"/>
  <c r="M361" i="10"/>
  <c r="AB361" i="10"/>
  <c r="AQ361" i="10"/>
  <c r="N361" i="10"/>
  <c r="AC361" i="10"/>
  <c r="AR361" i="10"/>
  <c r="O361" i="10"/>
  <c r="AD361" i="10"/>
  <c r="AS361" i="10"/>
  <c r="P361" i="10"/>
  <c r="AE361" i="10"/>
  <c r="AT361" i="10"/>
  <c r="Q361" i="10"/>
  <c r="AF361" i="10"/>
  <c r="AU361" i="10"/>
  <c r="R361" i="10"/>
  <c r="AG361" i="10"/>
  <c r="AV361" i="10"/>
  <c r="H361" i="9"/>
  <c r="W361" i="9"/>
  <c r="AL361" i="9"/>
  <c r="I361" i="9"/>
  <c r="X361" i="9"/>
  <c r="AM361" i="9"/>
  <c r="J361" i="9"/>
  <c r="Y361" i="9"/>
  <c r="AN361" i="9"/>
  <c r="K361" i="9"/>
  <c r="Z361" i="9"/>
  <c r="AO361" i="9"/>
  <c r="L361" i="9"/>
  <c r="AA361" i="9"/>
  <c r="AP361" i="9"/>
  <c r="M361" i="9"/>
  <c r="AB361" i="9"/>
  <c r="AQ361" i="9"/>
  <c r="N361" i="9"/>
  <c r="AC361" i="9"/>
  <c r="AR361" i="9"/>
  <c r="O361" i="9"/>
  <c r="AD361" i="9"/>
  <c r="AS361" i="9"/>
  <c r="P361" i="9"/>
  <c r="AE361" i="9"/>
  <c r="AT361" i="9"/>
  <c r="Q361" i="9"/>
  <c r="AF361" i="9"/>
  <c r="AU361" i="9"/>
  <c r="R361" i="9"/>
  <c r="AG361" i="9"/>
  <c r="AV361" i="9"/>
  <c r="H360" i="7"/>
  <c r="W360" i="7"/>
  <c r="AL360" i="7"/>
  <c r="I360" i="7"/>
  <c r="X360" i="7"/>
  <c r="AM360" i="7"/>
  <c r="J360" i="7"/>
  <c r="Y360" i="7"/>
  <c r="AN360" i="7"/>
  <c r="K360" i="7"/>
  <c r="Z360" i="7"/>
  <c r="AO360" i="7"/>
  <c r="AA360" i="7"/>
  <c r="L360" i="7"/>
  <c r="AP360" i="7"/>
  <c r="N360" i="7"/>
  <c r="AC360" i="7"/>
  <c r="AR360" i="7"/>
  <c r="O360" i="7"/>
  <c r="AD360" i="7"/>
  <c r="AS360" i="7"/>
  <c r="P360" i="7"/>
  <c r="AE360" i="7"/>
  <c r="AT360" i="7"/>
  <c r="AU360" i="7"/>
  <c r="Q360" i="7"/>
  <c r="AF360" i="7"/>
  <c r="R360" i="7"/>
  <c r="AG360" i="7"/>
  <c r="AV360" i="7"/>
  <c r="I360" i="8"/>
  <c r="X360" i="8"/>
  <c r="AM360" i="8"/>
  <c r="J360" i="8"/>
  <c r="Y360" i="8"/>
  <c r="AN360" i="8"/>
  <c r="L360" i="8"/>
  <c r="AA360" i="8"/>
  <c r="AP360" i="8"/>
  <c r="N360" i="8"/>
  <c r="AC360" i="8"/>
  <c r="AR360" i="8"/>
  <c r="P360" i="8"/>
  <c r="AE360" i="8"/>
  <c r="AT360" i="8"/>
  <c r="Q360" i="8"/>
  <c r="AF360" i="8"/>
  <c r="AU360" i="8"/>
  <c r="H360" i="8"/>
  <c r="W360" i="8"/>
  <c r="AL360" i="8"/>
  <c r="K360" i="8"/>
  <c r="Z360" i="8"/>
  <c r="AO360" i="8"/>
  <c r="M360" i="8"/>
  <c r="AB360" i="8"/>
  <c r="AQ360" i="8"/>
  <c r="O360" i="8"/>
  <c r="AD360" i="8"/>
  <c r="AS360" i="8"/>
  <c r="R360" i="8"/>
  <c r="AG360" i="8"/>
  <c r="AV360" i="8"/>
  <c r="M360" i="7"/>
  <c r="AB360" i="7"/>
  <c r="AQ360" i="7"/>
  <c r="D348" i="8"/>
  <c r="S348" i="8"/>
  <c r="AH348" i="8"/>
  <c r="E336" i="8"/>
  <c r="T336" i="8"/>
  <c r="AI336" i="8"/>
  <c r="D331" i="9"/>
  <c r="S331" i="9"/>
  <c r="AH331" i="9"/>
  <c r="D308" i="7"/>
  <c r="S308" i="7"/>
  <c r="AH308" i="7"/>
  <c r="G305" i="9"/>
  <c r="V305" i="9"/>
  <c r="AK305" i="9"/>
  <c r="V301" i="10"/>
  <c r="AK301" i="10"/>
  <c r="G301" i="10"/>
  <c r="D286" i="10"/>
  <c r="S286" i="10"/>
  <c r="AH286" i="10"/>
  <c r="E288" i="9"/>
  <c r="T288" i="9"/>
  <c r="AI288" i="9"/>
  <c r="C290" i="8"/>
  <c r="AY290" i="8"/>
  <c r="AX291" i="8"/>
  <c r="AW290" i="8"/>
  <c r="G291" i="8"/>
  <c r="V291" i="8"/>
  <c r="AK291" i="8"/>
  <c r="E280" i="10"/>
  <c r="T280" i="10"/>
  <c r="AI280" i="10"/>
  <c r="C272" i="9"/>
  <c r="AY272" i="9"/>
  <c r="AW272" i="9"/>
  <c r="AX273" i="9"/>
  <c r="F273" i="9"/>
  <c r="U273" i="9"/>
  <c r="AJ273" i="9"/>
  <c r="C262" i="10"/>
  <c r="AY262" i="10"/>
  <c r="AX263" i="10"/>
  <c r="AW262" i="10"/>
  <c r="F263" i="10"/>
  <c r="U263" i="10"/>
  <c r="AJ263" i="10"/>
  <c r="G202" i="7"/>
  <c r="V202" i="7"/>
  <c r="AK202" i="7"/>
  <c r="E168" i="7"/>
  <c r="T168" i="7"/>
  <c r="AI168" i="7"/>
  <c r="AY161" i="7"/>
  <c r="C161" i="7"/>
  <c r="AW161" i="7"/>
  <c r="AX162" i="7"/>
  <c r="F162" i="7"/>
  <c r="U162" i="7"/>
  <c r="AJ162" i="7"/>
  <c r="AJ305" i="8" l="1"/>
  <c r="F305" i="8"/>
  <c r="U305" i="8"/>
  <c r="H362" i="10"/>
  <c r="W362" i="10"/>
  <c r="AL362" i="10"/>
  <c r="I362" i="10"/>
  <c r="X362" i="10"/>
  <c r="AM362" i="10"/>
  <c r="J362" i="10"/>
  <c r="Y362" i="10"/>
  <c r="AN362" i="10"/>
  <c r="K362" i="10"/>
  <c r="Z362" i="10"/>
  <c r="AO362" i="10"/>
  <c r="L362" i="10"/>
  <c r="AA362" i="10"/>
  <c r="AP362" i="10"/>
  <c r="M362" i="10"/>
  <c r="AB362" i="10"/>
  <c r="AQ362" i="10"/>
  <c r="N362" i="10"/>
  <c r="AC362" i="10"/>
  <c r="AR362" i="10"/>
  <c r="O362" i="10"/>
  <c r="AD362" i="10"/>
  <c r="AS362" i="10"/>
  <c r="P362" i="10"/>
  <c r="AE362" i="10"/>
  <c r="AT362" i="10"/>
  <c r="Q362" i="10"/>
  <c r="AF362" i="10"/>
  <c r="AU362" i="10"/>
  <c r="R362" i="10"/>
  <c r="AG362" i="10"/>
  <c r="AV362" i="10"/>
  <c r="H362" i="9"/>
  <c r="W362" i="9"/>
  <c r="AL362" i="9"/>
  <c r="I362" i="9"/>
  <c r="X362" i="9"/>
  <c r="AM362" i="9"/>
  <c r="J362" i="9"/>
  <c r="Y362" i="9"/>
  <c r="AN362" i="9"/>
  <c r="K362" i="9"/>
  <c r="Z362" i="9"/>
  <c r="AO362" i="9"/>
  <c r="L362" i="9"/>
  <c r="AA362" i="9"/>
  <c r="AP362" i="9"/>
  <c r="M362" i="9"/>
  <c r="AB362" i="9"/>
  <c r="AQ362" i="9"/>
  <c r="N362" i="9"/>
  <c r="AC362" i="9"/>
  <c r="AR362" i="9"/>
  <c r="O362" i="9"/>
  <c r="AD362" i="9"/>
  <c r="AS362" i="9"/>
  <c r="P362" i="9"/>
  <c r="AE362" i="9"/>
  <c r="AT362" i="9"/>
  <c r="Q362" i="9"/>
  <c r="AF362" i="9"/>
  <c r="AU362" i="9"/>
  <c r="R362" i="9"/>
  <c r="AG362" i="9"/>
  <c r="AV362" i="9"/>
  <c r="AL361" i="7"/>
  <c r="H361" i="7"/>
  <c r="W361" i="7"/>
  <c r="I361" i="7"/>
  <c r="X361" i="7"/>
  <c r="AM361" i="7"/>
  <c r="Y361" i="7"/>
  <c r="J361" i="7"/>
  <c r="AN361" i="7"/>
  <c r="K361" i="7"/>
  <c r="Z361" i="7"/>
  <c r="AO361" i="7"/>
  <c r="L361" i="7"/>
  <c r="AA361" i="7"/>
  <c r="AP361" i="7"/>
  <c r="N361" i="7"/>
  <c r="AC361" i="7"/>
  <c r="AR361" i="7"/>
  <c r="AD361" i="7"/>
  <c r="O361" i="7"/>
  <c r="AS361" i="7"/>
  <c r="P361" i="7"/>
  <c r="AT361" i="7"/>
  <c r="AE361" i="7"/>
  <c r="Q361" i="7"/>
  <c r="AF361" i="7"/>
  <c r="AU361" i="7"/>
  <c r="R361" i="7"/>
  <c r="AG361" i="7"/>
  <c r="AV361" i="7"/>
  <c r="I361" i="8"/>
  <c r="X361" i="8"/>
  <c r="AM361" i="8"/>
  <c r="J361" i="8"/>
  <c r="Y361" i="8"/>
  <c r="AN361" i="8"/>
  <c r="L361" i="8"/>
  <c r="AA361" i="8"/>
  <c r="AP361" i="8"/>
  <c r="N361" i="8"/>
  <c r="AC361" i="8"/>
  <c r="AR361" i="8"/>
  <c r="P361" i="8"/>
  <c r="AE361" i="8"/>
  <c r="AT361" i="8"/>
  <c r="Q361" i="8"/>
  <c r="AF361" i="8"/>
  <c r="AU361" i="8"/>
  <c r="H361" i="8"/>
  <c r="W361" i="8"/>
  <c r="AL361" i="8"/>
  <c r="K361" i="8"/>
  <c r="Z361" i="8"/>
  <c r="AO361" i="8"/>
  <c r="M361" i="8"/>
  <c r="AB361" i="8"/>
  <c r="AQ361" i="8"/>
  <c r="O361" i="8"/>
  <c r="AD361" i="8"/>
  <c r="AS361" i="8"/>
  <c r="R361" i="8"/>
  <c r="AG361" i="8"/>
  <c r="AV361" i="8"/>
  <c r="M361" i="7"/>
  <c r="AB361" i="7"/>
  <c r="AQ361" i="7"/>
  <c r="D349" i="8"/>
  <c r="S349" i="8"/>
  <c r="AH349" i="8"/>
  <c r="E337" i="8"/>
  <c r="T337" i="8"/>
  <c r="AI337" i="8"/>
  <c r="D332" i="9"/>
  <c r="S332" i="9"/>
  <c r="AH332" i="9"/>
  <c r="D309" i="7"/>
  <c r="S309" i="7"/>
  <c r="AH309" i="7"/>
  <c r="G306" i="9"/>
  <c r="V306" i="9"/>
  <c r="AK306" i="9"/>
  <c r="G302" i="10"/>
  <c r="V302" i="10"/>
  <c r="AK302" i="10"/>
  <c r="D287" i="10"/>
  <c r="S287" i="10"/>
  <c r="AH287" i="10"/>
  <c r="E289" i="9"/>
  <c r="T289" i="9"/>
  <c r="AI289" i="9"/>
  <c r="C291" i="8"/>
  <c r="AY291" i="8"/>
  <c r="AX292" i="8"/>
  <c r="AW291" i="8"/>
  <c r="W100" i="2" s="1"/>
  <c r="G292" i="8"/>
  <c r="V292" i="8"/>
  <c r="AK292" i="8"/>
  <c r="E281" i="10"/>
  <c r="T281" i="10"/>
  <c r="AI281" i="10"/>
  <c r="C273" i="9"/>
  <c r="AY273" i="9"/>
  <c r="AX274" i="9"/>
  <c r="AW273" i="9"/>
  <c r="F274" i="9"/>
  <c r="U274" i="9"/>
  <c r="AJ274" i="9"/>
  <c r="AY263" i="10"/>
  <c r="C263" i="10"/>
  <c r="AW263" i="10"/>
  <c r="AX264" i="10"/>
  <c r="F264" i="10"/>
  <c r="U264" i="10"/>
  <c r="AJ264" i="10"/>
  <c r="G203" i="7"/>
  <c r="V203" i="7"/>
  <c r="AK203" i="7"/>
  <c r="E169" i="7"/>
  <c r="T169" i="7"/>
  <c r="AI169" i="7"/>
  <c r="AY162" i="7"/>
  <c r="C162" i="7"/>
  <c r="AX163" i="7"/>
  <c r="AW162" i="7"/>
  <c r="X57" i="2" s="1"/>
  <c r="F163" i="7"/>
  <c r="U163" i="7"/>
  <c r="AJ163" i="7"/>
  <c r="U306" i="8" l="1"/>
  <c r="AJ306" i="8"/>
  <c r="F306" i="8"/>
  <c r="H363" i="10"/>
  <c r="W363" i="10"/>
  <c r="AL363" i="10"/>
  <c r="I363" i="10"/>
  <c r="X363" i="10"/>
  <c r="AM363" i="10"/>
  <c r="J363" i="10"/>
  <c r="Y363" i="10"/>
  <c r="AN363" i="10"/>
  <c r="K363" i="10"/>
  <c r="Z363" i="10"/>
  <c r="AO363" i="10"/>
  <c r="L363" i="10"/>
  <c r="AA363" i="10"/>
  <c r="AP363" i="10"/>
  <c r="M363" i="10"/>
  <c r="AB363" i="10"/>
  <c r="AQ363" i="10"/>
  <c r="N363" i="10"/>
  <c r="AC363" i="10"/>
  <c r="AR363" i="10"/>
  <c r="O363" i="10"/>
  <c r="AD363" i="10"/>
  <c r="AS363" i="10"/>
  <c r="P363" i="10"/>
  <c r="AE363" i="10"/>
  <c r="AT363" i="10"/>
  <c r="Q363" i="10"/>
  <c r="AF363" i="10"/>
  <c r="AU363" i="10"/>
  <c r="R363" i="10"/>
  <c r="AG363" i="10"/>
  <c r="AV363" i="10"/>
  <c r="H363" i="9"/>
  <c r="W363" i="9"/>
  <c r="AL363" i="9"/>
  <c r="I363" i="9"/>
  <c r="X363" i="9"/>
  <c r="AM363" i="9"/>
  <c r="J363" i="9"/>
  <c r="Y363" i="9"/>
  <c r="AN363" i="9"/>
  <c r="K363" i="9"/>
  <c r="Z363" i="9"/>
  <c r="AO363" i="9"/>
  <c r="L363" i="9"/>
  <c r="AA363" i="9"/>
  <c r="AP363" i="9"/>
  <c r="M363" i="9"/>
  <c r="AB363" i="9"/>
  <c r="AQ363" i="9"/>
  <c r="N363" i="9"/>
  <c r="AC363" i="9"/>
  <c r="AR363" i="9"/>
  <c r="O363" i="9"/>
  <c r="AD363" i="9"/>
  <c r="AS363" i="9"/>
  <c r="P363" i="9"/>
  <c r="AE363" i="9"/>
  <c r="AT363" i="9"/>
  <c r="Q363" i="9"/>
  <c r="AF363" i="9"/>
  <c r="AU363" i="9"/>
  <c r="R363" i="9"/>
  <c r="AG363" i="9"/>
  <c r="AV363" i="9"/>
  <c r="H362" i="7"/>
  <c r="W362" i="7"/>
  <c r="AL362" i="7"/>
  <c r="I362" i="7"/>
  <c r="X362" i="7"/>
  <c r="AM362" i="7"/>
  <c r="Y362" i="7"/>
  <c r="AN362" i="7"/>
  <c r="J362" i="7"/>
  <c r="Z362" i="7"/>
  <c r="AO362" i="7"/>
  <c r="K362" i="7"/>
  <c r="L362" i="7"/>
  <c r="AA362" i="7"/>
  <c r="AP362" i="7"/>
  <c r="N362" i="7"/>
  <c r="AC362" i="7"/>
  <c r="AR362" i="7"/>
  <c r="AD362" i="7"/>
  <c r="AS362" i="7"/>
  <c r="O362" i="7"/>
  <c r="P362" i="7"/>
  <c r="AE362" i="7"/>
  <c r="AT362" i="7"/>
  <c r="AF362" i="7"/>
  <c r="AU362" i="7"/>
  <c r="Q362" i="7"/>
  <c r="R362" i="7"/>
  <c r="AG362" i="7"/>
  <c r="AV362" i="7"/>
  <c r="I362" i="8"/>
  <c r="X362" i="8"/>
  <c r="AM362" i="8"/>
  <c r="J362" i="8"/>
  <c r="Y362" i="8"/>
  <c r="AN362" i="8"/>
  <c r="L362" i="8"/>
  <c r="AA362" i="8"/>
  <c r="AP362" i="8"/>
  <c r="N362" i="8"/>
  <c r="AC362" i="8"/>
  <c r="AR362" i="8"/>
  <c r="P362" i="8"/>
  <c r="AE362" i="8"/>
  <c r="AT362" i="8"/>
  <c r="Q362" i="8"/>
  <c r="AF362" i="8"/>
  <c r="AU362" i="8"/>
  <c r="H362" i="8"/>
  <c r="W362" i="8"/>
  <c r="AL362" i="8"/>
  <c r="K362" i="8"/>
  <c r="Z362" i="8"/>
  <c r="AO362" i="8"/>
  <c r="M362" i="8"/>
  <c r="AB362" i="8"/>
  <c r="AQ362" i="8"/>
  <c r="O362" i="8"/>
  <c r="AD362" i="8"/>
  <c r="AS362" i="8"/>
  <c r="R362" i="8"/>
  <c r="AG362" i="8"/>
  <c r="AV362" i="8"/>
  <c r="M362" i="7"/>
  <c r="AB362" i="7"/>
  <c r="AQ362" i="7"/>
  <c r="D350" i="8"/>
  <c r="S350" i="8"/>
  <c r="AH350" i="8"/>
  <c r="E338" i="8"/>
  <c r="T338" i="8"/>
  <c r="AI338" i="8"/>
  <c r="D333" i="9"/>
  <c r="S333" i="9"/>
  <c r="AH333" i="9"/>
  <c r="D310" i="7"/>
  <c r="S310" i="7"/>
  <c r="AH310" i="7"/>
  <c r="G307" i="9"/>
  <c r="V307" i="9"/>
  <c r="AK307" i="9"/>
  <c r="V303" i="10"/>
  <c r="AK303" i="10"/>
  <c r="G303" i="10"/>
  <c r="D288" i="10"/>
  <c r="S288" i="10"/>
  <c r="AH288" i="10"/>
  <c r="E290" i="9"/>
  <c r="T290" i="9"/>
  <c r="AI290" i="9"/>
  <c r="C292" i="8"/>
  <c r="AY292" i="8"/>
  <c r="AX293" i="8"/>
  <c r="AW292" i="8"/>
  <c r="G293" i="8"/>
  <c r="V293" i="8"/>
  <c r="AK293" i="8"/>
  <c r="E282" i="10"/>
  <c r="T282" i="10"/>
  <c r="AI282" i="10"/>
  <c r="C274" i="9"/>
  <c r="AY274" i="9"/>
  <c r="AW274" i="9"/>
  <c r="AX275" i="9"/>
  <c r="F275" i="9"/>
  <c r="U275" i="9"/>
  <c r="AJ275" i="9"/>
  <c r="C264" i="10"/>
  <c r="AY264" i="10"/>
  <c r="AW264" i="10"/>
  <c r="AX265" i="10"/>
  <c r="F265" i="10"/>
  <c r="U265" i="10"/>
  <c r="AJ265" i="10"/>
  <c r="G204" i="7"/>
  <c r="V204" i="7"/>
  <c r="AK204" i="7"/>
  <c r="E170" i="7"/>
  <c r="T170" i="7"/>
  <c r="AI170" i="7"/>
  <c r="C163" i="7"/>
  <c r="AY163" i="7"/>
  <c r="AX164" i="7"/>
  <c r="AW163" i="7"/>
  <c r="F164" i="7"/>
  <c r="U164" i="7"/>
  <c r="AJ164" i="7"/>
  <c r="AJ307" i="8" l="1"/>
  <c r="U307" i="8"/>
  <c r="F307" i="8"/>
  <c r="H364" i="10"/>
  <c r="W364" i="10"/>
  <c r="AL364" i="10"/>
  <c r="I364" i="10"/>
  <c r="X364" i="10"/>
  <c r="AM364" i="10"/>
  <c r="J364" i="10"/>
  <c r="Y364" i="10"/>
  <c r="AN364" i="10"/>
  <c r="K364" i="10"/>
  <c r="Z364" i="10"/>
  <c r="AO364" i="10"/>
  <c r="L364" i="10"/>
  <c r="AA364" i="10"/>
  <c r="AP364" i="10"/>
  <c r="M364" i="10"/>
  <c r="AB364" i="10"/>
  <c r="AQ364" i="10"/>
  <c r="N364" i="10"/>
  <c r="AC364" i="10"/>
  <c r="AR364" i="10"/>
  <c r="O364" i="10"/>
  <c r="AD364" i="10"/>
  <c r="AS364" i="10"/>
  <c r="P364" i="10"/>
  <c r="AE364" i="10"/>
  <c r="AT364" i="10"/>
  <c r="Q364" i="10"/>
  <c r="AF364" i="10"/>
  <c r="AU364" i="10"/>
  <c r="R364" i="10"/>
  <c r="AG364" i="10"/>
  <c r="AV364" i="10"/>
  <c r="H364" i="9"/>
  <c r="W364" i="9"/>
  <c r="AL364" i="9"/>
  <c r="I364" i="9"/>
  <c r="X364" i="9"/>
  <c r="AM364" i="9"/>
  <c r="J364" i="9"/>
  <c r="Y364" i="9"/>
  <c r="AN364" i="9"/>
  <c r="K364" i="9"/>
  <c r="Z364" i="9"/>
  <c r="AO364" i="9"/>
  <c r="L364" i="9"/>
  <c r="AA364" i="9"/>
  <c r="AP364" i="9"/>
  <c r="M364" i="9"/>
  <c r="AB364" i="9"/>
  <c r="AQ364" i="9"/>
  <c r="N364" i="9"/>
  <c r="AC364" i="9"/>
  <c r="AR364" i="9"/>
  <c r="O364" i="9"/>
  <c r="AD364" i="9"/>
  <c r="AS364" i="9"/>
  <c r="P364" i="9"/>
  <c r="AE364" i="9"/>
  <c r="AT364" i="9"/>
  <c r="Q364" i="9"/>
  <c r="AF364" i="9"/>
  <c r="AU364" i="9"/>
  <c r="R364" i="9"/>
  <c r="AG364" i="9"/>
  <c r="AV364" i="9"/>
  <c r="AL363" i="7"/>
  <c r="H363" i="7"/>
  <c r="W363" i="7"/>
  <c r="I363" i="7"/>
  <c r="AM363" i="7"/>
  <c r="X363" i="7"/>
  <c r="J363" i="7"/>
  <c r="AN363" i="7"/>
  <c r="Y363" i="7"/>
  <c r="K363" i="7"/>
  <c r="Z363" i="7"/>
  <c r="AO363" i="7"/>
  <c r="L363" i="7"/>
  <c r="AA363" i="7"/>
  <c r="AP363" i="7"/>
  <c r="N363" i="7"/>
  <c r="AR363" i="7"/>
  <c r="AC363" i="7"/>
  <c r="O363" i="7"/>
  <c r="AS363" i="7"/>
  <c r="AD363" i="7"/>
  <c r="P363" i="7"/>
  <c r="AT363" i="7"/>
  <c r="AE363" i="7"/>
  <c r="Q363" i="7"/>
  <c r="AU363" i="7"/>
  <c r="AF363" i="7"/>
  <c r="AG363" i="7"/>
  <c r="AV363" i="7"/>
  <c r="R363" i="7"/>
  <c r="I363" i="8"/>
  <c r="X363" i="8"/>
  <c r="AM363" i="8"/>
  <c r="J363" i="8"/>
  <c r="Y363" i="8"/>
  <c r="AN363" i="8"/>
  <c r="L363" i="8"/>
  <c r="AA363" i="8"/>
  <c r="AP363" i="8"/>
  <c r="N363" i="8"/>
  <c r="AC363" i="8"/>
  <c r="AR363" i="8"/>
  <c r="P363" i="8"/>
  <c r="AE363" i="8"/>
  <c r="AT363" i="8"/>
  <c r="Q363" i="8"/>
  <c r="AF363" i="8"/>
  <c r="AU363" i="8"/>
  <c r="H363" i="8"/>
  <c r="W363" i="8"/>
  <c r="AL363" i="8"/>
  <c r="K363" i="8"/>
  <c r="Z363" i="8"/>
  <c r="AO363" i="8"/>
  <c r="M363" i="8"/>
  <c r="AB363" i="8"/>
  <c r="AQ363" i="8"/>
  <c r="O363" i="8"/>
  <c r="AD363" i="8"/>
  <c r="AS363" i="8"/>
  <c r="R363" i="8"/>
  <c r="AG363" i="8"/>
  <c r="AV363" i="8"/>
  <c r="M363" i="7"/>
  <c r="AB363" i="7"/>
  <c r="AQ363" i="7"/>
  <c r="D351" i="8"/>
  <c r="S351" i="8"/>
  <c r="AH351" i="8"/>
  <c r="E339" i="8"/>
  <c r="T339" i="8"/>
  <c r="AI339" i="8"/>
  <c r="D334" i="9"/>
  <c r="S334" i="9"/>
  <c r="AH334" i="9"/>
  <c r="D311" i="7"/>
  <c r="S311" i="7"/>
  <c r="AH311" i="7"/>
  <c r="G308" i="9"/>
  <c r="V308" i="9"/>
  <c r="AK308" i="9"/>
  <c r="G304" i="10"/>
  <c r="AK304" i="10"/>
  <c r="V304" i="10"/>
  <c r="D289" i="10"/>
  <c r="AH289" i="10"/>
  <c r="S289" i="10"/>
  <c r="E291" i="9"/>
  <c r="T291" i="9"/>
  <c r="AI291" i="9"/>
  <c r="C293" i="8"/>
  <c r="AY293" i="8"/>
  <c r="AW293" i="8"/>
  <c r="AX294" i="8"/>
  <c r="AK294" i="8"/>
  <c r="G294" i="8"/>
  <c r="V294" i="8"/>
  <c r="E283" i="10"/>
  <c r="T283" i="10"/>
  <c r="AI283" i="10"/>
  <c r="AY275" i="9"/>
  <c r="C275" i="9"/>
  <c r="AW275" i="9"/>
  <c r="AX276" i="9"/>
  <c r="F276" i="9"/>
  <c r="U276" i="9"/>
  <c r="AJ276" i="9"/>
  <c r="AY265" i="10"/>
  <c r="C265" i="10"/>
  <c r="AW265" i="10"/>
  <c r="AX266" i="10"/>
  <c r="F266" i="10"/>
  <c r="U266" i="10"/>
  <c r="AJ266" i="10"/>
  <c r="G205" i="7"/>
  <c r="V205" i="7"/>
  <c r="AK205" i="7"/>
  <c r="E171" i="7"/>
  <c r="T171" i="7"/>
  <c r="AI171" i="7"/>
  <c r="AY164" i="7"/>
  <c r="C164" i="7"/>
  <c r="AW164" i="7"/>
  <c r="AX165" i="7"/>
  <c r="F165" i="7"/>
  <c r="U165" i="7"/>
  <c r="AJ165" i="7"/>
  <c r="U308" i="8" l="1"/>
  <c r="AJ308" i="8"/>
  <c r="F308" i="8"/>
  <c r="H365" i="10"/>
  <c r="W365" i="10"/>
  <c r="AL365" i="10"/>
  <c r="I365" i="10"/>
  <c r="X365" i="10"/>
  <c r="AM365" i="10"/>
  <c r="J365" i="10"/>
  <c r="Y365" i="10"/>
  <c r="AN365" i="10"/>
  <c r="K365" i="10"/>
  <c r="Z365" i="10"/>
  <c r="AO365" i="10"/>
  <c r="L365" i="10"/>
  <c r="AA365" i="10"/>
  <c r="AP365" i="10"/>
  <c r="M365" i="10"/>
  <c r="AB365" i="10"/>
  <c r="AQ365" i="10"/>
  <c r="N365" i="10"/>
  <c r="AC365" i="10"/>
  <c r="AR365" i="10"/>
  <c r="O365" i="10"/>
  <c r="AD365" i="10"/>
  <c r="AS365" i="10"/>
  <c r="P365" i="10"/>
  <c r="AE365" i="10"/>
  <c r="AT365" i="10"/>
  <c r="Q365" i="10"/>
  <c r="AF365" i="10"/>
  <c r="AU365" i="10"/>
  <c r="R365" i="10"/>
  <c r="AG365" i="10"/>
  <c r="AV365" i="10"/>
  <c r="H365" i="9"/>
  <c r="W365" i="9"/>
  <c r="AL365" i="9"/>
  <c r="I365" i="9"/>
  <c r="X365" i="9"/>
  <c r="AM365" i="9"/>
  <c r="J365" i="9"/>
  <c r="Y365" i="9"/>
  <c r="AN365" i="9"/>
  <c r="K365" i="9"/>
  <c r="Z365" i="9"/>
  <c r="AO365" i="9"/>
  <c r="L365" i="9"/>
  <c r="AA365" i="9"/>
  <c r="AP365" i="9"/>
  <c r="M365" i="9"/>
  <c r="AB365" i="9"/>
  <c r="AQ365" i="9"/>
  <c r="N365" i="9"/>
  <c r="AC365" i="9"/>
  <c r="AR365" i="9"/>
  <c r="O365" i="9"/>
  <c r="AD365" i="9"/>
  <c r="AS365" i="9"/>
  <c r="P365" i="9"/>
  <c r="AE365" i="9"/>
  <c r="AT365" i="9"/>
  <c r="Q365" i="9"/>
  <c r="AF365" i="9"/>
  <c r="AU365" i="9"/>
  <c r="R365" i="9"/>
  <c r="AG365" i="9"/>
  <c r="AV365" i="9"/>
  <c r="H364" i="7"/>
  <c r="W364" i="7"/>
  <c r="AL364" i="7"/>
  <c r="I364" i="7"/>
  <c r="X364" i="7"/>
  <c r="AM364" i="7"/>
  <c r="J364" i="7"/>
  <c r="Y364" i="7"/>
  <c r="AN364" i="7"/>
  <c r="Z364" i="7"/>
  <c r="AO364" i="7"/>
  <c r="K364" i="7"/>
  <c r="AA364" i="7"/>
  <c r="AP364" i="7"/>
  <c r="L364" i="7"/>
  <c r="AC364" i="7"/>
  <c r="N364" i="7"/>
  <c r="AR364" i="7"/>
  <c r="O364" i="7"/>
  <c r="AD364" i="7"/>
  <c r="AS364" i="7"/>
  <c r="P364" i="7"/>
  <c r="AE364" i="7"/>
  <c r="AT364" i="7"/>
  <c r="AU364" i="7"/>
  <c r="Q364" i="7"/>
  <c r="AF364" i="7"/>
  <c r="R364" i="7"/>
  <c r="AV364" i="7"/>
  <c r="AG364" i="7"/>
  <c r="I364" i="8"/>
  <c r="X364" i="8"/>
  <c r="AM364" i="8"/>
  <c r="J364" i="8"/>
  <c r="Y364" i="8"/>
  <c r="AN364" i="8"/>
  <c r="L364" i="8"/>
  <c r="AA364" i="8"/>
  <c r="AP364" i="8"/>
  <c r="N364" i="8"/>
  <c r="AC364" i="8"/>
  <c r="AR364" i="8"/>
  <c r="P364" i="8"/>
  <c r="AE364" i="8"/>
  <c r="AT364" i="8"/>
  <c r="Q364" i="8"/>
  <c r="AF364" i="8"/>
  <c r="AU364" i="8"/>
  <c r="H364" i="8"/>
  <c r="W364" i="8"/>
  <c r="AL364" i="8"/>
  <c r="K364" i="8"/>
  <c r="Z364" i="8"/>
  <c r="AO364" i="8"/>
  <c r="M364" i="8"/>
  <c r="AB364" i="8"/>
  <c r="AQ364" i="8"/>
  <c r="O364" i="8"/>
  <c r="AD364" i="8"/>
  <c r="AS364" i="8"/>
  <c r="R364" i="8"/>
  <c r="AG364" i="8"/>
  <c r="AV364" i="8"/>
  <c r="AB364" i="7"/>
  <c r="AQ364" i="7"/>
  <c r="M364" i="7"/>
  <c r="D352" i="8"/>
  <c r="S352" i="8"/>
  <c r="AH352" i="8"/>
  <c r="E340" i="8"/>
  <c r="T340" i="8"/>
  <c r="AI340" i="8"/>
  <c r="D335" i="9"/>
  <c r="S335" i="9"/>
  <c r="AH335" i="9"/>
  <c r="D312" i="7"/>
  <c r="S312" i="7"/>
  <c r="AH312" i="7"/>
  <c r="G309" i="9"/>
  <c r="V309" i="9"/>
  <c r="AK309" i="9"/>
  <c r="G305" i="10"/>
  <c r="V305" i="10"/>
  <c r="AK305" i="10"/>
  <c r="D290" i="10"/>
  <c r="S290" i="10"/>
  <c r="AH290" i="10"/>
  <c r="E292" i="9"/>
  <c r="T292" i="9"/>
  <c r="AI292" i="9"/>
  <c r="AX295" i="8"/>
  <c r="AW294" i="8"/>
  <c r="W101" i="2" s="1"/>
  <c r="V295" i="8"/>
  <c r="G295" i="8"/>
  <c r="AK295" i="8"/>
  <c r="C294" i="8"/>
  <c r="AY294" i="8"/>
  <c r="E284" i="10"/>
  <c r="T284" i="10"/>
  <c r="AI284" i="10"/>
  <c r="C276" i="9"/>
  <c r="AY276" i="9"/>
  <c r="AX277" i="9"/>
  <c r="AW276" i="9"/>
  <c r="F277" i="9"/>
  <c r="U277" i="9"/>
  <c r="AJ277" i="9"/>
  <c r="C266" i="10"/>
  <c r="AY266" i="10"/>
  <c r="AW266" i="10"/>
  <c r="AX267" i="10"/>
  <c r="F267" i="10"/>
  <c r="U267" i="10"/>
  <c r="AJ267" i="10"/>
  <c r="G206" i="7"/>
  <c r="V206" i="7"/>
  <c r="AK206" i="7"/>
  <c r="E172" i="7"/>
  <c r="T172" i="7"/>
  <c r="AI172" i="7"/>
  <c r="C165" i="7"/>
  <c r="AY165" i="7"/>
  <c r="AX166" i="7"/>
  <c r="AW165" i="7"/>
  <c r="X58" i="2" s="1"/>
  <c r="F166" i="7"/>
  <c r="U166" i="7"/>
  <c r="AJ166" i="7"/>
  <c r="U309" i="8" l="1"/>
  <c r="F309" i="8"/>
  <c r="AJ309" i="8"/>
  <c r="H366" i="10"/>
  <c r="AL368" i="10" s="1"/>
  <c r="W366" i="10"/>
  <c r="AL366" i="10"/>
  <c r="I366" i="10"/>
  <c r="AM368" i="10" s="1"/>
  <c r="X366" i="10"/>
  <c r="AM366" i="10"/>
  <c r="J366" i="10"/>
  <c r="Y366" i="10"/>
  <c r="AN366" i="10"/>
  <c r="K366" i="10"/>
  <c r="AO368" i="10" s="1"/>
  <c r="Z366" i="10"/>
  <c r="AO366" i="10"/>
  <c r="L366" i="10"/>
  <c r="AP368" i="10" s="1"/>
  <c r="AA366" i="10"/>
  <c r="AP366" i="10"/>
  <c r="M366" i="10"/>
  <c r="AB366" i="10"/>
  <c r="AQ366" i="10"/>
  <c r="N366" i="10"/>
  <c r="AR368" i="10" s="1"/>
  <c r="AC366" i="10"/>
  <c r="AR366" i="10"/>
  <c r="O366" i="10"/>
  <c r="AS368" i="10" s="1"/>
  <c r="AD366" i="10"/>
  <c r="AS366" i="10"/>
  <c r="P366" i="10"/>
  <c r="AT368" i="10" s="1"/>
  <c r="AE366" i="10"/>
  <c r="AT366" i="10"/>
  <c r="Q366" i="10"/>
  <c r="AU368" i="10" s="1"/>
  <c r="AF366" i="10"/>
  <c r="AU366" i="10"/>
  <c r="R366" i="10"/>
  <c r="AV368" i="10" s="1"/>
  <c r="AG366" i="10"/>
  <c r="AV366" i="10"/>
  <c r="H366" i="9"/>
  <c r="W366" i="9"/>
  <c r="AL366" i="9"/>
  <c r="I366" i="9"/>
  <c r="AM368" i="9" s="1"/>
  <c r="X366" i="9"/>
  <c r="AM366" i="9"/>
  <c r="J366" i="9"/>
  <c r="AN368" i="9" s="1"/>
  <c r="Y366" i="9"/>
  <c r="AN366" i="9"/>
  <c r="K366" i="9"/>
  <c r="AO368" i="9" s="1"/>
  <c r="Z366" i="9"/>
  <c r="AO366" i="9"/>
  <c r="L366" i="9"/>
  <c r="AP368" i="9" s="1"/>
  <c r="AA366" i="9"/>
  <c r="AP366" i="9"/>
  <c r="M366" i="9"/>
  <c r="AB366" i="9"/>
  <c r="AQ366" i="9"/>
  <c r="N366" i="9"/>
  <c r="AC366" i="9"/>
  <c r="AR366" i="9"/>
  <c r="O366" i="9"/>
  <c r="AD366" i="9"/>
  <c r="AS366" i="9"/>
  <c r="P366" i="9"/>
  <c r="AT368" i="9" s="1"/>
  <c r="AE366" i="9"/>
  <c r="AT366" i="9"/>
  <c r="Q366" i="9"/>
  <c r="AU368" i="9" s="1"/>
  <c r="AF366" i="9"/>
  <c r="AU366" i="9"/>
  <c r="R366" i="9"/>
  <c r="AV368" i="9" s="1"/>
  <c r="AG366" i="9"/>
  <c r="AV366" i="9"/>
  <c r="AL365" i="7"/>
  <c r="H365" i="7"/>
  <c r="W365" i="7"/>
  <c r="AM365" i="7"/>
  <c r="I365" i="7"/>
  <c r="X365" i="7"/>
  <c r="Y365" i="7"/>
  <c r="AN365" i="7"/>
  <c r="J365" i="7"/>
  <c r="K365" i="7"/>
  <c r="Z365" i="7"/>
  <c r="AO365" i="7"/>
  <c r="L365" i="7"/>
  <c r="AA365" i="7"/>
  <c r="AP365" i="7"/>
  <c r="AC365" i="7"/>
  <c r="N365" i="7"/>
  <c r="AR365" i="7"/>
  <c r="AD365" i="7"/>
  <c r="AS365" i="7"/>
  <c r="O365" i="7"/>
  <c r="AT365" i="7"/>
  <c r="P365" i="7"/>
  <c r="AE365" i="7"/>
  <c r="Q365" i="7"/>
  <c r="AF365" i="7"/>
  <c r="AU365" i="7"/>
  <c r="R365" i="7"/>
  <c r="AG365" i="7"/>
  <c r="AV365" i="7"/>
  <c r="I365" i="8"/>
  <c r="X365" i="8"/>
  <c r="AM365" i="8"/>
  <c r="J365" i="8"/>
  <c r="Y365" i="8"/>
  <c r="AN365" i="8"/>
  <c r="L365" i="8"/>
  <c r="AA365" i="8"/>
  <c r="AP365" i="8"/>
  <c r="N365" i="8"/>
  <c r="AC365" i="8"/>
  <c r="AR365" i="8"/>
  <c r="P365" i="8"/>
  <c r="AE365" i="8"/>
  <c r="AT365" i="8"/>
  <c r="Q365" i="8"/>
  <c r="AF365" i="8"/>
  <c r="AU365" i="8"/>
  <c r="H365" i="8"/>
  <c r="W365" i="8"/>
  <c r="AL365" i="8"/>
  <c r="K365" i="8"/>
  <c r="Z365" i="8"/>
  <c r="AO365" i="8"/>
  <c r="M365" i="8"/>
  <c r="AB365" i="8"/>
  <c r="AQ365" i="8"/>
  <c r="O365" i="8"/>
  <c r="AD365" i="8"/>
  <c r="AS365" i="8"/>
  <c r="R365" i="8"/>
  <c r="AG365" i="8"/>
  <c r="AV365" i="8"/>
  <c r="M365" i="7"/>
  <c r="AB365" i="7"/>
  <c r="AQ365" i="7"/>
  <c r="D353" i="8"/>
  <c r="S353" i="8"/>
  <c r="AH353" i="8"/>
  <c r="E341" i="8"/>
  <c r="T341" i="8"/>
  <c r="AI341" i="8"/>
  <c r="D336" i="9"/>
  <c r="S336" i="9"/>
  <c r="AH336" i="9"/>
  <c r="D313" i="7"/>
  <c r="S313" i="7"/>
  <c r="AH313" i="7"/>
  <c r="G310" i="9"/>
  <c r="V310" i="9"/>
  <c r="AK310" i="9"/>
  <c r="G306" i="10"/>
  <c r="AK306" i="10"/>
  <c r="V306" i="10"/>
  <c r="D291" i="10"/>
  <c r="AH291" i="10"/>
  <c r="S291" i="10"/>
  <c r="E293" i="9"/>
  <c r="T293" i="9"/>
  <c r="AI293" i="9"/>
  <c r="AY295" i="8"/>
  <c r="C295" i="8"/>
  <c r="AX296" i="8"/>
  <c r="AW295" i="8"/>
  <c r="V296" i="8"/>
  <c r="G296" i="8"/>
  <c r="AK296" i="8"/>
  <c r="E285" i="10"/>
  <c r="T285" i="10"/>
  <c r="AI285" i="10"/>
  <c r="C277" i="9"/>
  <c r="AY277" i="9"/>
  <c r="AW277" i="9"/>
  <c r="AX278" i="9"/>
  <c r="F278" i="9"/>
  <c r="U278" i="9"/>
  <c r="AJ278" i="9"/>
  <c r="C267" i="10"/>
  <c r="AY267" i="10"/>
  <c r="AW267" i="10"/>
  <c r="AX268" i="10"/>
  <c r="F268" i="10"/>
  <c r="U268" i="10"/>
  <c r="AJ268" i="10"/>
  <c r="G207" i="7"/>
  <c r="V207" i="7"/>
  <c r="AK207" i="7"/>
  <c r="E173" i="7"/>
  <c r="T173" i="7"/>
  <c r="AI173" i="7"/>
  <c r="AY166" i="7"/>
  <c r="C166" i="7"/>
  <c r="AX167" i="7"/>
  <c r="AW166" i="7"/>
  <c r="F167" i="7"/>
  <c r="U167" i="7"/>
  <c r="AJ167" i="7"/>
  <c r="F310" i="8" l="1"/>
  <c r="AJ310" i="8"/>
  <c r="U310" i="8"/>
  <c r="AN368" i="10"/>
  <c r="AQ368" i="10"/>
  <c r="AL368" i="9"/>
  <c r="AQ368" i="9"/>
  <c r="AR368" i="9"/>
  <c r="AS368" i="9"/>
  <c r="H366" i="7"/>
  <c r="AL368" i="7" s="1"/>
  <c r="W366" i="7"/>
  <c r="AL366" i="7"/>
  <c r="I366" i="7"/>
  <c r="AM368" i="7" s="1"/>
  <c r="AM366" i="7"/>
  <c r="X366" i="7"/>
  <c r="J366" i="7"/>
  <c r="AN368" i="7" s="1"/>
  <c r="Y366" i="7"/>
  <c r="AN366" i="7"/>
  <c r="K366" i="7"/>
  <c r="AO368" i="7" s="1"/>
  <c r="Z366" i="7"/>
  <c r="AO366" i="7"/>
  <c r="L366" i="7"/>
  <c r="AP368" i="7" s="1"/>
  <c r="AA366" i="7"/>
  <c r="AP366" i="7"/>
  <c r="AC366" i="7"/>
  <c r="N366" i="7"/>
  <c r="AR368" i="7" s="1"/>
  <c r="AR366" i="7"/>
  <c r="O366" i="7"/>
  <c r="AS366" i="7"/>
  <c r="AD366" i="7"/>
  <c r="P366" i="7"/>
  <c r="AT368" i="7" s="1"/>
  <c r="AE366" i="7"/>
  <c r="AT366" i="7"/>
  <c r="Q366" i="7"/>
  <c r="AU368" i="7" s="1"/>
  <c r="AF366" i="7"/>
  <c r="AU366" i="7"/>
  <c r="AG366" i="7"/>
  <c r="AV366" i="7"/>
  <c r="R366" i="7"/>
  <c r="I366" i="8"/>
  <c r="X366" i="8"/>
  <c r="AM366" i="8"/>
  <c r="J366" i="8"/>
  <c r="AN368" i="8" s="1"/>
  <c r="Y366" i="8"/>
  <c r="AN366" i="8"/>
  <c r="L366" i="8"/>
  <c r="AA366" i="8"/>
  <c r="AP366" i="8"/>
  <c r="N366" i="8"/>
  <c r="AR368" i="8" s="1"/>
  <c r="AC366" i="8"/>
  <c r="AR366" i="8"/>
  <c r="P366" i="8"/>
  <c r="AE366" i="8"/>
  <c r="AT366" i="8"/>
  <c r="Q366" i="8"/>
  <c r="AF366" i="8"/>
  <c r="AU366" i="8"/>
  <c r="H366" i="8"/>
  <c r="AL368" i="8" s="1"/>
  <c r="W366" i="8"/>
  <c r="AL366" i="8"/>
  <c r="K366" i="8"/>
  <c r="Z366" i="8"/>
  <c r="AO366" i="8"/>
  <c r="M366" i="8"/>
  <c r="AB366" i="8"/>
  <c r="AQ366" i="8"/>
  <c r="O366" i="8"/>
  <c r="AD366" i="8"/>
  <c r="AS366" i="8"/>
  <c r="R366" i="8"/>
  <c r="AV368" i="8" s="1"/>
  <c r="AG366" i="8"/>
  <c r="AV366" i="8"/>
  <c r="M366" i="7"/>
  <c r="AQ368" i="7" s="1"/>
  <c r="AQ366" i="7"/>
  <c r="AB366" i="7"/>
  <c r="D354" i="8"/>
  <c r="S354" i="8"/>
  <c r="AH354" i="8"/>
  <c r="E342" i="8"/>
  <c r="T342" i="8"/>
  <c r="AI342" i="8"/>
  <c r="D337" i="9"/>
  <c r="S337" i="9"/>
  <c r="AH337" i="9"/>
  <c r="D314" i="7"/>
  <c r="S314" i="7"/>
  <c r="AH314" i="7"/>
  <c r="G311" i="9"/>
  <c r="V311" i="9"/>
  <c r="AK311" i="9"/>
  <c r="G307" i="10"/>
  <c r="V307" i="10"/>
  <c r="AK307" i="10"/>
  <c r="D292" i="10"/>
  <c r="S292" i="10"/>
  <c r="AH292" i="10"/>
  <c r="E294" i="9"/>
  <c r="T294" i="9"/>
  <c r="AI294" i="9"/>
  <c r="C296" i="8"/>
  <c r="AY296" i="8"/>
  <c r="AX297" i="8"/>
  <c r="AW296" i="8"/>
  <c r="G297" i="8"/>
  <c r="AK297" i="8"/>
  <c r="V297" i="8"/>
  <c r="E286" i="10"/>
  <c r="T286" i="10"/>
  <c r="AI286" i="10"/>
  <c r="C278" i="9"/>
  <c r="AY278" i="9"/>
  <c r="AW278" i="9"/>
  <c r="AX279" i="9"/>
  <c r="F279" i="9"/>
  <c r="U279" i="9"/>
  <c r="AJ279" i="9"/>
  <c r="C268" i="10"/>
  <c r="AY268" i="10"/>
  <c r="AW268" i="10"/>
  <c r="AX269" i="10"/>
  <c r="F269" i="10"/>
  <c r="U269" i="10"/>
  <c r="AJ269" i="10"/>
  <c r="G208" i="7"/>
  <c r="V208" i="7"/>
  <c r="AK208" i="7"/>
  <c r="E174" i="7"/>
  <c r="T174" i="7"/>
  <c r="AI174" i="7"/>
  <c r="AY167" i="7"/>
  <c r="C167" i="7"/>
  <c r="AX168" i="7"/>
  <c r="AW167" i="7"/>
  <c r="F168" i="7"/>
  <c r="U168" i="7"/>
  <c r="AJ168" i="7"/>
  <c r="F311" i="8" l="1"/>
  <c r="AJ311" i="8"/>
  <c r="U311" i="8"/>
  <c r="AS368" i="7"/>
  <c r="AT368" i="8"/>
  <c r="AU368" i="8"/>
  <c r="AS368" i="8"/>
  <c r="D355" i="8"/>
  <c r="S355" i="8"/>
  <c r="AH355" i="8"/>
  <c r="E343" i="8"/>
  <c r="T343" i="8"/>
  <c r="AI343" i="8"/>
  <c r="D338" i="9"/>
  <c r="S338" i="9"/>
  <c r="AH338" i="9"/>
  <c r="D315" i="7"/>
  <c r="S315" i="7"/>
  <c r="AH315" i="7"/>
  <c r="G312" i="9"/>
  <c r="V312" i="9"/>
  <c r="AK312" i="9"/>
  <c r="G308" i="10"/>
  <c r="V308" i="10"/>
  <c r="AK308" i="10"/>
  <c r="D293" i="10"/>
  <c r="S293" i="10"/>
  <c r="AH293" i="10"/>
  <c r="E295" i="9"/>
  <c r="T295" i="9"/>
  <c r="AI295" i="9"/>
  <c r="C297" i="8"/>
  <c r="AY297" i="8"/>
  <c r="AX298" i="8"/>
  <c r="AW297" i="8"/>
  <c r="W102" i="2" s="1"/>
  <c r="AK298" i="8"/>
  <c r="G298" i="8"/>
  <c r="V298" i="8"/>
  <c r="E287" i="10"/>
  <c r="T287" i="10"/>
  <c r="AI287" i="10"/>
  <c r="AY279" i="9"/>
  <c r="C279" i="9"/>
  <c r="AX280" i="9"/>
  <c r="AW279" i="9"/>
  <c r="F280" i="9"/>
  <c r="U280" i="9"/>
  <c r="AJ280" i="9"/>
  <c r="AY269" i="10"/>
  <c r="C269" i="10"/>
  <c r="AW269" i="10"/>
  <c r="AX270" i="10"/>
  <c r="F270" i="10"/>
  <c r="U270" i="10"/>
  <c r="AJ270" i="10"/>
  <c r="G209" i="7"/>
  <c r="V209" i="7"/>
  <c r="AK209" i="7"/>
  <c r="E175" i="7"/>
  <c r="T175" i="7"/>
  <c r="AI175" i="7"/>
  <c r="C168" i="7"/>
  <c r="AY168" i="7"/>
  <c r="AX169" i="7"/>
  <c r="AW168" i="7"/>
  <c r="X59" i="2" s="1"/>
  <c r="F169" i="7"/>
  <c r="U169" i="7"/>
  <c r="AJ169" i="7"/>
  <c r="AV368" i="7"/>
  <c r="AM368" i="8"/>
  <c r="AP368" i="8"/>
  <c r="AO368" i="8"/>
  <c r="AQ368" i="8"/>
  <c r="AJ312" i="8" l="1"/>
  <c r="U312" i="8"/>
  <c r="F312" i="8"/>
  <c r="D356" i="8"/>
  <c r="S356" i="8"/>
  <c r="AH356" i="8"/>
  <c r="E344" i="8"/>
  <c r="T344" i="8"/>
  <c r="AI344" i="8"/>
  <c r="D339" i="9"/>
  <c r="S339" i="9"/>
  <c r="AH339" i="9"/>
  <c r="D316" i="7"/>
  <c r="S316" i="7"/>
  <c r="AH316" i="7"/>
  <c r="G313" i="9"/>
  <c r="V313" i="9"/>
  <c r="AK313" i="9"/>
  <c r="G309" i="10"/>
  <c r="V309" i="10"/>
  <c r="AK309" i="10"/>
  <c r="D294" i="10"/>
  <c r="AH294" i="10"/>
  <c r="S294" i="10"/>
  <c r="E296" i="9"/>
  <c r="T296" i="9"/>
  <c r="AI296" i="9"/>
  <c r="AX299" i="8"/>
  <c r="AW298" i="8"/>
  <c r="AK299" i="8"/>
  <c r="G299" i="8"/>
  <c r="V299" i="8"/>
  <c r="AY298" i="8"/>
  <c r="C298" i="8"/>
  <c r="AI288" i="10"/>
  <c r="E288" i="10"/>
  <c r="T288" i="10"/>
  <c r="AY280" i="9"/>
  <c r="C280" i="9"/>
  <c r="AW280" i="9"/>
  <c r="AX281" i="9"/>
  <c r="F281" i="9"/>
  <c r="U281" i="9"/>
  <c r="AJ281" i="9"/>
  <c r="C270" i="10"/>
  <c r="AY270" i="10"/>
  <c r="AX271" i="10"/>
  <c r="AW270" i="10"/>
  <c r="F271" i="10"/>
  <c r="U271" i="10"/>
  <c r="AJ271" i="10"/>
  <c r="G210" i="7"/>
  <c r="V210" i="7"/>
  <c r="AK210" i="7"/>
  <c r="E176" i="7"/>
  <c r="T176" i="7"/>
  <c r="AI176" i="7"/>
  <c r="C169" i="7"/>
  <c r="AY169" i="7"/>
  <c r="AW169" i="7"/>
  <c r="AX170" i="7"/>
  <c r="F170" i="7"/>
  <c r="U170" i="7"/>
  <c r="AJ170" i="7"/>
  <c r="F313" i="8" l="1"/>
  <c r="U313" i="8"/>
  <c r="AJ313" i="8"/>
  <c r="D357" i="8"/>
  <c r="S357" i="8"/>
  <c r="AH357" i="8"/>
  <c r="E345" i="8"/>
  <c r="T345" i="8"/>
  <c r="AI345" i="8"/>
  <c r="D340" i="9"/>
  <c r="S340" i="9"/>
  <c r="AH340" i="9"/>
  <c r="D317" i="7"/>
  <c r="S317" i="7"/>
  <c r="AH317" i="7"/>
  <c r="G314" i="9"/>
  <c r="V314" i="9"/>
  <c r="AK314" i="9"/>
  <c r="V310" i="10"/>
  <c r="G310" i="10"/>
  <c r="AK310" i="10"/>
  <c r="D295" i="10"/>
  <c r="S295" i="10"/>
  <c r="AH295" i="10"/>
  <c r="E297" i="9"/>
  <c r="T297" i="9"/>
  <c r="AI297" i="9"/>
  <c r="AW299" i="8"/>
  <c r="AX300" i="8"/>
  <c r="V300" i="8"/>
  <c r="AK300" i="8"/>
  <c r="G300" i="8"/>
  <c r="AY299" i="8"/>
  <c r="C299" i="8"/>
  <c r="E289" i="10"/>
  <c r="T289" i="10"/>
  <c r="AI289" i="10"/>
  <c r="C281" i="9"/>
  <c r="AY281" i="9"/>
  <c r="AW281" i="9"/>
  <c r="AX282" i="9"/>
  <c r="F282" i="9"/>
  <c r="U282" i="9"/>
  <c r="AJ282" i="9"/>
  <c r="C271" i="10"/>
  <c r="AY271" i="10"/>
  <c r="AX272" i="10"/>
  <c r="AW271" i="10"/>
  <c r="F272" i="10"/>
  <c r="U272" i="10"/>
  <c r="AJ272" i="10"/>
  <c r="G211" i="7"/>
  <c r="V211" i="7"/>
  <c r="AK211" i="7"/>
  <c r="E177" i="7"/>
  <c r="T177" i="7"/>
  <c r="AI177" i="7"/>
  <c r="AY170" i="7"/>
  <c r="C170" i="7"/>
  <c r="AW170" i="7"/>
  <c r="AX171" i="7"/>
  <c r="F171" i="7"/>
  <c r="U171" i="7"/>
  <c r="AJ171" i="7"/>
  <c r="U314" i="8" l="1"/>
  <c r="F314" i="8"/>
  <c r="AJ314" i="8"/>
  <c r="D358" i="8"/>
  <c r="S358" i="8"/>
  <c r="AH358" i="8"/>
  <c r="E346" i="8"/>
  <c r="T346" i="8"/>
  <c r="AI346" i="8"/>
  <c r="D341" i="9"/>
  <c r="S341" i="9"/>
  <c r="AH341" i="9"/>
  <c r="D318" i="7"/>
  <c r="S318" i="7"/>
  <c r="AH318" i="7"/>
  <c r="G315" i="9"/>
  <c r="V315" i="9"/>
  <c r="AK315" i="9"/>
  <c r="G311" i="10"/>
  <c r="V311" i="10"/>
  <c r="AK311" i="10"/>
  <c r="D296" i="10"/>
  <c r="S296" i="10"/>
  <c r="AH296" i="10"/>
  <c r="E298" i="9"/>
  <c r="T298" i="9"/>
  <c r="AI298" i="9"/>
  <c r="AW300" i="8"/>
  <c r="W103" i="2" s="1"/>
  <c r="AX301" i="8"/>
  <c r="G301" i="8"/>
  <c r="AK301" i="8"/>
  <c r="V301" i="8"/>
  <c r="AY300" i="8"/>
  <c r="C300" i="8"/>
  <c r="AI290" i="10"/>
  <c r="E290" i="10"/>
  <c r="T290" i="10"/>
  <c r="C282" i="9"/>
  <c r="AY282" i="9"/>
  <c r="AX283" i="9"/>
  <c r="AW282" i="9"/>
  <c r="F283" i="9"/>
  <c r="U283" i="9"/>
  <c r="AJ283" i="9"/>
  <c r="C272" i="10"/>
  <c r="AY272" i="10"/>
  <c r="AW272" i="10"/>
  <c r="AX273" i="10"/>
  <c r="F273" i="10"/>
  <c r="U273" i="10"/>
  <c r="AJ273" i="10"/>
  <c r="G212" i="7"/>
  <c r="V212" i="7"/>
  <c r="AK212" i="7"/>
  <c r="E178" i="7"/>
  <c r="T178" i="7"/>
  <c r="AI178" i="7"/>
  <c r="AY171" i="7"/>
  <c r="C171" i="7"/>
  <c r="AW171" i="7"/>
  <c r="X60" i="2" s="1"/>
  <c r="AX172" i="7"/>
  <c r="F172" i="7"/>
  <c r="U172" i="7"/>
  <c r="AJ172" i="7"/>
  <c r="AJ315" i="8" l="1"/>
  <c r="U315" i="8"/>
  <c r="F315" i="8"/>
  <c r="D359" i="8"/>
  <c r="S359" i="8"/>
  <c r="AH359" i="8"/>
  <c r="E347" i="8"/>
  <c r="T347" i="8"/>
  <c r="AI347" i="8"/>
  <c r="D342" i="9"/>
  <c r="S342" i="9"/>
  <c r="AH342" i="9"/>
  <c r="D319" i="7"/>
  <c r="S319" i="7"/>
  <c r="AH319" i="7"/>
  <c r="G316" i="9"/>
  <c r="V316" i="9"/>
  <c r="AK316" i="9"/>
  <c r="G312" i="10"/>
  <c r="V312" i="10"/>
  <c r="AK312" i="10"/>
  <c r="S297" i="10"/>
  <c r="AH297" i="10"/>
  <c r="D297" i="10"/>
  <c r="E299" i="9"/>
  <c r="T299" i="9"/>
  <c r="AI299" i="9"/>
  <c r="C301" i="8"/>
  <c r="AY301" i="8"/>
  <c r="AX302" i="8"/>
  <c r="AW301" i="8"/>
  <c r="V302" i="8"/>
  <c r="G302" i="8"/>
  <c r="AK302" i="8"/>
  <c r="E291" i="10"/>
  <c r="T291" i="10"/>
  <c r="AI291" i="10"/>
  <c r="C283" i="9"/>
  <c r="AY283" i="9"/>
  <c r="AW283" i="9"/>
  <c r="AX284" i="9"/>
  <c r="F284" i="9"/>
  <c r="U284" i="9"/>
  <c r="AJ284" i="9"/>
  <c r="AY273" i="10"/>
  <c r="C273" i="10"/>
  <c r="AW273" i="10"/>
  <c r="AX274" i="10"/>
  <c r="F274" i="10"/>
  <c r="U274" i="10"/>
  <c r="AJ274" i="10"/>
  <c r="G213" i="7"/>
  <c r="V213" i="7"/>
  <c r="AK213" i="7"/>
  <c r="E179" i="7"/>
  <c r="T179" i="7"/>
  <c r="AI179" i="7"/>
  <c r="AY172" i="7"/>
  <c r="C172" i="7"/>
  <c r="AX173" i="7"/>
  <c r="AW172" i="7"/>
  <c r="F173" i="7"/>
  <c r="U173" i="7"/>
  <c r="AJ173" i="7"/>
  <c r="AJ316" i="8" l="1"/>
  <c r="U316" i="8"/>
  <c r="F316" i="8"/>
  <c r="D360" i="8"/>
  <c r="S360" i="8"/>
  <c r="AH360" i="8"/>
  <c r="E348" i="8"/>
  <c r="T348" i="8"/>
  <c r="AI348" i="8"/>
  <c r="D343" i="9"/>
  <c r="S343" i="9"/>
  <c r="AH343" i="9"/>
  <c r="D320" i="7"/>
  <c r="S320" i="7"/>
  <c r="AH320" i="7"/>
  <c r="G317" i="9"/>
  <c r="V317" i="9"/>
  <c r="AK317" i="9"/>
  <c r="G313" i="10"/>
  <c r="V313" i="10"/>
  <c r="AK313" i="10"/>
  <c r="D298" i="10"/>
  <c r="S298" i="10"/>
  <c r="AH298" i="10"/>
  <c r="E300" i="9"/>
  <c r="T300" i="9"/>
  <c r="AI300" i="9"/>
  <c r="C302" i="8"/>
  <c r="AY302" i="8"/>
  <c r="AX303" i="8"/>
  <c r="AW302" i="8"/>
  <c r="AK303" i="8"/>
  <c r="G303" i="8"/>
  <c r="V303" i="8"/>
  <c r="E292" i="10"/>
  <c r="T292" i="10"/>
  <c r="AI292" i="10"/>
  <c r="C284" i="9"/>
  <c r="AY284" i="9"/>
  <c r="AX285" i="9"/>
  <c r="AW284" i="9"/>
  <c r="F285" i="9"/>
  <c r="U285" i="9"/>
  <c r="AJ285" i="9"/>
  <c r="AY274" i="10"/>
  <c r="C274" i="10"/>
  <c r="AX275" i="10"/>
  <c r="AW274" i="10"/>
  <c r="F275" i="10"/>
  <c r="U275" i="10"/>
  <c r="AJ275" i="10"/>
  <c r="G214" i="7"/>
  <c r="V214" i="7"/>
  <c r="AK214" i="7"/>
  <c r="E180" i="7"/>
  <c r="T180" i="7"/>
  <c r="AI180" i="7"/>
  <c r="C173" i="7"/>
  <c r="AY173" i="7"/>
  <c r="AX174" i="7"/>
  <c r="AW173" i="7"/>
  <c r="F174" i="7"/>
  <c r="U174" i="7"/>
  <c r="AJ174" i="7"/>
  <c r="F317" i="8" l="1"/>
  <c r="AJ317" i="8"/>
  <c r="U317" i="8"/>
  <c r="D361" i="8"/>
  <c r="S361" i="8"/>
  <c r="AH361" i="8"/>
  <c r="E349" i="8"/>
  <c r="T349" i="8"/>
  <c r="AI349" i="8"/>
  <c r="D344" i="9"/>
  <c r="S344" i="9"/>
  <c r="AH344" i="9"/>
  <c r="D321" i="7"/>
  <c r="S321" i="7"/>
  <c r="AH321" i="7"/>
  <c r="G318" i="9"/>
  <c r="V318" i="9"/>
  <c r="AK318" i="9"/>
  <c r="G314" i="10"/>
  <c r="AK314" i="10"/>
  <c r="V314" i="10"/>
  <c r="D299" i="10"/>
  <c r="AH299" i="10"/>
  <c r="S299" i="10"/>
  <c r="E301" i="9"/>
  <c r="T301" i="9"/>
  <c r="AI301" i="9"/>
  <c r="AW303" i="8"/>
  <c r="W104" i="2" s="1"/>
  <c r="AX304" i="8"/>
  <c r="G304" i="8"/>
  <c r="AK304" i="8"/>
  <c r="V304" i="8"/>
  <c r="C303" i="8"/>
  <c r="AY303" i="8"/>
  <c r="E293" i="10"/>
  <c r="T293" i="10"/>
  <c r="AI293" i="10"/>
  <c r="C285" i="9"/>
  <c r="AY285" i="9"/>
  <c r="AX286" i="9"/>
  <c r="AW285" i="9"/>
  <c r="F286" i="9"/>
  <c r="U286" i="9"/>
  <c r="AJ286" i="9"/>
  <c r="C275" i="10"/>
  <c r="AY275" i="10"/>
  <c r="AW275" i="10"/>
  <c r="AX276" i="10"/>
  <c r="F276" i="10"/>
  <c r="U276" i="10"/>
  <c r="AJ276" i="10"/>
  <c r="G215" i="7"/>
  <c r="V215" i="7"/>
  <c r="AK215" i="7"/>
  <c r="E181" i="7"/>
  <c r="T181" i="7"/>
  <c r="AI181" i="7"/>
  <c r="AY174" i="7"/>
  <c r="C174" i="7"/>
  <c r="AW174" i="7"/>
  <c r="X61" i="2" s="1"/>
  <c r="AX175" i="7"/>
  <c r="F175" i="7"/>
  <c r="U175" i="7"/>
  <c r="AJ175" i="7"/>
  <c r="F318" i="8" l="1"/>
  <c r="U318" i="8"/>
  <c r="AJ318" i="8"/>
  <c r="D362" i="8"/>
  <c r="S362" i="8"/>
  <c r="AH362" i="8"/>
  <c r="E350" i="8"/>
  <c r="T350" i="8"/>
  <c r="AI350" i="8"/>
  <c r="D345" i="9"/>
  <c r="S345" i="9"/>
  <c r="AH345" i="9"/>
  <c r="D322" i="7"/>
  <c r="S322" i="7"/>
  <c r="AH322" i="7"/>
  <c r="G319" i="9"/>
  <c r="V319" i="9"/>
  <c r="AK319" i="9"/>
  <c r="G315" i="10"/>
  <c r="V315" i="10"/>
  <c r="AK315" i="10"/>
  <c r="AH300" i="10"/>
  <c r="D300" i="10"/>
  <c r="S300" i="10"/>
  <c r="E302" i="9"/>
  <c r="T302" i="9"/>
  <c r="AI302" i="9"/>
  <c r="C304" i="8"/>
  <c r="AY304" i="8"/>
  <c r="AX305" i="8"/>
  <c r="AW304" i="8"/>
  <c r="V305" i="8"/>
  <c r="AK305" i="8"/>
  <c r="G305" i="8"/>
  <c r="E294" i="10"/>
  <c r="T294" i="10"/>
  <c r="AI294" i="10"/>
  <c r="AY286" i="9"/>
  <c r="C286" i="9"/>
  <c r="AW286" i="9"/>
  <c r="AX287" i="9"/>
  <c r="F287" i="9"/>
  <c r="U287" i="9"/>
  <c r="AJ287" i="9"/>
  <c r="C276" i="10"/>
  <c r="AY276" i="10"/>
  <c r="AW276" i="10"/>
  <c r="AX277" i="10"/>
  <c r="F277" i="10"/>
  <c r="U277" i="10"/>
  <c r="AJ277" i="10"/>
  <c r="G216" i="7"/>
  <c r="V216" i="7"/>
  <c r="AK216" i="7"/>
  <c r="E182" i="7"/>
  <c r="T182" i="7"/>
  <c r="AI182" i="7"/>
  <c r="C175" i="7"/>
  <c r="AY175" i="7"/>
  <c r="AW175" i="7"/>
  <c r="AX176" i="7"/>
  <c r="F176" i="7"/>
  <c r="U176" i="7"/>
  <c r="AJ176" i="7"/>
  <c r="AJ319" i="8" l="1"/>
  <c r="U319" i="8"/>
  <c r="F319" i="8"/>
  <c r="D363" i="8"/>
  <c r="S363" i="8"/>
  <c r="AH363" i="8"/>
  <c r="E351" i="8"/>
  <c r="T351" i="8"/>
  <c r="AI351" i="8"/>
  <c r="D346" i="9"/>
  <c r="S346" i="9"/>
  <c r="AH346" i="9"/>
  <c r="D323" i="7"/>
  <c r="S323" i="7"/>
  <c r="AH323" i="7"/>
  <c r="G320" i="9"/>
  <c r="V320" i="9"/>
  <c r="AK320" i="9"/>
  <c r="G316" i="10"/>
  <c r="V316" i="10"/>
  <c r="AK316" i="10"/>
  <c r="D301" i="10"/>
  <c r="S301" i="10"/>
  <c r="AH301" i="10"/>
  <c r="E303" i="9"/>
  <c r="T303" i="9"/>
  <c r="AI303" i="9"/>
  <c r="AX306" i="8"/>
  <c r="AW305" i="8"/>
  <c r="V306" i="8"/>
  <c r="G306" i="8"/>
  <c r="AK306" i="8"/>
  <c r="C305" i="8"/>
  <c r="AY305" i="8"/>
  <c r="E295" i="10"/>
  <c r="T295" i="10"/>
  <c r="AI295" i="10"/>
  <c r="AY287" i="9"/>
  <c r="C287" i="9"/>
  <c r="AW287" i="9"/>
  <c r="AX288" i="9"/>
  <c r="F288" i="9"/>
  <c r="U288" i="9"/>
  <c r="AJ288" i="9"/>
  <c r="C277" i="10"/>
  <c r="AY277" i="10"/>
  <c r="AW277" i="10"/>
  <c r="AX278" i="10"/>
  <c r="F278" i="10"/>
  <c r="U278" i="10"/>
  <c r="AJ278" i="10"/>
  <c r="G217" i="7"/>
  <c r="V217" i="7"/>
  <c r="AK217" i="7"/>
  <c r="E183" i="7"/>
  <c r="T183" i="7"/>
  <c r="AI183" i="7"/>
  <c r="C176" i="7"/>
  <c r="AY176" i="7"/>
  <c r="AW176" i="7"/>
  <c r="AX177" i="7"/>
  <c r="F177" i="7"/>
  <c r="U177" i="7"/>
  <c r="AJ177" i="7"/>
  <c r="AJ320" i="8" l="1"/>
  <c r="U320" i="8"/>
  <c r="F320" i="8"/>
  <c r="D364" i="8"/>
  <c r="S364" i="8"/>
  <c r="AH364" i="8"/>
  <c r="E352" i="8"/>
  <c r="T352" i="8"/>
  <c r="AI352" i="8"/>
  <c r="D347" i="9"/>
  <c r="S347" i="9"/>
  <c r="AH347" i="9"/>
  <c r="D324" i="7"/>
  <c r="S324" i="7"/>
  <c r="AH324" i="7"/>
  <c r="G321" i="9"/>
  <c r="V321" i="9"/>
  <c r="AK321" i="9"/>
  <c r="V317" i="10"/>
  <c r="AK317" i="10"/>
  <c r="G317" i="10"/>
  <c r="S302" i="10"/>
  <c r="D302" i="10"/>
  <c r="AH302" i="10"/>
  <c r="E304" i="9"/>
  <c r="T304" i="9"/>
  <c r="AI304" i="9"/>
  <c r="AY306" i="8"/>
  <c r="C306" i="8"/>
  <c r="AX307" i="8"/>
  <c r="AW306" i="8"/>
  <c r="W105" i="2" s="1"/>
  <c r="AK307" i="8"/>
  <c r="G307" i="8"/>
  <c r="V307" i="8"/>
  <c r="E296" i="10"/>
  <c r="T296" i="10"/>
  <c r="AI296" i="10"/>
  <c r="C288" i="9"/>
  <c r="AY288" i="9"/>
  <c r="AW288" i="9"/>
  <c r="AX289" i="9"/>
  <c r="F289" i="9"/>
  <c r="U289" i="9"/>
  <c r="AJ289" i="9"/>
  <c r="AY278" i="10"/>
  <c r="C278" i="10"/>
  <c r="AX279" i="10"/>
  <c r="AW278" i="10"/>
  <c r="F279" i="10"/>
  <c r="U279" i="10"/>
  <c r="AJ279" i="10"/>
  <c r="G218" i="7"/>
  <c r="V218" i="7"/>
  <c r="AK218" i="7"/>
  <c r="E184" i="7"/>
  <c r="T184" i="7"/>
  <c r="AI184" i="7"/>
  <c r="AY177" i="7"/>
  <c r="C177" i="7"/>
  <c r="AW177" i="7"/>
  <c r="X62" i="2" s="1"/>
  <c r="AX178" i="7"/>
  <c r="F178" i="7"/>
  <c r="U178" i="7"/>
  <c r="AJ178" i="7"/>
  <c r="F321" i="8" l="1"/>
  <c r="U321" i="8"/>
  <c r="AJ321" i="8"/>
  <c r="D365" i="8"/>
  <c r="S365" i="8"/>
  <c r="AH365" i="8"/>
  <c r="E353" i="8"/>
  <c r="T353" i="8"/>
  <c r="AI353" i="8"/>
  <c r="D348" i="9"/>
  <c r="S348" i="9"/>
  <c r="AH348" i="9"/>
  <c r="D325" i="7"/>
  <c r="S325" i="7"/>
  <c r="AH325" i="7"/>
  <c r="G322" i="9"/>
  <c r="V322" i="9"/>
  <c r="AK322" i="9"/>
  <c r="V318" i="10"/>
  <c r="AK318" i="10"/>
  <c r="G318" i="10"/>
  <c r="D303" i="10"/>
  <c r="AH303" i="10"/>
  <c r="S303" i="10"/>
  <c r="E305" i="9"/>
  <c r="T305" i="9"/>
  <c r="AI305" i="9"/>
  <c r="AW307" i="8"/>
  <c r="AX308" i="8"/>
  <c r="G308" i="8"/>
  <c r="V308" i="8"/>
  <c r="AK308" i="8"/>
  <c r="C307" i="8"/>
  <c r="AY307" i="8"/>
  <c r="T297" i="10"/>
  <c r="E297" i="10"/>
  <c r="AI297" i="10"/>
  <c r="C289" i="9"/>
  <c r="AY289" i="9"/>
  <c r="AW289" i="9"/>
  <c r="AX290" i="9"/>
  <c r="F290" i="9"/>
  <c r="U290" i="9"/>
  <c r="AJ290" i="9"/>
  <c r="C279" i="10"/>
  <c r="AY279" i="10"/>
  <c r="AW279" i="10"/>
  <c r="AX280" i="10"/>
  <c r="F280" i="10"/>
  <c r="U280" i="10"/>
  <c r="AJ280" i="10"/>
  <c r="G219" i="7"/>
  <c r="V219" i="7"/>
  <c r="AK219" i="7"/>
  <c r="E185" i="7"/>
  <c r="T185" i="7"/>
  <c r="AI185" i="7"/>
  <c r="AY178" i="7"/>
  <c r="C178" i="7"/>
  <c r="AX179" i="7"/>
  <c r="AW178" i="7"/>
  <c r="F179" i="7"/>
  <c r="U179" i="7"/>
  <c r="AJ179" i="7"/>
  <c r="F322" i="8" l="1"/>
  <c r="AJ322" i="8"/>
  <c r="U322" i="8"/>
  <c r="D366" i="8"/>
  <c r="S366" i="8"/>
  <c r="AH366" i="8"/>
  <c r="E354" i="8"/>
  <c r="T354" i="8"/>
  <c r="AI354" i="8"/>
  <c r="D349" i="9"/>
  <c r="S349" i="9"/>
  <c r="AH349" i="9"/>
  <c r="D326" i="7"/>
  <c r="S326" i="7"/>
  <c r="AH326" i="7"/>
  <c r="G323" i="9"/>
  <c r="V323" i="9"/>
  <c r="AK323" i="9"/>
  <c r="G319" i="10"/>
  <c r="AK319" i="10"/>
  <c r="V319" i="10"/>
  <c r="AH304" i="10"/>
  <c r="D304" i="10"/>
  <c r="S304" i="10"/>
  <c r="E306" i="9"/>
  <c r="T306" i="9"/>
  <c r="AI306" i="9"/>
  <c r="AY308" i="8"/>
  <c r="C308" i="8"/>
  <c r="AW308" i="8"/>
  <c r="AX309" i="8"/>
  <c r="G309" i="8"/>
  <c r="V309" i="8"/>
  <c r="AK309" i="8"/>
  <c r="E298" i="10"/>
  <c r="T298" i="10"/>
  <c r="AI298" i="10"/>
  <c r="AY290" i="9"/>
  <c r="C290" i="9"/>
  <c r="AW290" i="9"/>
  <c r="AX291" i="9"/>
  <c r="F291" i="9"/>
  <c r="U291" i="9"/>
  <c r="AJ291" i="9"/>
  <c r="AY280" i="10"/>
  <c r="C280" i="10"/>
  <c r="AX281" i="10"/>
  <c r="AW280" i="10"/>
  <c r="F281" i="10"/>
  <c r="U281" i="10"/>
  <c r="AJ281" i="10"/>
  <c r="G220" i="7"/>
  <c r="V220" i="7"/>
  <c r="AK220" i="7"/>
  <c r="E186" i="7"/>
  <c r="T186" i="7"/>
  <c r="AI186" i="7"/>
  <c r="AY179" i="7"/>
  <c r="C179" i="7"/>
  <c r="AX180" i="7"/>
  <c r="AW179" i="7"/>
  <c r="F180" i="7"/>
  <c r="U180" i="7"/>
  <c r="AJ180" i="7"/>
  <c r="F323" i="8" l="1"/>
  <c r="U323" i="8"/>
  <c r="AJ323" i="8"/>
  <c r="AH368" i="8"/>
  <c r="AH370" i="8" s="1"/>
  <c r="K10" i="3" s="1"/>
  <c r="AH369" i="8"/>
  <c r="I10" i="3" s="1"/>
  <c r="E355" i="8"/>
  <c r="T355" i="8"/>
  <c r="AI355" i="8"/>
  <c r="D350" i="9"/>
  <c r="S350" i="9"/>
  <c r="AH350" i="9"/>
  <c r="D327" i="7"/>
  <c r="S327" i="7"/>
  <c r="AH327" i="7"/>
  <c r="G324" i="9"/>
  <c r="V324" i="9"/>
  <c r="AK324" i="9"/>
  <c r="G320" i="10"/>
  <c r="V320" i="10"/>
  <c r="AK320" i="10"/>
  <c r="D305" i="10"/>
  <c r="S305" i="10"/>
  <c r="AH305" i="10"/>
  <c r="E307" i="9"/>
  <c r="T307" i="9"/>
  <c r="AI307" i="9"/>
  <c r="C309" i="8"/>
  <c r="AY309" i="8"/>
  <c r="AX310" i="8"/>
  <c r="AW309" i="8"/>
  <c r="W106" i="2" s="1"/>
  <c r="V310" i="8"/>
  <c r="AK310" i="8"/>
  <c r="G310" i="8"/>
  <c r="E299" i="10"/>
  <c r="T299" i="10"/>
  <c r="AI299" i="10"/>
  <c r="C291" i="9"/>
  <c r="AY291" i="9"/>
  <c r="AX292" i="9"/>
  <c r="AW291" i="9"/>
  <c r="F292" i="9"/>
  <c r="U292" i="9"/>
  <c r="AJ292" i="9"/>
  <c r="AY281" i="10"/>
  <c r="C281" i="10"/>
  <c r="AX282" i="10"/>
  <c r="AW281" i="10"/>
  <c r="F282" i="10"/>
  <c r="U282" i="10"/>
  <c r="AJ282" i="10"/>
  <c r="G221" i="7"/>
  <c r="V221" i="7"/>
  <c r="AK221" i="7"/>
  <c r="E187" i="7"/>
  <c r="T187" i="7"/>
  <c r="AI187" i="7"/>
  <c r="AY180" i="7"/>
  <c r="C180" i="7"/>
  <c r="AW180" i="7"/>
  <c r="X63" i="2" s="1"/>
  <c r="AX181" i="7"/>
  <c r="F181" i="7"/>
  <c r="U181" i="7"/>
  <c r="AJ181" i="7"/>
  <c r="U324" i="8" l="1"/>
  <c r="F324" i="8"/>
  <c r="AJ324" i="8"/>
  <c r="C43" i="6"/>
  <c r="G16" i="2" s="1"/>
  <c r="AA8" i="2"/>
  <c r="J10" i="3"/>
  <c r="E356" i="8"/>
  <c r="T356" i="8"/>
  <c r="AI356" i="8"/>
  <c r="D351" i="9"/>
  <c r="S351" i="9"/>
  <c r="AH351" i="9"/>
  <c r="D328" i="7"/>
  <c r="S328" i="7"/>
  <c r="AH328" i="7"/>
  <c r="G325" i="9"/>
  <c r="V325" i="9"/>
  <c r="AK325" i="9"/>
  <c r="V321" i="10"/>
  <c r="G321" i="10"/>
  <c r="AK321" i="10"/>
  <c r="D306" i="10"/>
  <c r="AH306" i="10"/>
  <c r="S306" i="10"/>
  <c r="E308" i="9"/>
  <c r="T308" i="9"/>
  <c r="AI308" i="9"/>
  <c r="AX311" i="8"/>
  <c r="AW310" i="8"/>
  <c r="AK311" i="8"/>
  <c r="G311" i="8"/>
  <c r="V311" i="8"/>
  <c r="C310" i="8"/>
  <c r="AY310" i="8"/>
  <c r="E300" i="10"/>
  <c r="T300" i="10"/>
  <c r="AI300" i="10"/>
  <c r="C292" i="9"/>
  <c r="AY292" i="9"/>
  <c r="AW292" i="9"/>
  <c r="AX293" i="9"/>
  <c r="F293" i="9"/>
  <c r="U293" i="9"/>
  <c r="AJ293" i="9"/>
  <c r="C282" i="10"/>
  <c r="AY282" i="10"/>
  <c r="AX283" i="10"/>
  <c r="AW282" i="10"/>
  <c r="F283" i="10"/>
  <c r="U283" i="10"/>
  <c r="AJ283" i="10"/>
  <c r="G222" i="7"/>
  <c r="V222" i="7"/>
  <c r="AK222" i="7"/>
  <c r="E188" i="7"/>
  <c r="T188" i="7"/>
  <c r="AI188" i="7"/>
  <c r="C181" i="7"/>
  <c r="AY181" i="7"/>
  <c r="AW181" i="7"/>
  <c r="AX182" i="7"/>
  <c r="F182" i="7"/>
  <c r="U182" i="7"/>
  <c r="AJ182" i="7"/>
  <c r="AJ325" i="8" l="1"/>
  <c r="U325" i="8"/>
  <c r="F325" i="8"/>
  <c r="E357" i="8"/>
  <c r="T357" i="8"/>
  <c r="AI357" i="8"/>
  <c r="D352" i="9"/>
  <c r="S352" i="9"/>
  <c r="AH352" i="9"/>
  <c r="S329" i="7"/>
  <c r="D329" i="7"/>
  <c r="AH329" i="7"/>
  <c r="G326" i="9"/>
  <c r="V326" i="9"/>
  <c r="AK326" i="9"/>
  <c r="G322" i="10"/>
  <c r="AK322" i="10"/>
  <c r="V322" i="10"/>
  <c r="S307" i="10"/>
  <c r="AH307" i="10"/>
  <c r="D307" i="10"/>
  <c r="E309" i="9"/>
  <c r="T309" i="9"/>
  <c r="AI309" i="9"/>
  <c r="AX312" i="8"/>
  <c r="AW311" i="8"/>
  <c r="AK312" i="8"/>
  <c r="G312" i="8"/>
  <c r="V312" i="8"/>
  <c r="C311" i="8"/>
  <c r="AY311" i="8"/>
  <c r="E301" i="10"/>
  <c r="AI301" i="10"/>
  <c r="T301" i="10"/>
  <c r="C293" i="9"/>
  <c r="AY293" i="9"/>
  <c r="AX294" i="9"/>
  <c r="AW293" i="9"/>
  <c r="F294" i="9"/>
  <c r="U294" i="9"/>
  <c r="AJ294" i="9"/>
  <c r="C283" i="10"/>
  <c r="AY283" i="10"/>
  <c r="AX284" i="10"/>
  <c r="AW283" i="10"/>
  <c r="F284" i="10"/>
  <c r="U284" i="10"/>
  <c r="AJ284" i="10"/>
  <c r="G223" i="7"/>
  <c r="V223" i="7"/>
  <c r="AK223" i="7"/>
  <c r="E189" i="7"/>
  <c r="T189" i="7"/>
  <c r="AI189" i="7"/>
  <c r="AY182" i="7"/>
  <c r="C182" i="7"/>
  <c r="AW182" i="7"/>
  <c r="AX183" i="7"/>
  <c r="F183" i="7"/>
  <c r="U183" i="7"/>
  <c r="AJ183" i="7"/>
  <c r="AJ326" i="8" l="1"/>
  <c r="U326" i="8"/>
  <c r="F326" i="8"/>
  <c r="E358" i="8"/>
  <c r="T358" i="8"/>
  <c r="AI358" i="8"/>
  <c r="D353" i="9"/>
  <c r="S353" i="9"/>
  <c r="AH353" i="9"/>
  <c r="S330" i="7"/>
  <c r="AH330" i="7"/>
  <c r="D330" i="7"/>
  <c r="G327" i="9"/>
  <c r="V327" i="9"/>
  <c r="AK327" i="9"/>
  <c r="G323" i="10"/>
  <c r="AK323" i="10"/>
  <c r="V323" i="10"/>
  <c r="D308" i="10"/>
  <c r="S308" i="10"/>
  <c r="AH308" i="10"/>
  <c r="E310" i="9"/>
  <c r="T310" i="9"/>
  <c r="AI310" i="9"/>
  <c r="AX313" i="8"/>
  <c r="AW312" i="8"/>
  <c r="W107" i="2" s="1"/>
  <c r="V313" i="8"/>
  <c r="G313" i="8"/>
  <c r="AK313" i="8"/>
  <c r="C312" i="8"/>
  <c r="AY312" i="8"/>
  <c r="E302" i="10"/>
  <c r="T302" i="10"/>
  <c r="AI302" i="10"/>
  <c r="AY294" i="9"/>
  <c r="C294" i="9"/>
  <c r="AX295" i="9"/>
  <c r="AW294" i="9"/>
  <c r="F295" i="9"/>
  <c r="U295" i="9"/>
  <c r="AJ295" i="9"/>
  <c r="C284" i="10"/>
  <c r="AY284" i="10"/>
  <c r="AX285" i="10"/>
  <c r="AW284" i="10"/>
  <c r="F285" i="10"/>
  <c r="U285" i="10"/>
  <c r="AJ285" i="10"/>
  <c r="G224" i="7"/>
  <c r="V224" i="7"/>
  <c r="AK224" i="7"/>
  <c r="E190" i="7"/>
  <c r="T190" i="7"/>
  <c r="AI190" i="7"/>
  <c r="AY183" i="7"/>
  <c r="C183" i="7"/>
  <c r="AW183" i="7"/>
  <c r="X64" i="2" s="1"/>
  <c r="AX184" i="7"/>
  <c r="F184" i="7"/>
  <c r="U184" i="7"/>
  <c r="AJ184" i="7"/>
  <c r="AJ327" i="8" l="1"/>
  <c r="U327" i="8"/>
  <c r="F327" i="8"/>
  <c r="E359" i="8"/>
  <c r="T359" i="8"/>
  <c r="AI359" i="8"/>
  <c r="D354" i="9"/>
  <c r="S354" i="9"/>
  <c r="AH354" i="9"/>
  <c r="D331" i="7"/>
  <c r="S331" i="7"/>
  <c r="AH331" i="7"/>
  <c r="G328" i="9"/>
  <c r="V328" i="9"/>
  <c r="AK328" i="9"/>
  <c r="G324" i="10"/>
  <c r="V324" i="10"/>
  <c r="AK324" i="10"/>
  <c r="AH309" i="10"/>
  <c r="D309" i="10"/>
  <c r="S309" i="10"/>
  <c r="E311" i="9"/>
  <c r="T311" i="9"/>
  <c r="AI311" i="9"/>
  <c r="C313" i="8"/>
  <c r="AY313" i="8"/>
  <c r="AW313" i="8"/>
  <c r="AX314" i="8"/>
  <c r="G314" i="8"/>
  <c r="AK314" i="8"/>
  <c r="V314" i="8"/>
  <c r="E303" i="10"/>
  <c r="T303" i="10"/>
  <c r="AI303" i="10"/>
  <c r="C295" i="9"/>
  <c r="AY295" i="9"/>
  <c r="AW295" i="9"/>
  <c r="AX296" i="9"/>
  <c r="F296" i="9"/>
  <c r="U296" i="9"/>
  <c r="AJ296" i="9"/>
  <c r="C285" i="10"/>
  <c r="AY285" i="10"/>
  <c r="AX286" i="10"/>
  <c r="AW285" i="10"/>
  <c r="F286" i="10"/>
  <c r="U286" i="10"/>
  <c r="AJ286" i="10"/>
  <c r="G225" i="7"/>
  <c r="V225" i="7"/>
  <c r="AK225" i="7"/>
  <c r="E191" i="7"/>
  <c r="T191" i="7"/>
  <c r="AI191" i="7"/>
  <c r="C184" i="7"/>
  <c r="AY184" i="7"/>
  <c r="AX185" i="7"/>
  <c r="AW184" i="7"/>
  <c r="F185" i="7"/>
  <c r="U185" i="7"/>
  <c r="AJ185" i="7"/>
  <c r="AJ328" i="8" l="1"/>
  <c r="U328" i="8"/>
  <c r="F328" i="8"/>
  <c r="E360" i="8"/>
  <c r="T360" i="8"/>
  <c r="AI360" i="8"/>
  <c r="D355" i="9"/>
  <c r="S355" i="9"/>
  <c r="AH355" i="9"/>
  <c r="D332" i="7"/>
  <c r="S332" i="7"/>
  <c r="AH332" i="7"/>
  <c r="G329" i="9"/>
  <c r="V329" i="9"/>
  <c r="AK329" i="9"/>
  <c r="G325" i="10"/>
  <c r="AK325" i="10"/>
  <c r="V325" i="10"/>
  <c r="D310" i="10"/>
  <c r="S310" i="10"/>
  <c r="AH310" i="10"/>
  <c r="E312" i="9"/>
  <c r="T312" i="9"/>
  <c r="AI312" i="9"/>
  <c r="AY314" i="8"/>
  <c r="C314" i="8"/>
  <c r="AW314" i="8"/>
  <c r="AX315" i="8"/>
  <c r="G315" i="8"/>
  <c r="AK315" i="8"/>
  <c r="V315" i="8"/>
  <c r="E304" i="10"/>
  <c r="T304" i="10"/>
  <c r="AI304" i="10"/>
  <c r="C296" i="9"/>
  <c r="AY296" i="9"/>
  <c r="AX297" i="9"/>
  <c r="AW296" i="9"/>
  <c r="F297" i="9"/>
  <c r="U297" i="9"/>
  <c r="AJ297" i="9"/>
  <c r="C286" i="10"/>
  <c r="AY286" i="10"/>
  <c r="AW286" i="10"/>
  <c r="AX287" i="10"/>
  <c r="F287" i="10"/>
  <c r="U287" i="10"/>
  <c r="AJ287" i="10"/>
  <c r="G226" i="7"/>
  <c r="V226" i="7"/>
  <c r="AK226" i="7"/>
  <c r="E192" i="7"/>
  <c r="T192" i="7"/>
  <c r="AI192" i="7"/>
  <c r="C185" i="7"/>
  <c r="AY185" i="7"/>
  <c r="AX186" i="7"/>
  <c r="AW185" i="7"/>
  <c r="F186" i="7"/>
  <c r="U186" i="7"/>
  <c r="AJ186" i="7"/>
  <c r="AJ329" i="8" l="1"/>
  <c r="U329" i="8"/>
  <c r="F329" i="8"/>
  <c r="E361" i="8"/>
  <c r="T361" i="8"/>
  <c r="AI361" i="8"/>
  <c r="D356" i="9"/>
  <c r="S356" i="9"/>
  <c r="AH356" i="9"/>
  <c r="D333" i="7"/>
  <c r="S333" i="7"/>
  <c r="AH333" i="7"/>
  <c r="G330" i="9"/>
  <c r="V330" i="9"/>
  <c r="AK330" i="9"/>
  <c r="V326" i="10"/>
  <c r="AK326" i="10"/>
  <c r="G326" i="10"/>
  <c r="S311" i="10"/>
  <c r="D311" i="10"/>
  <c r="AH311" i="10"/>
  <c r="E313" i="9"/>
  <c r="T313" i="9"/>
  <c r="AI313" i="9"/>
  <c r="AY315" i="8"/>
  <c r="C315" i="8"/>
  <c r="AW315" i="8"/>
  <c r="W108" i="2" s="1"/>
  <c r="AX316" i="8"/>
  <c r="G316" i="8"/>
  <c r="V316" i="8"/>
  <c r="AK316" i="8"/>
  <c r="E305" i="10"/>
  <c r="T305" i="10"/>
  <c r="AI305" i="10"/>
  <c r="AY297" i="9"/>
  <c r="C297" i="9"/>
  <c r="AW297" i="9"/>
  <c r="AX298" i="9"/>
  <c r="F298" i="9"/>
  <c r="U298" i="9"/>
  <c r="AJ298" i="9"/>
  <c r="C287" i="10"/>
  <c r="AY287" i="10"/>
  <c r="AX288" i="10"/>
  <c r="AW287" i="10"/>
  <c r="F288" i="10"/>
  <c r="U288" i="10"/>
  <c r="AJ288" i="10"/>
  <c r="G227" i="7"/>
  <c r="V227" i="7"/>
  <c r="AK227" i="7"/>
  <c r="E193" i="7"/>
  <c r="T193" i="7"/>
  <c r="AI193" i="7"/>
  <c r="C186" i="7"/>
  <c r="AY186" i="7"/>
  <c r="AX187" i="7"/>
  <c r="AW186" i="7"/>
  <c r="X65" i="2" s="1"/>
  <c r="F187" i="7"/>
  <c r="U187" i="7"/>
  <c r="AJ187" i="7"/>
  <c r="AJ330" i="8" l="1"/>
  <c r="U330" i="8"/>
  <c r="F330" i="8"/>
  <c r="E362" i="8"/>
  <c r="T362" i="8"/>
  <c r="AI362" i="8"/>
  <c r="D357" i="9"/>
  <c r="S357" i="9"/>
  <c r="AH357" i="9"/>
  <c r="S334" i="7"/>
  <c r="AH334" i="7"/>
  <c r="D334" i="7"/>
  <c r="G331" i="9"/>
  <c r="V331" i="9"/>
  <c r="AK331" i="9"/>
  <c r="G327" i="10"/>
  <c r="V327" i="10"/>
  <c r="AK327" i="10"/>
  <c r="D312" i="10"/>
  <c r="AH312" i="10"/>
  <c r="S312" i="10"/>
  <c r="E314" i="9"/>
  <c r="T314" i="9"/>
  <c r="AI314" i="9"/>
  <c r="C316" i="8"/>
  <c r="AY316" i="8"/>
  <c r="AX317" i="8"/>
  <c r="AW316" i="8"/>
  <c r="AK317" i="8"/>
  <c r="V317" i="8"/>
  <c r="G317" i="8"/>
  <c r="E306" i="10"/>
  <c r="AI306" i="10"/>
  <c r="T306" i="10"/>
  <c r="C298" i="9"/>
  <c r="AY298" i="9"/>
  <c r="AX299" i="9"/>
  <c r="AW298" i="9"/>
  <c r="F299" i="9"/>
  <c r="U299" i="9"/>
  <c r="AJ299" i="9"/>
  <c r="C288" i="10"/>
  <c r="AY288" i="10"/>
  <c r="AX289" i="10"/>
  <c r="AW288" i="10"/>
  <c r="U289" i="10"/>
  <c r="F289" i="10"/>
  <c r="AJ289" i="10"/>
  <c r="G228" i="7"/>
  <c r="V228" i="7"/>
  <c r="AK228" i="7"/>
  <c r="E194" i="7"/>
  <c r="T194" i="7"/>
  <c r="AI194" i="7"/>
  <c r="AY187" i="7"/>
  <c r="C187" i="7"/>
  <c r="AW187" i="7"/>
  <c r="AX188" i="7"/>
  <c r="F188" i="7"/>
  <c r="U188" i="7"/>
  <c r="AJ188" i="7"/>
  <c r="AJ331" i="8" l="1"/>
  <c r="U331" i="8"/>
  <c r="F331" i="8"/>
  <c r="E363" i="8"/>
  <c r="T363" i="8"/>
  <c r="AI363" i="8"/>
  <c r="D358" i="9"/>
  <c r="S358" i="9"/>
  <c r="AH358" i="9"/>
  <c r="D335" i="7"/>
  <c r="S335" i="7"/>
  <c r="AH335" i="7"/>
  <c r="G332" i="9"/>
  <c r="V332" i="9"/>
  <c r="AK332" i="9"/>
  <c r="G328" i="10"/>
  <c r="V328" i="10"/>
  <c r="AK328" i="10"/>
  <c r="D313" i="10"/>
  <c r="AH313" i="10"/>
  <c r="S313" i="10"/>
  <c r="E315" i="9"/>
  <c r="T315" i="9"/>
  <c r="AI315" i="9"/>
  <c r="AX318" i="8"/>
  <c r="AW317" i="8"/>
  <c r="AK318" i="8"/>
  <c r="G318" i="8"/>
  <c r="V318" i="8"/>
  <c r="AY317" i="8"/>
  <c r="C317" i="8"/>
  <c r="E307" i="10"/>
  <c r="T307" i="10"/>
  <c r="AI307" i="10"/>
  <c r="C299" i="9"/>
  <c r="AY299" i="9"/>
  <c r="AW299" i="9"/>
  <c r="AX300" i="9"/>
  <c r="F300" i="9"/>
  <c r="U300" i="9"/>
  <c r="AJ300" i="9"/>
  <c r="C289" i="10"/>
  <c r="AY289" i="10"/>
  <c r="AW289" i="10"/>
  <c r="AX290" i="10"/>
  <c r="F290" i="10"/>
  <c r="U290" i="10"/>
  <c r="AJ290" i="10"/>
  <c r="G229" i="7"/>
  <c r="V229" i="7"/>
  <c r="AK229" i="7"/>
  <c r="E195" i="7"/>
  <c r="T195" i="7"/>
  <c r="AI195" i="7"/>
  <c r="AY188" i="7"/>
  <c r="C188" i="7"/>
  <c r="AW188" i="7"/>
  <c r="AX189" i="7"/>
  <c r="F189" i="7"/>
  <c r="U189" i="7"/>
  <c r="AJ189" i="7"/>
  <c r="AJ332" i="8" l="1"/>
  <c r="U332" i="8"/>
  <c r="F332" i="8"/>
  <c r="E364" i="8"/>
  <c r="T364" i="8"/>
  <c r="AI364" i="8"/>
  <c r="D359" i="9"/>
  <c r="S359" i="9"/>
  <c r="AH359" i="9"/>
  <c r="S336" i="7"/>
  <c r="AH336" i="7"/>
  <c r="D336" i="7"/>
  <c r="G333" i="9"/>
  <c r="V333" i="9"/>
  <c r="AK333" i="9"/>
  <c r="G329" i="10"/>
  <c r="V329" i="10"/>
  <c r="AK329" i="10"/>
  <c r="S314" i="10"/>
  <c r="D314" i="10"/>
  <c r="AH314" i="10"/>
  <c r="E316" i="9"/>
  <c r="T316" i="9"/>
  <c r="AI316" i="9"/>
  <c r="AW318" i="8"/>
  <c r="W109" i="2" s="1"/>
  <c r="AX319" i="8"/>
  <c r="AK319" i="8"/>
  <c r="G319" i="8"/>
  <c r="V319" i="8"/>
  <c r="AY318" i="8"/>
  <c r="C318" i="8"/>
  <c r="E308" i="10"/>
  <c r="T308" i="10"/>
  <c r="AI308" i="10"/>
  <c r="AY300" i="9"/>
  <c r="C300" i="9"/>
  <c r="AX301" i="9"/>
  <c r="AW300" i="9"/>
  <c r="F301" i="9"/>
  <c r="U301" i="9"/>
  <c r="AJ301" i="9"/>
  <c r="C290" i="10"/>
  <c r="AY290" i="10"/>
  <c r="AX291" i="10"/>
  <c r="AW290" i="10"/>
  <c r="U291" i="10"/>
  <c r="F291" i="10"/>
  <c r="AJ291" i="10"/>
  <c r="G230" i="7"/>
  <c r="V230" i="7"/>
  <c r="AK230" i="7"/>
  <c r="E196" i="7"/>
  <c r="T196" i="7"/>
  <c r="AI196" i="7"/>
  <c r="AY189" i="7"/>
  <c r="C189" i="7"/>
  <c r="AW189" i="7"/>
  <c r="X66" i="2" s="1"/>
  <c r="AX190" i="7"/>
  <c r="F190" i="7"/>
  <c r="U190" i="7"/>
  <c r="AJ190" i="7"/>
  <c r="AJ333" i="8" l="1"/>
  <c r="U333" i="8"/>
  <c r="F333" i="8"/>
  <c r="E365" i="8"/>
  <c r="T365" i="8"/>
  <c r="AI365" i="8"/>
  <c r="D360" i="9"/>
  <c r="S360" i="9"/>
  <c r="AH360" i="9"/>
  <c r="D337" i="7"/>
  <c r="AH337" i="7"/>
  <c r="S337" i="7"/>
  <c r="G334" i="9"/>
  <c r="V334" i="9"/>
  <c r="AK334" i="9"/>
  <c r="G330" i="10"/>
  <c r="V330" i="10"/>
  <c r="AK330" i="10"/>
  <c r="S315" i="10"/>
  <c r="D315" i="10"/>
  <c r="AH315" i="10"/>
  <c r="E317" i="9"/>
  <c r="T317" i="9"/>
  <c r="AI317" i="9"/>
  <c r="AX320" i="8"/>
  <c r="AW319" i="8"/>
  <c r="V320" i="8"/>
  <c r="G320" i="8"/>
  <c r="AK320" i="8"/>
  <c r="C319" i="8"/>
  <c r="AY319" i="8"/>
  <c r="T309" i="10"/>
  <c r="AI309" i="10"/>
  <c r="E309" i="10"/>
  <c r="AY301" i="9"/>
  <c r="C301" i="9"/>
  <c r="AX302" i="9"/>
  <c r="AW301" i="9"/>
  <c r="F302" i="9"/>
  <c r="U302" i="9"/>
  <c r="AJ302" i="9"/>
  <c r="C291" i="10"/>
  <c r="AY291" i="10"/>
  <c r="AW291" i="10"/>
  <c r="AX292" i="10"/>
  <c r="F292" i="10"/>
  <c r="AJ292" i="10"/>
  <c r="U292" i="10"/>
  <c r="G231" i="7"/>
  <c r="V231" i="7"/>
  <c r="AK231" i="7"/>
  <c r="E197" i="7"/>
  <c r="T197" i="7"/>
  <c r="AI197" i="7"/>
  <c r="AY190" i="7"/>
  <c r="C190" i="7"/>
  <c r="AX191" i="7"/>
  <c r="AW190" i="7"/>
  <c r="F191" i="7"/>
  <c r="U191" i="7"/>
  <c r="AJ191" i="7"/>
  <c r="AJ334" i="8" l="1"/>
  <c r="U334" i="8"/>
  <c r="F334" i="8"/>
  <c r="E366" i="8"/>
  <c r="T366" i="8"/>
  <c r="AI366" i="8"/>
  <c r="D361" i="9"/>
  <c r="S361" i="9"/>
  <c r="AH361" i="9"/>
  <c r="AH338" i="7"/>
  <c r="D338" i="7"/>
  <c r="S338" i="7"/>
  <c r="G335" i="9"/>
  <c r="V335" i="9"/>
  <c r="AK335" i="9"/>
  <c r="V331" i="10"/>
  <c r="G331" i="10"/>
  <c r="AK331" i="10"/>
  <c r="D316" i="10"/>
  <c r="S316" i="10"/>
  <c r="AH316" i="10"/>
  <c r="E318" i="9"/>
  <c r="T318" i="9"/>
  <c r="AI318" i="9"/>
  <c r="C320" i="8"/>
  <c r="AY320" i="8"/>
  <c r="AX321" i="8"/>
  <c r="AW320" i="8"/>
  <c r="G321" i="8"/>
  <c r="AK321" i="8"/>
  <c r="V321" i="8"/>
  <c r="E310" i="10"/>
  <c r="T310" i="10"/>
  <c r="AI310" i="10"/>
  <c r="C302" i="9"/>
  <c r="AY302" i="9"/>
  <c r="AW302" i="9"/>
  <c r="AX303" i="9"/>
  <c r="F303" i="9"/>
  <c r="U303" i="9"/>
  <c r="AJ303" i="9"/>
  <c r="C292" i="10"/>
  <c r="AY292" i="10"/>
  <c r="AW292" i="10"/>
  <c r="AX293" i="10"/>
  <c r="F293" i="10"/>
  <c r="AJ293" i="10"/>
  <c r="U293" i="10"/>
  <c r="G232" i="7"/>
  <c r="V232" i="7"/>
  <c r="AK232" i="7"/>
  <c r="E198" i="7"/>
  <c r="T198" i="7"/>
  <c r="AI198" i="7"/>
  <c r="C191" i="7"/>
  <c r="AY191" i="7"/>
  <c r="AX192" i="7"/>
  <c r="AW191" i="7"/>
  <c r="F192" i="7"/>
  <c r="U192" i="7"/>
  <c r="AJ192" i="7"/>
  <c r="AJ335" i="8" l="1"/>
  <c r="U335" i="8"/>
  <c r="F335" i="8"/>
  <c r="AI368" i="8"/>
  <c r="AI370" i="8" s="1"/>
  <c r="K8" i="3" s="1"/>
  <c r="AI369" i="8"/>
  <c r="I8" i="3" s="1"/>
  <c r="D362" i="9"/>
  <c r="S362" i="9"/>
  <c r="AH362" i="9"/>
  <c r="D339" i="7"/>
  <c r="AH339" i="7"/>
  <c r="S339" i="7"/>
  <c r="G336" i="9"/>
  <c r="V336" i="9"/>
  <c r="AK336" i="9"/>
  <c r="G332" i="10"/>
  <c r="V332" i="10"/>
  <c r="AK332" i="10"/>
  <c r="D317" i="10"/>
  <c r="S317" i="10"/>
  <c r="AH317" i="10"/>
  <c r="E319" i="9"/>
  <c r="T319" i="9"/>
  <c r="AI319" i="9"/>
  <c r="C321" i="8"/>
  <c r="AY321" i="8"/>
  <c r="AX322" i="8"/>
  <c r="AW321" i="8"/>
  <c r="W110" i="2" s="1"/>
  <c r="G322" i="8"/>
  <c r="V322" i="8"/>
  <c r="AK322" i="8"/>
  <c r="E311" i="10"/>
  <c r="AI311" i="10"/>
  <c r="T311" i="10"/>
  <c r="AY303" i="9"/>
  <c r="C303" i="9"/>
  <c r="AX304" i="9"/>
  <c r="AW303" i="9"/>
  <c r="F304" i="9"/>
  <c r="U304" i="9"/>
  <c r="AJ304" i="9"/>
  <c r="C293" i="10"/>
  <c r="AY293" i="10"/>
  <c r="AW293" i="10"/>
  <c r="AX294" i="10"/>
  <c r="F294" i="10"/>
  <c r="U294" i="10"/>
  <c r="AJ294" i="10"/>
  <c r="G233" i="7"/>
  <c r="V233" i="7"/>
  <c r="AK233" i="7"/>
  <c r="E199" i="7"/>
  <c r="T199" i="7"/>
  <c r="AI199" i="7"/>
  <c r="AY192" i="7"/>
  <c r="C192" i="7"/>
  <c r="AX193" i="7"/>
  <c r="AW192" i="7"/>
  <c r="X67" i="2" s="1"/>
  <c r="F193" i="7"/>
  <c r="U193" i="7"/>
  <c r="AJ193" i="7"/>
  <c r="U336" i="8" l="1"/>
  <c r="AJ336" i="8"/>
  <c r="F336" i="8"/>
  <c r="AA6" i="2"/>
  <c r="J8" i="3"/>
  <c r="D363" i="9"/>
  <c r="S363" i="9"/>
  <c r="AH363" i="9"/>
  <c r="D340" i="7"/>
  <c r="S340" i="7"/>
  <c r="AH340" i="7"/>
  <c r="G337" i="9"/>
  <c r="V337" i="9"/>
  <c r="AK337" i="9"/>
  <c r="G333" i="10"/>
  <c r="V333" i="10"/>
  <c r="AK333" i="10"/>
  <c r="D318" i="10"/>
  <c r="S318" i="10"/>
  <c r="AH318" i="10"/>
  <c r="E320" i="9"/>
  <c r="T320" i="9"/>
  <c r="AI320" i="9"/>
  <c r="C322" i="8"/>
  <c r="AY322" i="8"/>
  <c r="AW322" i="8"/>
  <c r="AX323" i="8"/>
  <c r="G323" i="8"/>
  <c r="V323" i="8"/>
  <c r="AK323" i="8"/>
  <c r="AI312" i="10"/>
  <c r="E312" i="10"/>
  <c r="T312" i="10"/>
  <c r="C304" i="9"/>
  <c r="AY304" i="9"/>
  <c r="AW304" i="9"/>
  <c r="AX305" i="9"/>
  <c r="F305" i="9"/>
  <c r="U305" i="9"/>
  <c r="AJ305" i="9"/>
  <c r="C294" i="10"/>
  <c r="AY294" i="10"/>
  <c r="AX295" i="10"/>
  <c r="AW294" i="10"/>
  <c r="F295" i="10"/>
  <c r="U295" i="10"/>
  <c r="AJ295" i="10"/>
  <c r="G234" i="7"/>
  <c r="V234" i="7"/>
  <c r="AK234" i="7"/>
  <c r="E200" i="7"/>
  <c r="T200" i="7"/>
  <c r="AI200" i="7"/>
  <c r="AY193" i="7"/>
  <c r="C193" i="7"/>
  <c r="AX194" i="7"/>
  <c r="AW193" i="7"/>
  <c r="F194" i="7"/>
  <c r="U194" i="7"/>
  <c r="AJ194" i="7"/>
  <c r="AJ337" i="8" l="1"/>
  <c r="U337" i="8"/>
  <c r="F337" i="8"/>
  <c r="D364" i="9"/>
  <c r="S364" i="9"/>
  <c r="AH364" i="9"/>
  <c r="S341" i="7"/>
  <c r="D341" i="7"/>
  <c r="AH341" i="7"/>
  <c r="G338" i="9"/>
  <c r="V338" i="9"/>
  <c r="AK338" i="9"/>
  <c r="AK334" i="10"/>
  <c r="G334" i="10"/>
  <c r="V334" i="10"/>
  <c r="D319" i="10"/>
  <c r="AH319" i="10"/>
  <c r="S319" i="10"/>
  <c r="E321" i="9"/>
  <c r="T321" i="9"/>
  <c r="AI321" i="9"/>
  <c r="AY323" i="8"/>
  <c r="C323" i="8"/>
  <c r="AW323" i="8"/>
  <c r="AX324" i="8"/>
  <c r="G324" i="8"/>
  <c r="V324" i="8"/>
  <c r="AK324" i="8"/>
  <c r="AI313" i="10"/>
  <c r="E313" i="10"/>
  <c r="T313" i="10"/>
  <c r="AY305" i="9"/>
  <c r="C305" i="9"/>
  <c r="AX306" i="9"/>
  <c r="AW305" i="9"/>
  <c r="F306" i="9"/>
  <c r="U306" i="9"/>
  <c r="AJ306" i="9"/>
  <c r="C295" i="10"/>
  <c r="AY295" i="10"/>
  <c r="AX296" i="10"/>
  <c r="AW295" i="10"/>
  <c r="F296" i="10"/>
  <c r="U296" i="10"/>
  <c r="AJ296" i="10"/>
  <c r="G235" i="7"/>
  <c r="V235" i="7"/>
  <c r="AK235" i="7"/>
  <c r="E201" i="7"/>
  <c r="T201" i="7"/>
  <c r="AI201" i="7"/>
  <c r="C194" i="7"/>
  <c r="AY194" i="7"/>
  <c r="AX195" i="7"/>
  <c r="AW194" i="7"/>
  <c r="F195" i="7"/>
  <c r="U195" i="7"/>
  <c r="AJ195" i="7"/>
  <c r="AJ338" i="8" l="1"/>
  <c r="U338" i="8"/>
  <c r="F338" i="8"/>
  <c r="D365" i="9"/>
  <c r="S365" i="9"/>
  <c r="AH365" i="9"/>
  <c r="D342" i="7"/>
  <c r="S342" i="7"/>
  <c r="AH342" i="7"/>
  <c r="G339" i="9"/>
  <c r="V339" i="9"/>
  <c r="AK339" i="9"/>
  <c r="G335" i="10"/>
  <c r="V335" i="10"/>
  <c r="AK335" i="10"/>
  <c r="D320" i="10"/>
  <c r="S320" i="10"/>
  <c r="AH320" i="10"/>
  <c r="E322" i="9"/>
  <c r="T322" i="9"/>
  <c r="AI322" i="9"/>
  <c r="C324" i="8"/>
  <c r="AY324" i="8"/>
  <c r="AW324" i="8"/>
  <c r="W111" i="2" s="1"/>
  <c r="AX325" i="8"/>
  <c r="G325" i="8"/>
  <c r="V325" i="8"/>
  <c r="AK325" i="8"/>
  <c r="T314" i="10"/>
  <c r="E314" i="10"/>
  <c r="AI314" i="10"/>
  <c r="AY306" i="9"/>
  <c r="C306" i="9"/>
  <c r="AX307" i="9"/>
  <c r="AW306" i="9"/>
  <c r="F307" i="9"/>
  <c r="U307" i="9"/>
  <c r="AJ307" i="9"/>
  <c r="AY296" i="10"/>
  <c r="C296" i="10"/>
  <c r="AX297" i="10"/>
  <c r="AW296" i="10"/>
  <c r="F297" i="10"/>
  <c r="AJ297" i="10"/>
  <c r="U297" i="10"/>
  <c r="G236" i="7"/>
  <c r="V236" i="7"/>
  <c r="AK236" i="7"/>
  <c r="E202" i="7"/>
  <c r="T202" i="7"/>
  <c r="AI202" i="7"/>
  <c r="AY195" i="7"/>
  <c r="C195" i="7"/>
  <c r="AW195" i="7"/>
  <c r="X68" i="2" s="1"/>
  <c r="AX196" i="7"/>
  <c r="F196" i="7"/>
  <c r="U196" i="7"/>
  <c r="AJ196" i="7"/>
  <c r="F339" i="8" l="1"/>
  <c r="AJ339" i="8"/>
  <c r="U339" i="8"/>
  <c r="D366" i="9"/>
  <c r="S366" i="9"/>
  <c r="AH366" i="9"/>
  <c r="S343" i="7"/>
  <c r="AH343" i="7"/>
  <c r="D343" i="7"/>
  <c r="G340" i="9"/>
  <c r="V340" i="9"/>
  <c r="AK340" i="9"/>
  <c r="G336" i="10"/>
  <c r="V336" i="10"/>
  <c r="AK336" i="10"/>
  <c r="D321" i="10"/>
  <c r="S321" i="10"/>
  <c r="AH321" i="10"/>
  <c r="E323" i="9"/>
  <c r="T323" i="9"/>
  <c r="AI323" i="9"/>
  <c r="AY325" i="8"/>
  <c r="C325" i="8"/>
  <c r="AX326" i="8"/>
  <c r="AW325" i="8"/>
  <c r="G326" i="8"/>
  <c r="V326" i="8"/>
  <c r="AK326" i="8"/>
  <c r="E315" i="10"/>
  <c r="T315" i="10"/>
  <c r="AI315" i="10"/>
  <c r="C307" i="9"/>
  <c r="AY307" i="9"/>
  <c r="AW307" i="9"/>
  <c r="AX308" i="9"/>
  <c r="F308" i="9"/>
  <c r="U308" i="9"/>
  <c r="AJ308" i="9"/>
  <c r="AY297" i="10"/>
  <c r="C297" i="10"/>
  <c r="AW297" i="10"/>
  <c r="AX298" i="10"/>
  <c r="U298" i="10"/>
  <c r="AJ298" i="10"/>
  <c r="F298" i="10"/>
  <c r="G237" i="7"/>
  <c r="V237" i="7"/>
  <c r="AK237" i="7"/>
  <c r="E203" i="7"/>
  <c r="T203" i="7"/>
  <c r="AI203" i="7"/>
  <c r="AY196" i="7"/>
  <c r="C196" i="7"/>
  <c r="AW196" i="7"/>
  <c r="AX197" i="7"/>
  <c r="F197" i="7"/>
  <c r="U197" i="7"/>
  <c r="AJ197" i="7"/>
  <c r="AJ340" i="8" l="1"/>
  <c r="U340" i="8"/>
  <c r="F340" i="8"/>
  <c r="AH368" i="9"/>
  <c r="AH370" i="9" s="1"/>
  <c r="AH369" i="9"/>
  <c r="D344" i="7"/>
  <c r="AH344" i="7"/>
  <c r="S344" i="7"/>
  <c r="G341" i="9"/>
  <c r="V341" i="9"/>
  <c r="AK341" i="9"/>
  <c r="G337" i="10"/>
  <c r="V337" i="10"/>
  <c r="AK337" i="10"/>
  <c r="D322" i="10"/>
  <c r="S322" i="10"/>
  <c r="AH322" i="10"/>
  <c r="E324" i="9"/>
  <c r="T324" i="9"/>
  <c r="AI324" i="9"/>
  <c r="AY326" i="8"/>
  <c r="C326" i="8"/>
  <c r="AX327" i="8"/>
  <c r="AW326" i="8"/>
  <c r="G327" i="8"/>
  <c r="V327" i="8"/>
  <c r="AK327" i="8"/>
  <c r="E316" i="10"/>
  <c r="T316" i="10"/>
  <c r="AI316" i="10"/>
  <c r="C308" i="9"/>
  <c r="AY308" i="9"/>
  <c r="AX309" i="9"/>
  <c r="AW308" i="9"/>
  <c r="F309" i="9"/>
  <c r="U309" i="9"/>
  <c r="AJ309" i="9"/>
  <c r="AX299" i="10"/>
  <c r="AW298" i="10"/>
  <c r="F299" i="10"/>
  <c r="U299" i="10"/>
  <c r="AJ299" i="10"/>
  <c r="AY298" i="10"/>
  <c r="C298" i="10"/>
  <c r="G238" i="7"/>
  <c r="V238" i="7"/>
  <c r="AK238" i="7"/>
  <c r="E204" i="7"/>
  <c r="T204" i="7"/>
  <c r="AI204" i="7"/>
  <c r="C197" i="7"/>
  <c r="AY197" i="7"/>
  <c r="AX198" i="7"/>
  <c r="AW197" i="7"/>
  <c r="F198" i="7"/>
  <c r="U198" i="7"/>
  <c r="AJ198" i="7"/>
  <c r="AJ341" i="8" l="1"/>
  <c r="F341" i="8"/>
  <c r="U341" i="8"/>
  <c r="D345" i="7"/>
  <c r="S345" i="7"/>
  <c r="AH345" i="7"/>
  <c r="G342" i="9"/>
  <c r="V342" i="9"/>
  <c r="AK342" i="9"/>
  <c r="G338" i="10"/>
  <c r="V338" i="10"/>
  <c r="AK338" i="10"/>
  <c r="S323" i="10"/>
  <c r="AH323" i="10"/>
  <c r="D323" i="10"/>
  <c r="E325" i="9"/>
  <c r="T325" i="9"/>
  <c r="AI325" i="9"/>
  <c r="AY327" i="8"/>
  <c r="C327" i="8"/>
  <c r="AX328" i="8"/>
  <c r="AW327" i="8"/>
  <c r="W112" i="2" s="1"/>
  <c r="G328" i="8"/>
  <c r="V328" i="8"/>
  <c r="AK328" i="8"/>
  <c r="E317" i="10"/>
  <c r="T317" i="10"/>
  <c r="AI317" i="10"/>
  <c r="C309" i="9"/>
  <c r="AY309" i="9"/>
  <c r="AX310" i="9"/>
  <c r="AW309" i="9"/>
  <c r="F310" i="9"/>
  <c r="U310" i="9"/>
  <c r="AJ310" i="9"/>
  <c r="AY299" i="10"/>
  <c r="C299" i="10"/>
  <c r="AX300" i="10"/>
  <c r="AW299" i="10"/>
  <c r="F300" i="10"/>
  <c r="U300" i="10"/>
  <c r="AJ300" i="10"/>
  <c r="G239" i="7"/>
  <c r="V239" i="7"/>
  <c r="AK239" i="7"/>
  <c r="E205" i="7"/>
  <c r="T205" i="7"/>
  <c r="AI205" i="7"/>
  <c r="AY198" i="7"/>
  <c r="C198" i="7"/>
  <c r="AW198" i="7"/>
  <c r="X69" i="2" s="1"/>
  <c r="AX199" i="7"/>
  <c r="F199" i="7"/>
  <c r="U199" i="7"/>
  <c r="AJ199" i="7"/>
  <c r="AJ342" i="8" l="1"/>
  <c r="F342" i="8"/>
  <c r="U342" i="8"/>
  <c r="D346" i="7"/>
  <c r="S346" i="7"/>
  <c r="AH346" i="7"/>
  <c r="G343" i="9"/>
  <c r="V343" i="9"/>
  <c r="AK343" i="9"/>
  <c r="G339" i="10"/>
  <c r="V339" i="10"/>
  <c r="AK339" i="10"/>
  <c r="D324" i="10"/>
  <c r="S324" i="10"/>
  <c r="AH324" i="10"/>
  <c r="E326" i="9"/>
  <c r="T326" i="9"/>
  <c r="AI326" i="9"/>
  <c r="AY328" i="8"/>
  <c r="C328" i="8"/>
  <c r="AX329" i="8"/>
  <c r="AW328" i="8"/>
  <c r="G329" i="8"/>
  <c r="V329" i="8"/>
  <c r="AK329" i="8"/>
  <c r="E318" i="10"/>
  <c r="T318" i="10"/>
  <c r="AI318" i="10"/>
  <c r="AY310" i="9"/>
  <c r="C310" i="9"/>
  <c r="AX311" i="9"/>
  <c r="AW310" i="9"/>
  <c r="F311" i="9"/>
  <c r="U311" i="9"/>
  <c r="AJ311" i="9"/>
  <c r="C300" i="10"/>
  <c r="AY300" i="10"/>
  <c r="AW300" i="10"/>
  <c r="AX301" i="10"/>
  <c r="F301" i="10"/>
  <c r="U301" i="10"/>
  <c r="AJ301" i="10"/>
  <c r="G240" i="7"/>
  <c r="V240" i="7"/>
  <c r="AK240" i="7"/>
  <c r="E206" i="7"/>
  <c r="T206" i="7"/>
  <c r="AI206" i="7"/>
  <c r="AY199" i="7"/>
  <c r="C199" i="7"/>
  <c r="AW199" i="7"/>
  <c r="AX200" i="7"/>
  <c r="F200" i="7"/>
  <c r="U200" i="7"/>
  <c r="AJ200" i="7"/>
  <c r="AJ343" i="8" l="1"/>
  <c r="U343" i="8"/>
  <c r="F343" i="8"/>
  <c r="D347" i="7"/>
  <c r="S347" i="7"/>
  <c r="AH347" i="7"/>
  <c r="G344" i="9"/>
  <c r="V344" i="9"/>
  <c r="AK344" i="9"/>
  <c r="G340" i="10"/>
  <c r="V340" i="10"/>
  <c r="AK340" i="10"/>
  <c r="D325" i="10"/>
  <c r="AH325" i="10"/>
  <c r="S325" i="10"/>
  <c r="E327" i="9"/>
  <c r="T327" i="9"/>
  <c r="AI327" i="9"/>
  <c r="AY329" i="8"/>
  <c r="C329" i="8"/>
  <c r="AX330" i="8"/>
  <c r="AW329" i="8"/>
  <c r="G330" i="8"/>
  <c r="V330" i="8"/>
  <c r="AK330" i="8"/>
  <c r="E319" i="10"/>
  <c r="AI319" i="10"/>
  <c r="T319" i="10"/>
  <c r="AY311" i="9"/>
  <c r="C311" i="9"/>
  <c r="AW311" i="9"/>
  <c r="AX312" i="9"/>
  <c r="F312" i="9"/>
  <c r="U312" i="9"/>
  <c r="AJ312" i="9"/>
  <c r="C301" i="10"/>
  <c r="AY301" i="10"/>
  <c r="AX302" i="10"/>
  <c r="AW301" i="10"/>
  <c r="F302" i="10"/>
  <c r="U302" i="10"/>
  <c r="AJ302" i="10"/>
  <c r="G241" i="7"/>
  <c r="V241" i="7"/>
  <c r="AK241" i="7"/>
  <c r="E207" i="7"/>
  <c r="T207" i="7"/>
  <c r="AI207" i="7"/>
  <c r="AY200" i="7"/>
  <c r="C200" i="7"/>
  <c r="AX201" i="7"/>
  <c r="AW200" i="7"/>
  <c r="F201" i="7"/>
  <c r="U201" i="7"/>
  <c r="AJ201" i="7"/>
  <c r="F344" i="8" l="1"/>
  <c r="U344" i="8"/>
  <c r="AJ344" i="8"/>
  <c r="D348" i="7"/>
  <c r="S348" i="7"/>
  <c r="AH348" i="7"/>
  <c r="G345" i="9"/>
  <c r="V345" i="9"/>
  <c r="AK345" i="9"/>
  <c r="G341" i="10"/>
  <c r="V341" i="10"/>
  <c r="AK341" i="10"/>
  <c r="D326" i="10"/>
  <c r="S326" i="10"/>
  <c r="AH326" i="10"/>
  <c r="AI328" i="9"/>
  <c r="E328" i="9"/>
  <c r="T328" i="9"/>
  <c r="AY330" i="8"/>
  <c r="C330" i="8"/>
  <c r="AX331" i="8"/>
  <c r="AW330" i="8"/>
  <c r="W113" i="2" s="1"/>
  <c r="G331" i="8"/>
  <c r="V331" i="8"/>
  <c r="AK331" i="8"/>
  <c r="E320" i="10"/>
  <c r="T320" i="10"/>
  <c r="AI320" i="10"/>
  <c r="C312" i="9"/>
  <c r="AY312" i="9"/>
  <c r="AW312" i="9"/>
  <c r="AX313" i="9"/>
  <c r="F313" i="9"/>
  <c r="U313" i="9"/>
  <c r="AJ313" i="9"/>
  <c r="C302" i="10"/>
  <c r="AY302" i="10"/>
  <c r="AW302" i="10"/>
  <c r="AX303" i="10"/>
  <c r="U303" i="10"/>
  <c r="F303" i="10"/>
  <c r="AJ303" i="10"/>
  <c r="G242" i="7"/>
  <c r="V242" i="7"/>
  <c r="AK242" i="7"/>
  <c r="E208" i="7"/>
  <c r="T208" i="7"/>
  <c r="AI208" i="7"/>
  <c r="C201" i="7"/>
  <c r="AY201" i="7"/>
  <c r="AX202" i="7"/>
  <c r="AW201" i="7"/>
  <c r="X70" i="2" s="1"/>
  <c r="F202" i="7"/>
  <c r="U202" i="7"/>
  <c r="AJ202" i="7"/>
  <c r="AJ345" i="8" l="1"/>
  <c r="F345" i="8"/>
  <c r="U345" i="8"/>
  <c r="D349" i="7"/>
  <c r="S349" i="7"/>
  <c r="AH349" i="7"/>
  <c r="G346" i="9"/>
  <c r="V346" i="9"/>
  <c r="AK346" i="9"/>
  <c r="G342" i="10"/>
  <c r="V342" i="10"/>
  <c r="AK342" i="10"/>
  <c r="S327" i="10"/>
  <c r="D327" i="10"/>
  <c r="AH327" i="10"/>
  <c r="T329" i="9"/>
  <c r="AI329" i="9"/>
  <c r="E329" i="9"/>
  <c r="C331" i="8"/>
  <c r="AY331" i="8"/>
  <c r="AX332" i="8"/>
  <c r="AW331" i="8"/>
  <c r="G332" i="8"/>
  <c r="V332" i="8"/>
  <c r="AK332" i="8"/>
  <c r="AI321" i="10"/>
  <c r="E321" i="10"/>
  <c r="T321" i="10"/>
  <c r="C313" i="9"/>
  <c r="AY313" i="9"/>
  <c r="AX314" i="9"/>
  <c r="AW313" i="9"/>
  <c r="F314" i="9"/>
  <c r="U314" i="9"/>
  <c r="AJ314" i="9"/>
  <c r="C303" i="10"/>
  <c r="AY303" i="10"/>
  <c r="AX304" i="10"/>
  <c r="AW303" i="10"/>
  <c r="F304" i="10"/>
  <c r="U304" i="10"/>
  <c r="AJ304" i="10"/>
  <c r="G243" i="7"/>
  <c r="V243" i="7"/>
  <c r="AK243" i="7"/>
  <c r="E209" i="7"/>
  <c r="T209" i="7"/>
  <c r="AI209" i="7"/>
  <c r="AY202" i="7"/>
  <c r="C202" i="7"/>
  <c r="AX203" i="7"/>
  <c r="AW202" i="7"/>
  <c r="F203" i="7"/>
  <c r="U203" i="7"/>
  <c r="AJ203" i="7"/>
  <c r="F346" i="8" l="1"/>
  <c r="AJ346" i="8"/>
  <c r="U346" i="8"/>
  <c r="S350" i="7"/>
  <c r="D350" i="7"/>
  <c r="AH350" i="7"/>
  <c r="G347" i="9"/>
  <c r="V347" i="9"/>
  <c r="AK347" i="9"/>
  <c r="G343" i="10"/>
  <c r="V343" i="10"/>
  <c r="AK343" i="10"/>
  <c r="D328" i="10"/>
  <c r="S328" i="10"/>
  <c r="AH328" i="10"/>
  <c r="E330" i="9"/>
  <c r="T330" i="9"/>
  <c r="AI330" i="9"/>
  <c r="AY332" i="8"/>
  <c r="C332" i="8"/>
  <c r="AX333" i="8"/>
  <c r="AW332" i="8"/>
  <c r="G333" i="8"/>
  <c r="V333" i="8"/>
  <c r="AK333" i="8"/>
  <c r="E322" i="10"/>
  <c r="T322" i="10"/>
  <c r="AI322" i="10"/>
  <c r="AY314" i="9"/>
  <c r="C314" i="9"/>
  <c r="AX315" i="9"/>
  <c r="AW314" i="9"/>
  <c r="F315" i="9"/>
  <c r="U315" i="9"/>
  <c r="AJ315" i="9"/>
  <c r="C304" i="10"/>
  <c r="AY304" i="10"/>
  <c r="AX305" i="10"/>
  <c r="AW304" i="10"/>
  <c r="U305" i="10"/>
  <c r="AJ305" i="10"/>
  <c r="F305" i="10"/>
  <c r="G244" i="7"/>
  <c r="V244" i="7"/>
  <c r="AK244" i="7"/>
  <c r="E210" i="7"/>
  <c r="T210" i="7"/>
  <c r="AI210" i="7"/>
  <c r="AY203" i="7"/>
  <c r="C203" i="7"/>
  <c r="AX204" i="7"/>
  <c r="AW203" i="7"/>
  <c r="F204" i="7"/>
  <c r="U204" i="7"/>
  <c r="AJ204" i="7"/>
  <c r="AJ347" i="8" l="1"/>
  <c r="U347" i="8"/>
  <c r="F347" i="8"/>
  <c r="S351" i="7"/>
  <c r="D351" i="7"/>
  <c r="AH351" i="7"/>
  <c r="G348" i="9"/>
  <c r="V348" i="9"/>
  <c r="AK348" i="9"/>
  <c r="G344" i="10"/>
  <c r="V344" i="10"/>
  <c r="AK344" i="10"/>
  <c r="S329" i="10"/>
  <c r="AH329" i="10"/>
  <c r="D329" i="10"/>
  <c r="E331" i="9"/>
  <c r="T331" i="9"/>
  <c r="AI331" i="9"/>
  <c r="AY333" i="8"/>
  <c r="C333" i="8"/>
  <c r="AX334" i="8"/>
  <c r="AW333" i="8"/>
  <c r="W114" i="2" s="1"/>
  <c r="G334" i="8"/>
  <c r="V334" i="8"/>
  <c r="AK334" i="8"/>
  <c r="E323" i="10"/>
  <c r="T323" i="10"/>
  <c r="AI323" i="10"/>
  <c r="C315" i="9"/>
  <c r="AY315" i="9"/>
  <c r="AW315" i="9"/>
  <c r="AX316" i="9"/>
  <c r="F316" i="9"/>
  <c r="U316" i="9"/>
  <c r="AJ316" i="9"/>
  <c r="AX306" i="10"/>
  <c r="AW305" i="10"/>
  <c r="F306" i="10"/>
  <c r="U306" i="10"/>
  <c r="AJ306" i="10"/>
  <c r="C305" i="10"/>
  <c r="AY305" i="10"/>
  <c r="G245" i="7"/>
  <c r="V245" i="7"/>
  <c r="AK245" i="7"/>
  <c r="E211" i="7"/>
  <c r="T211" i="7"/>
  <c r="AI211" i="7"/>
  <c r="C204" i="7"/>
  <c r="AY204" i="7"/>
  <c r="AW204" i="7"/>
  <c r="X71" i="2" s="1"/>
  <c r="AX205" i="7"/>
  <c r="F205" i="7"/>
  <c r="U205" i="7"/>
  <c r="AJ205" i="7"/>
  <c r="F348" i="8" l="1"/>
  <c r="AJ348" i="8"/>
  <c r="U348" i="8"/>
  <c r="D352" i="7"/>
  <c r="S352" i="7"/>
  <c r="AH352" i="7"/>
  <c r="G349" i="9"/>
  <c r="V349" i="9"/>
  <c r="AK349" i="9"/>
  <c r="G345" i="10"/>
  <c r="V345" i="10"/>
  <c r="AK345" i="10"/>
  <c r="D330" i="10"/>
  <c r="S330" i="10"/>
  <c r="AH330" i="10"/>
  <c r="E332" i="9"/>
  <c r="T332" i="9"/>
  <c r="AI332" i="9"/>
  <c r="AY334" i="8"/>
  <c r="C334" i="8"/>
  <c r="AW334" i="8"/>
  <c r="AX335" i="8"/>
  <c r="G335" i="8"/>
  <c r="V335" i="8"/>
  <c r="AK335" i="8"/>
  <c r="E324" i="10"/>
  <c r="AI324" i="10"/>
  <c r="T324" i="10"/>
  <c r="AY316" i="9"/>
  <c r="C316" i="9"/>
  <c r="AW316" i="9"/>
  <c r="AX317" i="9"/>
  <c r="F317" i="9"/>
  <c r="U317" i="9"/>
  <c r="AJ317" i="9"/>
  <c r="C306" i="10"/>
  <c r="AY306" i="10"/>
  <c r="AX307" i="10"/>
  <c r="AW306" i="10"/>
  <c r="F307" i="10"/>
  <c r="AJ307" i="10"/>
  <c r="U307" i="10"/>
  <c r="G246" i="7"/>
  <c r="V246" i="7"/>
  <c r="AK246" i="7"/>
  <c r="E212" i="7"/>
  <c r="T212" i="7"/>
  <c r="AI212" i="7"/>
  <c r="C205" i="7"/>
  <c r="AY205" i="7"/>
  <c r="AX206" i="7"/>
  <c r="AW205" i="7"/>
  <c r="F206" i="7"/>
  <c r="U206" i="7"/>
  <c r="AJ206" i="7"/>
  <c r="AJ349" i="8" l="1"/>
  <c r="U349" i="8"/>
  <c r="F349" i="8"/>
  <c r="D353" i="7"/>
  <c r="S353" i="7"/>
  <c r="AH353" i="7"/>
  <c r="G350" i="9"/>
  <c r="V350" i="9"/>
  <c r="AK350" i="9"/>
  <c r="G346" i="10"/>
  <c r="V346" i="10"/>
  <c r="AK346" i="10"/>
  <c r="D331" i="10"/>
  <c r="AH331" i="10"/>
  <c r="S331" i="10"/>
  <c r="E333" i="9"/>
  <c r="T333" i="9"/>
  <c r="AI333" i="9"/>
  <c r="AY335" i="8"/>
  <c r="C335" i="8"/>
  <c r="AW335" i="8"/>
  <c r="AX336" i="8"/>
  <c r="G336" i="8"/>
  <c r="V336" i="8"/>
  <c r="AK336" i="8"/>
  <c r="AI325" i="10"/>
  <c r="E325" i="10"/>
  <c r="T325" i="10"/>
  <c r="AY317" i="9"/>
  <c r="C317" i="9"/>
  <c r="AW317" i="9"/>
  <c r="AX318" i="9"/>
  <c r="F318" i="9"/>
  <c r="U318" i="9"/>
  <c r="AJ318" i="9"/>
  <c r="C307" i="10"/>
  <c r="AY307" i="10"/>
  <c r="AW307" i="10"/>
  <c r="AX308" i="10"/>
  <c r="AJ308" i="10"/>
  <c r="F308" i="10"/>
  <c r="U308" i="10"/>
  <c r="G247" i="7"/>
  <c r="V247" i="7"/>
  <c r="AK247" i="7"/>
  <c r="E213" i="7"/>
  <c r="T213" i="7"/>
  <c r="AI213" i="7"/>
  <c r="AY206" i="7"/>
  <c r="C206" i="7"/>
  <c r="AX207" i="7"/>
  <c r="AW206" i="7"/>
  <c r="F207" i="7"/>
  <c r="U207" i="7"/>
  <c r="AJ207" i="7"/>
  <c r="AJ350" i="8" l="1"/>
  <c r="F350" i="8"/>
  <c r="U350" i="8"/>
  <c r="D354" i="7"/>
  <c r="S354" i="7"/>
  <c r="AH354" i="7"/>
  <c r="G351" i="9"/>
  <c r="V351" i="9"/>
  <c r="AK351" i="9"/>
  <c r="G347" i="10"/>
  <c r="V347" i="10"/>
  <c r="AK347" i="10"/>
  <c r="D332" i="10"/>
  <c r="S332" i="10"/>
  <c r="AH332" i="10"/>
  <c r="E334" i="9"/>
  <c r="T334" i="9"/>
  <c r="AI334" i="9"/>
  <c r="C336" i="8"/>
  <c r="AY336" i="8"/>
  <c r="AX337" i="8"/>
  <c r="AW336" i="8"/>
  <c r="W115" i="2" s="1"/>
  <c r="G337" i="8"/>
  <c r="V337" i="8"/>
  <c r="AK337" i="8"/>
  <c r="E326" i="10"/>
  <c r="T326" i="10"/>
  <c r="AI326" i="10"/>
  <c r="C318" i="9"/>
  <c r="AY318" i="9"/>
  <c r="AW318" i="9"/>
  <c r="AX319" i="9"/>
  <c r="F319" i="9"/>
  <c r="U319" i="9"/>
  <c r="AJ319" i="9"/>
  <c r="AX309" i="10"/>
  <c r="AW308" i="10"/>
  <c r="F309" i="10"/>
  <c r="U309" i="10"/>
  <c r="AJ309" i="10"/>
  <c r="C308" i="10"/>
  <c r="AY308" i="10"/>
  <c r="G248" i="7"/>
  <c r="V248" i="7"/>
  <c r="AK248" i="7"/>
  <c r="E214" i="7"/>
  <c r="T214" i="7"/>
  <c r="AI214" i="7"/>
  <c r="AY207" i="7"/>
  <c r="C207" i="7"/>
  <c r="AX208" i="7"/>
  <c r="AW207" i="7"/>
  <c r="X72" i="2" s="1"/>
  <c r="F208" i="7"/>
  <c r="U208" i="7"/>
  <c r="AJ208" i="7"/>
  <c r="U351" i="8" l="1"/>
  <c r="AJ351" i="8"/>
  <c r="F351" i="8"/>
  <c r="D355" i="7"/>
  <c r="S355" i="7"/>
  <c r="AH355" i="7"/>
  <c r="G352" i="9"/>
  <c r="V352" i="9"/>
  <c r="AK352" i="9"/>
  <c r="G348" i="10"/>
  <c r="V348" i="10"/>
  <c r="AK348" i="10"/>
  <c r="AH333" i="10"/>
  <c r="D333" i="10"/>
  <c r="S333" i="10"/>
  <c r="E335" i="9"/>
  <c r="T335" i="9"/>
  <c r="AI335" i="9"/>
  <c r="AY337" i="8"/>
  <c r="C337" i="8"/>
  <c r="AX338" i="8"/>
  <c r="AW337" i="8"/>
  <c r="G338" i="8"/>
  <c r="V338" i="8"/>
  <c r="AK338" i="8"/>
  <c r="T327" i="10"/>
  <c r="AI327" i="10"/>
  <c r="E327" i="10"/>
  <c r="AY319" i="9"/>
  <c r="C319" i="9"/>
  <c r="AX320" i="9"/>
  <c r="AW319" i="9"/>
  <c r="F320" i="9"/>
  <c r="U320" i="9"/>
  <c r="AJ320" i="9"/>
  <c r="C309" i="10"/>
  <c r="AY309" i="10"/>
  <c r="AW309" i="10"/>
  <c r="AX310" i="10"/>
  <c r="AJ310" i="10"/>
  <c r="F310" i="10"/>
  <c r="U310" i="10"/>
  <c r="G249" i="7"/>
  <c r="V249" i="7"/>
  <c r="AK249" i="7"/>
  <c r="E215" i="7"/>
  <c r="T215" i="7"/>
  <c r="AI215" i="7"/>
  <c r="AY208" i="7"/>
  <c r="C208" i="7"/>
  <c r="AW208" i="7"/>
  <c r="AX209" i="7"/>
  <c r="F209" i="7"/>
  <c r="U209" i="7"/>
  <c r="AJ209" i="7"/>
  <c r="F352" i="8" l="1"/>
  <c r="AJ352" i="8"/>
  <c r="U352" i="8"/>
  <c r="D356" i="7"/>
  <c r="S356" i="7"/>
  <c r="AH356" i="7"/>
  <c r="G353" i="9"/>
  <c r="V353" i="9"/>
  <c r="AK353" i="9"/>
  <c r="G349" i="10"/>
  <c r="V349" i="10"/>
  <c r="AK349" i="10"/>
  <c r="S334" i="10"/>
  <c r="D334" i="10"/>
  <c r="AH334" i="10"/>
  <c r="E336" i="9"/>
  <c r="T336" i="9"/>
  <c r="AI336" i="9"/>
  <c r="C338" i="8"/>
  <c r="AY338" i="8"/>
  <c r="AW338" i="8"/>
  <c r="AX339" i="8"/>
  <c r="G339" i="8"/>
  <c r="V339" i="8"/>
  <c r="AK339" i="8"/>
  <c r="E328" i="10"/>
  <c r="T328" i="10"/>
  <c r="AI328" i="10"/>
  <c r="AY320" i="9"/>
  <c r="C320" i="9"/>
  <c r="AW320" i="9"/>
  <c r="AX321" i="9"/>
  <c r="F321" i="9"/>
  <c r="U321" i="9"/>
  <c r="AJ321" i="9"/>
  <c r="AW310" i="10"/>
  <c r="AX311" i="10"/>
  <c r="U311" i="10"/>
  <c r="F311" i="10"/>
  <c r="AJ311" i="10"/>
  <c r="C310" i="10"/>
  <c r="AY310" i="10"/>
  <c r="G250" i="7"/>
  <c r="V250" i="7"/>
  <c r="AK250" i="7"/>
  <c r="E216" i="7"/>
  <c r="T216" i="7"/>
  <c r="AI216" i="7"/>
  <c r="C209" i="7"/>
  <c r="AY209" i="7"/>
  <c r="AW209" i="7"/>
  <c r="AX210" i="7"/>
  <c r="F210" i="7"/>
  <c r="U210" i="7"/>
  <c r="AJ210" i="7"/>
  <c r="AJ353" i="8" l="1"/>
  <c r="U353" i="8"/>
  <c r="F353" i="8"/>
  <c r="S357" i="7"/>
  <c r="AH357" i="7"/>
  <c r="D357" i="7"/>
  <c r="G354" i="9"/>
  <c r="V354" i="9"/>
  <c r="AK354" i="9"/>
  <c r="G350" i="10"/>
  <c r="V350" i="10"/>
  <c r="AK350" i="10"/>
  <c r="D335" i="10"/>
  <c r="S335" i="10"/>
  <c r="AH335" i="10"/>
  <c r="E337" i="9"/>
  <c r="T337" i="9"/>
  <c r="AI337" i="9"/>
  <c r="C339" i="8"/>
  <c r="AY339" i="8"/>
  <c r="AW339" i="8"/>
  <c r="W116" i="2" s="1"/>
  <c r="AX340" i="8"/>
  <c r="G340" i="8"/>
  <c r="V340" i="8"/>
  <c r="AK340" i="8"/>
  <c r="E329" i="10"/>
  <c r="T329" i="10"/>
  <c r="AI329" i="10"/>
  <c r="C321" i="9"/>
  <c r="AY321" i="9"/>
  <c r="AW321" i="9"/>
  <c r="AX322" i="9"/>
  <c r="F322" i="9"/>
  <c r="U322" i="9"/>
  <c r="AJ322" i="9"/>
  <c r="C311" i="10"/>
  <c r="AY311" i="10"/>
  <c r="AW311" i="10"/>
  <c r="AX312" i="10"/>
  <c r="AJ312" i="10"/>
  <c r="F312" i="10"/>
  <c r="U312" i="10"/>
  <c r="G251" i="7"/>
  <c r="V251" i="7"/>
  <c r="AK251" i="7"/>
  <c r="E217" i="7"/>
  <c r="T217" i="7"/>
  <c r="AI217" i="7"/>
  <c r="AY210" i="7"/>
  <c r="C210" i="7"/>
  <c r="AX211" i="7"/>
  <c r="AW210" i="7"/>
  <c r="X73" i="2" s="1"/>
  <c r="F211" i="7"/>
  <c r="U211" i="7"/>
  <c r="AJ211" i="7"/>
  <c r="AJ354" i="8" l="1"/>
  <c r="U354" i="8"/>
  <c r="F354" i="8"/>
  <c r="D358" i="7"/>
  <c r="AH358" i="7"/>
  <c r="S358" i="7"/>
  <c r="G355" i="9"/>
  <c r="V355" i="9"/>
  <c r="AK355" i="9"/>
  <c r="G351" i="10"/>
  <c r="V351" i="10"/>
  <c r="AK351" i="10"/>
  <c r="D336" i="10"/>
  <c r="S336" i="10"/>
  <c r="AH336" i="10"/>
  <c r="E338" i="9"/>
  <c r="T338" i="9"/>
  <c r="AI338" i="9"/>
  <c r="AY340" i="8"/>
  <c r="C340" i="8"/>
  <c r="AW340" i="8"/>
  <c r="AX341" i="8"/>
  <c r="G341" i="8"/>
  <c r="V341" i="8"/>
  <c r="AK341" i="8"/>
  <c r="T330" i="10"/>
  <c r="AI330" i="10"/>
  <c r="E330" i="10"/>
  <c r="C322" i="9"/>
  <c r="AY322" i="9"/>
  <c r="AW322" i="9"/>
  <c r="AX323" i="9"/>
  <c r="F323" i="9"/>
  <c r="U323" i="9"/>
  <c r="AJ323" i="9"/>
  <c r="AX313" i="10"/>
  <c r="AW312" i="10"/>
  <c r="U313" i="10"/>
  <c r="AJ313" i="10"/>
  <c r="F313" i="10"/>
  <c r="AY312" i="10"/>
  <c r="C312" i="10"/>
  <c r="G252" i="7"/>
  <c r="V252" i="7"/>
  <c r="AK252" i="7"/>
  <c r="E218" i="7"/>
  <c r="T218" i="7"/>
  <c r="AI218" i="7"/>
  <c r="AY211" i="7"/>
  <c r="C211" i="7"/>
  <c r="AW211" i="7"/>
  <c r="AX212" i="7"/>
  <c r="F212" i="7"/>
  <c r="U212" i="7"/>
  <c r="AJ212" i="7"/>
  <c r="AJ355" i="8" l="1"/>
  <c r="U355" i="8"/>
  <c r="F355" i="8"/>
  <c r="D359" i="7"/>
  <c r="S359" i="7"/>
  <c r="AH359" i="7"/>
  <c r="G356" i="9"/>
  <c r="V356" i="9"/>
  <c r="AK356" i="9"/>
  <c r="G352" i="10"/>
  <c r="V352" i="10"/>
  <c r="AK352" i="10"/>
  <c r="D337" i="10"/>
  <c r="S337" i="10"/>
  <c r="AH337" i="10"/>
  <c r="E339" i="9"/>
  <c r="T339" i="9"/>
  <c r="AI339" i="9"/>
  <c r="AY341" i="8"/>
  <c r="C341" i="8"/>
  <c r="AX342" i="8"/>
  <c r="AW341" i="8"/>
  <c r="G342" i="8"/>
  <c r="V342" i="8"/>
  <c r="AK342" i="8"/>
  <c r="E331" i="10"/>
  <c r="AI331" i="10"/>
  <c r="T331" i="10"/>
  <c r="C323" i="9"/>
  <c r="AY323" i="9"/>
  <c r="AW323" i="9"/>
  <c r="AX324" i="9"/>
  <c r="F324" i="9"/>
  <c r="U324" i="9"/>
  <c r="AJ324" i="9"/>
  <c r="AW313" i="10"/>
  <c r="AX314" i="10"/>
  <c r="U314" i="10"/>
  <c r="F314" i="10"/>
  <c r="AJ314" i="10"/>
  <c r="C313" i="10"/>
  <c r="AY313" i="10"/>
  <c r="G253" i="7"/>
  <c r="V253" i="7"/>
  <c r="AK253" i="7"/>
  <c r="E219" i="7"/>
  <c r="T219" i="7"/>
  <c r="AI219" i="7"/>
  <c r="AY212" i="7"/>
  <c r="C212" i="7"/>
  <c r="AW212" i="7"/>
  <c r="AX213" i="7"/>
  <c r="F213" i="7"/>
  <c r="U213" i="7"/>
  <c r="AJ213" i="7"/>
  <c r="AJ356" i="8" l="1"/>
  <c r="U356" i="8"/>
  <c r="F356" i="8"/>
  <c r="D360" i="7"/>
  <c r="S360" i="7"/>
  <c r="AH360" i="7"/>
  <c r="G357" i="9"/>
  <c r="V357" i="9"/>
  <c r="AK357" i="9"/>
  <c r="G353" i="10"/>
  <c r="V353" i="10"/>
  <c r="AK353" i="10"/>
  <c r="D338" i="10"/>
  <c r="S338" i="10"/>
  <c r="AH338" i="10"/>
  <c r="E340" i="9"/>
  <c r="T340" i="9"/>
  <c r="AI340" i="9"/>
  <c r="AY342" i="8"/>
  <c r="C342" i="8"/>
  <c r="AX343" i="8"/>
  <c r="AW342" i="8"/>
  <c r="W117" i="2" s="1"/>
  <c r="G343" i="8"/>
  <c r="V343" i="8"/>
  <c r="AK343" i="8"/>
  <c r="AI332" i="10"/>
  <c r="E332" i="10"/>
  <c r="T332" i="10"/>
  <c r="C324" i="9"/>
  <c r="AY324" i="9"/>
  <c r="AW324" i="9"/>
  <c r="AX325" i="9"/>
  <c r="F325" i="9"/>
  <c r="U325" i="9"/>
  <c r="AJ325" i="9"/>
  <c r="C314" i="10"/>
  <c r="AY314" i="10"/>
  <c r="AX315" i="10"/>
  <c r="AW314" i="10"/>
  <c r="F315" i="10"/>
  <c r="U315" i="10"/>
  <c r="AJ315" i="10"/>
  <c r="G254" i="7"/>
  <c r="V254" i="7"/>
  <c r="AK254" i="7"/>
  <c r="E220" i="7"/>
  <c r="T220" i="7"/>
  <c r="AI220" i="7"/>
  <c r="C213" i="7"/>
  <c r="AY213" i="7"/>
  <c r="AW213" i="7"/>
  <c r="X74" i="2" s="1"/>
  <c r="AX214" i="7"/>
  <c r="F214" i="7"/>
  <c r="U214" i="7"/>
  <c r="AJ214" i="7"/>
  <c r="AJ357" i="8" l="1"/>
  <c r="U357" i="8"/>
  <c r="F357" i="8"/>
  <c r="S361" i="7"/>
  <c r="AH361" i="7"/>
  <c r="D361" i="7"/>
  <c r="G358" i="9"/>
  <c r="V358" i="9"/>
  <c r="AK358" i="9"/>
  <c r="G354" i="10"/>
  <c r="V354" i="10"/>
  <c r="AK354" i="10"/>
  <c r="D339" i="10"/>
  <c r="S339" i="10"/>
  <c r="AH339" i="10"/>
  <c r="E341" i="9"/>
  <c r="T341" i="9"/>
  <c r="AI341" i="9"/>
  <c r="C343" i="8"/>
  <c r="AY343" i="8"/>
  <c r="AX344" i="8"/>
  <c r="AW343" i="8"/>
  <c r="G344" i="8"/>
  <c r="V344" i="8"/>
  <c r="AK344" i="8"/>
  <c r="E333" i="10"/>
  <c r="T333" i="10"/>
  <c r="AI333" i="10"/>
  <c r="C325" i="9"/>
  <c r="AY325" i="9"/>
  <c r="AX326" i="9"/>
  <c r="AW325" i="9"/>
  <c r="F326" i="9"/>
  <c r="U326" i="9"/>
  <c r="AJ326" i="9"/>
  <c r="C315" i="10"/>
  <c r="AY315" i="10"/>
  <c r="AX316" i="10"/>
  <c r="AW315" i="10"/>
  <c r="F316" i="10"/>
  <c r="U316" i="10"/>
  <c r="AJ316" i="10"/>
  <c r="G255" i="7"/>
  <c r="V255" i="7"/>
  <c r="AK255" i="7"/>
  <c r="E221" i="7"/>
  <c r="T221" i="7"/>
  <c r="AI221" i="7"/>
  <c r="AY214" i="7"/>
  <c r="C214" i="7"/>
  <c r="AX215" i="7"/>
  <c r="AW214" i="7"/>
  <c r="F215" i="7"/>
  <c r="U215" i="7"/>
  <c r="AJ215" i="7"/>
  <c r="AJ358" i="8" l="1"/>
  <c r="U358" i="8"/>
  <c r="F358" i="8"/>
  <c r="D362" i="7"/>
  <c r="S362" i="7"/>
  <c r="AH362" i="7"/>
  <c r="G359" i="9"/>
  <c r="V359" i="9"/>
  <c r="AK359" i="9"/>
  <c r="G355" i="10"/>
  <c r="V355" i="10"/>
  <c r="AK355" i="10"/>
  <c r="D340" i="10"/>
  <c r="S340" i="10"/>
  <c r="AH340" i="10"/>
  <c r="E342" i="9"/>
  <c r="T342" i="9"/>
  <c r="AI342" i="9"/>
  <c r="AY344" i="8"/>
  <c r="C344" i="8"/>
  <c r="AX345" i="8"/>
  <c r="AW344" i="8"/>
  <c r="G345" i="8"/>
  <c r="V345" i="8"/>
  <c r="AK345" i="8"/>
  <c r="AI334" i="10"/>
  <c r="E334" i="10"/>
  <c r="T334" i="10"/>
  <c r="C326" i="9"/>
  <c r="AY326" i="9"/>
  <c r="AX327" i="9"/>
  <c r="AW326" i="9"/>
  <c r="F327" i="9"/>
  <c r="U327" i="9"/>
  <c r="AJ327" i="9"/>
  <c r="AY316" i="10"/>
  <c r="C316" i="10"/>
  <c r="AX317" i="10"/>
  <c r="AW316" i="10"/>
  <c r="F317" i="10"/>
  <c r="U317" i="10"/>
  <c r="AJ317" i="10"/>
  <c r="G256" i="7"/>
  <c r="V256" i="7"/>
  <c r="AK256" i="7"/>
  <c r="E222" i="7"/>
  <c r="T222" i="7"/>
  <c r="AI222" i="7"/>
  <c r="AY215" i="7"/>
  <c r="C215" i="7"/>
  <c r="AW215" i="7"/>
  <c r="AX216" i="7"/>
  <c r="F216" i="7"/>
  <c r="U216" i="7"/>
  <c r="AJ216" i="7"/>
  <c r="AJ359" i="8" l="1"/>
  <c r="U359" i="8"/>
  <c r="F359" i="8"/>
  <c r="D363" i="7"/>
  <c r="S363" i="7"/>
  <c r="AH363" i="7"/>
  <c r="G360" i="9"/>
  <c r="V360" i="9"/>
  <c r="AK360" i="9"/>
  <c r="G356" i="10"/>
  <c r="V356" i="10"/>
  <c r="AK356" i="10"/>
  <c r="D341" i="10"/>
  <c r="S341" i="10"/>
  <c r="AH341" i="10"/>
  <c r="E343" i="9"/>
  <c r="T343" i="9"/>
  <c r="AI343" i="9"/>
  <c r="C345" i="8"/>
  <c r="AY345" i="8"/>
  <c r="AX346" i="8"/>
  <c r="AW345" i="8"/>
  <c r="W118" i="2" s="1"/>
  <c r="G346" i="8"/>
  <c r="V346" i="8"/>
  <c r="AK346" i="8"/>
  <c r="E335" i="10"/>
  <c r="T335" i="10"/>
  <c r="AI335" i="10"/>
  <c r="AY327" i="9"/>
  <c r="C327" i="9"/>
  <c r="AX328" i="9"/>
  <c r="AW327" i="9"/>
  <c r="AJ328" i="9"/>
  <c r="F328" i="9"/>
  <c r="U328" i="9"/>
  <c r="C317" i="10"/>
  <c r="AY317" i="10"/>
  <c r="AW317" i="10"/>
  <c r="AX318" i="10"/>
  <c r="F318" i="10"/>
  <c r="U318" i="10"/>
  <c r="AJ318" i="10"/>
  <c r="G257" i="7"/>
  <c r="V257" i="7"/>
  <c r="AK257" i="7"/>
  <c r="E223" i="7"/>
  <c r="T223" i="7"/>
  <c r="AI223" i="7"/>
  <c r="AY216" i="7"/>
  <c r="C216" i="7"/>
  <c r="AW216" i="7"/>
  <c r="X75" i="2" s="1"/>
  <c r="AX217" i="7"/>
  <c r="F217" i="7"/>
  <c r="U217" i="7"/>
  <c r="AJ217" i="7"/>
  <c r="AJ360" i="8" l="1"/>
  <c r="U360" i="8"/>
  <c r="F360" i="8"/>
  <c r="D364" i="7"/>
  <c r="S364" i="7"/>
  <c r="AH364" i="7"/>
  <c r="G361" i="9"/>
  <c r="V361" i="9"/>
  <c r="AK361" i="9"/>
  <c r="G357" i="10"/>
  <c r="V357" i="10"/>
  <c r="AK357" i="10"/>
  <c r="D342" i="10"/>
  <c r="S342" i="10"/>
  <c r="AH342" i="10"/>
  <c r="E344" i="9"/>
  <c r="T344" i="9"/>
  <c r="AI344" i="9"/>
  <c r="C346" i="8"/>
  <c r="AY346" i="8"/>
  <c r="AW346" i="8"/>
  <c r="AX347" i="8"/>
  <c r="G347" i="8"/>
  <c r="V347" i="8"/>
  <c r="AK347" i="8"/>
  <c r="E336" i="10"/>
  <c r="T336" i="10"/>
  <c r="AI336" i="10"/>
  <c r="AX329" i="9"/>
  <c r="AW328" i="9"/>
  <c r="F329" i="9"/>
  <c r="U329" i="9"/>
  <c r="AJ329" i="9"/>
  <c r="C328" i="9"/>
  <c r="AY328" i="9"/>
  <c r="C318" i="10"/>
  <c r="AY318" i="10"/>
  <c r="AW318" i="10"/>
  <c r="AX319" i="10"/>
  <c r="F319" i="10"/>
  <c r="U319" i="10"/>
  <c r="AJ319" i="10"/>
  <c r="G258" i="7"/>
  <c r="V258" i="7"/>
  <c r="AK258" i="7"/>
  <c r="E224" i="7"/>
  <c r="T224" i="7"/>
  <c r="AI224" i="7"/>
  <c r="AY217" i="7"/>
  <c r="C217" i="7"/>
  <c r="AX218" i="7"/>
  <c r="AW217" i="7"/>
  <c r="F218" i="7"/>
  <c r="U218" i="7"/>
  <c r="AJ218" i="7"/>
  <c r="F361" i="8" l="1"/>
  <c r="AJ361" i="8"/>
  <c r="U361" i="8"/>
  <c r="D365" i="7"/>
  <c r="S365" i="7"/>
  <c r="AH365" i="7"/>
  <c r="G362" i="9"/>
  <c r="V362" i="9"/>
  <c r="AK362" i="9"/>
  <c r="G358" i="10"/>
  <c r="V358" i="10"/>
  <c r="AK358" i="10"/>
  <c r="D343" i="10"/>
  <c r="S343" i="10"/>
  <c r="AH343" i="10"/>
  <c r="E345" i="9"/>
  <c r="T345" i="9"/>
  <c r="AI345" i="9"/>
  <c r="AY347" i="8"/>
  <c r="C347" i="8"/>
  <c r="AX348" i="8"/>
  <c r="AW347" i="8"/>
  <c r="G348" i="8"/>
  <c r="V348" i="8"/>
  <c r="AK348" i="8"/>
  <c r="E337" i="10"/>
  <c r="T337" i="10"/>
  <c r="AI337" i="10"/>
  <c r="AY329" i="9"/>
  <c r="C329" i="9"/>
  <c r="AW329" i="9"/>
  <c r="AX330" i="9"/>
  <c r="F330" i="9"/>
  <c r="U330" i="9"/>
  <c r="AJ330" i="9"/>
  <c r="C319" i="10"/>
  <c r="AY319" i="10"/>
  <c r="AX320" i="10"/>
  <c r="AW319" i="10"/>
  <c r="F320" i="10"/>
  <c r="U320" i="10"/>
  <c r="AJ320" i="10"/>
  <c r="G259" i="7"/>
  <c r="V259" i="7"/>
  <c r="AK259" i="7"/>
  <c r="E225" i="7"/>
  <c r="T225" i="7"/>
  <c r="AI225" i="7"/>
  <c r="C218" i="7"/>
  <c r="AY218" i="7"/>
  <c r="AW218" i="7"/>
  <c r="AX219" i="7"/>
  <c r="F219" i="7"/>
  <c r="U219" i="7"/>
  <c r="AJ219" i="7"/>
  <c r="AJ362" i="8" l="1"/>
  <c r="U362" i="8"/>
  <c r="F362" i="8"/>
  <c r="D366" i="7"/>
  <c r="AH366" i="7"/>
  <c r="S366" i="7"/>
  <c r="G363" i="9"/>
  <c r="V363" i="9"/>
  <c r="AK363" i="9"/>
  <c r="G359" i="10"/>
  <c r="V359" i="10"/>
  <c r="AK359" i="10"/>
  <c r="D344" i="10"/>
  <c r="S344" i="10"/>
  <c r="AH344" i="10"/>
  <c r="E346" i="9"/>
  <c r="T346" i="9"/>
  <c r="AI346" i="9"/>
  <c r="AY348" i="8"/>
  <c r="C348" i="8"/>
  <c r="AX349" i="8"/>
  <c r="AW348" i="8"/>
  <c r="W119" i="2" s="1"/>
  <c r="G349" i="8"/>
  <c r="V349" i="8"/>
  <c r="AK349" i="8"/>
  <c r="E338" i="10"/>
  <c r="T338" i="10"/>
  <c r="AI338" i="10"/>
  <c r="C330" i="9"/>
  <c r="AY330" i="9"/>
  <c r="AW330" i="9"/>
  <c r="AX331" i="9"/>
  <c r="F331" i="9"/>
  <c r="U331" i="9"/>
  <c r="AJ331" i="9"/>
  <c r="C320" i="10"/>
  <c r="AY320" i="10"/>
  <c r="AW320" i="10"/>
  <c r="AX321" i="10"/>
  <c r="F321" i="10"/>
  <c r="AJ321" i="10"/>
  <c r="U321" i="10"/>
  <c r="G260" i="7"/>
  <c r="V260" i="7"/>
  <c r="AK260" i="7"/>
  <c r="E226" i="7"/>
  <c r="T226" i="7"/>
  <c r="AI226" i="7"/>
  <c r="AY219" i="7"/>
  <c r="C219" i="7"/>
  <c r="AW219" i="7"/>
  <c r="X76" i="2" s="1"/>
  <c r="AX220" i="7"/>
  <c r="F220" i="7"/>
  <c r="U220" i="7"/>
  <c r="AJ220" i="7"/>
  <c r="AJ363" i="8" l="1"/>
  <c r="U363" i="8"/>
  <c r="F363" i="8"/>
  <c r="AH368" i="7"/>
  <c r="AH370" i="7" s="1"/>
  <c r="AH369" i="7"/>
  <c r="G364" i="9"/>
  <c r="V364" i="9"/>
  <c r="AK364" i="9"/>
  <c r="G360" i="10"/>
  <c r="V360" i="10"/>
  <c r="AK360" i="10"/>
  <c r="D345" i="10"/>
  <c r="S345" i="10"/>
  <c r="AH345" i="10"/>
  <c r="E347" i="9"/>
  <c r="T347" i="9"/>
  <c r="AI347" i="9"/>
  <c r="C349" i="8"/>
  <c r="AY349" i="8"/>
  <c r="AW349" i="8"/>
  <c r="AX350" i="8"/>
  <c r="G350" i="8"/>
  <c r="V350" i="8"/>
  <c r="AK350" i="8"/>
  <c r="E339" i="10"/>
  <c r="T339" i="10"/>
  <c r="AI339" i="10"/>
  <c r="C331" i="9"/>
  <c r="AY331" i="9"/>
  <c r="AW331" i="9"/>
  <c r="AX332" i="9"/>
  <c r="F332" i="9"/>
  <c r="U332" i="9"/>
  <c r="AJ332" i="9"/>
  <c r="AY321" i="10"/>
  <c r="C321" i="10"/>
  <c r="AX322" i="10"/>
  <c r="AW321" i="10"/>
  <c r="F322" i="10"/>
  <c r="U322" i="10"/>
  <c r="AJ322" i="10"/>
  <c r="G261" i="7"/>
  <c r="V261" i="7"/>
  <c r="AK261" i="7"/>
  <c r="E227" i="7"/>
  <c r="T227" i="7"/>
  <c r="AI227" i="7"/>
  <c r="C220" i="7"/>
  <c r="AY220" i="7"/>
  <c r="AW220" i="7"/>
  <c r="AX221" i="7"/>
  <c r="F221" i="7"/>
  <c r="U221" i="7"/>
  <c r="AJ221" i="7"/>
  <c r="AJ364" i="8" l="1"/>
  <c r="U364" i="8"/>
  <c r="F364" i="8"/>
  <c r="G365" i="9"/>
  <c r="V365" i="9"/>
  <c r="AK365" i="9"/>
  <c r="G361" i="10"/>
  <c r="V361" i="10"/>
  <c r="AK361" i="10"/>
  <c r="D346" i="10"/>
  <c r="S346" i="10"/>
  <c r="AH346" i="10"/>
  <c r="E348" i="9"/>
  <c r="T348" i="9"/>
  <c r="AI348" i="9"/>
  <c r="AY350" i="8"/>
  <c r="C350" i="8"/>
  <c r="AX351" i="8"/>
  <c r="AW350" i="8"/>
  <c r="G351" i="8"/>
  <c r="V351" i="8"/>
  <c r="AK351" i="8"/>
  <c r="E340" i="10"/>
  <c r="T340" i="10"/>
  <c r="AI340" i="10"/>
  <c r="AY332" i="9"/>
  <c r="C332" i="9"/>
  <c r="AX333" i="9"/>
  <c r="AW332" i="9"/>
  <c r="F333" i="9"/>
  <c r="U333" i="9"/>
  <c r="AJ333" i="9"/>
  <c r="C322" i="10"/>
  <c r="AY322" i="10"/>
  <c r="AX323" i="10"/>
  <c r="AW322" i="10"/>
  <c r="F323" i="10"/>
  <c r="U323" i="10"/>
  <c r="AJ323" i="10"/>
  <c r="G262" i="7"/>
  <c r="V262" i="7"/>
  <c r="AK262" i="7"/>
  <c r="E228" i="7"/>
  <c r="T228" i="7"/>
  <c r="AI228" i="7"/>
  <c r="AY221" i="7"/>
  <c r="C221" i="7"/>
  <c r="AX222" i="7"/>
  <c r="AW221" i="7"/>
  <c r="F222" i="7"/>
  <c r="U222" i="7"/>
  <c r="AJ222" i="7"/>
  <c r="U365" i="8" l="1"/>
  <c r="AJ365" i="8"/>
  <c r="F365" i="8"/>
  <c r="G366" i="9"/>
  <c r="AK368" i="9" s="1"/>
  <c r="AK370" i="9" s="1"/>
  <c r="V366" i="9"/>
  <c r="AK366" i="9"/>
  <c r="AK369" i="9" s="1"/>
  <c r="G362" i="10"/>
  <c r="V362" i="10"/>
  <c r="AK362" i="10"/>
  <c r="D347" i="10"/>
  <c r="S347" i="10"/>
  <c r="AH347" i="10"/>
  <c r="E349" i="9"/>
  <c r="T349" i="9"/>
  <c r="AI349" i="9"/>
  <c r="AY351" i="8"/>
  <c r="C351" i="8"/>
  <c r="AW351" i="8"/>
  <c r="W120" i="2" s="1"/>
  <c r="AX352" i="8"/>
  <c r="G352" i="8"/>
  <c r="V352" i="8"/>
  <c r="AK352" i="8"/>
  <c r="E341" i="10"/>
  <c r="T341" i="10"/>
  <c r="AI341" i="10"/>
  <c r="AY333" i="9"/>
  <c r="C333" i="9"/>
  <c r="AW333" i="9"/>
  <c r="AX334" i="9"/>
  <c r="F334" i="9"/>
  <c r="U334" i="9"/>
  <c r="AJ334" i="9"/>
  <c r="C323" i="10"/>
  <c r="AY323" i="10"/>
  <c r="AX324" i="10"/>
  <c r="AW323" i="10"/>
  <c r="F324" i="10"/>
  <c r="U324" i="10"/>
  <c r="AJ324" i="10"/>
  <c r="G263" i="7"/>
  <c r="V263" i="7"/>
  <c r="AK263" i="7"/>
  <c r="E229" i="7"/>
  <c r="T229" i="7"/>
  <c r="AI229" i="7"/>
  <c r="AY222" i="7"/>
  <c r="C222" i="7"/>
  <c r="AW222" i="7"/>
  <c r="X77" i="2" s="1"/>
  <c r="AX223" i="7"/>
  <c r="F223" i="7"/>
  <c r="U223" i="7"/>
  <c r="AJ223" i="7"/>
  <c r="AJ366" i="8" l="1"/>
  <c r="AJ369" i="8" s="1"/>
  <c r="I7" i="3" s="1"/>
  <c r="U366" i="8"/>
  <c r="F366" i="8"/>
  <c r="AJ368" i="8" s="1"/>
  <c r="AJ370" i="8" s="1"/>
  <c r="K7" i="3" s="1"/>
  <c r="G363" i="10"/>
  <c r="V363" i="10"/>
  <c r="AK363" i="10"/>
  <c r="D348" i="10"/>
  <c r="S348" i="10"/>
  <c r="AH348" i="10"/>
  <c r="E350" i="9"/>
  <c r="T350" i="9"/>
  <c r="AI350" i="9"/>
  <c r="AY352" i="8"/>
  <c r="C352" i="8"/>
  <c r="AX353" i="8"/>
  <c r="AW352" i="8"/>
  <c r="G353" i="8"/>
  <c r="V353" i="8"/>
  <c r="AK353" i="8"/>
  <c r="E342" i="10"/>
  <c r="T342" i="10"/>
  <c r="AI342" i="10"/>
  <c r="C334" i="9"/>
  <c r="AY334" i="9"/>
  <c r="AX335" i="9"/>
  <c r="AW334" i="9"/>
  <c r="F335" i="9"/>
  <c r="U335" i="9"/>
  <c r="AJ335" i="9"/>
  <c r="AY324" i="10"/>
  <c r="C324" i="10"/>
  <c r="AX325" i="10"/>
  <c r="AW324" i="10"/>
  <c r="F325" i="10"/>
  <c r="U325" i="10"/>
  <c r="AJ325" i="10"/>
  <c r="G264" i="7"/>
  <c r="V264" i="7"/>
  <c r="AK264" i="7"/>
  <c r="E230" i="7"/>
  <c r="T230" i="7"/>
  <c r="AI230" i="7"/>
  <c r="AY223" i="7"/>
  <c r="C223" i="7"/>
  <c r="AW223" i="7"/>
  <c r="AX224" i="7"/>
  <c r="F224" i="7"/>
  <c r="U224" i="7"/>
  <c r="AJ224" i="7"/>
  <c r="AA5" i="2" l="1"/>
  <c r="J7" i="3"/>
  <c r="G364" i="10"/>
  <c r="V364" i="10"/>
  <c r="AK364" i="10"/>
  <c r="D349" i="10"/>
  <c r="S349" i="10"/>
  <c r="AH349" i="10"/>
  <c r="E351" i="9"/>
  <c r="T351" i="9"/>
  <c r="AI351" i="9"/>
  <c r="C353" i="8"/>
  <c r="AY353" i="8"/>
  <c r="AW353" i="8"/>
  <c r="AX354" i="8"/>
  <c r="G354" i="8"/>
  <c r="V354" i="8"/>
  <c r="AK354" i="8"/>
  <c r="E343" i="10"/>
  <c r="T343" i="10"/>
  <c r="AI343" i="10"/>
  <c r="C335" i="9"/>
  <c r="AY335" i="9"/>
  <c r="AX336" i="9"/>
  <c r="AW335" i="9"/>
  <c r="F336" i="9"/>
  <c r="U336" i="9"/>
  <c r="AJ336" i="9"/>
  <c r="AY325" i="10"/>
  <c r="C325" i="10"/>
  <c r="AW325" i="10"/>
  <c r="AX326" i="10"/>
  <c r="F326" i="10"/>
  <c r="U326" i="10"/>
  <c r="AJ326" i="10"/>
  <c r="G265" i="7"/>
  <c r="V265" i="7"/>
  <c r="AK265" i="7"/>
  <c r="E231" i="7"/>
  <c r="T231" i="7"/>
  <c r="AI231" i="7"/>
  <c r="C224" i="7"/>
  <c r="AY224" i="7"/>
  <c r="AW224" i="7"/>
  <c r="AX225" i="7"/>
  <c r="F225" i="7"/>
  <c r="U225" i="7"/>
  <c r="AJ225" i="7"/>
  <c r="G365" i="10" l="1"/>
  <c r="V365" i="10"/>
  <c r="AK365" i="10"/>
  <c r="D350" i="10"/>
  <c r="S350" i="10"/>
  <c r="AH350" i="10"/>
  <c r="E352" i="9"/>
  <c r="T352" i="9"/>
  <c r="AI352" i="9"/>
  <c r="AY354" i="8"/>
  <c r="C354" i="8"/>
  <c r="AW354" i="8"/>
  <c r="W121" i="2" s="1"/>
  <c r="AX355" i="8"/>
  <c r="G355" i="8"/>
  <c r="V355" i="8"/>
  <c r="AK355" i="8"/>
  <c r="E344" i="10"/>
  <c r="T344" i="10"/>
  <c r="AI344" i="10"/>
  <c r="AY336" i="9"/>
  <c r="C336" i="9"/>
  <c r="AW336" i="9"/>
  <c r="AX337" i="9"/>
  <c r="F337" i="9"/>
  <c r="U337" i="9"/>
  <c r="AJ337" i="9"/>
  <c r="AY326" i="10"/>
  <c r="C326" i="10"/>
  <c r="AW326" i="10"/>
  <c r="AX327" i="10"/>
  <c r="F327" i="10"/>
  <c r="U327" i="10"/>
  <c r="AJ327" i="10"/>
  <c r="G266" i="7"/>
  <c r="V266" i="7"/>
  <c r="AK266" i="7"/>
  <c r="E232" i="7"/>
  <c r="T232" i="7"/>
  <c r="AI232" i="7"/>
  <c r="AY225" i="7"/>
  <c r="C225" i="7"/>
  <c r="AX226" i="7"/>
  <c r="AW225" i="7"/>
  <c r="X78" i="2" s="1"/>
  <c r="F226" i="7"/>
  <c r="U226" i="7"/>
  <c r="AJ226" i="7"/>
  <c r="G366" i="10" l="1"/>
  <c r="AK368" i="10" s="1"/>
  <c r="AK370" i="10" s="1"/>
  <c r="V366" i="10"/>
  <c r="AK366" i="10"/>
  <c r="AK369" i="10" s="1"/>
  <c r="D351" i="10"/>
  <c r="S351" i="10"/>
  <c r="AH351" i="10"/>
  <c r="E353" i="9"/>
  <c r="T353" i="9"/>
  <c r="AI353" i="9"/>
  <c r="AY355" i="8"/>
  <c r="C355" i="8"/>
  <c r="AW355" i="8"/>
  <c r="AX356" i="8"/>
  <c r="G356" i="8"/>
  <c r="V356" i="8"/>
  <c r="AK356" i="8"/>
  <c r="E345" i="10"/>
  <c r="T345" i="10"/>
  <c r="AI345" i="10"/>
  <c r="AY337" i="9"/>
  <c r="C337" i="9"/>
  <c r="AW337" i="9"/>
  <c r="AX338" i="9"/>
  <c r="F338" i="9"/>
  <c r="U338" i="9"/>
  <c r="AJ338" i="9"/>
  <c r="AY327" i="10"/>
  <c r="C327" i="10"/>
  <c r="AX328" i="10"/>
  <c r="AW327" i="10"/>
  <c r="U328" i="10"/>
  <c r="AJ328" i="10"/>
  <c r="F328" i="10"/>
  <c r="G267" i="7"/>
  <c r="V267" i="7"/>
  <c r="AK267" i="7"/>
  <c r="E233" i="7"/>
  <c r="T233" i="7"/>
  <c r="AI233" i="7"/>
  <c r="AY226" i="7"/>
  <c r="C226" i="7"/>
  <c r="AW226" i="7"/>
  <c r="AX227" i="7"/>
  <c r="F227" i="7"/>
  <c r="U227" i="7"/>
  <c r="AJ227" i="7"/>
  <c r="D352" i="10" l="1"/>
  <c r="S352" i="10"/>
  <c r="AH352" i="10"/>
  <c r="E354" i="9"/>
  <c r="T354" i="9"/>
  <c r="AI354" i="9"/>
  <c r="C356" i="8"/>
  <c r="AY356" i="8"/>
  <c r="AW356" i="8"/>
  <c r="AX357" i="8"/>
  <c r="G357" i="8"/>
  <c r="V357" i="8"/>
  <c r="AK357" i="8"/>
  <c r="E346" i="10"/>
  <c r="T346" i="10"/>
  <c r="AI346" i="10"/>
  <c r="C338" i="9"/>
  <c r="AY338" i="9"/>
  <c r="AW338" i="9"/>
  <c r="AX339" i="9"/>
  <c r="F339" i="9"/>
  <c r="U339" i="9"/>
  <c r="AJ339" i="9"/>
  <c r="AW328" i="10"/>
  <c r="AX329" i="10"/>
  <c r="U329" i="10"/>
  <c r="AJ329" i="10"/>
  <c r="F329" i="10"/>
  <c r="AY328" i="10"/>
  <c r="C328" i="10"/>
  <c r="G268" i="7"/>
  <c r="V268" i="7"/>
  <c r="AK268" i="7"/>
  <c r="E234" i="7"/>
  <c r="T234" i="7"/>
  <c r="AI234" i="7"/>
  <c r="C227" i="7"/>
  <c r="AY227" i="7"/>
  <c r="AW227" i="7"/>
  <c r="AX228" i="7"/>
  <c r="F228" i="7"/>
  <c r="U228" i="7"/>
  <c r="AJ228" i="7"/>
  <c r="D353" i="10" l="1"/>
  <c r="S353" i="10"/>
  <c r="AH353" i="10"/>
  <c r="E355" i="9"/>
  <c r="T355" i="9"/>
  <c r="AI355" i="9"/>
  <c r="C357" i="8"/>
  <c r="AY357" i="8"/>
  <c r="AX358" i="8"/>
  <c r="AW357" i="8"/>
  <c r="W122" i="2" s="1"/>
  <c r="G358" i="8"/>
  <c r="V358" i="8"/>
  <c r="AK358" i="8"/>
  <c r="E347" i="10"/>
  <c r="T347" i="10"/>
  <c r="AI347" i="10"/>
  <c r="C339" i="9"/>
  <c r="AY339" i="9"/>
  <c r="AX340" i="9"/>
  <c r="AW339" i="9"/>
  <c r="F340" i="9"/>
  <c r="U340" i="9"/>
  <c r="AJ340" i="9"/>
  <c r="AW329" i="10"/>
  <c r="AX330" i="10"/>
  <c r="F330" i="10"/>
  <c r="U330" i="10"/>
  <c r="AJ330" i="10"/>
  <c r="C329" i="10"/>
  <c r="AY329" i="10"/>
  <c r="G269" i="7"/>
  <c r="V269" i="7"/>
  <c r="AK269" i="7"/>
  <c r="E235" i="7"/>
  <c r="T235" i="7"/>
  <c r="AI235" i="7"/>
  <c r="AY228" i="7"/>
  <c r="C228" i="7"/>
  <c r="AX229" i="7"/>
  <c r="AW228" i="7"/>
  <c r="X79" i="2" s="1"/>
  <c r="F229" i="7"/>
  <c r="U229" i="7"/>
  <c r="AJ229" i="7"/>
  <c r="D354" i="10" l="1"/>
  <c r="S354" i="10"/>
  <c r="AH354" i="10"/>
  <c r="E356" i="9"/>
  <c r="T356" i="9"/>
  <c r="AI356" i="9"/>
  <c r="AY358" i="8"/>
  <c r="C358" i="8"/>
  <c r="AX359" i="8"/>
  <c r="AW358" i="8"/>
  <c r="G359" i="8"/>
  <c r="V359" i="8"/>
  <c r="AK359" i="8"/>
  <c r="E348" i="10"/>
  <c r="T348" i="10"/>
  <c r="AI348" i="10"/>
  <c r="C340" i="9"/>
  <c r="AY340" i="9"/>
  <c r="AW340" i="9"/>
  <c r="AX341" i="9"/>
  <c r="F341" i="9"/>
  <c r="U341" i="9"/>
  <c r="AJ341" i="9"/>
  <c r="C330" i="10"/>
  <c r="AY330" i="10"/>
  <c r="AX331" i="10"/>
  <c r="AW330" i="10"/>
  <c r="F331" i="10"/>
  <c r="U331" i="10"/>
  <c r="AJ331" i="10"/>
  <c r="G270" i="7"/>
  <c r="V270" i="7"/>
  <c r="AK270" i="7"/>
  <c r="E236" i="7"/>
  <c r="T236" i="7"/>
  <c r="AI236" i="7"/>
  <c r="C229" i="7"/>
  <c r="AY229" i="7"/>
  <c r="AX230" i="7"/>
  <c r="AW229" i="7"/>
  <c r="F230" i="7"/>
  <c r="U230" i="7"/>
  <c r="AJ230" i="7"/>
  <c r="D355" i="10" l="1"/>
  <c r="S355" i="10"/>
  <c r="AH355" i="10"/>
  <c r="E357" i="9"/>
  <c r="T357" i="9"/>
  <c r="AI357" i="9"/>
  <c r="AY359" i="8"/>
  <c r="C359" i="8"/>
  <c r="AX360" i="8"/>
  <c r="AW359" i="8"/>
  <c r="G360" i="8"/>
  <c r="V360" i="8"/>
  <c r="AK360" i="8"/>
  <c r="E349" i="10"/>
  <c r="T349" i="10"/>
  <c r="AI349" i="10"/>
  <c r="C341" i="9"/>
  <c r="AY341" i="9"/>
  <c r="AW341" i="9"/>
  <c r="AX342" i="9"/>
  <c r="F342" i="9"/>
  <c r="U342" i="9"/>
  <c r="AJ342" i="9"/>
  <c r="C331" i="10"/>
  <c r="AY331" i="10"/>
  <c r="AX332" i="10"/>
  <c r="AW331" i="10"/>
  <c r="U332" i="10"/>
  <c r="F332" i="10"/>
  <c r="AJ332" i="10"/>
  <c r="G271" i="7"/>
  <c r="V271" i="7"/>
  <c r="AK271" i="7"/>
  <c r="E237" i="7"/>
  <c r="T237" i="7"/>
  <c r="AI237" i="7"/>
  <c r="C230" i="7"/>
  <c r="AY230" i="7"/>
  <c r="AW230" i="7"/>
  <c r="AX231" i="7"/>
  <c r="F231" i="7"/>
  <c r="U231" i="7"/>
  <c r="AJ231" i="7"/>
  <c r="D356" i="10" l="1"/>
  <c r="S356" i="10"/>
  <c r="AH356" i="10"/>
  <c r="E358" i="9"/>
  <c r="T358" i="9"/>
  <c r="AI358" i="9"/>
  <c r="AY360" i="8"/>
  <c r="C360" i="8"/>
  <c r="AX361" i="8"/>
  <c r="AW360" i="8"/>
  <c r="W123" i="2" s="1"/>
  <c r="G361" i="8"/>
  <c r="V361" i="8"/>
  <c r="AK361" i="8"/>
  <c r="E350" i="10"/>
  <c r="T350" i="10"/>
  <c r="AI350" i="10"/>
  <c r="C342" i="9"/>
  <c r="AY342" i="9"/>
  <c r="AX343" i="9"/>
  <c r="AW342" i="9"/>
  <c r="F343" i="9"/>
  <c r="U343" i="9"/>
  <c r="AJ343" i="9"/>
  <c r="C332" i="10"/>
  <c r="AY332" i="10"/>
  <c r="AX333" i="10"/>
  <c r="AW332" i="10"/>
  <c r="F333" i="10"/>
  <c r="U333" i="10"/>
  <c r="AJ333" i="10"/>
  <c r="G272" i="7"/>
  <c r="V272" i="7"/>
  <c r="AK272" i="7"/>
  <c r="E238" i="7"/>
  <c r="T238" i="7"/>
  <c r="AI238" i="7"/>
  <c r="AY231" i="7"/>
  <c r="C231" i="7"/>
  <c r="AW231" i="7"/>
  <c r="X80" i="2" s="1"/>
  <c r="AX232" i="7"/>
  <c r="F232" i="7"/>
  <c r="U232" i="7"/>
  <c r="AJ232" i="7"/>
  <c r="D357" i="10" l="1"/>
  <c r="S357" i="10"/>
  <c r="AH357" i="10"/>
  <c r="E359" i="9"/>
  <c r="T359" i="9"/>
  <c r="AI359" i="9"/>
  <c r="AY361" i="8"/>
  <c r="C361" i="8"/>
  <c r="AX362" i="8"/>
  <c r="AW361" i="8"/>
  <c r="G362" i="8"/>
  <c r="V362" i="8"/>
  <c r="AK362" i="8"/>
  <c r="E351" i="10"/>
  <c r="T351" i="10"/>
  <c r="AI351" i="10"/>
  <c r="AY343" i="9"/>
  <c r="C343" i="9"/>
  <c r="AX344" i="9"/>
  <c r="AW343" i="9"/>
  <c r="F344" i="9"/>
  <c r="U344" i="9"/>
  <c r="AJ344" i="9"/>
  <c r="C333" i="10"/>
  <c r="AY333" i="10"/>
  <c r="AX334" i="10"/>
  <c r="AW333" i="10"/>
  <c r="F334" i="10"/>
  <c r="U334" i="10"/>
  <c r="AJ334" i="10"/>
  <c r="G273" i="7"/>
  <c r="V273" i="7"/>
  <c r="AK273" i="7"/>
  <c r="E239" i="7"/>
  <c r="T239" i="7"/>
  <c r="AI239" i="7"/>
  <c r="AY232" i="7"/>
  <c r="C232" i="7"/>
  <c r="AW232" i="7"/>
  <c r="AX233" i="7"/>
  <c r="F233" i="7"/>
  <c r="U233" i="7"/>
  <c r="AJ233" i="7"/>
  <c r="D358" i="10" l="1"/>
  <c r="S358" i="10"/>
  <c r="AH358" i="10"/>
  <c r="E360" i="9"/>
  <c r="T360" i="9"/>
  <c r="AI360" i="9"/>
  <c r="AY362" i="8"/>
  <c r="C362" i="8"/>
  <c r="AW362" i="8"/>
  <c r="AX363" i="8"/>
  <c r="G363" i="8"/>
  <c r="V363" i="8"/>
  <c r="AK363" i="8"/>
  <c r="E352" i="10"/>
  <c r="T352" i="10"/>
  <c r="AI352" i="10"/>
  <c r="C344" i="9"/>
  <c r="AY344" i="9"/>
  <c r="AW344" i="9"/>
  <c r="AX345" i="9"/>
  <c r="F345" i="9"/>
  <c r="U345" i="9"/>
  <c r="AJ345" i="9"/>
  <c r="C334" i="10"/>
  <c r="AY334" i="10"/>
  <c r="AX335" i="10"/>
  <c r="AW334" i="10"/>
  <c r="F335" i="10"/>
  <c r="U335" i="10"/>
  <c r="AJ335" i="10"/>
  <c r="G274" i="7"/>
  <c r="V274" i="7"/>
  <c r="AK274" i="7"/>
  <c r="E240" i="7"/>
  <c r="T240" i="7"/>
  <c r="AI240" i="7"/>
  <c r="AY233" i="7"/>
  <c r="C233" i="7"/>
  <c r="AW233" i="7"/>
  <c r="AX234" i="7"/>
  <c r="F234" i="7"/>
  <c r="U234" i="7"/>
  <c r="AJ234" i="7"/>
  <c r="D359" i="10" l="1"/>
  <c r="S359" i="10"/>
  <c r="AH359" i="10"/>
  <c r="E361" i="9"/>
  <c r="T361" i="9"/>
  <c r="AI361" i="9"/>
  <c r="AY363" i="8"/>
  <c r="C363" i="8"/>
  <c r="AX364" i="8"/>
  <c r="AW363" i="8"/>
  <c r="W124" i="2" s="1"/>
  <c r="G364" i="8"/>
  <c r="V364" i="8"/>
  <c r="AK364" i="8"/>
  <c r="E353" i="10"/>
  <c r="T353" i="10"/>
  <c r="AI353" i="10"/>
  <c r="AY345" i="9"/>
  <c r="C345" i="9"/>
  <c r="AX346" i="9"/>
  <c r="AW345" i="9"/>
  <c r="F346" i="9"/>
  <c r="U346" i="9"/>
  <c r="AJ346" i="9"/>
  <c r="C335" i="10"/>
  <c r="AY335" i="10"/>
  <c r="AW335" i="10"/>
  <c r="AX336" i="10"/>
  <c r="F336" i="10"/>
  <c r="U336" i="10"/>
  <c r="AJ336" i="10"/>
  <c r="G275" i="7"/>
  <c r="V275" i="7"/>
  <c r="AK275" i="7"/>
  <c r="E241" i="7"/>
  <c r="T241" i="7"/>
  <c r="AI241" i="7"/>
  <c r="AY234" i="7"/>
  <c r="C234" i="7"/>
  <c r="AW234" i="7"/>
  <c r="X81" i="2" s="1"/>
  <c r="AX235" i="7"/>
  <c r="F235" i="7"/>
  <c r="U235" i="7"/>
  <c r="AJ235" i="7"/>
  <c r="D360" i="10" l="1"/>
  <c r="S360" i="10"/>
  <c r="AH360" i="10"/>
  <c r="E362" i="9"/>
  <c r="T362" i="9"/>
  <c r="AI362" i="9"/>
  <c r="AY364" i="8"/>
  <c r="C364" i="8"/>
  <c r="AW364" i="8"/>
  <c r="AX365" i="8"/>
  <c r="G365" i="8"/>
  <c r="V365" i="8"/>
  <c r="AK365" i="8"/>
  <c r="E354" i="10"/>
  <c r="T354" i="10"/>
  <c r="AI354" i="10"/>
  <c r="C346" i="9"/>
  <c r="AY346" i="9"/>
  <c r="AW346" i="9"/>
  <c r="AX347" i="9"/>
  <c r="F347" i="9"/>
  <c r="U347" i="9"/>
  <c r="AJ347" i="9"/>
  <c r="C336" i="10"/>
  <c r="AY336" i="10"/>
  <c r="AW336" i="10"/>
  <c r="AX337" i="10"/>
  <c r="F337" i="10"/>
  <c r="U337" i="10"/>
  <c r="AJ337" i="10"/>
  <c r="G276" i="7"/>
  <c r="V276" i="7"/>
  <c r="AK276" i="7"/>
  <c r="E242" i="7"/>
  <c r="T242" i="7"/>
  <c r="AI242" i="7"/>
  <c r="C235" i="7"/>
  <c r="AY235" i="7"/>
  <c r="AW235" i="7"/>
  <c r="AX236" i="7"/>
  <c r="F236" i="7"/>
  <c r="U236" i="7"/>
  <c r="AJ236" i="7"/>
  <c r="D361" i="10" l="1"/>
  <c r="S361" i="10"/>
  <c r="AH361" i="10"/>
  <c r="E363" i="9"/>
  <c r="T363" i="9"/>
  <c r="AI363" i="9"/>
  <c r="AY365" i="8"/>
  <c r="C365" i="8"/>
  <c r="AX366" i="8"/>
  <c r="D31" i="6" s="1"/>
  <c r="AW365" i="8"/>
  <c r="G366" i="8"/>
  <c r="V366" i="8"/>
  <c r="AK366" i="8"/>
  <c r="E355" i="10"/>
  <c r="T355" i="10"/>
  <c r="AI355" i="10"/>
  <c r="AY347" i="9"/>
  <c r="C347" i="9"/>
  <c r="AX348" i="9"/>
  <c r="AW347" i="9"/>
  <c r="F348" i="9"/>
  <c r="U348" i="9"/>
  <c r="AJ348" i="9"/>
  <c r="AY337" i="10"/>
  <c r="C337" i="10"/>
  <c r="AX338" i="10"/>
  <c r="AW337" i="10"/>
  <c r="F338" i="10"/>
  <c r="U338" i="10"/>
  <c r="AJ338" i="10"/>
  <c r="G277" i="7"/>
  <c r="V277" i="7"/>
  <c r="AK277" i="7"/>
  <c r="E243" i="7"/>
  <c r="T243" i="7"/>
  <c r="AI243" i="7"/>
  <c r="AY236" i="7"/>
  <c r="C236" i="7"/>
  <c r="AW236" i="7"/>
  <c r="AX237" i="7"/>
  <c r="F237" i="7"/>
  <c r="U237" i="7"/>
  <c r="AJ237" i="7"/>
  <c r="D362" i="10" l="1"/>
  <c r="S362" i="10"/>
  <c r="AH362" i="10"/>
  <c r="E364" i="9"/>
  <c r="T364" i="9"/>
  <c r="AI364" i="9"/>
  <c r="C37" i="6"/>
  <c r="H23" i="2"/>
  <c r="AA24" i="2"/>
  <c r="AY366" i="8"/>
  <c r="E31" i="6" s="1"/>
  <c r="C38" i="6" s="1"/>
  <c r="C366" i="8"/>
  <c r="AK368" i="8"/>
  <c r="AK370" i="8" s="1"/>
  <c r="K9" i="3" s="1"/>
  <c r="K22" i="3" s="1"/>
  <c r="AW366" i="8"/>
  <c r="AK369" i="8"/>
  <c r="I9" i="3" s="1"/>
  <c r="E356" i="10"/>
  <c r="T356" i="10"/>
  <c r="AI356" i="10"/>
  <c r="C348" i="9"/>
  <c r="AY348" i="9"/>
  <c r="AW348" i="9"/>
  <c r="AX349" i="9"/>
  <c r="F349" i="9"/>
  <c r="U349" i="9"/>
  <c r="AJ349" i="9"/>
  <c r="C338" i="10"/>
  <c r="AY338" i="10"/>
  <c r="AX339" i="10"/>
  <c r="AW338" i="10"/>
  <c r="F339" i="10"/>
  <c r="U339" i="10"/>
  <c r="AJ339" i="10"/>
  <c r="G278" i="7"/>
  <c r="V278" i="7"/>
  <c r="AK278" i="7"/>
  <c r="E244" i="7"/>
  <c r="T244" i="7"/>
  <c r="AI244" i="7"/>
  <c r="AY237" i="7"/>
  <c r="C237" i="7"/>
  <c r="AW237" i="7"/>
  <c r="X82" i="2" s="1"/>
  <c r="AX238" i="7"/>
  <c r="F238" i="7"/>
  <c r="U238" i="7"/>
  <c r="AJ238" i="7"/>
  <c r="D363" i="10" l="1"/>
  <c r="S363" i="10"/>
  <c r="AH363" i="10"/>
  <c r="E365" i="9"/>
  <c r="T365" i="9"/>
  <c r="AI365" i="9"/>
  <c r="AA30" i="2"/>
  <c r="B12" i="2"/>
  <c r="C31" i="6"/>
  <c r="W125" i="2"/>
  <c r="AA7" i="2"/>
  <c r="J9" i="3"/>
  <c r="E357" i="10"/>
  <c r="T357" i="10"/>
  <c r="AI357" i="10"/>
  <c r="AY349" i="9"/>
  <c r="C349" i="9"/>
  <c r="AW349" i="9"/>
  <c r="AX350" i="9"/>
  <c r="F350" i="9"/>
  <c r="U350" i="9"/>
  <c r="AJ350" i="9"/>
  <c r="C339" i="10"/>
  <c r="AY339" i="10"/>
  <c r="AW339" i="10"/>
  <c r="AX340" i="10"/>
  <c r="F340" i="10"/>
  <c r="U340" i="10"/>
  <c r="AJ340" i="10"/>
  <c r="G279" i="7"/>
  <c r="V279" i="7"/>
  <c r="AK279" i="7"/>
  <c r="E245" i="7"/>
  <c r="T245" i="7"/>
  <c r="AI245" i="7"/>
  <c r="AY238" i="7"/>
  <c r="C238" i="7"/>
  <c r="AX239" i="7"/>
  <c r="AW238" i="7"/>
  <c r="F239" i="7"/>
  <c r="U239" i="7"/>
  <c r="AJ239" i="7"/>
  <c r="D364" i="10" l="1"/>
  <c r="S364" i="10"/>
  <c r="AH364" i="10"/>
  <c r="E366" i="9"/>
  <c r="T366" i="9"/>
  <c r="AI366" i="9"/>
  <c r="G23" i="2"/>
  <c r="F31" i="6"/>
  <c r="C36" i="6"/>
  <c r="E358" i="10"/>
  <c r="T358" i="10"/>
  <c r="AI358" i="10"/>
  <c r="C350" i="9"/>
  <c r="AY350" i="9"/>
  <c r="AX351" i="9"/>
  <c r="AW350" i="9"/>
  <c r="F351" i="9"/>
  <c r="U351" i="9"/>
  <c r="AJ351" i="9"/>
  <c r="C340" i="10"/>
  <c r="AY340" i="10"/>
  <c r="AW340" i="10"/>
  <c r="AX341" i="10"/>
  <c r="F341" i="10"/>
  <c r="U341" i="10"/>
  <c r="AJ341" i="10"/>
  <c r="G280" i="7"/>
  <c r="V280" i="7"/>
  <c r="AK280" i="7"/>
  <c r="E246" i="7"/>
  <c r="T246" i="7"/>
  <c r="AI246" i="7"/>
  <c r="AY239" i="7"/>
  <c r="C239" i="7"/>
  <c r="AW239" i="7"/>
  <c r="AX240" i="7"/>
  <c r="F240" i="7"/>
  <c r="U240" i="7"/>
  <c r="AJ240" i="7"/>
  <c r="D365" i="10" l="1"/>
  <c r="S365" i="10"/>
  <c r="AH365" i="10"/>
  <c r="AI368" i="9"/>
  <c r="AI370" i="9" s="1"/>
  <c r="AI369" i="9"/>
  <c r="C39" i="6"/>
  <c r="E23" i="2"/>
  <c r="U364" i="4"/>
  <c r="T364" i="4"/>
  <c r="S364" i="4"/>
  <c r="R364" i="4"/>
  <c r="Q364" i="4"/>
  <c r="P364" i="4"/>
  <c r="O364" i="4"/>
  <c r="N364" i="4"/>
  <c r="M364" i="4"/>
  <c r="L364" i="4"/>
  <c r="K364" i="4"/>
  <c r="J364" i="4"/>
  <c r="I364" i="4"/>
  <c r="H364" i="4"/>
  <c r="G364" i="4"/>
  <c r="F364" i="4"/>
  <c r="E364" i="4"/>
  <c r="D364" i="4"/>
  <c r="C364" i="4"/>
  <c r="B364" i="4"/>
  <c r="U363" i="4"/>
  <c r="T363" i="4"/>
  <c r="S363" i="4"/>
  <c r="R363" i="4"/>
  <c r="Q363" i="4"/>
  <c r="P363" i="4"/>
  <c r="O363" i="4"/>
  <c r="N363" i="4"/>
  <c r="M363" i="4"/>
  <c r="L363" i="4"/>
  <c r="K363" i="4"/>
  <c r="J363" i="4"/>
  <c r="I363" i="4"/>
  <c r="H363" i="4"/>
  <c r="G363" i="4"/>
  <c r="F363" i="4"/>
  <c r="E363" i="4"/>
  <c r="D363" i="4"/>
  <c r="C363" i="4"/>
  <c r="B363" i="4"/>
  <c r="U362" i="4"/>
  <c r="T362" i="4"/>
  <c r="S362" i="4"/>
  <c r="R362" i="4"/>
  <c r="Q362" i="4"/>
  <c r="P362" i="4"/>
  <c r="O362" i="4"/>
  <c r="N362" i="4"/>
  <c r="M362" i="4"/>
  <c r="L362" i="4"/>
  <c r="K362" i="4"/>
  <c r="J362" i="4"/>
  <c r="I362" i="4"/>
  <c r="H362" i="4"/>
  <c r="G362" i="4"/>
  <c r="F362" i="4"/>
  <c r="E362" i="4"/>
  <c r="D362" i="4"/>
  <c r="C362" i="4"/>
  <c r="B362" i="4"/>
  <c r="U361" i="4"/>
  <c r="T361" i="4"/>
  <c r="S361" i="4"/>
  <c r="R361" i="4"/>
  <c r="Q361" i="4"/>
  <c r="P361" i="4"/>
  <c r="O361" i="4"/>
  <c r="N361" i="4"/>
  <c r="M361" i="4"/>
  <c r="L361" i="4"/>
  <c r="K361" i="4"/>
  <c r="J361" i="4"/>
  <c r="I361" i="4"/>
  <c r="H361" i="4"/>
  <c r="G361" i="4"/>
  <c r="F361" i="4"/>
  <c r="E361" i="4"/>
  <c r="D361" i="4"/>
  <c r="C361" i="4"/>
  <c r="B361" i="4"/>
  <c r="U360" i="4"/>
  <c r="T360" i="4"/>
  <c r="S360" i="4"/>
  <c r="R360" i="4"/>
  <c r="Q360" i="4"/>
  <c r="P360" i="4"/>
  <c r="O360" i="4"/>
  <c r="N360" i="4"/>
  <c r="M360" i="4"/>
  <c r="L360" i="4"/>
  <c r="K360" i="4"/>
  <c r="J360" i="4"/>
  <c r="I360" i="4"/>
  <c r="H360" i="4"/>
  <c r="G360" i="4"/>
  <c r="F360" i="4"/>
  <c r="E360" i="4"/>
  <c r="D360" i="4"/>
  <c r="C360" i="4"/>
  <c r="B360" i="4"/>
  <c r="U359" i="4"/>
  <c r="T359" i="4"/>
  <c r="S359" i="4"/>
  <c r="R359" i="4"/>
  <c r="Q359" i="4"/>
  <c r="P359" i="4"/>
  <c r="O359" i="4"/>
  <c r="N359" i="4"/>
  <c r="M359" i="4"/>
  <c r="L359" i="4"/>
  <c r="K359" i="4"/>
  <c r="J359" i="4"/>
  <c r="I359" i="4"/>
  <c r="H359" i="4"/>
  <c r="G359" i="4"/>
  <c r="F359" i="4"/>
  <c r="E359" i="4"/>
  <c r="D359" i="4"/>
  <c r="C359" i="4"/>
  <c r="B359" i="4"/>
  <c r="U358" i="4"/>
  <c r="T358" i="4"/>
  <c r="S358" i="4"/>
  <c r="R358" i="4"/>
  <c r="Q358" i="4"/>
  <c r="P358" i="4"/>
  <c r="O358" i="4"/>
  <c r="N358" i="4"/>
  <c r="M358" i="4"/>
  <c r="L358" i="4"/>
  <c r="K358" i="4"/>
  <c r="J358" i="4"/>
  <c r="I358" i="4"/>
  <c r="H358" i="4"/>
  <c r="G358" i="4"/>
  <c r="F358" i="4"/>
  <c r="E358" i="4"/>
  <c r="D358" i="4"/>
  <c r="C358" i="4"/>
  <c r="B358" i="4"/>
  <c r="U357" i="4"/>
  <c r="T357" i="4"/>
  <c r="S357" i="4"/>
  <c r="R357" i="4"/>
  <c r="Q357" i="4"/>
  <c r="P357" i="4"/>
  <c r="O357" i="4"/>
  <c r="N357" i="4"/>
  <c r="M357" i="4"/>
  <c r="L357" i="4"/>
  <c r="K357" i="4"/>
  <c r="J357" i="4"/>
  <c r="I357" i="4"/>
  <c r="H357" i="4"/>
  <c r="G357" i="4"/>
  <c r="F357" i="4"/>
  <c r="E357" i="4"/>
  <c r="D357" i="4"/>
  <c r="C357" i="4"/>
  <c r="B357" i="4"/>
  <c r="U356" i="4"/>
  <c r="T356" i="4"/>
  <c r="S356" i="4"/>
  <c r="R356" i="4"/>
  <c r="Q356" i="4"/>
  <c r="P356" i="4"/>
  <c r="O356" i="4"/>
  <c r="N356" i="4"/>
  <c r="M356" i="4"/>
  <c r="L356" i="4"/>
  <c r="K356" i="4"/>
  <c r="J356" i="4"/>
  <c r="I356" i="4"/>
  <c r="H356" i="4"/>
  <c r="G356" i="4"/>
  <c r="F356" i="4"/>
  <c r="E356" i="4"/>
  <c r="D356" i="4"/>
  <c r="C356" i="4"/>
  <c r="B356" i="4"/>
  <c r="U355" i="4"/>
  <c r="T355" i="4"/>
  <c r="S355" i="4"/>
  <c r="R355" i="4"/>
  <c r="Q355" i="4"/>
  <c r="P355" i="4"/>
  <c r="O355" i="4"/>
  <c r="N355" i="4"/>
  <c r="M355" i="4"/>
  <c r="L355" i="4"/>
  <c r="K355" i="4"/>
  <c r="J355" i="4"/>
  <c r="I355" i="4"/>
  <c r="H355" i="4"/>
  <c r="G355" i="4"/>
  <c r="F355" i="4"/>
  <c r="E355" i="4"/>
  <c r="D355" i="4"/>
  <c r="C355" i="4"/>
  <c r="B355" i="4"/>
  <c r="U354" i="4"/>
  <c r="T354" i="4"/>
  <c r="S354" i="4"/>
  <c r="R354" i="4"/>
  <c r="Q354" i="4"/>
  <c r="P354" i="4"/>
  <c r="O354" i="4"/>
  <c r="N354" i="4"/>
  <c r="M354" i="4"/>
  <c r="L354" i="4"/>
  <c r="K354" i="4"/>
  <c r="J354" i="4"/>
  <c r="I354" i="4"/>
  <c r="H354" i="4"/>
  <c r="G354" i="4"/>
  <c r="F354" i="4"/>
  <c r="E354" i="4"/>
  <c r="D354" i="4"/>
  <c r="C354" i="4"/>
  <c r="B354" i="4"/>
  <c r="U353" i="4"/>
  <c r="T353" i="4"/>
  <c r="S353" i="4"/>
  <c r="R353" i="4"/>
  <c r="Q353" i="4"/>
  <c r="P353" i="4"/>
  <c r="O353" i="4"/>
  <c r="N353" i="4"/>
  <c r="M353" i="4"/>
  <c r="L353" i="4"/>
  <c r="K353" i="4"/>
  <c r="J353" i="4"/>
  <c r="I353" i="4"/>
  <c r="H353" i="4"/>
  <c r="G353" i="4"/>
  <c r="F353" i="4"/>
  <c r="E353" i="4"/>
  <c r="D353" i="4"/>
  <c r="C353" i="4"/>
  <c r="B353" i="4"/>
  <c r="U352" i="4"/>
  <c r="T352" i="4"/>
  <c r="S352" i="4"/>
  <c r="R352" i="4"/>
  <c r="Q352" i="4"/>
  <c r="P352" i="4"/>
  <c r="O352" i="4"/>
  <c r="N352" i="4"/>
  <c r="M352" i="4"/>
  <c r="L352" i="4"/>
  <c r="K352" i="4"/>
  <c r="J352" i="4"/>
  <c r="I352" i="4"/>
  <c r="H352" i="4"/>
  <c r="G352" i="4"/>
  <c r="F352" i="4"/>
  <c r="E352" i="4"/>
  <c r="D352" i="4"/>
  <c r="C352" i="4"/>
  <c r="B352" i="4"/>
  <c r="U351" i="4"/>
  <c r="T351" i="4"/>
  <c r="S351" i="4"/>
  <c r="R351" i="4"/>
  <c r="Q351" i="4"/>
  <c r="P351" i="4"/>
  <c r="O351" i="4"/>
  <c r="N351" i="4"/>
  <c r="M351" i="4"/>
  <c r="L351" i="4"/>
  <c r="K351" i="4"/>
  <c r="J351" i="4"/>
  <c r="I351" i="4"/>
  <c r="H351" i="4"/>
  <c r="G351" i="4"/>
  <c r="F351" i="4"/>
  <c r="E351" i="4"/>
  <c r="D351" i="4"/>
  <c r="C351" i="4"/>
  <c r="B351" i="4"/>
  <c r="U350" i="4"/>
  <c r="T350" i="4"/>
  <c r="S350" i="4"/>
  <c r="R350" i="4"/>
  <c r="Q350" i="4"/>
  <c r="P350" i="4"/>
  <c r="O350" i="4"/>
  <c r="N350" i="4"/>
  <c r="M350" i="4"/>
  <c r="L350" i="4"/>
  <c r="K350" i="4"/>
  <c r="J350" i="4"/>
  <c r="I350" i="4"/>
  <c r="H350" i="4"/>
  <c r="G350" i="4"/>
  <c r="F350" i="4"/>
  <c r="E350" i="4"/>
  <c r="D350" i="4"/>
  <c r="C350" i="4"/>
  <c r="B350" i="4"/>
  <c r="U349" i="4"/>
  <c r="T349" i="4"/>
  <c r="S349" i="4"/>
  <c r="R349" i="4"/>
  <c r="Q349" i="4"/>
  <c r="P349" i="4"/>
  <c r="O349" i="4"/>
  <c r="N349" i="4"/>
  <c r="M349" i="4"/>
  <c r="L349" i="4"/>
  <c r="K349" i="4"/>
  <c r="J349" i="4"/>
  <c r="I349" i="4"/>
  <c r="H349" i="4"/>
  <c r="G349" i="4"/>
  <c r="F349" i="4"/>
  <c r="E349" i="4"/>
  <c r="D349" i="4"/>
  <c r="C349" i="4"/>
  <c r="B349" i="4"/>
  <c r="U348" i="4"/>
  <c r="T348" i="4"/>
  <c r="S348" i="4"/>
  <c r="R348" i="4"/>
  <c r="Q348" i="4"/>
  <c r="P348" i="4"/>
  <c r="O348" i="4"/>
  <c r="N348" i="4"/>
  <c r="M348" i="4"/>
  <c r="L348" i="4"/>
  <c r="K348" i="4"/>
  <c r="J348" i="4"/>
  <c r="I348" i="4"/>
  <c r="H348" i="4"/>
  <c r="G348" i="4"/>
  <c r="F348" i="4"/>
  <c r="E348" i="4"/>
  <c r="D348" i="4"/>
  <c r="C348" i="4"/>
  <c r="B348" i="4"/>
  <c r="U347" i="4"/>
  <c r="T347" i="4"/>
  <c r="S347" i="4"/>
  <c r="R347" i="4"/>
  <c r="Q347" i="4"/>
  <c r="P347" i="4"/>
  <c r="O347" i="4"/>
  <c r="N347" i="4"/>
  <c r="M347" i="4"/>
  <c r="L347" i="4"/>
  <c r="K347" i="4"/>
  <c r="J347" i="4"/>
  <c r="I347" i="4"/>
  <c r="H347" i="4"/>
  <c r="G347" i="4"/>
  <c r="F347" i="4"/>
  <c r="E347" i="4"/>
  <c r="D347" i="4"/>
  <c r="C347" i="4"/>
  <c r="B347" i="4"/>
  <c r="U346" i="4"/>
  <c r="T346" i="4"/>
  <c r="S346" i="4"/>
  <c r="R346" i="4"/>
  <c r="Q346" i="4"/>
  <c r="P346" i="4"/>
  <c r="O346" i="4"/>
  <c r="N346" i="4"/>
  <c r="M346" i="4"/>
  <c r="L346" i="4"/>
  <c r="K346" i="4"/>
  <c r="J346" i="4"/>
  <c r="I346" i="4"/>
  <c r="H346" i="4"/>
  <c r="G346" i="4"/>
  <c r="F346" i="4"/>
  <c r="E346" i="4"/>
  <c r="D346" i="4"/>
  <c r="C346" i="4"/>
  <c r="B346" i="4"/>
  <c r="U345" i="4"/>
  <c r="T345" i="4"/>
  <c r="S345" i="4"/>
  <c r="R345" i="4"/>
  <c r="Q345" i="4"/>
  <c r="P345" i="4"/>
  <c r="O345" i="4"/>
  <c r="N345" i="4"/>
  <c r="M345" i="4"/>
  <c r="L345" i="4"/>
  <c r="K345" i="4"/>
  <c r="J345" i="4"/>
  <c r="I345" i="4"/>
  <c r="H345" i="4"/>
  <c r="G345" i="4"/>
  <c r="F345" i="4"/>
  <c r="E345" i="4"/>
  <c r="D345" i="4"/>
  <c r="C345" i="4"/>
  <c r="B345" i="4"/>
  <c r="U344" i="4"/>
  <c r="T344" i="4"/>
  <c r="S344" i="4"/>
  <c r="R344" i="4"/>
  <c r="Q344" i="4"/>
  <c r="P344" i="4"/>
  <c r="O344" i="4"/>
  <c r="N344" i="4"/>
  <c r="M344" i="4"/>
  <c r="L344" i="4"/>
  <c r="K344" i="4"/>
  <c r="J344" i="4"/>
  <c r="I344" i="4"/>
  <c r="H344" i="4"/>
  <c r="G344" i="4"/>
  <c r="F344" i="4"/>
  <c r="E344" i="4"/>
  <c r="D344" i="4"/>
  <c r="C344" i="4"/>
  <c r="B344" i="4"/>
  <c r="U343" i="4"/>
  <c r="T343" i="4"/>
  <c r="S343" i="4"/>
  <c r="R343" i="4"/>
  <c r="Q343" i="4"/>
  <c r="P343" i="4"/>
  <c r="O343" i="4"/>
  <c r="N343" i="4"/>
  <c r="M343" i="4"/>
  <c r="L343" i="4"/>
  <c r="K343" i="4"/>
  <c r="J343" i="4"/>
  <c r="I343" i="4"/>
  <c r="H343" i="4"/>
  <c r="G343" i="4"/>
  <c r="F343" i="4"/>
  <c r="E343" i="4"/>
  <c r="D343" i="4"/>
  <c r="C343" i="4"/>
  <c r="B343" i="4"/>
  <c r="U342" i="4"/>
  <c r="T342" i="4"/>
  <c r="S342" i="4"/>
  <c r="R342" i="4"/>
  <c r="Q342" i="4"/>
  <c r="P342" i="4"/>
  <c r="O342" i="4"/>
  <c r="N342" i="4"/>
  <c r="M342" i="4"/>
  <c r="L342" i="4"/>
  <c r="K342" i="4"/>
  <c r="J342" i="4"/>
  <c r="I342" i="4"/>
  <c r="H342" i="4"/>
  <c r="G342" i="4"/>
  <c r="F342" i="4"/>
  <c r="E342" i="4"/>
  <c r="D342" i="4"/>
  <c r="C342" i="4"/>
  <c r="B342" i="4"/>
  <c r="U341" i="4"/>
  <c r="T341" i="4"/>
  <c r="S341" i="4"/>
  <c r="R341" i="4"/>
  <c r="Q341" i="4"/>
  <c r="P341" i="4"/>
  <c r="O341" i="4"/>
  <c r="N341" i="4"/>
  <c r="M341" i="4"/>
  <c r="L341" i="4"/>
  <c r="K341" i="4"/>
  <c r="J341" i="4"/>
  <c r="I341" i="4"/>
  <c r="H341" i="4"/>
  <c r="G341" i="4"/>
  <c r="F341" i="4"/>
  <c r="E341" i="4"/>
  <c r="D341" i="4"/>
  <c r="C341" i="4"/>
  <c r="B341" i="4"/>
  <c r="U340" i="4"/>
  <c r="T340" i="4"/>
  <c r="S340" i="4"/>
  <c r="R340" i="4"/>
  <c r="Q340" i="4"/>
  <c r="P340" i="4"/>
  <c r="O340" i="4"/>
  <c r="N340" i="4"/>
  <c r="M340" i="4"/>
  <c r="L340" i="4"/>
  <c r="K340" i="4"/>
  <c r="J340" i="4"/>
  <c r="I340" i="4"/>
  <c r="H340" i="4"/>
  <c r="G340" i="4"/>
  <c r="F340" i="4"/>
  <c r="E340" i="4"/>
  <c r="D340" i="4"/>
  <c r="C340" i="4"/>
  <c r="B340" i="4"/>
  <c r="U339" i="4"/>
  <c r="T339" i="4"/>
  <c r="S339" i="4"/>
  <c r="R339" i="4"/>
  <c r="Q339" i="4"/>
  <c r="P339" i="4"/>
  <c r="O339" i="4"/>
  <c r="N339" i="4"/>
  <c r="M339" i="4"/>
  <c r="L339" i="4"/>
  <c r="K339" i="4"/>
  <c r="J339" i="4"/>
  <c r="I339" i="4"/>
  <c r="H339" i="4"/>
  <c r="G339" i="4"/>
  <c r="F339" i="4"/>
  <c r="E339" i="4"/>
  <c r="D339" i="4"/>
  <c r="C339" i="4"/>
  <c r="B339" i="4"/>
  <c r="U338" i="4"/>
  <c r="T338" i="4"/>
  <c r="S338" i="4"/>
  <c r="R338" i="4"/>
  <c r="Q338" i="4"/>
  <c r="P338" i="4"/>
  <c r="O338" i="4"/>
  <c r="N338" i="4"/>
  <c r="M338" i="4"/>
  <c r="L338" i="4"/>
  <c r="K338" i="4"/>
  <c r="J338" i="4"/>
  <c r="I338" i="4"/>
  <c r="H338" i="4"/>
  <c r="G338" i="4"/>
  <c r="F338" i="4"/>
  <c r="E338" i="4"/>
  <c r="D338" i="4"/>
  <c r="C338" i="4"/>
  <c r="B338" i="4"/>
  <c r="U337" i="4"/>
  <c r="T337" i="4"/>
  <c r="S337" i="4"/>
  <c r="R337" i="4"/>
  <c r="Q337" i="4"/>
  <c r="P337" i="4"/>
  <c r="O337" i="4"/>
  <c r="N337" i="4"/>
  <c r="M337" i="4"/>
  <c r="L337" i="4"/>
  <c r="K337" i="4"/>
  <c r="J337" i="4"/>
  <c r="I337" i="4"/>
  <c r="H337" i="4"/>
  <c r="G337" i="4"/>
  <c r="F337" i="4"/>
  <c r="E337" i="4"/>
  <c r="D337" i="4"/>
  <c r="C337" i="4"/>
  <c r="B337" i="4"/>
  <c r="U336" i="4"/>
  <c r="T336" i="4"/>
  <c r="S336" i="4"/>
  <c r="R336" i="4"/>
  <c r="Q336" i="4"/>
  <c r="P336" i="4"/>
  <c r="O336" i="4"/>
  <c r="N336" i="4"/>
  <c r="M336" i="4"/>
  <c r="L336" i="4"/>
  <c r="K336" i="4"/>
  <c r="J336" i="4"/>
  <c r="I336" i="4"/>
  <c r="H336" i="4"/>
  <c r="G336" i="4"/>
  <c r="F336" i="4"/>
  <c r="E336" i="4"/>
  <c r="D336" i="4"/>
  <c r="C336" i="4"/>
  <c r="B336" i="4"/>
  <c r="U335" i="4"/>
  <c r="T335" i="4"/>
  <c r="S335" i="4"/>
  <c r="R335" i="4"/>
  <c r="Q335" i="4"/>
  <c r="P335" i="4"/>
  <c r="O335" i="4"/>
  <c r="N335" i="4"/>
  <c r="M335" i="4"/>
  <c r="L335" i="4"/>
  <c r="K335" i="4"/>
  <c r="J335" i="4"/>
  <c r="I335" i="4"/>
  <c r="H335" i="4"/>
  <c r="G335" i="4"/>
  <c r="F335" i="4"/>
  <c r="E335" i="4"/>
  <c r="D335" i="4"/>
  <c r="C335" i="4"/>
  <c r="B335" i="4"/>
  <c r="U334" i="4"/>
  <c r="T334" i="4"/>
  <c r="S334" i="4"/>
  <c r="R334" i="4"/>
  <c r="Q334" i="4"/>
  <c r="P334" i="4"/>
  <c r="O334" i="4"/>
  <c r="N334" i="4"/>
  <c r="M334" i="4"/>
  <c r="L334" i="4"/>
  <c r="K334" i="4"/>
  <c r="J334" i="4"/>
  <c r="I334" i="4"/>
  <c r="H334" i="4"/>
  <c r="G334" i="4"/>
  <c r="F334" i="4"/>
  <c r="E334" i="4"/>
  <c r="D334" i="4"/>
  <c r="C334" i="4"/>
  <c r="B334" i="4"/>
  <c r="U333" i="4"/>
  <c r="T333" i="4"/>
  <c r="S333" i="4"/>
  <c r="R333" i="4"/>
  <c r="Q333" i="4"/>
  <c r="P333" i="4"/>
  <c r="O333" i="4"/>
  <c r="N333" i="4"/>
  <c r="M333" i="4"/>
  <c r="L333" i="4"/>
  <c r="K333" i="4"/>
  <c r="J333" i="4"/>
  <c r="I333" i="4"/>
  <c r="H333" i="4"/>
  <c r="G333" i="4"/>
  <c r="F333" i="4"/>
  <c r="E333" i="4"/>
  <c r="D333" i="4"/>
  <c r="C333" i="4"/>
  <c r="B333" i="4"/>
  <c r="U332" i="4"/>
  <c r="T332" i="4"/>
  <c r="S332" i="4"/>
  <c r="R332" i="4"/>
  <c r="Q332" i="4"/>
  <c r="P332" i="4"/>
  <c r="O332" i="4"/>
  <c r="N332" i="4"/>
  <c r="M332" i="4"/>
  <c r="L332" i="4"/>
  <c r="K332" i="4"/>
  <c r="J332" i="4"/>
  <c r="I332" i="4"/>
  <c r="H332" i="4"/>
  <c r="G332" i="4"/>
  <c r="F332" i="4"/>
  <c r="E332" i="4"/>
  <c r="D332" i="4"/>
  <c r="C332" i="4"/>
  <c r="B332" i="4"/>
  <c r="U331" i="4"/>
  <c r="T331" i="4"/>
  <c r="S331" i="4"/>
  <c r="R331" i="4"/>
  <c r="Q331" i="4"/>
  <c r="P331" i="4"/>
  <c r="O331" i="4"/>
  <c r="N331" i="4"/>
  <c r="M331" i="4"/>
  <c r="L331" i="4"/>
  <c r="K331" i="4"/>
  <c r="J331" i="4"/>
  <c r="I331" i="4"/>
  <c r="H331" i="4"/>
  <c r="G331" i="4"/>
  <c r="F331" i="4"/>
  <c r="E331" i="4"/>
  <c r="D331" i="4"/>
  <c r="C331" i="4"/>
  <c r="B331" i="4"/>
  <c r="U330" i="4"/>
  <c r="T330" i="4"/>
  <c r="S330" i="4"/>
  <c r="R330" i="4"/>
  <c r="Q330" i="4"/>
  <c r="P330" i="4"/>
  <c r="O330" i="4"/>
  <c r="N330" i="4"/>
  <c r="M330" i="4"/>
  <c r="L330" i="4"/>
  <c r="K330" i="4"/>
  <c r="J330" i="4"/>
  <c r="I330" i="4"/>
  <c r="H330" i="4"/>
  <c r="G330" i="4"/>
  <c r="F330" i="4"/>
  <c r="E330" i="4"/>
  <c r="D330" i="4"/>
  <c r="C330" i="4"/>
  <c r="B330" i="4"/>
  <c r="U329" i="4"/>
  <c r="T329" i="4"/>
  <c r="S329" i="4"/>
  <c r="R329" i="4"/>
  <c r="Q329" i="4"/>
  <c r="P329" i="4"/>
  <c r="O329" i="4"/>
  <c r="N329" i="4"/>
  <c r="M329" i="4"/>
  <c r="L329" i="4"/>
  <c r="K329" i="4"/>
  <c r="J329" i="4"/>
  <c r="I329" i="4"/>
  <c r="H329" i="4"/>
  <c r="G329" i="4"/>
  <c r="F329" i="4"/>
  <c r="E329" i="4"/>
  <c r="D329" i="4"/>
  <c r="C329" i="4"/>
  <c r="B329" i="4"/>
  <c r="U328" i="4"/>
  <c r="T328" i="4"/>
  <c r="S328" i="4"/>
  <c r="R328" i="4"/>
  <c r="Q328" i="4"/>
  <c r="P328" i="4"/>
  <c r="O328" i="4"/>
  <c r="N328" i="4"/>
  <c r="M328" i="4"/>
  <c r="L328" i="4"/>
  <c r="K328" i="4"/>
  <c r="J328" i="4"/>
  <c r="I328" i="4"/>
  <c r="H328" i="4"/>
  <c r="G328" i="4"/>
  <c r="F328" i="4"/>
  <c r="E328" i="4"/>
  <c r="D328" i="4"/>
  <c r="C328" i="4"/>
  <c r="B328" i="4"/>
  <c r="U327" i="4"/>
  <c r="T327" i="4"/>
  <c r="S327" i="4"/>
  <c r="R327" i="4"/>
  <c r="Q327" i="4"/>
  <c r="P327" i="4"/>
  <c r="O327" i="4"/>
  <c r="N327" i="4"/>
  <c r="M327" i="4"/>
  <c r="L327" i="4"/>
  <c r="K327" i="4"/>
  <c r="J327" i="4"/>
  <c r="I327" i="4"/>
  <c r="H327" i="4"/>
  <c r="G327" i="4"/>
  <c r="F327" i="4"/>
  <c r="E327" i="4"/>
  <c r="D327" i="4"/>
  <c r="C327" i="4"/>
  <c r="B327" i="4"/>
  <c r="U326" i="4"/>
  <c r="T326" i="4"/>
  <c r="S326" i="4"/>
  <c r="R326" i="4"/>
  <c r="Q326" i="4"/>
  <c r="P326" i="4"/>
  <c r="O326" i="4"/>
  <c r="N326" i="4"/>
  <c r="M326" i="4"/>
  <c r="L326" i="4"/>
  <c r="K326" i="4"/>
  <c r="J326" i="4"/>
  <c r="I326" i="4"/>
  <c r="H326" i="4"/>
  <c r="G326" i="4"/>
  <c r="F326" i="4"/>
  <c r="E326" i="4"/>
  <c r="D326" i="4"/>
  <c r="C326" i="4"/>
  <c r="B326" i="4"/>
  <c r="U325" i="4"/>
  <c r="T325" i="4"/>
  <c r="S325" i="4"/>
  <c r="R325" i="4"/>
  <c r="Q325" i="4"/>
  <c r="P325" i="4"/>
  <c r="O325" i="4"/>
  <c r="N325" i="4"/>
  <c r="M325" i="4"/>
  <c r="L325" i="4"/>
  <c r="K325" i="4"/>
  <c r="J325" i="4"/>
  <c r="I325" i="4"/>
  <c r="H325" i="4"/>
  <c r="G325" i="4"/>
  <c r="F325" i="4"/>
  <c r="E325" i="4"/>
  <c r="D325" i="4"/>
  <c r="C325" i="4"/>
  <c r="B325" i="4"/>
  <c r="U324" i="4"/>
  <c r="T324" i="4"/>
  <c r="S324" i="4"/>
  <c r="R324" i="4"/>
  <c r="Q324" i="4"/>
  <c r="P324" i="4"/>
  <c r="O324" i="4"/>
  <c r="N324" i="4"/>
  <c r="M324" i="4"/>
  <c r="L324" i="4"/>
  <c r="K324" i="4"/>
  <c r="J324" i="4"/>
  <c r="I324" i="4"/>
  <c r="H324" i="4"/>
  <c r="G324" i="4"/>
  <c r="F324" i="4"/>
  <c r="E324" i="4"/>
  <c r="D324" i="4"/>
  <c r="C324" i="4"/>
  <c r="B324" i="4"/>
  <c r="U323" i="4"/>
  <c r="T323" i="4"/>
  <c r="S323" i="4"/>
  <c r="R323" i="4"/>
  <c r="Q323" i="4"/>
  <c r="P323" i="4"/>
  <c r="O323" i="4"/>
  <c r="N323" i="4"/>
  <c r="M323" i="4"/>
  <c r="L323" i="4"/>
  <c r="K323" i="4"/>
  <c r="J323" i="4"/>
  <c r="I323" i="4"/>
  <c r="H323" i="4"/>
  <c r="G323" i="4"/>
  <c r="F323" i="4"/>
  <c r="E323" i="4"/>
  <c r="D323" i="4"/>
  <c r="C323" i="4"/>
  <c r="B323" i="4"/>
  <c r="U322" i="4"/>
  <c r="T322" i="4"/>
  <c r="S322" i="4"/>
  <c r="R322" i="4"/>
  <c r="Q322" i="4"/>
  <c r="P322" i="4"/>
  <c r="O322" i="4"/>
  <c r="N322" i="4"/>
  <c r="M322" i="4"/>
  <c r="L322" i="4"/>
  <c r="K322" i="4"/>
  <c r="J322" i="4"/>
  <c r="I322" i="4"/>
  <c r="H322" i="4"/>
  <c r="G322" i="4"/>
  <c r="F322" i="4"/>
  <c r="E322" i="4"/>
  <c r="D322" i="4"/>
  <c r="C322" i="4"/>
  <c r="B322" i="4"/>
  <c r="U321" i="4"/>
  <c r="T321" i="4"/>
  <c r="S321" i="4"/>
  <c r="R321" i="4"/>
  <c r="Q321" i="4"/>
  <c r="P321" i="4"/>
  <c r="O321" i="4"/>
  <c r="N321" i="4"/>
  <c r="M321" i="4"/>
  <c r="L321" i="4"/>
  <c r="K321" i="4"/>
  <c r="J321" i="4"/>
  <c r="I321" i="4"/>
  <c r="H321" i="4"/>
  <c r="G321" i="4"/>
  <c r="F321" i="4"/>
  <c r="E321" i="4"/>
  <c r="D321" i="4"/>
  <c r="C321" i="4"/>
  <c r="B321" i="4"/>
  <c r="U320" i="4"/>
  <c r="T320" i="4"/>
  <c r="S320" i="4"/>
  <c r="R320" i="4"/>
  <c r="Q320" i="4"/>
  <c r="P320" i="4"/>
  <c r="O320" i="4"/>
  <c r="N320" i="4"/>
  <c r="M320" i="4"/>
  <c r="L320" i="4"/>
  <c r="K320" i="4"/>
  <c r="J320" i="4"/>
  <c r="I320" i="4"/>
  <c r="H320" i="4"/>
  <c r="G320" i="4"/>
  <c r="F320" i="4"/>
  <c r="E320" i="4"/>
  <c r="D320" i="4"/>
  <c r="C320" i="4"/>
  <c r="B320" i="4"/>
  <c r="U319" i="4"/>
  <c r="T319" i="4"/>
  <c r="S319" i="4"/>
  <c r="R319" i="4"/>
  <c r="Q319" i="4"/>
  <c r="P319" i="4"/>
  <c r="O319" i="4"/>
  <c r="N319" i="4"/>
  <c r="M319" i="4"/>
  <c r="L319" i="4"/>
  <c r="K319" i="4"/>
  <c r="J319" i="4"/>
  <c r="I319" i="4"/>
  <c r="H319" i="4"/>
  <c r="G319" i="4"/>
  <c r="F319" i="4"/>
  <c r="E319" i="4"/>
  <c r="D319" i="4"/>
  <c r="C319" i="4"/>
  <c r="B319" i="4"/>
  <c r="U318" i="4"/>
  <c r="T318" i="4"/>
  <c r="S318" i="4"/>
  <c r="R318" i="4"/>
  <c r="Q318" i="4"/>
  <c r="P318" i="4"/>
  <c r="O318" i="4"/>
  <c r="N318" i="4"/>
  <c r="M318" i="4"/>
  <c r="L318" i="4"/>
  <c r="K318" i="4"/>
  <c r="J318" i="4"/>
  <c r="I318" i="4"/>
  <c r="H318" i="4"/>
  <c r="G318" i="4"/>
  <c r="F318" i="4"/>
  <c r="E318" i="4"/>
  <c r="D318" i="4"/>
  <c r="C318" i="4"/>
  <c r="B318" i="4"/>
  <c r="U317" i="4"/>
  <c r="T317" i="4"/>
  <c r="S317" i="4"/>
  <c r="R317" i="4"/>
  <c r="Q317" i="4"/>
  <c r="P317" i="4"/>
  <c r="O317" i="4"/>
  <c r="N317" i="4"/>
  <c r="M317" i="4"/>
  <c r="L317" i="4"/>
  <c r="K317" i="4"/>
  <c r="J317" i="4"/>
  <c r="I317" i="4"/>
  <c r="H317" i="4"/>
  <c r="G317" i="4"/>
  <c r="F317" i="4"/>
  <c r="E317" i="4"/>
  <c r="D317" i="4"/>
  <c r="C317" i="4"/>
  <c r="B317" i="4"/>
  <c r="U316" i="4"/>
  <c r="T316" i="4"/>
  <c r="S316" i="4"/>
  <c r="R316" i="4"/>
  <c r="Q316" i="4"/>
  <c r="P316" i="4"/>
  <c r="O316" i="4"/>
  <c r="N316" i="4"/>
  <c r="M316" i="4"/>
  <c r="L316" i="4"/>
  <c r="K316" i="4"/>
  <c r="J316" i="4"/>
  <c r="I316" i="4"/>
  <c r="H316" i="4"/>
  <c r="G316" i="4"/>
  <c r="F316" i="4"/>
  <c r="E316" i="4"/>
  <c r="D316" i="4"/>
  <c r="C316" i="4"/>
  <c r="B316" i="4"/>
  <c r="U315" i="4"/>
  <c r="T315" i="4"/>
  <c r="S315" i="4"/>
  <c r="R315" i="4"/>
  <c r="Q315" i="4"/>
  <c r="P315" i="4"/>
  <c r="O315" i="4"/>
  <c r="N315" i="4"/>
  <c r="M315" i="4"/>
  <c r="L315" i="4"/>
  <c r="K315" i="4"/>
  <c r="J315" i="4"/>
  <c r="I315" i="4"/>
  <c r="H315" i="4"/>
  <c r="G315" i="4"/>
  <c r="F315" i="4"/>
  <c r="E315" i="4"/>
  <c r="D315" i="4"/>
  <c r="C315" i="4"/>
  <c r="B315" i="4"/>
  <c r="U314" i="4"/>
  <c r="T314" i="4"/>
  <c r="S314" i="4"/>
  <c r="R314" i="4"/>
  <c r="Q314" i="4"/>
  <c r="P314" i="4"/>
  <c r="O314" i="4"/>
  <c r="N314" i="4"/>
  <c r="M314" i="4"/>
  <c r="L314" i="4"/>
  <c r="K314" i="4"/>
  <c r="J314" i="4"/>
  <c r="I314" i="4"/>
  <c r="H314" i="4"/>
  <c r="G314" i="4"/>
  <c r="F314" i="4"/>
  <c r="E314" i="4"/>
  <c r="D314" i="4"/>
  <c r="C314" i="4"/>
  <c r="B314" i="4"/>
  <c r="U313" i="4"/>
  <c r="T313" i="4"/>
  <c r="S313" i="4"/>
  <c r="R313" i="4"/>
  <c r="Q313" i="4"/>
  <c r="P313" i="4"/>
  <c r="O313" i="4"/>
  <c r="N313" i="4"/>
  <c r="M313" i="4"/>
  <c r="L313" i="4"/>
  <c r="K313" i="4"/>
  <c r="J313" i="4"/>
  <c r="I313" i="4"/>
  <c r="H313" i="4"/>
  <c r="G313" i="4"/>
  <c r="F313" i="4"/>
  <c r="E313" i="4"/>
  <c r="D313" i="4"/>
  <c r="C313" i="4"/>
  <c r="B313" i="4"/>
  <c r="U312" i="4"/>
  <c r="T312" i="4"/>
  <c r="S312" i="4"/>
  <c r="R312" i="4"/>
  <c r="Q312" i="4"/>
  <c r="P312" i="4"/>
  <c r="O312" i="4"/>
  <c r="N312" i="4"/>
  <c r="M312" i="4"/>
  <c r="L312" i="4"/>
  <c r="K312" i="4"/>
  <c r="J312" i="4"/>
  <c r="I312" i="4"/>
  <c r="H312" i="4"/>
  <c r="G312" i="4"/>
  <c r="F312" i="4"/>
  <c r="E312" i="4"/>
  <c r="D312" i="4"/>
  <c r="C312" i="4"/>
  <c r="B312" i="4"/>
  <c r="U311" i="4"/>
  <c r="T311" i="4"/>
  <c r="S311" i="4"/>
  <c r="R311" i="4"/>
  <c r="Q311" i="4"/>
  <c r="P311" i="4"/>
  <c r="O311" i="4"/>
  <c r="N311" i="4"/>
  <c r="M311" i="4"/>
  <c r="L311" i="4"/>
  <c r="K311" i="4"/>
  <c r="J311" i="4"/>
  <c r="I311" i="4"/>
  <c r="H311" i="4"/>
  <c r="G311" i="4"/>
  <c r="F311" i="4"/>
  <c r="E311" i="4"/>
  <c r="D311" i="4"/>
  <c r="C311" i="4"/>
  <c r="B311" i="4"/>
  <c r="U310" i="4"/>
  <c r="T310" i="4"/>
  <c r="S310" i="4"/>
  <c r="R310" i="4"/>
  <c r="Q310" i="4"/>
  <c r="P310" i="4"/>
  <c r="O310" i="4"/>
  <c r="N310" i="4"/>
  <c r="M310" i="4"/>
  <c r="L310" i="4"/>
  <c r="K310" i="4"/>
  <c r="J310" i="4"/>
  <c r="I310" i="4"/>
  <c r="H310" i="4"/>
  <c r="G310" i="4"/>
  <c r="F310" i="4"/>
  <c r="E310" i="4"/>
  <c r="D310" i="4"/>
  <c r="C310" i="4"/>
  <c r="B310" i="4"/>
  <c r="U309" i="4"/>
  <c r="T309" i="4"/>
  <c r="S309" i="4"/>
  <c r="R309" i="4"/>
  <c r="Q309" i="4"/>
  <c r="P309" i="4"/>
  <c r="O309" i="4"/>
  <c r="N309" i="4"/>
  <c r="M309" i="4"/>
  <c r="L309" i="4"/>
  <c r="K309" i="4"/>
  <c r="J309" i="4"/>
  <c r="I309" i="4"/>
  <c r="H309" i="4"/>
  <c r="G309" i="4"/>
  <c r="F309" i="4"/>
  <c r="E309" i="4"/>
  <c r="D309" i="4"/>
  <c r="C309" i="4"/>
  <c r="B309" i="4"/>
  <c r="U308" i="4"/>
  <c r="T308" i="4"/>
  <c r="S308" i="4"/>
  <c r="R308" i="4"/>
  <c r="Q308" i="4"/>
  <c r="P308" i="4"/>
  <c r="O308" i="4"/>
  <c r="N308" i="4"/>
  <c r="M308" i="4"/>
  <c r="L308" i="4"/>
  <c r="K308" i="4"/>
  <c r="J308" i="4"/>
  <c r="I308" i="4"/>
  <c r="H308" i="4"/>
  <c r="G308" i="4"/>
  <c r="F308" i="4"/>
  <c r="E308" i="4"/>
  <c r="D308" i="4"/>
  <c r="C308" i="4"/>
  <c r="B308" i="4"/>
  <c r="U307" i="4"/>
  <c r="T307" i="4"/>
  <c r="S307" i="4"/>
  <c r="R307" i="4"/>
  <c r="Q307" i="4"/>
  <c r="P307" i="4"/>
  <c r="O307" i="4"/>
  <c r="N307" i="4"/>
  <c r="M307" i="4"/>
  <c r="L307" i="4"/>
  <c r="K307" i="4"/>
  <c r="J307" i="4"/>
  <c r="I307" i="4"/>
  <c r="H307" i="4"/>
  <c r="G307" i="4"/>
  <c r="F307" i="4"/>
  <c r="E307" i="4"/>
  <c r="D307" i="4"/>
  <c r="C307" i="4"/>
  <c r="B307" i="4"/>
  <c r="U306" i="4"/>
  <c r="T306" i="4"/>
  <c r="S306" i="4"/>
  <c r="R306" i="4"/>
  <c r="Q306" i="4"/>
  <c r="P306" i="4"/>
  <c r="O306" i="4"/>
  <c r="N306" i="4"/>
  <c r="M306" i="4"/>
  <c r="L306" i="4"/>
  <c r="K306" i="4"/>
  <c r="J306" i="4"/>
  <c r="I306" i="4"/>
  <c r="H306" i="4"/>
  <c r="G306" i="4"/>
  <c r="F306" i="4"/>
  <c r="E306" i="4"/>
  <c r="D306" i="4"/>
  <c r="C306" i="4"/>
  <c r="B306" i="4"/>
  <c r="U305" i="4"/>
  <c r="T305" i="4"/>
  <c r="S305" i="4"/>
  <c r="R305" i="4"/>
  <c r="Q305" i="4"/>
  <c r="P305" i="4"/>
  <c r="O305" i="4"/>
  <c r="N305" i="4"/>
  <c r="M305" i="4"/>
  <c r="L305" i="4"/>
  <c r="K305" i="4"/>
  <c r="J305" i="4"/>
  <c r="I305" i="4"/>
  <c r="H305" i="4"/>
  <c r="G305" i="4"/>
  <c r="F305" i="4"/>
  <c r="E305" i="4"/>
  <c r="D305" i="4"/>
  <c r="C305" i="4"/>
  <c r="B305" i="4"/>
  <c r="U304" i="4"/>
  <c r="T304" i="4"/>
  <c r="S304" i="4"/>
  <c r="R304" i="4"/>
  <c r="Q304" i="4"/>
  <c r="P304" i="4"/>
  <c r="O304" i="4"/>
  <c r="N304" i="4"/>
  <c r="M304" i="4"/>
  <c r="L304" i="4"/>
  <c r="K304" i="4"/>
  <c r="J304" i="4"/>
  <c r="I304" i="4"/>
  <c r="H304" i="4"/>
  <c r="G304" i="4"/>
  <c r="F304" i="4"/>
  <c r="E304" i="4"/>
  <c r="D304" i="4"/>
  <c r="C304" i="4"/>
  <c r="B304" i="4"/>
  <c r="U303" i="4"/>
  <c r="T303" i="4"/>
  <c r="S303" i="4"/>
  <c r="R303" i="4"/>
  <c r="Q303" i="4"/>
  <c r="P303" i="4"/>
  <c r="O303" i="4"/>
  <c r="N303" i="4"/>
  <c r="M303" i="4"/>
  <c r="L303" i="4"/>
  <c r="K303" i="4"/>
  <c r="J303" i="4"/>
  <c r="I303" i="4"/>
  <c r="H303" i="4"/>
  <c r="G303" i="4"/>
  <c r="F303" i="4"/>
  <c r="E303" i="4"/>
  <c r="D303" i="4"/>
  <c r="C303" i="4"/>
  <c r="B303" i="4"/>
  <c r="U302" i="4"/>
  <c r="T302" i="4"/>
  <c r="S302" i="4"/>
  <c r="R302" i="4"/>
  <c r="Q302" i="4"/>
  <c r="P302" i="4"/>
  <c r="O302" i="4"/>
  <c r="N302" i="4"/>
  <c r="M302" i="4"/>
  <c r="L302" i="4"/>
  <c r="K302" i="4"/>
  <c r="J302" i="4"/>
  <c r="I302" i="4"/>
  <c r="H302" i="4"/>
  <c r="G302" i="4"/>
  <c r="F302" i="4"/>
  <c r="E302" i="4"/>
  <c r="D302" i="4"/>
  <c r="C302" i="4"/>
  <c r="B302" i="4"/>
  <c r="U301" i="4"/>
  <c r="T301" i="4"/>
  <c r="S301" i="4"/>
  <c r="R301" i="4"/>
  <c r="Q301" i="4"/>
  <c r="P301" i="4"/>
  <c r="O301" i="4"/>
  <c r="N301" i="4"/>
  <c r="M301" i="4"/>
  <c r="L301" i="4"/>
  <c r="K301" i="4"/>
  <c r="H301" i="4"/>
  <c r="G301" i="4"/>
  <c r="E301" i="4"/>
  <c r="C301" i="4"/>
  <c r="T300" i="4"/>
  <c r="Q300" i="4"/>
  <c r="N300" i="4"/>
  <c r="K300" i="4"/>
  <c r="I300" i="4"/>
  <c r="E300" i="4"/>
  <c r="C300" i="4"/>
  <c r="T299" i="4"/>
  <c r="Q299" i="4"/>
  <c r="O299" i="4"/>
  <c r="L299" i="4"/>
  <c r="J299" i="4"/>
  <c r="H299" i="4"/>
  <c r="F299" i="4"/>
  <c r="C299" i="4"/>
  <c r="U298" i="4"/>
  <c r="Q298" i="4"/>
  <c r="M298" i="4"/>
  <c r="K298" i="4"/>
  <c r="H298" i="4"/>
  <c r="E298" i="4"/>
  <c r="U297" i="4"/>
  <c r="S297" i="4"/>
  <c r="P297" i="4"/>
  <c r="N297" i="4"/>
  <c r="K297" i="4"/>
  <c r="I297" i="4"/>
  <c r="F297" i="4"/>
  <c r="C297" i="4"/>
  <c r="S296" i="4"/>
  <c r="Q296" i="4"/>
  <c r="O296" i="4"/>
  <c r="L296" i="4"/>
  <c r="I296" i="4"/>
  <c r="E296" i="4"/>
  <c r="B296" i="4"/>
  <c r="T295" i="4"/>
  <c r="P295" i="4"/>
  <c r="L295" i="4"/>
  <c r="K295" i="4"/>
  <c r="G295" i="4"/>
  <c r="E295" i="4"/>
  <c r="B295" i="4"/>
  <c r="T294" i="4"/>
  <c r="R294" i="4"/>
  <c r="O294" i="4"/>
  <c r="K294" i="4"/>
  <c r="G294" i="4"/>
  <c r="C294" i="4"/>
  <c r="T293" i="4"/>
  <c r="P293" i="4"/>
  <c r="G293" i="4"/>
  <c r="E293" i="4"/>
  <c r="U292" i="4"/>
  <c r="R292" i="4"/>
  <c r="P292" i="4"/>
  <c r="N292" i="4"/>
  <c r="L292" i="4"/>
  <c r="I292" i="4"/>
  <c r="G292" i="4"/>
  <c r="E292" i="4"/>
  <c r="U291" i="4"/>
  <c r="R291" i="4"/>
  <c r="N291" i="4"/>
  <c r="L291" i="4"/>
  <c r="I291" i="4"/>
  <c r="G291" i="4"/>
  <c r="E291" i="4"/>
  <c r="C291" i="4"/>
  <c r="R290" i="4"/>
  <c r="P290" i="4"/>
  <c r="K290" i="4"/>
  <c r="J290" i="4"/>
  <c r="F290" i="4"/>
  <c r="C290" i="4"/>
  <c r="U289" i="4"/>
  <c r="Q289" i="4"/>
  <c r="N289" i="4"/>
  <c r="L289" i="4"/>
  <c r="J289" i="4"/>
  <c r="I289" i="4"/>
  <c r="F289" i="4"/>
  <c r="C289" i="4"/>
  <c r="T288" i="4"/>
  <c r="R288" i="4"/>
  <c r="N288" i="4"/>
  <c r="J288" i="4"/>
  <c r="G288" i="4"/>
  <c r="F288" i="4"/>
  <c r="D288" i="4"/>
  <c r="U287" i="4"/>
  <c r="Q287" i="4"/>
  <c r="O287" i="4"/>
  <c r="J287" i="4"/>
  <c r="H287" i="4"/>
  <c r="D287" i="4"/>
  <c r="B287" i="4"/>
  <c r="S286" i="4"/>
  <c r="Q286" i="4"/>
  <c r="N286" i="4"/>
  <c r="J286" i="4"/>
  <c r="F286" i="4"/>
  <c r="E286" i="4"/>
  <c r="B286" i="4"/>
  <c r="R285" i="4"/>
  <c r="O285" i="4"/>
  <c r="K285" i="4"/>
  <c r="G285" i="4"/>
  <c r="F285" i="4"/>
  <c r="B285" i="4"/>
  <c r="U284" i="4"/>
  <c r="R284" i="4"/>
  <c r="P284" i="4"/>
  <c r="M284" i="4"/>
  <c r="I284" i="4"/>
  <c r="F284" i="4"/>
  <c r="C284" i="4"/>
  <c r="T283" i="4"/>
  <c r="P283" i="4"/>
  <c r="L283" i="4"/>
  <c r="J283" i="4"/>
  <c r="H283" i="4"/>
  <c r="D283" i="4"/>
  <c r="T282" i="4"/>
  <c r="P282" i="4"/>
  <c r="M282" i="4"/>
  <c r="K282" i="4"/>
  <c r="H282" i="4"/>
  <c r="D282" i="4"/>
  <c r="U281" i="4"/>
  <c r="R281" i="4"/>
  <c r="P281" i="4"/>
  <c r="K281" i="4"/>
  <c r="I281" i="4"/>
  <c r="G281" i="4"/>
  <c r="D281" i="4"/>
  <c r="T280" i="4"/>
  <c r="O280" i="4"/>
  <c r="M280" i="4"/>
  <c r="K280" i="4"/>
  <c r="I280" i="4"/>
  <c r="D280" i="4"/>
  <c r="U279" i="4"/>
  <c r="Q279" i="4"/>
  <c r="N279" i="4"/>
  <c r="I279" i="4"/>
  <c r="F279" i="4"/>
  <c r="D279" i="4"/>
  <c r="B279" i="4"/>
  <c r="T278" i="4"/>
  <c r="Q278" i="4"/>
  <c r="P278" i="4"/>
  <c r="M278" i="4"/>
  <c r="K278" i="4"/>
  <c r="H278" i="4"/>
  <c r="F278" i="4"/>
  <c r="C278" i="4"/>
  <c r="S277" i="4"/>
  <c r="P277" i="4"/>
  <c r="N277" i="4"/>
  <c r="K277" i="4"/>
  <c r="I277" i="4"/>
  <c r="G277" i="4"/>
  <c r="D277" i="4"/>
  <c r="B277" i="4"/>
  <c r="T276" i="4"/>
  <c r="O276" i="4"/>
  <c r="L276" i="4"/>
  <c r="J276" i="4"/>
  <c r="G276" i="4"/>
  <c r="E276" i="4"/>
  <c r="B276" i="4"/>
  <c r="S275" i="4"/>
  <c r="Q275" i="4"/>
  <c r="N275" i="4"/>
  <c r="I275" i="4"/>
  <c r="G275" i="4"/>
  <c r="E275" i="4"/>
  <c r="B275" i="4"/>
  <c r="R274" i="4"/>
  <c r="P274" i="4"/>
  <c r="N274" i="4"/>
  <c r="K274" i="4"/>
  <c r="H274" i="4"/>
  <c r="C274" i="4"/>
  <c r="T273" i="4"/>
  <c r="Q273" i="4"/>
  <c r="M273" i="4"/>
  <c r="K273" i="4"/>
  <c r="G273" i="4"/>
  <c r="D273" i="4"/>
  <c r="C273" i="4"/>
  <c r="T272" i="4"/>
  <c r="P272" i="4"/>
  <c r="M272" i="4"/>
  <c r="L272" i="4"/>
  <c r="I272" i="4"/>
  <c r="G272" i="4"/>
  <c r="D272" i="4"/>
  <c r="U271" i="4"/>
  <c r="S271" i="4"/>
  <c r="P271" i="4"/>
  <c r="N271" i="4"/>
  <c r="J271" i="4"/>
  <c r="F271" i="4"/>
  <c r="B271" i="4"/>
  <c r="U270" i="4"/>
  <c r="R270" i="4"/>
  <c r="O270" i="4"/>
  <c r="N270" i="4"/>
  <c r="J270" i="4"/>
  <c r="G270" i="4"/>
  <c r="C270" i="4"/>
  <c r="S269" i="4"/>
  <c r="Q269" i="4"/>
  <c r="N269" i="4"/>
  <c r="K269" i="4"/>
  <c r="H269" i="4"/>
  <c r="F269" i="4"/>
  <c r="C269" i="4"/>
  <c r="T268" i="4"/>
  <c r="I268" i="4"/>
  <c r="G268" i="4"/>
  <c r="E268" i="4"/>
  <c r="U267" i="4"/>
  <c r="S267" i="4"/>
  <c r="O267" i="4"/>
  <c r="L267" i="4"/>
  <c r="I267" i="4"/>
  <c r="H267" i="4"/>
  <c r="F267" i="4"/>
  <c r="E267" i="4"/>
  <c r="U266" i="4"/>
  <c r="Q266" i="4"/>
  <c r="N266" i="4"/>
  <c r="K266" i="4"/>
  <c r="H266" i="4"/>
  <c r="F266" i="4"/>
  <c r="D266" i="4"/>
  <c r="S265" i="4"/>
  <c r="P265" i="4"/>
  <c r="N265" i="4"/>
  <c r="L265" i="4"/>
  <c r="I265" i="4"/>
  <c r="F265" i="4"/>
  <c r="C265" i="4"/>
  <c r="U264" i="4"/>
  <c r="S264" i="4"/>
  <c r="P264" i="4"/>
  <c r="M264" i="4"/>
  <c r="I264" i="4"/>
  <c r="F264" i="4"/>
  <c r="C264" i="4"/>
  <c r="T263" i="4"/>
  <c r="P263" i="4"/>
  <c r="M263" i="4"/>
  <c r="I263" i="4"/>
  <c r="G263" i="4"/>
  <c r="C263" i="4"/>
  <c r="U262" i="4"/>
  <c r="S262" i="4"/>
  <c r="O262" i="4"/>
  <c r="L262" i="4"/>
  <c r="I262" i="4"/>
  <c r="G262" i="4"/>
  <c r="D262" i="4"/>
  <c r="T261" i="4"/>
  <c r="O261" i="4"/>
  <c r="L261" i="4"/>
  <c r="J261" i="4"/>
  <c r="G261" i="4"/>
  <c r="C261" i="4"/>
  <c r="B261" i="4"/>
  <c r="S260" i="4"/>
  <c r="Q260" i="4"/>
  <c r="N260" i="4"/>
  <c r="K260" i="4"/>
  <c r="J260" i="4"/>
  <c r="F260" i="4"/>
  <c r="D260" i="4"/>
  <c r="B260" i="4"/>
  <c r="S259" i="4"/>
  <c r="Q259" i="4"/>
  <c r="O259" i="4"/>
  <c r="L259" i="4"/>
  <c r="H259" i="4"/>
  <c r="E259" i="4"/>
  <c r="C259" i="4"/>
  <c r="T258" i="4"/>
  <c r="R258" i="4"/>
  <c r="O258" i="4"/>
  <c r="K258" i="4"/>
  <c r="H258" i="4"/>
  <c r="F258" i="4"/>
  <c r="B258" i="4"/>
  <c r="U257" i="4"/>
  <c r="R257" i="4"/>
  <c r="O257" i="4"/>
  <c r="K257" i="4"/>
  <c r="J257" i="4"/>
  <c r="G257" i="4"/>
  <c r="D257" i="4"/>
  <c r="U256" i="4"/>
  <c r="R256" i="4"/>
  <c r="N256" i="4"/>
  <c r="J256" i="4"/>
  <c r="G256" i="4"/>
  <c r="C256" i="4"/>
  <c r="T255" i="4"/>
  <c r="P255" i="4"/>
  <c r="M255" i="4"/>
  <c r="J255" i="4"/>
  <c r="F255" i="4"/>
  <c r="C255" i="4"/>
  <c r="U254" i="4"/>
  <c r="S254" i="4"/>
  <c r="P254" i="4"/>
  <c r="M254" i="4"/>
  <c r="H254" i="4"/>
  <c r="F254" i="4"/>
  <c r="C254" i="4"/>
  <c r="R253" i="4"/>
  <c r="P253" i="4"/>
  <c r="L253" i="4"/>
  <c r="I253" i="4"/>
  <c r="G253" i="4"/>
  <c r="E253" i="4"/>
  <c r="U252" i="4"/>
  <c r="R252" i="4"/>
  <c r="M252" i="4"/>
  <c r="J252" i="4"/>
  <c r="G252" i="4"/>
  <c r="E252" i="4"/>
  <c r="B252" i="4"/>
  <c r="R251" i="4"/>
  <c r="O251" i="4"/>
  <c r="M251" i="4"/>
  <c r="K251" i="4"/>
  <c r="J251" i="4"/>
  <c r="H251" i="4"/>
  <c r="F251" i="4"/>
  <c r="D251" i="4"/>
  <c r="B251" i="4"/>
  <c r="S250" i="4"/>
  <c r="P250" i="4"/>
  <c r="N250" i="4"/>
  <c r="L250" i="4"/>
  <c r="I250" i="4"/>
  <c r="F250" i="4"/>
  <c r="D250" i="4"/>
  <c r="U249" i="4"/>
  <c r="R249" i="4"/>
  <c r="N249" i="4"/>
  <c r="K249" i="4"/>
  <c r="H249" i="4"/>
  <c r="E249" i="4"/>
  <c r="C249" i="4"/>
  <c r="T248" i="4"/>
  <c r="S248" i="4"/>
  <c r="O248" i="4"/>
  <c r="L248" i="4"/>
  <c r="J248" i="4"/>
  <c r="H248" i="4"/>
  <c r="D248" i="4"/>
  <c r="U247" i="4"/>
  <c r="R247" i="4"/>
  <c r="K245" i="4"/>
  <c r="I245" i="4"/>
  <c r="G245" i="4"/>
  <c r="D245" i="4"/>
  <c r="U244" i="4"/>
  <c r="R244" i="4"/>
  <c r="Q244" i="4"/>
  <c r="N244" i="4"/>
  <c r="L244" i="4"/>
  <c r="I244" i="4"/>
  <c r="E244" i="4"/>
  <c r="C244" i="4"/>
  <c r="U243" i="4"/>
  <c r="R243" i="4"/>
  <c r="O243" i="4"/>
  <c r="K243" i="4"/>
  <c r="I243" i="4"/>
  <c r="F243" i="4"/>
  <c r="D243" i="4"/>
  <c r="U242" i="4"/>
  <c r="S242" i="4"/>
  <c r="P242" i="4"/>
  <c r="L242" i="4"/>
  <c r="I242" i="4"/>
  <c r="H242" i="4"/>
  <c r="F242" i="4"/>
  <c r="R241" i="4"/>
  <c r="O241" i="4"/>
  <c r="L241" i="4"/>
  <c r="J241" i="4"/>
  <c r="H241" i="4"/>
  <c r="F241" i="4"/>
  <c r="D241" i="4"/>
  <c r="B241" i="4"/>
  <c r="T240" i="4"/>
  <c r="R240" i="4"/>
  <c r="P240" i="4"/>
  <c r="N240" i="4"/>
  <c r="L240" i="4"/>
  <c r="K240" i="4"/>
  <c r="H240" i="4"/>
  <c r="E240" i="4"/>
  <c r="B240" i="4"/>
  <c r="R239" i="4"/>
  <c r="N239" i="4"/>
  <c r="L239" i="4"/>
  <c r="J239" i="4"/>
  <c r="G239" i="4"/>
  <c r="E239" i="4"/>
  <c r="C239" i="4"/>
  <c r="T238" i="4"/>
  <c r="Q238" i="4"/>
  <c r="N238" i="4"/>
  <c r="L238" i="4"/>
  <c r="I238" i="4"/>
  <c r="G238" i="4"/>
  <c r="C238" i="4"/>
  <c r="U237" i="4"/>
  <c r="R237" i="4"/>
  <c r="O237" i="4"/>
  <c r="K237" i="4"/>
  <c r="G237" i="4"/>
  <c r="F237" i="4"/>
  <c r="C237" i="4"/>
  <c r="U236" i="4"/>
  <c r="R236" i="4"/>
  <c r="P236" i="4"/>
  <c r="N236" i="4"/>
  <c r="L236" i="4"/>
  <c r="H236" i="4"/>
  <c r="G236" i="4"/>
  <c r="D236" i="4"/>
  <c r="T235" i="4"/>
  <c r="S235" i="4"/>
  <c r="P235" i="4"/>
  <c r="L235" i="4"/>
  <c r="G235" i="4"/>
  <c r="E235" i="4"/>
  <c r="B235" i="4"/>
  <c r="T234" i="4"/>
  <c r="R234" i="4"/>
  <c r="P234" i="4"/>
  <c r="M234" i="4"/>
  <c r="J234" i="4"/>
  <c r="H234" i="4"/>
  <c r="F234" i="4"/>
  <c r="B234" i="4"/>
  <c r="T233" i="4"/>
  <c r="R233" i="4"/>
  <c r="O233" i="4"/>
  <c r="K233" i="4"/>
  <c r="I233" i="4"/>
  <c r="F233" i="4"/>
  <c r="D233" i="4"/>
  <c r="U232" i="4"/>
  <c r="Q232" i="4"/>
  <c r="O232" i="4"/>
  <c r="L232" i="4"/>
  <c r="I232" i="4"/>
  <c r="G232" i="4"/>
  <c r="D232" i="4"/>
  <c r="B232" i="4"/>
  <c r="S231" i="4"/>
  <c r="O231" i="4"/>
  <c r="N231" i="4"/>
  <c r="L231" i="4"/>
  <c r="I231" i="4"/>
  <c r="G231" i="4"/>
  <c r="D231" i="4"/>
  <c r="B231" i="4"/>
  <c r="S230" i="4"/>
  <c r="P230" i="4"/>
  <c r="L230" i="4"/>
  <c r="K230" i="4"/>
  <c r="H230" i="4"/>
  <c r="E230" i="4"/>
  <c r="B230" i="4"/>
  <c r="T229" i="4"/>
  <c r="Q229" i="4"/>
  <c r="N229" i="4"/>
  <c r="K229" i="4"/>
  <c r="I229" i="4"/>
  <c r="G229" i="4"/>
  <c r="D229" i="4"/>
  <c r="S228" i="4"/>
  <c r="Q228" i="4"/>
  <c r="O228" i="4"/>
  <c r="K228" i="4"/>
  <c r="H228" i="4"/>
  <c r="E228" i="4"/>
  <c r="C228" i="4"/>
  <c r="T227" i="4"/>
  <c r="Q227" i="4"/>
  <c r="N227" i="4"/>
  <c r="K227" i="4"/>
  <c r="H227" i="4"/>
  <c r="E227" i="4"/>
  <c r="B227" i="4"/>
  <c r="T226" i="4"/>
  <c r="Q226" i="4"/>
  <c r="N226" i="4"/>
  <c r="K226" i="4"/>
  <c r="J226" i="4"/>
  <c r="F226" i="4"/>
  <c r="D226" i="4"/>
  <c r="U225" i="4"/>
  <c r="S225" i="4"/>
  <c r="Q225" i="4"/>
  <c r="O225" i="4"/>
  <c r="N225" i="4"/>
  <c r="L225" i="4"/>
  <c r="J225" i="4"/>
  <c r="H225" i="4"/>
  <c r="E225" i="4"/>
  <c r="U224" i="4"/>
  <c r="R224" i="4"/>
  <c r="P224" i="4"/>
  <c r="N224" i="4"/>
  <c r="K224" i="4"/>
  <c r="H224" i="4"/>
  <c r="D224" i="4"/>
  <c r="B224" i="4"/>
  <c r="R223" i="4"/>
  <c r="P223" i="4"/>
  <c r="M223" i="4"/>
  <c r="K223" i="4"/>
  <c r="G223" i="4"/>
  <c r="D223" i="4"/>
  <c r="U222" i="4"/>
  <c r="R222" i="4"/>
  <c r="P222" i="4"/>
  <c r="L222" i="4"/>
  <c r="I222" i="4"/>
  <c r="G222" i="4"/>
  <c r="D222" i="4"/>
  <c r="B222" i="4"/>
  <c r="P221" i="4"/>
  <c r="L221" i="4"/>
  <c r="J221" i="4"/>
  <c r="E221" i="4"/>
  <c r="B221" i="4"/>
  <c r="R220" i="4"/>
  <c r="O220" i="4"/>
  <c r="L220" i="4"/>
  <c r="J220" i="4"/>
  <c r="G220" i="4"/>
  <c r="C220" i="4"/>
  <c r="T219" i="4"/>
  <c r="Q219" i="4"/>
  <c r="N219" i="4"/>
  <c r="L219" i="4"/>
  <c r="I219" i="4"/>
  <c r="E219" i="4"/>
  <c r="B219" i="4"/>
  <c r="S218" i="4"/>
  <c r="P218" i="4"/>
  <c r="L218" i="4"/>
  <c r="B218" i="4"/>
  <c r="T217" i="4"/>
  <c r="Q217" i="4"/>
  <c r="N217" i="4"/>
  <c r="K217" i="4"/>
  <c r="I217" i="4"/>
  <c r="F217" i="4"/>
  <c r="C217" i="4"/>
  <c r="B217" i="4"/>
  <c r="R216" i="4"/>
  <c r="O216" i="4"/>
  <c r="L216" i="4"/>
  <c r="H216" i="4"/>
  <c r="D216" i="4"/>
  <c r="T215" i="4"/>
  <c r="R215" i="4"/>
  <c r="N215" i="4"/>
  <c r="L215" i="4"/>
  <c r="H215" i="4"/>
  <c r="E215" i="4"/>
  <c r="B215" i="4"/>
  <c r="T214" i="4"/>
  <c r="R214" i="4"/>
  <c r="O214" i="4"/>
  <c r="K214" i="4"/>
  <c r="H214" i="4"/>
  <c r="F214" i="4"/>
  <c r="D214" i="4"/>
  <c r="S213" i="4"/>
  <c r="P213" i="4"/>
  <c r="M213" i="4"/>
  <c r="K213" i="4"/>
  <c r="H213" i="4"/>
  <c r="F213" i="4"/>
  <c r="C213" i="4"/>
  <c r="S212" i="4"/>
  <c r="Q212" i="4"/>
  <c r="N212" i="4"/>
  <c r="K212" i="4"/>
  <c r="I212" i="4"/>
  <c r="F212" i="4"/>
  <c r="D212" i="4"/>
  <c r="T211" i="4"/>
  <c r="O211" i="4"/>
  <c r="L211" i="4"/>
  <c r="I211" i="4"/>
  <c r="D211" i="4"/>
  <c r="B211" i="4"/>
  <c r="S210" i="4"/>
  <c r="P210" i="4"/>
  <c r="M210" i="4"/>
  <c r="L210" i="4"/>
  <c r="H210" i="4"/>
  <c r="F210" i="4"/>
  <c r="C210" i="4"/>
  <c r="T209" i="4"/>
  <c r="R209" i="4"/>
  <c r="O209" i="4"/>
  <c r="M209" i="4"/>
  <c r="J209" i="4"/>
  <c r="G209" i="4"/>
  <c r="D209" i="4"/>
  <c r="T208" i="4"/>
  <c r="R208" i="4"/>
  <c r="P208" i="4"/>
  <c r="M208" i="4"/>
  <c r="K208" i="4"/>
  <c r="I208" i="4"/>
  <c r="F208" i="4"/>
  <c r="C208" i="4"/>
  <c r="S207" i="4"/>
  <c r="P207" i="4"/>
  <c r="N207" i="4"/>
  <c r="J207" i="4"/>
  <c r="F207" i="4"/>
  <c r="C207" i="4"/>
  <c r="T206" i="4"/>
  <c r="R206" i="4"/>
  <c r="N206" i="4"/>
  <c r="K206" i="4"/>
  <c r="I206" i="4"/>
  <c r="F206" i="4"/>
  <c r="D206" i="4"/>
  <c r="U205" i="4"/>
  <c r="R205" i="4"/>
  <c r="P205" i="4"/>
  <c r="K205" i="4"/>
  <c r="G205" i="4"/>
  <c r="D205" i="4"/>
  <c r="B205" i="4"/>
  <c r="S204" i="4"/>
  <c r="O204" i="4"/>
  <c r="M204" i="4"/>
  <c r="J204" i="4"/>
  <c r="G204" i="4"/>
  <c r="B204" i="4"/>
  <c r="S203" i="4"/>
  <c r="P203" i="4"/>
  <c r="K203" i="4"/>
  <c r="I203" i="4"/>
  <c r="G203" i="4"/>
  <c r="D203" i="4"/>
  <c r="U202" i="4"/>
  <c r="R202" i="4"/>
  <c r="Q202" i="4"/>
  <c r="N202" i="4"/>
  <c r="M202" i="4"/>
  <c r="I202" i="4"/>
  <c r="E202" i="4"/>
  <c r="C202" i="4"/>
  <c r="U201" i="4"/>
  <c r="Q201" i="4"/>
  <c r="M201" i="4"/>
  <c r="K201" i="4"/>
  <c r="I201" i="4"/>
  <c r="G201" i="4"/>
  <c r="D201" i="4"/>
  <c r="U200" i="4"/>
  <c r="T200" i="4"/>
  <c r="Q200" i="4"/>
  <c r="N200" i="4"/>
  <c r="L200" i="4"/>
  <c r="J200" i="4"/>
  <c r="G200" i="4"/>
  <c r="D200" i="4"/>
  <c r="S199" i="4"/>
  <c r="P199" i="4"/>
  <c r="N199" i="4"/>
  <c r="K199" i="4"/>
  <c r="G199" i="4"/>
  <c r="F199" i="4"/>
  <c r="D199" i="4"/>
  <c r="B199" i="4"/>
  <c r="U198" i="4"/>
  <c r="R198" i="4"/>
  <c r="P198" i="4"/>
  <c r="N198" i="4"/>
  <c r="L198" i="4"/>
  <c r="J198" i="4"/>
  <c r="H198" i="4"/>
  <c r="F198" i="4"/>
  <c r="D198" i="4"/>
  <c r="C198" i="4"/>
  <c r="U197" i="4"/>
  <c r="R197" i="4"/>
  <c r="Q197" i="4"/>
  <c r="N197" i="4"/>
  <c r="L197" i="4"/>
  <c r="I197" i="4"/>
  <c r="G197" i="4"/>
  <c r="D197" i="4"/>
  <c r="U196" i="4"/>
  <c r="Q196" i="4"/>
  <c r="O196" i="4"/>
  <c r="L196" i="4"/>
  <c r="I196" i="4"/>
  <c r="G196" i="4"/>
  <c r="E196" i="4"/>
  <c r="B196" i="4"/>
  <c r="R195" i="4"/>
  <c r="P195" i="4"/>
  <c r="M195" i="4"/>
  <c r="J195" i="4"/>
  <c r="G195" i="4"/>
  <c r="E195" i="4"/>
  <c r="B195" i="4"/>
  <c r="T194" i="4"/>
  <c r="Q194" i="4"/>
  <c r="O194" i="4"/>
  <c r="L194" i="4"/>
  <c r="S193" i="4"/>
  <c r="R193" i="4"/>
  <c r="N193" i="4"/>
  <c r="M193" i="4"/>
  <c r="I193" i="4"/>
  <c r="F193" i="4"/>
  <c r="D193" i="4"/>
  <c r="U192" i="4"/>
  <c r="R192" i="4"/>
  <c r="N192" i="4"/>
  <c r="L192" i="4"/>
  <c r="I192" i="4"/>
  <c r="G192" i="4"/>
  <c r="C192" i="4"/>
  <c r="S191" i="4"/>
  <c r="O191" i="4"/>
  <c r="L191" i="4"/>
  <c r="I191" i="4"/>
  <c r="F191" i="4"/>
  <c r="D191" i="4"/>
  <c r="U190" i="4"/>
  <c r="S190" i="4"/>
  <c r="P190" i="4"/>
  <c r="M190" i="4"/>
  <c r="J190" i="4"/>
  <c r="H190" i="4"/>
  <c r="F190" i="4"/>
  <c r="B190" i="4"/>
  <c r="S189" i="4"/>
  <c r="Q189" i="4"/>
  <c r="L189" i="4"/>
  <c r="K189" i="4"/>
  <c r="G189" i="4"/>
  <c r="E189" i="4"/>
  <c r="B189" i="4"/>
  <c r="R188" i="4"/>
  <c r="O188" i="4"/>
  <c r="N188" i="4"/>
  <c r="K188" i="4"/>
  <c r="I188" i="4"/>
  <c r="G188" i="4"/>
  <c r="D188" i="4"/>
  <c r="T187" i="4"/>
  <c r="Q187" i="4"/>
  <c r="N187" i="4"/>
  <c r="K187" i="4"/>
  <c r="H187" i="4"/>
  <c r="D187" i="4"/>
  <c r="U186" i="4"/>
  <c r="S186" i="4"/>
  <c r="P186" i="4"/>
  <c r="L186" i="4"/>
  <c r="J186" i="4"/>
  <c r="F186" i="4"/>
  <c r="C186" i="4"/>
  <c r="T185" i="4"/>
  <c r="P185" i="4"/>
  <c r="N185" i="4"/>
  <c r="L185" i="4"/>
  <c r="H185" i="4"/>
  <c r="F185" i="4"/>
  <c r="D185" i="4"/>
  <c r="B185" i="4"/>
  <c r="T184" i="4"/>
  <c r="R184" i="4"/>
  <c r="O184" i="4"/>
  <c r="K184" i="4"/>
  <c r="H184" i="4"/>
  <c r="E184" i="4"/>
  <c r="B184" i="4"/>
  <c r="U183" i="4"/>
  <c r="R183" i="4"/>
  <c r="O183" i="4"/>
  <c r="K183" i="4"/>
  <c r="I183" i="4"/>
  <c r="G183" i="4"/>
  <c r="D183" i="4"/>
  <c r="B183" i="4"/>
  <c r="T182" i="4"/>
  <c r="R182" i="4"/>
  <c r="O182" i="4"/>
  <c r="M182" i="4"/>
  <c r="J182" i="4"/>
  <c r="H182" i="4"/>
  <c r="E182" i="4"/>
  <c r="U181" i="4"/>
  <c r="S181" i="4"/>
  <c r="Q181" i="4"/>
  <c r="N181" i="4"/>
  <c r="L181" i="4"/>
  <c r="J181" i="4"/>
  <c r="G181" i="4"/>
  <c r="E181" i="4"/>
  <c r="B181" i="4"/>
  <c r="S180" i="4"/>
  <c r="Q180" i="4"/>
  <c r="N180" i="4"/>
  <c r="I180" i="4"/>
  <c r="F180" i="4"/>
  <c r="D180" i="4"/>
  <c r="U179" i="4"/>
  <c r="T179" i="4"/>
  <c r="S179" i="4"/>
  <c r="R179" i="4"/>
  <c r="Q179" i="4"/>
  <c r="P179" i="4"/>
  <c r="O179" i="4"/>
  <c r="N179" i="4"/>
  <c r="M179" i="4"/>
  <c r="L179" i="4"/>
  <c r="K179" i="4"/>
  <c r="J179" i="4"/>
  <c r="I179" i="4"/>
  <c r="H179" i="4"/>
  <c r="G179" i="4"/>
  <c r="F179" i="4"/>
  <c r="E179" i="4"/>
  <c r="D179" i="4"/>
  <c r="C179" i="4"/>
  <c r="B179" i="4"/>
  <c r="U178" i="4"/>
  <c r="T178" i="4"/>
  <c r="S178" i="4"/>
  <c r="R178" i="4"/>
  <c r="Q178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D178" i="4"/>
  <c r="C178" i="4"/>
  <c r="B178" i="4"/>
  <c r="U177" i="4"/>
  <c r="T177" i="4"/>
  <c r="S177" i="4"/>
  <c r="R177" i="4"/>
  <c r="Q177" i="4"/>
  <c r="P177" i="4"/>
  <c r="O177" i="4"/>
  <c r="N177" i="4"/>
  <c r="M177" i="4"/>
  <c r="L177" i="4"/>
  <c r="K177" i="4"/>
  <c r="J177" i="4"/>
  <c r="I177" i="4"/>
  <c r="H177" i="4"/>
  <c r="G177" i="4"/>
  <c r="F177" i="4"/>
  <c r="E177" i="4"/>
  <c r="D177" i="4"/>
  <c r="C177" i="4"/>
  <c r="B177" i="4"/>
  <c r="U176" i="4"/>
  <c r="T176" i="4"/>
  <c r="S176" i="4"/>
  <c r="R176" i="4"/>
  <c r="Q176" i="4"/>
  <c r="P176" i="4"/>
  <c r="O176" i="4"/>
  <c r="N176" i="4"/>
  <c r="M176" i="4"/>
  <c r="L176" i="4"/>
  <c r="K176" i="4"/>
  <c r="J176" i="4"/>
  <c r="I176" i="4"/>
  <c r="H176" i="4"/>
  <c r="G176" i="4"/>
  <c r="F176" i="4"/>
  <c r="E176" i="4"/>
  <c r="D176" i="4"/>
  <c r="C176" i="4"/>
  <c r="B176" i="4"/>
  <c r="U175" i="4"/>
  <c r="T175" i="4"/>
  <c r="S175" i="4"/>
  <c r="R175" i="4"/>
  <c r="Q175" i="4"/>
  <c r="P175" i="4"/>
  <c r="O175" i="4"/>
  <c r="N175" i="4"/>
  <c r="M175" i="4"/>
  <c r="L175" i="4"/>
  <c r="K175" i="4"/>
  <c r="J175" i="4"/>
  <c r="I175" i="4"/>
  <c r="H175" i="4"/>
  <c r="G175" i="4"/>
  <c r="F175" i="4"/>
  <c r="E175" i="4"/>
  <c r="D175" i="4"/>
  <c r="C175" i="4"/>
  <c r="B175" i="4"/>
  <c r="U174" i="4"/>
  <c r="T174" i="4"/>
  <c r="S174" i="4"/>
  <c r="R174" i="4"/>
  <c r="Q174" i="4"/>
  <c r="P174" i="4"/>
  <c r="O174" i="4"/>
  <c r="N174" i="4"/>
  <c r="M174" i="4"/>
  <c r="L174" i="4"/>
  <c r="K174" i="4"/>
  <c r="J174" i="4"/>
  <c r="I174" i="4"/>
  <c r="H174" i="4"/>
  <c r="G174" i="4"/>
  <c r="F174" i="4"/>
  <c r="E174" i="4"/>
  <c r="D174" i="4"/>
  <c r="C174" i="4"/>
  <c r="B174" i="4"/>
  <c r="U173" i="4"/>
  <c r="T173" i="4"/>
  <c r="S173" i="4"/>
  <c r="R173" i="4"/>
  <c r="Q173" i="4"/>
  <c r="P173" i="4"/>
  <c r="O173" i="4"/>
  <c r="N173" i="4"/>
  <c r="M173" i="4"/>
  <c r="L173" i="4"/>
  <c r="K173" i="4"/>
  <c r="J173" i="4"/>
  <c r="I173" i="4"/>
  <c r="H173" i="4"/>
  <c r="G173" i="4"/>
  <c r="F173" i="4"/>
  <c r="E173" i="4"/>
  <c r="D173" i="4"/>
  <c r="C173" i="4"/>
  <c r="B173" i="4"/>
  <c r="U172" i="4"/>
  <c r="T172" i="4"/>
  <c r="S172" i="4"/>
  <c r="R172" i="4"/>
  <c r="Q172" i="4"/>
  <c r="P172" i="4"/>
  <c r="O172" i="4"/>
  <c r="N172" i="4"/>
  <c r="M172" i="4"/>
  <c r="L172" i="4"/>
  <c r="K172" i="4"/>
  <c r="J172" i="4"/>
  <c r="I172" i="4"/>
  <c r="H172" i="4"/>
  <c r="G172" i="4"/>
  <c r="F172" i="4"/>
  <c r="E172" i="4"/>
  <c r="D172" i="4"/>
  <c r="C172" i="4"/>
  <c r="B172" i="4"/>
  <c r="U171" i="4"/>
  <c r="T171" i="4"/>
  <c r="S171" i="4"/>
  <c r="R171" i="4"/>
  <c r="Q171" i="4"/>
  <c r="P171" i="4"/>
  <c r="O171" i="4"/>
  <c r="N171" i="4"/>
  <c r="M171" i="4"/>
  <c r="L171" i="4"/>
  <c r="K171" i="4"/>
  <c r="J171" i="4"/>
  <c r="I171" i="4"/>
  <c r="H171" i="4"/>
  <c r="G171" i="4"/>
  <c r="F171" i="4"/>
  <c r="E171" i="4"/>
  <c r="D171" i="4"/>
  <c r="C171" i="4"/>
  <c r="B171" i="4"/>
  <c r="U170" i="4"/>
  <c r="T170" i="4"/>
  <c r="S170" i="4"/>
  <c r="R170" i="4"/>
  <c r="Q170" i="4"/>
  <c r="P170" i="4"/>
  <c r="O170" i="4"/>
  <c r="N170" i="4"/>
  <c r="M170" i="4"/>
  <c r="L170" i="4"/>
  <c r="K170" i="4"/>
  <c r="J170" i="4"/>
  <c r="I170" i="4"/>
  <c r="H170" i="4"/>
  <c r="G170" i="4"/>
  <c r="F170" i="4"/>
  <c r="E170" i="4"/>
  <c r="D170" i="4"/>
  <c r="C170" i="4"/>
  <c r="B170" i="4"/>
  <c r="U169" i="4"/>
  <c r="T169" i="4"/>
  <c r="S169" i="4"/>
  <c r="R169" i="4"/>
  <c r="Q169" i="4"/>
  <c r="P169" i="4"/>
  <c r="O169" i="4"/>
  <c r="N169" i="4"/>
  <c r="M169" i="4"/>
  <c r="L169" i="4"/>
  <c r="K169" i="4"/>
  <c r="J169" i="4"/>
  <c r="I169" i="4"/>
  <c r="H169" i="4"/>
  <c r="G169" i="4"/>
  <c r="F169" i="4"/>
  <c r="E169" i="4"/>
  <c r="D169" i="4"/>
  <c r="C169" i="4"/>
  <c r="B169" i="4"/>
  <c r="U168" i="4"/>
  <c r="T168" i="4"/>
  <c r="S168" i="4"/>
  <c r="R168" i="4"/>
  <c r="Q168" i="4"/>
  <c r="P168" i="4"/>
  <c r="O168" i="4"/>
  <c r="N168" i="4"/>
  <c r="M168" i="4"/>
  <c r="L168" i="4"/>
  <c r="K168" i="4"/>
  <c r="J168" i="4"/>
  <c r="I168" i="4"/>
  <c r="H168" i="4"/>
  <c r="G168" i="4"/>
  <c r="F168" i="4"/>
  <c r="E168" i="4"/>
  <c r="D168" i="4"/>
  <c r="C168" i="4"/>
  <c r="B168" i="4"/>
  <c r="U167" i="4"/>
  <c r="T167" i="4"/>
  <c r="S167" i="4"/>
  <c r="R167" i="4"/>
  <c r="Q167" i="4"/>
  <c r="P167" i="4"/>
  <c r="O167" i="4"/>
  <c r="N167" i="4"/>
  <c r="M167" i="4"/>
  <c r="L167" i="4"/>
  <c r="K167" i="4"/>
  <c r="J167" i="4"/>
  <c r="I167" i="4"/>
  <c r="H167" i="4"/>
  <c r="G167" i="4"/>
  <c r="F167" i="4"/>
  <c r="E167" i="4"/>
  <c r="D167" i="4"/>
  <c r="C167" i="4"/>
  <c r="B167" i="4"/>
  <c r="U166" i="4"/>
  <c r="T166" i="4"/>
  <c r="S166" i="4"/>
  <c r="R166" i="4"/>
  <c r="Q166" i="4"/>
  <c r="P166" i="4"/>
  <c r="O166" i="4"/>
  <c r="N166" i="4"/>
  <c r="M166" i="4"/>
  <c r="L166" i="4"/>
  <c r="K166" i="4"/>
  <c r="J166" i="4"/>
  <c r="I166" i="4"/>
  <c r="H166" i="4"/>
  <c r="G166" i="4"/>
  <c r="F166" i="4"/>
  <c r="E166" i="4"/>
  <c r="D166" i="4"/>
  <c r="C166" i="4"/>
  <c r="B166" i="4"/>
  <c r="U165" i="4"/>
  <c r="T165" i="4"/>
  <c r="S165" i="4"/>
  <c r="R165" i="4"/>
  <c r="Q165" i="4"/>
  <c r="P165" i="4"/>
  <c r="O165" i="4"/>
  <c r="N165" i="4"/>
  <c r="M165" i="4"/>
  <c r="L165" i="4"/>
  <c r="K165" i="4"/>
  <c r="J165" i="4"/>
  <c r="I165" i="4"/>
  <c r="H165" i="4"/>
  <c r="G165" i="4"/>
  <c r="F165" i="4"/>
  <c r="E165" i="4"/>
  <c r="D165" i="4"/>
  <c r="C165" i="4"/>
  <c r="B165" i="4"/>
  <c r="U164" i="4"/>
  <c r="T164" i="4"/>
  <c r="S164" i="4"/>
  <c r="R164" i="4"/>
  <c r="Q164" i="4"/>
  <c r="P164" i="4"/>
  <c r="O164" i="4"/>
  <c r="N164" i="4"/>
  <c r="M164" i="4"/>
  <c r="L164" i="4"/>
  <c r="K164" i="4"/>
  <c r="J164" i="4"/>
  <c r="I164" i="4"/>
  <c r="H164" i="4"/>
  <c r="G164" i="4"/>
  <c r="F164" i="4"/>
  <c r="E164" i="4"/>
  <c r="D164" i="4"/>
  <c r="C164" i="4"/>
  <c r="B164" i="4"/>
  <c r="U163" i="4"/>
  <c r="T163" i="4"/>
  <c r="S163" i="4"/>
  <c r="R163" i="4"/>
  <c r="Q163" i="4"/>
  <c r="P163" i="4"/>
  <c r="O163" i="4"/>
  <c r="N163" i="4"/>
  <c r="M163" i="4"/>
  <c r="L163" i="4"/>
  <c r="K163" i="4"/>
  <c r="J163" i="4"/>
  <c r="I163" i="4"/>
  <c r="H163" i="4"/>
  <c r="G163" i="4"/>
  <c r="F163" i="4"/>
  <c r="E163" i="4"/>
  <c r="D163" i="4"/>
  <c r="C163" i="4"/>
  <c r="B163" i="4"/>
  <c r="U162" i="4"/>
  <c r="T162" i="4"/>
  <c r="S162" i="4"/>
  <c r="R162" i="4"/>
  <c r="Q162" i="4"/>
  <c r="P162" i="4"/>
  <c r="O162" i="4"/>
  <c r="N162" i="4"/>
  <c r="M162" i="4"/>
  <c r="L162" i="4"/>
  <c r="K162" i="4"/>
  <c r="J162" i="4"/>
  <c r="I162" i="4"/>
  <c r="H162" i="4"/>
  <c r="G162" i="4"/>
  <c r="F162" i="4"/>
  <c r="E162" i="4"/>
  <c r="D162" i="4"/>
  <c r="C162" i="4"/>
  <c r="B162" i="4"/>
  <c r="U161" i="4"/>
  <c r="T161" i="4"/>
  <c r="S161" i="4"/>
  <c r="R161" i="4"/>
  <c r="Q161" i="4"/>
  <c r="P161" i="4"/>
  <c r="O161" i="4"/>
  <c r="N161" i="4"/>
  <c r="M161" i="4"/>
  <c r="L161" i="4"/>
  <c r="K161" i="4"/>
  <c r="J161" i="4"/>
  <c r="I161" i="4"/>
  <c r="H161" i="4"/>
  <c r="G161" i="4"/>
  <c r="F161" i="4"/>
  <c r="E161" i="4"/>
  <c r="D161" i="4"/>
  <c r="C161" i="4"/>
  <c r="B161" i="4"/>
  <c r="U160" i="4"/>
  <c r="T160" i="4"/>
  <c r="S160" i="4"/>
  <c r="R160" i="4"/>
  <c r="Q160" i="4"/>
  <c r="P160" i="4"/>
  <c r="O160" i="4"/>
  <c r="N160" i="4"/>
  <c r="M160" i="4"/>
  <c r="L160" i="4"/>
  <c r="K160" i="4"/>
  <c r="J160" i="4"/>
  <c r="I160" i="4"/>
  <c r="H160" i="4"/>
  <c r="G160" i="4"/>
  <c r="F160" i="4"/>
  <c r="E160" i="4"/>
  <c r="D160" i="4"/>
  <c r="C160" i="4"/>
  <c r="B160" i="4"/>
  <c r="U159" i="4"/>
  <c r="T159" i="4"/>
  <c r="S159" i="4"/>
  <c r="R159" i="4"/>
  <c r="Q159" i="4"/>
  <c r="P159" i="4"/>
  <c r="O159" i="4"/>
  <c r="N159" i="4"/>
  <c r="M159" i="4"/>
  <c r="L159" i="4"/>
  <c r="K159" i="4"/>
  <c r="J159" i="4"/>
  <c r="I159" i="4"/>
  <c r="H159" i="4"/>
  <c r="G159" i="4"/>
  <c r="F159" i="4"/>
  <c r="E159" i="4"/>
  <c r="D159" i="4"/>
  <c r="C159" i="4"/>
  <c r="B159" i="4"/>
  <c r="U158" i="4"/>
  <c r="T158" i="4"/>
  <c r="S158" i="4"/>
  <c r="R158" i="4"/>
  <c r="Q158" i="4"/>
  <c r="P158" i="4"/>
  <c r="O158" i="4"/>
  <c r="N158" i="4"/>
  <c r="M158" i="4"/>
  <c r="L158" i="4"/>
  <c r="K158" i="4"/>
  <c r="J158" i="4"/>
  <c r="I158" i="4"/>
  <c r="H158" i="4"/>
  <c r="G158" i="4"/>
  <c r="F158" i="4"/>
  <c r="E158" i="4"/>
  <c r="D158" i="4"/>
  <c r="C158" i="4"/>
  <c r="B158" i="4"/>
  <c r="U157" i="4"/>
  <c r="T157" i="4"/>
  <c r="S157" i="4"/>
  <c r="R157" i="4"/>
  <c r="Q157" i="4"/>
  <c r="P157" i="4"/>
  <c r="O157" i="4"/>
  <c r="N157" i="4"/>
  <c r="M157" i="4"/>
  <c r="L157" i="4"/>
  <c r="K157" i="4"/>
  <c r="J157" i="4"/>
  <c r="I157" i="4"/>
  <c r="H157" i="4"/>
  <c r="G157" i="4"/>
  <c r="F157" i="4"/>
  <c r="E157" i="4"/>
  <c r="D157" i="4"/>
  <c r="C157" i="4"/>
  <c r="B157" i="4"/>
  <c r="U156" i="4"/>
  <c r="T156" i="4"/>
  <c r="S156" i="4"/>
  <c r="R156" i="4"/>
  <c r="Q156" i="4"/>
  <c r="P156" i="4"/>
  <c r="O156" i="4"/>
  <c r="N156" i="4"/>
  <c r="M156" i="4"/>
  <c r="L156" i="4"/>
  <c r="K156" i="4"/>
  <c r="J156" i="4"/>
  <c r="I156" i="4"/>
  <c r="H156" i="4"/>
  <c r="G156" i="4"/>
  <c r="F156" i="4"/>
  <c r="E156" i="4"/>
  <c r="D156" i="4"/>
  <c r="C156" i="4"/>
  <c r="B156" i="4"/>
  <c r="U155" i="4"/>
  <c r="T155" i="4"/>
  <c r="S155" i="4"/>
  <c r="R155" i="4"/>
  <c r="Q155" i="4"/>
  <c r="P155" i="4"/>
  <c r="O155" i="4"/>
  <c r="N155" i="4"/>
  <c r="M155" i="4"/>
  <c r="L155" i="4"/>
  <c r="K155" i="4"/>
  <c r="J155" i="4"/>
  <c r="I155" i="4"/>
  <c r="H155" i="4"/>
  <c r="G155" i="4"/>
  <c r="F155" i="4"/>
  <c r="E155" i="4"/>
  <c r="D155" i="4"/>
  <c r="C155" i="4"/>
  <c r="B155" i="4"/>
  <c r="U154" i="4"/>
  <c r="T154" i="4"/>
  <c r="S154" i="4"/>
  <c r="R154" i="4"/>
  <c r="Q154" i="4"/>
  <c r="P154" i="4"/>
  <c r="O154" i="4"/>
  <c r="N154" i="4"/>
  <c r="M154" i="4"/>
  <c r="L154" i="4"/>
  <c r="K154" i="4"/>
  <c r="J154" i="4"/>
  <c r="I154" i="4"/>
  <c r="H154" i="4"/>
  <c r="G154" i="4"/>
  <c r="F154" i="4"/>
  <c r="E154" i="4"/>
  <c r="D154" i="4"/>
  <c r="C154" i="4"/>
  <c r="B154" i="4"/>
  <c r="U153" i="4"/>
  <c r="T153" i="4"/>
  <c r="S153" i="4"/>
  <c r="R153" i="4"/>
  <c r="Q153" i="4"/>
  <c r="P153" i="4"/>
  <c r="O153" i="4"/>
  <c r="N153" i="4"/>
  <c r="M153" i="4"/>
  <c r="L153" i="4"/>
  <c r="K153" i="4"/>
  <c r="J153" i="4"/>
  <c r="I153" i="4"/>
  <c r="H153" i="4"/>
  <c r="G153" i="4"/>
  <c r="F153" i="4"/>
  <c r="E153" i="4"/>
  <c r="D153" i="4"/>
  <c r="C153" i="4"/>
  <c r="B153" i="4"/>
  <c r="U152" i="4"/>
  <c r="T152" i="4"/>
  <c r="S152" i="4"/>
  <c r="R152" i="4"/>
  <c r="Q152" i="4"/>
  <c r="P152" i="4"/>
  <c r="O152" i="4"/>
  <c r="N152" i="4"/>
  <c r="M152" i="4"/>
  <c r="L152" i="4"/>
  <c r="K152" i="4"/>
  <c r="J152" i="4"/>
  <c r="I152" i="4"/>
  <c r="H152" i="4"/>
  <c r="G152" i="4"/>
  <c r="F152" i="4"/>
  <c r="E152" i="4"/>
  <c r="D152" i="4"/>
  <c r="C152" i="4"/>
  <c r="B152" i="4"/>
  <c r="U151" i="4"/>
  <c r="T151" i="4"/>
  <c r="S151" i="4"/>
  <c r="R151" i="4"/>
  <c r="Q151" i="4"/>
  <c r="P151" i="4"/>
  <c r="O151" i="4"/>
  <c r="N151" i="4"/>
  <c r="M151" i="4"/>
  <c r="L151" i="4"/>
  <c r="K151" i="4"/>
  <c r="J151" i="4"/>
  <c r="I151" i="4"/>
  <c r="H151" i="4"/>
  <c r="G151" i="4"/>
  <c r="F151" i="4"/>
  <c r="E151" i="4"/>
  <c r="D151" i="4"/>
  <c r="C151" i="4"/>
  <c r="B151" i="4"/>
  <c r="U150" i="4"/>
  <c r="T150" i="4"/>
  <c r="S150" i="4"/>
  <c r="R150" i="4"/>
  <c r="Q150" i="4"/>
  <c r="P150" i="4"/>
  <c r="O150" i="4"/>
  <c r="N150" i="4"/>
  <c r="M150" i="4"/>
  <c r="L150" i="4"/>
  <c r="K150" i="4"/>
  <c r="J150" i="4"/>
  <c r="I150" i="4"/>
  <c r="H150" i="4"/>
  <c r="G150" i="4"/>
  <c r="F150" i="4"/>
  <c r="E150" i="4"/>
  <c r="D150" i="4"/>
  <c r="C150" i="4"/>
  <c r="B150" i="4"/>
  <c r="U149" i="4"/>
  <c r="T149" i="4"/>
  <c r="S149" i="4"/>
  <c r="R149" i="4"/>
  <c r="Q149" i="4"/>
  <c r="P149" i="4"/>
  <c r="O149" i="4"/>
  <c r="N149" i="4"/>
  <c r="M149" i="4"/>
  <c r="L149" i="4"/>
  <c r="K149" i="4"/>
  <c r="J149" i="4"/>
  <c r="I149" i="4"/>
  <c r="H149" i="4"/>
  <c r="G149" i="4"/>
  <c r="F149" i="4"/>
  <c r="E149" i="4"/>
  <c r="D149" i="4"/>
  <c r="C149" i="4"/>
  <c r="B149" i="4"/>
  <c r="U148" i="4"/>
  <c r="T148" i="4"/>
  <c r="S148" i="4"/>
  <c r="R148" i="4"/>
  <c r="Q148" i="4"/>
  <c r="P148" i="4"/>
  <c r="O148" i="4"/>
  <c r="N148" i="4"/>
  <c r="M148" i="4"/>
  <c r="L148" i="4"/>
  <c r="K148" i="4"/>
  <c r="J148" i="4"/>
  <c r="I148" i="4"/>
  <c r="H148" i="4"/>
  <c r="G148" i="4"/>
  <c r="F148" i="4"/>
  <c r="E148" i="4"/>
  <c r="D148" i="4"/>
  <c r="C148" i="4"/>
  <c r="B148" i="4"/>
  <c r="U147" i="4"/>
  <c r="T147" i="4"/>
  <c r="S147" i="4"/>
  <c r="R147" i="4"/>
  <c r="Q147" i="4"/>
  <c r="P147" i="4"/>
  <c r="O147" i="4"/>
  <c r="N147" i="4"/>
  <c r="M147" i="4"/>
  <c r="L147" i="4"/>
  <c r="K147" i="4"/>
  <c r="J147" i="4"/>
  <c r="I147" i="4"/>
  <c r="H147" i="4"/>
  <c r="G147" i="4"/>
  <c r="F147" i="4"/>
  <c r="E147" i="4"/>
  <c r="D147" i="4"/>
  <c r="C147" i="4"/>
  <c r="B147" i="4"/>
  <c r="U146" i="4"/>
  <c r="T146" i="4"/>
  <c r="S146" i="4"/>
  <c r="R146" i="4"/>
  <c r="Q146" i="4"/>
  <c r="P146" i="4"/>
  <c r="O146" i="4"/>
  <c r="N146" i="4"/>
  <c r="M146" i="4"/>
  <c r="L146" i="4"/>
  <c r="K146" i="4"/>
  <c r="J146" i="4"/>
  <c r="I146" i="4"/>
  <c r="H146" i="4"/>
  <c r="G146" i="4"/>
  <c r="F146" i="4"/>
  <c r="E146" i="4"/>
  <c r="D146" i="4"/>
  <c r="C146" i="4"/>
  <c r="B146" i="4"/>
  <c r="U145" i="4"/>
  <c r="T145" i="4"/>
  <c r="S145" i="4"/>
  <c r="R145" i="4"/>
  <c r="Q145" i="4"/>
  <c r="P145" i="4"/>
  <c r="O145" i="4"/>
  <c r="N145" i="4"/>
  <c r="M145" i="4"/>
  <c r="L145" i="4"/>
  <c r="K145" i="4"/>
  <c r="J145" i="4"/>
  <c r="I145" i="4"/>
  <c r="H145" i="4"/>
  <c r="G145" i="4"/>
  <c r="F145" i="4"/>
  <c r="E145" i="4"/>
  <c r="D145" i="4"/>
  <c r="C145" i="4"/>
  <c r="B145" i="4"/>
  <c r="U144" i="4"/>
  <c r="T144" i="4"/>
  <c r="S144" i="4"/>
  <c r="R144" i="4"/>
  <c r="Q144" i="4"/>
  <c r="P144" i="4"/>
  <c r="O144" i="4"/>
  <c r="N144" i="4"/>
  <c r="M144" i="4"/>
  <c r="L144" i="4"/>
  <c r="K144" i="4"/>
  <c r="J144" i="4"/>
  <c r="I144" i="4"/>
  <c r="H144" i="4"/>
  <c r="G144" i="4"/>
  <c r="F144" i="4"/>
  <c r="E144" i="4"/>
  <c r="D144" i="4"/>
  <c r="C144" i="4"/>
  <c r="B144" i="4"/>
  <c r="U143" i="4"/>
  <c r="T143" i="4"/>
  <c r="S143" i="4"/>
  <c r="R143" i="4"/>
  <c r="Q143" i="4"/>
  <c r="P143" i="4"/>
  <c r="O143" i="4"/>
  <c r="N143" i="4"/>
  <c r="M143" i="4"/>
  <c r="L143" i="4"/>
  <c r="K143" i="4"/>
  <c r="J143" i="4"/>
  <c r="I143" i="4"/>
  <c r="H143" i="4"/>
  <c r="G143" i="4"/>
  <c r="F143" i="4"/>
  <c r="E143" i="4"/>
  <c r="D143" i="4"/>
  <c r="C143" i="4"/>
  <c r="B143" i="4"/>
  <c r="U142" i="4"/>
  <c r="T142" i="4"/>
  <c r="S142" i="4"/>
  <c r="R142" i="4"/>
  <c r="Q142" i="4"/>
  <c r="P142" i="4"/>
  <c r="O142" i="4"/>
  <c r="N142" i="4"/>
  <c r="M142" i="4"/>
  <c r="L142" i="4"/>
  <c r="K142" i="4"/>
  <c r="J142" i="4"/>
  <c r="I142" i="4"/>
  <c r="H142" i="4"/>
  <c r="G142" i="4"/>
  <c r="F142" i="4"/>
  <c r="E142" i="4"/>
  <c r="D142" i="4"/>
  <c r="C142" i="4"/>
  <c r="B142" i="4"/>
  <c r="U141" i="4"/>
  <c r="T141" i="4"/>
  <c r="S141" i="4"/>
  <c r="R141" i="4"/>
  <c r="Q141" i="4"/>
  <c r="P141" i="4"/>
  <c r="O141" i="4"/>
  <c r="N141" i="4"/>
  <c r="M141" i="4"/>
  <c r="L141" i="4"/>
  <c r="K141" i="4"/>
  <c r="J141" i="4"/>
  <c r="I141" i="4"/>
  <c r="H141" i="4"/>
  <c r="G141" i="4"/>
  <c r="F141" i="4"/>
  <c r="E141" i="4"/>
  <c r="D141" i="4"/>
  <c r="C141" i="4"/>
  <c r="B141" i="4"/>
  <c r="U140" i="4"/>
  <c r="T140" i="4"/>
  <c r="S140" i="4"/>
  <c r="R140" i="4"/>
  <c r="Q140" i="4"/>
  <c r="P140" i="4"/>
  <c r="O140" i="4"/>
  <c r="N140" i="4"/>
  <c r="M140" i="4"/>
  <c r="L140" i="4"/>
  <c r="K140" i="4"/>
  <c r="J140" i="4"/>
  <c r="I140" i="4"/>
  <c r="H140" i="4"/>
  <c r="G140" i="4"/>
  <c r="F140" i="4"/>
  <c r="E140" i="4"/>
  <c r="D140" i="4"/>
  <c r="C140" i="4"/>
  <c r="B140" i="4"/>
  <c r="U139" i="4"/>
  <c r="T139" i="4"/>
  <c r="S139" i="4"/>
  <c r="R139" i="4"/>
  <c r="Q139" i="4"/>
  <c r="P139" i="4"/>
  <c r="O139" i="4"/>
  <c r="N139" i="4"/>
  <c r="M139" i="4"/>
  <c r="L139" i="4"/>
  <c r="K139" i="4"/>
  <c r="J139" i="4"/>
  <c r="I139" i="4"/>
  <c r="H139" i="4"/>
  <c r="G139" i="4"/>
  <c r="F139" i="4"/>
  <c r="E139" i="4"/>
  <c r="D139" i="4"/>
  <c r="C139" i="4"/>
  <c r="B139" i="4"/>
  <c r="U138" i="4"/>
  <c r="T138" i="4"/>
  <c r="S138" i="4"/>
  <c r="R138" i="4"/>
  <c r="Q138" i="4"/>
  <c r="P138" i="4"/>
  <c r="O138" i="4"/>
  <c r="N138" i="4"/>
  <c r="M138" i="4"/>
  <c r="L138" i="4"/>
  <c r="K138" i="4"/>
  <c r="J138" i="4"/>
  <c r="I138" i="4"/>
  <c r="H138" i="4"/>
  <c r="G138" i="4"/>
  <c r="F138" i="4"/>
  <c r="E138" i="4"/>
  <c r="D138" i="4"/>
  <c r="C138" i="4"/>
  <c r="B138" i="4"/>
  <c r="U137" i="4"/>
  <c r="T137" i="4"/>
  <c r="S137" i="4"/>
  <c r="R137" i="4"/>
  <c r="Q137" i="4"/>
  <c r="P137" i="4"/>
  <c r="O137" i="4"/>
  <c r="N137" i="4"/>
  <c r="M137" i="4"/>
  <c r="L137" i="4"/>
  <c r="K137" i="4"/>
  <c r="J137" i="4"/>
  <c r="I137" i="4"/>
  <c r="H137" i="4"/>
  <c r="G137" i="4"/>
  <c r="F137" i="4"/>
  <c r="E137" i="4"/>
  <c r="D137" i="4"/>
  <c r="C137" i="4"/>
  <c r="B137" i="4"/>
  <c r="U136" i="4"/>
  <c r="T136" i="4"/>
  <c r="S136" i="4"/>
  <c r="R136" i="4"/>
  <c r="Q136" i="4"/>
  <c r="P136" i="4"/>
  <c r="O136" i="4"/>
  <c r="N136" i="4"/>
  <c r="M136" i="4"/>
  <c r="L136" i="4"/>
  <c r="K136" i="4"/>
  <c r="J136" i="4"/>
  <c r="I136" i="4"/>
  <c r="H136" i="4"/>
  <c r="G136" i="4"/>
  <c r="F136" i="4"/>
  <c r="E136" i="4"/>
  <c r="D136" i="4"/>
  <c r="C136" i="4"/>
  <c r="B136" i="4"/>
  <c r="U135" i="4"/>
  <c r="T135" i="4"/>
  <c r="S135" i="4"/>
  <c r="R135" i="4"/>
  <c r="Q135" i="4"/>
  <c r="P135" i="4"/>
  <c r="O135" i="4"/>
  <c r="N135" i="4"/>
  <c r="M135" i="4"/>
  <c r="L135" i="4"/>
  <c r="K135" i="4"/>
  <c r="J135" i="4"/>
  <c r="I135" i="4"/>
  <c r="H135" i="4"/>
  <c r="G135" i="4"/>
  <c r="F135" i="4"/>
  <c r="E135" i="4"/>
  <c r="D135" i="4"/>
  <c r="C135" i="4"/>
  <c r="B135" i="4"/>
  <c r="U134" i="4"/>
  <c r="T134" i="4"/>
  <c r="S134" i="4"/>
  <c r="R134" i="4"/>
  <c r="Q134" i="4"/>
  <c r="P134" i="4"/>
  <c r="O134" i="4"/>
  <c r="N134" i="4"/>
  <c r="M134" i="4"/>
  <c r="L134" i="4"/>
  <c r="K134" i="4"/>
  <c r="J134" i="4"/>
  <c r="I134" i="4"/>
  <c r="H134" i="4"/>
  <c r="G134" i="4"/>
  <c r="F134" i="4"/>
  <c r="E134" i="4"/>
  <c r="D134" i="4"/>
  <c r="C134" i="4"/>
  <c r="B134" i="4"/>
  <c r="U133" i="4"/>
  <c r="T133" i="4"/>
  <c r="S133" i="4"/>
  <c r="R133" i="4"/>
  <c r="Q133" i="4"/>
  <c r="P133" i="4"/>
  <c r="O133" i="4"/>
  <c r="N133" i="4"/>
  <c r="M133" i="4"/>
  <c r="L133" i="4"/>
  <c r="K133" i="4"/>
  <c r="J133" i="4"/>
  <c r="I133" i="4"/>
  <c r="H133" i="4"/>
  <c r="G133" i="4"/>
  <c r="F133" i="4"/>
  <c r="E133" i="4"/>
  <c r="D133" i="4"/>
  <c r="C133" i="4"/>
  <c r="B133" i="4"/>
  <c r="U132" i="4"/>
  <c r="T132" i="4"/>
  <c r="S132" i="4"/>
  <c r="R132" i="4"/>
  <c r="Q132" i="4"/>
  <c r="P132" i="4"/>
  <c r="O132" i="4"/>
  <c r="N132" i="4"/>
  <c r="M132" i="4"/>
  <c r="L132" i="4"/>
  <c r="K132" i="4"/>
  <c r="J132" i="4"/>
  <c r="I132" i="4"/>
  <c r="H132" i="4"/>
  <c r="G132" i="4"/>
  <c r="F132" i="4"/>
  <c r="E132" i="4"/>
  <c r="D132" i="4"/>
  <c r="C132" i="4"/>
  <c r="B132" i="4"/>
  <c r="U131" i="4"/>
  <c r="T131" i="4"/>
  <c r="S131" i="4"/>
  <c r="R131" i="4"/>
  <c r="Q131" i="4"/>
  <c r="P131" i="4"/>
  <c r="O131" i="4"/>
  <c r="N131" i="4"/>
  <c r="M131" i="4"/>
  <c r="L131" i="4"/>
  <c r="K131" i="4"/>
  <c r="J131" i="4"/>
  <c r="I131" i="4"/>
  <c r="H131" i="4"/>
  <c r="G131" i="4"/>
  <c r="F131" i="4"/>
  <c r="E131" i="4"/>
  <c r="D131" i="4"/>
  <c r="C131" i="4"/>
  <c r="B131" i="4"/>
  <c r="U130" i="4"/>
  <c r="T130" i="4"/>
  <c r="S130" i="4"/>
  <c r="R130" i="4"/>
  <c r="Q130" i="4"/>
  <c r="P130" i="4"/>
  <c r="O130" i="4"/>
  <c r="N130" i="4"/>
  <c r="M130" i="4"/>
  <c r="L130" i="4"/>
  <c r="K130" i="4"/>
  <c r="J130" i="4"/>
  <c r="I130" i="4"/>
  <c r="H130" i="4"/>
  <c r="G130" i="4"/>
  <c r="F130" i="4"/>
  <c r="E130" i="4"/>
  <c r="D130" i="4"/>
  <c r="C130" i="4"/>
  <c r="B130" i="4"/>
  <c r="U129" i="4"/>
  <c r="T129" i="4"/>
  <c r="S129" i="4"/>
  <c r="R129" i="4"/>
  <c r="Q129" i="4"/>
  <c r="P129" i="4"/>
  <c r="O129" i="4"/>
  <c r="N129" i="4"/>
  <c r="M129" i="4"/>
  <c r="L129" i="4"/>
  <c r="K129" i="4"/>
  <c r="J129" i="4"/>
  <c r="I129" i="4"/>
  <c r="H129" i="4"/>
  <c r="G129" i="4"/>
  <c r="F129" i="4"/>
  <c r="E129" i="4"/>
  <c r="D129" i="4"/>
  <c r="C129" i="4"/>
  <c r="B129" i="4"/>
  <c r="U128" i="4"/>
  <c r="T128" i="4"/>
  <c r="S128" i="4"/>
  <c r="R128" i="4"/>
  <c r="Q128" i="4"/>
  <c r="P128" i="4"/>
  <c r="O128" i="4"/>
  <c r="N128" i="4"/>
  <c r="M128" i="4"/>
  <c r="L128" i="4"/>
  <c r="K128" i="4"/>
  <c r="J128" i="4"/>
  <c r="I128" i="4"/>
  <c r="H128" i="4"/>
  <c r="G128" i="4"/>
  <c r="F128" i="4"/>
  <c r="E128" i="4"/>
  <c r="D128" i="4"/>
  <c r="C128" i="4"/>
  <c r="B128" i="4"/>
  <c r="U127" i="4"/>
  <c r="T127" i="4"/>
  <c r="S127" i="4"/>
  <c r="R127" i="4"/>
  <c r="Q127" i="4"/>
  <c r="P127" i="4"/>
  <c r="O127" i="4"/>
  <c r="N127" i="4"/>
  <c r="M127" i="4"/>
  <c r="L127" i="4"/>
  <c r="K127" i="4"/>
  <c r="J127" i="4"/>
  <c r="I127" i="4"/>
  <c r="H127" i="4"/>
  <c r="G127" i="4"/>
  <c r="F127" i="4"/>
  <c r="E127" i="4"/>
  <c r="D127" i="4"/>
  <c r="C127" i="4"/>
  <c r="B127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B122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B121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B120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B119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B118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B117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E116" i="4"/>
  <c r="D116" i="4"/>
  <c r="C116" i="4"/>
  <c r="B116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E115" i="4"/>
  <c r="D115" i="4"/>
  <c r="C115" i="4"/>
  <c r="B115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E114" i="4"/>
  <c r="D114" i="4"/>
  <c r="C114" i="4"/>
  <c r="B114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E113" i="4"/>
  <c r="D113" i="4"/>
  <c r="C113" i="4"/>
  <c r="B113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E112" i="4"/>
  <c r="D112" i="4"/>
  <c r="C112" i="4"/>
  <c r="B112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E111" i="4"/>
  <c r="D111" i="4"/>
  <c r="C111" i="4"/>
  <c r="B111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E110" i="4"/>
  <c r="D110" i="4"/>
  <c r="C110" i="4"/>
  <c r="B110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E109" i="4"/>
  <c r="D109" i="4"/>
  <c r="C109" i="4"/>
  <c r="B109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E108" i="4"/>
  <c r="D108" i="4"/>
  <c r="C108" i="4"/>
  <c r="B108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E107" i="4"/>
  <c r="D107" i="4"/>
  <c r="C107" i="4"/>
  <c r="B107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E106" i="4"/>
  <c r="D106" i="4"/>
  <c r="C106" i="4"/>
  <c r="B106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E105" i="4"/>
  <c r="D105" i="4"/>
  <c r="C105" i="4"/>
  <c r="B105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B104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E103" i="4"/>
  <c r="D103" i="4"/>
  <c r="C103" i="4"/>
  <c r="B103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E102" i="4"/>
  <c r="D102" i="4"/>
  <c r="C102" i="4"/>
  <c r="B102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E101" i="4"/>
  <c r="D101" i="4"/>
  <c r="C101" i="4"/>
  <c r="B101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E100" i="4"/>
  <c r="D100" i="4"/>
  <c r="C100" i="4"/>
  <c r="B100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E99" i="4"/>
  <c r="D99" i="4"/>
  <c r="C99" i="4"/>
  <c r="B99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E98" i="4"/>
  <c r="D98" i="4"/>
  <c r="C98" i="4"/>
  <c r="B98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E97" i="4"/>
  <c r="D97" i="4"/>
  <c r="C97" i="4"/>
  <c r="B97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E96" i="4"/>
  <c r="D96" i="4"/>
  <c r="C96" i="4"/>
  <c r="B96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E95" i="4"/>
  <c r="D95" i="4"/>
  <c r="C95" i="4"/>
  <c r="B95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C94" i="4"/>
  <c r="B94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E93" i="4"/>
  <c r="D93" i="4"/>
  <c r="C93" i="4"/>
  <c r="B93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E92" i="4"/>
  <c r="D92" i="4"/>
  <c r="C92" i="4"/>
  <c r="B92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E91" i="4"/>
  <c r="D91" i="4"/>
  <c r="C91" i="4"/>
  <c r="B91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E90" i="4"/>
  <c r="D90" i="4"/>
  <c r="C90" i="4"/>
  <c r="B90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E89" i="4"/>
  <c r="D89" i="4"/>
  <c r="C89" i="4"/>
  <c r="B89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E88" i="4"/>
  <c r="D88" i="4"/>
  <c r="C88" i="4"/>
  <c r="B88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E87" i="4"/>
  <c r="D87" i="4"/>
  <c r="C87" i="4"/>
  <c r="B87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E86" i="4"/>
  <c r="D86" i="4"/>
  <c r="C86" i="4"/>
  <c r="B86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E85" i="4"/>
  <c r="D85" i="4"/>
  <c r="C85" i="4"/>
  <c r="B85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E84" i="4"/>
  <c r="D84" i="4"/>
  <c r="C84" i="4"/>
  <c r="B84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E83" i="4"/>
  <c r="D83" i="4"/>
  <c r="C83" i="4"/>
  <c r="B83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E82" i="4"/>
  <c r="D82" i="4"/>
  <c r="C82" i="4"/>
  <c r="B82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E81" i="4"/>
  <c r="D81" i="4"/>
  <c r="C81" i="4"/>
  <c r="B81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E80" i="4"/>
  <c r="D80" i="4"/>
  <c r="C80" i="4"/>
  <c r="B80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D79" i="4"/>
  <c r="C79" i="4"/>
  <c r="B79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B76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B74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B73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B72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B71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C70" i="4"/>
  <c r="B70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D69" i="4"/>
  <c r="C69" i="4"/>
  <c r="B69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B68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B67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B66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E65" i="4"/>
  <c r="D65" i="4"/>
  <c r="C65" i="4"/>
  <c r="B65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D64" i="4"/>
  <c r="C64" i="4"/>
  <c r="B64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C63" i="4"/>
  <c r="B63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B62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D61" i="4"/>
  <c r="C61" i="4"/>
  <c r="B61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C60" i="4"/>
  <c r="B60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B59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B58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B57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B56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B55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B54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B53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B51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D32" i="4"/>
  <c r="C32" i="4"/>
  <c r="E32" i="4" s="1"/>
  <c r="B32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D31" i="4"/>
  <c r="C31" i="4"/>
  <c r="E31" i="4" s="1"/>
  <c r="B31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D30" i="4"/>
  <c r="C30" i="4"/>
  <c r="E30" i="4" s="1"/>
  <c r="B30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D29" i="4"/>
  <c r="C29" i="4"/>
  <c r="E29" i="4" s="1"/>
  <c r="B29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D28" i="4"/>
  <c r="C28" i="4"/>
  <c r="E28" i="4" s="1"/>
  <c r="B28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D27" i="4"/>
  <c r="C27" i="4"/>
  <c r="E27" i="4" s="1"/>
  <c r="B27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D26" i="4"/>
  <c r="C26" i="4"/>
  <c r="E26" i="4" s="1"/>
  <c r="B26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D25" i="4"/>
  <c r="C25" i="4"/>
  <c r="E25" i="4" s="1"/>
  <c r="B25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D24" i="4"/>
  <c r="C24" i="4"/>
  <c r="E24" i="4" s="1"/>
  <c r="B24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D23" i="4"/>
  <c r="C23" i="4"/>
  <c r="E23" i="4" s="1"/>
  <c r="B23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D22" i="4"/>
  <c r="C22" i="4"/>
  <c r="E22" i="4" s="1"/>
  <c r="B22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D21" i="4"/>
  <c r="C21" i="4"/>
  <c r="E21" i="4" s="1"/>
  <c r="B21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D20" i="4"/>
  <c r="C20" i="4"/>
  <c r="E20" i="4" s="1"/>
  <c r="B20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D19" i="4"/>
  <c r="C19" i="4"/>
  <c r="E19" i="4" s="1"/>
  <c r="B19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D18" i="4"/>
  <c r="C18" i="4"/>
  <c r="E18" i="4" s="1"/>
  <c r="B18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D17" i="4"/>
  <c r="C17" i="4"/>
  <c r="E17" i="4" s="1"/>
  <c r="B17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D16" i="4"/>
  <c r="C16" i="4"/>
  <c r="E16" i="4" s="1"/>
  <c r="B16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D15" i="4"/>
  <c r="C15" i="4"/>
  <c r="E15" i="4" s="1"/>
  <c r="B15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D14" i="4"/>
  <c r="C14" i="4"/>
  <c r="E14" i="4" s="1"/>
  <c r="B14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D13" i="4"/>
  <c r="C13" i="4"/>
  <c r="E13" i="4" s="1"/>
  <c r="B13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D12" i="4"/>
  <c r="C12" i="4"/>
  <c r="E12" i="4" s="1"/>
  <c r="B12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D11" i="4"/>
  <c r="C11" i="4"/>
  <c r="E11" i="4" s="1"/>
  <c r="B11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D10" i="4"/>
  <c r="C10" i="4"/>
  <c r="E10" i="4" s="1"/>
  <c r="B10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D9" i="4"/>
  <c r="C9" i="4"/>
  <c r="E9" i="4" s="1"/>
  <c r="B9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D8" i="4"/>
  <c r="C8" i="4"/>
  <c r="E8" i="4" s="1"/>
  <c r="B8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D7" i="4"/>
  <c r="C7" i="4"/>
  <c r="E7" i="4" s="1"/>
  <c r="B7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D6" i="4"/>
  <c r="C6" i="4"/>
  <c r="E6" i="4" s="1"/>
  <c r="B6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D5" i="4"/>
  <c r="C5" i="4"/>
  <c r="E5" i="4" s="1"/>
  <c r="B5" i="4"/>
  <c r="L8" i="2"/>
  <c r="I301" i="4"/>
  <c r="U300" i="4"/>
  <c r="R300" i="4"/>
  <c r="O300" i="4"/>
  <c r="L300" i="4"/>
  <c r="H300" i="4"/>
  <c r="D300" i="4"/>
  <c r="U299" i="4"/>
  <c r="R299" i="4"/>
  <c r="N299" i="4"/>
  <c r="K299" i="4"/>
  <c r="E299" i="4"/>
  <c r="B299" i="4"/>
  <c r="S298" i="4"/>
  <c r="P298" i="4"/>
  <c r="O298" i="4"/>
  <c r="L298" i="4"/>
  <c r="I298" i="4"/>
  <c r="F298" i="4"/>
  <c r="C298" i="4"/>
  <c r="R297" i="4"/>
  <c r="O297" i="4"/>
  <c r="J297" i="4"/>
  <c r="H297" i="4"/>
  <c r="E297" i="4"/>
  <c r="D297" i="4"/>
  <c r="U296" i="4"/>
  <c r="R296" i="4"/>
  <c r="M296" i="4"/>
  <c r="J296" i="4"/>
  <c r="G296" i="4"/>
  <c r="F296" i="4"/>
  <c r="C296" i="4"/>
  <c r="S295" i="4"/>
  <c r="O295" i="4"/>
  <c r="N295" i="4"/>
  <c r="I295" i="4"/>
  <c r="F295" i="4"/>
  <c r="D295" i="4"/>
  <c r="P294" i="4"/>
  <c r="M294" i="4"/>
  <c r="J294" i="4"/>
  <c r="I294" i="4"/>
  <c r="F294" i="4"/>
  <c r="D294" i="4"/>
  <c r="U293" i="4"/>
  <c r="R293" i="4"/>
  <c r="O293" i="4"/>
  <c r="M293" i="4"/>
  <c r="J293" i="4"/>
  <c r="I293" i="4"/>
  <c r="D293" i="4"/>
  <c r="C293" i="4"/>
  <c r="S292" i="4"/>
  <c r="O292" i="4"/>
  <c r="K292" i="4"/>
  <c r="H292" i="4"/>
  <c r="C292" i="4"/>
  <c r="T291" i="4"/>
  <c r="Q291" i="4"/>
  <c r="P291" i="4"/>
  <c r="M291" i="4"/>
  <c r="J291" i="4"/>
  <c r="D291" i="4"/>
  <c r="U290" i="4"/>
  <c r="T290" i="4"/>
  <c r="S290" i="4"/>
  <c r="N290" i="4"/>
  <c r="M290" i="4"/>
  <c r="H290" i="4"/>
  <c r="E290" i="4"/>
  <c r="B290" i="4"/>
  <c r="S289" i="4"/>
  <c r="P289" i="4"/>
  <c r="K289" i="4"/>
  <c r="G289" i="4"/>
  <c r="D289" i="4"/>
  <c r="U288" i="4"/>
  <c r="P288" i="4"/>
  <c r="O288" i="4"/>
  <c r="L288" i="4"/>
  <c r="I288" i="4"/>
  <c r="C288" i="4"/>
  <c r="B288" i="4"/>
  <c r="S287" i="4"/>
  <c r="P287" i="4"/>
  <c r="M287" i="4"/>
  <c r="K287" i="4"/>
  <c r="I287" i="4"/>
  <c r="F287" i="4"/>
  <c r="U286" i="4"/>
  <c r="P286" i="4"/>
  <c r="M286" i="4"/>
  <c r="L286" i="4"/>
  <c r="I286" i="4"/>
  <c r="H286" i="4"/>
  <c r="C286" i="4"/>
  <c r="T285" i="4"/>
  <c r="Q285" i="4"/>
  <c r="N285" i="4"/>
  <c r="M285" i="4"/>
  <c r="J285" i="4"/>
  <c r="H285" i="4"/>
  <c r="D285" i="4"/>
  <c r="S284" i="4"/>
  <c r="Q284" i="4"/>
  <c r="N284" i="4"/>
  <c r="K284" i="4"/>
  <c r="J284" i="4"/>
  <c r="G284" i="4"/>
  <c r="D284" i="4"/>
  <c r="U283" i="4"/>
  <c r="R283" i="4"/>
  <c r="O283" i="4"/>
  <c r="N283" i="4"/>
  <c r="K283" i="4"/>
  <c r="F283" i="4"/>
  <c r="C283" i="4"/>
  <c r="B283" i="4"/>
  <c r="U282" i="4"/>
  <c r="R282" i="4"/>
  <c r="O282" i="4"/>
  <c r="L282" i="4"/>
  <c r="I282" i="4"/>
  <c r="F282" i="4"/>
  <c r="C282" i="4"/>
  <c r="T281" i="4"/>
  <c r="Q281" i="4"/>
  <c r="N281" i="4"/>
  <c r="M281" i="4"/>
  <c r="J281" i="4"/>
  <c r="C281" i="4"/>
  <c r="U280" i="4"/>
  <c r="R280" i="4"/>
  <c r="Q280" i="4"/>
  <c r="J280" i="4"/>
  <c r="G280" i="4"/>
  <c r="F280" i="4"/>
  <c r="C280" i="4"/>
  <c r="T279" i="4"/>
  <c r="R279" i="4"/>
  <c r="O279" i="4"/>
  <c r="L279" i="4"/>
  <c r="K279" i="4"/>
  <c r="H279" i="4"/>
  <c r="E279" i="4"/>
  <c r="L278" i="4"/>
  <c r="I278" i="4"/>
  <c r="E278" i="4"/>
  <c r="U277" i="4"/>
  <c r="R277" i="4"/>
  <c r="O277" i="4"/>
  <c r="L277" i="4"/>
  <c r="H277" i="4"/>
  <c r="E277" i="4"/>
  <c r="U276" i="4"/>
  <c r="R276" i="4"/>
  <c r="Q276" i="4"/>
  <c r="N276" i="4"/>
  <c r="I276" i="4"/>
  <c r="F276" i="4"/>
  <c r="C276" i="4"/>
  <c r="T275" i="4"/>
  <c r="O275" i="4"/>
  <c r="L275" i="4"/>
  <c r="J275" i="4"/>
  <c r="F275" i="4"/>
  <c r="U274" i="4"/>
  <c r="T274" i="4"/>
  <c r="O274" i="4"/>
  <c r="L274" i="4"/>
  <c r="I274" i="4"/>
  <c r="F274" i="4"/>
  <c r="E274" i="4"/>
  <c r="B274" i="4"/>
  <c r="R273" i="4"/>
  <c r="O273" i="4"/>
  <c r="L273" i="4"/>
  <c r="I273" i="4"/>
  <c r="F273" i="4"/>
  <c r="U272" i="4"/>
  <c r="R272" i="4"/>
  <c r="O272" i="4"/>
  <c r="J272" i="4"/>
  <c r="E272" i="4"/>
  <c r="B272" i="4"/>
  <c r="Q271" i="4"/>
  <c r="O271" i="4"/>
  <c r="L271" i="4"/>
  <c r="K271" i="4"/>
  <c r="H271" i="4"/>
  <c r="G271" i="4"/>
  <c r="D271" i="4"/>
  <c r="T270" i="4"/>
  <c r="Q270" i="4"/>
  <c r="L270" i="4"/>
  <c r="K270" i="4"/>
  <c r="F270" i="4"/>
  <c r="E270" i="4"/>
  <c r="B270" i="4"/>
  <c r="T269" i="4"/>
  <c r="O269" i="4"/>
  <c r="L269" i="4"/>
  <c r="G269" i="4"/>
  <c r="D269" i="4"/>
  <c r="U268" i="4"/>
  <c r="S268" i="4"/>
  <c r="O268" i="4"/>
  <c r="M268" i="4"/>
  <c r="K268" i="4"/>
  <c r="H268" i="4"/>
  <c r="B268" i="4"/>
  <c r="R267" i="4"/>
  <c r="Q267" i="4"/>
  <c r="N267" i="4"/>
  <c r="K267" i="4"/>
  <c r="C267" i="4"/>
  <c r="S266" i="4"/>
  <c r="P266" i="4"/>
  <c r="M266" i="4"/>
  <c r="J266" i="4"/>
  <c r="G266" i="4"/>
  <c r="B266" i="4"/>
  <c r="U265" i="4"/>
  <c r="R265" i="4"/>
  <c r="O265" i="4"/>
  <c r="K265" i="4"/>
  <c r="J265" i="4"/>
  <c r="G265" i="4"/>
  <c r="E265" i="4"/>
  <c r="R264" i="4"/>
  <c r="O264" i="4"/>
  <c r="K264" i="4"/>
  <c r="H264" i="4"/>
  <c r="D264" i="4"/>
  <c r="U263" i="4"/>
  <c r="R263" i="4"/>
  <c r="O263" i="4"/>
  <c r="N263" i="4"/>
  <c r="K263" i="4"/>
  <c r="H263" i="4"/>
  <c r="E263" i="4"/>
  <c r="T262" i="4"/>
  <c r="Q262" i="4"/>
  <c r="N262" i="4"/>
  <c r="K262" i="4"/>
  <c r="H262" i="4"/>
  <c r="F262" i="4"/>
  <c r="E262" i="4"/>
  <c r="B262" i="4"/>
  <c r="S261" i="4"/>
  <c r="Q261" i="4"/>
  <c r="N261" i="4"/>
  <c r="I261" i="4"/>
  <c r="F261" i="4"/>
  <c r="E261" i="4"/>
  <c r="T260" i="4"/>
  <c r="O260" i="4"/>
  <c r="L260" i="4"/>
  <c r="H260" i="4"/>
  <c r="C260" i="4"/>
  <c r="U259" i="4"/>
  <c r="P259" i="4"/>
  <c r="M259" i="4"/>
  <c r="J259" i="4"/>
  <c r="G259" i="4"/>
  <c r="D259" i="4"/>
  <c r="U258" i="4"/>
  <c r="P258" i="4"/>
  <c r="M258" i="4"/>
  <c r="L258" i="4"/>
  <c r="I258" i="4"/>
  <c r="D258" i="4"/>
  <c r="S257" i="4"/>
  <c r="P257" i="4"/>
  <c r="M257" i="4"/>
  <c r="H257" i="4"/>
  <c r="E257" i="4"/>
  <c r="B257" i="4"/>
  <c r="S256" i="4"/>
  <c r="P256" i="4"/>
  <c r="M256" i="4"/>
  <c r="L256" i="4"/>
  <c r="I256" i="4"/>
  <c r="E256" i="4"/>
  <c r="D256" i="4"/>
  <c r="S255" i="4"/>
  <c r="R255" i="4"/>
  <c r="O255" i="4"/>
  <c r="K255" i="4"/>
  <c r="H255" i="4"/>
  <c r="E255" i="4"/>
  <c r="T254" i="4"/>
  <c r="Q254" i="4"/>
  <c r="N254" i="4"/>
  <c r="K254" i="4"/>
  <c r="J254" i="4"/>
  <c r="I254" i="4"/>
  <c r="D254" i="4"/>
  <c r="U253" i="4"/>
  <c r="T253" i="4"/>
  <c r="O253" i="4"/>
  <c r="N253" i="4"/>
  <c r="K253" i="4"/>
  <c r="F253" i="4"/>
  <c r="C253" i="4"/>
  <c r="T252" i="4"/>
  <c r="Q252" i="4"/>
  <c r="P252" i="4"/>
  <c r="O252" i="4"/>
  <c r="L252" i="4"/>
  <c r="I252" i="4"/>
  <c r="F252" i="4"/>
  <c r="D252" i="4"/>
  <c r="T251" i="4"/>
  <c r="Q251" i="4"/>
  <c r="C251" i="4"/>
  <c r="T250" i="4"/>
  <c r="Q250" i="4"/>
  <c r="O250" i="4"/>
  <c r="K250" i="4"/>
  <c r="G250" i="4"/>
  <c r="T249" i="4"/>
  <c r="Q249" i="4"/>
  <c r="P249" i="4"/>
  <c r="M249" i="4"/>
  <c r="I249" i="4"/>
  <c r="F249" i="4"/>
  <c r="B249" i="4"/>
  <c r="Q248" i="4"/>
  <c r="N248" i="4"/>
  <c r="K248" i="4"/>
  <c r="F248" i="4"/>
  <c r="C248" i="4"/>
  <c r="T247" i="4"/>
  <c r="Q247" i="4"/>
  <c r="P247" i="4"/>
  <c r="N247" i="4"/>
  <c r="L247" i="4"/>
  <c r="J247" i="4"/>
  <c r="G247" i="4"/>
  <c r="F247" i="4"/>
  <c r="D247" i="4"/>
  <c r="B247" i="4"/>
  <c r="T246" i="4"/>
  <c r="R246" i="4"/>
  <c r="N246" i="4"/>
  <c r="L246" i="4"/>
  <c r="J246" i="4"/>
  <c r="H246" i="4"/>
  <c r="F246" i="4"/>
  <c r="E246" i="4"/>
  <c r="C246" i="4"/>
  <c r="U245" i="4"/>
  <c r="S245" i="4"/>
  <c r="Q245" i="4"/>
  <c r="O245" i="4"/>
  <c r="L245" i="4"/>
  <c r="H245" i="4"/>
  <c r="E245" i="4"/>
  <c r="C245" i="4"/>
  <c r="T244" i="4"/>
  <c r="M244" i="4"/>
  <c r="J244" i="4"/>
  <c r="G244" i="4"/>
  <c r="D244" i="4"/>
  <c r="S243" i="4"/>
  <c r="P243" i="4"/>
  <c r="M243" i="4"/>
  <c r="J243" i="4"/>
  <c r="G243" i="4"/>
  <c r="T242" i="4"/>
  <c r="Q242" i="4"/>
  <c r="O242" i="4"/>
  <c r="M242" i="4"/>
  <c r="K242" i="4"/>
  <c r="J242" i="4"/>
  <c r="G242" i="4"/>
  <c r="E242" i="4"/>
  <c r="D242" i="4"/>
  <c r="C242" i="4"/>
  <c r="B242" i="4"/>
  <c r="U241" i="4"/>
  <c r="T241" i="4"/>
  <c r="S241" i="4"/>
  <c r="Q241" i="4"/>
  <c r="P241" i="4"/>
  <c r="N241" i="4"/>
  <c r="M241" i="4"/>
  <c r="K241" i="4"/>
  <c r="I241" i="4"/>
  <c r="G241" i="4"/>
  <c r="E241" i="4"/>
  <c r="C241" i="4"/>
  <c r="U240" i="4"/>
  <c r="S240" i="4"/>
  <c r="Q240" i="4"/>
  <c r="O240" i="4"/>
  <c r="M240" i="4"/>
  <c r="J240" i="4"/>
  <c r="I240" i="4"/>
  <c r="G240" i="4"/>
  <c r="F240" i="4"/>
  <c r="D240" i="4"/>
  <c r="U239" i="4"/>
  <c r="S239" i="4"/>
  <c r="P239" i="4"/>
  <c r="M239" i="4"/>
  <c r="I239" i="4"/>
  <c r="B239" i="4"/>
  <c r="S238" i="4"/>
  <c r="P238" i="4"/>
  <c r="K238" i="4"/>
  <c r="H238" i="4"/>
  <c r="E238" i="4"/>
  <c r="D238" i="4"/>
  <c r="S237" i="4"/>
  <c r="P237" i="4"/>
  <c r="M237" i="4"/>
  <c r="J237" i="4"/>
  <c r="I237" i="4"/>
  <c r="D237" i="4"/>
  <c r="T236" i="4"/>
  <c r="Q236" i="4"/>
  <c r="M236" i="4"/>
  <c r="J236" i="4"/>
  <c r="E236" i="4"/>
  <c r="B236" i="4"/>
  <c r="Q235" i="4"/>
  <c r="N235" i="4"/>
  <c r="K235" i="4"/>
  <c r="I235" i="4"/>
  <c r="F235" i="4"/>
  <c r="C235" i="4"/>
  <c r="Q234" i="4"/>
  <c r="N234" i="4"/>
  <c r="K234" i="4"/>
  <c r="G234" i="4"/>
  <c r="D234" i="4"/>
  <c r="S233" i="4"/>
  <c r="P233" i="4"/>
  <c r="M233" i="4"/>
  <c r="J233" i="4"/>
  <c r="G233" i="4"/>
  <c r="C233" i="4"/>
  <c r="S232" i="4"/>
  <c r="P232" i="4"/>
  <c r="M232" i="4"/>
  <c r="K232" i="4"/>
  <c r="F232" i="4"/>
  <c r="U231" i="4"/>
  <c r="Q231" i="4"/>
  <c r="K231" i="4"/>
  <c r="H231" i="4"/>
  <c r="U230" i="4"/>
  <c r="R230" i="4"/>
  <c r="Q230" i="4"/>
  <c r="N230" i="4"/>
  <c r="I230" i="4"/>
  <c r="F230" i="4"/>
  <c r="C230" i="4"/>
  <c r="S229" i="4"/>
  <c r="P229" i="4"/>
  <c r="O229" i="4"/>
  <c r="L229" i="4"/>
  <c r="H229" i="4"/>
  <c r="E229" i="4"/>
  <c r="B229" i="4"/>
  <c r="T228" i="4"/>
  <c r="P228" i="4"/>
  <c r="M228" i="4"/>
  <c r="I228" i="4"/>
  <c r="F228" i="4"/>
  <c r="B228" i="4"/>
  <c r="R227" i="4"/>
  <c r="O227" i="4"/>
  <c r="L227" i="4"/>
  <c r="J227" i="4"/>
  <c r="G227" i="4"/>
  <c r="F227" i="4"/>
  <c r="C227" i="4"/>
  <c r="R226" i="4"/>
  <c r="P226" i="4"/>
  <c r="M226" i="4"/>
  <c r="H226" i="4"/>
  <c r="E226" i="4"/>
  <c r="B226" i="4"/>
  <c r="F225" i="4"/>
  <c r="C225" i="4"/>
  <c r="S224" i="4"/>
  <c r="O224" i="4"/>
  <c r="L224" i="4"/>
  <c r="G224" i="4"/>
  <c r="E224" i="4"/>
  <c r="T223" i="4"/>
  <c r="S223" i="4"/>
  <c r="N223" i="4"/>
  <c r="I223" i="4"/>
  <c r="F223" i="4"/>
  <c r="C223" i="4"/>
  <c r="T222" i="4"/>
  <c r="Q222" i="4"/>
  <c r="N222" i="4"/>
  <c r="K222" i="4"/>
  <c r="H222" i="4"/>
  <c r="E222" i="4"/>
  <c r="C222" i="4"/>
  <c r="T221" i="4"/>
  <c r="S221" i="4"/>
  <c r="Q221" i="4"/>
  <c r="N221" i="4"/>
  <c r="K221" i="4"/>
  <c r="H221" i="4"/>
  <c r="F221" i="4"/>
  <c r="C221" i="4"/>
  <c r="T220" i="4"/>
  <c r="Q220" i="4"/>
  <c r="N220" i="4"/>
  <c r="K220" i="4"/>
  <c r="H220" i="4"/>
  <c r="E220" i="4"/>
  <c r="B220" i="4"/>
  <c r="S219" i="4"/>
  <c r="P219" i="4"/>
  <c r="K219" i="4"/>
  <c r="H219" i="4"/>
  <c r="F219" i="4"/>
  <c r="C219" i="4"/>
  <c r="T218" i="4"/>
  <c r="Q218" i="4"/>
  <c r="N218" i="4"/>
  <c r="K218" i="4"/>
  <c r="I218" i="4"/>
  <c r="G218" i="4"/>
  <c r="F218" i="4"/>
  <c r="D218" i="4"/>
  <c r="U217" i="4"/>
  <c r="R217" i="4"/>
  <c r="O217" i="4"/>
  <c r="M217" i="4"/>
  <c r="J217" i="4"/>
  <c r="G217" i="4"/>
  <c r="E217" i="4"/>
  <c r="T216" i="4"/>
  <c r="Q216" i="4"/>
  <c r="N216" i="4"/>
  <c r="K216" i="4"/>
  <c r="I216" i="4"/>
  <c r="F216" i="4"/>
  <c r="B216" i="4"/>
  <c r="S215" i="4"/>
  <c r="P215" i="4"/>
  <c r="M215" i="4"/>
  <c r="J215" i="4"/>
  <c r="G215" i="4"/>
  <c r="C215" i="4"/>
  <c r="Q214" i="4"/>
  <c r="N214" i="4"/>
  <c r="L214" i="4"/>
  <c r="G214" i="4"/>
  <c r="B214" i="4"/>
  <c r="U213" i="4"/>
  <c r="R213" i="4"/>
  <c r="O213" i="4"/>
  <c r="L213" i="4"/>
  <c r="I213" i="4"/>
  <c r="D213" i="4"/>
  <c r="U212" i="4"/>
  <c r="R212" i="4"/>
  <c r="O212" i="4"/>
  <c r="L212" i="4"/>
  <c r="H212" i="4"/>
  <c r="E212" i="4"/>
  <c r="U211" i="4"/>
  <c r="R211" i="4"/>
  <c r="P211" i="4"/>
  <c r="M211" i="4"/>
  <c r="J211" i="4"/>
  <c r="G211" i="4"/>
  <c r="F211" i="4"/>
  <c r="U210" i="4"/>
  <c r="R210" i="4"/>
  <c r="O210" i="4"/>
  <c r="J210" i="4"/>
  <c r="G210" i="4"/>
  <c r="D210" i="4"/>
  <c r="U209" i="4"/>
  <c r="Q209" i="4"/>
  <c r="N209" i="4"/>
  <c r="K209" i="4"/>
  <c r="H209" i="4"/>
  <c r="E209" i="4"/>
  <c r="B209" i="4"/>
  <c r="S208" i="4"/>
  <c r="N208" i="4"/>
  <c r="J208" i="4"/>
  <c r="G208" i="4"/>
  <c r="D208" i="4"/>
  <c r="U207" i="4"/>
  <c r="R207" i="4"/>
  <c r="O207" i="4"/>
  <c r="M207" i="4"/>
  <c r="K207" i="4"/>
  <c r="H207" i="4"/>
  <c r="E207" i="4"/>
  <c r="B207" i="4"/>
  <c r="Q206" i="4"/>
  <c r="O206" i="4"/>
  <c r="L206" i="4"/>
  <c r="H206" i="4"/>
  <c r="E206" i="4"/>
  <c r="B206" i="4"/>
  <c r="S205" i="4"/>
  <c r="N205" i="4"/>
  <c r="M205" i="4"/>
  <c r="L205" i="4"/>
  <c r="I205" i="4"/>
  <c r="F205" i="4"/>
  <c r="C205" i="4"/>
  <c r="T204" i="4"/>
  <c r="Q204" i="4"/>
  <c r="N204" i="4"/>
  <c r="K204" i="4"/>
  <c r="H204" i="4"/>
  <c r="E204" i="4"/>
  <c r="C204" i="4"/>
  <c r="T203" i="4"/>
  <c r="Q203" i="4"/>
  <c r="N203" i="4"/>
  <c r="L203" i="4"/>
  <c r="H203" i="4"/>
  <c r="E203" i="4"/>
  <c r="B203" i="4"/>
  <c r="S202" i="4"/>
  <c r="O202" i="4"/>
  <c r="K202" i="4"/>
  <c r="H202" i="4"/>
  <c r="F202" i="4"/>
  <c r="B202" i="4"/>
  <c r="S201" i="4"/>
  <c r="P201" i="4"/>
  <c r="O201" i="4"/>
  <c r="J201" i="4"/>
  <c r="H201" i="4"/>
  <c r="E201" i="4"/>
  <c r="B201" i="4"/>
  <c r="R200" i="4"/>
  <c r="P200" i="4"/>
  <c r="K200" i="4"/>
  <c r="H200" i="4"/>
  <c r="E200" i="4"/>
  <c r="B200" i="4"/>
  <c r="U199" i="4"/>
  <c r="R199" i="4"/>
  <c r="O199" i="4"/>
  <c r="M199" i="4"/>
  <c r="J199" i="4"/>
  <c r="I199" i="4"/>
  <c r="H197" i="4"/>
  <c r="E197" i="4"/>
  <c r="B197" i="4"/>
  <c r="S196" i="4"/>
  <c r="N196" i="4"/>
  <c r="K196" i="4"/>
  <c r="H196" i="4"/>
  <c r="D196" i="4"/>
  <c r="T195" i="4"/>
  <c r="Q195" i="4"/>
  <c r="N195" i="4"/>
  <c r="L195" i="4"/>
  <c r="I195" i="4"/>
  <c r="F195" i="4"/>
  <c r="C195" i="4"/>
  <c r="U194" i="4"/>
  <c r="P194" i="4"/>
  <c r="M194" i="4"/>
  <c r="J194" i="4"/>
  <c r="I194" i="4"/>
  <c r="H194" i="4"/>
  <c r="F194" i="4"/>
  <c r="D194" i="4"/>
  <c r="U193" i="4"/>
  <c r="P193" i="4"/>
  <c r="K193" i="4"/>
  <c r="G193" i="4"/>
  <c r="C193" i="4"/>
  <c r="T192" i="4"/>
  <c r="Q192" i="4"/>
  <c r="O192" i="4"/>
  <c r="K192" i="4"/>
  <c r="F192" i="4"/>
  <c r="D192" i="4"/>
  <c r="U191" i="4"/>
  <c r="R191" i="4"/>
  <c r="P191" i="4"/>
  <c r="M191" i="4"/>
  <c r="G191" i="4"/>
  <c r="C191" i="4"/>
  <c r="T190" i="4"/>
  <c r="Q190" i="4"/>
  <c r="N190" i="4"/>
  <c r="L190" i="4"/>
  <c r="G190" i="4"/>
  <c r="D190" i="4"/>
  <c r="C190" i="4"/>
  <c r="T189" i="4"/>
  <c r="P189" i="4"/>
  <c r="N189" i="4"/>
  <c r="I189" i="4"/>
  <c r="H189" i="4"/>
  <c r="T188" i="4"/>
  <c r="Q188" i="4"/>
  <c r="L188" i="4"/>
  <c r="H188" i="4"/>
  <c r="E188" i="4"/>
  <c r="C188" i="4"/>
  <c r="U187" i="4"/>
  <c r="R187" i="4"/>
  <c r="O187" i="4"/>
  <c r="L187" i="4"/>
  <c r="I187" i="4"/>
  <c r="F187" i="4"/>
  <c r="C187" i="4"/>
  <c r="Q186" i="4"/>
  <c r="N186" i="4"/>
  <c r="K186" i="4"/>
  <c r="H186" i="4"/>
  <c r="E186" i="4"/>
  <c r="U185" i="4"/>
  <c r="R185" i="4"/>
  <c r="O185" i="4"/>
  <c r="J185" i="4"/>
  <c r="G185" i="4"/>
  <c r="C185" i="4"/>
  <c r="S184" i="4"/>
  <c r="P184" i="4"/>
  <c r="M184" i="4"/>
  <c r="J184" i="4"/>
  <c r="G184" i="4"/>
  <c r="D184" i="4"/>
  <c r="S183" i="4"/>
  <c r="P183" i="4"/>
  <c r="M183" i="4"/>
  <c r="J183" i="4"/>
  <c r="F183" i="4"/>
  <c r="U182" i="4"/>
  <c r="P182" i="4"/>
  <c r="N182" i="4"/>
  <c r="K182" i="4"/>
  <c r="I182" i="4"/>
  <c r="D182" i="4"/>
  <c r="C182" i="4"/>
  <c r="R181" i="4"/>
  <c r="P181" i="4"/>
  <c r="M181" i="4"/>
  <c r="K181" i="4"/>
  <c r="H181" i="4"/>
  <c r="C181" i="4"/>
  <c r="T180" i="4"/>
  <c r="P180" i="4"/>
  <c r="L180" i="4"/>
  <c r="K180" i="4"/>
  <c r="H180" i="4"/>
  <c r="E180" i="4"/>
  <c r="B180" i="4"/>
  <c r="J301" i="4"/>
  <c r="F301" i="4"/>
  <c r="D301" i="4"/>
  <c r="B301" i="4"/>
  <c r="S300" i="4"/>
  <c r="P300" i="4"/>
  <c r="M300" i="4"/>
  <c r="J300" i="4"/>
  <c r="G300" i="4"/>
  <c r="F300" i="4"/>
  <c r="B300" i="4"/>
  <c r="S299" i="4"/>
  <c r="P299" i="4"/>
  <c r="M299" i="4"/>
  <c r="I299" i="4"/>
  <c r="G299" i="4"/>
  <c r="D299" i="4"/>
  <c r="T298" i="4"/>
  <c r="R298" i="4"/>
  <c r="N298" i="4"/>
  <c r="J298" i="4"/>
  <c r="G298" i="4"/>
  <c r="D298" i="4"/>
  <c r="B298" i="4"/>
  <c r="T297" i="4"/>
  <c r="Q297" i="4"/>
  <c r="M297" i="4"/>
  <c r="L297" i="4"/>
  <c r="G297" i="4"/>
  <c r="B297" i="4"/>
  <c r="T296" i="4"/>
  <c r="P296" i="4"/>
  <c r="N296" i="4"/>
  <c r="K296" i="4"/>
  <c r="H296" i="4"/>
  <c r="D296" i="4"/>
  <c r="U295" i="4"/>
  <c r="R295" i="4"/>
  <c r="Q295" i="4"/>
  <c r="M295" i="4"/>
  <c r="J295" i="4"/>
  <c r="H295" i="4"/>
  <c r="C295" i="4"/>
  <c r="U294" i="4"/>
  <c r="S294" i="4"/>
  <c r="Q294" i="4"/>
  <c r="N294" i="4"/>
  <c r="L294" i="4"/>
  <c r="H294" i="4"/>
  <c r="E294" i="4"/>
  <c r="B294" i="4"/>
  <c r="S293" i="4"/>
  <c r="Q293" i="4"/>
  <c r="N293" i="4"/>
  <c r="L293" i="4"/>
  <c r="K293" i="4"/>
  <c r="H293" i="4"/>
  <c r="F293" i="4"/>
  <c r="B293" i="4"/>
  <c r="T292" i="4"/>
  <c r="Q292" i="4"/>
  <c r="M292" i="4"/>
  <c r="J292" i="4"/>
  <c r="F292" i="4"/>
  <c r="D292" i="4"/>
  <c r="B292" i="4"/>
  <c r="S291" i="4"/>
  <c r="O291" i="4"/>
  <c r="K291" i="4"/>
  <c r="H291" i="4"/>
  <c r="F291" i="4"/>
  <c r="B291" i="4"/>
  <c r="Q290" i="4"/>
  <c r="O290" i="4"/>
  <c r="L290" i="4"/>
  <c r="I290" i="4"/>
  <c r="G290" i="4"/>
  <c r="D290" i="4"/>
  <c r="T289" i="4"/>
  <c r="R289" i="4"/>
  <c r="O289" i="4"/>
  <c r="M289" i="4"/>
  <c r="H289" i="4"/>
  <c r="E289" i="4"/>
  <c r="B289" i="4"/>
  <c r="S288" i="4"/>
  <c r="Q288" i="4"/>
  <c r="M288" i="4"/>
  <c r="K288" i="4"/>
  <c r="H288" i="4"/>
  <c r="E288" i="4"/>
  <c r="T287" i="4"/>
  <c r="R287" i="4"/>
  <c r="N287" i="4"/>
  <c r="L287" i="4"/>
  <c r="G287" i="4"/>
  <c r="E287" i="4"/>
  <c r="C287" i="4"/>
  <c r="T286" i="4"/>
  <c r="R286" i="4"/>
  <c r="O286" i="4"/>
  <c r="K286" i="4"/>
  <c r="G286" i="4"/>
  <c r="D286" i="4"/>
  <c r="U285" i="4"/>
  <c r="S285" i="4"/>
  <c r="P285" i="4"/>
  <c r="L285" i="4"/>
  <c r="I285" i="4"/>
  <c r="E285" i="4"/>
  <c r="C285" i="4"/>
  <c r="T284" i="4"/>
  <c r="O284" i="4"/>
  <c r="L284" i="4"/>
  <c r="H284" i="4"/>
  <c r="E284" i="4"/>
  <c r="B284" i="4"/>
  <c r="S283" i="4"/>
  <c r="Q283" i="4"/>
  <c r="M283" i="4"/>
  <c r="I283" i="4"/>
  <c r="G283" i="4"/>
  <c r="E283" i="4"/>
  <c r="S282" i="4"/>
  <c r="Q282" i="4"/>
  <c r="N282" i="4"/>
  <c r="J282" i="4"/>
  <c r="G282" i="4"/>
  <c r="E282" i="4"/>
  <c r="B282" i="4"/>
  <c r="S281" i="4"/>
  <c r="O281" i="4"/>
  <c r="L281" i="4"/>
  <c r="H281" i="4"/>
  <c r="F281" i="4"/>
  <c r="E281" i="4"/>
  <c r="B281" i="4"/>
  <c r="S280" i="4"/>
  <c r="P280" i="4"/>
  <c r="N280" i="4"/>
  <c r="L280" i="4"/>
  <c r="H280" i="4"/>
  <c r="E280" i="4"/>
  <c r="B280" i="4"/>
  <c r="S279" i="4"/>
  <c r="P279" i="4"/>
  <c r="M279" i="4"/>
  <c r="J279" i="4"/>
  <c r="G279" i="4"/>
  <c r="C279" i="4"/>
  <c r="U278" i="4"/>
  <c r="S278" i="4"/>
  <c r="R278" i="4"/>
  <c r="O278" i="4"/>
  <c r="N278" i="4"/>
  <c r="J278" i="4"/>
  <c r="G278" i="4"/>
  <c r="D278" i="4"/>
  <c r="B278" i="4"/>
  <c r="T277" i="4"/>
  <c r="Q277" i="4"/>
  <c r="M277" i="4"/>
  <c r="J277" i="4"/>
  <c r="F277" i="4"/>
  <c r="C277" i="4"/>
  <c r="S276" i="4"/>
  <c r="P276" i="4"/>
  <c r="M276" i="4"/>
  <c r="K276" i="4"/>
  <c r="H276" i="4"/>
  <c r="D276" i="4"/>
  <c r="U275" i="4"/>
  <c r="R275" i="4"/>
  <c r="P275" i="4"/>
  <c r="M275" i="4"/>
  <c r="K275" i="4"/>
  <c r="H275" i="4"/>
  <c r="D275" i="4"/>
  <c r="C275" i="4"/>
  <c r="S274" i="4"/>
  <c r="Q274" i="4"/>
  <c r="M274" i="4"/>
  <c r="J274" i="4"/>
  <c r="G274" i="4"/>
  <c r="D274" i="4"/>
  <c r="U273" i="4"/>
  <c r="S273" i="4"/>
  <c r="P273" i="4"/>
  <c r="N273" i="4"/>
  <c r="J273" i="4"/>
  <c r="H273" i="4"/>
  <c r="E273" i="4"/>
  <c r="B273" i="4"/>
  <c r="S272" i="4"/>
  <c r="Q272" i="4"/>
  <c r="N272" i="4"/>
  <c r="K272" i="4"/>
  <c r="H272" i="4"/>
  <c r="F272" i="4"/>
  <c r="C272" i="4"/>
  <c r="T271" i="4"/>
  <c r="R271" i="4"/>
  <c r="M271" i="4"/>
  <c r="I271" i="4"/>
  <c r="E271" i="4"/>
  <c r="C271" i="4"/>
  <c r="S270" i="4"/>
  <c r="P270" i="4"/>
  <c r="M270" i="4"/>
  <c r="I270" i="4"/>
  <c r="H270" i="4"/>
  <c r="D270" i="4"/>
  <c r="U269" i="4"/>
  <c r="R269" i="4"/>
  <c r="P269" i="4"/>
  <c r="M269" i="4"/>
  <c r="J269" i="4"/>
  <c r="I269" i="4"/>
  <c r="E269" i="4"/>
  <c r="B269" i="4"/>
  <c r="R268" i="4"/>
  <c r="Q268" i="4"/>
  <c r="P268" i="4"/>
  <c r="N268" i="4"/>
  <c r="L268" i="4"/>
  <c r="J268" i="4"/>
  <c r="F268" i="4"/>
  <c r="D268" i="4"/>
  <c r="C268" i="4"/>
  <c r="T267" i="4"/>
  <c r="P267" i="4"/>
  <c r="M267" i="4"/>
  <c r="J267" i="4"/>
  <c r="G267" i="4"/>
  <c r="D267" i="4"/>
  <c r="B267" i="4"/>
  <c r="T266" i="4"/>
  <c r="R266" i="4"/>
  <c r="O266" i="4"/>
  <c r="L266" i="4"/>
  <c r="I266" i="4"/>
  <c r="E266" i="4"/>
  <c r="C266" i="4"/>
  <c r="T265" i="4"/>
  <c r="Q265" i="4"/>
  <c r="M265" i="4"/>
  <c r="H265" i="4"/>
  <c r="D265" i="4"/>
  <c r="B265" i="4"/>
  <c r="T264" i="4"/>
  <c r="Q264" i="4"/>
  <c r="N264" i="4"/>
  <c r="L264" i="4"/>
  <c r="J264" i="4"/>
  <c r="G264" i="4"/>
  <c r="E264" i="4"/>
  <c r="B264" i="4"/>
  <c r="S263" i="4"/>
  <c r="Q263" i="4"/>
  <c r="L263" i="4"/>
  <c r="J263" i="4"/>
  <c r="F263" i="4"/>
  <c r="D263" i="4"/>
  <c r="B263" i="4"/>
  <c r="R262" i="4"/>
  <c r="P262" i="4"/>
  <c r="M262" i="4"/>
  <c r="J262" i="4"/>
  <c r="C262" i="4"/>
  <c r="U261" i="4"/>
  <c r="R261" i="4"/>
  <c r="P261" i="4"/>
  <c r="M261" i="4"/>
  <c r="K261" i="4"/>
  <c r="H261" i="4"/>
  <c r="D261" i="4"/>
  <c r="U260" i="4"/>
  <c r="R260" i="4"/>
  <c r="P260" i="4"/>
  <c r="M260" i="4"/>
  <c r="I260" i="4"/>
  <c r="G260" i="4"/>
  <c r="E260" i="4"/>
  <c r="T259" i="4"/>
  <c r="R259" i="4"/>
  <c r="N259" i="4"/>
  <c r="K259" i="4"/>
  <c r="I259" i="4"/>
  <c r="F259" i="4"/>
  <c r="B259" i="4"/>
  <c r="S258" i="4"/>
  <c r="Q258" i="4"/>
  <c r="N258" i="4"/>
  <c r="J258" i="4"/>
  <c r="G258" i="4"/>
  <c r="E258" i="4"/>
  <c r="C258" i="4"/>
  <c r="T257" i="4"/>
  <c r="Q257" i="4"/>
  <c r="N257" i="4"/>
  <c r="L257" i="4"/>
  <c r="I257" i="4"/>
  <c r="F257" i="4"/>
  <c r="C257" i="4"/>
  <c r="T256" i="4"/>
  <c r="Q256" i="4"/>
  <c r="O256" i="4"/>
  <c r="K256" i="4"/>
  <c r="H256" i="4"/>
  <c r="F256" i="4"/>
  <c r="B256" i="4"/>
  <c r="U255" i="4"/>
  <c r="Q255" i="4"/>
  <c r="N255" i="4"/>
  <c r="L255" i="4"/>
  <c r="I255" i="4"/>
  <c r="G255" i="4"/>
  <c r="D255" i="4"/>
  <c r="B255" i="4"/>
  <c r="R254" i="4"/>
  <c r="O254" i="4"/>
  <c r="L254" i="4"/>
  <c r="G254" i="4"/>
  <c r="E254" i="4"/>
  <c r="B254" i="4"/>
  <c r="S253" i="4"/>
  <c r="Q253" i="4"/>
  <c r="M253" i="4"/>
  <c r="J253" i="4"/>
  <c r="H253" i="4"/>
  <c r="D253" i="4"/>
  <c r="B253" i="4"/>
  <c r="S252" i="4"/>
  <c r="N252" i="4"/>
  <c r="K252" i="4"/>
  <c r="H252" i="4"/>
  <c r="C252" i="4"/>
  <c r="U251" i="4"/>
  <c r="S251" i="4"/>
  <c r="P251" i="4"/>
  <c r="N251" i="4"/>
  <c r="L251" i="4"/>
  <c r="I251" i="4"/>
  <c r="G251" i="4"/>
  <c r="E251" i="4"/>
  <c r="U250" i="4"/>
  <c r="R250" i="4"/>
  <c r="M250" i="4"/>
  <c r="J250" i="4"/>
  <c r="H250" i="4"/>
  <c r="E250" i="4"/>
  <c r="C250" i="4"/>
  <c r="B250" i="4"/>
  <c r="S249" i="4"/>
  <c r="O249" i="4"/>
  <c r="L249" i="4"/>
  <c r="J249" i="4"/>
  <c r="G249" i="4"/>
  <c r="D249" i="4"/>
  <c r="U248" i="4"/>
  <c r="R248" i="4"/>
  <c r="P248" i="4"/>
  <c r="M248" i="4"/>
  <c r="I248" i="4"/>
  <c r="G248" i="4"/>
  <c r="E248" i="4"/>
  <c r="B248" i="4"/>
  <c r="S247" i="4"/>
  <c r="O247" i="4"/>
  <c r="M247" i="4"/>
  <c r="K247" i="4"/>
  <c r="I247" i="4"/>
  <c r="H247" i="4"/>
  <c r="E247" i="4"/>
  <c r="C247" i="4"/>
  <c r="U246" i="4"/>
  <c r="S246" i="4"/>
  <c r="Q246" i="4"/>
  <c r="P246" i="4"/>
  <c r="O246" i="4"/>
  <c r="M246" i="4"/>
  <c r="K246" i="4"/>
  <c r="I246" i="4"/>
  <c r="G246" i="4"/>
  <c r="D246" i="4"/>
  <c r="B246" i="4"/>
  <c r="T245" i="4"/>
  <c r="R245" i="4"/>
  <c r="P245" i="4"/>
  <c r="N245" i="4"/>
  <c r="M245" i="4"/>
  <c r="J245" i="4"/>
  <c r="F245" i="4"/>
  <c r="B245" i="4"/>
  <c r="S244" i="4"/>
  <c r="P244" i="4"/>
  <c r="O244" i="4"/>
  <c r="K244" i="4"/>
  <c r="H244" i="4"/>
  <c r="F244" i="4"/>
  <c r="B244" i="4"/>
  <c r="T243" i="4"/>
  <c r="Q243" i="4"/>
  <c r="N243" i="4"/>
  <c r="L243" i="4"/>
  <c r="H243" i="4"/>
  <c r="E243" i="4"/>
  <c r="C243" i="4"/>
  <c r="B243" i="4"/>
  <c r="R242" i="4"/>
  <c r="N242" i="4"/>
  <c r="C240" i="4"/>
  <c r="T239" i="4"/>
  <c r="Q239" i="4"/>
  <c r="O239" i="4"/>
  <c r="K239" i="4"/>
  <c r="H239" i="4"/>
  <c r="F239" i="4"/>
  <c r="D239" i="4"/>
  <c r="U238" i="4"/>
  <c r="R238" i="4"/>
  <c r="O238" i="4"/>
  <c r="M238" i="4"/>
  <c r="J238" i="4"/>
  <c r="F238" i="4"/>
  <c r="B238" i="4"/>
  <c r="T237" i="4"/>
  <c r="Q237" i="4"/>
  <c r="N237" i="4"/>
  <c r="L237" i="4"/>
  <c r="H237" i="4"/>
  <c r="E237" i="4"/>
  <c r="B237" i="4"/>
  <c r="S236" i="4"/>
  <c r="O236" i="4"/>
  <c r="K236" i="4"/>
  <c r="I236" i="4"/>
  <c r="F236" i="4"/>
  <c r="C236" i="4"/>
  <c r="U235" i="4"/>
  <c r="R235" i="4"/>
  <c r="O235" i="4"/>
  <c r="M235" i="4"/>
  <c r="J235" i="4"/>
  <c r="H235" i="4"/>
  <c r="D235" i="4"/>
  <c r="U234" i="4"/>
  <c r="S234" i="4"/>
  <c r="O234" i="4"/>
  <c r="L234" i="4"/>
  <c r="I234" i="4"/>
  <c r="E234" i="4"/>
  <c r="C234" i="4"/>
  <c r="U233" i="4"/>
  <c r="Q233" i="4"/>
  <c r="N233" i="4"/>
  <c r="L233" i="4"/>
  <c r="H233" i="4"/>
  <c r="E233" i="4"/>
  <c r="B233" i="4"/>
  <c r="T232" i="4"/>
  <c r="R232" i="4"/>
  <c r="N232" i="4"/>
  <c r="J232" i="4"/>
  <c r="H232" i="4"/>
  <c r="E232" i="4"/>
  <c r="C232" i="4"/>
  <c r="T231" i="4"/>
  <c r="R231" i="4"/>
  <c r="P231" i="4"/>
  <c r="M231" i="4"/>
  <c r="J231" i="4"/>
  <c r="F231" i="4"/>
  <c r="E231" i="4"/>
  <c r="C231" i="4"/>
  <c r="T230" i="4"/>
  <c r="O230" i="4"/>
  <c r="M230" i="4"/>
  <c r="J230" i="4"/>
  <c r="G230" i="4"/>
  <c r="D230" i="4"/>
  <c r="U229" i="4"/>
  <c r="R229" i="4"/>
  <c r="M229" i="4"/>
  <c r="J229" i="4"/>
  <c r="F229" i="4"/>
  <c r="C229" i="4"/>
  <c r="U228" i="4"/>
  <c r="R228" i="4"/>
  <c r="N228" i="4"/>
  <c r="L228" i="4"/>
  <c r="J228" i="4"/>
  <c r="G228" i="4"/>
  <c r="D228" i="4"/>
  <c r="U227" i="4"/>
  <c r="S227" i="4"/>
  <c r="P227" i="4"/>
  <c r="M227" i="4"/>
  <c r="I227" i="4"/>
  <c r="D227" i="4"/>
  <c r="U226" i="4"/>
  <c r="S226" i="4"/>
  <c r="O226" i="4"/>
  <c r="L226" i="4"/>
  <c r="I226" i="4"/>
  <c r="G226" i="4"/>
  <c r="C226" i="4"/>
  <c r="T225" i="4"/>
  <c r="R225" i="4"/>
  <c r="P225" i="4"/>
  <c r="M225" i="4"/>
  <c r="K225" i="4"/>
  <c r="I225" i="4"/>
  <c r="G225" i="4"/>
  <c r="D225" i="4"/>
  <c r="B225" i="4"/>
  <c r="T224" i="4"/>
  <c r="Q224" i="4"/>
  <c r="M224" i="4"/>
  <c r="J224" i="4"/>
  <c r="I224" i="4"/>
  <c r="F224" i="4"/>
  <c r="C224" i="4"/>
  <c r="U223" i="4"/>
  <c r="Q223" i="4"/>
  <c r="O223" i="4"/>
  <c r="L223" i="4"/>
  <c r="J223" i="4"/>
  <c r="H223" i="4"/>
  <c r="E223" i="4"/>
  <c r="B223" i="4"/>
  <c r="S222" i="4"/>
  <c r="O222" i="4"/>
  <c r="M222" i="4"/>
  <c r="J222" i="4"/>
  <c r="F222" i="4"/>
  <c r="U221" i="4"/>
  <c r="R221" i="4"/>
  <c r="O221" i="4"/>
  <c r="M221" i="4"/>
  <c r="I221" i="4"/>
  <c r="G221" i="4"/>
  <c r="D221" i="4"/>
  <c r="U220" i="4"/>
  <c r="S220" i="4"/>
  <c r="P220" i="4"/>
  <c r="M220" i="4"/>
  <c r="I220" i="4"/>
  <c r="F220" i="4"/>
  <c r="D220" i="4"/>
  <c r="U219" i="4"/>
  <c r="R219" i="4"/>
  <c r="O219" i="4"/>
  <c r="M219" i="4"/>
  <c r="J219" i="4"/>
  <c r="G219" i="4"/>
  <c r="D219" i="4"/>
  <c r="U218" i="4"/>
  <c r="R218" i="4"/>
  <c r="O218" i="4"/>
  <c r="M218" i="4"/>
  <c r="J218" i="4"/>
  <c r="H218" i="4"/>
  <c r="E218" i="4"/>
  <c r="C218" i="4"/>
  <c r="S217" i="4"/>
  <c r="P217" i="4"/>
  <c r="L217" i="4"/>
  <c r="H217" i="4"/>
  <c r="D217" i="4"/>
  <c r="U216" i="4"/>
  <c r="S216" i="4"/>
  <c r="P216" i="4"/>
  <c r="M216" i="4"/>
  <c r="J216" i="4"/>
  <c r="G216" i="4"/>
  <c r="E216" i="4"/>
  <c r="C216" i="4"/>
  <c r="U215" i="4"/>
  <c r="Q215" i="4"/>
  <c r="O215" i="4"/>
  <c r="K215" i="4"/>
  <c r="I215" i="4"/>
  <c r="F215" i="4"/>
  <c r="D215" i="4"/>
  <c r="U214" i="4"/>
  <c r="S214" i="4"/>
  <c r="P214" i="4"/>
  <c r="M214" i="4"/>
  <c r="J214" i="4"/>
  <c r="I214" i="4"/>
  <c r="E214" i="4"/>
  <c r="C214" i="4"/>
  <c r="T213" i="4"/>
  <c r="Q213" i="4"/>
  <c r="N213" i="4"/>
  <c r="J213" i="4"/>
  <c r="G213" i="4"/>
  <c r="E213" i="4"/>
  <c r="B213" i="4"/>
  <c r="T212" i="4"/>
  <c r="P212" i="4"/>
  <c r="M212" i="4"/>
  <c r="J212" i="4"/>
  <c r="G212" i="4"/>
  <c r="C212" i="4"/>
  <c r="B212" i="4"/>
  <c r="S211" i="4"/>
  <c r="Q211" i="4"/>
  <c r="N211" i="4"/>
  <c r="K211" i="4"/>
  <c r="H211" i="4"/>
  <c r="E211" i="4"/>
  <c r="C211" i="4"/>
  <c r="T210" i="4"/>
  <c r="Q210" i="4"/>
  <c r="N210" i="4"/>
  <c r="K210" i="4"/>
  <c r="I210" i="4"/>
  <c r="E210" i="4"/>
  <c r="B210" i="4"/>
  <c r="S209" i="4"/>
  <c r="P209" i="4"/>
  <c r="L209" i="4"/>
  <c r="I209" i="4"/>
  <c r="F209" i="4"/>
  <c r="C209" i="4"/>
  <c r="U208" i="4"/>
  <c r="Q208" i="4"/>
  <c r="O208" i="4"/>
  <c r="L208" i="4"/>
  <c r="H208" i="4"/>
  <c r="E208" i="4"/>
  <c r="B208" i="4"/>
  <c r="T207" i="4"/>
  <c r="Q207" i="4"/>
  <c r="L207" i="4"/>
  <c r="I207" i="4"/>
  <c r="G207" i="4"/>
  <c r="D207" i="4"/>
  <c r="U206" i="4"/>
  <c r="S206" i="4"/>
  <c r="P206" i="4"/>
  <c r="M206" i="4"/>
  <c r="J206" i="4"/>
  <c r="G206" i="4"/>
  <c r="C206" i="4"/>
  <c r="T205" i="4"/>
  <c r="Q205" i="4"/>
  <c r="O205" i="4"/>
  <c r="J205" i="4"/>
  <c r="H205" i="4"/>
  <c r="E205" i="4"/>
  <c r="U204" i="4"/>
  <c r="R204" i="4"/>
  <c r="P204" i="4"/>
  <c r="L204" i="4"/>
  <c r="I204" i="4"/>
  <c r="F204" i="4"/>
  <c r="D204" i="4"/>
  <c r="U203" i="4"/>
  <c r="R203" i="4"/>
  <c r="O203" i="4"/>
  <c r="M203" i="4"/>
  <c r="J203" i="4"/>
  <c r="F203" i="4"/>
  <c r="C203" i="4"/>
  <c r="T202" i="4"/>
  <c r="P202" i="4"/>
  <c r="L202" i="4"/>
  <c r="J202" i="4"/>
  <c r="G202" i="4"/>
  <c r="D202" i="4"/>
  <c r="T201" i="4"/>
  <c r="R201" i="4"/>
  <c r="N201" i="4"/>
  <c r="L201" i="4"/>
  <c r="F201" i="4"/>
  <c r="C201" i="4"/>
  <c r="S200" i="4"/>
  <c r="O200" i="4"/>
  <c r="M200" i="4"/>
  <c r="I200" i="4"/>
  <c r="F200" i="4"/>
  <c r="C200" i="4"/>
  <c r="T199" i="4"/>
  <c r="Q199" i="4"/>
  <c r="L199" i="4"/>
  <c r="H199" i="4"/>
  <c r="E199" i="4"/>
  <c r="C199" i="4"/>
  <c r="T198" i="4"/>
  <c r="S198" i="4"/>
  <c r="Q198" i="4"/>
  <c r="O198" i="4"/>
  <c r="M198" i="4"/>
  <c r="K198" i="4"/>
  <c r="I198" i="4"/>
  <c r="G198" i="4"/>
  <c r="E198" i="4"/>
  <c r="B198" i="4"/>
  <c r="T197" i="4"/>
  <c r="S197" i="4"/>
  <c r="P197" i="4"/>
  <c r="O197" i="4"/>
  <c r="M197" i="4"/>
  <c r="K197" i="4"/>
  <c r="J197" i="4"/>
  <c r="F197" i="4"/>
  <c r="C197" i="4"/>
  <c r="T196" i="4"/>
  <c r="R196" i="4"/>
  <c r="P196" i="4"/>
  <c r="M196" i="4"/>
  <c r="J196" i="4"/>
  <c r="F196" i="4"/>
  <c r="C196" i="4"/>
  <c r="U195" i="4"/>
  <c r="S195" i="4"/>
  <c r="O195" i="4"/>
  <c r="K195" i="4"/>
  <c r="H195" i="4"/>
  <c r="D195" i="4"/>
  <c r="S194" i="4"/>
  <c r="R194" i="4"/>
  <c r="N194" i="4"/>
  <c r="K194" i="4"/>
  <c r="G194" i="4"/>
  <c r="E194" i="4"/>
  <c r="C194" i="4"/>
  <c r="B194" i="4"/>
  <c r="T193" i="4"/>
  <c r="Q193" i="4"/>
  <c r="O193" i="4"/>
  <c r="L193" i="4"/>
  <c r="J193" i="4"/>
  <c r="H193" i="4"/>
  <c r="E193" i="4"/>
  <c r="B193" i="4"/>
  <c r="S192" i="4"/>
  <c r="P192" i="4"/>
  <c r="M192" i="4"/>
  <c r="J192" i="4"/>
  <c r="H192" i="4"/>
  <c r="E192" i="4"/>
  <c r="B192" i="4"/>
  <c r="T191" i="4"/>
  <c r="Q191" i="4"/>
  <c r="N191" i="4"/>
  <c r="K191" i="4"/>
  <c r="J191" i="4"/>
  <c r="H191" i="4"/>
  <c r="E191" i="4"/>
  <c r="B191" i="4"/>
  <c r="R190" i="4"/>
  <c r="O190" i="4"/>
  <c r="K190" i="4"/>
  <c r="I190" i="4"/>
  <c r="E190" i="4"/>
  <c r="U189" i="4"/>
  <c r="R189" i="4"/>
  <c r="O189" i="4"/>
  <c r="M189" i="4"/>
  <c r="J189" i="4"/>
  <c r="F189" i="4"/>
  <c r="D189" i="4"/>
  <c r="C189" i="4"/>
  <c r="U188" i="4"/>
  <c r="S188" i="4"/>
  <c r="P188" i="4"/>
  <c r="M188" i="4"/>
  <c r="J188" i="4"/>
  <c r="F188" i="4"/>
  <c r="B188" i="4"/>
  <c r="S187" i="4"/>
  <c r="P187" i="4"/>
  <c r="M187" i="4"/>
  <c r="J187" i="4"/>
  <c r="G187" i="4"/>
  <c r="E187" i="4"/>
  <c r="B187" i="4"/>
  <c r="T186" i="4"/>
  <c r="R186" i="4"/>
  <c r="O186" i="4"/>
  <c r="M186" i="4"/>
  <c r="I186" i="4"/>
  <c r="G186" i="4"/>
  <c r="D186" i="4"/>
  <c r="B186" i="4"/>
  <c r="S185" i="4"/>
  <c r="Q185" i="4"/>
  <c r="M185" i="4"/>
  <c r="K185" i="4"/>
  <c r="I185" i="4"/>
  <c r="E185" i="4"/>
  <c r="U184" i="4"/>
  <c r="Q184" i="4"/>
  <c r="N184" i="4"/>
  <c r="L184" i="4"/>
  <c r="I184" i="4"/>
  <c r="F184" i="4"/>
  <c r="C184" i="4"/>
  <c r="T183" i="4"/>
  <c r="Q183" i="4"/>
  <c r="N183" i="4"/>
  <c r="L183" i="4"/>
  <c r="H183" i="4"/>
  <c r="E183" i="4"/>
  <c r="C183" i="4"/>
  <c r="S182" i="4"/>
  <c r="Q182" i="4"/>
  <c r="L182" i="4"/>
  <c r="G182" i="4"/>
  <c r="F182" i="4"/>
  <c r="B182" i="4"/>
  <c r="T181" i="4"/>
  <c r="O181" i="4"/>
  <c r="I181" i="4"/>
  <c r="F181" i="4"/>
  <c r="D181" i="4"/>
  <c r="U180" i="4"/>
  <c r="R180" i="4"/>
  <c r="O180" i="4"/>
  <c r="M180" i="4"/>
  <c r="J180" i="4"/>
  <c r="G180" i="4"/>
  <c r="C180" i="4"/>
  <c r="E359" i="10"/>
  <c r="T359" i="10"/>
  <c r="AI359" i="10"/>
  <c r="C351" i="9"/>
  <c r="AY351" i="9"/>
  <c r="AX352" i="9"/>
  <c r="AW351" i="9"/>
  <c r="F352" i="9"/>
  <c r="U352" i="9"/>
  <c r="AJ352" i="9"/>
  <c r="C341" i="10"/>
  <c r="AY341" i="10"/>
  <c r="AW341" i="10"/>
  <c r="AX342" i="10"/>
  <c r="F342" i="10"/>
  <c r="U342" i="10"/>
  <c r="AJ342" i="10"/>
  <c r="G281" i="7"/>
  <c r="V281" i="7"/>
  <c r="AK281" i="7"/>
  <c r="E247" i="7"/>
  <c r="T247" i="7"/>
  <c r="AI247" i="7"/>
  <c r="AY240" i="7"/>
  <c r="C240" i="7"/>
  <c r="AW240" i="7"/>
  <c r="X83" i="2" s="1"/>
  <c r="AX241" i="7"/>
  <c r="F241" i="7"/>
  <c r="U241" i="7"/>
  <c r="AJ241" i="7"/>
  <c r="D366" i="10" l="1"/>
  <c r="S366" i="10"/>
  <c r="AH366" i="10"/>
  <c r="A2" i="4"/>
  <c r="G8" i="2"/>
  <c r="E360" i="10"/>
  <c r="T360" i="10"/>
  <c r="AI360" i="10"/>
  <c r="C352" i="9"/>
  <c r="AY352" i="9"/>
  <c r="AW352" i="9"/>
  <c r="AX353" i="9"/>
  <c r="F353" i="9"/>
  <c r="U353" i="9"/>
  <c r="AJ353" i="9"/>
  <c r="AY342" i="10"/>
  <c r="C342" i="10"/>
  <c r="AW342" i="10"/>
  <c r="AX343" i="10"/>
  <c r="F343" i="10"/>
  <c r="U343" i="10"/>
  <c r="AJ343" i="10"/>
  <c r="G282" i="7"/>
  <c r="V282" i="7"/>
  <c r="AK282" i="7"/>
  <c r="E248" i="7"/>
  <c r="T248" i="7"/>
  <c r="AI248" i="7"/>
  <c r="AY241" i="7"/>
  <c r="C241" i="7"/>
  <c r="AW241" i="7"/>
  <c r="AX242" i="7"/>
  <c r="F242" i="7"/>
  <c r="U242" i="7"/>
  <c r="AJ242" i="7"/>
  <c r="AH368" i="10" l="1"/>
  <c r="AH370" i="10" s="1"/>
  <c r="AH369" i="10"/>
  <c r="E361" i="10"/>
  <c r="T361" i="10"/>
  <c r="AI361" i="10"/>
  <c r="C353" i="9"/>
  <c r="AY353" i="9"/>
  <c r="AW353" i="9"/>
  <c r="AX354" i="9"/>
  <c r="F354" i="9"/>
  <c r="U354" i="9"/>
  <c r="AJ354" i="9"/>
  <c r="C343" i="10"/>
  <c r="AY343" i="10"/>
  <c r="AX344" i="10"/>
  <c r="AW343" i="10"/>
  <c r="F344" i="10"/>
  <c r="U344" i="10"/>
  <c r="AJ344" i="10"/>
  <c r="G283" i="7"/>
  <c r="V283" i="7"/>
  <c r="AK283" i="7"/>
  <c r="E249" i="7"/>
  <c r="T249" i="7"/>
  <c r="AI249" i="7"/>
  <c r="AY242" i="7"/>
  <c r="C242" i="7"/>
  <c r="AW242" i="7"/>
  <c r="AX243" i="7"/>
  <c r="F243" i="7"/>
  <c r="U243" i="7"/>
  <c r="AJ243" i="7"/>
  <c r="E362" i="10" l="1"/>
  <c r="T362" i="10"/>
  <c r="AI362" i="10"/>
  <c r="AY354" i="9"/>
  <c r="C354" i="9"/>
  <c r="AW354" i="9"/>
  <c r="AX355" i="9"/>
  <c r="F355" i="9"/>
  <c r="U355" i="9"/>
  <c r="AJ355" i="9"/>
  <c r="C344" i="10"/>
  <c r="AY344" i="10"/>
  <c r="AX345" i="10"/>
  <c r="AW344" i="10"/>
  <c r="F345" i="10"/>
  <c r="U345" i="10"/>
  <c r="AJ345" i="10"/>
  <c r="G284" i="7"/>
  <c r="V284" i="7"/>
  <c r="AK284" i="7"/>
  <c r="E250" i="7"/>
  <c r="T250" i="7"/>
  <c r="AI250" i="7"/>
  <c r="AY243" i="7"/>
  <c r="C243" i="7"/>
  <c r="AW243" i="7"/>
  <c r="X84" i="2" s="1"/>
  <c r="AX244" i="7"/>
  <c r="F244" i="7"/>
  <c r="U244" i="7"/>
  <c r="AJ244" i="7"/>
  <c r="E363" i="10" l="1"/>
  <c r="T363" i="10"/>
  <c r="AI363" i="10"/>
  <c r="AY355" i="9"/>
  <c r="C355" i="9"/>
  <c r="AX356" i="9"/>
  <c r="AW355" i="9"/>
  <c r="F356" i="9"/>
  <c r="U356" i="9"/>
  <c r="AJ356" i="9"/>
  <c r="AY345" i="10"/>
  <c r="C345" i="10"/>
  <c r="AX346" i="10"/>
  <c r="AW345" i="10"/>
  <c r="F346" i="10"/>
  <c r="U346" i="10"/>
  <c r="AJ346" i="10"/>
  <c r="G285" i="7"/>
  <c r="V285" i="7"/>
  <c r="AK285" i="7"/>
  <c r="E251" i="7"/>
  <c r="T251" i="7"/>
  <c r="AI251" i="7"/>
  <c r="AY244" i="7"/>
  <c r="C244" i="7"/>
  <c r="AW244" i="7"/>
  <c r="AX245" i="7"/>
  <c r="F245" i="7"/>
  <c r="U245" i="7"/>
  <c r="AJ245" i="7"/>
  <c r="E364" i="10" l="1"/>
  <c r="T364" i="10"/>
  <c r="AI364" i="10"/>
  <c r="C356" i="9"/>
  <c r="AY356" i="9"/>
  <c r="AW356" i="9"/>
  <c r="AX357" i="9"/>
  <c r="F357" i="9"/>
  <c r="U357" i="9"/>
  <c r="AJ357" i="9"/>
  <c r="AY346" i="10"/>
  <c r="C346" i="10"/>
  <c r="AW346" i="10"/>
  <c r="AX347" i="10"/>
  <c r="F347" i="10"/>
  <c r="U347" i="10"/>
  <c r="AJ347" i="10"/>
  <c r="G286" i="7"/>
  <c r="V286" i="7"/>
  <c r="AK286" i="7"/>
  <c r="E252" i="7"/>
  <c r="T252" i="7"/>
  <c r="AI252" i="7"/>
  <c r="AY245" i="7"/>
  <c r="C245" i="7"/>
  <c r="AX246" i="7"/>
  <c r="AW245" i="7"/>
  <c r="F246" i="7"/>
  <c r="U246" i="7"/>
  <c r="AJ246" i="7"/>
  <c r="E365" i="10" l="1"/>
  <c r="T365" i="10"/>
  <c r="AI365" i="10"/>
  <c r="C357" i="9"/>
  <c r="AY357" i="9"/>
  <c r="AW357" i="9"/>
  <c r="AX358" i="9"/>
  <c r="F358" i="9"/>
  <c r="U358" i="9"/>
  <c r="AJ358" i="9"/>
  <c r="C347" i="10"/>
  <c r="AY347" i="10"/>
  <c r="AW347" i="10"/>
  <c r="AX348" i="10"/>
  <c r="F348" i="10"/>
  <c r="U348" i="10"/>
  <c r="AJ348" i="10"/>
  <c r="G287" i="7"/>
  <c r="V287" i="7"/>
  <c r="AK287" i="7"/>
  <c r="E253" i="7"/>
  <c r="T253" i="7"/>
  <c r="AI253" i="7"/>
  <c r="C246" i="7"/>
  <c r="AY246" i="7"/>
  <c r="AX247" i="7"/>
  <c r="AW246" i="7"/>
  <c r="X85" i="2" s="1"/>
  <c r="F247" i="7"/>
  <c r="U247" i="7"/>
  <c r="AJ247" i="7"/>
  <c r="E366" i="10" l="1"/>
  <c r="T366" i="10"/>
  <c r="AI366" i="10"/>
  <c r="C358" i="9"/>
  <c r="AY358" i="9"/>
  <c r="AW358" i="9"/>
  <c r="AX359" i="9"/>
  <c r="F359" i="9"/>
  <c r="U359" i="9"/>
  <c r="AJ359" i="9"/>
  <c r="AY348" i="10"/>
  <c r="C348" i="10"/>
  <c r="AW348" i="10"/>
  <c r="AX349" i="10"/>
  <c r="F349" i="10"/>
  <c r="U349" i="10"/>
  <c r="AJ349" i="10"/>
  <c r="G288" i="7"/>
  <c r="V288" i="7"/>
  <c r="AK288" i="7"/>
  <c r="E254" i="7"/>
  <c r="T254" i="7"/>
  <c r="AI254" i="7"/>
  <c r="AY247" i="7"/>
  <c r="C247" i="7"/>
  <c r="AW247" i="7"/>
  <c r="AX248" i="7"/>
  <c r="F248" i="7"/>
  <c r="U248" i="7"/>
  <c r="AJ248" i="7"/>
  <c r="AI368" i="10" l="1"/>
  <c r="AI370" i="10" s="1"/>
  <c r="AI369" i="10"/>
  <c r="C359" i="9"/>
  <c r="AY359" i="9"/>
  <c r="AW359" i="9"/>
  <c r="AX360" i="9"/>
  <c r="F360" i="9"/>
  <c r="U360" i="9"/>
  <c r="AJ360" i="9"/>
  <c r="C349" i="10"/>
  <c r="AY349" i="10"/>
  <c r="AX350" i="10"/>
  <c r="AW349" i="10"/>
  <c r="F350" i="10"/>
  <c r="U350" i="10"/>
  <c r="AJ350" i="10"/>
  <c r="G289" i="7"/>
  <c r="V289" i="7"/>
  <c r="AK289" i="7"/>
  <c r="E255" i="7"/>
  <c r="T255" i="7"/>
  <c r="AI255" i="7"/>
  <c r="AY248" i="7"/>
  <c r="C248" i="7"/>
  <c r="AW248" i="7"/>
  <c r="AX249" i="7"/>
  <c r="F249" i="7"/>
  <c r="U249" i="7"/>
  <c r="AJ249" i="7"/>
  <c r="C360" i="9" l="1"/>
  <c r="AY360" i="9"/>
  <c r="AX361" i="9"/>
  <c r="AW360" i="9"/>
  <c r="F361" i="9"/>
  <c r="U361" i="9"/>
  <c r="AJ361" i="9"/>
  <c r="C350" i="10"/>
  <c r="AY350" i="10"/>
  <c r="AX351" i="10"/>
  <c r="AW350" i="10"/>
  <c r="F351" i="10"/>
  <c r="U351" i="10"/>
  <c r="AJ351" i="10"/>
  <c r="G290" i="7"/>
  <c r="V290" i="7"/>
  <c r="AK290" i="7"/>
  <c r="E256" i="7"/>
  <c r="T256" i="7"/>
  <c r="AI256" i="7"/>
  <c r="AY249" i="7"/>
  <c r="C249" i="7"/>
  <c r="AW249" i="7"/>
  <c r="X86" i="2" s="1"/>
  <c r="AX250" i="7"/>
  <c r="F250" i="7"/>
  <c r="U250" i="7"/>
  <c r="AJ250" i="7"/>
  <c r="C361" i="9" l="1"/>
  <c r="AY361" i="9"/>
  <c r="AX362" i="9"/>
  <c r="AW361" i="9"/>
  <c r="F362" i="9"/>
  <c r="U362" i="9"/>
  <c r="AJ362" i="9"/>
  <c r="AY351" i="10"/>
  <c r="C351" i="10"/>
  <c r="AW351" i="10"/>
  <c r="AX352" i="10"/>
  <c r="F352" i="10"/>
  <c r="U352" i="10"/>
  <c r="AJ352" i="10"/>
  <c r="G291" i="7"/>
  <c r="V291" i="7"/>
  <c r="AK291" i="7"/>
  <c r="E257" i="7"/>
  <c r="T257" i="7"/>
  <c r="AI257" i="7"/>
  <c r="AY250" i="7"/>
  <c r="C250" i="7"/>
  <c r="AX251" i="7"/>
  <c r="AW250" i="7"/>
  <c r="F251" i="7"/>
  <c r="U251" i="7"/>
  <c r="AJ251" i="7"/>
  <c r="C362" i="9" l="1"/>
  <c r="AY362" i="9"/>
  <c r="AW362" i="9"/>
  <c r="AX363" i="9"/>
  <c r="F363" i="9"/>
  <c r="U363" i="9"/>
  <c r="AJ363" i="9"/>
  <c r="C352" i="10"/>
  <c r="AY352" i="10"/>
  <c r="AW352" i="10"/>
  <c r="AX353" i="10"/>
  <c r="F353" i="10"/>
  <c r="U353" i="10"/>
  <c r="AJ353" i="10"/>
  <c r="G292" i="7"/>
  <c r="V292" i="7"/>
  <c r="AK292" i="7"/>
  <c r="E258" i="7"/>
  <c r="T258" i="7"/>
  <c r="AI258" i="7"/>
  <c r="AY251" i="7"/>
  <c r="C251" i="7"/>
  <c r="AX252" i="7"/>
  <c r="AW251" i="7"/>
  <c r="F252" i="7"/>
  <c r="U252" i="7"/>
  <c r="AJ252" i="7"/>
  <c r="C363" i="9" l="1"/>
  <c r="AY363" i="9"/>
  <c r="AW363" i="9"/>
  <c r="AX364" i="9"/>
  <c r="F364" i="9"/>
  <c r="U364" i="9"/>
  <c r="AJ364" i="9"/>
  <c r="C353" i="10"/>
  <c r="AY353" i="10"/>
  <c r="AW353" i="10"/>
  <c r="AX354" i="10"/>
  <c r="F354" i="10"/>
  <c r="U354" i="10"/>
  <c r="AJ354" i="10"/>
  <c r="G293" i="7"/>
  <c r="V293" i="7"/>
  <c r="AK293" i="7"/>
  <c r="E259" i="7"/>
  <c r="T259" i="7"/>
  <c r="AI259" i="7"/>
  <c r="AY252" i="7"/>
  <c r="C252" i="7"/>
  <c r="AW252" i="7"/>
  <c r="X87" i="2" s="1"/>
  <c r="AX253" i="7"/>
  <c r="F253" i="7"/>
  <c r="U253" i="7"/>
  <c r="AJ253" i="7"/>
  <c r="AY364" i="9" l="1"/>
  <c r="C364" i="9"/>
  <c r="AX365" i="9"/>
  <c r="AW364" i="9"/>
  <c r="F365" i="9"/>
  <c r="U365" i="9"/>
  <c r="AJ365" i="9"/>
  <c r="C354" i="10"/>
  <c r="AY354" i="10"/>
  <c r="AW354" i="10"/>
  <c r="AX355" i="10"/>
  <c r="F355" i="10"/>
  <c r="U355" i="10"/>
  <c r="AJ355" i="10"/>
  <c r="G294" i="7"/>
  <c r="V294" i="7"/>
  <c r="AK294" i="7"/>
  <c r="E260" i="7"/>
  <c r="T260" i="7"/>
  <c r="AI260" i="7"/>
  <c r="AY253" i="7"/>
  <c r="C253" i="7"/>
  <c r="AW253" i="7"/>
  <c r="AX254" i="7"/>
  <c r="F254" i="7"/>
  <c r="U254" i="7"/>
  <c r="AJ254" i="7"/>
  <c r="C365" i="9" l="1"/>
  <c r="AY365" i="9"/>
  <c r="AW365" i="9"/>
  <c r="AX366" i="9"/>
  <c r="D32" i="6" s="1"/>
  <c r="F366" i="9"/>
  <c r="U366" i="9"/>
  <c r="AJ366" i="9"/>
  <c r="AY355" i="10"/>
  <c r="C355" i="10"/>
  <c r="AX356" i="10"/>
  <c r="AW355" i="10"/>
  <c r="F356" i="10"/>
  <c r="U356" i="10"/>
  <c r="AJ356" i="10"/>
  <c r="G295" i="7"/>
  <c r="V295" i="7"/>
  <c r="AK295" i="7"/>
  <c r="E261" i="7"/>
  <c r="T261" i="7"/>
  <c r="AI261" i="7"/>
  <c r="C254" i="7"/>
  <c r="AY254" i="7"/>
  <c r="AW254" i="7"/>
  <c r="AX255" i="7"/>
  <c r="F255" i="7"/>
  <c r="U255" i="7"/>
  <c r="AJ255" i="7"/>
  <c r="AA25" i="2" l="1"/>
  <c r="H24" i="2"/>
  <c r="AY366" i="9"/>
  <c r="E32" i="6" s="1"/>
  <c r="C366" i="9"/>
  <c r="AJ368" i="9"/>
  <c r="AJ370" i="9" s="1"/>
  <c r="AW366" i="9"/>
  <c r="C32" i="6" s="1"/>
  <c r="AJ369" i="9"/>
  <c r="C356" i="10"/>
  <c r="AY356" i="10"/>
  <c r="AX357" i="10"/>
  <c r="AW356" i="10"/>
  <c r="F357" i="10"/>
  <c r="U357" i="10"/>
  <c r="AJ357" i="10"/>
  <c r="G296" i="7"/>
  <c r="V296" i="7"/>
  <c r="AK296" i="7"/>
  <c r="E262" i="7"/>
  <c r="T262" i="7"/>
  <c r="AI262" i="7"/>
  <c r="C255" i="7"/>
  <c r="AY255" i="7"/>
  <c r="AW255" i="7"/>
  <c r="X88" i="2" s="1"/>
  <c r="AX256" i="7"/>
  <c r="F256" i="7"/>
  <c r="U256" i="7"/>
  <c r="AJ256" i="7"/>
  <c r="G24" i="2" l="1"/>
  <c r="F32" i="6"/>
  <c r="E24" i="2" s="1"/>
  <c r="C357" i="10"/>
  <c r="AY357" i="10"/>
  <c r="AX358" i="10"/>
  <c r="AW357" i="10"/>
  <c r="F358" i="10"/>
  <c r="U358" i="10"/>
  <c r="AJ358" i="10"/>
  <c r="G297" i="7"/>
  <c r="V297" i="7"/>
  <c r="AK297" i="7"/>
  <c r="E263" i="7"/>
  <c r="T263" i="7"/>
  <c r="AI263" i="7"/>
  <c r="C256" i="7"/>
  <c r="AY256" i="7"/>
  <c r="AW256" i="7"/>
  <c r="AX257" i="7"/>
  <c r="F257" i="7"/>
  <c r="U257" i="7"/>
  <c r="AJ257" i="7"/>
  <c r="C358" i="10" l="1"/>
  <c r="AY358" i="10"/>
  <c r="AX359" i="10"/>
  <c r="AW358" i="10"/>
  <c r="F359" i="10"/>
  <c r="U359" i="10"/>
  <c r="AJ359" i="10"/>
  <c r="G298" i="7"/>
  <c r="V298" i="7"/>
  <c r="AK298" i="7"/>
  <c r="E264" i="7"/>
  <c r="T264" i="7"/>
  <c r="AI264" i="7"/>
  <c r="AY257" i="7"/>
  <c r="C257" i="7"/>
  <c r="AX258" i="7"/>
  <c r="AW257" i="7"/>
  <c r="F258" i="7"/>
  <c r="U258" i="7"/>
  <c r="AJ258" i="7"/>
  <c r="C359" i="10" l="1"/>
  <c r="AY359" i="10"/>
  <c r="AX360" i="10"/>
  <c r="AW359" i="10"/>
  <c r="F360" i="10"/>
  <c r="U360" i="10"/>
  <c r="AJ360" i="10"/>
  <c r="G299" i="7"/>
  <c r="V299" i="7"/>
  <c r="AK299" i="7"/>
  <c r="E265" i="7"/>
  <c r="T265" i="7"/>
  <c r="AI265" i="7"/>
  <c r="AY258" i="7"/>
  <c r="C258" i="7"/>
  <c r="AW258" i="7"/>
  <c r="X89" i="2" s="1"/>
  <c r="AX259" i="7"/>
  <c r="F259" i="7"/>
  <c r="U259" i="7"/>
  <c r="AJ259" i="7"/>
  <c r="AY360" i="10" l="1"/>
  <c r="C360" i="10"/>
  <c r="AX361" i="10"/>
  <c r="AW360" i="10"/>
  <c r="F361" i="10"/>
  <c r="U361" i="10"/>
  <c r="AJ361" i="10"/>
  <c r="G300" i="7"/>
  <c r="V300" i="7"/>
  <c r="AK300" i="7"/>
  <c r="E266" i="7"/>
  <c r="T266" i="7"/>
  <c r="AI266" i="7"/>
  <c r="AY259" i="7"/>
  <c r="C259" i="7"/>
  <c r="AX260" i="7"/>
  <c r="AW259" i="7"/>
  <c r="F260" i="7"/>
  <c r="U260" i="7"/>
  <c r="AJ260" i="7"/>
  <c r="AY361" i="10" l="1"/>
  <c r="C361" i="10"/>
  <c r="AW361" i="10"/>
  <c r="AX362" i="10"/>
  <c r="F362" i="10"/>
  <c r="U362" i="10"/>
  <c r="AJ362" i="10"/>
  <c r="G301" i="7"/>
  <c r="V301" i="7"/>
  <c r="AK301" i="7"/>
  <c r="E267" i="7"/>
  <c r="T267" i="7"/>
  <c r="AI267" i="7"/>
  <c r="AY260" i="7"/>
  <c r="C260" i="7"/>
  <c r="AW260" i="7"/>
  <c r="AX261" i="7"/>
  <c r="F261" i="7"/>
  <c r="U261" i="7"/>
  <c r="AJ261" i="7"/>
  <c r="C362" i="10" l="1"/>
  <c r="AY362" i="10"/>
  <c r="AW362" i="10"/>
  <c r="AX363" i="10"/>
  <c r="F363" i="10"/>
  <c r="U363" i="10"/>
  <c r="AJ363" i="10"/>
  <c r="G302" i="7"/>
  <c r="V302" i="7"/>
  <c r="AK302" i="7"/>
  <c r="E268" i="7"/>
  <c r="T268" i="7"/>
  <c r="AI268" i="7"/>
  <c r="AY261" i="7"/>
  <c r="C261" i="7"/>
  <c r="AX262" i="7"/>
  <c r="AW261" i="7"/>
  <c r="X90" i="2" s="1"/>
  <c r="F262" i="7"/>
  <c r="U262" i="7"/>
  <c r="AJ262" i="7"/>
  <c r="C363" i="10" l="1"/>
  <c r="AY363" i="10"/>
  <c r="AW363" i="10"/>
  <c r="AX364" i="10"/>
  <c r="F364" i="10"/>
  <c r="U364" i="10"/>
  <c r="AJ364" i="10"/>
  <c r="G303" i="7"/>
  <c r="V303" i="7"/>
  <c r="AK303" i="7"/>
  <c r="E269" i="7"/>
  <c r="T269" i="7"/>
  <c r="AI269" i="7"/>
  <c r="AY262" i="7"/>
  <c r="C262" i="7"/>
  <c r="AX263" i="7"/>
  <c r="AW262" i="7"/>
  <c r="F263" i="7"/>
  <c r="U263" i="7"/>
  <c r="AJ263" i="7"/>
  <c r="C364" i="10" l="1"/>
  <c r="AY364" i="10"/>
  <c r="AW364" i="10"/>
  <c r="AX365" i="10"/>
  <c r="F365" i="10"/>
  <c r="U365" i="10"/>
  <c r="AJ365" i="10"/>
  <c r="G304" i="7"/>
  <c r="V304" i="7"/>
  <c r="AK304" i="7"/>
  <c r="E270" i="7"/>
  <c r="T270" i="7"/>
  <c r="AI270" i="7"/>
  <c r="AY263" i="7"/>
  <c r="C263" i="7"/>
  <c r="AW263" i="7"/>
  <c r="AX264" i="7"/>
  <c r="F264" i="7"/>
  <c r="U264" i="7"/>
  <c r="AJ264" i="7"/>
  <c r="C365" i="10" l="1"/>
  <c r="AY365" i="10"/>
  <c r="AX366" i="10"/>
  <c r="D33" i="6" s="1"/>
  <c r="AW365" i="10"/>
  <c r="F366" i="10"/>
  <c r="U366" i="10"/>
  <c r="AJ366" i="10"/>
  <c r="G305" i="7"/>
  <c r="V305" i="7"/>
  <c r="AK305" i="7"/>
  <c r="E271" i="7"/>
  <c r="T271" i="7"/>
  <c r="AI271" i="7"/>
  <c r="C264" i="7"/>
  <c r="AY264" i="7"/>
  <c r="AW264" i="7"/>
  <c r="X91" i="2" s="1"/>
  <c r="AX265" i="7"/>
  <c r="F265" i="7"/>
  <c r="U265" i="7"/>
  <c r="AJ265" i="7"/>
  <c r="H25" i="2" l="1"/>
  <c r="AA26" i="2"/>
  <c r="C366" i="10"/>
  <c r="AY366" i="10"/>
  <c r="E33" i="6" s="1"/>
  <c r="AJ368" i="10"/>
  <c r="AJ370" i="10" s="1"/>
  <c r="AW366" i="10"/>
  <c r="C33" i="6" s="1"/>
  <c r="AJ369" i="10"/>
  <c r="G306" i="7"/>
  <c r="V306" i="7"/>
  <c r="AK306" i="7"/>
  <c r="E272" i="7"/>
  <c r="T272" i="7"/>
  <c r="AI272" i="7"/>
  <c r="AY265" i="7"/>
  <c r="C265" i="7"/>
  <c r="AW265" i="7"/>
  <c r="AX266" i="7"/>
  <c r="F266" i="7"/>
  <c r="U266" i="7"/>
  <c r="AJ266" i="7"/>
  <c r="G25" i="2" l="1"/>
  <c r="F33" i="6"/>
  <c r="E25" i="2" s="1"/>
  <c r="G307" i="7"/>
  <c r="V307" i="7"/>
  <c r="AK307" i="7"/>
  <c r="E273" i="7"/>
  <c r="T273" i="7"/>
  <c r="AI273" i="7"/>
  <c r="AY266" i="7"/>
  <c r="C266" i="7"/>
  <c r="AX267" i="7"/>
  <c r="AW266" i="7"/>
  <c r="F267" i="7"/>
  <c r="U267" i="7"/>
  <c r="AJ267" i="7"/>
  <c r="G308" i="7" l="1"/>
  <c r="V308" i="7"/>
  <c r="AK308" i="7"/>
  <c r="E274" i="7"/>
  <c r="T274" i="7"/>
  <c r="AI274" i="7"/>
  <c r="C267" i="7"/>
  <c r="AY267" i="7"/>
  <c r="AW267" i="7"/>
  <c r="X92" i="2" s="1"/>
  <c r="AX268" i="7"/>
  <c r="F268" i="7"/>
  <c r="U268" i="7"/>
  <c r="AJ268" i="7"/>
  <c r="G309" i="7" l="1"/>
  <c r="V309" i="7"/>
  <c r="AK309" i="7"/>
  <c r="E275" i="7"/>
  <c r="T275" i="7"/>
  <c r="AI275" i="7"/>
  <c r="C268" i="7"/>
  <c r="AY268" i="7"/>
  <c r="AW268" i="7"/>
  <c r="AX269" i="7"/>
  <c r="F269" i="7"/>
  <c r="U269" i="7"/>
  <c r="AJ269" i="7"/>
  <c r="G310" i="7" l="1"/>
  <c r="V310" i="7"/>
  <c r="AK310" i="7"/>
  <c r="E276" i="7"/>
  <c r="T276" i="7"/>
  <c r="AI276" i="7"/>
  <c r="AY269" i="7"/>
  <c r="C269" i="7"/>
  <c r="AX270" i="7"/>
  <c r="AW269" i="7"/>
  <c r="F270" i="7"/>
  <c r="U270" i="7"/>
  <c r="AJ270" i="7"/>
  <c r="G311" i="7" l="1"/>
  <c r="V311" i="7"/>
  <c r="AK311" i="7"/>
  <c r="E277" i="7"/>
  <c r="T277" i="7"/>
  <c r="AI277" i="7"/>
  <c r="AY270" i="7"/>
  <c r="C270" i="7"/>
  <c r="AW270" i="7"/>
  <c r="X93" i="2" s="1"/>
  <c r="AX271" i="7"/>
  <c r="F271" i="7"/>
  <c r="U271" i="7"/>
  <c r="AJ271" i="7"/>
  <c r="G312" i="7" l="1"/>
  <c r="V312" i="7"/>
  <c r="AK312" i="7"/>
  <c r="E278" i="7"/>
  <c r="T278" i="7"/>
  <c r="AI278" i="7"/>
  <c r="AY271" i="7"/>
  <c r="C271" i="7"/>
  <c r="AW271" i="7"/>
  <c r="AX272" i="7"/>
  <c r="F272" i="7"/>
  <c r="U272" i="7"/>
  <c r="AJ272" i="7"/>
  <c r="G313" i="7" l="1"/>
  <c r="V313" i="7"/>
  <c r="AK313" i="7"/>
  <c r="E279" i="7"/>
  <c r="T279" i="7"/>
  <c r="AI279" i="7"/>
  <c r="AY272" i="7"/>
  <c r="C272" i="7"/>
  <c r="AW272" i="7"/>
  <c r="AX273" i="7"/>
  <c r="F273" i="7"/>
  <c r="U273" i="7"/>
  <c r="AJ273" i="7"/>
  <c r="G314" i="7" l="1"/>
  <c r="V314" i="7"/>
  <c r="AK314" i="7"/>
  <c r="E280" i="7"/>
  <c r="T280" i="7"/>
  <c r="AI280" i="7"/>
  <c r="C273" i="7"/>
  <c r="AY273" i="7"/>
  <c r="AW273" i="7"/>
  <c r="X94" i="2" s="1"/>
  <c r="AX274" i="7"/>
  <c r="F274" i="7"/>
  <c r="U274" i="7"/>
  <c r="AJ274" i="7"/>
  <c r="G315" i="7" l="1"/>
  <c r="V315" i="7"/>
  <c r="AK315" i="7"/>
  <c r="E281" i="7"/>
  <c r="T281" i="7"/>
  <c r="AI281" i="7"/>
  <c r="C274" i="7"/>
  <c r="AY274" i="7"/>
  <c r="AW274" i="7"/>
  <c r="AX275" i="7"/>
  <c r="F275" i="7"/>
  <c r="U275" i="7"/>
  <c r="AJ275" i="7"/>
  <c r="G316" i="7" l="1"/>
  <c r="V316" i="7"/>
  <c r="AK316" i="7"/>
  <c r="E282" i="7"/>
  <c r="T282" i="7"/>
  <c r="AI282" i="7"/>
  <c r="C275" i="7"/>
  <c r="AY275" i="7"/>
  <c r="AX276" i="7"/>
  <c r="AW275" i="7"/>
  <c r="F276" i="7"/>
  <c r="U276" i="7"/>
  <c r="AJ276" i="7"/>
  <c r="G317" i="7" l="1"/>
  <c r="V317" i="7"/>
  <c r="AK317" i="7"/>
  <c r="E283" i="7"/>
  <c r="T283" i="7"/>
  <c r="AI283" i="7"/>
  <c r="AY276" i="7"/>
  <c r="C276" i="7"/>
  <c r="AW276" i="7"/>
  <c r="X95" i="2" s="1"/>
  <c r="AX277" i="7"/>
  <c r="F277" i="7"/>
  <c r="U277" i="7"/>
  <c r="AJ277" i="7"/>
  <c r="G318" i="7" l="1"/>
  <c r="V318" i="7"/>
  <c r="AK318" i="7"/>
  <c r="E284" i="7"/>
  <c r="T284" i="7"/>
  <c r="AI284" i="7"/>
  <c r="AY277" i="7"/>
  <c r="C277" i="7"/>
  <c r="AX278" i="7"/>
  <c r="AW277" i="7"/>
  <c r="F278" i="7"/>
  <c r="U278" i="7"/>
  <c r="AJ278" i="7"/>
  <c r="G319" i="7" l="1"/>
  <c r="V319" i="7"/>
  <c r="AK319" i="7"/>
  <c r="E285" i="7"/>
  <c r="T285" i="7"/>
  <c r="AI285" i="7"/>
  <c r="AY278" i="7"/>
  <c r="C278" i="7"/>
  <c r="AX279" i="7"/>
  <c r="AW278" i="7"/>
  <c r="F279" i="7"/>
  <c r="U279" i="7"/>
  <c r="AJ279" i="7"/>
  <c r="G320" i="7" l="1"/>
  <c r="V320" i="7"/>
  <c r="AK320" i="7"/>
  <c r="E286" i="7"/>
  <c r="T286" i="7"/>
  <c r="AI286" i="7"/>
  <c r="AY279" i="7"/>
  <c r="C279" i="7"/>
  <c r="AX280" i="7"/>
  <c r="AW279" i="7"/>
  <c r="X96" i="2" s="1"/>
  <c r="F280" i="7"/>
  <c r="U280" i="7"/>
  <c r="AJ280" i="7"/>
  <c r="G321" i="7" l="1"/>
  <c r="V321" i="7"/>
  <c r="AK321" i="7"/>
  <c r="E287" i="7"/>
  <c r="T287" i="7"/>
  <c r="AI287" i="7"/>
  <c r="C280" i="7"/>
  <c r="AY280" i="7"/>
  <c r="AW280" i="7"/>
  <c r="AX281" i="7"/>
  <c r="F281" i="7"/>
  <c r="U281" i="7"/>
  <c r="AJ281" i="7"/>
  <c r="G322" i="7" l="1"/>
  <c r="V322" i="7"/>
  <c r="AK322" i="7"/>
  <c r="E288" i="7"/>
  <c r="T288" i="7"/>
  <c r="AI288" i="7"/>
  <c r="AY281" i="7"/>
  <c r="C281" i="7"/>
  <c r="AW281" i="7"/>
  <c r="AX282" i="7"/>
  <c r="F282" i="7"/>
  <c r="U282" i="7"/>
  <c r="AJ282" i="7"/>
  <c r="G323" i="7" l="1"/>
  <c r="V323" i="7"/>
  <c r="AK323" i="7"/>
  <c r="E289" i="7"/>
  <c r="T289" i="7"/>
  <c r="AI289" i="7"/>
  <c r="AY282" i="7"/>
  <c r="C282" i="7"/>
  <c r="AW282" i="7"/>
  <c r="X97" i="2" s="1"/>
  <c r="AX283" i="7"/>
  <c r="F283" i="7"/>
  <c r="U283" i="7"/>
  <c r="AJ283" i="7"/>
  <c r="G324" i="7" l="1"/>
  <c r="V324" i="7"/>
  <c r="AK324" i="7"/>
  <c r="E290" i="7"/>
  <c r="T290" i="7"/>
  <c r="AI290" i="7"/>
  <c r="C283" i="7"/>
  <c r="AY283" i="7"/>
  <c r="AW283" i="7"/>
  <c r="AX284" i="7"/>
  <c r="F284" i="7"/>
  <c r="U284" i="7"/>
  <c r="AJ284" i="7"/>
  <c r="G325" i="7" l="1"/>
  <c r="V325" i="7"/>
  <c r="AK325" i="7"/>
  <c r="E291" i="7"/>
  <c r="T291" i="7"/>
  <c r="AI291" i="7"/>
  <c r="C284" i="7"/>
  <c r="AY284" i="7"/>
  <c r="AX285" i="7"/>
  <c r="AW284" i="7"/>
  <c r="F285" i="7"/>
  <c r="U285" i="7"/>
  <c r="AJ285" i="7"/>
  <c r="G326" i="7" l="1"/>
  <c r="V326" i="7"/>
  <c r="AK326" i="7"/>
  <c r="E292" i="7"/>
  <c r="T292" i="7"/>
  <c r="AI292" i="7"/>
  <c r="C285" i="7"/>
  <c r="AY285" i="7"/>
  <c r="AW285" i="7"/>
  <c r="X98" i="2" s="1"/>
  <c r="AX286" i="7"/>
  <c r="F286" i="7"/>
  <c r="U286" i="7"/>
  <c r="AJ286" i="7"/>
  <c r="G327" i="7" l="1"/>
  <c r="V327" i="7"/>
  <c r="AK327" i="7"/>
  <c r="E293" i="7"/>
  <c r="T293" i="7"/>
  <c r="AI293" i="7"/>
  <c r="AY286" i="7"/>
  <c r="C286" i="7"/>
  <c r="AW286" i="7"/>
  <c r="AX287" i="7"/>
  <c r="F287" i="7"/>
  <c r="U287" i="7"/>
  <c r="AJ287" i="7"/>
  <c r="G328" i="7" l="1"/>
  <c r="V328" i="7"/>
  <c r="AK328" i="7"/>
  <c r="E294" i="7"/>
  <c r="T294" i="7"/>
  <c r="AI294" i="7"/>
  <c r="AY287" i="7"/>
  <c r="C287" i="7"/>
  <c r="AW287" i="7"/>
  <c r="AX288" i="7"/>
  <c r="F288" i="7"/>
  <c r="U288" i="7"/>
  <c r="AJ288" i="7"/>
  <c r="AK329" i="7" l="1"/>
  <c r="G329" i="7"/>
  <c r="V329" i="7"/>
  <c r="E295" i="7"/>
  <c r="T295" i="7"/>
  <c r="AI295" i="7"/>
  <c r="C288" i="7"/>
  <c r="AY288" i="7"/>
  <c r="AW288" i="7"/>
  <c r="X99" i="2" s="1"/>
  <c r="AX289" i="7"/>
  <c r="F289" i="7"/>
  <c r="U289" i="7"/>
  <c r="AJ289" i="7"/>
  <c r="V330" i="7" l="1"/>
  <c r="G330" i="7"/>
  <c r="AK330" i="7"/>
  <c r="E296" i="7"/>
  <c r="T296" i="7"/>
  <c r="AI296" i="7"/>
  <c r="C289" i="7"/>
  <c r="AY289" i="7"/>
  <c r="AW289" i="7"/>
  <c r="AX290" i="7"/>
  <c r="F290" i="7"/>
  <c r="U290" i="7"/>
  <c r="AJ290" i="7"/>
  <c r="V331" i="7" l="1"/>
  <c r="G331" i="7"/>
  <c r="AK331" i="7"/>
  <c r="E297" i="7"/>
  <c r="T297" i="7"/>
  <c r="AI297" i="7"/>
  <c r="AY290" i="7"/>
  <c r="C290" i="7"/>
  <c r="AW290" i="7"/>
  <c r="AX291" i="7"/>
  <c r="F291" i="7"/>
  <c r="U291" i="7"/>
  <c r="AJ291" i="7"/>
  <c r="AK332" i="7" l="1"/>
  <c r="G332" i="7"/>
  <c r="V332" i="7"/>
  <c r="E298" i="7"/>
  <c r="T298" i="7"/>
  <c r="AI298" i="7"/>
  <c r="AY291" i="7"/>
  <c r="C291" i="7"/>
  <c r="AW291" i="7"/>
  <c r="X100" i="2" s="1"/>
  <c r="AX292" i="7"/>
  <c r="F292" i="7"/>
  <c r="U292" i="7"/>
  <c r="AJ292" i="7"/>
  <c r="G333" i="7" l="1"/>
  <c r="V333" i="7"/>
  <c r="AK333" i="7"/>
  <c r="E299" i="7"/>
  <c r="T299" i="7"/>
  <c r="AI299" i="7"/>
  <c r="AY292" i="7"/>
  <c r="C292" i="7"/>
  <c r="AW292" i="7"/>
  <c r="AX293" i="7"/>
  <c r="F293" i="7"/>
  <c r="U293" i="7"/>
  <c r="AJ293" i="7"/>
  <c r="G334" i="7" l="1"/>
  <c r="V334" i="7"/>
  <c r="AK334" i="7"/>
  <c r="E300" i="7"/>
  <c r="T300" i="7"/>
  <c r="AI300" i="7"/>
  <c r="C293" i="7"/>
  <c r="AY293" i="7"/>
  <c r="AX294" i="7"/>
  <c r="AW293" i="7"/>
  <c r="F294" i="7"/>
  <c r="U294" i="7"/>
  <c r="AJ294" i="7"/>
  <c r="AK335" i="7" l="1"/>
  <c r="V335" i="7"/>
  <c r="G335" i="7"/>
  <c r="E301" i="7"/>
  <c r="T301" i="7"/>
  <c r="AI301" i="7"/>
  <c r="AY294" i="7"/>
  <c r="C294" i="7"/>
  <c r="AX295" i="7"/>
  <c r="AW294" i="7"/>
  <c r="X101" i="2" s="1"/>
  <c r="F295" i="7"/>
  <c r="U295" i="7"/>
  <c r="AJ295" i="7"/>
  <c r="V336" i="7" l="1"/>
  <c r="G336" i="7"/>
  <c r="AK336" i="7"/>
  <c r="E302" i="7"/>
  <c r="T302" i="7"/>
  <c r="AI302" i="7"/>
  <c r="AY295" i="7"/>
  <c r="C295" i="7"/>
  <c r="AW295" i="7"/>
  <c r="AX296" i="7"/>
  <c r="F296" i="7"/>
  <c r="U296" i="7"/>
  <c r="AJ296" i="7"/>
  <c r="V337" i="7" l="1"/>
  <c r="AK337" i="7"/>
  <c r="G337" i="7"/>
  <c r="E303" i="7"/>
  <c r="T303" i="7"/>
  <c r="AI303" i="7"/>
  <c r="C296" i="7"/>
  <c r="AY296" i="7"/>
  <c r="AX297" i="7"/>
  <c r="AW296" i="7"/>
  <c r="F297" i="7"/>
  <c r="U297" i="7"/>
  <c r="AJ297" i="7"/>
  <c r="AK338" i="7" l="1"/>
  <c r="G338" i="7"/>
  <c r="V338" i="7"/>
  <c r="E304" i="7"/>
  <c r="T304" i="7"/>
  <c r="AI304" i="7"/>
  <c r="C297" i="7"/>
  <c r="AY297" i="7"/>
  <c r="AW297" i="7"/>
  <c r="X102" i="2" s="1"/>
  <c r="AX298" i="7"/>
  <c r="F298" i="7"/>
  <c r="U298" i="7"/>
  <c r="AJ298" i="7"/>
  <c r="G339" i="7" l="1"/>
  <c r="AK339" i="7"/>
  <c r="V339" i="7"/>
  <c r="E305" i="7"/>
  <c r="T305" i="7"/>
  <c r="AI305" i="7"/>
  <c r="C298" i="7"/>
  <c r="AY298" i="7"/>
  <c r="AX299" i="7"/>
  <c r="AW298" i="7"/>
  <c r="F299" i="7"/>
  <c r="U299" i="7"/>
  <c r="AJ299" i="7"/>
  <c r="G340" i="7" l="1"/>
  <c r="V340" i="7"/>
  <c r="AK340" i="7"/>
  <c r="E306" i="7"/>
  <c r="T306" i="7"/>
  <c r="AI306" i="7"/>
  <c r="C299" i="7"/>
  <c r="AY299" i="7"/>
  <c r="AW299" i="7"/>
  <c r="AX300" i="7"/>
  <c r="F300" i="7"/>
  <c r="U300" i="7"/>
  <c r="AJ300" i="7"/>
  <c r="V341" i="7" l="1"/>
  <c r="AK341" i="7"/>
  <c r="G341" i="7"/>
  <c r="E307" i="7"/>
  <c r="T307" i="7"/>
  <c r="AI307" i="7"/>
  <c r="C300" i="7"/>
  <c r="AY300" i="7"/>
  <c r="AX301" i="7"/>
  <c r="AW300" i="7"/>
  <c r="X103" i="2" s="1"/>
  <c r="F301" i="7"/>
  <c r="U301" i="7"/>
  <c r="AJ301" i="7"/>
  <c r="G342" i="7" l="1"/>
  <c r="AK342" i="7"/>
  <c r="V342" i="7"/>
  <c r="E308" i="7"/>
  <c r="T308" i="7"/>
  <c r="AI308" i="7"/>
  <c r="AY301" i="7"/>
  <c r="C301" i="7"/>
  <c r="AW301" i="7"/>
  <c r="AX302" i="7"/>
  <c r="F302" i="7"/>
  <c r="U302" i="7"/>
  <c r="AJ302" i="7"/>
  <c r="G343" i="7" l="1"/>
  <c r="AK343" i="7"/>
  <c r="V343" i="7"/>
  <c r="E309" i="7"/>
  <c r="T309" i="7"/>
  <c r="AI309" i="7"/>
  <c r="C302" i="7"/>
  <c r="AY302" i="7"/>
  <c r="AX303" i="7"/>
  <c r="AW302" i="7"/>
  <c r="F303" i="7"/>
  <c r="U303" i="7"/>
  <c r="AJ303" i="7"/>
  <c r="V344" i="7" l="1"/>
  <c r="G344" i="7"/>
  <c r="AK344" i="7"/>
  <c r="E310" i="7"/>
  <c r="T310" i="7"/>
  <c r="AI310" i="7"/>
  <c r="AY303" i="7"/>
  <c r="C303" i="7"/>
  <c r="AW303" i="7"/>
  <c r="X104" i="2" s="1"/>
  <c r="AX304" i="7"/>
  <c r="F304" i="7"/>
  <c r="U304" i="7"/>
  <c r="AJ304" i="7"/>
  <c r="AK345" i="7" l="1"/>
  <c r="G345" i="7"/>
  <c r="V345" i="7"/>
  <c r="E311" i="7"/>
  <c r="T311" i="7"/>
  <c r="AI311" i="7"/>
  <c r="AY304" i="7"/>
  <c r="C304" i="7"/>
  <c r="AX305" i="7"/>
  <c r="AW304" i="7"/>
  <c r="F305" i="7"/>
  <c r="U305" i="7"/>
  <c r="AJ305" i="7"/>
  <c r="AK346" i="7" l="1"/>
  <c r="G346" i="7"/>
  <c r="V346" i="7"/>
  <c r="E312" i="7"/>
  <c r="T312" i="7"/>
  <c r="AI312" i="7"/>
  <c r="C305" i="7"/>
  <c r="AY305" i="7"/>
  <c r="AX306" i="7"/>
  <c r="AW305" i="7"/>
  <c r="F306" i="7"/>
  <c r="U306" i="7"/>
  <c r="AJ306" i="7"/>
  <c r="G347" i="7" l="1"/>
  <c r="V347" i="7"/>
  <c r="AK347" i="7"/>
  <c r="E313" i="7"/>
  <c r="T313" i="7"/>
  <c r="AI313" i="7"/>
  <c r="C306" i="7"/>
  <c r="AY306" i="7"/>
  <c r="AW306" i="7"/>
  <c r="X105" i="2" s="1"/>
  <c r="AX307" i="7"/>
  <c r="F307" i="7"/>
  <c r="U307" i="7"/>
  <c r="AJ307" i="7"/>
  <c r="V348" i="7" l="1"/>
  <c r="G348" i="7"/>
  <c r="AK348" i="7"/>
  <c r="E314" i="7"/>
  <c r="T314" i="7"/>
  <c r="AI314" i="7"/>
  <c r="AY307" i="7"/>
  <c r="C307" i="7"/>
  <c r="AW307" i="7"/>
  <c r="AX308" i="7"/>
  <c r="F308" i="7"/>
  <c r="U308" i="7"/>
  <c r="AJ308" i="7"/>
  <c r="G349" i="7" l="1"/>
  <c r="AK349" i="7"/>
  <c r="V349" i="7"/>
  <c r="E315" i="7"/>
  <c r="T315" i="7"/>
  <c r="AI315" i="7"/>
  <c r="AY308" i="7"/>
  <c r="C308" i="7"/>
  <c r="AW308" i="7"/>
  <c r="AX309" i="7"/>
  <c r="F309" i="7"/>
  <c r="U309" i="7"/>
  <c r="AJ309" i="7"/>
  <c r="V350" i="7" l="1"/>
  <c r="AK350" i="7"/>
  <c r="G350" i="7"/>
  <c r="E316" i="7"/>
  <c r="T316" i="7"/>
  <c r="AI316" i="7"/>
  <c r="AY309" i="7"/>
  <c r="C309" i="7"/>
  <c r="AW309" i="7"/>
  <c r="X106" i="2" s="1"/>
  <c r="AX310" i="7"/>
  <c r="F310" i="7"/>
  <c r="U310" i="7"/>
  <c r="AJ310" i="7"/>
  <c r="AK351" i="7" l="1"/>
  <c r="G351" i="7"/>
  <c r="V351" i="7"/>
  <c r="E317" i="7"/>
  <c r="T317" i="7"/>
  <c r="AI317" i="7"/>
  <c r="C310" i="7"/>
  <c r="AY310" i="7"/>
  <c r="AX311" i="7"/>
  <c r="AW310" i="7"/>
  <c r="F311" i="7"/>
  <c r="U311" i="7"/>
  <c r="AJ311" i="7"/>
  <c r="AK352" i="7" l="1"/>
  <c r="G352" i="7"/>
  <c r="V352" i="7"/>
  <c r="E318" i="7"/>
  <c r="T318" i="7"/>
  <c r="AI318" i="7"/>
  <c r="C311" i="7"/>
  <c r="AY311" i="7"/>
  <c r="AX312" i="7"/>
  <c r="AW311" i="7"/>
  <c r="F312" i="7"/>
  <c r="U312" i="7"/>
  <c r="AJ312" i="7"/>
  <c r="G353" i="7" l="1"/>
  <c r="V353" i="7"/>
  <c r="AK353" i="7"/>
  <c r="E319" i="7"/>
  <c r="T319" i="7"/>
  <c r="AI319" i="7"/>
  <c r="C312" i="7"/>
  <c r="AY312" i="7"/>
  <c r="AW312" i="7"/>
  <c r="X107" i="2" s="1"/>
  <c r="AX313" i="7"/>
  <c r="F313" i="7"/>
  <c r="U313" i="7"/>
  <c r="AJ313" i="7"/>
  <c r="G354" i="7" l="1"/>
  <c r="AK354" i="7"/>
  <c r="V354" i="7"/>
  <c r="E320" i="7"/>
  <c r="T320" i="7"/>
  <c r="AI320" i="7"/>
  <c r="AY313" i="7"/>
  <c r="C313" i="7"/>
  <c r="AX314" i="7"/>
  <c r="AW313" i="7"/>
  <c r="F314" i="7"/>
  <c r="U314" i="7"/>
  <c r="AJ314" i="7"/>
  <c r="V355" i="7" l="1"/>
  <c r="G355" i="7"/>
  <c r="AK355" i="7"/>
  <c r="E321" i="7"/>
  <c r="T321" i="7"/>
  <c r="AI321" i="7"/>
  <c r="C314" i="7"/>
  <c r="AY314" i="7"/>
  <c r="AX315" i="7"/>
  <c r="AW314" i="7"/>
  <c r="F315" i="7"/>
  <c r="U315" i="7"/>
  <c r="AJ315" i="7"/>
  <c r="G356" i="7" l="1"/>
  <c r="V356" i="7"/>
  <c r="AK356" i="7"/>
  <c r="E322" i="7"/>
  <c r="T322" i="7"/>
  <c r="AI322" i="7"/>
  <c r="AY315" i="7"/>
  <c r="C315" i="7"/>
  <c r="AX316" i="7"/>
  <c r="AW315" i="7"/>
  <c r="X108" i="2" s="1"/>
  <c r="F316" i="7"/>
  <c r="U316" i="7"/>
  <c r="AJ316" i="7"/>
  <c r="G357" i="7" l="1"/>
  <c r="V357" i="7"/>
  <c r="AK357" i="7"/>
  <c r="E323" i="7"/>
  <c r="T323" i="7"/>
  <c r="AI323" i="7"/>
  <c r="AY316" i="7"/>
  <c r="C316" i="7"/>
  <c r="AX317" i="7"/>
  <c r="AW316" i="7"/>
  <c r="F317" i="7"/>
  <c r="U317" i="7"/>
  <c r="AJ317" i="7"/>
  <c r="G358" i="7" l="1"/>
  <c r="V358" i="7"/>
  <c r="AK358" i="7"/>
  <c r="E324" i="7"/>
  <c r="T324" i="7"/>
  <c r="AI324" i="7"/>
  <c r="AY317" i="7"/>
  <c r="C317" i="7"/>
  <c r="AX318" i="7"/>
  <c r="AW317" i="7"/>
  <c r="F318" i="7"/>
  <c r="U318" i="7"/>
  <c r="AJ318" i="7"/>
  <c r="G359" i="7" l="1"/>
  <c r="V359" i="7"/>
  <c r="AK359" i="7"/>
  <c r="E325" i="7"/>
  <c r="T325" i="7"/>
  <c r="AI325" i="7"/>
  <c r="AY318" i="7"/>
  <c r="C318" i="7"/>
  <c r="AW318" i="7"/>
  <c r="X109" i="2" s="1"/>
  <c r="AX319" i="7"/>
  <c r="F319" i="7"/>
  <c r="U319" i="7"/>
  <c r="AJ319" i="7"/>
  <c r="G360" i="7" l="1"/>
  <c r="V360" i="7"/>
  <c r="AK360" i="7"/>
  <c r="E326" i="7"/>
  <c r="T326" i="7"/>
  <c r="AI326" i="7"/>
  <c r="AY319" i="7"/>
  <c r="C319" i="7"/>
  <c r="AW319" i="7"/>
  <c r="AX320" i="7"/>
  <c r="F320" i="7"/>
  <c r="U320" i="7"/>
  <c r="AJ320" i="7"/>
  <c r="G361" i="7" l="1"/>
  <c r="V361" i="7"/>
  <c r="AK361" i="7"/>
  <c r="E327" i="7"/>
  <c r="T327" i="7"/>
  <c r="AI327" i="7"/>
  <c r="C320" i="7"/>
  <c r="AY320" i="7"/>
  <c r="AW320" i="7"/>
  <c r="AX321" i="7"/>
  <c r="F321" i="7"/>
  <c r="U321" i="7"/>
  <c r="AJ321" i="7"/>
  <c r="G362" i="7" l="1"/>
  <c r="AK362" i="7"/>
  <c r="V362" i="7"/>
  <c r="E328" i="7"/>
  <c r="T328" i="7"/>
  <c r="AI328" i="7"/>
  <c r="C321" i="7"/>
  <c r="AY321" i="7"/>
  <c r="AX322" i="7"/>
  <c r="AW321" i="7"/>
  <c r="X110" i="2" s="1"/>
  <c r="F322" i="7"/>
  <c r="U322" i="7"/>
  <c r="AJ322" i="7"/>
  <c r="G363" i="7" l="1"/>
  <c r="V363" i="7"/>
  <c r="AK363" i="7"/>
  <c r="T329" i="7"/>
  <c r="E329" i="7"/>
  <c r="AI329" i="7"/>
  <c r="AY322" i="7"/>
  <c r="C322" i="7"/>
  <c r="AX323" i="7"/>
  <c r="AW322" i="7"/>
  <c r="F323" i="7"/>
  <c r="U323" i="7"/>
  <c r="AJ323" i="7"/>
  <c r="G364" i="7" l="1"/>
  <c r="V364" i="7"/>
  <c r="AK364" i="7"/>
  <c r="T330" i="7"/>
  <c r="AI330" i="7"/>
  <c r="E330" i="7"/>
  <c r="C323" i="7"/>
  <c r="AY323" i="7"/>
  <c r="AW323" i="7"/>
  <c r="AX324" i="7"/>
  <c r="F324" i="7"/>
  <c r="U324" i="7"/>
  <c r="AJ324" i="7"/>
  <c r="G365" i="7" l="1"/>
  <c r="AK365" i="7"/>
  <c r="V365" i="7"/>
  <c r="E331" i="7"/>
  <c r="AI331" i="7"/>
  <c r="T331" i="7"/>
  <c r="AY324" i="7"/>
  <c r="C324" i="7"/>
  <c r="AW324" i="7"/>
  <c r="X111" i="2" s="1"/>
  <c r="AX325" i="7"/>
  <c r="F325" i="7"/>
  <c r="U325" i="7"/>
  <c r="AJ325" i="7"/>
  <c r="G366" i="7" l="1"/>
  <c r="AK368" i="7" s="1"/>
  <c r="AK370" i="7" s="1"/>
  <c r="V366" i="7"/>
  <c r="AK366" i="7"/>
  <c r="AK369" i="7" s="1"/>
  <c r="T332" i="7"/>
  <c r="AI332" i="7"/>
  <c r="E332" i="7"/>
  <c r="AY325" i="7"/>
  <c r="C325" i="7"/>
  <c r="AW325" i="7"/>
  <c r="AX326" i="7"/>
  <c r="F326" i="7"/>
  <c r="U326" i="7"/>
  <c r="AJ326" i="7"/>
  <c r="T333" i="7" l="1"/>
  <c r="E333" i="7"/>
  <c r="AI333" i="7"/>
  <c r="C326" i="7"/>
  <c r="AY326" i="7"/>
  <c r="AW326" i="7"/>
  <c r="AX327" i="7"/>
  <c r="F327" i="7"/>
  <c r="U327" i="7"/>
  <c r="AJ327" i="7"/>
  <c r="E334" i="7" l="1"/>
  <c r="AI334" i="7"/>
  <c r="T334" i="7"/>
  <c r="AY327" i="7"/>
  <c r="C327" i="7"/>
  <c r="AX328" i="7"/>
  <c r="AW327" i="7"/>
  <c r="X112" i="2" s="1"/>
  <c r="F328" i="7"/>
  <c r="U328" i="7"/>
  <c r="AJ328" i="7"/>
  <c r="T335" i="7" l="1"/>
  <c r="AI335" i="7"/>
  <c r="E335" i="7"/>
  <c r="AY328" i="7"/>
  <c r="C328" i="7"/>
  <c r="AX329" i="7"/>
  <c r="AW328" i="7"/>
  <c r="U329" i="7"/>
  <c r="F329" i="7"/>
  <c r="AJ329" i="7"/>
  <c r="AI336" i="7" l="1"/>
  <c r="E336" i="7"/>
  <c r="T336" i="7"/>
  <c r="AY329" i="7"/>
  <c r="C329" i="7"/>
  <c r="AW329" i="7"/>
  <c r="AX330" i="7"/>
  <c r="AJ330" i="7"/>
  <c r="F330" i="7"/>
  <c r="U330" i="7"/>
  <c r="E337" i="7" l="1"/>
  <c r="T337" i="7"/>
  <c r="AI337" i="7"/>
  <c r="AW330" i="7"/>
  <c r="X113" i="2" s="1"/>
  <c r="AX331" i="7"/>
  <c r="F331" i="7"/>
  <c r="U331" i="7"/>
  <c r="AJ331" i="7"/>
  <c r="AY330" i="7"/>
  <c r="C330" i="7"/>
  <c r="AI338" i="7" l="1"/>
  <c r="T338" i="7"/>
  <c r="E338" i="7"/>
  <c r="AY331" i="7"/>
  <c r="C331" i="7"/>
  <c r="AW331" i="7"/>
  <c r="AX332" i="7"/>
  <c r="U332" i="7"/>
  <c r="AJ332" i="7"/>
  <c r="F332" i="7"/>
  <c r="AI339" i="7" l="1"/>
  <c r="T339" i="7"/>
  <c r="E339" i="7"/>
  <c r="AX333" i="7"/>
  <c r="AW332" i="7"/>
  <c r="F333" i="7"/>
  <c r="U333" i="7"/>
  <c r="AJ333" i="7"/>
  <c r="C332" i="7"/>
  <c r="AY332" i="7"/>
  <c r="AI340" i="7" l="1"/>
  <c r="E340" i="7"/>
  <c r="T340" i="7"/>
  <c r="C333" i="7"/>
  <c r="AY333" i="7"/>
  <c r="AX334" i="7"/>
  <c r="AW333" i="7"/>
  <c r="X114" i="2" s="1"/>
  <c r="AJ334" i="7"/>
  <c r="F334" i="7"/>
  <c r="U334" i="7"/>
  <c r="T341" i="7" l="1"/>
  <c r="E341" i="7"/>
  <c r="AI341" i="7"/>
  <c r="AW334" i="7"/>
  <c r="AX335" i="7"/>
  <c r="U335" i="7"/>
  <c r="AJ335" i="7"/>
  <c r="F335" i="7"/>
  <c r="AY334" i="7"/>
  <c r="C334" i="7"/>
  <c r="E342" i="7" l="1"/>
  <c r="T342" i="7"/>
  <c r="AI342" i="7"/>
  <c r="AW335" i="7"/>
  <c r="AX336" i="7"/>
  <c r="F336" i="7"/>
  <c r="AJ336" i="7"/>
  <c r="U336" i="7"/>
  <c r="C335" i="7"/>
  <c r="AY335" i="7"/>
  <c r="AI343" i="7" l="1"/>
  <c r="E343" i="7"/>
  <c r="T343" i="7"/>
  <c r="AY336" i="7"/>
  <c r="C336" i="7"/>
  <c r="AX337" i="7"/>
  <c r="AW336" i="7"/>
  <c r="X115" i="2" s="1"/>
  <c r="F337" i="7"/>
  <c r="U337" i="7"/>
  <c r="AJ337" i="7"/>
  <c r="AI344" i="7" l="1"/>
  <c r="E344" i="7"/>
  <c r="T344" i="7"/>
  <c r="AY337" i="7"/>
  <c r="C337" i="7"/>
  <c r="AX338" i="7"/>
  <c r="AW337" i="7"/>
  <c r="F338" i="7"/>
  <c r="U338" i="7"/>
  <c r="AJ338" i="7"/>
  <c r="AI345" i="7" l="1"/>
  <c r="T345" i="7"/>
  <c r="E345" i="7"/>
  <c r="C338" i="7"/>
  <c r="AY338" i="7"/>
  <c r="AW338" i="7"/>
  <c r="AX339" i="7"/>
  <c r="AJ339" i="7"/>
  <c r="F339" i="7"/>
  <c r="U339" i="7"/>
  <c r="T346" i="7" l="1"/>
  <c r="AI346" i="7"/>
  <c r="E346" i="7"/>
  <c r="AW339" i="7"/>
  <c r="X116" i="2" s="1"/>
  <c r="AX340" i="7"/>
  <c r="F340" i="7"/>
  <c r="AJ340" i="7"/>
  <c r="U340" i="7"/>
  <c r="C339" i="7"/>
  <c r="AY339" i="7"/>
  <c r="E347" i="7" l="1"/>
  <c r="T347" i="7"/>
  <c r="AI347" i="7"/>
  <c r="AY340" i="7"/>
  <c r="C340" i="7"/>
  <c r="AX341" i="7"/>
  <c r="AW340" i="7"/>
  <c r="F341" i="7"/>
  <c r="AJ341" i="7"/>
  <c r="U341" i="7"/>
  <c r="E348" i="7" l="1"/>
  <c r="T348" i="7"/>
  <c r="AI348" i="7"/>
  <c r="AY341" i="7"/>
  <c r="C341" i="7"/>
  <c r="AX342" i="7"/>
  <c r="AW341" i="7"/>
  <c r="U342" i="7"/>
  <c r="F342" i="7"/>
  <c r="AJ342" i="7"/>
  <c r="E349" i="7" l="1"/>
  <c r="T349" i="7"/>
  <c r="AI349" i="7"/>
  <c r="C342" i="7"/>
  <c r="AY342" i="7"/>
  <c r="AW342" i="7"/>
  <c r="X117" i="2" s="1"/>
  <c r="AX343" i="7"/>
  <c r="F343" i="7"/>
  <c r="AJ343" i="7"/>
  <c r="U343" i="7"/>
  <c r="AI350" i="7" l="1"/>
  <c r="E350" i="7"/>
  <c r="T350" i="7"/>
  <c r="AY343" i="7"/>
  <c r="C343" i="7"/>
  <c r="AW343" i="7"/>
  <c r="AX344" i="7"/>
  <c r="F344" i="7"/>
  <c r="U344" i="7"/>
  <c r="AJ344" i="7"/>
  <c r="E351" i="7" l="1"/>
  <c r="AI351" i="7"/>
  <c r="T351" i="7"/>
  <c r="C344" i="7"/>
  <c r="AY344" i="7"/>
  <c r="AW344" i="7"/>
  <c r="AX345" i="7"/>
  <c r="F345" i="7"/>
  <c r="U345" i="7"/>
  <c r="AJ345" i="7"/>
  <c r="E352" i="7" l="1"/>
  <c r="T352" i="7"/>
  <c r="AI352" i="7"/>
  <c r="C345" i="7"/>
  <c r="AY345" i="7"/>
  <c r="AX346" i="7"/>
  <c r="AW345" i="7"/>
  <c r="X118" i="2" s="1"/>
  <c r="U346" i="7"/>
  <c r="AJ346" i="7"/>
  <c r="F346" i="7"/>
  <c r="T353" i="7" l="1"/>
  <c r="E353" i="7"/>
  <c r="AI353" i="7"/>
  <c r="AX347" i="7"/>
  <c r="AW346" i="7"/>
  <c r="AJ347" i="7"/>
  <c r="F347" i="7"/>
  <c r="U347" i="7"/>
  <c r="C346" i="7"/>
  <c r="AY346" i="7"/>
  <c r="E354" i="7" l="1"/>
  <c r="AI354" i="7"/>
  <c r="T354" i="7"/>
  <c r="AX348" i="7"/>
  <c r="AW347" i="7"/>
  <c r="U348" i="7"/>
  <c r="AJ348" i="7"/>
  <c r="F348" i="7"/>
  <c r="AY347" i="7"/>
  <c r="C347" i="7"/>
  <c r="T355" i="7" l="1"/>
  <c r="E355" i="7"/>
  <c r="AI355" i="7"/>
  <c r="AW348" i="7"/>
  <c r="X119" i="2" s="1"/>
  <c r="AX349" i="7"/>
  <c r="F349" i="7"/>
  <c r="U349" i="7"/>
  <c r="AJ349" i="7"/>
  <c r="AY348" i="7"/>
  <c r="C348" i="7"/>
  <c r="E356" i="7" l="1"/>
  <c r="T356" i="7"/>
  <c r="AI356" i="7"/>
  <c r="AY349" i="7"/>
  <c r="C349" i="7"/>
  <c r="AW349" i="7"/>
  <c r="AX350" i="7"/>
  <c r="U350" i="7"/>
  <c r="AJ350" i="7"/>
  <c r="F350" i="7"/>
  <c r="T357" i="7" l="1"/>
  <c r="E357" i="7"/>
  <c r="AI357" i="7"/>
  <c r="AX351" i="7"/>
  <c r="AW350" i="7"/>
  <c r="AJ351" i="7"/>
  <c r="F351" i="7"/>
  <c r="U351" i="7"/>
  <c r="AY350" i="7"/>
  <c r="C350" i="7"/>
  <c r="E358" i="7" l="1"/>
  <c r="T358" i="7"/>
  <c r="AI358" i="7"/>
  <c r="AW351" i="7"/>
  <c r="X120" i="2" s="1"/>
  <c r="AX352" i="7"/>
  <c r="AJ352" i="7"/>
  <c r="F352" i="7"/>
  <c r="U352" i="7"/>
  <c r="AY351" i="7"/>
  <c r="C351" i="7"/>
  <c r="E359" i="7" l="1"/>
  <c r="T359" i="7"/>
  <c r="AI359" i="7"/>
  <c r="AX353" i="7"/>
  <c r="AW352" i="7"/>
  <c r="U353" i="7"/>
  <c r="F353" i="7"/>
  <c r="AJ353" i="7"/>
  <c r="AY352" i="7"/>
  <c r="C352" i="7"/>
  <c r="E360" i="7" l="1"/>
  <c r="AI360" i="7"/>
  <c r="T360" i="7"/>
  <c r="AY353" i="7"/>
  <c r="C353" i="7"/>
  <c r="AX354" i="7"/>
  <c r="AW353" i="7"/>
  <c r="F354" i="7"/>
  <c r="U354" i="7"/>
  <c r="AJ354" i="7"/>
  <c r="T361" i="7" l="1"/>
  <c r="AI361" i="7"/>
  <c r="E361" i="7"/>
  <c r="C354" i="7"/>
  <c r="AY354" i="7"/>
  <c r="AW354" i="7"/>
  <c r="X121" i="2" s="1"/>
  <c r="AX355" i="7"/>
  <c r="F355" i="7"/>
  <c r="AJ355" i="7"/>
  <c r="U355" i="7"/>
  <c r="AI362" i="7" l="1"/>
  <c r="E362" i="7"/>
  <c r="T362" i="7"/>
  <c r="C355" i="7"/>
  <c r="AY355" i="7"/>
  <c r="AW355" i="7"/>
  <c r="AX356" i="7"/>
  <c r="F356" i="7"/>
  <c r="U356" i="7"/>
  <c r="AJ356" i="7"/>
  <c r="T363" i="7" l="1"/>
  <c r="E363" i="7"/>
  <c r="AI363" i="7"/>
  <c r="AY356" i="7"/>
  <c r="C356" i="7"/>
  <c r="AW356" i="7"/>
  <c r="AX357" i="7"/>
  <c r="U357" i="7"/>
  <c r="F357" i="7"/>
  <c r="AJ357" i="7"/>
  <c r="AI364" i="7" l="1"/>
  <c r="E364" i="7"/>
  <c r="T364" i="7"/>
  <c r="C357" i="7"/>
  <c r="AY357" i="7"/>
  <c r="AW357" i="7"/>
  <c r="X122" i="2" s="1"/>
  <c r="AX358" i="7"/>
  <c r="U358" i="7"/>
  <c r="AJ358" i="7"/>
  <c r="F358" i="7"/>
  <c r="E365" i="7" l="1"/>
  <c r="T365" i="7"/>
  <c r="AI365" i="7"/>
  <c r="AX359" i="7"/>
  <c r="AW358" i="7"/>
  <c r="F359" i="7"/>
  <c r="U359" i="7"/>
  <c r="AJ359" i="7"/>
  <c r="AY358" i="7"/>
  <c r="C358" i="7"/>
  <c r="AI366" i="7" l="1"/>
  <c r="E366" i="7"/>
  <c r="T366" i="7"/>
  <c r="C359" i="7"/>
  <c r="AY359" i="7"/>
  <c r="AX360" i="7"/>
  <c r="AW359" i="7"/>
  <c r="U360" i="7"/>
  <c r="AJ360" i="7"/>
  <c r="F360" i="7"/>
  <c r="AI369" i="7" l="1"/>
  <c r="AI368" i="7"/>
  <c r="AI370" i="7" s="1"/>
  <c r="AW360" i="7"/>
  <c r="X123" i="2" s="1"/>
  <c r="AX361" i="7"/>
  <c r="U361" i="7"/>
  <c r="AJ361" i="7"/>
  <c r="F361" i="7"/>
  <c r="AY360" i="7"/>
  <c r="C360" i="7"/>
  <c r="AW361" i="7" l="1"/>
  <c r="AX362" i="7"/>
  <c r="F362" i="7"/>
  <c r="U362" i="7"/>
  <c r="AJ362" i="7"/>
  <c r="AY361" i="7"/>
  <c r="C361" i="7"/>
  <c r="AY362" i="7" l="1"/>
  <c r="C362" i="7"/>
  <c r="AW362" i="7"/>
  <c r="AX363" i="7"/>
  <c r="U363" i="7"/>
  <c r="F363" i="7"/>
  <c r="AJ363" i="7"/>
  <c r="C363" i="7" l="1"/>
  <c r="AY363" i="7"/>
  <c r="AW363" i="7"/>
  <c r="X124" i="2" s="1"/>
  <c r="AX364" i="7"/>
  <c r="U364" i="7"/>
  <c r="AJ364" i="7"/>
  <c r="F364" i="7"/>
  <c r="AW364" i="7" l="1"/>
  <c r="AX365" i="7"/>
  <c r="F365" i="7"/>
  <c r="AJ365" i="7"/>
  <c r="U365" i="7"/>
  <c r="AY364" i="7"/>
  <c r="C364" i="7"/>
  <c r="AY365" i="7" l="1"/>
  <c r="C365" i="7"/>
  <c r="AW365" i="7"/>
  <c r="AX366" i="7"/>
  <c r="D30" i="6" s="1"/>
  <c r="F366" i="7"/>
  <c r="U366" i="7"/>
  <c r="AJ366" i="7"/>
  <c r="J25" i="2" l="1"/>
  <c r="J24" i="2"/>
  <c r="AA23" i="2"/>
  <c r="J23" i="2"/>
  <c r="J22" i="2"/>
  <c r="H22" i="2"/>
  <c r="C40" i="6"/>
  <c r="G12" i="2" s="1"/>
  <c r="C366" i="7"/>
  <c r="AY366" i="7"/>
  <c r="E30" i="6" s="1"/>
  <c r="AJ368" i="7"/>
  <c r="AJ370" i="7" s="1"/>
  <c r="AW366" i="7"/>
  <c r="AJ369" i="7"/>
  <c r="C30" i="6" l="1"/>
  <c r="X125" i="2"/>
  <c r="C41" i="6" l="1"/>
  <c r="C42" i="6"/>
  <c r="L12" i="2" s="1"/>
  <c r="G22" i="2"/>
  <c r="F30" i="6"/>
  <c r="E22" i="2" s="1"/>
</calcChain>
</file>

<file path=xl/sharedStrings.xml><?xml version="1.0" encoding="utf-8"?>
<sst xmlns="http://schemas.openxmlformats.org/spreadsheetml/2006/main" count="483" uniqueCount="206">
  <si>
    <t>Debt Payoff Planner</t>
  </si>
  <si>
    <t>Snowball vs avalanche, your debt-free date, interest saved and a month-by-month payoff plan. Works in Excel and Google Sheets.</t>
  </si>
  <si>
    <t>QUICK START (5 minutes)</t>
  </si>
  <si>
    <t>1. 'Debts': list each debt with its current balance, interest rate (APR, e.g. 22.99) and minimum monthly payment. Up to 15 debts.</t>
  </si>
  <si>
    <t xml:space="preserve">    Delete the EXAMPLE rows first. Type is optional. 'My order' is optional: number the debts 1, 2, 3... to choose your own order.</t>
  </si>
  <si>
    <t>2. 'Dashboard': type the EXTRA you can pay each month on top of all the minimums, pick a strategy, and (optional) the month you start.</t>
  </si>
  <si>
    <t>3. Read your debt-free date, total interest and how much you save compared with paying only the minimums.</t>
  </si>
  <si>
    <t xml:space="preserve">    The comparison table shows Snowball, Avalanche and your own order side by side, so you can pick the plan that suits you.</t>
  </si>
  <si>
    <t>4. 'Payoff Schedule': what to pay each month, interest, and every debt's balance until you are debt-free.</t>
  </si>
  <si>
    <t>5. Every few months, update the balances on 'Debts' to your real statements and set the start month to the current month.</t>
  </si>
  <si>
    <t>6. Red cells mean a row needs fixing (text in a number, a missing balance, rate or minimum). That debt stays out of the plan until fixed.</t>
  </si>
  <si>
    <t>HOW THE PLAN WORKS</t>
  </si>
  <si>
    <t>Each month you pay every minimum, plus your extra amount on the debt at the top of the order. When a debt is paid off, its minimum</t>
  </si>
  <si>
    <t>rolls into the extra for the next one (the 'snowball'), so your total monthly payment stays the same until everything is gone.</t>
  </si>
  <si>
    <t>Snowball = smallest balance first (quick wins). Avalanche = highest interest rate first (least interest). My order = your numbers in column F.</t>
  </si>
  <si>
    <t>Interest is charged monthly at APR / 12 on the balance, rounded to the cent. 'Minimums only' = paying just the minimums with nothing extra.</t>
  </si>
  <si>
    <t>Estimates: your lender may calculate interest daily, change minimums or add fees, so real statements will differ a little.</t>
  </si>
  <si>
    <t>COLOR KEY</t>
  </si>
  <si>
    <t>Yellow cells = you type here.  White cells = formulas, leave them alone.  Red = fix this.  Orange = warning (e.g. a minimum that doesn't cover the interest).</t>
  </si>
  <si>
    <t>USING GOOGLE SHEETS?</t>
  </si>
  <si>
    <t>Open sheets.google.com &gt; File &gt; Import &gt; Upload this .xlsx &gt; 'Replace spreadsheet'. Formulas and dropdowns carry over.</t>
  </si>
  <si>
    <t>Questions or a formula not behaving? Email nora@qnsai.com. Made by Nora Studio. Not financial advice.</t>
  </si>
  <si>
    <t>Debt Payoff Dashboard</t>
  </si>
  <si>
    <t>Extra per month:</t>
  </si>
  <si>
    <t>Chart data (do not edit)</t>
  </si>
  <si>
    <t>Strategy:</t>
  </si>
  <si>
    <t>Snowball (smallest balance first)</t>
  </si>
  <si>
    <t>Year</t>
  </si>
  <si>
    <t>Your plan</t>
  </si>
  <si>
    <t>Minimums only</t>
  </si>
  <si>
    <t>Debt</t>
  </si>
  <si>
    <t>Months to pay off</t>
  </si>
  <si>
    <t>Balance</t>
  </si>
  <si>
    <t>Start month:</t>
  </si>
  <si>
    <t>0</t>
  </si>
  <si>
    <t xml:space="preserve"> </t>
  </si>
  <si>
    <t>TOTAL DEBT</t>
  </si>
  <si>
    <t>DEBT-FREE BY</t>
  </si>
  <si>
    <t>MONTHS TO GO</t>
  </si>
  <si>
    <t>1</t>
  </si>
  <si>
    <t>TOTAL INTEREST (YOUR PLAN)</t>
  </si>
  <si>
    <t>INTEREST SAVED VS MINIMUMS</t>
  </si>
  <si>
    <t>TIME SAVED VS MINIMUMS</t>
  </si>
  <si>
    <t>2</t>
  </si>
  <si>
    <t>MONTHLY PAYMENT</t>
  </si>
  <si>
    <t>FIRST DEBT GONE</t>
  </si>
  <si>
    <t>HIGHEST INTEREST RATE</t>
  </si>
  <si>
    <t>3</t>
  </si>
  <si>
    <t>Compare strategies</t>
  </si>
  <si>
    <t>Plan</t>
  </si>
  <si>
    <t>Debt-free by</t>
  </si>
  <si>
    <t>Months</t>
  </si>
  <si>
    <t>Total interest</t>
  </si>
  <si>
    <t>Interest saved</t>
  </si>
  <si>
    <t>4</t>
  </si>
  <si>
    <t>5</t>
  </si>
  <si>
    <t>Minimums only = paying just the minimums, no extra and no snowball. Interest is capped at 30 years for plans that never finish.</t>
  </si>
  <si>
    <t>Your plan pays</t>
  </si>
  <si>
    <t>Amount</t>
  </si>
  <si>
    <t>6</t>
  </si>
  <si>
    <t>Debt (principal)</t>
  </si>
  <si>
    <t>Interest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</si>
  <si>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</si>
  <si>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</si>
  <si>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</si>
  <si>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</si>
  <si>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</si>
  <si>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</si>
  <si>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</si>
  <si>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</si>
  <si>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</si>
  <si>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</si>
  <si>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</si>
  <si>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</si>
  <si>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</si>
  <si>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</si>
  <si>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</si>
  <si>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</si>
  <si>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</si>
  <si>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</si>
  <si>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</si>
  <si>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</si>
  <si>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</si>
  <si>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</si>
  <si>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</si>
  <si>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</si>
  <si>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Debts</t>
  </si>
  <si>
    <t>Everything you owe: balance, interest rate (APR %) and minimum payment. The plan columns fill in automatically.</t>
  </si>
  <si>
    <t>Rows to fix:</t>
  </si>
  <si>
    <t>Red cell = something to fix (that debt stays out of the plan). Orange = the minimum doesn't cover the interest.</t>
  </si>
  <si>
    <t>Type (optional)</t>
  </si>
  <si>
    <t>Balance now</t>
  </si>
  <si>
    <t>APR % (e.g. 22.99)</t>
  </si>
  <si>
    <t>Minimum payment / month</t>
  </si>
  <si>
    <t>My order (optional)</t>
  </si>
  <si>
    <t>Interest this month</t>
  </si>
  <si>
    <t>Pay-off order (your plan)</t>
  </si>
  <si>
    <t>Paid off by</t>
  </si>
  <si>
    <t>Interest you'll pay</t>
  </si>
  <si>
    <t>Note</t>
  </si>
  <si>
    <t>EXAMPLE: Visa card</t>
  </si>
  <si>
    <t>Credit card</t>
  </si>
  <si>
    <t>EXAMPLE: Store card</t>
  </si>
  <si>
    <t>Store card</t>
  </si>
  <si>
    <t>EXAMPLE: Car loan</t>
  </si>
  <si>
    <t>Car loan</t>
  </si>
  <si>
    <t>EXAMPLE: Medical bill</t>
  </si>
  <si>
    <t>Medical</t>
  </si>
  <si>
    <t>Total</t>
  </si>
  <si>
    <t>Totals count valid rows only. 'Paid off by' assumes you start on the month picked on the Dashboard and pay the plan every month.</t>
  </si>
  <si>
    <t>APR: type the yearly rate as a number, e.g. 22.99 for 22.99%. Use 0 for an interest-free debt.</t>
  </si>
  <si>
    <t>Payoff Schedule</t>
  </si>
  <si>
    <t>Month</t>
  </si>
  <si>
    <t>Date</t>
  </si>
  <si>
    <t>Payment</t>
  </si>
  <si>
    <t>Principal</t>
  </si>
  <si>
    <t>Total left</t>
  </si>
  <si>
    <t>Strategies</t>
  </si>
  <si>
    <t>Types</t>
  </si>
  <si>
    <t>Avalanche (highest interest first)</t>
  </si>
  <si>
    <t>My order (column F on Debts)</t>
  </si>
  <si>
    <t>Student loan</t>
  </si>
  <si>
    <t>Personal loan</t>
  </si>
  <si>
    <t>Mortgage</t>
  </si>
  <si>
    <t>Family / friend</t>
  </si>
  <si>
    <t>Other</t>
  </si>
  <si>
    <t>Strategy #</t>
  </si>
  <si>
    <t>Rows to fix</t>
  </si>
  <si>
    <t>Extra / month</t>
  </si>
  <si>
    <t>Start month</t>
  </si>
  <si>
    <t>Sum of minimums</t>
  </si>
  <si>
    <t>Monthly payment</t>
  </si>
  <si>
    <t>Valid debts</t>
  </si>
  <si>
    <t>Total debt</t>
  </si>
  <si>
    <t>(rows 10-24: name, valid, balance, APR, min, order key, row, rank snow, rank aval, rank mine, slot)</t>
  </si>
  <si>
    <t>Total paid</t>
  </si>
  <si>
    <t>Debt-free</t>
  </si>
  <si>
    <t>Snowball</t>
  </si>
  <si>
    <t>Avalanche</t>
  </si>
  <si>
    <t>My order</t>
  </si>
  <si>
    <t>Plan months</t>
  </si>
  <si>
    <t>Plan interest</t>
  </si>
  <si>
    <t>Plan paid</t>
  </si>
  <si>
    <t>Plan debt-free</t>
  </si>
  <si>
    <t>Interest saved vs minimums</t>
  </si>
  <si>
    <t>Months saved</t>
  </si>
  <si>
    <t>Time saved text</t>
  </si>
  <si>
    <t>First debt gone</t>
  </si>
  <si>
    <t>Highest APR</t>
  </si>
  <si>
    <t>Minimum warnings</t>
  </si>
  <si>
    <t>Minimums only engine (do not edit). Slot = position in the payoff order.</t>
  </si>
  <si>
    <t>Debt row #</t>
  </si>
  <si>
    <t>Monthly rate</t>
  </si>
  <si>
    <t>Minimum</t>
  </si>
  <si>
    <t>Extra pool</t>
  </si>
  <si>
    <t>Min 1</t>
  </si>
  <si>
    <t>Min 2</t>
  </si>
  <si>
    <t>Min 3</t>
  </si>
  <si>
    <t>Min 4</t>
  </si>
  <si>
    <t>Min 5</t>
  </si>
  <si>
    <t>Min 6</t>
  </si>
  <si>
    <t>Min 7</t>
  </si>
  <si>
    <t>Min 8</t>
  </si>
  <si>
    <t>Min 9</t>
  </si>
  <si>
    <t>Min 10</t>
  </si>
  <si>
    <t>Min 11</t>
  </si>
  <si>
    <t>Min 12</t>
  </si>
  <si>
    <t>Min 13</t>
  </si>
  <si>
    <t>Min 14</t>
  </si>
  <si>
    <t>Min 15</t>
  </si>
  <si>
    <t>Extra 1</t>
  </si>
  <si>
    <t>Extra 2</t>
  </si>
  <si>
    <t>Extra 3</t>
  </si>
  <si>
    <t>Extra 4</t>
  </si>
  <si>
    <t>Extra 5</t>
  </si>
  <si>
    <t>Extra 6</t>
  </si>
  <si>
    <t>Extra 7</t>
  </si>
  <si>
    <t>Extra 8</t>
  </si>
  <si>
    <t>Extra 9</t>
  </si>
  <si>
    <t>Extra 10</t>
  </si>
  <si>
    <t>Extra 11</t>
  </si>
  <si>
    <t>Extra 12</t>
  </si>
  <si>
    <t>Extra 13</t>
  </si>
  <si>
    <t>Extra 14</t>
  </si>
  <si>
    <t>Extra 15</t>
  </si>
  <si>
    <t>Balance 1</t>
  </si>
  <si>
    <t>Balance 2</t>
  </si>
  <si>
    <t>Balance 3</t>
  </si>
  <si>
    <t>Balance 4</t>
  </si>
  <si>
    <t>Balance 5</t>
  </si>
  <si>
    <t>Balance 6</t>
  </si>
  <si>
    <t>Balance 7</t>
  </si>
  <si>
    <t>Balance 8</t>
  </si>
  <si>
    <t>Balance 9</t>
  </si>
  <si>
    <t>Balance 10</t>
  </si>
  <si>
    <t>Balance 11</t>
  </si>
  <si>
    <t>Balance 12</t>
  </si>
  <si>
    <t>Balance 13</t>
  </si>
  <si>
    <t>Balance 14</t>
  </si>
  <si>
    <t>Balance 15</t>
  </si>
  <si>
    <t>Total balance</t>
  </si>
  <si>
    <t>Paid</t>
  </si>
  <si>
    <t>Payoff month</t>
  </si>
  <si>
    <t>Snowball engine (do not edit). Slot = position in the payoff order.</t>
  </si>
  <si>
    <t>Avalanche engine (do not edit). Slot = position in the payoff order.</t>
  </si>
  <si>
    <t>My order engine (do not edit). Slot = position in the payoff order.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</si>
</sst>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;\(\$#,##0.00\);&quot;-&quot;"/>
    <numFmt numFmtId="165" formatCode="mmm\ yyyy"/>
    <numFmt numFmtId="166" formatCode="\$#,##0;\(\$#,##0\);&quot;-&quot;"/>
  </numFmts>
  <fonts count="16" x14ac:knownFonts="1">
    <font>
      <sz val="11"/>
      <color theme="1"/>
      <name val="Calibri"/>
      <family val="2"/>
      <scheme val="minor"/>
    </font>
    <font>
      <b/>
      <sz val="18"/>
      <color rgb="FF8A3B4F"/>
      <name val="Arial"/>
    </font>
    <font>
      <sz val="11"/>
      <color rgb="FF555555"/>
      <name val="Arial"/>
    </font>
    <font>
      <b/>
      <sz val="11"/>
      <color rgb="FF8A3B4F"/>
      <name val="Arial"/>
    </font>
    <font>
      <sz val="11"/>
      <color rgb="FF222222"/>
      <name val="Arial"/>
    </font>
    <font>
      <b/>
      <sz val="10"/>
      <color rgb="FFB03A2E"/>
      <name val="Arial"/>
    </font>
    <font>
      <b/>
      <sz val="10"/>
      <color rgb="FFFFFFFF"/>
      <name val="Arial"/>
    </font>
    <font>
      <sz val="10"/>
      <color rgb="FF0000FF"/>
      <name val="Arial"/>
    </font>
    <font>
      <sz val="10"/>
      <name val="Arial"/>
    </font>
    <font>
      <b/>
      <sz val="10"/>
      <name val="Arial"/>
    </font>
    <font>
      <i/>
      <sz val="9"/>
      <color rgb="FF666666"/>
      <name val="Arial"/>
    </font>
    <font>
      <b/>
      <sz val="12"/>
      <color rgb="FF0000FF"/>
      <name val="Arial"/>
    </font>
    <font>
      <b/>
      <sz val="9"/>
      <color rgb="FF9C6574"/>
      <name val="Arial"/>
    </font>
    <font>
      <b/>
      <sz val="20"/>
      <color rgb="FF8A3B4F"/>
      <name val="Arial"/>
    </font>
    <font>
      <b/>
      <sz val="13"/>
      <color rgb="FF8A3B4F"/>
      <name val="Arial"/>
    </font>
    <font>
      <b/>
      <sz val="12"/>
      <color rgb="FF8A3B4F"/>
      <name val="Arial"/>
    </font>
  </fonts>
  <fills count="5">
    <fill>
      <patternFill patternType="none"/>
    </fill>
    <fill>
      <patternFill patternType="gray125"/>
    </fill>
    <fill>
      <patternFill patternType="solid">
        <fgColor rgb="FF8A3B4F"/>
      </patternFill>
    </fill>
    <fill>
      <patternFill patternType="solid">
        <fgColor rgb="FFFFF7D6"/>
      </patternFill>
    </fill>
    <fill>
      <patternFill patternType="solid">
        <fgColor rgb="FFF7ECEF"/>
      </patternFill>
    </fill>
  </fills>
  <borders count="4">
    <border>
      <left/>
      <right/>
      <top/>
      <bottom/>
      <diagonal/>
    </border>
    <border>
      <left style="thin">
        <color rgb="FFE6CFD6"/>
      </left>
      <right style="thin">
        <color rgb="FFE6CFD6"/>
      </right>
      <top style="thin">
        <color rgb="FFE6CFD6"/>
      </top>
      <bottom style="thin">
        <color rgb="FFE6CFD6"/>
      </bottom>
      <diagonal/>
    </border>
    <border>
      <left/>
      <right/>
      <top style="thin">
        <color rgb="FFE6CFD6"/>
      </top>
      <bottom style="thin">
        <color rgb="FFE6CFD6"/>
      </bottom>
      <diagonal/>
    </border>
    <border>
      <left/>
      <right style="thin">
        <color rgb="FFE6CFD6"/>
      </right>
      <top style="thin">
        <color rgb="FFE6CFD6"/>
      </top>
      <bottom style="thin">
        <color rgb="FFE6CFD6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9" fillId="0" borderId="0" xfId="0" applyFont="1" applyAlignment="1">
      <alignment horizontal="right"/>
    </xf>
    <xf numFmtId="164" fontId="11" fillId="3" borderId="1" xfId="0" applyNumberFormat="1" applyFont="1" applyFill="1" applyBorder="1"/>
    <xf numFmtId="0" fontId="10" fillId="0" borderId="0" xfId="0" applyFont="1"/>
    <xf numFmtId="165" fontId="11" fillId="3" borderId="1" xfId="0" applyNumberFormat="1" applyFont="1" applyFill="1" applyBorder="1"/>
    <xf numFmtId="166" fontId="0" fillId="0" borderId="0" xfId="0" applyNumberFormat="1"/>
    <xf numFmtId="0" fontId="1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9" fillId="0" borderId="0" xfId="0" applyFont="1"/>
    <xf numFmtId="0" fontId="5" fillId="0" borderId="0" xfId="0" applyFont="1" applyAlignment="1">
      <alignment horizontal="right"/>
    </xf>
    <xf numFmtId="0" fontId="5" fillId="0" borderId="0" xfId="0" applyFont="1"/>
    <xf numFmtId="0" fontId="7" fillId="3" borderId="1" xfId="0" applyFont="1" applyFill="1" applyBorder="1"/>
    <xf numFmtId="164" fontId="7" fillId="3" borderId="1" xfId="0" applyNumberFormat="1" applyFont="1" applyFill="1" applyBorder="1"/>
    <xf numFmtId="2" fontId="7" fillId="3" borderId="1" xfId="0" applyNumberFormat="1" applyFont="1" applyFill="1" applyBorder="1"/>
    <xf numFmtId="164" fontId="8" fillId="0" borderId="1" xfId="0" applyNumberFormat="1" applyFont="1" applyBorder="1"/>
    <xf numFmtId="165" fontId="8" fillId="0" borderId="1" xfId="0" applyNumberFormat="1" applyFont="1" applyBorder="1"/>
    <xf numFmtId="0" fontId="9" fillId="4" borderId="1" xfId="0" applyFont="1" applyFill="1" applyBorder="1"/>
    <xf numFmtId="164" fontId="9" fillId="4" borderId="1" xfId="0" applyNumberFormat="1" applyFont="1" applyFill="1" applyBorder="1"/>
    <xf numFmtId="0" fontId="8" fillId="0" borderId="0" xfId="0" applyFont="1"/>
    <xf numFmtId="165" fontId="8" fillId="0" borderId="0" xfId="0" applyNumberFormat="1" applyFont="1"/>
    <xf numFmtId="164" fontId="8" fillId="0" borderId="0" xfId="0" applyNumberFormat="1" applyFont="1"/>
    <xf numFmtId="0" fontId="8" fillId="0" borderId="1" xfId="0" applyFont="1" applyBorder="1"/>
    <xf numFmtId="0" fontId="13" fillId="4" borderId="0" xfId="0" applyFont="1" applyFill="1" applyAlignment="1">
      <alignment horizontal="left" vertical="center" indent="1"/>
    </xf>
    <xf numFmtId="0" fontId="0" fillId="4" borderId="0" xfId="0" applyFill="1"/>
    <xf numFmtId="166" fontId="13" fillId="4" borderId="0" xfId="0" applyNumberFormat="1" applyFont="1" applyFill="1" applyAlignment="1">
      <alignment horizontal="left" vertical="center" indent="1"/>
    </xf>
    <xf numFmtId="0" fontId="12" fillId="4" borderId="0" xfId="0" applyFont="1" applyFill="1" applyAlignment="1">
      <alignment horizontal="left" indent="1"/>
    </xf>
    <xf numFmtId="0" fontId="14" fillId="4" borderId="0" xfId="0" applyFont="1" applyFill="1" applyAlignment="1">
      <alignment horizontal="left" vertical="center" wrapText="1" indent="1"/>
    </xf>
    <xf numFmtId="166" fontId="8" fillId="0" borderId="1" xfId="0" applyNumberFormat="1" applyFont="1" applyBorder="1"/>
    <xf numFmtId="0" fontId="6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1" fontId="13" fillId="4" borderId="0" xfId="0" applyNumberFormat="1" applyFont="1" applyFill="1" applyAlignment="1">
      <alignment horizontal="left" vertical="center" indent="1"/>
    </xf>
    <xf numFmtId="0" fontId="11" fillId="3" borderId="1" xfId="0" applyFont="1" applyFill="1" applyBorder="1"/>
    <xf numFmtId="0" fontId="0" fillId="0" borderId="2" xfId="0" applyBorder="1"/>
  </cellXfs>
  <cellStyles count="1">
    <cellStyle name="Normal" xfId="0" builtinId="0"/>
  </cellStyles>
  <dxfs count="12">
    <dxf>
      <fill>
        <patternFill patternType="solid">
          <fgColor rgb="FFEEEEEE"/>
          <bgColor rgb="FFEEEEEE"/>
        </patternFill>
      </fill>
    </dxf>
    <dxf>
      <fill>
        <patternFill patternType="solid">
          <fgColor rgb="FFFCE4B6"/>
          <bgColor rgb="FFFCE4B6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CE4B6"/>
          <bgColor rgb="FFFCE4B6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7ECE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Total debt over time (years)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Dashboard!$W$4</c:f>
              <c:strCache>
                <c:ptCount val="1"/>
                <c:pt idx="0">
                  <c:v>Your plan</c:v>
                </c:pt>
              </c:strCache>
            </c:strRef>
          </c:tx>
          <c:spPr>
            <a:ln w="28000">
              <a:solidFill>
                <a:srgbClr val="8A3B4F"/>
              </a:solidFill>
              <a:prstDash val="solid"/>
            </a:ln>
          </c:spPr>
          <c:marker>
            <c:symbol val="none"/>
          </c:marker>
          <c:cat>
            <c:strRef>
              <c:f>Dashboard!$V$5:$V$125</c:f>
              <c:strCache>
                <c:ptCount val="121"/>
                <c:pt idx="0">
                  <c:v>0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1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2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3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4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5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6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7</c:v>
                </c:pt>
                <c:pt idx="29">
                  <c:v> </c:v>
                </c:pt>
                <c:pt idx="30">
                  <c:v> </c:v>
                </c:pt>
                <c:pt idx="31">
                  <c:v> </c:v>
                </c:pt>
                <c:pt idx="32">
                  <c:v>8</c:v>
                </c:pt>
                <c:pt idx="33">
                  <c:v> </c:v>
                </c:pt>
                <c:pt idx="34">
                  <c:v> </c:v>
                </c:pt>
                <c:pt idx="35">
                  <c:v> </c:v>
                </c:pt>
                <c:pt idx="36">
                  <c:v>9</c:v>
                </c:pt>
                <c:pt idx="37">
                  <c:v> </c:v>
                </c:pt>
                <c:pt idx="38">
                  <c:v> </c:v>
                </c:pt>
                <c:pt idx="39">
                  <c:v> </c:v>
                </c:pt>
                <c:pt idx="40">
                  <c:v>10</c:v>
                </c:pt>
                <c:pt idx="41">
                  <c:v> </c:v>
                </c:pt>
                <c:pt idx="42">
                  <c:v> </c:v>
                </c:pt>
                <c:pt idx="43">
                  <c:v> </c:v>
                </c:pt>
                <c:pt idx="44">
                  <c:v>11</c:v>
                </c:pt>
                <c:pt idx="45">
                  <c:v> </c:v>
                </c:pt>
                <c:pt idx="46">
                  <c:v> </c:v>
                </c:pt>
                <c:pt idx="47">
                  <c:v> </c:v>
                </c:pt>
                <c:pt idx="48">
                  <c:v>12</c:v>
                </c:pt>
                <c:pt idx="49">
                  <c:v> </c:v>
                </c:pt>
                <c:pt idx="50">
                  <c:v> </c:v>
                </c:pt>
                <c:pt idx="51">
                  <c:v> </c:v>
                </c:pt>
                <c:pt idx="52">
                  <c:v>13</c:v>
                </c:pt>
                <c:pt idx="53">
                  <c:v> </c:v>
                </c:pt>
                <c:pt idx="54">
                  <c:v> </c:v>
                </c:pt>
                <c:pt idx="55">
                  <c:v> </c:v>
                </c:pt>
                <c:pt idx="56">
                  <c:v>14</c:v>
                </c:pt>
                <c:pt idx="57">
                  <c:v> </c:v>
                </c:pt>
                <c:pt idx="58">
                  <c:v> </c:v>
                </c:pt>
                <c:pt idx="59">
                  <c:v> </c:v>
                </c:pt>
                <c:pt idx="60">
                  <c:v>15</c:v>
                </c:pt>
                <c:pt idx="61">
                  <c:v> </c:v>
                </c:pt>
                <c:pt idx="62">
                  <c:v> </c:v>
                </c:pt>
                <c:pt idx="63">
                  <c:v> </c:v>
                </c:pt>
                <c:pt idx="64">
                  <c:v>16</c:v>
                </c:pt>
                <c:pt idx="65">
                  <c:v> </c:v>
                </c:pt>
                <c:pt idx="66">
                  <c:v> </c:v>
                </c:pt>
                <c:pt idx="67">
                  <c:v> </c:v>
                </c:pt>
                <c:pt idx="68">
                  <c:v>17</c:v>
                </c:pt>
                <c:pt idx="69">
                  <c:v> </c:v>
                </c:pt>
                <c:pt idx="70">
                  <c:v> </c:v>
                </c:pt>
                <c:pt idx="71">
                  <c:v> </c:v>
                </c:pt>
                <c:pt idx="72">
                  <c:v>18</c:v>
                </c:pt>
                <c:pt idx="73">
                  <c:v> </c:v>
                </c:pt>
                <c:pt idx="74">
                  <c:v> </c:v>
                </c:pt>
                <c:pt idx="75">
                  <c:v> </c:v>
                </c:pt>
                <c:pt idx="76">
                  <c:v>19</c:v>
                </c:pt>
                <c:pt idx="77">
                  <c:v> </c:v>
                </c:pt>
                <c:pt idx="78">
                  <c:v> </c:v>
                </c:pt>
                <c:pt idx="79">
                  <c:v> </c:v>
                </c:pt>
                <c:pt idx="80">
                  <c:v>20</c:v>
                </c:pt>
                <c:pt idx="81">
                  <c:v> </c:v>
                </c:pt>
                <c:pt idx="82">
                  <c:v> </c:v>
                </c:pt>
                <c:pt idx="83">
                  <c:v> </c:v>
                </c:pt>
                <c:pt idx="84">
                  <c:v>21</c:v>
                </c:pt>
                <c:pt idx="85">
                  <c:v> </c:v>
                </c:pt>
                <c:pt idx="86">
                  <c:v> </c:v>
                </c:pt>
                <c:pt idx="87">
                  <c:v> </c:v>
                </c:pt>
                <c:pt idx="88">
                  <c:v>22</c:v>
                </c:pt>
                <c:pt idx="89">
                  <c:v> </c:v>
                </c:pt>
                <c:pt idx="90">
                  <c:v> </c:v>
                </c:pt>
                <c:pt idx="91">
                  <c:v> </c:v>
                </c:pt>
                <c:pt idx="92">
                  <c:v>23</c:v>
                </c:pt>
                <c:pt idx="93">
                  <c:v> </c:v>
                </c:pt>
                <c:pt idx="94">
                  <c:v> </c:v>
                </c:pt>
                <c:pt idx="95">
                  <c:v> </c:v>
                </c:pt>
                <c:pt idx="96">
                  <c:v>24</c:v>
                </c:pt>
                <c:pt idx="97">
                  <c:v> </c:v>
                </c:pt>
                <c:pt idx="98">
                  <c:v> </c:v>
                </c:pt>
                <c:pt idx="99">
                  <c:v> </c:v>
                </c:pt>
                <c:pt idx="100">
                  <c:v>25</c:v>
                </c:pt>
                <c:pt idx="101">
                  <c:v> </c:v>
                </c:pt>
                <c:pt idx="102">
                  <c:v> </c:v>
                </c:pt>
                <c:pt idx="103">
                  <c:v> </c:v>
                </c:pt>
                <c:pt idx="104">
                  <c:v>26</c:v>
                </c:pt>
                <c:pt idx="105">
                  <c:v> </c:v>
                </c:pt>
                <c:pt idx="106">
                  <c:v> </c:v>
                </c:pt>
                <c:pt idx="107">
                  <c:v> </c:v>
                </c:pt>
                <c:pt idx="108">
                  <c:v>27</c:v>
                </c:pt>
                <c:pt idx="109">
                  <c:v> </c:v>
                </c:pt>
                <c:pt idx="110">
                  <c:v> </c:v>
                </c:pt>
                <c:pt idx="111">
                  <c:v> </c:v>
                </c:pt>
                <c:pt idx="112">
                  <c:v>28</c:v>
                </c:pt>
                <c:pt idx="113">
                  <c:v> </c:v>
                </c:pt>
                <c:pt idx="114">
                  <c:v> </c:v>
                </c:pt>
                <c:pt idx="115">
                  <c:v> </c:v>
                </c:pt>
                <c:pt idx="116">
                  <c:v>29</c:v>
                </c:pt>
                <c:pt idx="117">
                  <c:v> </c:v>
                </c:pt>
                <c:pt idx="118">
                  <c:v> </c:v>
                </c:pt>
                <c:pt idx="119">
                  <c:v> </c:v>
                </c:pt>
                <c:pt idx="120">
                  <c:v>30</c:v>
                </c:pt>
              </c:strCache>
            </c:strRef>
          </c:cat>
          <c:val>
            <c:numRef>
              <c:f>Dashboard!$W$5:$W$125</c:f>
              <c:numCache>
                <c:formatCode>\$#,##0;\(\$#,##0\);"-"</c:formatCode>
                <c:ptCount val="121"/>
                <c:pt idx="0">
                  <c:v>18100</c:v>
                </c:pt>
                <c:pt idx="1">
                  <c:v>16445.559999999998</c:v>
                </c:pt>
                <c:pt idx="2">
                  <c:v>14740.449999999999</c:v>
                </c:pt>
                <c:pt idx="3">
                  <c:v>12952.93</c:v>
                </c:pt>
                <c:pt idx="4">
                  <c:v>11084.82</c:v>
                </c:pt>
                <c:pt idx="5">
                  <c:v>9132.5300000000007</c:v>
                </c:pt>
                <c:pt idx="6">
                  <c:v>7091.3200000000006</c:v>
                </c:pt>
                <c:pt idx="7">
                  <c:v>4965.74</c:v>
                </c:pt>
                <c:pt idx="8">
                  <c:v>2795.34</c:v>
                </c:pt>
                <c:pt idx="9">
                  <c:v>583.99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F4-4A1E-B2AF-5DAC95AB4F8A}"/>
            </c:ext>
          </c:extLst>
        </c:ser>
        <c:ser>
          <c:idx val="1"/>
          <c:order val="1"/>
          <c:tx>
            <c:strRef>
              <c:f>Dashboard!$X$4</c:f>
              <c:strCache>
                <c:ptCount val="1"/>
                <c:pt idx="0">
                  <c:v>Minimums only</c:v>
                </c:pt>
              </c:strCache>
            </c:strRef>
          </c:tx>
          <c:spPr>
            <a:ln w="28000">
              <a:solidFill>
                <a:srgbClr val="B0B0B0"/>
              </a:solidFill>
              <a:prstDash val="solid"/>
            </a:ln>
          </c:spPr>
          <c:marker>
            <c:symbol val="none"/>
          </c:marker>
          <c:cat>
            <c:strRef>
              <c:f>Dashboard!$V$5:$V$125</c:f>
              <c:strCache>
                <c:ptCount val="121"/>
                <c:pt idx="0">
                  <c:v>0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1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2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3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4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5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6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7</c:v>
                </c:pt>
                <c:pt idx="29">
                  <c:v> </c:v>
                </c:pt>
                <c:pt idx="30">
                  <c:v> </c:v>
                </c:pt>
                <c:pt idx="31">
                  <c:v> </c:v>
                </c:pt>
                <c:pt idx="32">
                  <c:v>8</c:v>
                </c:pt>
                <c:pt idx="33">
                  <c:v> </c:v>
                </c:pt>
                <c:pt idx="34">
                  <c:v> </c:v>
                </c:pt>
                <c:pt idx="35">
                  <c:v> </c:v>
                </c:pt>
                <c:pt idx="36">
                  <c:v>9</c:v>
                </c:pt>
                <c:pt idx="37">
                  <c:v> </c:v>
                </c:pt>
                <c:pt idx="38">
                  <c:v> </c:v>
                </c:pt>
                <c:pt idx="39">
                  <c:v> </c:v>
                </c:pt>
                <c:pt idx="40">
                  <c:v>10</c:v>
                </c:pt>
                <c:pt idx="41">
                  <c:v> </c:v>
                </c:pt>
                <c:pt idx="42">
                  <c:v> </c:v>
                </c:pt>
                <c:pt idx="43">
                  <c:v> </c:v>
                </c:pt>
                <c:pt idx="44">
                  <c:v>11</c:v>
                </c:pt>
                <c:pt idx="45">
                  <c:v> </c:v>
                </c:pt>
                <c:pt idx="46">
                  <c:v> </c:v>
                </c:pt>
                <c:pt idx="47">
                  <c:v> </c:v>
                </c:pt>
                <c:pt idx="48">
                  <c:v>12</c:v>
                </c:pt>
                <c:pt idx="49">
                  <c:v> </c:v>
                </c:pt>
                <c:pt idx="50">
                  <c:v> </c:v>
                </c:pt>
                <c:pt idx="51">
                  <c:v> </c:v>
                </c:pt>
                <c:pt idx="52">
                  <c:v>13</c:v>
                </c:pt>
                <c:pt idx="53">
                  <c:v> </c:v>
                </c:pt>
                <c:pt idx="54">
                  <c:v> </c:v>
                </c:pt>
                <c:pt idx="55">
                  <c:v> </c:v>
                </c:pt>
                <c:pt idx="56">
                  <c:v>14</c:v>
                </c:pt>
                <c:pt idx="57">
                  <c:v> </c:v>
                </c:pt>
                <c:pt idx="58">
                  <c:v> </c:v>
                </c:pt>
                <c:pt idx="59">
                  <c:v> </c:v>
                </c:pt>
                <c:pt idx="60">
                  <c:v>15</c:v>
                </c:pt>
                <c:pt idx="61">
                  <c:v> </c:v>
                </c:pt>
                <c:pt idx="62">
                  <c:v> </c:v>
                </c:pt>
                <c:pt idx="63">
                  <c:v> </c:v>
                </c:pt>
                <c:pt idx="64">
                  <c:v>16</c:v>
                </c:pt>
                <c:pt idx="65">
                  <c:v> </c:v>
                </c:pt>
                <c:pt idx="66">
                  <c:v> </c:v>
                </c:pt>
                <c:pt idx="67">
                  <c:v> </c:v>
                </c:pt>
                <c:pt idx="68">
                  <c:v>17</c:v>
                </c:pt>
                <c:pt idx="69">
                  <c:v> </c:v>
                </c:pt>
                <c:pt idx="70">
                  <c:v> </c:v>
                </c:pt>
                <c:pt idx="71">
                  <c:v> </c:v>
                </c:pt>
                <c:pt idx="72">
                  <c:v>18</c:v>
                </c:pt>
                <c:pt idx="73">
                  <c:v> </c:v>
                </c:pt>
                <c:pt idx="74">
                  <c:v> </c:v>
                </c:pt>
                <c:pt idx="75">
                  <c:v> </c:v>
                </c:pt>
                <c:pt idx="76">
                  <c:v>19</c:v>
                </c:pt>
                <c:pt idx="77">
                  <c:v> </c:v>
                </c:pt>
                <c:pt idx="78">
                  <c:v> </c:v>
                </c:pt>
                <c:pt idx="79">
                  <c:v> </c:v>
                </c:pt>
                <c:pt idx="80">
                  <c:v>20</c:v>
                </c:pt>
                <c:pt idx="81">
                  <c:v> </c:v>
                </c:pt>
                <c:pt idx="82">
                  <c:v> </c:v>
                </c:pt>
                <c:pt idx="83">
                  <c:v> </c:v>
                </c:pt>
                <c:pt idx="84">
                  <c:v>21</c:v>
                </c:pt>
                <c:pt idx="85">
                  <c:v> </c:v>
                </c:pt>
                <c:pt idx="86">
                  <c:v> </c:v>
                </c:pt>
                <c:pt idx="87">
                  <c:v> </c:v>
                </c:pt>
                <c:pt idx="88">
                  <c:v>22</c:v>
                </c:pt>
                <c:pt idx="89">
                  <c:v> </c:v>
                </c:pt>
                <c:pt idx="90">
                  <c:v> </c:v>
                </c:pt>
                <c:pt idx="91">
                  <c:v> </c:v>
                </c:pt>
                <c:pt idx="92">
                  <c:v>23</c:v>
                </c:pt>
                <c:pt idx="93">
                  <c:v> </c:v>
                </c:pt>
                <c:pt idx="94">
                  <c:v> </c:v>
                </c:pt>
                <c:pt idx="95">
                  <c:v> </c:v>
                </c:pt>
                <c:pt idx="96">
                  <c:v>24</c:v>
                </c:pt>
                <c:pt idx="97">
                  <c:v> </c:v>
                </c:pt>
                <c:pt idx="98">
                  <c:v> </c:v>
                </c:pt>
                <c:pt idx="99">
                  <c:v> </c:v>
                </c:pt>
                <c:pt idx="100">
                  <c:v>25</c:v>
                </c:pt>
                <c:pt idx="101">
                  <c:v> </c:v>
                </c:pt>
                <c:pt idx="102">
                  <c:v> </c:v>
                </c:pt>
                <c:pt idx="103">
                  <c:v> </c:v>
                </c:pt>
                <c:pt idx="104">
                  <c:v>26</c:v>
                </c:pt>
                <c:pt idx="105">
                  <c:v> </c:v>
                </c:pt>
                <c:pt idx="106">
                  <c:v> </c:v>
                </c:pt>
                <c:pt idx="107">
                  <c:v> </c:v>
                </c:pt>
                <c:pt idx="108">
                  <c:v>27</c:v>
                </c:pt>
                <c:pt idx="109">
                  <c:v> </c:v>
                </c:pt>
                <c:pt idx="110">
                  <c:v> </c:v>
                </c:pt>
                <c:pt idx="111">
                  <c:v> </c:v>
                </c:pt>
                <c:pt idx="112">
                  <c:v>28</c:v>
                </c:pt>
                <c:pt idx="113">
                  <c:v> </c:v>
                </c:pt>
                <c:pt idx="114">
                  <c:v> </c:v>
                </c:pt>
                <c:pt idx="115">
                  <c:v> </c:v>
                </c:pt>
                <c:pt idx="116">
                  <c:v>29</c:v>
                </c:pt>
                <c:pt idx="117">
                  <c:v> </c:v>
                </c:pt>
                <c:pt idx="118">
                  <c:v> </c:v>
                </c:pt>
                <c:pt idx="119">
                  <c:v> </c:v>
                </c:pt>
                <c:pt idx="120">
                  <c:v>30</c:v>
                </c:pt>
              </c:strCache>
            </c:strRef>
          </c:cat>
          <c:val>
            <c:numRef>
              <c:f>Dashboard!$X$5:$X$125</c:f>
              <c:numCache>
                <c:formatCode>\$#,##0;\(\$#,##0\);"-"</c:formatCode>
                <c:ptCount val="121"/>
                <c:pt idx="0">
                  <c:v>18100</c:v>
                </c:pt>
                <c:pt idx="1">
                  <c:v>17045.559999999998</c:v>
                </c:pt>
                <c:pt idx="2">
                  <c:v>15966.13</c:v>
                </c:pt>
                <c:pt idx="3">
                  <c:v>14860.710000000001</c:v>
                </c:pt>
                <c:pt idx="4">
                  <c:v>13728.25</c:v>
                </c:pt>
                <c:pt idx="5">
                  <c:v>12667.650000000001</c:v>
                </c:pt>
                <c:pt idx="6">
                  <c:v>11627.75</c:v>
                </c:pt>
                <c:pt idx="7">
                  <c:v>10557.29</c:v>
                </c:pt>
                <c:pt idx="8">
                  <c:v>9454.98</c:v>
                </c:pt>
                <c:pt idx="9">
                  <c:v>8319.4599999999991</c:v>
                </c:pt>
                <c:pt idx="10">
                  <c:v>7149.25</c:v>
                </c:pt>
                <c:pt idx="11">
                  <c:v>5942.83</c:v>
                </c:pt>
                <c:pt idx="12">
                  <c:v>4698.59</c:v>
                </c:pt>
                <c:pt idx="13">
                  <c:v>3414.82</c:v>
                </c:pt>
                <c:pt idx="14">
                  <c:v>2355.12</c:v>
                </c:pt>
                <c:pt idx="15">
                  <c:v>1942.6200000000001</c:v>
                </c:pt>
                <c:pt idx="16">
                  <c:v>1502.8400000000001</c:v>
                </c:pt>
                <c:pt idx="17">
                  <c:v>1033.99</c:v>
                </c:pt>
                <c:pt idx="18">
                  <c:v>534.11</c:v>
                </c:pt>
                <c:pt idx="19">
                  <c:v>122.32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F4-4A1E-B2AF-5DAC95AB4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4"/>
        <c:tickMarkSkip val="4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\$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Months until each debt is paid off (your plan)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Dashboard!$AA$4</c:f>
              <c:strCache>
                <c:ptCount val="1"/>
                <c:pt idx="0">
                  <c:v>Months to pay off</c:v>
                </c:pt>
              </c:strCache>
            </c:strRef>
          </c:tx>
          <c:spPr>
            <a:solidFill>
              <a:srgbClr val="8A3B4F"/>
            </a:solidFill>
            <a:ln>
              <a:solidFill>
                <a:srgbClr val="8A3B4F"/>
              </a:solidFill>
              <a:prstDash val="solid"/>
            </a:ln>
          </c:spPr>
          <c:invertIfNegative val="0"/>
          <c:cat>
            <c:strRef>
              <c:f>Dashboard!$Z$5:$Z$19</c:f>
              <c:strCache>
                <c:ptCount val="4"/>
                <c:pt idx="0">
                  <c:v>EXAMPLE: Visa card</c:v>
                </c:pt>
                <c:pt idx="1">
                  <c:v>EXAMPLE: Store card</c:v>
                </c:pt>
                <c:pt idx="2">
                  <c:v>EXAMPLE: Car loan</c:v>
                </c:pt>
                <c:pt idx="3">
                  <c:v>EXAMPLE: Medical bill</c:v>
                </c:pt>
              </c:strCache>
            </c:strRef>
          </c:cat>
          <c:val>
            <c:numRef>
              <c:f>Dashboard!$AA$5:$AA$19</c:f>
              <c:numCache>
                <c:formatCode>General</c:formatCode>
                <c:ptCount val="15"/>
                <c:pt idx="0">
                  <c:v>19</c:v>
                </c:pt>
                <c:pt idx="1">
                  <c:v>7</c:v>
                </c:pt>
                <c:pt idx="2">
                  <c:v>28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F4-4D3C-B539-6752F4646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0" sourceLinked="0"/>
        <c:majorTickMark val="none"/>
        <c:minorTickMark val="none"/>
        <c:tickLblPos val="nextTo"/>
        <c:crossAx val="10"/>
        <c:crosses val="max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Total interest by plan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Dashboard!$AA$22</c:f>
              <c:strCache>
                <c:ptCount val="1"/>
                <c:pt idx="0">
                  <c:v>Total interest</c:v>
                </c:pt>
              </c:strCache>
            </c:strRef>
          </c:tx>
          <c:spPr>
            <a:solidFill>
              <a:srgbClr val="8A3B4F"/>
            </a:solidFill>
            <a:ln>
              <a:solidFill>
                <a:srgbClr val="8A3B4F"/>
              </a:solidFill>
              <a:prstDash val="solid"/>
            </a:ln>
          </c:spPr>
          <c:invertIfNegative val="0"/>
          <c:dPt>
            <c:idx val="0"/>
            <c:invertIfNegative val="1"/>
            <c:bubble3D val="0"/>
            <c:spPr>
              <a:solidFill>
                <a:srgbClr val="B0B0B0"/>
              </a:solidFill>
              <a:ln>
                <a:solidFill>
                  <a:srgbClr val="B0B0B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DCF-4DF7-918B-5D82287E6AA1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4DCF-4DF7-918B-5D82287E6AA1}"/>
              </c:ext>
            </c:extLst>
          </c:dPt>
          <c:dPt>
            <c:idx val="2"/>
            <c:invertIfNegative val="1"/>
            <c:bubble3D val="0"/>
            <c:spPr>
              <a:solidFill>
                <a:srgbClr val="D9A3B0"/>
              </a:solidFill>
              <a:ln>
                <a:solidFill>
                  <a:srgbClr val="D9A3B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DCF-4DF7-918B-5D82287E6AA1}"/>
              </c:ext>
            </c:extLst>
          </c:dPt>
          <c:dPt>
            <c:idx val="3"/>
            <c:invertIfNegative val="1"/>
            <c:bubble3D val="0"/>
            <c:spPr>
              <a:solidFill>
                <a:srgbClr val="E0A458"/>
              </a:solidFill>
              <a:ln>
                <a:solidFill>
                  <a:srgbClr val="E0A45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DCF-4DF7-918B-5D82287E6AA1}"/>
              </c:ext>
            </c:extLst>
          </c:dPt>
          <c:cat>
            <c:strRef>
              <c:f>Dashboard!$Z$23:$Z$26</c:f>
              <c:strCache>
                <c:ptCount val="4"/>
                <c:pt idx="0">
                  <c:v>Minimums only</c:v>
                </c:pt>
                <c:pt idx="1">
                  <c:v>Snowball</c:v>
                </c:pt>
                <c:pt idx="2">
                  <c:v>Avalanche</c:v>
                </c:pt>
                <c:pt idx="3">
                  <c:v>My order</c:v>
                </c:pt>
              </c:strCache>
            </c:strRef>
          </c:cat>
          <c:val>
            <c:numRef>
              <c:f>Dashboard!$AA$23:$AA$26</c:f>
              <c:numCache>
                <c:formatCode>\$#,##0;\(\$#,##0\);"-"</c:formatCode>
                <c:ptCount val="4"/>
                <c:pt idx="0">
                  <c:v>6066.0800000000017</c:v>
                </c:pt>
                <c:pt idx="1">
                  <c:v>2737.6400000000003</c:v>
                </c:pt>
                <c:pt idx="2">
                  <c:v>2630.62</c:v>
                </c:pt>
                <c:pt idx="3">
                  <c:v>2696.56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DCF-4DF7-918B-5D82287E6A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\$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Where your payments go (your plan)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Dashboard!$AA$28</c:f>
              <c:strCache>
                <c:ptCount val="1"/>
                <c:pt idx="0">
                  <c:v>Amount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8A3B4F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1DF-45BA-AA7D-2CA72326DC54}"/>
              </c:ext>
            </c:extLst>
          </c:dPt>
          <c:dPt>
            <c:idx val="1"/>
            <c:bubble3D val="0"/>
            <c:spPr>
              <a:solidFill>
                <a:srgbClr val="E0A458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1DF-45BA-AA7D-2CA72326DC54}"/>
              </c:ext>
            </c:extLst>
          </c:dPt>
          <c:cat>
            <c:strRef>
              <c:f>Dashboard!$Z$29:$Z$30</c:f>
              <c:strCache>
                <c:ptCount val="2"/>
                <c:pt idx="0">
                  <c:v>Debt (principal)</c:v>
                </c:pt>
                <c:pt idx="1">
                  <c:v>Interest</c:v>
                </c:pt>
              </c:strCache>
            </c:strRef>
          </c:cat>
          <c:val>
            <c:numRef>
              <c:f>Dashboard!$AA$29:$AA$30</c:f>
              <c:numCache>
                <c:formatCode>\$#,##0;\(\$#,##0\);"-"</c:formatCode>
                <c:ptCount val="2"/>
                <c:pt idx="0">
                  <c:v>18100</c:v>
                </c:pt>
                <c:pt idx="1">
                  <c:v>2737.6400000000003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1DF-45BA-AA7D-2CA72326D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27</xdr:row>
      <xdr:rowOff>0</xdr:rowOff>
    </xdr:from>
    <xdr:ext cx="6336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27</xdr:row>
      <xdr:rowOff>0</xdr:rowOff>
    </xdr:from>
    <xdr:ext cx="6336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46</xdr:row>
      <xdr:rowOff>0</xdr:rowOff>
    </xdr:from>
    <xdr:ext cx="6336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0</xdr:colOff>
      <xdr:row>46</xdr:row>
      <xdr:rowOff>0</xdr:rowOff>
    </xdr:from>
    <xdr:ext cx="6336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A3B4F"/>
  </sheetPr>
  <dimension ref="B2:B28"/>
  <sheetViews>
    <sheetView showGridLines="0" tabSelected="1" workbookViewId="0"/>
  </sheetViews>
  <sheetFormatPr defaultRowHeight="14.5" x14ac:dyDescent="0.35"/>
  <cols>
    <col min="1" max="1" width="3" customWidth="1"/>
    <col min="2" max="2" width="112" customWidth="1"/>
  </cols>
  <sheetData>
    <row r="2" spans="2:2" ht="23" x14ac:dyDescent="0.5">
      <c r="B2" s="1" t="s">
        <v>0</v>
      </c>
    </row>
    <row r="3" spans="2:2" x14ac:dyDescent="0.35">
      <c r="B3" s="2" t="s">
        <v>1</v>
      </c>
    </row>
    <row r="5" spans="2:2" x14ac:dyDescent="0.35">
      <c r="B5" s="3" t="s">
        <v>2</v>
      </c>
    </row>
    <row r="6" spans="2:2" ht="28" x14ac:dyDescent="0.35">
      <c r="B6" s="4" t="s">
        <v>3</v>
      </c>
    </row>
    <row r="7" spans="2:2" ht="28" x14ac:dyDescent="0.35">
      <c r="B7" s="4" t="s">
        <v>4</v>
      </c>
    </row>
    <row r="8" spans="2:2" ht="28" x14ac:dyDescent="0.35">
      <c r="B8" s="4" t="s">
        <v>5</v>
      </c>
    </row>
    <row r="9" spans="2:2" x14ac:dyDescent="0.35">
      <c r="B9" s="4" t="s">
        <v>6</v>
      </c>
    </row>
    <row r="10" spans="2:2" x14ac:dyDescent="0.35">
      <c r="B10" s="4" t="s">
        <v>7</v>
      </c>
    </row>
    <row r="11" spans="2:2" x14ac:dyDescent="0.35">
      <c r="B11" s="4" t="s">
        <v>8</v>
      </c>
    </row>
    <row r="12" spans="2:2" x14ac:dyDescent="0.35">
      <c r="B12" s="4" t="s">
        <v>9</v>
      </c>
    </row>
    <row r="13" spans="2:2" ht="28" x14ac:dyDescent="0.35">
      <c r="B13" s="4" t="s">
        <v>10</v>
      </c>
    </row>
    <row r="14" spans="2:2" x14ac:dyDescent="0.35">
      <c r="B14" s="4"/>
    </row>
    <row r="15" spans="2:2" x14ac:dyDescent="0.35">
      <c r="B15" s="3" t="s">
        <v>11</v>
      </c>
    </row>
    <row r="16" spans="2:2" ht="28" x14ac:dyDescent="0.35">
      <c r="B16" s="4" t="s">
        <v>12</v>
      </c>
    </row>
    <row r="17" spans="2:2" x14ac:dyDescent="0.35">
      <c r="B17" s="4" t="s">
        <v>13</v>
      </c>
    </row>
    <row r="18" spans="2:2" ht="28" x14ac:dyDescent="0.35">
      <c r="B18" s="4" t="s">
        <v>14</v>
      </c>
    </row>
    <row r="19" spans="2:2" ht="28" x14ac:dyDescent="0.35">
      <c r="B19" s="4" t="s">
        <v>15</v>
      </c>
    </row>
    <row r="20" spans="2:2" x14ac:dyDescent="0.35">
      <c r="B20" s="4" t="s">
        <v>16</v>
      </c>
    </row>
    <row r="21" spans="2:2" x14ac:dyDescent="0.35">
      <c r="B21" s="4"/>
    </row>
    <row r="22" spans="2:2" x14ac:dyDescent="0.35">
      <c r="B22" s="3" t="s">
        <v>17</v>
      </c>
    </row>
    <row r="23" spans="2:2" ht="28" x14ac:dyDescent="0.35">
      <c r="B23" s="4" t="s">
        <v>18</v>
      </c>
    </row>
    <row r="24" spans="2:2" x14ac:dyDescent="0.35">
      <c r="B24" s="4"/>
    </row>
    <row r="25" spans="2:2" x14ac:dyDescent="0.35">
      <c r="B25" s="3" t="s">
        <v>19</v>
      </c>
    </row>
    <row r="26" spans="2:2" x14ac:dyDescent="0.35">
      <c r="B26" s="4" t="s">
        <v>20</v>
      </c>
    </row>
    <row r="27" spans="2:2" x14ac:dyDescent="0.35">
      <c r="B27" s="4"/>
    </row>
    <row r="28" spans="2:2" x14ac:dyDescent="0.35">
      <c r="B28" s="4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A3B4F"/>
  </sheetPr>
  <dimension ref="B1:AB125"/>
  <sheetViews>
    <sheetView showGridLines="0" workbookViewId="0"/>
  </sheetViews>
  <sheetFormatPr defaultRowHeight="14.5" x14ac:dyDescent="0.35"/>
  <cols>
    <col min="1" max="1" width="2" customWidth="1"/>
    <col min="2" max="17" width="13" customWidth="1"/>
    <col min="22" max="28" width="16" customWidth="1"/>
  </cols>
  <sheetData>
    <row r="1" spans="2:28" ht="23" x14ac:dyDescent="0.5">
      <c r="B1" s="1" t="s">
        <v>22</v>
      </c>
    </row>
    <row r="3" spans="2:28" ht="15.5" x14ac:dyDescent="0.35">
      <c r="B3" s="5" t="s">
        <v>23</v>
      </c>
      <c r="C3" s="6">
        <v>200</v>
      </c>
      <c r="D3" s="2" t="str">
        <f>"on top of your minimums ("&amp;TEXT(Calc!$C$6,"$#,##0.00")&amp;") = "&amp;TEXT(Calc!$C$7,"$#,##0.00")&amp;" a month"</f>
        <v>on top of your minimums ($550.00) = $750.00 a month</v>
      </c>
      <c r="V3" s="7" t="s">
        <v>24</v>
      </c>
    </row>
    <row r="4" spans="2:28" ht="15.5" x14ac:dyDescent="0.35">
      <c r="B4" s="5" t="s">
        <v>25</v>
      </c>
      <c r="C4" s="36" t="s">
        <v>26</v>
      </c>
      <c r="D4" s="37"/>
      <c r="E4" s="37"/>
      <c r="F4" s="34"/>
      <c r="H4" s="2" t="str">
        <f>IF(Calc!$O$3&gt;0,Calc!$O$3&amp;" debt row(s) need fixing - see red cells on Debts",IF(Calc!$C$46&gt;0,Calc!$C$46&amp;" debt(s) have a minimum below the interest - see Debts","Updates automatically from the Debts tab"))</f>
        <v>Updates automatically from the Debts tab</v>
      </c>
      <c r="V4" t="s">
        <v>27</v>
      </c>
      <c r="W4" t="s">
        <v>28</v>
      </c>
      <c r="X4" t="s">
        <v>29</v>
      </c>
      <c r="Z4" t="s">
        <v>30</v>
      </c>
      <c r="AA4" t="s">
        <v>31</v>
      </c>
      <c r="AB4" t="s">
        <v>32</v>
      </c>
    </row>
    <row r="5" spans="2:28" ht="15.5" x14ac:dyDescent="0.35">
      <c r="B5" s="5" t="s">
        <v>33</v>
      </c>
      <c r="C5" s="8"/>
      <c r="G5" s="7" t="str">
        <f ca="1">IF(ISNUMBER(C5),"","(blank = this month: "&amp;TEXT(Calc!$C$5,"mmm yyyy")&amp;")")</f>
        <v>(blank = this month: Oct 2026)</v>
      </c>
      <c r="V5" t="s">
        <v>34</v>
      </c>
      <c r="W5" s="9">
        <f>CHOOSE(Calc!$C$3,'Snowball Engine'!AW6,'Avalanche Engine'!AW6,'My Order Engine'!AW6)</f>
        <v>18100</v>
      </c>
      <c r="X5" s="9">
        <f>'Minimums Engine'!AW6</f>
        <v>18100</v>
      </c>
      <c r="Z5" t="str">
        <f>Calc!B10</f>
        <v>EXAMPLE: Visa card</v>
      </c>
      <c r="AA5">
        <f>IF(Calc!C10=1,IF(Debts!I7="30+ years",360,Debts!I7),0)</f>
        <v>19</v>
      </c>
      <c r="AB5" s="9">
        <f>Calc!D10</f>
        <v>4850</v>
      </c>
    </row>
    <row r="6" spans="2:28" x14ac:dyDescent="0.35">
      <c r="V6" t="s">
        <v>35</v>
      </c>
      <c r="W6" s="9">
        <f>CHOOSE(Calc!$C$3,'Snowball Engine'!AW9,'Avalanche Engine'!AW9,'My Order Engine'!AW9)</f>
        <v>16445.559999999998</v>
      </c>
      <c r="X6" s="9">
        <f>'Minimums Engine'!AW9</f>
        <v>17045.559999999998</v>
      </c>
      <c r="Z6" t="str">
        <f>Calc!B11</f>
        <v>EXAMPLE: Store card</v>
      </c>
      <c r="AA6">
        <f>IF(Calc!C11=1,IF(Debts!I8="30+ years",360,Debts!I8),0)</f>
        <v>7</v>
      </c>
      <c r="AB6" s="9">
        <f>Calc!D11</f>
        <v>1200</v>
      </c>
    </row>
    <row r="7" spans="2:28" x14ac:dyDescent="0.35">
      <c r="B7" s="30" t="s">
        <v>36</v>
      </c>
      <c r="C7" s="28"/>
      <c r="D7" s="28"/>
      <c r="E7" s="28"/>
      <c r="G7" s="30" t="s">
        <v>37</v>
      </c>
      <c r="H7" s="28"/>
      <c r="I7" s="28"/>
      <c r="J7" s="28"/>
      <c r="L7" s="30" t="s">
        <v>38</v>
      </c>
      <c r="M7" s="28"/>
      <c r="N7" s="28"/>
      <c r="O7" s="28"/>
      <c r="V7" t="s">
        <v>35</v>
      </c>
      <c r="W7" s="9">
        <f>CHOOSE(Calc!$C$3,'Snowball Engine'!AW12,'Avalanche Engine'!AW12,'My Order Engine'!AW12)</f>
        <v>14740.449999999999</v>
      </c>
      <c r="X7" s="9">
        <f>'Minimums Engine'!AW12</f>
        <v>15966.13</v>
      </c>
      <c r="Z7" t="str">
        <f>Calc!B12</f>
        <v>EXAMPLE: Car loan</v>
      </c>
      <c r="AA7">
        <f>IF(Calc!C12=1,IF(Debts!I9="30+ years",360,Debts!I9),0)</f>
        <v>28</v>
      </c>
      <c r="AB7" s="9">
        <f>Calc!D12</f>
        <v>11400</v>
      </c>
    </row>
    <row r="8" spans="2:28" x14ac:dyDescent="0.35">
      <c r="B8" s="29">
        <f>Calc!C9</f>
        <v>18100</v>
      </c>
      <c r="C8" s="28"/>
      <c r="D8" s="28"/>
      <c r="E8" s="28"/>
      <c r="G8" s="27" t="str">
        <f ca="1">Calc!C39</f>
        <v>Jan 2029</v>
      </c>
      <c r="H8" s="28"/>
      <c r="I8" s="28"/>
      <c r="J8" s="28"/>
      <c r="L8" s="35">
        <f>IF(Calc!C36=999,"360+",Calc!C36)</f>
        <v>28</v>
      </c>
      <c r="M8" s="28"/>
      <c r="N8" s="28"/>
      <c r="O8" s="28"/>
      <c r="V8" t="s">
        <v>35</v>
      </c>
      <c r="W8" s="9">
        <f>CHOOSE(Calc!$C$3,'Snowball Engine'!AW15,'Avalanche Engine'!AW15,'My Order Engine'!AW15)</f>
        <v>12952.93</v>
      </c>
      <c r="X8" s="9">
        <f>'Minimums Engine'!AW15</f>
        <v>14860.710000000001</v>
      </c>
      <c r="Z8" t="str">
        <f>Calc!B13</f>
        <v>EXAMPLE: Medical bill</v>
      </c>
      <c r="AA8">
        <f>IF(Calc!C13=1,IF(Debts!I10="30+ years",360,Debts!I10),0)</f>
        <v>3</v>
      </c>
      <c r="AB8" s="9">
        <f>Calc!D13</f>
        <v>650</v>
      </c>
    </row>
    <row r="9" spans="2:28" x14ac:dyDescent="0.35">
      <c r="B9" s="28"/>
      <c r="C9" s="28"/>
      <c r="D9" s="28"/>
      <c r="E9" s="28"/>
      <c r="G9" s="28"/>
      <c r="H9" s="28"/>
      <c r="I9" s="28"/>
      <c r="J9" s="28"/>
      <c r="L9" s="28"/>
      <c r="M9" s="28"/>
      <c r="N9" s="28"/>
      <c r="O9" s="28"/>
      <c r="V9" t="s">
        <v>39</v>
      </c>
      <c r="W9" s="9">
        <f>CHOOSE(Calc!$C$3,'Snowball Engine'!AW18,'Avalanche Engine'!AW18,'My Order Engine'!AW18)</f>
        <v>11084.82</v>
      </c>
      <c r="X9" s="9">
        <f>'Minimums Engine'!AW18</f>
        <v>13728.25</v>
      </c>
      <c r="Z9" t="str">
        <f>Calc!B14</f>
        <v/>
      </c>
      <c r="AA9">
        <f>IF(Calc!C14=1,IF(Debts!I11="30+ years",360,Debts!I11),0)</f>
        <v>0</v>
      </c>
      <c r="AB9" s="9">
        <f>Calc!D14</f>
        <v>0</v>
      </c>
    </row>
    <row r="10" spans="2:28" x14ac:dyDescent="0.35">
      <c r="V10" t="s">
        <v>35</v>
      </c>
      <c r="W10" s="9">
        <f>CHOOSE(Calc!$C$3,'Snowball Engine'!AW21,'Avalanche Engine'!AW21,'My Order Engine'!AW21)</f>
        <v>9132.5300000000007</v>
      </c>
      <c r="X10" s="9">
        <f>'Minimums Engine'!AW21</f>
        <v>12667.650000000001</v>
      </c>
      <c r="Z10" t="str">
        <f>Calc!B15</f>
        <v/>
      </c>
      <c r="AA10">
        <f>IF(Calc!C15=1,IF(Debts!I12="30+ years",360,Debts!I12),0)</f>
        <v>0</v>
      </c>
      <c r="AB10" s="9">
        <f>Calc!D15</f>
        <v>0</v>
      </c>
    </row>
    <row r="11" spans="2:28" x14ac:dyDescent="0.35">
      <c r="B11" s="30" t="s">
        <v>40</v>
      </c>
      <c r="C11" s="28"/>
      <c r="D11" s="28"/>
      <c r="E11" s="28"/>
      <c r="G11" s="30" t="s">
        <v>41</v>
      </c>
      <c r="H11" s="28"/>
      <c r="I11" s="28"/>
      <c r="J11" s="28"/>
      <c r="L11" s="30" t="s">
        <v>42</v>
      </c>
      <c r="M11" s="28"/>
      <c r="N11" s="28"/>
      <c r="O11" s="28"/>
      <c r="V11" t="s">
        <v>35</v>
      </c>
      <c r="W11" s="9">
        <f>CHOOSE(Calc!$C$3,'Snowball Engine'!AW24,'Avalanche Engine'!AW24,'My Order Engine'!AW24)</f>
        <v>7091.3200000000006</v>
      </c>
      <c r="X11" s="9">
        <f>'Minimums Engine'!AW24</f>
        <v>11627.75</v>
      </c>
      <c r="Z11" t="str">
        <f>Calc!B16</f>
        <v/>
      </c>
      <c r="AA11">
        <f>IF(Calc!C16=1,IF(Debts!I13="30+ years",360,Debts!I13),0)</f>
        <v>0</v>
      </c>
      <c r="AB11" s="9">
        <f>Calc!D16</f>
        <v>0</v>
      </c>
    </row>
    <row r="12" spans="2:28" x14ac:dyDescent="0.35">
      <c r="B12" s="29">
        <f>Calc!C37</f>
        <v>2737.6400000000003</v>
      </c>
      <c r="C12" s="28"/>
      <c r="D12" s="28"/>
      <c r="E12" s="28"/>
      <c r="G12" s="29">
        <f>Calc!C40</f>
        <v>3328.4400000000014</v>
      </c>
      <c r="H12" s="28"/>
      <c r="I12" s="28"/>
      <c r="J12" s="28"/>
      <c r="L12" s="31" t="str">
        <f>Calc!C42</f>
        <v>2 yr 6 mo sooner</v>
      </c>
      <c r="M12" s="28"/>
      <c r="N12" s="28"/>
      <c r="O12" s="28"/>
      <c r="V12" t="s">
        <v>35</v>
      </c>
      <c r="W12" s="9">
        <f>CHOOSE(Calc!$C$3,'Snowball Engine'!AW27,'Avalanche Engine'!AW27,'My Order Engine'!AW27)</f>
        <v>4965.74</v>
      </c>
      <c r="X12" s="9">
        <f>'Minimums Engine'!AW27</f>
        <v>10557.29</v>
      </c>
      <c r="Z12" t="str">
        <f>Calc!B17</f>
        <v/>
      </c>
      <c r="AA12">
        <f>IF(Calc!C17=1,IF(Debts!I14="30+ years",360,Debts!I14),0)</f>
        <v>0</v>
      </c>
      <c r="AB12" s="9">
        <f>Calc!D17</f>
        <v>0</v>
      </c>
    </row>
    <row r="13" spans="2:28" x14ac:dyDescent="0.35">
      <c r="B13" s="28"/>
      <c r="C13" s="28"/>
      <c r="D13" s="28"/>
      <c r="E13" s="28"/>
      <c r="G13" s="28"/>
      <c r="H13" s="28"/>
      <c r="I13" s="28"/>
      <c r="J13" s="28"/>
      <c r="L13" s="28"/>
      <c r="M13" s="28"/>
      <c r="N13" s="28"/>
      <c r="O13" s="28"/>
      <c r="V13" t="s">
        <v>43</v>
      </c>
      <c r="W13" s="9">
        <f>CHOOSE(Calc!$C$3,'Snowball Engine'!AW30,'Avalanche Engine'!AW30,'My Order Engine'!AW30)</f>
        <v>2795.34</v>
      </c>
      <c r="X13" s="9">
        <f>'Minimums Engine'!AW30</f>
        <v>9454.98</v>
      </c>
      <c r="Z13" t="str">
        <f>Calc!B18</f>
        <v/>
      </c>
      <c r="AA13">
        <f>IF(Calc!C18=1,IF(Debts!I15="30+ years",360,Debts!I15),0)</f>
        <v>0</v>
      </c>
      <c r="AB13" s="9">
        <f>Calc!D18</f>
        <v>0</v>
      </c>
    </row>
    <row r="14" spans="2:28" x14ac:dyDescent="0.35">
      <c r="V14" t="s">
        <v>35</v>
      </c>
      <c r="W14" s="9">
        <f>CHOOSE(Calc!$C$3,'Snowball Engine'!AW33,'Avalanche Engine'!AW33,'My Order Engine'!AW33)</f>
        <v>583.99</v>
      </c>
      <c r="X14" s="9">
        <f>'Minimums Engine'!AW33</f>
        <v>8319.4599999999991</v>
      </c>
      <c r="Z14" t="str">
        <f>Calc!B19</f>
        <v/>
      </c>
      <c r="AA14">
        <f>IF(Calc!C19=1,IF(Debts!I16="30+ years",360,Debts!I16),0)</f>
        <v>0</v>
      </c>
      <c r="AB14" s="9">
        <f>Calc!D19</f>
        <v>0</v>
      </c>
    </row>
    <row r="15" spans="2:28" x14ac:dyDescent="0.35">
      <c r="B15" s="30" t="s">
        <v>44</v>
      </c>
      <c r="C15" s="28"/>
      <c r="D15" s="28"/>
      <c r="E15" s="28"/>
      <c r="G15" s="30" t="s">
        <v>45</v>
      </c>
      <c r="H15" s="28"/>
      <c r="I15" s="28"/>
      <c r="J15" s="28"/>
      <c r="L15" s="30" t="s">
        <v>46</v>
      </c>
      <c r="M15" s="28"/>
      <c r="N15" s="28"/>
      <c r="O15" s="28"/>
      <c r="V15" t="s">
        <v>35</v>
      </c>
      <c r="W15" s="9">
        <f>CHOOSE(Calc!$C$3,'Snowball Engine'!AW36,'Avalanche Engine'!AW36,'My Order Engine'!AW36)</f>
        <v>0</v>
      </c>
      <c r="X15" s="9">
        <f>'Minimums Engine'!AW36</f>
        <v>7149.25</v>
      </c>
      <c r="Z15" t="str">
        <f>Calc!B20</f>
        <v/>
      </c>
      <c r="AA15">
        <f>IF(Calc!C20=1,IF(Debts!I17="30+ years",360,Debts!I17),0)</f>
        <v>0</v>
      </c>
      <c r="AB15" s="9">
        <f>Calc!D20</f>
        <v>0</v>
      </c>
    </row>
    <row r="16" spans="2:28" x14ac:dyDescent="0.35">
      <c r="B16" s="29">
        <f>Calc!C7</f>
        <v>750</v>
      </c>
      <c r="C16" s="28"/>
      <c r="D16" s="28"/>
      <c r="E16" s="28"/>
      <c r="G16" s="31" t="str">
        <f ca="1">Calc!C43</f>
        <v>EXAMPLE: Medical bill (Dec 2026)</v>
      </c>
      <c r="H16" s="28"/>
      <c r="I16" s="28"/>
      <c r="J16" s="28"/>
      <c r="L16" s="31" t="str">
        <f>Calc!C44</f>
        <v>EXAMPLE: Store card (28.99%)</v>
      </c>
      <c r="M16" s="28"/>
      <c r="N16" s="28"/>
      <c r="O16" s="28"/>
      <c r="V16" t="s">
        <v>35</v>
      </c>
      <c r="W16" s="9">
        <f>CHOOSE(Calc!$C$3,'Snowball Engine'!AW39,'Avalanche Engine'!AW39,'My Order Engine'!AW39)</f>
        <v>0</v>
      </c>
      <c r="X16" s="9">
        <f>'Minimums Engine'!AW39</f>
        <v>5942.83</v>
      </c>
      <c r="Z16" t="str">
        <f>Calc!B21</f>
        <v/>
      </c>
      <c r="AA16">
        <f>IF(Calc!C21=1,IF(Debts!I18="30+ years",360,Debts!I18),0)</f>
        <v>0</v>
      </c>
      <c r="AB16" s="9">
        <f>Calc!D21</f>
        <v>0</v>
      </c>
    </row>
    <row r="17" spans="2:28" x14ac:dyDescent="0.35">
      <c r="B17" s="28"/>
      <c r="C17" s="28"/>
      <c r="D17" s="28"/>
      <c r="E17" s="28"/>
      <c r="G17" s="28"/>
      <c r="H17" s="28"/>
      <c r="I17" s="28"/>
      <c r="J17" s="28"/>
      <c r="L17" s="28"/>
      <c r="M17" s="28"/>
      <c r="N17" s="28"/>
      <c r="O17" s="28"/>
      <c r="V17" t="s">
        <v>47</v>
      </c>
      <c r="W17" s="9">
        <f>CHOOSE(Calc!$C$3,'Snowball Engine'!AW42,'Avalanche Engine'!AW42,'My Order Engine'!AW42)</f>
        <v>0</v>
      </c>
      <c r="X17" s="9">
        <f>'Minimums Engine'!AW42</f>
        <v>4698.59</v>
      </c>
      <c r="Z17" t="str">
        <f>Calc!B22</f>
        <v/>
      </c>
      <c r="AA17">
        <f>IF(Calc!C22=1,IF(Debts!I19="30+ years",360,Debts!I19),0)</f>
        <v>0</v>
      </c>
      <c r="AB17" s="9">
        <f>Calc!D22</f>
        <v>0</v>
      </c>
    </row>
    <row r="18" spans="2:28" x14ac:dyDescent="0.35">
      <c r="V18" t="s">
        <v>35</v>
      </c>
      <c r="W18" s="9">
        <f>CHOOSE(Calc!$C$3,'Snowball Engine'!AW45,'Avalanche Engine'!AW45,'My Order Engine'!AW45)</f>
        <v>0</v>
      </c>
      <c r="X18" s="9">
        <f>'Minimums Engine'!AW45</f>
        <v>3414.82</v>
      </c>
      <c r="Z18" t="str">
        <f>Calc!B23</f>
        <v/>
      </c>
      <c r="AA18">
        <f>IF(Calc!C23=1,IF(Debts!I20="30+ years",360,Debts!I20),0)</f>
        <v>0</v>
      </c>
      <c r="AB18" s="9">
        <f>Calc!D23</f>
        <v>0</v>
      </c>
    </row>
    <row r="19" spans="2:28" x14ac:dyDescent="0.35">
      <c r="V19" t="s">
        <v>35</v>
      </c>
      <c r="W19" s="9">
        <f>CHOOSE(Calc!$C$3,'Snowball Engine'!AW48,'Avalanche Engine'!AW48,'My Order Engine'!AW48)</f>
        <v>0</v>
      </c>
      <c r="X19" s="9">
        <f>'Minimums Engine'!AW48</f>
        <v>2355.12</v>
      </c>
      <c r="Z19" t="str">
        <f>Calc!B24</f>
        <v/>
      </c>
      <c r="AA19">
        <f>IF(Calc!C24=1,IF(Debts!I21="30+ years",360,Debts!I21),0)</f>
        <v>0</v>
      </c>
      <c r="AB19" s="9">
        <f>Calc!D24</f>
        <v>0</v>
      </c>
    </row>
    <row r="20" spans="2:28" ht="15.5" x14ac:dyDescent="0.35">
      <c r="B20" s="10" t="s">
        <v>48</v>
      </c>
      <c r="V20" t="s">
        <v>35</v>
      </c>
      <c r="W20" s="9">
        <f>CHOOSE(Calc!$C$3,'Snowball Engine'!AW51,'Avalanche Engine'!AW51,'My Order Engine'!AW51)</f>
        <v>0</v>
      </c>
      <c r="X20" s="9">
        <f>'Minimums Engine'!AW51</f>
        <v>1942.6200000000001</v>
      </c>
    </row>
    <row r="21" spans="2:28" x14ac:dyDescent="0.35">
      <c r="B21" s="33" t="s">
        <v>49</v>
      </c>
      <c r="C21" s="37"/>
      <c r="D21" s="34"/>
      <c r="E21" s="33" t="s">
        <v>50</v>
      </c>
      <c r="F21" s="34"/>
      <c r="G21" s="11" t="s">
        <v>51</v>
      </c>
      <c r="H21" s="33" t="s">
        <v>52</v>
      </c>
      <c r="I21" s="34"/>
      <c r="J21" s="33" t="s">
        <v>53</v>
      </c>
      <c r="K21" s="34"/>
      <c r="V21" t="s">
        <v>54</v>
      </c>
      <c r="W21" s="9">
        <f>CHOOSE(Calc!$C$3,'Snowball Engine'!AW54,'Avalanche Engine'!AW54,'My Order Engine'!AW54)</f>
        <v>0</v>
      </c>
      <c r="X21" s="9">
        <f>'Minimums Engine'!AW54</f>
        <v>1502.8400000000001</v>
      </c>
    </row>
    <row r="22" spans="2:28" x14ac:dyDescent="0.35">
      <c r="B22" s="26" t="str">
        <f>Calc!B30</f>
        <v>Minimums only</v>
      </c>
      <c r="C22" s="26"/>
      <c r="D22" s="26"/>
      <c r="E22" s="26" t="str">
        <f ca="1">Calc!F30</f>
        <v>Jul 2031</v>
      </c>
      <c r="F22" s="26"/>
      <c r="G22" s="12">
        <f>IF(Calc!C30=999,"360+",Calc!C30)</f>
        <v>58</v>
      </c>
      <c r="H22" s="32">
        <f>Calc!D30</f>
        <v>6066.0800000000017</v>
      </c>
      <c r="I22" s="26"/>
      <c r="J22" s="32">
        <f>IF(Calc!$C$8=0,0,Calc!$D$30-Calc!D30)</f>
        <v>0</v>
      </c>
      <c r="K22" s="26"/>
      <c r="L22" s="13" t="str">
        <f>"Your plan: "&amp;Dashboard!$C$4</f>
        <v>Your plan: Snowball (smallest balance first)</v>
      </c>
      <c r="V22" t="s">
        <v>35</v>
      </c>
      <c r="W22" s="9">
        <f>CHOOSE(Calc!$C$3,'Snowball Engine'!AW57,'Avalanche Engine'!AW57,'My Order Engine'!AW57)</f>
        <v>0</v>
      </c>
      <c r="X22" s="9">
        <f>'Minimums Engine'!AW57</f>
        <v>1033.99</v>
      </c>
      <c r="Z22" t="s">
        <v>49</v>
      </c>
      <c r="AA22" t="s">
        <v>52</v>
      </c>
    </row>
    <row r="23" spans="2:28" x14ac:dyDescent="0.35">
      <c r="B23" s="26" t="str">
        <f>Calc!B31</f>
        <v>Snowball</v>
      </c>
      <c r="C23" s="26"/>
      <c r="D23" s="26"/>
      <c r="E23" s="26" t="str">
        <f ca="1">Calc!F31</f>
        <v>Jan 2029</v>
      </c>
      <c r="F23" s="26"/>
      <c r="G23" s="12">
        <f>IF(Calc!C31=999,"360+",Calc!C31)</f>
        <v>28</v>
      </c>
      <c r="H23" s="32">
        <f>Calc!D31</f>
        <v>2737.6400000000003</v>
      </c>
      <c r="I23" s="26"/>
      <c r="J23" s="32">
        <f>IF(Calc!$C$8=0,0,Calc!$D$30-Calc!D31)</f>
        <v>3328.4400000000014</v>
      </c>
      <c r="K23" s="26"/>
      <c r="V23" t="s">
        <v>35</v>
      </c>
      <c r="W23" s="9">
        <f>CHOOSE(Calc!$C$3,'Snowball Engine'!AW60,'Avalanche Engine'!AW60,'My Order Engine'!AW60)</f>
        <v>0</v>
      </c>
      <c r="X23" s="9">
        <f>'Minimums Engine'!AW60</f>
        <v>534.11</v>
      </c>
      <c r="Z23" t="str">
        <f>Calc!B30</f>
        <v>Minimums only</v>
      </c>
      <c r="AA23" s="9">
        <f>Calc!D30</f>
        <v>6066.0800000000017</v>
      </c>
    </row>
    <row r="24" spans="2:28" x14ac:dyDescent="0.35">
      <c r="B24" s="26" t="str">
        <f>Calc!B32</f>
        <v>Avalanche</v>
      </c>
      <c r="C24" s="26"/>
      <c r="D24" s="26"/>
      <c r="E24" s="26" t="str">
        <f ca="1">Calc!F32</f>
        <v>Jan 2029</v>
      </c>
      <c r="F24" s="26"/>
      <c r="G24" s="12">
        <f>IF(Calc!C32=999,"360+",Calc!C32)</f>
        <v>28</v>
      </c>
      <c r="H24" s="32">
        <f>Calc!D32</f>
        <v>2630.62</v>
      </c>
      <c r="I24" s="26"/>
      <c r="J24" s="32">
        <f>IF(Calc!$C$8=0,0,Calc!$D$30-Calc!D32)</f>
        <v>3435.4600000000019</v>
      </c>
      <c r="K24" s="26"/>
      <c r="V24" t="s">
        <v>35</v>
      </c>
      <c r="W24" s="9">
        <f>CHOOSE(Calc!$C$3,'Snowball Engine'!AW63,'Avalanche Engine'!AW63,'My Order Engine'!AW63)</f>
        <v>0</v>
      </c>
      <c r="X24" s="9">
        <f>'Minimums Engine'!AW63</f>
        <v>122.32</v>
      </c>
      <c r="Z24" t="str">
        <f>Calc!B31</f>
        <v>Snowball</v>
      </c>
      <c r="AA24" s="9">
        <f>Calc!D31</f>
        <v>2737.6400000000003</v>
      </c>
    </row>
    <row r="25" spans="2:28" x14ac:dyDescent="0.35">
      <c r="B25" s="26" t="str">
        <f>Calc!B33</f>
        <v>My order</v>
      </c>
      <c r="C25" s="26"/>
      <c r="D25" s="26"/>
      <c r="E25" s="26" t="str">
        <f ca="1">Calc!F33</f>
        <v>Jan 2029</v>
      </c>
      <c r="F25" s="26"/>
      <c r="G25" s="12">
        <f>IF(Calc!C33=999,"360+",Calc!C33)</f>
        <v>28</v>
      </c>
      <c r="H25" s="32">
        <f>Calc!D33</f>
        <v>2696.56</v>
      </c>
      <c r="I25" s="26"/>
      <c r="J25" s="32">
        <f>IF(Calc!$C$8=0,0,Calc!$D$30-Calc!D33)</f>
        <v>3369.5200000000018</v>
      </c>
      <c r="K25" s="26"/>
      <c r="V25" t="s">
        <v>55</v>
      </c>
      <c r="W25" s="9">
        <f>CHOOSE(Calc!$C$3,'Snowball Engine'!AW66,'Avalanche Engine'!AW66,'My Order Engine'!AW66)</f>
        <v>0</v>
      </c>
      <c r="X25" s="9">
        <f>'Minimums Engine'!AW66</f>
        <v>0</v>
      </c>
      <c r="Z25" t="str">
        <f>Calc!B32</f>
        <v>Avalanche</v>
      </c>
      <c r="AA25" s="9">
        <f>Calc!D32</f>
        <v>2630.62</v>
      </c>
    </row>
    <row r="26" spans="2:28" x14ac:dyDescent="0.35">
      <c r="B26" s="7" t="s">
        <v>56</v>
      </c>
      <c r="V26" t="s">
        <v>35</v>
      </c>
      <c r="W26" s="9">
        <f>CHOOSE(Calc!$C$3,'Snowball Engine'!AW69,'Avalanche Engine'!AW69,'My Order Engine'!AW69)</f>
        <v>0</v>
      </c>
      <c r="X26" s="9">
        <f>'Minimums Engine'!AW69</f>
        <v>0</v>
      </c>
      <c r="Z26" t="str">
        <f>Calc!B33</f>
        <v>My order</v>
      </c>
      <c r="AA26" s="9">
        <f>Calc!D33</f>
        <v>2696.56</v>
      </c>
    </row>
    <row r="27" spans="2:28" x14ac:dyDescent="0.35">
      <c r="V27" t="s">
        <v>35</v>
      </c>
      <c r="W27" s="9">
        <f>CHOOSE(Calc!$C$3,'Snowball Engine'!AW72,'Avalanche Engine'!AW72,'My Order Engine'!AW72)</f>
        <v>0</v>
      </c>
      <c r="X27" s="9">
        <f>'Minimums Engine'!AW72</f>
        <v>0</v>
      </c>
    </row>
    <row r="28" spans="2:28" x14ac:dyDescent="0.35">
      <c r="V28" t="s">
        <v>35</v>
      </c>
      <c r="W28" s="9">
        <f>CHOOSE(Calc!$C$3,'Snowball Engine'!AW75,'Avalanche Engine'!AW75,'My Order Engine'!AW75)</f>
        <v>0</v>
      </c>
      <c r="X28" s="9">
        <f>'Minimums Engine'!AW75</f>
        <v>0</v>
      </c>
      <c r="Z28" t="s">
        <v>57</v>
      </c>
      <c r="AA28" t="s">
        <v>58</v>
      </c>
    </row>
    <row r="29" spans="2:28" x14ac:dyDescent="0.35">
      <c r="V29" t="s">
        <v>59</v>
      </c>
      <c r="W29" s="9">
        <f>CHOOSE(Calc!$C$3,'Snowball Engine'!AW78,'Avalanche Engine'!AW78,'My Order Engine'!AW78)</f>
        <v>0</v>
      </c>
      <c r="X29" s="9">
        <f>'Minimums Engine'!AW78</f>
        <v>0</v>
      </c>
      <c r="Z29" t="s">
        <v>60</v>
      </c>
      <c r="AA29" s="9">
        <f>Calc!C9</f>
        <v>18100</v>
      </c>
    </row>
    <row r="30" spans="2:28" x14ac:dyDescent="0.35">
      <c r="V30" t="s">
        <v>35</v>
      </c>
      <c r="W30" s="9">
        <f>CHOOSE(Calc!$C$3,'Snowball Engine'!AW81,'Avalanche Engine'!AW81,'My Order Engine'!AW81)</f>
        <v>0</v>
      </c>
      <c r="X30" s="9">
        <f>'Minimums Engine'!AW81</f>
        <v>0</v>
      </c>
      <c r="Z30" t="s">
        <v>61</v>
      </c>
      <c r="AA30" s="9">
        <f>MAX(0,Calc!C37)</f>
        <v>2737.6400000000003</v>
      </c>
    </row>
    <row r="31" spans="2:28" x14ac:dyDescent="0.35">
      <c r="V31" t="s">
        <v>35</v>
      </c>
      <c r="W31" s="9">
        <f>CHOOSE(Calc!$C$3,'Snowball Engine'!AW84,'Avalanche Engine'!AW84,'My Order Engine'!AW84)</f>
        <v>0</v>
      </c>
      <c r="X31" s="9">
        <f>'Minimums Engine'!AW84</f>
        <v>0</v>
      </c>
    </row>
    <row r="32" spans="2:28" x14ac:dyDescent="0.35">
      <c r="V32" t="s">
        <v>35</v>
      </c>
      <c r="W32" s="9">
        <f>CHOOSE(Calc!$C$3,'Snowball Engine'!AW87,'Avalanche Engine'!AW87,'My Order Engine'!AW87)</f>
        <v>0</v>
      </c>
      <c r="X32" s="9">
        <f>'Minimums Engine'!AW87</f>
        <v>0</v>
      </c>
    </row>
    <row r="33" spans="22:24" x14ac:dyDescent="0.35">
      <c r="V33" t="s">
        <v>62</v>
      </c>
      <c r="W33" s="9">
        <f>CHOOSE(Calc!$C$3,'Snowball Engine'!AW90,'Avalanche Engine'!AW90,'My Order Engine'!AW90)</f>
        <v>0</v>
      </c>
      <c r="X33" s="9">
        <f>'Minimums Engine'!AW90</f>
        <v>0</v>
      </c>
    </row>
    <row r="34" spans="22:24" x14ac:dyDescent="0.35">
      <c r="V34" t="s">
        <v>35</v>
      </c>
      <c r="W34" s="9">
        <f>CHOOSE(Calc!$C$3,'Snowball Engine'!AW93,'Avalanche Engine'!AW93,'My Order Engine'!AW93)</f>
        <v>0</v>
      </c>
      <c r="X34" s="9">
        <f>'Minimums Engine'!AW93</f>
        <v>0</v>
      </c>
    </row>
    <row r="35" spans="22:24" x14ac:dyDescent="0.35">
      <c r="V35" t="s">
        <v>35</v>
      </c>
      <c r="W35" s="9">
        <f>CHOOSE(Calc!$C$3,'Snowball Engine'!AW96,'Avalanche Engine'!AW96,'My Order Engine'!AW96)</f>
        <v>0</v>
      </c>
      <c r="X35" s="9">
        <f>'Minimums Engine'!AW96</f>
        <v>0</v>
      </c>
    </row>
    <row r="36" spans="22:24" x14ac:dyDescent="0.35">
      <c r="V36" t="s">
        <v>35</v>
      </c>
      <c r="W36" s="9">
        <f>CHOOSE(Calc!$C$3,'Snowball Engine'!AW99,'Avalanche Engine'!AW99,'My Order Engine'!AW99)</f>
        <v>0</v>
      </c>
      <c r="X36" s="9">
        <f>'Minimums Engine'!AW99</f>
        <v>0</v>
      </c>
    </row>
    <row r="37" spans="22:24" x14ac:dyDescent="0.35">
      <c r="V37" t="s">
        <v>63</v>
      </c>
      <c r="W37" s="9">
        <f>CHOOSE(Calc!$C$3,'Snowball Engine'!AW102,'Avalanche Engine'!AW102,'My Order Engine'!AW102)</f>
        <v>0</v>
      </c>
      <c r="X37" s="9">
        <f>'Minimums Engine'!AW102</f>
        <v>0</v>
      </c>
    </row>
    <row r="38" spans="22:24" x14ac:dyDescent="0.35">
      <c r="V38" t="s">
        <v>35</v>
      </c>
      <c r="W38" s="9">
        <f>CHOOSE(Calc!$C$3,'Snowball Engine'!AW105,'Avalanche Engine'!AW105,'My Order Engine'!AW105)</f>
        <v>0</v>
      </c>
      <c r="X38" s="9">
        <f>'Minimums Engine'!AW105</f>
        <v>0</v>
      </c>
    </row>
    <row r="39" spans="22:24" x14ac:dyDescent="0.35">
      <c r="V39" t="s">
        <v>35</v>
      </c>
      <c r="W39" s="9">
        <f>CHOOSE(Calc!$C$3,'Snowball Engine'!AW108,'Avalanche Engine'!AW108,'My Order Engine'!AW108)</f>
        <v>0</v>
      </c>
      <c r="X39" s="9">
        <f>'Minimums Engine'!AW108</f>
        <v>0</v>
      </c>
    </row>
    <row r="40" spans="22:24" x14ac:dyDescent="0.35">
      <c r="V40" t="s">
        <v>35</v>
      </c>
      <c r="W40" s="9">
        <f>CHOOSE(Calc!$C$3,'Snowball Engine'!AW111,'Avalanche Engine'!AW111,'My Order Engine'!AW111)</f>
        <v>0</v>
      </c>
      <c r="X40" s="9">
        <f>'Minimums Engine'!AW111</f>
        <v>0</v>
      </c>
    </row>
    <row r="41" spans="22:24" x14ac:dyDescent="0.35">
      <c r="V41" t="s">
        <v>64</v>
      </c>
      <c r="W41" s="9">
        <f>CHOOSE(Calc!$C$3,'Snowball Engine'!AW114,'Avalanche Engine'!AW114,'My Order Engine'!AW114)</f>
        <v>0</v>
      </c>
      <c r="X41" s="9">
        <f>'Minimums Engine'!AW114</f>
        <v>0</v>
      </c>
    </row>
    <row r="42" spans="22:24" x14ac:dyDescent="0.35">
      <c r="V42" t="s">
        <v>35</v>
      </c>
      <c r="W42" s="9">
        <f>CHOOSE(Calc!$C$3,'Snowball Engine'!AW117,'Avalanche Engine'!AW117,'My Order Engine'!AW117)</f>
        <v>0</v>
      </c>
      <c r="X42" s="9">
        <f>'Minimums Engine'!AW117</f>
        <v>0</v>
      </c>
    </row>
    <row r="43" spans="22:24" x14ac:dyDescent="0.35">
      <c r="V43" t="s">
        <v>35</v>
      </c>
      <c r="W43" s="9">
        <f>CHOOSE(Calc!$C$3,'Snowball Engine'!AW120,'Avalanche Engine'!AW120,'My Order Engine'!AW120)</f>
        <v>0</v>
      </c>
      <c r="X43" s="9">
        <f>'Minimums Engine'!AW120</f>
        <v>0</v>
      </c>
    </row>
    <row r="44" spans="22:24" x14ac:dyDescent="0.35">
      <c r="V44" t="s">
        <v>35</v>
      </c>
      <c r="W44" s="9">
        <f>CHOOSE(Calc!$C$3,'Snowball Engine'!AW123,'Avalanche Engine'!AW123,'My Order Engine'!AW123)</f>
        <v>0</v>
      </c>
      <c r="X44" s="9">
        <f>'Minimums Engine'!AW123</f>
        <v>0</v>
      </c>
    </row>
    <row r="45" spans="22:24" x14ac:dyDescent="0.35">
      <c r="V45" t="s">
        <v>65</v>
      </c>
      <c r="W45" s="9">
        <f>CHOOSE(Calc!$C$3,'Snowball Engine'!AW126,'Avalanche Engine'!AW126,'My Order Engine'!AW126)</f>
        <v>0</v>
      </c>
      <c r="X45" s="9">
        <f>'Minimums Engine'!AW126</f>
        <v>0</v>
      </c>
    </row>
    <row r="46" spans="22:24" x14ac:dyDescent="0.35">
      <c r="V46" t="s">
        <v>35</v>
      </c>
      <c r="W46" s="9">
        <f>CHOOSE(Calc!$C$3,'Snowball Engine'!AW129,'Avalanche Engine'!AW129,'My Order Engine'!AW129)</f>
        <v>0</v>
      </c>
      <c r="X46" s="9">
        <f>'Minimums Engine'!AW129</f>
        <v>0</v>
      </c>
    </row>
    <row r="47" spans="22:24" x14ac:dyDescent="0.35">
      <c r="V47" t="s">
        <v>35</v>
      </c>
      <c r="W47" s="9">
        <f>CHOOSE(Calc!$C$3,'Snowball Engine'!AW132,'Avalanche Engine'!AW132,'My Order Engine'!AW132)</f>
        <v>0</v>
      </c>
      <c r="X47" s="9">
        <f>'Minimums Engine'!AW132</f>
        <v>0</v>
      </c>
    </row>
    <row r="48" spans="22:24" x14ac:dyDescent="0.35">
      <c r="V48" t="s">
        <v>35</v>
      </c>
      <c r="W48" s="9">
        <f>CHOOSE(Calc!$C$3,'Snowball Engine'!AW135,'Avalanche Engine'!AW135,'My Order Engine'!AW135)</f>
        <v>0</v>
      </c>
      <c r="X48" s="9">
        <f>'Minimums Engine'!AW135</f>
        <v>0</v>
      </c>
    </row>
    <row r="49" spans="22:24" x14ac:dyDescent="0.35">
      <c r="V49" t="s">
        <v>66</v>
      </c>
      <c r="W49" s="9">
        <f>CHOOSE(Calc!$C$3,'Snowball Engine'!AW138,'Avalanche Engine'!AW138,'My Order Engine'!AW138)</f>
        <v>0</v>
      </c>
      <c r="X49" s="9">
        <f>'Minimums Engine'!AW138</f>
        <v>0</v>
      </c>
    </row>
    <row r="50" spans="22:24" x14ac:dyDescent="0.35">
      <c r="V50" t="s">
        <v>35</v>
      </c>
      <c r="W50" s="9">
        <f>CHOOSE(Calc!$C$3,'Snowball Engine'!AW141,'Avalanche Engine'!AW141,'My Order Engine'!AW141)</f>
        <v>0</v>
      </c>
      <c r="X50" s="9">
        <f>'Minimums Engine'!AW141</f>
        <v>0</v>
      </c>
    </row>
    <row r="51" spans="22:24" x14ac:dyDescent="0.35">
      <c r="V51" t="s">
        <v>35</v>
      </c>
      <c r="W51" s="9">
        <f>CHOOSE(Calc!$C$3,'Snowball Engine'!AW144,'Avalanche Engine'!AW144,'My Order Engine'!AW144)</f>
        <v>0</v>
      </c>
      <c r="X51" s="9">
        <f>'Minimums Engine'!AW144</f>
        <v>0</v>
      </c>
    </row>
    <row r="52" spans="22:24" x14ac:dyDescent="0.35">
      <c r="V52" t="s">
        <v>35</v>
      </c>
      <c r="W52" s="9">
        <f>CHOOSE(Calc!$C$3,'Snowball Engine'!AW147,'Avalanche Engine'!AW147,'My Order Engine'!AW147)</f>
        <v>0</v>
      </c>
      <c r="X52" s="9">
        <f>'Minimums Engine'!AW147</f>
        <v>0</v>
      </c>
    </row>
    <row r="53" spans="22:24" x14ac:dyDescent="0.35">
      <c r="V53" t="s">
        <v>67</v>
      </c>
      <c r="W53" s="9">
        <f>CHOOSE(Calc!$C$3,'Snowball Engine'!AW150,'Avalanche Engine'!AW150,'My Order Engine'!AW150)</f>
        <v>0</v>
      </c>
      <c r="X53" s="9">
        <f>'Minimums Engine'!AW150</f>
        <v>0</v>
      </c>
    </row>
    <row r="54" spans="22:24" x14ac:dyDescent="0.35">
      <c r="V54" t="s">
        <v>35</v>
      </c>
      <c r="W54" s="9">
        <f>CHOOSE(Calc!$C$3,'Snowball Engine'!AW153,'Avalanche Engine'!AW153,'My Order Engine'!AW153)</f>
        <v>0</v>
      </c>
      <c r="X54" s="9">
        <f>'Minimums Engine'!AW153</f>
        <v>0</v>
      </c>
    </row>
    <row r="55" spans="22:24" x14ac:dyDescent="0.35">
      <c r="V55" t="s">
        <v>35</v>
      </c>
      <c r="W55" s="9">
        <f>CHOOSE(Calc!$C$3,'Snowball Engine'!AW156,'Avalanche Engine'!AW156,'My Order Engine'!AW156)</f>
        <v>0</v>
      </c>
      <c r="X55" s="9">
        <f>'Minimums Engine'!AW156</f>
        <v>0</v>
      </c>
    </row>
    <row r="56" spans="22:24" x14ac:dyDescent="0.35">
      <c r="V56" t="s">
        <v>35</v>
      </c>
      <c r="W56" s="9">
        <f>CHOOSE(Calc!$C$3,'Snowball Engine'!AW159,'Avalanche Engine'!AW159,'My Order Engine'!AW159)</f>
        <v>0</v>
      </c>
      <c r="X56" s="9">
        <f>'Minimums Engine'!AW159</f>
        <v>0</v>
      </c>
    </row>
    <row r="57" spans="22:24" x14ac:dyDescent="0.35">
      <c r="V57" t="s">
        <v>68</v>
      </c>
      <c r="W57" s="9">
        <f>CHOOSE(Calc!$C$3,'Snowball Engine'!AW162,'Avalanche Engine'!AW162,'My Order Engine'!AW162)</f>
        <v>0</v>
      </c>
      <c r="X57" s="9">
        <f>'Minimums Engine'!AW162</f>
        <v>0</v>
      </c>
    </row>
    <row r="58" spans="22:24" x14ac:dyDescent="0.35">
      <c r="V58" t="s">
        <v>35</v>
      </c>
      <c r="W58" s="9">
        <f>CHOOSE(Calc!$C$3,'Snowball Engine'!AW165,'Avalanche Engine'!AW165,'My Order Engine'!AW165)</f>
        <v>0</v>
      </c>
      <c r="X58" s="9">
        <f>'Minimums Engine'!AW165</f>
        <v>0</v>
      </c>
    </row>
    <row r="59" spans="22:24" x14ac:dyDescent="0.35">
      <c r="V59" t="s">
        <v>35</v>
      </c>
      <c r="W59" s="9">
        <f>CHOOSE(Calc!$C$3,'Snowball Engine'!AW168,'Avalanche Engine'!AW168,'My Order Engine'!AW168)</f>
        <v>0</v>
      </c>
      <c r="X59" s="9">
        <f>'Minimums Engine'!AW168</f>
        <v>0</v>
      </c>
    </row>
    <row r="60" spans="22:24" x14ac:dyDescent="0.35">
      <c r="V60" t="s">
        <v>35</v>
      </c>
      <c r="W60" s="9">
        <f>CHOOSE(Calc!$C$3,'Snowball Engine'!AW171,'Avalanche Engine'!AW171,'My Order Engine'!AW171)</f>
        <v>0</v>
      </c>
      <c r="X60" s="9">
        <f>'Minimums Engine'!AW171</f>
        <v>0</v>
      </c>
    </row>
    <row r="61" spans="22:24" x14ac:dyDescent="0.35">
      <c r="V61" t="s">
        <v>69</v>
      </c>
      <c r="W61" s="9">
        <f>CHOOSE(Calc!$C$3,'Snowball Engine'!AW174,'Avalanche Engine'!AW174,'My Order Engine'!AW174)</f>
        <v>0</v>
      </c>
      <c r="X61" s="9">
        <f>'Minimums Engine'!AW174</f>
        <v>0</v>
      </c>
    </row>
    <row r="62" spans="22:24" x14ac:dyDescent="0.35">
      <c r="V62" t="s">
        <v>35</v>
      </c>
      <c r="W62" s="9">
        <f>CHOOSE(Calc!$C$3,'Snowball Engine'!AW177,'Avalanche Engine'!AW177,'My Order Engine'!AW177)</f>
        <v>0</v>
      </c>
      <c r="X62" s="9">
        <f>'Minimums Engine'!AW177</f>
        <v>0</v>
      </c>
    </row>
    <row r="63" spans="22:24" x14ac:dyDescent="0.35">
      <c r="V63" t="s">
        <v>35</v>
      </c>
      <c r="W63" s="9">
        <f>CHOOSE(Calc!$C$3,'Snowball Engine'!AW180,'Avalanche Engine'!AW180,'My Order Engine'!AW180)</f>
        <v>0</v>
      </c>
      <c r="X63" s="9">
        <f>'Minimums Engine'!AW180</f>
        <v>0</v>
      </c>
    </row>
    <row r="64" spans="22:24" x14ac:dyDescent="0.35">
      <c r="V64" t="s">
        <v>35</v>
      </c>
      <c r="W64" s="9">
        <f>CHOOSE(Calc!$C$3,'Snowball Engine'!AW183,'Avalanche Engine'!AW183,'My Order Engine'!AW183)</f>
        <v>0</v>
      </c>
      <c r="X64" s="9">
        <f>'Minimums Engine'!AW183</f>
        <v>0</v>
      </c>
    </row>
    <row r="65" spans="22:24" x14ac:dyDescent="0.35">
      <c r="V65" t="s">
        <v>70</v>
      </c>
      <c r="W65" s="9">
        <f>CHOOSE(Calc!$C$3,'Snowball Engine'!AW186,'Avalanche Engine'!AW186,'My Order Engine'!AW186)</f>
        <v>0</v>
      </c>
      <c r="X65" s="9">
        <f>'Minimums Engine'!AW186</f>
        <v>0</v>
      </c>
    </row>
    <row r="66" spans="22:24" x14ac:dyDescent="0.35">
      <c r="V66" t="s">
        <v>35</v>
      </c>
      <c r="W66" s="9">
        <f>CHOOSE(Calc!$C$3,'Snowball Engine'!AW189,'Avalanche Engine'!AW189,'My Order Engine'!AW189)</f>
        <v>0</v>
      </c>
      <c r="X66" s="9">
        <f>'Minimums Engine'!AW189</f>
        <v>0</v>
      </c>
    </row>
    <row r="67" spans="22:24" x14ac:dyDescent="0.35">
      <c r="V67" t="s">
        <v>35</v>
      </c>
      <c r="W67" s="9">
        <f>CHOOSE(Calc!$C$3,'Snowball Engine'!AW192,'Avalanche Engine'!AW192,'My Order Engine'!AW192)</f>
        <v>0</v>
      </c>
      <c r="X67" s="9">
        <f>'Minimums Engine'!AW192</f>
        <v>0</v>
      </c>
    </row>
    <row r="68" spans="22:24" x14ac:dyDescent="0.35">
      <c r="V68" t="s">
        <v>35</v>
      </c>
      <c r="W68" s="9">
        <f>CHOOSE(Calc!$C$3,'Snowball Engine'!AW195,'Avalanche Engine'!AW195,'My Order Engine'!AW195)</f>
        <v>0</v>
      </c>
      <c r="X68" s="9">
        <f>'Minimums Engine'!AW195</f>
        <v>0</v>
      </c>
    </row>
    <row r="69" spans="22:24" x14ac:dyDescent="0.35">
      <c r="V69" t="s">
        <v>71</v>
      </c>
      <c r="W69" s="9">
        <f>CHOOSE(Calc!$C$3,'Snowball Engine'!AW198,'Avalanche Engine'!AW198,'My Order Engine'!AW198)</f>
        <v>0</v>
      </c>
      <c r="X69" s="9">
        <f>'Minimums Engine'!AW198</f>
        <v>0</v>
      </c>
    </row>
    <row r="70" spans="22:24" x14ac:dyDescent="0.35">
      <c r="V70" t="s">
        <v>35</v>
      </c>
      <c r="W70" s="9">
        <f>CHOOSE(Calc!$C$3,'Snowball Engine'!AW201,'Avalanche Engine'!AW201,'My Order Engine'!AW201)</f>
        <v>0</v>
      </c>
      <c r="X70" s="9">
        <f>'Minimums Engine'!AW201</f>
        <v>0</v>
      </c>
    </row>
    <row r="71" spans="22:24" x14ac:dyDescent="0.35">
      <c r="V71" t="s">
        <v>35</v>
      </c>
      <c r="W71" s="9">
        <f>CHOOSE(Calc!$C$3,'Snowball Engine'!AW204,'Avalanche Engine'!AW204,'My Order Engine'!AW204)</f>
        <v>0</v>
      </c>
      <c r="X71" s="9">
        <f>'Minimums Engine'!AW204</f>
        <v>0</v>
      </c>
    </row>
    <row r="72" spans="22:24" x14ac:dyDescent="0.35">
      <c r="V72" t="s">
        <v>35</v>
      </c>
      <c r="W72" s="9">
        <f>CHOOSE(Calc!$C$3,'Snowball Engine'!AW207,'Avalanche Engine'!AW207,'My Order Engine'!AW207)</f>
        <v>0</v>
      </c>
      <c r="X72" s="9">
        <f>'Minimums Engine'!AW207</f>
        <v>0</v>
      </c>
    </row>
    <row r="73" spans="22:24" x14ac:dyDescent="0.35">
      <c r="V73" t="s">
        <v>72</v>
      </c>
      <c r="W73" s="9">
        <f>CHOOSE(Calc!$C$3,'Snowball Engine'!AW210,'Avalanche Engine'!AW210,'My Order Engine'!AW210)</f>
        <v>0</v>
      </c>
      <c r="X73" s="9">
        <f>'Minimums Engine'!AW210</f>
        <v>0</v>
      </c>
    </row>
    <row r="74" spans="22:24" x14ac:dyDescent="0.35">
      <c r="V74" t="s">
        <v>35</v>
      </c>
      <c r="W74" s="9">
        <f>CHOOSE(Calc!$C$3,'Snowball Engine'!AW213,'Avalanche Engine'!AW213,'My Order Engine'!AW213)</f>
        <v>0</v>
      </c>
      <c r="X74" s="9">
        <f>'Minimums Engine'!AW213</f>
        <v>0</v>
      </c>
    </row>
    <row r="75" spans="22:24" x14ac:dyDescent="0.35">
      <c r="V75" t="s">
        <v>35</v>
      </c>
      <c r="W75" s="9">
        <f>CHOOSE(Calc!$C$3,'Snowball Engine'!AW216,'Avalanche Engine'!AW216,'My Order Engine'!AW216)</f>
        <v>0</v>
      </c>
      <c r="X75" s="9">
        <f>'Minimums Engine'!AW216</f>
        <v>0</v>
      </c>
    </row>
    <row r="76" spans="22:24" x14ac:dyDescent="0.35">
      <c r="V76" t="s">
        <v>35</v>
      </c>
      <c r="W76" s="9">
        <f>CHOOSE(Calc!$C$3,'Snowball Engine'!AW219,'Avalanche Engine'!AW219,'My Order Engine'!AW219)</f>
        <v>0</v>
      </c>
      <c r="X76" s="9">
        <f>'Minimums Engine'!AW219</f>
        <v>0</v>
      </c>
    </row>
    <row r="77" spans="22:24" x14ac:dyDescent="0.35">
      <c r="V77" t="s">
        <v>73</v>
      </c>
      <c r="W77" s="9">
        <f>CHOOSE(Calc!$C$3,'Snowball Engine'!AW222,'Avalanche Engine'!AW222,'My Order Engine'!AW222)</f>
        <v>0</v>
      </c>
      <c r="X77" s="9">
        <f>'Minimums Engine'!AW222</f>
        <v>0</v>
      </c>
    </row>
    <row r="78" spans="22:24" x14ac:dyDescent="0.35">
      <c r="V78" t="s">
        <v>35</v>
      </c>
      <c r="W78" s="9">
        <f>CHOOSE(Calc!$C$3,'Snowball Engine'!AW225,'Avalanche Engine'!AW225,'My Order Engine'!AW225)</f>
        <v>0</v>
      </c>
      <c r="X78" s="9">
        <f>'Minimums Engine'!AW225</f>
        <v>0</v>
      </c>
    </row>
    <row r="79" spans="22:24" x14ac:dyDescent="0.35">
      <c r="V79" t="s">
        <v>35</v>
      </c>
      <c r="W79" s="9">
        <f>CHOOSE(Calc!$C$3,'Snowball Engine'!AW228,'Avalanche Engine'!AW228,'My Order Engine'!AW228)</f>
        <v>0</v>
      </c>
      <c r="X79" s="9">
        <f>'Minimums Engine'!AW228</f>
        <v>0</v>
      </c>
    </row>
    <row r="80" spans="22:24" x14ac:dyDescent="0.35">
      <c r="V80" t="s">
        <v>35</v>
      </c>
      <c r="W80" s="9">
        <f>CHOOSE(Calc!$C$3,'Snowball Engine'!AW231,'Avalanche Engine'!AW231,'My Order Engine'!AW231)</f>
        <v>0</v>
      </c>
      <c r="X80" s="9">
        <f>'Minimums Engine'!AW231</f>
        <v>0</v>
      </c>
    </row>
    <row r="81" spans="22:24" x14ac:dyDescent="0.35">
      <c r="V81" t="s">
        <v>74</v>
      </c>
      <c r="W81" s="9">
        <f>CHOOSE(Calc!$C$3,'Snowball Engine'!AW234,'Avalanche Engine'!AW234,'My Order Engine'!AW234)</f>
        <v>0</v>
      </c>
      <c r="X81" s="9">
        <f>'Minimums Engine'!AW234</f>
        <v>0</v>
      </c>
    </row>
    <row r="82" spans="22:24" x14ac:dyDescent="0.35">
      <c r="V82" t="s">
        <v>35</v>
      </c>
      <c r="W82" s="9">
        <f>CHOOSE(Calc!$C$3,'Snowball Engine'!AW237,'Avalanche Engine'!AW237,'My Order Engine'!AW237)</f>
        <v>0</v>
      </c>
      <c r="X82" s="9">
        <f>'Minimums Engine'!AW237</f>
        <v>0</v>
      </c>
    </row>
    <row r="83" spans="22:24" x14ac:dyDescent="0.35">
      <c r="V83" t="s">
        <v>35</v>
      </c>
      <c r="W83" s="9">
        <f>CHOOSE(Calc!$C$3,'Snowball Engine'!AW240,'Avalanche Engine'!AW240,'My Order Engine'!AW240)</f>
        <v>0</v>
      </c>
      <c r="X83" s="9">
        <f>'Minimums Engine'!AW240</f>
        <v>0</v>
      </c>
    </row>
    <row r="84" spans="22:24" x14ac:dyDescent="0.35">
      <c r="V84" t="s">
        <v>35</v>
      </c>
      <c r="W84" s="9">
        <f>CHOOSE(Calc!$C$3,'Snowball Engine'!AW243,'Avalanche Engine'!AW243,'My Order Engine'!AW243)</f>
        <v>0</v>
      </c>
      <c r="X84" s="9">
        <f>'Minimums Engine'!AW243</f>
        <v>0</v>
      </c>
    </row>
    <row r="85" spans="22:24" x14ac:dyDescent="0.35">
      <c r="V85" t="s">
        <v>75</v>
      </c>
      <c r="W85" s="9">
        <f>CHOOSE(Calc!$C$3,'Snowball Engine'!AW246,'Avalanche Engine'!AW246,'My Order Engine'!AW246)</f>
        <v>0</v>
      </c>
      <c r="X85" s="9">
        <f>'Minimums Engine'!AW246</f>
        <v>0</v>
      </c>
    </row>
    <row r="86" spans="22:24" x14ac:dyDescent="0.35">
      <c r="V86" t="s">
        <v>35</v>
      </c>
      <c r="W86" s="9">
        <f>CHOOSE(Calc!$C$3,'Snowball Engine'!AW249,'Avalanche Engine'!AW249,'My Order Engine'!AW249)</f>
        <v>0</v>
      </c>
      <c r="X86" s="9">
        <f>'Minimums Engine'!AW249</f>
        <v>0</v>
      </c>
    </row>
    <row r="87" spans="22:24" x14ac:dyDescent="0.35">
      <c r="V87" t="s">
        <v>35</v>
      </c>
      <c r="W87" s="9">
        <f>CHOOSE(Calc!$C$3,'Snowball Engine'!AW252,'Avalanche Engine'!AW252,'My Order Engine'!AW252)</f>
        <v>0</v>
      </c>
      <c r="X87" s="9">
        <f>'Minimums Engine'!AW252</f>
        <v>0</v>
      </c>
    </row>
    <row r="88" spans="22:24" x14ac:dyDescent="0.35">
      <c r="V88" t="s">
        <v>35</v>
      </c>
      <c r="W88" s="9">
        <f>CHOOSE(Calc!$C$3,'Snowball Engine'!AW255,'Avalanche Engine'!AW255,'My Order Engine'!AW255)</f>
        <v>0</v>
      </c>
      <c r="X88" s="9">
        <f>'Minimums Engine'!AW255</f>
        <v>0</v>
      </c>
    </row>
    <row r="89" spans="22:24" x14ac:dyDescent="0.35">
      <c r="V89" t="s">
        <v>76</v>
      </c>
      <c r="W89" s="9">
        <f>CHOOSE(Calc!$C$3,'Snowball Engine'!AW258,'Avalanche Engine'!AW258,'My Order Engine'!AW258)</f>
        <v>0</v>
      </c>
      <c r="X89" s="9">
        <f>'Minimums Engine'!AW258</f>
        <v>0</v>
      </c>
    </row>
    <row r="90" spans="22:24" x14ac:dyDescent="0.35">
      <c r="V90" t="s">
        <v>35</v>
      </c>
      <c r="W90" s="9">
        <f>CHOOSE(Calc!$C$3,'Snowball Engine'!AW261,'Avalanche Engine'!AW261,'My Order Engine'!AW261)</f>
        <v>0</v>
      </c>
      <c r="X90" s="9">
        <f>'Minimums Engine'!AW261</f>
        <v>0</v>
      </c>
    </row>
    <row r="91" spans="22:24" x14ac:dyDescent="0.35">
      <c r="V91" t="s">
        <v>35</v>
      </c>
      <c r="W91" s="9">
        <f>CHOOSE(Calc!$C$3,'Snowball Engine'!AW264,'Avalanche Engine'!AW264,'My Order Engine'!AW264)</f>
        <v>0</v>
      </c>
      <c r="X91" s="9">
        <f>'Minimums Engine'!AW264</f>
        <v>0</v>
      </c>
    </row>
    <row r="92" spans="22:24" x14ac:dyDescent="0.35">
      <c r="V92" t="s">
        <v>35</v>
      </c>
      <c r="W92" s="9">
        <f>CHOOSE(Calc!$C$3,'Snowball Engine'!AW267,'Avalanche Engine'!AW267,'My Order Engine'!AW267)</f>
        <v>0</v>
      </c>
      <c r="X92" s="9">
        <f>'Minimums Engine'!AW267</f>
        <v>0</v>
      </c>
    </row>
    <row r="93" spans="22:24" x14ac:dyDescent="0.35">
      <c r="V93" t="s">
        <v>77</v>
      </c>
      <c r="W93" s="9">
        <f>CHOOSE(Calc!$C$3,'Snowball Engine'!AW270,'Avalanche Engine'!AW270,'My Order Engine'!AW270)</f>
        <v>0</v>
      </c>
      <c r="X93" s="9">
        <f>'Minimums Engine'!AW270</f>
        <v>0</v>
      </c>
    </row>
    <row r="94" spans="22:24" x14ac:dyDescent="0.35">
      <c r="V94" t="s">
        <v>35</v>
      </c>
      <c r="W94" s="9">
        <f>CHOOSE(Calc!$C$3,'Snowball Engine'!AW273,'Avalanche Engine'!AW273,'My Order Engine'!AW273)</f>
        <v>0</v>
      </c>
      <c r="X94" s="9">
        <f>'Minimums Engine'!AW273</f>
        <v>0</v>
      </c>
    </row>
    <row r="95" spans="22:24" x14ac:dyDescent="0.35">
      <c r="V95" t="s">
        <v>35</v>
      </c>
      <c r="W95" s="9">
        <f>CHOOSE(Calc!$C$3,'Snowball Engine'!AW276,'Avalanche Engine'!AW276,'My Order Engine'!AW276)</f>
        <v>0</v>
      </c>
      <c r="X95" s="9">
        <f>'Minimums Engine'!AW276</f>
        <v>0</v>
      </c>
    </row>
    <row r="96" spans="22:24" x14ac:dyDescent="0.35">
      <c r="V96" t="s">
        <v>35</v>
      </c>
      <c r="W96" s="9">
        <f>CHOOSE(Calc!$C$3,'Snowball Engine'!AW279,'Avalanche Engine'!AW279,'My Order Engine'!AW279)</f>
        <v>0</v>
      </c>
      <c r="X96" s="9">
        <f>'Minimums Engine'!AW279</f>
        <v>0</v>
      </c>
    </row>
    <row r="97" spans="22:24" x14ac:dyDescent="0.35">
      <c r="V97" t="s">
        <v>78</v>
      </c>
      <c r="W97" s="9">
        <f>CHOOSE(Calc!$C$3,'Snowball Engine'!AW282,'Avalanche Engine'!AW282,'My Order Engine'!AW282)</f>
        <v>0</v>
      </c>
      <c r="X97" s="9">
        <f>'Minimums Engine'!AW282</f>
        <v>0</v>
      </c>
    </row>
    <row r="98" spans="22:24" x14ac:dyDescent="0.35">
      <c r="V98" t="s">
        <v>35</v>
      </c>
      <c r="W98" s="9">
        <f>CHOOSE(Calc!$C$3,'Snowball Engine'!AW285,'Avalanche Engine'!AW285,'My Order Engine'!AW285)</f>
        <v>0</v>
      </c>
      <c r="X98" s="9">
        <f>'Minimums Engine'!AW285</f>
        <v>0</v>
      </c>
    </row>
    <row r="99" spans="22:24" x14ac:dyDescent="0.35">
      <c r="V99" t="s">
        <v>35</v>
      </c>
      <c r="W99" s="9">
        <f>CHOOSE(Calc!$C$3,'Snowball Engine'!AW288,'Avalanche Engine'!AW288,'My Order Engine'!AW288)</f>
        <v>0</v>
      </c>
      <c r="X99" s="9">
        <f>'Minimums Engine'!AW288</f>
        <v>0</v>
      </c>
    </row>
    <row r="100" spans="22:24" x14ac:dyDescent="0.35">
      <c r="V100" t="s">
        <v>35</v>
      </c>
      <c r="W100" s="9">
        <f>CHOOSE(Calc!$C$3,'Snowball Engine'!AW291,'Avalanche Engine'!AW291,'My Order Engine'!AW291)</f>
        <v>0</v>
      </c>
      <c r="X100" s="9">
        <f>'Minimums Engine'!AW291</f>
        <v>0</v>
      </c>
    </row>
    <row r="101" spans="22:24" x14ac:dyDescent="0.35">
      <c r="V101" t="s">
        <v>79</v>
      </c>
      <c r="W101" s="9">
        <f>CHOOSE(Calc!$C$3,'Snowball Engine'!AW294,'Avalanche Engine'!AW294,'My Order Engine'!AW294)</f>
        <v>0</v>
      </c>
      <c r="X101" s="9">
        <f>'Minimums Engine'!AW294</f>
        <v>0</v>
      </c>
    </row>
    <row r="102" spans="22:24" x14ac:dyDescent="0.35">
      <c r="V102" t="s">
        <v>35</v>
      </c>
      <c r="W102" s="9">
        <f>CHOOSE(Calc!$C$3,'Snowball Engine'!AW297,'Avalanche Engine'!AW297,'My Order Engine'!AW297)</f>
        <v>0</v>
      </c>
      <c r="X102" s="9">
        <f>'Minimums Engine'!AW297</f>
        <v>0</v>
      </c>
    </row>
    <row r="103" spans="22:24" x14ac:dyDescent="0.35">
      <c r="V103" t="s">
        <v>35</v>
      </c>
      <c r="W103" s="9">
        <f>CHOOSE(Calc!$C$3,'Snowball Engine'!AW300,'Avalanche Engine'!AW300,'My Order Engine'!AW300)</f>
        <v>0</v>
      </c>
      <c r="X103" s="9">
        <f>'Minimums Engine'!AW300</f>
        <v>0</v>
      </c>
    </row>
    <row r="104" spans="22:24" x14ac:dyDescent="0.35">
      <c r="V104" t="s">
        <v>35</v>
      </c>
      <c r="W104" s="9">
        <f>CHOOSE(Calc!$C$3,'Snowball Engine'!AW303,'Avalanche Engine'!AW303,'My Order Engine'!AW303)</f>
        <v>0</v>
      </c>
      <c r="X104" s="9">
        <f>'Minimums Engine'!AW303</f>
        <v>0</v>
      </c>
    </row>
    <row r="105" spans="22:24" x14ac:dyDescent="0.35">
      <c r="V105" t="s">
        <v>80</v>
      </c>
      <c r="W105" s="9">
        <f>CHOOSE(Calc!$C$3,'Snowball Engine'!AW306,'Avalanche Engine'!AW306,'My Order Engine'!AW306)</f>
        <v>0</v>
      </c>
      <c r="X105" s="9">
        <f>'Minimums Engine'!AW306</f>
        <v>0</v>
      </c>
    </row>
    <row r="106" spans="22:24" x14ac:dyDescent="0.35">
      <c r="V106" t="s">
        <v>35</v>
      </c>
      <c r="W106" s="9">
        <f>CHOOSE(Calc!$C$3,'Snowball Engine'!AW309,'Avalanche Engine'!AW309,'My Order Engine'!AW309)</f>
        <v>0</v>
      </c>
      <c r="X106" s="9">
        <f>'Minimums Engine'!AW309</f>
        <v>0</v>
      </c>
    </row>
    <row r="107" spans="22:24" x14ac:dyDescent="0.35">
      <c r="V107" t="s">
        <v>35</v>
      </c>
      <c r="W107" s="9">
        <f>CHOOSE(Calc!$C$3,'Snowball Engine'!AW312,'Avalanche Engine'!AW312,'My Order Engine'!AW312)</f>
        <v>0</v>
      </c>
      <c r="X107" s="9">
        <f>'Minimums Engine'!AW312</f>
        <v>0</v>
      </c>
    </row>
    <row r="108" spans="22:24" x14ac:dyDescent="0.35">
      <c r="V108" t="s">
        <v>35</v>
      </c>
      <c r="W108" s="9">
        <f>CHOOSE(Calc!$C$3,'Snowball Engine'!AW315,'Avalanche Engine'!AW315,'My Order Engine'!AW315)</f>
        <v>0</v>
      </c>
      <c r="X108" s="9">
        <f>'Minimums Engine'!AW315</f>
        <v>0</v>
      </c>
    </row>
    <row r="109" spans="22:24" x14ac:dyDescent="0.35">
      <c r="V109" t="s">
        <v>81</v>
      </c>
      <c r="W109" s="9">
        <f>CHOOSE(Calc!$C$3,'Snowball Engine'!AW318,'Avalanche Engine'!AW318,'My Order Engine'!AW318)</f>
        <v>0</v>
      </c>
      <c r="X109" s="9">
        <f>'Minimums Engine'!AW318</f>
        <v>0</v>
      </c>
    </row>
    <row r="110" spans="22:24" x14ac:dyDescent="0.35">
      <c r="V110" t="s">
        <v>35</v>
      </c>
      <c r="W110" s="9">
        <f>CHOOSE(Calc!$C$3,'Snowball Engine'!AW321,'Avalanche Engine'!AW321,'My Order Engine'!AW321)</f>
        <v>0</v>
      </c>
      <c r="X110" s="9">
        <f>'Minimums Engine'!AW321</f>
        <v>0</v>
      </c>
    </row>
    <row r="111" spans="22:24" x14ac:dyDescent="0.35">
      <c r="V111" t="s">
        <v>35</v>
      </c>
      <c r="W111" s="9">
        <f>CHOOSE(Calc!$C$3,'Snowball Engine'!AW324,'Avalanche Engine'!AW324,'My Order Engine'!AW324)</f>
        <v>0</v>
      </c>
      <c r="X111" s="9">
        <f>'Minimums Engine'!AW324</f>
        <v>0</v>
      </c>
    </row>
    <row r="112" spans="22:24" x14ac:dyDescent="0.35">
      <c r="V112" t="s">
        <v>35</v>
      </c>
      <c r="W112" s="9">
        <f>CHOOSE(Calc!$C$3,'Snowball Engine'!AW327,'Avalanche Engine'!AW327,'My Order Engine'!AW327)</f>
        <v>0</v>
      </c>
      <c r="X112" s="9">
        <f>'Minimums Engine'!AW327</f>
        <v>0</v>
      </c>
    </row>
    <row r="113" spans="22:24" x14ac:dyDescent="0.35">
      <c r="V113" t="s">
        <v>82</v>
      </c>
      <c r="W113" s="9">
        <f>CHOOSE(Calc!$C$3,'Snowball Engine'!AW330,'Avalanche Engine'!AW330,'My Order Engine'!AW330)</f>
        <v>0</v>
      </c>
      <c r="X113" s="9">
        <f>'Minimums Engine'!AW330</f>
        <v>0</v>
      </c>
    </row>
    <row r="114" spans="22:24" x14ac:dyDescent="0.35">
      <c r="V114" t="s">
        <v>35</v>
      </c>
      <c r="W114" s="9">
        <f>CHOOSE(Calc!$C$3,'Snowball Engine'!AW333,'Avalanche Engine'!AW333,'My Order Engine'!AW333)</f>
        <v>0</v>
      </c>
      <c r="X114" s="9">
        <f>'Minimums Engine'!AW333</f>
        <v>0</v>
      </c>
    </row>
    <row r="115" spans="22:24" x14ac:dyDescent="0.35">
      <c r="V115" t="s">
        <v>35</v>
      </c>
      <c r="W115" s="9">
        <f>CHOOSE(Calc!$C$3,'Snowball Engine'!AW336,'Avalanche Engine'!AW336,'My Order Engine'!AW336)</f>
        <v>0</v>
      </c>
      <c r="X115" s="9">
        <f>'Minimums Engine'!AW336</f>
        <v>0</v>
      </c>
    </row>
    <row r="116" spans="22:24" x14ac:dyDescent="0.35">
      <c r="V116" t="s">
        <v>35</v>
      </c>
      <c r="W116" s="9">
        <f>CHOOSE(Calc!$C$3,'Snowball Engine'!AW339,'Avalanche Engine'!AW339,'My Order Engine'!AW339)</f>
        <v>0</v>
      </c>
      <c r="X116" s="9">
        <f>'Minimums Engine'!AW339</f>
        <v>0</v>
      </c>
    </row>
    <row r="117" spans="22:24" x14ac:dyDescent="0.35">
      <c r="V117" t="s">
        <v>83</v>
      </c>
      <c r="W117" s="9">
        <f>CHOOSE(Calc!$C$3,'Snowball Engine'!AW342,'Avalanche Engine'!AW342,'My Order Engine'!AW342)</f>
        <v>0</v>
      </c>
      <c r="X117" s="9">
        <f>'Minimums Engine'!AW342</f>
        <v>0</v>
      </c>
    </row>
    <row r="118" spans="22:24" x14ac:dyDescent="0.35">
      <c r="V118" t="s">
        <v>35</v>
      </c>
      <c r="W118" s="9">
        <f>CHOOSE(Calc!$C$3,'Snowball Engine'!AW345,'Avalanche Engine'!AW345,'My Order Engine'!AW345)</f>
        <v>0</v>
      </c>
      <c r="X118" s="9">
        <f>'Minimums Engine'!AW345</f>
        <v>0</v>
      </c>
    </row>
    <row r="119" spans="22:24" x14ac:dyDescent="0.35">
      <c r="V119" t="s">
        <v>35</v>
      </c>
      <c r="W119" s="9">
        <f>CHOOSE(Calc!$C$3,'Snowball Engine'!AW348,'Avalanche Engine'!AW348,'My Order Engine'!AW348)</f>
        <v>0</v>
      </c>
      <c r="X119" s="9">
        <f>'Minimums Engine'!AW348</f>
        <v>0</v>
      </c>
    </row>
    <row r="120" spans="22:24" x14ac:dyDescent="0.35">
      <c r="V120" t="s">
        <v>35</v>
      </c>
      <c r="W120" s="9">
        <f>CHOOSE(Calc!$C$3,'Snowball Engine'!AW351,'Avalanche Engine'!AW351,'My Order Engine'!AW351)</f>
        <v>0</v>
      </c>
      <c r="X120" s="9">
        <f>'Minimums Engine'!AW351</f>
        <v>0</v>
      </c>
    </row>
    <row r="121" spans="22:24" x14ac:dyDescent="0.35">
      <c r="V121" t="s">
        <v>84</v>
      </c>
      <c r="W121" s="9">
        <f>CHOOSE(Calc!$C$3,'Snowball Engine'!AW354,'Avalanche Engine'!AW354,'My Order Engine'!AW354)</f>
        <v>0</v>
      </c>
      <c r="X121" s="9">
        <f>'Minimums Engine'!AW354</f>
        <v>0</v>
      </c>
    </row>
    <row r="122" spans="22:24" x14ac:dyDescent="0.35">
      <c r="V122" t="s">
        <v>35</v>
      </c>
      <c r="W122" s="9">
        <f>CHOOSE(Calc!$C$3,'Snowball Engine'!AW357,'Avalanche Engine'!AW357,'My Order Engine'!AW357)</f>
        <v>0</v>
      </c>
      <c r="X122" s="9">
        <f>'Minimums Engine'!AW357</f>
        <v>0</v>
      </c>
    </row>
    <row r="123" spans="22:24" x14ac:dyDescent="0.35">
      <c r="V123" t="s">
        <v>35</v>
      </c>
      <c r="W123" s="9">
        <f>CHOOSE(Calc!$C$3,'Snowball Engine'!AW360,'Avalanche Engine'!AW360,'My Order Engine'!AW360)</f>
        <v>0</v>
      </c>
      <c r="X123" s="9">
        <f>'Minimums Engine'!AW360</f>
        <v>0</v>
      </c>
    </row>
    <row r="124" spans="22:24" x14ac:dyDescent="0.35">
      <c r="V124" t="s">
        <v>35</v>
      </c>
      <c r="W124" s="9">
        <f>CHOOSE(Calc!$C$3,'Snowball Engine'!AW363,'Avalanche Engine'!AW363,'My Order Engine'!AW363)</f>
        <v>0</v>
      </c>
      <c r="X124" s="9">
        <f>'Minimums Engine'!AW363</f>
        <v>0</v>
      </c>
    </row>
    <row r="125" spans="22:24" x14ac:dyDescent="0.35">
      <c r="V125" t="s">
        <v>85</v>
      </c>
      <c r="W125" s="9">
        <f>CHOOSE(Calc!$C$3,'Snowball Engine'!AW366,'Avalanche Engine'!AW366,'My Order Engine'!AW366)</f>
        <v>0</v>
      </c>
      <c r="X125" s="9">
        <f>'Minimums Engine'!AW366</f>
        <v>0</v>
      </c>
    </row>
  </sheetData>
  <mergeCells count="39">
    <mergeCell ref="B25:D25"/>
    <mergeCell ref="L15:O15"/>
    <mergeCell ref="J21:K21"/>
    <mergeCell ref="E25:F25"/>
    <mergeCell ref="B22:D22"/>
    <mergeCell ref="H24:I24"/>
    <mergeCell ref="B16:E17"/>
    <mergeCell ref="E22:F22"/>
    <mergeCell ref="B21:D21"/>
    <mergeCell ref="G15:J15"/>
    <mergeCell ref="H23:I23"/>
    <mergeCell ref="L16:O17"/>
    <mergeCell ref="E21:F21"/>
    <mergeCell ref="B7:E7"/>
    <mergeCell ref="G11:J11"/>
    <mergeCell ref="L7:O7"/>
    <mergeCell ref="B24:D24"/>
    <mergeCell ref="C4:F4"/>
    <mergeCell ref="G7:J7"/>
    <mergeCell ref="B11:E11"/>
    <mergeCell ref="G16:J17"/>
    <mergeCell ref="H22:I22"/>
    <mergeCell ref="J22:K22"/>
    <mergeCell ref="G12:J13"/>
    <mergeCell ref="L12:O13"/>
    <mergeCell ref="L11:O11"/>
    <mergeCell ref="H25:I25"/>
    <mergeCell ref="H21:I21"/>
    <mergeCell ref="L8:O9"/>
    <mergeCell ref="J23:K23"/>
    <mergeCell ref="J24:K24"/>
    <mergeCell ref="J25:K25"/>
    <mergeCell ref="B23:D23"/>
    <mergeCell ref="E24:F24"/>
    <mergeCell ref="G8:J9"/>
    <mergeCell ref="B12:E13"/>
    <mergeCell ref="B8:E9"/>
    <mergeCell ref="B15:E15"/>
    <mergeCell ref="E23:F23"/>
  </mergeCells>
  <conditionalFormatting sqref="C3">
    <cfRule type="expression" dxfId="10" priority="1">
      <formula>AND(C3&lt;&gt;"",OR(NOT(ISNUMBER(C3)),N(C3)&lt;0))</formula>
    </cfRule>
  </conditionalFormatting>
  <conditionalFormatting sqref="C5">
    <cfRule type="expression" dxfId="8" priority="3">
      <formula>AND(C5&lt;&gt;"",NOT(ISNUMBER(C5)))</formula>
    </cfRule>
  </conditionalFormatting>
  <dataValidations count="2">
    <dataValidation type="decimal" allowBlank="1" showErrorMessage="1" errorTitle="Extra" error="Enter the extra amount per month as a number (0 is fine)." sqref="C3" xr:uid="{00000000-0002-0000-0100-000000000000}">
      <formula1>0</formula1>
      <formula2>100000000</formula2>
    </dataValidation>
    <dataValidation type="date" operator="greaterThan" allowBlank="1" showErrorMessage="1" errorTitle="Start month" error="Enter a date, e.g. 11/1/2026 (blank = this month)." sqref="C5" xr:uid="{00000000-0002-0000-0100-000002000000}">
      <formula1>1</formula1>
    </dataValidation>
  </dataValidations>
  <pageMargins left="0.75" right="0.75" top="1" bottom="1" header="0.5" footer="0.5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00000000-000E-0000-0100-000004000000}">
            <xm:f>ROW(B23)-22=Calc!$C$3</xm:f>
            <x14:dxf>
              <fill>
                <patternFill patternType="solid">
                  <fgColor rgb="FFF7ECEF"/>
                </patternFill>
              </fill>
            </x14:dxf>
          </x14:cfRule>
          <xm:sqref>B23:K25</xm:sqref>
        </x14:conditionalFormatting>
        <x14:conditionalFormatting xmlns:xm="http://schemas.microsoft.com/office/excel/2006/main">
          <x14:cfRule type="expression" priority="2" id="{00000000-000E-0000-0100-000002000000}">
            <xm:f>ISNA(MATCH(C4,Lists!$A$2:$A$4,0))</xm:f>
            <x14:dxf>
              <fill>
                <patternFill patternType="solid">
                  <fgColor rgb="FFF8C9C4"/>
                  <bgColor rgb="FFF8C9C4"/>
                </patternFill>
              </fill>
            </x14:dxf>
          </x14:cfRule>
          <xm:sqref>C4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="Pick a strategy from the list." xr:uid="{00000000-0002-0000-0100-000001000000}">
          <x14:formula1>
            <xm:f>Lists!$A$2:$A$4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A3B4F"/>
  </sheetPr>
  <dimension ref="A1:L25"/>
  <sheetViews>
    <sheetView showGridLines="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4" customWidth="1"/>
    <col min="2" max="2" width="14" customWidth="1"/>
    <col min="3" max="3" width="13" customWidth="1"/>
    <col min="4" max="4" width="10" customWidth="1"/>
    <col min="5" max="5" width="12" customWidth="1"/>
    <col min="6" max="6" width="9" customWidth="1"/>
    <col min="7" max="7" width="12" customWidth="1"/>
    <col min="8" max="8" width="10" customWidth="1"/>
    <col min="9" max="9" width="11" customWidth="1"/>
    <col min="10" max="10" width="13" customWidth="1"/>
    <col min="11" max="11" width="14" customWidth="1"/>
    <col min="12" max="12" width="34" customWidth="1"/>
  </cols>
  <sheetData>
    <row r="1" spans="1:12" ht="23" x14ac:dyDescent="0.5">
      <c r="A1" s="1" t="s">
        <v>86</v>
      </c>
    </row>
    <row r="2" spans="1:12" x14ac:dyDescent="0.35">
      <c r="A2" s="2" t="s">
        <v>87</v>
      </c>
      <c r="J2" s="14" t="s">
        <v>88</v>
      </c>
      <c r="K2" s="15">
        <f>Calc!$O$3</f>
        <v>0</v>
      </c>
    </row>
    <row r="3" spans="1:12" x14ac:dyDescent="0.35">
      <c r="A3" s="15" t="s">
        <v>89</v>
      </c>
    </row>
    <row r="6" spans="1:12" ht="44" customHeight="1" x14ac:dyDescent="0.35">
      <c r="A6" s="11" t="s">
        <v>30</v>
      </c>
      <c r="B6" s="11" t="s">
        <v>90</v>
      </c>
      <c r="C6" s="11" t="s">
        <v>91</v>
      </c>
      <c r="D6" s="11" t="s">
        <v>92</v>
      </c>
      <c r="E6" s="11" t="s">
        <v>93</v>
      </c>
      <c r="F6" s="11" t="s">
        <v>94</v>
      </c>
      <c r="G6" s="11" t="s">
        <v>95</v>
      </c>
      <c r="H6" s="11" t="s">
        <v>96</v>
      </c>
      <c r="I6" s="11" t="s">
        <v>31</v>
      </c>
      <c r="J6" s="11" t="s">
        <v>97</v>
      </c>
      <c r="K6" s="11" t="s">
        <v>98</v>
      </c>
      <c r="L6" s="11" t="s">
        <v>99</v>
      </c>
    </row>
    <row r="7" spans="1:12" x14ac:dyDescent="0.35">
      <c r="A7" s="16" t="s">
        <v>100</v>
      </c>
      <c r="B7" s="16" t="s">
        <v>101</v>
      </c>
      <c r="C7" s="17">
        <v>4850</v>
      </c>
      <c r="D7" s="18">
        <v>24.99</v>
      </c>
      <c r="E7" s="17">
        <v>145</v>
      </c>
      <c r="F7" s="16"/>
      <c r="G7" s="19">
        <f>IF(Calc!$C$10=1,ROUND(C7*D7/1200,2),"")</f>
        <v>101</v>
      </c>
      <c r="H7" s="12">
        <f>IF(Calc!$C$10=1,Calc!$L$10,"")</f>
        <v>3</v>
      </c>
      <c r="I7" s="12">
        <f>IF(Calc!$C$10=1,IF(CHOOSE(Calc!$C$3,INDEX('Snowball Engine'!$AH$369:$AV$369,Calc!$I$10),INDEX('Avalanche Engine'!$AH$369:$AV$369,Calc!$J$10),INDEX('My Order Engine'!$AH$369:$AV$369,Calc!$K$10))=999,"30+ years",CHOOSE(Calc!$C$3,INDEX('Snowball Engine'!$AH$369:$AV$369,Calc!$I$10),INDEX('Avalanche Engine'!$AH$369:$AV$369,Calc!$J$10),INDEX('My Order Engine'!$AH$369:$AV$369,Calc!$K$10))),"")</f>
        <v>19</v>
      </c>
      <c r="J7" s="20">
        <f ca="1">IF(OR(I7="",I7="30+ years"),"",EDATE(Calc!$C$5,I7-1))</f>
        <v>46844</v>
      </c>
      <c r="K7" s="19">
        <f>IF(Calc!$C$10=1,CHOOSE(Calc!$C$3,INDEX('Snowball Engine'!$AH$370:$AV$370,Calc!$I$10),INDEX('Avalanche Engine'!$AH$370:$AV$370,Calc!$J$10),INDEX('My Order Engine'!$AH$370:$AV$370,Calc!$K$10)),"")</f>
        <v>1306.24</v>
      </c>
      <c r="L7" s="12" t="str">
        <f>IF(Calc!$C$10=1,IF(G7&gt;=E7,"Minimum doesn't cover the interest: balance grows on minimums",IF(N(D7)=0,"0% interest","")),IF(OR(A7&lt;&gt;"",B7&lt;&gt;"",C7&lt;&gt;"",D7&lt;&gt;"",E7&lt;&gt;"",F7&lt;&gt;""),"Fix the red cells",""))</f>
        <v/>
      </c>
    </row>
    <row r="8" spans="1:12" x14ac:dyDescent="0.35">
      <c r="A8" s="16" t="s">
        <v>102</v>
      </c>
      <c r="B8" s="16" t="s">
        <v>103</v>
      </c>
      <c r="C8" s="17">
        <v>1200</v>
      </c>
      <c r="D8" s="18">
        <v>28.99</v>
      </c>
      <c r="E8" s="17">
        <v>40</v>
      </c>
      <c r="F8" s="16"/>
      <c r="G8" s="19">
        <f>IF(Calc!$C$11=1,ROUND(C8*D8/1200,2),"")</f>
        <v>28.99</v>
      </c>
      <c r="H8" s="12">
        <f>IF(Calc!$C$11=1,Calc!$L$11,"")</f>
        <v>2</v>
      </c>
      <c r="I8" s="12">
        <f>IF(Calc!$C$11=1,IF(CHOOSE(Calc!$C$3,INDEX('Snowball Engine'!$AH$369:$AV$369,Calc!$I$11),INDEX('Avalanche Engine'!$AH$369:$AV$369,Calc!$J$11),INDEX('My Order Engine'!$AH$369:$AV$369,Calc!$K$11))=999,"30+ years",CHOOSE(Calc!$C$3,INDEX('Snowball Engine'!$AH$369:$AV$369,Calc!$I$11),INDEX('Avalanche Engine'!$AH$369:$AV$369,Calc!$J$11),INDEX('My Order Engine'!$AH$369:$AV$369,Calc!$K$11))),"")</f>
        <v>7</v>
      </c>
      <c r="J8" s="20">
        <f ca="1">IF(OR(I8="",I8="30+ years"),"",EDATE(Calc!$C$5,I8-1))</f>
        <v>46478</v>
      </c>
      <c r="K8" s="19">
        <f>IF(Calc!$C$11=1,CHOOSE(Calc!$C$3,INDEX('Snowball Engine'!$AH$370:$AV$370,Calc!$I$11),INDEX('Avalanche Engine'!$AH$370:$AV$370,Calc!$J$11),INDEX('My Order Engine'!$AH$370:$AV$370,Calc!$K$11)),"")</f>
        <v>150.27000000000001</v>
      </c>
      <c r="L8" s="12" t="str">
        <f>IF(Calc!$C$11=1,IF(G8&gt;=E8,"Minimum doesn't cover the interest: balance grows on minimums",IF(N(D8)=0,"0% interest","")),IF(OR(A8&lt;&gt;"",B8&lt;&gt;"",C8&lt;&gt;"",D8&lt;&gt;"",E8&lt;&gt;"",F8&lt;&gt;""),"Fix the red cells",""))</f>
        <v/>
      </c>
    </row>
    <row r="9" spans="1:12" x14ac:dyDescent="0.35">
      <c r="A9" s="16" t="s">
        <v>104</v>
      </c>
      <c r="B9" s="16" t="s">
        <v>105</v>
      </c>
      <c r="C9" s="17">
        <v>11400</v>
      </c>
      <c r="D9" s="18">
        <v>7.5</v>
      </c>
      <c r="E9" s="17">
        <v>315</v>
      </c>
      <c r="F9" s="16"/>
      <c r="G9" s="19">
        <f>IF(Calc!$C$12=1,ROUND(C9*D9/1200,2),"")</f>
        <v>71.25</v>
      </c>
      <c r="H9" s="12">
        <f>IF(Calc!$C$12=1,Calc!$L$12,"")</f>
        <v>4</v>
      </c>
      <c r="I9" s="12">
        <f>IF(Calc!$C$12=1,IF(CHOOSE(Calc!$C$3,INDEX('Snowball Engine'!$AH$369:$AV$369,Calc!$I$12),INDEX('Avalanche Engine'!$AH$369:$AV$369,Calc!$J$12),INDEX('My Order Engine'!$AH$369:$AV$369,Calc!$K$12))=999,"30+ years",CHOOSE(Calc!$C$3,INDEX('Snowball Engine'!$AH$369:$AV$369,Calc!$I$12),INDEX('Avalanche Engine'!$AH$369:$AV$369,Calc!$J$12),INDEX('My Order Engine'!$AH$369:$AV$369,Calc!$K$12))),"")</f>
        <v>28</v>
      </c>
      <c r="J9" s="20">
        <f ca="1">IF(OR(I9="",I9="30+ years"),"",EDATE(Calc!$C$5,I9-1))</f>
        <v>47119</v>
      </c>
      <c r="K9" s="19">
        <f>IF(Calc!$C$12=1,CHOOSE(Calc!$C$3,INDEX('Snowball Engine'!$AH$370:$AV$370,Calc!$I$12),INDEX('Avalanche Engine'!$AH$370:$AV$370,Calc!$J$12),INDEX('My Order Engine'!$AH$370:$AV$370,Calc!$K$12)),"")</f>
        <v>1281.1300000000001</v>
      </c>
      <c r="L9" s="12" t="str">
        <f>IF(Calc!$C$12=1,IF(G9&gt;=E9,"Minimum doesn't cover the interest: balance grows on minimums",IF(N(D9)=0,"0% interest","")),IF(OR(A9&lt;&gt;"",B9&lt;&gt;"",C9&lt;&gt;"",D9&lt;&gt;"",E9&lt;&gt;"",F9&lt;&gt;""),"Fix the red cells",""))</f>
        <v/>
      </c>
    </row>
    <row r="10" spans="1:12" x14ac:dyDescent="0.35">
      <c r="A10" s="16" t="s">
        <v>106</v>
      </c>
      <c r="B10" s="16" t="s">
        <v>107</v>
      </c>
      <c r="C10" s="17">
        <v>650</v>
      </c>
      <c r="D10" s="18">
        <v>0</v>
      </c>
      <c r="E10" s="17">
        <v>50</v>
      </c>
      <c r="F10" s="16"/>
      <c r="G10" s="19">
        <f>IF(Calc!$C$13=1,ROUND(C10*D10/1200,2),"")</f>
        <v>0</v>
      </c>
      <c r="H10" s="12">
        <f>IF(Calc!$C$13=1,Calc!$L$13,"")</f>
        <v>1</v>
      </c>
      <c r="I10" s="12">
        <f>IF(Calc!$C$13=1,IF(CHOOSE(Calc!$C$3,INDEX('Snowball Engine'!$AH$369:$AV$369,Calc!$I$13),INDEX('Avalanche Engine'!$AH$369:$AV$369,Calc!$J$13),INDEX('My Order Engine'!$AH$369:$AV$369,Calc!$K$13))=999,"30+ years",CHOOSE(Calc!$C$3,INDEX('Snowball Engine'!$AH$369:$AV$369,Calc!$I$13),INDEX('Avalanche Engine'!$AH$369:$AV$369,Calc!$J$13),INDEX('My Order Engine'!$AH$369:$AV$369,Calc!$K$13))),"")</f>
        <v>3</v>
      </c>
      <c r="J10" s="20">
        <f ca="1">IF(OR(I10="",I10="30+ years"),"",EDATE(Calc!$C$5,I10-1))</f>
        <v>46357</v>
      </c>
      <c r="K10" s="19">
        <f>IF(Calc!$C$13=1,CHOOSE(Calc!$C$3,INDEX('Snowball Engine'!$AH$370:$AV$370,Calc!$I$13),INDEX('Avalanche Engine'!$AH$370:$AV$370,Calc!$J$13),INDEX('My Order Engine'!$AH$370:$AV$370,Calc!$K$13)),"")</f>
        <v>0</v>
      </c>
      <c r="L10" s="12" t="str">
        <f>IF(Calc!$C$13=1,IF(G10&gt;=E10,"Minimum doesn't cover the interest: balance grows on minimums",IF(N(D10)=0,"0% interest","")),IF(OR(A10&lt;&gt;"",B10&lt;&gt;"",C10&lt;&gt;"",D10&lt;&gt;"",E10&lt;&gt;"",F10&lt;&gt;""),"Fix the red cells",""))</f>
        <v>0% interest</v>
      </c>
    </row>
    <row r="11" spans="1:12" x14ac:dyDescent="0.35">
      <c r="A11" s="16"/>
      <c r="B11" s="16"/>
      <c r="C11" s="17"/>
      <c r="D11" s="18"/>
      <c r="E11" s="17"/>
      <c r="F11" s="16"/>
      <c r="G11" s="19" t="str">
        <f>IF(Calc!$C$14=1,ROUND(C11*D11/1200,2),"")</f>
        <v/>
      </c>
      <c r="H11" s="12" t="str">
        <f>IF(Calc!$C$14=1,Calc!$L$14,"")</f>
        <v/>
      </c>
      <c r="I11" s="12" t="str">
        <f>IF(Calc!$C$14=1,IF(CHOOSE(Calc!$C$3,INDEX('Snowball Engine'!$AH$369:$AV$369,Calc!$I$14),INDEX('Avalanche Engine'!$AH$369:$AV$369,Calc!$J$14),INDEX('My Order Engine'!$AH$369:$AV$369,Calc!$K$14))=999,"30+ years",CHOOSE(Calc!$C$3,INDEX('Snowball Engine'!$AH$369:$AV$369,Calc!$I$14),INDEX('Avalanche Engine'!$AH$369:$AV$369,Calc!$J$14),INDEX('My Order Engine'!$AH$369:$AV$369,Calc!$K$14))),"")</f>
        <v/>
      </c>
      <c r="J11" s="20" t="str">
        <f>IF(OR(I11="",I11="30+ years"),"",EDATE(Calc!$C$5,I11-1))</f>
        <v/>
      </c>
      <c r="K11" s="19" t="str">
        <f>IF(Calc!$C$14=1,CHOOSE(Calc!$C$3,INDEX('Snowball Engine'!$AH$370:$AV$370,Calc!$I$14),INDEX('Avalanche Engine'!$AH$370:$AV$370,Calc!$J$14),INDEX('My Order Engine'!$AH$370:$AV$370,Calc!$K$14)),"")</f>
        <v/>
      </c>
      <c r="L11" s="12" t="str">
        <f>IF(Calc!$C$14=1,IF(G11&gt;=E11,"Minimum doesn't cover the interest: balance grows on minimums",IF(N(D11)=0,"0% interest","")),IF(OR(A11&lt;&gt;"",B11&lt;&gt;"",C11&lt;&gt;"",D11&lt;&gt;"",E11&lt;&gt;"",F11&lt;&gt;""),"Fix the red cells",""))</f>
        <v/>
      </c>
    </row>
    <row r="12" spans="1:12" x14ac:dyDescent="0.35">
      <c r="A12" s="16"/>
      <c r="B12" s="16"/>
      <c r="C12" s="17"/>
      <c r="D12" s="18"/>
      <c r="E12" s="17"/>
      <c r="F12" s="16"/>
      <c r="G12" s="19" t="str">
        <f>IF(Calc!$C$15=1,ROUND(C12*D12/1200,2),"")</f>
        <v/>
      </c>
      <c r="H12" s="12" t="str">
        <f>IF(Calc!$C$15=1,Calc!$L$15,"")</f>
        <v/>
      </c>
      <c r="I12" s="12" t="str">
        <f>IF(Calc!$C$15=1,IF(CHOOSE(Calc!$C$3,INDEX('Snowball Engine'!$AH$369:$AV$369,Calc!$I$15),INDEX('Avalanche Engine'!$AH$369:$AV$369,Calc!$J$15),INDEX('My Order Engine'!$AH$369:$AV$369,Calc!$K$15))=999,"30+ years",CHOOSE(Calc!$C$3,INDEX('Snowball Engine'!$AH$369:$AV$369,Calc!$I$15),INDEX('Avalanche Engine'!$AH$369:$AV$369,Calc!$J$15),INDEX('My Order Engine'!$AH$369:$AV$369,Calc!$K$15))),"")</f>
        <v/>
      </c>
      <c r="J12" s="20" t="str">
        <f>IF(OR(I12="",I12="30+ years"),"",EDATE(Calc!$C$5,I12-1))</f>
        <v/>
      </c>
      <c r="K12" s="19" t="str">
        <f>IF(Calc!$C$15=1,CHOOSE(Calc!$C$3,INDEX('Snowball Engine'!$AH$370:$AV$370,Calc!$I$15),INDEX('Avalanche Engine'!$AH$370:$AV$370,Calc!$J$15),INDEX('My Order Engine'!$AH$370:$AV$370,Calc!$K$15)),"")</f>
        <v/>
      </c>
      <c r="L12" s="12" t="str">
        <f>IF(Calc!$C$15=1,IF(G12&gt;=E12,"Minimum doesn't cover the interest: balance grows on minimums",IF(N(D12)=0,"0% interest","")),IF(OR(A12&lt;&gt;"",B12&lt;&gt;"",C12&lt;&gt;"",D12&lt;&gt;"",E12&lt;&gt;"",F12&lt;&gt;""),"Fix the red cells",""))</f>
        <v/>
      </c>
    </row>
    <row r="13" spans="1:12" x14ac:dyDescent="0.35">
      <c r="A13" s="16"/>
      <c r="B13" s="16"/>
      <c r="C13" s="17"/>
      <c r="D13" s="18"/>
      <c r="E13" s="17"/>
      <c r="F13" s="16"/>
      <c r="G13" s="19" t="str">
        <f>IF(Calc!$C$16=1,ROUND(C13*D13/1200,2),"")</f>
        <v/>
      </c>
      <c r="H13" s="12" t="str">
        <f>IF(Calc!$C$16=1,Calc!$L$16,"")</f>
        <v/>
      </c>
      <c r="I13" s="12" t="str">
        <f>IF(Calc!$C$16=1,IF(CHOOSE(Calc!$C$3,INDEX('Snowball Engine'!$AH$369:$AV$369,Calc!$I$16),INDEX('Avalanche Engine'!$AH$369:$AV$369,Calc!$J$16),INDEX('My Order Engine'!$AH$369:$AV$369,Calc!$K$16))=999,"30+ years",CHOOSE(Calc!$C$3,INDEX('Snowball Engine'!$AH$369:$AV$369,Calc!$I$16),INDEX('Avalanche Engine'!$AH$369:$AV$369,Calc!$J$16),INDEX('My Order Engine'!$AH$369:$AV$369,Calc!$K$16))),"")</f>
        <v/>
      </c>
      <c r="J13" s="20" t="str">
        <f>IF(OR(I13="",I13="30+ years"),"",EDATE(Calc!$C$5,I13-1))</f>
        <v/>
      </c>
      <c r="K13" s="19" t="str">
        <f>IF(Calc!$C$16=1,CHOOSE(Calc!$C$3,INDEX('Snowball Engine'!$AH$370:$AV$370,Calc!$I$16),INDEX('Avalanche Engine'!$AH$370:$AV$370,Calc!$J$16),INDEX('My Order Engine'!$AH$370:$AV$370,Calc!$K$16)),"")</f>
        <v/>
      </c>
      <c r="L13" s="12" t="str">
        <f>IF(Calc!$C$16=1,IF(G13&gt;=E13,"Minimum doesn't cover the interest: balance grows on minimums",IF(N(D13)=0,"0% interest","")),IF(OR(A13&lt;&gt;"",B13&lt;&gt;"",C13&lt;&gt;"",D13&lt;&gt;"",E13&lt;&gt;"",F13&lt;&gt;""),"Fix the red cells",""))</f>
        <v/>
      </c>
    </row>
    <row r="14" spans="1:12" x14ac:dyDescent="0.35">
      <c r="A14" s="16"/>
      <c r="B14" s="16"/>
      <c r="C14" s="17"/>
      <c r="D14" s="18"/>
      <c r="E14" s="17"/>
      <c r="F14" s="16"/>
      <c r="G14" s="19" t="str">
        <f>IF(Calc!$C$17=1,ROUND(C14*D14/1200,2),"")</f>
        <v/>
      </c>
      <c r="H14" s="12" t="str">
        <f>IF(Calc!$C$17=1,Calc!$L$17,"")</f>
        <v/>
      </c>
      <c r="I14" s="12" t="str">
        <f>IF(Calc!$C$17=1,IF(CHOOSE(Calc!$C$3,INDEX('Snowball Engine'!$AH$369:$AV$369,Calc!$I$17),INDEX('Avalanche Engine'!$AH$369:$AV$369,Calc!$J$17),INDEX('My Order Engine'!$AH$369:$AV$369,Calc!$K$17))=999,"30+ years",CHOOSE(Calc!$C$3,INDEX('Snowball Engine'!$AH$369:$AV$369,Calc!$I$17),INDEX('Avalanche Engine'!$AH$369:$AV$369,Calc!$J$17),INDEX('My Order Engine'!$AH$369:$AV$369,Calc!$K$17))),"")</f>
        <v/>
      </c>
      <c r="J14" s="20" t="str">
        <f>IF(OR(I14="",I14="30+ years"),"",EDATE(Calc!$C$5,I14-1))</f>
        <v/>
      </c>
      <c r="K14" s="19" t="str">
        <f>IF(Calc!$C$17=1,CHOOSE(Calc!$C$3,INDEX('Snowball Engine'!$AH$370:$AV$370,Calc!$I$17),INDEX('Avalanche Engine'!$AH$370:$AV$370,Calc!$J$17),INDEX('My Order Engine'!$AH$370:$AV$370,Calc!$K$17)),"")</f>
        <v/>
      </c>
      <c r="L14" s="12" t="str">
        <f>IF(Calc!$C$17=1,IF(G14&gt;=E14,"Minimum doesn't cover the interest: balance grows on minimums",IF(N(D14)=0,"0% interest","")),IF(OR(A14&lt;&gt;"",B14&lt;&gt;"",C14&lt;&gt;"",D14&lt;&gt;"",E14&lt;&gt;"",F14&lt;&gt;""),"Fix the red cells",""))</f>
        <v/>
      </c>
    </row>
    <row r="15" spans="1:12" x14ac:dyDescent="0.35">
      <c r="A15" s="16"/>
      <c r="B15" s="16"/>
      <c r="C15" s="17"/>
      <c r="D15" s="18"/>
      <c r="E15" s="17"/>
      <c r="F15" s="16"/>
      <c r="G15" s="19" t="str">
        <f>IF(Calc!$C$18=1,ROUND(C15*D15/1200,2),"")</f>
        <v/>
      </c>
      <c r="H15" s="12" t="str">
        <f>IF(Calc!$C$18=1,Calc!$L$18,"")</f>
        <v/>
      </c>
      <c r="I15" s="12" t="str">
        <f>IF(Calc!$C$18=1,IF(CHOOSE(Calc!$C$3,INDEX('Snowball Engine'!$AH$369:$AV$369,Calc!$I$18),INDEX('Avalanche Engine'!$AH$369:$AV$369,Calc!$J$18),INDEX('My Order Engine'!$AH$369:$AV$369,Calc!$K$18))=999,"30+ years",CHOOSE(Calc!$C$3,INDEX('Snowball Engine'!$AH$369:$AV$369,Calc!$I$18),INDEX('Avalanche Engine'!$AH$369:$AV$369,Calc!$J$18),INDEX('My Order Engine'!$AH$369:$AV$369,Calc!$K$18))),"")</f>
        <v/>
      </c>
      <c r="J15" s="20" t="str">
        <f>IF(OR(I15="",I15="30+ years"),"",EDATE(Calc!$C$5,I15-1))</f>
        <v/>
      </c>
      <c r="K15" s="19" t="str">
        <f>IF(Calc!$C$18=1,CHOOSE(Calc!$C$3,INDEX('Snowball Engine'!$AH$370:$AV$370,Calc!$I$18),INDEX('Avalanche Engine'!$AH$370:$AV$370,Calc!$J$18),INDEX('My Order Engine'!$AH$370:$AV$370,Calc!$K$18)),"")</f>
        <v/>
      </c>
      <c r="L15" s="12" t="str">
        <f>IF(Calc!$C$18=1,IF(G15&gt;=E15,"Minimum doesn't cover the interest: balance grows on minimums",IF(N(D15)=0,"0% interest","")),IF(OR(A15&lt;&gt;"",B15&lt;&gt;"",C15&lt;&gt;"",D15&lt;&gt;"",E15&lt;&gt;"",F15&lt;&gt;""),"Fix the red cells",""))</f>
        <v/>
      </c>
    </row>
    <row r="16" spans="1:12" x14ac:dyDescent="0.35">
      <c r="A16" s="16"/>
      <c r="B16" s="16"/>
      <c r="C16" s="17"/>
      <c r="D16" s="18"/>
      <c r="E16" s="17"/>
      <c r="F16" s="16"/>
      <c r="G16" s="19" t="str">
        <f>IF(Calc!$C$19=1,ROUND(C16*D16/1200,2),"")</f>
        <v/>
      </c>
      <c r="H16" s="12" t="str">
        <f>IF(Calc!$C$19=1,Calc!$L$19,"")</f>
        <v/>
      </c>
      <c r="I16" s="12" t="str">
        <f>IF(Calc!$C$19=1,IF(CHOOSE(Calc!$C$3,INDEX('Snowball Engine'!$AH$369:$AV$369,Calc!$I$19),INDEX('Avalanche Engine'!$AH$369:$AV$369,Calc!$J$19),INDEX('My Order Engine'!$AH$369:$AV$369,Calc!$K$19))=999,"30+ years",CHOOSE(Calc!$C$3,INDEX('Snowball Engine'!$AH$369:$AV$369,Calc!$I$19),INDEX('Avalanche Engine'!$AH$369:$AV$369,Calc!$J$19),INDEX('My Order Engine'!$AH$369:$AV$369,Calc!$K$19))),"")</f>
        <v/>
      </c>
      <c r="J16" s="20" t="str">
        <f>IF(OR(I16="",I16="30+ years"),"",EDATE(Calc!$C$5,I16-1))</f>
        <v/>
      </c>
      <c r="K16" s="19" t="str">
        <f>IF(Calc!$C$19=1,CHOOSE(Calc!$C$3,INDEX('Snowball Engine'!$AH$370:$AV$370,Calc!$I$19),INDEX('Avalanche Engine'!$AH$370:$AV$370,Calc!$J$19),INDEX('My Order Engine'!$AH$370:$AV$370,Calc!$K$19)),"")</f>
        <v/>
      </c>
      <c r="L16" s="12" t="str">
        <f>IF(Calc!$C$19=1,IF(G16&gt;=E16,"Minimum doesn't cover the interest: balance grows on minimums",IF(N(D16)=0,"0% interest","")),IF(OR(A16&lt;&gt;"",B16&lt;&gt;"",C16&lt;&gt;"",D16&lt;&gt;"",E16&lt;&gt;"",F16&lt;&gt;""),"Fix the red cells",""))</f>
        <v/>
      </c>
    </row>
    <row r="17" spans="1:12" x14ac:dyDescent="0.35">
      <c r="A17" s="16"/>
      <c r="B17" s="16"/>
      <c r="C17" s="17"/>
      <c r="D17" s="18"/>
      <c r="E17" s="17"/>
      <c r="F17" s="16"/>
      <c r="G17" s="19" t="str">
        <f>IF(Calc!$C$20=1,ROUND(C17*D17/1200,2),"")</f>
        <v/>
      </c>
      <c r="H17" s="12" t="str">
        <f>IF(Calc!$C$20=1,Calc!$L$20,"")</f>
        <v/>
      </c>
      <c r="I17" s="12" t="str">
        <f>IF(Calc!$C$20=1,IF(CHOOSE(Calc!$C$3,INDEX('Snowball Engine'!$AH$369:$AV$369,Calc!$I$20),INDEX('Avalanche Engine'!$AH$369:$AV$369,Calc!$J$20),INDEX('My Order Engine'!$AH$369:$AV$369,Calc!$K$20))=999,"30+ years",CHOOSE(Calc!$C$3,INDEX('Snowball Engine'!$AH$369:$AV$369,Calc!$I$20),INDEX('Avalanche Engine'!$AH$369:$AV$369,Calc!$J$20),INDEX('My Order Engine'!$AH$369:$AV$369,Calc!$K$20))),"")</f>
        <v/>
      </c>
      <c r="J17" s="20" t="str">
        <f>IF(OR(I17="",I17="30+ years"),"",EDATE(Calc!$C$5,I17-1))</f>
        <v/>
      </c>
      <c r="K17" s="19" t="str">
        <f>IF(Calc!$C$20=1,CHOOSE(Calc!$C$3,INDEX('Snowball Engine'!$AH$370:$AV$370,Calc!$I$20),INDEX('Avalanche Engine'!$AH$370:$AV$370,Calc!$J$20),INDEX('My Order Engine'!$AH$370:$AV$370,Calc!$K$20)),"")</f>
        <v/>
      </c>
      <c r="L17" s="12" t="str">
        <f>IF(Calc!$C$20=1,IF(G17&gt;=E17,"Minimum doesn't cover the interest: balance grows on minimums",IF(N(D17)=0,"0% interest","")),IF(OR(A17&lt;&gt;"",B17&lt;&gt;"",C17&lt;&gt;"",D17&lt;&gt;"",E17&lt;&gt;"",F17&lt;&gt;""),"Fix the red cells",""))</f>
        <v/>
      </c>
    </row>
    <row r="18" spans="1:12" x14ac:dyDescent="0.35">
      <c r="A18" s="16"/>
      <c r="B18" s="16"/>
      <c r="C18" s="17"/>
      <c r="D18" s="18"/>
      <c r="E18" s="17"/>
      <c r="F18" s="16"/>
      <c r="G18" s="19" t="str">
        <f>IF(Calc!$C$21=1,ROUND(C18*D18/1200,2),"")</f>
        <v/>
      </c>
      <c r="H18" s="12" t="str">
        <f>IF(Calc!$C$21=1,Calc!$L$21,"")</f>
        <v/>
      </c>
      <c r="I18" s="12" t="str">
        <f>IF(Calc!$C$21=1,IF(CHOOSE(Calc!$C$3,INDEX('Snowball Engine'!$AH$369:$AV$369,Calc!$I$21),INDEX('Avalanche Engine'!$AH$369:$AV$369,Calc!$J$21),INDEX('My Order Engine'!$AH$369:$AV$369,Calc!$K$21))=999,"30+ years",CHOOSE(Calc!$C$3,INDEX('Snowball Engine'!$AH$369:$AV$369,Calc!$I$21),INDEX('Avalanche Engine'!$AH$369:$AV$369,Calc!$J$21),INDEX('My Order Engine'!$AH$369:$AV$369,Calc!$K$21))),"")</f>
        <v/>
      </c>
      <c r="J18" s="20" t="str">
        <f>IF(OR(I18="",I18="30+ years"),"",EDATE(Calc!$C$5,I18-1))</f>
        <v/>
      </c>
      <c r="K18" s="19" t="str">
        <f>IF(Calc!$C$21=1,CHOOSE(Calc!$C$3,INDEX('Snowball Engine'!$AH$370:$AV$370,Calc!$I$21),INDEX('Avalanche Engine'!$AH$370:$AV$370,Calc!$J$21),INDEX('My Order Engine'!$AH$370:$AV$370,Calc!$K$21)),"")</f>
        <v/>
      </c>
      <c r="L18" s="12" t="str">
        <f>IF(Calc!$C$21=1,IF(G18&gt;=E18,"Minimum doesn't cover the interest: balance grows on minimums",IF(N(D18)=0,"0% interest","")),IF(OR(A18&lt;&gt;"",B18&lt;&gt;"",C18&lt;&gt;"",D18&lt;&gt;"",E18&lt;&gt;"",F18&lt;&gt;""),"Fix the red cells",""))</f>
        <v/>
      </c>
    </row>
    <row r="19" spans="1:12" x14ac:dyDescent="0.35">
      <c r="A19" s="16"/>
      <c r="B19" s="16"/>
      <c r="C19" s="17"/>
      <c r="D19" s="18"/>
      <c r="E19" s="17"/>
      <c r="F19" s="16"/>
      <c r="G19" s="19" t="str">
        <f>IF(Calc!$C$22=1,ROUND(C19*D19/1200,2),"")</f>
        <v/>
      </c>
      <c r="H19" s="12" t="str">
        <f>IF(Calc!$C$22=1,Calc!$L$22,"")</f>
        <v/>
      </c>
      <c r="I19" s="12" t="str">
        <f>IF(Calc!$C$22=1,IF(CHOOSE(Calc!$C$3,INDEX('Snowball Engine'!$AH$369:$AV$369,Calc!$I$22),INDEX('Avalanche Engine'!$AH$369:$AV$369,Calc!$J$22),INDEX('My Order Engine'!$AH$369:$AV$369,Calc!$K$22))=999,"30+ years",CHOOSE(Calc!$C$3,INDEX('Snowball Engine'!$AH$369:$AV$369,Calc!$I$22),INDEX('Avalanche Engine'!$AH$369:$AV$369,Calc!$J$22),INDEX('My Order Engine'!$AH$369:$AV$369,Calc!$K$22))),"")</f>
        <v/>
      </c>
      <c r="J19" s="20" t="str">
        <f>IF(OR(I19="",I19="30+ years"),"",EDATE(Calc!$C$5,I19-1))</f>
        <v/>
      </c>
      <c r="K19" s="19" t="str">
        <f>IF(Calc!$C$22=1,CHOOSE(Calc!$C$3,INDEX('Snowball Engine'!$AH$370:$AV$370,Calc!$I$22),INDEX('Avalanche Engine'!$AH$370:$AV$370,Calc!$J$22),INDEX('My Order Engine'!$AH$370:$AV$370,Calc!$K$22)),"")</f>
        <v/>
      </c>
      <c r="L19" s="12" t="str">
        <f>IF(Calc!$C$22=1,IF(G19&gt;=E19,"Minimum doesn't cover the interest: balance grows on minimums",IF(N(D19)=0,"0% interest","")),IF(OR(A19&lt;&gt;"",B19&lt;&gt;"",C19&lt;&gt;"",D19&lt;&gt;"",E19&lt;&gt;"",F19&lt;&gt;""),"Fix the red cells",""))</f>
        <v/>
      </c>
    </row>
    <row r="20" spans="1:12" x14ac:dyDescent="0.35">
      <c r="A20" s="16"/>
      <c r="B20" s="16"/>
      <c r="C20" s="17"/>
      <c r="D20" s="18"/>
      <c r="E20" s="17"/>
      <c r="F20" s="16"/>
      <c r="G20" s="19" t="str">
        <f>IF(Calc!$C$23=1,ROUND(C20*D20/1200,2),"")</f>
        <v/>
      </c>
      <c r="H20" s="12" t="str">
        <f>IF(Calc!$C$23=1,Calc!$L$23,"")</f>
        <v/>
      </c>
      <c r="I20" s="12" t="str">
        <f>IF(Calc!$C$23=1,IF(CHOOSE(Calc!$C$3,INDEX('Snowball Engine'!$AH$369:$AV$369,Calc!$I$23),INDEX('Avalanche Engine'!$AH$369:$AV$369,Calc!$J$23),INDEX('My Order Engine'!$AH$369:$AV$369,Calc!$K$23))=999,"30+ years",CHOOSE(Calc!$C$3,INDEX('Snowball Engine'!$AH$369:$AV$369,Calc!$I$23),INDEX('Avalanche Engine'!$AH$369:$AV$369,Calc!$J$23),INDEX('My Order Engine'!$AH$369:$AV$369,Calc!$K$23))),"")</f>
        <v/>
      </c>
      <c r="J20" s="20" t="str">
        <f>IF(OR(I20="",I20="30+ years"),"",EDATE(Calc!$C$5,I20-1))</f>
        <v/>
      </c>
      <c r="K20" s="19" t="str">
        <f>IF(Calc!$C$23=1,CHOOSE(Calc!$C$3,INDEX('Snowball Engine'!$AH$370:$AV$370,Calc!$I$23),INDEX('Avalanche Engine'!$AH$370:$AV$370,Calc!$J$23),INDEX('My Order Engine'!$AH$370:$AV$370,Calc!$K$23)),"")</f>
        <v/>
      </c>
      <c r="L20" s="12" t="str">
        <f>IF(Calc!$C$23=1,IF(G20&gt;=E20,"Minimum doesn't cover the interest: balance grows on minimums",IF(N(D20)=0,"0% interest","")),IF(OR(A20&lt;&gt;"",B20&lt;&gt;"",C20&lt;&gt;"",D20&lt;&gt;"",E20&lt;&gt;"",F20&lt;&gt;""),"Fix the red cells",""))</f>
        <v/>
      </c>
    </row>
    <row r="21" spans="1:12" x14ac:dyDescent="0.35">
      <c r="A21" s="16"/>
      <c r="B21" s="16"/>
      <c r="C21" s="17"/>
      <c r="D21" s="18"/>
      <c r="E21" s="17"/>
      <c r="F21" s="16"/>
      <c r="G21" s="19" t="str">
        <f>IF(Calc!$C$24=1,ROUND(C21*D21/1200,2),"")</f>
        <v/>
      </c>
      <c r="H21" s="12" t="str">
        <f>IF(Calc!$C$24=1,Calc!$L$24,"")</f>
        <v/>
      </c>
      <c r="I21" s="12" t="str">
        <f>IF(Calc!$C$24=1,IF(CHOOSE(Calc!$C$3,INDEX('Snowball Engine'!$AH$369:$AV$369,Calc!$I$24),INDEX('Avalanche Engine'!$AH$369:$AV$369,Calc!$J$24),INDEX('My Order Engine'!$AH$369:$AV$369,Calc!$K$24))=999,"30+ years",CHOOSE(Calc!$C$3,INDEX('Snowball Engine'!$AH$369:$AV$369,Calc!$I$24),INDEX('Avalanche Engine'!$AH$369:$AV$369,Calc!$J$24),INDEX('My Order Engine'!$AH$369:$AV$369,Calc!$K$24))),"")</f>
        <v/>
      </c>
      <c r="J21" s="20" t="str">
        <f>IF(OR(I21="",I21="30+ years"),"",EDATE(Calc!$C$5,I21-1))</f>
        <v/>
      </c>
      <c r="K21" s="19" t="str">
        <f>IF(Calc!$C$24=1,CHOOSE(Calc!$C$3,INDEX('Snowball Engine'!$AH$370:$AV$370,Calc!$I$24),INDEX('Avalanche Engine'!$AH$370:$AV$370,Calc!$J$24),INDEX('My Order Engine'!$AH$370:$AV$370,Calc!$K$24)),"")</f>
        <v/>
      </c>
      <c r="L21" s="12" t="str">
        <f>IF(Calc!$C$24=1,IF(G21&gt;=E21,"Minimum doesn't cover the interest: balance grows on minimums",IF(N(D21)=0,"0% interest","")),IF(OR(A21&lt;&gt;"",B21&lt;&gt;"",C21&lt;&gt;"",D21&lt;&gt;"",E21&lt;&gt;"",F21&lt;&gt;""),"Fix the red cells",""))</f>
        <v/>
      </c>
    </row>
    <row r="22" spans="1:12" x14ac:dyDescent="0.35">
      <c r="A22" s="21" t="s">
        <v>108</v>
      </c>
      <c r="B22" s="21"/>
      <c r="C22" s="22">
        <f>Calc!$C$9</f>
        <v>18100</v>
      </c>
      <c r="D22" s="21"/>
      <c r="E22" s="22">
        <f>Calc!$C$6</f>
        <v>550</v>
      </c>
      <c r="F22" s="21"/>
      <c r="G22" s="22">
        <f>SUM(G7:G21)</f>
        <v>201.24</v>
      </c>
      <c r="H22" s="21"/>
      <c r="I22" s="21"/>
      <c r="J22" s="21"/>
      <c r="K22" s="22">
        <f>SUM(K7:K21)</f>
        <v>2737.6400000000003</v>
      </c>
      <c r="L22" s="21"/>
    </row>
    <row r="24" spans="1:12" x14ac:dyDescent="0.35">
      <c r="A24" s="7" t="s">
        <v>109</v>
      </c>
    </row>
    <row r="25" spans="1:12" x14ac:dyDescent="0.35">
      <c r="A25" s="7" t="s">
        <v>110</v>
      </c>
    </row>
  </sheetData>
  <conditionalFormatting sqref="A7:A21">
    <cfRule type="expression" dxfId="7" priority="1">
      <formula>AND(OR(A7&lt;&gt;"",B7&lt;&gt;"",C7&lt;&gt;"",D7&lt;&gt;"",E7&lt;&gt;"",F7&lt;&gt;""),A7="")</formula>
    </cfRule>
  </conditionalFormatting>
  <conditionalFormatting sqref="C7:C21">
    <cfRule type="expression" dxfId="6" priority="2">
      <formula>AND(OR(A7&lt;&gt;"",B7&lt;&gt;"",C7&lt;&gt;"",D7&lt;&gt;"",E7&lt;&gt;"",F7&lt;&gt;""),OR(NOT(ISNUMBER(C7)),N(C7)&lt;=0))</formula>
    </cfRule>
  </conditionalFormatting>
  <conditionalFormatting sqref="D7:D21">
    <cfRule type="expression" dxfId="5" priority="3">
      <formula>AND(OR(A7&lt;&gt;"",B7&lt;&gt;"",C7&lt;&gt;"",D7&lt;&gt;"",E7&lt;&gt;"",F7&lt;&gt;""),OR(NOT(ISNUMBER(D7)),N(D7)&lt;0,N(D7)&gt;100))</formula>
    </cfRule>
  </conditionalFormatting>
  <conditionalFormatting sqref="E7:E21">
    <cfRule type="expression" dxfId="4" priority="4">
      <formula>AND(OR(A7&lt;&gt;"",B7&lt;&gt;"",C7&lt;&gt;"",D7&lt;&gt;"",E7&lt;&gt;"",F7&lt;&gt;""),OR(NOT(ISNUMBER(E7)),N(E7)&lt;=0))</formula>
    </cfRule>
    <cfRule type="expression" dxfId="3" priority="7">
      <formula>LEFT($L7,7)="Minimum"</formula>
    </cfRule>
  </conditionalFormatting>
  <conditionalFormatting sqref="F7:F21">
    <cfRule type="expression" dxfId="2" priority="5">
      <formula>AND(F7&lt;&gt;"",NOT(ISNUMBER(F7)))</formula>
    </cfRule>
  </conditionalFormatting>
  <conditionalFormatting sqref="L7:L21">
    <cfRule type="expression" dxfId="1" priority="6">
      <formula>LEFT(L7,7)="Minimum"</formula>
    </cfRule>
  </conditionalFormatting>
  <dataValidations count="4">
    <dataValidation type="decimal" allowBlank="1" showErrorMessage="1" errorTitle="Balance" error="Enter the balance as a number only (no $ sign or text)." sqref="C7:C21" xr:uid="{00000000-0002-0000-0200-000001000000}">
      <formula1>0</formula1>
      <formula2>100000000</formula2>
    </dataValidation>
    <dataValidation type="decimal" allowBlank="1" showErrorMessage="1" errorTitle="APR" error="Enter the yearly rate as a number from 0 to 100, e.g. 22.99." sqref="D7:D21" xr:uid="{00000000-0002-0000-0200-000002000000}">
      <formula1>0</formula1>
      <formula2>100</formula2>
    </dataValidation>
    <dataValidation type="decimal" allowBlank="1" showErrorMessage="1" errorTitle="Minimum" error="Enter the minimum monthly payment as a number." sqref="E7:E21" xr:uid="{00000000-0002-0000-0200-000003000000}">
      <formula1>0</formula1>
      <formula2>100000000</formula2>
    </dataValidation>
    <dataValidation type="decimal" allowBlank="1" showErrorMessage="1" errorTitle="My order" error="Enter a number (1 = pay first), or leave blank." sqref="F7:F21" xr:uid="{00000000-0002-0000-0200-000004000000}">
      <formula1>0</formula1>
      <formula2>1000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0000000}">
          <x14:formula1>
            <xm:f>Lists!$B$2:$B$10</xm:f>
          </x14:formula1>
          <xm:sqref>B7:B21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A3B4F"/>
  </sheetPr>
  <dimension ref="A1:U364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7" customWidth="1"/>
    <col min="2" max="2" width="10" customWidth="1"/>
    <col min="3" max="3" width="12" customWidth="1"/>
    <col min="4" max="4" width="11" customWidth="1"/>
    <col min="5" max="5" width="12" customWidth="1"/>
    <col min="6" max="6" width="14" customWidth="1"/>
    <col min="7" max="21" width="13" customWidth="1"/>
  </cols>
  <sheetData>
    <row r="1" spans="1:21" ht="23" x14ac:dyDescent="0.5">
      <c r="A1" s="1" t="s">
        <v>111</v>
      </c>
    </row>
    <row r="2" spans="1:21" x14ac:dyDescent="0.35">
      <c r="A2" s="2" t="str">
        <f ca="1">"Your plan: "&amp;Dashboard!$C$4&amp;". Pay "&amp;TEXT(Calc!$C$7,"$#,##0.00")&amp;" every month. Debt-free: "&amp;Calc!$C$39&amp;". Nothing to type here."</f>
        <v>Your plan: Snowball (smallest balance first). Pay $750.00 every month. Debt-free: Jan 2029. Nothing to type here.</v>
      </c>
    </row>
    <row r="4" spans="1:21" ht="36" customHeight="1" x14ac:dyDescent="0.35">
      <c r="A4" s="11" t="s">
        <v>112</v>
      </c>
      <c r="B4" s="11" t="s">
        <v>113</v>
      </c>
      <c r="C4" s="11" t="s">
        <v>114</v>
      </c>
      <c r="D4" s="11" t="s">
        <v>61</v>
      </c>
      <c r="E4" s="11" t="s">
        <v>115</v>
      </c>
      <c r="F4" s="11" t="s">
        <v>116</v>
      </c>
      <c r="G4" s="11" t="str">
        <f>IF(Calc!$C$10=1,Debts!A7,"")</f>
        <v>EXAMPLE: Visa card</v>
      </c>
      <c r="H4" s="11" t="str">
        <f>IF(Calc!$C$11=1,Debts!A8,"")</f>
        <v>EXAMPLE: Store card</v>
      </c>
      <c r="I4" s="11" t="str">
        <f>IF(Calc!$C$12=1,Debts!A9,"")</f>
        <v>EXAMPLE: Car loan</v>
      </c>
      <c r="J4" s="11" t="str">
        <f>IF(Calc!$C$13=1,Debts!A10,"")</f>
        <v>EXAMPLE: Medical bill</v>
      </c>
      <c r="K4" s="11" t="str">
        <f>IF(Calc!$C$14=1,Debts!A11,"")</f>
        <v/>
      </c>
      <c r="L4" s="11" t="str">
        <f>IF(Calc!$C$15=1,Debts!A12,"")</f>
        <v/>
      </c>
      <c r="M4" s="11" t="str">
        <f>IF(Calc!$C$16=1,Debts!A13,"")</f>
        <v/>
      </c>
      <c r="N4" s="11" t="str">
        <f>IF(Calc!$C$17=1,Debts!A14,"")</f>
        <v/>
      </c>
      <c r="O4" s="11" t="str">
        <f>IF(Calc!$C$18=1,Debts!A15,"")</f>
        <v/>
      </c>
      <c r="P4" s="11" t="str">
        <f>IF(Calc!$C$19=1,Debts!A16,"")</f>
        <v/>
      </c>
      <c r="Q4" s="11" t="str">
        <f>IF(Calc!$C$20=1,Debts!A17,"")</f>
        <v/>
      </c>
      <c r="R4" s="11" t="str">
        <f>IF(Calc!$C$21=1,Debts!A18,"")</f>
        <v/>
      </c>
      <c r="S4" s="11" t="str">
        <f>IF(Calc!$C$22=1,Debts!A19,"")</f>
        <v/>
      </c>
      <c r="T4" s="11" t="str">
        <f>IF(Calc!$C$23=1,Debts!A20,"")</f>
        <v/>
      </c>
      <c r="U4" s="11" t="str">
        <f>IF(Calc!$C$24=1,Debts!A21,"")</f>
        <v/>
      </c>
    </row>
    <row r="5" spans="1:21" x14ac:dyDescent="0.35">
      <c r="A5" s="23">
        <v>1</v>
      </c>
      <c r="B5" s="24">
        <f ca="1">IF($A5&lt;=IF(Calc!$C$36=999,360,Calc!$C$36),EDATE(Calc!$C$5,A5-1),"")</f>
        <v>46296</v>
      </c>
      <c r="C5" s="25">
        <f>IF($A5&lt;=IF(Calc!$C$36=999,360,Calc!$C$36),CHOOSE(Calc!$C$3,'Snowball Engine'!AY7,'Avalanche Engine'!AY7,'My Order Engine'!AY7),"")</f>
        <v>750</v>
      </c>
      <c r="D5" s="25">
        <f>IF($A5&lt;=IF(Calc!$C$36=999,360,Calc!$C$36),CHOOSE(Calc!$C$3,'Snowball Engine'!AX7,'Avalanche Engine'!AX7,'My Order Engine'!AX7),"")</f>
        <v>201.24</v>
      </c>
      <c r="E5" s="25">
        <f>IF($A5&lt;=IF(Calc!$C$36=999,360,Calc!$C$36),C5-D5,"")</f>
        <v>548.76</v>
      </c>
      <c r="F5" s="25">
        <f>IF($A5&lt;=IF(Calc!$C$36=999,360,Calc!$C$36),CHOOSE(Calc!$C$3,'Snowball Engine'!AW7,'Avalanche Engine'!AW7,'My Order Engine'!AW7),"")</f>
        <v>17551.239999999998</v>
      </c>
      <c r="G5" s="25">
        <f>IF(AND($A5&lt;=IF(Calc!$C$36=999,360,Calc!$C$36),Calc!$C$10=1),CHOOSE(Calc!$C$3,INDEX('Snowball Engine'!$AH7:$AV7,Calc!$I$10),INDEX('Avalanche Engine'!$AH7:$AV7,Calc!$J$10),INDEX('My Order Engine'!$AH7:$AV7,Calc!$K$10)),"")</f>
        <v>4806</v>
      </c>
      <c r="H5" s="25">
        <f>IF(AND($A5&lt;=IF(Calc!$C$36=999,360,Calc!$C$36),Calc!$C$11=1),CHOOSE(Calc!$C$3,INDEX('Snowball Engine'!$AH7:$AV7,Calc!$I$11),INDEX('Avalanche Engine'!$AH7:$AV7,Calc!$J$11),INDEX('My Order Engine'!$AH7:$AV7,Calc!$K$11)),"")</f>
        <v>1188.99</v>
      </c>
      <c r="I5" s="25">
        <f>IF(AND($A5&lt;=IF(Calc!$C$36=999,360,Calc!$C$36),Calc!$C$12=1),CHOOSE(Calc!$C$3,INDEX('Snowball Engine'!$AH7:$AV7,Calc!$I$12),INDEX('Avalanche Engine'!$AH7:$AV7,Calc!$J$12),INDEX('My Order Engine'!$AH7:$AV7,Calc!$K$12)),"")</f>
        <v>11156.25</v>
      </c>
      <c r="J5" s="25">
        <f>IF(AND($A5&lt;=IF(Calc!$C$36=999,360,Calc!$C$36),Calc!$C$13=1),CHOOSE(Calc!$C$3,INDEX('Snowball Engine'!$AH7:$AV7,Calc!$I$13),INDEX('Avalanche Engine'!$AH7:$AV7,Calc!$J$13),INDEX('My Order Engine'!$AH7:$AV7,Calc!$K$13)),"")</f>
        <v>400</v>
      </c>
      <c r="K5" s="25" t="str">
        <f>IF(AND($A5&lt;=IF(Calc!$C$36=999,360,Calc!$C$36),Calc!$C$14=1),CHOOSE(Calc!$C$3,INDEX('Snowball Engine'!$AH7:$AV7,Calc!$I$14),INDEX('Avalanche Engine'!$AH7:$AV7,Calc!$J$14),INDEX('My Order Engine'!$AH7:$AV7,Calc!$K$14)),"")</f>
        <v/>
      </c>
      <c r="L5" s="25" t="str">
        <f>IF(AND($A5&lt;=IF(Calc!$C$36=999,360,Calc!$C$36),Calc!$C$15=1),CHOOSE(Calc!$C$3,INDEX('Snowball Engine'!$AH7:$AV7,Calc!$I$15),INDEX('Avalanche Engine'!$AH7:$AV7,Calc!$J$15),INDEX('My Order Engine'!$AH7:$AV7,Calc!$K$15)),"")</f>
        <v/>
      </c>
      <c r="M5" s="25" t="str">
        <f>IF(AND($A5&lt;=IF(Calc!$C$36=999,360,Calc!$C$36),Calc!$C$16=1),CHOOSE(Calc!$C$3,INDEX('Snowball Engine'!$AH7:$AV7,Calc!$I$16),INDEX('Avalanche Engine'!$AH7:$AV7,Calc!$J$16),INDEX('My Order Engine'!$AH7:$AV7,Calc!$K$16)),"")</f>
        <v/>
      </c>
      <c r="N5" s="25" t="str">
        <f>IF(AND($A5&lt;=IF(Calc!$C$36=999,360,Calc!$C$36),Calc!$C$17=1),CHOOSE(Calc!$C$3,INDEX('Snowball Engine'!$AH7:$AV7,Calc!$I$17),INDEX('Avalanche Engine'!$AH7:$AV7,Calc!$J$17),INDEX('My Order Engine'!$AH7:$AV7,Calc!$K$17)),"")</f>
        <v/>
      </c>
      <c r="O5" s="25" t="str">
        <f>IF(AND($A5&lt;=IF(Calc!$C$36=999,360,Calc!$C$36),Calc!$C$18=1),CHOOSE(Calc!$C$3,INDEX('Snowball Engine'!$AH7:$AV7,Calc!$I$18),INDEX('Avalanche Engine'!$AH7:$AV7,Calc!$J$18),INDEX('My Order Engine'!$AH7:$AV7,Calc!$K$18)),"")</f>
        <v/>
      </c>
      <c r="P5" s="25" t="str">
        <f>IF(AND($A5&lt;=IF(Calc!$C$36=999,360,Calc!$C$36),Calc!$C$19=1),CHOOSE(Calc!$C$3,INDEX('Snowball Engine'!$AH7:$AV7,Calc!$I$19),INDEX('Avalanche Engine'!$AH7:$AV7,Calc!$J$19),INDEX('My Order Engine'!$AH7:$AV7,Calc!$K$19)),"")</f>
        <v/>
      </c>
      <c r="Q5" s="25" t="str">
        <f>IF(AND($A5&lt;=IF(Calc!$C$36=999,360,Calc!$C$36),Calc!$C$20=1),CHOOSE(Calc!$C$3,INDEX('Snowball Engine'!$AH7:$AV7,Calc!$I$20),INDEX('Avalanche Engine'!$AH7:$AV7,Calc!$J$20),INDEX('My Order Engine'!$AH7:$AV7,Calc!$K$20)),"")</f>
        <v/>
      </c>
      <c r="R5" s="25" t="str">
        <f>IF(AND($A5&lt;=IF(Calc!$C$36=999,360,Calc!$C$36),Calc!$C$21=1),CHOOSE(Calc!$C$3,INDEX('Snowball Engine'!$AH7:$AV7,Calc!$I$21),INDEX('Avalanche Engine'!$AH7:$AV7,Calc!$J$21),INDEX('My Order Engine'!$AH7:$AV7,Calc!$K$21)),"")</f>
        <v/>
      </c>
      <c r="S5" s="25" t="str">
        <f>IF(AND($A5&lt;=IF(Calc!$C$36=999,360,Calc!$C$36),Calc!$C$22=1),CHOOSE(Calc!$C$3,INDEX('Snowball Engine'!$AH7:$AV7,Calc!$I$22),INDEX('Avalanche Engine'!$AH7:$AV7,Calc!$J$22),INDEX('My Order Engine'!$AH7:$AV7,Calc!$K$22)),"")</f>
        <v/>
      </c>
      <c r="T5" s="25" t="str">
        <f>IF(AND($A5&lt;=IF(Calc!$C$36=999,360,Calc!$C$36),Calc!$C$23=1),CHOOSE(Calc!$C$3,INDEX('Snowball Engine'!$AH7:$AV7,Calc!$I$23),INDEX('Avalanche Engine'!$AH7:$AV7,Calc!$J$23),INDEX('My Order Engine'!$AH7:$AV7,Calc!$K$23)),"")</f>
        <v/>
      </c>
      <c r="U5" s="25" t="str">
        <f>IF(AND($A5&lt;=IF(Calc!$C$36=999,360,Calc!$C$36),Calc!$C$24=1),CHOOSE(Calc!$C$3,INDEX('Snowball Engine'!$AH7:$AV7,Calc!$I$24),INDEX('Avalanche Engine'!$AH7:$AV7,Calc!$J$24),INDEX('My Order Engine'!$AH7:$AV7,Calc!$K$24)),"")</f>
        <v/>
      </c>
    </row>
    <row r="6" spans="1:21" x14ac:dyDescent="0.35">
      <c r="A6" s="23">
        <v>2</v>
      </c>
      <c r="B6" s="24">
        <f ca="1">IF($A6&lt;=IF(Calc!$C$36=999,360,Calc!$C$36),EDATE(Calc!$C$5,A6-1),"")</f>
        <v>46327</v>
      </c>
      <c r="C6" s="25">
        <f>IF($A6&lt;=IF(Calc!$C$36=999,360,Calc!$C$36),CHOOSE(Calc!$C$3,'Snowball Engine'!AY8,'Avalanche Engine'!AY8,'My Order Engine'!AY8),"")</f>
        <v>750</v>
      </c>
      <c r="D6" s="25">
        <f>IF($A6&lt;=IF(Calc!$C$36=999,360,Calc!$C$36),CHOOSE(Calc!$C$3,'Snowball Engine'!AX8,'Avalanche Engine'!AX8,'My Order Engine'!AX8),"")</f>
        <v>198.53000000000003</v>
      </c>
      <c r="E6" s="25">
        <f>IF($A6&lt;=IF(Calc!$C$36=999,360,Calc!$C$36),C6-D6,"")</f>
        <v>551.47</v>
      </c>
      <c r="F6" s="25">
        <f>IF($A6&lt;=IF(Calc!$C$36=999,360,Calc!$C$36),CHOOSE(Calc!$C$3,'Snowball Engine'!AW8,'Avalanche Engine'!AW8,'My Order Engine'!AW8),"")</f>
        <v>16999.77</v>
      </c>
      <c r="G6" s="25">
        <f>IF(AND($A6&lt;=IF(Calc!$C$36=999,360,Calc!$C$36),Calc!$C$10=1),CHOOSE(Calc!$C$3,INDEX('Snowball Engine'!$AH8:$AV8,Calc!$I$10),INDEX('Avalanche Engine'!$AH8:$AV8,Calc!$J$10),INDEX('My Order Engine'!$AH8:$AV8,Calc!$K$10)),"")</f>
        <v>4761.08</v>
      </c>
      <c r="H6" s="25">
        <f>IF(AND($A6&lt;=IF(Calc!$C$36=999,360,Calc!$C$36),Calc!$C$11=1),CHOOSE(Calc!$C$3,INDEX('Snowball Engine'!$AH8:$AV8,Calc!$I$11),INDEX('Avalanche Engine'!$AH8:$AV8,Calc!$J$11),INDEX('My Order Engine'!$AH8:$AV8,Calc!$K$11)),"")</f>
        <v>1177.71</v>
      </c>
      <c r="I6" s="25">
        <f>IF(AND($A6&lt;=IF(Calc!$C$36=999,360,Calc!$C$36),Calc!$C$12=1),CHOOSE(Calc!$C$3,INDEX('Snowball Engine'!$AH8:$AV8,Calc!$I$12),INDEX('Avalanche Engine'!$AH8:$AV8,Calc!$J$12),INDEX('My Order Engine'!$AH8:$AV8,Calc!$K$12)),"")</f>
        <v>10910.98</v>
      </c>
      <c r="J6" s="25">
        <f>IF(AND($A6&lt;=IF(Calc!$C$36=999,360,Calc!$C$36),Calc!$C$13=1),CHOOSE(Calc!$C$3,INDEX('Snowball Engine'!$AH8:$AV8,Calc!$I$13),INDEX('Avalanche Engine'!$AH8:$AV8,Calc!$J$13),INDEX('My Order Engine'!$AH8:$AV8,Calc!$K$13)),"")</f>
        <v>150</v>
      </c>
      <c r="K6" s="25" t="str">
        <f>IF(AND($A6&lt;=IF(Calc!$C$36=999,360,Calc!$C$36),Calc!$C$14=1),CHOOSE(Calc!$C$3,INDEX('Snowball Engine'!$AH8:$AV8,Calc!$I$14),INDEX('Avalanche Engine'!$AH8:$AV8,Calc!$J$14),INDEX('My Order Engine'!$AH8:$AV8,Calc!$K$14)),"")</f>
        <v/>
      </c>
      <c r="L6" s="25" t="str">
        <f>IF(AND($A6&lt;=IF(Calc!$C$36=999,360,Calc!$C$36),Calc!$C$15=1),CHOOSE(Calc!$C$3,INDEX('Snowball Engine'!$AH8:$AV8,Calc!$I$15),INDEX('Avalanche Engine'!$AH8:$AV8,Calc!$J$15),INDEX('My Order Engine'!$AH8:$AV8,Calc!$K$15)),"")</f>
        <v/>
      </c>
      <c r="M6" s="25" t="str">
        <f>IF(AND($A6&lt;=IF(Calc!$C$36=999,360,Calc!$C$36),Calc!$C$16=1),CHOOSE(Calc!$C$3,INDEX('Snowball Engine'!$AH8:$AV8,Calc!$I$16),INDEX('Avalanche Engine'!$AH8:$AV8,Calc!$J$16),INDEX('My Order Engine'!$AH8:$AV8,Calc!$K$16)),"")</f>
        <v/>
      </c>
      <c r="N6" s="25" t="str">
        <f>IF(AND($A6&lt;=IF(Calc!$C$36=999,360,Calc!$C$36),Calc!$C$17=1),CHOOSE(Calc!$C$3,INDEX('Snowball Engine'!$AH8:$AV8,Calc!$I$17),INDEX('Avalanche Engine'!$AH8:$AV8,Calc!$J$17),INDEX('My Order Engine'!$AH8:$AV8,Calc!$K$17)),"")</f>
        <v/>
      </c>
      <c r="O6" s="25" t="str">
        <f>IF(AND($A6&lt;=IF(Calc!$C$36=999,360,Calc!$C$36),Calc!$C$18=1),CHOOSE(Calc!$C$3,INDEX('Snowball Engine'!$AH8:$AV8,Calc!$I$18),INDEX('Avalanche Engine'!$AH8:$AV8,Calc!$J$18),INDEX('My Order Engine'!$AH8:$AV8,Calc!$K$18)),"")</f>
        <v/>
      </c>
      <c r="P6" s="25" t="str">
        <f>IF(AND($A6&lt;=IF(Calc!$C$36=999,360,Calc!$C$36),Calc!$C$19=1),CHOOSE(Calc!$C$3,INDEX('Snowball Engine'!$AH8:$AV8,Calc!$I$19),INDEX('Avalanche Engine'!$AH8:$AV8,Calc!$J$19),INDEX('My Order Engine'!$AH8:$AV8,Calc!$K$19)),"")</f>
        <v/>
      </c>
      <c r="Q6" s="25" t="str">
        <f>IF(AND($A6&lt;=IF(Calc!$C$36=999,360,Calc!$C$36),Calc!$C$20=1),CHOOSE(Calc!$C$3,INDEX('Snowball Engine'!$AH8:$AV8,Calc!$I$20),INDEX('Avalanche Engine'!$AH8:$AV8,Calc!$J$20),INDEX('My Order Engine'!$AH8:$AV8,Calc!$K$20)),"")</f>
        <v/>
      </c>
      <c r="R6" s="25" t="str">
        <f>IF(AND($A6&lt;=IF(Calc!$C$36=999,360,Calc!$C$36),Calc!$C$21=1),CHOOSE(Calc!$C$3,INDEX('Snowball Engine'!$AH8:$AV8,Calc!$I$21),INDEX('Avalanche Engine'!$AH8:$AV8,Calc!$J$21),INDEX('My Order Engine'!$AH8:$AV8,Calc!$K$21)),"")</f>
        <v/>
      </c>
      <c r="S6" s="25" t="str">
        <f>IF(AND($A6&lt;=IF(Calc!$C$36=999,360,Calc!$C$36),Calc!$C$22=1),CHOOSE(Calc!$C$3,INDEX('Snowball Engine'!$AH8:$AV8,Calc!$I$22),INDEX('Avalanche Engine'!$AH8:$AV8,Calc!$J$22),INDEX('My Order Engine'!$AH8:$AV8,Calc!$K$22)),"")</f>
        <v/>
      </c>
      <c r="T6" s="25" t="str">
        <f>IF(AND($A6&lt;=IF(Calc!$C$36=999,360,Calc!$C$36),Calc!$C$23=1),CHOOSE(Calc!$C$3,INDEX('Snowball Engine'!$AH8:$AV8,Calc!$I$23),INDEX('Avalanche Engine'!$AH8:$AV8,Calc!$J$23),INDEX('My Order Engine'!$AH8:$AV8,Calc!$K$23)),"")</f>
        <v/>
      </c>
      <c r="U6" s="25" t="str">
        <f>IF(AND($A6&lt;=IF(Calc!$C$36=999,360,Calc!$C$36),Calc!$C$24=1),CHOOSE(Calc!$C$3,INDEX('Snowball Engine'!$AH8:$AV8,Calc!$I$24),INDEX('Avalanche Engine'!$AH8:$AV8,Calc!$J$24),INDEX('My Order Engine'!$AH8:$AV8,Calc!$K$24)),"")</f>
        <v/>
      </c>
    </row>
    <row r="7" spans="1:21" x14ac:dyDescent="0.35">
      <c r="A7" s="23">
        <v>3</v>
      </c>
      <c r="B7" s="24">
        <f ca="1">IF($A7&lt;=IF(Calc!$C$36=999,360,Calc!$C$36),EDATE(Calc!$C$5,A7-1),"")</f>
        <v>46357</v>
      </c>
      <c r="C7" s="25">
        <f>IF($A7&lt;=IF(Calc!$C$36=999,360,Calc!$C$36),CHOOSE(Calc!$C$3,'Snowball Engine'!AY9,'Avalanche Engine'!AY9,'My Order Engine'!AY9),"")</f>
        <v>750</v>
      </c>
      <c r="D7" s="25">
        <f>IF($A7&lt;=IF(Calc!$C$36=999,360,Calc!$C$36),CHOOSE(Calc!$C$3,'Snowball Engine'!AX9,'Avalanche Engine'!AX9,'My Order Engine'!AX9),"")</f>
        <v>195.79000000000002</v>
      </c>
      <c r="E7" s="25">
        <f>IF($A7&lt;=IF(Calc!$C$36=999,360,Calc!$C$36),C7-D7,"")</f>
        <v>554.21</v>
      </c>
      <c r="F7" s="25">
        <f>IF($A7&lt;=IF(Calc!$C$36=999,360,Calc!$C$36),CHOOSE(Calc!$C$3,'Snowball Engine'!AW9,'Avalanche Engine'!AW9,'My Order Engine'!AW9),"")</f>
        <v>16445.559999999998</v>
      </c>
      <c r="G7" s="25">
        <f>IF(AND($A7&lt;=IF(Calc!$C$36=999,360,Calc!$C$36),Calc!$C$10=1),CHOOSE(Calc!$C$3,INDEX('Snowball Engine'!$AH9:$AV9,Calc!$I$10),INDEX('Avalanche Engine'!$AH9:$AV9,Calc!$J$10),INDEX('My Order Engine'!$AH9:$AV9,Calc!$K$10)),"")</f>
        <v>4715.2299999999996</v>
      </c>
      <c r="H7" s="25">
        <f>IF(AND($A7&lt;=IF(Calc!$C$36=999,360,Calc!$C$36),Calc!$C$11=1),CHOOSE(Calc!$C$3,INDEX('Snowball Engine'!$AH9:$AV9,Calc!$I$11),INDEX('Avalanche Engine'!$AH9:$AV9,Calc!$J$11),INDEX('My Order Engine'!$AH9:$AV9,Calc!$K$11)),"")</f>
        <v>1066.1600000000001</v>
      </c>
      <c r="I7" s="25">
        <f>IF(AND($A7&lt;=IF(Calc!$C$36=999,360,Calc!$C$36),Calc!$C$12=1),CHOOSE(Calc!$C$3,INDEX('Snowball Engine'!$AH9:$AV9,Calc!$I$12),INDEX('Avalanche Engine'!$AH9:$AV9,Calc!$J$12),INDEX('My Order Engine'!$AH9:$AV9,Calc!$K$12)),"")</f>
        <v>10664.17</v>
      </c>
      <c r="J7" s="25">
        <f>IF(AND($A7&lt;=IF(Calc!$C$36=999,360,Calc!$C$36),Calc!$C$13=1),CHOOSE(Calc!$C$3,INDEX('Snowball Engine'!$AH9:$AV9,Calc!$I$13),INDEX('Avalanche Engine'!$AH9:$AV9,Calc!$J$13),INDEX('My Order Engine'!$AH9:$AV9,Calc!$K$13)),"")</f>
        <v>0</v>
      </c>
      <c r="K7" s="25" t="str">
        <f>IF(AND($A7&lt;=IF(Calc!$C$36=999,360,Calc!$C$36),Calc!$C$14=1),CHOOSE(Calc!$C$3,INDEX('Snowball Engine'!$AH9:$AV9,Calc!$I$14),INDEX('Avalanche Engine'!$AH9:$AV9,Calc!$J$14),INDEX('My Order Engine'!$AH9:$AV9,Calc!$K$14)),"")</f>
        <v/>
      </c>
      <c r="L7" s="25" t="str">
        <f>IF(AND($A7&lt;=IF(Calc!$C$36=999,360,Calc!$C$36),Calc!$C$15=1),CHOOSE(Calc!$C$3,INDEX('Snowball Engine'!$AH9:$AV9,Calc!$I$15),INDEX('Avalanche Engine'!$AH9:$AV9,Calc!$J$15),INDEX('My Order Engine'!$AH9:$AV9,Calc!$K$15)),"")</f>
        <v/>
      </c>
      <c r="M7" s="25" t="str">
        <f>IF(AND($A7&lt;=IF(Calc!$C$36=999,360,Calc!$C$36),Calc!$C$16=1),CHOOSE(Calc!$C$3,INDEX('Snowball Engine'!$AH9:$AV9,Calc!$I$16),INDEX('Avalanche Engine'!$AH9:$AV9,Calc!$J$16),INDEX('My Order Engine'!$AH9:$AV9,Calc!$K$16)),"")</f>
        <v/>
      </c>
      <c r="N7" s="25" t="str">
        <f>IF(AND($A7&lt;=IF(Calc!$C$36=999,360,Calc!$C$36),Calc!$C$17=1),CHOOSE(Calc!$C$3,INDEX('Snowball Engine'!$AH9:$AV9,Calc!$I$17),INDEX('Avalanche Engine'!$AH9:$AV9,Calc!$J$17),INDEX('My Order Engine'!$AH9:$AV9,Calc!$K$17)),"")</f>
        <v/>
      </c>
      <c r="O7" s="25" t="str">
        <f>IF(AND($A7&lt;=IF(Calc!$C$36=999,360,Calc!$C$36),Calc!$C$18=1),CHOOSE(Calc!$C$3,INDEX('Snowball Engine'!$AH9:$AV9,Calc!$I$18),INDEX('Avalanche Engine'!$AH9:$AV9,Calc!$J$18),INDEX('My Order Engine'!$AH9:$AV9,Calc!$K$18)),"")</f>
        <v/>
      </c>
      <c r="P7" s="25" t="str">
        <f>IF(AND($A7&lt;=IF(Calc!$C$36=999,360,Calc!$C$36),Calc!$C$19=1),CHOOSE(Calc!$C$3,INDEX('Snowball Engine'!$AH9:$AV9,Calc!$I$19),INDEX('Avalanche Engine'!$AH9:$AV9,Calc!$J$19),INDEX('My Order Engine'!$AH9:$AV9,Calc!$K$19)),"")</f>
        <v/>
      </c>
      <c r="Q7" s="25" t="str">
        <f>IF(AND($A7&lt;=IF(Calc!$C$36=999,360,Calc!$C$36),Calc!$C$20=1),CHOOSE(Calc!$C$3,INDEX('Snowball Engine'!$AH9:$AV9,Calc!$I$20),INDEX('Avalanche Engine'!$AH9:$AV9,Calc!$J$20),INDEX('My Order Engine'!$AH9:$AV9,Calc!$K$20)),"")</f>
        <v/>
      </c>
      <c r="R7" s="25" t="str">
        <f>IF(AND($A7&lt;=IF(Calc!$C$36=999,360,Calc!$C$36),Calc!$C$21=1),CHOOSE(Calc!$C$3,INDEX('Snowball Engine'!$AH9:$AV9,Calc!$I$21),INDEX('Avalanche Engine'!$AH9:$AV9,Calc!$J$21),INDEX('My Order Engine'!$AH9:$AV9,Calc!$K$21)),"")</f>
        <v/>
      </c>
      <c r="S7" s="25" t="str">
        <f>IF(AND($A7&lt;=IF(Calc!$C$36=999,360,Calc!$C$36),Calc!$C$22=1),CHOOSE(Calc!$C$3,INDEX('Snowball Engine'!$AH9:$AV9,Calc!$I$22),INDEX('Avalanche Engine'!$AH9:$AV9,Calc!$J$22),INDEX('My Order Engine'!$AH9:$AV9,Calc!$K$22)),"")</f>
        <v/>
      </c>
      <c r="T7" s="25" t="str">
        <f>IF(AND($A7&lt;=IF(Calc!$C$36=999,360,Calc!$C$36),Calc!$C$23=1),CHOOSE(Calc!$C$3,INDEX('Snowball Engine'!$AH9:$AV9,Calc!$I$23),INDEX('Avalanche Engine'!$AH9:$AV9,Calc!$J$23),INDEX('My Order Engine'!$AH9:$AV9,Calc!$K$23)),"")</f>
        <v/>
      </c>
      <c r="U7" s="25" t="str">
        <f>IF(AND($A7&lt;=IF(Calc!$C$36=999,360,Calc!$C$36),Calc!$C$24=1),CHOOSE(Calc!$C$3,INDEX('Snowball Engine'!$AH9:$AV9,Calc!$I$24),INDEX('Avalanche Engine'!$AH9:$AV9,Calc!$J$24),INDEX('My Order Engine'!$AH9:$AV9,Calc!$K$24)),"")</f>
        <v/>
      </c>
    </row>
    <row r="8" spans="1:21" x14ac:dyDescent="0.35">
      <c r="A8" s="23">
        <v>4</v>
      </c>
      <c r="B8" s="24">
        <f ca="1">IF($A8&lt;=IF(Calc!$C$36=999,360,Calc!$C$36),EDATE(Calc!$C$5,A8-1),"")</f>
        <v>46388</v>
      </c>
      <c r="C8" s="25">
        <f>IF($A8&lt;=IF(Calc!$C$36=999,360,Calc!$C$36),CHOOSE(Calc!$C$3,'Snowball Engine'!AY10,'Avalanche Engine'!AY10,'My Order Engine'!AY10),"")</f>
        <v>750</v>
      </c>
      <c r="D8" s="25">
        <f>IF($A8&lt;=IF(Calc!$C$36=999,360,Calc!$C$36),CHOOSE(Calc!$C$3,'Snowball Engine'!AX10,'Avalanche Engine'!AX10,'My Order Engine'!AX10),"")</f>
        <v>190.60000000000002</v>
      </c>
      <c r="E8" s="25">
        <f>IF($A8&lt;=IF(Calc!$C$36=999,360,Calc!$C$36),C8-D8,"")</f>
        <v>559.4</v>
      </c>
      <c r="F8" s="25">
        <f>IF($A8&lt;=IF(Calc!$C$36=999,360,Calc!$C$36),CHOOSE(Calc!$C$3,'Snowball Engine'!AW10,'Avalanche Engine'!AW10,'My Order Engine'!AW10),"")</f>
        <v>15886.16</v>
      </c>
      <c r="G8" s="25">
        <f>IF(AND($A8&lt;=IF(Calc!$C$36=999,360,Calc!$C$36),Calc!$C$10=1),CHOOSE(Calc!$C$3,INDEX('Snowball Engine'!$AH10:$AV10,Calc!$I$10),INDEX('Avalanche Engine'!$AH10:$AV10,Calc!$J$10),INDEX('My Order Engine'!$AH10:$AV10,Calc!$K$10)),"")</f>
        <v>4668.42</v>
      </c>
      <c r="H8" s="25">
        <f>IF(AND($A8&lt;=IF(Calc!$C$36=999,360,Calc!$C$36),Calc!$C$11=1),CHOOSE(Calc!$C$3,INDEX('Snowball Engine'!$AH10:$AV10,Calc!$I$11),INDEX('Avalanche Engine'!$AH10:$AV10,Calc!$J$11),INDEX('My Order Engine'!$AH10:$AV10,Calc!$K$11)),"")</f>
        <v>801.92</v>
      </c>
      <c r="I8" s="25">
        <f>IF(AND($A8&lt;=IF(Calc!$C$36=999,360,Calc!$C$36),Calc!$C$12=1),CHOOSE(Calc!$C$3,INDEX('Snowball Engine'!$AH10:$AV10,Calc!$I$12),INDEX('Avalanche Engine'!$AH10:$AV10,Calc!$J$12),INDEX('My Order Engine'!$AH10:$AV10,Calc!$K$12)),"")</f>
        <v>10415.82</v>
      </c>
      <c r="J8" s="25">
        <f>IF(AND($A8&lt;=IF(Calc!$C$36=999,360,Calc!$C$36),Calc!$C$13=1),CHOOSE(Calc!$C$3,INDEX('Snowball Engine'!$AH10:$AV10,Calc!$I$13),INDEX('Avalanche Engine'!$AH10:$AV10,Calc!$J$13),INDEX('My Order Engine'!$AH10:$AV10,Calc!$K$13)),"")</f>
        <v>0</v>
      </c>
      <c r="K8" s="25" t="str">
        <f>IF(AND($A8&lt;=IF(Calc!$C$36=999,360,Calc!$C$36),Calc!$C$14=1),CHOOSE(Calc!$C$3,INDEX('Snowball Engine'!$AH10:$AV10,Calc!$I$14),INDEX('Avalanche Engine'!$AH10:$AV10,Calc!$J$14),INDEX('My Order Engine'!$AH10:$AV10,Calc!$K$14)),"")</f>
        <v/>
      </c>
      <c r="L8" s="25" t="str">
        <f>IF(AND($A8&lt;=IF(Calc!$C$36=999,360,Calc!$C$36),Calc!$C$15=1),CHOOSE(Calc!$C$3,INDEX('Snowball Engine'!$AH10:$AV10,Calc!$I$15),INDEX('Avalanche Engine'!$AH10:$AV10,Calc!$J$15),INDEX('My Order Engine'!$AH10:$AV10,Calc!$K$15)),"")</f>
        <v/>
      </c>
      <c r="M8" s="25" t="str">
        <f>IF(AND($A8&lt;=IF(Calc!$C$36=999,360,Calc!$C$36),Calc!$C$16=1),CHOOSE(Calc!$C$3,INDEX('Snowball Engine'!$AH10:$AV10,Calc!$I$16),INDEX('Avalanche Engine'!$AH10:$AV10,Calc!$J$16),INDEX('My Order Engine'!$AH10:$AV10,Calc!$K$16)),"")</f>
        <v/>
      </c>
      <c r="N8" s="25" t="str">
        <f>IF(AND($A8&lt;=IF(Calc!$C$36=999,360,Calc!$C$36),Calc!$C$17=1),CHOOSE(Calc!$C$3,INDEX('Snowball Engine'!$AH10:$AV10,Calc!$I$17),INDEX('Avalanche Engine'!$AH10:$AV10,Calc!$J$17),INDEX('My Order Engine'!$AH10:$AV10,Calc!$K$17)),"")</f>
        <v/>
      </c>
      <c r="O8" s="25" t="str">
        <f>IF(AND($A8&lt;=IF(Calc!$C$36=999,360,Calc!$C$36),Calc!$C$18=1),CHOOSE(Calc!$C$3,INDEX('Snowball Engine'!$AH10:$AV10,Calc!$I$18),INDEX('Avalanche Engine'!$AH10:$AV10,Calc!$J$18),INDEX('My Order Engine'!$AH10:$AV10,Calc!$K$18)),"")</f>
        <v/>
      </c>
      <c r="P8" s="25" t="str">
        <f>IF(AND($A8&lt;=IF(Calc!$C$36=999,360,Calc!$C$36),Calc!$C$19=1),CHOOSE(Calc!$C$3,INDEX('Snowball Engine'!$AH10:$AV10,Calc!$I$19),INDEX('Avalanche Engine'!$AH10:$AV10,Calc!$J$19),INDEX('My Order Engine'!$AH10:$AV10,Calc!$K$19)),"")</f>
        <v/>
      </c>
      <c r="Q8" s="25" t="str">
        <f>IF(AND($A8&lt;=IF(Calc!$C$36=999,360,Calc!$C$36),Calc!$C$20=1),CHOOSE(Calc!$C$3,INDEX('Snowball Engine'!$AH10:$AV10,Calc!$I$20),INDEX('Avalanche Engine'!$AH10:$AV10,Calc!$J$20),INDEX('My Order Engine'!$AH10:$AV10,Calc!$K$20)),"")</f>
        <v/>
      </c>
      <c r="R8" s="25" t="str">
        <f>IF(AND($A8&lt;=IF(Calc!$C$36=999,360,Calc!$C$36),Calc!$C$21=1),CHOOSE(Calc!$C$3,INDEX('Snowball Engine'!$AH10:$AV10,Calc!$I$21),INDEX('Avalanche Engine'!$AH10:$AV10,Calc!$J$21),INDEX('My Order Engine'!$AH10:$AV10,Calc!$K$21)),"")</f>
        <v/>
      </c>
      <c r="S8" s="25" t="str">
        <f>IF(AND($A8&lt;=IF(Calc!$C$36=999,360,Calc!$C$36),Calc!$C$22=1),CHOOSE(Calc!$C$3,INDEX('Snowball Engine'!$AH10:$AV10,Calc!$I$22),INDEX('Avalanche Engine'!$AH10:$AV10,Calc!$J$22),INDEX('My Order Engine'!$AH10:$AV10,Calc!$K$22)),"")</f>
        <v/>
      </c>
      <c r="T8" s="25" t="str">
        <f>IF(AND($A8&lt;=IF(Calc!$C$36=999,360,Calc!$C$36),Calc!$C$23=1),CHOOSE(Calc!$C$3,INDEX('Snowball Engine'!$AH10:$AV10,Calc!$I$23),INDEX('Avalanche Engine'!$AH10:$AV10,Calc!$J$23),INDEX('My Order Engine'!$AH10:$AV10,Calc!$K$23)),"")</f>
        <v/>
      </c>
      <c r="U8" s="25" t="str">
        <f>IF(AND($A8&lt;=IF(Calc!$C$36=999,360,Calc!$C$36),Calc!$C$24=1),CHOOSE(Calc!$C$3,INDEX('Snowball Engine'!$AH10:$AV10,Calc!$I$24),INDEX('Avalanche Engine'!$AH10:$AV10,Calc!$J$24),INDEX('My Order Engine'!$AH10:$AV10,Calc!$K$24)),"")</f>
        <v/>
      </c>
    </row>
    <row r="9" spans="1:21" x14ac:dyDescent="0.35">
      <c r="A9" s="23">
        <v>5</v>
      </c>
      <c r="B9" s="24">
        <f ca="1">IF($A9&lt;=IF(Calc!$C$36=999,360,Calc!$C$36),EDATE(Calc!$C$5,A9-1),"")</f>
        <v>46419</v>
      </c>
      <c r="C9" s="25">
        <f>IF($A9&lt;=IF(Calc!$C$36=999,360,Calc!$C$36),CHOOSE(Calc!$C$3,'Snowball Engine'!AY11,'Avalanche Engine'!AY11,'My Order Engine'!AY11),"")</f>
        <v>750</v>
      </c>
      <c r="D9" s="25">
        <f>IF($A9&lt;=IF(Calc!$C$36=999,360,Calc!$C$36),CHOOSE(Calc!$C$3,'Snowball Engine'!AX11,'Avalanche Engine'!AX11,'My Order Engine'!AX11),"")</f>
        <v>181.69</v>
      </c>
      <c r="E9" s="25">
        <f>IF($A9&lt;=IF(Calc!$C$36=999,360,Calc!$C$36),C9-D9,"")</f>
        <v>568.30999999999995</v>
      </c>
      <c r="F9" s="25">
        <f>IF($A9&lt;=IF(Calc!$C$36=999,360,Calc!$C$36),CHOOSE(Calc!$C$3,'Snowball Engine'!AW11,'Avalanche Engine'!AW11,'My Order Engine'!AW11),"")</f>
        <v>15317.85</v>
      </c>
      <c r="G9" s="25">
        <f>IF(AND($A9&lt;=IF(Calc!$C$36=999,360,Calc!$C$36),Calc!$C$10=1),CHOOSE(Calc!$C$3,INDEX('Snowball Engine'!$AH11:$AV11,Calc!$I$10),INDEX('Avalanche Engine'!$AH11:$AV11,Calc!$J$10),INDEX('My Order Engine'!$AH11:$AV11,Calc!$K$10)),"")</f>
        <v>4620.6400000000003</v>
      </c>
      <c r="H9" s="25">
        <f>IF(AND($A9&lt;=IF(Calc!$C$36=999,360,Calc!$C$36),Calc!$C$11=1),CHOOSE(Calc!$C$3,INDEX('Snowball Engine'!$AH11:$AV11,Calc!$I$11),INDEX('Avalanche Engine'!$AH11:$AV11,Calc!$J$11),INDEX('My Order Engine'!$AH11:$AV11,Calc!$K$11)),"")</f>
        <v>531.29</v>
      </c>
      <c r="I9" s="25">
        <f>IF(AND($A9&lt;=IF(Calc!$C$36=999,360,Calc!$C$36),Calc!$C$12=1),CHOOSE(Calc!$C$3,INDEX('Snowball Engine'!$AH11:$AV11,Calc!$I$12),INDEX('Avalanche Engine'!$AH11:$AV11,Calc!$J$12),INDEX('My Order Engine'!$AH11:$AV11,Calc!$K$12)),"")</f>
        <v>10165.92</v>
      </c>
      <c r="J9" s="25">
        <f>IF(AND($A9&lt;=IF(Calc!$C$36=999,360,Calc!$C$36),Calc!$C$13=1),CHOOSE(Calc!$C$3,INDEX('Snowball Engine'!$AH11:$AV11,Calc!$I$13),INDEX('Avalanche Engine'!$AH11:$AV11,Calc!$J$13),INDEX('My Order Engine'!$AH11:$AV11,Calc!$K$13)),"")</f>
        <v>0</v>
      </c>
      <c r="K9" s="25" t="str">
        <f>IF(AND($A9&lt;=IF(Calc!$C$36=999,360,Calc!$C$36),Calc!$C$14=1),CHOOSE(Calc!$C$3,INDEX('Snowball Engine'!$AH11:$AV11,Calc!$I$14),INDEX('Avalanche Engine'!$AH11:$AV11,Calc!$J$14),INDEX('My Order Engine'!$AH11:$AV11,Calc!$K$14)),"")</f>
        <v/>
      </c>
      <c r="L9" s="25" t="str">
        <f>IF(AND($A9&lt;=IF(Calc!$C$36=999,360,Calc!$C$36),Calc!$C$15=1),CHOOSE(Calc!$C$3,INDEX('Snowball Engine'!$AH11:$AV11,Calc!$I$15),INDEX('Avalanche Engine'!$AH11:$AV11,Calc!$J$15),INDEX('My Order Engine'!$AH11:$AV11,Calc!$K$15)),"")</f>
        <v/>
      </c>
      <c r="M9" s="25" t="str">
        <f>IF(AND($A9&lt;=IF(Calc!$C$36=999,360,Calc!$C$36),Calc!$C$16=1),CHOOSE(Calc!$C$3,INDEX('Snowball Engine'!$AH11:$AV11,Calc!$I$16),INDEX('Avalanche Engine'!$AH11:$AV11,Calc!$J$16),INDEX('My Order Engine'!$AH11:$AV11,Calc!$K$16)),"")</f>
        <v/>
      </c>
      <c r="N9" s="25" t="str">
        <f>IF(AND($A9&lt;=IF(Calc!$C$36=999,360,Calc!$C$36),Calc!$C$17=1),CHOOSE(Calc!$C$3,INDEX('Snowball Engine'!$AH11:$AV11,Calc!$I$17),INDEX('Avalanche Engine'!$AH11:$AV11,Calc!$J$17),INDEX('My Order Engine'!$AH11:$AV11,Calc!$K$17)),"")</f>
        <v/>
      </c>
      <c r="O9" s="25" t="str">
        <f>IF(AND($A9&lt;=IF(Calc!$C$36=999,360,Calc!$C$36),Calc!$C$18=1),CHOOSE(Calc!$C$3,INDEX('Snowball Engine'!$AH11:$AV11,Calc!$I$18),INDEX('Avalanche Engine'!$AH11:$AV11,Calc!$J$18),INDEX('My Order Engine'!$AH11:$AV11,Calc!$K$18)),"")</f>
        <v/>
      </c>
      <c r="P9" s="25" t="str">
        <f>IF(AND($A9&lt;=IF(Calc!$C$36=999,360,Calc!$C$36),Calc!$C$19=1),CHOOSE(Calc!$C$3,INDEX('Snowball Engine'!$AH11:$AV11,Calc!$I$19),INDEX('Avalanche Engine'!$AH11:$AV11,Calc!$J$19),INDEX('My Order Engine'!$AH11:$AV11,Calc!$K$19)),"")</f>
        <v/>
      </c>
      <c r="Q9" s="25" t="str">
        <f>IF(AND($A9&lt;=IF(Calc!$C$36=999,360,Calc!$C$36),Calc!$C$20=1),CHOOSE(Calc!$C$3,INDEX('Snowball Engine'!$AH11:$AV11,Calc!$I$20),INDEX('Avalanche Engine'!$AH11:$AV11,Calc!$J$20),INDEX('My Order Engine'!$AH11:$AV11,Calc!$K$20)),"")</f>
        <v/>
      </c>
      <c r="R9" s="25" t="str">
        <f>IF(AND($A9&lt;=IF(Calc!$C$36=999,360,Calc!$C$36),Calc!$C$21=1),CHOOSE(Calc!$C$3,INDEX('Snowball Engine'!$AH11:$AV11,Calc!$I$21),INDEX('Avalanche Engine'!$AH11:$AV11,Calc!$J$21),INDEX('My Order Engine'!$AH11:$AV11,Calc!$K$21)),"")</f>
        <v/>
      </c>
      <c r="S9" s="25" t="str">
        <f>IF(AND($A9&lt;=IF(Calc!$C$36=999,360,Calc!$C$36),Calc!$C$22=1),CHOOSE(Calc!$C$3,INDEX('Snowball Engine'!$AH11:$AV11,Calc!$I$22),INDEX('Avalanche Engine'!$AH11:$AV11,Calc!$J$22),INDEX('My Order Engine'!$AH11:$AV11,Calc!$K$22)),"")</f>
        <v/>
      </c>
      <c r="T9" s="25" t="str">
        <f>IF(AND($A9&lt;=IF(Calc!$C$36=999,360,Calc!$C$36),Calc!$C$23=1),CHOOSE(Calc!$C$3,INDEX('Snowball Engine'!$AH11:$AV11,Calc!$I$23),INDEX('Avalanche Engine'!$AH11:$AV11,Calc!$J$23),INDEX('My Order Engine'!$AH11:$AV11,Calc!$K$23)),"")</f>
        <v/>
      </c>
      <c r="U9" s="25" t="str">
        <f>IF(AND($A9&lt;=IF(Calc!$C$36=999,360,Calc!$C$36),Calc!$C$24=1),CHOOSE(Calc!$C$3,INDEX('Snowball Engine'!$AH11:$AV11,Calc!$I$24),INDEX('Avalanche Engine'!$AH11:$AV11,Calc!$J$24),INDEX('My Order Engine'!$AH11:$AV11,Calc!$K$24)),"")</f>
        <v/>
      </c>
    </row>
    <row r="10" spans="1:21" x14ac:dyDescent="0.35">
      <c r="A10" s="23">
        <v>6</v>
      </c>
      <c r="B10" s="24">
        <f ca="1">IF($A10&lt;=IF(Calc!$C$36=999,360,Calc!$C$36),EDATE(Calc!$C$5,A10-1),"")</f>
        <v>46447</v>
      </c>
      <c r="C10" s="25">
        <f>IF($A10&lt;=IF(Calc!$C$36=999,360,Calc!$C$36),CHOOSE(Calc!$C$3,'Snowball Engine'!AY12,'Avalanche Engine'!AY12,'My Order Engine'!AY12),"")</f>
        <v>750</v>
      </c>
      <c r="D10" s="25">
        <f>IF($A10&lt;=IF(Calc!$C$36=999,360,Calc!$C$36),CHOOSE(Calc!$C$3,'Snowball Engine'!AX12,'Avalanche Engine'!AX12,'My Order Engine'!AX12),"")</f>
        <v>172.6</v>
      </c>
      <c r="E10" s="25">
        <f>IF($A10&lt;=IF(Calc!$C$36=999,360,Calc!$C$36),C10-D10,"")</f>
        <v>577.4</v>
      </c>
      <c r="F10" s="25">
        <f>IF($A10&lt;=IF(Calc!$C$36=999,360,Calc!$C$36),CHOOSE(Calc!$C$3,'Snowball Engine'!AW12,'Avalanche Engine'!AW12,'My Order Engine'!AW12),"")</f>
        <v>14740.449999999999</v>
      </c>
      <c r="G10" s="25">
        <f>IF(AND($A10&lt;=IF(Calc!$C$36=999,360,Calc!$C$36),Calc!$C$10=1),CHOOSE(Calc!$C$3,INDEX('Snowball Engine'!$AH12:$AV12,Calc!$I$10),INDEX('Avalanche Engine'!$AH12:$AV12,Calc!$J$10),INDEX('My Order Engine'!$AH12:$AV12,Calc!$K$10)),"")</f>
        <v>4571.8599999999997</v>
      </c>
      <c r="H10" s="25">
        <f>IF(AND($A10&lt;=IF(Calc!$C$36=999,360,Calc!$C$36),Calc!$C$11=1),CHOOSE(Calc!$C$3,INDEX('Snowball Engine'!$AH12:$AV12,Calc!$I$11),INDEX('Avalanche Engine'!$AH12:$AV12,Calc!$J$11),INDEX('My Order Engine'!$AH12:$AV12,Calc!$K$11)),"")</f>
        <v>254.13</v>
      </c>
      <c r="I10" s="25">
        <f>IF(AND($A10&lt;=IF(Calc!$C$36=999,360,Calc!$C$36),Calc!$C$12=1),CHOOSE(Calc!$C$3,INDEX('Snowball Engine'!$AH12:$AV12,Calc!$I$12),INDEX('Avalanche Engine'!$AH12:$AV12,Calc!$J$12),INDEX('My Order Engine'!$AH12:$AV12,Calc!$K$12)),"")</f>
        <v>9914.4599999999991</v>
      </c>
      <c r="J10" s="25">
        <f>IF(AND($A10&lt;=IF(Calc!$C$36=999,360,Calc!$C$36),Calc!$C$13=1),CHOOSE(Calc!$C$3,INDEX('Snowball Engine'!$AH12:$AV12,Calc!$I$13),INDEX('Avalanche Engine'!$AH12:$AV12,Calc!$J$13),INDEX('My Order Engine'!$AH12:$AV12,Calc!$K$13)),"")</f>
        <v>0</v>
      </c>
      <c r="K10" s="25" t="str">
        <f>IF(AND($A10&lt;=IF(Calc!$C$36=999,360,Calc!$C$36),Calc!$C$14=1),CHOOSE(Calc!$C$3,INDEX('Snowball Engine'!$AH12:$AV12,Calc!$I$14),INDEX('Avalanche Engine'!$AH12:$AV12,Calc!$J$14),INDEX('My Order Engine'!$AH12:$AV12,Calc!$K$14)),"")</f>
        <v/>
      </c>
      <c r="L10" s="25" t="str">
        <f>IF(AND($A10&lt;=IF(Calc!$C$36=999,360,Calc!$C$36),Calc!$C$15=1),CHOOSE(Calc!$C$3,INDEX('Snowball Engine'!$AH12:$AV12,Calc!$I$15),INDEX('Avalanche Engine'!$AH12:$AV12,Calc!$J$15),INDEX('My Order Engine'!$AH12:$AV12,Calc!$K$15)),"")</f>
        <v/>
      </c>
      <c r="M10" s="25" t="str">
        <f>IF(AND($A10&lt;=IF(Calc!$C$36=999,360,Calc!$C$36),Calc!$C$16=1),CHOOSE(Calc!$C$3,INDEX('Snowball Engine'!$AH12:$AV12,Calc!$I$16),INDEX('Avalanche Engine'!$AH12:$AV12,Calc!$J$16),INDEX('My Order Engine'!$AH12:$AV12,Calc!$K$16)),"")</f>
        <v/>
      </c>
      <c r="N10" s="25" t="str">
        <f>IF(AND($A10&lt;=IF(Calc!$C$36=999,360,Calc!$C$36),Calc!$C$17=1),CHOOSE(Calc!$C$3,INDEX('Snowball Engine'!$AH12:$AV12,Calc!$I$17),INDEX('Avalanche Engine'!$AH12:$AV12,Calc!$J$17),INDEX('My Order Engine'!$AH12:$AV12,Calc!$K$17)),"")</f>
        <v/>
      </c>
      <c r="O10" s="25" t="str">
        <f>IF(AND($A10&lt;=IF(Calc!$C$36=999,360,Calc!$C$36),Calc!$C$18=1),CHOOSE(Calc!$C$3,INDEX('Snowball Engine'!$AH12:$AV12,Calc!$I$18),INDEX('Avalanche Engine'!$AH12:$AV12,Calc!$J$18),INDEX('My Order Engine'!$AH12:$AV12,Calc!$K$18)),"")</f>
        <v/>
      </c>
      <c r="P10" s="25" t="str">
        <f>IF(AND($A10&lt;=IF(Calc!$C$36=999,360,Calc!$C$36),Calc!$C$19=1),CHOOSE(Calc!$C$3,INDEX('Snowball Engine'!$AH12:$AV12,Calc!$I$19),INDEX('Avalanche Engine'!$AH12:$AV12,Calc!$J$19),INDEX('My Order Engine'!$AH12:$AV12,Calc!$K$19)),"")</f>
        <v/>
      </c>
      <c r="Q10" s="25" t="str">
        <f>IF(AND($A10&lt;=IF(Calc!$C$36=999,360,Calc!$C$36),Calc!$C$20=1),CHOOSE(Calc!$C$3,INDEX('Snowball Engine'!$AH12:$AV12,Calc!$I$20),INDEX('Avalanche Engine'!$AH12:$AV12,Calc!$J$20),INDEX('My Order Engine'!$AH12:$AV12,Calc!$K$20)),"")</f>
        <v/>
      </c>
      <c r="R10" s="25" t="str">
        <f>IF(AND($A10&lt;=IF(Calc!$C$36=999,360,Calc!$C$36),Calc!$C$21=1),CHOOSE(Calc!$C$3,INDEX('Snowball Engine'!$AH12:$AV12,Calc!$I$21),INDEX('Avalanche Engine'!$AH12:$AV12,Calc!$J$21),INDEX('My Order Engine'!$AH12:$AV12,Calc!$K$21)),"")</f>
        <v/>
      </c>
      <c r="S10" s="25" t="str">
        <f>IF(AND($A10&lt;=IF(Calc!$C$36=999,360,Calc!$C$36),Calc!$C$22=1),CHOOSE(Calc!$C$3,INDEX('Snowball Engine'!$AH12:$AV12,Calc!$I$22),INDEX('Avalanche Engine'!$AH12:$AV12,Calc!$J$22),INDEX('My Order Engine'!$AH12:$AV12,Calc!$K$22)),"")</f>
        <v/>
      </c>
      <c r="T10" s="25" t="str">
        <f>IF(AND($A10&lt;=IF(Calc!$C$36=999,360,Calc!$C$36),Calc!$C$23=1),CHOOSE(Calc!$C$3,INDEX('Snowball Engine'!$AH12:$AV12,Calc!$I$23),INDEX('Avalanche Engine'!$AH12:$AV12,Calc!$J$23),INDEX('My Order Engine'!$AH12:$AV12,Calc!$K$23)),"")</f>
        <v/>
      </c>
      <c r="U10" s="25" t="str">
        <f>IF(AND($A10&lt;=IF(Calc!$C$36=999,360,Calc!$C$36),Calc!$C$24=1),CHOOSE(Calc!$C$3,INDEX('Snowball Engine'!$AH12:$AV12,Calc!$I$24),INDEX('Avalanche Engine'!$AH12:$AV12,Calc!$J$24),INDEX('My Order Engine'!$AH12:$AV12,Calc!$K$24)),"")</f>
        <v/>
      </c>
    </row>
    <row r="11" spans="1:21" x14ac:dyDescent="0.35">
      <c r="A11" s="23">
        <v>7</v>
      </c>
      <c r="B11" s="24">
        <f ca="1">IF($A11&lt;=IF(Calc!$C$36=999,360,Calc!$C$36),EDATE(Calc!$C$5,A11-1),"")</f>
        <v>46478</v>
      </c>
      <c r="C11" s="25">
        <f>IF($A11&lt;=IF(Calc!$C$36=999,360,Calc!$C$36),CHOOSE(Calc!$C$3,'Snowball Engine'!AY13,'Avalanche Engine'!AY13,'My Order Engine'!AY13),"")</f>
        <v>750</v>
      </c>
      <c r="D11" s="25">
        <f>IF($A11&lt;=IF(Calc!$C$36=999,360,Calc!$C$36),CHOOSE(Calc!$C$3,'Snowball Engine'!AX13,'Avalanche Engine'!AX13,'My Order Engine'!AX13),"")</f>
        <v>163.32</v>
      </c>
      <c r="E11" s="25">
        <f>IF($A11&lt;=IF(Calc!$C$36=999,360,Calc!$C$36),C11-D11,"")</f>
        <v>586.68000000000006</v>
      </c>
      <c r="F11" s="25">
        <f>IF($A11&lt;=IF(Calc!$C$36=999,360,Calc!$C$36),CHOOSE(Calc!$C$3,'Snowball Engine'!AW13,'Avalanche Engine'!AW13,'My Order Engine'!AW13),"")</f>
        <v>14153.77</v>
      </c>
      <c r="G11" s="25">
        <f>IF(AND($A11&lt;=IF(Calc!$C$36=999,360,Calc!$C$36),Calc!$C$10=1),CHOOSE(Calc!$C$3,INDEX('Snowball Engine'!$AH13:$AV13,Calc!$I$10),INDEX('Avalanche Engine'!$AH13:$AV13,Calc!$J$10),INDEX('My Order Engine'!$AH13:$AV13,Calc!$K$10)),"")</f>
        <v>4492.34</v>
      </c>
      <c r="H11" s="25">
        <f>IF(AND($A11&lt;=IF(Calc!$C$36=999,360,Calc!$C$36),Calc!$C$11=1),CHOOSE(Calc!$C$3,INDEX('Snowball Engine'!$AH13:$AV13,Calc!$I$11),INDEX('Avalanche Engine'!$AH13:$AV13,Calc!$J$11),INDEX('My Order Engine'!$AH13:$AV13,Calc!$K$11)),"")</f>
        <v>0</v>
      </c>
      <c r="I11" s="25">
        <f>IF(AND($A11&lt;=IF(Calc!$C$36=999,360,Calc!$C$36),Calc!$C$12=1),CHOOSE(Calc!$C$3,INDEX('Snowball Engine'!$AH13:$AV13,Calc!$I$12),INDEX('Avalanche Engine'!$AH13:$AV13,Calc!$J$12),INDEX('My Order Engine'!$AH13:$AV13,Calc!$K$12)),"")</f>
        <v>9661.43</v>
      </c>
      <c r="J11" s="25">
        <f>IF(AND($A11&lt;=IF(Calc!$C$36=999,360,Calc!$C$36),Calc!$C$13=1),CHOOSE(Calc!$C$3,INDEX('Snowball Engine'!$AH13:$AV13,Calc!$I$13),INDEX('Avalanche Engine'!$AH13:$AV13,Calc!$J$13),INDEX('My Order Engine'!$AH13:$AV13,Calc!$K$13)),"")</f>
        <v>0</v>
      </c>
      <c r="K11" s="25" t="str">
        <f>IF(AND($A11&lt;=IF(Calc!$C$36=999,360,Calc!$C$36),Calc!$C$14=1),CHOOSE(Calc!$C$3,INDEX('Snowball Engine'!$AH13:$AV13,Calc!$I$14),INDEX('Avalanche Engine'!$AH13:$AV13,Calc!$J$14),INDEX('My Order Engine'!$AH13:$AV13,Calc!$K$14)),"")</f>
        <v/>
      </c>
      <c r="L11" s="25" t="str">
        <f>IF(AND($A11&lt;=IF(Calc!$C$36=999,360,Calc!$C$36),Calc!$C$15=1),CHOOSE(Calc!$C$3,INDEX('Snowball Engine'!$AH13:$AV13,Calc!$I$15),INDEX('Avalanche Engine'!$AH13:$AV13,Calc!$J$15),INDEX('My Order Engine'!$AH13:$AV13,Calc!$K$15)),"")</f>
        <v/>
      </c>
      <c r="M11" s="25" t="str">
        <f>IF(AND($A11&lt;=IF(Calc!$C$36=999,360,Calc!$C$36),Calc!$C$16=1),CHOOSE(Calc!$C$3,INDEX('Snowball Engine'!$AH13:$AV13,Calc!$I$16),INDEX('Avalanche Engine'!$AH13:$AV13,Calc!$J$16),INDEX('My Order Engine'!$AH13:$AV13,Calc!$K$16)),"")</f>
        <v/>
      </c>
      <c r="N11" s="25" t="str">
        <f>IF(AND($A11&lt;=IF(Calc!$C$36=999,360,Calc!$C$36),Calc!$C$17=1),CHOOSE(Calc!$C$3,INDEX('Snowball Engine'!$AH13:$AV13,Calc!$I$17),INDEX('Avalanche Engine'!$AH13:$AV13,Calc!$J$17),INDEX('My Order Engine'!$AH13:$AV13,Calc!$K$17)),"")</f>
        <v/>
      </c>
      <c r="O11" s="25" t="str">
        <f>IF(AND($A11&lt;=IF(Calc!$C$36=999,360,Calc!$C$36),Calc!$C$18=1),CHOOSE(Calc!$C$3,INDEX('Snowball Engine'!$AH13:$AV13,Calc!$I$18),INDEX('Avalanche Engine'!$AH13:$AV13,Calc!$J$18),INDEX('My Order Engine'!$AH13:$AV13,Calc!$K$18)),"")</f>
        <v/>
      </c>
      <c r="P11" s="25" t="str">
        <f>IF(AND($A11&lt;=IF(Calc!$C$36=999,360,Calc!$C$36),Calc!$C$19=1),CHOOSE(Calc!$C$3,INDEX('Snowball Engine'!$AH13:$AV13,Calc!$I$19),INDEX('Avalanche Engine'!$AH13:$AV13,Calc!$J$19),INDEX('My Order Engine'!$AH13:$AV13,Calc!$K$19)),"")</f>
        <v/>
      </c>
      <c r="Q11" s="25" t="str">
        <f>IF(AND($A11&lt;=IF(Calc!$C$36=999,360,Calc!$C$36),Calc!$C$20=1),CHOOSE(Calc!$C$3,INDEX('Snowball Engine'!$AH13:$AV13,Calc!$I$20),INDEX('Avalanche Engine'!$AH13:$AV13,Calc!$J$20),INDEX('My Order Engine'!$AH13:$AV13,Calc!$K$20)),"")</f>
        <v/>
      </c>
      <c r="R11" s="25" t="str">
        <f>IF(AND($A11&lt;=IF(Calc!$C$36=999,360,Calc!$C$36),Calc!$C$21=1),CHOOSE(Calc!$C$3,INDEX('Snowball Engine'!$AH13:$AV13,Calc!$I$21),INDEX('Avalanche Engine'!$AH13:$AV13,Calc!$J$21),INDEX('My Order Engine'!$AH13:$AV13,Calc!$K$21)),"")</f>
        <v/>
      </c>
      <c r="S11" s="25" t="str">
        <f>IF(AND($A11&lt;=IF(Calc!$C$36=999,360,Calc!$C$36),Calc!$C$22=1),CHOOSE(Calc!$C$3,INDEX('Snowball Engine'!$AH13:$AV13,Calc!$I$22),INDEX('Avalanche Engine'!$AH13:$AV13,Calc!$J$22),INDEX('My Order Engine'!$AH13:$AV13,Calc!$K$22)),"")</f>
        <v/>
      </c>
      <c r="T11" s="25" t="str">
        <f>IF(AND($A11&lt;=IF(Calc!$C$36=999,360,Calc!$C$36),Calc!$C$23=1),CHOOSE(Calc!$C$3,INDEX('Snowball Engine'!$AH13:$AV13,Calc!$I$23),INDEX('Avalanche Engine'!$AH13:$AV13,Calc!$J$23),INDEX('My Order Engine'!$AH13:$AV13,Calc!$K$23)),"")</f>
        <v/>
      </c>
      <c r="U11" s="25" t="str">
        <f>IF(AND($A11&lt;=IF(Calc!$C$36=999,360,Calc!$C$36),Calc!$C$24=1),CHOOSE(Calc!$C$3,INDEX('Snowball Engine'!$AH13:$AV13,Calc!$I$24),INDEX('Avalanche Engine'!$AH13:$AV13,Calc!$J$24),INDEX('My Order Engine'!$AH13:$AV13,Calc!$K$24)),"")</f>
        <v/>
      </c>
    </row>
    <row r="12" spans="1:21" x14ac:dyDescent="0.35">
      <c r="A12" s="23">
        <v>8</v>
      </c>
      <c r="B12" s="24">
        <f ca="1">IF($A12&lt;=IF(Calc!$C$36=999,360,Calc!$C$36),EDATE(Calc!$C$5,A12-1),"")</f>
        <v>46508</v>
      </c>
      <c r="C12" s="25">
        <f>IF($A12&lt;=IF(Calc!$C$36=999,360,Calc!$C$36),CHOOSE(Calc!$C$3,'Snowball Engine'!AY14,'Avalanche Engine'!AY14,'My Order Engine'!AY14),"")</f>
        <v>750</v>
      </c>
      <c r="D12" s="25">
        <f>IF($A12&lt;=IF(Calc!$C$36=999,360,Calc!$C$36),CHOOSE(Calc!$C$3,'Snowball Engine'!AX14,'Avalanche Engine'!AX14,'My Order Engine'!AX14),"")</f>
        <v>153.93</v>
      </c>
      <c r="E12" s="25">
        <f>IF($A12&lt;=IF(Calc!$C$36=999,360,Calc!$C$36),C12-D12,"")</f>
        <v>596.06999999999994</v>
      </c>
      <c r="F12" s="25">
        <f>IF($A12&lt;=IF(Calc!$C$36=999,360,Calc!$C$36),CHOOSE(Calc!$C$3,'Snowball Engine'!AW14,'Avalanche Engine'!AW14,'My Order Engine'!AW14),"")</f>
        <v>13557.7</v>
      </c>
      <c r="G12" s="25">
        <f>IF(AND($A12&lt;=IF(Calc!$C$36=999,360,Calc!$C$36),Calc!$C$10=1),CHOOSE(Calc!$C$3,INDEX('Snowball Engine'!$AH14:$AV14,Calc!$I$10),INDEX('Avalanche Engine'!$AH14:$AV14,Calc!$J$10),INDEX('My Order Engine'!$AH14:$AV14,Calc!$K$10)),"")</f>
        <v>4150.8900000000003</v>
      </c>
      <c r="H12" s="25">
        <f>IF(AND($A12&lt;=IF(Calc!$C$36=999,360,Calc!$C$36),Calc!$C$11=1),CHOOSE(Calc!$C$3,INDEX('Snowball Engine'!$AH14:$AV14,Calc!$I$11),INDEX('Avalanche Engine'!$AH14:$AV14,Calc!$J$11),INDEX('My Order Engine'!$AH14:$AV14,Calc!$K$11)),"")</f>
        <v>0</v>
      </c>
      <c r="I12" s="25">
        <f>IF(AND($A12&lt;=IF(Calc!$C$36=999,360,Calc!$C$36),Calc!$C$12=1),CHOOSE(Calc!$C$3,INDEX('Snowball Engine'!$AH14:$AV14,Calc!$I$12),INDEX('Avalanche Engine'!$AH14:$AV14,Calc!$J$12),INDEX('My Order Engine'!$AH14:$AV14,Calc!$K$12)),"")</f>
        <v>9406.81</v>
      </c>
      <c r="J12" s="25">
        <f>IF(AND($A12&lt;=IF(Calc!$C$36=999,360,Calc!$C$36),Calc!$C$13=1),CHOOSE(Calc!$C$3,INDEX('Snowball Engine'!$AH14:$AV14,Calc!$I$13),INDEX('Avalanche Engine'!$AH14:$AV14,Calc!$J$13),INDEX('My Order Engine'!$AH14:$AV14,Calc!$K$13)),"")</f>
        <v>0</v>
      </c>
      <c r="K12" s="25" t="str">
        <f>IF(AND($A12&lt;=IF(Calc!$C$36=999,360,Calc!$C$36),Calc!$C$14=1),CHOOSE(Calc!$C$3,INDEX('Snowball Engine'!$AH14:$AV14,Calc!$I$14),INDEX('Avalanche Engine'!$AH14:$AV14,Calc!$J$14),INDEX('My Order Engine'!$AH14:$AV14,Calc!$K$14)),"")</f>
        <v/>
      </c>
      <c r="L12" s="25" t="str">
        <f>IF(AND($A12&lt;=IF(Calc!$C$36=999,360,Calc!$C$36),Calc!$C$15=1),CHOOSE(Calc!$C$3,INDEX('Snowball Engine'!$AH14:$AV14,Calc!$I$15),INDEX('Avalanche Engine'!$AH14:$AV14,Calc!$J$15),INDEX('My Order Engine'!$AH14:$AV14,Calc!$K$15)),"")</f>
        <v/>
      </c>
      <c r="M12" s="25" t="str">
        <f>IF(AND($A12&lt;=IF(Calc!$C$36=999,360,Calc!$C$36),Calc!$C$16=1),CHOOSE(Calc!$C$3,INDEX('Snowball Engine'!$AH14:$AV14,Calc!$I$16),INDEX('Avalanche Engine'!$AH14:$AV14,Calc!$J$16),INDEX('My Order Engine'!$AH14:$AV14,Calc!$K$16)),"")</f>
        <v/>
      </c>
      <c r="N12" s="25" t="str">
        <f>IF(AND($A12&lt;=IF(Calc!$C$36=999,360,Calc!$C$36),Calc!$C$17=1),CHOOSE(Calc!$C$3,INDEX('Snowball Engine'!$AH14:$AV14,Calc!$I$17),INDEX('Avalanche Engine'!$AH14:$AV14,Calc!$J$17),INDEX('My Order Engine'!$AH14:$AV14,Calc!$K$17)),"")</f>
        <v/>
      </c>
      <c r="O12" s="25" t="str">
        <f>IF(AND($A12&lt;=IF(Calc!$C$36=999,360,Calc!$C$36),Calc!$C$18=1),CHOOSE(Calc!$C$3,INDEX('Snowball Engine'!$AH14:$AV14,Calc!$I$18),INDEX('Avalanche Engine'!$AH14:$AV14,Calc!$J$18),INDEX('My Order Engine'!$AH14:$AV14,Calc!$K$18)),"")</f>
        <v/>
      </c>
      <c r="P12" s="25" t="str">
        <f>IF(AND($A12&lt;=IF(Calc!$C$36=999,360,Calc!$C$36),Calc!$C$19=1),CHOOSE(Calc!$C$3,INDEX('Snowball Engine'!$AH14:$AV14,Calc!$I$19),INDEX('Avalanche Engine'!$AH14:$AV14,Calc!$J$19),INDEX('My Order Engine'!$AH14:$AV14,Calc!$K$19)),"")</f>
        <v/>
      </c>
      <c r="Q12" s="25" t="str">
        <f>IF(AND($A12&lt;=IF(Calc!$C$36=999,360,Calc!$C$36),Calc!$C$20=1),CHOOSE(Calc!$C$3,INDEX('Snowball Engine'!$AH14:$AV14,Calc!$I$20),INDEX('Avalanche Engine'!$AH14:$AV14,Calc!$J$20),INDEX('My Order Engine'!$AH14:$AV14,Calc!$K$20)),"")</f>
        <v/>
      </c>
      <c r="R12" s="25" t="str">
        <f>IF(AND($A12&lt;=IF(Calc!$C$36=999,360,Calc!$C$36),Calc!$C$21=1),CHOOSE(Calc!$C$3,INDEX('Snowball Engine'!$AH14:$AV14,Calc!$I$21),INDEX('Avalanche Engine'!$AH14:$AV14,Calc!$J$21),INDEX('My Order Engine'!$AH14:$AV14,Calc!$K$21)),"")</f>
        <v/>
      </c>
      <c r="S12" s="25" t="str">
        <f>IF(AND($A12&lt;=IF(Calc!$C$36=999,360,Calc!$C$36),Calc!$C$22=1),CHOOSE(Calc!$C$3,INDEX('Snowball Engine'!$AH14:$AV14,Calc!$I$22),INDEX('Avalanche Engine'!$AH14:$AV14,Calc!$J$22),INDEX('My Order Engine'!$AH14:$AV14,Calc!$K$22)),"")</f>
        <v/>
      </c>
      <c r="T12" s="25" t="str">
        <f>IF(AND($A12&lt;=IF(Calc!$C$36=999,360,Calc!$C$36),Calc!$C$23=1),CHOOSE(Calc!$C$3,INDEX('Snowball Engine'!$AH14:$AV14,Calc!$I$23),INDEX('Avalanche Engine'!$AH14:$AV14,Calc!$J$23),INDEX('My Order Engine'!$AH14:$AV14,Calc!$K$23)),"")</f>
        <v/>
      </c>
      <c r="U12" s="25" t="str">
        <f>IF(AND($A12&lt;=IF(Calc!$C$36=999,360,Calc!$C$36),Calc!$C$24=1),CHOOSE(Calc!$C$3,INDEX('Snowball Engine'!$AH14:$AV14,Calc!$I$24),INDEX('Avalanche Engine'!$AH14:$AV14,Calc!$J$24),INDEX('My Order Engine'!$AH14:$AV14,Calc!$K$24)),"")</f>
        <v/>
      </c>
    </row>
    <row r="13" spans="1:21" x14ac:dyDescent="0.35">
      <c r="A13" s="23">
        <v>9</v>
      </c>
      <c r="B13" s="24">
        <f ca="1">IF($A13&lt;=IF(Calc!$C$36=999,360,Calc!$C$36),EDATE(Calc!$C$5,A13-1),"")</f>
        <v>46539</v>
      </c>
      <c r="C13" s="25">
        <f>IF($A13&lt;=IF(Calc!$C$36=999,360,Calc!$C$36),CHOOSE(Calc!$C$3,'Snowball Engine'!AY15,'Avalanche Engine'!AY15,'My Order Engine'!AY15),"")</f>
        <v>750</v>
      </c>
      <c r="D13" s="25">
        <f>IF($A13&lt;=IF(Calc!$C$36=999,360,Calc!$C$36),CHOOSE(Calc!$C$3,'Snowball Engine'!AX15,'Avalanche Engine'!AX15,'My Order Engine'!AX15),"")</f>
        <v>145.22999999999999</v>
      </c>
      <c r="E13" s="25">
        <f>IF($A13&lt;=IF(Calc!$C$36=999,360,Calc!$C$36),C13-D13,"")</f>
        <v>604.77</v>
      </c>
      <c r="F13" s="25">
        <f>IF($A13&lt;=IF(Calc!$C$36=999,360,Calc!$C$36),CHOOSE(Calc!$C$3,'Snowball Engine'!AW15,'Avalanche Engine'!AW15,'My Order Engine'!AW15),"")</f>
        <v>12952.93</v>
      </c>
      <c r="G13" s="25">
        <f>IF(AND($A13&lt;=IF(Calc!$C$36=999,360,Calc!$C$36),Calc!$C$10=1),CHOOSE(Calc!$C$3,INDEX('Snowball Engine'!$AH15:$AV15,Calc!$I$10),INDEX('Avalanche Engine'!$AH15:$AV15,Calc!$J$10),INDEX('My Order Engine'!$AH15:$AV15,Calc!$K$10)),"")</f>
        <v>3802.33</v>
      </c>
      <c r="H13" s="25">
        <f>IF(AND($A13&lt;=IF(Calc!$C$36=999,360,Calc!$C$36),Calc!$C$11=1),CHOOSE(Calc!$C$3,INDEX('Snowball Engine'!$AH15:$AV15,Calc!$I$11),INDEX('Avalanche Engine'!$AH15:$AV15,Calc!$J$11),INDEX('My Order Engine'!$AH15:$AV15,Calc!$K$11)),"")</f>
        <v>0</v>
      </c>
      <c r="I13" s="25">
        <f>IF(AND($A13&lt;=IF(Calc!$C$36=999,360,Calc!$C$36),Calc!$C$12=1),CHOOSE(Calc!$C$3,INDEX('Snowball Engine'!$AH15:$AV15,Calc!$I$12),INDEX('Avalanche Engine'!$AH15:$AV15,Calc!$J$12),INDEX('My Order Engine'!$AH15:$AV15,Calc!$K$12)),"")</f>
        <v>9150.6</v>
      </c>
      <c r="J13" s="25">
        <f>IF(AND($A13&lt;=IF(Calc!$C$36=999,360,Calc!$C$36),Calc!$C$13=1),CHOOSE(Calc!$C$3,INDEX('Snowball Engine'!$AH15:$AV15,Calc!$I$13),INDEX('Avalanche Engine'!$AH15:$AV15,Calc!$J$13),INDEX('My Order Engine'!$AH15:$AV15,Calc!$K$13)),"")</f>
        <v>0</v>
      </c>
      <c r="K13" s="25" t="str">
        <f>IF(AND($A13&lt;=IF(Calc!$C$36=999,360,Calc!$C$36),Calc!$C$14=1),CHOOSE(Calc!$C$3,INDEX('Snowball Engine'!$AH15:$AV15,Calc!$I$14),INDEX('Avalanche Engine'!$AH15:$AV15,Calc!$J$14),INDEX('My Order Engine'!$AH15:$AV15,Calc!$K$14)),"")</f>
        <v/>
      </c>
      <c r="L13" s="25" t="str">
        <f>IF(AND($A13&lt;=IF(Calc!$C$36=999,360,Calc!$C$36),Calc!$C$15=1),CHOOSE(Calc!$C$3,INDEX('Snowball Engine'!$AH15:$AV15,Calc!$I$15),INDEX('Avalanche Engine'!$AH15:$AV15,Calc!$J$15),INDEX('My Order Engine'!$AH15:$AV15,Calc!$K$15)),"")</f>
        <v/>
      </c>
      <c r="M13" s="25" t="str">
        <f>IF(AND($A13&lt;=IF(Calc!$C$36=999,360,Calc!$C$36),Calc!$C$16=1),CHOOSE(Calc!$C$3,INDEX('Snowball Engine'!$AH15:$AV15,Calc!$I$16),INDEX('Avalanche Engine'!$AH15:$AV15,Calc!$J$16),INDEX('My Order Engine'!$AH15:$AV15,Calc!$K$16)),"")</f>
        <v/>
      </c>
      <c r="N13" s="25" t="str">
        <f>IF(AND($A13&lt;=IF(Calc!$C$36=999,360,Calc!$C$36),Calc!$C$17=1),CHOOSE(Calc!$C$3,INDEX('Snowball Engine'!$AH15:$AV15,Calc!$I$17),INDEX('Avalanche Engine'!$AH15:$AV15,Calc!$J$17),INDEX('My Order Engine'!$AH15:$AV15,Calc!$K$17)),"")</f>
        <v/>
      </c>
      <c r="O13" s="25" t="str">
        <f>IF(AND($A13&lt;=IF(Calc!$C$36=999,360,Calc!$C$36),Calc!$C$18=1),CHOOSE(Calc!$C$3,INDEX('Snowball Engine'!$AH15:$AV15,Calc!$I$18),INDEX('Avalanche Engine'!$AH15:$AV15,Calc!$J$18),INDEX('My Order Engine'!$AH15:$AV15,Calc!$K$18)),"")</f>
        <v/>
      </c>
      <c r="P13" s="25" t="str">
        <f>IF(AND($A13&lt;=IF(Calc!$C$36=999,360,Calc!$C$36),Calc!$C$19=1),CHOOSE(Calc!$C$3,INDEX('Snowball Engine'!$AH15:$AV15,Calc!$I$19),INDEX('Avalanche Engine'!$AH15:$AV15,Calc!$J$19),INDEX('My Order Engine'!$AH15:$AV15,Calc!$K$19)),"")</f>
        <v/>
      </c>
      <c r="Q13" s="25" t="str">
        <f>IF(AND($A13&lt;=IF(Calc!$C$36=999,360,Calc!$C$36),Calc!$C$20=1),CHOOSE(Calc!$C$3,INDEX('Snowball Engine'!$AH15:$AV15,Calc!$I$20),INDEX('Avalanche Engine'!$AH15:$AV15,Calc!$J$20),INDEX('My Order Engine'!$AH15:$AV15,Calc!$K$20)),"")</f>
        <v/>
      </c>
      <c r="R13" s="25" t="str">
        <f>IF(AND($A13&lt;=IF(Calc!$C$36=999,360,Calc!$C$36),Calc!$C$21=1),CHOOSE(Calc!$C$3,INDEX('Snowball Engine'!$AH15:$AV15,Calc!$I$21),INDEX('Avalanche Engine'!$AH15:$AV15,Calc!$J$21),INDEX('My Order Engine'!$AH15:$AV15,Calc!$K$21)),"")</f>
        <v/>
      </c>
      <c r="S13" s="25" t="str">
        <f>IF(AND($A13&lt;=IF(Calc!$C$36=999,360,Calc!$C$36),Calc!$C$22=1),CHOOSE(Calc!$C$3,INDEX('Snowball Engine'!$AH15:$AV15,Calc!$I$22),INDEX('Avalanche Engine'!$AH15:$AV15,Calc!$J$22),INDEX('My Order Engine'!$AH15:$AV15,Calc!$K$22)),"")</f>
        <v/>
      </c>
      <c r="T13" s="25" t="str">
        <f>IF(AND($A13&lt;=IF(Calc!$C$36=999,360,Calc!$C$36),Calc!$C$23=1),CHOOSE(Calc!$C$3,INDEX('Snowball Engine'!$AH15:$AV15,Calc!$I$23),INDEX('Avalanche Engine'!$AH15:$AV15,Calc!$J$23),INDEX('My Order Engine'!$AH15:$AV15,Calc!$K$23)),"")</f>
        <v/>
      </c>
      <c r="U13" s="25" t="str">
        <f>IF(AND($A13&lt;=IF(Calc!$C$36=999,360,Calc!$C$36),Calc!$C$24=1),CHOOSE(Calc!$C$3,INDEX('Snowball Engine'!$AH15:$AV15,Calc!$I$24),INDEX('Avalanche Engine'!$AH15:$AV15,Calc!$J$24),INDEX('My Order Engine'!$AH15:$AV15,Calc!$K$24)),"")</f>
        <v/>
      </c>
    </row>
    <row r="14" spans="1:21" x14ac:dyDescent="0.35">
      <c r="A14" s="23">
        <v>10</v>
      </c>
      <c r="B14" s="24">
        <f ca="1">IF($A14&lt;=IF(Calc!$C$36=999,360,Calc!$C$36),EDATE(Calc!$C$5,A14-1),"")</f>
        <v>46569</v>
      </c>
      <c r="C14" s="25">
        <f>IF($A14&lt;=IF(Calc!$C$36=999,360,Calc!$C$36),CHOOSE(Calc!$C$3,'Snowball Engine'!AY16,'Avalanche Engine'!AY16,'My Order Engine'!AY16),"")</f>
        <v>750</v>
      </c>
      <c r="D14" s="25">
        <f>IF($A14&lt;=IF(Calc!$C$36=999,360,Calc!$C$36),CHOOSE(Calc!$C$3,'Snowball Engine'!AX16,'Avalanche Engine'!AX16,'My Order Engine'!AX16),"")</f>
        <v>136.37</v>
      </c>
      <c r="E14" s="25">
        <f>IF($A14&lt;=IF(Calc!$C$36=999,360,Calc!$C$36),C14-D14,"")</f>
        <v>613.63</v>
      </c>
      <c r="F14" s="25">
        <f>IF($A14&lt;=IF(Calc!$C$36=999,360,Calc!$C$36),CHOOSE(Calc!$C$3,'Snowball Engine'!AW16,'Avalanche Engine'!AW16,'My Order Engine'!AW16),"")</f>
        <v>12339.300000000001</v>
      </c>
      <c r="G14" s="25">
        <f>IF(AND($A14&lt;=IF(Calc!$C$36=999,360,Calc!$C$36),Calc!$C$10=1),CHOOSE(Calc!$C$3,INDEX('Snowball Engine'!$AH16:$AV16,Calc!$I$10),INDEX('Avalanche Engine'!$AH16:$AV16,Calc!$J$10),INDEX('My Order Engine'!$AH16:$AV16,Calc!$K$10)),"")</f>
        <v>3446.51</v>
      </c>
      <c r="H14" s="25">
        <f>IF(AND($A14&lt;=IF(Calc!$C$36=999,360,Calc!$C$36),Calc!$C$11=1),CHOOSE(Calc!$C$3,INDEX('Snowball Engine'!$AH16:$AV16,Calc!$I$11),INDEX('Avalanche Engine'!$AH16:$AV16,Calc!$J$11),INDEX('My Order Engine'!$AH16:$AV16,Calc!$K$11)),"")</f>
        <v>0</v>
      </c>
      <c r="I14" s="25">
        <f>IF(AND($A14&lt;=IF(Calc!$C$36=999,360,Calc!$C$36),Calc!$C$12=1),CHOOSE(Calc!$C$3,INDEX('Snowball Engine'!$AH16:$AV16,Calc!$I$12),INDEX('Avalanche Engine'!$AH16:$AV16,Calc!$J$12),INDEX('My Order Engine'!$AH16:$AV16,Calc!$K$12)),"")</f>
        <v>8892.7900000000009</v>
      </c>
      <c r="J14" s="25">
        <f>IF(AND($A14&lt;=IF(Calc!$C$36=999,360,Calc!$C$36),Calc!$C$13=1),CHOOSE(Calc!$C$3,INDEX('Snowball Engine'!$AH16:$AV16,Calc!$I$13),INDEX('Avalanche Engine'!$AH16:$AV16,Calc!$J$13),INDEX('My Order Engine'!$AH16:$AV16,Calc!$K$13)),"")</f>
        <v>0</v>
      </c>
      <c r="K14" s="25" t="str">
        <f>IF(AND($A14&lt;=IF(Calc!$C$36=999,360,Calc!$C$36),Calc!$C$14=1),CHOOSE(Calc!$C$3,INDEX('Snowball Engine'!$AH16:$AV16,Calc!$I$14),INDEX('Avalanche Engine'!$AH16:$AV16,Calc!$J$14),INDEX('My Order Engine'!$AH16:$AV16,Calc!$K$14)),"")</f>
        <v/>
      </c>
      <c r="L14" s="25" t="str">
        <f>IF(AND($A14&lt;=IF(Calc!$C$36=999,360,Calc!$C$36),Calc!$C$15=1),CHOOSE(Calc!$C$3,INDEX('Snowball Engine'!$AH16:$AV16,Calc!$I$15),INDEX('Avalanche Engine'!$AH16:$AV16,Calc!$J$15),INDEX('My Order Engine'!$AH16:$AV16,Calc!$K$15)),"")</f>
        <v/>
      </c>
      <c r="M14" s="25" t="str">
        <f>IF(AND($A14&lt;=IF(Calc!$C$36=999,360,Calc!$C$36),Calc!$C$16=1),CHOOSE(Calc!$C$3,INDEX('Snowball Engine'!$AH16:$AV16,Calc!$I$16),INDEX('Avalanche Engine'!$AH16:$AV16,Calc!$J$16),INDEX('My Order Engine'!$AH16:$AV16,Calc!$K$16)),"")</f>
        <v/>
      </c>
      <c r="N14" s="25" t="str">
        <f>IF(AND($A14&lt;=IF(Calc!$C$36=999,360,Calc!$C$36),Calc!$C$17=1),CHOOSE(Calc!$C$3,INDEX('Snowball Engine'!$AH16:$AV16,Calc!$I$17),INDEX('Avalanche Engine'!$AH16:$AV16,Calc!$J$17),INDEX('My Order Engine'!$AH16:$AV16,Calc!$K$17)),"")</f>
        <v/>
      </c>
      <c r="O14" s="25" t="str">
        <f>IF(AND($A14&lt;=IF(Calc!$C$36=999,360,Calc!$C$36),Calc!$C$18=1),CHOOSE(Calc!$C$3,INDEX('Snowball Engine'!$AH16:$AV16,Calc!$I$18),INDEX('Avalanche Engine'!$AH16:$AV16,Calc!$J$18),INDEX('My Order Engine'!$AH16:$AV16,Calc!$K$18)),"")</f>
        <v/>
      </c>
      <c r="P14" s="25" t="str">
        <f>IF(AND($A14&lt;=IF(Calc!$C$36=999,360,Calc!$C$36),Calc!$C$19=1),CHOOSE(Calc!$C$3,INDEX('Snowball Engine'!$AH16:$AV16,Calc!$I$19),INDEX('Avalanche Engine'!$AH16:$AV16,Calc!$J$19),INDEX('My Order Engine'!$AH16:$AV16,Calc!$K$19)),"")</f>
        <v/>
      </c>
      <c r="Q14" s="25" t="str">
        <f>IF(AND($A14&lt;=IF(Calc!$C$36=999,360,Calc!$C$36),Calc!$C$20=1),CHOOSE(Calc!$C$3,INDEX('Snowball Engine'!$AH16:$AV16,Calc!$I$20),INDEX('Avalanche Engine'!$AH16:$AV16,Calc!$J$20),INDEX('My Order Engine'!$AH16:$AV16,Calc!$K$20)),"")</f>
        <v/>
      </c>
      <c r="R14" s="25" t="str">
        <f>IF(AND($A14&lt;=IF(Calc!$C$36=999,360,Calc!$C$36),Calc!$C$21=1),CHOOSE(Calc!$C$3,INDEX('Snowball Engine'!$AH16:$AV16,Calc!$I$21),INDEX('Avalanche Engine'!$AH16:$AV16,Calc!$J$21),INDEX('My Order Engine'!$AH16:$AV16,Calc!$K$21)),"")</f>
        <v/>
      </c>
      <c r="S14" s="25" t="str">
        <f>IF(AND($A14&lt;=IF(Calc!$C$36=999,360,Calc!$C$36),Calc!$C$22=1),CHOOSE(Calc!$C$3,INDEX('Snowball Engine'!$AH16:$AV16,Calc!$I$22),INDEX('Avalanche Engine'!$AH16:$AV16,Calc!$J$22),INDEX('My Order Engine'!$AH16:$AV16,Calc!$K$22)),"")</f>
        <v/>
      </c>
      <c r="T14" s="25" t="str">
        <f>IF(AND($A14&lt;=IF(Calc!$C$36=999,360,Calc!$C$36),Calc!$C$23=1),CHOOSE(Calc!$C$3,INDEX('Snowball Engine'!$AH16:$AV16,Calc!$I$23),INDEX('Avalanche Engine'!$AH16:$AV16,Calc!$J$23),INDEX('My Order Engine'!$AH16:$AV16,Calc!$K$23)),"")</f>
        <v/>
      </c>
      <c r="U14" s="25" t="str">
        <f>IF(AND($A14&lt;=IF(Calc!$C$36=999,360,Calc!$C$36),Calc!$C$24=1),CHOOSE(Calc!$C$3,INDEX('Snowball Engine'!$AH16:$AV16,Calc!$I$24),INDEX('Avalanche Engine'!$AH16:$AV16,Calc!$J$24),INDEX('My Order Engine'!$AH16:$AV16,Calc!$K$24)),"")</f>
        <v/>
      </c>
    </row>
    <row r="15" spans="1:21" x14ac:dyDescent="0.35">
      <c r="A15" s="23">
        <v>11</v>
      </c>
      <c r="B15" s="24">
        <f ca="1">IF($A15&lt;=IF(Calc!$C$36=999,360,Calc!$C$36),EDATE(Calc!$C$5,A15-1),"")</f>
        <v>46600</v>
      </c>
      <c r="C15" s="25">
        <f>IF($A15&lt;=IF(Calc!$C$36=999,360,Calc!$C$36),CHOOSE(Calc!$C$3,'Snowball Engine'!AY17,'Avalanche Engine'!AY17,'My Order Engine'!AY17),"")</f>
        <v>750</v>
      </c>
      <c r="D15" s="25">
        <f>IF($A15&lt;=IF(Calc!$C$36=999,360,Calc!$C$36),CHOOSE(Calc!$C$3,'Snowball Engine'!AX17,'Avalanche Engine'!AX17,'My Order Engine'!AX17),"")</f>
        <v>127.35</v>
      </c>
      <c r="E15" s="25">
        <f>IF($A15&lt;=IF(Calc!$C$36=999,360,Calc!$C$36),C15-D15,"")</f>
        <v>622.65</v>
      </c>
      <c r="F15" s="25">
        <f>IF($A15&lt;=IF(Calc!$C$36=999,360,Calc!$C$36),CHOOSE(Calc!$C$3,'Snowball Engine'!AW17,'Avalanche Engine'!AW17,'My Order Engine'!AW17),"")</f>
        <v>11716.650000000001</v>
      </c>
      <c r="G15" s="25">
        <f>IF(AND($A15&lt;=IF(Calc!$C$36=999,360,Calc!$C$36),Calc!$C$10=1),CHOOSE(Calc!$C$3,INDEX('Snowball Engine'!$AH17:$AV17,Calc!$I$10),INDEX('Avalanche Engine'!$AH17:$AV17,Calc!$J$10),INDEX('My Order Engine'!$AH17:$AV17,Calc!$K$10)),"")</f>
        <v>3083.28</v>
      </c>
      <c r="H15" s="25">
        <f>IF(AND($A15&lt;=IF(Calc!$C$36=999,360,Calc!$C$36),Calc!$C$11=1),CHOOSE(Calc!$C$3,INDEX('Snowball Engine'!$AH17:$AV17,Calc!$I$11),INDEX('Avalanche Engine'!$AH17:$AV17,Calc!$J$11),INDEX('My Order Engine'!$AH17:$AV17,Calc!$K$11)),"")</f>
        <v>0</v>
      </c>
      <c r="I15" s="25">
        <f>IF(AND($A15&lt;=IF(Calc!$C$36=999,360,Calc!$C$36),Calc!$C$12=1),CHOOSE(Calc!$C$3,INDEX('Snowball Engine'!$AH17:$AV17,Calc!$I$12),INDEX('Avalanche Engine'!$AH17:$AV17,Calc!$J$12),INDEX('My Order Engine'!$AH17:$AV17,Calc!$K$12)),"")</f>
        <v>8633.3700000000008</v>
      </c>
      <c r="J15" s="25">
        <f>IF(AND($A15&lt;=IF(Calc!$C$36=999,360,Calc!$C$36),Calc!$C$13=1),CHOOSE(Calc!$C$3,INDEX('Snowball Engine'!$AH17:$AV17,Calc!$I$13),INDEX('Avalanche Engine'!$AH17:$AV17,Calc!$J$13),INDEX('My Order Engine'!$AH17:$AV17,Calc!$K$13)),"")</f>
        <v>0</v>
      </c>
      <c r="K15" s="25" t="str">
        <f>IF(AND($A15&lt;=IF(Calc!$C$36=999,360,Calc!$C$36),Calc!$C$14=1),CHOOSE(Calc!$C$3,INDEX('Snowball Engine'!$AH17:$AV17,Calc!$I$14),INDEX('Avalanche Engine'!$AH17:$AV17,Calc!$J$14),INDEX('My Order Engine'!$AH17:$AV17,Calc!$K$14)),"")</f>
        <v/>
      </c>
      <c r="L15" s="25" t="str">
        <f>IF(AND($A15&lt;=IF(Calc!$C$36=999,360,Calc!$C$36),Calc!$C$15=1),CHOOSE(Calc!$C$3,INDEX('Snowball Engine'!$AH17:$AV17,Calc!$I$15),INDEX('Avalanche Engine'!$AH17:$AV17,Calc!$J$15),INDEX('My Order Engine'!$AH17:$AV17,Calc!$K$15)),"")</f>
        <v/>
      </c>
      <c r="M15" s="25" t="str">
        <f>IF(AND($A15&lt;=IF(Calc!$C$36=999,360,Calc!$C$36),Calc!$C$16=1),CHOOSE(Calc!$C$3,INDEX('Snowball Engine'!$AH17:$AV17,Calc!$I$16),INDEX('Avalanche Engine'!$AH17:$AV17,Calc!$J$16),INDEX('My Order Engine'!$AH17:$AV17,Calc!$K$16)),"")</f>
        <v/>
      </c>
      <c r="N15" s="25" t="str">
        <f>IF(AND($A15&lt;=IF(Calc!$C$36=999,360,Calc!$C$36),Calc!$C$17=1),CHOOSE(Calc!$C$3,INDEX('Snowball Engine'!$AH17:$AV17,Calc!$I$17),INDEX('Avalanche Engine'!$AH17:$AV17,Calc!$J$17),INDEX('My Order Engine'!$AH17:$AV17,Calc!$K$17)),"")</f>
        <v/>
      </c>
      <c r="O15" s="25" t="str">
        <f>IF(AND($A15&lt;=IF(Calc!$C$36=999,360,Calc!$C$36),Calc!$C$18=1),CHOOSE(Calc!$C$3,INDEX('Snowball Engine'!$AH17:$AV17,Calc!$I$18),INDEX('Avalanche Engine'!$AH17:$AV17,Calc!$J$18),INDEX('My Order Engine'!$AH17:$AV17,Calc!$K$18)),"")</f>
        <v/>
      </c>
      <c r="P15" s="25" t="str">
        <f>IF(AND($A15&lt;=IF(Calc!$C$36=999,360,Calc!$C$36),Calc!$C$19=1),CHOOSE(Calc!$C$3,INDEX('Snowball Engine'!$AH17:$AV17,Calc!$I$19),INDEX('Avalanche Engine'!$AH17:$AV17,Calc!$J$19),INDEX('My Order Engine'!$AH17:$AV17,Calc!$K$19)),"")</f>
        <v/>
      </c>
      <c r="Q15" s="25" t="str">
        <f>IF(AND($A15&lt;=IF(Calc!$C$36=999,360,Calc!$C$36),Calc!$C$20=1),CHOOSE(Calc!$C$3,INDEX('Snowball Engine'!$AH17:$AV17,Calc!$I$20),INDEX('Avalanche Engine'!$AH17:$AV17,Calc!$J$20),INDEX('My Order Engine'!$AH17:$AV17,Calc!$K$20)),"")</f>
        <v/>
      </c>
      <c r="R15" s="25" t="str">
        <f>IF(AND($A15&lt;=IF(Calc!$C$36=999,360,Calc!$C$36),Calc!$C$21=1),CHOOSE(Calc!$C$3,INDEX('Snowball Engine'!$AH17:$AV17,Calc!$I$21),INDEX('Avalanche Engine'!$AH17:$AV17,Calc!$J$21),INDEX('My Order Engine'!$AH17:$AV17,Calc!$K$21)),"")</f>
        <v/>
      </c>
      <c r="S15" s="25" t="str">
        <f>IF(AND($A15&lt;=IF(Calc!$C$36=999,360,Calc!$C$36),Calc!$C$22=1),CHOOSE(Calc!$C$3,INDEX('Snowball Engine'!$AH17:$AV17,Calc!$I$22),INDEX('Avalanche Engine'!$AH17:$AV17,Calc!$J$22),INDEX('My Order Engine'!$AH17:$AV17,Calc!$K$22)),"")</f>
        <v/>
      </c>
      <c r="T15" s="25" t="str">
        <f>IF(AND($A15&lt;=IF(Calc!$C$36=999,360,Calc!$C$36),Calc!$C$23=1),CHOOSE(Calc!$C$3,INDEX('Snowball Engine'!$AH17:$AV17,Calc!$I$23),INDEX('Avalanche Engine'!$AH17:$AV17,Calc!$J$23),INDEX('My Order Engine'!$AH17:$AV17,Calc!$K$23)),"")</f>
        <v/>
      </c>
      <c r="U15" s="25" t="str">
        <f>IF(AND($A15&lt;=IF(Calc!$C$36=999,360,Calc!$C$36),Calc!$C$24=1),CHOOSE(Calc!$C$3,INDEX('Snowball Engine'!$AH17:$AV17,Calc!$I$24),INDEX('Avalanche Engine'!$AH17:$AV17,Calc!$J$24),INDEX('My Order Engine'!$AH17:$AV17,Calc!$K$24)),"")</f>
        <v/>
      </c>
    </row>
    <row r="16" spans="1:21" x14ac:dyDescent="0.35">
      <c r="A16" s="23">
        <v>12</v>
      </c>
      <c r="B16" s="24">
        <f ca="1">IF($A16&lt;=IF(Calc!$C$36=999,360,Calc!$C$36),EDATE(Calc!$C$5,A16-1),"")</f>
        <v>46631</v>
      </c>
      <c r="C16" s="25">
        <f>IF($A16&lt;=IF(Calc!$C$36=999,360,Calc!$C$36),CHOOSE(Calc!$C$3,'Snowball Engine'!AY18,'Avalanche Engine'!AY18,'My Order Engine'!AY18),"")</f>
        <v>750</v>
      </c>
      <c r="D16" s="25">
        <f>IF($A16&lt;=IF(Calc!$C$36=999,360,Calc!$C$36),CHOOSE(Calc!$C$3,'Snowball Engine'!AX18,'Avalanche Engine'!AX18,'My Order Engine'!AX18),"")</f>
        <v>118.16999999999999</v>
      </c>
      <c r="E16" s="25">
        <f>IF($A16&lt;=IF(Calc!$C$36=999,360,Calc!$C$36),C16-D16,"")</f>
        <v>631.83000000000004</v>
      </c>
      <c r="F16" s="25">
        <f>IF($A16&lt;=IF(Calc!$C$36=999,360,Calc!$C$36),CHOOSE(Calc!$C$3,'Snowball Engine'!AW18,'Avalanche Engine'!AW18,'My Order Engine'!AW18),"")</f>
        <v>11084.82</v>
      </c>
      <c r="G16" s="25">
        <f>IF(AND($A16&lt;=IF(Calc!$C$36=999,360,Calc!$C$36),Calc!$C$10=1),CHOOSE(Calc!$C$3,INDEX('Snowball Engine'!$AH18:$AV18,Calc!$I$10),INDEX('Avalanche Engine'!$AH18:$AV18,Calc!$J$10),INDEX('My Order Engine'!$AH18:$AV18,Calc!$K$10)),"")</f>
        <v>2712.49</v>
      </c>
      <c r="H16" s="25">
        <f>IF(AND($A16&lt;=IF(Calc!$C$36=999,360,Calc!$C$36),Calc!$C$11=1),CHOOSE(Calc!$C$3,INDEX('Snowball Engine'!$AH18:$AV18,Calc!$I$11),INDEX('Avalanche Engine'!$AH18:$AV18,Calc!$J$11),INDEX('My Order Engine'!$AH18:$AV18,Calc!$K$11)),"")</f>
        <v>0</v>
      </c>
      <c r="I16" s="25">
        <f>IF(AND($A16&lt;=IF(Calc!$C$36=999,360,Calc!$C$36),Calc!$C$12=1),CHOOSE(Calc!$C$3,INDEX('Snowball Engine'!$AH18:$AV18,Calc!$I$12),INDEX('Avalanche Engine'!$AH18:$AV18,Calc!$J$12),INDEX('My Order Engine'!$AH18:$AV18,Calc!$K$12)),"")</f>
        <v>8372.33</v>
      </c>
      <c r="J16" s="25">
        <f>IF(AND($A16&lt;=IF(Calc!$C$36=999,360,Calc!$C$36),Calc!$C$13=1),CHOOSE(Calc!$C$3,INDEX('Snowball Engine'!$AH18:$AV18,Calc!$I$13),INDEX('Avalanche Engine'!$AH18:$AV18,Calc!$J$13),INDEX('My Order Engine'!$AH18:$AV18,Calc!$K$13)),"")</f>
        <v>0</v>
      </c>
      <c r="K16" s="25" t="str">
        <f>IF(AND($A16&lt;=IF(Calc!$C$36=999,360,Calc!$C$36),Calc!$C$14=1),CHOOSE(Calc!$C$3,INDEX('Snowball Engine'!$AH18:$AV18,Calc!$I$14),INDEX('Avalanche Engine'!$AH18:$AV18,Calc!$J$14),INDEX('My Order Engine'!$AH18:$AV18,Calc!$K$14)),"")</f>
        <v/>
      </c>
      <c r="L16" s="25" t="str">
        <f>IF(AND($A16&lt;=IF(Calc!$C$36=999,360,Calc!$C$36),Calc!$C$15=1),CHOOSE(Calc!$C$3,INDEX('Snowball Engine'!$AH18:$AV18,Calc!$I$15),INDEX('Avalanche Engine'!$AH18:$AV18,Calc!$J$15),INDEX('My Order Engine'!$AH18:$AV18,Calc!$K$15)),"")</f>
        <v/>
      </c>
      <c r="M16" s="25" t="str">
        <f>IF(AND($A16&lt;=IF(Calc!$C$36=999,360,Calc!$C$36),Calc!$C$16=1),CHOOSE(Calc!$C$3,INDEX('Snowball Engine'!$AH18:$AV18,Calc!$I$16),INDEX('Avalanche Engine'!$AH18:$AV18,Calc!$J$16),INDEX('My Order Engine'!$AH18:$AV18,Calc!$K$16)),"")</f>
        <v/>
      </c>
      <c r="N16" s="25" t="str">
        <f>IF(AND($A16&lt;=IF(Calc!$C$36=999,360,Calc!$C$36),Calc!$C$17=1),CHOOSE(Calc!$C$3,INDEX('Snowball Engine'!$AH18:$AV18,Calc!$I$17),INDEX('Avalanche Engine'!$AH18:$AV18,Calc!$J$17),INDEX('My Order Engine'!$AH18:$AV18,Calc!$K$17)),"")</f>
        <v/>
      </c>
      <c r="O16" s="25" t="str">
        <f>IF(AND($A16&lt;=IF(Calc!$C$36=999,360,Calc!$C$36),Calc!$C$18=1),CHOOSE(Calc!$C$3,INDEX('Snowball Engine'!$AH18:$AV18,Calc!$I$18),INDEX('Avalanche Engine'!$AH18:$AV18,Calc!$J$18),INDEX('My Order Engine'!$AH18:$AV18,Calc!$K$18)),"")</f>
        <v/>
      </c>
      <c r="P16" s="25" t="str">
        <f>IF(AND($A16&lt;=IF(Calc!$C$36=999,360,Calc!$C$36),Calc!$C$19=1),CHOOSE(Calc!$C$3,INDEX('Snowball Engine'!$AH18:$AV18,Calc!$I$19),INDEX('Avalanche Engine'!$AH18:$AV18,Calc!$J$19),INDEX('My Order Engine'!$AH18:$AV18,Calc!$K$19)),"")</f>
        <v/>
      </c>
      <c r="Q16" s="25" t="str">
        <f>IF(AND($A16&lt;=IF(Calc!$C$36=999,360,Calc!$C$36),Calc!$C$20=1),CHOOSE(Calc!$C$3,INDEX('Snowball Engine'!$AH18:$AV18,Calc!$I$20),INDEX('Avalanche Engine'!$AH18:$AV18,Calc!$J$20),INDEX('My Order Engine'!$AH18:$AV18,Calc!$K$20)),"")</f>
        <v/>
      </c>
      <c r="R16" s="25" t="str">
        <f>IF(AND($A16&lt;=IF(Calc!$C$36=999,360,Calc!$C$36),Calc!$C$21=1),CHOOSE(Calc!$C$3,INDEX('Snowball Engine'!$AH18:$AV18,Calc!$I$21),INDEX('Avalanche Engine'!$AH18:$AV18,Calc!$J$21),INDEX('My Order Engine'!$AH18:$AV18,Calc!$K$21)),"")</f>
        <v/>
      </c>
      <c r="S16" s="25" t="str">
        <f>IF(AND($A16&lt;=IF(Calc!$C$36=999,360,Calc!$C$36),Calc!$C$22=1),CHOOSE(Calc!$C$3,INDEX('Snowball Engine'!$AH18:$AV18,Calc!$I$22),INDEX('Avalanche Engine'!$AH18:$AV18,Calc!$J$22),INDEX('My Order Engine'!$AH18:$AV18,Calc!$K$22)),"")</f>
        <v/>
      </c>
      <c r="T16" s="25" t="str">
        <f>IF(AND($A16&lt;=IF(Calc!$C$36=999,360,Calc!$C$36),Calc!$C$23=1),CHOOSE(Calc!$C$3,INDEX('Snowball Engine'!$AH18:$AV18,Calc!$I$23),INDEX('Avalanche Engine'!$AH18:$AV18,Calc!$J$23),INDEX('My Order Engine'!$AH18:$AV18,Calc!$K$23)),"")</f>
        <v/>
      </c>
      <c r="U16" s="25" t="str">
        <f>IF(AND($A16&lt;=IF(Calc!$C$36=999,360,Calc!$C$36),Calc!$C$24=1),CHOOSE(Calc!$C$3,INDEX('Snowball Engine'!$AH18:$AV18,Calc!$I$24),INDEX('Avalanche Engine'!$AH18:$AV18,Calc!$J$24),INDEX('My Order Engine'!$AH18:$AV18,Calc!$K$24)),"")</f>
        <v/>
      </c>
    </row>
    <row r="17" spans="1:21" x14ac:dyDescent="0.35">
      <c r="A17" s="23">
        <v>13</v>
      </c>
      <c r="B17" s="24">
        <f ca="1">IF($A17&lt;=IF(Calc!$C$36=999,360,Calc!$C$36),EDATE(Calc!$C$5,A17-1),"")</f>
        <v>46661</v>
      </c>
      <c r="C17" s="25">
        <f>IF($A17&lt;=IF(Calc!$C$36=999,360,Calc!$C$36),CHOOSE(Calc!$C$3,'Snowball Engine'!AY19,'Avalanche Engine'!AY19,'My Order Engine'!AY19),"")</f>
        <v>750</v>
      </c>
      <c r="D17" s="25">
        <f>IF($A17&lt;=IF(Calc!$C$36=999,360,Calc!$C$36),CHOOSE(Calc!$C$3,'Snowball Engine'!AX19,'Avalanche Engine'!AX19,'My Order Engine'!AX19),"")</f>
        <v>108.82</v>
      </c>
      <c r="E17" s="25">
        <f>IF($A17&lt;=IF(Calc!$C$36=999,360,Calc!$C$36),C17-D17,"")</f>
        <v>641.18000000000006</v>
      </c>
      <c r="F17" s="25">
        <f>IF($A17&lt;=IF(Calc!$C$36=999,360,Calc!$C$36),CHOOSE(Calc!$C$3,'Snowball Engine'!AW19,'Avalanche Engine'!AW19,'My Order Engine'!AW19),"")</f>
        <v>10443.64</v>
      </c>
      <c r="G17" s="25">
        <f>IF(AND($A17&lt;=IF(Calc!$C$36=999,360,Calc!$C$36),Calc!$C$10=1),CHOOSE(Calc!$C$3,INDEX('Snowball Engine'!$AH19:$AV19,Calc!$I$10),INDEX('Avalanche Engine'!$AH19:$AV19,Calc!$J$10),INDEX('My Order Engine'!$AH19:$AV19,Calc!$K$10)),"")</f>
        <v>2333.98</v>
      </c>
      <c r="H17" s="25">
        <f>IF(AND($A17&lt;=IF(Calc!$C$36=999,360,Calc!$C$36),Calc!$C$11=1),CHOOSE(Calc!$C$3,INDEX('Snowball Engine'!$AH19:$AV19,Calc!$I$11),INDEX('Avalanche Engine'!$AH19:$AV19,Calc!$J$11),INDEX('My Order Engine'!$AH19:$AV19,Calc!$K$11)),"")</f>
        <v>0</v>
      </c>
      <c r="I17" s="25">
        <f>IF(AND($A17&lt;=IF(Calc!$C$36=999,360,Calc!$C$36),Calc!$C$12=1),CHOOSE(Calc!$C$3,INDEX('Snowball Engine'!$AH19:$AV19,Calc!$I$12),INDEX('Avalanche Engine'!$AH19:$AV19,Calc!$J$12),INDEX('My Order Engine'!$AH19:$AV19,Calc!$K$12)),"")</f>
        <v>8109.66</v>
      </c>
      <c r="J17" s="25">
        <f>IF(AND($A17&lt;=IF(Calc!$C$36=999,360,Calc!$C$36),Calc!$C$13=1),CHOOSE(Calc!$C$3,INDEX('Snowball Engine'!$AH19:$AV19,Calc!$I$13),INDEX('Avalanche Engine'!$AH19:$AV19,Calc!$J$13),INDEX('My Order Engine'!$AH19:$AV19,Calc!$K$13)),"")</f>
        <v>0</v>
      </c>
      <c r="K17" s="25" t="str">
        <f>IF(AND($A17&lt;=IF(Calc!$C$36=999,360,Calc!$C$36),Calc!$C$14=1),CHOOSE(Calc!$C$3,INDEX('Snowball Engine'!$AH19:$AV19,Calc!$I$14),INDEX('Avalanche Engine'!$AH19:$AV19,Calc!$J$14),INDEX('My Order Engine'!$AH19:$AV19,Calc!$K$14)),"")</f>
        <v/>
      </c>
      <c r="L17" s="25" t="str">
        <f>IF(AND($A17&lt;=IF(Calc!$C$36=999,360,Calc!$C$36),Calc!$C$15=1),CHOOSE(Calc!$C$3,INDEX('Snowball Engine'!$AH19:$AV19,Calc!$I$15),INDEX('Avalanche Engine'!$AH19:$AV19,Calc!$J$15),INDEX('My Order Engine'!$AH19:$AV19,Calc!$K$15)),"")</f>
        <v/>
      </c>
      <c r="M17" s="25" t="str">
        <f>IF(AND($A17&lt;=IF(Calc!$C$36=999,360,Calc!$C$36),Calc!$C$16=1),CHOOSE(Calc!$C$3,INDEX('Snowball Engine'!$AH19:$AV19,Calc!$I$16),INDEX('Avalanche Engine'!$AH19:$AV19,Calc!$J$16),INDEX('My Order Engine'!$AH19:$AV19,Calc!$K$16)),"")</f>
        <v/>
      </c>
      <c r="N17" s="25" t="str">
        <f>IF(AND($A17&lt;=IF(Calc!$C$36=999,360,Calc!$C$36),Calc!$C$17=1),CHOOSE(Calc!$C$3,INDEX('Snowball Engine'!$AH19:$AV19,Calc!$I$17),INDEX('Avalanche Engine'!$AH19:$AV19,Calc!$J$17),INDEX('My Order Engine'!$AH19:$AV19,Calc!$K$17)),"")</f>
        <v/>
      </c>
      <c r="O17" s="25" t="str">
        <f>IF(AND($A17&lt;=IF(Calc!$C$36=999,360,Calc!$C$36),Calc!$C$18=1),CHOOSE(Calc!$C$3,INDEX('Snowball Engine'!$AH19:$AV19,Calc!$I$18),INDEX('Avalanche Engine'!$AH19:$AV19,Calc!$J$18),INDEX('My Order Engine'!$AH19:$AV19,Calc!$K$18)),"")</f>
        <v/>
      </c>
      <c r="P17" s="25" t="str">
        <f>IF(AND($A17&lt;=IF(Calc!$C$36=999,360,Calc!$C$36),Calc!$C$19=1),CHOOSE(Calc!$C$3,INDEX('Snowball Engine'!$AH19:$AV19,Calc!$I$19),INDEX('Avalanche Engine'!$AH19:$AV19,Calc!$J$19),INDEX('My Order Engine'!$AH19:$AV19,Calc!$K$19)),"")</f>
        <v/>
      </c>
      <c r="Q17" s="25" t="str">
        <f>IF(AND($A17&lt;=IF(Calc!$C$36=999,360,Calc!$C$36),Calc!$C$20=1),CHOOSE(Calc!$C$3,INDEX('Snowball Engine'!$AH19:$AV19,Calc!$I$20),INDEX('Avalanche Engine'!$AH19:$AV19,Calc!$J$20),INDEX('My Order Engine'!$AH19:$AV19,Calc!$K$20)),"")</f>
        <v/>
      </c>
      <c r="R17" s="25" t="str">
        <f>IF(AND($A17&lt;=IF(Calc!$C$36=999,360,Calc!$C$36),Calc!$C$21=1),CHOOSE(Calc!$C$3,INDEX('Snowball Engine'!$AH19:$AV19,Calc!$I$21),INDEX('Avalanche Engine'!$AH19:$AV19,Calc!$J$21),INDEX('My Order Engine'!$AH19:$AV19,Calc!$K$21)),"")</f>
        <v/>
      </c>
      <c r="S17" s="25" t="str">
        <f>IF(AND($A17&lt;=IF(Calc!$C$36=999,360,Calc!$C$36),Calc!$C$22=1),CHOOSE(Calc!$C$3,INDEX('Snowball Engine'!$AH19:$AV19,Calc!$I$22),INDEX('Avalanche Engine'!$AH19:$AV19,Calc!$J$22),INDEX('My Order Engine'!$AH19:$AV19,Calc!$K$22)),"")</f>
        <v/>
      </c>
      <c r="T17" s="25" t="str">
        <f>IF(AND($A17&lt;=IF(Calc!$C$36=999,360,Calc!$C$36),Calc!$C$23=1),CHOOSE(Calc!$C$3,INDEX('Snowball Engine'!$AH19:$AV19,Calc!$I$23),INDEX('Avalanche Engine'!$AH19:$AV19,Calc!$J$23),INDEX('My Order Engine'!$AH19:$AV19,Calc!$K$23)),"")</f>
        <v/>
      </c>
      <c r="U17" s="25" t="str">
        <f>IF(AND($A17&lt;=IF(Calc!$C$36=999,360,Calc!$C$36),Calc!$C$24=1),CHOOSE(Calc!$C$3,INDEX('Snowball Engine'!$AH19:$AV19,Calc!$I$24),INDEX('Avalanche Engine'!$AH19:$AV19,Calc!$J$24),INDEX('My Order Engine'!$AH19:$AV19,Calc!$K$24)),"")</f>
        <v/>
      </c>
    </row>
    <row r="18" spans="1:21" x14ac:dyDescent="0.35">
      <c r="A18" s="23">
        <v>14</v>
      </c>
      <c r="B18" s="24">
        <f ca="1">IF($A18&lt;=IF(Calc!$C$36=999,360,Calc!$C$36),EDATE(Calc!$C$5,A18-1),"")</f>
        <v>46692</v>
      </c>
      <c r="C18" s="25">
        <f>IF($A18&lt;=IF(Calc!$C$36=999,360,Calc!$C$36),CHOOSE(Calc!$C$3,'Snowball Engine'!AY20,'Avalanche Engine'!AY20,'My Order Engine'!AY20),"")</f>
        <v>750</v>
      </c>
      <c r="D18" s="25">
        <f>IF($A18&lt;=IF(Calc!$C$36=999,360,Calc!$C$36),CHOOSE(Calc!$C$3,'Snowball Engine'!AX20,'Avalanche Engine'!AX20,'My Order Engine'!AX20),"")</f>
        <v>99.3</v>
      </c>
      <c r="E18" s="25">
        <f>IF($A18&lt;=IF(Calc!$C$36=999,360,Calc!$C$36),C18-D18,"")</f>
        <v>650.70000000000005</v>
      </c>
      <c r="F18" s="25">
        <f>IF($A18&lt;=IF(Calc!$C$36=999,360,Calc!$C$36),CHOOSE(Calc!$C$3,'Snowball Engine'!AW20,'Avalanche Engine'!AW20,'My Order Engine'!AW20),"")</f>
        <v>9792.94</v>
      </c>
      <c r="G18" s="25">
        <f>IF(AND($A18&lt;=IF(Calc!$C$36=999,360,Calc!$C$36),Calc!$C$10=1),CHOOSE(Calc!$C$3,INDEX('Snowball Engine'!$AH20:$AV20,Calc!$I$10),INDEX('Avalanche Engine'!$AH20:$AV20,Calc!$J$10),INDEX('My Order Engine'!$AH20:$AV20,Calc!$K$10)),"")</f>
        <v>1947.59</v>
      </c>
      <c r="H18" s="25">
        <f>IF(AND($A18&lt;=IF(Calc!$C$36=999,360,Calc!$C$36),Calc!$C$11=1),CHOOSE(Calc!$C$3,INDEX('Snowball Engine'!$AH20:$AV20,Calc!$I$11),INDEX('Avalanche Engine'!$AH20:$AV20,Calc!$J$11),INDEX('My Order Engine'!$AH20:$AV20,Calc!$K$11)),"")</f>
        <v>0</v>
      </c>
      <c r="I18" s="25">
        <f>IF(AND($A18&lt;=IF(Calc!$C$36=999,360,Calc!$C$36),Calc!$C$12=1),CHOOSE(Calc!$C$3,INDEX('Snowball Engine'!$AH20:$AV20,Calc!$I$12),INDEX('Avalanche Engine'!$AH20:$AV20,Calc!$J$12),INDEX('My Order Engine'!$AH20:$AV20,Calc!$K$12)),"")</f>
        <v>7845.35</v>
      </c>
      <c r="J18" s="25">
        <f>IF(AND($A18&lt;=IF(Calc!$C$36=999,360,Calc!$C$36),Calc!$C$13=1),CHOOSE(Calc!$C$3,INDEX('Snowball Engine'!$AH20:$AV20,Calc!$I$13),INDEX('Avalanche Engine'!$AH20:$AV20,Calc!$J$13),INDEX('My Order Engine'!$AH20:$AV20,Calc!$K$13)),"")</f>
        <v>0</v>
      </c>
      <c r="K18" s="25" t="str">
        <f>IF(AND($A18&lt;=IF(Calc!$C$36=999,360,Calc!$C$36),Calc!$C$14=1),CHOOSE(Calc!$C$3,INDEX('Snowball Engine'!$AH20:$AV20,Calc!$I$14),INDEX('Avalanche Engine'!$AH20:$AV20,Calc!$J$14),INDEX('My Order Engine'!$AH20:$AV20,Calc!$K$14)),"")</f>
        <v/>
      </c>
      <c r="L18" s="25" t="str">
        <f>IF(AND($A18&lt;=IF(Calc!$C$36=999,360,Calc!$C$36),Calc!$C$15=1),CHOOSE(Calc!$C$3,INDEX('Snowball Engine'!$AH20:$AV20,Calc!$I$15),INDEX('Avalanche Engine'!$AH20:$AV20,Calc!$J$15),INDEX('My Order Engine'!$AH20:$AV20,Calc!$K$15)),"")</f>
        <v/>
      </c>
      <c r="M18" s="25" t="str">
        <f>IF(AND($A18&lt;=IF(Calc!$C$36=999,360,Calc!$C$36),Calc!$C$16=1),CHOOSE(Calc!$C$3,INDEX('Snowball Engine'!$AH20:$AV20,Calc!$I$16),INDEX('Avalanche Engine'!$AH20:$AV20,Calc!$J$16),INDEX('My Order Engine'!$AH20:$AV20,Calc!$K$16)),"")</f>
        <v/>
      </c>
      <c r="N18" s="25" t="str">
        <f>IF(AND($A18&lt;=IF(Calc!$C$36=999,360,Calc!$C$36),Calc!$C$17=1),CHOOSE(Calc!$C$3,INDEX('Snowball Engine'!$AH20:$AV20,Calc!$I$17),INDEX('Avalanche Engine'!$AH20:$AV20,Calc!$J$17),INDEX('My Order Engine'!$AH20:$AV20,Calc!$K$17)),"")</f>
        <v/>
      </c>
      <c r="O18" s="25" t="str">
        <f>IF(AND($A18&lt;=IF(Calc!$C$36=999,360,Calc!$C$36),Calc!$C$18=1),CHOOSE(Calc!$C$3,INDEX('Snowball Engine'!$AH20:$AV20,Calc!$I$18),INDEX('Avalanche Engine'!$AH20:$AV20,Calc!$J$18),INDEX('My Order Engine'!$AH20:$AV20,Calc!$K$18)),"")</f>
        <v/>
      </c>
      <c r="P18" s="25" t="str">
        <f>IF(AND($A18&lt;=IF(Calc!$C$36=999,360,Calc!$C$36),Calc!$C$19=1),CHOOSE(Calc!$C$3,INDEX('Snowball Engine'!$AH20:$AV20,Calc!$I$19),INDEX('Avalanche Engine'!$AH20:$AV20,Calc!$J$19),INDEX('My Order Engine'!$AH20:$AV20,Calc!$K$19)),"")</f>
        <v/>
      </c>
      <c r="Q18" s="25" t="str">
        <f>IF(AND($A18&lt;=IF(Calc!$C$36=999,360,Calc!$C$36),Calc!$C$20=1),CHOOSE(Calc!$C$3,INDEX('Snowball Engine'!$AH20:$AV20,Calc!$I$20),INDEX('Avalanche Engine'!$AH20:$AV20,Calc!$J$20),INDEX('My Order Engine'!$AH20:$AV20,Calc!$K$20)),"")</f>
        <v/>
      </c>
      <c r="R18" s="25" t="str">
        <f>IF(AND($A18&lt;=IF(Calc!$C$36=999,360,Calc!$C$36),Calc!$C$21=1),CHOOSE(Calc!$C$3,INDEX('Snowball Engine'!$AH20:$AV20,Calc!$I$21),INDEX('Avalanche Engine'!$AH20:$AV20,Calc!$J$21),INDEX('My Order Engine'!$AH20:$AV20,Calc!$K$21)),"")</f>
        <v/>
      </c>
      <c r="S18" s="25" t="str">
        <f>IF(AND($A18&lt;=IF(Calc!$C$36=999,360,Calc!$C$36),Calc!$C$22=1),CHOOSE(Calc!$C$3,INDEX('Snowball Engine'!$AH20:$AV20,Calc!$I$22),INDEX('Avalanche Engine'!$AH20:$AV20,Calc!$J$22),INDEX('My Order Engine'!$AH20:$AV20,Calc!$K$22)),"")</f>
        <v/>
      </c>
      <c r="T18" s="25" t="str">
        <f>IF(AND($A18&lt;=IF(Calc!$C$36=999,360,Calc!$C$36),Calc!$C$23=1),CHOOSE(Calc!$C$3,INDEX('Snowball Engine'!$AH20:$AV20,Calc!$I$23),INDEX('Avalanche Engine'!$AH20:$AV20,Calc!$J$23),INDEX('My Order Engine'!$AH20:$AV20,Calc!$K$23)),"")</f>
        <v/>
      </c>
      <c r="U18" s="25" t="str">
        <f>IF(AND($A18&lt;=IF(Calc!$C$36=999,360,Calc!$C$36),Calc!$C$24=1),CHOOSE(Calc!$C$3,INDEX('Snowball Engine'!$AH20:$AV20,Calc!$I$24),INDEX('Avalanche Engine'!$AH20:$AV20,Calc!$J$24),INDEX('My Order Engine'!$AH20:$AV20,Calc!$K$24)),"")</f>
        <v/>
      </c>
    </row>
    <row r="19" spans="1:21" x14ac:dyDescent="0.35">
      <c r="A19" s="23">
        <v>15</v>
      </c>
      <c r="B19" s="24">
        <f ca="1">IF($A19&lt;=IF(Calc!$C$36=999,360,Calc!$C$36),EDATE(Calc!$C$5,A19-1),"")</f>
        <v>46722</v>
      </c>
      <c r="C19" s="25">
        <f>IF($A19&lt;=IF(Calc!$C$36=999,360,Calc!$C$36),CHOOSE(Calc!$C$3,'Snowball Engine'!AY21,'Avalanche Engine'!AY21,'My Order Engine'!AY21),"")</f>
        <v>750</v>
      </c>
      <c r="D19" s="25">
        <f>IF($A19&lt;=IF(Calc!$C$36=999,360,Calc!$C$36),CHOOSE(Calc!$C$3,'Snowball Engine'!AX21,'Avalanche Engine'!AX21,'My Order Engine'!AX21),"")</f>
        <v>89.59</v>
      </c>
      <c r="E19" s="25">
        <f>IF($A19&lt;=IF(Calc!$C$36=999,360,Calc!$C$36),C19-D19,"")</f>
        <v>660.41</v>
      </c>
      <c r="F19" s="25">
        <f>IF($A19&lt;=IF(Calc!$C$36=999,360,Calc!$C$36),CHOOSE(Calc!$C$3,'Snowball Engine'!AW21,'Avalanche Engine'!AW21,'My Order Engine'!AW21),"")</f>
        <v>9132.5300000000007</v>
      </c>
      <c r="G19" s="25">
        <f>IF(AND($A19&lt;=IF(Calc!$C$36=999,360,Calc!$C$36),Calc!$C$10=1),CHOOSE(Calc!$C$3,INDEX('Snowball Engine'!$AH21:$AV21,Calc!$I$10),INDEX('Avalanche Engine'!$AH21:$AV21,Calc!$J$10),INDEX('My Order Engine'!$AH21:$AV21,Calc!$K$10)),"")</f>
        <v>1553.15</v>
      </c>
      <c r="H19" s="25">
        <f>IF(AND($A19&lt;=IF(Calc!$C$36=999,360,Calc!$C$36),Calc!$C$11=1),CHOOSE(Calc!$C$3,INDEX('Snowball Engine'!$AH21:$AV21,Calc!$I$11),INDEX('Avalanche Engine'!$AH21:$AV21,Calc!$J$11),INDEX('My Order Engine'!$AH21:$AV21,Calc!$K$11)),"")</f>
        <v>0</v>
      </c>
      <c r="I19" s="25">
        <f>IF(AND($A19&lt;=IF(Calc!$C$36=999,360,Calc!$C$36),Calc!$C$12=1),CHOOSE(Calc!$C$3,INDEX('Snowball Engine'!$AH21:$AV21,Calc!$I$12),INDEX('Avalanche Engine'!$AH21:$AV21,Calc!$J$12),INDEX('My Order Engine'!$AH21:$AV21,Calc!$K$12)),"")</f>
        <v>7579.38</v>
      </c>
      <c r="J19" s="25">
        <f>IF(AND($A19&lt;=IF(Calc!$C$36=999,360,Calc!$C$36),Calc!$C$13=1),CHOOSE(Calc!$C$3,INDEX('Snowball Engine'!$AH21:$AV21,Calc!$I$13),INDEX('Avalanche Engine'!$AH21:$AV21,Calc!$J$13),INDEX('My Order Engine'!$AH21:$AV21,Calc!$K$13)),"")</f>
        <v>0</v>
      </c>
      <c r="K19" s="25" t="str">
        <f>IF(AND($A19&lt;=IF(Calc!$C$36=999,360,Calc!$C$36),Calc!$C$14=1),CHOOSE(Calc!$C$3,INDEX('Snowball Engine'!$AH21:$AV21,Calc!$I$14),INDEX('Avalanche Engine'!$AH21:$AV21,Calc!$J$14),INDEX('My Order Engine'!$AH21:$AV21,Calc!$K$14)),"")</f>
        <v/>
      </c>
      <c r="L19" s="25" t="str">
        <f>IF(AND($A19&lt;=IF(Calc!$C$36=999,360,Calc!$C$36),Calc!$C$15=1),CHOOSE(Calc!$C$3,INDEX('Snowball Engine'!$AH21:$AV21,Calc!$I$15),INDEX('Avalanche Engine'!$AH21:$AV21,Calc!$J$15),INDEX('My Order Engine'!$AH21:$AV21,Calc!$K$15)),"")</f>
        <v/>
      </c>
      <c r="M19" s="25" t="str">
        <f>IF(AND($A19&lt;=IF(Calc!$C$36=999,360,Calc!$C$36),Calc!$C$16=1),CHOOSE(Calc!$C$3,INDEX('Snowball Engine'!$AH21:$AV21,Calc!$I$16),INDEX('Avalanche Engine'!$AH21:$AV21,Calc!$J$16),INDEX('My Order Engine'!$AH21:$AV21,Calc!$K$16)),"")</f>
        <v/>
      </c>
      <c r="N19" s="25" t="str">
        <f>IF(AND($A19&lt;=IF(Calc!$C$36=999,360,Calc!$C$36),Calc!$C$17=1),CHOOSE(Calc!$C$3,INDEX('Snowball Engine'!$AH21:$AV21,Calc!$I$17),INDEX('Avalanche Engine'!$AH21:$AV21,Calc!$J$17),INDEX('My Order Engine'!$AH21:$AV21,Calc!$K$17)),"")</f>
        <v/>
      </c>
      <c r="O19" s="25" t="str">
        <f>IF(AND($A19&lt;=IF(Calc!$C$36=999,360,Calc!$C$36),Calc!$C$18=1),CHOOSE(Calc!$C$3,INDEX('Snowball Engine'!$AH21:$AV21,Calc!$I$18),INDEX('Avalanche Engine'!$AH21:$AV21,Calc!$J$18),INDEX('My Order Engine'!$AH21:$AV21,Calc!$K$18)),"")</f>
        <v/>
      </c>
      <c r="P19" s="25" t="str">
        <f>IF(AND($A19&lt;=IF(Calc!$C$36=999,360,Calc!$C$36),Calc!$C$19=1),CHOOSE(Calc!$C$3,INDEX('Snowball Engine'!$AH21:$AV21,Calc!$I$19),INDEX('Avalanche Engine'!$AH21:$AV21,Calc!$J$19),INDEX('My Order Engine'!$AH21:$AV21,Calc!$K$19)),"")</f>
        <v/>
      </c>
      <c r="Q19" s="25" t="str">
        <f>IF(AND($A19&lt;=IF(Calc!$C$36=999,360,Calc!$C$36),Calc!$C$20=1),CHOOSE(Calc!$C$3,INDEX('Snowball Engine'!$AH21:$AV21,Calc!$I$20),INDEX('Avalanche Engine'!$AH21:$AV21,Calc!$J$20),INDEX('My Order Engine'!$AH21:$AV21,Calc!$K$20)),"")</f>
        <v/>
      </c>
      <c r="R19" s="25" t="str">
        <f>IF(AND($A19&lt;=IF(Calc!$C$36=999,360,Calc!$C$36),Calc!$C$21=1),CHOOSE(Calc!$C$3,INDEX('Snowball Engine'!$AH21:$AV21,Calc!$I$21),INDEX('Avalanche Engine'!$AH21:$AV21,Calc!$J$21),INDEX('My Order Engine'!$AH21:$AV21,Calc!$K$21)),"")</f>
        <v/>
      </c>
      <c r="S19" s="25" t="str">
        <f>IF(AND($A19&lt;=IF(Calc!$C$36=999,360,Calc!$C$36),Calc!$C$22=1),CHOOSE(Calc!$C$3,INDEX('Snowball Engine'!$AH21:$AV21,Calc!$I$22),INDEX('Avalanche Engine'!$AH21:$AV21,Calc!$J$22),INDEX('My Order Engine'!$AH21:$AV21,Calc!$K$22)),"")</f>
        <v/>
      </c>
      <c r="T19" s="25" t="str">
        <f>IF(AND($A19&lt;=IF(Calc!$C$36=999,360,Calc!$C$36),Calc!$C$23=1),CHOOSE(Calc!$C$3,INDEX('Snowball Engine'!$AH21:$AV21,Calc!$I$23),INDEX('Avalanche Engine'!$AH21:$AV21,Calc!$J$23),INDEX('My Order Engine'!$AH21:$AV21,Calc!$K$23)),"")</f>
        <v/>
      </c>
      <c r="U19" s="25" t="str">
        <f>IF(AND($A19&lt;=IF(Calc!$C$36=999,360,Calc!$C$36),Calc!$C$24=1),CHOOSE(Calc!$C$3,INDEX('Snowball Engine'!$AH21:$AV21,Calc!$I$24),INDEX('Avalanche Engine'!$AH21:$AV21,Calc!$J$24),INDEX('My Order Engine'!$AH21:$AV21,Calc!$K$24)),"")</f>
        <v/>
      </c>
    </row>
    <row r="20" spans="1:21" x14ac:dyDescent="0.35">
      <c r="A20" s="23">
        <v>16</v>
      </c>
      <c r="B20" s="24">
        <f ca="1">IF($A20&lt;=IF(Calc!$C$36=999,360,Calc!$C$36),EDATE(Calc!$C$5,A20-1),"")</f>
        <v>46753</v>
      </c>
      <c r="C20" s="25">
        <f>IF($A20&lt;=IF(Calc!$C$36=999,360,Calc!$C$36),CHOOSE(Calc!$C$3,'Snowball Engine'!AY22,'Avalanche Engine'!AY22,'My Order Engine'!AY22),"")</f>
        <v>750</v>
      </c>
      <c r="D20" s="25">
        <f>IF($A20&lt;=IF(Calc!$C$36=999,360,Calc!$C$36),CHOOSE(Calc!$C$3,'Snowball Engine'!AX22,'Avalanche Engine'!AX22,'My Order Engine'!AX22),"")</f>
        <v>79.710000000000008</v>
      </c>
      <c r="E20" s="25">
        <f>IF($A20&lt;=IF(Calc!$C$36=999,360,Calc!$C$36),C20-D20,"")</f>
        <v>670.29</v>
      </c>
      <c r="F20" s="25">
        <f>IF($A20&lt;=IF(Calc!$C$36=999,360,Calc!$C$36),CHOOSE(Calc!$C$3,'Snowball Engine'!AW22,'Avalanche Engine'!AW22,'My Order Engine'!AW22),"")</f>
        <v>8462.24</v>
      </c>
      <c r="G20" s="25">
        <f>IF(AND($A20&lt;=IF(Calc!$C$36=999,360,Calc!$C$36),Calc!$C$10=1),CHOOSE(Calc!$C$3,INDEX('Snowball Engine'!$AH22:$AV22,Calc!$I$10),INDEX('Avalanche Engine'!$AH22:$AV22,Calc!$J$10),INDEX('My Order Engine'!$AH22:$AV22,Calc!$K$10)),"")</f>
        <v>1150.49</v>
      </c>
      <c r="H20" s="25">
        <f>IF(AND($A20&lt;=IF(Calc!$C$36=999,360,Calc!$C$36),Calc!$C$11=1),CHOOSE(Calc!$C$3,INDEX('Snowball Engine'!$AH22:$AV22,Calc!$I$11),INDEX('Avalanche Engine'!$AH22:$AV22,Calc!$J$11),INDEX('My Order Engine'!$AH22:$AV22,Calc!$K$11)),"")</f>
        <v>0</v>
      </c>
      <c r="I20" s="25">
        <f>IF(AND($A20&lt;=IF(Calc!$C$36=999,360,Calc!$C$36),Calc!$C$12=1),CHOOSE(Calc!$C$3,INDEX('Snowball Engine'!$AH22:$AV22,Calc!$I$12),INDEX('Avalanche Engine'!$AH22:$AV22,Calc!$J$12),INDEX('My Order Engine'!$AH22:$AV22,Calc!$K$12)),"")</f>
        <v>7311.75</v>
      </c>
      <c r="J20" s="25">
        <f>IF(AND($A20&lt;=IF(Calc!$C$36=999,360,Calc!$C$36),Calc!$C$13=1),CHOOSE(Calc!$C$3,INDEX('Snowball Engine'!$AH22:$AV22,Calc!$I$13),INDEX('Avalanche Engine'!$AH22:$AV22,Calc!$J$13),INDEX('My Order Engine'!$AH22:$AV22,Calc!$K$13)),"")</f>
        <v>0</v>
      </c>
      <c r="K20" s="25" t="str">
        <f>IF(AND($A20&lt;=IF(Calc!$C$36=999,360,Calc!$C$36),Calc!$C$14=1),CHOOSE(Calc!$C$3,INDEX('Snowball Engine'!$AH22:$AV22,Calc!$I$14),INDEX('Avalanche Engine'!$AH22:$AV22,Calc!$J$14),INDEX('My Order Engine'!$AH22:$AV22,Calc!$K$14)),"")</f>
        <v/>
      </c>
      <c r="L20" s="25" t="str">
        <f>IF(AND($A20&lt;=IF(Calc!$C$36=999,360,Calc!$C$36),Calc!$C$15=1),CHOOSE(Calc!$C$3,INDEX('Snowball Engine'!$AH22:$AV22,Calc!$I$15),INDEX('Avalanche Engine'!$AH22:$AV22,Calc!$J$15),INDEX('My Order Engine'!$AH22:$AV22,Calc!$K$15)),"")</f>
        <v/>
      </c>
      <c r="M20" s="25" t="str">
        <f>IF(AND($A20&lt;=IF(Calc!$C$36=999,360,Calc!$C$36),Calc!$C$16=1),CHOOSE(Calc!$C$3,INDEX('Snowball Engine'!$AH22:$AV22,Calc!$I$16),INDEX('Avalanche Engine'!$AH22:$AV22,Calc!$J$16),INDEX('My Order Engine'!$AH22:$AV22,Calc!$K$16)),"")</f>
        <v/>
      </c>
      <c r="N20" s="25" t="str">
        <f>IF(AND($A20&lt;=IF(Calc!$C$36=999,360,Calc!$C$36),Calc!$C$17=1),CHOOSE(Calc!$C$3,INDEX('Snowball Engine'!$AH22:$AV22,Calc!$I$17),INDEX('Avalanche Engine'!$AH22:$AV22,Calc!$J$17),INDEX('My Order Engine'!$AH22:$AV22,Calc!$K$17)),"")</f>
        <v/>
      </c>
      <c r="O20" s="25" t="str">
        <f>IF(AND($A20&lt;=IF(Calc!$C$36=999,360,Calc!$C$36),Calc!$C$18=1),CHOOSE(Calc!$C$3,INDEX('Snowball Engine'!$AH22:$AV22,Calc!$I$18),INDEX('Avalanche Engine'!$AH22:$AV22,Calc!$J$18),INDEX('My Order Engine'!$AH22:$AV22,Calc!$K$18)),"")</f>
        <v/>
      </c>
      <c r="P20" s="25" t="str">
        <f>IF(AND($A20&lt;=IF(Calc!$C$36=999,360,Calc!$C$36),Calc!$C$19=1),CHOOSE(Calc!$C$3,INDEX('Snowball Engine'!$AH22:$AV22,Calc!$I$19),INDEX('Avalanche Engine'!$AH22:$AV22,Calc!$J$19),INDEX('My Order Engine'!$AH22:$AV22,Calc!$K$19)),"")</f>
        <v/>
      </c>
      <c r="Q20" s="25" t="str">
        <f>IF(AND($A20&lt;=IF(Calc!$C$36=999,360,Calc!$C$36),Calc!$C$20=1),CHOOSE(Calc!$C$3,INDEX('Snowball Engine'!$AH22:$AV22,Calc!$I$20),INDEX('Avalanche Engine'!$AH22:$AV22,Calc!$J$20),INDEX('My Order Engine'!$AH22:$AV22,Calc!$K$20)),"")</f>
        <v/>
      </c>
      <c r="R20" s="25" t="str">
        <f>IF(AND($A20&lt;=IF(Calc!$C$36=999,360,Calc!$C$36),Calc!$C$21=1),CHOOSE(Calc!$C$3,INDEX('Snowball Engine'!$AH22:$AV22,Calc!$I$21),INDEX('Avalanche Engine'!$AH22:$AV22,Calc!$J$21),INDEX('My Order Engine'!$AH22:$AV22,Calc!$K$21)),"")</f>
        <v/>
      </c>
      <c r="S20" s="25" t="str">
        <f>IF(AND($A20&lt;=IF(Calc!$C$36=999,360,Calc!$C$36),Calc!$C$22=1),CHOOSE(Calc!$C$3,INDEX('Snowball Engine'!$AH22:$AV22,Calc!$I$22),INDEX('Avalanche Engine'!$AH22:$AV22,Calc!$J$22),INDEX('My Order Engine'!$AH22:$AV22,Calc!$K$22)),"")</f>
        <v/>
      </c>
      <c r="T20" s="25" t="str">
        <f>IF(AND($A20&lt;=IF(Calc!$C$36=999,360,Calc!$C$36),Calc!$C$23=1),CHOOSE(Calc!$C$3,INDEX('Snowball Engine'!$AH22:$AV22,Calc!$I$23),INDEX('Avalanche Engine'!$AH22:$AV22,Calc!$J$23),INDEX('My Order Engine'!$AH22:$AV22,Calc!$K$23)),"")</f>
        <v/>
      </c>
      <c r="U20" s="25" t="str">
        <f>IF(AND($A20&lt;=IF(Calc!$C$36=999,360,Calc!$C$36),Calc!$C$24=1),CHOOSE(Calc!$C$3,INDEX('Snowball Engine'!$AH22:$AV22,Calc!$I$24),INDEX('Avalanche Engine'!$AH22:$AV22,Calc!$J$24),INDEX('My Order Engine'!$AH22:$AV22,Calc!$K$24)),"")</f>
        <v/>
      </c>
    </row>
    <row r="21" spans="1:21" x14ac:dyDescent="0.35">
      <c r="A21" s="23">
        <v>17</v>
      </c>
      <c r="B21" s="24">
        <f ca="1">IF($A21&lt;=IF(Calc!$C$36=999,360,Calc!$C$36),EDATE(Calc!$C$5,A21-1),"")</f>
        <v>46784</v>
      </c>
      <c r="C21" s="25">
        <f>IF($A21&lt;=IF(Calc!$C$36=999,360,Calc!$C$36),CHOOSE(Calc!$C$3,'Snowball Engine'!AY23,'Avalanche Engine'!AY23,'My Order Engine'!AY23),"")</f>
        <v>750</v>
      </c>
      <c r="D21" s="25">
        <f>IF($A21&lt;=IF(Calc!$C$36=999,360,Calc!$C$36),CHOOSE(Calc!$C$3,'Snowball Engine'!AX23,'Avalanche Engine'!AX23,'My Order Engine'!AX23),"")</f>
        <v>69.66</v>
      </c>
      <c r="E21" s="25">
        <f>IF($A21&lt;=IF(Calc!$C$36=999,360,Calc!$C$36),C21-D21,"")</f>
        <v>680.34</v>
      </c>
      <c r="F21" s="25">
        <f>IF($A21&lt;=IF(Calc!$C$36=999,360,Calc!$C$36),CHOOSE(Calc!$C$3,'Snowball Engine'!AW23,'Avalanche Engine'!AW23,'My Order Engine'!AW23),"")</f>
        <v>7781.9</v>
      </c>
      <c r="G21" s="25">
        <f>IF(AND($A21&lt;=IF(Calc!$C$36=999,360,Calc!$C$36),Calc!$C$10=1),CHOOSE(Calc!$C$3,INDEX('Snowball Engine'!$AH23:$AV23,Calc!$I$10),INDEX('Avalanche Engine'!$AH23:$AV23,Calc!$J$10),INDEX('My Order Engine'!$AH23:$AV23,Calc!$K$10)),"")</f>
        <v>739.45</v>
      </c>
      <c r="H21" s="25">
        <f>IF(AND($A21&lt;=IF(Calc!$C$36=999,360,Calc!$C$36),Calc!$C$11=1),CHOOSE(Calc!$C$3,INDEX('Snowball Engine'!$AH23:$AV23,Calc!$I$11),INDEX('Avalanche Engine'!$AH23:$AV23,Calc!$J$11),INDEX('My Order Engine'!$AH23:$AV23,Calc!$K$11)),"")</f>
        <v>0</v>
      </c>
      <c r="I21" s="25">
        <f>IF(AND($A21&lt;=IF(Calc!$C$36=999,360,Calc!$C$36),Calc!$C$12=1),CHOOSE(Calc!$C$3,INDEX('Snowball Engine'!$AH23:$AV23,Calc!$I$12),INDEX('Avalanche Engine'!$AH23:$AV23,Calc!$J$12),INDEX('My Order Engine'!$AH23:$AV23,Calc!$K$12)),"")</f>
        <v>7042.45</v>
      </c>
      <c r="J21" s="25">
        <f>IF(AND($A21&lt;=IF(Calc!$C$36=999,360,Calc!$C$36),Calc!$C$13=1),CHOOSE(Calc!$C$3,INDEX('Snowball Engine'!$AH23:$AV23,Calc!$I$13),INDEX('Avalanche Engine'!$AH23:$AV23,Calc!$J$13),INDEX('My Order Engine'!$AH23:$AV23,Calc!$K$13)),"")</f>
        <v>0</v>
      </c>
      <c r="K21" s="25" t="str">
        <f>IF(AND($A21&lt;=IF(Calc!$C$36=999,360,Calc!$C$36),Calc!$C$14=1),CHOOSE(Calc!$C$3,INDEX('Snowball Engine'!$AH23:$AV23,Calc!$I$14),INDEX('Avalanche Engine'!$AH23:$AV23,Calc!$J$14),INDEX('My Order Engine'!$AH23:$AV23,Calc!$K$14)),"")</f>
        <v/>
      </c>
      <c r="L21" s="25" t="str">
        <f>IF(AND($A21&lt;=IF(Calc!$C$36=999,360,Calc!$C$36),Calc!$C$15=1),CHOOSE(Calc!$C$3,INDEX('Snowball Engine'!$AH23:$AV23,Calc!$I$15),INDEX('Avalanche Engine'!$AH23:$AV23,Calc!$J$15),INDEX('My Order Engine'!$AH23:$AV23,Calc!$K$15)),"")</f>
        <v/>
      </c>
      <c r="M21" s="25" t="str">
        <f>IF(AND($A21&lt;=IF(Calc!$C$36=999,360,Calc!$C$36),Calc!$C$16=1),CHOOSE(Calc!$C$3,INDEX('Snowball Engine'!$AH23:$AV23,Calc!$I$16),INDEX('Avalanche Engine'!$AH23:$AV23,Calc!$J$16),INDEX('My Order Engine'!$AH23:$AV23,Calc!$K$16)),"")</f>
        <v/>
      </c>
      <c r="N21" s="25" t="str">
        <f>IF(AND($A21&lt;=IF(Calc!$C$36=999,360,Calc!$C$36),Calc!$C$17=1),CHOOSE(Calc!$C$3,INDEX('Snowball Engine'!$AH23:$AV23,Calc!$I$17),INDEX('Avalanche Engine'!$AH23:$AV23,Calc!$J$17),INDEX('My Order Engine'!$AH23:$AV23,Calc!$K$17)),"")</f>
        <v/>
      </c>
      <c r="O21" s="25" t="str">
        <f>IF(AND($A21&lt;=IF(Calc!$C$36=999,360,Calc!$C$36),Calc!$C$18=1),CHOOSE(Calc!$C$3,INDEX('Snowball Engine'!$AH23:$AV23,Calc!$I$18),INDEX('Avalanche Engine'!$AH23:$AV23,Calc!$J$18),INDEX('My Order Engine'!$AH23:$AV23,Calc!$K$18)),"")</f>
        <v/>
      </c>
      <c r="P21" s="25" t="str">
        <f>IF(AND($A21&lt;=IF(Calc!$C$36=999,360,Calc!$C$36),Calc!$C$19=1),CHOOSE(Calc!$C$3,INDEX('Snowball Engine'!$AH23:$AV23,Calc!$I$19),INDEX('Avalanche Engine'!$AH23:$AV23,Calc!$J$19),INDEX('My Order Engine'!$AH23:$AV23,Calc!$K$19)),"")</f>
        <v/>
      </c>
      <c r="Q21" s="25" t="str">
        <f>IF(AND($A21&lt;=IF(Calc!$C$36=999,360,Calc!$C$36),Calc!$C$20=1),CHOOSE(Calc!$C$3,INDEX('Snowball Engine'!$AH23:$AV23,Calc!$I$20),INDEX('Avalanche Engine'!$AH23:$AV23,Calc!$J$20),INDEX('My Order Engine'!$AH23:$AV23,Calc!$K$20)),"")</f>
        <v/>
      </c>
      <c r="R21" s="25" t="str">
        <f>IF(AND($A21&lt;=IF(Calc!$C$36=999,360,Calc!$C$36),Calc!$C$21=1),CHOOSE(Calc!$C$3,INDEX('Snowball Engine'!$AH23:$AV23,Calc!$I$21),INDEX('Avalanche Engine'!$AH23:$AV23,Calc!$J$21),INDEX('My Order Engine'!$AH23:$AV23,Calc!$K$21)),"")</f>
        <v/>
      </c>
      <c r="S21" s="25" t="str">
        <f>IF(AND($A21&lt;=IF(Calc!$C$36=999,360,Calc!$C$36),Calc!$C$22=1),CHOOSE(Calc!$C$3,INDEX('Snowball Engine'!$AH23:$AV23,Calc!$I$22),INDEX('Avalanche Engine'!$AH23:$AV23,Calc!$J$22),INDEX('My Order Engine'!$AH23:$AV23,Calc!$K$22)),"")</f>
        <v/>
      </c>
      <c r="T21" s="25" t="str">
        <f>IF(AND($A21&lt;=IF(Calc!$C$36=999,360,Calc!$C$36),Calc!$C$23=1),CHOOSE(Calc!$C$3,INDEX('Snowball Engine'!$AH23:$AV23,Calc!$I$23),INDEX('Avalanche Engine'!$AH23:$AV23,Calc!$J$23),INDEX('My Order Engine'!$AH23:$AV23,Calc!$K$23)),"")</f>
        <v/>
      </c>
      <c r="U21" s="25" t="str">
        <f>IF(AND($A21&lt;=IF(Calc!$C$36=999,360,Calc!$C$36),Calc!$C$24=1),CHOOSE(Calc!$C$3,INDEX('Snowball Engine'!$AH23:$AV23,Calc!$I$24),INDEX('Avalanche Engine'!$AH23:$AV23,Calc!$J$24),INDEX('My Order Engine'!$AH23:$AV23,Calc!$K$24)),"")</f>
        <v/>
      </c>
    </row>
    <row r="22" spans="1:21" x14ac:dyDescent="0.35">
      <c r="A22" s="23">
        <v>18</v>
      </c>
      <c r="B22" s="24">
        <f ca="1">IF($A22&lt;=IF(Calc!$C$36=999,360,Calc!$C$36),EDATE(Calc!$C$5,A22-1),"")</f>
        <v>46813</v>
      </c>
      <c r="C22" s="25">
        <f>IF($A22&lt;=IF(Calc!$C$36=999,360,Calc!$C$36),CHOOSE(Calc!$C$3,'Snowball Engine'!AY24,'Avalanche Engine'!AY24,'My Order Engine'!AY24),"")</f>
        <v>750</v>
      </c>
      <c r="D22" s="25">
        <f>IF($A22&lt;=IF(Calc!$C$36=999,360,Calc!$C$36),CHOOSE(Calc!$C$3,'Snowball Engine'!AX24,'Avalanche Engine'!AX24,'My Order Engine'!AX24),"")</f>
        <v>59.42</v>
      </c>
      <c r="E22" s="25">
        <f>IF($A22&lt;=IF(Calc!$C$36=999,360,Calc!$C$36),C22-D22,"")</f>
        <v>690.58</v>
      </c>
      <c r="F22" s="25">
        <f>IF($A22&lt;=IF(Calc!$C$36=999,360,Calc!$C$36),CHOOSE(Calc!$C$3,'Snowball Engine'!AW24,'Avalanche Engine'!AW24,'My Order Engine'!AW24),"")</f>
        <v>7091.3200000000006</v>
      </c>
      <c r="G22" s="25">
        <f>IF(AND($A22&lt;=IF(Calc!$C$36=999,360,Calc!$C$36),Calc!$C$10=1),CHOOSE(Calc!$C$3,INDEX('Snowball Engine'!$AH24:$AV24,Calc!$I$10),INDEX('Avalanche Engine'!$AH24:$AV24,Calc!$J$10),INDEX('My Order Engine'!$AH24:$AV24,Calc!$K$10)),"")</f>
        <v>319.85000000000002</v>
      </c>
      <c r="H22" s="25">
        <f>IF(AND($A22&lt;=IF(Calc!$C$36=999,360,Calc!$C$36),Calc!$C$11=1),CHOOSE(Calc!$C$3,INDEX('Snowball Engine'!$AH24:$AV24,Calc!$I$11),INDEX('Avalanche Engine'!$AH24:$AV24,Calc!$J$11),INDEX('My Order Engine'!$AH24:$AV24,Calc!$K$11)),"")</f>
        <v>0</v>
      </c>
      <c r="I22" s="25">
        <f>IF(AND($A22&lt;=IF(Calc!$C$36=999,360,Calc!$C$36),Calc!$C$12=1),CHOOSE(Calc!$C$3,INDEX('Snowball Engine'!$AH24:$AV24,Calc!$I$12),INDEX('Avalanche Engine'!$AH24:$AV24,Calc!$J$12),INDEX('My Order Engine'!$AH24:$AV24,Calc!$K$12)),"")</f>
        <v>6771.47</v>
      </c>
      <c r="J22" s="25">
        <f>IF(AND($A22&lt;=IF(Calc!$C$36=999,360,Calc!$C$36),Calc!$C$13=1),CHOOSE(Calc!$C$3,INDEX('Snowball Engine'!$AH24:$AV24,Calc!$I$13),INDEX('Avalanche Engine'!$AH24:$AV24,Calc!$J$13),INDEX('My Order Engine'!$AH24:$AV24,Calc!$K$13)),"")</f>
        <v>0</v>
      </c>
      <c r="K22" s="25" t="str">
        <f>IF(AND($A22&lt;=IF(Calc!$C$36=999,360,Calc!$C$36),Calc!$C$14=1),CHOOSE(Calc!$C$3,INDEX('Snowball Engine'!$AH24:$AV24,Calc!$I$14),INDEX('Avalanche Engine'!$AH24:$AV24,Calc!$J$14),INDEX('My Order Engine'!$AH24:$AV24,Calc!$K$14)),"")</f>
        <v/>
      </c>
      <c r="L22" s="25" t="str">
        <f>IF(AND($A22&lt;=IF(Calc!$C$36=999,360,Calc!$C$36),Calc!$C$15=1),CHOOSE(Calc!$C$3,INDEX('Snowball Engine'!$AH24:$AV24,Calc!$I$15),INDEX('Avalanche Engine'!$AH24:$AV24,Calc!$J$15),INDEX('My Order Engine'!$AH24:$AV24,Calc!$K$15)),"")</f>
        <v/>
      </c>
      <c r="M22" s="25" t="str">
        <f>IF(AND($A22&lt;=IF(Calc!$C$36=999,360,Calc!$C$36),Calc!$C$16=1),CHOOSE(Calc!$C$3,INDEX('Snowball Engine'!$AH24:$AV24,Calc!$I$16),INDEX('Avalanche Engine'!$AH24:$AV24,Calc!$J$16),INDEX('My Order Engine'!$AH24:$AV24,Calc!$K$16)),"")</f>
        <v/>
      </c>
      <c r="N22" s="25" t="str">
        <f>IF(AND($A22&lt;=IF(Calc!$C$36=999,360,Calc!$C$36),Calc!$C$17=1),CHOOSE(Calc!$C$3,INDEX('Snowball Engine'!$AH24:$AV24,Calc!$I$17),INDEX('Avalanche Engine'!$AH24:$AV24,Calc!$J$17),INDEX('My Order Engine'!$AH24:$AV24,Calc!$K$17)),"")</f>
        <v/>
      </c>
      <c r="O22" s="25" t="str">
        <f>IF(AND($A22&lt;=IF(Calc!$C$36=999,360,Calc!$C$36),Calc!$C$18=1),CHOOSE(Calc!$C$3,INDEX('Snowball Engine'!$AH24:$AV24,Calc!$I$18),INDEX('Avalanche Engine'!$AH24:$AV24,Calc!$J$18),INDEX('My Order Engine'!$AH24:$AV24,Calc!$K$18)),"")</f>
        <v/>
      </c>
      <c r="P22" s="25" t="str">
        <f>IF(AND($A22&lt;=IF(Calc!$C$36=999,360,Calc!$C$36),Calc!$C$19=1),CHOOSE(Calc!$C$3,INDEX('Snowball Engine'!$AH24:$AV24,Calc!$I$19),INDEX('Avalanche Engine'!$AH24:$AV24,Calc!$J$19),INDEX('My Order Engine'!$AH24:$AV24,Calc!$K$19)),"")</f>
        <v/>
      </c>
      <c r="Q22" s="25" t="str">
        <f>IF(AND($A22&lt;=IF(Calc!$C$36=999,360,Calc!$C$36),Calc!$C$20=1),CHOOSE(Calc!$C$3,INDEX('Snowball Engine'!$AH24:$AV24,Calc!$I$20),INDEX('Avalanche Engine'!$AH24:$AV24,Calc!$J$20),INDEX('My Order Engine'!$AH24:$AV24,Calc!$K$20)),"")</f>
        <v/>
      </c>
      <c r="R22" s="25" t="str">
        <f>IF(AND($A22&lt;=IF(Calc!$C$36=999,360,Calc!$C$36),Calc!$C$21=1),CHOOSE(Calc!$C$3,INDEX('Snowball Engine'!$AH24:$AV24,Calc!$I$21),INDEX('Avalanche Engine'!$AH24:$AV24,Calc!$J$21),INDEX('My Order Engine'!$AH24:$AV24,Calc!$K$21)),"")</f>
        <v/>
      </c>
      <c r="S22" s="25" t="str">
        <f>IF(AND($A22&lt;=IF(Calc!$C$36=999,360,Calc!$C$36),Calc!$C$22=1),CHOOSE(Calc!$C$3,INDEX('Snowball Engine'!$AH24:$AV24,Calc!$I$22),INDEX('Avalanche Engine'!$AH24:$AV24,Calc!$J$22),INDEX('My Order Engine'!$AH24:$AV24,Calc!$K$22)),"")</f>
        <v/>
      </c>
      <c r="T22" s="25" t="str">
        <f>IF(AND($A22&lt;=IF(Calc!$C$36=999,360,Calc!$C$36),Calc!$C$23=1),CHOOSE(Calc!$C$3,INDEX('Snowball Engine'!$AH24:$AV24,Calc!$I$23),INDEX('Avalanche Engine'!$AH24:$AV24,Calc!$J$23),INDEX('My Order Engine'!$AH24:$AV24,Calc!$K$23)),"")</f>
        <v/>
      </c>
      <c r="U22" s="25" t="str">
        <f>IF(AND($A22&lt;=IF(Calc!$C$36=999,360,Calc!$C$36),Calc!$C$24=1),CHOOSE(Calc!$C$3,INDEX('Snowball Engine'!$AH24:$AV24,Calc!$I$24),INDEX('Avalanche Engine'!$AH24:$AV24,Calc!$J$24),INDEX('My Order Engine'!$AH24:$AV24,Calc!$K$24)),"")</f>
        <v/>
      </c>
    </row>
    <row r="23" spans="1:21" x14ac:dyDescent="0.35">
      <c r="A23" s="23">
        <v>19</v>
      </c>
      <c r="B23" s="24">
        <f ca="1">IF($A23&lt;=IF(Calc!$C$36=999,360,Calc!$C$36),EDATE(Calc!$C$5,A23-1),"")</f>
        <v>46844</v>
      </c>
      <c r="C23" s="25">
        <f>IF($A23&lt;=IF(Calc!$C$36=999,360,Calc!$C$36),CHOOSE(Calc!$C$3,'Snowball Engine'!AY25,'Avalanche Engine'!AY25,'My Order Engine'!AY25),"")</f>
        <v>750</v>
      </c>
      <c r="D23" s="25">
        <f>IF($A23&lt;=IF(Calc!$C$36=999,360,Calc!$C$36),CHOOSE(Calc!$C$3,'Snowball Engine'!AX25,'Avalanche Engine'!AX25,'My Order Engine'!AX25),"")</f>
        <v>48.980000000000004</v>
      </c>
      <c r="E23" s="25">
        <f>IF($A23&lt;=IF(Calc!$C$36=999,360,Calc!$C$36),C23-D23,"")</f>
        <v>701.02</v>
      </c>
      <c r="F23" s="25">
        <f>IF($A23&lt;=IF(Calc!$C$36=999,360,Calc!$C$36),CHOOSE(Calc!$C$3,'Snowball Engine'!AW25,'Avalanche Engine'!AW25,'My Order Engine'!AW25),"")</f>
        <v>6390.3</v>
      </c>
      <c r="G23" s="25">
        <f>IF(AND($A23&lt;=IF(Calc!$C$36=999,360,Calc!$C$36),Calc!$C$10=1),CHOOSE(Calc!$C$3,INDEX('Snowball Engine'!$AH25:$AV25,Calc!$I$10),INDEX('Avalanche Engine'!$AH25:$AV25,Calc!$J$10),INDEX('My Order Engine'!$AH25:$AV25,Calc!$K$10)),"")</f>
        <v>0</v>
      </c>
      <c r="H23" s="25">
        <f>IF(AND($A23&lt;=IF(Calc!$C$36=999,360,Calc!$C$36),Calc!$C$11=1),CHOOSE(Calc!$C$3,INDEX('Snowball Engine'!$AH25:$AV25,Calc!$I$11),INDEX('Avalanche Engine'!$AH25:$AV25,Calc!$J$11),INDEX('My Order Engine'!$AH25:$AV25,Calc!$K$11)),"")</f>
        <v>0</v>
      </c>
      <c r="I23" s="25">
        <f>IF(AND($A23&lt;=IF(Calc!$C$36=999,360,Calc!$C$36),Calc!$C$12=1),CHOOSE(Calc!$C$3,INDEX('Snowball Engine'!$AH25:$AV25,Calc!$I$12),INDEX('Avalanche Engine'!$AH25:$AV25,Calc!$J$12),INDEX('My Order Engine'!$AH25:$AV25,Calc!$K$12)),"")</f>
        <v>6390.3</v>
      </c>
      <c r="J23" s="25">
        <f>IF(AND($A23&lt;=IF(Calc!$C$36=999,360,Calc!$C$36),Calc!$C$13=1),CHOOSE(Calc!$C$3,INDEX('Snowball Engine'!$AH25:$AV25,Calc!$I$13),INDEX('Avalanche Engine'!$AH25:$AV25,Calc!$J$13),INDEX('My Order Engine'!$AH25:$AV25,Calc!$K$13)),"")</f>
        <v>0</v>
      </c>
      <c r="K23" s="25" t="str">
        <f>IF(AND($A23&lt;=IF(Calc!$C$36=999,360,Calc!$C$36),Calc!$C$14=1),CHOOSE(Calc!$C$3,INDEX('Snowball Engine'!$AH25:$AV25,Calc!$I$14),INDEX('Avalanche Engine'!$AH25:$AV25,Calc!$J$14),INDEX('My Order Engine'!$AH25:$AV25,Calc!$K$14)),"")</f>
        <v/>
      </c>
      <c r="L23" s="25" t="str">
        <f>IF(AND($A23&lt;=IF(Calc!$C$36=999,360,Calc!$C$36),Calc!$C$15=1),CHOOSE(Calc!$C$3,INDEX('Snowball Engine'!$AH25:$AV25,Calc!$I$15),INDEX('Avalanche Engine'!$AH25:$AV25,Calc!$J$15),INDEX('My Order Engine'!$AH25:$AV25,Calc!$K$15)),"")</f>
        <v/>
      </c>
      <c r="M23" s="25" t="str">
        <f>IF(AND($A23&lt;=IF(Calc!$C$36=999,360,Calc!$C$36),Calc!$C$16=1),CHOOSE(Calc!$C$3,INDEX('Snowball Engine'!$AH25:$AV25,Calc!$I$16),INDEX('Avalanche Engine'!$AH25:$AV25,Calc!$J$16),INDEX('My Order Engine'!$AH25:$AV25,Calc!$K$16)),"")</f>
        <v/>
      </c>
      <c r="N23" s="25" t="str">
        <f>IF(AND($A23&lt;=IF(Calc!$C$36=999,360,Calc!$C$36),Calc!$C$17=1),CHOOSE(Calc!$C$3,INDEX('Snowball Engine'!$AH25:$AV25,Calc!$I$17),INDEX('Avalanche Engine'!$AH25:$AV25,Calc!$J$17),INDEX('My Order Engine'!$AH25:$AV25,Calc!$K$17)),"")</f>
        <v/>
      </c>
      <c r="O23" s="25" t="str">
        <f>IF(AND($A23&lt;=IF(Calc!$C$36=999,360,Calc!$C$36),Calc!$C$18=1),CHOOSE(Calc!$C$3,INDEX('Snowball Engine'!$AH25:$AV25,Calc!$I$18),INDEX('Avalanche Engine'!$AH25:$AV25,Calc!$J$18),INDEX('My Order Engine'!$AH25:$AV25,Calc!$K$18)),"")</f>
        <v/>
      </c>
      <c r="P23" s="25" t="str">
        <f>IF(AND($A23&lt;=IF(Calc!$C$36=999,360,Calc!$C$36),Calc!$C$19=1),CHOOSE(Calc!$C$3,INDEX('Snowball Engine'!$AH25:$AV25,Calc!$I$19),INDEX('Avalanche Engine'!$AH25:$AV25,Calc!$J$19),INDEX('My Order Engine'!$AH25:$AV25,Calc!$K$19)),"")</f>
        <v/>
      </c>
      <c r="Q23" s="25" t="str">
        <f>IF(AND($A23&lt;=IF(Calc!$C$36=999,360,Calc!$C$36),Calc!$C$20=1),CHOOSE(Calc!$C$3,INDEX('Snowball Engine'!$AH25:$AV25,Calc!$I$20),INDEX('Avalanche Engine'!$AH25:$AV25,Calc!$J$20),INDEX('My Order Engine'!$AH25:$AV25,Calc!$K$20)),"")</f>
        <v/>
      </c>
      <c r="R23" s="25" t="str">
        <f>IF(AND($A23&lt;=IF(Calc!$C$36=999,360,Calc!$C$36),Calc!$C$21=1),CHOOSE(Calc!$C$3,INDEX('Snowball Engine'!$AH25:$AV25,Calc!$I$21),INDEX('Avalanche Engine'!$AH25:$AV25,Calc!$J$21),INDEX('My Order Engine'!$AH25:$AV25,Calc!$K$21)),"")</f>
        <v/>
      </c>
      <c r="S23" s="25" t="str">
        <f>IF(AND($A23&lt;=IF(Calc!$C$36=999,360,Calc!$C$36),Calc!$C$22=1),CHOOSE(Calc!$C$3,INDEX('Snowball Engine'!$AH25:$AV25,Calc!$I$22),INDEX('Avalanche Engine'!$AH25:$AV25,Calc!$J$22),INDEX('My Order Engine'!$AH25:$AV25,Calc!$K$22)),"")</f>
        <v/>
      </c>
      <c r="T23" s="25" t="str">
        <f>IF(AND($A23&lt;=IF(Calc!$C$36=999,360,Calc!$C$36),Calc!$C$23=1),CHOOSE(Calc!$C$3,INDEX('Snowball Engine'!$AH25:$AV25,Calc!$I$23),INDEX('Avalanche Engine'!$AH25:$AV25,Calc!$J$23),INDEX('My Order Engine'!$AH25:$AV25,Calc!$K$23)),"")</f>
        <v/>
      </c>
      <c r="U23" s="25" t="str">
        <f>IF(AND($A23&lt;=IF(Calc!$C$36=999,360,Calc!$C$36),Calc!$C$24=1),CHOOSE(Calc!$C$3,INDEX('Snowball Engine'!$AH25:$AV25,Calc!$I$24),INDEX('Avalanche Engine'!$AH25:$AV25,Calc!$J$24),INDEX('My Order Engine'!$AH25:$AV25,Calc!$K$24)),"")</f>
        <v/>
      </c>
    </row>
    <row r="24" spans="1:21" x14ac:dyDescent="0.35">
      <c r="A24" s="23">
        <v>20</v>
      </c>
      <c r="B24" s="24">
        <f ca="1">IF($A24&lt;=IF(Calc!$C$36=999,360,Calc!$C$36),EDATE(Calc!$C$5,A24-1),"")</f>
        <v>46874</v>
      </c>
      <c r="C24" s="25">
        <f>IF($A24&lt;=IF(Calc!$C$36=999,360,Calc!$C$36),CHOOSE(Calc!$C$3,'Snowball Engine'!AY26,'Avalanche Engine'!AY26,'My Order Engine'!AY26),"")</f>
        <v>750</v>
      </c>
      <c r="D24" s="25">
        <f>IF($A24&lt;=IF(Calc!$C$36=999,360,Calc!$C$36),CHOOSE(Calc!$C$3,'Snowball Engine'!AX26,'Avalanche Engine'!AX26,'My Order Engine'!AX26),"")</f>
        <v>39.94</v>
      </c>
      <c r="E24" s="25">
        <f>IF($A24&lt;=IF(Calc!$C$36=999,360,Calc!$C$36),C24-D24,"")</f>
        <v>710.06</v>
      </c>
      <c r="F24" s="25">
        <f>IF($A24&lt;=IF(Calc!$C$36=999,360,Calc!$C$36),CHOOSE(Calc!$C$3,'Snowball Engine'!AW26,'Avalanche Engine'!AW26,'My Order Engine'!AW26),"")</f>
        <v>5680.24</v>
      </c>
      <c r="G24" s="25">
        <f>IF(AND($A24&lt;=IF(Calc!$C$36=999,360,Calc!$C$36),Calc!$C$10=1),CHOOSE(Calc!$C$3,INDEX('Snowball Engine'!$AH26:$AV26,Calc!$I$10),INDEX('Avalanche Engine'!$AH26:$AV26,Calc!$J$10),INDEX('My Order Engine'!$AH26:$AV26,Calc!$K$10)),"")</f>
        <v>0</v>
      </c>
      <c r="H24" s="25">
        <f>IF(AND($A24&lt;=IF(Calc!$C$36=999,360,Calc!$C$36),Calc!$C$11=1),CHOOSE(Calc!$C$3,INDEX('Snowball Engine'!$AH26:$AV26,Calc!$I$11),INDEX('Avalanche Engine'!$AH26:$AV26,Calc!$J$11),INDEX('My Order Engine'!$AH26:$AV26,Calc!$K$11)),"")</f>
        <v>0</v>
      </c>
      <c r="I24" s="25">
        <f>IF(AND($A24&lt;=IF(Calc!$C$36=999,360,Calc!$C$36),Calc!$C$12=1),CHOOSE(Calc!$C$3,INDEX('Snowball Engine'!$AH26:$AV26,Calc!$I$12),INDEX('Avalanche Engine'!$AH26:$AV26,Calc!$J$12),INDEX('My Order Engine'!$AH26:$AV26,Calc!$K$12)),"")</f>
        <v>5680.24</v>
      </c>
      <c r="J24" s="25">
        <f>IF(AND($A24&lt;=IF(Calc!$C$36=999,360,Calc!$C$36),Calc!$C$13=1),CHOOSE(Calc!$C$3,INDEX('Snowball Engine'!$AH26:$AV26,Calc!$I$13),INDEX('Avalanche Engine'!$AH26:$AV26,Calc!$J$13),INDEX('My Order Engine'!$AH26:$AV26,Calc!$K$13)),"")</f>
        <v>0</v>
      </c>
      <c r="K24" s="25" t="str">
        <f>IF(AND($A24&lt;=IF(Calc!$C$36=999,360,Calc!$C$36),Calc!$C$14=1),CHOOSE(Calc!$C$3,INDEX('Snowball Engine'!$AH26:$AV26,Calc!$I$14),INDEX('Avalanche Engine'!$AH26:$AV26,Calc!$J$14),INDEX('My Order Engine'!$AH26:$AV26,Calc!$K$14)),"")</f>
        <v/>
      </c>
      <c r="L24" s="25" t="str">
        <f>IF(AND($A24&lt;=IF(Calc!$C$36=999,360,Calc!$C$36),Calc!$C$15=1),CHOOSE(Calc!$C$3,INDEX('Snowball Engine'!$AH26:$AV26,Calc!$I$15),INDEX('Avalanche Engine'!$AH26:$AV26,Calc!$J$15),INDEX('My Order Engine'!$AH26:$AV26,Calc!$K$15)),"")</f>
        <v/>
      </c>
      <c r="M24" s="25" t="str">
        <f>IF(AND($A24&lt;=IF(Calc!$C$36=999,360,Calc!$C$36),Calc!$C$16=1),CHOOSE(Calc!$C$3,INDEX('Snowball Engine'!$AH26:$AV26,Calc!$I$16),INDEX('Avalanche Engine'!$AH26:$AV26,Calc!$J$16),INDEX('My Order Engine'!$AH26:$AV26,Calc!$K$16)),"")</f>
        <v/>
      </c>
      <c r="N24" s="25" t="str">
        <f>IF(AND($A24&lt;=IF(Calc!$C$36=999,360,Calc!$C$36),Calc!$C$17=1),CHOOSE(Calc!$C$3,INDEX('Snowball Engine'!$AH26:$AV26,Calc!$I$17),INDEX('Avalanche Engine'!$AH26:$AV26,Calc!$J$17),INDEX('My Order Engine'!$AH26:$AV26,Calc!$K$17)),"")</f>
        <v/>
      </c>
      <c r="O24" s="25" t="str">
        <f>IF(AND($A24&lt;=IF(Calc!$C$36=999,360,Calc!$C$36),Calc!$C$18=1),CHOOSE(Calc!$C$3,INDEX('Snowball Engine'!$AH26:$AV26,Calc!$I$18),INDEX('Avalanche Engine'!$AH26:$AV26,Calc!$J$18),INDEX('My Order Engine'!$AH26:$AV26,Calc!$K$18)),"")</f>
        <v/>
      </c>
      <c r="P24" s="25" t="str">
        <f>IF(AND($A24&lt;=IF(Calc!$C$36=999,360,Calc!$C$36),Calc!$C$19=1),CHOOSE(Calc!$C$3,INDEX('Snowball Engine'!$AH26:$AV26,Calc!$I$19),INDEX('Avalanche Engine'!$AH26:$AV26,Calc!$J$19),INDEX('My Order Engine'!$AH26:$AV26,Calc!$K$19)),"")</f>
        <v/>
      </c>
      <c r="Q24" s="25" t="str">
        <f>IF(AND($A24&lt;=IF(Calc!$C$36=999,360,Calc!$C$36),Calc!$C$20=1),CHOOSE(Calc!$C$3,INDEX('Snowball Engine'!$AH26:$AV26,Calc!$I$20),INDEX('Avalanche Engine'!$AH26:$AV26,Calc!$J$20),INDEX('My Order Engine'!$AH26:$AV26,Calc!$K$20)),"")</f>
        <v/>
      </c>
      <c r="R24" s="25" t="str">
        <f>IF(AND($A24&lt;=IF(Calc!$C$36=999,360,Calc!$C$36),Calc!$C$21=1),CHOOSE(Calc!$C$3,INDEX('Snowball Engine'!$AH26:$AV26,Calc!$I$21),INDEX('Avalanche Engine'!$AH26:$AV26,Calc!$J$21),INDEX('My Order Engine'!$AH26:$AV26,Calc!$K$21)),"")</f>
        <v/>
      </c>
      <c r="S24" s="25" t="str">
        <f>IF(AND($A24&lt;=IF(Calc!$C$36=999,360,Calc!$C$36),Calc!$C$22=1),CHOOSE(Calc!$C$3,INDEX('Snowball Engine'!$AH26:$AV26,Calc!$I$22),INDEX('Avalanche Engine'!$AH26:$AV26,Calc!$J$22),INDEX('My Order Engine'!$AH26:$AV26,Calc!$K$22)),"")</f>
        <v/>
      </c>
      <c r="T24" s="25" t="str">
        <f>IF(AND($A24&lt;=IF(Calc!$C$36=999,360,Calc!$C$36),Calc!$C$23=1),CHOOSE(Calc!$C$3,INDEX('Snowball Engine'!$AH26:$AV26,Calc!$I$23),INDEX('Avalanche Engine'!$AH26:$AV26,Calc!$J$23),INDEX('My Order Engine'!$AH26:$AV26,Calc!$K$23)),"")</f>
        <v/>
      </c>
      <c r="U24" s="25" t="str">
        <f>IF(AND($A24&lt;=IF(Calc!$C$36=999,360,Calc!$C$36),Calc!$C$24=1),CHOOSE(Calc!$C$3,INDEX('Snowball Engine'!$AH26:$AV26,Calc!$I$24),INDEX('Avalanche Engine'!$AH26:$AV26,Calc!$J$24),INDEX('My Order Engine'!$AH26:$AV26,Calc!$K$24)),"")</f>
        <v/>
      </c>
    </row>
    <row r="25" spans="1:21" x14ac:dyDescent="0.35">
      <c r="A25" s="23">
        <v>21</v>
      </c>
      <c r="B25" s="24">
        <f ca="1">IF($A25&lt;=IF(Calc!$C$36=999,360,Calc!$C$36),EDATE(Calc!$C$5,A25-1),"")</f>
        <v>46905</v>
      </c>
      <c r="C25" s="25">
        <f>IF($A25&lt;=IF(Calc!$C$36=999,360,Calc!$C$36),CHOOSE(Calc!$C$3,'Snowball Engine'!AY27,'Avalanche Engine'!AY27,'My Order Engine'!AY27),"")</f>
        <v>750</v>
      </c>
      <c r="D25" s="25">
        <f>IF($A25&lt;=IF(Calc!$C$36=999,360,Calc!$C$36),CHOOSE(Calc!$C$3,'Snowball Engine'!AX27,'Avalanche Engine'!AX27,'My Order Engine'!AX27),"")</f>
        <v>35.5</v>
      </c>
      <c r="E25" s="25">
        <f>IF($A25&lt;=IF(Calc!$C$36=999,360,Calc!$C$36),C25-D25,"")</f>
        <v>714.5</v>
      </c>
      <c r="F25" s="25">
        <f>IF($A25&lt;=IF(Calc!$C$36=999,360,Calc!$C$36),CHOOSE(Calc!$C$3,'Snowball Engine'!AW27,'Avalanche Engine'!AW27,'My Order Engine'!AW27),"")</f>
        <v>4965.74</v>
      </c>
      <c r="G25" s="25">
        <f>IF(AND($A25&lt;=IF(Calc!$C$36=999,360,Calc!$C$36),Calc!$C$10=1),CHOOSE(Calc!$C$3,INDEX('Snowball Engine'!$AH27:$AV27,Calc!$I$10),INDEX('Avalanche Engine'!$AH27:$AV27,Calc!$J$10),INDEX('My Order Engine'!$AH27:$AV27,Calc!$K$10)),"")</f>
        <v>0</v>
      </c>
      <c r="H25" s="25">
        <f>IF(AND($A25&lt;=IF(Calc!$C$36=999,360,Calc!$C$36),Calc!$C$11=1),CHOOSE(Calc!$C$3,INDEX('Snowball Engine'!$AH27:$AV27,Calc!$I$11),INDEX('Avalanche Engine'!$AH27:$AV27,Calc!$J$11),INDEX('My Order Engine'!$AH27:$AV27,Calc!$K$11)),"")</f>
        <v>0</v>
      </c>
      <c r="I25" s="25">
        <f>IF(AND($A25&lt;=IF(Calc!$C$36=999,360,Calc!$C$36),Calc!$C$12=1),CHOOSE(Calc!$C$3,INDEX('Snowball Engine'!$AH27:$AV27,Calc!$I$12),INDEX('Avalanche Engine'!$AH27:$AV27,Calc!$J$12),INDEX('My Order Engine'!$AH27:$AV27,Calc!$K$12)),"")</f>
        <v>4965.74</v>
      </c>
      <c r="J25" s="25">
        <f>IF(AND($A25&lt;=IF(Calc!$C$36=999,360,Calc!$C$36),Calc!$C$13=1),CHOOSE(Calc!$C$3,INDEX('Snowball Engine'!$AH27:$AV27,Calc!$I$13),INDEX('Avalanche Engine'!$AH27:$AV27,Calc!$J$13),INDEX('My Order Engine'!$AH27:$AV27,Calc!$K$13)),"")</f>
        <v>0</v>
      </c>
      <c r="K25" s="25" t="str">
        <f>IF(AND($A25&lt;=IF(Calc!$C$36=999,360,Calc!$C$36),Calc!$C$14=1),CHOOSE(Calc!$C$3,INDEX('Snowball Engine'!$AH27:$AV27,Calc!$I$14),INDEX('Avalanche Engine'!$AH27:$AV27,Calc!$J$14),INDEX('My Order Engine'!$AH27:$AV27,Calc!$K$14)),"")</f>
        <v/>
      </c>
      <c r="L25" s="25" t="str">
        <f>IF(AND($A25&lt;=IF(Calc!$C$36=999,360,Calc!$C$36),Calc!$C$15=1),CHOOSE(Calc!$C$3,INDEX('Snowball Engine'!$AH27:$AV27,Calc!$I$15),INDEX('Avalanche Engine'!$AH27:$AV27,Calc!$J$15),INDEX('My Order Engine'!$AH27:$AV27,Calc!$K$15)),"")</f>
        <v/>
      </c>
      <c r="M25" s="25" t="str">
        <f>IF(AND($A25&lt;=IF(Calc!$C$36=999,360,Calc!$C$36),Calc!$C$16=1),CHOOSE(Calc!$C$3,INDEX('Snowball Engine'!$AH27:$AV27,Calc!$I$16),INDEX('Avalanche Engine'!$AH27:$AV27,Calc!$J$16),INDEX('My Order Engine'!$AH27:$AV27,Calc!$K$16)),"")</f>
        <v/>
      </c>
      <c r="N25" s="25" t="str">
        <f>IF(AND($A25&lt;=IF(Calc!$C$36=999,360,Calc!$C$36),Calc!$C$17=1),CHOOSE(Calc!$C$3,INDEX('Snowball Engine'!$AH27:$AV27,Calc!$I$17),INDEX('Avalanche Engine'!$AH27:$AV27,Calc!$J$17),INDEX('My Order Engine'!$AH27:$AV27,Calc!$K$17)),"")</f>
        <v/>
      </c>
      <c r="O25" s="25" t="str">
        <f>IF(AND($A25&lt;=IF(Calc!$C$36=999,360,Calc!$C$36),Calc!$C$18=1),CHOOSE(Calc!$C$3,INDEX('Snowball Engine'!$AH27:$AV27,Calc!$I$18),INDEX('Avalanche Engine'!$AH27:$AV27,Calc!$J$18),INDEX('My Order Engine'!$AH27:$AV27,Calc!$K$18)),"")</f>
        <v/>
      </c>
      <c r="P25" s="25" t="str">
        <f>IF(AND($A25&lt;=IF(Calc!$C$36=999,360,Calc!$C$36),Calc!$C$19=1),CHOOSE(Calc!$C$3,INDEX('Snowball Engine'!$AH27:$AV27,Calc!$I$19),INDEX('Avalanche Engine'!$AH27:$AV27,Calc!$J$19),INDEX('My Order Engine'!$AH27:$AV27,Calc!$K$19)),"")</f>
        <v/>
      </c>
      <c r="Q25" s="25" t="str">
        <f>IF(AND($A25&lt;=IF(Calc!$C$36=999,360,Calc!$C$36),Calc!$C$20=1),CHOOSE(Calc!$C$3,INDEX('Snowball Engine'!$AH27:$AV27,Calc!$I$20),INDEX('Avalanche Engine'!$AH27:$AV27,Calc!$J$20),INDEX('My Order Engine'!$AH27:$AV27,Calc!$K$20)),"")</f>
        <v/>
      </c>
      <c r="R25" s="25" t="str">
        <f>IF(AND($A25&lt;=IF(Calc!$C$36=999,360,Calc!$C$36),Calc!$C$21=1),CHOOSE(Calc!$C$3,INDEX('Snowball Engine'!$AH27:$AV27,Calc!$I$21),INDEX('Avalanche Engine'!$AH27:$AV27,Calc!$J$21),INDEX('My Order Engine'!$AH27:$AV27,Calc!$K$21)),"")</f>
        <v/>
      </c>
      <c r="S25" s="25" t="str">
        <f>IF(AND($A25&lt;=IF(Calc!$C$36=999,360,Calc!$C$36),Calc!$C$22=1),CHOOSE(Calc!$C$3,INDEX('Snowball Engine'!$AH27:$AV27,Calc!$I$22),INDEX('Avalanche Engine'!$AH27:$AV27,Calc!$J$22),INDEX('My Order Engine'!$AH27:$AV27,Calc!$K$22)),"")</f>
        <v/>
      </c>
      <c r="T25" s="25" t="str">
        <f>IF(AND($A25&lt;=IF(Calc!$C$36=999,360,Calc!$C$36),Calc!$C$23=1),CHOOSE(Calc!$C$3,INDEX('Snowball Engine'!$AH27:$AV27,Calc!$I$23),INDEX('Avalanche Engine'!$AH27:$AV27,Calc!$J$23),INDEX('My Order Engine'!$AH27:$AV27,Calc!$K$23)),"")</f>
        <v/>
      </c>
      <c r="U25" s="25" t="str">
        <f>IF(AND($A25&lt;=IF(Calc!$C$36=999,360,Calc!$C$36),Calc!$C$24=1),CHOOSE(Calc!$C$3,INDEX('Snowball Engine'!$AH27:$AV27,Calc!$I$24),INDEX('Avalanche Engine'!$AH27:$AV27,Calc!$J$24),INDEX('My Order Engine'!$AH27:$AV27,Calc!$K$24)),"")</f>
        <v/>
      </c>
    </row>
    <row r="26" spans="1:21" x14ac:dyDescent="0.35">
      <c r="A26" s="23">
        <v>22</v>
      </c>
      <c r="B26" s="24">
        <f ca="1">IF($A26&lt;=IF(Calc!$C$36=999,360,Calc!$C$36),EDATE(Calc!$C$5,A26-1),"")</f>
        <v>46935</v>
      </c>
      <c r="C26" s="25">
        <f>IF($A26&lt;=IF(Calc!$C$36=999,360,Calc!$C$36),CHOOSE(Calc!$C$3,'Snowball Engine'!AY28,'Avalanche Engine'!AY28,'My Order Engine'!AY28),"")</f>
        <v>750</v>
      </c>
      <c r="D26" s="25">
        <f>IF($A26&lt;=IF(Calc!$C$36=999,360,Calc!$C$36),CHOOSE(Calc!$C$3,'Snowball Engine'!AX28,'Avalanche Engine'!AX28,'My Order Engine'!AX28),"")</f>
        <v>31.04</v>
      </c>
      <c r="E26" s="25">
        <f>IF($A26&lt;=IF(Calc!$C$36=999,360,Calc!$C$36),C26-D26,"")</f>
        <v>718.96</v>
      </c>
      <c r="F26" s="25">
        <f>IF($A26&lt;=IF(Calc!$C$36=999,360,Calc!$C$36),CHOOSE(Calc!$C$3,'Snowball Engine'!AW28,'Avalanche Engine'!AW28,'My Order Engine'!AW28),"")</f>
        <v>4246.78</v>
      </c>
      <c r="G26" s="25">
        <f>IF(AND($A26&lt;=IF(Calc!$C$36=999,360,Calc!$C$36),Calc!$C$10=1),CHOOSE(Calc!$C$3,INDEX('Snowball Engine'!$AH28:$AV28,Calc!$I$10),INDEX('Avalanche Engine'!$AH28:$AV28,Calc!$J$10),INDEX('My Order Engine'!$AH28:$AV28,Calc!$K$10)),"")</f>
        <v>0</v>
      </c>
      <c r="H26" s="25">
        <f>IF(AND($A26&lt;=IF(Calc!$C$36=999,360,Calc!$C$36),Calc!$C$11=1),CHOOSE(Calc!$C$3,INDEX('Snowball Engine'!$AH28:$AV28,Calc!$I$11),INDEX('Avalanche Engine'!$AH28:$AV28,Calc!$J$11),INDEX('My Order Engine'!$AH28:$AV28,Calc!$K$11)),"")</f>
        <v>0</v>
      </c>
      <c r="I26" s="25">
        <f>IF(AND($A26&lt;=IF(Calc!$C$36=999,360,Calc!$C$36),Calc!$C$12=1),CHOOSE(Calc!$C$3,INDEX('Snowball Engine'!$AH28:$AV28,Calc!$I$12),INDEX('Avalanche Engine'!$AH28:$AV28,Calc!$J$12),INDEX('My Order Engine'!$AH28:$AV28,Calc!$K$12)),"")</f>
        <v>4246.78</v>
      </c>
      <c r="J26" s="25">
        <f>IF(AND($A26&lt;=IF(Calc!$C$36=999,360,Calc!$C$36),Calc!$C$13=1),CHOOSE(Calc!$C$3,INDEX('Snowball Engine'!$AH28:$AV28,Calc!$I$13),INDEX('Avalanche Engine'!$AH28:$AV28,Calc!$J$13),INDEX('My Order Engine'!$AH28:$AV28,Calc!$K$13)),"")</f>
        <v>0</v>
      </c>
      <c r="K26" s="25" t="str">
        <f>IF(AND($A26&lt;=IF(Calc!$C$36=999,360,Calc!$C$36),Calc!$C$14=1),CHOOSE(Calc!$C$3,INDEX('Snowball Engine'!$AH28:$AV28,Calc!$I$14),INDEX('Avalanche Engine'!$AH28:$AV28,Calc!$J$14),INDEX('My Order Engine'!$AH28:$AV28,Calc!$K$14)),"")</f>
        <v/>
      </c>
      <c r="L26" s="25" t="str">
        <f>IF(AND($A26&lt;=IF(Calc!$C$36=999,360,Calc!$C$36),Calc!$C$15=1),CHOOSE(Calc!$C$3,INDEX('Snowball Engine'!$AH28:$AV28,Calc!$I$15),INDEX('Avalanche Engine'!$AH28:$AV28,Calc!$J$15),INDEX('My Order Engine'!$AH28:$AV28,Calc!$K$15)),"")</f>
        <v/>
      </c>
      <c r="M26" s="25" t="str">
        <f>IF(AND($A26&lt;=IF(Calc!$C$36=999,360,Calc!$C$36),Calc!$C$16=1),CHOOSE(Calc!$C$3,INDEX('Snowball Engine'!$AH28:$AV28,Calc!$I$16),INDEX('Avalanche Engine'!$AH28:$AV28,Calc!$J$16),INDEX('My Order Engine'!$AH28:$AV28,Calc!$K$16)),"")</f>
        <v/>
      </c>
      <c r="N26" s="25" t="str">
        <f>IF(AND($A26&lt;=IF(Calc!$C$36=999,360,Calc!$C$36),Calc!$C$17=1),CHOOSE(Calc!$C$3,INDEX('Snowball Engine'!$AH28:$AV28,Calc!$I$17),INDEX('Avalanche Engine'!$AH28:$AV28,Calc!$J$17),INDEX('My Order Engine'!$AH28:$AV28,Calc!$K$17)),"")</f>
        <v/>
      </c>
      <c r="O26" s="25" t="str">
        <f>IF(AND($A26&lt;=IF(Calc!$C$36=999,360,Calc!$C$36),Calc!$C$18=1),CHOOSE(Calc!$C$3,INDEX('Snowball Engine'!$AH28:$AV28,Calc!$I$18),INDEX('Avalanche Engine'!$AH28:$AV28,Calc!$J$18),INDEX('My Order Engine'!$AH28:$AV28,Calc!$K$18)),"")</f>
        <v/>
      </c>
      <c r="P26" s="25" t="str">
        <f>IF(AND($A26&lt;=IF(Calc!$C$36=999,360,Calc!$C$36),Calc!$C$19=1),CHOOSE(Calc!$C$3,INDEX('Snowball Engine'!$AH28:$AV28,Calc!$I$19),INDEX('Avalanche Engine'!$AH28:$AV28,Calc!$J$19),INDEX('My Order Engine'!$AH28:$AV28,Calc!$K$19)),"")</f>
        <v/>
      </c>
      <c r="Q26" s="25" t="str">
        <f>IF(AND($A26&lt;=IF(Calc!$C$36=999,360,Calc!$C$36),Calc!$C$20=1),CHOOSE(Calc!$C$3,INDEX('Snowball Engine'!$AH28:$AV28,Calc!$I$20),INDEX('Avalanche Engine'!$AH28:$AV28,Calc!$J$20),INDEX('My Order Engine'!$AH28:$AV28,Calc!$K$20)),"")</f>
        <v/>
      </c>
      <c r="R26" s="25" t="str">
        <f>IF(AND($A26&lt;=IF(Calc!$C$36=999,360,Calc!$C$36),Calc!$C$21=1),CHOOSE(Calc!$C$3,INDEX('Snowball Engine'!$AH28:$AV28,Calc!$I$21),INDEX('Avalanche Engine'!$AH28:$AV28,Calc!$J$21),INDEX('My Order Engine'!$AH28:$AV28,Calc!$K$21)),"")</f>
        <v/>
      </c>
      <c r="S26" s="25" t="str">
        <f>IF(AND($A26&lt;=IF(Calc!$C$36=999,360,Calc!$C$36),Calc!$C$22=1),CHOOSE(Calc!$C$3,INDEX('Snowball Engine'!$AH28:$AV28,Calc!$I$22),INDEX('Avalanche Engine'!$AH28:$AV28,Calc!$J$22),INDEX('My Order Engine'!$AH28:$AV28,Calc!$K$22)),"")</f>
        <v/>
      </c>
      <c r="T26" s="25" t="str">
        <f>IF(AND($A26&lt;=IF(Calc!$C$36=999,360,Calc!$C$36),Calc!$C$23=1),CHOOSE(Calc!$C$3,INDEX('Snowball Engine'!$AH28:$AV28,Calc!$I$23),INDEX('Avalanche Engine'!$AH28:$AV28,Calc!$J$23),INDEX('My Order Engine'!$AH28:$AV28,Calc!$K$23)),"")</f>
        <v/>
      </c>
      <c r="U26" s="25" t="str">
        <f>IF(AND($A26&lt;=IF(Calc!$C$36=999,360,Calc!$C$36),Calc!$C$24=1),CHOOSE(Calc!$C$3,INDEX('Snowball Engine'!$AH28:$AV28,Calc!$I$24),INDEX('Avalanche Engine'!$AH28:$AV28,Calc!$J$24),INDEX('My Order Engine'!$AH28:$AV28,Calc!$K$24)),"")</f>
        <v/>
      </c>
    </row>
    <row r="27" spans="1:21" x14ac:dyDescent="0.35">
      <c r="A27" s="23">
        <v>23</v>
      </c>
      <c r="B27" s="24">
        <f ca="1">IF($A27&lt;=IF(Calc!$C$36=999,360,Calc!$C$36),EDATE(Calc!$C$5,A27-1),"")</f>
        <v>46966</v>
      </c>
      <c r="C27" s="25">
        <f>IF($A27&lt;=IF(Calc!$C$36=999,360,Calc!$C$36),CHOOSE(Calc!$C$3,'Snowball Engine'!AY29,'Avalanche Engine'!AY29,'My Order Engine'!AY29),"")</f>
        <v>750</v>
      </c>
      <c r="D27" s="25">
        <f>IF($A27&lt;=IF(Calc!$C$36=999,360,Calc!$C$36),CHOOSE(Calc!$C$3,'Snowball Engine'!AX29,'Avalanche Engine'!AX29,'My Order Engine'!AX29),"")</f>
        <v>26.54</v>
      </c>
      <c r="E27" s="25">
        <f>IF($A27&lt;=IF(Calc!$C$36=999,360,Calc!$C$36),C27-D27,"")</f>
        <v>723.46</v>
      </c>
      <c r="F27" s="25">
        <f>IF($A27&lt;=IF(Calc!$C$36=999,360,Calc!$C$36),CHOOSE(Calc!$C$3,'Snowball Engine'!AW29,'Avalanche Engine'!AW29,'My Order Engine'!AW29),"")</f>
        <v>3523.32</v>
      </c>
      <c r="G27" s="25">
        <f>IF(AND($A27&lt;=IF(Calc!$C$36=999,360,Calc!$C$36),Calc!$C$10=1),CHOOSE(Calc!$C$3,INDEX('Snowball Engine'!$AH29:$AV29,Calc!$I$10),INDEX('Avalanche Engine'!$AH29:$AV29,Calc!$J$10),INDEX('My Order Engine'!$AH29:$AV29,Calc!$K$10)),"")</f>
        <v>0</v>
      </c>
      <c r="H27" s="25">
        <f>IF(AND($A27&lt;=IF(Calc!$C$36=999,360,Calc!$C$36),Calc!$C$11=1),CHOOSE(Calc!$C$3,INDEX('Snowball Engine'!$AH29:$AV29,Calc!$I$11),INDEX('Avalanche Engine'!$AH29:$AV29,Calc!$J$11),INDEX('My Order Engine'!$AH29:$AV29,Calc!$K$11)),"")</f>
        <v>0</v>
      </c>
      <c r="I27" s="25">
        <f>IF(AND($A27&lt;=IF(Calc!$C$36=999,360,Calc!$C$36),Calc!$C$12=1),CHOOSE(Calc!$C$3,INDEX('Snowball Engine'!$AH29:$AV29,Calc!$I$12),INDEX('Avalanche Engine'!$AH29:$AV29,Calc!$J$12),INDEX('My Order Engine'!$AH29:$AV29,Calc!$K$12)),"")</f>
        <v>3523.32</v>
      </c>
      <c r="J27" s="25">
        <f>IF(AND($A27&lt;=IF(Calc!$C$36=999,360,Calc!$C$36),Calc!$C$13=1),CHOOSE(Calc!$C$3,INDEX('Snowball Engine'!$AH29:$AV29,Calc!$I$13),INDEX('Avalanche Engine'!$AH29:$AV29,Calc!$J$13),INDEX('My Order Engine'!$AH29:$AV29,Calc!$K$13)),"")</f>
        <v>0</v>
      </c>
      <c r="K27" s="25" t="str">
        <f>IF(AND($A27&lt;=IF(Calc!$C$36=999,360,Calc!$C$36),Calc!$C$14=1),CHOOSE(Calc!$C$3,INDEX('Snowball Engine'!$AH29:$AV29,Calc!$I$14),INDEX('Avalanche Engine'!$AH29:$AV29,Calc!$J$14),INDEX('My Order Engine'!$AH29:$AV29,Calc!$K$14)),"")</f>
        <v/>
      </c>
      <c r="L27" s="25" t="str">
        <f>IF(AND($A27&lt;=IF(Calc!$C$36=999,360,Calc!$C$36),Calc!$C$15=1),CHOOSE(Calc!$C$3,INDEX('Snowball Engine'!$AH29:$AV29,Calc!$I$15),INDEX('Avalanche Engine'!$AH29:$AV29,Calc!$J$15),INDEX('My Order Engine'!$AH29:$AV29,Calc!$K$15)),"")</f>
        <v/>
      </c>
      <c r="M27" s="25" t="str">
        <f>IF(AND($A27&lt;=IF(Calc!$C$36=999,360,Calc!$C$36),Calc!$C$16=1),CHOOSE(Calc!$C$3,INDEX('Snowball Engine'!$AH29:$AV29,Calc!$I$16),INDEX('Avalanche Engine'!$AH29:$AV29,Calc!$J$16),INDEX('My Order Engine'!$AH29:$AV29,Calc!$K$16)),"")</f>
        <v/>
      </c>
      <c r="N27" s="25" t="str">
        <f>IF(AND($A27&lt;=IF(Calc!$C$36=999,360,Calc!$C$36),Calc!$C$17=1),CHOOSE(Calc!$C$3,INDEX('Snowball Engine'!$AH29:$AV29,Calc!$I$17),INDEX('Avalanche Engine'!$AH29:$AV29,Calc!$J$17),INDEX('My Order Engine'!$AH29:$AV29,Calc!$K$17)),"")</f>
        <v/>
      </c>
      <c r="O27" s="25" t="str">
        <f>IF(AND($A27&lt;=IF(Calc!$C$36=999,360,Calc!$C$36),Calc!$C$18=1),CHOOSE(Calc!$C$3,INDEX('Snowball Engine'!$AH29:$AV29,Calc!$I$18),INDEX('Avalanche Engine'!$AH29:$AV29,Calc!$J$18),INDEX('My Order Engine'!$AH29:$AV29,Calc!$K$18)),"")</f>
        <v/>
      </c>
      <c r="P27" s="25" t="str">
        <f>IF(AND($A27&lt;=IF(Calc!$C$36=999,360,Calc!$C$36),Calc!$C$19=1),CHOOSE(Calc!$C$3,INDEX('Snowball Engine'!$AH29:$AV29,Calc!$I$19),INDEX('Avalanche Engine'!$AH29:$AV29,Calc!$J$19),INDEX('My Order Engine'!$AH29:$AV29,Calc!$K$19)),"")</f>
        <v/>
      </c>
      <c r="Q27" s="25" t="str">
        <f>IF(AND($A27&lt;=IF(Calc!$C$36=999,360,Calc!$C$36),Calc!$C$20=1),CHOOSE(Calc!$C$3,INDEX('Snowball Engine'!$AH29:$AV29,Calc!$I$20),INDEX('Avalanche Engine'!$AH29:$AV29,Calc!$J$20),INDEX('My Order Engine'!$AH29:$AV29,Calc!$K$20)),"")</f>
        <v/>
      </c>
      <c r="R27" s="25" t="str">
        <f>IF(AND($A27&lt;=IF(Calc!$C$36=999,360,Calc!$C$36),Calc!$C$21=1),CHOOSE(Calc!$C$3,INDEX('Snowball Engine'!$AH29:$AV29,Calc!$I$21),INDEX('Avalanche Engine'!$AH29:$AV29,Calc!$J$21),INDEX('My Order Engine'!$AH29:$AV29,Calc!$K$21)),"")</f>
        <v/>
      </c>
      <c r="S27" s="25" t="str">
        <f>IF(AND($A27&lt;=IF(Calc!$C$36=999,360,Calc!$C$36),Calc!$C$22=1),CHOOSE(Calc!$C$3,INDEX('Snowball Engine'!$AH29:$AV29,Calc!$I$22),INDEX('Avalanche Engine'!$AH29:$AV29,Calc!$J$22),INDEX('My Order Engine'!$AH29:$AV29,Calc!$K$22)),"")</f>
        <v/>
      </c>
      <c r="T27" s="25" t="str">
        <f>IF(AND($A27&lt;=IF(Calc!$C$36=999,360,Calc!$C$36),Calc!$C$23=1),CHOOSE(Calc!$C$3,INDEX('Snowball Engine'!$AH29:$AV29,Calc!$I$23),INDEX('Avalanche Engine'!$AH29:$AV29,Calc!$J$23),INDEX('My Order Engine'!$AH29:$AV29,Calc!$K$23)),"")</f>
        <v/>
      </c>
      <c r="U27" s="25" t="str">
        <f>IF(AND($A27&lt;=IF(Calc!$C$36=999,360,Calc!$C$36),Calc!$C$24=1),CHOOSE(Calc!$C$3,INDEX('Snowball Engine'!$AH29:$AV29,Calc!$I$24),INDEX('Avalanche Engine'!$AH29:$AV29,Calc!$J$24),INDEX('My Order Engine'!$AH29:$AV29,Calc!$K$24)),"")</f>
        <v/>
      </c>
    </row>
    <row r="28" spans="1:21" x14ac:dyDescent="0.35">
      <c r="A28" s="23">
        <v>24</v>
      </c>
      <c r="B28" s="24">
        <f ca="1">IF($A28&lt;=IF(Calc!$C$36=999,360,Calc!$C$36),EDATE(Calc!$C$5,A28-1),"")</f>
        <v>46997</v>
      </c>
      <c r="C28" s="25">
        <f>IF($A28&lt;=IF(Calc!$C$36=999,360,Calc!$C$36),CHOOSE(Calc!$C$3,'Snowball Engine'!AY30,'Avalanche Engine'!AY30,'My Order Engine'!AY30),"")</f>
        <v>750</v>
      </c>
      <c r="D28" s="25">
        <f>IF($A28&lt;=IF(Calc!$C$36=999,360,Calc!$C$36),CHOOSE(Calc!$C$3,'Snowball Engine'!AX30,'Avalanche Engine'!AX30,'My Order Engine'!AX30),"")</f>
        <v>22.02</v>
      </c>
      <c r="E28" s="25">
        <f>IF($A28&lt;=IF(Calc!$C$36=999,360,Calc!$C$36),C28-D28,"")</f>
        <v>727.98</v>
      </c>
      <c r="F28" s="25">
        <f>IF($A28&lt;=IF(Calc!$C$36=999,360,Calc!$C$36),CHOOSE(Calc!$C$3,'Snowball Engine'!AW30,'Avalanche Engine'!AW30,'My Order Engine'!AW30),"")</f>
        <v>2795.34</v>
      </c>
      <c r="G28" s="25">
        <f>IF(AND($A28&lt;=IF(Calc!$C$36=999,360,Calc!$C$36),Calc!$C$10=1),CHOOSE(Calc!$C$3,INDEX('Snowball Engine'!$AH30:$AV30,Calc!$I$10),INDEX('Avalanche Engine'!$AH30:$AV30,Calc!$J$10),INDEX('My Order Engine'!$AH30:$AV30,Calc!$K$10)),"")</f>
        <v>0</v>
      </c>
      <c r="H28" s="25">
        <f>IF(AND($A28&lt;=IF(Calc!$C$36=999,360,Calc!$C$36),Calc!$C$11=1),CHOOSE(Calc!$C$3,INDEX('Snowball Engine'!$AH30:$AV30,Calc!$I$11),INDEX('Avalanche Engine'!$AH30:$AV30,Calc!$J$11),INDEX('My Order Engine'!$AH30:$AV30,Calc!$K$11)),"")</f>
        <v>0</v>
      </c>
      <c r="I28" s="25">
        <f>IF(AND($A28&lt;=IF(Calc!$C$36=999,360,Calc!$C$36),Calc!$C$12=1),CHOOSE(Calc!$C$3,INDEX('Snowball Engine'!$AH30:$AV30,Calc!$I$12),INDEX('Avalanche Engine'!$AH30:$AV30,Calc!$J$12),INDEX('My Order Engine'!$AH30:$AV30,Calc!$K$12)),"")</f>
        <v>2795.34</v>
      </c>
      <c r="J28" s="25">
        <f>IF(AND($A28&lt;=IF(Calc!$C$36=999,360,Calc!$C$36),Calc!$C$13=1),CHOOSE(Calc!$C$3,INDEX('Snowball Engine'!$AH30:$AV30,Calc!$I$13),INDEX('Avalanche Engine'!$AH30:$AV30,Calc!$J$13),INDEX('My Order Engine'!$AH30:$AV30,Calc!$K$13)),"")</f>
        <v>0</v>
      </c>
      <c r="K28" s="25" t="str">
        <f>IF(AND($A28&lt;=IF(Calc!$C$36=999,360,Calc!$C$36),Calc!$C$14=1),CHOOSE(Calc!$C$3,INDEX('Snowball Engine'!$AH30:$AV30,Calc!$I$14),INDEX('Avalanche Engine'!$AH30:$AV30,Calc!$J$14),INDEX('My Order Engine'!$AH30:$AV30,Calc!$K$14)),"")</f>
        <v/>
      </c>
      <c r="L28" s="25" t="str">
        <f>IF(AND($A28&lt;=IF(Calc!$C$36=999,360,Calc!$C$36),Calc!$C$15=1),CHOOSE(Calc!$C$3,INDEX('Snowball Engine'!$AH30:$AV30,Calc!$I$15),INDEX('Avalanche Engine'!$AH30:$AV30,Calc!$J$15),INDEX('My Order Engine'!$AH30:$AV30,Calc!$K$15)),"")</f>
        <v/>
      </c>
      <c r="M28" s="25" t="str">
        <f>IF(AND($A28&lt;=IF(Calc!$C$36=999,360,Calc!$C$36),Calc!$C$16=1),CHOOSE(Calc!$C$3,INDEX('Snowball Engine'!$AH30:$AV30,Calc!$I$16),INDEX('Avalanche Engine'!$AH30:$AV30,Calc!$J$16),INDEX('My Order Engine'!$AH30:$AV30,Calc!$K$16)),"")</f>
        <v/>
      </c>
      <c r="N28" s="25" t="str">
        <f>IF(AND($A28&lt;=IF(Calc!$C$36=999,360,Calc!$C$36),Calc!$C$17=1),CHOOSE(Calc!$C$3,INDEX('Snowball Engine'!$AH30:$AV30,Calc!$I$17),INDEX('Avalanche Engine'!$AH30:$AV30,Calc!$J$17),INDEX('My Order Engine'!$AH30:$AV30,Calc!$K$17)),"")</f>
        <v/>
      </c>
      <c r="O28" s="25" t="str">
        <f>IF(AND($A28&lt;=IF(Calc!$C$36=999,360,Calc!$C$36),Calc!$C$18=1),CHOOSE(Calc!$C$3,INDEX('Snowball Engine'!$AH30:$AV30,Calc!$I$18),INDEX('Avalanche Engine'!$AH30:$AV30,Calc!$J$18),INDEX('My Order Engine'!$AH30:$AV30,Calc!$K$18)),"")</f>
        <v/>
      </c>
      <c r="P28" s="25" t="str">
        <f>IF(AND($A28&lt;=IF(Calc!$C$36=999,360,Calc!$C$36),Calc!$C$19=1),CHOOSE(Calc!$C$3,INDEX('Snowball Engine'!$AH30:$AV30,Calc!$I$19),INDEX('Avalanche Engine'!$AH30:$AV30,Calc!$J$19),INDEX('My Order Engine'!$AH30:$AV30,Calc!$K$19)),"")</f>
        <v/>
      </c>
      <c r="Q28" s="25" t="str">
        <f>IF(AND($A28&lt;=IF(Calc!$C$36=999,360,Calc!$C$36),Calc!$C$20=1),CHOOSE(Calc!$C$3,INDEX('Snowball Engine'!$AH30:$AV30,Calc!$I$20),INDEX('Avalanche Engine'!$AH30:$AV30,Calc!$J$20),INDEX('My Order Engine'!$AH30:$AV30,Calc!$K$20)),"")</f>
        <v/>
      </c>
      <c r="R28" s="25" t="str">
        <f>IF(AND($A28&lt;=IF(Calc!$C$36=999,360,Calc!$C$36),Calc!$C$21=1),CHOOSE(Calc!$C$3,INDEX('Snowball Engine'!$AH30:$AV30,Calc!$I$21),INDEX('Avalanche Engine'!$AH30:$AV30,Calc!$J$21),INDEX('My Order Engine'!$AH30:$AV30,Calc!$K$21)),"")</f>
        <v/>
      </c>
      <c r="S28" s="25" t="str">
        <f>IF(AND($A28&lt;=IF(Calc!$C$36=999,360,Calc!$C$36),Calc!$C$22=1),CHOOSE(Calc!$C$3,INDEX('Snowball Engine'!$AH30:$AV30,Calc!$I$22),INDEX('Avalanche Engine'!$AH30:$AV30,Calc!$J$22),INDEX('My Order Engine'!$AH30:$AV30,Calc!$K$22)),"")</f>
        <v/>
      </c>
      <c r="T28" s="25" t="str">
        <f>IF(AND($A28&lt;=IF(Calc!$C$36=999,360,Calc!$C$36),Calc!$C$23=1),CHOOSE(Calc!$C$3,INDEX('Snowball Engine'!$AH30:$AV30,Calc!$I$23),INDEX('Avalanche Engine'!$AH30:$AV30,Calc!$J$23),INDEX('My Order Engine'!$AH30:$AV30,Calc!$K$23)),"")</f>
        <v/>
      </c>
      <c r="U28" s="25" t="str">
        <f>IF(AND($A28&lt;=IF(Calc!$C$36=999,360,Calc!$C$36),Calc!$C$24=1),CHOOSE(Calc!$C$3,INDEX('Snowball Engine'!$AH30:$AV30,Calc!$I$24),INDEX('Avalanche Engine'!$AH30:$AV30,Calc!$J$24),INDEX('My Order Engine'!$AH30:$AV30,Calc!$K$24)),"")</f>
        <v/>
      </c>
    </row>
    <row r="29" spans="1:21" x14ac:dyDescent="0.35">
      <c r="A29" s="23">
        <v>25</v>
      </c>
      <c r="B29" s="24">
        <f ca="1">IF($A29&lt;=IF(Calc!$C$36=999,360,Calc!$C$36),EDATE(Calc!$C$5,A29-1),"")</f>
        <v>47027</v>
      </c>
      <c r="C29" s="25">
        <f>IF($A29&lt;=IF(Calc!$C$36=999,360,Calc!$C$36),CHOOSE(Calc!$C$3,'Snowball Engine'!AY31,'Avalanche Engine'!AY31,'My Order Engine'!AY31),"")</f>
        <v>750</v>
      </c>
      <c r="D29" s="25">
        <f>IF($A29&lt;=IF(Calc!$C$36=999,360,Calc!$C$36),CHOOSE(Calc!$C$3,'Snowball Engine'!AX31,'Avalanche Engine'!AX31,'My Order Engine'!AX31),"")</f>
        <v>17.47</v>
      </c>
      <c r="E29" s="25">
        <f>IF($A29&lt;=IF(Calc!$C$36=999,360,Calc!$C$36),C29-D29,"")</f>
        <v>732.53</v>
      </c>
      <c r="F29" s="25">
        <f>IF($A29&lt;=IF(Calc!$C$36=999,360,Calc!$C$36),CHOOSE(Calc!$C$3,'Snowball Engine'!AW31,'Avalanche Engine'!AW31,'My Order Engine'!AW31),"")</f>
        <v>2062.81</v>
      </c>
      <c r="G29" s="25">
        <f>IF(AND($A29&lt;=IF(Calc!$C$36=999,360,Calc!$C$36),Calc!$C$10=1),CHOOSE(Calc!$C$3,INDEX('Snowball Engine'!$AH31:$AV31,Calc!$I$10),INDEX('Avalanche Engine'!$AH31:$AV31,Calc!$J$10),INDEX('My Order Engine'!$AH31:$AV31,Calc!$K$10)),"")</f>
        <v>0</v>
      </c>
      <c r="H29" s="25">
        <f>IF(AND($A29&lt;=IF(Calc!$C$36=999,360,Calc!$C$36),Calc!$C$11=1),CHOOSE(Calc!$C$3,INDEX('Snowball Engine'!$AH31:$AV31,Calc!$I$11),INDEX('Avalanche Engine'!$AH31:$AV31,Calc!$J$11),INDEX('My Order Engine'!$AH31:$AV31,Calc!$K$11)),"")</f>
        <v>0</v>
      </c>
      <c r="I29" s="25">
        <f>IF(AND($A29&lt;=IF(Calc!$C$36=999,360,Calc!$C$36),Calc!$C$12=1),CHOOSE(Calc!$C$3,INDEX('Snowball Engine'!$AH31:$AV31,Calc!$I$12),INDEX('Avalanche Engine'!$AH31:$AV31,Calc!$J$12),INDEX('My Order Engine'!$AH31:$AV31,Calc!$K$12)),"")</f>
        <v>2062.81</v>
      </c>
      <c r="J29" s="25">
        <f>IF(AND($A29&lt;=IF(Calc!$C$36=999,360,Calc!$C$36),Calc!$C$13=1),CHOOSE(Calc!$C$3,INDEX('Snowball Engine'!$AH31:$AV31,Calc!$I$13),INDEX('Avalanche Engine'!$AH31:$AV31,Calc!$J$13),INDEX('My Order Engine'!$AH31:$AV31,Calc!$K$13)),"")</f>
        <v>0</v>
      </c>
      <c r="K29" s="25" t="str">
        <f>IF(AND($A29&lt;=IF(Calc!$C$36=999,360,Calc!$C$36),Calc!$C$14=1),CHOOSE(Calc!$C$3,INDEX('Snowball Engine'!$AH31:$AV31,Calc!$I$14),INDEX('Avalanche Engine'!$AH31:$AV31,Calc!$J$14),INDEX('My Order Engine'!$AH31:$AV31,Calc!$K$14)),"")</f>
        <v/>
      </c>
      <c r="L29" s="25" t="str">
        <f>IF(AND($A29&lt;=IF(Calc!$C$36=999,360,Calc!$C$36),Calc!$C$15=1),CHOOSE(Calc!$C$3,INDEX('Snowball Engine'!$AH31:$AV31,Calc!$I$15),INDEX('Avalanche Engine'!$AH31:$AV31,Calc!$J$15),INDEX('My Order Engine'!$AH31:$AV31,Calc!$K$15)),"")</f>
        <v/>
      </c>
      <c r="M29" s="25" t="str">
        <f>IF(AND($A29&lt;=IF(Calc!$C$36=999,360,Calc!$C$36),Calc!$C$16=1),CHOOSE(Calc!$C$3,INDEX('Snowball Engine'!$AH31:$AV31,Calc!$I$16),INDEX('Avalanche Engine'!$AH31:$AV31,Calc!$J$16),INDEX('My Order Engine'!$AH31:$AV31,Calc!$K$16)),"")</f>
        <v/>
      </c>
      <c r="N29" s="25" t="str">
        <f>IF(AND($A29&lt;=IF(Calc!$C$36=999,360,Calc!$C$36),Calc!$C$17=1),CHOOSE(Calc!$C$3,INDEX('Snowball Engine'!$AH31:$AV31,Calc!$I$17),INDEX('Avalanche Engine'!$AH31:$AV31,Calc!$J$17),INDEX('My Order Engine'!$AH31:$AV31,Calc!$K$17)),"")</f>
        <v/>
      </c>
      <c r="O29" s="25" t="str">
        <f>IF(AND($A29&lt;=IF(Calc!$C$36=999,360,Calc!$C$36),Calc!$C$18=1),CHOOSE(Calc!$C$3,INDEX('Snowball Engine'!$AH31:$AV31,Calc!$I$18),INDEX('Avalanche Engine'!$AH31:$AV31,Calc!$J$18),INDEX('My Order Engine'!$AH31:$AV31,Calc!$K$18)),"")</f>
        <v/>
      </c>
      <c r="P29" s="25" t="str">
        <f>IF(AND($A29&lt;=IF(Calc!$C$36=999,360,Calc!$C$36),Calc!$C$19=1),CHOOSE(Calc!$C$3,INDEX('Snowball Engine'!$AH31:$AV31,Calc!$I$19),INDEX('Avalanche Engine'!$AH31:$AV31,Calc!$J$19),INDEX('My Order Engine'!$AH31:$AV31,Calc!$K$19)),"")</f>
        <v/>
      </c>
      <c r="Q29" s="25" t="str">
        <f>IF(AND($A29&lt;=IF(Calc!$C$36=999,360,Calc!$C$36),Calc!$C$20=1),CHOOSE(Calc!$C$3,INDEX('Snowball Engine'!$AH31:$AV31,Calc!$I$20),INDEX('Avalanche Engine'!$AH31:$AV31,Calc!$J$20),INDEX('My Order Engine'!$AH31:$AV31,Calc!$K$20)),"")</f>
        <v/>
      </c>
      <c r="R29" s="25" t="str">
        <f>IF(AND($A29&lt;=IF(Calc!$C$36=999,360,Calc!$C$36),Calc!$C$21=1),CHOOSE(Calc!$C$3,INDEX('Snowball Engine'!$AH31:$AV31,Calc!$I$21),INDEX('Avalanche Engine'!$AH31:$AV31,Calc!$J$21),INDEX('My Order Engine'!$AH31:$AV31,Calc!$K$21)),"")</f>
        <v/>
      </c>
      <c r="S29" s="25" t="str">
        <f>IF(AND($A29&lt;=IF(Calc!$C$36=999,360,Calc!$C$36),Calc!$C$22=1),CHOOSE(Calc!$C$3,INDEX('Snowball Engine'!$AH31:$AV31,Calc!$I$22),INDEX('Avalanche Engine'!$AH31:$AV31,Calc!$J$22),INDEX('My Order Engine'!$AH31:$AV31,Calc!$K$22)),"")</f>
        <v/>
      </c>
      <c r="T29" s="25" t="str">
        <f>IF(AND($A29&lt;=IF(Calc!$C$36=999,360,Calc!$C$36),Calc!$C$23=1),CHOOSE(Calc!$C$3,INDEX('Snowball Engine'!$AH31:$AV31,Calc!$I$23),INDEX('Avalanche Engine'!$AH31:$AV31,Calc!$J$23),INDEX('My Order Engine'!$AH31:$AV31,Calc!$K$23)),"")</f>
        <v/>
      </c>
      <c r="U29" s="25" t="str">
        <f>IF(AND($A29&lt;=IF(Calc!$C$36=999,360,Calc!$C$36),Calc!$C$24=1),CHOOSE(Calc!$C$3,INDEX('Snowball Engine'!$AH31:$AV31,Calc!$I$24),INDEX('Avalanche Engine'!$AH31:$AV31,Calc!$J$24),INDEX('My Order Engine'!$AH31:$AV31,Calc!$K$24)),"")</f>
        <v/>
      </c>
    </row>
    <row r="30" spans="1:21" x14ac:dyDescent="0.35">
      <c r="A30" s="23">
        <v>26</v>
      </c>
      <c r="B30" s="24">
        <f ca="1">IF($A30&lt;=IF(Calc!$C$36=999,360,Calc!$C$36),EDATE(Calc!$C$5,A30-1),"")</f>
        <v>47058</v>
      </c>
      <c r="C30" s="25">
        <f>IF($A30&lt;=IF(Calc!$C$36=999,360,Calc!$C$36),CHOOSE(Calc!$C$3,'Snowball Engine'!AY32,'Avalanche Engine'!AY32,'My Order Engine'!AY32),"")</f>
        <v>750</v>
      </c>
      <c r="D30" s="25">
        <f>IF($A30&lt;=IF(Calc!$C$36=999,360,Calc!$C$36),CHOOSE(Calc!$C$3,'Snowball Engine'!AX32,'Avalanche Engine'!AX32,'My Order Engine'!AX32),"")</f>
        <v>12.89</v>
      </c>
      <c r="E30" s="25">
        <f>IF($A30&lt;=IF(Calc!$C$36=999,360,Calc!$C$36),C30-D30,"")</f>
        <v>737.11</v>
      </c>
      <c r="F30" s="25">
        <f>IF($A30&lt;=IF(Calc!$C$36=999,360,Calc!$C$36),CHOOSE(Calc!$C$3,'Snowball Engine'!AW32,'Avalanche Engine'!AW32,'My Order Engine'!AW32),"")</f>
        <v>1325.7</v>
      </c>
      <c r="G30" s="25">
        <f>IF(AND($A30&lt;=IF(Calc!$C$36=999,360,Calc!$C$36),Calc!$C$10=1),CHOOSE(Calc!$C$3,INDEX('Snowball Engine'!$AH32:$AV32,Calc!$I$10),INDEX('Avalanche Engine'!$AH32:$AV32,Calc!$J$10),INDEX('My Order Engine'!$AH32:$AV32,Calc!$K$10)),"")</f>
        <v>0</v>
      </c>
      <c r="H30" s="25">
        <f>IF(AND($A30&lt;=IF(Calc!$C$36=999,360,Calc!$C$36),Calc!$C$11=1),CHOOSE(Calc!$C$3,INDEX('Snowball Engine'!$AH32:$AV32,Calc!$I$11),INDEX('Avalanche Engine'!$AH32:$AV32,Calc!$J$11),INDEX('My Order Engine'!$AH32:$AV32,Calc!$K$11)),"")</f>
        <v>0</v>
      </c>
      <c r="I30" s="25">
        <f>IF(AND($A30&lt;=IF(Calc!$C$36=999,360,Calc!$C$36),Calc!$C$12=1),CHOOSE(Calc!$C$3,INDEX('Snowball Engine'!$AH32:$AV32,Calc!$I$12),INDEX('Avalanche Engine'!$AH32:$AV32,Calc!$J$12),INDEX('My Order Engine'!$AH32:$AV32,Calc!$K$12)),"")</f>
        <v>1325.7</v>
      </c>
      <c r="J30" s="25">
        <f>IF(AND($A30&lt;=IF(Calc!$C$36=999,360,Calc!$C$36),Calc!$C$13=1),CHOOSE(Calc!$C$3,INDEX('Snowball Engine'!$AH32:$AV32,Calc!$I$13),INDEX('Avalanche Engine'!$AH32:$AV32,Calc!$J$13),INDEX('My Order Engine'!$AH32:$AV32,Calc!$K$13)),"")</f>
        <v>0</v>
      </c>
      <c r="K30" s="25" t="str">
        <f>IF(AND($A30&lt;=IF(Calc!$C$36=999,360,Calc!$C$36),Calc!$C$14=1),CHOOSE(Calc!$C$3,INDEX('Snowball Engine'!$AH32:$AV32,Calc!$I$14),INDEX('Avalanche Engine'!$AH32:$AV32,Calc!$J$14),INDEX('My Order Engine'!$AH32:$AV32,Calc!$K$14)),"")</f>
        <v/>
      </c>
      <c r="L30" s="25" t="str">
        <f>IF(AND($A30&lt;=IF(Calc!$C$36=999,360,Calc!$C$36),Calc!$C$15=1),CHOOSE(Calc!$C$3,INDEX('Snowball Engine'!$AH32:$AV32,Calc!$I$15),INDEX('Avalanche Engine'!$AH32:$AV32,Calc!$J$15),INDEX('My Order Engine'!$AH32:$AV32,Calc!$K$15)),"")</f>
        <v/>
      </c>
      <c r="M30" s="25" t="str">
        <f>IF(AND($A30&lt;=IF(Calc!$C$36=999,360,Calc!$C$36),Calc!$C$16=1),CHOOSE(Calc!$C$3,INDEX('Snowball Engine'!$AH32:$AV32,Calc!$I$16),INDEX('Avalanche Engine'!$AH32:$AV32,Calc!$J$16),INDEX('My Order Engine'!$AH32:$AV32,Calc!$K$16)),"")</f>
        <v/>
      </c>
      <c r="N30" s="25" t="str">
        <f>IF(AND($A30&lt;=IF(Calc!$C$36=999,360,Calc!$C$36),Calc!$C$17=1),CHOOSE(Calc!$C$3,INDEX('Snowball Engine'!$AH32:$AV32,Calc!$I$17),INDEX('Avalanche Engine'!$AH32:$AV32,Calc!$J$17),INDEX('My Order Engine'!$AH32:$AV32,Calc!$K$17)),"")</f>
        <v/>
      </c>
      <c r="O30" s="25" t="str">
        <f>IF(AND($A30&lt;=IF(Calc!$C$36=999,360,Calc!$C$36),Calc!$C$18=1),CHOOSE(Calc!$C$3,INDEX('Snowball Engine'!$AH32:$AV32,Calc!$I$18),INDEX('Avalanche Engine'!$AH32:$AV32,Calc!$J$18),INDEX('My Order Engine'!$AH32:$AV32,Calc!$K$18)),"")</f>
        <v/>
      </c>
      <c r="P30" s="25" t="str">
        <f>IF(AND($A30&lt;=IF(Calc!$C$36=999,360,Calc!$C$36),Calc!$C$19=1),CHOOSE(Calc!$C$3,INDEX('Snowball Engine'!$AH32:$AV32,Calc!$I$19),INDEX('Avalanche Engine'!$AH32:$AV32,Calc!$J$19),INDEX('My Order Engine'!$AH32:$AV32,Calc!$K$19)),"")</f>
        <v/>
      </c>
      <c r="Q30" s="25" t="str">
        <f>IF(AND($A30&lt;=IF(Calc!$C$36=999,360,Calc!$C$36),Calc!$C$20=1),CHOOSE(Calc!$C$3,INDEX('Snowball Engine'!$AH32:$AV32,Calc!$I$20),INDEX('Avalanche Engine'!$AH32:$AV32,Calc!$J$20),INDEX('My Order Engine'!$AH32:$AV32,Calc!$K$20)),"")</f>
        <v/>
      </c>
      <c r="R30" s="25" t="str">
        <f>IF(AND($A30&lt;=IF(Calc!$C$36=999,360,Calc!$C$36),Calc!$C$21=1),CHOOSE(Calc!$C$3,INDEX('Snowball Engine'!$AH32:$AV32,Calc!$I$21),INDEX('Avalanche Engine'!$AH32:$AV32,Calc!$J$21),INDEX('My Order Engine'!$AH32:$AV32,Calc!$K$21)),"")</f>
        <v/>
      </c>
      <c r="S30" s="25" t="str">
        <f>IF(AND($A30&lt;=IF(Calc!$C$36=999,360,Calc!$C$36),Calc!$C$22=1),CHOOSE(Calc!$C$3,INDEX('Snowball Engine'!$AH32:$AV32,Calc!$I$22),INDEX('Avalanche Engine'!$AH32:$AV32,Calc!$J$22),INDEX('My Order Engine'!$AH32:$AV32,Calc!$K$22)),"")</f>
        <v/>
      </c>
      <c r="T30" s="25" t="str">
        <f>IF(AND($A30&lt;=IF(Calc!$C$36=999,360,Calc!$C$36),Calc!$C$23=1),CHOOSE(Calc!$C$3,INDEX('Snowball Engine'!$AH32:$AV32,Calc!$I$23),INDEX('Avalanche Engine'!$AH32:$AV32,Calc!$J$23),INDEX('My Order Engine'!$AH32:$AV32,Calc!$K$23)),"")</f>
        <v/>
      </c>
      <c r="U30" s="25" t="str">
        <f>IF(AND($A30&lt;=IF(Calc!$C$36=999,360,Calc!$C$36),Calc!$C$24=1),CHOOSE(Calc!$C$3,INDEX('Snowball Engine'!$AH32:$AV32,Calc!$I$24),INDEX('Avalanche Engine'!$AH32:$AV32,Calc!$J$24),INDEX('My Order Engine'!$AH32:$AV32,Calc!$K$24)),"")</f>
        <v/>
      </c>
    </row>
    <row r="31" spans="1:21" x14ac:dyDescent="0.35">
      <c r="A31" s="23">
        <v>27</v>
      </c>
      <c r="B31" s="24">
        <f ca="1">IF($A31&lt;=IF(Calc!$C$36=999,360,Calc!$C$36),EDATE(Calc!$C$5,A31-1),"")</f>
        <v>47088</v>
      </c>
      <c r="C31" s="25">
        <f>IF($A31&lt;=IF(Calc!$C$36=999,360,Calc!$C$36),CHOOSE(Calc!$C$3,'Snowball Engine'!AY33,'Avalanche Engine'!AY33,'My Order Engine'!AY33),"")</f>
        <v>750</v>
      </c>
      <c r="D31" s="25">
        <f>IF($A31&lt;=IF(Calc!$C$36=999,360,Calc!$C$36),CHOOSE(Calc!$C$3,'Snowball Engine'!AX33,'Avalanche Engine'!AX33,'My Order Engine'!AX33),"")</f>
        <v>8.2899999999999991</v>
      </c>
      <c r="E31" s="25">
        <f>IF($A31&lt;=IF(Calc!$C$36=999,360,Calc!$C$36),C31-D31,"")</f>
        <v>741.71</v>
      </c>
      <c r="F31" s="25">
        <f>IF($A31&lt;=IF(Calc!$C$36=999,360,Calc!$C$36),CHOOSE(Calc!$C$3,'Snowball Engine'!AW33,'Avalanche Engine'!AW33,'My Order Engine'!AW33),"")</f>
        <v>583.99</v>
      </c>
      <c r="G31" s="25">
        <f>IF(AND($A31&lt;=IF(Calc!$C$36=999,360,Calc!$C$36),Calc!$C$10=1),CHOOSE(Calc!$C$3,INDEX('Snowball Engine'!$AH33:$AV33,Calc!$I$10),INDEX('Avalanche Engine'!$AH33:$AV33,Calc!$J$10),INDEX('My Order Engine'!$AH33:$AV33,Calc!$K$10)),"")</f>
        <v>0</v>
      </c>
      <c r="H31" s="25">
        <f>IF(AND($A31&lt;=IF(Calc!$C$36=999,360,Calc!$C$36),Calc!$C$11=1),CHOOSE(Calc!$C$3,INDEX('Snowball Engine'!$AH33:$AV33,Calc!$I$11),INDEX('Avalanche Engine'!$AH33:$AV33,Calc!$J$11),INDEX('My Order Engine'!$AH33:$AV33,Calc!$K$11)),"")</f>
        <v>0</v>
      </c>
      <c r="I31" s="25">
        <f>IF(AND($A31&lt;=IF(Calc!$C$36=999,360,Calc!$C$36),Calc!$C$12=1),CHOOSE(Calc!$C$3,INDEX('Snowball Engine'!$AH33:$AV33,Calc!$I$12),INDEX('Avalanche Engine'!$AH33:$AV33,Calc!$J$12),INDEX('My Order Engine'!$AH33:$AV33,Calc!$K$12)),"")</f>
        <v>583.99</v>
      </c>
      <c r="J31" s="25">
        <f>IF(AND($A31&lt;=IF(Calc!$C$36=999,360,Calc!$C$36),Calc!$C$13=1),CHOOSE(Calc!$C$3,INDEX('Snowball Engine'!$AH33:$AV33,Calc!$I$13),INDEX('Avalanche Engine'!$AH33:$AV33,Calc!$J$13),INDEX('My Order Engine'!$AH33:$AV33,Calc!$K$13)),"")</f>
        <v>0</v>
      </c>
      <c r="K31" s="25" t="str">
        <f>IF(AND($A31&lt;=IF(Calc!$C$36=999,360,Calc!$C$36),Calc!$C$14=1),CHOOSE(Calc!$C$3,INDEX('Snowball Engine'!$AH33:$AV33,Calc!$I$14),INDEX('Avalanche Engine'!$AH33:$AV33,Calc!$J$14),INDEX('My Order Engine'!$AH33:$AV33,Calc!$K$14)),"")</f>
        <v/>
      </c>
      <c r="L31" s="25" t="str">
        <f>IF(AND($A31&lt;=IF(Calc!$C$36=999,360,Calc!$C$36),Calc!$C$15=1),CHOOSE(Calc!$C$3,INDEX('Snowball Engine'!$AH33:$AV33,Calc!$I$15),INDEX('Avalanche Engine'!$AH33:$AV33,Calc!$J$15),INDEX('My Order Engine'!$AH33:$AV33,Calc!$K$15)),"")</f>
        <v/>
      </c>
      <c r="M31" s="25" t="str">
        <f>IF(AND($A31&lt;=IF(Calc!$C$36=999,360,Calc!$C$36),Calc!$C$16=1),CHOOSE(Calc!$C$3,INDEX('Snowball Engine'!$AH33:$AV33,Calc!$I$16),INDEX('Avalanche Engine'!$AH33:$AV33,Calc!$J$16),INDEX('My Order Engine'!$AH33:$AV33,Calc!$K$16)),"")</f>
        <v/>
      </c>
      <c r="N31" s="25" t="str">
        <f>IF(AND($A31&lt;=IF(Calc!$C$36=999,360,Calc!$C$36),Calc!$C$17=1),CHOOSE(Calc!$C$3,INDEX('Snowball Engine'!$AH33:$AV33,Calc!$I$17),INDEX('Avalanche Engine'!$AH33:$AV33,Calc!$J$17),INDEX('My Order Engine'!$AH33:$AV33,Calc!$K$17)),"")</f>
        <v/>
      </c>
      <c r="O31" s="25" t="str">
        <f>IF(AND($A31&lt;=IF(Calc!$C$36=999,360,Calc!$C$36),Calc!$C$18=1),CHOOSE(Calc!$C$3,INDEX('Snowball Engine'!$AH33:$AV33,Calc!$I$18),INDEX('Avalanche Engine'!$AH33:$AV33,Calc!$J$18),INDEX('My Order Engine'!$AH33:$AV33,Calc!$K$18)),"")</f>
        <v/>
      </c>
      <c r="P31" s="25" t="str">
        <f>IF(AND($A31&lt;=IF(Calc!$C$36=999,360,Calc!$C$36),Calc!$C$19=1),CHOOSE(Calc!$C$3,INDEX('Snowball Engine'!$AH33:$AV33,Calc!$I$19),INDEX('Avalanche Engine'!$AH33:$AV33,Calc!$J$19),INDEX('My Order Engine'!$AH33:$AV33,Calc!$K$19)),"")</f>
        <v/>
      </c>
      <c r="Q31" s="25" t="str">
        <f>IF(AND($A31&lt;=IF(Calc!$C$36=999,360,Calc!$C$36),Calc!$C$20=1),CHOOSE(Calc!$C$3,INDEX('Snowball Engine'!$AH33:$AV33,Calc!$I$20),INDEX('Avalanche Engine'!$AH33:$AV33,Calc!$J$20),INDEX('My Order Engine'!$AH33:$AV33,Calc!$K$20)),"")</f>
        <v/>
      </c>
      <c r="R31" s="25" t="str">
        <f>IF(AND($A31&lt;=IF(Calc!$C$36=999,360,Calc!$C$36),Calc!$C$21=1),CHOOSE(Calc!$C$3,INDEX('Snowball Engine'!$AH33:$AV33,Calc!$I$21),INDEX('Avalanche Engine'!$AH33:$AV33,Calc!$J$21),INDEX('My Order Engine'!$AH33:$AV33,Calc!$K$21)),"")</f>
        <v/>
      </c>
      <c r="S31" s="25" t="str">
        <f>IF(AND($A31&lt;=IF(Calc!$C$36=999,360,Calc!$C$36),Calc!$C$22=1),CHOOSE(Calc!$C$3,INDEX('Snowball Engine'!$AH33:$AV33,Calc!$I$22),INDEX('Avalanche Engine'!$AH33:$AV33,Calc!$J$22),INDEX('My Order Engine'!$AH33:$AV33,Calc!$K$22)),"")</f>
        <v/>
      </c>
      <c r="T31" s="25" t="str">
        <f>IF(AND($A31&lt;=IF(Calc!$C$36=999,360,Calc!$C$36),Calc!$C$23=1),CHOOSE(Calc!$C$3,INDEX('Snowball Engine'!$AH33:$AV33,Calc!$I$23),INDEX('Avalanche Engine'!$AH33:$AV33,Calc!$J$23),INDEX('My Order Engine'!$AH33:$AV33,Calc!$K$23)),"")</f>
        <v/>
      </c>
      <c r="U31" s="25" t="str">
        <f>IF(AND($A31&lt;=IF(Calc!$C$36=999,360,Calc!$C$36),Calc!$C$24=1),CHOOSE(Calc!$C$3,INDEX('Snowball Engine'!$AH33:$AV33,Calc!$I$24),INDEX('Avalanche Engine'!$AH33:$AV33,Calc!$J$24),INDEX('My Order Engine'!$AH33:$AV33,Calc!$K$24)),"")</f>
        <v/>
      </c>
    </row>
    <row r="32" spans="1:21" x14ac:dyDescent="0.35">
      <c r="A32" s="23">
        <v>28</v>
      </c>
      <c r="B32" s="24">
        <f ca="1">IF($A32&lt;=IF(Calc!$C$36=999,360,Calc!$C$36),EDATE(Calc!$C$5,A32-1),"")</f>
        <v>47119</v>
      </c>
      <c r="C32" s="25">
        <f>IF($A32&lt;=IF(Calc!$C$36=999,360,Calc!$C$36),CHOOSE(Calc!$C$3,'Snowball Engine'!AY34,'Avalanche Engine'!AY34,'My Order Engine'!AY34),"")</f>
        <v>587.64</v>
      </c>
      <c r="D32" s="25">
        <f>IF($A32&lt;=IF(Calc!$C$36=999,360,Calc!$C$36),CHOOSE(Calc!$C$3,'Snowball Engine'!AX34,'Avalanche Engine'!AX34,'My Order Engine'!AX34),"")</f>
        <v>3.65</v>
      </c>
      <c r="E32" s="25">
        <f>IF($A32&lt;=IF(Calc!$C$36=999,360,Calc!$C$36),C32-D32,"")</f>
        <v>583.99</v>
      </c>
      <c r="F32" s="25">
        <f>IF($A32&lt;=IF(Calc!$C$36=999,360,Calc!$C$36),CHOOSE(Calc!$C$3,'Snowball Engine'!AW34,'Avalanche Engine'!AW34,'My Order Engine'!AW34),"")</f>
        <v>0</v>
      </c>
      <c r="G32" s="25">
        <f>IF(AND($A32&lt;=IF(Calc!$C$36=999,360,Calc!$C$36),Calc!$C$10=1),CHOOSE(Calc!$C$3,INDEX('Snowball Engine'!$AH34:$AV34,Calc!$I$10),INDEX('Avalanche Engine'!$AH34:$AV34,Calc!$J$10),INDEX('My Order Engine'!$AH34:$AV34,Calc!$K$10)),"")</f>
        <v>0</v>
      </c>
      <c r="H32" s="25">
        <f>IF(AND($A32&lt;=IF(Calc!$C$36=999,360,Calc!$C$36),Calc!$C$11=1),CHOOSE(Calc!$C$3,INDEX('Snowball Engine'!$AH34:$AV34,Calc!$I$11),INDEX('Avalanche Engine'!$AH34:$AV34,Calc!$J$11),INDEX('My Order Engine'!$AH34:$AV34,Calc!$K$11)),"")</f>
        <v>0</v>
      </c>
      <c r="I32" s="25">
        <f>IF(AND($A32&lt;=IF(Calc!$C$36=999,360,Calc!$C$36),Calc!$C$12=1),CHOOSE(Calc!$C$3,INDEX('Snowball Engine'!$AH34:$AV34,Calc!$I$12),INDEX('Avalanche Engine'!$AH34:$AV34,Calc!$J$12),INDEX('My Order Engine'!$AH34:$AV34,Calc!$K$12)),"")</f>
        <v>0</v>
      </c>
      <c r="J32" s="25">
        <f>IF(AND($A32&lt;=IF(Calc!$C$36=999,360,Calc!$C$36),Calc!$C$13=1),CHOOSE(Calc!$C$3,INDEX('Snowball Engine'!$AH34:$AV34,Calc!$I$13),INDEX('Avalanche Engine'!$AH34:$AV34,Calc!$J$13),INDEX('My Order Engine'!$AH34:$AV34,Calc!$K$13)),"")</f>
        <v>0</v>
      </c>
      <c r="K32" s="25" t="str">
        <f>IF(AND($A32&lt;=IF(Calc!$C$36=999,360,Calc!$C$36),Calc!$C$14=1),CHOOSE(Calc!$C$3,INDEX('Snowball Engine'!$AH34:$AV34,Calc!$I$14),INDEX('Avalanche Engine'!$AH34:$AV34,Calc!$J$14),INDEX('My Order Engine'!$AH34:$AV34,Calc!$K$14)),"")</f>
        <v/>
      </c>
      <c r="L32" s="25" t="str">
        <f>IF(AND($A32&lt;=IF(Calc!$C$36=999,360,Calc!$C$36),Calc!$C$15=1),CHOOSE(Calc!$C$3,INDEX('Snowball Engine'!$AH34:$AV34,Calc!$I$15),INDEX('Avalanche Engine'!$AH34:$AV34,Calc!$J$15),INDEX('My Order Engine'!$AH34:$AV34,Calc!$K$15)),"")</f>
        <v/>
      </c>
      <c r="M32" s="25" t="str">
        <f>IF(AND($A32&lt;=IF(Calc!$C$36=999,360,Calc!$C$36),Calc!$C$16=1),CHOOSE(Calc!$C$3,INDEX('Snowball Engine'!$AH34:$AV34,Calc!$I$16),INDEX('Avalanche Engine'!$AH34:$AV34,Calc!$J$16),INDEX('My Order Engine'!$AH34:$AV34,Calc!$K$16)),"")</f>
        <v/>
      </c>
      <c r="N32" s="25" t="str">
        <f>IF(AND($A32&lt;=IF(Calc!$C$36=999,360,Calc!$C$36),Calc!$C$17=1),CHOOSE(Calc!$C$3,INDEX('Snowball Engine'!$AH34:$AV34,Calc!$I$17),INDEX('Avalanche Engine'!$AH34:$AV34,Calc!$J$17),INDEX('My Order Engine'!$AH34:$AV34,Calc!$K$17)),"")</f>
        <v/>
      </c>
      <c r="O32" s="25" t="str">
        <f>IF(AND($A32&lt;=IF(Calc!$C$36=999,360,Calc!$C$36),Calc!$C$18=1),CHOOSE(Calc!$C$3,INDEX('Snowball Engine'!$AH34:$AV34,Calc!$I$18),INDEX('Avalanche Engine'!$AH34:$AV34,Calc!$J$18),INDEX('My Order Engine'!$AH34:$AV34,Calc!$K$18)),"")</f>
        <v/>
      </c>
      <c r="P32" s="25" t="str">
        <f>IF(AND($A32&lt;=IF(Calc!$C$36=999,360,Calc!$C$36),Calc!$C$19=1),CHOOSE(Calc!$C$3,INDEX('Snowball Engine'!$AH34:$AV34,Calc!$I$19),INDEX('Avalanche Engine'!$AH34:$AV34,Calc!$J$19),INDEX('My Order Engine'!$AH34:$AV34,Calc!$K$19)),"")</f>
        <v/>
      </c>
      <c r="Q32" s="25" t="str">
        <f>IF(AND($A32&lt;=IF(Calc!$C$36=999,360,Calc!$C$36),Calc!$C$20=1),CHOOSE(Calc!$C$3,INDEX('Snowball Engine'!$AH34:$AV34,Calc!$I$20),INDEX('Avalanche Engine'!$AH34:$AV34,Calc!$J$20),INDEX('My Order Engine'!$AH34:$AV34,Calc!$K$20)),"")</f>
        <v/>
      </c>
      <c r="R32" s="25" t="str">
        <f>IF(AND($A32&lt;=IF(Calc!$C$36=999,360,Calc!$C$36),Calc!$C$21=1),CHOOSE(Calc!$C$3,INDEX('Snowball Engine'!$AH34:$AV34,Calc!$I$21),INDEX('Avalanche Engine'!$AH34:$AV34,Calc!$J$21),INDEX('My Order Engine'!$AH34:$AV34,Calc!$K$21)),"")</f>
        <v/>
      </c>
      <c r="S32" s="25" t="str">
        <f>IF(AND($A32&lt;=IF(Calc!$C$36=999,360,Calc!$C$36),Calc!$C$22=1),CHOOSE(Calc!$C$3,INDEX('Snowball Engine'!$AH34:$AV34,Calc!$I$22),INDEX('Avalanche Engine'!$AH34:$AV34,Calc!$J$22),INDEX('My Order Engine'!$AH34:$AV34,Calc!$K$22)),"")</f>
        <v/>
      </c>
      <c r="T32" s="25" t="str">
        <f>IF(AND($A32&lt;=IF(Calc!$C$36=999,360,Calc!$C$36),Calc!$C$23=1),CHOOSE(Calc!$C$3,INDEX('Snowball Engine'!$AH34:$AV34,Calc!$I$23),INDEX('Avalanche Engine'!$AH34:$AV34,Calc!$J$23),INDEX('My Order Engine'!$AH34:$AV34,Calc!$K$23)),"")</f>
        <v/>
      </c>
      <c r="U32" s="25" t="str">
        <f>IF(AND($A32&lt;=IF(Calc!$C$36=999,360,Calc!$C$36),Calc!$C$24=1),CHOOSE(Calc!$C$3,INDEX('Snowball Engine'!$AH34:$AV34,Calc!$I$24),INDEX('Avalanche Engine'!$AH34:$AV34,Calc!$J$24),INDEX('My Order Engine'!$AH34:$AV34,Calc!$K$24)),"")</f>
        <v/>
      </c>
    </row>
    <row r="33" spans="1:21" x14ac:dyDescent="0.35">
      <c r="A33" s="23">
        <v>29</v>
      </c>
      <c r="B33" s="24" t="str">
        <f>IF($A33&lt;=IF(Calc!$C$36=999,360,Calc!$C$36),EDATE(Calc!$C$5,A33-1),"")</f>
        <v/>
      </c>
      <c r="C33" s="25" t="str">
        <f>IF($A33&lt;=IF(Calc!$C$36=999,360,Calc!$C$36),CHOOSE(Calc!$C$3,'Snowball Engine'!AY35,'Avalanche Engine'!AY35,'My Order Engine'!AY35),"")</f>
        <v/>
      </c>
      <c r="D33" s="25" t="str">
        <f>IF($A33&lt;=IF(Calc!$C$36=999,360,Calc!$C$36),CHOOSE(Calc!$C$3,'Snowball Engine'!AX35,'Avalanche Engine'!AX35,'My Order Engine'!AX35),"")</f>
        <v/>
      </c>
      <c r="E33" s="25" t="str">
        <f>IF($A33&lt;=IF(Calc!$C$36=999,360,Calc!$C$36),C33-D33,"")</f>
        <v/>
      </c>
      <c r="F33" s="25" t="str">
        <f>IF($A33&lt;=IF(Calc!$C$36=999,360,Calc!$C$36),CHOOSE(Calc!$C$3,'Snowball Engine'!AW35,'Avalanche Engine'!AW35,'My Order Engine'!AW35),"")</f>
        <v/>
      </c>
      <c r="G33" s="25" t="str">
        <f>IF(AND($A33&lt;=IF(Calc!$C$36=999,360,Calc!$C$36),Calc!$C$10=1),CHOOSE(Calc!$C$3,INDEX('Snowball Engine'!$AH35:$AV35,Calc!$I$10),INDEX('Avalanche Engine'!$AH35:$AV35,Calc!$J$10),INDEX('My Order Engine'!$AH35:$AV35,Calc!$K$10)),"")</f>
        <v/>
      </c>
      <c r="H33" s="25" t="str">
        <f>IF(AND($A33&lt;=IF(Calc!$C$36=999,360,Calc!$C$36),Calc!$C$11=1),CHOOSE(Calc!$C$3,INDEX('Snowball Engine'!$AH35:$AV35,Calc!$I$11),INDEX('Avalanche Engine'!$AH35:$AV35,Calc!$J$11),INDEX('My Order Engine'!$AH35:$AV35,Calc!$K$11)),"")</f>
        <v/>
      </c>
      <c r="I33" s="25" t="str">
        <f>IF(AND($A33&lt;=IF(Calc!$C$36=999,360,Calc!$C$36),Calc!$C$12=1),CHOOSE(Calc!$C$3,INDEX('Snowball Engine'!$AH35:$AV35,Calc!$I$12),INDEX('Avalanche Engine'!$AH35:$AV35,Calc!$J$12),INDEX('My Order Engine'!$AH35:$AV35,Calc!$K$12)),"")</f>
        <v/>
      </c>
      <c r="J33" s="25" t="str">
        <f>IF(AND($A33&lt;=IF(Calc!$C$36=999,360,Calc!$C$36),Calc!$C$13=1),CHOOSE(Calc!$C$3,INDEX('Snowball Engine'!$AH35:$AV35,Calc!$I$13),INDEX('Avalanche Engine'!$AH35:$AV35,Calc!$J$13),INDEX('My Order Engine'!$AH35:$AV35,Calc!$K$13)),"")</f>
        <v/>
      </c>
      <c r="K33" s="25" t="str">
        <f>IF(AND($A33&lt;=IF(Calc!$C$36=999,360,Calc!$C$36),Calc!$C$14=1),CHOOSE(Calc!$C$3,INDEX('Snowball Engine'!$AH35:$AV35,Calc!$I$14),INDEX('Avalanche Engine'!$AH35:$AV35,Calc!$J$14),INDEX('My Order Engine'!$AH35:$AV35,Calc!$K$14)),"")</f>
        <v/>
      </c>
      <c r="L33" s="25" t="str">
        <f>IF(AND($A33&lt;=IF(Calc!$C$36=999,360,Calc!$C$36),Calc!$C$15=1),CHOOSE(Calc!$C$3,INDEX('Snowball Engine'!$AH35:$AV35,Calc!$I$15),INDEX('Avalanche Engine'!$AH35:$AV35,Calc!$J$15),INDEX('My Order Engine'!$AH35:$AV35,Calc!$K$15)),"")</f>
        <v/>
      </c>
      <c r="M33" s="25" t="str">
        <f>IF(AND($A33&lt;=IF(Calc!$C$36=999,360,Calc!$C$36),Calc!$C$16=1),CHOOSE(Calc!$C$3,INDEX('Snowball Engine'!$AH35:$AV35,Calc!$I$16),INDEX('Avalanche Engine'!$AH35:$AV35,Calc!$J$16),INDEX('My Order Engine'!$AH35:$AV35,Calc!$K$16)),"")</f>
        <v/>
      </c>
      <c r="N33" s="25" t="str">
        <f>IF(AND($A33&lt;=IF(Calc!$C$36=999,360,Calc!$C$36),Calc!$C$17=1),CHOOSE(Calc!$C$3,INDEX('Snowball Engine'!$AH35:$AV35,Calc!$I$17),INDEX('Avalanche Engine'!$AH35:$AV35,Calc!$J$17),INDEX('My Order Engine'!$AH35:$AV35,Calc!$K$17)),"")</f>
        <v/>
      </c>
      <c r="O33" s="25" t="str">
        <f>IF(AND($A33&lt;=IF(Calc!$C$36=999,360,Calc!$C$36),Calc!$C$18=1),CHOOSE(Calc!$C$3,INDEX('Snowball Engine'!$AH35:$AV35,Calc!$I$18),INDEX('Avalanche Engine'!$AH35:$AV35,Calc!$J$18),INDEX('My Order Engine'!$AH35:$AV35,Calc!$K$18)),"")</f>
        <v/>
      </c>
      <c r="P33" s="25" t="str">
        <f>IF(AND($A33&lt;=IF(Calc!$C$36=999,360,Calc!$C$36),Calc!$C$19=1),CHOOSE(Calc!$C$3,INDEX('Snowball Engine'!$AH35:$AV35,Calc!$I$19),INDEX('Avalanche Engine'!$AH35:$AV35,Calc!$J$19),INDEX('My Order Engine'!$AH35:$AV35,Calc!$K$19)),"")</f>
        <v/>
      </c>
      <c r="Q33" s="25" t="str">
        <f>IF(AND($A33&lt;=IF(Calc!$C$36=999,360,Calc!$C$36),Calc!$C$20=1),CHOOSE(Calc!$C$3,INDEX('Snowball Engine'!$AH35:$AV35,Calc!$I$20),INDEX('Avalanche Engine'!$AH35:$AV35,Calc!$J$20),INDEX('My Order Engine'!$AH35:$AV35,Calc!$K$20)),"")</f>
        <v/>
      </c>
      <c r="R33" s="25" t="str">
        <f>IF(AND($A33&lt;=IF(Calc!$C$36=999,360,Calc!$C$36),Calc!$C$21=1),CHOOSE(Calc!$C$3,INDEX('Snowball Engine'!$AH35:$AV35,Calc!$I$21),INDEX('Avalanche Engine'!$AH35:$AV35,Calc!$J$21),INDEX('My Order Engine'!$AH35:$AV35,Calc!$K$21)),"")</f>
        <v/>
      </c>
      <c r="S33" s="25" t="str">
        <f>IF(AND($A33&lt;=IF(Calc!$C$36=999,360,Calc!$C$36),Calc!$C$22=1),CHOOSE(Calc!$C$3,INDEX('Snowball Engine'!$AH35:$AV35,Calc!$I$22),INDEX('Avalanche Engine'!$AH35:$AV35,Calc!$J$22),INDEX('My Order Engine'!$AH35:$AV35,Calc!$K$22)),"")</f>
        <v/>
      </c>
      <c r="T33" s="25" t="str">
        <f>IF(AND($A33&lt;=IF(Calc!$C$36=999,360,Calc!$C$36),Calc!$C$23=1),CHOOSE(Calc!$C$3,INDEX('Snowball Engine'!$AH35:$AV35,Calc!$I$23),INDEX('Avalanche Engine'!$AH35:$AV35,Calc!$J$23),INDEX('My Order Engine'!$AH35:$AV35,Calc!$K$23)),"")</f>
        <v/>
      </c>
      <c r="U33" s="25" t="str">
        <f>IF(AND($A33&lt;=IF(Calc!$C$36=999,360,Calc!$C$36),Calc!$C$24=1),CHOOSE(Calc!$C$3,INDEX('Snowball Engine'!$AH35:$AV35,Calc!$I$24),INDEX('Avalanche Engine'!$AH35:$AV35,Calc!$J$24),INDEX('My Order Engine'!$AH35:$AV35,Calc!$K$24)),"")</f>
        <v/>
      </c>
    </row>
    <row r="34" spans="1:21" x14ac:dyDescent="0.35">
      <c r="A34" s="23">
        <v>30</v>
      </c>
      <c r="B34" s="24" t="str">
        <f>IF($A34&lt;=IF(Calc!$C$36=999,360,Calc!$C$36),EDATE(Calc!$C$5,A34-1),"")</f>
        <v/>
      </c>
      <c r="C34" s="25" t="str">
        <f>IF($A34&lt;=IF(Calc!$C$36=999,360,Calc!$C$36),CHOOSE(Calc!$C$3,'Snowball Engine'!AY36,'Avalanche Engine'!AY36,'My Order Engine'!AY36),"")</f>
        <v/>
      </c>
      <c r="D34" s="25" t="str">
        <f>IF($A34&lt;=IF(Calc!$C$36=999,360,Calc!$C$36),CHOOSE(Calc!$C$3,'Snowball Engine'!AX36,'Avalanche Engine'!AX36,'My Order Engine'!AX36),"")</f>
        <v/>
      </c>
      <c r="E34" s="25" t="str">
        <f>IF($A34&lt;=IF(Calc!$C$36=999,360,Calc!$C$36),C34-D34,"")</f>
        <v/>
      </c>
      <c r="F34" s="25" t="str">
        <f>IF($A34&lt;=IF(Calc!$C$36=999,360,Calc!$C$36),CHOOSE(Calc!$C$3,'Snowball Engine'!AW36,'Avalanche Engine'!AW36,'My Order Engine'!AW36),"")</f>
        <v/>
      </c>
      <c r="G34" s="25" t="str">
        <f>IF(AND($A34&lt;=IF(Calc!$C$36=999,360,Calc!$C$36),Calc!$C$10=1),CHOOSE(Calc!$C$3,INDEX('Snowball Engine'!$AH36:$AV36,Calc!$I$10),INDEX('Avalanche Engine'!$AH36:$AV36,Calc!$J$10),INDEX('My Order Engine'!$AH36:$AV36,Calc!$K$10)),"")</f>
        <v/>
      </c>
      <c r="H34" s="25" t="str">
        <f>IF(AND($A34&lt;=IF(Calc!$C$36=999,360,Calc!$C$36),Calc!$C$11=1),CHOOSE(Calc!$C$3,INDEX('Snowball Engine'!$AH36:$AV36,Calc!$I$11),INDEX('Avalanche Engine'!$AH36:$AV36,Calc!$J$11),INDEX('My Order Engine'!$AH36:$AV36,Calc!$K$11)),"")</f>
        <v/>
      </c>
      <c r="I34" s="25" t="str">
        <f>IF(AND($A34&lt;=IF(Calc!$C$36=999,360,Calc!$C$36),Calc!$C$12=1),CHOOSE(Calc!$C$3,INDEX('Snowball Engine'!$AH36:$AV36,Calc!$I$12),INDEX('Avalanche Engine'!$AH36:$AV36,Calc!$J$12),INDEX('My Order Engine'!$AH36:$AV36,Calc!$K$12)),"")</f>
        <v/>
      </c>
      <c r="J34" s="25" t="str">
        <f>IF(AND($A34&lt;=IF(Calc!$C$36=999,360,Calc!$C$36),Calc!$C$13=1),CHOOSE(Calc!$C$3,INDEX('Snowball Engine'!$AH36:$AV36,Calc!$I$13),INDEX('Avalanche Engine'!$AH36:$AV36,Calc!$J$13),INDEX('My Order Engine'!$AH36:$AV36,Calc!$K$13)),"")</f>
        <v/>
      </c>
      <c r="K34" s="25" t="str">
        <f>IF(AND($A34&lt;=IF(Calc!$C$36=999,360,Calc!$C$36),Calc!$C$14=1),CHOOSE(Calc!$C$3,INDEX('Snowball Engine'!$AH36:$AV36,Calc!$I$14),INDEX('Avalanche Engine'!$AH36:$AV36,Calc!$J$14),INDEX('My Order Engine'!$AH36:$AV36,Calc!$K$14)),"")</f>
        <v/>
      </c>
      <c r="L34" s="25" t="str">
        <f>IF(AND($A34&lt;=IF(Calc!$C$36=999,360,Calc!$C$36),Calc!$C$15=1),CHOOSE(Calc!$C$3,INDEX('Snowball Engine'!$AH36:$AV36,Calc!$I$15),INDEX('Avalanche Engine'!$AH36:$AV36,Calc!$J$15),INDEX('My Order Engine'!$AH36:$AV36,Calc!$K$15)),"")</f>
        <v/>
      </c>
      <c r="M34" s="25" t="str">
        <f>IF(AND($A34&lt;=IF(Calc!$C$36=999,360,Calc!$C$36),Calc!$C$16=1),CHOOSE(Calc!$C$3,INDEX('Snowball Engine'!$AH36:$AV36,Calc!$I$16),INDEX('Avalanche Engine'!$AH36:$AV36,Calc!$J$16),INDEX('My Order Engine'!$AH36:$AV36,Calc!$K$16)),"")</f>
        <v/>
      </c>
      <c r="N34" s="25" t="str">
        <f>IF(AND($A34&lt;=IF(Calc!$C$36=999,360,Calc!$C$36),Calc!$C$17=1),CHOOSE(Calc!$C$3,INDEX('Snowball Engine'!$AH36:$AV36,Calc!$I$17),INDEX('Avalanche Engine'!$AH36:$AV36,Calc!$J$17),INDEX('My Order Engine'!$AH36:$AV36,Calc!$K$17)),"")</f>
        <v/>
      </c>
      <c r="O34" s="25" t="str">
        <f>IF(AND($A34&lt;=IF(Calc!$C$36=999,360,Calc!$C$36),Calc!$C$18=1),CHOOSE(Calc!$C$3,INDEX('Snowball Engine'!$AH36:$AV36,Calc!$I$18),INDEX('Avalanche Engine'!$AH36:$AV36,Calc!$J$18),INDEX('My Order Engine'!$AH36:$AV36,Calc!$K$18)),"")</f>
        <v/>
      </c>
      <c r="P34" s="25" t="str">
        <f>IF(AND($A34&lt;=IF(Calc!$C$36=999,360,Calc!$C$36),Calc!$C$19=1),CHOOSE(Calc!$C$3,INDEX('Snowball Engine'!$AH36:$AV36,Calc!$I$19),INDEX('Avalanche Engine'!$AH36:$AV36,Calc!$J$19),INDEX('My Order Engine'!$AH36:$AV36,Calc!$K$19)),"")</f>
        <v/>
      </c>
      <c r="Q34" s="25" t="str">
        <f>IF(AND($A34&lt;=IF(Calc!$C$36=999,360,Calc!$C$36),Calc!$C$20=1),CHOOSE(Calc!$C$3,INDEX('Snowball Engine'!$AH36:$AV36,Calc!$I$20),INDEX('Avalanche Engine'!$AH36:$AV36,Calc!$J$20),INDEX('My Order Engine'!$AH36:$AV36,Calc!$K$20)),"")</f>
        <v/>
      </c>
      <c r="R34" s="25" t="str">
        <f>IF(AND($A34&lt;=IF(Calc!$C$36=999,360,Calc!$C$36),Calc!$C$21=1),CHOOSE(Calc!$C$3,INDEX('Snowball Engine'!$AH36:$AV36,Calc!$I$21),INDEX('Avalanche Engine'!$AH36:$AV36,Calc!$J$21),INDEX('My Order Engine'!$AH36:$AV36,Calc!$K$21)),"")</f>
        <v/>
      </c>
      <c r="S34" s="25" t="str">
        <f>IF(AND($A34&lt;=IF(Calc!$C$36=999,360,Calc!$C$36),Calc!$C$22=1),CHOOSE(Calc!$C$3,INDEX('Snowball Engine'!$AH36:$AV36,Calc!$I$22),INDEX('Avalanche Engine'!$AH36:$AV36,Calc!$J$22),INDEX('My Order Engine'!$AH36:$AV36,Calc!$K$22)),"")</f>
        <v/>
      </c>
      <c r="T34" s="25" t="str">
        <f>IF(AND($A34&lt;=IF(Calc!$C$36=999,360,Calc!$C$36),Calc!$C$23=1),CHOOSE(Calc!$C$3,INDEX('Snowball Engine'!$AH36:$AV36,Calc!$I$23),INDEX('Avalanche Engine'!$AH36:$AV36,Calc!$J$23),INDEX('My Order Engine'!$AH36:$AV36,Calc!$K$23)),"")</f>
        <v/>
      </c>
      <c r="U34" s="25" t="str">
        <f>IF(AND($A34&lt;=IF(Calc!$C$36=999,360,Calc!$C$36),Calc!$C$24=1),CHOOSE(Calc!$C$3,INDEX('Snowball Engine'!$AH36:$AV36,Calc!$I$24),INDEX('Avalanche Engine'!$AH36:$AV36,Calc!$J$24),INDEX('My Order Engine'!$AH36:$AV36,Calc!$K$24)),"")</f>
        <v/>
      </c>
    </row>
    <row r="35" spans="1:21" x14ac:dyDescent="0.35">
      <c r="A35" s="23">
        <v>31</v>
      </c>
      <c r="B35" s="24" t="str">
        <f>IF($A35&lt;=IF(Calc!$C$36=999,360,Calc!$C$36),EDATE(Calc!$C$5,A35-1),"")</f>
        <v/>
      </c>
      <c r="C35" s="25" t="str">
        <f>IF($A35&lt;=IF(Calc!$C$36=999,360,Calc!$C$36),CHOOSE(Calc!$C$3,'Snowball Engine'!AY37,'Avalanche Engine'!AY37,'My Order Engine'!AY37),"")</f>
        <v/>
      </c>
      <c r="D35" s="25" t="str">
        <f>IF($A35&lt;=IF(Calc!$C$36=999,360,Calc!$C$36),CHOOSE(Calc!$C$3,'Snowball Engine'!AX37,'Avalanche Engine'!AX37,'My Order Engine'!AX37),"")</f>
        <v/>
      </c>
      <c r="E35" s="25" t="str">
        <f>IF($A35&lt;=IF(Calc!$C$36=999,360,Calc!$C$36),C35-D35,"")</f>
        <v/>
      </c>
      <c r="F35" s="25" t="str">
        <f>IF($A35&lt;=IF(Calc!$C$36=999,360,Calc!$C$36),CHOOSE(Calc!$C$3,'Snowball Engine'!AW37,'Avalanche Engine'!AW37,'My Order Engine'!AW37),"")</f>
        <v/>
      </c>
      <c r="G35" s="25" t="str">
        <f>IF(AND($A35&lt;=IF(Calc!$C$36=999,360,Calc!$C$36),Calc!$C$10=1),CHOOSE(Calc!$C$3,INDEX('Snowball Engine'!$AH37:$AV37,Calc!$I$10),INDEX('Avalanche Engine'!$AH37:$AV37,Calc!$J$10),INDEX('My Order Engine'!$AH37:$AV37,Calc!$K$10)),"")</f>
        <v/>
      </c>
      <c r="H35" s="25" t="str">
        <f>IF(AND($A35&lt;=IF(Calc!$C$36=999,360,Calc!$C$36),Calc!$C$11=1),CHOOSE(Calc!$C$3,INDEX('Snowball Engine'!$AH37:$AV37,Calc!$I$11),INDEX('Avalanche Engine'!$AH37:$AV37,Calc!$J$11),INDEX('My Order Engine'!$AH37:$AV37,Calc!$K$11)),"")</f>
        <v/>
      </c>
      <c r="I35" s="25" t="str">
        <f>IF(AND($A35&lt;=IF(Calc!$C$36=999,360,Calc!$C$36),Calc!$C$12=1),CHOOSE(Calc!$C$3,INDEX('Snowball Engine'!$AH37:$AV37,Calc!$I$12),INDEX('Avalanche Engine'!$AH37:$AV37,Calc!$J$12),INDEX('My Order Engine'!$AH37:$AV37,Calc!$K$12)),"")</f>
        <v/>
      </c>
      <c r="J35" s="25" t="str">
        <f>IF(AND($A35&lt;=IF(Calc!$C$36=999,360,Calc!$C$36),Calc!$C$13=1),CHOOSE(Calc!$C$3,INDEX('Snowball Engine'!$AH37:$AV37,Calc!$I$13),INDEX('Avalanche Engine'!$AH37:$AV37,Calc!$J$13),INDEX('My Order Engine'!$AH37:$AV37,Calc!$K$13)),"")</f>
        <v/>
      </c>
      <c r="K35" s="25" t="str">
        <f>IF(AND($A35&lt;=IF(Calc!$C$36=999,360,Calc!$C$36),Calc!$C$14=1),CHOOSE(Calc!$C$3,INDEX('Snowball Engine'!$AH37:$AV37,Calc!$I$14),INDEX('Avalanche Engine'!$AH37:$AV37,Calc!$J$14),INDEX('My Order Engine'!$AH37:$AV37,Calc!$K$14)),"")</f>
        <v/>
      </c>
      <c r="L35" s="25" t="str">
        <f>IF(AND($A35&lt;=IF(Calc!$C$36=999,360,Calc!$C$36),Calc!$C$15=1),CHOOSE(Calc!$C$3,INDEX('Snowball Engine'!$AH37:$AV37,Calc!$I$15),INDEX('Avalanche Engine'!$AH37:$AV37,Calc!$J$15),INDEX('My Order Engine'!$AH37:$AV37,Calc!$K$15)),"")</f>
        <v/>
      </c>
      <c r="M35" s="25" t="str">
        <f>IF(AND($A35&lt;=IF(Calc!$C$36=999,360,Calc!$C$36),Calc!$C$16=1),CHOOSE(Calc!$C$3,INDEX('Snowball Engine'!$AH37:$AV37,Calc!$I$16),INDEX('Avalanche Engine'!$AH37:$AV37,Calc!$J$16),INDEX('My Order Engine'!$AH37:$AV37,Calc!$K$16)),"")</f>
        <v/>
      </c>
      <c r="N35" s="25" t="str">
        <f>IF(AND($A35&lt;=IF(Calc!$C$36=999,360,Calc!$C$36),Calc!$C$17=1),CHOOSE(Calc!$C$3,INDEX('Snowball Engine'!$AH37:$AV37,Calc!$I$17),INDEX('Avalanche Engine'!$AH37:$AV37,Calc!$J$17),INDEX('My Order Engine'!$AH37:$AV37,Calc!$K$17)),"")</f>
        <v/>
      </c>
      <c r="O35" s="25" t="str">
        <f>IF(AND($A35&lt;=IF(Calc!$C$36=999,360,Calc!$C$36),Calc!$C$18=1),CHOOSE(Calc!$C$3,INDEX('Snowball Engine'!$AH37:$AV37,Calc!$I$18),INDEX('Avalanche Engine'!$AH37:$AV37,Calc!$J$18),INDEX('My Order Engine'!$AH37:$AV37,Calc!$K$18)),"")</f>
        <v/>
      </c>
      <c r="P35" s="25" t="str">
        <f>IF(AND($A35&lt;=IF(Calc!$C$36=999,360,Calc!$C$36),Calc!$C$19=1),CHOOSE(Calc!$C$3,INDEX('Snowball Engine'!$AH37:$AV37,Calc!$I$19),INDEX('Avalanche Engine'!$AH37:$AV37,Calc!$J$19),INDEX('My Order Engine'!$AH37:$AV37,Calc!$K$19)),"")</f>
        <v/>
      </c>
      <c r="Q35" s="25" t="str">
        <f>IF(AND($A35&lt;=IF(Calc!$C$36=999,360,Calc!$C$36),Calc!$C$20=1),CHOOSE(Calc!$C$3,INDEX('Snowball Engine'!$AH37:$AV37,Calc!$I$20),INDEX('Avalanche Engine'!$AH37:$AV37,Calc!$J$20),INDEX('My Order Engine'!$AH37:$AV37,Calc!$K$20)),"")</f>
        <v/>
      </c>
      <c r="R35" s="25" t="str">
        <f>IF(AND($A35&lt;=IF(Calc!$C$36=999,360,Calc!$C$36),Calc!$C$21=1),CHOOSE(Calc!$C$3,INDEX('Snowball Engine'!$AH37:$AV37,Calc!$I$21),INDEX('Avalanche Engine'!$AH37:$AV37,Calc!$J$21),INDEX('My Order Engine'!$AH37:$AV37,Calc!$K$21)),"")</f>
        <v/>
      </c>
      <c r="S35" s="25" t="str">
        <f>IF(AND($A35&lt;=IF(Calc!$C$36=999,360,Calc!$C$36),Calc!$C$22=1),CHOOSE(Calc!$C$3,INDEX('Snowball Engine'!$AH37:$AV37,Calc!$I$22),INDEX('Avalanche Engine'!$AH37:$AV37,Calc!$J$22),INDEX('My Order Engine'!$AH37:$AV37,Calc!$K$22)),"")</f>
        <v/>
      </c>
      <c r="T35" s="25" t="str">
        <f>IF(AND($A35&lt;=IF(Calc!$C$36=999,360,Calc!$C$36),Calc!$C$23=1),CHOOSE(Calc!$C$3,INDEX('Snowball Engine'!$AH37:$AV37,Calc!$I$23),INDEX('Avalanche Engine'!$AH37:$AV37,Calc!$J$23),INDEX('My Order Engine'!$AH37:$AV37,Calc!$K$23)),"")</f>
        <v/>
      </c>
      <c r="U35" s="25" t="str">
        <f>IF(AND($A35&lt;=IF(Calc!$C$36=999,360,Calc!$C$36),Calc!$C$24=1),CHOOSE(Calc!$C$3,INDEX('Snowball Engine'!$AH37:$AV37,Calc!$I$24),INDEX('Avalanche Engine'!$AH37:$AV37,Calc!$J$24),INDEX('My Order Engine'!$AH37:$AV37,Calc!$K$24)),"")</f>
        <v/>
      </c>
    </row>
    <row r="36" spans="1:21" x14ac:dyDescent="0.35">
      <c r="A36" s="23">
        <v>32</v>
      </c>
      <c r="B36" s="24" t="str">
        <f>IF($A36&lt;=IF(Calc!$C$36=999,360,Calc!$C$36),EDATE(Calc!$C$5,A36-1),"")</f>
        <v/>
      </c>
      <c r="C36" s="25" t="str">
        <f>IF($A36&lt;=IF(Calc!$C$36=999,360,Calc!$C$36),CHOOSE(Calc!$C$3,'Snowball Engine'!AY38,'Avalanche Engine'!AY38,'My Order Engine'!AY38),"")</f>
        <v/>
      </c>
      <c r="D36" s="25" t="str">
        <f>IF($A36&lt;=IF(Calc!$C$36=999,360,Calc!$C$36),CHOOSE(Calc!$C$3,'Snowball Engine'!AX38,'Avalanche Engine'!AX38,'My Order Engine'!AX38),"")</f>
        <v/>
      </c>
      <c r="E36" s="25" t="str">
        <f>IF($A36&lt;=IF(Calc!$C$36=999,360,Calc!$C$36),C36-D36,"")</f>
        <v/>
      </c>
      <c r="F36" s="25" t="str">
        <f>IF($A36&lt;=IF(Calc!$C$36=999,360,Calc!$C$36),CHOOSE(Calc!$C$3,'Snowball Engine'!AW38,'Avalanche Engine'!AW38,'My Order Engine'!AW38),"")</f>
        <v/>
      </c>
      <c r="G36" s="25" t="str">
        <f>IF(AND($A36&lt;=IF(Calc!$C$36=999,360,Calc!$C$36),Calc!$C$10=1),CHOOSE(Calc!$C$3,INDEX('Snowball Engine'!$AH38:$AV38,Calc!$I$10),INDEX('Avalanche Engine'!$AH38:$AV38,Calc!$J$10),INDEX('My Order Engine'!$AH38:$AV38,Calc!$K$10)),"")</f>
        <v/>
      </c>
      <c r="H36" s="25" t="str">
        <f>IF(AND($A36&lt;=IF(Calc!$C$36=999,360,Calc!$C$36),Calc!$C$11=1),CHOOSE(Calc!$C$3,INDEX('Snowball Engine'!$AH38:$AV38,Calc!$I$11),INDEX('Avalanche Engine'!$AH38:$AV38,Calc!$J$11),INDEX('My Order Engine'!$AH38:$AV38,Calc!$K$11)),"")</f>
        <v/>
      </c>
      <c r="I36" s="25" t="str">
        <f>IF(AND($A36&lt;=IF(Calc!$C$36=999,360,Calc!$C$36),Calc!$C$12=1),CHOOSE(Calc!$C$3,INDEX('Snowball Engine'!$AH38:$AV38,Calc!$I$12),INDEX('Avalanche Engine'!$AH38:$AV38,Calc!$J$12),INDEX('My Order Engine'!$AH38:$AV38,Calc!$K$12)),"")</f>
        <v/>
      </c>
      <c r="J36" s="25" t="str">
        <f>IF(AND($A36&lt;=IF(Calc!$C$36=999,360,Calc!$C$36),Calc!$C$13=1),CHOOSE(Calc!$C$3,INDEX('Snowball Engine'!$AH38:$AV38,Calc!$I$13),INDEX('Avalanche Engine'!$AH38:$AV38,Calc!$J$13),INDEX('My Order Engine'!$AH38:$AV38,Calc!$K$13)),"")</f>
        <v/>
      </c>
      <c r="K36" s="25" t="str">
        <f>IF(AND($A36&lt;=IF(Calc!$C$36=999,360,Calc!$C$36),Calc!$C$14=1),CHOOSE(Calc!$C$3,INDEX('Snowball Engine'!$AH38:$AV38,Calc!$I$14),INDEX('Avalanche Engine'!$AH38:$AV38,Calc!$J$14),INDEX('My Order Engine'!$AH38:$AV38,Calc!$K$14)),"")</f>
        <v/>
      </c>
      <c r="L36" s="25" t="str">
        <f>IF(AND($A36&lt;=IF(Calc!$C$36=999,360,Calc!$C$36),Calc!$C$15=1),CHOOSE(Calc!$C$3,INDEX('Snowball Engine'!$AH38:$AV38,Calc!$I$15),INDEX('Avalanche Engine'!$AH38:$AV38,Calc!$J$15),INDEX('My Order Engine'!$AH38:$AV38,Calc!$K$15)),"")</f>
        <v/>
      </c>
      <c r="M36" s="25" t="str">
        <f>IF(AND($A36&lt;=IF(Calc!$C$36=999,360,Calc!$C$36),Calc!$C$16=1),CHOOSE(Calc!$C$3,INDEX('Snowball Engine'!$AH38:$AV38,Calc!$I$16),INDEX('Avalanche Engine'!$AH38:$AV38,Calc!$J$16),INDEX('My Order Engine'!$AH38:$AV38,Calc!$K$16)),"")</f>
        <v/>
      </c>
      <c r="N36" s="25" t="str">
        <f>IF(AND($A36&lt;=IF(Calc!$C$36=999,360,Calc!$C$36),Calc!$C$17=1),CHOOSE(Calc!$C$3,INDEX('Snowball Engine'!$AH38:$AV38,Calc!$I$17),INDEX('Avalanche Engine'!$AH38:$AV38,Calc!$J$17),INDEX('My Order Engine'!$AH38:$AV38,Calc!$K$17)),"")</f>
        <v/>
      </c>
      <c r="O36" s="25" t="str">
        <f>IF(AND($A36&lt;=IF(Calc!$C$36=999,360,Calc!$C$36),Calc!$C$18=1),CHOOSE(Calc!$C$3,INDEX('Snowball Engine'!$AH38:$AV38,Calc!$I$18),INDEX('Avalanche Engine'!$AH38:$AV38,Calc!$J$18),INDEX('My Order Engine'!$AH38:$AV38,Calc!$K$18)),"")</f>
        <v/>
      </c>
      <c r="P36" s="25" t="str">
        <f>IF(AND($A36&lt;=IF(Calc!$C$36=999,360,Calc!$C$36),Calc!$C$19=1),CHOOSE(Calc!$C$3,INDEX('Snowball Engine'!$AH38:$AV38,Calc!$I$19),INDEX('Avalanche Engine'!$AH38:$AV38,Calc!$J$19),INDEX('My Order Engine'!$AH38:$AV38,Calc!$K$19)),"")</f>
        <v/>
      </c>
      <c r="Q36" s="25" t="str">
        <f>IF(AND($A36&lt;=IF(Calc!$C$36=999,360,Calc!$C$36),Calc!$C$20=1),CHOOSE(Calc!$C$3,INDEX('Snowball Engine'!$AH38:$AV38,Calc!$I$20),INDEX('Avalanche Engine'!$AH38:$AV38,Calc!$J$20),INDEX('My Order Engine'!$AH38:$AV38,Calc!$K$20)),"")</f>
        <v/>
      </c>
      <c r="R36" s="25" t="str">
        <f>IF(AND($A36&lt;=IF(Calc!$C$36=999,360,Calc!$C$36),Calc!$C$21=1),CHOOSE(Calc!$C$3,INDEX('Snowball Engine'!$AH38:$AV38,Calc!$I$21),INDEX('Avalanche Engine'!$AH38:$AV38,Calc!$J$21),INDEX('My Order Engine'!$AH38:$AV38,Calc!$K$21)),"")</f>
        <v/>
      </c>
      <c r="S36" s="25" t="str">
        <f>IF(AND($A36&lt;=IF(Calc!$C$36=999,360,Calc!$C$36),Calc!$C$22=1),CHOOSE(Calc!$C$3,INDEX('Snowball Engine'!$AH38:$AV38,Calc!$I$22),INDEX('Avalanche Engine'!$AH38:$AV38,Calc!$J$22),INDEX('My Order Engine'!$AH38:$AV38,Calc!$K$22)),"")</f>
        <v/>
      </c>
      <c r="T36" s="25" t="str">
        <f>IF(AND($A36&lt;=IF(Calc!$C$36=999,360,Calc!$C$36),Calc!$C$23=1),CHOOSE(Calc!$C$3,INDEX('Snowball Engine'!$AH38:$AV38,Calc!$I$23),INDEX('Avalanche Engine'!$AH38:$AV38,Calc!$J$23),INDEX('My Order Engine'!$AH38:$AV38,Calc!$K$23)),"")</f>
        <v/>
      </c>
      <c r="U36" s="25" t="str">
        <f>IF(AND($A36&lt;=IF(Calc!$C$36=999,360,Calc!$C$36),Calc!$C$24=1),CHOOSE(Calc!$C$3,INDEX('Snowball Engine'!$AH38:$AV38,Calc!$I$24),INDEX('Avalanche Engine'!$AH38:$AV38,Calc!$J$24),INDEX('My Order Engine'!$AH38:$AV38,Calc!$K$24)),"")</f>
        <v/>
      </c>
    </row>
    <row r="37" spans="1:21" x14ac:dyDescent="0.35">
      <c r="A37" s="23">
        <v>33</v>
      </c>
      <c r="B37" s="24" t="str">
        <f>IF($A37&lt;=IF(Calc!$C$36=999,360,Calc!$C$36),EDATE(Calc!$C$5,A37-1),"")</f>
        <v/>
      </c>
      <c r="C37" s="25" t="str">
        <f>IF($A37&lt;=IF(Calc!$C$36=999,360,Calc!$C$36),CHOOSE(Calc!$C$3,'Snowball Engine'!AY39,'Avalanche Engine'!AY39,'My Order Engine'!AY39),"")</f>
        <v/>
      </c>
      <c r="D37" s="25" t="str">
        <f>IF($A37&lt;=IF(Calc!$C$36=999,360,Calc!$C$36),CHOOSE(Calc!$C$3,'Snowball Engine'!AX39,'Avalanche Engine'!AX39,'My Order Engine'!AX39),"")</f>
        <v/>
      </c>
      <c r="E37" s="25" t="str">
        <f>IF($A37&lt;=IF(Calc!$C$36=999,360,Calc!$C$36),C37-D37,"")</f>
        <v/>
      </c>
      <c r="F37" s="25" t="str">
        <f>IF($A37&lt;=IF(Calc!$C$36=999,360,Calc!$C$36),CHOOSE(Calc!$C$3,'Snowball Engine'!AW39,'Avalanche Engine'!AW39,'My Order Engine'!AW39),"")</f>
        <v/>
      </c>
      <c r="G37" s="25" t="str">
        <f>IF(AND($A37&lt;=IF(Calc!$C$36=999,360,Calc!$C$36),Calc!$C$10=1),CHOOSE(Calc!$C$3,INDEX('Snowball Engine'!$AH39:$AV39,Calc!$I$10),INDEX('Avalanche Engine'!$AH39:$AV39,Calc!$J$10),INDEX('My Order Engine'!$AH39:$AV39,Calc!$K$10)),"")</f>
        <v/>
      </c>
      <c r="H37" s="25" t="str">
        <f>IF(AND($A37&lt;=IF(Calc!$C$36=999,360,Calc!$C$36),Calc!$C$11=1),CHOOSE(Calc!$C$3,INDEX('Snowball Engine'!$AH39:$AV39,Calc!$I$11),INDEX('Avalanche Engine'!$AH39:$AV39,Calc!$J$11),INDEX('My Order Engine'!$AH39:$AV39,Calc!$K$11)),"")</f>
        <v/>
      </c>
      <c r="I37" s="25" t="str">
        <f>IF(AND($A37&lt;=IF(Calc!$C$36=999,360,Calc!$C$36),Calc!$C$12=1),CHOOSE(Calc!$C$3,INDEX('Snowball Engine'!$AH39:$AV39,Calc!$I$12),INDEX('Avalanche Engine'!$AH39:$AV39,Calc!$J$12),INDEX('My Order Engine'!$AH39:$AV39,Calc!$K$12)),"")</f>
        <v/>
      </c>
      <c r="J37" s="25" t="str">
        <f>IF(AND($A37&lt;=IF(Calc!$C$36=999,360,Calc!$C$36),Calc!$C$13=1),CHOOSE(Calc!$C$3,INDEX('Snowball Engine'!$AH39:$AV39,Calc!$I$13),INDEX('Avalanche Engine'!$AH39:$AV39,Calc!$J$13),INDEX('My Order Engine'!$AH39:$AV39,Calc!$K$13)),"")</f>
        <v/>
      </c>
      <c r="K37" s="25" t="str">
        <f>IF(AND($A37&lt;=IF(Calc!$C$36=999,360,Calc!$C$36),Calc!$C$14=1),CHOOSE(Calc!$C$3,INDEX('Snowball Engine'!$AH39:$AV39,Calc!$I$14),INDEX('Avalanche Engine'!$AH39:$AV39,Calc!$J$14),INDEX('My Order Engine'!$AH39:$AV39,Calc!$K$14)),"")</f>
        <v/>
      </c>
      <c r="L37" s="25" t="str">
        <f>IF(AND($A37&lt;=IF(Calc!$C$36=999,360,Calc!$C$36),Calc!$C$15=1),CHOOSE(Calc!$C$3,INDEX('Snowball Engine'!$AH39:$AV39,Calc!$I$15),INDEX('Avalanche Engine'!$AH39:$AV39,Calc!$J$15),INDEX('My Order Engine'!$AH39:$AV39,Calc!$K$15)),"")</f>
        <v/>
      </c>
      <c r="M37" s="25" t="str">
        <f>IF(AND($A37&lt;=IF(Calc!$C$36=999,360,Calc!$C$36),Calc!$C$16=1),CHOOSE(Calc!$C$3,INDEX('Snowball Engine'!$AH39:$AV39,Calc!$I$16),INDEX('Avalanche Engine'!$AH39:$AV39,Calc!$J$16),INDEX('My Order Engine'!$AH39:$AV39,Calc!$K$16)),"")</f>
        <v/>
      </c>
      <c r="N37" s="25" t="str">
        <f>IF(AND($A37&lt;=IF(Calc!$C$36=999,360,Calc!$C$36),Calc!$C$17=1),CHOOSE(Calc!$C$3,INDEX('Snowball Engine'!$AH39:$AV39,Calc!$I$17),INDEX('Avalanche Engine'!$AH39:$AV39,Calc!$J$17),INDEX('My Order Engine'!$AH39:$AV39,Calc!$K$17)),"")</f>
        <v/>
      </c>
      <c r="O37" s="25" t="str">
        <f>IF(AND($A37&lt;=IF(Calc!$C$36=999,360,Calc!$C$36),Calc!$C$18=1),CHOOSE(Calc!$C$3,INDEX('Snowball Engine'!$AH39:$AV39,Calc!$I$18),INDEX('Avalanche Engine'!$AH39:$AV39,Calc!$J$18),INDEX('My Order Engine'!$AH39:$AV39,Calc!$K$18)),"")</f>
        <v/>
      </c>
      <c r="P37" s="25" t="str">
        <f>IF(AND($A37&lt;=IF(Calc!$C$36=999,360,Calc!$C$36),Calc!$C$19=1),CHOOSE(Calc!$C$3,INDEX('Snowball Engine'!$AH39:$AV39,Calc!$I$19),INDEX('Avalanche Engine'!$AH39:$AV39,Calc!$J$19),INDEX('My Order Engine'!$AH39:$AV39,Calc!$K$19)),"")</f>
        <v/>
      </c>
      <c r="Q37" s="25" t="str">
        <f>IF(AND($A37&lt;=IF(Calc!$C$36=999,360,Calc!$C$36),Calc!$C$20=1),CHOOSE(Calc!$C$3,INDEX('Snowball Engine'!$AH39:$AV39,Calc!$I$20),INDEX('Avalanche Engine'!$AH39:$AV39,Calc!$J$20),INDEX('My Order Engine'!$AH39:$AV39,Calc!$K$20)),"")</f>
        <v/>
      </c>
      <c r="R37" s="25" t="str">
        <f>IF(AND($A37&lt;=IF(Calc!$C$36=999,360,Calc!$C$36),Calc!$C$21=1),CHOOSE(Calc!$C$3,INDEX('Snowball Engine'!$AH39:$AV39,Calc!$I$21),INDEX('Avalanche Engine'!$AH39:$AV39,Calc!$J$21),INDEX('My Order Engine'!$AH39:$AV39,Calc!$K$21)),"")</f>
        <v/>
      </c>
      <c r="S37" s="25" t="str">
        <f>IF(AND($A37&lt;=IF(Calc!$C$36=999,360,Calc!$C$36),Calc!$C$22=1),CHOOSE(Calc!$C$3,INDEX('Snowball Engine'!$AH39:$AV39,Calc!$I$22),INDEX('Avalanche Engine'!$AH39:$AV39,Calc!$J$22),INDEX('My Order Engine'!$AH39:$AV39,Calc!$K$22)),"")</f>
        <v/>
      </c>
      <c r="T37" s="25" t="str">
        <f>IF(AND($A37&lt;=IF(Calc!$C$36=999,360,Calc!$C$36),Calc!$C$23=1),CHOOSE(Calc!$C$3,INDEX('Snowball Engine'!$AH39:$AV39,Calc!$I$23),INDEX('Avalanche Engine'!$AH39:$AV39,Calc!$J$23),INDEX('My Order Engine'!$AH39:$AV39,Calc!$K$23)),"")</f>
        <v/>
      </c>
      <c r="U37" s="25" t="str">
        <f>IF(AND($A37&lt;=IF(Calc!$C$36=999,360,Calc!$C$36),Calc!$C$24=1),CHOOSE(Calc!$C$3,INDEX('Snowball Engine'!$AH39:$AV39,Calc!$I$24),INDEX('Avalanche Engine'!$AH39:$AV39,Calc!$J$24),INDEX('My Order Engine'!$AH39:$AV39,Calc!$K$24)),"")</f>
        <v/>
      </c>
    </row>
    <row r="38" spans="1:21" x14ac:dyDescent="0.35">
      <c r="A38" s="23">
        <v>34</v>
      </c>
      <c r="B38" s="24" t="str">
        <f>IF($A38&lt;=IF(Calc!$C$36=999,360,Calc!$C$36),EDATE(Calc!$C$5,A38-1),"")</f>
        <v/>
      </c>
      <c r="C38" s="25" t="str">
        <f>IF($A38&lt;=IF(Calc!$C$36=999,360,Calc!$C$36),CHOOSE(Calc!$C$3,'Snowball Engine'!AY40,'Avalanche Engine'!AY40,'My Order Engine'!AY40),"")</f>
        <v/>
      </c>
      <c r="D38" s="25" t="str">
        <f>IF($A38&lt;=IF(Calc!$C$36=999,360,Calc!$C$36),CHOOSE(Calc!$C$3,'Snowball Engine'!AX40,'Avalanche Engine'!AX40,'My Order Engine'!AX40),"")</f>
        <v/>
      </c>
      <c r="E38" s="25" t="str">
        <f>IF($A38&lt;=IF(Calc!$C$36=999,360,Calc!$C$36),C38-D38,"")</f>
        <v/>
      </c>
      <c r="F38" s="25" t="str">
        <f>IF($A38&lt;=IF(Calc!$C$36=999,360,Calc!$C$36),CHOOSE(Calc!$C$3,'Snowball Engine'!AW40,'Avalanche Engine'!AW40,'My Order Engine'!AW40),"")</f>
        <v/>
      </c>
      <c r="G38" s="25" t="str">
        <f>IF(AND($A38&lt;=IF(Calc!$C$36=999,360,Calc!$C$36),Calc!$C$10=1),CHOOSE(Calc!$C$3,INDEX('Snowball Engine'!$AH40:$AV40,Calc!$I$10),INDEX('Avalanche Engine'!$AH40:$AV40,Calc!$J$10),INDEX('My Order Engine'!$AH40:$AV40,Calc!$K$10)),"")</f>
        <v/>
      </c>
      <c r="H38" s="25" t="str">
        <f>IF(AND($A38&lt;=IF(Calc!$C$36=999,360,Calc!$C$36),Calc!$C$11=1),CHOOSE(Calc!$C$3,INDEX('Snowball Engine'!$AH40:$AV40,Calc!$I$11),INDEX('Avalanche Engine'!$AH40:$AV40,Calc!$J$11),INDEX('My Order Engine'!$AH40:$AV40,Calc!$K$11)),"")</f>
        <v/>
      </c>
      <c r="I38" s="25" t="str">
        <f>IF(AND($A38&lt;=IF(Calc!$C$36=999,360,Calc!$C$36),Calc!$C$12=1),CHOOSE(Calc!$C$3,INDEX('Snowball Engine'!$AH40:$AV40,Calc!$I$12),INDEX('Avalanche Engine'!$AH40:$AV40,Calc!$J$12),INDEX('My Order Engine'!$AH40:$AV40,Calc!$K$12)),"")</f>
        <v/>
      </c>
      <c r="J38" s="25" t="str">
        <f>IF(AND($A38&lt;=IF(Calc!$C$36=999,360,Calc!$C$36),Calc!$C$13=1),CHOOSE(Calc!$C$3,INDEX('Snowball Engine'!$AH40:$AV40,Calc!$I$13),INDEX('Avalanche Engine'!$AH40:$AV40,Calc!$J$13),INDEX('My Order Engine'!$AH40:$AV40,Calc!$K$13)),"")</f>
        <v/>
      </c>
      <c r="K38" s="25" t="str">
        <f>IF(AND($A38&lt;=IF(Calc!$C$36=999,360,Calc!$C$36),Calc!$C$14=1),CHOOSE(Calc!$C$3,INDEX('Snowball Engine'!$AH40:$AV40,Calc!$I$14),INDEX('Avalanche Engine'!$AH40:$AV40,Calc!$J$14),INDEX('My Order Engine'!$AH40:$AV40,Calc!$K$14)),"")</f>
        <v/>
      </c>
      <c r="L38" s="25" t="str">
        <f>IF(AND($A38&lt;=IF(Calc!$C$36=999,360,Calc!$C$36),Calc!$C$15=1),CHOOSE(Calc!$C$3,INDEX('Snowball Engine'!$AH40:$AV40,Calc!$I$15),INDEX('Avalanche Engine'!$AH40:$AV40,Calc!$J$15),INDEX('My Order Engine'!$AH40:$AV40,Calc!$K$15)),"")</f>
        <v/>
      </c>
      <c r="M38" s="25" t="str">
        <f>IF(AND($A38&lt;=IF(Calc!$C$36=999,360,Calc!$C$36),Calc!$C$16=1),CHOOSE(Calc!$C$3,INDEX('Snowball Engine'!$AH40:$AV40,Calc!$I$16),INDEX('Avalanche Engine'!$AH40:$AV40,Calc!$J$16),INDEX('My Order Engine'!$AH40:$AV40,Calc!$K$16)),"")</f>
        <v/>
      </c>
      <c r="N38" s="25" t="str">
        <f>IF(AND($A38&lt;=IF(Calc!$C$36=999,360,Calc!$C$36),Calc!$C$17=1),CHOOSE(Calc!$C$3,INDEX('Snowball Engine'!$AH40:$AV40,Calc!$I$17),INDEX('Avalanche Engine'!$AH40:$AV40,Calc!$J$17),INDEX('My Order Engine'!$AH40:$AV40,Calc!$K$17)),"")</f>
        <v/>
      </c>
      <c r="O38" s="25" t="str">
        <f>IF(AND($A38&lt;=IF(Calc!$C$36=999,360,Calc!$C$36),Calc!$C$18=1),CHOOSE(Calc!$C$3,INDEX('Snowball Engine'!$AH40:$AV40,Calc!$I$18),INDEX('Avalanche Engine'!$AH40:$AV40,Calc!$J$18),INDEX('My Order Engine'!$AH40:$AV40,Calc!$K$18)),"")</f>
        <v/>
      </c>
      <c r="P38" s="25" t="str">
        <f>IF(AND($A38&lt;=IF(Calc!$C$36=999,360,Calc!$C$36),Calc!$C$19=1),CHOOSE(Calc!$C$3,INDEX('Snowball Engine'!$AH40:$AV40,Calc!$I$19),INDEX('Avalanche Engine'!$AH40:$AV40,Calc!$J$19),INDEX('My Order Engine'!$AH40:$AV40,Calc!$K$19)),"")</f>
        <v/>
      </c>
      <c r="Q38" s="25" t="str">
        <f>IF(AND($A38&lt;=IF(Calc!$C$36=999,360,Calc!$C$36),Calc!$C$20=1),CHOOSE(Calc!$C$3,INDEX('Snowball Engine'!$AH40:$AV40,Calc!$I$20),INDEX('Avalanche Engine'!$AH40:$AV40,Calc!$J$20),INDEX('My Order Engine'!$AH40:$AV40,Calc!$K$20)),"")</f>
        <v/>
      </c>
      <c r="R38" s="25" t="str">
        <f>IF(AND($A38&lt;=IF(Calc!$C$36=999,360,Calc!$C$36),Calc!$C$21=1),CHOOSE(Calc!$C$3,INDEX('Snowball Engine'!$AH40:$AV40,Calc!$I$21),INDEX('Avalanche Engine'!$AH40:$AV40,Calc!$J$21),INDEX('My Order Engine'!$AH40:$AV40,Calc!$K$21)),"")</f>
        <v/>
      </c>
      <c r="S38" s="25" t="str">
        <f>IF(AND($A38&lt;=IF(Calc!$C$36=999,360,Calc!$C$36),Calc!$C$22=1),CHOOSE(Calc!$C$3,INDEX('Snowball Engine'!$AH40:$AV40,Calc!$I$22),INDEX('Avalanche Engine'!$AH40:$AV40,Calc!$J$22),INDEX('My Order Engine'!$AH40:$AV40,Calc!$K$22)),"")</f>
        <v/>
      </c>
      <c r="T38" s="25" t="str">
        <f>IF(AND($A38&lt;=IF(Calc!$C$36=999,360,Calc!$C$36),Calc!$C$23=1),CHOOSE(Calc!$C$3,INDEX('Snowball Engine'!$AH40:$AV40,Calc!$I$23),INDEX('Avalanche Engine'!$AH40:$AV40,Calc!$J$23),INDEX('My Order Engine'!$AH40:$AV40,Calc!$K$23)),"")</f>
        <v/>
      </c>
      <c r="U38" s="25" t="str">
        <f>IF(AND($A38&lt;=IF(Calc!$C$36=999,360,Calc!$C$36),Calc!$C$24=1),CHOOSE(Calc!$C$3,INDEX('Snowball Engine'!$AH40:$AV40,Calc!$I$24),INDEX('Avalanche Engine'!$AH40:$AV40,Calc!$J$24),INDEX('My Order Engine'!$AH40:$AV40,Calc!$K$24)),"")</f>
        <v/>
      </c>
    </row>
    <row r="39" spans="1:21" x14ac:dyDescent="0.35">
      <c r="A39" s="23">
        <v>35</v>
      </c>
      <c r="B39" s="24" t="str">
        <f>IF($A39&lt;=IF(Calc!$C$36=999,360,Calc!$C$36),EDATE(Calc!$C$5,A39-1),"")</f>
        <v/>
      </c>
      <c r="C39" s="25" t="str">
        <f>IF($A39&lt;=IF(Calc!$C$36=999,360,Calc!$C$36),CHOOSE(Calc!$C$3,'Snowball Engine'!AY41,'Avalanche Engine'!AY41,'My Order Engine'!AY41),"")</f>
        <v/>
      </c>
      <c r="D39" s="25" t="str">
        <f>IF($A39&lt;=IF(Calc!$C$36=999,360,Calc!$C$36),CHOOSE(Calc!$C$3,'Snowball Engine'!AX41,'Avalanche Engine'!AX41,'My Order Engine'!AX41),"")</f>
        <v/>
      </c>
      <c r="E39" s="25" t="str">
        <f>IF($A39&lt;=IF(Calc!$C$36=999,360,Calc!$C$36),C39-D39,"")</f>
        <v/>
      </c>
      <c r="F39" s="25" t="str">
        <f>IF($A39&lt;=IF(Calc!$C$36=999,360,Calc!$C$36),CHOOSE(Calc!$C$3,'Snowball Engine'!AW41,'Avalanche Engine'!AW41,'My Order Engine'!AW41),"")</f>
        <v/>
      </c>
      <c r="G39" s="25" t="str">
        <f>IF(AND($A39&lt;=IF(Calc!$C$36=999,360,Calc!$C$36),Calc!$C$10=1),CHOOSE(Calc!$C$3,INDEX('Snowball Engine'!$AH41:$AV41,Calc!$I$10),INDEX('Avalanche Engine'!$AH41:$AV41,Calc!$J$10),INDEX('My Order Engine'!$AH41:$AV41,Calc!$K$10)),"")</f>
        <v/>
      </c>
      <c r="H39" s="25" t="str">
        <f>IF(AND($A39&lt;=IF(Calc!$C$36=999,360,Calc!$C$36),Calc!$C$11=1),CHOOSE(Calc!$C$3,INDEX('Snowball Engine'!$AH41:$AV41,Calc!$I$11),INDEX('Avalanche Engine'!$AH41:$AV41,Calc!$J$11),INDEX('My Order Engine'!$AH41:$AV41,Calc!$K$11)),"")</f>
        <v/>
      </c>
      <c r="I39" s="25" t="str">
        <f>IF(AND($A39&lt;=IF(Calc!$C$36=999,360,Calc!$C$36),Calc!$C$12=1),CHOOSE(Calc!$C$3,INDEX('Snowball Engine'!$AH41:$AV41,Calc!$I$12),INDEX('Avalanche Engine'!$AH41:$AV41,Calc!$J$12),INDEX('My Order Engine'!$AH41:$AV41,Calc!$K$12)),"")</f>
        <v/>
      </c>
      <c r="J39" s="25" t="str">
        <f>IF(AND($A39&lt;=IF(Calc!$C$36=999,360,Calc!$C$36),Calc!$C$13=1),CHOOSE(Calc!$C$3,INDEX('Snowball Engine'!$AH41:$AV41,Calc!$I$13),INDEX('Avalanche Engine'!$AH41:$AV41,Calc!$J$13),INDEX('My Order Engine'!$AH41:$AV41,Calc!$K$13)),"")</f>
        <v/>
      </c>
      <c r="K39" s="25" t="str">
        <f>IF(AND($A39&lt;=IF(Calc!$C$36=999,360,Calc!$C$36),Calc!$C$14=1),CHOOSE(Calc!$C$3,INDEX('Snowball Engine'!$AH41:$AV41,Calc!$I$14),INDEX('Avalanche Engine'!$AH41:$AV41,Calc!$J$14),INDEX('My Order Engine'!$AH41:$AV41,Calc!$K$14)),"")</f>
        <v/>
      </c>
      <c r="L39" s="25" t="str">
        <f>IF(AND($A39&lt;=IF(Calc!$C$36=999,360,Calc!$C$36),Calc!$C$15=1),CHOOSE(Calc!$C$3,INDEX('Snowball Engine'!$AH41:$AV41,Calc!$I$15),INDEX('Avalanche Engine'!$AH41:$AV41,Calc!$J$15),INDEX('My Order Engine'!$AH41:$AV41,Calc!$K$15)),"")</f>
        <v/>
      </c>
      <c r="M39" s="25" t="str">
        <f>IF(AND($A39&lt;=IF(Calc!$C$36=999,360,Calc!$C$36),Calc!$C$16=1),CHOOSE(Calc!$C$3,INDEX('Snowball Engine'!$AH41:$AV41,Calc!$I$16),INDEX('Avalanche Engine'!$AH41:$AV41,Calc!$J$16),INDEX('My Order Engine'!$AH41:$AV41,Calc!$K$16)),"")</f>
        <v/>
      </c>
      <c r="N39" s="25" t="str">
        <f>IF(AND($A39&lt;=IF(Calc!$C$36=999,360,Calc!$C$36),Calc!$C$17=1),CHOOSE(Calc!$C$3,INDEX('Snowball Engine'!$AH41:$AV41,Calc!$I$17),INDEX('Avalanche Engine'!$AH41:$AV41,Calc!$J$17),INDEX('My Order Engine'!$AH41:$AV41,Calc!$K$17)),"")</f>
        <v/>
      </c>
      <c r="O39" s="25" t="str">
        <f>IF(AND($A39&lt;=IF(Calc!$C$36=999,360,Calc!$C$36),Calc!$C$18=1),CHOOSE(Calc!$C$3,INDEX('Snowball Engine'!$AH41:$AV41,Calc!$I$18),INDEX('Avalanche Engine'!$AH41:$AV41,Calc!$J$18),INDEX('My Order Engine'!$AH41:$AV41,Calc!$K$18)),"")</f>
        <v/>
      </c>
      <c r="P39" s="25" t="str">
        <f>IF(AND($A39&lt;=IF(Calc!$C$36=999,360,Calc!$C$36),Calc!$C$19=1),CHOOSE(Calc!$C$3,INDEX('Snowball Engine'!$AH41:$AV41,Calc!$I$19),INDEX('Avalanche Engine'!$AH41:$AV41,Calc!$J$19),INDEX('My Order Engine'!$AH41:$AV41,Calc!$K$19)),"")</f>
        <v/>
      </c>
      <c r="Q39" s="25" t="str">
        <f>IF(AND($A39&lt;=IF(Calc!$C$36=999,360,Calc!$C$36),Calc!$C$20=1),CHOOSE(Calc!$C$3,INDEX('Snowball Engine'!$AH41:$AV41,Calc!$I$20),INDEX('Avalanche Engine'!$AH41:$AV41,Calc!$J$20),INDEX('My Order Engine'!$AH41:$AV41,Calc!$K$20)),"")</f>
        <v/>
      </c>
      <c r="R39" s="25" t="str">
        <f>IF(AND($A39&lt;=IF(Calc!$C$36=999,360,Calc!$C$36),Calc!$C$21=1),CHOOSE(Calc!$C$3,INDEX('Snowball Engine'!$AH41:$AV41,Calc!$I$21),INDEX('Avalanche Engine'!$AH41:$AV41,Calc!$J$21),INDEX('My Order Engine'!$AH41:$AV41,Calc!$K$21)),"")</f>
        <v/>
      </c>
      <c r="S39" s="25" t="str">
        <f>IF(AND($A39&lt;=IF(Calc!$C$36=999,360,Calc!$C$36),Calc!$C$22=1),CHOOSE(Calc!$C$3,INDEX('Snowball Engine'!$AH41:$AV41,Calc!$I$22),INDEX('Avalanche Engine'!$AH41:$AV41,Calc!$J$22),INDEX('My Order Engine'!$AH41:$AV41,Calc!$K$22)),"")</f>
        <v/>
      </c>
      <c r="T39" s="25" t="str">
        <f>IF(AND($A39&lt;=IF(Calc!$C$36=999,360,Calc!$C$36),Calc!$C$23=1),CHOOSE(Calc!$C$3,INDEX('Snowball Engine'!$AH41:$AV41,Calc!$I$23),INDEX('Avalanche Engine'!$AH41:$AV41,Calc!$J$23),INDEX('My Order Engine'!$AH41:$AV41,Calc!$K$23)),"")</f>
        <v/>
      </c>
      <c r="U39" s="25" t="str">
        <f>IF(AND($A39&lt;=IF(Calc!$C$36=999,360,Calc!$C$36),Calc!$C$24=1),CHOOSE(Calc!$C$3,INDEX('Snowball Engine'!$AH41:$AV41,Calc!$I$24),INDEX('Avalanche Engine'!$AH41:$AV41,Calc!$J$24),INDEX('My Order Engine'!$AH41:$AV41,Calc!$K$24)),"")</f>
        <v/>
      </c>
    </row>
    <row r="40" spans="1:21" x14ac:dyDescent="0.35">
      <c r="A40" s="23">
        <v>36</v>
      </c>
      <c r="B40" s="24" t="str">
        <f>IF($A40&lt;=IF(Calc!$C$36=999,360,Calc!$C$36),EDATE(Calc!$C$5,A40-1),"")</f>
        <v/>
      </c>
      <c r="C40" s="25" t="str">
        <f>IF($A40&lt;=IF(Calc!$C$36=999,360,Calc!$C$36),CHOOSE(Calc!$C$3,'Snowball Engine'!AY42,'Avalanche Engine'!AY42,'My Order Engine'!AY42),"")</f>
        <v/>
      </c>
      <c r="D40" s="25" t="str">
        <f>IF($A40&lt;=IF(Calc!$C$36=999,360,Calc!$C$36),CHOOSE(Calc!$C$3,'Snowball Engine'!AX42,'Avalanche Engine'!AX42,'My Order Engine'!AX42),"")</f>
        <v/>
      </c>
      <c r="E40" s="25" t="str">
        <f>IF($A40&lt;=IF(Calc!$C$36=999,360,Calc!$C$36),C40-D40,"")</f>
        <v/>
      </c>
      <c r="F40" s="25" t="str">
        <f>IF($A40&lt;=IF(Calc!$C$36=999,360,Calc!$C$36),CHOOSE(Calc!$C$3,'Snowball Engine'!AW42,'Avalanche Engine'!AW42,'My Order Engine'!AW42),"")</f>
        <v/>
      </c>
      <c r="G40" s="25" t="str">
        <f>IF(AND($A40&lt;=IF(Calc!$C$36=999,360,Calc!$C$36),Calc!$C$10=1),CHOOSE(Calc!$C$3,INDEX('Snowball Engine'!$AH42:$AV42,Calc!$I$10),INDEX('Avalanche Engine'!$AH42:$AV42,Calc!$J$10),INDEX('My Order Engine'!$AH42:$AV42,Calc!$K$10)),"")</f>
        <v/>
      </c>
      <c r="H40" s="25" t="str">
        <f>IF(AND($A40&lt;=IF(Calc!$C$36=999,360,Calc!$C$36),Calc!$C$11=1),CHOOSE(Calc!$C$3,INDEX('Snowball Engine'!$AH42:$AV42,Calc!$I$11),INDEX('Avalanche Engine'!$AH42:$AV42,Calc!$J$11),INDEX('My Order Engine'!$AH42:$AV42,Calc!$K$11)),"")</f>
        <v/>
      </c>
      <c r="I40" s="25" t="str">
        <f>IF(AND($A40&lt;=IF(Calc!$C$36=999,360,Calc!$C$36),Calc!$C$12=1),CHOOSE(Calc!$C$3,INDEX('Snowball Engine'!$AH42:$AV42,Calc!$I$12),INDEX('Avalanche Engine'!$AH42:$AV42,Calc!$J$12),INDEX('My Order Engine'!$AH42:$AV42,Calc!$K$12)),"")</f>
        <v/>
      </c>
      <c r="J40" s="25" t="str">
        <f>IF(AND($A40&lt;=IF(Calc!$C$36=999,360,Calc!$C$36),Calc!$C$13=1),CHOOSE(Calc!$C$3,INDEX('Snowball Engine'!$AH42:$AV42,Calc!$I$13),INDEX('Avalanche Engine'!$AH42:$AV42,Calc!$J$13),INDEX('My Order Engine'!$AH42:$AV42,Calc!$K$13)),"")</f>
        <v/>
      </c>
      <c r="K40" s="25" t="str">
        <f>IF(AND($A40&lt;=IF(Calc!$C$36=999,360,Calc!$C$36),Calc!$C$14=1),CHOOSE(Calc!$C$3,INDEX('Snowball Engine'!$AH42:$AV42,Calc!$I$14),INDEX('Avalanche Engine'!$AH42:$AV42,Calc!$J$14),INDEX('My Order Engine'!$AH42:$AV42,Calc!$K$14)),"")</f>
        <v/>
      </c>
      <c r="L40" s="25" t="str">
        <f>IF(AND($A40&lt;=IF(Calc!$C$36=999,360,Calc!$C$36),Calc!$C$15=1),CHOOSE(Calc!$C$3,INDEX('Snowball Engine'!$AH42:$AV42,Calc!$I$15),INDEX('Avalanche Engine'!$AH42:$AV42,Calc!$J$15),INDEX('My Order Engine'!$AH42:$AV42,Calc!$K$15)),"")</f>
        <v/>
      </c>
      <c r="M40" s="25" t="str">
        <f>IF(AND($A40&lt;=IF(Calc!$C$36=999,360,Calc!$C$36),Calc!$C$16=1),CHOOSE(Calc!$C$3,INDEX('Snowball Engine'!$AH42:$AV42,Calc!$I$16),INDEX('Avalanche Engine'!$AH42:$AV42,Calc!$J$16),INDEX('My Order Engine'!$AH42:$AV42,Calc!$K$16)),"")</f>
        <v/>
      </c>
      <c r="N40" s="25" t="str">
        <f>IF(AND($A40&lt;=IF(Calc!$C$36=999,360,Calc!$C$36),Calc!$C$17=1),CHOOSE(Calc!$C$3,INDEX('Snowball Engine'!$AH42:$AV42,Calc!$I$17),INDEX('Avalanche Engine'!$AH42:$AV42,Calc!$J$17),INDEX('My Order Engine'!$AH42:$AV42,Calc!$K$17)),"")</f>
        <v/>
      </c>
      <c r="O40" s="25" t="str">
        <f>IF(AND($A40&lt;=IF(Calc!$C$36=999,360,Calc!$C$36),Calc!$C$18=1),CHOOSE(Calc!$C$3,INDEX('Snowball Engine'!$AH42:$AV42,Calc!$I$18),INDEX('Avalanche Engine'!$AH42:$AV42,Calc!$J$18),INDEX('My Order Engine'!$AH42:$AV42,Calc!$K$18)),"")</f>
        <v/>
      </c>
      <c r="P40" s="25" t="str">
        <f>IF(AND($A40&lt;=IF(Calc!$C$36=999,360,Calc!$C$36),Calc!$C$19=1),CHOOSE(Calc!$C$3,INDEX('Snowball Engine'!$AH42:$AV42,Calc!$I$19),INDEX('Avalanche Engine'!$AH42:$AV42,Calc!$J$19),INDEX('My Order Engine'!$AH42:$AV42,Calc!$K$19)),"")</f>
        <v/>
      </c>
      <c r="Q40" s="25" t="str">
        <f>IF(AND($A40&lt;=IF(Calc!$C$36=999,360,Calc!$C$36),Calc!$C$20=1),CHOOSE(Calc!$C$3,INDEX('Snowball Engine'!$AH42:$AV42,Calc!$I$20),INDEX('Avalanche Engine'!$AH42:$AV42,Calc!$J$20),INDEX('My Order Engine'!$AH42:$AV42,Calc!$K$20)),"")</f>
        <v/>
      </c>
      <c r="R40" s="25" t="str">
        <f>IF(AND($A40&lt;=IF(Calc!$C$36=999,360,Calc!$C$36),Calc!$C$21=1),CHOOSE(Calc!$C$3,INDEX('Snowball Engine'!$AH42:$AV42,Calc!$I$21),INDEX('Avalanche Engine'!$AH42:$AV42,Calc!$J$21),INDEX('My Order Engine'!$AH42:$AV42,Calc!$K$21)),"")</f>
        <v/>
      </c>
      <c r="S40" s="25" t="str">
        <f>IF(AND($A40&lt;=IF(Calc!$C$36=999,360,Calc!$C$36),Calc!$C$22=1),CHOOSE(Calc!$C$3,INDEX('Snowball Engine'!$AH42:$AV42,Calc!$I$22),INDEX('Avalanche Engine'!$AH42:$AV42,Calc!$J$22),INDEX('My Order Engine'!$AH42:$AV42,Calc!$K$22)),"")</f>
        <v/>
      </c>
      <c r="T40" s="25" t="str">
        <f>IF(AND($A40&lt;=IF(Calc!$C$36=999,360,Calc!$C$36),Calc!$C$23=1),CHOOSE(Calc!$C$3,INDEX('Snowball Engine'!$AH42:$AV42,Calc!$I$23),INDEX('Avalanche Engine'!$AH42:$AV42,Calc!$J$23),INDEX('My Order Engine'!$AH42:$AV42,Calc!$K$23)),"")</f>
        <v/>
      </c>
      <c r="U40" s="25" t="str">
        <f>IF(AND($A40&lt;=IF(Calc!$C$36=999,360,Calc!$C$36),Calc!$C$24=1),CHOOSE(Calc!$C$3,INDEX('Snowball Engine'!$AH42:$AV42,Calc!$I$24),INDEX('Avalanche Engine'!$AH42:$AV42,Calc!$J$24),INDEX('My Order Engine'!$AH42:$AV42,Calc!$K$24)),"")</f>
        <v/>
      </c>
    </row>
    <row r="41" spans="1:21" x14ac:dyDescent="0.35">
      <c r="A41" s="23">
        <v>37</v>
      </c>
      <c r="B41" s="24" t="str">
        <f>IF($A41&lt;=IF(Calc!$C$36=999,360,Calc!$C$36),EDATE(Calc!$C$5,A41-1),"")</f>
        <v/>
      </c>
      <c r="C41" s="25" t="str">
        <f>IF($A41&lt;=IF(Calc!$C$36=999,360,Calc!$C$36),CHOOSE(Calc!$C$3,'Snowball Engine'!AY43,'Avalanche Engine'!AY43,'My Order Engine'!AY43),"")</f>
        <v/>
      </c>
      <c r="D41" s="25" t="str">
        <f>IF($A41&lt;=IF(Calc!$C$36=999,360,Calc!$C$36),CHOOSE(Calc!$C$3,'Snowball Engine'!AX43,'Avalanche Engine'!AX43,'My Order Engine'!AX43),"")</f>
        <v/>
      </c>
      <c r="E41" s="25" t="str">
        <f>IF($A41&lt;=IF(Calc!$C$36=999,360,Calc!$C$36),C41-D41,"")</f>
        <v/>
      </c>
      <c r="F41" s="25" t="str">
        <f>IF($A41&lt;=IF(Calc!$C$36=999,360,Calc!$C$36),CHOOSE(Calc!$C$3,'Snowball Engine'!AW43,'Avalanche Engine'!AW43,'My Order Engine'!AW43),"")</f>
        <v/>
      </c>
      <c r="G41" s="25" t="str">
        <f>IF(AND($A41&lt;=IF(Calc!$C$36=999,360,Calc!$C$36),Calc!$C$10=1),CHOOSE(Calc!$C$3,INDEX('Snowball Engine'!$AH43:$AV43,Calc!$I$10),INDEX('Avalanche Engine'!$AH43:$AV43,Calc!$J$10),INDEX('My Order Engine'!$AH43:$AV43,Calc!$K$10)),"")</f>
        <v/>
      </c>
      <c r="H41" s="25" t="str">
        <f>IF(AND($A41&lt;=IF(Calc!$C$36=999,360,Calc!$C$36),Calc!$C$11=1),CHOOSE(Calc!$C$3,INDEX('Snowball Engine'!$AH43:$AV43,Calc!$I$11),INDEX('Avalanche Engine'!$AH43:$AV43,Calc!$J$11),INDEX('My Order Engine'!$AH43:$AV43,Calc!$K$11)),"")</f>
        <v/>
      </c>
      <c r="I41" s="25" t="str">
        <f>IF(AND($A41&lt;=IF(Calc!$C$36=999,360,Calc!$C$36),Calc!$C$12=1),CHOOSE(Calc!$C$3,INDEX('Snowball Engine'!$AH43:$AV43,Calc!$I$12),INDEX('Avalanche Engine'!$AH43:$AV43,Calc!$J$12),INDEX('My Order Engine'!$AH43:$AV43,Calc!$K$12)),"")</f>
        <v/>
      </c>
      <c r="J41" s="25" t="str">
        <f>IF(AND($A41&lt;=IF(Calc!$C$36=999,360,Calc!$C$36),Calc!$C$13=1),CHOOSE(Calc!$C$3,INDEX('Snowball Engine'!$AH43:$AV43,Calc!$I$13),INDEX('Avalanche Engine'!$AH43:$AV43,Calc!$J$13),INDEX('My Order Engine'!$AH43:$AV43,Calc!$K$13)),"")</f>
        <v/>
      </c>
      <c r="K41" s="25" t="str">
        <f>IF(AND($A41&lt;=IF(Calc!$C$36=999,360,Calc!$C$36),Calc!$C$14=1),CHOOSE(Calc!$C$3,INDEX('Snowball Engine'!$AH43:$AV43,Calc!$I$14),INDEX('Avalanche Engine'!$AH43:$AV43,Calc!$J$14),INDEX('My Order Engine'!$AH43:$AV43,Calc!$K$14)),"")</f>
        <v/>
      </c>
      <c r="L41" s="25" t="str">
        <f>IF(AND($A41&lt;=IF(Calc!$C$36=999,360,Calc!$C$36),Calc!$C$15=1),CHOOSE(Calc!$C$3,INDEX('Snowball Engine'!$AH43:$AV43,Calc!$I$15),INDEX('Avalanche Engine'!$AH43:$AV43,Calc!$J$15),INDEX('My Order Engine'!$AH43:$AV43,Calc!$K$15)),"")</f>
        <v/>
      </c>
      <c r="M41" s="25" t="str">
        <f>IF(AND($A41&lt;=IF(Calc!$C$36=999,360,Calc!$C$36),Calc!$C$16=1),CHOOSE(Calc!$C$3,INDEX('Snowball Engine'!$AH43:$AV43,Calc!$I$16),INDEX('Avalanche Engine'!$AH43:$AV43,Calc!$J$16),INDEX('My Order Engine'!$AH43:$AV43,Calc!$K$16)),"")</f>
        <v/>
      </c>
      <c r="N41" s="25" t="str">
        <f>IF(AND($A41&lt;=IF(Calc!$C$36=999,360,Calc!$C$36),Calc!$C$17=1),CHOOSE(Calc!$C$3,INDEX('Snowball Engine'!$AH43:$AV43,Calc!$I$17),INDEX('Avalanche Engine'!$AH43:$AV43,Calc!$J$17),INDEX('My Order Engine'!$AH43:$AV43,Calc!$K$17)),"")</f>
        <v/>
      </c>
      <c r="O41" s="25" t="str">
        <f>IF(AND($A41&lt;=IF(Calc!$C$36=999,360,Calc!$C$36),Calc!$C$18=1),CHOOSE(Calc!$C$3,INDEX('Snowball Engine'!$AH43:$AV43,Calc!$I$18),INDEX('Avalanche Engine'!$AH43:$AV43,Calc!$J$18),INDEX('My Order Engine'!$AH43:$AV43,Calc!$K$18)),"")</f>
        <v/>
      </c>
      <c r="P41" s="25" t="str">
        <f>IF(AND($A41&lt;=IF(Calc!$C$36=999,360,Calc!$C$36),Calc!$C$19=1),CHOOSE(Calc!$C$3,INDEX('Snowball Engine'!$AH43:$AV43,Calc!$I$19),INDEX('Avalanche Engine'!$AH43:$AV43,Calc!$J$19),INDEX('My Order Engine'!$AH43:$AV43,Calc!$K$19)),"")</f>
        <v/>
      </c>
      <c r="Q41" s="25" t="str">
        <f>IF(AND($A41&lt;=IF(Calc!$C$36=999,360,Calc!$C$36),Calc!$C$20=1),CHOOSE(Calc!$C$3,INDEX('Snowball Engine'!$AH43:$AV43,Calc!$I$20),INDEX('Avalanche Engine'!$AH43:$AV43,Calc!$J$20),INDEX('My Order Engine'!$AH43:$AV43,Calc!$K$20)),"")</f>
        <v/>
      </c>
      <c r="R41" s="25" t="str">
        <f>IF(AND($A41&lt;=IF(Calc!$C$36=999,360,Calc!$C$36),Calc!$C$21=1),CHOOSE(Calc!$C$3,INDEX('Snowball Engine'!$AH43:$AV43,Calc!$I$21),INDEX('Avalanche Engine'!$AH43:$AV43,Calc!$J$21),INDEX('My Order Engine'!$AH43:$AV43,Calc!$K$21)),"")</f>
        <v/>
      </c>
      <c r="S41" s="25" t="str">
        <f>IF(AND($A41&lt;=IF(Calc!$C$36=999,360,Calc!$C$36),Calc!$C$22=1),CHOOSE(Calc!$C$3,INDEX('Snowball Engine'!$AH43:$AV43,Calc!$I$22),INDEX('Avalanche Engine'!$AH43:$AV43,Calc!$J$22),INDEX('My Order Engine'!$AH43:$AV43,Calc!$K$22)),"")</f>
        <v/>
      </c>
      <c r="T41" s="25" t="str">
        <f>IF(AND($A41&lt;=IF(Calc!$C$36=999,360,Calc!$C$36),Calc!$C$23=1),CHOOSE(Calc!$C$3,INDEX('Snowball Engine'!$AH43:$AV43,Calc!$I$23),INDEX('Avalanche Engine'!$AH43:$AV43,Calc!$J$23),INDEX('My Order Engine'!$AH43:$AV43,Calc!$K$23)),"")</f>
        <v/>
      </c>
      <c r="U41" s="25" t="str">
        <f>IF(AND($A41&lt;=IF(Calc!$C$36=999,360,Calc!$C$36),Calc!$C$24=1),CHOOSE(Calc!$C$3,INDEX('Snowball Engine'!$AH43:$AV43,Calc!$I$24),INDEX('Avalanche Engine'!$AH43:$AV43,Calc!$J$24),INDEX('My Order Engine'!$AH43:$AV43,Calc!$K$24)),"")</f>
        <v/>
      </c>
    </row>
    <row r="42" spans="1:21" x14ac:dyDescent="0.35">
      <c r="A42" s="23">
        <v>38</v>
      </c>
      <c r="B42" s="24" t="str">
        <f>IF($A42&lt;=IF(Calc!$C$36=999,360,Calc!$C$36),EDATE(Calc!$C$5,A42-1),"")</f>
        <v/>
      </c>
      <c r="C42" s="25" t="str">
        <f>IF($A42&lt;=IF(Calc!$C$36=999,360,Calc!$C$36),CHOOSE(Calc!$C$3,'Snowball Engine'!AY44,'Avalanche Engine'!AY44,'My Order Engine'!AY44),"")</f>
        <v/>
      </c>
      <c r="D42" s="25" t="str">
        <f>IF($A42&lt;=IF(Calc!$C$36=999,360,Calc!$C$36),CHOOSE(Calc!$C$3,'Snowball Engine'!AX44,'Avalanche Engine'!AX44,'My Order Engine'!AX44),"")</f>
        <v/>
      </c>
      <c r="E42" s="25" t="str">
        <f>IF($A42&lt;=IF(Calc!$C$36=999,360,Calc!$C$36),C42-D42,"")</f>
        <v/>
      </c>
      <c r="F42" s="25" t="str">
        <f>IF($A42&lt;=IF(Calc!$C$36=999,360,Calc!$C$36),CHOOSE(Calc!$C$3,'Snowball Engine'!AW44,'Avalanche Engine'!AW44,'My Order Engine'!AW44),"")</f>
        <v/>
      </c>
      <c r="G42" s="25" t="str">
        <f>IF(AND($A42&lt;=IF(Calc!$C$36=999,360,Calc!$C$36),Calc!$C$10=1),CHOOSE(Calc!$C$3,INDEX('Snowball Engine'!$AH44:$AV44,Calc!$I$10),INDEX('Avalanche Engine'!$AH44:$AV44,Calc!$J$10),INDEX('My Order Engine'!$AH44:$AV44,Calc!$K$10)),"")</f>
        <v/>
      </c>
      <c r="H42" s="25" t="str">
        <f>IF(AND($A42&lt;=IF(Calc!$C$36=999,360,Calc!$C$36),Calc!$C$11=1),CHOOSE(Calc!$C$3,INDEX('Snowball Engine'!$AH44:$AV44,Calc!$I$11),INDEX('Avalanche Engine'!$AH44:$AV44,Calc!$J$11),INDEX('My Order Engine'!$AH44:$AV44,Calc!$K$11)),"")</f>
        <v/>
      </c>
      <c r="I42" s="25" t="str">
        <f>IF(AND($A42&lt;=IF(Calc!$C$36=999,360,Calc!$C$36),Calc!$C$12=1),CHOOSE(Calc!$C$3,INDEX('Snowball Engine'!$AH44:$AV44,Calc!$I$12),INDEX('Avalanche Engine'!$AH44:$AV44,Calc!$J$12),INDEX('My Order Engine'!$AH44:$AV44,Calc!$K$12)),"")</f>
        <v/>
      </c>
      <c r="J42" s="25" t="str">
        <f>IF(AND($A42&lt;=IF(Calc!$C$36=999,360,Calc!$C$36),Calc!$C$13=1),CHOOSE(Calc!$C$3,INDEX('Snowball Engine'!$AH44:$AV44,Calc!$I$13),INDEX('Avalanche Engine'!$AH44:$AV44,Calc!$J$13),INDEX('My Order Engine'!$AH44:$AV44,Calc!$K$13)),"")</f>
        <v/>
      </c>
      <c r="K42" s="25" t="str">
        <f>IF(AND($A42&lt;=IF(Calc!$C$36=999,360,Calc!$C$36),Calc!$C$14=1),CHOOSE(Calc!$C$3,INDEX('Snowball Engine'!$AH44:$AV44,Calc!$I$14),INDEX('Avalanche Engine'!$AH44:$AV44,Calc!$J$14),INDEX('My Order Engine'!$AH44:$AV44,Calc!$K$14)),"")</f>
        <v/>
      </c>
      <c r="L42" s="25" t="str">
        <f>IF(AND($A42&lt;=IF(Calc!$C$36=999,360,Calc!$C$36),Calc!$C$15=1),CHOOSE(Calc!$C$3,INDEX('Snowball Engine'!$AH44:$AV44,Calc!$I$15),INDEX('Avalanche Engine'!$AH44:$AV44,Calc!$J$15),INDEX('My Order Engine'!$AH44:$AV44,Calc!$K$15)),"")</f>
        <v/>
      </c>
      <c r="M42" s="25" t="str">
        <f>IF(AND($A42&lt;=IF(Calc!$C$36=999,360,Calc!$C$36),Calc!$C$16=1),CHOOSE(Calc!$C$3,INDEX('Snowball Engine'!$AH44:$AV44,Calc!$I$16),INDEX('Avalanche Engine'!$AH44:$AV44,Calc!$J$16),INDEX('My Order Engine'!$AH44:$AV44,Calc!$K$16)),"")</f>
        <v/>
      </c>
      <c r="N42" s="25" t="str">
        <f>IF(AND($A42&lt;=IF(Calc!$C$36=999,360,Calc!$C$36),Calc!$C$17=1),CHOOSE(Calc!$C$3,INDEX('Snowball Engine'!$AH44:$AV44,Calc!$I$17),INDEX('Avalanche Engine'!$AH44:$AV44,Calc!$J$17),INDEX('My Order Engine'!$AH44:$AV44,Calc!$K$17)),"")</f>
        <v/>
      </c>
      <c r="O42" s="25" t="str">
        <f>IF(AND($A42&lt;=IF(Calc!$C$36=999,360,Calc!$C$36),Calc!$C$18=1),CHOOSE(Calc!$C$3,INDEX('Snowball Engine'!$AH44:$AV44,Calc!$I$18),INDEX('Avalanche Engine'!$AH44:$AV44,Calc!$J$18),INDEX('My Order Engine'!$AH44:$AV44,Calc!$K$18)),"")</f>
        <v/>
      </c>
      <c r="P42" s="25" t="str">
        <f>IF(AND($A42&lt;=IF(Calc!$C$36=999,360,Calc!$C$36),Calc!$C$19=1),CHOOSE(Calc!$C$3,INDEX('Snowball Engine'!$AH44:$AV44,Calc!$I$19),INDEX('Avalanche Engine'!$AH44:$AV44,Calc!$J$19),INDEX('My Order Engine'!$AH44:$AV44,Calc!$K$19)),"")</f>
        <v/>
      </c>
      <c r="Q42" s="25" t="str">
        <f>IF(AND($A42&lt;=IF(Calc!$C$36=999,360,Calc!$C$36),Calc!$C$20=1),CHOOSE(Calc!$C$3,INDEX('Snowball Engine'!$AH44:$AV44,Calc!$I$20),INDEX('Avalanche Engine'!$AH44:$AV44,Calc!$J$20),INDEX('My Order Engine'!$AH44:$AV44,Calc!$K$20)),"")</f>
        <v/>
      </c>
      <c r="R42" s="25" t="str">
        <f>IF(AND($A42&lt;=IF(Calc!$C$36=999,360,Calc!$C$36),Calc!$C$21=1),CHOOSE(Calc!$C$3,INDEX('Snowball Engine'!$AH44:$AV44,Calc!$I$21),INDEX('Avalanche Engine'!$AH44:$AV44,Calc!$J$21),INDEX('My Order Engine'!$AH44:$AV44,Calc!$K$21)),"")</f>
        <v/>
      </c>
      <c r="S42" s="25" t="str">
        <f>IF(AND($A42&lt;=IF(Calc!$C$36=999,360,Calc!$C$36),Calc!$C$22=1),CHOOSE(Calc!$C$3,INDEX('Snowball Engine'!$AH44:$AV44,Calc!$I$22),INDEX('Avalanche Engine'!$AH44:$AV44,Calc!$J$22),INDEX('My Order Engine'!$AH44:$AV44,Calc!$K$22)),"")</f>
        <v/>
      </c>
      <c r="T42" s="25" t="str">
        <f>IF(AND($A42&lt;=IF(Calc!$C$36=999,360,Calc!$C$36),Calc!$C$23=1),CHOOSE(Calc!$C$3,INDEX('Snowball Engine'!$AH44:$AV44,Calc!$I$23),INDEX('Avalanche Engine'!$AH44:$AV44,Calc!$J$23),INDEX('My Order Engine'!$AH44:$AV44,Calc!$K$23)),"")</f>
        <v/>
      </c>
      <c r="U42" s="25" t="str">
        <f>IF(AND($A42&lt;=IF(Calc!$C$36=999,360,Calc!$C$36),Calc!$C$24=1),CHOOSE(Calc!$C$3,INDEX('Snowball Engine'!$AH44:$AV44,Calc!$I$24),INDEX('Avalanche Engine'!$AH44:$AV44,Calc!$J$24),INDEX('My Order Engine'!$AH44:$AV44,Calc!$K$24)),"")</f>
        <v/>
      </c>
    </row>
    <row r="43" spans="1:21" x14ac:dyDescent="0.35">
      <c r="A43" s="23">
        <v>39</v>
      </c>
      <c r="B43" s="24" t="str">
        <f>IF($A43&lt;=IF(Calc!$C$36=999,360,Calc!$C$36),EDATE(Calc!$C$5,A43-1),"")</f>
        <v/>
      </c>
      <c r="C43" s="25" t="str">
        <f>IF($A43&lt;=IF(Calc!$C$36=999,360,Calc!$C$36),CHOOSE(Calc!$C$3,'Snowball Engine'!AY45,'Avalanche Engine'!AY45,'My Order Engine'!AY45),"")</f>
        <v/>
      </c>
      <c r="D43" s="25" t="str">
        <f>IF($A43&lt;=IF(Calc!$C$36=999,360,Calc!$C$36),CHOOSE(Calc!$C$3,'Snowball Engine'!AX45,'Avalanche Engine'!AX45,'My Order Engine'!AX45),"")</f>
        <v/>
      </c>
      <c r="E43" s="25" t="str">
        <f>IF($A43&lt;=IF(Calc!$C$36=999,360,Calc!$C$36),C43-D43,"")</f>
        <v/>
      </c>
      <c r="F43" s="25" t="str">
        <f>IF($A43&lt;=IF(Calc!$C$36=999,360,Calc!$C$36),CHOOSE(Calc!$C$3,'Snowball Engine'!AW45,'Avalanche Engine'!AW45,'My Order Engine'!AW45),"")</f>
        <v/>
      </c>
      <c r="G43" s="25" t="str">
        <f>IF(AND($A43&lt;=IF(Calc!$C$36=999,360,Calc!$C$36),Calc!$C$10=1),CHOOSE(Calc!$C$3,INDEX('Snowball Engine'!$AH45:$AV45,Calc!$I$10),INDEX('Avalanche Engine'!$AH45:$AV45,Calc!$J$10),INDEX('My Order Engine'!$AH45:$AV45,Calc!$K$10)),"")</f>
        <v/>
      </c>
      <c r="H43" s="25" t="str">
        <f>IF(AND($A43&lt;=IF(Calc!$C$36=999,360,Calc!$C$36),Calc!$C$11=1),CHOOSE(Calc!$C$3,INDEX('Snowball Engine'!$AH45:$AV45,Calc!$I$11),INDEX('Avalanche Engine'!$AH45:$AV45,Calc!$J$11),INDEX('My Order Engine'!$AH45:$AV45,Calc!$K$11)),"")</f>
        <v/>
      </c>
      <c r="I43" s="25" t="str">
        <f>IF(AND($A43&lt;=IF(Calc!$C$36=999,360,Calc!$C$36),Calc!$C$12=1),CHOOSE(Calc!$C$3,INDEX('Snowball Engine'!$AH45:$AV45,Calc!$I$12),INDEX('Avalanche Engine'!$AH45:$AV45,Calc!$J$12),INDEX('My Order Engine'!$AH45:$AV45,Calc!$K$12)),"")</f>
        <v/>
      </c>
      <c r="J43" s="25" t="str">
        <f>IF(AND($A43&lt;=IF(Calc!$C$36=999,360,Calc!$C$36),Calc!$C$13=1),CHOOSE(Calc!$C$3,INDEX('Snowball Engine'!$AH45:$AV45,Calc!$I$13),INDEX('Avalanche Engine'!$AH45:$AV45,Calc!$J$13),INDEX('My Order Engine'!$AH45:$AV45,Calc!$K$13)),"")</f>
        <v/>
      </c>
      <c r="K43" s="25" t="str">
        <f>IF(AND($A43&lt;=IF(Calc!$C$36=999,360,Calc!$C$36),Calc!$C$14=1),CHOOSE(Calc!$C$3,INDEX('Snowball Engine'!$AH45:$AV45,Calc!$I$14),INDEX('Avalanche Engine'!$AH45:$AV45,Calc!$J$14),INDEX('My Order Engine'!$AH45:$AV45,Calc!$K$14)),"")</f>
        <v/>
      </c>
      <c r="L43" s="25" t="str">
        <f>IF(AND($A43&lt;=IF(Calc!$C$36=999,360,Calc!$C$36),Calc!$C$15=1),CHOOSE(Calc!$C$3,INDEX('Snowball Engine'!$AH45:$AV45,Calc!$I$15),INDEX('Avalanche Engine'!$AH45:$AV45,Calc!$J$15),INDEX('My Order Engine'!$AH45:$AV45,Calc!$K$15)),"")</f>
        <v/>
      </c>
      <c r="M43" s="25" t="str">
        <f>IF(AND($A43&lt;=IF(Calc!$C$36=999,360,Calc!$C$36),Calc!$C$16=1),CHOOSE(Calc!$C$3,INDEX('Snowball Engine'!$AH45:$AV45,Calc!$I$16),INDEX('Avalanche Engine'!$AH45:$AV45,Calc!$J$16),INDEX('My Order Engine'!$AH45:$AV45,Calc!$K$16)),"")</f>
        <v/>
      </c>
      <c r="N43" s="25" t="str">
        <f>IF(AND($A43&lt;=IF(Calc!$C$36=999,360,Calc!$C$36),Calc!$C$17=1),CHOOSE(Calc!$C$3,INDEX('Snowball Engine'!$AH45:$AV45,Calc!$I$17),INDEX('Avalanche Engine'!$AH45:$AV45,Calc!$J$17),INDEX('My Order Engine'!$AH45:$AV45,Calc!$K$17)),"")</f>
        <v/>
      </c>
      <c r="O43" s="25" t="str">
        <f>IF(AND($A43&lt;=IF(Calc!$C$36=999,360,Calc!$C$36),Calc!$C$18=1),CHOOSE(Calc!$C$3,INDEX('Snowball Engine'!$AH45:$AV45,Calc!$I$18),INDEX('Avalanche Engine'!$AH45:$AV45,Calc!$J$18),INDEX('My Order Engine'!$AH45:$AV45,Calc!$K$18)),"")</f>
        <v/>
      </c>
      <c r="P43" s="25" t="str">
        <f>IF(AND($A43&lt;=IF(Calc!$C$36=999,360,Calc!$C$36),Calc!$C$19=1),CHOOSE(Calc!$C$3,INDEX('Snowball Engine'!$AH45:$AV45,Calc!$I$19),INDEX('Avalanche Engine'!$AH45:$AV45,Calc!$J$19),INDEX('My Order Engine'!$AH45:$AV45,Calc!$K$19)),"")</f>
        <v/>
      </c>
      <c r="Q43" s="25" t="str">
        <f>IF(AND($A43&lt;=IF(Calc!$C$36=999,360,Calc!$C$36),Calc!$C$20=1),CHOOSE(Calc!$C$3,INDEX('Snowball Engine'!$AH45:$AV45,Calc!$I$20),INDEX('Avalanche Engine'!$AH45:$AV45,Calc!$J$20),INDEX('My Order Engine'!$AH45:$AV45,Calc!$K$20)),"")</f>
        <v/>
      </c>
      <c r="R43" s="25" t="str">
        <f>IF(AND($A43&lt;=IF(Calc!$C$36=999,360,Calc!$C$36),Calc!$C$21=1),CHOOSE(Calc!$C$3,INDEX('Snowball Engine'!$AH45:$AV45,Calc!$I$21),INDEX('Avalanche Engine'!$AH45:$AV45,Calc!$J$21),INDEX('My Order Engine'!$AH45:$AV45,Calc!$K$21)),"")</f>
        <v/>
      </c>
      <c r="S43" s="25" t="str">
        <f>IF(AND($A43&lt;=IF(Calc!$C$36=999,360,Calc!$C$36),Calc!$C$22=1),CHOOSE(Calc!$C$3,INDEX('Snowball Engine'!$AH45:$AV45,Calc!$I$22),INDEX('Avalanche Engine'!$AH45:$AV45,Calc!$J$22),INDEX('My Order Engine'!$AH45:$AV45,Calc!$K$22)),"")</f>
        <v/>
      </c>
      <c r="T43" s="25" t="str">
        <f>IF(AND($A43&lt;=IF(Calc!$C$36=999,360,Calc!$C$36),Calc!$C$23=1),CHOOSE(Calc!$C$3,INDEX('Snowball Engine'!$AH45:$AV45,Calc!$I$23),INDEX('Avalanche Engine'!$AH45:$AV45,Calc!$J$23),INDEX('My Order Engine'!$AH45:$AV45,Calc!$K$23)),"")</f>
        <v/>
      </c>
      <c r="U43" s="25" t="str">
        <f>IF(AND($A43&lt;=IF(Calc!$C$36=999,360,Calc!$C$36),Calc!$C$24=1),CHOOSE(Calc!$C$3,INDEX('Snowball Engine'!$AH45:$AV45,Calc!$I$24),INDEX('Avalanche Engine'!$AH45:$AV45,Calc!$J$24),INDEX('My Order Engine'!$AH45:$AV45,Calc!$K$24)),"")</f>
        <v/>
      </c>
    </row>
    <row r="44" spans="1:21" x14ac:dyDescent="0.35">
      <c r="A44" s="23">
        <v>40</v>
      </c>
      <c r="B44" s="24" t="str">
        <f>IF($A44&lt;=IF(Calc!$C$36=999,360,Calc!$C$36),EDATE(Calc!$C$5,A44-1),"")</f>
        <v/>
      </c>
      <c r="C44" s="25" t="str">
        <f>IF($A44&lt;=IF(Calc!$C$36=999,360,Calc!$C$36),CHOOSE(Calc!$C$3,'Snowball Engine'!AY46,'Avalanche Engine'!AY46,'My Order Engine'!AY46),"")</f>
        <v/>
      </c>
      <c r="D44" s="25" t="str">
        <f>IF($A44&lt;=IF(Calc!$C$36=999,360,Calc!$C$36),CHOOSE(Calc!$C$3,'Snowball Engine'!AX46,'Avalanche Engine'!AX46,'My Order Engine'!AX46),"")</f>
        <v/>
      </c>
      <c r="E44" s="25" t="str">
        <f>IF($A44&lt;=IF(Calc!$C$36=999,360,Calc!$C$36),C44-D44,"")</f>
        <v/>
      </c>
      <c r="F44" s="25" t="str">
        <f>IF($A44&lt;=IF(Calc!$C$36=999,360,Calc!$C$36),CHOOSE(Calc!$C$3,'Snowball Engine'!AW46,'Avalanche Engine'!AW46,'My Order Engine'!AW46),"")</f>
        <v/>
      </c>
      <c r="G44" s="25" t="str">
        <f>IF(AND($A44&lt;=IF(Calc!$C$36=999,360,Calc!$C$36),Calc!$C$10=1),CHOOSE(Calc!$C$3,INDEX('Snowball Engine'!$AH46:$AV46,Calc!$I$10),INDEX('Avalanche Engine'!$AH46:$AV46,Calc!$J$10),INDEX('My Order Engine'!$AH46:$AV46,Calc!$K$10)),"")</f>
        <v/>
      </c>
      <c r="H44" s="25" t="str">
        <f>IF(AND($A44&lt;=IF(Calc!$C$36=999,360,Calc!$C$36),Calc!$C$11=1),CHOOSE(Calc!$C$3,INDEX('Snowball Engine'!$AH46:$AV46,Calc!$I$11),INDEX('Avalanche Engine'!$AH46:$AV46,Calc!$J$11),INDEX('My Order Engine'!$AH46:$AV46,Calc!$K$11)),"")</f>
        <v/>
      </c>
      <c r="I44" s="25" t="str">
        <f>IF(AND($A44&lt;=IF(Calc!$C$36=999,360,Calc!$C$36),Calc!$C$12=1),CHOOSE(Calc!$C$3,INDEX('Snowball Engine'!$AH46:$AV46,Calc!$I$12),INDEX('Avalanche Engine'!$AH46:$AV46,Calc!$J$12),INDEX('My Order Engine'!$AH46:$AV46,Calc!$K$12)),"")</f>
        <v/>
      </c>
      <c r="J44" s="25" t="str">
        <f>IF(AND($A44&lt;=IF(Calc!$C$36=999,360,Calc!$C$36),Calc!$C$13=1),CHOOSE(Calc!$C$3,INDEX('Snowball Engine'!$AH46:$AV46,Calc!$I$13),INDEX('Avalanche Engine'!$AH46:$AV46,Calc!$J$13),INDEX('My Order Engine'!$AH46:$AV46,Calc!$K$13)),"")</f>
        <v/>
      </c>
      <c r="K44" s="25" t="str">
        <f>IF(AND($A44&lt;=IF(Calc!$C$36=999,360,Calc!$C$36),Calc!$C$14=1),CHOOSE(Calc!$C$3,INDEX('Snowball Engine'!$AH46:$AV46,Calc!$I$14),INDEX('Avalanche Engine'!$AH46:$AV46,Calc!$J$14),INDEX('My Order Engine'!$AH46:$AV46,Calc!$K$14)),"")</f>
        <v/>
      </c>
      <c r="L44" s="25" t="str">
        <f>IF(AND($A44&lt;=IF(Calc!$C$36=999,360,Calc!$C$36),Calc!$C$15=1),CHOOSE(Calc!$C$3,INDEX('Snowball Engine'!$AH46:$AV46,Calc!$I$15),INDEX('Avalanche Engine'!$AH46:$AV46,Calc!$J$15),INDEX('My Order Engine'!$AH46:$AV46,Calc!$K$15)),"")</f>
        <v/>
      </c>
      <c r="M44" s="25" t="str">
        <f>IF(AND($A44&lt;=IF(Calc!$C$36=999,360,Calc!$C$36),Calc!$C$16=1),CHOOSE(Calc!$C$3,INDEX('Snowball Engine'!$AH46:$AV46,Calc!$I$16),INDEX('Avalanche Engine'!$AH46:$AV46,Calc!$J$16),INDEX('My Order Engine'!$AH46:$AV46,Calc!$K$16)),"")</f>
        <v/>
      </c>
      <c r="N44" s="25" t="str">
        <f>IF(AND($A44&lt;=IF(Calc!$C$36=999,360,Calc!$C$36),Calc!$C$17=1),CHOOSE(Calc!$C$3,INDEX('Snowball Engine'!$AH46:$AV46,Calc!$I$17),INDEX('Avalanche Engine'!$AH46:$AV46,Calc!$J$17),INDEX('My Order Engine'!$AH46:$AV46,Calc!$K$17)),"")</f>
        <v/>
      </c>
      <c r="O44" s="25" t="str">
        <f>IF(AND($A44&lt;=IF(Calc!$C$36=999,360,Calc!$C$36),Calc!$C$18=1),CHOOSE(Calc!$C$3,INDEX('Snowball Engine'!$AH46:$AV46,Calc!$I$18),INDEX('Avalanche Engine'!$AH46:$AV46,Calc!$J$18),INDEX('My Order Engine'!$AH46:$AV46,Calc!$K$18)),"")</f>
        <v/>
      </c>
      <c r="P44" s="25" t="str">
        <f>IF(AND($A44&lt;=IF(Calc!$C$36=999,360,Calc!$C$36),Calc!$C$19=1),CHOOSE(Calc!$C$3,INDEX('Snowball Engine'!$AH46:$AV46,Calc!$I$19),INDEX('Avalanche Engine'!$AH46:$AV46,Calc!$J$19),INDEX('My Order Engine'!$AH46:$AV46,Calc!$K$19)),"")</f>
        <v/>
      </c>
      <c r="Q44" s="25" t="str">
        <f>IF(AND($A44&lt;=IF(Calc!$C$36=999,360,Calc!$C$36),Calc!$C$20=1),CHOOSE(Calc!$C$3,INDEX('Snowball Engine'!$AH46:$AV46,Calc!$I$20),INDEX('Avalanche Engine'!$AH46:$AV46,Calc!$J$20),INDEX('My Order Engine'!$AH46:$AV46,Calc!$K$20)),"")</f>
        <v/>
      </c>
      <c r="R44" s="25" t="str">
        <f>IF(AND($A44&lt;=IF(Calc!$C$36=999,360,Calc!$C$36),Calc!$C$21=1),CHOOSE(Calc!$C$3,INDEX('Snowball Engine'!$AH46:$AV46,Calc!$I$21),INDEX('Avalanche Engine'!$AH46:$AV46,Calc!$J$21),INDEX('My Order Engine'!$AH46:$AV46,Calc!$K$21)),"")</f>
        <v/>
      </c>
      <c r="S44" s="25" t="str">
        <f>IF(AND($A44&lt;=IF(Calc!$C$36=999,360,Calc!$C$36),Calc!$C$22=1),CHOOSE(Calc!$C$3,INDEX('Snowball Engine'!$AH46:$AV46,Calc!$I$22),INDEX('Avalanche Engine'!$AH46:$AV46,Calc!$J$22),INDEX('My Order Engine'!$AH46:$AV46,Calc!$K$22)),"")</f>
        <v/>
      </c>
      <c r="T44" s="25" t="str">
        <f>IF(AND($A44&lt;=IF(Calc!$C$36=999,360,Calc!$C$36),Calc!$C$23=1),CHOOSE(Calc!$C$3,INDEX('Snowball Engine'!$AH46:$AV46,Calc!$I$23),INDEX('Avalanche Engine'!$AH46:$AV46,Calc!$J$23),INDEX('My Order Engine'!$AH46:$AV46,Calc!$K$23)),"")</f>
        <v/>
      </c>
      <c r="U44" s="25" t="str">
        <f>IF(AND($A44&lt;=IF(Calc!$C$36=999,360,Calc!$C$36),Calc!$C$24=1),CHOOSE(Calc!$C$3,INDEX('Snowball Engine'!$AH46:$AV46,Calc!$I$24),INDEX('Avalanche Engine'!$AH46:$AV46,Calc!$J$24),INDEX('My Order Engine'!$AH46:$AV46,Calc!$K$24)),"")</f>
        <v/>
      </c>
    </row>
    <row r="45" spans="1:21" x14ac:dyDescent="0.35">
      <c r="A45" s="23">
        <v>41</v>
      </c>
      <c r="B45" s="24" t="str">
        <f>IF($A45&lt;=IF(Calc!$C$36=999,360,Calc!$C$36),EDATE(Calc!$C$5,A45-1),"")</f>
        <v/>
      </c>
      <c r="C45" s="25" t="str">
        <f>IF($A45&lt;=IF(Calc!$C$36=999,360,Calc!$C$36),CHOOSE(Calc!$C$3,'Snowball Engine'!AY47,'Avalanche Engine'!AY47,'My Order Engine'!AY47),"")</f>
        <v/>
      </c>
      <c r="D45" s="25" t="str">
        <f>IF($A45&lt;=IF(Calc!$C$36=999,360,Calc!$C$36),CHOOSE(Calc!$C$3,'Snowball Engine'!AX47,'Avalanche Engine'!AX47,'My Order Engine'!AX47),"")</f>
        <v/>
      </c>
      <c r="E45" s="25" t="str">
        <f>IF($A45&lt;=IF(Calc!$C$36=999,360,Calc!$C$36),C45-D45,"")</f>
        <v/>
      </c>
      <c r="F45" s="25" t="str">
        <f>IF($A45&lt;=IF(Calc!$C$36=999,360,Calc!$C$36),CHOOSE(Calc!$C$3,'Snowball Engine'!AW47,'Avalanche Engine'!AW47,'My Order Engine'!AW47),"")</f>
        <v/>
      </c>
      <c r="G45" s="25" t="str">
        <f>IF(AND($A45&lt;=IF(Calc!$C$36=999,360,Calc!$C$36),Calc!$C$10=1),CHOOSE(Calc!$C$3,INDEX('Snowball Engine'!$AH47:$AV47,Calc!$I$10),INDEX('Avalanche Engine'!$AH47:$AV47,Calc!$J$10),INDEX('My Order Engine'!$AH47:$AV47,Calc!$K$10)),"")</f>
        <v/>
      </c>
      <c r="H45" s="25" t="str">
        <f>IF(AND($A45&lt;=IF(Calc!$C$36=999,360,Calc!$C$36),Calc!$C$11=1),CHOOSE(Calc!$C$3,INDEX('Snowball Engine'!$AH47:$AV47,Calc!$I$11),INDEX('Avalanche Engine'!$AH47:$AV47,Calc!$J$11),INDEX('My Order Engine'!$AH47:$AV47,Calc!$K$11)),"")</f>
        <v/>
      </c>
      <c r="I45" s="25" t="str">
        <f>IF(AND($A45&lt;=IF(Calc!$C$36=999,360,Calc!$C$36),Calc!$C$12=1),CHOOSE(Calc!$C$3,INDEX('Snowball Engine'!$AH47:$AV47,Calc!$I$12),INDEX('Avalanche Engine'!$AH47:$AV47,Calc!$J$12),INDEX('My Order Engine'!$AH47:$AV47,Calc!$K$12)),"")</f>
        <v/>
      </c>
      <c r="J45" s="25" t="str">
        <f>IF(AND($A45&lt;=IF(Calc!$C$36=999,360,Calc!$C$36),Calc!$C$13=1),CHOOSE(Calc!$C$3,INDEX('Snowball Engine'!$AH47:$AV47,Calc!$I$13),INDEX('Avalanche Engine'!$AH47:$AV47,Calc!$J$13),INDEX('My Order Engine'!$AH47:$AV47,Calc!$K$13)),"")</f>
        <v/>
      </c>
      <c r="K45" s="25" t="str">
        <f>IF(AND($A45&lt;=IF(Calc!$C$36=999,360,Calc!$C$36),Calc!$C$14=1),CHOOSE(Calc!$C$3,INDEX('Snowball Engine'!$AH47:$AV47,Calc!$I$14),INDEX('Avalanche Engine'!$AH47:$AV47,Calc!$J$14),INDEX('My Order Engine'!$AH47:$AV47,Calc!$K$14)),"")</f>
        <v/>
      </c>
      <c r="L45" s="25" t="str">
        <f>IF(AND($A45&lt;=IF(Calc!$C$36=999,360,Calc!$C$36),Calc!$C$15=1),CHOOSE(Calc!$C$3,INDEX('Snowball Engine'!$AH47:$AV47,Calc!$I$15),INDEX('Avalanche Engine'!$AH47:$AV47,Calc!$J$15),INDEX('My Order Engine'!$AH47:$AV47,Calc!$K$15)),"")</f>
        <v/>
      </c>
      <c r="M45" s="25" t="str">
        <f>IF(AND($A45&lt;=IF(Calc!$C$36=999,360,Calc!$C$36),Calc!$C$16=1),CHOOSE(Calc!$C$3,INDEX('Snowball Engine'!$AH47:$AV47,Calc!$I$16),INDEX('Avalanche Engine'!$AH47:$AV47,Calc!$J$16),INDEX('My Order Engine'!$AH47:$AV47,Calc!$K$16)),"")</f>
        <v/>
      </c>
      <c r="N45" s="25" t="str">
        <f>IF(AND($A45&lt;=IF(Calc!$C$36=999,360,Calc!$C$36),Calc!$C$17=1),CHOOSE(Calc!$C$3,INDEX('Snowball Engine'!$AH47:$AV47,Calc!$I$17),INDEX('Avalanche Engine'!$AH47:$AV47,Calc!$J$17),INDEX('My Order Engine'!$AH47:$AV47,Calc!$K$17)),"")</f>
        <v/>
      </c>
      <c r="O45" s="25" t="str">
        <f>IF(AND($A45&lt;=IF(Calc!$C$36=999,360,Calc!$C$36),Calc!$C$18=1),CHOOSE(Calc!$C$3,INDEX('Snowball Engine'!$AH47:$AV47,Calc!$I$18),INDEX('Avalanche Engine'!$AH47:$AV47,Calc!$J$18),INDEX('My Order Engine'!$AH47:$AV47,Calc!$K$18)),"")</f>
        <v/>
      </c>
      <c r="P45" s="25" t="str">
        <f>IF(AND($A45&lt;=IF(Calc!$C$36=999,360,Calc!$C$36),Calc!$C$19=1),CHOOSE(Calc!$C$3,INDEX('Snowball Engine'!$AH47:$AV47,Calc!$I$19),INDEX('Avalanche Engine'!$AH47:$AV47,Calc!$J$19),INDEX('My Order Engine'!$AH47:$AV47,Calc!$K$19)),"")</f>
        <v/>
      </c>
      <c r="Q45" s="25" t="str">
        <f>IF(AND($A45&lt;=IF(Calc!$C$36=999,360,Calc!$C$36),Calc!$C$20=1),CHOOSE(Calc!$C$3,INDEX('Snowball Engine'!$AH47:$AV47,Calc!$I$20),INDEX('Avalanche Engine'!$AH47:$AV47,Calc!$J$20),INDEX('My Order Engine'!$AH47:$AV47,Calc!$K$20)),"")</f>
        <v/>
      </c>
      <c r="R45" s="25" t="str">
        <f>IF(AND($A45&lt;=IF(Calc!$C$36=999,360,Calc!$C$36),Calc!$C$21=1),CHOOSE(Calc!$C$3,INDEX('Snowball Engine'!$AH47:$AV47,Calc!$I$21),INDEX('Avalanche Engine'!$AH47:$AV47,Calc!$J$21),INDEX('My Order Engine'!$AH47:$AV47,Calc!$K$21)),"")</f>
        <v/>
      </c>
      <c r="S45" s="25" t="str">
        <f>IF(AND($A45&lt;=IF(Calc!$C$36=999,360,Calc!$C$36),Calc!$C$22=1),CHOOSE(Calc!$C$3,INDEX('Snowball Engine'!$AH47:$AV47,Calc!$I$22),INDEX('Avalanche Engine'!$AH47:$AV47,Calc!$J$22),INDEX('My Order Engine'!$AH47:$AV47,Calc!$K$22)),"")</f>
        <v/>
      </c>
      <c r="T45" s="25" t="str">
        <f>IF(AND($A45&lt;=IF(Calc!$C$36=999,360,Calc!$C$36),Calc!$C$23=1),CHOOSE(Calc!$C$3,INDEX('Snowball Engine'!$AH47:$AV47,Calc!$I$23),INDEX('Avalanche Engine'!$AH47:$AV47,Calc!$J$23),INDEX('My Order Engine'!$AH47:$AV47,Calc!$K$23)),"")</f>
        <v/>
      </c>
      <c r="U45" s="25" t="str">
        <f>IF(AND($A45&lt;=IF(Calc!$C$36=999,360,Calc!$C$36),Calc!$C$24=1),CHOOSE(Calc!$C$3,INDEX('Snowball Engine'!$AH47:$AV47,Calc!$I$24),INDEX('Avalanche Engine'!$AH47:$AV47,Calc!$J$24),INDEX('My Order Engine'!$AH47:$AV47,Calc!$K$24)),"")</f>
        <v/>
      </c>
    </row>
    <row r="46" spans="1:21" x14ac:dyDescent="0.35">
      <c r="A46" s="23">
        <v>42</v>
      </c>
      <c r="B46" s="24" t="str">
        <f>IF($A46&lt;=IF(Calc!$C$36=999,360,Calc!$C$36),EDATE(Calc!$C$5,A46-1),"")</f>
        <v/>
      </c>
      <c r="C46" s="25" t="str">
        <f>IF($A46&lt;=IF(Calc!$C$36=999,360,Calc!$C$36),CHOOSE(Calc!$C$3,'Snowball Engine'!AY48,'Avalanche Engine'!AY48,'My Order Engine'!AY48),"")</f>
        <v/>
      </c>
      <c r="D46" s="25" t="str">
        <f>IF($A46&lt;=IF(Calc!$C$36=999,360,Calc!$C$36),CHOOSE(Calc!$C$3,'Snowball Engine'!AX48,'Avalanche Engine'!AX48,'My Order Engine'!AX48),"")</f>
        <v/>
      </c>
      <c r="E46" s="25" t="str">
        <f>IF($A46&lt;=IF(Calc!$C$36=999,360,Calc!$C$36),C46-D46,"")</f>
        <v/>
      </c>
      <c r="F46" s="25" t="str">
        <f>IF($A46&lt;=IF(Calc!$C$36=999,360,Calc!$C$36),CHOOSE(Calc!$C$3,'Snowball Engine'!AW48,'Avalanche Engine'!AW48,'My Order Engine'!AW48),"")</f>
        <v/>
      </c>
      <c r="G46" s="25" t="str">
        <f>IF(AND($A46&lt;=IF(Calc!$C$36=999,360,Calc!$C$36),Calc!$C$10=1),CHOOSE(Calc!$C$3,INDEX('Snowball Engine'!$AH48:$AV48,Calc!$I$10),INDEX('Avalanche Engine'!$AH48:$AV48,Calc!$J$10),INDEX('My Order Engine'!$AH48:$AV48,Calc!$K$10)),"")</f>
        <v/>
      </c>
      <c r="H46" s="25" t="str">
        <f>IF(AND($A46&lt;=IF(Calc!$C$36=999,360,Calc!$C$36),Calc!$C$11=1),CHOOSE(Calc!$C$3,INDEX('Snowball Engine'!$AH48:$AV48,Calc!$I$11),INDEX('Avalanche Engine'!$AH48:$AV48,Calc!$J$11),INDEX('My Order Engine'!$AH48:$AV48,Calc!$K$11)),"")</f>
        <v/>
      </c>
      <c r="I46" s="25" t="str">
        <f>IF(AND($A46&lt;=IF(Calc!$C$36=999,360,Calc!$C$36),Calc!$C$12=1),CHOOSE(Calc!$C$3,INDEX('Snowball Engine'!$AH48:$AV48,Calc!$I$12),INDEX('Avalanche Engine'!$AH48:$AV48,Calc!$J$12),INDEX('My Order Engine'!$AH48:$AV48,Calc!$K$12)),"")</f>
        <v/>
      </c>
      <c r="J46" s="25" t="str">
        <f>IF(AND($A46&lt;=IF(Calc!$C$36=999,360,Calc!$C$36),Calc!$C$13=1),CHOOSE(Calc!$C$3,INDEX('Snowball Engine'!$AH48:$AV48,Calc!$I$13),INDEX('Avalanche Engine'!$AH48:$AV48,Calc!$J$13),INDEX('My Order Engine'!$AH48:$AV48,Calc!$K$13)),"")</f>
        <v/>
      </c>
      <c r="K46" s="25" t="str">
        <f>IF(AND($A46&lt;=IF(Calc!$C$36=999,360,Calc!$C$36),Calc!$C$14=1),CHOOSE(Calc!$C$3,INDEX('Snowball Engine'!$AH48:$AV48,Calc!$I$14),INDEX('Avalanche Engine'!$AH48:$AV48,Calc!$J$14),INDEX('My Order Engine'!$AH48:$AV48,Calc!$K$14)),"")</f>
        <v/>
      </c>
      <c r="L46" s="25" t="str">
        <f>IF(AND($A46&lt;=IF(Calc!$C$36=999,360,Calc!$C$36),Calc!$C$15=1),CHOOSE(Calc!$C$3,INDEX('Snowball Engine'!$AH48:$AV48,Calc!$I$15),INDEX('Avalanche Engine'!$AH48:$AV48,Calc!$J$15),INDEX('My Order Engine'!$AH48:$AV48,Calc!$K$15)),"")</f>
        <v/>
      </c>
      <c r="M46" s="25" t="str">
        <f>IF(AND($A46&lt;=IF(Calc!$C$36=999,360,Calc!$C$36),Calc!$C$16=1),CHOOSE(Calc!$C$3,INDEX('Snowball Engine'!$AH48:$AV48,Calc!$I$16),INDEX('Avalanche Engine'!$AH48:$AV48,Calc!$J$16),INDEX('My Order Engine'!$AH48:$AV48,Calc!$K$16)),"")</f>
        <v/>
      </c>
      <c r="N46" s="25" t="str">
        <f>IF(AND($A46&lt;=IF(Calc!$C$36=999,360,Calc!$C$36),Calc!$C$17=1),CHOOSE(Calc!$C$3,INDEX('Snowball Engine'!$AH48:$AV48,Calc!$I$17),INDEX('Avalanche Engine'!$AH48:$AV48,Calc!$J$17),INDEX('My Order Engine'!$AH48:$AV48,Calc!$K$17)),"")</f>
        <v/>
      </c>
      <c r="O46" s="25" t="str">
        <f>IF(AND($A46&lt;=IF(Calc!$C$36=999,360,Calc!$C$36),Calc!$C$18=1),CHOOSE(Calc!$C$3,INDEX('Snowball Engine'!$AH48:$AV48,Calc!$I$18),INDEX('Avalanche Engine'!$AH48:$AV48,Calc!$J$18),INDEX('My Order Engine'!$AH48:$AV48,Calc!$K$18)),"")</f>
        <v/>
      </c>
      <c r="P46" s="25" t="str">
        <f>IF(AND($A46&lt;=IF(Calc!$C$36=999,360,Calc!$C$36),Calc!$C$19=1),CHOOSE(Calc!$C$3,INDEX('Snowball Engine'!$AH48:$AV48,Calc!$I$19),INDEX('Avalanche Engine'!$AH48:$AV48,Calc!$J$19),INDEX('My Order Engine'!$AH48:$AV48,Calc!$K$19)),"")</f>
        <v/>
      </c>
      <c r="Q46" s="25" t="str">
        <f>IF(AND($A46&lt;=IF(Calc!$C$36=999,360,Calc!$C$36),Calc!$C$20=1),CHOOSE(Calc!$C$3,INDEX('Snowball Engine'!$AH48:$AV48,Calc!$I$20),INDEX('Avalanche Engine'!$AH48:$AV48,Calc!$J$20),INDEX('My Order Engine'!$AH48:$AV48,Calc!$K$20)),"")</f>
        <v/>
      </c>
      <c r="R46" s="25" t="str">
        <f>IF(AND($A46&lt;=IF(Calc!$C$36=999,360,Calc!$C$36),Calc!$C$21=1),CHOOSE(Calc!$C$3,INDEX('Snowball Engine'!$AH48:$AV48,Calc!$I$21),INDEX('Avalanche Engine'!$AH48:$AV48,Calc!$J$21),INDEX('My Order Engine'!$AH48:$AV48,Calc!$K$21)),"")</f>
        <v/>
      </c>
      <c r="S46" s="25" t="str">
        <f>IF(AND($A46&lt;=IF(Calc!$C$36=999,360,Calc!$C$36),Calc!$C$22=1),CHOOSE(Calc!$C$3,INDEX('Snowball Engine'!$AH48:$AV48,Calc!$I$22),INDEX('Avalanche Engine'!$AH48:$AV48,Calc!$J$22),INDEX('My Order Engine'!$AH48:$AV48,Calc!$K$22)),"")</f>
        <v/>
      </c>
      <c r="T46" s="25" t="str">
        <f>IF(AND($A46&lt;=IF(Calc!$C$36=999,360,Calc!$C$36),Calc!$C$23=1),CHOOSE(Calc!$C$3,INDEX('Snowball Engine'!$AH48:$AV48,Calc!$I$23),INDEX('Avalanche Engine'!$AH48:$AV48,Calc!$J$23),INDEX('My Order Engine'!$AH48:$AV48,Calc!$K$23)),"")</f>
        <v/>
      </c>
      <c r="U46" s="25" t="str">
        <f>IF(AND($A46&lt;=IF(Calc!$C$36=999,360,Calc!$C$36),Calc!$C$24=1),CHOOSE(Calc!$C$3,INDEX('Snowball Engine'!$AH48:$AV48,Calc!$I$24),INDEX('Avalanche Engine'!$AH48:$AV48,Calc!$J$24),INDEX('My Order Engine'!$AH48:$AV48,Calc!$K$24)),"")</f>
        <v/>
      </c>
    </row>
    <row r="47" spans="1:21" x14ac:dyDescent="0.35">
      <c r="A47" s="23">
        <v>43</v>
      </c>
      <c r="B47" s="24" t="str">
        <f>IF($A47&lt;=IF(Calc!$C$36=999,360,Calc!$C$36),EDATE(Calc!$C$5,A47-1),"")</f>
        <v/>
      </c>
      <c r="C47" s="25" t="str">
        <f>IF($A47&lt;=IF(Calc!$C$36=999,360,Calc!$C$36),CHOOSE(Calc!$C$3,'Snowball Engine'!AY49,'Avalanche Engine'!AY49,'My Order Engine'!AY49),"")</f>
        <v/>
      </c>
      <c r="D47" s="25" t="str">
        <f>IF($A47&lt;=IF(Calc!$C$36=999,360,Calc!$C$36),CHOOSE(Calc!$C$3,'Snowball Engine'!AX49,'Avalanche Engine'!AX49,'My Order Engine'!AX49),"")</f>
        <v/>
      </c>
      <c r="E47" s="25" t="str">
        <f>IF($A47&lt;=IF(Calc!$C$36=999,360,Calc!$C$36),C47-D47,"")</f>
        <v/>
      </c>
      <c r="F47" s="25" t="str">
        <f>IF($A47&lt;=IF(Calc!$C$36=999,360,Calc!$C$36),CHOOSE(Calc!$C$3,'Snowball Engine'!AW49,'Avalanche Engine'!AW49,'My Order Engine'!AW49),"")</f>
        <v/>
      </c>
      <c r="G47" s="25" t="str">
        <f>IF(AND($A47&lt;=IF(Calc!$C$36=999,360,Calc!$C$36),Calc!$C$10=1),CHOOSE(Calc!$C$3,INDEX('Snowball Engine'!$AH49:$AV49,Calc!$I$10),INDEX('Avalanche Engine'!$AH49:$AV49,Calc!$J$10),INDEX('My Order Engine'!$AH49:$AV49,Calc!$K$10)),"")</f>
        <v/>
      </c>
      <c r="H47" s="25" t="str">
        <f>IF(AND($A47&lt;=IF(Calc!$C$36=999,360,Calc!$C$36),Calc!$C$11=1),CHOOSE(Calc!$C$3,INDEX('Snowball Engine'!$AH49:$AV49,Calc!$I$11),INDEX('Avalanche Engine'!$AH49:$AV49,Calc!$J$11),INDEX('My Order Engine'!$AH49:$AV49,Calc!$K$11)),"")</f>
        <v/>
      </c>
      <c r="I47" s="25" t="str">
        <f>IF(AND($A47&lt;=IF(Calc!$C$36=999,360,Calc!$C$36),Calc!$C$12=1),CHOOSE(Calc!$C$3,INDEX('Snowball Engine'!$AH49:$AV49,Calc!$I$12),INDEX('Avalanche Engine'!$AH49:$AV49,Calc!$J$12),INDEX('My Order Engine'!$AH49:$AV49,Calc!$K$12)),"")</f>
        <v/>
      </c>
      <c r="J47" s="25" t="str">
        <f>IF(AND($A47&lt;=IF(Calc!$C$36=999,360,Calc!$C$36),Calc!$C$13=1),CHOOSE(Calc!$C$3,INDEX('Snowball Engine'!$AH49:$AV49,Calc!$I$13),INDEX('Avalanche Engine'!$AH49:$AV49,Calc!$J$13),INDEX('My Order Engine'!$AH49:$AV49,Calc!$K$13)),"")</f>
        <v/>
      </c>
      <c r="K47" s="25" t="str">
        <f>IF(AND($A47&lt;=IF(Calc!$C$36=999,360,Calc!$C$36),Calc!$C$14=1),CHOOSE(Calc!$C$3,INDEX('Snowball Engine'!$AH49:$AV49,Calc!$I$14),INDEX('Avalanche Engine'!$AH49:$AV49,Calc!$J$14),INDEX('My Order Engine'!$AH49:$AV49,Calc!$K$14)),"")</f>
        <v/>
      </c>
      <c r="L47" s="25" t="str">
        <f>IF(AND($A47&lt;=IF(Calc!$C$36=999,360,Calc!$C$36),Calc!$C$15=1),CHOOSE(Calc!$C$3,INDEX('Snowball Engine'!$AH49:$AV49,Calc!$I$15),INDEX('Avalanche Engine'!$AH49:$AV49,Calc!$J$15),INDEX('My Order Engine'!$AH49:$AV49,Calc!$K$15)),"")</f>
        <v/>
      </c>
      <c r="M47" s="25" t="str">
        <f>IF(AND($A47&lt;=IF(Calc!$C$36=999,360,Calc!$C$36),Calc!$C$16=1),CHOOSE(Calc!$C$3,INDEX('Snowball Engine'!$AH49:$AV49,Calc!$I$16),INDEX('Avalanche Engine'!$AH49:$AV49,Calc!$J$16),INDEX('My Order Engine'!$AH49:$AV49,Calc!$K$16)),"")</f>
        <v/>
      </c>
      <c r="N47" s="25" t="str">
        <f>IF(AND($A47&lt;=IF(Calc!$C$36=999,360,Calc!$C$36),Calc!$C$17=1),CHOOSE(Calc!$C$3,INDEX('Snowball Engine'!$AH49:$AV49,Calc!$I$17),INDEX('Avalanche Engine'!$AH49:$AV49,Calc!$J$17),INDEX('My Order Engine'!$AH49:$AV49,Calc!$K$17)),"")</f>
        <v/>
      </c>
      <c r="O47" s="25" t="str">
        <f>IF(AND($A47&lt;=IF(Calc!$C$36=999,360,Calc!$C$36),Calc!$C$18=1),CHOOSE(Calc!$C$3,INDEX('Snowball Engine'!$AH49:$AV49,Calc!$I$18),INDEX('Avalanche Engine'!$AH49:$AV49,Calc!$J$18),INDEX('My Order Engine'!$AH49:$AV49,Calc!$K$18)),"")</f>
        <v/>
      </c>
      <c r="P47" s="25" t="str">
        <f>IF(AND($A47&lt;=IF(Calc!$C$36=999,360,Calc!$C$36),Calc!$C$19=1),CHOOSE(Calc!$C$3,INDEX('Snowball Engine'!$AH49:$AV49,Calc!$I$19),INDEX('Avalanche Engine'!$AH49:$AV49,Calc!$J$19),INDEX('My Order Engine'!$AH49:$AV49,Calc!$K$19)),"")</f>
        <v/>
      </c>
      <c r="Q47" s="25" t="str">
        <f>IF(AND($A47&lt;=IF(Calc!$C$36=999,360,Calc!$C$36),Calc!$C$20=1),CHOOSE(Calc!$C$3,INDEX('Snowball Engine'!$AH49:$AV49,Calc!$I$20),INDEX('Avalanche Engine'!$AH49:$AV49,Calc!$J$20),INDEX('My Order Engine'!$AH49:$AV49,Calc!$K$20)),"")</f>
        <v/>
      </c>
      <c r="R47" s="25" t="str">
        <f>IF(AND($A47&lt;=IF(Calc!$C$36=999,360,Calc!$C$36),Calc!$C$21=1),CHOOSE(Calc!$C$3,INDEX('Snowball Engine'!$AH49:$AV49,Calc!$I$21),INDEX('Avalanche Engine'!$AH49:$AV49,Calc!$J$21),INDEX('My Order Engine'!$AH49:$AV49,Calc!$K$21)),"")</f>
        <v/>
      </c>
      <c r="S47" s="25" t="str">
        <f>IF(AND($A47&lt;=IF(Calc!$C$36=999,360,Calc!$C$36),Calc!$C$22=1),CHOOSE(Calc!$C$3,INDEX('Snowball Engine'!$AH49:$AV49,Calc!$I$22),INDEX('Avalanche Engine'!$AH49:$AV49,Calc!$J$22),INDEX('My Order Engine'!$AH49:$AV49,Calc!$K$22)),"")</f>
        <v/>
      </c>
      <c r="T47" s="25" t="str">
        <f>IF(AND($A47&lt;=IF(Calc!$C$36=999,360,Calc!$C$36),Calc!$C$23=1),CHOOSE(Calc!$C$3,INDEX('Snowball Engine'!$AH49:$AV49,Calc!$I$23),INDEX('Avalanche Engine'!$AH49:$AV49,Calc!$J$23),INDEX('My Order Engine'!$AH49:$AV49,Calc!$K$23)),"")</f>
        <v/>
      </c>
      <c r="U47" s="25" t="str">
        <f>IF(AND($A47&lt;=IF(Calc!$C$36=999,360,Calc!$C$36),Calc!$C$24=1),CHOOSE(Calc!$C$3,INDEX('Snowball Engine'!$AH49:$AV49,Calc!$I$24),INDEX('Avalanche Engine'!$AH49:$AV49,Calc!$J$24),INDEX('My Order Engine'!$AH49:$AV49,Calc!$K$24)),"")</f>
        <v/>
      </c>
    </row>
    <row r="48" spans="1:21" x14ac:dyDescent="0.35">
      <c r="A48" s="23">
        <v>44</v>
      </c>
      <c r="B48" s="24" t="str">
        <f>IF($A48&lt;=IF(Calc!$C$36=999,360,Calc!$C$36),EDATE(Calc!$C$5,A48-1),"")</f>
        <v/>
      </c>
      <c r="C48" s="25" t="str">
        <f>IF($A48&lt;=IF(Calc!$C$36=999,360,Calc!$C$36),CHOOSE(Calc!$C$3,'Snowball Engine'!AY50,'Avalanche Engine'!AY50,'My Order Engine'!AY50),"")</f>
        <v/>
      </c>
      <c r="D48" s="25" t="str">
        <f>IF($A48&lt;=IF(Calc!$C$36=999,360,Calc!$C$36),CHOOSE(Calc!$C$3,'Snowball Engine'!AX50,'Avalanche Engine'!AX50,'My Order Engine'!AX50),"")</f>
        <v/>
      </c>
      <c r="E48" s="25" t="str">
        <f>IF($A48&lt;=IF(Calc!$C$36=999,360,Calc!$C$36),C48-D48,"")</f>
        <v/>
      </c>
      <c r="F48" s="25" t="str">
        <f>IF($A48&lt;=IF(Calc!$C$36=999,360,Calc!$C$36),CHOOSE(Calc!$C$3,'Snowball Engine'!AW50,'Avalanche Engine'!AW50,'My Order Engine'!AW50),"")</f>
        <v/>
      </c>
      <c r="G48" s="25" t="str">
        <f>IF(AND($A48&lt;=IF(Calc!$C$36=999,360,Calc!$C$36),Calc!$C$10=1),CHOOSE(Calc!$C$3,INDEX('Snowball Engine'!$AH50:$AV50,Calc!$I$10),INDEX('Avalanche Engine'!$AH50:$AV50,Calc!$J$10),INDEX('My Order Engine'!$AH50:$AV50,Calc!$K$10)),"")</f>
        <v/>
      </c>
      <c r="H48" s="25" t="str">
        <f>IF(AND($A48&lt;=IF(Calc!$C$36=999,360,Calc!$C$36),Calc!$C$11=1),CHOOSE(Calc!$C$3,INDEX('Snowball Engine'!$AH50:$AV50,Calc!$I$11),INDEX('Avalanche Engine'!$AH50:$AV50,Calc!$J$11),INDEX('My Order Engine'!$AH50:$AV50,Calc!$K$11)),"")</f>
        <v/>
      </c>
      <c r="I48" s="25" t="str">
        <f>IF(AND($A48&lt;=IF(Calc!$C$36=999,360,Calc!$C$36),Calc!$C$12=1),CHOOSE(Calc!$C$3,INDEX('Snowball Engine'!$AH50:$AV50,Calc!$I$12),INDEX('Avalanche Engine'!$AH50:$AV50,Calc!$J$12),INDEX('My Order Engine'!$AH50:$AV50,Calc!$K$12)),"")</f>
        <v/>
      </c>
      <c r="J48" s="25" t="str">
        <f>IF(AND($A48&lt;=IF(Calc!$C$36=999,360,Calc!$C$36),Calc!$C$13=1),CHOOSE(Calc!$C$3,INDEX('Snowball Engine'!$AH50:$AV50,Calc!$I$13),INDEX('Avalanche Engine'!$AH50:$AV50,Calc!$J$13),INDEX('My Order Engine'!$AH50:$AV50,Calc!$K$13)),"")</f>
        <v/>
      </c>
      <c r="K48" s="25" t="str">
        <f>IF(AND($A48&lt;=IF(Calc!$C$36=999,360,Calc!$C$36),Calc!$C$14=1),CHOOSE(Calc!$C$3,INDEX('Snowball Engine'!$AH50:$AV50,Calc!$I$14),INDEX('Avalanche Engine'!$AH50:$AV50,Calc!$J$14),INDEX('My Order Engine'!$AH50:$AV50,Calc!$K$14)),"")</f>
        <v/>
      </c>
      <c r="L48" s="25" t="str">
        <f>IF(AND($A48&lt;=IF(Calc!$C$36=999,360,Calc!$C$36),Calc!$C$15=1),CHOOSE(Calc!$C$3,INDEX('Snowball Engine'!$AH50:$AV50,Calc!$I$15),INDEX('Avalanche Engine'!$AH50:$AV50,Calc!$J$15),INDEX('My Order Engine'!$AH50:$AV50,Calc!$K$15)),"")</f>
        <v/>
      </c>
      <c r="M48" s="25" t="str">
        <f>IF(AND($A48&lt;=IF(Calc!$C$36=999,360,Calc!$C$36),Calc!$C$16=1),CHOOSE(Calc!$C$3,INDEX('Snowball Engine'!$AH50:$AV50,Calc!$I$16),INDEX('Avalanche Engine'!$AH50:$AV50,Calc!$J$16),INDEX('My Order Engine'!$AH50:$AV50,Calc!$K$16)),"")</f>
        <v/>
      </c>
      <c r="N48" s="25" t="str">
        <f>IF(AND($A48&lt;=IF(Calc!$C$36=999,360,Calc!$C$36),Calc!$C$17=1),CHOOSE(Calc!$C$3,INDEX('Snowball Engine'!$AH50:$AV50,Calc!$I$17),INDEX('Avalanche Engine'!$AH50:$AV50,Calc!$J$17),INDEX('My Order Engine'!$AH50:$AV50,Calc!$K$17)),"")</f>
        <v/>
      </c>
      <c r="O48" s="25" t="str">
        <f>IF(AND($A48&lt;=IF(Calc!$C$36=999,360,Calc!$C$36),Calc!$C$18=1),CHOOSE(Calc!$C$3,INDEX('Snowball Engine'!$AH50:$AV50,Calc!$I$18),INDEX('Avalanche Engine'!$AH50:$AV50,Calc!$J$18),INDEX('My Order Engine'!$AH50:$AV50,Calc!$K$18)),"")</f>
        <v/>
      </c>
      <c r="P48" s="25" t="str">
        <f>IF(AND($A48&lt;=IF(Calc!$C$36=999,360,Calc!$C$36),Calc!$C$19=1),CHOOSE(Calc!$C$3,INDEX('Snowball Engine'!$AH50:$AV50,Calc!$I$19),INDEX('Avalanche Engine'!$AH50:$AV50,Calc!$J$19),INDEX('My Order Engine'!$AH50:$AV50,Calc!$K$19)),"")</f>
        <v/>
      </c>
      <c r="Q48" s="25" t="str">
        <f>IF(AND($A48&lt;=IF(Calc!$C$36=999,360,Calc!$C$36),Calc!$C$20=1),CHOOSE(Calc!$C$3,INDEX('Snowball Engine'!$AH50:$AV50,Calc!$I$20),INDEX('Avalanche Engine'!$AH50:$AV50,Calc!$J$20),INDEX('My Order Engine'!$AH50:$AV50,Calc!$K$20)),"")</f>
        <v/>
      </c>
      <c r="R48" s="25" t="str">
        <f>IF(AND($A48&lt;=IF(Calc!$C$36=999,360,Calc!$C$36),Calc!$C$21=1),CHOOSE(Calc!$C$3,INDEX('Snowball Engine'!$AH50:$AV50,Calc!$I$21),INDEX('Avalanche Engine'!$AH50:$AV50,Calc!$J$21),INDEX('My Order Engine'!$AH50:$AV50,Calc!$K$21)),"")</f>
        <v/>
      </c>
      <c r="S48" s="25" t="str">
        <f>IF(AND($A48&lt;=IF(Calc!$C$36=999,360,Calc!$C$36),Calc!$C$22=1),CHOOSE(Calc!$C$3,INDEX('Snowball Engine'!$AH50:$AV50,Calc!$I$22),INDEX('Avalanche Engine'!$AH50:$AV50,Calc!$J$22),INDEX('My Order Engine'!$AH50:$AV50,Calc!$K$22)),"")</f>
        <v/>
      </c>
      <c r="T48" s="25" t="str">
        <f>IF(AND($A48&lt;=IF(Calc!$C$36=999,360,Calc!$C$36),Calc!$C$23=1),CHOOSE(Calc!$C$3,INDEX('Snowball Engine'!$AH50:$AV50,Calc!$I$23),INDEX('Avalanche Engine'!$AH50:$AV50,Calc!$J$23),INDEX('My Order Engine'!$AH50:$AV50,Calc!$K$23)),"")</f>
        <v/>
      </c>
      <c r="U48" s="25" t="str">
        <f>IF(AND($A48&lt;=IF(Calc!$C$36=999,360,Calc!$C$36),Calc!$C$24=1),CHOOSE(Calc!$C$3,INDEX('Snowball Engine'!$AH50:$AV50,Calc!$I$24),INDEX('Avalanche Engine'!$AH50:$AV50,Calc!$J$24),INDEX('My Order Engine'!$AH50:$AV50,Calc!$K$24)),"")</f>
        <v/>
      </c>
    </row>
    <row r="49" spans="1:21" x14ac:dyDescent="0.35">
      <c r="A49" s="23">
        <v>45</v>
      </c>
      <c r="B49" s="24" t="str">
        <f>IF($A49&lt;=IF(Calc!$C$36=999,360,Calc!$C$36),EDATE(Calc!$C$5,A49-1),"")</f>
        <v/>
      </c>
      <c r="C49" s="25" t="str">
        <f>IF($A49&lt;=IF(Calc!$C$36=999,360,Calc!$C$36),CHOOSE(Calc!$C$3,'Snowball Engine'!AY51,'Avalanche Engine'!AY51,'My Order Engine'!AY51),"")</f>
        <v/>
      </c>
      <c r="D49" s="25" t="str">
        <f>IF($A49&lt;=IF(Calc!$C$36=999,360,Calc!$C$36),CHOOSE(Calc!$C$3,'Snowball Engine'!AX51,'Avalanche Engine'!AX51,'My Order Engine'!AX51),"")</f>
        <v/>
      </c>
      <c r="E49" s="25" t="str">
        <f>IF($A49&lt;=IF(Calc!$C$36=999,360,Calc!$C$36),C49-D49,"")</f>
        <v/>
      </c>
      <c r="F49" s="25" t="str">
        <f>IF($A49&lt;=IF(Calc!$C$36=999,360,Calc!$C$36),CHOOSE(Calc!$C$3,'Snowball Engine'!AW51,'Avalanche Engine'!AW51,'My Order Engine'!AW51),"")</f>
        <v/>
      </c>
      <c r="G49" s="25" t="str">
        <f>IF(AND($A49&lt;=IF(Calc!$C$36=999,360,Calc!$C$36),Calc!$C$10=1),CHOOSE(Calc!$C$3,INDEX('Snowball Engine'!$AH51:$AV51,Calc!$I$10),INDEX('Avalanche Engine'!$AH51:$AV51,Calc!$J$10),INDEX('My Order Engine'!$AH51:$AV51,Calc!$K$10)),"")</f>
        <v/>
      </c>
      <c r="H49" s="25" t="str">
        <f>IF(AND($A49&lt;=IF(Calc!$C$36=999,360,Calc!$C$36),Calc!$C$11=1),CHOOSE(Calc!$C$3,INDEX('Snowball Engine'!$AH51:$AV51,Calc!$I$11),INDEX('Avalanche Engine'!$AH51:$AV51,Calc!$J$11),INDEX('My Order Engine'!$AH51:$AV51,Calc!$K$11)),"")</f>
        <v/>
      </c>
      <c r="I49" s="25" t="str">
        <f>IF(AND($A49&lt;=IF(Calc!$C$36=999,360,Calc!$C$36),Calc!$C$12=1),CHOOSE(Calc!$C$3,INDEX('Snowball Engine'!$AH51:$AV51,Calc!$I$12),INDEX('Avalanche Engine'!$AH51:$AV51,Calc!$J$12),INDEX('My Order Engine'!$AH51:$AV51,Calc!$K$12)),"")</f>
        <v/>
      </c>
      <c r="J49" s="25" t="str">
        <f>IF(AND($A49&lt;=IF(Calc!$C$36=999,360,Calc!$C$36),Calc!$C$13=1),CHOOSE(Calc!$C$3,INDEX('Snowball Engine'!$AH51:$AV51,Calc!$I$13),INDEX('Avalanche Engine'!$AH51:$AV51,Calc!$J$13),INDEX('My Order Engine'!$AH51:$AV51,Calc!$K$13)),"")</f>
        <v/>
      </c>
      <c r="K49" s="25" t="str">
        <f>IF(AND($A49&lt;=IF(Calc!$C$36=999,360,Calc!$C$36),Calc!$C$14=1),CHOOSE(Calc!$C$3,INDEX('Snowball Engine'!$AH51:$AV51,Calc!$I$14),INDEX('Avalanche Engine'!$AH51:$AV51,Calc!$J$14),INDEX('My Order Engine'!$AH51:$AV51,Calc!$K$14)),"")</f>
        <v/>
      </c>
      <c r="L49" s="25" t="str">
        <f>IF(AND($A49&lt;=IF(Calc!$C$36=999,360,Calc!$C$36),Calc!$C$15=1),CHOOSE(Calc!$C$3,INDEX('Snowball Engine'!$AH51:$AV51,Calc!$I$15),INDEX('Avalanche Engine'!$AH51:$AV51,Calc!$J$15),INDEX('My Order Engine'!$AH51:$AV51,Calc!$K$15)),"")</f>
        <v/>
      </c>
      <c r="M49" s="25" t="str">
        <f>IF(AND($A49&lt;=IF(Calc!$C$36=999,360,Calc!$C$36),Calc!$C$16=1),CHOOSE(Calc!$C$3,INDEX('Snowball Engine'!$AH51:$AV51,Calc!$I$16),INDEX('Avalanche Engine'!$AH51:$AV51,Calc!$J$16),INDEX('My Order Engine'!$AH51:$AV51,Calc!$K$16)),"")</f>
        <v/>
      </c>
      <c r="N49" s="25" t="str">
        <f>IF(AND($A49&lt;=IF(Calc!$C$36=999,360,Calc!$C$36),Calc!$C$17=1),CHOOSE(Calc!$C$3,INDEX('Snowball Engine'!$AH51:$AV51,Calc!$I$17),INDEX('Avalanche Engine'!$AH51:$AV51,Calc!$J$17),INDEX('My Order Engine'!$AH51:$AV51,Calc!$K$17)),"")</f>
        <v/>
      </c>
      <c r="O49" s="25" t="str">
        <f>IF(AND($A49&lt;=IF(Calc!$C$36=999,360,Calc!$C$36),Calc!$C$18=1),CHOOSE(Calc!$C$3,INDEX('Snowball Engine'!$AH51:$AV51,Calc!$I$18),INDEX('Avalanche Engine'!$AH51:$AV51,Calc!$J$18),INDEX('My Order Engine'!$AH51:$AV51,Calc!$K$18)),"")</f>
        <v/>
      </c>
      <c r="P49" s="25" t="str">
        <f>IF(AND($A49&lt;=IF(Calc!$C$36=999,360,Calc!$C$36),Calc!$C$19=1),CHOOSE(Calc!$C$3,INDEX('Snowball Engine'!$AH51:$AV51,Calc!$I$19),INDEX('Avalanche Engine'!$AH51:$AV51,Calc!$J$19),INDEX('My Order Engine'!$AH51:$AV51,Calc!$K$19)),"")</f>
        <v/>
      </c>
      <c r="Q49" s="25" t="str">
        <f>IF(AND($A49&lt;=IF(Calc!$C$36=999,360,Calc!$C$36),Calc!$C$20=1),CHOOSE(Calc!$C$3,INDEX('Snowball Engine'!$AH51:$AV51,Calc!$I$20),INDEX('Avalanche Engine'!$AH51:$AV51,Calc!$J$20),INDEX('My Order Engine'!$AH51:$AV51,Calc!$K$20)),"")</f>
        <v/>
      </c>
      <c r="R49" s="25" t="str">
        <f>IF(AND($A49&lt;=IF(Calc!$C$36=999,360,Calc!$C$36),Calc!$C$21=1),CHOOSE(Calc!$C$3,INDEX('Snowball Engine'!$AH51:$AV51,Calc!$I$21),INDEX('Avalanche Engine'!$AH51:$AV51,Calc!$J$21),INDEX('My Order Engine'!$AH51:$AV51,Calc!$K$21)),"")</f>
        <v/>
      </c>
      <c r="S49" s="25" t="str">
        <f>IF(AND($A49&lt;=IF(Calc!$C$36=999,360,Calc!$C$36),Calc!$C$22=1),CHOOSE(Calc!$C$3,INDEX('Snowball Engine'!$AH51:$AV51,Calc!$I$22),INDEX('Avalanche Engine'!$AH51:$AV51,Calc!$J$22),INDEX('My Order Engine'!$AH51:$AV51,Calc!$K$22)),"")</f>
        <v/>
      </c>
      <c r="T49" s="25" t="str">
        <f>IF(AND($A49&lt;=IF(Calc!$C$36=999,360,Calc!$C$36),Calc!$C$23=1),CHOOSE(Calc!$C$3,INDEX('Snowball Engine'!$AH51:$AV51,Calc!$I$23),INDEX('Avalanche Engine'!$AH51:$AV51,Calc!$J$23),INDEX('My Order Engine'!$AH51:$AV51,Calc!$K$23)),"")</f>
        <v/>
      </c>
      <c r="U49" s="25" t="str">
        <f>IF(AND($A49&lt;=IF(Calc!$C$36=999,360,Calc!$C$36),Calc!$C$24=1),CHOOSE(Calc!$C$3,INDEX('Snowball Engine'!$AH51:$AV51,Calc!$I$24),INDEX('Avalanche Engine'!$AH51:$AV51,Calc!$J$24),INDEX('My Order Engine'!$AH51:$AV51,Calc!$K$24)),"")</f>
        <v/>
      </c>
    </row>
    <row r="50" spans="1:21" x14ac:dyDescent="0.35">
      <c r="A50" s="23">
        <v>46</v>
      </c>
      <c r="B50" s="24" t="str">
        <f>IF($A50&lt;=IF(Calc!$C$36=999,360,Calc!$C$36),EDATE(Calc!$C$5,A50-1),"")</f>
        <v/>
      </c>
      <c r="C50" s="25" t="str">
        <f>IF($A50&lt;=IF(Calc!$C$36=999,360,Calc!$C$36),CHOOSE(Calc!$C$3,'Snowball Engine'!AY52,'Avalanche Engine'!AY52,'My Order Engine'!AY52),"")</f>
        <v/>
      </c>
      <c r="D50" s="25" t="str">
        <f>IF($A50&lt;=IF(Calc!$C$36=999,360,Calc!$C$36),CHOOSE(Calc!$C$3,'Snowball Engine'!AX52,'Avalanche Engine'!AX52,'My Order Engine'!AX52),"")</f>
        <v/>
      </c>
      <c r="E50" s="25" t="str">
        <f>IF($A50&lt;=IF(Calc!$C$36=999,360,Calc!$C$36),C50-D50,"")</f>
        <v/>
      </c>
      <c r="F50" s="25" t="str">
        <f>IF($A50&lt;=IF(Calc!$C$36=999,360,Calc!$C$36),CHOOSE(Calc!$C$3,'Snowball Engine'!AW52,'Avalanche Engine'!AW52,'My Order Engine'!AW52),"")</f>
        <v/>
      </c>
      <c r="G50" s="25" t="str">
        <f>IF(AND($A50&lt;=IF(Calc!$C$36=999,360,Calc!$C$36),Calc!$C$10=1),CHOOSE(Calc!$C$3,INDEX('Snowball Engine'!$AH52:$AV52,Calc!$I$10),INDEX('Avalanche Engine'!$AH52:$AV52,Calc!$J$10),INDEX('My Order Engine'!$AH52:$AV52,Calc!$K$10)),"")</f>
        <v/>
      </c>
      <c r="H50" s="25" t="str">
        <f>IF(AND($A50&lt;=IF(Calc!$C$36=999,360,Calc!$C$36),Calc!$C$11=1),CHOOSE(Calc!$C$3,INDEX('Snowball Engine'!$AH52:$AV52,Calc!$I$11),INDEX('Avalanche Engine'!$AH52:$AV52,Calc!$J$11),INDEX('My Order Engine'!$AH52:$AV52,Calc!$K$11)),"")</f>
        <v/>
      </c>
      <c r="I50" s="25" t="str">
        <f>IF(AND($A50&lt;=IF(Calc!$C$36=999,360,Calc!$C$36),Calc!$C$12=1),CHOOSE(Calc!$C$3,INDEX('Snowball Engine'!$AH52:$AV52,Calc!$I$12),INDEX('Avalanche Engine'!$AH52:$AV52,Calc!$J$12),INDEX('My Order Engine'!$AH52:$AV52,Calc!$K$12)),"")</f>
        <v/>
      </c>
      <c r="J50" s="25" t="str">
        <f>IF(AND($A50&lt;=IF(Calc!$C$36=999,360,Calc!$C$36),Calc!$C$13=1),CHOOSE(Calc!$C$3,INDEX('Snowball Engine'!$AH52:$AV52,Calc!$I$13),INDEX('Avalanche Engine'!$AH52:$AV52,Calc!$J$13),INDEX('My Order Engine'!$AH52:$AV52,Calc!$K$13)),"")</f>
        <v/>
      </c>
      <c r="K50" s="25" t="str">
        <f>IF(AND($A50&lt;=IF(Calc!$C$36=999,360,Calc!$C$36),Calc!$C$14=1),CHOOSE(Calc!$C$3,INDEX('Snowball Engine'!$AH52:$AV52,Calc!$I$14),INDEX('Avalanche Engine'!$AH52:$AV52,Calc!$J$14),INDEX('My Order Engine'!$AH52:$AV52,Calc!$K$14)),"")</f>
        <v/>
      </c>
      <c r="L50" s="25" t="str">
        <f>IF(AND($A50&lt;=IF(Calc!$C$36=999,360,Calc!$C$36),Calc!$C$15=1),CHOOSE(Calc!$C$3,INDEX('Snowball Engine'!$AH52:$AV52,Calc!$I$15),INDEX('Avalanche Engine'!$AH52:$AV52,Calc!$J$15),INDEX('My Order Engine'!$AH52:$AV52,Calc!$K$15)),"")</f>
        <v/>
      </c>
      <c r="M50" s="25" t="str">
        <f>IF(AND($A50&lt;=IF(Calc!$C$36=999,360,Calc!$C$36),Calc!$C$16=1),CHOOSE(Calc!$C$3,INDEX('Snowball Engine'!$AH52:$AV52,Calc!$I$16),INDEX('Avalanche Engine'!$AH52:$AV52,Calc!$J$16),INDEX('My Order Engine'!$AH52:$AV52,Calc!$K$16)),"")</f>
        <v/>
      </c>
      <c r="N50" s="25" t="str">
        <f>IF(AND($A50&lt;=IF(Calc!$C$36=999,360,Calc!$C$36),Calc!$C$17=1),CHOOSE(Calc!$C$3,INDEX('Snowball Engine'!$AH52:$AV52,Calc!$I$17),INDEX('Avalanche Engine'!$AH52:$AV52,Calc!$J$17),INDEX('My Order Engine'!$AH52:$AV52,Calc!$K$17)),"")</f>
        <v/>
      </c>
      <c r="O50" s="25" t="str">
        <f>IF(AND($A50&lt;=IF(Calc!$C$36=999,360,Calc!$C$36),Calc!$C$18=1),CHOOSE(Calc!$C$3,INDEX('Snowball Engine'!$AH52:$AV52,Calc!$I$18),INDEX('Avalanche Engine'!$AH52:$AV52,Calc!$J$18),INDEX('My Order Engine'!$AH52:$AV52,Calc!$K$18)),"")</f>
        <v/>
      </c>
      <c r="P50" s="25" t="str">
        <f>IF(AND($A50&lt;=IF(Calc!$C$36=999,360,Calc!$C$36),Calc!$C$19=1),CHOOSE(Calc!$C$3,INDEX('Snowball Engine'!$AH52:$AV52,Calc!$I$19),INDEX('Avalanche Engine'!$AH52:$AV52,Calc!$J$19),INDEX('My Order Engine'!$AH52:$AV52,Calc!$K$19)),"")</f>
        <v/>
      </c>
      <c r="Q50" s="25" t="str">
        <f>IF(AND($A50&lt;=IF(Calc!$C$36=999,360,Calc!$C$36),Calc!$C$20=1),CHOOSE(Calc!$C$3,INDEX('Snowball Engine'!$AH52:$AV52,Calc!$I$20),INDEX('Avalanche Engine'!$AH52:$AV52,Calc!$J$20),INDEX('My Order Engine'!$AH52:$AV52,Calc!$K$20)),"")</f>
        <v/>
      </c>
      <c r="R50" s="25" t="str">
        <f>IF(AND($A50&lt;=IF(Calc!$C$36=999,360,Calc!$C$36),Calc!$C$21=1),CHOOSE(Calc!$C$3,INDEX('Snowball Engine'!$AH52:$AV52,Calc!$I$21),INDEX('Avalanche Engine'!$AH52:$AV52,Calc!$J$21),INDEX('My Order Engine'!$AH52:$AV52,Calc!$K$21)),"")</f>
        <v/>
      </c>
      <c r="S50" s="25" t="str">
        <f>IF(AND($A50&lt;=IF(Calc!$C$36=999,360,Calc!$C$36),Calc!$C$22=1),CHOOSE(Calc!$C$3,INDEX('Snowball Engine'!$AH52:$AV52,Calc!$I$22),INDEX('Avalanche Engine'!$AH52:$AV52,Calc!$J$22),INDEX('My Order Engine'!$AH52:$AV52,Calc!$K$22)),"")</f>
        <v/>
      </c>
      <c r="T50" s="25" t="str">
        <f>IF(AND($A50&lt;=IF(Calc!$C$36=999,360,Calc!$C$36),Calc!$C$23=1),CHOOSE(Calc!$C$3,INDEX('Snowball Engine'!$AH52:$AV52,Calc!$I$23),INDEX('Avalanche Engine'!$AH52:$AV52,Calc!$J$23),INDEX('My Order Engine'!$AH52:$AV52,Calc!$K$23)),"")</f>
        <v/>
      </c>
      <c r="U50" s="25" t="str">
        <f>IF(AND($A50&lt;=IF(Calc!$C$36=999,360,Calc!$C$36),Calc!$C$24=1),CHOOSE(Calc!$C$3,INDEX('Snowball Engine'!$AH52:$AV52,Calc!$I$24),INDEX('Avalanche Engine'!$AH52:$AV52,Calc!$J$24),INDEX('My Order Engine'!$AH52:$AV52,Calc!$K$24)),"")</f>
        <v/>
      </c>
    </row>
    <row r="51" spans="1:21" x14ac:dyDescent="0.35">
      <c r="A51" s="23">
        <v>47</v>
      </c>
      <c r="B51" s="24" t="str">
        <f>IF($A51&lt;=IF(Calc!$C$36=999,360,Calc!$C$36),EDATE(Calc!$C$5,A51-1),"")</f>
        <v/>
      </c>
      <c r="C51" s="25" t="str">
        <f>IF($A51&lt;=IF(Calc!$C$36=999,360,Calc!$C$36),CHOOSE(Calc!$C$3,'Snowball Engine'!AY53,'Avalanche Engine'!AY53,'My Order Engine'!AY53),"")</f>
        <v/>
      </c>
      <c r="D51" s="25" t="str">
        <f>IF($A51&lt;=IF(Calc!$C$36=999,360,Calc!$C$36),CHOOSE(Calc!$C$3,'Snowball Engine'!AX53,'Avalanche Engine'!AX53,'My Order Engine'!AX53),"")</f>
        <v/>
      </c>
      <c r="E51" s="25" t="str">
        <f>IF($A51&lt;=IF(Calc!$C$36=999,360,Calc!$C$36),C51-D51,"")</f>
        <v/>
      </c>
      <c r="F51" s="25" t="str">
        <f>IF($A51&lt;=IF(Calc!$C$36=999,360,Calc!$C$36),CHOOSE(Calc!$C$3,'Snowball Engine'!AW53,'Avalanche Engine'!AW53,'My Order Engine'!AW53),"")</f>
        <v/>
      </c>
      <c r="G51" s="25" t="str">
        <f>IF(AND($A51&lt;=IF(Calc!$C$36=999,360,Calc!$C$36),Calc!$C$10=1),CHOOSE(Calc!$C$3,INDEX('Snowball Engine'!$AH53:$AV53,Calc!$I$10),INDEX('Avalanche Engine'!$AH53:$AV53,Calc!$J$10),INDEX('My Order Engine'!$AH53:$AV53,Calc!$K$10)),"")</f>
        <v/>
      </c>
      <c r="H51" s="25" t="str">
        <f>IF(AND($A51&lt;=IF(Calc!$C$36=999,360,Calc!$C$36),Calc!$C$11=1),CHOOSE(Calc!$C$3,INDEX('Snowball Engine'!$AH53:$AV53,Calc!$I$11),INDEX('Avalanche Engine'!$AH53:$AV53,Calc!$J$11),INDEX('My Order Engine'!$AH53:$AV53,Calc!$K$11)),"")</f>
        <v/>
      </c>
      <c r="I51" s="25" t="str">
        <f>IF(AND($A51&lt;=IF(Calc!$C$36=999,360,Calc!$C$36),Calc!$C$12=1),CHOOSE(Calc!$C$3,INDEX('Snowball Engine'!$AH53:$AV53,Calc!$I$12),INDEX('Avalanche Engine'!$AH53:$AV53,Calc!$J$12),INDEX('My Order Engine'!$AH53:$AV53,Calc!$K$12)),"")</f>
        <v/>
      </c>
      <c r="J51" s="25" t="str">
        <f>IF(AND($A51&lt;=IF(Calc!$C$36=999,360,Calc!$C$36),Calc!$C$13=1),CHOOSE(Calc!$C$3,INDEX('Snowball Engine'!$AH53:$AV53,Calc!$I$13),INDEX('Avalanche Engine'!$AH53:$AV53,Calc!$J$13),INDEX('My Order Engine'!$AH53:$AV53,Calc!$K$13)),"")</f>
        <v/>
      </c>
      <c r="K51" s="25" t="str">
        <f>IF(AND($A51&lt;=IF(Calc!$C$36=999,360,Calc!$C$36),Calc!$C$14=1),CHOOSE(Calc!$C$3,INDEX('Snowball Engine'!$AH53:$AV53,Calc!$I$14),INDEX('Avalanche Engine'!$AH53:$AV53,Calc!$J$14),INDEX('My Order Engine'!$AH53:$AV53,Calc!$K$14)),"")</f>
        <v/>
      </c>
      <c r="L51" s="25" t="str">
        <f>IF(AND($A51&lt;=IF(Calc!$C$36=999,360,Calc!$C$36),Calc!$C$15=1),CHOOSE(Calc!$C$3,INDEX('Snowball Engine'!$AH53:$AV53,Calc!$I$15),INDEX('Avalanche Engine'!$AH53:$AV53,Calc!$J$15),INDEX('My Order Engine'!$AH53:$AV53,Calc!$K$15)),"")</f>
        <v/>
      </c>
      <c r="M51" s="25" t="str">
        <f>IF(AND($A51&lt;=IF(Calc!$C$36=999,360,Calc!$C$36),Calc!$C$16=1),CHOOSE(Calc!$C$3,INDEX('Snowball Engine'!$AH53:$AV53,Calc!$I$16),INDEX('Avalanche Engine'!$AH53:$AV53,Calc!$J$16),INDEX('My Order Engine'!$AH53:$AV53,Calc!$K$16)),"")</f>
        <v/>
      </c>
      <c r="N51" s="25" t="str">
        <f>IF(AND($A51&lt;=IF(Calc!$C$36=999,360,Calc!$C$36),Calc!$C$17=1),CHOOSE(Calc!$C$3,INDEX('Snowball Engine'!$AH53:$AV53,Calc!$I$17),INDEX('Avalanche Engine'!$AH53:$AV53,Calc!$J$17),INDEX('My Order Engine'!$AH53:$AV53,Calc!$K$17)),"")</f>
        <v/>
      </c>
      <c r="O51" s="25" t="str">
        <f>IF(AND($A51&lt;=IF(Calc!$C$36=999,360,Calc!$C$36),Calc!$C$18=1),CHOOSE(Calc!$C$3,INDEX('Snowball Engine'!$AH53:$AV53,Calc!$I$18),INDEX('Avalanche Engine'!$AH53:$AV53,Calc!$J$18),INDEX('My Order Engine'!$AH53:$AV53,Calc!$K$18)),"")</f>
        <v/>
      </c>
      <c r="P51" s="25" t="str">
        <f>IF(AND($A51&lt;=IF(Calc!$C$36=999,360,Calc!$C$36),Calc!$C$19=1),CHOOSE(Calc!$C$3,INDEX('Snowball Engine'!$AH53:$AV53,Calc!$I$19),INDEX('Avalanche Engine'!$AH53:$AV53,Calc!$J$19),INDEX('My Order Engine'!$AH53:$AV53,Calc!$K$19)),"")</f>
        <v/>
      </c>
      <c r="Q51" s="25" t="str">
        <f>IF(AND($A51&lt;=IF(Calc!$C$36=999,360,Calc!$C$36),Calc!$C$20=1),CHOOSE(Calc!$C$3,INDEX('Snowball Engine'!$AH53:$AV53,Calc!$I$20),INDEX('Avalanche Engine'!$AH53:$AV53,Calc!$J$20),INDEX('My Order Engine'!$AH53:$AV53,Calc!$K$20)),"")</f>
        <v/>
      </c>
      <c r="R51" s="25" t="str">
        <f>IF(AND($A51&lt;=IF(Calc!$C$36=999,360,Calc!$C$36),Calc!$C$21=1),CHOOSE(Calc!$C$3,INDEX('Snowball Engine'!$AH53:$AV53,Calc!$I$21),INDEX('Avalanche Engine'!$AH53:$AV53,Calc!$J$21),INDEX('My Order Engine'!$AH53:$AV53,Calc!$K$21)),"")</f>
        <v/>
      </c>
      <c r="S51" s="25" t="str">
        <f>IF(AND($A51&lt;=IF(Calc!$C$36=999,360,Calc!$C$36),Calc!$C$22=1),CHOOSE(Calc!$C$3,INDEX('Snowball Engine'!$AH53:$AV53,Calc!$I$22),INDEX('Avalanche Engine'!$AH53:$AV53,Calc!$J$22),INDEX('My Order Engine'!$AH53:$AV53,Calc!$K$22)),"")</f>
        <v/>
      </c>
      <c r="T51" s="25" t="str">
        <f>IF(AND($A51&lt;=IF(Calc!$C$36=999,360,Calc!$C$36),Calc!$C$23=1),CHOOSE(Calc!$C$3,INDEX('Snowball Engine'!$AH53:$AV53,Calc!$I$23),INDEX('Avalanche Engine'!$AH53:$AV53,Calc!$J$23),INDEX('My Order Engine'!$AH53:$AV53,Calc!$K$23)),"")</f>
        <v/>
      </c>
      <c r="U51" s="25" t="str">
        <f>IF(AND($A51&lt;=IF(Calc!$C$36=999,360,Calc!$C$36),Calc!$C$24=1),CHOOSE(Calc!$C$3,INDEX('Snowball Engine'!$AH53:$AV53,Calc!$I$24),INDEX('Avalanche Engine'!$AH53:$AV53,Calc!$J$24),INDEX('My Order Engine'!$AH53:$AV53,Calc!$K$24)),"")</f>
        <v/>
      </c>
    </row>
    <row r="52" spans="1:21" x14ac:dyDescent="0.35">
      <c r="A52" s="23">
        <v>48</v>
      </c>
      <c r="B52" s="24" t="str">
        <f>IF($A52&lt;=IF(Calc!$C$36=999,360,Calc!$C$36),EDATE(Calc!$C$5,A52-1),"")</f>
        <v/>
      </c>
      <c r="C52" s="25" t="str">
        <f>IF($A52&lt;=IF(Calc!$C$36=999,360,Calc!$C$36),CHOOSE(Calc!$C$3,'Snowball Engine'!AY54,'Avalanche Engine'!AY54,'My Order Engine'!AY54),"")</f>
        <v/>
      </c>
      <c r="D52" s="25" t="str">
        <f>IF($A52&lt;=IF(Calc!$C$36=999,360,Calc!$C$36),CHOOSE(Calc!$C$3,'Snowball Engine'!AX54,'Avalanche Engine'!AX54,'My Order Engine'!AX54),"")</f>
        <v/>
      </c>
      <c r="E52" s="25" t="str">
        <f>IF($A52&lt;=IF(Calc!$C$36=999,360,Calc!$C$36),C52-D52,"")</f>
        <v/>
      </c>
      <c r="F52" s="25" t="str">
        <f>IF($A52&lt;=IF(Calc!$C$36=999,360,Calc!$C$36),CHOOSE(Calc!$C$3,'Snowball Engine'!AW54,'Avalanche Engine'!AW54,'My Order Engine'!AW54),"")</f>
        <v/>
      </c>
      <c r="G52" s="25" t="str">
        <f>IF(AND($A52&lt;=IF(Calc!$C$36=999,360,Calc!$C$36),Calc!$C$10=1),CHOOSE(Calc!$C$3,INDEX('Snowball Engine'!$AH54:$AV54,Calc!$I$10),INDEX('Avalanche Engine'!$AH54:$AV54,Calc!$J$10),INDEX('My Order Engine'!$AH54:$AV54,Calc!$K$10)),"")</f>
        <v/>
      </c>
      <c r="H52" s="25" t="str">
        <f>IF(AND($A52&lt;=IF(Calc!$C$36=999,360,Calc!$C$36),Calc!$C$11=1),CHOOSE(Calc!$C$3,INDEX('Snowball Engine'!$AH54:$AV54,Calc!$I$11),INDEX('Avalanche Engine'!$AH54:$AV54,Calc!$J$11),INDEX('My Order Engine'!$AH54:$AV54,Calc!$K$11)),"")</f>
        <v/>
      </c>
      <c r="I52" s="25" t="str">
        <f>IF(AND($A52&lt;=IF(Calc!$C$36=999,360,Calc!$C$36),Calc!$C$12=1),CHOOSE(Calc!$C$3,INDEX('Snowball Engine'!$AH54:$AV54,Calc!$I$12),INDEX('Avalanche Engine'!$AH54:$AV54,Calc!$J$12),INDEX('My Order Engine'!$AH54:$AV54,Calc!$K$12)),"")</f>
        <v/>
      </c>
      <c r="J52" s="25" t="str">
        <f>IF(AND($A52&lt;=IF(Calc!$C$36=999,360,Calc!$C$36),Calc!$C$13=1),CHOOSE(Calc!$C$3,INDEX('Snowball Engine'!$AH54:$AV54,Calc!$I$13),INDEX('Avalanche Engine'!$AH54:$AV54,Calc!$J$13),INDEX('My Order Engine'!$AH54:$AV54,Calc!$K$13)),"")</f>
        <v/>
      </c>
      <c r="K52" s="25" t="str">
        <f>IF(AND($A52&lt;=IF(Calc!$C$36=999,360,Calc!$C$36),Calc!$C$14=1),CHOOSE(Calc!$C$3,INDEX('Snowball Engine'!$AH54:$AV54,Calc!$I$14),INDEX('Avalanche Engine'!$AH54:$AV54,Calc!$J$14),INDEX('My Order Engine'!$AH54:$AV54,Calc!$K$14)),"")</f>
        <v/>
      </c>
      <c r="L52" s="25" t="str">
        <f>IF(AND($A52&lt;=IF(Calc!$C$36=999,360,Calc!$C$36),Calc!$C$15=1),CHOOSE(Calc!$C$3,INDEX('Snowball Engine'!$AH54:$AV54,Calc!$I$15),INDEX('Avalanche Engine'!$AH54:$AV54,Calc!$J$15),INDEX('My Order Engine'!$AH54:$AV54,Calc!$K$15)),"")</f>
        <v/>
      </c>
      <c r="M52" s="25" t="str">
        <f>IF(AND($A52&lt;=IF(Calc!$C$36=999,360,Calc!$C$36),Calc!$C$16=1),CHOOSE(Calc!$C$3,INDEX('Snowball Engine'!$AH54:$AV54,Calc!$I$16),INDEX('Avalanche Engine'!$AH54:$AV54,Calc!$J$16),INDEX('My Order Engine'!$AH54:$AV54,Calc!$K$16)),"")</f>
        <v/>
      </c>
      <c r="N52" s="25" t="str">
        <f>IF(AND($A52&lt;=IF(Calc!$C$36=999,360,Calc!$C$36),Calc!$C$17=1),CHOOSE(Calc!$C$3,INDEX('Snowball Engine'!$AH54:$AV54,Calc!$I$17),INDEX('Avalanche Engine'!$AH54:$AV54,Calc!$J$17),INDEX('My Order Engine'!$AH54:$AV54,Calc!$K$17)),"")</f>
        <v/>
      </c>
      <c r="O52" s="25" t="str">
        <f>IF(AND($A52&lt;=IF(Calc!$C$36=999,360,Calc!$C$36),Calc!$C$18=1),CHOOSE(Calc!$C$3,INDEX('Snowball Engine'!$AH54:$AV54,Calc!$I$18),INDEX('Avalanche Engine'!$AH54:$AV54,Calc!$J$18),INDEX('My Order Engine'!$AH54:$AV54,Calc!$K$18)),"")</f>
        <v/>
      </c>
      <c r="P52" s="25" t="str">
        <f>IF(AND($A52&lt;=IF(Calc!$C$36=999,360,Calc!$C$36),Calc!$C$19=1),CHOOSE(Calc!$C$3,INDEX('Snowball Engine'!$AH54:$AV54,Calc!$I$19),INDEX('Avalanche Engine'!$AH54:$AV54,Calc!$J$19),INDEX('My Order Engine'!$AH54:$AV54,Calc!$K$19)),"")</f>
        <v/>
      </c>
      <c r="Q52" s="25" t="str">
        <f>IF(AND($A52&lt;=IF(Calc!$C$36=999,360,Calc!$C$36),Calc!$C$20=1),CHOOSE(Calc!$C$3,INDEX('Snowball Engine'!$AH54:$AV54,Calc!$I$20),INDEX('Avalanche Engine'!$AH54:$AV54,Calc!$J$20),INDEX('My Order Engine'!$AH54:$AV54,Calc!$K$20)),"")</f>
        <v/>
      </c>
      <c r="R52" s="25" t="str">
        <f>IF(AND($A52&lt;=IF(Calc!$C$36=999,360,Calc!$C$36),Calc!$C$21=1),CHOOSE(Calc!$C$3,INDEX('Snowball Engine'!$AH54:$AV54,Calc!$I$21),INDEX('Avalanche Engine'!$AH54:$AV54,Calc!$J$21),INDEX('My Order Engine'!$AH54:$AV54,Calc!$K$21)),"")</f>
        <v/>
      </c>
      <c r="S52" s="25" t="str">
        <f>IF(AND($A52&lt;=IF(Calc!$C$36=999,360,Calc!$C$36),Calc!$C$22=1),CHOOSE(Calc!$C$3,INDEX('Snowball Engine'!$AH54:$AV54,Calc!$I$22),INDEX('Avalanche Engine'!$AH54:$AV54,Calc!$J$22),INDEX('My Order Engine'!$AH54:$AV54,Calc!$K$22)),"")</f>
        <v/>
      </c>
      <c r="T52" s="25" t="str">
        <f>IF(AND($A52&lt;=IF(Calc!$C$36=999,360,Calc!$C$36),Calc!$C$23=1),CHOOSE(Calc!$C$3,INDEX('Snowball Engine'!$AH54:$AV54,Calc!$I$23),INDEX('Avalanche Engine'!$AH54:$AV54,Calc!$J$23),INDEX('My Order Engine'!$AH54:$AV54,Calc!$K$23)),"")</f>
        <v/>
      </c>
      <c r="U52" s="25" t="str">
        <f>IF(AND($A52&lt;=IF(Calc!$C$36=999,360,Calc!$C$36),Calc!$C$24=1),CHOOSE(Calc!$C$3,INDEX('Snowball Engine'!$AH54:$AV54,Calc!$I$24),INDEX('Avalanche Engine'!$AH54:$AV54,Calc!$J$24),INDEX('My Order Engine'!$AH54:$AV54,Calc!$K$24)),"")</f>
        <v/>
      </c>
    </row>
    <row r="53" spans="1:21" x14ac:dyDescent="0.35">
      <c r="A53" s="23">
        <v>49</v>
      </c>
      <c r="B53" s="24" t="str">
        <f>IF($A53&lt;=IF(Calc!$C$36=999,360,Calc!$C$36),EDATE(Calc!$C$5,A53-1),"")</f>
        <v/>
      </c>
      <c r="C53" s="25" t="str">
        <f>IF($A53&lt;=IF(Calc!$C$36=999,360,Calc!$C$36),CHOOSE(Calc!$C$3,'Snowball Engine'!AY55,'Avalanche Engine'!AY55,'My Order Engine'!AY55),"")</f>
        <v/>
      </c>
      <c r="D53" s="25" t="str">
        <f>IF($A53&lt;=IF(Calc!$C$36=999,360,Calc!$C$36),CHOOSE(Calc!$C$3,'Snowball Engine'!AX55,'Avalanche Engine'!AX55,'My Order Engine'!AX55),"")</f>
        <v/>
      </c>
      <c r="E53" s="25" t="str">
        <f>IF($A53&lt;=IF(Calc!$C$36=999,360,Calc!$C$36),C53-D53,"")</f>
        <v/>
      </c>
      <c r="F53" s="25" t="str">
        <f>IF($A53&lt;=IF(Calc!$C$36=999,360,Calc!$C$36),CHOOSE(Calc!$C$3,'Snowball Engine'!AW55,'Avalanche Engine'!AW55,'My Order Engine'!AW55),"")</f>
        <v/>
      </c>
      <c r="G53" s="25" t="str">
        <f>IF(AND($A53&lt;=IF(Calc!$C$36=999,360,Calc!$C$36),Calc!$C$10=1),CHOOSE(Calc!$C$3,INDEX('Snowball Engine'!$AH55:$AV55,Calc!$I$10),INDEX('Avalanche Engine'!$AH55:$AV55,Calc!$J$10),INDEX('My Order Engine'!$AH55:$AV55,Calc!$K$10)),"")</f>
        <v/>
      </c>
      <c r="H53" s="25" t="str">
        <f>IF(AND($A53&lt;=IF(Calc!$C$36=999,360,Calc!$C$36),Calc!$C$11=1),CHOOSE(Calc!$C$3,INDEX('Snowball Engine'!$AH55:$AV55,Calc!$I$11),INDEX('Avalanche Engine'!$AH55:$AV55,Calc!$J$11),INDEX('My Order Engine'!$AH55:$AV55,Calc!$K$11)),"")</f>
        <v/>
      </c>
      <c r="I53" s="25" t="str">
        <f>IF(AND($A53&lt;=IF(Calc!$C$36=999,360,Calc!$C$36),Calc!$C$12=1),CHOOSE(Calc!$C$3,INDEX('Snowball Engine'!$AH55:$AV55,Calc!$I$12),INDEX('Avalanche Engine'!$AH55:$AV55,Calc!$J$12),INDEX('My Order Engine'!$AH55:$AV55,Calc!$K$12)),"")</f>
        <v/>
      </c>
      <c r="J53" s="25" t="str">
        <f>IF(AND($A53&lt;=IF(Calc!$C$36=999,360,Calc!$C$36),Calc!$C$13=1),CHOOSE(Calc!$C$3,INDEX('Snowball Engine'!$AH55:$AV55,Calc!$I$13),INDEX('Avalanche Engine'!$AH55:$AV55,Calc!$J$13),INDEX('My Order Engine'!$AH55:$AV55,Calc!$K$13)),"")</f>
        <v/>
      </c>
      <c r="K53" s="25" t="str">
        <f>IF(AND($A53&lt;=IF(Calc!$C$36=999,360,Calc!$C$36),Calc!$C$14=1),CHOOSE(Calc!$C$3,INDEX('Snowball Engine'!$AH55:$AV55,Calc!$I$14),INDEX('Avalanche Engine'!$AH55:$AV55,Calc!$J$14),INDEX('My Order Engine'!$AH55:$AV55,Calc!$K$14)),"")</f>
        <v/>
      </c>
      <c r="L53" s="25" t="str">
        <f>IF(AND($A53&lt;=IF(Calc!$C$36=999,360,Calc!$C$36),Calc!$C$15=1),CHOOSE(Calc!$C$3,INDEX('Snowball Engine'!$AH55:$AV55,Calc!$I$15),INDEX('Avalanche Engine'!$AH55:$AV55,Calc!$J$15),INDEX('My Order Engine'!$AH55:$AV55,Calc!$K$15)),"")</f>
        <v/>
      </c>
      <c r="M53" s="25" t="str">
        <f>IF(AND($A53&lt;=IF(Calc!$C$36=999,360,Calc!$C$36),Calc!$C$16=1),CHOOSE(Calc!$C$3,INDEX('Snowball Engine'!$AH55:$AV55,Calc!$I$16),INDEX('Avalanche Engine'!$AH55:$AV55,Calc!$J$16),INDEX('My Order Engine'!$AH55:$AV55,Calc!$K$16)),"")</f>
        <v/>
      </c>
      <c r="N53" s="25" t="str">
        <f>IF(AND($A53&lt;=IF(Calc!$C$36=999,360,Calc!$C$36),Calc!$C$17=1),CHOOSE(Calc!$C$3,INDEX('Snowball Engine'!$AH55:$AV55,Calc!$I$17),INDEX('Avalanche Engine'!$AH55:$AV55,Calc!$J$17),INDEX('My Order Engine'!$AH55:$AV55,Calc!$K$17)),"")</f>
        <v/>
      </c>
      <c r="O53" s="25" t="str">
        <f>IF(AND($A53&lt;=IF(Calc!$C$36=999,360,Calc!$C$36),Calc!$C$18=1),CHOOSE(Calc!$C$3,INDEX('Snowball Engine'!$AH55:$AV55,Calc!$I$18),INDEX('Avalanche Engine'!$AH55:$AV55,Calc!$J$18),INDEX('My Order Engine'!$AH55:$AV55,Calc!$K$18)),"")</f>
        <v/>
      </c>
      <c r="P53" s="25" t="str">
        <f>IF(AND($A53&lt;=IF(Calc!$C$36=999,360,Calc!$C$36),Calc!$C$19=1),CHOOSE(Calc!$C$3,INDEX('Snowball Engine'!$AH55:$AV55,Calc!$I$19),INDEX('Avalanche Engine'!$AH55:$AV55,Calc!$J$19),INDEX('My Order Engine'!$AH55:$AV55,Calc!$K$19)),"")</f>
        <v/>
      </c>
      <c r="Q53" s="25" t="str">
        <f>IF(AND($A53&lt;=IF(Calc!$C$36=999,360,Calc!$C$36),Calc!$C$20=1),CHOOSE(Calc!$C$3,INDEX('Snowball Engine'!$AH55:$AV55,Calc!$I$20),INDEX('Avalanche Engine'!$AH55:$AV55,Calc!$J$20),INDEX('My Order Engine'!$AH55:$AV55,Calc!$K$20)),"")</f>
        <v/>
      </c>
      <c r="R53" s="25" t="str">
        <f>IF(AND($A53&lt;=IF(Calc!$C$36=999,360,Calc!$C$36),Calc!$C$21=1),CHOOSE(Calc!$C$3,INDEX('Snowball Engine'!$AH55:$AV55,Calc!$I$21),INDEX('Avalanche Engine'!$AH55:$AV55,Calc!$J$21),INDEX('My Order Engine'!$AH55:$AV55,Calc!$K$21)),"")</f>
        <v/>
      </c>
      <c r="S53" s="25" t="str">
        <f>IF(AND($A53&lt;=IF(Calc!$C$36=999,360,Calc!$C$36),Calc!$C$22=1),CHOOSE(Calc!$C$3,INDEX('Snowball Engine'!$AH55:$AV55,Calc!$I$22),INDEX('Avalanche Engine'!$AH55:$AV55,Calc!$J$22),INDEX('My Order Engine'!$AH55:$AV55,Calc!$K$22)),"")</f>
        <v/>
      </c>
      <c r="T53" s="25" t="str">
        <f>IF(AND($A53&lt;=IF(Calc!$C$36=999,360,Calc!$C$36),Calc!$C$23=1),CHOOSE(Calc!$C$3,INDEX('Snowball Engine'!$AH55:$AV55,Calc!$I$23),INDEX('Avalanche Engine'!$AH55:$AV55,Calc!$J$23),INDEX('My Order Engine'!$AH55:$AV55,Calc!$K$23)),"")</f>
        <v/>
      </c>
      <c r="U53" s="25" t="str">
        <f>IF(AND($A53&lt;=IF(Calc!$C$36=999,360,Calc!$C$36),Calc!$C$24=1),CHOOSE(Calc!$C$3,INDEX('Snowball Engine'!$AH55:$AV55,Calc!$I$24),INDEX('Avalanche Engine'!$AH55:$AV55,Calc!$J$24),INDEX('My Order Engine'!$AH55:$AV55,Calc!$K$24)),"")</f>
        <v/>
      </c>
    </row>
    <row r="54" spans="1:21" x14ac:dyDescent="0.35">
      <c r="A54" s="23">
        <v>50</v>
      </c>
      <c r="B54" s="24" t="str">
        <f>IF($A54&lt;=IF(Calc!$C$36=999,360,Calc!$C$36),EDATE(Calc!$C$5,A54-1),"")</f>
        <v/>
      </c>
      <c r="C54" s="25" t="str">
        <f>IF($A54&lt;=IF(Calc!$C$36=999,360,Calc!$C$36),CHOOSE(Calc!$C$3,'Snowball Engine'!AY56,'Avalanche Engine'!AY56,'My Order Engine'!AY56),"")</f>
        <v/>
      </c>
      <c r="D54" s="25" t="str">
        <f>IF($A54&lt;=IF(Calc!$C$36=999,360,Calc!$C$36),CHOOSE(Calc!$C$3,'Snowball Engine'!AX56,'Avalanche Engine'!AX56,'My Order Engine'!AX56),"")</f>
        <v/>
      </c>
      <c r="E54" s="25" t="str">
        <f>IF($A54&lt;=IF(Calc!$C$36=999,360,Calc!$C$36),C54-D54,"")</f>
        <v/>
      </c>
      <c r="F54" s="25" t="str">
        <f>IF($A54&lt;=IF(Calc!$C$36=999,360,Calc!$C$36),CHOOSE(Calc!$C$3,'Snowball Engine'!AW56,'Avalanche Engine'!AW56,'My Order Engine'!AW56),"")</f>
        <v/>
      </c>
      <c r="G54" s="25" t="str">
        <f>IF(AND($A54&lt;=IF(Calc!$C$36=999,360,Calc!$C$36),Calc!$C$10=1),CHOOSE(Calc!$C$3,INDEX('Snowball Engine'!$AH56:$AV56,Calc!$I$10),INDEX('Avalanche Engine'!$AH56:$AV56,Calc!$J$10),INDEX('My Order Engine'!$AH56:$AV56,Calc!$K$10)),"")</f>
        <v/>
      </c>
      <c r="H54" s="25" t="str">
        <f>IF(AND($A54&lt;=IF(Calc!$C$36=999,360,Calc!$C$36),Calc!$C$11=1),CHOOSE(Calc!$C$3,INDEX('Snowball Engine'!$AH56:$AV56,Calc!$I$11),INDEX('Avalanche Engine'!$AH56:$AV56,Calc!$J$11),INDEX('My Order Engine'!$AH56:$AV56,Calc!$K$11)),"")</f>
        <v/>
      </c>
      <c r="I54" s="25" t="str">
        <f>IF(AND($A54&lt;=IF(Calc!$C$36=999,360,Calc!$C$36),Calc!$C$12=1),CHOOSE(Calc!$C$3,INDEX('Snowball Engine'!$AH56:$AV56,Calc!$I$12),INDEX('Avalanche Engine'!$AH56:$AV56,Calc!$J$12),INDEX('My Order Engine'!$AH56:$AV56,Calc!$K$12)),"")</f>
        <v/>
      </c>
      <c r="J54" s="25" t="str">
        <f>IF(AND($A54&lt;=IF(Calc!$C$36=999,360,Calc!$C$36),Calc!$C$13=1),CHOOSE(Calc!$C$3,INDEX('Snowball Engine'!$AH56:$AV56,Calc!$I$13),INDEX('Avalanche Engine'!$AH56:$AV56,Calc!$J$13),INDEX('My Order Engine'!$AH56:$AV56,Calc!$K$13)),"")</f>
        <v/>
      </c>
      <c r="K54" s="25" t="str">
        <f>IF(AND($A54&lt;=IF(Calc!$C$36=999,360,Calc!$C$36),Calc!$C$14=1),CHOOSE(Calc!$C$3,INDEX('Snowball Engine'!$AH56:$AV56,Calc!$I$14),INDEX('Avalanche Engine'!$AH56:$AV56,Calc!$J$14),INDEX('My Order Engine'!$AH56:$AV56,Calc!$K$14)),"")</f>
        <v/>
      </c>
      <c r="L54" s="25" t="str">
        <f>IF(AND($A54&lt;=IF(Calc!$C$36=999,360,Calc!$C$36),Calc!$C$15=1),CHOOSE(Calc!$C$3,INDEX('Snowball Engine'!$AH56:$AV56,Calc!$I$15),INDEX('Avalanche Engine'!$AH56:$AV56,Calc!$J$15),INDEX('My Order Engine'!$AH56:$AV56,Calc!$K$15)),"")</f>
        <v/>
      </c>
      <c r="M54" s="25" t="str">
        <f>IF(AND($A54&lt;=IF(Calc!$C$36=999,360,Calc!$C$36),Calc!$C$16=1),CHOOSE(Calc!$C$3,INDEX('Snowball Engine'!$AH56:$AV56,Calc!$I$16),INDEX('Avalanche Engine'!$AH56:$AV56,Calc!$J$16),INDEX('My Order Engine'!$AH56:$AV56,Calc!$K$16)),"")</f>
        <v/>
      </c>
      <c r="N54" s="25" t="str">
        <f>IF(AND($A54&lt;=IF(Calc!$C$36=999,360,Calc!$C$36),Calc!$C$17=1),CHOOSE(Calc!$C$3,INDEX('Snowball Engine'!$AH56:$AV56,Calc!$I$17),INDEX('Avalanche Engine'!$AH56:$AV56,Calc!$J$17),INDEX('My Order Engine'!$AH56:$AV56,Calc!$K$17)),"")</f>
        <v/>
      </c>
      <c r="O54" s="25" t="str">
        <f>IF(AND($A54&lt;=IF(Calc!$C$36=999,360,Calc!$C$36),Calc!$C$18=1),CHOOSE(Calc!$C$3,INDEX('Snowball Engine'!$AH56:$AV56,Calc!$I$18),INDEX('Avalanche Engine'!$AH56:$AV56,Calc!$J$18),INDEX('My Order Engine'!$AH56:$AV56,Calc!$K$18)),"")</f>
        <v/>
      </c>
      <c r="P54" s="25" t="str">
        <f>IF(AND($A54&lt;=IF(Calc!$C$36=999,360,Calc!$C$36),Calc!$C$19=1),CHOOSE(Calc!$C$3,INDEX('Snowball Engine'!$AH56:$AV56,Calc!$I$19),INDEX('Avalanche Engine'!$AH56:$AV56,Calc!$J$19),INDEX('My Order Engine'!$AH56:$AV56,Calc!$K$19)),"")</f>
        <v/>
      </c>
      <c r="Q54" s="25" t="str">
        <f>IF(AND($A54&lt;=IF(Calc!$C$36=999,360,Calc!$C$36),Calc!$C$20=1),CHOOSE(Calc!$C$3,INDEX('Snowball Engine'!$AH56:$AV56,Calc!$I$20),INDEX('Avalanche Engine'!$AH56:$AV56,Calc!$J$20),INDEX('My Order Engine'!$AH56:$AV56,Calc!$K$20)),"")</f>
        <v/>
      </c>
      <c r="R54" s="25" t="str">
        <f>IF(AND($A54&lt;=IF(Calc!$C$36=999,360,Calc!$C$36),Calc!$C$21=1),CHOOSE(Calc!$C$3,INDEX('Snowball Engine'!$AH56:$AV56,Calc!$I$21),INDEX('Avalanche Engine'!$AH56:$AV56,Calc!$J$21),INDEX('My Order Engine'!$AH56:$AV56,Calc!$K$21)),"")</f>
        <v/>
      </c>
      <c r="S54" s="25" t="str">
        <f>IF(AND($A54&lt;=IF(Calc!$C$36=999,360,Calc!$C$36),Calc!$C$22=1),CHOOSE(Calc!$C$3,INDEX('Snowball Engine'!$AH56:$AV56,Calc!$I$22),INDEX('Avalanche Engine'!$AH56:$AV56,Calc!$J$22),INDEX('My Order Engine'!$AH56:$AV56,Calc!$K$22)),"")</f>
        <v/>
      </c>
      <c r="T54" s="25" t="str">
        <f>IF(AND($A54&lt;=IF(Calc!$C$36=999,360,Calc!$C$36),Calc!$C$23=1),CHOOSE(Calc!$C$3,INDEX('Snowball Engine'!$AH56:$AV56,Calc!$I$23),INDEX('Avalanche Engine'!$AH56:$AV56,Calc!$J$23),INDEX('My Order Engine'!$AH56:$AV56,Calc!$K$23)),"")</f>
        <v/>
      </c>
      <c r="U54" s="25" t="str">
        <f>IF(AND($A54&lt;=IF(Calc!$C$36=999,360,Calc!$C$36),Calc!$C$24=1),CHOOSE(Calc!$C$3,INDEX('Snowball Engine'!$AH56:$AV56,Calc!$I$24),INDEX('Avalanche Engine'!$AH56:$AV56,Calc!$J$24),INDEX('My Order Engine'!$AH56:$AV56,Calc!$K$24)),"")</f>
        <v/>
      </c>
    </row>
    <row r="55" spans="1:21" x14ac:dyDescent="0.35">
      <c r="A55" s="23">
        <v>51</v>
      </c>
      <c r="B55" s="24" t="str">
        <f>IF($A55&lt;=IF(Calc!$C$36=999,360,Calc!$C$36),EDATE(Calc!$C$5,A55-1),"")</f>
        <v/>
      </c>
      <c r="C55" s="25" t="str">
        <f>IF($A55&lt;=IF(Calc!$C$36=999,360,Calc!$C$36),CHOOSE(Calc!$C$3,'Snowball Engine'!AY57,'Avalanche Engine'!AY57,'My Order Engine'!AY57),"")</f>
        <v/>
      </c>
      <c r="D55" s="25" t="str">
        <f>IF($A55&lt;=IF(Calc!$C$36=999,360,Calc!$C$36),CHOOSE(Calc!$C$3,'Snowball Engine'!AX57,'Avalanche Engine'!AX57,'My Order Engine'!AX57),"")</f>
        <v/>
      </c>
      <c r="E55" s="25" t="str">
        <f>IF($A55&lt;=IF(Calc!$C$36=999,360,Calc!$C$36),C55-D55,"")</f>
        <v/>
      </c>
      <c r="F55" s="25" t="str">
        <f>IF($A55&lt;=IF(Calc!$C$36=999,360,Calc!$C$36),CHOOSE(Calc!$C$3,'Snowball Engine'!AW57,'Avalanche Engine'!AW57,'My Order Engine'!AW57),"")</f>
        <v/>
      </c>
      <c r="G55" s="25" t="str">
        <f>IF(AND($A55&lt;=IF(Calc!$C$36=999,360,Calc!$C$36),Calc!$C$10=1),CHOOSE(Calc!$C$3,INDEX('Snowball Engine'!$AH57:$AV57,Calc!$I$10),INDEX('Avalanche Engine'!$AH57:$AV57,Calc!$J$10),INDEX('My Order Engine'!$AH57:$AV57,Calc!$K$10)),"")</f>
        <v/>
      </c>
      <c r="H55" s="25" t="str">
        <f>IF(AND($A55&lt;=IF(Calc!$C$36=999,360,Calc!$C$36),Calc!$C$11=1),CHOOSE(Calc!$C$3,INDEX('Snowball Engine'!$AH57:$AV57,Calc!$I$11),INDEX('Avalanche Engine'!$AH57:$AV57,Calc!$J$11),INDEX('My Order Engine'!$AH57:$AV57,Calc!$K$11)),"")</f>
        <v/>
      </c>
      <c r="I55" s="25" t="str">
        <f>IF(AND($A55&lt;=IF(Calc!$C$36=999,360,Calc!$C$36),Calc!$C$12=1),CHOOSE(Calc!$C$3,INDEX('Snowball Engine'!$AH57:$AV57,Calc!$I$12),INDEX('Avalanche Engine'!$AH57:$AV57,Calc!$J$12),INDEX('My Order Engine'!$AH57:$AV57,Calc!$K$12)),"")</f>
        <v/>
      </c>
      <c r="J55" s="25" t="str">
        <f>IF(AND($A55&lt;=IF(Calc!$C$36=999,360,Calc!$C$36),Calc!$C$13=1),CHOOSE(Calc!$C$3,INDEX('Snowball Engine'!$AH57:$AV57,Calc!$I$13),INDEX('Avalanche Engine'!$AH57:$AV57,Calc!$J$13),INDEX('My Order Engine'!$AH57:$AV57,Calc!$K$13)),"")</f>
        <v/>
      </c>
      <c r="K55" s="25" t="str">
        <f>IF(AND($A55&lt;=IF(Calc!$C$36=999,360,Calc!$C$36),Calc!$C$14=1),CHOOSE(Calc!$C$3,INDEX('Snowball Engine'!$AH57:$AV57,Calc!$I$14),INDEX('Avalanche Engine'!$AH57:$AV57,Calc!$J$14),INDEX('My Order Engine'!$AH57:$AV57,Calc!$K$14)),"")</f>
        <v/>
      </c>
      <c r="L55" s="25" t="str">
        <f>IF(AND($A55&lt;=IF(Calc!$C$36=999,360,Calc!$C$36),Calc!$C$15=1),CHOOSE(Calc!$C$3,INDEX('Snowball Engine'!$AH57:$AV57,Calc!$I$15),INDEX('Avalanche Engine'!$AH57:$AV57,Calc!$J$15),INDEX('My Order Engine'!$AH57:$AV57,Calc!$K$15)),"")</f>
        <v/>
      </c>
      <c r="M55" s="25" t="str">
        <f>IF(AND($A55&lt;=IF(Calc!$C$36=999,360,Calc!$C$36),Calc!$C$16=1),CHOOSE(Calc!$C$3,INDEX('Snowball Engine'!$AH57:$AV57,Calc!$I$16),INDEX('Avalanche Engine'!$AH57:$AV57,Calc!$J$16),INDEX('My Order Engine'!$AH57:$AV57,Calc!$K$16)),"")</f>
        <v/>
      </c>
      <c r="N55" s="25" t="str">
        <f>IF(AND($A55&lt;=IF(Calc!$C$36=999,360,Calc!$C$36),Calc!$C$17=1),CHOOSE(Calc!$C$3,INDEX('Snowball Engine'!$AH57:$AV57,Calc!$I$17),INDEX('Avalanche Engine'!$AH57:$AV57,Calc!$J$17),INDEX('My Order Engine'!$AH57:$AV57,Calc!$K$17)),"")</f>
        <v/>
      </c>
      <c r="O55" s="25" t="str">
        <f>IF(AND($A55&lt;=IF(Calc!$C$36=999,360,Calc!$C$36),Calc!$C$18=1),CHOOSE(Calc!$C$3,INDEX('Snowball Engine'!$AH57:$AV57,Calc!$I$18),INDEX('Avalanche Engine'!$AH57:$AV57,Calc!$J$18),INDEX('My Order Engine'!$AH57:$AV57,Calc!$K$18)),"")</f>
        <v/>
      </c>
      <c r="P55" s="25" t="str">
        <f>IF(AND($A55&lt;=IF(Calc!$C$36=999,360,Calc!$C$36),Calc!$C$19=1),CHOOSE(Calc!$C$3,INDEX('Snowball Engine'!$AH57:$AV57,Calc!$I$19),INDEX('Avalanche Engine'!$AH57:$AV57,Calc!$J$19),INDEX('My Order Engine'!$AH57:$AV57,Calc!$K$19)),"")</f>
        <v/>
      </c>
      <c r="Q55" s="25" t="str">
        <f>IF(AND($A55&lt;=IF(Calc!$C$36=999,360,Calc!$C$36),Calc!$C$20=1),CHOOSE(Calc!$C$3,INDEX('Snowball Engine'!$AH57:$AV57,Calc!$I$20),INDEX('Avalanche Engine'!$AH57:$AV57,Calc!$J$20),INDEX('My Order Engine'!$AH57:$AV57,Calc!$K$20)),"")</f>
        <v/>
      </c>
      <c r="R55" s="25" t="str">
        <f>IF(AND($A55&lt;=IF(Calc!$C$36=999,360,Calc!$C$36),Calc!$C$21=1),CHOOSE(Calc!$C$3,INDEX('Snowball Engine'!$AH57:$AV57,Calc!$I$21),INDEX('Avalanche Engine'!$AH57:$AV57,Calc!$J$21),INDEX('My Order Engine'!$AH57:$AV57,Calc!$K$21)),"")</f>
        <v/>
      </c>
      <c r="S55" s="25" t="str">
        <f>IF(AND($A55&lt;=IF(Calc!$C$36=999,360,Calc!$C$36),Calc!$C$22=1),CHOOSE(Calc!$C$3,INDEX('Snowball Engine'!$AH57:$AV57,Calc!$I$22),INDEX('Avalanche Engine'!$AH57:$AV57,Calc!$J$22),INDEX('My Order Engine'!$AH57:$AV57,Calc!$K$22)),"")</f>
        <v/>
      </c>
      <c r="T55" s="25" t="str">
        <f>IF(AND($A55&lt;=IF(Calc!$C$36=999,360,Calc!$C$36),Calc!$C$23=1),CHOOSE(Calc!$C$3,INDEX('Snowball Engine'!$AH57:$AV57,Calc!$I$23),INDEX('Avalanche Engine'!$AH57:$AV57,Calc!$J$23),INDEX('My Order Engine'!$AH57:$AV57,Calc!$K$23)),"")</f>
        <v/>
      </c>
      <c r="U55" s="25" t="str">
        <f>IF(AND($A55&lt;=IF(Calc!$C$36=999,360,Calc!$C$36),Calc!$C$24=1),CHOOSE(Calc!$C$3,INDEX('Snowball Engine'!$AH57:$AV57,Calc!$I$24),INDEX('Avalanche Engine'!$AH57:$AV57,Calc!$J$24),INDEX('My Order Engine'!$AH57:$AV57,Calc!$K$24)),"")</f>
        <v/>
      </c>
    </row>
    <row r="56" spans="1:21" x14ac:dyDescent="0.35">
      <c r="A56" s="23">
        <v>52</v>
      </c>
      <c r="B56" s="24" t="str">
        <f>IF($A56&lt;=IF(Calc!$C$36=999,360,Calc!$C$36),EDATE(Calc!$C$5,A56-1),"")</f>
        <v/>
      </c>
      <c r="C56" s="25" t="str">
        <f>IF($A56&lt;=IF(Calc!$C$36=999,360,Calc!$C$36),CHOOSE(Calc!$C$3,'Snowball Engine'!AY58,'Avalanche Engine'!AY58,'My Order Engine'!AY58),"")</f>
        <v/>
      </c>
      <c r="D56" s="25" t="str">
        <f>IF($A56&lt;=IF(Calc!$C$36=999,360,Calc!$C$36),CHOOSE(Calc!$C$3,'Snowball Engine'!AX58,'Avalanche Engine'!AX58,'My Order Engine'!AX58),"")</f>
        <v/>
      </c>
      <c r="E56" s="25" t="str">
        <f>IF($A56&lt;=IF(Calc!$C$36=999,360,Calc!$C$36),C56-D56,"")</f>
        <v/>
      </c>
      <c r="F56" s="25" t="str">
        <f>IF($A56&lt;=IF(Calc!$C$36=999,360,Calc!$C$36),CHOOSE(Calc!$C$3,'Snowball Engine'!AW58,'Avalanche Engine'!AW58,'My Order Engine'!AW58),"")</f>
        <v/>
      </c>
      <c r="G56" s="25" t="str">
        <f>IF(AND($A56&lt;=IF(Calc!$C$36=999,360,Calc!$C$36),Calc!$C$10=1),CHOOSE(Calc!$C$3,INDEX('Snowball Engine'!$AH58:$AV58,Calc!$I$10),INDEX('Avalanche Engine'!$AH58:$AV58,Calc!$J$10),INDEX('My Order Engine'!$AH58:$AV58,Calc!$K$10)),"")</f>
        <v/>
      </c>
      <c r="H56" s="25" t="str">
        <f>IF(AND($A56&lt;=IF(Calc!$C$36=999,360,Calc!$C$36),Calc!$C$11=1),CHOOSE(Calc!$C$3,INDEX('Snowball Engine'!$AH58:$AV58,Calc!$I$11),INDEX('Avalanche Engine'!$AH58:$AV58,Calc!$J$11),INDEX('My Order Engine'!$AH58:$AV58,Calc!$K$11)),"")</f>
        <v/>
      </c>
      <c r="I56" s="25" t="str">
        <f>IF(AND($A56&lt;=IF(Calc!$C$36=999,360,Calc!$C$36),Calc!$C$12=1),CHOOSE(Calc!$C$3,INDEX('Snowball Engine'!$AH58:$AV58,Calc!$I$12),INDEX('Avalanche Engine'!$AH58:$AV58,Calc!$J$12),INDEX('My Order Engine'!$AH58:$AV58,Calc!$K$12)),"")</f>
        <v/>
      </c>
      <c r="J56" s="25" t="str">
        <f>IF(AND($A56&lt;=IF(Calc!$C$36=999,360,Calc!$C$36),Calc!$C$13=1),CHOOSE(Calc!$C$3,INDEX('Snowball Engine'!$AH58:$AV58,Calc!$I$13),INDEX('Avalanche Engine'!$AH58:$AV58,Calc!$J$13),INDEX('My Order Engine'!$AH58:$AV58,Calc!$K$13)),"")</f>
        <v/>
      </c>
      <c r="K56" s="25" t="str">
        <f>IF(AND($A56&lt;=IF(Calc!$C$36=999,360,Calc!$C$36),Calc!$C$14=1),CHOOSE(Calc!$C$3,INDEX('Snowball Engine'!$AH58:$AV58,Calc!$I$14),INDEX('Avalanche Engine'!$AH58:$AV58,Calc!$J$14),INDEX('My Order Engine'!$AH58:$AV58,Calc!$K$14)),"")</f>
        <v/>
      </c>
      <c r="L56" s="25" t="str">
        <f>IF(AND($A56&lt;=IF(Calc!$C$36=999,360,Calc!$C$36),Calc!$C$15=1),CHOOSE(Calc!$C$3,INDEX('Snowball Engine'!$AH58:$AV58,Calc!$I$15),INDEX('Avalanche Engine'!$AH58:$AV58,Calc!$J$15),INDEX('My Order Engine'!$AH58:$AV58,Calc!$K$15)),"")</f>
        <v/>
      </c>
      <c r="M56" s="25" t="str">
        <f>IF(AND($A56&lt;=IF(Calc!$C$36=999,360,Calc!$C$36),Calc!$C$16=1),CHOOSE(Calc!$C$3,INDEX('Snowball Engine'!$AH58:$AV58,Calc!$I$16),INDEX('Avalanche Engine'!$AH58:$AV58,Calc!$J$16),INDEX('My Order Engine'!$AH58:$AV58,Calc!$K$16)),"")</f>
        <v/>
      </c>
      <c r="N56" s="25" t="str">
        <f>IF(AND($A56&lt;=IF(Calc!$C$36=999,360,Calc!$C$36),Calc!$C$17=1),CHOOSE(Calc!$C$3,INDEX('Snowball Engine'!$AH58:$AV58,Calc!$I$17),INDEX('Avalanche Engine'!$AH58:$AV58,Calc!$J$17),INDEX('My Order Engine'!$AH58:$AV58,Calc!$K$17)),"")</f>
        <v/>
      </c>
      <c r="O56" s="25" t="str">
        <f>IF(AND($A56&lt;=IF(Calc!$C$36=999,360,Calc!$C$36),Calc!$C$18=1),CHOOSE(Calc!$C$3,INDEX('Snowball Engine'!$AH58:$AV58,Calc!$I$18),INDEX('Avalanche Engine'!$AH58:$AV58,Calc!$J$18),INDEX('My Order Engine'!$AH58:$AV58,Calc!$K$18)),"")</f>
        <v/>
      </c>
      <c r="P56" s="25" t="str">
        <f>IF(AND($A56&lt;=IF(Calc!$C$36=999,360,Calc!$C$36),Calc!$C$19=1),CHOOSE(Calc!$C$3,INDEX('Snowball Engine'!$AH58:$AV58,Calc!$I$19),INDEX('Avalanche Engine'!$AH58:$AV58,Calc!$J$19),INDEX('My Order Engine'!$AH58:$AV58,Calc!$K$19)),"")</f>
        <v/>
      </c>
      <c r="Q56" s="25" t="str">
        <f>IF(AND($A56&lt;=IF(Calc!$C$36=999,360,Calc!$C$36),Calc!$C$20=1),CHOOSE(Calc!$C$3,INDEX('Snowball Engine'!$AH58:$AV58,Calc!$I$20),INDEX('Avalanche Engine'!$AH58:$AV58,Calc!$J$20),INDEX('My Order Engine'!$AH58:$AV58,Calc!$K$20)),"")</f>
        <v/>
      </c>
      <c r="R56" s="25" t="str">
        <f>IF(AND($A56&lt;=IF(Calc!$C$36=999,360,Calc!$C$36),Calc!$C$21=1),CHOOSE(Calc!$C$3,INDEX('Snowball Engine'!$AH58:$AV58,Calc!$I$21),INDEX('Avalanche Engine'!$AH58:$AV58,Calc!$J$21),INDEX('My Order Engine'!$AH58:$AV58,Calc!$K$21)),"")</f>
        <v/>
      </c>
      <c r="S56" s="25" t="str">
        <f>IF(AND($A56&lt;=IF(Calc!$C$36=999,360,Calc!$C$36),Calc!$C$22=1),CHOOSE(Calc!$C$3,INDEX('Snowball Engine'!$AH58:$AV58,Calc!$I$22),INDEX('Avalanche Engine'!$AH58:$AV58,Calc!$J$22),INDEX('My Order Engine'!$AH58:$AV58,Calc!$K$22)),"")</f>
        <v/>
      </c>
      <c r="T56" s="25" t="str">
        <f>IF(AND($A56&lt;=IF(Calc!$C$36=999,360,Calc!$C$36),Calc!$C$23=1),CHOOSE(Calc!$C$3,INDEX('Snowball Engine'!$AH58:$AV58,Calc!$I$23),INDEX('Avalanche Engine'!$AH58:$AV58,Calc!$J$23),INDEX('My Order Engine'!$AH58:$AV58,Calc!$K$23)),"")</f>
        <v/>
      </c>
      <c r="U56" s="25" t="str">
        <f>IF(AND($A56&lt;=IF(Calc!$C$36=999,360,Calc!$C$36),Calc!$C$24=1),CHOOSE(Calc!$C$3,INDEX('Snowball Engine'!$AH58:$AV58,Calc!$I$24),INDEX('Avalanche Engine'!$AH58:$AV58,Calc!$J$24),INDEX('My Order Engine'!$AH58:$AV58,Calc!$K$24)),"")</f>
        <v/>
      </c>
    </row>
    <row r="57" spans="1:21" x14ac:dyDescent="0.35">
      <c r="A57" s="23">
        <v>53</v>
      </c>
      <c r="B57" s="24" t="str">
        <f>IF($A57&lt;=IF(Calc!$C$36=999,360,Calc!$C$36),EDATE(Calc!$C$5,A57-1),"")</f>
        <v/>
      </c>
      <c r="C57" s="25" t="str">
        <f>IF($A57&lt;=IF(Calc!$C$36=999,360,Calc!$C$36),CHOOSE(Calc!$C$3,'Snowball Engine'!AY59,'Avalanche Engine'!AY59,'My Order Engine'!AY59),"")</f>
        <v/>
      </c>
      <c r="D57" s="25" t="str">
        <f>IF($A57&lt;=IF(Calc!$C$36=999,360,Calc!$C$36),CHOOSE(Calc!$C$3,'Snowball Engine'!AX59,'Avalanche Engine'!AX59,'My Order Engine'!AX59),"")</f>
        <v/>
      </c>
      <c r="E57" s="25" t="str">
        <f>IF($A57&lt;=IF(Calc!$C$36=999,360,Calc!$C$36),C57-D57,"")</f>
        <v/>
      </c>
      <c r="F57" s="25" t="str">
        <f>IF($A57&lt;=IF(Calc!$C$36=999,360,Calc!$C$36),CHOOSE(Calc!$C$3,'Snowball Engine'!AW59,'Avalanche Engine'!AW59,'My Order Engine'!AW59),"")</f>
        <v/>
      </c>
      <c r="G57" s="25" t="str">
        <f>IF(AND($A57&lt;=IF(Calc!$C$36=999,360,Calc!$C$36),Calc!$C$10=1),CHOOSE(Calc!$C$3,INDEX('Snowball Engine'!$AH59:$AV59,Calc!$I$10),INDEX('Avalanche Engine'!$AH59:$AV59,Calc!$J$10),INDEX('My Order Engine'!$AH59:$AV59,Calc!$K$10)),"")</f>
        <v/>
      </c>
      <c r="H57" s="25" t="str">
        <f>IF(AND($A57&lt;=IF(Calc!$C$36=999,360,Calc!$C$36),Calc!$C$11=1),CHOOSE(Calc!$C$3,INDEX('Snowball Engine'!$AH59:$AV59,Calc!$I$11),INDEX('Avalanche Engine'!$AH59:$AV59,Calc!$J$11),INDEX('My Order Engine'!$AH59:$AV59,Calc!$K$11)),"")</f>
        <v/>
      </c>
      <c r="I57" s="25" t="str">
        <f>IF(AND($A57&lt;=IF(Calc!$C$36=999,360,Calc!$C$36),Calc!$C$12=1),CHOOSE(Calc!$C$3,INDEX('Snowball Engine'!$AH59:$AV59,Calc!$I$12),INDEX('Avalanche Engine'!$AH59:$AV59,Calc!$J$12),INDEX('My Order Engine'!$AH59:$AV59,Calc!$K$12)),"")</f>
        <v/>
      </c>
      <c r="J57" s="25" t="str">
        <f>IF(AND($A57&lt;=IF(Calc!$C$36=999,360,Calc!$C$36),Calc!$C$13=1),CHOOSE(Calc!$C$3,INDEX('Snowball Engine'!$AH59:$AV59,Calc!$I$13),INDEX('Avalanche Engine'!$AH59:$AV59,Calc!$J$13),INDEX('My Order Engine'!$AH59:$AV59,Calc!$K$13)),"")</f>
        <v/>
      </c>
      <c r="K57" s="25" t="str">
        <f>IF(AND($A57&lt;=IF(Calc!$C$36=999,360,Calc!$C$36),Calc!$C$14=1),CHOOSE(Calc!$C$3,INDEX('Snowball Engine'!$AH59:$AV59,Calc!$I$14),INDEX('Avalanche Engine'!$AH59:$AV59,Calc!$J$14),INDEX('My Order Engine'!$AH59:$AV59,Calc!$K$14)),"")</f>
        <v/>
      </c>
      <c r="L57" s="25" t="str">
        <f>IF(AND($A57&lt;=IF(Calc!$C$36=999,360,Calc!$C$36),Calc!$C$15=1),CHOOSE(Calc!$C$3,INDEX('Snowball Engine'!$AH59:$AV59,Calc!$I$15),INDEX('Avalanche Engine'!$AH59:$AV59,Calc!$J$15),INDEX('My Order Engine'!$AH59:$AV59,Calc!$K$15)),"")</f>
        <v/>
      </c>
      <c r="M57" s="25" t="str">
        <f>IF(AND($A57&lt;=IF(Calc!$C$36=999,360,Calc!$C$36),Calc!$C$16=1),CHOOSE(Calc!$C$3,INDEX('Snowball Engine'!$AH59:$AV59,Calc!$I$16),INDEX('Avalanche Engine'!$AH59:$AV59,Calc!$J$16),INDEX('My Order Engine'!$AH59:$AV59,Calc!$K$16)),"")</f>
        <v/>
      </c>
      <c r="N57" s="25" t="str">
        <f>IF(AND($A57&lt;=IF(Calc!$C$36=999,360,Calc!$C$36),Calc!$C$17=1),CHOOSE(Calc!$C$3,INDEX('Snowball Engine'!$AH59:$AV59,Calc!$I$17),INDEX('Avalanche Engine'!$AH59:$AV59,Calc!$J$17),INDEX('My Order Engine'!$AH59:$AV59,Calc!$K$17)),"")</f>
        <v/>
      </c>
      <c r="O57" s="25" t="str">
        <f>IF(AND($A57&lt;=IF(Calc!$C$36=999,360,Calc!$C$36),Calc!$C$18=1),CHOOSE(Calc!$C$3,INDEX('Snowball Engine'!$AH59:$AV59,Calc!$I$18),INDEX('Avalanche Engine'!$AH59:$AV59,Calc!$J$18),INDEX('My Order Engine'!$AH59:$AV59,Calc!$K$18)),"")</f>
        <v/>
      </c>
      <c r="P57" s="25" t="str">
        <f>IF(AND($A57&lt;=IF(Calc!$C$36=999,360,Calc!$C$36),Calc!$C$19=1),CHOOSE(Calc!$C$3,INDEX('Snowball Engine'!$AH59:$AV59,Calc!$I$19),INDEX('Avalanche Engine'!$AH59:$AV59,Calc!$J$19),INDEX('My Order Engine'!$AH59:$AV59,Calc!$K$19)),"")</f>
        <v/>
      </c>
      <c r="Q57" s="25" t="str">
        <f>IF(AND($A57&lt;=IF(Calc!$C$36=999,360,Calc!$C$36),Calc!$C$20=1),CHOOSE(Calc!$C$3,INDEX('Snowball Engine'!$AH59:$AV59,Calc!$I$20),INDEX('Avalanche Engine'!$AH59:$AV59,Calc!$J$20),INDEX('My Order Engine'!$AH59:$AV59,Calc!$K$20)),"")</f>
        <v/>
      </c>
      <c r="R57" s="25" t="str">
        <f>IF(AND($A57&lt;=IF(Calc!$C$36=999,360,Calc!$C$36),Calc!$C$21=1),CHOOSE(Calc!$C$3,INDEX('Snowball Engine'!$AH59:$AV59,Calc!$I$21),INDEX('Avalanche Engine'!$AH59:$AV59,Calc!$J$21),INDEX('My Order Engine'!$AH59:$AV59,Calc!$K$21)),"")</f>
        <v/>
      </c>
      <c r="S57" s="25" t="str">
        <f>IF(AND($A57&lt;=IF(Calc!$C$36=999,360,Calc!$C$36),Calc!$C$22=1),CHOOSE(Calc!$C$3,INDEX('Snowball Engine'!$AH59:$AV59,Calc!$I$22),INDEX('Avalanche Engine'!$AH59:$AV59,Calc!$J$22),INDEX('My Order Engine'!$AH59:$AV59,Calc!$K$22)),"")</f>
        <v/>
      </c>
      <c r="T57" s="25" t="str">
        <f>IF(AND($A57&lt;=IF(Calc!$C$36=999,360,Calc!$C$36),Calc!$C$23=1),CHOOSE(Calc!$C$3,INDEX('Snowball Engine'!$AH59:$AV59,Calc!$I$23),INDEX('Avalanche Engine'!$AH59:$AV59,Calc!$J$23),INDEX('My Order Engine'!$AH59:$AV59,Calc!$K$23)),"")</f>
        <v/>
      </c>
      <c r="U57" s="25" t="str">
        <f>IF(AND($A57&lt;=IF(Calc!$C$36=999,360,Calc!$C$36),Calc!$C$24=1),CHOOSE(Calc!$C$3,INDEX('Snowball Engine'!$AH59:$AV59,Calc!$I$24),INDEX('Avalanche Engine'!$AH59:$AV59,Calc!$J$24),INDEX('My Order Engine'!$AH59:$AV59,Calc!$K$24)),"")</f>
        <v/>
      </c>
    </row>
    <row r="58" spans="1:21" x14ac:dyDescent="0.35">
      <c r="A58" s="23">
        <v>54</v>
      </c>
      <c r="B58" s="24" t="str">
        <f>IF($A58&lt;=IF(Calc!$C$36=999,360,Calc!$C$36),EDATE(Calc!$C$5,A58-1),"")</f>
        <v/>
      </c>
      <c r="C58" s="25" t="str">
        <f>IF($A58&lt;=IF(Calc!$C$36=999,360,Calc!$C$36),CHOOSE(Calc!$C$3,'Snowball Engine'!AY60,'Avalanche Engine'!AY60,'My Order Engine'!AY60),"")</f>
        <v/>
      </c>
      <c r="D58" s="25" t="str">
        <f>IF($A58&lt;=IF(Calc!$C$36=999,360,Calc!$C$36),CHOOSE(Calc!$C$3,'Snowball Engine'!AX60,'Avalanche Engine'!AX60,'My Order Engine'!AX60),"")</f>
        <v/>
      </c>
      <c r="E58" s="25" t="str">
        <f>IF($A58&lt;=IF(Calc!$C$36=999,360,Calc!$C$36),C58-D58,"")</f>
        <v/>
      </c>
      <c r="F58" s="25" t="str">
        <f>IF($A58&lt;=IF(Calc!$C$36=999,360,Calc!$C$36),CHOOSE(Calc!$C$3,'Snowball Engine'!AW60,'Avalanche Engine'!AW60,'My Order Engine'!AW60),"")</f>
        <v/>
      </c>
      <c r="G58" s="25" t="str">
        <f>IF(AND($A58&lt;=IF(Calc!$C$36=999,360,Calc!$C$36),Calc!$C$10=1),CHOOSE(Calc!$C$3,INDEX('Snowball Engine'!$AH60:$AV60,Calc!$I$10),INDEX('Avalanche Engine'!$AH60:$AV60,Calc!$J$10),INDEX('My Order Engine'!$AH60:$AV60,Calc!$K$10)),"")</f>
        <v/>
      </c>
      <c r="H58" s="25" t="str">
        <f>IF(AND($A58&lt;=IF(Calc!$C$36=999,360,Calc!$C$36),Calc!$C$11=1),CHOOSE(Calc!$C$3,INDEX('Snowball Engine'!$AH60:$AV60,Calc!$I$11),INDEX('Avalanche Engine'!$AH60:$AV60,Calc!$J$11),INDEX('My Order Engine'!$AH60:$AV60,Calc!$K$11)),"")</f>
        <v/>
      </c>
      <c r="I58" s="25" t="str">
        <f>IF(AND($A58&lt;=IF(Calc!$C$36=999,360,Calc!$C$36),Calc!$C$12=1),CHOOSE(Calc!$C$3,INDEX('Snowball Engine'!$AH60:$AV60,Calc!$I$12),INDEX('Avalanche Engine'!$AH60:$AV60,Calc!$J$12),INDEX('My Order Engine'!$AH60:$AV60,Calc!$K$12)),"")</f>
        <v/>
      </c>
      <c r="J58" s="25" t="str">
        <f>IF(AND($A58&lt;=IF(Calc!$C$36=999,360,Calc!$C$36),Calc!$C$13=1),CHOOSE(Calc!$C$3,INDEX('Snowball Engine'!$AH60:$AV60,Calc!$I$13),INDEX('Avalanche Engine'!$AH60:$AV60,Calc!$J$13),INDEX('My Order Engine'!$AH60:$AV60,Calc!$K$13)),"")</f>
        <v/>
      </c>
      <c r="K58" s="25" t="str">
        <f>IF(AND($A58&lt;=IF(Calc!$C$36=999,360,Calc!$C$36),Calc!$C$14=1),CHOOSE(Calc!$C$3,INDEX('Snowball Engine'!$AH60:$AV60,Calc!$I$14),INDEX('Avalanche Engine'!$AH60:$AV60,Calc!$J$14),INDEX('My Order Engine'!$AH60:$AV60,Calc!$K$14)),"")</f>
        <v/>
      </c>
      <c r="L58" s="25" t="str">
        <f>IF(AND($A58&lt;=IF(Calc!$C$36=999,360,Calc!$C$36),Calc!$C$15=1),CHOOSE(Calc!$C$3,INDEX('Snowball Engine'!$AH60:$AV60,Calc!$I$15),INDEX('Avalanche Engine'!$AH60:$AV60,Calc!$J$15),INDEX('My Order Engine'!$AH60:$AV60,Calc!$K$15)),"")</f>
        <v/>
      </c>
      <c r="M58" s="25" t="str">
        <f>IF(AND($A58&lt;=IF(Calc!$C$36=999,360,Calc!$C$36),Calc!$C$16=1),CHOOSE(Calc!$C$3,INDEX('Snowball Engine'!$AH60:$AV60,Calc!$I$16),INDEX('Avalanche Engine'!$AH60:$AV60,Calc!$J$16),INDEX('My Order Engine'!$AH60:$AV60,Calc!$K$16)),"")</f>
        <v/>
      </c>
      <c r="N58" s="25" t="str">
        <f>IF(AND($A58&lt;=IF(Calc!$C$36=999,360,Calc!$C$36),Calc!$C$17=1),CHOOSE(Calc!$C$3,INDEX('Snowball Engine'!$AH60:$AV60,Calc!$I$17),INDEX('Avalanche Engine'!$AH60:$AV60,Calc!$J$17),INDEX('My Order Engine'!$AH60:$AV60,Calc!$K$17)),"")</f>
        <v/>
      </c>
      <c r="O58" s="25" t="str">
        <f>IF(AND($A58&lt;=IF(Calc!$C$36=999,360,Calc!$C$36),Calc!$C$18=1),CHOOSE(Calc!$C$3,INDEX('Snowball Engine'!$AH60:$AV60,Calc!$I$18),INDEX('Avalanche Engine'!$AH60:$AV60,Calc!$J$18),INDEX('My Order Engine'!$AH60:$AV60,Calc!$K$18)),"")</f>
        <v/>
      </c>
      <c r="P58" s="25" t="str">
        <f>IF(AND($A58&lt;=IF(Calc!$C$36=999,360,Calc!$C$36),Calc!$C$19=1),CHOOSE(Calc!$C$3,INDEX('Snowball Engine'!$AH60:$AV60,Calc!$I$19),INDEX('Avalanche Engine'!$AH60:$AV60,Calc!$J$19),INDEX('My Order Engine'!$AH60:$AV60,Calc!$K$19)),"")</f>
        <v/>
      </c>
      <c r="Q58" s="25" t="str">
        <f>IF(AND($A58&lt;=IF(Calc!$C$36=999,360,Calc!$C$36),Calc!$C$20=1),CHOOSE(Calc!$C$3,INDEX('Snowball Engine'!$AH60:$AV60,Calc!$I$20),INDEX('Avalanche Engine'!$AH60:$AV60,Calc!$J$20),INDEX('My Order Engine'!$AH60:$AV60,Calc!$K$20)),"")</f>
        <v/>
      </c>
      <c r="R58" s="25" t="str">
        <f>IF(AND($A58&lt;=IF(Calc!$C$36=999,360,Calc!$C$36),Calc!$C$21=1),CHOOSE(Calc!$C$3,INDEX('Snowball Engine'!$AH60:$AV60,Calc!$I$21),INDEX('Avalanche Engine'!$AH60:$AV60,Calc!$J$21),INDEX('My Order Engine'!$AH60:$AV60,Calc!$K$21)),"")</f>
        <v/>
      </c>
      <c r="S58" s="25" t="str">
        <f>IF(AND($A58&lt;=IF(Calc!$C$36=999,360,Calc!$C$36),Calc!$C$22=1),CHOOSE(Calc!$C$3,INDEX('Snowball Engine'!$AH60:$AV60,Calc!$I$22),INDEX('Avalanche Engine'!$AH60:$AV60,Calc!$J$22),INDEX('My Order Engine'!$AH60:$AV60,Calc!$K$22)),"")</f>
        <v/>
      </c>
      <c r="T58" s="25" t="str">
        <f>IF(AND($A58&lt;=IF(Calc!$C$36=999,360,Calc!$C$36),Calc!$C$23=1),CHOOSE(Calc!$C$3,INDEX('Snowball Engine'!$AH60:$AV60,Calc!$I$23),INDEX('Avalanche Engine'!$AH60:$AV60,Calc!$J$23),INDEX('My Order Engine'!$AH60:$AV60,Calc!$K$23)),"")</f>
        <v/>
      </c>
      <c r="U58" s="25" t="str">
        <f>IF(AND($A58&lt;=IF(Calc!$C$36=999,360,Calc!$C$36),Calc!$C$24=1),CHOOSE(Calc!$C$3,INDEX('Snowball Engine'!$AH60:$AV60,Calc!$I$24),INDEX('Avalanche Engine'!$AH60:$AV60,Calc!$J$24),INDEX('My Order Engine'!$AH60:$AV60,Calc!$K$24)),"")</f>
        <v/>
      </c>
    </row>
    <row r="59" spans="1:21" x14ac:dyDescent="0.35">
      <c r="A59" s="23">
        <v>55</v>
      </c>
      <c r="B59" s="24" t="str">
        <f>IF($A59&lt;=IF(Calc!$C$36=999,360,Calc!$C$36),EDATE(Calc!$C$5,A59-1),"")</f>
        <v/>
      </c>
      <c r="C59" s="25" t="str">
        <f>IF($A59&lt;=IF(Calc!$C$36=999,360,Calc!$C$36),CHOOSE(Calc!$C$3,'Snowball Engine'!AY61,'Avalanche Engine'!AY61,'My Order Engine'!AY61),"")</f>
        <v/>
      </c>
      <c r="D59" s="25" t="str">
        <f>IF($A59&lt;=IF(Calc!$C$36=999,360,Calc!$C$36),CHOOSE(Calc!$C$3,'Snowball Engine'!AX61,'Avalanche Engine'!AX61,'My Order Engine'!AX61),"")</f>
        <v/>
      </c>
      <c r="E59" s="25" t="str">
        <f>IF($A59&lt;=IF(Calc!$C$36=999,360,Calc!$C$36),C59-D59,"")</f>
        <v/>
      </c>
      <c r="F59" s="25" t="str">
        <f>IF($A59&lt;=IF(Calc!$C$36=999,360,Calc!$C$36),CHOOSE(Calc!$C$3,'Snowball Engine'!AW61,'Avalanche Engine'!AW61,'My Order Engine'!AW61),"")</f>
        <v/>
      </c>
      <c r="G59" s="25" t="str">
        <f>IF(AND($A59&lt;=IF(Calc!$C$36=999,360,Calc!$C$36),Calc!$C$10=1),CHOOSE(Calc!$C$3,INDEX('Snowball Engine'!$AH61:$AV61,Calc!$I$10),INDEX('Avalanche Engine'!$AH61:$AV61,Calc!$J$10),INDEX('My Order Engine'!$AH61:$AV61,Calc!$K$10)),"")</f>
        <v/>
      </c>
      <c r="H59" s="25" t="str">
        <f>IF(AND($A59&lt;=IF(Calc!$C$36=999,360,Calc!$C$36),Calc!$C$11=1),CHOOSE(Calc!$C$3,INDEX('Snowball Engine'!$AH61:$AV61,Calc!$I$11),INDEX('Avalanche Engine'!$AH61:$AV61,Calc!$J$11),INDEX('My Order Engine'!$AH61:$AV61,Calc!$K$11)),"")</f>
        <v/>
      </c>
      <c r="I59" s="25" t="str">
        <f>IF(AND($A59&lt;=IF(Calc!$C$36=999,360,Calc!$C$36),Calc!$C$12=1),CHOOSE(Calc!$C$3,INDEX('Snowball Engine'!$AH61:$AV61,Calc!$I$12),INDEX('Avalanche Engine'!$AH61:$AV61,Calc!$J$12),INDEX('My Order Engine'!$AH61:$AV61,Calc!$K$12)),"")</f>
        <v/>
      </c>
      <c r="J59" s="25" t="str">
        <f>IF(AND($A59&lt;=IF(Calc!$C$36=999,360,Calc!$C$36),Calc!$C$13=1),CHOOSE(Calc!$C$3,INDEX('Snowball Engine'!$AH61:$AV61,Calc!$I$13),INDEX('Avalanche Engine'!$AH61:$AV61,Calc!$J$13),INDEX('My Order Engine'!$AH61:$AV61,Calc!$K$13)),"")</f>
        <v/>
      </c>
      <c r="K59" s="25" t="str">
        <f>IF(AND($A59&lt;=IF(Calc!$C$36=999,360,Calc!$C$36),Calc!$C$14=1),CHOOSE(Calc!$C$3,INDEX('Snowball Engine'!$AH61:$AV61,Calc!$I$14),INDEX('Avalanche Engine'!$AH61:$AV61,Calc!$J$14),INDEX('My Order Engine'!$AH61:$AV61,Calc!$K$14)),"")</f>
        <v/>
      </c>
      <c r="L59" s="25" t="str">
        <f>IF(AND($A59&lt;=IF(Calc!$C$36=999,360,Calc!$C$36),Calc!$C$15=1),CHOOSE(Calc!$C$3,INDEX('Snowball Engine'!$AH61:$AV61,Calc!$I$15),INDEX('Avalanche Engine'!$AH61:$AV61,Calc!$J$15),INDEX('My Order Engine'!$AH61:$AV61,Calc!$K$15)),"")</f>
        <v/>
      </c>
      <c r="M59" s="25" t="str">
        <f>IF(AND($A59&lt;=IF(Calc!$C$36=999,360,Calc!$C$36),Calc!$C$16=1),CHOOSE(Calc!$C$3,INDEX('Snowball Engine'!$AH61:$AV61,Calc!$I$16),INDEX('Avalanche Engine'!$AH61:$AV61,Calc!$J$16),INDEX('My Order Engine'!$AH61:$AV61,Calc!$K$16)),"")</f>
        <v/>
      </c>
      <c r="N59" s="25" t="str">
        <f>IF(AND($A59&lt;=IF(Calc!$C$36=999,360,Calc!$C$36),Calc!$C$17=1),CHOOSE(Calc!$C$3,INDEX('Snowball Engine'!$AH61:$AV61,Calc!$I$17),INDEX('Avalanche Engine'!$AH61:$AV61,Calc!$J$17),INDEX('My Order Engine'!$AH61:$AV61,Calc!$K$17)),"")</f>
        <v/>
      </c>
      <c r="O59" s="25" t="str">
        <f>IF(AND($A59&lt;=IF(Calc!$C$36=999,360,Calc!$C$36),Calc!$C$18=1),CHOOSE(Calc!$C$3,INDEX('Snowball Engine'!$AH61:$AV61,Calc!$I$18),INDEX('Avalanche Engine'!$AH61:$AV61,Calc!$J$18),INDEX('My Order Engine'!$AH61:$AV61,Calc!$K$18)),"")</f>
        <v/>
      </c>
      <c r="P59" s="25" t="str">
        <f>IF(AND($A59&lt;=IF(Calc!$C$36=999,360,Calc!$C$36),Calc!$C$19=1),CHOOSE(Calc!$C$3,INDEX('Snowball Engine'!$AH61:$AV61,Calc!$I$19),INDEX('Avalanche Engine'!$AH61:$AV61,Calc!$J$19),INDEX('My Order Engine'!$AH61:$AV61,Calc!$K$19)),"")</f>
        <v/>
      </c>
      <c r="Q59" s="25" t="str">
        <f>IF(AND($A59&lt;=IF(Calc!$C$36=999,360,Calc!$C$36),Calc!$C$20=1),CHOOSE(Calc!$C$3,INDEX('Snowball Engine'!$AH61:$AV61,Calc!$I$20),INDEX('Avalanche Engine'!$AH61:$AV61,Calc!$J$20),INDEX('My Order Engine'!$AH61:$AV61,Calc!$K$20)),"")</f>
        <v/>
      </c>
      <c r="R59" s="25" t="str">
        <f>IF(AND($A59&lt;=IF(Calc!$C$36=999,360,Calc!$C$36),Calc!$C$21=1),CHOOSE(Calc!$C$3,INDEX('Snowball Engine'!$AH61:$AV61,Calc!$I$21),INDEX('Avalanche Engine'!$AH61:$AV61,Calc!$J$21),INDEX('My Order Engine'!$AH61:$AV61,Calc!$K$21)),"")</f>
        <v/>
      </c>
      <c r="S59" s="25" t="str">
        <f>IF(AND($A59&lt;=IF(Calc!$C$36=999,360,Calc!$C$36),Calc!$C$22=1),CHOOSE(Calc!$C$3,INDEX('Snowball Engine'!$AH61:$AV61,Calc!$I$22),INDEX('Avalanche Engine'!$AH61:$AV61,Calc!$J$22),INDEX('My Order Engine'!$AH61:$AV61,Calc!$K$22)),"")</f>
        <v/>
      </c>
      <c r="T59" s="25" t="str">
        <f>IF(AND($A59&lt;=IF(Calc!$C$36=999,360,Calc!$C$36),Calc!$C$23=1),CHOOSE(Calc!$C$3,INDEX('Snowball Engine'!$AH61:$AV61,Calc!$I$23),INDEX('Avalanche Engine'!$AH61:$AV61,Calc!$J$23),INDEX('My Order Engine'!$AH61:$AV61,Calc!$K$23)),"")</f>
        <v/>
      </c>
      <c r="U59" s="25" t="str">
        <f>IF(AND($A59&lt;=IF(Calc!$C$36=999,360,Calc!$C$36),Calc!$C$24=1),CHOOSE(Calc!$C$3,INDEX('Snowball Engine'!$AH61:$AV61,Calc!$I$24),INDEX('Avalanche Engine'!$AH61:$AV61,Calc!$J$24),INDEX('My Order Engine'!$AH61:$AV61,Calc!$K$24)),"")</f>
        <v/>
      </c>
    </row>
    <row r="60" spans="1:21" x14ac:dyDescent="0.35">
      <c r="A60" s="23">
        <v>56</v>
      </c>
      <c r="B60" s="24" t="str">
        <f>IF($A60&lt;=IF(Calc!$C$36=999,360,Calc!$C$36),EDATE(Calc!$C$5,A60-1),"")</f>
        <v/>
      </c>
      <c r="C60" s="25" t="str">
        <f>IF($A60&lt;=IF(Calc!$C$36=999,360,Calc!$C$36),CHOOSE(Calc!$C$3,'Snowball Engine'!AY62,'Avalanche Engine'!AY62,'My Order Engine'!AY62),"")</f>
        <v/>
      </c>
      <c r="D60" s="25" t="str">
        <f>IF($A60&lt;=IF(Calc!$C$36=999,360,Calc!$C$36),CHOOSE(Calc!$C$3,'Snowball Engine'!AX62,'Avalanche Engine'!AX62,'My Order Engine'!AX62),"")</f>
        <v/>
      </c>
      <c r="E60" s="25" t="str">
        <f>IF($A60&lt;=IF(Calc!$C$36=999,360,Calc!$C$36),C60-D60,"")</f>
        <v/>
      </c>
      <c r="F60" s="25" t="str">
        <f>IF($A60&lt;=IF(Calc!$C$36=999,360,Calc!$C$36),CHOOSE(Calc!$C$3,'Snowball Engine'!AW62,'Avalanche Engine'!AW62,'My Order Engine'!AW62),"")</f>
        <v/>
      </c>
      <c r="G60" s="25" t="str">
        <f>IF(AND($A60&lt;=IF(Calc!$C$36=999,360,Calc!$C$36),Calc!$C$10=1),CHOOSE(Calc!$C$3,INDEX('Snowball Engine'!$AH62:$AV62,Calc!$I$10),INDEX('Avalanche Engine'!$AH62:$AV62,Calc!$J$10),INDEX('My Order Engine'!$AH62:$AV62,Calc!$K$10)),"")</f>
        <v/>
      </c>
      <c r="H60" s="25" t="str">
        <f>IF(AND($A60&lt;=IF(Calc!$C$36=999,360,Calc!$C$36),Calc!$C$11=1),CHOOSE(Calc!$C$3,INDEX('Snowball Engine'!$AH62:$AV62,Calc!$I$11),INDEX('Avalanche Engine'!$AH62:$AV62,Calc!$J$11),INDEX('My Order Engine'!$AH62:$AV62,Calc!$K$11)),"")</f>
        <v/>
      </c>
      <c r="I60" s="25" t="str">
        <f>IF(AND($A60&lt;=IF(Calc!$C$36=999,360,Calc!$C$36),Calc!$C$12=1),CHOOSE(Calc!$C$3,INDEX('Snowball Engine'!$AH62:$AV62,Calc!$I$12),INDEX('Avalanche Engine'!$AH62:$AV62,Calc!$J$12),INDEX('My Order Engine'!$AH62:$AV62,Calc!$K$12)),"")</f>
        <v/>
      </c>
      <c r="J60" s="25" t="str">
        <f>IF(AND($A60&lt;=IF(Calc!$C$36=999,360,Calc!$C$36),Calc!$C$13=1),CHOOSE(Calc!$C$3,INDEX('Snowball Engine'!$AH62:$AV62,Calc!$I$13),INDEX('Avalanche Engine'!$AH62:$AV62,Calc!$J$13),INDEX('My Order Engine'!$AH62:$AV62,Calc!$K$13)),"")</f>
        <v/>
      </c>
      <c r="K60" s="25" t="str">
        <f>IF(AND($A60&lt;=IF(Calc!$C$36=999,360,Calc!$C$36),Calc!$C$14=1),CHOOSE(Calc!$C$3,INDEX('Snowball Engine'!$AH62:$AV62,Calc!$I$14),INDEX('Avalanche Engine'!$AH62:$AV62,Calc!$J$14),INDEX('My Order Engine'!$AH62:$AV62,Calc!$K$14)),"")</f>
        <v/>
      </c>
      <c r="L60" s="25" t="str">
        <f>IF(AND($A60&lt;=IF(Calc!$C$36=999,360,Calc!$C$36),Calc!$C$15=1),CHOOSE(Calc!$C$3,INDEX('Snowball Engine'!$AH62:$AV62,Calc!$I$15),INDEX('Avalanche Engine'!$AH62:$AV62,Calc!$J$15),INDEX('My Order Engine'!$AH62:$AV62,Calc!$K$15)),"")</f>
        <v/>
      </c>
      <c r="M60" s="25" t="str">
        <f>IF(AND($A60&lt;=IF(Calc!$C$36=999,360,Calc!$C$36),Calc!$C$16=1),CHOOSE(Calc!$C$3,INDEX('Snowball Engine'!$AH62:$AV62,Calc!$I$16),INDEX('Avalanche Engine'!$AH62:$AV62,Calc!$J$16),INDEX('My Order Engine'!$AH62:$AV62,Calc!$K$16)),"")</f>
        <v/>
      </c>
      <c r="N60" s="25" t="str">
        <f>IF(AND($A60&lt;=IF(Calc!$C$36=999,360,Calc!$C$36),Calc!$C$17=1),CHOOSE(Calc!$C$3,INDEX('Snowball Engine'!$AH62:$AV62,Calc!$I$17),INDEX('Avalanche Engine'!$AH62:$AV62,Calc!$J$17),INDEX('My Order Engine'!$AH62:$AV62,Calc!$K$17)),"")</f>
        <v/>
      </c>
      <c r="O60" s="25" t="str">
        <f>IF(AND($A60&lt;=IF(Calc!$C$36=999,360,Calc!$C$36),Calc!$C$18=1),CHOOSE(Calc!$C$3,INDEX('Snowball Engine'!$AH62:$AV62,Calc!$I$18),INDEX('Avalanche Engine'!$AH62:$AV62,Calc!$J$18),INDEX('My Order Engine'!$AH62:$AV62,Calc!$K$18)),"")</f>
        <v/>
      </c>
      <c r="P60" s="25" t="str">
        <f>IF(AND($A60&lt;=IF(Calc!$C$36=999,360,Calc!$C$36),Calc!$C$19=1),CHOOSE(Calc!$C$3,INDEX('Snowball Engine'!$AH62:$AV62,Calc!$I$19),INDEX('Avalanche Engine'!$AH62:$AV62,Calc!$J$19),INDEX('My Order Engine'!$AH62:$AV62,Calc!$K$19)),"")</f>
        <v/>
      </c>
      <c r="Q60" s="25" t="str">
        <f>IF(AND($A60&lt;=IF(Calc!$C$36=999,360,Calc!$C$36),Calc!$C$20=1),CHOOSE(Calc!$C$3,INDEX('Snowball Engine'!$AH62:$AV62,Calc!$I$20),INDEX('Avalanche Engine'!$AH62:$AV62,Calc!$J$20),INDEX('My Order Engine'!$AH62:$AV62,Calc!$K$20)),"")</f>
        <v/>
      </c>
      <c r="R60" s="25" t="str">
        <f>IF(AND($A60&lt;=IF(Calc!$C$36=999,360,Calc!$C$36),Calc!$C$21=1),CHOOSE(Calc!$C$3,INDEX('Snowball Engine'!$AH62:$AV62,Calc!$I$21),INDEX('Avalanche Engine'!$AH62:$AV62,Calc!$J$21),INDEX('My Order Engine'!$AH62:$AV62,Calc!$K$21)),"")</f>
        <v/>
      </c>
      <c r="S60" s="25" t="str">
        <f>IF(AND($A60&lt;=IF(Calc!$C$36=999,360,Calc!$C$36),Calc!$C$22=1),CHOOSE(Calc!$C$3,INDEX('Snowball Engine'!$AH62:$AV62,Calc!$I$22),INDEX('Avalanche Engine'!$AH62:$AV62,Calc!$J$22),INDEX('My Order Engine'!$AH62:$AV62,Calc!$K$22)),"")</f>
        <v/>
      </c>
      <c r="T60" s="25" t="str">
        <f>IF(AND($A60&lt;=IF(Calc!$C$36=999,360,Calc!$C$36),Calc!$C$23=1),CHOOSE(Calc!$C$3,INDEX('Snowball Engine'!$AH62:$AV62,Calc!$I$23),INDEX('Avalanche Engine'!$AH62:$AV62,Calc!$J$23),INDEX('My Order Engine'!$AH62:$AV62,Calc!$K$23)),"")</f>
        <v/>
      </c>
      <c r="U60" s="25" t="str">
        <f>IF(AND($A60&lt;=IF(Calc!$C$36=999,360,Calc!$C$36),Calc!$C$24=1),CHOOSE(Calc!$C$3,INDEX('Snowball Engine'!$AH62:$AV62,Calc!$I$24),INDEX('Avalanche Engine'!$AH62:$AV62,Calc!$J$24),INDEX('My Order Engine'!$AH62:$AV62,Calc!$K$24)),"")</f>
        <v/>
      </c>
    </row>
    <row r="61" spans="1:21" x14ac:dyDescent="0.35">
      <c r="A61" s="23">
        <v>57</v>
      </c>
      <c r="B61" s="24" t="str">
        <f>IF($A61&lt;=IF(Calc!$C$36=999,360,Calc!$C$36),EDATE(Calc!$C$5,A61-1),"")</f>
        <v/>
      </c>
      <c r="C61" s="25" t="str">
        <f>IF($A61&lt;=IF(Calc!$C$36=999,360,Calc!$C$36),CHOOSE(Calc!$C$3,'Snowball Engine'!AY63,'Avalanche Engine'!AY63,'My Order Engine'!AY63),"")</f>
        <v/>
      </c>
      <c r="D61" s="25" t="str">
        <f>IF($A61&lt;=IF(Calc!$C$36=999,360,Calc!$C$36),CHOOSE(Calc!$C$3,'Snowball Engine'!AX63,'Avalanche Engine'!AX63,'My Order Engine'!AX63),"")</f>
        <v/>
      </c>
      <c r="E61" s="25" t="str">
        <f>IF($A61&lt;=IF(Calc!$C$36=999,360,Calc!$C$36),C61-D61,"")</f>
        <v/>
      </c>
      <c r="F61" s="25" t="str">
        <f>IF($A61&lt;=IF(Calc!$C$36=999,360,Calc!$C$36),CHOOSE(Calc!$C$3,'Snowball Engine'!AW63,'Avalanche Engine'!AW63,'My Order Engine'!AW63),"")</f>
        <v/>
      </c>
      <c r="G61" s="25" t="str">
        <f>IF(AND($A61&lt;=IF(Calc!$C$36=999,360,Calc!$C$36),Calc!$C$10=1),CHOOSE(Calc!$C$3,INDEX('Snowball Engine'!$AH63:$AV63,Calc!$I$10),INDEX('Avalanche Engine'!$AH63:$AV63,Calc!$J$10),INDEX('My Order Engine'!$AH63:$AV63,Calc!$K$10)),"")</f>
        <v/>
      </c>
      <c r="H61" s="25" t="str">
        <f>IF(AND($A61&lt;=IF(Calc!$C$36=999,360,Calc!$C$36),Calc!$C$11=1),CHOOSE(Calc!$C$3,INDEX('Snowball Engine'!$AH63:$AV63,Calc!$I$11),INDEX('Avalanche Engine'!$AH63:$AV63,Calc!$J$11),INDEX('My Order Engine'!$AH63:$AV63,Calc!$K$11)),"")</f>
        <v/>
      </c>
      <c r="I61" s="25" t="str">
        <f>IF(AND($A61&lt;=IF(Calc!$C$36=999,360,Calc!$C$36),Calc!$C$12=1),CHOOSE(Calc!$C$3,INDEX('Snowball Engine'!$AH63:$AV63,Calc!$I$12),INDEX('Avalanche Engine'!$AH63:$AV63,Calc!$J$12),INDEX('My Order Engine'!$AH63:$AV63,Calc!$K$12)),"")</f>
        <v/>
      </c>
      <c r="J61" s="25" t="str">
        <f>IF(AND($A61&lt;=IF(Calc!$C$36=999,360,Calc!$C$36),Calc!$C$13=1),CHOOSE(Calc!$C$3,INDEX('Snowball Engine'!$AH63:$AV63,Calc!$I$13),INDEX('Avalanche Engine'!$AH63:$AV63,Calc!$J$13),INDEX('My Order Engine'!$AH63:$AV63,Calc!$K$13)),"")</f>
        <v/>
      </c>
      <c r="K61" s="25" t="str">
        <f>IF(AND($A61&lt;=IF(Calc!$C$36=999,360,Calc!$C$36),Calc!$C$14=1),CHOOSE(Calc!$C$3,INDEX('Snowball Engine'!$AH63:$AV63,Calc!$I$14),INDEX('Avalanche Engine'!$AH63:$AV63,Calc!$J$14),INDEX('My Order Engine'!$AH63:$AV63,Calc!$K$14)),"")</f>
        <v/>
      </c>
      <c r="L61" s="25" t="str">
        <f>IF(AND($A61&lt;=IF(Calc!$C$36=999,360,Calc!$C$36),Calc!$C$15=1),CHOOSE(Calc!$C$3,INDEX('Snowball Engine'!$AH63:$AV63,Calc!$I$15),INDEX('Avalanche Engine'!$AH63:$AV63,Calc!$J$15),INDEX('My Order Engine'!$AH63:$AV63,Calc!$K$15)),"")</f>
        <v/>
      </c>
      <c r="M61" s="25" t="str">
        <f>IF(AND($A61&lt;=IF(Calc!$C$36=999,360,Calc!$C$36),Calc!$C$16=1),CHOOSE(Calc!$C$3,INDEX('Snowball Engine'!$AH63:$AV63,Calc!$I$16),INDEX('Avalanche Engine'!$AH63:$AV63,Calc!$J$16),INDEX('My Order Engine'!$AH63:$AV63,Calc!$K$16)),"")</f>
        <v/>
      </c>
      <c r="N61" s="25" t="str">
        <f>IF(AND($A61&lt;=IF(Calc!$C$36=999,360,Calc!$C$36),Calc!$C$17=1),CHOOSE(Calc!$C$3,INDEX('Snowball Engine'!$AH63:$AV63,Calc!$I$17),INDEX('Avalanche Engine'!$AH63:$AV63,Calc!$J$17),INDEX('My Order Engine'!$AH63:$AV63,Calc!$K$17)),"")</f>
        <v/>
      </c>
      <c r="O61" s="25" t="str">
        <f>IF(AND($A61&lt;=IF(Calc!$C$36=999,360,Calc!$C$36),Calc!$C$18=1),CHOOSE(Calc!$C$3,INDEX('Snowball Engine'!$AH63:$AV63,Calc!$I$18),INDEX('Avalanche Engine'!$AH63:$AV63,Calc!$J$18),INDEX('My Order Engine'!$AH63:$AV63,Calc!$K$18)),"")</f>
        <v/>
      </c>
      <c r="P61" s="25" t="str">
        <f>IF(AND($A61&lt;=IF(Calc!$C$36=999,360,Calc!$C$36),Calc!$C$19=1),CHOOSE(Calc!$C$3,INDEX('Snowball Engine'!$AH63:$AV63,Calc!$I$19),INDEX('Avalanche Engine'!$AH63:$AV63,Calc!$J$19),INDEX('My Order Engine'!$AH63:$AV63,Calc!$K$19)),"")</f>
        <v/>
      </c>
      <c r="Q61" s="25" t="str">
        <f>IF(AND($A61&lt;=IF(Calc!$C$36=999,360,Calc!$C$36),Calc!$C$20=1),CHOOSE(Calc!$C$3,INDEX('Snowball Engine'!$AH63:$AV63,Calc!$I$20),INDEX('Avalanche Engine'!$AH63:$AV63,Calc!$J$20),INDEX('My Order Engine'!$AH63:$AV63,Calc!$K$20)),"")</f>
        <v/>
      </c>
      <c r="R61" s="25" t="str">
        <f>IF(AND($A61&lt;=IF(Calc!$C$36=999,360,Calc!$C$36),Calc!$C$21=1),CHOOSE(Calc!$C$3,INDEX('Snowball Engine'!$AH63:$AV63,Calc!$I$21),INDEX('Avalanche Engine'!$AH63:$AV63,Calc!$J$21),INDEX('My Order Engine'!$AH63:$AV63,Calc!$K$21)),"")</f>
        <v/>
      </c>
      <c r="S61" s="25" t="str">
        <f>IF(AND($A61&lt;=IF(Calc!$C$36=999,360,Calc!$C$36),Calc!$C$22=1),CHOOSE(Calc!$C$3,INDEX('Snowball Engine'!$AH63:$AV63,Calc!$I$22),INDEX('Avalanche Engine'!$AH63:$AV63,Calc!$J$22),INDEX('My Order Engine'!$AH63:$AV63,Calc!$K$22)),"")</f>
        <v/>
      </c>
      <c r="T61" s="25" t="str">
        <f>IF(AND($A61&lt;=IF(Calc!$C$36=999,360,Calc!$C$36),Calc!$C$23=1),CHOOSE(Calc!$C$3,INDEX('Snowball Engine'!$AH63:$AV63,Calc!$I$23),INDEX('Avalanche Engine'!$AH63:$AV63,Calc!$J$23),INDEX('My Order Engine'!$AH63:$AV63,Calc!$K$23)),"")</f>
        <v/>
      </c>
      <c r="U61" s="25" t="str">
        <f>IF(AND($A61&lt;=IF(Calc!$C$36=999,360,Calc!$C$36),Calc!$C$24=1),CHOOSE(Calc!$C$3,INDEX('Snowball Engine'!$AH63:$AV63,Calc!$I$24),INDEX('Avalanche Engine'!$AH63:$AV63,Calc!$J$24),INDEX('My Order Engine'!$AH63:$AV63,Calc!$K$24)),"")</f>
        <v/>
      </c>
    </row>
    <row r="62" spans="1:21" x14ac:dyDescent="0.35">
      <c r="A62" s="23">
        <v>58</v>
      </c>
      <c r="B62" s="24" t="str">
        <f>IF($A62&lt;=IF(Calc!$C$36=999,360,Calc!$C$36),EDATE(Calc!$C$5,A62-1),"")</f>
        <v/>
      </c>
      <c r="C62" s="25" t="str">
        <f>IF($A62&lt;=IF(Calc!$C$36=999,360,Calc!$C$36),CHOOSE(Calc!$C$3,'Snowball Engine'!AY64,'Avalanche Engine'!AY64,'My Order Engine'!AY64),"")</f>
        <v/>
      </c>
      <c r="D62" s="25" t="str">
        <f>IF($A62&lt;=IF(Calc!$C$36=999,360,Calc!$C$36),CHOOSE(Calc!$C$3,'Snowball Engine'!AX64,'Avalanche Engine'!AX64,'My Order Engine'!AX64),"")</f>
        <v/>
      </c>
      <c r="E62" s="25" t="str">
        <f>IF($A62&lt;=IF(Calc!$C$36=999,360,Calc!$C$36),C62-D62,"")</f>
        <v/>
      </c>
      <c r="F62" s="25" t="str">
        <f>IF($A62&lt;=IF(Calc!$C$36=999,360,Calc!$C$36),CHOOSE(Calc!$C$3,'Snowball Engine'!AW64,'Avalanche Engine'!AW64,'My Order Engine'!AW64),"")</f>
        <v/>
      </c>
      <c r="G62" s="25" t="str">
        <f>IF(AND($A62&lt;=IF(Calc!$C$36=999,360,Calc!$C$36),Calc!$C$10=1),CHOOSE(Calc!$C$3,INDEX('Snowball Engine'!$AH64:$AV64,Calc!$I$10),INDEX('Avalanche Engine'!$AH64:$AV64,Calc!$J$10),INDEX('My Order Engine'!$AH64:$AV64,Calc!$K$10)),"")</f>
        <v/>
      </c>
      <c r="H62" s="25" t="str">
        <f>IF(AND($A62&lt;=IF(Calc!$C$36=999,360,Calc!$C$36),Calc!$C$11=1),CHOOSE(Calc!$C$3,INDEX('Snowball Engine'!$AH64:$AV64,Calc!$I$11),INDEX('Avalanche Engine'!$AH64:$AV64,Calc!$J$11),INDEX('My Order Engine'!$AH64:$AV64,Calc!$K$11)),"")</f>
        <v/>
      </c>
      <c r="I62" s="25" t="str">
        <f>IF(AND($A62&lt;=IF(Calc!$C$36=999,360,Calc!$C$36),Calc!$C$12=1),CHOOSE(Calc!$C$3,INDEX('Snowball Engine'!$AH64:$AV64,Calc!$I$12),INDEX('Avalanche Engine'!$AH64:$AV64,Calc!$J$12),INDEX('My Order Engine'!$AH64:$AV64,Calc!$K$12)),"")</f>
        <v/>
      </c>
      <c r="J62" s="25" t="str">
        <f>IF(AND($A62&lt;=IF(Calc!$C$36=999,360,Calc!$C$36),Calc!$C$13=1),CHOOSE(Calc!$C$3,INDEX('Snowball Engine'!$AH64:$AV64,Calc!$I$13),INDEX('Avalanche Engine'!$AH64:$AV64,Calc!$J$13),INDEX('My Order Engine'!$AH64:$AV64,Calc!$K$13)),"")</f>
        <v/>
      </c>
      <c r="K62" s="25" t="str">
        <f>IF(AND($A62&lt;=IF(Calc!$C$36=999,360,Calc!$C$36),Calc!$C$14=1),CHOOSE(Calc!$C$3,INDEX('Snowball Engine'!$AH64:$AV64,Calc!$I$14),INDEX('Avalanche Engine'!$AH64:$AV64,Calc!$J$14),INDEX('My Order Engine'!$AH64:$AV64,Calc!$K$14)),"")</f>
        <v/>
      </c>
      <c r="L62" s="25" t="str">
        <f>IF(AND($A62&lt;=IF(Calc!$C$36=999,360,Calc!$C$36),Calc!$C$15=1),CHOOSE(Calc!$C$3,INDEX('Snowball Engine'!$AH64:$AV64,Calc!$I$15),INDEX('Avalanche Engine'!$AH64:$AV64,Calc!$J$15),INDEX('My Order Engine'!$AH64:$AV64,Calc!$K$15)),"")</f>
        <v/>
      </c>
      <c r="M62" s="25" t="str">
        <f>IF(AND($A62&lt;=IF(Calc!$C$36=999,360,Calc!$C$36),Calc!$C$16=1),CHOOSE(Calc!$C$3,INDEX('Snowball Engine'!$AH64:$AV64,Calc!$I$16),INDEX('Avalanche Engine'!$AH64:$AV64,Calc!$J$16),INDEX('My Order Engine'!$AH64:$AV64,Calc!$K$16)),"")</f>
        <v/>
      </c>
      <c r="N62" s="25" t="str">
        <f>IF(AND($A62&lt;=IF(Calc!$C$36=999,360,Calc!$C$36),Calc!$C$17=1),CHOOSE(Calc!$C$3,INDEX('Snowball Engine'!$AH64:$AV64,Calc!$I$17),INDEX('Avalanche Engine'!$AH64:$AV64,Calc!$J$17),INDEX('My Order Engine'!$AH64:$AV64,Calc!$K$17)),"")</f>
        <v/>
      </c>
      <c r="O62" s="25" t="str">
        <f>IF(AND($A62&lt;=IF(Calc!$C$36=999,360,Calc!$C$36),Calc!$C$18=1),CHOOSE(Calc!$C$3,INDEX('Snowball Engine'!$AH64:$AV64,Calc!$I$18),INDEX('Avalanche Engine'!$AH64:$AV64,Calc!$J$18),INDEX('My Order Engine'!$AH64:$AV64,Calc!$K$18)),"")</f>
        <v/>
      </c>
      <c r="P62" s="25" t="str">
        <f>IF(AND($A62&lt;=IF(Calc!$C$36=999,360,Calc!$C$36),Calc!$C$19=1),CHOOSE(Calc!$C$3,INDEX('Snowball Engine'!$AH64:$AV64,Calc!$I$19),INDEX('Avalanche Engine'!$AH64:$AV64,Calc!$J$19),INDEX('My Order Engine'!$AH64:$AV64,Calc!$K$19)),"")</f>
        <v/>
      </c>
      <c r="Q62" s="25" t="str">
        <f>IF(AND($A62&lt;=IF(Calc!$C$36=999,360,Calc!$C$36),Calc!$C$20=1),CHOOSE(Calc!$C$3,INDEX('Snowball Engine'!$AH64:$AV64,Calc!$I$20),INDEX('Avalanche Engine'!$AH64:$AV64,Calc!$J$20),INDEX('My Order Engine'!$AH64:$AV64,Calc!$K$20)),"")</f>
        <v/>
      </c>
      <c r="R62" s="25" t="str">
        <f>IF(AND($A62&lt;=IF(Calc!$C$36=999,360,Calc!$C$36),Calc!$C$21=1),CHOOSE(Calc!$C$3,INDEX('Snowball Engine'!$AH64:$AV64,Calc!$I$21),INDEX('Avalanche Engine'!$AH64:$AV64,Calc!$J$21),INDEX('My Order Engine'!$AH64:$AV64,Calc!$K$21)),"")</f>
        <v/>
      </c>
      <c r="S62" s="25" t="str">
        <f>IF(AND($A62&lt;=IF(Calc!$C$36=999,360,Calc!$C$36),Calc!$C$22=1),CHOOSE(Calc!$C$3,INDEX('Snowball Engine'!$AH64:$AV64,Calc!$I$22),INDEX('Avalanche Engine'!$AH64:$AV64,Calc!$J$22),INDEX('My Order Engine'!$AH64:$AV64,Calc!$K$22)),"")</f>
        <v/>
      </c>
      <c r="T62" s="25" t="str">
        <f>IF(AND($A62&lt;=IF(Calc!$C$36=999,360,Calc!$C$36),Calc!$C$23=1),CHOOSE(Calc!$C$3,INDEX('Snowball Engine'!$AH64:$AV64,Calc!$I$23),INDEX('Avalanche Engine'!$AH64:$AV64,Calc!$J$23),INDEX('My Order Engine'!$AH64:$AV64,Calc!$K$23)),"")</f>
        <v/>
      </c>
      <c r="U62" s="25" t="str">
        <f>IF(AND($A62&lt;=IF(Calc!$C$36=999,360,Calc!$C$36),Calc!$C$24=1),CHOOSE(Calc!$C$3,INDEX('Snowball Engine'!$AH64:$AV64,Calc!$I$24),INDEX('Avalanche Engine'!$AH64:$AV64,Calc!$J$24),INDEX('My Order Engine'!$AH64:$AV64,Calc!$K$24)),"")</f>
        <v/>
      </c>
    </row>
    <row r="63" spans="1:21" x14ac:dyDescent="0.35">
      <c r="A63" s="23">
        <v>59</v>
      </c>
      <c r="B63" s="24" t="str">
        <f>IF($A63&lt;=IF(Calc!$C$36=999,360,Calc!$C$36),EDATE(Calc!$C$5,A63-1),"")</f>
        <v/>
      </c>
      <c r="C63" s="25" t="str">
        <f>IF($A63&lt;=IF(Calc!$C$36=999,360,Calc!$C$36),CHOOSE(Calc!$C$3,'Snowball Engine'!AY65,'Avalanche Engine'!AY65,'My Order Engine'!AY65),"")</f>
        <v/>
      </c>
      <c r="D63" s="25" t="str">
        <f>IF($A63&lt;=IF(Calc!$C$36=999,360,Calc!$C$36),CHOOSE(Calc!$C$3,'Snowball Engine'!AX65,'Avalanche Engine'!AX65,'My Order Engine'!AX65),"")</f>
        <v/>
      </c>
      <c r="E63" s="25" t="str">
        <f>IF($A63&lt;=IF(Calc!$C$36=999,360,Calc!$C$36),C63-D63,"")</f>
        <v/>
      </c>
      <c r="F63" s="25" t="str">
        <f>IF($A63&lt;=IF(Calc!$C$36=999,360,Calc!$C$36),CHOOSE(Calc!$C$3,'Snowball Engine'!AW65,'Avalanche Engine'!AW65,'My Order Engine'!AW65),"")</f>
        <v/>
      </c>
      <c r="G63" s="25" t="str">
        <f>IF(AND($A63&lt;=IF(Calc!$C$36=999,360,Calc!$C$36),Calc!$C$10=1),CHOOSE(Calc!$C$3,INDEX('Snowball Engine'!$AH65:$AV65,Calc!$I$10),INDEX('Avalanche Engine'!$AH65:$AV65,Calc!$J$10),INDEX('My Order Engine'!$AH65:$AV65,Calc!$K$10)),"")</f>
        <v/>
      </c>
      <c r="H63" s="25" t="str">
        <f>IF(AND($A63&lt;=IF(Calc!$C$36=999,360,Calc!$C$36),Calc!$C$11=1),CHOOSE(Calc!$C$3,INDEX('Snowball Engine'!$AH65:$AV65,Calc!$I$11),INDEX('Avalanche Engine'!$AH65:$AV65,Calc!$J$11),INDEX('My Order Engine'!$AH65:$AV65,Calc!$K$11)),"")</f>
        <v/>
      </c>
      <c r="I63" s="25" t="str">
        <f>IF(AND($A63&lt;=IF(Calc!$C$36=999,360,Calc!$C$36),Calc!$C$12=1),CHOOSE(Calc!$C$3,INDEX('Snowball Engine'!$AH65:$AV65,Calc!$I$12),INDEX('Avalanche Engine'!$AH65:$AV65,Calc!$J$12),INDEX('My Order Engine'!$AH65:$AV65,Calc!$K$12)),"")</f>
        <v/>
      </c>
      <c r="J63" s="25" t="str">
        <f>IF(AND($A63&lt;=IF(Calc!$C$36=999,360,Calc!$C$36),Calc!$C$13=1),CHOOSE(Calc!$C$3,INDEX('Snowball Engine'!$AH65:$AV65,Calc!$I$13),INDEX('Avalanche Engine'!$AH65:$AV65,Calc!$J$13),INDEX('My Order Engine'!$AH65:$AV65,Calc!$K$13)),"")</f>
        <v/>
      </c>
      <c r="K63" s="25" t="str">
        <f>IF(AND($A63&lt;=IF(Calc!$C$36=999,360,Calc!$C$36),Calc!$C$14=1),CHOOSE(Calc!$C$3,INDEX('Snowball Engine'!$AH65:$AV65,Calc!$I$14),INDEX('Avalanche Engine'!$AH65:$AV65,Calc!$J$14),INDEX('My Order Engine'!$AH65:$AV65,Calc!$K$14)),"")</f>
        <v/>
      </c>
      <c r="L63" s="25" t="str">
        <f>IF(AND($A63&lt;=IF(Calc!$C$36=999,360,Calc!$C$36),Calc!$C$15=1),CHOOSE(Calc!$C$3,INDEX('Snowball Engine'!$AH65:$AV65,Calc!$I$15),INDEX('Avalanche Engine'!$AH65:$AV65,Calc!$J$15),INDEX('My Order Engine'!$AH65:$AV65,Calc!$K$15)),"")</f>
        <v/>
      </c>
      <c r="M63" s="25" t="str">
        <f>IF(AND($A63&lt;=IF(Calc!$C$36=999,360,Calc!$C$36),Calc!$C$16=1),CHOOSE(Calc!$C$3,INDEX('Snowball Engine'!$AH65:$AV65,Calc!$I$16),INDEX('Avalanche Engine'!$AH65:$AV65,Calc!$J$16),INDEX('My Order Engine'!$AH65:$AV65,Calc!$K$16)),"")</f>
        <v/>
      </c>
      <c r="N63" s="25" t="str">
        <f>IF(AND($A63&lt;=IF(Calc!$C$36=999,360,Calc!$C$36),Calc!$C$17=1),CHOOSE(Calc!$C$3,INDEX('Snowball Engine'!$AH65:$AV65,Calc!$I$17),INDEX('Avalanche Engine'!$AH65:$AV65,Calc!$J$17),INDEX('My Order Engine'!$AH65:$AV65,Calc!$K$17)),"")</f>
        <v/>
      </c>
      <c r="O63" s="25" t="str">
        <f>IF(AND($A63&lt;=IF(Calc!$C$36=999,360,Calc!$C$36),Calc!$C$18=1),CHOOSE(Calc!$C$3,INDEX('Snowball Engine'!$AH65:$AV65,Calc!$I$18),INDEX('Avalanche Engine'!$AH65:$AV65,Calc!$J$18),INDEX('My Order Engine'!$AH65:$AV65,Calc!$K$18)),"")</f>
        <v/>
      </c>
      <c r="P63" s="25" t="str">
        <f>IF(AND($A63&lt;=IF(Calc!$C$36=999,360,Calc!$C$36),Calc!$C$19=1),CHOOSE(Calc!$C$3,INDEX('Snowball Engine'!$AH65:$AV65,Calc!$I$19),INDEX('Avalanche Engine'!$AH65:$AV65,Calc!$J$19),INDEX('My Order Engine'!$AH65:$AV65,Calc!$K$19)),"")</f>
        <v/>
      </c>
      <c r="Q63" s="25" t="str">
        <f>IF(AND($A63&lt;=IF(Calc!$C$36=999,360,Calc!$C$36),Calc!$C$20=1),CHOOSE(Calc!$C$3,INDEX('Snowball Engine'!$AH65:$AV65,Calc!$I$20),INDEX('Avalanche Engine'!$AH65:$AV65,Calc!$J$20),INDEX('My Order Engine'!$AH65:$AV65,Calc!$K$20)),"")</f>
        <v/>
      </c>
      <c r="R63" s="25" t="str">
        <f>IF(AND($A63&lt;=IF(Calc!$C$36=999,360,Calc!$C$36),Calc!$C$21=1),CHOOSE(Calc!$C$3,INDEX('Snowball Engine'!$AH65:$AV65,Calc!$I$21),INDEX('Avalanche Engine'!$AH65:$AV65,Calc!$J$21),INDEX('My Order Engine'!$AH65:$AV65,Calc!$K$21)),"")</f>
        <v/>
      </c>
      <c r="S63" s="25" t="str">
        <f>IF(AND($A63&lt;=IF(Calc!$C$36=999,360,Calc!$C$36),Calc!$C$22=1),CHOOSE(Calc!$C$3,INDEX('Snowball Engine'!$AH65:$AV65,Calc!$I$22),INDEX('Avalanche Engine'!$AH65:$AV65,Calc!$J$22),INDEX('My Order Engine'!$AH65:$AV65,Calc!$K$22)),"")</f>
        <v/>
      </c>
      <c r="T63" s="25" t="str">
        <f>IF(AND($A63&lt;=IF(Calc!$C$36=999,360,Calc!$C$36),Calc!$C$23=1),CHOOSE(Calc!$C$3,INDEX('Snowball Engine'!$AH65:$AV65,Calc!$I$23),INDEX('Avalanche Engine'!$AH65:$AV65,Calc!$J$23),INDEX('My Order Engine'!$AH65:$AV65,Calc!$K$23)),"")</f>
        <v/>
      </c>
      <c r="U63" s="25" t="str">
        <f>IF(AND($A63&lt;=IF(Calc!$C$36=999,360,Calc!$C$36),Calc!$C$24=1),CHOOSE(Calc!$C$3,INDEX('Snowball Engine'!$AH65:$AV65,Calc!$I$24),INDEX('Avalanche Engine'!$AH65:$AV65,Calc!$J$24),INDEX('My Order Engine'!$AH65:$AV65,Calc!$K$24)),"")</f>
        <v/>
      </c>
    </row>
    <row r="64" spans="1:21" x14ac:dyDescent="0.35">
      <c r="A64" s="23">
        <v>60</v>
      </c>
      <c r="B64" s="24" t="str">
        <f>IF($A64&lt;=IF(Calc!$C$36=999,360,Calc!$C$36),EDATE(Calc!$C$5,A64-1),"")</f>
        <v/>
      </c>
      <c r="C64" s="25" t="str">
        <f>IF($A64&lt;=IF(Calc!$C$36=999,360,Calc!$C$36),CHOOSE(Calc!$C$3,'Snowball Engine'!AY66,'Avalanche Engine'!AY66,'My Order Engine'!AY66),"")</f>
        <v/>
      </c>
      <c r="D64" s="25" t="str">
        <f>IF($A64&lt;=IF(Calc!$C$36=999,360,Calc!$C$36),CHOOSE(Calc!$C$3,'Snowball Engine'!AX66,'Avalanche Engine'!AX66,'My Order Engine'!AX66),"")</f>
        <v/>
      </c>
      <c r="E64" s="25" t="str">
        <f>IF($A64&lt;=IF(Calc!$C$36=999,360,Calc!$C$36),C64-D64,"")</f>
        <v/>
      </c>
      <c r="F64" s="25" t="str">
        <f>IF($A64&lt;=IF(Calc!$C$36=999,360,Calc!$C$36),CHOOSE(Calc!$C$3,'Snowball Engine'!AW66,'Avalanche Engine'!AW66,'My Order Engine'!AW66),"")</f>
        <v/>
      </c>
      <c r="G64" s="25" t="str">
        <f>IF(AND($A64&lt;=IF(Calc!$C$36=999,360,Calc!$C$36),Calc!$C$10=1),CHOOSE(Calc!$C$3,INDEX('Snowball Engine'!$AH66:$AV66,Calc!$I$10),INDEX('Avalanche Engine'!$AH66:$AV66,Calc!$J$10),INDEX('My Order Engine'!$AH66:$AV66,Calc!$K$10)),"")</f>
        <v/>
      </c>
      <c r="H64" s="25" t="str">
        <f>IF(AND($A64&lt;=IF(Calc!$C$36=999,360,Calc!$C$36),Calc!$C$11=1),CHOOSE(Calc!$C$3,INDEX('Snowball Engine'!$AH66:$AV66,Calc!$I$11),INDEX('Avalanche Engine'!$AH66:$AV66,Calc!$J$11),INDEX('My Order Engine'!$AH66:$AV66,Calc!$K$11)),"")</f>
        <v/>
      </c>
      <c r="I64" s="25" t="str">
        <f>IF(AND($A64&lt;=IF(Calc!$C$36=999,360,Calc!$C$36),Calc!$C$12=1),CHOOSE(Calc!$C$3,INDEX('Snowball Engine'!$AH66:$AV66,Calc!$I$12),INDEX('Avalanche Engine'!$AH66:$AV66,Calc!$J$12),INDEX('My Order Engine'!$AH66:$AV66,Calc!$K$12)),"")</f>
        <v/>
      </c>
      <c r="J64" s="25" t="str">
        <f>IF(AND($A64&lt;=IF(Calc!$C$36=999,360,Calc!$C$36),Calc!$C$13=1),CHOOSE(Calc!$C$3,INDEX('Snowball Engine'!$AH66:$AV66,Calc!$I$13),INDEX('Avalanche Engine'!$AH66:$AV66,Calc!$J$13),INDEX('My Order Engine'!$AH66:$AV66,Calc!$K$13)),"")</f>
        <v/>
      </c>
      <c r="K64" s="25" t="str">
        <f>IF(AND($A64&lt;=IF(Calc!$C$36=999,360,Calc!$C$36),Calc!$C$14=1),CHOOSE(Calc!$C$3,INDEX('Snowball Engine'!$AH66:$AV66,Calc!$I$14),INDEX('Avalanche Engine'!$AH66:$AV66,Calc!$J$14),INDEX('My Order Engine'!$AH66:$AV66,Calc!$K$14)),"")</f>
        <v/>
      </c>
      <c r="L64" s="25" t="str">
        <f>IF(AND($A64&lt;=IF(Calc!$C$36=999,360,Calc!$C$36),Calc!$C$15=1),CHOOSE(Calc!$C$3,INDEX('Snowball Engine'!$AH66:$AV66,Calc!$I$15),INDEX('Avalanche Engine'!$AH66:$AV66,Calc!$J$15),INDEX('My Order Engine'!$AH66:$AV66,Calc!$K$15)),"")</f>
        <v/>
      </c>
      <c r="M64" s="25" t="str">
        <f>IF(AND($A64&lt;=IF(Calc!$C$36=999,360,Calc!$C$36),Calc!$C$16=1),CHOOSE(Calc!$C$3,INDEX('Snowball Engine'!$AH66:$AV66,Calc!$I$16),INDEX('Avalanche Engine'!$AH66:$AV66,Calc!$J$16),INDEX('My Order Engine'!$AH66:$AV66,Calc!$K$16)),"")</f>
        <v/>
      </c>
      <c r="N64" s="25" t="str">
        <f>IF(AND($A64&lt;=IF(Calc!$C$36=999,360,Calc!$C$36),Calc!$C$17=1),CHOOSE(Calc!$C$3,INDEX('Snowball Engine'!$AH66:$AV66,Calc!$I$17),INDEX('Avalanche Engine'!$AH66:$AV66,Calc!$J$17),INDEX('My Order Engine'!$AH66:$AV66,Calc!$K$17)),"")</f>
        <v/>
      </c>
      <c r="O64" s="25" t="str">
        <f>IF(AND($A64&lt;=IF(Calc!$C$36=999,360,Calc!$C$36),Calc!$C$18=1),CHOOSE(Calc!$C$3,INDEX('Snowball Engine'!$AH66:$AV66,Calc!$I$18),INDEX('Avalanche Engine'!$AH66:$AV66,Calc!$J$18),INDEX('My Order Engine'!$AH66:$AV66,Calc!$K$18)),"")</f>
        <v/>
      </c>
      <c r="P64" s="25" t="str">
        <f>IF(AND($A64&lt;=IF(Calc!$C$36=999,360,Calc!$C$36),Calc!$C$19=1),CHOOSE(Calc!$C$3,INDEX('Snowball Engine'!$AH66:$AV66,Calc!$I$19),INDEX('Avalanche Engine'!$AH66:$AV66,Calc!$J$19),INDEX('My Order Engine'!$AH66:$AV66,Calc!$K$19)),"")</f>
        <v/>
      </c>
      <c r="Q64" s="25" t="str">
        <f>IF(AND($A64&lt;=IF(Calc!$C$36=999,360,Calc!$C$36),Calc!$C$20=1),CHOOSE(Calc!$C$3,INDEX('Snowball Engine'!$AH66:$AV66,Calc!$I$20),INDEX('Avalanche Engine'!$AH66:$AV66,Calc!$J$20),INDEX('My Order Engine'!$AH66:$AV66,Calc!$K$20)),"")</f>
        <v/>
      </c>
      <c r="R64" s="25" t="str">
        <f>IF(AND($A64&lt;=IF(Calc!$C$36=999,360,Calc!$C$36),Calc!$C$21=1),CHOOSE(Calc!$C$3,INDEX('Snowball Engine'!$AH66:$AV66,Calc!$I$21),INDEX('Avalanche Engine'!$AH66:$AV66,Calc!$J$21),INDEX('My Order Engine'!$AH66:$AV66,Calc!$K$21)),"")</f>
        <v/>
      </c>
      <c r="S64" s="25" t="str">
        <f>IF(AND($A64&lt;=IF(Calc!$C$36=999,360,Calc!$C$36),Calc!$C$22=1),CHOOSE(Calc!$C$3,INDEX('Snowball Engine'!$AH66:$AV66,Calc!$I$22),INDEX('Avalanche Engine'!$AH66:$AV66,Calc!$J$22),INDEX('My Order Engine'!$AH66:$AV66,Calc!$K$22)),"")</f>
        <v/>
      </c>
      <c r="T64" s="25" t="str">
        <f>IF(AND($A64&lt;=IF(Calc!$C$36=999,360,Calc!$C$36),Calc!$C$23=1),CHOOSE(Calc!$C$3,INDEX('Snowball Engine'!$AH66:$AV66,Calc!$I$23),INDEX('Avalanche Engine'!$AH66:$AV66,Calc!$J$23),INDEX('My Order Engine'!$AH66:$AV66,Calc!$K$23)),"")</f>
        <v/>
      </c>
      <c r="U64" s="25" t="str">
        <f>IF(AND($A64&lt;=IF(Calc!$C$36=999,360,Calc!$C$36),Calc!$C$24=1),CHOOSE(Calc!$C$3,INDEX('Snowball Engine'!$AH66:$AV66,Calc!$I$24),INDEX('Avalanche Engine'!$AH66:$AV66,Calc!$J$24),INDEX('My Order Engine'!$AH66:$AV66,Calc!$K$24)),"")</f>
        <v/>
      </c>
    </row>
    <row r="65" spans="1:21" x14ac:dyDescent="0.35">
      <c r="A65" s="23">
        <v>61</v>
      </c>
      <c r="B65" s="24" t="str">
        <f>IF($A65&lt;=IF(Calc!$C$36=999,360,Calc!$C$36),EDATE(Calc!$C$5,A65-1),"")</f>
        <v/>
      </c>
      <c r="C65" s="25" t="str">
        <f>IF($A65&lt;=IF(Calc!$C$36=999,360,Calc!$C$36),CHOOSE(Calc!$C$3,'Snowball Engine'!AY67,'Avalanche Engine'!AY67,'My Order Engine'!AY67),"")</f>
        <v/>
      </c>
      <c r="D65" s="25" t="str">
        <f>IF($A65&lt;=IF(Calc!$C$36=999,360,Calc!$C$36),CHOOSE(Calc!$C$3,'Snowball Engine'!AX67,'Avalanche Engine'!AX67,'My Order Engine'!AX67),"")</f>
        <v/>
      </c>
      <c r="E65" s="25" t="str">
        <f>IF($A65&lt;=IF(Calc!$C$36=999,360,Calc!$C$36),C65-D65,"")</f>
        <v/>
      </c>
      <c r="F65" s="25" t="str">
        <f>IF($A65&lt;=IF(Calc!$C$36=999,360,Calc!$C$36),CHOOSE(Calc!$C$3,'Snowball Engine'!AW67,'Avalanche Engine'!AW67,'My Order Engine'!AW67),"")</f>
        <v/>
      </c>
      <c r="G65" s="25" t="str">
        <f>IF(AND($A65&lt;=IF(Calc!$C$36=999,360,Calc!$C$36),Calc!$C$10=1),CHOOSE(Calc!$C$3,INDEX('Snowball Engine'!$AH67:$AV67,Calc!$I$10),INDEX('Avalanche Engine'!$AH67:$AV67,Calc!$J$10),INDEX('My Order Engine'!$AH67:$AV67,Calc!$K$10)),"")</f>
        <v/>
      </c>
      <c r="H65" s="25" t="str">
        <f>IF(AND($A65&lt;=IF(Calc!$C$36=999,360,Calc!$C$36),Calc!$C$11=1),CHOOSE(Calc!$C$3,INDEX('Snowball Engine'!$AH67:$AV67,Calc!$I$11),INDEX('Avalanche Engine'!$AH67:$AV67,Calc!$J$11),INDEX('My Order Engine'!$AH67:$AV67,Calc!$K$11)),"")</f>
        <v/>
      </c>
      <c r="I65" s="25" t="str">
        <f>IF(AND($A65&lt;=IF(Calc!$C$36=999,360,Calc!$C$36),Calc!$C$12=1),CHOOSE(Calc!$C$3,INDEX('Snowball Engine'!$AH67:$AV67,Calc!$I$12),INDEX('Avalanche Engine'!$AH67:$AV67,Calc!$J$12),INDEX('My Order Engine'!$AH67:$AV67,Calc!$K$12)),"")</f>
        <v/>
      </c>
      <c r="J65" s="25" t="str">
        <f>IF(AND($A65&lt;=IF(Calc!$C$36=999,360,Calc!$C$36),Calc!$C$13=1),CHOOSE(Calc!$C$3,INDEX('Snowball Engine'!$AH67:$AV67,Calc!$I$13),INDEX('Avalanche Engine'!$AH67:$AV67,Calc!$J$13),INDEX('My Order Engine'!$AH67:$AV67,Calc!$K$13)),"")</f>
        <v/>
      </c>
      <c r="K65" s="25" t="str">
        <f>IF(AND($A65&lt;=IF(Calc!$C$36=999,360,Calc!$C$36),Calc!$C$14=1),CHOOSE(Calc!$C$3,INDEX('Snowball Engine'!$AH67:$AV67,Calc!$I$14),INDEX('Avalanche Engine'!$AH67:$AV67,Calc!$J$14),INDEX('My Order Engine'!$AH67:$AV67,Calc!$K$14)),"")</f>
        <v/>
      </c>
      <c r="L65" s="25" t="str">
        <f>IF(AND($A65&lt;=IF(Calc!$C$36=999,360,Calc!$C$36),Calc!$C$15=1),CHOOSE(Calc!$C$3,INDEX('Snowball Engine'!$AH67:$AV67,Calc!$I$15),INDEX('Avalanche Engine'!$AH67:$AV67,Calc!$J$15),INDEX('My Order Engine'!$AH67:$AV67,Calc!$K$15)),"")</f>
        <v/>
      </c>
      <c r="M65" s="25" t="str">
        <f>IF(AND($A65&lt;=IF(Calc!$C$36=999,360,Calc!$C$36),Calc!$C$16=1),CHOOSE(Calc!$C$3,INDEX('Snowball Engine'!$AH67:$AV67,Calc!$I$16),INDEX('Avalanche Engine'!$AH67:$AV67,Calc!$J$16),INDEX('My Order Engine'!$AH67:$AV67,Calc!$K$16)),"")</f>
        <v/>
      </c>
      <c r="N65" s="25" t="str">
        <f>IF(AND($A65&lt;=IF(Calc!$C$36=999,360,Calc!$C$36),Calc!$C$17=1),CHOOSE(Calc!$C$3,INDEX('Snowball Engine'!$AH67:$AV67,Calc!$I$17),INDEX('Avalanche Engine'!$AH67:$AV67,Calc!$J$17),INDEX('My Order Engine'!$AH67:$AV67,Calc!$K$17)),"")</f>
        <v/>
      </c>
      <c r="O65" s="25" t="str">
        <f>IF(AND($A65&lt;=IF(Calc!$C$36=999,360,Calc!$C$36),Calc!$C$18=1),CHOOSE(Calc!$C$3,INDEX('Snowball Engine'!$AH67:$AV67,Calc!$I$18),INDEX('Avalanche Engine'!$AH67:$AV67,Calc!$J$18),INDEX('My Order Engine'!$AH67:$AV67,Calc!$K$18)),"")</f>
        <v/>
      </c>
      <c r="P65" s="25" t="str">
        <f>IF(AND($A65&lt;=IF(Calc!$C$36=999,360,Calc!$C$36),Calc!$C$19=1),CHOOSE(Calc!$C$3,INDEX('Snowball Engine'!$AH67:$AV67,Calc!$I$19),INDEX('Avalanche Engine'!$AH67:$AV67,Calc!$J$19),INDEX('My Order Engine'!$AH67:$AV67,Calc!$K$19)),"")</f>
        <v/>
      </c>
      <c r="Q65" s="25" t="str">
        <f>IF(AND($A65&lt;=IF(Calc!$C$36=999,360,Calc!$C$36),Calc!$C$20=1),CHOOSE(Calc!$C$3,INDEX('Snowball Engine'!$AH67:$AV67,Calc!$I$20),INDEX('Avalanche Engine'!$AH67:$AV67,Calc!$J$20),INDEX('My Order Engine'!$AH67:$AV67,Calc!$K$20)),"")</f>
        <v/>
      </c>
      <c r="R65" s="25" t="str">
        <f>IF(AND($A65&lt;=IF(Calc!$C$36=999,360,Calc!$C$36),Calc!$C$21=1),CHOOSE(Calc!$C$3,INDEX('Snowball Engine'!$AH67:$AV67,Calc!$I$21),INDEX('Avalanche Engine'!$AH67:$AV67,Calc!$J$21),INDEX('My Order Engine'!$AH67:$AV67,Calc!$K$21)),"")</f>
        <v/>
      </c>
      <c r="S65" s="25" t="str">
        <f>IF(AND($A65&lt;=IF(Calc!$C$36=999,360,Calc!$C$36),Calc!$C$22=1),CHOOSE(Calc!$C$3,INDEX('Snowball Engine'!$AH67:$AV67,Calc!$I$22),INDEX('Avalanche Engine'!$AH67:$AV67,Calc!$J$22),INDEX('My Order Engine'!$AH67:$AV67,Calc!$K$22)),"")</f>
        <v/>
      </c>
      <c r="T65" s="25" t="str">
        <f>IF(AND($A65&lt;=IF(Calc!$C$36=999,360,Calc!$C$36),Calc!$C$23=1),CHOOSE(Calc!$C$3,INDEX('Snowball Engine'!$AH67:$AV67,Calc!$I$23),INDEX('Avalanche Engine'!$AH67:$AV67,Calc!$J$23),INDEX('My Order Engine'!$AH67:$AV67,Calc!$K$23)),"")</f>
        <v/>
      </c>
      <c r="U65" s="25" t="str">
        <f>IF(AND($A65&lt;=IF(Calc!$C$36=999,360,Calc!$C$36),Calc!$C$24=1),CHOOSE(Calc!$C$3,INDEX('Snowball Engine'!$AH67:$AV67,Calc!$I$24),INDEX('Avalanche Engine'!$AH67:$AV67,Calc!$J$24),INDEX('My Order Engine'!$AH67:$AV67,Calc!$K$24)),"")</f>
        <v/>
      </c>
    </row>
    <row r="66" spans="1:21" x14ac:dyDescent="0.35">
      <c r="A66" s="23">
        <v>62</v>
      </c>
      <c r="B66" s="24" t="str">
        <f>IF($A66&lt;=IF(Calc!$C$36=999,360,Calc!$C$36),EDATE(Calc!$C$5,A66-1),"")</f>
        <v/>
      </c>
      <c r="C66" s="25" t="str">
        <f>IF($A66&lt;=IF(Calc!$C$36=999,360,Calc!$C$36),CHOOSE(Calc!$C$3,'Snowball Engine'!AY68,'Avalanche Engine'!AY68,'My Order Engine'!AY68),"")</f>
        <v/>
      </c>
      <c r="D66" s="25" t="str">
        <f>IF($A66&lt;=IF(Calc!$C$36=999,360,Calc!$C$36),CHOOSE(Calc!$C$3,'Snowball Engine'!AX68,'Avalanche Engine'!AX68,'My Order Engine'!AX68),"")</f>
        <v/>
      </c>
      <c r="E66" s="25" t="str">
        <f>IF($A66&lt;=IF(Calc!$C$36=999,360,Calc!$C$36),C66-D66,"")</f>
        <v/>
      </c>
      <c r="F66" s="25" t="str">
        <f>IF($A66&lt;=IF(Calc!$C$36=999,360,Calc!$C$36),CHOOSE(Calc!$C$3,'Snowball Engine'!AW68,'Avalanche Engine'!AW68,'My Order Engine'!AW68),"")</f>
        <v/>
      </c>
      <c r="G66" s="25" t="str">
        <f>IF(AND($A66&lt;=IF(Calc!$C$36=999,360,Calc!$C$36),Calc!$C$10=1),CHOOSE(Calc!$C$3,INDEX('Snowball Engine'!$AH68:$AV68,Calc!$I$10),INDEX('Avalanche Engine'!$AH68:$AV68,Calc!$J$10),INDEX('My Order Engine'!$AH68:$AV68,Calc!$K$10)),"")</f>
        <v/>
      </c>
      <c r="H66" s="25" t="str">
        <f>IF(AND($A66&lt;=IF(Calc!$C$36=999,360,Calc!$C$36),Calc!$C$11=1),CHOOSE(Calc!$C$3,INDEX('Snowball Engine'!$AH68:$AV68,Calc!$I$11),INDEX('Avalanche Engine'!$AH68:$AV68,Calc!$J$11),INDEX('My Order Engine'!$AH68:$AV68,Calc!$K$11)),"")</f>
        <v/>
      </c>
      <c r="I66" s="25" t="str">
        <f>IF(AND($A66&lt;=IF(Calc!$C$36=999,360,Calc!$C$36),Calc!$C$12=1),CHOOSE(Calc!$C$3,INDEX('Snowball Engine'!$AH68:$AV68,Calc!$I$12),INDEX('Avalanche Engine'!$AH68:$AV68,Calc!$J$12),INDEX('My Order Engine'!$AH68:$AV68,Calc!$K$12)),"")</f>
        <v/>
      </c>
      <c r="J66" s="25" t="str">
        <f>IF(AND($A66&lt;=IF(Calc!$C$36=999,360,Calc!$C$36),Calc!$C$13=1),CHOOSE(Calc!$C$3,INDEX('Snowball Engine'!$AH68:$AV68,Calc!$I$13),INDEX('Avalanche Engine'!$AH68:$AV68,Calc!$J$13),INDEX('My Order Engine'!$AH68:$AV68,Calc!$K$13)),"")</f>
        <v/>
      </c>
      <c r="K66" s="25" t="str">
        <f>IF(AND($A66&lt;=IF(Calc!$C$36=999,360,Calc!$C$36),Calc!$C$14=1),CHOOSE(Calc!$C$3,INDEX('Snowball Engine'!$AH68:$AV68,Calc!$I$14),INDEX('Avalanche Engine'!$AH68:$AV68,Calc!$J$14),INDEX('My Order Engine'!$AH68:$AV68,Calc!$K$14)),"")</f>
        <v/>
      </c>
      <c r="L66" s="25" t="str">
        <f>IF(AND($A66&lt;=IF(Calc!$C$36=999,360,Calc!$C$36),Calc!$C$15=1),CHOOSE(Calc!$C$3,INDEX('Snowball Engine'!$AH68:$AV68,Calc!$I$15),INDEX('Avalanche Engine'!$AH68:$AV68,Calc!$J$15),INDEX('My Order Engine'!$AH68:$AV68,Calc!$K$15)),"")</f>
        <v/>
      </c>
      <c r="M66" s="25" t="str">
        <f>IF(AND($A66&lt;=IF(Calc!$C$36=999,360,Calc!$C$36),Calc!$C$16=1),CHOOSE(Calc!$C$3,INDEX('Snowball Engine'!$AH68:$AV68,Calc!$I$16),INDEX('Avalanche Engine'!$AH68:$AV68,Calc!$J$16),INDEX('My Order Engine'!$AH68:$AV68,Calc!$K$16)),"")</f>
        <v/>
      </c>
      <c r="N66" s="25" t="str">
        <f>IF(AND($A66&lt;=IF(Calc!$C$36=999,360,Calc!$C$36),Calc!$C$17=1),CHOOSE(Calc!$C$3,INDEX('Snowball Engine'!$AH68:$AV68,Calc!$I$17),INDEX('Avalanche Engine'!$AH68:$AV68,Calc!$J$17),INDEX('My Order Engine'!$AH68:$AV68,Calc!$K$17)),"")</f>
        <v/>
      </c>
      <c r="O66" s="25" t="str">
        <f>IF(AND($A66&lt;=IF(Calc!$C$36=999,360,Calc!$C$36),Calc!$C$18=1),CHOOSE(Calc!$C$3,INDEX('Snowball Engine'!$AH68:$AV68,Calc!$I$18),INDEX('Avalanche Engine'!$AH68:$AV68,Calc!$J$18),INDEX('My Order Engine'!$AH68:$AV68,Calc!$K$18)),"")</f>
        <v/>
      </c>
      <c r="P66" s="25" t="str">
        <f>IF(AND($A66&lt;=IF(Calc!$C$36=999,360,Calc!$C$36),Calc!$C$19=1),CHOOSE(Calc!$C$3,INDEX('Snowball Engine'!$AH68:$AV68,Calc!$I$19),INDEX('Avalanche Engine'!$AH68:$AV68,Calc!$J$19),INDEX('My Order Engine'!$AH68:$AV68,Calc!$K$19)),"")</f>
        <v/>
      </c>
      <c r="Q66" s="25" t="str">
        <f>IF(AND($A66&lt;=IF(Calc!$C$36=999,360,Calc!$C$36),Calc!$C$20=1),CHOOSE(Calc!$C$3,INDEX('Snowball Engine'!$AH68:$AV68,Calc!$I$20),INDEX('Avalanche Engine'!$AH68:$AV68,Calc!$J$20),INDEX('My Order Engine'!$AH68:$AV68,Calc!$K$20)),"")</f>
        <v/>
      </c>
      <c r="R66" s="25" t="str">
        <f>IF(AND($A66&lt;=IF(Calc!$C$36=999,360,Calc!$C$36),Calc!$C$21=1),CHOOSE(Calc!$C$3,INDEX('Snowball Engine'!$AH68:$AV68,Calc!$I$21),INDEX('Avalanche Engine'!$AH68:$AV68,Calc!$J$21),INDEX('My Order Engine'!$AH68:$AV68,Calc!$K$21)),"")</f>
        <v/>
      </c>
      <c r="S66" s="25" t="str">
        <f>IF(AND($A66&lt;=IF(Calc!$C$36=999,360,Calc!$C$36),Calc!$C$22=1),CHOOSE(Calc!$C$3,INDEX('Snowball Engine'!$AH68:$AV68,Calc!$I$22),INDEX('Avalanche Engine'!$AH68:$AV68,Calc!$J$22),INDEX('My Order Engine'!$AH68:$AV68,Calc!$K$22)),"")</f>
        <v/>
      </c>
      <c r="T66" s="25" t="str">
        <f>IF(AND($A66&lt;=IF(Calc!$C$36=999,360,Calc!$C$36),Calc!$C$23=1),CHOOSE(Calc!$C$3,INDEX('Snowball Engine'!$AH68:$AV68,Calc!$I$23),INDEX('Avalanche Engine'!$AH68:$AV68,Calc!$J$23),INDEX('My Order Engine'!$AH68:$AV68,Calc!$K$23)),"")</f>
        <v/>
      </c>
      <c r="U66" s="25" t="str">
        <f>IF(AND($A66&lt;=IF(Calc!$C$36=999,360,Calc!$C$36),Calc!$C$24=1),CHOOSE(Calc!$C$3,INDEX('Snowball Engine'!$AH68:$AV68,Calc!$I$24),INDEX('Avalanche Engine'!$AH68:$AV68,Calc!$J$24),INDEX('My Order Engine'!$AH68:$AV68,Calc!$K$24)),"")</f>
        <v/>
      </c>
    </row>
    <row r="67" spans="1:21" x14ac:dyDescent="0.35">
      <c r="A67" s="23">
        <v>63</v>
      </c>
      <c r="B67" s="24" t="str">
        <f>IF($A67&lt;=IF(Calc!$C$36=999,360,Calc!$C$36),EDATE(Calc!$C$5,A67-1),"")</f>
        <v/>
      </c>
      <c r="C67" s="25" t="str">
        <f>IF($A67&lt;=IF(Calc!$C$36=999,360,Calc!$C$36),CHOOSE(Calc!$C$3,'Snowball Engine'!AY69,'Avalanche Engine'!AY69,'My Order Engine'!AY69),"")</f>
        <v/>
      </c>
      <c r="D67" s="25" t="str">
        <f>IF($A67&lt;=IF(Calc!$C$36=999,360,Calc!$C$36),CHOOSE(Calc!$C$3,'Snowball Engine'!AX69,'Avalanche Engine'!AX69,'My Order Engine'!AX69),"")</f>
        <v/>
      </c>
      <c r="E67" s="25" t="str">
        <f>IF($A67&lt;=IF(Calc!$C$36=999,360,Calc!$C$36),C67-D67,"")</f>
        <v/>
      </c>
      <c r="F67" s="25" t="str">
        <f>IF($A67&lt;=IF(Calc!$C$36=999,360,Calc!$C$36),CHOOSE(Calc!$C$3,'Snowball Engine'!AW69,'Avalanche Engine'!AW69,'My Order Engine'!AW69),"")</f>
        <v/>
      </c>
      <c r="G67" s="25" t="str">
        <f>IF(AND($A67&lt;=IF(Calc!$C$36=999,360,Calc!$C$36),Calc!$C$10=1),CHOOSE(Calc!$C$3,INDEX('Snowball Engine'!$AH69:$AV69,Calc!$I$10),INDEX('Avalanche Engine'!$AH69:$AV69,Calc!$J$10),INDEX('My Order Engine'!$AH69:$AV69,Calc!$K$10)),"")</f>
        <v/>
      </c>
      <c r="H67" s="25" t="str">
        <f>IF(AND($A67&lt;=IF(Calc!$C$36=999,360,Calc!$C$36),Calc!$C$11=1),CHOOSE(Calc!$C$3,INDEX('Snowball Engine'!$AH69:$AV69,Calc!$I$11),INDEX('Avalanche Engine'!$AH69:$AV69,Calc!$J$11),INDEX('My Order Engine'!$AH69:$AV69,Calc!$K$11)),"")</f>
        <v/>
      </c>
      <c r="I67" s="25" t="str">
        <f>IF(AND($A67&lt;=IF(Calc!$C$36=999,360,Calc!$C$36),Calc!$C$12=1),CHOOSE(Calc!$C$3,INDEX('Snowball Engine'!$AH69:$AV69,Calc!$I$12),INDEX('Avalanche Engine'!$AH69:$AV69,Calc!$J$12),INDEX('My Order Engine'!$AH69:$AV69,Calc!$K$12)),"")</f>
        <v/>
      </c>
      <c r="J67" s="25" t="str">
        <f>IF(AND($A67&lt;=IF(Calc!$C$36=999,360,Calc!$C$36),Calc!$C$13=1),CHOOSE(Calc!$C$3,INDEX('Snowball Engine'!$AH69:$AV69,Calc!$I$13),INDEX('Avalanche Engine'!$AH69:$AV69,Calc!$J$13),INDEX('My Order Engine'!$AH69:$AV69,Calc!$K$13)),"")</f>
        <v/>
      </c>
      <c r="K67" s="25" t="str">
        <f>IF(AND($A67&lt;=IF(Calc!$C$36=999,360,Calc!$C$36),Calc!$C$14=1),CHOOSE(Calc!$C$3,INDEX('Snowball Engine'!$AH69:$AV69,Calc!$I$14),INDEX('Avalanche Engine'!$AH69:$AV69,Calc!$J$14),INDEX('My Order Engine'!$AH69:$AV69,Calc!$K$14)),"")</f>
        <v/>
      </c>
      <c r="L67" s="25" t="str">
        <f>IF(AND($A67&lt;=IF(Calc!$C$36=999,360,Calc!$C$36),Calc!$C$15=1),CHOOSE(Calc!$C$3,INDEX('Snowball Engine'!$AH69:$AV69,Calc!$I$15),INDEX('Avalanche Engine'!$AH69:$AV69,Calc!$J$15),INDEX('My Order Engine'!$AH69:$AV69,Calc!$K$15)),"")</f>
        <v/>
      </c>
      <c r="M67" s="25" t="str">
        <f>IF(AND($A67&lt;=IF(Calc!$C$36=999,360,Calc!$C$36),Calc!$C$16=1),CHOOSE(Calc!$C$3,INDEX('Snowball Engine'!$AH69:$AV69,Calc!$I$16),INDEX('Avalanche Engine'!$AH69:$AV69,Calc!$J$16),INDEX('My Order Engine'!$AH69:$AV69,Calc!$K$16)),"")</f>
        <v/>
      </c>
      <c r="N67" s="25" t="str">
        <f>IF(AND($A67&lt;=IF(Calc!$C$36=999,360,Calc!$C$36),Calc!$C$17=1),CHOOSE(Calc!$C$3,INDEX('Snowball Engine'!$AH69:$AV69,Calc!$I$17),INDEX('Avalanche Engine'!$AH69:$AV69,Calc!$J$17),INDEX('My Order Engine'!$AH69:$AV69,Calc!$K$17)),"")</f>
        <v/>
      </c>
      <c r="O67" s="25" t="str">
        <f>IF(AND($A67&lt;=IF(Calc!$C$36=999,360,Calc!$C$36),Calc!$C$18=1),CHOOSE(Calc!$C$3,INDEX('Snowball Engine'!$AH69:$AV69,Calc!$I$18),INDEX('Avalanche Engine'!$AH69:$AV69,Calc!$J$18),INDEX('My Order Engine'!$AH69:$AV69,Calc!$K$18)),"")</f>
        <v/>
      </c>
      <c r="P67" s="25" t="str">
        <f>IF(AND($A67&lt;=IF(Calc!$C$36=999,360,Calc!$C$36),Calc!$C$19=1),CHOOSE(Calc!$C$3,INDEX('Snowball Engine'!$AH69:$AV69,Calc!$I$19),INDEX('Avalanche Engine'!$AH69:$AV69,Calc!$J$19),INDEX('My Order Engine'!$AH69:$AV69,Calc!$K$19)),"")</f>
        <v/>
      </c>
      <c r="Q67" s="25" t="str">
        <f>IF(AND($A67&lt;=IF(Calc!$C$36=999,360,Calc!$C$36),Calc!$C$20=1),CHOOSE(Calc!$C$3,INDEX('Snowball Engine'!$AH69:$AV69,Calc!$I$20),INDEX('Avalanche Engine'!$AH69:$AV69,Calc!$J$20),INDEX('My Order Engine'!$AH69:$AV69,Calc!$K$20)),"")</f>
        <v/>
      </c>
      <c r="R67" s="25" t="str">
        <f>IF(AND($A67&lt;=IF(Calc!$C$36=999,360,Calc!$C$36),Calc!$C$21=1),CHOOSE(Calc!$C$3,INDEX('Snowball Engine'!$AH69:$AV69,Calc!$I$21),INDEX('Avalanche Engine'!$AH69:$AV69,Calc!$J$21),INDEX('My Order Engine'!$AH69:$AV69,Calc!$K$21)),"")</f>
        <v/>
      </c>
      <c r="S67" s="25" t="str">
        <f>IF(AND($A67&lt;=IF(Calc!$C$36=999,360,Calc!$C$36),Calc!$C$22=1),CHOOSE(Calc!$C$3,INDEX('Snowball Engine'!$AH69:$AV69,Calc!$I$22),INDEX('Avalanche Engine'!$AH69:$AV69,Calc!$J$22),INDEX('My Order Engine'!$AH69:$AV69,Calc!$K$22)),"")</f>
        <v/>
      </c>
      <c r="T67" s="25" t="str">
        <f>IF(AND($A67&lt;=IF(Calc!$C$36=999,360,Calc!$C$36),Calc!$C$23=1),CHOOSE(Calc!$C$3,INDEX('Snowball Engine'!$AH69:$AV69,Calc!$I$23),INDEX('Avalanche Engine'!$AH69:$AV69,Calc!$J$23),INDEX('My Order Engine'!$AH69:$AV69,Calc!$K$23)),"")</f>
        <v/>
      </c>
      <c r="U67" s="25" t="str">
        <f>IF(AND($A67&lt;=IF(Calc!$C$36=999,360,Calc!$C$36),Calc!$C$24=1),CHOOSE(Calc!$C$3,INDEX('Snowball Engine'!$AH69:$AV69,Calc!$I$24),INDEX('Avalanche Engine'!$AH69:$AV69,Calc!$J$24),INDEX('My Order Engine'!$AH69:$AV69,Calc!$K$24)),"")</f>
        <v/>
      </c>
    </row>
    <row r="68" spans="1:21" x14ac:dyDescent="0.35">
      <c r="A68" s="23">
        <v>64</v>
      </c>
      <c r="B68" s="24" t="str">
        <f>IF($A68&lt;=IF(Calc!$C$36=999,360,Calc!$C$36),EDATE(Calc!$C$5,A68-1),"")</f>
        <v/>
      </c>
      <c r="C68" s="25" t="str">
        <f>IF($A68&lt;=IF(Calc!$C$36=999,360,Calc!$C$36),CHOOSE(Calc!$C$3,'Snowball Engine'!AY70,'Avalanche Engine'!AY70,'My Order Engine'!AY70),"")</f>
        <v/>
      </c>
      <c r="D68" s="25" t="str">
        <f>IF($A68&lt;=IF(Calc!$C$36=999,360,Calc!$C$36),CHOOSE(Calc!$C$3,'Snowball Engine'!AX70,'Avalanche Engine'!AX70,'My Order Engine'!AX70),"")</f>
        <v/>
      </c>
      <c r="E68" s="25" t="str">
        <f>IF($A68&lt;=IF(Calc!$C$36=999,360,Calc!$C$36),C68-D68,"")</f>
        <v/>
      </c>
      <c r="F68" s="25" t="str">
        <f>IF($A68&lt;=IF(Calc!$C$36=999,360,Calc!$C$36),CHOOSE(Calc!$C$3,'Snowball Engine'!AW70,'Avalanche Engine'!AW70,'My Order Engine'!AW70),"")</f>
        <v/>
      </c>
      <c r="G68" s="25" t="str">
        <f>IF(AND($A68&lt;=IF(Calc!$C$36=999,360,Calc!$C$36),Calc!$C$10=1),CHOOSE(Calc!$C$3,INDEX('Snowball Engine'!$AH70:$AV70,Calc!$I$10),INDEX('Avalanche Engine'!$AH70:$AV70,Calc!$J$10),INDEX('My Order Engine'!$AH70:$AV70,Calc!$K$10)),"")</f>
        <v/>
      </c>
      <c r="H68" s="25" t="str">
        <f>IF(AND($A68&lt;=IF(Calc!$C$36=999,360,Calc!$C$36),Calc!$C$11=1),CHOOSE(Calc!$C$3,INDEX('Snowball Engine'!$AH70:$AV70,Calc!$I$11),INDEX('Avalanche Engine'!$AH70:$AV70,Calc!$J$11),INDEX('My Order Engine'!$AH70:$AV70,Calc!$K$11)),"")</f>
        <v/>
      </c>
      <c r="I68" s="25" t="str">
        <f>IF(AND($A68&lt;=IF(Calc!$C$36=999,360,Calc!$C$36),Calc!$C$12=1),CHOOSE(Calc!$C$3,INDEX('Snowball Engine'!$AH70:$AV70,Calc!$I$12),INDEX('Avalanche Engine'!$AH70:$AV70,Calc!$J$12),INDEX('My Order Engine'!$AH70:$AV70,Calc!$K$12)),"")</f>
        <v/>
      </c>
      <c r="J68" s="25" t="str">
        <f>IF(AND($A68&lt;=IF(Calc!$C$36=999,360,Calc!$C$36),Calc!$C$13=1),CHOOSE(Calc!$C$3,INDEX('Snowball Engine'!$AH70:$AV70,Calc!$I$13),INDEX('Avalanche Engine'!$AH70:$AV70,Calc!$J$13),INDEX('My Order Engine'!$AH70:$AV70,Calc!$K$13)),"")</f>
        <v/>
      </c>
      <c r="K68" s="25" t="str">
        <f>IF(AND($A68&lt;=IF(Calc!$C$36=999,360,Calc!$C$36),Calc!$C$14=1),CHOOSE(Calc!$C$3,INDEX('Snowball Engine'!$AH70:$AV70,Calc!$I$14),INDEX('Avalanche Engine'!$AH70:$AV70,Calc!$J$14),INDEX('My Order Engine'!$AH70:$AV70,Calc!$K$14)),"")</f>
        <v/>
      </c>
      <c r="L68" s="25" t="str">
        <f>IF(AND($A68&lt;=IF(Calc!$C$36=999,360,Calc!$C$36),Calc!$C$15=1),CHOOSE(Calc!$C$3,INDEX('Snowball Engine'!$AH70:$AV70,Calc!$I$15),INDEX('Avalanche Engine'!$AH70:$AV70,Calc!$J$15),INDEX('My Order Engine'!$AH70:$AV70,Calc!$K$15)),"")</f>
        <v/>
      </c>
      <c r="M68" s="25" t="str">
        <f>IF(AND($A68&lt;=IF(Calc!$C$36=999,360,Calc!$C$36),Calc!$C$16=1),CHOOSE(Calc!$C$3,INDEX('Snowball Engine'!$AH70:$AV70,Calc!$I$16),INDEX('Avalanche Engine'!$AH70:$AV70,Calc!$J$16),INDEX('My Order Engine'!$AH70:$AV70,Calc!$K$16)),"")</f>
        <v/>
      </c>
      <c r="N68" s="25" t="str">
        <f>IF(AND($A68&lt;=IF(Calc!$C$36=999,360,Calc!$C$36),Calc!$C$17=1),CHOOSE(Calc!$C$3,INDEX('Snowball Engine'!$AH70:$AV70,Calc!$I$17),INDEX('Avalanche Engine'!$AH70:$AV70,Calc!$J$17),INDEX('My Order Engine'!$AH70:$AV70,Calc!$K$17)),"")</f>
        <v/>
      </c>
      <c r="O68" s="25" t="str">
        <f>IF(AND($A68&lt;=IF(Calc!$C$36=999,360,Calc!$C$36),Calc!$C$18=1),CHOOSE(Calc!$C$3,INDEX('Snowball Engine'!$AH70:$AV70,Calc!$I$18),INDEX('Avalanche Engine'!$AH70:$AV70,Calc!$J$18),INDEX('My Order Engine'!$AH70:$AV70,Calc!$K$18)),"")</f>
        <v/>
      </c>
      <c r="P68" s="25" t="str">
        <f>IF(AND($A68&lt;=IF(Calc!$C$36=999,360,Calc!$C$36),Calc!$C$19=1),CHOOSE(Calc!$C$3,INDEX('Snowball Engine'!$AH70:$AV70,Calc!$I$19),INDEX('Avalanche Engine'!$AH70:$AV70,Calc!$J$19),INDEX('My Order Engine'!$AH70:$AV70,Calc!$K$19)),"")</f>
        <v/>
      </c>
      <c r="Q68" s="25" t="str">
        <f>IF(AND($A68&lt;=IF(Calc!$C$36=999,360,Calc!$C$36),Calc!$C$20=1),CHOOSE(Calc!$C$3,INDEX('Snowball Engine'!$AH70:$AV70,Calc!$I$20),INDEX('Avalanche Engine'!$AH70:$AV70,Calc!$J$20),INDEX('My Order Engine'!$AH70:$AV70,Calc!$K$20)),"")</f>
        <v/>
      </c>
      <c r="R68" s="25" t="str">
        <f>IF(AND($A68&lt;=IF(Calc!$C$36=999,360,Calc!$C$36),Calc!$C$21=1),CHOOSE(Calc!$C$3,INDEX('Snowball Engine'!$AH70:$AV70,Calc!$I$21),INDEX('Avalanche Engine'!$AH70:$AV70,Calc!$J$21),INDEX('My Order Engine'!$AH70:$AV70,Calc!$K$21)),"")</f>
        <v/>
      </c>
      <c r="S68" s="25" t="str">
        <f>IF(AND($A68&lt;=IF(Calc!$C$36=999,360,Calc!$C$36),Calc!$C$22=1),CHOOSE(Calc!$C$3,INDEX('Snowball Engine'!$AH70:$AV70,Calc!$I$22),INDEX('Avalanche Engine'!$AH70:$AV70,Calc!$J$22),INDEX('My Order Engine'!$AH70:$AV70,Calc!$K$22)),"")</f>
        <v/>
      </c>
      <c r="T68" s="25" t="str">
        <f>IF(AND($A68&lt;=IF(Calc!$C$36=999,360,Calc!$C$36),Calc!$C$23=1),CHOOSE(Calc!$C$3,INDEX('Snowball Engine'!$AH70:$AV70,Calc!$I$23),INDEX('Avalanche Engine'!$AH70:$AV70,Calc!$J$23),INDEX('My Order Engine'!$AH70:$AV70,Calc!$K$23)),"")</f>
        <v/>
      </c>
      <c r="U68" s="25" t="str">
        <f>IF(AND($A68&lt;=IF(Calc!$C$36=999,360,Calc!$C$36),Calc!$C$24=1),CHOOSE(Calc!$C$3,INDEX('Snowball Engine'!$AH70:$AV70,Calc!$I$24),INDEX('Avalanche Engine'!$AH70:$AV70,Calc!$J$24),INDEX('My Order Engine'!$AH70:$AV70,Calc!$K$24)),"")</f>
        <v/>
      </c>
    </row>
    <row r="69" spans="1:21" x14ac:dyDescent="0.35">
      <c r="A69" s="23">
        <v>65</v>
      </c>
      <c r="B69" s="24" t="str">
        <f>IF($A69&lt;=IF(Calc!$C$36=999,360,Calc!$C$36),EDATE(Calc!$C$5,A69-1),"")</f>
        <v/>
      </c>
      <c r="C69" s="25" t="str">
        <f>IF($A69&lt;=IF(Calc!$C$36=999,360,Calc!$C$36),CHOOSE(Calc!$C$3,'Snowball Engine'!AY71,'Avalanche Engine'!AY71,'My Order Engine'!AY71),"")</f>
        <v/>
      </c>
      <c r="D69" s="25" t="str">
        <f>IF($A69&lt;=IF(Calc!$C$36=999,360,Calc!$C$36),CHOOSE(Calc!$C$3,'Snowball Engine'!AX71,'Avalanche Engine'!AX71,'My Order Engine'!AX71),"")</f>
        <v/>
      </c>
      <c r="E69" s="25" t="str">
        <f>IF($A69&lt;=IF(Calc!$C$36=999,360,Calc!$C$36),C69-D69,"")</f>
        <v/>
      </c>
      <c r="F69" s="25" t="str">
        <f>IF($A69&lt;=IF(Calc!$C$36=999,360,Calc!$C$36),CHOOSE(Calc!$C$3,'Snowball Engine'!AW71,'Avalanche Engine'!AW71,'My Order Engine'!AW71),"")</f>
        <v/>
      </c>
      <c r="G69" s="25" t="str">
        <f>IF(AND($A69&lt;=IF(Calc!$C$36=999,360,Calc!$C$36),Calc!$C$10=1),CHOOSE(Calc!$C$3,INDEX('Snowball Engine'!$AH71:$AV71,Calc!$I$10),INDEX('Avalanche Engine'!$AH71:$AV71,Calc!$J$10),INDEX('My Order Engine'!$AH71:$AV71,Calc!$K$10)),"")</f>
        <v/>
      </c>
      <c r="H69" s="25" t="str">
        <f>IF(AND($A69&lt;=IF(Calc!$C$36=999,360,Calc!$C$36),Calc!$C$11=1),CHOOSE(Calc!$C$3,INDEX('Snowball Engine'!$AH71:$AV71,Calc!$I$11),INDEX('Avalanche Engine'!$AH71:$AV71,Calc!$J$11),INDEX('My Order Engine'!$AH71:$AV71,Calc!$K$11)),"")</f>
        <v/>
      </c>
      <c r="I69" s="25" t="str">
        <f>IF(AND($A69&lt;=IF(Calc!$C$36=999,360,Calc!$C$36),Calc!$C$12=1),CHOOSE(Calc!$C$3,INDEX('Snowball Engine'!$AH71:$AV71,Calc!$I$12),INDEX('Avalanche Engine'!$AH71:$AV71,Calc!$J$12),INDEX('My Order Engine'!$AH71:$AV71,Calc!$K$12)),"")</f>
        <v/>
      </c>
      <c r="J69" s="25" t="str">
        <f>IF(AND($A69&lt;=IF(Calc!$C$36=999,360,Calc!$C$36),Calc!$C$13=1),CHOOSE(Calc!$C$3,INDEX('Snowball Engine'!$AH71:$AV71,Calc!$I$13),INDEX('Avalanche Engine'!$AH71:$AV71,Calc!$J$13),INDEX('My Order Engine'!$AH71:$AV71,Calc!$K$13)),"")</f>
        <v/>
      </c>
      <c r="K69" s="25" t="str">
        <f>IF(AND($A69&lt;=IF(Calc!$C$36=999,360,Calc!$C$36),Calc!$C$14=1),CHOOSE(Calc!$C$3,INDEX('Snowball Engine'!$AH71:$AV71,Calc!$I$14),INDEX('Avalanche Engine'!$AH71:$AV71,Calc!$J$14),INDEX('My Order Engine'!$AH71:$AV71,Calc!$K$14)),"")</f>
        <v/>
      </c>
      <c r="L69" s="25" t="str">
        <f>IF(AND($A69&lt;=IF(Calc!$C$36=999,360,Calc!$C$36),Calc!$C$15=1),CHOOSE(Calc!$C$3,INDEX('Snowball Engine'!$AH71:$AV71,Calc!$I$15),INDEX('Avalanche Engine'!$AH71:$AV71,Calc!$J$15),INDEX('My Order Engine'!$AH71:$AV71,Calc!$K$15)),"")</f>
        <v/>
      </c>
      <c r="M69" s="25" t="str">
        <f>IF(AND($A69&lt;=IF(Calc!$C$36=999,360,Calc!$C$36),Calc!$C$16=1),CHOOSE(Calc!$C$3,INDEX('Snowball Engine'!$AH71:$AV71,Calc!$I$16),INDEX('Avalanche Engine'!$AH71:$AV71,Calc!$J$16),INDEX('My Order Engine'!$AH71:$AV71,Calc!$K$16)),"")</f>
        <v/>
      </c>
      <c r="N69" s="25" t="str">
        <f>IF(AND($A69&lt;=IF(Calc!$C$36=999,360,Calc!$C$36),Calc!$C$17=1),CHOOSE(Calc!$C$3,INDEX('Snowball Engine'!$AH71:$AV71,Calc!$I$17),INDEX('Avalanche Engine'!$AH71:$AV71,Calc!$J$17),INDEX('My Order Engine'!$AH71:$AV71,Calc!$K$17)),"")</f>
        <v/>
      </c>
      <c r="O69" s="25" t="str">
        <f>IF(AND($A69&lt;=IF(Calc!$C$36=999,360,Calc!$C$36),Calc!$C$18=1),CHOOSE(Calc!$C$3,INDEX('Snowball Engine'!$AH71:$AV71,Calc!$I$18),INDEX('Avalanche Engine'!$AH71:$AV71,Calc!$J$18),INDEX('My Order Engine'!$AH71:$AV71,Calc!$K$18)),"")</f>
        <v/>
      </c>
      <c r="P69" s="25" t="str">
        <f>IF(AND($A69&lt;=IF(Calc!$C$36=999,360,Calc!$C$36),Calc!$C$19=1),CHOOSE(Calc!$C$3,INDEX('Snowball Engine'!$AH71:$AV71,Calc!$I$19),INDEX('Avalanche Engine'!$AH71:$AV71,Calc!$J$19),INDEX('My Order Engine'!$AH71:$AV71,Calc!$K$19)),"")</f>
        <v/>
      </c>
      <c r="Q69" s="25" t="str">
        <f>IF(AND($A69&lt;=IF(Calc!$C$36=999,360,Calc!$C$36),Calc!$C$20=1),CHOOSE(Calc!$C$3,INDEX('Snowball Engine'!$AH71:$AV71,Calc!$I$20),INDEX('Avalanche Engine'!$AH71:$AV71,Calc!$J$20),INDEX('My Order Engine'!$AH71:$AV71,Calc!$K$20)),"")</f>
        <v/>
      </c>
      <c r="R69" s="25" t="str">
        <f>IF(AND($A69&lt;=IF(Calc!$C$36=999,360,Calc!$C$36),Calc!$C$21=1),CHOOSE(Calc!$C$3,INDEX('Snowball Engine'!$AH71:$AV71,Calc!$I$21),INDEX('Avalanche Engine'!$AH71:$AV71,Calc!$J$21),INDEX('My Order Engine'!$AH71:$AV71,Calc!$K$21)),"")</f>
        <v/>
      </c>
      <c r="S69" s="25" t="str">
        <f>IF(AND($A69&lt;=IF(Calc!$C$36=999,360,Calc!$C$36),Calc!$C$22=1),CHOOSE(Calc!$C$3,INDEX('Snowball Engine'!$AH71:$AV71,Calc!$I$22),INDEX('Avalanche Engine'!$AH71:$AV71,Calc!$J$22),INDEX('My Order Engine'!$AH71:$AV71,Calc!$K$22)),"")</f>
        <v/>
      </c>
      <c r="T69" s="25" t="str">
        <f>IF(AND($A69&lt;=IF(Calc!$C$36=999,360,Calc!$C$36),Calc!$C$23=1),CHOOSE(Calc!$C$3,INDEX('Snowball Engine'!$AH71:$AV71,Calc!$I$23),INDEX('Avalanche Engine'!$AH71:$AV71,Calc!$J$23),INDEX('My Order Engine'!$AH71:$AV71,Calc!$K$23)),"")</f>
        <v/>
      </c>
      <c r="U69" s="25" t="str">
        <f>IF(AND($A69&lt;=IF(Calc!$C$36=999,360,Calc!$C$36),Calc!$C$24=1),CHOOSE(Calc!$C$3,INDEX('Snowball Engine'!$AH71:$AV71,Calc!$I$24),INDEX('Avalanche Engine'!$AH71:$AV71,Calc!$J$24),INDEX('My Order Engine'!$AH71:$AV71,Calc!$K$24)),"")</f>
        <v/>
      </c>
    </row>
    <row r="70" spans="1:21" x14ac:dyDescent="0.35">
      <c r="A70" s="23">
        <v>66</v>
      </c>
      <c r="B70" s="24" t="str">
        <f>IF($A70&lt;=IF(Calc!$C$36=999,360,Calc!$C$36),EDATE(Calc!$C$5,A70-1),"")</f>
        <v/>
      </c>
      <c r="C70" s="25" t="str">
        <f>IF($A70&lt;=IF(Calc!$C$36=999,360,Calc!$C$36),CHOOSE(Calc!$C$3,'Snowball Engine'!AY72,'Avalanche Engine'!AY72,'My Order Engine'!AY72),"")</f>
        <v/>
      </c>
      <c r="D70" s="25" t="str">
        <f>IF($A70&lt;=IF(Calc!$C$36=999,360,Calc!$C$36),CHOOSE(Calc!$C$3,'Snowball Engine'!AX72,'Avalanche Engine'!AX72,'My Order Engine'!AX72),"")</f>
        <v/>
      </c>
      <c r="E70" s="25" t="str">
        <f>IF($A70&lt;=IF(Calc!$C$36=999,360,Calc!$C$36),C70-D70,"")</f>
        <v/>
      </c>
      <c r="F70" s="25" t="str">
        <f>IF($A70&lt;=IF(Calc!$C$36=999,360,Calc!$C$36),CHOOSE(Calc!$C$3,'Snowball Engine'!AW72,'Avalanche Engine'!AW72,'My Order Engine'!AW72),"")</f>
        <v/>
      </c>
      <c r="G70" s="25" t="str">
        <f>IF(AND($A70&lt;=IF(Calc!$C$36=999,360,Calc!$C$36),Calc!$C$10=1),CHOOSE(Calc!$C$3,INDEX('Snowball Engine'!$AH72:$AV72,Calc!$I$10),INDEX('Avalanche Engine'!$AH72:$AV72,Calc!$J$10),INDEX('My Order Engine'!$AH72:$AV72,Calc!$K$10)),"")</f>
        <v/>
      </c>
      <c r="H70" s="25" t="str">
        <f>IF(AND($A70&lt;=IF(Calc!$C$36=999,360,Calc!$C$36),Calc!$C$11=1),CHOOSE(Calc!$C$3,INDEX('Snowball Engine'!$AH72:$AV72,Calc!$I$11),INDEX('Avalanche Engine'!$AH72:$AV72,Calc!$J$11),INDEX('My Order Engine'!$AH72:$AV72,Calc!$K$11)),"")</f>
        <v/>
      </c>
      <c r="I70" s="25" t="str">
        <f>IF(AND($A70&lt;=IF(Calc!$C$36=999,360,Calc!$C$36),Calc!$C$12=1),CHOOSE(Calc!$C$3,INDEX('Snowball Engine'!$AH72:$AV72,Calc!$I$12),INDEX('Avalanche Engine'!$AH72:$AV72,Calc!$J$12),INDEX('My Order Engine'!$AH72:$AV72,Calc!$K$12)),"")</f>
        <v/>
      </c>
      <c r="J70" s="25" t="str">
        <f>IF(AND($A70&lt;=IF(Calc!$C$36=999,360,Calc!$C$36),Calc!$C$13=1),CHOOSE(Calc!$C$3,INDEX('Snowball Engine'!$AH72:$AV72,Calc!$I$13),INDEX('Avalanche Engine'!$AH72:$AV72,Calc!$J$13),INDEX('My Order Engine'!$AH72:$AV72,Calc!$K$13)),"")</f>
        <v/>
      </c>
      <c r="K70" s="25" t="str">
        <f>IF(AND($A70&lt;=IF(Calc!$C$36=999,360,Calc!$C$36),Calc!$C$14=1),CHOOSE(Calc!$C$3,INDEX('Snowball Engine'!$AH72:$AV72,Calc!$I$14),INDEX('Avalanche Engine'!$AH72:$AV72,Calc!$J$14),INDEX('My Order Engine'!$AH72:$AV72,Calc!$K$14)),"")</f>
        <v/>
      </c>
      <c r="L70" s="25" t="str">
        <f>IF(AND($A70&lt;=IF(Calc!$C$36=999,360,Calc!$C$36),Calc!$C$15=1),CHOOSE(Calc!$C$3,INDEX('Snowball Engine'!$AH72:$AV72,Calc!$I$15),INDEX('Avalanche Engine'!$AH72:$AV72,Calc!$J$15),INDEX('My Order Engine'!$AH72:$AV72,Calc!$K$15)),"")</f>
        <v/>
      </c>
      <c r="M70" s="25" t="str">
        <f>IF(AND($A70&lt;=IF(Calc!$C$36=999,360,Calc!$C$36),Calc!$C$16=1),CHOOSE(Calc!$C$3,INDEX('Snowball Engine'!$AH72:$AV72,Calc!$I$16),INDEX('Avalanche Engine'!$AH72:$AV72,Calc!$J$16),INDEX('My Order Engine'!$AH72:$AV72,Calc!$K$16)),"")</f>
        <v/>
      </c>
      <c r="N70" s="25" t="str">
        <f>IF(AND($A70&lt;=IF(Calc!$C$36=999,360,Calc!$C$36),Calc!$C$17=1),CHOOSE(Calc!$C$3,INDEX('Snowball Engine'!$AH72:$AV72,Calc!$I$17),INDEX('Avalanche Engine'!$AH72:$AV72,Calc!$J$17),INDEX('My Order Engine'!$AH72:$AV72,Calc!$K$17)),"")</f>
        <v/>
      </c>
      <c r="O70" s="25" t="str">
        <f>IF(AND($A70&lt;=IF(Calc!$C$36=999,360,Calc!$C$36),Calc!$C$18=1),CHOOSE(Calc!$C$3,INDEX('Snowball Engine'!$AH72:$AV72,Calc!$I$18),INDEX('Avalanche Engine'!$AH72:$AV72,Calc!$J$18),INDEX('My Order Engine'!$AH72:$AV72,Calc!$K$18)),"")</f>
        <v/>
      </c>
      <c r="P70" s="25" t="str">
        <f>IF(AND($A70&lt;=IF(Calc!$C$36=999,360,Calc!$C$36),Calc!$C$19=1),CHOOSE(Calc!$C$3,INDEX('Snowball Engine'!$AH72:$AV72,Calc!$I$19),INDEX('Avalanche Engine'!$AH72:$AV72,Calc!$J$19),INDEX('My Order Engine'!$AH72:$AV72,Calc!$K$19)),"")</f>
        <v/>
      </c>
      <c r="Q70" s="25" t="str">
        <f>IF(AND($A70&lt;=IF(Calc!$C$36=999,360,Calc!$C$36),Calc!$C$20=1),CHOOSE(Calc!$C$3,INDEX('Snowball Engine'!$AH72:$AV72,Calc!$I$20),INDEX('Avalanche Engine'!$AH72:$AV72,Calc!$J$20),INDEX('My Order Engine'!$AH72:$AV72,Calc!$K$20)),"")</f>
        <v/>
      </c>
      <c r="R70" s="25" t="str">
        <f>IF(AND($A70&lt;=IF(Calc!$C$36=999,360,Calc!$C$36),Calc!$C$21=1),CHOOSE(Calc!$C$3,INDEX('Snowball Engine'!$AH72:$AV72,Calc!$I$21),INDEX('Avalanche Engine'!$AH72:$AV72,Calc!$J$21),INDEX('My Order Engine'!$AH72:$AV72,Calc!$K$21)),"")</f>
        <v/>
      </c>
      <c r="S70" s="25" t="str">
        <f>IF(AND($A70&lt;=IF(Calc!$C$36=999,360,Calc!$C$36),Calc!$C$22=1),CHOOSE(Calc!$C$3,INDEX('Snowball Engine'!$AH72:$AV72,Calc!$I$22),INDEX('Avalanche Engine'!$AH72:$AV72,Calc!$J$22),INDEX('My Order Engine'!$AH72:$AV72,Calc!$K$22)),"")</f>
        <v/>
      </c>
      <c r="T70" s="25" t="str">
        <f>IF(AND($A70&lt;=IF(Calc!$C$36=999,360,Calc!$C$36),Calc!$C$23=1),CHOOSE(Calc!$C$3,INDEX('Snowball Engine'!$AH72:$AV72,Calc!$I$23),INDEX('Avalanche Engine'!$AH72:$AV72,Calc!$J$23),INDEX('My Order Engine'!$AH72:$AV72,Calc!$K$23)),"")</f>
        <v/>
      </c>
      <c r="U70" s="25" t="str">
        <f>IF(AND($A70&lt;=IF(Calc!$C$36=999,360,Calc!$C$36),Calc!$C$24=1),CHOOSE(Calc!$C$3,INDEX('Snowball Engine'!$AH72:$AV72,Calc!$I$24),INDEX('Avalanche Engine'!$AH72:$AV72,Calc!$J$24),INDEX('My Order Engine'!$AH72:$AV72,Calc!$K$24)),"")</f>
        <v/>
      </c>
    </row>
    <row r="71" spans="1:21" x14ac:dyDescent="0.35">
      <c r="A71" s="23">
        <v>67</v>
      </c>
      <c r="B71" s="24" t="str">
        <f>IF($A71&lt;=IF(Calc!$C$36=999,360,Calc!$C$36),EDATE(Calc!$C$5,A71-1),"")</f>
        <v/>
      </c>
      <c r="C71" s="25" t="str">
        <f>IF($A71&lt;=IF(Calc!$C$36=999,360,Calc!$C$36),CHOOSE(Calc!$C$3,'Snowball Engine'!AY73,'Avalanche Engine'!AY73,'My Order Engine'!AY73),"")</f>
        <v/>
      </c>
      <c r="D71" s="25" t="str">
        <f>IF($A71&lt;=IF(Calc!$C$36=999,360,Calc!$C$36),CHOOSE(Calc!$C$3,'Snowball Engine'!AX73,'Avalanche Engine'!AX73,'My Order Engine'!AX73),"")</f>
        <v/>
      </c>
      <c r="E71" s="25" t="str">
        <f>IF($A71&lt;=IF(Calc!$C$36=999,360,Calc!$C$36),C71-D71,"")</f>
        <v/>
      </c>
      <c r="F71" s="25" t="str">
        <f>IF($A71&lt;=IF(Calc!$C$36=999,360,Calc!$C$36),CHOOSE(Calc!$C$3,'Snowball Engine'!AW73,'Avalanche Engine'!AW73,'My Order Engine'!AW73),"")</f>
        <v/>
      </c>
      <c r="G71" s="25" t="str">
        <f>IF(AND($A71&lt;=IF(Calc!$C$36=999,360,Calc!$C$36),Calc!$C$10=1),CHOOSE(Calc!$C$3,INDEX('Snowball Engine'!$AH73:$AV73,Calc!$I$10),INDEX('Avalanche Engine'!$AH73:$AV73,Calc!$J$10),INDEX('My Order Engine'!$AH73:$AV73,Calc!$K$10)),"")</f>
        <v/>
      </c>
      <c r="H71" s="25" t="str">
        <f>IF(AND($A71&lt;=IF(Calc!$C$36=999,360,Calc!$C$36),Calc!$C$11=1),CHOOSE(Calc!$C$3,INDEX('Snowball Engine'!$AH73:$AV73,Calc!$I$11),INDEX('Avalanche Engine'!$AH73:$AV73,Calc!$J$11),INDEX('My Order Engine'!$AH73:$AV73,Calc!$K$11)),"")</f>
        <v/>
      </c>
      <c r="I71" s="25" t="str">
        <f>IF(AND($A71&lt;=IF(Calc!$C$36=999,360,Calc!$C$36),Calc!$C$12=1),CHOOSE(Calc!$C$3,INDEX('Snowball Engine'!$AH73:$AV73,Calc!$I$12),INDEX('Avalanche Engine'!$AH73:$AV73,Calc!$J$12),INDEX('My Order Engine'!$AH73:$AV73,Calc!$K$12)),"")</f>
        <v/>
      </c>
      <c r="J71" s="25" t="str">
        <f>IF(AND($A71&lt;=IF(Calc!$C$36=999,360,Calc!$C$36),Calc!$C$13=1),CHOOSE(Calc!$C$3,INDEX('Snowball Engine'!$AH73:$AV73,Calc!$I$13),INDEX('Avalanche Engine'!$AH73:$AV73,Calc!$J$13),INDEX('My Order Engine'!$AH73:$AV73,Calc!$K$13)),"")</f>
        <v/>
      </c>
      <c r="K71" s="25" t="str">
        <f>IF(AND($A71&lt;=IF(Calc!$C$36=999,360,Calc!$C$36),Calc!$C$14=1),CHOOSE(Calc!$C$3,INDEX('Snowball Engine'!$AH73:$AV73,Calc!$I$14),INDEX('Avalanche Engine'!$AH73:$AV73,Calc!$J$14),INDEX('My Order Engine'!$AH73:$AV73,Calc!$K$14)),"")</f>
        <v/>
      </c>
      <c r="L71" s="25" t="str">
        <f>IF(AND($A71&lt;=IF(Calc!$C$36=999,360,Calc!$C$36),Calc!$C$15=1),CHOOSE(Calc!$C$3,INDEX('Snowball Engine'!$AH73:$AV73,Calc!$I$15),INDEX('Avalanche Engine'!$AH73:$AV73,Calc!$J$15),INDEX('My Order Engine'!$AH73:$AV73,Calc!$K$15)),"")</f>
        <v/>
      </c>
      <c r="M71" s="25" t="str">
        <f>IF(AND($A71&lt;=IF(Calc!$C$36=999,360,Calc!$C$36),Calc!$C$16=1),CHOOSE(Calc!$C$3,INDEX('Snowball Engine'!$AH73:$AV73,Calc!$I$16),INDEX('Avalanche Engine'!$AH73:$AV73,Calc!$J$16),INDEX('My Order Engine'!$AH73:$AV73,Calc!$K$16)),"")</f>
        <v/>
      </c>
      <c r="N71" s="25" t="str">
        <f>IF(AND($A71&lt;=IF(Calc!$C$36=999,360,Calc!$C$36),Calc!$C$17=1),CHOOSE(Calc!$C$3,INDEX('Snowball Engine'!$AH73:$AV73,Calc!$I$17),INDEX('Avalanche Engine'!$AH73:$AV73,Calc!$J$17),INDEX('My Order Engine'!$AH73:$AV73,Calc!$K$17)),"")</f>
        <v/>
      </c>
      <c r="O71" s="25" t="str">
        <f>IF(AND($A71&lt;=IF(Calc!$C$36=999,360,Calc!$C$36),Calc!$C$18=1),CHOOSE(Calc!$C$3,INDEX('Snowball Engine'!$AH73:$AV73,Calc!$I$18),INDEX('Avalanche Engine'!$AH73:$AV73,Calc!$J$18),INDEX('My Order Engine'!$AH73:$AV73,Calc!$K$18)),"")</f>
        <v/>
      </c>
      <c r="P71" s="25" t="str">
        <f>IF(AND($A71&lt;=IF(Calc!$C$36=999,360,Calc!$C$36),Calc!$C$19=1),CHOOSE(Calc!$C$3,INDEX('Snowball Engine'!$AH73:$AV73,Calc!$I$19),INDEX('Avalanche Engine'!$AH73:$AV73,Calc!$J$19),INDEX('My Order Engine'!$AH73:$AV73,Calc!$K$19)),"")</f>
        <v/>
      </c>
      <c r="Q71" s="25" t="str">
        <f>IF(AND($A71&lt;=IF(Calc!$C$36=999,360,Calc!$C$36),Calc!$C$20=1),CHOOSE(Calc!$C$3,INDEX('Snowball Engine'!$AH73:$AV73,Calc!$I$20),INDEX('Avalanche Engine'!$AH73:$AV73,Calc!$J$20),INDEX('My Order Engine'!$AH73:$AV73,Calc!$K$20)),"")</f>
        <v/>
      </c>
      <c r="R71" s="25" t="str">
        <f>IF(AND($A71&lt;=IF(Calc!$C$36=999,360,Calc!$C$36),Calc!$C$21=1),CHOOSE(Calc!$C$3,INDEX('Snowball Engine'!$AH73:$AV73,Calc!$I$21),INDEX('Avalanche Engine'!$AH73:$AV73,Calc!$J$21),INDEX('My Order Engine'!$AH73:$AV73,Calc!$K$21)),"")</f>
        <v/>
      </c>
      <c r="S71" s="25" t="str">
        <f>IF(AND($A71&lt;=IF(Calc!$C$36=999,360,Calc!$C$36),Calc!$C$22=1),CHOOSE(Calc!$C$3,INDEX('Snowball Engine'!$AH73:$AV73,Calc!$I$22),INDEX('Avalanche Engine'!$AH73:$AV73,Calc!$J$22),INDEX('My Order Engine'!$AH73:$AV73,Calc!$K$22)),"")</f>
        <v/>
      </c>
      <c r="T71" s="25" t="str">
        <f>IF(AND($A71&lt;=IF(Calc!$C$36=999,360,Calc!$C$36),Calc!$C$23=1),CHOOSE(Calc!$C$3,INDEX('Snowball Engine'!$AH73:$AV73,Calc!$I$23),INDEX('Avalanche Engine'!$AH73:$AV73,Calc!$J$23),INDEX('My Order Engine'!$AH73:$AV73,Calc!$K$23)),"")</f>
        <v/>
      </c>
      <c r="U71" s="25" t="str">
        <f>IF(AND($A71&lt;=IF(Calc!$C$36=999,360,Calc!$C$36),Calc!$C$24=1),CHOOSE(Calc!$C$3,INDEX('Snowball Engine'!$AH73:$AV73,Calc!$I$24),INDEX('Avalanche Engine'!$AH73:$AV73,Calc!$J$24),INDEX('My Order Engine'!$AH73:$AV73,Calc!$K$24)),"")</f>
        <v/>
      </c>
    </row>
    <row r="72" spans="1:21" x14ac:dyDescent="0.35">
      <c r="A72" s="23">
        <v>68</v>
      </c>
      <c r="B72" s="24" t="str">
        <f>IF($A72&lt;=IF(Calc!$C$36=999,360,Calc!$C$36),EDATE(Calc!$C$5,A72-1),"")</f>
        <v/>
      </c>
      <c r="C72" s="25" t="str">
        <f>IF($A72&lt;=IF(Calc!$C$36=999,360,Calc!$C$36),CHOOSE(Calc!$C$3,'Snowball Engine'!AY74,'Avalanche Engine'!AY74,'My Order Engine'!AY74),"")</f>
        <v/>
      </c>
      <c r="D72" s="25" t="str">
        <f>IF($A72&lt;=IF(Calc!$C$36=999,360,Calc!$C$36),CHOOSE(Calc!$C$3,'Snowball Engine'!AX74,'Avalanche Engine'!AX74,'My Order Engine'!AX74),"")</f>
        <v/>
      </c>
      <c r="E72" s="25" t="str">
        <f>IF($A72&lt;=IF(Calc!$C$36=999,360,Calc!$C$36),C72-D72,"")</f>
        <v/>
      </c>
      <c r="F72" s="25" t="str">
        <f>IF($A72&lt;=IF(Calc!$C$36=999,360,Calc!$C$36),CHOOSE(Calc!$C$3,'Snowball Engine'!AW74,'Avalanche Engine'!AW74,'My Order Engine'!AW74),"")</f>
        <v/>
      </c>
      <c r="G72" s="25" t="str">
        <f>IF(AND($A72&lt;=IF(Calc!$C$36=999,360,Calc!$C$36),Calc!$C$10=1),CHOOSE(Calc!$C$3,INDEX('Snowball Engine'!$AH74:$AV74,Calc!$I$10),INDEX('Avalanche Engine'!$AH74:$AV74,Calc!$J$10),INDEX('My Order Engine'!$AH74:$AV74,Calc!$K$10)),"")</f>
        <v/>
      </c>
      <c r="H72" s="25" t="str">
        <f>IF(AND($A72&lt;=IF(Calc!$C$36=999,360,Calc!$C$36),Calc!$C$11=1),CHOOSE(Calc!$C$3,INDEX('Snowball Engine'!$AH74:$AV74,Calc!$I$11),INDEX('Avalanche Engine'!$AH74:$AV74,Calc!$J$11),INDEX('My Order Engine'!$AH74:$AV74,Calc!$K$11)),"")</f>
        <v/>
      </c>
      <c r="I72" s="25" t="str">
        <f>IF(AND($A72&lt;=IF(Calc!$C$36=999,360,Calc!$C$36),Calc!$C$12=1),CHOOSE(Calc!$C$3,INDEX('Snowball Engine'!$AH74:$AV74,Calc!$I$12),INDEX('Avalanche Engine'!$AH74:$AV74,Calc!$J$12),INDEX('My Order Engine'!$AH74:$AV74,Calc!$K$12)),"")</f>
        <v/>
      </c>
      <c r="J72" s="25" t="str">
        <f>IF(AND($A72&lt;=IF(Calc!$C$36=999,360,Calc!$C$36),Calc!$C$13=1),CHOOSE(Calc!$C$3,INDEX('Snowball Engine'!$AH74:$AV74,Calc!$I$13),INDEX('Avalanche Engine'!$AH74:$AV74,Calc!$J$13),INDEX('My Order Engine'!$AH74:$AV74,Calc!$K$13)),"")</f>
        <v/>
      </c>
      <c r="K72" s="25" t="str">
        <f>IF(AND($A72&lt;=IF(Calc!$C$36=999,360,Calc!$C$36),Calc!$C$14=1),CHOOSE(Calc!$C$3,INDEX('Snowball Engine'!$AH74:$AV74,Calc!$I$14),INDEX('Avalanche Engine'!$AH74:$AV74,Calc!$J$14),INDEX('My Order Engine'!$AH74:$AV74,Calc!$K$14)),"")</f>
        <v/>
      </c>
      <c r="L72" s="25" t="str">
        <f>IF(AND($A72&lt;=IF(Calc!$C$36=999,360,Calc!$C$36),Calc!$C$15=1),CHOOSE(Calc!$C$3,INDEX('Snowball Engine'!$AH74:$AV74,Calc!$I$15),INDEX('Avalanche Engine'!$AH74:$AV74,Calc!$J$15),INDEX('My Order Engine'!$AH74:$AV74,Calc!$K$15)),"")</f>
        <v/>
      </c>
      <c r="M72" s="25" t="str">
        <f>IF(AND($A72&lt;=IF(Calc!$C$36=999,360,Calc!$C$36),Calc!$C$16=1),CHOOSE(Calc!$C$3,INDEX('Snowball Engine'!$AH74:$AV74,Calc!$I$16),INDEX('Avalanche Engine'!$AH74:$AV74,Calc!$J$16),INDEX('My Order Engine'!$AH74:$AV74,Calc!$K$16)),"")</f>
        <v/>
      </c>
      <c r="N72" s="25" t="str">
        <f>IF(AND($A72&lt;=IF(Calc!$C$36=999,360,Calc!$C$36),Calc!$C$17=1),CHOOSE(Calc!$C$3,INDEX('Snowball Engine'!$AH74:$AV74,Calc!$I$17),INDEX('Avalanche Engine'!$AH74:$AV74,Calc!$J$17),INDEX('My Order Engine'!$AH74:$AV74,Calc!$K$17)),"")</f>
        <v/>
      </c>
      <c r="O72" s="25" t="str">
        <f>IF(AND($A72&lt;=IF(Calc!$C$36=999,360,Calc!$C$36),Calc!$C$18=1),CHOOSE(Calc!$C$3,INDEX('Snowball Engine'!$AH74:$AV74,Calc!$I$18),INDEX('Avalanche Engine'!$AH74:$AV74,Calc!$J$18),INDEX('My Order Engine'!$AH74:$AV74,Calc!$K$18)),"")</f>
        <v/>
      </c>
      <c r="P72" s="25" t="str">
        <f>IF(AND($A72&lt;=IF(Calc!$C$36=999,360,Calc!$C$36),Calc!$C$19=1),CHOOSE(Calc!$C$3,INDEX('Snowball Engine'!$AH74:$AV74,Calc!$I$19),INDEX('Avalanche Engine'!$AH74:$AV74,Calc!$J$19),INDEX('My Order Engine'!$AH74:$AV74,Calc!$K$19)),"")</f>
        <v/>
      </c>
      <c r="Q72" s="25" t="str">
        <f>IF(AND($A72&lt;=IF(Calc!$C$36=999,360,Calc!$C$36),Calc!$C$20=1),CHOOSE(Calc!$C$3,INDEX('Snowball Engine'!$AH74:$AV74,Calc!$I$20),INDEX('Avalanche Engine'!$AH74:$AV74,Calc!$J$20),INDEX('My Order Engine'!$AH74:$AV74,Calc!$K$20)),"")</f>
        <v/>
      </c>
      <c r="R72" s="25" t="str">
        <f>IF(AND($A72&lt;=IF(Calc!$C$36=999,360,Calc!$C$36),Calc!$C$21=1),CHOOSE(Calc!$C$3,INDEX('Snowball Engine'!$AH74:$AV74,Calc!$I$21),INDEX('Avalanche Engine'!$AH74:$AV74,Calc!$J$21),INDEX('My Order Engine'!$AH74:$AV74,Calc!$K$21)),"")</f>
        <v/>
      </c>
      <c r="S72" s="25" t="str">
        <f>IF(AND($A72&lt;=IF(Calc!$C$36=999,360,Calc!$C$36),Calc!$C$22=1),CHOOSE(Calc!$C$3,INDEX('Snowball Engine'!$AH74:$AV74,Calc!$I$22),INDEX('Avalanche Engine'!$AH74:$AV74,Calc!$J$22),INDEX('My Order Engine'!$AH74:$AV74,Calc!$K$22)),"")</f>
        <v/>
      </c>
      <c r="T72" s="25" t="str">
        <f>IF(AND($A72&lt;=IF(Calc!$C$36=999,360,Calc!$C$36),Calc!$C$23=1),CHOOSE(Calc!$C$3,INDEX('Snowball Engine'!$AH74:$AV74,Calc!$I$23),INDEX('Avalanche Engine'!$AH74:$AV74,Calc!$J$23),INDEX('My Order Engine'!$AH74:$AV74,Calc!$K$23)),"")</f>
        <v/>
      </c>
      <c r="U72" s="25" t="str">
        <f>IF(AND($A72&lt;=IF(Calc!$C$36=999,360,Calc!$C$36),Calc!$C$24=1),CHOOSE(Calc!$C$3,INDEX('Snowball Engine'!$AH74:$AV74,Calc!$I$24),INDEX('Avalanche Engine'!$AH74:$AV74,Calc!$J$24),INDEX('My Order Engine'!$AH74:$AV74,Calc!$K$24)),"")</f>
        <v/>
      </c>
    </row>
    <row r="73" spans="1:21" x14ac:dyDescent="0.35">
      <c r="A73" s="23">
        <v>69</v>
      </c>
      <c r="B73" s="24" t="str">
        <f>IF($A73&lt;=IF(Calc!$C$36=999,360,Calc!$C$36),EDATE(Calc!$C$5,A73-1),"")</f>
        <v/>
      </c>
      <c r="C73" s="25" t="str">
        <f>IF($A73&lt;=IF(Calc!$C$36=999,360,Calc!$C$36),CHOOSE(Calc!$C$3,'Snowball Engine'!AY75,'Avalanche Engine'!AY75,'My Order Engine'!AY75),"")</f>
        <v/>
      </c>
      <c r="D73" s="25" t="str">
        <f>IF($A73&lt;=IF(Calc!$C$36=999,360,Calc!$C$36),CHOOSE(Calc!$C$3,'Snowball Engine'!AX75,'Avalanche Engine'!AX75,'My Order Engine'!AX75),"")</f>
        <v/>
      </c>
      <c r="E73" s="25" t="str">
        <f>IF($A73&lt;=IF(Calc!$C$36=999,360,Calc!$C$36),C73-D73,"")</f>
        <v/>
      </c>
      <c r="F73" s="25" t="str">
        <f>IF($A73&lt;=IF(Calc!$C$36=999,360,Calc!$C$36),CHOOSE(Calc!$C$3,'Snowball Engine'!AW75,'Avalanche Engine'!AW75,'My Order Engine'!AW75),"")</f>
        <v/>
      </c>
      <c r="G73" s="25" t="str">
        <f>IF(AND($A73&lt;=IF(Calc!$C$36=999,360,Calc!$C$36),Calc!$C$10=1),CHOOSE(Calc!$C$3,INDEX('Snowball Engine'!$AH75:$AV75,Calc!$I$10),INDEX('Avalanche Engine'!$AH75:$AV75,Calc!$J$10),INDEX('My Order Engine'!$AH75:$AV75,Calc!$K$10)),"")</f>
        <v/>
      </c>
      <c r="H73" s="25" t="str">
        <f>IF(AND($A73&lt;=IF(Calc!$C$36=999,360,Calc!$C$36),Calc!$C$11=1),CHOOSE(Calc!$C$3,INDEX('Snowball Engine'!$AH75:$AV75,Calc!$I$11),INDEX('Avalanche Engine'!$AH75:$AV75,Calc!$J$11),INDEX('My Order Engine'!$AH75:$AV75,Calc!$K$11)),"")</f>
        <v/>
      </c>
      <c r="I73" s="25" t="str">
        <f>IF(AND($A73&lt;=IF(Calc!$C$36=999,360,Calc!$C$36),Calc!$C$12=1),CHOOSE(Calc!$C$3,INDEX('Snowball Engine'!$AH75:$AV75,Calc!$I$12),INDEX('Avalanche Engine'!$AH75:$AV75,Calc!$J$12),INDEX('My Order Engine'!$AH75:$AV75,Calc!$K$12)),"")</f>
        <v/>
      </c>
      <c r="J73" s="25" t="str">
        <f>IF(AND($A73&lt;=IF(Calc!$C$36=999,360,Calc!$C$36),Calc!$C$13=1),CHOOSE(Calc!$C$3,INDEX('Snowball Engine'!$AH75:$AV75,Calc!$I$13),INDEX('Avalanche Engine'!$AH75:$AV75,Calc!$J$13),INDEX('My Order Engine'!$AH75:$AV75,Calc!$K$13)),"")</f>
        <v/>
      </c>
      <c r="K73" s="25" t="str">
        <f>IF(AND($A73&lt;=IF(Calc!$C$36=999,360,Calc!$C$36),Calc!$C$14=1),CHOOSE(Calc!$C$3,INDEX('Snowball Engine'!$AH75:$AV75,Calc!$I$14),INDEX('Avalanche Engine'!$AH75:$AV75,Calc!$J$14),INDEX('My Order Engine'!$AH75:$AV75,Calc!$K$14)),"")</f>
        <v/>
      </c>
      <c r="L73" s="25" t="str">
        <f>IF(AND($A73&lt;=IF(Calc!$C$36=999,360,Calc!$C$36),Calc!$C$15=1),CHOOSE(Calc!$C$3,INDEX('Snowball Engine'!$AH75:$AV75,Calc!$I$15),INDEX('Avalanche Engine'!$AH75:$AV75,Calc!$J$15),INDEX('My Order Engine'!$AH75:$AV75,Calc!$K$15)),"")</f>
        <v/>
      </c>
      <c r="M73" s="25" t="str">
        <f>IF(AND($A73&lt;=IF(Calc!$C$36=999,360,Calc!$C$36),Calc!$C$16=1),CHOOSE(Calc!$C$3,INDEX('Snowball Engine'!$AH75:$AV75,Calc!$I$16),INDEX('Avalanche Engine'!$AH75:$AV75,Calc!$J$16),INDEX('My Order Engine'!$AH75:$AV75,Calc!$K$16)),"")</f>
        <v/>
      </c>
      <c r="N73" s="25" t="str">
        <f>IF(AND($A73&lt;=IF(Calc!$C$36=999,360,Calc!$C$36),Calc!$C$17=1),CHOOSE(Calc!$C$3,INDEX('Snowball Engine'!$AH75:$AV75,Calc!$I$17),INDEX('Avalanche Engine'!$AH75:$AV75,Calc!$J$17),INDEX('My Order Engine'!$AH75:$AV75,Calc!$K$17)),"")</f>
        <v/>
      </c>
      <c r="O73" s="25" t="str">
        <f>IF(AND($A73&lt;=IF(Calc!$C$36=999,360,Calc!$C$36),Calc!$C$18=1),CHOOSE(Calc!$C$3,INDEX('Snowball Engine'!$AH75:$AV75,Calc!$I$18),INDEX('Avalanche Engine'!$AH75:$AV75,Calc!$J$18),INDEX('My Order Engine'!$AH75:$AV75,Calc!$K$18)),"")</f>
        <v/>
      </c>
      <c r="P73" s="25" t="str">
        <f>IF(AND($A73&lt;=IF(Calc!$C$36=999,360,Calc!$C$36),Calc!$C$19=1),CHOOSE(Calc!$C$3,INDEX('Snowball Engine'!$AH75:$AV75,Calc!$I$19),INDEX('Avalanche Engine'!$AH75:$AV75,Calc!$J$19),INDEX('My Order Engine'!$AH75:$AV75,Calc!$K$19)),"")</f>
        <v/>
      </c>
      <c r="Q73" s="25" t="str">
        <f>IF(AND($A73&lt;=IF(Calc!$C$36=999,360,Calc!$C$36),Calc!$C$20=1),CHOOSE(Calc!$C$3,INDEX('Snowball Engine'!$AH75:$AV75,Calc!$I$20),INDEX('Avalanche Engine'!$AH75:$AV75,Calc!$J$20),INDEX('My Order Engine'!$AH75:$AV75,Calc!$K$20)),"")</f>
        <v/>
      </c>
      <c r="R73" s="25" t="str">
        <f>IF(AND($A73&lt;=IF(Calc!$C$36=999,360,Calc!$C$36),Calc!$C$21=1),CHOOSE(Calc!$C$3,INDEX('Snowball Engine'!$AH75:$AV75,Calc!$I$21),INDEX('Avalanche Engine'!$AH75:$AV75,Calc!$J$21),INDEX('My Order Engine'!$AH75:$AV75,Calc!$K$21)),"")</f>
        <v/>
      </c>
      <c r="S73" s="25" t="str">
        <f>IF(AND($A73&lt;=IF(Calc!$C$36=999,360,Calc!$C$36),Calc!$C$22=1),CHOOSE(Calc!$C$3,INDEX('Snowball Engine'!$AH75:$AV75,Calc!$I$22),INDEX('Avalanche Engine'!$AH75:$AV75,Calc!$J$22),INDEX('My Order Engine'!$AH75:$AV75,Calc!$K$22)),"")</f>
        <v/>
      </c>
      <c r="T73" s="25" t="str">
        <f>IF(AND($A73&lt;=IF(Calc!$C$36=999,360,Calc!$C$36),Calc!$C$23=1),CHOOSE(Calc!$C$3,INDEX('Snowball Engine'!$AH75:$AV75,Calc!$I$23),INDEX('Avalanche Engine'!$AH75:$AV75,Calc!$J$23),INDEX('My Order Engine'!$AH75:$AV75,Calc!$K$23)),"")</f>
        <v/>
      </c>
      <c r="U73" s="25" t="str">
        <f>IF(AND($A73&lt;=IF(Calc!$C$36=999,360,Calc!$C$36),Calc!$C$24=1),CHOOSE(Calc!$C$3,INDEX('Snowball Engine'!$AH75:$AV75,Calc!$I$24),INDEX('Avalanche Engine'!$AH75:$AV75,Calc!$J$24),INDEX('My Order Engine'!$AH75:$AV75,Calc!$K$24)),"")</f>
        <v/>
      </c>
    </row>
    <row r="74" spans="1:21" x14ac:dyDescent="0.35">
      <c r="A74" s="23">
        <v>70</v>
      </c>
      <c r="B74" s="24" t="str">
        <f>IF($A74&lt;=IF(Calc!$C$36=999,360,Calc!$C$36),EDATE(Calc!$C$5,A74-1),"")</f>
        <v/>
      </c>
      <c r="C74" s="25" t="str">
        <f>IF($A74&lt;=IF(Calc!$C$36=999,360,Calc!$C$36),CHOOSE(Calc!$C$3,'Snowball Engine'!AY76,'Avalanche Engine'!AY76,'My Order Engine'!AY76),"")</f>
        <v/>
      </c>
      <c r="D74" s="25" t="str">
        <f>IF($A74&lt;=IF(Calc!$C$36=999,360,Calc!$C$36),CHOOSE(Calc!$C$3,'Snowball Engine'!AX76,'Avalanche Engine'!AX76,'My Order Engine'!AX76),"")</f>
        <v/>
      </c>
      <c r="E74" s="25" t="str">
        <f>IF($A74&lt;=IF(Calc!$C$36=999,360,Calc!$C$36),C74-D74,"")</f>
        <v/>
      </c>
      <c r="F74" s="25" t="str">
        <f>IF($A74&lt;=IF(Calc!$C$36=999,360,Calc!$C$36),CHOOSE(Calc!$C$3,'Snowball Engine'!AW76,'Avalanche Engine'!AW76,'My Order Engine'!AW76),"")</f>
        <v/>
      </c>
      <c r="G74" s="25" t="str">
        <f>IF(AND($A74&lt;=IF(Calc!$C$36=999,360,Calc!$C$36),Calc!$C$10=1),CHOOSE(Calc!$C$3,INDEX('Snowball Engine'!$AH76:$AV76,Calc!$I$10),INDEX('Avalanche Engine'!$AH76:$AV76,Calc!$J$10),INDEX('My Order Engine'!$AH76:$AV76,Calc!$K$10)),"")</f>
        <v/>
      </c>
      <c r="H74" s="25" t="str">
        <f>IF(AND($A74&lt;=IF(Calc!$C$36=999,360,Calc!$C$36),Calc!$C$11=1),CHOOSE(Calc!$C$3,INDEX('Snowball Engine'!$AH76:$AV76,Calc!$I$11),INDEX('Avalanche Engine'!$AH76:$AV76,Calc!$J$11),INDEX('My Order Engine'!$AH76:$AV76,Calc!$K$11)),"")</f>
        <v/>
      </c>
      <c r="I74" s="25" t="str">
        <f>IF(AND($A74&lt;=IF(Calc!$C$36=999,360,Calc!$C$36),Calc!$C$12=1),CHOOSE(Calc!$C$3,INDEX('Snowball Engine'!$AH76:$AV76,Calc!$I$12),INDEX('Avalanche Engine'!$AH76:$AV76,Calc!$J$12),INDEX('My Order Engine'!$AH76:$AV76,Calc!$K$12)),"")</f>
        <v/>
      </c>
      <c r="J74" s="25" t="str">
        <f>IF(AND($A74&lt;=IF(Calc!$C$36=999,360,Calc!$C$36),Calc!$C$13=1),CHOOSE(Calc!$C$3,INDEX('Snowball Engine'!$AH76:$AV76,Calc!$I$13),INDEX('Avalanche Engine'!$AH76:$AV76,Calc!$J$13),INDEX('My Order Engine'!$AH76:$AV76,Calc!$K$13)),"")</f>
        <v/>
      </c>
      <c r="K74" s="25" t="str">
        <f>IF(AND($A74&lt;=IF(Calc!$C$36=999,360,Calc!$C$36),Calc!$C$14=1),CHOOSE(Calc!$C$3,INDEX('Snowball Engine'!$AH76:$AV76,Calc!$I$14),INDEX('Avalanche Engine'!$AH76:$AV76,Calc!$J$14),INDEX('My Order Engine'!$AH76:$AV76,Calc!$K$14)),"")</f>
        <v/>
      </c>
      <c r="L74" s="25" t="str">
        <f>IF(AND($A74&lt;=IF(Calc!$C$36=999,360,Calc!$C$36),Calc!$C$15=1),CHOOSE(Calc!$C$3,INDEX('Snowball Engine'!$AH76:$AV76,Calc!$I$15),INDEX('Avalanche Engine'!$AH76:$AV76,Calc!$J$15),INDEX('My Order Engine'!$AH76:$AV76,Calc!$K$15)),"")</f>
        <v/>
      </c>
      <c r="M74" s="25" t="str">
        <f>IF(AND($A74&lt;=IF(Calc!$C$36=999,360,Calc!$C$36),Calc!$C$16=1),CHOOSE(Calc!$C$3,INDEX('Snowball Engine'!$AH76:$AV76,Calc!$I$16),INDEX('Avalanche Engine'!$AH76:$AV76,Calc!$J$16),INDEX('My Order Engine'!$AH76:$AV76,Calc!$K$16)),"")</f>
        <v/>
      </c>
      <c r="N74" s="25" t="str">
        <f>IF(AND($A74&lt;=IF(Calc!$C$36=999,360,Calc!$C$36),Calc!$C$17=1),CHOOSE(Calc!$C$3,INDEX('Snowball Engine'!$AH76:$AV76,Calc!$I$17),INDEX('Avalanche Engine'!$AH76:$AV76,Calc!$J$17),INDEX('My Order Engine'!$AH76:$AV76,Calc!$K$17)),"")</f>
        <v/>
      </c>
      <c r="O74" s="25" t="str">
        <f>IF(AND($A74&lt;=IF(Calc!$C$36=999,360,Calc!$C$36),Calc!$C$18=1),CHOOSE(Calc!$C$3,INDEX('Snowball Engine'!$AH76:$AV76,Calc!$I$18),INDEX('Avalanche Engine'!$AH76:$AV76,Calc!$J$18),INDEX('My Order Engine'!$AH76:$AV76,Calc!$K$18)),"")</f>
        <v/>
      </c>
      <c r="P74" s="25" t="str">
        <f>IF(AND($A74&lt;=IF(Calc!$C$36=999,360,Calc!$C$36),Calc!$C$19=1),CHOOSE(Calc!$C$3,INDEX('Snowball Engine'!$AH76:$AV76,Calc!$I$19),INDEX('Avalanche Engine'!$AH76:$AV76,Calc!$J$19),INDEX('My Order Engine'!$AH76:$AV76,Calc!$K$19)),"")</f>
        <v/>
      </c>
      <c r="Q74" s="25" t="str">
        <f>IF(AND($A74&lt;=IF(Calc!$C$36=999,360,Calc!$C$36),Calc!$C$20=1),CHOOSE(Calc!$C$3,INDEX('Snowball Engine'!$AH76:$AV76,Calc!$I$20),INDEX('Avalanche Engine'!$AH76:$AV76,Calc!$J$20),INDEX('My Order Engine'!$AH76:$AV76,Calc!$K$20)),"")</f>
        <v/>
      </c>
      <c r="R74" s="25" t="str">
        <f>IF(AND($A74&lt;=IF(Calc!$C$36=999,360,Calc!$C$36),Calc!$C$21=1),CHOOSE(Calc!$C$3,INDEX('Snowball Engine'!$AH76:$AV76,Calc!$I$21),INDEX('Avalanche Engine'!$AH76:$AV76,Calc!$J$21),INDEX('My Order Engine'!$AH76:$AV76,Calc!$K$21)),"")</f>
        <v/>
      </c>
      <c r="S74" s="25" t="str">
        <f>IF(AND($A74&lt;=IF(Calc!$C$36=999,360,Calc!$C$36),Calc!$C$22=1),CHOOSE(Calc!$C$3,INDEX('Snowball Engine'!$AH76:$AV76,Calc!$I$22),INDEX('Avalanche Engine'!$AH76:$AV76,Calc!$J$22),INDEX('My Order Engine'!$AH76:$AV76,Calc!$K$22)),"")</f>
        <v/>
      </c>
      <c r="T74" s="25" t="str">
        <f>IF(AND($A74&lt;=IF(Calc!$C$36=999,360,Calc!$C$36),Calc!$C$23=1),CHOOSE(Calc!$C$3,INDEX('Snowball Engine'!$AH76:$AV76,Calc!$I$23),INDEX('Avalanche Engine'!$AH76:$AV76,Calc!$J$23),INDEX('My Order Engine'!$AH76:$AV76,Calc!$K$23)),"")</f>
        <v/>
      </c>
      <c r="U74" s="25" t="str">
        <f>IF(AND($A74&lt;=IF(Calc!$C$36=999,360,Calc!$C$36),Calc!$C$24=1),CHOOSE(Calc!$C$3,INDEX('Snowball Engine'!$AH76:$AV76,Calc!$I$24),INDEX('Avalanche Engine'!$AH76:$AV76,Calc!$J$24),INDEX('My Order Engine'!$AH76:$AV76,Calc!$K$24)),"")</f>
        <v/>
      </c>
    </row>
    <row r="75" spans="1:21" x14ac:dyDescent="0.35">
      <c r="A75" s="23">
        <v>71</v>
      </c>
      <c r="B75" s="24" t="str">
        <f>IF($A75&lt;=IF(Calc!$C$36=999,360,Calc!$C$36),EDATE(Calc!$C$5,A75-1),"")</f>
        <v/>
      </c>
      <c r="C75" s="25" t="str">
        <f>IF($A75&lt;=IF(Calc!$C$36=999,360,Calc!$C$36),CHOOSE(Calc!$C$3,'Snowball Engine'!AY77,'Avalanche Engine'!AY77,'My Order Engine'!AY77),"")</f>
        <v/>
      </c>
      <c r="D75" s="25" t="str">
        <f>IF($A75&lt;=IF(Calc!$C$36=999,360,Calc!$C$36),CHOOSE(Calc!$C$3,'Snowball Engine'!AX77,'Avalanche Engine'!AX77,'My Order Engine'!AX77),"")</f>
        <v/>
      </c>
      <c r="E75" s="25" t="str">
        <f>IF($A75&lt;=IF(Calc!$C$36=999,360,Calc!$C$36),C75-D75,"")</f>
        <v/>
      </c>
      <c r="F75" s="25" t="str">
        <f>IF($A75&lt;=IF(Calc!$C$36=999,360,Calc!$C$36),CHOOSE(Calc!$C$3,'Snowball Engine'!AW77,'Avalanche Engine'!AW77,'My Order Engine'!AW77),"")</f>
        <v/>
      </c>
      <c r="G75" s="25" t="str">
        <f>IF(AND($A75&lt;=IF(Calc!$C$36=999,360,Calc!$C$36),Calc!$C$10=1),CHOOSE(Calc!$C$3,INDEX('Snowball Engine'!$AH77:$AV77,Calc!$I$10),INDEX('Avalanche Engine'!$AH77:$AV77,Calc!$J$10),INDEX('My Order Engine'!$AH77:$AV77,Calc!$K$10)),"")</f>
        <v/>
      </c>
      <c r="H75" s="25" t="str">
        <f>IF(AND($A75&lt;=IF(Calc!$C$36=999,360,Calc!$C$36),Calc!$C$11=1),CHOOSE(Calc!$C$3,INDEX('Snowball Engine'!$AH77:$AV77,Calc!$I$11),INDEX('Avalanche Engine'!$AH77:$AV77,Calc!$J$11),INDEX('My Order Engine'!$AH77:$AV77,Calc!$K$11)),"")</f>
        <v/>
      </c>
      <c r="I75" s="25" t="str">
        <f>IF(AND($A75&lt;=IF(Calc!$C$36=999,360,Calc!$C$36),Calc!$C$12=1),CHOOSE(Calc!$C$3,INDEX('Snowball Engine'!$AH77:$AV77,Calc!$I$12),INDEX('Avalanche Engine'!$AH77:$AV77,Calc!$J$12),INDEX('My Order Engine'!$AH77:$AV77,Calc!$K$12)),"")</f>
        <v/>
      </c>
      <c r="J75" s="25" t="str">
        <f>IF(AND($A75&lt;=IF(Calc!$C$36=999,360,Calc!$C$36),Calc!$C$13=1),CHOOSE(Calc!$C$3,INDEX('Snowball Engine'!$AH77:$AV77,Calc!$I$13),INDEX('Avalanche Engine'!$AH77:$AV77,Calc!$J$13),INDEX('My Order Engine'!$AH77:$AV77,Calc!$K$13)),"")</f>
        <v/>
      </c>
      <c r="K75" s="25" t="str">
        <f>IF(AND($A75&lt;=IF(Calc!$C$36=999,360,Calc!$C$36),Calc!$C$14=1),CHOOSE(Calc!$C$3,INDEX('Snowball Engine'!$AH77:$AV77,Calc!$I$14),INDEX('Avalanche Engine'!$AH77:$AV77,Calc!$J$14),INDEX('My Order Engine'!$AH77:$AV77,Calc!$K$14)),"")</f>
        <v/>
      </c>
      <c r="L75" s="25" t="str">
        <f>IF(AND($A75&lt;=IF(Calc!$C$36=999,360,Calc!$C$36),Calc!$C$15=1),CHOOSE(Calc!$C$3,INDEX('Snowball Engine'!$AH77:$AV77,Calc!$I$15),INDEX('Avalanche Engine'!$AH77:$AV77,Calc!$J$15),INDEX('My Order Engine'!$AH77:$AV77,Calc!$K$15)),"")</f>
        <v/>
      </c>
      <c r="M75" s="25" t="str">
        <f>IF(AND($A75&lt;=IF(Calc!$C$36=999,360,Calc!$C$36),Calc!$C$16=1),CHOOSE(Calc!$C$3,INDEX('Snowball Engine'!$AH77:$AV77,Calc!$I$16),INDEX('Avalanche Engine'!$AH77:$AV77,Calc!$J$16),INDEX('My Order Engine'!$AH77:$AV77,Calc!$K$16)),"")</f>
        <v/>
      </c>
      <c r="N75" s="25" t="str">
        <f>IF(AND($A75&lt;=IF(Calc!$C$36=999,360,Calc!$C$36),Calc!$C$17=1),CHOOSE(Calc!$C$3,INDEX('Snowball Engine'!$AH77:$AV77,Calc!$I$17),INDEX('Avalanche Engine'!$AH77:$AV77,Calc!$J$17),INDEX('My Order Engine'!$AH77:$AV77,Calc!$K$17)),"")</f>
        <v/>
      </c>
      <c r="O75" s="25" t="str">
        <f>IF(AND($A75&lt;=IF(Calc!$C$36=999,360,Calc!$C$36),Calc!$C$18=1),CHOOSE(Calc!$C$3,INDEX('Snowball Engine'!$AH77:$AV77,Calc!$I$18),INDEX('Avalanche Engine'!$AH77:$AV77,Calc!$J$18),INDEX('My Order Engine'!$AH77:$AV77,Calc!$K$18)),"")</f>
        <v/>
      </c>
      <c r="P75" s="25" t="str">
        <f>IF(AND($A75&lt;=IF(Calc!$C$36=999,360,Calc!$C$36),Calc!$C$19=1),CHOOSE(Calc!$C$3,INDEX('Snowball Engine'!$AH77:$AV77,Calc!$I$19),INDEX('Avalanche Engine'!$AH77:$AV77,Calc!$J$19),INDEX('My Order Engine'!$AH77:$AV77,Calc!$K$19)),"")</f>
        <v/>
      </c>
      <c r="Q75" s="25" t="str">
        <f>IF(AND($A75&lt;=IF(Calc!$C$36=999,360,Calc!$C$36),Calc!$C$20=1),CHOOSE(Calc!$C$3,INDEX('Snowball Engine'!$AH77:$AV77,Calc!$I$20),INDEX('Avalanche Engine'!$AH77:$AV77,Calc!$J$20),INDEX('My Order Engine'!$AH77:$AV77,Calc!$K$20)),"")</f>
        <v/>
      </c>
      <c r="R75" s="25" t="str">
        <f>IF(AND($A75&lt;=IF(Calc!$C$36=999,360,Calc!$C$36),Calc!$C$21=1),CHOOSE(Calc!$C$3,INDEX('Snowball Engine'!$AH77:$AV77,Calc!$I$21),INDEX('Avalanche Engine'!$AH77:$AV77,Calc!$J$21),INDEX('My Order Engine'!$AH77:$AV77,Calc!$K$21)),"")</f>
        <v/>
      </c>
      <c r="S75" s="25" t="str">
        <f>IF(AND($A75&lt;=IF(Calc!$C$36=999,360,Calc!$C$36),Calc!$C$22=1),CHOOSE(Calc!$C$3,INDEX('Snowball Engine'!$AH77:$AV77,Calc!$I$22),INDEX('Avalanche Engine'!$AH77:$AV77,Calc!$J$22),INDEX('My Order Engine'!$AH77:$AV77,Calc!$K$22)),"")</f>
        <v/>
      </c>
      <c r="T75" s="25" t="str">
        <f>IF(AND($A75&lt;=IF(Calc!$C$36=999,360,Calc!$C$36),Calc!$C$23=1),CHOOSE(Calc!$C$3,INDEX('Snowball Engine'!$AH77:$AV77,Calc!$I$23),INDEX('Avalanche Engine'!$AH77:$AV77,Calc!$J$23),INDEX('My Order Engine'!$AH77:$AV77,Calc!$K$23)),"")</f>
        <v/>
      </c>
      <c r="U75" s="25" t="str">
        <f>IF(AND($A75&lt;=IF(Calc!$C$36=999,360,Calc!$C$36),Calc!$C$24=1),CHOOSE(Calc!$C$3,INDEX('Snowball Engine'!$AH77:$AV77,Calc!$I$24),INDEX('Avalanche Engine'!$AH77:$AV77,Calc!$J$24),INDEX('My Order Engine'!$AH77:$AV77,Calc!$K$24)),"")</f>
        <v/>
      </c>
    </row>
    <row r="76" spans="1:21" x14ac:dyDescent="0.35">
      <c r="A76" s="23">
        <v>72</v>
      </c>
      <c r="B76" s="24" t="str">
        <f>IF($A76&lt;=IF(Calc!$C$36=999,360,Calc!$C$36),EDATE(Calc!$C$5,A76-1),"")</f>
        <v/>
      </c>
      <c r="C76" s="25" t="str">
        <f>IF($A76&lt;=IF(Calc!$C$36=999,360,Calc!$C$36),CHOOSE(Calc!$C$3,'Snowball Engine'!AY78,'Avalanche Engine'!AY78,'My Order Engine'!AY78),"")</f>
        <v/>
      </c>
      <c r="D76" s="25" t="str">
        <f>IF($A76&lt;=IF(Calc!$C$36=999,360,Calc!$C$36),CHOOSE(Calc!$C$3,'Snowball Engine'!AX78,'Avalanche Engine'!AX78,'My Order Engine'!AX78),"")</f>
        <v/>
      </c>
      <c r="E76" s="25" t="str">
        <f>IF($A76&lt;=IF(Calc!$C$36=999,360,Calc!$C$36),C76-D76,"")</f>
        <v/>
      </c>
      <c r="F76" s="25" t="str">
        <f>IF($A76&lt;=IF(Calc!$C$36=999,360,Calc!$C$36),CHOOSE(Calc!$C$3,'Snowball Engine'!AW78,'Avalanche Engine'!AW78,'My Order Engine'!AW78),"")</f>
        <v/>
      </c>
      <c r="G76" s="25" t="str">
        <f>IF(AND($A76&lt;=IF(Calc!$C$36=999,360,Calc!$C$36),Calc!$C$10=1),CHOOSE(Calc!$C$3,INDEX('Snowball Engine'!$AH78:$AV78,Calc!$I$10),INDEX('Avalanche Engine'!$AH78:$AV78,Calc!$J$10),INDEX('My Order Engine'!$AH78:$AV78,Calc!$K$10)),"")</f>
        <v/>
      </c>
      <c r="H76" s="25" t="str">
        <f>IF(AND($A76&lt;=IF(Calc!$C$36=999,360,Calc!$C$36),Calc!$C$11=1),CHOOSE(Calc!$C$3,INDEX('Snowball Engine'!$AH78:$AV78,Calc!$I$11),INDEX('Avalanche Engine'!$AH78:$AV78,Calc!$J$11),INDEX('My Order Engine'!$AH78:$AV78,Calc!$K$11)),"")</f>
        <v/>
      </c>
      <c r="I76" s="25" t="str">
        <f>IF(AND($A76&lt;=IF(Calc!$C$36=999,360,Calc!$C$36),Calc!$C$12=1),CHOOSE(Calc!$C$3,INDEX('Snowball Engine'!$AH78:$AV78,Calc!$I$12),INDEX('Avalanche Engine'!$AH78:$AV78,Calc!$J$12),INDEX('My Order Engine'!$AH78:$AV78,Calc!$K$12)),"")</f>
        <v/>
      </c>
      <c r="J76" s="25" t="str">
        <f>IF(AND($A76&lt;=IF(Calc!$C$36=999,360,Calc!$C$36),Calc!$C$13=1),CHOOSE(Calc!$C$3,INDEX('Snowball Engine'!$AH78:$AV78,Calc!$I$13),INDEX('Avalanche Engine'!$AH78:$AV78,Calc!$J$13),INDEX('My Order Engine'!$AH78:$AV78,Calc!$K$13)),"")</f>
        <v/>
      </c>
      <c r="K76" s="25" t="str">
        <f>IF(AND($A76&lt;=IF(Calc!$C$36=999,360,Calc!$C$36),Calc!$C$14=1),CHOOSE(Calc!$C$3,INDEX('Snowball Engine'!$AH78:$AV78,Calc!$I$14),INDEX('Avalanche Engine'!$AH78:$AV78,Calc!$J$14),INDEX('My Order Engine'!$AH78:$AV78,Calc!$K$14)),"")</f>
        <v/>
      </c>
      <c r="L76" s="25" t="str">
        <f>IF(AND($A76&lt;=IF(Calc!$C$36=999,360,Calc!$C$36),Calc!$C$15=1),CHOOSE(Calc!$C$3,INDEX('Snowball Engine'!$AH78:$AV78,Calc!$I$15),INDEX('Avalanche Engine'!$AH78:$AV78,Calc!$J$15),INDEX('My Order Engine'!$AH78:$AV78,Calc!$K$15)),"")</f>
        <v/>
      </c>
      <c r="M76" s="25" t="str">
        <f>IF(AND($A76&lt;=IF(Calc!$C$36=999,360,Calc!$C$36),Calc!$C$16=1),CHOOSE(Calc!$C$3,INDEX('Snowball Engine'!$AH78:$AV78,Calc!$I$16),INDEX('Avalanche Engine'!$AH78:$AV78,Calc!$J$16),INDEX('My Order Engine'!$AH78:$AV78,Calc!$K$16)),"")</f>
        <v/>
      </c>
      <c r="N76" s="25" t="str">
        <f>IF(AND($A76&lt;=IF(Calc!$C$36=999,360,Calc!$C$36),Calc!$C$17=1),CHOOSE(Calc!$C$3,INDEX('Snowball Engine'!$AH78:$AV78,Calc!$I$17),INDEX('Avalanche Engine'!$AH78:$AV78,Calc!$J$17),INDEX('My Order Engine'!$AH78:$AV78,Calc!$K$17)),"")</f>
        <v/>
      </c>
      <c r="O76" s="25" t="str">
        <f>IF(AND($A76&lt;=IF(Calc!$C$36=999,360,Calc!$C$36),Calc!$C$18=1),CHOOSE(Calc!$C$3,INDEX('Snowball Engine'!$AH78:$AV78,Calc!$I$18),INDEX('Avalanche Engine'!$AH78:$AV78,Calc!$J$18),INDEX('My Order Engine'!$AH78:$AV78,Calc!$K$18)),"")</f>
        <v/>
      </c>
      <c r="P76" s="25" t="str">
        <f>IF(AND($A76&lt;=IF(Calc!$C$36=999,360,Calc!$C$36),Calc!$C$19=1),CHOOSE(Calc!$C$3,INDEX('Snowball Engine'!$AH78:$AV78,Calc!$I$19),INDEX('Avalanche Engine'!$AH78:$AV78,Calc!$J$19),INDEX('My Order Engine'!$AH78:$AV78,Calc!$K$19)),"")</f>
        <v/>
      </c>
      <c r="Q76" s="25" t="str">
        <f>IF(AND($A76&lt;=IF(Calc!$C$36=999,360,Calc!$C$36),Calc!$C$20=1),CHOOSE(Calc!$C$3,INDEX('Snowball Engine'!$AH78:$AV78,Calc!$I$20),INDEX('Avalanche Engine'!$AH78:$AV78,Calc!$J$20),INDEX('My Order Engine'!$AH78:$AV78,Calc!$K$20)),"")</f>
        <v/>
      </c>
      <c r="R76" s="25" t="str">
        <f>IF(AND($A76&lt;=IF(Calc!$C$36=999,360,Calc!$C$36),Calc!$C$21=1),CHOOSE(Calc!$C$3,INDEX('Snowball Engine'!$AH78:$AV78,Calc!$I$21),INDEX('Avalanche Engine'!$AH78:$AV78,Calc!$J$21),INDEX('My Order Engine'!$AH78:$AV78,Calc!$K$21)),"")</f>
        <v/>
      </c>
      <c r="S76" s="25" t="str">
        <f>IF(AND($A76&lt;=IF(Calc!$C$36=999,360,Calc!$C$36),Calc!$C$22=1),CHOOSE(Calc!$C$3,INDEX('Snowball Engine'!$AH78:$AV78,Calc!$I$22),INDEX('Avalanche Engine'!$AH78:$AV78,Calc!$J$22),INDEX('My Order Engine'!$AH78:$AV78,Calc!$K$22)),"")</f>
        <v/>
      </c>
      <c r="T76" s="25" t="str">
        <f>IF(AND($A76&lt;=IF(Calc!$C$36=999,360,Calc!$C$36),Calc!$C$23=1),CHOOSE(Calc!$C$3,INDEX('Snowball Engine'!$AH78:$AV78,Calc!$I$23),INDEX('Avalanche Engine'!$AH78:$AV78,Calc!$J$23),INDEX('My Order Engine'!$AH78:$AV78,Calc!$K$23)),"")</f>
        <v/>
      </c>
      <c r="U76" s="25" t="str">
        <f>IF(AND($A76&lt;=IF(Calc!$C$36=999,360,Calc!$C$36),Calc!$C$24=1),CHOOSE(Calc!$C$3,INDEX('Snowball Engine'!$AH78:$AV78,Calc!$I$24),INDEX('Avalanche Engine'!$AH78:$AV78,Calc!$J$24),INDEX('My Order Engine'!$AH78:$AV78,Calc!$K$24)),"")</f>
        <v/>
      </c>
    </row>
    <row r="77" spans="1:21" x14ac:dyDescent="0.35">
      <c r="A77" s="23">
        <v>73</v>
      </c>
      <c r="B77" s="24" t="str">
        <f>IF($A77&lt;=IF(Calc!$C$36=999,360,Calc!$C$36),EDATE(Calc!$C$5,A77-1),"")</f>
        <v/>
      </c>
      <c r="C77" s="25" t="str">
        <f>IF($A77&lt;=IF(Calc!$C$36=999,360,Calc!$C$36),CHOOSE(Calc!$C$3,'Snowball Engine'!AY79,'Avalanche Engine'!AY79,'My Order Engine'!AY79),"")</f>
        <v/>
      </c>
      <c r="D77" s="25" t="str">
        <f>IF($A77&lt;=IF(Calc!$C$36=999,360,Calc!$C$36),CHOOSE(Calc!$C$3,'Snowball Engine'!AX79,'Avalanche Engine'!AX79,'My Order Engine'!AX79),"")</f>
        <v/>
      </c>
      <c r="E77" s="25" t="str">
        <f>IF($A77&lt;=IF(Calc!$C$36=999,360,Calc!$C$36),C77-D77,"")</f>
        <v/>
      </c>
      <c r="F77" s="25" t="str">
        <f>IF($A77&lt;=IF(Calc!$C$36=999,360,Calc!$C$36),CHOOSE(Calc!$C$3,'Snowball Engine'!AW79,'Avalanche Engine'!AW79,'My Order Engine'!AW79),"")</f>
        <v/>
      </c>
      <c r="G77" s="25" t="str">
        <f>IF(AND($A77&lt;=IF(Calc!$C$36=999,360,Calc!$C$36),Calc!$C$10=1),CHOOSE(Calc!$C$3,INDEX('Snowball Engine'!$AH79:$AV79,Calc!$I$10),INDEX('Avalanche Engine'!$AH79:$AV79,Calc!$J$10),INDEX('My Order Engine'!$AH79:$AV79,Calc!$K$10)),"")</f>
        <v/>
      </c>
      <c r="H77" s="25" t="str">
        <f>IF(AND($A77&lt;=IF(Calc!$C$36=999,360,Calc!$C$36),Calc!$C$11=1),CHOOSE(Calc!$C$3,INDEX('Snowball Engine'!$AH79:$AV79,Calc!$I$11),INDEX('Avalanche Engine'!$AH79:$AV79,Calc!$J$11),INDEX('My Order Engine'!$AH79:$AV79,Calc!$K$11)),"")</f>
        <v/>
      </c>
      <c r="I77" s="25" t="str">
        <f>IF(AND($A77&lt;=IF(Calc!$C$36=999,360,Calc!$C$36),Calc!$C$12=1),CHOOSE(Calc!$C$3,INDEX('Snowball Engine'!$AH79:$AV79,Calc!$I$12),INDEX('Avalanche Engine'!$AH79:$AV79,Calc!$J$12),INDEX('My Order Engine'!$AH79:$AV79,Calc!$K$12)),"")</f>
        <v/>
      </c>
      <c r="J77" s="25" t="str">
        <f>IF(AND($A77&lt;=IF(Calc!$C$36=999,360,Calc!$C$36),Calc!$C$13=1),CHOOSE(Calc!$C$3,INDEX('Snowball Engine'!$AH79:$AV79,Calc!$I$13),INDEX('Avalanche Engine'!$AH79:$AV79,Calc!$J$13),INDEX('My Order Engine'!$AH79:$AV79,Calc!$K$13)),"")</f>
        <v/>
      </c>
      <c r="K77" s="25" t="str">
        <f>IF(AND($A77&lt;=IF(Calc!$C$36=999,360,Calc!$C$36),Calc!$C$14=1),CHOOSE(Calc!$C$3,INDEX('Snowball Engine'!$AH79:$AV79,Calc!$I$14),INDEX('Avalanche Engine'!$AH79:$AV79,Calc!$J$14),INDEX('My Order Engine'!$AH79:$AV79,Calc!$K$14)),"")</f>
        <v/>
      </c>
      <c r="L77" s="25" t="str">
        <f>IF(AND($A77&lt;=IF(Calc!$C$36=999,360,Calc!$C$36),Calc!$C$15=1),CHOOSE(Calc!$C$3,INDEX('Snowball Engine'!$AH79:$AV79,Calc!$I$15),INDEX('Avalanche Engine'!$AH79:$AV79,Calc!$J$15),INDEX('My Order Engine'!$AH79:$AV79,Calc!$K$15)),"")</f>
        <v/>
      </c>
      <c r="M77" s="25" t="str">
        <f>IF(AND($A77&lt;=IF(Calc!$C$36=999,360,Calc!$C$36),Calc!$C$16=1),CHOOSE(Calc!$C$3,INDEX('Snowball Engine'!$AH79:$AV79,Calc!$I$16),INDEX('Avalanche Engine'!$AH79:$AV79,Calc!$J$16),INDEX('My Order Engine'!$AH79:$AV79,Calc!$K$16)),"")</f>
        <v/>
      </c>
      <c r="N77" s="25" t="str">
        <f>IF(AND($A77&lt;=IF(Calc!$C$36=999,360,Calc!$C$36),Calc!$C$17=1),CHOOSE(Calc!$C$3,INDEX('Snowball Engine'!$AH79:$AV79,Calc!$I$17),INDEX('Avalanche Engine'!$AH79:$AV79,Calc!$J$17),INDEX('My Order Engine'!$AH79:$AV79,Calc!$K$17)),"")</f>
        <v/>
      </c>
      <c r="O77" s="25" t="str">
        <f>IF(AND($A77&lt;=IF(Calc!$C$36=999,360,Calc!$C$36),Calc!$C$18=1),CHOOSE(Calc!$C$3,INDEX('Snowball Engine'!$AH79:$AV79,Calc!$I$18),INDEX('Avalanche Engine'!$AH79:$AV79,Calc!$J$18),INDEX('My Order Engine'!$AH79:$AV79,Calc!$K$18)),"")</f>
        <v/>
      </c>
      <c r="P77" s="25" t="str">
        <f>IF(AND($A77&lt;=IF(Calc!$C$36=999,360,Calc!$C$36),Calc!$C$19=1),CHOOSE(Calc!$C$3,INDEX('Snowball Engine'!$AH79:$AV79,Calc!$I$19),INDEX('Avalanche Engine'!$AH79:$AV79,Calc!$J$19),INDEX('My Order Engine'!$AH79:$AV79,Calc!$K$19)),"")</f>
        <v/>
      </c>
      <c r="Q77" s="25" t="str">
        <f>IF(AND($A77&lt;=IF(Calc!$C$36=999,360,Calc!$C$36),Calc!$C$20=1),CHOOSE(Calc!$C$3,INDEX('Snowball Engine'!$AH79:$AV79,Calc!$I$20),INDEX('Avalanche Engine'!$AH79:$AV79,Calc!$J$20),INDEX('My Order Engine'!$AH79:$AV79,Calc!$K$20)),"")</f>
        <v/>
      </c>
      <c r="R77" s="25" t="str">
        <f>IF(AND($A77&lt;=IF(Calc!$C$36=999,360,Calc!$C$36),Calc!$C$21=1),CHOOSE(Calc!$C$3,INDEX('Snowball Engine'!$AH79:$AV79,Calc!$I$21),INDEX('Avalanche Engine'!$AH79:$AV79,Calc!$J$21),INDEX('My Order Engine'!$AH79:$AV79,Calc!$K$21)),"")</f>
        <v/>
      </c>
      <c r="S77" s="25" t="str">
        <f>IF(AND($A77&lt;=IF(Calc!$C$36=999,360,Calc!$C$36),Calc!$C$22=1),CHOOSE(Calc!$C$3,INDEX('Snowball Engine'!$AH79:$AV79,Calc!$I$22),INDEX('Avalanche Engine'!$AH79:$AV79,Calc!$J$22),INDEX('My Order Engine'!$AH79:$AV79,Calc!$K$22)),"")</f>
        <v/>
      </c>
      <c r="T77" s="25" t="str">
        <f>IF(AND($A77&lt;=IF(Calc!$C$36=999,360,Calc!$C$36),Calc!$C$23=1),CHOOSE(Calc!$C$3,INDEX('Snowball Engine'!$AH79:$AV79,Calc!$I$23),INDEX('Avalanche Engine'!$AH79:$AV79,Calc!$J$23),INDEX('My Order Engine'!$AH79:$AV79,Calc!$K$23)),"")</f>
        <v/>
      </c>
      <c r="U77" s="25" t="str">
        <f>IF(AND($A77&lt;=IF(Calc!$C$36=999,360,Calc!$C$36),Calc!$C$24=1),CHOOSE(Calc!$C$3,INDEX('Snowball Engine'!$AH79:$AV79,Calc!$I$24),INDEX('Avalanche Engine'!$AH79:$AV79,Calc!$J$24),INDEX('My Order Engine'!$AH79:$AV79,Calc!$K$24)),"")</f>
        <v/>
      </c>
    </row>
    <row r="78" spans="1:21" x14ac:dyDescent="0.35">
      <c r="A78" s="23">
        <v>74</v>
      </c>
      <c r="B78" s="24" t="str">
        <f>IF($A78&lt;=IF(Calc!$C$36=999,360,Calc!$C$36),EDATE(Calc!$C$5,A78-1),"")</f>
        <v/>
      </c>
      <c r="C78" s="25" t="str">
        <f>IF($A78&lt;=IF(Calc!$C$36=999,360,Calc!$C$36),CHOOSE(Calc!$C$3,'Snowball Engine'!AY80,'Avalanche Engine'!AY80,'My Order Engine'!AY80),"")</f>
        <v/>
      </c>
      <c r="D78" s="25" t="str">
        <f>IF($A78&lt;=IF(Calc!$C$36=999,360,Calc!$C$36),CHOOSE(Calc!$C$3,'Snowball Engine'!AX80,'Avalanche Engine'!AX80,'My Order Engine'!AX80),"")</f>
        <v/>
      </c>
      <c r="E78" s="25" t="str">
        <f>IF($A78&lt;=IF(Calc!$C$36=999,360,Calc!$C$36),C78-D78,"")</f>
        <v/>
      </c>
      <c r="F78" s="25" t="str">
        <f>IF($A78&lt;=IF(Calc!$C$36=999,360,Calc!$C$36),CHOOSE(Calc!$C$3,'Snowball Engine'!AW80,'Avalanche Engine'!AW80,'My Order Engine'!AW80),"")</f>
        <v/>
      </c>
      <c r="G78" s="25" t="str">
        <f>IF(AND($A78&lt;=IF(Calc!$C$36=999,360,Calc!$C$36),Calc!$C$10=1),CHOOSE(Calc!$C$3,INDEX('Snowball Engine'!$AH80:$AV80,Calc!$I$10),INDEX('Avalanche Engine'!$AH80:$AV80,Calc!$J$10),INDEX('My Order Engine'!$AH80:$AV80,Calc!$K$10)),"")</f>
        <v/>
      </c>
      <c r="H78" s="25" t="str">
        <f>IF(AND($A78&lt;=IF(Calc!$C$36=999,360,Calc!$C$36),Calc!$C$11=1),CHOOSE(Calc!$C$3,INDEX('Snowball Engine'!$AH80:$AV80,Calc!$I$11),INDEX('Avalanche Engine'!$AH80:$AV80,Calc!$J$11),INDEX('My Order Engine'!$AH80:$AV80,Calc!$K$11)),"")</f>
        <v/>
      </c>
      <c r="I78" s="25" t="str">
        <f>IF(AND($A78&lt;=IF(Calc!$C$36=999,360,Calc!$C$36),Calc!$C$12=1),CHOOSE(Calc!$C$3,INDEX('Snowball Engine'!$AH80:$AV80,Calc!$I$12),INDEX('Avalanche Engine'!$AH80:$AV80,Calc!$J$12),INDEX('My Order Engine'!$AH80:$AV80,Calc!$K$12)),"")</f>
        <v/>
      </c>
      <c r="J78" s="25" t="str">
        <f>IF(AND($A78&lt;=IF(Calc!$C$36=999,360,Calc!$C$36),Calc!$C$13=1),CHOOSE(Calc!$C$3,INDEX('Snowball Engine'!$AH80:$AV80,Calc!$I$13),INDEX('Avalanche Engine'!$AH80:$AV80,Calc!$J$13),INDEX('My Order Engine'!$AH80:$AV80,Calc!$K$13)),"")</f>
        <v/>
      </c>
      <c r="K78" s="25" t="str">
        <f>IF(AND($A78&lt;=IF(Calc!$C$36=999,360,Calc!$C$36),Calc!$C$14=1),CHOOSE(Calc!$C$3,INDEX('Snowball Engine'!$AH80:$AV80,Calc!$I$14),INDEX('Avalanche Engine'!$AH80:$AV80,Calc!$J$14),INDEX('My Order Engine'!$AH80:$AV80,Calc!$K$14)),"")</f>
        <v/>
      </c>
      <c r="L78" s="25" t="str">
        <f>IF(AND($A78&lt;=IF(Calc!$C$36=999,360,Calc!$C$36),Calc!$C$15=1),CHOOSE(Calc!$C$3,INDEX('Snowball Engine'!$AH80:$AV80,Calc!$I$15),INDEX('Avalanche Engine'!$AH80:$AV80,Calc!$J$15),INDEX('My Order Engine'!$AH80:$AV80,Calc!$K$15)),"")</f>
        <v/>
      </c>
      <c r="M78" s="25" t="str">
        <f>IF(AND($A78&lt;=IF(Calc!$C$36=999,360,Calc!$C$36),Calc!$C$16=1),CHOOSE(Calc!$C$3,INDEX('Snowball Engine'!$AH80:$AV80,Calc!$I$16),INDEX('Avalanche Engine'!$AH80:$AV80,Calc!$J$16),INDEX('My Order Engine'!$AH80:$AV80,Calc!$K$16)),"")</f>
        <v/>
      </c>
      <c r="N78" s="25" t="str">
        <f>IF(AND($A78&lt;=IF(Calc!$C$36=999,360,Calc!$C$36),Calc!$C$17=1),CHOOSE(Calc!$C$3,INDEX('Snowball Engine'!$AH80:$AV80,Calc!$I$17),INDEX('Avalanche Engine'!$AH80:$AV80,Calc!$J$17),INDEX('My Order Engine'!$AH80:$AV80,Calc!$K$17)),"")</f>
        <v/>
      </c>
      <c r="O78" s="25" t="str">
        <f>IF(AND($A78&lt;=IF(Calc!$C$36=999,360,Calc!$C$36),Calc!$C$18=1),CHOOSE(Calc!$C$3,INDEX('Snowball Engine'!$AH80:$AV80,Calc!$I$18),INDEX('Avalanche Engine'!$AH80:$AV80,Calc!$J$18),INDEX('My Order Engine'!$AH80:$AV80,Calc!$K$18)),"")</f>
        <v/>
      </c>
      <c r="P78" s="25" t="str">
        <f>IF(AND($A78&lt;=IF(Calc!$C$36=999,360,Calc!$C$36),Calc!$C$19=1),CHOOSE(Calc!$C$3,INDEX('Snowball Engine'!$AH80:$AV80,Calc!$I$19),INDEX('Avalanche Engine'!$AH80:$AV80,Calc!$J$19),INDEX('My Order Engine'!$AH80:$AV80,Calc!$K$19)),"")</f>
        <v/>
      </c>
      <c r="Q78" s="25" t="str">
        <f>IF(AND($A78&lt;=IF(Calc!$C$36=999,360,Calc!$C$36),Calc!$C$20=1),CHOOSE(Calc!$C$3,INDEX('Snowball Engine'!$AH80:$AV80,Calc!$I$20),INDEX('Avalanche Engine'!$AH80:$AV80,Calc!$J$20),INDEX('My Order Engine'!$AH80:$AV80,Calc!$K$20)),"")</f>
        <v/>
      </c>
      <c r="R78" s="25" t="str">
        <f>IF(AND($A78&lt;=IF(Calc!$C$36=999,360,Calc!$C$36),Calc!$C$21=1),CHOOSE(Calc!$C$3,INDEX('Snowball Engine'!$AH80:$AV80,Calc!$I$21),INDEX('Avalanche Engine'!$AH80:$AV80,Calc!$J$21),INDEX('My Order Engine'!$AH80:$AV80,Calc!$K$21)),"")</f>
        <v/>
      </c>
      <c r="S78" s="25" t="str">
        <f>IF(AND($A78&lt;=IF(Calc!$C$36=999,360,Calc!$C$36),Calc!$C$22=1),CHOOSE(Calc!$C$3,INDEX('Snowball Engine'!$AH80:$AV80,Calc!$I$22),INDEX('Avalanche Engine'!$AH80:$AV80,Calc!$J$22),INDEX('My Order Engine'!$AH80:$AV80,Calc!$K$22)),"")</f>
        <v/>
      </c>
      <c r="T78" s="25" t="str">
        <f>IF(AND($A78&lt;=IF(Calc!$C$36=999,360,Calc!$C$36),Calc!$C$23=1),CHOOSE(Calc!$C$3,INDEX('Snowball Engine'!$AH80:$AV80,Calc!$I$23),INDEX('Avalanche Engine'!$AH80:$AV80,Calc!$J$23),INDEX('My Order Engine'!$AH80:$AV80,Calc!$K$23)),"")</f>
        <v/>
      </c>
      <c r="U78" s="25" t="str">
        <f>IF(AND($A78&lt;=IF(Calc!$C$36=999,360,Calc!$C$36),Calc!$C$24=1),CHOOSE(Calc!$C$3,INDEX('Snowball Engine'!$AH80:$AV80,Calc!$I$24),INDEX('Avalanche Engine'!$AH80:$AV80,Calc!$J$24),INDEX('My Order Engine'!$AH80:$AV80,Calc!$K$24)),"")</f>
        <v/>
      </c>
    </row>
    <row r="79" spans="1:21" x14ac:dyDescent="0.35">
      <c r="A79" s="23">
        <v>75</v>
      </c>
      <c r="B79" s="24" t="str">
        <f>IF($A79&lt;=IF(Calc!$C$36=999,360,Calc!$C$36),EDATE(Calc!$C$5,A79-1),"")</f>
        <v/>
      </c>
      <c r="C79" s="25" t="str">
        <f>IF($A79&lt;=IF(Calc!$C$36=999,360,Calc!$C$36),CHOOSE(Calc!$C$3,'Snowball Engine'!AY81,'Avalanche Engine'!AY81,'My Order Engine'!AY81),"")</f>
        <v/>
      </c>
      <c r="D79" s="25" t="str">
        <f>IF($A79&lt;=IF(Calc!$C$36=999,360,Calc!$C$36),CHOOSE(Calc!$C$3,'Snowball Engine'!AX81,'Avalanche Engine'!AX81,'My Order Engine'!AX81),"")</f>
        <v/>
      </c>
      <c r="E79" s="25" t="str">
        <f>IF($A79&lt;=IF(Calc!$C$36=999,360,Calc!$C$36),C79-D79,"")</f>
        <v/>
      </c>
      <c r="F79" s="25" t="str">
        <f>IF($A79&lt;=IF(Calc!$C$36=999,360,Calc!$C$36),CHOOSE(Calc!$C$3,'Snowball Engine'!AW81,'Avalanche Engine'!AW81,'My Order Engine'!AW81),"")</f>
        <v/>
      </c>
      <c r="G79" s="25" t="str">
        <f>IF(AND($A79&lt;=IF(Calc!$C$36=999,360,Calc!$C$36),Calc!$C$10=1),CHOOSE(Calc!$C$3,INDEX('Snowball Engine'!$AH81:$AV81,Calc!$I$10),INDEX('Avalanche Engine'!$AH81:$AV81,Calc!$J$10),INDEX('My Order Engine'!$AH81:$AV81,Calc!$K$10)),"")</f>
        <v/>
      </c>
      <c r="H79" s="25" t="str">
        <f>IF(AND($A79&lt;=IF(Calc!$C$36=999,360,Calc!$C$36),Calc!$C$11=1),CHOOSE(Calc!$C$3,INDEX('Snowball Engine'!$AH81:$AV81,Calc!$I$11),INDEX('Avalanche Engine'!$AH81:$AV81,Calc!$J$11),INDEX('My Order Engine'!$AH81:$AV81,Calc!$K$11)),"")</f>
        <v/>
      </c>
      <c r="I79" s="25" t="str">
        <f>IF(AND($A79&lt;=IF(Calc!$C$36=999,360,Calc!$C$36),Calc!$C$12=1),CHOOSE(Calc!$C$3,INDEX('Snowball Engine'!$AH81:$AV81,Calc!$I$12),INDEX('Avalanche Engine'!$AH81:$AV81,Calc!$J$12),INDEX('My Order Engine'!$AH81:$AV81,Calc!$K$12)),"")</f>
        <v/>
      </c>
      <c r="J79" s="25" t="str">
        <f>IF(AND($A79&lt;=IF(Calc!$C$36=999,360,Calc!$C$36),Calc!$C$13=1),CHOOSE(Calc!$C$3,INDEX('Snowball Engine'!$AH81:$AV81,Calc!$I$13),INDEX('Avalanche Engine'!$AH81:$AV81,Calc!$J$13),INDEX('My Order Engine'!$AH81:$AV81,Calc!$K$13)),"")</f>
        <v/>
      </c>
      <c r="K79" s="25" t="str">
        <f>IF(AND($A79&lt;=IF(Calc!$C$36=999,360,Calc!$C$36),Calc!$C$14=1),CHOOSE(Calc!$C$3,INDEX('Snowball Engine'!$AH81:$AV81,Calc!$I$14),INDEX('Avalanche Engine'!$AH81:$AV81,Calc!$J$14),INDEX('My Order Engine'!$AH81:$AV81,Calc!$K$14)),"")</f>
        <v/>
      </c>
      <c r="L79" s="25" t="str">
        <f>IF(AND($A79&lt;=IF(Calc!$C$36=999,360,Calc!$C$36),Calc!$C$15=1),CHOOSE(Calc!$C$3,INDEX('Snowball Engine'!$AH81:$AV81,Calc!$I$15),INDEX('Avalanche Engine'!$AH81:$AV81,Calc!$J$15),INDEX('My Order Engine'!$AH81:$AV81,Calc!$K$15)),"")</f>
        <v/>
      </c>
      <c r="M79" s="25" t="str">
        <f>IF(AND($A79&lt;=IF(Calc!$C$36=999,360,Calc!$C$36),Calc!$C$16=1),CHOOSE(Calc!$C$3,INDEX('Snowball Engine'!$AH81:$AV81,Calc!$I$16),INDEX('Avalanche Engine'!$AH81:$AV81,Calc!$J$16),INDEX('My Order Engine'!$AH81:$AV81,Calc!$K$16)),"")</f>
        <v/>
      </c>
      <c r="N79" s="25" t="str">
        <f>IF(AND($A79&lt;=IF(Calc!$C$36=999,360,Calc!$C$36),Calc!$C$17=1),CHOOSE(Calc!$C$3,INDEX('Snowball Engine'!$AH81:$AV81,Calc!$I$17),INDEX('Avalanche Engine'!$AH81:$AV81,Calc!$J$17),INDEX('My Order Engine'!$AH81:$AV81,Calc!$K$17)),"")</f>
        <v/>
      </c>
      <c r="O79" s="25" t="str">
        <f>IF(AND($A79&lt;=IF(Calc!$C$36=999,360,Calc!$C$36),Calc!$C$18=1),CHOOSE(Calc!$C$3,INDEX('Snowball Engine'!$AH81:$AV81,Calc!$I$18),INDEX('Avalanche Engine'!$AH81:$AV81,Calc!$J$18),INDEX('My Order Engine'!$AH81:$AV81,Calc!$K$18)),"")</f>
        <v/>
      </c>
      <c r="P79" s="25" t="str">
        <f>IF(AND($A79&lt;=IF(Calc!$C$36=999,360,Calc!$C$36),Calc!$C$19=1),CHOOSE(Calc!$C$3,INDEX('Snowball Engine'!$AH81:$AV81,Calc!$I$19),INDEX('Avalanche Engine'!$AH81:$AV81,Calc!$J$19),INDEX('My Order Engine'!$AH81:$AV81,Calc!$K$19)),"")</f>
        <v/>
      </c>
      <c r="Q79" s="25" t="str">
        <f>IF(AND($A79&lt;=IF(Calc!$C$36=999,360,Calc!$C$36),Calc!$C$20=1),CHOOSE(Calc!$C$3,INDEX('Snowball Engine'!$AH81:$AV81,Calc!$I$20),INDEX('Avalanche Engine'!$AH81:$AV81,Calc!$J$20),INDEX('My Order Engine'!$AH81:$AV81,Calc!$K$20)),"")</f>
        <v/>
      </c>
      <c r="R79" s="25" t="str">
        <f>IF(AND($A79&lt;=IF(Calc!$C$36=999,360,Calc!$C$36),Calc!$C$21=1),CHOOSE(Calc!$C$3,INDEX('Snowball Engine'!$AH81:$AV81,Calc!$I$21),INDEX('Avalanche Engine'!$AH81:$AV81,Calc!$J$21),INDEX('My Order Engine'!$AH81:$AV81,Calc!$K$21)),"")</f>
        <v/>
      </c>
      <c r="S79" s="25" t="str">
        <f>IF(AND($A79&lt;=IF(Calc!$C$36=999,360,Calc!$C$36),Calc!$C$22=1),CHOOSE(Calc!$C$3,INDEX('Snowball Engine'!$AH81:$AV81,Calc!$I$22),INDEX('Avalanche Engine'!$AH81:$AV81,Calc!$J$22),INDEX('My Order Engine'!$AH81:$AV81,Calc!$K$22)),"")</f>
        <v/>
      </c>
      <c r="T79" s="25" t="str">
        <f>IF(AND($A79&lt;=IF(Calc!$C$36=999,360,Calc!$C$36),Calc!$C$23=1),CHOOSE(Calc!$C$3,INDEX('Snowball Engine'!$AH81:$AV81,Calc!$I$23),INDEX('Avalanche Engine'!$AH81:$AV81,Calc!$J$23),INDEX('My Order Engine'!$AH81:$AV81,Calc!$K$23)),"")</f>
        <v/>
      </c>
      <c r="U79" s="25" t="str">
        <f>IF(AND($A79&lt;=IF(Calc!$C$36=999,360,Calc!$C$36),Calc!$C$24=1),CHOOSE(Calc!$C$3,INDEX('Snowball Engine'!$AH81:$AV81,Calc!$I$24),INDEX('Avalanche Engine'!$AH81:$AV81,Calc!$J$24),INDEX('My Order Engine'!$AH81:$AV81,Calc!$K$24)),"")</f>
        <v/>
      </c>
    </row>
    <row r="80" spans="1:21" x14ac:dyDescent="0.35">
      <c r="A80" s="23">
        <v>76</v>
      </c>
      <c r="B80" s="24" t="str">
        <f>IF($A80&lt;=IF(Calc!$C$36=999,360,Calc!$C$36),EDATE(Calc!$C$5,A80-1),"")</f>
        <v/>
      </c>
      <c r="C80" s="25" t="str">
        <f>IF($A80&lt;=IF(Calc!$C$36=999,360,Calc!$C$36),CHOOSE(Calc!$C$3,'Snowball Engine'!AY82,'Avalanche Engine'!AY82,'My Order Engine'!AY82),"")</f>
        <v/>
      </c>
      <c r="D80" s="25" t="str">
        <f>IF($A80&lt;=IF(Calc!$C$36=999,360,Calc!$C$36),CHOOSE(Calc!$C$3,'Snowball Engine'!AX82,'Avalanche Engine'!AX82,'My Order Engine'!AX82),"")</f>
        <v/>
      </c>
      <c r="E80" s="25" t="str">
        <f>IF($A80&lt;=IF(Calc!$C$36=999,360,Calc!$C$36),C80-D80,"")</f>
        <v/>
      </c>
      <c r="F80" s="25" t="str">
        <f>IF($A80&lt;=IF(Calc!$C$36=999,360,Calc!$C$36),CHOOSE(Calc!$C$3,'Snowball Engine'!AW82,'Avalanche Engine'!AW82,'My Order Engine'!AW82),"")</f>
        <v/>
      </c>
      <c r="G80" s="25" t="str">
        <f>IF(AND($A80&lt;=IF(Calc!$C$36=999,360,Calc!$C$36),Calc!$C$10=1),CHOOSE(Calc!$C$3,INDEX('Snowball Engine'!$AH82:$AV82,Calc!$I$10),INDEX('Avalanche Engine'!$AH82:$AV82,Calc!$J$10),INDEX('My Order Engine'!$AH82:$AV82,Calc!$K$10)),"")</f>
        <v/>
      </c>
      <c r="H80" s="25" t="str">
        <f>IF(AND($A80&lt;=IF(Calc!$C$36=999,360,Calc!$C$36),Calc!$C$11=1),CHOOSE(Calc!$C$3,INDEX('Snowball Engine'!$AH82:$AV82,Calc!$I$11),INDEX('Avalanche Engine'!$AH82:$AV82,Calc!$J$11),INDEX('My Order Engine'!$AH82:$AV82,Calc!$K$11)),"")</f>
        <v/>
      </c>
      <c r="I80" s="25" t="str">
        <f>IF(AND($A80&lt;=IF(Calc!$C$36=999,360,Calc!$C$36),Calc!$C$12=1),CHOOSE(Calc!$C$3,INDEX('Snowball Engine'!$AH82:$AV82,Calc!$I$12),INDEX('Avalanche Engine'!$AH82:$AV82,Calc!$J$12),INDEX('My Order Engine'!$AH82:$AV82,Calc!$K$12)),"")</f>
        <v/>
      </c>
      <c r="J80" s="25" t="str">
        <f>IF(AND($A80&lt;=IF(Calc!$C$36=999,360,Calc!$C$36),Calc!$C$13=1),CHOOSE(Calc!$C$3,INDEX('Snowball Engine'!$AH82:$AV82,Calc!$I$13),INDEX('Avalanche Engine'!$AH82:$AV82,Calc!$J$13),INDEX('My Order Engine'!$AH82:$AV82,Calc!$K$13)),"")</f>
        <v/>
      </c>
      <c r="K80" s="25" t="str">
        <f>IF(AND($A80&lt;=IF(Calc!$C$36=999,360,Calc!$C$36),Calc!$C$14=1),CHOOSE(Calc!$C$3,INDEX('Snowball Engine'!$AH82:$AV82,Calc!$I$14),INDEX('Avalanche Engine'!$AH82:$AV82,Calc!$J$14),INDEX('My Order Engine'!$AH82:$AV82,Calc!$K$14)),"")</f>
        <v/>
      </c>
      <c r="L80" s="25" t="str">
        <f>IF(AND($A80&lt;=IF(Calc!$C$36=999,360,Calc!$C$36),Calc!$C$15=1),CHOOSE(Calc!$C$3,INDEX('Snowball Engine'!$AH82:$AV82,Calc!$I$15),INDEX('Avalanche Engine'!$AH82:$AV82,Calc!$J$15),INDEX('My Order Engine'!$AH82:$AV82,Calc!$K$15)),"")</f>
        <v/>
      </c>
      <c r="M80" s="25" t="str">
        <f>IF(AND($A80&lt;=IF(Calc!$C$36=999,360,Calc!$C$36),Calc!$C$16=1),CHOOSE(Calc!$C$3,INDEX('Snowball Engine'!$AH82:$AV82,Calc!$I$16),INDEX('Avalanche Engine'!$AH82:$AV82,Calc!$J$16),INDEX('My Order Engine'!$AH82:$AV82,Calc!$K$16)),"")</f>
        <v/>
      </c>
      <c r="N80" s="25" t="str">
        <f>IF(AND($A80&lt;=IF(Calc!$C$36=999,360,Calc!$C$36),Calc!$C$17=1),CHOOSE(Calc!$C$3,INDEX('Snowball Engine'!$AH82:$AV82,Calc!$I$17),INDEX('Avalanche Engine'!$AH82:$AV82,Calc!$J$17),INDEX('My Order Engine'!$AH82:$AV82,Calc!$K$17)),"")</f>
        <v/>
      </c>
      <c r="O80" s="25" t="str">
        <f>IF(AND($A80&lt;=IF(Calc!$C$36=999,360,Calc!$C$36),Calc!$C$18=1),CHOOSE(Calc!$C$3,INDEX('Snowball Engine'!$AH82:$AV82,Calc!$I$18),INDEX('Avalanche Engine'!$AH82:$AV82,Calc!$J$18),INDEX('My Order Engine'!$AH82:$AV82,Calc!$K$18)),"")</f>
        <v/>
      </c>
      <c r="P80" s="25" t="str">
        <f>IF(AND($A80&lt;=IF(Calc!$C$36=999,360,Calc!$C$36),Calc!$C$19=1),CHOOSE(Calc!$C$3,INDEX('Snowball Engine'!$AH82:$AV82,Calc!$I$19),INDEX('Avalanche Engine'!$AH82:$AV82,Calc!$J$19),INDEX('My Order Engine'!$AH82:$AV82,Calc!$K$19)),"")</f>
        <v/>
      </c>
      <c r="Q80" s="25" t="str">
        <f>IF(AND($A80&lt;=IF(Calc!$C$36=999,360,Calc!$C$36),Calc!$C$20=1),CHOOSE(Calc!$C$3,INDEX('Snowball Engine'!$AH82:$AV82,Calc!$I$20),INDEX('Avalanche Engine'!$AH82:$AV82,Calc!$J$20),INDEX('My Order Engine'!$AH82:$AV82,Calc!$K$20)),"")</f>
        <v/>
      </c>
      <c r="R80" s="25" t="str">
        <f>IF(AND($A80&lt;=IF(Calc!$C$36=999,360,Calc!$C$36),Calc!$C$21=1),CHOOSE(Calc!$C$3,INDEX('Snowball Engine'!$AH82:$AV82,Calc!$I$21),INDEX('Avalanche Engine'!$AH82:$AV82,Calc!$J$21),INDEX('My Order Engine'!$AH82:$AV82,Calc!$K$21)),"")</f>
        <v/>
      </c>
      <c r="S80" s="25" t="str">
        <f>IF(AND($A80&lt;=IF(Calc!$C$36=999,360,Calc!$C$36),Calc!$C$22=1),CHOOSE(Calc!$C$3,INDEX('Snowball Engine'!$AH82:$AV82,Calc!$I$22),INDEX('Avalanche Engine'!$AH82:$AV82,Calc!$J$22),INDEX('My Order Engine'!$AH82:$AV82,Calc!$K$22)),"")</f>
        <v/>
      </c>
      <c r="T80" s="25" t="str">
        <f>IF(AND($A80&lt;=IF(Calc!$C$36=999,360,Calc!$C$36),Calc!$C$23=1),CHOOSE(Calc!$C$3,INDEX('Snowball Engine'!$AH82:$AV82,Calc!$I$23),INDEX('Avalanche Engine'!$AH82:$AV82,Calc!$J$23),INDEX('My Order Engine'!$AH82:$AV82,Calc!$K$23)),"")</f>
        <v/>
      </c>
      <c r="U80" s="25" t="str">
        <f>IF(AND($A80&lt;=IF(Calc!$C$36=999,360,Calc!$C$36),Calc!$C$24=1),CHOOSE(Calc!$C$3,INDEX('Snowball Engine'!$AH82:$AV82,Calc!$I$24),INDEX('Avalanche Engine'!$AH82:$AV82,Calc!$J$24),INDEX('My Order Engine'!$AH82:$AV82,Calc!$K$24)),"")</f>
        <v/>
      </c>
    </row>
    <row r="81" spans="1:21" x14ac:dyDescent="0.35">
      <c r="A81" s="23">
        <v>77</v>
      </c>
      <c r="B81" s="24" t="str">
        <f>IF($A81&lt;=IF(Calc!$C$36=999,360,Calc!$C$36),EDATE(Calc!$C$5,A81-1),"")</f>
        <v/>
      </c>
      <c r="C81" s="25" t="str">
        <f>IF($A81&lt;=IF(Calc!$C$36=999,360,Calc!$C$36),CHOOSE(Calc!$C$3,'Snowball Engine'!AY83,'Avalanche Engine'!AY83,'My Order Engine'!AY83),"")</f>
        <v/>
      </c>
      <c r="D81" s="25" t="str">
        <f>IF($A81&lt;=IF(Calc!$C$36=999,360,Calc!$C$36),CHOOSE(Calc!$C$3,'Snowball Engine'!AX83,'Avalanche Engine'!AX83,'My Order Engine'!AX83),"")</f>
        <v/>
      </c>
      <c r="E81" s="25" t="str">
        <f>IF($A81&lt;=IF(Calc!$C$36=999,360,Calc!$C$36),C81-D81,"")</f>
        <v/>
      </c>
      <c r="F81" s="25" t="str">
        <f>IF($A81&lt;=IF(Calc!$C$36=999,360,Calc!$C$36),CHOOSE(Calc!$C$3,'Snowball Engine'!AW83,'Avalanche Engine'!AW83,'My Order Engine'!AW83),"")</f>
        <v/>
      </c>
      <c r="G81" s="25" t="str">
        <f>IF(AND($A81&lt;=IF(Calc!$C$36=999,360,Calc!$C$36),Calc!$C$10=1),CHOOSE(Calc!$C$3,INDEX('Snowball Engine'!$AH83:$AV83,Calc!$I$10),INDEX('Avalanche Engine'!$AH83:$AV83,Calc!$J$10),INDEX('My Order Engine'!$AH83:$AV83,Calc!$K$10)),"")</f>
        <v/>
      </c>
      <c r="H81" s="25" t="str">
        <f>IF(AND($A81&lt;=IF(Calc!$C$36=999,360,Calc!$C$36),Calc!$C$11=1),CHOOSE(Calc!$C$3,INDEX('Snowball Engine'!$AH83:$AV83,Calc!$I$11),INDEX('Avalanche Engine'!$AH83:$AV83,Calc!$J$11),INDEX('My Order Engine'!$AH83:$AV83,Calc!$K$11)),"")</f>
        <v/>
      </c>
      <c r="I81" s="25" t="str">
        <f>IF(AND($A81&lt;=IF(Calc!$C$36=999,360,Calc!$C$36),Calc!$C$12=1),CHOOSE(Calc!$C$3,INDEX('Snowball Engine'!$AH83:$AV83,Calc!$I$12),INDEX('Avalanche Engine'!$AH83:$AV83,Calc!$J$12),INDEX('My Order Engine'!$AH83:$AV83,Calc!$K$12)),"")</f>
        <v/>
      </c>
      <c r="J81" s="25" t="str">
        <f>IF(AND($A81&lt;=IF(Calc!$C$36=999,360,Calc!$C$36),Calc!$C$13=1),CHOOSE(Calc!$C$3,INDEX('Snowball Engine'!$AH83:$AV83,Calc!$I$13),INDEX('Avalanche Engine'!$AH83:$AV83,Calc!$J$13),INDEX('My Order Engine'!$AH83:$AV83,Calc!$K$13)),"")</f>
        <v/>
      </c>
      <c r="K81" s="25" t="str">
        <f>IF(AND($A81&lt;=IF(Calc!$C$36=999,360,Calc!$C$36),Calc!$C$14=1),CHOOSE(Calc!$C$3,INDEX('Snowball Engine'!$AH83:$AV83,Calc!$I$14),INDEX('Avalanche Engine'!$AH83:$AV83,Calc!$J$14),INDEX('My Order Engine'!$AH83:$AV83,Calc!$K$14)),"")</f>
        <v/>
      </c>
      <c r="L81" s="25" t="str">
        <f>IF(AND($A81&lt;=IF(Calc!$C$36=999,360,Calc!$C$36),Calc!$C$15=1),CHOOSE(Calc!$C$3,INDEX('Snowball Engine'!$AH83:$AV83,Calc!$I$15),INDEX('Avalanche Engine'!$AH83:$AV83,Calc!$J$15),INDEX('My Order Engine'!$AH83:$AV83,Calc!$K$15)),"")</f>
        <v/>
      </c>
      <c r="M81" s="25" t="str">
        <f>IF(AND($A81&lt;=IF(Calc!$C$36=999,360,Calc!$C$36),Calc!$C$16=1),CHOOSE(Calc!$C$3,INDEX('Snowball Engine'!$AH83:$AV83,Calc!$I$16),INDEX('Avalanche Engine'!$AH83:$AV83,Calc!$J$16),INDEX('My Order Engine'!$AH83:$AV83,Calc!$K$16)),"")</f>
        <v/>
      </c>
      <c r="N81" s="25" t="str">
        <f>IF(AND($A81&lt;=IF(Calc!$C$36=999,360,Calc!$C$36),Calc!$C$17=1),CHOOSE(Calc!$C$3,INDEX('Snowball Engine'!$AH83:$AV83,Calc!$I$17),INDEX('Avalanche Engine'!$AH83:$AV83,Calc!$J$17),INDEX('My Order Engine'!$AH83:$AV83,Calc!$K$17)),"")</f>
        <v/>
      </c>
      <c r="O81" s="25" t="str">
        <f>IF(AND($A81&lt;=IF(Calc!$C$36=999,360,Calc!$C$36),Calc!$C$18=1),CHOOSE(Calc!$C$3,INDEX('Snowball Engine'!$AH83:$AV83,Calc!$I$18),INDEX('Avalanche Engine'!$AH83:$AV83,Calc!$J$18),INDEX('My Order Engine'!$AH83:$AV83,Calc!$K$18)),"")</f>
        <v/>
      </c>
      <c r="P81" s="25" t="str">
        <f>IF(AND($A81&lt;=IF(Calc!$C$36=999,360,Calc!$C$36),Calc!$C$19=1),CHOOSE(Calc!$C$3,INDEX('Snowball Engine'!$AH83:$AV83,Calc!$I$19),INDEX('Avalanche Engine'!$AH83:$AV83,Calc!$J$19),INDEX('My Order Engine'!$AH83:$AV83,Calc!$K$19)),"")</f>
        <v/>
      </c>
      <c r="Q81" s="25" t="str">
        <f>IF(AND($A81&lt;=IF(Calc!$C$36=999,360,Calc!$C$36),Calc!$C$20=1),CHOOSE(Calc!$C$3,INDEX('Snowball Engine'!$AH83:$AV83,Calc!$I$20),INDEX('Avalanche Engine'!$AH83:$AV83,Calc!$J$20),INDEX('My Order Engine'!$AH83:$AV83,Calc!$K$20)),"")</f>
        <v/>
      </c>
      <c r="R81" s="25" t="str">
        <f>IF(AND($A81&lt;=IF(Calc!$C$36=999,360,Calc!$C$36),Calc!$C$21=1),CHOOSE(Calc!$C$3,INDEX('Snowball Engine'!$AH83:$AV83,Calc!$I$21),INDEX('Avalanche Engine'!$AH83:$AV83,Calc!$J$21),INDEX('My Order Engine'!$AH83:$AV83,Calc!$K$21)),"")</f>
        <v/>
      </c>
      <c r="S81" s="25" t="str">
        <f>IF(AND($A81&lt;=IF(Calc!$C$36=999,360,Calc!$C$36),Calc!$C$22=1),CHOOSE(Calc!$C$3,INDEX('Snowball Engine'!$AH83:$AV83,Calc!$I$22),INDEX('Avalanche Engine'!$AH83:$AV83,Calc!$J$22),INDEX('My Order Engine'!$AH83:$AV83,Calc!$K$22)),"")</f>
        <v/>
      </c>
      <c r="T81" s="25" t="str">
        <f>IF(AND($A81&lt;=IF(Calc!$C$36=999,360,Calc!$C$36),Calc!$C$23=1),CHOOSE(Calc!$C$3,INDEX('Snowball Engine'!$AH83:$AV83,Calc!$I$23),INDEX('Avalanche Engine'!$AH83:$AV83,Calc!$J$23),INDEX('My Order Engine'!$AH83:$AV83,Calc!$K$23)),"")</f>
        <v/>
      </c>
      <c r="U81" s="25" t="str">
        <f>IF(AND($A81&lt;=IF(Calc!$C$36=999,360,Calc!$C$36),Calc!$C$24=1),CHOOSE(Calc!$C$3,INDEX('Snowball Engine'!$AH83:$AV83,Calc!$I$24),INDEX('Avalanche Engine'!$AH83:$AV83,Calc!$J$24),INDEX('My Order Engine'!$AH83:$AV83,Calc!$K$24)),"")</f>
        <v/>
      </c>
    </row>
    <row r="82" spans="1:21" x14ac:dyDescent="0.35">
      <c r="A82" s="23">
        <v>78</v>
      </c>
      <c r="B82" s="24" t="str">
        <f>IF($A82&lt;=IF(Calc!$C$36=999,360,Calc!$C$36),EDATE(Calc!$C$5,A82-1),"")</f>
        <v/>
      </c>
      <c r="C82" s="25" t="str">
        <f>IF($A82&lt;=IF(Calc!$C$36=999,360,Calc!$C$36),CHOOSE(Calc!$C$3,'Snowball Engine'!AY84,'Avalanche Engine'!AY84,'My Order Engine'!AY84),"")</f>
        <v/>
      </c>
      <c r="D82" s="25" t="str">
        <f>IF($A82&lt;=IF(Calc!$C$36=999,360,Calc!$C$36),CHOOSE(Calc!$C$3,'Snowball Engine'!AX84,'Avalanche Engine'!AX84,'My Order Engine'!AX84),"")</f>
        <v/>
      </c>
      <c r="E82" s="25" t="str">
        <f>IF($A82&lt;=IF(Calc!$C$36=999,360,Calc!$C$36),C82-D82,"")</f>
        <v/>
      </c>
      <c r="F82" s="25" t="str">
        <f>IF($A82&lt;=IF(Calc!$C$36=999,360,Calc!$C$36),CHOOSE(Calc!$C$3,'Snowball Engine'!AW84,'Avalanche Engine'!AW84,'My Order Engine'!AW84),"")</f>
        <v/>
      </c>
      <c r="G82" s="25" t="str">
        <f>IF(AND($A82&lt;=IF(Calc!$C$36=999,360,Calc!$C$36),Calc!$C$10=1),CHOOSE(Calc!$C$3,INDEX('Snowball Engine'!$AH84:$AV84,Calc!$I$10),INDEX('Avalanche Engine'!$AH84:$AV84,Calc!$J$10),INDEX('My Order Engine'!$AH84:$AV84,Calc!$K$10)),"")</f>
        <v/>
      </c>
      <c r="H82" s="25" t="str">
        <f>IF(AND($A82&lt;=IF(Calc!$C$36=999,360,Calc!$C$36),Calc!$C$11=1),CHOOSE(Calc!$C$3,INDEX('Snowball Engine'!$AH84:$AV84,Calc!$I$11),INDEX('Avalanche Engine'!$AH84:$AV84,Calc!$J$11),INDEX('My Order Engine'!$AH84:$AV84,Calc!$K$11)),"")</f>
        <v/>
      </c>
      <c r="I82" s="25" t="str">
        <f>IF(AND($A82&lt;=IF(Calc!$C$36=999,360,Calc!$C$36),Calc!$C$12=1),CHOOSE(Calc!$C$3,INDEX('Snowball Engine'!$AH84:$AV84,Calc!$I$12),INDEX('Avalanche Engine'!$AH84:$AV84,Calc!$J$12),INDEX('My Order Engine'!$AH84:$AV84,Calc!$K$12)),"")</f>
        <v/>
      </c>
      <c r="J82" s="25" t="str">
        <f>IF(AND($A82&lt;=IF(Calc!$C$36=999,360,Calc!$C$36),Calc!$C$13=1),CHOOSE(Calc!$C$3,INDEX('Snowball Engine'!$AH84:$AV84,Calc!$I$13),INDEX('Avalanche Engine'!$AH84:$AV84,Calc!$J$13),INDEX('My Order Engine'!$AH84:$AV84,Calc!$K$13)),"")</f>
        <v/>
      </c>
      <c r="K82" s="25" t="str">
        <f>IF(AND($A82&lt;=IF(Calc!$C$36=999,360,Calc!$C$36),Calc!$C$14=1),CHOOSE(Calc!$C$3,INDEX('Snowball Engine'!$AH84:$AV84,Calc!$I$14),INDEX('Avalanche Engine'!$AH84:$AV84,Calc!$J$14),INDEX('My Order Engine'!$AH84:$AV84,Calc!$K$14)),"")</f>
        <v/>
      </c>
      <c r="L82" s="25" t="str">
        <f>IF(AND($A82&lt;=IF(Calc!$C$36=999,360,Calc!$C$36),Calc!$C$15=1),CHOOSE(Calc!$C$3,INDEX('Snowball Engine'!$AH84:$AV84,Calc!$I$15),INDEX('Avalanche Engine'!$AH84:$AV84,Calc!$J$15),INDEX('My Order Engine'!$AH84:$AV84,Calc!$K$15)),"")</f>
        <v/>
      </c>
      <c r="M82" s="25" t="str">
        <f>IF(AND($A82&lt;=IF(Calc!$C$36=999,360,Calc!$C$36),Calc!$C$16=1),CHOOSE(Calc!$C$3,INDEX('Snowball Engine'!$AH84:$AV84,Calc!$I$16),INDEX('Avalanche Engine'!$AH84:$AV84,Calc!$J$16),INDEX('My Order Engine'!$AH84:$AV84,Calc!$K$16)),"")</f>
        <v/>
      </c>
      <c r="N82" s="25" t="str">
        <f>IF(AND($A82&lt;=IF(Calc!$C$36=999,360,Calc!$C$36),Calc!$C$17=1),CHOOSE(Calc!$C$3,INDEX('Snowball Engine'!$AH84:$AV84,Calc!$I$17),INDEX('Avalanche Engine'!$AH84:$AV84,Calc!$J$17),INDEX('My Order Engine'!$AH84:$AV84,Calc!$K$17)),"")</f>
        <v/>
      </c>
      <c r="O82" s="25" t="str">
        <f>IF(AND($A82&lt;=IF(Calc!$C$36=999,360,Calc!$C$36),Calc!$C$18=1),CHOOSE(Calc!$C$3,INDEX('Snowball Engine'!$AH84:$AV84,Calc!$I$18),INDEX('Avalanche Engine'!$AH84:$AV84,Calc!$J$18),INDEX('My Order Engine'!$AH84:$AV84,Calc!$K$18)),"")</f>
        <v/>
      </c>
      <c r="P82" s="25" t="str">
        <f>IF(AND($A82&lt;=IF(Calc!$C$36=999,360,Calc!$C$36),Calc!$C$19=1),CHOOSE(Calc!$C$3,INDEX('Snowball Engine'!$AH84:$AV84,Calc!$I$19),INDEX('Avalanche Engine'!$AH84:$AV84,Calc!$J$19),INDEX('My Order Engine'!$AH84:$AV84,Calc!$K$19)),"")</f>
        <v/>
      </c>
      <c r="Q82" s="25" t="str">
        <f>IF(AND($A82&lt;=IF(Calc!$C$36=999,360,Calc!$C$36),Calc!$C$20=1),CHOOSE(Calc!$C$3,INDEX('Snowball Engine'!$AH84:$AV84,Calc!$I$20),INDEX('Avalanche Engine'!$AH84:$AV84,Calc!$J$20),INDEX('My Order Engine'!$AH84:$AV84,Calc!$K$20)),"")</f>
        <v/>
      </c>
      <c r="R82" s="25" t="str">
        <f>IF(AND($A82&lt;=IF(Calc!$C$36=999,360,Calc!$C$36),Calc!$C$21=1),CHOOSE(Calc!$C$3,INDEX('Snowball Engine'!$AH84:$AV84,Calc!$I$21),INDEX('Avalanche Engine'!$AH84:$AV84,Calc!$J$21),INDEX('My Order Engine'!$AH84:$AV84,Calc!$K$21)),"")</f>
        <v/>
      </c>
      <c r="S82" s="25" t="str">
        <f>IF(AND($A82&lt;=IF(Calc!$C$36=999,360,Calc!$C$36),Calc!$C$22=1),CHOOSE(Calc!$C$3,INDEX('Snowball Engine'!$AH84:$AV84,Calc!$I$22),INDEX('Avalanche Engine'!$AH84:$AV84,Calc!$J$22),INDEX('My Order Engine'!$AH84:$AV84,Calc!$K$22)),"")</f>
        <v/>
      </c>
      <c r="T82" s="25" t="str">
        <f>IF(AND($A82&lt;=IF(Calc!$C$36=999,360,Calc!$C$36),Calc!$C$23=1),CHOOSE(Calc!$C$3,INDEX('Snowball Engine'!$AH84:$AV84,Calc!$I$23),INDEX('Avalanche Engine'!$AH84:$AV84,Calc!$J$23),INDEX('My Order Engine'!$AH84:$AV84,Calc!$K$23)),"")</f>
        <v/>
      </c>
      <c r="U82" s="25" t="str">
        <f>IF(AND($A82&lt;=IF(Calc!$C$36=999,360,Calc!$C$36),Calc!$C$24=1),CHOOSE(Calc!$C$3,INDEX('Snowball Engine'!$AH84:$AV84,Calc!$I$24),INDEX('Avalanche Engine'!$AH84:$AV84,Calc!$J$24),INDEX('My Order Engine'!$AH84:$AV84,Calc!$K$24)),"")</f>
        <v/>
      </c>
    </row>
    <row r="83" spans="1:21" x14ac:dyDescent="0.35">
      <c r="A83" s="23">
        <v>79</v>
      </c>
      <c r="B83" s="24" t="str">
        <f>IF($A83&lt;=IF(Calc!$C$36=999,360,Calc!$C$36),EDATE(Calc!$C$5,A83-1),"")</f>
        <v/>
      </c>
      <c r="C83" s="25" t="str">
        <f>IF($A83&lt;=IF(Calc!$C$36=999,360,Calc!$C$36),CHOOSE(Calc!$C$3,'Snowball Engine'!AY85,'Avalanche Engine'!AY85,'My Order Engine'!AY85),"")</f>
        <v/>
      </c>
      <c r="D83" s="25" t="str">
        <f>IF($A83&lt;=IF(Calc!$C$36=999,360,Calc!$C$36),CHOOSE(Calc!$C$3,'Snowball Engine'!AX85,'Avalanche Engine'!AX85,'My Order Engine'!AX85),"")</f>
        <v/>
      </c>
      <c r="E83" s="25" t="str">
        <f>IF($A83&lt;=IF(Calc!$C$36=999,360,Calc!$C$36),C83-D83,"")</f>
        <v/>
      </c>
      <c r="F83" s="25" t="str">
        <f>IF($A83&lt;=IF(Calc!$C$36=999,360,Calc!$C$36),CHOOSE(Calc!$C$3,'Snowball Engine'!AW85,'Avalanche Engine'!AW85,'My Order Engine'!AW85),"")</f>
        <v/>
      </c>
      <c r="G83" s="25" t="str">
        <f>IF(AND($A83&lt;=IF(Calc!$C$36=999,360,Calc!$C$36),Calc!$C$10=1),CHOOSE(Calc!$C$3,INDEX('Snowball Engine'!$AH85:$AV85,Calc!$I$10),INDEX('Avalanche Engine'!$AH85:$AV85,Calc!$J$10),INDEX('My Order Engine'!$AH85:$AV85,Calc!$K$10)),"")</f>
        <v/>
      </c>
      <c r="H83" s="25" t="str">
        <f>IF(AND($A83&lt;=IF(Calc!$C$36=999,360,Calc!$C$36),Calc!$C$11=1),CHOOSE(Calc!$C$3,INDEX('Snowball Engine'!$AH85:$AV85,Calc!$I$11),INDEX('Avalanche Engine'!$AH85:$AV85,Calc!$J$11),INDEX('My Order Engine'!$AH85:$AV85,Calc!$K$11)),"")</f>
        <v/>
      </c>
      <c r="I83" s="25" t="str">
        <f>IF(AND($A83&lt;=IF(Calc!$C$36=999,360,Calc!$C$36),Calc!$C$12=1),CHOOSE(Calc!$C$3,INDEX('Snowball Engine'!$AH85:$AV85,Calc!$I$12),INDEX('Avalanche Engine'!$AH85:$AV85,Calc!$J$12),INDEX('My Order Engine'!$AH85:$AV85,Calc!$K$12)),"")</f>
        <v/>
      </c>
      <c r="J83" s="25" t="str">
        <f>IF(AND($A83&lt;=IF(Calc!$C$36=999,360,Calc!$C$36),Calc!$C$13=1),CHOOSE(Calc!$C$3,INDEX('Snowball Engine'!$AH85:$AV85,Calc!$I$13),INDEX('Avalanche Engine'!$AH85:$AV85,Calc!$J$13),INDEX('My Order Engine'!$AH85:$AV85,Calc!$K$13)),"")</f>
        <v/>
      </c>
      <c r="K83" s="25" t="str">
        <f>IF(AND($A83&lt;=IF(Calc!$C$36=999,360,Calc!$C$36),Calc!$C$14=1),CHOOSE(Calc!$C$3,INDEX('Snowball Engine'!$AH85:$AV85,Calc!$I$14),INDEX('Avalanche Engine'!$AH85:$AV85,Calc!$J$14),INDEX('My Order Engine'!$AH85:$AV85,Calc!$K$14)),"")</f>
        <v/>
      </c>
      <c r="L83" s="25" t="str">
        <f>IF(AND($A83&lt;=IF(Calc!$C$36=999,360,Calc!$C$36),Calc!$C$15=1),CHOOSE(Calc!$C$3,INDEX('Snowball Engine'!$AH85:$AV85,Calc!$I$15),INDEX('Avalanche Engine'!$AH85:$AV85,Calc!$J$15),INDEX('My Order Engine'!$AH85:$AV85,Calc!$K$15)),"")</f>
        <v/>
      </c>
      <c r="M83" s="25" t="str">
        <f>IF(AND($A83&lt;=IF(Calc!$C$36=999,360,Calc!$C$36),Calc!$C$16=1),CHOOSE(Calc!$C$3,INDEX('Snowball Engine'!$AH85:$AV85,Calc!$I$16),INDEX('Avalanche Engine'!$AH85:$AV85,Calc!$J$16),INDEX('My Order Engine'!$AH85:$AV85,Calc!$K$16)),"")</f>
        <v/>
      </c>
      <c r="N83" s="25" t="str">
        <f>IF(AND($A83&lt;=IF(Calc!$C$36=999,360,Calc!$C$36),Calc!$C$17=1),CHOOSE(Calc!$C$3,INDEX('Snowball Engine'!$AH85:$AV85,Calc!$I$17),INDEX('Avalanche Engine'!$AH85:$AV85,Calc!$J$17),INDEX('My Order Engine'!$AH85:$AV85,Calc!$K$17)),"")</f>
        <v/>
      </c>
      <c r="O83" s="25" t="str">
        <f>IF(AND($A83&lt;=IF(Calc!$C$36=999,360,Calc!$C$36),Calc!$C$18=1),CHOOSE(Calc!$C$3,INDEX('Snowball Engine'!$AH85:$AV85,Calc!$I$18),INDEX('Avalanche Engine'!$AH85:$AV85,Calc!$J$18),INDEX('My Order Engine'!$AH85:$AV85,Calc!$K$18)),"")</f>
        <v/>
      </c>
      <c r="P83" s="25" t="str">
        <f>IF(AND($A83&lt;=IF(Calc!$C$36=999,360,Calc!$C$36),Calc!$C$19=1),CHOOSE(Calc!$C$3,INDEX('Snowball Engine'!$AH85:$AV85,Calc!$I$19),INDEX('Avalanche Engine'!$AH85:$AV85,Calc!$J$19),INDEX('My Order Engine'!$AH85:$AV85,Calc!$K$19)),"")</f>
        <v/>
      </c>
      <c r="Q83" s="25" t="str">
        <f>IF(AND($A83&lt;=IF(Calc!$C$36=999,360,Calc!$C$36),Calc!$C$20=1),CHOOSE(Calc!$C$3,INDEX('Snowball Engine'!$AH85:$AV85,Calc!$I$20),INDEX('Avalanche Engine'!$AH85:$AV85,Calc!$J$20),INDEX('My Order Engine'!$AH85:$AV85,Calc!$K$20)),"")</f>
        <v/>
      </c>
      <c r="R83" s="25" t="str">
        <f>IF(AND($A83&lt;=IF(Calc!$C$36=999,360,Calc!$C$36),Calc!$C$21=1),CHOOSE(Calc!$C$3,INDEX('Snowball Engine'!$AH85:$AV85,Calc!$I$21),INDEX('Avalanche Engine'!$AH85:$AV85,Calc!$J$21),INDEX('My Order Engine'!$AH85:$AV85,Calc!$K$21)),"")</f>
        <v/>
      </c>
      <c r="S83" s="25" t="str">
        <f>IF(AND($A83&lt;=IF(Calc!$C$36=999,360,Calc!$C$36),Calc!$C$22=1),CHOOSE(Calc!$C$3,INDEX('Snowball Engine'!$AH85:$AV85,Calc!$I$22),INDEX('Avalanche Engine'!$AH85:$AV85,Calc!$J$22),INDEX('My Order Engine'!$AH85:$AV85,Calc!$K$22)),"")</f>
        <v/>
      </c>
      <c r="T83" s="25" t="str">
        <f>IF(AND($A83&lt;=IF(Calc!$C$36=999,360,Calc!$C$36),Calc!$C$23=1),CHOOSE(Calc!$C$3,INDEX('Snowball Engine'!$AH85:$AV85,Calc!$I$23),INDEX('Avalanche Engine'!$AH85:$AV85,Calc!$J$23),INDEX('My Order Engine'!$AH85:$AV85,Calc!$K$23)),"")</f>
        <v/>
      </c>
      <c r="U83" s="25" t="str">
        <f>IF(AND($A83&lt;=IF(Calc!$C$36=999,360,Calc!$C$36),Calc!$C$24=1),CHOOSE(Calc!$C$3,INDEX('Snowball Engine'!$AH85:$AV85,Calc!$I$24),INDEX('Avalanche Engine'!$AH85:$AV85,Calc!$J$24),INDEX('My Order Engine'!$AH85:$AV85,Calc!$K$24)),"")</f>
        <v/>
      </c>
    </row>
    <row r="84" spans="1:21" x14ac:dyDescent="0.35">
      <c r="A84" s="23">
        <v>80</v>
      </c>
      <c r="B84" s="24" t="str">
        <f>IF($A84&lt;=IF(Calc!$C$36=999,360,Calc!$C$36),EDATE(Calc!$C$5,A84-1),"")</f>
        <v/>
      </c>
      <c r="C84" s="25" t="str">
        <f>IF($A84&lt;=IF(Calc!$C$36=999,360,Calc!$C$36),CHOOSE(Calc!$C$3,'Snowball Engine'!AY86,'Avalanche Engine'!AY86,'My Order Engine'!AY86),"")</f>
        <v/>
      </c>
      <c r="D84" s="25" t="str">
        <f>IF($A84&lt;=IF(Calc!$C$36=999,360,Calc!$C$36),CHOOSE(Calc!$C$3,'Snowball Engine'!AX86,'Avalanche Engine'!AX86,'My Order Engine'!AX86),"")</f>
        <v/>
      </c>
      <c r="E84" s="25" t="str">
        <f>IF($A84&lt;=IF(Calc!$C$36=999,360,Calc!$C$36),C84-D84,"")</f>
        <v/>
      </c>
      <c r="F84" s="25" t="str">
        <f>IF($A84&lt;=IF(Calc!$C$36=999,360,Calc!$C$36),CHOOSE(Calc!$C$3,'Snowball Engine'!AW86,'Avalanche Engine'!AW86,'My Order Engine'!AW86),"")</f>
        <v/>
      </c>
      <c r="G84" s="25" t="str">
        <f>IF(AND($A84&lt;=IF(Calc!$C$36=999,360,Calc!$C$36),Calc!$C$10=1),CHOOSE(Calc!$C$3,INDEX('Snowball Engine'!$AH86:$AV86,Calc!$I$10),INDEX('Avalanche Engine'!$AH86:$AV86,Calc!$J$10),INDEX('My Order Engine'!$AH86:$AV86,Calc!$K$10)),"")</f>
        <v/>
      </c>
      <c r="H84" s="25" t="str">
        <f>IF(AND($A84&lt;=IF(Calc!$C$36=999,360,Calc!$C$36),Calc!$C$11=1),CHOOSE(Calc!$C$3,INDEX('Snowball Engine'!$AH86:$AV86,Calc!$I$11),INDEX('Avalanche Engine'!$AH86:$AV86,Calc!$J$11),INDEX('My Order Engine'!$AH86:$AV86,Calc!$K$11)),"")</f>
        <v/>
      </c>
      <c r="I84" s="25" t="str">
        <f>IF(AND($A84&lt;=IF(Calc!$C$36=999,360,Calc!$C$36),Calc!$C$12=1),CHOOSE(Calc!$C$3,INDEX('Snowball Engine'!$AH86:$AV86,Calc!$I$12),INDEX('Avalanche Engine'!$AH86:$AV86,Calc!$J$12),INDEX('My Order Engine'!$AH86:$AV86,Calc!$K$12)),"")</f>
        <v/>
      </c>
      <c r="J84" s="25" t="str">
        <f>IF(AND($A84&lt;=IF(Calc!$C$36=999,360,Calc!$C$36),Calc!$C$13=1),CHOOSE(Calc!$C$3,INDEX('Snowball Engine'!$AH86:$AV86,Calc!$I$13),INDEX('Avalanche Engine'!$AH86:$AV86,Calc!$J$13),INDEX('My Order Engine'!$AH86:$AV86,Calc!$K$13)),"")</f>
        <v/>
      </c>
      <c r="K84" s="25" t="str">
        <f>IF(AND($A84&lt;=IF(Calc!$C$36=999,360,Calc!$C$36),Calc!$C$14=1),CHOOSE(Calc!$C$3,INDEX('Snowball Engine'!$AH86:$AV86,Calc!$I$14),INDEX('Avalanche Engine'!$AH86:$AV86,Calc!$J$14),INDEX('My Order Engine'!$AH86:$AV86,Calc!$K$14)),"")</f>
        <v/>
      </c>
      <c r="L84" s="25" t="str">
        <f>IF(AND($A84&lt;=IF(Calc!$C$36=999,360,Calc!$C$36),Calc!$C$15=1),CHOOSE(Calc!$C$3,INDEX('Snowball Engine'!$AH86:$AV86,Calc!$I$15),INDEX('Avalanche Engine'!$AH86:$AV86,Calc!$J$15),INDEX('My Order Engine'!$AH86:$AV86,Calc!$K$15)),"")</f>
        <v/>
      </c>
      <c r="M84" s="25" t="str">
        <f>IF(AND($A84&lt;=IF(Calc!$C$36=999,360,Calc!$C$36),Calc!$C$16=1),CHOOSE(Calc!$C$3,INDEX('Snowball Engine'!$AH86:$AV86,Calc!$I$16),INDEX('Avalanche Engine'!$AH86:$AV86,Calc!$J$16),INDEX('My Order Engine'!$AH86:$AV86,Calc!$K$16)),"")</f>
        <v/>
      </c>
      <c r="N84" s="25" t="str">
        <f>IF(AND($A84&lt;=IF(Calc!$C$36=999,360,Calc!$C$36),Calc!$C$17=1),CHOOSE(Calc!$C$3,INDEX('Snowball Engine'!$AH86:$AV86,Calc!$I$17),INDEX('Avalanche Engine'!$AH86:$AV86,Calc!$J$17),INDEX('My Order Engine'!$AH86:$AV86,Calc!$K$17)),"")</f>
        <v/>
      </c>
      <c r="O84" s="25" t="str">
        <f>IF(AND($A84&lt;=IF(Calc!$C$36=999,360,Calc!$C$36),Calc!$C$18=1),CHOOSE(Calc!$C$3,INDEX('Snowball Engine'!$AH86:$AV86,Calc!$I$18),INDEX('Avalanche Engine'!$AH86:$AV86,Calc!$J$18),INDEX('My Order Engine'!$AH86:$AV86,Calc!$K$18)),"")</f>
        <v/>
      </c>
      <c r="P84" s="25" t="str">
        <f>IF(AND($A84&lt;=IF(Calc!$C$36=999,360,Calc!$C$36),Calc!$C$19=1),CHOOSE(Calc!$C$3,INDEX('Snowball Engine'!$AH86:$AV86,Calc!$I$19),INDEX('Avalanche Engine'!$AH86:$AV86,Calc!$J$19),INDEX('My Order Engine'!$AH86:$AV86,Calc!$K$19)),"")</f>
        <v/>
      </c>
      <c r="Q84" s="25" t="str">
        <f>IF(AND($A84&lt;=IF(Calc!$C$36=999,360,Calc!$C$36),Calc!$C$20=1),CHOOSE(Calc!$C$3,INDEX('Snowball Engine'!$AH86:$AV86,Calc!$I$20),INDEX('Avalanche Engine'!$AH86:$AV86,Calc!$J$20),INDEX('My Order Engine'!$AH86:$AV86,Calc!$K$20)),"")</f>
        <v/>
      </c>
      <c r="R84" s="25" t="str">
        <f>IF(AND($A84&lt;=IF(Calc!$C$36=999,360,Calc!$C$36),Calc!$C$21=1),CHOOSE(Calc!$C$3,INDEX('Snowball Engine'!$AH86:$AV86,Calc!$I$21),INDEX('Avalanche Engine'!$AH86:$AV86,Calc!$J$21),INDEX('My Order Engine'!$AH86:$AV86,Calc!$K$21)),"")</f>
        <v/>
      </c>
      <c r="S84" s="25" t="str">
        <f>IF(AND($A84&lt;=IF(Calc!$C$36=999,360,Calc!$C$36),Calc!$C$22=1),CHOOSE(Calc!$C$3,INDEX('Snowball Engine'!$AH86:$AV86,Calc!$I$22),INDEX('Avalanche Engine'!$AH86:$AV86,Calc!$J$22),INDEX('My Order Engine'!$AH86:$AV86,Calc!$K$22)),"")</f>
        <v/>
      </c>
      <c r="T84" s="25" t="str">
        <f>IF(AND($A84&lt;=IF(Calc!$C$36=999,360,Calc!$C$36),Calc!$C$23=1),CHOOSE(Calc!$C$3,INDEX('Snowball Engine'!$AH86:$AV86,Calc!$I$23),INDEX('Avalanche Engine'!$AH86:$AV86,Calc!$J$23),INDEX('My Order Engine'!$AH86:$AV86,Calc!$K$23)),"")</f>
        <v/>
      </c>
      <c r="U84" s="25" t="str">
        <f>IF(AND($A84&lt;=IF(Calc!$C$36=999,360,Calc!$C$36),Calc!$C$24=1),CHOOSE(Calc!$C$3,INDEX('Snowball Engine'!$AH86:$AV86,Calc!$I$24),INDEX('Avalanche Engine'!$AH86:$AV86,Calc!$J$24),INDEX('My Order Engine'!$AH86:$AV86,Calc!$K$24)),"")</f>
        <v/>
      </c>
    </row>
    <row r="85" spans="1:21" x14ac:dyDescent="0.35">
      <c r="A85" s="23">
        <v>81</v>
      </c>
      <c r="B85" s="24" t="str">
        <f>IF($A85&lt;=IF(Calc!$C$36=999,360,Calc!$C$36),EDATE(Calc!$C$5,A85-1),"")</f>
        <v/>
      </c>
      <c r="C85" s="25" t="str">
        <f>IF($A85&lt;=IF(Calc!$C$36=999,360,Calc!$C$36),CHOOSE(Calc!$C$3,'Snowball Engine'!AY87,'Avalanche Engine'!AY87,'My Order Engine'!AY87),"")</f>
        <v/>
      </c>
      <c r="D85" s="25" t="str">
        <f>IF($A85&lt;=IF(Calc!$C$36=999,360,Calc!$C$36),CHOOSE(Calc!$C$3,'Snowball Engine'!AX87,'Avalanche Engine'!AX87,'My Order Engine'!AX87),"")</f>
        <v/>
      </c>
      <c r="E85" s="25" t="str">
        <f>IF($A85&lt;=IF(Calc!$C$36=999,360,Calc!$C$36),C85-D85,"")</f>
        <v/>
      </c>
      <c r="F85" s="25" t="str">
        <f>IF($A85&lt;=IF(Calc!$C$36=999,360,Calc!$C$36),CHOOSE(Calc!$C$3,'Snowball Engine'!AW87,'Avalanche Engine'!AW87,'My Order Engine'!AW87),"")</f>
        <v/>
      </c>
      <c r="G85" s="25" t="str">
        <f>IF(AND($A85&lt;=IF(Calc!$C$36=999,360,Calc!$C$36),Calc!$C$10=1),CHOOSE(Calc!$C$3,INDEX('Snowball Engine'!$AH87:$AV87,Calc!$I$10),INDEX('Avalanche Engine'!$AH87:$AV87,Calc!$J$10),INDEX('My Order Engine'!$AH87:$AV87,Calc!$K$10)),"")</f>
        <v/>
      </c>
      <c r="H85" s="25" t="str">
        <f>IF(AND($A85&lt;=IF(Calc!$C$36=999,360,Calc!$C$36),Calc!$C$11=1),CHOOSE(Calc!$C$3,INDEX('Snowball Engine'!$AH87:$AV87,Calc!$I$11),INDEX('Avalanche Engine'!$AH87:$AV87,Calc!$J$11),INDEX('My Order Engine'!$AH87:$AV87,Calc!$K$11)),"")</f>
        <v/>
      </c>
      <c r="I85" s="25" t="str">
        <f>IF(AND($A85&lt;=IF(Calc!$C$36=999,360,Calc!$C$36),Calc!$C$12=1),CHOOSE(Calc!$C$3,INDEX('Snowball Engine'!$AH87:$AV87,Calc!$I$12),INDEX('Avalanche Engine'!$AH87:$AV87,Calc!$J$12),INDEX('My Order Engine'!$AH87:$AV87,Calc!$K$12)),"")</f>
        <v/>
      </c>
      <c r="J85" s="25" t="str">
        <f>IF(AND($A85&lt;=IF(Calc!$C$36=999,360,Calc!$C$36),Calc!$C$13=1),CHOOSE(Calc!$C$3,INDEX('Snowball Engine'!$AH87:$AV87,Calc!$I$13),INDEX('Avalanche Engine'!$AH87:$AV87,Calc!$J$13),INDEX('My Order Engine'!$AH87:$AV87,Calc!$K$13)),"")</f>
        <v/>
      </c>
      <c r="K85" s="25" t="str">
        <f>IF(AND($A85&lt;=IF(Calc!$C$36=999,360,Calc!$C$36),Calc!$C$14=1),CHOOSE(Calc!$C$3,INDEX('Snowball Engine'!$AH87:$AV87,Calc!$I$14),INDEX('Avalanche Engine'!$AH87:$AV87,Calc!$J$14),INDEX('My Order Engine'!$AH87:$AV87,Calc!$K$14)),"")</f>
        <v/>
      </c>
      <c r="L85" s="25" t="str">
        <f>IF(AND($A85&lt;=IF(Calc!$C$36=999,360,Calc!$C$36),Calc!$C$15=1),CHOOSE(Calc!$C$3,INDEX('Snowball Engine'!$AH87:$AV87,Calc!$I$15),INDEX('Avalanche Engine'!$AH87:$AV87,Calc!$J$15),INDEX('My Order Engine'!$AH87:$AV87,Calc!$K$15)),"")</f>
        <v/>
      </c>
      <c r="M85" s="25" t="str">
        <f>IF(AND($A85&lt;=IF(Calc!$C$36=999,360,Calc!$C$36),Calc!$C$16=1),CHOOSE(Calc!$C$3,INDEX('Snowball Engine'!$AH87:$AV87,Calc!$I$16),INDEX('Avalanche Engine'!$AH87:$AV87,Calc!$J$16),INDEX('My Order Engine'!$AH87:$AV87,Calc!$K$16)),"")</f>
        <v/>
      </c>
      <c r="N85" s="25" t="str">
        <f>IF(AND($A85&lt;=IF(Calc!$C$36=999,360,Calc!$C$36),Calc!$C$17=1),CHOOSE(Calc!$C$3,INDEX('Snowball Engine'!$AH87:$AV87,Calc!$I$17),INDEX('Avalanche Engine'!$AH87:$AV87,Calc!$J$17),INDEX('My Order Engine'!$AH87:$AV87,Calc!$K$17)),"")</f>
        <v/>
      </c>
      <c r="O85" s="25" t="str">
        <f>IF(AND($A85&lt;=IF(Calc!$C$36=999,360,Calc!$C$36),Calc!$C$18=1),CHOOSE(Calc!$C$3,INDEX('Snowball Engine'!$AH87:$AV87,Calc!$I$18),INDEX('Avalanche Engine'!$AH87:$AV87,Calc!$J$18),INDEX('My Order Engine'!$AH87:$AV87,Calc!$K$18)),"")</f>
        <v/>
      </c>
      <c r="P85" s="25" t="str">
        <f>IF(AND($A85&lt;=IF(Calc!$C$36=999,360,Calc!$C$36),Calc!$C$19=1),CHOOSE(Calc!$C$3,INDEX('Snowball Engine'!$AH87:$AV87,Calc!$I$19),INDEX('Avalanche Engine'!$AH87:$AV87,Calc!$J$19),INDEX('My Order Engine'!$AH87:$AV87,Calc!$K$19)),"")</f>
        <v/>
      </c>
      <c r="Q85" s="25" t="str">
        <f>IF(AND($A85&lt;=IF(Calc!$C$36=999,360,Calc!$C$36),Calc!$C$20=1),CHOOSE(Calc!$C$3,INDEX('Snowball Engine'!$AH87:$AV87,Calc!$I$20),INDEX('Avalanche Engine'!$AH87:$AV87,Calc!$J$20),INDEX('My Order Engine'!$AH87:$AV87,Calc!$K$20)),"")</f>
        <v/>
      </c>
      <c r="R85" s="25" t="str">
        <f>IF(AND($A85&lt;=IF(Calc!$C$36=999,360,Calc!$C$36),Calc!$C$21=1),CHOOSE(Calc!$C$3,INDEX('Snowball Engine'!$AH87:$AV87,Calc!$I$21),INDEX('Avalanche Engine'!$AH87:$AV87,Calc!$J$21),INDEX('My Order Engine'!$AH87:$AV87,Calc!$K$21)),"")</f>
        <v/>
      </c>
      <c r="S85" s="25" t="str">
        <f>IF(AND($A85&lt;=IF(Calc!$C$36=999,360,Calc!$C$36),Calc!$C$22=1),CHOOSE(Calc!$C$3,INDEX('Snowball Engine'!$AH87:$AV87,Calc!$I$22),INDEX('Avalanche Engine'!$AH87:$AV87,Calc!$J$22),INDEX('My Order Engine'!$AH87:$AV87,Calc!$K$22)),"")</f>
        <v/>
      </c>
      <c r="T85" s="25" t="str">
        <f>IF(AND($A85&lt;=IF(Calc!$C$36=999,360,Calc!$C$36),Calc!$C$23=1),CHOOSE(Calc!$C$3,INDEX('Snowball Engine'!$AH87:$AV87,Calc!$I$23),INDEX('Avalanche Engine'!$AH87:$AV87,Calc!$J$23),INDEX('My Order Engine'!$AH87:$AV87,Calc!$K$23)),"")</f>
        <v/>
      </c>
      <c r="U85" s="25" t="str">
        <f>IF(AND($A85&lt;=IF(Calc!$C$36=999,360,Calc!$C$36),Calc!$C$24=1),CHOOSE(Calc!$C$3,INDEX('Snowball Engine'!$AH87:$AV87,Calc!$I$24),INDEX('Avalanche Engine'!$AH87:$AV87,Calc!$J$24),INDEX('My Order Engine'!$AH87:$AV87,Calc!$K$24)),"")</f>
        <v/>
      </c>
    </row>
    <row r="86" spans="1:21" x14ac:dyDescent="0.35">
      <c r="A86" s="23">
        <v>82</v>
      </c>
      <c r="B86" s="24" t="str">
        <f>IF($A86&lt;=IF(Calc!$C$36=999,360,Calc!$C$36),EDATE(Calc!$C$5,A86-1),"")</f>
        <v/>
      </c>
      <c r="C86" s="25" t="str">
        <f>IF($A86&lt;=IF(Calc!$C$36=999,360,Calc!$C$36),CHOOSE(Calc!$C$3,'Snowball Engine'!AY88,'Avalanche Engine'!AY88,'My Order Engine'!AY88),"")</f>
        <v/>
      </c>
      <c r="D86" s="25" t="str">
        <f>IF($A86&lt;=IF(Calc!$C$36=999,360,Calc!$C$36),CHOOSE(Calc!$C$3,'Snowball Engine'!AX88,'Avalanche Engine'!AX88,'My Order Engine'!AX88),"")</f>
        <v/>
      </c>
      <c r="E86" s="25" t="str">
        <f>IF($A86&lt;=IF(Calc!$C$36=999,360,Calc!$C$36),C86-D86,"")</f>
        <v/>
      </c>
      <c r="F86" s="25" t="str">
        <f>IF($A86&lt;=IF(Calc!$C$36=999,360,Calc!$C$36),CHOOSE(Calc!$C$3,'Snowball Engine'!AW88,'Avalanche Engine'!AW88,'My Order Engine'!AW88),"")</f>
        <v/>
      </c>
      <c r="G86" s="25" t="str">
        <f>IF(AND($A86&lt;=IF(Calc!$C$36=999,360,Calc!$C$36),Calc!$C$10=1),CHOOSE(Calc!$C$3,INDEX('Snowball Engine'!$AH88:$AV88,Calc!$I$10),INDEX('Avalanche Engine'!$AH88:$AV88,Calc!$J$10),INDEX('My Order Engine'!$AH88:$AV88,Calc!$K$10)),"")</f>
        <v/>
      </c>
      <c r="H86" s="25" t="str">
        <f>IF(AND($A86&lt;=IF(Calc!$C$36=999,360,Calc!$C$36),Calc!$C$11=1),CHOOSE(Calc!$C$3,INDEX('Snowball Engine'!$AH88:$AV88,Calc!$I$11),INDEX('Avalanche Engine'!$AH88:$AV88,Calc!$J$11),INDEX('My Order Engine'!$AH88:$AV88,Calc!$K$11)),"")</f>
        <v/>
      </c>
      <c r="I86" s="25" t="str">
        <f>IF(AND($A86&lt;=IF(Calc!$C$36=999,360,Calc!$C$36),Calc!$C$12=1),CHOOSE(Calc!$C$3,INDEX('Snowball Engine'!$AH88:$AV88,Calc!$I$12),INDEX('Avalanche Engine'!$AH88:$AV88,Calc!$J$12),INDEX('My Order Engine'!$AH88:$AV88,Calc!$K$12)),"")</f>
        <v/>
      </c>
      <c r="J86" s="25" t="str">
        <f>IF(AND($A86&lt;=IF(Calc!$C$36=999,360,Calc!$C$36),Calc!$C$13=1),CHOOSE(Calc!$C$3,INDEX('Snowball Engine'!$AH88:$AV88,Calc!$I$13),INDEX('Avalanche Engine'!$AH88:$AV88,Calc!$J$13),INDEX('My Order Engine'!$AH88:$AV88,Calc!$K$13)),"")</f>
        <v/>
      </c>
      <c r="K86" s="25" t="str">
        <f>IF(AND($A86&lt;=IF(Calc!$C$36=999,360,Calc!$C$36),Calc!$C$14=1),CHOOSE(Calc!$C$3,INDEX('Snowball Engine'!$AH88:$AV88,Calc!$I$14),INDEX('Avalanche Engine'!$AH88:$AV88,Calc!$J$14),INDEX('My Order Engine'!$AH88:$AV88,Calc!$K$14)),"")</f>
        <v/>
      </c>
      <c r="L86" s="25" t="str">
        <f>IF(AND($A86&lt;=IF(Calc!$C$36=999,360,Calc!$C$36),Calc!$C$15=1),CHOOSE(Calc!$C$3,INDEX('Snowball Engine'!$AH88:$AV88,Calc!$I$15),INDEX('Avalanche Engine'!$AH88:$AV88,Calc!$J$15),INDEX('My Order Engine'!$AH88:$AV88,Calc!$K$15)),"")</f>
        <v/>
      </c>
      <c r="M86" s="25" t="str">
        <f>IF(AND($A86&lt;=IF(Calc!$C$36=999,360,Calc!$C$36),Calc!$C$16=1),CHOOSE(Calc!$C$3,INDEX('Snowball Engine'!$AH88:$AV88,Calc!$I$16),INDEX('Avalanche Engine'!$AH88:$AV88,Calc!$J$16),INDEX('My Order Engine'!$AH88:$AV88,Calc!$K$16)),"")</f>
        <v/>
      </c>
      <c r="N86" s="25" t="str">
        <f>IF(AND($A86&lt;=IF(Calc!$C$36=999,360,Calc!$C$36),Calc!$C$17=1),CHOOSE(Calc!$C$3,INDEX('Snowball Engine'!$AH88:$AV88,Calc!$I$17),INDEX('Avalanche Engine'!$AH88:$AV88,Calc!$J$17),INDEX('My Order Engine'!$AH88:$AV88,Calc!$K$17)),"")</f>
        <v/>
      </c>
      <c r="O86" s="25" t="str">
        <f>IF(AND($A86&lt;=IF(Calc!$C$36=999,360,Calc!$C$36),Calc!$C$18=1),CHOOSE(Calc!$C$3,INDEX('Snowball Engine'!$AH88:$AV88,Calc!$I$18),INDEX('Avalanche Engine'!$AH88:$AV88,Calc!$J$18),INDEX('My Order Engine'!$AH88:$AV88,Calc!$K$18)),"")</f>
        <v/>
      </c>
      <c r="P86" s="25" t="str">
        <f>IF(AND($A86&lt;=IF(Calc!$C$36=999,360,Calc!$C$36),Calc!$C$19=1),CHOOSE(Calc!$C$3,INDEX('Snowball Engine'!$AH88:$AV88,Calc!$I$19),INDEX('Avalanche Engine'!$AH88:$AV88,Calc!$J$19),INDEX('My Order Engine'!$AH88:$AV88,Calc!$K$19)),"")</f>
        <v/>
      </c>
      <c r="Q86" s="25" t="str">
        <f>IF(AND($A86&lt;=IF(Calc!$C$36=999,360,Calc!$C$36),Calc!$C$20=1),CHOOSE(Calc!$C$3,INDEX('Snowball Engine'!$AH88:$AV88,Calc!$I$20),INDEX('Avalanche Engine'!$AH88:$AV88,Calc!$J$20),INDEX('My Order Engine'!$AH88:$AV88,Calc!$K$20)),"")</f>
        <v/>
      </c>
      <c r="R86" s="25" t="str">
        <f>IF(AND($A86&lt;=IF(Calc!$C$36=999,360,Calc!$C$36),Calc!$C$21=1),CHOOSE(Calc!$C$3,INDEX('Snowball Engine'!$AH88:$AV88,Calc!$I$21),INDEX('Avalanche Engine'!$AH88:$AV88,Calc!$J$21),INDEX('My Order Engine'!$AH88:$AV88,Calc!$K$21)),"")</f>
        <v/>
      </c>
      <c r="S86" s="25" t="str">
        <f>IF(AND($A86&lt;=IF(Calc!$C$36=999,360,Calc!$C$36),Calc!$C$22=1),CHOOSE(Calc!$C$3,INDEX('Snowball Engine'!$AH88:$AV88,Calc!$I$22),INDEX('Avalanche Engine'!$AH88:$AV88,Calc!$J$22),INDEX('My Order Engine'!$AH88:$AV88,Calc!$K$22)),"")</f>
        <v/>
      </c>
      <c r="T86" s="25" t="str">
        <f>IF(AND($A86&lt;=IF(Calc!$C$36=999,360,Calc!$C$36),Calc!$C$23=1),CHOOSE(Calc!$C$3,INDEX('Snowball Engine'!$AH88:$AV88,Calc!$I$23),INDEX('Avalanche Engine'!$AH88:$AV88,Calc!$J$23),INDEX('My Order Engine'!$AH88:$AV88,Calc!$K$23)),"")</f>
        <v/>
      </c>
      <c r="U86" s="25" t="str">
        <f>IF(AND($A86&lt;=IF(Calc!$C$36=999,360,Calc!$C$36),Calc!$C$24=1),CHOOSE(Calc!$C$3,INDEX('Snowball Engine'!$AH88:$AV88,Calc!$I$24),INDEX('Avalanche Engine'!$AH88:$AV88,Calc!$J$24),INDEX('My Order Engine'!$AH88:$AV88,Calc!$K$24)),"")</f>
        <v/>
      </c>
    </row>
    <row r="87" spans="1:21" x14ac:dyDescent="0.35">
      <c r="A87" s="23">
        <v>83</v>
      </c>
      <c r="B87" s="24" t="str">
        <f>IF($A87&lt;=IF(Calc!$C$36=999,360,Calc!$C$36),EDATE(Calc!$C$5,A87-1),"")</f>
        <v/>
      </c>
      <c r="C87" s="25" t="str">
        <f>IF($A87&lt;=IF(Calc!$C$36=999,360,Calc!$C$36),CHOOSE(Calc!$C$3,'Snowball Engine'!AY89,'Avalanche Engine'!AY89,'My Order Engine'!AY89),"")</f>
        <v/>
      </c>
      <c r="D87" s="25" t="str">
        <f>IF($A87&lt;=IF(Calc!$C$36=999,360,Calc!$C$36),CHOOSE(Calc!$C$3,'Snowball Engine'!AX89,'Avalanche Engine'!AX89,'My Order Engine'!AX89),"")</f>
        <v/>
      </c>
      <c r="E87" s="25" t="str">
        <f>IF($A87&lt;=IF(Calc!$C$36=999,360,Calc!$C$36),C87-D87,"")</f>
        <v/>
      </c>
      <c r="F87" s="25" t="str">
        <f>IF($A87&lt;=IF(Calc!$C$36=999,360,Calc!$C$36),CHOOSE(Calc!$C$3,'Snowball Engine'!AW89,'Avalanche Engine'!AW89,'My Order Engine'!AW89),"")</f>
        <v/>
      </c>
      <c r="G87" s="25" t="str">
        <f>IF(AND($A87&lt;=IF(Calc!$C$36=999,360,Calc!$C$36),Calc!$C$10=1),CHOOSE(Calc!$C$3,INDEX('Snowball Engine'!$AH89:$AV89,Calc!$I$10),INDEX('Avalanche Engine'!$AH89:$AV89,Calc!$J$10),INDEX('My Order Engine'!$AH89:$AV89,Calc!$K$10)),"")</f>
        <v/>
      </c>
      <c r="H87" s="25" t="str">
        <f>IF(AND($A87&lt;=IF(Calc!$C$36=999,360,Calc!$C$36),Calc!$C$11=1),CHOOSE(Calc!$C$3,INDEX('Snowball Engine'!$AH89:$AV89,Calc!$I$11),INDEX('Avalanche Engine'!$AH89:$AV89,Calc!$J$11),INDEX('My Order Engine'!$AH89:$AV89,Calc!$K$11)),"")</f>
        <v/>
      </c>
      <c r="I87" s="25" t="str">
        <f>IF(AND($A87&lt;=IF(Calc!$C$36=999,360,Calc!$C$36),Calc!$C$12=1),CHOOSE(Calc!$C$3,INDEX('Snowball Engine'!$AH89:$AV89,Calc!$I$12),INDEX('Avalanche Engine'!$AH89:$AV89,Calc!$J$12),INDEX('My Order Engine'!$AH89:$AV89,Calc!$K$12)),"")</f>
        <v/>
      </c>
      <c r="J87" s="25" t="str">
        <f>IF(AND($A87&lt;=IF(Calc!$C$36=999,360,Calc!$C$36),Calc!$C$13=1),CHOOSE(Calc!$C$3,INDEX('Snowball Engine'!$AH89:$AV89,Calc!$I$13),INDEX('Avalanche Engine'!$AH89:$AV89,Calc!$J$13),INDEX('My Order Engine'!$AH89:$AV89,Calc!$K$13)),"")</f>
        <v/>
      </c>
      <c r="K87" s="25" t="str">
        <f>IF(AND($A87&lt;=IF(Calc!$C$36=999,360,Calc!$C$36),Calc!$C$14=1),CHOOSE(Calc!$C$3,INDEX('Snowball Engine'!$AH89:$AV89,Calc!$I$14),INDEX('Avalanche Engine'!$AH89:$AV89,Calc!$J$14),INDEX('My Order Engine'!$AH89:$AV89,Calc!$K$14)),"")</f>
        <v/>
      </c>
      <c r="L87" s="25" t="str">
        <f>IF(AND($A87&lt;=IF(Calc!$C$36=999,360,Calc!$C$36),Calc!$C$15=1),CHOOSE(Calc!$C$3,INDEX('Snowball Engine'!$AH89:$AV89,Calc!$I$15),INDEX('Avalanche Engine'!$AH89:$AV89,Calc!$J$15),INDEX('My Order Engine'!$AH89:$AV89,Calc!$K$15)),"")</f>
        <v/>
      </c>
      <c r="M87" s="25" t="str">
        <f>IF(AND($A87&lt;=IF(Calc!$C$36=999,360,Calc!$C$36),Calc!$C$16=1),CHOOSE(Calc!$C$3,INDEX('Snowball Engine'!$AH89:$AV89,Calc!$I$16),INDEX('Avalanche Engine'!$AH89:$AV89,Calc!$J$16),INDEX('My Order Engine'!$AH89:$AV89,Calc!$K$16)),"")</f>
        <v/>
      </c>
      <c r="N87" s="25" t="str">
        <f>IF(AND($A87&lt;=IF(Calc!$C$36=999,360,Calc!$C$36),Calc!$C$17=1),CHOOSE(Calc!$C$3,INDEX('Snowball Engine'!$AH89:$AV89,Calc!$I$17),INDEX('Avalanche Engine'!$AH89:$AV89,Calc!$J$17),INDEX('My Order Engine'!$AH89:$AV89,Calc!$K$17)),"")</f>
        <v/>
      </c>
      <c r="O87" s="25" t="str">
        <f>IF(AND($A87&lt;=IF(Calc!$C$36=999,360,Calc!$C$36),Calc!$C$18=1),CHOOSE(Calc!$C$3,INDEX('Snowball Engine'!$AH89:$AV89,Calc!$I$18),INDEX('Avalanche Engine'!$AH89:$AV89,Calc!$J$18),INDEX('My Order Engine'!$AH89:$AV89,Calc!$K$18)),"")</f>
        <v/>
      </c>
      <c r="P87" s="25" t="str">
        <f>IF(AND($A87&lt;=IF(Calc!$C$36=999,360,Calc!$C$36),Calc!$C$19=1),CHOOSE(Calc!$C$3,INDEX('Snowball Engine'!$AH89:$AV89,Calc!$I$19),INDEX('Avalanche Engine'!$AH89:$AV89,Calc!$J$19),INDEX('My Order Engine'!$AH89:$AV89,Calc!$K$19)),"")</f>
        <v/>
      </c>
      <c r="Q87" s="25" t="str">
        <f>IF(AND($A87&lt;=IF(Calc!$C$36=999,360,Calc!$C$36),Calc!$C$20=1),CHOOSE(Calc!$C$3,INDEX('Snowball Engine'!$AH89:$AV89,Calc!$I$20),INDEX('Avalanche Engine'!$AH89:$AV89,Calc!$J$20),INDEX('My Order Engine'!$AH89:$AV89,Calc!$K$20)),"")</f>
        <v/>
      </c>
      <c r="R87" s="25" t="str">
        <f>IF(AND($A87&lt;=IF(Calc!$C$36=999,360,Calc!$C$36),Calc!$C$21=1),CHOOSE(Calc!$C$3,INDEX('Snowball Engine'!$AH89:$AV89,Calc!$I$21),INDEX('Avalanche Engine'!$AH89:$AV89,Calc!$J$21),INDEX('My Order Engine'!$AH89:$AV89,Calc!$K$21)),"")</f>
        <v/>
      </c>
      <c r="S87" s="25" t="str">
        <f>IF(AND($A87&lt;=IF(Calc!$C$36=999,360,Calc!$C$36),Calc!$C$22=1),CHOOSE(Calc!$C$3,INDEX('Snowball Engine'!$AH89:$AV89,Calc!$I$22),INDEX('Avalanche Engine'!$AH89:$AV89,Calc!$J$22),INDEX('My Order Engine'!$AH89:$AV89,Calc!$K$22)),"")</f>
        <v/>
      </c>
      <c r="T87" s="25" t="str">
        <f>IF(AND($A87&lt;=IF(Calc!$C$36=999,360,Calc!$C$36),Calc!$C$23=1),CHOOSE(Calc!$C$3,INDEX('Snowball Engine'!$AH89:$AV89,Calc!$I$23),INDEX('Avalanche Engine'!$AH89:$AV89,Calc!$J$23),INDEX('My Order Engine'!$AH89:$AV89,Calc!$K$23)),"")</f>
        <v/>
      </c>
      <c r="U87" s="25" t="str">
        <f>IF(AND($A87&lt;=IF(Calc!$C$36=999,360,Calc!$C$36),Calc!$C$24=1),CHOOSE(Calc!$C$3,INDEX('Snowball Engine'!$AH89:$AV89,Calc!$I$24),INDEX('Avalanche Engine'!$AH89:$AV89,Calc!$J$24),INDEX('My Order Engine'!$AH89:$AV89,Calc!$K$24)),"")</f>
        <v/>
      </c>
    </row>
    <row r="88" spans="1:21" x14ac:dyDescent="0.35">
      <c r="A88" s="23">
        <v>84</v>
      </c>
      <c r="B88" s="24" t="str">
        <f>IF($A88&lt;=IF(Calc!$C$36=999,360,Calc!$C$36),EDATE(Calc!$C$5,A88-1),"")</f>
        <v/>
      </c>
      <c r="C88" s="25" t="str">
        <f>IF($A88&lt;=IF(Calc!$C$36=999,360,Calc!$C$36),CHOOSE(Calc!$C$3,'Snowball Engine'!AY90,'Avalanche Engine'!AY90,'My Order Engine'!AY90),"")</f>
        <v/>
      </c>
      <c r="D88" s="25" t="str">
        <f>IF($A88&lt;=IF(Calc!$C$36=999,360,Calc!$C$36),CHOOSE(Calc!$C$3,'Snowball Engine'!AX90,'Avalanche Engine'!AX90,'My Order Engine'!AX90),"")</f>
        <v/>
      </c>
      <c r="E88" s="25" t="str">
        <f>IF($A88&lt;=IF(Calc!$C$36=999,360,Calc!$C$36),C88-D88,"")</f>
        <v/>
      </c>
      <c r="F88" s="25" t="str">
        <f>IF($A88&lt;=IF(Calc!$C$36=999,360,Calc!$C$36),CHOOSE(Calc!$C$3,'Snowball Engine'!AW90,'Avalanche Engine'!AW90,'My Order Engine'!AW90),"")</f>
        <v/>
      </c>
      <c r="G88" s="25" t="str">
        <f>IF(AND($A88&lt;=IF(Calc!$C$36=999,360,Calc!$C$36),Calc!$C$10=1),CHOOSE(Calc!$C$3,INDEX('Snowball Engine'!$AH90:$AV90,Calc!$I$10),INDEX('Avalanche Engine'!$AH90:$AV90,Calc!$J$10),INDEX('My Order Engine'!$AH90:$AV90,Calc!$K$10)),"")</f>
        <v/>
      </c>
      <c r="H88" s="25" t="str">
        <f>IF(AND($A88&lt;=IF(Calc!$C$36=999,360,Calc!$C$36),Calc!$C$11=1),CHOOSE(Calc!$C$3,INDEX('Snowball Engine'!$AH90:$AV90,Calc!$I$11),INDEX('Avalanche Engine'!$AH90:$AV90,Calc!$J$11),INDEX('My Order Engine'!$AH90:$AV90,Calc!$K$11)),"")</f>
        <v/>
      </c>
      <c r="I88" s="25" t="str">
        <f>IF(AND($A88&lt;=IF(Calc!$C$36=999,360,Calc!$C$36),Calc!$C$12=1),CHOOSE(Calc!$C$3,INDEX('Snowball Engine'!$AH90:$AV90,Calc!$I$12),INDEX('Avalanche Engine'!$AH90:$AV90,Calc!$J$12),INDEX('My Order Engine'!$AH90:$AV90,Calc!$K$12)),"")</f>
        <v/>
      </c>
      <c r="J88" s="25" t="str">
        <f>IF(AND($A88&lt;=IF(Calc!$C$36=999,360,Calc!$C$36),Calc!$C$13=1),CHOOSE(Calc!$C$3,INDEX('Snowball Engine'!$AH90:$AV90,Calc!$I$13),INDEX('Avalanche Engine'!$AH90:$AV90,Calc!$J$13),INDEX('My Order Engine'!$AH90:$AV90,Calc!$K$13)),"")</f>
        <v/>
      </c>
      <c r="K88" s="25" t="str">
        <f>IF(AND($A88&lt;=IF(Calc!$C$36=999,360,Calc!$C$36),Calc!$C$14=1),CHOOSE(Calc!$C$3,INDEX('Snowball Engine'!$AH90:$AV90,Calc!$I$14),INDEX('Avalanche Engine'!$AH90:$AV90,Calc!$J$14),INDEX('My Order Engine'!$AH90:$AV90,Calc!$K$14)),"")</f>
        <v/>
      </c>
      <c r="L88" s="25" t="str">
        <f>IF(AND($A88&lt;=IF(Calc!$C$36=999,360,Calc!$C$36),Calc!$C$15=1),CHOOSE(Calc!$C$3,INDEX('Snowball Engine'!$AH90:$AV90,Calc!$I$15),INDEX('Avalanche Engine'!$AH90:$AV90,Calc!$J$15),INDEX('My Order Engine'!$AH90:$AV90,Calc!$K$15)),"")</f>
        <v/>
      </c>
      <c r="M88" s="25" t="str">
        <f>IF(AND($A88&lt;=IF(Calc!$C$36=999,360,Calc!$C$36),Calc!$C$16=1),CHOOSE(Calc!$C$3,INDEX('Snowball Engine'!$AH90:$AV90,Calc!$I$16),INDEX('Avalanche Engine'!$AH90:$AV90,Calc!$J$16),INDEX('My Order Engine'!$AH90:$AV90,Calc!$K$16)),"")</f>
        <v/>
      </c>
      <c r="N88" s="25" t="str">
        <f>IF(AND($A88&lt;=IF(Calc!$C$36=999,360,Calc!$C$36),Calc!$C$17=1),CHOOSE(Calc!$C$3,INDEX('Snowball Engine'!$AH90:$AV90,Calc!$I$17),INDEX('Avalanche Engine'!$AH90:$AV90,Calc!$J$17),INDEX('My Order Engine'!$AH90:$AV90,Calc!$K$17)),"")</f>
        <v/>
      </c>
      <c r="O88" s="25" t="str">
        <f>IF(AND($A88&lt;=IF(Calc!$C$36=999,360,Calc!$C$36),Calc!$C$18=1),CHOOSE(Calc!$C$3,INDEX('Snowball Engine'!$AH90:$AV90,Calc!$I$18),INDEX('Avalanche Engine'!$AH90:$AV90,Calc!$J$18),INDEX('My Order Engine'!$AH90:$AV90,Calc!$K$18)),"")</f>
        <v/>
      </c>
      <c r="P88" s="25" t="str">
        <f>IF(AND($A88&lt;=IF(Calc!$C$36=999,360,Calc!$C$36),Calc!$C$19=1),CHOOSE(Calc!$C$3,INDEX('Snowball Engine'!$AH90:$AV90,Calc!$I$19),INDEX('Avalanche Engine'!$AH90:$AV90,Calc!$J$19),INDEX('My Order Engine'!$AH90:$AV90,Calc!$K$19)),"")</f>
        <v/>
      </c>
      <c r="Q88" s="25" t="str">
        <f>IF(AND($A88&lt;=IF(Calc!$C$36=999,360,Calc!$C$36),Calc!$C$20=1),CHOOSE(Calc!$C$3,INDEX('Snowball Engine'!$AH90:$AV90,Calc!$I$20),INDEX('Avalanche Engine'!$AH90:$AV90,Calc!$J$20),INDEX('My Order Engine'!$AH90:$AV90,Calc!$K$20)),"")</f>
        <v/>
      </c>
      <c r="R88" s="25" t="str">
        <f>IF(AND($A88&lt;=IF(Calc!$C$36=999,360,Calc!$C$36),Calc!$C$21=1),CHOOSE(Calc!$C$3,INDEX('Snowball Engine'!$AH90:$AV90,Calc!$I$21),INDEX('Avalanche Engine'!$AH90:$AV90,Calc!$J$21),INDEX('My Order Engine'!$AH90:$AV90,Calc!$K$21)),"")</f>
        <v/>
      </c>
      <c r="S88" s="25" t="str">
        <f>IF(AND($A88&lt;=IF(Calc!$C$36=999,360,Calc!$C$36),Calc!$C$22=1),CHOOSE(Calc!$C$3,INDEX('Snowball Engine'!$AH90:$AV90,Calc!$I$22),INDEX('Avalanche Engine'!$AH90:$AV90,Calc!$J$22),INDEX('My Order Engine'!$AH90:$AV90,Calc!$K$22)),"")</f>
        <v/>
      </c>
      <c r="T88" s="25" t="str">
        <f>IF(AND($A88&lt;=IF(Calc!$C$36=999,360,Calc!$C$36),Calc!$C$23=1),CHOOSE(Calc!$C$3,INDEX('Snowball Engine'!$AH90:$AV90,Calc!$I$23),INDEX('Avalanche Engine'!$AH90:$AV90,Calc!$J$23),INDEX('My Order Engine'!$AH90:$AV90,Calc!$K$23)),"")</f>
        <v/>
      </c>
      <c r="U88" s="25" t="str">
        <f>IF(AND($A88&lt;=IF(Calc!$C$36=999,360,Calc!$C$36),Calc!$C$24=1),CHOOSE(Calc!$C$3,INDEX('Snowball Engine'!$AH90:$AV90,Calc!$I$24),INDEX('Avalanche Engine'!$AH90:$AV90,Calc!$J$24),INDEX('My Order Engine'!$AH90:$AV90,Calc!$K$24)),"")</f>
        <v/>
      </c>
    </row>
    <row r="89" spans="1:21" x14ac:dyDescent="0.35">
      <c r="A89" s="23">
        <v>85</v>
      </c>
      <c r="B89" s="24" t="str">
        <f>IF($A89&lt;=IF(Calc!$C$36=999,360,Calc!$C$36),EDATE(Calc!$C$5,A89-1),"")</f>
        <v/>
      </c>
      <c r="C89" s="25" t="str">
        <f>IF($A89&lt;=IF(Calc!$C$36=999,360,Calc!$C$36),CHOOSE(Calc!$C$3,'Snowball Engine'!AY91,'Avalanche Engine'!AY91,'My Order Engine'!AY91),"")</f>
        <v/>
      </c>
      <c r="D89" s="25" t="str">
        <f>IF($A89&lt;=IF(Calc!$C$36=999,360,Calc!$C$36),CHOOSE(Calc!$C$3,'Snowball Engine'!AX91,'Avalanche Engine'!AX91,'My Order Engine'!AX91),"")</f>
        <v/>
      </c>
      <c r="E89" s="25" t="str">
        <f>IF($A89&lt;=IF(Calc!$C$36=999,360,Calc!$C$36),C89-D89,"")</f>
        <v/>
      </c>
      <c r="F89" s="25" t="str">
        <f>IF($A89&lt;=IF(Calc!$C$36=999,360,Calc!$C$36),CHOOSE(Calc!$C$3,'Snowball Engine'!AW91,'Avalanche Engine'!AW91,'My Order Engine'!AW91),"")</f>
        <v/>
      </c>
      <c r="G89" s="25" t="str">
        <f>IF(AND($A89&lt;=IF(Calc!$C$36=999,360,Calc!$C$36),Calc!$C$10=1),CHOOSE(Calc!$C$3,INDEX('Snowball Engine'!$AH91:$AV91,Calc!$I$10),INDEX('Avalanche Engine'!$AH91:$AV91,Calc!$J$10),INDEX('My Order Engine'!$AH91:$AV91,Calc!$K$10)),"")</f>
        <v/>
      </c>
      <c r="H89" s="25" t="str">
        <f>IF(AND($A89&lt;=IF(Calc!$C$36=999,360,Calc!$C$36),Calc!$C$11=1),CHOOSE(Calc!$C$3,INDEX('Snowball Engine'!$AH91:$AV91,Calc!$I$11),INDEX('Avalanche Engine'!$AH91:$AV91,Calc!$J$11),INDEX('My Order Engine'!$AH91:$AV91,Calc!$K$11)),"")</f>
        <v/>
      </c>
      <c r="I89" s="25" t="str">
        <f>IF(AND($A89&lt;=IF(Calc!$C$36=999,360,Calc!$C$36),Calc!$C$12=1),CHOOSE(Calc!$C$3,INDEX('Snowball Engine'!$AH91:$AV91,Calc!$I$12),INDEX('Avalanche Engine'!$AH91:$AV91,Calc!$J$12),INDEX('My Order Engine'!$AH91:$AV91,Calc!$K$12)),"")</f>
        <v/>
      </c>
      <c r="J89" s="25" t="str">
        <f>IF(AND($A89&lt;=IF(Calc!$C$36=999,360,Calc!$C$36),Calc!$C$13=1),CHOOSE(Calc!$C$3,INDEX('Snowball Engine'!$AH91:$AV91,Calc!$I$13),INDEX('Avalanche Engine'!$AH91:$AV91,Calc!$J$13),INDEX('My Order Engine'!$AH91:$AV91,Calc!$K$13)),"")</f>
        <v/>
      </c>
      <c r="K89" s="25" t="str">
        <f>IF(AND($A89&lt;=IF(Calc!$C$36=999,360,Calc!$C$36),Calc!$C$14=1),CHOOSE(Calc!$C$3,INDEX('Snowball Engine'!$AH91:$AV91,Calc!$I$14),INDEX('Avalanche Engine'!$AH91:$AV91,Calc!$J$14),INDEX('My Order Engine'!$AH91:$AV91,Calc!$K$14)),"")</f>
        <v/>
      </c>
      <c r="L89" s="25" t="str">
        <f>IF(AND($A89&lt;=IF(Calc!$C$36=999,360,Calc!$C$36),Calc!$C$15=1),CHOOSE(Calc!$C$3,INDEX('Snowball Engine'!$AH91:$AV91,Calc!$I$15),INDEX('Avalanche Engine'!$AH91:$AV91,Calc!$J$15),INDEX('My Order Engine'!$AH91:$AV91,Calc!$K$15)),"")</f>
        <v/>
      </c>
      <c r="M89" s="25" t="str">
        <f>IF(AND($A89&lt;=IF(Calc!$C$36=999,360,Calc!$C$36),Calc!$C$16=1),CHOOSE(Calc!$C$3,INDEX('Snowball Engine'!$AH91:$AV91,Calc!$I$16),INDEX('Avalanche Engine'!$AH91:$AV91,Calc!$J$16),INDEX('My Order Engine'!$AH91:$AV91,Calc!$K$16)),"")</f>
        <v/>
      </c>
      <c r="N89" s="25" t="str">
        <f>IF(AND($A89&lt;=IF(Calc!$C$36=999,360,Calc!$C$36),Calc!$C$17=1),CHOOSE(Calc!$C$3,INDEX('Snowball Engine'!$AH91:$AV91,Calc!$I$17),INDEX('Avalanche Engine'!$AH91:$AV91,Calc!$J$17),INDEX('My Order Engine'!$AH91:$AV91,Calc!$K$17)),"")</f>
        <v/>
      </c>
      <c r="O89" s="25" t="str">
        <f>IF(AND($A89&lt;=IF(Calc!$C$36=999,360,Calc!$C$36),Calc!$C$18=1),CHOOSE(Calc!$C$3,INDEX('Snowball Engine'!$AH91:$AV91,Calc!$I$18),INDEX('Avalanche Engine'!$AH91:$AV91,Calc!$J$18),INDEX('My Order Engine'!$AH91:$AV91,Calc!$K$18)),"")</f>
        <v/>
      </c>
      <c r="P89" s="25" t="str">
        <f>IF(AND($A89&lt;=IF(Calc!$C$36=999,360,Calc!$C$36),Calc!$C$19=1),CHOOSE(Calc!$C$3,INDEX('Snowball Engine'!$AH91:$AV91,Calc!$I$19),INDEX('Avalanche Engine'!$AH91:$AV91,Calc!$J$19),INDEX('My Order Engine'!$AH91:$AV91,Calc!$K$19)),"")</f>
        <v/>
      </c>
      <c r="Q89" s="25" t="str">
        <f>IF(AND($A89&lt;=IF(Calc!$C$36=999,360,Calc!$C$36),Calc!$C$20=1),CHOOSE(Calc!$C$3,INDEX('Snowball Engine'!$AH91:$AV91,Calc!$I$20),INDEX('Avalanche Engine'!$AH91:$AV91,Calc!$J$20),INDEX('My Order Engine'!$AH91:$AV91,Calc!$K$20)),"")</f>
        <v/>
      </c>
      <c r="R89" s="25" t="str">
        <f>IF(AND($A89&lt;=IF(Calc!$C$36=999,360,Calc!$C$36),Calc!$C$21=1),CHOOSE(Calc!$C$3,INDEX('Snowball Engine'!$AH91:$AV91,Calc!$I$21),INDEX('Avalanche Engine'!$AH91:$AV91,Calc!$J$21),INDEX('My Order Engine'!$AH91:$AV91,Calc!$K$21)),"")</f>
        <v/>
      </c>
      <c r="S89" s="25" t="str">
        <f>IF(AND($A89&lt;=IF(Calc!$C$36=999,360,Calc!$C$36),Calc!$C$22=1),CHOOSE(Calc!$C$3,INDEX('Snowball Engine'!$AH91:$AV91,Calc!$I$22),INDEX('Avalanche Engine'!$AH91:$AV91,Calc!$J$22),INDEX('My Order Engine'!$AH91:$AV91,Calc!$K$22)),"")</f>
        <v/>
      </c>
      <c r="T89" s="25" t="str">
        <f>IF(AND($A89&lt;=IF(Calc!$C$36=999,360,Calc!$C$36),Calc!$C$23=1),CHOOSE(Calc!$C$3,INDEX('Snowball Engine'!$AH91:$AV91,Calc!$I$23),INDEX('Avalanche Engine'!$AH91:$AV91,Calc!$J$23),INDEX('My Order Engine'!$AH91:$AV91,Calc!$K$23)),"")</f>
        <v/>
      </c>
      <c r="U89" s="25" t="str">
        <f>IF(AND($A89&lt;=IF(Calc!$C$36=999,360,Calc!$C$36),Calc!$C$24=1),CHOOSE(Calc!$C$3,INDEX('Snowball Engine'!$AH91:$AV91,Calc!$I$24),INDEX('Avalanche Engine'!$AH91:$AV91,Calc!$J$24),INDEX('My Order Engine'!$AH91:$AV91,Calc!$K$24)),"")</f>
        <v/>
      </c>
    </row>
    <row r="90" spans="1:21" x14ac:dyDescent="0.35">
      <c r="A90" s="23">
        <v>86</v>
      </c>
      <c r="B90" s="24" t="str">
        <f>IF($A90&lt;=IF(Calc!$C$36=999,360,Calc!$C$36),EDATE(Calc!$C$5,A90-1),"")</f>
        <v/>
      </c>
      <c r="C90" s="25" t="str">
        <f>IF($A90&lt;=IF(Calc!$C$36=999,360,Calc!$C$36),CHOOSE(Calc!$C$3,'Snowball Engine'!AY92,'Avalanche Engine'!AY92,'My Order Engine'!AY92),"")</f>
        <v/>
      </c>
      <c r="D90" s="25" t="str">
        <f>IF($A90&lt;=IF(Calc!$C$36=999,360,Calc!$C$36),CHOOSE(Calc!$C$3,'Snowball Engine'!AX92,'Avalanche Engine'!AX92,'My Order Engine'!AX92),"")</f>
        <v/>
      </c>
      <c r="E90" s="25" t="str">
        <f>IF($A90&lt;=IF(Calc!$C$36=999,360,Calc!$C$36),C90-D90,"")</f>
        <v/>
      </c>
      <c r="F90" s="25" t="str">
        <f>IF($A90&lt;=IF(Calc!$C$36=999,360,Calc!$C$36),CHOOSE(Calc!$C$3,'Snowball Engine'!AW92,'Avalanche Engine'!AW92,'My Order Engine'!AW92),"")</f>
        <v/>
      </c>
      <c r="G90" s="25" t="str">
        <f>IF(AND($A90&lt;=IF(Calc!$C$36=999,360,Calc!$C$36),Calc!$C$10=1),CHOOSE(Calc!$C$3,INDEX('Snowball Engine'!$AH92:$AV92,Calc!$I$10),INDEX('Avalanche Engine'!$AH92:$AV92,Calc!$J$10),INDEX('My Order Engine'!$AH92:$AV92,Calc!$K$10)),"")</f>
        <v/>
      </c>
      <c r="H90" s="25" t="str">
        <f>IF(AND($A90&lt;=IF(Calc!$C$36=999,360,Calc!$C$36),Calc!$C$11=1),CHOOSE(Calc!$C$3,INDEX('Snowball Engine'!$AH92:$AV92,Calc!$I$11),INDEX('Avalanche Engine'!$AH92:$AV92,Calc!$J$11),INDEX('My Order Engine'!$AH92:$AV92,Calc!$K$11)),"")</f>
        <v/>
      </c>
      <c r="I90" s="25" t="str">
        <f>IF(AND($A90&lt;=IF(Calc!$C$36=999,360,Calc!$C$36),Calc!$C$12=1),CHOOSE(Calc!$C$3,INDEX('Snowball Engine'!$AH92:$AV92,Calc!$I$12),INDEX('Avalanche Engine'!$AH92:$AV92,Calc!$J$12),INDEX('My Order Engine'!$AH92:$AV92,Calc!$K$12)),"")</f>
        <v/>
      </c>
      <c r="J90" s="25" t="str">
        <f>IF(AND($A90&lt;=IF(Calc!$C$36=999,360,Calc!$C$36),Calc!$C$13=1),CHOOSE(Calc!$C$3,INDEX('Snowball Engine'!$AH92:$AV92,Calc!$I$13),INDEX('Avalanche Engine'!$AH92:$AV92,Calc!$J$13),INDEX('My Order Engine'!$AH92:$AV92,Calc!$K$13)),"")</f>
        <v/>
      </c>
      <c r="K90" s="25" t="str">
        <f>IF(AND($A90&lt;=IF(Calc!$C$36=999,360,Calc!$C$36),Calc!$C$14=1),CHOOSE(Calc!$C$3,INDEX('Snowball Engine'!$AH92:$AV92,Calc!$I$14),INDEX('Avalanche Engine'!$AH92:$AV92,Calc!$J$14),INDEX('My Order Engine'!$AH92:$AV92,Calc!$K$14)),"")</f>
        <v/>
      </c>
      <c r="L90" s="25" t="str">
        <f>IF(AND($A90&lt;=IF(Calc!$C$36=999,360,Calc!$C$36),Calc!$C$15=1),CHOOSE(Calc!$C$3,INDEX('Snowball Engine'!$AH92:$AV92,Calc!$I$15),INDEX('Avalanche Engine'!$AH92:$AV92,Calc!$J$15),INDEX('My Order Engine'!$AH92:$AV92,Calc!$K$15)),"")</f>
        <v/>
      </c>
      <c r="M90" s="25" t="str">
        <f>IF(AND($A90&lt;=IF(Calc!$C$36=999,360,Calc!$C$36),Calc!$C$16=1),CHOOSE(Calc!$C$3,INDEX('Snowball Engine'!$AH92:$AV92,Calc!$I$16),INDEX('Avalanche Engine'!$AH92:$AV92,Calc!$J$16),INDEX('My Order Engine'!$AH92:$AV92,Calc!$K$16)),"")</f>
        <v/>
      </c>
      <c r="N90" s="25" t="str">
        <f>IF(AND($A90&lt;=IF(Calc!$C$36=999,360,Calc!$C$36),Calc!$C$17=1),CHOOSE(Calc!$C$3,INDEX('Snowball Engine'!$AH92:$AV92,Calc!$I$17),INDEX('Avalanche Engine'!$AH92:$AV92,Calc!$J$17),INDEX('My Order Engine'!$AH92:$AV92,Calc!$K$17)),"")</f>
        <v/>
      </c>
      <c r="O90" s="25" t="str">
        <f>IF(AND($A90&lt;=IF(Calc!$C$36=999,360,Calc!$C$36),Calc!$C$18=1),CHOOSE(Calc!$C$3,INDEX('Snowball Engine'!$AH92:$AV92,Calc!$I$18),INDEX('Avalanche Engine'!$AH92:$AV92,Calc!$J$18),INDEX('My Order Engine'!$AH92:$AV92,Calc!$K$18)),"")</f>
        <v/>
      </c>
      <c r="P90" s="25" t="str">
        <f>IF(AND($A90&lt;=IF(Calc!$C$36=999,360,Calc!$C$36),Calc!$C$19=1),CHOOSE(Calc!$C$3,INDEX('Snowball Engine'!$AH92:$AV92,Calc!$I$19),INDEX('Avalanche Engine'!$AH92:$AV92,Calc!$J$19),INDEX('My Order Engine'!$AH92:$AV92,Calc!$K$19)),"")</f>
        <v/>
      </c>
      <c r="Q90" s="25" t="str">
        <f>IF(AND($A90&lt;=IF(Calc!$C$36=999,360,Calc!$C$36),Calc!$C$20=1),CHOOSE(Calc!$C$3,INDEX('Snowball Engine'!$AH92:$AV92,Calc!$I$20),INDEX('Avalanche Engine'!$AH92:$AV92,Calc!$J$20),INDEX('My Order Engine'!$AH92:$AV92,Calc!$K$20)),"")</f>
        <v/>
      </c>
      <c r="R90" s="25" t="str">
        <f>IF(AND($A90&lt;=IF(Calc!$C$36=999,360,Calc!$C$36),Calc!$C$21=1),CHOOSE(Calc!$C$3,INDEX('Snowball Engine'!$AH92:$AV92,Calc!$I$21),INDEX('Avalanche Engine'!$AH92:$AV92,Calc!$J$21),INDEX('My Order Engine'!$AH92:$AV92,Calc!$K$21)),"")</f>
        <v/>
      </c>
      <c r="S90" s="25" t="str">
        <f>IF(AND($A90&lt;=IF(Calc!$C$36=999,360,Calc!$C$36),Calc!$C$22=1),CHOOSE(Calc!$C$3,INDEX('Snowball Engine'!$AH92:$AV92,Calc!$I$22),INDEX('Avalanche Engine'!$AH92:$AV92,Calc!$J$22),INDEX('My Order Engine'!$AH92:$AV92,Calc!$K$22)),"")</f>
        <v/>
      </c>
      <c r="T90" s="25" t="str">
        <f>IF(AND($A90&lt;=IF(Calc!$C$36=999,360,Calc!$C$36),Calc!$C$23=1),CHOOSE(Calc!$C$3,INDEX('Snowball Engine'!$AH92:$AV92,Calc!$I$23),INDEX('Avalanche Engine'!$AH92:$AV92,Calc!$J$23),INDEX('My Order Engine'!$AH92:$AV92,Calc!$K$23)),"")</f>
        <v/>
      </c>
      <c r="U90" s="25" t="str">
        <f>IF(AND($A90&lt;=IF(Calc!$C$36=999,360,Calc!$C$36),Calc!$C$24=1),CHOOSE(Calc!$C$3,INDEX('Snowball Engine'!$AH92:$AV92,Calc!$I$24),INDEX('Avalanche Engine'!$AH92:$AV92,Calc!$J$24),INDEX('My Order Engine'!$AH92:$AV92,Calc!$K$24)),"")</f>
        <v/>
      </c>
    </row>
    <row r="91" spans="1:21" x14ac:dyDescent="0.35">
      <c r="A91" s="23">
        <v>87</v>
      </c>
      <c r="B91" s="24" t="str">
        <f>IF($A91&lt;=IF(Calc!$C$36=999,360,Calc!$C$36),EDATE(Calc!$C$5,A91-1),"")</f>
        <v/>
      </c>
      <c r="C91" s="25" t="str">
        <f>IF($A91&lt;=IF(Calc!$C$36=999,360,Calc!$C$36),CHOOSE(Calc!$C$3,'Snowball Engine'!AY93,'Avalanche Engine'!AY93,'My Order Engine'!AY93),"")</f>
        <v/>
      </c>
      <c r="D91" s="25" t="str">
        <f>IF($A91&lt;=IF(Calc!$C$36=999,360,Calc!$C$36),CHOOSE(Calc!$C$3,'Snowball Engine'!AX93,'Avalanche Engine'!AX93,'My Order Engine'!AX93),"")</f>
        <v/>
      </c>
      <c r="E91" s="25" t="str">
        <f>IF($A91&lt;=IF(Calc!$C$36=999,360,Calc!$C$36),C91-D91,"")</f>
        <v/>
      </c>
      <c r="F91" s="25" t="str">
        <f>IF($A91&lt;=IF(Calc!$C$36=999,360,Calc!$C$36),CHOOSE(Calc!$C$3,'Snowball Engine'!AW93,'Avalanche Engine'!AW93,'My Order Engine'!AW93),"")</f>
        <v/>
      </c>
      <c r="G91" s="25" t="str">
        <f>IF(AND($A91&lt;=IF(Calc!$C$36=999,360,Calc!$C$36),Calc!$C$10=1),CHOOSE(Calc!$C$3,INDEX('Snowball Engine'!$AH93:$AV93,Calc!$I$10),INDEX('Avalanche Engine'!$AH93:$AV93,Calc!$J$10),INDEX('My Order Engine'!$AH93:$AV93,Calc!$K$10)),"")</f>
        <v/>
      </c>
      <c r="H91" s="25" t="str">
        <f>IF(AND($A91&lt;=IF(Calc!$C$36=999,360,Calc!$C$36),Calc!$C$11=1),CHOOSE(Calc!$C$3,INDEX('Snowball Engine'!$AH93:$AV93,Calc!$I$11),INDEX('Avalanche Engine'!$AH93:$AV93,Calc!$J$11),INDEX('My Order Engine'!$AH93:$AV93,Calc!$K$11)),"")</f>
        <v/>
      </c>
      <c r="I91" s="25" t="str">
        <f>IF(AND($A91&lt;=IF(Calc!$C$36=999,360,Calc!$C$36),Calc!$C$12=1),CHOOSE(Calc!$C$3,INDEX('Snowball Engine'!$AH93:$AV93,Calc!$I$12),INDEX('Avalanche Engine'!$AH93:$AV93,Calc!$J$12),INDEX('My Order Engine'!$AH93:$AV93,Calc!$K$12)),"")</f>
        <v/>
      </c>
      <c r="J91" s="25" t="str">
        <f>IF(AND($A91&lt;=IF(Calc!$C$36=999,360,Calc!$C$36),Calc!$C$13=1),CHOOSE(Calc!$C$3,INDEX('Snowball Engine'!$AH93:$AV93,Calc!$I$13),INDEX('Avalanche Engine'!$AH93:$AV93,Calc!$J$13),INDEX('My Order Engine'!$AH93:$AV93,Calc!$K$13)),"")</f>
        <v/>
      </c>
      <c r="K91" s="25" t="str">
        <f>IF(AND($A91&lt;=IF(Calc!$C$36=999,360,Calc!$C$36),Calc!$C$14=1),CHOOSE(Calc!$C$3,INDEX('Snowball Engine'!$AH93:$AV93,Calc!$I$14),INDEX('Avalanche Engine'!$AH93:$AV93,Calc!$J$14),INDEX('My Order Engine'!$AH93:$AV93,Calc!$K$14)),"")</f>
        <v/>
      </c>
      <c r="L91" s="25" t="str">
        <f>IF(AND($A91&lt;=IF(Calc!$C$36=999,360,Calc!$C$36),Calc!$C$15=1),CHOOSE(Calc!$C$3,INDEX('Snowball Engine'!$AH93:$AV93,Calc!$I$15),INDEX('Avalanche Engine'!$AH93:$AV93,Calc!$J$15),INDEX('My Order Engine'!$AH93:$AV93,Calc!$K$15)),"")</f>
        <v/>
      </c>
      <c r="M91" s="25" t="str">
        <f>IF(AND($A91&lt;=IF(Calc!$C$36=999,360,Calc!$C$36),Calc!$C$16=1),CHOOSE(Calc!$C$3,INDEX('Snowball Engine'!$AH93:$AV93,Calc!$I$16),INDEX('Avalanche Engine'!$AH93:$AV93,Calc!$J$16),INDEX('My Order Engine'!$AH93:$AV93,Calc!$K$16)),"")</f>
        <v/>
      </c>
      <c r="N91" s="25" t="str">
        <f>IF(AND($A91&lt;=IF(Calc!$C$36=999,360,Calc!$C$36),Calc!$C$17=1),CHOOSE(Calc!$C$3,INDEX('Snowball Engine'!$AH93:$AV93,Calc!$I$17),INDEX('Avalanche Engine'!$AH93:$AV93,Calc!$J$17),INDEX('My Order Engine'!$AH93:$AV93,Calc!$K$17)),"")</f>
        <v/>
      </c>
      <c r="O91" s="25" t="str">
        <f>IF(AND($A91&lt;=IF(Calc!$C$36=999,360,Calc!$C$36),Calc!$C$18=1),CHOOSE(Calc!$C$3,INDEX('Snowball Engine'!$AH93:$AV93,Calc!$I$18),INDEX('Avalanche Engine'!$AH93:$AV93,Calc!$J$18),INDEX('My Order Engine'!$AH93:$AV93,Calc!$K$18)),"")</f>
        <v/>
      </c>
      <c r="P91" s="25" t="str">
        <f>IF(AND($A91&lt;=IF(Calc!$C$36=999,360,Calc!$C$36),Calc!$C$19=1),CHOOSE(Calc!$C$3,INDEX('Snowball Engine'!$AH93:$AV93,Calc!$I$19),INDEX('Avalanche Engine'!$AH93:$AV93,Calc!$J$19),INDEX('My Order Engine'!$AH93:$AV93,Calc!$K$19)),"")</f>
        <v/>
      </c>
      <c r="Q91" s="25" t="str">
        <f>IF(AND($A91&lt;=IF(Calc!$C$36=999,360,Calc!$C$36),Calc!$C$20=1),CHOOSE(Calc!$C$3,INDEX('Snowball Engine'!$AH93:$AV93,Calc!$I$20),INDEX('Avalanche Engine'!$AH93:$AV93,Calc!$J$20),INDEX('My Order Engine'!$AH93:$AV93,Calc!$K$20)),"")</f>
        <v/>
      </c>
      <c r="R91" s="25" t="str">
        <f>IF(AND($A91&lt;=IF(Calc!$C$36=999,360,Calc!$C$36),Calc!$C$21=1),CHOOSE(Calc!$C$3,INDEX('Snowball Engine'!$AH93:$AV93,Calc!$I$21),INDEX('Avalanche Engine'!$AH93:$AV93,Calc!$J$21),INDEX('My Order Engine'!$AH93:$AV93,Calc!$K$21)),"")</f>
        <v/>
      </c>
      <c r="S91" s="25" t="str">
        <f>IF(AND($A91&lt;=IF(Calc!$C$36=999,360,Calc!$C$36),Calc!$C$22=1),CHOOSE(Calc!$C$3,INDEX('Snowball Engine'!$AH93:$AV93,Calc!$I$22),INDEX('Avalanche Engine'!$AH93:$AV93,Calc!$J$22),INDEX('My Order Engine'!$AH93:$AV93,Calc!$K$22)),"")</f>
        <v/>
      </c>
      <c r="T91" s="25" t="str">
        <f>IF(AND($A91&lt;=IF(Calc!$C$36=999,360,Calc!$C$36),Calc!$C$23=1),CHOOSE(Calc!$C$3,INDEX('Snowball Engine'!$AH93:$AV93,Calc!$I$23),INDEX('Avalanche Engine'!$AH93:$AV93,Calc!$J$23),INDEX('My Order Engine'!$AH93:$AV93,Calc!$K$23)),"")</f>
        <v/>
      </c>
      <c r="U91" s="25" t="str">
        <f>IF(AND($A91&lt;=IF(Calc!$C$36=999,360,Calc!$C$36),Calc!$C$24=1),CHOOSE(Calc!$C$3,INDEX('Snowball Engine'!$AH93:$AV93,Calc!$I$24),INDEX('Avalanche Engine'!$AH93:$AV93,Calc!$J$24),INDEX('My Order Engine'!$AH93:$AV93,Calc!$K$24)),"")</f>
        <v/>
      </c>
    </row>
    <row r="92" spans="1:21" x14ac:dyDescent="0.35">
      <c r="A92" s="23">
        <v>88</v>
      </c>
      <c r="B92" s="24" t="str">
        <f>IF($A92&lt;=IF(Calc!$C$36=999,360,Calc!$C$36),EDATE(Calc!$C$5,A92-1),"")</f>
        <v/>
      </c>
      <c r="C92" s="25" t="str">
        <f>IF($A92&lt;=IF(Calc!$C$36=999,360,Calc!$C$36),CHOOSE(Calc!$C$3,'Snowball Engine'!AY94,'Avalanche Engine'!AY94,'My Order Engine'!AY94),"")</f>
        <v/>
      </c>
      <c r="D92" s="25" t="str">
        <f>IF($A92&lt;=IF(Calc!$C$36=999,360,Calc!$C$36),CHOOSE(Calc!$C$3,'Snowball Engine'!AX94,'Avalanche Engine'!AX94,'My Order Engine'!AX94),"")</f>
        <v/>
      </c>
      <c r="E92" s="25" t="str">
        <f>IF($A92&lt;=IF(Calc!$C$36=999,360,Calc!$C$36),C92-D92,"")</f>
        <v/>
      </c>
      <c r="F92" s="25" t="str">
        <f>IF($A92&lt;=IF(Calc!$C$36=999,360,Calc!$C$36),CHOOSE(Calc!$C$3,'Snowball Engine'!AW94,'Avalanche Engine'!AW94,'My Order Engine'!AW94),"")</f>
        <v/>
      </c>
      <c r="G92" s="25" t="str">
        <f>IF(AND($A92&lt;=IF(Calc!$C$36=999,360,Calc!$C$36),Calc!$C$10=1),CHOOSE(Calc!$C$3,INDEX('Snowball Engine'!$AH94:$AV94,Calc!$I$10),INDEX('Avalanche Engine'!$AH94:$AV94,Calc!$J$10),INDEX('My Order Engine'!$AH94:$AV94,Calc!$K$10)),"")</f>
        <v/>
      </c>
      <c r="H92" s="25" t="str">
        <f>IF(AND($A92&lt;=IF(Calc!$C$36=999,360,Calc!$C$36),Calc!$C$11=1),CHOOSE(Calc!$C$3,INDEX('Snowball Engine'!$AH94:$AV94,Calc!$I$11),INDEX('Avalanche Engine'!$AH94:$AV94,Calc!$J$11),INDEX('My Order Engine'!$AH94:$AV94,Calc!$K$11)),"")</f>
        <v/>
      </c>
      <c r="I92" s="25" t="str">
        <f>IF(AND($A92&lt;=IF(Calc!$C$36=999,360,Calc!$C$36),Calc!$C$12=1),CHOOSE(Calc!$C$3,INDEX('Snowball Engine'!$AH94:$AV94,Calc!$I$12),INDEX('Avalanche Engine'!$AH94:$AV94,Calc!$J$12),INDEX('My Order Engine'!$AH94:$AV94,Calc!$K$12)),"")</f>
        <v/>
      </c>
      <c r="J92" s="25" t="str">
        <f>IF(AND($A92&lt;=IF(Calc!$C$36=999,360,Calc!$C$36),Calc!$C$13=1),CHOOSE(Calc!$C$3,INDEX('Snowball Engine'!$AH94:$AV94,Calc!$I$13),INDEX('Avalanche Engine'!$AH94:$AV94,Calc!$J$13),INDEX('My Order Engine'!$AH94:$AV94,Calc!$K$13)),"")</f>
        <v/>
      </c>
      <c r="K92" s="25" t="str">
        <f>IF(AND($A92&lt;=IF(Calc!$C$36=999,360,Calc!$C$36),Calc!$C$14=1),CHOOSE(Calc!$C$3,INDEX('Snowball Engine'!$AH94:$AV94,Calc!$I$14),INDEX('Avalanche Engine'!$AH94:$AV94,Calc!$J$14),INDEX('My Order Engine'!$AH94:$AV94,Calc!$K$14)),"")</f>
        <v/>
      </c>
      <c r="L92" s="25" t="str">
        <f>IF(AND($A92&lt;=IF(Calc!$C$36=999,360,Calc!$C$36),Calc!$C$15=1),CHOOSE(Calc!$C$3,INDEX('Snowball Engine'!$AH94:$AV94,Calc!$I$15),INDEX('Avalanche Engine'!$AH94:$AV94,Calc!$J$15),INDEX('My Order Engine'!$AH94:$AV94,Calc!$K$15)),"")</f>
        <v/>
      </c>
      <c r="M92" s="25" t="str">
        <f>IF(AND($A92&lt;=IF(Calc!$C$36=999,360,Calc!$C$36),Calc!$C$16=1),CHOOSE(Calc!$C$3,INDEX('Snowball Engine'!$AH94:$AV94,Calc!$I$16),INDEX('Avalanche Engine'!$AH94:$AV94,Calc!$J$16),INDEX('My Order Engine'!$AH94:$AV94,Calc!$K$16)),"")</f>
        <v/>
      </c>
      <c r="N92" s="25" t="str">
        <f>IF(AND($A92&lt;=IF(Calc!$C$36=999,360,Calc!$C$36),Calc!$C$17=1),CHOOSE(Calc!$C$3,INDEX('Snowball Engine'!$AH94:$AV94,Calc!$I$17),INDEX('Avalanche Engine'!$AH94:$AV94,Calc!$J$17),INDEX('My Order Engine'!$AH94:$AV94,Calc!$K$17)),"")</f>
        <v/>
      </c>
      <c r="O92" s="25" t="str">
        <f>IF(AND($A92&lt;=IF(Calc!$C$36=999,360,Calc!$C$36),Calc!$C$18=1),CHOOSE(Calc!$C$3,INDEX('Snowball Engine'!$AH94:$AV94,Calc!$I$18),INDEX('Avalanche Engine'!$AH94:$AV94,Calc!$J$18),INDEX('My Order Engine'!$AH94:$AV94,Calc!$K$18)),"")</f>
        <v/>
      </c>
      <c r="P92" s="25" t="str">
        <f>IF(AND($A92&lt;=IF(Calc!$C$36=999,360,Calc!$C$36),Calc!$C$19=1),CHOOSE(Calc!$C$3,INDEX('Snowball Engine'!$AH94:$AV94,Calc!$I$19),INDEX('Avalanche Engine'!$AH94:$AV94,Calc!$J$19),INDEX('My Order Engine'!$AH94:$AV94,Calc!$K$19)),"")</f>
        <v/>
      </c>
      <c r="Q92" s="25" t="str">
        <f>IF(AND($A92&lt;=IF(Calc!$C$36=999,360,Calc!$C$36),Calc!$C$20=1),CHOOSE(Calc!$C$3,INDEX('Snowball Engine'!$AH94:$AV94,Calc!$I$20),INDEX('Avalanche Engine'!$AH94:$AV94,Calc!$J$20),INDEX('My Order Engine'!$AH94:$AV94,Calc!$K$20)),"")</f>
        <v/>
      </c>
      <c r="R92" s="25" t="str">
        <f>IF(AND($A92&lt;=IF(Calc!$C$36=999,360,Calc!$C$36),Calc!$C$21=1),CHOOSE(Calc!$C$3,INDEX('Snowball Engine'!$AH94:$AV94,Calc!$I$21),INDEX('Avalanche Engine'!$AH94:$AV94,Calc!$J$21),INDEX('My Order Engine'!$AH94:$AV94,Calc!$K$21)),"")</f>
        <v/>
      </c>
      <c r="S92" s="25" t="str">
        <f>IF(AND($A92&lt;=IF(Calc!$C$36=999,360,Calc!$C$36),Calc!$C$22=1),CHOOSE(Calc!$C$3,INDEX('Snowball Engine'!$AH94:$AV94,Calc!$I$22),INDEX('Avalanche Engine'!$AH94:$AV94,Calc!$J$22),INDEX('My Order Engine'!$AH94:$AV94,Calc!$K$22)),"")</f>
        <v/>
      </c>
      <c r="T92" s="25" t="str">
        <f>IF(AND($A92&lt;=IF(Calc!$C$36=999,360,Calc!$C$36),Calc!$C$23=1),CHOOSE(Calc!$C$3,INDEX('Snowball Engine'!$AH94:$AV94,Calc!$I$23),INDEX('Avalanche Engine'!$AH94:$AV94,Calc!$J$23),INDEX('My Order Engine'!$AH94:$AV94,Calc!$K$23)),"")</f>
        <v/>
      </c>
      <c r="U92" s="25" t="str">
        <f>IF(AND($A92&lt;=IF(Calc!$C$36=999,360,Calc!$C$36),Calc!$C$24=1),CHOOSE(Calc!$C$3,INDEX('Snowball Engine'!$AH94:$AV94,Calc!$I$24),INDEX('Avalanche Engine'!$AH94:$AV94,Calc!$J$24),INDEX('My Order Engine'!$AH94:$AV94,Calc!$K$24)),"")</f>
        <v/>
      </c>
    </row>
    <row r="93" spans="1:21" x14ac:dyDescent="0.35">
      <c r="A93" s="23">
        <v>89</v>
      </c>
      <c r="B93" s="24" t="str">
        <f>IF($A93&lt;=IF(Calc!$C$36=999,360,Calc!$C$36),EDATE(Calc!$C$5,A93-1),"")</f>
        <v/>
      </c>
      <c r="C93" s="25" t="str">
        <f>IF($A93&lt;=IF(Calc!$C$36=999,360,Calc!$C$36),CHOOSE(Calc!$C$3,'Snowball Engine'!AY95,'Avalanche Engine'!AY95,'My Order Engine'!AY95),"")</f>
        <v/>
      </c>
      <c r="D93" s="25" t="str">
        <f>IF($A93&lt;=IF(Calc!$C$36=999,360,Calc!$C$36),CHOOSE(Calc!$C$3,'Snowball Engine'!AX95,'Avalanche Engine'!AX95,'My Order Engine'!AX95),"")</f>
        <v/>
      </c>
      <c r="E93" s="25" t="str">
        <f>IF($A93&lt;=IF(Calc!$C$36=999,360,Calc!$C$36),C93-D93,"")</f>
        <v/>
      </c>
      <c r="F93" s="25" t="str">
        <f>IF($A93&lt;=IF(Calc!$C$36=999,360,Calc!$C$36),CHOOSE(Calc!$C$3,'Snowball Engine'!AW95,'Avalanche Engine'!AW95,'My Order Engine'!AW95),"")</f>
        <v/>
      </c>
      <c r="G93" s="25" t="str">
        <f>IF(AND($A93&lt;=IF(Calc!$C$36=999,360,Calc!$C$36),Calc!$C$10=1),CHOOSE(Calc!$C$3,INDEX('Snowball Engine'!$AH95:$AV95,Calc!$I$10),INDEX('Avalanche Engine'!$AH95:$AV95,Calc!$J$10),INDEX('My Order Engine'!$AH95:$AV95,Calc!$K$10)),"")</f>
        <v/>
      </c>
      <c r="H93" s="25" t="str">
        <f>IF(AND($A93&lt;=IF(Calc!$C$36=999,360,Calc!$C$36),Calc!$C$11=1),CHOOSE(Calc!$C$3,INDEX('Snowball Engine'!$AH95:$AV95,Calc!$I$11),INDEX('Avalanche Engine'!$AH95:$AV95,Calc!$J$11),INDEX('My Order Engine'!$AH95:$AV95,Calc!$K$11)),"")</f>
        <v/>
      </c>
      <c r="I93" s="25" t="str">
        <f>IF(AND($A93&lt;=IF(Calc!$C$36=999,360,Calc!$C$36),Calc!$C$12=1),CHOOSE(Calc!$C$3,INDEX('Snowball Engine'!$AH95:$AV95,Calc!$I$12),INDEX('Avalanche Engine'!$AH95:$AV95,Calc!$J$12),INDEX('My Order Engine'!$AH95:$AV95,Calc!$K$12)),"")</f>
        <v/>
      </c>
      <c r="J93" s="25" t="str">
        <f>IF(AND($A93&lt;=IF(Calc!$C$36=999,360,Calc!$C$36),Calc!$C$13=1),CHOOSE(Calc!$C$3,INDEX('Snowball Engine'!$AH95:$AV95,Calc!$I$13),INDEX('Avalanche Engine'!$AH95:$AV95,Calc!$J$13),INDEX('My Order Engine'!$AH95:$AV95,Calc!$K$13)),"")</f>
        <v/>
      </c>
      <c r="K93" s="25" t="str">
        <f>IF(AND($A93&lt;=IF(Calc!$C$36=999,360,Calc!$C$36),Calc!$C$14=1),CHOOSE(Calc!$C$3,INDEX('Snowball Engine'!$AH95:$AV95,Calc!$I$14),INDEX('Avalanche Engine'!$AH95:$AV95,Calc!$J$14),INDEX('My Order Engine'!$AH95:$AV95,Calc!$K$14)),"")</f>
        <v/>
      </c>
      <c r="L93" s="25" t="str">
        <f>IF(AND($A93&lt;=IF(Calc!$C$36=999,360,Calc!$C$36),Calc!$C$15=1),CHOOSE(Calc!$C$3,INDEX('Snowball Engine'!$AH95:$AV95,Calc!$I$15),INDEX('Avalanche Engine'!$AH95:$AV95,Calc!$J$15),INDEX('My Order Engine'!$AH95:$AV95,Calc!$K$15)),"")</f>
        <v/>
      </c>
      <c r="M93" s="25" t="str">
        <f>IF(AND($A93&lt;=IF(Calc!$C$36=999,360,Calc!$C$36),Calc!$C$16=1),CHOOSE(Calc!$C$3,INDEX('Snowball Engine'!$AH95:$AV95,Calc!$I$16),INDEX('Avalanche Engine'!$AH95:$AV95,Calc!$J$16),INDEX('My Order Engine'!$AH95:$AV95,Calc!$K$16)),"")</f>
        <v/>
      </c>
      <c r="N93" s="25" t="str">
        <f>IF(AND($A93&lt;=IF(Calc!$C$36=999,360,Calc!$C$36),Calc!$C$17=1),CHOOSE(Calc!$C$3,INDEX('Snowball Engine'!$AH95:$AV95,Calc!$I$17),INDEX('Avalanche Engine'!$AH95:$AV95,Calc!$J$17),INDEX('My Order Engine'!$AH95:$AV95,Calc!$K$17)),"")</f>
        <v/>
      </c>
      <c r="O93" s="25" t="str">
        <f>IF(AND($A93&lt;=IF(Calc!$C$36=999,360,Calc!$C$36),Calc!$C$18=1),CHOOSE(Calc!$C$3,INDEX('Snowball Engine'!$AH95:$AV95,Calc!$I$18),INDEX('Avalanche Engine'!$AH95:$AV95,Calc!$J$18),INDEX('My Order Engine'!$AH95:$AV95,Calc!$K$18)),"")</f>
        <v/>
      </c>
      <c r="P93" s="25" t="str">
        <f>IF(AND($A93&lt;=IF(Calc!$C$36=999,360,Calc!$C$36),Calc!$C$19=1),CHOOSE(Calc!$C$3,INDEX('Snowball Engine'!$AH95:$AV95,Calc!$I$19),INDEX('Avalanche Engine'!$AH95:$AV95,Calc!$J$19),INDEX('My Order Engine'!$AH95:$AV95,Calc!$K$19)),"")</f>
        <v/>
      </c>
      <c r="Q93" s="25" t="str">
        <f>IF(AND($A93&lt;=IF(Calc!$C$36=999,360,Calc!$C$36),Calc!$C$20=1),CHOOSE(Calc!$C$3,INDEX('Snowball Engine'!$AH95:$AV95,Calc!$I$20),INDEX('Avalanche Engine'!$AH95:$AV95,Calc!$J$20),INDEX('My Order Engine'!$AH95:$AV95,Calc!$K$20)),"")</f>
        <v/>
      </c>
      <c r="R93" s="25" t="str">
        <f>IF(AND($A93&lt;=IF(Calc!$C$36=999,360,Calc!$C$36),Calc!$C$21=1),CHOOSE(Calc!$C$3,INDEX('Snowball Engine'!$AH95:$AV95,Calc!$I$21),INDEX('Avalanche Engine'!$AH95:$AV95,Calc!$J$21),INDEX('My Order Engine'!$AH95:$AV95,Calc!$K$21)),"")</f>
        <v/>
      </c>
      <c r="S93" s="25" t="str">
        <f>IF(AND($A93&lt;=IF(Calc!$C$36=999,360,Calc!$C$36),Calc!$C$22=1),CHOOSE(Calc!$C$3,INDEX('Snowball Engine'!$AH95:$AV95,Calc!$I$22),INDEX('Avalanche Engine'!$AH95:$AV95,Calc!$J$22),INDEX('My Order Engine'!$AH95:$AV95,Calc!$K$22)),"")</f>
        <v/>
      </c>
      <c r="T93" s="25" t="str">
        <f>IF(AND($A93&lt;=IF(Calc!$C$36=999,360,Calc!$C$36),Calc!$C$23=1),CHOOSE(Calc!$C$3,INDEX('Snowball Engine'!$AH95:$AV95,Calc!$I$23),INDEX('Avalanche Engine'!$AH95:$AV95,Calc!$J$23),INDEX('My Order Engine'!$AH95:$AV95,Calc!$K$23)),"")</f>
        <v/>
      </c>
      <c r="U93" s="25" t="str">
        <f>IF(AND($A93&lt;=IF(Calc!$C$36=999,360,Calc!$C$36),Calc!$C$24=1),CHOOSE(Calc!$C$3,INDEX('Snowball Engine'!$AH95:$AV95,Calc!$I$24),INDEX('Avalanche Engine'!$AH95:$AV95,Calc!$J$24),INDEX('My Order Engine'!$AH95:$AV95,Calc!$K$24)),"")</f>
        <v/>
      </c>
    </row>
    <row r="94" spans="1:21" x14ac:dyDescent="0.35">
      <c r="A94" s="23">
        <v>90</v>
      </c>
      <c r="B94" s="24" t="str">
        <f>IF($A94&lt;=IF(Calc!$C$36=999,360,Calc!$C$36),EDATE(Calc!$C$5,A94-1),"")</f>
        <v/>
      </c>
      <c r="C94" s="25" t="str">
        <f>IF($A94&lt;=IF(Calc!$C$36=999,360,Calc!$C$36),CHOOSE(Calc!$C$3,'Snowball Engine'!AY96,'Avalanche Engine'!AY96,'My Order Engine'!AY96),"")</f>
        <v/>
      </c>
      <c r="D94" s="25" t="str">
        <f>IF($A94&lt;=IF(Calc!$C$36=999,360,Calc!$C$36),CHOOSE(Calc!$C$3,'Snowball Engine'!AX96,'Avalanche Engine'!AX96,'My Order Engine'!AX96),"")</f>
        <v/>
      </c>
      <c r="E94" s="25" t="str">
        <f>IF($A94&lt;=IF(Calc!$C$36=999,360,Calc!$C$36),C94-D94,"")</f>
        <v/>
      </c>
      <c r="F94" s="25" t="str">
        <f>IF($A94&lt;=IF(Calc!$C$36=999,360,Calc!$C$36),CHOOSE(Calc!$C$3,'Snowball Engine'!AW96,'Avalanche Engine'!AW96,'My Order Engine'!AW96),"")</f>
        <v/>
      </c>
      <c r="G94" s="25" t="str">
        <f>IF(AND($A94&lt;=IF(Calc!$C$36=999,360,Calc!$C$36),Calc!$C$10=1),CHOOSE(Calc!$C$3,INDEX('Snowball Engine'!$AH96:$AV96,Calc!$I$10),INDEX('Avalanche Engine'!$AH96:$AV96,Calc!$J$10),INDEX('My Order Engine'!$AH96:$AV96,Calc!$K$10)),"")</f>
        <v/>
      </c>
      <c r="H94" s="25" t="str">
        <f>IF(AND($A94&lt;=IF(Calc!$C$36=999,360,Calc!$C$36),Calc!$C$11=1),CHOOSE(Calc!$C$3,INDEX('Snowball Engine'!$AH96:$AV96,Calc!$I$11),INDEX('Avalanche Engine'!$AH96:$AV96,Calc!$J$11),INDEX('My Order Engine'!$AH96:$AV96,Calc!$K$11)),"")</f>
        <v/>
      </c>
      <c r="I94" s="25" t="str">
        <f>IF(AND($A94&lt;=IF(Calc!$C$36=999,360,Calc!$C$36),Calc!$C$12=1),CHOOSE(Calc!$C$3,INDEX('Snowball Engine'!$AH96:$AV96,Calc!$I$12),INDEX('Avalanche Engine'!$AH96:$AV96,Calc!$J$12),INDEX('My Order Engine'!$AH96:$AV96,Calc!$K$12)),"")</f>
        <v/>
      </c>
      <c r="J94" s="25" t="str">
        <f>IF(AND($A94&lt;=IF(Calc!$C$36=999,360,Calc!$C$36),Calc!$C$13=1),CHOOSE(Calc!$C$3,INDEX('Snowball Engine'!$AH96:$AV96,Calc!$I$13),INDEX('Avalanche Engine'!$AH96:$AV96,Calc!$J$13),INDEX('My Order Engine'!$AH96:$AV96,Calc!$K$13)),"")</f>
        <v/>
      </c>
      <c r="K94" s="25" t="str">
        <f>IF(AND($A94&lt;=IF(Calc!$C$36=999,360,Calc!$C$36),Calc!$C$14=1),CHOOSE(Calc!$C$3,INDEX('Snowball Engine'!$AH96:$AV96,Calc!$I$14),INDEX('Avalanche Engine'!$AH96:$AV96,Calc!$J$14),INDEX('My Order Engine'!$AH96:$AV96,Calc!$K$14)),"")</f>
        <v/>
      </c>
      <c r="L94" s="25" t="str">
        <f>IF(AND($A94&lt;=IF(Calc!$C$36=999,360,Calc!$C$36),Calc!$C$15=1),CHOOSE(Calc!$C$3,INDEX('Snowball Engine'!$AH96:$AV96,Calc!$I$15),INDEX('Avalanche Engine'!$AH96:$AV96,Calc!$J$15),INDEX('My Order Engine'!$AH96:$AV96,Calc!$K$15)),"")</f>
        <v/>
      </c>
      <c r="M94" s="25" t="str">
        <f>IF(AND($A94&lt;=IF(Calc!$C$36=999,360,Calc!$C$36),Calc!$C$16=1),CHOOSE(Calc!$C$3,INDEX('Snowball Engine'!$AH96:$AV96,Calc!$I$16),INDEX('Avalanche Engine'!$AH96:$AV96,Calc!$J$16),INDEX('My Order Engine'!$AH96:$AV96,Calc!$K$16)),"")</f>
        <v/>
      </c>
      <c r="N94" s="25" t="str">
        <f>IF(AND($A94&lt;=IF(Calc!$C$36=999,360,Calc!$C$36),Calc!$C$17=1),CHOOSE(Calc!$C$3,INDEX('Snowball Engine'!$AH96:$AV96,Calc!$I$17),INDEX('Avalanche Engine'!$AH96:$AV96,Calc!$J$17),INDEX('My Order Engine'!$AH96:$AV96,Calc!$K$17)),"")</f>
        <v/>
      </c>
      <c r="O94" s="25" t="str">
        <f>IF(AND($A94&lt;=IF(Calc!$C$36=999,360,Calc!$C$36),Calc!$C$18=1),CHOOSE(Calc!$C$3,INDEX('Snowball Engine'!$AH96:$AV96,Calc!$I$18),INDEX('Avalanche Engine'!$AH96:$AV96,Calc!$J$18),INDEX('My Order Engine'!$AH96:$AV96,Calc!$K$18)),"")</f>
        <v/>
      </c>
      <c r="P94" s="25" t="str">
        <f>IF(AND($A94&lt;=IF(Calc!$C$36=999,360,Calc!$C$36),Calc!$C$19=1),CHOOSE(Calc!$C$3,INDEX('Snowball Engine'!$AH96:$AV96,Calc!$I$19),INDEX('Avalanche Engine'!$AH96:$AV96,Calc!$J$19),INDEX('My Order Engine'!$AH96:$AV96,Calc!$K$19)),"")</f>
        <v/>
      </c>
      <c r="Q94" s="25" t="str">
        <f>IF(AND($A94&lt;=IF(Calc!$C$36=999,360,Calc!$C$36),Calc!$C$20=1),CHOOSE(Calc!$C$3,INDEX('Snowball Engine'!$AH96:$AV96,Calc!$I$20),INDEX('Avalanche Engine'!$AH96:$AV96,Calc!$J$20),INDEX('My Order Engine'!$AH96:$AV96,Calc!$K$20)),"")</f>
        <v/>
      </c>
      <c r="R94" s="25" t="str">
        <f>IF(AND($A94&lt;=IF(Calc!$C$36=999,360,Calc!$C$36),Calc!$C$21=1),CHOOSE(Calc!$C$3,INDEX('Snowball Engine'!$AH96:$AV96,Calc!$I$21),INDEX('Avalanche Engine'!$AH96:$AV96,Calc!$J$21),INDEX('My Order Engine'!$AH96:$AV96,Calc!$K$21)),"")</f>
        <v/>
      </c>
      <c r="S94" s="25" t="str">
        <f>IF(AND($A94&lt;=IF(Calc!$C$36=999,360,Calc!$C$36),Calc!$C$22=1),CHOOSE(Calc!$C$3,INDEX('Snowball Engine'!$AH96:$AV96,Calc!$I$22),INDEX('Avalanche Engine'!$AH96:$AV96,Calc!$J$22),INDEX('My Order Engine'!$AH96:$AV96,Calc!$K$22)),"")</f>
        <v/>
      </c>
      <c r="T94" s="25" t="str">
        <f>IF(AND($A94&lt;=IF(Calc!$C$36=999,360,Calc!$C$36),Calc!$C$23=1),CHOOSE(Calc!$C$3,INDEX('Snowball Engine'!$AH96:$AV96,Calc!$I$23),INDEX('Avalanche Engine'!$AH96:$AV96,Calc!$J$23),INDEX('My Order Engine'!$AH96:$AV96,Calc!$K$23)),"")</f>
        <v/>
      </c>
      <c r="U94" s="25" t="str">
        <f>IF(AND($A94&lt;=IF(Calc!$C$36=999,360,Calc!$C$36),Calc!$C$24=1),CHOOSE(Calc!$C$3,INDEX('Snowball Engine'!$AH96:$AV96,Calc!$I$24),INDEX('Avalanche Engine'!$AH96:$AV96,Calc!$J$24),INDEX('My Order Engine'!$AH96:$AV96,Calc!$K$24)),"")</f>
        <v/>
      </c>
    </row>
    <row r="95" spans="1:21" x14ac:dyDescent="0.35">
      <c r="A95" s="23">
        <v>91</v>
      </c>
      <c r="B95" s="24" t="str">
        <f>IF($A95&lt;=IF(Calc!$C$36=999,360,Calc!$C$36),EDATE(Calc!$C$5,A95-1),"")</f>
        <v/>
      </c>
      <c r="C95" s="25" t="str">
        <f>IF($A95&lt;=IF(Calc!$C$36=999,360,Calc!$C$36),CHOOSE(Calc!$C$3,'Snowball Engine'!AY97,'Avalanche Engine'!AY97,'My Order Engine'!AY97),"")</f>
        <v/>
      </c>
      <c r="D95" s="25" t="str">
        <f>IF($A95&lt;=IF(Calc!$C$36=999,360,Calc!$C$36),CHOOSE(Calc!$C$3,'Snowball Engine'!AX97,'Avalanche Engine'!AX97,'My Order Engine'!AX97),"")</f>
        <v/>
      </c>
      <c r="E95" s="25" t="str">
        <f>IF($A95&lt;=IF(Calc!$C$36=999,360,Calc!$C$36),C95-D95,"")</f>
        <v/>
      </c>
      <c r="F95" s="25" t="str">
        <f>IF($A95&lt;=IF(Calc!$C$36=999,360,Calc!$C$36),CHOOSE(Calc!$C$3,'Snowball Engine'!AW97,'Avalanche Engine'!AW97,'My Order Engine'!AW97),"")</f>
        <v/>
      </c>
      <c r="G95" s="25" t="str">
        <f>IF(AND($A95&lt;=IF(Calc!$C$36=999,360,Calc!$C$36),Calc!$C$10=1),CHOOSE(Calc!$C$3,INDEX('Snowball Engine'!$AH97:$AV97,Calc!$I$10),INDEX('Avalanche Engine'!$AH97:$AV97,Calc!$J$10),INDEX('My Order Engine'!$AH97:$AV97,Calc!$K$10)),"")</f>
        <v/>
      </c>
      <c r="H95" s="25" t="str">
        <f>IF(AND($A95&lt;=IF(Calc!$C$36=999,360,Calc!$C$36),Calc!$C$11=1),CHOOSE(Calc!$C$3,INDEX('Snowball Engine'!$AH97:$AV97,Calc!$I$11),INDEX('Avalanche Engine'!$AH97:$AV97,Calc!$J$11),INDEX('My Order Engine'!$AH97:$AV97,Calc!$K$11)),"")</f>
        <v/>
      </c>
      <c r="I95" s="25" t="str">
        <f>IF(AND($A95&lt;=IF(Calc!$C$36=999,360,Calc!$C$36),Calc!$C$12=1),CHOOSE(Calc!$C$3,INDEX('Snowball Engine'!$AH97:$AV97,Calc!$I$12),INDEX('Avalanche Engine'!$AH97:$AV97,Calc!$J$12),INDEX('My Order Engine'!$AH97:$AV97,Calc!$K$12)),"")</f>
        <v/>
      </c>
      <c r="J95" s="25" t="str">
        <f>IF(AND($A95&lt;=IF(Calc!$C$36=999,360,Calc!$C$36),Calc!$C$13=1),CHOOSE(Calc!$C$3,INDEX('Snowball Engine'!$AH97:$AV97,Calc!$I$13),INDEX('Avalanche Engine'!$AH97:$AV97,Calc!$J$13),INDEX('My Order Engine'!$AH97:$AV97,Calc!$K$13)),"")</f>
        <v/>
      </c>
      <c r="K95" s="25" t="str">
        <f>IF(AND($A95&lt;=IF(Calc!$C$36=999,360,Calc!$C$36),Calc!$C$14=1),CHOOSE(Calc!$C$3,INDEX('Snowball Engine'!$AH97:$AV97,Calc!$I$14),INDEX('Avalanche Engine'!$AH97:$AV97,Calc!$J$14),INDEX('My Order Engine'!$AH97:$AV97,Calc!$K$14)),"")</f>
        <v/>
      </c>
      <c r="L95" s="25" t="str">
        <f>IF(AND($A95&lt;=IF(Calc!$C$36=999,360,Calc!$C$36),Calc!$C$15=1),CHOOSE(Calc!$C$3,INDEX('Snowball Engine'!$AH97:$AV97,Calc!$I$15),INDEX('Avalanche Engine'!$AH97:$AV97,Calc!$J$15),INDEX('My Order Engine'!$AH97:$AV97,Calc!$K$15)),"")</f>
        <v/>
      </c>
      <c r="M95" s="25" t="str">
        <f>IF(AND($A95&lt;=IF(Calc!$C$36=999,360,Calc!$C$36),Calc!$C$16=1),CHOOSE(Calc!$C$3,INDEX('Snowball Engine'!$AH97:$AV97,Calc!$I$16),INDEX('Avalanche Engine'!$AH97:$AV97,Calc!$J$16),INDEX('My Order Engine'!$AH97:$AV97,Calc!$K$16)),"")</f>
        <v/>
      </c>
      <c r="N95" s="25" t="str">
        <f>IF(AND($A95&lt;=IF(Calc!$C$36=999,360,Calc!$C$36),Calc!$C$17=1),CHOOSE(Calc!$C$3,INDEX('Snowball Engine'!$AH97:$AV97,Calc!$I$17),INDEX('Avalanche Engine'!$AH97:$AV97,Calc!$J$17),INDEX('My Order Engine'!$AH97:$AV97,Calc!$K$17)),"")</f>
        <v/>
      </c>
      <c r="O95" s="25" t="str">
        <f>IF(AND($A95&lt;=IF(Calc!$C$36=999,360,Calc!$C$36),Calc!$C$18=1),CHOOSE(Calc!$C$3,INDEX('Snowball Engine'!$AH97:$AV97,Calc!$I$18),INDEX('Avalanche Engine'!$AH97:$AV97,Calc!$J$18),INDEX('My Order Engine'!$AH97:$AV97,Calc!$K$18)),"")</f>
        <v/>
      </c>
      <c r="P95" s="25" t="str">
        <f>IF(AND($A95&lt;=IF(Calc!$C$36=999,360,Calc!$C$36),Calc!$C$19=1),CHOOSE(Calc!$C$3,INDEX('Snowball Engine'!$AH97:$AV97,Calc!$I$19),INDEX('Avalanche Engine'!$AH97:$AV97,Calc!$J$19),INDEX('My Order Engine'!$AH97:$AV97,Calc!$K$19)),"")</f>
        <v/>
      </c>
      <c r="Q95" s="25" t="str">
        <f>IF(AND($A95&lt;=IF(Calc!$C$36=999,360,Calc!$C$36),Calc!$C$20=1),CHOOSE(Calc!$C$3,INDEX('Snowball Engine'!$AH97:$AV97,Calc!$I$20),INDEX('Avalanche Engine'!$AH97:$AV97,Calc!$J$20),INDEX('My Order Engine'!$AH97:$AV97,Calc!$K$20)),"")</f>
        <v/>
      </c>
      <c r="R95" s="25" t="str">
        <f>IF(AND($A95&lt;=IF(Calc!$C$36=999,360,Calc!$C$36),Calc!$C$21=1),CHOOSE(Calc!$C$3,INDEX('Snowball Engine'!$AH97:$AV97,Calc!$I$21),INDEX('Avalanche Engine'!$AH97:$AV97,Calc!$J$21),INDEX('My Order Engine'!$AH97:$AV97,Calc!$K$21)),"")</f>
        <v/>
      </c>
      <c r="S95" s="25" t="str">
        <f>IF(AND($A95&lt;=IF(Calc!$C$36=999,360,Calc!$C$36),Calc!$C$22=1),CHOOSE(Calc!$C$3,INDEX('Snowball Engine'!$AH97:$AV97,Calc!$I$22),INDEX('Avalanche Engine'!$AH97:$AV97,Calc!$J$22),INDEX('My Order Engine'!$AH97:$AV97,Calc!$K$22)),"")</f>
        <v/>
      </c>
      <c r="T95" s="25" t="str">
        <f>IF(AND($A95&lt;=IF(Calc!$C$36=999,360,Calc!$C$36),Calc!$C$23=1),CHOOSE(Calc!$C$3,INDEX('Snowball Engine'!$AH97:$AV97,Calc!$I$23),INDEX('Avalanche Engine'!$AH97:$AV97,Calc!$J$23),INDEX('My Order Engine'!$AH97:$AV97,Calc!$K$23)),"")</f>
        <v/>
      </c>
      <c r="U95" s="25" t="str">
        <f>IF(AND($A95&lt;=IF(Calc!$C$36=999,360,Calc!$C$36),Calc!$C$24=1),CHOOSE(Calc!$C$3,INDEX('Snowball Engine'!$AH97:$AV97,Calc!$I$24),INDEX('Avalanche Engine'!$AH97:$AV97,Calc!$J$24),INDEX('My Order Engine'!$AH97:$AV97,Calc!$K$24)),"")</f>
        <v/>
      </c>
    </row>
    <row r="96" spans="1:21" x14ac:dyDescent="0.35">
      <c r="A96" s="23">
        <v>92</v>
      </c>
      <c r="B96" s="24" t="str">
        <f>IF($A96&lt;=IF(Calc!$C$36=999,360,Calc!$C$36),EDATE(Calc!$C$5,A96-1),"")</f>
        <v/>
      </c>
      <c r="C96" s="25" t="str">
        <f>IF($A96&lt;=IF(Calc!$C$36=999,360,Calc!$C$36),CHOOSE(Calc!$C$3,'Snowball Engine'!AY98,'Avalanche Engine'!AY98,'My Order Engine'!AY98),"")</f>
        <v/>
      </c>
      <c r="D96" s="25" t="str">
        <f>IF($A96&lt;=IF(Calc!$C$36=999,360,Calc!$C$36),CHOOSE(Calc!$C$3,'Snowball Engine'!AX98,'Avalanche Engine'!AX98,'My Order Engine'!AX98),"")</f>
        <v/>
      </c>
      <c r="E96" s="25" t="str">
        <f>IF($A96&lt;=IF(Calc!$C$36=999,360,Calc!$C$36),C96-D96,"")</f>
        <v/>
      </c>
      <c r="F96" s="25" t="str">
        <f>IF($A96&lt;=IF(Calc!$C$36=999,360,Calc!$C$36),CHOOSE(Calc!$C$3,'Snowball Engine'!AW98,'Avalanche Engine'!AW98,'My Order Engine'!AW98),"")</f>
        <v/>
      </c>
      <c r="G96" s="25" t="str">
        <f>IF(AND($A96&lt;=IF(Calc!$C$36=999,360,Calc!$C$36),Calc!$C$10=1),CHOOSE(Calc!$C$3,INDEX('Snowball Engine'!$AH98:$AV98,Calc!$I$10),INDEX('Avalanche Engine'!$AH98:$AV98,Calc!$J$10),INDEX('My Order Engine'!$AH98:$AV98,Calc!$K$10)),"")</f>
        <v/>
      </c>
      <c r="H96" s="25" t="str">
        <f>IF(AND($A96&lt;=IF(Calc!$C$36=999,360,Calc!$C$36),Calc!$C$11=1),CHOOSE(Calc!$C$3,INDEX('Snowball Engine'!$AH98:$AV98,Calc!$I$11),INDEX('Avalanche Engine'!$AH98:$AV98,Calc!$J$11),INDEX('My Order Engine'!$AH98:$AV98,Calc!$K$11)),"")</f>
        <v/>
      </c>
      <c r="I96" s="25" t="str">
        <f>IF(AND($A96&lt;=IF(Calc!$C$36=999,360,Calc!$C$36),Calc!$C$12=1),CHOOSE(Calc!$C$3,INDEX('Snowball Engine'!$AH98:$AV98,Calc!$I$12),INDEX('Avalanche Engine'!$AH98:$AV98,Calc!$J$12),INDEX('My Order Engine'!$AH98:$AV98,Calc!$K$12)),"")</f>
        <v/>
      </c>
      <c r="J96" s="25" t="str">
        <f>IF(AND($A96&lt;=IF(Calc!$C$36=999,360,Calc!$C$36),Calc!$C$13=1),CHOOSE(Calc!$C$3,INDEX('Snowball Engine'!$AH98:$AV98,Calc!$I$13),INDEX('Avalanche Engine'!$AH98:$AV98,Calc!$J$13),INDEX('My Order Engine'!$AH98:$AV98,Calc!$K$13)),"")</f>
        <v/>
      </c>
      <c r="K96" s="25" t="str">
        <f>IF(AND($A96&lt;=IF(Calc!$C$36=999,360,Calc!$C$36),Calc!$C$14=1),CHOOSE(Calc!$C$3,INDEX('Snowball Engine'!$AH98:$AV98,Calc!$I$14),INDEX('Avalanche Engine'!$AH98:$AV98,Calc!$J$14),INDEX('My Order Engine'!$AH98:$AV98,Calc!$K$14)),"")</f>
        <v/>
      </c>
      <c r="L96" s="25" t="str">
        <f>IF(AND($A96&lt;=IF(Calc!$C$36=999,360,Calc!$C$36),Calc!$C$15=1),CHOOSE(Calc!$C$3,INDEX('Snowball Engine'!$AH98:$AV98,Calc!$I$15),INDEX('Avalanche Engine'!$AH98:$AV98,Calc!$J$15),INDEX('My Order Engine'!$AH98:$AV98,Calc!$K$15)),"")</f>
        <v/>
      </c>
      <c r="M96" s="25" t="str">
        <f>IF(AND($A96&lt;=IF(Calc!$C$36=999,360,Calc!$C$36),Calc!$C$16=1),CHOOSE(Calc!$C$3,INDEX('Snowball Engine'!$AH98:$AV98,Calc!$I$16),INDEX('Avalanche Engine'!$AH98:$AV98,Calc!$J$16),INDEX('My Order Engine'!$AH98:$AV98,Calc!$K$16)),"")</f>
        <v/>
      </c>
      <c r="N96" s="25" t="str">
        <f>IF(AND($A96&lt;=IF(Calc!$C$36=999,360,Calc!$C$36),Calc!$C$17=1),CHOOSE(Calc!$C$3,INDEX('Snowball Engine'!$AH98:$AV98,Calc!$I$17),INDEX('Avalanche Engine'!$AH98:$AV98,Calc!$J$17),INDEX('My Order Engine'!$AH98:$AV98,Calc!$K$17)),"")</f>
        <v/>
      </c>
      <c r="O96" s="25" t="str">
        <f>IF(AND($A96&lt;=IF(Calc!$C$36=999,360,Calc!$C$36),Calc!$C$18=1),CHOOSE(Calc!$C$3,INDEX('Snowball Engine'!$AH98:$AV98,Calc!$I$18),INDEX('Avalanche Engine'!$AH98:$AV98,Calc!$J$18),INDEX('My Order Engine'!$AH98:$AV98,Calc!$K$18)),"")</f>
        <v/>
      </c>
      <c r="P96" s="25" t="str">
        <f>IF(AND($A96&lt;=IF(Calc!$C$36=999,360,Calc!$C$36),Calc!$C$19=1),CHOOSE(Calc!$C$3,INDEX('Snowball Engine'!$AH98:$AV98,Calc!$I$19),INDEX('Avalanche Engine'!$AH98:$AV98,Calc!$J$19),INDEX('My Order Engine'!$AH98:$AV98,Calc!$K$19)),"")</f>
        <v/>
      </c>
      <c r="Q96" s="25" t="str">
        <f>IF(AND($A96&lt;=IF(Calc!$C$36=999,360,Calc!$C$36),Calc!$C$20=1),CHOOSE(Calc!$C$3,INDEX('Snowball Engine'!$AH98:$AV98,Calc!$I$20),INDEX('Avalanche Engine'!$AH98:$AV98,Calc!$J$20),INDEX('My Order Engine'!$AH98:$AV98,Calc!$K$20)),"")</f>
        <v/>
      </c>
      <c r="R96" s="25" t="str">
        <f>IF(AND($A96&lt;=IF(Calc!$C$36=999,360,Calc!$C$36),Calc!$C$21=1),CHOOSE(Calc!$C$3,INDEX('Snowball Engine'!$AH98:$AV98,Calc!$I$21),INDEX('Avalanche Engine'!$AH98:$AV98,Calc!$J$21),INDEX('My Order Engine'!$AH98:$AV98,Calc!$K$21)),"")</f>
        <v/>
      </c>
      <c r="S96" s="25" t="str">
        <f>IF(AND($A96&lt;=IF(Calc!$C$36=999,360,Calc!$C$36),Calc!$C$22=1),CHOOSE(Calc!$C$3,INDEX('Snowball Engine'!$AH98:$AV98,Calc!$I$22),INDEX('Avalanche Engine'!$AH98:$AV98,Calc!$J$22),INDEX('My Order Engine'!$AH98:$AV98,Calc!$K$22)),"")</f>
        <v/>
      </c>
      <c r="T96" s="25" t="str">
        <f>IF(AND($A96&lt;=IF(Calc!$C$36=999,360,Calc!$C$36),Calc!$C$23=1),CHOOSE(Calc!$C$3,INDEX('Snowball Engine'!$AH98:$AV98,Calc!$I$23),INDEX('Avalanche Engine'!$AH98:$AV98,Calc!$J$23),INDEX('My Order Engine'!$AH98:$AV98,Calc!$K$23)),"")</f>
        <v/>
      </c>
      <c r="U96" s="25" t="str">
        <f>IF(AND($A96&lt;=IF(Calc!$C$36=999,360,Calc!$C$36),Calc!$C$24=1),CHOOSE(Calc!$C$3,INDEX('Snowball Engine'!$AH98:$AV98,Calc!$I$24),INDEX('Avalanche Engine'!$AH98:$AV98,Calc!$J$24),INDEX('My Order Engine'!$AH98:$AV98,Calc!$K$24)),"")</f>
        <v/>
      </c>
    </row>
    <row r="97" spans="1:21" x14ac:dyDescent="0.35">
      <c r="A97" s="23">
        <v>93</v>
      </c>
      <c r="B97" s="24" t="str">
        <f>IF($A97&lt;=IF(Calc!$C$36=999,360,Calc!$C$36),EDATE(Calc!$C$5,A97-1),"")</f>
        <v/>
      </c>
      <c r="C97" s="25" t="str">
        <f>IF($A97&lt;=IF(Calc!$C$36=999,360,Calc!$C$36),CHOOSE(Calc!$C$3,'Snowball Engine'!AY99,'Avalanche Engine'!AY99,'My Order Engine'!AY99),"")</f>
        <v/>
      </c>
      <c r="D97" s="25" t="str">
        <f>IF($A97&lt;=IF(Calc!$C$36=999,360,Calc!$C$36),CHOOSE(Calc!$C$3,'Snowball Engine'!AX99,'Avalanche Engine'!AX99,'My Order Engine'!AX99),"")</f>
        <v/>
      </c>
      <c r="E97" s="25" t="str">
        <f>IF($A97&lt;=IF(Calc!$C$36=999,360,Calc!$C$36),C97-D97,"")</f>
        <v/>
      </c>
      <c r="F97" s="25" t="str">
        <f>IF($A97&lt;=IF(Calc!$C$36=999,360,Calc!$C$36),CHOOSE(Calc!$C$3,'Snowball Engine'!AW99,'Avalanche Engine'!AW99,'My Order Engine'!AW99),"")</f>
        <v/>
      </c>
      <c r="G97" s="25" t="str">
        <f>IF(AND($A97&lt;=IF(Calc!$C$36=999,360,Calc!$C$36),Calc!$C$10=1),CHOOSE(Calc!$C$3,INDEX('Snowball Engine'!$AH99:$AV99,Calc!$I$10),INDEX('Avalanche Engine'!$AH99:$AV99,Calc!$J$10),INDEX('My Order Engine'!$AH99:$AV99,Calc!$K$10)),"")</f>
        <v/>
      </c>
      <c r="H97" s="25" t="str">
        <f>IF(AND($A97&lt;=IF(Calc!$C$36=999,360,Calc!$C$36),Calc!$C$11=1),CHOOSE(Calc!$C$3,INDEX('Snowball Engine'!$AH99:$AV99,Calc!$I$11),INDEX('Avalanche Engine'!$AH99:$AV99,Calc!$J$11),INDEX('My Order Engine'!$AH99:$AV99,Calc!$K$11)),"")</f>
        <v/>
      </c>
      <c r="I97" s="25" t="str">
        <f>IF(AND($A97&lt;=IF(Calc!$C$36=999,360,Calc!$C$36),Calc!$C$12=1),CHOOSE(Calc!$C$3,INDEX('Snowball Engine'!$AH99:$AV99,Calc!$I$12),INDEX('Avalanche Engine'!$AH99:$AV99,Calc!$J$12),INDEX('My Order Engine'!$AH99:$AV99,Calc!$K$12)),"")</f>
        <v/>
      </c>
      <c r="J97" s="25" t="str">
        <f>IF(AND($A97&lt;=IF(Calc!$C$36=999,360,Calc!$C$36),Calc!$C$13=1),CHOOSE(Calc!$C$3,INDEX('Snowball Engine'!$AH99:$AV99,Calc!$I$13),INDEX('Avalanche Engine'!$AH99:$AV99,Calc!$J$13),INDEX('My Order Engine'!$AH99:$AV99,Calc!$K$13)),"")</f>
        <v/>
      </c>
      <c r="K97" s="25" t="str">
        <f>IF(AND($A97&lt;=IF(Calc!$C$36=999,360,Calc!$C$36),Calc!$C$14=1),CHOOSE(Calc!$C$3,INDEX('Snowball Engine'!$AH99:$AV99,Calc!$I$14),INDEX('Avalanche Engine'!$AH99:$AV99,Calc!$J$14),INDEX('My Order Engine'!$AH99:$AV99,Calc!$K$14)),"")</f>
        <v/>
      </c>
      <c r="L97" s="25" t="str">
        <f>IF(AND($A97&lt;=IF(Calc!$C$36=999,360,Calc!$C$36),Calc!$C$15=1),CHOOSE(Calc!$C$3,INDEX('Snowball Engine'!$AH99:$AV99,Calc!$I$15),INDEX('Avalanche Engine'!$AH99:$AV99,Calc!$J$15),INDEX('My Order Engine'!$AH99:$AV99,Calc!$K$15)),"")</f>
        <v/>
      </c>
      <c r="M97" s="25" t="str">
        <f>IF(AND($A97&lt;=IF(Calc!$C$36=999,360,Calc!$C$36),Calc!$C$16=1),CHOOSE(Calc!$C$3,INDEX('Snowball Engine'!$AH99:$AV99,Calc!$I$16),INDEX('Avalanche Engine'!$AH99:$AV99,Calc!$J$16),INDEX('My Order Engine'!$AH99:$AV99,Calc!$K$16)),"")</f>
        <v/>
      </c>
      <c r="N97" s="25" t="str">
        <f>IF(AND($A97&lt;=IF(Calc!$C$36=999,360,Calc!$C$36),Calc!$C$17=1),CHOOSE(Calc!$C$3,INDEX('Snowball Engine'!$AH99:$AV99,Calc!$I$17),INDEX('Avalanche Engine'!$AH99:$AV99,Calc!$J$17),INDEX('My Order Engine'!$AH99:$AV99,Calc!$K$17)),"")</f>
        <v/>
      </c>
      <c r="O97" s="25" t="str">
        <f>IF(AND($A97&lt;=IF(Calc!$C$36=999,360,Calc!$C$36),Calc!$C$18=1),CHOOSE(Calc!$C$3,INDEX('Snowball Engine'!$AH99:$AV99,Calc!$I$18),INDEX('Avalanche Engine'!$AH99:$AV99,Calc!$J$18),INDEX('My Order Engine'!$AH99:$AV99,Calc!$K$18)),"")</f>
        <v/>
      </c>
      <c r="P97" s="25" t="str">
        <f>IF(AND($A97&lt;=IF(Calc!$C$36=999,360,Calc!$C$36),Calc!$C$19=1),CHOOSE(Calc!$C$3,INDEX('Snowball Engine'!$AH99:$AV99,Calc!$I$19),INDEX('Avalanche Engine'!$AH99:$AV99,Calc!$J$19),INDEX('My Order Engine'!$AH99:$AV99,Calc!$K$19)),"")</f>
        <v/>
      </c>
      <c r="Q97" s="25" t="str">
        <f>IF(AND($A97&lt;=IF(Calc!$C$36=999,360,Calc!$C$36),Calc!$C$20=1),CHOOSE(Calc!$C$3,INDEX('Snowball Engine'!$AH99:$AV99,Calc!$I$20),INDEX('Avalanche Engine'!$AH99:$AV99,Calc!$J$20),INDEX('My Order Engine'!$AH99:$AV99,Calc!$K$20)),"")</f>
        <v/>
      </c>
      <c r="R97" s="25" t="str">
        <f>IF(AND($A97&lt;=IF(Calc!$C$36=999,360,Calc!$C$36),Calc!$C$21=1),CHOOSE(Calc!$C$3,INDEX('Snowball Engine'!$AH99:$AV99,Calc!$I$21),INDEX('Avalanche Engine'!$AH99:$AV99,Calc!$J$21),INDEX('My Order Engine'!$AH99:$AV99,Calc!$K$21)),"")</f>
        <v/>
      </c>
      <c r="S97" s="25" t="str">
        <f>IF(AND($A97&lt;=IF(Calc!$C$36=999,360,Calc!$C$36),Calc!$C$22=1),CHOOSE(Calc!$C$3,INDEX('Snowball Engine'!$AH99:$AV99,Calc!$I$22),INDEX('Avalanche Engine'!$AH99:$AV99,Calc!$J$22),INDEX('My Order Engine'!$AH99:$AV99,Calc!$K$22)),"")</f>
        <v/>
      </c>
      <c r="T97" s="25" t="str">
        <f>IF(AND($A97&lt;=IF(Calc!$C$36=999,360,Calc!$C$36),Calc!$C$23=1),CHOOSE(Calc!$C$3,INDEX('Snowball Engine'!$AH99:$AV99,Calc!$I$23),INDEX('Avalanche Engine'!$AH99:$AV99,Calc!$J$23),INDEX('My Order Engine'!$AH99:$AV99,Calc!$K$23)),"")</f>
        <v/>
      </c>
      <c r="U97" s="25" t="str">
        <f>IF(AND($A97&lt;=IF(Calc!$C$36=999,360,Calc!$C$36),Calc!$C$24=1),CHOOSE(Calc!$C$3,INDEX('Snowball Engine'!$AH99:$AV99,Calc!$I$24),INDEX('Avalanche Engine'!$AH99:$AV99,Calc!$J$24),INDEX('My Order Engine'!$AH99:$AV99,Calc!$K$24)),"")</f>
        <v/>
      </c>
    </row>
    <row r="98" spans="1:21" x14ac:dyDescent="0.35">
      <c r="A98" s="23">
        <v>94</v>
      </c>
      <c r="B98" s="24" t="str">
        <f>IF($A98&lt;=IF(Calc!$C$36=999,360,Calc!$C$36),EDATE(Calc!$C$5,A98-1),"")</f>
        <v/>
      </c>
      <c r="C98" s="25" t="str">
        <f>IF($A98&lt;=IF(Calc!$C$36=999,360,Calc!$C$36),CHOOSE(Calc!$C$3,'Snowball Engine'!AY100,'Avalanche Engine'!AY100,'My Order Engine'!AY100),"")</f>
        <v/>
      </c>
      <c r="D98" s="25" t="str">
        <f>IF($A98&lt;=IF(Calc!$C$36=999,360,Calc!$C$36),CHOOSE(Calc!$C$3,'Snowball Engine'!AX100,'Avalanche Engine'!AX100,'My Order Engine'!AX100),"")</f>
        <v/>
      </c>
      <c r="E98" s="25" t="str">
        <f>IF($A98&lt;=IF(Calc!$C$36=999,360,Calc!$C$36),C98-D98,"")</f>
        <v/>
      </c>
      <c r="F98" s="25" t="str">
        <f>IF($A98&lt;=IF(Calc!$C$36=999,360,Calc!$C$36),CHOOSE(Calc!$C$3,'Snowball Engine'!AW100,'Avalanche Engine'!AW100,'My Order Engine'!AW100),"")</f>
        <v/>
      </c>
      <c r="G98" s="25" t="str">
        <f>IF(AND($A98&lt;=IF(Calc!$C$36=999,360,Calc!$C$36),Calc!$C$10=1),CHOOSE(Calc!$C$3,INDEX('Snowball Engine'!$AH100:$AV100,Calc!$I$10),INDEX('Avalanche Engine'!$AH100:$AV100,Calc!$J$10),INDEX('My Order Engine'!$AH100:$AV100,Calc!$K$10)),"")</f>
        <v/>
      </c>
      <c r="H98" s="25" t="str">
        <f>IF(AND($A98&lt;=IF(Calc!$C$36=999,360,Calc!$C$36),Calc!$C$11=1),CHOOSE(Calc!$C$3,INDEX('Snowball Engine'!$AH100:$AV100,Calc!$I$11),INDEX('Avalanche Engine'!$AH100:$AV100,Calc!$J$11),INDEX('My Order Engine'!$AH100:$AV100,Calc!$K$11)),"")</f>
        <v/>
      </c>
      <c r="I98" s="25" t="str">
        <f>IF(AND($A98&lt;=IF(Calc!$C$36=999,360,Calc!$C$36),Calc!$C$12=1),CHOOSE(Calc!$C$3,INDEX('Snowball Engine'!$AH100:$AV100,Calc!$I$12),INDEX('Avalanche Engine'!$AH100:$AV100,Calc!$J$12),INDEX('My Order Engine'!$AH100:$AV100,Calc!$K$12)),"")</f>
        <v/>
      </c>
      <c r="J98" s="25" t="str">
        <f>IF(AND($A98&lt;=IF(Calc!$C$36=999,360,Calc!$C$36),Calc!$C$13=1),CHOOSE(Calc!$C$3,INDEX('Snowball Engine'!$AH100:$AV100,Calc!$I$13),INDEX('Avalanche Engine'!$AH100:$AV100,Calc!$J$13),INDEX('My Order Engine'!$AH100:$AV100,Calc!$K$13)),"")</f>
        <v/>
      </c>
      <c r="K98" s="25" t="str">
        <f>IF(AND($A98&lt;=IF(Calc!$C$36=999,360,Calc!$C$36),Calc!$C$14=1),CHOOSE(Calc!$C$3,INDEX('Snowball Engine'!$AH100:$AV100,Calc!$I$14),INDEX('Avalanche Engine'!$AH100:$AV100,Calc!$J$14),INDEX('My Order Engine'!$AH100:$AV100,Calc!$K$14)),"")</f>
        <v/>
      </c>
      <c r="L98" s="25" t="str">
        <f>IF(AND($A98&lt;=IF(Calc!$C$36=999,360,Calc!$C$36),Calc!$C$15=1),CHOOSE(Calc!$C$3,INDEX('Snowball Engine'!$AH100:$AV100,Calc!$I$15),INDEX('Avalanche Engine'!$AH100:$AV100,Calc!$J$15),INDEX('My Order Engine'!$AH100:$AV100,Calc!$K$15)),"")</f>
        <v/>
      </c>
      <c r="M98" s="25" t="str">
        <f>IF(AND($A98&lt;=IF(Calc!$C$36=999,360,Calc!$C$36),Calc!$C$16=1),CHOOSE(Calc!$C$3,INDEX('Snowball Engine'!$AH100:$AV100,Calc!$I$16),INDEX('Avalanche Engine'!$AH100:$AV100,Calc!$J$16),INDEX('My Order Engine'!$AH100:$AV100,Calc!$K$16)),"")</f>
        <v/>
      </c>
      <c r="N98" s="25" t="str">
        <f>IF(AND($A98&lt;=IF(Calc!$C$36=999,360,Calc!$C$36),Calc!$C$17=1),CHOOSE(Calc!$C$3,INDEX('Snowball Engine'!$AH100:$AV100,Calc!$I$17),INDEX('Avalanche Engine'!$AH100:$AV100,Calc!$J$17),INDEX('My Order Engine'!$AH100:$AV100,Calc!$K$17)),"")</f>
        <v/>
      </c>
      <c r="O98" s="25" t="str">
        <f>IF(AND($A98&lt;=IF(Calc!$C$36=999,360,Calc!$C$36),Calc!$C$18=1),CHOOSE(Calc!$C$3,INDEX('Snowball Engine'!$AH100:$AV100,Calc!$I$18),INDEX('Avalanche Engine'!$AH100:$AV100,Calc!$J$18),INDEX('My Order Engine'!$AH100:$AV100,Calc!$K$18)),"")</f>
        <v/>
      </c>
      <c r="P98" s="25" t="str">
        <f>IF(AND($A98&lt;=IF(Calc!$C$36=999,360,Calc!$C$36),Calc!$C$19=1),CHOOSE(Calc!$C$3,INDEX('Snowball Engine'!$AH100:$AV100,Calc!$I$19),INDEX('Avalanche Engine'!$AH100:$AV100,Calc!$J$19),INDEX('My Order Engine'!$AH100:$AV100,Calc!$K$19)),"")</f>
        <v/>
      </c>
      <c r="Q98" s="25" t="str">
        <f>IF(AND($A98&lt;=IF(Calc!$C$36=999,360,Calc!$C$36),Calc!$C$20=1),CHOOSE(Calc!$C$3,INDEX('Snowball Engine'!$AH100:$AV100,Calc!$I$20),INDEX('Avalanche Engine'!$AH100:$AV100,Calc!$J$20),INDEX('My Order Engine'!$AH100:$AV100,Calc!$K$20)),"")</f>
        <v/>
      </c>
      <c r="R98" s="25" t="str">
        <f>IF(AND($A98&lt;=IF(Calc!$C$36=999,360,Calc!$C$36),Calc!$C$21=1),CHOOSE(Calc!$C$3,INDEX('Snowball Engine'!$AH100:$AV100,Calc!$I$21),INDEX('Avalanche Engine'!$AH100:$AV100,Calc!$J$21),INDEX('My Order Engine'!$AH100:$AV100,Calc!$K$21)),"")</f>
        <v/>
      </c>
      <c r="S98" s="25" t="str">
        <f>IF(AND($A98&lt;=IF(Calc!$C$36=999,360,Calc!$C$36),Calc!$C$22=1),CHOOSE(Calc!$C$3,INDEX('Snowball Engine'!$AH100:$AV100,Calc!$I$22),INDEX('Avalanche Engine'!$AH100:$AV100,Calc!$J$22),INDEX('My Order Engine'!$AH100:$AV100,Calc!$K$22)),"")</f>
        <v/>
      </c>
      <c r="T98" s="25" t="str">
        <f>IF(AND($A98&lt;=IF(Calc!$C$36=999,360,Calc!$C$36),Calc!$C$23=1),CHOOSE(Calc!$C$3,INDEX('Snowball Engine'!$AH100:$AV100,Calc!$I$23),INDEX('Avalanche Engine'!$AH100:$AV100,Calc!$J$23),INDEX('My Order Engine'!$AH100:$AV100,Calc!$K$23)),"")</f>
        <v/>
      </c>
      <c r="U98" s="25" t="str">
        <f>IF(AND($A98&lt;=IF(Calc!$C$36=999,360,Calc!$C$36),Calc!$C$24=1),CHOOSE(Calc!$C$3,INDEX('Snowball Engine'!$AH100:$AV100,Calc!$I$24),INDEX('Avalanche Engine'!$AH100:$AV100,Calc!$J$24),INDEX('My Order Engine'!$AH100:$AV100,Calc!$K$24)),"")</f>
        <v/>
      </c>
    </row>
    <row r="99" spans="1:21" x14ac:dyDescent="0.35">
      <c r="A99" s="23">
        <v>95</v>
      </c>
      <c r="B99" s="24" t="str">
        <f>IF($A99&lt;=IF(Calc!$C$36=999,360,Calc!$C$36),EDATE(Calc!$C$5,A99-1),"")</f>
        <v/>
      </c>
      <c r="C99" s="25" t="str">
        <f>IF($A99&lt;=IF(Calc!$C$36=999,360,Calc!$C$36),CHOOSE(Calc!$C$3,'Snowball Engine'!AY101,'Avalanche Engine'!AY101,'My Order Engine'!AY101),"")</f>
        <v/>
      </c>
      <c r="D99" s="25" t="str">
        <f>IF($A99&lt;=IF(Calc!$C$36=999,360,Calc!$C$36),CHOOSE(Calc!$C$3,'Snowball Engine'!AX101,'Avalanche Engine'!AX101,'My Order Engine'!AX101),"")</f>
        <v/>
      </c>
      <c r="E99" s="25" t="str">
        <f>IF($A99&lt;=IF(Calc!$C$36=999,360,Calc!$C$36),C99-D99,"")</f>
        <v/>
      </c>
      <c r="F99" s="25" t="str">
        <f>IF($A99&lt;=IF(Calc!$C$36=999,360,Calc!$C$36),CHOOSE(Calc!$C$3,'Snowball Engine'!AW101,'Avalanche Engine'!AW101,'My Order Engine'!AW101),"")</f>
        <v/>
      </c>
      <c r="G99" s="25" t="str">
        <f>IF(AND($A99&lt;=IF(Calc!$C$36=999,360,Calc!$C$36),Calc!$C$10=1),CHOOSE(Calc!$C$3,INDEX('Snowball Engine'!$AH101:$AV101,Calc!$I$10),INDEX('Avalanche Engine'!$AH101:$AV101,Calc!$J$10),INDEX('My Order Engine'!$AH101:$AV101,Calc!$K$10)),"")</f>
        <v/>
      </c>
      <c r="H99" s="25" t="str">
        <f>IF(AND($A99&lt;=IF(Calc!$C$36=999,360,Calc!$C$36),Calc!$C$11=1),CHOOSE(Calc!$C$3,INDEX('Snowball Engine'!$AH101:$AV101,Calc!$I$11),INDEX('Avalanche Engine'!$AH101:$AV101,Calc!$J$11),INDEX('My Order Engine'!$AH101:$AV101,Calc!$K$11)),"")</f>
        <v/>
      </c>
      <c r="I99" s="25" t="str">
        <f>IF(AND($A99&lt;=IF(Calc!$C$36=999,360,Calc!$C$36),Calc!$C$12=1),CHOOSE(Calc!$C$3,INDEX('Snowball Engine'!$AH101:$AV101,Calc!$I$12),INDEX('Avalanche Engine'!$AH101:$AV101,Calc!$J$12),INDEX('My Order Engine'!$AH101:$AV101,Calc!$K$12)),"")</f>
        <v/>
      </c>
      <c r="J99" s="25" t="str">
        <f>IF(AND($A99&lt;=IF(Calc!$C$36=999,360,Calc!$C$36),Calc!$C$13=1),CHOOSE(Calc!$C$3,INDEX('Snowball Engine'!$AH101:$AV101,Calc!$I$13),INDEX('Avalanche Engine'!$AH101:$AV101,Calc!$J$13),INDEX('My Order Engine'!$AH101:$AV101,Calc!$K$13)),"")</f>
        <v/>
      </c>
      <c r="K99" s="25" t="str">
        <f>IF(AND($A99&lt;=IF(Calc!$C$36=999,360,Calc!$C$36),Calc!$C$14=1),CHOOSE(Calc!$C$3,INDEX('Snowball Engine'!$AH101:$AV101,Calc!$I$14),INDEX('Avalanche Engine'!$AH101:$AV101,Calc!$J$14),INDEX('My Order Engine'!$AH101:$AV101,Calc!$K$14)),"")</f>
        <v/>
      </c>
      <c r="L99" s="25" t="str">
        <f>IF(AND($A99&lt;=IF(Calc!$C$36=999,360,Calc!$C$36),Calc!$C$15=1),CHOOSE(Calc!$C$3,INDEX('Snowball Engine'!$AH101:$AV101,Calc!$I$15),INDEX('Avalanche Engine'!$AH101:$AV101,Calc!$J$15),INDEX('My Order Engine'!$AH101:$AV101,Calc!$K$15)),"")</f>
        <v/>
      </c>
      <c r="M99" s="25" t="str">
        <f>IF(AND($A99&lt;=IF(Calc!$C$36=999,360,Calc!$C$36),Calc!$C$16=1),CHOOSE(Calc!$C$3,INDEX('Snowball Engine'!$AH101:$AV101,Calc!$I$16),INDEX('Avalanche Engine'!$AH101:$AV101,Calc!$J$16),INDEX('My Order Engine'!$AH101:$AV101,Calc!$K$16)),"")</f>
        <v/>
      </c>
      <c r="N99" s="25" t="str">
        <f>IF(AND($A99&lt;=IF(Calc!$C$36=999,360,Calc!$C$36),Calc!$C$17=1),CHOOSE(Calc!$C$3,INDEX('Snowball Engine'!$AH101:$AV101,Calc!$I$17),INDEX('Avalanche Engine'!$AH101:$AV101,Calc!$J$17),INDEX('My Order Engine'!$AH101:$AV101,Calc!$K$17)),"")</f>
        <v/>
      </c>
      <c r="O99" s="25" t="str">
        <f>IF(AND($A99&lt;=IF(Calc!$C$36=999,360,Calc!$C$36),Calc!$C$18=1),CHOOSE(Calc!$C$3,INDEX('Snowball Engine'!$AH101:$AV101,Calc!$I$18),INDEX('Avalanche Engine'!$AH101:$AV101,Calc!$J$18),INDEX('My Order Engine'!$AH101:$AV101,Calc!$K$18)),"")</f>
        <v/>
      </c>
      <c r="P99" s="25" t="str">
        <f>IF(AND($A99&lt;=IF(Calc!$C$36=999,360,Calc!$C$36),Calc!$C$19=1),CHOOSE(Calc!$C$3,INDEX('Snowball Engine'!$AH101:$AV101,Calc!$I$19),INDEX('Avalanche Engine'!$AH101:$AV101,Calc!$J$19),INDEX('My Order Engine'!$AH101:$AV101,Calc!$K$19)),"")</f>
        <v/>
      </c>
      <c r="Q99" s="25" t="str">
        <f>IF(AND($A99&lt;=IF(Calc!$C$36=999,360,Calc!$C$36),Calc!$C$20=1),CHOOSE(Calc!$C$3,INDEX('Snowball Engine'!$AH101:$AV101,Calc!$I$20),INDEX('Avalanche Engine'!$AH101:$AV101,Calc!$J$20),INDEX('My Order Engine'!$AH101:$AV101,Calc!$K$20)),"")</f>
        <v/>
      </c>
      <c r="R99" s="25" t="str">
        <f>IF(AND($A99&lt;=IF(Calc!$C$36=999,360,Calc!$C$36),Calc!$C$21=1),CHOOSE(Calc!$C$3,INDEX('Snowball Engine'!$AH101:$AV101,Calc!$I$21),INDEX('Avalanche Engine'!$AH101:$AV101,Calc!$J$21),INDEX('My Order Engine'!$AH101:$AV101,Calc!$K$21)),"")</f>
        <v/>
      </c>
      <c r="S99" s="25" t="str">
        <f>IF(AND($A99&lt;=IF(Calc!$C$36=999,360,Calc!$C$36),Calc!$C$22=1),CHOOSE(Calc!$C$3,INDEX('Snowball Engine'!$AH101:$AV101,Calc!$I$22),INDEX('Avalanche Engine'!$AH101:$AV101,Calc!$J$22),INDEX('My Order Engine'!$AH101:$AV101,Calc!$K$22)),"")</f>
        <v/>
      </c>
      <c r="T99" s="25" t="str">
        <f>IF(AND($A99&lt;=IF(Calc!$C$36=999,360,Calc!$C$36),Calc!$C$23=1),CHOOSE(Calc!$C$3,INDEX('Snowball Engine'!$AH101:$AV101,Calc!$I$23),INDEX('Avalanche Engine'!$AH101:$AV101,Calc!$J$23),INDEX('My Order Engine'!$AH101:$AV101,Calc!$K$23)),"")</f>
        <v/>
      </c>
      <c r="U99" s="25" t="str">
        <f>IF(AND($A99&lt;=IF(Calc!$C$36=999,360,Calc!$C$36),Calc!$C$24=1),CHOOSE(Calc!$C$3,INDEX('Snowball Engine'!$AH101:$AV101,Calc!$I$24),INDEX('Avalanche Engine'!$AH101:$AV101,Calc!$J$24),INDEX('My Order Engine'!$AH101:$AV101,Calc!$K$24)),"")</f>
        <v/>
      </c>
    </row>
    <row r="100" spans="1:21" x14ac:dyDescent="0.35">
      <c r="A100" s="23">
        <v>96</v>
      </c>
      <c r="B100" s="24" t="str">
        <f>IF($A100&lt;=IF(Calc!$C$36=999,360,Calc!$C$36),EDATE(Calc!$C$5,A100-1),"")</f>
        <v/>
      </c>
      <c r="C100" s="25" t="str">
        <f>IF($A100&lt;=IF(Calc!$C$36=999,360,Calc!$C$36),CHOOSE(Calc!$C$3,'Snowball Engine'!AY102,'Avalanche Engine'!AY102,'My Order Engine'!AY102),"")</f>
        <v/>
      </c>
      <c r="D100" s="25" t="str">
        <f>IF($A100&lt;=IF(Calc!$C$36=999,360,Calc!$C$36),CHOOSE(Calc!$C$3,'Snowball Engine'!AX102,'Avalanche Engine'!AX102,'My Order Engine'!AX102),"")</f>
        <v/>
      </c>
      <c r="E100" s="25" t="str">
        <f>IF($A100&lt;=IF(Calc!$C$36=999,360,Calc!$C$36),C100-D100,"")</f>
        <v/>
      </c>
      <c r="F100" s="25" t="str">
        <f>IF($A100&lt;=IF(Calc!$C$36=999,360,Calc!$C$36),CHOOSE(Calc!$C$3,'Snowball Engine'!AW102,'Avalanche Engine'!AW102,'My Order Engine'!AW102),"")</f>
        <v/>
      </c>
      <c r="G100" s="25" t="str">
        <f>IF(AND($A100&lt;=IF(Calc!$C$36=999,360,Calc!$C$36),Calc!$C$10=1),CHOOSE(Calc!$C$3,INDEX('Snowball Engine'!$AH102:$AV102,Calc!$I$10),INDEX('Avalanche Engine'!$AH102:$AV102,Calc!$J$10),INDEX('My Order Engine'!$AH102:$AV102,Calc!$K$10)),"")</f>
        <v/>
      </c>
      <c r="H100" s="25" t="str">
        <f>IF(AND($A100&lt;=IF(Calc!$C$36=999,360,Calc!$C$36),Calc!$C$11=1),CHOOSE(Calc!$C$3,INDEX('Snowball Engine'!$AH102:$AV102,Calc!$I$11),INDEX('Avalanche Engine'!$AH102:$AV102,Calc!$J$11),INDEX('My Order Engine'!$AH102:$AV102,Calc!$K$11)),"")</f>
        <v/>
      </c>
      <c r="I100" s="25" t="str">
        <f>IF(AND($A100&lt;=IF(Calc!$C$36=999,360,Calc!$C$36),Calc!$C$12=1),CHOOSE(Calc!$C$3,INDEX('Snowball Engine'!$AH102:$AV102,Calc!$I$12),INDEX('Avalanche Engine'!$AH102:$AV102,Calc!$J$12),INDEX('My Order Engine'!$AH102:$AV102,Calc!$K$12)),"")</f>
        <v/>
      </c>
      <c r="J100" s="25" t="str">
        <f>IF(AND($A100&lt;=IF(Calc!$C$36=999,360,Calc!$C$36),Calc!$C$13=1),CHOOSE(Calc!$C$3,INDEX('Snowball Engine'!$AH102:$AV102,Calc!$I$13),INDEX('Avalanche Engine'!$AH102:$AV102,Calc!$J$13),INDEX('My Order Engine'!$AH102:$AV102,Calc!$K$13)),"")</f>
        <v/>
      </c>
      <c r="K100" s="25" t="str">
        <f>IF(AND($A100&lt;=IF(Calc!$C$36=999,360,Calc!$C$36),Calc!$C$14=1),CHOOSE(Calc!$C$3,INDEX('Snowball Engine'!$AH102:$AV102,Calc!$I$14),INDEX('Avalanche Engine'!$AH102:$AV102,Calc!$J$14),INDEX('My Order Engine'!$AH102:$AV102,Calc!$K$14)),"")</f>
        <v/>
      </c>
      <c r="L100" s="25" t="str">
        <f>IF(AND($A100&lt;=IF(Calc!$C$36=999,360,Calc!$C$36),Calc!$C$15=1),CHOOSE(Calc!$C$3,INDEX('Snowball Engine'!$AH102:$AV102,Calc!$I$15),INDEX('Avalanche Engine'!$AH102:$AV102,Calc!$J$15),INDEX('My Order Engine'!$AH102:$AV102,Calc!$K$15)),"")</f>
        <v/>
      </c>
      <c r="M100" s="25" t="str">
        <f>IF(AND($A100&lt;=IF(Calc!$C$36=999,360,Calc!$C$36),Calc!$C$16=1),CHOOSE(Calc!$C$3,INDEX('Snowball Engine'!$AH102:$AV102,Calc!$I$16),INDEX('Avalanche Engine'!$AH102:$AV102,Calc!$J$16),INDEX('My Order Engine'!$AH102:$AV102,Calc!$K$16)),"")</f>
        <v/>
      </c>
      <c r="N100" s="25" t="str">
        <f>IF(AND($A100&lt;=IF(Calc!$C$36=999,360,Calc!$C$36),Calc!$C$17=1),CHOOSE(Calc!$C$3,INDEX('Snowball Engine'!$AH102:$AV102,Calc!$I$17),INDEX('Avalanche Engine'!$AH102:$AV102,Calc!$J$17),INDEX('My Order Engine'!$AH102:$AV102,Calc!$K$17)),"")</f>
        <v/>
      </c>
      <c r="O100" s="25" t="str">
        <f>IF(AND($A100&lt;=IF(Calc!$C$36=999,360,Calc!$C$36),Calc!$C$18=1),CHOOSE(Calc!$C$3,INDEX('Snowball Engine'!$AH102:$AV102,Calc!$I$18),INDEX('Avalanche Engine'!$AH102:$AV102,Calc!$J$18),INDEX('My Order Engine'!$AH102:$AV102,Calc!$K$18)),"")</f>
        <v/>
      </c>
      <c r="P100" s="25" t="str">
        <f>IF(AND($A100&lt;=IF(Calc!$C$36=999,360,Calc!$C$36),Calc!$C$19=1),CHOOSE(Calc!$C$3,INDEX('Snowball Engine'!$AH102:$AV102,Calc!$I$19),INDEX('Avalanche Engine'!$AH102:$AV102,Calc!$J$19),INDEX('My Order Engine'!$AH102:$AV102,Calc!$K$19)),"")</f>
        <v/>
      </c>
      <c r="Q100" s="25" t="str">
        <f>IF(AND($A100&lt;=IF(Calc!$C$36=999,360,Calc!$C$36),Calc!$C$20=1),CHOOSE(Calc!$C$3,INDEX('Snowball Engine'!$AH102:$AV102,Calc!$I$20),INDEX('Avalanche Engine'!$AH102:$AV102,Calc!$J$20),INDEX('My Order Engine'!$AH102:$AV102,Calc!$K$20)),"")</f>
        <v/>
      </c>
      <c r="R100" s="25" t="str">
        <f>IF(AND($A100&lt;=IF(Calc!$C$36=999,360,Calc!$C$36),Calc!$C$21=1),CHOOSE(Calc!$C$3,INDEX('Snowball Engine'!$AH102:$AV102,Calc!$I$21),INDEX('Avalanche Engine'!$AH102:$AV102,Calc!$J$21),INDEX('My Order Engine'!$AH102:$AV102,Calc!$K$21)),"")</f>
        <v/>
      </c>
      <c r="S100" s="25" t="str">
        <f>IF(AND($A100&lt;=IF(Calc!$C$36=999,360,Calc!$C$36),Calc!$C$22=1),CHOOSE(Calc!$C$3,INDEX('Snowball Engine'!$AH102:$AV102,Calc!$I$22),INDEX('Avalanche Engine'!$AH102:$AV102,Calc!$J$22),INDEX('My Order Engine'!$AH102:$AV102,Calc!$K$22)),"")</f>
        <v/>
      </c>
      <c r="T100" s="25" t="str">
        <f>IF(AND($A100&lt;=IF(Calc!$C$36=999,360,Calc!$C$36),Calc!$C$23=1),CHOOSE(Calc!$C$3,INDEX('Snowball Engine'!$AH102:$AV102,Calc!$I$23),INDEX('Avalanche Engine'!$AH102:$AV102,Calc!$J$23),INDEX('My Order Engine'!$AH102:$AV102,Calc!$K$23)),"")</f>
        <v/>
      </c>
      <c r="U100" s="25" t="str">
        <f>IF(AND($A100&lt;=IF(Calc!$C$36=999,360,Calc!$C$36),Calc!$C$24=1),CHOOSE(Calc!$C$3,INDEX('Snowball Engine'!$AH102:$AV102,Calc!$I$24),INDEX('Avalanche Engine'!$AH102:$AV102,Calc!$J$24),INDEX('My Order Engine'!$AH102:$AV102,Calc!$K$24)),"")</f>
        <v/>
      </c>
    </row>
    <row r="101" spans="1:21" x14ac:dyDescent="0.35">
      <c r="A101" s="23">
        <v>97</v>
      </c>
      <c r="B101" s="24" t="str">
        <f>IF($A101&lt;=IF(Calc!$C$36=999,360,Calc!$C$36),EDATE(Calc!$C$5,A101-1),"")</f>
        <v/>
      </c>
      <c r="C101" s="25" t="str">
        <f>IF($A101&lt;=IF(Calc!$C$36=999,360,Calc!$C$36),CHOOSE(Calc!$C$3,'Snowball Engine'!AY103,'Avalanche Engine'!AY103,'My Order Engine'!AY103),"")</f>
        <v/>
      </c>
      <c r="D101" s="25" t="str">
        <f>IF($A101&lt;=IF(Calc!$C$36=999,360,Calc!$C$36),CHOOSE(Calc!$C$3,'Snowball Engine'!AX103,'Avalanche Engine'!AX103,'My Order Engine'!AX103),"")</f>
        <v/>
      </c>
      <c r="E101" s="25" t="str">
        <f>IF($A101&lt;=IF(Calc!$C$36=999,360,Calc!$C$36),C101-D101,"")</f>
        <v/>
      </c>
      <c r="F101" s="25" t="str">
        <f>IF($A101&lt;=IF(Calc!$C$36=999,360,Calc!$C$36),CHOOSE(Calc!$C$3,'Snowball Engine'!AW103,'Avalanche Engine'!AW103,'My Order Engine'!AW103),"")</f>
        <v/>
      </c>
      <c r="G101" s="25" t="str">
        <f>IF(AND($A101&lt;=IF(Calc!$C$36=999,360,Calc!$C$36),Calc!$C$10=1),CHOOSE(Calc!$C$3,INDEX('Snowball Engine'!$AH103:$AV103,Calc!$I$10),INDEX('Avalanche Engine'!$AH103:$AV103,Calc!$J$10),INDEX('My Order Engine'!$AH103:$AV103,Calc!$K$10)),"")</f>
        <v/>
      </c>
      <c r="H101" s="25" t="str">
        <f>IF(AND($A101&lt;=IF(Calc!$C$36=999,360,Calc!$C$36),Calc!$C$11=1),CHOOSE(Calc!$C$3,INDEX('Snowball Engine'!$AH103:$AV103,Calc!$I$11),INDEX('Avalanche Engine'!$AH103:$AV103,Calc!$J$11),INDEX('My Order Engine'!$AH103:$AV103,Calc!$K$11)),"")</f>
        <v/>
      </c>
      <c r="I101" s="25" t="str">
        <f>IF(AND($A101&lt;=IF(Calc!$C$36=999,360,Calc!$C$36),Calc!$C$12=1),CHOOSE(Calc!$C$3,INDEX('Snowball Engine'!$AH103:$AV103,Calc!$I$12),INDEX('Avalanche Engine'!$AH103:$AV103,Calc!$J$12),INDEX('My Order Engine'!$AH103:$AV103,Calc!$K$12)),"")</f>
        <v/>
      </c>
      <c r="J101" s="25" t="str">
        <f>IF(AND($A101&lt;=IF(Calc!$C$36=999,360,Calc!$C$36),Calc!$C$13=1),CHOOSE(Calc!$C$3,INDEX('Snowball Engine'!$AH103:$AV103,Calc!$I$13),INDEX('Avalanche Engine'!$AH103:$AV103,Calc!$J$13),INDEX('My Order Engine'!$AH103:$AV103,Calc!$K$13)),"")</f>
        <v/>
      </c>
      <c r="K101" s="25" t="str">
        <f>IF(AND($A101&lt;=IF(Calc!$C$36=999,360,Calc!$C$36),Calc!$C$14=1),CHOOSE(Calc!$C$3,INDEX('Snowball Engine'!$AH103:$AV103,Calc!$I$14),INDEX('Avalanche Engine'!$AH103:$AV103,Calc!$J$14),INDEX('My Order Engine'!$AH103:$AV103,Calc!$K$14)),"")</f>
        <v/>
      </c>
      <c r="L101" s="25" t="str">
        <f>IF(AND($A101&lt;=IF(Calc!$C$36=999,360,Calc!$C$36),Calc!$C$15=1),CHOOSE(Calc!$C$3,INDEX('Snowball Engine'!$AH103:$AV103,Calc!$I$15),INDEX('Avalanche Engine'!$AH103:$AV103,Calc!$J$15),INDEX('My Order Engine'!$AH103:$AV103,Calc!$K$15)),"")</f>
        <v/>
      </c>
      <c r="M101" s="25" t="str">
        <f>IF(AND($A101&lt;=IF(Calc!$C$36=999,360,Calc!$C$36),Calc!$C$16=1),CHOOSE(Calc!$C$3,INDEX('Snowball Engine'!$AH103:$AV103,Calc!$I$16),INDEX('Avalanche Engine'!$AH103:$AV103,Calc!$J$16),INDEX('My Order Engine'!$AH103:$AV103,Calc!$K$16)),"")</f>
        <v/>
      </c>
      <c r="N101" s="25" t="str">
        <f>IF(AND($A101&lt;=IF(Calc!$C$36=999,360,Calc!$C$36),Calc!$C$17=1),CHOOSE(Calc!$C$3,INDEX('Snowball Engine'!$AH103:$AV103,Calc!$I$17),INDEX('Avalanche Engine'!$AH103:$AV103,Calc!$J$17),INDEX('My Order Engine'!$AH103:$AV103,Calc!$K$17)),"")</f>
        <v/>
      </c>
      <c r="O101" s="25" t="str">
        <f>IF(AND($A101&lt;=IF(Calc!$C$36=999,360,Calc!$C$36),Calc!$C$18=1),CHOOSE(Calc!$C$3,INDEX('Snowball Engine'!$AH103:$AV103,Calc!$I$18),INDEX('Avalanche Engine'!$AH103:$AV103,Calc!$J$18),INDEX('My Order Engine'!$AH103:$AV103,Calc!$K$18)),"")</f>
        <v/>
      </c>
      <c r="P101" s="25" t="str">
        <f>IF(AND($A101&lt;=IF(Calc!$C$36=999,360,Calc!$C$36),Calc!$C$19=1),CHOOSE(Calc!$C$3,INDEX('Snowball Engine'!$AH103:$AV103,Calc!$I$19),INDEX('Avalanche Engine'!$AH103:$AV103,Calc!$J$19),INDEX('My Order Engine'!$AH103:$AV103,Calc!$K$19)),"")</f>
        <v/>
      </c>
      <c r="Q101" s="25" t="str">
        <f>IF(AND($A101&lt;=IF(Calc!$C$36=999,360,Calc!$C$36),Calc!$C$20=1),CHOOSE(Calc!$C$3,INDEX('Snowball Engine'!$AH103:$AV103,Calc!$I$20),INDEX('Avalanche Engine'!$AH103:$AV103,Calc!$J$20),INDEX('My Order Engine'!$AH103:$AV103,Calc!$K$20)),"")</f>
        <v/>
      </c>
      <c r="R101" s="25" t="str">
        <f>IF(AND($A101&lt;=IF(Calc!$C$36=999,360,Calc!$C$36),Calc!$C$21=1),CHOOSE(Calc!$C$3,INDEX('Snowball Engine'!$AH103:$AV103,Calc!$I$21),INDEX('Avalanche Engine'!$AH103:$AV103,Calc!$J$21),INDEX('My Order Engine'!$AH103:$AV103,Calc!$K$21)),"")</f>
        <v/>
      </c>
      <c r="S101" s="25" t="str">
        <f>IF(AND($A101&lt;=IF(Calc!$C$36=999,360,Calc!$C$36),Calc!$C$22=1),CHOOSE(Calc!$C$3,INDEX('Snowball Engine'!$AH103:$AV103,Calc!$I$22),INDEX('Avalanche Engine'!$AH103:$AV103,Calc!$J$22),INDEX('My Order Engine'!$AH103:$AV103,Calc!$K$22)),"")</f>
        <v/>
      </c>
      <c r="T101" s="25" t="str">
        <f>IF(AND($A101&lt;=IF(Calc!$C$36=999,360,Calc!$C$36),Calc!$C$23=1),CHOOSE(Calc!$C$3,INDEX('Snowball Engine'!$AH103:$AV103,Calc!$I$23),INDEX('Avalanche Engine'!$AH103:$AV103,Calc!$J$23),INDEX('My Order Engine'!$AH103:$AV103,Calc!$K$23)),"")</f>
        <v/>
      </c>
      <c r="U101" s="25" t="str">
        <f>IF(AND($A101&lt;=IF(Calc!$C$36=999,360,Calc!$C$36),Calc!$C$24=1),CHOOSE(Calc!$C$3,INDEX('Snowball Engine'!$AH103:$AV103,Calc!$I$24),INDEX('Avalanche Engine'!$AH103:$AV103,Calc!$J$24),INDEX('My Order Engine'!$AH103:$AV103,Calc!$K$24)),"")</f>
        <v/>
      </c>
    </row>
    <row r="102" spans="1:21" x14ac:dyDescent="0.35">
      <c r="A102" s="23">
        <v>98</v>
      </c>
      <c r="B102" s="24" t="str">
        <f>IF($A102&lt;=IF(Calc!$C$36=999,360,Calc!$C$36),EDATE(Calc!$C$5,A102-1),"")</f>
        <v/>
      </c>
      <c r="C102" s="25" t="str">
        <f>IF($A102&lt;=IF(Calc!$C$36=999,360,Calc!$C$36),CHOOSE(Calc!$C$3,'Snowball Engine'!AY104,'Avalanche Engine'!AY104,'My Order Engine'!AY104),"")</f>
        <v/>
      </c>
      <c r="D102" s="25" t="str">
        <f>IF($A102&lt;=IF(Calc!$C$36=999,360,Calc!$C$36),CHOOSE(Calc!$C$3,'Snowball Engine'!AX104,'Avalanche Engine'!AX104,'My Order Engine'!AX104),"")</f>
        <v/>
      </c>
      <c r="E102" s="25" t="str">
        <f>IF($A102&lt;=IF(Calc!$C$36=999,360,Calc!$C$36),C102-D102,"")</f>
        <v/>
      </c>
      <c r="F102" s="25" t="str">
        <f>IF($A102&lt;=IF(Calc!$C$36=999,360,Calc!$C$36),CHOOSE(Calc!$C$3,'Snowball Engine'!AW104,'Avalanche Engine'!AW104,'My Order Engine'!AW104),"")</f>
        <v/>
      </c>
      <c r="G102" s="25" t="str">
        <f>IF(AND($A102&lt;=IF(Calc!$C$36=999,360,Calc!$C$36),Calc!$C$10=1),CHOOSE(Calc!$C$3,INDEX('Snowball Engine'!$AH104:$AV104,Calc!$I$10),INDEX('Avalanche Engine'!$AH104:$AV104,Calc!$J$10),INDEX('My Order Engine'!$AH104:$AV104,Calc!$K$10)),"")</f>
        <v/>
      </c>
      <c r="H102" s="25" t="str">
        <f>IF(AND($A102&lt;=IF(Calc!$C$36=999,360,Calc!$C$36),Calc!$C$11=1),CHOOSE(Calc!$C$3,INDEX('Snowball Engine'!$AH104:$AV104,Calc!$I$11),INDEX('Avalanche Engine'!$AH104:$AV104,Calc!$J$11),INDEX('My Order Engine'!$AH104:$AV104,Calc!$K$11)),"")</f>
        <v/>
      </c>
      <c r="I102" s="25" t="str">
        <f>IF(AND($A102&lt;=IF(Calc!$C$36=999,360,Calc!$C$36),Calc!$C$12=1),CHOOSE(Calc!$C$3,INDEX('Snowball Engine'!$AH104:$AV104,Calc!$I$12),INDEX('Avalanche Engine'!$AH104:$AV104,Calc!$J$12),INDEX('My Order Engine'!$AH104:$AV104,Calc!$K$12)),"")</f>
        <v/>
      </c>
      <c r="J102" s="25" t="str">
        <f>IF(AND($A102&lt;=IF(Calc!$C$36=999,360,Calc!$C$36),Calc!$C$13=1),CHOOSE(Calc!$C$3,INDEX('Snowball Engine'!$AH104:$AV104,Calc!$I$13),INDEX('Avalanche Engine'!$AH104:$AV104,Calc!$J$13),INDEX('My Order Engine'!$AH104:$AV104,Calc!$K$13)),"")</f>
        <v/>
      </c>
      <c r="K102" s="25" t="str">
        <f>IF(AND($A102&lt;=IF(Calc!$C$36=999,360,Calc!$C$36),Calc!$C$14=1),CHOOSE(Calc!$C$3,INDEX('Snowball Engine'!$AH104:$AV104,Calc!$I$14),INDEX('Avalanche Engine'!$AH104:$AV104,Calc!$J$14),INDEX('My Order Engine'!$AH104:$AV104,Calc!$K$14)),"")</f>
        <v/>
      </c>
      <c r="L102" s="25" t="str">
        <f>IF(AND($A102&lt;=IF(Calc!$C$36=999,360,Calc!$C$36),Calc!$C$15=1),CHOOSE(Calc!$C$3,INDEX('Snowball Engine'!$AH104:$AV104,Calc!$I$15),INDEX('Avalanche Engine'!$AH104:$AV104,Calc!$J$15),INDEX('My Order Engine'!$AH104:$AV104,Calc!$K$15)),"")</f>
        <v/>
      </c>
      <c r="M102" s="25" t="str">
        <f>IF(AND($A102&lt;=IF(Calc!$C$36=999,360,Calc!$C$36),Calc!$C$16=1),CHOOSE(Calc!$C$3,INDEX('Snowball Engine'!$AH104:$AV104,Calc!$I$16),INDEX('Avalanche Engine'!$AH104:$AV104,Calc!$J$16),INDEX('My Order Engine'!$AH104:$AV104,Calc!$K$16)),"")</f>
        <v/>
      </c>
      <c r="N102" s="25" t="str">
        <f>IF(AND($A102&lt;=IF(Calc!$C$36=999,360,Calc!$C$36),Calc!$C$17=1),CHOOSE(Calc!$C$3,INDEX('Snowball Engine'!$AH104:$AV104,Calc!$I$17),INDEX('Avalanche Engine'!$AH104:$AV104,Calc!$J$17),INDEX('My Order Engine'!$AH104:$AV104,Calc!$K$17)),"")</f>
        <v/>
      </c>
      <c r="O102" s="25" t="str">
        <f>IF(AND($A102&lt;=IF(Calc!$C$36=999,360,Calc!$C$36),Calc!$C$18=1),CHOOSE(Calc!$C$3,INDEX('Snowball Engine'!$AH104:$AV104,Calc!$I$18),INDEX('Avalanche Engine'!$AH104:$AV104,Calc!$J$18),INDEX('My Order Engine'!$AH104:$AV104,Calc!$K$18)),"")</f>
        <v/>
      </c>
      <c r="P102" s="25" t="str">
        <f>IF(AND($A102&lt;=IF(Calc!$C$36=999,360,Calc!$C$36),Calc!$C$19=1),CHOOSE(Calc!$C$3,INDEX('Snowball Engine'!$AH104:$AV104,Calc!$I$19),INDEX('Avalanche Engine'!$AH104:$AV104,Calc!$J$19),INDEX('My Order Engine'!$AH104:$AV104,Calc!$K$19)),"")</f>
        <v/>
      </c>
      <c r="Q102" s="25" t="str">
        <f>IF(AND($A102&lt;=IF(Calc!$C$36=999,360,Calc!$C$36),Calc!$C$20=1),CHOOSE(Calc!$C$3,INDEX('Snowball Engine'!$AH104:$AV104,Calc!$I$20),INDEX('Avalanche Engine'!$AH104:$AV104,Calc!$J$20),INDEX('My Order Engine'!$AH104:$AV104,Calc!$K$20)),"")</f>
        <v/>
      </c>
      <c r="R102" s="25" t="str">
        <f>IF(AND($A102&lt;=IF(Calc!$C$36=999,360,Calc!$C$36),Calc!$C$21=1),CHOOSE(Calc!$C$3,INDEX('Snowball Engine'!$AH104:$AV104,Calc!$I$21),INDEX('Avalanche Engine'!$AH104:$AV104,Calc!$J$21),INDEX('My Order Engine'!$AH104:$AV104,Calc!$K$21)),"")</f>
        <v/>
      </c>
      <c r="S102" s="25" t="str">
        <f>IF(AND($A102&lt;=IF(Calc!$C$36=999,360,Calc!$C$36),Calc!$C$22=1),CHOOSE(Calc!$C$3,INDEX('Snowball Engine'!$AH104:$AV104,Calc!$I$22),INDEX('Avalanche Engine'!$AH104:$AV104,Calc!$J$22),INDEX('My Order Engine'!$AH104:$AV104,Calc!$K$22)),"")</f>
        <v/>
      </c>
      <c r="T102" s="25" t="str">
        <f>IF(AND($A102&lt;=IF(Calc!$C$36=999,360,Calc!$C$36),Calc!$C$23=1),CHOOSE(Calc!$C$3,INDEX('Snowball Engine'!$AH104:$AV104,Calc!$I$23),INDEX('Avalanche Engine'!$AH104:$AV104,Calc!$J$23),INDEX('My Order Engine'!$AH104:$AV104,Calc!$K$23)),"")</f>
        <v/>
      </c>
      <c r="U102" s="25" t="str">
        <f>IF(AND($A102&lt;=IF(Calc!$C$36=999,360,Calc!$C$36),Calc!$C$24=1),CHOOSE(Calc!$C$3,INDEX('Snowball Engine'!$AH104:$AV104,Calc!$I$24),INDEX('Avalanche Engine'!$AH104:$AV104,Calc!$J$24),INDEX('My Order Engine'!$AH104:$AV104,Calc!$K$24)),"")</f>
        <v/>
      </c>
    </row>
    <row r="103" spans="1:21" x14ac:dyDescent="0.35">
      <c r="A103" s="23">
        <v>99</v>
      </c>
      <c r="B103" s="24" t="str">
        <f>IF($A103&lt;=IF(Calc!$C$36=999,360,Calc!$C$36),EDATE(Calc!$C$5,A103-1),"")</f>
        <v/>
      </c>
      <c r="C103" s="25" t="str">
        <f>IF($A103&lt;=IF(Calc!$C$36=999,360,Calc!$C$36),CHOOSE(Calc!$C$3,'Snowball Engine'!AY105,'Avalanche Engine'!AY105,'My Order Engine'!AY105),"")</f>
        <v/>
      </c>
      <c r="D103" s="25" t="str">
        <f>IF($A103&lt;=IF(Calc!$C$36=999,360,Calc!$C$36),CHOOSE(Calc!$C$3,'Snowball Engine'!AX105,'Avalanche Engine'!AX105,'My Order Engine'!AX105),"")</f>
        <v/>
      </c>
      <c r="E103" s="25" t="str">
        <f>IF($A103&lt;=IF(Calc!$C$36=999,360,Calc!$C$36),C103-D103,"")</f>
        <v/>
      </c>
      <c r="F103" s="25" t="str">
        <f>IF($A103&lt;=IF(Calc!$C$36=999,360,Calc!$C$36),CHOOSE(Calc!$C$3,'Snowball Engine'!AW105,'Avalanche Engine'!AW105,'My Order Engine'!AW105),"")</f>
        <v/>
      </c>
      <c r="G103" s="25" t="str">
        <f>IF(AND($A103&lt;=IF(Calc!$C$36=999,360,Calc!$C$36),Calc!$C$10=1),CHOOSE(Calc!$C$3,INDEX('Snowball Engine'!$AH105:$AV105,Calc!$I$10),INDEX('Avalanche Engine'!$AH105:$AV105,Calc!$J$10),INDEX('My Order Engine'!$AH105:$AV105,Calc!$K$10)),"")</f>
        <v/>
      </c>
      <c r="H103" s="25" t="str">
        <f>IF(AND($A103&lt;=IF(Calc!$C$36=999,360,Calc!$C$36),Calc!$C$11=1),CHOOSE(Calc!$C$3,INDEX('Snowball Engine'!$AH105:$AV105,Calc!$I$11),INDEX('Avalanche Engine'!$AH105:$AV105,Calc!$J$11),INDEX('My Order Engine'!$AH105:$AV105,Calc!$K$11)),"")</f>
        <v/>
      </c>
      <c r="I103" s="25" t="str">
        <f>IF(AND($A103&lt;=IF(Calc!$C$36=999,360,Calc!$C$36),Calc!$C$12=1),CHOOSE(Calc!$C$3,INDEX('Snowball Engine'!$AH105:$AV105,Calc!$I$12),INDEX('Avalanche Engine'!$AH105:$AV105,Calc!$J$12),INDEX('My Order Engine'!$AH105:$AV105,Calc!$K$12)),"")</f>
        <v/>
      </c>
      <c r="J103" s="25" t="str">
        <f>IF(AND($A103&lt;=IF(Calc!$C$36=999,360,Calc!$C$36),Calc!$C$13=1),CHOOSE(Calc!$C$3,INDEX('Snowball Engine'!$AH105:$AV105,Calc!$I$13),INDEX('Avalanche Engine'!$AH105:$AV105,Calc!$J$13),INDEX('My Order Engine'!$AH105:$AV105,Calc!$K$13)),"")</f>
        <v/>
      </c>
      <c r="K103" s="25" t="str">
        <f>IF(AND($A103&lt;=IF(Calc!$C$36=999,360,Calc!$C$36),Calc!$C$14=1),CHOOSE(Calc!$C$3,INDEX('Snowball Engine'!$AH105:$AV105,Calc!$I$14),INDEX('Avalanche Engine'!$AH105:$AV105,Calc!$J$14),INDEX('My Order Engine'!$AH105:$AV105,Calc!$K$14)),"")</f>
        <v/>
      </c>
      <c r="L103" s="25" t="str">
        <f>IF(AND($A103&lt;=IF(Calc!$C$36=999,360,Calc!$C$36),Calc!$C$15=1),CHOOSE(Calc!$C$3,INDEX('Snowball Engine'!$AH105:$AV105,Calc!$I$15),INDEX('Avalanche Engine'!$AH105:$AV105,Calc!$J$15),INDEX('My Order Engine'!$AH105:$AV105,Calc!$K$15)),"")</f>
        <v/>
      </c>
      <c r="M103" s="25" t="str">
        <f>IF(AND($A103&lt;=IF(Calc!$C$36=999,360,Calc!$C$36),Calc!$C$16=1),CHOOSE(Calc!$C$3,INDEX('Snowball Engine'!$AH105:$AV105,Calc!$I$16),INDEX('Avalanche Engine'!$AH105:$AV105,Calc!$J$16),INDEX('My Order Engine'!$AH105:$AV105,Calc!$K$16)),"")</f>
        <v/>
      </c>
      <c r="N103" s="25" t="str">
        <f>IF(AND($A103&lt;=IF(Calc!$C$36=999,360,Calc!$C$36),Calc!$C$17=1),CHOOSE(Calc!$C$3,INDEX('Snowball Engine'!$AH105:$AV105,Calc!$I$17),INDEX('Avalanche Engine'!$AH105:$AV105,Calc!$J$17),INDEX('My Order Engine'!$AH105:$AV105,Calc!$K$17)),"")</f>
        <v/>
      </c>
      <c r="O103" s="25" t="str">
        <f>IF(AND($A103&lt;=IF(Calc!$C$36=999,360,Calc!$C$36),Calc!$C$18=1),CHOOSE(Calc!$C$3,INDEX('Snowball Engine'!$AH105:$AV105,Calc!$I$18),INDEX('Avalanche Engine'!$AH105:$AV105,Calc!$J$18),INDEX('My Order Engine'!$AH105:$AV105,Calc!$K$18)),"")</f>
        <v/>
      </c>
      <c r="P103" s="25" t="str">
        <f>IF(AND($A103&lt;=IF(Calc!$C$36=999,360,Calc!$C$36),Calc!$C$19=1),CHOOSE(Calc!$C$3,INDEX('Snowball Engine'!$AH105:$AV105,Calc!$I$19),INDEX('Avalanche Engine'!$AH105:$AV105,Calc!$J$19),INDEX('My Order Engine'!$AH105:$AV105,Calc!$K$19)),"")</f>
        <v/>
      </c>
      <c r="Q103" s="25" t="str">
        <f>IF(AND($A103&lt;=IF(Calc!$C$36=999,360,Calc!$C$36),Calc!$C$20=1),CHOOSE(Calc!$C$3,INDEX('Snowball Engine'!$AH105:$AV105,Calc!$I$20),INDEX('Avalanche Engine'!$AH105:$AV105,Calc!$J$20),INDEX('My Order Engine'!$AH105:$AV105,Calc!$K$20)),"")</f>
        <v/>
      </c>
      <c r="R103" s="25" t="str">
        <f>IF(AND($A103&lt;=IF(Calc!$C$36=999,360,Calc!$C$36),Calc!$C$21=1),CHOOSE(Calc!$C$3,INDEX('Snowball Engine'!$AH105:$AV105,Calc!$I$21),INDEX('Avalanche Engine'!$AH105:$AV105,Calc!$J$21),INDEX('My Order Engine'!$AH105:$AV105,Calc!$K$21)),"")</f>
        <v/>
      </c>
      <c r="S103" s="25" t="str">
        <f>IF(AND($A103&lt;=IF(Calc!$C$36=999,360,Calc!$C$36),Calc!$C$22=1),CHOOSE(Calc!$C$3,INDEX('Snowball Engine'!$AH105:$AV105,Calc!$I$22),INDEX('Avalanche Engine'!$AH105:$AV105,Calc!$J$22),INDEX('My Order Engine'!$AH105:$AV105,Calc!$K$22)),"")</f>
        <v/>
      </c>
      <c r="T103" s="25" t="str">
        <f>IF(AND($A103&lt;=IF(Calc!$C$36=999,360,Calc!$C$36),Calc!$C$23=1),CHOOSE(Calc!$C$3,INDEX('Snowball Engine'!$AH105:$AV105,Calc!$I$23),INDEX('Avalanche Engine'!$AH105:$AV105,Calc!$J$23),INDEX('My Order Engine'!$AH105:$AV105,Calc!$K$23)),"")</f>
        <v/>
      </c>
      <c r="U103" s="25" t="str">
        <f>IF(AND($A103&lt;=IF(Calc!$C$36=999,360,Calc!$C$36),Calc!$C$24=1),CHOOSE(Calc!$C$3,INDEX('Snowball Engine'!$AH105:$AV105,Calc!$I$24),INDEX('Avalanche Engine'!$AH105:$AV105,Calc!$J$24),INDEX('My Order Engine'!$AH105:$AV105,Calc!$K$24)),"")</f>
        <v/>
      </c>
    </row>
    <row r="104" spans="1:21" x14ac:dyDescent="0.35">
      <c r="A104" s="23">
        <v>100</v>
      </c>
      <c r="B104" s="24" t="str">
        <f>IF($A104&lt;=IF(Calc!$C$36=999,360,Calc!$C$36),EDATE(Calc!$C$5,A104-1),"")</f>
        <v/>
      </c>
      <c r="C104" s="25" t="str">
        <f>IF($A104&lt;=IF(Calc!$C$36=999,360,Calc!$C$36),CHOOSE(Calc!$C$3,'Snowball Engine'!AY106,'Avalanche Engine'!AY106,'My Order Engine'!AY106),"")</f>
        <v/>
      </c>
      <c r="D104" s="25" t="str">
        <f>IF($A104&lt;=IF(Calc!$C$36=999,360,Calc!$C$36),CHOOSE(Calc!$C$3,'Snowball Engine'!AX106,'Avalanche Engine'!AX106,'My Order Engine'!AX106),"")</f>
        <v/>
      </c>
      <c r="E104" s="25" t="str">
        <f>IF($A104&lt;=IF(Calc!$C$36=999,360,Calc!$C$36),C104-D104,"")</f>
        <v/>
      </c>
      <c r="F104" s="25" t="str">
        <f>IF($A104&lt;=IF(Calc!$C$36=999,360,Calc!$C$36),CHOOSE(Calc!$C$3,'Snowball Engine'!AW106,'Avalanche Engine'!AW106,'My Order Engine'!AW106),"")</f>
        <v/>
      </c>
      <c r="G104" s="25" t="str">
        <f>IF(AND($A104&lt;=IF(Calc!$C$36=999,360,Calc!$C$36),Calc!$C$10=1),CHOOSE(Calc!$C$3,INDEX('Snowball Engine'!$AH106:$AV106,Calc!$I$10),INDEX('Avalanche Engine'!$AH106:$AV106,Calc!$J$10),INDEX('My Order Engine'!$AH106:$AV106,Calc!$K$10)),"")</f>
        <v/>
      </c>
      <c r="H104" s="25" t="str">
        <f>IF(AND($A104&lt;=IF(Calc!$C$36=999,360,Calc!$C$36),Calc!$C$11=1),CHOOSE(Calc!$C$3,INDEX('Snowball Engine'!$AH106:$AV106,Calc!$I$11),INDEX('Avalanche Engine'!$AH106:$AV106,Calc!$J$11),INDEX('My Order Engine'!$AH106:$AV106,Calc!$K$11)),"")</f>
        <v/>
      </c>
      <c r="I104" s="25" t="str">
        <f>IF(AND($A104&lt;=IF(Calc!$C$36=999,360,Calc!$C$36),Calc!$C$12=1),CHOOSE(Calc!$C$3,INDEX('Snowball Engine'!$AH106:$AV106,Calc!$I$12),INDEX('Avalanche Engine'!$AH106:$AV106,Calc!$J$12),INDEX('My Order Engine'!$AH106:$AV106,Calc!$K$12)),"")</f>
        <v/>
      </c>
      <c r="J104" s="25" t="str">
        <f>IF(AND($A104&lt;=IF(Calc!$C$36=999,360,Calc!$C$36),Calc!$C$13=1),CHOOSE(Calc!$C$3,INDEX('Snowball Engine'!$AH106:$AV106,Calc!$I$13),INDEX('Avalanche Engine'!$AH106:$AV106,Calc!$J$13),INDEX('My Order Engine'!$AH106:$AV106,Calc!$K$13)),"")</f>
        <v/>
      </c>
      <c r="K104" s="25" t="str">
        <f>IF(AND($A104&lt;=IF(Calc!$C$36=999,360,Calc!$C$36),Calc!$C$14=1),CHOOSE(Calc!$C$3,INDEX('Snowball Engine'!$AH106:$AV106,Calc!$I$14),INDEX('Avalanche Engine'!$AH106:$AV106,Calc!$J$14),INDEX('My Order Engine'!$AH106:$AV106,Calc!$K$14)),"")</f>
        <v/>
      </c>
      <c r="L104" s="25" t="str">
        <f>IF(AND($A104&lt;=IF(Calc!$C$36=999,360,Calc!$C$36),Calc!$C$15=1),CHOOSE(Calc!$C$3,INDEX('Snowball Engine'!$AH106:$AV106,Calc!$I$15),INDEX('Avalanche Engine'!$AH106:$AV106,Calc!$J$15),INDEX('My Order Engine'!$AH106:$AV106,Calc!$K$15)),"")</f>
        <v/>
      </c>
      <c r="M104" s="25" t="str">
        <f>IF(AND($A104&lt;=IF(Calc!$C$36=999,360,Calc!$C$36),Calc!$C$16=1),CHOOSE(Calc!$C$3,INDEX('Snowball Engine'!$AH106:$AV106,Calc!$I$16),INDEX('Avalanche Engine'!$AH106:$AV106,Calc!$J$16),INDEX('My Order Engine'!$AH106:$AV106,Calc!$K$16)),"")</f>
        <v/>
      </c>
      <c r="N104" s="25" t="str">
        <f>IF(AND($A104&lt;=IF(Calc!$C$36=999,360,Calc!$C$36),Calc!$C$17=1),CHOOSE(Calc!$C$3,INDEX('Snowball Engine'!$AH106:$AV106,Calc!$I$17),INDEX('Avalanche Engine'!$AH106:$AV106,Calc!$J$17),INDEX('My Order Engine'!$AH106:$AV106,Calc!$K$17)),"")</f>
        <v/>
      </c>
      <c r="O104" s="25" t="str">
        <f>IF(AND($A104&lt;=IF(Calc!$C$36=999,360,Calc!$C$36),Calc!$C$18=1),CHOOSE(Calc!$C$3,INDEX('Snowball Engine'!$AH106:$AV106,Calc!$I$18),INDEX('Avalanche Engine'!$AH106:$AV106,Calc!$J$18),INDEX('My Order Engine'!$AH106:$AV106,Calc!$K$18)),"")</f>
        <v/>
      </c>
      <c r="P104" s="25" t="str">
        <f>IF(AND($A104&lt;=IF(Calc!$C$36=999,360,Calc!$C$36),Calc!$C$19=1),CHOOSE(Calc!$C$3,INDEX('Snowball Engine'!$AH106:$AV106,Calc!$I$19),INDEX('Avalanche Engine'!$AH106:$AV106,Calc!$J$19),INDEX('My Order Engine'!$AH106:$AV106,Calc!$K$19)),"")</f>
        <v/>
      </c>
      <c r="Q104" s="25" t="str">
        <f>IF(AND($A104&lt;=IF(Calc!$C$36=999,360,Calc!$C$36),Calc!$C$20=1),CHOOSE(Calc!$C$3,INDEX('Snowball Engine'!$AH106:$AV106,Calc!$I$20),INDEX('Avalanche Engine'!$AH106:$AV106,Calc!$J$20),INDEX('My Order Engine'!$AH106:$AV106,Calc!$K$20)),"")</f>
        <v/>
      </c>
      <c r="R104" s="25" t="str">
        <f>IF(AND($A104&lt;=IF(Calc!$C$36=999,360,Calc!$C$36),Calc!$C$21=1),CHOOSE(Calc!$C$3,INDEX('Snowball Engine'!$AH106:$AV106,Calc!$I$21),INDEX('Avalanche Engine'!$AH106:$AV106,Calc!$J$21),INDEX('My Order Engine'!$AH106:$AV106,Calc!$K$21)),"")</f>
        <v/>
      </c>
      <c r="S104" s="25" t="str">
        <f>IF(AND($A104&lt;=IF(Calc!$C$36=999,360,Calc!$C$36),Calc!$C$22=1),CHOOSE(Calc!$C$3,INDEX('Snowball Engine'!$AH106:$AV106,Calc!$I$22),INDEX('Avalanche Engine'!$AH106:$AV106,Calc!$J$22),INDEX('My Order Engine'!$AH106:$AV106,Calc!$K$22)),"")</f>
        <v/>
      </c>
      <c r="T104" s="25" t="str">
        <f>IF(AND($A104&lt;=IF(Calc!$C$36=999,360,Calc!$C$36),Calc!$C$23=1),CHOOSE(Calc!$C$3,INDEX('Snowball Engine'!$AH106:$AV106,Calc!$I$23),INDEX('Avalanche Engine'!$AH106:$AV106,Calc!$J$23),INDEX('My Order Engine'!$AH106:$AV106,Calc!$K$23)),"")</f>
        <v/>
      </c>
      <c r="U104" s="25" t="str">
        <f>IF(AND($A104&lt;=IF(Calc!$C$36=999,360,Calc!$C$36),Calc!$C$24=1),CHOOSE(Calc!$C$3,INDEX('Snowball Engine'!$AH106:$AV106,Calc!$I$24),INDEX('Avalanche Engine'!$AH106:$AV106,Calc!$J$24),INDEX('My Order Engine'!$AH106:$AV106,Calc!$K$24)),"")</f>
        <v/>
      </c>
    </row>
    <row r="105" spans="1:21" x14ac:dyDescent="0.35">
      <c r="A105" s="23">
        <v>101</v>
      </c>
      <c r="B105" s="24" t="str">
        <f>IF($A105&lt;=IF(Calc!$C$36=999,360,Calc!$C$36),EDATE(Calc!$C$5,A105-1),"")</f>
        <v/>
      </c>
      <c r="C105" s="25" t="str">
        <f>IF($A105&lt;=IF(Calc!$C$36=999,360,Calc!$C$36),CHOOSE(Calc!$C$3,'Snowball Engine'!AY107,'Avalanche Engine'!AY107,'My Order Engine'!AY107),"")</f>
        <v/>
      </c>
      <c r="D105" s="25" t="str">
        <f>IF($A105&lt;=IF(Calc!$C$36=999,360,Calc!$C$36),CHOOSE(Calc!$C$3,'Snowball Engine'!AX107,'Avalanche Engine'!AX107,'My Order Engine'!AX107),"")</f>
        <v/>
      </c>
      <c r="E105" s="25" t="str">
        <f>IF($A105&lt;=IF(Calc!$C$36=999,360,Calc!$C$36),C105-D105,"")</f>
        <v/>
      </c>
      <c r="F105" s="25" t="str">
        <f>IF($A105&lt;=IF(Calc!$C$36=999,360,Calc!$C$36),CHOOSE(Calc!$C$3,'Snowball Engine'!AW107,'Avalanche Engine'!AW107,'My Order Engine'!AW107),"")</f>
        <v/>
      </c>
      <c r="G105" s="25" t="str">
        <f>IF(AND($A105&lt;=IF(Calc!$C$36=999,360,Calc!$C$36),Calc!$C$10=1),CHOOSE(Calc!$C$3,INDEX('Snowball Engine'!$AH107:$AV107,Calc!$I$10),INDEX('Avalanche Engine'!$AH107:$AV107,Calc!$J$10),INDEX('My Order Engine'!$AH107:$AV107,Calc!$K$10)),"")</f>
        <v/>
      </c>
      <c r="H105" s="25" t="str">
        <f>IF(AND($A105&lt;=IF(Calc!$C$36=999,360,Calc!$C$36),Calc!$C$11=1),CHOOSE(Calc!$C$3,INDEX('Snowball Engine'!$AH107:$AV107,Calc!$I$11),INDEX('Avalanche Engine'!$AH107:$AV107,Calc!$J$11),INDEX('My Order Engine'!$AH107:$AV107,Calc!$K$11)),"")</f>
        <v/>
      </c>
      <c r="I105" s="25" t="str">
        <f>IF(AND($A105&lt;=IF(Calc!$C$36=999,360,Calc!$C$36),Calc!$C$12=1),CHOOSE(Calc!$C$3,INDEX('Snowball Engine'!$AH107:$AV107,Calc!$I$12),INDEX('Avalanche Engine'!$AH107:$AV107,Calc!$J$12),INDEX('My Order Engine'!$AH107:$AV107,Calc!$K$12)),"")</f>
        <v/>
      </c>
      <c r="J105" s="25" t="str">
        <f>IF(AND($A105&lt;=IF(Calc!$C$36=999,360,Calc!$C$36),Calc!$C$13=1),CHOOSE(Calc!$C$3,INDEX('Snowball Engine'!$AH107:$AV107,Calc!$I$13),INDEX('Avalanche Engine'!$AH107:$AV107,Calc!$J$13),INDEX('My Order Engine'!$AH107:$AV107,Calc!$K$13)),"")</f>
        <v/>
      </c>
      <c r="K105" s="25" t="str">
        <f>IF(AND($A105&lt;=IF(Calc!$C$36=999,360,Calc!$C$36),Calc!$C$14=1),CHOOSE(Calc!$C$3,INDEX('Snowball Engine'!$AH107:$AV107,Calc!$I$14),INDEX('Avalanche Engine'!$AH107:$AV107,Calc!$J$14),INDEX('My Order Engine'!$AH107:$AV107,Calc!$K$14)),"")</f>
        <v/>
      </c>
      <c r="L105" s="25" t="str">
        <f>IF(AND($A105&lt;=IF(Calc!$C$36=999,360,Calc!$C$36),Calc!$C$15=1),CHOOSE(Calc!$C$3,INDEX('Snowball Engine'!$AH107:$AV107,Calc!$I$15),INDEX('Avalanche Engine'!$AH107:$AV107,Calc!$J$15),INDEX('My Order Engine'!$AH107:$AV107,Calc!$K$15)),"")</f>
        <v/>
      </c>
      <c r="M105" s="25" t="str">
        <f>IF(AND($A105&lt;=IF(Calc!$C$36=999,360,Calc!$C$36),Calc!$C$16=1),CHOOSE(Calc!$C$3,INDEX('Snowball Engine'!$AH107:$AV107,Calc!$I$16),INDEX('Avalanche Engine'!$AH107:$AV107,Calc!$J$16),INDEX('My Order Engine'!$AH107:$AV107,Calc!$K$16)),"")</f>
        <v/>
      </c>
      <c r="N105" s="25" t="str">
        <f>IF(AND($A105&lt;=IF(Calc!$C$36=999,360,Calc!$C$36),Calc!$C$17=1),CHOOSE(Calc!$C$3,INDEX('Snowball Engine'!$AH107:$AV107,Calc!$I$17),INDEX('Avalanche Engine'!$AH107:$AV107,Calc!$J$17),INDEX('My Order Engine'!$AH107:$AV107,Calc!$K$17)),"")</f>
        <v/>
      </c>
      <c r="O105" s="25" t="str">
        <f>IF(AND($A105&lt;=IF(Calc!$C$36=999,360,Calc!$C$36),Calc!$C$18=1),CHOOSE(Calc!$C$3,INDEX('Snowball Engine'!$AH107:$AV107,Calc!$I$18),INDEX('Avalanche Engine'!$AH107:$AV107,Calc!$J$18),INDEX('My Order Engine'!$AH107:$AV107,Calc!$K$18)),"")</f>
        <v/>
      </c>
      <c r="P105" s="25" t="str">
        <f>IF(AND($A105&lt;=IF(Calc!$C$36=999,360,Calc!$C$36),Calc!$C$19=1),CHOOSE(Calc!$C$3,INDEX('Snowball Engine'!$AH107:$AV107,Calc!$I$19),INDEX('Avalanche Engine'!$AH107:$AV107,Calc!$J$19),INDEX('My Order Engine'!$AH107:$AV107,Calc!$K$19)),"")</f>
        <v/>
      </c>
      <c r="Q105" s="25" t="str">
        <f>IF(AND($A105&lt;=IF(Calc!$C$36=999,360,Calc!$C$36),Calc!$C$20=1),CHOOSE(Calc!$C$3,INDEX('Snowball Engine'!$AH107:$AV107,Calc!$I$20),INDEX('Avalanche Engine'!$AH107:$AV107,Calc!$J$20),INDEX('My Order Engine'!$AH107:$AV107,Calc!$K$20)),"")</f>
        <v/>
      </c>
      <c r="R105" s="25" t="str">
        <f>IF(AND($A105&lt;=IF(Calc!$C$36=999,360,Calc!$C$36),Calc!$C$21=1),CHOOSE(Calc!$C$3,INDEX('Snowball Engine'!$AH107:$AV107,Calc!$I$21),INDEX('Avalanche Engine'!$AH107:$AV107,Calc!$J$21),INDEX('My Order Engine'!$AH107:$AV107,Calc!$K$21)),"")</f>
        <v/>
      </c>
      <c r="S105" s="25" t="str">
        <f>IF(AND($A105&lt;=IF(Calc!$C$36=999,360,Calc!$C$36),Calc!$C$22=1),CHOOSE(Calc!$C$3,INDEX('Snowball Engine'!$AH107:$AV107,Calc!$I$22),INDEX('Avalanche Engine'!$AH107:$AV107,Calc!$J$22),INDEX('My Order Engine'!$AH107:$AV107,Calc!$K$22)),"")</f>
        <v/>
      </c>
      <c r="T105" s="25" t="str">
        <f>IF(AND($A105&lt;=IF(Calc!$C$36=999,360,Calc!$C$36),Calc!$C$23=1),CHOOSE(Calc!$C$3,INDEX('Snowball Engine'!$AH107:$AV107,Calc!$I$23),INDEX('Avalanche Engine'!$AH107:$AV107,Calc!$J$23),INDEX('My Order Engine'!$AH107:$AV107,Calc!$K$23)),"")</f>
        <v/>
      </c>
      <c r="U105" s="25" t="str">
        <f>IF(AND($A105&lt;=IF(Calc!$C$36=999,360,Calc!$C$36),Calc!$C$24=1),CHOOSE(Calc!$C$3,INDEX('Snowball Engine'!$AH107:$AV107,Calc!$I$24),INDEX('Avalanche Engine'!$AH107:$AV107,Calc!$J$24),INDEX('My Order Engine'!$AH107:$AV107,Calc!$K$24)),"")</f>
        <v/>
      </c>
    </row>
    <row r="106" spans="1:21" x14ac:dyDescent="0.35">
      <c r="A106" s="23">
        <v>102</v>
      </c>
      <c r="B106" s="24" t="str">
        <f>IF($A106&lt;=IF(Calc!$C$36=999,360,Calc!$C$36),EDATE(Calc!$C$5,A106-1),"")</f>
        <v/>
      </c>
      <c r="C106" s="25" t="str">
        <f>IF($A106&lt;=IF(Calc!$C$36=999,360,Calc!$C$36),CHOOSE(Calc!$C$3,'Snowball Engine'!AY108,'Avalanche Engine'!AY108,'My Order Engine'!AY108),"")</f>
        <v/>
      </c>
      <c r="D106" s="25" t="str">
        <f>IF($A106&lt;=IF(Calc!$C$36=999,360,Calc!$C$36),CHOOSE(Calc!$C$3,'Snowball Engine'!AX108,'Avalanche Engine'!AX108,'My Order Engine'!AX108),"")</f>
        <v/>
      </c>
      <c r="E106" s="25" t="str">
        <f>IF($A106&lt;=IF(Calc!$C$36=999,360,Calc!$C$36),C106-D106,"")</f>
        <v/>
      </c>
      <c r="F106" s="25" t="str">
        <f>IF($A106&lt;=IF(Calc!$C$36=999,360,Calc!$C$36),CHOOSE(Calc!$C$3,'Snowball Engine'!AW108,'Avalanche Engine'!AW108,'My Order Engine'!AW108),"")</f>
        <v/>
      </c>
      <c r="G106" s="25" t="str">
        <f>IF(AND($A106&lt;=IF(Calc!$C$36=999,360,Calc!$C$36),Calc!$C$10=1),CHOOSE(Calc!$C$3,INDEX('Snowball Engine'!$AH108:$AV108,Calc!$I$10),INDEX('Avalanche Engine'!$AH108:$AV108,Calc!$J$10),INDEX('My Order Engine'!$AH108:$AV108,Calc!$K$10)),"")</f>
        <v/>
      </c>
      <c r="H106" s="25" t="str">
        <f>IF(AND($A106&lt;=IF(Calc!$C$36=999,360,Calc!$C$36),Calc!$C$11=1),CHOOSE(Calc!$C$3,INDEX('Snowball Engine'!$AH108:$AV108,Calc!$I$11),INDEX('Avalanche Engine'!$AH108:$AV108,Calc!$J$11),INDEX('My Order Engine'!$AH108:$AV108,Calc!$K$11)),"")</f>
        <v/>
      </c>
      <c r="I106" s="25" t="str">
        <f>IF(AND($A106&lt;=IF(Calc!$C$36=999,360,Calc!$C$36),Calc!$C$12=1),CHOOSE(Calc!$C$3,INDEX('Snowball Engine'!$AH108:$AV108,Calc!$I$12),INDEX('Avalanche Engine'!$AH108:$AV108,Calc!$J$12),INDEX('My Order Engine'!$AH108:$AV108,Calc!$K$12)),"")</f>
        <v/>
      </c>
      <c r="J106" s="25" t="str">
        <f>IF(AND($A106&lt;=IF(Calc!$C$36=999,360,Calc!$C$36),Calc!$C$13=1),CHOOSE(Calc!$C$3,INDEX('Snowball Engine'!$AH108:$AV108,Calc!$I$13),INDEX('Avalanche Engine'!$AH108:$AV108,Calc!$J$13),INDEX('My Order Engine'!$AH108:$AV108,Calc!$K$13)),"")</f>
        <v/>
      </c>
      <c r="K106" s="25" t="str">
        <f>IF(AND($A106&lt;=IF(Calc!$C$36=999,360,Calc!$C$36),Calc!$C$14=1),CHOOSE(Calc!$C$3,INDEX('Snowball Engine'!$AH108:$AV108,Calc!$I$14),INDEX('Avalanche Engine'!$AH108:$AV108,Calc!$J$14),INDEX('My Order Engine'!$AH108:$AV108,Calc!$K$14)),"")</f>
        <v/>
      </c>
      <c r="L106" s="25" t="str">
        <f>IF(AND($A106&lt;=IF(Calc!$C$36=999,360,Calc!$C$36),Calc!$C$15=1),CHOOSE(Calc!$C$3,INDEX('Snowball Engine'!$AH108:$AV108,Calc!$I$15),INDEX('Avalanche Engine'!$AH108:$AV108,Calc!$J$15),INDEX('My Order Engine'!$AH108:$AV108,Calc!$K$15)),"")</f>
        <v/>
      </c>
      <c r="M106" s="25" t="str">
        <f>IF(AND($A106&lt;=IF(Calc!$C$36=999,360,Calc!$C$36),Calc!$C$16=1),CHOOSE(Calc!$C$3,INDEX('Snowball Engine'!$AH108:$AV108,Calc!$I$16),INDEX('Avalanche Engine'!$AH108:$AV108,Calc!$J$16),INDEX('My Order Engine'!$AH108:$AV108,Calc!$K$16)),"")</f>
        <v/>
      </c>
      <c r="N106" s="25" t="str">
        <f>IF(AND($A106&lt;=IF(Calc!$C$36=999,360,Calc!$C$36),Calc!$C$17=1),CHOOSE(Calc!$C$3,INDEX('Snowball Engine'!$AH108:$AV108,Calc!$I$17),INDEX('Avalanche Engine'!$AH108:$AV108,Calc!$J$17),INDEX('My Order Engine'!$AH108:$AV108,Calc!$K$17)),"")</f>
        <v/>
      </c>
      <c r="O106" s="25" t="str">
        <f>IF(AND($A106&lt;=IF(Calc!$C$36=999,360,Calc!$C$36),Calc!$C$18=1),CHOOSE(Calc!$C$3,INDEX('Snowball Engine'!$AH108:$AV108,Calc!$I$18),INDEX('Avalanche Engine'!$AH108:$AV108,Calc!$J$18),INDEX('My Order Engine'!$AH108:$AV108,Calc!$K$18)),"")</f>
        <v/>
      </c>
      <c r="P106" s="25" t="str">
        <f>IF(AND($A106&lt;=IF(Calc!$C$36=999,360,Calc!$C$36),Calc!$C$19=1),CHOOSE(Calc!$C$3,INDEX('Snowball Engine'!$AH108:$AV108,Calc!$I$19),INDEX('Avalanche Engine'!$AH108:$AV108,Calc!$J$19),INDEX('My Order Engine'!$AH108:$AV108,Calc!$K$19)),"")</f>
        <v/>
      </c>
      <c r="Q106" s="25" t="str">
        <f>IF(AND($A106&lt;=IF(Calc!$C$36=999,360,Calc!$C$36),Calc!$C$20=1),CHOOSE(Calc!$C$3,INDEX('Snowball Engine'!$AH108:$AV108,Calc!$I$20),INDEX('Avalanche Engine'!$AH108:$AV108,Calc!$J$20),INDEX('My Order Engine'!$AH108:$AV108,Calc!$K$20)),"")</f>
        <v/>
      </c>
      <c r="R106" s="25" t="str">
        <f>IF(AND($A106&lt;=IF(Calc!$C$36=999,360,Calc!$C$36),Calc!$C$21=1),CHOOSE(Calc!$C$3,INDEX('Snowball Engine'!$AH108:$AV108,Calc!$I$21),INDEX('Avalanche Engine'!$AH108:$AV108,Calc!$J$21),INDEX('My Order Engine'!$AH108:$AV108,Calc!$K$21)),"")</f>
        <v/>
      </c>
      <c r="S106" s="25" t="str">
        <f>IF(AND($A106&lt;=IF(Calc!$C$36=999,360,Calc!$C$36),Calc!$C$22=1),CHOOSE(Calc!$C$3,INDEX('Snowball Engine'!$AH108:$AV108,Calc!$I$22),INDEX('Avalanche Engine'!$AH108:$AV108,Calc!$J$22),INDEX('My Order Engine'!$AH108:$AV108,Calc!$K$22)),"")</f>
        <v/>
      </c>
      <c r="T106" s="25" t="str">
        <f>IF(AND($A106&lt;=IF(Calc!$C$36=999,360,Calc!$C$36),Calc!$C$23=1),CHOOSE(Calc!$C$3,INDEX('Snowball Engine'!$AH108:$AV108,Calc!$I$23),INDEX('Avalanche Engine'!$AH108:$AV108,Calc!$J$23),INDEX('My Order Engine'!$AH108:$AV108,Calc!$K$23)),"")</f>
        <v/>
      </c>
      <c r="U106" s="25" t="str">
        <f>IF(AND($A106&lt;=IF(Calc!$C$36=999,360,Calc!$C$36),Calc!$C$24=1),CHOOSE(Calc!$C$3,INDEX('Snowball Engine'!$AH108:$AV108,Calc!$I$24),INDEX('Avalanche Engine'!$AH108:$AV108,Calc!$J$24),INDEX('My Order Engine'!$AH108:$AV108,Calc!$K$24)),"")</f>
        <v/>
      </c>
    </row>
    <row r="107" spans="1:21" x14ac:dyDescent="0.35">
      <c r="A107" s="23">
        <v>103</v>
      </c>
      <c r="B107" s="24" t="str">
        <f>IF($A107&lt;=IF(Calc!$C$36=999,360,Calc!$C$36),EDATE(Calc!$C$5,A107-1),"")</f>
        <v/>
      </c>
      <c r="C107" s="25" t="str">
        <f>IF($A107&lt;=IF(Calc!$C$36=999,360,Calc!$C$36),CHOOSE(Calc!$C$3,'Snowball Engine'!AY109,'Avalanche Engine'!AY109,'My Order Engine'!AY109),"")</f>
        <v/>
      </c>
      <c r="D107" s="25" t="str">
        <f>IF($A107&lt;=IF(Calc!$C$36=999,360,Calc!$C$36),CHOOSE(Calc!$C$3,'Snowball Engine'!AX109,'Avalanche Engine'!AX109,'My Order Engine'!AX109),"")</f>
        <v/>
      </c>
      <c r="E107" s="25" t="str">
        <f>IF($A107&lt;=IF(Calc!$C$36=999,360,Calc!$C$36),C107-D107,"")</f>
        <v/>
      </c>
      <c r="F107" s="25" t="str">
        <f>IF($A107&lt;=IF(Calc!$C$36=999,360,Calc!$C$36),CHOOSE(Calc!$C$3,'Snowball Engine'!AW109,'Avalanche Engine'!AW109,'My Order Engine'!AW109),"")</f>
        <v/>
      </c>
      <c r="G107" s="25" t="str">
        <f>IF(AND($A107&lt;=IF(Calc!$C$36=999,360,Calc!$C$36),Calc!$C$10=1),CHOOSE(Calc!$C$3,INDEX('Snowball Engine'!$AH109:$AV109,Calc!$I$10),INDEX('Avalanche Engine'!$AH109:$AV109,Calc!$J$10),INDEX('My Order Engine'!$AH109:$AV109,Calc!$K$10)),"")</f>
        <v/>
      </c>
      <c r="H107" s="25" t="str">
        <f>IF(AND($A107&lt;=IF(Calc!$C$36=999,360,Calc!$C$36),Calc!$C$11=1),CHOOSE(Calc!$C$3,INDEX('Snowball Engine'!$AH109:$AV109,Calc!$I$11),INDEX('Avalanche Engine'!$AH109:$AV109,Calc!$J$11),INDEX('My Order Engine'!$AH109:$AV109,Calc!$K$11)),"")</f>
        <v/>
      </c>
      <c r="I107" s="25" t="str">
        <f>IF(AND($A107&lt;=IF(Calc!$C$36=999,360,Calc!$C$36),Calc!$C$12=1),CHOOSE(Calc!$C$3,INDEX('Snowball Engine'!$AH109:$AV109,Calc!$I$12),INDEX('Avalanche Engine'!$AH109:$AV109,Calc!$J$12),INDEX('My Order Engine'!$AH109:$AV109,Calc!$K$12)),"")</f>
        <v/>
      </c>
      <c r="J107" s="25" t="str">
        <f>IF(AND($A107&lt;=IF(Calc!$C$36=999,360,Calc!$C$36),Calc!$C$13=1),CHOOSE(Calc!$C$3,INDEX('Snowball Engine'!$AH109:$AV109,Calc!$I$13),INDEX('Avalanche Engine'!$AH109:$AV109,Calc!$J$13),INDEX('My Order Engine'!$AH109:$AV109,Calc!$K$13)),"")</f>
        <v/>
      </c>
      <c r="K107" s="25" t="str">
        <f>IF(AND($A107&lt;=IF(Calc!$C$36=999,360,Calc!$C$36),Calc!$C$14=1),CHOOSE(Calc!$C$3,INDEX('Snowball Engine'!$AH109:$AV109,Calc!$I$14),INDEX('Avalanche Engine'!$AH109:$AV109,Calc!$J$14),INDEX('My Order Engine'!$AH109:$AV109,Calc!$K$14)),"")</f>
        <v/>
      </c>
      <c r="L107" s="25" t="str">
        <f>IF(AND($A107&lt;=IF(Calc!$C$36=999,360,Calc!$C$36),Calc!$C$15=1),CHOOSE(Calc!$C$3,INDEX('Snowball Engine'!$AH109:$AV109,Calc!$I$15),INDEX('Avalanche Engine'!$AH109:$AV109,Calc!$J$15),INDEX('My Order Engine'!$AH109:$AV109,Calc!$K$15)),"")</f>
        <v/>
      </c>
      <c r="M107" s="25" t="str">
        <f>IF(AND($A107&lt;=IF(Calc!$C$36=999,360,Calc!$C$36),Calc!$C$16=1),CHOOSE(Calc!$C$3,INDEX('Snowball Engine'!$AH109:$AV109,Calc!$I$16),INDEX('Avalanche Engine'!$AH109:$AV109,Calc!$J$16),INDEX('My Order Engine'!$AH109:$AV109,Calc!$K$16)),"")</f>
        <v/>
      </c>
      <c r="N107" s="25" t="str">
        <f>IF(AND($A107&lt;=IF(Calc!$C$36=999,360,Calc!$C$36),Calc!$C$17=1),CHOOSE(Calc!$C$3,INDEX('Snowball Engine'!$AH109:$AV109,Calc!$I$17),INDEX('Avalanche Engine'!$AH109:$AV109,Calc!$J$17),INDEX('My Order Engine'!$AH109:$AV109,Calc!$K$17)),"")</f>
        <v/>
      </c>
      <c r="O107" s="25" t="str">
        <f>IF(AND($A107&lt;=IF(Calc!$C$36=999,360,Calc!$C$36),Calc!$C$18=1),CHOOSE(Calc!$C$3,INDEX('Snowball Engine'!$AH109:$AV109,Calc!$I$18),INDEX('Avalanche Engine'!$AH109:$AV109,Calc!$J$18),INDEX('My Order Engine'!$AH109:$AV109,Calc!$K$18)),"")</f>
        <v/>
      </c>
      <c r="P107" s="25" t="str">
        <f>IF(AND($A107&lt;=IF(Calc!$C$36=999,360,Calc!$C$36),Calc!$C$19=1),CHOOSE(Calc!$C$3,INDEX('Snowball Engine'!$AH109:$AV109,Calc!$I$19),INDEX('Avalanche Engine'!$AH109:$AV109,Calc!$J$19),INDEX('My Order Engine'!$AH109:$AV109,Calc!$K$19)),"")</f>
        <v/>
      </c>
      <c r="Q107" s="25" t="str">
        <f>IF(AND($A107&lt;=IF(Calc!$C$36=999,360,Calc!$C$36),Calc!$C$20=1),CHOOSE(Calc!$C$3,INDEX('Snowball Engine'!$AH109:$AV109,Calc!$I$20),INDEX('Avalanche Engine'!$AH109:$AV109,Calc!$J$20),INDEX('My Order Engine'!$AH109:$AV109,Calc!$K$20)),"")</f>
        <v/>
      </c>
      <c r="R107" s="25" t="str">
        <f>IF(AND($A107&lt;=IF(Calc!$C$36=999,360,Calc!$C$36),Calc!$C$21=1),CHOOSE(Calc!$C$3,INDEX('Snowball Engine'!$AH109:$AV109,Calc!$I$21),INDEX('Avalanche Engine'!$AH109:$AV109,Calc!$J$21),INDEX('My Order Engine'!$AH109:$AV109,Calc!$K$21)),"")</f>
        <v/>
      </c>
      <c r="S107" s="25" t="str">
        <f>IF(AND($A107&lt;=IF(Calc!$C$36=999,360,Calc!$C$36),Calc!$C$22=1),CHOOSE(Calc!$C$3,INDEX('Snowball Engine'!$AH109:$AV109,Calc!$I$22),INDEX('Avalanche Engine'!$AH109:$AV109,Calc!$J$22),INDEX('My Order Engine'!$AH109:$AV109,Calc!$K$22)),"")</f>
        <v/>
      </c>
      <c r="T107" s="25" t="str">
        <f>IF(AND($A107&lt;=IF(Calc!$C$36=999,360,Calc!$C$36),Calc!$C$23=1),CHOOSE(Calc!$C$3,INDEX('Snowball Engine'!$AH109:$AV109,Calc!$I$23),INDEX('Avalanche Engine'!$AH109:$AV109,Calc!$J$23),INDEX('My Order Engine'!$AH109:$AV109,Calc!$K$23)),"")</f>
        <v/>
      </c>
      <c r="U107" s="25" t="str">
        <f>IF(AND($A107&lt;=IF(Calc!$C$36=999,360,Calc!$C$36),Calc!$C$24=1),CHOOSE(Calc!$C$3,INDEX('Snowball Engine'!$AH109:$AV109,Calc!$I$24),INDEX('Avalanche Engine'!$AH109:$AV109,Calc!$J$24),INDEX('My Order Engine'!$AH109:$AV109,Calc!$K$24)),"")</f>
        <v/>
      </c>
    </row>
    <row r="108" spans="1:21" x14ac:dyDescent="0.35">
      <c r="A108" s="23">
        <v>104</v>
      </c>
      <c r="B108" s="24" t="str">
        <f>IF($A108&lt;=IF(Calc!$C$36=999,360,Calc!$C$36),EDATE(Calc!$C$5,A108-1),"")</f>
        <v/>
      </c>
      <c r="C108" s="25" t="str">
        <f>IF($A108&lt;=IF(Calc!$C$36=999,360,Calc!$C$36),CHOOSE(Calc!$C$3,'Snowball Engine'!AY110,'Avalanche Engine'!AY110,'My Order Engine'!AY110),"")</f>
        <v/>
      </c>
      <c r="D108" s="25" t="str">
        <f>IF($A108&lt;=IF(Calc!$C$36=999,360,Calc!$C$36),CHOOSE(Calc!$C$3,'Snowball Engine'!AX110,'Avalanche Engine'!AX110,'My Order Engine'!AX110),"")</f>
        <v/>
      </c>
      <c r="E108" s="25" t="str">
        <f>IF($A108&lt;=IF(Calc!$C$36=999,360,Calc!$C$36),C108-D108,"")</f>
        <v/>
      </c>
      <c r="F108" s="25" t="str">
        <f>IF($A108&lt;=IF(Calc!$C$36=999,360,Calc!$C$36),CHOOSE(Calc!$C$3,'Snowball Engine'!AW110,'Avalanche Engine'!AW110,'My Order Engine'!AW110),"")</f>
        <v/>
      </c>
      <c r="G108" s="25" t="str">
        <f>IF(AND($A108&lt;=IF(Calc!$C$36=999,360,Calc!$C$36),Calc!$C$10=1),CHOOSE(Calc!$C$3,INDEX('Snowball Engine'!$AH110:$AV110,Calc!$I$10),INDEX('Avalanche Engine'!$AH110:$AV110,Calc!$J$10),INDEX('My Order Engine'!$AH110:$AV110,Calc!$K$10)),"")</f>
        <v/>
      </c>
      <c r="H108" s="25" t="str">
        <f>IF(AND($A108&lt;=IF(Calc!$C$36=999,360,Calc!$C$36),Calc!$C$11=1),CHOOSE(Calc!$C$3,INDEX('Snowball Engine'!$AH110:$AV110,Calc!$I$11),INDEX('Avalanche Engine'!$AH110:$AV110,Calc!$J$11),INDEX('My Order Engine'!$AH110:$AV110,Calc!$K$11)),"")</f>
        <v/>
      </c>
      <c r="I108" s="25" t="str">
        <f>IF(AND($A108&lt;=IF(Calc!$C$36=999,360,Calc!$C$36),Calc!$C$12=1),CHOOSE(Calc!$C$3,INDEX('Snowball Engine'!$AH110:$AV110,Calc!$I$12),INDEX('Avalanche Engine'!$AH110:$AV110,Calc!$J$12),INDEX('My Order Engine'!$AH110:$AV110,Calc!$K$12)),"")</f>
        <v/>
      </c>
      <c r="J108" s="25" t="str">
        <f>IF(AND($A108&lt;=IF(Calc!$C$36=999,360,Calc!$C$36),Calc!$C$13=1),CHOOSE(Calc!$C$3,INDEX('Snowball Engine'!$AH110:$AV110,Calc!$I$13),INDEX('Avalanche Engine'!$AH110:$AV110,Calc!$J$13),INDEX('My Order Engine'!$AH110:$AV110,Calc!$K$13)),"")</f>
        <v/>
      </c>
      <c r="K108" s="25" t="str">
        <f>IF(AND($A108&lt;=IF(Calc!$C$36=999,360,Calc!$C$36),Calc!$C$14=1),CHOOSE(Calc!$C$3,INDEX('Snowball Engine'!$AH110:$AV110,Calc!$I$14),INDEX('Avalanche Engine'!$AH110:$AV110,Calc!$J$14),INDEX('My Order Engine'!$AH110:$AV110,Calc!$K$14)),"")</f>
        <v/>
      </c>
      <c r="L108" s="25" t="str">
        <f>IF(AND($A108&lt;=IF(Calc!$C$36=999,360,Calc!$C$36),Calc!$C$15=1),CHOOSE(Calc!$C$3,INDEX('Snowball Engine'!$AH110:$AV110,Calc!$I$15),INDEX('Avalanche Engine'!$AH110:$AV110,Calc!$J$15),INDEX('My Order Engine'!$AH110:$AV110,Calc!$K$15)),"")</f>
        <v/>
      </c>
      <c r="M108" s="25" t="str">
        <f>IF(AND($A108&lt;=IF(Calc!$C$36=999,360,Calc!$C$36),Calc!$C$16=1),CHOOSE(Calc!$C$3,INDEX('Snowball Engine'!$AH110:$AV110,Calc!$I$16),INDEX('Avalanche Engine'!$AH110:$AV110,Calc!$J$16),INDEX('My Order Engine'!$AH110:$AV110,Calc!$K$16)),"")</f>
        <v/>
      </c>
      <c r="N108" s="25" t="str">
        <f>IF(AND($A108&lt;=IF(Calc!$C$36=999,360,Calc!$C$36),Calc!$C$17=1),CHOOSE(Calc!$C$3,INDEX('Snowball Engine'!$AH110:$AV110,Calc!$I$17),INDEX('Avalanche Engine'!$AH110:$AV110,Calc!$J$17),INDEX('My Order Engine'!$AH110:$AV110,Calc!$K$17)),"")</f>
        <v/>
      </c>
      <c r="O108" s="25" t="str">
        <f>IF(AND($A108&lt;=IF(Calc!$C$36=999,360,Calc!$C$36),Calc!$C$18=1),CHOOSE(Calc!$C$3,INDEX('Snowball Engine'!$AH110:$AV110,Calc!$I$18),INDEX('Avalanche Engine'!$AH110:$AV110,Calc!$J$18),INDEX('My Order Engine'!$AH110:$AV110,Calc!$K$18)),"")</f>
        <v/>
      </c>
      <c r="P108" s="25" t="str">
        <f>IF(AND($A108&lt;=IF(Calc!$C$36=999,360,Calc!$C$36),Calc!$C$19=1),CHOOSE(Calc!$C$3,INDEX('Snowball Engine'!$AH110:$AV110,Calc!$I$19),INDEX('Avalanche Engine'!$AH110:$AV110,Calc!$J$19),INDEX('My Order Engine'!$AH110:$AV110,Calc!$K$19)),"")</f>
        <v/>
      </c>
      <c r="Q108" s="25" t="str">
        <f>IF(AND($A108&lt;=IF(Calc!$C$36=999,360,Calc!$C$36),Calc!$C$20=1),CHOOSE(Calc!$C$3,INDEX('Snowball Engine'!$AH110:$AV110,Calc!$I$20),INDEX('Avalanche Engine'!$AH110:$AV110,Calc!$J$20),INDEX('My Order Engine'!$AH110:$AV110,Calc!$K$20)),"")</f>
        <v/>
      </c>
      <c r="R108" s="25" t="str">
        <f>IF(AND($A108&lt;=IF(Calc!$C$36=999,360,Calc!$C$36),Calc!$C$21=1),CHOOSE(Calc!$C$3,INDEX('Snowball Engine'!$AH110:$AV110,Calc!$I$21),INDEX('Avalanche Engine'!$AH110:$AV110,Calc!$J$21),INDEX('My Order Engine'!$AH110:$AV110,Calc!$K$21)),"")</f>
        <v/>
      </c>
      <c r="S108" s="25" t="str">
        <f>IF(AND($A108&lt;=IF(Calc!$C$36=999,360,Calc!$C$36),Calc!$C$22=1),CHOOSE(Calc!$C$3,INDEX('Snowball Engine'!$AH110:$AV110,Calc!$I$22),INDEX('Avalanche Engine'!$AH110:$AV110,Calc!$J$22),INDEX('My Order Engine'!$AH110:$AV110,Calc!$K$22)),"")</f>
        <v/>
      </c>
      <c r="T108" s="25" t="str">
        <f>IF(AND($A108&lt;=IF(Calc!$C$36=999,360,Calc!$C$36),Calc!$C$23=1),CHOOSE(Calc!$C$3,INDEX('Snowball Engine'!$AH110:$AV110,Calc!$I$23),INDEX('Avalanche Engine'!$AH110:$AV110,Calc!$J$23),INDEX('My Order Engine'!$AH110:$AV110,Calc!$K$23)),"")</f>
        <v/>
      </c>
      <c r="U108" s="25" t="str">
        <f>IF(AND($A108&lt;=IF(Calc!$C$36=999,360,Calc!$C$36),Calc!$C$24=1),CHOOSE(Calc!$C$3,INDEX('Snowball Engine'!$AH110:$AV110,Calc!$I$24),INDEX('Avalanche Engine'!$AH110:$AV110,Calc!$J$24),INDEX('My Order Engine'!$AH110:$AV110,Calc!$K$24)),"")</f>
        <v/>
      </c>
    </row>
    <row r="109" spans="1:21" x14ac:dyDescent="0.35">
      <c r="A109" s="23">
        <v>105</v>
      </c>
      <c r="B109" s="24" t="str">
        <f>IF($A109&lt;=IF(Calc!$C$36=999,360,Calc!$C$36),EDATE(Calc!$C$5,A109-1),"")</f>
        <v/>
      </c>
      <c r="C109" s="25" t="str">
        <f>IF($A109&lt;=IF(Calc!$C$36=999,360,Calc!$C$36),CHOOSE(Calc!$C$3,'Snowball Engine'!AY111,'Avalanche Engine'!AY111,'My Order Engine'!AY111),"")</f>
        <v/>
      </c>
      <c r="D109" s="25" t="str">
        <f>IF($A109&lt;=IF(Calc!$C$36=999,360,Calc!$C$36),CHOOSE(Calc!$C$3,'Snowball Engine'!AX111,'Avalanche Engine'!AX111,'My Order Engine'!AX111),"")</f>
        <v/>
      </c>
      <c r="E109" s="25" t="str">
        <f>IF($A109&lt;=IF(Calc!$C$36=999,360,Calc!$C$36),C109-D109,"")</f>
        <v/>
      </c>
      <c r="F109" s="25" t="str">
        <f>IF($A109&lt;=IF(Calc!$C$36=999,360,Calc!$C$36),CHOOSE(Calc!$C$3,'Snowball Engine'!AW111,'Avalanche Engine'!AW111,'My Order Engine'!AW111),"")</f>
        <v/>
      </c>
      <c r="G109" s="25" t="str">
        <f>IF(AND($A109&lt;=IF(Calc!$C$36=999,360,Calc!$C$36),Calc!$C$10=1),CHOOSE(Calc!$C$3,INDEX('Snowball Engine'!$AH111:$AV111,Calc!$I$10),INDEX('Avalanche Engine'!$AH111:$AV111,Calc!$J$10),INDEX('My Order Engine'!$AH111:$AV111,Calc!$K$10)),"")</f>
        <v/>
      </c>
      <c r="H109" s="25" t="str">
        <f>IF(AND($A109&lt;=IF(Calc!$C$36=999,360,Calc!$C$36),Calc!$C$11=1),CHOOSE(Calc!$C$3,INDEX('Snowball Engine'!$AH111:$AV111,Calc!$I$11),INDEX('Avalanche Engine'!$AH111:$AV111,Calc!$J$11),INDEX('My Order Engine'!$AH111:$AV111,Calc!$K$11)),"")</f>
        <v/>
      </c>
      <c r="I109" s="25" t="str">
        <f>IF(AND($A109&lt;=IF(Calc!$C$36=999,360,Calc!$C$36),Calc!$C$12=1),CHOOSE(Calc!$C$3,INDEX('Snowball Engine'!$AH111:$AV111,Calc!$I$12),INDEX('Avalanche Engine'!$AH111:$AV111,Calc!$J$12),INDEX('My Order Engine'!$AH111:$AV111,Calc!$K$12)),"")</f>
        <v/>
      </c>
      <c r="J109" s="25" t="str">
        <f>IF(AND($A109&lt;=IF(Calc!$C$36=999,360,Calc!$C$36),Calc!$C$13=1),CHOOSE(Calc!$C$3,INDEX('Snowball Engine'!$AH111:$AV111,Calc!$I$13),INDEX('Avalanche Engine'!$AH111:$AV111,Calc!$J$13),INDEX('My Order Engine'!$AH111:$AV111,Calc!$K$13)),"")</f>
        <v/>
      </c>
      <c r="K109" s="25" t="str">
        <f>IF(AND($A109&lt;=IF(Calc!$C$36=999,360,Calc!$C$36),Calc!$C$14=1),CHOOSE(Calc!$C$3,INDEX('Snowball Engine'!$AH111:$AV111,Calc!$I$14),INDEX('Avalanche Engine'!$AH111:$AV111,Calc!$J$14),INDEX('My Order Engine'!$AH111:$AV111,Calc!$K$14)),"")</f>
        <v/>
      </c>
      <c r="L109" s="25" t="str">
        <f>IF(AND($A109&lt;=IF(Calc!$C$36=999,360,Calc!$C$36),Calc!$C$15=1),CHOOSE(Calc!$C$3,INDEX('Snowball Engine'!$AH111:$AV111,Calc!$I$15),INDEX('Avalanche Engine'!$AH111:$AV111,Calc!$J$15),INDEX('My Order Engine'!$AH111:$AV111,Calc!$K$15)),"")</f>
        <v/>
      </c>
      <c r="M109" s="25" t="str">
        <f>IF(AND($A109&lt;=IF(Calc!$C$36=999,360,Calc!$C$36),Calc!$C$16=1),CHOOSE(Calc!$C$3,INDEX('Snowball Engine'!$AH111:$AV111,Calc!$I$16),INDEX('Avalanche Engine'!$AH111:$AV111,Calc!$J$16),INDEX('My Order Engine'!$AH111:$AV111,Calc!$K$16)),"")</f>
        <v/>
      </c>
      <c r="N109" s="25" t="str">
        <f>IF(AND($A109&lt;=IF(Calc!$C$36=999,360,Calc!$C$36),Calc!$C$17=1),CHOOSE(Calc!$C$3,INDEX('Snowball Engine'!$AH111:$AV111,Calc!$I$17),INDEX('Avalanche Engine'!$AH111:$AV111,Calc!$J$17),INDEX('My Order Engine'!$AH111:$AV111,Calc!$K$17)),"")</f>
        <v/>
      </c>
      <c r="O109" s="25" t="str">
        <f>IF(AND($A109&lt;=IF(Calc!$C$36=999,360,Calc!$C$36),Calc!$C$18=1),CHOOSE(Calc!$C$3,INDEX('Snowball Engine'!$AH111:$AV111,Calc!$I$18),INDEX('Avalanche Engine'!$AH111:$AV111,Calc!$J$18),INDEX('My Order Engine'!$AH111:$AV111,Calc!$K$18)),"")</f>
        <v/>
      </c>
      <c r="P109" s="25" t="str">
        <f>IF(AND($A109&lt;=IF(Calc!$C$36=999,360,Calc!$C$36),Calc!$C$19=1),CHOOSE(Calc!$C$3,INDEX('Snowball Engine'!$AH111:$AV111,Calc!$I$19),INDEX('Avalanche Engine'!$AH111:$AV111,Calc!$J$19),INDEX('My Order Engine'!$AH111:$AV111,Calc!$K$19)),"")</f>
        <v/>
      </c>
      <c r="Q109" s="25" t="str">
        <f>IF(AND($A109&lt;=IF(Calc!$C$36=999,360,Calc!$C$36),Calc!$C$20=1),CHOOSE(Calc!$C$3,INDEX('Snowball Engine'!$AH111:$AV111,Calc!$I$20),INDEX('Avalanche Engine'!$AH111:$AV111,Calc!$J$20),INDEX('My Order Engine'!$AH111:$AV111,Calc!$K$20)),"")</f>
        <v/>
      </c>
      <c r="R109" s="25" t="str">
        <f>IF(AND($A109&lt;=IF(Calc!$C$36=999,360,Calc!$C$36),Calc!$C$21=1),CHOOSE(Calc!$C$3,INDEX('Snowball Engine'!$AH111:$AV111,Calc!$I$21),INDEX('Avalanche Engine'!$AH111:$AV111,Calc!$J$21),INDEX('My Order Engine'!$AH111:$AV111,Calc!$K$21)),"")</f>
        <v/>
      </c>
      <c r="S109" s="25" t="str">
        <f>IF(AND($A109&lt;=IF(Calc!$C$36=999,360,Calc!$C$36),Calc!$C$22=1),CHOOSE(Calc!$C$3,INDEX('Snowball Engine'!$AH111:$AV111,Calc!$I$22),INDEX('Avalanche Engine'!$AH111:$AV111,Calc!$J$22),INDEX('My Order Engine'!$AH111:$AV111,Calc!$K$22)),"")</f>
        <v/>
      </c>
      <c r="T109" s="25" t="str">
        <f>IF(AND($A109&lt;=IF(Calc!$C$36=999,360,Calc!$C$36),Calc!$C$23=1),CHOOSE(Calc!$C$3,INDEX('Snowball Engine'!$AH111:$AV111,Calc!$I$23),INDEX('Avalanche Engine'!$AH111:$AV111,Calc!$J$23),INDEX('My Order Engine'!$AH111:$AV111,Calc!$K$23)),"")</f>
        <v/>
      </c>
      <c r="U109" s="25" t="str">
        <f>IF(AND($A109&lt;=IF(Calc!$C$36=999,360,Calc!$C$36),Calc!$C$24=1),CHOOSE(Calc!$C$3,INDEX('Snowball Engine'!$AH111:$AV111,Calc!$I$24),INDEX('Avalanche Engine'!$AH111:$AV111,Calc!$J$24),INDEX('My Order Engine'!$AH111:$AV111,Calc!$K$24)),"")</f>
        <v/>
      </c>
    </row>
    <row r="110" spans="1:21" x14ac:dyDescent="0.35">
      <c r="A110" s="23">
        <v>106</v>
      </c>
      <c r="B110" s="24" t="str">
        <f>IF($A110&lt;=IF(Calc!$C$36=999,360,Calc!$C$36),EDATE(Calc!$C$5,A110-1),"")</f>
        <v/>
      </c>
      <c r="C110" s="25" t="str">
        <f>IF($A110&lt;=IF(Calc!$C$36=999,360,Calc!$C$36),CHOOSE(Calc!$C$3,'Snowball Engine'!AY112,'Avalanche Engine'!AY112,'My Order Engine'!AY112),"")</f>
        <v/>
      </c>
      <c r="D110" s="25" t="str">
        <f>IF($A110&lt;=IF(Calc!$C$36=999,360,Calc!$C$36),CHOOSE(Calc!$C$3,'Snowball Engine'!AX112,'Avalanche Engine'!AX112,'My Order Engine'!AX112),"")</f>
        <v/>
      </c>
      <c r="E110" s="25" t="str">
        <f>IF($A110&lt;=IF(Calc!$C$36=999,360,Calc!$C$36),C110-D110,"")</f>
        <v/>
      </c>
      <c r="F110" s="25" t="str">
        <f>IF($A110&lt;=IF(Calc!$C$36=999,360,Calc!$C$36),CHOOSE(Calc!$C$3,'Snowball Engine'!AW112,'Avalanche Engine'!AW112,'My Order Engine'!AW112),"")</f>
        <v/>
      </c>
      <c r="G110" s="25" t="str">
        <f>IF(AND($A110&lt;=IF(Calc!$C$36=999,360,Calc!$C$36),Calc!$C$10=1),CHOOSE(Calc!$C$3,INDEX('Snowball Engine'!$AH112:$AV112,Calc!$I$10),INDEX('Avalanche Engine'!$AH112:$AV112,Calc!$J$10),INDEX('My Order Engine'!$AH112:$AV112,Calc!$K$10)),"")</f>
        <v/>
      </c>
      <c r="H110" s="25" t="str">
        <f>IF(AND($A110&lt;=IF(Calc!$C$36=999,360,Calc!$C$36),Calc!$C$11=1),CHOOSE(Calc!$C$3,INDEX('Snowball Engine'!$AH112:$AV112,Calc!$I$11),INDEX('Avalanche Engine'!$AH112:$AV112,Calc!$J$11),INDEX('My Order Engine'!$AH112:$AV112,Calc!$K$11)),"")</f>
        <v/>
      </c>
      <c r="I110" s="25" t="str">
        <f>IF(AND($A110&lt;=IF(Calc!$C$36=999,360,Calc!$C$36),Calc!$C$12=1),CHOOSE(Calc!$C$3,INDEX('Snowball Engine'!$AH112:$AV112,Calc!$I$12),INDEX('Avalanche Engine'!$AH112:$AV112,Calc!$J$12),INDEX('My Order Engine'!$AH112:$AV112,Calc!$K$12)),"")</f>
        <v/>
      </c>
      <c r="J110" s="25" t="str">
        <f>IF(AND($A110&lt;=IF(Calc!$C$36=999,360,Calc!$C$36),Calc!$C$13=1),CHOOSE(Calc!$C$3,INDEX('Snowball Engine'!$AH112:$AV112,Calc!$I$13),INDEX('Avalanche Engine'!$AH112:$AV112,Calc!$J$13),INDEX('My Order Engine'!$AH112:$AV112,Calc!$K$13)),"")</f>
        <v/>
      </c>
      <c r="K110" s="25" t="str">
        <f>IF(AND($A110&lt;=IF(Calc!$C$36=999,360,Calc!$C$36),Calc!$C$14=1),CHOOSE(Calc!$C$3,INDEX('Snowball Engine'!$AH112:$AV112,Calc!$I$14),INDEX('Avalanche Engine'!$AH112:$AV112,Calc!$J$14),INDEX('My Order Engine'!$AH112:$AV112,Calc!$K$14)),"")</f>
        <v/>
      </c>
      <c r="L110" s="25" t="str">
        <f>IF(AND($A110&lt;=IF(Calc!$C$36=999,360,Calc!$C$36),Calc!$C$15=1),CHOOSE(Calc!$C$3,INDEX('Snowball Engine'!$AH112:$AV112,Calc!$I$15),INDEX('Avalanche Engine'!$AH112:$AV112,Calc!$J$15),INDEX('My Order Engine'!$AH112:$AV112,Calc!$K$15)),"")</f>
        <v/>
      </c>
      <c r="M110" s="25" t="str">
        <f>IF(AND($A110&lt;=IF(Calc!$C$36=999,360,Calc!$C$36),Calc!$C$16=1),CHOOSE(Calc!$C$3,INDEX('Snowball Engine'!$AH112:$AV112,Calc!$I$16),INDEX('Avalanche Engine'!$AH112:$AV112,Calc!$J$16),INDEX('My Order Engine'!$AH112:$AV112,Calc!$K$16)),"")</f>
        <v/>
      </c>
      <c r="N110" s="25" t="str">
        <f>IF(AND($A110&lt;=IF(Calc!$C$36=999,360,Calc!$C$36),Calc!$C$17=1),CHOOSE(Calc!$C$3,INDEX('Snowball Engine'!$AH112:$AV112,Calc!$I$17),INDEX('Avalanche Engine'!$AH112:$AV112,Calc!$J$17),INDEX('My Order Engine'!$AH112:$AV112,Calc!$K$17)),"")</f>
        <v/>
      </c>
      <c r="O110" s="25" t="str">
        <f>IF(AND($A110&lt;=IF(Calc!$C$36=999,360,Calc!$C$36),Calc!$C$18=1),CHOOSE(Calc!$C$3,INDEX('Snowball Engine'!$AH112:$AV112,Calc!$I$18),INDEX('Avalanche Engine'!$AH112:$AV112,Calc!$J$18),INDEX('My Order Engine'!$AH112:$AV112,Calc!$K$18)),"")</f>
        <v/>
      </c>
      <c r="P110" s="25" t="str">
        <f>IF(AND($A110&lt;=IF(Calc!$C$36=999,360,Calc!$C$36),Calc!$C$19=1),CHOOSE(Calc!$C$3,INDEX('Snowball Engine'!$AH112:$AV112,Calc!$I$19),INDEX('Avalanche Engine'!$AH112:$AV112,Calc!$J$19),INDEX('My Order Engine'!$AH112:$AV112,Calc!$K$19)),"")</f>
        <v/>
      </c>
      <c r="Q110" s="25" t="str">
        <f>IF(AND($A110&lt;=IF(Calc!$C$36=999,360,Calc!$C$36),Calc!$C$20=1),CHOOSE(Calc!$C$3,INDEX('Snowball Engine'!$AH112:$AV112,Calc!$I$20),INDEX('Avalanche Engine'!$AH112:$AV112,Calc!$J$20),INDEX('My Order Engine'!$AH112:$AV112,Calc!$K$20)),"")</f>
        <v/>
      </c>
      <c r="R110" s="25" t="str">
        <f>IF(AND($A110&lt;=IF(Calc!$C$36=999,360,Calc!$C$36),Calc!$C$21=1),CHOOSE(Calc!$C$3,INDEX('Snowball Engine'!$AH112:$AV112,Calc!$I$21),INDEX('Avalanche Engine'!$AH112:$AV112,Calc!$J$21),INDEX('My Order Engine'!$AH112:$AV112,Calc!$K$21)),"")</f>
        <v/>
      </c>
      <c r="S110" s="25" t="str">
        <f>IF(AND($A110&lt;=IF(Calc!$C$36=999,360,Calc!$C$36),Calc!$C$22=1),CHOOSE(Calc!$C$3,INDEX('Snowball Engine'!$AH112:$AV112,Calc!$I$22),INDEX('Avalanche Engine'!$AH112:$AV112,Calc!$J$22),INDEX('My Order Engine'!$AH112:$AV112,Calc!$K$22)),"")</f>
        <v/>
      </c>
      <c r="T110" s="25" t="str">
        <f>IF(AND($A110&lt;=IF(Calc!$C$36=999,360,Calc!$C$36),Calc!$C$23=1),CHOOSE(Calc!$C$3,INDEX('Snowball Engine'!$AH112:$AV112,Calc!$I$23),INDEX('Avalanche Engine'!$AH112:$AV112,Calc!$J$23),INDEX('My Order Engine'!$AH112:$AV112,Calc!$K$23)),"")</f>
        <v/>
      </c>
      <c r="U110" s="25" t="str">
        <f>IF(AND($A110&lt;=IF(Calc!$C$36=999,360,Calc!$C$36),Calc!$C$24=1),CHOOSE(Calc!$C$3,INDEX('Snowball Engine'!$AH112:$AV112,Calc!$I$24),INDEX('Avalanche Engine'!$AH112:$AV112,Calc!$J$24),INDEX('My Order Engine'!$AH112:$AV112,Calc!$K$24)),"")</f>
        <v/>
      </c>
    </row>
    <row r="111" spans="1:21" x14ac:dyDescent="0.35">
      <c r="A111" s="23">
        <v>107</v>
      </c>
      <c r="B111" s="24" t="str">
        <f>IF($A111&lt;=IF(Calc!$C$36=999,360,Calc!$C$36),EDATE(Calc!$C$5,A111-1),"")</f>
        <v/>
      </c>
      <c r="C111" s="25" t="str">
        <f>IF($A111&lt;=IF(Calc!$C$36=999,360,Calc!$C$36),CHOOSE(Calc!$C$3,'Snowball Engine'!AY113,'Avalanche Engine'!AY113,'My Order Engine'!AY113),"")</f>
        <v/>
      </c>
      <c r="D111" s="25" t="str">
        <f>IF($A111&lt;=IF(Calc!$C$36=999,360,Calc!$C$36),CHOOSE(Calc!$C$3,'Snowball Engine'!AX113,'Avalanche Engine'!AX113,'My Order Engine'!AX113),"")</f>
        <v/>
      </c>
      <c r="E111" s="25" t="str">
        <f>IF($A111&lt;=IF(Calc!$C$36=999,360,Calc!$C$36),C111-D111,"")</f>
        <v/>
      </c>
      <c r="F111" s="25" t="str">
        <f>IF($A111&lt;=IF(Calc!$C$36=999,360,Calc!$C$36),CHOOSE(Calc!$C$3,'Snowball Engine'!AW113,'Avalanche Engine'!AW113,'My Order Engine'!AW113),"")</f>
        <v/>
      </c>
      <c r="G111" s="25" t="str">
        <f>IF(AND($A111&lt;=IF(Calc!$C$36=999,360,Calc!$C$36),Calc!$C$10=1),CHOOSE(Calc!$C$3,INDEX('Snowball Engine'!$AH113:$AV113,Calc!$I$10),INDEX('Avalanche Engine'!$AH113:$AV113,Calc!$J$10),INDEX('My Order Engine'!$AH113:$AV113,Calc!$K$10)),"")</f>
        <v/>
      </c>
      <c r="H111" s="25" t="str">
        <f>IF(AND($A111&lt;=IF(Calc!$C$36=999,360,Calc!$C$36),Calc!$C$11=1),CHOOSE(Calc!$C$3,INDEX('Snowball Engine'!$AH113:$AV113,Calc!$I$11),INDEX('Avalanche Engine'!$AH113:$AV113,Calc!$J$11),INDEX('My Order Engine'!$AH113:$AV113,Calc!$K$11)),"")</f>
        <v/>
      </c>
      <c r="I111" s="25" t="str">
        <f>IF(AND($A111&lt;=IF(Calc!$C$36=999,360,Calc!$C$36),Calc!$C$12=1),CHOOSE(Calc!$C$3,INDEX('Snowball Engine'!$AH113:$AV113,Calc!$I$12),INDEX('Avalanche Engine'!$AH113:$AV113,Calc!$J$12),INDEX('My Order Engine'!$AH113:$AV113,Calc!$K$12)),"")</f>
        <v/>
      </c>
      <c r="J111" s="25" t="str">
        <f>IF(AND($A111&lt;=IF(Calc!$C$36=999,360,Calc!$C$36),Calc!$C$13=1),CHOOSE(Calc!$C$3,INDEX('Snowball Engine'!$AH113:$AV113,Calc!$I$13),INDEX('Avalanche Engine'!$AH113:$AV113,Calc!$J$13),INDEX('My Order Engine'!$AH113:$AV113,Calc!$K$13)),"")</f>
        <v/>
      </c>
      <c r="K111" s="25" t="str">
        <f>IF(AND($A111&lt;=IF(Calc!$C$36=999,360,Calc!$C$36),Calc!$C$14=1),CHOOSE(Calc!$C$3,INDEX('Snowball Engine'!$AH113:$AV113,Calc!$I$14),INDEX('Avalanche Engine'!$AH113:$AV113,Calc!$J$14),INDEX('My Order Engine'!$AH113:$AV113,Calc!$K$14)),"")</f>
        <v/>
      </c>
      <c r="L111" s="25" t="str">
        <f>IF(AND($A111&lt;=IF(Calc!$C$36=999,360,Calc!$C$36),Calc!$C$15=1),CHOOSE(Calc!$C$3,INDEX('Snowball Engine'!$AH113:$AV113,Calc!$I$15),INDEX('Avalanche Engine'!$AH113:$AV113,Calc!$J$15),INDEX('My Order Engine'!$AH113:$AV113,Calc!$K$15)),"")</f>
        <v/>
      </c>
      <c r="M111" s="25" t="str">
        <f>IF(AND($A111&lt;=IF(Calc!$C$36=999,360,Calc!$C$36),Calc!$C$16=1),CHOOSE(Calc!$C$3,INDEX('Snowball Engine'!$AH113:$AV113,Calc!$I$16),INDEX('Avalanche Engine'!$AH113:$AV113,Calc!$J$16),INDEX('My Order Engine'!$AH113:$AV113,Calc!$K$16)),"")</f>
        <v/>
      </c>
      <c r="N111" s="25" t="str">
        <f>IF(AND($A111&lt;=IF(Calc!$C$36=999,360,Calc!$C$36),Calc!$C$17=1),CHOOSE(Calc!$C$3,INDEX('Snowball Engine'!$AH113:$AV113,Calc!$I$17),INDEX('Avalanche Engine'!$AH113:$AV113,Calc!$J$17),INDEX('My Order Engine'!$AH113:$AV113,Calc!$K$17)),"")</f>
        <v/>
      </c>
      <c r="O111" s="25" t="str">
        <f>IF(AND($A111&lt;=IF(Calc!$C$36=999,360,Calc!$C$36),Calc!$C$18=1),CHOOSE(Calc!$C$3,INDEX('Snowball Engine'!$AH113:$AV113,Calc!$I$18),INDEX('Avalanche Engine'!$AH113:$AV113,Calc!$J$18),INDEX('My Order Engine'!$AH113:$AV113,Calc!$K$18)),"")</f>
        <v/>
      </c>
      <c r="P111" s="25" t="str">
        <f>IF(AND($A111&lt;=IF(Calc!$C$36=999,360,Calc!$C$36),Calc!$C$19=1),CHOOSE(Calc!$C$3,INDEX('Snowball Engine'!$AH113:$AV113,Calc!$I$19),INDEX('Avalanche Engine'!$AH113:$AV113,Calc!$J$19),INDEX('My Order Engine'!$AH113:$AV113,Calc!$K$19)),"")</f>
        <v/>
      </c>
      <c r="Q111" s="25" t="str">
        <f>IF(AND($A111&lt;=IF(Calc!$C$36=999,360,Calc!$C$36),Calc!$C$20=1),CHOOSE(Calc!$C$3,INDEX('Snowball Engine'!$AH113:$AV113,Calc!$I$20),INDEX('Avalanche Engine'!$AH113:$AV113,Calc!$J$20),INDEX('My Order Engine'!$AH113:$AV113,Calc!$K$20)),"")</f>
        <v/>
      </c>
      <c r="R111" s="25" t="str">
        <f>IF(AND($A111&lt;=IF(Calc!$C$36=999,360,Calc!$C$36),Calc!$C$21=1),CHOOSE(Calc!$C$3,INDEX('Snowball Engine'!$AH113:$AV113,Calc!$I$21),INDEX('Avalanche Engine'!$AH113:$AV113,Calc!$J$21),INDEX('My Order Engine'!$AH113:$AV113,Calc!$K$21)),"")</f>
        <v/>
      </c>
      <c r="S111" s="25" t="str">
        <f>IF(AND($A111&lt;=IF(Calc!$C$36=999,360,Calc!$C$36),Calc!$C$22=1),CHOOSE(Calc!$C$3,INDEX('Snowball Engine'!$AH113:$AV113,Calc!$I$22),INDEX('Avalanche Engine'!$AH113:$AV113,Calc!$J$22),INDEX('My Order Engine'!$AH113:$AV113,Calc!$K$22)),"")</f>
        <v/>
      </c>
      <c r="T111" s="25" t="str">
        <f>IF(AND($A111&lt;=IF(Calc!$C$36=999,360,Calc!$C$36),Calc!$C$23=1),CHOOSE(Calc!$C$3,INDEX('Snowball Engine'!$AH113:$AV113,Calc!$I$23),INDEX('Avalanche Engine'!$AH113:$AV113,Calc!$J$23),INDEX('My Order Engine'!$AH113:$AV113,Calc!$K$23)),"")</f>
        <v/>
      </c>
      <c r="U111" s="25" t="str">
        <f>IF(AND($A111&lt;=IF(Calc!$C$36=999,360,Calc!$C$36),Calc!$C$24=1),CHOOSE(Calc!$C$3,INDEX('Snowball Engine'!$AH113:$AV113,Calc!$I$24),INDEX('Avalanche Engine'!$AH113:$AV113,Calc!$J$24),INDEX('My Order Engine'!$AH113:$AV113,Calc!$K$24)),"")</f>
        <v/>
      </c>
    </row>
    <row r="112" spans="1:21" x14ac:dyDescent="0.35">
      <c r="A112" s="23">
        <v>108</v>
      </c>
      <c r="B112" s="24" t="str">
        <f>IF($A112&lt;=IF(Calc!$C$36=999,360,Calc!$C$36),EDATE(Calc!$C$5,A112-1),"")</f>
        <v/>
      </c>
      <c r="C112" s="25" t="str">
        <f>IF($A112&lt;=IF(Calc!$C$36=999,360,Calc!$C$36),CHOOSE(Calc!$C$3,'Snowball Engine'!AY114,'Avalanche Engine'!AY114,'My Order Engine'!AY114),"")</f>
        <v/>
      </c>
      <c r="D112" s="25" t="str">
        <f>IF($A112&lt;=IF(Calc!$C$36=999,360,Calc!$C$36),CHOOSE(Calc!$C$3,'Snowball Engine'!AX114,'Avalanche Engine'!AX114,'My Order Engine'!AX114),"")</f>
        <v/>
      </c>
      <c r="E112" s="25" t="str">
        <f>IF($A112&lt;=IF(Calc!$C$36=999,360,Calc!$C$36),C112-D112,"")</f>
        <v/>
      </c>
      <c r="F112" s="25" t="str">
        <f>IF($A112&lt;=IF(Calc!$C$36=999,360,Calc!$C$36),CHOOSE(Calc!$C$3,'Snowball Engine'!AW114,'Avalanche Engine'!AW114,'My Order Engine'!AW114),"")</f>
        <v/>
      </c>
      <c r="G112" s="25" t="str">
        <f>IF(AND($A112&lt;=IF(Calc!$C$36=999,360,Calc!$C$36),Calc!$C$10=1),CHOOSE(Calc!$C$3,INDEX('Snowball Engine'!$AH114:$AV114,Calc!$I$10),INDEX('Avalanche Engine'!$AH114:$AV114,Calc!$J$10),INDEX('My Order Engine'!$AH114:$AV114,Calc!$K$10)),"")</f>
        <v/>
      </c>
      <c r="H112" s="25" t="str">
        <f>IF(AND($A112&lt;=IF(Calc!$C$36=999,360,Calc!$C$36),Calc!$C$11=1),CHOOSE(Calc!$C$3,INDEX('Snowball Engine'!$AH114:$AV114,Calc!$I$11),INDEX('Avalanche Engine'!$AH114:$AV114,Calc!$J$11),INDEX('My Order Engine'!$AH114:$AV114,Calc!$K$11)),"")</f>
        <v/>
      </c>
      <c r="I112" s="25" t="str">
        <f>IF(AND($A112&lt;=IF(Calc!$C$36=999,360,Calc!$C$36),Calc!$C$12=1),CHOOSE(Calc!$C$3,INDEX('Snowball Engine'!$AH114:$AV114,Calc!$I$12),INDEX('Avalanche Engine'!$AH114:$AV114,Calc!$J$12),INDEX('My Order Engine'!$AH114:$AV114,Calc!$K$12)),"")</f>
        <v/>
      </c>
      <c r="J112" s="25" t="str">
        <f>IF(AND($A112&lt;=IF(Calc!$C$36=999,360,Calc!$C$36),Calc!$C$13=1),CHOOSE(Calc!$C$3,INDEX('Snowball Engine'!$AH114:$AV114,Calc!$I$13),INDEX('Avalanche Engine'!$AH114:$AV114,Calc!$J$13),INDEX('My Order Engine'!$AH114:$AV114,Calc!$K$13)),"")</f>
        <v/>
      </c>
      <c r="K112" s="25" t="str">
        <f>IF(AND($A112&lt;=IF(Calc!$C$36=999,360,Calc!$C$36),Calc!$C$14=1),CHOOSE(Calc!$C$3,INDEX('Snowball Engine'!$AH114:$AV114,Calc!$I$14),INDEX('Avalanche Engine'!$AH114:$AV114,Calc!$J$14),INDEX('My Order Engine'!$AH114:$AV114,Calc!$K$14)),"")</f>
        <v/>
      </c>
      <c r="L112" s="25" t="str">
        <f>IF(AND($A112&lt;=IF(Calc!$C$36=999,360,Calc!$C$36),Calc!$C$15=1),CHOOSE(Calc!$C$3,INDEX('Snowball Engine'!$AH114:$AV114,Calc!$I$15),INDEX('Avalanche Engine'!$AH114:$AV114,Calc!$J$15),INDEX('My Order Engine'!$AH114:$AV114,Calc!$K$15)),"")</f>
        <v/>
      </c>
      <c r="M112" s="25" t="str">
        <f>IF(AND($A112&lt;=IF(Calc!$C$36=999,360,Calc!$C$36),Calc!$C$16=1),CHOOSE(Calc!$C$3,INDEX('Snowball Engine'!$AH114:$AV114,Calc!$I$16),INDEX('Avalanche Engine'!$AH114:$AV114,Calc!$J$16),INDEX('My Order Engine'!$AH114:$AV114,Calc!$K$16)),"")</f>
        <v/>
      </c>
      <c r="N112" s="25" t="str">
        <f>IF(AND($A112&lt;=IF(Calc!$C$36=999,360,Calc!$C$36),Calc!$C$17=1),CHOOSE(Calc!$C$3,INDEX('Snowball Engine'!$AH114:$AV114,Calc!$I$17),INDEX('Avalanche Engine'!$AH114:$AV114,Calc!$J$17),INDEX('My Order Engine'!$AH114:$AV114,Calc!$K$17)),"")</f>
        <v/>
      </c>
      <c r="O112" s="25" t="str">
        <f>IF(AND($A112&lt;=IF(Calc!$C$36=999,360,Calc!$C$36),Calc!$C$18=1),CHOOSE(Calc!$C$3,INDEX('Snowball Engine'!$AH114:$AV114,Calc!$I$18),INDEX('Avalanche Engine'!$AH114:$AV114,Calc!$J$18),INDEX('My Order Engine'!$AH114:$AV114,Calc!$K$18)),"")</f>
        <v/>
      </c>
      <c r="P112" s="25" t="str">
        <f>IF(AND($A112&lt;=IF(Calc!$C$36=999,360,Calc!$C$36),Calc!$C$19=1),CHOOSE(Calc!$C$3,INDEX('Snowball Engine'!$AH114:$AV114,Calc!$I$19),INDEX('Avalanche Engine'!$AH114:$AV114,Calc!$J$19),INDEX('My Order Engine'!$AH114:$AV114,Calc!$K$19)),"")</f>
        <v/>
      </c>
      <c r="Q112" s="25" t="str">
        <f>IF(AND($A112&lt;=IF(Calc!$C$36=999,360,Calc!$C$36),Calc!$C$20=1),CHOOSE(Calc!$C$3,INDEX('Snowball Engine'!$AH114:$AV114,Calc!$I$20),INDEX('Avalanche Engine'!$AH114:$AV114,Calc!$J$20),INDEX('My Order Engine'!$AH114:$AV114,Calc!$K$20)),"")</f>
        <v/>
      </c>
      <c r="R112" s="25" t="str">
        <f>IF(AND($A112&lt;=IF(Calc!$C$36=999,360,Calc!$C$36),Calc!$C$21=1),CHOOSE(Calc!$C$3,INDEX('Snowball Engine'!$AH114:$AV114,Calc!$I$21),INDEX('Avalanche Engine'!$AH114:$AV114,Calc!$J$21),INDEX('My Order Engine'!$AH114:$AV114,Calc!$K$21)),"")</f>
        <v/>
      </c>
      <c r="S112" s="25" t="str">
        <f>IF(AND($A112&lt;=IF(Calc!$C$36=999,360,Calc!$C$36),Calc!$C$22=1),CHOOSE(Calc!$C$3,INDEX('Snowball Engine'!$AH114:$AV114,Calc!$I$22),INDEX('Avalanche Engine'!$AH114:$AV114,Calc!$J$22),INDEX('My Order Engine'!$AH114:$AV114,Calc!$K$22)),"")</f>
        <v/>
      </c>
      <c r="T112" s="25" t="str">
        <f>IF(AND($A112&lt;=IF(Calc!$C$36=999,360,Calc!$C$36),Calc!$C$23=1),CHOOSE(Calc!$C$3,INDEX('Snowball Engine'!$AH114:$AV114,Calc!$I$23),INDEX('Avalanche Engine'!$AH114:$AV114,Calc!$J$23),INDEX('My Order Engine'!$AH114:$AV114,Calc!$K$23)),"")</f>
        <v/>
      </c>
      <c r="U112" s="25" t="str">
        <f>IF(AND($A112&lt;=IF(Calc!$C$36=999,360,Calc!$C$36),Calc!$C$24=1),CHOOSE(Calc!$C$3,INDEX('Snowball Engine'!$AH114:$AV114,Calc!$I$24),INDEX('Avalanche Engine'!$AH114:$AV114,Calc!$J$24),INDEX('My Order Engine'!$AH114:$AV114,Calc!$K$24)),"")</f>
        <v/>
      </c>
    </row>
    <row r="113" spans="1:21" x14ac:dyDescent="0.35">
      <c r="A113" s="23">
        <v>109</v>
      </c>
      <c r="B113" s="24" t="str">
        <f>IF($A113&lt;=IF(Calc!$C$36=999,360,Calc!$C$36),EDATE(Calc!$C$5,A113-1),"")</f>
        <v/>
      </c>
      <c r="C113" s="25" t="str">
        <f>IF($A113&lt;=IF(Calc!$C$36=999,360,Calc!$C$36),CHOOSE(Calc!$C$3,'Snowball Engine'!AY115,'Avalanche Engine'!AY115,'My Order Engine'!AY115),"")</f>
        <v/>
      </c>
      <c r="D113" s="25" t="str">
        <f>IF($A113&lt;=IF(Calc!$C$36=999,360,Calc!$C$36),CHOOSE(Calc!$C$3,'Snowball Engine'!AX115,'Avalanche Engine'!AX115,'My Order Engine'!AX115),"")</f>
        <v/>
      </c>
      <c r="E113" s="25" t="str">
        <f>IF($A113&lt;=IF(Calc!$C$36=999,360,Calc!$C$36),C113-D113,"")</f>
        <v/>
      </c>
      <c r="F113" s="25" t="str">
        <f>IF($A113&lt;=IF(Calc!$C$36=999,360,Calc!$C$36),CHOOSE(Calc!$C$3,'Snowball Engine'!AW115,'Avalanche Engine'!AW115,'My Order Engine'!AW115),"")</f>
        <v/>
      </c>
      <c r="G113" s="25" t="str">
        <f>IF(AND($A113&lt;=IF(Calc!$C$36=999,360,Calc!$C$36),Calc!$C$10=1),CHOOSE(Calc!$C$3,INDEX('Snowball Engine'!$AH115:$AV115,Calc!$I$10),INDEX('Avalanche Engine'!$AH115:$AV115,Calc!$J$10),INDEX('My Order Engine'!$AH115:$AV115,Calc!$K$10)),"")</f>
        <v/>
      </c>
      <c r="H113" s="25" t="str">
        <f>IF(AND($A113&lt;=IF(Calc!$C$36=999,360,Calc!$C$36),Calc!$C$11=1),CHOOSE(Calc!$C$3,INDEX('Snowball Engine'!$AH115:$AV115,Calc!$I$11),INDEX('Avalanche Engine'!$AH115:$AV115,Calc!$J$11),INDEX('My Order Engine'!$AH115:$AV115,Calc!$K$11)),"")</f>
        <v/>
      </c>
      <c r="I113" s="25" t="str">
        <f>IF(AND($A113&lt;=IF(Calc!$C$36=999,360,Calc!$C$36),Calc!$C$12=1),CHOOSE(Calc!$C$3,INDEX('Snowball Engine'!$AH115:$AV115,Calc!$I$12),INDEX('Avalanche Engine'!$AH115:$AV115,Calc!$J$12),INDEX('My Order Engine'!$AH115:$AV115,Calc!$K$12)),"")</f>
        <v/>
      </c>
      <c r="J113" s="25" t="str">
        <f>IF(AND($A113&lt;=IF(Calc!$C$36=999,360,Calc!$C$36),Calc!$C$13=1),CHOOSE(Calc!$C$3,INDEX('Snowball Engine'!$AH115:$AV115,Calc!$I$13),INDEX('Avalanche Engine'!$AH115:$AV115,Calc!$J$13),INDEX('My Order Engine'!$AH115:$AV115,Calc!$K$13)),"")</f>
        <v/>
      </c>
      <c r="K113" s="25" t="str">
        <f>IF(AND($A113&lt;=IF(Calc!$C$36=999,360,Calc!$C$36),Calc!$C$14=1),CHOOSE(Calc!$C$3,INDEX('Snowball Engine'!$AH115:$AV115,Calc!$I$14),INDEX('Avalanche Engine'!$AH115:$AV115,Calc!$J$14),INDEX('My Order Engine'!$AH115:$AV115,Calc!$K$14)),"")</f>
        <v/>
      </c>
      <c r="L113" s="25" t="str">
        <f>IF(AND($A113&lt;=IF(Calc!$C$36=999,360,Calc!$C$36),Calc!$C$15=1),CHOOSE(Calc!$C$3,INDEX('Snowball Engine'!$AH115:$AV115,Calc!$I$15),INDEX('Avalanche Engine'!$AH115:$AV115,Calc!$J$15),INDEX('My Order Engine'!$AH115:$AV115,Calc!$K$15)),"")</f>
        <v/>
      </c>
      <c r="M113" s="25" t="str">
        <f>IF(AND($A113&lt;=IF(Calc!$C$36=999,360,Calc!$C$36),Calc!$C$16=1),CHOOSE(Calc!$C$3,INDEX('Snowball Engine'!$AH115:$AV115,Calc!$I$16),INDEX('Avalanche Engine'!$AH115:$AV115,Calc!$J$16),INDEX('My Order Engine'!$AH115:$AV115,Calc!$K$16)),"")</f>
        <v/>
      </c>
      <c r="N113" s="25" t="str">
        <f>IF(AND($A113&lt;=IF(Calc!$C$36=999,360,Calc!$C$36),Calc!$C$17=1),CHOOSE(Calc!$C$3,INDEX('Snowball Engine'!$AH115:$AV115,Calc!$I$17),INDEX('Avalanche Engine'!$AH115:$AV115,Calc!$J$17),INDEX('My Order Engine'!$AH115:$AV115,Calc!$K$17)),"")</f>
        <v/>
      </c>
      <c r="O113" s="25" t="str">
        <f>IF(AND($A113&lt;=IF(Calc!$C$36=999,360,Calc!$C$36),Calc!$C$18=1),CHOOSE(Calc!$C$3,INDEX('Snowball Engine'!$AH115:$AV115,Calc!$I$18),INDEX('Avalanche Engine'!$AH115:$AV115,Calc!$J$18),INDEX('My Order Engine'!$AH115:$AV115,Calc!$K$18)),"")</f>
        <v/>
      </c>
      <c r="P113" s="25" t="str">
        <f>IF(AND($A113&lt;=IF(Calc!$C$36=999,360,Calc!$C$36),Calc!$C$19=1),CHOOSE(Calc!$C$3,INDEX('Snowball Engine'!$AH115:$AV115,Calc!$I$19),INDEX('Avalanche Engine'!$AH115:$AV115,Calc!$J$19),INDEX('My Order Engine'!$AH115:$AV115,Calc!$K$19)),"")</f>
        <v/>
      </c>
      <c r="Q113" s="25" t="str">
        <f>IF(AND($A113&lt;=IF(Calc!$C$36=999,360,Calc!$C$36),Calc!$C$20=1),CHOOSE(Calc!$C$3,INDEX('Snowball Engine'!$AH115:$AV115,Calc!$I$20),INDEX('Avalanche Engine'!$AH115:$AV115,Calc!$J$20),INDEX('My Order Engine'!$AH115:$AV115,Calc!$K$20)),"")</f>
        <v/>
      </c>
      <c r="R113" s="25" t="str">
        <f>IF(AND($A113&lt;=IF(Calc!$C$36=999,360,Calc!$C$36),Calc!$C$21=1),CHOOSE(Calc!$C$3,INDEX('Snowball Engine'!$AH115:$AV115,Calc!$I$21),INDEX('Avalanche Engine'!$AH115:$AV115,Calc!$J$21),INDEX('My Order Engine'!$AH115:$AV115,Calc!$K$21)),"")</f>
        <v/>
      </c>
      <c r="S113" s="25" t="str">
        <f>IF(AND($A113&lt;=IF(Calc!$C$36=999,360,Calc!$C$36),Calc!$C$22=1),CHOOSE(Calc!$C$3,INDEX('Snowball Engine'!$AH115:$AV115,Calc!$I$22),INDEX('Avalanche Engine'!$AH115:$AV115,Calc!$J$22),INDEX('My Order Engine'!$AH115:$AV115,Calc!$K$22)),"")</f>
        <v/>
      </c>
      <c r="T113" s="25" t="str">
        <f>IF(AND($A113&lt;=IF(Calc!$C$36=999,360,Calc!$C$36),Calc!$C$23=1),CHOOSE(Calc!$C$3,INDEX('Snowball Engine'!$AH115:$AV115,Calc!$I$23),INDEX('Avalanche Engine'!$AH115:$AV115,Calc!$J$23),INDEX('My Order Engine'!$AH115:$AV115,Calc!$K$23)),"")</f>
        <v/>
      </c>
      <c r="U113" s="25" t="str">
        <f>IF(AND($A113&lt;=IF(Calc!$C$36=999,360,Calc!$C$36),Calc!$C$24=1),CHOOSE(Calc!$C$3,INDEX('Snowball Engine'!$AH115:$AV115,Calc!$I$24),INDEX('Avalanche Engine'!$AH115:$AV115,Calc!$J$24),INDEX('My Order Engine'!$AH115:$AV115,Calc!$K$24)),"")</f>
        <v/>
      </c>
    </row>
    <row r="114" spans="1:21" x14ac:dyDescent="0.35">
      <c r="A114" s="23">
        <v>110</v>
      </c>
      <c r="B114" s="24" t="str">
        <f>IF($A114&lt;=IF(Calc!$C$36=999,360,Calc!$C$36),EDATE(Calc!$C$5,A114-1),"")</f>
        <v/>
      </c>
      <c r="C114" s="25" t="str">
        <f>IF($A114&lt;=IF(Calc!$C$36=999,360,Calc!$C$36),CHOOSE(Calc!$C$3,'Snowball Engine'!AY116,'Avalanche Engine'!AY116,'My Order Engine'!AY116),"")</f>
        <v/>
      </c>
      <c r="D114" s="25" t="str">
        <f>IF($A114&lt;=IF(Calc!$C$36=999,360,Calc!$C$36),CHOOSE(Calc!$C$3,'Snowball Engine'!AX116,'Avalanche Engine'!AX116,'My Order Engine'!AX116),"")</f>
        <v/>
      </c>
      <c r="E114" s="25" t="str">
        <f>IF($A114&lt;=IF(Calc!$C$36=999,360,Calc!$C$36),C114-D114,"")</f>
        <v/>
      </c>
      <c r="F114" s="25" t="str">
        <f>IF($A114&lt;=IF(Calc!$C$36=999,360,Calc!$C$36),CHOOSE(Calc!$C$3,'Snowball Engine'!AW116,'Avalanche Engine'!AW116,'My Order Engine'!AW116),"")</f>
        <v/>
      </c>
      <c r="G114" s="25" t="str">
        <f>IF(AND($A114&lt;=IF(Calc!$C$36=999,360,Calc!$C$36),Calc!$C$10=1),CHOOSE(Calc!$C$3,INDEX('Snowball Engine'!$AH116:$AV116,Calc!$I$10),INDEX('Avalanche Engine'!$AH116:$AV116,Calc!$J$10),INDEX('My Order Engine'!$AH116:$AV116,Calc!$K$10)),"")</f>
        <v/>
      </c>
      <c r="H114" s="25" t="str">
        <f>IF(AND($A114&lt;=IF(Calc!$C$36=999,360,Calc!$C$36),Calc!$C$11=1),CHOOSE(Calc!$C$3,INDEX('Snowball Engine'!$AH116:$AV116,Calc!$I$11),INDEX('Avalanche Engine'!$AH116:$AV116,Calc!$J$11),INDEX('My Order Engine'!$AH116:$AV116,Calc!$K$11)),"")</f>
        <v/>
      </c>
      <c r="I114" s="25" t="str">
        <f>IF(AND($A114&lt;=IF(Calc!$C$36=999,360,Calc!$C$36),Calc!$C$12=1),CHOOSE(Calc!$C$3,INDEX('Snowball Engine'!$AH116:$AV116,Calc!$I$12),INDEX('Avalanche Engine'!$AH116:$AV116,Calc!$J$12),INDEX('My Order Engine'!$AH116:$AV116,Calc!$K$12)),"")</f>
        <v/>
      </c>
      <c r="J114" s="25" t="str">
        <f>IF(AND($A114&lt;=IF(Calc!$C$36=999,360,Calc!$C$36),Calc!$C$13=1),CHOOSE(Calc!$C$3,INDEX('Snowball Engine'!$AH116:$AV116,Calc!$I$13),INDEX('Avalanche Engine'!$AH116:$AV116,Calc!$J$13),INDEX('My Order Engine'!$AH116:$AV116,Calc!$K$13)),"")</f>
        <v/>
      </c>
      <c r="K114" s="25" t="str">
        <f>IF(AND($A114&lt;=IF(Calc!$C$36=999,360,Calc!$C$36),Calc!$C$14=1),CHOOSE(Calc!$C$3,INDEX('Snowball Engine'!$AH116:$AV116,Calc!$I$14),INDEX('Avalanche Engine'!$AH116:$AV116,Calc!$J$14),INDEX('My Order Engine'!$AH116:$AV116,Calc!$K$14)),"")</f>
        <v/>
      </c>
      <c r="L114" s="25" t="str">
        <f>IF(AND($A114&lt;=IF(Calc!$C$36=999,360,Calc!$C$36),Calc!$C$15=1),CHOOSE(Calc!$C$3,INDEX('Snowball Engine'!$AH116:$AV116,Calc!$I$15),INDEX('Avalanche Engine'!$AH116:$AV116,Calc!$J$15),INDEX('My Order Engine'!$AH116:$AV116,Calc!$K$15)),"")</f>
        <v/>
      </c>
      <c r="M114" s="25" t="str">
        <f>IF(AND($A114&lt;=IF(Calc!$C$36=999,360,Calc!$C$36),Calc!$C$16=1),CHOOSE(Calc!$C$3,INDEX('Snowball Engine'!$AH116:$AV116,Calc!$I$16),INDEX('Avalanche Engine'!$AH116:$AV116,Calc!$J$16),INDEX('My Order Engine'!$AH116:$AV116,Calc!$K$16)),"")</f>
        <v/>
      </c>
      <c r="N114" s="25" t="str">
        <f>IF(AND($A114&lt;=IF(Calc!$C$36=999,360,Calc!$C$36),Calc!$C$17=1),CHOOSE(Calc!$C$3,INDEX('Snowball Engine'!$AH116:$AV116,Calc!$I$17),INDEX('Avalanche Engine'!$AH116:$AV116,Calc!$J$17),INDEX('My Order Engine'!$AH116:$AV116,Calc!$K$17)),"")</f>
        <v/>
      </c>
      <c r="O114" s="25" t="str">
        <f>IF(AND($A114&lt;=IF(Calc!$C$36=999,360,Calc!$C$36),Calc!$C$18=1),CHOOSE(Calc!$C$3,INDEX('Snowball Engine'!$AH116:$AV116,Calc!$I$18),INDEX('Avalanche Engine'!$AH116:$AV116,Calc!$J$18),INDEX('My Order Engine'!$AH116:$AV116,Calc!$K$18)),"")</f>
        <v/>
      </c>
      <c r="P114" s="25" t="str">
        <f>IF(AND($A114&lt;=IF(Calc!$C$36=999,360,Calc!$C$36),Calc!$C$19=1),CHOOSE(Calc!$C$3,INDEX('Snowball Engine'!$AH116:$AV116,Calc!$I$19),INDEX('Avalanche Engine'!$AH116:$AV116,Calc!$J$19),INDEX('My Order Engine'!$AH116:$AV116,Calc!$K$19)),"")</f>
        <v/>
      </c>
      <c r="Q114" s="25" t="str">
        <f>IF(AND($A114&lt;=IF(Calc!$C$36=999,360,Calc!$C$36),Calc!$C$20=1),CHOOSE(Calc!$C$3,INDEX('Snowball Engine'!$AH116:$AV116,Calc!$I$20),INDEX('Avalanche Engine'!$AH116:$AV116,Calc!$J$20),INDEX('My Order Engine'!$AH116:$AV116,Calc!$K$20)),"")</f>
        <v/>
      </c>
      <c r="R114" s="25" t="str">
        <f>IF(AND($A114&lt;=IF(Calc!$C$36=999,360,Calc!$C$36),Calc!$C$21=1),CHOOSE(Calc!$C$3,INDEX('Snowball Engine'!$AH116:$AV116,Calc!$I$21),INDEX('Avalanche Engine'!$AH116:$AV116,Calc!$J$21),INDEX('My Order Engine'!$AH116:$AV116,Calc!$K$21)),"")</f>
        <v/>
      </c>
      <c r="S114" s="25" t="str">
        <f>IF(AND($A114&lt;=IF(Calc!$C$36=999,360,Calc!$C$36),Calc!$C$22=1),CHOOSE(Calc!$C$3,INDEX('Snowball Engine'!$AH116:$AV116,Calc!$I$22),INDEX('Avalanche Engine'!$AH116:$AV116,Calc!$J$22),INDEX('My Order Engine'!$AH116:$AV116,Calc!$K$22)),"")</f>
        <v/>
      </c>
      <c r="T114" s="25" t="str">
        <f>IF(AND($A114&lt;=IF(Calc!$C$36=999,360,Calc!$C$36),Calc!$C$23=1),CHOOSE(Calc!$C$3,INDEX('Snowball Engine'!$AH116:$AV116,Calc!$I$23),INDEX('Avalanche Engine'!$AH116:$AV116,Calc!$J$23),INDEX('My Order Engine'!$AH116:$AV116,Calc!$K$23)),"")</f>
        <v/>
      </c>
      <c r="U114" s="25" t="str">
        <f>IF(AND($A114&lt;=IF(Calc!$C$36=999,360,Calc!$C$36),Calc!$C$24=1),CHOOSE(Calc!$C$3,INDEX('Snowball Engine'!$AH116:$AV116,Calc!$I$24),INDEX('Avalanche Engine'!$AH116:$AV116,Calc!$J$24),INDEX('My Order Engine'!$AH116:$AV116,Calc!$K$24)),"")</f>
        <v/>
      </c>
    </row>
    <row r="115" spans="1:21" x14ac:dyDescent="0.35">
      <c r="A115" s="23">
        <v>111</v>
      </c>
      <c r="B115" s="24" t="str">
        <f>IF($A115&lt;=IF(Calc!$C$36=999,360,Calc!$C$36),EDATE(Calc!$C$5,A115-1),"")</f>
        <v/>
      </c>
      <c r="C115" s="25" t="str">
        <f>IF($A115&lt;=IF(Calc!$C$36=999,360,Calc!$C$36),CHOOSE(Calc!$C$3,'Snowball Engine'!AY117,'Avalanche Engine'!AY117,'My Order Engine'!AY117),"")</f>
        <v/>
      </c>
      <c r="D115" s="25" t="str">
        <f>IF($A115&lt;=IF(Calc!$C$36=999,360,Calc!$C$36),CHOOSE(Calc!$C$3,'Snowball Engine'!AX117,'Avalanche Engine'!AX117,'My Order Engine'!AX117),"")</f>
        <v/>
      </c>
      <c r="E115" s="25" t="str">
        <f>IF($A115&lt;=IF(Calc!$C$36=999,360,Calc!$C$36),C115-D115,"")</f>
        <v/>
      </c>
      <c r="F115" s="25" t="str">
        <f>IF($A115&lt;=IF(Calc!$C$36=999,360,Calc!$C$36),CHOOSE(Calc!$C$3,'Snowball Engine'!AW117,'Avalanche Engine'!AW117,'My Order Engine'!AW117),"")</f>
        <v/>
      </c>
      <c r="G115" s="25" t="str">
        <f>IF(AND($A115&lt;=IF(Calc!$C$36=999,360,Calc!$C$36),Calc!$C$10=1),CHOOSE(Calc!$C$3,INDEX('Snowball Engine'!$AH117:$AV117,Calc!$I$10),INDEX('Avalanche Engine'!$AH117:$AV117,Calc!$J$10),INDEX('My Order Engine'!$AH117:$AV117,Calc!$K$10)),"")</f>
        <v/>
      </c>
      <c r="H115" s="25" t="str">
        <f>IF(AND($A115&lt;=IF(Calc!$C$36=999,360,Calc!$C$36),Calc!$C$11=1),CHOOSE(Calc!$C$3,INDEX('Snowball Engine'!$AH117:$AV117,Calc!$I$11),INDEX('Avalanche Engine'!$AH117:$AV117,Calc!$J$11),INDEX('My Order Engine'!$AH117:$AV117,Calc!$K$11)),"")</f>
        <v/>
      </c>
      <c r="I115" s="25" t="str">
        <f>IF(AND($A115&lt;=IF(Calc!$C$36=999,360,Calc!$C$36),Calc!$C$12=1),CHOOSE(Calc!$C$3,INDEX('Snowball Engine'!$AH117:$AV117,Calc!$I$12),INDEX('Avalanche Engine'!$AH117:$AV117,Calc!$J$12),INDEX('My Order Engine'!$AH117:$AV117,Calc!$K$12)),"")</f>
        <v/>
      </c>
      <c r="J115" s="25" t="str">
        <f>IF(AND($A115&lt;=IF(Calc!$C$36=999,360,Calc!$C$36),Calc!$C$13=1),CHOOSE(Calc!$C$3,INDEX('Snowball Engine'!$AH117:$AV117,Calc!$I$13),INDEX('Avalanche Engine'!$AH117:$AV117,Calc!$J$13),INDEX('My Order Engine'!$AH117:$AV117,Calc!$K$13)),"")</f>
        <v/>
      </c>
      <c r="K115" s="25" t="str">
        <f>IF(AND($A115&lt;=IF(Calc!$C$36=999,360,Calc!$C$36),Calc!$C$14=1),CHOOSE(Calc!$C$3,INDEX('Snowball Engine'!$AH117:$AV117,Calc!$I$14),INDEX('Avalanche Engine'!$AH117:$AV117,Calc!$J$14),INDEX('My Order Engine'!$AH117:$AV117,Calc!$K$14)),"")</f>
        <v/>
      </c>
      <c r="L115" s="25" t="str">
        <f>IF(AND($A115&lt;=IF(Calc!$C$36=999,360,Calc!$C$36),Calc!$C$15=1),CHOOSE(Calc!$C$3,INDEX('Snowball Engine'!$AH117:$AV117,Calc!$I$15),INDEX('Avalanche Engine'!$AH117:$AV117,Calc!$J$15),INDEX('My Order Engine'!$AH117:$AV117,Calc!$K$15)),"")</f>
        <v/>
      </c>
      <c r="M115" s="25" t="str">
        <f>IF(AND($A115&lt;=IF(Calc!$C$36=999,360,Calc!$C$36),Calc!$C$16=1),CHOOSE(Calc!$C$3,INDEX('Snowball Engine'!$AH117:$AV117,Calc!$I$16),INDEX('Avalanche Engine'!$AH117:$AV117,Calc!$J$16),INDEX('My Order Engine'!$AH117:$AV117,Calc!$K$16)),"")</f>
        <v/>
      </c>
      <c r="N115" s="25" t="str">
        <f>IF(AND($A115&lt;=IF(Calc!$C$36=999,360,Calc!$C$36),Calc!$C$17=1),CHOOSE(Calc!$C$3,INDEX('Snowball Engine'!$AH117:$AV117,Calc!$I$17),INDEX('Avalanche Engine'!$AH117:$AV117,Calc!$J$17),INDEX('My Order Engine'!$AH117:$AV117,Calc!$K$17)),"")</f>
        <v/>
      </c>
      <c r="O115" s="25" t="str">
        <f>IF(AND($A115&lt;=IF(Calc!$C$36=999,360,Calc!$C$36),Calc!$C$18=1),CHOOSE(Calc!$C$3,INDEX('Snowball Engine'!$AH117:$AV117,Calc!$I$18),INDEX('Avalanche Engine'!$AH117:$AV117,Calc!$J$18),INDEX('My Order Engine'!$AH117:$AV117,Calc!$K$18)),"")</f>
        <v/>
      </c>
      <c r="P115" s="25" t="str">
        <f>IF(AND($A115&lt;=IF(Calc!$C$36=999,360,Calc!$C$36),Calc!$C$19=1),CHOOSE(Calc!$C$3,INDEX('Snowball Engine'!$AH117:$AV117,Calc!$I$19),INDEX('Avalanche Engine'!$AH117:$AV117,Calc!$J$19),INDEX('My Order Engine'!$AH117:$AV117,Calc!$K$19)),"")</f>
        <v/>
      </c>
      <c r="Q115" s="25" t="str">
        <f>IF(AND($A115&lt;=IF(Calc!$C$36=999,360,Calc!$C$36),Calc!$C$20=1),CHOOSE(Calc!$C$3,INDEX('Snowball Engine'!$AH117:$AV117,Calc!$I$20),INDEX('Avalanche Engine'!$AH117:$AV117,Calc!$J$20),INDEX('My Order Engine'!$AH117:$AV117,Calc!$K$20)),"")</f>
        <v/>
      </c>
      <c r="R115" s="25" t="str">
        <f>IF(AND($A115&lt;=IF(Calc!$C$36=999,360,Calc!$C$36),Calc!$C$21=1),CHOOSE(Calc!$C$3,INDEX('Snowball Engine'!$AH117:$AV117,Calc!$I$21),INDEX('Avalanche Engine'!$AH117:$AV117,Calc!$J$21),INDEX('My Order Engine'!$AH117:$AV117,Calc!$K$21)),"")</f>
        <v/>
      </c>
      <c r="S115" s="25" t="str">
        <f>IF(AND($A115&lt;=IF(Calc!$C$36=999,360,Calc!$C$36),Calc!$C$22=1),CHOOSE(Calc!$C$3,INDEX('Snowball Engine'!$AH117:$AV117,Calc!$I$22),INDEX('Avalanche Engine'!$AH117:$AV117,Calc!$J$22),INDEX('My Order Engine'!$AH117:$AV117,Calc!$K$22)),"")</f>
        <v/>
      </c>
      <c r="T115" s="25" t="str">
        <f>IF(AND($A115&lt;=IF(Calc!$C$36=999,360,Calc!$C$36),Calc!$C$23=1),CHOOSE(Calc!$C$3,INDEX('Snowball Engine'!$AH117:$AV117,Calc!$I$23),INDEX('Avalanche Engine'!$AH117:$AV117,Calc!$J$23),INDEX('My Order Engine'!$AH117:$AV117,Calc!$K$23)),"")</f>
        <v/>
      </c>
      <c r="U115" s="25" t="str">
        <f>IF(AND($A115&lt;=IF(Calc!$C$36=999,360,Calc!$C$36),Calc!$C$24=1),CHOOSE(Calc!$C$3,INDEX('Snowball Engine'!$AH117:$AV117,Calc!$I$24),INDEX('Avalanche Engine'!$AH117:$AV117,Calc!$J$24),INDEX('My Order Engine'!$AH117:$AV117,Calc!$K$24)),"")</f>
        <v/>
      </c>
    </row>
    <row r="116" spans="1:21" x14ac:dyDescent="0.35">
      <c r="A116" s="23">
        <v>112</v>
      </c>
      <c r="B116" s="24" t="str">
        <f>IF($A116&lt;=IF(Calc!$C$36=999,360,Calc!$C$36),EDATE(Calc!$C$5,A116-1),"")</f>
        <v/>
      </c>
      <c r="C116" s="25" t="str">
        <f>IF($A116&lt;=IF(Calc!$C$36=999,360,Calc!$C$36),CHOOSE(Calc!$C$3,'Snowball Engine'!AY118,'Avalanche Engine'!AY118,'My Order Engine'!AY118),"")</f>
        <v/>
      </c>
      <c r="D116" s="25" t="str">
        <f>IF($A116&lt;=IF(Calc!$C$36=999,360,Calc!$C$36),CHOOSE(Calc!$C$3,'Snowball Engine'!AX118,'Avalanche Engine'!AX118,'My Order Engine'!AX118),"")</f>
        <v/>
      </c>
      <c r="E116" s="25" t="str">
        <f>IF($A116&lt;=IF(Calc!$C$36=999,360,Calc!$C$36),C116-D116,"")</f>
        <v/>
      </c>
      <c r="F116" s="25" t="str">
        <f>IF($A116&lt;=IF(Calc!$C$36=999,360,Calc!$C$36),CHOOSE(Calc!$C$3,'Snowball Engine'!AW118,'Avalanche Engine'!AW118,'My Order Engine'!AW118),"")</f>
        <v/>
      </c>
      <c r="G116" s="25" t="str">
        <f>IF(AND($A116&lt;=IF(Calc!$C$36=999,360,Calc!$C$36),Calc!$C$10=1),CHOOSE(Calc!$C$3,INDEX('Snowball Engine'!$AH118:$AV118,Calc!$I$10),INDEX('Avalanche Engine'!$AH118:$AV118,Calc!$J$10),INDEX('My Order Engine'!$AH118:$AV118,Calc!$K$10)),"")</f>
        <v/>
      </c>
      <c r="H116" s="25" t="str">
        <f>IF(AND($A116&lt;=IF(Calc!$C$36=999,360,Calc!$C$36),Calc!$C$11=1),CHOOSE(Calc!$C$3,INDEX('Snowball Engine'!$AH118:$AV118,Calc!$I$11),INDEX('Avalanche Engine'!$AH118:$AV118,Calc!$J$11),INDEX('My Order Engine'!$AH118:$AV118,Calc!$K$11)),"")</f>
        <v/>
      </c>
      <c r="I116" s="25" t="str">
        <f>IF(AND($A116&lt;=IF(Calc!$C$36=999,360,Calc!$C$36),Calc!$C$12=1),CHOOSE(Calc!$C$3,INDEX('Snowball Engine'!$AH118:$AV118,Calc!$I$12),INDEX('Avalanche Engine'!$AH118:$AV118,Calc!$J$12),INDEX('My Order Engine'!$AH118:$AV118,Calc!$K$12)),"")</f>
        <v/>
      </c>
      <c r="J116" s="25" t="str">
        <f>IF(AND($A116&lt;=IF(Calc!$C$36=999,360,Calc!$C$36),Calc!$C$13=1),CHOOSE(Calc!$C$3,INDEX('Snowball Engine'!$AH118:$AV118,Calc!$I$13),INDEX('Avalanche Engine'!$AH118:$AV118,Calc!$J$13),INDEX('My Order Engine'!$AH118:$AV118,Calc!$K$13)),"")</f>
        <v/>
      </c>
      <c r="K116" s="25" t="str">
        <f>IF(AND($A116&lt;=IF(Calc!$C$36=999,360,Calc!$C$36),Calc!$C$14=1),CHOOSE(Calc!$C$3,INDEX('Snowball Engine'!$AH118:$AV118,Calc!$I$14),INDEX('Avalanche Engine'!$AH118:$AV118,Calc!$J$14),INDEX('My Order Engine'!$AH118:$AV118,Calc!$K$14)),"")</f>
        <v/>
      </c>
      <c r="L116" s="25" t="str">
        <f>IF(AND($A116&lt;=IF(Calc!$C$36=999,360,Calc!$C$36),Calc!$C$15=1),CHOOSE(Calc!$C$3,INDEX('Snowball Engine'!$AH118:$AV118,Calc!$I$15),INDEX('Avalanche Engine'!$AH118:$AV118,Calc!$J$15),INDEX('My Order Engine'!$AH118:$AV118,Calc!$K$15)),"")</f>
        <v/>
      </c>
      <c r="M116" s="25" t="str">
        <f>IF(AND($A116&lt;=IF(Calc!$C$36=999,360,Calc!$C$36),Calc!$C$16=1),CHOOSE(Calc!$C$3,INDEX('Snowball Engine'!$AH118:$AV118,Calc!$I$16),INDEX('Avalanche Engine'!$AH118:$AV118,Calc!$J$16),INDEX('My Order Engine'!$AH118:$AV118,Calc!$K$16)),"")</f>
        <v/>
      </c>
      <c r="N116" s="25" t="str">
        <f>IF(AND($A116&lt;=IF(Calc!$C$36=999,360,Calc!$C$36),Calc!$C$17=1),CHOOSE(Calc!$C$3,INDEX('Snowball Engine'!$AH118:$AV118,Calc!$I$17),INDEX('Avalanche Engine'!$AH118:$AV118,Calc!$J$17),INDEX('My Order Engine'!$AH118:$AV118,Calc!$K$17)),"")</f>
        <v/>
      </c>
      <c r="O116" s="25" t="str">
        <f>IF(AND($A116&lt;=IF(Calc!$C$36=999,360,Calc!$C$36),Calc!$C$18=1),CHOOSE(Calc!$C$3,INDEX('Snowball Engine'!$AH118:$AV118,Calc!$I$18),INDEX('Avalanche Engine'!$AH118:$AV118,Calc!$J$18),INDEX('My Order Engine'!$AH118:$AV118,Calc!$K$18)),"")</f>
        <v/>
      </c>
      <c r="P116" s="25" t="str">
        <f>IF(AND($A116&lt;=IF(Calc!$C$36=999,360,Calc!$C$36),Calc!$C$19=1),CHOOSE(Calc!$C$3,INDEX('Snowball Engine'!$AH118:$AV118,Calc!$I$19),INDEX('Avalanche Engine'!$AH118:$AV118,Calc!$J$19),INDEX('My Order Engine'!$AH118:$AV118,Calc!$K$19)),"")</f>
        <v/>
      </c>
      <c r="Q116" s="25" t="str">
        <f>IF(AND($A116&lt;=IF(Calc!$C$36=999,360,Calc!$C$36),Calc!$C$20=1),CHOOSE(Calc!$C$3,INDEX('Snowball Engine'!$AH118:$AV118,Calc!$I$20),INDEX('Avalanche Engine'!$AH118:$AV118,Calc!$J$20),INDEX('My Order Engine'!$AH118:$AV118,Calc!$K$20)),"")</f>
        <v/>
      </c>
      <c r="R116" s="25" t="str">
        <f>IF(AND($A116&lt;=IF(Calc!$C$36=999,360,Calc!$C$36),Calc!$C$21=1),CHOOSE(Calc!$C$3,INDEX('Snowball Engine'!$AH118:$AV118,Calc!$I$21),INDEX('Avalanche Engine'!$AH118:$AV118,Calc!$J$21),INDEX('My Order Engine'!$AH118:$AV118,Calc!$K$21)),"")</f>
        <v/>
      </c>
      <c r="S116" s="25" t="str">
        <f>IF(AND($A116&lt;=IF(Calc!$C$36=999,360,Calc!$C$36),Calc!$C$22=1),CHOOSE(Calc!$C$3,INDEX('Snowball Engine'!$AH118:$AV118,Calc!$I$22),INDEX('Avalanche Engine'!$AH118:$AV118,Calc!$J$22),INDEX('My Order Engine'!$AH118:$AV118,Calc!$K$22)),"")</f>
        <v/>
      </c>
      <c r="T116" s="25" t="str">
        <f>IF(AND($A116&lt;=IF(Calc!$C$36=999,360,Calc!$C$36),Calc!$C$23=1),CHOOSE(Calc!$C$3,INDEX('Snowball Engine'!$AH118:$AV118,Calc!$I$23),INDEX('Avalanche Engine'!$AH118:$AV118,Calc!$J$23),INDEX('My Order Engine'!$AH118:$AV118,Calc!$K$23)),"")</f>
        <v/>
      </c>
      <c r="U116" s="25" t="str">
        <f>IF(AND($A116&lt;=IF(Calc!$C$36=999,360,Calc!$C$36),Calc!$C$24=1),CHOOSE(Calc!$C$3,INDEX('Snowball Engine'!$AH118:$AV118,Calc!$I$24),INDEX('Avalanche Engine'!$AH118:$AV118,Calc!$J$24),INDEX('My Order Engine'!$AH118:$AV118,Calc!$K$24)),"")</f>
        <v/>
      </c>
    </row>
    <row r="117" spans="1:21" x14ac:dyDescent="0.35">
      <c r="A117" s="23">
        <v>113</v>
      </c>
      <c r="B117" s="24" t="str">
        <f>IF($A117&lt;=IF(Calc!$C$36=999,360,Calc!$C$36),EDATE(Calc!$C$5,A117-1),"")</f>
        <v/>
      </c>
      <c r="C117" s="25" t="str">
        <f>IF($A117&lt;=IF(Calc!$C$36=999,360,Calc!$C$36),CHOOSE(Calc!$C$3,'Snowball Engine'!AY119,'Avalanche Engine'!AY119,'My Order Engine'!AY119),"")</f>
        <v/>
      </c>
      <c r="D117" s="25" t="str">
        <f>IF($A117&lt;=IF(Calc!$C$36=999,360,Calc!$C$36),CHOOSE(Calc!$C$3,'Snowball Engine'!AX119,'Avalanche Engine'!AX119,'My Order Engine'!AX119),"")</f>
        <v/>
      </c>
      <c r="E117" s="25" t="str">
        <f>IF($A117&lt;=IF(Calc!$C$36=999,360,Calc!$C$36),C117-D117,"")</f>
        <v/>
      </c>
      <c r="F117" s="25" t="str">
        <f>IF($A117&lt;=IF(Calc!$C$36=999,360,Calc!$C$36),CHOOSE(Calc!$C$3,'Snowball Engine'!AW119,'Avalanche Engine'!AW119,'My Order Engine'!AW119),"")</f>
        <v/>
      </c>
      <c r="G117" s="25" t="str">
        <f>IF(AND($A117&lt;=IF(Calc!$C$36=999,360,Calc!$C$36),Calc!$C$10=1),CHOOSE(Calc!$C$3,INDEX('Snowball Engine'!$AH119:$AV119,Calc!$I$10),INDEX('Avalanche Engine'!$AH119:$AV119,Calc!$J$10),INDEX('My Order Engine'!$AH119:$AV119,Calc!$K$10)),"")</f>
        <v/>
      </c>
      <c r="H117" s="25" t="str">
        <f>IF(AND($A117&lt;=IF(Calc!$C$36=999,360,Calc!$C$36),Calc!$C$11=1),CHOOSE(Calc!$C$3,INDEX('Snowball Engine'!$AH119:$AV119,Calc!$I$11),INDEX('Avalanche Engine'!$AH119:$AV119,Calc!$J$11),INDEX('My Order Engine'!$AH119:$AV119,Calc!$K$11)),"")</f>
        <v/>
      </c>
      <c r="I117" s="25" t="str">
        <f>IF(AND($A117&lt;=IF(Calc!$C$36=999,360,Calc!$C$36),Calc!$C$12=1),CHOOSE(Calc!$C$3,INDEX('Snowball Engine'!$AH119:$AV119,Calc!$I$12),INDEX('Avalanche Engine'!$AH119:$AV119,Calc!$J$12),INDEX('My Order Engine'!$AH119:$AV119,Calc!$K$12)),"")</f>
        <v/>
      </c>
      <c r="J117" s="25" t="str">
        <f>IF(AND($A117&lt;=IF(Calc!$C$36=999,360,Calc!$C$36),Calc!$C$13=1),CHOOSE(Calc!$C$3,INDEX('Snowball Engine'!$AH119:$AV119,Calc!$I$13),INDEX('Avalanche Engine'!$AH119:$AV119,Calc!$J$13),INDEX('My Order Engine'!$AH119:$AV119,Calc!$K$13)),"")</f>
        <v/>
      </c>
      <c r="K117" s="25" t="str">
        <f>IF(AND($A117&lt;=IF(Calc!$C$36=999,360,Calc!$C$36),Calc!$C$14=1),CHOOSE(Calc!$C$3,INDEX('Snowball Engine'!$AH119:$AV119,Calc!$I$14),INDEX('Avalanche Engine'!$AH119:$AV119,Calc!$J$14),INDEX('My Order Engine'!$AH119:$AV119,Calc!$K$14)),"")</f>
        <v/>
      </c>
      <c r="L117" s="25" t="str">
        <f>IF(AND($A117&lt;=IF(Calc!$C$36=999,360,Calc!$C$36),Calc!$C$15=1),CHOOSE(Calc!$C$3,INDEX('Snowball Engine'!$AH119:$AV119,Calc!$I$15),INDEX('Avalanche Engine'!$AH119:$AV119,Calc!$J$15),INDEX('My Order Engine'!$AH119:$AV119,Calc!$K$15)),"")</f>
        <v/>
      </c>
      <c r="M117" s="25" t="str">
        <f>IF(AND($A117&lt;=IF(Calc!$C$36=999,360,Calc!$C$36),Calc!$C$16=1),CHOOSE(Calc!$C$3,INDEX('Snowball Engine'!$AH119:$AV119,Calc!$I$16),INDEX('Avalanche Engine'!$AH119:$AV119,Calc!$J$16),INDEX('My Order Engine'!$AH119:$AV119,Calc!$K$16)),"")</f>
        <v/>
      </c>
      <c r="N117" s="25" t="str">
        <f>IF(AND($A117&lt;=IF(Calc!$C$36=999,360,Calc!$C$36),Calc!$C$17=1),CHOOSE(Calc!$C$3,INDEX('Snowball Engine'!$AH119:$AV119,Calc!$I$17),INDEX('Avalanche Engine'!$AH119:$AV119,Calc!$J$17),INDEX('My Order Engine'!$AH119:$AV119,Calc!$K$17)),"")</f>
        <v/>
      </c>
      <c r="O117" s="25" t="str">
        <f>IF(AND($A117&lt;=IF(Calc!$C$36=999,360,Calc!$C$36),Calc!$C$18=1),CHOOSE(Calc!$C$3,INDEX('Snowball Engine'!$AH119:$AV119,Calc!$I$18),INDEX('Avalanche Engine'!$AH119:$AV119,Calc!$J$18),INDEX('My Order Engine'!$AH119:$AV119,Calc!$K$18)),"")</f>
        <v/>
      </c>
      <c r="P117" s="25" t="str">
        <f>IF(AND($A117&lt;=IF(Calc!$C$36=999,360,Calc!$C$36),Calc!$C$19=1),CHOOSE(Calc!$C$3,INDEX('Snowball Engine'!$AH119:$AV119,Calc!$I$19),INDEX('Avalanche Engine'!$AH119:$AV119,Calc!$J$19),INDEX('My Order Engine'!$AH119:$AV119,Calc!$K$19)),"")</f>
        <v/>
      </c>
      <c r="Q117" s="25" t="str">
        <f>IF(AND($A117&lt;=IF(Calc!$C$36=999,360,Calc!$C$36),Calc!$C$20=1),CHOOSE(Calc!$C$3,INDEX('Snowball Engine'!$AH119:$AV119,Calc!$I$20),INDEX('Avalanche Engine'!$AH119:$AV119,Calc!$J$20),INDEX('My Order Engine'!$AH119:$AV119,Calc!$K$20)),"")</f>
        <v/>
      </c>
      <c r="R117" s="25" t="str">
        <f>IF(AND($A117&lt;=IF(Calc!$C$36=999,360,Calc!$C$36),Calc!$C$21=1),CHOOSE(Calc!$C$3,INDEX('Snowball Engine'!$AH119:$AV119,Calc!$I$21),INDEX('Avalanche Engine'!$AH119:$AV119,Calc!$J$21),INDEX('My Order Engine'!$AH119:$AV119,Calc!$K$21)),"")</f>
        <v/>
      </c>
      <c r="S117" s="25" t="str">
        <f>IF(AND($A117&lt;=IF(Calc!$C$36=999,360,Calc!$C$36),Calc!$C$22=1),CHOOSE(Calc!$C$3,INDEX('Snowball Engine'!$AH119:$AV119,Calc!$I$22),INDEX('Avalanche Engine'!$AH119:$AV119,Calc!$J$22),INDEX('My Order Engine'!$AH119:$AV119,Calc!$K$22)),"")</f>
        <v/>
      </c>
      <c r="T117" s="25" t="str">
        <f>IF(AND($A117&lt;=IF(Calc!$C$36=999,360,Calc!$C$36),Calc!$C$23=1),CHOOSE(Calc!$C$3,INDEX('Snowball Engine'!$AH119:$AV119,Calc!$I$23),INDEX('Avalanche Engine'!$AH119:$AV119,Calc!$J$23),INDEX('My Order Engine'!$AH119:$AV119,Calc!$K$23)),"")</f>
        <v/>
      </c>
      <c r="U117" s="25" t="str">
        <f>IF(AND($A117&lt;=IF(Calc!$C$36=999,360,Calc!$C$36),Calc!$C$24=1),CHOOSE(Calc!$C$3,INDEX('Snowball Engine'!$AH119:$AV119,Calc!$I$24),INDEX('Avalanche Engine'!$AH119:$AV119,Calc!$J$24),INDEX('My Order Engine'!$AH119:$AV119,Calc!$K$24)),"")</f>
        <v/>
      </c>
    </row>
    <row r="118" spans="1:21" x14ac:dyDescent="0.35">
      <c r="A118" s="23">
        <v>114</v>
      </c>
      <c r="B118" s="24" t="str">
        <f>IF($A118&lt;=IF(Calc!$C$36=999,360,Calc!$C$36),EDATE(Calc!$C$5,A118-1),"")</f>
        <v/>
      </c>
      <c r="C118" s="25" t="str">
        <f>IF($A118&lt;=IF(Calc!$C$36=999,360,Calc!$C$36),CHOOSE(Calc!$C$3,'Snowball Engine'!AY120,'Avalanche Engine'!AY120,'My Order Engine'!AY120),"")</f>
        <v/>
      </c>
      <c r="D118" s="25" t="str">
        <f>IF($A118&lt;=IF(Calc!$C$36=999,360,Calc!$C$36),CHOOSE(Calc!$C$3,'Snowball Engine'!AX120,'Avalanche Engine'!AX120,'My Order Engine'!AX120),"")</f>
        <v/>
      </c>
      <c r="E118" s="25" t="str">
        <f>IF($A118&lt;=IF(Calc!$C$36=999,360,Calc!$C$36),C118-D118,"")</f>
        <v/>
      </c>
      <c r="F118" s="25" t="str">
        <f>IF($A118&lt;=IF(Calc!$C$36=999,360,Calc!$C$36),CHOOSE(Calc!$C$3,'Snowball Engine'!AW120,'Avalanche Engine'!AW120,'My Order Engine'!AW120),"")</f>
        <v/>
      </c>
      <c r="G118" s="25" t="str">
        <f>IF(AND($A118&lt;=IF(Calc!$C$36=999,360,Calc!$C$36),Calc!$C$10=1),CHOOSE(Calc!$C$3,INDEX('Snowball Engine'!$AH120:$AV120,Calc!$I$10),INDEX('Avalanche Engine'!$AH120:$AV120,Calc!$J$10),INDEX('My Order Engine'!$AH120:$AV120,Calc!$K$10)),"")</f>
        <v/>
      </c>
      <c r="H118" s="25" t="str">
        <f>IF(AND($A118&lt;=IF(Calc!$C$36=999,360,Calc!$C$36),Calc!$C$11=1),CHOOSE(Calc!$C$3,INDEX('Snowball Engine'!$AH120:$AV120,Calc!$I$11),INDEX('Avalanche Engine'!$AH120:$AV120,Calc!$J$11),INDEX('My Order Engine'!$AH120:$AV120,Calc!$K$11)),"")</f>
        <v/>
      </c>
      <c r="I118" s="25" t="str">
        <f>IF(AND($A118&lt;=IF(Calc!$C$36=999,360,Calc!$C$36),Calc!$C$12=1),CHOOSE(Calc!$C$3,INDEX('Snowball Engine'!$AH120:$AV120,Calc!$I$12),INDEX('Avalanche Engine'!$AH120:$AV120,Calc!$J$12),INDEX('My Order Engine'!$AH120:$AV120,Calc!$K$12)),"")</f>
        <v/>
      </c>
      <c r="J118" s="25" t="str">
        <f>IF(AND($A118&lt;=IF(Calc!$C$36=999,360,Calc!$C$36),Calc!$C$13=1),CHOOSE(Calc!$C$3,INDEX('Snowball Engine'!$AH120:$AV120,Calc!$I$13),INDEX('Avalanche Engine'!$AH120:$AV120,Calc!$J$13),INDEX('My Order Engine'!$AH120:$AV120,Calc!$K$13)),"")</f>
        <v/>
      </c>
      <c r="K118" s="25" t="str">
        <f>IF(AND($A118&lt;=IF(Calc!$C$36=999,360,Calc!$C$36),Calc!$C$14=1),CHOOSE(Calc!$C$3,INDEX('Snowball Engine'!$AH120:$AV120,Calc!$I$14),INDEX('Avalanche Engine'!$AH120:$AV120,Calc!$J$14),INDEX('My Order Engine'!$AH120:$AV120,Calc!$K$14)),"")</f>
        <v/>
      </c>
      <c r="L118" s="25" t="str">
        <f>IF(AND($A118&lt;=IF(Calc!$C$36=999,360,Calc!$C$36),Calc!$C$15=1),CHOOSE(Calc!$C$3,INDEX('Snowball Engine'!$AH120:$AV120,Calc!$I$15),INDEX('Avalanche Engine'!$AH120:$AV120,Calc!$J$15),INDEX('My Order Engine'!$AH120:$AV120,Calc!$K$15)),"")</f>
        <v/>
      </c>
      <c r="M118" s="25" t="str">
        <f>IF(AND($A118&lt;=IF(Calc!$C$36=999,360,Calc!$C$36),Calc!$C$16=1),CHOOSE(Calc!$C$3,INDEX('Snowball Engine'!$AH120:$AV120,Calc!$I$16),INDEX('Avalanche Engine'!$AH120:$AV120,Calc!$J$16),INDEX('My Order Engine'!$AH120:$AV120,Calc!$K$16)),"")</f>
        <v/>
      </c>
      <c r="N118" s="25" t="str">
        <f>IF(AND($A118&lt;=IF(Calc!$C$36=999,360,Calc!$C$36),Calc!$C$17=1),CHOOSE(Calc!$C$3,INDEX('Snowball Engine'!$AH120:$AV120,Calc!$I$17),INDEX('Avalanche Engine'!$AH120:$AV120,Calc!$J$17),INDEX('My Order Engine'!$AH120:$AV120,Calc!$K$17)),"")</f>
        <v/>
      </c>
      <c r="O118" s="25" t="str">
        <f>IF(AND($A118&lt;=IF(Calc!$C$36=999,360,Calc!$C$36),Calc!$C$18=1),CHOOSE(Calc!$C$3,INDEX('Snowball Engine'!$AH120:$AV120,Calc!$I$18),INDEX('Avalanche Engine'!$AH120:$AV120,Calc!$J$18),INDEX('My Order Engine'!$AH120:$AV120,Calc!$K$18)),"")</f>
        <v/>
      </c>
      <c r="P118" s="25" t="str">
        <f>IF(AND($A118&lt;=IF(Calc!$C$36=999,360,Calc!$C$36),Calc!$C$19=1),CHOOSE(Calc!$C$3,INDEX('Snowball Engine'!$AH120:$AV120,Calc!$I$19),INDEX('Avalanche Engine'!$AH120:$AV120,Calc!$J$19),INDEX('My Order Engine'!$AH120:$AV120,Calc!$K$19)),"")</f>
        <v/>
      </c>
      <c r="Q118" s="25" t="str">
        <f>IF(AND($A118&lt;=IF(Calc!$C$36=999,360,Calc!$C$36),Calc!$C$20=1),CHOOSE(Calc!$C$3,INDEX('Snowball Engine'!$AH120:$AV120,Calc!$I$20),INDEX('Avalanche Engine'!$AH120:$AV120,Calc!$J$20),INDEX('My Order Engine'!$AH120:$AV120,Calc!$K$20)),"")</f>
        <v/>
      </c>
      <c r="R118" s="25" t="str">
        <f>IF(AND($A118&lt;=IF(Calc!$C$36=999,360,Calc!$C$36),Calc!$C$21=1),CHOOSE(Calc!$C$3,INDEX('Snowball Engine'!$AH120:$AV120,Calc!$I$21),INDEX('Avalanche Engine'!$AH120:$AV120,Calc!$J$21),INDEX('My Order Engine'!$AH120:$AV120,Calc!$K$21)),"")</f>
        <v/>
      </c>
      <c r="S118" s="25" t="str">
        <f>IF(AND($A118&lt;=IF(Calc!$C$36=999,360,Calc!$C$36),Calc!$C$22=1),CHOOSE(Calc!$C$3,INDEX('Snowball Engine'!$AH120:$AV120,Calc!$I$22),INDEX('Avalanche Engine'!$AH120:$AV120,Calc!$J$22),INDEX('My Order Engine'!$AH120:$AV120,Calc!$K$22)),"")</f>
        <v/>
      </c>
      <c r="T118" s="25" t="str">
        <f>IF(AND($A118&lt;=IF(Calc!$C$36=999,360,Calc!$C$36),Calc!$C$23=1),CHOOSE(Calc!$C$3,INDEX('Snowball Engine'!$AH120:$AV120,Calc!$I$23),INDEX('Avalanche Engine'!$AH120:$AV120,Calc!$J$23),INDEX('My Order Engine'!$AH120:$AV120,Calc!$K$23)),"")</f>
        <v/>
      </c>
      <c r="U118" s="25" t="str">
        <f>IF(AND($A118&lt;=IF(Calc!$C$36=999,360,Calc!$C$36),Calc!$C$24=1),CHOOSE(Calc!$C$3,INDEX('Snowball Engine'!$AH120:$AV120,Calc!$I$24),INDEX('Avalanche Engine'!$AH120:$AV120,Calc!$J$24),INDEX('My Order Engine'!$AH120:$AV120,Calc!$K$24)),"")</f>
        <v/>
      </c>
    </row>
    <row r="119" spans="1:21" x14ac:dyDescent="0.35">
      <c r="A119" s="23">
        <v>115</v>
      </c>
      <c r="B119" s="24" t="str">
        <f>IF($A119&lt;=IF(Calc!$C$36=999,360,Calc!$C$36),EDATE(Calc!$C$5,A119-1),"")</f>
        <v/>
      </c>
      <c r="C119" s="25" t="str">
        <f>IF($A119&lt;=IF(Calc!$C$36=999,360,Calc!$C$36),CHOOSE(Calc!$C$3,'Snowball Engine'!AY121,'Avalanche Engine'!AY121,'My Order Engine'!AY121),"")</f>
        <v/>
      </c>
      <c r="D119" s="25" t="str">
        <f>IF($A119&lt;=IF(Calc!$C$36=999,360,Calc!$C$36),CHOOSE(Calc!$C$3,'Snowball Engine'!AX121,'Avalanche Engine'!AX121,'My Order Engine'!AX121),"")</f>
        <v/>
      </c>
      <c r="E119" s="25" t="str">
        <f>IF($A119&lt;=IF(Calc!$C$36=999,360,Calc!$C$36),C119-D119,"")</f>
        <v/>
      </c>
      <c r="F119" s="25" t="str">
        <f>IF($A119&lt;=IF(Calc!$C$36=999,360,Calc!$C$36),CHOOSE(Calc!$C$3,'Snowball Engine'!AW121,'Avalanche Engine'!AW121,'My Order Engine'!AW121),"")</f>
        <v/>
      </c>
      <c r="G119" s="25" t="str">
        <f>IF(AND($A119&lt;=IF(Calc!$C$36=999,360,Calc!$C$36),Calc!$C$10=1),CHOOSE(Calc!$C$3,INDEX('Snowball Engine'!$AH121:$AV121,Calc!$I$10),INDEX('Avalanche Engine'!$AH121:$AV121,Calc!$J$10),INDEX('My Order Engine'!$AH121:$AV121,Calc!$K$10)),"")</f>
        <v/>
      </c>
      <c r="H119" s="25" t="str">
        <f>IF(AND($A119&lt;=IF(Calc!$C$36=999,360,Calc!$C$36),Calc!$C$11=1),CHOOSE(Calc!$C$3,INDEX('Snowball Engine'!$AH121:$AV121,Calc!$I$11),INDEX('Avalanche Engine'!$AH121:$AV121,Calc!$J$11),INDEX('My Order Engine'!$AH121:$AV121,Calc!$K$11)),"")</f>
        <v/>
      </c>
      <c r="I119" s="25" t="str">
        <f>IF(AND($A119&lt;=IF(Calc!$C$36=999,360,Calc!$C$36),Calc!$C$12=1),CHOOSE(Calc!$C$3,INDEX('Snowball Engine'!$AH121:$AV121,Calc!$I$12),INDEX('Avalanche Engine'!$AH121:$AV121,Calc!$J$12),INDEX('My Order Engine'!$AH121:$AV121,Calc!$K$12)),"")</f>
        <v/>
      </c>
      <c r="J119" s="25" t="str">
        <f>IF(AND($A119&lt;=IF(Calc!$C$36=999,360,Calc!$C$36),Calc!$C$13=1),CHOOSE(Calc!$C$3,INDEX('Snowball Engine'!$AH121:$AV121,Calc!$I$13),INDEX('Avalanche Engine'!$AH121:$AV121,Calc!$J$13),INDEX('My Order Engine'!$AH121:$AV121,Calc!$K$13)),"")</f>
        <v/>
      </c>
      <c r="K119" s="25" t="str">
        <f>IF(AND($A119&lt;=IF(Calc!$C$36=999,360,Calc!$C$36),Calc!$C$14=1),CHOOSE(Calc!$C$3,INDEX('Snowball Engine'!$AH121:$AV121,Calc!$I$14),INDEX('Avalanche Engine'!$AH121:$AV121,Calc!$J$14),INDEX('My Order Engine'!$AH121:$AV121,Calc!$K$14)),"")</f>
        <v/>
      </c>
      <c r="L119" s="25" t="str">
        <f>IF(AND($A119&lt;=IF(Calc!$C$36=999,360,Calc!$C$36),Calc!$C$15=1),CHOOSE(Calc!$C$3,INDEX('Snowball Engine'!$AH121:$AV121,Calc!$I$15),INDEX('Avalanche Engine'!$AH121:$AV121,Calc!$J$15),INDEX('My Order Engine'!$AH121:$AV121,Calc!$K$15)),"")</f>
        <v/>
      </c>
      <c r="M119" s="25" t="str">
        <f>IF(AND($A119&lt;=IF(Calc!$C$36=999,360,Calc!$C$36),Calc!$C$16=1),CHOOSE(Calc!$C$3,INDEX('Snowball Engine'!$AH121:$AV121,Calc!$I$16),INDEX('Avalanche Engine'!$AH121:$AV121,Calc!$J$16),INDEX('My Order Engine'!$AH121:$AV121,Calc!$K$16)),"")</f>
        <v/>
      </c>
      <c r="N119" s="25" t="str">
        <f>IF(AND($A119&lt;=IF(Calc!$C$36=999,360,Calc!$C$36),Calc!$C$17=1),CHOOSE(Calc!$C$3,INDEX('Snowball Engine'!$AH121:$AV121,Calc!$I$17),INDEX('Avalanche Engine'!$AH121:$AV121,Calc!$J$17),INDEX('My Order Engine'!$AH121:$AV121,Calc!$K$17)),"")</f>
        <v/>
      </c>
      <c r="O119" s="25" t="str">
        <f>IF(AND($A119&lt;=IF(Calc!$C$36=999,360,Calc!$C$36),Calc!$C$18=1),CHOOSE(Calc!$C$3,INDEX('Snowball Engine'!$AH121:$AV121,Calc!$I$18),INDEX('Avalanche Engine'!$AH121:$AV121,Calc!$J$18),INDEX('My Order Engine'!$AH121:$AV121,Calc!$K$18)),"")</f>
        <v/>
      </c>
      <c r="P119" s="25" t="str">
        <f>IF(AND($A119&lt;=IF(Calc!$C$36=999,360,Calc!$C$36),Calc!$C$19=1),CHOOSE(Calc!$C$3,INDEX('Snowball Engine'!$AH121:$AV121,Calc!$I$19),INDEX('Avalanche Engine'!$AH121:$AV121,Calc!$J$19),INDEX('My Order Engine'!$AH121:$AV121,Calc!$K$19)),"")</f>
        <v/>
      </c>
      <c r="Q119" s="25" t="str">
        <f>IF(AND($A119&lt;=IF(Calc!$C$36=999,360,Calc!$C$36),Calc!$C$20=1),CHOOSE(Calc!$C$3,INDEX('Snowball Engine'!$AH121:$AV121,Calc!$I$20),INDEX('Avalanche Engine'!$AH121:$AV121,Calc!$J$20),INDEX('My Order Engine'!$AH121:$AV121,Calc!$K$20)),"")</f>
        <v/>
      </c>
      <c r="R119" s="25" t="str">
        <f>IF(AND($A119&lt;=IF(Calc!$C$36=999,360,Calc!$C$36),Calc!$C$21=1),CHOOSE(Calc!$C$3,INDEX('Snowball Engine'!$AH121:$AV121,Calc!$I$21),INDEX('Avalanche Engine'!$AH121:$AV121,Calc!$J$21),INDEX('My Order Engine'!$AH121:$AV121,Calc!$K$21)),"")</f>
        <v/>
      </c>
      <c r="S119" s="25" t="str">
        <f>IF(AND($A119&lt;=IF(Calc!$C$36=999,360,Calc!$C$36),Calc!$C$22=1),CHOOSE(Calc!$C$3,INDEX('Snowball Engine'!$AH121:$AV121,Calc!$I$22),INDEX('Avalanche Engine'!$AH121:$AV121,Calc!$J$22),INDEX('My Order Engine'!$AH121:$AV121,Calc!$K$22)),"")</f>
        <v/>
      </c>
      <c r="T119" s="25" t="str">
        <f>IF(AND($A119&lt;=IF(Calc!$C$36=999,360,Calc!$C$36),Calc!$C$23=1),CHOOSE(Calc!$C$3,INDEX('Snowball Engine'!$AH121:$AV121,Calc!$I$23),INDEX('Avalanche Engine'!$AH121:$AV121,Calc!$J$23),INDEX('My Order Engine'!$AH121:$AV121,Calc!$K$23)),"")</f>
        <v/>
      </c>
      <c r="U119" s="25" t="str">
        <f>IF(AND($A119&lt;=IF(Calc!$C$36=999,360,Calc!$C$36),Calc!$C$24=1),CHOOSE(Calc!$C$3,INDEX('Snowball Engine'!$AH121:$AV121,Calc!$I$24),INDEX('Avalanche Engine'!$AH121:$AV121,Calc!$J$24),INDEX('My Order Engine'!$AH121:$AV121,Calc!$K$24)),"")</f>
        <v/>
      </c>
    </row>
    <row r="120" spans="1:21" x14ac:dyDescent="0.35">
      <c r="A120" s="23">
        <v>116</v>
      </c>
      <c r="B120" s="24" t="str">
        <f>IF($A120&lt;=IF(Calc!$C$36=999,360,Calc!$C$36),EDATE(Calc!$C$5,A120-1),"")</f>
        <v/>
      </c>
      <c r="C120" s="25" t="str">
        <f>IF($A120&lt;=IF(Calc!$C$36=999,360,Calc!$C$36),CHOOSE(Calc!$C$3,'Snowball Engine'!AY122,'Avalanche Engine'!AY122,'My Order Engine'!AY122),"")</f>
        <v/>
      </c>
      <c r="D120" s="25" t="str">
        <f>IF($A120&lt;=IF(Calc!$C$36=999,360,Calc!$C$36),CHOOSE(Calc!$C$3,'Snowball Engine'!AX122,'Avalanche Engine'!AX122,'My Order Engine'!AX122),"")</f>
        <v/>
      </c>
      <c r="E120" s="25" t="str">
        <f>IF($A120&lt;=IF(Calc!$C$36=999,360,Calc!$C$36),C120-D120,"")</f>
        <v/>
      </c>
      <c r="F120" s="25" t="str">
        <f>IF($A120&lt;=IF(Calc!$C$36=999,360,Calc!$C$36),CHOOSE(Calc!$C$3,'Snowball Engine'!AW122,'Avalanche Engine'!AW122,'My Order Engine'!AW122),"")</f>
        <v/>
      </c>
      <c r="G120" s="25" t="str">
        <f>IF(AND($A120&lt;=IF(Calc!$C$36=999,360,Calc!$C$36),Calc!$C$10=1),CHOOSE(Calc!$C$3,INDEX('Snowball Engine'!$AH122:$AV122,Calc!$I$10),INDEX('Avalanche Engine'!$AH122:$AV122,Calc!$J$10),INDEX('My Order Engine'!$AH122:$AV122,Calc!$K$10)),"")</f>
        <v/>
      </c>
      <c r="H120" s="25" t="str">
        <f>IF(AND($A120&lt;=IF(Calc!$C$36=999,360,Calc!$C$36),Calc!$C$11=1),CHOOSE(Calc!$C$3,INDEX('Snowball Engine'!$AH122:$AV122,Calc!$I$11),INDEX('Avalanche Engine'!$AH122:$AV122,Calc!$J$11),INDEX('My Order Engine'!$AH122:$AV122,Calc!$K$11)),"")</f>
        <v/>
      </c>
      <c r="I120" s="25" t="str">
        <f>IF(AND($A120&lt;=IF(Calc!$C$36=999,360,Calc!$C$36),Calc!$C$12=1),CHOOSE(Calc!$C$3,INDEX('Snowball Engine'!$AH122:$AV122,Calc!$I$12),INDEX('Avalanche Engine'!$AH122:$AV122,Calc!$J$12),INDEX('My Order Engine'!$AH122:$AV122,Calc!$K$12)),"")</f>
        <v/>
      </c>
      <c r="J120" s="25" t="str">
        <f>IF(AND($A120&lt;=IF(Calc!$C$36=999,360,Calc!$C$36),Calc!$C$13=1),CHOOSE(Calc!$C$3,INDEX('Snowball Engine'!$AH122:$AV122,Calc!$I$13),INDEX('Avalanche Engine'!$AH122:$AV122,Calc!$J$13),INDEX('My Order Engine'!$AH122:$AV122,Calc!$K$13)),"")</f>
        <v/>
      </c>
      <c r="K120" s="25" t="str">
        <f>IF(AND($A120&lt;=IF(Calc!$C$36=999,360,Calc!$C$36),Calc!$C$14=1),CHOOSE(Calc!$C$3,INDEX('Snowball Engine'!$AH122:$AV122,Calc!$I$14),INDEX('Avalanche Engine'!$AH122:$AV122,Calc!$J$14),INDEX('My Order Engine'!$AH122:$AV122,Calc!$K$14)),"")</f>
        <v/>
      </c>
      <c r="L120" s="25" t="str">
        <f>IF(AND($A120&lt;=IF(Calc!$C$36=999,360,Calc!$C$36),Calc!$C$15=1),CHOOSE(Calc!$C$3,INDEX('Snowball Engine'!$AH122:$AV122,Calc!$I$15),INDEX('Avalanche Engine'!$AH122:$AV122,Calc!$J$15),INDEX('My Order Engine'!$AH122:$AV122,Calc!$K$15)),"")</f>
        <v/>
      </c>
      <c r="M120" s="25" t="str">
        <f>IF(AND($A120&lt;=IF(Calc!$C$36=999,360,Calc!$C$36),Calc!$C$16=1),CHOOSE(Calc!$C$3,INDEX('Snowball Engine'!$AH122:$AV122,Calc!$I$16),INDEX('Avalanche Engine'!$AH122:$AV122,Calc!$J$16),INDEX('My Order Engine'!$AH122:$AV122,Calc!$K$16)),"")</f>
        <v/>
      </c>
      <c r="N120" s="25" t="str">
        <f>IF(AND($A120&lt;=IF(Calc!$C$36=999,360,Calc!$C$36),Calc!$C$17=1),CHOOSE(Calc!$C$3,INDEX('Snowball Engine'!$AH122:$AV122,Calc!$I$17),INDEX('Avalanche Engine'!$AH122:$AV122,Calc!$J$17),INDEX('My Order Engine'!$AH122:$AV122,Calc!$K$17)),"")</f>
        <v/>
      </c>
      <c r="O120" s="25" t="str">
        <f>IF(AND($A120&lt;=IF(Calc!$C$36=999,360,Calc!$C$36),Calc!$C$18=1),CHOOSE(Calc!$C$3,INDEX('Snowball Engine'!$AH122:$AV122,Calc!$I$18),INDEX('Avalanche Engine'!$AH122:$AV122,Calc!$J$18),INDEX('My Order Engine'!$AH122:$AV122,Calc!$K$18)),"")</f>
        <v/>
      </c>
      <c r="P120" s="25" t="str">
        <f>IF(AND($A120&lt;=IF(Calc!$C$36=999,360,Calc!$C$36),Calc!$C$19=1),CHOOSE(Calc!$C$3,INDEX('Snowball Engine'!$AH122:$AV122,Calc!$I$19),INDEX('Avalanche Engine'!$AH122:$AV122,Calc!$J$19),INDEX('My Order Engine'!$AH122:$AV122,Calc!$K$19)),"")</f>
        <v/>
      </c>
      <c r="Q120" s="25" t="str">
        <f>IF(AND($A120&lt;=IF(Calc!$C$36=999,360,Calc!$C$36),Calc!$C$20=1),CHOOSE(Calc!$C$3,INDEX('Snowball Engine'!$AH122:$AV122,Calc!$I$20),INDEX('Avalanche Engine'!$AH122:$AV122,Calc!$J$20),INDEX('My Order Engine'!$AH122:$AV122,Calc!$K$20)),"")</f>
        <v/>
      </c>
      <c r="R120" s="25" t="str">
        <f>IF(AND($A120&lt;=IF(Calc!$C$36=999,360,Calc!$C$36),Calc!$C$21=1),CHOOSE(Calc!$C$3,INDEX('Snowball Engine'!$AH122:$AV122,Calc!$I$21),INDEX('Avalanche Engine'!$AH122:$AV122,Calc!$J$21),INDEX('My Order Engine'!$AH122:$AV122,Calc!$K$21)),"")</f>
        <v/>
      </c>
      <c r="S120" s="25" t="str">
        <f>IF(AND($A120&lt;=IF(Calc!$C$36=999,360,Calc!$C$36),Calc!$C$22=1),CHOOSE(Calc!$C$3,INDEX('Snowball Engine'!$AH122:$AV122,Calc!$I$22),INDEX('Avalanche Engine'!$AH122:$AV122,Calc!$J$22),INDEX('My Order Engine'!$AH122:$AV122,Calc!$K$22)),"")</f>
        <v/>
      </c>
      <c r="T120" s="25" t="str">
        <f>IF(AND($A120&lt;=IF(Calc!$C$36=999,360,Calc!$C$36),Calc!$C$23=1),CHOOSE(Calc!$C$3,INDEX('Snowball Engine'!$AH122:$AV122,Calc!$I$23),INDEX('Avalanche Engine'!$AH122:$AV122,Calc!$J$23),INDEX('My Order Engine'!$AH122:$AV122,Calc!$K$23)),"")</f>
        <v/>
      </c>
      <c r="U120" s="25" t="str">
        <f>IF(AND($A120&lt;=IF(Calc!$C$36=999,360,Calc!$C$36),Calc!$C$24=1),CHOOSE(Calc!$C$3,INDEX('Snowball Engine'!$AH122:$AV122,Calc!$I$24),INDEX('Avalanche Engine'!$AH122:$AV122,Calc!$J$24),INDEX('My Order Engine'!$AH122:$AV122,Calc!$K$24)),"")</f>
        <v/>
      </c>
    </row>
    <row r="121" spans="1:21" x14ac:dyDescent="0.35">
      <c r="A121" s="23">
        <v>117</v>
      </c>
      <c r="B121" s="24" t="str">
        <f>IF($A121&lt;=IF(Calc!$C$36=999,360,Calc!$C$36),EDATE(Calc!$C$5,A121-1),"")</f>
        <v/>
      </c>
      <c r="C121" s="25" t="str">
        <f>IF($A121&lt;=IF(Calc!$C$36=999,360,Calc!$C$36),CHOOSE(Calc!$C$3,'Snowball Engine'!AY123,'Avalanche Engine'!AY123,'My Order Engine'!AY123),"")</f>
        <v/>
      </c>
      <c r="D121" s="25" t="str">
        <f>IF($A121&lt;=IF(Calc!$C$36=999,360,Calc!$C$36),CHOOSE(Calc!$C$3,'Snowball Engine'!AX123,'Avalanche Engine'!AX123,'My Order Engine'!AX123),"")</f>
        <v/>
      </c>
      <c r="E121" s="25" t="str">
        <f>IF($A121&lt;=IF(Calc!$C$36=999,360,Calc!$C$36),C121-D121,"")</f>
        <v/>
      </c>
      <c r="F121" s="25" t="str">
        <f>IF($A121&lt;=IF(Calc!$C$36=999,360,Calc!$C$36),CHOOSE(Calc!$C$3,'Snowball Engine'!AW123,'Avalanche Engine'!AW123,'My Order Engine'!AW123),"")</f>
        <v/>
      </c>
      <c r="G121" s="25" t="str">
        <f>IF(AND($A121&lt;=IF(Calc!$C$36=999,360,Calc!$C$36),Calc!$C$10=1),CHOOSE(Calc!$C$3,INDEX('Snowball Engine'!$AH123:$AV123,Calc!$I$10),INDEX('Avalanche Engine'!$AH123:$AV123,Calc!$J$10),INDEX('My Order Engine'!$AH123:$AV123,Calc!$K$10)),"")</f>
        <v/>
      </c>
      <c r="H121" s="25" t="str">
        <f>IF(AND($A121&lt;=IF(Calc!$C$36=999,360,Calc!$C$36),Calc!$C$11=1),CHOOSE(Calc!$C$3,INDEX('Snowball Engine'!$AH123:$AV123,Calc!$I$11),INDEX('Avalanche Engine'!$AH123:$AV123,Calc!$J$11),INDEX('My Order Engine'!$AH123:$AV123,Calc!$K$11)),"")</f>
        <v/>
      </c>
      <c r="I121" s="25" t="str">
        <f>IF(AND($A121&lt;=IF(Calc!$C$36=999,360,Calc!$C$36),Calc!$C$12=1),CHOOSE(Calc!$C$3,INDEX('Snowball Engine'!$AH123:$AV123,Calc!$I$12),INDEX('Avalanche Engine'!$AH123:$AV123,Calc!$J$12),INDEX('My Order Engine'!$AH123:$AV123,Calc!$K$12)),"")</f>
        <v/>
      </c>
      <c r="J121" s="25" t="str">
        <f>IF(AND($A121&lt;=IF(Calc!$C$36=999,360,Calc!$C$36),Calc!$C$13=1),CHOOSE(Calc!$C$3,INDEX('Snowball Engine'!$AH123:$AV123,Calc!$I$13),INDEX('Avalanche Engine'!$AH123:$AV123,Calc!$J$13),INDEX('My Order Engine'!$AH123:$AV123,Calc!$K$13)),"")</f>
        <v/>
      </c>
      <c r="K121" s="25" t="str">
        <f>IF(AND($A121&lt;=IF(Calc!$C$36=999,360,Calc!$C$36),Calc!$C$14=1),CHOOSE(Calc!$C$3,INDEX('Snowball Engine'!$AH123:$AV123,Calc!$I$14),INDEX('Avalanche Engine'!$AH123:$AV123,Calc!$J$14),INDEX('My Order Engine'!$AH123:$AV123,Calc!$K$14)),"")</f>
        <v/>
      </c>
      <c r="L121" s="25" t="str">
        <f>IF(AND($A121&lt;=IF(Calc!$C$36=999,360,Calc!$C$36),Calc!$C$15=1),CHOOSE(Calc!$C$3,INDEX('Snowball Engine'!$AH123:$AV123,Calc!$I$15),INDEX('Avalanche Engine'!$AH123:$AV123,Calc!$J$15),INDEX('My Order Engine'!$AH123:$AV123,Calc!$K$15)),"")</f>
        <v/>
      </c>
      <c r="M121" s="25" t="str">
        <f>IF(AND($A121&lt;=IF(Calc!$C$36=999,360,Calc!$C$36),Calc!$C$16=1),CHOOSE(Calc!$C$3,INDEX('Snowball Engine'!$AH123:$AV123,Calc!$I$16),INDEX('Avalanche Engine'!$AH123:$AV123,Calc!$J$16),INDEX('My Order Engine'!$AH123:$AV123,Calc!$K$16)),"")</f>
        <v/>
      </c>
      <c r="N121" s="25" t="str">
        <f>IF(AND($A121&lt;=IF(Calc!$C$36=999,360,Calc!$C$36),Calc!$C$17=1),CHOOSE(Calc!$C$3,INDEX('Snowball Engine'!$AH123:$AV123,Calc!$I$17),INDEX('Avalanche Engine'!$AH123:$AV123,Calc!$J$17),INDEX('My Order Engine'!$AH123:$AV123,Calc!$K$17)),"")</f>
        <v/>
      </c>
      <c r="O121" s="25" t="str">
        <f>IF(AND($A121&lt;=IF(Calc!$C$36=999,360,Calc!$C$36),Calc!$C$18=1),CHOOSE(Calc!$C$3,INDEX('Snowball Engine'!$AH123:$AV123,Calc!$I$18),INDEX('Avalanche Engine'!$AH123:$AV123,Calc!$J$18),INDEX('My Order Engine'!$AH123:$AV123,Calc!$K$18)),"")</f>
        <v/>
      </c>
      <c r="P121" s="25" t="str">
        <f>IF(AND($A121&lt;=IF(Calc!$C$36=999,360,Calc!$C$36),Calc!$C$19=1),CHOOSE(Calc!$C$3,INDEX('Snowball Engine'!$AH123:$AV123,Calc!$I$19),INDEX('Avalanche Engine'!$AH123:$AV123,Calc!$J$19),INDEX('My Order Engine'!$AH123:$AV123,Calc!$K$19)),"")</f>
        <v/>
      </c>
      <c r="Q121" s="25" t="str">
        <f>IF(AND($A121&lt;=IF(Calc!$C$36=999,360,Calc!$C$36),Calc!$C$20=1),CHOOSE(Calc!$C$3,INDEX('Snowball Engine'!$AH123:$AV123,Calc!$I$20),INDEX('Avalanche Engine'!$AH123:$AV123,Calc!$J$20),INDEX('My Order Engine'!$AH123:$AV123,Calc!$K$20)),"")</f>
        <v/>
      </c>
      <c r="R121" s="25" t="str">
        <f>IF(AND($A121&lt;=IF(Calc!$C$36=999,360,Calc!$C$36),Calc!$C$21=1),CHOOSE(Calc!$C$3,INDEX('Snowball Engine'!$AH123:$AV123,Calc!$I$21),INDEX('Avalanche Engine'!$AH123:$AV123,Calc!$J$21),INDEX('My Order Engine'!$AH123:$AV123,Calc!$K$21)),"")</f>
        <v/>
      </c>
      <c r="S121" s="25" t="str">
        <f>IF(AND($A121&lt;=IF(Calc!$C$36=999,360,Calc!$C$36),Calc!$C$22=1),CHOOSE(Calc!$C$3,INDEX('Snowball Engine'!$AH123:$AV123,Calc!$I$22),INDEX('Avalanche Engine'!$AH123:$AV123,Calc!$J$22),INDEX('My Order Engine'!$AH123:$AV123,Calc!$K$22)),"")</f>
        <v/>
      </c>
      <c r="T121" s="25" t="str">
        <f>IF(AND($A121&lt;=IF(Calc!$C$36=999,360,Calc!$C$36),Calc!$C$23=1),CHOOSE(Calc!$C$3,INDEX('Snowball Engine'!$AH123:$AV123,Calc!$I$23),INDEX('Avalanche Engine'!$AH123:$AV123,Calc!$J$23),INDEX('My Order Engine'!$AH123:$AV123,Calc!$K$23)),"")</f>
        <v/>
      </c>
      <c r="U121" s="25" t="str">
        <f>IF(AND($A121&lt;=IF(Calc!$C$36=999,360,Calc!$C$36),Calc!$C$24=1),CHOOSE(Calc!$C$3,INDEX('Snowball Engine'!$AH123:$AV123,Calc!$I$24),INDEX('Avalanche Engine'!$AH123:$AV123,Calc!$J$24),INDEX('My Order Engine'!$AH123:$AV123,Calc!$K$24)),"")</f>
        <v/>
      </c>
    </row>
    <row r="122" spans="1:21" x14ac:dyDescent="0.35">
      <c r="A122" s="23">
        <v>118</v>
      </c>
      <c r="B122" s="24" t="str">
        <f>IF($A122&lt;=IF(Calc!$C$36=999,360,Calc!$C$36),EDATE(Calc!$C$5,A122-1),"")</f>
        <v/>
      </c>
      <c r="C122" s="25" t="str">
        <f>IF($A122&lt;=IF(Calc!$C$36=999,360,Calc!$C$36),CHOOSE(Calc!$C$3,'Snowball Engine'!AY124,'Avalanche Engine'!AY124,'My Order Engine'!AY124),"")</f>
        <v/>
      </c>
      <c r="D122" s="25" t="str">
        <f>IF($A122&lt;=IF(Calc!$C$36=999,360,Calc!$C$36),CHOOSE(Calc!$C$3,'Snowball Engine'!AX124,'Avalanche Engine'!AX124,'My Order Engine'!AX124),"")</f>
        <v/>
      </c>
      <c r="E122" s="25" t="str">
        <f>IF($A122&lt;=IF(Calc!$C$36=999,360,Calc!$C$36),C122-D122,"")</f>
        <v/>
      </c>
      <c r="F122" s="25" t="str">
        <f>IF($A122&lt;=IF(Calc!$C$36=999,360,Calc!$C$36),CHOOSE(Calc!$C$3,'Snowball Engine'!AW124,'Avalanche Engine'!AW124,'My Order Engine'!AW124),"")</f>
        <v/>
      </c>
      <c r="G122" s="25" t="str">
        <f>IF(AND($A122&lt;=IF(Calc!$C$36=999,360,Calc!$C$36),Calc!$C$10=1),CHOOSE(Calc!$C$3,INDEX('Snowball Engine'!$AH124:$AV124,Calc!$I$10),INDEX('Avalanche Engine'!$AH124:$AV124,Calc!$J$10),INDEX('My Order Engine'!$AH124:$AV124,Calc!$K$10)),"")</f>
        <v/>
      </c>
      <c r="H122" s="25" t="str">
        <f>IF(AND($A122&lt;=IF(Calc!$C$36=999,360,Calc!$C$36),Calc!$C$11=1),CHOOSE(Calc!$C$3,INDEX('Snowball Engine'!$AH124:$AV124,Calc!$I$11),INDEX('Avalanche Engine'!$AH124:$AV124,Calc!$J$11),INDEX('My Order Engine'!$AH124:$AV124,Calc!$K$11)),"")</f>
        <v/>
      </c>
      <c r="I122" s="25" t="str">
        <f>IF(AND($A122&lt;=IF(Calc!$C$36=999,360,Calc!$C$36),Calc!$C$12=1),CHOOSE(Calc!$C$3,INDEX('Snowball Engine'!$AH124:$AV124,Calc!$I$12),INDEX('Avalanche Engine'!$AH124:$AV124,Calc!$J$12),INDEX('My Order Engine'!$AH124:$AV124,Calc!$K$12)),"")</f>
        <v/>
      </c>
      <c r="J122" s="25" t="str">
        <f>IF(AND($A122&lt;=IF(Calc!$C$36=999,360,Calc!$C$36),Calc!$C$13=1),CHOOSE(Calc!$C$3,INDEX('Snowball Engine'!$AH124:$AV124,Calc!$I$13),INDEX('Avalanche Engine'!$AH124:$AV124,Calc!$J$13),INDEX('My Order Engine'!$AH124:$AV124,Calc!$K$13)),"")</f>
        <v/>
      </c>
      <c r="K122" s="25" t="str">
        <f>IF(AND($A122&lt;=IF(Calc!$C$36=999,360,Calc!$C$36),Calc!$C$14=1),CHOOSE(Calc!$C$3,INDEX('Snowball Engine'!$AH124:$AV124,Calc!$I$14),INDEX('Avalanche Engine'!$AH124:$AV124,Calc!$J$14),INDEX('My Order Engine'!$AH124:$AV124,Calc!$K$14)),"")</f>
        <v/>
      </c>
      <c r="L122" s="25" t="str">
        <f>IF(AND($A122&lt;=IF(Calc!$C$36=999,360,Calc!$C$36),Calc!$C$15=1),CHOOSE(Calc!$C$3,INDEX('Snowball Engine'!$AH124:$AV124,Calc!$I$15),INDEX('Avalanche Engine'!$AH124:$AV124,Calc!$J$15),INDEX('My Order Engine'!$AH124:$AV124,Calc!$K$15)),"")</f>
        <v/>
      </c>
      <c r="M122" s="25" t="str">
        <f>IF(AND($A122&lt;=IF(Calc!$C$36=999,360,Calc!$C$36),Calc!$C$16=1),CHOOSE(Calc!$C$3,INDEX('Snowball Engine'!$AH124:$AV124,Calc!$I$16),INDEX('Avalanche Engine'!$AH124:$AV124,Calc!$J$16),INDEX('My Order Engine'!$AH124:$AV124,Calc!$K$16)),"")</f>
        <v/>
      </c>
      <c r="N122" s="25" t="str">
        <f>IF(AND($A122&lt;=IF(Calc!$C$36=999,360,Calc!$C$36),Calc!$C$17=1),CHOOSE(Calc!$C$3,INDEX('Snowball Engine'!$AH124:$AV124,Calc!$I$17),INDEX('Avalanche Engine'!$AH124:$AV124,Calc!$J$17),INDEX('My Order Engine'!$AH124:$AV124,Calc!$K$17)),"")</f>
        <v/>
      </c>
      <c r="O122" s="25" t="str">
        <f>IF(AND($A122&lt;=IF(Calc!$C$36=999,360,Calc!$C$36),Calc!$C$18=1),CHOOSE(Calc!$C$3,INDEX('Snowball Engine'!$AH124:$AV124,Calc!$I$18),INDEX('Avalanche Engine'!$AH124:$AV124,Calc!$J$18),INDEX('My Order Engine'!$AH124:$AV124,Calc!$K$18)),"")</f>
        <v/>
      </c>
      <c r="P122" s="25" t="str">
        <f>IF(AND($A122&lt;=IF(Calc!$C$36=999,360,Calc!$C$36),Calc!$C$19=1),CHOOSE(Calc!$C$3,INDEX('Snowball Engine'!$AH124:$AV124,Calc!$I$19),INDEX('Avalanche Engine'!$AH124:$AV124,Calc!$J$19),INDEX('My Order Engine'!$AH124:$AV124,Calc!$K$19)),"")</f>
        <v/>
      </c>
      <c r="Q122" s="25" t="str">
        <f>IF(AND($A122&lt;=IF(Calc!$C$36=999,360,Calc!$C$36),Calc!$C$20=1),CHOOSE(Calc!$C$3,INDEX('Snowball Engine'!$AH124:$AV124,Calc!$I$20),INDEX('Avalanche Engine'!$AH124:$AV124,Calc!$J$20),INDEX('My Order Engine'!$AH124:$AV124,Calc!$K$20)),"")</f>
        <v/>
      </c>
      <c r="R122" s="25" t="str">
        <f>IF(AND($A122&lt;=IF(Calc!$C$36=999,360,Calc!$C$36),Calc!$C$21=1),CHOOSE(Calc!$C$3,INDEX('Snowball Engine'!$AH124:$AV124,Calc!$I$21),INDEX('Avalanche Engine'!$AH124:$AV124,Calc!$J$21),INDEX('My Order Engine'!$AH124:$AV124,Calc!$K$21)),"")</f>
        <v/>
      </c>
      <c r="S122" s="25" t="str">
        <f>IF(AND($A122&lt;=IF(Calc!$C$36=999,360,Calc!$C$36),Calc!$C$22=1),CHOOSE(Calc!$C$3,INDEX('Snowball Engine'!$AH124:$AV124,Calc!$I$22),INDEX('Avalanche Engine'!$AH124:$AV124,Calc!$J$22),INDEX('My Order Engine'!$AH124:$AV124,Calc!$K$22)),"")</f>
        <v/>
      </c>
      <c r="T122" s="25" t="str">
        <f>IF(AND($A122&lt;=IF(Calc!$C$36=999,360,Calc!$C$36),Calc!$C$23=1),CHOOSE(Calc!$C$3,INDEX('Snowball Engine'!$AH124:$AV124,Calc!$I$23),INDEX('Avalanche Engine'!$AH124:$AV124,Calc!$J$23),INDEX('My Order Engine'!$AH124:$AV124,Calc!$K$23)),"")</f>
        <v/>
      </c>
      <c r="U122" s="25" t="str">
        <f>IF(AND($A122&lt;=IF(Calc!$C$36=999,360,Calc!$C$36),Calc!$C$24=1),CHOOSE(Calc!$C$3,INDEX('Snowball Engine'!$AH124:$AV124,Calc!$I$24),INDEX('Avalanche Engine'!$AH124:$AV124,Calc!$J$24),INDEX('My Order Engine'!$AH124:$AV124,Calc!$K$24)),"")</f>
        <v/>
      </c>
    </row>
    <row r="123" spans="1:21" x14ac:dyDescent="0.35">
      <c r="A123" s="23">
        <v>119</v>
      </c>
      <c r="B123" s="24" t="str">
        <f>IF($A123&lt;=IF(Calc!$C$36=999,360,Calc!$C$36),EDATE(Calc!$C$5,A123-1),"")</f>
        <v/>
      </c>
      <c r="C123" s="25" t="str">
        <f>IF($A123&lt;=IF(Calc!$C$36=999,360,Calc!$C$36),CHOOSE(Calc!$C$3,'Snowball Engine'!AY125,'Avalanche Engine'!AY125,'My Order Engine'!AY125),"")</f>
        <v/>
      </c>
      <c r="D123" s="25" t="str">
        <f>IF($A123&lt;=IF(Calc!$C$36=999,360,Calc!$C$36),CHOOSE(Calc!$C$3,'Snowball Engine'!AX125,'Avalanche Engine'!AX125,'My Order Engine'!AX125),"")</f>
        <v/>
      </c>
      <c r="E123" s="25" t="str">
        <f>IF($A123&lt;=IF(Calc!$C$36=999,360,Calc!$C$36),C123-D123,"")</f>
        <v/>
      </c>
      <c r="F123" s="25" t="str">
        <f>IF($A123&lt;=IF(Calc!$C$36=999,360,Calc!$C$36),CHOOSE(Calc!$C$3,'Snowball Engine'!AW125,'Avalanche Engine'!AW125,'My Order Engine'!AW125),"")</f>
        <v/>
      </c>
      <c r="G123" s="25" t="str">
        <f>IF(AND($A123&lt;=IF(Calc!$C$36=999,360,Calc!$C$36),Calc!$C$10=1),CHOOSE(Calc!$C$3,INDEX('Snowball Engine'!$AH125:$AV125,Calc!$I$10),INDEX('Avalanche Engine'!$AH125:$AV125,Calc!$J$10),INDEX('My Order Engine'!$AH125:$AV125,Calc!$K$10)),"")</f>
        <v/>
      </c>
      <c r="H123" s="25" t="str">
        <f>IF(AND($A123&lt;=IF(Calc!$C$36=999,360,Calc!$C$36),Calc!$C$11=1),CHOOSE(Calc!$C$3,INDEX('Snowball Engine'!$AH125:$AV125,Calc!$I$11),INDEX('Avalanche Engine'!$AH125:$AV125,Calc!$J$11),INDEX('My Order Engine'!$AH125:$AV125,Calc!$K$11)),"")</f>
        <v/>
      </c>
      <c r="I123" s="25" t="str">
        <f>IF(AND($A123&lt;=IF(Calc!$C$36=999,360,Calc!$C$36),Calc!$C$12=1),CHOOSE(Calc!$C$3,INDEX('Snowball Engine'!$AH125:$AV125,Calc!$I$12),INDEX('Avalanche Engine'!$AH125:$AV125,Calc!$J$12),INDEX('My Order Engine'!$AH125:$AV125,Calc!$K$12)),"")</f>
        <v/>
      </c>
      <c r="J123" s="25" t="str">
        <f>IF(AND($A123&lt;=IF(Calc!$C$36=999,360,Calc!$C$36),Calc!$C$13=1),CHOOSE(Calc!$C$3,INDEX('Snowball Engine'!$AH125:$AV125,Calc!$I$13),INDEX('Avalanche Engine'!$AH125:$AV125,Calc!$J$13),INDEX('My Order Engine'!$AH125:$AV125,Calc!$K$13)),"")</f>
        <v/>
      </c>
      <c r="K123" s="25" t="str">
        <f>IF(AND($A123&lt;=IF(Calc!$C$36=999,360,Calc!$C$36),Calc!$C$14=1),CHOOSE(Calc!$C$3,INDEX('Snowball Engine'!$AH125:$AV125,Calc!$I$14),INDEX('Avalanche Engine'!$AH125:$AV125,Calc!$J$14),INDEX('My Order Engine'!$AH125:$AV125,Calc!$K$14)),"")</f>
        <v/>
      </c>
      <c r="L123" s="25" t="str">
        <f>IF(AND($A123&lt;=IF(Calc!$C$36=999,360,Calc!$C$36),Calc!$C$15=1),CHOOSE(Calc!$C$3,INDEX('Snowball Engine'!$AH125:$AV125,Calc!$I$15),INDEX('Avalanche Engine'!$AH125:$AV125,Calc!$J$15),INDEX('My Order Engine'!$AH125:$AV125,Calc!$K$15)),"")</f>
        <v/>
      </c>
      <c r="M123" s="25" t="str">
        <f>IF(AND($A123&lt;=IF(Calc!$C$36=999,360,Calc!$C$36),Calc!$C$16=1),CHOOSE(Calc!$C$3,INDEX('Snowball Engine'!$AH125:$AV125,Calc!$I$16),INDEX('Avalanche Engine'!$AH125:$AV125,Calc!$J$16),INDEX('My Order Engine'!$AH125:$AV125,Calc!$K$16)),"")</f>
        <v/>
      </c>
      <c r="N123" s="25" t="str">
        <f>IF(AND($A123&lt;=IF(Calc!$C$36=999,360,Calc!$C$36),Calc!$C$17=1),CHOOSE(Calc!$C$3,INDEX('Snowball Engine'!$AH125:$AV125,Calc!$I$17),INDEX('Avalanche Engine'!$AH125:$AV125,Calc!$J$17),INDEX('My Order Engine'!$AH125:$AV125,Calc!$K$17)),"")</f>
        <v/>
      </c>
      <c r="O123" s="25" t="str">
        <f>IF(AND($A123&lt;=IF(Calc!$C$36=999,360,Calc!$C$36),Calc!$C$18=1),CHOOSE(Calc!$C$3,INDEX('Snowball Engine'!$AH125:$AV125,Calc!$I$18),INDEX('Avalanche Engine'!$AH125:$AV125,Calc!$J$18),INDEX('My Order Engine'!$AH125:$AV125,Calc!$K$18)),"")</f>
        <v/>
      </c>
      <c r="P123" s="25" t="str">
        <f>IF(AND($A123&lt;=IF(Calc!$C$36=999,360,Calc!$C$36),Calc!$C$19=1),CHOOSE(Calc!$C$3,INDEX('Snowball Engine'!$AH125:$AV125,Calc!$I$19),INDEX('Avalanche Engine'!$AH125:$AV125,Calc!$J$19),INDEX('My Order Engine'!$AH125:$AV125,Calc!$K$19)),"")</f>
        <v/>
      </c>
      <c r="Q123" s="25" t="str">
        <f>IF(AND($A123&lt;=IF(Calc!$C$36=999,360,Calc!$C$36),Calc!$C$20=1),CHOOSE(Calc!$C$3,INDEX('Snowball Engine'!$AH125:$AV125,Calc!$I$20),INDEX('Avalanche Engine'!$AH125:$AV125,Calc!$J$20),INDEX('My Order Engine'!$AH125:$AV125,Calc!$K$20)),"")</f>
        <v/>
      </c>
      <c r="R123" s="25" t="str">
        <f>IF(AND($A123&lt;=IF(Calc!$C$36=999,360,Calc!$C$36),Calc!$C$21=1),CHOOSE(Calc!$C$3,INDEX('Snowball Engine'!$AH125:$AV125,Calc!$I$21),INDEX('Avalanche Engine'!$AH125:$AV125,Calc!$J$21),INDEX('My Order Engine'!$AH125:$AV125,Calc!$K$21)),"")</f>
        <v/>
      </c>
      <c r="S123" s="25" t="str">
        <f>IF(AND($A123&lt;=IF(Calc!$C$36=999,360,Calc!$C$36),Calc!$C$22=1),CHOOSE(Calc!$C$3,INDEX('Snowball Engine'!$AH125:$AV125,Calc!$I$22),INDEX('Avalanche Engine'!$AH125:$AV125,Calc!$J$22),INDEX('My Order Engine'!$AH125:$AV125,Calc!$K$22)),"")</f>
        <v/>
      </c>
      <c r="T123" s="25" t="str">
        <f>IF(AND($A123&lt;=IF(Calc!$C$36=999,360,Calc!$C$36),Calc!$C$23=1),CHOOSE(Calc!$C$3,INDEX('Snowball Engine'!$AH125:$AV125,Calc!$I$23),INDEX('Avalanche Engine'!$AH125:$AV125,Calc!$J$23),INDEX('My Order Engine'!$AH125:$AV125,Calc!$K$23)),"")</f>
        <v/>
      </c>
      <c r="U123" s="25" t="str">
        <f>IF(AND($A123&lt;=IF(Calc!$C$36=999,360,Calc!$C$36),Calc!$C$24=1),CHOOSE(Calc!$C$3,INDEX('Snowball Engine'!$AH125:$AV125,Calc!$I$24),INDEX('Avalanche Engine'!$AH125:$AV125,Calc!$J$24),INDEX('My Order Engine'!$AH125:$AV125,Calc!$K$24)),"")</f>
        <v/>
      </c>
    </row>
    <row r="124" spans="1:21" x14ac:dyDescent="0.35">
      <c r="A124" s="23">
        <v>120</v>
      </c>
      <c r="B124" s="24" t="str">
        <f>IF($A124&lt;=IF(Calc!$C$36=999,360,Calc!$C$36),EDATE(Calc!$C$5,A124-1),"")</f>
        <v/>
      </c>
      <c r="C124" s="25" t="str">
        <f>IF($A124&lt;=IF(Calc!$C$36=999,360,Calc!$C$36),CHOOSE(Calc!$C$3,'Snowball Engine'!AY126,'Avalanche Engine'!AY126,'My Order Engine'!AY126),"")</f>
        <v/>
      </c>
      <c r="D124" s="25" t="str">
        <f>IF($A124&lt;=IF(Calc!$C$36=999,360,Calc!$C$36),CHOOSE(Calc!$C$3,'Snowball Engine'!AX126,'Avalanche Engine'!AX126,'My Order Engine'!AX126),"")</f>
        <v/>
      </c>
      <c r="E124" s="25" t="str">
        <f>IF($A124&lt;=IF(Calc!$C$36=999,360,Calc!$C$36),C124-D124,"")</f>
        <v/>
      </c>
      <c r="F124" s="25" t="str">
        <f>IF($A124&lt;=IF(Calc!$C$36=999,360,Calc!$C$36),CHOOSE(Calc!$C$3,'Snowball Engine'!AW126,'Avalanche Engine'!AW126,'My Order Engine'!AW126),"")</f>
        <v/>
      </c>
      <c r="G124" s="25" t="str">
        <f>IF(AND($A124&lt;=IF(Calc!$C$36=999,360,Calc!$C$36),Calc!$C$10=1),CHOOSE(Calc!$C$3,INDEX('Snowball Engine'!$AH126:$AV126,Calc!$I$10),INDEX('Avalanche Engine'!$AH126:$AV126,Calc!$J$10),INDEX('My Order Engine'!$AH126:$AV126,Calc!$K$10)),"")</f>
        <v/>
      </c>
      <c r="H124" s="25" t="str">
        <f>IF(AND($A124&lt;=IF(Calc!$C$36=999,360,Calc!$C$36),Calc!$C$11=1),CHOOSE(Calc!$C$3,INDEX('Snowball Engine'!$AH126:$AV126,Calc!$I$11),INDEX('Avalanche Engine'!$AH126:$AV126,Calc!$J$11),INDEX('My Order Engine'!$AH126:$AV126,Calc!$K$11)),"")</f>
        <v/>
      </c>
      <c r="I124" s="25" t="str">
        <f>IF(AND($A124&lt;=IF(Calc!$C$36=999,360,Calc!$C$36),Calc!$C$12=1),CHOOSE(Calc!$C$3,INDEX('Snowball Engine'!$AH126:$AV126,Calc!$I$12),INDEX('Avalanche Engine'!$AH126:$AV126,Calc!$J$12),INDEX('My Order Engine'!$AH126:$AV126,Calc!$K$12)),"")</f>
        <v/>
      </c>
      <c r="J124" s="25" t="str">
        <f>IF(AND($A124&lt;=IF(Calc!$C$36=999,360,Calc!$C$36),Calc!$C$13=1),CHOOSE(Calc!$C$3,INDEX('Snowball Engine'!$AH126:$AV126,Calc!$I$13),INDEX('Avalanche Engine'!$AH126:$AV126,Calc!$J$13),INDEX('My Order Engine'!$AH126:$AV126,Calc!$K$13)),"")</f>
        <v/>
      </c>
      <c r="K124" s="25" t="str">
        <f>IF(AND($A124&lt;=IF(Calc!$C$36=999,360,Calc!$C$36),Calc!$C$14=1),CHOOSE(Calc!$C$3,INDEX('Snowball Engine'!$AH126:$AV126,Calc!$I$14),INDEX('Avalanche Engine'!$AH126:$AV126,Calc!$J$14),INDEX('My Order Engine'!$AH126:$AV126,Calc!$K$14)),"")</f>
        <v/>
      </c>
      <c r="L124" s="25" t="str">
        <f>IF(AND($A124&lt;=IF(Calc!$C$36=999,360,Calc!$C$36),Calc!$C$15=1),CHOOSE(Calc!$C$3,INDEX('Snowball Engine'!$AH126:$AV126,Calc!$I$15),INDEX('Avalanche Engine'!$AH126:$AV126,Calc!$J$15),INDEX('My Order Engine'!$AH126:$AV126,Calc!$K$15)),"")</f>
        <v/>
      </c>
      <c r="M124" s="25" t="str">
        <f>IF(AND($A124&lt;=IF(Calc!$C$36=999,360,Calc!$C$36),Calc!$C$16=1),CHOOSE(Calc!$C$3,INDEX('Snowball Engine'!$AH126:$AV126,Calc!$I$16),INDEX('Avalanche Engine'!$AH126:$AV126,Calc!$J$16),INDEX('My Order Engine'!$AH126:$AV126,Calc!$K$16)),"")</f>
        <v/>
      </c>
      <c r="N124" s="25" t="str">
        <f>IF(AND($A124&lt;=IF(Calc!$C$36=999,360,Calc!$C$36),Calc!$C$17=1),CHOOSE(Calc!$C$3,INDEX('Snowball Engine'!$AH126:$AV126,Calc!$I$17),INDEX('Avalanche Engine'!$AH126:$AV126,Calc!$J$17),INDEX('My Order Engine'!$AH126:$AV126,Calc!$K$17)),"")</f>
        <v/>
      </c>
      <c r="O124" s="25" t="str">
        <f>IF(AND($A124&lt;=IF(Calc!$C$36=999,360,Calc!$C$36),Calc!$C$18=1),CHOOSE(Calc!$C$3,INDEX('Snowball Engine'!$AH126:$AV126,Calc!$I$18),INDEX('Avalanche Engine'!$AH126:$AV126,Calc!$J$18),INDEX('My Order Engine'!$AH126:$AV126,Calc!$K$18)),"")</f>
        <v/>
      </c>
      <c r="P124" s="25" t="str">
        <f>IF(AND($A124&lt;=IF(Calc!$C$36=999,360,Calc!$C$36),Calc!$C$19=1),CHOOSE(Calc!$C$3,INDEX('Snowball Engine'!$AH126:$AV126,Calc!$I$19),INDEX('Avalanche Engine'!$AH126:$AV126,Calc!$J$19),INDEX('My Order Engine'!$AH126:$AV126,Calc!$K$19)),"")</f>
        <v/>
      </c>
      <c r="Q124" s="25" t="str">
        <f>IF(AND($A124&lt;=IF(Calc!$C$36=999,360,Calc!$C$36),Calc!$C$20=1),CHOOSE(Calc!$C$3,INDEX('Snowball Engine'!$AH126:$AV126,Calc!$I$20),INDEX('Avalanche Engine'!$AH126:$AV126,Calc!$J$20),INDEX('My Order Engine'!$AH126:$AV126,Calc!$K$20)),"")</f>
        <v/>
      </c>
      <c r="R124" s="25" t="str">
        <f>IF(AND($A124&lt;=IF(Calc!$C$36=999,360,Calc!$C$36),Calc!$C$21=1),CHOOSE(Calc!$C$3,INDEX('Snowball Engine'!$AH126:$AV126,Calc!$I$21),INDEX('Avalanche Engine'!$AH126:$AV126,Calc!$J$21),INDEX('My Order Engine'!$AH126:$AV126,Calc!$K$21)),"")</f>
        <v/>
      </c>
      <c r="S124" s="25" t="str">
        <f>IF(AND($A124&lt;=IF(Calc!$C$36=999,360,Calc!$C$36),Calc!$C$22=1),CHOOSE(Calc!$C$3,INDEX('Snowball Engine'!$AH126:$AV126,Calc!$I$22),INDEX('Avalanche Engine'!$AH126:$AV126,Calc!$J$22),INDEX('My Order Engine'!$AH126:$AV126,Calc!$K$22)),"")</f>
        <v/>
      </c>
      <c r="T124" s="25" t="str">
        <f>IF(AND($A124&lt;=IF(Calc!$C$36=999,360,Calc!$C$36),Calc!$C$23=1),CHOOSE(Calc!$C$3,INDEX('Snowball Engine'!$AH126:$AV126,Calc!$I$23),INDEX('Avalanche Engine'!$AH126:$AV126,Calc!$J$23),INDEX('My Order Engine'!$AH126:$AV126,Calc!$K$23)),"")</f>
        <v/>
      </c>
      <c r="U124" s="25" t="str">
        <f>IF(AND($A124&lt;=IF(Calc!$C$36=999,360,Calc!$C$36),Calc!$C$24=1),CHOOSE(Calc!$C$3,INDEX('Snowball Engine'!$AH126:$AV126,Calc!$I$24),INDEX('Avalanche Engine'!$AH126:$AV126,Calc!$J$24),INDEX('My Order Engine'!$AH126:$AV126,Calc!$K$24)),"")</f>
        <v/>
      </c>
    </row>
    <row r="125" spans="1:21" x14ac:dyDescent="0.35">
      <c r="A125" s="23">
        <v>121</v>
      </c>
      <c r="B125" s="24" t="str">
        <f>IF($A125&lt;=IF(Calc!$C$36=999,360,Calc!$C$36),EDATE(Calc!$C$5,A125-1),"")</f>
        <v/>
      </c>
      <c r="C125" s="25" t="str">
        <f>IF($A125&lt;=IF(Calc!$C$36=999,360,Calc!$C$36),CHOOSE(Calc!$C$3,'Snowball Engine'!AY127,'Avalanche Engine'!AY127,'My Order Engine'!AY127),"")</f>
        <v/>
      </c>
      <c r="D125" s="25" t="str">
        <f>IF($A125&lt;=IF(Calc!$C$36=999,360,Calc!$C$36),CHOOSE(Calc!$C$3,'Snowball Engine'!AX127,'Avalanche Engine'!AX127,'My Order Engine'!AX127),"")</f>
        <v/>
      </c>
      <c r="E125" s="25" t="str">
        <f>IF($A125&lt;=IF(Calc!$C$36=999,360,Calc!$C$36),C125-D125,"")</f>
        <v/>
      </c>
      <c r="F125" s="25" t="str">
        <f>IF($A125&lt;=IF(Calc!$C$36=999,360,Calc!$C$36),CHOOSE(Calc!$C$3,'Snowball Engine'!AW127,'Avalanche Engine'!AW127,'My Order Engine'!AW127),"")</f>
        <v/>
      </c>
      <c r="G125" s="25" t="str">
        <f>IF(AND($A125&lt;=IF(Calc!$C$36=999,360,Calc!$C$36),Calc!$C$10=1),CHOOSE(Calc!$C$3,INDEX('Snowball Engine'!$AH127:$AV127,Calc!$I$10),INDEX('Avalanche Engine'!$AH127:$AV127,Calc!$J$10),INDEX('My Order Engine'!$AH127:$AV127,Calc!$K$10)),"")</f>
        <v/>
      </c>
      <c r="H125" s="25" t="str">
        <f>IF(AND($A125&lt;=IF(Calc!$C$36=999,360,Calc!$C$36),Calc!$C$11=1),CHOOSE(Calc!$C$3,INDEX('Snowball Engine'!$AH127:$AV127,Calc!$I$11),INDEX('Avalanche Engine'!$AH127:$AV127,Calc!$J$11),INDEX('My Order Engine'!$AH127:$AV127,Calc!$K$11)),"")</f>
        <v/>
      </c>
      <c r="I125" s="25" t="str">
        <f>IF(AND($A125&lt;=IF(Calc!$C$36=999,360,Calc!$C$36),Calc!$C$12=1),CHOOSE(Calc!$C$3,INDEX('Snowball Engine'!$AH127:$AV127,Calc!$I$12),INDEX('Avalanche Engine'!$AH127:$AV127,Calc!$J$12),INDEX('My Order Engine'!$AH127:$AV127,Calc!$K$12)),"")</f>
        <v/>
      </c>
      <c r="J125" s="25" t="str">
        <f>IF(AND($A125&lt;=IF(Calc!$C$36=999,360,Calc!$C$36),Calc!$C$13=1),CHOOSE(Calc!$C$3,INDEX('Snowball Engine'!$AH127:$AV127,Calc!$I$13),INDEX('Avalanche Engine'!$AH127:$AV127,Calc!$J$13),INDEX('My Order Engine'!$AH127:$AV127,Calc!$K$13)),"")</f>
        <v/>
      </c>
      <c r="K125" s="25" t="str">
        <f>IF(AND($A125&lt;=IF(Calc!$C$36=999,360,Calc!$C$36),Calc!$C$14=1),CHOOSE(Calc!$C$3,INDEX('Snowball Engine'!$AH127:$AV127,Calc!$I$14),INDEX('Avalanche Engine'!$AH127:$AV127,Calc!$J$14),INDEX('My Order Engine'!$AH127:$AV127,Calc!$K$14)),"")</f>
        <v/>
      </c>
      <c r="L125" s="25" t="str">
        <f>IF(AND($A125&lt;=IF(Calc!$C$36=999,360,Calc!$C$36),Calc!$C$15=1),CHOOSE(Calc!$C$3,INDEX('Snowball Engine'!$AH127:$AV127,Calc!$I$15),INDEX('Avalanche Engine'!$AH127:$AV127,Calc!$J$15),INDEX('My Order Engine'!$AH127:$AV127,Calc!$K$15)),"")</f>
        <v/>
      </c>
      <c r="M125" s="25" t="str">
        <f>IF(AND($A125&lt;=IF(Calc!$C$36=999,360,Calc!$C$36),Calc!$C$16=1),CHOOSE(Calc!$C$3,INDEX('Snowball Engine'!$AH127:$AV127,Calc!$I$16),INDEX('Avalanche Engine'!$AH127:$AV127,Calc!$J$16),INDEX('My Order Engine'!$AH127:$AV127,Calc!$K$16)),"")</f>
        <v/>
      </c>
      <c r="N125" s="25" t="str">
        <f>IF(AND($A125&lt;=IF(Calc!$C$36=999,360,Calc!$C$36),Calc!$C$17=1),CHOOSE(Calc!$C$3,INDEX('Snowball Engine'!$AH127:$AV127,Calc!$I$17),INDEX('Avalanche Engine'!$AH127:$AV127,Calc!$J$17),INDEX('My Order Engine'!$AH127:$AV127,Calc!$K$17)),"")</f>
        <v/>
      </c>
      <c r="O125" s="25" t="str">
        <f>IF(AND($A125&lt;=IF(Calc!$C$36=999,360,Calc!$C$36),Calc!$C$18=1),CHOOSE(Calc!$C$3,INDEX('Snowball Engine'!$AH127:$AV127,Calc!$I$18),INDEX('Avalanche Engine'!$AH127:$AV127,Calc!$J$18),INDEX('My Order Engine'!$AH127:$AV127,Calc!$K$18)),"")</f>
        <v/>
      </c>
      <c r="P125" s="25" t="str">
        <f>IF(AND($A125&lt;=IF(Calc!$C$36=999,360,Calc!$C$36),Calc!$C$19=1),CHOOSE(Calc!$C$3,INDEX('Snowball Engine'!$AH127:$AV127,Calc!$I$19),INDEX('Avalanche Engine'!$AH127:$AV127,Calc!$J$19),INDEX('My Order Engine'!$AH127:$AV127,Calc!$K$19)),"")</f>
        <v/>
      </c>
      <c r="Q125" s="25" t="str">
        <f>IF(AND($A125&lt;=IF(Calc!$C$36=999,360,Calc!$C$36),Calc!$C$20=1),CHOOSE(Calc!$C$3,INDEX('Snowball Engine'!$AH127:$AV127,Calc!$I$20),INDEX('Avalanche Engine'!$AH127:$AV127,Calc!$J$20),INDEX('My Order Engine'!$AH127:$AV127,Calc!$K$20)),"")</f>
        <v/>
      </c>
      <c r="R125" s="25" t="str">
        <f>IF(AND($A125&lt;=IF(Calc!$C$36=999,360,Calc!$C$36),Calc!$C$21=1),CHOOSE(Calc!$C$3,INDEX('Snowball Engine'!$AH127:$AV127,Calc!$I$21),INDEX('Avalanche Engine'!$AH127:$AV127,Calc!$J$21),INDEX('My Order Engine'!$AH127:$AV127,Calc!$K$21)),"")</f>
        <v/>
      </c>
      <c r="S125" s="25" t="str">
        <f>IF(AND($A125&lt;=IF(Calc!$C$36=999,360,Calc!$C$36),Calc!$C$22=1),CHOOSE(Calc!$C$3,INDEX('Snowball Engine'!$AH127:$AV127,Calc!$I$22),INDEX('Avalanche Engine'!$AH127:$AV127,Calc!$J$22),INDEX('My Order Engine'!$AH127:$AV127,Calc!$K$22)),"")</f>
        <v/>
      </c>
      <c r="T125" s="25" t="str">
        <f>IF(AND($A125&lt;=IF(Calc!$C$36=999,360,Calc!$C$36),Calc!$C$23=1),CHOOSE(Calc!$C$3,INDEX('Snowball Engine'!$AH127:$AV127,Calc!$I$23),INDEX('Avalanche Engine'!$AH127:$AV127,Calc!$J$23),INDEX('My Order Engine'!$AH127:$AV127,Calc!$K$23)),"")</f>
        <v/>
      </c>
      <c r="U125" s="25" t="str">
        <f>IF(AND($A125&lt;=IF(Calc!$C$36=999,360,Calc!$C$36),Calc!$C$24=1),CHOOSE(Calc!$C$3,INDEX('Snowball Engine'!$AH127:$AV127,Calc!$I$24),INDEX('Avalanche Engine'!$AH127:$AV127,Calc!$J$24),INDEX('My Order Engine'!$AH127:$AV127,Calc!$K$24)),"")</f>
        <v/>
      </c>
    </row>
    <row r="126" spans="1:21" x14ac:dyDescent="0.35">
      <c r="A126" s="23">
        <v>122</v>
      </c>
      <c r="B126" s="24" t="str">
        <f>IF($A126&lt;=IF(Calc!$C$36=999,360,Calc!$C$36),EDATE(Calc!$C$5,A126-1),"")</f>
        <v/>
      </c>
      <c r="C126" s="25" t="str">
        <f>IF($A126&lt;=IF(Calc!$C$36=999,360,Calc!$C$36),CHOOSE(Calc!$C$3,'Snowball Engine'!AY128,'Avalanche Engine'!AY128,'My Order Engine'!AY128),"")</f>
        <v/>
      </c>
      <c r="D126" s="25" t="str">
        <f>IF($A126&lt;=IF(Calc!$C$36=999,360,Calc!$C$36),CHOOSE(Calc!$C$3,'Snowball Engine'!AX128,'Avalanche Engine'!AX128,'My Order Engine'!AX128),"")</f>
        <v/>
      </c>
      <c r="E126" s="25" t="str">
        <f>IF($A126&lt;=IF(Calc!$C$36=999,360,Calc!$C$36),C126-D126,"")</f>
        <v/>
      </c>
      <c r="F126" s="25" t="str">
        <f>IF($A126&lt;=IF(Calc!$C$36=999,360,Calc!$C$36),CHOOSE(Calc!$C$3,'Snowball Engine'!AW128,'Avalanche Engine'!AW128,'My Order Engine'!AW128),"")</f>
        <v/>
      </c>
      <c r="G126" s="25" t="str">
        <f>IF(AND($A126&lt;=IF(Calc!$C$36=999,360,Calc!$C$36),Calc!$C$10=1),CHOOSE(Calc!$C$3,INDEX('Snowball Engine'!$AH128:$AV128,Calc!$I$10),INDEX('Avalanche Engine'!$AH128:$AV128,Calc!$J$10),INDEX('My Order Engine'!$AH128:$AV128,Calc!$K$10)),"")</f>
        <v/>
      </c>
      <c r="H126" s="25" t="str">
        <f>IF(AND($A126&lt;=IF(Calc!$C$36=999,360,Calc!$C$36),Calc!$C$11=1),CHOOSE(Calc!$C$3,INDEX('Snowball Engine'!$AH128:$AV128,Calc!$I$11),INDEX('Avalanche Engine'!$AH128:$AV128,Calc!$J$11),INDEX('My Order Engine'!$AH128:$AV128,Calc!$K$11)),"")</f>
        <v/>
      </c>
      <c r="I126" s="25" t="str">
        <f>IF(AND($A126&lt;=IF(Calc!$C$36=999,360,Calc!$C$36),Calc!$C$12=1),CHOOSE(Calc!$C$3,INDEX('Snowball Engine'!$AH128:$AV128,Calc!$I$12),INDEX('Avalanche Engine'!$AH128:$AV128,Calc!$J$12),INDEX('My Order Engine'!$AH128:$AV128,Calc!$K$12)),"")</f>
        <v/>
      </c>
      <c r="J126" s="25" t="str">
        <f>IF(AND($A126&lt;=IF(Calc!$C$36=999,360,Calc!$C$36),Calc!$C$13=1),CHOOSE(Calc!$C$3,INDEX('Snowball Engine'!$AH128:$AV128,Calc!$I$13),INDEX('Avalanche Engine'!$AH128:$AV128,Calc!$J$13),INDEX('My Order Engine'!$AH128:$AV128,Calc!$K$13)),"")</f>
        <v/>
      </c>
      <c r="K126" s="25" t="str">
        <f>IF(AND($A126&lt;=IF(Calc!$C$36=999,360,Calc!$C$36),Calc!$C$14=1),CHOOSE(Calc!$C$3,INDEX('Snowball Engine'!$AH128:$AV128,Calc!$I$14),INDEX('Avalanche Engine'!$AH128:$AV128,Calc!$J$14),INDEX('My Order Engine'!$AH128:$AV128,Calc!$K$14)),"")</f>
        <v/>
      </c>
      <c r="L126" s="25" t="str">
        <f>IF(AND($A126&lt;=IF(Calc!$C$36=999,360,Calc!$C$36),Calc!$C$15=1),CHOOSE(Calc!$C$3,INDEX('Snowball Engine'!$AH128:$AV128,Calc!$I$15),INDEX('Avalanche Engine'!$AH128:$AV128,Calc!$J$15),INDEX('My Order Engine'!$AH128:$AV128,Calc!$K$15)),"")</f>
        <v/>
      </c>
      <c r="M126" s="25" t="str">
        <f>IF(AND($A126&lt;=IF(Calc!$C$36=999,360,Calc!$C$36),Calc!$C$16=1),CHOOSE(Calc!$C$3,INDEX('Snowball Engine'!$AH128:$AV128,Calc!$I$16),INDEX('Avalanche Engine'!$AH128:$AV128,Calc!$J$16),INDEX('My Order Engine'!$AH128:$AV128,Calc!$K$16)),"")</f>
        <v/>
      </c>
      <c r="N126" s="25" t="str">
        <f>IF(AND($A126&lt;=IF(Calc!$C$36=999,360,Calc!$C$36),Calc!$C$17=1),CHOOSE(Calc!$C$3,INDEX('Snowball Engine'!$AH128:$AV128,Calc!$I$17),INDEX('Avalanche Engine'!$AH128:$AV128,Calc!$J$17),INDEX('My Order Engine'!$AH128:$AV128,Calc!$K$17)),"")</f>
        <v/>
      </c>
      <c r="O126" s="25" t="str">
        <f>IF(AND($A126&lt;=IF(Calc!$C$36=999,360,Calc!$C$36),Calc!$C$18=1),CHOOSE(Calc!$C$3,INDEX('Snowball Engine'!$AH128:$AV128,Calc!$I$18),INDEX('Avalanche Engine'!$AH128:$AV128,Calc!$J$18),INDEX('My Order Engine'!$AH128:$AV128,Calc!$K$18)),"")</f>
        <v/>
      </c>
      <c r="P126" s="25" t="str">
        <f>IF(AND($A126&lt;=IF(Calc!$C$36=999,360,Calc!$C$36),Calc!$C$19=1),CHOOSE(Calc!$C$3,INDEX('Snowball Engine'!$AH128:$AV128,Calc!$I$19),INDEX('Avalanche Engine'!$AH128:$AV128,Calc!$J$19),INDEX('My Order Engine'!$AH128:$AV128,Calc!$K$19)),"")</f>
        <v/>
      </c>
      <c r="Q126" s="25" t="str">
        <f>IF(AND($A126&lt;=IF(Calc!$C$36=999,360,Calc!$C$36),Calc!$C$20=1),CHOOSE(Calc!$C$3,INDEX('Snowball Engine'!$AH128:$AV128,Calc!$I$20),INDEX('Avalanche Engine'!$AH128:$AV128,Calc!$J$20),INDEX('My Order Engine'!$AH128:$AV128,Calc!$K$20)),"")</f>
        <v/>
      </c>
      <c r="R126" s="25" t="str">
        <f>IF(AND($A126&lt;=IF(Calc!$C$36=999,360,Calc!$C$36),Calc!$C$21=1),CHOOSE(Calc!$C$3,INDEX('Snowball Engine'!$AH128:$AV128,Calc!$I$21),INDEX('Avalanche Engine'!$AH128:$AV128,Calc!$J$21),INDEX('My Order Engine'!$AH128:$AV128,Calc!$K$21)),"")</f>
        <v/>
      </c>
      <c r="S126" s="25" t="str">
        <f>IF(AND($A126&lt;=IF(Calc!$C$36=999,360,Calc!$C$36),Calc!$C$22=1),CHOOSE(Calc!$C$3,INDEX('Snowball Engine'!$AH128:$AV128,Calc!$I$22),INDEX('Avalanche Engine'!$AH128:$AV128,Calc!$J$22),INDEX('My Order Engine'!$AH128:$AV128,Calc!$K$22)),"")</f>
        <v/>
      </c>
      <c r="T126" s="25" t="str">
        <f>IF(AND($A126&lt;=IF(Calc!$C$36=999,360,Calc!$C$36),Calc!$C$23=1),CHOOSE(Calc!$C$3,INDEX('Snowball Engine'!$AH128:$AV128,Calc!$I$23),INDEX('Avalanche Engine'!$AH128:$AV128,Calc!$J$23),INDEX('My Order Engine'!$AH128:$AV128,Calc!$K$23)),"")</f>
        <v/>
      </c>
      <c r="U126" s="25" t="str">
        <f>IF(AND($A126&lt;=IF(Calc!$C$36=999,360,Calc!$C$36),Calc!$C$24=1),CHOOSE(Calc!$C$3,INDEX('Snowball Engine'!$AH128:$AV128,Calc!$I$24),INDEX('Avalanche Engine'!$AH128:$AV128,Calc!$J$24),INDEX('My Order Engine'!$AH128:$AV128,Calc!$K$24)),"")</f>
        <v/>
      </c>
    </row>
    <row r="127" spans="1:21" x14ac:dyDescent="0.35">
      <c r="A127" s="23">
        <v>123</v>
      </c>
      <c r="B127" s="24" t="str">
        <f>IF($A127&lt;=IF(Calc!$C$36=999,360,Calc!$C$36),EDATE(Calc!$C$5,A127-1),"")</f>
        <v/>
      </c>
      <c r="C127" s="25" t="str">
        <f>IF($A127&lt;=IF(Calc!$C$36=999,360,Calc!$C$36),CHOOSE(Calc!$C$3,'Snowball Engine'!AY129,'Avalanche Engine'!AY129,'My Order Engine'!AY129),"")</f>
        <v/>
      </c>
      <c r="D127" s="25" t="str">
        <f>IF($A127&lt;=IF(Calc!$C$36=999,360,Calc!$C$36),CHOOSE(Calc!$C$3,'Snowball Engine'!AX129,'Avalanche Engine'!AX129,'My Order Engine'!AX129),"")</f>
        <v/>
      </c>
      <c r="E127" s="25" t="str">
        <f>IF($A127&lt;=IF(Calc!$C$36=999,360,Calc!$C$36),C127-D127,"")</f>
        <v/>
      </c>
      <c r="F127" s="25" t="str">
        <f>IF($A127&lt;=IF(Calc!$C$36=999,360,Calc!$C$36),CHOOSE(Calc!$C$3,'Snowball Engine'!AW129,'Avalanche Engine'!AW129,'My Order Engine'!AW129),"")</f>
        <v/>
      </c>
      <c r="G127" s="25" t="str">
        <f>IF(AND($A127&lt;=IF(Calc!$C$36=999,360,Calc!$C$36),Calc!$C$10=1),CHOOSE(Calc!$C$3,INDEX('Snowball Engine'!$AH129:$AV129,Calc!$I$10),INDEX('Avalanche Engine'!$AH129:$AV129,Calc!$J$10),INDEX('My Order Engine'!$AH129:$AV129,Calc!$K$10)),"")</f>
        <v/>
      </c>
      <c r="H127" s="25" t="str">
        <f>IF(AND($A127&lt;=IF(Calc!$C$36=999,360,Calc!$C$36),Calc!$C$11=1),CHOOSE(Calc!$C$3,INDEX('Snowball Engine'!$AH129:$AV129,Calc!$I$11),INDEX('Avalanche Engine'!$AH129:$AV129,Calc!$J$11),INDEX('My Order Engine'!$AH129:$AV129,Calc!$K$11)),"")</f>
        <v/>
      </c>
      <c r="I127" s="25" t="str">
        <f>IF(AND($A127&lt;=IF(Calc!$C$36=999,360,Calc!$C$36),Calc!$C$12=1),CHOOSE(Calc!$C$3,INDEX('Snowball Engine'!$AH129:$AV129,Calc!$I$12),INDEX('Avalanche Engine'!$AH129:$AV129,Calc!$J$12),INDEX('My Order Engine'!$AH129:$AV129,Calc!$K$12)),"")</f>
        <v/>
      </c>
      <c r="J127" s="25" t="str">
        <f>IF(AND($A127&lt;=IF(Calc!$C$36=999,360,Calc!$C$36),Calc!$C$13=1),CHOOSE(Calc!$C$3,INDEX('Snowball Engine'!$AH129:$AV129,Calc!$I$13),INDEX('Avalanche Engine'!$AH129:$AV129,Calc!$J$13),INDEX('My Order Engine'!$AH129:$AV129,Calc!$K$13)),"")</f>
        <v/>
      </c>
      <c r="K127" s="25" t="str">
        <f>IF(AND($A127&lt;=IF(Calc!$C$36=999,360,Calc!$C$36),Calc!$C$14=1),CHOOSE(Calc!$C$3,INDEX('Snowball Engine'!$AH129:$AV129,Calc!$I$14),INDEX('Avalanche Engine'!$AH129:$AV129,Calc!$J$14),INDEX('My Order Engine'!$AH129:$AV129,Calc!$K$14)),"")</f>
        <v/>
      </c>
      <c r="L127" s="25" t="str">
        <f>IF(AND($A127&lt;=IF(Calc!$C$36=999,360,Calc!$C$36),Calc!$C$15=1),CHOOSE(Calc!$C$3,INDEX('Snowball Engine'!$AH129:$AV129,Calc!$I$15),INDEX('Avalanche Engine'!$AH129:$AV129,Calc!$J$15),INDEX('My Order Engine'!$AH129:$AV129,Calc!$K$15)),"")</f>
        <v/>
      </c>
      <c r="M127" s="25" t="str">
        <f>IF(AND($A127&lt;=IF(Calc!$C$36=999,360,Calc!$C$36),Calc!$C$16=1),CHOOSE(Calc!$C$3,INDEX('Snowball Engine'!$AH129:$AV129,Calc!$I$16),INDEX('Avalanche Engine'!$AH129:$AV129,Calc!$J$16),INDEX('My Order Engine'!$AH129:$AV129,Calc!$K$16)),"")</f>
        <v/>
      </c>
      <c r="N127" s="25" t="str">
        <f>IF(AND($A127&lt;=IF(Calc!$C$36=999,360,Calc!$C$36),Calc!$C$17=1),CHOOSE(Calc!$C$3,INDEX('Snowball Engine'!$AH129:$AV129,Calc!$I$17),INDEX('Avalanche Engine'!$AH129:$AV129,Calc!$J$17),INDEX('My Order Engine'!$AH129:$AV129,Calc!$K$17)),"")</f>
        <v/>
      </c>
      <c r="O127" s="25" t="str">
        <f>IF(AND($A127&lt;=IF(Calc!$C$36=999,360,Calc!$C$36),Calc!$C$18=1),CHOOSE(Calc!$C$3,INDEX('Snowball Engine'!$AH129:$AV129,Calc!$I$18),INDEX('Avalanche Engine'!$AH129:$AV129,Calc!$J$18),INDEX('My Order Engine'!$AH129:$AV129,Calc!$K$18)),"")</f>
        <v/>
      </c>
      <c r="P127" s="25" t="str">
        <f>IF(AND($A127&lt;=IF(Calc!$C$36=999,360,Calc!$C$36),Calc!$C$19=1),CHOOSE(Calc!$C$3,INDEX('Snowball Engine'!$AH129:$AV129,Calc!$I$19),INDEX('Avalanche Engine'!$AH129:$AV129,Calc!$J$19),INDEX('My Order Engine'!$AH129:$AV129,Calc!$K$19)),"")</f>
        <v/>
      </c>
      <c r="Q127" s="25" t="str">
        <f>IF(AND($A127&lt;=IF(Calc!$C$36=999,360,Calc!$C$36),Calc!$C$20=1),CHOOSE(Calc!$C$3,INDEX('Snowball Engine'!$AH129:$AV129,Calc!$I$20),INDEX('Avalanche Engine'!$AH129:$AV129,Calc!$J$20),INDEX('My Order Engine'!$AH129:$AV129,Calc!$K$20)),"")</f>
        <v/>
      </c>
      <c r="R127" s="25" t="str">
        <f>IF(AND($A127&lt;=IF(Calc!$C$36=999,360,Calc!$C$36),Calc!$C$21=1),CHOOSE(Calc!$C$3,INDEX('Snowball Engine'!$AH129:$AV129,Calc!$I$21),INDEX('Avalanche Engine'!$AH129:$AV129,Calc!$J$21),INDEX('My Order Engine'!$AH129:$AV129,Calc!$K$21)),"")</f>
        <v/>
      </c>
      <c r="S127" s="25" t="str">
        <f>IF(AND($A127&lt;=IF(Calc!$C$36=999,360,Calc!$C$36),Calc!$C$22=1),CHOOSE(Calc!$C$3,INDEX('Snowball Engine'!$AH129:$AV129,Calc!$I$22),INDEX('Avalanche Engine'!$AH129:$AV129,Calc!$J$22),INDEX('My Order Engine'!$AH129:$AV129,Calc!$K$22)),"")</f>
        <v/>
      </c>
      <c r="T127" s="25" t="str">
        <f>IF(AND($A127&lt;=IF(Calc!$C$36=999,360,Calc!$C$36),Calc!$C$23=1),CHOOSE(Calc!$C$3,INDEX('Snowball Engine'!$AH129:$AV129,Calc!$I$23),INDEX('Avalanche Engine'!$AH129:$AV129,Calc!$J$23),INDEX('My Order Engine'!$AH129:$AV129,Calc!$K$23)),"")</f>
        <v/>
      </c>
      <c r="U127" s="25" t="str">
        <f>IF(AND($A127&lt;=IF(Calc!$C$36=999,360,Calc!$C$36),Calc!$C$24=1),CHOOSE(Calc!$C$3,INDEX('Snowball Engine'!$AH129:$AV129,Calc!$I$24),INDEX('Avalanche Engine'!$AH129:$AV129,Calc!$J$24),INDEX('My Order Engine'!$AH129:$AV129,Calc!$K$24)),"")</f>
        <v/>
      </c>
    </row>
    <row r="128" spans="1:21" x14ac:dyDescent="0.35">
      <c r="A128" s="23">
        <v>124</v>
      </c>
      <c r="B128" s="24" t="str">
        <f>IF($A128&lt;=IF(Calc!$C$36=999,360,Calc!$C$36),EDATE(Calc!$C$5,A128-1),"")</f>
        <v/>
      </c>
      <c r="C128" s="25" t="str">
        <f>IF($A128&lt;=IF(Calc!$C$36=999,360,Calc!$C$36),CHOOSE(Calc!$C$3,'Snowball Engine'!AY130,'Avalanche Engine'!AY130,'My Order Engine'!AY130),"")</f>
        <v/>
      </c>
      <c r="D128" s="25" t="str">
        <f>IF($A128&lt;=IF(Calc!$C$36=999,360,Calc!$C$36),CHOOSE(Calc!$C$3,'Snowball Engine'!AX130,'Avalanche Engine'!AX130,'My Order Engine'!AX130),"")</f>
        <v/>
      </c>
      <c r="E128" s="25" t="str">
        <f>IF($A128&lt;=IF(Calc!$C$36=999,360,Calc!$C$36),C128-D128,"")</f>
        <v/>
      </c>
      <c r="F128" s="25" t="str">
        <f>IF($A128&lt;=IF(Calc!$C$36=999,360,Calc!$C$36),CHOOSE(Calc!$C$3,'Snowball Engine'!AW130,'Avalanche Engine'!AW130,'My Order Engine'!AW130),"")</f>
        <v/>
      </c>
      <c r="G128" s="25" t="str">
        <f>IF(AND($A128&lt;=IF(Calc!$C$36=999,360,Calc!$C$36),Calc!$C$10=1),CHOOSE(Calc!$C$3,INDEX('Snowball Engine'!$AH130:$AV130,Calc!$I$10),INDEX('Avalanche Engine'!$AH130:$AV130,Calc!$J$10),INDEX('My Order Engine'!$AH130:$AV130,Calc!$K$10)),"")</f>
        <v/>
      </c>
      <c r="H128" s="25" t="str">
        <f>IF(AND($A128&lt;=IF(Calc!$C$36=999,360,Calc!$C$36),Calc!$C$11=1),CHOOSE(Calc!$C$3,INDEX('Snowball Engine'!$AH130:$AV130,Calc!$I$11),INDEX('Avalanche Engine'!$AH130:$AV130,Calc!$J$11),INDEX('My Order Engine'!$AH130:$AV130,Calc!$K$11)),"")</f>
        <v/>
      </c>
      <c r="I128" s="25" t="str">
        <f>IF(AND($A128&lt;=IF(Calc!$C$36=999,360,Calc!$C$36),Calc!$C$12=1),CHOOSE(Calc!$C$3,INDEX('Snowball Engine'!$AH130:$AV130,Calc!$I$12),INDEX('Avalanche Engine'!$AH130:$AV130,Calc!$J$12),INDEX('My Order Engine'!$AH130:$AV130,Calc!$K$12)),"")</f>
        <v/>
      </c>
      <c r="J128" s="25" t="str">
        <f>IF(AND($A128&lt;=IF(Calc!$C$36=999,360,Calc!$C$36),Calc!$C$13=1),CHOOSE(Calc!$C$3,INDEX('Snowball Engine'!$AH130:$AV130,Calc!$I$13),INDEX('Avalanche Engine'!$AH130:$AV130,Calc!$J$13),INDEX('My Order Engine'!$AH130:$AV130,Calc!$K$13)),"")</f>
        <v/>
      </c>
      <c r="K128" s="25" t="str">
        <f>IF(AND($A128&lt;=IF(Calc!$C$36=999,360,Calc!$C$36),Calc!$C$14=1),CHOOSE(Calc!$C$3,INDEX('Snowball Engine'!$AH130:$AV130,Calc!$I$14),INDEX('Avalanche Engine'!$AH130:$AV130,Calc!$J$14),INDEX('My Order Engine'!$AH130:$AV130,Calc!$K$14)),"")</f>
        <v/>
      </c>
      <c r="L128" s="25" t="str">
        <f>IF(AND($A128&lt;=IF(Calc!$C$36=999,360,Calc!$C$36),Calc!$C$15=1),CHOOSE(Calc!$C$3,INDEX('Snowball Engine'!$AH130:$AV130,Calc!$I$15),INDEX('Avalanche Engine'!$AH130:$AV130,Calc!$J$15),INDEX('My Order Engine'!$AH130:$AV130,Calc!$K$15)),"")</f>
        <v/>
      </c>
      <c r="M128" s="25" t="str">
        <f>IF(AND($A128&lt;=IF(Calc!$C$36=999,360,Calc!$C$36),Calc!$C$16=1),CHOOSE(Calc!$C$3,INDEX('Snowball Engine'!$AH130:$AV130,Calc!$I$16),INDEX('Avalanche Engine'!$AH130:$AV130,Calc!$J$16),INDEX('My Order Engine'!$AH130:$AV130,Calc!$K$16)),"")</f>
        <v/>
      </c>
      <c r="N128" s="25" t="str">
        <f>IF(AND($A128&lt;=IF(Calc!$C$36=999,360,Calc!$C$36),Calc!$C$17=1),CHOOSE(Calc!$C$3,INDEX('Snowball Engine'!$AH130:$AV130,Calc!$I$17),INDEX('Avalanche Engine'!$AH130:$AV130,Calc!$J$17),INDEX('My Order Engine'!$AH130:$AV130,Calc!$K$17)),"")</f>
        <v/>
      </c>
      <c r="O128" s="25" t="str">
        <f>IF(AND($A128&lt;=IF(Calc!$C$36=999,360,Calc!$C$36),Calc!$C$18=1),CHOOSE(Calc!$C$3,INDEX('Snowball Engine'!$AH130:$AV130,Calc!$I$18),INDEX('Avalanche Engine'!$AH130:$AV130,Calc!$J$18),INDEX('My Order Engine'!$AH130:$AV130,Calc!$K$18)),"")</f>
        <v/>
      </c>
      <c r="P128" s="25" t="str">
        <f>IF(AND($A128&lt;=IF(Calc!$C$36=999,360,Calc!$C$36),Calc!$C$19=1),CHOOSE(Calc!$C$3,INDEX('Snowball Engine'!$AH130:$AV130,Calc!$I$19),INDEX('Avalanche Engine'!$AH130:$AV130,Calc!$J$19),INDEX('My Order Engine'!$AH130:$AV130,Calc!$K$19)),"")</f>
        <v/>
      </c>
      <c r="Q128" s="25" t="str">
        <f>IF(AND($A128&lt;=IF(Calc!$C$36=999,360,Calc!$C$36),Calc!$C$20=1),CHOOSE(Calc!$C$3,INDEX('Snowball Engine'!$AH130:$AV130,Calc!$I$20),INDEX('Avalanche Engine'!$AH130:$AV130,Calc!$J$20),INDEX('My Order Engine'!$AH130:$AV130,Calc!$K$20)),"")</f>
        <v/>
      </c>
      <c r="R128" s="25" t="str">
        <f>IF(AND($A128&lt;=IF(Calc!$C$36=999,360,Calc!$C$36),Calc!$C$21=1),CHOOSE(Calc!$C$3,INDEX('Snowball Engine'!$AH130:$AV130,Calc!$I$21),INDEX('Avalanche Engine'!$AH130:$AV130,Calc!$J$21),INDEX('My Order Engine'!$AH130:$AV130,Calc!$K$21)),"")</f>
        <v/>
      </c>
      <c r="S128" s="25" t="str">
        <f>IF(AND($A128&lt;=IF(Calc!$C$36=999,360,Calc!$C$36),Calc!$C$22=1),CHOOSE(Calc!$C$3,INDEX('Snowball Engine'!$AH130:$AV130,Calc!$I$22),INDEX('Avalanche Engine'!$AH130:$AV130,Calc!$J$22),INDEX('My Order Engine'!$AH130:$AV130,Calc!$K$22)),"")</f>
        <v/>
      </c>
      <c r="T128" s="25" t="str">
        <f>IF(AND($A128&lt;=IF(Calc!$C$36=999,360,Calc!$C$36),Calc!$C$23=1),CHOOSE(Calc!$C$3,INDEX('Snowball Engine'!$AH130:$AV130,Calc!$I$23),INDEX('Avalanche Engine'!$AH130:$AV130,Calc!$J$23),INDEX('My Order Engine'!$AH130:$AV130,Calc!$K$23)),"")</f>
        <v/>
      </c>
      <c r="U128" s="25" t="str">
        <f>IF(AND($A128&lt;=IF(Calc!$C$36=999,360,Calc!$C$36),Calc!$C$24=1),CHOOSE(Calc!$C$3,INDEX('Snowball Engine'!$AH130:$AV130,Calc!$I$24),INDEX('Avalanche Engine'!$AH130:$AV130,Calc!$J$24),INDEX('My Order Engine'!$AH130:$AV130,Calc!$K$24)),"")</f>
        <v/>
      </c>
    </row>
    <row r="129" spans="1:21" x14ac:dyDescent="0.35">
      <c r="A129" s="23">
        <v>125</v>
      </c>
      <c r="B129" s="24" t="str">
        <f>IF($A129&lt;=IF(Calc!$C$36=999,360,Calc!$C$36),EDATE(Calc!$C$5,A129-1),"")</f>
        <v/>
      </c>
      <c r="C129" s="25" t="str">
        <f>IF($A129&lt;=IF(Calc!$C$36=999,360,Calc!$C$36),CHOOSE(Calc!$C$3,'Snowball Engine'!AY131,'Avalanche Engine'!AY131,'My Order Engine'!AY131),"")</f>
        <v/>
      </c>
      <c r="D129" s="25" t="str">
        <f>IF($A129&lt;=IF(Calc!$C$36=999,360,Calc!$C$36),CHOOSE(Calc!$C$3,'Snowball Engine'!AX131,'Avalanche Engine'!AX131,'My Order Engine'!AX131),"")</f>
        <v/>
      </c>
      <c r="E129" s="25" t="str">
        <f>IF($A129&lt;=IF(Calc!$C$36=999,360,Calc!$C$36),C129-D129,"")</f>
        <v/>
      </c>
      <c r="F129" s="25" t="str">
        <f>IF($A129&lt;=IF(Calc!$C$36=999,360,Calc!$C$36),CHOOSE(Calc!$C$3,'Snowball Engine'!AW131,'Avalanche Engine'!AW131,'My Order Engine'!AW131),"")</f>
        <v/>
      </c>
      <c r="G129" s="25" t="str">
        <f>IF(AND($A129&lt;=IF(Calc!$C$36=999,360,Calc!$C$36),Calc!$C$10=1),CHOOSE(Calc!$C$3,INDEX('Snowball Engine'!$AH131:$AV131,Calc!$I$10),INDEX('Avalanche Engine'!$AH131:$AV131,Calc!$J$10),INDEX('My Order Engine'!$AH131:$AV131,Calc!$K$10)),"")</f>
        <v/>
      </c>
      <c r="H129" s="25" t="str">
        <f>IF(AND($A129&lt;=IF(Calc!$C$36=999,360,Calc!$C$36),Calc!$C$11=1),CHOOSE(Calc!$C$3,INDEX('Snowball Engine'!$AH131:$AV131,Calc!$I$11),INDEX('Avalanche Engine'!$AH131:$AV131,Calc!$J$11),INDEX('My Order Engine'!$AH131:$AV131,Calc!$K$11)),"")</f>
        <v/>
      </c>
      <c r="I129" s="25" t="str">
        <f>IF(AND($A129&lt;=IF(Calc!$C$36=999,360,Calc!$C$36),Calc!$C$12=1),CHOOSE(Calc!$C$3,INDEX('Snowball Engine'!$AH131:$AV131,Calc!$I$12),INDEX('Avalanche Engine'!$AH131:$AV131,Calc!$J$12),INDEX('My Order Engine'!$AH131:$AV131,Calc!$K$12)),"")</f>
        <v/>
      </c>
      <c r="J129" s="25" t="str">
        <f>IF(AND($A129&lt;=IF(Calc!$C$36=999,360,Calc!$C$36),Calc!$C$13=1),CHOOSE(Calc!$C$3,INDEX('Snowball Engine'!$AH131:$AV131,Calc!$I$13),INDEX('Avalanche Engine'!$AH131:$AV131,Calc!$J$13),INDEX('My Order Engine'!$AH131:$AV131,Calc!$K$13)),"")</f>
        <v/>
      </c>
      <c r="K129" s="25" t="str">
        <f>IF(AND($A129&lt;=IF(Calc!$C$36=999,360,Calc!$C$36),Calc!$C$14=1),CHOOSE(Calc!$C$3,INDEX('Snowball Engine'!$AH131:$AV131,Calc!$I$14),INDEX('Avalanche Engine'!$AH131:$AV131,Calc!$J$14),INDEX('My Order Engine'!$AH131:$AV131,Calc!$K$14)),"")</f>
        <v/>
      </c>
      <c r="L129" s="25" t="str">
        <f>IF(AND($A129&lt;=IF(Calc!$C$36=999,360,Calc!$C$36),Calc!$C$15=1),CHOOSE(Calc!$C$3,INDEX('Snowball Engine'!$AH131:$AV131,Calc!$I$15),INDEX('Avalanche Engine'!$AH131:$AV131,Calc!$J$15),INDEX('My Order Engine'!$AH131:$AV131,Calc!$K$15)),"")</f>
        <v/>
      </c>
      <c r="M129" s="25" t="str">
        <f>IF(AND($A129&lt;=IF(Calc!$C$36=999,360,Calc!$C$36),Calc!$C$16=1),CHOOSE(Calc!$C$3,INDEX('Snowball Engine'!$AH131:$AV131,Calc!$I$16),INDEX('Avalanche Engine'!$AH131:$AV131,Calc!$J$16),INDEX('My Order Engine'!$AH131:$AV131,Calc!$K$16)),"")</f>
        <v/>
      </c>
      <c r="N129" s="25" t="str">
        <f>IF(AND($A129&lt;=IF(Calc!$C$36=999,360,Calc!$C$36),Calc!$C$17=1),CHOOSE(Calc!$C$3,INDEX('Snowball Engine'!$AH131:$AV131,Calc!$I$17),INDEX('Avalanche Engine'!$AH131:$AV131,Calc!$J$17),INDEX('My Order Engine'!$AH131:$AV131,Calc!$K$17)),"")</f>
        <v/>
      </c>
      <c r="O129" s="25" t="str">
        <f>IF(AND($A129&lt;=IF(Calc!$C$36=999,360,Calc!$C$36),Calc!$C$18=1),CHOOSE(Calc!$C$3,INDEX('Snowball Engine'!$AH131:$AV131,Calc!$I$18),INDEX('Avalanche Engine'!$AH131:$AV131,Calc!$J$18),INDEX('My Order Engine'!$AH131:$AV131,Calc!$K$18)),"")</f>
        <v/>
      </c>
      <c r="P129" s="25" t="str">
        <f>IF(AND($A129&lt;=IF(Calc!$C$36=999,360,Calc!$C$36),Calc!$C$19=1),CHOOSE(Calc!$C$3,INDEX('Snowball Engine'!$AH131:$AV131,Calc!$I$19),INDEX('Avalanche Engine'!$AH131:$AV131,Calc!$J$19),INDEX('My Order Engine'!$AH131:$AV131,Calc!$K$19)),"")</f>
        <v/>
      </c>
      <c r="Q129" s="25" t="str">
        <f>IF(AND($A129&lt;=IF(Calc!$C$36=999,360,Calc!$C$36),Calc!$C$20=1),CHOOSE(Calc!$C$3,INDEX('Snowball Engine'!$AH131:$AV131,Calc!$I$20),INDEX('Avalanche Engine'!$AH131:$AV131,Calc!$J$20),INDEX('My Order Engine'!$AH131:$AV131,Calc!$K$20)),"")</f>
        <v/>
      </c>
      <c r="R129" s="25" t="str">
        <f>IF(AND($A129&lt;=IF(Calc!$C$36=999,360,Calc!$C$36),Calc!$C$21=1),CHOOSE(Calc!$C$3,INDEX('Snowball Engine'!$AH131:$AV131,Calc!$I$21),INDEX('Avalanche Engine'!$AH131:$AV131,Calc!$J$21),INDEX('My Order Engine'!$AH131:$AV131,Calc!$K$21)),"")</f>
        <v/>
      </c>
      <c r="S129" s="25" t="str">
        <f>IF(AND($A129&lt;=IF(Calc!$C$36=999,360,Calc!$C$36),Calc!$C$22=1),CHOOSE(Calc!$C$3,INDEX('Snowball Engine'!$AH131:$AV131,Calc!$I$22),INDEX('Avalanche Engine'!$AH131:$AV131,Calc!$J$22),INDEX('My Order Engine'!$AH131:$AV131,Calc!$K$22)),"")</f>
        <v/>
      </c>
      <c r="T129" s="25" t="str">
        <f>IF(AND($A129&lt;=IF(Calc!$C$36=999,360,Calc!$C$36),Calc!$C$23=1),CHOOSE(Calc!$C$3,INDEX('Snowball Engine'!$AH131:$AV131,Calc!$I$23),INDEX('Avalanche Engine'!$AH131:$AV131,Calc!$J$23),INDEX('My Order Engine'!$AH131:$AV131,Calc!$K$23)),"")</f>
        <v/>
      </c>
      <c r="U129" s="25" t="str">
        <f>IF(AND($A129&lt;=IF(Calc!$C$36=999,360,Calc!$C$36),Calc!$C$24=1),CHOOSE(Calc!$C$3,INDEX('Snowball Engine'!$AH131:$AV131,Calc!$I$24),INDEX('Avalanche Engine'!$AH131:$AV131,Calc!$J$24),INDEX('My Order Engine'!$AH131:$AV131,Calc!$K$24)),"")</f>
        <v/>
      </c>
    </row>
    <row r="130" spans="1:21" x14ac:dyDescent="0.35">
      <c r="A130" s="23">
        <v>126</v>
      </c>
      <c r="B130" s="24" t="str">
        <f>IF($A130&lt;=IF(Calc!$C$36=999,360,Calc!$C$36),EDATE(Calc!$C$5,A130-1),"")</f>
        <v/>
      </c>
      <c r="C130" s="25" t="str">
        <f>IF($A130&lt;=IF(Calc!$C$36=999,360,Calc!$C$36),CHOOSE(Calc!$C$3,'Snowball Engine'!AY132,'Avalanche Engine'!AY132,'My Order Engine'!AY132),"")</f>
        <v/>
      </c>
      <c r="D130" s="25" t="str">
        <f>IF($A130&lt;=IF(Calc!$C$36=999,360,Calc!$C$36),CHOOSE(Calc!$C$3,'Snowball Engine'!AX132,'Avalanche Engine'!AX132,'My Order Engine'!AX132),"")</f>
        <v/>
      </c>
      <c r="E130" s="25" t="str">
        <f>IF($A130&lt;=IF(Calc!$C$36=999,360,Calc!$C$36),C130-D130,"")</f>
        <v/>
      </c>
      <c r="F130" s="25" t="str">
        <f>IF($A130&lt;=IF(Calc!$C$36=999,360,Calc!$C$36),CHOOSE(Calc!$C$3,'Snowball Engine'!AW132,'Avalanche Engine'!AW132,'My Order Engine'!AW132),"")</f>
        <v/>
      </c>
      <c r="G130" s="25" t="str">
        <f>IF(AND($A130&lt;=IF(Calc!$C$36=999,360,Calc!$C$36),Calc!$C$10=1),CHOOSE(Calc!$C$3,INDEX('Snowball Engine'!$AH132:$AV132,Calc!$I$10),INDEX('Avalanche Engine'!$AH132:$AV132,Calc!$J$10),INDEX('My Order Engine'!$AH132:$AV132,Calc!$K$10)),"")</f>
        <v/>
      </c>
      <c r="H130" s="25" t="str">
        <f>IF(AND($A130&lt;=IF(Calc!$C$36=999,360,Calc!$C$36),Calc!$C$11=1),CHOOSE(Calc!$C$3,INDEX('Snowball Engine'!$AH132:$AV132,Calc!$I$11),INDEX('Avalanche Engine'!$AH132:$AV132,Calc!$J$11),INDEX('My Order Engine'!$AH132:$AV132,Calc!$K$11)),"")</f>
        <v/>
      </c>
      <c r="I130" s="25" t="str">
        <f>IF(AND($A130&lt;=IF(Calc!$C$36=999,360,Calc!$C$36),Calc!$C$12=1),CHOOSE(Calc!$C$3,INDEX('Snowball Engine'!$AH132:$AV132,Calc!$I$12),INDEX('Avalanche Engine'!$AH132:$AV132,Calc!$J$12),INDEX('My Order Engine'!$AH132:$AV132,Calc!$K$12)),"")</f>
        <v/>
      </c>
      <c r="J130" s="25" t="str">
        <f>IF(AND($A130&lt;=IF(Calc!$C$36=999,360,Calc!$C$36),Calc!$C$13=1),CHOOSE(Calc!$C$3,INDEX('Snowball Engine'!$AH132:$AV132,Calc!$I$13),INDEX('Avalanche Engine'!$AH132:$AV132,Calc!$J$13),INDEX('My Order Engine'!$AH132:$AV132,Calc!$K$13)),"")</f>
        <v/>
      </c>
      <c r="K130" s="25" t="str">
        <f>IF(AND($A130&lt;=IF(Calc!$C$36=999,360,Calc!$C$36),Calc!$C$14=1),CHOOSE(Calc!$C$3,INDEX('Snowball Engine'!$AH132:$AV132,Calc!$I$14),INDEX('Avalanche Engine'!$AH132:$AV132,Calc!$J$14),INDEX('My Order Engine'!$AH132:$AV132,Calc!$K$14)),"")</f>
        <v/>
      </c>
      <c r="L130" s="25" t="str">
        <f>IF(AND($A130&lt;=IF(Calc!$C$36=999,360,Calc!$C$36),Calc!$C$15=1),CHOOSE(Calc!$C$3,INDEX('Snowball Engine'!$AH132:$AV132,Calc!$I$15),INDEX('Avalanche Engine'!$AH132:$AV132,Calc!$J$15),INDEX('My Order Engine'!$AH132:$AV132,Calc!$K$15)),"")</f>
        <v/>
      </c>
      <c r="M130" s="25" t="str">
        <f>IF(AND($A130&lt;=IF(Calc!$C$36=999,360,Calc!$C$36),Calc!$C$16=1),CHOOSE(Calc!$C$3,INDEX('Snowball Engine'!$AH132:$AV132,Calc!$I$16),INDEX('Avalanche Engine'!$AH132:$AV132,Calc!$J$16),INDEX('My Order Engine'!$AH132:$AV132,Calc!$K$16)),"")</f>
        <v/>
      </c>
      <c r="N130" s="25" t="str">
        <f>IF(AND($A130&lt;=IF(Calc!$C$36=999,360,Calc!$C$36),Calc!$C$17=1),CHOOSE(Calc!$C$3,INDEX('Snowball Engine'!$AH132:$AV132,Calc!$I$17),INDEX('Avalanche Engine'!$AH132:$AV132,Calc!$J$17),INDEX('My Order Engine'!$AH132:$AV132,Calc!$K$17)),"")</f>
        <v/>
      </c>
      <c r="O130" s="25" t="str">
        <f>IF(AND($A130&lt;=IF(Calc!$C$36=999,360,Calc!$C$36),Calc!$C$18=1),CHOOSE(Calc!$C$3,INDEX('Snowball Engine'!$AH132:$AV132,Calc!$I$18),INDEX('Avalanche Engine'!$AH132:$AV132,Calc!$J$18),INDEX('My Order Engine'!$AH132:$AV132,Calc!$K$18)),"")</f>
        <v/>
      </c>
      <c r="P130" s="25" t="str">
        <f>IF(AND($A130&lt;=IF(Calc!$C$36=999,360,Calc!$C$36),Calc!$C$19=1),CHOOSE(Calc!$C$3,INDEX('Snowball Engine'!$AH132:$AV132,Calc!$I$19),INDEX('Avalanche Engine'!$AH132:$AV132,Calc!$J$19),INDEX('My Order Engine'!$AH132:$AV132,Calc!$K$19)),"")</f>
        <v/>
      </c>
      <c r="Q130" s="25" t="str">
        <f>IF(AND($A130&lt;=IF(Calc!$C$36=999,360,Calc!$C$36),Calc!$C$20=1),CHOOSE(Calc!$C$3,INDEX('Snowball Engine'!$AH132:$AV132,Calc!$I$20),INDEX('Avalanche Engine'!$AH132:$AV132,Calc!$J$20),INDEX('My Order Engine'!$AH132:$AV132,Calc!$K$20)),"")</f>
        <v/>
      </c>
      <c r="R130" s="25" t="str">
        <f>IF(AND($A130&lt;=IF(Calc!$C$36=999,360,Calc!$C$36),Calc!$C$21=1),CHOOSE(Calc!$C$3,INDEX('Snowball Engine'!$AH132:$AV132,Calc!$I$21),INDEX('Avalanche Engine'!$AH132:$AV132,Calc!$J$21),INDEX('My Order Engine'!$AH132:$AV132,Calc!$K$21)),"")</f>
        <v/>
      </c>
      <c r="S130" s="25" t="str">
        <f>IF(AND($A130&lt;=IF(Calc!$C$36=999,360,Calc!$C$36),Calc!$C$22=1),CHOOSE(Calc!$C$3,INDEX('Snowball Engine'!$AH132:$AV132,Calc!$I$22),INDEX('Avalanche Engine'!$AH132:$AV132,Calc!$J$22),INDEX('My Order Engine'!$AH132:$AV132,Calc!$K$22)),"")</f>
        <v/>
      </c>
      <c r="T130" s="25" t="str">
        <f>IF(AND($A130&lt;=IF(Calc!$C$36=999,360,Calc!$C$36),Calc!$C$23=1),CHOOSE(Calc!$C$3,INDEX('Snowball Engine'!$AH132:$AV132,Calc!$I$23),INDEX('Avalanche Engine'!$AH132:$AV132,Calc!$J$23),INDEX('My Order Engine'!$AH132:$AV132,Calc!$K$23)),"")</f>
        <v/>
      </c>
      <c r="U130" s="25" t="str">
        <f>IF(AND($A130&lt;=IF(Calc!$C$36=999,360,Calc!$C$36),Calc!$C$24=1),CHOOSE(Calc!$C$3,INDEX('Snowball Engine'!$AH132:$AV132,Calc!$I$24),INDEX('Avalanche Engine'!$AH132:$AV132,Calc!$J$24),INDEX('My Order Engine'!$AH132:$AV132,Calc!$K$24)),"")</f>
        <v/>
      </c>
    </row>
    <row r="131" spans="1:21" x14ac:dyDescent="0.35">
      <c r="A131" s="23">
        <v>127</v>
      </c>
      <c r="B131" s="24" t="str">
        <f>IF($A131&lt;=IF(Calc!$C$36=999,360,Calc!$C$36),EDATE(Calc!$C$5,A131-1),"")</f>
        <v/>
      </c>
      <c r="C131" s="25" t="str">
        <f>IF($A131&lt;=IF(Calc!$C$36=999,360,Calc!$C$36),CHOOSE(Calc!$C$3,'Snowball Engine'!AY133,'Avalanche Engine'!AY133,'My Order Engine'!AY133),"")</f>
        <v/>
      </c>
      <c r="D131" s="25" t="str">
        <f>IF($A131&lt;=IF(Calc!$C$36=999,360,Calc!$C$36),CHOOSE(Calc!$C$3,'Snowball Engine'!AX133,'Avalanche Engine'!AX133,'My Order Engine'!AX133),"")</f>
        <v/>
      </c>
      <c r="E131" s="25" t="str">
        <f>IF($A131&lt;=IF(Calc!$C$36=999,360,Calc!$C$36),C131-D131,"")</f>
        <v/>
      </c>
      <c r="F131" s="25" t="str">
        <f>IF($A131&lt;=IF(Calc!$C$36=999,360,Calc!$C$36),CHOOSE(Calc!$C$3,'Snowball Engine'!AW133,'Avalanche Engine'!AW133,'My Order Engine'!AW133),"")</f>
        <v/>
      </c>
      <c r="G131" s="25" t="str">
        <f>IF(AND($A131&lt;=IF(Calc!$C$36=999,360,Calc!$C$36),Calc!$C$10=1),CHOOSE(Calc!$C$3,INDEX('Snowball Engine'!$AH133:$AV133,Calc!$I$10),INDEX('Avalanche Engine'!$AH133:$AV133,Calc!$J$10),INDEX('My Order Engine'!$AH133:$AV133,Calc!$K$10)),"")</f>
        <v/>
      </c>
      <c r="H131" s="25" t="str">
        <f>IF(AND($A131&lt;=IF(Calc!$C$36=999,360,Calc!$C$36),Calc!$C$11=1),CHOOSE(Calc!$C$3,INDEX('Snowball Engine'!$AH133:$AV133,Calc!$I$11),INDEX('Avalanche Engine'!$AH133:$AV133,Calc!$J$11),INDEX('My Order Engine'!$AH133:$AV133,Calc!$K$11)),"")</f>
        <v/>
      </c>
      <c r="I131" s="25" t="str">
        <f>IF(AND($A131&lt;=IF(Calc!$C$36=999,360,Calc!$C$36),Calc!$C$12=1),CHOOSE(Calc!$C$3,INDEX('Snowball Engine'!$AH133:$AV133,Calc!$I$12),INDEX('Avalanche Engine'!$AH133:$AV133,Calc!$J$12),INDEX('My Order Engine'!$AH133:$AV133,Calc!$K$12)),"")</f>
        <v/>
      </c>
      <c r="J131" s="25" t="str">
        <f>IF(AND($A131&lt;=IF(Calc!$C$36=999,360,Calc!$C$36),Calc!$C$13=1),CHOOSE(Calc!$C$3,INDEX('Snowball Engine'!$AH133:$AV133,Calc!$I$13),INDEX('Avalanche Engine'!$AH133:$AV133,Calc!$J$13),INDEX('My Order Engine'!$AH133:$AV133,Calc!$K$13)),"")</f>
        <v/>
      </c>
      <c r="K131" s="25" t="str">
        <f>IF(AND($A131&lt;=IF(Calc!$C$36=999,360,Calc!$C$36),Calc!$C$14=1),CHOOSE(Calc!$C$3,INDEX('Snowball Engine'!$AH133:$AV133,Calc!$I$14),INDEX('Avalanche Engine'!$AH133:$AV133,Calc!$J$14),INDEX('My Order Engine'!$AH133:$AV133,Calc!$K$14)),"")</f>
        <v/>
      </c>
      <c r="L131" s="25" t="str">
        <f>IF(AND($A131&lt;=IF(Calc!$C$36=999,360,Calc!$C$36),Calc!$C$15=1),CHOOSE(Calc!$C$3,INDEX('Snowball Engine'!$AH133:$AV133,Calc!$I$15),INDEX('Avalanche Engine'!$AH133:$AV133,Calc!$J$15),INDEX('My Order Engine'!$AH133:$AV133,Calc!$K$15)),"")</f>
        <v/>
      </c>
      <c r="M131" s="25" t="str">
        <f>IF(AND($A131&lt;=IF(Calc!$C$36=999,360,Calc!$C$36),Calc!$C$16=1),CHOOSE(Calc!$C$3,INDEX('Snowball Engine'!$AH133:$AV133,Calc!$I$16),INDEX('Avalanche Engine'!$AH133:$AV133,Calc!$J$16),INDEX('My Order Engine'!$AH133:$AV133,Calc!$K$16)),"")</f>
        <v/>
      </c>
      <c r="N131" s="25" t="str">
        <f>IF(AND($A131&lt;=IF(Calc!$C$36=999,360,Calc!$C$36),Calc!$C$17=1),CHOOSE(Calc!$C$3,INDEX('Snowball Engine'!$AH133:$AV133,Calc!$I$17),INDEX('Avalanche Engine'!$AH133:$AV133,Calc!$J$17),INDEX('My Order Engine'!$AH133:$AV133,Calc!$K$17)),"")</f>
        <v/>
      </c>
      <c r="O131" s="25" t="str">
        <f>IF(AND($A131&lt;=IF(Calc!$C$36=999,360,Calc!$C$36),Calc!$C$18=1),CHOOSE(Calc!$C$3,INDEX('Snowball Engine'!$AH133:$AV133,Calc!$I$18),INDEX('Avalanche Engine'!$AH133:$AV133,Calc!$J$18),INDEX('My Order Engine'!$AH133:$AV133,Calc!$K$18)),"")</f>
        <v/>
      </c>
      <c r="P131" s="25" t="str">
        <f>IF(AND($A131&lt;=IF(Calc!$C$36=999,360,Calc!$C$36),Calc!$C$19=1),CHOOSE(Calc!$C$3,INDEX('Snowball Engine'!$AH133:$AV133,Calc!$I$19),INDEX('Avalanche Engine'!$AH133:$AV133,Calc!$J$19),INDEX('My Order Engine'!$AH133:$AV133,Calc!$K$19)),"")</f>
        <v/>
      </c>
      <c r="Q131" s="25" t="str">
        <f>IF(AND($A131&lt;=IF(Calc!$C$36=999,360,Calc!$C$36),Calc!$C$20=1),CHOOSE(Calc!$C$3,INDEX('Snowball Engine'!$AH133:$AV133,Calc!$I$20),INDEX('Avalanche Engine'!$AH133:$AV133,Calc!$J$20),INDEX('My Order Engine'!$AH133:$AV133,Calc!$K$20)),"")</f>
        <v/>
      </c>
      <c r="R131" s="25" t="str">
        <f>IF(AND($A131&lt;=IF(Calc!$C$36=999,360,Calc!$C$36),Calc!$C$21=1),CHOOSE(Calc!$C$3,INDEX('Snowball Engine'!$AH133:$AV133,Calc!$I$21),INDEX('Avalanche Engine'!$AH133:$AV133,Calc!$J$21),INDEX('My Order Engine'!$AH133:$AV133,Calc!$K$21)),"")</f>
        <v/>
      </c>
      <c r="S131" s="25" t="str">
        <f>IF(AND($A131&lt;=IF(Calc!$C$36=999,360,Calc!$C$36),Calc!$C$22=1),CHOOSE(Calc!$C$3,INDEX('Snowball Engine'!$AH133:$AV133,Calc!$I$22),INDEX('Avalanche Engine'!$AH133:$AV133,Calc!$J$22),INDEX('My Order Engine'!$AH133:$AV133,Calc!$K$22)),"")</f>
        <v/>
      </c>
      <c r="T131" s="25" t="str">
        <f>IF(AND($A131&lt;=IF(Calc!$C$36=999,360,Calc!$C$36),Calc!$C$23=1),CHOOSE(Calc!$C$3,INDEX('Snowball Engine'!$AH133:$AV133,Calc!$I$23),INDEX('Avalanche Engine'!$AH133:$AV133,Calc!$J$23),INDEX('My Order Engine'!$AH133:$AV133,Calc!$K$23)),"")</f>
        <v/>
      </c>
      <c r="U131" s="25" t="str">
        <f>IF(AND($A131&lt;=IF(Calc!$C$36=999,360,Calc!$C$36),Calc!$C$24=1),CHOOSE(Calc!$C$3,INDEX('Snowball Engine'!$AH133:$AV133,Calc!$I$24),INDEX('Avalanche Engine'!$AH133:$AV133,Calc!$J$24),INDEX('My Order Engine'!$AH133:$AV133,Calc!$K$24)),"")</f>
        <v/>
      </c>
    </row>
    <row r="132" spans="1:21" x14ac:dyDescent="0.35">
      <c r="A132" s="23">
        <v>128</v>
      </c>
      <c r="B132" s="24" t="str">
        <f>IF($A132&lt;=IF(Calc!$C$36=999,360,Calc!$C$36),EDATE(Calc!$C$5,A132-1),"")</f>
        <v/>
      </c>
      <c r="C132" s="25" t="str">
        <f>IF($A132&lt;=IF(Calc!$C$36=999,360,Calc!$C$36),CHOOSE(Calc!$C$3,'Snowball Engine'!AY134,'Avalanche Engine'!AY134,'My Order Engine'!AY134),"")</f>
        <v/>
      </c>
      <c r="D132" s="25" t="str">
        <f>IF($A132&lt;=IF(Calc!$C$36=999,360,Calc!$C$36),CHOOSE(Calc!$C$3,'Snowball Engine'!AX134,'Avalanche Engine'!AX134,'My Order Engine'!AX134),"")</f>
        <v/>
      </c>
      <c r="E132" s="25" t="str">
        <f>IF($A132&lt;=IF(Calc!$C$36=999,360,Calc!$C$36),C132-D132,"")</f>
        <v/>
      </c>
      <c r="F132" s="25" t="str">
        <f>IF($A132&lt;=IF(Calc!$C$36=999,360,Calc!$C$36),CHOOSE(Calc!$C$3,'Snowball Engine'!AW134,'Avalanche Engine'!AW134,'My Order Engine'!AW134),"")</f>
        <v/>
      </c>
      <c r="G132" s="25" t="str">
        <f>IF(AND($A132&lt;=IF(Calc!$C$36=999,360,Calc!$C$36),Calc!$C$10=1),CHOOSE(Calc!$C$3,INDEX('Snowball Engine'!$AH134:$AV134,Calc!$I$10),INDEX('Avalanche Engine'!$AH134:$AV134,Calc!$J$10),INDEX('My Order Engine'!$AH134:$AV134,Calc!$K$10)),"")</f>
        <v/>
      </c>
      <c r="H132" s="25" t="str">
        <f>IF(AND($A132&lt;=IF(Calc!$C$36=999,360,Calc!$C$36),Calc!$C$11=1),CHOOSE(Calc!$C$3,INDEX('Snowball Engine'!$AH134:$AV134,Calc!$I$11),INDEX('Avalanche Engine'!$AH134:$AV134,Calc!$J$11),INDEX('My Order Engine'!$AH134:$AV134,Calc!$K$11)),"")</f>
        <v/>
      </c>
      <c r="I132" s="25" t="str">
        <f>IF(AND($A132&lt;=IF(Calc!$C$36=999,360,Calc!$C$36),Calc!$C$12=1),CHOOSE(Calc!$C$3,INDEX('Snowball Engine'!$AH134:$AV134,Calc!$I$12),INDEX('Avalanche Engine'!$AH134:$AV134,Calc!$J$12),INDEX('My Order Engine'!$AH134:$AV134,Calc!$K$12)),"")</f>
        <v/>
      </c>
      <c r="J132" s="25" t="str">
        <f>IF(AND($A132&lt;=IF(Calc!$C$36=999,360,Calc!$C$36),Calc!$C$13=1),CHOOSE(Calc!$C$3,INDEX('Snowball Engine'!$AH134:$AV134,Calc!$I$13),INDEX('Avalanche Engine'!$AH134:$AV134,Calc!$J$13),INDEX('My Order Engine'!$AH134:$AV134,Calc!$K$13)),"")</f>
        <v/>
      </c>
      <c r="K132" s="25" t="str">
        <f>IF(AND($A132&lt;=IF(Calc!$C$36=999,360,Calc!$C$36),Calc!$C$14=1),CHOOSE(Calc!$C$3,INDEX('Snowball Engine'!$AH134:$AV134,Calc!$I$14),INDEX('Avalanche Engine'!$AH134:$AV134,Calc!$J$14),INDEX('My Order Engine'!$AH134:$AV134,Calc!$K$14)),"")</f>
        <v/>
      </c>
      <c r="L132" s="25" t="str">
        <f>IF(AND($A132&lt;=IF(Calc!$C$36=999,360,Calc!$C$36),Calc!$C$15=1),CHOOSE(Calc!$C$3,INDEX('Snowball Engine'!$AH134:$AV134,Calc!$I$15),INDEX('Avalanche Engine'!$AH134:$AV134,Calc!$J$15),INDEX('My Order Engine'!$AH134:$AV134,Calc!$K$15)),"")</f>
        <v/>
      </c>
      <c r="M132" s="25" t="str">
        <f>IF(AND($A132&lt;=IF(Calc!$C$36=999,360,Calc!$C$36),Calc!$C$16=1),CHOOSE(Calc!$C$3,INDEX('Snowball Engine'!$AH134:$AV134,Calc!$I$16),INDEX('Avalanche Engine'!$AH134:$AV134,Calc!$J$16),INDEX('My Order Engine'!$AH134:$AV134,Calc!$K$16)),"")</f>
        <v/>
      </c>
      <c r="N132" s="25" t="str">
        <f>IF(AND($A132&lt;=IF(Calc!$C$36=999,360,Calc!$C$36),Calc!$C$17=1),CHOOSE(Calc!$C$3,INDEX('Snowball Engine'!$AH134:$AV134,Calc!$I$17),INDEX('Avalanche Engine'!$AH134:$AV134,Calc!$J$17),INDEX('My Order Engine'!$AH134:$AV134,Calc!$K$17)),"")</f>
        <v/>
      </c>
      <c r="O132" s="25" t="str">
        <f>IF(AND($A132&lt;=IF(Calc!$C$36=999,360,Calc!$C$36),Calc!$C$18=1),CHOOSE(Calc!$C$3,INDEX('Snowball Engine'!$AH134:$AV134,Calc!$I$18),INDEX('Avalanche Engine'!$AH134:$AV134,Calc!$J$18),INDEX('My Order Engine'!$AH134:$AV134,Calc!$K$18)),"")</f>
        <v/>
      </c>
      <c r="P132" s="25" t="str">
        <f>IF(AND($A132&lt;=IF(Calc!$C$36=999,360,Calc!$C$36),Calc!$C$19=1),CHOOSE(Calc!$C$3,INDEX('Snowball Engine'!$AH134:$AV134,Calc!$I$19),INDEX('Avalanche Engine'!$AH134:$AV134,Calc!$J$19),INDEX('My Order Engine'!$AH134:$AV134,Calc!$K$19)),"")</f>
        <v/>
      </c>
      <c r="Q132" s="25" t="str">
        <f>IF(AND($A132&lt;=IF(Calc!$C$36=999,360,Calc!$C$36),Calc!$C$20=1),CHOOSE(Calc!$C$3,INDEX('Snowball Engine'!$AH134:$AV134,Calc!$I$20),INDEX('Avalanche Engine'!$AH134:$AV134,Calc!$J$20),INDEX('My Order Engine'!$AH134:$AV134,Calc!$K$20)),"")</f>
        <v/>
      </c>
      <c r="R132" s="25" t="str">
        <f>IF(AND($A132&lt;=IF(Calc!$C$36=999,360,Calc!$C$36),Calc!$C$21=1),CHOOSE(Calc!$C$3,INDEX('Snowball Engine'!$AH134:$AV134,Calc!$I$21),INDEX('Avalanche Engine'!$AH134:$AV134,Calc!$J$21),INDEX('My Order Engine'!$AH134:$AV134,Calc!$K$21)),"")</f>
        <v/>
      </c>
      <c r="S132" s="25" t="str">
        <f>IF(AND($A132&lt;=IF(Calc!$C$36=999,360,Calc!$C$36),Calc!$C$22=1),CHOOSE(Calc!$C$3,INDEX('Snowball Engine'!$AH134:$AV134,Calc!$I$22),INDEX('Avalanche Engine'!$AH134:$AV134,Calc!$J$22),INDEX('My Order Engine'!$AH134:$AV134,Calc!$K$22)),"")</f>
        <v/>
      </c>
      <c r="T132" s="25" t="str">
        <f>IF(AND($A132&lt;=IF(Calc!$C$36=999,360,Calc!$C$36),Calc!$C$23=1),CHOOSE(Calc!$C$3,INDEX('Snowball Engine'!$AH134:$AV134,Calc!$I$23),INDEX('Avalanche Engine'!$AH134:$AV134,Calc!$J$23),INDEX('My Order Engine'!$AH134:$AV134,Calc!$K$23)),"")</f>
        <v/>
      </c>
      <c r="U132" s="25" t="str">
        <f>IF(AND($A132&lt;=IF(Calc!$C$36=999,360,Calc!$C$36),Calc!$C$24=1),CHOOSE(Calc!$C$3,INDEX('Snowball Engine'!$AH134:$AV134,Calc!$I$24),INDEX('Avalanche Engine'!$AH134:$AV134,Calc!$J$24),INDEX('My Order Engine'!$AH134:$AV134,Calc!$K$24)),"")</f>
        <v/>
      </c>
    </row>
    <row r="133" spans="1:21" x14ac:dyDescent="0.35">
      <c r="A133" s="23">
        <v>129</v>
      </c>
      <c r="B133" s="24" t="str">
        <f>IF($A133&lt;=IF(Calc!$C$36=999,360,Calc!$C$36),EDATE(Calc!$C$5,A133-1),"")</f>
        <v/>
      </c>
      <c r="C133" s="25" t="str">
        <f>IF($A133&lt;=IF(Calc!$C$36=999,360,Calc!$C$36),CHOOSE(Calc!$C$3,'Snowball Engine'!AY135,'Avalanche Engine'!AY135,'My Order Engine'!AY135),"")</f>
        <v/>
      </c>
      <c r="D133" s="25" t="str">
        <f>IF($A133&lt;=IF(Calc!$C$36=999,360,Calc!$C$36),CHOOSE(Calc!$C$3,'Snowball Engine'!AX135,'Avalanche Engine'!AX135,'My Order Engine'!AX135),"")</f>
        <v/>
      </c>
      <c r="E133" s="25" t="str">
        <f>IF($A133&lt;=IF(Calc!$C$36=999,360,Calc!$C$36),C133-D133,"")</f>
        <v/>
      </c>
      <c r="F133" s="25" t="str">
        <f>IF($A133&lt;=IF(Calc!$C$36=999,360,Calc!$C$36),CHOOSE(Calc!$C$3,'Snowball Engine'!AW135,'Avalanche Engine'!AW135,'My Order Engine'!AW135),"")</f>
        <v/>
      </c>
      <c r="G133" s="25" t="str">
        <f>IF(AND($A133&lt;=IF(Calc!$C$36=999,360,Calc!$C$36),Calc!$C$10=1),CHOOSE(Calc!$C$3,INDEX('Snowball Engine'!$AH135:$AV135,Calc!$I$10),INDEX('Avalanche Engine'!$AH135:$AV135,Calc!$J$10),INDEX('My Order Engine'!$AH135:$AV135,Calc!$K$10)),"")</f>
        <v/>
      </c>
      <c r="H133" s="25" t="str">
        <f>IF(AND($A133&lt;=IF(Calc!$C$36=999,360,Calc!$C$36),Calc!$C$11=1),CHOOSE(Calc!$C$3,INDEX('Snowball Engine'!$AH135:$AV135,Calc!$I$11),INDEX('Avalanche Engine'!$AH135:$AV135,Calc!$J$11),INDEX('My Order Engine'!$AH135:$AV135,Calc!$K$11)),"")</f>
        <v/>
      </c>
      <c r="I133" s="25" t="str">
        <f>IF(AND($A133&lt;=IF(Calc!$C$36=999,360,Calc!$C$36),Calc!$C$12=1),CHOOSE(Calc!$C$3,INDEX('Snowball Engine'!$AH135:$AV135,Calc!$I$12),INDEX('Avalanche Engine'!$AH135:$AV135,Calc!$J$12),INDEX('My Order Engine'!$AH135:$AV135,Calc!$K$12)),"")</f>
        <v/>
      </c>
      <c r="J133" s="25" t="str">
        <f>IF(AND($A133&lt;=IF(Calc!$C$36=999,360,Calc!$C$36),Calc!$C$13=1),CHOOSE(Calc!$C$3,INDEX('Snowball Engine'!$AH135:$AV135,Calc!$I$13),INDEX('Avalanche Engine'!$AH135:$AV135,Calc!$J$13),INDEX('My Order Engine'!$AH135:$AV135,Calc!$K$13)),"")</f>
        <v/>
      </c>
      <c r="K133" s="25" t="str">
        <f>IF(AND($A133&lt;=IF(Calc!$C$36=999,360,Calc!$C$36),Calc!$C$14=1),CHOOSE(Calc!$C$3,INDEX('Snowball Engine'!$AH135:$AV135,Calc!$I$14),INDEX('Avalanche Engine'!$AH135:$AV135,Calc!$J$14),INDEX('My Order Engine'!$AH135:$AV135,Calc!$K$14)),"")</f>
        <v/>
      </c>
      <c r="L133" s="25" t="str">
        <f>IF(AND($A133&lt;=IF(Calc!$C$36=999,360,Calc!$C$36),Calc!$C$15=1),CHOOSE(Calc!$C$3,INDEX('Snowball Engine'!$AH135:$AV135,Calc!$I$15),INDEX('Avalanche Engine'!$AH135:$AV135,Calc!$J$15),INDEX('My Order Engine'!$AH135:$AV135,Calc!$K$15)),"")</f>
        <v/>
      </c>
      <c r="M133" s="25" t="str">
        <f>IF(AND($A133&lt;=IF(Calc!$C$36=999,360,Calc!$C$36),Calc!$C$16=1),CHOOSE(Calc!$C$3,INDEX('Snowball Engine'!$AH135:$AV135,Calc!$I$16),INDEX('Avalanche Engine'!$AH135:$AV135,Calc!$J$16),INDEX('My Order Engine'!$AH135:$AV135,Calc!$K$16)),"")</f>
        <v/>
      </c>
      <c r="N133" s="25" t="str">
        <f>IF(AND($A133&lt;=IF(Calc!$C$36=999,360,Calc!$C$36),Calc!$C$17=1),CHOOSE(Calc!$C$3,INDEX('Snowball Engine'!$AH135:$AV135,Calc!$I$17),INDEX('Avalanche Engine'!$AH135:$AV135,Calc!$J$17),INDEX('My Order Engine'!$AH135:$AV135,Calc!$K$17)),"")</f>
        <v/>
      </c>
      <c r="O133" s="25" t="str">
        <f>IF(AND($A133&lt;=IF(Calc!$C$36=999,360,Calc!$C$36),Calc!$C$18=1),CHOOSE(Calc!$C$3,INDEX('Snowball Engine'!$AH135:$AV135,Calc!$I$18),INDEX('Avalanche Engine'!$AH135:$AV135,Calc!$J$18),INDEX('My Order Engine'!$AH135:$AV135,Calc!$K$18)),"")</f>
        <v/>
      </c>
      <c r="P133" s="25" t="str">
        <f>IF(AND($A133&lt;=IF(Calc!$C$36=999,360,Calc!$C$36),Calc!$C$19=1),CHOOSE(Calc!$C$3,INDEX('Snowball Engine'!$AH135:$AV135,Calc!$I$19),INDEX('Avalanche Engine'!$AH135:$AV135,Calc!$J$19),INDEX('My Order Engine'!$AH135:$AV135,Calc!$K$19)),"")</f>
        <v/>
      </c>
      <c r="Q133" s="25" t="str">
        <f>IF(AND($A133&lt;=IF(Calc!$C$36=999,360,Calc!$C$36),Calc!$C$20=1),CHOOSE(Calc!$C$3,INDEX('Snowball Engine'!$AH135:$AV135,Calc!$I$20),INDEX('Avalanche Engine'!$AH135:$AV135,Calc!$J$20),INDEX('My Order Engine'!$AH135:$AV135,Calc!$K$20)),"")</f>
        <v/>
      </c>
      <c r="R133" s="25" t="str">
        <f>IF(AND($A133&lt;=IF(Calc!$C$36=999,360,Calc!$C$36),Calc!$C$21=1),CHOOSE(Calc!$C$3,INDEX('Snowball Engine'!$AH135:$AV135,Calc!$I$21),INDEX('Avalanche Engine'!$AH135:$AV135,Calc!$J$21),INDEX('My Order Engine'!$AH135:$AV135,Calc!$K$21)),"")</f>
        <v/>
      </c>
      <c r="S133" s="25" t="str">
        <f>IF(AND($A133&lt;=IF(Calc!$C$36=999,360,Calc!$C$36),Calc!$C$22=1),CHOOSE(Calc!$C$3,INDEX('Snowball Engine'!$AH135:$AV135,Calc!$I$22),INDEX('Avalanche Engine'!$AH135:$AV135,Calc!$J$22),INDEX('My Order Engine'!$AH135:$AV135,Calc!$K$22)),"")</f>
        <v/>
      </c>
      <c r="T133" s="25" t="str">
        <f>IF(AND($A133&lt;=IF(Calc!$C$36=999,360,Calc!$C$36),Calc!$C$23=1),CHOOSE(Calc!$C$3,INDEX('Snowball Engine'!$AH135:$AV135,Calc!$I$23),INDEX('Avalanche Engine'!$AH135:$AV135,Calc!$J$23),INDEX('My Order Engine'!$AH135:$AV135,Calc!$K$23)),"")</f>
        <v/>
      </c>
      <c r="U133" s="25" t="str">
        <f>IF(AND($A133&lt;=IF(Calc!$C$36=999,360,Calc!$C$36),Calc!$C$24=1),CHOOSE(Calc!$C$3,INDEX('Snowball Engine'!$AH135:$AV135,Calc!$I$24),INDEX('Avalanche Engine'!$AH135:$AV135,Calc!$J$24),INDEX('My Order Engine'!$AH135:$AV135,Calc!$K$24)),"")</f>
        <v/>
      </c>
    </row>
    <row r="134" spans="1:21" x14ac:dyDescent="0.35">
      <c r="A134" s="23">
        <v>130</v>
      </c>
      <c r="B134" s="24" t="str">
        <f>IF($A134&lt;=IF(Calc!$C$36=999,360,Calc!$C$36),EDATE(Calc!$C$5,A134-1),"")</f>
        <v/>
      </c>
      <c r="C134" s="25" t="str">
        <f>IF($A134&lt;=IF(Calc!$C$36=999,360,Calc!$C$36),CHOOSE(Calc!$C$3,'Snowball Engine'!AY136,'Avalanche Engine'!AY136,'My Order Engine'!AY136),"")</f>
        <v/>
      </c>
      <c r="D134" s="25" t="str">
        <f>IF($A134&lt;=IF(Calc!$C$36=999,360,Calc!$C$36),CHOOSE(Calc!$C$3,'Snowball Engine'!AX136,'Avalanche Engine'!AX136,'My Order Engine'!AX136),"")</f>
        <v/>
      </c>
      <c r="E134" s="25" t="str">
        <f>IF($A134&lt;=IF(Calc!$C$36=999,360,Calc!$C$36),C134-D134,"")</f>
        <v/>
      </c>
      <c r="F134" s="25" t="str">
        <f>IF($A134&lt;=IF(Calc!$C$36=999,360,Calc!$C$36),CHOOSE(Calc!$C$3,'Snowball Engine'!AW136,'Avalanche Engine'!AW136,'My Order Engine'!AW136),"")</f>
        <v/>
      </c>
      <c r="G134" s="25" t="str">
        <f>IF(AND($A134&lt;=IF(Calc!$C$36=999,360,Calc!$C$36),Calc!$C$10=1),CHOOSE(Calc!$C$3,INDEX('Snowball Engine'!$AH136:$AV136,Calc!$I$10),INDEX('Avalanche Engine'!$AH136:$AV136,Calc!$J$10),INDEX('My Order Engine'!$AH136:$AV136,Calc!$K$10)),"")</f>
        <v/>
      </c>
      <c r="H134" s="25" t="str">
        <f>IF(AND($A134&lt;=IF(Calc!$C$36=999,360,Calc!$C$36),Calc!$C$11=1),CHOOSE(Calc!$C$3,INDEX('Snowball Engine'!$AH136:$AV136,Calc!$I$11),INDEX('Avalanche Engine'!$AH136:$AV136,Calc!$J$11),INDEX('My Order Engine'!$AH136:$AV136,Calc!$K$11)),"")</f>
        <v/>
      </c>
      <c r="I134" s="25" t="str">
        <f>IF(AND($A134&lt;=IF(Calc!$C$36=999,360,Calc!$C$36),Calc!$C$12=1),CHOOSE(Calc!$C$3,INDEX('Snowball Engine'!$AH136:$AV136,Calc!$I$12),INDEX('Avalanche Engine'!$AH136:$AV136,Calc!$J$12),INDEX('My Order Engine'!$AH136:$AV136,Calc!$K$12)),"")</f>
        <v/>
      </c>
      <c r="J134" s="25" t="str">
        <f>IF(AND($A134&lt;=IF(Calc!$C$36=999,360,Calc!$C$36),Calc!$C$13=1),CHOOSE(Calc!$C$3,INDEX('Snowball Engine'!$AH136:$AV136,Calc!$I$13),INDEX('Avalanche Engine'!$AH136:$AV136,Calc!$J$13),INDEX('My Order Engine'!$AH136:$AV136,Calc!$K$13)),"")</f>
        <v/>
      </c>
      <c r="K134" s="25" t="str">
        <f>IF(AND($A134&lt;=IF(Calc!$C$36=999,360,Calc!$C$36),Calc!$C$14=1),CHOOSE(Calc!$C$3,INDEX('Snowball Engine'!$AH136:$AV136,Calc!$I$14),INDEX('Avalanche Engine'!$AH136:$AV136,Calc!$J$14),INDEX('My Order Engine'!$AH136:$AV136,Calc!$K$14)),"")</f>
        <v/>
      </c>
      <c r="L134" s="25" t="str">
        <f>IF(AND($A134&lt;=IF(Calc!$C$36=999,360,Calc!$C$36),Calc!$C$15=1),CHOOSE(Calc!$C$3,INDEX('Snowball Engine'!$AH136:$AV136,Calc!$I$15),INDEX('Avalanche Engine'!$AH136:$AV136,Calc!$J$15),INDEX('My Order Engine'!$AH136:$AV136,Calc!$K$15)),"")</f>
        <v/>
      </c>
      <c r="M134" s="25" t="str">
        <f>IF(AND($A134&lt;=IF(Calc!$C$36=999,360,Calc!$C$36),Calc!$C$16=1),CHOOSE(Calc!$C$3,INDEX('Snowball Engine'!$AH136:$AV136,Calc!$I$16),INDEX('Avalanche Engine'!$AH136:$AV136,Calc!$J$16),INDEX('My Order Engine'!$AH136:$AV136,Calc!$K$16)),"")</f>
        <v/>
      </c>
      <c r="N134" s="25" t="str">
        <f>IF(AND($A134&lt;=IF(Calc!$C$36=999,360,Calc!$C$36),Calc!$C$17=1),CHOOSE(Calc!$C$3,INDEX('Snowball Engine'!$AH136:$AV136,Calc!$I$17),INDEX('Avalanche Engine'!$AH136:$AV136,Calc!$J$17),INDEX('My Order Engine'!$AH136:$AV136,Calc!$K$17)),"")</f>
        <v/>
      </c>
      <c r="O134" s="25" t="str">
        <f>IF(AND($A134&lt;=IF(Calc!$C$36=999,360,Calc!$C$36),Calc!$C$18=1),CHOOSE(Calc!$C$3,INDEX('Snowball Engine'!$AH136:$AV136,Calc!$I$18),INDEX('Avalanche Engine'!$AH136:$AV136,Calc!$J$18),INDEX('My Order Engine'!$AH136:$AV136,Calc!$K$18)),"")</f>
        <v/>
      </c>
      <c r="P134" s="25" t="str">
        <f>IF(AND($A134&lt;=IF(Calc!$C$36=999,360,Calc!$C$36),Calc!$C$19=1),CHOOSE(Calc!$C$3,INDEX('Snowball Engine'!$AH136:$AV136,Calc!$I$19),INDEX('Avalanche Engine'!$AH136:$AV136,Calc!$J$19),INDEX('My Order Engine'!$AH136:$AV136,Calc!$K$19)),"")</f>
        <v/>
      </c>
      <c r="Q134" s="25" t="str">
        <f>IF(AND($A134&lt;=IF(Calc!$C$36=999,360,Calc!$C$36),Calc!$C$20=1),CHOOSE(Calc!$C$3,INDEX('Snowball Engine'!$AH136:$AV136,Calc!$I$20),INDEX('Avalanche Engine'!$AH136:$AV136,Calc!$J$20),INDEX('My Order Engine'!$AH136:$AV136,Calc!$K$20)),"")</f>
        <v/>
      </c>
      <c r="R134" s="25" t="str">
        <f>IF(AND($A134&lt;=IF(Calc!$C$36=999,360,Calc!$C$36),Calc!$C$21=1),CHOOSE(Calc!$C$3,INDEX('Snowball Engine'!$AH136:$AV136,Calc!$I$21),INDEX('Avalanche Engine'!$AH136:$AV136,Calc!$J$21),INDEX('My Order Engine'!$AH136:$AV136,Calc!$K$21)),"")</f>
        <v/>
      </c>
      <c r="S134" s="25" t="str">
        <f>IF(AND($A134&lt;=IF(Calc!$C$36=999,360,Calc!$C$36),Calc!$C$22=1),CHOOSE(Calc!$C$3,INDEX('Snowball Engine'!$AH136:$AV136,Calc!$I$22),INDEX('Avalanche Engine'!$AH136:$AV136,Calc!$J$22),INDEX('My Order Engine'!$AH136:$AV136,Calc!$K$22)),"")</f>
        <v/>
      </c>
      <c r="T134" s="25" t="str">
        <f>IF(AND($A134&lt;=IF(Calc!$C$36=999,360,Calc!$C$36),Calc!$C$23=1),CHOOSE(Calc!$C$3,INDEX('Snowball Engine'!$AH136:$AV136,Calc!$I$23),INDEX('Avalanche Engine'!$AH136:$AV136,Calc!$J$23),INDEX('My Order Engine'!$AH136:$AV136,Calc!$K$23)),"")</f>
        <v/>
      </c>
      <c r="U134" s="25" t="str">
        <f>IF(AND($A134&lt;=IF(Calc!$C$36=999,360,Calc!$C$36),Calc!$C$24=1),CHOOSE(Calc!$C$3,INDEX('Snowball Engine'!$AH136:$AV136,Calc!$I$24),INDEX('Avalanche Engine'!$AH136:$AV136,Calc!$J$24),INDEX('My Order Engine'!$AH136:$AV136,Calc!$K$24)),"")</f>
        <v/>
      </c>
    </row>
    <row r="135" spans="1:21" x14ac:dyDescent="0.35">
      <c r="A135" s="23">
        <v>131</v>
      </c>
      <c r="B135" s="24" t="str">
        <f>IF($A135&lt;=IF(Calc!$C$36=999,360,Calc!$C$36),EDATE(Calc!$C$5,A135-1),"")</f>
        <v/>
      </c>
      <c r="C135" s="25" t="str">
        <f>IF($A135&lt;=IF(Calc!$C$36=999,360,Calc!$C$36),CHOOSE(Calc!$C$3,'Snowball Engine'!AY137,'Avalanche Engine'!AY137,'My Order Engine'!AY137),"")</f>
        <v/>
      </c>
      <c r="D135" s="25" t="str">
        <f>IF($A135&lt;=IF(Calc!$C$36=999,360,Calc!$C$36),CHOOSE(Calc!$C$3,'Snowball Engine'!AX137,'Avalanche Engine'!AX137,'My Order Engine'!AX137),"")</f>
        <v/>
      </c>
      <c r="E135" s="25" t="str">
        <f>IF($A135&lt;=IF(Calc!$C$36=999,360,Calc!$C$36),C135-D135,"")</f>
        <v/>
      </c>
      <c r="F135" s="25" t="str">
        <f>IF($A135&lt;=IF(Calc!$C$36=999,360,Calc!$C$36),CHOOSE(Calc!$C$3,'Snowball Engine'!AW137,'Avalanche Engine'!AW137,'My Order Engine'!AW137),"")</f>
        <v/>
      </c>
      <c r="G135" s="25" t="str">
        <f>IF(AND($A135&lt;=IF(Calc!$C$36=999,360,Calc!$C$36),Calc!$C$10=1),CHOOSE(Calc!$C$3,INDEX('Snowball Engine'!$AH137:$AV137,Calc!$I$10),INDEX('Avalanche Engine'!$AH137:$AV137,Calc!$J$10),INDEX('My Order Engine'!$AH137:$AV137,Calc!$K$10)),"")</f>
        <v/>
      </c>
      <c r="H135" s="25" t="str">
        <f>IF(AND($A135&lt;=IF(Calc!$C$36=999,360,Calc!$C$36),Calc!$C$11=1),CHOOSE(Calc!$C$3,INDEX('Snowball Engine'!$AH137:$AV137,Calc!$I$11),INDEX('Avalanche Engine'!$AH137:$AV137,Calc!$J$11),INDEX('My Order Engine'!$AH137:$AV137,Calc!$K$11)),"")</f>
        <v/>
      </c>
      <c r="I135" s="25" t="str">
        <f>IF(AND($A135&lt;=IF(Calc!$C$36=999,360,Calc!$C$36),Calc!$C$12=1),CHOOSE(Calc!$C$3,INDEX('Snowball Engine'!$AH137:$AV137,Calc!$I$12),INDEX('Avalanche Engine'!$AH137:$AV137,Calc!$J$12),INDEX('My Order Engine'!$AH137:$AV137,Calc!$K$12)),"")</f>
        <v/>
      </c>
      <c r="J135" s="25" t="str">
        <f>IF(AND($A135&lt;=IF(Calc!$C$36=999,360,Calc!$C$36),Calc!$C$13=1),CHOOSE(Calc!$C$3,INDEX('Snowball Engine'!$AH137:$AV137,Calc!$I$13),INDEX('Avalanche Engine'!$AH137:$AV137,Calc!$J$13),INDEX('My Order Engine'!$AH137:$AV137,Calc!$K$13)),"")</f>
        <v/>
      </c>
      <c r="K135" s="25" t="str">
        <f>IF(AND($A135&lt;=IF(Calc!$C$36=999,360,Calc!$C$36),Calc!$C$14=1),CHOOSE(Calc!$C$3,INDEX('Snowball Engine'!$AH137:$AV137,Calc!$I$14),INDEX('Avalanche Engine'!$AH137:$AV137,Calc!$J$14),INDEX('My Order Engine'!$AH137:$AV137,Calc!$K$14)),"")</f>
        <v/>
      </c>
      <c r="L135" s="25" t="str">
        <f>IF(AND($A135&lt;=IF(Calc!$C$36=999,360,Calc!$C$36),Calc!$C$15=1),CHOOSE(Calc!$C$3,INDEX('Snowball Engine'!$AH137:$AV137,Calc!$I$15),INDEX('Avalanche Engine'!$AH137:$AV137,Calc!$J$15),INDEX('My Order Engine'!$AH137:$AV137,Calc!$K$15)),"")</f>
        <v/>
      </c>
      <c r="M135" s="25" t="str">
        <f>IF(AND($A135&lt;=IF(Calc!$C$36=999,360,Calc!$C$36),Calc!$C$16=1),CHOOSE(Calc!$C$3,INDEX('Snowball Engine'!$AH137:$AV137,Calc!$I$16),INDEX('Avalanche Engine'!$AH137:$AV137,Calc!$J$16),INDEX('My Order Engine'!$AH137:$AV137,Calc!$K$16)),"")</f>
        <v/>
      </c>
      <c r="N135" s="25" t="str">
        <f>IF(AND($A135&lt;=IF(Calc!$C$36=999,360,Calc!$C$36),Calc!$C$17=1),CHOOSE(Calc!$C$3,INDEX('Snowball Engine'!$AH137:$AV137,Calc!$I$17),INDEX('Avalanche Engine'!$AH137:$AV137,Calc!$J$17),INDEX('My Order Engine'!$AH137:$AV137,Calc!$K$17)),"")</f>
        <v/>
      </c>
      <c r="O135" s="25" t="str">
        <f>IF(AND($A135&lt;=IF(Calc!$C$36=999,360,Calc!$C$36),Calc!$C$18=1),CHOOSE(Calc!$C$3,INDEX('Snowball Engine'!$AH137:$AV137,Calc!$I$18),INDEX('Avalanche Engine'!$AH137:$AV137,Calc!$J$18),INDEX('My Order Engine'!$AH137:$AV137,Calc!$K$18)),"")</f>
        <v/>
      </c>
      <c r="P135" s="25" t="str">
        <f>IF(AND($A135&lt;=IF(Calc!$C$36=999,360,Calc!$C$36),Calc!$C$19=1),CHOOSE(Calc!$C$3,INDEX('Snowball Engine'!$AH137:$AV137,Calc!$I$19),INDEX('Avalanche Engine'!$AH137:$AV137,Calc!$J$19),INDEX('My Order Engine'!$AH137:$AV137,Calc!$K$19)),"")</f>
        <v/>
      </c>
      <c r="Q135" s="25" t="str">
        <f>IF(AND($A135&lt;=IF(Calc!$C$36=999,360,Calc!$C$36),Calc!$C$20=1),CHOOSE(Calc!$C$3,INDEX('Snowball Engine'!$AH137:$AV137,Calc!$I$20),INDEX('Avalanche Engine'!$AH137:$AV137,Calc!$J$20),INDEX('My Order Engine'!$AH137:$AV137,Calc!$K$20)),"")</f>
        <v/>
      </c>
      <c r="R135" s="25" t="str">
        <f>IF(AND($A135&lt;=IF(Calc!$C$36=999,360,Calc!$C$36),Calc!$C$21=1),CHOOSE(Calc!$C$3,INDEX('Snowball Engine'!$AH137:$AV137,Calc!$I$21),INDEX('Avalanche Engine'!$AH137:$AV137,Calc!$J$21),INDEX('My Order Engine'!$AH137:$AV137,Calc!$K$21)),"")</f>
        <v/>
      </c>
      <c r="S135" s="25" t="str">
        <f>IF(AND($A135&lt;=IF(Calc!$C$36=999,360,Calc!$C$36),Calc!$C$22=1),CHOOSE(Calc!$C$3,INDEX('Snowball Engine'!$AH137:$AV137,Calc!$I$22),INDEX('Avalanche Engine'!$AH137:$AV137,Calc!$J$22),INDEX('My Order Engine'!$AH137:$AV137,Calc!$K$22)),"")</f>
        <v/>
      </c>
      <c r="T135" s="25" t="str">
        <f>IF(AND($A135&lt;=IF(Calc!$C$36=999,360,Calc!$C$36),Calc!$C$23=1),CHOOSE(Calc!$C$3,INDEX('Snowball Engine'!$AH137:$AV137,Calc!$I$23),INDEX('Avalanche Engine'!$AH137:$AV137,Calc!$J$23),INDEX('My Order Engine'!$AH137:$AV137,Calc!$K$23)),"")</f>
        <v/>
      </c>
      <c r="U135" s="25" t="str">
        <f>IF(AND($A135&lt;=IF(Calc!$C$36=999,360,Calc!$C$36),Calc!$C$24=1),CHOOSE(Calc!$C$3,INDEX('Snowball Engine'!$AH137:$AV137,Calc!$I$24),INDEX('Avalanche Engine'!$AH137:$AV137,Calc!$J$24),INDEX('My Order Engine'!$AH137:$AV137,Calc!$K$24)),"")</f>
        <v/>
      </c>
    </row>
    <row r="136" spans="1:21" x14ac:dyDescent="0.35">
      <c r="A136" s="23">
        <v>132</v>
      </c>
      <c r="B136" s="24" t="str">
        <f>IF($A136&lt;=IF(Calc!$C$36=999,360,Calc!$C$36),EDATE(Calc!$C$5,A136-1),"")</f>
        <v/>
      </c>
      <c r="C136" s="25" t="str">
        <f>IF($A136&lt;=IF(Calc!$C$36=999,360,Calc!$C$36),CHOOSE(Calc!$C$3,'Snowball Engine'!AY138,'Avalanche Engine'!AY138,'My Order Engine'!AY138),"")</f>
        <v/>
      </c>
      <c r="D136" s="25" t="str">
        <f>IF($A136&lt;=IF(Calc!$C$36=999,360,Calc!$C$36),CHOOSE(Calc!$C$3,'Snowball Engine'!AX138,'Avalanche Engine'!AX138,'My Order Engine'!AX138),"")</f>
        <v/>
      </c>
      <c r="E136" s="25" t="str">
        <f>IF($A136&lt;=IF(Calc!$C$36=999,360,Calc!$C$36),C136-D136,"")</f>
        <v/>
      </c>
      <c r="F136" s="25" t="str">
        <f>IF($A136&lt;=IF(Calc!$C$36=999,360,Calc!$C$36),CHOOSE(Calc!$C$3,'Snowball Engine'!AW138,'Avalanche Engine'!AW138,'My Order Engine'!AW138),"")</f>
        <v/>
      </c>
      <c r="G136" s="25" t="str">
        <f>IF(AND($A136&lt;=IF(Calc!$C$36=999,360,Calc!$C$36),Calc!$C$10=1),CHOOSE(Calc!$C$3,INDEX('Snowball Engine'!$AH138:$AV138,Calc!$I$10),INDEX('Avalanche Engine'!$AH138:$AV138,Calc!$J$10),INDEX('My Order Engine'!$AH138:$AV138,Calc!$K$10)),"")</f>
        <v/>
      </c>
      <c r="H136" s="25" t="str">
        <f>IF(AND($A136&lt;=IF(Calc!$C$36=999,360,Calc!$C$36),Calc!$C$11=1),CHOOSE(Calc!$C$3,INDEX('Snowball Engine'!$AH138:$AV138,Calc!$I$11),INDEX('Avalanche Engine'!$AH138:$AV138,Calc!$J$11),INDEX('My Order Engine'!$AH138:$AV138,Calc!$K$11)),"")</f>
        <v/>
      </c>
      <c r="I136" s="25" t="str">
        <f>IF(AND($A136&lt;=IF(Calc!$C$36=999,360,Calc!$C$36),Calc!$C$12=1),CHOOSE(Calc!$C$3,INDEX('Snowball Engine'!$AH138:$AV138,Calc!$I$12),INDEX('Avalanche Engine'!$AH138:$AV138,Calc!$J$12),INDEX('My Order Engine'!$AH138:$AV138,Calc!$K$12)),"")</f>
        <v/>
      </c>
      <c r="J136" s="25" t="str">
        <f>IF(AND($A136&lt;=IF(Calc!$C$36=999,360,Calc!$C$36),Calc!$C$13=1),CHOOSE(Calc!$C$3,INDEX('Snowball Engine'!$AH138:$AV138,Calc!$I$13),INDEX('Avalanche Engine'!$AH138:$AV138,Calc!$J$13),INDEX('My Order Engine'!$AH138:$AV138,Calc!$K$13)),"")</f>
        <v/>
      </c>
      <c r="K136" s="25" t="str">
        <f>IF(AND($A136&lt;=IF(Calc!$C$36=999,360,Calc!$C$36),Calc!$C$14=1),CHOOSE(Calc!$C$3,INDEX('Snowball Engine'!$AH138:$AV138,Calc!$I$14),INDEX('Avalanche Engine'!$AH138:$AV138,Calc!$J$14),INDEX('My Order Engine'!$AH138:$AV138,Calc!$K$14)),"")</f>
        <v/>
      </c>
      <c r="L136" s="25" t="str">
        <f>IF(AND($A136&lt;=IF(Calc!$C$36=999,360,Calc!$C$36),Calc!$C$15=1),CHOOSE(Calc!$C$3,INDEX('Snowball Engine'!$AH138:$AV138,Calc!$I$15),INDEX('Avalanche Engine'!$AH138:$AV138,Calc!$J$15),INDEX('My Order Engine'!$AH138:$AV138,Calc!$K$15)),"")</f>
        <v/>
      </c>
      <c r="M136" s="25" t="str">
        <f>IF(AND($A136&lt;=IF(Calc!$C$36=999,360,Calc!$C$36),Calc!$C$16=1),CHOOSE(Calc!$C$3,INDEX('Snowball Engine'!$AH138:$AV138,Calc!$I$16),INDEX('Avalanche Engine'!$AH138:$AV138,Calc!$J$16),INDEX('My Order Engine'!$AH138:$AV138,Calc!$K$16)),"")</f>
        <v/>
      </c>
      <c r="N136" s="25" t="str">
        <f>IF(AND($A136&lt;=IF(Calc!$C$36=999,360,Calc!$C$36),Calc!$C$17=1),CHOOSE(Calc!$C$3,INDEX('Snowball Engine'!$AH138:$AV138,Calc!$I$17),INDEX('Avalanche Engine'!$AH138:$AV138,Calc!$J$17),INDEX('My Order Engine'!$AH138:$AV138,Calc!$K$17)),"")</f>
        <v/>
      </c>
      <c r="O136" s="25" t="str">
        <f>IF(AND($A136&lt;=IF(Calc!$C$36=999,360,Calc!$C$36),Calc!$C$18=1),CHOOSE(Calc!$C$3,INDEX('Snowball Engine'!$AH138:$AV138,Calc!$I$18),INDEX('Avalanche Engine'!$AH138:$AV138,Calc!$J$18),INDEX('My Order Engine'!$AH138:$AV138,Calc!$K$18)),"")</f>
        <v/>
      </c>
      <c r="P136" s="25" t="str">
        <f>IF(AND($A136&lt;=IF(Calc!$C$36=999,360,Calc!$C$36),Calc!$C$19=1),CHOOSE(Calc!$C$3,INDEX('Snowball Engine'!$AH138:$AV138,Calc!$I$19),INDEX('Avalanche Engine'!$AH138:$AV138,Calc!$J$19),INDEX('My Order Engine'!$AH138:$AV138,Calc!$K$19)),"")</f>
        <v/>
      </c>
      <c r="Q136" s="25" t="str">
        <f>IF(AND($A136&lt;=IF(Calc!$C$36=999,360,Calc!$C$36),Calc!$C$20=1),CHOOSE(Calc!$C$3,INDEX('Snowball Engine'!$AH138:$AV138,Calc!$I$20),INDEX('Avalanche Engine'!$AH138:$AV138,Calc!$J$20),INDEX('My Order Engine'!$AH138:$AV138,Calc!$K$20)),"")</f>
        <v/>
      </c>
      <c r="R136" s="25" t="str">
        <f>IF(AND($A136&lt;=IF(Calc!$C$36=999,360,Calc!$C$36),Calc!$C$21=1),CHOOSE(Calc!$C$3,INDEX('Snowball Engine'!$AH138:$AV138,Calc!$I$21),INDEX('Avalanche Engine'!$AH138:$AV138,Calc!$J$21),INDEX('My Order Engine'!$AH138:$AV138,Calc!$K$21)),"")</f>
        <v/>
      </c>
      <c r="S136" s="25" t="str">
        <f>IF(AND($A136&lt;=IF(Calc!$C$36=999,360,Calc!$C$36),Calc!$C$22=1),CHOOSE(Calc!$C$3,INDEX('Snowball Engine'!$AH138:$AV138,Calc!$I$22),INDEX('Avalanche Engine'!$AH138:$AV138,Calc!$J$22),INDEX('My Order Engine'!$AH138:$AV138,Calc!$K$22)),"")</f>
        <v/>
      </c>
      <c r="T136" s="25" t="str">
        <f>IF(AND($A136&lt;=IF(Calc!$C$36=999,360,Calc!$C$36),Calc!$C$23=1),CHOOSE(Calc!$C$3,INDEX('Snowball Engine'!$AH138:$AV138,Calc!$I$23),INDEX('Avalanche Engine'!$AH138:$AV138,Calc!$J$23),INDEX('My Order Engine'!$AH138:$AV138,Calc!$K$23)),"")</f>
        <v/>
      </c>
      <c r="U136" s="25" t="str">
        <f>IF(AND($A136&lt;=IF(Calc!$C$36=999,360,Calc!$C$36),Calc!$C$24=1),CHOOSE(Calc!$C$3,INDEX('Snowball Engine'!$AH138:$AV138,Calc!$I$24),INDEX('Avalanche Engine'!$AH138:$AV138,Calc!$J$24),INDEX('My Order Engine'!$AH138:$AV138,Calc!$K$24)),"")</f>
        <v/>
      </c>
    </row>
    <row r="137" spans="1:21" x14ac:dyDescent="0.35">
      <c r="A137" s="23">
        <v>133</v>
      </c>
      <c r="B137" s="24" t="str">
        <f>IF($A137&lt;=IF(Calc!$C$36=999,360,Calc!$C$36),EDATE(Calc!$C$5,A137-1),"")</f>
        <v/>
      </c>
      <c r="C137" s="25" t="str">
        <f>IF($A137&lt;=IF(Calc!$C$36=999,360,Calc!$C$36),CHOOSE(Calc!$C$3,'Snowball Engine'!AY139,'Avalanche Engine'!AY139,'My Order Engine'!AY139),"")</f>
        <v/>
      </c>
      <c r="D137" s="25" t="str">
        <f>IF($A137&lt;=IF(Calc!$C$36=999,360,Calc!$C$36),CHOOSE(Calc!$C$3,'Snowball Engine'!AX139,'Avalanche Engine'!AX139,'My Order Engine'!AX139),"")</f>
        <v/>
      </c>
      <c r="E137" s="25" t="str">
        <f>IF($A137&lt;=IF(Calc!$C$36=999,360,Calc!$C$36),C137-D137,"")</f>
        <v/>
      </c>
      <c r="F137" s="25" t="str">
        <f>IF($A137&lt;=IF(Calc!$C$36=999,360,Calc!$C$36),CHOOSE(Calc!$C$3,'Snowball Engine'!AW139,'Avalanche Engine'!AW139,'My Order Engine'!AW139),"")</f>
        <v/>
      </c>
      <c r="G137" s="25" t="str">
        <f>IF(AND($A137&lt;=IF(Calc!$C$36=999,360,Calc!$C$36),Calc!$C$10=1),CHOOSE(Calc!$C$3,INDEX('Snowball Engine'!$AH139:$AV139,Calc!$I$10),INDEX('Avalanche Engine'!$AH139:$AV139,Calc!$J$10),INDEX('My Order Engine'!$AH139:$AV139,Calc!$K$10)),"")</f>
        <v/>
      </c>
      <c r="H137" s="25" t="str">
        <f>IF(AND($A137&lt;=IF(Calc!$C$36=999,360,Calc!$C$36),Calc!$C$11=1),CHOOSE(Calc!$C$3,INDEX('Snowball Engine'!$AH139:$AV139,Calc!$I$11),INDEX('Avalanche Engine'!$AH139:$AV139,Calc!$J$11),INDEX('My Order Engine'!$AH139:$AV139,Calc!$K$11)),"")</f>
        <v/>
      </c>
      <c r="I137" s="25" t="str">
        <f>IF(AND($A137&lt;=IF(Calc!$C$36=999,360,Calc!$C$36),Calc!$C$12=1),CHOOSE(Calc!$C$3,INDEX('Snowball Engine'!$AH139:$AV139,Calc!$I$12),INDEX('Avalanche Engine'!$AH139:$AV139,Calc!$J$12),INDEX('My Order Engine'!$AH139:$AV139,Calc!$K$12)),"")</f>
        <v/>
      </c>
      <c r="J137" s="25" t="str">
        <f>IF(AND($A137&lt;=IF(Calc!$C$36=999,360,Calc!$C$36),Calc!$C$13=1),CHOOSE(Calc!$C$3,INDEX('Snowball Engine'!$AH139:$AV139,Calc!$I$13),INDEX('Avalanche Engine'!$AH139:$AV139,Calc!$J$13),INDEX('My Order Engine'!$AH139:$AV139,Calc!$K$13)),"")</f>
        <v/>
      </c>
      <c r="K137" s="25" t="str">
        <f>IF(AND($A137&lt;=IF(Calc!$C$36=999,360,Calc!$C$36),Calc!$C$14=1),CHOOSE(Calc!$C$3,INDEX('Snowball Engine'!$AH139:$AV139,Calc!$I$14),INDEX('Avalanche Engine'!$AH139:$AV139,Calc!$J$14),INDEX('My Order Engine'!$AH139:$AV139,Calc!$K$14)),"")</f>
        <v/>
      </c>
      <c r="L137" s="25" t="str">
        <f>IF(AND($A137&lt;=IF(Calc!$C$36=999,360,Calc!$C$36),Calc!$C$15=1),CHOOSE(Calc!$C$3,INDEX('Snowball Engine'!$AH139:$AV139,Calc!$I$15),INDEX('Avalanche Engine'!$AH139:$AV139,Calc!$J$15),INDEX('My Order Engine'!$AH139:$AV139,Calc!$K$15)),"")</f>
        <v/>
      </c>
      <c r="M137" s="25" t="str">
        <f>IF(AND($A137&lt;=IF(Calc!$C$36=999,360,Calc!$C$36),Calc!$C$16=1),CHOOSE(Calc!$C$3,INDEX('Snowball Engine'!$AH139:$AV139,Calc!$I$16),INDEX('Avalanche Engine'!$AH139:$AV139,Calc!$J$16),INDEX('My Order Engine'!$AH139:$AV139,Calc!$K$16)),"")</f>
        <v/>
      </c>
      <c r="N137" s="25" t="str">
        <f>IF(AND($A137&lt;=IF(Calc!$C$36=999,360,Calc!$C$36),Calc!$C$17=1),CHOOSE(Calc!$C$3,INDEX('Snowball Engine'!$AH139:$AV139,Calc!$I$17),INDEX('Avalanche Engine'!$AH139:$AV139,Calc!$J$17),INDEX('My Order Engine'!$AH139:$AV139,Calc!$K$17)),"")</f>
        <v/>
      </c>
      <c r="O137" s="25" t="str">
        <f>IF(AND($A137&lt;=IF(Calc!$C$36=999,360,Calc!$C$36),Calc!$C$18=1),CHOOSE(Calc!$C$3,INDEX('Snowball Engine'!$AH139:$AV139,Calc!$I$18),INDEX('Avalanche Engine'!$AH139:$AV139,Calc!$J$18),INDEX('My Order Engine'!$AH139:$AV139,Calc!$K$18)),"")</f>
        <v/>
      </c>
      <c r="P137" s="25" t="str">
        <f>IF(AND($A137&lt;=IF(Calc!$C$36=999,360,Calc!$C$36),Calc!$C$19=1),CHOOSE(Calc!$C$3,INDEX('Snowball Engine'!$AH139:$AV139,Calc!$I$19),INDEX('Avalanche Engine'!$AH139:$AV139,Calc!$J$19),INDEX('My Order Engine'!$AH139:$AV139,Calc!$K$19)),"")</f>
        <v/>
      </c>
      <c r="Q137" s="25" t="str">
        <f>IF(AND($A137&lt;=IF(Calc!$C$36=999,360,Calc!$C$36),Calc!$C$20=1),CHOOSE(Calc!$C$3,INDEX('Snowball Engine'!$AH139:$AV139,Calc!$I$20),INDEX('Avalanche Engine'!$AH139:$AV139,Calc!$J$20),INDEX('My Order Engine'!$AH139:$AV139,Calc!$K$20)),"")</f>
        <v/>
      </c>
      <c r="R137" s="25" t="str">
        <f>IF(AND($A137&lt;=IF(Calc!$C$36=999,360,Calc!$C$36),Calc!$C$21=1),CHOOSE(Calc!$C$3,INDEX('Snowball Engine'!$AH139:$AV139,Calc!$I$21),INDEX('Avalanche Engine'!$AH139:$AV139,Calc!$J$21),INDEX('My Order Engine'!$AH139:$AV139,Calc!$K$21)),"")</f>
        <v/>
      </c>
      <c r="S137" s="25" t="str">
        <f>IF(AND($A137&lt;=IF(Calc!$C$36=999,360,Calc!$C$36),Calc!$C$22=1),CHOOSE(Calc!$C$3,INDEX('Snowball Engine'!$AH139:$AV139,Calc!$I$22),INDEX('Avalanche Engine'!$AH139:$AV139,Calc!$J$22),INDEX('My Order Engine'!$AH139:$AV139,Calc!$K$22)),"")</f>
        <v/>
      </c>
      <c r="T137" s="25" t="str">
        <f>IF(AND($A137&lt;=IF(Calc!$C$36=999,360,Calc!$C$36),Calc!$C$23=1),CHOOSE(Calc!$C$3,INDEX('Snowball Engine'!$AH139:$AV139,Calc!$I$23),INDEX('Avalanche Engine'!$AH139:$AV139,Calc!$J$23),INDEX('My Order Engine'!$AH139:$AV139,Calc!$K$23)),"")</f>
        <v/>
      </c>
      <c r="U137" s="25" t="str">
        <f>IF(AND($A137&lt;=IF(Calc!$C$36=999,360,Calc!$C$36),Calc!$C$24=1),CHOOSE(Calc!$C$3,INDEX('Snowball Engine'!$AH139:$AV139,Calc!$I$24),INDEX('Avalanche Engine'!$AH139:$AV139,Calc!$J$24),INDEX('My Order Engine'!$AH139:$AV139,Calc!$K$24)),"")</f>
        <v/>
      </c>
    </row>
    <row r="138" spans="1:21" x14ac:dyDescent="0.35">
      <c r="A138" s="23">
        <v>134</v>
      </c>
      <c r="B138" s="24" t="str">
        <f>IF($A138&lt;=IF(Calc!$C$36=999,360,Calc!$C$36),EDATE(Calc!$C$5,A138-1),"")</f>
        <v/>
      </c>
      <c r="C138" s="25" t="str">
        <f>IF($A138&lt;=IF(Calc!$C$36=999,360,Calc!$C$36),CHOOSE(Calc!$C$3,'Snowball Engine'!AY140,'Avalanche Engine'!AY140,'My Order Engine'!AY140),"")</f>
        <v/>
      </c>
      <c r="D138" s="25" t="str">
        <f>IF($A138&lt;=IF(Calc!$C$36=999,360,Calc!$C$36),CHOOSE(Calc!$C$3,'Snowball Engine'!AX140,'Avalanche Engine'!AX140,'My Order Engine'!AX140),"")</f>
        <v/>
      </c>
      <c r="E138" s="25" t="str">
        <f>IF($A138&lt;=IF(Calc!$C$36=999,360,Calc!$C$36),C138-D138,"")</f>
        <v/>
      </c>
      <c r="F138" s="25" t="str">
        <f>IF($A138&lt;=IF(Calc!$C$36=999,360,Calc!$C$36),CHOOSE(Calc!$C$3,'Snowball Engine'!AW140,'Avalanche Engine'!AW140,'My Order Engine'!AW140),"")</f>
        <v/>
      </c>
      <c r="G138" s="25" t="str">
        <f>IF(AND($A138&lt;=IF(Calc!$C$36=999,360,Calc!$C$36),Calc!$C$10=1),CHOOSE(Calc!$C$3,INDEX('Snowball Engine'!$AH140:$AV140,Calc!$I$10),INDEX('Avalanche Engine'!$AH140:$AV140,Calc!$J$10),INDEX('My Order Engine'!$AH140:$AV140,Calc!$K$10)),"")</f>
        <v/>
      </c>
      <c r="H138" s="25" t="str">
        <f>IF(AND($A138&lt;=IF(Calc!$C$36=999,360,Calc!$C$36),Calc!$C$11=1),CHOOSE(Calc!$C$3,INDEX('Snowball Engine'!$AH140:$AV140,Calc!$I$11),INDEX('Avalanche Engine'!$AH140:$AV140,Calc!$J$11),INDEX('My Order Engine'!$AH140:$AV140,Calc!$K$11)),"")</f>
        <v/>
      </c>
      <c r="I138" s="25" t="str">
        <f>IF(AND($A138&lt;=IF(Calc!$C$36=999,360,Calc!$C$36),Calc!$C$12=1),CHOOSE(Calc!$C$3,INDEX('Snowball Engine'!$AH140:$AV140,Calc!$I$12),INDEX('Avalanche Engine'!$AH140:$AV140,Calc!$J$12),INDEX('My Order Engine'!$AH140:$AV140,Calc!$K$12)),"")</f>
        <v/>
      </c>
      <c r="J138" s="25" t="str">
        <f>IF(AND($A138&lt;=IF(Calc!$C$36=999,360,Calc!$C$36),Calc!$C$13=1),CHOOSE(Calc!$C$3,INDEX('Snowball Engine'!$AH140:$AV140,Calc!$I$13),INDEX('Avalanche Engine'!$AH140:$AV140,Calc!$J$13),INDEX('My Order Engine'!$AH140:$AV140,Calc!$K$13)),"")</f>
        <v/>
      </c>
      <c r="K138" s="25" t="str">
        <f>IF(AND($A138&lt;=IF(Calc!$C$36=999,360,Calc!$C$36),Calc!$C$14=1),CHOOSE(Calc!$C$3,INDEX('Snowball Engine'!$AH140:$AV140,Calc!$I$14),INDEX('Avalanche Engine'!$AH140:$AV140,Calc!$J$14),INDEX('My Order Engine'!$AH140:$AV140,Calc!$K$14)),"")</f>
        <v/>
      </c>
      <c r="L138" s="25" t="str">
        <f>IF(AND($A138&lt;=IF(Calc!$C$36=999,360,Calc!$C$36),Calc!$C$15=1),CHOOSE(Calc!$C$3,INDEX('Snowball Engine'!$AH140:$AV140,Calc!$I$15),INDEX('Avalanche Engine'!$AH140:$AV140,Calc!$J$15),INDEX('My Order Engine'!$AH140:$AV140,Calc!$K$15)),"")</f>
        <v/>
      </c>
      <c r="M138" s="25" t="str">
        <f>IF(AND($A138&lt;=IF(Calc!$C$36=999,360,Calc!$C$36),Calc!$C$16=1),CHOOSE(Calc!$C$3,INDEX('Snowball Engine'!$AH140:$AV140,Calc!$I$16),INDEX('Avalanche Engine'!$AH140:$AV140,Calc!$J$16),INDEX('My Order Engine'!$AH140:$AV140,Calc!$K$16)),"")</f>
        <v/>
      </c>
      <c r="N138" s="25" t="str">
        <f>IF(AND($A138&lt;=IF(Calc!$C$36=999,360,Calc!$C$36),Calc!$C$17=1),CHOOSE(Calc!$C$3,INDEX('Snowball Engine'!$AH140:$AV140,Calc!$I$17),INDEX('Avalanche Engine'!$AH140:$AV140,Calc!$J$17),INDEX('My Order Engine'!$AH140:$AV140,Calc!$K$17)),"")</f>
        <v/>
      </c>
      <c r="O138" s="25" t="str">
        <f>IF(AND($A138&lt;=IF(Calc!$C$36=999,360,Calc!$C$36),Calc!$C$18=1),CHOOSE(Calc!$C$3,INDEX('Snowball Engine'!$AH140:$AV140,Calc!$I$18),INDEX('Avalanche Engine'!$AH140:$AV140,Calc!$J$18),INDEX('My Order Engine'!$AH140:$AV140,Calc!$K$18)),"")</f>
        <v/>
      </c>
      <c r="P138" s="25" t="str">
        <f>IF(AND($A138&lt;=IF(Calc!$C$36=999,360,Calc!$C$36),Calc!$C$19=1),CHOOSE(Calc!$C$3,INDEX('Snowball Engine'!$AH140:$AV140,Calc!$I$19),INDEX('Avalanche Engine'!$AH140:$AV140,Calc!$J$19),INDEX('My Order Engine'!$AH140:$AV140,Calc!$K$19)),"")</f>
        <v/>
      </c>
      <c r="Q138" s="25" t="str">
        <f>IF(AND($A138&lt;=IF(Calc!$C$36=999,360,Calc!$C$36),Calc!$C$20=1),CHOOSE(Calc!$C$3,INDEX('Snowball Engine'!$AH140:$AV140,Calc!$I$20),INDEX('Avalanche Engine'!$AH140:$AV140,Calc!$J$20),INDEX('My Order Engine'!$AH140:$AV140,Calc!$K$20)),"")</f>
        <v/>
      </c>
      <c r="R138" s="25" t="str">
        <f>IF(AND($A138&lt;=IF(Calc!$C$36=999,360,Calc!$C$36),Calc!$C$21=1),CHOOSE(Calc!$C$3,INDEX('Snowball Engine'!$AH140:$AV140,Calc!$I$21),INDEX('Avalanche Engine'!$AH140:$AV140,Calc!$J$21),INDEX('My Order Engine'!$AH140:$AV140,Calc!$K$21)),"")</f>
        <v/>
      </c>
      <c r="S138" s="25" t="str">
        <f>IF(AND($A138&lt;=IF(Calc!$C$36=999,360,Calc!$C$36),Calc!$C$22=1),CHOOSE(Calc!$C$3,INDEX('Snowball Engine'!$AH140:$AV140,Calc!$I$22),INDEX('Avalanche Engine'!$AH140:$AV140,Calc!$J$22),INDEX('My Order Engine'!$AH140:$AV140,Calc!$K$22)),"")</f>
        <v/>
      </c>
      <c r="T138" s="25" t="str">
        <f>IF(AND($A138&lt;=IF(Calc!$C$36=999,360,Calc!$C$36),Calc!$C$23=1),CHOOSE(Calc!$C$3,INDEX('Snowball Engine'!$AH140:$AV140,Calc!$I$23),INDEX('Avalanche Engine'!$AH140:$AV140,Calc!$J$23),INDEX('My Order Engine'!$AH140:$AV140,Calc!$K$23)),"")</f>
        <v/>
      </c>
      <c r="U138" s="25" t="str">
        <f>IF(AND($A138&lt;=IF(Calc!$C$36=999,360,Calc!$C$36),Calc!$C$24=1),CHOOSE(Calc!$C$3,INDEX('Snowball Engine'!$AH140:$AV140,Calc!$I$24),INDEX('Avalanche Engine'!$AH140:$AV140,Calc!$J$24),INDEX('My Order Engine'!$AH140:$AV140,Calc!$K$24)),"")</f>
        <v/>
      </c>
    </row>
    <row r="139" spans="1:21" x14ac:dyDescent="0.35">
      <c r="A139" s="23">
        <v>135</v>
      </c>
      <c r="B139" s="24" t="str">
        <f>IF($A139&lt;=IF(Calc!$C$36=999,360,Calc!$C$36),EDATE(Calc!$C$5,A139-1),"")</f>
        <v/>
      </c>
      <c r="C139" s="25" t="str">
        <f>IF($A139&lt;=IF(Calc!$C$36=999,360,Calc!$C$36),CHOOSE(Calc!$C$3,'Snowball Engine'!AY141,'Avalanche Engine'!AY141,'My Order Engine'!AY141),"")</f>
        <v/>
      </c>
      <c r="D139" s="25" t="str">
        <f>IF($A139&lt;=IF(Calc!$C$36=999,360,Calc!$C$36),CHOOSE(Calc!$C$3,'Snowball Engine'!AX141,'Avalanche Engine'!AX141,'My Order Engine'!AX141),"")</f>
        <v/>
      </c>
      <c r="E139" s="25" t="str">
        <f>IF($A139&lt;=IF(Calc!$C$36=999,360,Calc!$C$36),C139-D139,"")</f>
        <v/>
      </c>
      <c r="F139" s="25" t="str">
        <f>IF($A139&lt;=IF(Calc!$C$36=999,360,Calc!$C$36),CHOOSE(Calc!$C$3,'Snowball Engine'!AW141,'Avalanche Engine'!AW141,'My Order Engine'!AW141),"")</f>
        <v/>
      </c>
      <c r="G139" s="25" t="str">
        <f>IF(AND($A139&lt;=IF(Calc!$C$36=999,360,Calc!$C$36),Calc!$C$10=1),CHOOSE(Calc!$C$3,INDEX('Snowball Engine'!$AH141:$AV141,Calc!$I$10),INDEX('Avalanche Engine'!$AH141:$AV141,Calc!$J$10),INDEX('My Order Engine'!$AH141:$AV141,Calc!$K$10)),"")</f>
        <v/>
      </c>
      <c r="H139" s="25" t="str">
        <f>IF(AND($A139&lt;=IF(Calc!$C$36=999,360,Calc!$C$36),Calc!$C$11=1),CHOOSE(Calc!$C$3,INDEX('Snowball Engine'!$AH141:$AV141,Calc!$I$11),INDEX('Avalanche Engine'!$AH141:$AV141,Calc!$J$11),INDEX('My Order Engine'!$AH141:$AV141,Calc!$K$11)),"")</f>
        <v/>
      </c>
      <c r="I139" s="25" t="str">
        <f>IF(AND($A139&lt;=IF(Calc!$C$36=999,360,Calc!$C$36),Calc!$C$12=1),CHOOSE(Calc!$C$3,INDEX('Snowball Engine'!$AH141:$AV141,Calc!$I$12),INDEX('Avalanche Engine'!$AH141:$AV141,Calc!$J$12),INDEX('My Order Engine'!$AH141:$AV141,Calc!$K$12)),"")</f>
        <v/>
      </c>
      <c r="J139" s="25" t="str">
        <f>IF(AND($A139&lt;=IF(Calc!$C$36=999,360,Calc!$C$36),Calc!$C$13=1),CHOOSE(Calc!$C$3,INDEX('Snowball Engine'!$AH141:$AV141,Calc!$I$13),INDEX('Avalanche Engine'!$AH141:$AV141,Calc!$J$13),INDEX('My Order Engine'!$AH141:$AV141,Calc!$K$13)),"")</f>
        <v/>
      </c>
      <c r="K139" s="25" t="str">
        <f>IF(AND($A139&lt;=IF(Calc!$C$36=999,360,Calc!$C$36),Calc!$C$14=1),CHOOSE(Calc!$C$3,INDEX('Snowball Engine'!$AH141:$AV141,Calc!$I$14),INDEX('Avalanche Engine'!$AH141:$AV141,Calc!$J$14),INDEX('My Order Engine'!$AH141:$AV141,Calc!$K$14)),"")</f>
        <v/>
      </c>
      <c r="L139" s="25" t="str">
        <f>IF(AND($A139&lt;=IF(Calc!$C$36=999,360,Calc!$C$36),Calc!$C$15=1),CHOOSE(Calc!$C$3,INDEX('Snowball Engine'!$AH141:$AV141,Calc!$I$15),INDEX('Avalanche Engine'!$AH141:$AV141,Calc!$J$15),INDEX('My Order Engine'!$AH141:$AV141,Calc!$K$15)),"")</f>
        <v/>
      </c>
      <c r="M139" s="25" t="str">
        <f>IF(AND($A139&lt;=IF(Calc!$C$36=999,360,Calc!$C$36),Calc!$C$16=1),CHOOSE(Calc!$C$3,INDEX('Snowball Engine'!$AH141:$AV141,Calc!$I$16),INDEX('Avalanche Engine'!$AH141:$AV141,Calc!$J$16),INDEX('My Order Engine'!$AH141:$AV141,Calc!$K$16)),"")</f>
        <v/>
      </c>
      <c r="N139" s="25" t="str">
        <f>IF(AND($A139&lt;=IF(Calc!$C$36=999,360,Calc!$C$36),Calc!$C$17=1),CHOOSE(Calc!$C$3,INDEX('Snowball Engine'!$AH141:$AV141,Calc!$I$17),INDEX('Avalanche Engine'!$AH141:$AV141,Calc!$J$17),INDEX('My Order Engine'!$AH141:$AV141,Calc!$K$17)),"")</f>
        <v/>
      </c>
      <c r="O139" s="25" t="str">
        <f>IF(AND($A139&lt;=IF(Calc!$C$36=999,360,Calc!$C$36),Calc!$C$18=1),CHOOSE(Calc!$C$3,INDEX('Snowball Engine'!$AH141:$AV141,Calc!$I$18),INDEX('Avalanche Engine'!$AH141:$AV141,Calc!$J$18),INDEX('My Order Engine'!$AH141:$AV141,Calc!$K$18)),"")</f>
        <v/>
      </c>
      <c r="P139" s="25" t="str">
        <f>IF(AND($A139&lt;=IF(Calc!$C$36=999,360,Calc!$C$36),Calc!$C$19=1),CHOOSE(Calc!$C$3,INDEX('Snowball Engine'!$AH141:$AV141,Calc!$I$19),INDEX('Avalanche Engine'!$AH141:$AV141,Calc!$J$19),INDEX('My Order Engine'!$AH141:$AV141,Calc!$K$19)),"")</f>
        <v/>
      </c>
      <c r="Q139" s="25" t="str">
        <f>IF(AND($A139&lt;=IF(Calc!$C$36=999,360,Calc!$C$36),Calc!$C$20=1),CHOOSE(Calc!$C$3,INDEX('Snowball Engine'!$AH141:$AV141,Calc!$I$20),INDEX('Avalanche Engine'!$AH141:$AV141,Calc!$J$20),INDEX('My Order Engine'!$AH141:$AV141,Calc!$K$20)),"")</f>
        <v/>
      </c>
      <c r="R139" s="25" t="str">
        <f>IF(AND($A139&lt;=IF(Calc!$C$36=999,360,Calc!$C$36),Calc!$C$21=1),CHOOSE(Calc!$C$3,INDEX('Snowball Engine'!$AH141:$AV141,Calc!$I$21),INDEX('Avalanche Engine'!$AH141:$AV141,Calc!$J$21),INDEX('My Order Engine'!$AH141:$AV141,Calc!$K$21)),"")</f>
        <v/>
      </c>
      <c r="S139" s="25" t="str">
        <f>IF(AND($A139&lt;=IF(Calc!$C$36=999,360,Calc!$C$36),Calc!$C$22=1),CHOOSE(Calc!$C$3,INDEX('Snowball Engine'!$AH141:$AV141,Calc!$I$22),INDEX('Avalanche Engine'!$AH141:$AV141,Calc!$J$22),INDEX('My Order Engine'!$AH141:$AV141,Calc!$K$22)),"")</f>
        <v/>
      </c>
      <c r="T139" s="25" t="str">
        <f>IF(AND($A139&lt;=IF(Calc!$C$36=999,360,Calc!$C$36),Calc!$C$23=1),CHOOSE(Calc!$C$3,INDEX('Snowball Engine'!$AH141:$AV141,Calc!$I$23),INDEX('Avalanche Engine'!$AH141:$AV141,Calc!$J$23),INDEX('My Order Engine'!$AH141:$AV141,Calc!$K$23)),"")</f>
        <v/>
      </c>
      <c r="U139" s="25" t="str">
        <f>IF(AND($A139&lt;=IF(Calc!$C$36=999,360,Calc!$C$36),Calc!$C$24=1),CHOOSE(Calc!$C$3,INDEX('Snowball Engine'!$AH141:$AV141,Calc!$I$24),INDEX('Avalanche Engine'!$AH141:$AV141,Calc!$J$24),INDEX('My Order Engine'!$AH141:$AV141,Calc!$K$24)),"")</f>
        <v/>
      </c>
    </row>
    <row r="140" spans="1:21" x14ac:dyDescent="0.35">
      <c r="A140" s="23">
        <v>136</v>
      </c>
      <c r="B140" s="24" t="str">
        <f>IF($A140&lt;=IF(Calc!$C$36=999,360,Calc!$C$36),EDATE(Calc!$C$5,A140-1),"")</f>
        <v/>
      </c>
      <c r="C140" s="25" t="str">
        <f>IF($A140&lt;=IF(Calc!$C$36=999,360,Calc!$C$36),CHOOSE(Calc!$C$3,'Snowball Engine'!AY142,'Avalanche Engine'!AY142,'My Order Engine'!AY142),"")</f>
        <v/>
      </c>
      <c r="D140" s="25" t="str">
        <f>IF($A140&lt;=IF(Calc!$C$36=999,360,Calc!$C$36),CHOOSE(Calc!$C$3,'Snowball Engine'!AX142,'Avalanche Engine'!AX142,'My Order Engine'!AX142),"")</f>
        <v/>
      </c>
      <c r="E140" s="25" t="str">
        <f>IF($A140&lt;=IF(Calc!$C$36=999,360,Calc!$C$36),C140-D140,"")</f>
        <v/>
      </c>
      <c r="F140" s="25" t="str">
        <f>IF($A140&lt;=IF(Calc!$C$36=999,360,Calc!$C$36),CHOOSE(Calc!$C$3,'Snowball Engine'!AW142,'Avalanche Engine'!AW142,'My Order Engine'!AW142),"")</f>
        <v/>
      </c>
      <c r="G140" s="25" t="str">
        <f>IF(AND($A140&lt;=IF(Calc!$C$36=999,360,Calc!$C$36),Calc!$C$10=1),CHOOSE(Calc!$C$3,INDEX('Snowball Engine'!$AH142:$AV142,Calc!$I$10),INDEX('Avalanche Engine'!$AH142:$AV142,Calc!$J$10),INDEX('My Order Engine'!$AH142:$AV142,Calc!$K$10)),"")</f>
        <v/>
      </c>
      <c r="H140" s="25" t="str">
        <f>IF(AND($A140&lt;=IF(Calc!$C$36=999,360,Calc!$C$36),Calc!$C$11=1),CHOOSE(Calc!$C$3,INDEX('Snowball Engine'!$AH142:$AV142,Calc!$I$11),INDEX('Avalanche Engine'!$AH142:$AV142,Calc!$J$11),INDEX('My Order Engine'!$AH142:$AV142,Calc!$K$11)),"")</f>
        <v/>
      </c>
      <c r="I140" s="25" t="str">
        <f>IF(AND($A140&lt;=IF(Calc!$C$36=999,360,Calc!$C$36),Calc!$C$12=1),CHOOSE(Calc!$C$3,INDEX('Snowball Engine'!$AH142:$AV142,Calc!$I$12),INDEX('Avalanche Engine'!$AH142:$AV142,Calc!$J$12),INDEX('My Order Engine'!$AH142:$AV142,Calc!$K$12)),"")</f>
        <v/>
      </c>
      <c r="J140" s="25" t="str">
        <f>IF(AND($A140&lt;=IF(Calc!$C$36=999,360,Calc!$C$36),Calc!$C$13=1),CHOOSE(Calc!$C$3,INDEX('Snowball Engine'!$AH142:$AV142,Calc!$I$13),INDEX('Avalanche Engine'!$AH142:$AV142,Calc!$J$13),INDEX('My Order Engine'!$AH142:$AV142,Calc!$K$13)),"")</f>
        <v/>
      </c>
      <c r="K140" s="25" t="str">
        <f>IF(AND($A140&lt;=IF(Calc!$C$36=999,360,Calc!$C$36),Calc!$C$14=1),CHOOSE(Calc!$C$3,INDEX('Snowball Engine'!$AH142:$AV142,Calc!$I$14),INDEX('Avalanche Engine'!$AH142:$AV142,Calc!$J$14),INDEX('My Order Engine'!$AH142:$AV142,Calc!$K$14)),"")</f>
        <v/>
      </c>
      <c r="L140" s="25" t="str">
        <f>IF(AND($A140&lt;=IF(Calc!$C$36=999,360,Calc!$C$36),Calc!$C$15=1),CHOOSE(Calc!$C$3,INDEX('Snowball Engine'!$AH142:$AV142,Calc!$I$15),INDEX('Avalanche Engine'!$AH142:$AV142,Calc!$J$15),INDEX('My Order Engine'!$AH142:$AV142,Calc!$K$15)),"")</f>
        <v/>
      </c>
      <c r="M140" s="25" t="str">
        <f>IF(AND($A140&lt;=IF(Calc!$C$36=999,360,Calc!$C$36),Calc!$C$16=1),CHOOSE(Calc!$C$3,INDEX('Snowball Engine'!$AH142:$AV142,Calc!$I$16),INDEX('Avalanche Engine'!$AH142:$AV142,Calc!$J$16),INDEX('My Order Engine'!$AH142:$AV142,Calc!$K$16)),"")</f>
        <v/>
      </c>
      <c r="N140" s="25" t="str">
        <f>IF(AND($A140&lt;=IF(Calc!$C$36=999,360,Calc!$C$36),Calc!$C$17=1),CHOOSE(Calc!$C$3,INDEX('Snowball Engine'!$AH142:$AV142,Calc!$I$17),INDEX('Avalanche Engine'!$AH142:$AV142,Calc!$J$17),INDEX('My Order Engine'!$AH142:$AV142,Calc!$K$17)),"")</f>
        <v/>
      </c>
      <c r="O140" s="25" t="str">
        <f>IF(AND($A140&lt;=IF(Calc!$C$36=999,360,Calc!$C$36),Calc!$C$18=1),CHOOSE(Calc!$C$3,INDEX('Snowball Engine'!$AH142:$AV142,Calc!$I$18),INDEX('Avalanche Engine'!$AH142:$AV142,Calc!$J$18),INDEX('My Order Engine'!$AH142:$AV142,Calc!$K$18)),"")</f>
        <v/>
      </c>
      <c r="P140" s="25" t="str">
        <f>IF(AND($A140&lt;=IF(Calc!$C$36=999,360,Calc!$C$36),Calc!$C$19=1),CHOOSE(Calc!$C$3,INDEX('Snowball Engine'!$AH142:$AV142,Calc!$I$19),INDEX('Avalanche Engine'!$AH142:$AV142,Calc!$J$19),INDEX('My Order Engine'!$AH142:$AV142,Calc!$K$19)),"")</f>
        <v/>
      </c>
      <c r="Q140" s="25" t="str">
        <f>IF(AND($A140&lt;=IF(Calc!$C$36=999,360,Calc!$C$36),Calc!$C$20=1),CHOOSE(Calc!$C$3,INDEX('Snowball Engine'!$AH142:$AV142,Calc!$I$20),INDEX('Avalanche Engine'!$AH142:$AV142,Calc!$J$20),INDEX('My Order Engine'!$AH142:$AV142,Calc!$K$20)),"")</f>
        <v/>
      </c>
      <c r="R140" s="25" t="str">
        <f>IF(AND($A140&lt;=IF(Calc!$C$36=999,360,Calc!$C$36),Calc!$C$21=1),CHOOSE(Calc!$C$3,INDEX('Snowball Engine'!$AH142:$AV142,Calc!$I$21),INDEX('Avalanche Engine'!$AH142:$AV142,Calc!$J$21),INDEX('My Order Engine'!$AH142:$AV142,Calc!$K$21)),"")</f>
        <v/>
      </c>
      <c r="S140" s="25" t="str">
        <f>IF(AND($A140&lt;=IF(Calc!$C$36=999,360,Calc!$C$36),Calc!$C$22=1),CHOOSE(Calc!$C$3,INDEX('Snowball Engine'!$AH142:$AV142,Calc!$I$22),INDEX('Avalanche Engine'!$AH142:$AV142,Calc!$J$22),INDEX('My Order Engine'!$AH142:$AV142,Calc!$K$22)),"")</f>
        <v/>
      </c>
      <c r="T140" s="25" t="str">
        <f>IF(AND($A140&lt;=IF(Calc!$C$36=999,360,Calc!$C$36),Calc!$C$23=1),CHOOSE(Calc!$C$3,INDEX('Snowball Engine'!$AH142:$AV142,Calc!$I$23),INDEX('Avalanche Engine'!$AH142:$AV142,Calc!$J$23),INDEX('My Order Engine'!$AH142:$AV142,Calc!$K$23)),"")</f>
        <v/>
      </c>
      <c r="U140" s="25" t="str">
        <f>IF(AND($A140&lt;=IF(Calc!$C$36=999,360,Calc!$C$36),Calc!$C$24=1),CHOOSE(Calc!$C$3,INDEX('Snowball Engine'!$AH142:$AV142,Calc!$I$24),INDEX('Avalanche Engine'!$AH142:$AV142,Calc!$J$24),INDEX('My Order Engine'!$AH142:$AV142,Calc!$K$24)),"")</f>
        <v/>
      </c>
    </row>
    <row r="141" spans="1:21" x14ac:dyDescent="0.35">
      <c r="A141" s="23">
        <v>137</v>
      </c>
      <c r="B141" s="24" t="str">
        <f>IF($A141&lt;=IF(Calc!$C$36=999,360,Calc!$C$36),EDATE(Calc!$C$5,A141-1),"")</f>
        <v/>
      </c>
      <c r="C141" s="25" t="str">
        <f>IF($A141&lt;=IF(Calc!$C$36=999,360,Calc!$C$36),CHOOSE(Calc!$C$3,'Snowball Engine'!AY143,'Avalanche Engine'!AY143,'My Order Engine'!AY143),"")</f>
        <v/>
      </c>
      <c r="D141" s="25" t="str">
        <f>IF($A141&lt;=IF(Calc!$C$36=999,360,Calc!$C$36),CHOOSE(Calc!$C$3,'Snowball Engine'!AX143,'Avalanche Engine'!AX143,'My Order Engine'!AX143),"")</f>
        <v/>
      </c>
      <c r="E141" s="25" t="str">
        <f>IF($A141&lt;=IF(Calc!$C$36=999,360,Calc!$C$36),C141-D141,"")</f>
        <v/>
      </c>
      <c r="F141" s="25" t="str">
        <f>IF($A141&lt;=IF(Calc!$C$36=999,360,Calc!$C$36),CHOOSE(Calc!$C$3,'Snowball Engine'!AW143,'Avalanche Engine'!AW143,'My Order Engine'!AW143),"")</f>
        <v/>
      </c>
      <c r="G141" s="25" t="str">
        <f>IF(AND($A141&lt;=IF(Calc!$C$36=999,360,Calc!$C$36),Calc!$C$10=1),CHOOSE(Calc!$C$3,INDEX('Snowball Engine'!$AH143:$AV143,Calc!$I$10),INDEX('Avalanche Engine'!$AH143:$AV143,Calc!$J$10),INDEX('My Order Engine'!$AH143:$AV143,Calc!$K$10)),"")</f>
        <v/>
      </c>
      <c r="H141" s="25" t="str">
        <f>IF(AND($A141&lt;=IF(Calc!$C$36=999,360,Calc!$C$36),Calc!$C$11=1),CHOOSE(Calc!$C$3,INDEX('Snowball Engine'!$AH143:$AV143,Calc!$I$11),INDEX('Avalanche Engine'!$AH143:$AV143,Calc!$J$11),INDEX('My Order Engine'!$AH143:$AV143,Calc!$K$11)),"")</f>
        <v/>
      </c>
      <c r="I141" s="25" t="str">
        <f>IF(AND($A141&lt;=IF(Calc!$C$36=999,360,Calc!$C$36),Calc!$C$12=1),CHOOSE(Calc!$C$3,INDEX('Snowball Engine'!$AH143:$AV143,Calc!$I$12),INDEX('Avalanche Engine'!$AH143:$AV143,Calc!$J$12),INDEX('My Order Engine'!$AH143:$AV143,Calc!$K$12)),"")</f>
        <v/>
      </c>
      <c r="J141" s="25" t="str">
        <f>IF(AND($A141&lt;=IF(Calc!$C$36=999,360,Calc!$C$36),Calc!$C$13=1),CHOOSE(Calc!$C$3,INDEX('Snowball Engine'!$AH143:$AV143,Calc!$I$13),INDEX('Avalanche Engine'!$AH143:$AV143,Calc!$J$13),INDEX('My Order Engine'!$AH143:$AV143,Calc!$K$13)),"")</f>
        <v/>
      </c>
      <c r="K141" s="25" t="str">
        <f>IF(AND($A141&lt;=IF(Calc!$C$36=999,360,Calc!$C$36),Calc!$C$14=1),CHOOSE(Calc!$C$3,INDEX('Snowball Engine'!$AH143:$AV143,Calc!$I$14),INDEX('Avalanche Engine'!$AH143:$AV143,Calc!$J$14),INDEX('My Order Engine'!$AH143:$AV143,Calc!$K$14)),"")</f>
        <v/>
      </c>
      <c r="L141" s="25" t="str">
        <f>IF(AND($A141&lt;=IF(Calc!$C$36=999,360,Calc!$C$36),Calc!$C$15=1),CHOOSE(Calc!$C$3,INDEX('Snowball Engine'!$AH143:$AV143,Calc!$I$15),INDEX('Avalanche Engine'!$AH143:$AV143,Calc!$J$15),INDEX('My Order Engine'!$AH143:$AV143,Calc!$K$15)),"")</f>
        <v/>
      </c>
      <c r="M141" s="25" t="str">
        <f>IF(AND($A141&lt;=IF(Calc!$C$36=999,360,Calc!$C$36),Calc!$C$16=1),CHOOSE(Calc!$C$3,INDEX('Snowball Engine'!$AH143:$AV143,Calc!$I$16),INDEX('Avalanche Engine'!$AH143:$AV143,Calc!$J$16),INDEX('My Order Engine'!$AH143:$AV143,Calc!$K$16)),"")</f>
        <v/>
      </c>
      <c r="N141" s="25" t="str">
        <f>IF(AND($A141&lt;=IF(Calc!$C$36=999,360,Calc!$C$36),Calc!$C$17=1),CHOOSE(Calc!$C$3,INDEX('Snowball Engine'!$AH143:$AV143,Calc!$I$17),INDEX('Avalanche Engine'!$AH143:$AV143,Calc!$J$17),INDEX('My Order Engine'!$AH143:$AV143,Calc!$K$17)),"")</f>
        <v/>
      </c>
      <c r="O141" s="25" t="str">
        <f>IF(AND($A141&lt;=IF(Calc!$C$36=999,360,Calc!$C$36),Calc!$C$18=1),CHOOSE(Calc!$C$3,INDEX('Snowball Engine'!$AH143:$AV143,Calc!$I$18),INDEX('Avalanche Engine'!$AH143:$AV143,Calc!$J$18),INDEX('My Order Engine'!$AH143:$AV143,Calc!$K$18)),"")</f>
        <v/>
      </c>
      <c r="P141" s="25" t="str">
        <f>IF(AND($A141&lt;=IF(Calc!$C$36=999,360,Calc!$C$36),Calc!$C$19=1),CHOOSE(Calc!$C$3,INDEX('Snowball Engine'!$AH143:$AV143,Calc!$I$19),INDEX('Avalanche Engine'!$AH143:$AV143,Calc!$J$19),INDEX('My Order Engine'!$AH143:$AV143,Calc!$K$19)),"")</f>
        <v/>
      </c>
      <c r="Q141" s="25" t="str">
        <f>IF(AND($A141&lt;=IF(Calc!$C$36=999,360,Calc!$C$36),Calc!$C$20=1),CHOOSE(Calc!$C$3,INDEX('Snowball Engine'!$AH143:$AV143,Calc!$I$20),INDEX('Avalanche Engine'!$AH143:$AV143,Calc!$J$20),INDEX('My Order Engine'!$AH143:$AV143,Calc!$K$20)),"")</f>
        <v/>
      </c>
      <c r="R141" s="25" t="str">
        <f>IF(AND($A141&lt;=IF(Calc!$C$36=999,360,Calc!$C$36),Calc!$C$21=1),CHOOSE(Calc!$C$3,INDEX('Snowball Engine'!$AH143:$AV143,Calc!$I$21),INDEX('Avalanche Engine'!$AH143:$AV143,Calc!$J$21),INDEX('My Order Engine'!$AH143:$AV143,Calc!$K$21)),"")</f>
        <v/>
      </c>
      <c r="S141" s="25" t="str">
        <f>IF(AND($A141&lt;=IF(Calc!$C$36=999,360,Calc!$C$36),Calc!$C$22=1),CHOOSE(Calc!$C$3,INDEX('Snowball Engine'!$AH143:$AV143,Calc!$I$22),INDEX('Avalanche Engine'!$AH143:$AV143,Calc!$J$22),INDEX('My Order Engine'!$AH143:$AV143,Calc!$K$22)),"")</f>
        <v/>
      </c>
      <c r="T141" s="25" t="str">
        <f>IF(AND($A141&lt;=IF(Calc!$C$36=999,360,Calc!$C$36),Calc!$C$23=1),CHOOSE(Calc!$C$3,INDEX('Snowball Engine'!$AH143:$AV143,Calc!$I$23),INDEX('Avalanche Engine'!$AH143:$AV143,Calc!$J$23),INDEX('My Order Engine'!$AH143:$AV143,Calc!$K$23)),"")</f>
        <v/>
      </c>
      <c r="U141" s="25" t="str">
        <f>IF(AND($A141&lt;=IF(Calc!$C$36=999,360,Calc!$C$36),Calc!$C$24=1),CHOOSE(Calc!$C$3,INDEX('Snowball Engine'!$AH143:$AV143,Calc!$I$24),INDEX('Avalanche Engine'!$AH143:$AV143,Calc!$J$24),INDEX('My Order Engine'!$AH143:$AV143,Calc!$K$24)),"")</f>
        <v/>
      </c>
    </row>
    <row r="142" spans="1:21" x14ac:dyDescent="0.35">
      <c r="A142" s="23">
        <v>138</v>
      </c>
      <c r="B142" s="24" t="str">
        <f>IF($A142&lt;=IF(Calc!$C$36=999,360,Calc!$C$36),EDATE(Calc!$C$5,A142-1),"")</f>
        <v/>
      </c>
      <c r="C142" s="25" t="str">
        <f>IF($A142&lt;=IF(Calc!$C$36=999,360,Calc!$C$36),CHOOSE(Calc!$C$3,'Snowball Engine'!AY144,'Avalanche Engine'!AY144,'My Order Engine'!AY144),"")</f>
        <v/>
      </c>
      <c r="D142" s="25" t="str">
        <f>IF($A142&lt;=IF(Calc!$C$36=999,360,Calc!$C$36),CHOOSE(Calc!$C$3,'Snowball Engine'!AX144,'Avalanche Engine'!AX144,'My Order Engine'!AX144),"")</f>
        <v/>
      </c>
      <c r="E142" s="25" t="str">
        <f>IF($A142&lt;=IF(Calc!$C$36=999,360,Calc!$C$36),C142-D142,"")</f>
        <v/>
      </c>
      <c r="F142" s="25" t="str">
        <f>IF($A142&lt;=IF(Calc!$C$36=999,360,Calc!$C$36),CHOOSE(Calc!$C$3,'Snowball Engine'!AW144,'Avalanche Engine'!AW144,'My Order Engine'!AW144),"")</f>
        <v/>
      </c>
      <c r="G142" s="25" t="str">
        <f>IF(AND($A142&lt;=IF(Calc!$C$36=999,360,Calc!$C$36),Calc!$C$10=1),CHOOSE(Calc!$C$3,INDEX('Snowball Engine'!$AH144:$AV144,Calc!$I$10),INDEX('Avalanche Engine'!$AH144:$AV144,Calc!$J$10),INDEX('My Order Engine'!$AH144:$AV144,Calc!$K$10)),"")</f>
        <v/>
      </c>
      <c r="H142" s="25" t="str">
        <f>IF(AND($A142&lt;=IF(Calc!$C$36=999,360,Calc!$C$36),Calc!$C$11=1),CHOOSE(Calc!$C$3,INDEX('Snowball Engine'!$AH144:$AV144,Calc!$I$11),INDEX('Avalanche Engine'!$AH144:$AV144,Calc!$J$11),INDEX('My Order Engine'!$AH144:$AV144,Calc!$K$11)),"")</f>
        <v/>
      </c>
      <c r="I142" s="25" t="str">
        <f>IF(AND($A142&lt;=IF(Calc!$C$36=999,360,Calc!$C$36),Calc!$C$12=1),CHOOSE(Calc!$C$3,INDEX('Snowball Engine'!$AH144:$AV144,Calc!$I$12),INDEX('Avalanche Engine'!$AH144:$AV144,Calc!$J$12),INDEX('My Order Engine'!$AH144:$AV144,Calc!$K$12)),"")</f>
        <v/>
      </c>
      <c r="J142" s="25" t="str">
        <f>IF(AND($A142&lt;=IF(Calc!$C$36=999,360,Calc!$C$36),Calc!$C$13=1),CHOOSE(Calc!$C$3,INDEX('Snowball Engine'!$AH144:$AV144,Calc!$I$13),INDEX('Avalanche Engine'!$AH144:$AV144,Calc!$J$13),INDEX('My Order Engine'!$AH144:$AV144,Calc!$K$13)),"")</f>
        <v/>
      </c>
      <c r="K142" s="25" t="str">
        <f>IF(AND($A142&lt;=IF(Calc!$C$36=999,360,Calc!$C$36),Calc!$C$14=1),CHOOSE(Calc!$C$3,INDEX('Snowball Engine'!$AH144:$AV144,Calc!$I$14),INDEX('Avalanche Engine'!$AH144:$AV144,Calc!$J$14),INDEX('My Order Engine'!$AH144:$AV144,Calc!$K$14)),"")</f>
        <v/>
      </c>
      <c r="L142" s="25" t="str">
        <f>IF(AND($A142&lt;=IF(Calc!$C$36=999,360,Calc!$C$36),Calc!$C$15=1),CHOOSE(Calc!$C$3,INDEX('Snowball Engine'!$AH144:$AV144,Calc!$I$15),INDEX('Avalanche Engine'!$AH144:$AV144,Calc!$J$15),INDEX('My Order Engine'!$AH144:$AV144,Calc!$K$15)),"")</f>
        <v/>
      </c>
      <c r="M142" s="25" t="str">
        <f>IF(AND($A142&lt;=IF(Calc!$C$36=999,360,Calc!$C$36),Calc!$C$16=1),CHOOSE(Calc!$C$3,INDEX('Snowball Engine'!$AH144:$AV144,Calc!$I$16),INDEX('Avalanche Engine'!$AH144:$AV144,Calc!$J$16),INDEX('My Order Engine'!$AH144:$AV144,Calc!$K$16)),"")</f>
        <v/>
      </c>
      <c r="N142" s="25" t="str">
        <f>IF(AND($A142&lt;=IF(Calc!$C$36=999,360,Calc!$C$36),Calc!$C$17=1),CHOOSE(Calc!$C$3,INDEX('Snowball Engine'!$AH144:$AV144,Calc!$I$17),INDEX('Avalanche Engine'!$AH144:$AV144,Calc!$J$17),INDEX('My Order Engine'!$AH144:$AV144,Calc!$K$17)),"")</f>
        <v/>
      </c>
      <c r="O142" s="25" t="str">
        <f>IF(AND($A142&lt;=IF(Calc!$C$36=999,360,Calc!$C$36),Calc!$C$18=1),CHOOSE(Calc!$C$3,INDEX('Snowball Engine'!$AH144:$AV144,Calc!$I$18),INDEX('Avalanche Engine'!$AH144:$AV144,Calc!$J$18),INDEX('My Order Engine'!$AH144:$AV144,Calc!$K$18)),"")</f>
        <v/>
      </c>
      <c r="P142" s="25" t="str">
        <f>IF(AND($A142&lt;=IF(Calc!$C$36=999,360,Calc!$C$36),Calc!$C$19=1),CHOOSE(Calc!$C$3,INDEX('Snowball Engine'!$AH144:$AV144,Calc!$I$19),INDEX('Avalanche Engine'!$AH144:$AV144,Calc!$J$19),INDEX('My Order Engine'!$AH144:$AV144,Calc!$K$19)),"")</f>
        <v/>
      </c>
      <c r="Q142" s="25" t="str">
        <f>IF(AND($A142&lt;=IF(Calc!$C$36=999,360,Calc!$C$36),Calc!$C$20=1),CHOOSE(Calc!$C$3,INDEX('Snowball Engine'!$AH144:$AV144,Calc!$I$20),INDEX('Avalanche Engine'!$AH144:$AV144,Calc!$J$20),INDEX('My Order Engine'!$AH144:$AV144,Calc!$K$20)),"")</f>
        <v/>
      </c>
      <c r="R142" s="25" t="str">
        <f>IF(AND($A142&lt;=IF(Calc!$C$36=999,360,Calc!$C$36),Calc!$C$21=1),CHOOSE(Calc!$C$3,INDEX('Snowball Engine'!$AH144:$AV144,Calc!$I$21),INDEX('Avalanche Engine'!$AH144:$AV144,Calc!$J$21),INDEX('My Order Engine'!$AH144:$AV144,Calc!$K$21)),"")</f>
        <v/>
      </c>
      <c r="S142" s="25" t="str">
        <f>IF(AND($A142&lt;=IF(Calc!$C$36=999,360,Calc!$C$36),Calc!$C$22=1),CHOOSE(Calc!$C$3,INDEX('Snowball Engine'!$AH144:$AV144,Calc!$I$22),INDEX('Avalanche Engine'!$AH144:$AV144,Calc!$J$22),INDEX('My Order Engine'!$AH144:$AV144,Calc!$K$22)),"")</f>
        <v/>
      </c>
      <c r="T142" s="25" t="str">
        <f>IF(AND($A142&lt;=IF(Calc!$C$36=999,360,Calc!$C$36),Calc!$C$23=1),CHOOSE(Calc!$C$3,INDEX('Snowball Engine'!$AH144:$AV144,Calc!$I$23),INDEX('Avalanche Engine'!$AH144:$AV144,Calc!$J$23),INDEX('My Order Engine'!$AH144:$AV144,Calc!$K$23)),"")</f>
        <v/>
      </c>
      <c r="U142" s="25" t="str">
        <f>IF(AND($A142&lt;=IF(Calc!$C$36=999,360,Calc!$C$36),Calc!$C$24=1),CHOOSE(Calc!$C$3,INDEX('Snowball Engine'!$AH144:$AV144,Calc!$I$24),INDEX('Avalanche Engine'!$AH144:$AV144,Calc!$J$24),INDEX('My Order Engine'!$AH144:$AV144,Calc!$K$24)),"")</f>
        <v/>
      </c>
    </row>
    <row r="143" spans="1:21" x14ac:dyDescent="0.35">
      <c r="A143" s="23">
        <v>139</v>
      </c>
      <c r="B143" s="24" t="str">
        <f>IF($A143&lt;=IF(Calc!$C$36=999,360,Calc!$C$36),EDATE(Calc!$C$5,A143-1),"")</f>
        <v/>
      </c>
      <c r="C143" s="25" t="str">
        <f>IF($A143&lt;=IF(Calc!$C$36=999,360,Calc!$C$36),CHOOSE(Calc!$C$3,'Snowball Engine'!AY145,'Avalanche Engine'!AY145,'My Order Engine'!AY145),"")</f>
        <v/>
      </c>
      <c r="D143" s="25" t="str">
        <f>IF($A143&lt;=IF(Calc!$C$36=999,360,Calc!$C$36),CHOOSE(Calc!$C$3,'Snowball Engine'!AX145,'Avalanche Engine'!AX145,'My Order Engine'!AX145),"")</f>
        <v/>
      </c>
      <c r="E143" s="25" t="str">
        <f>IF($A143&lt;=IF(Calc!$C$36=999,360,Calc!$C$36),C143-D143,"")</f>
        <v/>
      </c>
      <c r="F143" s="25" t="str">
        <f>IF($A143&lt;=IF(Calc!$C$36=999,360,Calc!$C$36),CHOOSE(Calc!$C$3,'Snowball Engine'!AW145,'Avalanche Engine'!AW145,'My Order Engine'!AW145),"")</f>
        <v/>
      </c>
      <c r="G143" s="25" t="str">
        <f>IF(AND($A143&lt;=IF(Calc!$C$36=999,360,Calc!$C$36),Calc!$C$10=1),CHOOSE(Calc!$C$3,INDEX('Snowball Engine'!$AH145:$AV145,Calc!$I$10),INDEX('Avalanche Engine'!$AH145:$AV145,Calc!$J$10),INDEX('My Order Engine'!$AH145:$AV145,Calc!$K$10)),"")</f>
        <v/>
      </c>
      <c r="H143" s="25" t="str">
        <f>IF(AND($A143&lt;=IF(Calc!$C$36=999,360,Calc!$C$36),Calc!$C$11=1),CHOOSE(Calc!$C$3,INDEX('Snowball Engine'!$AH145:$AV145,Calc!$I$11),INDEX('Avalanche Engine'!$AH145:$AV145,Calc!$J$11),INDEX('My Order Engine'!$AH145:$AV145,Calc!$K$11)),"")</f>
        <v/>
      </c>
      <c r="I143" s="25" t="str">
        <f>IF(AND($A143&lt;=IF(Calc!$C$36=999,360,Calc!$C$36),Calc!$C$12=1),CHOOSE(Calc!$C$3,INDEX('Snowball Engine'!$AH145:$AV145,Calc!$I$12),INDEX('Avalanche Engine'!$AH145:$AV145,Calc!$J$12),INDEX('My Order Engine'!$AH145:$AV145,Calc!$K$12)),"")</f>
        <v/>
      </c>
      <c r="J143" s="25" t="str">
        <f>IF(AND($A143&lt;=IF(Calc!$C$36=999,360,Calc!$C$36),Calc!$C$13=1),CHOOSE(Calc!$C$3,INDEX('Snowball Engine'!$AH145:$AV145,Calc!$I$13),INDEX('Avalanche Engine'!$AH145:$AV145,Calc!$J$13),INDEX('My Order Engine'!$AH145:$AV145,Calc!$K$13)),"")</f>
        <v/>
      </c>
      <c r="K143" s="25" t="str">
        <f>IF(AND($A143&lt;=IF(Calc!$C$36=999,360,Calc!$C$36),Calc!$C$14=1),CHOOSE(Calc!$C$3,INDEX('Snowball Engine'!$AH145:$AV145,Calc!$I$14),INDEX('Avalanche Engine'!$AH145:$AV145,Calc!$J$14),INDEX('My Order Engine'!$AH145:$AV145,Calc!$K$14)),"")</f>
        <v/>
      </c>
      <c r="L143" s="25" t="str">
        <f>IF(AND($A143&lt;=IF(Calc!$C$36=999,360,Calc!$C$36),Calc!$C$15=1),CHOOSE(Calc!$C$3,INDEX('Snowball Engine'!$AH145:$AV145,Calc!$I$15),INDEX('Avalanche Engine'!$AH145:$AV145,Calc!$J$15),INDEX('My Order Engine'!$AH145:$AV145,Calc!$K$15)),"")</f>
        <v/>
      </c>
      <c r="M143" s="25" t="str">
        <f>IF(AND($A143&lt;=IF(Calc!$C$36=999,360,Calc!$C$36),Calc!$C$16=1),CHOOSE(Calc!$C$3,INDEX('Snowball Engine'!$AH145:$AV145,Calc!$I$16),INDEX('Avalanche Engine'!$AH145:$AV145,Calc!$J$16),INDEX('My Order Engine'!$AH145:$AV145,Calc!$K$16)),"")</f>
        <v/>
      </c>
      <c r="N143" s="25" t="str">
        <f>IF(AND($A143&lt;=IF(Calc!$C$36=999,360,Calc!$C$36),Calc!$C$17=1),CHOOSE(Calc!$C$3,INDEX('Snowball Engine'!$AH145:$AV145,Calc!$I$17),INDEX('Avalanche Engine'!$AH145:$AV145,Calc!$J$17),INDEX('My Order Engine'!$AH145:$AV145,Calc!$K$17)),"")</f>
        <v/>
      </c>
      <c r="O143" s="25" t="str">
        <f>IF(AND($A143&lt;=IF(Calc!$C$36=999,360,Calc!$C$36),Calc!$C$18=1),CHOOSE(Calc!$C$3,INDEX('Snowball Engine'!$AH145:$AV145,Calc!$I$18),INDEX('Avalanche Engine'!$AH145:$AV145,Calc!$J$18),INDEX('My Order Engine'!$AH145:$AV145,Calc!$K$18)),"")</f>
        <v/>
      </c>
      <c r="P143" s="25" t="str">
        <f>IF(AND($A143&lt;=IF(Calc!$C$36=999,360,Calc!$C$36),Calc!$C$19=1),CHOOSE(Calc!$C$3,INDEX('Snowball Engine'!$AH145:$AV145,Calc!$I$19),INDEX('Avalanche Engine'!$AH145:$AV145,Calc!$J$19),INDEX('My Order Engine'!$AH145:$AV145,Calc!$K$19)),"")</f>
        <v/>
      </c>
      <c r="Q143" s="25" t="str">
        <f>IF(AND($A143&lt;=IF(Calc!$C$36=999,360,Calc!$C$36),Calc!$C$20=1),CHOOSE(Calc!$C$3,INDEX('Snowball Engine'!$AH145:$AV145,Calc!$I$20),INDEX('Avalanche Engine'!$AH145:$AV145,Calc!$J$20),INDEX('My Order Engine'!$AH145:$AV145,Calc!$K$20)),"")</f>
        <v/>
      </c>
      <c r="R143" s="25" t="str">
        <f>IF(AND($A143&lt;=IF(Calc!$C$36=999,360,Calc!$C$36),Calc!$C$21=1),CHOOSE(Calc!$C$3,INDEX('Snowball Engine'!$AH145:$AV145,Calc!$I$21),INDEX('Avalanche Engine'!$AH145:$AV145,Calc!$J$21),INDEX('My Order Engine'!$AH145:$AV145,Calc!$K$21)),"")</f>
        <v/>
      </c>
      <c r="S143" s="25" t="str">
        <f>IF(AND($A143&lt;=IF(Calc!$C$36=999,360,Calc!$C$36),Calc!$C$22=1),CHOOSE(Calc!$C$3,INDEX('Snowball Engine'!$AH145:$AV145,Calc!$I$22),INDEX('Avalanche Engine'!$AH145:$AV145,Calc!$J$22),INDEX('My Order Engine'!$AH145:$AV145,Calc!$K$22)),"")</f>
        <v/>
      </c>
      <c r="T143" s="25" t="str">
        <f>IF(AND($A143&lt;=IF(Calc!$C$36=999,360,Calc!$C$36),Calc!$C$23=1),CHOOSE(Calc!$C$3,INDEX('Snowball Engine'!$AH145:$AV145,Calc!$I$23),INDEX('Avalanche Engine'!$AH145:$AV145,Calc!$J$23),INDEX('My Order Engine'!$AH145:$AV145,Calc!$K$23)),"")</f>
        <v/>
      </c>
      <c r="U143" s="25" t="str">
        <f>IF(AND($A143&lt;=IF(Calc!$C$36=999,360,Calc!$C$36),Calc!$C$24=1),CHOOSE(Calc!$C$3,INDEX('Snowball Engine'!$AH145:$AV145,Calc!$I$24),INDEX('Avalanche Engine'!$AH145:$AV145,Calc!$J$24),INDEX('My Order Engine'!$AH145:$AV145,Calc!$K$24)),"")</f>
        <v/>
      </c>
    </row>
    <row r="144" spans="1:21" x14ac:dyDescent="0.35">
      <c r="A144" s="23">
        <v>140</v>
      </c>
      <c r="B144" s="24" t="str">
        <f>IF($A144&lt;=IF(Calc!$C$36=999,360,Calc!$C$36),EDATE(Calc!$C$5,A144-1),"")</f>
        <v/>
      </c>
      <c r="C144" s="25" t="str">
        <f>IF($A144&lt;=IF(Calc!$C$36=999,360,Calc!$C$36),CHOOSE(Calc!$C$3,'Snowball Engine'!AY146,'Avalanche Engine'!AY146,'My Order Engine'!AY146),"")</f>
        <v/>
      </c>
      <c r="D144" s="25" t="str">
        <f>IF($A144&lt;=IF(Calc!$C$36=999,360,Calc!$C$36),CHOOSE(Calc!$C$3,'Snowball Engine'!AX146,'Avalanche Engine'!AX146,'My Order Engine'!AX146),"")</f>
        <v/>
      </c>
      <c r="E144" s="25" t="str">
        <f>IF($A144&lt;=IF(Calc!$C$36=999,360,Calc!$C$36),C144-D144,"")</f>
        <v/>
      </c>
      <c r="F144" s="25" t="str">
        <f>IF($A144&lt;=IF(Calc!$C$36=999,360,Calc!$C$36),CHOOSE(Calc!$C$3,'Snowball Engine'!AW146,'Avalanche Engine'!AW146,'My Order Engine'!AW146),"")</f>
        <v/>
      </c>
      <c r="G144" s="25" t="str">
        <f>IF(AND($A144&lt;=IF(Calc!$C$36=999,360,Calc!$C$36),Calc!$C$10=1),CHOOSE(Calc!$C$3,INDEX('Snowball Engine'!$AH146:$AV146,Calc!$I$10),INDEX('Avalanche Engine'!$AH146:$AV146,Calc!$J$10),INDEX('My Order Engine'!$AH146:$AV146,Calc!$K$10)),"")</f>
        <v/>
      </c>
      <c r="H144" s="25" t="str">
        <f>IF(AND($A144&lt;=IF(Calc!$C$36=999,360,Calc!$C$36),Calc!$C$11=1),CHOOSE(Calc!$C$3,INDEX('Snowball Engine'!$AH146:$AV146,Calc!$I$11),INDEX('Avalanche Engine'!$AH146:$AV146,Calc!$J$11),INDEX('My Order Engine'!$AH146:$AV146,Calc!$K$11)),"")</f>
        <v/>
      </c>
      <c r="I144" s="25" t="str">
        <f>IF(AND($A144&lt;=IF(Calc!$C$36=999,360,Calc!$C$36),Calc!$C$12=1),CHOOSE(Calc!$C$3,INDEX('Snowball Engine'!$AH146:$AV146,Calc!$I$12),INDEX('Avalanche Engine'!$AH146:$AV146,Calc!$J$12),INDEX('My Order Engine'!$AH146:$AV146,Calc!$K$12)),"")</f>
        <v/>
      </c>
      <c r="J144" s="25" t="str">
        <f>IF(AND($A144&lt;=IF(Calc!$C$36=999,360,Calc!$C$36),Calc!$C$13=1),CHOOSE(Calc!$C$3,INDEX('Snowball Engine'!$AH146:$AV146,Calc!$I$13),INDEX('Avalanche Engine'!$AH146:$AV146,Calc!$J$13),INDEX('My Order Engine'!$AH146:$AV146,Calc!$K$13)),"")</f>
        <v/>
      </c>
      <c r="K144" s="25" t="str">
        <f>IF(AND($A144&lt;=IF(Calc!$C$36=999,360,Calc!$C$36),Calc!$C$14=1),CHOOSE(Calc!$C$3,INDEX('Snowball Engine'!$AH146:$AV146,Calc!$I$14),INDEX('Avalanche Engine'!$AH146:$AV146,Calc!$J$14),INDEX('My Order Engine'!$AH146:$AV146,Calc!$K$14)),"")</f>
        <v/>
      </c>
      <c r="L144" s="25" t="str">
        <f>IF(AND($A144&lt;=IF(Calc!$C$36=999,360,Calc!$C$36),Calc!$C$15=1),CHOOSE(Calc!$C$3,INDEX('Snowball Engine'!$AH146:$AV146,Calc!$I$15),INDEX('Avalanche Engine'!$AH146:$AV146,Calc!$J$15),INDEX('My Order Engine'!$AH146:$AV146,Calc!$K$15)),"")</f>
        <v/>
      </c>
      <c r="M144" s="25" t="str">
        <f>IF(AND($A144&lt;=IF(Calc!$C$36=999,360,Calc!$C$36),Calc!$C$16=1),CHOOSE(Calc!$C$3,INDEX('Snowball Engine'!$AH146:$AV146,Calc!$I$16),INDEX('Avalanche Engine'!$AH146:$AV146,Calc!$J$16),INDEX('My Order Engine'!$AH146:$AV146,Calc!$K$16)),"")</f>
        <v/>
      </c>
      <c r="N144" s="25" t="str">
        <f>IF(AND($A144&lt;=IF(Calc!$C$36=999,360,Calc!$C$36),Calc!$C$17=1),CHOOSE(Calc!$C$3,INDEX('Snowball Engine'!$AH146:$AV146,Calc!$I$17),INDEX('Avalanche Engine'!$AH146:$AV146,Calc!$J$17),INDEX('My Order Engine'!$AH146:$AV146,Calc!$K$17)),"")</f>
        <v/>
      </c>
      <c r="O144" s="25" t="str">
        <f>IF(AND($A144&lt;=IF(Calc!$C$36=999,360,Calc!$C$36),Calc!$C$18=1),CHOOSE(Calc!$C$3,INDEX('Snowball Engine'!$AH146:$AV146,Calc!$I$18),INDEX('Avalanche Engine'!$AH146:$AV146,Calc!$J$18),INDEX('My Order Engine'!$AH146:$AV146,Calc!$K$18)),"")</f>
        <v/>
      </c>
      <c r="P144" s="25" t="str">
        <f>IF(AND($A144&lt;=IF(Calc!$C$36=999,360,Calc!$C$36),Calc!$C$19=1),CHOOSE(Calc!$C$3,INDEX('Snowball Engine'!$AH146:$AV146,Calc!$I$19),INDEX('Avalanche Engine'!$AH146:$AV146,Calc!$J$19),INDEX('My Order Engine'!$AH146:$AV146,Calc!$K$19)),"")</f>
        <v/>
      </c>
      <c r="Q144" s="25" t="str">
        <f>IF(AND($A144&lt;=IF(Calc!$C$36=999,360,Calc!$C$36),Calc!$C$20=1),CHOOSE(Calc!$C$3,INDEX('Snowball Engine'!$AH146:$AV146,Calc!$I$20),INDEX('Avalanche Engine'!$AH146:$AV146,Calc!$J$20),INDEX('My Order Engine'!$AH146:$AV146,Calc!$K$20)),"")</f>
        <v/>
      </c>
      <c r="R144" s="25" t="str">
        <f>IF(AND($A144&lt;=IF(Calc!$C$36=999,360,Calc!$C$36),Calc!$C$21=1),CHOOSE(Calc!$C$3,INDEX('Snowball Engine'!$AH146:$AV146,Calc!$I$21),INDEX('Avalanche Engine'!$AH146:$AV146,Calc!$J$21),INDEX('My Order Engine'!$AH146:$AV146,Calc!$K$21)),"")</f>
        <v/>
      </c>
      <c r="S144" s="25" t="str">
        <f>IF(AND($A144&lt;=IF(Calc!$C$36=999,360,Calc!$C$36),Calc!$C$22=1),CHOOSE(Calc!$C$3,INDEX('Snowball Engine'!$AH146:$AV146,Calc!$I$22),INDEX('Avalanche Engine'!$AH146:$AV146,Calc!$J$22),INDEX('My Order Engine'!$AH146:$AV146,Calc!$K$22)),"")</f>
        <v/>
      </c>
      <c r="T144" s="25" t="str">
        <f>IF(AND($A144&lt;=IF(Calc!$C$36=999,360,Calc!$C$36),Calc!$C$23=1),CHOOSE(Calc!$C$3,INDEX('Snowball Engine'!$AH146:$AV146,Calc!$I$23),INDEX('Avalanche Engine'!$AH146:$AV146,Calc!$J$23),INDEX('My Order Engine'!$AH146:$AV146,Calc!$K$23)),"")</f>
        <v/>
      </c>
      <c r="U144" s="25" t="str">
        <f>IF(AND($A144&lt;=IF(Calc!$C$36=999,360,Calc!$C$36),Calc!$C$24=1),CHOOSE(Calc!$C$3,INDEX('Snowball Engine'!$AH146:$AV146,Calc!$I$24),INDEX('Avalanche Engine'!$AH146:$AV146,Calc!$J$24),INDEX('My Order Engine'!$AH146:$AV146,Calc!$K$24)),"")</f>
        <v/>
      </c>
    </row>
    <row r="145" spans="1:21" x14ac:dyDescent="0.35">
      <c r="A145" s="23">
        <v>141</v>
      </c>
      <c r="B145" s="24" t="str">
        <f>IF($A145&lt;=IF(Calc!$C$36=999,360,Calc!$C$36),EDATE(Calc!$C$5,A145-1),"")</f>
        <v/>
      </c>
      <c r="C145" s="25" t="str">
        <f>IF($A145&lt;=IF(Calc!$C$36=999,360,Calc!$C$36),CHOOSE(Calc!$C$3,'Snowball Engine'!AY147,'Avalanche Engine'!AY147,'My Order Engine'!AY147),"")</f>
        <v/>
      </c>
      <c r="D145" s="25" t="str">
        <f>IF($A145&lt;=IF(Calc!$C$36=999,360,Calc!$C$36),CHOOSE(Calc!$C$3,'Snowball Engine'!AX147,'Avalanche Engine'!AX147,'My Order Engine'!AX147),"")</f>
        <v/>
      </c>
      <c r="E145" s="25" t="str">
        <f>IF($A145&lt;=IF(Calc!$C$36=999,360,Calc!$C$36),C145-D145,"")</f>
        <v/>
      </c>
      <c r="F145" s="25" t="str">
        <f>IF($A145&lt;=IF(Calc!$C$36=999,360,Calc!$C$36),CHOOSE(Calc!$C$3,'Snowball Engine'!AW147,'Avalanche Engine'!AW147,'My Order Engine'!AW147),"")</f>
        <v/>
      </c>
      <c r="G145" s="25" t="str">
        <f>IF(AND($A145&lt;=IF(Calc!$C$36=999,360,Calc!$C$36),Calc!$C$10=1),CHOOSE(Calc!$C$3,INDEX('Snowball Engine'!$AH147:$AV147,Calc!$I$10),INDEX('Avalanche Engine'!$AH147:$AV147,Calc!$J$10),INDEX('My Order Engine'!$AH147:$AV147,Calc!$K$10)),"")</f>
        <v/>
      </c>
      <c r="H145" s="25" t="str">
        <f>IF(AND($A145&lt;=IF(Calc!$C$36=999,360,Calc!$C$36),Calc!$C$11=1),CHOOSE(Calc!$C$3,INDEX('Snowball Engine'!$AH147:$AV147,Calc!$I$11),INDEX('Avalanche Engine'!$AH147:$AV147,Calc!$J$11),INDEX('My Order Engine'!$AH147:$AV147,Calc!$K$11)),"")</f>
        <v/>
      </c>
      <c r="I145" s="25" t="str">
        <f>IF(AND($A145&lt;=IF(Calc!$C$36=999,360,Calc!$C$36),Calc!$C$12=1),CHOOSE(Calc!$C$3,INDEX('Snowball Engine'!$AH147:$AV147,Calc!$I$12),INDEX('Avalanche Engine'!$AH147:$AV147,Calc!$J$12),INDEX('My Order Engine'!$AH147:$AV147,Calc!$K$12)),"")</f>
        <v/>
      </c>
      <c r="J145" s="25" t="str">
        <f>IF(AND($A145&lt;=IF(Calc!$C$36=999,360,Calc!$C$36),Calc!$C$13=1),CHOOSE(Calc!$C$3,INDEX('Snowball Engine'!$AH147:$AV147,Calc!$I$13),INDEX('Avalanche Engine'!$AH147:$AV147,Calc!$J$13),INDEX('My Order Engine'!$AH147:$AV147,Calc!$K$13)),"")</f>
        <v/>
      </c>
      <c r="K145" s="25" t="str">
        <f>IF(AND($A145&lt;=IF(Calc!$C$36=999,360,Calc!$C$36),Calc!$C$14=1),CHOOSE(Calc!$C$3,INDEX('Snowball Engine'!$AH147:$AV147,Calc!$I$14),INDEX('Avalanche Engine'!$AH147:$AV147,Calc!$J$14),INDEX('My Order Engine'!$AH147:$AV147,Calc!$K$14)),"")</f>
        <v/>
      </c>
      <c r="L145" s="25" t="str">
        <f>IF(AND($A145&lt;=IF(Calc!$C$36=999,360,Calc!$C$36),Calc!$C$15=1),CHOOSE(Calc!$C$3,INDEX('Snowball Engine'!$AH147:$AV147,Calc!$I$15),INDEX('Avalanche Engine'!$AH147:$AV147,Calc!$J$15),INDEX('My Order Engine'!$AH147:$AV147,Calc!$K$15)),"")</f>
        <v/>
      </c>
      <c r="M145" s="25" t="str">
        <f>IF(AND($A145&lt;=IF(Calc!$C$36=999,360,Calc!$C$36),Calc!$C$16=1),CHOOSE(Calc!$C$3,INDEX('Snowball Engine'!$AH147:$AV147,Calc!$I$16),INDEX('Avalanche Engine'!$AH147:$AV147,Calc!$J$16),INDEX('My Order Engine'!$AH147:$AV147,Calc!$K$16)),"")</f>
        <v/>
      </c>
      <c r="N145" s="25" t="str">
        <f>IF(AND($A145&lt;=IF(Calc!$C$36=999,360,Calc!$C$36),Calc!$C$17=1),CHOOSE(Calc!$C$3,INDEX('Snowball Engine'!$AH147:$AV147,Calc!$I$17),INDEX('Avalanche Engine'!$AH147:$AV147,Calc!$J$17),INDEX('My Order Engine'!$AH147:$AV147,Calc!$K$17)),"")</f>
        <v/>
      </c>
      <c r="O145" s="25" t="str">
        <f>IF(AND($A145&lt;=IF(Calc!$C$36=999,360,Calc!$C$36),Calc!$C$18=1),CHOOSE(Calc!$C$3,INDEX('Snowball Engine'!$AH147:$AV147,Calc!$I$18),INDEX('Avalanche Engine'!$AH147:$AV147,Calc!$J$18),INDEX('My Order Engine'!$AH147:$AV147,Calc!$K$18)),"")</f>
        <v/>
      </c>
      <c r="P145" s="25" t="str">
        <f>IF(AND($A145&lt;=IF(Calc!$C$36=999,360,Calc!$C$36),Calc!$C$19=1),CHOOSE(Calc!$C$3,INDEX('Snowball Engine'!$AH147:$AV147,Calc!$I$19),INDEX('Avalanche Engine'!$AH147:$AV147,Calc!$J$19),INDEX('My Order Engine'!$AH147:$AV147,Calc!$K$19)),"")</f>
        <v/>
      </c>
      <c r="Q145" s="25" t="str">
        <f>IF(AND($A145&lt;=IF(Calc!$C$36=999,360,Calc!$C$36),Calc!$C$20=1),CHOOSE(Calc!$C$3,INDEX('Snowball Engine'!$AH147:$AV147,Calc!$I$20),INDEX('Avalanche Engine'!$AH147:$AV147,Calc!$J$20),INDEX('My Order Engine'!$AH147:$AV147,Calc!$K$20)),"")</f>
        <v/>
      </c>
      <c r="R145" s="25" t="str">
        <f>IF(AND($A145&lt;=IF(Calc!$C$36=999,360,Calc!$C$36),Calc!$C$21=1),CHOOSE(Calc!$C$3,INDEX('Snowball Engine'!$AH147:$AV147,Calc!$I$21),INDEX('Avalanche Engine'!$AH147:$AV147,Calc!$J$21),INDEX('My Order Engine'!$AH147:$AV147,Calc!$K$21)),"")</f>
        <v/>
      </c>
      <c r="S145" s="25" t="str">
        <f>IF(AND($A145&lt;=IF(Calc!$C$36=999,360,Calc!$C$36),Calc!$C$22=1),CHOOSE(Calc!$C$3,INDEX('Snowball Engine'!$AH147:$AV147,Calc!$I$22),INDEX('Avalanche Engine'!$AH147:$AV147,Calc!$J$22),INDEX('My Order Engine'!$AH147:$AV147,Calc!$K$22)),"")</f>
        <v/>
      </c>
      <c r="T145" s="25" t="str">
        <f>IF(AND($A145&lt;=IF(Calc!$C$36=999,360,Calc!$C$36),Calc!$C$23=1),CHOOSE(Calc!$C$3,INDEX('Snowball Engine'!$AH147:$AV147,Calc!$I$23),INDEX('Avalanche Engine'!$AH147:$AV147,Calc!$J$23),INDEX('My Order Engine'!$AH147:$AV147,Calc!$K$23)),"")</f>
        <v/>
      </c>
      <c r="U145" s="25" t="str">
        <f>IF(AND($A145&lt;=IF(Calc!$C$36=999,360,Calc!$C$36),Calc!$C$24=1),CHOOSE(Calc!$C$3,INDEX('Snowball Engine'!$AH147:$AV147,Calc!$I$24),INDEX('Avalanche Engine'!$AH147:$AV147,Calc!$J$24),INDEX('My Order Engine'!$AH147:$AV147,Calc!$K$24)),"")</f>
        <v/>
      </c>
    </row>
    <row r="146" spans="1:21" x14ac:dyDescent="0.35">
      <c r="A146" s="23">
        <v>142</v>
      </c>
      <c r="B146" s="24" t="str">
        <f>IF($A146&lt;=IF(Calc!$C$36=999,360,Calc!$C$36),EDATE(Calc!$C$5,A146-1),"")</f>
        <v/>
      </c>
      <c r="C146" s="25" t="str">
        <f>IF($A146&lt;=IF(Calc!$C$36=999,360,Calc!$C$36),CHOOSE(Calc!$C$3,'Snowball Engine'!AY148,'Avalanche Engine'!AY148,'My Order Engine'!AY148),"")</f>
        <v/>
      </c>
      <c r="D146" s="25" t="str">
        <f>IF($A146&lt;=IF(Calc!$C$36=999,360,Calc!$C$36),CHOOSE(Calc!$C$3,'Snowball Engine'!AX148,'Avalanche Engine'!AX148,'My Order Engine'!AX148),"")</f>
        <v/>
      </c>
      <c r="E146" s="25" t="str">
        <f>IF($A146&lt;=IF(Calc!$C$36=999,360,Calc!$C$36),C146-D146,"")</f>
        <v/>
      </c>
      <c r="F146" s="25" t="str">
        <f>IF($A146&lt;=IF(Calc!$C$36=999,360,Calc!$C$36),CHOOSE(Calc!$C$3,'Snowball Engine'!AW148,'Avalanche Engine'!AW148,'My Order Engine'!AW148),"")</f>
        <v/>
      </c>
      <c r="G146" s="25" t="str">
        <f>IF(AND($A146&lt;=IF(Calc!$C$36=999,360,Calc!$C$36),Calc!$C$10=1),CHOOSE(Calc!$C$3,INDEX('Snowball Engine'!$AH148:$AV148,Calc!$I$10),INDEX('Avalanche Engine'!$AH148:$AV148,Calc!$J$10),INDEX('My Order Engine'!$AH148:$AV148,Calc!$K$10)),"")</f>
        <v/>
      </c>
      <c r="H146" s="25" t="str">
        <f>IF(AND($A146&lt;=IF(Calc!$C$36=999,360,Calc!$C$36),Calc!$C$11=1),CHOOSE(Calc!$C$3,INDEX('Snowball Engine'!$AH148:$AV148,Calc!$I$11),INDEX('Avalanche Engine'!$AH148:$AV148,Calc!$J$11),INDEX('My Order Engine'!$AH148:$AV148,Calc!$K$11)),"")</f>
        <v/>
      </c>
      <c r="I146" s="25" t="str">
        <f>IF(AND($A146&lt;=IF(Calc!$C$36=999,360,Calc!$C$36),Calc!$C$12=1),CHOOSE(Calc!$C$3,INDEX('Snowball Engine'!$AH148:$AV148,Calc!$I$12),INDEX('Avalanche Engine'!$AH148:$AV148,Calc!$J$12),INDEX('My Order Engine'!$AH148:$AV148,Calc!$K$12)),"")</f>
        <v/>
      </c>
      <c r="J146" s="25" t="str">
        <f>IF(AND($A146&lt;=IF(Calc!$C$36=999,360,Calc!$C$36),Calc!$C$13=1),CHOOSE(Calc!$C$3,INDEX('Snowball Engine'!$AH148:$AV148,Calc!$I$13),INDEX('Avalanche Engine'!$AH148:$AV148,Calc!$J$13),INDEX('My Order Engine'!$AH148:$AV148,Calc!$K$13)),"")</f>
        <v/>
      </c>
      <c r="K146" s="25" t="str">
        <f>IF(AND($A146&lt;=IF(Calc!$C$36=999,360,Calc!$C$36),Calc!$C$14=1),CHOOSE(Calc!$C$3,INDEX('Snowball Engine'!$AH148:$AV148,Calc!$I$14),INDEX('Avalanche Engine'!$AH148:$AV148,Calc!$J$14),INDEX('My Order Engine'!$AH148:$AV148,Calc!$K$14)),"")</f>
        <v/>
      </c>
      <c r="L146" s="25" t="str">
        <f>IF(AND($A146&lt;=IF(Calc!$C$36=999,360,Calc!$C$36),Calc!$C$15=1),CHOOSE(Calc!$C$3,INDEX('Snowball Engine'!$AH148:$AV148,Calc!$I$15),INDEX('Avalanche Engine'!$AH148:$AV148,Calc!$J$15),INDEX('My Order Engine'!$AH148:$AV148,Calc!$K$15)),"")</f>
        <v/>
      </c>
      <c r="M146" s="25" t="str">
        <f>IF(AND($A146&lt;=IF(Calc!$C$36=999,360,Calc!$C$36),Calc!$C$16=1),CHOOSE(Calc!$C$3,INDEX('Snowball Engine'!$AH148:$AV148,Calc!$I$16),INDEX('Avalanche Engine'!$AH148:$AV148,Calc!$J$16),INDEX('My Order Engine'!$AH148:$AV148,Calc!$K$16)),"")</f>
        <v/>
      </c>
      <c r="N146" s="25" t="str">
        <f>IF(AND($A146&lt;=IF(Calc!$C$36=999,360,Calc!$C$36),Calc!$C$17=1),CHOOSE(Calc!$C$3,INDEX('Snowball Engine'!$AH148:$AV148,Calc!$I$17),INDEX('Avalanche Engine'!$AH148:$AV148,Calc!$J$17),INDEX('My Order Engine'!$AH148:$AV148,Calc!$K$17)),"")</f>
        <v/>
      </c>
      <c r="O146" s="25" t="str">
        <f>IF(AND($A146&lt;=IF(Calc!$C$36=999,360,Calc!$C$36),Calc!$C$18=1),CHOOSE(Calc!$C$3,INDEX('Snowball Engine'!$AH148:$AV148,Calc!$I$18),INDEX('Avalanche Engine'!$AH148:$AV148,Calc!$J$18),INDEX('My Order Engine'!$AH148:$AV148,Calc!$K$18)),"")</f>
        <v/>
      </c>
      <c r="P146" s="25" t="str">
        <f>IF(AND($A146&lt;=IF(Calc!$C$36=999,360,Calc!$C$36),Calc!$C$19=1),CHOOSE(Calc!$C$3,INDEX('Snowball Engine'!$AH148:$AV148,Calc!$I$19),INDEX('Avalanche Engine'!$AH148:$AV148,Calc!$J$19),INDEX('My Order Engine'!$AH148:$AV148,Calc!$K$19)),"")</f>
        <v/>
      </c>
      <c r="Q146" s="25" t="str">
        <f>IF(AND($A146&lt;=IF(Calc!$C$36=999,360,Calc!$C$36),Calc!$C$20=1),CHOOSE(Calc!$C$3,INDEX('Snowball Engine'!$AH148:$AV148,Calc!$I$20),INDEX('Avalanche Engine'!$AH148:$AV148,Calc!$J$20),INDEX('My Order Engine'!$AH148:$AV148,Calc!$K$20)),"")</f>
        <v/>
      </c>
      <c r="R146" s="25" t="str">
        <f>IF(AND($A146&lt;=IF(Calc!$C$36=999,360,Calc!$C$36),Calc!$C$21=1),CHOOSE(Calc!$C$3,INDEX('Snowball Engine'!$AH148:$AV148,Calc!$I$21),INDEX('Avalanche Engine'!$AH148:$AV148,Calc!$J$21),INDEX('My Order Engine'!$AH148:$AV148,Calc!$K$21)),"")</f>
        <v/>
      </c>
      <c r="S146" s="25" t="str">
        <f>IF(AND($A146&lt;=IF(Calc!$C$36=999,360,Calc!$C$36),Calc!$C$22=1),CHOOSE(Calc!$C$3,INDEX('Snowball Engine'!$AH148:$AV148,Calc!$I$22),INDEX('Avalanche Engine'!$AH148:$AV148,Calc!$J$22),INDEX('My Order Engine'!$AH148:$AV148,Calc!$K$22)),"")</f>
        <v/>
      </c>
      <c r="T146" s="25" t="str">
        <f>IF(AND($A146&lt;=IF(Calc!$C$36=999,360,Calc!$C$36),Calc!$C$23=1),CHOOSE(Calc!$C$3,INDEX('Snowball Engine'!$AH148:$AV148,Calc!$I$23),INDEX('Avalanche Engine'!$AH148:$AV148,Calc!$J$23),INDEX('My Order Engine'!$AH148:$AV148,Calc!$K$23)),"")</f>
        <v/>
      </c>
      <c r="U146" s="25" t="str">
        <f>IF(AND($A146&lt;=IF(Calc!$C$36=999,360,Calc!$C$36),Calc!$C$24=1),CHOOSE(Calc!$C$3,INDEX('Snowball Engine'!$AH148:$AV148,Calc!$I$24),INDEX('Avalanche Engine'!$AH148:$AV148,Calc!$J$24),INDEX('My Order Engine'!$AH148:$AV148,Calc!$K$24)),"")</f>
        <v/>
      </c>
    </row>
    <row r="147" spans="1:21" x14ac:dyDescent="0.35">
      <c r="A147" s="23">
        <v>143</v>
      </c>
      <c r="B147" s="24" t="str">
        <f>IF($A147&lt;=IF(Calc!$C$36=999,360,Calc!$C$36),EDATE(Calc!$C$5,A147-1),"")</f>
        <v/>
      </c>
      <c r="C147" s="25" t="str">
        <f>IF($A147&lt;=IF(Calc!$C$36=999,360,Calc!$C$36),CHOOSE(Calc!$C$3,'Snowball Engine'!AY149,'Avalanche Engine'!AY149,'My Order Engine'!AY149),"")</f>
        <v/>
      </c>
      <c r="D147" s="25" t="str">
        <f>IF($A147&lt;=IF(Calc!$C$36=999,360,Calc!$C$36),CHOOSE(Calc!$C$3,'Snowball Engine'!AX149,'Avalanche Engine'!AX149,'My Order Engine'!AX149),"")</f>
        <v/>
      </c>
      <c r="E147" s="25" t="str">
        <f>IF($A147&lt;=IF(Calc!$C$36=999,360,Calc!$C$36),C147-D147,"")</f>
        <v/>
      </c>
      <c r="F147" s="25" t="str">
        <f>IF($A147&lt;=IF(Calc!$C$36=999,360,Calc!$C$36),CHOOSE(Calc!$C$3,'Snowball Engine'!AW149,'Avalanche Engine'!AW149,'My Order Engine'!AW149),"")</f>
        <v/>
      </c>
      <c r="G147" s="25" t="str">
        <f>IF(AND($A147&lt;=IF(Calc!$C$36=999,360,Calc!$C$36),Calc!$C$10=1),CHOOSE(Calc!$C$3,INDEX('Snowball Engine'!$AH149:$AV149,Calc!$I$10),INDEX('Avalanche Engine'!$AH149:$AV149,Calc!$J$10),INDEX('My Order Engine'!$AH149:$AV149,Calc!$K$10)),"")</f>
        <v/>
      </c>
      <c r="H147" s="25" t="str">
        <f>IF(AND($A147&lt;=IF(Calc!$C$36=999,360,Calc!$C$36),Calc!$C$11=1),CHOOSE(Calc!$C$3,INDEX('Snowball Engine'!$AH149:$AV149,Calc!$I$11),INDEX('Avalanche Engine'!$AH149:$AV149,Calc!$J$11),INDEX('My Order Engine'!$AH149:$AV149,Calc!$K$11)),"")</f>
        <v/>
      </c>
      <c r="I147" s="25" t="str">
        <f>IF(AND($A147&lt;=IF(Calc!$C$36=999,360,Calc!$C$36),Calc!$C$12=1),CHOOSE(Calc!$C$3,INDEX('Snowball Engine'!$AH149:$AV149,Calc!$I$12),INDEX('Avalanche Engine'!$AH149:$AV149,Calc!$J$12),INDEX('My Order Engine'!$AH149:$AV149,Calc!$K$12)),"")</f>
        <v/>
      </c>
      <c r="J147" s="25" t="str">
        <f>IF(AND($A147&lt;=IF(Calc!$C$36=999,360,Calc!$C$36),Calc!$C$13=1),CHOOSE(Calc!$C$3,INDEX('Snowball Engine'!$AH149:$AV149,Calc!$I$13),INDEX('Avalanche Engine'!$AH149:$AV149,Calc!$J$13),INDEX('My Order Engine'!$AH149:$AV149,Calc!$K$13)),"")</f>
        <v/>
      </c>
      <c r="K147" s="25" t="str">
        <f>IF(AND($A147&lt;=IF(Calc!$C$36=999,360,Calc!$C$36),Calc!$C$14=1),CHOOSE(Calc!$C$3,INDEX('Snowball Engine'!$AH149:$AV149,Calc!$I$14),INDEX('Avalanche Engine'!$AH149:$AV149,Calc!$J$14),INDEX('My Order Engine'!$AH149:$AV149,Calc!$K$14)),"")</f>
        <v/>
      </c>
      <c r="L147" s="25" t="str">
        <f>IF(AND($A147&lt;=IF(Calc!$C$36=999,360,Calc!$C$36),Calc!$C$15=1),CHOOSE(Calc!$C$3,INDEX('Snowball Engine'!$AH149:$AV149,Calc!$I$15),INDEX('Avalanche Engine'!$AH149:$AV149,Calc!$J$15),INDEX('My Order Engine'!$AH149:$AV149,Calc!$K$15)),"")</f>
        <v/>
      </c>
      <c r="M147" s="25" t="str">
        <f>IF(AND($A147&lt;=IF(Calc!$C$36=999,360,Calc!$C$36),Calc!$C$16=1),CHOOSE(Calc!$C$3,INDEX('Snowball Engine'!$AH149:$AV149,Calc!$I$16),INDEX('Avalanche Engine'!$AH149:$AV149,Calc!$J$16),INDEX('My Order Engine'!$AH149:$AV149,Calc!$K$16)),"")</f>
        <v/>
      </c>
      <c r="N147" s="25" t="str">
        <f>IF(AND($A147&lt;=IF(Calc!$C$36=999,360,Calc!$C$36),Calc!$C$17=1),CHOOSE(Calc!$C$3,INDEX('Snowball Engine'!$AH149:$AV149,Calc!$I$17),INDEX('Avalanche Engine'!$AH149:$AV149,Calc!$J$17),INDEX('My Order Engine'!$AH149:$AV149,Calc!$K$17)),"")</f>
        <v/>
      </c>
      <c r="O147" s="25" t="str">
        <f>IF(AND($A147&lt;=IF(Calc!$C$36=999,360,Calc!$C$36),Calc!$C$18=1),CHOOSE(Calc!$C$3,INDEX('Snowball Engine'!$AH149:$AV149,Calc!$I$18),INDEX('Avalanche Engine'!$AH149:$AV149,Calc!$J$18),INDEX('My Order Engine'!$AH149:$AV149,Calc!$K$18)),"")</f>
        <v/>
      </c>
      <c r="P147" s="25" t="str">
        <f>IF(AND($A147&lt;=IF(Calc!$C$36=999,360,Calc!$C$36),Calc!$C$19=1),CHOOSE(Calc!$C$3,INDEX('Snowball Engine'!$AH149:$AV149,Calc!$I$19),INDEX('Avalanche Engine'!$AH149:$AV149,Calc!$J$19),INDEX('My Order Engine'!$AH149:$AV149,Calc!$K$19)),"")</f>
        <v/>
      </c>
      <c r="Q147" s="25" t="str">
        <f>IF(AND($A147&lt;=IF(Calc!$C$36=999,360,Calc!$C$36),Calc!$C$20=1),CHOOSE(Calc!$C$3,INDEX('Snowball Engine'!$AH149:$AV149,Calc!$I$20),INDEX('Avalanche Engine'!$AH149:$AV149,Calc!$J$20),INDEX('My Order Engine'!$AH149:$AV149,Calc!$K$20)),"")</f>
        <v/>
      </c>
      <c r="R147" s="25" t="str">
        <f>IF(AND($A147&lt;=IF(Calc!$C$36=999,360,Calc!$C$36),Calc!$C$21=1),CHOOSE(Calc!$C$3,INDEX('Snowball Engine'!$AH149:$AV149,Calc!$I$21),INDEX('Avalanche Engine'!$AH149:$AV149,Calc!$J$21),INDEX('My Order Engine'!$AH149:$AV149,Calc!$K$21)),"")</f>
        <v/>
      </c>
      <c r="S147" s="25" t="str">
        <f>IF(AND($A147&lt;=IF(Calc!$C$36=999,360,Calc!$C$36),Calc!$C$22=1),CHOOSE(Calc!$C$3,INDEX('Snowball Engine'!$AH149:$AV149,Calc!$I$22),INDEX('Avalanche Engine'!$AH149:$AV149,Calc!$J$22),INDEX('My Order Engine'!$AH149:$AV149,Calc!$K$22)),"")</f>
        <v/>
      </c>
      <c r="T147" s="25" t="str">
        <f>IF(AND($A147&lt;=IF(Calc!$C$36=999,360,Calc!$C$36),Calc!$C$23=1),CHOOSE(Calc!$C$3,INDEX('Snowball Engine'!$AH149:$AV149,Calc!$I$23),INDEX('Avalanche Engine'!$AH149:$AV149,Calc!$J$23),INDEX('My Order Engine'!$AH149:$AV149,Calc!$K$23)),"")</f>
        <v/>
      </c>
      <c r="U147" s="25" t="str">
        <f>IF(AND($A147&lt;=IF(Calc!$C$36=999,360,Calc!$C$36),Calc!$C$24=1),CHOOSE(Calc!$C$3,INDEX('Snowball Engine'!$AH149:$AV149,Calc!$I$24),INDEX('Avalanche Engine'!$AH149:$AV149,Calc!$J$24),INDEX('My Order Engine'!$AH149:$AV149,Calc!$K$24)),"")</f>
        <v/>
      </c>
    </row>
    <row r="148" spans="1:21" x14ac:dyDescent="0.35">
      <c r="A148" s="23">
        <v>144</v>
      </c>
      <c r="B148" s="24" t="str">
        <f>IF($A148&lt;=IF(Calc!$C$36=999,360,Calc!$C$36),EDATE(Calc!$C$5,A148-1),"")</f>
        <v/>
      </c>
      <c r="C148" s="25" t="str">
        <f>IF($A148&lt;=IF(Calc!$C$36=999,360,Calc!$C$36),CHOOSE(Calc!$C$3,'Snowball Engine'!AY150,'Avalanche Engine'!AY150,'My Order Engine'!AY150),"")</f>
        <v/>
      </c>
      <c r="D148" s="25" t="str">
        <f>IF($A148&lt;=IF(Calc!$C$36=999,360,Calc!$C$36),CHOOSE(Calc!$C$3,'Snowball Engine'!AX150,'Avalanche Engine'!AX150,'My Order Engine'!AX150),"")</f>
        <v/>
      </c>
      <c r="E148" s="25" t="str">
        <f>IF($A148&lt;=IF(Calc!$C$36=999,360,Calc!$C$36),C148-D148,"")</f>
        <v/>
      </c>
      <c r="F148" s="25" t="str">
        <f>IF($A148&lt;=IF(Calc!$C$36=999,360,Calc!$C$36),CHOOSE(Calc!$C$3,'Snowball Engine'!AW150,'Avalanche Engine'!AW150,'My Order Engine'!AW150),"")</f>
        <v/>
      </c>
      <c r="G148" s="25" t="str">
        <f>IF(AND($A148&lt;=IF(Calc!$C$36=999,360,Calc!$C$36),Calc!$C$10=1),CHOOSE(Calc!$C$3,INDEX('Snowball Engine'!$AH150:$AV150,Calc!$I$10),INDEX('Avalanche Engine'!$AH150:$AV150,Calc!$J$10),INDEX('My Order Engine'!$AH150:$AV150,Calc!$K$10)),"")</f>
        <v/>
      </c>
      <c r="H148" s="25" t="str">
        <f>IF(AND($A148&lt;=IF(Calc!$C$36=999,360,Calc!$C$36),Calc!$C$11=1),CHOOSE(Calc!$C$3,INDEX('Snowball Engine'!$AH150:$AV150,Calc!$I$11),INDEX('Avalanche Engine'!$AH150:$AV150,Calc!$J$11),INDEX('My Order Engine'!$AH150:$AV150,Calc!$K$11)),"")</f>
        <v/>
      </c>
      <c r="I148" s="25" t="str">
        <f>IF(AND($A148&lt;=IF(Calc!$C$36=999,360,Calc!$C$36),Calc!$C$12=1),CHOOSE(Calc!$C$3,INDEX('Snowball Engine'!$AH150:$AV150,Calc!$I$12),INDEX('Avalanche Engine'!$AH150:$AV150,Calc!$J$12),INDEX('My Order Engine'!$AH150:$AV150,Calc!$K$12)),"")</f>
        <v/>
      </c>
      <c r="J148" s="25" t="str">
        <f>IF(AND($A148&lt;=IF(Calc!$C$36=999,360,Calc!$C$36),Calc!$C$13=1),CHOOSE(Calc!$C$3,INDEX('Snowball Engine'!$AH150:$AV150,Calc!$I$13),INDEX('Avalanche Engine'!$AH150:$AV150,Calc!$J$13),INDEX('My Order Engine'!$AH150:$AV150,Calc!$K$13)),"")</f>
        <v/>
      </c>
      <c r="K148" s="25" t="str">
        <f>IF(AND($A148&lt;=IF(Calc!$C$36=999,360,Calc!$C$36),Calc!$C$14=1),CHOOSE(Calc!$C$3,INDEX('Snowball Engine'!$AH150:$AV150,Calc!$I$14),INDEX('Avalanche Engine'!$AH150:$AV150,Calc!$J$14),INDEX('My Order Engine'!$AH150:$AV150,Calc!$K$14)),"")</f>
        <v/>
      </c>
      <c r="L148" s="25" t="str">
        <f>IF(AND($A148&lt;=IF(Calc!$C$36=999,360,Calc!$C$36),Calc!$C$15=1),CHOOSE(Calc!$C$3,INDEX('Snowball Engine'!$AH150:$AV150,Calc!$I$15),INDEX('Avalanche Engine'!$AH150:$AV150,Calc!$J$15),INDEX('My Order Engine'!$AH150:$AV150,Calc!$K$15)),"")</f>
        <v/>
      </c>
      <c r="M148" s="25" t="str">
        <f>IF(AND($A148&lt;=IF(Calc!$C$36=999,360,Calc!$C$36),Calc!$C$16=1),CHOOSE(Calc!$C$3,INDEX('Snowball Engine'!$AH150:$AV150,Calc!$I$16),INDEX('Avalanche Engine'!$AH150:$AV150,Calc!$J$16),INDEX('My Order Engine'!$AH150:$AV150,Calc!$K$16)),"")</f>
        <v/>
      </c>
      <c r="N148" s="25" t="str">
        <f>IF(AND($A148&lt;=IF(Calc!$C$36=999,360,Calc!$C$36),Calc!$C$17=1),CHOOSE(Calc!$C$3,INDEX('Snowball Engine'!$AH150:$AV150,Calc!$I$17),INDEX('Avalanche Engine'!$AH150:$AV150,Calc!$J$17),INDEX('My Order Engine'!$AH150:$AV150,Calc!$K$17)),"")</f>
        <v/>
      </c>
      <c r="O148" s="25" t="str">
        <f>IF(AND($A148&lt;=IF(Calc!$C$36=999,360,Calc!$C$36),Calc!$C$18=1),CHOOSE(Calc!$C$3,INDEX('Snowball Engine'!$AH150:$AV150,Calc!$I$18),INDEX('Avalanche Engine'!$AH150:$AV150,Calc!$J$18),INDEX('My Order Engine'!$AH150:$AV150,Calc!$K$18)),"")</f>
        <v/>
      </c>
      <c r="P148" s="25" t="str">
        <f>IF(AND($A148&lt;=IF(Calc!$C$36=999,360,Calc!$C$36),Calc!$C$19=1),CHOOSE(Calc!$C$3,INDEX('Snowball Engine'!$AH150:$AV150,Calc!$I$19),INDEX('Avalanche Engine'!$AH150:$AV150,Calc!$J$19),INDEX('My Order Engine'!$AH150:$AV150,Calc!$K$19)),"")</f>
        <v/>
      </c>
      <c r="Q148" s="25" t="str">
        <f>IF(AND($A148&lt;=IF(Calc!$C$36=999,360,Calc!$C$36),Calc!$C$20=1),CHOOSE(Calc!$C$3,INDEX('Snowball Engine'!$AH150:$AV150,Calc!$I$20),INDEX('Avalanche Engine'!$AH150:$AV150,Calc!$J$20),INDEX('My Order Engine'!$AH150:$AV150,Calc!$K$20)),"")</f>
        <v/>
      </c>
      <c r="R148" s="25" t="str">
        <f>IF(AND($A148&lt;=IF(Calc!$C$36=999,360,Calc!$C$36),Calc!$C$21=1),CHOOSE(Calc!$C$3,INDEX('Snowball Engine'!$AH150:$AV150,Calc!$I$21),INDEX('Avalanche Engine'!$AH150:$AV150,Calc!$J$21),INDEX('My Order Engine'!$AH150:$AV150,Calc!$K$21)),"")</f>
        <v/>
      </c>
      <c r="S148" s="25" t="str">
        <f>IF(AND($A148&lt;=IF(Calc!$C$36=999,360,Calc!$C$36),Calc!$C$22=1),CHOOSE(Calc!$C$3,INDEX('Snowball Engine'!$AH150:$AV150,Calc!$I$22),INDEX('Avalanche Engine'!$AH150:$AV150,Calc!$J$22),INDEX('My Order Engine'!$AH150:$AV150,Calc!$K$22)),"")</f>
        <v/>
      </c>
      <c r="T148" s="25" t="str">
        <f>IF(AND($A148&lt;=IF(Calc!$C$36=999,360,Calc!$C$36),Calc!$C$23=1),CHOOSE(Calc!$C$3,INDEX('Snowball Engine'!$AH150:$AV150,Calc!$I$23),INDEX('Avalanche Engine'!$AH150:$AV150,Calc!$J$23),INDEX('My Order Engine'!$AH150:$AV150,Calc!$K$23)),"")</f>
        <v/>
      </c>
      <c r="U148" s="25" t="str">
        <f>IF(AND($A148&lt;=IF(Calc!$C$36=999,360,Calc!$C$36),Calc!$C$24=1),CHOOSE(Calc!$C$3,INDEX('Snowball Engine'!$AH150:$AV150,Calc!$I$24),INDEX('Avalanche Engine'!$AH150:$AV150,Calc!$J$24),INDEX('My Order Engine'!$AH150:$AV150,Calc!$K$24)),"")</f>
        <v/>
      </c>
    </row>
    <row r="149" spans="1:21" x14ac:dyDescent="0.35">
      <c r="A149" s="23">
        <v>145</v>
      </c>
      <c r="B149" s="24" t="str">
        <f>IF($A149&lt;=IF(Calc!$C$36=999,360,Calc!$C$36),EDATE(Calc!$C$5,A149-1),"")</f>
        <v/>
      </c>
      <c r="C149" s="25" t="str">
        <f>IF($A149&lt;=IF(Calc!$C$36=999,360,Calc!$C$36),CHOOSE(Calc!$C$3,'Snowball Engine'!AY151,'Avalanche Engine'!AY151,'My Order Engine'!AY151),"")</f>
        <v/>
      </c>
      <c r="D149" s="25" t="str">
        <f>IF($A149&lt;=IF(Calc!$C$36=999,360,Calc!$C$36),CHOOSE(Calc!$C$3,'Snowball Engine'!AX151,'Avalanche Engine'!AX151,'My Order Engine'!AX151),"")</f>
        <v/>
      </c>
      <c r="E149" s="25" t="str">
        <f>IF($A149&lt;=IF(Calc!$C$36=999,360,Calc!$C$36),C149-D149,"")</f>
        <v/>
      </c>
      <c r="F149" s="25" t="str">
        <f>IF($A149&lt;=IF(Calc!$C$36=999,360,Calc!$C$36),CHOOSE(Calc!$C$3,'Snowball Engine'!AW151,'Avalanche Engine'!AW151,'My Order Engine'!AW151),"")</f>
        <v/>
      </c>
      <c r="G149" s="25" t="str">
        <f>IF(AND($A149&lt;=IF(Calc!$C$36=999,360,Calc!$C$36),Calc!$C$10=1),CHOOSE(Calc!$C$3,INDEX('Snowball Engine'!$AH151:$AV151,Calc!$I$10),INDEX('Avalanche Engine'!$AH151:$AV151,Calc!$J$10),INDEX('My Order Engine'!$AH151:$AV151,Calc!$K$10)),"")</f>
        <v/>
      </c>
      <c r="H149" s="25" t="str">
        <f>IF(AND($A149&lt;=IF(Calc!$C$36=999,360,Calc!$C$36),Calc!$C$11=1),CHOOSE(Calc!$C$3,INDEX('Snowball Engine'!$AH151:$AV151,Calc!$I$11),INDEX('Avalanche Engine'!$AH151:$AV151,Calc!$J$11),INDEX('My Order Engine'!$AH151:$AV151,Calc!$K$11)),"")</f>
        <v/>
      </c>
      <c r="I149" s="25" t="str">
        <f>IF(AND($A149&lt;=IF(Calc!$C$36=999,360,Calc!$C$36),Calc!$C$12=1),CHOOSE(Calc!$C$3,INDEX('Snowball Engine'!$AH151:$AV151,Calc!$I$12),INDEX('Avalanche Engine'!$AH151:$AV151,Calc!$J$12),INDEX('My Order Engine'!$AH151:$AV151,Calc!$K$12)),"")</f>
        <v/>
      </c>
      <c r="J149" s="25" t="str">
        <f>IF(AND($A149&lt;=IF(Calc!$C$36=999,360,Calc!$C$36),Calc!$C$13=1),CHOOSE(Calc!$C$3,INDEX('Snowball Engine'!$AH151:$AV151,Calc!$I$13),INDEX('Avalanche Engine'!$AH151:$AV151,Calc!$J$13),INDEX('My Order Engine'!$AH151:$AV151,Calc!$K$13)),"")</f>
        <v/>
      </c>
      <c r="K149" s="25" t="str">
        <f>IF(AND($A149&lt;=IF(Calc!$C$36=999,360,Calc!$C$36),Calc!$C$14=1),CHOOSE(Calc!$C$3,INDEX('Snowball Engine'!$AH151:$AV151,Calc!$I$14),INDEX('Avalanche Engine'!$AH151:$AV151,Calc!$J$14),INDEX('My Order Engine'!$AH151:$AV151,Calc!$K$14)),"")</f>
        <v/>
      </c>
      <c r="L149" s="25" t="str">
        <f>IF(AND($A149&lt;=IF(Calc!$C$36=999,360,Calc!$C$36),Calc!$C$15=1),CHOOSE(Calc!$C$3,INDEX('Snowball Engine'!$AH151:$AV151,Calc!$I$15),INDEX('Avalanche Engine'!$AH151:$AV151,Calc!$J$15),INDEX('My Order Engine'!$AH151:$AV151,Calc!$K$15)),"")</f>
        <v/>
      </c>
      <c r="M149" s="25" t="str">
        <f>IF(AND($A149&lt;=IF(Calc!$C$36=999,360,Calc!$C$36),Calc!$C$16=1),CHOOSE(Calc!$C$3,INDEX('Snowball Engine'!$AH151:$AV151,Calc!$I$16),INDEX('Avalanche Engine'!$AH151:$AV151,Calc!$J$16),INDEX('My Order Engine'!$AH151:$AV151,Calc!$K$16)),"")</f>
        <v/>
      </c>
      <c r="N149" s="25" t="str">
        <f>IF(AND($A149&lt;=IF(Calc!$C$36=999,360,Calc!$C$36),Calc!$C$17=1),CHOOSE(Calc!$C$3,INDEX('Snowball Engine'!$AH151:$AV151,Calc!$I$17),INDEX('Avalanche Engine'!$AH151:$AV151,Calc!$J$17),INDEX('My Order Engine'!$AH151:$AV151,Calc!$K$17)),"")</f>
        <v/>
      </c>
      <c r="O149" s="25" t="str">
        <f>IF(AND($A149&lt;=IF(Calc!$C$36=999,360,Calc!$C$36),Calc!$C$18=1),CHOOSE(Calc!$C$3,INDEX('Snowball Engine'!$AH151:$AV151,Calc!$I$18),INDEX('Avalanche Engine'!$AH151:$AV151,Calc!$J$18),INDEX('My Order Engine'!$AH151:$AV151,Calc!$K$18)),"")</f>
        <v/>
      </c>
      <c r="P149" s="25" t="str">
        <f>IF(AND($A149&lt;=IF(Calc!$C$36=999,360,Calc!$C$36),Calc!$C$19=1),CHOOSE(Calc!$C$3,INDEX('Snowball Engine'!$AH151:$AV151,Calc!$I$19),INDEX('Avalanche Engine'!$AH151:$AV151,Calc!$J$19),INDEX('My Order Engine'!$AH151:$AV151,Calc!$K$19)),"")</f>
        <v/>
      </c>
      <c r="Q149" s="25" t="str">
        <f>IF(AND($A149&lt;=IF(Calc!$C$36=999,360,Calc!$C$36),Calc!$C$20=1),CHOOSE(Calc!$C$3,INDEX('Snowball Engine'!$AH151:$AV151,Calc!$I$20),INDEX('Avalanche Engine'!$AH151:$AV151,Calc!$J$20),INDEX('My Order Engine'!$AH151:$AV151,Calc!$K$20)),"")</f>
        <v/>
      </c>
      <c r="R149" s="25" t="str">
        <f>IF(AND($A149&lt;=IF(Calc!$C$36=999,360,Calc!$C$36),Calc!$C$21=1),CHOOSE(Calc!$C$3,INDEX('Snowball Engine'!$AH151:$AV151,Calc!$I$21),INDEX('Avalanche Engine'!$AH151:$AV151,Calc!$J$21),INDEX('My Order Engine'!$AH151:$AV151,Calc!$K$21)),"")</f>
        <v/>
      </c>
      <c r="S149" s="25" t="str">
        <f>IF(AND($A149&lt;=IF(Calc!$C$36=999,360,Calc!$C$36),Calc!$C$22=1),CHOOSE(Calc!$C$3,INDEX('Snowball Engine'!$AH151:$AV151,Calc!$I$22),INDEX('Avalanche Engine'!$AH151:$AV151,Calc!$J$22),INDEX('My Order Engine'!$AH151:$AV151,Calc!$K$22)),"")</f>
        <v/>
      </c>
      <c r="T149" s="25" t="str">
        <f>IF(AND($A149&lt;=IF(Calc!$C$36=999,360,Calc!$C$36),Calc!$C$23=1),CHOOSE(Calc!$C$3,INDEX('Snowball Engine'!$AH151:$AV151,Calc!$I$23),INDEX('Avalanche Engine'!$AH151:$AV151,Calc!$J$23),INDEX('My Order Engine'!$AH151:$AV151,Calc!$K$23)),"")</f>
        <v/>
      </c>
      <c r="U149" s="25" t="str">
        <f>IF(AND($A149&lt;=IF(Calc!$C$36=999,360,Calc!$C$36),Calc!$C$24=1),CHOOSE(Calc!$C$3,INDEX('Snowball Engine'!$AH151:$AV151,Calc!$I$24),INDEX('Avalanche Engine'!$AH151:$AV151,Calc!$J$24),INDEX('My Order Engine'!$AH151:$AV151,Calc!$K$24)),"")</f>
        <v/>
      </c>
    </row>
    <row r="150" spans="1:21" x14ac:dyDescent="0.35">
      <c r="A150" s="23">
        <v>146</v>
      </c>
      <c r="B150" s="24" t="str">
        <f>IF($A150&lt;=IF(Calc!$C$36=999,360,Calc!$C$36),EDATE(Calc!$C$5,A150-1),"")</f>
        <v/>
      </c>
      <c r="C150" s="25" t="str">
        <f>IF($A150&lt;=IF(Calc!$C$36=999,360,Calc!$C$36),CHOOSE(Calc!$C$3,'Snowball Engine'!AY152,'Avalanche Engine'!AY152,'My Order Engine'!AY152),"")</f>
        <v/>
      </c>
      <c r="D150" s="25" t="str">
        <f>IF($A150&lt;=IF(Calc!$C$36=999,360,Calc!$C$36),CHOOSE(Calc!$C$3,'Snowball Engine'!AX152,'Avalanche Engine'!AX152,'My Order Engine'!AX152),"")</f>
        <v/>
      </c>
      <c r="E150" s="25" t="str">
        <f>IF($A150&lt;=IF(Calc!$C$36=999,360,Calc!$C$36),C150-D150,"")</f>
        <v/>
      </c>
      <c r="F150" s="25" t="str">
        <f>IF($A150&lt;=IF(Calc!$C$36=999,360,Calc!$C$36),CHOOSE(Calc!$C$3,'Snowball Engine'!AW152,'Avalanche Engine'!AW152,'My Order Engine'!AW152),"")</f>
        <v/>
      </c>
      <c r="G150" s="25" t="str">
        <f>IF(AND($A150&lt;=IF(Calc!$C$36=999,360,Calc!$C$36),Calc!$C$10=1),CHOOSE(Calc!$C$3,INDEX('Snowball Engine'!$AH152:$AV152,Calc!$I$10),INDEX('Avalanche Engine'!$AH152:$AV152,Calc!$J$10),INDEX('My Order Engine'!$AH152:$AV152,Calc!$K$10)),"")</f>
        <v/>
      </c>
      <c r="H150" s="25" t="str">
        <f>IF(AND($A150&lt;=IF(Calc!$C$36=999,360,Calc!$C$36),Calc!$C$11=1),CHOOSE(Calc!$C$3,INDEX('Snowball Engine'!$AH152:$AV152,Calc!$I$11),INDEX('Avalanche Engine'!$AH152:$AV152,Calc!$J$11),INDEX('My Order Engine'!$AH152:$AV152,Calc!$K$11)),"")</f>
        <v/>
      </c>
      <c r="I150" s="25" t="str">
        <f>IF(AND($A150&lt;=IF(Calc!$C$36=999,360,Calc!$C$36),Calc!$C$12=1),CHOOSE(Calc!$C$3,INDEX('Snowball Engine'!$AH152:$AV152,Calc!$I$12),INDEX('Avalanche Engine'!$AH152:$AV152,Calc!$J$12),INDEX('My Order Engine'!$AH152:$AV152,Calc!$K$12)),"")</f>
        <v/>
      </c>
      <c r="J150" s="25" t="str">
        <f>IF(AND($A150&lt;=IF(Calc!$C$36=999,360,Calc!$C$36),Calc!$C$13=1),CHOOSE(Calc!$C$3,INDEX('Snowball Engine'!$AH152:$AV152,Calc!$I$13),INDEX('Avalanche Engine'!$AH152:$AV152,Calc!$J$13),INDEX('My Order Engine'!$AH152:$AV152,Calc!$K$13)),"")</f>
        <v/>
      </c>
      <c r="K150" s="25" t="str">
        <f>IF(AND($A150&lt;=IF(Calc!$C$36=999,360,Calc!$C$36),Calc!$C$14=1),CHOOSE(Calc!$C$3,INDEX('Snowball Engine'!$AH152:$AV152,Calc!$I$14),INDEX('Avalanche Engine'!$AH152:$AV152,Calc!$J$14),INDEX('My Order Engine'!$AH152:$AV152,Calc!$K$14)),"")</f>
        <v/>
      </c>
      <c r="L150" s="25" t="str">
        <f>IF(AND($A150&lt;=IF(Calc!$C$36=999,360,Calc!$C$36),Calc!$C$15=1),CHOOSE(Calc!$C$3,INDEX('Snowball Engine'!$AH152:$AV152,Calc!$I$15),INDEX('Avalanche Engine'!$AH152:$AV152,Calc!$J$15),INDEX('My Order Engine'!$AH152:$AV152,Calc!$K$15)),"")</f>
        <v/>
      </c>
      <c r="M150" s="25" t="str">
        <f>IF(AND($A150&lt;=IF(Calc!$C$36=999,360,Calc!$C$36),Calc!$C$16=1),CHOOSE(Calc!$C$3,INDEX('Snowball Engine'!$AH152:$AV152,Calc!$I$16),INDEX('Avalanche Engine'!$AH152:$AV152,Calc!$J$16),INDEX('My Order Engine'!$AH152:$AV152,Calc!$K$16)),"")</f>
        <v/>
      </c>
      <c r="N150" s="25" t="str">
        <f>IF(AND($A150&lt;=IF(Calc!$C$36=999,360,Calc!$C$36),Calc!$C$17=1),CHOOSE(Calc!$C$3,INDEX('Snowball Engine'!$AH152:$AV152,Calc!$I$17),INDEX('Avalanche Engine'!$AH152:$AV152,Calc!$J$17),INDEX('My Order Engine'!$AH152:$AV152,Calc!$K$17)),"")</f>
        <v/>
      </c>
      <c r="O150" s="25" t="str">
        <f>IF(AND($A150&lt;=IF(Calc!$C$36=999,360,Calc!$C$36),Calc!$C$18=1),CHOOSE(Calc!$C$3,INDEX('Snowball Engine'!$AH152:$AV152,Calc!$I$18),INDEX('Avalanche Engine'!$AH152:$AV152,Calc!$J$18),INDEX('My Order Engine'!$AH152:$AV152,Calc!$K$18)),"")</f>
        <v/>
      </c>
      <c r="P150" s="25" t="str">
        <f>IF(AND($A150&lt;=IF(Calc!$C$36=999,360,Calc!$C$36),Calc!$C$19=1),CHOOSE(Calc!$C$3,INDEX('Snowball Engine'!$AH152:$AV152,Calc!$I$19),INDEX('Avalanche Engine'!$AH152:$AV152,Calc!$J$19),INDEX('My Order Engine'!$AH152:$AV152,Calc!$K$19)),"")</f>
        <v/>
      </c>
      <c r="Q150" s="25" t="str">
        <f>IF(AND($A150&lt;=IF(Calc!$C$36=999,360,Calc!$C$36),Calc!$C$20=1),CHOOSE(Calc!$C$3,INDEX('Snowball Engine'!$AH152:$AV152,Calc!$I$20),INDEX('Avalanche Engine'!$AH152:$AV152,Calc!$J$20),INDEX('My Order Engine'!$AH152:$AV152,Calc!$K$20)),"")</f>
        <v/>
      </c>
      <c r="R150" s="25" t="str">
        <f>IF(AND($A150&lt;=IF(Calc!$C$36=999,360,Calc!$C$36),Calc!$C$21=1),CHOOSE(Calc!$C$3,INDEX('Snowball Engine'!$AH152:$AV152,Calc!$I$21),INDEX('Avalanche Engine'!$AH152:$AV152,Calc!$J$21),INDEX('My Order Engine'!$AH152:$AV152,Calc!$K$21)),"")</f>
        <v/>
      </c>
      <c r="S150" s="25" t="str">
        <f>IF(AND($A150&lt;=IF(Calc!$C$36=999,360,Calc!$C$36),Calc!$C$22=1),CHOOSE(Calc!$C$3,INDEX('Snowball Engine'!$AH152:$AV152,Calc!$I$22),INDEX('Avalanche Engine'!$AH152:$AV152,Calc!$J$22),INDEX('My Order Engine'!$AH152:$AV152,Calc!$K$22)),"")</f>
        <v/>
      </c>
      <c r="T150" s="25" t="str">
        <f>IF(AND($A150&lt;=IF(Calc!$C$36=999,360,Calc!$C$36),Calc!$C$23=1),CHOOSE(Calc!$C$3,INDEX('Snowball Engine'!$AH152:$AV152,Calc!$I$23),INDEX('Avalanche Engine'!$AH152:$AV152,Calc!$J$23),INDEX('My Order Engine'!$AH152:$AV152,Calc!$K$23)),"")</f>
        <v/>
      </c>
      <c r="U150" s="25" t="str">
        <f>IF(AND($A150&lt;=IF(Calc!$C$36=999,360,Calc!$C$36),Calc!$C$24=1),CHOOSE(Calc!$C$3,INDEX('Snowball Engine'!$AH152:$AV152,Calc!$I$24),INDEX('Avalanche Engine'!$AH152:$AV152,Calc!$J$24),INDEX('My Order Engine'!$AH152:$AV152,Calc!$K$24)),"")</f>
        <v/>
      </c>
    </row>
    <row r="151" spans="1:21" x14ac:dyDescent="0.35">
      <c r="A151" s="23">
        <v>147</v>
      </c>
      <c r="B151" s="24" t="str">
        <f>IF($A151&lt;=IF(Calc!$C$36=999,360,Calc!$C$36),EDATE(Calc!$C$5,A151-1),"")</f>
        <v/>
      </c>
      <c r="C151" s="25" t="str">
        <f>IF($A151&lt;=IF(Calc!$C$36=999,360,Calc!$C$36),CHOOSE(Calc!$C$3,'Snowball Engine'!AY153,'Avalanche Engine'!AY153,'My Order Engine'!AY153),"")</f>
        <v/>
      </c>
      <c r="D151" s="25" t="str">
        <f>IF($A151&lt;=IF(Calc!$C$36=999,360,Calc!$C$36),CHOOSE(Calc!$C$3,'Snowball Engine'!AX153,'Avalanche Engine'!AX153,'My Order Engine'!AX153),"")</f>
        <v/>
      </c>
      <c r="E151" s="25" t="str">
        <f>IF($A151&lt;=IF(Calc!$C$36=999,360,Calc!$C$36),C151-D151,"")</f>
        <v/>
      </c>
      <c r="F151" s="25" t="str">
        <f>IF($A151&lt;=IF(Calc!$C$36=999,360,Calc!$C$36),CHOOSE(Calc!$C$3,'Snowball Engine'!AW153,'Avalanche Engine'!AW153,'My Order Engine'!AW153),"")</f>
        <v/>
      </c>
      <c r="G151" s="25" t="str">
        <f>IF(AND($A151&lt;=IF(Calc!$C$36=999,360,Calc!$C$36),Calc!$C$10=1),CHOOSE(Calc!$C$3,INDEX('Snowball Engine'!$AH153:$AV153,Calc!$I$10),INDEX('Avalanche Engine'!$AH153:$AV153,Calc!$J$10),INDEX('My Order Engine'!$AH153:$AV153,Calc!$K$10)),"")</f>
        <v/>
      </c>
      <c r="H151" s="25" t="str">
        <f>IF(AND($A151&lt;=IF(Calc!$C$36=999,360,Calc!$C$36),Calc!$C$11=1),CHOOSE(Calc!$C$3,INDEX('Snowball Engine'!$AH153:$AV153,Calc!$I$11),INDEX('Avalanche Engine'!$AH153:$AV153,Calc!$J$11),INDEX('My Order Engine'!$AH153:$AV153,Calc!$K$11)),"")</f>
        <v/>
      </c>
      <c r="I151" s="25" t="str">
        <f>IF(AND($A151&lt;=IF(Calc!$C$36=999,360,Calc!$C$36),Calc!$C$12=1),CHOOSE(Calc!$C$3,INDEX('Snowball Engine'!$AH153:$AV153,Calc!$I$12),INDEX('Avalanche Engine'!$AH153:$AV153,Calc!$J$12),INDEX('My Order Engine'!$AH153:$AV153,Calc!$K$12)),"")</f>
        <v/>
      </c>
      <c r="J151" s="25" t="str">
        <f>IF(AND($A151&lt;=IF(Calc!$C$36=999,360,Calc!$C$36),Calc!$C$13=1),CHOOSE(Calc!$C$3,INDEX('Snowball Engine'!$AH153:$AV153,Calc!$I$13),INDEX('Avalanche Engine'!$AH153:$AV153,Calc!$J$13),INDEX('My Order Engine'!$AH153:$AV153,Calc!$K$13)),"")</f>
        <v/>
      </c>
      <c r="K151" s="25" t="str">
        <f>IF(AND($A151&lt;=IF(Calc!$C$36=999,360,Calc!$C$36),Calc!$C$14=1),CHOOSE(Calc!$C$3,INDEX('Snowball Engine'!$AH153:$AV153,Calc!$I$14),INDEX('Avalanche Engine'!$AH153:$AV153,Calc!$J$14),INDEX('My Order Engine'!$AH153:$AV153,Calc!$K$14)),"")</f>
        <v/>
      </c>
      <c r="L151" s="25" t="str">
        <f>IF(AND($A151&lt;=IF(Calc!$C$36=999,360,Calc!$C$36),Calc!$C$15=1),CHOOSE(Calc!$C$3,INDEX('Snowball Engine'!$AH153:$AV153,Calc!$I$15),INDEX('Avalanche Engine'!$AH153:$AV153,Calc!$J$15),INDEX('My Order Engine'!$AH153:$AV153,Calc!$K$15)),"")</f>
        <v/>
      </c>
      <c r="M151" s="25" t="str">
        <f>IF(AND($A151&lt;=IF(Calc!$C$36=999,360,Calc!$C$36),Calc!$C$16=1),CHOOSE(Calc!$C$3,INDEX('Snowball Engine'!$AH153:$AV153,Calc!$I$16),INDEX('Avalanche Engine'!$AH153:$AV153,Calc!$J$16),INDEX('My Order Engine'!$AH153:$AV153,Calc!$K$16)),"")</f>
        <v/>
      </c>
      <c r="N151" s="25" t="str">
        <f>IF(AND($A151&lt;=IF(Calc!$C$36=999,360,Calc!$C$36),Calc!$C$17=1),CHOOSE(Calc!$C$3,INDEX('Snowball Engine'!$AH153:$AV153,Calc!$I$17),INDEX('Avalanche Engine'!$AH153:$AV153,Calc!$J$17),INDEX('My Order Engine'!$AH153:$AV153,Calc!$K$17)),"")</f>
        <v/>
      </c>
      <c r="O151" s="25" t="str">
        <f>IF(AND($A151&lt;=IF(Calc!$C$36=999,360,Calc!$C$36),Calc!$C$18=1),CHOOSE(Calc!$C$3,INDEX('Snowball Engine'!$AH153:$AV153,Calc!$I$18),INDEX('Avalanche Engine'!$AH153:$AV153,Calc!$J$18),INDEX('My Order Engine'!$AH153:$AV153,Calc!$K$18)),"")</f>
        <v/>
      </c>
      <c r="P151" s="25" t="str">
        <f>IF(AND($A151&lt;=IF(Calc!$C$36=999,360,Calc!$C$36),Calc!$C$19=1),CHOOSE(Calc!$C$3,INDEX('Snowball Engine'!$AH153:$AV153,Calc!$I$19),INDEX('Avalanche Engine'!$AH153:$AV153,Calc!$J$19),INDEX('My Order Engine'!$AH153:$AV153,Calc!$K$19)),"")</f>
        <v/>
      </c>
      <c r="Q151" s="25" t="str">
        <f>IF(AND($A151&lt;=IF(Calc!$C$36=999,360,Calc!$C$36),Calc!$C$20=1),CHOOSE(Calc!$C$3,INDEX('Snowball Engine'!$AH153:$AV153,Calc!$I$20),INDEX('Avalanche Engine'!$AH153:$AV153,Calc!$J$20),INDEX('My Order Engine'!$AH153:$AV153,Calc!$K$20)),"")</f>
        <v/>
      </c>
      <c r="R151" s="25" t="str">
        <f>IF(AND($A151&lt;=IF(Calc!$C$36=999,360,Calc!$C$36),Calc!$C$21=1),CHOOSE(Calc!$C$3,INDEX('Snowball Engine'!$AH153:$AV153,Calc!$I$21),INDEX('Avalanche Engine'!$AH153:$AV153,Calc!$J$21),INDEX('My Order Engine'!$AH153:$AV153,Calc!$K$21)),"")</f>
        <v/>
      </c>
      <c r="S151" s="25" t="str">
        <f>IF(AND($A151&lt;=IF(Calc!$C$36=999,360,Calc!$C$36),Calc!$C$22=1),CHOOSE(Calc!$C$3,INDEX('Snowball Engine'!$AH153:$AV153,Calc!$I$22),INDEX('Avalanche Engine'!$AH153:$AV153,Calc!$J$22),INDEX('My Order Engine'!$AH153:$AV153,Calc!$K$22)),"")</f>
        <v/>
      </c>
      <c r="T151" s="25" t="str">
        <f>IF(AND($A151&lt;=IF(Calc!$C$36=999,360,Calc!$C$36),Calc!$C$23=1),CHOOSE(Calc!$C$3,INDEX('Snowball Engine'!$AH153:$AV153,Calc!$I$23),INDEX('Avalanche Engine'!$AH153:$AV153,Calc!$J$23),INDEX('My Order Engine'!$AH153:$AV153,Calc!$K$23)),"")</f>
        <v/>
      </c>
      <c r="U151" s="25" t="str">
        <f>IF(AND($A151&lt;=IF(Calc!$C$36=999,360,Calc!$C$36),Calc!$C$24=1),CHOOSE(Calc!$C$3,INDEX('Snowball Engine'!$AH153:$AV153,Calc!$I$24),INDEX('Avalanche Engine'!$AH153:$AV153,Calc!$J$24),INDEX('My Order Engine'!$AH153:$AV153,Calc!$K$24)),"")</f>
        <v/>
      </c>
    </row>
    <row r="152" spans="1:21" x14ac:dyDescent="0.35">
      <c r="A152" s="23">
        <v>148</v>
      </c>
      <c r="B152" s="24" t="str">
        <f>IF($A152&lt;=IF(Calc!$C$36=999,360,Calc!$C$36),EDATE(Calc!$C$5,A152-1),"")</f>
        <v/>
      </c>
      <c r="C152" s="25" t="str">
        <f>IF($A152&lt;=IF(Calc!$C$36=999,360,Calc!$C$36),CHOOSE(Calc!$C$3,'Snowball Engine'!AY154,'Avalanche Engine'!AY154,'My Order Engine'!AY154),"")</f>
        <v/>
      </c>
      <c r="D152" s="25" t="str">
        <f>IF($A152&lt;=IF(Calc!$C$36=999,360,Calc!$C$36),CHOOSE(Calc!$C$3,'Snowball Engine'!AX154,'Avalanche Engine'!AX154,'My Order Engine'!AX154),"")</f>
        <v/>
      </c>
      <c r="E152" s="25" t="str">
        <f>IF($A152&lt;=IF(Calc!$C$36=999,360,Calc!$C$36),C152-D152,"")</f>
        <v/>
      </c>
      <c r="F152" s="25" t="str">
        <f>IF($A152&lt;=IF(Calc!$C$36=999,360,Calc!$C$36),CHOOSE(Calc!$C$3,'Snowball Engine'!AW154,'Avalanche Engine'!AW154,'My Order Engine'!AW154),"")</f>
        <v/>
      </c>
      <c r="G152" s="25" t="str">
        <f>IF(AND($A152&lt;=IF(Calc!$C$36=999,360,Calc!$C$36),Calc!$C$10=1),CHOOSE(Calc!$C$3,INDEX('Snowball Engine'!$AH154:$AV154,Calc!$I$10),INDEX('Avalanche Engine'!$AH154:$AV154,Calc!$J$10),INDEX('My Order Engine'!$AH154:$AV154,Calc!$K$10)),"")</f>
        <v/>
      </c>
      <c r="H152" s="25" t="str">
        <f>IF(AND($A152&lt;=IF(Calc!$C$36=999,360,Calc!$C$36),Calc!$C$11=1),CHOOSE(Calc!$C$3,INDEX('Snowball Engine'!$AH154:$AV154,Calc!$I$11),INDEX('Avalanche Engine'!$AH154:$AV154,Calc!$J$11),INDEX('My Order Engine'!$AH154:$AV154,Calc!$K$11)),"")</f>
        <v/>
      </c>
      <c r="I152" s="25" t="str">
        <f>IF(AND($A152&lt;=IF(Calc!$C$36=999,360,Calc!$C$36),Calc!$C$12=1),CHOOSE(Calc!$C$3,INDEX('Snowball Engine'!$AH154:$AV154,Calc!$I$12),INDEX('Avalanche Engine'!$AH154:$AV154,Calc!$J$12),INDEX('My Order Engine'!$AH154:$AV154,Calc!$K$12)),"")</f>
        <v/>
      </c>
      <c r="J152" s="25" t="str">
        <f>IF(AND($A152&lt;=IF(Calc!$C$36=999,360,Calc!$C$36),Calc!$C$13=1),CHOOSE(Calc!$C$3,INDEX('Snowball Engine'!$AH154:$AV154,Calc!$I$13),INDEX('Avalanche Engine'!$AH154:$AV154,Calc!$J$13),INDEX('My Order Engine'!$AH154:$AV154,Calc!$K$13)),"")</f>
        <v/>
      </c>
      <c r="K152" s="25" t="str">
        <f>IF(AND($A152&lt;=IF(Calc!$C$36=999,360,Calc!$C$36),Calc!$C$14=1),CHOOSE(Calc!$C$3,INDEX('Snowball Engine'!$AH154:$AV154,Calc!$I$14),INDEX('Avalanche Engine'!$AH154:$AV154,Calc!$J$14),INDEX('My Order Engine'!$AH154:$AV154,Calc!$K$14)),"")</f>
        <v/>
      </c>
      <c r="L152" s="25" t="str">
        <f>IF(AND($A152&lt;=IF(Calc!$C$36=999,360,Calc!$C$36),Calc!$C$15=1),CHOOSE(Calc!$C$3,INDEX('Snowball Engine'!$AH154:$AV154,Calc!$I$15),INDEX('Avalanche Engine'!$AH154:$AV154,Calc!$J$15),INDEX('My Order Engine'!$AH154:$AV154,Calc!$K$15)),"")</f>
        <v/>
      </c>
      <c r="M152" s="25" t="str">
        <f>IF(AND($A152&lt;=IF(Calc!$C$36=999,360,Calc!$C$36),Calc!$C$16=1),CHOOSE(Calc!$C$3,INDEX('Snowball Engine'!$AH154:$AV154,Calc!$I$16),INDEX('Avalanche Engine'!$AH154:$AV154,Calc!$J$16),INDEX('My Order Engine'!$AH154:$AV154,Calc!$K$16)),"")</f>
        <v/>
      </c>
      <c r="N152" s="25" t="str">
        <f>IF(AND($A152&lt;=IF(Calc!$C$36=999,360,Calc!$C$36),Calc!$C$17=1),CHOOSE(Calc!$C$3,INDEX('Snowball Engine'!$AH154:$AV154,Calc!$I$17),INDEX('Avalanche Engine'!$AH154:$AV154,Calc!$J$17),INDEX('My Order Engine'!$AH154:$AV154,Calc!$K$17)),"")</f>
        <v/>
      </c>
      <c r="O152" s="25" t="str">
        <f>IF(AND($A152&lt;=IF(Calc!$C$36=999,360,Calc!$C$36),Calc!$C$18=1),CHOOSE(Calc!$C$3,INDEX('Snowball Engine'!$AH154:$AV154,Calc!$I$18),INDEX('Avalanche Engine'!$AH154:$AV154,Calc!$J$18),INDEX('My Order Engine'!$AH154:$AV154,Calc!$K$18)),"")</f>
        <v/>
      </c>
      <c r="P152" s="25" t="str">
        <f>IF(AND($A152&lt;=IF(Calc!$C$36=999,360,Calc!$C$36),Calc!$C$19=1),CHOOSE(Calc!$C$3,INDEX('Snowball Engine'!$AH154:$AV154,Calc!$I$19),INDEX('Avalanche Engine'!$AH154:$AV154,Calc!$J$19),INDEX('My Order Engine'!$AH154:$AV154,Calc!$K$19)),"")</f>
        <v/>
      </c>
      <c r="Q152" s="25" t="str">
        <f>IF(AND($A152&lt;=IF(Calc!$C$36=999,360,Calc!$C$36),Calc!$C$20=1),CHOOSE(Calc!$C$3,INDEX('Snowball Engine'!$AH154:$AV154,Calc!$I$20),INDEX('Avalanche Engine'!$AH154:$AV154,Calc!$J$20),INDEX('My Order Engine'!$AH154:$AV154,Calc!$K$20)),"")</f>
        <v/>
      </c>
      <c r="R152" s="25" t="str">
        <f>IF(AND($A152&lt;=IF(Calc!$C$36=999,360,Calc!$C$36),Calc!$C$21=1),CHOOSE(Calc!$C$3,INDEX('Snowball Engine'!$AH154:$AV154,Calc!$I$21),INDEX('Avalanche Engine'!$AH154:$AV154,Calc!$J$21),INDEX('My Order Engine'!$AH154:$AV154,Calc!$K$21)),"")</f>
        <v/>
      </c>
      <c r="S152" s="25" t="str">
        <f>IF(AND($A152&lt;=IF(Calc!$C$36=999,360,Calc!$C$36),Calc!$C$22=1),CHOOSE(Calc!$C$3,INDEX('Snowball Engine'!$AH154:$AV154,Calc!$I$22),INDEX('Avalanche Engine'!$AH154:$AV154,Calc!$J$22),INDEX('My Order Engine'!$AH154:$AV154,Calc!$K$22)),"")</f>
        <v/>
      </c>
      <c r="T152" s="25" t="str">
        <f>IF(AND($A152&lt;=IF(Calc!$C$36=999,360,Calc!$C$36),Calc!$C$23=1),CHOOSE(Calc!$C$3,INDEX('Snowball Engine'!$AH154:$AV154,Calc!$I$23),INDEX('Avalanche Engine'!$AH154:$AV154,Calc!$J$23),INDEX('My Order Engine'!$AH154:$AV154,Calc!$K$23)),"")</f>
        <v/>
      </c>
      <c r="U152" s="25" t="str">
        <f>IF(AND($A152&lt;=IF(Calc!$C$36=999,360,Calc!$C$36),Calc!$C$24=1),CHOOSE(Calc!$C$3,INDEX('Snowball Engine'!$AH154:$AV154,Calc!$I$24),INDEX('Avalanche Engine'!$AH154:$AV154,Calc!$J$24),INDEX('My Order Engine'!$AH154:$AV154,Calc!$K$24)),"")</f>
        <v/>
      </c>
    </row>
    <row r="153" spans="1:21" x14ac:dyDescent="0.35">
      <c r="A153" s="23">
        <v>149</v>
      </c>
      <c r="B153" s="24" t="str">
        <f>IF($A153&lt;=IF(Calc!$C$36=999,360,Calc!$C$36),EDATE(Calc!$C$5,A153-1),"")</f>
        <v/>
      </c>
      <c r="C153" s="25" t="str">
        <f>IF($A153&lt;=IF(Calc!$C$36=999,360,Calc!$C$36),CHOOSE(Calc!$C$3,'Snowball Engine'!AY155,'Avalanche Engine'!AY155,'My Order Engine'!AY155),"")</f>
        <v/>
      </c>
      <c r="D153" s="25" t="str">
        <f>IF($A153&lt;=IF(Calc!$C$36=999,360,Calc!$C$36),CHOOSE(Calc!$C$3,'Snowball Engine'!AX155,'Avalanche Engine'!AX155,'My Order Engine'!AX155),"")</f>
        <v/>
      </c>
      <c r="E153" s="25" t="str">
        <f>IF($A153&lt;=IF(Calc!$C$36=999,360,Calc!$C$36),C153-D153,"")</f>
        <v/>
      </c>
      <c r="F153" s="25" t="str">
        <f>IF($A153&lt;=IF(Calc!$C$36=999,360,Calc!$C$36),CHOOSE(Calc!$C$3,'Snowball Engine'!AW155,'Avalanche Engine'!AW155,'My Order Engine'!AW155),"")</f>
        <v/>
      </c>
      <c r="G153" s="25" t="str">
        <f>IF(AND($A153&lt;=IF(Calc!$C$36=999,360,Calc!$C$36),Calc!$C$10=1),CHOOSE(Calc!$C$3,INDEX('Snowball Engine'!$AH155:$AV155,Calc!$I$10),INDEX('Avalanche Engine'!$AH155:$AV155,Calc!$J$10),INDEX('My Order Engine'!$AH155:$AV155,Calc!$K$10)),"")</f>
        <v/>
      </c>
      <c r="H153" s="25" t="str">
        <f>IF(AND($A153&lt;=IF(Calc!$C$36=999,360,Calc!$C$36),Calc!$C$11=1),CHOOSE(Calc!$C$3,INDEX('Snowball Engine'!$AH155:$AV155,Calc!$I$11),INDEX('Avalanche Engine'!$AH155:$AV155,Calc!$J$11),INDEX('My Order Engine'!$AH155:$AV155,Calc!$K$11)),"")</f>
        <v/>
      </c>
      <c r="I153" s="25" t="str">
        <f>IF(AND($A153&lt;=IF(Calc!$C$36=999,360,Calc!$C$36),Calc!$C$12=1),CHOOSE(Calc!$C$3,INDEX('Snowball Engine'!$AH155:$AV155,Calc!$I$12),INDEX('Avalanche Engine'!$AH155:$AV155,Calc!$J$12),INDEX('My Order Engine'!$AH155:$AV155,Calc!$K$12)),"")</f>
        <v/>
      </c>
      <c r="J153" s="25" t="str">
        <f>IF(AND($A153&lt;=IF(Calc!$C$36=999,360,Calc!$C$36),Calc!$C$13=1),CHOOSE(Calc!$C$3,INDEX('Snowball Engine'!$AH155:$AV155,Calc!$I$13),INDEX('Avalanche Engine'!$AH155:$AV155,Calc!$J$13),INDEX('My Order Engine'!$AH155:$AV155,Calc!$K$13)),"")</f>
        <v/>
      </c>
      <c r="K153" s="25" t="str">
        <f>IF(AND($A153&lt;=IF(Calc!$C$36=999,360,Calc!$C$36),Calc!$C$14=1),CHOOSE(Calc!$C$3,INDEX('Snowball Engine'!$AH155:$AV155,Calc!$I$14),INDEX('Avalanche Engine'!$AH155:$AV155,Calc!$J$14),INDEX('My Order Engine'!$AH155:$AV155,Calc!$K$14)),"")</f>
        <v/>
      </c>
      <c r="L153" s="25" t="str">
        <f>IF(AND($A153&lt;=IF(Calc!$C$36=999,360,Calc!$C$36),Calc!$C$15=1),CHOOSE(Calc!$C$3,INDEX('Snowball Engine'!$AH155:$AV155,Calc!$I$15),INDEX('Avalanche Engine'!$AH155:$AV155,Calc!$J$15),INDEX('My Order Engine'!$AH155:$AV155,Calc!$K$15)),"")</f>
        <v/>
      </c>
      <c r="M153" s="25" t="str">
        <f>IF(AND($A153&lt;=IF(Calc!$C$36=999,360,Calc!$C$36),Calc!$C$16=1),CHOOSE(Calc!$C$3,INDEX('Snowball Engine'!$AH155:$AV155,Calc!$I$16),INDEX('Avalanche Engine'!$AH155:$AV155,Calc!$J$16),INDEX('My Order Engine'!$AH155:$AV155,Calc!$K$16)),"")</f>
        <v/>
      </c>
      <c r="N153" s="25" t="str">
        <f>IF(AND($A153&lt;=IF(Calc!$C$36=999,360,Calc!$C$36),Calc!$C$17=1),CHOOSE(Calc!$C$3,INDEX('Snowball Engine'!$AH155:$AV155,Calc!$I$17),INDEX('Avalanche Engine'!$AH155:$AV155,Calc!$J$17),INDEX('My Order Engine'!$AH155:$AV155,Calc!$K$17)),"")</f>
        <v/>
      </c>
      <c r="O153" s="25" t="str">
        <f>IF(AND($A153&lt;=IF(Calc!$C$36=999,360,Calc!$C$36),Calc!$C$18=1),CHOOSE(Calc!$C$3,INDEX('Snowball Engine'!$AH155:$AV155,Calc!$I$18),INDEX('Avalanche Engine'!$AH155:$AV155,Calc!$J$18),INDEX('My Order Engine'!$AH155:$AV155,Calc!$K$18)),"")</f>
        <v/>
      </c>
      <c r="P153" s="25" t="str">
        <f>IF(AND($A153&lt;=IF(Calc!$C$36=999,360,Calc!$C$36),Calc!$C$19=1),CHOOSE(Calc!$C$3,INDEX('Snowball Engine'!$AH155:$AV155,Calc!$I$19),INDEX('Avalanche Engine'!$AH155:$AV155,Calc!$J$19),INDEX('My Order Engine'!$AH155:$AV155,Calc!$K$19)),"")</f>
        <v/>
      </c>
      <c r="Q153" s="25" t="str">
        <f>IF(AND($A153&lt;=IF(Calc!$C$36=999,360,Calc!$C$36),Calc!$C$20=1),CHOOSE(Calc!$C$3,INDEX('Snowball Engine'!$AH155:$AV155,Calc!$I$20),INDEX('Avalanche Engine'!$AH155:$AV155,Calc!$J$20),INDEX('My Order Engine'!$AH155:$AV155,Calc!$K$20)),"")</f>
        <v/>
      </c>
      <c r="R153" s="25" t="str">
        <f>IF(AND($A153&lt;=IF(Calc!$C$36=999,360,Calc!$C$36),Calc!$C$21=1),CHOOSE(Calc!$C$3,INDEX('Snowball Engine'!$AH155:$AV155,Calc!$I$21),INDEX('Avalanche Engine'!$AH155:$AV155,Calc!$J$21),INDEX('My Order Engine'!$AH155:$AV155,Calc!$K$21)),"")</f>
        <v/>
      </c>
      <c r="S153" s="25" t="str">
        <f>IF(AND($A153&lt;=IF(Calc!$C$36=999,360,Calc!$C$36),Calc!$C$22=1),CHOOSE(Calc!$C$3,INDEX('Snowball Engine'!$AH155:$AV155,Calc!$I$22),INDEX('Avalanche Engine'!$AH155:$AV155,Calc!$J$22),INDEX('My Order Engine'!$AH155:$AV155,Calc!$K$22)),"")</f>
        <v/>
      </c>
      <c r="T153" s="25" t="str">
        <f>IF(AND($A153&lt;=IF(Calc!$C$36=999,360,Calc!$C$36),Calc!$C$23=1),CHOOSE(Calc!$C$3,INDEX('Snowball Engine'!$AH155:$AV155,Calc!$I$23),INDEX('Avalanche Engine'!$AH155:$AV155,Calc!$J$23),INDEX('My Order Engine'!$AH155:$AV155,Calc!$K$23)),"")</f>
        <v/>
      </c>
      <c r="U153" s="25" t="str">
        <f>IF(AND($A153&lt;=IF(Calc!$C$36=999,360,Calc!$C$36),Calc!$C$24=1),CHOOSE(Calc!$C$3,INDEX('Snowball Engine'!$AH155:$AV155,Calc!$I$24),INDEX('Avalanche Engine'!$AH155:$AV155,Calc!$J$24),INDEX('My Order Engine'!$AH155:$AV155,Calc!$K$24)),"")</f>
        <v/>
      </c>
    </row>
    <row r="154" spans="1:21" x14ac:dyDescent="0.35">
      <c r="A154" s="23">
        <v>150</v>
      </c>
      <c r="B154" s="24" t="str">
        <f>IF($A154&lt;=IF(Calc!$C$36=999,360,Calc!$C$36),EDATE(Calc!$C$5,A154-1),"")</f>
        <v/>
      </c>
      <c r="C154" s="25" t="str">
        <f>IF($A154&lt;=IF(Calc!$C$36=999,360,Calc!$C$36),CHOOSE(Calc!$C$3,'Snowball Engine'!AY156,'Avalanche Engine'!AY156,'My Order Engine'!AY156),"")</f>
        <v/>
      </c>
      <c r="D154" s="25" t="str">
        <f>IF($A154&lt;=IF(Calc!$C$36=999,360,Calc!$C$36),CHOOSE(Calc!$C$3,'Snowball Engine'!AX156,'Avalanche Engine'!AX156,'My Order Engine'!AX156),"")</f>
        <v/>
      </c>
      <c r="E154" s="25" t="str">
        <f>IF($A154&lt;=IF(Calc!$C$36=999,360,Calc!$C$36),C154-D154,"")</f>
        <v/>
      </c>
      <c r="F154" s="25" t="str">
        <f>IF($A154&lt;=IF(Calc!$C$36=999,360,Calc!$C$36),CHOOSE(Calc!$C$3,'Snowball Engine'!AW156,'Avalanche Engine'!AW156,'My Order Engine'!AW156),"")</f>
        <v/>
      </c>
      <c r="G154" s="25" t="str">
        <f>IF(AND($A154&lt;=IF(Calc!$C$36=999,360,Calc!$C$36),Calc!$C$10=1),CHOOSE(Calc!$C$3,INDEX('Snowball Engine'!$AH156:$AV156,Calc!$I$10),INDEX('Avalanche Engine'!$AH156:$AV156,Calc!$J$10),INDEX('My Order Engine'!$AH156:$AV156,Calc!$K$10)),"")</f>
        <v/>
      </c>
      <c r="H154" s="25" t="str">
        <f>IF(AND($A154&lt;=IF(Calc!$C$36=999,360,Calc!$C$36),Calc!$C$11=1),CHOOSE(Calc!$C$3,INDEX('Snowball Engine'!$AH156:$AV156,Calc!$I$11),INDEX('Avalanche Engine'!$AH156:$AV156,Calc!$J$11),INDEX('My Order Engine'!$AH156:$AV156,Calc!$K$11)),"")</f>
        <v/>
      </c>
      <c r="I154" s="25" t="str">
        <f>IF(AND($A154&lt;=IF(Calc!$C$36=999,360,Calc!$C$36),Calc!$C$12=1),CHOOSE(Calc!$C$3,INDEX('Snowball Engine'!$AH156:$AV156,Calc!$I$12),INDEX('Avalanche Engine'!$AH156:$AV156,Calc!$J$12),INDEX('My Order Engine'!$AH156:$AV156,Calc!$K$12)),"")</f>
        <v/>
      </c>
      <c r="J154" s="25" t="str">
        <f>IF(AND($A154&lt;=IF(Calc!$C$36=999,360,Calc!$C$36),Calc!$C$13=1),CHOOSE(Calc!$C$3,INDEX('Snowball Engine'!$AH156:$AV156,Calc!$I$13),INDEX('Avalanche Engine'!$AH156:$AV156,Calc!$J$13),INDEX('My Order Engine'!$AH156:$AV156,Calc!$K$13)),"")</f>
        <v/>
      </c>
      <c r="K154" s="25" t="str">
        <f>IF(AND($A154&lt;=IF(Calc!$C$36=999,360,Calc!$C$36),Calc!$C$14=1),CHOOSE(Calc!$C$3,INDEX('Snowball Engine'!$AH156:$AV156,Calc!$I$14),INDEX('Avalanche Engine'!$AH156:$AV156,Calc!$J$14),INDEX('My Order Engine'!$AH156:$AV156,Calc!$K$14)),"")</f>
        <v/>
      </c>
      <c r="L154" s="25" t="str">
        <f>IF(AND($A154&lt;=IF(Calc!$C$36=999,360,Calc!$C$36),Calc!$C$15=1),CHOOSE(Calc!$C$3,INDEX('Snowball Engine'!$AH156:$AV156,Calc!$I$15),INDEX('Avalanche Engine'!$AH156:$AV156,Calc!$J$15),INDEX('My Order Engine'!$AH156:$AV156,Calc!$K$15)),"")</f>
        <v/>
      </c>
      <c r="M154" s="25" t="str">
        <f>IF(AND($A154&lt;=IF(Calc!$C$36=999,360,Calc!$C$36),Calc!$C$16=1),CHOOSE(Calc!$C$3,INDEX('Snowball Engine'!$AH156:$AV156,Calc!$I$16),INDEX('Avalanche Engine'!$AH156:$AV156,Calc!$J$16),INDEX('My Order Engine'!$AH156:$AV156,Calc!$K$16)),"")</f>
        <v/>
      </c>
      <c r="N154" s="25" t="str">
        <f>IF(AND($A154&lt;=IF(Calc!$C$36=999,360,Calc!$C$36),Calc!$C$17=1),CHOOSE(Calc!$C$3,INDEX('Snowball Engine'!$AH156:$AV156,Calc!$I$17),INDEX('Avalanche Engine'!$AH156:$AV156,Calc!$J$17),INDEX('My Order Engine'!$AH156:$AV156,Calc!$K$17)),"")</f>
        <v/>
      </c>
      <c r="O154" s="25" t="str">
        <f>IF(AND($A154&lt;=IF(Calc!$C$36=999,360,Calc!$C$36),Calc!$C$18=1),CHOOSE(Calc!$C$3,INDEX('Snowball Engine'!$AH156:$AV156,Calc!$I$18),INDEX('Avalanche Engine'!$AH156:$AV156,Calc!$J$18),INDEX('My Order Engine'!$AH156:$AV156,Calc!$K$18)),"")</f>
        <v/>
      </c>
      <c r="P154" s="25" t="str">
        <f>IF(AND($A154&lt;=IF(Calc!$C$36=999,360,Calc!$C$36),Calc!$C$19=1),CHOOSE(Calc!$C$3,INDEX('Snowball Engine'!$AH156:$AV156,Calc!$I$19),INDEX('Avalanche Engine'!$AH156:$AV156,Calc!$J$19),INDEX('My Order Engine'!$AH156:$AV156,Calc!$K$19)),"")</f>
        <v/>
      </c>
      <c r="Q154" s="25" t="str">
        <f>IF(AND($A154&lt;=IF(Calc!$C$36=999,360,Calc!$C$36),Calc!$C$20=1),CHOOSE(Calc!$C$3,INDEX('Snowball Engine'!$AH156:$AV156,Calc!$I$20),INDEX('Avalanche Engine'!$AH156:$AV156,Calc!$J$20),INDEX('My Order Engine'!$AH156:$AV156,Calc!$K$20)),"")</f>
        <v/>
      </c>
      <c r="R154" s="25" t="str">
        <f>IF(AND($A154&lt;=IF(Calc!$C$36=999,360,Calc!$C$36),Calc!$C$21=1),CHOOSE(Calc!$C$3,INDEX('Snowball Engine'!$AH156:$AV156,Calc!$I$21),INDEX('Avalanche Engine'!$AH156:$AV156,Calc!$J$21),INDEX('My Order Engine'!$AH156:$AV156,Calc!$K$21)),"")</f>
        <v/>
      </c>
      <c r="S154" s="25" t="str">
        <f>IF(AND($A154&lt;=IF(Calc!$C$36=999,360,Calc!$C$36),Calc!$C$22=1),CHOOSE(Calc!$C$3,INDEX('Snowball Engine'!$AH156:$AV156,Calc!$I$22),INDEX('Avalanche Engine'!$AH156:$AV156,Calc!$J$22),INDEX('My Order Engine'!$AH156:$AV156,Calc!$K$22)),"")</f>
        <v/>
      </c>
      <c r="T154" s="25" t="str">
        <f>IF(AND($A154&lt;=IF(Calc!$C$36=999,360,Calc!$C$36),Calc!$C$23=1),CHOOSE(Calc!$C$3,INDEX('Snowball Engine'!$AH156:$AV156,Calc!$I$23),INDEX('Avalanche Engine'!$AH156:$AV156,Calc!$J$23),INDEX('My Order Engine'!$AH156:$AV156,Calc!$K$23)),"")</f>
        <v/>
      </c>
      <c r="U154" s="25" t="str">
        <f>IF(AND($A154&lt;=IF(Calc!$C$36=999,360,Calc!$C$36),Calc!$C$24=1),CHOOSE(Calc!$C$3,INDEX('Snowball Engine'!$AH156:$AV156,Calc!$I$24),INDEX('Avalanche Engine'!$AH156:$AV156,Calc!$J$24),INDEX('My Order Engine'!$AH156:$AV156,Calc!$K$24)),"")</f>
        <v/>
      </c>
    </row>
    <row r="155" spans="1:21" x14ac:dyDescent="0.35">
      <c r="A155" s="23">
        <v>151</v>
      </c>
      <c r="B155" s="24" t="str">
        <f>IF($A155&lt;=IF(Calc!$C$36=999,360,Calc!$C$36),EDATE(Calc!$C$5,A155-1),"")</f>
        <v/>
      </c>
      <c r="C155" s="25" t="str">
        <f>IF($A155&lt;=IF(Calc!$C$36=999,360,Calc!$C$36),CHOOSE(Calc!$C$3,'Snowball Engine'!AY157,'Avalanche Engine'!AY157,'My Order Engine'!AY157),"")</f>
        <v/>
      </c>
      <c r="D155" s="25" t="str">
        <f>IF($A155&lt;=IF(Calc!$C$36=999,360,Calc!$C$36),CHOOSE(Calc!$C$3,'Snowball Engine'!AX157,'Avalanche Engine'!AX157,'My Order Engine'!AX157),"")</f>
        <v/>
      </c>
      <c r="E155" s="25" t="str">
        <f>IF($A155&lt;=IF(Calc!$C$36=999,360,Calc!$C$36),C155-D155,"")</f>
        <v/>
      </c>
      <c r="F155" s="25" t="str">
        <f>IF($A155&lt;=IF(Calc!$C$36=999,360,Calc!$C$36),CHOOSE(Calc!$C$3,'Snowball Engine'!AW157,'Avalanche Engine'!AW157,'My Order Engine'!AW157),"")</f>
        <v/>
      </c>
      <c r="G155" s="25" t="str">
        <f>IF(AND($A155&lt;=IF(Calc!$C$36=999,360,Calc!$C$36),Calc!$C$10=1),CHOOSE(Calc!$C$3,INDEX('Snowball Engine'!$AH157:$AV157,Calc!$I$10),INDEX('Avalanche Engine'!$AH157:$AV157,Calc!$J$10),INDEX('My Order Engine'!$AH157:$AV157,Calc!$K$10)),"")</f>
        <v/>
      </c>
      <c r="H155" s="25" t="str">
        <f>IF(AND($A155&lt;=IF(Calc!$C$36=999,360,Calc!$C$36),Calc!$C$11=1),CHOOSE(Calc!$C$3,INDEX('Snowball Engine'!$AH157:$AV157,Calc!$I$11),INDEX('Avalanche Engine'!$AH157:$AV157,Calc!$J$11),INDEX('My Order Engine'!$AH157:$AV157,Calc!$K$11)),"")</f>
        <v/>
      </c>
      <c r="I155" s="25" t="str">
        <f>IF(AND($A155&lt;=IF(Calc!$C$36=999,360,Calc!$C$36),Calc!$C$12=1),CHOOSE(Calc!$C$3,INDEX('Snowball Engine'!$AH157:$AV157,Calc!$I$12),INDEX('Avalanche Engine'!$AH157:$AV157,Calc!$J$12),INDEX('My Order Engine'!$AH157:$AV157,Calc!$K$12)),"")</f>
        <v/>
      </c>
      <c r="J155" s="25" t="str">
        <f>IF(AND($A155&lt;=IF(Calc!$C$36=999,360,Calc!$C$36),Calc!$C$13=1),CHOOSE(Calc!$C$3,INDEX('Snowball Engine'!$AH157:$AV157,Calc!$I$13),INDEX('Avalanche Engine'!$AH157:$AV157,Calc!$J$13),INDEX('My Order Engine'!$AH157:$AV157,Calc!$K$13)),"")</f>
        <v/>
      </c>
      <c r="K155" s="25" t="str">
        <f>IF(AND($A155&lt;=IF(Calc!$C$36=999,360,Calc!$C$36),Calc!$C$14=1),CHOOSE(Calc!$C$3,INDEX('Snowball Engine'!$AH157:$AV157,Calc!$I$14),INDEX('Avalanche Engine'!$AH157:$AV157,Calc!$J$14),INDEX('My Order Engine'!$AH157:$AV157,Calc!$K$14)),"")</f>
        <v/>
      </c>
      <c r="L155" s="25" t="str">
        <f>IF(AND($A155&lt;=IF(Calc!$C$36=999,360,Calc!$C$36),Calc!$C$15=1),CHOOSE(Calc!$C$3,INDEX('Snowball Engine'!$AH157:$AV157,Calc!$I$15),INDEX('Avalanche Engine'!$AH157:$AV157,Calc!$J$15),INDEX('My Order Engine'!$AH157:$AV157,Calc!$K$15)),"")</f>
        <v/>
      </c>
      <c r="M155" s="25" t="str">
        <f>IF(AND($A155&lt;=IF(Calc!$C$36=999,360,Calc!$C$36),Calc!$C$16=1),CHOOSE(Calc!$C$3,INDEX('Snowball Engine'!$AH157:$AV157,Calc!$I$16),INDEX('Avalanche Engine'!$AH157:$AV157,Calc!$J$16),INDEX('My Order Engine'!$AH157:$AV157,Calc!$K$16)),"")</f>
        <v/>
      </c>
      <c r="N155" s="25" t="str">
        <f>IF(AND($A155&lt;=IF(Calc!$C$36=999,360,Calc!$C$36),Calc!$C$17=1),CHOOSE(Calc!$C$3,INDEX('Snowball Engine'!$AH157:$AV157,Calc!$I$17),INDEX('Avalanche Engine'!$AH157:$AV157,Calc!$J$17),INDEX('My Order Engine'!$AH157:$AV157,Calc!$K$17)),"")</f>
        <v/>
      </c>
      <c r="O155" s="25" t="str">
        <f>IF(AND($A155&lt;=IF(Calc!$C$36=999,360,Calc!$C$36),Calc!$C$18=1),CHOOSE(Calc!$C$3,INDEX('Snowball Engine'!$AH157:$AV157,Calc!$I$18),INDEX('Avalanche Engine'!$AH157:$AV157,Calc!$J$18),INDEX('My Order Engine'!$AH157:$AV157,Calc!$K$18)),"")</f>
        <v/>
      </c>
      <c r="P155" s="25" t="str">
        <f>IF(AND($A155&lt;=IF(Calc!$C$36=999,360,Calc!$C$36),Calc!$C$19=1),CHOOSE(Calc!$C$3,INDEX('Snowball Engine'!$AH157:$AV157,Calc!$I$19),INDEX('Avalanche Engine'!$AH157:$AV157,Calc!$J$19),INDEX('My Order Engine'!$AH157:$AV157,Calc!$K$19)),"")</f>
        <v/>
      </c>
      <c r="Q155" s="25" t="str">
        <f>IF(AND($A155&lt;=IF(Calc!$C$36=999,360,Calc!$C$36),Calc!$C$20=1),CHOOSE(Calc!$C$3,INDEX('Snowball Engine'!$AH157:$AV157,Calc!$I$20),INDEX('Avalanche Engine'!$AH157:$AV157,Calc!$J$20),INDEX('My Order Engine'!$AH157:$AV157,Calc!$K$20)),"")</f>
        <v/>
      </c>
      <c r="R155" s="25" t="str">
        <f>IF(AND($A155&lt;=IF(Calc!$C$36=999,360,Calc!$C$36),Calc!$C$21=1),CHOOSE(Calc!$C$3,INDEX('Snowball Engine'!$AH157:$AV157,Calc!$I$21),INDEX('Avalanche Engine'!$AH157:$AV157,Calc!$J$21),INDEX('My Order Engine'!$AH157:$AV157,Calc!$K$21)),"")</f>
        <v/>
      </c>
      <c r="S155" s="25" t="str">
        <f>IF(AND($A155&lt;=IF(Calc!$C$36=999,360,Calc!$C$36),Calc!$C$22=1),CHOOSE(Calc!$C$3,INDEX('Snowball Engine'!$AH157:$AV157,Calc!$I$22),INDEX('Avalanche Engine'!$AH157:$AV157,Calc!$J$22),INDEX('My Order Engine'!$AH157:$AV157,Calc!$K$22)),"")</f>
        <v/>
      </c>
      <c r="T155" s="25" t="str">
        <f>IF(AND($A155&lt;=IF(Calc!$C$36=999,360,Calc!$C$36),Calc!$C$23=1),CHOOSE(Calc!$C$3,INDEX('Snowball Engine'!$AH157:$AV157,Calc!$I$23),INDEX('Avalanche Engine'!$AH157:$AV157,Calc!$J$23),INDEX('My Order Engine'!$AH157:$AV157,Calc!$K$23)),"")</f>
        <v/>
      </c>
      <c r="U155" s="25" t="str">
        <f>IF(AND($A155&lt;=IF(Calc!$C$36=999,360,Calc!$C$36),Calc!$C$24=1),CHOOSE(Calc!$C$3,INDEX('Snowball Engine'!$AH157:$AV157,Calc!$I$24),INDEX('Avalanche Engine'!$AH157:$AV157,Calc!$J$24),INDEX('My Order Engine'!$AH157:$AV157,Calc!$K$24)),"")</f>
        <v/>
      </c>
    </row>
    <row r="156" spans="1:21" x14ac:dyDescent="0.35">
      <c r="A156" s="23">
        <v>152</v>
      </c>
      <c r="B156" s="24" t="str">
        <f>IF($A156&lt;=IF(Calc!$C$36=999,360,Calc!$C$36),EDATE(Calc!$C$5,A156-1),"")</f>
        <v/>
      </c>
      <c r="C156" s="25" t="str">
        <f>IF($A156&lt;=IF(Calc!$C$36=999,360,Calc!$C$36),CHOOSE(Calc!$C$3,'Snowball Engine'!AY158,'Avalanche Engine'!AY158,'My Order Engine'!AY158),"")</f>
        <v/>
      </c>
      <c r="D156" s="25" t="str">
        <f>IF($A156&lt;=IF(Calc!$C$36=999,360,Calc!$C$36),CHOOSE(Calc!$C$3,'Snowball Engine'!AX158,'Avalanche Engine'!AX158,'My Order Engine'!AX158),"")</f>
        <v/>
      </c>
      <c r="E156" s="25" t="str">
        <f>IF($A156&lt;=IF(Calc!$C$36=999,360,Calc!$C$36),C156-D156,"")</f>
        <v/>
      </c>
      <c r="F156" s="25" t="str">
        <f>IF($A156&lt;=IF(Calc!$C$36=999,360,Calc!$C$36),CHOOSE(Calc!$C$3,'Snowball Engine'!AW158,'Avalanche Engine'!AW158,'My Order Engine'!AW158),"")</f>
        <v/>
      </c>
      <c r="G156" s="25" t="str">
        <f>IF(AND($A156&lt;=IF(Calc!$C$36=999,360,Calc!$C$36),Calc!$C$10=1),CHOOSE(Calc!$C$3,INDEX('Snowball Engine'!$AH158:$AV158,Calc!$I$10),INDEX('Avalanche Engine'!$AH158:$AV158,Calc!$J$10),INDEX('My Order Engine'!$AH158:$AV158,Calc!$K$10)),"")</f>
        <v/>
      </c>
      <c r="H156" s="25" t="str">
        <f>IF(AND($A156&lt;=IF(Calc!$C$36=999,360,Calc!$C$36),Calc!$C$11=1),CHOOSE(Calc!$C$3,INDEX('Snowball Engine'!$AH158:$AV158,Calc!$I$11),INDEX('Avalanche Engine'!$AH158:$AV158,Calc!$J$11),INDEX('My Order Engine'!$AH158:$AV158,Calc!$K$11)),"")</f>
        <v/>
      </c>
      <c r="I156" s="25" t="str">
        <f>IF(AND($A156&lt;=IF(Calc!$C$36=999,360,Calc!$C$36),Calc!$C$12=1),CHOOSE(Calc!$C$3,INDEX('Snowball Engine'!$AH158:$AV158,Calc!$I$12),INDEX('Avalanche Engine'!$AH158:$AV158,Calc!$J$12),INDEX('My Order Engine'!$AH158:$AV158,Calc!$K$12)),"")</f>
        <v/>
      </c>
      <c r="J156" s="25" t="str">
        <f>IF(AND($A156&lt;=IF(Calc!$C$36=999,360,Calc!$C$36),Calc!$C$13=1),CHOOSE(Calc!$C$3,INDEX('Snowball Engine'!$AH158:$AV158,Calc!$I$13),INDEX('Avalanche Engine'!$AH158:$AV158,Calc!$J$13),INDEX('My Order Engine'!$AH158:$AV158,Calc!$K$13)),"")</f>
        <v/>
      </c>
      <c r="K156" s="25" t="str">
        <f>IF(AND($A156&lt;=IF(Calc!$C$36=999,360,Calc!$C$36),Calc!$C$14=1),CHOOSE(Calc!$C$3,INDEX('Snowball Engine'!$AH158:$AV158,Calc!$I$14),INDEX('Avalanche Engine'!$AH158:$AV158,Calc!$J$14),INDEX('My Order Engine'!$AH158:$AV158,Calc!$K$14)),"")</f>
        <v/>
      </c>
      <c r="L156" s="25" t="str">
        <f>IF(AND($A156&lt;=IF(Calc!$C$36=999,360,Calc!$C$36),Calc!$C$15=1),CHOOSE(Calc!$C$3,INDEX('Snowball Engine'!$AH158:$AV158,Calc!$I$15),INDEX('Avalanche Engine'!$AH158:$AV158,Calc!$J$15),INDEX('My Order Engine'!$AH158:$AV158,Calc!$K$15)),"")</f>
        <v/>
      </c>
      <c r="M156" s="25" t="str">
        <f>IF(AND($A156&lt;=IF(Calc!$C$36=999,360,Calc!$C$36),Calc!$C$16=1),CHOOSE(Calc!$C$3,INDEX('Snowball Engine'!$AH158:$AV158,Calc!$I$16),INDEX('Avalanche Engine'!$AH158:$AV158,Calc!$J$16),INDEX('My Order Engine'!$AH158:$AV158,Calc!$K$16)),"")</f>
        <v/>
      </c>
      <c r="N156" s="25" t="str">
        <f>IF(AND($A156&lt;=IF(Calc!$C$36=999,360,Calc!$C$36),Calc!$C$17=1),CHOOSE(Calc!$C$3,INDEX('Snowball Engine'!$AH158:$AV158,Calc!$I$17),INDEX('Avalanche Engine'!$AH158:$AV158,Calc!$J$17),INDEX('My Order Engine'!$AH158:$AV158,Calc!$K$17)),"")</f>
        <v/>
      </c>
      <c r="O156" s="25" t="str">
        <f>IF(AND($A156&lt;=IF(Calc!$C$36=999,360,Calc!$C$36),Calc!$C$18=1),CHOOSE(Calc!$C$3,INDEX('Snowball Engine'!$AH158:$AV158,Calc!$I$18),INDEX('Avalanche Engine'!$AH158:$AV158,Calc!$J$18),INDEX('My Order Engine'!$AH158:$AV158,Calc!$K$18)),"")</f>
        <v/>
      </c>
      <c r="P156" s="25" t="str">
        <f>IF(AND($A156&lt;=IF(Calc!$C$36=999,360,Calc!$C$36),Calc!$C$19=1),CHOOSE(Calc!$C$3,INDEX('Snowball Engine'!$AH158:$AV158,Calc!$I$19),INDEX('Avalanche Engine'!$AH158:$AV158,Calc!$J$19),INDEX('My Order Engine'!$AH158:$AV158,Calc!$K$19)),"")</f>
        <v/>
      </c>
      <c r="Q156" s="25" t="str">
        <f>IF(AND($A156&lt;=IF(Calc!$C$36=999,360,Calc!$C$36),Calc!$C$20=1),CHOOSE(Calc!$C$3,INDEX('Snowball Engine'!$AH158:$AV158,Calc!$I$20),INDEX('Avalanche Engine'!$AH158:$AV158,Calc!$J$20),INDEX('My Order Engine'!$AH158:$AV158,Calc!$K$20)),"")</f>
        <v/>
      </c>
      <c r="R156" s="25" t="str">
        <f>IF(AND($A156&lt;=IF(Calc!$C$36=999,360,Calc!$C$36),Calc!$C$21=1),CHOOSE(Calc!$C$3,INDEX('Snowball Engine'!$AH158:$AV158,Calc!$I$21),INDEX('Avalanche Engine'!$AH158:$AV158,Calc!$J$21),INDEX('My Order Engine'!$AH158:$AV158,Calc!$K$21)),"")</f>
        <v/>
      </c>
      <c r="S156" s="25" t="str">
        <f>IF(AND($A156&lt;=IF(Calc!$C$36=999,360,Calc!$C$36),Calc!$C$22=1),CHOOSE(Calc!$C$3,INDEX('Snowball Engine'!$AH158:$AV158,Calc!$I$22),INDEX('Avalanche Engine'!$AH158:$AV158,Calc!$J$22),INDEX('My Order Engine'!$AH158:$AV158,Calc!$K$22)),"")</f>
        <v/>
      </c>
      <c r="T156" s="25" t="str">
        <f>IF(AND($A156&lt;=IF(Calc!$C$36=999,360,Calc!$C$36),Calc!$C$23=1),CHOOSE(Calc!$C$3,INDEX('Snowball Engine'!$AH158:$AV158,Calc!$I$23),INDEX('Avalanche Engine'!$AH158:$AV158,Calc!$J$23),INDEX('My Order Engine'!$AH158:$AV158,Calc!$K$23)),"")</f>
        <v/>
      </c>
      <c r="U156" s="25" t="str">
        <f>IF(AND($A156&lt;=IF(Calc!$C$36=999,360,Calc!$C$36),Calc!$C$24=1),CHOOSE(Calc!$C$3,INDEX('Snowball Engine'!$AH158:$AV158,Calc!$I$24),INDEX('Avalanche Engine'!$AH158:$AV158,Calc!$J$24),INDEX('My Order Engine'!$AH158:$AV158,Calc!$K$24)),"")</f>
        <v/>
      </c>
    </row>
    <row r="157" spans="1:21" x14ac:dyDescent="0.35">
      <c r="A157" s="23">
        <v>153</v>
      </c>
      <c r="B157" s="24" t="str">
        <f>IF($A157&lt;=IF(Calc!$C$36=999,360,Calc!$C$36),EDATE(Calc!$C$5,A157-1),"")</f>
        <v/>
      </c>
      <c r="C157" s="25" t="str">
        <f>IF($A157&lt;=IF(Calc!$C$36=999,360,Calc!$C$36),CHOOSE(Calc!$C$3,'Snowball Engine'!AY159,'Avalanche Engine'!AY159,'My Order Engine'!AY159),"")</f>
        <v/>
      </c>
      <c r="D157" s="25" t="str">
        <f>IF($A157&lt;=IF(Calc!$C$36=999,360,Calc!$C$36),CHOOSE(Calc!$C$3,'Snowball Engine'!AX159,'Avalanche Engine'!AX159,'My Order Engine'!AX159),"")</f>
        <v/>
      </c>
      <c r="E157" s="25" t="str">
        <f>IF($A157&lt;=IF(Calc!$C$36=999,360,Calc!$C$36),C157-D157,"")</f>
        <v/>
      </c>
      <c r="F157" s="25" t="str">
        <f>IF($A157&lt;=IF(Calc!$C$36=999,360,Calc!$C$36),CHOOSE(Calc!$C$3,'Snowball Engine'!AW159,'Avalanche Engine'!AW159,'My Order Engine'!AW159),"")</f>
        <v/>
      </c>
      <c r="G157" s="25" t="str">
        <f>IF(AND($A157&lt;=IF(Calc!$C$36=999,360,Calc!$C$36),Calc!$C$10=1),CHOOSE(Calc!$C$3,INDEX('Snowball Engine'!$AH159:$AV159,Calc!$I$10),INDEX('Avalanche Engine'!$AH159:$AV159,Calc!$J$10),INDEX('My Order Engine'!$AH159:$AV159,Calc!$K$10)),"")</f>
        <v/>
      </c>
      <c r="H157" s="25" t="str">
        <f>IF(AND($A157&lt;=IF(Calc!$C$36=999,360,Calc!$C$36),Calc!$C$11=1),CHOOSE(Calc!$C$3,INDEX('Snowball Engine'!$AH159:$AV159,Calc!$I$11),INDEX('Avalanche Engine'!$AH159:$AV159,Calc!$J$11),INDEX('My Order Engine'!$AH159:$AV159,Calc!$K$11)),"")</f>
        <v/>
      </c>
      <c r="I157" s="25" t="str">
        <f>IF(AND($A157&lt;=IF(Calc!$C$36=999,360,Calc!$C$36),Calc!$C$12=1),CHOOSE(Calc!$C$3,INDEX('Snowball Engine'!$AH159:$AV159,Calc!$I$12),INDEX('Avalanche Engine'!$AH159:$AV159,Calc!$J$12),INDEX('My Order Engine'!$AH159:$AV159,Calc!$K$12)),"")</f>
        <v/>
      </c>
      <c r="J157" s="25" t="str">
        <f>IF(AND($A157&lt;=IF(Calc!$C$36=999,360,Calc!$C$36),Calc!$C$13=1),CHOOSE(Calc!$C$3,INDEX('Snowball Engine'!$AH159:$AV159,Calc!$I$13),INDEX('Avalanche Engine'!$AH159:$AV159,Calc!$J$13),INDEX('My Order Engine'!$AH159:$AV159,Calc!$K$13)),"")</f>
        <v/>
      </c>
      <c r="K157" s="25" t="str">
        <f>IF(AND($A157&lt;=IF(Calc!$C$36=999,360,Calc!$C$36),Calc!$C$14=1),CHOOSE(Calc!$C$3,INDEX('Snowball Engine'!$AH159:$AV159,Calc!$I$14),INDEX('Avalanche Engine'!$AH159:$AV159,Calc!$J$14),INDEX('My Order Engine'!$AH159:$AV159,Calc!$K$14)),"")</f>
        <v/>
      </c>
      <c r="L157" s="25" t="str">
        <f>IF(AND($A157&lt;=IF(Calc!$C$36=999,360,Calc!$C$36),Calc!$C$15=1),CHOOSE(Calc!$C$3,INDEX('Snowball Engine'!$AH159:$AV159,Calc!$I$15),INDEX('Avalanche Engine'!$AH159:$AV159,Calc!$J$15),INDEX('My Order Engine'!$AH159:$AV159,Calc!$K$15)),"")</f>
        <v/>
      </c>
      <c r="M157" s="25" t="str">
        <f>IF(AND($A157&lt;=IF(Calc!$C$36=999,360,Calc!$C$36),Calc!$C$16=1),CHOOSE(Calc!$C$3,INDEX('Snowball Engine'!$AH159:$AV159,Calc!$I$16),INDEX('Avalanche Engine'!$AH159:$AV159,Calc!$J$16),INDEX('My Order Engine'!$AH159:$AV159,Calc!$K$16)),"")</f>
        <v/>
      </c>
      <c r="N157" s="25" t="str">
        <f>IF(AND($A157&lt;=IF(Calc!$C$36=999,360,Calc!$C$36),Calc!$C$17=1),CHOOSE(Calc!$C$3,INDEX('Snowball Engine'!$AH159:$AV159,Calc!$I$17),INDEX('Avalanche Engine'!$AH159:$AV159,Calc!$J$17),INDEX('My Order Engine'!$AH159:$AV159,Calc!$K$17)),"")</f>
        <v/>
      </c>
      <c r="O157" s="25" t="str">
        <f>IF(AND($A157&lt;=IF(Calc!$C$36=999,360,Calc!$C$36),Calc!$C$18=1),CHOOSE(Calc!$C$3,INDEX('Snowball Engine'!$AH159:$AV159,Calc!$I$18),INDEX('Avalanche Engine'!$AH159:$AV159,Calc!$J$18),INDEX('My Order Engine'!$AH159:$AV159,Calc!$K$18)),"")</f>
        <v/>
      </c>
      <c r="P157" s="25" t="str">
        <f>IF(AND($A157&lt;=IF(Calc!$C$36=999,360,Calc!$C$36),Calc!$C$19=1),CHOOSE(Calc!$C$3,INDEX('Snowball Engine'!$AH159:$AV159,Calc!$I$19),INDEX('Avalanche Engine'!$AH159:$AV159,Calc!$J$19),INDEX('My Order Engine'!$AH159:$AV159,Calc!$K$19)),"")</f>
        <v/>
      </c>
      <c r="Q157" s="25" t="str">
        <f>IF(AND($A157&lt;=IF(Calc!$C$36=999,360,Calc!$C$36),Calc!$C$20=1),CHOOSE(Calc!$C$3,INDEX('Snowball Engine'!$AH159:$AV159,Calc!$I$20),INDEX('Avalanche Engine'!$AH159:$AV159,Calc!$J$20),INDEX('My Order Engine'!$AH159:$AV159,Calc!$K$20)),"")</f>
        <v/>
      </c>
      <c r="R157" s="25" t="str">
        <f>IF(AND($A157&lt;=IF(Calc!$C$36=999,360,Calc!$C$36),Calc!$C$21=1),CHOOSE(Calc!$C$3,INDEX('Snowball Engine'!$AH159:$AV159,Calc!$I$21),INDEX('Avalanche Engine'!$AH159:$AV159,Calc!$J$21),INDEX('My Order Engine'!$AH159:$AV159,Calc!$K$21)),"")</f>
        <v/>
      </c>
      <c r="S157" s="25" t="str">
        <f>IF(AND($A157&lt;=IF(Calc!$C$36=999,360,Calc!$C$36),Calc!$C$22=1),CHOOSE(Calc!$C$3,INDEX('Snowball Engine'!$AH159:$AV159,Calc!$I$22),INDEX('Avalanche Engine'!$AH159:$AV159,Calc!$J$22),INDEX('My Order Engine'!$AH159:$AV159,Calc!$K$22)),"")</f>
        <v/>
      </c>
      <c r="T157" s="25" t="str">
        <f>IF(AND($A157&lt;=IF(Calc!$C$36=999,360,Calc!$C$36),Calc!$C$23=1),CHOOSE(Calc!$C$3,INDEX('Snowball Engine'!$AH159:$AV159,Calc!$I$23),INDEX('Avalanche Engine'!$AH159:$AV159,Calc!$J$23),INDEX('My Order Engine'!$AH159:$AV159,Calc!$K$23)),"")</f>
        <v/>
      </c>
      <c r="U157" s="25" t="str">
        <f>IF(AND($A157&lt;=IF(Calc!$C$36=999,360,Calc!$C$36),Calc!$C$24=1),CHOOSE(Calc!$C$3,INDEX('Snowball Engine'!$AH159:$AV159,Calc!$I$24),INDEX('Avalanche Engine'!$AH159:$AV159,Calc!$J$24),INDEX('My Order Engine'!$AH159:$AV159,Calc!$K$24)),"")</f>
        <v/>
      </c>
    </row>
    <row r="158" spans="1:21" x14ac:dyDescent="0.35">
      <c r="A158" s="23">
        <v>154</v>
      </c>
      <c r="B158" s="24" t="str">
        <f>IF($A158&lt;=IF(Calc!$C$36=999,360,Calc!$C$36),EDATE(Calc!$C$5,A158-1),"")</f>
        <v/>
      </c>
      <c r="C158" s="25" t="str">
        <f>IF($A158&lt;=IF(Calc!$C$36=999,360,Calc!$C$36),CHOOSE(Calc!$C$3,'Snowball Engine'!AY160,'Avalanche Engine'!AY160,'My Order Engine'!AY160),"")</f>
        <v/>
      </c>
      <c r="D158" s="25" t="str">
        <f>IF($A158&lt;=IF(Calc!$C$36=999,360,Calc!$C$36),CHOOSE(Calc!$C$3,'Snowball Engine'!AX160,'Avalanche Engine'!AX160,'My Order Engine'!AX160),"")</f>
        <v/>
      </c>
      <c r="E158" s="25" t="str">
        <f>IF($A158&lt;=IF(Calc!$C$36=999,360,Calc!$C$36),C158-D158,"")</f>
        <v/>
      </c>
      <c r="F158" s="25" t="str">
        <f>IF($A158&lt;=IF(Calc!$C$36=999,360,Calc!$C$36),CHOOSE(Calc!$C$3,'Snowball Engine'!AW160,'Avalanche Engine'!AW160,'My Order Engine'!AW160),"")</f>
        <v/>
      </c>
      <c r="G158" s="25" t="str">
        <f>IF(AND($A158&lt;=IF(Calc!$C$36=999,360,Calc!$C$36),Calc!$C$10=1),CHOOSE(Calc!$C$3,INDEX('Snowball Engine'!$AH160:$AV160,Calc!$I$10),INDEX('Avalanche Engine'!$AH160:$AV160,Calc!$J$10),INDEX('My Order Engine'!$AH160:$AV160,Calc!$K$10)),"")</f>
        <v/>
      </c>
      <c r="H158" s="25" t="str">
        <f>IF(AND($A158&lt;=IF(Calc!$C$36=999,360,Calc!$C$36),Calc!$C$11=1),CHOOSE(Calc!$C$3,INDEX('Snowball Engine'!$AH160:$AV160,Calc!$I$11),INDEX('Avalanche Engine'!$AH160:$AV160,Calc!$J$11),INDEX('My Order Engine'!$AH160:$AV160,Calc!$K$11)),"")</f>
        <v/>
      </c>
      <c r="I158" s="25" t="str">
        <f>IF(AND($A158&lt;=IF(Calc!$C$36=999,360,Calc!$C$36),Calc!$C$12=1),CHOOSE(Calc!$C$3,INDEX('Snowball Engine'!$AH160:$AV160,Calc!$I$12),INDEX('Avalanche Engine'!$AH160:$AV160,Calc!$J$12),INDEX('My Order Engine'!$AH160:$AV160,Calc!$K$12)),"")</f>
        <v/>
      </c>
      <c r="J158" s="25" t="str">
        <f>IF(AND($A158&lt;=IF(Calc!$C$36=999,360,Calc!$C$36),Calc!$C$13=1),CHOOSE(Calc!$C$3,INDEX('Snowball Engine'!$AH160:$AV160,Calc!$I$13),INDEX('Avalanche Engine'!$AH160:$AV160,Calc!$J$13),INDEX('My Order Engine'!$AH160:$AV160,Calc!$K$13)),"")</f>
        <v/>
      </c>
      <c r="K158" s="25" t="str">
        <f>IF(AND($A158&lt;=IF(Calc!$C$36=999,360,Calc!$C$36),Calc!$C$14=1),CHOOSE(Calc!$C$3,INDEX('Snowball Engine'!$AH160:$AV160,Calc!$I$14),INDEX('Avalanche Engine'!$AH160:$AV160,Calc!$J$14),INDEX('My Order Engine'!$AH160:$AV160,Calc!$K$14)),"")</f>
        <v/>
      </c>
      <c r="L158" s="25" t="str">
        <f>IF(AND($A158&lt;=IF(Calc!$C$36=999,360,Calc!$C$36),Calc!$C$15=1),CHOOSE(Calc!$C$3,INDEX('Snowball Engine'!$AH160:$AV160,Calc!$I$15),INDEX('Avalanche Engine'!$AH160:$AV160,Calc!$J$15),INDEX('My Order Engine'!$AH160:$AV160,Calc!$K$15)),"")</f>
        <v/>
      </c>
      <c r="M158" s="25" t="str">
        <f>IF(AND($A158&lt;=IF(Calc!$C$36=999,360,Calc!$C$36),Calc!$C$16=1),CHOOSE(Calc!$C$3,INDEX('Snowball Engine'!$AH160:$AV160,Calc!$I$16),INDEX('Avalanche Engine'!$AH160:$AV160,Calc!$J$16),INDEX('My Order Engine'!$AH160:$AV160,Calc!$K$16)),"")</f>
        <v/>
      </c>
      <c r="N158" s="25" t="str">
        <f>IF(AND($A158&lt;=IF(Calc!$C$36=999,360,Calc!$C$36),Calc!$C$17=1),CHOOSE(Calc!$C$3,INDEX('Snowball Engine'!$AH160:$AV160,Calc!$I$17),INDEX('Avalanche Engine'!$AH160:$AV160,Calc!$J$17),INDEX('My Order Engine'!$AH160:$AV160,Calc!$K$17)),"")</f>
        <v/>
      </c>
      <c r="O158" s="25" t="str">
        <f>IF(AND($A158&lt;=IF(Calc!$C$36=999,360,Calc!$C$36),Calc!$C$18=1),CHOOSE(Calc!$C$3,INDEX('Snowball Engine'!$AH160:$AV160,Calc!$I$18),INDEX('Avalanche Engine'!$AH160:$AV160,Calc!$J$18),INDEX('My Order Engine'!$AH160:$AV160,Calc!$K$18)),"")</f>
        <v/>
      </c>
      <c r="P158" s="25" t="str">
        <f>IF(AND($A158&lt;=IF(Calc!$C$36=999,360,Calc!$C$36),Calc!$C$19=1),CHOOSE(Calc!$C$3,INDEX('Snowball Engine'!$AH160:$AV160,Calc!$I$19),INDEX('Avalanche Engine'!$AH160:$AV160,Calc!$J$19),INDEX('My Order Engine'!$AH160:$AV160,Calc!$K$19)),"")</f>
        <v/>
      </c>
      <c r="Q158" s="25" t="str">
        <f>IF(AND($A158&lt;=IF(Calc!$C$36=999,360,Calc!$C$36),Calc!$C$20=1),CHOOSE(Calc!$C$3,INDEX('Snowball Engine'!$AH160:$AV160,Calc!$I$20),INDEX('Avalanche Engine'!$AH160:$AV160,Calc!$J$20),INDEX('My Order Engine'!$AH160:$AV160,Calc!$K$20)),"")</f>
        <v/>
      </c>
      <c r="R158" s="25" t="str">
        <f>IF(AND($A158&lt;=IF(Calc!$C$36=999,360,Calc!$C$36),Calc!$C$21=1),CHOOSE(Calc!$C$3,INDEX('Snowball Engine'!$AH160:$AV160,Calc!$I$21),INDEX('Avalanche Engine'!$AH160:$AV160,Calc!$J$21),INDEX('My Order Engine'!$AH160:$AV160,Calc!$K$21)),"")</f>
        <v/>
      </c>
      <c r="S158" s="25" t="str">
        <f>IF(AND($A158&lt;=IF(Calc!$C$36=999,360,Calc!$C$36),Calc!$C$22=1),CHOOSE(Calc!$C$3,INDEX('Snowball Engine'!$AH160:$AV160,Calc!$I$22),INDEX('Avalanche Engine'!$AH160:$AV160,Calc!$J$22),INDEX('My Order Engine'!$AH160:$AV160,Calc!$K$22)),"")</f>
        <v/>
      </c>
      <c r="T158" s="25" t="str">
        <f>IF(AND($A158&lt;=IF(Calc!$C$36=999,360,Calc!$C$36),Calc!$C$23=1),CHOOSE(Calc!$C$3,INDEX('Snowball Engine'!$AH160:$AV160,Calc!$I$23),INDEX('Avalanche Engine'!$AH160:$AV160,Calc!$J$23),INDEX('My Order Engine'!$AH160:$AV160,Calc!$K$23)),"")</f>
        <v/>
      </c>
      <c r="U158" s="25" t="str">
        <f>IF(AND($A158&lt;=IF(Calc!$C$36=999,360,Calc!$C$36),Calc!$C$24=1),CHOOSE(Calc!$C$3,INDEX('Snowball Engine'!$AH160:$AV160,Calc!$I$24),INDEX('Avalanche Engine'!$AH160:$AV160,Calc!$J$24),INDEX('My Order Engine'!$AH160:$AV160,Calc!$K$24)),"")</f>
        <v/>
      </c>
    </row>
    <row r="159" spans="1:21" x14ac:dyDescent="0.35">
      <c r="A159" s="23">
        <v>155</v>
      </c>
      <c r="B159" s="24" t="str">
        <f>IF($A159&lt;=IF(Calc!$C$36=999,360,Calc!$C$36),EDATE(Calc!$C$5,A159-1),"")</f>
        <v/>
      </c>
      <c r="C159" s="25" t="str">
        <f>IF($A159&lt;=IF(Calc!$C$36=999,360,Calc!$C$36),CHOOSE(Calc!$C$3,'Snowball Engine'!AY161,'Avalanche Engine'!AY161,'My Order Engine'!AY161),"")</f>
        <v/>
      </c>
      <c r="D159" s="25" t="str">
        <f>IF($A159&lt;=IF(Calc!$C$36=999,360,Calc!$C$36),CHOOSE(Calc!$C$3,'Snowball Engine'!AX161,'Avalanche Engine'!AX161,'My Order Engine'!AX161),"")</f>
        <v/>
      </c>
      <c r="E159" s="25" t="str">
        <f>IF($A159&lt;=IF(Calc!$C$36=999,360,Calc!$C$36),C159-D159,"")</f>
        <v/>
      </c>
      <c r="F159" s="25" t="str">
        <f>IF($A159&lt;=IF(Calc!$C$36=999,360,Calc!$C$36),CHOOSE(Calc!$C$3,'Snowball Engine'!AW161,'Avalanche Engine'!AW161,'My Order Engine'!AW161),"")</f>
        <v/>
      </c>
      <c r="G159" s="25" t="str">
        <f>IF(AND($A159&lt;=IF(Calc!$C$36=999,360,Calc!$C$36),Calc!$C$10=1),CHOOSE(Calc!$C$3,INDEX('Snowball Engine'!$AH161:$AV161,Calc!$I$10),INDEX('Avalanche Engine'!$AH161:$AV161,Calc!$J$10),INDEX('My Order Engine'!$AH161:$AV161,Calc!$K$10)),"")</f>
        <v/>
      </c>
      <c r="H159" s="25" t="str">
        <f>IF(AND($A159&lt;=IF(Calc!$C$36=999,360,Calc!$C$36),Calc!$C$11=1),CHOOSE(Calc!$C$3,INDEX('Snowball Engine'!$AH161:$AV161,Calc!$I$11),INDEX('Avalanche Engine'!$AH161:$AV161,Calc!$J$11),INDEX('My Order Engine'!$AH161:$AV161,Calc!$K$11)),"")</f>
        <v/>
      </c>
      <c r="I159" s="25" t="str">
        <f>IF(AND($A159&lt;=IF(Calc!$C$36=999,360,Calc!$C$36),Calc!$C$12=1),CHOOSE(Calc!$C$3,INDEX('Snowball Engine'!$AH161:$AV161,Calc!$I$12),INDEX('Avalanche Engine'!$AH161:$AV161,Calc!$J$12),INDEX('My Order Engine'!$AH161:$AV161,Calc!$K$12)),"")</f>
        <v/>
      </c>
      <c r="J159" s="25" t="str">
        <f>IF(AND($A159&lt;=IF(Calc!$C$36=999,360,Calc!$C$36),Calc!$C$13=1),CHOOSE(Calc!$C$3,INDEX('Snowball Engine'!$AH161:$AV161,Calc!$I$13),INDEX('Avalanche Engine'!$AH161:$AV161,Calc!$J$13),INDEX('My Order Engine'!$AH161:$AV161,Calc!$K$13)),"")</f>
        <v/>
      </c>
      <c r="K159" s="25" t="str">
        <f>IF(AND($A159&lt;=IF(Calc!$C$36=999,360,Calc!$C$36),Calc!$C$14=1),CHOOSE(Calc!$C$3,INDEX('Snowball Engine'!$AH161:$AV161,Calc!$I$14),INDEX('Avalanche Engine'!$AH161:$AV161,Calc!$J$14),INDEX('My Order Engine'!$AH161:$AV161,Calc!$K$14)),"")</f>
        <v/>
      </c>
      <c r="L159" s="25" t="str">
        <f>IF(AND($A159&lt;=IF(Calc!$C$36=999,360,Calc!$C$36),Calc!$C$15=1),CHOOSE(Calc!$C$3,INDEX('Snowball Engine'!$AH161:$AV161,Calc!$I$15),INDEX('Avalanche Engine'!$AH161:$AV161,Calc!$J$15),INDEX('My Order Engine'!$AH161:$AV161,Calc!$K$15)),"")</f>
        <v/>
      </c>
      <c r="M159" s="25" t="str">
        <f>IF(AND($A159&lt;=IF(Calc!$C$36=999,360,Calc!$C$36),Calc!$C$16=1),CHOOSE(Calc!$C$3,INDEX('Snowball Engine'!$AH161:$AV161,Calc!$I$16),INDEX('Avalanche Engine'!$AH161:$AV161,Calc!$J$16),INDEX('My Order Engine'!$AH161:$AV161,Calc!$K$16)),"")</f>
        <v/>
      </c>
      <c r="N159" s="25" t="str">
        <f>IF(AND($A159&lt;=IF(Calc!$C$36=999,360,Calc!$C$36),Calc!$C$17=1),CHOOSE(Calc!$C$3,INDEX('Snowball Engine'!$AH161:$AV161,Calc!$I$17),INDEX('Avalanche Engine'!$AH161:$AV161,Calc!$J$17),INDEX('My Order Engine'!$AH161:$AV161,Calc!$K$17)),"")</f>
        <v/>
      </c>
      <c r="O159" s="25" t="str">
        <f>IF(AND($A159&lt;=IF(Calc!$C$36=999,360,Calc!$C$36),Calc!$C$18=1),CHOOSE(Calc!$C$3,INDEX('Snowball Engine'!$AH161:$AV161,Calc!$I$18),INDEX('Avalanche Engine'!$AH161:$AV161,Calc!$J$18),INDEX('My Order Engine'!$AH161:$AV161,Calc!$K$18)),"")</f>
        <v/>
      </c>
      <c r="P159" s="25" t="str">
        <f>IF(AND($A159&lt;=IF(Calc!$C$36=999,360,Calc!$C$36),Calc!$C$19=1),CHOOSE(Calc!$C$3,INDEX('Snowball Engine'!$AH161:$AV161,Calc!$I$19),INDEX('Avalanche Engine'!$AH161:$AV161,Calc!$J$19),INDEX('My Order Engine'!$AH161:$AV161,Calc!$K$19)),"")</f>
        <v/>
      </c>
      <c r="Q159" s="25" t="str">
        <f>IF(AND($A159&lt;=IF(Calc!$C$36=999,360,Calc!$C$36),Calc!$C$20=1),CHOOSE(Calc!$C$3,INDEX('Snowball Engine'!$AH161:$AV161,Calc!$I$20),INDEX('Avalanche Engine'!$AH161:$AV161,Calc!$J$20),INDEX('My Order Engine'!$AH161:$AV161,Calc!$K$20)),"")</f>
        <v/>
      </c>
      <c r="R159" s="25" t="str">
        <f>IF(AND($A159&lt;=IF(Calc!$C$36=999,360,Calc!$C$36),Calc!$C$21=1),CHOOSE(Calc!$C$3,INDEX('Snowball Engine'!$AH161:$AV161,Calc!$I$21),INDEX('Avalanche Engine'!$AH161:$AV161,Calc!$J$21),INDEX('My Order Engine'!$AH161:$AV161,Calc!$K$21)),"")</f>
        <v/>
      </c>
      <c r="S159" s="25" t="str">
        <f>IF(AND($A159&lt;=IF(Calc!$C$36=999,360,Calc!$C$36),Calc!$C$22=1),CHOOSE(Calc!$C$3,INDEX('Snowball Engine'!$AH161:$AV161,Calc!$I$22),INDEX('Avalanche Engine'!$AH161:$AV161,Calc!$J$22),INDEX('My Order Engine'!$AH161:$AV161,Calc!$K$22)),"")</f>
        <v/>
      </c>
      <c r="T159" s="25" t="str">
        <f>IF(AND($A159&lt;=IF(Calc!$C$36=999,360,Calc!$C$36),Calc!$C$23=1),CHOOSE(Calc!$C$3,INDEX('Snowball Engine'!$AH161:$AV161,Calc!$I$23),INDEX('Avalanche Engine'!$AH161:$AV161,Calc!$J$23),INDEX('My Order Engine'!$AH161:$AV161,Calc!$K$23)),"")</f>
        <v/>
      </c>
      <c r="U159" s="25" t="str">
        <f>IF(AND($A159&lt;=IF(Calc!$C$36=999,360,Calc!$C$36),Calc!$C$24=1),CHOOSE(Calc!$C$3,INDEX('Snowball Engine'!$AH161:$AV161,Calc!$I$24),INDEX('Avalanche Engine'!$AH161:$AV161,Calc!$J$24),INDEX('My Order Engine'!$AH161:$AV161,Calc!$K$24)),"")</f>
        <v/>
      </c>
    </row>
    <row r="160" spans="1:21" x14ac:dyDescent="0.35">
      <c r="A160" s="23">
        <v>156</v>
      </c>
      <c r="B160" s="24" t="str">
        <f>IF($A160&lt;=IF(Calc!$C$36=999,360,Calc!$C$36),EDATE(Calc!$C$5,A160-1),"")</f>
        <v/>
      </c>
      <c r="C160" s="25" t="str">
        <f>IF($A160&lt;=IF(Calc!$C$36=999,360,Calc!$C$36),CHOOSE(Calc!$C$3,'Snowball Engine'!AY162,'Avalanche Engine'!AY162,'My Order Engine'!AY162),"")</f>
        <v/>
      </c>
      <c r="D160" s="25" t="str">
        <f>IF($A160&lt;=IF(Calc!$C$36=999,360,Calc!$C$36),CHOOSE(Calc!$C$3,'Snowball Engine'!AX162,'Avalanche Engine'!AX162,'My Order Engine'!AX162),"")</f>
        <v/>
      </c>
      <c r="E160" s="25" t="str">
        <f>IF($A160&lt;=IF(Calc!$C$36=999,360,Calc!$C$36),C160-D160,"")</f>
        <v/>
      </c>
      <c r="F160" s="25" t="str">
        <f>IF($A160&lt;=IF(Calc!$C$36=999,360,Calc!$C$36),CHOOSE(Calc!$C$3,'Snowball Engine'!AW162,'Avalanche Engine'!AW162,'My Order Engine'!AW162),"")</f>
        <v/>
      </c>
      <c r="G160" s="25" t="str">
        <f>IF(AND($A160&lt;=IF(Calc!$C$36=999,360,Calc!$C$36),Calc!$C$10=1),CHOOSE(Calc!$C$3,INDEX('Snowball Engine'!$AH162:$AV162,Calc!$I$10),INDEX('Avalanche Engine'!$AH162:$AV162,Calc!$J$10),INDEX('My Order Engine'!$AH162:$AV162,Calc!$K$10)),"")</f>
        <v/>
      </c>
      <c r="H160" s="25" t="str">
        <f>IF(AND($A160&lt;=IF(Calc!$C$36=999,360,Calc!$C$36),Calc!$C$11=1),CHOOSE(Calc!$C$3,INDEX('Snowball Engine'!$AH162:$AV162,Calc!$I$11),INDEX('Avalanche Engine'!$AH162:$AV162,Calc!$J$11),INDEX('My Order Engine'!$AH162:$AV162,Calc!$K$11)),"")</f>
        <v/>
      </c>
      <c r="I160" s="25" t="str">
        <f>IF(AND($A160&lt;=IF(Calc!$C$36=999,360,Calc!$C$36),Calc!$C$12=1),CHOOSE(Calc!$C$3,INDEX('Snowball Engine'!$AH162:$AV162,Calc!$I$12),INDEX('Avalanche Engine'!$AH162:$AV162,Calc!$J$12),INDEX('My Order Engine'!$AH162:$AV162,Calc!$K$12)),"")</f>
        <v/>
      </c>
      <c r="J160" s="25" t="str">
        <f>IF(AND($A160&lt;=IF(Calc!$C$36=999,360,Calc!$C$36),Calc!$C$13=1),CHOOSE(Calc!$C$3,INDEX('Snowball Engine'!$AH162:$AV162,Calc!$I$13),INDEX('Avalanche Engine'!$AH162:$AV162,Calc!$J$13),INDEX('My Order Engine'!$AH162:$AV162,Calc!$K$13)),"")</f>
        <v/>
      </c>
      <c r="K160" s="25" t="str">
        <f>IF(AND($A160&lt;=IF(Calc!$C$36=999,360,Calc!$C$36),Calc!$C$14=1),CHOOSE(Calc!$C$3,INDEX('Snowball Engine'!$AH162:$AV162,Calc!$I$14),INDEX('Avalanche Engine'!$AH162:$AV162,Calc!$J$14),INDEX('My Order Engine'!$AH162:$AV162,Calc!$K$14)),"")</f>
        <v/>
      </c>
      <c r="L160" s="25" t="str">
        <f>IF(AND($A160&lt;=IF(Calc!$C$36=999,360,Calc!$C$36),Calc!$C$15=1),CHOOSE(Calc!$C$3,INDEX('Snowball Engine'!$AH162:$AV162,Calc!$I$15),INDEX('Avalanche Engine'!$AH162:$AV162,Calc!$J$15),INDEX('My Order Engine'!$AH162:$AV162,Calc!$K$15)),"")</f>
        <v/>
      </c>
      <c r="M160" s="25" t="str">
        <f>IF(AND($A160&lt;=IF(Calc!$C$36=999,360,Calc!$C$36),Calc!$C$16=1),CHOOSE(Calc!$C$3,INDEX('Snowball Engine'!$AH162:$AV162,Calc!$I$16),INDEX('Avalanche Engine'!$AH162:$AV162,Calc!$J$16),INDEX('My Order Engine'!$AH162:$AV162,Calc!$K$16)),"")</f>
        <v/>
      </c>
      <c r="N160" s="25" t="str">
        <f>IF(AND($A160&lt;=IF(Calc!$C$36=999,360,Calc!$C$36),Calc!$C$17=1),CHOOSE(Calc!$C$3,INDEX('Snowball Engine'!$AH162:$AV162,Calc!$I$17),INDEX('Avalanche Engine'!$AH162:$AV162,Calc!$J$17),INDEX('My Order Engine'!$AH162:$AV162,Calc!$K$17)),"")</f>
        <v/>
      </c>
      <c r="O160" s="25" t="str">
        <f>IF(AND($A160&lt;=IF(Calc!$C$36=999,360,Calc!$C$36),Calc!$C$18=1),CHOOSE(Calc!$C$3,INDEX('Snowball Engine'!$AH162:$AV162,Calc!$I$18),INDEX('Avalanche Engine'!$AH162:$AV162,Calc!$J$18),INDEX('My Order Engine'!$AH162:$AV162,Calc!$K$18)),"")</f>
        <v/>
      </c>
      <c r="P160" s="25" t="str">
        <f>IF(AND($A160&lt;=IF(Calc!$C$36=999,360,Calc!$C$36),Calc!$C$19=1),CHOOSE(Calc!$C$3,INDEX('Snowball Engine'!$AH162:$AV162,Calc!$I$19),INDEX('Avalanche Engine'!$AH162:$AV162,Calc!$J$19),INDEX('My Order Engine'!$AH162:$AV162,Calc!$K$19)),"")</f>
        <v/>
      </c>
      <c r="Q160" s="25" t="str">
        <f>IF(AND($A160&lt;=IF(Calc!$C$36=999,360,Calc!$C$36),Calc!$C$20=1),CHOOSE(Calc!$C$3,INDEX('Snowball Engine'!$AH162:$AV162,Calc!$I$20),INDEX('Avalanche Engine'!$AH162:$AV162,Calc!$J$20),INDEX('My Order Engine'!$AH162:$AV162,Calc!$K$20)),"")</f>
        <v/>
      </c>
      <c r="R160" s="25" t="str">
        <f>IF(AND($A160&lt;=IF(Calc!$C$36=999,360,Calc!$C$36),Calc!$C$21=1),CHOOSE(Calc!$C$3,INDEX('Snowball Engine'!$AH162:$AV162,Calc!$I$21),INDEX('Avalanche Engine'!$AH162:$AV162,Calc!$J$21),INDEX('My Order Engine'!$AH162:$AV162,Calc!$K$21)),"")</f>
        <v/>
      </c>
      <c r="S160" s="25" t="str">
        <f>IF(AND($A160&lt;=IF(Calc!$C$36=999,360,Calc!$C$36),Calc!$C$22=1),CHOOSE(Calc!$C$3,INDEX('Snowball Engine'!$AH162:$AV162,Calc!$I$22),INDEX('Avalanche Engine'!$AH162:$AV162,Calc!$J$22),INDEX('My Order Engine'!$AH162:$AV162,Calc!$K$22)),"")</f>
        <v/>
      </c>
      <c r="T160" s="25" t="str">
        <f>IF(AND($A160&lt;=IF(Calc!$C$36=999,360,Calc!$C$36),Calc!$C$23=1),CHOOSE(Calc!$C$3,INDEX('Snowball Engine'!$AH162:$AV162,Calc!$I$23),INDEX('Avalanche Engine'!$AH162:$AV162,Calc!$J$23),INDEX('My Order Engine'!$AH162:$AV162,Calc!$K$23)),"")</f>
        <v/>
      </c>
      <c r="U160" s="25" t="str">
        <f>IF(AND($A160&lt;=IF(Calc!$C$36=999,360,Calc!$C$36),Calc!$C$24=1),CHOOSE(Calc!$C$3,INDEX('Snowball Engine'!$AH162:$AV162,Calc!$I$24),INDEX('Avalanche Engine'!$AH162:$AV162,Calc!$J$24),INDEX('My Order Engine'!$AH162:$AV162,Calc!$K$24)),"")</f>
        <v/>
      </c>
    </row>
    <row r="161" spans="1:21" x14ac:dyDescent="0.35">
      <c r="A161" s="23">
        <v>157</v>
      </c>
      <c r="B161" s="24" t="str">
        <f>IF($A161&lt;=IF(Calc!$C$36=999,360,Calc!$C$36),EDATE(Calc!$C$5,A161-1),"")</f>
        <v/>
      </c>
      <c r="C161" s="25" t="str">
        <f>IF($A161&lt;=IF(Calc!$C$36=999,360,Calc!$C$36),CHOOSE(Calc!$C$3,'Snowball Engine'!AY163,'Avalanche Engine'!AY163,'My Order Engine'!AY163),"")</f>
        <v/>
      </c>
      <c r="D161" s="25" t="str">
        <f>IF($A161&lt;=IF(Calc!$C$36=999,360,Calc!$C$36),CHOOSE(Calc!$C$3,'Snowball Engine'!AX163,'Avalanche Engine'!AX163,'My Order Engine'!AX163),"")</f>
        <v/>
      </c>
      <c r="E161" s="25" t="str">
        <f>IF($A161&lt;=IF(Calc!$C$36=999,360,Calc!$C$36),C161-D161,"")</f>
        <v/>
      </c>
      <c r="F161" s="25" t="str">
        <f>IF($A161&lt;=IF(Calc!$C$36=999,360,Calc!$C$36),CHOOSE(Calc!$C$3,'Snowball Engine'!AW163,'Avalanche Engine'!AW163,'My Order Engine'!AW163),"")</f>
        <v/>
      </c>
      <c r="G161" s="25" t="str">
        <f>IF(AND($A161&lt;=IF(Calc!$C$36=999,360,Calc!$C$36),Calc!$C$10=1),CHOOSE(Calc!$C$3,INDEX('Snowball Engine'!$AH163:$AV163,Calc!$I$10),INDEX('Avalanche Engine'!$AH163:$AV163,Calc!$J$10),INDEX('My Order Engine'!$AH163:$AV163,Calc!$K$10)),"")</f>
        <v/>
      </c>
      <c r="H161" s="25" t="str">
        <f>IF(AND($A161&lt;=IF(Calc!$C$36=999,360,Calc!$C$36),Calc!$C$11=1),CHOOSE(Calc!$C$3,INDEX('Snowball Engine'!$AH163:$AV163,Calc!$I$11),INDEX('Avalanche Engine'!$AH163:$AV163,Calc!$J$11),INDEX('My Order Engine'!$AH163:$AV163,Calc!$K$11)),"")</f>
        <v/>
      </c>
      <c r="I161" s="25" t="str">
        <f>IF(AND($A161&lt;=IF(Calc!$C$36=999,360,Calc!$C$36),Calc!$C$12=1),CHOOSE(Calc!$C$3,INDEX('Snowball Engine'!$AH163:$AV163,Calc!$I$12),INDEX('Avalanche Engine'!$AH163:$AV163,Calc!$J$12),INDEX('My Order Engine'!$AH163:$AV163,Calc!$K$12)),"")</f>
        <v/>
      </c>
      <c r="J161" s="25" t="str">
        <f>IF(AND($A161&lt;=IF(Calc!$C$36=999,360,Calc!$C$36),Calc!$C$13=1),CHOOSE(Calc!$C$3,INDEX('Snowball Engine'!$AH163:$AV163,Calc!$I$13),INDEX('Avalanche Engine'!$AH163:$AV163,Calc!$J$13),INDEX('My Order Engine'!$AH163:$AV163,Calc!$K$13)),"")</f>
        <v/>
      </c>
      <c r="K161" s="25" t="str">
        <f>IF(AND($A161&lt;=IF(Calc!$C$36=999,360,Calc!$C$36),Calc!$C$14=1),CHOOSE(Calc!$C$3,INDEX('Snowball Engine'!$AH163:$AV163,Calc!$I$14),INDEX('Avalanche Engine'!$AH163:$AV163,Calc!$J$14),INDEX('My Order Engine'!$AH163:$AV163,Calc!$K$14)),"")</f>
        <v/>
      </c>
      <c r="L161" s="25" t="str">
        <f>IF(AND($A161&lt;=IF(Calc!$C$36=999,360,Calc!$C$36),Calc!$C$15=1),CHOOSE(Calc!$C$3,INDEX('Snowball Engine'!$AH163:$AV163,Calc!$I$15),INDEX('Avalanche Engine'!$AH163:$AV163,Calc!$J$15),INDEX('My Order Engine'!$AH163:$AV163,Calc!$K$15)),"")</f>
        <v/>
      </c>
      <c r="M161" s="25" t="str">
        <f>IF(AND($A161&lt;=IF(Calc!$C$36=999,360,Calc!$C$36),Calc!$C$16=1),CHOOSE(Calc!$C$3,INDEX('Snowball Engine'!$AH163:$AV163,Calc!$I$16),INDEX('Avalanche Engine'!$AH163:$AV163,Calc!$J$16),INDEX('My Order Engine'!$AH163:$AV163,Calc!$K$16)),"")</f>
        <v/>
      </c>
      <c r="N161" s="25" t="str">
        <f>IF(AND($A161&lt;=IF(Calc!$C$36=999,360,Calc!$C$36),Calc!$C$17=1),CHOOSE(Calc!$C$3,INDEX('Snowball Engine'!$AH163:$AV163,Calc!$I$17),INDEX('Avalanche Engine'!$AH163:$AV163,Calc!$J$17),INDEX('My Order Engine'!$AH163:$AV163,Calc!$K$17)),"")</f>
        <v/>
      </c>
      <c r="O161" s="25" t="str">
        <f>IF(AND($A161&lt;=IF(Calc!$C$36=999,360,Calc!$C$36),Calc!$C$18=1),CHOOSE(Calc!$C$3,INDEX('Snowball Engine'!$AH163:$AV163,Calc!$I$18),INDEX('Avalanche Engine'!$AH163:$AV163,Calc!$J$18),INDEX('My Order Engine'!$AH163:$AV163,Calc!$K$18)),"")</f>
        <v/>
      </c>
      <c r="P161" s="25" t="str">
        <f>IF(AND($A161&lt;=IF(Calc!$C$36=999,360,Calc!$C$36),Calc!$C$19=1),CHOOSE(Calc!$C$3,INDEX('Snowball Engine'!$AH163:$AV163,Calc!$I$19),INDEX('Avalanche Engine'!$AH163:$AV163,Calc!$J$19),INDEX('My Order Engine'!$AH163:$AV163,Calc!$K$19)),"")</f>
        <v/>
      </c>
      <c r="Q161" s="25" t="str">
        <f>IF(AND($A161&lt;=IF(Calc!$C$36=999,360,Calc!$C$36),Calc!$C$20=1),CHOOSE(Calc!$C$3,INDEX('Snowball Engine'!$AH163:$AV163,Calc!$I$20),INDEX('Avalanche Engine'!$AH163:$AV163,Calc!$J$20),INDEX('My Order Engine'!$AH163:$AV163,Calc!$K$20)),"")</f>
        <v/>
      </c>
      <c r="R161" s="25" t="str">
        <f>IF(AND($A161&lt;=IF(Calc!$C$36=999,360,Calc!$C$36),Calc!$C$21=1),CHOOSE(Calc!$C$3,INDEX('Snowball Engine'!$AH163:$AV163,Calc!$I$21),INDEX('Avalanche Engine'!$AH163:$AV163,Calc!$J$21),INDEX('My Order Engine'!$AH163:$AV163,Calc!$K$21)),"")</f>
        <v/>
      </c>
      <c r="S161" s="25" t="str">
        <f>IF(AND($A161&lt;=IF(Calc!$C$36=999,360,Calc!$C$36),Calc!$C$22=1),CHOOSE(Calc!$C$3,INDEX('Snowball Engine'!$AH163:$AV163,Calc!$I$22),INDEX('Avalanche Engine'!$AH163:$AV163,Calc!$J$22),INDEX('My Order Engine'!$AH163:$AV163,Calc!$K$22)),"")</f>
        <v/>
      </c>
      <c r="T161" s="25" t="str">
        <f>IF(AND($A161&lt;=IF(Calc!$C$36=999,360,Calc!$C$36),Calc!$C$23=1),CHOOSE(Calc!$C$3,INDEX('Snowball Engine'!$AH163:$AV163,Calc!$I$23),INDEX('Avalanche Engine'!$AH163:$AV163,Calc!$J$23),INDEX('My Order Engine'!$AH163:$AV163,Calc!$K$23)),"")</f>
        <v/>
      </c>
      <c r="U161" s="25" t="str">
        <f>IF(AND($A161&lt;=IF(Calc!$C$36=999,360,Calc!$C$36),Calc!$C$24=1),CHOOSE(Calc!$C$3,INDEX('Snowball Engine'!$AH163:$AV163,Calc!$I$24),INDEX('Avalanche Engine'!$AH163:$AV163,Calc!$J$24),INDEX('My Order Engine'!$AH163:$AV163,Calc!$K$24)),"")</f>
        <v/>
      </c>
    </row>
    <row r="162" spans="1:21" x14ac:dyDescent="0.35">
      <c r="A162" s="23">
        <v>158</v>
      </c>
      <c r="B162" s="24" t="str">
        <f>IF($A162&lt;=IF(Calc!$C$36=999,360,Calc!$C$36),EDATE(Calc!$C$5,A162-1),"")</f>
        <v/>
      </c>
      <c r="C162" s="25" t="str">
        <f>IF($A162&lt;=IF(Calc!$C$36=999,360,Calc!$C$36),CHOOSE(Calc!$C$3,'Snowball Engine'!AY164,'Avalanche Engine'!AY164,'My Order Engine'!AY164),"")</f>
        <v/>
      </c>
      <c r="D162" s="25" t="str">
        <f>IF($A162&lt;=IF(Calc!$C$36=999,360,Calc!$C$36),CHOOSE(Calc!$C$3,'Snowball Engine'!AX164,'Avalanche Engine'!AX164,'My Order Engine'!AX164),"")</f>
        <v/>
      </c>
      <c r="E162" s="25" t="str">
        <f>IF($A162&lt;=IF(Calc!$C$36=999,360,Calc!$C$36),C162-D162,"")</f>
        <v/>
      </c>
      <c r="F162" s="25" t="str">
        <f>IF($A162&lt;=IF(Calc!$C$36=999,360,Calc!$C$36),CHOOSE(Calc!$C$3,'Snowball Engine'!AW164,'Avalanche Engine'!AW164,'My Order Engine'!AW164),"")</f>
        <v/>
      </c>
      <c r="G162" s="25" t="str">
        <f>IF(AND($A162&lt;=IF(Calc!$C$36=999,360,Calc!$C$36),Calc!$C$10=1),CHOOSE(Calc!$C$3,INDEX('Snowball Engine'!$AH164:$AV164,Calc!$I$10),INDEX('Avalanche Engine'!$AH164:$AV164,Calc!$J$10),INDEX('My Order Engine'!$AH164:$AV164,Calc!$K$10)),"")</f>
        <v/>
      </c>
      <c r="H162" s="25" t="str">
        <f>IF(AND($A162&lt;=IF(Calc!$C$36=999,360,Calc!$C$36),Calc!$C$11=1),CHOOSE(Calc!$C$3,INDEX('Snowball Engine'!$AH164:$AV164,Calc!$I$11),INDEX('Avalanche Engine'!$AH164:$AV164,Calc!$J$11),INDEX('My Order Engine'!$AH164:$AV164,Calc!$K$11)),"")</f>
        <v/>
      </c>
      <c r="I162" s="25" t="str">
        <f>IF(AND($A162&lt;=IF(Calc!$C$36=999,360,Calc!$C$36),Calc!$C$12=1),CHOOSE(Calc!$C$3,INDEX('Snowball Engine'!$AH164:$AV164,Calc!$I$12),INDEX('Avalanche Engine'!$AH164:$AV164,Calc!$J$12),INDEX('My Order Engine'!$AH164:$AV164,Calc!$K$12)),"")</f>
        <v/>
      </c>
      <c r="J162" s="25" t="str">
        <f>IF(AND($A162&lt;=IF(Calc!$C$36=999,360,Calc!$C$36),Calc!$C$13=1),CHOOSE(Calc!$C$3,INDEX('Snowball Engine'!$AH164:$AV164,Calc!$I$13),INDEX('Avalanche Engine'!$AH164:$AV164,Calc!$J$13),INDEX('My Order Engine'!$AH164:$AV164,Calc!$K$13)),"")</f>
        <v/>
      </c>
      <c r="K162" s="25" t="str">
        <f>IF(AND($A162&lt;=IF(Calc!$C$36=999,360,Calc!$C$36),Calc!$C$14=1),CHOOSE(Calc!$C$3,INDEX('Snowball Engine'!$AH164:$AV164,Calc!$I$14),INDEX('Avalanche Engine'!$AH164:$AV164,Calc!$J$14),INDEX('My Order Engine'!$AH164:$AV164,Calc!$K$14)),"")</f>
        <v/>
      </c>
      <c r="L162" s="25" t="str">
        <f>IF(AND($A162&lt;=IF(Calc!$C$36=999,360,Calc!$C$36),Calc!$C$15=1),CHOOSE(Calc!$C$3,INDEX('Snowball Engine'!$AH164:$AV164,Calc!$I$15),INDEX('Avalanche Engine'!$AH164:$AV164,Calc!$J$15),INDEX('My Order Engine'!$AH164:$AV164,Calc!$K$15)),"")</f>
        <v/>
      </c>
      <c r="M162" s="25" t="str">
        <f>IF(AND($A162&lt;=IF(Calc!$C$36=999,360,Calc!$C$36),Calc!$C$16=1),CHOOSE(Calc!$C$3,INDEX('Snowball Engine'!$AH164:$AV164,Calc!$I$16),INDEX('Avalanche Engine'!$AH164:$AV164,Calc!$J$16),INDEX('My Order Engine'!$AH164:$AV164,Calc!$K$16)),"")</f>
        <v/>
      </c>
      <c r="N162" s="25" t="str">
        <f>IF(AND($A162&lt;=IF(Calc!$C$36=999,360,Calc!$C$36),Calc!$C$17=1),CHOOSE(Calc!$C$3,INDEX('Snowball Engine'!$AH164:$AV164,Calc!$I$17),INDEX('Avalanche Engine'!$AH164:$AV164,Calc!$J$17),INDEX('My Order Engine'!$AH164:$AV164,Calc!$K$17)),"")</f>
        <v/>
      </c>
      <c r="O162" s="25" t="str">
        <f>IF(AND($A162&lt;=IF(Calc!$C$36=999,360,Calc!$C$36),Calc!$C$18=1),CHOOSE(Calc!$C$3,INDEX('Snowball Engine'!$AH164:$AV164,Calc!$I$18),INDEX('Avalanche Engine'!$AH164:$AV164,Calc!$J$18),INDEX('My Order Engine'!$AH164:$AV164,Calc!$K$18)),"")</f>
        <v/>
      </c>
      <c r="P162" s="25" t="str">
        <f>IF(AND($A162&lt;=IF(Calc!$C$36=999,360,Calc!$C$36),Calc!$C$19=1),CHOOSE(Calc!$C$3,INDEX('Snowball Engine'!$AH164:$AV164,Calc!$I$19),INDEX('Avalanche Engine'!$AH164:$AV164,Calc!$J$19),INDEX('My Order Engine'!$AH164:$AV164,Calc!$K$19)),"")</f>
        <v/>
      </c>
      <c r="Q162" s="25" t="str">
        <f>IF(AND($A162&lt;=IF(Calc!$C$36=999,360,Calc!$C$36),Calc!$C$20=1),CHOOSE(Calc!$C$3,INDEX('Snowball Engine'!$AH164:$AV164,Calc!$I$20),INDEX('Avalanche Engine'!$AH164:$AV164,Calc!$J$20),INDEX('My Order Engine'!$AH164:$AV164,Calc!$K$20)),"")</f>
        <v/>
      </c>
      <c r="R162" s="25" t="str">
        <f>IF(AND($A162&lt;=IF(Calc!$C$36=999,360,Calc!$C$36),Calc!$C$21=1),CHOOSE(Calc!$C$3,INDEX('Snowball Engine'!$AH164:$AV164,Calc!$I$21),INDEX('Avalanche Engine'!$AH164:$AV164,Calc!$J$21),INDEX('My Order Engine'!$AH164:$AV164,Calc!$K$21)),"")</f>
        <v/>
      </c>
      <c r="S162" s="25" t="str">
        <f>IF(AND($A162&lt;=IF(Calc!$C$36=999,360,Calc!$C$36),Calc!$C$22=1),CHOOSE(Calc!$C$3,INDEX('Snowball Engine'!$AH164:$AV164,Calc!$I$22),INDEX('Avalanche Engine'!$AH164:$AV164,Calc!$J$22),INDEX('My Order Engine'!$AH164:$AV164,Calc!$K$22)),"")</f>
        <v/>
      </c>
      <c r="T162" s="25" t="str">
        <f>IF(AND($A162&lt;=IF(Calc!$C$36=999,360,Calc!$C$36),Calc!$C$23=1),CHOOSE(Calc!$C$3,INDEX('Snowball Engine'!$AH164:$AV164,Calc!$I$23),INDEX('Avalanche Engine'!$AH164:$AV164,Calc!$J$23),INDEX('My Order Engine'!$AH164:$AV164,Calc!$K$23)),"")</f>
        <v/>
      </c>
      <c r="U162" s="25" t="str">
        <f>IF(AND($A162&lt;=IF(Calc!$C$36=999,360,Calc!$C$36),Calc!$C$24=1),CHOOSE(Calc!$C$3,INDEX('Snowball Engine'!$AH164:$AV164,Calc!$I$24),INDEX('Avalanche Engine'!$AH164:$AV164,Calc!$J$24),INDEX('My Order Engine'!$AH164:$AV164,Calc!$K$24)),"")</f>
        <v/>
      </c>
    </row>
    <row r="163" spans="1:21" x14ac:dyDescent="0.35">
      <c r="A163" s="23">
        <v>159</v>
      </c>
      <c r="B163" s="24" t="str">
        <f>IF($A163&lt;=IF(Calc!$C$36=999,360,Calc!$C$36),EDATE(Calc!$C$5,A163-1),"")</f>
        <v/>
      </c>
      <c r="C163" s="25" t="str">
        <f>IF($A163&lt;=IF(Calc!$C$36=999,360,Calc!$C$36),CHOOSE(Calc!$C$3,'Snowball Engine'!AY165,'Avalanche Engine'!AY165,'My Order Engine'!AY165),"")</f>
        <v/>
      </c>
      <c r="D163" s="25" t="str">
        <f>IF($A163&lt;=IF(Calc!$C$36=999,360,Calc!$C$36),CHOOSE(Calc!$C$3,'Snowball Engine'!AX165,'Avalanche Engine'!AX165,'My Order Engine'!AX165),"")</f>
        <v/>
      </c>
      <c r="E163" s="25" t="str">
        <f>IF($A163&lt;=IF(Calc!$C$36=999,360,Calc!$C$36),C163-D163,"")</f>
        <v/>
      </c>
      <c r="F163" s="25" t="str">
        <f>IF($A163&lt;=IF(Calc!$C$36=999,360,Calc!$C$36),CHOOSE(Calc!$C$3,'Snowball Engine'!AW165,'Avalanche Engine'!AW165,'My Order Engine'!AW165),"")</f>
        <v/>
      </c>
      <c r="G163" s="25" t="str">
        <f>IF(AND($A163&lt;=IF(Calc!$C$36=999,360,Calc!$C$36),Calc!$C$10=1),CHOOSE(Calc!$C$3,INDEX('Snowball Engine'!$AH165:$AV165,Calc!$I$10),INDEX('Avalanche Engine'!$AH165:$AV165,Calc!$J$10),INDEX('My Order Engine'!$AH165:$AV165,Calc!$K$10)),"")</f>
        <v/>
      </c>
      <c r="H163" s="25" t="str">
        <f>IF(AND($A163&lt;=IF(Calc!$C$36=999,360,Calc!$C$36),Calc!$C$11=1),CHOOSE(Calc!$C$3,INDEX('Snowball Engine'!$AH165:$AV165,Calc!$I$11),INDEX('Avalanche Engine'!$AH165:$AV165,Calc!$J$11),INDEX('My Order Engine'!$AH165:$AV165,Calc!$K$11)),"")</f>
        <v/>
      </c>
      <c r="I163" s="25" t="str">
        <f>IF(AND($A163&lt;=IF(Calc!$C$36=999,360,Calc!$C$36),Calc!$C$12=1),CHOOSE(Calc!$C$3,INDEX('Snowball Engine'!$AH165:$AV165,Calc!$I$12),INDEX('Avalanche Engine'!$AH165:$AV165,Calc!$J$12),INDEX('My Order Engine'!$AH165:$AV165,Calc!$K$12)),"")</f>
        <v/>
      </c>
      <c r="J163" s="25" t="str">
        <f>IF(AND($A163&lt;=IF(Calc!$C$36=999,360,Calc!$C$36),Calc!$C$13=1),CHOOSE(Calc!$C$3,INDEX('Snowball Engine'!$AH165:$AV165,Calc!$I$13),INDEX('Avalanche Engine'!$AH165:$AV165,Calc!$J$13),INDEX('My Order Engine'!$AH165:$AV165,Calc!$K$13)),"")</f>
        <v/>
      </c>
      <c r="K163" s="25" t="str">
        <f>IF(AND($A163&lt;=IF(Calc!$C$36=999,360,Calc!$C$36),Calc!$C$14=1),CHOOSE(Calc!$C$3,INDEX('Snowball Engine'!$AH165:$AV165,Calc!$I$14),INDEX('Avalanche Engine'!$AH165:$AV165,Calc!$J$14),INDEX('My Order Engine'!$AH165:$AV165,Calc!$K$14)),"")</f>
        <v/>
      </c>
      <c r="L163" s="25" t="str">
        <f>IF(AND($A163&lt;=IF(Calc!$C$36=999,360,Calc!$C$36),Calc!$C$15=1),CHOOSE(Calc!$C$3,INDEX('Snowball Engine'!$AH165:$AV165,Calc!$I$15),INDEX('Avalanche Engine'!$AH165:$AV165,Calc!$J$15),INDEX('My Order Engine'!$AH165:$AV165,Calc!$K$15)),"")</f>
        <v/>
      </c>
      <c r="M163" s="25" t="str">
        <f>IF(AND($A163&lt;=IF(Calc!$C$36=999,360,Calc!$C$36),Calc!$C$16=1),CHOOSE(Calc!$C$3,INDEX('Snowball Engine'!$AH165:$AV165,Calc!$I$16),INDEX('Avalanche Engine'!$AH165:$AV165,Calc!$J$16),INDEX('My Order Engine'!$AH165:$AV165,Calc!$K$16)),"")</f>
        <v/>
      </c>
      <c r="N163" s="25" t="str">
        <f>IF(AND($A163&lt;=IF(Calc!$C$36=999,360,Calc!$C$36),Calc!$C$17=1),CHOOSE(Calc!$C$3,INDEX('Snowball Engine'!$AH165:$AV165,Calc!$I$17),INDEX('Avalanche Engine'!$AH165:$AV165,Calc!$J$17),INDEX('My Order Engine'!$AH165:$AV165,Calc!$K$17)),"")</f>
        <v/>
      </c>
      <c r="O163" s="25" t="str">
        <f>IF(AND($A163&lt;=IF(Calc!$C$36=999,360,Calc!$C$36),Calc!$C$18=1),CHOOSE(Calc!$C$3,INDEX('Snowball Engine'!$AH165:$AV165,Calc!$I$18),INDEX('Avalanche Engine'!$AH165:$AV165,Calc!$J$18),INDEX('My Order Engine'!$AH165:$AV165,Calc!$K$18)),"")</f>
        <v/>
      </c>
      <c r="P163" s="25" t="str">
        <f>IF(AND($A163&lt;=IF(Calc!$C$36=999,360,Calc!$C$36),Calc!$C$19=1),CHOOSE(Calc!$C$3,INDEX('Snowball Engine'!$AH165:$AV165,Calc!$I$19),INDEX('Avalanche Engine'!$AH165:$AV165,Calc!$J$19),INDEX('My Order Engine'!$AH165:$AV165,Calc!$K$19)),"")</f>
        <v/>
      </c>
      <c r="Q163" s="25" t="str">
        <f>IF(AND($A163&lt;=IF(Calc!$C$36=999,360,Calc!$C$36),Calc!$C$20=1),CHOOSE(Calc!$C$3,INDEX('Snowball Engine'!$AH165:$AV165,Calc!$I$20),INDEX('Avalanche Engine'!$AH165:$AV165,Calc!$J$20),INDEX('My Order Engine'!$AH165:$AV165,Calc!$K$20)),"")</f>
        <v/>
      </c>
      <c r="R163" s="25" t="str">
        <f>IF(AND($A163&lt;=IF(Calc!$C$36=999,360,Calc!$C$36),Calc!$C$21=1),CHOOSE(Calc!$C$3,INDEX('Snowball Engine'!$AH165:$AV165,Calc!$I$21),INDEX('Avalanche Engine'!$AH165:$AV165,Calc!$J$21),INDEX('My Order Engine'!$AH165:$AV165,Calc!$K$21)),"")</f>
        <v/>
      </c>
      <c r="S163" s="25" t="str">
        <f>IF(AND($A163&lt;=IF(Calc!$C$36=999,360,Calc!$C$36),Calc!$C$22=1),CHOOSE(Calc!$C$3,INDEX('Snowball Engine'!$AH165:$AV165,Calc!$I$22),INDEX('Avalanche Engine'!$AH165:$AV165,Calc!$J$22),INDEX('My Order Engine'!$AH165:$AV165,Calc!$K$22)),"")</f>
        <v/>
      </c>
      <c r="T163" s="25" t="str">
        <f>IF(AND($A163&lt;=IF(Calc!$C$36=999,360,Calc!$C$36),Calc!$C$23=1),CHOOSE(Calc!$C$3,INDEX('Snowball Engine'!$AH165:$AV165,Calc!$I$23),INDEX('Avalanche Engine'!$AH165:$AV165,Calc!$J$23),INDEX('My Order Engine'!$AH165:$AV165,Calc!$K$23)),"")</f>
        <v/>
      </c>
      <c r="U163" s="25" t="str">
        <f>IF(AND($A163&lt;=IF(Calc!$C$36=999,360,Calc!$C$36),Calc!$C$24=1),CHOOSE(Calc!$C$3,INDEX('Snowball Engine'!$AH165:$AV165,Calc!$I$24),INDEX('Avalanche Engine'!$AH165:$AV165,Calc!$J$24),INDEX('My Order Engine'!$AH165:$AV165,Calc!$K$24)),"")</f>
        <v/>
      </c>
    </row>
    <row r="164" spans="1:21" x14ac:dyDescent="0.35">
      <c r="A164" s="23">
        <v>160</v>
      </c>
      <c r="B164" s="24" t="str">
        <f>IF($A164&lt;=IF(Calc!$C$36=999,360,Calc!$C$36),EDATE(Calc!$C$5,A164-1),"")</f>
        <v/>
      </c>
      <c r="C164" s="25" t="str">
        <f>IF($A164&lt;=IF(Calc!$C$36=999,360,Calc!$C$36),CHOOSE(Calc!$C$3,'Snowball Engine'!AY166,'Avalanche Engine'!AY166,'My Order Engine'!AY166),"")</f>
        <v/>
      </c>
      <c r="D164" s="25" t="str">
        <f>IF($A164&lt;=IF(Calc!$C$36=999,360,Calc!$C$36),CHOOSE(Calc!$C$3,'Snowball Engine'!AX166,'Avalanche Engine'!AX166,'My Order Engine'!AX166),"")</f>
        <v/>
      </c>
      <c r="E164" s="25" t="str">
        <f>IF($A164&lt;=IF(Calc!$C$36=999,360,Calc!$C$36),C164-D164,"")</f>
        <v/>
      </c>
      <c r="F164" s="25" t="str">
        <f>IF($A164&lt;=IF(Calc!$C$36=999,360,Calc!$C$36),CHOOSE(Calc!$C$3,'Snowball Engine'!AW166,'Avalanche Engine'!AW166,'My Order Engine'!AW166),"")</f>
        <v/>
      </c>
      <c r="G164" s="25" t="str">
        <f>IF(AND($A164&lt;=IF(Calc!$C$36=999,360,Calc!$C$36),Calc!$C$10=1),CHOOSE(Calc!$C$3,INDEX('Snowball Engine'!$AH166:$AV166,Calc!$I$10),INDEX('Avalanche Engine'!$AH166:$AV166,Calc!$J$10),INDEX('My Order Engine'!$AH166:$AV166,Calc!$K$10)),"")</f>
        <v/>
      </c>
      <c r="H164" s="25" t="str">
        <f>IF(AND($A164&lt;=IF(Calc!$C$36=999,360,Calc!$C$36),Calc!$C$11=1),CHOOSE(Calc!$C$3,INDEX('Snowball Engine'!$AH166:$AV166,Calc!$I$11),INDEX('Avalanche Engine'!$AH166:$AV166,Calc!$J$11),INDEX('My Order Engine'!$AH166:$AV166,Calc!$K$11)),"")</f>
        <v/>
      </c>
      <c r="I164" s="25" t="str">
        <f>IF(AND($A164&lt;=IF(Calc!$C$36=999,360,Calc!$C$36),Calc!$C$12=1),CHOOSE(Calc!$C$3,INDEX('Snowball Engine'!$AH166:$AV166,Calc!$I$12),INDEX('Avalanche Engine'!$AH166:$AV166,Calc!$J$12),INDEX('My Order Engine'!$AH166:$AV166,Calc!$K$12)),"")</f>
        <v/>
      </c>
      <c r="J164" s="25" t="str">
        <f>IF(AND($A164&lt;=IF(Calc!$C$36=999,360,Calc!$C$36),Calc!$C$13=1),CHOOSE(Calc!$C$3,INDEX('Snowball Engine'!$AH166:$AV166,Calc!$I$13),INDEX('Avalanche Engine'!$AH166:$AV166,Calc!$J$13),INDEX('My Order Engine'!$AH166:$AV166,Calc!$K$13)),"")</f>
        <v/>
      </c>
      <c r="K164" s="25" t="str">
        <f>IF(AND($A164&lt;=IF(Calc!$C$36=999,360,Calc!$C$36),Calc!$C$14=1),CHOOSE(Calc!$C$3,INDEX('Snowball Engine'!$AH166:$AV166,Calc!$I$14),INDEX('Avalanche Engine'!$AH166:$AV166,Calc!$J$14),INDEX('My Order Engine'!$AH166:$AV166,Calc!$K$14)),"")</f>
        <v/>
      </c>
      <c r="L164" s="25" t="str">
        <f>IF(AND($A164&lt;=IF(Calc!$C$36=999,360,Calc!$C$36),Calc!$C$15=1),CHOOSE(Calc!$C$3,INDEX('Snowball Engine'!$AH166:$AV166,Calc!$I$15),INDEX('Avalanche Engine'!$AH166:$AV166,Calc!$J$15),INDEX('My Order Engine'!$AH166:$AV166,Calc!$K$15)),"")</f>
        <v/>
      </c>
      <c r="M164" s="25" t="str">
        <f>IF(AND($A164&lt;=IF(Calc!$C$36=999,360,Calc!$C$36),Calc!$C$16=1),CHOOSE(Calc!$C$3,INDEX('Snowball Engine'!$AH166:$AV166,Calc!$I$16),INDEX('Avalanche Engine'!$AH166:$AV166,Calc!$J$16),INDEX('My Order Engine'!$AH166:$AV166,Calc!$K$16)),"")</f>
        <v/>
      </c>
      <c r="N164" s="25" t="str">
        <f>IF(AND($A164&lt;=IF(Calc!$C$36=999,360,Calc!$C$36),Calc!$C$17=1),CHOOSE(Calc!$C$3,INDEX('Snowball Engine'!$AH166:$AV166,Calc!$I$17),INDEX('Avalanche Engine'!$AH166:$AV166,Calc!$J$17),INDEX('My Order Engine'!$AH166:$AV166,Calc!$K$17)),"")</f>
        <v/>
      </c>
      <c r="O164" s="25" t="str">
        <f>IF(AND($A164&lt;=IF(Calc!$C$36=999,360,Calc!$C$36),Calc!$C$18=1),CHOOSE(Calc!$C$3,INDEX('Snowball Engine'!$AH166:$AV166,Calc!$I$18),INDEX('Avalanche Engine'!$AH166:$AV166,Calc!$J$18),INDEX('My Order Engine'!$AH166:$AV166,Calc!$K$18)),"")</f>
        <v/>
      </c>
      <c r="P164" s="25" t="str">
        <f>IF(AND($A164&lt;=IF(Calc!$C$36=999,360,Calc!$C$36),Calc!$C$19=1),CHOOSE(Calc!$C$3,INDEX('Snowball Engine'!$AH166:$AV166,Calc!$I$19),INDEX('Avalanche Engine'!$AH166:$AV166,Calc!$J$19),INDEX('My Order Engine'!$AH166:$AV166,Calc!$K$19)),"")</f>
        <v/>
      </c>
      <c r="Q164" s="25" t="str">
        <f>IF(AND($A164&lt;=IF(Calc!$C$36=999,360,Calc!$C$36),Calc!$C$20=1),CHOOSE(Calc!$C$3,INDEX('Snowball Engine'!$AH166:$AV166,Calc!$I$20),INDEX('Avalanche Engine'!$AH166:$AV166,Calc!$J$20),INDEX('My Order Engine'!$AH166:$AV166,Calc!$K$20)),"")</f>
        <v/>
      </c>
      <c r="R164" s="25" t="str">
        <f>IF(AND($A164&lt;=IF(Calc!$C$36=999,360,Calc!$C$36),Calc!$C$21=1),CHOOSE(Calc!$C$3,INDEX('Snowball Engine'!$AH166:$AV166,Calc!$I$21),INDEX('Avalanche Engine'!$AH166:$AV166,Calc!$J$21),INDEX('My Order Engine'!$AH166:$AV166,Calc!$K$21)),"")</f>
        <v/>
      </c>
      <c r="S164" s="25" t="str">
        <f>IF(AND($A164&lt;=IF(Calc!$C$36=999,360,Calc!$C$36),Calc!$C$22=1),CHOOSE(Calc!$C$3,INDEX('Snowball Engine'!$AH166:$AV166,Calc!$I$22),INDEX('Avalanche Engine'!$AH166:$AV166,Calc!$J$22),INDEX('My Order Engine'!$AH166:$AV166,Calc!$K$22)),"")</f>
        <v/>
      </c>
      <c r="T164" s="25" t="str">
        <f>IF(AND($A164&lt;=IF(Calc!$C$36=999,360,Calc!$C$36),Calc!$C$23=1),CHOOSE(Calc!$C$3,INDEX('Snowball Engine'!$AH166:$AV166,Calc!$I$23),INDEX('Avalanche Engine'!$AH166:$AV166,Calc!$J$23),INDEX('My Order Engine'!$AH166:$AV166,Calc!$K$23)),"")</f>
        <v/>
      </c>
      <c r="U164" s="25" t="str">
        <f>IF(AND($A164&lt;=IF(Calc!$C$36=999,360,Calc!$C$36),Calc!$C$24=1),CHOOSE(Calc!$C$3,INDEX('Snowball Engine'!$AH166:$AV166,Calc!$I$24),INDEX('Avalanche Engine'!$AH166:$AV166,Calc!$J$24),INDEX('My Order Engine'!$AH166:$AV166,Calc!$K$24)),"")</f>
        <v/>
      </c>
    </row>
    <row r="165" spans="1:21" x14ac:dyDescent="0.35">
      <c r="A165" s="23">
        <v>161</v>
      </c>
      <c r="B165" s="24" t="str">
        <f>IF($A165&lt;=IF(Calc!$C$36=999,360,Calc!$C$36),EDATE(Calc!$C$5,A165-1),"")</f>
        <v/>
      </c>
      <c r="C165" s="25" t="str">
        <f>IF($A165&lt;=IF(Calc!$C$36=999,360,Calc!$C$36),CHOOSE(Calc!$C$3,'Snowball Engine'!AY167,'Avalanche Engine'!AY167,'My Order Engine'!AY167),"")</f>
        <v/>
      </c>
      <c r="D165" s="25" t="str">
        <f>IF($A165&lt;=IF(Calc!$C$36=999,360,Calc!$C$36),CHOOSE(Calc!$C$3,'Snowball Engine'!AX167,'Avalanche Engine'!AX167,'My Order Engine'!AX167),"")</f>
        <v/>
      </c>
      <c r="E165" s="25" t="str">
        <f>IF($A165&lt;=IF(Calc!$C$36=999,360,Calc!$C$36),C165-D165,"")</f>
        <v/>
      </c>
      <c r="F165" s="25" t="str">
        <f>IF($A165&lt;=IF(Calc!$C$36=999,360,Calc!$C$36),CHOOSE(Calc!$C$3,'Snowball Engine'!AW167,'Avalanche Engine'!AW167,'My Order Engine'!AW167),"")</f>
        <v/>
      </c>
      <c r="G165" s="25" t="str">
        <f>IF(AND($A165&lt;=IF(Calc!$C$36=999,360,Calc!$C$36),Calc!$C$10=1),CHOOSE(Calc!$C$3,INDEX('Snowball Engine'!$AH167:$AV167,Calc!$I$10),INDEX('Avalanche Engine'!$AH167:$AV167,Calc!$J$10),INDEX('My Order Engine'!$AH167:$AV167,Calc!$K$10)),"")</f>
        <v/>
      </c>
      <c r="H165" s="25" t="str">
        <f>IF(AND($A165&lt;=IF(Calc!$C$36=999,360,Calc!$C$36),Calc!$C$11=1),CHOOSE(Calc!$C$3,INDEX('Snowball Engine'!$AH167:$AV167,Calc!$I$11),INDEX('Avalanche Engine'!$AH167:$AV167,Calc!$J$11),INDEX('My Order Engine'!$AH167:$AV167,Calc!$K$11)),"")</f>
        <v/>
      </c>
      <c r="I165" s="25" t="str">
        <f>IF(AND($A165&lt;=IF(Calc!$C$36=999,360,Calc!$C$36),Calc!$C$12=1),CHOOSE(Calc!$C$3,INDEX('Snowball Engine'!$AH167:$AV167,Calc!$I$12),INDEX('Avalanche Engine'!$AH167:$AV167,Calc!$J$12),INDEX('My Order Engine'!$AH167:$AV167,Calc!$K$12)),"")</f>
        <v/>
      </c>
      <c r="J165" s="25" t="str">
        <f>IF(AND($A165&lt;=IF(Calc!$C$36=999,360,Calc!$C$36),Calc!$C$13=1),CHOOSE(Calc!$C$3,INDEX('Snowball Engine'!$AH167:$AV167,Calc!$I$13),INDEX('Avalanche Engine'!$AH167:$AV167,Calc!$J$13),INDEX('My Order Engine'!$AH167:$AV167,Calc!$K$13)),"")</f>
        <v/>
      </c>
      <c r="K165" s="25" t="str">
        <f>IF(AND($A165&lt;=IF(Calc!$C$36=999,360,Calc!$C$36),Calc!$C$14=1),CHOOSE(Calc!$C$3,INDEX('Snowball Engine'!$AH167:$AV167,Calc!$I$14),INDEX('Avalanche Engine'!$AH167:$AV167,Calc!$J$14),INDEX('My Order Engine'!$AH167:$AV167,Calc!$K$14)),"")</f>
        <v/>
      </c>
      <c r="L165" s="25" t="str">
        <f>IF(AND($A165&lt;=IF(Calc!$C$36=999,360,Calc!$C$36),Calc!$C$15=1),CHOOSE(Calc!$C$3,INDEX('Snowball Engine'!$AH167:$AV167,Calc!$I$15),INDEX('Avalanche Engine'!$AH167:$AV167,Calc!$J$15),INDEX('My Order Engine'!$AH167:$AV167,Calc!$K$15)),"")</f>
        <v/>
      </c>
      <c r="M165" s="25" t="str">
        <f>IF(AND($A165&lt;=IF(Calc!$C$36=999,360,Calc!$C$36),Calc!$C$16=1),CHOOSE(Calc!$C$3,INDEX('Snowball Engine'!$AH167:$AV167,Calc!$I$16),INDEX('Avalanche Engine'!$AH167:$AV167,Calc!$J$16),INDEX('My Order Engine'!$AH167:$AV167,Calc!$K$16)),"")</f>
        <v/>
      </c>
      <c r="N165" s="25" t="str">
        <f>IF(AND($A165&lt;=IF(Calc!$C$36=999,360,Calc!$C$36),Calc!$C$17=1),CHOOSE(Calc!$C$3,INDEX('Snowball Engine'!$AH167:$AV167,Calc!$I$17),INDEX('Avalanche Engine'!$AH167:$AV167,Calc!$J$17),INDEX('My Order Engine'!$AH167:$AV167,Calc!$K$17)),"")</f>
        <v/>
      </c>
      <c r="O165" s="25" t="str">
        <f>IF(AND($A165&lt;=IF(Calc!$C$36=999,360,Calc!$C$36),Calc!$C$18=1),CHOOSE(Calc!$C$3,INDEX('Snowball Engine'!$AH167:$AV167,Calc!$I$18),INDEX('Avalanche Engine'!$AH167:$AV167,Calc!$J$18),INDEX('My Order Engine'!$AH167:$AV167,Calc!$K$18)),"")</f>
        <v/>
      </c>
      <c r="P165" s="25" t="str">
        <f>IF(AND($A165&lt;=IF(Calc!$C$36=999,360,Calc!$C$36),Calc!$C$19=1),CHOOSE(Calc!$C$3,INDEX('Snowball Engine'!$AH167:$AV167,Calc!$I$19),INDEX('Avalanche Engine'!$AH167:$AV167,Calc!$J$19),INDEX('My Order Engine'!$AH167:$AV167,Calc!$K$19)),"")</f>
        <v/>
      </c>
      <c r="Q165" s="25" t="str">
        <f>IF(AND($A165&lt;=IF(Calc!$C$36=999,360,Calc!$C$36),Calc!$C$20=1),CHOOSE(Calc!$C$3,INDEX('Snowball Engine'!$AH167:$AV167,Calc!$I$20),INDEX('Avalanche Engine'!$AH167:$AV167,Calc!$J$20),INDEX('My Order Engine'!$AH167:$AV167,Calc!$K$20)),"")</f>
        <v/>
      </c>
      <c r="R165" s="25" t="str">
        <f>IF(AND($A165&lt;=IF(Calc!$C$36=999,360,Calc!$C$36),Calc!$C$21=1),CHOOSE(Calc!$C$3,INDEX('Snowball Engine'!$AH167:$AV167,Calc!$I$21),INDEX('Avalanche Engine'!$AH167:$AV167,Calc!$J$21),INDEX('My Order Engine'!$AH167:$AV167,Calc!$K$21)),"")</f>
        <v/>
      </c>
      <c r="S165" s="25" t="str">
        <f>IF(AND($A165&lt;=IF(Calc!$C$36=999,360,Calc!$C$36),Calc!$C$22=1),CHOOSE(Calc!$C$3,INDEX('Snowball Engine'!$AH167:$AV167,Calc!$I$22),INDEX('Avalanche Engine'!$AH167:$AV167,Calc!$J$22),INDEX('My Order Engine'!$AH167:$AV167,Calc!$K$22)),"")</f>
        <v/>
      </c>
      <c r="T165" s="25" t="str">
        <f>IF(AND($A165&lt;=IF(Calc!$C$36=999,360,Calc!$C$36),Calc!$C$23=1),CHOOSE(Calc!$C$3,INDEX('Snowball Engine'!$AH167:$AV167,Calc!$I$23),INDEX('Avalanche Engine'!$AH167:$AV167,Calc!$J$23),INDEX('My Order Engine'!$AH167:$AV167,Calc!$K$23)),"")</f>
        <v/>
      </c>
      <c r="U165" s="25" t="str">
        <f>IF(AND($A165&lt;=IF(Calc!$C$36=999,360,Calc!$C$36),Calc!$C$24=1),CHOOSE(Calc!$C$3,INDEX('Snowball Engine'!$AH167:$AV167,Calc!$I$24),INDEX('Avalanche Engine'!$AH167:$AV167,Calc!$J$24),INDEX('My Order Engine'!$AH167:$AV167,Calc!$K$24)),"")</f>
        <v/>
      </c>
    </row>
    <row r="166" spans="1:21" x14ac:dyDescent="0.35">
      <c r="A166" s="23">
        <v>162</v>
      </c>
      <c r="B166" s="24" t="str">
        <f>IF($A166&lt;=IF(Calc!$C$36=999,360,Calc!$C$36),EDATE(Calc!$C$5,A166-1),"")</f>
        <v/>
      </c>
      <c r="C166" s="25" t="str">
        <f>IF($A166&lt;=IF(Calc!$C$36=999,360,Calc!$C$36),CHOOSE(Calc!$C$3,'Snowball Engine'!AY168,'Avalanche Engine'!AY168,'My Order Engine'!AY168),"")</f>
        <v/>
      </c>
      <c r="D166" s="25" t="str">
        <f>IF($A166&lt;=IF(Calc!$C$36=999,360,Calc!$C$36),CHOOSE(Calc!$C$3,'Snowball Engine'!AX168,'Avalanche Engine'!AX168,'My Order Engine'!AX168),"")</f>
        <v/>
      </c>
      <c r="E166" s="25" t="str">
        <f>IF($A166&lt;=IF(Calc!$C$36=999,360,Calc!$C$36),C166-D166,"")</f>
        <v/>
      </c>
      <c r="F166" s="25" t="str">
        <f>IF($A166&lt;=IF(Calc!$C$36=999,360,Calc!$C$36),CHOOSE(Calc!$C$3,'Snowball Engine'!AW168,'Avalanche Engine'!AW168,'My Order Engine'!AW168),"")</f>
        <v/>
      </c>
      <c r="G166" s="25" t="str">
        <f>IF(AND($A166&lt;=IF(Calc!$C$36=999,360,Calc!$C$36),Calc!$C$10=1),CHOOSE(Calc!$C$3,INDEX('Snowball Engine'!$AH168:$AV168,Calc!$I$10),INDEX('Avalanche Engine'!$AH168:$AV168,Calc!$J$10),INDEX('My Order Engine'!$AH168:$AV168,Calc!$K$10)),"")</f>
        <v/>
      </c>
      <c r="H166" s="25" t="str">
        <f>IF(AND($A166&lt;=IF(Calc!$C$36=999,360,Calc!$C$36),Calc!$C$11=1),CHOOSE(Calc!$C$3,INDEX('Snowball Engine'!$AH168:$AV168,Calc!$I$11),INDEX('Avalanche Engine'!$AH168:$AV168,Calc!$J$11),INDEX('My Order Engine'!$AH168:$AV168,Calc!$K$11)),"")</f>
        <v/>
      </c>
      <c r="I166" s="25" t="str">
        <f>IF(AND($A166&lt;=IF(Calc!$C$36=999,360,Calc!$C$36),Calc!$C$12=1),CHOOSE(Calc!$C$3,INDEX('Snowball Engine'!$AH168:$AV168,Calc!$I$12),INDEX('Avalanche Engine'!$AH168:$AV168,Calc!$J$12),INDEX('My Order Engine'!$AH168:$AV168,Calc!$K$12)),"")</f>
        <v/>
      </c>
      <c r="J166" s="25" t="str">
        <f>IF(AND($A166&lt;=IF(Calc!$C$36=999,360,Calc!$C$36),Calc!$C$13=1),CHOOSE(Calc!$C$3,INDEX('Snowball Engine'!$AH168:$AV168,Calc!$I$13),INDEX('Avalanche Engine'!$AH168:$AV168,Calc!$J$13),INDEX('My Order Engine'!$AH168:$AV168,Calc!$K$13)),"")</f>
        <v/>
      </c>
      <c r="K166" s="25" t="str">
        <f>IF(AND($A166&lt;=IF(Calc!$C$36=999,360,Calc!$C$36),Calc!$C$14=1),CHOOSE(Calc!$C$3,INDEX('Snowball Engine'!$AH168:$AV168,Calc!$I$14),INDEX('Avalanche Engine'!$AH168:$AV168,Calc!$J$14),INDEX('My Order Engine'!$AH168:$AV168,Calc!$K$14)),"")</f>
        <v/>
      </c>
      <c r="L166" s="25" t="str">
        <f>IF(AND($A166&lt;=IF(Calc!$C$36=999,360,Calc!$C$36),Calc!$C$15=1),CHOOSE(Calc!$C$3,INDEX('Snowball Engine'!$AH168:$AV168,Calc!$I$15),INDEX('Avalanche Engine'!$AH168:$AV168,Calc!$J$15),INDEX('My Order Engine'!$AH168:$AV168,Calc!$K$15)),"")</f>
        <v/>
      </c>
      <c r="M166" s="25" t="str">
        <f>IF(AND($A166&lt;=IF(Calc!$C$36=999,360,Calc!$C$36),Calc!$C$16=1),CHOOSE(Calc!$C$3,INDEX('Snowball Engine'!$AH168:$AV168,Calc!$I$16),INDEX('Avalanche Engine'!$AH168:$AV168,Calc!$J$16),INDEX('My Order Engine'!$AH168:$AV168,Calc!$K$16)),"")</f>
        <v/>
      </c>
      <c r="N166" s="25" t="str">
        <f>IF(AND($A166&lt;=IF(Calc!$C$36=999,360,Calc!$C$36),Calc!$C$17=1),CHOOSE(Calc!$C$3,INDEX('Snowball Engine'!$AH168:$AV168,Calc!$I$17),INDEX('Avalanche Engine'!$AH168:$AV168,Calc!$J$17),INDEX('My Order Engine'!$AH168:$AV168,Calc!$K$17)),"")</f>
        <v/>
      </c>
      <c r="O166" s="25" t="str">
        <f>IF(AND($A166&lt;=IF(Calc!$C$36=999,360,Calc!$C$36),Calc!$C$18=1),CHOOSE(Calc!$C$3,INDEX('Snowball Engine'!$AH168:$AV168,Calc!$I$18),INDEX('Avalanche Engine'!$AH168:$AV168,Calc!$J$18),INDEX('My Order Engine'!$AH168:$AV168,Calc!$K$18)),"")</f>
        <v/>
      </c>
      <c r="P166" s="25" t="str">
        <f>IF(AND($A166&lt;=IF(Calc!$C$36=999,360,Calc!$C$36),Calc!$C$19=1),CHOOSE(Calc!$C$3,INDEX('Snowball Engine'!$AH168:$AV168,Calc!$I$19),INDEX('Avalanche Engine'!$AH168:$AV168,Calc!$J$19),INDEX('My Order Engine'!$AH168:$AV168,Calc!$K$19)),"")</f>
        <v/>
      </c>
      <c r="Q166" s="25" t="str">
        <f>IF(AND($A166&lt;=IF(Calc!$C$36=999,360,Calc!$C$36),Calc!$C$20=1),CHOOSE(Calc!$C$3,INDEX('Snowball Engine'!$AH168:$AV168,Calc!$I$20),INDEX('Avalanche Engine'!$AH168:$AV168,Calc!$J$20),INDEX('My Order Engine'!$AH168:$AV168,Calc!$K$20)),"")</f>
        <v/>
      </c>
      <c r="R166" s="25" t="str">
        <f>IF(AND($A166&lt;=IF(Calc!$C$36=999,360,Calc!$C$36),Calc!$C$21=1),CHOOSE(Calc!$C$3,INDEX('Snowball Engine'!$AH168:$AV168,Calc!$I$21),INDEX('Avalanche Engine'!$AH168:$AV168,Calc!$J$21),INDEX('My Order Engine'!$AH168:$AV168,Calc!$K$21)),"")</f>
        <v/>
      </c>
      <c r="S166" s="25" t="str">
        <f>IF(AND($A166&lt;=IF(Calc!$C$36=999,360,Calc!$C$36),Calc!$C$22=1),CHOOSE(Calc!$C$3,INDEX('Snowball Engine'!$AH168:$AV168,Calc!$I$22),INDEX('Avalanche Engine'!$AH168:$AV168,Calc!$J$22),INDEX('My Order Engine'!$AH168:$AV168,Calc!$K$22)),"")</f>
        <v/>
      </c>
      <c r="T166" s="25" t="str">
        <f>IF(AND($A166&lt;=IF(Calc!$C$36=999,360,Calc!$C$36),Calc!$C$23=1),CHOOSE(Calc!$C$3,INDEX('Snowball Engine'!$AH168:$AV168,Calc!$I$23),INDEX('Avalanche Engine'!$AH168:$AV168,Calc!$J$23),INDEX('My Order Engine'!$AH168:$AV168,Calc!$K$23)),"")</f>
        <v/>
      </c>
      <c r="U166" s="25" t="str">
        <f>IF(AND($A166&lt;=IF(Calc!$C$36=999,360,Calc!$C$36),Calc!$C$24=1),CHOOSE(Calc!$C$3,INDEX('Snowball Engine'!$AH168:$AV168,Calc!$I$24),INDEX('Avalanche Engine'!$AH168:$AV168,Calc!$J$24),INDEX('My Order Engine'!$AH168:$AV168,Calc!$K$24)),"")</f>
        <v/>
      </c>
    </row>
    <row r="167" spans="1:21" x14ac:dyDescent="0.35">
      <c r="A167" s="23">
        <v>163</v>
      </c>
      <c r="B167" s="24" t="str">
        <f>IF($A167&lt;=IF(Calc!$C$36=999,360,Calc!$C$36),EDATE(Calc!$C$5,A167-1),"")</f>
        <v/>
      </c>
      <c r="C167" s="25" t="str">
        <f>IF($A167&lt;=IF(Calc!$C$36=999,360,Calc!$C$36),CHOOSE(Calc!$C$3,'Snowball Engine'!AY169,'Avalanche Engine'!AY169,'My Order Engine'!AY169),"")</f>
        <v/>
      </c>
      <c r="D167" s="25" t="str">
        <f>IF($A167&lt;=IF(Calc!$C$36=999,360,Calc!$C$36),CHOOSE(Calc!$C$3,'Snowball Engine'!AX169,'Avalanche Engine'!AX169,'My Order Engine'!AX169),"")</f>
        <v/>
      </c>
      <c r="E167" s="25" t="str">
        <f>IF($A167&lt;=IF(Calc!$C$36=999,360,Calc!$C$36),C167-D167,"")</f>
        <v/>
      </c>
      <c r="F167" s="25" t="str">
        <f>IF($A167&lt;=IF(Calc!$C$36=999,360,Calc!$C$36),CHOOSE(Calc!$C$3,'Snowball Engine'!AW169,'Avalanche Engine'!AW169,'My Order Engine'!AW169),"")</f>
        <v/>
      </c>
      <c r="G167" s="25" t="str">
        <f>IF(AND($A167&lt;=IF(Calc!$C$36=999,360,Calc!$C$36),Calc!$C$10=1),CHOOSE(Calc!$C$3,INDEX('Snowball Engine'!$AH169:$AV169,Calc!$I$10),INDEX('Avalanche Engine'!$AH169:$AV169,Calc!$J$10),INDEX('My Order Engine'!$AH169:$AV169,Calc!$K$10)),"")</f>
        <v/>
      </c>
      <c r="H167" s="25" t="str">
        <f>IF(AND($A167&lt;=IF(Calc!$C$36=999,360,Calc!$C$36),Calc!$C$11=1),CHOOSE(Calc!$C$3,INDEX('Snowball Engine'!$AH169:$AV169,Calc!$I$11),INDEX('Avalanche Engine'!$AH169:$AV169,Calc!$J$11),INDEX('My Order Engine'!$AH169:$AV169,Calc!$K$11)),"")</f>
        <v/>
      </c>
      <c r="I167" s="25" t="str">
        <f>IF(AND($A167&lt;=IF(Calc!$C$36=999,360,Calc!$C$36),Calc!$C$12=1),CHOOSE(Calc!$C$3,INDEX('Snowball Engine'!$AH169:$AV169,Calc!$I$12),INDEX('Avalanche Engine'!$AH169:$AV169,Calc!$J$12),INDEX('My Order Engine'!$AH169:$AV169,Calc!$K$12)),"")</f>
        <v/>
      </c>
      <c r="J167" s="25" t="str">
        <f>IF(AND($A167&lt;=IF(Calc!$C$36=999,360,Calc!$C$36),Calc!$C$13=1),CHOOSE(Calc!$C$3,INDEX('Snowball Engine'!$AH169:$AV169,Calc!$I$13),INDEX('Avalanche Engine'!$AH169:$AV169,Calc!$J$13),INDEX('My Order Engine'!$AH169:$AV169,Calc!$K$13)),"")</f>
        <v/>
      </c>
      <c r="K167" s="25" t="str">
        <f>IF(AND($A167&lt;=IF(Calc!$C$36=999,360,Calc!$C$36),Calc!$C$14=1),CHOOSE(Calc!$C$3,INDEX('Snowball Engine'!$AH169:$AV169,Calc!$I$14),INDEX('Avalanche Engine'!$AH169:$AV169,Calc!$J$14),INDEX('My Order Engine'!$AH169:$AV169,Calc!$K$14)),"")</f>
        <v/>
      </c>
      <c r="L167" s="25" t="str">
        <f>IF(AND($A167&lt;=IF(Calc!$C$36=999,360,Calc!$C$36),Calc!$C$15=1),CHOOSE(Calc!$C$3,INDEX('Snowball Engine'!$AH169:$AV169,Calc!$I$15),INDEX('Avalanche Engine'!$AH169:$AV169,Calc!$J$15),INDEX('My Order Engine'!$AH169:$AV169,Calc!$K$15)),"")</f>
        <v/>
      </c>
      <c r="M167" s="25" t="str">
        <f>IF(AND($A167&lt;=IF(Calc!$C$36=999,360,Calc!$C$36),Calc!$C$16=1),CHOOSE(Calc!$C$3,INDEX('Snowball Engine'!$AH169:$AV169,Calc!$I$16),INDEX('Avalanche Engine'!$AH169:$AV169,Calc!$J$16),INDEX('My Order Engine'!$AH169:$AV169,Calc!$K$16)),"")</f>
        <v/>
      </c>
      <c r="N167" s="25" t="str">
        <f>IF(AND($A167&lt;=IF(Calc!$C$36=999,360,Calc!$C$36),Calc!$C$17=1),CHOOSE(Calc!$C$3,INDEX('Snowball Engine'!$AH169:$AV169,Calc!$I$17),INDEX('Avalanche Engine'!$AH169:$AV169,Calc!$J$17),INDEX('My Order Engine'!$AH169:$AV169,Calc!$K$17)),"")</f>
        <v/>
      </c>
      <c r="O167" s="25" t="str">
        <f>IF(AND($A167&lt;=IF(Calc!$C$36=999,360,Calc!$C$36),Calc!$C$18=1),CHOOSE(Calc!$C$3,INDEX('Snowball Engine'!$AH169:$AV169,Calc!$I$18),INDEX('Avalanche Engine'!$AH169:$AV169,Calc!$J$18),INDEX('My Order Engine'!$AH169:$AV169,Calc!$K$18)),"")</f>
        <v/>
      </c>
      <c r="P167" s="25" t="str">
        <f>IF(AND($A167&lt;=IF(Calc!$C$36=999,360,Calc!$C$36),Calc!$C$19=1),CHOOSE(Calc!$C$3,INDEX('Snowball Engine'!$AH169:$AV169,Calc!$I$19),INDEX('Avalanche Engine'!$AH169:$AV169,Calc!$J$19),INDEX('My Order Engine'!$AH169:$AV169,Calc!$K$19)),"")</f>
        <v/>
      </c>
      <c r="Q167" s="25" t="str">
        <f>IF(AND($A167&lt;=IF(Calc!$C$36=999,360,Calc!$C$36),Calc!$C$20=1),CHOOSE(Calc!$C$3,INDEX('Snowball Engine'!$AH169:$AV169,Calc!$I$20),INDEX('Avalanche Engine'!$AH169:$AV169,Calc!$J$20),INDEX('My Order Engine'!$AH169:$AV169,Calc!$K$20)),"")</f>
        <v/>
      </c>
      <c r="R167" s="25" t="str">
        <f>IF(AND($A167&lt;=IF(Calc!$C$36=999,360,Calc!$C$36),Calc!$C$21=1),CHOOSE(Calc!$C$3,INDEX('Snowball Engine'!$AH169:$AV169,Calc!$I$21),INDEX('Avalanche Engine'!$AH169:$AV169,Calc!$J$21),INDEX('My Order Engine'!$AH169:$AV169,Calc!$K$21)),"")</f>
        <v/>
      </c>
      <c r="S167" s="25" t="str">
        <f>IF(AND($A167&lt;=IF(Calc!$C$36=999,360,Calc!$C$36),Calc!$C$22=1),CHOOSE(Calc!$C$3,INDEX('Snowball Engine'!$AH169:$AV169,Calc!$I$22),INDEX('Avalanche Engine'!$AH169:$AV169,Calc!$J$22),INDEX('My Order Engine'!$AH169:$AV169,Calc!$K$22)),"")</f>
        <v/>
      </c>
      <c r="T167" s="25" t="str">
        <f>IF(AND($A167&lt;=IF(Calc!$C$36=999,360,Calc!$C$36),Calc!$C$23=1),CHOOSE(Calc!$C$3,INDEX('Snowball Engine'!$AH169:$AV169,Calc!$I$23),INDEX('Avalanche Engine'!$AH169:$AV169,Calc!$J$23),INDEX('My Order Engine'!$AH169:$AV169,Calc!$K$23)),"")</f>
        <v/>
      </c>
      <c r="U167" s="25" t="str">
        <f>IF(AND($A167&lt;=IF(Calc!$C$36=999,360,Calc!$C$36),Calc!$C$24=1),CHOOSE(Calc!$C$3,INDEX('Snowball Engine'!$AH169:$AV169,Calc!$I$24),INDEX('Avalanche Engine'!$AH169:$AV169,Calc!$J$24),INDEX('My Order Engine'!$AH169:$AV169,Calc!$K$24)),"")</f>
        <v/>
      </c>
    </row>
    <row r="168" spans="1:21" x14ac:dyDescent="0.35">
      <c r="A168" s="23">
        <v>164</v>
      </c>
      <c r="B168" s="24" t="str">
        <f>IF($A168&lt;=IF(Calc!$C$36=999,360,Calc!$C$36),EDATE(Calc!$C$5,A168-1),"")</f>
        <v/>
      </c>
      <c r="C168" s="25" t="str">
        <f>IF($A168&lt;=IF(Calc!$C$36=999,360,Calc!$C$36),CHOOSE(Calc!$C$3,'Snowball Engine'!AY170,'Avalanche Engine'!AY170,'My Order Engine'!AY170),"")</f>
        <v/>
      </c>
      <c r="D168" s="25" t="str">
        <f>IF($A168&lt;=IF(Calc!$C$36=999,360,Calc!$C$36),CHOOSE(Calc!$C$3,'Snowball Engine'!AX170,'Avalanche Engine'!AX170,'My Order Engine'!AX170),"")</f>
        <v/>
      </c>
      <c r="E168" s="25" t="str">
        <f>IF($A168&lt;=IF(Calc!$C$36=999,360,Calc!$C$36),C168-D168,"")</f>
        <v/>
      </c>
      <c r="F168" s="25" t="str">
        <f>IF($A168&lt;=IF(Calc!$C$36=999,360,Calc!$C$36),CHOOSE(Calc!$C$3,'Snowball Engine'!AW170,'Avalanche Engine'!AW170,'My Order Engine'!AW170),"")</f>
        <v/>
      </c>
      <c r="G168" s="25" t="str">
        <f>IF(AND($A168&lt;=IF(Calc!$C$36=999,360,Calc!$C$36),Calc!$C$10=1),CHOOSE(Calc!$C$3,INDEX('Snowball Engine'!$AH170:$AV170,Calc!$I$10),INDEX('Avalanche Engine'!$AH170:$AV170,Calc!$J$10),INDEX('My Order Engine'!$AH170:$AV170,Calc!$K$10)),"")</f>
        <v/>
      </c>
      <c r="H168" s="25" t="str">
        <f>IF(AND($A168&lt;=IF(Calc!$C$36=999,360,Calc!$C$36),Calc!$C$11=1),CHOOSE(Calc!$C$3,INDEX('Snowball Engine'!$AH170:$AV170,Calc!$I$11),INDEX('Avalanche Engine'!$AH170:$AV170,Calc!$J$11),INDEX('My Order Engine'!$AH170:$AV170,Calc!$K$11)),"")</f>
        <v/>
      </c>
      <c r="I168" s="25" t="str">
        <f>IF(AND($A168&lt;=IF(Calc!$C$36=999,360,Calc!$C$36),Calc!$C$12=1),CHOOSE(Calc!$C$3,INDEX('Snowball Engine'!$AH170:$AV170,Calc!$I$12),INDEX('Avalanche Engine'!$AH170:$AV170,Calc!$J$12),INDEX('My Order Engine'!$AH170:$AV170,Calc!$K$12)),"")</f>
        <v/>
      </c>
      <c r="J168" s="25" t="str">
        <f>IF(AND($A168&lt;=IF(Calc!$C$36=999,360,Calc!$C$36),Calc!$C$13=1),CHOOSE(Calc!$C$3,INDEX('Snowball Engine'!$AH170:$AV170,Calc!$I$13),INDEX('Avalanche Engine'!$AH170:$AV170,Calc!$J$13),INDEX('My Order Engine'!$AH170:$AV170,Calc!$K$13)),"")</f>
        <v/>
      </c>
      <c r="K168" s="25" t="str">
        <f>IF(AND($A168&lt;=IF(Calc!$C$36=999,360,Calc!$C$36),Calc!$C$14=1),CHOOSE(Calc!$C$3,INDEX('Snowball Engine'!$AH170:$AV170,Calc!$I$14),INDEX('Avalanche Engine'!$AH170:$AV170,Calc!$J$14),INDEX('My Order Engine'!$AH170:$AV170,Calc!$K$14)),"")</f>
        <v/>
      </c>
      <c r="L168" s="25" t="str">
        <f>IF(AND($A168&lt;=IF(Calc!$C$36=999,360,Calc!$C$36),Calc!$C$15=1),CHOOSE(Calc!$C$3,INDEX('Snowball Engine'!$AH170:$AV170,Calc!$I$15),INDEX('Avalanche Engine'!$AH170:$AV170,Calc!$J$15),INDEX('My Order Engine'!$AH170:$AV170,Calc!$K$15)),"")</f>
        <v/>
      </c>
      <c r="M168" s="25" t="str">
        <f>IF(AND($A168&lt;=IF(Calc!$C$36=999,360,Calc!$C$36),Calc!$C$16=1),CHOOSE(Calc!$C$3,INDEX('Snowball Engine'!$AH170:$AV170,Calc!$I$16),INDEX('Avalanche Engine'!$AH170:$AV170,Calc!$J$16),INDEX('My Order Engine'!$AH170:$AV170,Calc!$K$16)),"")</f>
        <v/>
      </c>
      <c r="N168" s="25" t="str">
        <f>IF(AND($A168&lt;=IF(Calc!$C$36=999,360,Calc!$C$36),Calc!$C$17=1),CHOOSE(Calc!$C$3,INDEX('Snowball Engine'!$AH170:$AV170,Calc!$I$17),INDEX('Avalanche Engine'!$AH170:$AV170,Calc!$J$17),INDEX('My Order Engine'!$AH170:$AV170,Calc!$K$17)),"")</f>
        <v/>
      </c>
      <c r="O168" s="25" t="str">
        <f>IF(AND($A168&lt;=IF(Calc!$C$36=999,360,Calc!$C$36),Calc!$C$18=1),CHOOSE(Calc!$C$3,INDEX('Snowball Engine'!$AH170:$AV170,Calc!$I$18),INDEX('Avalanche Engine'!$AH170:$AV170,Calc!$J$18),INDEX('My Order Engine'!$AH170:$AV170,Calc!$K$18)),"")</f>
        <v/>
      </c>
      <c r="P168" s="25" t="str">
        <f>IF(AND($A168&lt;=IF(Calc!$C$36=999,360,Calc!$C$36),Calc!$C$19=1),CHOOSE(Calc!$C$3,INDEX('Snowball Engine'!$AH170:$AV170,Calc!$I$19),INDEX('Avalanche Engine'!$AH170:$AV170,Calc!$J$19),INDEX('My Order Engine'!$AH170:$AV170,Calc!$K$19)),"")</f>
        <v/>
      </c>
      <c r="Q168" s="25" t="str">
        <f>IF(AND($A168&lt;=IF(Calc!$C$36=999,360,Calc!$C$36),Calc!$C$20=1),CHOOSE(Calc!$C$3,INDEX('Snowball Engine'!$AH170:$AV170,Calc!$I$20),INDEX('Avalanche Engine'!$AH170:$AV170,Calc!$J$20),INDEX('My Order Engine'!$AH170:$AV170,Calc!$K$20)),"")</f>
        <v/>
      </c>
      <c r="R168" s="25" t="str">
        <f>IF(AND($A168&lt;=IF(Calc!$C$36=999,360,Calc!$C$36),Calc!$C$21=1),CHOOSE(Calc!$C$3,INDEX('Snowball Engine'!$AH170:$AV170,Calc!$I$21),INDEX('Avalanche Engine'!$AH170:$AV170,Calc!$J$21),INDEX('My Order Engine'!$AH170:$AV170,Calc!$K$21)),"")</f>
        <v/>
      </c>
      <c r="S168" s="25" t="str">
        <f>IF(AND($A168&lt;=IF(Calc!$C$36=999,360,Calc!$C$36),Calc!$C$22=1),CHOOSE(Calc!$C$3,INDEX('Snowball Engine'!$AH170:$AV170,Calc!$I$22),INDEX('Avalanche Engine'!$AH170:$AV170,Calc!$J$22),INDEX('My Order Engine'!$AH170:$AV170,Calc!$K$22)),"")</f>
        <v/>
      </c>
      <c r="T168" s="25" t="str">
        <f>IF(AND($A168&lt;=IF(Calc!$C$36=999,360,Calc!$C$36),Calc!$C$23=1),CHOOSE(Calc!$C$3,INDEX('Snowball Engine'!$AH170:$AV170,Calc!$I$23),INDEX('Avalanche Engine'!$AH170:$AV170,Calc!$J$23),INDEX('My Order Engine'!$AH170:$AV170,Calc!$K$23)),"")</f>
        <v/>
      </c>
      <c r="U168" s="25" t="str">
        <f>IF(AND($A168&lt;=IF(Calc!$C$36=999,360,Calc!$C$36),Calc!$C$24=1),CHOOSE(Calc!$C$3,INDEX('Snowball Engine'!$AH170:$AV170,Calc!$I$24),INDEX('Avalanche Engine'!$AH170:$AV170,Calc!$J$24),INDEX('My Order Engine'!$AH170:$AV170,Calc!$K$24)),"")</f>
        <v/>
      </c>
    </row>
    <row r="169" spans="1:21" x14ac:dyDescent="0.35">
      <c r="A169" s="23">
        <v>165</v>
      </c>
      <c r="B169" s="24" t="str">
        <f>IF($A169&lt;=IF(Calc!$C$36=999,360,Calc!$C$36),EDATE(Calc!$C$5,A169-1),"")</f>
        <v/>
      </c>
      <c r="C169" s="25" t="str">
        <f>IF($A169&lt;=IF(Calc!$C$36=999,360,Calc!$C$36),CHOOSE(Calc!$C$3,'Snowball Engine'!AY171,'Avalanche Engine'!AY171,'My Order Engine'!AY171),"")</f>
        <v/>
      </c>
      <c r="D169" s="25" t="str">
        <f>IF($A169&lt;=IF(Calc!$C$36=999,360,Calc!$C$36),CHOOSE(Calc!$C$3,'Snowball Engine'!AX171,'Avalanche Engine'!AX171,'My Order Engine'!AX171),"")</f>
        <v/>
      </c>
      <c r="E169" s="25" t="str">
        <f>IF($A169&lt;=IF(Calc!$C$36=999,360,Calc!$C$36),C169-D169,"")</f>
        <v/>
      </c>
      <c r="F169" s="25" t="str">
        <f>IF($A169&lt;=IF(Calc!$C$36=999,360,Calc!$C$36),CHOOSE(Calc!$C$3,'Snowball Engine'!AW171,'Avalanche Engine'!AW171,'My Order Engine'!AW171),"")</f>
        <v/>
      </c>
      <c r="G169" s="25" t="str">
        <f>IF(AND($A169&lt;=IF(Calc!$C$36=999,360,Calc!$C$36),Calc!$C$10=1),CHOOSE(Calc!$C$3,INDEX('Snowball Engine'!$AH171:$AV171,Calc!$I$10),INDEX('Avalanche Engine'!$AH171:$AV171,Calc!$J$10),INDEX('My Order Engine'!$AH171:$AV171,Calc!$K$10)),"")</f>
        <v/>
      </c>
      <c r="H169" s="25" t="str">
        <f>IF(AND($A169&lt;=IF(Calc!$C$36=999,360,Calc!$C$36),Calc!$C$11=1),CHOOSE(Calc!$C$3,INDEX('Snowball Engine'!$AH171:$AV171,Calc!$I$11),INDEX('Avalanche Engine'!$AH171:$AV171,Calc!$J$11),INDEX('My Order Engine'!$AH171:$AV171,Calc!$K$11)),"")</f>
        <v/>
      </c>
      <c r="I169" s="25" t="str">
        <f>IF(AND($A169&lt;=IF(Calc!$C$36=999,360,Calc!$C$36),Calc!$C$12=1),CHOOSE(Calc!$C$3,INDEX('Snowball Engine'!$AH171:$AV171,Calc!$I$12),INDEX('Avalanche Engine'!$AH171:$AV171,Calc!$J$12),INDEX('My Order Engine'!$AH171:$AV171,Calc!$K$12)),"")</f>
        <v/>
      </c>
      <c r="J169" s="25" t="str">
        <f>IF(AND($A169&lt;=IF(Calc!$C$36=999,360,Calc!$C$36),Calc!$C$13=1),CHOOSE(Calc!$C$3,INDEX('Snowball Engine'!$AH171:$AV171,Calc!$I$13),INDEX('Avalanche Engine'!$AH171:$AV171,Calc!$J$13),INDEX('My Order Engine'!$AH171:$AV171,Calc!$K$13)),"")</f>
        <v/>
      </c>
      <c r="K169" s="25" t="str">
        <f>IF(AND($A169&lt;=IF(Calc!$C$36=999,360,Calc!$C$36),Calc!$C$14=1),CHOOSE(Calc!$C$3,INDEX('Snowball Engine'!$AH171:$AV171,Calc!$I$14),INDEX('Avalanche Engine'!$AH171:$AV171,Calc!$J$14),INDEX('My Order Engine'!$AH171:$AV171,Calc!$K$14)),"")</f>
        <v/>
      </c>
      <c r="L169" s="25" t="str">
        <f>IF(AND($A169&lt;=IF(Calc!$C$36=999,360,Calc!$C$36),Calc!$C$15=1),CHOOSE(Calc!$C$3,INDEX('Snowball Engine'!$AH171:$AV171,Calc!$I$15),INDEX('Avalanche Engine'!$AH171:$AV171,Calc!$J$15),INDEX('My Order Engine'!$AH171:$AV171,Calc!$K$15)),"")</f>
        <v/>
      </c>
      <c r="M169" s="25" t="str">
        <f>IF(AND($A169&lt;=IF(Calc!$C$36=999,360,Calc!$C$36),Calc!$C$16=1),CHOOSE(Calc!$C$3,INDEX('Snowball Engine'!$AH171:$AV171,Calc!$I$16),INDEX('Avalanche Engine'!$AH171:$AV171,Calc!$J$16),INDEX('My Order Engine'!$AH171:$AV171,Calc!$K$16)),"")</f>
        <v/>
      </c>
      <c r="N169" s="25" t="str">
        <f>IF(AND($A169&lt;=IF(Calc!$C$36=999,360,Calc!$C$36),Calc!$C$17=1),CHOOSE(Calc!$C$3,INDEX('Snowball Engine'!$AH171:$AV171,Calc!$I$17),INDEX('Avalanche Engine'!$AH171:$AV171,Calc!$J$17),INDEX('My Order Engine'!$AH171:$AV171,Calc!$K$17)),"")</f>
        <v/>
      </c>
      <c r="O169" s="25" t="str">
        <f>IF(AND($A169&lt;=IF(Calc!$C$36=999,360,Calc!$C$36),Calc!$C$18=1),CHOOSE(Calc!$C$3,INDEX('Snowball Engine'!$AH171:$AV171,Calc!$I$18),INDEX('Avalanche Engine'!$AH171:$AV171,Calc!$J$18),INDEX('My Order Engine'!$AH171:$AV171,Calc!$K$18)),"")</f>
        <v/>
      </c>
      <c r="P169" s="25" t="str">
        <f>IF(AND($A169&lt;=IF(Calc!$C$36=999,360,Calc!$C$36),Calc!$C$19=1),CHOOSE(Calc!$C$3,INDEX('Snowball Engine'!$AH171:$AV171,Calc!$I$19),INDEX('Avalanche Engine'!$AH171:$AV171,Calc!$J$19),INDEX('My Order Engine'!$AH171:$AV171,Calc!$K$19)),"")</f>
        <v/>
      </c>
      <c r="Q169" s="25" t="str">
        <f>IF(AND($A169&lt;=IF(Calc!$C$36=999,360,Calc!$C$36),Calc!$C$20=1),CHOOSE(Calc!$C$3,INDEX('Snowball Engine'!$AH171:$AV171,Calc!$I$20),INDEX('Avalanche Engine'!$AH171:$AV171,Calc!$J$20),INDEX('My Order Engine'!$AH171:$AV171,Calc!$K$20)),"")</f>
        <v/>
      </c>
      <c r="R169" s="25" t="str">
        <f>IF(AND($A169&lt;=IF(Calc!$C$36=999,360,Calc!$C$36),Calc!$C$21=1),CHOOSE(Calc!$C$3,INDEX('Snowball Engine'!$AH171:$AV171,Calc!$I$21),INDEX('Avalanche Engine'!$AH171:$AV171,Calc!$J$21),INDEX('My Order Engine'!$AH171:$AV171,Calc!$K$21)),"")</f>
        <v/>
      </c>
      <c r="S169" s="25" t="str">
        <f>IF(AND($A169&lt;=IF(Calc!$C$36=999,360,Calc!$C$36),Calc!$C$22=1),CHOOSE(Calc!$C$3,INDEX('Snowball Engine'!$AH171:$AV171,Calc!$I$22),INDEX('Avalanche Engine'!$AH171:$AV171,Calc!$J$22),INDEX('My Order Engine'!$AH171:$AV171,Calc!$K$22)),"")</f>
        <v/>
      </c>
      <c r="T169" s="25" t="str">
        <f>IF(AND($A169&lt;=IF(Calc!$C$36=999,360,Calc!$C$36),Calc!$C$23=1),CHOOSE(Calc!$C$3,INDEX('Snowball Engine'!$AH171:$AV171,Calc!$I$23),INDEX('Avalanche Engine'!$AH171:$AV171,Calc!$J$23),INDEX('My Order Engine'!$AH171:$AV171,Calc!$K$23)),"")</f>
        <v/>
      </c>
      <c r="U169" s="25" t="str">
        <f>IF(AND($A169&lt;=IF(Calc!$C$36=999,360,Calc!$C$36),Calc!$C$24=1),CHOOSE(Calc!$C$3,INDEX('Snowball Engine'!$AH171:$AV171,Calc!$I$24),INDEX('Avalanche Engine'!$AH171:$AV171,Calc!$J$24),INDEX('My Order Engine'!$AH171:$AV171,Calc!$K$24)),"")</f>
        <v/>
      </c>
    </row>
    <row r="170" spans="1:21" x14ac:dyDescent="0.35">
      <c r="A170" s="23">
        <v>166</v>
      </c>
      <c r="B170" s="24" t="str">
        <f>IF($A170&lt;=IF(Calc!$C$36=999,360,Calc!$C$36),EDATE(Calc!$C$5,A170-1),"")</f>
        <v/>
      </c>
      <c r="C170" s="25" t="str">
        <f>IF($A170&lt;=IF(Calc!$C$36=999,360,Calc!$C$36),CHOOSE(Calc!$C$3,'Snowball Engine'!AY172,'Avalanche Engine'!AY172,'My Order Engine'!AY172),"")</f>
        <v/>
      </c>
      <c r="D170" s="25" t="str">
        <f>IF($A170&lt;=IF(Calc!$C$36=999,360,Calc!$C$36),CHOOSE(Calc!$C$3,'Snowball Engine'!AX172,'Avalanche Engine'!AX172,'My Order Engine'!AX172),"")</f>
        <v/>
      </c>
      <c r="E170" s="25" t="str">
        <f>IF($A170&lt;=IF(Calc!$C$36=999,360,Calc!$C$36),C170-D170,"")</f>
        <v/>
      </c>
      <c r="F170" s="25" t="str">
        <f>IF($A170&lt;=IF(Calc!$C$36=999,360,Calc!$C$36),CHOOSE(Calc!$C$3,'Snowball Engine'!AW172,'Avalanche Engine'!AW172,'My Order Engine'!AW172),"")</f>
        <v/>
      </c>
      <c r="G170" s="25" t="str">
        <f>IF(AND($A170&lt;=IF(Calc!$C$36=999,360,Calc!$C$36),Calc!$C$10=1),CHOOSE(Calc!$C$3,INDEX('Snowball Engine'!$AH172:$AV172,Calc!$I$10),INDEX('Avalanche Engine'!$AH172:$AV172,Calc!$J$10),INDEX('My Order Engine'!$AH172:$AV172,Calc!$K$10)),"")</f>
        <v/>
      </c>
      <c r="H170" s="25" t="str">
        <f>IF(AND($A170&lt;=IF(Calc!$C$36=999,360,Calc!$C$36),Calc!$C$11=1),CHOOSE(Calc!$C$3,INDEX('Snowball Engine'!$AH172:$AV172,Calc!$I$11),INDEX('Avalanche Engine'!$AH172:$AV172,Calc!$J$11),INDEX('My Order Engine'!$AH172:$AV172,Calc!$K$11)),"")</f>
        <v/>
      </c>
      <c r="I170" s="25" t="str">
        <f>IF(AND($A170&lt;=IF(Calc!$C$36=999,360,Calc!$C$36),Calc!$C$12=1),CHOOSE(Calc!$C$3,INDEX('Snowball Engine'!$AH172:$AV172,Calc!$I$12),INDEX('Avalanche Engine'!$AH172:$AV172,Calc!$J$12),INDEX('My Order Engine'!$AH172:$AV172,Calc!$K$12)),"")</f>
        <v/>
      </c>
      <c r="J170" s="25" t="str">
        <f>IF(AND($A170&lt;=IF(Calc!$C$36=999,360,Calc!$C$36),Calc!$C$13=1),CHOOSE(Calc!$C$3,INDEX('Snowball Engine'!$AH172:$AV172,Calc!$I$13),INDEX('Avalanche Engine'!$AH172:$AV172,Calc!$J$13),INDEX('My Order Engine'!$AH172:$AV172,Calc!$K$13)),"")</f>
        <v/>
      </c>
      <c r="K170" s="25" t="str">
        <f>IF(AND($A170&lt;=IF(Calc!$C$36=999,360,Calc!$C$36),Calc!$C$14=1),CHOOSE(Calc!$C$3,INDEX('Snowball Engine'!$AH172:$AV172,Calc!$I$14),INDEX('Avalanche Engine'!$AH172:$AV172,Calc!$J$14),INDEX('My Order Engine'!$AH172:$AV172,Calc!$K$14)),"")</f>
        <v/>
      </c>
      <c r="L170" s="25" t="str">
        <f>IF(AND($A170&lt;=IF(Calc!$C$36=999,360,Calc!$C$36),Calc!$C$15=1),CHOOSE(Calc!$C$3,INDEX('Snowball Engine'!$AH172:$AV172,Calc!$I$15),INDEX('Avalanche Engine'!$AH172:$AV172,Calc!$J$15),INDEX('My Order Engine'!$AH172:$AV172,Calc!$K$15)),"")</f>
        <v/>
      </c>
      <c r="M170" s="25" t="str">
        <f>IF(AND($A170&lt;=IF(Calc!$C$36=999,360,Calc!$C$36),Calc!$C$16=1),CHOOSE(Calc!$C$3,INDEX('Snowball Engine'!$AH172:$AV172,Calc!$I$16),INDEX('Avalanche Engine'!$AH172:$AV172,Calc!$J$16),INDEX('My Order Engine'!$AH172:$AV172,Calc!$K$16)),"")</f>
        <v/>
      </c>
      <c r="N170" s="25" t="str">
        <f>IF(AND($A170&lt;=IF(Calc!$C$36=999,360,Calc!$C$36),Calc!$C$17=1),CHOOSE(Calc!$C$3,INDEX('Snowball Engine'!$AH172:$AV172,Calc!$I$17),INDEX('Avalanche Engine'!$AH172:$AV172,Calc!$J$17),INDEX('My Order Engine'!$AH172:$AV172,Calc!$K$17)),"")</f>
        <v/>
      </c>
      <c r="O170" s="25" t="str">
        <f>IF(AND($A170&lt;=IF(Calc!$C$36=999,360,Calc!$C$36),Calc!$C$18=1),CHOOSE(Calc!$C$3,INDEX('Snowball Engine'!$AH172:$AV172,Calc!$I$18),INDEX('Avalanche Engine'!$AH172:$AV172,Calc!$J$18),INDEX('My Order Engine'!$AH172:$AV172,Calc!$K$18)),"")</f>
        <v/>
      </c>
      <c r="P170" s="25" t="str">
        <f>IF(AND($A170&lt;=IF(Calc!$C$36=999,360,Calc!$C$36),Calc!$C$19=1),CHOOSE(Calc!$C$3,INDEX('Snowball Engine'!$AH172:$AV172,Calc!$I$19),INDEX('Avalanche Engine'!$AH172:$AV172,Calc!$J$19),INDEX('My Order Engine'!$AH172:$AV172,Calc!$K$19)),"")</f>
        <v/>
      </c>
      <c r="Q170" s="25" t="str">
        <f>IF(AND($A170&lt;=IF(Calc!$C$36=999,360,Calc!$C$36),Calc!$C$20=1),CHOOSE(Calc!$C$3,INDEX('Snowball Engine'!$AH172:$AV172,Calc!$I$20),INDEX('Avalanche Engine'!$AH172:$AV172,Calc!$J$20),INDEX('My Order Engine'!$AH172:$AV172,Calc!$K$20)),"")</f>
        <v/>
      </c>
      <c r="R170" s="25" t="str">
        <f>IF(AND($A170&lt;=IF(Calc!$C$36=999,360,Calc!$C$36),Calc!$C$21=1),CHOOSE(Calc!$C$3,INDEX('Snowball Engine'!$AH172:$AV172,Calc!$I$21),INDEX('Avalanche Engine'!$AH172:$AV172,Calc!$J$21),INDEX('My Order Engine'!$AH172:$AV172,Calc!$K$21)),"")</f>
        <v/>
      </c>
      <c r="S170" s="25" t="str">
        <f>IF(AND($A170&lt;=IF(Calc!$C$36=999,360,Calc!$C$36),Calc!$C$22=1),CHOOSE(Calc!$C$3,INDEX('Snowball Engine'!$AH172:$AV172,Calc!$I$22),INDEX('Avalanche Engine'!$AH172:$AV172,Calc!$J$22),INDEX('My Order Engine'!$AH172:$AV172,Calc!$K$22)),"")</f>
        <v/>
      </c>
      <c r="T170" s="25" t="str">
        <f>IF(AND($A170&lt;=IF(Calc!$C$36=999,360,Calc!$C$36),Calc!$C$23=1),CHOOSE(Calc!$C$3,INDEX('Snowball Engine'!$AH172:$AV172,Calc!$I$23),INDEX('Avalanche Engine'!$AH172:$AV172,Calc!$J$23),INDEX('My Order Engine'!$AH172:$AV172,Calc!$K$23)),"")</f>
        <v/>
      </c>
      <c r="U170" s="25" t="str">
        <f>IF(AND($A170&lt;=IF(Calc!$C$36=999,360,Calc!$C$36),Calc!$C$24=1),CHOOSE(Calc!$C$3,INDEX('Snowball Engine'!$AH172:$AV172,Calc!$I$24),INDEX('Avalanche Engine'!$AH172:$AV172,Calc!$J$24),INDEX('My Order Engine'!$AH172:$AV172,Calc!$K$24)),"")</f>
        <v/>
      </c>
    </row>
    <row r="171" spans="1:21" x14ac:dyDescent="0.35">
      <c r="A171" s="23">
        <v>167</v>
      </c>
      <c r="B171" s="24" t="str">
        <f>IF($A171&lt;=IF(Calc!$C$36=999,360,Calc!$C$36),EDATE(Calc!$C$5,A171-1),"")</f>
        <v/>
      </c>
      <c r="C171" s="25" t="str">
        <f>IF($A171&lt;=IF(Calc!$C$36=999,360,Calc!$C$36),CHOOSE(Calc!$C$3,'Snowball Engine'!AY173,'Avalanche Engine'!AY173,'My Order Engine'!AY173),"")</f>
        <v/>
      </c>
      <c r="D171" s="25" t="str">
        <f>IF($A171&lt;=IF(Calc!$C$36=999,360,Calc!$C$36),CHOOSE(Calc!$C$3,'Snowball Engine'!AX173,'Avalanche Engine'!AX173,'My Order Engine'!AX173),"")</f>
        <v/>
      </c>
      <c r="E171" s="25" t="str">
        <f>IF($A171&lt;=IF(Calc!$C$36=999,360,Calc!$C$36),C171-D171,"")</f>
        <v/>
      </c>
      <c r="F171" s="25" t="str">
        <f>IF($A171&lt;=IF(Calc!$C$36=999,360,Calc!$C$36),CHOOSE(Calc!$C$3,'Snowball Engine'!AW173,'Avalanche Engine'!AW173,'My Order Engine'!AW173),"")</f>
        <v/>
      </c>
      <c r="G171" s="25" t="str">
        <f>IF(AND($A171&lt;=IF(Calc!$C$36=999,360,Calc!$C$36),Calc!$C$10=1),CHOOSE(Calc!$C$3,INDEX('Snowball Engine'!$AH173:$AV173,Calc!$I$10),INDEX('Avalanche Engine'!$AH173:$AV173,Calc!$J$10),INDEX('My Order Engine'!$AH173:$AV173,Calc!$K$10)),"")</f>
        <v/>
      </c>
      <c r="H171" s="25" t="str">
        <f>IF(AND($A171&lt;=IF(Calc!$C$36=999,360,Calc!$C$36),Calc!$C$11=1),CHOOSE(Calc!$C$3,INDEX('Snowball Engine'!$AH173:$AV173,Calc!$I$11),INDEX('Avalanche Engine'!$AH173:$AV173,Calc!$J$11),INDEX('My Order Engine'!$AH173:$AV173,Calc!$K$11)),"")</f>
        <v/>
      </c>
      <c r="I171" s="25" t="str">
        <f>IF(AND($A171&lt;=IF(Calc!$C$36=999,360,Calc!$C$36),Calc!$C$12=1),CHOOSE(Calc!$C$3,INDEX('Snowball Engine'!$AH173:$AV173,Calc!$I$12),INDEX('Avalanche Engine'!$AH173:$AV173,Calc!$J$12),INDEX('My Order Engine'!$AH173:$AV173,Calc!$K$12)),"")</f>
        <v/>
      </c>
      <c r="J171" s="25" t="str">
        <f>IF(AND($A171&lt;=IF(Calc!$C$36=999,360,Calc!$C$36),Calc!$C$13=1),CHOOSE(Calc!$C$3,INDEX('Snowball Engine'!$AH173:$AV173,Calc!$I$13),INDEX('Avalanche Engine'!$AH173:$AV173,Calc!$J$13),INDEX('My Order Engine'!$AH173:$AV173,Calc!$K$13)),"")</f>
        <v/>
      </c>
      <c r="K171" s="25" t="str">
        <f>IF(AND($A171&lt;=IF(Calc!$C$36=999,360,Calc!$C$36),Calc!$C$14=1),CHOOSE(Calc!$C$3,INDEX('Snowball Engine'!$AH173:$AV173,Calc!$I$14),INDEX('Avalanche Engine'!$AH173:$AV173,Calc!$J$14),INDEX('My Order Engine'!$AH173:$AV173,Calc!$K$14)),"")</f>
        <v/>
      </c>
      <c r="L171" s="25" t="str">
        <f>IF(AND($A171&lt;=IF(Calc!$C$36=999,360,Calc!$C$36),Calc!$C$15=1),CHOOSE(Calc!$C$3,INDEX('Snowball Engine'!$AH173:$AV173,Calc!$I$15),INDEX('Avalanche Engine'!$AH173:$AV173,Calc!$J$15),INDEX('My Order Engine'!$AH173:$AV173,Calc!$K$15)),"")</f>
        <v/>
      </c>
      <c r="M171" s="25" t="str">
        <f>IF(AND($A171&lt;=IF(Calc!$C$36=999,360,Calc!$C$36),Calc!$C$16=1),CHOOSE(Calc!$C$3,INDEX('Snowball Engine'!$AH173:$AV173,Calc!$I$16),INDEX('Avalanche Engine'!$AH173:$AV173,Calc!$J$16),INDEX('My Order Engine'!$AH173:$AV173,Calc!$K$16)),"")</f>
        <v/>
      </c>
      <c r="N171" s="25" t="str">
        <f>IF(AND($A171&lt;=IF(Calc!$C$36=999,360,Calc!$C$36),Calc!$C$17=1),CHOOSE(Calc!$C$3,INDEX('Snowball Engine'!$AH173:$AV173,Calc!$I$17),INDEX('Avalanche Engine'!$AH173:$AV173,Calc!$J$17),INDEX('My Order Engine'!$AH173:$AV173,Calc!$K$17)),"")</f>
        <v/>
      </c>
      <c r="O171" s="25" t="str">
        <f>IF(AND($A171&lt;=IF(Calc!$C$36=999,360,Calc!$C$36),Calc!$C$18=1),CHOOSE(Calc!$C$3,INDEX('Snowball Engine'!$AH173:$AV173,Calc!$I$18),INDEX('Avalanche Engine'!$AH173:$AV173,Calc!$J$18),INDEX('My Order Engine'!$AH173:$AV173,Calc!$K$18)),"")</f>
        <v/>
      </c>
      <c r="P171" s="25" t="str">
        <f>IF(AND($A171&lt;=IF(Calc!$C$36=999,360,Calc!$C$36),Calc!$C$19=1),CHOOSE(Calc!$C$3,INDEX('Snowball Engine'!$AH173:$AV173,Calc!$I$19),INDEX('Avalanche Engine'!$AH173:$AV173,Calc!$J$19),INDEX('My Order Engine'!$AH173:$AV173,Calc!$K$19)),"")</f>
        <v/>
      </c>
      <c r="Q171" s="25" t="str">
        <f>IF(AND($A171&lt;=IF(Calc!$C$36=999,360,Calc!$C$36),Calc!$C$20=1),CHOOSE(Calc!$C$3,INDEX('Snowball Engine'!$AH173:$AV173,Calc!$I$20),INDEX('Avalanche Engine'!$AH173:$AV173,Calc!$J$20),INDEX('My Order Engine'!$AH173:$AV173,Calc!$K$20)),"")</f>
        <v/>
      </c>
      <c r="R171" s="25" t="str">
        <f>IF(AND($A171&lt;=IF(Calc!$C$36=999,360,Calc!$C$36),Calc!$C$21=1),CHOOSE(Calc!$C$3,INDEX('Snowball Engine'!$AH173:$AV173,Calc!$I$21),INDEX('Avalanche Engine'!$AH173:$AV173,Calc!$J$21),INDEX('My Order Engine'!$AH173:$AV173,Calc!$K$21)),"")</f>
        <v/>
      </c>
      <c r="S171" s="25" t="str">
        <f>IF(AND($A171&lt;=IF(Calc!$C$36=999,360,Calc!$C$36),Calc!$C$22=1),CHOOSE(Calc!$C$3,INDEX('Snowball Engine'!$AH173:$AV173,Calc!$I$22),INDEX('Avalanche Engine'!$AH173:$AV173,Calc!$J$22),INDEX('My Order Engine'!$AH173:$AV173,Calc!$K$22)),"")</f>
        <v/>
      </c>
      <c r="T171" s="25" t="str">
        <f>IF(AND($A171&lt;=IF(Calc!$C$36=999,360,Calc!$C$36),Calc!$C$23=1),CHOOSE(Calc!$C$3,INDEX('Snowball Engine'!$AH173:$AV173,Calc!$I$23),INDEX('Avalanche Engine'!$AH173:$AV173,Calc!$J$23),INDEX('My Order Engine'!$AH173:$AV173,Calc!$K$23)),"")</f>
        <v/>
      </c>
      <c r="U171" s="25" t="str">
        <f>IF(AND($A171&lt;=IF(Calc!$C$36=999,360,Calc!$C$36),Calc!$C$24=1),CHOOSE(Calc!$C$3,INDEX('Snowball Engine'!$AH173:$AV173,Calc!$I$24),INDEX('Avalanche Engine'!$AH173:$AV173,Calc!$J$24),INDEX('My Order Engine'!$AH173:$AV173,Calc!$K$24)),"")</f>
        <v/>
      </c>
    </row>
    <row r="172" spans="1:21" x14ac:dyDescent="0.35">
      <c r="A172" s="23">
        <v>168</v>
      </c>
      <c r="B172" s="24" t="str">
        <f>IF($A172&lt;=IF(Calc!$C$36=999,360,Calc!$C$36),EDATE(Calc!$C$5,A172-1),"")</f>
        <v/>
      </c>
      <c r="C172" s="25" t="str">
        <f>IF($A172&lt;=IF(Calc!$C$36=999,360,Calc!$C$36),CHOOSE(Calc!$C$3,'Snowball Engine'!AY174,'Avalanche Engine'!AY174,'My Order Engine'!AY174),"")</f>
        <v/>
      </c>
      <c r="D172" s="25" t="str">
        <f>IF($A172&lt;=IF(Calc!$C$36=999,360,Calc!$C$36),CHOOSE(Calc!$C$3,'Snowball Engine'!AX174,'Avalanche Engine'!AX174,'My Order Engine'!AX174),"")</f>
        <v/>
      </c>
      <c r="E172" s="25" t="str">
        <f>IF($A172&lt;=IF(Calc!$C$36=999,360,Calc!$C$36),C172-D172,"")</f>
        <v/>
      </c>
      <c r="F172" s="25" t="str">
        <f>IF($A172&lt;=IF(Calc!$C$36=999,360,Calc!$C$36),CHOOSE(Calc!$C$3,'Snowball Engine'!AW174,'Avalanche Engine'!AW174,'My Order Engine'!AW174),"")</f>
        <v/>
      </c>
      <c r="G172" s="25" t="str">
        <f>IF(AND($A172&lt;=IF(Calc!$C$36=999,360,Calc!$C$36),Calc!$C$10=1),CHOOSE(Calc!$C$3,INDEX('Snowball Engine'!$AH174:$AV174,Calc!$I$10),INDEX('Avalanche Engine'!$AH174:$AV174,Calc!$J$10),INDEX('My Order Engine'!$AH174:$AV174,Calc!$K$10)),"")</f>
        <v/>
      </c>
      <c r="H172" s="25" t="str">
        <f>IF(AND($A172&lt;=IF(Calc!$C$36=999,360,Calc!$C$36),Calc!$C$11=1),CHOOSE(Calc!$C$3,INDEX('Snowball Engine'!$AH174:$AV174,Calc!$I$11),INDEX('Avalanche Engine'!$AH174:$AV174,Calc!$J$11),INDEX('My Order Engine'!$AH174:$AV174,Calc!$K$11)),"")</f>
        <v/>
      </c>
      <c r="I172" s="25" t="str">
        <f>IF(AND($A172&lt;=IF(Calc!$C$36=999,360,Calc!$C$36),Calc!$C$12=1),CHOOSE(Calc!$C$3,INDEX('Snowball Engine'!$AH174:$AV174,Calc!$I$12),INDEX('Avalanche Engine'!$AH174:$AV174,Calc!$J$12),INDEX('My Order Engine'!$AH174:$AV174,Calc!$K$12)),"")</f>
        <v/>
      </c>
      <c r="J172" s="25" t="str">
        <f>IF(AND($A172&lt;=IF(Calc!$C$36=999,360,Calc!$C$36),Calc!$C$13=1),CHOOSE(Calc!$C$3,INDEX('Snowball Engine'!$AH174:$AV174,Calc!$I$13),INDEX('Avalanche Engine'!$AH174:$AV174,Calc!$J$13),INDEX('My Order Engine'!$AH174:$AV174,Calc!$K$13)),"")</f>
        <v/>
      </c>
      <c r="K172" s="25" t="str">
        <f>IF(AND($A172&lt;=IF(Calc!$C$36=999,360,Calc!$C$36),Calc!$C$14=1),CHOOSE(Calc!$C$3,INDEX('Snowball Engine'!$AH174:$AV174,Calc!$I$14),INDEX('Avalanche Engine'!$AH174:$AV174,Calc!$J$14),INDEX('My Order Engine'!$AH174:$AV174,Calc!$K$14)),"")</f>
        <v/>
      </c>
      <c r="L172" s="25" t="str">
        <f>IF(AND($A172&lt;=IF(Calc!$C$36=999,360,Calc!$C$36),Calc!$C$15=1),CHOOSE(Calc!$C$3,INDEX('Snowball Engine'!$AH174:$AV174,Calc!$I$15),INDEX('Avalanche Engine'!$AH174:$AV174,Calc!$J$15),INDEX('My Order Engine'!$AH174:$AV174,Calc!$K$15)),"")</f>
        <v/>
      </c>
      <c r="M172" s="25" t="str">
        <f>IF(AND($A172&lt;=IF(Calc!$C$36=999,360,Calc!$C$36),Calc!$C$16=1),CHOOSE(Calc!$C$3,INDEX('Snowball Engine'!$AH174:$AV174,Calc!$I$16),INDEX('Avalanche Engine'!$AH174:$AV174,Calc!$J$16),INDEX('My Order Engine'!$AH174:$AV174,Calc!$K$16)),"")</f>
        <v/>
      </c>
      <c r="N172" s="25" t="str">
        <f>IF(AND($A172&lt;=IF(Calc!$C$36=999,360,Calc!$C$36),Calc!$C$17=1),CHOOSE(Calc!$C$3,INDEX('Snowball Engine'!$AH174:$AV174,Calc!$I$17),INDEX('Avalanche Engine'!$AH174:$AV174,Calc!$J$17),INDEX('My Order Engine'!$AH174:$AV174,Calc!$K$17)),"")</f>
        <v/>
      </c>
      <c r="O172" s="25" t="str">
        <f>IF(AND($A172&lt;=IF(Calc!$C$36=999,360,Calc!$C$36),Calc!$C$18=1),CHOOSE(Calc!$C$3,INDEX('Snowball Engine'!$AH174:$AV174,Calc!$I$18),INDEX('Avalanche Engine'!$AH174:$AV174,Calc!$J$18),INDEX('My Order Engine'!$AH174:$AV174,Calc!$K$18)),"")</f>
        <v/>
      </c>
      <c r="P172" s="25" t="str">
        <f>IF(AND($A172&lt;=IF(Calc!$C$36=999,360,Calc!$C$36),Calc!$C$19=1),CHOOSE(Calc!$C$3,INDEX('Snowball Engine'!$AH174:$AV174,Calc!$I$19),INDEX('Avalanche Engine'!$AH174:$AV174,Calc!$J$19),INDEX('My Order Engine'!$AH174:$AV174,Calc!$K$19)),"")</f>
        <v/>
      </c>
      <c r="Q172" s="25" t="str">
        <f>IF(AND($A172&lt;=IF(Calc!$C$36=999,360,Calc!$C$36),Calc!$C$20=1),CHOOSE(Calc!$C$3,INDEX('Snowball Engine'!$AH174:$AV174,Calc!$I$20),INDEX('Avalanche Engine'!$AH174:$AV174,Calc!$J$20),INDEX('My Order Engine'!$AH174:$AV174,Calc!$K$20)),"")</f>
        <v/>
      </c>
      <c r="R172" s="25" t="str">
        <f>IF(AND($A172&lt;=IF(Calc!$C$36=999,360,Calc!$C$36),Calc!$C$21=1),CHOOSE(Calc!$C$3,INDEX('Snowball Engine'!$AH174:$AV174,Calc!$I$21),INDEX('Avalanche Engine'!$AH174:$AV174,Calc!$J$21),INDEX('My Order Engine'!$AH174:$AV174,Calc!$K$21)),"")</f>
        <v/>
      </c>
      <c r="S172" s="25" t="str">
        <f>IF(AND($A172&lt;=IF(Calc!$C$36=999,360,Calc!$C$36),Calc!$C$22=1),CHOOSE(Calc!$C$3,INDEX('Snowball Engine'!$AH174:$AV174,Calc!$I$22),INDEX('Avalanche Engine'!$AH174:$AV174,Calc!$J$22),INDEX('My Order Engine'!$AH174:$AV174,Calc!$K$22)),"")</f>
        <v/>
      </c>
      <c r="T172" s="25" t="str">
        <f>IF(AND($A172&lt;=IF(Calc!$C$36=999,360,Calc!$C$36),Calc!$C$23=1),CHOOSE(Calc!$C$3,INDEX('Snowball Engine'!$AH174:$AV174,Calc!$I$23),INDEX('Avalanche Engine'!$AH174:$AV174,Calc!$J$23),INDEX('My Order Engine'!$AH174:$AV174,Calc!$K$23)),"")</f>
        <v/>
      </c>
      <c r="U172" s="25" t="str">
        <f>IF(AND($A172&lt;=IF(Calc!$C$36=999,360,Calc!$C$36),Calc!$C$24=1),CHOOSE(Calc!$C$3,INDEX('Snowball Engine'!$AH174:$AV174,Calc!$I$24),INDEX('Avalanche Engine'!$AH174:$AV174,Calc!$J$24),INDEX('My Order Engine'!$AH174:$AV174,Calc!$K$24)),"")</f>
        <v/>
      </c>
    </row>
    <row r="173" spans="1:21" x14ac:dyDescent="0.35">
      <c r="A173" s="23">
        <v>169</v>
      </c>
      <c r="B173" s="24" t="str">
        <f>IF($A173&lt;=IF(Calc!$C$36=999,360,Calc!$C$36),EDATE(Calc!$C$5,A173-1),"")</f>
        <v/>
      </c>
      <c r="C173" s="25" t="str">
        <f>IF($A173&lt;=IF(Calc!$C$36=999,360,Calc!$C$36),CHOOSE(Calc!$C$3,'Snowball Engine'!AY175,'Avalanche Engine'!AY175,'My Order Engine'!AY175),"")</f>
        <v/>
      </c>
      <c r="D173" s="25" t="str">
        <f>IF($A173&lt;=IF(Calc!$C$36=999,360,Calc!$C$36),CHOOSE(Calc!$C$3,'Snowball Engine'!AX175,'Avalanche Engine'!AX175,'My Order Engine'!AX175),"")</f>
        <v/>
      </c>
      <c r="E173" s="25" t="str">
        <f>IF($A173&lt;=IF(Calc!$C$36=999,360,Calc!$C$36),C173-D173,"")</f>
        <v/>
      </c>
      <c r="F173" s="25" t="str">
        <f>IF($A173&lt;=IF(Calc!$C$36=999,360,Calc!$C$36),CHOOSE(Calc!$C$3,'Snowball Engine'!AW175,'Avalanche Engine'!AW175,'My Order Engine'!AW175),"")</f>
        <v/>
      </c>
      <c r="G173" s="25" t="str">
        <f>IF(AND($A173&lt;=IF(Calc!$C$36=999,360,Calc!$C$36),Calc!$C$10=1),CHOOSE(Calc!$C$3,INDEX('Snowball Engine'!$AH175:$AV175,Calc!$I$10),INDEX('Avalanche Engine'!$AH175:$AV175,Calc!$J$10),INDEX('My Order Engine'!$AH175:$AV175,Calc!$K$10)),"")</f>
        <v/>
      </c>
      <c r="H173" s="25" t="str">
        <f>IF(AND($A173&lt;=IF(Calc!$C$36=999,360,Calc!$C$36),Calc!$C$11=1),CHOOSE(Calc!$C$3,INDEX('Snowball Engine'!$AH175:$AV175,Calc!$I$11),INDEX('Avalanche Engine'!$AH175:$AV175,Calc!$J$11),INDEX('My Order Engine'!$AH175:$AV175,Calc!$K$11)),"")</f>
        <v/>
      </c>
      <c r="I173" s="25" t="str">
        <f>IF(AND($A173&lt;=IF(Calc!$C$36=999,360,Calc!$C$36),Calc!$C$12=1),CHOOSE(Calc!$C$3,INDEX('Snowball Engine'!$AH175:$AV175,Calc!$I$12),INDEX('Avalanche Engine'!$AH175:$AV175,Calc!$J$12),INDEX('My Order Engine'!$AH175:$AV175,Calc!$K$12)),"")</f>
        <v/>
      </c>
      <c r="J173" s="25" t="str">
        <f>IF(AND($A173&lt;=IF(Calc!$C$36=999,360,Calc!$C$36),Calc!$C$13=1),CHOOSE(Calc!$C$3,INDEX('Snowball Engine'!$AH175:$AV175,Calc!$I$13),INDEX('Avalanche Engine'!$AH175:$AV175,Calc!$J$13),INDEX('My Order Engine'!$AH175:$AV175,Calc!$K$13)),"")</f>
        <v/>
      </c>
      <c r="K173" s="25" t="str">
        <f>IF(AND($A173&lt;=IF(Calc!$C$36=999,360,Calc!$C$36),Calc!$C$14=1),CHOOSE(Calc!$C$3,INDEX('Snowball Engine'!$AH175:$AV175,Calc!$I$14),INDEX('Avalanche Engine'!$AH175:$AV175,Calc!$J$14),INDEX('My Order Engine'!$AH175:$AV175,Calc!$K$14)),"")</f>
        <v/>
      </c>
      <c r="L173" s="25" t="str">
        <f>IF(AND($A173&lt;=IF(Calc!$C$36=999,360,Calc!$C$36),Calc!$C$15=1),CHOOSE(Calc!$C$3,INDEX('Snowball Engine'!$AH175:$AV175,Calc!$I$15),INDEX('Avalanche Engine'!$AH175:$AV175,Calc!$J$15),INDEX('My Order Engine'!$AH175:$AV175,Calc!$K$15)),"")</f>
        <v/>
      </c>
      <c r="M173" s="25" t="str">
        <f>IF(AND($A173&lt;=IF(Calc!$C$36=999,360,Calc!$C$36),Calc!$C$16=1),CHOOSE(Calc!$C$3,INDEX('Snowball Engine'!$AH175:$AV175,Calc!$I$16),INDEX('Avalanche Engine'!$AH175:$AV175,Calc!$J$16),INDEX('My Order Engine'!$AH175:$AV175,Calc!$K$16)),"")</f>
        <v/>
      </c>
      <c r="N173" s="25" t="str">
        <f>IF(AND($A173&lt;=IF(Calc!$C$36=999,360,Calc!$C$36),Calc!$C$17=1),CHOOSE(Calc!$C$3,INDEX('Snowball Engine'!$AH175:$AV175,Calc!$I$17),INDEX('Avalanche Engine'!$AH175:$AV175,Calc!$J$17),INDEX('My Order Engine'!$AH175:$AV175,Calc!$K$17)),"")</f>
        <v/>
      </c>
      <c r="O173" s="25" t="str">
        <f>IF(AND($A173&lt;=IF(Calc!$C$36=999,360,Calc!$C$36),Calc!$C$18=1),CHOOSE(Calc!$C$3,INDEX('Snowball Engine'!$AH175:$AV175,Calc!$I$18),INDEX('Avalanche Engine'!$AH175:$AV175,Calc!$J$18),INDEX('My Order Engine'!$AH175:$AV175,Calc!$K$18)),"")</f>
        <v/>
      </c>
      <c r="P173" s="25" t="str">
        <f>IF(AND($A173&lt;=IF(Calc!$C$36=999,360,Calc!$C$36),Calc!$C$19=1),CHOOSE(Calc!$C$3,INDEX('Snowball Engine'!$AH175:$AV175,Calc!$I$19),INDEX('Avalanche Engine'!$AH175:$AV175,Calc!$J$19),INDEX('My Order Engine'!$AH175:$AV175,Calc!$K$19)),"")</f>
        <v/>
      </c>
      <c r="Q173" s="25" t="str">
        <f>IF(AND($A173&lt;=IF(Calc!$C$36=999,360,Calc!$C$36),Calc!$C$20=1),CHOOSE(Calc!$C$3,INDEX('Snowball Engine'!$AH175:$AV175,Calc!$I$20),INDEX('Avalanche Engine'!$AH175:$AV175,Calc!$J$20),INDEX('My Order Engine'!$AH175:$AV175,Calc!$K$20)),"")</f>
        <v/>
      </c>
      <c r="R173" s="25" t="str">
        <f>IF(AND($A173&lt;=IF(Calc!$C$36=999,360,Calc!$C$36),Calc!$C$21=1),CHOOSE(Calc!$C$3,INDEX('Snowball Engine'!$AH175:$AV175,Calc!$I$21),INDEX('Avalanche Engine'!$AH175:$AV175,Calc!$J$21),INDEX('My Order Engine'!$AH175:$AV175,Calc!$K$21)),"")</f>
        <v/>
      </c>
      <c r="S173" s="25" t="str">
        <f>IF(AND($A173&lt;=IF(Calc!$C$36=999,360,Calc!$C$36),Calc!$C$22=1),CHOOSE(Calc!$C$3,INDEX('Snowball Engine'!$AH175:$AV175,Calc!$I$22),INDEX('Avalanche Engine'!$AH175:$AV175,Calc!$J$22),INDEX('My Order Engine'!$AH175:$AV175,Calc!$K$22)),"")</f>
        <v/>
      </c>
      <c r="T173" s="25" t="str">
        <f>IF(AND($A173&lt;=IF(Calc!$C$36=999,360,Calc!$C$36),Calc!$C$23=1),CHOOSE(Calc!$C$3,INDEX('Snowball Engine'!$AH175:$AV175,Calc!$I$23),INDEX('Avalanche Engine'!$AH175:$AV175,Calc!$J$23),INDEX('My Order Engine'!$AH175:$AV175,Calc!$K$23)),"")</f>
        <v/>
      </c>
      <c r="U173" s="25" t="str">
        <f>IF(AND($A173&lt;=IF(Calc!$C$36=999,360,Calc!$C$36),Calc!$C$24=1),CHOOSE(Calc!$C$3,INDEX('Snowball Engine'!$AH175:$AV175,Calc!$I$24),INDEX('Avalanche Engine'!$AH175:$AV175,Calc!$J$24),INDEX('My Order Engine'!$AH175:$AV175,Calc!$K$24)),"")</f>
        <v/>
      </c>
    </row>
    <row r="174" spans="1:21" x14ac:dyDescent="0.35">
      <c r="A174" s="23">
        <v>170</v>
      </c>
      <c r="B174" s="24" t="str">
        <f>IF($A174&lt;=IF(Calc!$C$36=999,360,Calc!$C$36),EDATE(Calc!$C$5,A174-1),"")</f>
        <v/>
      </c>
      <c r="C174" s="25" t="str">
        <f>IF($A174&lt;=IF(Calc!$C$36=999,360,Calc!$C$36),CHOOSE(Calc!$C$3,'Snowball Engine'!AY176,'Avalanche Engine'!AY176,'My Order Engine'!AY176),"")</f>
        <v/>
      </c>
      <c r="D174" s="25" t="str">
        <f>IF($A174&lt;=IF(Calc!$C$36=999,360,Calc!$C$36),CHOOSE(Calc!$C$3,'Snowball Engine'!AX176,'Avalanche Engine'!AX176,'My Order Engine'!AX176),"")</f>
        <v/>
      </c>
      <c r="E174" s="25" t="str">
        <f>IF($A174&lt;=IF(Calc!$C$36=999,360,Calc!$C$36),C174-D174,"")</f>
        <v/>
      </c>
      <c r="F174" s="25" t="str">
        <f>IF($A174&lt;=IF(Calc!$C$36=999,360,Calc!$C$36),CHOOSE(Calc!$C$3,'Snowball Engine'!AW176,'Avalanche Engine'!AW176,'My Order Engine'!AW176),"")</f>
        <v/>
      </c>
      <c r="G174" s="25" t="str">
        <f>IF(AND($A174&lt;=IF(Calc!$C$36=999,360,Calc!$C$36),Calc!$C$10=1),CHOOSE(Calc!$C$3,INDEX('Snowball Engine'!$AH176:$AV176,Calc!$I$10),INDEX('Avalanche Engine'!$AH176:$AV176,Calc!$J$10),INDEX('My Order Engine'!$AH176:$AV176,Calc!$K$10)),"")</f>
        <v/>
      </c>
      <c r="H174" s="25" t="str">
        <f>IF(AND($A174&lt;=IF(Calc!$C$36=999,360,Calc!$C$36),Calc!$C$11=1),CHOOSE(Calc!$C$3,INDEX('Snowball Engine'!$AH176:$AV176,Calc!$I$11),INDEX('Avalanche Engine'!$AH176:$AV176,Calc!$J$11),INDEX('My Order Engine'!$AH176:$AV176,Calc!$K$11)),"")</f>
        <v/>
      </c>
      <c r="I174" s="25" t="str">
        <f>IF(AND($A174&lt;=IF(Calc!$C$36=999,360,Calc!$C$36),Calc!$C$12=1),CHOOSE(Calc!$C$3,INDEX('Snowball Engine'!$AH176:$AV176,Calc!$I$12),INDEX('Avalanche Engine'!$AH176:$AV176,Calc!$J$12),INDEX('My Order Engine'!$AH176:$AV176,Calc!$K$12)),"")</f>
        <v/>
      </c>
      <c r="J174" s="25" t="str">
        <f>IF(AND($A174&lt;=IF(Calc!$C$36=999,360,Calc!$C$36),Calc!$C$13=1),CHOOSE(Calc!$C$3,INDEX('Snowball Engine'!$AH176:$AV176,Calc!$I$13),INDEX('Avalanche Engine'!$AH176:$AV176,Calc!$J$13),INDEX('My Order Engine'!$AH176:$AV176,Calc!$K$13)),"")</f>
        <v/>
      </c>
      <c r="K174" s="25" t="str">
        <f>IF(AND($A174&lt;=IF(Calc!$C$36=999,360,Calc!$C$36),Calc!$C$14=1),CHOOSE(Calc!$C$3,INDEX('Snowball Engine'!$AH176:$AV176,Calc!$I$14),INDEX('Avalanche Engine'!$AH176:$AV176,Calc!$J$14),INDEX('My Order Engine'!$AH176:$AV176,Calc!$K$14)),"")</f>
        <v/>
      </c>
      <c r="L174" s="25" t="str">
        <f>IF(AND($A174&lt;=IF(Calc!$C$36=999,360,Calc!$C$36),Calc!$C$15=1),CHOOSE(Calc!$C$3,INDEX('Snowball Engine'!$AH176:$AV176,Calc!$I$15),INDEX('Avalanche Engine'!$AH176:$AV176,Calc!$J$15),INDEX('My Order Engine'!$AH176:$AV176,Calc!$K$15)),"")</f>
        <v/>
      </c>
      <c r="M174" s="25" t="str">
        <f>IF(AND($A174&lt;=IF(Calc!$C$36=999,360,Calc!$C$36),Calc!$C$16=1),CHOOSE(Calc!$C$3,INDEX('Snowball Engine'!$AH176:$AV176,Calc!$I$16),INDEX('Avalanche Engine'!$AH176:$AV176,Calc!$J$16),INDEX('My Order Engine'!$AH176:$AV176,Calc!$K$16)),"")</f>
        <v/>
      </c>
      <c r="N174" s="25" t="str">
        <f>IF(AND($A174&lt;=IF(Calc!$C$36=999,360,Calc!$C$36),Calc!$C$17=1),CHOOSE(Calc!$C$3,INDEX('Snowball Engine'!$AH176:$AV176,Calc!$I$17),INDEX('Avalanche Engine'!$AH176:$AV176,Calc!$J$17),INDEX('My Order Engine'!$AH176:$AV176,Calc!$K$17)),"")</f>
        <v/>
      </c>
      <c r="O174" s="25" t="str">
        <f>IF(AND($A174&lt;=IF(Calc!$C$36=999,360,Calc!$C$36),Calc!$C$18=1),CHOOSE(Calc!$C$3,INDEX('Snowball Engine'!$AH176:$AV176,Calc!$I$18),INDEX('Avalanche Engine'!$AH176:$AV176,Calc!$J$18),INDEX('My Order Engine'!$AH176:$AV176,Calc!$K$18)),"")</f>
        <v/>
      </c>
      <c r="P174" s="25" t="str">
        <f>IF(AND($A174&lt;=IF(Calc!$C$36=999,360,Calc!$C$36),Calc!$C$19=1),CHOOSE(Calc!$C$3,INDEX('Snowball Engine'!$AH176:$AV176,Calc!$I$19),INDEX('Avalanche Engine'!$AH176:$AV176,Calc!$J$19),INDEX('My Order Engine'!$AH176:$AV176,Calc!$K$19)),"")</f>
        <v/>
      </c>
      <c r="Q174" s="25" t="str">
        <f>IF(AND($A174&lt;=IF(Calc!$C$36=999,360,Calc!$C$36),Calc!$C$20=1),CHOOSE(Calc!$C$3,INDEX('Snowball Engine'!$AH176:$AV176,Calc!$I$20),INDEX('Avalanche Engine'!$AH176:$AV176,Calc!$J$20),INDEX('My Order Engine'!$AH176:$AV176,Calc!$K$20)),"")</f>
        <v/>
      </c>
      <c r="R174" s="25" t="str">
        <f>IF(AND($A174&lt;=IF(Calc!$C$36=999,360,Calc!$C$36),Calc!$C$21=1),CHOOSE(Calc!$C$3,INDEX('Snowball Engine'!$AH176:$AV176,Calc!$I$21),INDEX('Avalanche Engine'!$AH176:$AV176,Calc!$J$21),INDEX('My Order Engine'!$AH176:$AV176,Calc!$K$21)),"")</f>
        <v/>
      </c>
      <c r="S174" s="25" t="str">
        <f>IF(AND($A174&lt;=IF(Calc!$C$36=999,360,Calc!$C$36),Calc!$C$22=1),CHOOSE(Calc!$C$3,INDEX('Snowball Engine'!$AH176:$AV176,Calc!$I$22),INDEX('Avalanche Engine'!$AH176:$AV176,Calc!$J$22),INDEX('My Order Engine'!$AH176:$AV176,Calc!$K$22)),"")</f>
        <v/>
      </c>
      <c r="T174" s="25" t="str">
        <f>IF(AND($A174&lt;=IF(Calc!$C$36=999,360,Calc!$C$36),Calc!$C$23=1),CHOOSE(Calc!$C$3,INDEX('Snowball Engine'!$AH176:$AV176,Calc!$I$23),INDEX('Avalanche Engine'!$AH176:$AV176,Calc!$J$23),INDEX('My Order Engine'!$AH176:$AV176,Calc!$K$23)),"")</f>
        <v/>
      </c>
      <c r="U174" s="25" t="str">
        <f>IF(AND($A174&lt;=IF(Calc!$C$36=999,360,Calc!$C$36),Calc!$C$24=1),CHOOSE(Calc!$C$3,INDEX('Snowball Engine'!$AH176:$AV176,Calc!$I$24),INDEX('Avalanche Engine'!$AH176:$AV176,Calc!$J$24),INDEX('My Order Engine'!$AH176:$AV176,Calc!$K$24)),"")</f>
        <v/>
      </c>
    </row>
    <row r="175" spans="1:21" x14ac:dyDescent="0.35">
      <c r="A175" s="23">
        <v>171</v>
      </c>
      <c r="B175" s="24" t="str">
        <f>IF($A175&lt;=IF(Calc!$C$36=999,360,Calc!$C$36),EDATE(Calc!$C$5,A175-1),"")</f>
        <v/>
      </c>
      <c r="C175" s="25" t="str">
        <f>IF($A175&lt;=IF(Calc!$C$36=999,360,Calc!$C$36),CHOOSE(Calc!$C$3,'Snowball Engine'!AY177,'Avalanche Engine'!AY177,'My Order Engine'!AY177),"")</f>
        <v/>
      </c>
      <c r="D175" s="25" t="str">
        <f>IF($A175&lt;=IF(Calc!$C$36=999,360,Calc!$C$36),CHOOSE(Calc!$C$3,'Snowball Engine'!AX177,'Avalanche Engine'!AX177,'My Order Engine'!AX177),"")</f>
        <v/>
      </c>
      <c r="E175" s="25" t="str">
        <f>IF($A175&lt;=IF(Calc!$C$36=999,360,Calc!$C$36),C175-D175,"")</f>
        <v/>
      </c>
      <c r="F175" s="25" t="str">
        <f>IF($A175&lt;=IF(Calc!$C$36=999,360,Calc!$C$36),CHOOSE(Calc!$C$3,'Snowball Engine'!AW177,'Avalanche Engine'!AW177,'My Order Engine'!AW177),"")</f>
        <v/>
      </c>
      <c r="G175" s="25" t="str">
        <f>IF(AND($A175&lt;=IF(Calc!$C$36=999,360,Calc!$C$36),Calc!$C$10=1),CHOOSE(Calc!$C$3,INDEX('Snowball Engine'!$AH177:$AV177,Calc!$I$10),INDEX('Avalanche Engine'!$AH177:$AV177,Calc!$J$10),INDEX('My Order Engine'!$AH177:$AV177,Calc!$K$10)),"")</f>
        <v/>
      </c>
      <c r="H175" s="25" t="str">
        <f>IF(AND($A175&lt;=IF(Calc!$C$36=999,360,Calc!$C$36),Calc!$C$11=1),CHOOSE(Calc!$C$3,INDEX('Snowball Engine'!$AH177:$AV177,Calc!$I$11),INDEX('Avalanche Engine'!$AH177:$AV177,Calc!$J$11),INDEX('My Order Engine'!$AH177:$AV177,Calc!$K$11)),"")</f>
        <v/>
      </c>
      <c r="I175" s="25" t="str">
        <f>IF(AND($A175&lt;=IF(Calc!$C$36=999,360,Calc!$C$36),Calc!$C$12=1),CHOOSE(Calc!$C$3,INDEX('Snowball Engine'!$AH177:$AV177,Calc!$I$12),INDEX('Avalanche Engine'!$AH177:$AV177,Calc!$J$12),INDEX('My Order Engine'!$AH177:$AV177,Calc!$K$12)),"")</f>
        <v/>
      </c>
      <c r="J175" s="25" t="str">
        <f>IF(AND($A175&lt;=IF(Calc!$C$36=999,360,Calc!$C$36),Calc!$C$13=1),CHOOSE(Calc!$C$3,INDEX('Snowball Engine'!$AH177:$AV177,Calc!$I$13),INDEX('Avalanche Engine'!$AH177:$AV177,Calc!$J$13),INDEX('My Order Engine'!$AH177:$AV177,Calc!$K$13)),"")</f>
        <v/>
      </c>
      <c r="K175" s="25" t="str">
        <f>IF(AND($A175&lt;=IF(Calc!$C$36=999,360,Calc!$C$36),Calc!$C$14=1),CHOOSE(Calc!$C$3,INDEX('Snowball Engine'!$AH177:$AV177,Calc!$I$14),INDEX('Avalanche Engine'!$AH177:$AV177,Calc!$J$14),INDEX('My Order Engine'!$AH177:$AV177,Calc!$K$14)),"")</f>
        <v/>
      </c>
      <c r="L175" s="25" t="str">
        <f>IF(AND($A175&lt;=IF(Calc!$C$36=999,360,Calc!$C$36),Calc!$C$15=1),CHOOSE(Calc!$C$3,INDEX('Snowball Engine'!$AH177:$AV177,Calc!$I$15),INDEX('Avalanche Engine'!$AH177:$AV177,Calc!$J$15),INDEX('My Order Engine'!$AH177:$AV177,Calc!$K$15)),"")</f>
        <v/>
      </c>
      <c r="M175" s="25" t="str">
        <f>IF(AND($A175&lt;=IF(Calc!$C$36=999,360,Calc!$C$36),Calc!$C$16=1),CHOOSE(Calc!$C$3,INDEX('Snowball Engine'!$AH177:$AV177,Calc!$I$16),INDEX('Avalanche Engine'!$AH177:$AV177,Calc!$J$16),INDEX('My Order Engine'!$AH177:$AV177,Calc!$K$16)),"")</f>
        <v/>
      </c>
      <c r="N175" s="25" t="str">
        <f>IF(AND($A175&lt;=IF(Calc!$C$36=999,360,Calc!$C$36),Calc!$C$17=1),CHOOSE(Calc!$C$3,INDEX('Snowball Engine'!$AH177:$AV177,Calc!$I$17),INDEX('Avalanche Engine'!$AH177:$AV177,Calc!$J$17),INDEX('My Order Engine'!$AH177:$AV177,Calc!$K$17)),"")</f>
        <v/>
      </c>
      <c r="O175" s="25" t="str">
        <f>IF(AND($A175&lt;=IF(Calc!$C$36=999,360,Calc!$C$36),Calc!$C$18=1),CHOOSE(Calc!$C$3,INDEX('Snowball Engine'!$AH177:$AV177,Calc!$I$18),INDEX('Avalanche Engine'!$AH177:$AV177,Calc!$J$18),INDEX('My Order Engine'!$AH177:$AV177,Calc!$K$18)),"")</f>
        <v/>
      </c>
      <c r="P175" s="25" t="str">
        <f>IF(AND($A175&lt;=IF(Calc!$C$36=999,360,Calc!$C$36),Calc!$C$19=1),CHOOSE(Calc!$C$3,INDEX('Snowball Engine'!$AH177:$AV177,Calc!$I$19),INDEX('Avalanche Engine'!$AH177:$AV177,Calc!$J$19),INDEX('My Order Engine'!$AH177:$AV177,Calc!$K$19)),"")</f>
        <v/>
      </c>
      <c r="Q175" s="25" t="str">
        <f>IF(AND($A175&lt;=IF(Calc!$C$36=999,360,Calc!$C$36),Calc!$C$20=1),CHOOSE(Calc!$C$3,INDEX('Snowball Engine'!$AH177:$AV177,Calc!$I$20),INDEX('Avalanche Engine'!$AH177:$AV177,Calc!$J$20),INDEX('My Order Engine'!$AH177:$AV177,Calc!$K$20)),"")</f>
        <v/>
      </c>
      <c r="R175" s="25" t="str">
        <f>IF(AND($A175&lt;=IF(Calc!$C$36=999,360,Calc!$C$36),Calc!$C$21=1),CHOOSE(Calc!$C$3,INDEX('Snowball Engine'!$AH177:$AV177,Calc!$I$21),INDEX('Avalanche Engine'!$AH177:$AV177,Calc!$J$21),INDEX('My Order Engine'!$AH177:$AV177,Calc!$K$21)),"")</f>
        <v/>
      </c>
      <c r="S175" s="25" t="str">
        <f>IF(AND($A175&lt;=IF(Calc!$C$36=999,360,Calc!$C$36),Calc!$C$22=1),CHOOSE(Calc!$C$3,INDEX('Snowball Engine'!$AH177:$AV177,Calc!$I$22),INDEX('Avalanche Engine'!$AH177:$AV177,Calc!$J$22),INDEX('My Order Engine'!$AH177:$AV177,Calc!$K$22)),"")</f>
        <v/>
      </c>
      <c r="T175" s="25" t="str">
        <f>IF(AND($A175&lt;=IF(Calc!$C$36=999,360,Calc!$C$36),Calc!$C$23=1),CHOOSE(Calc!$C$3,INDEX('Snowball Engine'!$AH177:$AV177,Calc!$I$23),INDEX('Avalanche Engine'!$AH177:$AV177,Calc!$J$23),INDEX('My Order Engine'!$AH177:$AV177,Calc!$K$23)),"")</f>
        <v/>
      </c>
      <c r="U175" s="25" t="str">
        <f>IF(AND($A175&lt;=IF(Calc!$C$36=999,360,Calc!$C$36),Calc!$C$24=1),CHOOSE(Calc!$C$3,INDEX('Snowball Engine'!$AH177:$AV177,Calc!$I$24),INDEX('Avalanche Engine'!$AH177:$AV177,Calc!$J$24),INDEX('My Order Engine'!$AH177:$AV177,Calc!$K$24)),"")</f>
        <v/>
      </c>
    </row>
    <row r="176" spans="1:21" x14ac:dyDescent="0.35">
      <c r="A176" s="23">
        <v>172</v>
      </c>
      <c r="B176" s="24" t="str">
        <f>IF($A176&lt;=IF(Calc!$C$36=999,360,Calc!$C$36),EDATE(Calc!$C$5,A176-1),"")</f>
        <v/>
      </c>
      <c r="C176" s="25" t="str">
        <f>IF($A176&lt;=IF(Calc!$C$36=999,360,Calc!$C$36),CHOOSE(Calc!$C$3,'Snowball Engine'!AY178,'Avalanche Engine'!AY178,'My Order Engine'!AY178),"")</f>
        <v/>
      </c>
      <c r="D176" s="25" t="str">
        <f>IF($A176&lt;=IF(Calc!$C$36=999,360,Calc!$C$36),CHOOSE(Calc!$C$3,'Snowball Engine'!AX178,'Avalanche Engine'!AX178,'My Order Engine'!AX178),"")</f>
        <v/>
      </c>
      <c r="E176" s="25" t="str">
        <f>IF($A176&lt;=IF(Calc!$C$36=999,360,Calc!$C$36),C176-D176,"")</f>
        <v/>
      </c>
      <c r="F176" s="25" t="str">
        <f>IF($A176&lt;=IF(Calc!$C$36=999,360,Calc!$C$36),CHOOSE(Calc!$C$3,'Snowball Engine'!AW178,'Avalanche Engine'!AW178,'My Order Engine'!AW178),"")</f>
        <v/>
      </c>
      <c r="G176" s="25" t="str">
        <f>IF(AND($A176&lt;=IF(Calc!$C$36=999,360,Calc!$C$36),Calc!$C$10=1),CHOOSE(Calc!$C$3,INDEX('Snowball Engine'!$AH178:$AV178,Calc!$I$10),INDEX('Avalanche Engine'!$AH178:$AV178,Calc!$J$10),INDEX('My Order Engine'!$AH178:$AV178,Calc!$K$10)),"")</f>
        <v/>
      </c>
      <c r="H176" s="25" t="str">
        <f>IF(AND($A176&lt;=IF(Calc!$C$36=999,360,Calc!$C$36),Calc!$C$11=1),CHOOSE(Calc!$C$3,INDEX('Snowball Engine'!$AH178:$AV178,Calc!$I$11),INDEX('Avalanche Engine'!$AH178:$AV178,Calc!$J$11),INDEX('My Order Engine'!$AH178:$AV178,Calc!$K$11)),"")</f>
        <v/>
      </c>
      <c r="I176" s="25" t="str">
        <f>IF(AND($A176&lt;=IF(Calc!$C$36=999,360,Calc!$C$36),Calc!$C$12=1),CHOOSE(Calc!$C$3,INDEX('Snowball Engine'!$AH178:$AV178,Calc!$I$12),INDEX('Avalanche Engine'!$AH178:$AV178,Calc!$J$12),INDEX('My Order Engine'!$AH178:$AV178,Calc!$K$12)),"")</f>
        <v/>
      </c>
      <c r="J176" s="25" t="str">
        <f>IF(AND($A176&lt;=IF(Calc!$C$36=999,360,Calc!$C$36),Calc!$C$13=1),CHOOSE(Calc!$C$3,INDEX('Snowball Engine'!$AH178:$AV178,Calc!$I$13),INDEX('Avalanche Engine'!$AH178:$AV178,Calc!$J$13),INDEX('My Order Engine'!$AH178:$AV178,Calc!$K$13)),"")</f>
        <v/>
      </c>
      <c r="K176" s="25" t="str">
        <f>IF(AND($A176&lt;=IF(Calc!$C$36=999,360,Calc!$C$36),Calc!$C$14=1),CHOOSE(Calc!$C$3,INDEX('Snowball Engine'!$AH178:$AV178,Calc!$I$14),INDEX('Avalanche Engine'!$AH178:$AV178,Calc!$J$14),INDEX('My Order Engine'!$AH178:$AV178,Calc!$K$14)),"")</f>
        <v/>
      </c>
      <c r="L176" s="25" t="str">
        <f>IF(AND($A176&lt;=IF(Calc!$C$36=999,360,Calc!$C$36),Calc!$C$15=1),CHOOSE(Calc!$C$3,INDEX('Snowball Engine'!$AH178:$AV178,Calc!$I$15),INDEX('Avalanche Engine'!$AH178:$AV178,Calc!$J$15),INDEX('My Order Engine'!$AH178:$AV178,Calc!$K$15)),"")</f>
        <v/>
      </c>
      <c r="M176" s="25" t="str">
        <f>IF(AND($A176&lt;=IF(Calc!$C$36=999,360,Calc!$C$36),Calc!$C$16=1),CHOOSE(Calc!$C$3,INDEX('Snowball Engine'!$AH178:$AV178,Calc!$I$16),INDEX('Avalanche Engine'!$AH178:$AV178,Calc!$J$16),INDEX('My Order Engine'!$AH178:$AV178,Calc!$K$16)),"")</f>
        <v/>
      </c>
      <c r="N176" s="25" t="str">
        <f>IF(AND($A176&lt;=IF(Calc!$C$36=999,360,Calc!$C$36),Calc!$C$17=1),CHOOSE(Calc!$C$3,INDEX('Snowball Engine'!$AH178:$AV178,Calc!$I$17),INDEX('Avalanche Engine'!$AH178:$AV178,Calc!$J$17),INDEX('My Order Engine'!$AH178:$AV178,Calc!$K$17)),"")</f>
        <v/>
      </c>
      <c r="O176" s="25" t="str">
        <f>IF(AND($A176&lt;=IF(Calc!$C$36=999,360,Calc!$C$36),Calc!$C$18=1),CHOOSE(Calc!$C$3,INDEX('Snowball Engine'!$AH178:$AV178,Calc!$I$18),INDEX('Avalanche Engine'!$AH178:$AV178,Calc!$J$18),INDEX('My Order Engine'!$AH178:$AV178,Calc!$K$18)),"")</f>
        <v/>
      </c>
      <c r="P176" s="25" t="str">
        <f>IF(AND($A176&lt;=IF(Calc!$C$36=999,360,Calc!$C$36),Calc!$C$19=1),CHOOSE(Calc!$C$3,INDEX('Snowball Engine'!$AH178:$AV178,Calc!$I$19),INDEX('Avalanche Engine'!$AH178:$AV178,Calc!$J$19),INDEX('My Order Engine'!$AH178:$AV178,Calc!$K$19)),"")</f>
        <v/>
      </c>
      <c r="Q176" s="25" t="str">
        <f>IF(AND($A176&lt;=IF(Calc!$C$36=999,360,Calc!$C$36),Calc!$C$20=1),CHOOSE(Calc!$C$3,INDEX('Snowball Engine'!$AH178:$AV178,Calc!$I$20),INDEX('Avalanche Engine'!$AH178:$AV178,Calc!$J$20),INDEX('My Order Engine'!$AH178:$AV178,Calc!$K$20)),"")</f>
        <v/>
      </c>
      <c r="R176" s="25" t="str">
        <f>IF(AND($A176&lt;=IF(Calc!$C$36=999,360,Calc!$C$36),Calc!$C$21=1),CHOOSE(Calc!$C$3,INDEX('Snowball Engine'!$AH178:$AV178,Calc!$I$21),INDEX('Avalanche Engine'!$AH178:$AV178,Calc!$J$21),INDEX('My Order Engine'!$AH178:$AV178,Calc!$K$21)),"")</f>
        <v/>
      </c>
      <c r="S176" s="25" t="str">
        <f>IF(AND($A176&lt;=IF(Calc!$C$36=999,360,Calc!$C$36),Calc!$C$22=1),CHOOSE(Calc!$C$3,INDEX('Snowball Engine'!$AH178:$AV178,Calc!$I$22),INDEX('Avalanche Engine'!$AH178:$AV178,Calc!$J$22),INDEX('My Order Engine'!$AH178:$AV178,Calc!$K$22)),"")</f>
        <v/>
      </c>
      <c r="T176" s="25" t="str">
        <f>IF(AND($A176&lt;=IF(Calc!$C$36=999,360,Calc!$C$36),Calc!$C$23=1),CHOOSE(Calc!$C$3,INDEX('Snowball Engine'!$AH178:$AV178,Calc!$I$23),INDEX('Avalanche Engine'!$AH178:$AV178,Calc!$J$23),INDEX('My Order Engine'!$AH178:$AV178,Calc!$K$23)),"")</f>
        <v/>
      </c>
      <c r="U176" s="25" t="str">
        <f>IF(AND($A176&lt;=IF(Calc!$C$36=999,360,Calc!$C$36),Calc!$C$24=1),CHOOSE(Calc!$C$3,INDEX('Snowball Engine'!$AH178:$AV178,Calc!$I$24),INDEX('Avalanche Engine'!$AH178:$AV178,Calc!$J$24),INDEX('My Order Engine'!$AH178:$AV178,Calc!$K$24)),"")</f>
        <v/>
      </c>
    </row>
    <row r="177" spans="1:21" x14ac:dyDescent="0.35">
      <c r="A177" s="23">
        <v>173</v>
      </c>
      <c r="B177" s="24" t="str">
        <f>IF($A177&lt;=IF(Calc!$C$36=999,360,Calc!$C$36),EDATE(Calc!$C$5,A177-1),"")</f>
        <v/>
      </c>
      <c r="C177" s="25" t="str">
        <f>IF($A177&lt;=IF(Calc!$C$36=999,360,Calc!$C$36),CHOOSE(Calc!$C$3,'Snowball Engine'!AY179,'Avalanche Engine'!AY179,'My Order Engine'!AY179),"")</f>
        <v/>
      </c>
      <c r="D177" s="25" t="str">
        <f>IF($A177&lt;=IF(Calc!$C$36=999,360,Calc!$C$36),CHOOSE(Calc!$C$3,'Snowball Engine'!AX179,'Avalanche Engine'!AX179,'My Order Engine'!AX179),"")</f>
        <v/>
      </c>
      <c r="E177" s="25" t="str">
        <f>IF($A177&lt;=IF(Calc!$C$36=999,360,Calc!$C$36),C177-D177,"")</f>
        <v/>
      </c>
      <c r="F177" s="25" t="str">
        <f>IF($A177&lt;=IF(Calc!$C$36=999,360,Calc!$C$36),CHOOSE(Calc!$C$3,'Snowball Engine'!AW179,'Avalanche Engine'!AW179,'My Order Engine'!AW179),"")</f>
        <v/>
      </c>
      <c r="G177" s="25" t="str">
        <f>IF(AND($A177&lt;=IF(Calc!$C$36=999,360,Calc!$C$36),Calc!$C$10=1),CHOOSE(Calc!$C$3,INDEX('Snowball Engine'!$AH179:$AV179,Calc!$I$10),INDEX('Avalanche Engine'!$AH179:$AV179,Calc!$J$10),INDEX('My Order Engine'!$AH179:$AV179,Calc!$K$10)),"")</f>
        <v/>
      </c>
      <c r="H177" s="25" t="str">
        <f>IF(AND($A177&lt;=IF(Calc!$C$36=999,360,Calc!$C$36),Calc!$C$11=1),CHOOSE(Calc!$C$3,INDEX('Snowball Engine'!$AH179:$AV179,Calc!$I$11),INDEX('Avalanche Engine'!$AH179:$AV179,Calc!$J$11),INDEX('My Order Engine'!$AH179:$AV179,Calc!$K$11)),"")</f>
        <v/>
      </c>
      <c r="I177" s="25" t="str">
        <f>IF(AND($A177&lt;=IF(Calc!$C$36=999,360,Calc!$C$36),Calc!$C$12=1),CHOOSE(Calc!$C$3,INDEX('Snowball Engine'!$AH179:$AV179,Calc!$I$12),INDEX('Avalanche Engine'!$AH179:$AV179,Calc!$J$12),INDEX('My Order Engine'!$AH179:$AV179,Calc!$K$12)),"")</f>
        <v/>
      </c>
      <c r="J177" s="25" t="str">
        <f>IF(AND($A177&lt;=IF(Calc!$C$36=999,360,Calc!$C$36),Calc!$C$13=1),CHOOSE(Calc!$C$3,INDEX('Snowball Engine'!$AH179:$AV179,Calc!$I$13),INDEX('Avalanche Engine'!$AH179:$AV179,Calc!$J$13),INDEX('My Order Engine'!$AH179:$AV179,Calc!$K$13)),"")</f>
        <v/>
      </c>
      <c r="K177" s="25" t="str">
        <f>IF(AND($A177&lt;=IF(Calc!$C$36=999,360,Calc!$C$36),Calc!$C$14=1),CHOOSE(Calc!$C$3,INDEX('Snowball Engine'!$AH179:$AV179,Calc!$I$14),INDEX('Avalanche Engine'!$AH179:$AV179,Calc!$J$14),INDEX('My Order Engine'!$AH179:$AV179,Calc!$K$14)),"")</f>
        <v/>
      </c>
      <c r="L177" s="25" t="str">
        <f>IF(AND($A177&lt;=IF(Calc!$C$36=999,360,Calc!$C$36),Calc!$C$15=1),CHOOSE(Calc!$C$3,INDEX('Snowball Engine'!$AH179:$AV179,Calc!$I$15),INDEX('Avalanche Engine'!$AH179:$AV179,Calc!$J$15),INDEX('My Order Engine'!$AH179:$AV179,Calc!$K$15)),"")</f>
        <v/>
      </c>
      <c r="M177" s="25" t="str">
        <f>IF(AND($A177&lt;=IF(Calc!$C$36=999,360,Calc!$C$36),Calc!$C$16=1),CHOOSE(Calc!$C$3,INDEX('Snowball Engine'!$AH179:$AV179,Calc!$I$16),INDEX('Avalanche Engine'!$AH179:$AV179,Calc!$J$16),INDEX('My Order Engine'!$AH179:$AV179,Calc!$K$16)),"")</f>
        <v/>
      </c>
      <c r="N177" s="25" t="str">
        <f>IF(AND($A177&lt;=IF(Calc!$C$36=999,360,Calc!$C$36),Calc!$C$17=1),CHOOSE(Calc!$C$3,INDEX('Snowball Engine'!$AH179:$AV179,Calc!$I$17),INDEX('Avalanche Engine'!$AH179:$AV179,Calc!$J$17),INDEX('My Order Engine'!$AH179:$AV179,Calc!$K$17)),"")</f>
        <v/>
      </c>
      <c r="O177" s="25" t="str">
        <f>IF(AND($A177&lt;=IF(Calc!$C$36=999,360,Calc!$C$36),Calc!$C$18=1),CHOOSE(Calc!$C$3,INDEX('Snowball Engine'!$AH179:$AV179,Calc!$I$18),INDEX('Avalanche Engine'!$AH179:$AV179,Calc!$J$18),INDEX('My Order Engine'!$AH179:$AV179,Calc!$K$18)),"")</f>
        <v/>
      </c>
      <c r="P177" s="25" t="str">
        <f>IF(AND($A177&lt;=IF(Calc!$C$36=999,360,Calc!$C$36),Calc!$C$19=1),CHOOSE(Calc!$C$3,INDEX('Snowball Engine'!$AH179:$AV179,Calc!$I$19),INDEX('Avalanche Engine'!$AH179:$AV179,Calc!$J$19),INDEX('My Order Engine'!$AH179:$AV179,Calc!$K$19)),"")</f>
        <v/>
      </c>
      <c r="Q177" s="25" t="str">
        <f>IF(AND($A177&lt;=IF(Calc!$C$36=999,360,Calc!$C$36),Calc!$C$20=1),CHOOSE(Calc!$C$3,INDEX('Snowball Engine'!$AH179:$AV179,Calc!$I$20),INDEX('Avalanche Engine'!$AH179:$AV179,Calc!$J$20),INDEX('My Order Engine'!$AH179:$AV179,Calc!$K$20)),"")</f>
        <v/>
      </c>
      <c r="R177" s="25" t="str">
        <f>IF(AND($A177&lt;=IF(Calc!$C$36=999,360,Calc!$C$36),Calc!$C$21=1),CHOOSE(Calc!$C$3,INDEX('Snowball Engine'!$AH179:$AV179,Calc!$I$21),INDEX('Avalanche Engine'!$AH179:$AV179,Calc!$J$21),INDEX('My Order Engine'!$AH179:$AV179,Calc!$K$21)),"")</f>
        <v/>
      </c>
      <c r="S177" s="25" t="str">
        <f>IF(AND($A177&lt;=IF(Calc!$C$36=999,360,Calc!$C$36),Calc!$C$22=1),CHOOSE(Calc!$C$3,INDEX('Snowball Engine'!$AH179:$AV179,Calc!$I$22),INDEX('Avalanche Engine'!$AH179:$AV179,Calc!$J$22),INDEX('My Order Engine'!$AH179:$AV179,Calc!$K$22)),"")</f>
        <v/>
      </c>
      <c r="T177" s="25" t="str">
        <f>IF(AND($A177&lt;=IF(Calc!$C$36=999,360,Calc!$C$36),Calc!$C$23=1),CHOOSE(Calc!$C$3,INDEX('Snowball Engine'!$AH179:$AV179,Calc!$I$23),INDEX('Avalanche Engine'!$AH179:$AV179,Calc!$J$23),INDEX('My Order Engine'!$AH179:$AV179,Calc!$K$23)),"")</f>
        <v/>
      </c>
      <c r="U177" s="25" t="str">
        <f>IF(AND($A177&lt;=IF(Calc!$C$36=999,360,Calc!$C$36),Calc!$C$24=1),CHOOSE(Calc!$C$3,INDEX('Snowball Engine'!$AH179:$AV179,Calc!$I$24),INDEX('Avalanche Engine'!$AH179:$AV179,Calc!$J$24),INDEX('My Order Engine'!$AH179:$AV179,Calc!$K$24)),"")</f>
        <v/>
      </c>
    </row>
    <row r="178" spans="1:21" x14ac:dyDescent="0.35">
      <c r="A178" s="23">
        <v>174</v>
      </c>
      <c r="B178" s="24" t="str">
        <f>IF($A178&lt;=IF(Calc!$C$36=999,360,Calc!$C$36),EDATE(Calc!$C$5,A178-1),"")</f>
        <v/>
      </c>
      <c r="C178" s="25" t="str">
        <f>IF($A178&lt;=IF(Calc!$C$36=999,360,Calc!$C$36),CHOOSE(Calc!$C$3,'Snowball Engine'!AY180,'Avalanche Engine'!AY180,'My Order Engine'!AY180),"")</f>
        <v/>
      </c>
      <c r="D178" s="25" t="str">
        <f>IF($A178&lt;=IF(Calc!$C$36=999,360,Calc!$C$36),CHOOSE(Calc!$C$3,'Snowball Engine'!AX180,'Avalanche Engine'!AX180,'My Order Engine'!AX180),"")</f>
        <v/>
      </c>
      <c r="E178" s="25" t="str">
        <f>IF($A178&lt;=IF(Calc!$C$36=999,360,Calc!$C$36),C178-D178,"")</f>
        <v/>
      </c>
      <c r="F178" s="25" t="str">
        <f>IF($A178&lt;=IF(Calc!$C$36=999,360,Calc!$C$36),CHOOSE(Calc!$C$3,'Snowball Engine'!AW180,'Avalanche Engine'!AW180,'My Order Engine'!AW180),"")</f>
        <v/>
      </c>
      <c r="G178" s="25" t="str">
        <f>IF(AND($A178&lt;=IF(Calc!$C$36=999,360,Calc!$C$36),Calc!$C$10=1),CHOOSE(Calc!$C$3,INDEX('Snowball Engine'!$AH180:$AV180,Calc!$I$10),INDEX('Avalanche Engine'!$AH180:$AV180,Calc!$J$10),INDEX('My Order Engine'!$AH180:$AV180,Calc!$K$10)),"")</f>
        <v/>
      </c>
      <c r="H178" s="25" t="str">
        <f>IF(AND($A178&lt;=IF(Calc!$C$36=999,360,Calc!$C$36),Calc!$C$11=1),CHOOSE(Calc!$C$3,INDEX('Snowball Engine'!$AH180:$AV180,Calc!$I$11),INDEX('Avalanche Engine'!$AH180:$AV180,Calc!$J$11),INDEX('My Order Engine'!$AH180:$AV180,Calc!$K$11)),"")</f>
        <v/>
      </c>
      <c r="I178" s="25" t="str">
        <f>IF(AND($A178&lt;=IF(Calc!$C$36=999,360,Calc!$C$36),Calc!$C$12=1),CHOOSE(Calc!$C$3,INDEX('Snowball Engine'!$AH180:$AV180,Calc!$I$12),INDEX('Avalanche Engine'!$AH180:$AV180,Calc!$J$12),INDEX('My Order Engine'!$AH180:$AV180,Calc!$K$12)),"")</f>
        <v/>
      </c>
      <c r="J178" s="25" t="str">
        <f>IF(AND($A178&lt;=IF(Calc!$C$36=999,360,Calc!$C$36),Calc!$C$13=1),CHOOSE(Calc!$C$3,INDEX('Snowball Engine'!$AH180:$AV180,Calc!$I$13),INDEX('Avalanche Engine'!$AH180:$AV180,Calc!$J$13),INDEX('My Order Engine'!$AH180:$AV180,Calc!$K$13)),"")</f>
        <v/>
      </c>
      <c r="K178" s="25" t="str">
        <f>IF(AND($A178&lt;=IF(Calc!$C$36=999,360,Calc!$C$36),Calc!$C$14=1),CHOOSE(Calc!$C$3,INDEX('Snowball Engine'!$AH180:$AV180,Calc!$I$14),INDEX('Avalanche Engine'!$AH180:$AV180,Calc!$J$14),INDEX('My Order Engine'!$AH180:$AV180,Calc!$K$14)),"")</f>
        <v/>
      </c>
      <c r="L178" s="25" t="str">
        <f>IF(AND($A178&lt;=IF(Calc!$C$36=999,360,Calc!$C$36),Calc!$C$15=1),CHOOSE(Calc!$C$3,INDEX('Snowball Engine'!$AH180:$AV180,Calc!$I$15),INDEX('Avalanche Engine'!$AH180:$AV180,Calc!$J$15),INDEX('My Order Engine'!$AH180:$AV180,Calc!$K$15)),"")</f>
        <v/>
      </c>
      <c r="M178" s="25" t="str">
        <f>IF(AND($A178&lt;=IF(Calc!$C$36=999,360,Calc!$C$36),Calc!$C$16=1),CHOOSE(Calc!$C$3,INDEX('Snowball Engine'!$AH180:$AV180,Calc!$I$16),INDEX('Avalanche Engine'!$AH180:$AV180,Calc!$J$16),INDEX('My Order Engine'!$AH180:$AV180,Calc!$K$16)),"")</f>
        <v/>
      </c>
      <c r="N178" s="25" t="str">
        <f>IF(AND($A178&lt;=IF(Calc!$C$36=999,360,Calc!$C$36),Calc!$C$17=1),CHOOSE(Calc!$C$3,INDEX('Snowball Engine'!$AH180:$AV180,Calc!$I$17),INDEX('Avalanche Engine'!$AH180:$AV180,Calc!$J$17),INDEX('My Order Engine'!$AH180:$AV180,Calc!$K$17)),"")</f>
        <v/>
      </c>
      <c r="O178" s="25" t="str">
        <f>IF(AND($A178&lt;=IF(Calc!$C$36=999,360,Calc!$C$36),Calc!$C$18=1),CHOOSE(Calc!$C$3,INDEX('Snowball Engine'!$AH180:$AV180,Calc!$I$18),INDEX('Avalanche Engine'!$AH180:$AV180,Calc!$J$18),INDEX('My Order Engine'!$AH180:$AV180,Calc!$K$18)),"")</f>
        <v/>
      </c>
      <c r="P178" s="25" t="str">
        <f>IF(AND($A178&lt;=IF(Calc!$C$36=999,360,Calc!$C$36),Calc!$C$19=1),CHOOSE(Calc!$C$3,INDEX('Snowball Engine'!$AH180:$AV180,Calc!$I$19),INDEX('Avalanche Engine'!$AH180:$AV180,Calc!$J$19),INDEX('My Order Engine'!$AH180:$AV180,Calc!$K$19)),"")</f>
        <v/>
      </c>
      <c r="Q178" s="25" t="str">
        <f>IF(AND($A178&lt;=IF(Calc!$C$36=999,360,Calc!$C$36),Calc!$C$20=1),CHOOSE(Calc!$C$3,INDEX('Snowball Engine'!$AH180:$AV180,Calc!$I$20),INDEX('Avalanche Engine'!$AH180:$AV180,Calc!$J$20),INDEX('My Order Engine'!$AH180:$AV180,Calc!$K$20)),"")</f>
        <v/>
      </c>
      <c r="R178" s="25" t="str">
        <f>IF(AND($A178&lt;=IF(Calc!$C$36=999,360,Calc!$C$36),Calc!$C$21=1),CHOOSE(Calc!$C$3,INDEX('Snowball Engine'!$AH180:$AV180,Calc!$I$21),INDEX('Avalanche Engine'!$AH180:$AV180,Calc!$J$21),INDEX('My Order Engine'!$AH180:$AV180,Calc!$K$21)),"")</f>
        <v/>
      </c>
      <c r="S178" s="25" t="str">
        <f>IF(AND($A178&lt;=IF(Calc!$C$36=999,360,Calc!$C$36),Calc!$C$22=1),CHOOSE(Calc!$C$3,INDEX('Snowball Engine'!$AH180:$AV180,Calc!$I$22),INDEX('Avalanche Engine'!$AH180:$AV180,Calc!$J$22),INDEX('My Order Engine'!$AH180:$AV180,Calc!$K$22)),"")</f>
        <v/>
      </c>
      <c r="T178" s="25" t="str">
        <f>IF(AND($A178&lt;=IF(Calc!$C$36=999,360,Calc!$C$36),Calc!$C$23=1),CHOOSE(Calc!$C$3,INDEX('Snowball Engine'!$AH180:$AV180,Calc!$I$23),INDEX('Avalanche Engine'!$AH180:$AV180,Calc!$J$23),INDEX('My Order Engine'!$AH180:$AV180,Calc!$K$23)),"")</f>
        <v/>
      </c>
      <c r="U178" s="25" t="str">
        <f>IF(AND($A178&lt;=IF(Calc!$C$36=999,360,Calc!$C$36),Calc!$C$24=1),CHOOSE(Calc!$C$3,INDEX('Snowball Engine'!$AH180:$AV180,Calc!$I$24),INDEX('Avalanche Engine'!$AH180:$AV180,Calc!$J$24),INDEX('My Order Engine'!$AH180:$AV180,Calc!$K$24)),"")</f>
        <v/>
      </c>
    </row>
    <row r="179" spans="1:21" x14ac:dyDescent="0.35">
      <c r="A179" s="23">
        <v>175</v>
      </c>
      <c r="B179" s="24" t="str">
        <f>IF($A179&lt;=IF(Calc!$C$36=999,360,Calc!$C$36),EDATE(Calc!$C$5,A179-1),"")</f>
        <v/>
      </c>
      <c r="C179" s="25" t="str">
        <f>IF($A179&lt;=IF(Calc!$C$36=999,360,Calc!$C$36),CHOOSE(Calc!$C$3,'Snowball Engine'!AY181,'Avalanche Engine'!AY181,'My Order Engine'!AY181),"")</f>
        <v/>
      </c>
      <c r="D179" s="25" t="str">
        <f>IF($A179&lt;=IF(Calc!$C$36=999,360,Calc!$C$36),CHOOSE(Calc!$C$3,'Snowball Engine'!AX181,'Avalanche Engine'!AX181,'My Order Engine'!AX181),"")</f>
        <v/>
      </c>
      <c r="E179" s="25" t="str">
        <f>IF($A179&lt;=IF(Calc!$C$36=999,360,Calc!$C$36),C179-D179,"")</f>
        <v/>
      </c>
      <c r="F179" s="25" t="str">
        <f>IF($A179&lt;=IF(Calc!$C$36=999,360,Calc!$C$36),CHOOSE(Calc!$C$3,'Snowball Engine'!AW181,'Avalanche Engine'!AW181,'My Order Engine'!AW181),"")</f>
        <v/>
      </c>
      <c r="G179" s="25" t="str">
        <f>IF(AND($A179&lt;=IF(Calc!$C$36=999,360,Calc!$C$36),Calc!$C$10=1),CHOOSE(Calc!$C$3,INDEX('Snowball Engine'!$AH181:$AV181,Calc!$I$10),INDEX('Avalanche Engine'!$AH181:$AV181,Calc!$J$10),INDEX('My Order Engine'!$AH181:$AV181,Calc!$K$10)),"")</f>
        <v/>
      </c>
      <c r="H179" s="25" t="str">
        <f>IF(AND($A179&lt;=IF(Calc!$C$36=999,360,Calc!$C$36),Calc!$C$11=1),CHOOSE(Calc!$C$3,INDEX('Snowball Engine'!$AH181:$AV181,Calc!$I$11),INDEX('Avalanche Engine'!$AH181:$AV181,Calc!$J$11),INDEX('My Order Engine'!$AH181:$AV181,Calc!$K$11)),"")</f>
        <v/>
      </c>
      <c r="I179" s="25" t="str">
        <f>IF(AND($A179&lt;=IF(Calc!$C$36=999,360,Calc!$C$36),Calc!$C$12=1),CHOOSE(Calc!$C$3,INDEX('Snowball Engine'!$AH181:$AV181,Calc!$I$12),INDEX('Avalanche Engine'!$AH181:$AV181,Calc!$J$12),INDEX('My Order Engine'!$AH181:$AV181,Calc!$K$12)),"")</f>
        <v/>
      </c>
      <c r="J179" s="25" t="str">
        <f>IF(AND($A179&lt;=IF(Calc!$C$36=999,360,Calc!$C$36),Calc!$C$13=1),CHOOSE(Calc!$C$3,INDEX('Snowball Engine'!$AH181:$AV181,Calc!$I$13),INDEX('Avalanche Engine'!$AH181:$AV181,Calc!$J$13),INDEX('My Order Engine'!$AH181:$AV181,Calc!$K$13)),"")</f>
        <v/>
      </c>
      <c r="K179" s="25" t="str">
        <f>IF(AND($A179&lt;=IF(Calc!$C$36=999,360,Calc!$C$36),Calc!$C$14=1),CHOOSE(Calc!$C$3,INDEX('Snowball Engine'!$AH181:$AV181,Calc!$I$14),INDEX('Avalanche Engine'!$AH181:$AV181,Calc!$J$14),INDEX('My Order Engine'!$AH181:$AV181,Calc!$K$14)),"")</f>
        <v/>
      </c>
      <c r="L179" s="25" t="str">
        <f>IF(AND($A179&lt;=IF(Calc!$C$36=999,360,Calc!$C$36),Calc!$C$15=1),CHOOSE(Calc!$C$3,INDEX('Snowball Engine'!$AH181:$AV181,Calc!$I$15),INDEX('Avalanche Engine'!$AH181:$AV181,Calc!$J$15),INDEX('My Order Engine'!$AH181:$AV181,Calc!$K$15)),"")</f>
        <v/>
      </c>
      <c r="M179" s="25" t="str">
        <f>IF(AND($A179&lt;=IF(Calc!$C$36=999,360,Calc!$C$36),Calc!$C$16=1),CHOOSE(Calc!$C$3,INDEX('Snowball Engine'!$AH181:$AV181,Calc!$I$16),INDEX('Avalanche Engine'!$AH181:$AV181,Calc!$J$16),INDEX('My Order Engine'!$AH181:$AV181,Calc!$K$16)),"")</f>
        <v/>
      </c>
      <c r="N179" s="25" t="str">
        <f>IF(AND($A179&lt;=IF(Calc!$C$36=999,360,Calc!$C$36),Calc!$C$17=1),CHOOSE(Calc!$C$3,INDEX('Snowball Engine'!$AH181:$AV181,Calc!$I$17),INDEX('Avalanche Engine'!$AH181:$AV181,Calc!$J$17),INDEX('My Order Engine'!$AH181:$AV181,Calc!$K$17)),"")</f>
        <v/>
      </c>
      <c r="O179" s="25" t="str">
        <f>IF(AND($A179&lt;=IF(Calc!$C$36=999,360,Calc!$C$36),Calc!$C$18=1),CHOOSE(Calc!$C$3,INDEX('Snowball Engine'!$AH181:$AV181,Calc!$I$18),INDEX('Avalanche Engine'!$AH181:$AV181,Calc!$J$18),INDEX('My Order Engine'!$AH181:$AV181,Calc!$K$18)),"")</f>
        <v/>
      </c>
      <c r="P179" s="25" t="str">
        <f>IF(AND($A179&lt;=IF(Calc!$C$36=999,360,Calc!$C$36),Calc!$C$19=1),CHOOSE(Calc!$C$3,INDEX('Snowball Engine'!$AH181:$AV181,Calc!$I$19),INDEX('Avalanche Engine'!$AH181:$AV181,Calc!$J$19),INDEX('My Order Engine'!$AH181:$AV181,Calc!$K$19)),"")</f>
        <v/>
      </c>
      <c r="Q179" s="25" t="str">
        <f>IF(AND($A179&lt;=IF(Calc!$C$36=999,360,Calc!$C$36),Calc!$C$20=1),CHOOSE(Calc!$C$3,INDEX('Snowball Engine'!$AH181:$AV181,Calc!$I$20),INDEX('Avalanche Engine'!$AH181:$AV181,Calc!$J$20),INDEX('My Order Engine'!$AH181:$AV181,Calc!$K$20)),"")</f>
        <v/>
      </c>
      <c r="R179" s="25" t="str">
        <f>IF(AND($A179&lt;=IF(Calc!$C$36=999,360,Calc!$C$36),Calc!$C$21=1),CHOOSE(Calc!$C$3,INDEX('Snowball Engine'!$AH181:$AV181,Calc!$I$21),INDEX('Avalanche Engine'!$AH181:$AV181,Calc!$J$21),INDEX('My Order Engine'!$AH181:$AV181,Calc!$K$21)),"")</f>
        <v/>
      </c>
      <c r="S179" s="25" t="str">
        <f>IF(AND($A179&lt;=IF(Calc!$C$36=999,360,Calc!$C$36),Calc!$C$22=1),CHOOSE(Calc!$C$3,INDEX('Snowball Engine'!$AH181:$AV181,Calc!$I$22),INDEX('Avalanche Engine'!$AH181:$AV181,Calc!$J$22),INDEX('My Order Engine'!$AH181:$AV181,Calc!$K$22)),"")</f>
        <v/>
      </c>
      <c r="T179" s="25" t="str">
        <f>IF(AND($A179&lt;=IF(Calc!$C$36=999,360,Calc!$C$36),Calc!$C$23=1),CHOOSE(Calc!$C$3,INDEX('Snowball Engine'!$AH181:$AV181,Calc!$I$23),INDEX('Avalanche Engine'!$AH181:$AV181,Calc!$J$23),INDEX('My Order Engine'!$AH181:$AV181,Calc!$K$23)),"")</f>
        <v/>
      </c>
      <c r="U179" s="25" t="str">
        <f>IF(AND($A179&lt;=IF(Calc!$C$36=999,360,Calc!$C$36),Calc!$C$24=1),CHOOSE(Calc!$C$3,INDEX('Snowball Engine'!$AH181:$AV181,Calc!$I$24),INDEX('Avalanche Engine'!$AH181:$AV181,Calc!$J$24),INDEX('My Order Engine'!$AH181:$AV181,Calc!$K$24)),"")</f>
        <v/>
      </c>
    </row>
    <row r="180" spans="1:21" x14ac:dyDescent="0.35">
      <c r="A180" s="23">
        <v>176</v>
      </c>
      <c r="B180" s="24" t="str">
        <f>IF($A180&lt;=IF(Calc!$C$36=999,360,Calc!$C$36),EDATE(Calc!$C$5,A180-1),"")</f>
        <v/>
      </c>
      <c r="C180" s="25" t="str">
        <f>IF($A180&lt;=IF(Calc!$C$36=999,360,Calc!$C$36),CHOOSE(Calc!$C$3,'Snowball Engine'!AY182,'Avalanche Engine'!AY182,'My Order Engine'!AY182),"")</f>
        <v/>
      </c>
      <c r="D180" s="25" t="str">
        <f>IF($A180&lt;=IF(Calc!$C$36=999,360,Calc!$C$36),CHOOSE(Calc!$C$3,'Snowball Engine'!AX182,'Avalanche Engine'!AX182,'My Order Engine'!AX182),"")</f>
        <v/>
      </c>
      <c r="E180" s="25" t="str">
        <f>IF($A180&lt;=IF(Calc!$C$36=999,360,Calc!$C$36),C180-D180,"")</f>
        <v/>
      </c>
      <c r="F180" s="25" t="str">
        <f>IF($A180&lt;=IF(Calc!$C$36=999,360,Calc!$C$36),CHOOSE(Calc!$C$3,'Snowball Engine'!AW182,'Avalanche Engine'!AW182,'My Order Engine'!AW182),"")</f>
        <v/>
      </c>
      <c r="G180" s="25" t="str">
        <f>IF(AND($A180&lt;=IF(Calc!$C$36=999,360,Calc!$C$36),Calc!$C$10=1),CHOOSE(Calc!$C$3,INDEX('Snowball Engine'!$AH182:$AV182,Calc!$I$10),INDEX('Avalanche Engine'!$AH182:$AV182,Calc!$J$10),INDEX('My Order Engine'!$AH182:$AV182,Calc!$K$10)),"")</f>
        <v/>
      </c>
      <c r="H180" s="25" t="str">
        <f>IF(AND($A180&lt;=IF(Calc!$C$36=999,360,Calc!$C$36),Calc!$C$11=1),CHOOSE(Calc!$C$3,INDEX('Snowball Engine'!$AH182:$AV182,Calc!$I$11),INDEX('Avalanche Engine'!$AH182:$AV182,Calc!$J$11),INDEX('My Order Engine'!$AH182:$AV182,Calc!$K$11)),"")</f>
        <v/>
      </c>
      <c r="I180" s="25" t="str">
        <f>IF(AND($A180&lt;=IF(Calc!$C$36=999,360,Calc!$C$36),Calc!$C$12=1),CHOOSE(Calc!$C$3,INDEX('Snowball Engine'!$AH182:$AV182,Calc!$I$12),INDEX('Avalanche Engine'!$AH182:$AV182,Calc!$J$12),INDEX('My Order Engine'!$AH182:$AV182,Calc!$K$12)),"")</f>
        <v/>
      </c>
      <c r="J180" s="25" t="str">
        <f>IF(AND($A180&lt;=IF(Calc!$C$36=999,360,Calc!$C$36),Calc!$C$13=1),CHOOSE(Calc!$C$3,INDEX('Snowball Engine'!$AH182:$AV182,Calc!$I$13),INDEX('Avalanche Engine'!$AH182:$AV182,Calc!$J$13),INDEX('My Order Engine'!$AH182:$AV182,Calc!$K$13)),"")</f>
        <v/>
      </c>
      <c r="K180" s="25" t="str">
        <f>IF(AND($A180&lt;=IF(Calc!$C$36=999,360,Calc!$C$36),Calc!$C$14=1),CHOOSE(Calc!$C$3,INDEX('Snowball Engine'!$AH182:$AV182,Calc!$I$14),INDEX('Avalanche Engine'!$AH182:$AV182,Calc!$J$14),INDEX('My Order Engine'!$AH182:$AV182,Calc!$K$14)),"")</f>
        <v/>
      </c>
      <c r="L180" s="25" t="str">
        <f>IF(AND($A180&lt;=IF(Calc!$C$36=999,360,Calc!$C$36),Calc!$C$15=1),CHOOSE(Calc!$C$3,INDEX('Snowball Engine'!$AH182:$AV182,Calc!$I$15),INDEX('Avalanche Engine'!$AH182:$AV182,Calc!$J$15),INDEX('My Order Engine'!$AH182:$AV182,Calc!$K$15)),"")</f>
        <v/>
      </c>
      <c r="M180" s="25" t="str">
        <f>IF(AND($A180&lt;=IF(Calc!$C$36=999,360,Calc!$C$36),Calc!$C$16=1),CHOOSE(Calc!$C$3,INDEX('Snowball Engine'!$AH182:$AV182,Calc!$I$16),INDEX('Avalanche Engine'!$AH182:$AV182,Calc!$J$16),INDEX('My Order Engine'!$AH182:$AV182,Calc!$K$16)),"")</f>
        <v/>
      </c>
      <c r="N180" s="25" t="str">
        <f>IF(AND($A180&lt;=IF(Calc!$C$36=999,360,Calc!$C$36),Calc!$C$17=1),CHOOSE(Calc!$C$3,INDEX('Snowball Engine'!$AH182:$AV182,Calc!$I$17),INDEX('Avalanche Engine'!$AH182:$AV182,Calc!$J$17),INDEX('My Order Engine'!$AH182:$AV182,Calc!$K$17)),"")</f>
        <v/>
      </c>
      <c r="O180" s="25" t="str">
        <f>IF(AND($A180&lt;=IF(Calc!$C$36=999,360,Calc!$C$36),Calc!$C$18=1),CHOOSE(Calc!$C$3,INDEX('Snowball Engine'!$AH182:$AV182,Calc!$I$18),INDEX('Avalanche Engine'!$AH182:$AV182,Calc!$J$18),INDEX('My Order Engine'!$AH182:$AV182,Calc!$K$18)),"")</f>
        <v/>
      </c>
      <c r="P180" s="25" t="str">
        <f>IF(AND($A180&lt;=IF(Calc!$C$36=999,360,Calc!$C$36),Calc!$C$19=1),CHOOSE(Calc!$C$3,INDEX('Snowball Engine'!$AH182:$AV182,Calc!$I$19),INDEX('Avalanche Engine'!$AH182:$AV182,Calc!$J$19),INDEX('My Order Engine'!$AH182:$AV182,Calc!$K$19)),"")</f>
        <v/>
      </c>
      <c r="Q180" s="25" t="str">
        <f>IF(AND($A180&lt;=IF(Calc!$C$36=999,360,Calc!$C$36),Calc!$C$20=1),CHOOSE(Calc!$C$3,INDEX('Snowball Engine'!$AH182:$AV182,Calc!$I$20),INDEX('Avalanche Engine'!$AH182:$AV182,Calc!$J$20),INDEX('My Order Engine'!$AH182:$AV182,Calc!$K$20)),"")</f>
        <v/>
      </c>
      <c r="R180" s="25" t="str">
        <f>IF(AND($A180&lt;=IF(Calc!$C$36=999,360,Calc!$C$36),Calc!$C$21=1),CHOOSE(Calc!$C$3,INDEX('Snowball Engine'!$AH182:$AV182,Calc!$I$21),INDEX('Avalanche Engine'!$AH182:$AV182,Calc!$J$21),INDEX('My Order Engine'!$AH182:$AV182,Calc!$K$21)),"")</f>
        <v/>
      </c>
      <c r="S180" s="25" t="str">
        <f>IF(AND($A180&lt;=IF(Calc!$C$36=999,360,Calc!$C$36),Calc!$C$22=1),CHOOSE(Calc!$C$3,INDEX('Snowball Engine'!$AH182:$AV182,Calc!$I$22),INDEX('Avalanche Engine'!$AH182:$AV182,Calc!$J$22),INDEX('My Order Engine'!$AH182:$AV182,Calc!$K$22)),"")</f>
        <v/>
      </c>
      <c r="T180" s="25" t="str">
        <f>IF(AND($A180&lt;=IF(Calc!$C$36=999,360,Calc!$C$36),Calc!$C$23=1),CHOOSE(Calc!$C$3,INDEX('Snowball Engine'!$AH182:$AV182,Calc!$I$23),INDEX('Avalanche Engine'!$AH182:$AV182,Calc!$J$23),INDEX('My Order Engine'!$AH182:$AV182,Calc!$K$23)),"")</f>
        <v/>
      </c>
      <c r="U180" s="25" t="str">
        <f>IF(AND($A180&lt;=IF(Calc!$C$36=999,360,Calc!$C$36),Calc!$C$24=1),CHOOSE(Calc!$C$3,INDEX('Snowball Engine'!$AH182:$AV182,Calc!$I$24),INDEX('Avalanche Engine'!$AH182:$AV182,Calc!$J$24),INDEX('My Order Engine'!$AH182:$AV182,Calc!$K$24)),"")</f>
        <v/>
      </c>
    </row>
    <row r="181" spans="1:21" x14ac:dyDescent="0.35">
      <c r="A181" s="23">
        <v>177</v>
      </c>
      <c r="B181" s="24" t="str">
        <f>IF($A181&lt;=IF(Calc!$C$36=999,360,Calc!$C$36),EDATE(Calc!$C$5,A181-1),"")</f>
        <v/>
      </c>
      <c r="C181" s="25" t="str">
        <f>IF($A181&lt;=IF(Calc!$C$36=999,360,Calc!$C$36),CHOOSE(Calc!$C$3,'Snowball Engine'!AY183,'Avalanche Engine'!AY183,'My Order Engine'!AY183),"")</f>
        <v/>
      </c>
      <c r="D181" s="25" t="str">
        <f>IF($A181&lt;=IF(Calc!$C$36=999,360,Calc!$C$36),CHOOSE(Calc!$C$3,'Snowball Engine'!AX183,'Avalanche Engine'!AX183,'My Order Engine'!AX183),"")</f>
        <v/>
      </c>
      <c r="E181" s="25" t="str">
        <f>IF($A181&lt;=IF(Calc!$C$36=999,360,Calc!$C$36),C181-D181,"")</f>
        <v/>
      </c>
      <c r="F181" s="25" t="str">
        <f>IF($A181&lt;=IF(Calc!$C$36=999,360,Calc!$C$36),CHOOSE(Calc!$C$3,'Snowball Engine'!AW183,'Avalanche Engine'!AW183,'My Order Engine'!AW183),"")</f>
        <v/>
      </c>
      <c r="G181" s="25" t="str">
        <f>IF(AND($A181&lt;=IF(Calc!$C$36=999,360,Calc!$C$36),Calc!$C$10=1),CHOOSE(Calc!$C$3,INDEX('Snowball Engine'!$AH183:$AV183,Calc!$I$10),INDEX('Avalanche Engine'!$AH183:$AV183,Calc!$J$10),INDEX('My Order Engine'!$AH183:$AV183,Calc!$K$10)),"")</f>
        <v/>
      </c>
      <c r="H181" s="25" t="str">
        <f>IF(AND($A181&lt;=IF(Calc!$C$36=999,360,Calc!$C$36),Calc!$C$11=1),CHOOSE(Calc!$C$3,INDEX('Snowball Engine'!$AH183:$AV183,Calc!$I$11),INDEX('Avalanche Engine'!$AH183:$AV183,Calc!$J$11),INDEX('My Order Engine'!$AH183:$AV183,Calc!$K$11)),"")</f>
        <v/>
      </c>
      <c r="I181" s="25" t="str">
        <f>IF(AND($A181&lt;=IF(Calc!$C$36=999,360,Calc!$C$36),Calc!$C$12=1),CHOOSE(Calc!$C$3,INDEX('Snowball Engine'!$AH183:$AV183,Calc!$I$12),INDEX('Avalanche Engine'!$AH183:$AV183,Calc!$J$12),INDEX('My Order Engine'!$AH183:$AV183,Calc!$K$12)),"")</f>
        <v/>
      </c>
      <c r="J181" s="25" t="str">
        <f>IF(AND($A181&lt;=IF(Calc!$C$36=999,360,Calc!$C$36),Calc!$C$13=1),CHOOSE(Calc!$C$3,INDEX('Snowball Engine'!$AH183:$AV183,Calc!$I$13),INDEX('Avalanche Engine'!$AH183:$AV183,Calc!$J$13),INDEX('My Order Engine'!$AH183:$AV183,Calc!$K$13)),"")</f>
        <v/>
      </c>
      <c r="K181" s="25" t="str">
        <f>IF(AND($A181&lt;=IF(Calc!$C$36=999,360,Calc!$C$36),Calc!$C$14=1),CHOOSE(Calc!$C$3,INDEX('Snowball Engine'!$AH183:$AV183,Calc!$I$14),INDEX('Avalanche Engine'!$AH183:$AV183,Calc!$J$14),INDEX('My Order Engine'!$AH183:$AV183,Calc!$K$14)),"")</f>
        <v/>
      </c>
      <c r="L181" s="25" t="str">
        <f>IF(AND($A181&lt;=IF(Calc!$C$36=999,360,Calc!$C$36),Calc!$C$15=1),CHOOSE(Calc!$C$3,INDEX('Snowball Engine'!$AH183:$AV183,Calc!$I$15),INDEX('Avalanche Engine'!$AH183:$AV183,Calc!$J$15),INDEX('My Order Engine'!$AH183:$AV183,Calc!$K$15)),"")</f>
        <v/>
      </c>
      <c r="M181" s="25" t="str">
        <f>IF(AND($A181&lt;=IF(Calc!$C$36=999,360,Calc!$C$36),Calc!$C$16=1),CHOOSE(Calc!$C$3,INDEX('Snowball Engine'!$AH183:$AV183,Calc!$I$16),INDEX('Avalanche Engine'!$AH183:$AV183,Calc!$J$16),INDEX('My Order Engine'!$AH183:$AV183,Calc!$K$16)),"")</f>
        <v/>
      </c>
      <c r="N181" s="25" t="str">
        <f>IF(AND($A181&lt;=IF(Calc!$C$36=999,360,Calc!$C$36),Calc!$C$17=1),CHOOSE(Calc!$C$3,INDEX('Snowball Engine'!$AH183:$AV183,Calc!$I$17),INDEX('Avalanche Engine'!$AH183:$AV183,Calc!$J$17),INDEX('My Order Engine'!$AH183:$AV183,Calc!$K$17)),"")</f>
        <v/>
      </c>
      <c r="O181" s="25" t="str">
        <f>IF(AND($A181&lt;=IF(Calc!$C$36=999,360,Calc!$C$36),Calc!$C$18=1),CHOOSE(Calc!$C$3,INDEX('Snowball Engine'!$AH183:$AV183,Calc!$I$18),INDEX('Avalanche Engine'!$AH183:$AV183,Calc!$J$18),INDEX('My Order Engine'!$AH183:$AV183,Calc!$K$18)),"")</f>
        <v/>
      </c>
      <c r="P181" s="25" t="str">
        <f>IF(AND($A181&lt;=IF(Calc!$C$36=999,360,Calc!$C$36),Calc!$C$19=1),CHOOSE(Calc!$C$3,INDEX('Snowball Engine'!$AH183:$AV183,Calc!$I$19),INDEX('Avalanche Engine'!$AH183:$AV183,Calc!$J$19),INDEX('My Order Engine'!$AH183:$AV183,Calc!$K$19)),"")</f>
        <v/>
      </c>
      <c r="Q181" s="25" t="str">
        <f>IF(AND($A181&lt;=IF(Calc!$C$36=999,360,Calc!$C$36),Calc!$C$20=1),CHOOSE(Calc!$C$3,INDEX('Snowball Engine'!$AH183:$AV183,Calc!$I$20),INDEX('Avalanche Engine'!$AH183:$AV183,Calc!$J$20),INDEX('My Order Engine'!$AH183:$AV183,Calc!$K$20)),"")</f>
        <v/>
      </c>
      <c r="R181" s="25" t="str">
        <f>IF(AND($A181&lt;=IF(Calc!$C$36=999,360,Calc!$C$36),Calc!$C$21=1),CHOOSE(Calc!$C$3,INDEX('Snowball Engine'!$AH183:$AV183,Calc!$I$21),INDEX('Avalanche Engine'!$AH183:$AV183,Calc!$J$21),INDEX('My Order Engine'!$AH183:$AV183,Calc!$K$21)),"")</f>
        <v/>
      </c>
      <c r="S181" s="25" t="str">
        <f>IF(AND($A181&lt;=IF(Calc!$C$36=999,360,Calc!$C$36),Calc!$C$22=1),CHOOSE(Calc!$C$3,INDEX('Snowball Engine'!$AH183:$AV183,Calc!$I$22),INDEX('Avalanche Engine'!$AH183:$AV183,Calc!$J$22),INDEX('My Order Engine'!$AH183:$AV183,Calc!$K$22)),"")</f>
        <v/>
      </c>
      <c r="T181" s="25" t="str">
        <f>IF(AND($A181&lt;=IF(Calc!$C$36=999,360,Calc!$C$36),Calc!$C$23=1),CHOOSE(Calc!$C$3,INDEX('Snowball Engine'!$AH183:$AV183,Calc!$I$23),INDEX('Avalanche Engine'!$AH183:$AV183,Calc!$J$23),INDEX('My Order Engine'!$AH183:$AV183,Calc!$K$23)),"")</f>
        <v/>
      </c>
      <c r="U181" s="25" t="str">
        <f>IF(AND($A181&lt;=IF(Calc!$C$36=999,360,Calc!$C$36),Calc!$C$24=1),CHOOSE(Calc!$C$3,INDEX('Snowball Engine'!$AH183:$AV183,Calc!$I$24),INDEX('Avalanche Engine'!$AH183:$AV183,Calc!$J$24),INDEX('My Order Engine'!$AH183:$AV183,Calc!$K$24)),"")</f>
        <v/>
      </c>
    </row>
    <row r="182" spans="1:21" x14ac:dyDescent="0.35">
      <c r="A182" s="23">
        <v>178</v>
      </c>
      <c r="B182" s="24" t="str">
        <f>IF($A182&lt;=IF(Calc!$C$36=999,360,Calc!$C$36),EDATE(Calc!$C$5,A182-1),"")</f>
        <v/>
      </c>
      <c r="C182" s="25" t="str">
        <f>IF($A182&lt;=IF(Calc!$C$36=999,360,Calc!$C$36),CHOOSE(Calc!$C$3,'Snowball Engine'!AY184,'Avalanche Engine'!AY184,'My Order Engine'!AY184),"")</f>
        <v/>
      </c>
      <c r="D182" s="25" t="str">
        <f>IF($A182&lt;=IF(Calc!$C$36=999,360,Calc!$C$36),CHOOSE(Calc!$C$3,'Snowball Engine'!AX184,'Avalanche Engine'!AX184,'My Order Engine'!AX184),"")</f>
        <v/>
      </c>
      <c r="E182" s="25" t="str">
        <f>IF($A182&lt;=IF(Calc!$C$36=999,360,Calc!$C$36),C182-D182,"")</f>
        <v/>
      </c>
      <c r="F182" s="25" t="str">
        <f>IF($A182&lt;=IF(Calc!$C$36=999,360,Calc!$C$36),CHOOSE(Calc!$C$3,'Snowball Engine'!AW184,'Avalanche Engine'!AW184,'My Order Engine'!AW184),"")</f>
        <v/>
      </c>
      <c r="G182" s="25" t="str">
        <f>IF(AND($A182&lt;=IF(Calc!$C$36=999,360,Calc!$C$36),Calc!$C$10=1),CHOOSE(Calc!$C$3,INDEX('Snowball Engine'!$AH184:$AV184,Calc!$I$10),INDEX('Avalanche Engine'!$AH184:$AV184,Calc!$J$10),INDEX('My Order Engine'!$AH184:$AV184,Calc!$K$10)),"")</f>
        <v/>
      </c>
      <c r="H182" s="25" t="str">
        <f>IF(AND($A182&lt;=IF(Calc!$C$36=999,360,Calc!$C$36),Calc!$C$11=1),CHOOSE(Calc!$C$3,INDEX('Snowball Engine'!$AH184:$AV184,Calc!$I$11),INDEX('Avalanche Engine'!$AH184:$AV184,Calc!$J$11),INDEX('My Order Engine'!$AH184:$AV184,Calc!$K$11)),"")</f>
        <v/>
      </c>
      <c r="I182" s="25" t="str">
        <f>IF(AND($A182&lt;=IF(Calc!$C$36=999,360,Calc!$C$36),Calc!$C$12=1),CHOOSE(Calc!$C$3,INDEX('Snowball Engine'!$AH184:$AV184,Calc!$I$12),INDEX('Avalanche Engine'!$AH184:$AV184,Calc!$J$12),INDEX('My Order Engine'!$AH184:$AV184,Calc!$K$12)),"")</f>
        <v/>
      </c>
      <c r="J182" s="25" t="str">
        <f>IF(AND($A182&lt;=IF(Calc!$C$36=999,360,Calc!$C$36),Calc!$C$13=1),CHOOSE(Calc!$C$3,INDEX('Snowball Engine'!$AH184:$AV184,Calc!$I$13),INDEX('Avalanche Engine'!$AH184:$AV184,Calc!$J$13),INDEX('My Order Engine'!$AH184:$AV184,Calc!$K$13)),"")</f>
        <v/>
      </c>
      <c r="K182" s="25" t="str">
        <f>IF(AND($A182&lt;=IF(Calc!$C$36=999,360,Calc!$C$36),Calc!$C$14=1),CHOOSE(Calc!$C$3,INDEX('Snowball Engine'!$AH184:$AV184,Calc!$I$14),INDEX('Avalanche Engine'!$AH184:$AV184,Calc!$J$14),INDEX('My Order Engine'!$AH184:$AV184,Calc!$K$14)),"")</f>
        <v/>
      </c>
      <c r="L182" s="25" t="str">
        <f>IF(AND($A182&lt;=IF(Calc!$C$36=999,360,Calc!$C$36),Calc!$C$15=1),CHOOSE(Calc!$C$3,INDEX('Snowball Engine'!$AH184:$AV184,Calc!$I$15),INDEX('Avalanche Engine'!$AH184:$AV184,Calc!$J$15),INDEX('My Order Engine'!$AH184:$AV184,Calc!$K$15)),"")</f>
        <v/>
      </c>
      <c r="M182" s="25" t="str">
        <f>IF(AND($A182&lt;=IF(Calc!$C$36=999,360,Calc!$C$36),Calc!$C$16=1),CHOOSE(Calc!$C$3,INDEX('Snowball Engine'!$AH184:$AV184,Calc!$I$16),INDEX('Avalanche Engine'!$AH184:$AV184,Calc!$J$16),INDEX('My Order Engine'!$AH184:$AV184,Calc!$K$16)),"")</f>
        <v/>
      </c>
      <c r="N182" s="25" t="str">
        <f>IF(AND($A182&lt;=IF(Calc!$C$36=999,360,Calc!$C$36),Calc!$C$17=1),CHOOSE(Calc!$C$3,INDEX('Snowball Engine'!$AH184:$AV184,Calc!$I$17),INDEX('Avalanche Engine'!$AH184:$AV184,Calc!$J$17),INDEX('My Order Engine'!$AH184:$AV184,Calc!$K$17)),"")</f>
        <v/>
      </c>
      <c r="O182" s="25" t="str">
        <f>IF(AND($A182&lt;=IF(Calc!$C$36=999,360,Calc!$C$36),Calc!$C$18=1),CHOOSE(Calc!$C$3,INDEX('Snowball Engine'!$AH184:$AV184,Calc!$I$18),INDEX('Avalanche Engine'!$AH184:$AV184,Calc!$J$18),INDEX('My Order Engine'!$AH184:$AV184,Calc!$K$18)),"")</f>
        <v/>
      </c>
      <c r="P182" s="25" t="str">
        <f>IF(AND($A182&lt;=IF(Calc!$C$36=999,360,Calc!$C$36),Calc!$C$19=1),CHOOSE(Calc!$C$3,INDEX('Snowball Engine'!$AH184:$AV184,Calc!$I$19),INDEX('Avalanche Engine'!$AH184:$AV184,Calc!$J$19),INDEX('My Order Engine'!$AH184:$AV184,Calc!$K$19)),"")</f>
        <v/>
      </c>
      <c r="Q182" s="25" t="str">
        <f>IF(AND($A182&lt;=IF(Calc!$C$36=999,360,Calc!$C$36),Calc!$C$20=1),CHOOSE(Calc!$C$3,INDEX('Snowball Engine'!$AH184:$AV184,Calc!$I$20),INDEX('Avalanche Engine'!$AH184:$AV184,Calc!$J$20),INDEX('My Order Engine'!$AH184:$AV184,Calc!$K$20)),"")</f>
        <v/>
      </c>
      <c r="R182" s="25" t="str">
        <f>IF(AND($A182&lt;=IF(Calc!$C$36=999,360,Calc!$C$36),Calc!$C$21=1),CHOOSE(Calc!$C$3,INDEX('Snowball Engine'!$AH184:$AV184,Calc!$I$21),INDEX('Avalanche Engine'!$AH184:$AV184,Calc!$J$21),INDEX('My Order Engine'!$AH184:$AV184,Calc!$K$21)),"")</f>
        <v/>
      </c>
      <c r="S182" s="25" t="str">
        <f>IF(AND($A182&lt;=IF(Calc!$C$36=999,360,Calc!$C$36),Calc!$C$22=1),CHOOSE(Calc!$C$3,INDEX('Snowball Engine'!$AH184:$AV184,Calc!$I$22),INDEX('Avalanche Engine'!$AH184:$AV184,Calc!$J$22),INDEX('My Order Engine'!$AH184:$AV184,Calc!$K$22)),"")</f>
        <v/>
      </c>
      <c r="T182" s="25" t="str">
        <f>IF(AND($A182&lt;=IF(Calc!$C$36=999,360,Calc!$C$36),Calc!$C$23=1),CHOOSE(Calc!$C$3,INDEX('Snowball Engine'!$AH184:$AV184,Calc!$I$23),INDEX('Avalanche Engine'!$AH184:$AV184,Calc!$J$23),INDEX('My Order Engine'!$AH184:$AV184,Calc!$K$23)),"")</f>
        <v/>
      </c>
      <c r="U182" s="25" t="str">
        <f>IF(AND($A182&lt;=IF(Calc!$C$36=999,360,Calc!$C$36),Calc!$C$24=1),CHOOSE(Calc!$C$3,INDEX('Snowball Engine'!$AH184:$AV184,Calc!$I$24),INDEX('Avalanche Engine'!$AH184:$AV184,Calc!$J$24),INDEX('My Order Engine'!$AH184:$AV184,Calc!$K$24)),"")</f>
        <v/>
      </c>
    </row>
    <row r="183" spans="1:21" x14ac:dyDescent="0.35">
      <c r="A183" s="23">
        <v>179</v>
      </c>
      <c r="B183" s="24" t="str">
        <f>IF($A183&lt;=IF(Calc!$C$36=999,360,Calc!$C$36),EDATE(Calc!$C$5,A183-1),"")</f>
        <v/>
      </c>
      <c r="C183" s="25" t="str">
        <f>IF($A183&lt;=IF(Calc!$C$36=999,360,Calc!$C$36),CHOOSE(Calc!$C$3,'Snowball Engine'!AY185,'Avalanche Engine'!AY185,'My Order Engine'!AY185),"")</f>
        <v/>
      </c>
      <c r="D183" s="25" t="str">
        <f>IF($A183&lt;=IF(Calc!$C$36=999,360,Calc!$C$36),CHOOSE(Calc!$C$3,'Snowball Engine'!AX185,'Avalanche Engine'!AX185,'My Order Engine'!AX185),"")</f>
        <v/>
      </c>
      <c r="E183" s="25" t="str">
        <f>IF($A183&lt;=IF(Calc!$C$36=999,360,Calc!$C$36),C183-D183,"")</f>
        <v/>
      </c>
      <c r="F183" s="25" t="str">
        <f>IF($A183&lt;=IF(Calc!$C$36=999,360,Calc!$C$36),CHOOSE(Calc!$C$3,'Snowball Engine'!AW185,'Avalanche Engine'!AW185,'My Order Engine'!AW185),"")</f>
        <v/>
      </c>
      <c r="G183" s="25" t="str">
        <f>IF(AND($A183&lt;=IF(Calc!$C$36=999,360,Calc!$C$36),Calc!$C$10=1),CHOOSE(Calc!$C$3,INDEX('Snowball Engine'!$AH185:$AV185,Calc!$I$10),INDEX('Avalanche Engine'!$AH185:$AV185,Calc!$J$10),INDEX('My Order Engine'!$AH185:$AV185,Calc!$K$10)),"")</f>
        <v/>
      </c>
      <c r="H183" s="25" t="str">
        <f>IF(AND($A183&lt;=IF(Calc!$C$36=999,360,Calc!$C$36),Calc!$C$11=1),CHOOSE(Calc!$C$3,INDEX('Snowball Engine'!$AH185:$AV185,Calc!$I$11),INDEX('Avalanche Engine'!$AH185:$AV185,Calc!$J$11),INDEX('My Order Engine'!$AH185:$AV185,Calc!$K$11)),"")</f>
        <v/>
      </c>
      <c r="I183" s="25" t="str">
        <f>IF(AND($A183&lt;=IF(Calc!$C$36=999,360,Calc!$C$36),Calc!$C$12=1),CHOOSE(Calc!$C$3,INDEX('Snowball Engine'!$AH185:$AV185,Calc!$I$12),INDEX('Avalanche Engine'!$AH185:$AV185,Calc!$J$12),INDEX('My Order Engine'!$AH185:$AV185,Calc!$K$12)),"")</f>
        <v/>
      </c>
      <c r="J183" s="25" t="str">
        <f>IF(AND($A183&lt;=IF(Calc!$C$36=999,360,Calc!$C$36),Calc!$C$13=1),CHOOSE(Calc!$C$3,INDEX('Snowball Engine'!$AH185:$AV185,Calc!$I$13),INDEX('Avalanche Engine'!$AH185:$AV185,Calc!$J$13),INDEX('My Order Engine'!$AH185:$AV185,Calc!$K$13)),"")</f>
        <v/>
      </c>
      <c r="K183" s="25" t="str">
        <f>IF(AND($A183&lt;=IF(Calc!$C$36=999,360,Calc!$C$36),Calc!$C$14=1),CHOOSE(Calc!$C$3,INDEX('Snowball Engine'!$AH185:$AV185,Calc!$I$14),INDEX('Avalanche Engine'!$AH185:$AV185,Calc!$J$14),INDEX('My Order Engine'!$AH185:$AV185,Calc!$K$14)),"")</f>
        <v/>
      </c>
      <c r="L183" s="25" t="str">
        <f>IF(AND($A183&lt;=IF(Calc!$C$36=999,360,Calc!$C$36),Calc!$C$15=1),CHOOSE(Calc!$C$3,INDEX('Snowball Engine'!$AH185:$AV185,Calc!$I$15),INDEX('Avalanche Engine'!$AH185:$AV185,Calc!$J$15),INDEX('My Order Engine'!$AH185:$AV185,Calc!$K$15)),"")</f>
        <v/>
      </c>
      <c r="M183" s="25" t="str">
        <f>IF(AND($A183&lt;=IF(Calc!$C$36=999,360,Calc!$C$36),Calc!$C$16=1),CHOOSE(Calc!$C$3,INDEX('Snowball Engine'!$AH185:$AV185,Calc!$I$16),INDEX('Avalanche Engine'!$AH185:$AV185,Calc!$J$16),INDEX('My Order Engine'!$AH185:$AV185,Calc!$K$16)),"")</f>
        <v/>
      </c>
      <c r="N183" s="25" t="str">
        <f>IF(AND($A183&lt;=IF(Calc!$C$36=999,360,Calc!$C$36),Calc!$C$17=1),CHOOSE(Calc!$C$3,INDEX('Snowball Engine'!$AH185:$AV185,Calc!$I$17),INDEX('Avalanche Engine'!$AH185:$AV185,Calc!$J$17),INDEX('My Order Engine'!$AH185:$AV185,Calc!$K$17)),"")</f>
        <v/>
      </c>
      <c r="O183" s="25" t="str">
        <f>IF(AND($A183&lt;=IF(Calc!$C$36=999,360,Calc!$C$36),Calc!$C$18=1),CHOOSE(Calc!$C$3,INDEX('Snowball Engine'!$AH185:$AV185,Calc!$I$18),INDEX('Avalanche Engine'!$AH185:$AV185,Calc!$J$18),INDEX('My Order Engine'!$AH185:$AV185,Calc!$K$18)),"")</f>
        <v/>
      </c>
      <c r="P183" s="25" t="str">
        <f>IF(AND($A183&lt;=IF(Calc!$C$36=999,360,Calc!$C$36),Calc!$C$19=1),CHOOSE(Calc!$C$3,INDEX('Snowball Engine'!$AH185:$AV185,Calc!$I$19),INDEX('Avalanche Engine'!$AH185:$AV185,Calc!$J$19),INDEX('My Order Engine'!$AH185:$AV185,Calc!$K$19)),"")</f>
        <v/>
      </c>
      <c r="Q183" s="25" t="str">
        <f>IF(AND($A183&lt;=IF(Calc!$C$36=999,360,Calc!$C$36),Calc!$C$20=1),CHOOSE(Calc!$C$3,INDEX('Snowball Engine'!$AH185:$AV185,Calc!$I$20),INDEX('Avalanche Engine'!$AH185:$AV185,Calc!$J$20),INDEX('My Order Engine'!$AH185:$AV185,Calc!$K$20)),"")</f>
        <v/>
      </c>
      <c r="R183" s="25" t="str">
        <f>IF(AND($A183&lt;=IF(Calc!$C$36=999,360,Calc!$C$36),Calc!$C$21=1),CHOOSE(Calc!$C$3,INDEX('Snowball Engine'!$AH185:$AV185,Calc!$I$21),INDEX('Avalanche Engine'!$AH185:$AV185,Calc!$J$21),INDEX('My Order Engine'!$AH185:$AV185,Calc!$K$21)),"")</f>
        <v/>
      </c>
      <c r="S183" s="25" t="str">
        <f>IF(AND($A183&lt;=IF(Calc!$C$36=999,360,Calc!$C$36),Calc!$C$22=1),CHOOSE(Calc!$C$3,INDEX('Snowball Engine'!$AH185:$AV185,Calc!$I$22),INDEX('Avalanche Engine'!$AH185:$AV185,Calc!$J$22),INDEX('My Order Engine'!$AH185:$AV185,Calc!$K$22)),"")</f>
        <v/>
      </c>
      <c r="T183" s="25" t="str">
        <f>IF(AND($A183&lt;=IF(Calc!$C$36=999,360,Calc!$C$36),Calc!$C$23=1),CHOOSE(Calc!$C$3,INDEX('Snowball Engine'!$AH185:$AV185,Calc!$I$23),INDEX('Avalanche Engine'!$AH185:$AV185,Calc!$J$23),INDEX('My Order Engine'!$AH185:$AV185,Calc!$K$23)),"")</f>
        <v/>
      </c>
      <c r="U183" s="25" t="str">
        <f>IF(AND($A183&lt;=IF(Calc!$C$36=999,360,Calc!$C$36),Calc!$C$24=1),CHOOSE(Calc!$C$3,INDEX('Snowball Engine'!$AH185:$AV185,Calc!$I$24),INDEX('Avalanche Engine'!$AH185:$AV185,Calc!$J$24),INDEX('My Order Engine'!$AH185:$AV185,Calc!$K$24)),"")</f>
        <v/>
      </c>
    </row>
    <row r="184" spans="1:21" x14ac:dyDescent="0.35">
      <c r="A184" s="23">
        <v>180</v>
      </c>
      <c r="B184" s="24" t="str">
        <f>IF($A184&lt;=IF(Calc!$C$36=999,360,Calc!$C$36),EDATE(Calc!$C$5,A184-1),"")</f>
        <v/>
      </c>
      <c r="C184" s="25" t="str">
        <f>IF($A184&lt;=IF(Calc!$C$36=999,360,Calc!$C$36),CHOOSE(Calc!$C$3,'Snowball Engine'!AY186,'Avalanche Engine'!AY186,'My Order Engine'!AY186),"")</f>
        <v/>
      </c>
      <c r="D184" s="25" t="str">
        <f>IF($A184&lt;=IF(Calc!$C$36=999,360,Calc!$C$36),CHOOSE(Calc!$C$3,'Snowball Engine'!AX186,'Avalanche Engine'!AX186,'My Order Engine'!AX186),"")</f>
        <v/>
      </c>
      <c r="E184" s="25" t="str">
        <f>IF($A184&lt;=IF(Calc!$C$36=999,360,Calc!$C$36),C184-D184,"")</f>
        <v/>
      </c>
      <c r="F184" s="25" t="str">
        <f>IF($A184&lt;=IF(Calc!$C$36=999,360,Calc!$C$36),CHOOSE(Calc!$C$3,'Snowball Engine'!AW186,'Avalanche Engine'!AW186,'My Order Engine'!AW186),"")</f>
        <v/>
      </c>
      <c r="G184" s="25" t="str">
        <f>IF(AND($A184&lt;=IF(Calc!$C$36=999,360,Calc!$C$36),Calc!$C$10=1),CHOOSE(Calc!$C$3,INDEX('Snowball Engine'!$AH186:$AV186,Calc!$I$10),INDEX('Avalanche Engine'!$AH186:$AV186,Calc!$J$10),INDEX('My Order Engine'!$AH186:$AV186,Calc!$K$10)),"")</f>
        <v/>
      </c>
      <c r="H184" s="25" t="str">
        <f>IF(AND($A184&lt;=IF(Calc!$C$36=999,360,Calc!$C$36),Calc!$C$11=1),CHOOSE(Calc!$C$3,INDEX('Snowball Engine'!$AH186:$AV186,Calc!$I$11),INDEX('Avalanche Engine'!$AH186:$AV186,Calc!$J$11),INDEX('My Order Engine'!$AH186:$AV186,Calc!$K$11)),"")</f>
        <v/>
      </c>
      <c r="I184" s="25" t="str">
        <f>IF(AND($A184&lt;=IF(Calc!$C$36=999,360,Calc!$C$36),Calc!$C$12=1),CHOOSE(Calc!$C$3,INDEX('Snowball Engine'!$AH186:$AV186,Calc!$I$12),INDEX('Avalanche Engine'!$AH186:$AV186,Calc!$J$12),INDEX('My Order Engine'!$AH186:$AV186,Calc!$K$12)),"")</f>
        <v/>
      </c>
      <c r="J184" s="25" t="str">
        <f>IF(AND($A184&lt;=IF(Calc!$C$36=999,360,Calc!$C$36),Calc!$C$13=1),CHOOSE(Calc!$C$3,INDEX('Snowball Engine'!$AH186:$AV186,Calc!$I$13),INDEX('Avalanche Engine'!$AH186:$AV186,Calc!$J$13),INDEX('My Order Engine'!$AH186:$AV186,Calc!$K$13)),"")</f>
        <v/>
      </c>
      <c r="K184" s="25" t="str">
        <f>IF(AND($A184&lt;=IF(Calc!$C$36=999,360,Calc!$C$36),Calc!$C$14=1),CHOOSE(Calc!$C$3,INDEX('Snowball Engine'!$AH186:$AV186,Calc!$I$14),INDEX('Avalanche Engine'!$AH186:$AV186,Calc!$J$14),INDEX('My Order Engine'!$AH186:$AV186,Calc!$K$14)),"")</f>
        <v/>
      </c>
      <c r="L184" s="25" t="str">
        <f>IF(AND($A184&lt;=IF(Calc!$C$36=999,360,Calc!$C$36),Calc!$C$15=1),CHOOSE(Calc!$C$3,INDEX('Snowball Engine'!$AH186:$AV186,Calc!$I$15),INDEX('Avalanche Engine'!$AH186:$AV186,Calc!$J$15),INDEX('My Order Engine'!$AH186:$AV186,Calc!$K$15)),"")</f>
        <v/>
      </c>
      <c r="M184" s="25" t="str">
        <f>IF(AND($A184&lt;=IF(Calc!$C$36=999,360,Calc!$C$36),Calc!$C$16=1),CHOOSE(Calc!$C$3,INDEX('Snowball Engine'!$AH186:$AV186,Calc!$I$16),INDEX('Avalanche Engine'!$AH186:$AV186,Calc!$J$16),INDEX('My Order Engine'!$AH186:$AV186,Calc!$K$16)),"")</f>
        <v/>
      </c>
      <c r="N184" s="25" t="str">
        <f>IF(AND($A184&lt;=IF(Calc!$C$36=999,360,Calc!$C$36),Calc!$C$17=1),CHOOSE(Calc!$C$3,INDEX('Snowball Engine'!$AH186:$AV186,Calc!$I$17),INDEX('Avalanche Engine'!$AH186:$AV186,Calc!$J$17),INDEX('My Order Engine'!$AH186:$AV186,Calc!$K$17)),"")</f>
        <v/>
      </c>
      <c r="O184" s="25" t="str">
        <f>IF(AND($A184&lt;=IF(Calc!$C$36=999,360,Calc!$C$36),Calc!$C$18=1),CHOOSE(Calc!$C$3,INDEX('Snowball Engine'!$AH186:$AV186,Calc!$I$18),INDEX('Avalanche Engine'!$AH186:$AV186,Calc!$J$18),INDEX('My Order Engine'!$AH186:$AV186,Calc!$K$18)),"")</f>
        <v/>
      </c>
      <c r="P184" s="25" t="str">
        <f>IF(AND($A184&lt;=IF(Calc!$C$36=999,360,Calc!$C$36),Calc!$C$19=1),CHOOSE(Calc!$C$3,INDEX('Snowball Engine'!$AH186:$AV186,Calc!$I$19),INDEX('Avalanche Engine'!$AH186:$AV186,Calc!$J$19),INDEX('My Order Engine'!$AH186:$AV186,Calc!$K$19)),"")</f>
        <v/>
      </c>
      <c r="Q184" s="25" t="str">
        <f>IF(AND($A184&lt;=IF(Calc!$C$36=999,360,Calc!$C$36),Calc!$C$20=1),CHOOSE(Calc!$C$3,INDEX('Snowball Engine'!$AH186:$AV186,Calc!$I$20),INDEX('Avalanche Engine'!$AH186:$AV186,Calc!$J$20),INDEX('My Order Engine'!$AH186:$AV186,Calc!$K$20)),"")</f>
        <v/>
      </c>
      <c r="R184" s="25" t="str">
        <f>IF(AND($A184&lt;=IF(Calc!$C$36=999,360,Calc!$C$36),Calc!$C$21=1),CHOOSE(Calc!$C$3,INDEX('Snowball Engine'!$AH186:$AV186,Calc!$I$21),INDEX('Avalanche Engine'!$AH186:$AV186,Calc!$J$21),INDEX('My Order Engine'!$AH186:$AV186,Calc!$K$21)),"")</f>
        <v/>
      </c>
      <c r="S184" s="25" t="str">
        <f>IF(AND($A184&lt;=IF(Calc!$C$36=999,360,Calc!$C$36),Calc!$C$22=1),CHOOSE(Calc!$C$3,INDEX('Snowball Engine'!$AH186:$AV186,Calc!$I$22),INDEX('Avalanche Engine'!$AH186:$AV186,Calc!$J$22),INDEX('My Order Engine'!$AH186:$AV186,Calc!$K$22)),"")</f>
        <v/>
      </c>
      <c r="T184" s="25" t="str">
        <f>IF(AND($A184&lt;=IF(Calc!$C$36=999,360,Calc!$C$36),Calc!$C$23=1),CHOOSE(Calc!$C$3,INDEX('Snowball Engine'!$AH186:$AV186,Calc!$I$23),INDEX('Avalanche Engine'!$AH186:$AV186,Calc!$J$23),INDEX('My Order Engine'!$AH186:$AV186,Calc!$K$23)),"")</f>
        <v/>
      </c>
      <c r="U184" s="25" t="str">
        <f>IF(AND($A184&lt;=IF(Calc!$C$36=999,360,Calc!$C$36),Calc!$C$24=1),CHOOSE(Calc!$C$3,INDEX('Snowball Engine'!$AH186:$AV186,Calc!$I$24),INDEX('Avalanche Engine'!$AH186:$AV186,Calc!$J$24),INDEX('My Order Engine'!$AH186:$AV186,Calc!$K$24)),"")</f>
        <v/>
      </c>
    </row>
    <row r="185" spans="1:21" x14ac:dyDescent="0.35">
      <c r="A185" s="23">
        <v>181</v>
      </c>
      <c r="B185" s="24" t="str">
        <f>IF($A185&lt;=IF(Calc!$C$36=999,360,Calc!$C$36),EDATE(Calc!$C$5,A185-1),"")</f>
        <v/>
      </c>
      <c r="C185" s="25" t="str">
        <f>IF($A185&lt;=IF(Calc!$C$36=999,360,Calc!$C$36),CHOOSE(Calc!$C$3,'Snowball Engine'!AY187,'Avalanche Engine'!AY187,'My Order Engine'!AY187),"")</f>
        <v/>
      </c>
      <c r="D185" s="25" t="str">
        <f>IF($A185&lt;=IF(Calc!$C$36=999,360,Calc!$C$36),CHOOSE(Calc!$C$3,'Snowball Engine'!AX187,'Avalanche Engine'!AX187,'My Order Engine'!AX187),"")</f>
        <v/>
      </c>
      <c r="E185" s="25" t="str">
        <f>IF($A185&lt;=IF(Calc!$C$36=999,360,Calc!$C$36),C185-D185,"")</f>
        <v/>
      </c>
      <c r="F185" s="25" t="str">
        <f>IF($A185&lt;=IF(Calc!$C$36=999,360,Calc!$C$36),CHOOSE(Calc!$C$3,'Snowball Engine'!AW187,'Avalanche Engine'!AW187,'My Order Engine'!AW187),"")</f>
        <v/>
      </c>
      <c r="G185" s="25" t="str">
        <f>IF(AND($A185&lt;=IF(Calc!$C$36=999,360,Calc!$C$36),Calc!$C$10=1),CHOOSE(Calc!$C$3,INDEX('Snowball Engine'!$AH187:$AV187,Calc!$I$10),INDEX('Avalanche Engine'!$AH187:$AV187,Calc!$J$10),INDEX('My Order Engine'!$AH187:$AV187,Calc!$K$10)),"")</f>
        <v/>
      </c>
      <c r="H185" s="25" t="str">
        <f>IF(AND($A185&lt;=IF(Calc!$C$36=999,360,Calc!$C$36),Calc!$C$11=1),CHOOSE(Calc!$C$3,INDEX('Snowball Engine'!$AH187:$AV187,Calc!$I$11),INDEX('Avalanche Engine'!$AH187:$AV187,Calc!$J$11),INDEX('My Order Engine'!$AH187:$AV187,Calc!$K$11)),"")</f>
        <v/>
      </c>
      <c r="I185" s="25" t="str">
        <f>IF(AND($A185&lt;=IF(Calc!$C$36=999,360,Calc!$C$36),Calc!$C$12=1),CHOOSE(Calc!$C$3,INDEX('Snowball Engine'!$AH187:$AV187,Calc!$I$12),INDEX('Avalanche Engine'!$AH187:$AV187,Calc!$J$12),INDEX('My Order Engine'!$AH187:$AV187,Calc!$K$12)),"")</f>
        <v/>
      </c>
      <c r="J185" s="25" t="str">
        <f>IF(AND($A185&lt;=IF(Calc!$C$36=999,360,Calc!$C$36),Calc!$C$13=1),CHOOSE(Calc!$C$3,INDEX('Snowball Engine'!$AH187:$AV187,Calc!$I$13),INDEX('Avalanche Engine'!$AH187:$AV187,Calc!$J$13),INDEX('My Order Engine'!$AH187:$AV187,Calc!$K$13)),"")</f>
        <v/>
      </c>
      <c r="K185" s="25" t="str">
        <f>IF(AND($A185&lt;=IF(Calc!$C$36=999,360,Calc!$C$36),Calc!$C$14=1),CHOOSE(Calc!$C$3,INDEX('Snowball Engine'!$AH187:$AV187,Calc!$I$14),INDEX('Avalanche Engine'!$AH187:$AV187,Calc!$J$14),INDEX('My Order Engine'!$AH187:$AV187,Calc!$K$14)),"")</f>
        <v/>
      </c>
      <c r="L185" s="25" t="str">
        <f>IF(AND($A185&lt;=IF(Calc!$C$36=999,360,Calc!$C$36),Calc!$C$15=1),CHOOSE(Calc!$C$3,INDEX('Snowball Engine'!$AH187:$AV187,Calc!$I$15),INDEX('Avalanche Engine'!$AH187:$AV187,Calc!$J$15),INDEX('My Order Engine'!$AH187:$AV187,Calc!$K$15)),"")</f>
        <v/>
      </c>
      <c r="M185" s="25" t="str">
        <f>IF(AND($A185&lt;=IF(Calc!$C$36=999,360,Calc!$C$36),Calc!$C$16=1),CHOOSE(Calc!$C$3,INDEX('Snowball Engine'!$AH187:$AV187,Calc!$I$16),INDEX('Avalanche Engine'!$AH187:$AV187,Calc!$J$16),INDEX('My Order Engine'!$AH187:$AV187,Calc!$K$16)),"")</f>
        <v/>
      </c>
      <c r="N185" s="25" t="str">
        <f>IF(AND($A185&lt;=IF(Calc!$C$36=999,360,Calc!$C$36),Calc!$C$17=1),CHOOSE(Calc!$C$3,INDEX('Snowball Engine'!$AH187:$AV187,Calc!$I$17),INDEX('Avalanche Engine'!$AH187:$AV187,Calc!$J$17),INDEX('My Order Engine'!$AH187:$AV187,Calc!$K$17)),"")</f>
        <v/>
      </c>
      <c r="O185" s="25" t="str">
        <f>IF(AND($A185&lt;=IF(Calc!$C$36=999,360,Calc!$C$36),Calc!$C$18=1),CHOOSE(Calc!$C$3,INDEX('Snowball Engine'!$AH187:$AV187,Calc!$I$18),INDEX('Avalanche Engine'!$AH187:$AV187,Calc!$J$18),INDEX('My Order Engine'!$AH187:$AV187,Calc!$K$18)),"")</f>
        <v/>
      </c>
      <c r="P185" s="25" t="str">
        <f>IF(AND($A185&lt;=IF(Calc!$C$36=999,360,Calc!$C$36),Calc!$C$19=1),CHOOSE(Calc!$C$3,INDEX('Snowball Engine'!$AH187:$AV187,Calc!$I$19),INDEX('Avalanche Engine'!$AH187:$AV187,Calc!$J$19),INDEX('My Order Engine'!$AH187:$AV187,Calc!$K$19)),"")</f>
        <v/>
      </c>
      <c r="Q185" s="25" t="str">
        <f>IF(AND($A185&lt;=IF(Calc!$C$36=999,360,Calc!$C$36),Calc!$C$20=1),CHOOSE(Calc!$C$3,INDEX('Snowball Engine'!$AH187:$AV187,Calc!$I$20),INDEX('Avalanche Engine'!$AH187:$AV187,Calc!$J$20),INDEX('My Order Engine'!$AH187:$AV187,Calc!$K$20)),"")</f>
        <v/>
      </c>
      <c r="R185" s="25" t="str">
        <f>IF(AND($A185&lt;=IF(Calc!$C$36=999,360,Calc!$C$36),Calc!$C$21=1),CHOOSE(Calc!$C$3,INDEX('Snowball Engine'!$AH187:$AV187,Calc!$I$21),INDEX('Avalanche Engine'!$AH187:$AV187,Calc!$J$21),INDEX('My Order Engine'!$AH187:$AV187,Calc!$K$21)),"")</f>
        <v/>
      </c>
      <c r="S185" s="25" t="str">
        <f>IF(AND($A185&lt;=IF(Calc!$C$36=999,360,Calc!$C$36),Calc!$C$22=1),CHOOSE(Calc!$C$3,INDEX('Snowball Engine'!$AH187:$AV187,Calc!$I$22),INDEX('Avalanche Engine'!$AH187:$AV187,Calc!$J$22),INDEX('My Order Engine'!$AH187:$AV187,Calc!$K$22)),"")</f>
        <v/>
      </c>
      <c r="T185" s="25" t="str">
        <f>IF(AND($A185&lt;=IF(Calc!$C$36=999,360,Calc!$C$36),Calc!$C$23=1),CHOOSE(Calc!$C$3,INDEX('Snowball Engine'!$AH187:$AV187,Calc!$I$23),INDEX('Avalanche Engine'!$AH187:$AV187,Calc!$J$23),INDEX('My Order Engine'!$AH187:$AV187,Calc!$K$23)),"")</f>
        <v/>
      </c>
      <c r="U185" s="25" t="str">
        <f>IF(AND($A185&lt;=IF(Calc!$C$36=999,360,Calc!$C$36),Calc!$C$24=1),CHOOSE(Calc!$C$3,INDEX('Snowball Engine'!$AH187:$AV187,Calc!$I$24),INDEX('Avalanche Engine'!$AH187:$AV187,Calc!$J$24),INDEX('My Order Engine'!$AH187:$AV187,Calc!$K$24)),"")</f>
        <v/>
      </c>
    </row>
    <row r="186" spans="1:21" x14ac:dyDescent="0.35">
      <c r="A186" s="23">
        <v>182</v>
      </c>
      <c r="B186" s="24" t="str">
        <f>IF($A186&lt;=IF(Calc!$C$36=999,360,Calc!$C$36),EDATE(Calc!$C$5,A186-1),"")</f>
        <v/>
      </c>
      <c r="C186" s="25" t="str">
        <f>IF($A186&lt;=IF(Calc!$C$36=999,360,Calc!$C$36),CHOOSE(Calc!$C$3,'Snowball Engine'!AY188,'Avalanche Engine'!AY188,'My Order Engine'!AY188),"")</f>
        <v/>
      </c>
      <c r="D186" s="25" t="str">
        <f>IF($A186&lt;=IF(Calc!$C$36=999,360,Calc!$C$36),CHOOSE(Calc!$C$3,'Snowball Engine'!AX188,'Avalanche Engine'!AX188,'My Order Engine'!AX188),"")</f>
        <v/>
      </c>
      <c r="E186" s="25" t="str">
        <f>IF($A186&lt;=IF(Calc!$C$36=999,360,Calc!$C$36),C186-D186,"")</f>
        <v/>
      </c>
      <c r="F186" s="25" t="str">
        <f>IF($A186&lt;=IF(Calc!$C$36=999,360,Calc!$C$36),CHOOSE(Calc!$C$3,'Snowball Engine'!AW188,'Avalanche Engine'!AW188,'My Order Engine'!AW188),"")</f>
        <v/>
      </c>
      <c r="G186" s="25" t="str">
        <f>IF(AND($A186&lt;=IF(Calc!$C$36=999,360,Calc!$C$36),Calc!$C$10=1),CHOOSE(Calc!$C$3,INDEX('Snowball Engine'!$AH188:$AV188,Calc!$I$10),INDEX('Avalanche Engine'!$AH188:$AV188,Calc!$J$10),INDEX('My Order Engine'!$AH188:$AV188,Calc!$K$10)),"")</f>
        <v/>
      </c>
      <c r="H186" s="25" t="str">
        <f>IF(AND($A186&lt;=IF(Calc!$C$36=999,360,Calc!$C$36),Calc!$C$11=1),CHOOSE(Calc!$C$3,INDEX('Snowball Engine'!$AH188:$AV188,Calc!$I$11),INDEX('Avalanche Engine'!$AH188:$AV188,Calc!$J$11),INDEX('My Order Engine'!$AH188:$AV188,Calc!$K$11)),"")</f>
        <v/>
      </c>
      <c r="I186" s="25" t="str">
        <f>IF(AND($A186&lt;=IF(Calc!$C$36=999,360,Calc!$C$36),Calc!$C$12=1),CHOOSE(Calc!$C$3,INDEX('Snowball Engine'!$AH188:$AV188,Calc!$I$12),INDEX('Avalanche Engine'!$AH188:$AV188,Calc!$J$12),INDEX('My Order Engine'!$AH188:$AV188,Calc!$K$12)),"")</f>
        <v/>
      </c>
      <c r="J186" s="25" t="str">
        <f>IF(AND($A186&lt;=IF(Calc!$C$36=999,360,Calc!$C$36),Calc!$C$13=1),CHOOSE(Calc!$C$3,INDEX('Snowball Engine'!$AH188:$AV188,Calc!$I$13),INDEX('Avalanche Engine'!$AH188:$AV188,Calc!$J$13),INDEX('My Order Engine'!$AH188:$AV188,Calc!$K$13)),"")</f>
        <v/>
      </c>
      <c r="K186" s="25" t="str">
        <f>IF(AND($A186&lt;=IF(Calc!$C$36=999,360,Calc!$C$36),Calc!$C$14=1),CHOOSE(Calc!$C$3,INDEX('Snowball Engine'!$AH188:$AV188,Calc!$I$14),INDEX('Avalanche Engine'!$AH188:$AV188,Calc!$J$14),INDEX('My Order Engine'!$AH188:$AV188,Calc!$K$14)),"")</f>
        <v/>
      </c>
      <c r="L186" s="25" t="str">
        <f>IF(AND($A186&lt;=IF(Calc!$C$36=999,360,Calc!$C$36),Calc!$C$15=1),CHOOSE(Calc!$C$3,INDEX('Snowball Engine'!$AH188:$AV188,Calc!$I$15),INDEX('Avalanche Engine'!$AH188:$AV188,Calc!$J$15),INDEX('My Order Engine'!$AH188:$AV188,Calc!$K$15)),"")</f>
        <v/>
      </c>
      <c r="M186" s="25" t="str">
        <f>IF(AND($A186&lt;=IF(Calc!$C$36=999,360,Calc!$C$36),Calc!$C$16=1),CHOOSE(Calc!$C$3,INDEX('Snowball Engine'!$AH188:$AV188,Calc!$I$16),INDEX('Avalanche Engine'!$AH188:$AV188,Calc!$J$16),INDEX('My Order Engine'!$AH188:$AV188,Calc!$K$16)),"")</f>
        <v/>
      </c>
      <c r="N186" s="25" t="str">
        <f>IF(AND($A186&lt;=IF(Calc!$C$36=999,360,Calc!$C$36),Calc!$C$17=1),CHOOSE(Calc!$C$3,INDEX('Snowball Engine'!$AH188:$AV188,Calc!$I$17),INDEX('Avalanche Engine'!$AH188:$AV188,Calc!$J$17),INDEX('My Order Engine'!$AH188:$AV188,Calc!$K$17)),"")</f>
        <v/>
      </c>
      <c r="O186" s="25" t="str">
        <f>IF(AND($A186&lt;=IF(Calc!$C$36=999,360,Calc!$C$36),Calc!$C$18=1),CHOOSE(Calc!$C$3,INDEX('Snowball Engine'!$AH188:$AV188,Calc!$I$18),INDEX('Avalanche Engine'!$AH188:$AV188,Calc!$J$18),INDEX('My Order Engine'!$AH188:$AV188,Calc!$K$18)),"")</f>
        <v/>
      </c>
      <c r="P186" s="25" t="str">
        <f>IF(AND($A186&lt;=IF(Calc!$C$36=999,360,Calc!$C$36),Calc!$C$19=1),CHOOSE(Calc!$C$3,INDEX('Snowball Engine'!$AH188:$AV188,Calc!$I$19),INDEX('Avalanche Engine'!$AH188:$AV188,Calc!$J$19),INDEX('My Order Engine'!$AH188:$AV188,Calc!$K$19)),"")</f>
        <v/>
      </c>
      <c r="Q186" s="25" t="str">
        <f>IF(AND($A186&lt;=IF(Calc!$C$36=999,360,Calc!$C$36),Calc!$C$20=1),CHOOSE(Calc!$C$3,INDEX('Snowball Engine'!$AH188:$AV188,Calc!$I$20),INDEX('Avalanche Engine'!$AH188:$AV188,Calc!$J$20),INDEX('My Order Engine'!$AH188:$AV188,Calc!$K$20)),"")</f>
        <v/>
      </c>
      <c r="R186" s="25" t="str">
        <f>IF(AND($A186&lt;=IF(Calc!$C$36=999,360,Calc!$C$36),Calc!$C$21=1),CHOOSE(Calc!$C$3,INDEX('Snowball Engine'!$AH188:$AV188,Calc!$I$21),INDEX('Avalanche Engine'!$AH188:$AV188,Calc!$J$21),INDEX('My Order Engine'!$AH188:$AV188,Calc!$K$21)),"")</f>
        <v/>
      </c>
      <c r="S186" s="25" t="str">
        <f>IF(AND($A186&lt;=IF(Calc!$C$36=999,360,Calc!$C$36),Calc!$C$22=1),CHOOSE(Calc!$C$3,INDEX('Snowball Engine'!$AH188:$AV188,Calc!$I$22),INDEX('Avalanche Engine'!$AH188:$AV188,Calc!$J$22),INDEX('My Order Engine'!$AH188:$AV188,Calc!$K$22)),"")</f>
        <v/>
      </c>
      <c r="T186" s="25" t="str">
        <f>IF(AND($A186&lt;=IF(Calc!$C$36=999,360,Calc!$C$36),Calc!$C$23=1),CHOOSE(Calc!$C$3,INDEX('Snowball Engine'!$AH188:$AV188,Calc!$I$23),INDEX('Avalanche Engine'!$AH188:$AV188,Calc!$J$23),INDEX('My Order Engine'!$AH188:$AV188,Calc!$K$23)),"")</f>
        <v/>
      </c>
      <c r="U186" s="25" t="str">
        <f>IF(AND($A186&lt;=IF(Calc!$C$36=999,360,Calc!$C$36),Calc!$C$24=1),CHOOSE(Calc!$C$3,INDEX('Snowball Engine'!$AH188:$AV188,Calc!$I$24),INDEX('Avalanche Engine'!$AH188:$AV188,Calc!$J$24),INDEX('My Order Engine'!$AH188:$AV188,Calc!$K$24)),"")</f>
        <v/>
      </c>
    </row>
    <row r="187" spans="1:21" x14ac:dyDescent="0.35">
      <c r="A187" s="23">
        <v>183</v>
      </c>
      <c r="B187" s="24" t="str">
        <f>IF($A187&lt;=IF(Calc!$C$36=999,360,Calc!$C$36),EDATE(Calc!$C$5,A187-1),"")</f>
        <v/>
      </c>
      <c r="C187" s="25" t="str">
        <f>IF($A187&lt;=IF(Calc!$C$36=999,360,Calc!$C$36),CHOOSE(Calc!$C$3,'Snowball Engine'!AY189,'Avalanche Engine'!AY189,'My Order Engine'!AY189),"")</f>
        <v/>
      </c>
      <c r="D187" s="25" t="str">
        <f>IF($A187&lt;=IF(Calc!$C$36=999,360,Calc!$C$36),CHOOSE(Calc!$C$3,'Snowball Engine'!AX189,'Avalanche Engine'!AX189,'My Order Engine'!AX189),"")</f>
        <v/>
      </c>
      <c r="E187" s="25" t="str">
        <f>IF($A187&lt;=IF(Calc!$C$36=999,360,Calc!$C$36),C187-D187,"")</f>
        <v/>
      </c>
      <c r="F187" s="25" t="str">
        <f>IF($A187&lt;=IF(Calc!$C$36=999,360,Calc!$C$36),CHOOSE(Calc!$C$3,'Snowball Engine'!AW189,'Avalanche Engine'!AW189,'My Order Engine'!AW189),"")</f>
        <v/>
      </c>
      <c r="G187" s="25" t="str">
        <f>IF(AND($A187&lt;=IF(Calc!$C$36=999,360,Calc!$C$36),Calc!$C$10=1),CHOOSE(Calc!$C$3,INDEX('Snowball Engine'!$AH189:$AV189,Calc!$I$10),INDEX('Avalanche Engine'!$AH189:$AV189,Calc!$J$10),INDEX('My Order Engine'!$AH189:$AV189,Calc!$K$10)),"")</f>
        <v/>
      </c>
      <c r="H187" s="25" t="str">
        <f>IF(AND($A187&lt;=IF(Calc!$C$36=999,360,Calc!$C$36),Calc!$C$11=1),CHOOSE(Calc!$C$3,INDEX('Snowball Engine'!$AH189:$AV189,Calc!$I$11),INDEX('Avalanche Engine'!$AH189:$AV189,Calc!$J$11),INDEX('My Order Engine'!$AH189:$AV189,Calc!$K$11)),"")</f>
        <v/>
      </c>
      <c r="I187" s="25" t="str">
        <f>IF(AND($A187&lt;=IF(Calc!$C$36=999,360,Calc!$C$36),Calc!$C$12=1),CHOOSE(Calc!$C$3,INDEX('Snowball Engine'!$AH189:$AV189,Calc!$I$12),INDEX('Avalanche Engine'!$AH189:$AV189,Calc!$J$12),INDEX('My Order Engine'!$AH189:$AV189,Calc!$K$12)),"")</f>
        <v/>
      </c>
      <c r="J187" s="25" t="str">
        <f>IF(AND($A187&lt;=IF(Calc!$C$36=999,360,Calc!$C$36),Calc!$C$13=1),CHOOSE(Calc!$C$3,INDEX('Snowball Engine'!$AH189:$AV189,Calc!$I$13),INDEX('Avalanche Engine'!$AH189:$AV189,Calc!$J$13),INDEX('My Order Engine'!$AH189:$AV189,Calc!$K$13)),"")</f>
        <v/>
      </c>
      <c r="K187" s="25" t="str">
        <f>IF(AND($A187&lt;=IF(Calc!$C$36=999,360,Calc!$C$36),Calc!$C$14=1),CHOOSE(Calc!$C$3,INDEX('Snowball Engine'!$AH189:$AV189,Calc!$I$14),INDEX('Avalanche Engine'!$AH189:$AV189,Calc!$J$14),INDEX('My Order Engine'!$AH189:$AV189,Calc!$K$14)),"")</f>
        <v/>
      </c>
      <c r="L187" s="25" t="str">
        <f>IF(AND($A187&lt;=IF(Calc!$C$36=999,360,Calc!$C$36),Calc!$C$15=1),CHOOSE(Calc!$C$3,INDEX('Snowball Engine'!$AH189:$AV189,Calc!$I$15),INDEX('Avalanche Engine'!$AH189:$AV189,Calc!$J$15),INDEX('My Order Engine'!$AH189:$AV189,Calc!$K$15)),"")</f>
        <v/>
      </c>
      <c r="M187" s="25" t="str">
        <f>IF(AND($A187&lt;=IF(Calc!$C$36=999,360,Calc!$C$36),Calc!$C$16=1),CHOOSE(Calc!$C$3,INDEX('Snowball Engine'!$AH189:$AV189,Calc!$I$16),INDEX('Avalanche Engine'!$AH189:$AV189,Calc!$J$16),INDEX('My Order Engine'!$AH189:$AV189,Calc!$K$16)),"")</f>
        <v/>
      </c>
      <c r="N187" s="25" t="str">
        <f>IF(AND($A187&lt;=IF(Calc!$C$36=999,360,Calc!$C$36),Calc!$C$17=1),CHOOSE(Calc!$C$3,INDEX('Snowball Engine'!$AH189:$AV189,Calc!$I$17),INDEX('Avalanche Engine'!$AH189:$AV189,Calc!$J$17),INDEX('My Order Engine'!$AH189:$AV189,Calc!$K$17)),"")</f>
        <v/>
      </c>
      <c r="O187" s="25" t="str">
        <f>IF(AND($A187&lt;=IF(Calc!$C$36=999,360,Calc!$C$36),Calc!$C$18=1),CHOOSE(Calc!$C$3,INDEX('Snowball Engine'!$AH189:$AV189,Calc!$I$18),INDEX('Avalanche Engine'!$AH189:$AV189,Calc!$J$18),INDEX('My Order Engine'!$AH189:$AV189,Calc!$K$18)),"")</f>
        <v/>
      </c>
      <c r="P187" s="25" t="str">
        <f>IF(AND($A187&lt;=IF(Calc!$C$36=999,360,Calc!$C$36),Calc!$C$19=1),CHOOSE(Calc!$C$3,INDEX('Snowball Engine'!$AH189:$AV189,Calc!$I$19),INDEX('Avalanche Engine'!$AH189:$AV189,Calc!$J$19),INDEX('My Order Engine'!$AH189:$AV189,Calc!$K$19)),"")</f>
        <v/>
      </c>
      <c r="Q187" s="25" t="str">
        <f>IF(AND($A187&lt;=IF(Calc!$C$36=999,360,Calc!$C$36),Calc!$C$20=1),CHOOSE(Calc!$C$3,INDEX('Snowball Engine'!$AH189:$AV189,Calc!$I$20),INDEX('Avalanche Engine'!$AH189:$AV189,Calc!$J$20),INDEX('My Order Engine'!$AH189:$AV189,Calc!$K$20)),"")</f>
        <v/>
      </c>
      <c r="R187" s="25" t="str">
        <f>IF(AND($A187&lt;=IF(Calc!$C$36=999,360,Calc!$C$36),Calc!$C$21=1),CHOOSE(Calc!$C$3,INDEX('Snowball Engine'!$AH189:$AV189,Calc!$I$21),INDEX('Avalanche Engine'!$AH189:$AV189,Calc!$J$21),INDEX('My Order Engine'!$AH189:$AV189,Calc!$K$21)),"")</f>
        <v/>
      </c>
      <c r="S187" s="25" t="str">
        <f>IF(AND($A187&lt;=IF(Calc!$C$36=999,360,Calc!$C$36),Calc!$C$22=1),CHOOSE(Calc!$C$3,INDEX('Snowball Engine'!$AH189:$AV189,Calc!$I$22),INDEX('Avalanche Engine'!$AH189:$AV189,Calc!$J$22),INDEX('My Order Engine'!$AH189:$AV189,Calc!$K$22)),"")</f>
        <v/>
      </c>
      <c r="T187" s="25" t="str">
        <f>IF(AND($A187&lt;=IF(Calc!$C$36=999,360,Calc!$C$36),Calc!$C$23=1),CHOOSE(Calc!$C$3,INDEX('Snowball Engine'!$AH189:$AV189,Calc!$I$23),INDEX('Avalanche Engine'!$AH189:$AV189,Calc!$J$23),INDEX('My Order Engine'!$AH189:$AV189,Calc!$K$23)),"")</f>
        <v/>
      </c>
      <c r="U187" s="25" t="str">
        <f>IF(AND($A187&lt;=IF(Calc!$C$36=999,360,Calc!$C$36),Calc!$C$24=1),CHOOSE(Calc!$C$3,INDEX('Snowball Engine'!$AH189:$AV189,Calc!$I$24),INDEX('Avalanche Engine'!$AH189:$AV189,Calc!$J$24),INDEX('My Order Engine'!$AH189:$AV189,Calc!$K$24)),"")</f>
        <v/>
      </c>
    </row>
    <row r="188" spans="1:21" x14ac:dyDescent="0.35">
      <c r="A188" s="23">
        <v>184</v>
      </c>
      <c r="B188" s="24" t="str">
        <f>IF($A188&lt;=IF(Calc!$C$36=999,360,Calc!$C$36),EDATE(Calc!$C$5,A188-1),"")</f>
        <v/>
      </c>
      <c r="C188" s="25" t="str">
        <f>IF($A188&lt;=IF(Calc!$C$36=999,360,Calc!$C$36),CHOOSE(Calc!$C$3,'Snowball Engine'!AY190,'Avalanche Engine'!AY190,'My Order Engine'!AY190),"")</f>
        <v/>
      </c>
      <c r="D188" s="25" t="str">
        <f>IF($A188&lt;=IF(Calc!$C$36=999,360,Calc!$C$36),CHOOSE(Calc!$C$3,'Snowball Engine'!AX190,'Avalanche Engine'!AX190,'My Order Engine'!AX190),"")</f>
        <v/>
      </c>
      <c r="E188" s="25" t="str">
        <f>IF($A188&lt;=IF(Calc!$C$36=999,360,Calc!$C$36),C188-D188,"")</f>
        <v/>
      </c>
      <c r="F188" s="25" t="str">
        <f>IF($A188&lt;=IF(Calc!$C$36=999,360,Calc!$C$36),CHOOSE(Calc!$C$3,'Snowball Engine'!AW190,'Avalanche Engine'!AW190,'My Order Engine'!AW190),"")</f>
        <v/>
      </c>
      <c r="G188" s="25" t="str">
        <f>IF(AND($A188&lt;=IF(Calc!$C$36=999,360,Calc!$C$36),Calc!$C$10=1),CHOOSE(Calc!$C$3,INDEX('Snowball Engine'!$AH190:$AV190,Calc!$I$10),INDEX('Avalanche Engine'!$AH190:$AV190,Calc!$J$10),INDEX('My Order Engine'!$AH190:$AV190,Calc!$K$10)),"")</f>
        <v/>
      </c>
      <c r="H188" s="25" t="str">
        <f>IF(AND($A188&lt;=IF(Calc!$C$36=999,360,Calc!$C$36),Calc!$C$11=1),CHOOSE(Calc!$C$3,INDEX('Snowball Engine'!$AH190:$AV190,Calc!$I$11),INDEX('Avalanche Engine'!$AH190:$AV190,Calc!$J$11),INDEX('My Order Engine'!$AH190:$AV190,Calc!$K$11)),"")</f>
        <v/>
      </c>
      <c r="I188" s="25" t="str">
        <f>IF(AND($A188&lt;=IF(Calc!$C$36=999,360,Calc!$C$36),Calc!$C$12=1),CHOOSE(Calc!$C$3,INDEX('Snowball Engine'!$AH190:$AV190,Calc!$I$12),INDEX('Avalanche Engine'!$AH190:$AV190,Calc!$J$12),INDEX('My Order Engine'!$AH190:$AV190,Calc!$K$12)),"")</f>
        <v/>
      </c>
      <c r="J188" s="25" t="str">
        <f>IF(AND($A188&lt;=IF(Calc!$C$36=999,360,Calc!$C$36),Calc!$C$13=1),CHOOSE(Calc!$C$3,INDEX('Snowball Engine'!$AH190:$AV190,Calc!$I$13),INDEX('Avalanche Engine'!$AH190:$AV190,Calc!$J$13),INDEX('My Order Engine'!$AH190:$AV190,Calc!$K$13)),"")</f>
        <v/>
      </c>
      <c r="K188" s="25" t="str">
        <f>IF(AND($A188&lt;=IF(Calc!$C$36=999,360,Calc!$C$36),Calc!$C$14=1),CHOOSE(Calc!$C$3,INDEX('Snowball Engine'!$AH190:$AV190,Calc!$I$14),INDEX('Avalanche Engine'!$AH190:$AV190,Calc!$J$14),INDEX('My Order Engine'!$AH190:$AV190,Calc!$K$14)),"")</f>
        <v/>
      </c>
      <c r="L188" s="25" t="str">
        <f>IF(AND($A188&lt;=IF(Calc!$C$36=999,360,Calc!$C$36),Calc!$C$15=1),CHOOSE(Calc!$C$3,INDEX('Snowball Engine'!$AH190:$AV190,Calc!$I$15),INDEX('Avalanche Engine'!$AH190:$AV190,Calc!$J$15),INDEX('My Order Engine'!$AH190:$AV190,Calc!$K$15)),"")</f>
        <v/>
      </c>
      <c r="M188" s="25" t="str">
        <f>IF(AND($A188&lt;=IF(Calc!$C$36=999,360,Calc!$C$36),Calc!$C$16=1),CHOOSE(Calc!$C$3,INDEX('Snowball Engine'!$AH190:$AV190,Calc!$I$16),INDEX('Avalanche Engine'!$AH190:$AV190,Calc!$J$16),INDEX('My Order Engine'!$AH190:$AV190,Calc!$K$16)),"")</f>
        <v/>
      </c>
      <c r="N188" s="25" t="str">
        <f>IF(AND($A188&lt;=IF(Calc!$C$36=999,360,Calc!$C$36),Calc!$C$17=1),CHOOSE(Calc!$C$3,INDEX('Snowball Engine'!$AH190:$AV190,Calc!$I$17),INDEX('Avalanche Engine'!$AH190:$AV190,Calc!$J$17),INDEX('My Order Engine'!$AH190:$AV190,Calc!$K$17)),"")</f>
        <v/>
      </c>
      <c r="O188" s="25" t="str">
        <f>IF(AND($A188&lt;=IF(Calc!$C$36=999,360,Calc!$C$36),Calc!$C$18=1),CHOOSE(Calc!$C$3,INDEX('Snowball Engine'!$AH190:$AV190,Calc!$I$18),INDEX('Avalanche Engine'!$AH190:$AV190,Calc!$J$18),INDEX('My Order Engine'!$AH190:$AV190,Calc!$K$18)),"")</f>
        <v/>
      </c>
      <c r="P188" s="25" t="str">
        <f>IF(AND($A188&lt;=IF(Calc!$C$36=999,360,Calc!$C$36),Calc!$C$19=1),CHOOSE(Calc!$C$3,INDEX('Snowball Engine'!$AH190:$AV190,Calc!$I$19),INDEX('Avalanche Engine'!$AH190:$AV190,Calc!$J$19),INDEX('My Order Engine'!$AH190:$AV190,Calc!$K$19)),"")</f>
        <v/>
      </c>
      <c r="Q188" s="25" t="str">
        <f>IF(AND($A188&lt;=IF(Calc!$C$36=999,360,Calc!$C$36),Calc!$C$20=1),CHOOSE(Calc!$C$3,INDEX('Snowball Engine'!$AH190:$AV190,Calc!$I$20),INDEX('Avalanche Engine'!$AH190:$AV190,Calc!$J$20),INDEX('My Order Engine'!$AH190:$AV190,Calc!$K$20)),"")</f>
        <v/>
      </c>
      <c r="R188" s="25" t="str">
        <f>IF(AND($A188&lt;=IF(Calc!$C$36=999,360,Calc!$C$36),Calc!$C$21=1),CHOOSE(Calc!$C$3,INDEX('Snowball Engine'!$AH190:$AV190,Calc!$I$21),INDEX('Avalanche Engine'!$AH190:$AV190,Calc!$J$21),INDEX('My Order Engine'!$AH190:$AV190,Calc!$K$21)),"")</f>
        <v/>
      </c>
      <c r="S188" s="25" t="str">
        <f>IF(AND($A188&lt;=IF(Calc!$C$36=999,360,Calc!$C$36),Calc!$C$22=1),CHOOSE(Calc!$C$3,INDEX('Snowball Engine'!$AH190:$AV190,Calc!$I$22),INDEX('Avalanche Engine'!$AH190:$AV190,Calc!$J$22),INDEX('My Order Engine'!$AH190:$AV190,Calc!$K$22)),"")</f>
        <v/>
      </c>
      <c r="T188" s="25" t="str">
        <f>IF(AND($A188&lt;=IF(Calc!$C$36=999,360,Calc!$C$36),Calc!$C$23=1),CHOOSE(Calc!$C$3,INDEX('Snowball Engine'!$AH190:$AV190,Calc!$I$23),INDEX('Avalanche Engine'!$AH190:$AV190,Calc!$J$23),INDEX('My Order Engine'!$AH190:$AV190,Calc!$K$23)),"")</f>
        <v/>
      </c>
      <c r="U188" s="25" t="str">
        <f>IF(AND($A188&lt;=IF(Calc!$C$36=999,360,Calc!$C$36),Calc!$C$24=1),CHOOSE(Calc!$C$3,INDEX('Snowball Engine'!$AH190:$AV190,Calc!$I$24),INDEX('Avalanche Engine'!$AH190:$AV190,Calc!$J$24),INDEX('My Order Engine'!$AH190:$AV190,Calc!$K$24)),"")</f>
        <v/>
      </c>
    </row>
    <row r="189" spans="1:21" x14ac:dyDescent="0.35">
      <c r="A189" s="23">
        <v>185</v>
      </c>
      <c r="B189" s="24" t="str">
        <f>IF($A189&lt;=IF(Calc!$C$36=999,360,Calc!$C$36),EDATE(Calc!$C$5,A189-1),"")</f>
        <v/>
      </c>
      <c r="C189" s="25" t="str">
        <f>IF($A189&lt;=IF(Calc!$C$36=999,360,Calc!$C$36),CHOOSE(Calc!$C$3,'Snowball Engine'!AY191,'Avalanche Engine'!AY191,'My Order Engine'!AY191),"")</f>
        <v/>
      </c>
      <c r="D189" s="25" t="str">
        <f>IF($A189&lt;=IF(Calc!$C$36=999,360,Calc!$C$36),CHOOSE(Calc!$C$3,'Snowball Engine'!AX191,'Avalanche Engine'!AX191,'My Order Engine'!AX191),"")</f>
        <v/>
      </c>
      <c r="E189" s="25" t="str">
        <f>IF($A189&lt;=IF(Calc!$C$36=999,360,Calc!$C$36),C189-D189,"")</f>
        <v/>
      </c>
      <c r="F189" s="25" t="str">
        <f>IF($A189&lt;=IF(Calc!$C$36=999,360,Calc!$C$36),CHOOSE(Calc!$C$3,'Snowball Engine'!AW191,'Avalanche Engine'!AW191,'My Order Engine'!AW191),"")</f>
        <v/>
      </c>
      <c r="G189" s="25" t="str">
        <f>IF(AND($A189&lt;=IF(Calc!$C$36=999,360,Calc!$C$36),Calc!$C$10=1),CHOOSE(Calc!$C$3,INDEX('Snowball Engine'!$AH191:$AV191,Calc!$I$10),INDEX('Avalanche Engine'!$AH191:$AV191,Calc!$J$10),INDEX('My Order Engine'!$AH191:$AV191,Calc!$K$10)),"")</f>
        <v/>
      </c>
      <c r="H189" s="25" t="str">
        <f>IF(AND($A189&lt;=IF(Calc!$C$36=999,360,Calc!$C$36),Calc!$C$11=1),CHOOSE(Calc!$C$3,INDEX('Snowball Engine'!$AH191:$AV191,Calc!$I$11),INDEX('Avalanche Engine'!$AH191:$AV191,Calc!$J$11),INDEX('My Order Engine'!$AH191:$AV191,Calc!$K$11)),"")</f>
        <v/>
      </c>
      <c r="I189" s="25" t="str">
        <f>IF(AND($A189&lt;=IF(Calc!$C$36=999,360,Calc!$C$36),Calc!$C$12=1),CHOOSE(Calc!$C$3,INDEX('Snowball Engine'!$AH191:$AV191,Calc!$I$12),INDEX('Avalanche Engine'!$AH191:$AV191,Calc!$J$12),INDEX('My Order Engine'!$AH191:$AV191,Calc!$K$12)),"")</f>
        <v/>
      </c>
      <c r="J189" s="25" t="str">
        <f>IF(AND($A189&lt;=IF(Calc!$C$36=999,360,Calc!$C$36),Calc!$C$13=1),CHOOSE(Calc!$C$3,INDEX('Snowball Engine'!$AH191:$AV191,Calc!$I$13),INDEX('Avalanche Engine'!$AH191:$AV191,Calc!$J$13),INDEX('My Order Engine'!$AH191:$AV191,Calc!$K$13)),"")</f>
        <v/>
      </c>
      <c r="K189" s="25" t="str">
        <f>IF(AND($A189&lt;=IF(Calc!$C$36=999,360,Calc!$C$36),Calc!$C$14=1),CHOOSE(Calc!$C$3,INDEX('Snowball Engine'!$AH191:$AV191,Calc!$I$14),INDEX('Avalanche Engine'!$AH191:$AV191,Calc!$J$14),INDEX('My Order Engine'!$AH191:$AV191,Calc!$K$14)),"")</f>
        <v/>
      </c>
      <c r="L189" s="25" t="str">
        <f>IF(AND($A189&lt;=IF(Calc!$C$36=999,360,Calc!$C$36),Calc!$C$15=1),CHOOSE(Calc!$C$3,INDEX('Snowball Engine'!$AH191:$AV191,Calc!$I$15),INDEX('Avalanche Engine'!$AH191:$AV191,Calc!$J$15),INDEX('My Order Engine'!$AH191:$AV191,Calc!$K$15)),"")</f>
        <v/>
      </c>
      <c r="M189" s="25" t="str">
        <f>IF(AND($A189&lt;=IF(Calc!$C$36=999,360,Calc!$C$36),Calc!$C$16=1),CHOOSE(Calc!$C$3,INDEX('Snowball Engine'!$AH191:$AV191,Calc!$I$16),INDEX('Avalanche Engine'!$AH191:$AV191,Calc!$J$16),INDEX('My Order Engine'!$AH191:$AV191,Calc!$K$16)),"")</f>
        <v/>
      </c>
      <c r="N189" s="25" t="str">
        <f>IF(AND($A189&lt;=IF(Calc!$C$36=999,360,Calc!$C$36),Calc!$C$17=1),CHOOSE(Calc!$C$3,INDEX('Snowball Engine'!$AH191:$AV191,Calc!$I$17),INDEX('Avalanche Engine'!$AH191:$AV191,Calc!$J$17),INDEX('My Order Engine'!$AH191:$AV191,Calc!$K$17)),"")</f>
        <v/>
      </c>
      <c r="O189" s="25" t="str">
        <f>IF(AND($A189&lt;=IF(Calc!$C$36=999,360,Calc!$C$36),Calc!$C$18=1),CHOOSE(Calc!$C$3,INDEX('Snowball Engine'!$AH191:$AV191,Calc!$I$18),INDEX('Avalanche Engine'!$AH191:$AV191,Calc!$J$18),INDEX('My Order Engine'!$AH191:$AV191,Calc!$K$18)),"")</f>
        <v/>
      </c>
      <c r="P189" s="25" t="str">
        <f>IF(AND($A189&lt;=IF(Calc!$C$36=999,360,Calc!$C$36),Calc!$C$19=1),CHOOSE(Calc!$C$3,INDEX('Snowball Engine'!$AH191:$AV191,Calc!$I$19),INDEX('Avalanche Engine'!$AH191:$AV191,Calc!$J$19),INDEX('My Order Engine'!$AH191:$AV191,Calc!$K$19)),"")</f>
        <v/>
      </c>
      <c r="Q189" s="25" t="str">
        <f>IF(AND($A189&lt;=IF(Calc!$C$36=999,360,Calc!$C$36),Calc!$C$20=1),CHOOSE(Calc!$C$3,INDEX('Snowball Engine'!$AH191:$AV191,Calc!$I$20),INDEX('Avalanche Engine'!$AH191:$AV191,Calc!$J$20),INDEX('My Order Engine'!$AH191:$AV191,Calc!$K$20)),"")</f>
        <v/>
      </c>
      <c r="R189" s="25" t="str">
        <f>IF(AND($A189&lt;=IF(Calc!$C$36=999,360,Calc!$C$36),Calc!$C$21=1),CHOOSE(Calc!$C$3,INDEX('Snowball Engine'!$AH191:$AV191,Calc!$I$21),INDEX('Avalanche Engine'!$AH191:$AV191,Calc!$J$21),INDEX('My Order Engine'!$AH191:$AV191,Calc!$K$21)),"")</f>
        <v/>
      </c>
      <c r="S189" s="25" t="str">
        <f>IF(AND($A189&lt;=IF(Calc!$C$36=999,360,Calc!$C$36),Calc!$C$22=1),CHOOSE(Calc!$C$3,INDEX('Snowball Engine'!$AH191:$AV191,Calc!$I$22),INDEX('Avalanche Engine'!$AH191:$AV191,Calc!$J$22),INDEX('My Order Engine'!$AH191:$AV191,Calc!$K$22)),"")</f>
        <v/>
      </c>
      <c r="T189" s="25" t="str">
        <f>IF(AND($A189&lt;=IF(Calc!$C$36=999,360,Calc!$C$36),Calc!$C$23=1),CHOOSE(Calc!$C$3,INDEX('Snowball Engine'!$AH191:$AV191,Calc!$I$23),INDEX('Avalanche Engine'!$AH191:$AV191,Calc!$J$23),INDEX('My Order Engine'!$AH191:$AV191,Calc!$K$23)),"")</f>
        <v/>
      </c>
      <c r="U189" s="25" t="str">
        <f>IF(AND($A189&lt;=IF(Calc!$C$36=999,360,Calc!$C$36),Calc!$C$24=1),CHOOSE(Calc!$C$3,INDEX('Snowball Engine'!$AH191:$AV191,Calc!$I$24),INDEX('Avalanche Engine'!$AH191:$AV191,Calc!$J$24),INDEX('My Order Engine'!$AH191:$AV191,Calc!$K$24)),"")</f>
        <v/>
      </c>
    </row>
    <row r="190" spans="1:21" x14ac:dyDescent="0.35">
      <c r="A190" s="23">
        <v>186</v>
      </c>
      <c r="B190" s="24" t="str">
        <f>IF($A190&lt;=IF(Calc!$C$36=999,360,Calc!$C$36),EDATE(Calc!$C$5,A190-1),"")</f>
        <v/>
      </c>
      <c r="C190" s="25" t="str">
        <f>IF($A190&lt;=IF(Calc!$C$36=999,360,Calc!$C$36),CHOOSE(Calc!$C$3,'Snowball Engine'!AY192,'Avalanche Engine'!AY192,'My Order Engine'!AY192),"")</f>
        <v/>
      </c>
      <c r="D190" s="25" t="str">
        <f>IF($A190&lt;=IF(Calc!$C$36=999,360,Calc!$C$36),CHOOSE(Calc!$C$3,'Snowball Engine'!AX192,'Avalanche Engine'!AX192,'My Order Engine'!AX192),"")</f>
        <v/>
      </c>
      <c r="E190" s="25" t="str">
        <f>IF($A190&lt;=IF(Calc!$C$36=999,360,Calc!$C$36),C190-D190,"")</f>
        <v/>
      </c>
      <c r="F190" s="25" t="str">
        <f>IF($A190&lt;=IF(Calc!$C$36=999,360,Calc!$C$36),CHOOSE(Calc!$C$3,'Snowball Engine'!AW192,'Avalanche Engine'!AW192,'My Order Engine'!AW192),"")</f>
        <v/>
      </c>
      <c r="G190" s="25" t="str">
        <f>IF(AND($A190&lt;=IF(Calc!$C$36=999,360,Calc!$C$36),Calc!$C$10=1),CHOOSE(Calc!$C$3,INDEX('Snowball Engine'!$AH192:$AV192,Calc!$I$10),INDEX('Avalanche Engine'!$AH192:$AV192,Calc!$J$10),INDEX('My Order Engine'!$AH192:$AV192,Calc!$K$10)),"")</f>
        <v/>
      </c>
      <c r="H190" s="25" t="str">
        <f>IF(AND($A190&lt;=IF(Calc!$C$36=999,360,Calc!$C$36),Calc!$C$11=1),CHOOSE(Calc!$C$3,INDEX('Snowball Engine'!$AH192:$AV192,Calc!$I$11),INDEX('Avalanche Engine'!$AH192:$AV192,Calc!$J$11),INDEX('My Order Engine'!$AH192:$AV192,Calc!$K$11)),"")</f>
        <v/>
      </c>
      <c r="I190" s="25" t="str">
        <f>IF(AND($A190&lt;=IF(Calc!$C$36=999,360,Calc!$C$36),Calc!$C$12=1),CHOOSE(Calc!$C$3,INDEX('Snowball Engine'!$AH192:$AV192,Calc!$I$12),INDEX('Avalanche Engine'!$AH192:$AV192,Calc!$J$12),INDEX('My Order Engine'!$AH192:$AV192,Calc!$K$12)),"")</f>
        <v/>
      </c>
      <c r="J190" s="25" t="str">
        <f>IF(AND($A190&lt;=IF(Calc!$C$36=999,360,Calc!$C$36),Calc!$C$13=1),CHOOSE(Calc!$C$3,INDEX('Snowball Engine'!$AH192:$AV192,Calc!$I$13),INDEX('Avalanche Engine'!$AH192:$AV192,Calc!$J$13),INDEX('My Order Engine'!$AH192:$AV192,Calc!$K$13)),"")</f>
        <v/>
      </c>
      <c r="K190" s="25" t="str">
        <f>IF(AND($A190&lt;=IF(Calc!$C$36=999,360,Calc!$C$36),Calc!$C$14=1),CHOOSE(Calc!$C$3,INDEX('Snowball Engine'!$AH192:$AV192,Calc!$I$14),INDEX('Avalanche Engine'!$AH192:$AV192,Calc!$J$14),INDEX('My Order Engine'!$AH192:$AV192,Calc!$K$14)),"")</f>
        <v/>
      </c>
      <c r="L190" s="25" t="str">
        <f>IF(AND($A190&lt;=IF(Calc!$C$36=999,360,Calc!$C$36),Calc!$C$15=1),CHOOSE(Calc!$C$3,INDEX('Snowball Engine'!$AH192:$AV192,Calc!$I$15),INDEX('Avalanche Engine'!$AH192:$AV192,Calc!$J$15),INDEX('My Order Engine'!$AH192:$AV192,Calc!$K$15)),"")</f>
        <v/>
      </c>
      <c r="M190" s="25" t="str">
        <f>IF(AND($A190&lt;=IF(Calc!$C$36=999,360,Calc!$C$36),Calc!$C$16=1),CHOOSE(Calc!$C$3,INDEX('Snowball Engine'!$AH192:$AV192,Calc!$I$16),INDEX('Avalanche Engine'!$AH192:$AV192,Calc!$J$16),INDEX('My Order Engine'!$AH192:$AV192,Calc!$K$16)),"")</f>
        <v/>
      </c>
      <c r="N190" s="25" t="str">
        <f>IF(AND($A190&lt;=IF(Calc!$C$36=999,360,Calc!$C$36),Calc!$C$17=1),CHOOSE(Calc!$C$3,INDEX('Snowball Engine'!$AH192:$AV192,Calc!$I$17),INDEX('Avalanche Engine'!$AH192:$AV192,Calc!$J$17),INDEX('My Order Engine'!$AH192:$AV192,Calc!$K$17)),"")</f>
        <v/>
      </c>
      <c r="O190" s="25" t="str">
        <f>IF(AND($A190&lt;=IF(Calc!$C$36=999,360,Calc!$C$36),Calc!$C$18=1),CHOOSE(Calc!$C$3,INDEX('Snowball Engine'!$AH192:$AV192,Calc!$I$18),INDEX('Avalanche Engine'!$AH192:$AV192,Calc!$J$18),INDEX('My Order Engine'!$AH192:$AV192,Calc!$K$18)),"")</f>
        <v/>
      </c>
      <c r="P190" s="25" t="str">
        <f>IF(AND($A190&lt;=IF(Calc!$C$36=999,360,Calc!$C$36),Calc!$C$19=1),CHOOSE(Calc!$C$3,INDEX('Snowball Engine'!$AH192:$AV192,Calc!$I$19),INDEX('Avalanche Engine'!$AH192:$AV192,Calc!$J$19),INDEX('My Order Engine'!$AH192:$AV192,Calc!$K$19)),"")</f>
        <v/>
      </c>
      <c r="Q190" s="25" t="str">
        <f>IF(AND($A190&lt;=IF(Calc!$C$36=999,360,Calc!$C$36),Calc!$C$20=1),CHOOSE(Calc!$C$3,INDEX('Snowball Engine'!$AH192:$AV192,Calc!$I$20),INDEX('Avalanche Engine'!$AH192:$AV192,Calc!$J$20),INDEX('My Order Engine'!$AH192:$AV192,Calc!$K$20)),"")</f>
        <v/>
      </c>
      <c r="R190" s="25" t="str">
        <f>IF(AND($A190&lt;=IF(Calc!$C$36=999,360,Calc!$C$36),Calc!$C$21=1),CHOOSE(Calc!$C$3,INDEX('Snowball Engine'!$AH192:$AV192,Calc!$I$21),INDEX('Avalanche Engine'!$AH192:$AV192,Calc!$J$21),INDEX('My Order Engine'!$AH192:$AV192,Calc!$K$21)),"")</f>
        <v/>
      </c>
      <c r="S190" s="25" t="str">
        <f>IF(AND($A190&lt;=IF(Calc!$C$36=999,360,Calc!$C$36),Calc!$C$22=1),CHOOSE(Calc!$C$3,INDEX('Snowball Engine'!$AH192:$AV192,Calc!$I$22),INDEX('Avalanche Engine'!$AH192:$AV192,Calc!$J$22),INDEX('My Order Engine'!$AH192:$AV192,Calc!$K$22)),"")</f>
        <v/>
      </c>
      <c r="T190" s="25" t="str">
        <f>IF(AND($A190&lt;=IF(Calc!$C$36=999,360,Calc!$C$36),Calc!$C$23=1),CHOOSE(Calc!$C$3,INDEX('Snowball Engine'!$AH192:$AV192,Calc!$I$23),INDEX('Avalanche Engine'!$AH192:$AV192,Calc!$J$23),INDEX('My Order Engine'!$AH192:$AV192,Calc!$K$23)),"")</f>
        <v/>
      </c>
      <c r="U190" s="25" t="str">
        <f>IF(AND($A190&lt;=IF(Calc!$C$36=999,360,Calc!$C$36),Calc!$C$24=1),CHOOSE(Calc!$C$3,INDEX('Snowball Engine'!$AH192:$AV192,Calc!$I$24),INDEX('Avalanche Engine'!$AH192:$AV192,Calc!$J$24),INDEX('My Order Engine'!$AH192:$AV192,Calc!$K$24)),"")</f>
        <v/>
      </c>
    </row>
    <row r="191" spans="1:21" x14ac:dyDescent="0.35">
      <c r="A191" s="23">
        <v>187</v>
      </c>
      <c r="B191" s="24" t="str">
        <f>IF($A191&lt;=IF(Calc!$C$36=999,360,Calc!$C$36),EDATE(Calc!$C$5,A191-1),"")</f>
        <v/>
      </c>
      <c r="C191" s="25" t="str">
        <f>IF($A191&lt;=IF(Calc!$C$36=999,360,Calc!$C$36),CHOOSE(Calc!$C$3,'Snowball Engine'!AY193,'Avalanche Engine'!AY193,'My Order Engine'!AY193),"")</f>
        <v/>
      </c>
      <c r="D191" s="25" t="str">
        <f>IF($A191&lt;=IF(Calc!$C$36=999,360,Calc!$C$36),CHOOSE(Calc!$C$3,'Snowball Engine'!AX193,'Avalanche Engine'!AX193,'My Order Engine'!AX193),"")</f>
        <v/>
      </c>
      <c r="E191" s="25" t="str">
        <f>IF($A191&lt;=IF(Calc!$C$36=999,360,Calc!$C$36),C191-D191,"")</f>
        <v/>
      </c>
      <c r="F191" s="25" t="str">
        <f>IF($A191&lt;=IF(Calc!$C$36=999,360,Calc!$C$36),CHOOSE(Calc!$C$3,'Snowball Engine'!AW193,'Avalanche Engine'!AW193,'My Order Engine'!AW193),"")</f>
        <v/>
      </c>
      <c r="G191" s="25" t="str">
        <f>IF(AND($A191&lt;=IF(Calc!$C$36=999,360,Calc!$C$36),Calc!$C$10=1),CHOOSE(Calc!$C$3,INDEX('Snowball Engine'!$AH193:$AV193,Calc!$I$10),INDEX('Avalanche Engine'!$AH193:$AV193,Calc!$J$10),INDEX('My Order Engine'!$AH193:$AV193,Calc!$K$10)),"")</f>
        <v/>
      </c>
      <c r="H191" s="25" t="str">
        <f>IF(AND($A191&lt;=IF(Calc!$C$36=999,360,Calc!$C$36),Calc!$C$11=1),CHOOSE(Calc!$C$3,INDEX('Snowball Engine'!$AH193:$AV193,Calc!$I$11),INDEX('Avalanche Engine'!$AH193:$AV193,Calc!$J$11),INDEX('My Order Engine'!$AH193:$AV193,Calc!$K$11)),"")</f>
        <v/>
      </c>
      <c r="I191" s="25" t="str">
        <f>IF(AND($A191&lt;=IF(Calc!$C$36=999,360,Calc!$C$36),Calc!$C$12=1),CHOOSE(Calc!$C$3,INDEX('Snowball Engine'!$AH193:$AV193,Calc!$I$12),INDEX('Avalanche Engine'!$AH193:$AV193,Calc!$J$12),INDEX('My Order Engine'!$AH193:$AV193,Calc!$K$12)),"")</f>
        <v/>
      </c>
      <c r="J191" s="25" t="str">
        <f>IF(AND($A191&lt;=IF(Calc!$C$36=999,360,Calc!$C$36),Calc!$C$13=1),CHOOSE(Calc!$C$3,INDEX('Snowball Engine'!$AH193:$AV193,Calc!$I$13),INDEX('Avalanche Engine'!$AH193:$AV193,Calc!$J$13),INDEX('My Order Engine'!$AH193:$AV193,Calc!$K$13)),"")</f>
        <v/>
      </c>
      <c r="K191" s="25" t="str">
        <f>IF(AND($A191&lt;=IF(Calc!$C$36=999,360,Calc!$C$36),Calc!$C$14=1),CHOOSE(Calc!$C$3,INDEX('Snowball Engine'!$AH193:$AV193,Calc!$I$14),INDEX('Avalanche Engine'!$AH193:$AV193,Calc!$J$14),INDEX('My Order Engine'!$AH193:$AV193,Calc!$K$14)),"")</f>
        <v/>
      </c>
      <c r="L191" s="25" t="str">
        <f>IF(AND($A191&lt;=IF(Calc!$C$36=999,360,Calc!$C$36),Calc!$C$15=1),CHOOSE(Calc!$C$3,INDEX('Snowball Engine'!$AH193:$AV193,Calc!$I$15),INDEX('Avalanche Engine'!$AH193:$AV193,Calc!$J$15),INDEX('My Order Engine'!$AH193:$AV193,Calc!$K$15)),"")</f>
        <v/>
      </c>
      <c r="M191" s="25" t="str">
        <f>IF(AND($A191&lt;=IF(Calc!$C$36=999,360,Calc!$C$36),Calc!$C$16=1),CHOOSE(Calc!$C$3,INDEX('Snowball Engine'!$AH193:$AV193,Calc!$I$16),INDEX('Avalanche Engine'!$AH193:$AV193,Calc!$J$16),INDEX('My Order Engine'!$AH193:$AV193,Calc!$K$16)),"")</f>
        <v/>
      </c>
      <c r="N191" s="25" t="str">
        <f>IF(AND($A191&lt;=IF(Calc!$C$36=999,360,Calc!$C$36),Calc!$C$17=1),CHOOSE(Calc!$C$3,INDEX('Snowball Engine'!$AH193:$AV193,Calc!$I$17),INDEX('Avalanche Engine'!$AH193:$AV193,Calc!$J$17),INDEX('My Order Engine'!$AH193:$AV193,Calc!$K$17)),"")</f>
        <v/>
      </c>
      <c r="O191" s="25" t="str">
        <f>IF(AND($A191&lt;=IF(Calc!$C$36=999,360,Calc!$C$36),Calc!$C$18=1),CHOOSE(Calc!$C$3,INDEX('Snowball Engine'!$AH193:$AV193,Calc!$I$18),INDEX('Avalanche Engine'!$AH193:$AV193,Calc!$J$18),INDEX('My Order Engine'!$AH193:$AV193,Calc!$K$18)),"")</f>
        <v/>
      </c>
      <c r="P191" s="25" t="str">
        <f>IF(AND($A191&lt;=IF(Calc!$C$36=999,360,Calc!$C$36),Calc!$C$19=1),CHOOSE(Calc!$C$3,INDEX('Snowball Engine'!$AH193:$AV193,Calc!$I$19),INDEX('Avalanche Engine'!$AH193:$AV193,Calc!$J$19),INDEX('My Order Engine'!$AH193:$AV193,Calc!$K$19)),"")</f>
        <v/>
      </c>
      <c r="Q191" s="25" t="str">
        <f>IF(AND($A191&lt;=IF(Calc!$C$36=999,360,Calc!$C$36),Calc!$C$20=1),CHOOSE(Calc!$C$3,INDEX('Snowball Engine'!$AH193:$AV193,Calc!$I$20),INDEX('Avalanche Engine'!$AH193:$AV193,Calc!$J$20),INDEX('My Order Engine'!$AH193:$AV193,Calc!$K$20)),"")</f>
        <v/>
      </c>
      <c r="R191" s="25" t="str">
        <f>IF(AND($A191&lt;=IF(Calc!$C$36=999,360,Calc!$C$36),Calc!$C$21=1),CHOOSE(Calc!$C$3,INDEX('Snowball Engine'!$AH193:$AV193,Calc!$I$21),INDEX('Avalanche Engine'!$AH193:$AV193,Calc!$J$21),INDEX('My Order Engine'!$AH193:$AV193,Calc!$K$21)),"")</f>
        <v/>
      </c>
      <c r="S191" s="25" t="str">
        <f>IF(AND($A191&lt;=IF(Calc!$C$36=999,360,Calc!$C$36),Calc!$C$22=1),CHOOSE(Calc!$C$3,INDEX('Snowball Engine'!$AH193:$AV193,Calc!$I$22),INDEX('Avalanche Engine'!$AH193:$AV193,Calc!$J$22),INDEX('My Order Engine'!$AH193:$AV193,Calc!$K$22)),"")</f>
        <v/>
      </c>
      <c r="T191" s="25" t="str">
        <f>IF(AND($A191&lt;=IF(Calc!$C$36=999,360,Calc!$C$36),Calc!$C$23=1),CHOOSE(Calc!$C$3,INDEX('Snowball Engine'!$AH193:$AV193,Calc!$I$23),INDEX('Avalanche Engine'!$AH193:$AV193,Calc!$J$23),INDEX('My Order Engine'!$AH193:$AV193,Calc!$K$23)),"")</f>
        <v/>
      </c>
      <c r="U191" s="25" t="str">
        <f>IF(AND($A191&lt;=IF(Calc!$C$36=999,360,Calc!$C$36),Calc!$C$24=1),CHOOSE(Calc!$C$3,INDEX('Snowball Engine'!$AH193:$AV193,Calc!$I$24),INDEX('Avalanche Engine'!$AH193:$AV193,Calc!$J$24),INDEX('My Order Engine'!$AH193:$AV193,Calc!$K$24)),"")</f>
        <v/>
      </c>
    </row>
    <row r="192" spans="1:21" x14ac:dyDescent="0.35">
      <c r="A192" s="23">
        <v>188</v>
      </c>
      <c r="B192" s="24" t="str">
        <f>IF($A192&lt;=IF(Calc!$C$36=999,360,Calc!$C$36),EDATE(Calc!$C$5,A192-1),"")</f>
        <v/>
      </c>
      <c r="C192" s="25" t="str">
        <f>IF($A192&lt;=IF(Calc!$C$36=999,360,Calc!$C$36),CHOOSE(Calc!$C$3,'Snowball Engine'!AY194,'Avalanche Engine'!AY194,'My Order Engine'!AY194),"")</f>
        <v/>
      </c>
      <c r="D192" s="25" t="str">
        <f>IF($A192&lt;=IF(Calc!$C$36=999,360,Calc!$C$36),CHOOSE(Calc!$C$3,'Snowball Engine'!AX194,'Avalanche Engine'!AX194,'My Order Engine'!AX194),"")</f>
        <v/>
      </c>
      <c r="E192" s="25" t="str">
        <f>IF($A192&lt;=IF(Calc!$C$36=999,360,Calc!$C$36),C192-D192,"")</f>
        <v/>
      </c>
      <c r="F192" s="25" t="str">
        <f>IF($A192&lt;=IF(Calc!$C$36=999,360,Calc!$C$36),CHOOSE(Calc!$C$3,'Snowball Engine'!AW194,'Avalanche Engine'!AW194,'My Order Engine'!AW194),"")</f>
        <v/>
      </c>
      <c r="G192" s="25" t="str">
        <f>IF(AND($A192&lt;=IF(Calc!$C$36=999,360,Calc!$C$36),Calc!$C$10=1),CHOOSE(Calc!$C$3,INDEX('Snowball Engine'!$AH194:$AV194,Calc!$I$10),INDEX('Avalanche Engine'!$AH194:$AV194,Calc!$J$10),INDEX('My Order Engine'!$AH194:$AV194,Calc!$K$10)),"")</f>
        <v/>
      </c>
      <c r="H192" s="25" t="str">
        <f>IF(AND($A192&lt;=IF(Calc!$C$36=999,360,Calc!$C$36),Calc!$C$11=1),CHOOSE(Calc!$C$3,INDEX('Snowball Engine'!$AH194:$AV194,Calc!$I$11),INDEX('Avalanche Engine'!$AH194:$AV194,Calc!$J$11),INDEX('My Order Engine'!$AH194:$AV194,Calc!$K$11)),"")</f>
        <v/>
      </c>
      <c r="I192" s="25" t="str">
        <f>IF(AND($A192&lt;=IF(Calc!$C$36=999,360,Calc!$C$36),Calc!$C$12=1),CHOOSE(Calc!$C$3,INDEX('Snowball Engine'!$AH194:$AV194,Calc!$I$12),INDEX('Avalanche Engine'!$AH194:$AV194,Calc!$J$12),INDEX('My Order Engine'!$AH194:$AV194,Calc!$K$12)),"")</f>
        <v/>
      </c>
      <c r="J192" s="25" t="str">
        <f>IF(AND($A192&lt;=IF(Calc!$C$36=999,360,Calc!$C$36),Calc!$C$13=1),CHOOSE(Calc!$C$3,INDEX('Snowball Engine'!$AH194:$AV194,Calc!$I$13),INDEX('Avalanche Engine'!$AH194:$AV194,Calc!$J$13),INDEX('My Order Engine'!$AH194:$AV194,Calc!$K$13)),"")</f>
        <v/>
      </c>
      <c r="K192" s="25" t="str">
        <f>IF(AND($A192&lt;=IF(Calc!$C$36=999,360,Calc!$C$36),Calc!$C$14=1),CHOOSE(Calc!$C$3,INDEX('Snowball Engine'!$AH194:$AV194,Calc!$I$14),INDEX('Avalanche Engine'!$AH194:$AV194,Calc!$J$14),INDEX('My Order Engine'!$AH194:$AV194,Calc!$K$14)),"")</f>
        <v/>
      </c>
      <c r="L192" s="25" t="str">
        <f>IF(AND($A192&lt;=IF(Calc!$C$36=999,360,Calc!$C$36),Calc!$C$15=1),CHOOSE(Calc!$C$3,INDEX('Snowball Engine'!$AH194:$AV194,Calc!$I$15),INDEX('Avalanche Engine'!$AH194:$AV194,Calc!$J$15),INDEX('My Order Engine'!$AH194:$AV194,Calc!$K$15)),"")</f>
        <v/>
      </c>
      <c r="M192" s="25" t="str">
        <f>IF(AND($A192&lt;=IF(Calc!$C$36=999,360,Calc!$C$36),Calc!$C$16=1),CHOOSE(Calc!$C$3,INDEX('Snowball Engine'!$AH194:$AV194,Calc!$I$16),INDEX('Avalanche Engine'!$AH194:$AV194,Calc!$J$16),INDEX('My Order Engine'!$AH194:$AV194,Calc!$K$16)),"")</f>
        <v/>
      </c>
      <c r="N192" s="25" t="str">
        <f>IF(AND($A192&lt;=IF(Calc!$C$36=999,360,Calc!$C$36),Calc!$C$17=1),CHOOSE(Calc!$C$3,INDEX('Snowball Engine'!$AH194:$AV194,Calc!$I$17),INDEX('Avalanche Engine'!$AH194:$AV194,Calc!$J$17),INDEX('My Order Engine'!$AH194:$AV194,Calc!$K$17)),"")</f>
        <v/>
      </c>
      <c r="O192" s="25" t="str">
        <f>IF(AND($A192&lt;=IF(Calc!$C$36=999,360,Calc!$C$36),Calc!$C$18=1),CHOOSE(Calc!$C$3,INDEX('Snowball Engine'!$AH194:$AV194,Calc!$I$18),INDEX('Avalanche Engine'!$AH194:$AV194,Calc!$J$18),INDEX('My Order Engine'!$AH194:$AV194,Calc!$K$18)),"")</f>
        <v/>
      </c>
      <c r="P192" s="25" t="str">
        <f>IF(AND($A192&lt;=IF(Calc!$C$36=999,360,Calc!$C$36),Calc!$C$19=1),CHOOSE(Calc!$C$3,INDEX('Snowball Engine'!$AH194:$AV194,Calc!$I$19),INDEX('Avalanche Engine'!$AH194:$AV194,Calc!$J$19),INDEX('My Order Engine'!$AH194:$AV194,Calc!$K$19)),"")</f>
        <v/>
      </c>
      <c r="Q192" s="25" t="str">
        <f>IF(AND($A192&lt;=IF(Calc!$C$36=999,360,Calc!$C$36),Calc!$C$20=1),CHOOSE(Calc!$C$3,INDEX('Snowball Engine'!$AH194:$AV194,Calc!$I$20),INDEX('Avalanche Engine'!$AH194:$AV194,Calc!$J$20),INDEX('My Order Engine'!$AH194:$AV194,Calc!$K$20)),"")</f>
        <v/>
      </c>
      <c r="R192" s="25" t="str">
        <f>IF(AND($A192&lt;=IF(Calc!$C$36=999,360,Calc!$C$36),Calc!$C$21=1),CHOOSE(Calc!$C$3,INDEX('Snowball Engine'!$AH194:$AV194,Calc!$I$21),INDEX('Avalanche Engine'!$AH194:$AV194,Calc!$J$21),INDEX('My Order Engine'!$AH194:$AV194,Calc!$K$21)),"")</f>
        <v/>
      </c>
      <c r="S192" s="25" t="str">
        <f>IF(AND($A192&lt;=IF(Calc!$C$36=999,360,Calc!$C$36),Calc!$C$22=1),CHOOSE(Calc!$C$3,INDEX('Snowball Engine'!$AH194:$AV194,Calc!$I$22),INDEX('Avalanche Engine'!$AH194:$AV194,Calc!$J$22),INDEX('My Order Engine'!$AH194:$AV194,Calc!$K$22)),"")</f>
        <v/>
      </c>
      <c r="T192" s="25" t="str">
        <f>IF(AND($A192&lt;=IF(Calc!$C$36=999,360,Calc!$C$36),Calc!$C$23=1),CHOOSE(Calc!$C$3,INDEX('Snowball Engine'!$AH194:$AV194,Calc!$I$23),INDEX('Avalanche Engine'!$AH194:$AV194,Calc!$J$23),INDEX('My Order Engine'!$AH194:$AV194,Calc!$K$23)),"")</f>
        <v/>
      </c>
      <c r="U192" s="25" t="str">
        <f>IF(AND($A192&lt;=IF(Calc!$C$36=999,360,Calc!$C$36),Calc!$C$24=1),CHOOSE(Calc!$C$3,INDEX('Snowball Engine'!$AH194:$AV194,Calc!$I$24),INDEX('Avalanche Engine'!$AH194:$AV194,Calc!$J$24),INDEX('My Order Engine'!$AH194:$AV194,Calc!$K$24)),"")</f>
        <v/>
      </c>
    </row>
    <row r="193" spans="1:21" x14ac:dyDescent="0.35">
      <c r="A193" s="23">
        <v>189</v>
      </c>
      <c r="B193" s="24" t="str">
        <f>IF($A193&lt;=IF(Calc!$C$36=999,360,Calc!$C$36),EDATE(Calc!$C$5,A193-1),"")</f>
        <v/>
      </c>
      <c r="C193" s="25" t="str">
        <f>IF($A193&lt;=IF(Calc!$C$36=999,360,Calc!$C$36),CHOOSE(Calc!$C$3,'Snowball Engine'!AY195,'Avalanche Engine'!AY195,'My Order Engine'!AY195),"")</f>
        <v/>
      </c>
      <c r="D193" s="25" t="str">
        <f>IF($A193&lt;=IF(Calc!$C$36=999,360,Calc!$C$36),CHOOSE(Calc!$C$3,'Snowball Engine'!AX195,'Avalanche Engine'!AX195,'My Order Engine'!AX195),"")</f>
        <v/>
      </c>
      <c r="E193" s="25" t="str">
        <f>IF($A193&lt;=IF(Calc!$C$36=999,360,Calc!$C$36),C193-D193,"")</f>
        <v/>
      </c>
      <c r="F193" s="25" t="str">
        <f>IF($A193&lt;=IF(Calc!$C$36=999,360,Calc!$C$36),CHOOSE(Calc!$C$3,'Snowball Engine'!AW195,'Avalanche Engine'!AW195,'My Order Engine'!AW195),"")</f>
        <v/>
      </c>
      <c r="G193" s="25" t="str">
        <f>IF(AND($A193&lt;=IF(Calc!$C$36=999,360,Calc!$C$36),Calc!$C$10=1),CHOOSE(Calc!$C$3,INDEX('Snowball Engine'!$AH195:$AV195,Calc!$I$10),INDEX('Avalanche Engine'!$AH195:$AV195,Calc!$J$10),INDEX('My Order Engine'!$AH195:$AV195,Calc!$K$10)),"")</f>
        <v/>
      </c>
      <c r="H193" s="25" t="str">
        <f>IF(AND($A193&lt;=IF(Calc!$C$36=999,360,Calc!$C$36),Calc!$C$11=1),CHOOSE(Calc!$C$3,INDEX('Snowball Engine'!$AH195:$AV195,Calc!$I$11),INDEX('Avalanche Engine'!$AH195:$AV195,Calc!$J$11),INDEX('My Order Engine'!$AH195:$AV195,Calc!$K$11)),"")</f>
        <v/>
      </c>
      <c r="I193" s="25" t="str">
        <f>IF(AND($A193&lt;=IF(Calc!$C$36=999,360,Calc!$C$36),Calc!$C$12=1),CHOOSE(Calc!$C$3,INDEX('Snowball Engine'!$AH195:$AV195,Calc!$I$12),INDEX('Avalanche Engine'!$AH195:$AV195,Calc!$J$12),INDEX('My Order Engine'!$AH195:$AV195,Calc!$K$12)),"")</f>
        <v/>
      </c>
      <c r="J193" s="25" t="str">
        <f>IF(AND($A193&lt;=IF(Calc!$C$36=999,360,Calc!$C$36),Calc!$C$13=1),CHOOSE(Calc!$C$3,INDEX('Snowball Engine'!$AH195:$AV195,Calc!$I$13),INDEX('Avalanche Engine'!$AH195:$AV195,Calc!$J$13),INDEX('My Order Engine'!$AH195:$AV195,Calc!$K$13)),"")</f>
        <v/>
      </c>
      <c r="K193" s="25" t="str">
        <f>IF(AND($A193&lt;=IF(Calc!$C$36=999,360,Calc!$C$36),Calc!$C$14=1),CHOOSE(Calc!$C$3,INDEX('Snowball Engine'!$AH195:$AV195,Calc!$I$14),INDEX('Avalanche Engine'!$AH195:$AV195,Calc!$J$14),INDEX('My Order Engine'!$AH195:$AV195,Calc!$K$14)),"")</f>
        <v/>
      </c>
      <c r="L193" s="25" t="str">
        <f>IF(AND($A193&lt;=IF(Calc!$C$36=999,360,Calc!$C$36),Calc!$C$15=1),CHOOSE(Calc!$C$3,INDEX('Snowball Engine'!$AH195:$AV195,Calc!$I$15),INDEX('Avalanche Engine'!$AH195:$AV195,Calc!$J$15),INDEX('My Order Engine'!$AH195:$AV195,Calc!$K$15)),"")</f>
        <v/>
      </c>
      <c r="M193" s="25" t="str">
        <f>IF(AND($A193&lt;=IF(Calc!$C$36=999,360,Calc!$C$36),Calc!$C$16=1),CHOOSE(Calc!$C$3,INDEX('Snowball Engine'!$AH195:$AV195,Calc!$I$16),INDEX('Avalanche Engine'!$AH195:$AV195,Calc!$J$16),INDEX('My Order Engine'!$AH195:$AV195,Calc!$K$16)),"")</f>
        <v/>
      </c>
      <c r="N193" s="25" t="str">
        <f>IF(AND($A193&lt;=IF(Calc!$C$36=999,360,Calc!$C$36),Calc!$C$17=1),CHOOSE(Calc!$C$3,INDEX('Snowball Engine'!$AH195:$AV195,Calc!$I$17),INDEX('Avalanche Engine'!$AH195:$AV195,Calc!$J$17),INDEX('My Order Engine'!$AH195:$AV195,Calc!$K$17)),"")</f>
        <v/>
      </c>
      <c r="O193" s="25" t="str">
        <f>IF(AND($A193&lt;=IF(Calc!$C$36=999,360,Calc!$C$36),Calc!$C$18=1),CHOOSE(Calc!$C$3,INDEX('Snowball Engine'!$AH195:$AV195,Calc!$I$18),INDEX('Avalanche Engine'!$AH195:$AV195,Calc!$J$18),INDEX('My Order Engine'!$AH195:$AV195,Calc!$K$18)),"")</f>
        <v/>
      </c>
      <c r="P193" s="25" t="str">
        <f>IF(AND($A193&lt;=IF(Calc!$C$36=999,360,Calc!$C$36),Calc!$C$19=1),CHOOSE(Calc!$C$3,INDEX('Snowball Engine'!$AH195:$AV195,Calc!$I$19),INDEX('Avalanche Engine'!$AH195:$AV195,Calc!$J$19),INDEX('My Order Engine'!$AH195:$AV195,Calc!$K$19)),"")</f>
        <v/>
      </c>
      <c r="Q193" s="25" t="str">
        <f>IF(AND($A193&lt;=IF(Calc!$C$36=999,360,Calc!$C$36),Calc!$C$20=1),CHOOSE(Calc!$C$3,INDEX('Snowball Engine'!$AH195:$AV195,Calc!$I$20),INDEX('Avalanche Engine'!$AH195:$AV195,Calc!$J$20),INDEX('My Order Engine'!$AH195:$AV195,Calc!$K$20)),"")</f>
        <v/>
      </c>
      <c r="R193" s="25" t="str">
        <f>IF(AND($A193&lt;=IF(Calc!$C$36=999,360,Calc!$C$36),Calc!$C$21=1),CHOOSE(Calc!$C$3,INDEX('Snowball Engine'!$AH195:$AV195,Calc!$I$21),INDEX('Avalanche Engine'!$AH195:$AV195,Calc!$J$21),INDEX('My Order Engine'!$AH195:$AV195,Calc!$K$21)),"")</f>
        <v/>
      </c>
      <c r="S193" s="25" t="str">
        <f>IF(AND($A193&lt;=IF(Calc!$C$36=999,360,Calc!$C$36),Calc!$C$22=1),CHOOSE(Calc!$C$3,INDEX('Snowball Engine'!$AH195:$AV195,Calc!$I$22),INDEX('Avalanche Engine'!$AH195:$AV195,Calc!$J$22),INDEX('My Order Engine'!$AH195:$AV195,Calc!$K$22)),"")</f>
        <v/>
      </c>
      <c r="T193" s="25" t="str">
        <f>IF(AND($A193&lt;=IF(Calc!$C$36=999,360,Calc!$C$36),Calc!$C$23=1),CHOOSE(Calc!$C$3,INDEX('Snowball Engine'!$AH195:$AV195,Calc!$I$23),INDEX('Avalanche Engine'!$AH195:$AV195,Calc!$J$23),INDEX('My Order Engine'!$AH195:$AV195,Calc!$K$23)),"")</f>
        <v/>
      </c>
      <c r="U193" s="25" t="str">
        <f>IF(AND($A193&lt;=IF(Calc!$C$36=999,360,Calc!$C$36),Calc!$C$24=1),CHOOSE(Calc!$C$3,INDEX('Snowball Engine'!$AH195:$AV195,Calc!$I$24),INDEX('Avalanche Engine'!$AH195:$AV195,Calc!$J$24),INDEX('My Order Engine'!$AH195:$AV195,Calc!$K$24)),"")</f>
        <v/>
      </c>
    </row>
    <row r="194" spans="1:21" x14ac:dyDescent="0.35">
      <c r="A194" s="23">
        <v>190</v>
      </c>
      <c r="B194" s="24" t="str">
        <f>IF($A194&lt;=IF(Calc!$C$36=999,360,Calc!$C$36),EDATE(Calc!$C$5,A194-1),"")</f>
        <v/>
      </c>
      <c r="C194" s="25" t="str">
        <f>IF($A194&lt;=IF(Calc!$C$36=999,360,Calc!$C$36),CHOOSE(Calc!$C$3,'Snowball Engine'!AY196,'Avalanche Engine'!AY196,'My Order Engine'!AY196),"")</f>
        <v/>
      </c>
      <c r="D194" s="25" t="str">
        <f>IF($A194&lt;=IF(Calc!$C$36=999,360,Calc!$C$36),CHOOSE(Calc!$C$3,'Snowball Engine'!AX196,'Avalanche Engine'!AX196,'My Order Engine'!AX196),"")</f>
        <v/>
      </c>
      <c r="E194" s="25" t="str">
        <f>IF($A194&lt;=IF(Calc!$C$36=999,360,Calc!$C$36),C194-D194,"")</f>
        <v/>
      </c>
      <c r="F194" s="25" t="str">
        <f>IF($A194&lt;=IF(Calc!$C$36=999,360,Calc!$C$36),CHOOSE(Calc!$C$3,'Snowball Engine'!AW196,'Avalanche Engine'!AW196,'My Order Engine'!AW196),"")</f>
        <v/>
      </c>
      <c r="G194" s="25" t="str">
        <f>IF(AND($A194&lt;=IF(Calc!$C$36=999,360,Calc!$C$36),Calc!$C$10=1),CHOOSE(Calc!$C$3,INDEX('Snowball Engine'!$AH196:$AV196,Calc!$I$10),INDEX('Avalanche Engine'!$AH196:$AV196,Calc!$J$10),INDEX('My Order Engine'!$AH196:$AV196,Calc!$K$10)),"")</f>
        <v/>
      </c>
      <c r="H194" s="25" t="str">
        <f>IF(AND($A194&lt;=IF(Calc!$C$36=999,360,Calc!$C$36),Calc!$C$11=1),CHOOSE(Calc!$C$3,INDEX('Snowball Engine'!$AH196:$AV196,Calc!$I$11),INDEX('Avalanche Engine'!$AH196:$AV196,Calc!$J$11),INDEX('My Order Engine'!$AH196:$AV196,Calc!$K$11)),"")</f>
        <v/>
      </c>
      <c r="I194" s="25" t="str">
        <f>IF(AND($A194&lt;=IF(Calc!$C$36=999,360,Calc!$C$36),Calc!$C$12=1),CHOOSE(Calc!$C$3,INDEX('Snowball Engine'!$AH196:$AV196,Calc!$I$12),INDEX('Avalanche Engine'!$AH196:$AV196,Calc!$J$12),INDEX('My Order Engine'!$AH196:$AV196,Calc!$K$12)),"")</f>
        <v/>
      </c>
      <c r="J194" s="25" t="str">
        <f>IF(AND($A194&lt;=IF(Calc!$C$36=999,360,Calc!$C$36),Calc!$C$13=1),CHOOSE(Calc!$C$3,INDEX('Snowball Engine'!$AH196:$AV196,Calc!$I$13),INDEX('Avalanche Engine'!$AH196:$AV196,Calc!$J$13),INDEX('My Order Engine'!$AH196:$AV196,Calc!$K$13)),"")</f>
        <v/>
      </c>
      <c r="K194" s="25" t="str">
        <f>IF(AND($A194&lt;=IF(Calc!$C$36=999,360,Calc!$C$36),Calc!$C$14=1),CHOOSE(Calc!$C$3,INDEX('Snowball Engine'!$AH196:$AV196,Calc!$I$14),INDEX('Avalanche Engine'!$AH196:$AV196,Calc!$J$14),INDEX('My Order Engine'!$AH196:$AV196,Calc!$K$14)),"")</f>
        <v/>
      </c>
      <c r="L194" s="25" t="str">
        <f>IF(AND($A194&lt;=IF(Calc!$C$36=999,360,Calc!$C$36),Calc!$C$15=1),CHOOSE(Calc!$C$3,INDEX('Snowball Engine'!$AH196:$AV196,Calc!$I$15),INDEX('Avalanche Engine'!$AH196:$AV196,Calc!$J$15),INDEX('My Order Engine'!$AH196:$AV196,Calc!$K$15)),"")</f>
        <v/>
      </c>
      <c r="M194" s="25" t="str">
        <f>IF(AND($A194&lt;=IF(Calc!$C$36=999,360,Calc!$C$36),Calc!$C$16=1),CHOOSE(Calc!$C$3,INDEX('Snowball Engine'!$AH196:$AV196,Calc!$I$16),INDEX('Avalanche Engine'!$AH196:$AV196,Calc!$J$16),INDEX('My Order Engine'!$AH196:$AV196,Calc!$K$16)),"")</f>
        <v/>
      </c>
      <c r="N194" s="25" t="str">
        <f>IF(AND($A194&lt;=IF(Calc!$C$36=999,360,Calc!$C$36),Calc!$C$17=1),CHOOSE(Calc!$C$3,INDEX('Snowball Engine'!$AH196:$AV196,Calc!$I$17),INDEX('Avalanche Engine'!$AH196:$AV196,Calc!$J$17),INDEX('My Order Engine'!$AH196:$AV196,Calc!$K$17)),"")</f>
        <v/>
      </c>
      <c r="O194" s="25" t="str">
        <f>IF(AND($A194&lt;=IF(Calc!$C$36=999,360,Calc!$C$36),Calc!$C$18=1),CHOOSE(Calc!$C$3,INDEX('Snowball Engine'!$AH196:$AV196,Calc!$I$18),INDEX('Avalanche Engine'!$AH196:$AV196,Calc!$J$18),INDEX('My Order Engine'!$AH196:$AV196,Calc!$K$18)),"")</f>
        <v/>
      </c>
      <c r="P194" s="25" t="str">
        <f>IF(AND($A194&lt;=IF(Calc!$C$36=999,360,Calc!$C$36),Calc!$C$19=1),CHOOSE(Calc!$C$3,INDEX('Snowball Engine'!$AH196:$AV196,Calc!$I$19),INDEX('Avalanche Engine'!$AH196:$AV196,Calc!$J$19),INDEX('My Order Engine'!$AH196:$AV196,Calc!$K$19)),"")</f>
        <v/>
      </c>
      <c r="Q194" s="25" t="str">
        <f>IF(AND($A194&lt;=IF(Calc!$C$36=999,360,Calc!$C$36),Calc!$C$20=1),CHOOSE(Calc!$C$3,INDEX('Snowball Engine'!$AH196:$AV196,Calc!$I$20),INDEX('Avalanche Engine'!$AH196:$AV196,Calc!$J$20),INDEX('My Order Engine'!$AH196:$AV196,Calc!$K$20)),"")</f>
        <v/>
      </c>
      <c r="R194" s="25" t="str">
        <f>IF(AND($A194&lt;=IF(Calc!$C$36=999,360,Calc!$C$36),Calc!$C$21=1),CHOOSE(Calc!$C$3,INDEX('Snowball Engine'!$AH196:$AV196,Calc!$I$21),INDEX('Avalanche Engine'!$AH196:$AV196,Calc!$J$21),INDEX('My Order Engine'!$AH196:$AV196,Calc!$K$21)),"")</f>
        <v/>
      </c>
      <c r="S194" s="25" t="str">
        <f>IF(AND($A194&lt;=IF(Calc!$C$36=999,360,Calc!$C$36),Calc!$C$22=1),CHOOSE(Calc!$C$3,INDEX('Snowball Engine'!$AH196:$AV196,Calc!$I$22),INDEX('Avalanche Engine'!$AH196:$AV196,Calc!$J$22),INDEX('My Order Engine'!$AH196:$AV196,Calc!$K$22)),"")</f>
        <v/>
      </c>
      <c r="T194" s="25" t="str">
        <f>IF(AND($A194&lt;=IF(Calc!$C$36=999,360,Calc!$C$36),Calc!$C$23=1),CHOOSE(Calc!$C$3,INDEX('Snowball Engine'!$AH196:$AV196,Calc!$I$23),INDEX('Avalanche Engine'!$AH196:$AV196,Calc!$J$23),INDEX('My Order Engine'!$AH196:$AV196,Calc!$K$23)),"")</f>
        <v/>
      </c>
      <c r="U194" s="25" t="str">
        <f>IF(AND($A194&lt;=IF(Calc!$C$36=999,360,Calc!$C$36),Calc!$C$24=1),CHOOSE(Calc!$C$3,INDEX('Snowball Engine'!$AH196:$AV196,Calc!$I$24),INDEX('Avalanche Engine'!$AH196:$AV196,Calc!$J$24),INDEX('My Order Engine'!$AH196:$AV196,Calc!$K$24)),"")</f>
        <v/>
      </c>
    </row>
    <row r="195" spans="1:21" x14ac:dyDescent="0.35">
      <c r="A195" s="23">
        <v>191</v>
      </c>
      <c r="B195" s="24" t="str">
        <f>IF($A195&lt;=IF(Calc!$C$36=999,360,Calc!$C$36),EDATE(Calc!$C$5,A195-1),"")</f>
        <v/>
      </c>
      <c r="C195" s="25" t="str">
        <f>IF($A195&lt;=IF(Calc!$C$36=999,360,Calc!$C$36),CHOOSE(Calc!$C$3,'Snowball Engine'!AY197,'Avalanche Engine'!AY197,'My Order Engine'!AY197),"")</f>
        <v/>
      </c>
      <c r="D195" s="25" t="str">
        <f>IF($A195&lt;=IF(Calc!$C$36=999,360,Calc!$C$36),CHOOSE(Calc!$C$3,'Snowball Engine'!AX197,'Avalanche Engine'!AX197,'My Order Engine'!AX197),"")</f>
        <v/>
      </c>
      <c r="E195" s="25" t="str">
        <f>IF($A195&lt;=IF(Calc!$C$36=999,360,Calc!$C$36),C195-D195,"")</f>
        <v/>
      </c>
      <c r="F195" s="25" t="str">
        <f>IF($A195&lt;=IF(Calc!$C$36=999,360,Calc!$C$36),CHOOSE(Calc!$C$3,'Snowball Engine'!AW197,'Avalanche Engine'!AW197,'My Order Engine'!AW197),"")</f>
        <v/>
      </c>
      <c r="G195" s="25" t="str">
        <f>IF(AND($A195&lt;=IF(Calc!$C$36=999,360,Calc!$C$36),Calc!$C$10=1),CHOOSE(Calc!$C$3,INDEX('Snowball Engine'!$AH197:$AV197,Calc!$I$10),INDEX('Avalanche Engine'!$AH197:$AV197,Calc!$J$10),INDEX('My Order Engine'!$AH197:$AV197,Calc!$K$10)),"")</f>
        <v/>
      </c>
      <c r="H195" s="25" t="str">
        <f>IF(AND($A195&lt;=IF(Calc!$C$36=999,360,Calc!$C$36),Calc!$C$11=1),CHOOSE(Calc!$C$3,INDEX('Snowball Engine'!$AH197:$AV197,Calc!$I$11),INDEX('Avalanche Engine'!$AH197:$AV197,Calc!$J$11),INDEX('My Order Engine'!$AH197:$AV197,Calc!$K$11)),"")</f>
        <v/>
      </c>
      <c r="I195" s="25" t="str">
        <f>IF(AND($A195&lt;=IF(Calc!$C$36=999,360,Calc!$C$36),Calc!$C$12=1),CHOOSE(Calc!$C$3,INDEX('Snowball Engine'!$AH197:$AV197,Calc!$I$12),INDEX('Avalanche Engine'!$AH197:$AV197,Calc!$J$12),INDEX('My Order Engine'!$AH197:$AV197,Calc!$K$12)),"")</f>
        <v/>
      </c>
      <c r="J195" s="25" t="str">
        <f>IF(AND($A195&lt;=IF(Calc!$C$36=999,360,Calc!$C$36),Calc!$C$13=1),CHOOSE(Calc!$C$3,INDEX('Snowball Engine'!$AH197:$AV197,Calc!$I$13),INDEX('Avalanche Engine'!$AH197:$AV197,Calc!$J$13),INDEX('My Order Engine'!$AH197:$AV197,Calc!$K$13)),"")</f>
        <v/>
      </c>
      <c r="K195" s="25" t="str">
        <f>IF(AND($A195&lt;=IF(Calc!$C$36=999,360,Calc!$C$36),Calc!$C$14=1),CHOOSE(Calc!$C$3,INDEX('Snowball Engine'!$AH197:$AV197,Calc!$I$14),INDEX('Avalanche Engine'!$AH197:$AV197,Calc!$J$14),INDEX('My Order Engine'!$AH197:$AV197,Calc!$K$14)),"")</f>
        <v/>
      </c>
      <c r="L195" s="25" t="str">
        <f>IF(AND($A195&lt;=IF(Calc!$C$36=999,360,Calc!$C$36),Calc!$C$15=1),CHOOSE(Calc!$C$3,INDEX('Snowball Engine'!$AH197:$AV197,Calc!$I$15),INDEX('Avalanche Engine'!$AH197:$AV197,Calc!$J$15),INDEX('My Order Engine'!$AH197:$AV197,Calc!$K$15)),"")</f>
        <v/>
      </c>
      <c r="M195" s="25" t="str">
        <f>IF(AND($A195&lt;=IF(Calc!$C$36=999,360,Calc!$C$36),Calc!$C$16=1),CHOOSE(Calc!$C$3,INDEX('Snowball Engine'!$AH197:$AV197,Calc!$I$16),INDEX('Avalanche Engine'!$AH197:$AV197,Calc!$J$16),INDEX('My Order Engine'!$AH197:$AV197,Calc!$K$16)),"")</f>
        <v/>
      </c>
      <c r="N195" s="25" t="str">
        <f>IF(AND($A195&lt;=IF(Calc!$C$36=999,360,Calc!$C$36),Calc!$C$17=1),CHOOSE(Calc!$C$3,INDEX('Snowball Engine'!$AH197:$AV197,Calc!$I$17),INDEX('Avalanche Engine'!$AH197:$AV197,Calc!$J$17),INDEX('My Order Engine'!$AH197:$AV197,Calc!$K$17)),"")</f>
        <v/>
      </c>
      <c r="O195" s="25" t="str">
        <f>IF(AND($A195&lt;=IF(Calc!$C$36=999,360,Calc!$C$36),Calc!$C$18=1),CHOOSE(Calc!$C$3,INDEX('Snowball Engine'!$AH197:$AV197,Calc!$I$18),INDEX('Avalanche Engine'!$AH197:$AV197,Calc!$J$18),INDEX('My Order Engine'!$AH197:$AV197,Calc!$K$18)),"")</f>
        <v/>
      </c>
      <c r="P195" s="25" t="str">
        <f>IF(AND($A195&lt;=IF(Calc!$C$36=999,360,Calc!$C$36),Calc!$C$19=1),CHOOSE(Calc!$C$3,INDEX('Snowball Engine'!$AH197:$AV197,Calc!$I$19),INDEX('Avalanche Engine'!$AH197:$AV197,Calc!$J$19),INDEX('My Order Engine'!$AH197:$AV197,Calc!$K$19)),"")</f>
        <v/>
      </c>
      <c r="Q195" s="25" t="str">
        <f>IF(AND($A195&lt;=IF(Calc!$C$36=999,360,Calc!$C$36),Calc!$C$20=1),CHOOSE(Calc!$C$3,INDEX('Snowball Engine'!$AH197:$AV197,Calc!$I$20),INDEX('Avalanche Engine'!$AH197:$AV197,Calc!$J$20),INDEX('My Order Engine'!$AH197:$AV197,Calc!$K$20)),"")</f>
        <v/>
      </c>
      <c r="R195" s="25" t="str">
        <f>IF(AND($A195&lt;=IF(Calc!$C$36=999,360,Calc!$C$36),Calc!$C$21=1),CHOOSE(Calc!$C$3,INDEX('Snowball Engine'!$AH197:$AV197,Calc!$I$21),INDEX('Avalanche Engine'!$AH197:$AV197,Calc!$J$21),INDEX('My Order Engine'!$AH197:$AV197,Calc!$K$21)),"")</f>
        <v/>
      </c>
      <c r="S195" s="25" t="str">
        <f>IF(AND($A195&lt;=IF(Calc!$C$36=999,360,Calc!$C$36),Calc!$C$22=1),CHOOSE(Calc!$C$3,INDEX('Snowball Engine'!$AH197:$AV197,Calc!$I$22),INDEX('Avalanche Engine'!$AH197:$AV197,Calc!$J$22),INDEX('My Order Engine'!$AH197:$AV197,Calc!$K$22)),"")</f>
        <v/>
      </c>
      <c r="T195" s="25" t="str">
        <f>IF(AND($A195&lt;=IF(Calc!$C$36=999,360,Calc!$C$36),Calc!$C$23=1),CHOOSE(Calc!$C$3,INDEX('Snowball Engine'!$AH197:$AV197,Calc!$I$23),INDEX('Avalanche Engine'!$AH197:$AV197,Calc!$J$23),INDEX('My Order Engine'!$AH197:$AV197,Calc!$K$23)),"")</f>
        <v/>
      </c>
      <c r="U195" s="25" t="str">
        <f>IF(AND($A195&lt;=IF(Calc!$C$36=999,360,Calc!$C$36),Calc!$C$24=1),CHOOSE(Calc!$C$3,INDEX('Snowball Engine'!$AH197:$AV197,Calc!$I$24),INDEX('Avalanche Engine'!$AH197:$AV197,Calc!$J$24),INDEX('My Order Engine'!$AH197:$AV197,Calc!$K$24)),"")</f>
        <v/>
      </c>
    </row>
    <row r="196" spans="1:21" x14ac:dyDescent="0.35">
      <c r="A196" s="23">
        <v>192</v>
      </c>
      <c r="B196" s="24" t="str">
        <f>IF($A196&lt;=IF(Calc!$C$36=999,360,Calc!$C$36),EDATE(Calc!$C$5,A196-1),"")</f>
        <v/>
      </c>
      <c r="C196" s="25" t="str">
        <f>IF($A196&lt;=IF(Calc!$C$36=999,360,Calc!$C$36),CHOOSE(Calc!$C$3,'Snowball Engine'!AY198,'Avalanche Engine'!AY198,'My Order Engine'!AY198),"")</f>
        <v/>
      </c>
      <c r="D196" s="25" t="str">
        <f>IF($A196&lt;=IF(Calc!$C$36=999,360,Calc!$C$36),CHOOSE(Calc!$C$3,'Snowball Engine'!AX198,'Avalanche Engine'!AX198,'My Order Engine'!AX198),"")</f>
        <v/>
      </c>
      <c r="E196" s="25" t="str">
        <f>IF($A196&lt;=IF(Calc!$C$36=999,360,Calc!$C$36),C196-D196,"")</f>
        <v/>
      </c>
      <c r="F196" s="25" t="str">
        <f>IF($A196&lt;=IF(Calc!$C$36=999,360,Calc!$C$36),CHOOSE(Calc!$C$3,'Snowball Engine'!AW198,'Avalanche Engine'!AW198,'My Order Engine'!AW198),"")</f>
        <v/>
      </c>
      <c r="G196" s="25" t="str">
        <f>IF(AND($A196&lt;=IF(Calc!$C$36=999,360,Calc!$C$36),Calc!$C$10=1),CHOOSE(Calc!$C$3,INDEX('Snowball Engine'!$AH198:$AV198,Calc!$I$10),INDEX('Avalanche Engine'!$AH198:$AV198,Calc!$J$10),INDEX('My Order Engine'!$AH198:$AV198,Calc!$K$10)),"")</f>
        <v/>
      </c>
      <c r="H196" s="25" t="str">
        <f>IF(AND($A196&lt;=IF(Calc!$C$36=999,360,Calc!$C$36),Calc!$C$11=1),CHOOSE(Calc!$C$3,INDEX('Snowball Engine'!$AH198:$AV198,Calc!$I$11),INDEX('Avalanche Engine'!$AH198:$AV198,Calc!$J$11),INDEX('My Order Engine'!$AH198:$AV198,Calc!$K$11)),"")</f>
        <v/>
      </c>
      <c r="I196" s="25" t="str">
        <f>IF(AND($A196&lt;=IF(Calc!$C$36=999,360,Calc!$C$36),Calc!$C$12=1),CHOOSE(Calc!$C$3,INDEX('Snowball Engine'!$AH198:$AV198,Calc!$I$12),INDEX('Avalanche Engine'!$AH198:$AV198,Calc!$J$12),INDEX('My Order Engine'!$AH198:$AV198,Calc!$K$12)),"")</f>
        <v/>
      </c>
      <c r="J196" s="25" t="str">
        <f>IF(AND($A196&lt;=IF(Calc!$C$36=999,360,Calc!$C$36),Calc!$C$13=1),CHOOSE(Calc!$C$3,INDEX('Snowball Engine'!$AH198:$AV198,Calc!$I$13),INDEX('Avalanche Engine'!$AH198:$AV198,Calc!$J$13),INDEX('My Order Engine'!$AH198:$AV198,Calc!$K$13)),"")</f>
        <v/>
      </c>
      <c r="K196" s="25" t="str">
        <f>IF(AND($A196&lt;=IF(Calc!$C$36=999,360,Calc!$C$36),Calc!$C$14=1),CHOOSE(Calc!$C$3,INDEX('Snowball Engine'!$AH198:$AV198,Calc!$I$14),INDEX('Avalanche Engine'!$AH198:$AV198,Calc!$J$14),INDEX('My Order Engine'!$AH198:$AV198,Calc!$K$14)),"")</f>
        <v/>
      </c>
      <c r="L196" s="25" t="str">
        <f>IF(AND($A196&lt;=IF(Calc!$C$36=999,360,Calc!$C$36),Calc!$C$15=1),CHOOSE(Calc!$C$3,INDEX('Snowball Engine'!$AH198:$AV198,Calc!$I$15),INDEX('Avalanche Engine'!$AH198:$AV198,Calc!$J$15),INDEX('My Order Engine'!$AH198:$AV198,Calc!$K$15)),"")</f>
        <v/>
      </c>
      <c r="M196" s="25" t="str">
        <f>IF(AND($A196&lt;=IF(Calc!$C$36=999,360,Calc!$C$36),Calc!$C$16=1),CHOOSE(Calc!$C$3,INDEX('Snowball Engine'!$AH198:$AV198,Calc!$I$16),INDEX('Avalanche Engine'!$AH198:$AV198,Calc!$J$16),INDEX('My Order Engine'!$AH198:$AV198,Calc!$K$16)),"")</f>
        <v/>
      </c>
      <c r="N196" s="25" t="str">
        <f>IF(AND($A196&lt;=IF(Calc!$C$36=999,360,Calc!$C$36),Calc!$C$17=1),CHOOSE(Calc!$C$3,INDEX('Snowball Engine'!$AH198:$AV198,Calc!$I$17),INDEX('Avalanche Engine'!$AH198:$AV198,Calc!$J$17),INDEX('My Order Engine'!$AH198:$AV198,Calc!$K$17)),"")</f>
        <v/>
      </c>
      <c r="O196" s="25" t="str">
        <f>IF(AND($A196&lt;=IF(Calc!$C$36=999,360,Calc!$C$36),Calc!$C$18=1),CHOOSE(Calc!$C$3,INDEX('Snowball Engine'!$AH198:$AV198,Calc!$I$18),INDEX('Avalanche Engine'!$AH198:$AV198,Calc!$J$18),INDEX('My Order Engine'!$AH198:$AV198,Calc!$K$18)),"")</f>
        <v/>
      </c>
      <c r="P196" s="25" t="str">
        <f>IF(AND($A196&lt;=IF(Calc!$C$36=999,360,Calc!$C$36),Calc!$C$19=1),CHOOSE(Calc!$C$3,INDEX('Snowball Engine'!$AH198:$AV198,Calc!$I$19),INDEX('Avalanche Engine'!$AH198:$AV198,Calc!$J$19),INDEX('My Order Engine'!$AH198:$AV198,Calc!$K$19)),"")</f>
        <v/>
      </c>
      <c r="Q196" s="25" t="str">
        <f>IF(AND($A196&lt;=IF(Calc!$C$36=999,360,Calc!$C$36),Calc!$C$20=1),CHOOSE(Calc!$C$3,INDEX('Snowball Engine'!$AH198:$AV198,Calc!$I$20),INDEX('Avalanche Engine'!$AH198:$AV198,Calc!$J$20),INDEX('My Order Engine'!$AH198:$AV198,Calc!$K$20)),"")</f>
        <v/>
      </c>
      <c r="R196" s="25" t="str">
        <f>IF(AND($A196&lt;=IF(Calc!$C$36=999,360,Calc!$C$36),Calc!$C$21=1),CHOOSE(Calc!$C$3,INDEX('Snowball Engine'!$AH198:$AV198,Calc!$I$21),INDEX('Avalanche Engine'!$AH198:$AV198,Calc!$J$21),INDEX('My Order Engine'!$AH198:$AV198,Calc!$K$21)),"")</f>
        <v/>
      </c>
      <c r="S196" s="25" t="str">
        <f>IF(AND($A196&lt;=IF(Calc!$C$36=999,360,Calc!$C$36),Calc!$C$22=1),CHOOSE(Calc!$C$3,INDEX('Snowball Engine'!$AH198:$AV198,Calc!$I$22),INDEX('Avalanche Engine'!$AH198:$AV198,Calc!$J$22),INDEX('My Order Engine'!$AH198:$AV198,Calc!$K$22)),"")</f>
        <v/>
      </c>
      <c r="T196" s="25" t="str">
        <f>IF(AND($A196&lt;=IF(Calc!$C$36=999,360,Calc!$C$36),Calc!$C$23=1),CHOOSE(Calc!$C$3,INDEX('Snowball Engine'!$AH198:$AV198,Calc!$I$23),INDEX('Avalanche Engine'!$AH198:$AV198,Calc!$J$23),INDEX('My Order Engine'!$AH198:$AV198,Calc!$K$23)),"")</f>
        <v/>
      </c>
      <c r="U196" s="25" t="str">
        <f>IF(AND($A196&lt;=IF(Calc!$C$36=999,360,Calc!$C$36),Calc!$C$24=1),CHOOSE(Calc!$C$3,INDEX('Snowball Engine'!$AH198:$AV198,Calc!$I$24),INDEX('Avalanche Engine'!$AH198:$AV198,Calc!$J$24),INDEX('My Order Engine'!$AH198:$AV198,Calc!$K$24)),"")</f>
        <v/>
      </c>
    </row>
    <row r="197" spans="1:21" x14ac:dyDescent="0.35">
      <c r="A197" s="23">
        <v>193</v>
      </c>
      <c r="B197" s="24" t="str">
        <f>IF($A197&lt;=IF(Calc!$C$36=999,360,Calc!$C$36),EDATE(Calc!$C$5,A197-1),"")</f>
        <v/>
      </c>
      <c r="C197" s="25" t="str">
        <f>IF($A197&lt;=IF(Calc!$C$36=999,360,Calc!$C$36),CHOOSE(Calc!$C$3,'Snowball Engine'!AY199,'Avalanche Engine'!AY199,'My Order Engine'!AY199),"")</f>
        <v/>
      </c>
      <c r="D197" s="25" t="str">
        <f>IF($A197&lt;=IF(Calc!$C$36=999,360,Calc!$C$36),CHOOSE(Calc!$C$3,'Snowball Engine'!AX199,'Avalanche Engine'!AX199,'My Order Engine'!AX199),"")</f>
        <v/>
      </c>
      <c r="E197" s="25" t="str">
        <f>IF($A197&lt;=IF(Calc!$C$36=999,360,Calc!$C$36),C197-D197,"")</f>
        <v/>
      </c>
      <c r="F197" s="25" t="str">
        <f>IF($A197&lt;=IF(Calc!$C$36=999,360,Calc!$C$36),CHOOSE(Calc!$C$3,'Snowball Engine'!AW199,'Avalanche Engine'!AW199,'My Order Engine'!AW199),"")</f>
        <v/>
      </c>
      <c r="G197" s="25" t="str">
        <f>IF(AND($A197&lt;=IF(Calc!$C$36=999,360,Calc!$C$36),Calc!$C$10=1),CHOOSE(Calc!$C$3,INDEX('Snowball Engine'!$AH199:$AV199,Calc!$I$10),INDEX('Avalanche Engine'!$AH199:$AV199,Calc!$J$10),INDEX('My Order Engine'!$AH199:$AV199,Calc!$K$10)),"")</f>
        <v/>
      </c>
      <c r="H197" s="25" t="str">
        <f>IF(AND($A197&lt;=IF(Calc!$C$36=999,360,Calc!$C$36),Calc!$C$11=1),CHOOSE(Calc!$C$3,INDEX('Snowball Engine'!$AH199:$AV199,Calc!$I$11),INDEX('Avalanche Engine'!$AH199:$AV199,Calc!$J$11),INDEX('My Order Engine'!$AH199:$AV199,Calc!$K$11)),"")</f>
        <v/>
      </c>
      <c r="I197" s="25" t="str">
        <f>IF(AND($A197&lt;=IF(Calc!$C$36=999,360,Calc!$C$36),Calc!$C$12=1),CHOOSE(Calc!$C$3,INDEX('Snowball Engine'!$AH199:$AV199,Calc!$I$12),INDEX('Avalanche Engine'!$AH199:$AV199,Calc!$J$12),INDEX('My Order Engine'!$AH199:$AV199,Calc!$K$12)),"")</f>
        <v/>
      </c>
      <c r="J197" s="25" t="str">
        <f>IF(AND($A197&lt;=IF(Calc!$C$36=999,360,Calc!$C$36),Calc!$C$13=1),CHOOSE(Calc!$C$3,INDEX('Snowball Engine'!$AH199:$AV199,Calc!$I$13),INDEX('Avalanche Engine'!$AH199:$AV199,Calc!$J$13),INDEX('My Order Engine'!$AH199:$AV199,Calc!$K$13)),"")</f>
        <v/>
      </c>
      <c r="K197" s="25" t="str">
        <f>IF(AND($A197&lt;=IF(Calc!$C$36=999,360,Calc!$C$36),Calc!$C$14=1),CHOOSE(Calc!$C$3,INDEX('Snowball Engine'!$AH199:$AV199,Calc!$I$14),INDEX('Avalanche Engine'!$AH199:$AV199,Calc!$J$14),INDEX('My Order Engine'!$AH199:$AV199,Calc!$K$14)),"")</f>
        <v/>
      </c>
      <c r="L197" s="25" t="str">
        <f>IF(AND($A197&lt;=IF(Calc!$C$36=999,360,Calc!$C$36),Calc!$C$15=1),CHOOSE(Calc!$C$3,INDEX('Snowball Engine'!$AH199:$AV199,Calc!$I$15),INDEX('Avalanche Engine'!$AH199:$AV199,Calc!$J$15),INDEX('My Order Engine'!$AH199:$AV199,Calc!$K$15)),"")</f>
        <v/>
      </c>
      <c r="M197" s="25" t="str">
        <f>IF(AND($A197&lt;=IF(Calc!$C$36=999,360,Calc!$C$36),Calc!$C$16=1),CHOOSE(Calc!$C$3,INDEX('Snowball Engine'!$AH199:$AV199,Calc!$I$16),INDEX('Avalanche Engine'!$AH199:$AV199,Calc!$J$16),INDEX('My Order Engine'!$AH199:$AV199,Calc!$K$16)),"")</f>
        <v/>
      </c>
      <c r="N197" s="25" t="str">
        <f>IF(AND($A197&lt;=IF(Calc!$C$36=999,360,Calc!$C$36),Calc!$C$17=1),CHOOSE(Calc!$C$3,INDEX('Snowball Engine'!$AH199:$AV199,Calc!$I$17),INDEX('Avalanche Engine'!$AH199:$AV199,Calc!$J$17),INDEX('My Order Engine'!$AH199:$AV199,Calc!$K$17)),"")</f>
        <v/>
      </c>
      <c r="O197" s="25" t="str">
        <f>IF(AND($A197&lt;=IF(Calc!$C$36=999,360,Calc!$C$36),Calc!$C$18=1),CHOOSE(Calc!$C$3,INDEX('Snowball Engine'!$AH199:$AV199,Calc!$I$18),INDEX('Avalanche Engine'!$AH199:$AV199,Calc!$J$18),INDEX('My Order Engine'!$AH199:$AV199,Calc!$K$18)),"")</f>
        <v/>
      </c>
      <c r="P197" s="25" t="str">
        <f>IF(AND($A197&lt;=IF(Calc!$C$36=999,360,Calc!$C$36),Calc!$C$19=1),CHOOSE(Calc!$C$3,INDEX('Snowball Engine'!$AH199:$AV199,Calc!$I$19),INDEX('Avalanche Engine'!$AH199:$AV199,Calc!$J$19),INDEX('My Order Engine'!$AH199:$AV199,Calc!$K$19)),"")</f>
        <v/>
      </c>
      <c r="Q197" s="25" t="str">
        <f>IF(AND($A197&lt;=IF(Calc!$C$36=999,360,Calc!$C$36),Calc!$C$20=1),CHOOSE(Calc!$C$3,INDEX('Snowball Engine'!$AH199:$AV199,Calc!$I$20),INDEX('Avalanche Engine'!$AH199:$AV199,Calc!$J$20),INDEX('My Order Engine'!$AH199:$AV199,Calc!$K$20)),"")</f>
        <v/>
      </c>
      <c r="R197" s="25" t="str">
        <f>IF(AND($A197&lt;=IF(Calc!$C$36=999,360,Calc!$C$36),Calc!$C$21=1),CHOOSE(Calc!$C$3,INDEX('Snowball Engine'!$AH199:$AV199,Calc!$I$21),INDEX('Avalanche Engine'!$AH199:$AV199,Calc!$J$21),INDEX('My Order Engine'!$AH199:$AV199,Calc!$K$21)),"")</f>
        <v/>
      </c>
      <c r="S197" s="25" t="str">
        <f>IF(AND($A197&lt;=IF(Calc!$C$36=999,360,Calc!$C$36),Calc!$C$22=1),CHOOSE(Calc!$C$3,INDEX('Snowball Engine'!$AH199:$AV199,Calc!$I$22),INDEX('Avalanche Engine'!$AH199:$AV199,Calc!$J$22),INDEX('My Order Engine'!$AH199:$AV199,Calc!$K$22)),"")</f>
        <v/>
      </c>
      <c r="T197" s="25" t="str">
        <f>IF(AND($A197&lt;=IF(Calc!$C$36=999,360,Calc!$C$36),Calc!$C$23=1),CHOOSE(Calc!$C$3,INDEX('Snowball Engine'!$AH199:$AV199,Calc!$I$23),INDEX('Avalanche Engine'!$AH199:$AV199,Calc!$J$23),INDEX('My Order Engine'!$AH199:$AV199,Calc!$K$23)),"")</f>
        <v/>
      </c>
      <c r="U197" s="25" t="str">
        <f>IF(AND($A197&lt;=IF(Calc!$C$36=999,360,Calc!$C$36),Calc!$C$24=1),CHOOSE(Calc!$C$3,INDEX('Snowball Engine'!$AH199:$AV199,Calc!$I$24),INDEX('Avalanche Engine'!$AH199:$AV199,Calc!$J$24),INDEX('My Order Engine'!$AH199:$AV199,Calc!$K$24)),"")</f>
        <v/>
      </c>
    </row>
    <row r="198" spans="1:21" x14ac:dyDescent="0.35">
      <c r="A198" s="23">
        <v>194</v>
      </c>
      <c r="B198" s="24" t="str">
        <f>IF($A198&lt;=IF(Calc!$C$36=999,360,Calc!$C$36),EDATE(Calc!$C$5,A198-1),"")</f>
        <v/>
      </c>
      <c r="C198" s="25" t="str">
        <f>IF($A198&lt;=IF(Calc!$C$36=999,360,Calc!$C$36),CHOOSE(Calc!$C$3,'Snowball Engine'!AY200,'Avalanche Engine'!AY200,'My Order Engine'!AY200),"")</f>
        <v/>
      </c>
      <c r="D198" s="25" t="str">
        <f>IF($A198&lt;=IF(Calc!$C$36=999,360,Calc!$C$36),CHOOSE(Calc!$C$3,'Snowball Engine'!AX200,'Avalanche Engine'!AX200,'My Order Engine'!AX200),"")</f>
        <v/>
      </c>
      <c r="E198" s="25" t="str">
        <f>IF($A198&lt;=IF(Calc!$C$36=999,360,Calc!$C$36),C198-D198,"")</f>
        <v/>
      </c>
      <c r="F198" s="25" t="str">
        <f>IF($A198&lt;=IF(Calc!$C$36=999,360,Calc!$C$36),CHOOSE(Calc!$C$3,'Snowball Engine'!AW200,'Avalanche Engine'!AW200,'My Order Engine'!AW200),"")</f>
        <v/>
      </c>
      <c r="G198" s="25" t="str">
        <f>IF(AND($A198&lt;=IF(Calc!$C$36=999,360,Calc!$C$36),Calc!$C$10=1),CHOOSE(Calc!$C$3,INDEX('Snowball Engine'!$AH200:$AV200,Calc!$I$10),INDEX('Avalanche Engine'!$AH200:$AV200,Calc!$J$10),INDEX('My Order Engine'!$AH200:$AV200,Calc!$K$10)),"")</f>
        <v/>
      </c>
      <c r="H198" s="25" t="str">
        <f>IF(AND($A198&lt;=IF(Calc!$C$36=999,360,Calc!$C$36),Calc!$C$11=1),CHOOSE(Calc!$C$3,INDEX('Snowball Engine'!$AH200:$AV200,Calc!$I$11),INDEX('Avalanche Engine'!$AH200:$AV200,Calc!$J$11),INDEX('My Order Engine'!$AH200:$AV200,Calc!$K$11)),"")</f>
        <v/>
      </c>
      <c r="I198" s="25" t="str">
        <f>IF(AND($A198&lt;=IF(Calc!$C$36=999,360,Calc!$C$36),Calc!$C$12=1),CHOOSE(Calc!$C$3,INDEX('Snowball Engine'!$AH200:$AV200,Calc!$I$12),INDEX('Avalanche Engine'!$AH200:$AV200,Calc!$J$12),INDEX('My Order Engine'!$AH200:$AV200,Calc!$K$12)),"")</f>
        <v/>
      </c>
      <c r="J198" s="25" t="str">
        <f>IF(AND($A198&lt;=IF(Calc!$C$36=999,360,Calc!$C$36),Calc!$C$13=1),CHOOSE(Calc!$C$3,INDEX('Snowball Engine'!$AH200:$AV200,Calc!$I$13),INDEX('Avalanche Engine'!$AH200:$AV200,Calc!$J$13),INDEX('My Order Engine'!$AH200:$AV200,Calc!$K$13)),"")</f>
        <v/>
      </c>
      <c r="K198" s="25" t="str">
        <f>IF(AND($A198&lt;=IF(Calc!$C$36=999,360,Calc!$C$36),Calc!$C$14=1),CHOOSE(Calc!$C$3,INDEX('Snowball Engine'!$AH200:$AV200,Calc!$I$14),INDEX('Avalanche Engine'!$AH200:$AV200,Calc!$J$14),INDEX('My Order Engine'!$AH200:$AV200,Calc!$K$14)),"")</f>
        <v/>
      </c>
      <c r="L198" s="25" t="str">
        <f>IF(AND($A198&lt;=IF(Calc!$C$36=999,360,Calc!$C$36),Calc!$C$15=1),CHOOSE(Calc!$C$3,INDEX('Snowball Engine'!$AH200:$AV200,Calc!$I$15),INDEX('Avalanche Engine'!$AH200:$AV200,Calc!$J$15),INDEX('My Order Engine'!$AH200:$AV200,Calc!$K$15)),"")</f>
        <v/>
      </c>
      <c r="M198" s="25" t="str">
        <f>IF(AND($A198&lt;=IF(Calc!$C$36=999,360,Calc!$C$36),Calc!$C$16=1),CHOOSE(Calc!$C$3,INDEX('Snowball Engine'!$AH200:$AV200,Calc!$I$16),INDEX('Avalanche Engine'!$AH200:$AV200,Calc!$J$16),INDEX('My Order Engine'!$AH200:$AV200,Calc!$K$16)),"")</f>
        <v/>
      </c>
      <c r="N198" s="25" t="str">
        <f>IF(AND($A198&lt;=IF(Calc!$C$36=999,360,Calc!$C$36),Calc!$C$17=1),CHOOSE(Calc!$C$3,INDEX('Snowball Engine'!$AH200:$AV200,Calc!$I$17),INDEX('Avalanche Engine'!$AH200:$AV200,Calc!$J$17),INDEX('My Order Engine'!$AH200:$AV200,Calc!$K$17)),"")</f>
        <v/>
      </c>
      <c r="O198" s="25" t="str">
        <f>IF(AND($A198&lt;=IF(Calc!$C$36=999,360,Calc!$C$36),Calc!$C$18=1),CHOOSE(Calc!$C$3,INDEX('Snowball Engine'!$AH200:$AV200,Calc!$I$18),INDEX('Avalanche Engine'!$AH200:$AV200,Calc!$J$18),INDEX('My Order Engine'!$AH200:$AV200,Calc!$K$18)),"")</f>
        <v/>
      </c>
      <c r="P198" s="25" t="str">
        <f>IF(AND($A198&lt;=IF(Calc!$C$36=999,360,Calc!$C$36),Calc!$C$19=1),CHOOSE(Calc!$C$3,INDEX('Snowball Engine'!$AH200:$AV200,Calc!$I$19),INDEX('Avalanche Engine'!$AH200:$AV200,Calc!$J$19),INDEX('My Order Engine'!$AH200:$AV200,Calc!$K$19)),"")</f>
        <v/>
      </c>
      <c r="Q198" s="25" t="str">
        <f>IF(AND($A198&lt;=IF(Calc!$C$36=999,360,Calc!$C$36),Calc!$C$20=1),CHOOSE(Calc!$C$3,INDEX('Snowball Engine'!$AH200:$AV200,Calc!$I$20),INDEX('Avalanche Engine'!$AH200:$AV200,Calc!$J$20),INDEX('My Order Engine'!$AH200:$AV200,Calc!$K$20)),"")</f>
        <v/>
      </c>
      <c r="R198" s="25" t="str">
        <f>IF(AND($A198&lt;=IF(Calc!$C$36=999,360,Calc!$C$36),Calc!$C$21=1),CHOOSE(Calc!$C$3,INDEX('Snowball Engine'!$AH200:$AV200,Calc!$I$21),INDEX('Avalanche Engine'!$AH200:$AV200,Calc!$J$21),INDEX('My Order Engine'!$AH200:$AV200,Calc!$K$21)),"")</f>
        <v/>
      </c>
      <c r="S198" s="25" t="str">
        <f>IF(AND($A198&lt;=IF(Calc!$C$36=999,360,Calc!$C$36),Calc!$C$22=1),CHOOSE(Calc!$C$3,INDEX('Snowball Engine'!$AH200:$AV200,Calc!$I$22),INDEX('Avalanche Engine'!$AH200:$AV200,Calc!$J$22),INDEX('My Order Engine'!$AH200:$AV200,Calc!$K$22)),"")</f>
        <v/>
      </c>
      <c r="T198" s="25" t="str">
        <f>IF(AND($A198&lt;=IF(Calc!$C$36=999,360,Calc!$C$36),Calc!$C$23=1),CHOOSE(Calc!$C$3,INDEX('Snowball Engine'!$AH200:$AV200,Calc!$I$23),INDEX('Avalanche Engine'!$AH200:$AV200,Calc!$J$23),INDEX('My Order Engine'!$AH200:$AV200,Calc!$K$23)),"")</f>
        <v/>
      </c>
      <c r="U198" s="25" t="str">
        <f>IF(AND($A198&lt;=IF(Calc!$C$36=999,360,Calc!$C$36),Calc!$C$24=1),CHOOSE(Calc!$C$3,INDEX('Snowball Engine'!$AH200:$AV200,Calc!$I$24),INDEX('Avalanche Engine'!$AH200:$AV200,Calc!$J$24),INDEX('My Order Engine'!$AH200:$AV200,Calc!$K$24)),"")</f>
        <v/>
      </c>
    </row>
    <row r="199" spans="1:21" x14ac:dyDescent="0.35">
      <c r="A199" s="23">
        <v>195</v>
      </c>
      <c r="B199" s="24" t="str">
        <f>IF($A199&lt;=IF(Calc!$C$36=999,360,Calc!$C$36),EDATE(Calc!$C$5,A199-1),"")</f>
        <v/>
      </c>
      <c r="C199" s="25" t="str">
        <f>IF($A199&lt;=IF(Calc!$C$36=999,360,Calc!$C$36),CHOOSE(Calc!$C$3,'Snowball Engine'!AY201,'Avalanche Engine'!AY201,'My Order Engine'!AY201),"")</f>
        <v/>
      </c>
      <c r="D199" s="25" t="str">
        <f>IF($A199&lt;=IF(Calc!$C$36=999,360,Calc!$C$36),CHOOSE(Calc!$C$3,'Snowball Engine'!AX201,'Avalanche Engine'!AX201,'My Order Engine'!AX201),"")</f>
        <v/>
      </c>
      <c r="E199" s="25" t="str">
        <f>IF($A199&lt;=IF(Calc!$C$36=999,360,Calc!$C$36),C199-D199,"")</f>
        <v/>
      </c>
      <c r="F199" s="25" t="str">
        <f>IF($A199&lt;=IF(Calc!$C$36=999,360,Calc!$C$36),CHOOSE(Calc!$C$3,'Snowball Engine'!AW201,'Avalanche Engine'!AW201,'My Order Engine'!AW201),"")</f>
        <v/>
      </c>
      <c r="G199" s="25" t="str">
        <f>IF(AND($A199&lt;=IF(Calc!$C$36=999,360,Calc!$C$36),Calc!$C$10=1),CHOOSE(Calc!$C$3,INDEX('Snowball Engine'!$AH201:$AV201,Calc!$I$10),INDEX('Avalanche Engine'!$AH201:$AV201,Calc!$J$10),INDEX('My Order Engine'!$AH201:$AV201,Calc!$K$10)),"")</f>
        <v/>
      </c>
      <c r="H199" s="25" t="str">
        <f>IF(AND($A199&lt;=IF(Calc!$C$36=999,360,Calc!$C$36),Calc!$C$11=1),CHOOSE(Calc!$C$3,INDEX('Snowball Engine'!$AH201:$AV201,Calc!$I$11),INDEX('Avalanche Engine'!$AH201:$AV201,Calc!$J$11),INDEX('My Order Engine'!$AH201:$AV201,Calc!$K$11)),"")</f>
        <v/>
      </c>
      <c r="I199" s="25" t="str">
        <f>IF(AND($A199&lt;=IF(Calc!$C$36=999,360,Calc!$C$36),Calc!$C$12=1),CHOOSE(Calc!$C$3,INDEX('Snowball Engine'!$AH201:$AV201,Calc!$I$12),INDEX('Avalanche Engine'!$AH201:$AV201,Calc!$J$12),INDEX('My Order Engine'!$AH201:$AV201,Calc!$K$12)),"")</f>
        <v/>
      </c>
      <c r="J199" s="25" t="str">
        <f>IF(AND($A199&lt;=IF(Calc!$C$36=999,360,Calc!$C$36),Calc!$C$13=1),CHOOSE(Calc!$C$3,INDEX('Snowball Engine'!$AH201:$AV201,Calc!$I$13),INDEX('Avalanche Engine'!$AH201:$AV201,Calc!$J$13),INDEX('My Order Engine'!$AH201:$AV201,Calc!$K$13)),"")</f>
        <v/>
      </c>
      <c r="K199" s="25" t="str">
        <f>IF(AND($A199&lt;=IF(Calc!$C$36=999,360,Calc!$C$36),Calc!$C$14=1),CHOOSE(Calc!$C$3,INDEX('Snowball Engine'!$AH201:$AV201,Calc!$I$14),INDEX('Avalanche Engine'!$AH201:$AV201,Calc!$J$14),INDEX('My Order Engine'!$AH201:$AV201,Calc!$K$14)),"")</f>
        <v/>
      </c>
      <c r="L199" s="25" t="str">
        <f>IF(AND($A199&lt;=IF(Calc!$C$36=999,360,Calc!$C$36),Calc!$C$15=1),CHOOSE(Calc!$C$3,INDEX('Snowball Engine'!$AH201:$AV201,Calc!$I$15),INDEX('Avalanche Engine'!$AH201:$AV201,Calc!$J$15),INDEX('My Order Engine'!$AH201:$AV201,Calc!$K$15)),"")</f>
        <v/>
      </c>
      <c r="M199" s="25" t="str">
        <f>IF(AND($A199&lt;=IF(Calc!$C$36=999,360,Calc!$C$36),Calc!$C$16=1),CHOOSE(Calc!$C$3,INDEX('Snowball Engine'!$AH201:$AV201,Calc!$I$16),INDEX('Avalanche Engine'!$AH201:$AV201,Calc!$J$16),INDEX('My Order Engine'!$AH201:$AV201,Calc!$K$16)),"")</f>
        <v/>
      </c>
      <c r="N199" s="25" t="str">
        <f>IF(AND($A199&lt;=IF(Calc!$C$36=999,360,Calc!$C$36),Calc!$C$17=1),CHOOSE(Calc!$C$3,INDEX('Snowball Engine'!$AH201:$AV201,Calc!$I$17),INDEX('Avalanche Engine'!$AH201:$AV201,Calc!$J$17),INDEX('My Order Engine'!$AH201:$AV201,Calc!$K$17)),"")</f>
        <v/>
      </c>
      <c r="O199" s="25" t="str">
        <f>IF(AND($A199&lt;=IF(Calc!$C$36=999,360,Calc!$C$36),Calc!$C$18=1),CHOOSE(Calc!$C$3,INDEX('Snowball Engine'!$AH201:$AV201,Calc!$I$18),INDEX('Avalanche Engine'!$AH201:$AV201,Calc!$J$18),INDEX('My Order Engine'!$AH201:$AV201,Calc!$K$18)),"")</f>
        <v/>
      </c>
      <c r="P199" s="25" t="str">
        <f>IF(AND($A199&lt;=IF(Calc!$C$36=999,360,Calc!$C$36),Calc!$C$19=1),CHOOSE(Calc!$C$3,INDEX('Snowball Engine'!$AH201:$AV201,Calc!$I$19),INDEX('Avalanche Engine'!$AH201:$AV201,Calc!$J$19),INDEX('My Order Engine'!$AH201:$AV201,Calc!$K$19)),"")</f>
        <v/>
      </c>
      <c r="Q199" s="25" t="str">
        <f>IF(AND($A199&lt;=IF(Calc!$C$36=999,360,Calc!$C$36),Calc!$C$20=1),CHOOSE(Calc!$C$3,INDEX('Snowball Engine'!$AH201:$AV201,Calc!$I$20),INDEX('Avalanche Engine'!$AH201:$AV201,Calc!$J$20),INDEX('My Order Engine'!$AH201:$AV201,Calc!$K$20)),"")</f>
        <v/>
      </c>
      <c r="R199" s="25" t="str">
        <f>IF(AND($A199&lt;=IF(Calc!$C$36=999,360,Calc!$C$36),Calc!$C$21=1),CHOOSE(Calc!$C$3,INDEX('Snowball Engine'!$AH201:$AV201,Calc!$I$21),INDEX('Avalanche Engine'!$AH201:$AV201,Calc!$J$21),INDEX('My Order Engine'!$AH201:$AV201,Calc!$K$21)),"")</f>
        <v/>
      </c>
      <c r="S199" s="25" t="str">
        <f>IF(AND($A199&lt;=IF(Calc!$C$36=999,360,Calc!$C$36),Calc!$C$22=1),CHOOSE(Calc!$C$3,INDEX('Snowball Engine'!$AH201:$AV201,Calc!$I$22),INDEX('Avalanche Engine'!$AH201:$AV201,Calc!$J$22),INDEX('My Order Engine'!$AH201:$AV201,Calc!$K$22)),"")</f>
        <v/>
      </c>
      <c r="T199" s="25" t="str">
        <f>IF(AND($A199&lt;=IF(Calc!$C$36=999,360,Calc!$C$36),Calc!$C$23=1),CHOOSE(Calc!$C$3,INDEX('Snowball Engine'!$AH201:$AV201,Calc!$I$23),INDEX('Avalanche Engine'!$AH201:$AV201,Calc!$J$23),INDEX('My Order Engine'!$AH201:$AV201,Calc!$K$23)),"")</f>
        <v/>
      </c>
      <c r="U199" s="25" t="str">
        <f>IF(AND($A199&lt;=IF(Calc!$C$36=999,360,Calc!$C$36),Calc!$C$24=1),CHOOSE(Calc!$C$3,INDEX('Snowball Engine'!$AH201:$AV201,Calc!$I$24),INDEX('Avalanche Engine'!$AH201:$AV201,Calc!$J$24),INDEX('My Order Engine'!$AH201:$AV201,Calc!$K$24)),"")</f>
        <v/>
      </c>
    </row>
    <row r="200" spans="1:21" x14ac:dyDescent="0.35">
      <c r="A200" s="23">
        <v>196</v>
      </c>
      <c r="B200" s="24" t="str">
        <f>IF($A200&lt;=IF(Calc!$C$36=999,360,Calc!$C$36),EDATE(Calc!$C$5,A200-1),"")</f>
        <v/>
      </c>
      <c r="C200" s="25" t="str">
        <f>IF($A200&lt;=IF(Calc!$C$36=999,360,Calc!$C$36),CHOOSE(Calc!$C$3,'Snowball Engine'!AY202,'Avalanche Engine'!AY202,'My Order Engine'!AY202),"")</f>
        <v/>
      </c>
      <c r="D200" s="25" t="str">
        <f>IF($A200&lt;=IF(Calc!$C$36=999,360,Calc!$C$36),CHOOSE(Calc!$C$3,'Snowball Engine'!AX202,'Avalanche Engine'!AX202,'My Order Engine'!AX202),"")</f>
        <v/>
      </c>
      <c r="E200" s="25" t="str">
        <f>IF($A200&lt;=IF(Calc!$C$36=999,360,Calc!$C$36),C200-D200,"")</f>
        <v/>
      </c>
      <c r="F200" s="25" t="str">
        <f>IF($A200&lt;=IF(Calc!$C$36=999,360,Calc!$C$36),CHOOSE(Calc!$C$3,'Snowball Engine'!AW202,'Avalanche Engine'!AW202,'My Order Engine'!AW202),"")</f>
        <v/>
      </c>
      <c r="G200" s="25" t="str">
        <f>IF(AND($A200&lt;=IF(Calc!$C$36=999,360,Calc!$C$36),Calc!$C$10=1),CHOOSE(Calc!$C$3,INDEX('Snowball Engine'!$AH202:$AV202,Calc!$I$10),INDEX('Avalanche Engine'!$AH202:$AV202,Calc!$J$10),INDEX('My Order Engine'!$AH202:$AV202,Calc!$K$10)),"")</f>
        <v/>
      </c>
      <c r="H200" s="25" t="str">
        <f>IF(AND($A200&lt;=IF(Calc!$C$36=999,360,Calc!$C$36),Calc!$C$11=1),CHOOSE(Calc!$C$3,INDEX('Snowball Engine'!$AH202:$AV202,Calc!$I$11),INDEX('Avalanche Engine'!$AH202:$AV202,Calc!$J$11),INDEX('My Order Engine'!$AH202:$AV202,Calc!$K$11)),"")</f>
        <v/>
      </c>
      <c r="I200" s="25" t="str">
        <f>IF(AND($A200&lt;=IF(Calc!$C$36=999,360,Calc!$C$36),Calc!$C$12=1),CHOOSE(Calc!$C$3,INDEX('Snowball Engine'!$AH202:$AV202,Calc!$I$12),INDEX('Avalanche Engine'!$AH202:$AV202,Calc!$J$12),INDEX('My Order Engine'!$AH202:$AV202,Calc!$K$12)),"")</f>
        <v/>
      </c>
      <c r="J200" s="25" t="str">
        <f>IF(AND($A200&lt;=IF(Calc!$C$36=999,360,Calc!$C$36),Calc!$C$13=1),CHOOSE(Calc!$C$3,INDEX('Snowball Engine'!$AH202:$AV202,Calc!$I$13),INDEX('Avalanche Engine'!$AH202:$AV202,Calc!$J$13),INDEX('My Order Engine'!$AH202:$AV202,Calc!$K$13)),"")</f>
        <v/>
      </c>
      <c r="K200" s="25" t="str">
        <f>IF(AND($A200&lt;=IF(Calc!$C$36=999,360,Calc!$C$36),Calc!$C$14=1),CHOOSE(Calc!$C$3,INDEX('Snowball Engine'!$AH202:$AV202,Calc!$I$14),INDEX('Avalanche Engine'!$AH202:$AV202,Calc!$J$14),INDEX('My Order Engine'!$AH202:$AV202,Calc!$K$14)),"")</f>
        <v/>
      </c>
      <c r="L200" s="25" t="str">
        <f>IF(AND($A200&lt;=IF(Calc!$C$36=999,360,Calc!$C$36),Calc!$C$15=1),CHOOSE(Calc!$C$3,INDEX('Snowball Engine'!$AH202:$AV202,Calc!$I$15),INDEX('Avalanche Engine'!$AH202:$AV202,Calc!$J$15),INDEX('My Order Engine'!$AH202:$AV202,Calc!$K$15)),"")</f>
        <v/>
      </c>
      <c r="M200" s="25" t="str">
        <f>IF(AND($A200&lt;=IF(Calc!$C$36=999,360,Calc!$C$36),Calc!$C$16=1),CHOOSE(Calc!$C$3,INDEX('Snowball Engine'!$AH202:$AV202,Calc!$I$16),INDEX('Avalanche Engine'!$AH202:$AV202,Calc!$J$16),INDEX('My Order Engine'!$AH202:$AV202,Calc!$K$16)),"")</f>
        <v/>
      </c>
      <c r="N200" s="25" t="str">
        <f>IF(AND($A200&lt;=IF(Calc!$C$36=999,360,Calc!$C$36),Calc!$C$17=1),CHOOSE(Calc!$C$3,INDEX('Snowball Engine'!$AH202:$AV202,Calc!$I$17),INDEX('Avalanche Engine'!$AH202:$AV202,Calc!$J$17),INDEX('My Order Engine'!$AH202:$AV202,Calc!$K$17)),"")</f>
        <v/>
      </c>
      <c r="O200" s="25" t="str">
        <f>IF(AND($A200&lt;=IF(Calc!$C$36=999,360,Calc!$C$36),Calc!$C$18=1),CHOOSE(Calc!$C$3,INDEX('Snowball Engine'!$AH202:$AV202,Calc!$I$18),INDEX('Avalanche Engine'!$AH202:$AV202,Calc!$J$18),INDEX('My Order Engine'!$AH202:$AV202,Calc!$K$18)),"")</f>
        <v/>
      </c>
      <c r="P200" s="25" t="str">
        <f>IF(AND($A200&lt;=IF(Calc!$C$36=999,360,Calc!$C$36),Calc!$C$19=1),CHOOSE(Calc!$C$3,INDEX('Snowball Engine'!$AH202:$AV202,Calc!$I$19),INDEX('Avalanche Engine'!$AH202:$AV202,Calc!$J$19),INDEX('My Order Engine'!$AH202:$AV202,Calc!$K$19)),"")</f>
        <v/>
      </c>
      <c r="Q200" s="25" t="str">
        <f>IF(AND($A200&lt;=IF(Calc!$C$36=999,360,Calc!$C$36),Calc!$C$20=1),CHOOSE(Calc!$C$3,INDEX('Snowball Engine'!$AH202:$AV202,Calc!$I$20),INDEX('Avalanche Engine'!$AH202:$AV202,Calc!$J$20),INDEX('My Order Engine'!$AH202:$AV202,Calc!$K$20)),"")</f>
        <v/>
      </c>
      <c r="R200" s="25" t="str">
        <f>IF(AND($A200&lt;=IF(Calc!$C$36=999,360,Calc!$C$36),Calc!$C$21=1),CHOOSE(Calc!$C$3,INDEX('Snowball Engine'!$AH202:$AV202,Calc!$I$21),INDEX('Avalanche Engine'!$AH202:$AV202,Calc!$J$21),INDEX('My Order Engine'!$AH202:$AV202,Calc!$K$21)),"")</f>
        <v/>
      </c>
      <c r="S200" s="25" t="str">
        <f>IF(AND($A200&lt;=IF(Calc!$C$36=999,360,Calc!$C$36),Calc!$C$22=1),CHOOSE(Calc!$C$3,INDEX('Snowball Engine'!$AH202:$AV202,Calc!$I$22),INDEX('Avalanche Engine'!$AH202:$AV202,Calc!$J$22),INDEX('My Order Engine'!$AH202:$AV202,Calc!$K$22)),"")</f>
        <v/>
      </c>
      <c r="T200" s="25" t="str">
        <f>IF(AND($A200&lt;=IF(Calc!$C$36=999,360,Calc!$C$36),Calc!$C$23=1),CHOOSE(Calc!$C$3,INDEX('Snowball Engine'!$AH202:$AV202,Calc!$I$23),INDEX('Avalanche Engine'!$AH202:$AV202,Calc!$J$23),INDEX('My Order Engine'!$AH202:$AV202,Calc!$K$23)),"")</f>
        <v/>
      </c>
      <c r="U200" s="25" t="str">
        <f>IF(AND($A200&lt;=IF(Calc!$C$36=999,360,Calc!$C$36),Calc!$C$24=1),CHOOSE(Calc!$C$3,INDEX('Snowball Engine'!$AH202:$AV202,Calc!$I$24),INDEX('Avalanche Engine'!$AH202:$AV202,Calc!$J$24),INDEX('My Order Engine'!$AH202:$AV202,Calc!$K$24)),"")</f>
        <v/>
      </c>
    </row>
    <row r="201" spans="1:21" x14ac:dyDescent="0.35">
      <c r="A201" s="23">
        <v>197</v>
      </c>
      <c r="B201" s="24" t="str">
        <f>IF($A201&lt;=IF(Calc!$C$36=999,360,Calc!$C$36),EDATE(Calc!$C$5,A201-1),"")</f>
        <v/>
      </c>
      <c r="C201" s="25" t="str">
        <f>IF($A201&lt;=IF(Calc!$C$36=999,360,Calc!$C$36),CHOOSE(Calc!$C$3,'Snowball Engine'!AY203,'Avalanche Engine'!AY203,'My Order Engine'!AY203),"")</f>
        <v/>
      </c>
      <c r="D201" s="25" t="str">
        <f>IF($A201&lt;=IF(Calc!$C$36=999,360,Calc!$C$36),CHOOSE(Calc!$C$3,'Snowball Engine'!AX203,'Avalanche Engine'!AX203,'My Order Engine'!AX203),"")</f>
        <v/>
      </c>
      <c r="E201" s="25" t="str">
        <f>IF($A201&lt;=IF(Calc!$C$36=999,360,Calc!$C$36),C201-D201,"")</f>
        <v/>
      </c>
      <c r="F201" s="25" t="str">
        <f>IF($A201&lt;=IF(Calc!$C$36=999,360,Calc!$C$36),CHOOSE(Calc!$C$3,'Snowball Engine'!AW203,'Avalanche Engine'!AW203,'My Order Engine'!AW203),"")</f>
        <v/>
      </c>
      <c r="G201" s="25" t="str">
        <f>IF(AND($A201&lt;=IF(Calc!$C$36=999,360,Calc!$C$36),Calc!$C$10=1),CHOOSE(Calc!$C$3,INDEX('Snowball Engine'!$AH203:$AV203,Calc!$I$10),INDEX('Avalanche Engine'!$AH203:$AV203,Calc!$J$10),INDEX('My Order Engine'!$AH203:$AV203,Calc!$K$10)),"")</f>
        <v/>
      </c>
      <c r="H201" s="25" t="str">
        <f>IF(AND($A201&lt;=IF(Calc!$C$36=999,360,Calc!$C$36),Calc!$C$11=1),CHOOSE(Calc!$C$3,INDEX('Snowball Engine'!$AH203:$AV203,Calc!$I$11),INDEX('Avalanche Engine'!$AH203:$AV203,Calc!$J$11),INDEX('My Order Engine'!$AH203:$AV203,Calc!$K$11)),"")</f>
        <v/>
      </c>
      <c r="I201" s="25" t="str">
        <f>IF(AND($A201&lt;=IF(Calc!$C$36=999,360,Calc!$C$36),Calc!$C$12=1),CHOOSE(Calc!$C$3,INDEX('Snowball Engine'!$AH203:$AV203,Calc!$I$12),INDEX('Avalanche Engine'!$AH203:$AV203,Calc!$J$12),INDEX('My Order Engine'!$AH203:$AV203,Calc!$K$12)),"")</f>
        <v/>
      </c>
      <c r="J201" s="25" t="str">
        <f>IF(AND($A201&lt;=IF(Calc!$C$36=999,360,Calc!$C$36),Calc!$C$13=1),CHOOSE(Calc!$C$3,INDEX('Snowball Engine'!$AH203:$AV203,Calc!$I$13),INDEX('Avalanche Engine'!$AH203:$AV203,Calc!$J$13),INDEX('My Order Engine'!$AH203:$AV203,Calc!$K$13)),"")</f>
        <v/>
      </c>
      <c r="K201" s="25" t="str">
        <f>IF(AND($A201&lt;=IF(Calc!$C$36=999,360,Calc!$C$36),Calc!$C$14=1),CHOOSE(Calc!$C$3,INDEX('Snowball Engine'!$AH203:$AV203,Calc!$I$14),INDEX('Avalanche Engine'!$AH203:$AV203,Calc!$J$14),INDEX('My Order Engine'!$AH203:$AV203,Calc!$K$14)),"")</f>
        <v/>
      </c>
      <c r="L201" s="25" t="str">
        <f>IF(AND($A201&lt;=IF(Calc!$C$36=999,360,Calc!$C$36),Calc!$C$15=1),CHOOSE(Calc!$C$3,INDEX('Snowball Engine'!$AH203:$AV203,Calc!$I$15),INDEX('Avalanche Engine'!$AH203:$AV203,Calc!$J$15),INDEX('My Order Engine'!$AH203:$AV203,Calc!$K$15)),"")</f>
        <v/>
      </c>
      <c r="M201" s="25" t="str">
        <f>IF(AND($A201&lt;=IF(Calc!$C$36=999,360,Calc!$C$36),Calc!$C$16=1),CHOOSE(Calc!$C$3,INDEX('Snowball Engine'!$AH203:$AV203,Calc!$I$16),INDEX('Avalanche Engine'!$AH203:$AV203,Calc!$J$16),INDEX('My Order Engine'!$AH203:$AV203,Calc!$K$16)),"")</f>
        <v/>
      </c>
      <c r="N201" s="25" t="str">
        <f>IF(AND($A201&lt;=IF(Calc!$C$36=999,360,Calc!$C$36),Calc!$C$17=1),CHOOSE(Calc!$C$3,INDEX('Snowball Engine'!$AH203:$AV203,Calc!$I$17),INDEX('Avalanche Engine'!$AH203:$AV203,Calc!$J$17),INDEX('My Order Engine'!$AH203:$AV203,Calc!$K$17)),"")</f>
        <v/>
      </c>
      <c r="O201" s="25" t="str">
        <f>IF(AND($A201&lt;=IF(Calc!$C$36=999,360,Calc!$C$36),Calc!$C$18=1),CHOOSE(Calc!$C$3,INDEX('Snowball Engine'!$AH203:$AV203,Calc!$I$18),INDEX('Avalanche Engine'!$AH203:$AV203,Calc!$J$18),INDEX('My Order Engine'!$AH203:$AV203,Calc!$K$18)),"")</f>
        <v/>
      </c>
      <c r="P201" s="25" t="str">
        <f>IF(AND($A201&lt;=IF(Calc!$C$36=999,360,Calc!$C$36),Calc!$C$19=1),CHOOSE(Calc!$C$3,INDEX('Snowball Engine'!$AH203:$AV203,Calc!$I$19),INDEX('Avalanche Engine'!$AH203:$AV203,Calc!$J$19),INDEX('My Order Engine'!$AH203:$AV203,Calc!$K$19)),"")</f>
        <v/>
      </c>
      <c r="Q201" s="25" t="str">
        <f>IF(AND($A201&lt;=IF(Calc!$C$36=999,360,Calc!$C$36),Calc!$C$20=1),CHOOSE(Calc!$C$3,INDEX('Snowball Engine'!$AH203:$AV203,Calc!$I$20),INDEX('Avalanche Engine'!$AH203:$AV203,Calc!$J$20),INDEX('My Order Engine'!$AH203:$AV203,Calc!$K$20)),"")</f>
        <v/>
      </c>
      <c r="R201" s="25" t="str">
        <f>IF(AND($A201&lt;=IF(Calc!$C$36=999,360,Calc!$C$36),Calc!$C$21=1),CHOOSE(Calc!$C$3,INDEX('Snowball Engine'!$AH203:$AV203,Calc!$I$21),INDEX('Avalanche Engine'!$AH203:$AV203,Calc!$J$21),INDEX('My Order Engine'!$AH203:$AV203,Calc!$K$21)),"")</f>
        <v/>
      </c>
      <c r="S201" s="25" t="str">
        <f>IF(AND($A201&lt;=IF(Calc!$C$36=999,360,Calc!$C$36),Calc!$C$22=1),CHOOSE(Calc!$C$3,INDEX('Snowball Engine'!$AH203:$AV203,Calc!$I$22),INDEX('Avalanche Engine'!$AH203:$AV203,Calc!$J$22),INDEX('My Order Engine'!$AH203:$AV203,Calc!$K$22)),"")</f>
        <v/>
      </c>
      <c r="T201" s="25" t="str">
        <f>IF(AND($A201&lt;=IF(Calc!$C$36=999,360,Calc!$C$36),Calc!$C$23=1),CHOOSE(Calc!$C$3,INDEX('Snowball Engine'!$AH203:$AV203,Calc!$I$23),INDEX('Avalanche Engine'!$AH203:$AV203,Calc!$J$23),INDEX('My Order Engine'!$AH203:$AV203,Calc!$K$23)),"")</f>
        <v/>
      </c>
      <c r="U201" s="25" t="str">
        <f>IF(AND($A201&lt;=IF(Calc!$C$36=999,360,Calc!$C$36),Calc!$C$24=1),CHOOSE(Calc!$C$3,INDEX('Snowball Engine'!$AH203:$AV203,Calc!$I$24),INDEX('Avalanche Engine'!$AH203:$AV203,Calc!$J$24),INDEX('My Order Engine'!$AH203:$AV203,Calc!$K$24)),"")</f>
        <v/>
      </c>
    </row>
    <row r="202" spans="1:21" x14ac:dyDescent="0.35">
      <c r="A202" s="23">
        <v>198</v>
      </c>
      <c r="B202" s="24" t="str">
        <f>IF($A202&lt;=IF(Calc!$C$36=999,360,Calc!$C$36),EDATE(Calc!$C$5,A202-1),"")</f>
        <v/>
      </c>
      <c r="C202" s="25" t="str">
        <f>IF($A202&lt;=IF(Calc!$C$36=999,360,Calc!$C$36),CHOOSE(Calc!$C$3,'Snowball Engine'!AY204,'Avalanche Engine'!AY204,'My Order Engine'!AY204),"")</f>
        <v/>
      </c>
      <c r="D202" s="25" t="str">
        <f>IF($A202&lt;=IF(Calc!$C$36=999,360,Calc!$C$36),CHOOSE(Calc!$C$3,'Snowball Engine'!AX204,'Avalanche Engine'!AX204,'My Order Engine'!AX204),"")</f>
        <v/>
      </c>
      <c r="E202" s="25" t="str">
        <f>IF($A202&lt;=IF(Calc!$C$36=999,360,Calc!$C$36),C202-D202,"")</f>
        <v/>
      </c>
      <c r="F202" s="25" t="str">
        <f>IF($A202&lt;=IF(Calc!$C$36=999,360,Calc!$C$36),CHOOSE(Calc!$C$3,'Snowball Engine'!AW204,'Avalanche Engine'!AW204,'My Order Engine'!AW204),"")</f>
        <v/>
      </c>
      <c r="G202" s="25" t="str">
        <f>IF(AND($A202&lt;=IF(Calc!$C$36=999,360,Calc!$C$36),Calc!$C$10=1),CHOOSE(Calc!$C$3,INDEX('Snowball Engine'!$AH204:$AV204,Calc!$I$10),INDEX('Avalanche Engine'!$AH204:$AV204,Calc!$J$10),INDEX('My Order Engine'!$AH204:$AV204,Calc!$K$10)),"")</f>
        <v/>
      </c>
      <c r="H202" s="25" t="str">
        <f>IF(AND($A202&lt;=IF(Calc!$C$36=999,360,Calc!$C$36),Calc!$C$11=1),CHOOSE(Calc!$C$3,INDEX('Snowball Engine'!$AH204:$AV204,Calc!$I$11),INDEX('Avalanche Engine'!$AH204:$AV204,Calc!$J$11),INDEX('My Order Engine'!$AH204:$AV204,Calc!$K$11)),"")</f>
        <v/>
      </c>
      <c r="I202" s="25" t="str">
        <f>IF(AND($A202&lt;=IF(Calc!$C$36=999,360,Calc!$C$36),Calc!$C$12=1),CHOOSE(Calc!$C$3,INDEX('Snowball Engine'!$AH204:$AV204,Calc!$I$12),INDEX('Avalanche Engine'!$AH204:$AV204,Calc!$J$12),INDEX('My Order Engine'!$AH204:$AV204,Calc!$K$12)),"")</f>
        <v/>
      </c>
      <c r="J202" s="25" t="str">
        <f>IF(AND($A202&lt;=IF(Calc!$C$36=999,360,Calc!$C$36),Calc!$C$13=1),CHOOSE(Calc!$C$3,INDEX('Snowball Engine'!$AH204:$AV204,Calc!$I$13),INDEX('Avalanche Engine'!$AH204:$AV204,Calc!$J$13),INDEX('My Order Engine'!$AH204:$AV204,Calc!$K$13)),"")</f>
        <v/>
      </c>
      <c r="K202" s="25" t="str">
        <f>IF(AND($A202&lt;=IF(Calc!$C$36=999,360,Calc!$C$36),Calc!$C$14=1),CHOOSE(Calc!$C$3,INDEX('Snowball Engine'!$AH204:$AV204,Calc!$I$14),INDEX('Avalanche Engine'!$AH204:$AV204,Calc!$J$14),INDEX('My Order Engine'!$AH204:$AV204,Calc!$K$14)),"")</f>
        <v/>
      </c>
      <c r="L202" s="25" t="str">
        <f>IF(AND($A202&lt;=IF(Calc!$C$36=999,360,Calc!$C$36),Calc!$C$15=1),CHOOSE(Calc!$C$3,INDEX('Snowball Engine'!$AH204:$AV204,Calc!$I$15),INDEX('Avalanche Engine'!$AH204:$AV204,Calc!$J$15),INDEX('My Order Engine'!$AH204:$AV204,Calc!$K$15)),"")</f>
        <v/>
      </c>
      <c r="M202" s="25" t="str">
        <f>IF(AND($A202&lt;=IF(Calc!$C$36=999,360,Calc!$C$36),Calc!$C$16=1),CHOOSE(Calc!$C$3,INDEX('Snowball Engine'!$AH204:$AV204,Calc!$I$16),INDEX('Avalanche Engine'!$AH204:$AV204,Calc!$J$16),INDEX('My Order Engine'!$AH204:$AV204,Calc!$K$16)),"")</f>
        <v/>
      </c>
      <c r="N202" s="25" t="str">
        <f>IF(AND($A202&lt;=IF(Calc!$C$36=999,360,Calc!$C$36),Calc!$C$17=1),CHOOSE(Calc!$C$3,INDEX('Snowball Engine'!$AH204:$AV204,Calc!$I$17),INDEX('Avalanche Engine'!$AH204:$AV204,Calc!$J$17),INDEX('My Order Engine'!$AH204:$AV204,Calc!$K$17)),"")</f>
        <v/>
      </c>
      <c r="O202" s="25" t="str">
        <f>IF(AND($A202&lt;=IF(Calc!$C$36=999,360,Calc!$C$36),Calc!$C$18=1),CHOOSE(Calc!$C$3,INDEX('Snowball Engine'!$AH204:$AV204,Calc!$I$18),INDEX('Avalanche Engine'!$AH204:$AV204,Calc!$J$18),INDEX('My Order Engine'!$AH204:$AV204,Calc!$K$18)),"")</f>
        <v/>
      </c>
      <c r="P202" s="25" t="str">
        <f>IF(AND($A202&lt;=IF(Calc!$C$36=999,360,Calc!$C$36),Calc!$C$19=1),CHOOSE(Calc!$C$3,INDEX('Snowball Engine'!$AH204:$AV204,Calc!$I$19),INDEX('Avalanche Engine'!$AH204:$AV204,Calc!$J$19),INDEX('My Order Engine'!$AH204:$AV204,Calc!$K$19)),"")</f>
        <v/>
      </c>
      <c r="Q202" s="25" t="str">
        <f>IF(AND($A202&lt;=IF(Calc!$C$36=999,360,Calc!$C$36),Calc!$C$20=1),CHOOSE(Calc!$C$3,INDEX('Snowball Engine'!$AH204:$AV204,Calc!$I$20),INDEX('Avalanche Engine'!$AH204:$AV204,Calc!$J$20),INDEX('My Order Engine'!$AH204:$AV204,Calc!$K$20)),"")</f>
        <v/>
      </c>
      <c r="R202" s="25" t="str">
        <f>IF(AND($A202&lt;=IF(Calc!$C$36=999,360,Calc!$C$36),Calc!$C$21=1),CHOOSE(Calc!$C$3,INDEX('Snowball Engine'!$AH204:$AV204,Calc!$I$21),INDEX('Avalanche Engine'!$AH204:$AV204,Calc!$J$21),INDEX('My Order Engine'!$AH204:$AV204,Calc!$K$21)),"")</f>
        <v/>
      </c>
      <c r="S202" s="25" t="str">
        <f>IF(AND($A202&lt;=IF(Calc!$C$36=999,360,Calc!$C$36),Calc!$C$22=1),CHOOSE(Calc!$C$3,INDEX('Snowball Engine'!$AH204:$AV204,Calc!$I$22),INDEX('Avalanche Engine'!$AH204:$AV204,Calc!$J$22),INDEX('My Order Engine'!$AH204:$AV204,Calc!$K$22)),"")</f>
        <v/>
      </c>
      <c r="T202" s="25" t="str">
        <f>IF(AND($A202&lt;=IF(Calc!$C$36=999,360,Calc!$C$36),Calc!$C$23=1),CHOOSE(Calc!$C$3,INDEX('Snowball Engine'!$AH204:$AV204,Calc!$I$23),INDEX('Avalanche Engine'!$AH204:$AV204,Calc!$J$23),INDEX('My Order Engine'!$AH204:$AV204,Calc!$K$23)),"")</f>
        <v/>
      </c>
      <c r="U202" s="25" t="str">
        <f>IF(AND($A202&lt;=IF(Calc!$C$36=999,360,Calc!$C$36),Calc!$C$24=1),CHOOSE(Calc!$C$3,INDEX('Snowball Engine'!$AH204:$AV204,Calc!$I$24),INDEX('Avalanche Engine'!$AH204:$AV204,Calc!$J$24),INDEX('My Order Engine'!$AH204:$AV204,Calc!$K$24)),"")</f>
        <v/>
      </c>
    </row>
    <row r="203" spans="1:21" x14ac:dyDescent="0.35">
      <c r="A203" s="23">
        <v>199</v>
      </c>
      <c r="B203" s="24" t="str">
        <f>IF($A203&lt;=IF(Calc!$C$36=999,360,Calc!$C$36),EDATE(Calc!$C$5,A203-1),"")</f>
        <v/>
      </c>
      <c r="C203" s="25" t="str">
        <f>IF($A203&lt;=IF(Calc!$C$36=999,360,Calc!$C$36),CHOOSE(Calc!$C$3,'Snowball Engine'!AY205,'Avalanche Engine'!AY205,'My Order Engine'!AY205),"")</f>
        <v/>
      </c>
      <c r="D203" s="25" t="str">
        <f>IF($A203&lt;=IF(Calc!$C$36=999,360,Calc!$C$36),CHOOSE(Calc!$C$3,'Snowball Engine'!AX205,'Avalanche Engine'!AX205,'My Order Engine'!AX205),"")</f>
        <v/>
      </c>
      <c r="E203" s="25" t="str">
        <f>IF($A203&lt;=IF(Calc!$C$36=999,360,Calc!$C$36),C203-D203,"")</f>
        <v/>
      </c>
      <c r="F203" s="25" t="str">
        <f>IF($A203&lt;=IF(Calc!$C$36=999,360,Calc!$C$36),CHOOSE(Calc!$C$3,'Snowball Engine'!AW205,'Avalanche Engine'!AW205,'My Order Engine'!AW205),"")</f>
        <v/>
      </c>
      <c r="G203" s="25" t="str">
        <f>IF(AND($A203&lt;=IF(Calc!$C$36=999,360,Calc!$C$36),Calc!$C$10=1),CHOOSE(Calc!$C$3,INDEX('Snowball Engine'!$AH205:$AV205,Calc!$I$10),INDEX('Avalanche Engine'!$AH205:$AV205,Calc!$J$10),INDEX('My Order Engine'!$AH205:$AV205,Calc!$K$10)),"")</f>
        <v/>
      </c>
      <c r="H203" s="25" t="str">
        <f>IF(AND($A203&lt;=IF(Calc!$C$36=999,360,Calc!$C$36),Calc!$C$11=1),CHOOSE(Calc!$C$3,INDEX('Snowball Engine'!$AH205:$AV205,Calc!$I$11),INDEX('Avalanche Engine'!$AH205:$AV205,Calc!$J$11),INDEX('My Order Engine'!$AH205:$AV205,Calc!$K$11)),"")</f>
        <v/>
      </c>
      <c r="I203" s="25" t="str">
        <f>IF(AND($A203&lt;=IF(Calc!$C$36=999,360,Calc!$C$36),Calc!$C$12=1),CHOOSE(Calc!$C$3,INDEX('Snowball Engine'!$AH205:$AV205,Calc!$I$12),INDEX('Avalanche Engine'!$AH205:$AV205,Calc!$J$12),INDEX('My Order Engine'!$AH205:$AV205,Calc!$K$12)),"")</f>
        <v/>
      </c>
      <c r="J203" s="25" t="str">
        <f>IF(AND($A203&lt;=IF(Calc!$C$36=999,360,Calc!$C$36),Calc!$C$13=1),CHOOSE(Calc!$C$3,INDEX('Snowball Engine'!$AH205:$AV205,Calc!$I$13),INDEX('Avalanche Engine'!$AH205:$AV205,Calc!$J$13),INDEX('My Order Engine'!$AH205:$AV205,Calc!$K$13)),"")</f>
        <v/>
      </c>
      <c r="K203" s="25" t="str">
        <f>IF(AND($A203&lt;=IF(Calc!$C$36=999,360,Calc!$C$36),Calc!$C$14=1),CHOOSE(Calc!$C$3,INDEX('Snowball Engine'!$AH205:$AV205,Calc!$I$14),INDEX('Avalanche Engine'!$AH205:$AV205,Calc!$J$14),INDEX('My Order Engine'!$AH205:$AV205,Calc!$K$14)),"")</f>
        <v/>
      </c>
      <c r="L203" s="25" t="str">
        <f>IF(AND($A203&lt;=IF(Calc!$C$36=999,360,Calc!$C$36),Calc!$C$15=1),CHOOSE(Calc!$C$3,INDEX('Snowball Engine'!$AH205:$AV205,Calc!$I$15),INDEX('Avalanche Engine'!$AH205:$AV205,Calc!$J$15),INDEX('My Order Engine'!$AH205:$AV205,Calc!$K$15)),"")</f>
        <v/>
      </c>
      <c r="M203" s="25" t="str">
        <f>IF(AND($A203&lt;=IF(Calc!$C$36=999,360,Calc!$C$36),Calc!$C$16=1),CHOOSE(Calc!$C$3,INDEX('Snowball Engine'!$AH205:$AV205,Calc!$I$16),INDEX('Avalanche Engine'!$AH205:$AV205,Calc!$J$16),INDEX('My Order Engine'!$AH205:$AV205,Calc!$K$16)),"")</f>
        <v/>
      </c>
      <c r="N203" s="25" t="str">
        <f>IF(AND($A203&lt;=IF(Calc!$C$36=999,360,Calc!$C$36),Calc!$C$17=1),CHOOSE(Calc!$C$3,INDEX('Snowball Engine'!$AH205:$AV205,Calc!$I$17),INDEX('Avalanche Engine'!$AH205:$AV205,Calc!$J$17),INDEX('My Order Engine'!$AH205:$AV205,Calc!$K$17)),"")</f>
        <v/>
      </c>
      <c r="O203" s="25" t="str">
        <f>IF(AND($A203&lt;=IF(Calc!$C$36=999,360,Calc!$C$36),Calc!$C$18=1),CHOOSE(Calc!$C$3,INDEX('Snowball Engine'!$AH205:$AV205,Calc!$I$18),INDEX('Avalanche Engine'!$AH205:$AV205,Calc!$J$18),INDEX('My Order Engine'!$AH205:$AV205,Calc!$K$18)),"")</f>
        <v/>
      </c>
      <c r="P203" s="25" t="str">
        <f>IF(AND($A203&lt;=IF(Calc!$C$36=999,360,Calc!$C$36),Calc!$C$19=1),CHOOSE(Calc!$C$3,INDEX('Snowball Engine'!$AH205:$AV205,Calc!$I$19),INDEX('Avalanche Engine'!$AH205:$AV205,Calc!$J$19),INDEX('My Order Engine'!$AH205:$AV205,Calc!$K$19)),"")</f>
        <v/>
      </c>
      <c r="Q203" s="25" t="str">
        <f>IF(AND($A203&lt;=IF(Calc!$C$36=999,360,Calc!$C$36),Calc!$C$20=1),CHOOSE(Calc!$C$3,INDEX('Snowball Engine'!$AH205:$AV205,Calc!$I$20),INDEX('Avalanche Engine'!$AH205:$AV205,Calc!$J$20),INDEX('My Order Engine'!$AH205:$AV205,Calc!$K$20)),"")</f>
        <v/>
      </c>
      <c r="R203" s="25" t="str">
        <f>IF(AND($A203&lt;=IF(Calc!$C$36=999,360,Calc!$C$36),Calc!$C$21=1),CHOOSE(Calc!$C$3,INDEX('Snowball Engine'!$AH205:$AV205,Calc!$I$21),INDEX('Avalanche Engine'!$AH205:$AV205,Calc!$J$21),INDEX('My Order Engine'!$AH205:$AV205,Calc!$K$21)),"")</f>
        <v/>
      </c>
      <c r="S203" s="25" t="str">
        <f>IF(AND($A203&lt;=IF(Calc!$C$36=999,360,Calc!$C$36),Calc!$C$22=1),CHOOSE(Calc!$C$3,INDEX('Snowball Engine'!$AH205:$AV205,Calc!$I$22),INDEX('Avalanche Engine'!$AH205:$AV205,Calc!$J$22),INDEX('My Order Engine'!$AH205:$AV205,Calc!$K$22)),"")</f>
        <v/>
      </c>
      <c r="T203" s="25" t="str">
        <f>IF(AND($A203&lt;=IF(Calc!$C$36=999,360,Calc!$C$36),Calc!$C$23=1),CHOOSE(Calc!$C$3,INDEX('Snowball Engine'!$AH205:$AV205,Calc!$I$23),INDEX('Avalanche Engine'!$AH205:$AV205,Calc!$J$23),INDEX('My Order Engine'!$AH205:$AV205,Calc!$K$23)),"")</f>
        <v/>
      </c>
      <c r="U203" s="25" t="str">
        <f>IF(AND($A203&lt;=IF(Calc!$C$36=999,360,Calc!$C$36),Calc!$C$24=1),CHOOSE(Calc!$C$3,INDEX('Snowball Engine'!$AH205:$AV205,Calc!$I$24),INDEX('Avalanche Engine'!$AH205:$AV205,Calc!$J$24),INDEX('My Order Engine'!$AH205:$AV205,Calc!$K$24)),"")</f>
        <v/>
      </c>
    </row>
    <row r="204" spans="1:21" x14ac:dyDescent="0.35">
      <c r="A204" s="23">
        <v>200</v>
      </c>
      <c r="B204" s="24" t="str">
        <f>IF($A204&lt;=IF(Calc!$C$36=999,360,Calc!$C$36),EDATE(Calc!$C$5,A204-1),"")</f>
        <v/>
      </c>
      <c r="C204" s="25" t="str">
        <f>IF($A204&lt;=IF(Calc!$C$36=999,360,Calc!$C$36),CHOOSE(Calc!$C$3,'Snowball Engine'!AY206,'Avalanche Engine'!AY206,'My Order Engine'!AY206),"")</f>
        <v/>
      </c>
      <c r="D204" s="25" t="str">
        <f>IF($A204&lt;=IF(Calc!$C$36=999,360,Calc!$C$36),CHOOSE(Calc!$C$3,'Snowball Engine'!AX206,'Avalanche Engine'!AX206,'My Order Engine'!AX206),"")</f>
        <v/>
      </c>
      <c r="E204" s="25" t="str">
        <f>IF($A204&lt;=IF(Calc!$C$36=999,360,Calc!$C$36),C204-D204,"")</f>
        <v/>
      </c>
      <c r="F204" s="25" t="str">
        <f>IF($A204&lt;=IF(Calc!$C$36=999,360,Calc!$C$36),CHOOSE(Calc!$C$3,'Snowball Engine'!AW206,'Avalanche Engine'!AW206,'My Order Engine'!AW206),"")</f>
        <v/>
      </c>
      <c r="G204" s="25" t="str">
        <f>IF(AND($A204&lt;=IF(Calc!$C$36=999,360,Calc!$C$36),Calc!$C$10=1),CHOOSE(Calc!$C$3,INDEX('Snowball Engine'!$AH206:$AV206,Calc!$I$10),INDEX('Avalanche Engine'!$AH206:$AV206,Calc!$J$10),INDEX('My Order Engine'!$AH206:$AV206,Calc!$K$10)),"")</f>
        <v/>
      </c>
      <c r="H204" s="25" t="str">
        <f>IF(AND($A204&lt;=IF(Calc!$C$36=999,360,Calc!$C$36),Calc!$C$11=1),CHOOSE(Calc!$C$3,INDEX('Snowball Engine'!$AH206:$AV206,Calc!$I$11),INDEX('Avalanche Engine'!$AH206:$AV206,Calc!$J$11),INDEX('My Order Engine'!$AH206:$AV206,Calc!$K$11)),"")</f>
        <v/>
      </c>
      <c r="I204" s="25" t="str">
        <f>IF(AND($A204&lt;=IF(Calc!$C$36=999,360,Calc!$C$36),Calc!$C$12=1),CHOOSE(Calc!$C$3,INDEX('Snowball Engine'!$AH206:$AV206,Calc!$I$12),INDEX('Avalanche Engine'!$AH206:$AV206,Calc!$J$12),INDEX('My Order Engine'!$AH206:$AV206,Calc!$K$12)),"")</f>
        <v/>
      </c>
      <c r="J204" s="25" t="str">
        <f>IF(AND($A204&lt;=IF(Calc!$C$36=999,360,Calc!$C$36),Calc!$C$13=1),CHOOSE(Calc!$C$3,INDEX('Snowball Engine'!$AH206:$AV206,Calc!$I$13),INDEX('Avalanche Engine'!$AH206:$AV206,Calc!$J$13),INDEX('My Order Engine'!$AH206:$AV206,Calc!$K$13)),"")</f>
        <v/>
      </c>
      <c r="K204" s="25" t="str">
        <f>IF(AND($A204&lt;=IF(Calc!$C$36=999,360,Calc!$C$36),Calc!$C$14=1),CHOOSE(Calc!$C$3,INDEX('Snowball Engine'!$AH206:$AV206,Calc!$I$14),INDEX('Avalanche Engine'!$AH206:$AV206,Calc!$J$14),INDEX('My Order Engine'!$AH206:$AV206,Calc!$K$14)),"")</f>
        <v/>
      </c>
      <c r="L204" s="25" t="str">
        <f>IF(AND($A204&lt;=IF(Calc!$C$36=999,360,Calc!$C$36),Calc!$C$15=1),CHOOSE(Calc!$C$3,INDEX('Snowball Engine'!$AH206:$AV206,Calc!$I$15),INDEX('Avalanche Engine'!$AH206:$AV206,Calc!$J$15),INDEX('My Order Engine'!$AH206:$AV206,Calc!$K$15)),"")</f>
        <v/>
      </c>
      <c r="M204" s="25" t="str">
        <f>IF(AND($A204&lt;=IF(Calc!$C$36=999,360,Calc!$C$36),Calc!$C$16=1),CHOOSE(Calc!$C$3,INDEX('Snowball Engine'!$AH206:$AV206,Calc!$I$16),INDEX('Avalanche Engine'!$AH206:$AV206,Calc!$J$16),INDEX('My Order Engine'!$AH206:$AV206,Calc!$K$16)),"")</f>
        <v/>
      </c>
      <c r="N204" s="25" t="str">
        <f>IF(AND($A204&lt;=IF(Calc!$C$36=999,360,Calc!$C$36),Calc!$C$17=1),CHOOSE(Calc!$C$3,INDEX('Snowball Engine'!$AH206:$AV206,Calc!$I$17),INDEX('Avalanche Engine'!$AH206:$AV206,Calc!$J$17),INDEX('My Order Engine'!$AH206:$AV206,Calc!$K$17)),"")</f>
        <v/>
      </c>
      <c r="O204" s="25" t="str">
        <f>IF(AND($A204&lt;=IF(Calc!$C$36=999,360,Calc!$C$36),Calc!$C$18=1),CHOOSE(Calc!$C$3,INDEX('Snowball Engine'!$AH206:$AV206,Calc!$I$18),INDEX('Avalanche Engine'!$AH206:$AV206,Calc!$J$18),INDEX('My Order Engine'!$AH206:$AV206,Calc!$K$18)),"")</f>
        <v/>
      </c>
      <c r="P204" s="25" t="str">
        <f>IF(AND($A204&lt;=IF(Calc!$C$36=999,360,Calc!$C$36),Calc!$C$19=1),CHOOSE(Calc!$C$3,INDEX('Snowball Engine'!$AH206:$AV206,Calc!$I$19),INDEX('Avalanche Engine'!$AH206:$AV206,Calc!$J$19),INDEX('My Order Engine'!$AH206:$AV206,Calc!$K$19)),"")</f>
        <v/>
      </c>
      <c r="Q204" s="25" t="str">
        <f>IF(AND($A204&lt;=IF(Calc!$C$36=999,360,Calc!$C$36),Calc!$C$20=1),CHOOSE(Calc!$C$3,INDEX('Snowball Engine'!$AH206:$AV206,Calc!$I$20),INDEX('Avalanche Engine'!$AH206:$AV206,Calc!$J$20),INDEX('My Order Engine'!$AH206:$AV206,Calc!$K$20)),"")</f>
        <v/>
      </c>
      <c r="R204" s="25" t="str">
        <f>IF(AND($A204&lt;=IF(Calc!$C$36=999,360,Calc!$C$36),Calc!$C$21=1),CHOOSE(Calc!$C$3,INDEX('Snowball Engine'!$AH206:$AV206,Calc!$I$21),INDEX('Avalanche Engine'!$AH206:$AV206,Calc!$J$21),INDEX('My Order Engine'!$AH206:$AV206,Calc!$K$21)),"")</f>
        <v/>
      </c>
      <c r="S204" s="25" t="str">
        <f>IF(AND($A204&lt;=IF(Calc!$C$36=999,360,Calc!$C$36),Calc!$C$22=1),CHOOSE(Calc!$C$3,INDEX('Snowball Engine'!$AH206:$AV206,Calc!$I$22),INDEX('Avalanche Engine'!$AH206:$AV206,Calc!$J$22),INDEX('My Order Engine'!$AH206:$AV206,Calc!$K$22)),"")</f>
        <v/>
      </c>
      <c r="T204" s="25" t="str">
        <f>IF(AND($A204&lt;=IF(Calc!$C$36=999,360,Calc!$C$36),Calc!$C$23=1),CHOOSE(Calc!$C$3,INDEX('Snowball Engine'!$AH206:$AV206,Calc!$I$23),INDEX('Avalanche Engine'!$AH206:$AV206,Calc!$J$23),INDEX('My Order Engine'!$AH206:$AV206,Calc!$K$23)),"")</f>
        <v/>
      </c>
      <c r="U204" s="25" t="str">
        <f>IF(AND($A204&lt;=IF(Calc!$C$36=999,360,Calc!$C$36),Calc!$C$24=1),CHOOSE(Calc!$C$3,INDEX('Snowball Engine'!$AH206:$AV206,Calc!$I$24),INDEX('Avalanche Engine'!$AH206:$AV206,Calc!$J$24),INDEX('My Order Engine'!$AH206:$AV206,Calc!$K$24)),"")</f>
        <v/>
      </c>
    </row>
    <row r="205" spans="1:21" x14ac:dyDescent="0.35">
      <c r="A205" s="23">
        <v>201</v>
      </c>
      <c r="B205" s="24" t="str">
        <f>IF($A205&lt;=IF(Calc!$C$36=999,360,Calc!$C$36),EDATE(Calc!$C$5,A205-1),"")</f>
        <v/>
      </c>
      <c r="C205" s="25" t="str">
        <f>IF($A205&lt;=IF(Calc!$C$36=999,360,Calc!$C$36),CHOOSE(Calc!$C$3,'Snowball Engine'!AY207,'Avalanche Engine'!AY207,'My Order Engine'!AY207),"")</f>
        <v/>
      </c>
      <c r="D205" s="25" t="str">
        <f>IF($A205&lt;=IF(Calc!$C$36=999,360,Calc!$C$36),CHOOSE(Calc!$C$3,'Snowball Engine'!AX207,'Avalanche Engine'!AX207,'My Order Engine'!AX207),"")</f>
        <v/>
      </c>
      <c r="E205" s="25" t="str">
        <f>IF($A205&lt;=IF(Calc!$C$36=999,360,Calc!$C$36),C205-D205,"")</f>
        <v/>
      </c>
      <c r="F205" s="25" t="str">
        <f>IF($A205&lt;=IF(Calc!$C$36=999,360,Calc!$C$36),CHOOSE(Calc!$C$3,'Snowball Engine'!AW207,'Avalanche Engine'!AW207,'My Order Engine'!AW207),"")</f>
        <v/>
      </c>
      <c r="G205" s="25" t="str">
        <f>IF(AND($A205&lt;=IF(Calc!$C$36=999,360,Calc!$C$36),Calc!$C$10=1),CHOOSE(Calc!$C$3,INDEX('Snowball Engine'!$AH207:$AV207,Calc!$I$10),INDEX('Avalanche Engine'!$AH207:$AV207,Calc!$J$10),INDEX('My Order Engine'!$AH207:$AV207,Calc!$K$10)),"")</f>
        <v/>
      </c>
      <c r="H205" s="25" t="str">
        <f>IF(AND($A205&lt;=IF(Calc!$C$36=999,360,Calc!$C$36),Calc!$C$11=1),CHOOSE(Calc!$C$3,INDEX('Snowball Engine'!$AH207:$AV207,Calc!$I$11),INDEX('Avalanche Engine'!$AH207:$AV207,Calc!$J$11),INDEX('My Order Engine'!$AH207:$AV207,Calc!$K$11)),"")</f>
        <v/>
      </c>
      <c r="I205" s="25" t="str">
        <f>IF(AND($A205&lt;=IF(Calc!$C$36=999,360,Calc!$C$36),Calc!$C$12=1),CHOOSE(Calc!$C$3,INDEX('Snowball Engine'!$AH207:$AV207,Calc!$I$12),INDEX('Avalanche Engine'!$AH207:$AV207,Calc!$J$12),INDEX('My Order Engine'!$AH207:$AV207,Calc!$K$12)),"")</f>
        <v/>
      </c>
      <c r="J205" s="25" t="str">
        <f>IF(AND($A205&lt;=IF(Calc!$C$36=999,360,Calc!$C$36),Calc!$C$13=1),CHOOSE(Calc!$C$3,INDEX('Snowball Engine'!$AH207:$AV207,Calc!$I$13),INDEX('Avalanche Engine'!$AH207:$AV207,Calc!$J$13),INDEX('My Order Engine'!$AH207:$AV207,Calc!$K$13)),"")</f>
        <v/>
      </c>
      <c r="K205" s="25" t="str">
        <f>IF(AND($A205&lt;=IF(Calc!$C$36=999,360,Calc!$C$36),Calc!$C$14=1),CHOOSE(Calc!$C$3,INDEX('Snowball Engine'!$AH207:$AV207,Calc!$I$14),INDEX('Avalanche Engine'!$AH207:$AV207,Calc!$J$14),INDEX('My Order Engine'!$AH207:$AV207,Calc!$K$14)),"")</f>
        <v/>
      </c>
      <c r="L205" s="25" t="str">
        <f>IF(AND($A205&lt;=IF(Calc!$C$36=999,360,Calc!$C$36),Calc!$C$15=1),CHOOSE(Calc!$C$3,INDEX('Snowball Engine'!$AH207:$AV207,Calc!$I$15),INDEX('Avalanche Engine'!$AH207:$AV207,Calc!$J$15),INDEX('My Order Engine'!$AH207:$AV207,Calc!$K$15)),"")</f>
        <v/>
      </c>
      <c r="M205" s="25" t="str">
        <f>IF(AND($A205&lt;=IF(Calc!$C$36=999,360,Calc!$C$36),Calc!$C$16=1),CHOOSE(Calc!$C$3,INDEX('Snowball Engine'!$AH207:$AV207,Calc!$I$16),INDEX('Avalanche Engine'!$AH207:$AV207,Calc!$J$16),INDEX('My Order Engine'!$AH207:$AV207,Calc!$K$16)),"")</f>
        <v/>
      </c>
      <c r="N205" s="25" t="str">
        <f>IF(AND($A205&lt;=IF(Calc!$C$36=999,360,Calc!$C$36),Calc!$C$17=1),CHOOSE(Calc!$C$3,INDEX('Snowball Engine'!$AH207:$AV207,Calc!$I$17),INDEX('Avalanche Engine'!$AH207:$AV207,Calc!$J$17),INDEX('My Order Engine'!$AH207:$AV207,Calc!$K$17)),"")</f>
        <v/>
      </c>
      <c r="O205" s="25" t="str">
        <f>IF(AND($A205&lt;=IF(Calc!$C$36=999,360,Calc!$C$36),Calc!$C$18=1),CHOOSE(Calc!$C$3,INDEX('Snowball Engine'!$AH207:$AV207,Calc!$I$18),INDEX('Avalanche Engine'!$AH207:$AV207,Calc!$J$18),INDEX('My Order Engine'!$AH207:$AV207,Calc!$K$18)),"")</f>
        <v/>
      </c>
      <c r="P205" s="25" t="str">
        <f>IF(AND($A205&lt;=IF(Calc!$C$36=999,360,Calc!$C$36),Calc!$C$19=1),CHOOSE(Calc!$C$3,INDEX('Snowball Engine'!$AH207:$AV207,Calc!$I$19),INDEX('Avalanche Engine'!$AH207:$AV207,Calc!$J$19),INDEX('My Order Engine'!$AH207:$AV207,Calc!$K$19)),"")</f>
        <v/>
      </c>
      <c r="Q205" s="25" t="str">
        <f>IF(AND($A205&lt;=IF(Calc!$C$36=999,360,Calc!$C$36),Calc!$C$20=1),CHOOSE(Calc!$C$3,INDEX('Snowball Engine'!$AH207:$AV207,Calc!$I$20),INDEX('Avalanche Engine'!$AH207:$AV207,Calc!$J$20),INDEX('My Order Engine'!$AH207:$AV207,Calc!$K$20)),"")</f>
        <v/>
      </c>
      <c r="R205" s="25" t="str">
        <f>IF(AND($A205&lt;=IF(Calc!$C$36=999,360,Calc!$C$36),Calc!$C$21=1),CHOOSE(Calc!$C$3,INDEX('Snowball Engine'!$AH207:$AV207,Calc!$I$21),INDEX('Avalanche Engine'!$AH207:$AV207,Calc!$J$21),INDEX('My Order Engine'!$AH207:$AV207,Calc!$K$21)),"")</f>
        <v/>
      </c>
      <c r="S205" s="25" t="str">
        <f>IF(AND($A205&lt;=IF(Calc!$C$36=999,360,Calc!$C$36),Calc!$C$22=1),CHOOSE(Calc!$C$3,INDEX('Snowball Engine'!$AH207:$AV207,Calc!$I$22),INDEX('Avalanche Engine'!$AH207:$AV207,Calc!$J$22),INDEX('My Order Engine'!$AH207:$AV207,Calc!$K$22)),"")</f>
        <v/>
      </c>
      <c r="T205" s="25" t="str">
        <f>IF(AND($A205&lt;=IF(Calc!$C$36=999,360,Calc!$C$36),Calc!$C$23=1),CHOOSE(Calc!$C$3,INDEX('Snowball Engine'!$AH207:$AV207,Calc!$I$23),INDEX('Avalanche Engine'!$AH207:$AV207,Calc!$J$23),INDEX('My Order Engine'!$AH207:$AV207,Calc!$K$23)),"")</f>
        <v/>
      </c>
      <c r="U205" s="25" t="str">
        <f>IF(AND($A205&lt;=IF(Calc!$C$36=999,360,Calc!$C$36),Calc!$C$24=1),CHOOSE(Calc!$C$3,INDEX('Snowball Engine'!$AH207:$AV207,Calc!$I$24),INDEX('Avalanche Engine'!$AH207:$AV207,Calc!$J$24),INDEX('My Order Engine'!$AH207:$AV207,Calc!$K$24)),"")</f>
        <v/>
      </c>
    </row>
    <row r="206" spans="1:21" x14ac:dyDescent="0.35">
      <c r="A206" s="23">
        <v>202</v>
      </c>
      <c r="B206" s="24" t="str">
        <f>IF($A206&lt;=IF(Calc!$C$36=999,360,Calc!$C$36),EDATE(Calc!$C$5,A206-1),"")</f>
        <v/>
      </c>
      <c r="C206" s="25" t="str">
        <f>IF($A206&lt;=IF(Calc!$C$36=999,360,Calc!$C$36),CHOOSE(Calc!$C$3,'Snowball Engine'!AY208,'Avalanche Engine'!AY208,'My Order Engine'!AY208),"")</f>
        <v/>
      </c>
      <c r="D206" s="25" t="str">
        <f>IF($A206&lt;=IF(Calc!$C$36=999,360,Calc!$C$36),CHOOSE(Calc!$C$3,'Snowball Engine'!AX208,'Avalanche Engine'!AX208,'My Order Engine'!AX208),"")</f>
        <v/>
      </c>
      <c r="E206" s="25" t="str">
        <f>IF($A206&lt;=IF(Calc!$C$36=999,360,Calc!$C$36),C206-D206,"")</f>
        <v/>
      </c>
      <c r="F206" s="25" t="str">
        <f>IF($A206&lt;=IF(Calc!$C$36=999,360,Calc!$C$36),CHOOSE(Calc!$C$3,'Snowball Engine'!AW208,'Avalanche Engine'!AW208,'My Order Engine'!AW208),"")</f>
        <v/>
      </c>
      <c r="G206" s="25" t="str">
        <f>IF(AND($A206&lt;=IF(Calc!$C$36=999,360,Calc!$C$36),Calc!$C$10=1),CHOOSE(Calc!$C$3,INDEX('Snowball Engine'!$AH208:$AV208,Calc!$I$10),INDEX('Avalanche Engine'!$AH208:$AV208,Calc!$J$10),INDEX('My Order Engine'!$AH208:$AV208,Calc!$K$10)),"")</f>
        <v/>
      </c>
      <c r="H206" s="25" t="str">
        <f>IF(AND($A206&lt;=IF(Calc!$C$36=999,360,Calc!$C$36),Calc!$C$11=1),CHOOSE(Calc!$C$3,INDEX('Snowball Engine'!$AH208:$AV208,Calc!$I$11),INDEX('Avalanche Engine'!$AH208:$AV208,Calc!$J$11),INDEX('My Order Engine'!$AH208:$AV208,Calc!$K$11)),"")</f>
        <v/>
      </c>
      <c r="I206" s="25" t="str">
        <f>IF(AND($A206&lt;=IF(Calc!$C$36=999,360,Calc!$C$36),Calc!$C$12=1),CHOOSE(Calc!$C$3,INDEX('Snowball Engine'!$AH208:$AV208,Calc!$I$12),INDEX('Avalanche Engine'!$AH208:$AV208,Calc!$J$12),INDEX('My Order Engine'!$AH208:$AV208,Calc!$K$12)),"")</f>
        <v/>
      </c>
      <c r="J206" s="25" t="str">
        <f>IF(AND($A206&lt;=IF(Calc!$C$36=999,360,Calc!$C$36),Calc!$C$13=1),CHOOSE(Calc!$C$3,INDEX('Snowball Engine'!$AH208:$AV208,Calc!$I$13),INDEX('Avalanche Engine'!$AH208:$AV208,Calc!$J$13),INDEX('My Order Engine'!$AH208:$AV208,Calc!$K$13)),"")</f>
        <v/>
      </c>
      <c r="K206" s="25" t="str">
        <f>IF(AND($A206&lt;=IF(Calc!$C$36=999,360,Calc!$C$36),Calc!$C$14=1),CHOOSE(Calc!$C$3,INDEX('Snowball Engine'!$AH208:$AV208,Calc!$I$14),INDEX('Avalanche Engine'!$AH208:$AV208,Calc!$J$14),INDEX('My Order Engine'!$AH208:$AV208,Calc!$K$14)),"")</f>
        <v/>
      </c>
      <c r="L206" s="25" t="str">
        <f>IF(AND($A206&lt;=IF(Calc!$C$36=999,360,Calc!$C$36),Calc!$C$15=1),CHOOSE(Calc!$C$3,INDEX('Snowball Engine'!$AH208:$AV208,Calc!$I$15),INDEX('Avalanche Engine'!$AH208:$AV208,Calc!$J$15),INDEX('My Order Engine'!$AH208:$AV208,Calc!$K$15)),"")</f>
        <v/>
      </c>
      <c r="M206" s="25" t="str">
        <f>IF(AND($A206&lt;=IF(Calc!$C$36=999,360,Calc!$C$36),Calc!$C$16=1),CHOOSE(Calc!$C$3,INDEX('Snowball Engine'!$AH208:$AV208,Calc!$I$16),INDEX('Avalanche Engine'!$AH208:$AV208,Calc!$J$16),INDEX('My Order Engine'!$AH208:$AV208,Calc!$K$16)),"")</f>
        <v/>
      </c>
      <c r="N206" s="25" t="str">
        <f>IF(AND($A206&lt;=IF(Calc!$C$36=999,360,Calc!$C$36),Calc!$C$17=1),CHOOSE(Calc!$C$3,INDEX('Snowball Engine'!$AH208:$AV208,Calc!$I$17),INDEX('Avalanche Engine'!$AH208:$AV208,Calc!$J$17),INDEX('My Order Engine'!$AH208:$AV208,Calc!$K$17)),"")</f>
        <v/>
      </c>
      <c r="O206" s="25" t="str">
        <f>IF(AND($A206&lt;=IF(Calc!$C$36=999,360,Calc!$C$36),Calc!$C$18=1),CHOOSE(Calc!$C$3,INDEX('Snowball Engine'!$AH208:$AV208,Calc!$I$18),INDEX('Avalanche Engine'!$AH208:$AV208,Calc!$J$18),INDEX('My Order Engine'!$AH208:$AV208,Calc!$K$18)),"")</f>
        <v/>
      </c>
      <c r="P206" s="25" t="str">
        <f>IF(AND($A206&lt;=IF(Calc!$C$36=999,360,Calc!$C$36),Calc!$C$19=1),CHOOSE(Calc!$C$3,INDEX('Snowball Engine'!$AH208:$AV208,Calc!$I$19),INDEX('Avalanche Engine'!$AH208:$AV208,Calc!$J$19),INDEX('My Order Engine'!$AH208:$AV208,Calc!$K$19)),"")</f>
        <v/>
      </c>
      <c r="Q206" s="25" t="str">
        <f>IF(AND($A206&lt;=IF(Calc!$C$36=999,360,Calc!$C$36),Calc!$C$20=1),CHOOSE(Calc!$C$3,INDEX('Snowball Engine'!$AH208:$AV208,Calc!$I$20),INDEX('Avalanche Engine'!$AH208:$AV208,Calc!$J$20),INDEX('My Order Engine'!$AH208:$AV208,Calc!$K$20)),"")</f>
        <v/>
      </c>
      <c r="R206" s="25" t="str">
        <f>IF(AND($A206&lt;=IF(Calc!$C$36=999,360,Calc!$C$36),Calc!$C$21=1),CHOOSE(Calc!$C$3,INDEX('Snowball Engine'!$AH208:$AV208,Calc!$I$21),INDEX('Avalanche Engine'!$AH208:$AV208,Calc!$J$21),INDEX('My Order Engine'!$AH208:$AV208,Calc!$K$21)),"")</f>
        <v/>
      </c>
      <c r="S206" s="25" t="str">
        <f>IF(AND($A206&lt;=IF(Calc!$C$36=999,360,Calc!$C$36),Calc!$C$22=1),CHOOSE(Calc!$C$3,INDEX('Snowball Engine'!$AH208:$AV208,Calc!$I$22),INDEX('Avalanche Engine'!$AH208:$AV208,Calc!$J$22),INDEX('My Order Engine'!$AH208:$AV208,Calc!$K$22)),"")</f>
        <v/>
      </c>
      <c r="T206" s="25" t="str">
        <f>IF(AND($A206&lt;=IF(Calc!$C$36=999,360,Calc!$C$36),Calc!$C$23=1),CHOOSE(Calc!$C$3,INDEX('Snowball Engine'!$AH208:$AV208,Calc!$I$23),INDEX('Avalanche Engine'!$AH208:$AV208,Calc!$J$23),INDEX('My Order Engine'!$AH208:$AV208,Calc!$K$23)),"")</f>
        <v/>
      </c>
      <c r="U206" s="25" t="str">
        <f>IF(AND($A206&lt;=IF(Calc!$C$36=999,360,Calc!$C$36),Calc!$C$24=1),CHOOSE(Calc!$C$3,INDEX('Snowball Engine'!$AH208:$AV208,Calc!$I$24),INDEX('Avalanche Engine'!$AH208:$AV208,Calc!$J$24),INDEX('My Order Engine'!$AH208:$AV208,Calc!$K$24)),"")</f>
        <v/>
      </c>
    </row>
    <row r="207" spans="1:21" x14ac:dyDescent="0.35">
      <c r="A207" s="23">
        <v>203</v>
      </c>
      <c r="B207" s="24" t="str">
        <f>IF($A207&lt;=IF(Calc!$C$36=999,360,Calc!$C$36),EDATE(Calc!$C$5,A207-1),"")</f>
        <v/>
      </c>
      <c r="C207" s="25" t="str">
        <f>IF($A207&lt;=IF(Calc!$C$36=999,360,Calc!$C$36),CHOOSE(Calc!$C$3,'Snowball Engine'!AY209,'Avalanche Engine'!AY209,'My Order Engine'!AY209),"")</f>
        <v/>
      </c>
      <c r="D207" s="25" t="str">
        <f>IF($A207&lt;=IF(Calc!$C$36=999,360,Calc!$C$36),CHOOSE(Calc!$C$3,'Snowball Engine'!AX209,'Avalanche Engine'!AX209,'My Order Engine'!AX209),"")</f>
        <v/>
      </c>
      <c r="E207" s="25" t="str">
        <f>IF($A207&lt;=IF(Calc!$C$36=999,360,Calc!$C$36),C207-D207,"")</f>
        <v/>
      </c>
      <c r="F207" s="25" t="str">
        <f>IF($A207&lt;=IF(Calc!$C$36=999,360,Calc!$C$36),CHOOSE(Calc!$C$3,'Snowball Engine'!AW209,'Avalanche Engine'!AW209,'My Order Engine'!AW209),"")</f>
        <v/>
      </c>
      <c r="G207" s="25" t="str">
        <f>IF(AND($A207&lt;=IF(Calc!$C$36=999,360,Calc!$C$36),Calc!$C$10=1),CHOOSE(Calc!$C$3,INDEX('Snowball Engine'!$AH209:$AV209,Calc!$I$10),INDEX('Avalanche Engine'!$AH209:$AV209,Calc!$J$10),INDEX('My Order Engine'!$AH209:$AV209,Calc!$K$10)),"")</f>
        <v/>
      </c>
      <c r="H207" s="25" t="str">
        <f>IF(AND($A207&lt;=IF(Calc!$C$36=999,360,Calc!$C$36),Calc!$C$11=1),CHOOSE(Calc!$C$3,INDEX('Snowball Engine'!$AH209:$AV209,Calc!$I$11),INDEX('Avalanche Engine'!$AH209:$AV209,Calc!$J$11),INDEX('My Order Engine'!$AH209:$AV209,Calc!$K$11)),"")</f>
        <v/>
      </c>
      <c r="I207" s="25" t="str">
        <f>IF(AND($A207&lt;=IF(Calc!$C$36=999,360,Calc!$C$36),Calc!$C$12=1),CHOOSE(Calc!$C$3,INDEX('Snowball Engine'!$AH209:$AV209,Calc!$I$12),INDEX('Avalanche Engine'!$AH209:$AV209,Calc!$J$12),INDEX('My Order Engine'!$AH209:$AV209,Calc!$K$12)),"")</f>
        <v/>
      </c>
      <c r="J207" s="25" t="str">
        <f>IF(AND($A207&lt;=IF(Calc!$C$36=999,360,Calc!$C$36),Calc!$C$13=1),CHOOSE(Calc!$C$3,INDEX('Snowball Engine'!$AH209:$AV209,Calc!$I$13),INDEX('Avalanche Engine'!$AH209:$AV209,Calc!$J$13),INDEX('My Order Engine'!$AH209:$AV209,Calc!$K$13)),"")</f>
        <v/>
      </c>
      <c r="K207" s="25" t="str">
        <f>IF(AND($A207&lt;=IF(Calc!$C$36=999,360,Calc!$C$36),Calc!$C$14=1),CHOOSE(Calc!$C$3,INDEX('Snowball Engine'!$AH209:$AV209,Calc!$I$14),INDEX('Avalanche Engine'!$AH209:$AV209,Calc!$J$14),INDEX('My Order Engine'!$AH209:$AV209,Calc!$K$14)),"")</f>
        <v/>
      </c>
      <c r="L207" s="25" t="str">
        <f>IF(AND($A207&lt;=IF(Calc!$C$36=999,360,Calc!$C$36),Calc!$C$15=1),CHOOSE(Calc!$C$3,INDEX('Snowball Engine'!$AH209:$AV209,Calc!$I$15),INDEX('Avalanche Engine'!$AH209:$AV209,Calc!$J$15),INDEX('My Order Engine'!$AH209:$AV209,Calc!$K$15)),"")</f>
        <v/>
      </c>
      <c r="M207" s="25" t="str">
        <f>IF(AND($A207&lt;=IF(Calc!$C$36=999,360,Calc!$C$36),Calc!$C$16=1),CHOOSE(Calc!$C$3,INDEX('Snowball Engine'!$AH209:$AV209,Calc!$I$16),INDEX('Avalanche Engine'!$AH209:$AV209,Calc!$J$16),INDEX('My Order Engine'!$AH209:$AV209,Calc!$K$16)),"")</f>
        <v/>
      </c>
      <c r="N207" s="25" t="str">
        <f>IF(AND($A207&lt;=IF(Calc!$C$36=999,360,Calc!$C$36),Calc!$C$17=1),CHOOSE(Calc!$C$3,INDEX('Snowball Engine'!$AH209:$AV209,Calc!$I$17),INDEX('Avalanche Engine'!$AH209:$AV209,Calc!$J$17),INDEX('My Order Engine'!$AH209:$AV209,Calc!$K$17)),"")</f>
        <v/>
      </c>
      <c r="O207" s="25" t="str">
        <f>IF(AND($A207&lt;=IF(Calc!$C$36=999,360,Calc!$C$36),Calc!$C$18=1),CHOOSE(Calc!$C$3,INDEX('Snowball Engine'!$AH209:$AV209,Calc!$I$18),INDEX('Avalanche Engine'!$AH209:$AV209,Calc!$J$18),INDEX('My Order Engine'!$AH209:$AV209,Calc!$K$18)),"")</f>
        <v/>
      </c>
      <c r="P207" s="25" t="str">
        <f>IF(AND($A207&lt;=IF(Calc!$C$36=999,360,Calc!$C$36),Calc!$C$19=1),CHOOSE(Calc!$C$3,INDEX('Snowball Engine'!$AH209:$AV209,Calc!$I$19),INDEX('Avalanche Engine'!$AH209:$AV209,Calc!$J$19),INDEX('My Order Engine'!$AH209:$AV209,Calc!$K$19)),"")</f>
        <v/>
      </c>
      <c r="Q207" s="25" t="str">
        <f>IF(AND($A207&lt;=IF(Calc!$C$36=999,360,Calc!$C$36),Calc!$C$20=1),CHOOSE(Calc!$C$3,INDEX('Snowball Engine'!$AH209:$AV209,Calc!$I$20),INDEX('Avalanche Engine'!$AH209:$AV209,Calc!$J$20),INDEX('My Order Engine'!$AH209:$AV209,Calc!$K$20)),"")</f>
        <v/>
      </c>
      <c r="R207" s="25" t="str">
        <f>IF(AND($A207&lt;=IF(Calc!$C$36=999,360,Calc!$C$36),Calc!$C$21=1),CHOOSE(Calc!$C$3,INDEX('Snowball Engine'!$AH209:$AV209,Calc!$I$21),INDEX('Avalanche Engine'!$AH209:$AV209,Calc!$J$21),INDEX('My Order Engine'!$AH209:$AV209,Calc!$K$21)),"")</f>
        <v/>
      </c>
      <c r="S207" s="25" t="str">
        <f>IF(AND($A207&lt;=IF(Calc!$C$36=999,360,Calc!$C$36),Calc!$C$22=1),CHOOSE(Calc!$C$3,INDEX('Snowball Engine'!$AH209:$AV209,Calc!$I$22),INDEX('Avalanche Engine'!$AH209:$AV209,Calc!$J$22),INDEX('My Order Engine'!$AH209:$AV209,Calc!$K$22)),"")</f>
        <v/>
      </c>
      <c r="T207" s="25" t="str">
        <f>IF(AND($A207&lt;=IF(Calc!$C$36=999,360,Calc!$C$36),Calc!$C$23=1),CHOOSE(Calc!$C$3,INDEX('Snowball Engine'!$AH209:$AV209,Calc!$I$23),INDEX('Avalanche Engine'!$AH209:$AV209,Calc!$J$23),INDEX('My Order Engine'!$AH209:$AV209,Calc!$K$23)),"")</f>
        <v/>
      </c>
      <c r="U207" s="25" t="str">
        <f>IF(AND($A207&lt;=IF(Calc!$C$36=999,360,Calc!$C$36),Calc!$C$24=1),CHOOSE(Calc!$C$3,INDEX('Snowball Engine'!$AH209:$AV209,Calc!$I$24),INDEX('Avalanche Engine'!$AH209:$AV209,Calc!$J$24),INDEX('My Order Engine'!$AH209:$AV209,Calc!$K$24)),"")</f>
        <v/>
      </c>
    </row>
    <row r="208" spans="1:21" x14ac:dyDescent="0.35">
      <c r="A208" s="23">
        <v>204</v>
      </c>
      <c r="B208" s="24" t="str">
        <f>IF($A208&lt;=IF(Calc!$C$36=999,360,Calc!$C$36),EDATE(Calc!$C$5,A208-1),"")</f>
        <v/>
      </c>
      <c r="C208" s="25" t="str">
        <f>IF($A208&lt;=IF(Calc!$C$36=999,360,Calc!$C$36),CHOOSE(Calc!$C$3,'Snowball Engine'!AY210,'Avalanche Engine'!AY210,'My Order Engine'!AY210),"")</f>
        <v/>
      </c>
      <c r="D208" s="25" t="str">
        <f>IF($A208&lt;=IF(Calc!$C$36=999,360,Calc!$C$36),CHOOSE(Calc!$C$3,'Snowball Engine'!AX210,'Avalanche Engine'!AX210,'My Order Engine'!AX210),"")</f>
        <v/>
      </c>
      <c r="E208" s="25" t="str">
        <f>IF($A208&lt;=IF(Calc!$C$36=999,360,Calc!$C$36),C208-D208,"")</f>
        <v/>
      </c>
      <c r="F208" s="25" t="str">
        <f>IF($A208&lt;=IF(Calc!$C$36=999,360,Calc!$C$36),CHOOSE(Calc!$C$3,'Snowball Engine'!AW210,'Avalanche Engine'!AW210,'My Order Engine'!AW210),"")</f>
        <v/>
      </c>
      <c r="G208" s="25" t="str">
        <f>IF(AND($A208&lt;=IF(Calc!$C$36=999,360,Calc!$C$36),Calc!$C$10=1),CHOOSE(Calc!$C$3,INDEX('Snowball Engine'!$AH210:$AV210,Calc!$I$10),INDEX('Avalanche Engine'!$AH210:$AV210,Calc!$J$10),INDEX('My Order Engine'!$AH210:$AV210,Calc!$K$10)),"")</f>
        <v/>
      </c>
      <c r="H208" s="25" t="str">
        <f>IF(AND($A208&lt;=IF(Calc!$C$36=999,360,Calc!$C$36),Calc!$C$11=1),CHOOSE(Calc!$C$3,INDEX('Snowball Engine'!$AH210:$AV210,Calc!$I$11),INDEX('Avalanche Engine'!$AH210:$AV210,Calc!$J$11),INDEX('My Order Engine'!$AH210:$AV210,Calc!$K$11)),"")</f>
        <v/>
      </c>
      <c r="I208" s="25" t="str">
        <f>IF(AND($A208&lt;=IF(Calc!$C$36=999,360,Calc!$C$36),Calc!$C$12=1),CHOOSE(Calc!$C$3,INDEX('Snowball Engine'!$AH210:$AV210,Calc!$I$12),INDEX('Avalanche Engine'!$AH210:$AV210,Calc!$J$12),INDEX('My Order Engine'!$AH210:$AV210,Calc!$K$12)),"")</f>
        <v/>
      </c>
      <c r="J208" s="25" t="str">
        <f>IF(AND($A208&lt;=IF(Calc!$C$36=999,360,Calc!$C$36),Calc!$C$13=1),CHOOSE(Calc!$C$3,INDEX('Snowball Engine'!$AH210:$AV210,Calc!$I$13),INDEX('Avalanche Engine'!$AH210:$AV210,Calc!$J$13),INDEX('My Order Engine'!$AH210:$AV210,Calc!$K$13)),"")</f>
        <v/>
      </c>
      <c r="K208" s="25" t="str">
        <f>IF(AND($A208&lt;=IF(Calc!$C$36=999,360,Calc!$C$36),Calc!$C$14=1),CHOOSE(Calc!$C$3,INDEX('Snowball Engine'!$AH210:$AV210,Calc!$I$14),INDEX('Avalanche Engine'!$AH210:$AV210,Calc!$J$14),INDEX('My Order Engine'!$AH210:$AV210,Calc!$K$14)),"")</f>
        <v/>
      </c>
      <c r="L208" s="25" t="str">
        <f>IF(AND($A208&lt;=IF(Calc!$C$36=999,360,Calc!$C$36),Calc!$C$15=1),CHOOSE(Calc!$C$3,INDEX('Snowball Engine'!$AH210:$AV210,Calc!$I$15),INDEX('Avalanche Engine'!$AH210:$AV210,Calc!$J$15),INDEX('My Order Engine'!$AH210:$AV210,Calc!$K$15)),"")</f>
        <v/>
      </c>
      <c r="M208" s="25" t="str">
        <f>IF(AND($A208&lt;=IF(Calc!$C$36=999,360,Calc!$C$36),Calc!$C$16=1),CHOOSE(Calc!$C$3,INDEX('Snowball Engine'!$AH210:$AV210,Calc!$I$16),INDEX('Avalanche Engine'!$AH210:$AV210,Calc!$J$16),INDEX('My Order Engine'!$AH210:$AV210,Calc!$K$16)),"")</f>
        <v/>
      </c>
      <c r="N208" s="25" t="str">
        <f>IF(AND($A208&lt;=IF(Calc!$C$36=999,360,Calc!$C$36),Calc!$C$17=1),CHOOSE(Calc!$C$3,INDEX('Snowball Engine'!$AH210:$AV210,Calc!$I$17),INDEX('Avalanche Engine'!$AH210:$AV210,Calc!$J$17),INDEX('My Order Engine'!$AH210:$AV210,Calc!$K$17)),"")</f>
        <v/>
      </c>
      <c r="O208" s="25" t="str">
        <f>IF(AND($A208&lt;=IF(Calc!$C$36=999,360,Calc!$C$36),Calc!$C$18=1),CHOOSE(Calc!$C$3,INDEX('Snowball Engine'!$AH210:$AV210,Calc!$I$18),INDEX('Avalanche Engine'!$AH210:$AV210,Calc!$J$18),INDEX('My Order Engine'!$AH210:$AV210,Calc!$K$18)),"")</f>
        <v/>
      </c>
      <c r="P208" s="25" t="str">
        <f>IF(AND($A208&lt;=IF(Calc!$C$36=999,360,Calc!$C$36),Calc!$C$19=1),CHOOSE(Calc!$C$3,INDEX('Snowball Engine'!$AH210:$AV210,Calc!$I$19),INDEX('Avalanche Engine'!$AH210:$AV210,Calc!$J$19),INDEX('My Order Engine'!$AH210:$AV210,Calc!$K$19)),"")</f>
        <v/>
      </c>
      <c r="Q208" s="25" t="str">
        <f>IF(AND($A208&lt;=IF(Calc!$C$36=999,360,Calc!$C$36),Calc!$C$20=1),CHOOSE(Calc!$C$3,INDEX('Snowball Engine'!$AH210:$AV210,Calc!$I$20),INDEX('Avalanche Engine'!$AH210:$AV210,Calc!$J$20),INDEX('My Order Engine'!$AH210:$AV210,Calc!$K$20)),"")</f>
        <v/>
      </c>
      <c r="R208" s="25" t="str">
        <f>IF(AND($A208&lt;=IF(Calc!$C$36=999,360,Calc!$C$36),Calc!$C$21=1),CHOOSE(Calc!$C$3,INDEX('Snowball Engine'!$AH210:$AV210,Calc!$I$21),INDEX('Avalanche Engine'!$AH210:$AV210,Calc!$J$21),INDEX('My Order Engine'!$AH210:$AV210,Calc!$K$21)),"")</f>
        <v/>
      </c>
      <c r="S208" s="25" t="str">
        <f>IF(AND($A208&lt;=IF(Calc!$C$36=999,360,Calc!$C$36),Calc!$C$22=1),CHOOSE(Calc!$C$3,INDEX('Snowball Engine'!$AH210:$AV210,Calc!$I$22),INDEX('Avalanche Engine'!$AH210:$AV210,Calc!$J$22),INDEX('My Order Engine'!$AH210:$AV210,Calc!$K$22)),"")</f>
        <v/>
      </c>
      <c r="T208" s="25" t="str">
        <f>IF(AND($A208&lt;=IF(Calc!$C$36=999,360,Calc!$C$36),Calc!$C$23=1),CHOOSE(Calc!$C$3,INDEX('Snowball Engine'!$AH210:$AV210,Calc!$I$23),INDEX('Avalanche Engine'!$AH210:$AV210,Calc!$J$23),INDEX('My Order Engine'!$AH210:$AV210,Calc!$K$23)),"")</f>
        <v/>
      </c>
      <c r="U208" s="25" t="str">
        <f>IF(AND($A208&lt;=IF(Calc!$C$36=999,360,Calc!$C$36),Calc!$C$24=1),CHOOSE(Calc!$C$3,INDEX('Snowball Engine'!$AH210:$AV210,Calc!$I$24),INDEX('Avalanche Engine'!$AH210:$AV210,Calc!$J$24),INDEX('My Order Engine'!$AH210:$AV210,Calc!$K$24)),"")</f>
        <v/>
      </c>
    </row>
    <row r="209" spans="1:21" x14ac:dyDescent="0.35">
      <c r="A209" s="23">
        <v>205</v>
      </c>
      <c r="B209" s="24" t="str">
        <f>IF($A209&lt;=IF(Calc!$C$36=999,360,Calc!$C$36),EDATE(Calc!$C$5,A209-1),"")</f>
        <v/>
      </c>
      <c r="C209" s="25" t="str">
        <f>IF($A209&lt;=IF(Calc!$C$36=999,360,Calc!$C$36),CHOOSE(Calc!$C$3,'Snowball Engine'!AY211,'Avalanche Engine'!AY211,'My Order Engine'!AY211),"")</f>
        <v/>
      </c>
      <c r="D209" s="25" t="str">
        <f>IF($A209&lt;=IF(Calc!$C$36=999,360,Calc!$C$36),CHOOSE(Calc!$C$3,'Snowball Engine'!AX211,'Avalanche Engine'!AX211,'My Order Engine'!AX211),"")</f>
        <v/>
      </c>
      <c r="E209" s="25" t="str">
        <f>IF($A209&lt;=IF(Calc!$C$36=999,360,Calc!$C$36),C209-D209,"")</f>
        <v/>
      </c>
      <c r="F209" s="25" t="str">
        <f>IF($A209&lt;=IF(Calc!$C$36=999,360,Calc!$C$36),CHOOSE(Calc!$C$3,'Snowball Engine'!AW211,'Avalanche Engine'!AW211,'My Order Engine'!AW211),"")</f>
        <v/>
      </c>
      <c r="G209" s="25" t="str">
        <f>IF(AND($A209&lt;=IF(Calc!$C$36=999,360,Calc!$C$36),Calc!$C$10=1),CHOOSE(Calc!$C$3,INDEX('Snowball Engine'!$AH211:$AV211,Calc!$I$10),INDEX('Avalanche Engine'!$AH211:$AV211,Calc!$J$10),INDEX('My Order Engine'!$AH211:$AV211,Calc!$K$10)),"")</f>
        <v/>
      </c>
      <c r="H209" s="25" t="str">
        <f>IF(AND($A209&lt;=IF(Calc!$C$36=999,360,Calc!$C$36),Calc!$C$11=1),CHOOSE(Calc!$C$3,INDEX('Snowball Engine'!$AH211:$AV211,Calc!$I$11),INDEX('Avalanche Engine'!$AH211:$AV211,Calc!$J$11),INDEX('My Order Engine'!$AH211:$AV211,Calc!$K$11)),"")</f>
        <v/>
      </c>
      <c r="I209" s="25" t="str">
        <f>IF(AND($A209&lt;=IF(Calc!$C$36=999,360,Calc!$C$36),Calc!$C$12=1),CHOOSE(Calc!$C$3,INDEX('Snowball Engine'!$AH211:$AV211,Calc!$I$12),INDEX('Avalanche Engine'!$AH211:$AV211,Calc!$J$12),INDEX('My Order Engine'!$AH211:$AV211,Calc!$K$12)),"")</f>
        <v/>
      </c>
      <c r="J209" s="25" t="str">
        <f>IF(AND($A209&lt;=IF(Calc!$C$36=999,360,Calc!$C$36),Calc!$C$13=1),CHOOSE(Calc!$C$3,INDEX('Snowball Engine'!$AH211:$AV211,Calc!$I$13),INDEX('Avalanche Engine'!$AH211:$AV211,Calc!$J$13),INDEX('My Order Engine'!$AH211:$AV211,Calc!$K$13)),"")</f>
        <v/>
      </c>
      <c r="K209" s="25" t="str">
        <f>IF(AND($A209&lt;=IF(Calc!$C$36=999,360,Calc!$C$36),Calc!$C$14=1),CHOOSE(Calc!$C$3,INDEX('Snowball Engine'!$AH211:$AV211,Calc!$I$14),INDEX('Avalanche Engine'!$AH211:$AV211,Calc!$J$14),INDEX('My Order Engine'!$AH211:$AV211,Calc!$K$14)),"")</f>
        <v/>
      </c>
      <c r="L209" s="25" t="str">
        <f>IF(AND($A209&lt;=IF(Calc!$C$36=999,360,Calc!$C$36),Calc!$C$15=1),CHOOSE(Calc!$C$3,INDEX('Snowball Engine'!$AH211:$AV211,Calc!$I$15),INDEX('Avalanche Engine'!$AH211:$AV211,Calc!$J$15),INDEX('My Order Engine'!$AH211:$AV211,Calc!$K$15)),"")</f>
        <v/>
      </c>
      <c r="M209" s="25" t="str">
        <f>IF(AND($A209&lt;=IF(Calc!$C$36=999,360,Calc!$C$36),Calc!$C$16=1),CHOOSE(Calc!$C$3,INDEX('Snowball Engine'!$AH211:$AV211,Calc!$I$16),INDEX('Avalanche Engine'!$AH211:$AV211,Calc!$J$16),INDEX('My Order Engine'!$AH211:$AV211,Calc!$K$16)),"")</f>
        <v/>
      </c>
      <c r="N209" s="25" t="str">
        <f>IF(AND($A209&lt;=IF(Calc!$C$36=999,360,Calc!$C$36),Calc!$C$17=1),CHOOSE(Calc!$C$3,INDEX('Snowball Engine'!$AH211:$AV211,Calc!$I$17),INDEX('Avalanche Engine'!$AH211:$AV211,Calc!$J$17),INDEX('My Order Engine'!$AH211:$AV211,Calc!$K$17)),"")</f>
        <v/>
      </c>
      <c r="O209" s="25" t="str">
        <f>IF(AND($A209&lt;=IF(Calc!$C$36=999,360,Calc!$C$36),Calc!$C$18=1),CHOOSE(Calc!$C$3,INDEX('Snowball Engine'!$AH211:$AV211,Calc!$I$18),INDEX('Avalanche Engine'!$AH211:$AV211,Calc!$J$18),INDEX('My Order Engine'!$AH211:$AV211,Calc!$K$18)),"")</f>
        <v/>
      </c>
      <c r="P209" s="25" t="str">
        <f>IF(AND($A209&lt;=IF(Calc!$C$36=999,360,Calc!$C$36),Calc!$C$19=1),CHOOSE(Calc!$C$3,INDEX('Snowball Engine'!$AH211:$AV211,Calc!$I$19),INDEX('Avalanche Engine'!$AH211:$AV211,Calc!$J$19),INDEX('My Order Engine'!$AH211:$AV211,Calc!$K$19)),"")</f>
        <v/>
      </c>
      <c r="Q209" s="25" t="str">
        <f>IF(AND($A209&lt;=IF(Calc!$C$36=999,360,Calc!$C$36),Calc!$C$20=1),CHOOSE(Calc!$C$3,INDEX('Snowball Engine'!$AH211:$AV211,Calc!$I$20),INDEX('Avalanche Engine'!$AH211:$AV211,Calc!$J$20),INDEX('My Order Engine'!$AH211:$AV211,Calc!$K$20)),"")</f>
        <v/>
      </c>
      <c r="R209" s="25" t="str">
        <f>IF(AND($A209&lt;=IF(Calc!$C$36=999,360,Calc!$C$36),Calc!$C$21=1),CHOOSE(Calc!$C$3,INDEX('Snowball Engine'!$AH211:$AV211,Calc!$I$21),INDEX('Avalanche Engine'!$AH211:$AV211,Calc!$J$21),INDEX('My Order Engine'!$AH211:$AV211,Calc!$K$21)),"")</f>
        <v/>
      </c>
      <c r="S209" s="25" t="str">
        <f>IF(AND($A209&lt;=IF(Calc!$C$36=999,360,Calc!$C$36),Calc!$C$22=1),CHOOSE(Calc!$C$3,INDEX('Snowball Engine'!$AH211:$AV211,Calc!$I$22),INDEX('Avalanche Engine'!$AH211:$AV211,Calc!$J$22),INDEX('My Order Engine'!$AH211:$AV211,Calc!$K$22)),"")</f>
        <v/>
      </c>
      <c r="T209" s="25" t="str">
        <f>IF(AND($A209&lt;=IF(Calc!$C$36=999,360,Calc!$C$36),Calc!$C$23=1),CHOOSE(Calc!$C$3,INDEX('Snowball Engine'!$AH211:$AV211,Calc!$I$23),INDEX('Avalanche Engine'!$AH211:$AV211,Calc!$J$23),INDEX('My Order Engine'!$AH211:$AV211,Calc!$K$23)),"")</f>
        <v/>
      </c>
      <c r="U209" s="25" t="str">
        <f>IF(AND($A209&lt;=IF(Calc!$C$36=999,360,Calc!$C$36),Calc!$C$24=1),CHOOSE(Calc!$C$3,INDEX('Snowball Engine'!$AH211:$AV211,Calc!$I$24),INDEX('Avalanche Engine'!$AH211:$AV211,Calc!$J$24),INDEX('My Order Engine'!$AH211:$AV211,Calc!$K$24)),"")</f>
        <v/>
      </c>
    </row>
    <row r="210" spans="1:21" x14ac:dyDescent="0.35">
      <c r="A210" s="23">
        <v>206</v>
      </c>
      <c r="B210" s="24" t="str">
        <f>IF($A210&lt;=IF(Calc!$C$36=999,360,Calc!$C$36),EDATE(Calc!$C$5,A210-1),"")</f>
        <v/>
      </c>
      <c r="C210" s="25" t="str">
        <f>IF($A210&lt;=IF(Calc!$C$36=999,360,Calc!$C$36),CHOOSE(Calc!$C$3,'Snowball Engine'!AY212,'Avalanche Engine'!AY212,'My Order Engine'!AY212),"")</f>
        <v/>
      </c>
      <c r="D210" s="25" t="str">
        <f>IF($A210&lt;=IF(Calc!$C$36=999,360,Calc!$C$36),CHOOSE(Calc!$C$3,'Snowball Engine'!AX212,'Avalanche Engine'!AX212,'My Order Engine'!AX212),"")</f>
        <v/>
      </c>
      <c r="E210" s="25" t="str">
        <f>IF($A210&lt;=IF(Calc!$C$36=999,360,Calc!$C$36),C210-D210,"")</f>
        <v/>
      </c>
      <c r="F210" s="25" t="str">
        <f>IF($A210&lt;=IF(Calc!$C$36=999,360,Calc!$C$36),CHOOSE(Calc!$C$3,'Snowball Engine'!AW212,'Avalanche Engine'!AW212,'My Order Engine'!AW212),"")</f>
        <v/>
      </c>
      <c r="G210" s="25" t="str">
        <f>IF(AND($A210&lt;=IF(Calc!$C$36=999,360,Calc!$C$36),Calc!$C$10=1),CHOOSE(Calc!$C$3,INDEX('Snowball Engine'!$AH212:$AV212,Calc!$I$10),INDEX('Avalanche Engine'!$AH212:$AV212,Calc!$J$10),INDEX('My Order Engine'!$AH212:$AV212,Calc!$K$10)),"")</f>
        <v/>
      </c>
      <c r="H210" s="25" t="str">
        <f>IF(AND($A210&lt;=IF(Calc!$C$36=999,360,Calc!$C$36),Calc!$C$11=1),CHOOSE(Calc!$C$3,INDEX('Snowball Engine'!$AH212:$AV212,Calc!$I$11),INDEX('Avalanche Engine'!$AH212:$AV212,Calc!$J$11),INDEX('My Order Engine'!$AH212:$AV212,Calc!$K$11)),"")</f>
        <v/>
      </c>
      <c r="I210" s="25" t="str">
        <f>IF(AND($A210&lt;=IF(Calc!$C$36=999,360,Calc!$C$36),Calc!$C$12=1),CHOOSE(Calc!$C$3,INDEX('Snowball Engine'!$AH212:$AV212,Calc!$I$12),INDEX('Avalanche Engine'!$AH212:$AV212,Calc!$J$12),INDEX('My Order Engine'!$AH212:$AV212,Calc!$K$12)),"")</f>
        <v/>
      </c>
      <c r="J210" s="25" t="str">
        <f>IF(AND($A210&lt;=IF(Calc!$C$36=999,360,Calc!$C$36),Calc!$C$13=1),CHOOSE(Calc!$C$3,INDEX('Snowball Engine'!$AH212:$AV212,Calc!$I$13),INDEX('Avalanche Engine'!$AH212:$AV212,Calc!$J$13),INDEX('My Order Engine'!$AH212:$AV212,Calc!$K$13)),"")</f>
        <v/>
      </c>
      <c r="K210" s="25" t="str">
        <f>IF(AND($A210&lt;=IF(Calc!$C$36=999,360,Calc!$C$36),Calc!$C$14=1),CHOOSE(Calc!$C$3,INDEX('Snowball Engine'!$AH212:$AV212,Calc!$I$14),INDEX('Avalanche Engine'!$AH212:$AV212,Calc!$J$14),INDEX('My Order Engine'!$AH212:$AV212,Calc!$K$14)),"")</f>
        <v/>
      </c>
      <c r="L210" s="25" t="str">
        <f>IF(AND($A210&lt;=IF(Calc!$C$36=999,360,Calc!$C$36),Calc!$C$15=1),CHOOSE(Calc!$C$3,INDEX('Snowball Engine'!$AH212:$AV212,Calc!$I$15),INDEX('Avalanche Engine'!$AH212:$AV212,Calc!$J$15),INDEX('My Order Engine'!$AH212:$AV212,Calc!$K$15)),"")</f>
        <v/>
      </c>
      <c r="M210" s="25" t="str">
        <f>IF(AND($A210&lt;=IF(Calc!$C$36=999,360,Calc!$C$36),Calc!$C$16=1),CHOOSE(Calc!$C$3,INDEX('Snowball Engine'!$AH212:$AV212,Calc!$I$16),INDEX('Avalanche Engine'!$AH212:$AV212,Calc!$J$16),INDEX('My Order Engine'!$AH212:$AV212,Calc!$K$16)),"")</f>
        <v/>
      </c>
      <c r="N210" s="25" t="str">
        <f>IF(AND($A210&lt;=IF(Calc!$C$36=999,360,Calc!$C$36),Calc!$C$17=1),CHOOSE(Calc!$C$3,INDEX('Snowball Engine'!$AH212:$AV212,Calc!$I$17),INDEX('Avalanche Engine'!$AH212:$AV212,Calc!$J$17),INDEX('My Order Engine'!$AH212:$AV212,Calc!$K$17)),"")</f>
        <v/>
      </c>
      <c r="O210" s="25" t="str">
        <f>IF(AND($A210&lt;=IF(Calc!$C$36=999,360,Calc!$C$36),Calc!$C$18=1),CHOOSE(Calc!$C$3,INDEX('Snowball Engine'!$AH212:$AV212,Calc!$I$18),INDEX('Avalanche Engine'!$AH212:$AV212,Calc!$J$18),INDEX('My Order Engine'!$AH212:$AV212,Calc!$K$18)),"")</f>
        <v/>
      </c>
      <c r="P210" s="25" t="str">
        <f>IF(AND($A210&lt;=IF(Calc!$C$36=999,360,Calc!$C$36),Calc!$C$19=1),CHOOSE(Calc!$C$3,INDEX('Snowball Engine'!$AH212:$AV212,Calc!$I$19),INDEX('Avalanche Engine'!$AH212:$AV212,Calc!$J$19),INDEX('My Order Engine'!$AH212:$AV212,Calc!$K$19)),"")</f>
        <v/>
      </c>
      <c r="Q210" s="25" t="str">
        <f>IF(AND($A210&lt;=IF(Calc!$C$36=999,360,Calc!$C$36),Calc!$C$20=1),CHOOSE(Calc!$C$3,INDEX('Snowball Engine'!$AH212:$AV212,Calc!$I$20),INDEX('Avalanche Engine'!$AH212:$AV212,Calc!$J$20),INDEX('My Order Engine'!$AH212:$AV212,Calc!$K$20)),"")</f>
        <v/>
      </c>
      <c r="R210" s="25" t="str">
        <f>IF(AND($A210&lt;=IF(Calc!$C$36=999,360,Calc!$C$36),Calc!$C$21=1),CHOOSE(Calc!$C$3,INDEX('Snowball Engine'!$AH212:$AV212,Calc!$I$21),INDEX('Avalanche Engine'!$AH212:$AV212,Calc!$J$21),INDEX('My Order Engine'!$AH212:$AV212,Calc!$K$21)),"")</f>
        <v/>
      </c>
      <c r="S210" s="25" t="str">
        <f>IF(AND($A210&lt;=IF(Calc!$C$36=999,360,Calc!$C$36),Calc!$C$22=1),CHOOSE(Calc!$C$3,INDEX('Snowball Engine'!$AH212:$AV212,Calc!$I$22),INDEX('Avalanche Engine'!$AH212:$AV212,Calc!$J$22),INDEX('My Order Engine'!$AH212:$AV212,Calc!$K$22)),"")</f>
        <v/>
      </c>
      <c r="T210" s="25" t="str">
        <f>IF(AND($A210&lt;=IF(Calc!$C$36=999,360,Calc!$C$36),Calc!$C$23=1),CHOOSE(Calc!$C$3,INDEX('Snowball Engine'!$AH212:$AV212,Calc!$I$23),INDEX('Avalanche Engine'!$AH212:$AV212,Calc!$J$23),INDEX('My Order Engine'!$AH212:$AV212,Calc!$K$23)),"")</f>
        <v/>
      </c>
      <c r="U210" s="25" t="str">
        <f>IF(AND($A210&lt;=IF(Calc!$C$36=999,360,Calc!$C$36),Calc!$C$24=1),CHOOSE(Calc!$C$3,INDEX('Snowball Engine'!$AH212:$AV212,Calc!$I$24),INDEX('Avalanche Engine'!$AH212:$AV212,Calc!$J$24),INDEX('My Order Engine'!$AH212:$AV212,Calc!$K$24)),"")</f>
        <v/>
      </c>
    </row>
    <row r="211" spans="1:21" x14ac:dyDescent="0.35">
      <c r="A211" s="23">
        <v>207</v>
      </c>
      <c r="B211" s="24" t="str">
        <f>IF($A211&lt;=IF(Calc!$C$36=999,360,Calc!$C$36),EDATE(Calc!$C$5,A211-1),"")</f>
        <v/>
      </c>
      <c r="C211" s="25" t="str">
        <f>IF($A211&lt;=IF(Calc!$C$36=999,360,Calc!$C$36),CHOOSE(Calc!$C$3,'Snowball Engine'!AY213,'Avalanche Engine'!AY213,'My Order Engine'!AY213),"")</f>
        <v/>
      </c>
      <c r="D211" s="25" t="str">
        <f>IF($A211&lt;=IF(Calc!$C$36=999,360,Calc!$C$36),CHOOSE(Calc!$C$3,'Snowball Engine'!AX213,'Avalanche Engine'!AX213,'My Order Engine'!AX213),"")</f>
        <v/>
      </c>
      <c r="E211" s="25" t="str">
        <f>IF($A211&lt;=IF(Calc!$C$36=999,360,Calc!$C$36),C211-D211,"")</f>
        <v/>
      </c>
      <c r="F211" s="25" t="str">
        <f>IF($A211&lt;=IF(Calc!$C$36=999,360,Calc!$C$36),CHOOSE(Calc!$C$3,'Snowball Engine'!AW213,'Avalanche Engine'!AW213,'My Order Engine'!AW213),"")</f>
        <v/>
      </c>
      <c r="G211" s="25" t="str">
        <f>IF(AND($A211&lt;=IF(Calc!$C$36=999,360,Calc!$C$36),Calc!$C$10=1),CHOOSE(Calc!$C$3,INDEX('Snowball Engine'!$AH213:$AV213,Calc!$I$10),INDEX('Avalanche Engine'!$AH213:$AV213,Calc!$J$10),INDEX('My Order Engine'!$AH213:$AV213,Calc!$K$10)),"")</f>
        <v/>
      </c>
      <c r="H211" s="25" t="str">
        <f>IF(AND($A211&lt;=IF(Calc!$C$36=999,360,Calc!$C$36),Calc!$C$11=1),CHOOSE(Calc!$C$3,INDEX('Snowball Engine'!$AH213:$AV213,Calc!$I$11),INDEX('Avalanche Engine'!$AH213:$AV213,Calc!$J$11),INDEX('My Order Engine'!$AH213:$AV213,Calc!$K$11)),"")</f>
        <v/>
      </c>
      <c r="I211" s="25" t="str">
        <f>IF(AND($A211&lt;=IF(Calc!$C$36=999,360,Calc!$C$36),Calc!$C$12=1),CHOOSE(Calc!$C$3,INDEX('Snowball Engine'!$AH213:$AV213,Calc!$I$12),INDEX('Avalanche Engine'!$AH213:$AV213,Calc!$J$12),INDEX('My Order Engine'!$AH213:$AV213,Calc!$K$12)),"")</f>
        <v/>
      </c>
      <c r="J211" s="25" t="str">
        <f>IF(AND($A211&lt;=IF(Calc!$C$36=999,360,Calc!$C$36),Calc!$C$13=1),CHOOSE(Calc!$C$3,INDEX('Snowball Engine'!$AH213:$AV213,Calc!$I$13),INDEX('Avalanche Engine'!$AH213:$AV213,Calc!$J$13),INDEX('My Order Engine'!$AH213:$AV213,Calc!$K$13)),"")</f>
        <v/>
      </c>
      <c r="K211" s="25" t="str">
        <f>IF(AND($A211&lt;=IF(Calc!$C$36=999,360,Calc!$C$36),Calc!$C$14=1),CHOOSE(Calc!$C$3,INDEX('Snowball Engine'!$AH213:$AV213,Calc!$I$14),INDEX('Avalanche Engine'!$AH213:$AV213,Calc!$J$14),INDEX('My Order Engine'!$AH213:$AV213,Calc!$K$14)),"")</f>
        <v/>
      </c>
      <c r="L211" s="25" t="str">
        <f>IF(AND($A211&lt;=IF(Calc!$C$36=999,360,Calc!$C$36),Calc!$C$15=1),CHOOSE(Calc!$C$3,INDEX('Snowball Engine'!$AH213:$AV213,Calc!$I$15),INDEX('Avalanche Engine'!$AH213:$AV213,Calc!$J$15),INDEX('My Order Engine'!$AH213:$AV213,Calc!$K$15)),"")</f>
        <v/>
      </c>
      <c r="M211" s="25" t="str">
        <f>IF(AND($A211&lt;=IF(Calc!$C$36=999,360,Calc!$C$36),Calc!$C$16=1),CHOOSE(Calc!$C$3,INDEX('Snowball Engine'!$AH213:$AV213,Calc!$I$16),INDEX('Avalanche Engine'!$AH213:$AV213,Calc!$J$16),INDEX('My Order Engine'!$AH213:$AV213,Calc!$K$16)),"")</f>
        <v/>
      </c>
      <c r="N211" s="25" t="str">
        <f>IF(AND($A211&lt;=IF(Calc!$C$36=999,360,Calc!$C$36),Calc!$C$17=1),CHOOSE(Calc!$C$3,INDEX('Snowball Engine'!$AH213:$AV213,Calc!$I$17),INDEX('Avalanche Engine'!$AH213:$AV213,Calc!$J$17),INDEX('My Order Engine'!$AH213:$AV213,Calc!$K$17)),"")</f>
        <v/>
      </c>
      <c r="O211" s="25" t="str">
        <f>IF(AND($A211&lt;=IF(Calc!$C$36=999,360,Calc!$C$36),Calc!$C$18=1),CHOOSE(Calc!$C$3,INDEX('Snowball Engine'!$AH213:$AV213,Calc!$I$18),INDEX('Avalanche Engine'!$AH213:$AV213,Calc!$J$18),INDEX('My Order Engine'!$AH213:$AV213,Calc!$K$18)),"")</f>
        <v/>
      </c>
      <c r="P211" s="25" t="str">
        <f>IF(AND($A211&lt;=IF(Calc!$C$36=999,360,Calc!$C$36),Calc!$C$19=1),CHOOSE(Calc!$C$3,INDEX('Snowball Engine'!$AH213:$AV213,Calc!$I$19),INDEX('Avalanche Engine'!$AH213:$AV213,Calc!$J$19),INDEX('My Order Engine'!$AH213:$AV213,Calc!$K$19)),"")</f>
        <v/>
      </c>
      <c r="Q211" s="25" t="str">
        <f>IF(AND($A211&lt;=IF(Calc!$C$36=999,360,Calc!$C$36),Calc!$C$20=1),CHOOSE(Calc!$C$3,INDEX('Snowball Engine'!$AH213:$AV213,Calc!$I$20),INDEX('Avalanche Engine'!$AH213:$AV213,Calc!$J$20),INDEX('My Order Engine'!$AH213:$AV213,Calc!$K$20)),"")</f>
        <v/>
      </c>
      <c r="R211" s="25" t="str">
        <f>IF(AND($A211&lt;=IF(Calc!$C$36=999,360,Calc!$C$36),Calc!$C$21=1),CHOOSE(Calc!$C$3,INDEX('Snowball Engine'!$AH213:$AV213,Calc!$I$21),INDEX('Avalanche Engine'!$AH213:$AV213,Calc!$J$21),INDEX('My Order Engine'!$AH213:$AV213,Calc!$K$21)),"")</f>
        <v/>
      </c>
      <c r="S211" s="25" t="str">
        <f>IF(AND($A211&lt;=IF(Calc!$C$36=999,360,Calc!$C$36),Calc!$C$22=1),CHOOSE(Calc!$C$3,INDEX('Snowball Engine'!$AH213:$AV213,Calc!$I$22),INDEX('Avalanche Engine'!$AH213:$AV213,Calc!$J$22),INDEX('My Order Engine'!$AH213:$AV213,Calc!$K$22)),"")</f>
        <v/>
      </c>
      <c r="T211" s="25" t="str">
        <f>IF(AND($A211&lt;=IF(Calc!$C$36=999,360,Calc!$C$36),Calc!$C$23=1),CHOOSE(Calc!$C$3,INDEX('Snowball Engine'!$AH213:$AV213,Calc!$I$23),INDEX('Avalanche Engine'!$AH213:$AV213,Calc!$J$23),INDEX('My Order Engine'!$AH213:$AV213,Calc!$K$23)),"")</f>
        <v/>
      </c>
      <c r="U211" s="25" t="str">
        <f>IF(AND($A211&lt;=IF(Calc!$C$36=999,360,Calc!$C$36),Calc!$C$24=1),CHOOSE(Calc!$C$3,INDEX('Snowball Engine'!$AH213:$AV213,Calc!$I$24),INDEX('Avalanche Engine'!$AH213:$AV213,Calc!$J$24),INDEX('My Order Engine'!$AH213:$AV213,Calc!$K$24)),"")</f>
        <v/>
      </c>
    </row>
    <row r="212" spans="1:21" x14ac:dyDescent="0.35">
      <c r="A212" s="23">
        <v>208</v>
      </c>
      <c r="B212" s="24" t="str">
        <f>IF($A212&lt;=IF(Calc!$C$36=999,360,Calc!$C$36),EDATE(Calc!$C$5,A212-1),"")</f>
        <v/>
      </c>
      <c r="C212" s="25" t="str">
        <f>IF($A212&lt;=IF(Calc!$C$36=999,360,Calc!$C$36),CHOOSE(Calc!$C$3,'Snowball Engine'!AY214,'Avalanche Engine'!AY214,'My Order Engine'!AY214),"")</f>
        <v/>
      </c>
      <c r="D212" s="25" t="str">
        <f>IF($A212&lt;=IF(Calc!$C$36=999,360,Calc!$C$36),CHOOSE(Calc!$C$3,'Snowball Engine'!AX214,'Avalanche Engine'!AX214,'My Order Engine'!AX214),"")</f>
        <v/>
      </c>
      <c r="E212" s="25" t="str">
        <f>IF($A212&lt;=IF(Calc!$C$36=999,360,Calc!$C$36),C212-D212,"")</f>
        <v/>
      </c>
      <c r="F212" s="25" t="str">
        <f>IF($A212&lt;=IF(Calc!$C$36=999,360,Calc!$C$36),CHOOSE(Calc!$C$3,'Snowball Engine'!AW214,'Avalanche Engine'!AW214,'My Order Engine'!AW214),"")</f>
        <v/>
      </c>
      <c r="G212" s="25" t="str">
        <f>IF(AND($A212&lt;=IF(Calc!$C$36=999,360,Calc!$C$36),Calc!$C$10=1),CHOOSE(Calc!$C$3,INDEX('Snowball Engine'!$AH214:$AV214,Calc!$I$10),INDEX('Avalanche Engine'!$AH214:$AV214,Calc!$J$10),INDEX('My Order Engine'!$AH214:$AV214,Calc!$K$10)),"")</f>
        <v/>
      </c>
      <c r="H212" s="25" t="str">
        <f>IF(AND($A212&lt;=IF(Calc!$C$36=999,360,Calc!$C$36),Calc!$C$11=1),CHOOSE(Calc!$C$3,INDEX('Snowball Engine'!$AH214:$AV214,Calc!$I$11),INDEX('Avalanche Engine'!$AH214:$AV214,Calc!$J$11),INDEX('My Order Engine'!$AH214:$AV214,Calc!$K$11)),"")</f>
        <v/>
      </c>
      <c r="I212" s="25" t="str">
        <f>IF(AND($A212&lt;=IF(Calc!$C$36=999,360,Calc!$C$36),Calc!$C$12=1),CHOOSE(Calc!$C$3,INDEX('Snowball Engine'!$AH214:$AV214,Calc!$I$12),INDEX('Avalanche Engine'!$AH214:$AV214,Calc!$J$12),INDEX('My Order Engine'!$AH214:$AV214,Calc!$K$12)),"")</f>
        <v/>
      </c>
      <c r="J212" s="25" t="str">
        <f>IF(AND($A212&lt;=IF(Calc!$C$36=999,360,Calc!$C$36),Calc!$C$13=1),CHOOSE(Calc!$C$3,INDEX('Snowball Engine'!$AH214:$AV214,Calc!$I$13),INDEX('Avalanche Engine'!$AH214:$AV214,Calc!$J$13),INDEX('My Order Engine'!$AH214:$AV214,Calc!$K$13)),"")</f>
        <v/>
      </c>
      <c r="K212" s="25" t="str">
        <f>IF(AND($A212&lt;=IF(Calc!$C$36=999,360,Calc!$C$36),Calc!$C$14=1),CHOOSE(Calc!$C$3,INDEX('Snowball Engine'!$AH214:$AV214,Calc!$I$14),INDEX('Avalanche Engine'!$AH214:$AV214,Calc!$J$14),INDEX('My Order Engine'!$AH214:$AV214,Calc!$K$14)),"")</f>
        <v/>
      </c>
      <c r="L212" s="25" t="str">
        <f>IF(AND($A212&lt;=IF(Calc!$C$36=999,360,Calc!$C$36),Calc!$C$15=1),CHOOSE(Calc!$C$3,INDEX('Snowball Engine'!$AH214:$AV214,Calc!$I$15),INDEX('Avalanche Engine'!$AH214:$AV214,Calc!$J$15),INDEX('My Order Engine'!$AH214:$AV214,Calc!$K$15)),"")</f>
        <v/>
      </c>
      <c r="M212" s="25" t="str">
        <f>IF(AND($A212&lt;=IF(Calc!$C$36=999,360,Calc!$C$36),Calc!$C$16=1),CHOOSE(Calc!$C$3,INDEX('Snowball Engine'!$AH214:$AV214,Calc!$I$16),INDEX('Avalanche Engine'!$AH214:$AV214,Calc!$J$16),INDEX('My Order Engine'!$AH214:$AV214,Calc!$K$16)),"")</f>
        <v/>
      </c>
      <c r="N212" s="25" t="str">
        <f>IF(AND($A212&lt;=IF(Calc!$C$36=999,360,Calc!$C$36),Calc!$C$17=1),CHOOSE(Calc!$C$3,INDEX('Snowball Engine'!$AH214:$AV214,Calc!$I$17),INDEX('Avalanche Engine'!$AH214:$AV214,Calc!$J$17),INDEX('My Order Engine'!$AH214:$AV214,Calc!$K$17)),"")</f>
        <v/>
      </c>
      <c r="O212" s="25" t="str">
        <f>IF(AND($A212&lt;=IF(Calc!$C$36=999,360,Calc!$C$36),Calc!$C$18=1),CHOOSE(Calc!$C$3,INDEX('Snowball Engine'!$AH214:$AV214,Calc!$I$18),INDEX('Avalanche Engine'!$AH214:$AV214,Calc!$J$18),INDEX('My Order Engine'!$AH214:$AV214,Calc!$K$18)),"")</f>
        <v/>
      </c>
      <c r="P212" s="25" t="str">
        <f>IF(AND($A212&lt;=IF(Calc!$C$36=999,360,Calc!$C$36),Calc!$C$19=1),CHOOSE(Calc!$C$3,INDEX('Snowball Engine'!$AH214:$AV214,Calc!$I$19),INDEX('Avalanche Engine'!$AH214:$AV214,Calc!$J$19),INDEX('My Order Engine'!$AH214:$AV214,Calc!$K$19)),"")</f>
        <v/>
      </c>
      <c r="Q212" s="25" t="str">
        <f>IF(AND($A212&lt;=IF(Calc!$C$36=999,360,Calc!$C$36),Calc!$C$20=1),CHOOSE(Calc!$C$3,INDEX('Snowball Engine'!$AH214:$AV214,Calc!$I$20),INDEX('Avalanche Engine'!$AH214:$AV214,Calc!$J$20),INDEX('My Order Engine'!$AH214:$AV214,Calc!$K$20)),"")</f>
        <v/>
      </c>
      <c r="R212" s="25" t="str">
        <f>IF(AND($A212&lt;=IF(Calc!$C$36=999,360,Calc!$C$36),Calc!$C$21=1),CHOOSE(Calc!$C$3,INDEX('Snowball Engine'!$AH214:$AV214,Calc!$I$21),INDEX('Avalanche Engine'!$AH214:$AV214,Calc!$J$21),INDEX('My Order Engine'!$AH214:$AV214,Calc!$K$21)),"")</f>
        <v/>
      </c>
      <c r="S212" s="25" t="str">
        <f>IF(AND($A212&lt;=IF(Calc!$C$36=999,360,Calc!$C$36),Calc!$C$22=1),CHOOSE(Calc!$C$3,INDEX('Snowball Engine'!$AH214:$AV214,Calc!$I$22),INDEX('Avalanche Engine'!$AH214:$AV214,Calc!$J$22),INDEX('My Order Engine'!$AH214:$AV214,Calc!$K$22)),"")</f>
        <v/>
      </c>
      <c r="T212" s="25" t="str">
        <f>IF(AND($A212&lt;=IF(Calc!$C$36=999,360,Calc!$C$36),Calc!$C$23=1),CHOOSE(Calc!$C$3,INDEX('Snowball Engine'!$AH214:$AV214,Calc!$I$23),INDEX('Avalanche Engine'!$AH214:$AV214,Calc!$J$23),INDEX('My Order Engine'!$AH214:$AV214,Calc!$K$23)),"")</f>
        <v/>
      </c>
      <c r="U212" s="25" t="str">
        <f>IF(AND($A212&lt;=IF(Calc!$C$36=999,360,Calc!$C$36),Calc!$C$24=1),CHOOSE(Calc!$C$3,INDEX('Snowball Engine'!$AH214:$AV214,Calc!$I$24),INDEX('Avalanche Engine'!$AH214:$AV214,Calc!$J$24),INDEX('My Order Engine'!$AH214:$AV214,Calc!$K$24)),"")</f>
        <v/>
      </c>
    </row>
    <row r="213" spans="1:21" x14ac:dyDescent="0.35">
      <c r="A213" s="23">
        <v>209</v>
      </c>
      <c r="B213" s="24" t="str">
        <f>IF($A213&lt;=IF(Calc!$C$36=999,360,Calc!$C$36),EDATE(Calc!$C$5,A213-1),"")</f>
        <v/>
      </c>
      <c r="C213" s="25" t="str">
        <f>IF($A213&lt;=IF(Calc!$C$36=999,360,Calc!$C$36),CHOOSE(Calc!$C$3,'Snowball Engine'!AY215,'Avalanche Engine'!AY215,'My Order Engine'!AY215),"")</f>
        <v/>
      </c>
      <c r="D213" s="25" t="str">
        <f>IF($A213&lt;=IF(Calc!$C$36=999,360,Calc!$C$36),CHOOSE(Calc!$C$3,'Snowball Engine'!AX215,'Avalanche Engine'!AX215,'My Order Engine'!AX215),"")</f>
        <v/>
      </c>
      <c r="E213" s="25" t="str">
        <f>IF($A213&lt;=IF(Calc!$C$36=999,360,Calc!$C$36),C213-D213,"")</f>
        <v/>
      </c>
      <c r="F213" s="25" t="str">
        <f>IF($A213&lt;=IF(Calc!$C$36=999,360,Calc!$C$36),CHOOSE(Calc!$C$3,'Snowball Engine'!AW215,'Avalanche Engine'!AW215,'My Order Engine'!AW215),"")</f>
        <v/>
      </c>
      <c r="G213" s="25" t="str">
        <f>IF(AND($A213&lt;=IF(Calc!$C$36=999,360,Calc!$C$36),Calc!$C$10=1),CHOOSE(Calc!$C$3,INDEX('Snowball Engine'!$AH215:$AV215,Calc!$I$10),INDEX('Avalanche Engine'!$AH215:$AV215,Calc!$J$10),INDEX('My Order Engine'!$AH215:$AV215,Calc!$K$10)),"")</f>
        <v/>
      </c>
      <c r="H213" s="25" t="str">
        <f>IF(AND($A213&lt;=IF(Calc!$C$36=999,360,Calc!$C$36),Calc!$C$11=1),CHOOSE(Calc!$C$3,INDEX('Snowball Engine'!$AH215:$AV215,Calc!$I$11),INDEX('Avalanche Engine'!$AH215:$AV215,Calc!$J$11),INDEX('My Order Engine'!$AH215:$AV215,Calc!$K$11)),"")</f>
        <v/>
      </c>
      <c r="I213" s="25" t="str">
        <f>IF(AND($A213&lt;=IF(Calc!$C$36=999,360,Calc!$C$36),Calc!$C$12=1),CHOOSE(Calc!$C$3,INDEX('Snowball Engine'!$AH215:$AV215,Calc!$I$12),INDEX('Avalanche Engine'!$AH215:$AV215,Calc!$J$12),INDEX('My Order Engine'!$AH215:$AV215,Calc!$K$12)),"")</f>
        <v/>
      </c>
      <c r="J213" s="25" t="str">
        <f>IF(AND($A213&lt;=IF(Calc!$C$36=999,360,Calc!$C$36),Calc!$C$13=1),CHOOSE(Calc!$C$3,INDEX('Snowball Engine'!$AH215:$AV215,Calc!$I$13),INDEX('Avalanche Engine'!$AH215:$AV215,Calc!$J$13),INDEX('My Order Engine'!$AH215:$AV215,Calc!$K$13)),"")</f>
        <v/>
      </c>
      <c r="K213" s="25" t="str">
        <f>IF(AND($A213&lt;=IF(Calc!$C$36=999,360,Calc!$C$36),Calc!$C$14=1),CHOOSE(Calc!$C$3,INDEX('Snowball Engine'!$AH215:$AV215,Calc!$I$14),INDEX('Avalanche Engine'!$AH215:$AV215,Calc!$J$14),INDEX('My Order Engine'!$AH215:$AV215,Calc!$K$14)),"")</f>
        <v/>
      </c>
      <c r="L213" s="25" t="str">
        <f>IF(AND($A213&lt;=IF(Calc!$C$36=999,360,Calc!$C$36),Calc!$C$15=1),CHOOSE(Calc!$C$3,INDEX('Snowball Engine'!$AH215:$AV215,Calc!$I$15),INDEX('Avalanche Engine'!$AH215:$AV215,Calc!$J$15),INDEX('My Order Engine'!$AH215:$AV215,Calc!$K$15)),"")</f>
        <v/>
      </c>
      <c r="M213" s="25" t="str">
        <f>IF(AND($A213&lt;=IF(Calc!$C$36=999,360,Calc!$C$36),Calc!$C$16=1),CHOOSE(Calc!$C$3,INDEX('Snowball Engine'!$AH215:$AV215,Calc!$I$16),INDEX('Avalanche Engine'!$AH215:$AV215,Calc!$J$16),INDEX('My Order Engine'!$AH215:$AV215,Calc!$K$16)),"")</f>
        <v/>
      </c>
      <c r="N213" s="25" t="str">
        <f>IF(AND($A213&lt;=IF(Calc!$C$36=999,360,Calc!$C$36),Calc!$C$17=1),CHOOSE(Calc!$C$3,INDEX('Snowball Engine'!$AH215:$AV215,Calc!$I$17),INDEX('Avalanche Engine'!$AH215:$AV215,Calc!$J$17),INDEX('My Order Engine'!$AH215:$AV215,Calc!$K$17)),"")</f>
        <v/>
      </c>
      <c r="O213" s="25" t="str">
        <f>IF(AND($A213&lt;=IF(Calc!$C$36=999,360,Calc!$C$36),Calc!$C$18=1),CHOOSE(Calc!$C$3,INDEX('Snowball Engine'!$AH215:$AV215,Calc!$I$18),INDEX('Avalanche Engine'!$AH215:$AV215,Calc!$J$18),INDEX('My Order Engine'!$AH215:$AV215,Calc!$K$18)),"")</f>
        <v/>
      </c>
      <c r="P213" s="25" t="str">
        <f>IF(AND($A213&lt;=IF(Calc!$C$36=999,360,Calc!$C$36),Calc!$C$19=1),CHOOSE(Calc!$C$3,INDEX('Snowball Engine'!$AH215:$AV215,Calc!$I$19),INDEX('Avalanche Engine'!$AH215:$AV215,Calc!$J$19),INDEX('My Order Engine'!$AH215:$AV215,Calc!$K$19)),"")</f>
        <v/>
      </c>
      <c r="Q213" s="25" t="str">
        <f>IF(AND($A213&lt;=IF(Calc!$C$36=999,360,Calc!$C$36),Calc!$C$20=1),CHOOSE(Calc!$C$3,INDEX('Snowball Engine'!$AH215:$AV215,Calc!$I$20),INDEX('Avalanche Engine'!$AH215:$AV215,Calc!$J$20),INDEX('My Order Engine'!$AH215:$AV215,Calc!$K$20)),"")</f>
        <v/>
      </c>
      <c r="R213" s="25" t="str">
        <f>IF(AND($A213&lt;=IF(Calc!$C$36=999,360,Calc!$C$36),Calc!$C$21=1),CHOOSE(Calc!$C$3,INDEX('Snowball Engine'!$AH215:$AV215,Calc!$I$21),INDEX('Avalanche Engine'!$AH215:$AV215,Calc!$J$21),INDEX('My Order Engine'!$AH215:$AV215,Calc!$K$21)),"")</f>
        <v/>
      </c>
      <c r="S213" s="25" t="str">
        <f>IF(AND($A213&lt;=IF(Calc!$C$36=999,360,Calc!$C$36),Calc!$C$22=1),CHOOSE(Calc!$C$3,INDEX('Snowball Engine'!$AH215:$AV215,Calc!$I$22),INDEX('Avalanche Engine'!$AH215:$AV215,Calc!$J$22),INDEX('My Order Engine'!$AH215:$AV215,Calc!$K$22)),"")</f>
        <v/>
      </c>
      <c r="T213" s="25" t="str">
        <f>IF(AND($A213&lt;=IF(Calc!$C$36=999,360,Calc!$C$36),Calc!$C$23=1),CHOOSE(Calc!$C$3,INDEX('Snowball Engine'!$AH215:$AV215,Calc!$I$23),INDEX('Avalanche Engine'!$AH215:$AV215,Calc!$J$23),INDEX('My Order Engine'!$AH215:$AV215,Calc!$K$23)),"")</f>
        <v/>
      </c>
      <c r="U213" s="25" t="str">
        <f>IF(AND($A213&lt;=IF(Calc!$C$36=999,360,Calc!$C$36),Calc!$C$24=1),CHOOSE(Calc!$C$3,INDEX('Snowball Engine'!$AH215:$AV215,Calc!$I$24),INDEX('Avalanche Engine'!$AH215:$AV215,Calc!$J$24),INDEX('My Order Engine'!$AH215:$AV215,Calc!$K$24)),"")</f>
        <v/>
      </c>
    </row>
    <row r="214" spans="1:21" x14ac:dyDescent="0.35">
      <c r="A214" s="23">
        <v>210</v>
      </c>
      <c r="B214" s="24" t="str">
        <f>IF($A214&lt;=IF(Calc!$C$36=999,360,Calc!$C$36),EDATE(Calc!$C$5,A214-1),"")</f>
        <v/>
      </c>
      <c r="C214" s="25" t="str">
        <f>IF($A214&lt;=IF(Calc!$C$36=999,360,Calc!$C$36),CHOOSE(Calc!$C$3,'Snowball Engine'!AY216,'Avalanche Engine'!AY216,'My Order Engine'!AY216),"")</f>
        <v/>
      </c>
      <c r="D214" s="25" t="str">
        <f>IF($A214&lt;=IF(Calc!$C$36=999,360,Calc!$C$36),CHOOSE(Calc!$C$3,'Snowball Engine'!AX216,'Avalanche Engine'!AX216,'My Order Engine'!AX216),"")</f>
        <v/>
      </c>
      <c r="E214" s="25" t="str">
        <f>IF($A214&lt;=IF(Calc!$C$36=999,360,Calc!$C$36),C214-D214,"")</f>
        <v/>
      </c>
      <c r="F214" s="25" t="str">
        <f>IF($A214&lt;=IF(Calc!$C$36=999,360,Calc!$C$36),CHOOSE(Calc!$C$3,'Snowball Engine'!AW216,'Avalanche Engine'!AW216,'My Order Engine'!AW216),"")</f>
        <v/>
      </c>
      <c r="G214" s="25" t="str">
        <f>IF(AND($A214&lt;=IF(Calc!$C$36=999,360,Calc!$C$36),Calc!$C$10=1),CHOOSE(Calc!$C$3,INDEX('Snowball Engine'!$AH216:$AV216,Calc!$I$10),INDEX('Avalanche Engine'!$AH216:$AV216,Calc!$J$10),INDEX('My Order Engine'!$AH216:$AV216,Calc!$K$10)),"")</f>
        <v/>
      </c>
      <c r="H214" s="25" t="str">
        <f>IF(AND($A214&lt;=IF(Calc!$C$36=999,360,Calc!$C$36),Calc!$C$11=1),CHOOSE(Calc!$C$3,INDEX('Snowball Engine'!$AH216:$AV216,Calc!$I$11),INDEX('Avalanche Engine'!$AH216:$AV216,Calc!$J$11),INDEX('My Order Engine'!$AH216:$AV216,Calc!$K$11)),"")</f>
        <v/>
      </c>
      <c r="I214" s="25" t="str">
        <f>IF(AND($A214&lt;=IF(Calc!$C$36=999,360,Calc!$C$36),Calc!$C$12=1),CHOOSE(Calc!$C$3,INDEX('Snowball Engine'!$AH216:$AV216,Calc!$I$12),INDEX('Avalanche Engine'!$AH216:$AV216,Calc!$J$12),INDEX('My Order Engine'!$AH216:$AV216,Calc!$K$12)),"")</f>
        <v/>
      </c>
      <c r="J214" s="25" t="str">
        <f>IF(AND($A214&lt;=IF(Calc!$C$36=999,360,Calc!$C$36),Calc!$C$13=1),CHOOSE(Calc!$C$3,INDEX('Snowball Engine'!$AH216:$AV216,Calc!$I$13),INDEX('Avalanche Engine'!$AH216:$AV216,Calc!$J$13),INDEX('My Order Engine'!$AH216:$AV216,Calc!$K$13)),"")</f>
        <v/>
      </c>
      <c r="K214" s="25" t="str">
        <f>IF(AND($A214&lt;=IF(Calc!$C$36=999,360,Calc!$C$36),Calc!$C$14=1),CHOOSE(Calc!$C$3,INDEX('Snowball Engine'!$AH216:$AV216,Calc!$I$14),INDEX('Avalanche Engine'!$AH216:$AV216,Calc!$J$14),INDEX('My Order Engine'!$AH216:$AV216,Calc!$K$14)),"")</f>
        <v/>
      </c>
      <c r="L214" s="25" t="str">
        <f>IF(AND($A214&lt;=IF(Calc!$C$36=999,360,Calc!$C$36),Calc!$C$15=1),CHOOSE(Calc!$C$3,INDEX('Snowball Engine'!$AH216:$AV216,Calc!$I$15),INDEX('Avalanche Engine'!$AH216:$AV216,Calc!$J$15),INDEX('My Order Engine'!$AH216:$AV216,Calc!$K$15)),"")</f>
        <v/>
      </c>
      <c r="M214" s="25" t="str">
        <f>IF(AND($A214&lt;=IF(Calc!$C$36=999,360,Calc!$C$36),Calc!$C$16=1),CHOOSE(Calc!$C$3,INDEX('Snowball Engine'!$AH216:$AV216,Calc!$I$16),INDEX('Avalanche Engine'!$AH216:$AV216,Calc!$J$16),INDEX('My Order Engine'!$AH216:$AV216,Calc!$K$16)),"")</f>
        <v/>
      </c>
      <c r="N214" s="25" t="str">
        <f>IF(AND($A214&lt;=IF(Calc!$C$36=999,360,Calc!$C$36),Calc!$C$17=1),CHOOSE(Calc!$C$3,INDEX('Snowball Engine'!$AH216:$AV216,Calc!$I$17),INDEX('Avalanche Engine'!$AH216:$AV216,Calc!$J$17),INDEX('My Order Engine'!$AH216:$AV216,Calc!$K$17)),"")</f>
        <v/>
      </c>
      <c r="O214" s="25" t="str">
        <f>IF(AND($A214&lt;=IF(Calc!$C$36=999,360,Calc!$C$36),Calc!$C$18=1),CHOOSE(Calc!$C$3,INDEX('Snowball Engine'!$AH216:$AV216,Calc!$I$18),INDEX('Avalanche Engine'!$AH216:$AV216,Calc!$J$18),INDEX('My Order Engine'!$AH216:$AV216,Calc!$K$18)),"")</f>
        <v/>
      </c>
      <c r="P214" s="25" t="str">
        <f>IF(AND($A214&lt;=IF(Calc!$C$36=999,360,Calc!$C$36),Calc!$C$19=1),CHOOSE(Calc!$C$3,INDEX('Snowball Engine'!$AH216:$AV216,Calc!$I$19),INDEX('Avalanche Engine'!$AH216:$AV216,Calc!$J$19),INDEX('My Order Engine'!$AH216:$AV216,Calc!$K$19)),"")</f>
        <v/>
      </c>
      <c r="Q214" s="25" t="str">
        <f>IF(AND($A214&lt;=IF(Calc!$C$36=999,360,Calc!$C$36),Calc!$C$20=1),CHOOSE(Calc!$C$3,INDEX('Snowball Engine'!$AH216:$AV216,Calc!$I$20),INDEX('Avalanche Engine'!$AH216:$AV216,Calc!$J$20),INDEX('My Order Engine'!$AH216:$AV216,Calc!$K$20)),"")</f>
        <v/>
      </c>
      <c r="R214" s="25" t="str">
        <f>IF(AND($A214&lt;=IF(Calc!$C$36=999,360,Calc!$C$36),Calc!$C$21=1),CHOOSE(Calc!$C$3,INDEX('Snowball Engine'!$AH216:$AV216,Calc!$I$21),INDEX('Avalanche Engine'!$AH216:$AV216,Calc!$J$21),INDEX('My Order Engine'!$AH216:$AV216,Calc!$K$21)),"")</f>
        <v/>
      </c>
      <c r="S214" s="25" t="str">
        <f>IF(AND($A214&lt;=IF(Calc!$C$36=999,360,Calc!$C$36),Calc!$C$22=1),CHOOSE(Calc!$C$3,INDEX('Snowball Engine'!$AH216:$AV216,Calc!$I$22),INDEX('Avalanche Engine'!$AH216:$AV216,Calc!$J$22),INDEX('My Order Engine'!$AH216:$AV216,Calc!$K$22)),"")</f>
        <v/>
      </c>
      <c r="T214" s="25" t="str">
        <f>IF(AND($A214&lt;=IF(Calc!$C$36=999,360,Calc!$C$36),Calc!$C$23=1),CHOOSE(Calc!$C$3,INDEX('Snowball Engine'!$AH216:$AV216,Calc!$I$23),INDEX('Avalanche Engine'!$AH216:$AV216,Calc!$J$23),INDEX('My Order Engine'!$AH216:$AV216,Calc!$K$23)),"")</f>
        <v/>
      </c>
      <c r="U214" s="25" t="str">
        <f>IF(AND($A214&lt;=IF(Calc!$C$36=999,360,Calc!$C$36),Calc!$C$24=1),CHOOSE(Calc!$C$3,INDEX('Snowball Engine'!$AH216:$AV216,Calc!$I$24),INDEX('Avalanche Engine'!$AH216:$AV216,Calc!$J$24),INDEX('My Order Engine'!$AH216:$AV216,Calc!$K$24)),"")</f>
        <v/>
      </c>
    </row>
    <row r="215" spans="1:21" x14ac:dyDescent="0.35">
      <c r="A215" s="23">
        <v>211</v>
      </c>
      <c r="B215" s="24" t="str">
        <f>IF($A215&lt;=IF(Calc!$C$36=999,360,Calc!$C$36),EDATE(Calc!$C$5,A215-1),"")</f>
        <v/>
      </c>
      <c r="C215" s="25" t="str">
        <f>IF($A215&lt;=IF(Calc!$C$36=999,360,Calc!$C$36),CHOOSE(Calc!$C$3,'Snowball Engine'!AY217,'Avalanche Engine'!AY217,'My Order Engine'!AY217),"")</f>
        <v/>
      </c>
      <c r="D215" s="25" t="str">
        <f>IF($A215&lt;=IF(Calc!$C$36=999,360,Calc!$C$36),CHOOSE(Calc!$C$3,'Snowball Engine'!AX217,'Avalanche Engine'!AX217,'My Order Engine'!AX217),"")</f>
        <v/>
      </c>
      <c r="E215" s="25" t="str">
        <f>IF($A215&lt;=IF(Calc!$C$36=999,360,Calc!$C$36),C215-D215,"")</f>
        <v/>
      </c>
      <c r="F215" s="25" t="str">
        <f>IF($A215&lt;=IF(Calc!$C$36=999,360,Calc!$C$36),CHOOSE(Calc!$C$3,'Snowball Engine'!AW217,'Avalanche Engine'!AW217,'My Order Engine'!AW217),"")</f>
        <v/>
      </c>
      <c r="G215" s="25" t="str">
        <f>IF(AND($A215&lt;=IF(Calc!$C$36=999,360,Calc!$C$36),Calc!$C$10=1),CHOOSE(Calc!$C$3,INDEX('Snowball Engine'!$AH217:$AV217,Calc!$I$10),INDEX('Avalanche Engine'!$AH217:$AV217,Calc!$J$10),INDEX('My Order Engine'!$AH217:$AV217,Calc!$K$10)),"")</f>
        <v/>
      </c>
      <c r="H215" s="25" t="str">
        <f>IF(AND($A215&lt;=IF(Calc!$C$36=999,360,Calc!$C$36),Calc!$C$11=1),CHOOSE(Calc!$C$3,INDEX('Snowball Engine'!$AH217:$AV217,Calc!$I$11),INDEX('Avalanche Engine'!$AH217:$AV217,Calc!$J$11),INDEX('My Order Engine'!$AH217:$AV217,Calc!$K$11)),"")</f>
        <v/>
      </c>
      <c r="I215" s="25" t="str">
        <f>IF(AND($A215&lt;=IF(Calc!$C$36=999,360,Calc!$C$36),Calc!$C$12=1),CHOOSE(Calc!$C$3,INDEX('Snowball Engine'!$AH217:$AV217,Calc!$I$12),INDEX('Avalanche Engine'!$AH217:$AV217,Calc!$J$12),INDEX('My Order Engine'!$AH217:$AV217,Calc!$K$12)),"")</f>
        <v/>
      </c>
      <c r="J215" s="25" t="str">
        <f>IF(AND($A215&lt;=IF(Calc!$C$36=999,360,Calc!$C$36),Calc!$C$13=1),CHOOSE(Calc!$C$3,INDEX('Snowball Engine'!$AH217:$AV217,Calc!$I$13),INDEX('Avalanche Engine'!$AH217:$AV217,Calc!$J$13),INDEX('My Order Engine'!$AH217:$AV217,Calc!$K$13)),"")</f>
        <v/>
      </c>
      <c r="K215" s="25" t="str">
        <f>IF(AND($A215&lt;=IF(Calc!$C$36=999,360,Calc!$C$36),Calc!$C$14=1),CHOOSE(Calc!$C$3,INDEX('Snowball Engine'!$AH217:$AV217,Calc!$I$14),INDEX('Avalanche Engine'!$AH217:$AV217,Calc!$J$14),INDEX('My Order Engine'!$AH217:$AV217,Calc!$K$14)),"")</f>
        <v/>
      </c>
      <c r="L215" s="25" t="str">
        <f>IF(AND($A215&lt;=IF(Calc!$C$36=999,360,Calc!$C$36),Calc!$C$15=1),CHOOSE(Calc!$C$3,INDEX('Snowball Engine'!$AH217:$AV217,Calc!$I$15),INDEX('Avalanche Engine'!$AH217:$AV217,Calc!$J$15),INDEX('My Order Engine'!$AH217:$AV217,Calc!$K$15)),"")</f>
        <v/>
      </c>
      <c r="M215" s="25" t="str">
        <f>IF(AND($A215&lt;=IF(Calc!$C$36=999,360,Calc!$C$36),Calc!$C$16=1),CHOOSE(Calc!$C$3,INDEX('Snowball Engine'!$AH217:$AV217,Calc!$I$16),INDEX('Avalanche Engine'!$AH217:$AV217,Calc!$J$16),INDEX('My Order Engine'!$AH217:$AV217,Calc!$K$16)),"")</f>
        <v/>
      </c>
      <c r="N215" s="25" t="str">
        <f>IF(AND($A215&lt;=IF(Calc!$C$36=999,360,Calc!$C$36),Calc!$C$17=1),CHOOSE(Calc!$C$3,INDEX('Snowball Engine'!$AH217:$AV217,Calc!$I$17),INDEX('Avalanche Engine'!$AH217:$AV217,Calc!$J$17),INDEX('My Order Engine'!$AH217:$AV217,Calc!$K$17)),"")</f>
        <v/>
      </c>
      <c r="O215" s="25" t="str">
        <f>IF(AND($A215&lt;=IF(Calc!$C$36=999,360,Calc!$C$36),Calc!$C$18=1),CHOOSE(Calc!$C$3,INDEX('Snowball Engine'!$AH217:$AV217,Calc!$I$18),INDEX('Avalanche Engine'!$AH217:$AV217,Calc!$J$18),INDEX('My Order Engine'!$AH217:$AV217,Calc!$K$18)),"")</f>
        <v/>
      </c>
      <c r="P215" s="25" t="str">
        <f>IF(AND($A215&lt;=IF(Calc!$C$36=999,360,Calc!$C$36),Calc!$C$19=1),CHOOSE(Calc!$C$3,INDEX('Snowball Engine'!$AH217:$AV217,Calc!$I$19),INDEX('Avalanche Engine'!$AH217:$AV217,Calc!$J$19),INDEX('My Order Engine'!$AH217:$AV217,Calc!$K$19)),"")</f>
        <v/>
      </c>
      <c r="Q215" s="25" t="str">
        <f>IF(AND($A215&lt;=IF(Calc!$C$36=999,360,Calc!$C$36),Calc!$C$20=1),CHOOSE(Calc!$C$3,INDEX('Snowball Engine'!$AH217:$AV217,Calc!$I$20),INDEX('Avalanche Engine'!$AH217:$AV217,Calc!$J$20),INDEX('My Order Engine'!$AH217:$AV217,Calc!$K$20)),"")</f>
        <v/>
      </c>
      <c r="R215" s="25" t="str">
        <f>IF(AND($A215&lt;=IF(Calc!$C$36=999,360,Calc!$C$36),Calc!$C$21=1),CHOOSE(Calc!$C$3,INDEX('Snowball Engine'!$AH217:$AV217,Calc!$I$21),INDEX('Avalanche Engine'!$AH217:$AV217,Calc!$J$21),INDEX('My Order Engine'!$AH217:$AV217,Calc!$K$21)),"")</f>
        <v/>
      </c>
      <c r="S215" s="25" t="str">
        <f>IF(AND($A215&lt;=IF(Calc!$C$36=999,360,Calc!$C$36),Calc!$C$22=1),CHOOSE(Calc!$C$3,INDEX('Snowball Engine'!$AH217:$AV217,Calc!$I$22),INDEX('Avalanche Engine'!$AH217:$AV217,Calc!$J$22),INDEX('My Order Engine'!$AH217:$AV217,Calc!$K$22)),"")</f>
        <v/>
      </c>
      <c r="T215" s="25" t="str">
        <f>IF(AND($A215&lt;=IF(Calc!$C$36=999,360,Calc!$C$36),Calc!$C$23=1),CHOOSE(Calc!$C$3,INDEX('Snowball Engine'!$AH217:$AV217,Calc!$I$23),INDEX('Avalanche Engine'!$AH217:$AV217,Calc!$J$23),INDEX('My Order Engine'!$AH217:$AV217,Calc!$K$23)),"")</f>
        <v/>
      </c>
      <c r="U215" s="25" t="str">
        <f>IF(AND($A215&lt;=IF(Calc!$C$36=999,360,Calc!$C$36),Calc!$C$24=1),CHOOSE(Calc!$C$3,INDEX('Snowball Engine'!$AH217:$AV217,Calc!$I$24),INDEX('Avalanche Engine'!$AH217:$AV217,Calc!$J$24),INDEX('My Order Engine'!$AH217:$AV217,Calc!$K$24)),"")</f>
        <v/>
      </c>
    </row>
    <row r="216" spans="1:21" x14ac:dyDescent="0.35">
      <c r="A216" s="23">
        <v>212</v>
      </c>
      <c r="B216" s="24" t="str">
        <f>IF($A216&lt;=IF(Calc!$C$36=999,360,Calc!$C$36),EDATE(Calc!$C$5,A216-1),"")</f>
        <v/>
      </c>
      <c r="C216" s="25" t="str">
        <f>IF($A216&lt;=IF(Calc!$C$36=999,360,Calc!$C$36),CHOOSE(Calc!$C$3,'Snowball Engine'!AY218,'Avalanche Engine'!AY218,'My Order Engine'!AY218),"")</f>
        <v/>
      </c>
      <c r="D216" s="25" t="str">
        <f>IF($A216&lt;=IF(Calc!$C$36=999,360,Calc!$C$36),CHOOSE(Calc!$C$3,'Snowball Engine'!AX218,'Avalanche Engine'!AX218,'My Order Engine'!AX218),"")</f>
        <v/>
      </c>
      <c r="E216" s="25" t="str">
        <f>IF($A216&lt;=IF(Calc!$C$36=999,360,Calc!$C$36),C216-D216,"")</f>
        <v/>
      </c>
      <c r="F216" s="25" t="str">
        <f>IF($A216&lt;=IF(Calc!$C$36=999,360,Calc!$C$36),CHOOSE(Calc!$C$3,'Snowball Engine'!AW218,'Avalanche Engine'!AW218,'My Order Engine'!AW218),"")</f>
        <v/>
      </c>
      <c r="G216" s="25" t="str">
        <f>IF(AND($A216&lt;=IF(Calc!$C$36=999,360,Calc!$C$36),Calc!$C$10=1),CHOOSE(Calc!$C$3,INDEX('Snowball Engine'!$AH218:$AV218,Calc!$I$10),INDEX('Avalanche Engine'!$AH218:$AV218,Calc!$J$10),INDEX('My Order Engine'!$AH218:$AV218,Calc!$K$10)),"")</f>
        <v/>
      </c>
      <c r="H216" s="25" t="str">
        <f>IF(AND($A216&lt;=IF(Calc!$C$36=999,360,Calc!$C$36),Calc!$C$11=1),CHOOSE(Calc!$C$3,INDEX('Snowball Engine'!$AH218:$AV218,Calc!$I$11),INDEX('Avalanche Engine'!$AH218:$AV218,Calc!$J$11),INDEX('My Order Engine'!$AH218:$AV218,Calc!$K$11)),"")</f>
        <v/>
      </c>
      <c r="I216" s="25" t="str">
        <f>IF(AND($A216&lt;=IF(Calc!$C$36=999,360,Calc!$C$36),Calc!$C$12=1),CHOOSE(Calc!$C$3,INDEX('Snowball Engine'!$AH218:$AV218,Calc!$I$12),INDEX('Avalanche Engine'!$AH218:$AV218,Calc!$J$12),INDEX('My Order Engine'!$AH218:$AV218,Calc!$K$12)),"")</f>
        <v/>
      </c>
      <c r="J216" s="25" t="str">
        <f>IF(AND($A216&lt;=IF(Calc!$C$36=999,360,Calc!$C$36),Calc!$C$13=1),CHOOSE(Calc!$C$3,INDEX('Snowball Engine'!$AH218:$AV218,Calc!$I$13),INDEX('Avalanche Engine'!$AH218:$AV218,Calc!$J$13),INDEX('My Order Engine'!$AH218:$AV218,Calc!$K$13)),"")</f>
        <v/>
      </c>
      <c r="K216" s="25" t="str">
        <f>IF(AND($A216&lt;=IF(Calc!$C$36=999,360,Calc!$C$36),Calc!$C$14=1),CHOOSE(Calc!$C$3,INDEX('Snowball Engine'!$AH218:$AV218,Calc!$I$14),INDEX('Avalanche Engine'!$AH218:$AV218,Calc!$J$14),INDEX('My Order Engine'!$AH218:$AV218,Calc!$K$14)),"")</f>
        <v/>
      </c>
      <c r="L216" s="25" t="str">
        <f>IF(AND($A216&lt;=IF(Calc!$C$36=999,360,Calc!$C$36),Calc!$C$15=1),CHOOSE(Calc!$C$3,INDEX('Snowball Engine'!$AH218:$AV218,Calc!$I$15),INDEX('Avalanche Engine'!$AH218:$AV218,Calc!$J$15),INDEX('My Order Engine'!$AH218:$AV218,Calc!$K$15)),"")</f>
        <v/>
      </c>
      <c r="M216" s="25" t="str">
        <f>IF(AND($A216&lt;=IF(Calc!$C$36=999,360,Calc!$C$36),Calc!$C$16=1),CHOOSE(Calc!$C$3,INDEX('Snowball Engine'!$AH218:$AV218,Calc!$I$16),INDEX('Avalanche Engine'!$AH218:$AV218,Calc!$J$16),INDEX('My Order Engine'!$AH218:$AV218,Calc!$K$16)),"")</f>
        <v/>
      </c>
      <c r="N216" s="25" t="str">
        <f>IF(AND($A216&lt;=IF(Calc!$C$36=999,360,Calc!$C$36),Calc!$C$17=1),CHOOSE(Calc!$C$3,INDEX('Snowball Engine'!$AH218:$AV218,Calc!$I$17),INDEX('Avalanche Engine'!$AH218:$AV218,Calc!$J$17),INDEX('My Order Engine'!$AH218:$AV218,Calc!$K$17)),"")</f>
        <v/>
      </c>
      <c r="O216" s="25" t="str">
        <f>IF(AND($A216&lt;=IF(Calc!$C$36=999,360,Calc!$C$36),Calc!$C$18=1),CHOOSE(Calc!$C$3,INDEX('Snowball Engine'!$AH218:$AV218,Calc!$I$18),INDEX('Avalanche Engine'!$AH218:$AV218,Calc!$J$18),INDEX('My Order Engine'!$AH218:$AV218,Calc!$K$18)),"")</f>
        <v/>
      </c>
      <c r="P216" s="25" t="str">
        <f>IF(AND($A216&lt;=IF(Calc!$C$36=999,360,Calc!$C$36),Calc!$C$19=1),CHOOSE(Calc!$C$3,INDEX('Snowball Engine'!$AH218:$AV218,Calc!$I$19),INDEX('Avalanche Engine'!$AH218:$AV218,Calc!$J$19),INDEX('My Order Engine'!$AH218:$AV218,Calc!$K$19)),"")</f>
        <v/>
      </c>
      <c r="Q216" s="25" t="str">
        <f>IF(AND($A216&lt;=IF(Calc!$C$36=999,360,Calc!$C$36),Calc!$C$20=1),CHOOSE(Calc!$C$3,INDEX('Snowball Engine'!$AH218:$AV218,Calc!$I$20),INDEX('Avalanche Engine'!$AH218:$AV218,Calc!$J$20),INDEX('My Order Engine'!$AH218:$AV218,Calc!$K$20)),"")</f>
        <v/>
      </c>
      <c r="R216" s="25" t="str">
        <f>IF(AND($A216&lt;=IF(Calc!$C$36=999,360,Calc!$C$36),Calc!$C$21=1),CHOOSE(Calc!$C$3,INDEX('Snowball Engine'!$AH218:$AV218,Calc!$I$21),INDEX('Avalanche Engine'!$AH218:$AV218,Calc!$J$21),INDEX('My Order Engine'!$AH218:$AV218,Calc!$K$21)),"")</f>
        <v/>
      </c>
      <c r="S216" s="25" t="str">
        <f>IF(AND($A216&lt;=IF(Calc!$C$36=999,360,Calc!$C$36),Calc!$C$22=1),CHOOSE(Calc!$C$3,INDEX('Snowball Engine'!$AH218:$AV218,Calc!$I$22),INDEX('Avalanche Engine'!$AH218:$AV218,Calc!$J$22),INDEX('My Order Engine'!$AH218:$AV218,Calc!$K$22)),"")</f>
        <v/>
      </c>
      <c r="T216" s="25" t="str">
        <f>IF(AND($A216&lt;=IF(Calc!$C$36=999,360,Calc!$C$36),Calc!$C$23=1),CHOOSE(Calc!$C$3,INDEX('Snowball Engine'!$AH218:$AV218,Calc!$I$23),INDEX('Avalanche Engine'!$AH218:$AV218,Calc!$J$23),INDEX('My Order Engine'!$AH218:$AV218,Calc!$K$23)),"")</f>
        <v/>
      </c>
      <c r="U216" s="25" t="str">
        <f>IF(AND($A216&lt;=IF(Calc!$C$36=999,360,Calc!$C$36),Calc!$C$24=1),CHOOSE(Calc!$C$3,INDEX('Snowball Engine'!$AH218:$AV218,Calc!$I$24),INDEX('Avalanche Engine'!$AH218:$AV218,Calc!$J$24),INDEX('My Order Engine'!$AH218:$AV218,Calc!$K$24)),"")</f>
        <v/>
      </c>
    </row>
    <row r="217" spans="1:21" x14ac:dyDescent="0.35">
      <c r="A217" s="23">
        <v>213</v>
      </c>
      <c r="B217" s="24" t="str">
        <f>IF($A217&lt;=IF(Calc!$C$36=999,360,Calc!$C$36),EDATE(Calc!$C$5,A217-1),"")</f>
        <v/>
      </c>
      <c r="C217" s="25" t="str">
        <f>IF($A217&lt;=IF(Calc!$C$36=999,360,Calc!$C$36),CHOOSE(Calc!$C$3,'Snowball Engine'!AY219,'Avalanche Engine'!AY219,'My Order Engine'!AY219),"")</f>
        <v/>
      </c>
      <c r="D217" s="25" t="str">
        <f>IF($A217&lt;=IF(Calc!$C$36=999,360,Calc!$C$36),CHOOSE(Calc!$C$3,'Snowball Engine'!AX219,'Avalanche Engine'!AX219,'My Order Engine'!AX219),"")</f>
        <v/>
      </c>
      <c r="E217" s="25" t="str">
        <f>IF($A217&lt;=IF(Calc!$C$36=999,360,Calc!$C$36),C217-D217,"")</f>
        <v/>
      </c>
      <c r="F217" s="25" t="str">
        <f>IF($A217&lt;=IF(Calc!$C$36=999,360,Calc!$C$36),CHOOSE(Calc!$C$3,'Snowball Engine'!AW219,'Avalanche Engine'!AW219,'My Order Engine'!AW219),"")</f>
        <v/>
      </c>
      <c r="G217" s="25" t="str">
        <f>IF(AND($A217&lt;=IF(Calc!$C$36=999,360,Calc!$C$36),Calc!$C$10=1),CHOOSE(Calc!$C$3,INDEX('Snowball Engine'!$AH219:$AV219,Calc!$I$10),INDEX('Avalanche Engine'!$AH219:$AV219,Calc!$J$10),INDEX('My Order Engine'!$AH219:$AV219,Calc!$K$10)),"")</f>
        <v/>
      </c>
      <c r="H217" s="25" t="str">
        <f>IF(AND($A217&lt;=IF(Calc!$C$36=999,360,Calc!$C$36),Calc!$C$11=1),CHOOSE(Calc!$C$3,INDEX('Snowball Engine'!$AH219:$AV219,Calc!$I$11),INDEX('Avalanche Engine'!$AH219:$AV219,Calc!$J$11),INDEX('My Order Engine'!$AH219:$AV219,Calc!$K$11)),"")</f>
        <v/>
      </c>
      <c r="I217" s="25" t="str">
        <f>IF(AND($A217&lt;=IF(Calc!$C$36=999,360,Calc!$C$36),Calc!$C$12=1),CHOOSE(Calc!$C$3,INDEX('Snowball Engine'!$AH219:$AV219,Calc!$I$12),INDEX('Avalanche Engine'!$AH219:$AV219,Calc!$J$12),INDEX('My Order Engine'!$AH219:$AV219,Calc!$K$12)),"")</f>
        <v/>
      </c>
      <c r="J217" s="25" t="str">
        <f>IF(AND($A217&lt;=IF(Calc!$C$36=999,360,Calc!$C$36),Calc!$C$13=1),CHOOSE(Calc!$C$3,INDEX('Snowball Engine'!$AH219:$AV219,Calc!$I$13),INDEX('Avalanche Engine'!$AH219:$AV219,Calc!$J$13),INDEX('My Order Engine'!$AH219:$AV219,Calc!$K$13)),"")</f>
        <v/>
      </c>
      <c r="K217" s="25" t="str">
        <f>IF(AND($A217&lt;=IF(Calc!$C$36=999,360,Calc!$C$36),Calc!$C$14=1),CHOOSE(Calc!$C$3,INDEX('Snowball Engine'!$AH219:$AV219,Calc!$I$14),INDEX('Avalanche Engine'!$AH219:$AV219,Calc!$J$14),INDEX('My Order Engine'!$AH219:$AV219,Calc!$K$14)),"")</f>
        <v/>
      </c>
      <c r="L217" s="25" t="str">
        <f>IF(AND($A217&lt;=IF(Calc!$C$36=999,360,Calc!$C$36),Calc!$C$15=1),CHOOSE(Calc!$C$3,INDEX('Snowball Engine'!$AH219:$AV219,Calc!$I$15),INDEX('Avalanche Engine'!$AH219:$AV219,Calc!$J$15),INDEX('My Order Engine'!$AH219:$AV219,Calc!$K$15)),"")</f>
        <v/>
      </c>
      <c r="M217" s="25" t="str">
        <f>IF(AND($A217&lt;=IF(Calc!$C$36=999,360,Calc!$C$36),Calc!$C$16=1),CHOOSE(Calc!$C$3,INDEX('Snowball Engine'!$AH219:$AV219,Calc!$I$16),INDEX('Avalanche Engine'!$AH219:$AV219,Calc!$J$16),INDEX('My Order Engine'!$AH219:$AV219,Calc!$K$16)),"")</f>
        <v/>
      </c>
      <c r="N217" s="25" t="str">
        <f>IF(AND($A217&lt;=IF(Calc!$C$36=999,360,Calc!$C$36),Calc!$C$17=1),CHOOSE(Calc!$C$3,INDEX('Snowball Engine'!$AH219:$AV219,Calc!$I$17),INDEX('Avalanche Engine'!$AH219:$AV219,Calc!$J$17),INDEX('My Order Engine'!$AH219:$AV219,Calc!$K$17)),"")</f>
        <v/>
      </c>
      <c r="O217" s="25" t="str">
        <f>IF(AND($A217&lt;=IF(Calc!$C$36=999,360,Calc!$C$36),Calc!$C$18=1),CHOOSE(Calc!$C$3,INDEX('Snowball Engine'!$AH219:$AV219,Calc!$I$18),INDEX('Avalanche Engine'!$AH219:$AV219,Calc!$J$18),INDEX('My Order Engine'!$AH219:$AV219,Calc!$K$18)),"")</f>
        <v/>
      </c>
      <c r="P217" s="25" t="str">
        <f>IF(AND($A217&lt;=IF(Calc!$C$36=999,360,Calc!$C$36),Calc!$C$19=1),CHOOSE(Calc!$C$3,INDEX('Snowball Engine'!$AH219:$AV219,Calc!$I$19),INDEX('Avalanche Engine'!$AH219:$AV219,Calc!$J$19),INDEX('My Order Engine'!$AH219:$AV219,Calc!$K$19)),"")</f>
        <v/>
      </c>
      <c r="Q217" s="25" t="str">
        <f>IF(AND($A217&lt;=IF(Calc!$C$36=999,360,Calc!$C$36),Calc!$C$20=1),CHOOSE(Calc!$C$3,INDEX('Snowball Engine'!$AH219:$AV219,Calc!$I$20),INDEX('Avalanche Engine'!$AH219:$AV219,Calc!$J$20),INDEX('My Order Engine'!$AH219:$AV219,Calc!$K$20)),"")</f>
        <v/>
      </c>
      <c r="R217" s="25" t="str">
        <f>IF(AND($A217&lt;=IF(Calc!$C$36=999,360,Calc!$C$36),Calc!$C$21=1),CHOOSE(Calc!$C$3,INDEX('Snowball Engine'!$AH219:$AV219,Calc!$I$21),INDEX('Avalanche Engine'!$AH219:$AV219,Calc!$J$21),INDEX('My Order Engine'!$AH219:$AV219,Calc!$K$21)),"")</f>
        <v/>
      </c>
      <c r="S217" s="25" t="str">
        <f>IF(AND($A217&lt;=IF(Calc!$C$36=999,360,Calc!$C$36),Calc!$C$22=1),CHOOSE(Calc!$C$3,INDEX('Snowball Engine'!$AH219:$AV219,Calc!$I$22),INDEX('Avalanche Engine'!$AH219:$AV219,Calc!$J$22),INDEX('My Order Engine'!$AH219:$AV219,Calc!$K$22)),"")</f>
        <v/>
      </c>
      <c r="T217" s="25" t="str">
        <f>IF(AND($A217&lt;=IF(Calc!$C$36=999,360,Calc!$C$36),Calc!$C$23=1),CHOOSE(Calc!$C$3,INDEX('Snowball Engine'!$AH219:$AV219,Calc!$I$23),INDEX('Avalanche Engine'!$AH219:$AV219,Calc!$J$23),INDEX('My Order Engine'!$AH219:$AV219,Calc!$K$23)),"")</f>
        <v/>
      </c>
      <c r="U217" s="25" t="str">
        <f>IF(AND($A217&lt;=IF(Calc!$C$36=999,360,Calc!$C$36),Calc!$C$24=1),CHOOSE(Calc!$C$3,INDEX('Snowball Engine'!$AH219:$AV219,Calc!$I$24),INDEX('Avalanche Engine'!$AH219:$AV219,Calc!$J$24),INDEX('My Order Engine'!$AH219:$AV219,Calc!$K$24)),"")</f>
        <v/>
      </c>
    </row>
    <row r="218" spans="1:21" x14ac:dyDescent="0.35">
      <c r="A218" s="23">
        <v>214</v>
      </c>
      <c r="B218" s="24" t="str">
        <f>IF($A218&lt;=IF(Calc!$C$36=999,360,Calc!$C$36),EDATE(Calc!$C$5,A218-1),"")</f>
        <v/>
      </c>
      <c r="C218" s="25" t="str">
        <f>IF($A218&lt;=IF(Calc!$C$36=999,360,Calc!$C$36),CHOOSE(Calc!$C$3,'Snowball Engine'!AY220,'Avalanche Engine'!AY220,'My Order Engine'!AY220),"")</f>
        <v/>
      </c>
      <c r="D218" s="25" t="str">
        <f>IF($A218&lt;=IF(Calc!$C$36=999,360,Calc!$C$36),CHOOSE(Calc!$C$3,'Snowball Engine'!AX220,'Avalanche Engine'!AX220,'My Order Engine'!AX220),"")</f>
        <v/>
      </c>
      <c r="E218" s="25" t="str">
        <f>IF($A218&lt;=IF(Calc!$C$36=999,360,Calc!$C$36),C218-D218,"")</f>
        <v/>
      </c>
      <c r="F218" s="25" t="str">
        <f>IF($A218&lt;=IF(Calc!$C$36=999,360,Calc!$C$36),CHOOSE(Calc!$C$3,'Snowball Engine'!AW220,'Avalanche Engine'!AW220,'My Order Engine'!AW220),"")</f>
        <v/>
      </c>
      <c r="G218" s="25" t="str">
        <f>IF(AND($A218&lt;=IF(Calc!$C$36=999,360,Calc!$C$36),Calc!$C$10=1),CHOOSE(Calc!$C$3,INDEX('Snowball Engine'!$AH220:$AV220,Calc!$I$10),INDEX('Avalanche Engine'!$AH220:$AV220,Calc!$J$10),INDEX('My Order Engine'!$AH220:$AV220,Calc!$K$10)),"")</f>
        <v/>
      </c>
      <c r="H218" s="25" t="str">
        <f>IF(AND($A218&lt;=IF(Calc!$C$36=999,360,Calc!$C$36),Calc!$C$11=1),CHOOSE(Calc!$C$3,INDEX('Snowball Engine'!$AH220:$AV220,Calc!$I$11),INDEX('Avalanche Engine'!$AH220:$AV220,Calc!$J$11),INDEX('My Order Engine'!$AH220:$AV220,Calc!$K$11)),"")</f>
        <v/>
      </c>
      <c r="I218" s="25" t="str">
        <f>IF(AND($A218&lt;=IF(Calc!$C$36=999,360,Calc!$C$36),Calc!$C$12=1),CHOOSE(Calc!$C$3,INDEX('Snowball Engine'!$AH220:$AV220,Calc!$I$12),INDEX('Avalanche Engine'!$AH220:$AV220,Calc!$J$12),INDEX('My Order Engine'!$AH220:$AV220,Calc!$K$12)),"")</f>
        <v/>
      </c>
      <c r="J218" s="25" t="str">
        <f>IF(AND($A218&lt;=IF(Calc!$C$36=999,360,Calc!$C$36),Calc!$C$13=1),CHOOSE(Calc!$C$3,INDEX('Snowball Engine'!$AH220:$AV220,Calc!$I$13),INDEX('Avalanche Engine'!$AH220:$AV220,Calc!$J$13),INDEX('My Order Engine'!$AH220:$AV220,Calc!$K$13)),"")</f>
        <v/>
      </c>
      <c r="K218" s="25" t="str">
        <f>IF(AND($A218&lt;=IF(Calc!$C$36=999,360,Calc!$C$36),Calc!$C$14=1),CHOOSE(Calc!$C$3,INDEX('Snowball Engine'!$AH220:$AV220,Calc!$I$14),INDEX('Avalanche Engine'!$AH220:$AV220,Calc!$J$14),INDEX('My Order Engine'!$AH220:$AV220,Calc!$K$14)),"")</f>
        <v/>
      </c>
      <c r="L218" s="25" t="str">
        <f>IF(AND($A218&lt;=IF(Calc!$C$36=999,360,Calc!$C$36),Calc!$C$15=1),CHOOSE(Calc!$C$3,INDEX('Snowball Engine'!$AH220:$AV220,Calc!$I$15),INDEX('Avalanche Engine'!$AH220:$AV220,Calc!$J$15),INDEX('My Order Engine'!$AH220:$AV220,Calc!$K$15)),"")</f>
        <v/>
      </c>
      <c r="M218" s="25" t="str">
        <f>IF(AND($A218&lt;=IF(Calc!$C$36=999,360,Calc!$C$36),Calc!$C$16=1),CHOOSE(Calc!$C$3,INDEX('Snowball Engine'!$AH220:$AV220,Calc!$I$16),INDEX('Avalanche Engine'!$AH220:$AV220,Calc!$J$16),INDEX('My Order Engine'!$AH220:$AV220,Calc!$K$16)),"")</f>
        <v/>
      </c>
      <c r="N218" s="25" t="str">
        <f>IF(AND($A218&lt;=IF(Calc!$C$36=999,360,Calc!$C$36),Calc!$C$17=1),CHOOSE(Calc!$C$3,INDEX('Snowball Engine'!$AH220:$AV220,Calc!$I$17),INDEX('Avalanche Engine'!$AH220:$AV220,Calc!$J$17),INDEX('My Order Engine'!$AH220:$AV220,Calc!$K$17)),"")</f>
        <v/>
      </c>
      <c r="O218" s="25" t="str">
        <f>IF(AND($A218&lt;=IF(Calc!$C$36=999,360,Calc!$C$36),Calc!$C$18=1),CHOOSE(Calc!$C$3,INDEX('Snowball Engine'!$AH220:$AV220,Calc!$I$18),INDEX('Avalanche Engine'!$AH220:$AV220,Calc!$J$18),INDEX('My Order Engine'!$AH220:$AV220,Calc!$K$18)),"")</f>
        <v/>
      </c>
      <c r="P218" s="25" t="str">
        <f>IF(AND($A218&lt;=IF(Calc!$C$36=999,360,Calc!$C$36),Calc!$C$19=1),CHOOSE(Calc!$C$3,INDEX('Snowball Engine'!$AH220:$AV220,Calc!$I$19),INDEX('Avalanche Engine'!$AH220:$AV220,Calc!$J$19),INDEX('My Order Engine'!$AH220:$AV220,Calc!$K$19)),"")</f>
        <v/>
      </c>
      <c r="Q218" s="25" t="str">
        <f>IF(AND($A218&lt;=IF(Calc!$C$36=999,360,Calc!$C$36),Calc!$C$20=1),CHOOSE(Calc!$C$3,INDEX('Snowball Engine'!$AH220:$AV220,Calc!$I$20),INDEX('Avalanche Engine'!$AH220:$AV220,Calc!$J$20),INDEX('My Order Engine'!$AH220:$AV220,Calc!$K$20)),"")</f>
        <v/>
      </c>
      <c r="R218" s="25" t="str">
        <f>IF(AND($A218&lt;=IF(Calc!$C$36=999,360,Calc!$C$36),Calc!$C$21=1),CHOOSE(Calc!$C$3,INDEX('Snowball Engine'!$AH220:$AV220,Calc!$I$21),INDEX('Avalanche Engine'!$AH220:$AV220,Calc!$J$21),INDEX('My Order Engine'!$AH220:$AV220,Calc!$K$21)),"")</f>
        <v/>
      </c>
      <c r="S218" s="25" t="str">
        <f>IF(AND($A218&lt;=IF(Calc!$C$36=999,360,Calc!$C$36),Calc!$C$22=1),CHOOSE(Calc!$C$3,INDEX('Snowball Engine'!$AH220:$AV220,Calc!$I$22),INDEX('Avalanche Engine'!$AH220:$AV220,Calc!$J$22),INDEX('My Order Engine'!$AH220:$AV220,Calc!$K$22)),"")</f>
        <v/>
      </c>
      <c r="T218" s="25" t="str">
        <f>IF(AND($A218&lt;=IF(Calc!$C$36=999,360,Calc!$C$36),Calc!$C$23=1),CHOOSE(Calc!$C$3,INDEX('Snowball Engine'!$AH220:$AV220,Calc!$I$23),INDEX('Avalanche Engine'!$AH220:$AV220,Calc!$J$23),INDEX('My Order Engine'!$AH220:$AV220,Calc!$K$23)),"")</f>
        <v/>
      </c>
      <c r="U218" s="25" t="str">
        <f>IF(AND($A218&lt;=IF(Calc!$C$36=999,360,Calc!$C$36),Calc!$C$24=1),CHOOSE(Calc!$C$3,INDEX('Snowball Engine'!$AH220:$AV220,Calc!$I$24),INDEX('Avalanche Engine'!$AH220:$AV220,Calc!$J$24),INDEX('My Order Engine'!$AH220:$AV220,Calc!$K$24)),"")</f>
        <v/>
      </c>
    </row>
    <row r="219" spans="1:21" x14ac:dyDescent="0.35">
      <c r="A219" s="23">
        <v>215</v>
      </c>
      <c r="B219" s="24" t="str">
        <f>IF($A219&lt;=IF(Calc!$C$36=999,360,Calc!$C$36),EDATE(Calc!$C$5,A219-1),"")</f>
        <v/>
      </c>
      <c r="C219" s="25" t="str">
        <f>IF($A219&lt;=IF(Calc!$C$36=999,360,Calc!$C$36),CHOOSE(Calc!$C$3,'Snowball Engine'!AY221,'Avalanche Engine'!AY221,'My Order Engine'!AY221),"")</f>
        <v/>
      </c>
      <c r="D219" s="25" t="str">
        <f>IF($A219&lt;=IF(Calc!$C$36=999,360,Calc!$C$36),CHOOSE(Calc!$C$3,'Snowball Engine'!AX221,'Avalanche Engine'!AX221,'My Order Engine'!AX221),"")</f>
        <v/>
      </c>
      <c r="E219" s="25" t="str">
        <f>IF($A219&lt;=IF(Calc!$C$36=999,360,Calc!$C$36),C219-D219,"")</f>
        <v/>
      </c>
      <c r="F219" s="25" t="str">
        <f>IF($A219&lt;=IF(Calc!$C$36=999,360,Calc!$C$36),CHOOSE(Calc!$C$3,'Snowball Engine'!AW221,'Avalanche Engine'!AW221,'My Order Engine'!AW221),"")</f>
        <v/>
      </c>
      <c r="G219" s="25" t="str">
        <f>IF(AND($A219&lt;=IF(Calc!$C$36=999,360,Calc!$C$36),Calc!$C$10=1),CHOOSE(Calc!$C$3,INDEX('Snowball Engine'!$AH221:$AV221,Calc!$I$10),INDEX('Avalanche Engine'!$AH221:$AV221,Calc!$J$10),INDEX('My Order Engine'!$AH221:$AV221,Calc!$K$10)),"")</f>
        <v/>
      </c>
      <c r="H219" s="25" t="str">
        <f>IF(AND($A219&lt;=IF(Calc!$C$36=999,360,Calc!$C$36),Calc!$C$11=1),CHOOSE(Calc!$C$3,INDEX('Snowball Engine'!$AH221:$AV221,Calc!$I$11),INDEX('Avalanche Engine'!$AH221:$AV221,Calc!$J$11),INDEX('My Order Engine'!$AH221:$AV221,Calc!$K$11)),"")</f>
        <v/>
      </c>
      <c r="I219" s="25" t="str">
        <f>IF(AND($A219&lt;=IF(Calc!$C$36=999,360,Calc!$C$36),Calc!$C$12=1),CHOOSE(Calc!$C$3,INDEX('Snowball Engine'!$AH221:$AV221,Calc!$I$12),INDEX('Avalanche Engine'!$AH221:$AV221,Calc!$J$12),INDEX('My Order Engine'!$AH221:$AV221,Calc!$K$12)),"")</f>
        <v/>
      </c>
      <c r="J219" s="25" t="str">
        <f>IF(AND($A219&lt;=IF(Calc!$C$36=999,360,Calc!$C$36),Calc!$C$13=1),CHOOSE(Calc!$C$3,INDEX('Snowball Engine'!$AH221:$AV221,Calc!$I$13),INDEX('Avalanche Engine'!$AH221:$AV221,Calc!$J$13),INDEX('My Order Engine'!$AH221:$AV221,Calc!$K$13)),"")</f>
        <v/>
      </c>
      <c r="K219" s="25" t="str">
        <f>IF(AND($A219&lt;=IF(Calc!$C$36=999,360,Calc!$C$36),Calc!$C$14=1),CHOOSE(Calc!$C$3,INDEX('Snowball Engine'!$AH221:$AV221,Calc!$I$14),INDEX('Avalanche Engine'!$AH221:$AV221,Calc!$J$14),INDEX('My Order Engine'!$AH221:$AV221,Calc!$K$14)),"")</f>
        <v/>
      </c>
      <c r="L219" s="25" t="str">
        <f>IF(AND($A219&lt;=IF(Calc!$C$36=999,360,Calc!$C$36),Calc!$C$15=1),CHOOSE(Calc!$C$3,INDEX('Snowball Engine'!$AH221:$AV221,Calc!$I$15),INDEX('Avalanche Engine'!$AH221:$AV221,Calc!$J$15),INDEX('My Order Engine'!$AH221:$AV221,Calc!$K$15)),"")</f>
        <v/>
      </c>
      <c r="M219" s="25" t="str">
        <f>IF(AND($A219&lt;=IF(Calc!$C$36=999,360,Calc!$C$36),Calc!$C$16=1),CHOOSE(Calc!$C$3,INDEX('Snowball Engine'!$AH221:$AV221,Calc!$I$16),INDEX('Avalanche Engine'!$AH221:$AV221,Calc!$J$16),INDEX('My Order Engine'!$AH221:$AV221,Calc!$K$16)),"")</f>
        <v/>
      </c>
      <c r="N219" s="25" t="str">
        <f>IF(AND($A219&lt;=IF(Calc!$C$36=999,360,Calc!$C$36),Calc!$C$17=1),CHOOSE(Calc!$C$3,INDEX('Snowball Engine'!$AH221:$AV221,Calc!$I$17),INDEX('Avalanche Engine'!$AH221:$AV221,Calc!$J$17),INDEX('My Order Engine'!$AH221:$AV221,Calc!$K$17)),"")</f>
        <v/>
      </c>
      <c r="O219" s="25" t="str">
        <f>IF(AND($A219&lt;=IF(Calc!$C$36=999,360,Calc!$C$36),Calc!$C$18=1),CHOOSE(Calc!$C$3,INDEX('Snowball Engine'!$AH221:$AV221,Calc!$I$18),INDEX('Avalanche Engine'!$AH221:$AV221,Calc!$J$18),INDEX('My Order Engine'!$AH221:$AV221,Calc!$K$18)),"")</f>
        <v/>
      </c>
      <c r="P219" s="25" t="str">
        <f>IF(AND($A219&lt;=IF(Calc!$C$36=999,360,Calc!$C$36),Calc!$C$19=1),CHOOSE(Calc!$C$3,INDEX('Snowball Engine'!$AH221:$AV221,Calc!$I$19),INDEX('Avalanche Engine'!$AH221:$AV221,Calc!$J$19),INDEX('My Order Engine'!$AH221:$AV221,Calc!$K$19)),"")</f>
        <v/>
      </c>
      <c r="Q219" s="25" t="str">
        <f>IF(AND($A219&lt;=IF(Calc!$C$36=999,360,Calc!$C$36),Calc!$C$20=1),CHOOSE(Calc!$C$3,INDEX('Snowball Engine'!$AH221:$AV221,Calc!$I$20),INDEX('Avalanche Engine'!$AH221:$AV221,Calc!$J$20),INDEX('My Order Engine'!$AH221:$AV221,Calc!$K$20)),"")</f>
        <v/>
      </c>
      <c r="R219" s="25" t="str">
        <f>IF(AND($A219&lt;=IF(Calc!$C$36=999,360,Calc!$C$36),Calc!$C$21=1),CHOOSE(Calc!$C$3,INDEX('Snowball Engine'!$AH221:$AV221,Calc!$I$21),INDEX('Avalanche Engine'!$AH221:$AV221,Calc!$J$21),INDEX('My Order Engine'!$AH221:$AV221,Calc!$K$21)),"")</f>
        <v/>
      </c>
      <c r="S219" s="25" t="str">
        <f>IF(AND($A219&lt;=IF(Calc!$C$36=999,360,Calc!$C$36),Calc!$C$22=1),CHOOSE(Calc!$C$3,INDEX('Snowball Engine'!$AH221:$AV221,Calc!$I$22),INDEX('Avalanche Engine'!$AH221:$AV221,Calc!$J$22),INDEX('My Order Engine'!$AH221:$AV221,Calc!$K$22)),"")</f>
        <v/>
      </c>
      <c r="T219" s="25" t="str">
        <f>IF(AND($A219&lt;=IF(Calc!$C$36=999,360,Calc!$C$36),Calc!$C$23=1),CHOOSE(Calc!$C$3,INDEX('Snowball Engine'!$AH221:$AV221,Calc!$I$23),INDEX('Avalanche Engine'!$AH221:$AV221,Calc!$J$23),INDEX('My Order Engine'!$AH221:$AV221,Calc!$K$23)),"")</f>
        <v/>
      </c>
      <c r="U219" s="25" t="str">
        <f>IF(AND($A219&lt;=IF(Calc!$C$36=999,360,Calc!$C$36),Calc!$C$24=1),CHOOSE(Calc!$C$3,INDEX('Snowball Engine'!$AH221:$AV221,Calc!$I$24),INDEX('Avalanche Engine'!$AH221:$AV221,Calc!$J$24),INDEX('My Order Engine'!$AH221:$AV221,Calc!$K$24)),"")</f>
        <v/>
      </c>
    </row>
    <row r="220" spans="1:21" x14ac:dyDescent="0.35">
      <c r="A220" s="23">
        <v>216</v>
      </c>
      <c r="B220" s="24" t="str">
        <f>IF($A220&lt;=IF(Calc!$C$36=999,360,Calc!$C$36),EDATE(Calc!$C$5,A220-1),"")</f>
        <v/>
      </c>
      <c r="C220" s="25" t="str">
        <f>IF($A220&lt;=IF(Calc!$C$36=999,360,Calc!$C$36),CHOOSE(Calc!$C$3,'Snowball Engine'!AY222,'Avalanche Engine'!AY222,'My Order Engine'!AY222),"")</f>
        <v/>
      </c>
      <c r="D220" s="25" t="str">
        <f>IF($A220&lt;=IF(Calc!$C$36=999,360,Calc!$C$36),CHOOSE(Calc!$C$3,'Snowball Engine'!AX222,'Avalanche Engine'!AX222,'My Order Engine'!AX222),"")</f>
        <v/>
      </c>
      <c r="E220" s="25" t="str">
        <f>IF($A220&lt;=IF(Calc!$C$36=999,360,Calc!$C$36),C220-D220,"")</f>
        <v/>
      </c>
      <c r="F220" s="25" t="str">
        <f>IF($A220&lt;=IF(Calc!$C$36=999,360,Calc!$C$36),CHOOSE(Calc!$C$3,'Snowball Engine'!AW222,'Avalanche Engine'!AW222,'My Order Engine'!AW222),"")</f>
        <v/>
      </c>
      <c r="G220" s="25" t="str">
        <f>IF(AND($A220&lt;=IF(Calc!$C$36=999,360,Calc!$C$36),Calc!$C$10=1),CHOOSE(Calc!$C$3,INDEX('Snowball Engine'!$AH222:$AV222,Calc!$I$10),INDEX('Avalanche Engine'!$AH222:$AV222,Calc!$J$10),INDEX('My Order Engine'!$AH222:$AV222,Calc!$K$10)),"")</f>
        <v/>
      </c>
      <c r="H220" s="25" t="str">
        <f>IF(AND($A220&lt;=IF(Calc!$C$36=999,360,Calc!$C$36),Calc!$C$11=1),CHOOSE(Calc!$C$3,INDEX('Snowball Engine'!$AH222:$AV222,Calc!$I$11),INDEX('Avalanche Engine'!$AH222:$AV222,Calc!$J$11),INDEX('My Order Engine'!$AH222:$AV222,Calc!$K$11)),"")</f>
        <v/>
      </c>
      <c r="I220" s="25" t="str">
        <f>IF(AND($A220&lt;=IF(Calc!$C$36=999,360,Calc!$C$36),Calc!$C$12=1),CHOOSE(Calc!$C$3,INDEX('Snowball Engine'!$AH222:$AV222,Calc!$I$12),INDEX('Avalanche Engine'!$AH222:$AV222,Calc!$J$12),INDEX('My Order Engine'!$AH222:$AV222,Calc!$K$12)),"")</f>
        <v/>
      </c>
      <c r="J220" s="25" t="str">
        <f>IF(AND($A220&lt;=IF(Calc!$C$36=999,360,Calc!$C$36),Calc!$C$13=1),CHOOSE(Calc!$C$3,INDEX('Snowball Engine'!$AH222:$AV222,Calc!$I$13),INDEX('Avalanche Engine'!$AH222:$AV222,Calc!$J$13),INDEX('My Order Engine'!$AH222:$AV222,Calc!$K$13)),"")</f>
        <v/>
      </c>
      <c r="K220" s="25" t="str">
        <f>IF(AND($A220&lt;=IF(Calc!$C$36=999,360,Calc!$C$36),Calc!$C$14=1),CHOOSE(Calc!$C$3,INDEX('Snowball Engine'!$AH222:$AV222,Calc!$I$14),INDEX('Avalanche Engine'!$AH222:$AV222,Calc!$J$14),INDEX('My Order Engine'!$AH222:$AV222,Calc!$K$14)),"")</f>
        <v/>
      </c>
      <c r="L220" s="25" t="str">
        <f>IF(AND($A220&lt;=IF(Calc!$C$36=999,360,Calc!$C$36),Calc!$C$15=1),CHOOSE(Calc!$C$3,INDEX('Snowball Engine'!$AH222:$AV222,Calc!$I$15),INDEX('Avalanche Engine'!$AH222:$AV222,Calc!$J$15),INDEX('My Order Engine'!$AH222:$AV222,Calc!$K$15)),"")</f>
        <v/>
      </c>
      <c r="M220" s="25" t="str">
        <f>IF(AND($A220&lt;=IF(Calc!$C$36=999,360,Calc!$C$36),Calc!$C$16=1),CHOOSE(Calc!$C$3,INDEX('Snowball Engine'!$AH222:$AV222,Calc!$I$16),INDEX('Avalanche Engine'!$AH222:$AV222,Calc!$J$16),INDEX('My Order Engine'!$AH222:$AV222,Calc!$K$16)),"")</f>
        <v/>
      </c>
      <c r="N220" s="25" t="str">
        <f>IF(AND($A220&lt;=IF(Calc!$C$36=999,360,Calc!$C$36),Calc!$C$17=1),CHOOSE(Calc!$C$3,INDEX('Snowball Engine'!$AH222:$AV222,Calc!$I$17),INDEX('Avalanche Engine'!$AH222:$AV222,Calc!$J$17),INDEX('My Order Engine'!$AH222:$AV222,Calc!$K$17)),"")</f>
        <v/>
      </c>
      <c r="O220" s="25" t="str">
        <f>IF(AND($A220&lt;=IF(Calc!$C$36=999,360,Calc!$C$36),Calc!$C$18=1),CHOOSE(Calc!$C$3,INDEX('Snowball Engine'!$AH222:$AV222,Calc!$I$18),INDEX('Avalanche Engine'!$AH222:$AV222,Calc!$J$18),INDEX('My Order Engine'!$AH222:$AV222,Calc!$K$18)),"")</f>
        <v/>
      </c>
      <c r="P220" s="25" t="str">
        <f>IF(AND($A220&lt;=IF(Calc!$C$36=999,360,Calc!$C$36),Calc!$C$19=1),CHOOSE(Calc!$C$3,INDEX('Snowball Engine'!$AH222:$AV222,Calc!$I$19),INDEX('Avalanche Engine'!$AH222:$AV222,Calc!$J$19),INDEX('My Order Engine'!$AH222:$AV222,Calc!$K$19)),"")</f>
        <v/>
      </c>
      <c r="Q220" s="25" t="str">
        <f>IF(AND($A220&lt;=IF(Calc!$C$36=999,360,Calc!$C$36),Calc!$C$20=1),CHOOSE(Calc!$C$3,INDEX('Snowball Engine'!$AH222:$AV222,Calc!$I$20),INDEX('Avalanche Engine'!$AH222:$AV222,Calc!$J$20),INDEX('My Order Engine'!$AH222:$AV222,Calc!$K$20)),"")</f>
        <v/>
      </c>
      <c r="R220" s="25" t="str">
        <f>IF(AND($A220&lt;=IF(Calc!$C$36=999,360,Calc!$C$36),Calc!$C$21=1),CHOOSE(Calc!$C$3,INDEX('Snowball Engine'!$AH222:$AV222,Calc!$I$21),INDEX('Avalanche Engine'!$AH222:$AV222,Calc!$J$21),INDEX('My Order Engine'!$AH222:$AV222,Calc!$K$21)),"")</f>
        <v/>
      </c>
      <c r="S220" s="25" t="str">
        <f>IF(AND($A220&lt;=IF(Calc!$C$36=999,360,Calc!$C$36),Calc!$C$22=1),CHOOSE(Calc!$C$3,INDEX('Snowball Engine'!$AH222:$AV222,Calc!$I$22),INDEX('Avalanche Engine'!$AH222:$AV222,Calc!$J$22),INDEX('My Order Engine'!$AH222:$AV222,Calc!$K$22)),"")</f>
        <v/>
      </c>
      <c r="T220" s="25" t="str">
        <f>IF(AND($A220&lt;=IF(Calc!$C$36=999,360,Calc!$C$36),Calc!$C$23=1),CHOOSE(Calc!$C$3,INDEX('Snowball Engine'!$AH222:$AV222,Calc!$I$23),INDEX('Avalanche Engine'!$AH222:$AV222,Calc!$J$23),INDEX('My Order Engine'!$AH222:$AV222,Calc!$K$23)),"")</f>
        <v/>
      </c>
      <c r="U220" s="25" t="str">
        <f>IF(AND($A220&lt;=IF(Calc!$C$36=999,360,Calc!$C$36),Calc!$C$24=1),CHOOSE(Calc!$C$3,INDEX('Snowball Engine'!$AH222:$AV222,Calc!$I$24),INDEX('Avalanche Engine'!$AH222:$AV222,Calc!$J$24),INDEX('My Order Engine'!$AH222:$AV222,Calc!$K$24)),"")</f>
        <v/>
      </c>
    </row>
    <row r="221" spans="1:21" x14ac:dyDescent="0.35">
      <c r="A221" s="23">
        <v>217</v>
      </c>
      <c r="B221" s="24" t="str">
        <f>IF($A221&lt;=IF(Calc!$C$36=999,360,Calc!$C$36),EDATE(Calc!$C$5,A221-1),"")</f>
        <v/>
      </c>
      <c r="C221" s="25" t="str">
        <f>IF($A221&lt;=IF(Calc!$C$36=999,360,Calc!$C$36),CHOOSE(Calc!$C$3,'Snowball Engine'!AY223,'Avalanche Engine'!AY223,'My Order Engine'!AY223),"")</f>
        <v/>
      </c>
      <c r="D221" s="25" t="str">
        <f>IF($A221&lt;=IF(Calc!$C$36=999,360,Calc!$C$36),CHOOSE(Calc!$C$3,'Snowball Engine'!AX223,'Avalanche Engine'!AX223,'My Order Engine'!AX223),"")</f>
        <v/>
      </c>
      <c r="E221" s="25" t="str">
        <f>IF($A221&lt;=IF(Calc!$C$36=999,360,Calc!$C$36),C221-D221,"")</f>
        <v/>
      </c>
      <c r="F221" s="25" t="str">
        <f>IF($A221&lt;=IF(Calc!$C$36=999,360,Calc!$C$36),CHOOSE(Calc!$C$3,'Snowball Engine'!AW223,'Avalanche Engine'!AW223,'My Order Engine'!AW223),"")</f>
        <v/>
      </c>
      <c r="G221" s="25" t="str">
        <f>IF(AND($A221&lt;=IF(Calc!$C$36=999,360,Calc!$C$36),Calc!$C$10=1),CHOOSE(Calc!$C$3,INDEX('Snowball Engine'!$AH223:$AV223,Calc!$I$10),INDEX('Avalanche Engine'!$AH223:$AV223,Calc!$J$10),INDEX('My Order Engine'!$AH223:$AV223,Calc!$K$10)),"")</f>
        <v/>
      </c>
      <c r="H221" s="25" t="str">
        <f>IF(AND($A221&lt;=IF(Calc!$C$36=999,360,Calc!$C$36),Calc!$C$11=1),CHOOSE(Calc!$C$3,INDEX('Snowball Engine'!$AH223:$AV223,Calc!$I$11),INDEX('Avalanche Engine'!$AH223:$AV223,Calc!$J$11),INDEX('My Order Engine'!$AH223:$AV223,Calc!$K$11)),"")</f>
        <v/>
      </c>
      <c r="I221" s="25" t="str">
        <f>IF(AND($A221&lt;=IF(Calc!$C$36=999,360,Calc!$C$36),Calc!$C$12=1),CHOOSE(Calc!$C$3,INDEX('Snowball Engine'!$AH223:$AV223,Calc!$I$12),INDEX('Avalanche Engine'!$AH223:$AV223,Calc!$J$12),INDEX('My Order Engine'!$AH223:$AV223,Calc!$K$12)),"")</f>
        <v/>
      </c>
      <c r="J221" s="25" t="str">
        <f>IF(AND($A221&lt;=IF(Calc!$C$36=999,360,Calc!$C$36),Calc!$C$13=1),CHOOSE(Calc!$C$3,INDEX('Snowball Engine'!$AH223:$AV223,Calc!$I$13),INDEX('Avalanche Engine'!$AH223:$AV223,Calc!$J$13),INDEX('My Order Engine'!$AH223:$AV223,Calc!$K$13)),"")</f>
        <v/>
      </c>
      <c r="K221" s="25" t="str">
        <f>IF(AND($A221&lt;=IF(Calc!$C$36=999,360,Calc!$C$36),Calc!$C$14=1),CHOOSE(Calc!$C$3,INDEX('Snowball Engine'!$AH223:$AV223,Calc!$I$14),INDEX('Avalanche Engine'!$AH223:$AV223,Calc!$J$14),INDEX('My Order Engine'!$AH223:$AV223,Calc!$K$14)),"")</f>
        <v/>
      </c>
      <c r="L221" s="25" t="str">
        <f>IF(AND($A221&lt;=IF(Calc!$C$36=999,360,Calc!$C$36),Calc!$C$15=1),CHOOSE(Calc!$C$3,INDEX('Snowball Engine'!$AH223:$AV223,Calc!$I$15),INDEX('Avalanche Engine'!$AH223:$AV223,Calc!$J$15),INDEX('My Order Engine'!$AH223:$AV223,Calc!$K$15)),"")</f>
        <v/>
      </c>
      <c r="M221" s="25" t="str">
        <f>IF(AND($A221&lt;=IF(Calc!$C$36=999,360,Calc!$C$36),Calc!$C$16=1),CHOOSE(Calc!$C$3,INDEX('Snowball Engine'!$AH223:$AV223,Calc!$I$16),INDEX('Avalanche Engine'!$AH223:$AV223,Calc!$J$16),INDEX('My Order Engine'!$AH223:$AV223,Calc!$K$16)),"")</f>
        <v/>
      </c>
      <c r="N221" s="25" t="str">
        <f>IF(AND($A221&lt;=IF(Calc!$C$36=999,360,Calc!$C$36),Calc!$C$17=1),CHOOSE(Calc!$C$3,INDEX('Snowball Engine'!$AH223:$AV223,Calc!$I$17),INDEX('Avalanche Engine'!$AH223:$AV223,Calc!$J$17),INDEX('My Order Engine'!$AH223:$AV223,Calc!$K$17)),"")</f>
        <v/>
      </c>
      <c r="O221" s="25" t="str">
        <f>IF(AND($A221&lt;=IF(Calc!$C$36=999,360,Calc!$C$36),Calc!$C$18=1),CHOOSE(Calc!$C$3,INDEX('Snowball Engine'!$AH223:$AV223,Calc!$I$18),INDEX('Avalanche Engine'!$AH223:$AV223,Calc!$J$18),INDEX('My Order Engine'!$AH223:$AV223,Calc!$K$18)),"")</f>
        <v/>
      </c>
      <c r="P221" s="25" t="str">
        <f>IF(AND($A221&lt;=IF(Calc!$C$36=999,360,Calc!$C$36),Calc!$C$19=1),CHOOSE(Calc!$C$3,INDEX('Snowball Engine'!$AH223:$AV223,Calc!$I$19),INDEX('Avalanche Engine'!$AH223:$AV223,Calc!$J$19),INDEX('My Order Engine'!$AH223:$AV223,Calc!$K$19)),"")</f>
        <v/>
      </c>
      <c r="Q221" s="25" t="str">
        <f>IF(AND($A221&lt;=IF(Calc!$C$36=999,360,Calc!$C$36),Calc!$C$20=1),CHOOSE(Calc!$C$3,INDEX('Snowball Engine'!$AH223:$AV223,Calc!$I$20),INDEX('Avalanche Engine'!$AH223:$AV223,Calc!$J$20),INDEX('My Order Engine'!$AH223:$AV223,Calc!$K$20)),"")</f>
        <v/>
      </c>
      <c r="R221" s="25" t="str">
        <f>IF(AND($A221&lt;=IF(Calc!$C$36=999,360,Calc!$C$36),Calc!$C$21=1),CHOOSE(Calc!$C$3,INDEX('Snowball Engine'!$AH223:$AV223,Calc!$I$21),INDEX('Avalanche Engine'!$AH223:$AV223,Calc!$J$21),INDEX('My Order Engine'!$AH223:$AV223,Calc!$K$21)),"")</f>
        <v/>
      </c>
      <c r="S221" s="25" t="str">
        <f>IF(AND($A221&lt;=IF(Calc!$C$36=999,360,Calc!$C$36),Calc!$C$22=1),CHOOSE(Calc!$C$3,INDEX('Snowball Engine'!$AH223:$AV223,Calc!$I$22),INDEX('Avalanche Engine'!$AH223:$AV223,Calc!$J$22),INDEX('My Order Engine'!$AH223:$AV223,Calc!$K$22)),"")</f>
        <v/>
      </c>
      <c r="T221" s="25" t="str">
        <f>IF(AND($A221&lt;=IF(Calc!$C$36=999,360,Calc!$C$36),Calc!$C$23=1),CHOOSE(Calc!$C$3,INDEX('Snowball Engine'!$AH223:$AV223,Calc!$I$23),INDEX('Avalanche Engine'!$AH223:$AV223,Calc!$J$23),INDEX('My Order Engine'!$AH223:$AV223,Calc!$K$23)),"")</f>
        <v/>
      </c>
      <c r="U221" s="25" t="str">
        <f>IF(AND($A221&lt;=IF(Calc!$C$36=999,360,Calc!$C$36),Calc!$C$24=1),CHOOSE(Calc!$C$3,INDEX('Snowball Engine'!$AH223:$AV223,Calc!$I$24),INDEX('Avalanche Engine'!$AH223:$AV223,Calc!$J$24),INDEX('My Order Engine'!$AH223:$AV223,Calc!$K$24)),"")</f>
        <v/>
      </c>
    </row>
    <row r="222" spans="1:21" x14ac:dyDescent="0.35">
      <c r="A222" s="23">
        <v>218</v>
      </c>
      <c r="B222" s="24" t="str">
        <f>IF($A222&lt;=IF(Calc!$C$36=999,360,Calc!$C$36),EDATE(Calc!$C$5,A222-1),"")</f>
        <v/>
      </c>
      <c r="C222" s="25" t="str">
        <f>IF($A222&lt;=IF(Calc!$C$36=999,360,Calc!$C$36),CHOOSE(Calc!$C$3,'Snowball Engine'!AY224,'Avalanche Engine'!AY224,'My Order Engine'!AY224),"")</f>
        <v/>
      </c>
      <c r="D222" s="25" t="str">
        <f>IF($A222&lt;=IF(Calc!$C$36=999,360,Calc!$C$36),CHOOSE(Calc!$C$3,'Snowball Engine'!AX224,'Avalanche Engine'!AX224,'My Order Engine'!AX224),"")</f>
        <v/>
      </c>
      <c r="E222" s="25" t="str">
        <f>IF($A222&lt;=IF(Calc!$C$36=999,360,Calc!$C$36),C222-D222,"")</f>
        <v/>
      </c>
      <c r="F222" s="25" t="str">
        <f>IF($A222&lt;=IF(Calc!$C$36=999,360,Calc!$C$36),CHOOSE(Calc!$C$3,'Snowball Engine'!AW224,'Avalanche Engine'!AW224,'My Order Engine'!AW224),"")</f>
        <v/>
      </c>
      <c r="G222" s="25" t="str">
        <f>IF(AND($A222&lt;=IF(Calc!$C$36=999,360,Calc!$C$36),Calc!$C$10=1),CHOOSE(Calc!$C$3,INDEX('Snowball Engine'!$AH224:$AV224,Calc!$I$10),INDEX('Avalanche Engine'!$AH224:$AV224,Calc!$J$10),INDEX('My Order Engine'!$AH224:$AV224,Calc!$K$10)),"")</f>
        <v/>
      </c>
      <c r="H222" s="25" t="str">
        <f>IF(AND($A222&lt;=IF(Calc!$C$36=999,360,Calc!$C$36),Calc!$C$11=1),CHOOSE(Calc!$C$3,INDEX('Snowball Engine'!$AH224:$AV224,Calc!$I$11),INDEX('Avalanche Engine'!$AH224:$AV224,Calc!$J$11),INDEX('My Order Engine'!$AH224:$AV224,Calc!$K$11)),"")</f>
        <v/>
      </c>
      <c r="I222" s="25" t="str">
        <f>IF(AND($A222&lt;=IF(Calc!$C$36=999,360,Calc!$C$36),Calc!$C$12=1),CHOOSE(Calc!$C$3,INDEX('Snowball Engine'!$AH224:$AV224,Calc!$I$12),INDEX('Avalanche Engine'!$AH224:$AV224,Calc!$J$12),INDEX('My Order Engine'!$AH224:$AV224,Calc!$K$12)),"")</f>
        <v/>
      </c>
      <c r="J222" s="25" t="str">
        <f>IF(AND($A222&lt;=IF(Calc!$C$36=999,360,Calc!$C$36),Calc!$C$13=1),CHOOSE(Calc!$C$3,INDEX('Snowball Engine'!$AH224:$AV224,Calc!$I$13),INDEX('Avalanche Engine'!$AH224:$AV224,Calc!$J$13),INDEX('My Order Engine'!$AH224:$AV224,Calc!$K$13)),"")</f>
        <v/>
      </c>
      <c r="K222" s="25" t="str">
        <f>IF(AND($A222&lt;=IF(Calc!$C$36=999,360,Calc!$C$36),Calc!$C$14=1),CHOOSE(Calc!$C$3,INDEX('Snowball Engine'!$AH224:$AV224,Calc!$I$14),INDEX('Avalanche Engine'!$AH224:$AV224,Calc!$J$14),INDEX('My Order Engine'!$AH224:$AV224,Calc!$K$14)),"")</f>
        <v/>
      </c>
      <c r="L222" s="25" t="str">
        <f>IF(AND($A222&lt;=IF(Calc!$C$36=999,360,Calc!$C$36),Calc!$C$15=1),CHOOSE(Calc!$C$3,INDEX('Snowball Engine'!$AH224:$AV224,Calc!$I$15),INDEX('Avalanche Engine'!$AH224:$AV224,Calc!$J$15),INDEX('My Order Engine'!$AH224:$AV224,Calc!$K$15)),"")</f>
        <v/>
      </c>
      <c r="M222" s="25" t="str">
        <f>IF(AND($A222&lt;=IF(Calc!$C$36=999,360,Calc!$C$36),Calc!$C$16=1),CHOOSE(Calc!$C$3,INDEX('Snowball Engine'!$AH224:$AV224,Calc!$I$16),INDEX('Avalanche Engine'!$AH224:$AV224,Calc!$J$16),INDEX('My Order Engine'!$AH224:$AV224,Calc!$K$16)),"")</f>
        <v/>
      </c>
      <c r="N222" s="25" t="str">
        <f>IF(AND($A222&lt;=IF(Calc!$C$36=999,360,Calc!$C$36),Calc!$C$17=1),CHOOSE(Calc!$C$3,INDEX('Snowball Engine'!$AH224:$AV224,Calc!$I$17),INDEX('Avalanche Engine'!$AH224:$AV224,Calc!$J$17),INDEX('My Order Engine'!$AH224:$AV224,Calc!$K$17)),"")</f>
        <v/>
      </c>
      <c r="O222" s="25" t="str">
        <f>IF(AND($A222&lt;=IF(Calc!$C$36=999,360,Calc!$C$36),Calc!$C$18=1),CHOOSE(Calc!$C$3,INDEX('Snowball Engine'!$AH224:$AV224,Calc!$I$18),INDEX('Avalanche Engine'!$AH224:$AV224,Calc!$J$18),INDEX('My Order Engine'!$AH224:$AV224,Calc!$K$18)),"")</f>
        <v/>
      </c>
      <c r="P222" s="25" t="str">
        <f>IF(AND($A222&lt;=IF(Calc!$C$36=999,360,Calc!$C$36),Calc!$C$19=1),CHOOSE(Calc!$C$3,INDEX('Snowball Engine'!$AH224:$AV224,Calc!$I$19),INDEX('Avalanche Engine'!$AH224:$AV224,Calc!$J$19),INDEX('My Order Engine'!$AH224:$AV224,Calc!$K$19)),"")</f>
        <v/>
      </c>
      <c r="Q222" s="25" t="str">
        <f>IF(AND($A222&lt;=IF(Calc!$C$36=999,360,Calc!$C$36),Calc!$C$20=1),CHOOSE(Calc!$C$3,INDEX('Snowball Engine'!$AH224:$AV224,Calc!$I$20),INDEX('Avalanche Engine'!$AH224:$AV224,Calc!$J$20),INDEX('My Order Engine'!$AH224:$AV224,Calc!$K$20)),"")</f>
        <v/>
      </c>
      <c r="R222" s="25" t="str">
        <f>IF(AND($A222&lt;=IF(Calc!$C$36=999,360,Calc!$C$36),Calc!$C$21=1),CHOOSE(Calc!$C$3,INDEX('Snowball Engine'!$AH224:$AV224,Calc!$I$21),INDEX('Avalanche Engine'!$AH224:$AV224,Calc!$J$21),INDEX('My Order Engine'!$AH224:$AV224,Calc!$K$21)),"")</f>
        <v/>
      </c>
      <c r="S222" s="25" t="str">
        <f>IF(AND($A222&lt;=IF(Calc!$C$36=999,360,Calc!$C$36),Calc!$C$22=1),CHOOSE(Calc!$C$3,INDEX('Snowball Engine'!$AH224:$AV224,Calc!$I$22),INDEX('Avalanche Engine'!$AH224:$AV224,Calc!$J$22),INDEX('My Order Engine'!$AH224:$AV224,Calc!$K$22)),"")</f>
        <v/>
      </c>
      <c r="T222" s="25" t="str">
        <f>IF(AND($A222&lt;=IF(Calc!$C$36=999,360,Calc!$C$36),Calc!$C$23=1),CHOOSE(Calc!$C$3,INDEX('Snowball Engine'!$AH224:$AV224,Calc!$I$23),INDEX('Avalanche Engine'!$AH224:$AV224,Calc!$J$23),INDEX('My Order Engine'!$AH224:$AV224,Calc!$K$23)),"")</f>
        <v/>
      </c>
      <c r="U222" s="25" t="str">
        <f>IF(AND($A222&lt;=IF(Calc!$C$36=999,360,Calc!$C$36),Calc!$C$24=1),CHOOSE(Calc!$C$3,INDEX('Snowball Engine'!$AH224:$AV224,Calc!$I$24),INDEX('Avalanche Engine'!$AH224:$AV224,Calc!$J$24),INDEX('My Order Engine'!$AH224:$AV224,Calc!$K$24)),"")</f>
        <v/>
      </c>
    </row>
    <row r="223" spans="1:21" x14ac:dyDescent="0.35">
      <c r="A223" s="23">
        <v>219</v>
      </c>
      <c r="B223" s="24" t="str">
        <f>IF($A223&lt;=IF(Calc!$C$36=999,360,Calc!$C$36),EDATE(Calc!$C$5,A223-1),"")</f>
        <v/>
      </c>
      <c r="C223" s="25" t="str">
        <f>IF($A223&lt;=IF(Calc!$C$36=999,360,Calc!$C$36),CHOOSE(Calc!$C$3,'Snowball Engine'!AY225,'Avalanche Engine'!AY225,'My Order Engine'!AY225),"")</f>
        <v/>
      </c>
      <c r="D223" s="25" t="str">
        <f>IF($A223&lt;=IF(Calc!$C$36=999,360,Calc!$C$36),CHOOSE(Calc!$C$3,'Snowball Engine'!AX225,'Avalanche Engine'!AX225,'My Order Engine'!AX225),"")</f>
        <v/>
      </c>
      <c r="E223" s="25" t="str">
        <f>IF($A223&lt;=IF(Calc!$C$36=999,360,Calc!$C$36),C223-D223,"")</f>
        <v/>
      </c>
      <c r="F223" s="25" t="str">
        <f>IF($A223&lt;=IF(Calc!$C$36=999,360,Calc!$C$36),CHOOSE(Calc!$C$3,'Snowball Engine'!AW225,'Avalanche Engine'!AW225,'My Order Engine'!AW225),"")</f>
        <v/>
      </c>
      <c r="G223" s="25" t="str">
        <f>IF(AND($A223&lt;=IF(Calc!$C$36=999,360,Calc!$C$36),Calc!$C$10=1),CHOOSE(Calc!$C$3,INDEX('Snowball Engine'!$AH225:$AV225,Calc!$I$10),INDEX('Avalanche Engine'!$AH225:$AV225,Calc!$J$10),INDEX('My Order Engine'!$AH225:$AV225,Calc!$K$10)),"")</f>
        <v/>
      </c>
      <c r="H223" s="25" t="str">
        <f>IF(AND($A223&lt;=IF(Calc!$C$36=999,360,Calc!$C$36),Calc!$C$11=1),CHOOSE(Calc!$C$3,INDEX('Snowball Engine'!$AH225:$AV225,Calc!$I$11),INDEX('Avalanche Engine'!$AH225:$AV225,Calc!$J$11),INDEX('My Order Engine'!$AH225:$AV225,Calc!$K$11)),"")</f>
        <v/>
      </c>
      <c r="I223" s="25" t="str">
        <f>IF(AND($A223&lt;=IF(Calc!$C$36=999,360,Calc!$C$36),Calc!$C$12=1),CHOOSE(Calc!$C$3,INDEX('Snowball Engine'!$AH225:$AV225,Calc!$I$12),INDEX('Avalanche Engine'!$AH225:$AV225,Calc!$J$12),INDEX('My Order Engine'!$AH225:$AV225,Calc!$K$12)),"")</f>
        <v/>
      </c>
      <c r="J223" s="25" t="str">
        <f>IF(AND($A223&lt;=IF(Calc!$C$36=999,360,Calc!$C$36),Calc!$C$13=1),CHOOSE(Calc!$C$3,INDEX('Snowball Engine'!$AH225:$AV225,Calc!$I$13),INDEX('Avalanche Engine'!$AH225:$AV225,Calc!$J$13),INDEX('My Order Engine'!$AH225:$AV225,Calc!$K$13)),"")</f>
        <v/>
      </c>
      <c r="K223" s="25" t="str">
        <f>IF(AND($A223&lt;=IF(Calc!$C$36=999,360,Calc!$C$36),Calc!$C$14=1),CHOOSE(Calc!$C$3,INDEX('Snowball Engine'!$AH225:$AV225,Calc!$I$14),INDEX('Avalanche Engine'!$AH225:$AV225,Calc!$J$14),INDEX('My Order Engine'!$AH225:$AV225,Calc!$K$14)),"")</f>
        <v/>
      </c>
      <c r="L223" s="25" t="str">
        <f>IF(AND($A223&lt;=IF(Calc!$C$36=999,360,Calc!$C$36),Calc!$C$15=1),CHOOSE(Calc!$C$3,INDEX('Snowball Engine'!$AH225:$AV225,Calc!$I$15),INDEX('Avalanche Engine'!$AH225:$AV225,Calc!$J$15),INDEX('My Order Engine'!$AH225:$AV225,Calc!$K$15)),"")</f>
        <v/>
      </c>
      <c r="M223" s="25" t="str">
        <f>IF(AND($A223&lt;=IF(Calc!$C$36=999,360,Calc!$C$36),Calc!$C$16=1),CHOOSE(Calc!$C$3,INDEX('Snowball Engine'!$AH225:$AV225,Calc!$I$16),INDEX('Avalanche Engine'!$AH225:$AV225,Calc!$J$16),INDEX('My Order Engine'!$AH225:$AV225,Calc!$K$16)),"")</f>
        <v/>
      </c>
      <c r="N223" s="25" t="str">
        <f>IF(AND($A223&lt;=IF(Calc!$C$36=999,360,Calc!$C$36),Calc!$C$17=1),CHOOSE(Calc!$C$3,INDEX('Snowball Engine'!$AH225:$AV225,Calc!$I$17),INDEX('Avalanche Engine'!$AH225:$AV225,Calc!$J$17),INDEX('My Order Engine'!$AH225:$AV225,Calc!$K$17)),"")</f>
        <v/>
      </c>
      <c r="O223" s="25" t="str">
        <f>IF(AND($A223&lt;=IF(Calc!$C$36=999,360,Calc!$C$36),Calc!$C$18=1),CHOOSE(Calc!$C$3,INDEX('Snowball Engine'!$AH225:$AV225,Calc!$I$18),INDEX('Avalanche Engine'!$AH225:$AV225,Calc!$J$18),INDEX('My Order Engine'!$AH225:$AV225,Calc!$K$18)),"")</f>
        <v/>
      </c>
      <c r="P223" s="25" t="str">
        <f>IF(AND($A223&lt;=IF(Calc!$C$36=999,360,Calc!$C$36),Calc!$C$19=1),CHOOSE(Calc!$C$3,INDEX('Snowball Engine'!$AH225:$AV225,Calc!$I$19),INDEX('Avalanche Engine'!$AH225:$AV225,Calc!$J$19),INDEX('My Order Engine'!$AH225:$AV225,Calc!$K$19)),"")</f>
        <v/>
      </c>
      <c r="Q223" s="25" t="str">
        <f>IF(AND($A223&lt;=IF(Calc!$C$36=999,360,Calc!$C$36),Calc!$C$20=1),CHOOSE(Calc!$C$3,INDEX('Snowball Engine'!$AH225:$AV225,Calc!$I$20),INDEX('Avalanche Engine'!$AH225:$AV225,Calc!$J$20),INDEX('My Order Engine'!$AH225:$AV225,Calc!$K$20)),"")</f>
        <v/>
      </c>
      <c r="R223" s="25" t="str">
        <f>IF(AND($A223&lt;=IF(Calc!$C$36=999,360,Calc!$C$36),Calc!$C$21=1),CHOOSE(Calc!$C$3,INDEX('Snowball Engine'!$AH225:$AV225,Calc!$I$21),INDEX('Avalanche Engine'!$AH225:$AV225,Calc!$J$21),INDEX('My Order Engine'!$AH225:$AV225,Calc!$K$21)),"")</f>
        <v/>
      </c>
      <c r="S223" s="25" t="str">
        <f>IF(AND($A223&lt;=IF(Calc!$C$36=999,360,Calc!$C$36),Calc!$C$22=1),CHOOSE(Calc!$C$3,INDEX('Snowball Engine'!$AH225:$AV225,Calc!$I$22),INDEX('Avalanche Engine'!$AH225:$AV225,Calc!$J$22),INDEX('My Order Engine'!$AH225:$AV225,Calc!$K$22)),"")</f>
        <v/>
      </c>
      <c r="T223" s="25" t="str">
        <f>IF(AND($A223&lt;=IF(Calc!$C$36=999,360,Calc!$C$36),Calc!$C$23=1),CHOOSE(Calc!$C$3,INDEX('Snowball Engine'!$AH225:$AV225,Calc!$I$23),INDEX('Avalanche Engine'!$AH225:$AV225,Calc!$J$23),INDEX('My Order Engine'!$AH225:$AV225,Calc!$K$23)),"")</f>
        <v/>
      </c>
      <c r="U223" s="25" t="str">
        <f>IF(AND($A223&lt;=IF(Calc!$C$36=999,360,Calc!$C$36),Calc!$C$24=1),CHOOSE(Calc!$C$3,INDEX('Snowball Engine'!$AH225:$AV225,Calc!$I$24),INDEX('Avalanche Engine'!$AH225:$AV225,Calc!$J$24),INDEX('My Order Engine'!$AH225:$AV225,Calc!$K$24)),"")</f>
        <v/>
      </c>
    </row>
    <row r="224" spans="1:21" x14ac:dyDescent="0.35">
      <c r="A224" s="23">
        <v>220</v>
      </c>
      <c r="B224" s="24" t="str">
        <f>IF($A224&lt;=IF(Calc!$C$36=999,360,Calc!$C$36),EDATE(Calc!$C$5,A224-1),"")</f>
        <v/>
      </c>
      <c r="C224" s="25" t="str">
        <f>IF($A224&lt;=IF(Calc!$C$36=999,360,Calc!$C$36),CHOOSE(Calc!$C$3,'Snowball Engine'!AY226,'Avalanche Engine'!AY226,'My Order Engine'!AY226),"")</f>
        <v/>
      </c>
      <c r="D224" s="25" t="str">
        <f>IF($A224&lt;=IF(Calc!$C$36=999,360,Calc!$C$36),CHOOSE(Calc!$C$3,'Snowball Engine'!AX226,'Avalanche Engine'!AX226,'My Order Engine'!AX226),"")</f>
        <v/>
      </c>
      <c r="E224" s="25" t="str">
        <f>IF($A224&lt;=IF(Calc!$C$36=999,360,Calc!$C$36),C224-D224,"")</f>
        <v/>
      </c>
      <c r="F224" s="25" t="str">
        <f>IF($A224&lt;=IF(Calc!$C$36=999,360,Calc!$C$36),CHOOSE(Calc!$C$3,'Snowball Engine'!AW226,'Avalanche Engine'!AW226,'My Order Engine'!AW226),"")</f>
        <v/>
      </c>
      <c r="G224" s="25" t="str">
        <f>IF(AND($A224&lt;=IF(Calc!$C$36=999,360,Calc!$C$36),Calc!$C$10=1),CHOOSE(Calc!$C$3,INDEX('Snowball Engine'!$AH226:$AV226,Calc!$I$10),INDEX('Avalanche Engine'!$AH226:$AV226,Calc!$J$10),INDEX('My Order Engine'!$AH226:$AV226,Calc!$K$10)),"")</f>
        <v/>
      </c>
      <c r="H224" s="25" t="str">
        <f>IF(AND($A224&lt;=IF(Calc!$C$36=999,360,Calc!$C$36),Calc!$C$11=1),CHOOSE(Calc!$C$3,INDEX('Snowball Engine'!$AH226:$AV226,Calc!$I$11),INDEX('Avalanche Engine'!$AH226:$AV226,Calc!$J$11),INDEX('My Order Engine'!$AH226:$AV226,Calc!$K$11)),"")</f>
        <v/>
      </c>
      <c r="I224" s="25" t="str">
        <f>IF(AND($A224&lt;=IF(Calc!$C$36=999,360,Calc!$C$36),Calc!$C$12=1),CHOOSE(Calc!$C$3,INDEX('Snowball Engine'!$AH226:$AV226,Calc!$I$12),INDEX('Avalanche Engine'!$AH226:$AV226,Calc!$J$12),INDEX('My Order Engine'!$AH226:$AV226,Calc!$K$12)),"")</f>
        <v/>
      </c>
      <c r="J224" s="25" t="str">
        <f>IF(AND($A224&lt;=IF(Calc!$C$36=999,360,Calc!$C$36),Calc!$C$13=1),CHOOSE(Calc!$C$3,INDEX('Snowball Engine'!$AH226:$AV226,Calc!$I$13),INDEX('Avalanche Engine'!$AH226:$AV226,Calc!$J$13),INDEX('My Order Engine'!$AH226:$AV226,Calc!$K$13)),"")</f>
        <v/>
      </c>
      <c r="K224" s="25" t="str">
        <f>IF(AND($A224&lt;=IF(Calc!$C$36=999,360,Calc!$C$36),Calc!$C$14=1),CHOOSE(Calc!$C$3,INDEX('Snowball Engine'!$AH226:$AV226,Calc!$I$14),INDEX('Avalanche Engine'!$AH226:$AV226,Calc!$J$14),INDEX('My Order Engine'!$AH226:$AV226,Calc!$K$14)),"")</f>
        <v/>
      </c>
      <c r="L224" s="25" t="str">
        <f>IF(AND($A224&lt;=IF(Calc!$C$36=999,360,Calc!$C$36),Calc!$C$15=1),CHOOSE(Calc!$C$3,INDEX('Snowball Engine'!$AH226:$AV226,Calc!$I$15),INDEX('Avalanche Engine'!$AH226:$AV226,Calc!$J$15),INDEX('My Order Engine'!$AH226:$AV226,Calc!$K$15)),"")</f>
        <v/>
      </c>
      <c r="M224" s="25" t="str">
        <f>IF(AND($A224&lt;=IF(Calc!$C$36=999,360,Calc!$C$36),Calc!$C$16=1),CHOOSE(Calc!$C$3,INDEX('Snowball Engine'!$AH226:$AV226,Calc!$I$16),INDEX('Avalanche Engine'!$AH226:$AV226,Calc!$J$16),INDEX('My Order Engine'!$AH226:$AV226,Calc!$K$16)),"")</f>
        <v/>
      </c>
      <c r="N224" s="25" t="str">
        <f>IF(AND($A224&lt;=IF(Calc!$C$36=999,360,Calc!$C$36),Calc!$C$17=1),CHOOSE(Calc!$C$3,INDEX('Snowball Engine'!$AH226:$AV226,Calc!$I$17),INDEX('Avalanche Engine'!$AH226:$AV226,Calc!$J$17),INDEX('My Order Engine'!$AH226:$AV226,Calc!$K$17)),"")</f>
        <v/>
      </c>
      <c r="O224" s="25" t="str">
        <f>IF(AND($A224&lt;=IF(Calc!$C$36=999,360,Calc!$C$36),Calc!$C$18=1),CHOOSE(Calc!$C$3,INDEX('Snowball Engine'!$AH226:$AV226,Calc!$I$18),INDEX('Avalanche Engine'!$AH226:$AV226,Calc!$J$18),INDEX('My Order Engine'!$AH226:$AV226,Calc!$K$18)),"")</f>
        <v/>
      </c>
      <c r="P224" s="25" t="str">
        <f>IF(AND($A224&lt;=IF(Calc!$C$36=999,360,Calc!$C$36),Calc!$C$19=1),CHOOSE(Calc!$C$3,INDEX('Snowball Engine'!$AH226:$AV226,Calc!$I$19),INDEX('Avalanche Engine'!$AH226:$AV226,Calc!$J$19),INDEX('My Order Engine'!$AH226:$AV226,Calc!$K$19)),"")</f>
        <v/>
      </c>
      <c r="Q224" s="25" t="str">
        <f>IF(AND($A224&lt;=IF(Calc!$C$36=999,360,Calc!$C$36),Calc!$C$20=1),CHOOSE(Calc!$C$3,INDEX('Snowball Engine'!$AH226:$AV226,Calc!$I$20),INDEX('Avalanche Engine'!$AH226:$AV226,Calc!$J$20),INDEX('My Order Engine'!$AH226:$AV226,Calc!$K$20)),"")</f>
        <v/>
      </c>
      <c r="R224" s="25" t="str">
        <f>IF(AND($A224&lt;=IF(Calc!$C$36=999,360,Calc!$C$36),Calc!$C$21=1),CHOOSE(Calc!$C$3,INDEX('Snowball Engine'!$AH226:$AV226,Calc!$I$21),INDEX('Avalanche Engine'!$AH226:$AV226,Calc!$J$21),INDEX('My Order Engine'!$AH226:$AV226,Calc!$K$21)),"")</f>
        <v/>
      </c>
      <c r="S224" s="25" t="str">
        <f>IF(AND($A224&lt;=IF(Calc!$C$36=999,360,Calc!$C$36),Calc!$C$22=1),CHOOSE(Calc!$C$3,INDEX('Snowball Engine'!$AH226:$AV226,Calc!$I$22),INDEX('Avalanche Engine'!$AH226:$AV226,Calc!$J$22),INDEX('My Order Engine'!$AH226:$AV226,Calc!$K$22)),"")</f>
        <v/>
      </c>
      <c r="T224" s="25" t="str">
        <f>IF(AND($A224&lt;=IF(Calc!$C$36=999,360,Calc!$C$36),Calc!$C$23=1),CHOOSE(Calc!$C$3,INDEX('Snowball Engine'!$AH226:$AV226,Calc!$I$23),INDEX('Avalanche Engine'!$AH226:$AV226,Calc!$J$23),INDEX('My Order Engine'!$AH226:$AV226,Calc!$K$23)),"")</f>
        <v/>
      </c>
      <c r="U224" s="25" t="str">
        <f>IF(AND($A224&lt;=IF(Calc!$C$36=999,360,Calc!$C$36),Calc!$C$24=1),CHOOSE(Calc!$C$3,INDEX('Snowball Engine'!$AH226:$AV226,Calc!$I$24),INDEX('Avalanche Engine'!$AH226:$AV226,Calc!$J$24),INDEX('My Order Engine'!$AH226:$AV226,Calc!$K$24)),"")</f>
        <v/>
      </c>
    </row>
    <row r="225" spans="1:21" x14ac:dyDescent="0.35">
      <c r="A225" s="23">
        <v>221</v>
      </c>
      <c r="B225" s="24" t="str">
        <f>IF($A225&lt;=IF(Calc!$C$36=999,360,Calc!$C$36),EDATE(Calc!$C$5,A225-1),"")</f>
        <v/>
      </c>
      <c r="C225" s="25" t="str">
        <f>IF($A225&lt;=IF(Calc!$C$36=999,360,Calc!$C$36),CHOOSE(Calc!$C$3,'Snowball Engine'!AY227,'Avalanche Engine'!AY227,'My Order Engine'!AY227),"")</f>
        <v/>
      </c>
      <c r="D225" s="25" t="str">
        <f>IF($A225&lt;=IF(Calc!$C$36=999,360,Calc!$C$36),CHOOSE(Calc!$C$3,'Snowball Engine'!AX227,'Avalanche Engine'!AX227,'My Order Engine'!AX227),"")</f>
        <v/>
      </c>
      <c r="E225" s="25" t="str">
        <f>IF($A225&lt;=IF(Calc!$C$36=999,360,Calc!$C$36),C225-D225,"")</f>
        <v/>
      </c>
      <c r="F225" s="25" t="str">
        <f>IF($A225&lt;=IF(Calc!$C$36=999,360,Calc!$C$36),CHOOSE(Calc!$C$3,'Snowball Engine'!AW227,'Avalanche Engine'!AW227,'My Order Engine'!AW227),"")</f>
        <v/>
      </c>
      <c r="G225" s="25" t="str">
        <f>IF(AND($A225&lt;=IF(Calc!$C$36=999,360,Calc!$C$36),Calc!$C$10=1),CHOOSE(Calc!$C$3,INDEX('Snowball Engine'!$AH227:$AV227,Calc!$I$10),INDEX('Avalanche Engine'!$AH227:$AV227,Calc!$J$10),INDEX('My Order Engine'!$AH227:$AV227,Calc!$K$10)),"")</f>
        <v/>
      </c>
      <c r="H225" s="25" t="str">
        <f>IF(AND($A225&lt;=IF(Calc!$C$36=999,360,Calc!$C$36),Calc!$C$11=1),CHOOSE(Calc!$C$3,INDEX('Snowball Engine'!$AH227:$AV227,Calc!$I$11),INDEX('Avalanche Engine'!$AH227:$AV227,Calc!$J$11),INDEX('My Order Engine'!$AH227:$AV227,Calc!$K$11)),"")</f>
        <v/>
      </c>
      <c r="I225" s="25" t="str">
        <f>IF(AND($A225&lt;=IF(Calc!$C$36=999,360,Calc!$C$36),Calc!$C$12=1),CHOOSE(Calc!$C$3,INDEX('Snowball Engine'!$AH227:$AV227,Calc!$I$12),INDEX('Avalanche Engine'!$AH227:$AV227,Calc!$J$12),INDEX('My Order Engine'!$AH227:$AV227,Calc!$K$12)),"")</f>
        <v/>
      </c>
      <c r="J225" s="25" t="str">
        <f>IF(AND($A225&lt;=IF(Calc!$C$36=999,360,Calc!$C$36),Calc!$C$13=1),CHOOSE(Calc!$C$3,INDEX('Snowball Engine'!$AH227:$AV227,Calc!$I$13),INDEX('Avalanche Engine'!$AH227:$AV227,Calc!$J$13),INDEX('My Order Engine'!$AH227:$AV227,Calc!$K$13)),"")</f>
        <v/>
      </c>
      <c r="K225" s="25" t="str">
        <f>IF(AND($A225&lt;=IF(Calc!$C$36=999,360,Calc!$C$36),Calc!$C$14=1),CHOOSE(Calc!$C$3,INDEX('Snowball Engine'!$AH227:$AV227,Calc!$I$14),INDEX('Avalanche Engine'!$AH227:$AV227,Calc!$J$14),INDEX('My Order Engine'!$AH227:$AV227,Calc!$K$14)),"")</f>
        <v/>
      </c>
      <c r="L225" s="25" t="str">
        <f>IF(AND($A225&lt;=IF(Calc!$C$36=999,360,Calc!$C$36),Calc!$C$15=1),CHOOSE(Calc!$C$3,INDEX('Snowball Engine'!$AH227:$AV227,Calc!$I$15),INDEX('Avalanche Engine'!$AH227:$AV227,Calc!$J$15),INDEX('My Order Engine'!$AH227:$AV227,Calc!$K$15)),"")</f>
        <v/>
      </c>
      <c r="M225" s="25" t="str">
        <f>IF(AND($A225&lt;=IF(Calc!$C$36=999,360,Calc!$C$36),Calc!$C$16=1),CHOOSE(Calc!$C$3,INDEX('Snowball Engine'!$AH227:$AV227,Calc!$I$16),INDEX('Avalanche Engine'!$AH227:$AV227,Calc!$J$16),INDEX('My Order Engine'!$AH227:$AV227,Calc!$K$16)),"")</f>
        <v/>
      </c>
      <c r="N225" s="25" t="str">
        <f>IF(AND($A225&lt;=IF(Calc!$C$36=999,360,Calc!$C$36),Calc!$C$17=1),CHOOSE(Calc!$C$3,INDEX('Snowball Engine'!$AH227:$AV227,Calc!$I$17),INDEX('Avalanche Engine'!$AH227:$AV227,Calc!$J$17),INDEX('My Order Engine'!$AH227:$AV227,Calc!$K$17)),"")</f>
        <v/>
      </c>
      <c r="O225" s="25" t="str">
        <f>IF(AND($A225&lt;=IF(Calc!$C$36=999,360,Calc!$C$36),Calc!$C$18=1),CHOOSE(Calc!$C$3,INDEX('Snowball Engine'!$AH227:$AV227,Calc!$I$18),INDEX('Avalanche Engine'!$AH227:$AV227,Calc!$J$18),INDEX('My Order Engine'!$AH227:$AV227,Calc!$K$18)),"")</f>
        <v/>
      </c>
      <c r="P225" s="25" t="str">
        <f>IF(AND($A225&lt;=IF(Calc!$C$36=999,360,Calc!$C$36),Calc!$C$19=1),CHOOSE(Calc!$C$3,INDEX('Snowball Engine'!$AH227:$AV227,Calc!$I$19),INDEX('Avalanche Engine'!$AH227:$AV227,Calc!$J$19),INDEX('My Order Engine'!$AH227:$AV227,Calc!$K$19)),"")</f>
        <v/>
      </c>
      <c r="Q225" s="25" t="str">
        <f>IF(AND($A225&lt;=IF(Calc!$C$36=999,360,Calc!$C$36),Calc!$C$20=1),CHOOSE(Calc!$C$3,INDEX('Snowball Engine'!$AH227:$AV227,Calc!$I$20),INDEX('Avalanche Engine'!$AH227:$AV227,Calc!$J$20),INDEX('My Order Engine'!$AH227:$AV227,Calc!$K$20)),"")</f>
        <v/>
      </c>
      <c r="R225" s="25" t="str">
        <f>IF(AND($A225&lt;=IF(Calc!$C$36=999,360,Calc!$C$36),Calc!$C$21=1),CHOOSE(Calc!$C$3,INDEX('Snowball Engine'!$AH227:$AV227,Calc!$I$21),INDEX('Avalanche Engine'!$AH227:$AV227,Calc!$J$21),INDEX('My Order Engine'!$AH227:$AV227,Calc!$K$21)),"")</f>
        <v/>
      </c>
      <c r="S225" s="25" t="str">
        <f>IF(AND($A225&lt;=IF(Calc!$C$36=999,360,Calc!$C$36),Calc!$C$22=1),CHOOSE(Calc!$C$3,INDEX('Snowball Engine'!$AH227:$AV227,Calc!$I$22),INDEX('Avalanche Engine'!$AH227:$AV227,Calc!$J$22),INDEX('My Order Engine'!$AH227:$AV227,Calc!$K$22)),"")</f>
        <v/>
      </c>
      <c r="T225" s="25" t="str">
        <f>IF(AND($A225&lt;=IF(Calc!$C$36=999,360,Calc!$C$36),Calc!$C$23=1),CHOOSE(Calc!$C$3,INDEX('Snowball Engine'!$AH227:$AV227,Calc!$I$23),INDEX('Avalanche Engine'!$AH227:$AV227,Calc!$J$23),INDEX('My Order Engine'!$AH227:$AV227,Calc!$K$23)),"")</f>
        <v/>
      </c>
      <c r="U225" s="25" t="str">
        <f>IF(AND($A225&lt;=IF(Calc!$C$36=999,360,Calc!$C$36),Calc!$C$24=1),CHOOSE(Calc!$C$3,INDEX('Snowball Engine'!$AH227:$AV227,Calc!$I$24),INDEX('Avalanche Engine'!$AH227:$AV227,Calc!$J$24),INDEX('My Order Engine'!$AH227:$AV227,Calc!$K$24)),"")</f>
        <v/>
      </c>
    </row>
    <row r="226" spans="1:21" x14ac:dyDescent="0.35">
      <c r="A226" s="23">
        <v>222</v>
      </c>
      <c r="B226" s="24" t="str">
        <f>IF($A226&lt;=IF(Calc!$C$36=999,360,Calc!$C$36),EDATE(Calc!$C$5,A226-1),"")</f>
        <v/>
      </c>
      <c r="C226" s="25" t="str">
        <f>IF($A226&lt;=IF(Calc!$C$36=999,360,Calc!$C$36),CHOOSE(Calc!$C$3,'Snowball Engine'!AY228,'Avalanche Engine'!AY228,'My Order Engine'!AY228),"")</f>
        <v/>
      </c>
      <c r="D226" s="25" t="str">
        <f>IF($A226&lt;=IF(Calc!$C$36=999,360,Calc!$C$36),CHOOSE(Calc!$C$3,'Snowball Engine'!AX228,'Avalanche Engine'!AX228,'My Order Engine'!AX228),"")</f>
        <v/>
      </c>
      <c r="E226" s="25" t="str">
        <f>IF($A226&lt;=IF(Calc!$C$36=999,360,Calc!$C$36),C226-D226,"")</f>
        <v/>
      </c>
      <c r="F226" s="25" t="str">
        <f>IF($A226&lt;=IF(Calc!$C$36=999,360,Calc!$C$36),CHOOSE(Calc!$C$3,'Snowball Engine'!AW228,'Avalanche Engine'!AW228,'My Order Engine'!AW228),"")</f>
        <v/>
      </c>
      <c r="G226" s="25" t="str">
        <f>IF(AND($A226&lt;=IF(Calc!$C$36=999,360,Calc!$C$36),Calc!$C$10=1),CHOOSE(Calc!$C$3,INDEX('Snowball Engine'!$AH228:$AV228,Calc!$I$10),INDEX('Avalanche Engine'!$AH228:$AV228,Calc!$J$10),INDEX('My Order Engine'!$AH228:$AV228,Calc!$K$10)),"")</f>
        <v/>
      </c>
      <c r="H226" s="25" t="str">
        <f>IF(AND($A226&lt;=IF(Calc!$C$36=999,360,Calc!$C$36),Calc!$C$11=1),CHOOSE(Calc!$C$3,INDEX('Snowball Engine'!$AH228:$AV228,Calc!$I$11),INDEX('Avalanche Engine'!$AH228:$AV228,Calc!$J$11),INDEX('My Order Engine'!$AH228:$AV228,Calc!$K$11)),"")</f>
        <v/>
      </c>
      <c r="I226" s="25" t="str">
        <f>IF(AND($A226&lt;=IF(Calc!$C$36=999,360,Calc!$C$36),Calc!$C$12=1),CHOOSE(Calc!$C$3,INDEX('Snowball Engine'!$AH228:$AV228,Calc!$I$12),INDEX('Avalanche Engine'!$AH228:$AV228,Calc!$J$12),INDEX('My Order Engine'!$AH228:$AV228,Calc!$K$12)),"")</f>
        <v/>
      </c>
      <c r="J226" s="25" t="str">
        <f>IF(AND($A226&lt;=IF(Calc!$C$36=999,360,Calc!$C$36),Calc!$C$13=1),CHOOSE(Calc!$C$3,INDEX('Snowball Engine'!$AH228:$AV228,Calc!$I$13),INDEX('Avalanche Engine'!$AH228:$AV228,Calc!$J$13),INDEX('My Order Engine'!$AH228:$AV228,Calc!$K$13)),"")</f>
        <v/>
      </c>
      <c r="K226" s="25" t="str">
        <f>IF(AND($A226&lt;=IF(Calc!$C$36=999,360,Calc!$C$36),Calc!$C$14=1),CHOOSE(Calc!$C$3,INDEX('Snowball Engine'!$AH228:$AV228,Calc!$I$14),INDEX('Avalanche Engine'!$AH228:$AV228,Calc!$J$14),INDEX('My Order Engine'!$AH228:$AV228,Calc!$K$14)),"")</f>
        <v/>
      </c>
      <c r="L226" s="25" t="str">
        <f>IF(AND($A226&lt;=IF(Calc!$C$36=999,360,Calc!$C$36),Calc!$C$15=1),CHOOSE(Calc!$C$3,INDEX('Snowball Engine'!$AH228:$AV228,Calc!$I$15),INDEX('Avalanche Engine'!$AH228:$AV228,Calc!$J$15),INDEX('My Order Engine'!$AH228:$AV228,Calc!$K$15)),"")</f>
        <v/>
      </c>
      <c r="M226" s="25" t="str">
        <f>IF(AND($A226&lt;=IF(Calc!$C$36=999,360,Calc!$C$36),Calc!$C$16=1),CHOOSE(Calc!$C$3,INDEX('Snowball Engine'!$AH228:$AV228,Calc!$I$16),INDEX('Avalanche Engine'!$AH228:$AV228,Calc!$J$16),INDEX('My Order Engine'!$AH228:$AV228,Calc!$K$16)),"")</f>
        <v/>
      </c>
      <c r="N226" s="25" t="str">
        <f>IF(AND($A226&lt;=IF(Calc!$C$36=999,360,Calc!$C$36),Calc!$C$17=1),CHOOSE(Calc!$C$3,INDEX('Snowball Engine'!$AH228:$AV228,Calc!$I$17),INDEX('Avalanche Engine'!$AH228:$AV228,Calc!$J$17),INDEX('My Order Engine'!$AH228:$AV228,Calc!$K$17)),"")</f>
        <v/>
      </c>
      <c r="O226" s="25" t="str">
        <f>IF(AND($A226&lt;=IF(Calc!$C$36=999,360,Calc!$C$36),Calc!$C$18=1),CHOOSE(Calc!$C$3,INDEX('Snowball Engine'!$AH228:$AV228,Calc!$I$18),INDEX('Avalanche Engine'!$AH228:$AV228,Calc!$J$18),INDEX('My Order Engine'!$AH228:$AV228,Calc!$K$18)),"")</f>
        <v/>
      </c>
      <c r="P226" s="25" t="str">
        <f>IF(AND($A226&lt;=IF(Calc!$C$36=999,360,Calc!$C$36),Calc!$C$19=1),CHOOSE(Calc!$C$3,INDEX('Snowball Engine'!$AH228:$AV228,Calc!$I$19),INDEX('Avalanche Engine'!$AH228:$AV228,Calc!$J$19),INDEX('My Order Engine'!$AH228:$AV228,Calc!$K$19)),"")</f>
        <v/>
      </c>
      <c r="Q226" s="25" t="str">
        <f>IF(AND($A226&lt;=IF(Calc!$C$36=999,360,Calc!$C$36),Calc!$C$20=1),CHOOSE(Calc!$C$3,INDEX('Snowball Engine'!$AH228:$AV228,Calc!$I$20),INDEX('Avalanche Engine'!$AH228:$AV228,Calc!$J$20),INDEX('My Order Engine'!$AH228:$AV228,Calc!$K$20)),"")</f>
        <v/>
      </c>
      <c r="R226" s="25" t="str">
        <f>IF(AND($A226&lt;=IF(Calc!$C$36=999,360,Calc!$C$36),Calc!$C$21=1),CHOOSE(Calc!$C$3,INDEX('Snowball Engine'!$AH228:$AV228,Calc!$I$21),INDEX('Avalanche Engine'!$AH228:$AV228,Calc!$J$21),INDEX('My Order Engine'!$AH228:$AV228,Calc!$K$21)),"")</f>
        <v/>
      </c>
      <c r="S226" s="25" t="str">
        <f>IF(AND($A226&lt;=IF(Calc!$C$36=999,360,Calc!$C$36),Calc!$C$22=1),CHOOSE(Calc!$C$3,INDEX('Snowball Engine'!$AH228:$AV228,Calc!$I$22),INDEX('Avalanche Engine'!$AH228:$AV228,Calc!$J$22),INDEX('My Order Engine'!$AH228:$AV228,Calc!$K$22)),"")</f>
        <v/>
      </c>
      <c r="T226" s="25" t="str">
        <f>IF(AND($A226&lt;=IF(Calc!$C$36=999,360,Calc!$C$36),Calc!$C$23=1),CHOOSE(Calc!$C$3,INDEX('Snowball Engine'!$AH228:$AV228,Calc!$I$23),INDEX('Avalanche Engine'!$AH228:$AV228,Calc!$J$23),INDEX('My Order Engine'!$AH228:$AV228,Calc!$K$23)),"")</f>
        <v/>
      </c>
      <c r="U226" s="25" t="str">
        <f>IF(AND($A226&lt;=IF(Calc!$C$36=999,360,Calc!$C$36),Calc!$C$24=1),CHOOSE(Calc!$C$3,INDEX('Snowball Engine'!$AH228:$AV228,Calc!$I$24),INDEX('Avalanche Engine'!$AH228:$AV228,Calc!$J$24),INDEX('My Order Engine'!$AH228:$AV228,Calc!$K$24)),"")</f>
        <v/>
      </c>
    </row>
    <row r="227" spans="1:21" x14ac:dyDescent="0.35">
      <c r="A227" s="23">
        <v>223</v>
      </c>
      <c r="B227" s="24" t="str">
        <f>IF($A227&lt;=IF(Calc!$C$36=999,360,Calc!$C$36),EDATE(Calc!$C$5,A227-1),"")</f>
        <v/>
      </c>
      <c r="C227" s="25" t="str">
        <f>IF($A227&lt;=IF(Calc!$C$36=999,360,Calc!$C$36),CHOOSE(Calc!$C$3,'Snowball Engine'!AY229,'Avalanche Engine'!AY229,'My Order Engine'!AY229),"")</f>
        <v/>
      </c>
      <c r="D227" s="25" t="str">
        <f>IF($A227&lt;=IF(Calc!$C$36=999,360,Calc!$C$36),CHOOSE(Calc!$C$3,'Snowball Engine'!AX229,'Avalanche Engine'!AX229,'My Order Engine'!AX229),"")</f>
        <v/>
      </c>
      <c r="E227" s="25" t="str">
        <f>IF($A227&lt;=IF(Calc!$C$36=999,360,Calc!$C$36),C227-D227,"")</f>
        <v/>
      </c>
      <c r="F227" s="25" t="str">
        <f>IF($A227&lt;=IF(Calc!$C$36=999,360,Calc!$C$36),CHOOSE(Calc!$C$3,'Snowball Engine'!AW229,'Avalanche Engine'!AW229,'My Order Engine'!AW229),"")</f>
        <v/>
      </c>
      <c r="G227" s="25" t="str">
        <f>IF(AND($A227&lt;=IF(Calc!$C$36=999,360,Calc!$C$36),Calc!$C$10=1),CHOOSE(Calc!$C$3,INDEX('Snowball Engine'!$AH229:$AV229,Calc!$I$10),INDEX('Avalanche Engine'!$AH229:$AV229,Calc!$J$10),INDEX('My Order Engine'!$AH229:$AV229,Calc!$K$10)),"")</f>
        <v/>
      </c>
      <c r="H227" s="25" t="str">
        <f>IF(AND($A227&lt;=IF(Calc!$C$36=999,360,Calc!$C$36),Calc!$C$11=1),CHOOSE(Calc!$C$3,INDEX('Snowball Engine'!$AH229:$AV229,Calc!$I$11),INDEX('Avalanche Engine'!$AH229:$AV229,Calc!$J$11),INDEX('My Order Engine'!$AH229:$AV229,Calc!$K$11)),"")</f>
        <v/>
      </c>
      <c r="I227" s="25" t="str">
        <f>IF(AND($A227&lt;=IF(Calc!$C$36=999,360,Calc!$C$36),Calc!$C$12=1),CHOOSE(Calc!$C$3,INDEX('Snowball Engine'!$AH229:$AV229,Calc!$I$12),INDEX('Avalanche Engine'!$AH229:$AV229,Calc!$J$12),INDEX('My Order Engine'!$AH229:$AV229,Calc!$K$12)),"")</f>
        <v/>
      </c>
      <c r="J227" s="25" t="str">
        <f>IF(AND($A227&lt;=IF(Calc!$C$36=999,360,Calc!$C$36),Calc!$C$13=1),CHOOSE(Calc!$C$3,INDEX('Snowball Engine'!$AH229:$AV229,Calc!$I$13),INDEX('Avalanche Engine'!$AH229:$AV229,Calc!$J$13),INDEX('My Order Engine'!$AH229:$AV229,Calc!$K$13)),"")</f>
        <v/>
      </c>
      <c r="K227" s="25" t="str">
        <f>IF(AND($A227&lt;=IF(Calc!$C$36=999,360,Calc!$C$36),Calc!$C$14=1),CHOOSE(Calc!$C$3,INDEX('Snowball Engine'!$AH229:$AV229,Calc!$I$14),INDEX('Avalanche Engine'!$AH229:$AV229,Calc!$J$14),INDEX('My Order Engine'!$AH229:$AV229,Calc!$K$14)),"")</f>
        <v/>
      </c>
      <c r="L227" s="25" t="str">
        <f>IF(AND($A227&lt;=IF(Calc!$C$36=999,360,Calc!$C$36),Calc!$C$15=1),CHOOSE(Calc!$C$3,INDEX('Snowball Engine'!$AH229:$AV229,Calc!$I$15),INDEX('Avalanche Engine'!$AH229:$AV229,Calc!$J$15),INDEX('My Order Engine'!$AH229:$AV229,Calc!$K$15)),"")</f>
        <v/>
      </c>
      <c r="M227" s="25" t="str">
        <f>IF(AND($A227&lt;=IF(Calc!$C$36=999,360,Calc!$C$36),Calc!$C$16=1),CHOOSE(Calc!$C$3,INDEX('Snowball Engine'!$AH229:$AV229,Calc!$I$16),INDEX('Avalanche Engine'!$AH229:$AV229,Calc!$J$16),INDEX('My Order Engine'!$AH229:$AV229,Calc!$K$16)),"")</f>
        <v/>
      </c>
      <c r="N227" s="25" t="str">
        <f>IF(AND($A227&lt;=IF(Calc!$C$36=999,360,Calc!$C$36),Calc!$C$17=1),CHOOSE(Calc!$C$3,INDEX('Snowball Engine'!$AH229:$AV229,Calc!$I$17),INDEX('Avalanche Engine'!$AH229:$AV229,Calc!$J$17),INDEX('My Order Engine'!$AH229:$AV229,Calc!$K$17)),"")</f>
        <v/>
      </c>
      <c r="O227" s="25" t="str">
        <f>IF(AND($A227&lt;=IF(Calc!$C$36=999,360,Calc!$C$36),Calc!$C$18=1),CHOOSE(Calc!$C$3,INDEX('Snowball Engine'!$AH229:$AV229,Calc!$I$18),INDEX('Avalanche Engine'!$AH229:$AV229,Calc!$J$18),INDEX('My Order Engine'!$AH229:$AV229,Calc!$K$18)),"")</f>
        <v/>
      </c>
      <c r="P227" s="25" t="str">
        <f>IF(AND($A227&lt;=IF(Calc!$C$36=999,360,Calc!$C$36),Calc!$C$19=1),CHOOSE(Calc!$C$3,INDEX('Snowball Engine'!$AH229:$AV229,Calc!$I$19),INDEX('Avalanche Engine'!$AH229:$AV229,Calc!$J$19),INDEX('My Order Engine'!$AH229:$AV229,Calc!$K$19)),"")</f>
        <v/>
      </c>
      <c r="Q227" s="25" t="str">
        <f>IF(AND($A227&lt;=IF(Calc!$C$36=999,360,Calc!$C$36),Calc!$C$20=1),CHOOSE(Calc!$C$3,INDEX('Snowball Engine'!$AH229:$AV229,Calc!$I$20),INDEX('Avalanche Engine'!$AH229:$AV229,Calc!$J$20),INDEX('My Order Engine'!$AH229:$AV229,Calc!$K$20)),"")</f>
        <v/>
      </c>
      <c r="R227" s="25" t="str">
        <f>IF(AND($A227&lt;=IF(Calc!$C$36=999,360,Calc!$C$36),Calc!$C$21=1),CHOOSE(Calc!$C$3,INDEX('Snowball Engine'!$AH229:$AV229,Calc!$I$21),INDEX('Avalanche Engine'!$AH229:$AV229,Calc!$J$21),INDEX('My Order Engine'!$AH229:$AV229,Calc!$K$21)),"")</f>
        <v/>
      </c>
      <c r="S227" s="25" t="str">
        <f>IF(AND($A227&lt;=IF(Calc!$C$36=999,360,Calc!$C$36),Calc!$C$22=1),CHOOSE(Calc!$C$3,INDEX('Snowball Engine'!$AH229:$AV229,Calc!$I$22),INDEX('Avalanche Engine'!$AH229:$AV229,Calc!$J$22),INDEX('My Order Engine'!$AH229:$AV229,Calc!$K$22)),"")</f>
        <v/>
      </c>
      <c r="T227" s="25" t="str">
        <f>IF(AND($A227&lt;=IF(Calc!$C$36=999,360,Calc!$C$36),Calc!$C$23=1),CHOOSE(Calc!$C$3,INDEX('Snowball Engine'!$AH229:$AV229,Calc!$I$23),INDEX('Avalanche Engine'!$AH229:$AV229,Calc!$J$23),INDEX('My Order Engine'!$AH229:$AV229,Calc!$K$23)),"")</f>
        <v/>
      </c>
      <c r="U227" s="25" t="str">
        <f>IF(AND($A227&lt;=IF(Calc!$C$36=999,360,Calc!$C$36),Calc!$C$24=1),CHOOSE(Calc!$C$3,INDEX('Snowball Engine'!$AH229:$AV229,Calc!$I$24),INDEX('Avalanche Engine'!$AH229:$AV229,Calc!$J$24),INDEX('My Order Engine'!$AH229:$AV229,Calc!$K$24)),"")</f>
        <v/>
      </c>
    </row>
    <row r="228" spans="1:21" x14ac:dyDescent="0.35">
      <c r="A228" s="23">
        <v>224</v>
      </c>
      <c r="B228" s="24" t="str">
        <f>IF($A228&lt;=IF(Calc!$C$36=999,360,Calc!$C$36),EDATE(Calc!$C$5,A228-1),"")</f>
        <v/>
      </c>
      <c r="C228" s="25" t="str">
        <f>IF($A228&lt;=IF(Calc!$C$36=999,360,Calc!$C$36),CHOOSE(Calc!$C$3,'Snowball Engine'!AY230,'Avalanche Engine'!AY230,'My Order Engine'!AY230),"")</f>
        <v/>
      </c>
      <c r="D228" s="25" t="str">
        <f>IF($A228&lt;=IF(Calc!$C$36=999,360,Calc!$C$36),CHOOSE(Calc!$C$3,'Snowball Engine'!AX230,'Avalanche Engine'!AX230,'My Order Engine'!AX230),"")</f>
        <v/>
      </c>
      <c r="E228" s="25" t="str">
        <f>IF($A228&lt;=IF(Calc!$C$36=999,360,Calc!$C$36),C228-D228,"")</f>
        <v/>
      </c>
      <c r="F228" s="25" t="str">
        <f>IF($A228&lt;=IF(Calc!$C$36=999,360,Calc!$C$36),CHOOSE(Calc!$C$3,'Snowball Engine'!AW230,'Avalanche Engine'!AW230,'My Order Engine'!AW230),"")</f>
        <v/>
      </c>
      <c r="G228" s="25" t="str">
        <f>IF(AND($A228&lt;=IF(Calc!$C$36=999,360,Calc!$C$36),Calc!$C$10=1),CHOOSE(Calc!$C$3,INDEX('Snowball Engine'!$AH230:$AV230,Calc!$I$10),INDEX('Avalanche Engine'!$AH230:$AV230,Calc!$J$10),INDEX('My Order Engine'!$AH230:$AV230,Calc!$K$10)),"")</f>
        <v/>
      </c>
      <c r="H228" s="25" t="str">
        <f>IF(AND($A228&lt;=IF(Calc!$C$36=999,360,Calc!$C$36),Calc!$C$11=1),CHOOSE(Calc!$C$3,INDEX('Snowball Engine'!$AH230:$AV230,Calc!$I$11),INDEX('Avalanche Engine'!$AH230:$AV230,Calc!$J$11),INDEX('My Order Engine'!$AH230:$AV230,Calc!$K$11)),"")</f>
        <v/>
      </c>
      <c r="I228" s="25" t="str">
        <f>IF(AND($A228&lt;=IF(Calc!$C$36=999,360,Calc!$C$36),Calc!$C$12=1),CHOOSE(Calc!$C$3,INDEX('Snowball Engine'!$AH230:$AV230,Calc!$I$12),INDEX('Avalanche Engine'!$AH230:$AV230,Calc!$J$12),INDEX('My Order Engine'!$AH230:$AV230,Calc!$K$12)),"")</f>
        <v/>
      </c>
      <c r="J228" s="25" t="str">
        <f>IF(AND($A228&lt;=IF(Calc!$C$36=999,360,Calc!$C$36),Calc!$C$13=1),CHOOSE(Calc!$C$3,INDEX('Snowball Engine'!$AH230:$AV230,Calc!$I$13),INDEX('Avalanche Engine'!$AH230:$AV230,Calc!$J$13),INDEX('My Order Engine'!$AH230:$AV230,Calc!$K$13)),"")</f>
        <v/>
      </c>
      <c r="K228" s="25" t="str">
        <f>IF(AND($A228&lt;=IF(Calc!$C$36=999,360,Calc!$C$36),Calc!$C$14=1),CHOOSE(Calc!$C$3,INDEX('Snowball Engine'!$AH230:$AV230,Calc!$I$14),INDEX('Avalanche Engine'!$AH230:$AV230,Calc!$J$14),INDEX('My Order Engine'!$AH230:$AV230,Calc!$K$14)),"")</f>
        <v/>
      </c>
      <c r="L228" s="25" t="str">
        <f>IF(AND($A228&lt;=IF(Calc!$C$36=999,360,Calc!$C$36),Calc!$C$15=1),CHOOSE(Calc!$C$3,INDEX('Snowball Engine'!$AH230:$AV230,Calc!$I$15),INDEX('Avalanche Engine'!$AH230:$AV230,Calc!$J$15),INDEX('My Order Engine'!$AH230:$AV230,Calc!$K$15)),"")</f>
        <v/>
      </c>
      <c r="M228" s="25" t="str">
        <f>IF(AND($A228&lt;=IF(Calc!$C$36=999,360,Calc!$C$36),Calc!$C$16=1),CHOOSE(Calc!$C$3,INDEX('Snowball Engine'!$AH230:$AV230,Calc!$I$16),INDEX('Avalanche Engine'!$AH230:$AV230,Calc!$J$16),INDEX('My Order Engine'!$AH230:$AV230,Calc!$K$16)),"")</f>
        <v/>
      </c>
      <c r="N228" s="25" t="str">
        <f>IF(AND($A228&lt;=IF(Calc!$C$36=999,360,Calc!$C$36),Calc!$C$17=1),CHOOSE(Calc!$C$3,INDEX('Snowball Engine'!$AH230:$AV230,Calc!$I$17),INDEX('Avalanche Engine'!$AH230:$AV230,Calc!$J$17),INDEX('My Order Engine'!$AH230:$AV230,Calc!$K$17)),"")</f>
        <v/>
      </c>
      <c r="O228" s="25" t="str">
        <f>IF(AND($A228&lt;=IF(Calc!$C$36=999,360,Calc!$C$36),Calc!$C$18=1),CHOOSE(Calc!$C$3,INDEX('Snowball Engine'!$AH230:$AV230,Calc!$I$18),INDEX('Avalanche Engine'!$AH230:$AV230,Calc!$J$18),INDEX('My Order Engine'!$AH230:$AV230,Calc!$K$18)),"")</f>
        <v/>
      </c>
      <c r="P228" s="25" t="str">
        <f>IF(AND($A228&lt;=IF(Calc!$C$36=999,360,Calc!$C$36),Calc!$C$19=1),CHOOSE(Calc!$C$3,INDEX('Snowball Engine'!$AH230:$AV230,Calc!$I$19),INDEX('Avalanche Engine'!$AH230:$AV230,Calc!$J$19),INDEX('My Order Engine'!$AH230:$AV230,Calc!$K$19)),"")</f>
        <v/>
      </c>
      <c r="Q228" s="25" t="str">
        <f>IF(AND($A228&lt;=IF(Calc!$C$36=999,360,Calc!$C$36),Calc!$C$20=1),CHOOSE(Calc!$C$3,INDEX('Snowball Engine'!$AH230:$AV230,Calc!$I$20),INDEX('Avalanche Engine'!$AH230:$AV230,Calc!$J$20),INDEX('My Order Engine'!$AH230:$AV230,Calc!$K$20)),"")</f>
        <v/>
      </c>
      <c r="R228" s="25" t="str">
        <f>IF(AND($A228&lt;=IF(Calc!$C$36=999,360,Calc!$C$36),Calc!$C$21=1),CHOOSE(Calc!$C$3,INDEX('Snowball Engine'!$AH230:$AV230,Calc!$I$21),INDEX('Avalanche Engine'!$AH230:$AV230,Calc!$J$21),INDEX('My Order Engine'!$AH230:$AV230,Calc!$K$21)),"")</f>
        <v/>
      </c>
      <c r="S228" s="25" t="str">
        <f>IF(AND($A228&lt;=IF(Calc!$C$36=999,360,Calc!$C$36),Calc!$C$22=1),CHOOSE(Calc!$C$3,INDEX('Snowball Engine'!$AH230:$AV230,Calc!$I$22),INDEX('Avalanche Engine'!$AH230:$AV230,Calc!$J$22),INDEX('My Order Engine'!$AH230:$AV230,Calc!$K$22)),"")</f>
        <v/>
      </c>
      <c r="T228" s="25" t="str">
        <f>IF(AND($A228&lt;=IF(Calc!$C$36=999,360,Calc!$C$36),Calc!$C$23=1),CHOOSE(Calc!$C$3,INDEX('Snowball Engine'!$AH230:$AV230,Calc!$I$23),INDEX('Avalanche Engine'!$AH230:$AV230,Calc!$J$23),INDEX('My Order Engine'!$AH230:$AV230,Calc!$K$23)),"")</f>
        <v/>
      </c>
      <c r="U228" s="25" t="str">
        <f>IF(AND($A228&lt;=IF(Calc!$C$36=999,360,Calc!$C$36),Calc!$C$24=1),CHOOSE(Calc!$C$3,INDEX('Snowball Engine'!$AH230:$AV230,Calc!$I$24),INDEX('Avalanche Engine'!$AH230:$AV230,Calc!$J$24),INDEX('My Order Engine'!$AH230:$AV230,Calc!$K$24)),"")</f>
        <v/>
      </c>
    </row>
    <row r="229" spans="1:21" x14ac:dyDescent="0.35">
      <c r="A229" s="23">
        <v>225</v>
      </c>
      <c r="B229" s="24" t="str">
        <f>IF($A229&lt;=IF(Calc!$C$36=999,360,Calc!$C$36),EDATE(Calc!$C$5,A229-1),"")</f>
        <v/>
      </c>
      <c r="C229" s="25" t="str">
        <f>IF($A229&lt;=IF(Calc!$C$36=999,360,Calc!$C$36),CHOOSE(Calc!$C$3,'Snowball Engine'!AY231,'Avalanche Engine'!AY231,'My Order Engine'!AY231),"")</f>
        <v/>
      </c>
      <c r="D229" s="25" t="str">
        <f>IF($A229&lt;=IF(Calc!$C$36=999,360,Calc!$C$36),CHOOSE(Calc!$C$3,'Snowball Engine'!AX231,'Avalanche Engine'!AX231,'My Order Engine'!AX231),"")</f>
        <v/>
      </c>
      <c r="E229" s="25" t="str">
        <f>IF($A229&lt;=IF(Calc!$C$36=999,360,Calc!$C$36),C229-D229,"")</f>
        <v/>
      </c>
      <c r="F229" s="25" t="str">
        <f>IF($A229&lt;=IF(Calc!$C$36=999,360,Calc!$C$36),CHOOSE(Calc!$C$3,'Snowball Engine'!AW231,'Avalanche Engine'!AW231,'My Order Engine'!AW231),"")</f>
        <v/>
      </c>
      <c r="G229" s="25" t="str">
        <f>IF(AND($A229&lt;=IF(Calc!$C$36=999,360,Calc!$C$36),Calc!$C$10=1),CHOOSE(Calc!$C$3,INDEX('Snowball Engine'!$AH231:$AV231,Calc!$I$10),INDEX('Avalanche Engine'!$AH231:$AV231,Calc!$J$10),INDEX('My Order Engine'!$AH231:$AV231,Calc!$K$10)),"")</f>
        <v/>
      </c>
      <c r="H229" s="25" t="str">
        <f>IF(AND($A229&lt;=IF(Calc!$C$36=999,360,Calc!$C$36),Calc!$C$11=1),CHOOSE(Calc!$C$3,INDEX('Snowball Engine'!$AH231:$AV231,Calc!$I$11),INDEX('Avalanche Engine'!$AH231:$AV231,Calc!$J$11),INDEX('My Order Engine'!$AH231:$AV231,Calc!$K$11)),"")</f>
        <v/>
      </c>
      <c r="I229" s="25" t="str">
        <f>IF(AND($A229&lt;=IF(Calc!$C$36=999,360,Calc!$C$36),Calc!$C$12=1),CHOOSE(Calc!$C$3,INDEX('Snowball Engine'!$AH231:$AV231,Calc!$I$12),INDEX('Avalanche Engine'!$AH231:$AV231,Calc!$J$12),INDEX('My Order Engine'!$AH231:$AV231,Calc!$K$12)),"")</f>
        <v/>
      </c>
      <c r="J229" s="25" t="str">
        <f>IF(AND($A229&lt;=IF(Calc!$C$36=999,360,Calc!$C$36),Calc!$C$13=1),CHOOSE(Calc!$C$3,INDEX('Snowball Engine'!$AH231:$AV231,Calc!$I$13),INDEX('Avalanche Engine'!$AH231:$AV231,Calc!$J$13),INDEX('My Order Engine'!$AH231:$AV231,Calc!$K$13)),"")</f>
        <v/>
      </c>
      <c r="K229" s="25" t="str">
        <f>IF(AND($A229&lt;=IF(Calc!$C$36=999,360,Calc!$C$36),Calc!$C$14=1),CHOOSE(Calc!$C$3,INDEX('Snowball Engine'!$AH231:$AV231,Calc!$I$14),INDEX('Avalanche Engine'!$AH231:$AV231,Calc!$J$14),INDEX('My Order Engine'!$AH231:$AV231,Calc!$K$14)),"")</f>
        <v/>
      </c>
      <c r="L229" s="25" t="str">
        <f>IF(AND($A229&lt;=IF(Calc!$C$36=999,360,Calc!$C$36),Calc!$C$15=1),CHOOSE(Calc!$C$3,INDEX('Snowball Engine'!$AH231:$AV231,Calc!$I$15),INDEX('Avalanche Engine'!$AH231:$AV231,Calc!$J$15),INDEX('My Order Engine'!$AH231:$AV231,Calc!$K$15)),"")</f>
        <v/>
      </c>
      <c r="M229" s="25" t="str">
        <f>IF(AND($A229&lt;=IF(Calc!$C$36=999,360,Calc!$C$36),Calc!$C$16=1),CHOOSE(Calc!$C$3,INDEX('Snowball Engine'!$AH231:$AV231,Calc!$I$16),INDEX('Avalanche Engine'!$AH231:$AV231,Calc!$J$16),INDEX('My Order Engine'!$AH231:$AV231,Calc!$K$16)),"")</f>
        <v/>
      </c>
      <c r="N229" s="25" t="str">
        <f>IF(AND($A229&lt;=IF(Calc!$C$36=999,360,Calc!$C$36),Calc!$C$17=1),CHOOSE(Calc!$C$3,INDEX('Snowball Engine'!$AH231:$AV231,Calc!$I$17),INDEX('Avalanche Engine'!$AH231:$AV231,Calc!$J$17),INDEX('My Order Engine'!$AH231:$AV231,Calc!$K$17)),"")</f>
        <v/>
      </c>
      <c r="O229" s="25" t="str">
        <f>IF(AND($A229&lt;=IF(Calc!$C$36=999,360,Calc!$C$36),Calc!$C$18=1),CHOOSE(Calc!$C$3,INDEX('Snowball Engine'!$AH231:$AV231,Calc!$I$18),INDEX('Avalanche Engine'!$AH231:$AV231,Calc!$J$18),INDEX('My Order Engine'!$AH231:$AV231,Calc!$K$18)),"")</f>
        <v/>
      </c>
      <c r="P229" s="25" t="str">
        <f>IF(AND($A229&lt;=IF(Calc!$C$36=999,360,Calc!$C$36),Calc!$C$19=1),CHOOSE(Calc!$C$3,INDEX('Snowball Engine'!$AH231:$AV231,Calc!$I$19),INDEX('Avalanche Engine'!$AH231:$AV231,Calc!$J$19),INDEX('My Order Engine'!$AH231:$AV231,Calc!$K$19)),"")</f>
        <v/>
      </c>
      <c r="Q229" s="25" t="str">
        <f>IF(AND($A229&lt;=IF(Calc!$C$36=999,360,Calc!$C$36),Calc!$C$20=1),CHOOSE(Calc!$C$3,INDEX('Snowball Engine'!$AH231:$AV231,Calc!$I$20),INDEX('Avalanche Engine'!$AH231:$AV231,Calc!$J$20),INDEX('My Order Engine'!$AH231:$AV231,Calc!$K$20)),"")</f>
        <v/>
      </c>
      <c r="R229" s="25" t="str">
        <f>IF(AND($A229&lt;=IF(Calc!$C$36=999,360,Calc!$C$36),Calc!$C$21=1),CHOOSE(Calc!$C$3,INDEX('Snowball Engine'!$AH231:$AV231,Calc!$I$21),INDEX('Avalanche Engine'!$AH231:$AV231,Calc!$J$21),INDEX('My Order Engine'!$AH231:$AV231,Calc!$K$21)),"")</f>
        <v/>
      </c>
      <c r="S229" s="25" t="str">
        <f>IF(AND($A229&lt;=IF(Calc!$C$36=999,360,Calc!$C$36),Calc!$C$22=1),CHOOSE(Calc!$C$3,INDEX('Snowball Engine'!$AH231:$AV231,Calc!$I$22),INDEX('Avalanche Engine'!$AH231:$AV231,Calc!$J$22),INDEX('My Order Engine'!$AH231:$AV231,Calc!$K$22)),"")</f>
        <v/>
      </c>
      <c r="T229" s="25" t="str">
        <f>IF(AND($A229&lt;=IF(Calc!$C$36=999,360,Calc!$C$36),Calc!$C$23=1),CHOOSE(Calc!$C$3,INDEX('Snowball Engine'!$AH231:$AV231,Calc!$I$23),INDEX('Avalanche Engine'!$AH231:$AV231,Calc!$J$23),INDEX('My Order Engine'!$AH231:$AV231,Calc!$K$23)),"")</f>
        <v/>
      </c>
      <c r="U229" s="25" t="str">
        <f>IF(AND($A229&lt;=IF(Calc!$C$36=999,360,Calc!$C$36),Calc!$C$24=1),CHOOSE(Calc!$C$3,INDEX('Snowball Engine'!$AH231:$AV231,Calc!$I$24),INDEX('Avalanche Engine'!$AH231:$AV231,Calc!$J$24),INDEX('My Order Engine'!$AH231:$AV231,Calc!$K$24)),"")</f>
        <v/>
      </c>
    </row>
    <row r="230" spans="1:21" x14ac:dyDescent="0.35">
      <c r="A230" s="23">
        <v>226</v>
      </c>
      <c r="B230" s="24" t="str">
        <f>IF($A230&lt;=IF(Calc!$C$36=999,360,Calc!$C$36),EDATE(Calc!$C$5,A230-1),"")</f>
        <v/>
      </c>
      <c r="C230" s="25" t="str">
        <f>IF($A230&lt;=IF(Calc!$C$36=999,360,Calc!$C$36),CHOOSE(Calc!$C$3,'Snowball Engine'!AY232,'Avalanche Engine'!AY232,'My Order Engine'!AY232),"")</f>
        <v/>
      </c>
      <c r="D230" s="25" t="str">
        <f>IF($A230&lt;=IF(Calc!$C$36=999,360,Calc!$C$36),CHOOSE(Calc!$C$3,'Snowball Engine'!AX232,'Avalanche Engine'!AX232,'My Order Engine'!AX232),"")</f>
        <v/>
      </c>
      <c r="E230" s="25" t="str">
        <f>IF($A230&lt;=IF(Calc!$C$36=999,360,Calc!$C$36),C230-D230,"")</f>
        <v/>
      </c>
      <c r="F230" s="25" t="str">
        <f>IF($A230&lt;=IF(Calc!$C$36=999,360,Calc!$C$36),CHOOSE(Calc!$C$3,'Snowball Engine'!AW232,'Avalanche Engine'!AW232,'My Order Engine'!AW232),"")</f>
        <v/>
      </c>
      <c r="G230" s="25" t="str">
        <f>IF(AND($A230&lt;=IF(Calc!$C$36=999,360,Calc!$C$36),Calc!$C$10=1),CHOOSE(Calc!$C$3,INDEX('Snowball Engine'!$AH232:$AV232,Calc!$I$10),INDEX('Avalanche Engine'!$AH232:$AV232,Calc!$J$10),INDEX('My Order Engine'!$AH232:$AV232,Calc!$K$10)),"")</f>
        <v/>
      </c>
      <c r="H230" s="25" t="str">
        <f>IF(AND($A230&lt;=IF(Calc!$C$36=999,360,Calc!$C$36),Calc!$C$11=1),CHOOSE(Calc!$C$3,INDEX('Snowball Engine'!$AH232:$AV232,Calc!$I$11),INDEX('Avalanche Engine'!$AH232:$AV232,Calc!$J$11),INDEX('My Order Engine'!$AH232:$AV232,Calc!$K$11)),"")</f>
        <v/>
      </c>
      <c r="I230" s="25" t="str">
        <f>IF(AND($A230&lt;=IF(Calc!$C$36=999,360,Calc!$C$36),Calc!$C$12=1),CHOOSE(Calc!$C$3,INDEX('Snowball Engine'!$AH232:$AV232,Calc!$I$12),INDEX('Avalanche Engine'!$AH232:$AV232,Calc!$J$12),INDEX('My Order Engine'!$AH232:$AV232,Calc!$K$12)),"")</f>
        <v/>
      </c>
      <c r="J230" s="25" t="str">
        <f>IF(AND($A230&lt;=IF(Calc!$C$36=999,360,Calc!$C$36),Calc!$C$13=1),CHOOSE(Calc!$C$3,INDEX('Snowball Engine'!$AH232:$AV232,Calc!$I$13),INDEX('Avalanche Engine'!$AH232:$AV232,Calc!$J$13),INDEX('My Order Engine'!$AH232:$AV232,Calc!$K$13)),"")</f>
        <v/>
      </c>
      <c r="K230" s="25" t="str">
        <f>IF(AND($A230&lt;=IF(Calc!$C$36=999,360,Calc!$C$36),Calc!$C$14=1),CHOOSE(Calc!$C$3,INDEX('Snowball Engine'!$AH232:$AV232,Calc!$I$14),INDEX('Avalanche Engine'!$AH232:$AV232,Calc!$J$14),INDEX('My Order Engine'!$AH232:$AV232,Calc!$K$14)),"")</f>
        <v/>
      </c>
      <c r="L230" s="25" t="str">
        <f>IF(AND($A230&lt;=IF(Calc!$C$36=999,360,Calc!$C$36),Calc!$C$15=1),CHOOSE(Calc!$C$3,INDEX('Snowball Engine'!$AH232:$AV232,Calc!$I$15),INDEX('Avalanche Engine'!$AH232:$AV232,Calc!$J$15),INDEX('My Order Engine'!$AH232:$AV232,Calc!$K$15)),"")</f>
        <v/>
      </c>
      <c r="M230" s="25" t="str">
        <f>IF(AND($A230&lt;=IF(Calc!$C$36=999,360,Calc!$C$36),Calc!$C$16=1),CHOOSE(Calc!$C$3,INDEX('Snowball Engine'!$AH232:$AV232,Calc!$I$16),INDEX('Avalanche Engine'!$AH232:$AV232,Calc!$J$16),INDEX('My Order Engine'!$AH232:$AV232,Calc!$K$16)),"")</f>
        <v/>
      </c>
      <c r="N230" s="25" t="str">
        <f>IF(AND($A230&lt;=IF(Calc!$C$36=999,360,Calc!$C$36),Calc!$C$17=1),CHOOSE(Calc!$C$3,INDEX('Snowball Engine'!$AH232:$AV232,Calc!$I$17),INDEX('Avalanche Engine'!$AH232:$AV232,Calc!$J$17),INDEX('My Order Engine'!$AH232:$AV232,Calc!$K$17)),"")</f>
        <v/>
      </c>
      <c r="O230" s="25" t="str">
        <f>IF(AND($A230&lt;=IF(Calc!$C$36=999,360,Calc!$C$36),Calc!$C$18=1),CHOOSE(Calc!$C$3,INDEX('Snowball Engine'!$AH232:$AV232,Calc!$I$18),INDEX('Avalanche Engine'!$AH232:$AV232,Calc!$J$18),INDEX('My Order Engine'!$AH232:$AV232,Calc!$K$18)),"")</f>
        <v/>
      </c>
      <c r="P230" s="25" t="str">
        <f>IF(AND($A230&lt;=IF(Calc!$C$36=999,360,Calc!$C$36),Calc!$C$19=1),CHOOSE(Calc!$C$3,INDEX('Snowball Engine'!$AH232:$AV232,Calc!$I$19),INDEX('Avalanche Engine'!$AH232:$AV232,Calc!$J$19),INDEX('My Order Engine'!$AH232:$AV232,Calc!$K$19)),"")</f>
        <v/>
      </c>
      <c r="Q230" s="25" t="str">
        <f>IF(AND($A230&lt;=IF(Calc!$C$36=999,360,Calc!$C$36),Calc!$C$20=1),CHOOSE(Calc!$C$3,INDEX('Snowball Engine'!$AH232:$AV232,Calc!$I$20),INDEX('Avalanche Engine'!$AH232:$AV232,Calc!$J$20),INDEX('My Order Engine'!$AH232:$AV232,Calc!$K$20)),"")</f>
        <v/>
      </c>
      <c r="R230" s="25" t="str">
        <f>IF(AND($A230&lt;=IF(Calc!$C$36=999,360,Calc!$C$36),Calc!$C$21=1),CHOOSE(Calc!$C$3,INDEX('Snowball Engine'!$AH232:$AV232,Calc!$I$21),INDEX('Avalanche Engine'!$AH232:$AV232,Calc!$J$21),INDEX('My Order Engine'!$AH232:$AV232,Calc!$K$21)),"")</f>
        <v/>
      </c>
      <c r="S230" s="25" t="str">
        <f>IF(AND($A230&lt;=IF(Calc!$C$36=999,360,Calc!$C$36),Calc!$C$22=1),CHOOSE(Calc!$C$3,INDEX('Snowball Engine'!$AH232:$AV232,Calc!$I$22),INDEX('Avalanche Engine'!$AH232:$AV232,Calc!$J$22),INDEX('My Order Engine'!$AH232:$AV232,Calc!$K$22)),"")</f>
        <v/>
      </c>
      <c r="T230" s="25" t="str">
        <f>IF(AND($A230&lt;=IF(Calc!$C$36=999,360,Calc!$C$36),Calc!$C$23=1),CHOOSE(Calc!$C$3,INDEX('Snowball Engine'!$AH232:$AV232,Calc!$I$23),INDEX('Avalanche Engine'!$AH232:$AV232,Calc!$J$23),INDEX('My Order Engine'!$AH232:$AV232,Calc!$K$23)),"")</f>
        <v/>
      </c>
      <c r="U230" s="25" t="str">
        <f>IF(AND($A230&lt;=IF(Calc!$C$36=999,360,Calc!$C$36),Calc!$C$24=1),CHOOSE(Calc!$C$3,INDEX('Snowball Engine'!$AH232:$AV232,Calc!$I$24),INDEX('Avalanche Engine'!$AH232:$AV232,Calc!$J$24),INDEX('My Order Engine'!$AH232:$AV232,Calc!$K$24)),"")</f>
        <v/>
      </c>
    </row>
    <row r="231" spans="1:21" x14ac:dyDescent="0.35">
      <c r="A231" s="23">
        <v>227</v>
      </c>
      <c r="B231" s="24" t="str">
        <f>IF($A231&lt;=IF(Calc!$C$36=999,360,Calc!$C$36),EDATE(Calc!$C$5,A231-1),"")</f>
        <v/>
      </c>
      <c r="C231" s="25" t="str">
        <f>IF($A231&lt;=IF(Calc!$C$36=999,360,Calc!$C$36),CHOOSE(Calc!$C$3,'Snowball Engine'!AY233,'Avalanche Engine'!AY233,'My Order Engine'!AY233),"")</f>
        <v/>
      </c>
      <c r="D231" s="25" t="str">
        <f>IF($A231&lt;=IF(Calc!$C$36=999,360,Calc!$C$36),CHOOSE(Calc!$C$3,'Snowball Engine'!AX233,'Avalanche Engine'!AX233,'My Order Engine'!AX233),"")</f>
        <v/>
      </c>
      <c r="E231" s="25" t="str">
        <f>IF($A231&lt;=IF(Calc!$C$36=999,360,Calc!$C$36),C231-D231,"")</f>
        <v/>
      </c>
      <c r="F231" s="25" t="str">
        <f>IF($A231&lt;=IF(Calc!$C$36=999,360,Calc!$C$36),CHOOSE(Calc!$C$3,'Snowball Engine'!AW233,'Avalanche Engine'!AW233,'My Order Engine'!AW233),"")</f>
        <v/>
      </c>
      <c r="G231" s="25" t="str">
        <f>IF(AND($A231&lt;=IF(Calc!$C$36=999,360,Calc!$C$36),Calc!$C$10=1),CHOOSE(Calc!$C$3,INDEX('Snowball Engine'!$AH233:$AV233,Calc!$I$10),INDEX('Avalanche Engine'!$AH233:$AV233,Calc!$J$10),INDEX('My Order Engine'!$AH233:$AV233,Calc!$K$10)),"")</f>
        <v/>
      </c>
      <c r="H231" s="25" t="str">
        <f>IF(AND($A231&lt;=IF(Calc!$C$36=999,360,Calc!$C$36),Calc!$C$11=1),CHOOSE(Calc!$C$3,INDEX('Snowball Engine'!$AH233:$AV233,Calc!$I$11),INDEX('Avalanche Engine'!$AH233:$AV233,Calc!$J$11),INDEX('My Order Engine'!$AH233:$AV233,Calc!$K$11)),"")</f>
        <v/>
      </c>
      <c r="I231" s="25" t="str">
        <f>IF(AND($A231&lt;=IF(Calc!$C$36=999,360,Calc!$C$36),Calc!$C$12=1),CHOOSE(Calc!$C$3,INDEX('Snowball Engine'!$AH233:$AV233,Calc!$I$12),INDEX('Avalanche Engine'!$AH233:$AV233,Calc!$J$12),INDEX('My Order Engine'!$AH233:$AV233,Calc!$K$12)),"")</f>
        <v/>
      </c>
      <c r="J231" s="25" t="str">
        <f>IF(AND($A231&lt;=IF(Calc!$C$36=999,360,Calc!$C$36),Calc!$C$13=1),CHOOSE(Calc!$C$3,INDEX('Snowball Engine'!$AH233:$AV233,Calc!$I$13),INDEX('Avalanche Engine'!$AH233:$AV233,Calc!$J$13),INDEX('My Order Engine'!$AH233:$AV233,Calc!$K$13)),"")</f>
        <v/>
      </c>
      <c r="K231" s="25" t="str">
        <f>IF(AND($A231&lt;=IF(Calc!$C$36=999,360,Calc!$C$36),Calc!$C$14=1),CHOOSE(Calc!$C$3,INDEX('Snowball Engine'!$AH233:$AV233,Calc!$I$14),INDEX('Avalanche Engine'!$AH233:$AV233,Calc!$J$14),INDEX('My Order Engine'!$AH233:$AV233,Calc!$K$14)),"")</f>
        <v/>
      </c>
      <c r="L231" s="25" t="str">
        <f>IF(AND($A231&lt;=IF(Calc!$C$36=999,360,Calc!$C$36),Calc!$C$15=1),CHOOSE(Calc!$C$3,INDEX('Snowball Engine'!$AH233:$AV233,Calc!$I$15),INDEX('Avalanche Engine'!$AH233:$AV233,Calc!$J$15),INDEX('My Order Engine'!$AH233:$AV233,Calc!$K$15)),"")</f>
        <v/>
      </c>
      <c r="M231" s="25" t="str">
        <f>IF(AND($A231&lt;=IF(Calc!$C$36=999,360,Calc!$C$36),Calc!$C$16=1),CHOOSE(Calc!$C$3,INDEX('Snowball Engine'!$AH233:$AV233,Calc!$I$16),INDEX('Avalanche Engine'!$AH233:$AV233,Calc!$J$16),INDEX('My Order Engine'!$AH233:$AV233,Calc!$K$16)),"")</f>
        <v/>
      </c>
      <c r="N231" s="25" t="str">
        <f>IF(AND($A231&lt;=IF(Calc!$C$36=999,360,Calc!$C$36),Calc!$C$17=1),CHOOSE(Calc!$C$3,INDEX('Snowball Engine'!$AH233:$AV233,Calc!$I$17),INDEX('Avalanche Engine'!$AH233:$AV233,Calc!$J$17),INDEX('My Order Engine'!$AH233:$AV233,Calc!$K$17)),"")</f>
        <v/>
      </c>
      <c r="O231" s="25" t="str">
        <f>IF(AND($A231&lt;=IF(Calc!$C$36=999,360,Calc!$C$36),Calc!$C$18=1),CHOOSE(Calc!$C$3,INDEX('Snowball Engine'!$AH233:$AV233,Calc!$I$18),INDEX('Avalanche Engine'!$AH233:$AV233,Calc!$J$18),INDEX('My Order Engine'!$AH233:$AV233,Calc!$K$18)),"")</f>
        <v/>
      </c>
      <c r="P231" s="25" t="str">
        <f>IF(AND($A231&lt;=IF(Calc!$C$36=999,360,Calc!$C$36),Calc!$C$19=1),CHOOSE(Calc!$C$3,INDEX('Snowball Engine'!$AH233:$AV233,Calc!$I$19),INDEX('Avalanche Engine'!$AH233:$AV233,Calc!$J$19),INDEX('My Order Engine'!$AH233:$AV233,Calc!$K$19)),"")</f>
        <v/>
      </c>
      <c r="Q231" s="25" t="str">
        <f>IF(AND($A231&lt;=IF(Calc!$C$36=999,360,Calc!$C$36),Calc!$C$20=1),CHOOSE(Calc!$C$3,INDEX('Snowball Engine'!$AH233:$AV233,Calc!$I$20),INDEX('Avalanche Engine'!$AH233:$AV233,Calc!$J$20),INDEX('My Order Engine'!$AH233:$AV233,Calc!$K$20)),"")</f>
        <v/>
      </c>
      <c r="R231" s="25" t="str">
        <f>IF(AND($A231&lt;=IF(Calc!$C$36=999,360,Calc!$C$36),Calc!$C$21=1),CHOOSE(Calc!$C$3,INDEX('Snowball Engine'!$AH233:$AV233,Calc!$I$21),INDEX('Avalanche Engine'!$AH233:$AV233,Calc!$J$21),INDEX('My Order Engine'!$AH233:$AV233,Calc!$K$21)),"")</f>
        <v/>
      </c>
      <c r="S231" s="25" t="str">
        <f>IF(AND($A231&lt;=IF(Calc!$C$36=999,360,Calc!$C$36),Calc!$C$22=1),CHOOSE(Calc!$C$3,INDEX('Snowball Engine'!$AH233:$AV233,Calc!$I$22),INDEX('Avalanche Engine'!$AH233:$AV233,Calc!$J$22),INDEX('My Order Engine'!$AH233:$AV233,Calc!$K$22)),"")</f>
        <v/>
      </c>
      <c r="T231" s="25" t="str">
        <f>IF(AND($A231&lt;=IF(Calc!$C$36=999,360,Calc!$C$36),Calc!$C$23=1),CHOOSE(Calc!$C$3,INDEX('Snowball Engine'!$AH233:$AV233,Calc!$I$23),INDEX('Avalanche Engine'!$AH233:$AV233,Calc!$J$23),INDEX('My Order Engine'!$AH233:$AV233,Calc!$K$23)),"")</f>
        <v/>
      </c>
      <c r="U231" s="25" t="str">
        <f>IF(AND($A231&lt;=IF(Calc!$C$36=999,360,Calc!$C$36),Calc!$C$24=1),CHOOSE(Calc!$C$3,INDEX('Snowball Engine'!$AH233:$AV233,Calc!$I$24),INDEX('Avalanche Engine'!$AH233:$AV233,Calc!$J$24),INDEX('My Order Engine'!$AH233:$AV233,Calc!$K$24)),"")</f>
        <v/>
      </c>
    </row>
    <row r="232" spans="1:21" x14ac:dyDescent="0.35">
      <c r="A232" s="23">
        <v>228</v>
      </c>
      <c r="B232" s="24" t="str">
        <f>IF($A232&lt;=IF(Calc!$C$36=999,360,Calc!$C$36),EDATE(Calc!$C$5,A232-1),"")</f>
        <v/>
      </c>
      <c r="C232" s="25" t="str">
        <f>IF($A232&lt;=IF(Calc!$C$36=999,360,Calc!$C$36),CHOOSE(Calc!$C$3,'Snowball Engine'!AY234,'Avalanche Engine'!AY234,'My Order Engine'!AY234),"")</f>
        <v/>
      </c>
      <c r="D232" s="25" t="str">
        <f>IF($A232&lt;=IF(Calc!$C$36=999,360,Calc!$C$36),CHOOSE(Calc!$C$3,'Snowball Engine'!AX234,'Avalanche Engine'!AX234,'My Order Engine'!AX234),"")</f>
        <v/>
      </c>
      <c r="E232" s="25" t="str">
        <f>IF($A232&lt;=IF(Calc!$C$36=999,360,Calc!$C$36),C232-D232,"")</f>
        <v/>
      </c>
      <c r="F232" s="25" t="str">
        <f>IF($A232&lt;=IF(Calc!$C$36=999,360,Calc!$C$36),CHOOSE(Calc!$C$3,'Snowball Engine'!AW234,'Avalanche Engine'!AW234,'My Order Engine'!AW234),"")</f>
        <v/>
      </c>
      <c r="G232" s="25" t="str">
        <f>IF(AND($A232&lt;=IF(Calc!$C$36=999,360,Calc!$C$36),Calc!$C$10=1),CHOOSE(Calc!$C$3,INDEX('Snowball Engine'!$AH234:$AV234,Calc!$I$10),INDEX('Avalanche Engine'!$AH234:$AV234,Calc!$J$10),INDEX('My Order Engine'!$AH234:$AV234,Calc!$K$10)),"")</f>
        <v/>
      </c>
      <c r="H232" s="25" t="str">
        <f>IF(AND($A232&lt;=IF(Calc!$C$36=999,360,Calc!$C$36),Calc!$C$11=1),CHOOSE(Calc!$C$3,INDEX('Snowball Engine'!$AH234:$AV234,Calc!$I$11),INDEX('Avalanche Engine'!$AH234:$AV234,Calc!$J$11),INDEX('My Order Engine'!$AH234:$AV234,Calc!$K$11)),"")</f>
        <v/>
      </c>
      <c r="I232" s="25" t="str">
        <f>IF(AND($A232&lt;=IF(Calc!$C$36=999,360,Calc!$C$36),Calc!$C$12=1),CHOOSE(Calc!$C$3,INDEX('Snowball Engine'!$AH234:$AV234,Calc!$I$12),INDEX('Avalanche Engine'!$AH234:$AV234,Calc!$J$12),INDEX('My Order Engine'!$AH234:$AV234,Calc!$K$12)),"")</f>
        <v/>
      </c>
      <c r="J232" s="25" t="str">
        <f>IF(AND($A232&lt;=IF(Calc!$C$36=999,360,Calc!$C$36),Calc!$C$13=1),CHOOSE(Calc!$C$3,INDEX('Snowball Engine'!$AH234:$AV234,Calc!$I$13),INDEX('Avalanche Engine'!$AH234:$AV234,Calc!$J$13),INDEX('My Order Engine'!$AH234:$AV234,Calc!$K$13)),"")</f>
        <v/>
      </c>
      <c r="K232" s="25" t="str">
        <f>IF(AND($A232&lt;=IF(Calc!$C$36=999,360,Calc!$C$36),Calc!$C$14=1),CHOOSE(Calc!$C$3,INDEX('Snowball Engine'!$AH234:$AV234,Calc!$I$14),INDEX('Avalanche Engine'!$AH234:$AV234,Calc!$J$14),INDEX('My Order Engine'!$AH234:$AV234,Calc!$K$14)),"")</f>
        <v/>
      </c>
      <c r="L232" s="25" t="str">
        <f>IF(AND($A232&lt;=IF(Calc!$C$36=999,360,Calc!$C$36),Calc!$C$15=1),CHOOSE(Calc!$C$3,INDEX('Snowball Engine'!$AH234:$AV234,Calc!$I$15),INDEX('Avalanche Engine'!$AH234:$AV234,Calc!$J$15),INDEX('My Order Engine'!$AH234:$AV234,Calc!$K$15)),"")</f>
        <v/>
      </c>
      <c r="M232" s="25" t="str">
        <f>IF(AND($A232&lt;=IF(Calc!$C$36=999,360,Calc!$C$36),Calc!$C$16=1),CHOOSE(Calc!$C$3,INDEX('Snowball Engine'!$AH234:$AV234,Calc!$I$16),INDEX('Avalanche Engine'!$AH234:$AV234,Calc!$J$16),INDEX('My Order Engine'!$AH234:$AV234,Calc!$K$16)),"")</f>
        <v/>
      </c>
      <c r="N232" s="25" t="str">
        <f>IF(AND($A232&lt;=IF(Calc!$C$36=999,360,Calc!$C$36),Calc!$C$17=1),CHOOSE(Calc!$C$3,INDEX('Snowball Engine'!$AH234:$AV234,Calc!$I$17),INDEX('Avalanche Engine'!$AH234:$AV234,Calc!$J$17),INDEX('My Order Engine'!$AH234:$AV234,Calc!$K$17)),"")</f>
        <v/>
      </c>
      <c r="O232" s="25" t="str">
        <f>IF(AND($A232&lt;=IF(Calc!$C$36=999,360,Calc!$C$36),Calc!$C$18=1),CHOOSE(Calc!$C$3,INDEX('Snowball Engine'!$AH234:$AV234,Calc!$I$18),INDEX('Avalanche Engine'!$AH234:$AV234,Calc!$J$18),INDEX('My Order Engine'!$AH234:$AV234,Calc!$K$18)),"")</f>
        <v/>
      </c>
      <c r="P232" s="25" t="str">
        <f>IF(AND($A232&lt;=IF(Calc!$C$36=999,360,Calc!$C$36),Calc!$C$19=1),CHOOSE(Calc!$C$3,INDEX('Snowball Engine'!$AH234:$AV234,Calc!$I$19),INDEX('Avalanche Engine'!$AH234:$AV234,Calc!$J$19),INDEX('My Order Engine'!$AH234:$AV234,Calc!$K$19)),"")</f>
        <v/>
      </c>
      <c r="Q232" s="25" t="str">
        <f>IF(AND($A232&lt;=IF(Calc!$C$36=999,360,Calc!$C$36),Calc!$C$20=1),CHOOSE(Calc!$C$3,INDEX('Snowball Engine'!$AH234:$AV234,Calc!$I$20),INDEX('Avalanche Engine'!$AH234:$AV234,Calc!$J$20),INDEX('My Order Engine'!$AH234:$AV234,Calc!$K$20)),"")</f>
        <v/>
      </c>
      <c r="R232" s="25" t="str">
        <f>IF(AND($A232&lt;=IF(Calc!$C$36=999,360,Calc!$C$36),Calc!$C$21=1),CHOOSE(Calc!$C$3,INDEX('Snowball Engine'!$AH234:$AV234,Calc!$I$21),INDEX('Avalanche Engine'!$AH234:$AV234,Calc!$J$21),INDEX('My Order Engine'!$AH234:$AV234,Calc!$K$21)),"")</f>
        <v/>
      </c>
      <c r="S232" s="25" t="str">
        <f>IF(AND($A232&lt;=IF(Calc!$C$36=999,360,Calc!$C$36),Calc!$C$22=1),CHOOSE(Calc!$C$3,INDEX('Snowball Engine'!$AH234:$AV234,Calc!$I$22),INDEX('Avalanche Engine'!$AH234:$AV234,Calc!$J$22),INDEX('My Order Engine'!$AH234:$AV234,Calc!$K$22)),"")</f>
        <v/>
      </c>
      <c r="T232" s="25" t="str">
        <f>IF(AND($A232&lt;=IF(Calc!$C$36=999,360,Calc!$C$36),Calc!$C$23=1),CHOOSE(Calc!$C$3,INDEX('Snowball Engine'!$AH234:$AV234,Calc!$I$23),INDEX('Avalanche Engine'!$AH234:$AV234,Calc!$J$23),INDEX('My Order Engine'!$AH234:$AV234,Calc!$K$23)),"")</f>
        <v/>
      </c>
      <c r="U232" s="25" t="str">
        <f>IF(AND($A232&lt;=IF(Calc!$C$36=999,360,Calc!$C$36),Calc!$C$24=1),CHOOSE(Calc!$C$3,INDEX('Snowball Engine'!$AH234:$AV234,Calc!$I$24),INDEX('Avalanche Engine'!$AH234:$AV234,Calc!$J$24),INDEX('My Order Engine'!$AH234:$AV234,Calc!$K$24)),"")</f>
        <v/>
      </c>
    </row>
    <row r="233" spans="1:21" x14ac:dyDescent="0.35">
      <c r="A233" s="23">
        <v>229</v>
      </c>
      <c r="B233" s="24" t="str">
        <f>IF($A233&lt;=IF(Calc!$C$36=999,360,Calc!$C$36),EDATE(Calc!$C$5,A233-1),"")</f>
        <v/>
      </c>
      <c r="C233" s="25" t="str">
        <f>IF($A233&lt;=IF(Calc!$C$36=999,360,Calc!$C$36),CHOOSE(Calc!$C$3,'Snowball Engine'!AY235,'Avalanche Engine'!AY235,'My Order Engine'!AY235),"")</f>
        <v/>
      </c>
      <c r="D233" s="25" t="str">
        <f>IF($A233&lt;=IF(Calc!$C$36=999,360,Calc!$C$36),CHOOSE(Calc!$C$3,'Snowball Engine'!AX235,'Avalanche Engine'!AX235,'My Order Engine'!AX235),"")</f>
        <v/>
      </c>
      <c r="E233" s="25" t="str">
        <f>IF($A233&lt;=IF(Calc!$C$36=999,360,Calc!$C$36),C233-D233,"")</f>
        <v/>
      </c>
      <c r="F233" s="25" t="str">
        <f>IF($A233&lt;=IF(Calc!$C$36=999,360,Calc!$C$36),CHOOSE(Calc!$C$3,'Snowball Engine'!AW235,'Avalanche Engine'!AW235,'My Order Engine'!AW235),"")</f>
        <v/>
      </c>
      <c r="G233" s="25" t="str">
        <f>IF(AND($A233&lt;=IF(Calc!$C$36=999,360,Calc!$C$36),Calc!$C$10=1),CHOOSE(Calc!$C$3,INDEX('Snowball Engine'!$AH235:$AV235,Calc!$I$10),INDEX('Avalanche Engine'!$AH235:$AV235,Calc!$J$10),INDEX('My Order Engine'!$AH235:$AV235,Calc!$K$10)),"")</f>
        <v/>
      </c>
      <c r="H233" s="25" t="str">
        <f>IF(AND($A233&lt;=IF(Calc!$C$36=999,360,Calc!$C$36),Calc!$C$11=1),CHOOSE(Calc!$C$3,INDEX('Snowball Engine'!$AH235:$AV235,Calc!$I$11),INDEX('Avalanche Engine'!$AH235:$AV235,Calc!$J$11),INDEX('My Order Engine'!$AH235:$AV235,Calc!$K$11)),"")</f>
        <v/>
      </c>
      <c r="I233" s="25" t="str">
        <f>IF(AND($A233&lt;=IF(Calc!$C$36=999,360,Calc!$C$36),Calc!$C$12=1),CHOOSE(Calc!$C$3,INDEX('Snowball Engine'!$AH235:$AV235,Calc!$I$12),INDEX('Avalanche Engine'!$AH235:$AV235,Calc!$J$12),INDEX('My Order Engine'!$AH235:$AV235,Calc!$K$12)),"")</f>
        <v/>
      </c>
      <c r="J233" s="25" t="str">
        <f>IF(AND($A233&lt;=IF(Calc!$C$36=999,360,Calc!$C$36),Calc!$C$13=1),CHOOSE(Calc!$C$3,INDEX('Snowball Engine'!$AH235:$AV235,Calc!$I$13),INDEX('Avalanche Engine'!$AH235:$AV235,Calc!$J$13),INDEX('My Order Engine'!$AH235:$AV235,Calc!$K$13)),"")</f>
        <v/>
      </c>
      <c r="K233" s="25" t="str">
        <f>IF(AND($A233&lt;=IF(Calc!$C$36=999,360,Calc!$C$36),Calc!$C$14=1),CHOOSE(Calc!$C$3,INDEX('Snowball Engine'!$AH235:$AV235,Calc!$I$14),INDEX('Avalanche Engine'!$AH235:$AV235,Calc!$J$14),INDEX('My Order Engine'!$AH235:$AV235,Calc!$K$14)),"")</f>
        <v/>
      </c>
      <c r="L233" s="25" t="str">
        <f>IF(AND($A233&lt;=IF(Calc!$C$36=999,360,Calc!$C$36),Calc!$C$15=1),CHOOSE(Calc!$C$3,INDEX('Snowball Engine'!$AH235:$AV235,Calc!$I$15),INDEX('Avalanche Engine'!$AH235:$AV235,Calc!$J$15),INDEX('My Order Engine'!$AH235:$AV235,Calc!$K$15)),"")</f>
        <v/>
      </c>
      <c r="M233" s="25" t="str">
        <f>IF(AND($A233&lt;=IF(Calc!$C$36=999,360,Calc!$C$36),Calc!$C$16=1),CHOOSE(Calc!$C$3,INDEX('Snowball Engine'!$AH235:$AV235,Calc!$I$16),INDEX('Avalanche Engine'!$AH235:$AV235,Calc!$J$16),INDEX('My Order Engine'!$AH235:$AV235,Calc!$K$16)),"")</f>
        <v/>
      </c>
      <c r="N233" s="25" t="str">
        <f>IF(AND($A233&lt;=IF(Calc!$C$36=999,360,Calc!$C$36),Calc!$C$17=1),CHOOSE(Calc!$C$3,INDEX('Snowball Engine'!$AH235:$AV235,Calc!$I$17),INDEX('Avalanche Engine'!$AH235:$AV235,Calc!$J$17),INDEX('My Order Engine'!$AH235:$AV235,Calc!$K$17)),"")</f>
        <v/>
      </c>
      <c r="O233" s="25" t="str">
        <f>IF(AND($A233&lt;=IF(Calc!$C$36=999,360,Calc!$C$36),Calc!$C$18=1),CHOOSE(Calc!$C$3,INDEX('Snowball Engine'!$AH235:$AV235,Calc!$I$18),INDEX('Avalanche Engine'!$AH235:$AV235,Calc!$J$18),INDEX('My Order Engine'!$AH235:$AV235,Calc!$K$18)),"")</f>
        <v/>
      </c>
      <c r="P233" s="25" t="str">
        <f>IF(AND($A233&lt;=IF(Calc!$C$36=999,360,Calc!$C$36),Calc!$C$19=1),CHOOSE(Calc!$C$3,INDEX('Snowball Engine'!$AH235:$AV235,Calc!$I$19),INDEX('Avalanche Engine'!$AH235:$AV235,Calc!$J$19),INDEX('My Order Engine'!$AH235:$AV235,Calc!$K$19)),"")</f>
        <v/>
      </c>
      <c r="Q233" s="25" t="str">
        <f>IF(AND($A233&lt;=IF(Calc!$C$36=999,360,Calc!$C$36),Calc!$C$20=1),CHOOSE(Calc!$C$3,INDEX('Snowball Engine'!$AH235:$AV235,Calc!$I$20),INDEX('Avalanche Engine'!$AH235:$AV235,Calc!$J$20),INDEX('My Order Engine'!$AH235:$AV235,Calc!$K$20)),"")</f>
        <v/>
      </c>
      <c r="R233" s="25" t="str">
        <f>IF(AND($A233&lt;=IF(Calc!$C$36=999,360,Calc!$C$36),Calc!$C$21=1),CHOOSE(Calc!$C$3,INDEX('Snowball Engine'!$AH235:$AV235,Calc!$I$21),INDEX('Avalanche Engine'!$AH235:$AV235,Calc!$J$21),INDEX('My Order Engine'!$AH235:$AV235,Calc!$K$21)),"")</f>
        <v/>
      </c>
      <c r="S233" s="25" t="str">
        <f>IF(AND($A233&lt;=IF(Calc!$C$36=999,360,Calc!$C$36),Calc!$C$22=1),CHOOSE(Calc!$C$3,INDEX('Snowball Engine'!$AH235:$AV235,Calc!$I$22),INDEX('Avalanche Engine'!$AH235:$AV235,Calc!$J$22),INDEX('My Order Engine'!$AH235:$AV235,Calc!$K$22)),"")</f>
        <v/>
      </c>
      <c r="T233" s="25" t="str">
        <f>IF(AND($A233&lt;=IF(Calc!$C$36=999,360,Calc!$C$36),Calc!$C$23=1),CHOOSE(Calc!$C$3,INDEX('Snowball Engine'!$AH235:$AV235,Calc!$I$23),INDEX('Avalanche Engine'!$AH235:$AV235,Calc!$J$23),INDEX('My Order Engine'!$AH235:$AV235,Calc!$K$23)),"")</f>
        <v/>
      </c>
      <c r="U233" s="25" t="str">
        <f>IF(AND($A233&lt;=IF(Calc!$C$36=999,360,Calc!$C$36),Calc!$C$24=1),CHOOSE(Calc!$C$3,INDEX('Snowball Engine'!$AH235:$AV235,Calc!$I$24),INDEX('Avalanche Engine'!$AH235:$AV235,Calc!$J$24),INDEX('My Order Engine'!$AH235:$AV235,Calc!$K$24)),"")</f>
        <v/>
      </c>
    </row>
    <row r="234" spans="1:21" x14ac:dyDescent="0.35">
      <c r="A234" s="23">
        <v>230</v>
      </c>
      <c r="B234" s="24" t="str">
        <f>IF($A234&lt;=IF(Calc!$C$36=999,360,Calc!$C$36),EDATE(Calc!$C$5,A234-1),"")</f>
        <v/>
      </c>
      <c r="C234" s="25" t="str">
        <f>IF($A234&lt;=IF(Calc!$C$36=999,360,Calc!$C$36),CHOOSE(Calc!$C$3,'Snowball Engine'!AY236,'Avalanche Engine'!AY236,'My Order Engine'!AY236),"")</f>
        <v/>
      </c>
      <c r="D234" s="25" t="str">
        <f>IF($A234&lt;=IF(Calc!$C$36=999,360,Calc!$C$36),CHOOSE(Calc!$C$3,'Snowball Engine'!AX236,'Avalanche Engine'!AX236,'My Order Engine'!AX236),"")</f>
        <v/>
      </c>
      <c r="E234" s="25" t="str">
        <f>IF($A234&lt;=IF(Calc!$C$36=999,360,Calc!$C$36),C234-D234,"")</f>
        <v/>
      </c>
      <c r="F234" s="25" t="str">
        <f>IF($A234&lt;=IF(Calc!$C$36=999,360,Calc!$C$36),CHOOSE(Calc!$C$3,'Snowball Engine'!AW236,'Avalanche Engine'!AW236,'My Order Engine'!AW236),"")</f>
        <v/>
      </c>
      <c r="G234" s="25" t="str">
        <f>IF(AND($A234&lt;=IF(Calc!$C$36=999,360,Calc!$C$36),Calc!$C$10=1),CHOOSE(Calc!$C$3,INDEX('Snowball Engine'!$AH236:$AV236,Calc!$I$10),INDEX('Avalanche Engine'!$AH236:$AV236,Calc!$J$10),INDEX('My Order Engine'!$AH236:$AV236,Calc!$K$10)),"")</f>
        <v/>
      </c>
      <c r="H234" s="25" t="str">
        <f>IF(AND($A234&lt;=IF(Calc!$C$36=999,360,Calc!$C$36),Calc!$C$11=1),CHOOSE(Calc!$C$3,INDEX('Snowball Engine'!$AH236:$AV236,Calc!$I$11),INDEX('Avalanche Engine'!$AH236:$AV236,Calc!$J$11),INDEX('My Order Engine'!$AH236:$AV236,Calc!$K$11)),"")</f>
        <v/>
      </c>
      <c r="I234" s="25" t="str">
        <f>IF(AND($A234&lt;=IF(Calc!$C$36=999,360,Calc!$C$36),Calc!$C$12=1),CHOOSE(Calc!$C$3,INDEX('Snowball Engine'!$AH236:$AV236,Calc!$I$12),INDEX('Avalanche Engine'!$AH236:$AV236,Calc!$J$12),INDEX('My Order Engine'!$AH236:$AV236,Calc!$K$12)),"")</f>
        <v/>
      </c>
      <c r="J234" s="25" t="str">
        <f>IF(AND($A234&lt;=IF(Calc!$C$36=999,360,Calc!$C$36),Calc!$C$13=1),CHOOSE(Calc!$C$3,INDEX('Snowball Engine'!$AH236:$AV236,Calc!$I$13),INDEX('Avalanche Engine'!$AH236:$AV236,Calc!$J$13),INDEX('My Order Engine'!$AH236:$AV236,Calc!$K$13)),"")</f>
        <v/>
      </c>
      <c r="K234" s="25" t="str">
        <f>IF(AND($A234&lt;=IF(Calc!$C$36=999,360,Calc!$C$36),Calc!$C$14=1),CHOOSE(Calc!$C$3,INDEX('Snowball Engine'!$AH236:$AV236,Calc!$I$14),INDEX('Avalanche Engine'!$AH236:$AV236,Calc!$J$14),INDEX('My Order Engine'!$AH236:$AV236,Calc!$K$14)),"")</f>
        <v/>
      </c>
      <c r="L234" s="25" t="str">
        <f>IF(AND($A234&lt;=IF(Calc!$C$36=999,360,Calc!$C$36),Calc!$C$15=1),CHOOSE(Calc!$C$3,INDEX('Snowball Engine'!$AH236:$AV236,Calc!$I$15),INDEX('Avalanche Engine'!$AH236:$AV236,Calc!$J$15),INDEX('My Order Engine'!$AH236:$AV236,Calc!$K$15)),"")</f>
        <v/>
      </c>
      <c r="M234" s="25" t="str">
        <f>IF(AND($A234&lt;=IF(Calc!$C$36=999,360,Calc!$C$36),Calc!$C$16=1),CHOOSE(Calc!$C$3,INDEX('Snowball Engine'!$AH236:$AV236,Calc!$I$16),INDEX('Avalanche Engine'!$AH236:$AV236,Calc!$J$16),INDEX('My Order Engine'!$AH236:$AV236,Calc!$K$16)),"")</f>
        <v/>
      </c>
      <c r="N234" s="25" t="str">
        <f>IF(AND($A234&lt;=IF(Calc!$C$36=999,360,Calc!$C$36),Calc!$C$17=1),CHOOSE(Calc!$C$3,INDEX('Snowball Engine'!$AH236:$AV236,Calc!$I$17),INDEX('Avalanche Engine'!$AH236:$AV236,Calc!$J$17),INDEX('My Order Engine'!$AH236:$AV236,Calc!$K$17)),"")</f>
        <v/>
      </c>
      <c r="O234" s="25" t="str">
        <f>IF(AND($A234&lt;=IF(Calc!$C$36=999,360,Calc!$C$36),Calc!$C$18=1),CHOOSE(Calc!$C$3,INDEX('Snowball Engine'!$AH236:$AV236,Calc!$I$18),INDEX('Avalanche Engine'!$AH236:$AV236,Calc!$J$18),INDEX('My Order Engine'!$AH236:$AV236,Calc!$K$18)),"")</f>
        <v/>
      </c>
      <c r="P234" s="25" t="str">
        <f>IF(AND($A234&lt;=IF(Calc!$C$36=999,360,Calc!$C$36),Calc!$C$19=1),CHOOSE(Calc!$C$3,INDEX('Snowball Engine'!$AH236:$AV236,Calc!$I$19),INDEX('Avalanche Engine'!$AH236:$AV236,Calc!$J$19),INDEX('My Order Engine'!$AH236:$AV236,Calc!$K$19)),"")</f>
        <v/>
      </c>
      <c r="Q234" s="25" t="str">
        <f>IF(AND($A234&lt;=IF(Calc!$C$36=999,360,Calc!$C$36),Calc!$C$20=1),CHOOSE(Calc!$C$3,INDEX('Snowball Engine'!$AH236:$AV236,Calc!$I$20),INDEX('Avalanche Engine'!$AH236:$AV236,Calc!$J$20),INDEX('My Order Engine'!$AH236:$AV236,Calc!$K$20)),"")</f>
        <v/>
      </c>
      <c r="R234" s="25" t="str">
        <f>IF(AND($A234&lt;=IF(Calc!$C$36=999,360,Calc!$C$36),Calc!$C$21=1),CHOOSE(Calc!$C$3,INDEX('Snowball Engine'!$AH236:$AV236,Calc!$I$21),INDEX('Avalanche Engine'!$AH236:$AV236,Calc!$J$21),INDEX('My Order Engine'!$AH236:$AV236,Calc!$K$21)),"")</f>
        <v/>
      </c>
      <c r="S234" s="25" t="str">
        <f>IF(AND($A234&lt;=IF(Calc!$C$36=999,360,Calc!$C$36),Calc!$C$22=1),CHOOSE(Calc!$C$3,INDEX('Snowball Engine'!$AH236:$AV236,Calc!$I$22),INDEX('Avalanche Engine'!$AH236:$AV236,Calc!$J$22),INDEX('My Order Engine'!$AH236:$AV236,Calc!$K$22)),"")</f>
        <v/>
      </c>
      <c r="T234" s="25" t="str">
        <f>IF(AND($A234&lt;=IF(Calc!$C$36=999,360,Calc!$C$36),Calc!$C$23=1),CHOOSE(Calc!$C$3,INDEX('Snowball Engine'!$AH236:$AV236,Calc!$I$23),INDEX('Avalanche Engine'!$AH236:$AV236,Calc!$J$23),INDEX('My Order Engine'!$AH236:$AV236,Calc!$K$23)),"")</f>
        <v/>
      </c>
      <c r="U234" s="25" t="str">
        <f>IF(AND($A234&lt;=IF(Calc!$C$36=999,360,Calc!$C$36),Calc!$C$24=1),CHOOSE(Calc!$C$3,INDEX('Snowball Engine'!$AH236:$AV236,Calc!$I$24),INDEX('Avalanche Engine'!$AH236:$AV236,Calc!$J$24),INDEX('My Order Engine'!$AH236:$AV236,Calc!$K$24)),"")</f>
        <v/>
      </c>
    </row>
    <row r="235" spans="1:21" x14ac:dyDescent="0.35">
      <c r="A235" s="23">
        <v>231</v>
      </c>
      <c r="B235" s="24" t="str">
        <f>IF($A235&lt;=IF(Calc!$C$36=999,360,Calc!$C$36),EDATE(Calc!$C$5,A235-1),"")</f>
        <v/>
      </c>
      <c r="C235" s="25" t="str">
        <f>IF($A235&lt;=IF(Calc!$C$36=999,360,Calc!$C$36),CHOOSE(Calc!$C$3,'Snowball Engine'!AY237,'Avalanche Engine'!AY237,'My Order Engine'!AY237),"")</f>
        <v/>
      </c>
      <c r="D235" s="25" t="str">
        <f>IF($A235&lt;=IF(Calc!$C$36=999,360,Calc!$C$36),CHOOSE(Calc!$C$3,'Snowball Engine'!AX237,'Avalanche Engine'!AX237,'My Order Engine'!AX237),"")</f>
        <v/>
      </c>
      <c r="E235" s="25" t="str">
        <f>IF($A235&lt;=IF(Calc!$C$36=999,360,Calc!$C$36),C235-D235,"")</f>
        <v/>
      </c>
      <c r="F235" s="25" t="str">
        <f>IF($A235&lt;=IF(Calc!$C$36=999,360,Calc!$C$36),CHOOSE(Calc!$C$3,'Snowball Engine'!AW237,'Avalanche Engine'!AW237,'My Order Engine'!AW237),"")</f>
        <v/>
      </c>
      <c r="G235" s="25" t="str">
        <f>IF(AND($A235&lt;=IF(Calc!$C$36=999,360,Calc!$C$36),Calc!$C$10=1),CHOOSE(Calc!$C$3,INDEX('Snowball Engine'!$AH237:$AV237,Calc!$I$10),INDEX('Avalanche Engine'!$AH237:$AV237,Calc!$J$10),INDEX('My Order Engine'!$AH237:$AV237,Calc!$K$10)),"")</f>
        <v/>
      </c>
      <c r="H235" s="25" t="str">
        <f>IF(AND($A235&lt;=IF(Calc!$C$36=999,360,Calc!$C$36),Calc!$C$11=1),CHOOSE(Calc!$C$3,INDEX('Snowball Engine'!$AH237:$AV237,Calc!$I$11),INDEX('Avalanche Engine'!$AH237:$AV237,Calc!$J$11),INDEX('My Order Engine'!$AH237:$AV237,Calc!$K$11)),"")</f>
        <v/>
      </c>
      <c r="I235" s="25" t="str">
        <f>IF(AND($A235&lt;=IF(Calc!$C$36=999,360,Calc!$C$36),Calc!$C$12=1),CHOOSE(Calc!$C$3,INDEX('Snowball Engine'!$AH237:$AV237,Calc!$I$12),INDEX('Avalanche Engine'!$AH237:$AV237,Calc!$J$12),INDEX('My Order Engine'!$AH237:$AV237,Calc!$K$12)),"")</f>
        <v/>
      </c>
      <c r="J235" s="25" t="str">
        <f>IF(AND($A235&lt;=IF(Calc!$C$36=999,360,Calc!$C$36),Calc!$C$13=1),CHOOSE(Calc!$C$3,INDEX('Snowball Engine'!$AH237:$AV237,Calc!$I$13),INDEX('Avalanche Engine'!$AH237:$AV237,Calc!$J$13),INDEX('My Order Engine'!$AH237:$AV237,Calc!$K$13)),"")</f>
        <v/>
      </c>
      <c r="K235" s="25" t="str">
        <f>IF(AND($A235&lt;=IF(Calc!$C$36=999,360,Calc!$C$36),Calc!$C$14=1),CHOOSE(Calc!$C$3,INDEX('Snowball Engine'!$AH237:$AV237,Calc!$I$14),INDEX('Avalanche Engine'!$AH237:$AV237,Calc!$J$14),INDEX('My Order Engine'!$AH237:$AV237,Calc!$K$14)),"")</f>
        <v/>
      </c>
      <c r="L235" s="25" t="str">
        <f>IF(AND($A235&lt;=IF(Calc!$C$36=999,360,Calc!$C$36),Calc!$C$15=1),CHOOSE(Calc!$C$3,INDEX('Snowball Engine'!$AH237:$AV237,Calc!$I$15),INDEX('Avalanche Engine'!$AH237:$AV237,Calc!$J$15),INDEX('My Order Engine'!$AH237:$AV237,Calc!$K$15)),"")</f>
        <v/>
      </c>
      <c r="M235" s="25" t="str">
        <f>IF(AND($A235&lt;=IF(Calc!$C$36=999,360,Calc!$C$36),Calc!$C$16=1),CHOOSE(Calc!$C$3,INDEX('Snowball Engine'!$AH237:$AV237,Calc!$I$16),INDEX('Avalanche Engine'!$AH237:$AV237,Calc!$J$16),INDEX('My Order Engine'!$AH237:$AV237,Calc!$K$16)),"")</f>
        <v/>
      </c>
      <c r="N235" s="25" t="str">
        <f>IF(AND($A235&lt;=IF(Calc!$C$36=999,360,Calc!$C$36),Calc!$C$17=1),CHOOSE(Calc!$C$3,INDEX('Snowball Engine'!$AH237:$AV237,Calc!$I$17),INDEX('Avalanche Engine'!$AH237:$AV237,Calc!$J$17),INDEX('My Order Engine'!$AH237:$AV237,Calc!$K$17)),"")</f>
        <v/>
      </c>
      <c r="O235" s="25" t="str">
        <f>IF(AND($A235&lt;=IF(Calc!$C$36=999,360,Calc!$C$36),Calc!$C$18=1),CHOOSE(Calc!$C$3,INDEX('Snowball Engine'!$AH237:$AV237,Calc!$I$18),INDEX('Avalanche Engine'!$AH237:$AV237,Calc!$J$18),INDEX('My Order Engine'!$AH237:$AV237,Calc!$K$18)),"")</f>
        <v/>
      </c>
      <c r="P235" s="25" t="str">
        <f>IF(AND($A235&lt;=IF(Calc!$C$36=999,360,Calc!$C$36),Calc!$C$19=1),CHOOSE(Calc!$C$3,INDEX('Snowball Engine'!$AH237:$AV237,Calc!$I$19),INDEX('Avalanche Engine'!$AH237:$AV237,Calc!$J$19),INDEX('My Order Engine'!$AH237:$AV237,Calc!$K$19)),"")</f>
        <v/>
      </c>
      <c r="Q235" s="25" t="str">
        <f>IF(AND($A235&lt;=IF(Calc!$C$36=999,360,Calc!$C$36),Calc!$C$20=1),CHOOSE(Calc!$C$3,INDEX('Snowball Engine'!$AH237:$AV237,Calc!$I$20),INDEX('Avalanche Engine'!$AH237:$AV237,Calc!$J$20),INDEX('My Order Engine'!$AH237:$AV237,Calc!$K$20)),"")</f>
        <v/>
      </c>
      <c r="R235" s="25" t="str">
        <f>IF(AND($A235&lt;=IF(Calc!$C$36=999,360,Calc!$C$36),Calc!$C$21=1),CHOOSE(Calc!$C$3,INDEX('Snowball Engine'!$AH237:$AV237,Calc!$I$21),INDEX('Avalanche Engine'!$AH237:$AV237,Calc!$J$21),INDEX('My Order Engine'!$AH237:$AV237,Calc!$K$21)),"")</f>
        <v/>
      </c>
      <c r="S235" s="25" t="str">
        <f>IF(AND($A235&lt;=IF(Calc!$C$36=999,360,Calc!$C$36),Calc!$C$22=1),CHOOSE(Calc!$C$3,INDEX('Snowball Engine'!$AH237:$AV237,Calc!$I$22),INDEX('Avalanche Engine'!$AH237:$AV237,Calc!$J$22),INDEX('My Order Engine'!$AH237:$AV237,Calc!$K$22)),"")</f>
        <v/>
      </c>
      <c r="T235" s="25" t="str">
        <f>IF(AND($A235&lt;=IF(Calc!$C$36=999,360,Calc!$C$36),Calc!$C$23=1),CHOOSE(Calc!$C$3,INDEX('Snowball Engine'!$AH237:$AV237,Calc!$I$23),INDEX('Avalanche Engine'!$AH237:$AV237,Calc!$J$23),INDEX('My Order Engine'!$AH237:$AV237,Calc!$K$23)),"")</f>
        <v/>
      </c>
      <c r="U235" s="25" t="str">
        <f>IF(AND($A235&lt;=IF(Calc!$C$36=999,360,Calc!$C$36),Calc!$C$24=1),CHOOSE(Calc!$C$3,INDEX('Snowball Engine'!$AH237:$AV237,Calc!$I$24),INDEX('Avalanche Engine'!$AH237:$AV237,Calc!$J$24),INDEX('My Order Engine'!$AH237:$AV237,Calc!$K$24)),"")</f>
        <v/>
      </c>
    </row>
    <row r="236" spans="1:21" x14ac:dyDescent="0.35">
      <c r="A236" s="23">
        <v>232</v>
      </c>
      <c r="B236" s="24" t="str">
        <f>IF($A236&lt;=IF(Calc!$C$36=999,360,Calc!$C$36),EDATE(Calc!$C$5,A236-1),"")</f>
        <v/>
      </c>
      <c r="C236" s="25" t="str">
        <f>IF($A236&lt;=IF(Calc!$C$36=999,360,Calc!$C$36),CHOOSE(Calc!$C$3,'Snowball Engine'!AY238,'Avalanche Engine'!AY238,'My Order Engine'!AY238),"")</f>
        <v/>
      </c>
      <c r="D236" s="25" t="str">
        <f>IF($A236&lt;=IF(Calc!$C$36=999,360,Calc!$C$36),CHOOSE(Calc!$C$3,'Snowball Engine'!AX238,'Avalanche Engine'!AX238,'My Order Engine'!AX238),"")</f>
        <v/>
      </c>
      <c r="E236" s="25" t="str">
        <f>IF($A236&lt;=IF(Calc!$C$36=999,360,Calc!$C$36),C236-D236,"")</f>
        <v/>
      </c>
      <c r="F236" s="25" t="str">
        <f>IF($A236&lt;=IF(Calc!$C$36=999,360,Calc!$C$36),CHOOSE(Calc!$C$3,'Snowball Engine'!AW238,'Avalanche Engine'!AW238,'My Order Engine'!AW238),"")</f>
        <v/>
      </c>
      <c r="G236" s="25" t="str">
        <f>IF(AND($A236&lt;=IF(Calc!$C$36=999,360,Calc!$C$36),Calc!$C$10=1),CHOOSE(Calc!$C$3,INDEX('Snowball Engine'!$AH238:$AV238,Calc!$I$10),INDEX('Avalanche Engine'!$AH238:$AV238,Calc!$J$10),INDEX('My Order Engine'!$AH238:$AV238,Calc!$K$10)),"")</f>
        <v/>
      </c>
      <c r="H236" s="25" t="str">
        <f>IF(AND($A236&lt;=IF(Calc!$C$36=999,360,Calc!$C$36),Calc!$C$11=1),CHOOSE(Calc!$C$3,INDEX('Snowball Engine'!$AH238:$AV238,Calc!$I$11),INDEX('Avalanche Engine'!$AH238:$AV238,Calc!$J$11),INDEX('My Order Engine'!$AH238:$AV238,Calc!$K$11)),"")</f>
        <v/>
      </c>
      <c r="I236" s="25" t="str">
        <f>IF(AND($A236&lt;=IF(Calc!$C$36=999,360,Calc!$C$36),Calc!$C$12=1),CHOOSE(Calc!$C$3,INDEX('Snowball Engine'!$AH238:$AV238,Calc!$I$12),INDEX('Avalanche Engine'!$AH238:$AV238,Calc!$J$12),INDEX('My Order Engine'!$AH238:$AV238,Calc!$K$12)),"")</f>
        <v/>
      </c>
      <c r="J236" s="25" t="str">
        <f>IF(AND($A236&lt;=IF(Calc!$C$36=999,360,Calc!$C$36),Calc!$C$13=1),CHOOSE(Calc!$C$3,INDEX('Snowball Engine'!$AH238:$AV238,Calc!$I$13),INDEX('Avalanche Engine'!$AH238:$AV238,Calc!$J$13),INDEX('My Order Engine'!$AH238:$AV238,Calc!$K$13)),"")</f>
        <v/>
      </c>
      <c r="K236" s="25" t="str">
        <f>IF(AND($A236&lt;=IF(Calc!$C$36=999,360,Calc!$C$36),Calc!$C$14=1),CHOOSE(Calc!$C$3,INDEX('Snowball Engine'!$AH238:$AV238,Calc!$I$14),INDEX('Avalanche Engine'!$AH238:$AV238,Calc!$J$14),INDEX('My Order Engine'!$AH238:$AV238,Calc!$K$14)),"")</f>
        <v/>
      </c>
      <c r="L236" s="25" t="str">
        <f>IF(AND($A236&lt;=IF(Calc!$C$36=999,360,Calc!$C$36),Calc!$C$15=1),CHOOSE(Calc!$C$3,INDEX('Snowball Engine'!$AH238:$AV238,Calc!$I$15),INDEX('Avalanche Engine'!$AH238:$AV238,Calc!$J$15),INDEX('My Order Engine'!$AH238:$AV238,Calc!$K$15)),"")</f>
        <v/>
      </c>
      <c r="M236" s="25" t="str">
        <f>IF(AND($A236&lt;=IF(Calc!$C$36=999,360,Calc!$C$36),Calc!$C$16=1),CHOOSE(Calc!$C$3,INDEX('Snowball Engine'!$AH238:$AV238,Calc!$I$16),INDEX('Avalanche Engine'!$AH238:$AV238,Calc!$J$16),INDEX('My Order Engine'!$AH238:$AV238,Calc!$K$16)),"")</f>
        <v/>
      </c>
      <c r="N236" s="25" t="str">
        <f>IF(AND($A236&lt;=IF(Calc!$C$36=999,360,Calc!$C$36),Calc!$C$17=1),CHOOSE(Calc!$C$3,INDEX('Snowball Engine'!$AH238:$AV238,Calc!$I$17),INDEX('Avalanche Engine'!$AH238:$AV238,Calc!$J$17),INDEX('My Order Engine'!$AH238:$AV238,Calc!$K$17)),"")</f>
        <v/>
      </c>
      <c r="O236" s="25" t="str">
        <f>IF(AND($A236&lt;=IF(Calc!$C$36=999,360,Calc!$C$36),Calc!$C$18=1),CHOOSE(Calc!$C$3,INDEX('Snowball Engine'!$AH238:$AV238,Calc!$I$18),INDEX('Avalanche Engine'!$AH238:$AV238,Calc!$J$18),INDEX('My Order Engine'!$AH238:$AV238,Calc!$K$18)),"")</f>
        <v/>
      </c>
      <c r="P236" s="25" t="str">
        <f>IF(AND($A236&lt;=IF(Calc!$C$36=999,360,Calc!$C$36),Calc!$C$19=1),CHOOSE(Calc!$C$3,INDEX('Snowball Engine'!$AH238:$AV238,Calc!$I$19),INDEX('Avalanche Engine'!$AH238:$AV238,Calc!$J$19),INDEX('My Order Engine'!$AH238:$AV238,Calc!$K$19)),"")</f>
        <v/>
      </c>
      <c r="Q236" s="25" t="str">
        <f>IF(AND($A236&lt;=IF(Calc!$C$36=999,360,Calc!$C$36),Calc!$C$20=1),CHOOSE(Calc!$C$3,INDEX('Snowball Engine'!$AH238:$AV238,Calc!$I$20),INDEX('Avalanche Engine'!$AH238:$AV238,Calc!$J$20),INDEX('My Order Engine'!$AH238:$AV238,Calc!$K$20)),"")</f>
        <v/>
      </c>
      <c r="R236" s="25" t="str">
        <f>IF(AND($A236&lt;=IF(Calc!$C$36=999,360,Calc!$C$36),Calc!$C$21=1),CHOOSE(Calc!$C$3,INDEX('Snowball Engine'!$AH238:$AV238,Calc!$I$21),INDEX('Avalanche Engine'!$AH238:$AV238,Calc!$J$21),INDEX('My Order Engine'!$AH238:$AV238,Calc!$K$21)),"")</f>
        <v/>
      </c>
      <c r="S236" s="25" t="str">
        <f>IF(AND($A236&lt;=IF(Calc!$C$36=999,360,Calc!$C$36),Calc!$C$22=1),CHOOSE(Calc!$C$3,INDEX('Snowball Engine'!$AH238:$AV238,Calc!$I$22),INDEX('Avalanche Engine'!$AH238:$AV238,Calc!$J$22),INDEX('My Order Engine'!$AH238:$AV238,Calc!$K$22)),"")</f>
        <v/>
      </c>
      <c r="T236" s="25" t="str">
        <f>IF(AND($A236&lt;=IF(Calc!$C$36=999,360,Calc!$C$36),Calc!$C$23=1),CHOOSE(Calc!$C$3,INDEX('Snowball Engine'!$AH238:$AV238,Calc!$I$23),INDEX('Avalanche Engine'!$AH238:$AV238,Calc!$J$23),INDEX('My Order Engine'!$AH238:$AV238,Calc!$K$23)),"")</f>
        <v/>
      </c>
      <c r="U236" s="25" t="str">
        <f>IF(AND($A236&lt;=IF(Calc!$C$36=999,360,Calc!$C$36),Calc!$C$24=1),CHOOSE(Calc!$C$3,INDEX('Snowball Engine'!$AH238:$AV238,Calc!$I$24),INDEX('Avalanche Engine'!$AH238:$AV238,Calc!$J$24),INDEX('My Order Engine'!$AH238:$AV238,Calc!$K$24)),"")</f>
        <v/>
      </c>
    </row>
    <row r="237" spans="1:21" x14ac:dyDescent="0.35">
      <c r="A237" s="23">
        <v>233</v>
      </c>
      <c r="B237" s="24" t="str">
        <f>IF($A237&lt;=IF(Calc!$C$36=999,360,Calc!$C$36),EDATE(Calc!$C$5,A237-1),"")</f>
        <v/>
      </c>
      <c r="C237" s="25" t="str">
        <f>IF($A237&lt;=IF(Calc!$C$36=999,360,Calc!$C$36),CHOOSE(Calc!$C$3,'Snowball Engine'!AY239,'Avalanche Engine'!AY239,'My Order Engine'!AY239),"")</f>
        <v/>
      </c>
      <c r="D237" s="25" t="str">
        <f>IF($A237&lt;=IF(Calc!$C$36=999,360,Calc!$C$36),CHOOSE(Calc!$C$3,'Snowball Engine'!AX239,'Avalanche Engine'!AX239,'My Order Engine'!AX239),"")</f>
        <v/>
      </c>
      <c r="E237" s="25" t="str">
        <f>IF($A237&lt;=IF(Calc!$C$36=999,360,Calc!$C$36),C237-D237,"")</f>
        <v/>
      </c>
      <c r="F237" s="25" t="str">
        <f>IF($A237&lt;=IF(Calc!$C$36=999,360,Calc!$C$36),CHOOSE(Calc!$C$3,'Snowball Engine'!AW239,'Avalanche Engine'!AW239,'My Order Engine'!AW239),"")</f>
        <v/>
      </c>
      <c r="G237" s="25" t="str">
        <f>IF(AND($A237&lt;=IF(Calc!$C$36=999,360,Calc!$C$36),Calc!$C$10=1),CHOOSE(Calc!$C$3,INDEX('Snowball Engine'!$AH239:$AV239,Calc!$I$10),INDEX('Avalanche Engine'!$AH239:$AV239,Calc!$J$10),INDEX('My Order Engine'!$AH239:$AV239,Calc!$K$10)),"")</f>
        <v/>
      </c>
      <c r="H237" s="25" t="str">
        <f>IF(AND($A237&lt;=IF(Calc!$C$36=999,360,Calc!$C$36),Calc!$C$11=1),CHOOSE(Calc!$C$3,INDEX('Snowball Engine'!$AH239:$AV239,Calc!$I$11),INDEX('Avalanche Engine'!$AH239:$AV239,Calc!$J$11),INDEX('My Order Engine'!$AH239:$AV239,Calc!$K$11)),"")</f>
        <v/>
      </c>
      <c r="I237" s="25" t="str">
        <f>IF(AND($A237&lt;=IF(Calc!$C$36=999,360,Calc!$C$36),Calc!$C$12=1),CHOOSE(Calc!$C$3,INDEX('Snowball Engine'!$AH239:$AV239,Calc!$I$12),INDEX('Avalanche Engine'!$AH239:$AV239,Calc!$J$12),INDEX('My Order Engine'!$AH239:$AV239,Calc!$K$12)),"")</f>
        <v/>
      </c>
      <c r="J237" s="25" t="str">
        <f>IF(AND($A237&lt;=IF(Calc!$C$36=999,360,Calc!$C$36),Calc!$C$13=1),CHOOSE(Calc!$C$3,INDEX('Snowball Engine'!$AH239:$AV239,Calc!$I$13),INDEX('Avalanche Engine'!$AH239:$AV239,Calc!$J$13),INDEX('My Order Engine'!$AH239:$AV239,Calc!$K$13)),"")</f>
        <v/>
      </c>
      <c r="K237" s="25" t="str">
        <f>IF(AND($A237&lt;=IF(Calc!$C$36=999,360,Calc!$C$36),Calc!$C$14=1),CHOOSE(Calc!$C$3,INDEX('Snowball Engine'!$AH239:$AV239,Calc!$I$14),INDEX('Avalanche Engine'!$AH239:$AV239,Calc!$J$14),INDEX('My Order Engine'!$AH239:$AV239,Calc!$K$14)),"")</f>
        <v/>
      </c>
      <c r="L237" s="25" t="str">
        <f>IF(AND($A237&lt;=IF(Calc!$C$36=999,360,Calc!$C$36),Calc!$C$15=1),CHOOSE(Calc!$C$3,INDEX('Snowball Engine'!$AH239:$AV239,Calc!$I$15),INDEX('Avalanche Engine'!$AH239:$AV239,Calc!$J$15),INDEX('My Order Engine'!$AH239:$AV239,Calc!$K$15)),"")</f>
        <v/>
      </c>
      <c r="M237" s="25" t="str">
        <f>IF(AND($A237&lt;=IF(Calc!$C$36=999,360,Calc!$C$36),Calc!$C$16=1),CHOOSE(Calc!$C$3,INDEX('Snowball Engine'!$AH239:$AV239,Calc!$I$16),INDEX('Avalanche Engine'!$AH239:$AV239,Calc!$J$16),INDEX('My Order Engine'!$AH239:$AV239,Calc!$K$16)),"")</f>
        <v/>
      </c>
      <c r="N237" s="25" t="str">
        <f>IF(AND($A237&lt;=IF(Calc!$C$36=999,360,Calc!$C$36),Calc!$C$17=1),CHOOSE(Calc!$C$3,INDEX('Snowball Engine'!$AH239:$AV239,Calc!$I$17),INDEX('Avalanche Engine'!$AH239:$AV239,Calc!$J$17),INDEX('My Order Engine'!$AH239:$AV239,Calc!$K$17)),"")</f>
        <v/>
      </c>
      <c r="O237" s="25" t="str">
        <f>IF(AND($A237&lt;=IF(Calc!$C$36=999,360,Calc!$C$36),Calc!$C$18=1),CHOOSE(Calc!$C$3,INDEX('Snowball Engine'!$AH239:$AV239,Calc!$I$18),INDEX('Avalanche Engine'!$AH239:$AV239,Calc!$J$18),INDEX('My Order Engine'!$AH239:$AV239,Calc!$K$18)),"")</f>
        <v/>
      </c>
      <c r="P237" s="25" t="str">
        <f>IF(AND($A237&lt;=IF(Calc!$C$36=999,360,Calc!$C$36),Calc!$C$19=1),CHOOSE(Calc!$C$3,INDEX('Snowball Engine'!$AH239:$AV239,Calc!$I$19),INDEX('Avalanche Engine'!$AH239:$AV239,Calc!$J$19),INDEX('My Order Engine'!$AH239:$AV239,Calc!$K$19)),"")</f>
        <v/>
      </c>
      <c r="Q237" s="25" t="str">
        <f>IF(AND($A237&lt;=IF(Calc!$C$36=999,360,Calc!$C$36),Calc!$C$20=1),CHOOSE(Calc!$C$3,INDEX('Snowball Engine'!$AH239:$AV239,Calc!$I$20),INDEX('Avalanche Engine'!$AH239:$AV239,Calc!$J$20),INDEX('My Order Engine'!$AH239:$AV239,Calc!$K$20)),"")</f>
        <v/>
      </c>
      <c r="R237" s="25" t="str">
        <f>IF(AND($A237&lt;=IF(Calc!$C$36=999,360,Calc!$C$36),Calc!$C$21=1),CHOOSE(Calc!$C$3,INDEX('Snowball Engine'!$AH239:$AV239,Calc!$I$21),INDEX('Avalanche Engine'!$AH239:$AV239,Calc!$J$21),INDEX('My Order Engine'!$AH239:$AV239,Calc!$K$21)),"")</f>
        <v/>
      </c>
      <c r="S237" s="25" t="str">
        <f>IF(AND($A237&lt;=IF(Calc!$C$36=999,360,Calc!$C$36),Calc!$C$22=1),CHOOSE(Calc!$C$3,INDEX('Snowball Engine'!$AH239:$AV239,Calc!$I$22),INDEX('Avalanche Engine'!$AH239:$AV239,Calc!$J$22),INDEX('My Order Engine'!$AH239:$AV239,Calc!$K$22)),"")</f>
        <v/>
      </c>
      <c r="T237" s="25" t="str">
        <f>IF(AND($A237&lt;=IF(Calc!$C$36=999,360,Calc!$C$36),Calc!$C$23=1),CHOOSE(Calc!$C$3,INDEX('Snowball Engine'!$AH239:$AV239,Calc!$I$23),INDEX('Avalanche Engine'!$AH239:$AV239,Calc!$J$23),INDEX('My Order Engine'!$AH239:$AV239,Calc!$K$23)),"")</f>
        <v/>
      </c>
      <c r="U237" s="25" t="str">
        <f>IF(AND($A237&lt;=IF(Calc!$C$36=999,360,Calc!$C$36),Calc!$C$24=1),CHOOSE(Calc!$C$3,INDEX('Snowball Engine'!$AH239:$AV239,Calc!$I$24),INDEX('Avalanche Engine'!$AH239:$AV239,Calc!$J$24),INDEX('My Order Engine'!$AH239:$AV239,Calc!$K$24)),"")</f>
        <v/>
      </c>
    </row>
    <row r="238" spans="1:21" x14ac:dyDescent="0.35">
      <c r="A238" s="23">
        <v>234</v>
      </c>
      <c r="B238" s="24" t="str">
        <f>IF($A238&lt;=IF(Calc!$C$36=999,360,Calc!$C$36),EDATE(Calc!$C$5,A238-1),"")</f>
        <v/>
      </c>
      <c r="C238" s="25" t="str">
        <f>IF($A238&lt;=IF(Calc!$C$36=999,360,Calc!$C$36),CHOOSE(Calc!$C$3,'Snowball Engine'!AY240,'Avalanche Engine'!AY240,'My Order Engine'!AY240),"")</f>
        <v/>
      </c>
      <c r="D238" s="25" t="str">
        <f>IF($A238&lt;=IF(Calc!$C$36=999,360,Calc!$C$36),CHOOSE(Calc!$C$3,'Snowball Engine'!AX240,'Avalanche Engine'!AX240,'My Order Engine'!AX240),"")</f>
        <v/>
      </c>
      <c r="E238" s="25" t="str">
        <f>IF($A238&lt;=IF(Calc!$C$36=999,360,Calc!$C$36),C238-D238,"")</f>
        <v/>
      </c>
      <c r="F238" s="25" t="str">
        <f>IF($A238&lt;=IF(Calc!$C$36=999,360,Calc!$C$36),CHOOSE(Calc!$C$3,'Snowball Engine'!AW240,'Avalanche Engine'!AW240,'My Order Engine'!AW240),"")</f>
        <v/>
      </c>
      <c r="G238" s="25" t="str">
        <f>IF(AND($A238&lt;=IF(Calc!$C$36=999,360,Calc!$C$36),Calc!$C$10=1),CHOOSE(Calc!$C$3,INDEX('Snowball Engine'!$AH240:$AV240,Calc!$I$10),INDEX('Avalanche Engine'!$AH240:$AV240,Calc!$J$10),INDEX('My Order Engine'!$AH240:$AV240,Calc!$K$10)),"")</f>
        <v/>
      </c>
      <c r="H238" s="25" t="str">
        <f>IF(AND($A238&lt;=IF(Calc!$C$36=999,360,Calc!$C$36),Calc!$C$11=1),CHOOSE(Calc!$C$3,INDEX('Snowball Engine'!$AH240:$AV240,Calc!$I$11),INDEX('Avalanche Engine'!$AH240:$AV240,Calc!$J$11),INDEX('My Order Engine'!$AH240:$AV240,Calc!$K$11)),"")</f>
        <v/>
      </c>
      <c r="I238" s="25" t="str">
        <f>IF(AND($A238&lt;=IF(Calc!$C$36=999,360,Calc!$C$36),Calc!$C$12=1),CHOOSE(Calc!$C$3,INDEX('Snowball Engine'!$AH240:$AV240,Calc!$I$12),INDEX('Avalanche Engine'!$AH240:$AV240,Calc!$J$12),INDEX('My Order Engine'!$AH240:$AV240,Calc!$K$12)),"")</f>
        <v/>
      </c>
      <c r="J238" s="25" t="str">
        <f>IF(AND($A238&lt;=IF(Calc!$C$36=999,360,Calc!$C$36),Calc!$C$13=1),CHOOSE(Calc!$C$3,INDEX('Snowball Engine'!$AH240:$AV240,Calc!$I$13),INDEX('Avalanche Engine'!$AH240:$AV240,Calc!$J$13),INDEX('My Order Engine'!$AH240:$AV240,Calc!$K$13)),"")</f>
        <v/>
      </c>
      <c r="K238" s="25" t="str">
        <f>IF(AND($A238&lt;=IF(Calc!$C$36=999,360,Calc!$C$36),Calc!$C$14=1),CHOOSE(Calc!$C$3,INDEX('Snowball Engine'!$AH240:$AV240,Calc!$I$14),INDEX('Avalanche Engine'!$AH240:$AV240,Calc!$J$14),INDEX('My Order Engine'!$AH240:$AV240,Calc!$K$14)),"")</f>
        <v/>
      </c>
      <c r="L238" s="25" t="str">
        <f>IF(AND($A238&lt;=IF(Calc!$C$36=999,360,Calc!$C$36),Calc!$C$15=1),CHOOSE(Calc!$C$3,INDEX('Snowball Engine'!$AH240:$AV240,Calc!$I$15),INDEX('Avalanche Engine'!$AH240:$AV240,Calc!$J$15),INDEX('My Order Engine'!$AH240:$AV240,Calc!$K$15)),"")</f>
        <v/>
      </c>
      <c r="M238" s="25" t="str">
        <f>IF(AND($A238&lt;=IF(Calc!$C$36=999,360,Calc!$C$36),Calc!$C$16=1),CHOOSE(Calc!$C$3,INDEX('Snowball Engine'!$AH240:$AV240,Calc!$I$16),INDEX('Avalanche Engine'!$AH240:$AV240,Calc!$J$16),INDEX('My Order Engine'!$AH240:$AV240,Calc!$K$16)),"")</f>
        <v/>
      </c>
      <c r="N238" s="25" t="str">
        <f>IF(AND($A238&lt;=IF(Calc!$C$36=999,360,Calc!$C$36),Calc!$C$17=1),CHOOSE(Calc!$C$3,INDEX('Snowball Engine'!$AH240:$AV240,Calc!$I$17),INDEX('Avalanche Engine'!$AH240:$AV240,Calc!$J$17),INDEX('My Order Engine'!$AH240:$AV240,Calc!$K$17)),"")</f>
        <v/>
      </c>
      <c r="O238" s="25" t="str">
        <f>IF(AND($A238&lt;=IF(Calc!$C$36=999,360,Calc!$C$36),Calc!$C$18=1),CHOOSE(Calc!$C$3,INDEX('Snowball Engine'!$AH240:$AV240,Calc!$I$18),INDEX('Avalanche Engine'!$AH240:$AV240,Calc!$J$18),INDEX('My Order Engine'!$AH240:$AV240,Calc!$K$18)),"")</f>
        <v/>
      </c>
      <c r="P238" s="25" t="str">
        <f>IF(AND($A238&lt;=IF(Calc!$C$36=999,360,Calc!$C$36),Calc!$C$19=1),CHOOSE(Calc!$C$3,INDEX('Snowball Engine'!$AH240:$AV240,Calc!$I$19),INDEX('Avalanche Engine'!$AH240:$AV240,Calc!$J$19),INDEX('My Order Engine'!$AH240:$AV240,Calc!$K$19)),"")</f>
        <v/>
      </c>
      <c r="Q238" s="25" t="str">
        <f>IF(AND($A238&lt;=IF(Calc!$C$36=999,360,Calc!$C$36),Calc!$C$20=1),CHOOSE(Calc!$C$3,INDEX('Snowball Engine'!$AH240:$AV240,Calc!$I$20),INDEX('Avalanche Engine'!$AH240:$AV240,Calc!$J$20),INDEX('My Order Engine'!$AH240:$AV240,Calc!$K$20)),"")</f>
        <v/>
      </c>
      <c r="R238" s="25" t="str">
        <f>IF(AND($A238&lt;=IF(Calc!$C$36=999,360,Calc!$C$36),Calc!$C$21=1),CHOOSE(Calc!$C$3,INDEX('Snowball Engine'!$AH240:$AV240,Calc!$I$21),INDEX('Avalanche Engine'!$AH240:$AV240,Calc!$J$21),INDEX('My Order Engine'!$AH240:$AV240,Calc!$K$21)),"")</f>
        <v/>
      </c>
      <c r="S238" s="25" t="str">
        <f>IF(AND($A238&lt;=IF(Calc!$C$36=999,360,Calc!$C$36),Calc!$C$22=1),CHOOSE(Calc!$C$3,INDEX('Snowball Engine'!$AH240:$AV240,Calc!$I$22),INDEX('Avalanche Engine'!$AH240:$AV240,Calc!$J$22),INDEX('My Order Engine'!$AH240:$AV240,Calc!$K$22)),"")</f>
        <v/>
      </c>
      <c r="T238" s="25" t="str">
        <f>IF(AND($A238&lt;=IF(Calc!$C$36=999,360,Calc!$C$36),Calc!$C$23=1),CHOOSE(Calc!$C$3,INDEX('Snowball Engine'!$AH240:$AV240,Calc!$I$23),INDEX('Avalanche Engine'!$AH240:$AV240,Calc!$J$23),INDEX('My Order Engine'!$AH240:$AV240,Calc!$K$23)),"")</f>
        <v/>
      </c>
      <c r="U238" s="25" t="str">
        <f>IF(AND($A238&lt;=IF(Calc!$C$36=999,360,Calc!$C$36),Calc!$C$24=1),CHOOSE(Calc!$C$3,INDEX('Snowball Engine'!$AH240:$AV240,Calc!$I$24),INDEX('Avalanche Engine'!$AH240:$AV240,Calc!$J$24),INDEX('My Order Engine'!$AH240:$AV240,Calc!$K$24)),"")</f>
        <v/>
      </c>
    </row>
    <row r="239" spans="1:21" x14ac:dyDescent="0.35">
      <c r="A239" s="23">
        <v>235</v>
      </c>
      <c r="B239" s="24" t="str">
        <f>IF($A239&lt;=IF(Calc!$C$36=999,360,Calc!$C$36),EDATE(Calc!$C$5,A239-1),"")</f>
        <v/>
      </c>
      <c r="C239" s="25" t="str">
        <f>IF($A239&lt;=IF(Calc!$C$36=999,360,Calc!$C$36),CHOOSE(Calc!$C$3,'Snowball Engine'!AY241,'Avalanche Engine'!AY241,'My Order Engine'!AY241),"")</f>
        <v/>
      </c>
      <c r="D239" s="25" t="str">
        <f>IF($A239&lt;=IF(Calc!$C$36=999,360,Calc!$C$36),CHOOSE(Calc!$C$3,'Snowball Engine'!AX241,'Avalanche Engine'!AX241,'My Order Engine'!AX241),"")</f>
        <v/>
      </c>
      <c r="E239" s="25" t="str">
        <f>IF($A239&lt;=IF(Calc!$C$36=999,360,Calc!$C$36),C239-D239,"")</f>
        <v/>
      </c>
      <c r="F239" s="25" t="str">
        <f>IF($A239&lt;=IF(Calc!$C$36=999,360,Calc!$C$36),CHOOSE(Calc!$C$3,'Snowball Engine'!AW241,'Avalanche Engine'!AW241,'My Order Engine'!AW241),"")</f>
        <v/>
      </c>
      <c r="G239" s="25" t="str">
        <f>IF(AND($A239&lt;=IF(Calc!$C$36=999,360,Calc!$C$36),Calc!$C$10=1),CHOOSE(Calc!$C$3,INDEX('Snowball Engine'!$AH241:$AV241,Calc!$I$10),INDEX('Avalanche Engine'!$AH241:$AV241,Calc!$J$10),INDEX('My Order Engine'!$AH241:$AV241,Calc!$K$10)),"")</f>
        <v/>
      </c>
      <c r="H239" s="25" t="str">
        <f>IF(AND($A239&lt;=IF(Calc!$C$36=999,360,Calc!$C$36),Calc!$C$11=1),CHOOSE(Calc!$C$3,INDEX('Snowball Engine'!$AH241:$AV241,Calc!$I$11),INDEX('Avalanche Engine'!$AH241:$AV241,Calc!$J$11),INDEX('My Order Engine'!$AH241:$AV241,Calc!$K$11)),"")</f>
        <v/>
      </c>
      <c r="I239" s="25" t="str">
        <f>IF(AND($A239&lt;=IF(Calc!$C$36=999,360,Calc!$C$36),Calc!$C$12=1),CHOOSE(Calc!$C$3,INDEX('Snowball Engine'!$AH241:$AV241,Calc!$I$12),INDEX('Avalanche Engine'!$AH241:$AV241,Calc!$J$12),INDEX('My Order Engine'!$AH241:$AV241,Calc!$K$12)),"")</f>
        <v/>
      </c>
      <c r="J239" s="25" t="str">
        <f>IF(AND($A239&lt;=IF(Calc!$C$36=999,360,Calc!$C$36),Calc!$C$13=1),CHOOSE(Calc!$C$3,INDEX('Snowball Engine'!$AH241:$AV241,Calc!$I$13),INDEX('Avalanche Engine'!$AH241:$AV241,Calc!$J$13),INDEX('My Order Engine'!$AH241:$AV241,Calc!$K$13)),"")</f>
        <v/>
      </c>
      <c r="K239" s="25" t="str">
        <f>IF(AND($A239&lt;=IF(Calc!$C$36=999,360,Calc!$C$36),Calc!$C$14=1),CHOOSE(Calc!$C$3,INDEX('Snowball Engine'!$AH241:$AV241,Calc!$I$14),INDEX('Avalanche Engine'!$AH241:$AV241,Calc!$J$14),INDEX('My Order Engine'!$AH241:$AV241,Calc!$K$14)),"")</f>
        <v/>
      </c>
      <c r="L239" s="25" t="str">
        <f>IF(AND($A239&lt;=IF(Calc!$C$36=999,360,Calc!$C$36),Calc!$C$15=1),CHOOSE(Calc!$C$3,INDEX('Snowball Engine'!$AH241:$AV241,Calc!$I$15),INDEX('Avalanche Engine'!$AH241:$AV241,Calc!$J$15),INDEX('My Order Engine'!$AH241:$AV241,Calc!$K$15)),"")</f>
        <v/>
      </c>
      <c r="M239" s="25" t="str">
        <f>IF(AND($A239&lt;=IF(Calc!$C$36=999,360,Calc!$C$36),Calc!$C$16=1),CHOOSE(Calc!$C$3,INDEX('Snowball Engine'!$AH241:$AV241,Calc!$I$16),INDEX('Avalanche Engine'!$AH241:$AV241,Calc!$J$16),INDEX('My Order Engine'!$AH241:$AV241,Calc!$K$16)),"")</f>
        <v/>
      </c>
      <c r="N239" s="25" t="str">
        <f>IF(AND($A239&lt;=IF(Calc!$C$36=999,360,Calc!$C$36),Calc!$C$17=1),CHOOSE(Calc!$C$3,INDEX('Snowball Engine'!$AH241:$AV241,Calc!$I$17),INDEX('Avalanche Engine'!$AH241:$AV241,Calc!$J$17),INDEX('My Order Engine'!$AH241:$AV241,Calc!$K$17)),"")</f>
        <v/>
      </c>
      <c r="O239" s="25" t="str">
        <f>IF(AND($A239&lt;=IF(Calc!$C$36=999,360,Calc!$C$36),Calc!$C$18=1),CHOOSE(Calc!$C$3,INDEX('Snowball Engine'!$AH241:$AV241,Calc!$I$18),INDEX('Avalanche Engine'!$AH241:$AV241,Calc!$J$18),INDEX('My Order Engine'!$AH241:$AV241,Calc!$K$18)),"")</f>
        <v/>
      </c>
      <c r="P239" s="25" t="str">
        <f>IF(AND($A239&lt;=IF(Calc!$C$36=999,360,Calc!$C$36),Calc!$C$19=1),CHOOSE(Calc!$C$3,INDEX('Snowball Engine'!$AH241:$AV241,Calc!$I$19),INDEX('Avalanche Engine'!$AH241:$AV241,Calc!$J$19),INDEX('My Order Engine'!$AH241:$AV241,Calc!$K$19)),"")</f>
        <v/>
      </c>
      <c r="Q239" s="25" t="str">
        <f>IF(AND($A239&lt;=IF(Calc!$C$36=999,360,Calc!$C$36),Calc!$C$20=1),CHOOSE(Calc!$C$3,INDEX('Snowball Engine'!$AH241:$AV241,Calc!$I$20),INDEX('Avalanche Engine'!$AH241:$AV241,Calc!$J$20),INDEX('My Order Engine'!$AH241:$AV241,Calc!$K$20)),"")</f>
        <v/>
      </c>
      <c r="R239" s="25" t="str">
        <f>IF(AND($A239&lt;=IF(Calc!$C$36=999,360,Calc!$C$36),Calc!$C$21=1),CHOOSE(Calc!$C$3,INDEX('Snowball Engine'!$AH241:$AV241,Calc!$I$21),INDEX('Avalanche Engine'!$AH241:$AV241,Calc!$J$21),INDEX('My Order Engine'!$AH241:$AV241,Calc!$K$21)),"")</f>
        <v/>
      </c>
      <c r="S239" s="25" t="str">
        <f>IF(AND($A239&lt;=IF(Calc!$C$36=999,360,Calc!$C$36),Calc!$C$22=1),CHOOSE(Calc!$C$3,INDEX('Snowball Engine'!$AH241:$AV241,Calc!$I$22),INDEX('Avalanche Engine'!$AH241:$AV241,Calc!$J$22),INDEX('My Order Engine'!$AH241:$AV241,Calc!$K$22)),"")</f>
        <v/>
      </c>
      <c r="T239" s="25" t="str">
        <f>IF(AND($A239&lt;=IF(Calc!$C$36=999,360,Calc!$C$36),Calc!$C$23=1),CHOOSE(Calc!$C$3,INDEX('Snowball Engine'!$AH241:$AV241,Calc!$I$23),INDEX('Avalanche Engine'!$AH241:$AV241,Calc!$J$23),INDEX('My Order Engine'!$AH241:$AV241,Calc!$K$23)),"")</f>
        <v/>
      </c>
      <c r="U239" s="25" t="str">
        <f>IF(AND($A239&lt;=IF(Calc!$C$36=999,360,Calc!$C$36),Calc!$C$24=1),CHOOSE(Calc!$C$3,INDEX('Snowball Engine'!$AH241:$AV241,Calc!$I$24),INDEX('Avalanche Engine'!$AH241:$AV241,Calc!$J$24),INDEX('My Order Engine'!$AH241:$AV241,Calc!$K$24)),"")</f>
        <v/>
      </c>
    </row>
    <row r="240" spans="1:21" x14ac:dyDescent="0.35">
      <c r="A240" s="23">
        <v>236</v>
      </c>
      <c r="B240" s="24" t="str">
        <f>IF($A240&lt;=IF(Calc!$C$36=999,360,Calc!$C$36),EDATE(Calc!$C$5,A240-1),"")</f>
        <v/>
      </c>
      <c r="C240" s="25" t="str">
        <f>IF($A240&lt;=IF(Calc!$C$36=999,360,Calc!$C$36),CHOOSE(Calc!$C$3,'Snowball Engine'!AY242,'Avalanche Engine'!AY242,'My Order Engine'!AY242),"")</f>
        <v/>
      </c>
      <c r="D240" s="25" t="str">
        <f>IF($A240&lt;=IF(Calc!$C$36=999,360,Calc!$C$36),CHOOSE(Calc!$C$3,'Snowball Engine'!AX242,'Avalanche Engine'!AX242,'My Order Engine'!AX242),"")</f>
        <v/>
      </c>
      <c r="E240" s="25" t="str">
        <f>IF($A240&lt;=IF(Calc!$C$36=999,360,Calc!$C$36),C240-D240,"")</f>
        <v/>
      </c>
      <c r="F240" s="25" t="str">
        <f>IF($A240&lt;=IF(Calc!$C$36=999,360,Calc!$C$36),CHOOSE(Calc!$C$3,'Snowball Engine'!AW242,'Avalanche Engine'!AW242,'My Order Engine'!AW242),"")</f>
        <v/>
      </c>
      <c r="G240" s="25" t="str">
        <f>IF(AND($A240&lt;=IF(Calc!$C$36=999,360,Calc!$C$36),Calc!$C$10=1),CHOOSE(Calc!$C$3,INDEX('Snowball Engine'!$AH242:$AV242,Calc!$I$10),INDEX('Avalanche Engine'!$AH242:$AV242,Calc!$J$10),INDEX('My Order Engine'!$AH242:$AV242,Calc!$K$10)),"")</f>
        <v/>
      </c>
      <c r="H240" s="25" t="str">
        <f>IF(AND($A240&lt;=IF(Calc!$C$36=999,360,Calc!$C$36),Calc!$C$11=1),CHOOSE(Calc!$C$3,INDEX('Snowball Engine'!$AH242:$AV242,Calc!$I$11),INDEX('Avalanche Engine'!$AH242:$AV242,Calc!$J$11),INDEX('My Order Engine'!$AH242:$AV242,Calc!$K$11)),"")</f>
        <v/>
      </c>
      <c r="I240" s="25" t="str">
        <f>IF(AND($A240&lt;=IF(Calc!$C$36=999,360,Calc!$C$36),Calc!$C$12=1),CHOOSE(Calc!$C$3,INDEX('Snowball Engine'!$AH242:$AV242,Calc!$I$12),INDEX('Avalanche Engine'!$AH242:$AV242,Calc!$J$12),INDEX('My Order Engine'!$AH242:$AV242,Calc!$K$12)),"")</f>
        <v/>
      </c>
      <c r="J240" s="25" t="str">
        <f>IF(AND($A240&lt;=IF(Calc!$C$36=999,360,Calc!$C$36),Calc!$C$13=1),CHOOSE(Calc!$C$3,INDEX('Snowball Engine'!$AH242:$AV242,Calc!$I$13),INDEX('Avalanche Engine'!$AH242:$AV242,Calc!$J$13),INDEX('My Order Engine'!$AH242:$AV242,Calc!$K$13)),"")</f>
        <v/>
      </c>
      <c r="K240" s="25" t="str">
        <f>IF(AND($A240&lt;=IF(Calc!$C$36=999,360,Calc!$C$36),Calc!$C$14=1),CHOOSE(Calc!$C$3,INDEX('Snowball Engine'!$AH242:$AV242,Calc!$I$14),INDEX('Avalanche Engine'!$AH242:$AV242,Calc!$J$14),INDEX('My Order Engine'!$AH242:$AV242,Calc!$K$14)),"")</f>
        <v/>
      </c>
      <c r="L240" s="25" t="str">
        <f>IF(AND($A240&lt;=IF(Calc!$C$36=999,360,Calc!$C$36),Calc!$C$15=1),CHOOSE(Calc!$C$3,INDEX('Snowball Engine'!$AH242:$AV242,Calc!$I$15),INDEX('Avalanche Engine'!$AH242:$AV242,Calc!$J$15),INDEX('My Order Engine'!$AH242:$AV242,Calc!$K$15)),"")</f>
        <v/>
      </c>
      <c r="M240" s="25" t="str">
        <f>IF(AND($A240&lt;=IF(Calc!$C$36=999,360,Calc!$C$36),Calc!$C$16=1),CHOOSE(Calc!$C$3,INDEX('Snowball Engine'!$AH242:$AV242,Calc!$I$16),INDEX('Avalanche Engine'!$AH242:$AV242,Calc!$J$16),INDEX('My Order Engine'!$AH242:$AV242,Calc!$K$16)),"")</f>
        <v/>
      </c>
      <c r="N240" s="25" t="str">
        <f>IF(AND($A240&lt;=IF(Calc!$C$36=999,360,Calc!$C$36),Calc!$C$17=1),CHOOSE(Calc!$C$3,INDEX('Snowball Engine'!$AH242:$AV242,Calc!$I$17),INDEX('Avalanche Engine'!$AH242:$AV242,Calc!$J$17),INDEX('My Order Engine'!$AH242:$AV242,Calc!$K$17)),"")</f>
        <v/>
      </c>
      <c r="O240" s="25" t="str">
        <f>IF(AND($A240&lt;=IF(Calc!$C$36=999,360,Calc!$C$36),Calc!$C$18=1),CHOOSE(Calc!$C$3,INDEX('Snowball Engine'!$AH242:$AV242,Calc!$I$18),INDEX('Avalanche Engine'!$AH242:$AV242,Calc!$J$18),INDEX('My Order Engine'!$AH242:$AV242,Calc!$K$18)),"")</f>
        <v/>
      </c>
      <c r="P240" s="25" t="str">
        <f>IF(AND($A240&lt;=IF(Calc!$C$36=999,360,Calc!$C$36),Calc!$C$19=1),CHOOSE(Calc!$C$3,INDEX('Snowball Engine'!$AH242:$AV242,Calc!$I$19),INDEX('Avalanche Engine'!$AH242:$AV242,Calc!$J$19),INDEX('My Order Engine'!$AH242:$AV242,Calc!$K$19)),"")</f>
        <v/>
      </c>
      <c r="Q240" s="25" t="str">
        <f>IF(AND($A240&lt;=IF(Calc!$C$36=999,360,Calc!$C$36),Calc!$C$20=1),CHOOSE(Calc!$C$3,INDEX('Snowball Engine'!$AH242:$AV242,Calc!$I$20),INDEX('Avalanche Engine'!$AH242:$AV242,Calc!$J$20),INDEX('My Order Engine'!$AH242:$AV242,Calc!$K$20)),"")</f>
        <v/>
      </c>
      <c r="R240" s="25" t="str">
        <f>IF(AND($A240&lt;=IF(Calc!$C$36=999,360,Calc!$C$36),Calc!$C$21=1),CHOOSE(Calc!$C$3,INDEX('Snowball Engine'!$AH242:$AV242,Calc!$I$21),INDEX('Avalanche Engine'!$AH242:$AV242,Calc!$J$21),INDEX('My Order Engine'!$AH242:$AV242,Calc!$K$21)),"")</f>
        <v/>
      </c>
      <c r="S240" s="25" t="str">
        <f>IF(AND($A240&lt;=IF(Calc!$C$36=999,360,Calc!$C$36),Calc!$C$22=1),CHOOSE(Calc!$C$3,INDEX('Snowball Engine'!$AH242:$AV242,Calc!$I$22),INDEX('Avalanche Engine'!$AH242:$AV242,Calc!$J$22),INDEX('My Order Engine'!$AH242:$AV242,Calc!$K$22)),"")</f>
        <v/>
      </c>
      <c r="T240" s="25" t="str">
        <f>IF(AND($A240&lt;=IF(Calc!$C$36=999,360,Calc!$C$36),Calc!$C$23=1),CHOOSE(Calc!$C$3,INDEX('Snowball Engine'!$AH242:$AV242,Calc!$I$23),INDEX('Avalanche Engine'!$AH242:$AV242,Calc!$J$23),INDEX('My Order Engine'!$AH242:$AV242,Calc!$K$23)),"")</f>
        <v/>
      </c>
      <c r="U240" s="25" t="str">
        <f>IF(AND($A240&lt;=IF(Calc!$C$36=999,360,Calc!$C$36),Calc!$C$24=1),CHOOSE(Calc!$C$3,INDEX('Snowball Engine'!$AH242:$AV242,Calc!$I$24),INDEX('Avalanche Engine'!$AH242:$AV242,Calc!$J$24),INDEX('My Order Engine'!$AH242:$AV242,Calc!$K$24)),"")</f>
        <v/>
      </c>
    </row>
    <row r="241" spans="1:21" x14ac:dyDescent="0.35">
      <c r="A241" s="23">
        <v>237</v>
      </c>
      <c r="B241" s="24" t="str">
        <f>IF($A241&lt;=IF(Calc!$C$36=999,360,Calc!$C$36),EDATE(Calc!$C$5,A241-1),"")</f>
        <v/>
      </c>
      <c r="C241" s="25" t="str">
        <f>IF($A241&lt;=IF(Calc!$C$36=999,360,Calc!$C$36),CHOOSE(Calc!$C$3,'Snowball Engine'!AY243,'Avalanche Engine'!AY243,'My Order Engine'!AY243),"")</f>
        <v/>
      </c>
      <c r="D241" s="25" t="str">
        <f>IF($A241&lt;=IF(Calc!$C$36=999,360,Calc!$C$36),CHOOSE(Calc!$C$3,'Snowball Engine'!AX243,'Avalanche Engine'!AX243,'My Order Engine'!AX243),"")</f>
        <v/>
      </c>
      <c r="E241" s="25" t="str">
        <f>IF($A241&lt;=IF(Calc!$C$36=999,360,Calc!$C$36),C241-D241,"")</f>
        <v/>
      </c>
      <c r="F241" s="25" t="str">
        <f>IF($A241&lt;=IF(Calc!$C$36=999,360,Calc!$C$36),CHOOSE(Calc!$C$3,'Snowball Engine'!AW243,'Avalanche Engine'!AW243,'My Order Engine'!AW243),"")</f>
        <v/>
      </c>
      <c r="G241" s="25" t="str">
        <f>IF(AND($A241&lt;=IF(Calc!$C$36=999,360,Calc!$C$36),Calc!$C$10=1),CHOOSE(Calc!$C$3,INDEX('Snowball Engine'!$AH243:$AV243,Calc!$I$10),INDEX('Avalanche Engine'!$AH243:$AV243,Calc!$J$10),INDEX('My Order Engine'!$AH243:$AV243,Calc!$K$10)),"")</f>
        <v/>
      </c>
      <c r="H241" s="25" t="str">
        <f>IF(AND($A241&lt;=IF(Calc!$C$36=999,360,Calc!$C$36),Calc!$C$11=1),CHOOSE(Calc!$C$3,INDEX('Snowball Engine'!$AH243:$AV243,Calc!$I$11),INDEX('Avalanche Engine'!$AH243:$AV243,Calc!$J$11),INDEX('My Order Engine'!$AH243:$AV243,Calc!$K$11)),"")</f>
        <v/>
      </c>
      <c r="I241" s="25" t="str">
        <f>IF(AND($A241&lt;=IF(Calc!$C$36=999,360,Calc!$C$36),Calc!$C$12=1),CHOOSE(Calc!$C$3,INDEX('Snowball Engine'!$AH243:$AV243,Calc!$I$12),INDEX('Avalanche Engine'!$AH243:$AV243,Calc!$J$12),INDEX('My Order Engine'!$AH243:$AV243,Calc!$K$12)),"")</f>
        <v/>
      </c>
      <c r="J241" s="25" t="str">
        <f>IF(AND($A241&lt;=IF(Calc!$C$36=999,360,Calc!$C$36),Calc!$C$13=1),CHOOSE(Calc!$C$3,INDEX('Snowball Engine'!$AH243:$AV243,Calc!$I$13),INDEX('Avalanche Engine'!$AH243:$AV243,Calc!$J$13),INDEX('My Order Engine'!$AH243:$AV243,Calc!$K$13)),"")</f>
        <v/>
      </c>
      <c r="K241" s="25" t="str">
        <f>IF(AND($A241&lt;=IF(Calc!$C$36=999,360,Calc!$C$36),Calc!$C$14=1),CHOOSE(Calc!$C$3,INDEX('Snowball Engine'!$AH243:$AV243,Calc!$I$14),INDEX('Avalanche Engine'!$AH243:$AV243,Calc!$J$14),INDEX('My Order Engine'!$AH243:$AV243,Calc!$K$14)),"")</f>
        <v/>
      </c>
      <c r="L241" s="25" t="str">
        <f>IF(AND($A241&lt;=IF(Calc!$C$36=999,360,Calc!$C$36),Calc!$C$15=1),CHOOSE(Calc!$C$3,INDEX('Snowball Engine'!$AH243:$AV243,Calc!$I$15),INDEX('Avalanche Engine'!$AH243:$AV243,Calc!$J$15),INDEX('My Order Engine'!$AH243:$AV243,Calc!$K$15)),"")</f>
        <v/>
      </c>
      <c r="M241" s="25" t="str">
        <f>IF(AND($A241&lt;=IF(Calc!$C$36=999,360,Calc!$C$36),Calc!$C$16=1),CHOOSE(Calc!$C$3,INDEX('Snowball Engine'!$AH243:$AV243,Calc!$I$16),INDEX('Avalanche Engine'!$AH243:$AV243,Calc!$J$16),INDEX('My Order Engine'!$AH243:$AV243,Calc!$K$16)),"")</f>
        <v/>
      </c>
      <c r="N241" s="25" t="str">
        <f>IF(AND($A241&lt;=IF(Calc!$C$36=999,360,Calc!$C$36),Calc!$C$17=1),CHOOSE(Calc!$C$3,INDEX('Snowball Engine'!$AH243:$AV243,Calc!$I$17),INDEX('Avalanche Engine'!$AH243:$AV243,Calc!$J$17),INDEX('My Order Engine'!$AH243:$AV243,Calc!$K$17)),"")</f>
        <v/>
      </c>
      <c r="O241" s="25" t="str">
        <f>IF(AND($A241&lt;=IF(Calc!$C$36=999,360,Calc!$C$36),Calc!$C$18=1),CHOOSE(Calc!$C$3,INDEX('Snowball Engine'!$AH243:$AV243,Calc!$I$18),INDEX('Avalanche Engine'!$AH243:$AV243,Calc!$J$18),INDEX('My Order Engine'!$AH243:$AV243,Calc!$K$18)),"")</f>
        <v/>
      </c>
      <c r="P241" s="25" t="str">
        <f>IF(AND($A241&lt;=IF(Calc!$C$36=999,360,Calc!$C$36),Calc!$C$19=1),CHOOSE(Calc!$C$3,INDEX('Snowball Engine'!$AH243:$AV243,Calc!$I$19),INDEX('Avalanche Engine'!$AH243:$AV243,Calc!$J$19),INDEX('My Order Engine'!$AH243:$AV243,Calc!$K$19)),"")</f>
        <v/>
      </c>
      <c r="Q241" s="25" t="str">
        <f>IF(AND($A241&lt;=IF(Calc!$C$36=999,360,Calc!$C$36),Calc!$C$20=1),CHOOSE(Calc!$C$3,INDEX('Snowball Engine'!$AH243:$AV243,Calc!$I$20),INDEX('Avalanche Engine'!$AH243:$AV243,Calc!$J$20),INDEX('My Order Engine'!$AH243:$AV243,Calc!$K$20)),"")</f>
        <v/>
      </c>
      <c r="R241" s="25" t="str">
        <f>IF(AND($A241&lt;=IF(Calc!$C$36=999,360,Calc!$C$36),Calc!$C$21=1),CHOOSE(Calc!$C$3,INDEX('Snowball Engine'!$AH243:$AV243,Calc!$I$21),INDEX('Avalanche Engine'!$AH243:$AV243,Calc!$J$21),INDEX('My Order Engine'!$AH243:$AV243,Calc!$K$21)),"")</f>
        <v/>
      </c>
      <c r="S241" s="25" t="str">
        <f>IF(AND($A241&lt;=IF(Calc!$C$36=999,360,Calc!$C$36),Calc!$C$22=1),CHOOSE(Calc!$C$3,INDEX('Snowball Engine'!$AH243:$AV243,Calc!$I$22),INDEX('Avalanche Engine'!$AH243:$AV243,Calc!$J$22),INDEX('My Order Engine'!$AH243:$AV243,Calc!$K$22)),"")</f>
        <v/>
      </c>
      <c r="T241" s="25" t="str">
        <f>IF(AND($A241&lt;=IF(Calc!$C$36=999,360,Calc!$C$36),Calc!$C$23=1),CHOOSE(Calc!$C$3,INDEX('Snowball Engine'!$AH243:$AV243,Calc!$I$23),INDEX('Avalanche Engine'!$AH243:$AV243,Calc!$J$23),INDEX('My Order Engine'!$AH243:$AV243,Calc!$K$23)),"")</f>
        <v/>
      </c>
      <c r="U241" s="25" t="str">
        <f>IF(AND($A241&lt;=IF(Calc!$C$36=999,360,Calc!$C$36),Calc!$C$24=1),CHOOSE(Calc!$C$3,INDEX('Snowball Engine'!$AH243:$AV243,Calc!$I$24),INDEX('Avalanche Engine'!$AH243:$AV243,Calc!$J$24),INDEX('My Order Engine'!$AH243:$AV243,Calc!$K$24)),"")</f>
        <v/>
      </c>
    </row>
    <row r="242" spans="1:21" x14ac:dyDescent="0.35">
      <c r="A242" s="23">
        <v>238</v>
      </c>
      <c r="B242" s="24" t="str">
        <f>IF($A242&lt;=IF(Calc!$C$36=999,360,Calc!$C$36),EDATE(Calc!$C$5,A242-1),"")</f>
        <v/>
      </c>
      <c r="C242" s="25" t="str">
        <f>IF($A242&lt;=IF(Calc!$C$36=999,360,Calc!$C$36),CHOOSE(Calc!$C$3,'Snowball Engine'!AY244,'Avalanche Engine'!AY244,'My Order Engine'!AY244),"")</f>
        <v/>
      </c>
      <c r="D242" s="25" t="str">
        <f>IF($A242&lt;=IF(Calc!$C$36=999,360,Calc!$C$36),CHOOSE(Calc!$C$3,'Snowball Engine'!AX244,'Avalanche Engine'!AX244,'My Order Engine'!AX244),"")</f>
        <v/>
      </c>
      <c r="E242" s="25" t="str">
        <f>IF($A242&lt;=IF(Calc!$C$36=999,360,Calc!$C$36),C242-D242,"")</f>
        <v/>
      </c>
      <c r="F242" s="25" t="str">
        <f>IF($A242&lt;=IF(Calc!$C$36=999,360,Calc!$C$36),CHOOSE(Calc!$C$3,'Snowball Engine'!AW244,'Avalanche Engine'!AW244,'My Order Engine'!AW244),"")</f>
        <v/>
      </c>
      <c r="G242" s="25" t="str">
        <f>IF(AND($A242&lt;=IF(Calc!$C$36=999,360,Calc!$C$36),Calc!$C$10=1),CHOOSE(Calc!$C$3,INDEX('Snowball Engine'!$AH244:$AV244,Calc!$I$10),INDEX('Avalanche Engine'!$AH244:$AV244,Calc!$J$10),INDEX('My Order Engine'!$AH244:$AV244,Calc!$K$10)),"")</f>
        <v/>
      </c>
      <c r="H242" s="25" t="str">
        <f>IF(AND($A242&lt;=IF(Calc!$C$36=999,360,Calc!$C$36),Calc!$C$11=1),CHOOSE(Calc!$C$3,INDEX('Snowball Engine'!$AH244:$AV244,Calc!$I$11),INDEX('Avalanche Engine'!$AH244:$AV244,Calc!$J$11),INDEX('My Order Engine'!$AH244:$AV244,Calc!$K$11)),"")</f>
        <v/>
      </c>
      <c r="I242" s="25" t="str">
        <f>IF(AND($A242&lt;=IF(Calc!$C$36=999,360,Calc!$C$36),Calc!$C$12=1),CHOOSE(Calc!$C$3,INDEX('Snowball Engine'!$AH244:$AV244,Calc!$I$12),INDEX('Avalanche Engine'!$AH244:$AV244,Calc!$J$12),INDEX('My Order Engine'!$AH244:$AV244,Calc!$K$12)),"")</f>
        <v/>
      </c>
      <c r="J242" s="25" t="str">
        <f>IF(AND($A242&lt;=IF(Calc!$C$36=999,360,Calc!$C$36),Calc!$C$13=1),CHOOSE(Calc!$C$3,INDEX('Snowball Engine'!$AH244:$AV244,Calc!$I$13),INDEX('Avalanche Engine'!$AH244:$AV244,Calc!$J$13),INDEX('My Order Engine'!$AH244:$AV244,Calc!$K$13)),"")</f>
        <v/>
      </c>
      <c r="K242" s="25" t="str">
        <f>IF(AND($A242&lt;=IF(Calc!$C$36=999,360,Calc!$C$36),Calc!$C$14=1),CHOOSE(Calc!$C$3,INDEX('Snowball Engine'!$AH244:$AV244,Calc!$I$14),INDEX('Avalanche Engine'!$AH244:$AV244,Calc!$J$14),INDEX('My Order Engine'!$AH244:$AV244,Calc!$K$14)),"")</f>
        <v/>
      </c>
      <c r="L242" s="25" t="str">
        <f>IF(AND($A242&lt;=IF(Calc!$C$36=999,360,Calc!$C$36),Calc!$C$15=1),CHOOSE(Calc!$C$3,INDEX('Snowball Engine'!$AH244:$AV244,Calc!$I$15),INDEX('Avalanche Engine'!$AH244:$AV244,Calc!$J$15),INDEX('My Order Engine'!$AH244:$AV244,Calc!$K$15)),"")</f>
        <v/>
      </c>
      <c r="M242" s="25" t="str">
        <f>IF(AND($A242&lt;=IF(Calc!$C$36=999,360,Calc!$C$36),Calc!$C$16=1),CHOOSE(Calc!$C$3,INDEX('Snowball Engine'!$AH244:$AV244,Calc!$I$16),INDEX('Avalanche Engine'!$AH244:$AV244,Calc!$J$16),INDEX('My Order Engine'!$AH244:$AV244,Calc!$K$16)),"")</f>
        <v/>
      </c>
      <c r="N242" s="25" t="str">
        <f>IF(AND($A242&lt;=IF(Calc!$C$36=999,360,Calc!$C$36),Calc!$C$17=1),CHOOSE(Calc!$C$3,INDEX('Snowball Engine'!$AH244:$AV244,Calc!$I$17),INDEX('Avalanche Engine'!$AH244:$AV244,Calc!$J$17),INDEX('My Order Engine'!$AH244:$AV244,Calc!$K$17)),"")</f>
        <v/>
      </c>
      <c r="O242" s="25" t="str">
        <f>IF(AND($A242&lt;=IF(Calc!$C$36=999,360,Calc!$C$36),Calc!$C$18=1),CHOOSE(Calc!$C$3,INDEX('Snowball Engine'!$AH244:$AV244,Calc!$I$18),INDEX('Avalanche Engine'!$AH244:$AV244,Calc!$J$18),INDEX('My Order Engine'!$AH244:$AV244,Calc!$K$18)),"")</f>
        <v/>
      </c>
      <c r="P242" s="25" t="str">
        <f>IF(AND($A242&lt;=IF(Calc!$C$36=999,360,Calc!$C$36),Calc!$C$19=1),CHOOSE(Calc!$C$3,INDEX('Snowball Engine'!$AH244:$AV244,Calc!$I$19),INDEX('Avalanche Engine'!$AH244:$AV244,Calc!$J$19),INDEX('My Order Engine'!$AH244:$AV244,Calc!$K$19)),"")</f>
        <v/>
      </c>
      <c r="Q242" s="25" t="str">
        <f>IF(AND($A242&lt;=IF(Calc!$C$36=999,360,Calc!$C$36),Calc!$C$20=1),CHOOSE(Calc!$C$3,INDEX('Snowball Engine'!$AH244:$AV244,Calc!$I$20),INDEX('Avalanche Engine'!$AH244:$AV244,Calc!$J$20),INDEX('My Order Engine'!$AH244:$AV244,Calc!$K$20)),"")</f>
        <v/>
      </c>
      <c r="R242" s="25" t="str">
        <f>IF(AND($A242&lt;=IF(Calc!$C$36=999,360,Calc!$C$36),Calc!$C$21=1),CHOOSE(Calc!$C$3,INDEX('Snowball Engine'!$AH244:$AV244,Calc!$I$21),INDEX('Avalanche Engine'!$AH244:$AV244,Calc!$J$21),INDEX('My Order Engine'!$AH244:$AV244,Calc!$K$21)),"")</f>
        <v/>
      </c>
      <c r="S242" s="25" t="str">
        <f>IF(AND($A242&lt;=IF(Calc!$C$36=999,360,Calc!$C$36),Calc!$C$22=1),CHOOSE(Calc!$C$3,INDEX('Snowball Engine'!$AH244:$AV244,Calc!$I$22),INDEX('Avalanche Engine'!$AH244:$AV244,Calc!$J$22),INDEX('My Order Engine'!$AH244:$AV244,Calc!$K$22)),"")</f>
        <v/>
      </c>
      <c r="T242" s="25" t="str">
        <f>IF(AND($A242&lt;=IF(Calc!$C$36=999,360,Calc!$C$36),Calc!$C$23=1),CHOOSE(Calc!$C$3,INDEX('Snowball Engine'!$AH244:$AV244,Calc!$I$23),INDEX('Avalanche Engine'!$AH244:$AV244,Calc!$J$23),INDEX('My Order Engine'!$AH244:$AV244,Calc!$K$23)),"")</f>
        <v/>
      </c>
      <c r="U242" s="25" t="str">
        <f>IF(AND($A242&lt;=IF(Calc!$C$36=999,360,Calc!$C$36),Calc!$C$24=1),CHOOSE(Calc!$C$3,INDEX('Snowball Engine'!$AH244:$AV244,Calc!$I$24),INDEX('Avalanche Engine'!$AH244:$AV244,Calc!$J$24),INDEX('My Order Engine'!$AH244:$AV244,Calc!$K$24)),"")</f>
        <v/>
      </c>
    </row>
    <row r="243" spans="1:21" x14ac:dyDescent="0.35">
      <c r="A243" s="23">
        <v>239</v>
      </c>
      <c r="B243" s="24" t="str">
        <f>IF($A243&lt;=IF(Calc!$C$36=999,360,Calc!$C$36),EDATE(Calc!$C$5,A243-1),"")</f>
        <v/>
      </c>
      <c r="C243" s="25" t="str">
        <f>IF($A243&lt;=IF(Calc!$C$36=999,360,Calc!$C$36),CHOOSE(Calc!$C$3,'Snowball Engine'!AY245,'Avalanche Engine'!AY245,'My Order Engine'!AY245),"")</f>
        <v/>
      </c>
      <c r="D243" s="25" t="str">
        <f>IF($A243&lt;=IF(Calc!$C$36=999,360,Calc!$C$36),CHOOSE(Calc!$C$3,'Snowball Engine'!AX245,'Avalanche Engine'!AX245,'My Order Engine'!AX245),"")</f>
        <v/>
      </c>
      <c r="E243" s="25" t="str">
        <f>IF($A243&lt;=IF(Calc!$C$36=999,360,Calc!$C$36),C243-D243,"")</f>
        <v/>
      </c>
      <c r="F243" s="25" t="str">
        <f>IF($A243&lt;=IF(Calc!$C$36=999,360,Calc!$C$36),CHOOSE(Calc!$C$3,'Snowball Engine'!AW245,'Avalanche Engine'!AW245,'My Order Engine'!AW245),"")</f>
        <v/>
      </c>
      <c r="G243" s="25" t="str">
        <f>IF(AND($A243&lt;=IF(Calc!$C$36=999,360,Calc!$C$36),Calc!$C$10=1),CHOOSE(Calc!$C$3,INDEX('Snowball Engine'!$AH245:$AV245,Calc!$I$10),INDEX('Avalanche Engine'!$AH245:$AV245,Calc!$J$10),INDEX('My Order Engine'!$AH245:$AV245,Calc!$K$10)),"")</f>
        <v/>
      </c>
      <c r="H243" s="25" t="str">
        <f>IF(AND($A243&lt;=IF(Calc!$C$36=999,360,Calc!$C$36),Calc!$C$11=1),CHOOSE(Calc!$C$3,INDEX('Snowball Engine'!$AH245:$AV245,Calc!$I$11),INDEX('Avalanche Engine'!$AH245:$AV245,Calc!$J$11),INDEX('My Order Engine'!$AH245:$AV245,Calc!$K$11)),"")</f>
        <v/>
      </c>
      <c r="I243" s="25" t="str">
        <f>IF(AND($A243&lt;=IF(Calc!$C$36=999,360,Calc!$C$36),Calc!$C$12=1),CHOOSE(Calc!$C$3,INDEX('Snowball Engine'!$AH245:$AV245,Calc!$I$12),INDEX('Avalanche Engine'!$AH245:$AV245,Calc!$J$12),INDEX('My Order Engine'!$AH245:$AV245,Calc!$K$12)),"")</f>
        <v/>
      </c>
      <c r="J243" s="25" t="str">
        <f>IF(AND($A243&lt;=IF(Calc!$C$36=999,360,Calc!$C$36),Calc!$C$13=1),CHOOSE(Calc!$C$3,INDEX('Snowball Engine'!$AH245:$AV245,Calc!$I$13),INDEX('Avalanche Engine'!$AH245:$AV245,Calc!$J$13),INDEX('My Order Engine'!$AH245:$AV245,Calc!$K$13)),"")</f>
        <v/>
      </c>
      <c r="K243" s="25" t="str">
        <f>IF(AND($A243&lt;=IF(Calc!$C$36=999,360,Calc!$C$36),Calc!$C$14=1),CHOOSE(Calc!$C$3,INDEX('Snowball Engine'!$AH245:$AV245,Calc!$I$14),INDEX('Avalanche Engine'!$AH245:$AV245,Calc!$J$14),INDEX('My Order Engine'!$AH245:$AV245,Calc!$K$14)),"")</f>
        <v/>
      </c>
      <c r="L243" s="25" t="str">
        <f>IF(AND($A243&lt;=IF(Calc!$C$36=999,360,Calc!$C$36),Calc!$C$15=1),CHOOSE(Calc!$C$3,INDEX('Snowball Engine'!$AH245:$AV245,Calc!$I$15),INDEX('Avalanche Engine'!$AH245:$AV245,Calc!$J$15),INDEX('My Order Engine'!$AH245:$AV245,Calc!$K$15)),"")</f>
        <v/>
      </c>
      <c r="M243" s="25" t="str">
        <f>IF(AND($A243&lt;=IF(Calc!$C$36=999,360,Calc!$C$36),Calc!$C$16=1),CHOOSE(Calc!$C$3,INDEX('Snowball Engine'!$AH245:$AV245,Calc!$I$16),INDEX('Avalanche Engine'!$AH245:$AV245,Calc!$J$16),INDEX('My Order Engine'!$AH245:$AV245,Calc!$K$16)),"")</f>
        <v/>
      </c>
      <c r="N243" s="25" t="str">
        <f>IF(AND($A243&lt;=IF(Calc!$C$36=999,360,Calc!$C$36),Calc!$C$17=1),CHOOSE(Calc!$C$3,INDEX('Snowball Engine'!$AH245:$AV245,Calc!$I$17),INDEX('Avalanche Engine'!$AH245:$AV245,Calc!$J$17),INDEX('My Order Engine'!$AH245:$AV245,Calc!$K$17)),"")</f>
        <v/>
      </c>
      <c r="O243" s="25" t="str">
        <f>IF(AND($A243&lt;=IF(Calc!$C$36=999,360,Calc!$C$36),Calc!$C$18=1),CHOOSE(Calc!$C$3,INDEX('Snowball Engine'!$AH245:$AV245,Calc!$I$18),INDEX('Avalanche Engine'!$AH245:$AV245,Calc!$J$18),INDEX('My Order Engine'!$AH245:$AV245,Calc!$K$18)),"")</f>
        <v/>
      </c>
      <c r="P243" s="25" t="str">
        <f>IF(AND($A243&lt;=IF(Calc!$C$36=999,360,Calc!$C$36),Calc!$C$19=1),CHOOSE(Calc!$C$3,INDEX('Snowball Engine'!$AH245:$AV245,Calc!$I$19),INDEX('Avalanche Engine'!$AH245:$AV245,Calc!$J$19),INDEX('My Order Engine'!$AH245:$AV245,Calc!$K$19)),"")</f>
        <v/>
      </c>
      <c r="Q243" s="25" t="str">
        <f>IF(AND($A243&lt;=IF(Calc!$C$36=999,360,Calc!$C$36),Calc!$C$20=1),CHOOSE(Calc!$C$3,INDEX('Snowball Engine'!$AH245:$AV245,Calc!$I$20),INDEX('Avalanche Engine'!$AH245:$AV245,Calc!$J$20),INDEX('My Order Engine'!$AH245:$AV245,Calc!$K$20)),"")</f>
        <v/>
      </c>
      <c r="R243" s="25" t="str">
        <f>IF(AND($A243&lt;=IF(Calc!$C$36=999,360,Calc!$C$36),Calc!$C$21=1),CHOOSE(Calc!$C$3,INDEX('Snowball Engine'!$AH245:$AV245,Calc!$I$21),INDEX('Avalanche Engine'!$AH245:$AV245,Calc!$J$21),INDEX('My Order Engine'!$AH245:$AV245,Calc!$K$21)),"")</f>
        <v/>
      </c>
      <c r="S243" s="25" t="str">
        <f>IF(AND($A243&lt;=IF(Calc!$C$36=999,360,Calc!$C$36),Calc!$C$22=1),CHOOSE(Calc!$C$3,INDEX('Snowball Engine'!$AH245:$AV245,Calc!$I$22),INDEX('Avalanche Engine'!$AH245:$AV245,Calc!$J$22),INDEX('My Order Engine'!$AH245:$AV245,Calc!$K$22)),"")</f>
        <v/>
      </c>
      <c r="T243" s="25" t="str">
        <f>IF(AND($A243&lt;=IF(Calc!$C$36=999,360,Calc!$C$36),Calc!$C$23=1),CHOOSE(Calc!$C$3,INDEX('Snowball Engine'!$AH245:$AV245,Calc!$I$23),INDEX('Avalanche Engine'!$AH245:$AV245,Calc!$J$23),INDEX('My Order Engine'!$AH245:$AV245,Calc!$K$23)),"")</f>
        <v/>
      </c>
      <c r="U243" s="25" t="str">
        <f>IF(AND($A243&lt;=IF(Calc!$C$36=999,360,Calc!$C$36),Calc!$C$24=1),CHOOSE(Calc!$C$3,INDEX('Snowball Engine'!$AH245:$AV245,Calc!$I$24),INDEX('Avalanche Engine'!$AH245:$AV245,Calc!$J$24),INDEX('My Order Engine'!$AH245:$AV245,Calc!$K$24)),"")</f>
        <v/>
      </c>
    </row>
    <row r="244" spans="1:21" x14ac:dyDescent="0.35">
      <c r="A244" s="23">
        <v>240</v>
      </c>
      <c r="B244" s="24" t="str">
        <f>IF($A244&lt;=IF(Calc!$C$36=999,360,Calc!$C$36),EDATE(Calc!$C$5,A244-1),"")</f>
        <v/>
      </c>
      <c r="C244" s="25" t="str">
        <f>IF($A244&lt;=IF(Calc!$C$36=999,360,Calc!$C$36),CHOOSE(Calc!$C$3,'Snowball Engine'!AY246,'Avalanche Engine'!AY246,'My Order Engine'!AY246),"")</f>
        <v/>
      </c>
      <c r="D244" s="25" t="str">
        <f>IF($A244&lt;=IF(Calc!$C$36=999,360,Calc!$C$36),CHOOSE(Calc!$C$3,'Snowball Engine'!AX246,'Avalanche Engine'!AX246,'My Order Engine'!AX246),"")</f>
        <v/>
      </c>
      <c r="E244" s="25" t="str">
        <f>IF($A244&lt;=IF(Calc!$C$36=999,360,Calc!$C$36),C244-D244,"")</f>
        <v/>
      </c>
      <c r="F244" s="25" t="str">
        <f>IF($A244&lt;=IF(Calc!$C$36=999,360,Calc!$C$36),CHOOSE(Calc!$C$3,'Snowball Engine'!AW246,'Avalanche Engine'!AW246,'My Order Engine'!AW246),"")</f>
        <v/>
      </c>
      <c r="G244" s="25" t="str">
        <f>IF(AND($A244&lt;=IF(Calc!$C$36=999,360,Calc!$C$36),Calc!$C$10=1),CHOOSE(Calc!$C$3,INDEX('Snowball Engine'!$AH246:$AV246,Calc!$I$10),INDEX('Avalanche Engine'!$AH246:$AV246,Calc!$J$10),INDEX('My Order Engine'!$AH246:$AV246,Calc!$K$10)),"")</f>
        <v/>
      </c>
      <c r="H244" s="25" t="str">
        <f>IF(AND($A244&lt;=IF(Calc!$C$36=999,360,Calc!$C$36),Calc!$C$11=1),CHOOSE(Calc!$C$3,INDEX('Snowball Engine'!$AH246:$AV246,Calc!$I$11),INDEX('Avalanche Engine'!$AH246:$AV246,Calc!$J$11),INDEX('My Order Engine'!$AH246:$AV246,Calc!$K$11)),"")</f>
        <v/>
      </c>
      <c r="I244" s="25" t="str">
        <f>IF(AND($A244&lt;=IF(Calc!$C$36=999,360,Calc!$C$36),Calc!$C$12=1),CHOOSE(Calc!$C$3,INDEX('Snowball Engine'!$AH246:$AV246,Calc!$I$12),INDEX('Avalanche Engine'!$AH246:$AV246,Calc!$J$12),INDEX('My Order Engine'!$AH246:$AV246,Calc!$K$12)),"")</f>
        <v/>
      </c>
      <c r="J244" s="25" t="str">
        <f>IF(AND($A244&lt;=IF(Calc!$C$36=999,360,Calc!$C$36),Calc!$C$13=1),CHOOSE(Calc!$C$3,INDEX('Snowball Engine'!$AH246:$AV246,Calc!$I$13),INDEX('Avalanche Engine'!$AH246:$AV246,Calc!$J$13),INDEX('My Order Engine'!$AH246:$AV246,Calc!$K$13)),"")</f>
        <v/>
      </c>
      <c r="K244" s="25" t="str">
        <f>IF(AND($A244&lt;=IF(Calc!$C$36=999,360,Calc!$C$36),Calc!$C$14=1),CHOOSE(Calc!$C$3,INDEX('Snowball Engine'!$AH246:$AV246,Calc!$I$14),INDEX('Avalanche Engine'!$AH246:$AV246,Calc!$J$14),INDEX('My Order Engine'!$AH246:$AV246,Calc!$K$14)),"")</f>
        <v/>
      </c>
      <c r="L244" s="25" t="str">
        <f>IF(AND($A244&lt;=IF(Calc!$C$36=999,360,Calc!$C$36),Calc!$C$15=1),CHOOSE(Calc!$C$3,INDEX('Snowball Engine'!$AH246:$AV246,Calc!$I$15),INDEX('Avalanche Engine'!$AH246:$AV246,Calc!$J$15),INDEX('My Order Engine'!$AH246:$AV246,Calc!$K$15)),"")</f>
        <v/>
      </c>
      <c r="M244" s="25" t="str">
        <f>IF(AND($A244&lt;=IF(Calc!$C$36=999,360,Calc!$C$36),Calc!$C$16=1),CHOOSE(Calc!$C$3,INDEX('Snowball Engine'!$AH246:$AV246,Calc!$I$16),INDEX('Avalanche Engine'!$AH246:$AV246,Calc!$J$16),INDEX('My Order Engine'!$AH246:$AV246,Calc!$K$16)),"")</f>
        <v/>
      </c>
      <c r="N244" s="25" t="str">
        <f>IF(AND($A244&lt;=IF(Calc!$C$36=999,360,Calc!$C$36),Calc!$C$17=1),CHOOSE(Calc!$C$3,INDEX('Snowball Engine'!$AH246:$AV246,Calc!$I$17),INDEX('Avalanche Engine'!$AH246:$AV246,Calc!$J$17),INDEX('My Order Engine'!$AH246:$AV246,Calc!$K$17)),"")</f>
        <v/>
      </c>
      <c r="O244" s="25" t="str">
        <f>IF(AND($A244&lt;=IF(Calc!$C$36=999,360,Calc!$C$36),Calc!$C$18=1),CHOOSE(Calc!$C$3,INDEX('Snowball Engine'!$AH246:$AV246,Calc!$I$18),INDEX('Avalanche Engine'!$AH246:$AV246,Calc!$J$18),INDEX('My Order Engine'!$AH246:$AV246,Calc!$K$18)),"")</f>
        <v/>
      </c>
      <c r="P244" s="25" t="str">
        <f>IF(AND($A244&lt;=IF(Calc!$C$36=999,360,Calc!$C$36),Calc!$C$19=1),CHOOSE(Calc!$C$3,INDEX('Snowball Engine'!$AH246:$AV246,Calc!$I$19),INDEX('Avalanche Engine'!$AH246:$AV246,Calc!$J$19),INDEX('My Order Engine'!$AH246:$AV246,Calc!$K$19)),"")</f>
        <v/>
      </c>
      <c r="Q244" s="25" t="str">
        <f>IF(AND($A244&lt;=IF(Calc!$C$36=999,360,Calc!$C$36),Calc!$C$20=1),CHOOSE(Calc!$C$3,INDEX('Snowball Engine'!$AH246:$AV246,Calc!$I$20),INDEX('Avalanche Engine'!$AH246:$AV246,Calc!$J$20),INDEX('My Order Engine'!$AH246:$AV246,Calc!$K$20)),"")</f>
        <v/>
      </c>
      <c r="R244" s="25" t="str">
        <f>IF(AND($A244&lt;=IF(Calc!$C$36=999,360,Calc!$C$36),Calc!$C$21=1),CHOOSE(Calc!$C$3,INDEX('Snowball Engine'!$AH246:$AV246,Calc!$I$21),INDEX('Avalanche Engine'!$AH246:$AV246,Calc!$J$21),INDEX('My Order Engine'!$AH246:$AV246,Calc!$K$21)),"")</f>
        <v/>
      </c>
      <c r="S244" s="25" t="str">
        <f>IF(AND($A244&lt;=IF(Calc!$C$36=999,360,Calc!$C$36),Calc!$C$22=1),CHOOSE(Calc!$C$3,INDEX('Snowball Engine'!$AH246:$AV246,Calc!$I$22),INDEX('Avalanche Engine'!$AH246:$AV246,Calc!$J$22),INDEX('My Order Engine'!$AH246:$AV246,Calc!$K$22)),"")</f>
        <v/>
      </c>
      <c r="T244" s="25" t="str">
        <f>IF(AND($A244&lt;=IF(Calc!$C$36=999,360,Calc!$C$36),Calc!$C$23=1),CHOOSE(Calc!$C$3,INDEX('Snowball Engine'!$AH246:$AV246,Calc!$I$23),INDEX('Avalanche Engine'!$AH246:$AV246,Calc!$J$23),INDEX('My Order Engine'!$AH246:$AV246,Calc!$K$23)),"")</f>
        <v/>
      </c>
      <c r="U244" s="25" t="str">
        <f>IF(AND($A244&lt;=IF(Calc!$C$36=999,360,Calc!$C$36),Calc!$C$24=1),CHOOSE(Calc!$C$3,INDEX('Snowball Engine'!$AH246:$AV246,Calc!$I$24),INDEX('Avalanche Engine'!$AH246:$AV246,Calc!$J$24),INDEX('My Order Engine'!$AH246:$AV246,Calc!$K$24)),"")</f>
        <v/>
      </c>
    </row>
    <row r="245" spans="1:21" x14ac:dyDescent="0.35">
      <c r="A245" s="23">
        <v>241</v>
      </c>
      <c r="B245" s="24" t="str">
        <f>IF($A245&lt;=IF(Calc!$C$36=999,360,Calc!$C$36),EDATE(Calc!$C$5,A245-1),"")</f>
        <v/>
      </c>
      <c r="C245" s="25" t="str">
        <f>IF($A245&lt;=IF(Calc!$C$36=999,360,Calc!$C$36),CHOOSE(Calc!$C$3,'Snowball Engine'!AY247,'Avalanche Engine'!AY247,'My Order Engine'!AY247),"")</f>
        <v/>
      </c>
      <c r="D245" s="25" t="str">
        <f>IF($A245&lt;=IF(Calc!$C$36=999,360,Calc!$C$36),CHOOSE(Calc!$C$3,'Snowball Engine'!AX247,'Avalanche Engine'!AX247,'My Order Engine'!AX247),"")</f>
        <v/>
      </c>
      <c r="E245" s="25" t="str">
        <f>IF($A245&lt;=IF(Calc!$C$36=999,360,Calc!$C$36),C245-D245,"")</f>
        <v/>
      </c>
      <c r="F245" s="25" t="str">
        <f>IF($A245&lt;=IF(Calc!$C$36=999,360,Calc!$C$36),CHOOSE(Calc!$C$3,'Snowball Engine'!AW247,'Avalanche Engine'!AW247,'My Order Engine'!AW247),"")</f>
        <v/>
      </c>
      <c r="G245" s="25" t="str">
        <f>IF(AND($A245&lt;=IF(Calc!$C$36=999,360,Calc!$C$36),Calc!$C$10=1),CHOOSE(Calc!$C$3,INDEX('Snowball Engine'!$AH247:$AV247,Calc!$I$10),INDEX('Avalanche Engine'!$AH247:$AV247,Calc!$J$10),INDEX('My Order Engine'!$AH247:$AV247,Calc!$K$10)),"")</f>
        <v/>
      </c>
      <c r="H245" s="25" t="str">
        <f>IF(AND($A245&lt;=IF(Calc!$C$36=999,360,Calc!$C$36),Calc!$C$11=1),CHOOSE(Calc!$C$3,INDEX('Snowball Engine'!$AH247:$AV247,Calc!$I$11),INDEX('Avalanche Engine'!$AH247:$AV247,Calc!$J$11),INDEX('My Order Engine'!$AH247:$AV247,Calc!$K$11)),"")</f>
        <v/>
      </c>
      <c r="I245" s="25" t="str">
        <f>IF(AND($A245&lt;=IF(Calc!$C$36=999,360,Calc!$C$36),Calc!$C$12=1),CHOOSE(Calc!$C$3,INDEX('Snowball Engine'!$AH247:$AV247,Calc!$I$12),INDEX('Avalanche Engine'!$AH247:$AV247,Calc!$J$12),INDEX('My Order Engine'!$AH247:$AV247,Calc!$K$12)),"")</f>
        <v/>
      </c>
      <c r="J245" s="25" t="str">
        <f>IF(AND($A245&lt;=IF(Calc!$C$36=999,360,Calc!$C$36),Calc!$C$13=1),CHOOSE(Calc!$C$3,INDEX('Snowball Engine'!$AH247:$AV247,Calc!$I$13),INDEX('Avalanche Engine'!$AH247:$AV247,Calc!$J$13),INDEX('My Order Engine'!$AH247:$AV247,Calc!$K$13)),"")</f>
        <v/>
      </c>
      <c r="K245" s="25" t="str">
        <f>IF(AND($A245&lt;=IF(Calc!$C$36=999,360,Calc!$C$36),Calc!$C$14=1),CHOOSE(Calc!$C$3,INDEX('Snowball Engine'!$AH247:$AV247,Calc!$I$14),INDEX('Avalanche Engine'!$AH247:$AV247,Calc!$J$14),INDEX('My Order Engine'!$AH247:$AV247,Calc!$K$14)),"")</f>
        <v/>
      </c>
      <c r="L245" s="25" t="str">
        <f>IF(AND($A245&lt;=IF(Calc!$C$36=999,360,Calc!$C$36),Calc!$C$15=1),CHOOSE(Calc!$C$3,INDEX('Snowball Engine'!$AH247:$AV247,Calc!$I$15),INDEX('Avalanche Engine'!$AH247:$AV247,Calc!$J$15),INDEX('My Order Engine'!$AH247:$AV247,Calc!$K$15)),"")</f>
        <v/>
      </c>
      <c r="M245" s="25" t="str">
        <f>IF(AND($A245&lt;=IF(Calc!$C$36=999,360,Calc!$C$36),Calc!$C$16=1),CHOOSE(Calc!$C$3,INDEX('Snowball Engine'!$AH247:$AV247,Calc!$I$16),INDEX('Avalanche Engine'!$AH247:$AV247,Calc!$J$16),INDEX('My Order Engine'!$AH247:$AV247,Calc!$K$16)),"")</f>
        <v/>
      </c>
      <c r="N245" s="25" t="str">
        <f>IF(AND($A245&lt;=IF(Calc!$C$36=999,360,Calc!$C$36),Calc!$C$17=1),CHOOSE(Calc!$C$3,INDEX('Snowball Engine'!$AH247:$AV247,Calc!$I$17),INDEX('Avalanche Engine'!$AH247:$AV247,Calc!$J$17),INDEX('My Order Engine'!$AH247:$AV247,Calc!$K$17)),"")</f>
        <v/>
      </c>
      <c r="O245" s="25" t="str">
        <f>IF(AND($A245&lt;=IF(Calc!$C$36=999,360,Calc!$C$36),Calc!$C$18=1),CHOOSE(Calc!$C$3,INDEX('Snowball Engine'!$AH247:$AV247,Calc!$I$18),INDEX('Avalanche Engine'!$AH247:$AV247,Calc!$J$18),INDEX('My Order Engine'!$AH247:$AV247,Calc!$K$18)),"")</f>
        <v/>
      </c>
      <c r="P245" s="25" t="str">
        <f>IF(AND($A245&lt;=IF(Calc!$C$36=999,360,Calc!$C$36),Calc!$C$19=1),CHOOSE(Calc!$C$3,INDEX('Snowball Engine'!$AH247:$AV247,Calc!$I$19),INDEX('Avalanche Engine'!$AH247:$AV247,Calc!$J$19),INDEX('My Order Engine'!$AH247:$AV247,Calc!$K$19)),"")</f>
        <v/>
      </c>
      <c r="Q245" s="25" t="str">
        <f>IF(AND($A245&lt;=IF(Calc!$C$36=999,360,Calc!$C$36),Calc!$C$20=1),CHOOSE(Calc!$C$3,INDEX('Snowball Engine'!$AH247:$AV247,Calc!$I$20),INDEX('Avalanche Engine'!$AH247:$AV247,Calc!$J$20),INDEX('My Order Engine'!$AH247:$AV247,Calc!$K$20)),"")</f>
        <v/>
      </c>
      <c r="R245" s="25" t="str">
        <f>IF(AND($A245&lt;=IF(Calc!$C$36=999,360,Calc!$C$36),Calc!$C$21=1),CHOOSE(Calc!$C$3,INDEX('Snowball Engine'!$AH247:$AV247,Calc!$I$21),INDEX('Avalanche Engine'!$AH247:$AV247,Calc!$J$21),INDEX('My Order Engine'!$AH247:$AV247,Calc!$K$21)),"")</f>
        <v/>
      </c>
      <c r="S245" s="25" t="str">
        <f>IF(AND($A245&lt;=IF(Calc!$C$36=999,360,Calc!$C$36),Calc!$C$22=1),CHOOSE(Calc!$C$3,INDEX('Snowball Engine'!$AH247:$AV247,Calc!$I$22),INDEX('Avalanche Engine'!$AH247:$AV247,Calc!$J$22),INDEX('My Order Engine'!$AH247:$AV247,Calc!$K$22)),"")</f>
        <v/>
      </c>
      <c r="T245" s="25" t="str">
        <f>IF(AND($A245&lt;=IF(Calc!$C$36=999,360,Calc!$C$36),Calc!$C$23=1),CHOOSE(Calc!$C$3,INDEX('Snowball Engine'!$AH247:$AV247,Calc!$I$23),INDEX('Avalanche Engine'!$AH247:$AV247,Calc!$J$23),INDEX('My Order Engine'!$AH247:$AV247,Calc!$K$23)),"")</f>
        <v/>
      </c>
      <c r="U245" s="25" t="str">
        <f>IF(AND($A245&lt;=IF(Calc!$C$36=999,360,Calc!$C$36),Calc!$C$24=1),CHOOSE(Calc!$C$3,INDEX('Snowball Engine'!$AH247:$AV247,Calc!$I$24),INDEX('Avalanche Engine'!$AH247:$AV247,Calc!$J$24),INDEX('My Order Engine'!$AH247:$AV247,Calc!$K$24)),"")</f>
        <v/>
      </c>
    </row>
    <row r="246" spans="1:21" x14ac:dyDescent="0.35">
      <c r="A246" s="23">
        <v>242</v>
      </c>
      <c r="B246" s="24" t="str">
        <f>IF($A246&lt;=IF(Calc!$C$36=999,360,Calc!$C$36),EDATE(Calc!$C$5,A246-1),"")</f>
        <v/>
      </c>
      <c r="C246" s="25" t="str">
        <f>IF($A246&lt;=IF(Calc!$C$36=999,360,Calc!$C$36),CHOOSE(Calc!$C$3,'Snowball Engine'!AY248,'Avalanche Engine'!AY248,'My Order Engine'!AY248),"")</f>
        <v/>
      </c>
      <c r="D246" s="25" t="str">
        <f>IF($A246&lt;=IF(Calc!$C$36=999,360,Calc!$C$36),CHOOSE(Calc!$C$3,'Snowball Engine'!AX248,'Avalanche Engine'!AX248,'My Order Engine'!AX248),"")</f>
        <v/>
      </c>
      <c r="E246" s="25" t="str">
        <f>IF($A246&lt;=IF(Calc!$C$36=999,360,Calc!$C$36),C246-D246,"")</f>
        <v/>
      </c>
      <c r="F246" s="25" t="str">
        <f>IF($A246&lt;=IF(Calc!$C$36=999,360,Calc!$C$36),CHOOSE(Calc!$C$3,'Snowball Engine'!AW248,'Avalanche Engine'!AW248,'My Order Engine'!AW248),"")</f>
        <v/>
      </c>
      <c r="G246" s="25" t="str">
        <f>IF(AND($A246&lt;=IF(Calc!$C$36=999,360,Calc!$C$36),Calc!$C$10=1),CHOOSE(Calc!$C$3,INDEX('Snowball Engine'!$AH248:$AV248,Calc!$I$10),INDEX('Avalanche Engine'!$AH248:$AV248,Calc!$J$10),INDEX('My Order Engine'!$AH248:$AV248,Calc!$K$10)),"")</f>
        <v/>
      </c>
      <c r="H246" s="25" t="str">
        <f>IF(AND($A246&lt;=IF(Calc!$C$36=999,360,Calc!$C$36),Calc!$C$11=1),CHOOSE(Calc!$C$3,INDEX('Snowball Engine'!$AH248:$AV248,Calc!$I$11),INDEX('Avalanche Engine'!$AH248:$AV248,Calc!$J$11),INDEX('My Order Engine'!$AH248:$AV248,Calc!$K$11)),"")</f>
        <v/>
      </c>
      <c r="I246" s="25" t="str">
        <f>IF(AND($A246&lt;=IF(Calc!$C$36=999,360,Calc!$C$36),Calc!$C$12=1),CHOOSE(Calc!$C$3,INDEX('Snowball Engine'!$AH248:$AV248,Calc!$I$12),INDEX('Avalanche Engine'!$AH248:$AV248,Calc!$J$12),INDEX('My Order Engine'!$AH248:$AV248,Calc!$K$12)),"")</f>
        <v/>
      </c>
      <c r="J246" s="25" t="str">
        <f>IF(AND($A246&lt;=IF(Calc!$C$36=999,360,Calc!$C$36),Calc!$C$13=1),CHOOSE(Calc!$C$3,INDEX('Snowball Engine'!$AH248:$AV248,Calc!$I$13),INDEX('Avalanche Engine'!$AH248:$AV248,Calc!$J$13),INDEX('My Order Engine'!$AH248:$AV248,Calc!$K$13)),"")</f>
        <v/>
      </c>
      <c r="K246" s="25" t="str">
        <f>IF(AND($A246&lt;=IF(Calc!$C$36=999,360,Calc!$C$36),Calc!$C$14=1),CHOOSE(Calc!$C$3,INDEX('Snowball Engine'!$AH248:$AV248,Calc!$I$14),INDEX('Avalanche Engine'!$AH248:$AV248,Calc!$J$14),INDEX('My Order Engine'!$AH248:$AV248,Calc!$K$14)),"")</f>
        <v/>
      </c>
      <c r="L246" s="25" t="str">
        <f>IF(AND($A246&lt;=IF(Calc!$C$36=999,360,Calc!$C$36),Calc!$C$15=1),CHOOSE(Calc!$C$3,INDEX('Snowball Engine'!$AH248:$AV248,Calc!$I$15),INDEX('Avalanche Engine'!$AH248:$AV248,Calc!$J$15),INDEX('My Order Engine'!$AH248:$AV248,Calc!$K$15)),"")</f>
        <v/>
      </c>
      <c r="M246" s="25" t="str">
        <f>IF(AND($A246&lt;=IF(Calc!$C$36=999,360,Calc!$C$36),Calc!$C$16=1),CHOOSE(Calc!$C$3,INDEX('Snowball Engine'!$AH248:$AV248,Calc!$I$16),INDEX('Avalanche Engine'!$AH248:$AV248,Calc!$J$16),INDEX('My Order Engine'!$AH248:$AV248,Calc!$K$16)),"")</f>
        <v/>
      </c>
      <c r="N246" s="25" t="str">
        <f>IF(AND($A246&lt;=IF(Calc!$C$36=999,360,Calc!$C$36),Calc!$C$17=1),CHOOSE(Calc!$C$3,INDEX('Snowball Engine'!$AH248:$AV248,Calc!$I$17),INDEX('Avalanche Engine'!$AH248:$AV248,Calc!$J$17),INDEX('My Order Engine'!$AH248:$AV248,Calc!$K$17)),"")</f>
        <v/>
      </c>
      <c r="O246" s="25" t="str">
        <f>IF(AND($A246&lt;=IF(Calc!$C$36=999,360,Calc!$C$36),Calc!$C$18=1),CHOOSE(Calc!$C$3,INDEX('Snowball Engine'!$AH248:$AV248,Calc!$I$18),INDEX('Avalanche Engine'!$AH248:$AV248,Calc!$J$18),INDEX('My Order Engine'!$AH248:$AV248,Calc!$K$18)),"")</f>
        <v/>
      </c>
      <c r="P246" s="25" t="str">
        <f>IF(AND($A246&lt;=IF(Calc!$C$36=999,360,Calc!$C$36),Calc!$C$19=1),CHOOSE(Calc!$C$3,INDEX('Snowball Engine'!$AH248:$AV248,Calc!$I$19),INDEX('Avalanche Engine'!$AH248:$AV248,Calc!$J$19),INDEX('My Order Engine'!$AH248:$AV248,Calc!$K$19)),"")</f>
        <v/>
      </c>
      <c r="Q246" s="25" t="str">
        <f>IF(AND($A246&lt;=IF(Calc!$C$36=999,360,Calc!$C$36),Calc!$C$20=1),CHOOSE(Calc!$C$3,INDEX('Snowball Engine'!$AH248:$AV248,Calc!$I$20),INDEX('Avalanche Engine'!$AH248:$AV248,Calc!$J$20),INDEX('My Order Engine'!$AH248:$AV248,Calc!$K$20)),"")</f>
        <v/>
      </c>
      <c r="R246" s="25" t="str">
        <f>IF(AND($A246&lt;=IF(Calc!$C$36=999,360,Calc!$C$36),Calc!$C$21=1),CHOOSE(Calc!$C$3,INDEX('Snowball Engine'!$AH248:$AV248,Calc!$I$21),INDEX('Avalanche Engine'!$AH248:$AV248,Calc!$J$21),INDEX('My Order Engine'!$AH248:$AV248,Calc!$K$21)),"")</f>
        <v/>
      </c>
      <c r="S246" s="25" t="str">
        <f>IF(AND($A246&lt;=IF(Calc!$C$36=999,360,Calc!$C$36),Calc!$C$22=1),CHOOSE(Calc!$C$3,INDEX('Snowball Engine'!$AH248:$AV248,Calc!$I$22),INDEX('Avalanche Engine'!$AH248:$AV248,Calc!$J$22),INDEX('My Order Engine'!$AH248:$AV248,Calc!$K$22)),"")</f>
        <v/>
      </c>
      <c r="T246" s="25" t="str">
        <f>IF(AND($A246&lt;=IF(Calc!$C$36=999,360,Calc!$C$36),Calc!$C$23=1),CHOOSE(Calc!$C$3,INDEX('Snowball Engine'!$AH248:$AV248,Calc!$I$23),INDEX('Avalanche Engine'!$AH248:$AV248,Calc!$J$23),INDEX('My Order Engine'!$AH248:$AV248,Calc!$K$23)),"")</f>
        <v/>
      </c>
      <c r="U246" s="25" t="str">
        <f>IF(AND($A246&lt;=IF(Calc!$C$36=999,360,Calc!$C$36),Calc!$C$24=1),CHOOSE(Calc!$C$3,INDEX('Snowball Engine'!$AH248:$AV248,Calc!$I$24),INDEX('Avalanche Engine'!$AH248:$AV248,Calc!$J$24),INDEX('My Order Engine'!$AH248:$AV248,Calc!$K$24)),"")</f>
        <v/>
      </c>
    </row>
    <row r="247" spans="1:21" x14ac:dyDescent="0.35">
      <c r="A247" s="23">
        <v>243</v>
      </c>
      <c r="B247" s="24" t="str">
        <f>IF($A247&lt;=IF(Calc!$C$36=999,360,Calc!$C$36),EDATE(Calc!$C$5,A247-1),"")</f>
        <v/>
      </c>
      <c r="C247" s="25" t="str">
        <f>IF($A247&lt;=IF(Calc!$C$36=999,360,Calc!$C$36),CHOOSE(Calc!$C$3,'Snowball Engine'!AY249,'Avalanche Engine'!AY249,'My Order Engine'!AY249),"")</f>
        <v/>
      </c>
      <c r="D247" s="25" t="str">
        <f>IF($A247&lt;=IF(Calc!$C$36=999,360,Calc!$C$36),CHOOSE(Calc!$C$3,'Snowball Engine'!AX249,'Avalanche Engine'!AX249,'My Order Engine'!AX249),"")</f>
        <v/>
      </c>
      <c r="E247" s="25" t="str">
        <f>IF($A247&lt;=IF(Calc!$C$36=999,360,Calc!$C$36),C247-D247,"")</f>
        <v/>
      </c>
      <c r="F247" s="25" t="str">
        <f>IF($A247&lt;=IF(Calc!$C$36=999,360,Calc!$C$36),CHOOSE(Calc!$C$3,'Snowball Engine'!AW249,'Avalanche Engine'!AW249,'My Order Engine'!AW249),"")</f>
        <v/>
      </c>
      <c r="G247" s="25" t="str">
        <f>IF(AND($A247&lt;=IF(Calc!$C$36=999,360,Calc!$C$36),Calc!$C$10=1),CHOOSE(Calc!$C$3,INDEX('Snowball Engine'!$AH249:$AV249,Calc!$I$10),INDEX('Avalanche Engine'!$AH249:$AV249,Calc!$J$10),INDEX('My Order Engine'!$AH249:$AV249,Calc!$K$10)),"")</f>
        <v/>
      </c>
      <c r="H247" s="25" t="str">
        <f>IF(AND($A247&lt;=IF(Calc!$C$36=999,360,Calc!$C$36),Calc!$C$11=1),CHOOSE(Calc!$C$3,INDEX('Snowball Engine'!$AH249:$AV249,Calc!$I$11),INDEX('Avalanche Engine'!$AH249:$AV249,Calc!$J$11),INDEX('My Order Engine'!$AH249:$AV249,Calc!$K$11)),"")</f>
        <v/>
      </c>
      <c r="I247" s="25" t="str">
        <f>IF(AND($A247&lt;=IF(Calc!$C$36=999,360,Calc!$C$36),Calc!$C$12=1),CHOOSE(Calc!$C$3,INDEX('Snowball Engine'!$AH249:$AV249,Calc!$I$12),INDEX('Avalanche Engine'!$AH249:$AV249,Calc!$J$12),INDEX('My Order Engine'!$AH249:$AV249,Calc!$K$12)),"")</f>
        <v/>
      </c>
      <c r="J247" s="25" t="str">
        <f>IF(AND($A247&lt;=IF(Calc!$C$36=999,360,Calc!$C$36),Calc!$C$13=1),CHOOSE(Calc!$C$3,INDEX('Snowball Engine'!$AH249:$AV249,Calc!$I$13),INDEX('Avalanche Engine'!$AH249:$AV249,Calc!$J$13),INDEX('My Order Engine'!$AH249:$AV249,Calc!$K$13)),"")</f>
        <v/>
      </c>
      <c r="K247" s="25" t="str">
        <f>IF(AND($A247&lt;=IF(Calc!$C$36=999,360,Calc!$C$36),Calc!$C$14=1),CHOOSE(Calc!$C$3,INDEX('Snowball Engine'!$AH249:$AV249,Calc!$I$14),INDEX('Avalanche Engine'!$AH249:$AV249,Calc!$J$14),INDEX('My Order Engine'!$AH249:$AV249,Calc!$K$14)),"")</f>
        <v/>
      </c>
      <c r="L247" s="25" t="str">
        <f>IF(AND($A247&lt;=IF(Calc!$C$36=999,360,Calc!$C$36),Calc!$C$15=1),CHOOSE(Calc!$C$3,INDEX('Snowball Engine'!$AH249:$AV249,Calc!$I$15),INDEX('Avalanche Engine'!$AH249:$AV249,Calc!$J$15),INDEX('My Order Engine'!$AH249:$AV249,Calc!$K$15)),"")</f>
        <v/>
      </c>
      <c r="M247" s="25" t="str">
        <f>IF(AND($A247&lt;=IF(Calc!$C$36=999,360,Calc!$C$36),Calc!$C$16=1),CHOOSE(Calc!$C$3,INDEX('Snowball Engine'!$AH249:$AV249,Calc!$I$16),INDEX('Avalanche Engine'!$AH249:$AV249,Calc!$J$16),INDEX('My Order Engine'!$AH249:$AV249,Calc!$K$16)),"")</f>
        <v/>
      </c>
      <c r="N247" s="25" t="str">
        <f>IF(AND($A247&lt;=IF(Calc!$C$36=999,360,Calc!$C$36),Calc!$C$17=1),CHOOSE(Calc!$C$3,INDEX('Snowball Engine'!$AH249:$AV249,Calc!$I$17),INDEX('Avalanche Engine'!$AH249:$AV249,Calc!$J$17),INDEX('My Order Engine'!$AH249:$AV249,Calc!$K$17)),"")</f>
        <v/>
      </c>
      <c r="O247" s="25" t="str">
        <f>IF(AND($A247&lt;=IF(Calc!$C$36=999,360,Calc!$C$36),Calc!$C$18=1),CHOOSE(Calc!$C$3,INDEX('Snowball Engine'!$AH249:$AV249,Calc!$I$18),INDEX('Avalanche Engine'!$AH249:$AV249,Calc!$J$18),INDEX('My Order Engine'!$AH249:$AV249,Calc!$K$18)),"")</f>
        <v/>
      </c>
      <c r="P247" s="25" t="str">
        <f>IF(AND($A247&lt;=IF(Calc!$C$36=999,360,Calc!$C$36),Calc!$C$19=1),CHOOSE(Calc!$C$3,INDEX('Snowball Engine'!$AH249:$AV249,Calc!$I$19),INDEX('Avalanche Engine'!$AH249:$AV249,Calc!$J$19),INDEX('My Order Engine'!$AH249:$AV249,Calc!$K$19)),"")</f>
        <v/>
      </c>
      <c r="Q247" s="25" t="str">
        <f>IF(AND($A247&lt;=IF(Calc!$C$36=999,360,Calc!$C$36),Calc!$C$20=1),CHOOSE(Calc!$C$3,INDEX('Snowball Engine'!$AH249:$AV249,Calc!$I$20),INDEX('Avalanche Engine'!$AH249:$AV249,Calc!$J$20),INDEX('My Order Engine'!$AH249:$AV249,Calc!$K$20)),"")</f>
        <v/>
      </c>
      <c r="R247" s="25" t="str">
        <f>IF(AND($A247&lt;=IF(Calc!$C$36=999,360,Calc!$C$36),Calc!$C$21=1),CHOOSE(Calc!$C$3,INDEX('Snowball Engine'!$AH249:$AV249,Calc!$I$21),INDEX('Avalanche Engine'!$AH249:$AV249,Calc!$J$21),INDEX('My Order Engine'!$AH249:$AV249,Calc!$K$21)),"")</f>
        <v/>
      </c>
      <c r="S247" s="25" t="str">
        <f>IF(AND($A247&lt;=IF(Calc!$C$36=999,360,Calc!$C$36),Calc!$C$22=1),CHOOSE(Calc!$C$3,INDEX('Snowball Engine'!$AH249:$AV249,Calc!$I$22),INDEX('Avalanche Engine'!$AH249:$AV249,Calc!$J$22),INDEX('My Order Engine'!$AH249:$AV249,Calc!$K$22)),"")</f>
        <v/>
      </c>
      <c r="T247" s="25" t="str">
        <f>IF(AND($A247&lt;=IF(Calc!$C$36=999,360,Calc!$C$36),Calc!$C$23=1),CHOOSE(Calc!$C$3,INDEX('Snowball Engine'!$AH249:$AV249,Calc!$I$23),INDEX('Avalanche Engine'!$AH249:$AV249,Calc!$J$23),INDEX('My Order Engine'!$AH249:$AV249,Calc!$K$23)),"")</f>
        <v/>
      </c>
      <c r="U247" s="25" t="str">
        <f>IF(AND($A247&lt;=IF(Calc!$C$36=999,360,Calc!$C$36),Calc!$C$24=1),CHOOSE(Calc!$C$3,INDEX('Snowball Engine'!$AH249:$AV249,Calc!$I$24),INDEX('Avalanche Engine'!$AH249:$AV249,Calc!$J$24),INDEX('My Order Engine'!$AH249:$AV249,Calc!$K$24)),"")</f>
        <v/>
      </c>
    </row>
    <row r="248" spans="1:21" x14ac:dyDescent="0.35">
      <c r="A248" s="23">
        <v>244</v>
      </c>
      <c r="B248" s="24" t="str">
        <f>IF($A248&lt;=IF(Calc!$C$36=999,360,Calc!$C$36),EDATE(Calc!$C$5,A248-1),"")</f>
        <v/>
      </c>
      <c r="C248" s="25" t="str">
        <f>IF($A248&lt;=IF(Calc!$C$36=999,360,Calc!$C$36),CHOOSE(Calc!$C$3,'Snowball Engine'!AY250,'Avalanche Engine'!AY250,'My Order Engine'!AY250),"")</f>
        <v/>
      </c>
      <c r="D248" s="25" t="str">
        <f>IF($A248&lt;=IF(Calc!$C$36=999,360,Calc!$C$36),CHOOSE(Calc!$C$3,'Snowball Engine'!AX250,'Avalanche Engine'!AX250,'My Order Engine'!AX250),"")</f>
        <v/>
      </c>
      <c r="E248" s="25" t="str">
        <f>IF($A248&lt;=IF(Calc!$C$36=999,360,Calc!$C$36),C248-D248,"")</f>
        <v/>
      </c>
      <c r="F248" s="25" t="str">
        <f>IF($A248&lt;=IF(Calc!$C$36=999,360,Calc!$C$36),CHOOSE(Calc!$C$3,'Snowball Engine'!AW250,'Avalanche Engine'!AW250,'My Order Engine'!AW250),"")</f>
        <v/>
      </c>
      <c r="G248" s="25" t="str">
        <f>IF(AND($A248&lt;=IF(Calc!$C$36=999,360,Calc!$C$36),Calc!$C$10=1),CHOOSE(Calc!$C$3,INDEX('Snowball Engine'!$AH250:$AV250,Calc!$I$10),INDEX('Avalanche Engine'!$AH250:$AV250,Calc!$J$10),INDEX('My Order Engine'!$AH250:$AV250,Calc!$K$10)),"")</f>
        <v/>
      </c>
      <c r="H248" s="25" t="str">
        <f>IF(AND($A248&lt;=IF(Calc!$C$36=999,360,Calc!$C$36),Calc!$C$11=1),CHOOSE(Calc!$C$3,INDEX('Snowball Engine'!$AH250:$AV250,Calc!$I$11),INDEX('Avalanche Engine'!$AH250:$AV250,Calc!$J$11),INDEX('My Order Engine'!$AH250:$AV250,Calc!$K$11)),"")</f>
        <v/>
      </c>
      <c r="I248" s="25" t="str">
        <f>IF(AND($A248&lt;=IF(Calc!$C$36=999,360,Calc!$C$36),Calc!$C$12=1),CHOOSE(Calc!$C$3,INDEX('Snowball Engine'!$AH250:$AV250,Calc!$I$12),INDEX('Avalanche Engine'!$AH250:$AV250,Calc!$J$12),INDEX('My Order Engine'!$AH250:$AV250,Calc!$K$12)),"")</f>
        <v/>
      </c>
      <c r="J248" s="25" t="str">
        <f>IF(AND($A248&lt;=IF(Calc!$C$36=999,360,Calc!$C$36),Calc!$C$13=1),CHOOSE(Calc!$C$3,INDEX('Snowball Engine'!$AH250:$AV250,Calc!$I$13),INDEX('Avalanche Engine'!$AH250:$AV250,Calc!$J$13),INDEX('My Order Engine'!$AH250:$AV250,Calc!$K$13)),"")</f>
        <v/>
      </c>
      <c r="K248" s="25" t="str">
        <f>IF(AND($A248&lt;=IF(Calc!$C$36=999,360,Calc!$C$36),Calc!$C$14=1),CHOOSE(Calc!$C$3,INDEX('Snowball Engine'!$AH250:$AV250,Calc!$I$14),INDEX('Avalanche Engine'!$AH250:$AV250,Calc!$J$14),INDEX('My Order Engine'!$AH250:$AV250,Calc!$K$14)),"")</f>
        <v/>
      </c>
      <c r="L248" s="25" t="str">
        <f>IF(AND($A248&lt;=IF(Calc!$C$36=999,360,Calc!$C$36),Calc!$C$15=1),CHOOSE(Calc!$C$3,INDEX('Snowball Engine'!$AH250:$AV250,Calc!$I$15),INDEX('Avalanche Engine'!$AH250:$AV250,Calc!$J$15),INDEX('My Order Engine'!$AH250:$AV250,Calc!$K$15)),"")</f>
        <v/>
      </c>
      <c r="M248" s="25" t="str">
        <f>IF(AND($A248&lt;=IF(Calc!$C$36=999,360,Calc!$C$36),Calc!$C$16=1),CHOOSE(Calc!$C$3,INDEX('Snowball Engine'!$AH250:$AV250,Calc!$I$16),INDEX('Avalanche Engine'!$AH250:$AV250,Calc!$J$16),INDEX('My Order Engine'!$AH250:$AV250,Calc!$K$16)),"")</f>
        <v/>
      </c>
      <c r="N248" s="25" t="str">
        <f>IF(AND($A248&lt;=IF(Calc!$C$36=999,360,Calc!$C$36),Calc!$C$17=1),CHOOSE(Calc!$C$3,INDEX('Snowball Engine'!$AH250:$AV250,Calc!$I$17),INDEX('Avalanche Engine'!$AH250:$AV250,Calc!$J$17),INDEX('My Order Engine'!$AH250:$AV250,Calc!$K$17)),"")</f>
        <v/>
      </c>
      <c r="O248" s="25" t="str">
        <f>IF(AND($A248&lt;=IF(Calc!$C$36=999,360,Calc!$C$36),Calc!$C$18=1),CHOOSE(Calc!$C$3,INDEX('Snowball Engine'!$AH250:$AV250,Calc!$I$18),INDEX('Avalanche Engine'!$AH250:$AV250,Calc!$J$18),INDEX('My Order Engine'!$AH250:$AV250,Calc!$K$18)),"")</f>
        <v/>
      </c>
      <c r="P248" s="25" t="str">
        <f>IF(AND($A248&lt;=IF(Calc!$C$36=999,360,Calc!$C$36),Calc!$C$19=1),CHOOSE(Calc!$C$3,INDEX('Snowball Engine'!$AH250:$AV250,Calc!$I$19),INDEX('Avalanche Engine'!$AH250:$AV250,Calc!$J$19),INDEX('My Order Engine'!$AH250:$AV250,Calc!$K$19)),"")</f>
        <v/>
      </c>
      <c r="Q248" s="25" t="str">
        <f>IF(AND($A248&lt;=IF(Calc!$C$36=999,360,Calc!$C$36),Calc!$C$20=1),CHOOSE(Calc!$C$3,INDEX('Snowball Engine'!$AH250:$AV250,Calc!$I$20),INDEX('Avalanche Engine'!$AH250:$AV250,Calc!$J$20),INDEX('My Order Engine'!$AH250:$AV250,Calc!$K$20)),"")</f>
        <v/>
      </c>
      <c r="R248" s="25" t="str">
        <f>IF(AND($A248&lt;=IF(Calc!$C$36=999,360,Calc!$C$36),Calc!$C$21=1),CHOOSE(Calc!$C$3,INDEX('Snowball Engine'!$AH250:$AV250,Calc!$I$21),INDEX('Avalanche Engine'!$AH250:$AV250,Calc!$J$21),INDEX('My Order Engine'!$AH250:$AV250,Calc!$K$21)),"")</f>
        <v/>
      </c>
      <c r="S248" s="25" t="str">
        <f>IF(AND($A248&lt;=IF(Calc!$C$36=999,360,Calc!$C$36),Calc!$C$22=1),CHOOSE(Calc!$C$3,INDEX('Snowball Engine'!$AH250:$AV250,Calc!$I$22),INDEX('Avalanche Engine'!$AH250:$AV250,Calc!$J$22),INDEX('My Order Engine'!$AH250:$AV250,Calc!$K$22)),"")</f>
        <v/>
      </c>
      <c r="T248" s="25" t="str">
        <f>IF(AND($A248&lt;=IF(Calc!$C$36=999,360,Calc!$C$36),Calc!$C$23=1),CHOOSE(Calc!$C$3,INDEX('Snowball Engine'!$AH250:$AV250,Calc!$I$23),INDEX('Avalanche Engine'!$AH250:$AV250,Calc!$J$23),INDEX('My Order Engine'!$AH250:$AV250,Calc!$K$23)),"")</f>
        <v/>
      </c>
      <c r="U248" s="25" t="str">
        <f>IF(AND($A248&lt;=IF(Calc!$C$36=999,360,Calc!$C$36),Calc!$C$24=1),CHOOSE(Calc!$C$3,INDEX('Snowball Engine'!$AH250:$AV250,Calc!$I$24),INDEX('Avalanche Engine'!$AH250:$AV250,Calc!$J$24),INDEX('My Order Engine'!$AH250:$AV250,Calc!$K$24)),"")</f>
        <v/>
      </c>
    </row>
    <row r="249" spans="1:21" x14ac:dyDescent="0.35">
      <c r="A249" s="23">
        <v>245</v>
      </c>
      <c r="B249" s="24" t="str">
        <f>IF($A249&lt;=IF(Calc!$C$36=999,360,Calc!$C$36),EDATE(Calc!$C$5,A249-1),"")</f>
        <v/>
      </c>
      <c r="C249" s="25" t="str">
        <f>IF($A249&lt;=IF(Calc!$C$36=999,360,Calc!$C$36),CHOOSE(Calc!$C$3,'Snowball Engine'!AY251,'Avalanche Engine'!AY251,'My Order Engine'!AY251),"")</f>
        <v/>
      </c>
      <c r="D249" s="25" t="str">
        <f>IF($A249&lt;=IF(Calc!$C$36=999,360,Calc!$C$36),CHOOSE(Calc!$C$3,'Snowball Engine'!AX251,'Avalanche Engine'!AX251,'My Order Engine'!AX251),"")</f>
        <v/>
      </c>
      <c r="E249" s="25" t="str">
        <f>IF($A249&lt;=IF(Calc!$C$36=999,360,Calc!$C$36),C249-D249,"")</f>
        <v/>
      </c>
      <c r="F249" s="25" t="str">
        <f>IF($A249&lt;=IF(Calc!$C$36=999,360,Calc!$C$36),CHOOSE(Calc!$C$3,'Snowball Engine'!AW251,'Avalanche Engine'!AW251,'My Order Engine'!AW251),"")</f>
        <v/>
      </c>
      <c r="G249" s="25" t="str">
        <f>IF(AND($A249&lt;=IF(Calc!$C$36=999,360,Calc!$C$36),Calc!$C$10=1),CHOOSE(Calc!$C$3,INDEX('Snowball Engine'!$AH251:$AV251,Calc!$I$10),INDEX('Avalanche Engine'!$AH251:$AV251,Calc!$J$10),INDEX('My Order Engine'!$AH251:$AV251,Calc!$K$10)),"")</f>
        <v/>
      </c>
      <c r="H249" s="25" t="str">
        <f>IF(AND($A249&lt;=IF(Calc!$C$36=999,360,Calc!$C$36),Calc!$C$11=1),CHOOSE(Calc!$C$3,INDEX('Snowball Engine'!$AH251:$AV251,Calc!$I$11),INDEX('Avalanche Engine'!$AH251:$AV251,Calc!$J$11),INDEX('My Order Engine'!$AH251:$AV251,Calc!$K$11)),"")</f>
        <v/>
      </c>
      <c r="I249" s="25" t="str">
        <f>IF(AND($A249&lt;=IF(Calc!$C$36=999,360,Calc!$C$36),Calc!$C$12=1),CHOOSE(Calc!$C$3,INDEX('Snowball Engine'!$AH251:$AV251,Calc!$I$12),INDEX('Avalanche Engine'!$AH251:$AV251,Calc!$J$12),INDEX('My Order Engine'!$AH251:$AV251,Calc!$K$12)),"")</f>
        <v/>
      </c>
      <c r="J249" s="25" t="str">
        <f>IF(AND($A249&lt;=IF(Calc!$C$36=999,360,Calc!$C$36),Calc!$C$13=1),CHOOSE(Calc!$C$3,INDEX('Snowball Engine'!$AH251:$AV251,Calc!$I$13),INDEX('Avalanche Engine'!$AH251:$AV251,Calc!$J$13),INDEX('My Order Engine'!$AH251:$AV251,Calc!$K$13)),"")</f>
        <v/>
      </c>
      <c r="K249" s="25" t="str">
        <f>IF(AND($A249&lt;=IF(Calc!$C$36=999,360,Calc!$C$36),Calc!$C$14=1),CHOOSE(Calc!$C$3,INDEX('Snowball Engine'!$AH251:$AV251,Calc!$I$14),INDEX('Avalanche Engine'!$AH251:$AV251,Calc!$J$14),INDEX('My Order Engine'!$AH251:$AV251,Calc!$K$14)),"")</f>
        <v/>
      </c>
      <c r="L249" s="25" t="str">
        <f>IF(AND($A249&lt;=IF(Calc!$C$36=999,360,Calc!$C$36),Calc!$C$15=1),CHOOSE(Calc!$C$3,INDEX('Snowball Engine'!$AH251:$AV251,Calc!$I$15),INDEX('Avalanche Engine'!$AH251:$AV251,Calc!$J$15),INDEX('My Order Engine'!$AH251:$AV251,Calc!$K$15)),"")</f>
        <v/>
      </c>
      <c r="M249" s="25" t="str">
        <f>IF(AND($A249&lt;=IF(Calc!$C$36=999,360,Calc!$C$36),Calc!$C$16=1),CHOOSE(Calc!$C$3,INDEX('Snowball Engine'!$AH251:$AV251,Calc!$I$16),INDEX('Avalanche Engine'!$AH251:$AV251,Calc!$J$16),INDEX('My Order Engine'!$AH251:$AV251,Calc!$K$16)),"")</f>
        <v/>
      </c>
      <c r="N249" s="25" t="str">
        <f>IF(AND($A249&lt;=IF(Calc!$C$36=999,360,Calc!$C$36),Calc!$C$17=1),CHOOSE(Calc!$C$3,INDEX('Snowball Engine'!$AH251:$AV251,Calc!$I$17),INDEX('Avalanche Engine'!$AH251:$AV251,Calc!$J$17),INDEX('My Order Engine'!$AH251:$AV251,Calc!$K$17)),"")</f>
        <v/>
      </c>
      <c r="O249" s="25" t="str">
        <f>IF(AND($A249&lt;=IF(Calc!$C$36=999,360,Calc!$C$36),Calc!$C$18=1),CHOOSE(Calc!$C$3,INDEX('Snowball Engine'!$AH251:$AV251,Calc!$I$18),INDEX('Avalanche Engine'!$AH251:$AV251,Calc!$J$18),INDEX('My Order Engine'!$AH251:$AV251,Calc!$K$18)),"")</f>
        <v/>
      </c>
      <c r="P249" s="25" t="str">
        <f>IF(AND($A249&lt;=IF(Calc!$C$36=999,360,Calc!$C$36),Calc!$C$19=1),CHOOSE(Calc!$C$3,INDEX('Snowball Engine'!$AH251:$AV251,Calc!$I$19),INDEX('Avalanche Engine'!$AH251:$AV251,Calc!$J$19),INDEX('My Order Engine'!$AH251:$AV251,Calc!$K$19)),"")</f>
        <v/>
      </c>
      <c r="Q249" s="25" t="str">
        <f>IF(AND($A249&lt;=IF(Calc!$C$36=999,360,Calc!$C$36),Calc!$C$20=1),CHOOSE(Calc!$C$3,INDEX('Snowball Engine'!$AH251:$AV251,Calc!$I$20),INDEX('Avalanche Engine'!$AH251:$AV251,Calc!$J$20),INDEX('My Order Engine'!$AH251:$AV251,Calc!$K$20)),"")</f>
        <v/>
      </c>
      <c r="R249" s="25" t="str">
        <f>IF(AND($A249&lt;=IF(Calc!$C$36=999,360,Calc!$C$36),Calc!$C$21=1),CHOOSE(Calc!$C$3,INDEX('Snowball Engine'!$AH251:$AV251,Calc!$I$21),INDEX('Avalanche Engine'!$AH251:$AV251,Calc!$J$21),INDEX('My Order Engine'!$AH251:$AV251,Calc!$K$21)),"")</f>
        <v/>
      </c>
      <c r="S249" s="25" t="str">
        <f>IF(AND($A249&lt;=IF(Calc!$C$36=999,360,Calc!$C$36),Calc!$C$22=1),CHOOSE(Calc!$C$3,INDEX('Snowball Engine'!$AH251:$AV251,Calc!$I$22),INDEX('Avalanche Engine'!$AH251:$AV251,Calc!$J$22),INDEX('My Order Engine'!$AH251:$AV251,Calc!$K$22)),"")</f>
        <v/>
      </c>
      <c r="T249" s="25" t="str">
        <f>IF(AND($A249&lt;=IF(Calc!$C$36=999,360,Calc!$C$36),Calc!$C$23=1),CHOOSE(Calc!$C$3,INDEX('Snowball Engine'!$AH251:$AV251,Calc!$I$23),INDEX('Avalanche Engine'!$AH251:$AV251,Calc!$J$23),INDEX('My Order Engine'!$AH251:$AV251,Calc!$K$23)),"")</f>
        <v/>
      </c>
      <c r="U249" s="25" t="str">
        <f>IF(AND($A249&lt;=IF(Calc!$C$36=999,360,Calc!$C$36),Calc!$C$24=1),CHOOSE(Calc!$C$3,INDEX('Snowball Engine'!$AH251:$AV251,Calc!$I$24),INDEX('Avalanche Engine'!$AH251:$AV251,Calc!$J$24),INDEX('My Order Engine'!$AH251:$AV251,Calc!$K$24)),"")</f>
        <v/>
      </c>
    </row>
    <row r="250" spans="1:21" x14ac:dyDescent="0.35">
      <c r="A250" s="23">
        <v>246</v>
      </c>
      <c r="B250" s="24" t="str">
        <f>IF($A250&lt;=IF(Calc!$C$36=999,360,Calc!$C$36),EDATE(Calc!$C$5,A250-1),"")</f>
        <v/>
      </c>
      <c r="C250" s="25" t="str">
        <f>IF($A250&lt;=IF(Calc!$C$36=999,360,Calc!$C$36),CHOOSE(Calc!$C$3,'Snowball Engine'!AY252,'Avalanche Engine'!AY252,'My Order Engine'!AY252),"")</f>
        <v/>
      </c>
      <c r="D250" s="25" t="str">
        <f>IF($A250&lt;=IF(Calc!$C$36=999,360,Calc!$C$36),CHOOSE(Calc!$C$3,'Snowball Engine'!AX252,'Avalanche Engine'!AX252,'My Order Engine'!AX252),"")</f>
        <v/>
      </c>
      <c r="E250" s="25" t="str">
        <f>IF($A250&lt;=IF(Calc!$C$36=999,360,Calc!$C$36),C250-D250,"")</f>
        <v/>
      </c>
      <c r="F250" s="25" t="str">
        <f>IF($A250&lt;=IF(Calc!$C$36=999,360,Calc!$C$36),CHOOSE(Calc!$C$3,'Snowball Engine'!AW252,'Avalanche Engine'!AW252,'My Order Engine'!AW252),"")</f>
        <v/>
      </c>
      <c r="G250" s="25" t="str">
        <f>IF(AND($A250&lt;=IF(Calc!$C$36=999,360,Calc!$C$36),Calc!$C$10=1),CHOOSE(Calc!$C$3,INDEX('Snowball Engine'!$AH252:$AV252,Calc!$I$10),INDEX('Avalanche Engine'!$AH252:$AV252,Calc!$J$10),INDEX('My Order Engine'!$AH252:$AV252,Calc!$K$10)),"")</f>
        <v/>
      </c>
      <c r="H250" s="25" t="str">
        <f>IF(AND($A250&lt;=IF(Calc!$C$36=999,360,Calc!$C$36),Calc!$C$11=1),CHOOSE(Calc!$C$3,INDEX('Snowball Engine'!$AH252:$AV252,Calc!$I$11),INDEX('Avalanche Engine'!$AH252:$AV252,Calc!$J$11),INDEX('My Order Engine'!$AH252:$AV252,Calc!$K$11)),"")</f>
        <v/>
      </c>
      <c r="I250" s="25" t="str">
        <f>IF(AND($A250&lt;=IF(Calc!$C$36=999,360,Calc!$C$36),Calc!$C$12=1),CHOOSE(Calc!$C$3,INDEX('Snowball Engine'!$AH252:$AV252,Calc!$I$12),INDEX('Avalanche Engine'!$AH252:$AV252,Calc!$J$12),INDEX('My Order Engine'!$AH252:$AV252,Calc!$K$12)),"")</f>
        <v/>
      </c>
      <c r="J250" s="25" t="str">
        <f>IF(AND($A250&lt;=IF(Calc!$C$36=999,360,Calc!$C$36),Calc!$C$13=1),CHOOSE(Calc!$C$3,INDEX('Snowball Engine'!$AH252:$AV252,Calc!$I$13),INDEX('Avalanche Engine'!$AH252:$AV252,Calc!$J$13),INDEX('My Order Engine'!$AH252:$AV252,Calc!$K$13)),"")</f>
        <v/>
      </c>
      <c r="K250" s="25" t="str">
        <f>IF(AND($A250&lt;=IF(Calc!$C$36=999,360,Calc!$C$36),Calc!$C$14=1),CHOOSE(Calc!$C$3,INDEX('Snowball Engine'!$AH252:$AV252,Calc!$I$14),INDEX('Avalanche Engine'!$AH252:$AV252,Calc!$J$14),INDEX('My Order Engine'!$AH252:$AV252,Calc!$K$14)),"")</f>
        <v/>
      </c>
      <c r="L250" s="25" t="str">
        <f>IF(AND($A250&lt;=IF(Calc!$C$36=999,360,Calc!$C$36),Calc!$C$15=1),CHOOSE(Calc!$C$3,INDEX('Snowball Engine'!$AH252:$AV252,Calc!$I$15),INDEX('Avalanche Engine'!$AH252:$AV252,Calc!$J$15),INDEX('My Order Engine'!$AH252:$AV252,Calc!$K$15)),"")</f>
        <v/>
      </c>
      <c r="M250" s="25" t="str">
        <f>IF(AND($A250&lt;=IF(Calc!$C$36=999,360,Calc!$C$36),Calc!$C$16=1),CHOOSE(Calc!$C$3,INDEX('Snowball Engine'!$AH252:$AV252,Calc!$I$16),INDEX('Avalanche Engine'!$AH252:$AV252,Calc!$J$16),INDEX('My Order Engine'!$AH252:$AV252,Calc!$K$16)),"")</f>
        <v/>
      </c>
      <c r="N250" s="25" t="str">
        <f>IF(AND($A250&lt;=IF(Calc!$C$36=999,360,Calc!$C$36),Calc!$C$17=1),CHOOSE(Calc!$C$3,INDEX('Snowball Engine'!$AH252:$AV252,Calc!$I$17),INDEX('Avalanche Engine'!$AH252:$AV252,Calc!$J$17),INDEX('My Order Engine'!$AH252:$AV252,Calc!$K$17)),"")</f>
        <v/>
      </c>
      <c r="O250" s="25" t="str">
        <f>IF(AND($A250&lt;=IF(Calc!$C$36=999,360,Calc!$C$36),Calc!$C$18=1),CHOOSE(Calc!$C$3,INDEX('Snowball Engine'!$AH252:$AV252,Calc!$I$18),INDEX('Avalanche Engine'!$AH252:$AV252,Calc!$J$18),INDEX('My Order Engine'!$AH252:$AV252,Calc!$K$18)),"")</f>
        <v/>
      </c>
      <c r="P250" s="25" t="str">
        <f>IF(AND($A250&lt;=IF(Calc!$C$36=999,360,Calc!$C$36),Calc!$C$19=1),CHOOSE(Calc!$C$3,INDEX('Snowball Engine'!$AH252:$AV252,Calc!$I$19),INDEX('Avalanche Engine'!$AH252:$AV252,Calc!$J$19),INDEX('My Order Engine'!$AH252:$AV252,Calc!$K$19)),"")</f>
        <v/>
      </c>
      <c r="Q250" s="25" t="str">
        <f>IF(AND($A250&lt;=IF(Calc!$C$36=999,360,Calc!$C$36),Calc!$C$20=1),CHOOSE(Calc!$C$3,INDEX('Snowball Engine'!$AH252:$AV252,Calc!$I$20),INDEX('Avalanche Engine'!$AH252:$AV252,Calc!$J$20),INDEX('My Order Engine'!$AH252:$AV252,Calc!$K$20)),"")</f>
        <v/>
      </c>
      <c r="R250" s="25" t="str">
        <f>IF(AND($A250&lt;=IF(Calc!$C$36=999,360,Calc!$C$36),Calc!$C$21=1),CHOOSE(Calc!$C$3,INDEX('Snowball Engine'!$AH252:$AV252,Calc!$I$21),INDEX('Avalanche Engine'!$AH252:$AV252,Calc!$J$21),INDEX('My Order Engine'!$AH252:$AV252,Calc!$K$21)),"")</f>
        <v/>
      </c>
      <c r="S250" s="25" t="str">
        <f>IF(AND($A250&lt;=IF(Calc!$C$36=999,360,Calc!$C$36),Calc!$C$22=1),CHOOSE(Calc!$C$3,INDEX('Snowball Engine'!$AH252:$AV252,Calc!$I$22),INDEX('Avalanche Engine'!$AH252:$AV252,Calc!$J$22),INDEX('My Order Engine'!$AH252:$AV252,Calc!$K$22)),"")</f>
        <v/>
      </c>
      <c r="T250" s="25" t="str">
        <f>IF(AND($A250&lt;=IF(Calc!$C$36=999,360,Calc!$C$36),Calc!$C$23=1),CHOOSE(Calc!$C$3,INDEX('Snowball Engine'!$AH252:$AV252,Calc!$I$23),INDEX('Avalanche Engine'!$AH252:$AV252,Calc!$J$23),INDEX('My Order Engine'!$AH252:$AV252,Calc!$K$23)),"")</f>
        <v/>
      </c>
      <c r="U250" s="25" t="str">
        <f>IF(AND($A250&lt;=IF(Calc!$C$36=999,360,Calc!$C$36),Calc!$C$24=1),CHOOSE(Calc!$C$3,INDEX('Snowball Engine'!$AH252:$AV252,Calc!$I$24),INDEX('Avalanche Engine'!$AH252:$AV252,Calc!$J$24),INDEX('My Order Engine'!$AH252:$AV252,Calc!$K$24)),"")</f>
        <v/>
      </c>
    </row>
    <row r="251" spans="1:21" x14ac:dyDescent="0.35">
      <c r="A251" s="23">
        <v>247</v>
      </c>
      <c r="B251" s="24" t="str">
        <f>IF($A251&lt;=IF(Calc!$C$36=999,360,Calc!$C$36),EDATE(Calc!$C$5,A251-1),"")</f>
        <v/>
      </c>
      <c r="C251" s="25" t="str">
        <f>IF($A251&lt;=IF(Calc!$C$36=999,360,Calc!$C$36),CHOOSE(Calc!$C$3,'Snowball Engine'!AY253,'Avalanche Engine'!AY253,'My Order Engine'!AY253),"")</f>
        <v/>
      </c>
      <c r="D251" s="25" t="str">
        <f>IF($A251&lt;=IF(Calc!$C$36=999,360,Calc!$C$36),CHOOSE(Calc!$C$3,'Snowball Engine'!AX253,'Avalanche Engine'!AX253,'My Order Engine'!AX253),"")</f>
        <v/>
      </c>
      <c r="E251" s="25" t="str">
        <f>IF($A251&lt;=IF(Calc!$C$36=999,360,Calc!$C$36),C251-D251,"")</f>
        <v/>
      </c>
      <c r="F251" s="25" t="str">
        <f>IF($A251&lt;=IF(Calc!$C$36=999,360,Calc!$C$36),CHOOSE(Calc!$C$3,'Snowball Engine'!AW253,'Avalanche Engine'!AW253,'My Order Engine'!AW253),"")</f>
        <v/>
      </c>
      <c r="G251" s="25" t="str">
        <f>IF(AND($A251&lt;=IF(Calc!$C$36=999,360,Calc!$C$36),Calc!$C$10=1),CHOOSE(Calc!$C$3,INDEX('Snowball Engine'!$AH253:$AV253,Calc!$I$10),INDEX('Avalanche Engine'!$AH253:$AV253,Calc!$J$10),INDEX('My Order Engine'!$AH253:$AV253,Calc!$K$10)),"")</f>
        <v/>
      </c>
      <c r="H251" s="25" t="str">
        <f>IF(AND($A251&lt;=IF(Calc!$C$36=999,360,Calc!$C$36),Calc!$C$11=1),CHOOSE(Calc!$C$3,INDEX('Snowball Engine'!$AH253:$AV253,Calc!$I$11),INDEX('Avalanche Engine'!$AH253:$AV253,Calc!$J$11),INDEX('My Order Engine'!$AH253:$AV253,Calc!$K$11)),"")</f>
        <v/>
      </c>
      <c r="I251" s="25" t="str">
        <f>IF(AND($A251&lt;=IF(Calc!$C$36=999,360,Calc!$C$36),Calc!$C$12=1),CHOOSE(Calc!$C$3,INDEX('Snowball Engine'!$AH253:$AV253,Calc!$I$12),INDEX('Avalanche Engine'!$AH253:$AV253,Calc!$J$12),INDEX('My Order Engine'!$AH253:$AV253,Calc!$K$12)),"")</f>
        <v/>
      </c>
      <c r="J251" s="25" t="str">
        <f>IF(AND($A251&lt;=IF(Calc!$C$36=999,360,Calc!$C$36),Calc!$C$13=1),CHOOSE(Calc!$C$3,INDEX('Snowball Engine'!$AH253:$AV253,Calc!$I$13),INDEX('Avalanche Engine'!$AH253:$AV253,Calc!$J$13),INDEX('My Order Engine'!$AH253:$AV253,Calc!$K$13)),"")</f>
        <v/>
      </c>
      <c r="K251" s="25" t="str">
        <f>IF(AND($A251&lt;=IF(Calc!$C$36=999,360,Calc!$C$36),Calc!$C$14=1),CHOOSE(Calc!$C$3,INDEX('Snowball Engine'!$AH253:$AV253,Calc!$I$14),INDEX('Avalanche Engine'!$AH253:$AV253,Calc!$J$14),INDEX('My Order Engine'!$AH253:$AV253,Calc!$K$14)),"")</f>
        <v/>
      </c>
      <c r="L251" s="25" t="str">
        <f>IF(AND($A251&lt;=IF(Calc!$C$36=999,360,Calc!$C$36),Calc!$C$15=1),CHOOSE(Calc!$C$3,INDEX('Snowball Engine'!$AH253:$AV253,Calc!$I$15),INDEX('Avalanche Engine'!$AH253:$AV253,Calc!$J$15),INDEX('My Order Engine'!$AH253:$AV253,Calc!$K$15)),"")</f>
        <v/>
      </c>
      <c r="M251" s="25" t="str">
        <f>IF(AND($A251&lt;=IF(Calc!$C$36=999,360,Calc!$C$36),Calc!$C$16=1),CHOOSE(Calc!$C$3,INDEX('Snowball Engine'!$AH253:$AV253,Calc!$I$16),INDEX('Avalanche Engine'!$AH253:$AV253,Calc!$J$16),INDEX('My Order Engine'!$AH253:$AV253,Calc!$K$16)),"")</f>
        <v/>
      </c>
      <c r="N251" s="25" t="str">
        <f>IF(AND($A251&lt;=IF(Calc!$C$36=999,360,Calc!$C$36),Calc!$C$17=1),CHOOSE(Calc!$C$3,INDEX('Snowball Engine'!$AH253:$AV253,Calc!$I$17),INDEX('Avalanche Engine'!$AH253:$AV253,Calc!$J$17),INDEX('My Order Engine'!$AH253:$AV253,Calc!$K$17)),"")</f>
        <v/>
      </c>
      <c r="O251" s="25" t="str">
        <f>IF(AND($A251&lt;=IF(Calc!$C$36=999,360,Calc!$C$36),Calc!$C$18=1),CHOOSE(Calc!$C$3,INDEX('Snowball Engine'!$AH253:$AV253,Calc!$I$18),INDEX('Avalanche Engine'!$AH253:$AV253,Calc!$J$18),INDEX('My Order Engine'!$AH253:$AV253,Calc!$K$18)),"")</f>
        <v/>
      </c>
      <c r="P251" s="25" t="str">
        <f>IF(AND($A251&lt;=IF(Calc!$C$36=999,360,Calc!$C$36),Calc!$C$19=1),CHOOSE(Calc!$C$3,INDEX('Snowball Engine'!$AH253:$AV253,Calc!$I$19),INDEX('Avalanche Engine'!$AH253:$AV253,Calc!$J$19),INDEX('My Order Engine'!$AH253:$AV253,Calc!$K$19)),"")</f>
        <v/>
      </c>
      <c r="Q251" s="25" t="str">
        <f>IF(AND($A251&lt;=IF(Calc!$C$36=999,360,Calc!$C$36),Calc!$C$20=1),CHOOSE(Calc!$C$3,INDEX('Snowball Engine'!$AH253:$AV253,Calc!$I$20),INDEX('Avalanche Engine'!$AH253:$AV253,Calc!$J$20),INDEX('My Order Engine'!$AH253:$AV253,Calc!$K$20)),"")</f>
        <v/>
      </c>
      <c r="R251" s="25" t="str">
        <f>IF(AND($A251&lt;=IF(Calc!$C$36=999,360,Calc!$C$36),Calc!$C$21=1),CHOOSE(Calc!$C$3,INDEX('Snowball Engine'!$AH253:$AV253,Calc!$I$21),INDEX('Avalanche Engine'!$AH253:$AV253,Calc!$J$21),INDEX('My Order Engine'!$AH253:$AV253,Calc!$K$21)),"")</f>
        <v/>
      </c>
      <c r="S251" s="25" t="str">
        <f>IF(AND($A251&lt;=IF(Calc!$C$36=999,360,Calc!$C$36),Calc!$C$22=1),CHOOSE(Calc!$C$3,INDEX('Snowball Engine'!$AH253:$AV253,Calc!$I$22),INDEX('Avalanche Engine'!$AH253:$AV253,Calc!$J$22),INDEX('My Order Engine'!$AH253:$AV253,Calc!$K$22)),"")</f>
        <v/>
      </c>
      <c r="T251" s="25" t="str">
        <f>IF(AND($A251&lt;=IF(Calc!$C$36=999,360,Calc!$C$36),Calc!$C$23=1),CHOOSE(Calc!$C$3,INDEX('Snowball Engine'!$AH253:$AV253,Calc!$I$23),INDEX('Avalanche Engine'!$AH253:$AV253,Calc!$J$23),INDEX('My Order Engine'!$AH253:$AV253,Calc!$K$23)),"")</f>
        <v/>
      </c>
      <c r="U251" s="25" t="str">
        <f>IF(AND($A251&lt;=IF(Calc!$C$36=999,360,Calc!$C$36),Calc!$C$24=1),CHOOSE(Calc!$C$3,INDEX('Snowball Engine'!$AH253:$AV253,Calc!$I$24),INDEX('Avalanche Engine'!$AH253:$AV253,Calc!$J$24),INDEX('My Order Engine'!$AH253:$AV253,Calc!$K$24)),"")</f>
        <v/>
      </c>
    </row>
    <row r="252" spans="1:21" x14ac:dyDescent="0.35">
      <c r="A252" s="23">
        <v>248</v>
      </c>
      <c r="B252" s="24" t="str">
        <f>IF($A252&lt;=IF(Calc!$C$36=999,360,Calc!$C$36),EDATE(Calc!$C$5,A252-1),"")</f>
        <v/>
      </c>
      <c r="C252" s="25" t="str">
        <f>IF($A252&lt;=IF(Calc!$C$36=999,360,Calc!$C$36),CHOOSE(Calc!$C$3,'Snowball Engine'!AY254,'Avalanche Engine'!AY254,'My Order Engine'!AY254),"")</f>
        <v/>
      </c>
      <c r="D252" s="25" t="str">
        <f>IF($A252&lt;=IF(Calc!$C$36=999,360,Calc!$C$36),CHOOSE(Calc!$C$3,'Snowball Engine'!AX254,'Avalanche Engine'!AX254,'My Order Engine'!AX254),"")</f>
        <v/>
      </c>
      <c r="E252" s="25" t="str">
        <f>IF($A252&lt;=IF(Calc!$C$36=999,360,Calc!$C$36),C252-D252,"")</f>
        <v/>
      </c>
      <c r="F252" s="25" t="str">
        <f>IF($A252&lt;=IF(Calc!$C$36=999,360,Calc!$C$36),CHOOSE(Calc!$C$3,'Snowball Engine'!AW254,'Avalanche Engine'!AW254,'My Order Engine'!AW254),"")</f>
        <v/>
      </c>
      <c r="G252" s="25" t="str">
        <f>IF(AND($A252&lt;=IF(Calc!$C$36=999,360,Calc!$C$36),Calc!$C$10=1),CHOOSE(Calc!$C$3,INDEX('Snowball Engine'!$AH254:$AV254,Calc!$I$10),INDEX('Avalanche Engine'!$AH254:$AV254,Calc!$J$10),INDEX('My Order Engine'!$AH254:$AV254,Calc!$K$10)),"")</f>
        <v/>
      </c>
      <c r="H252" s="25" t="str">
        <f>IF(AND($A252&lt;=IF(Calc!$C$36=999,360,Calc!$C$36),Calc!$C$11=1),CHOOSE(Calc!$C$3,INDEX('Snowball Engine'!$AH254:$AV254,Calc!$I$11),INDEX('Avalanche Engine'!$AH254:$AV254,Calc!$J$11),INDEX('My Order Engine'!$AH254:$AV254,Calc!$K$11)),"")</f>
        <v/>
      </c>
      <c r="I252" s="25" t="str">
        <f>IF(AND($A252&lt;=IF(Calc!$C$36=999,360,Calc!$C$36),Calc!$C$12=1),CHOOSE(Calc!$C$3,INDEX('Snowball Engine'!$AH254:$AV254,Calc!$I$12),INDEX('Avalanche Engine'!$AH254:$AV254,Calc!$J$12),INDEX('My Order Engine'!$AH254:$AV254,Calc!$K$12)),"")</f>
        <v/>
      </c>
      <c r="J252" s="25" t="str">
        <f>IF(AND($A252&lt;=IF(Calc!$C$36=999,360,Calc!$C$36),Calc!$C$13=1),CHOOSE(Calc!$C$3,INDEX('Snowball Engine'!$AH254:$AV254,Calc!$I$13),INDEX('Avalanche Engine'!$AH254:$AV254,Calc!$J$13),INDEX('My Order Engine'!$AH254:$AV254,Calc!$K$13)),"")</f>
        <v/>
      </c>
      <c r="K252" s="25" t="str">
        <f>IF(AND($A252&lt;=IF(Calc!$C$36=999,360,Calc!$C$36),Calc!$C$14=1),CHOOSE(Calc!$C$3,INDEX('Snowball Engine'!$AH254:$AV254,Calc!$I$14),INDEX('Avalanche Engine'!$AH254:$AV254,Calc!$J$14),INDEX('My Order Engine'!$AH254:$AV254,Calc!$K$14)),"")</f>
        <v/>
      </c>
      <c r="L252" s="25" t="str">
        <f>IF(AND($A252&lt;=IF(Calc!$C$36=999,360,Calc!$C$36),Calc!$C$15=1),CHOOSE(Calc!$C$3,INDEX('Snowball Engine'!$AH254:$AV254,Calc!$I$15),INDEX('Avalanche Engine'!$AH254:$AV254,Calc!$J$15),INDEX('My Order Engine'!$AH254:$AV254,Calc!$K$15)),"")</f>
        <v/>
      </c>
      <c r="M252" s="25" t="str">
        <f>IF(AND($A252&lt;=IF(Calc!$C$36=999,360,Calc!$C$36),Calc!$C$16=1),CHOOSE(Calc!$C$3,INDEX('Snowball Engine'!$AH254:$AV254,Calc!$I$16),INDEX('Avalanche Engine'!$AH254:$AV254,Calc!$J$16),INDEX('My Order Engine'!$AH254:$AV254,Calc!$K$16)),"")</f>
        <v/>
      </c>
      <c r="N252" s="25" t="str">
        <f>IF(AND($A252&lt;=IF(Calc!$C$36=999,360,Calc!$C$36),Calc!$C$17=1),CHOOSE(Calc!$C$3,INDEX('Snowball Engine'!$AH254:$AV254,Calc!$I$17),INDEX('Avalanche Engine'!$AH254:$AV254,Calc!$J$17),INDEX('My Order Engine'!$AH254:$AV254,Calc!$K$17)),"")</f>
        <v/>
      </c>
      <c r="O252" s="25" t="str">
        <f>IF(AND($A252&lt;=IF(Calc!$C$36=999,360,Calc!$C$36),Calc!$C$18=1),CHOOSE(Calc!$C$3,INDEX('Snowball Engine'!$AH254:$AV254,Calc!$I$18),INDEX('Avalanche Engine'!$AH254:$AV254,Calc!$J$18),INDEX('My Order Engine'!$AH254:$AV254,Calc!$K$18)),"")</f>
        <v/>
      </c>
      <c r="P252" s="25" t="str">
        <f>IF(AND($A252&lt;=IF(Calc!$C$36=999,360,Calc!$C$36),Calc!$C$19=1),CHOOSE(Calc!$C$3,INDEX('Snowball Engine'!$AH254:$AV254,Calc!$I$19),INDEX('Avalanche Engine'!$AH254:$AV254,Calc!$J$19),INDEX('My Order Engine'!$AH254:$AV254,Calc!$K$19)),"")</f>
        <v/>
      </c>
      <c r="Q252" s="25" t="str">
        <f>IF(AND($A252&lt;=IF(Calc!$C$36=999,360,Calc!$C$36),Calc!$C$20=1),CHOOSE(Calc!$C$3,INDEX('Snowball Engine'!$AH254:$AV254,Calc!$I$20),INDEX('Avalanche Engine'!$AH254:$AV254,Calc!$J$20),INDEX('My Order Engine'!$AH254:$AV254,Calc!$K$20)),"")</f>
        <v/>
      </c>
      <c r="R252" s="25" t="str">
        <f>IF(AND($A252&lt;=IF(Calc!$C$36=999,360,Calc!$C$36),Calc!$C$21=1),CHOOSE(Calc!$C$3,INDEX('Snowball Engine'!$AH254:$AV254,Calc!$I$21),INDEX('Avalanche Engine'!$AH254:$AV254,Calc!$J$21),INDEX('My Order Engine'!$AH254:$AV254,Calc!$K$21)),"")</f>
        <v/>
      </c>
      <c r="S252" s="25" t="str">
        <f>IF(AND($A252&lt;=IF(Calc!$C$36=999,360,Calc!$C$36),Calc!$C$22=1),CHOOSE(Calc!$C$3,INDEX('Snowball Engine'!$AH254:$AV254,Calc!$I$22),INDEX('Avalanche Engine'!$AH254:$AV254,Calc!$J$22),INDEX('My Order Engine'!$AH254:$AV254,Calc!$K$22)),"")</f>
        <v/>
      </c>
      <c r="T252" s="25" t="str">
        <f>IF(AND($A252&lt;=IF(Calc!$C$36=999,360,Calc!$C$36),Calc!$C$23=1),CHOOSE(Calc!$C$3,INDEX('Snowball Engine'!$AH254:$AV254,Calc!$I$23),INDEX('Avalanche Engine'!$AH254:$AV254,Calc!$J$23),INDEX('My Order Engine'!$AH254:$AV254,Calc!$K$23)),"")</f>
        <v/>
      </c>
      <c r="U252" s="25" t="str">
        <f>IF(AND($A252&lt;=IF(Calc!$C$36=999,360,Calc!$C$36),Calc!$C$24=1),CHOOSE(Calc!$C$3,INDEX('Snowball Engine'!$AH254:$AV254,Calc!$I$24),INDEX('Avalanche Engine'!$AH254:$AV254,Calc!$J$24),INDEX('My Order Engine'!$AH254:$AV254,Calc!$K$24)),"")</f>
        <v/>
      </c>
    </row>
    <row r="253" spans="1:21" x14ac:dyDescent="0.35">
      <c r="A253" s="23">
        <v>249</v>
      </c>
      <c r="B253" s="24" t="str">
        <f>IF($A253&lt;=IF(Calc!$C$36=999,360,Calc!$C$36),EDATE(Calc!$C$5,A253-1),"")</f>
        <v/>
      </c>
      <c r="C253" s="25" t="str">
        <f>IF($A253&lt;=IF(Calc!$C$36=999,360,Calc!$C$36),CHOOSE(Calc!$C$3,'Snowball Engine'!AY255,'Avalanche Engine'!AY255,'My Order Engine'!AY255),"")</f>
        <v/>
      </c>
      <c r="D253" s="25" t="str">
        <f>IF($A253&lt;=IF(Calc!$C$36=999,360,Calc!$C$36),CHOOSE(Calc!$C$3,'Snowball Engine'!AX255,'Avalanche Engine'!AX255,'My Order Engine'!AX255),"")</f>
        <v/>
      </c>
      <c r="E253" s="25" t="str">
        <f>IF($A253&lt;=IF(Calc!$C$36=999,360,Calc!$C$36),C253-D253,"")</f>
        <v/>
      </c>
      <c r="F253" s="25" t="str">
        <f>IF($A253&lt;=IF(Calc!$C$36=999,360,Calc!$C$36),CHOOSE(Calc!$C$3,'Snowball Engine'!AW255,'Avalanche Engine'!AW255,'My Order Engine'!AW255),"")</f>
        <v/>
      </c>
      <c r="G253" s="25" t="str">
        <f>IF(AND($A253&lt;=IF(Calc!$C$36=999,360,Calc!$C$36),Calc!$C$10=1),CHOOSE(Calc!$C$3,INDEX('Snowball Engine'!$AH255:$AV255,Calc!$I$10),INDEX('Avalanche Engine'!$AH255:$AV255,Calc!$J$10),INDEX('My Order Engine'!$AH255:$AV255,Calc!$K$10)),"")</f>
        <v/>
      </c>
      <c r="H253" s="25" t="str">
        <f>IF(AND($A253&lt;=IF(Calc!$C$36=999,360,Calc!$C$36),Calc!$C$11=1),CHOOSE(Calc!$C$3,INDEX('Snowball Engine'!$AH255:$AV255,Calc!$I$11),INDEX('Avalanche Engine'!$AH255:$AV255,Calc!$J$11),INDEX('My Order Engine'!$AH255:$AV255,Calc!$K$11)),"")</f>
        <v/>
      </c>
      <c r="I253" s="25" t="str">
        <f>IF(AND($A253&lt;=IF(Calc!$C$36=999,360,Calc!$C$36),Calc!$C$12=1),CHOOSE(Calc!$C$3,INDEX('Snowball Engine'!$AH255:$AV255,Calc!$I$12),INDEX('Avalanche Engine'!$AH255:$AV255,Calc!$J$12),INDEX('My Order Engine'!$AH255:$AV255,Calc!$K$12)),"")</f>
        <v/>
      </c>
      <c r="J253" s="25" t="str">
        <f>IF(AND($A253&lt;=IF(Calc!$C$36=999,360,Calc!$C$36),Calc!$C$13=1),CHOOSE(Calc!$C$3,INDEX('Snowball Engine'!$AH255:$AV255,Calc!$I$13),INDEX('Avalanche Engine'!$AH255:$AV255,Calc!$J$13),INDEX('My Order Engine'!$AH255:$AV255,Calc!$K$13)),"")</f>
        <v/>
      </c>
      <c r="K253" s="25" t="str">
        <f>IF(AND($A253&lt;=IF(Calc!$C$36=999,360,Calc!$C$36),Calc!$C$14=1),CHOOSE(Calc!$C$3,INDEX('Snowball Engine'!$AH255:$AV255,Calc!$I$14),INDEX('Avalanche Engine'!$AH255:$AV255,Calc!$J$14),INDEX('My Order Engine'!$AH255:$AV255,Calc!$K$14)),"")</f>
        <v/>
      </c>
      <c r="L253" s="25" t="str">
        <f>IF(AND($A253&lt;=IF(Calc!$C$36=999,360,Calc!$C$36),Calc!$C$15=1),CHOOSE(Calc!$C$3,INDEX('Snowball Engine'!$AH255:$AV255,Calc!$I$15),INDEX('Avalanche Engine'!$AH255:$AV255,Calc!$J$15),INDEX('My Order Engine'!$AH255:$AV255,Calc!$K$15)),"")</f>
        <v/>
      </c>
      <c r="M253" s="25" t="str">
        <f>IF(AND($A253&lt;=IF(Calc!$C$36=999,360,Calc!$C$36),Calc!$C$16=1),CHOOSE(Calc!$C$3,INDEX('Snowball Engine'!$AH255:$AV255,Calc!$I$16),INDEX('Avalanche Engine'!$AH255:$AV255,Calc!$J$16),INDEX('My Order Engine'!$AH255:$AV255,Calc!$K$16)),"")</f>
        <v/>
      </c>
      <c r="N253" s="25" t="str">
        <f>IF(AND($A253&lt;=IF(Calc!$C$36=999,360,Calc!$C$36),Calc!$C$17=1),CHOOSE(Calc!$C$3,INDEX('Snowball Engine'!$AH255:$AV255,Calc!$I$17),INDEX('Avalanche Engine'!$AH255:$AV255,Calc!$J$17),INDEX('My Order Engine'!$AH255:$AV255,Calc!$K$17)),"")</f>
        <v/>
      </c>
      <c r="O253" s="25" t="str">
        <f>IF(AND($A253&lt;=IF(Calc!$C$36=999,360,Calc!$C$36),Calc!$C$18=1),CHOOSE(Calc!$C$3,INDEX('Snowball Engine'!$AH255:$AV255,Calc!$I$18),INDEX('Avalanche Engine'!$AH255:$AV255,Calc!$J$18),INDEX('My Order Engine'!$AH255:$AV255,Calc!$K$18)),"")</f>
        <v/>
      </c>
      <c r="P253" s="25" t="str">
        <f>IF(AND($A253&lt;=IF(Calc!$C$36=999,360,Calc!$C$36),Calc!$C$19=1),CHOOSE(Calc!$C$3,INDEX('Snowball Engine'!$AH255:$AV255,Calc!$I$19),INDEX('Avalanche Engine'!$AH255:$AV255,Calc!$J$19),INDEX('My Order Engine'!$AH255:$AV255,Calc!$K$19)),"")</f>
        <v/>
      </c>
      <c r="Q253" s="25" t="str">
        <f>IF(AND($A253&lt;=IF(Calc!$C$36=999,360,Calc!$C$36),Calc!$C$20=1),CHOOSE(Calc!$C$3,INDEX('Snowball Engine'!$AH255:$AV255,Calc!$I$20),INDEX('Avalanche Engine'!$AH255:$AV255,Calc!$J$20),INDEX('My Order Engine'!$AH255:$AV255,Calc!$K$20)),"")</f>
        <v/>
      </c>
      <c r="R253" s="25" t="str">
        <f>IF(AND($A253&lt;=IF(Calc!$C$36=999,360,Calc!$C$36),Calc!$C$21=1),CHOOSE(Calc!$C$3,INDEX('Snowball Engine'!$AH255:$AV255,Calc!$I$21),INDEX('Avalanche Engine'!$AH255:$AV255,Calc!$J$21),INDEX('My Order Engine'!$AH255:$AV255,Calc!$K$21)),"")</f>
        <v/>
      </c>
      <c r="S253" s="25" t="str">
        <f>IF(AND($A253&lt;=IF(Calc!$C$36=999,360,Calc!$C$36),Calc!$C$22=1),CHOOSE(Calc!$C$3,INDEX('Snowball Engine'!$AH255:$AV255,Calc!$I$22),INDEX('Avalanche Engine'!$AH255:$AV255,Calc!$J$22),INDEX('My Order Engine'!$AH255:$AV255,Calc!$K$22)),"")</f>
        <v/>
      </c>
      <c r="T253" s="25" t="str">
        <f>IF(AND($A253&lt;=IF(Calc!$C$36=999,360,Calc!$C$36),Calc!$C$23=1),CHOOSE(Calc!$C$3,INDEX('Snowball Engine'!$AH255:$AV255,Calc!$I$23),INDEX('Avalanche Engine'!$AH255:$AV255,Calc!$J$23),INDEX('My Order Engine'!$AH255:$AV255,Calc!$K$23)),"")</f>
        <v/>
      </c>
      <c r="U253" s="25" t="str">
        <f>IF(AND($A253&lt;=IF(Calc!$C$36=999,360,Calc!$C$36),Calc!$C$24=1),CHOOSE(Calc!$C$3,INDEX('Snowball Engine'!$AH255:$AV255,Calc!$I$24),INDEX('Avalanche Engine'!$AH255:$AV255,Calc!$J$24),INDEX('My Order Engine'!$AH255:$AV255,Calc!$K$24)),"")</f>
        <v/>
      </c>
    </row>
    <row r="254" spans="1:21" x14ac:dyDescent="0.35">
      <c r="A254" s="23">
        <v>250</v>
      </c>
      <c r="B254" s="24" t="str">
        <f>IF($A254&lt;=IF(Calc!$C$36=999,360,Calc!$C$36),EDATE(Calc!$C$5,A254-1),"")</f>
        <v/>
      </c>
      <c r="C254" s="25" t="str">
        <f>IF($A254&lt;=IF(Calc!$C$36=999,360,Calc!$C$36),CHOOSE(Calc!$C$3,'Snowball Engine'!AY256,'Avalanche Engine'!AY256,'My Order Engine'!AY256),"")</f>
        <v/>
      </c>
      <c r="D254" s="25" t="str">
        <f>IF($A254&lt;=IF(Calc!$C$36=999,360,Calc!$C$36),CHOOSE(Calc!$C$3,'Snowball Engine'!AX256,'Avalanche Engine'!AX256,'My Order Engine'!AX256),"")</f>
        <v/>
      </c>
      <c r="E254" s="25" t="str">
        <f>IF($A254&lt;=IF(Calc!$C$36=999,360,Calc!$C$36),C254-D254,"")</f>
        <v/>
      </c>
      <c r="F254" s="25" t="str">
        <f>IF($A254&lt;=IF(Calc!$C$36=999,360,Calc!$C$36),CHOOSE(Calc!$C$3,'Snowball Engine'!AW256,'Avalanche Engine'!AW256,'My Order Engine'!AW256),"")</f>
        <v/>
      </c>
      <c r="G254" s="25" t="str">
        <f>IF(AND($A254&lt;=IF(Calc!$C$36=999,360,Calc!$C$36),Calc!$C$10=1),CHOOSE(Calc!$C$3,INDEX('Snowball Engine'!$AH256:$AV256,Calc!$I$10),INDEX('Avalanche Engine'!$AH256:$AV256,Calc!$J$10),INDEX('My Order Engine'!$AH256:$AV256,Calc!$K$10)),"")</f>
        <v/>
      </c>
      <c r="H254" s="25" t="str">
        <f>IF(AND($A254&lt;=IF(Calc!$C$36=999,360,Calc!$C$36),Calc!$C$11=1),CHOOSE(Calc!$C$3,INDEX('Snowball Engine'!$AH256:$AV256,Calc!$I$11),INDEX('Avalanche Engine'!$AH256:$AV256,Calc!$J$11),INDEX('My Order Engine'!$AH256:$AV256,Calc!$K$11)),"")</f>
        <v/>
      </c>
      <c r="I254" s="25" t="str">
        <f>IF(AND($A254&lt;=IF(Calc!$C$36=999,360,Calc!$C$36),Calc!$C$12=1),CHOOSE(Calc!$C$3,INDEX('Snowball Engine'!$AH256:$AV256,Calc!$I$12),INDEX('Avalanche Engine'!$AH256:$AV256,Calc!$J$12),INDEX('My Order Engine'!$AH256:$AV256,Calc!$K$12)),"")</f>
        <v/>
      </c>
      <c r="J254" s="25" t="str">
        <f>IF(AND($A254&lt;=IF(Calc!$C$36=999,360,Calc!$C$36),Calc!$C$13=1),CHOOSE(Calc!$C$3,INDEX('Snowball Engine'!$AH256:$AV256,Calc!$I$13),INDEX('Avalanche Engine'!$AH256:$AV256,Calc!$J$13),INDEX('My Order Engine'!$AH256:$AV256,Calc!$K$13)),"")</f>
        <v/>
      </c>
      <c r="K254" s="25" t="str">
        <f>IF(AND($A254&lt;=IF(Calc!$C$36=999,360,Calc!$C$36),Calc!$C$14=1),CHOOSE(Calc!$C$3,INDEX('Snowball Engine'!$AH256:$AV256,Calc!$I$14),INDEX('Avalanche Engine'!$AH256:$AV256,Calc!$J$14),INDEX('My Order Engine'!$AH256:$AV256,Calc!$K$14)),"")</f>
        <v/>
      </c>
      <c r="L254" s="25" t="str">
        <f>IF(AND($A254&lt;=IF(Calc!$C$36=999,360,Calc!$C$36),Calc!$C$15=1),CHOOSE(Calc!$C$3,INDEX('Snowball Engine'!$AH256:$AV256,Calc!$I$15),INDEX('Avalanche Engine'!$AH256:$AV256,Calc!$J$15),INDEX('My Order Engine'!$AH256:$AV256,Calc!$K$15)),"")</f>
        <v/>
      </c>
      <c r="M254" s="25" t="str">
        <f>IF(AND($A254&lt;=IF(Calc!$C$36=999,360,Calc!$C$36),Calc!$C$16=1),CHOOSE(Calc!$C$3,INDEX('Snowball Engine'!$AH256:$AV256,Calc!$I$16),INDEX('Avalanche Engine'!$AH256:$AV256,Calc!$J$16),INDEX('My Order Engine'!$AH256:$AV256,Calc!$K$16)),"")</f>
        <v/>
      </c>
      <c r="N254" s="25" t="str">
        <f>IF(AND($A254&lt;=IF(Calc!$C$36=999,360,Calc!$C$36),Calc!$C$17=1),CHOOSE(Calc!$C$3,INDEX('Snowball Engine'!$AH256:$AV256,Calc!$I$17),INDEX('Avalanche Engine'!$AH256:$AV256,Calc!$J$17),INDEX('My Order Engine'!$AH256:$AV256,Calc!$K$17)),"")</f>
        <v/>
      </c>
      <c r="O254" s="25" t="str">
        <f>IF(AND($A254&lt;=IF(Calc!$C$36=999,360,Calc!$C$36),Calc!$C$18=1),CHOOSE(Calc!$C$3,INDEX('Snowball Engine'!$AH256:$AV256,Calc!$I$18),INDEX('Avalanche Engine'!$AH256:$AV256,Calc!$J$18),INDEX('My Order Engine'!$AH256:$AV256,Calc!$K$18)),"")</f>
        <v/>
      </c>
      <c r="P254" s="25" t="str">
        <f>IF(AND($A254&lt;=IF(Calc!$C$36=999,360,Calc!$C$36),Calc!$C$19=1),CHOOSE(Calc!$C$3,INDEX('Snowball Engine'!$AH256:$AV256,Calc!$I$19),INDEX('Avalanche Engine'!$AH256:$AV256,Calc!$J$19),INDEX('My Order Engine'!$AH256:$AV256,Calc!$K$19)),"")</f>
        <v/>
      </c>
      <c r="Q254" s="25" t="str">
        <f>IF(AND($A254&lt;=IF(Calc!$C$36=999,360,Calc!$C$36),Calc!$C$20=1),CHOOSE(Calc!$C$3,INDEX('Snowball Engine'!$AH256:$AV256,Calc!$I$20),INDEX('Avalanche Engine'!$AH256:$AV256,Calc!$J$20),INDEX('My Order Engine'!$AH256:$AV256,Calc!$K$20)),"")</f>
        <v/>
      </c>
      <c r="R254" s="25" t="str">
        <f>IF(AND($A254&lt;=IF(Calc!$C$36=999,360,Calc!$C$36),Calc!$C$21=1),CHOOSE(Calc!$C$3,INDEX('Snowball Engine'!$AH256:$AV256,Calc!$I$21),INDEX('Avalanche Engine'!$AH256:$AV256,Calc!$J$21),INDEX('My Order Engine'!$AH256:$AV256,Calc!$K$21)),"")</f>
        <v/>
      </c>
      <c r="S254" s="25" t="str">
        <f>IF(AND($A254&lt;=IF(Calc!$C$36=999,360,Calc!$C$36),Calc!$C$22=1),CHOOSE(Calc!$C$3,INDEX('Snowball Engine'!$AH256:$AV256,Calc!$I$22),INDEX('Avalanche Engine'!$AH256:$AV256,Calc!$J$22),INDEX('My Order Engine'!$AH256:$AV256,Calc!$K$22)),"")</f>
        <v/>
      </c>
      <c r="T254" s="25" t="str">
        <f>IF(AND($A254&lt;=IF(Calc!$C$36=999,360,Calc!$C$36),Calc!$C$23=1),CHOOSE(Calc!$C$3,INDEX('Snowball Engine'!$AH256:$AV256,Calc!$I$23),INDEX('Avalanche Engine'!$AH256:$AV256,Calc!$J$23),INDEX('My Order Engine'!$AH256:$AV256,Calc!$K$23)),"")</f>
        <v/>
      </c>
      <c r="U254" s="25" t="str">
        <f>IF(AND($A254&lt;=IF(Calc!$C$36=999,360,Calc!$C$36),Calc!$C$24=1),CHOOSE(Calc!$C$3,INDEX('Snowball Engine'!$AH256:$AV256,Calc!$I$24),INDEX('Avalanche Engine'!$AH256:$AV256,Calc!$J$24),INDEX('My Order Engine'!$AH256:$AV256,Calc!$K$24)),"")</f>
        <v/>
      </c>
    </row>
    <row r="255" spans="1:21" x14ac:dyDescent="0.35">
      <c r="A255" s="23">
        <v>251</v>
      </c>
      <c r="B255" s="24" t="str">
        <f>IF($A255&lt;=IF(Calc!$C$36=999,360,Calc!$C$36),EDATE(Calc!$C$5,A255-1),"")</f>
        <v/>
      </c>
      <c r="C255" s="25" t="str">
        <f>IF($A255&lt;=IF(Calc!$C$36=999,360,Calc!$C$36),CHOOSE(Calc!$C$3,'Snowball Engine'!AY257,'Avalanche Engine'!AY257,'My Order Engine'!AY257),"")</f>
        <v/>
      </c>
      <c r="D255" s="25" t="str">
        <f>IF($A255&lt;=IF(Calc!$C$36=999,360,Calc!$C$36),CHOOSE(Calc!$C$3,'Snowball Engine'!AX257,'Avalanche Engine'!AX257,'My Order Engine'!AX257),"")</f>
        <v/>
      </c>
      <c r="E255" s="25" t="str">
        <f>IF($A255&lt;=IF(Calc!$C$36=999,360,Calc!$C$36),C255-D255,"")</f>
        <v/>
      </c>
      <c r="F255" s="25" t="str">
        <f>IF($A255&lt;=IF(Calc!$C$36=999,360,Calc!$C$36),CHOOSE(Calc!$C$3,'Snowball Engine'!AW257,'Avalanche Engine'!AW257,'My Order Engine'!AW257),"")</f>
        <v/>
      </c>
      <c r="G255" s="25" t="str">
        <f>IF(AND($A255&lt;=IF(Calc!$C$36=999,360,Calc!$C$36),Calc!$C$10=1),CHOOSE(Calc!$C$3,INDEX('Snowball Engine'!$AH257:$AV257,Calc!$I$10),INDEX('Avalanche Engine'!$AH257:$AV257,Calc!$J$10),INDEX('My Order Engine'!$AH257:$AV257,Calc!$K$10)),"")</f>
        <v/>
      </c>
      <c r="H255" s="25" t="str">
        <f>IF(AND($A255&lt;=IF(Calc!$C$36=999,360,Calc!$C$36),Calc!$C$11=1),CHOOSE(Calc!$C$3,INDEX('Snowball Engine'!$AH257:$AV257,Calc!$I$11),INDEX('Avalanche Engine'!$AH257:$AV257,Calc!$J$11),INDEX('My Order Engine'!$AH257:$AV257,Calc!$K$11)),"")</f>
        <v/>
      </c>
      <c r="I255" s="25" t="str">
        <f>IF(AND($A255&lt;=IF(Calc!$C$36=999,360,Calc!$C$36),Calc!$C$12=1),CHOOSE(Calc!$C$3,INDEX('Snowball Engine'!$AH257:$AV257,Calc!$I$12),INDEX('Avalanche Engine'!$AH257:$AV257,Calc!$J$12),INDEX('My Order Engine'!$AH257:$AV257,Calc!$K$12)),"")</f>
        <v/>
      </c>
      <c r="J255" s="25" t="str">
        <f>IF(AND($A255&lt;=IF(Calc!$C$36=999,360,Calc!$C$36),Calc!$C$13=1),CHOOSE(Calc!$C$3,INDEX('Snowball Engine'!$AH257:$AV257,Calc!$I$13),INDEX('Avalanche Engine'!$AH257:$AV257,Calc!$J$13),INDEX('My Order Engine'!$AH257:$AV257,Calc!$K$13)),"")</f>
        <v/>
      </c>
      <c r="K255" s="25" t="str">
        <f>IF(AND($A255&lt;=IF(Calc!$C$36=999,360,Calc!$C$36),Calc!$C$14=1),CHOOSE(Calc!$C$3,INDEX('Snowball Engine'!$AH257:$AV257,Calc!$I$14),INDEX('Avalanche Engine'!$AH257:$AV257,Calc!$J$14),INDEX('My Order Engine'!$AH257:$AV257,Calc!$K$14)),"")</f>
        <v/>
      </c>
      <c r="L255" s="25" t="str">
        <f>IF(AND($A255&lt;=IF(Calc!$C$36=999,360,Calc!$C$36),Calc!$C$15=1),CHOOSE(Calc!$C$3,INDEX('Snowball Engine'!$AH257:$AV257,Calc!$I$15),INDEX('Avalanche Engine'!$AH257:$AV257,Calc!$J$15),INDEX('My Order Engine'!$AH257:$AV257,Calc!$K$15)),"")</f>
        <v/>
      </c>
      <c r="M255" s="25" t="str">
        <f>IF(AND($A255&lt;=IF(Calc!$C$36=999,360,Calc!$C$36),Calc!$C$16=1),CHOOSE(Calc!$C$3,INDEX('Snowball Engine'!$AH257:$AV257,Calc!$I$16),INDEX('Avalanche Engine'!$AH257:$AV257,Calc!$J$16),INDEX('My Order Engine'!$AH257:$AV257,Calc!$K$16)),"")</f>
        <v/>
      </c>
      <c r="N255" s="25" t="str">
        <f>IF(AND($A255&lt;=IF(Calc!$C$36=999,360,Calc!$C$36),Calc!$C$17=1),CHOOSE(Calc!$C$3,INDEX('Snowball Engine'!$AH257:$AV257,Calc!$I$17),INDEX('Avalanche Engine'!$AH257:$AV257,Calc!$J$17),INDEX('My Order Engine'!$AH257:$AV257,Calc!$K$17)),"")</f>
        <v/>
      </c>
      <c r="O255" s="25" t="str">
        <f>IF(AND($A255&lt;=IF(Calc!$C$36=999,360,Calc!$C$36),Calc!$C$18=1),CHOOSE(Calc!$C$3,INDEX('Snowball Engine'!$AH257:$AV257,Calc!$I$18),INDEX('Avalanche Engine'!$AH257:$AV257,Calc!$J$18),INDEX('My Order Engine'!$AH257:$AV257,Calc!$K$18)),"")</f>
        <v/>
      </c>
      <c r="P255" s="25" t="str">
        <f>IF(AND($A255&lt;=IF(Calc!$C$36=999,360,Calc!$C$36),Calc!$C$19=1),CHOOSE(Calc!$C$3,INDEX('Snowball Engine'!$AH257:$AV257,Calc!$I$19),INDEX('Avalanche Engine'!$AH257:$AV257,Calc!$J$19),INDEX('My Order Engine'!$AH257:$AV257,Calc!$K$19)),"")</f>
        <v/>
      </c>
      <c r="Q255" s="25" t="str">
        <f>IF(AND($A255&lt;=IF(Calc!$C$36=999,360,Calc!$C$36),Calc!$C$20=1),CHOOSE(Calc!$C$3,INDEX('Snowball Engine'!$AH257:$AV257,Calc!$I$20),INDEX('Avalanche Engine'!$AH257:$AV257,Calc!$J$20),INDEX('My Order Engine'!$AH257:$AV257,Calc!$K$20)),"")</f>
        <v/>
      </c>
      <c r="R255" s="25" t="str">
        <f>IF(AND($A255&lt;=IF(Calc!$C$36=999,360,Calc!$C$36),Calc!$C$21=1),CHOOSE(Calc!$C$3,INDEX('Snowball Engine'!$AH257:$AV257,Calc!$I$21),INDEX('Avalanche Engine'!$AH257:$AV257,Calc!$J$21),INDEX('My Order Engine'!$AH257:$AV257,Calc!$K$21)),"")</f>
        <v/>
      </c>
      <c r="S255" s="25" t="str">
        <f>IF(AND($A255&lt;=IF(Calc!$C$36=999,360,Calc!$C$36),Calc!$C$22=1),CHOOSE(Calc!$C$3,INDEX('Snowball Engine'!$AH257:$AV257,Calc!$I$22),INDEX('Avalanche Engine'!$AH257:$AV257,Calc!$J$22),INDEX('My Order Engine'!$AH257:$AV257,Calc!$K$22)),"")</f>
        <v/>
      </c>
      <c r="T255" s="25" t="str">
        <f>IF(AND($A255&lt;=IF(Calc!$C$36=999,360,Calc!$C$36),Calc!$C$23=1),CHOOSE(Calc!$C$3,INDEX('Snowball Engine'!$AH257:$AV257,Calc!$I$23),INDEX('Avalanche Engine'!$AH257:$AV257,Calc!$J$23),INDEX('My Order Engine'!$AH257:$AV257,Calc!$K$23)),"")</f>
        <v/>
      </c>
      <c r="U255" s="25" t="str">
        <f>IF(AND($A255&lt;=IF(Calc!$C$36=999,360,Calc!$C$36),Calc!$C$24=1),CHOOSE(Calc!$C$3,INDEX('Snowball Engine'!$AH257:$AV257,Calc!$I$24),INDEX('Avalanche Engine'!$AH257:$AV257,Calc!$J$24),INDEX('My Order Engine'!$AH257:$AV257,Calc!$K$24)),"")</f>
        <v/>
      </c>
    </row>
    <row r="256" spans="1:21" x14ac:dyDescent="0.35">
      <c r="A256" s="23">
        <v>252</v>
      </c>
      <c r="B256" s="24" t="str">
        <f>IF($A256&lt;=IF(Calc!$C$36=999,360,Calc!$C$36),EDATE(Calc!$C$5,A256-1),"")</f>
        <v/>
      </c>
      <c r="C256" s="25" t="str">
        <f>IF($A256&lt;=IF(Calc!$C$36=999,360,Calc!$C$36),CHOOSE(Calc!$C$3,'Snowball Engine'!AY258,'Avalanche Engine'!AY258,'My Order Engine'!AY258),"")</f>
        <v/>
      </c>
      <c r="D256" s="25" t="str">
        <f>IF($A256&lt;=IF(Calc!$C$36=999,360,Calc!$C$36),CHOOSE(Calc!$C$3,'Snowball Engine'!AX258,'Avalanche Engine'!AX258,'My Order Engine'!AX258),"")</f>
        <v/>
      </c>
      <c r="E256" s="25" t="str">
        <f>IF($A256&lt;=IF(Calc!$C$36=999,360,Calc!$C$36),C256-D256,"")</f>
        <v/>
      </c>
      <c r="F256" s="25" t="str">
        <f>IF($A256&lt;=IF(Calc!$C$36=999,360,Calc!$C$36),CHOOSE(Calc!$C$3,'Snowball Engine'!AW258,'Avalanche Engine'!AW258,'My Order Engine'!AW258),"")</f>
        <v/>
      </c>
      <c r="G256" s="25" t="str">
        <f>IF(AND($A256&lt;=IF(Calc!$C$36=999,360,Calc!$C$36),Calc!$C$10=1),CHOOSE(Calc!$C$3,INDEX('Snowball Engine'!$AH258:$AV258,Calc!$I$10),INDEX('Avalanche Engine'!$AH258:$AV258,Calc!$J$10),INDEX('My Order Engine'!$AH258:$AV258,Calc!$K$10)),"")</f>
        <v/>
      </c>
      <c r="H256" s="25" t="str">
        <f>IF(AND($A256&lt;=IF(Calc!$C$36=999,360,Calc!$C$36),Calc!$C$11=1),CHOOSE(Calc!$C$3,INDEX('Snowball Engine'!$AH258:$AV258,Calc!$I$11),INDEX('Avalanche Engine'!$AH258:$AV258,Calc!$J$11),INDEX('My Order Engine'!$AH258:$AV258,Calc!$K$11)),"")</f>
        <v/>
      </c>
      <c r="I256" s="25" t="str">
        <f>IF(AND($A256&lt;=IF(Calc!$C$36=999,360,Calc!$C$36),Calc!$C$12=1),CHOOSE(Calc!$C$3,INDEX('Snowball Engine'!$AH258:$AV258,Calc!$I$12),INDEX('Avalanche Engine'!$AH258:$AV258,Calc!$J$12),INDEX('My Order Engine'!$AH258:$AV258,Calc!$K$12)),"")</f>
        <v/>
      </c>
      <c r="J256" s="25" t="str">
        <f>IF(AND($A256&lt;=IF(Calc!$C$36=999,360,Calc!$C$36),Calc!$C$13=1),CHOOSE(Calc!$C$3,INDEX('Snowball Engine'!$AH258:$AV258,Calc!$I$13),INDEX('Avalanche Engine'!$AH258:$AV258,Calc!$J$13),INDEX('My Order Engine'!$AH258:$AV258,Calc!$K$13)),"")</f>
        <v/>
      </c>
      <c r="K256" s="25" t="str">
        <f>IF(AND($A256&lt;=IF(Calc!$C$36=999,360,Calc!$C$36),Calc!$C$14=1),CHOOSE(Calc!$C$3,INDEX('Snowball Engine'!$AH258:$AV258,Calc!$I$14),INDEX('Avalanche Engine'!$AH258:$AV258,Calc!$J$14),INDEX('My Order Engine'!$AH258:$AV258,Calc!$K$14)),"")</f>
        <v/>
      </c>
      <c r="L256" s="25" t="str">
        <f>IF(AND($A256&lt;=IF(Calc!$C$36=999,360,Calc!$C$36),Calc!$C$15=1),CHOOSE(Calc!$C$3,INDEX('Snowball Engine'!$AH258:$AV258,Calc!$I$15),INDEX('Avalanche Engine'!$AH258:$AV258,Calc!$J$15),INDEX('My Order Engine'!$AH258:$AV258,Calc!$K$15)),"")</f>
        <v/>
      </c>
      <c r="M256" s="25" t="str">
        <f>IF(AND($A256&lt;=IF(Calc!$C$36=999,360,Calc!$C$36),Calc!$C$16=1),CHOOSE(Calc!$C$3,INDEX('Snowball Engine'!$AH258:$AV258,Calc!$I$16),INDEX('Avalanche Engine'!$AH258:$AV258,Calc!$J$16),INDEX('My Order Engine'!$AH258:$AV258,Calc!$K$16)),"")</f>
        <v/>
      </c>
      <c r="N256" s="25" t="str">
        <f>IF(AND($A256&lt;=IF(Calc!$C$36=999,360,Calc!$C$36),Calc!$C$17=1),CHOOSE(Calc!$C$3,INDEX('Snowball Engine'!$AH258:$AV258,Calc!$I$17),INDEX('Avalanche Engine'!$AH258:$AV258,Calc!$J$17),INDEX('My Order Engine'!$AH258:$AV258,Calc!$K$17)),"")</f>
        <v/>
      </c>
      <c r="O256" s="25" t="str">
        <f>IF(AND($A256&lt;=IF(Calc!$C$36=999,360,Calc!$C$36),Calc!$C$18=1),CHOOSE(Calc!$C$3,INDEX('Snowball Engine'!$AH258:$AV258,Calc!$I$18),INDEX('Avalanche Engine'!$AH258:$AV258,Calc!$J$18),INDEX('My Order Engine'!$AH258:$AV258,Calc!$K$18)),"")</f>
        <v/>
      </c>
      <c r="P256" s="25" t="str">
        <f>IF(AND($A256&lt;=IF(Calc!$C$36=999,360,Calc!$C$36),Calc!$C$19=1),CHOOSE(Calc!$C$3,INDEX('Snowball Engine'!$AH258:$AV258,Calc!$I$19),INDEX('Avalanche Engine'!$AH258:$AV258,Calc!$J$19),INDEX('My Order Engine'!$AH258:$AV258,Calc!$K$19)),"")</f>
        <v/>
      </c>
      <c r="Q256" s="25" t="str">
        <f>IF(AND($A256&lt;=IF(Calc!$C$36=999,360,Calc!$C$36),Calc!$C$20=1),CHOOSE(Calc!$C$3,INDEX('Snowball Engine'!$AH258:$AV258,Calc!$I$20),INDEX('Avalanche Engine'!$AH258:$AV258,Calc!$J$20),INDEX('My Order Engine'!$AH258:$AV258,Calc!$K$20)),"")</f>
        <v/>
      </c>
      <c r="R256" s="25" t="str">
        <f>IF(AND($A256&lt;=IF(Calc!$C$36=999,360,Calc!$C$36),Calc!$C$21=1),CHOOSE(Calc!$C$3,INDEX('Snowball Engine'!$AH258:$AV258,Calc!$I$21),INDEX('Avalanche Engine'!$AH258:$AV258,Calc!$J$21),INDEX('My Order Engine'!$AH258:$AV258,Calc!$K$21)),"")</f>
        <v/>
      </c>
      <c r="S256" s="25" t="str">
        <f>IF(AND($A256&lt;=IF(Calc!$C$36=999,360,Calc!$C$36),Calc!$C$22=1),CHOOSE(Calc!$C$3,INDEX('Snowball Engine'!$AH258:$AV258,Calc!$I$22),INDEX('Avalanche Engine'!$AH258:$AV258,Calc!$J$22),INDEX('My Order Engine'!$AH258:$AV258,Calc!$K$22)),"")</f>
        <v/>
      </c>
      <c r="T256" s="25" t="str">
        <f>IF(AND($A256&lt;=IF(Calc!$C$36=999,360,Calc!$C$36),Calc!$C$23=1),CHOOSE(Calc!$C$3,INDEX('Snowball Engine'!$AH258:$AV258,Calc!$I$23),INDEX('Avalanche Engine'!$AH258:$AV258,Calc!$J$23),INDEX('My Order Engine'!$AH258:$AV258,Calc!$K$23)),"")</f>
        <v/>
      </c>
      <c r="U256" s="25" t="str">
        <f>IF(AND($A256&lt;=IF(Calc!$C$36=999,360,Calc!$C$36),Calc!$C$24=1),CHOOSE(Calc!$C$3,INDEX('Snowball Engine'!$AH258:$AV258,Calc!$I$24),INDEX('Avalanche Engine'!$AH258:$AV258,Calc!$J$24),INDEX('My Order Engine'!$AH258:$AV258,Calc!$K$24)),"")</f>
        <v/>
      </c>
    </row>
    <row r="257" spans="1:21" x14ac:dyDescent="0.35">
      <c r="A257" s="23">
        <v>253</v>
      </c>
      <c r="B257" s="24" t="str">
        <f>IF($A257&lt;=IF(Calc!$C$36=999,360,Calc!$C$36),EDATE(Calc!$C$5,A257-1),"")</f>
        <v/>
      </c>
      <c r="C257" s="25" t="str">
        <f>IF($A257&lt;=IF(Calc!$C$36=999,360,Calc!$C$36),CHOOSE(Calc!$C$3,'Snowball Engine'!AY259,'Avalanche Engine'!AY259,'My Order Engine'!AY259),"")</f>
        <v/>
      </c>
      <c r="D257" s="25" t="str">
        <f>IF($A257&lt;=IF(Calc!$C$36=999,360,Calc!$C$36),CHOOSE(Calc!$C$3,'Snowball Engine'!AX259,'Avalanche Engine'!AX259,'My Order Engine'!AX259),"")</f>
        <v/>
      </c>
      <c r="E257" s="25" t="str">
        <f>IF($A257&lt;=IF(Calc!$C$36=999,360,Calc!$C$36),C257-D257,"")</f>
        <v/>
      </c>
      <c r="F257" s="25" t="str">
        <f>IF($A257&lt;=IF(Calc!$C$36=999,360,Calc!$C$36),CHOOSE(Calc!$C$3,'Snowball Engine'!AW259,'Avalanche Engine'!AW259,'My Order Engine'!AW259),"")</f>
        <v/>
      </c>
      <c r="G257" s="25" t="str">
        <f>IF(AND($A257&lt;=IF(Calc!$C$36=999,360,Calc!$C$36),Calc!$C$10=1),CHOOSE(Calc!$C$3,INDEX('Snowball Engine'!$AH259:$AV259,Calc!$I$10),INDEX('Avalanche Engine'!$AH259:$AV259,Calc!$J$10),INDEX('My Order Engine'!$AH259:$AV259,Calc!$K$10)),"")</f>
        <v/>
      </c>
      <c r="H257" s="25" t="str">
        <f>IF(AND($A257&lt;=IF(Calc!$C$36=999,360,Calc!$C$36),Calc!$C$11=1),CHOOSE(Calc!$C$3,INDEX('Snowball Engine'!$AH259:$AV259,Calc!$I$11),INDEX('Avalanche Engine'!$AH259:$AV259,Calc!$J$11),INDEX('My Order Engine'!$AH259:$AV259,Calc!$K$11)),"")</f>
        <v/>
      </c>
      <c r="I257" s="25" t="str">
        <f>IF(AND($A257&lt;=IF(Calc!$C$36=999,360,Calc!$C$36),Calc!$C$12=1),CHOOSE(Calc!$C$3,INDEX('Snowball Engine'!$AH259:$AV259,Calc!$I$12),INDEX('Avalanche Engine'!$AH259:$AV259,Calc!$J$12),INDEX('My Order Engine'!$AH259:$AV259,Calc!$K$12)),"")</f>
        <v/>
      </c>
      <c r="J257" s="25" t="str">
        <f>IF(AND($A257&lt;=IF(Calc!$C$36=999,360,Calc!$C$36),Calc!$C$13=1),CHOOSE(Calc!$C$3,INDEX('Snowball Engine'!$AH259:$AV259,Calc!$I$13),INDEX('Avalanche Engine'!$AH259:$AV259,Calc!$J$13),INDEX('My Order Engine'!$AH259:$AV259,Calc!$K$13)),"")</f>
        <v/>
      </c>
      <c r="K257" s="25" t="str">
        <f>IF(AND($A257&lt;=IF(Calc!$C$36=999,360,Calc!$C$36),Calc!$C$14=1),CHOOSE(Calc!$C$3,INDEX('Snowball Engine'!$AH259:$AV259,Calc!$I$14),INDEX('Avalanche Engine'!$AH259:$AV259,Calc!$J$14),INDEX('My Order Engine'!$AH259:$AV259,Calc!$K$14)),"")</f>
        <v/>
      </c>
      <c r="L257" s="25" t="str">
        <f>IF(AND($A257&lt;=IF(Calc!$C$36=999,360,Calc!$C$36),Calc!$C$15=1),CHOOSE(Calc!$C$3,INDEX('Snowball Engine'!$AH259:$AV259,Calc!$I$15),INDEX('Avalanche Engine'!$AH259:$AV259,Calc!$J$15),INDEX('My Order Engine'!$AH259:$AV259,Calc!$K$15)),"")</f>
        <v/>
      </c>
      <c r="M257" s="25" t="str">
        <f>IF(AND($A257&lt;=IF(Calc!$C$36=999,360,Calc!$C$36),Calc!$C$16=1),CHOOSE(Calc!$C$3,INDEX('Snowball Engine'!$AH259:$AV259,Calc!$I$16),INDEX('Avalanche Engine'!$AH259:$AV259,Calc!$J$16),INDEX('My Order Engine'!$AH259:$AV259,Calc!$K$16)),"")</f>
        <v/>
      </c>
      <c r="N257" s="25" t="str">
        <f>IF(AND($A257&lt;=IF(Calc!$C$36=999,360,Calc!$C$36),Calc!$C$17=1),CHOOSE(Calc!$C$3,INDEX('Snowball Engine'!$AH259:$AV259,Calc!$I$17),INDEX('Avalanche Engine'!$AH259:$AV259,Calc!$J$17),INDEX('My Order Engine'!$AH259:$AV259,Calc!$K$17)),"")</f>
        <v/>
      </c>
      <c r="O257" s="25" t="str">
        <f>IF(AND($A257&lt;=IF(Calc!$C$36=999,360,Calc!$C$36),Calc!$C$18=1),CHOOSE(Calc!$C$3,INDEX('Snowball Engine'!$AH259:$AV259,Calc!$I$18),INDEX('Avalanche Engine'!$AH259:$AV259,Calc!$J$18),INDEX('My Order Engine'!$AH259:$AV259,Calc!$K$18)),"")</f>
        <v/>
      </c>
      <c r="P257" s="25" t="str">
        <f>IF(AND($A257&lt;=IF(Calc!$C$36=999,360,Calc!$C$36),Calc!$C$19=1),CHOOSE(Calc!$C$3,INDEX('Snowball Engine'!$AH259:$AV259,Calc!$I$19),INDEX('Avalanche Engine'!$AH259:$AV259,Calc!$J$19),INDEX('My Order Engine'!$AH259:$AV259,Calc!$K$19)),"")</f>
        <v/>
      </c>
      <c r="Q257" s="25" t="str">
        <f>IF(AND($A257&lt;=IF(Calc!$C$36=999,360,Calc!$C$36),Calc!$C$20=1),CHOOSE(Calc!$C$3,INDEX('Snowball Engine'!$AH259:$AV259,Calc!$I$20),INDEX('Avalanche Engine'!$AH259:$AV259,Calc!$J$20),INDEX('My Order Engine'!$AH259:$AV259,Calc!$K$20)),"")</f>
        <v/>
      </c>
      <c r="R257" s="25" t="str">
        <f>IF(AND($A257&lt;=IF(Calc!$C$36=999,360,Calc!$C$36),Calc!$C$21=1),CHOOSE(Calc!$C$3,INDEX('Snowball Engine'!$AH259:$AV259,Calc!$I$21),INDEX('Avalanche Engine'!$AH259:$AV259,Calc!$J$21),INDEX('My Order Engine'!$AH259:$AV259,Calc!$K$21)),"")</f>
        <v/>
      </c>
      <c r="S257" s="25" t="str">
        <f>IF(AND($A257&lt;=IF(Calc!$C$36=999,360,Calc!$C$36),Calc!$C$22=1),CHOOSE(Calc!$C$3,INDEX('Snowball Engine'!$AH259:$AV259,Calc!$I$22),INDEX('Avalanche Engine'!$AH259:$AV259,Calc!$J$22),INDEX('My Order Engine'!$AH259:$AV259,Calc!$K$22)),"")</f>
        <v/>
      </c>
      <c r="T257" s="25" t="str">
        <f>IF(AND($A257&lt;=IF(Calc!$C$36=999,360,Calc!$C$36),Calc!$C$23=1),CHOOSE(Calc!$C$3,INDEX('Snowball Engine'!$AH259:$AV259,Calc!$I$23),INDEX('Avalanche Engine'!$AH259:$AV259,Calc!$J$23),INDEX('My Order Engine'!$AH259:$AV259,Calc!$K$23)),"")</f>
        <v/>
      </c>
      <c r="U257" s="25" t="str">
        <f>IF(AND($A257&lt;=IF(Calc!$C$36=999,360,Calc!$C$36),Calc!$C$24=1),CHOOSE(Calc!$C$3,INDEX('Snowball Engine'!$AH259:$AV259,Calc!$I$24),INDEX('Avalanche Engine'!$AH259:$AV259,Calc!$J$24),INDEX('My Order Engine'!$AH259:$AV259,Calc!$K$24)),"")</f>
        <v/>
      </c>
    </row>
    <row r="258" spans="1:21" x14ac:dyDescent="0.35">
      <c r="A258" s="23">
        <v>254</v>
      </c>
      <c r="B258" s="24" t="str">
        <f>IF($A258&lt;=IF(Calc!$C$36=999,360,Calc!$C$36),EDATE(Calc!$C$5,A258-1),"")</f>
        <v/>
      </c>
      <c r="C258" s="25" t="str">
        <f>IF($A258&lt;=IF(Calc!$C$36=999,360,Calc!$C$36),CHOOSE(Calc!$C$3,'Snowball Engine'!AY260,'Avalanche Engine'!AY260,'My Order Engine'!AY260),"")</f>
        <v/>
      </c>
      <c r="D258" s="25" t="str">
        <f>IF($A258&lt;=IF(Calc!$C$36=999,360,Calc!$C$36),CHOOSE(Calc!$C$3,'Snowball Engine'!AX260,'Avalanche Engine'!AX260,'My Order Engine'!AX260),"")</f>
        <v/>
      </c>
      <c r="E258" s="25" t="str">
        <f>IF($A258&lt;=IF(Calc!$C$36=999,360,Calc!$C$36),C258-D258,"")</f>
        <v/>
      </c>
      <c r="F258" s="25" t="str">
        <f>IF($A258&lt;=IF(Calc!$C$36=999,360,Calc!$C$36),CHOOSE(Calc!$C$3,'Snowball Engine'!AW260,'Avalanche Engine'!AW260,'My Order Engine'!AW260),"")</f>
        <v/>
      </c>
      <c r="G258" s="25" t="str">
        <f>IF(AND($A258&lt;=IF(Calc!$C$36=999,360,Calc!$C$36),Calc!$C$10=1),CHOOSE(Calc!$C$3,INDEX('Snowball Engine'!$AH260:$AV260,Calc!$I$10),INDEX('Avalanche Engine'!$AH260:$AV260,Calc!$J$10),INDEX('My Order Engine'!$AH260:$AV260,Calc!$K$10)),"")</f>
        <v/>
      </c>
      <c r="H258" s="25" t="str">
        <f>IF(AND($A258&lt;=IF(Calc!$C$36=999,360,Calc!$C$36),Calc!$C$11=1),CHOOSE(Calc!$C$3,INDEX('Snowball Engine'!$AH260:$AV260,Calc!$I$11),INDEX('Avalanche Engine'!$AH260:$AV260,Calc!$J$11),INDEX('My Order Engine'!$AH260:$AV260,Calc!$K$11)),"")</f>
        <v/>
      </c>
      <c r="I258" s="25" t="str">
        <f>IF(AND($A258&lt;=IF(Calc!$C$36=999,360,Calc!$C$36),Calc!$C$12=1),CHOOSE(Calc!$C$3,INDEX('Snowball Engine'!$AH260:$AV260,Calc!$I$12),INDEX('Avalanche Engine'!$AH260:$AV260,Calc!$J$12),INDEX('My Order Engine'!$AH260:$AV260,Calc!$K$12)),"")</f>
        <v/>
      </c>
      <c r="J258" s="25" t="str">
        <f>IF(AND($A258&lt;=IF(Calc!$C$36=999,360,Calc!$C$36),Calc!$C$13=1),CHOOSE(Calc!$C$3,INDEX('Snowball Engine'!$AH260:$AV260,Calc!$I$13),INDEX('Avalanche Engine'!$AH260:$AV260,Calc!$J$13),INDEX('My Order Engine'!$AH260:$AV260,Calc!$K$13)),"")</f>
        <v/>
      </c>
      <c r="K258" s="25" t="str">
        <f>IF(AND($A258&lt;=IF(Calc!$C$36=999,360,Calc!$C$36),Calc!$C$14=1),CHOOSE(Calc!$C$3,INDEX('Snowball Engine'!$AH260:$AV260,Calc!$I$14),INDEX('Avalanche Engine'!$AH260:$AV260,Calc!$J$14),INDEX('My Order Engine'!$AH260:$AV260,Calc!$K$14)),"")</f>
        <v/>
      </c>
      <c r="L258" s="25" t="str">
        <f>IF(AND($A258&lt;=IF(Calc!$C$36=999,360,Calc!$C$36),Calc!$C$15=1),CHOOSE(Calc!$C$3,INDEX('Snowball Engine'!$AH260:$AV260,Calc!$I$15),INDEX('Avalanche Engine'!$AH260:$AV260,Calc!$J$15),INDEX('My Order Engine'!$AH260:$AV260,Calc!$K$15)),"")</f>
        <v/>
      </c>
      <c r="M258" s="25" t="str">
        <f>IF(AND($A258&lt;=IF(Calc!$C$36=999,360,Calc!$C$36),Calc!$C$16=1),CHOOSE(Calc!$C$3,INDEX('Snowball Engine'!$AH260:$AV260,Calc!$I$16),INDEX('Avalanche Engine'!$AH260:$AV260,Calc!$J$16),INDEX('My Order Engine'!$AH260:$AV260,Calc!$K$16)),"")</f>
        <v/>
      </c>
      <c r="N258" s="25" t="str">
        <f>IF(AND($A258&lt;=IF(Calc!$C$36=999,360,Calc!$C$36),Calc!$C$17=1),CHOOSE(Calc!$C$3,INDEX('Snowball Engine'!$AH260:$AV260,Calc!$I$17),INDEX('Avalanche Engine'!$AH260:$AV260,Calc!$J$17),INDEX('My Order Engine'!$AH260:$AV260,Calc!$K$17)),"")</f>
        <v/>
      </c>
      <c r="O258" s="25" t="str">
        <f>IF(AND($A258&lt;=IF(Calc!$C$36=999,360,Calc!$C$36),Calc!$C$18=1),CHOOSE(Calc!$C$3,INDEX('Snowball Engine'!$AH260:$AV260,Calc!$I$18),INDEX('Avalanche Engine'!$AH260:$AV260,Calc!$J$18),INDEX('My Order Engine'!$AH260:$AV260,Calc!$K$18)),"")</f>
        <v/>
      </c>
      <c r="P258" s="25" t="str">
        <f>IF(AND($A258&lt;=IF(Calc!$C$36=999,360,Calc!$C$36),Calc!$C$19=1),CHOOSE(Calc!$C$3,INDEX('Snowball Engine'!$AH260:$AV260,Calc!$I$19),INDEX('Avalanche Engine'!$AH260:$AV260,Calc!$J$19),INDEX('My Order Engine'!$AH260:$AV260,Calc!$K$19)),"")</f>
        <v/>
      </c>
      <c r="Q258" s="25" t="str">
        <f>IF(AND($A258&lt;=IF(Calc!$C$36=999,360,Calc!$C$36),Calc!$C$20=1),CHOOSE(Calc!$C$3,INDEX('Snowball Engine'!$AH260:$AV260,Calc!$I$20),INDEX('Avalanche Engine'!$AH260:$AV260,Calc!$J$20),INDEX('My Order Engine'!$AH260:$AV260,Calc!$K$20)),"")</f>
        <v/>
      </c>
      <c r="R258" s="25" t="str">
        <f>IF(AND($A258&lt;=IF(Calc!$C$36=999,360,Calc!$C$36),Calc!$C$21=1),CHOOSE(Calc!$C$3,INDEX('Snowball Engine'!$AH260:$AV260,Calc!$I$21),INDEX('Avalanche Engine'!$AH260:$AV260,Calc!$J$21),INDEX('My Order Engine'!$AH260:$AV260,Calc!$K$21)),"")</f>
        <v/>
      </c>
      <c r="S258" s="25" t="str">
        <f>IF(AND($A258&lt;=IF(Calc!$C$36=999,360,Calc!$C$36),Calc!$C$22=1),CHOOSE(Calc!$C$3,INDEX('Snowball Engine'!$AH260:$AV260,Calc!$I$22),INDEX('Avalanche Engine'!$AH260:$AV260,Calc!$J$22),INDEX('My Order Engine'!$AH260:$AV260,Calc!$K$22)),"")</f>
        <v/>
      </c>
      <c r="T258" s="25" t="str">
        <f>IF(AND($A258&lt;=IF(Calc!$C$36=999,360,Calc!$C$36),Calc!$C$23=1),CHOOSE(Calc!$C$3,INDEX('Snowball Engine'!$AH260:$AV260,Calc!$I$23),INDEX('Avalanche Engine'!$AH260:$AV260,Calc!$J$23),INDEX('My Order Engine'!$AH260:$AV260,Calc!$K$23)),"")</f>
        <v/>
      </c>
      <c r="U258" s="25" t="str">
        <f>IF(AND($A258&lt;=IF(Calc!$C$36=999,360,Calc!$C$36),Calc!$C$24=1),CHOOSE(Calc!$C$3,INDEX('Snowball Engine'!$AH260:$AV260,Calc!$I$24),INDEX('Avalanche Engine'!$AH260:$AV260,Calc!$J$24),INDEX('My Order Engine'!$AH260:$AV260,Calc!$K$24)),"")</f>
        <v/>
      </c>
    </row>
    <row r="259" spans="1:21" x14ac:dyDescent="0.35">
      <c r="A259" s="23">
        <v>255</v>
      </c>
      <c r="B259" s="24" t="str">
        <f>IF($A259&lt;=IF(Calc!$C$36=999,360,Calc!$C$36),EDATE(Calc!$C$5,A259-1),"")</f>
        <v/>
      </c>
      <c r="C259" s="25" t="str">
        <f>IF($A259&lt;=IF(Calc!$C$36=999,360,Calc!$C$36),CHOOSE(Calc!$C$3,'Snowball Engine'!AY261,'Avalanche Engine'!AY261,'My Order Engine'!AY261),"")</f>
        <v/>
      </c>
      <c r="D259" s="25" t="str">
        <f>IF($A259&lt;=IF(Calc!$C$36=999,360,Calc!$C$36),CHOOSE(Calc!$C$3,'Snowball Engine'!AX261,'Avalanche Engine'!AX261,'My Order Engine'!AX261),"")</f>
        <v/>
      </c>
      <c r="E259" s="25" t="str">
        <f>IF($A259&lt;=IF(Calc!$C$36=999,360,Calc!$C$36),C259-D259,"")</f>
        <v/>
      </c>
      <c r="F259" s="25" t="str">
        <f>IF($A259&lt;=IF(Calc!$C$36=999,360,Calc!$C$36),CHOOSE(Calc!$C$3,'Snowball Engine'!AW261,'Avalanche Engine'!AW261,'My Order Engine'!AW261),"")</f>
        <v/>
      </c>
      <c r="G259" s="25" t="str">
        <f>IF(AND($A259&lt;=IF(Calc!$C$36=999,360,Calc!$C$36),Calc!$C$10=1),CHOOSE(Calc!$C$3,INDEX('Snowball Engine'!$AH261:$AV261,Calc!$I$10),INDEX('Avalanche Engine'!$AH261:$AV261,Calc!$J$10),INDEX('My Order Engine'!$AH261:$AV261,Calc!$K$10)),"")</f>
        <v/>
      </c>
      <c r="H259" s="25" t="str">
        <f>IF(AND($A259&lt;=IF(Calc!$C$36=999,360,Calc!$C$36),Calc!$C$11=1),CHOOSE(Calc!$C$3,INDEX('Snowball Engine'!$AH261:$AV261,Calc!$I$11),INDEX('Avalanche Engine'!$AH261:$AV261,Calc!$J$11),INDEX('My Order Engine'!$AH261:$AV261,Calc!$K$11)),"")</f>
        <v/>
      </c>
      <c r="I259" s="25" t="str">
        <f>IF(AND($A259&lt;=IF(Calc!$C$36=999,360,Calc!$C$36),Calc!$C$12=1),CHOOSE(Calc!$C$3,INDEX('Snowball Engine'!$AH261:$AV261,Calc!$I$12),INDEX('Avalanche Engine'!$AH261:$AV261,Calc!$J$12),INDEX('My Order Engine'!$AH261:$AV261,Calc!$K$12)),"")</f>
        <v/>
      </c>
      <c r="J259" s="25" t="str">
        <f>IF(AND($A259&lt;=IF(Calc!$C$36=999,360,Calc!$C$36),Calc!$C$13=1),CHOOSE(Calc!$C$3,INDEX('Snowball Engine'!$AH261:$AV261,Calc!$I$13),INDEX('Avalanche Engine'!$AH261:$AV261,Calc!$J$13),INDEX('My Order Engine'!$AH261:$AV261,Calc!$K$13)),"")</f>
        <v/>
      </c>
      <c r="K259" s="25" t="str">
        <f>IF(AND($A259&lt;=IF(Calc!$C$36=999,360,Calc!$C$36),Calc!$C$14=1),CHOOSE(Calc!$C$3,INDEX('Snowball Engine'!$AH261:$AV261,Calc!$I$14),INDEX('Avalanche Engine'!$AH261:$AV261,Calc!$J$14),INDEX('My Order Engine'!$AH261:$AV261,Calc!$K$14)),"")</f>
        <v/>
      </c>
      <c r="L259" s="25" t="str">
        <f>IF(AND($A259&lt;=IF(Calc!$C$36=999,360,Calc!$C$36),Calc!$C$15=1),CHOOSE(Calc!$C$3,INDEX('Snowball Engine'!$AH261:$AV261,Calc!$I$15),INDEX('Avalanche Engine'!$AH261:$AV261,Calc!$J$15),INDEX('My Order Engine'!$AH261:$AV261,Calc!$K$15)),"")</f>
        <v/>
      </c>
      <c r="M259" s="25" t="str">
        <f>IF(AND($A259&lt;=IF(Calc!$C$36=999,360,Calc!$C$36),Calc!$C$16=1),CHOOSE(Calc!$C$3,INDEX('Snowball Engine'!$AH261:$AV261,Calc!$I$16),INDEX('Avalanche Engine'!$AH261:$AV261,Calc!$J$16),INDEX('My Order Engine'!$AH261:$AV261,Calc!$K$16)),"")</f>
        <v/>
      </c>
      <c r="N259" s="25" t="str">
        <f>IF(AND($A259&lt;=IF(Calc!$C$36=999,360,Calc!$C$36),Calc!$C$17=1),CHOOSE(Calc!$C$3,INDEX('Snowball Engine'!$AH261:$AV261,Calc!$I$17),INDEX('Avalanche Engine'!$AH261:$AV261,Calc!$J$17),INDEX('My Order Engine'!$AH261:$AV261,Calc!$K$17)),"")</f>
        <v/>
      </c>
      <c r="O259" s="25" t="str">
        <f>IF(AND($A259&lt;=IF(Calc!$C$36=999,360,Calc!$C$36),Calc!$C$18=1),CHOOSE(Calc!$C$3,INDEX('Snowball Engine'!$AH261:$AV261,Calc!$I$18),INDEX('Avalanche Engine'!$AH261:$AV261,Calc!$J$18),INDEX('My Order Engine'!$AH261:$AV261,Calc!$K$18)),"")</f>
        <v/>
      </c>
      <c r="P259" s="25" t="str">
        <f>IF(AND($A259&lt;=IF(Calc!$C$36=999,360,Calc!$C$36),Calc!$C$19=1),CHOOSE(Calc!$C$3,INDEX('Snowball Engine'!$AH261:$AV261,Calc!$I$19),INDEX('Avalanche Engine'!$AH261:$AV261,Calc!$J$19),INDEX('My Order Engine'!$AH261:$AV261,Calc!$K$19)),"")</f>
        <v/>
      </c>
      <c r="Q259" s="25" t="str">
        <f>IF(AND($A259&lt;=IF(Calc!$C$36=999,360,Calc!$C$36),Calc!$C$20=1),CHOOSE(Calc!$C$3,INDEX('Snowball Engine'!$AH261:$AV261,Calc!$I$20),INDEX('Avalanche Engine'!$AH261:$AV261,Calc!$J$20),INDEX('My Order Engine'!$AH261:$AV261,Calc!$K$20)),"")</f>
        <v/>
      </c>
      <c r="R259" s="25" t="str">
        <f>IF(AND($A259&lt;=IF(Calc!$C$36=999,360,Calc!$C$36),Calc!$C$21=1),CHOOSE(Calc!$C$3,INDEX('Snowball Engine'!$AH261:$AV261,Calc!$I$21),INDEX('Avalanche Engine'!$AH261:$AV261,Calc!$J$21),INDEX('My Order Engine'!$AH261:$AV261,Calc!$K$21)),"")</f>
        <v/>
      </c>
      <c r="S259" s="25" t="str">
        <f>IF(AND($A259&lt;=IF(Calc!$C$36=999,360,Calc!$C$36),Calc!$C$22=1),CHOOSE(Calc!$C$3,INDEX('Snowball Engine'!$AH261:$AV261,Calc!$I$22),INDEX('Avalanche Engine'!$AH261:$AV261,Calc!$J$22),INDEX('My Order Engine'!$AH261:$AV261,Calc!$K$22)),"")</f>
        <v/>
      </c>
      <c r="T259" s="25" t="str">
        <f>IF(AND($A259&lt;=IF(Calc!$C$36=999,360,Calc!$C$36),Calc!$C$23=1),CHOOSE(Calc!$C$3,INDEX('Snowball Engine'!$AH261:$AV261,Calc!$I$23),INDEX('Avalanche Engine'!$AH261:$AV261,Calc!$J$23),INDEX('My Order Engine'!$AH261:$AV261,Calc!$K$23)),"")</f>
        <v/>
      </c>
      <c r="U259" s="25" t="str">
        <f>IF(AND($A259&lt;=IF(Calc!$C$36=999,360,Calc!$C$36),Calc!$C$24=1),CHOOSE(Calc!$C$3,INDEX('Snowball Engine'!$AH261:$AV261,Calc!$I$24),INDEX('Avalanche Engine'!$AH261:$AV261,Calc!$J$24),INDEX('My Order Engine'!$AH261:$AV261,Calc!$K$24)),"")</f>
        <v/>
      </c>
    </row>
    <row r="260" spans="1:21" x14ac:dyDescent="0.35">
      <c r="A260" s="23">
        <v>256</v>
      </c>
      <c r="B260" s="24" t="str">
        <f>IF($A260&lt;=IF(Calc!$C$36=999,360,Calc!$C$36),EDATE(Calc!$C$5,A260-1),"")</f>
        <v/>
      </c>
      <c r="C260" s="25" t="str">
        <f>IF($A260&lt;=IF(Calc!$C$36=999,360,Calc!$C$36),CHOOSE(Calc!$C$3,'Snowball Engine'!AY262,'Avalanche Engine'!AY262,'My Order Engine'!AY262),"")</f>
        <v/>
      </c>
      <c r="D260" s="25" t="str">
        <f>IF($A260&lt;=IF(Calc!$C$36=999,360,Calc!$C$36),CHOOSE(Calc!$C$3,'Snowball Engine'!AX262,'Avalanche Engine'!AX262,'My Order Engine'!AX262),"")</f>
        <v/>
      </c>
      <c r="E260" s="25" t="str">
        <f>IF($A260&lt;=IF(Calc!$C$36=999,360,Calc!$C$36),C260-D260,"")</f>
        <v/>
      </c>
      <c r="F260" s="25" t="str">
        <f>IF($A260&lt;=IF(Calc!$C$36=999,360,Calc!$C$36),CHOOSE(Calc!$C$3,'Snowball Engine'!AW262,'Avalanche Engine'!AW262,'My Order Engine'!AW262),"")</f>
        <v/>
      </c>
      <c r="G260" s="25" t="str">
        <f>IF(AND($A260&lt;=IF(Calc!$C$36=999,360,Calc!$C$36),Calc!$C$10=1),CHOOSE(Calc!$C$3,INDEX('Snowball Engine'!$AH262:$AV262,Calc!$I$10),INDEX('Avalanche Engine'!$AH262:$AV262,Calc!$J$10),INDEX('My Order Engine'!$AH262:$AV262,Calc!$K$10)),"")</f>
        <v/>
      </c>
      <c r="H260" s="25" t="str">
        <f>IF(AND($A260&lt;=IF(Calc!$C$36=999,360,Calc!$C$36),Calc!$C$11=1),CHOOSE(Calc!$C$3,INDEX('Snowball Engine'!$AH262:$AV262,Calc!$I$11),INDEX('Avalanche Engine'!$AH262:$AV262,Calc!$J$11),INDEX('My Order Engine'!$AH262:$AV262,Calc!$K$11)),"")</f>
        <v/>
      </c>
      <c r="I260" s="25" t="str">
        <f>IF(AND($A260&lt;=IF(Calc!$C$36=999,360,Calc!$C$36),Calc!$C$12=1),CHOOSE(Calc!$C$3,INDEX('Snowball Engine'!$AH262:$AV262,Calc!$I$12),INDEX('Avalanche Engine'!$AH262:$AV262,Calc!$J$12),INDEX('My Order Engine'!$AH262:$AV262,Calc!$K$12)),"")</f>
        <v/>
      </c>
      <c r="J260" s="25" t="str">
        <f>IF(AND($A260&lt;=IF(Calc!$C$36=999,360,Calc!$C$36),Calc!$C$13=1),CHOOSE(Calc!$C$3,INDEX('Snowball Engine'!$AH262:$AV262,Calc!$I$13),INDEX('Avalanche Engine'!$AH262:$AV262,Calc!$J$13),INDEX('My Order Engine'!$AH262:$AV262,Calc!$K$13)),"")</f>
        <v/>
      </c>
      <c r="K260" s="25" t="str">
        <f>IF(AND($A260&lt;=IF(Calc!$C$36=999,360,Calc!$C$36),Calc!$C$14=1),CHOOSE(Calc!$C$3,INDEX('Snowball Engine'!$AH262:$AV262,Calc!$I$14),INDEX('Avalanche Engine'!$AH262:$AV262,Calc!$J$14),INDEX('My Order Engine'!$AH262:$AV262,Calc!$K$14)),"")</f>
        <v/>
      </c>
      <c r="L260" s="25" t="str">
        <f>IF(AND($A260&lt;=IF(Calc!$C$36=999,360,Calc!$C$36),Calc!$C$15=1),CHOOSE(Calc!$C$3,INDEX('Snowball Engine'!$AH262:$AV262,Calc!$I$15),INDEX('Avalanche Engine'!$AH262:$AV262,Calc!$J$15),INDEX('My Order Engine'!$AH262:$AV262,Calc!$K$15)),"")</f>
        <v/>
      </c>
      <c r="M260" s="25" t="str">
        <f>IF(AND($A260&lt;=IF(Calc!$C$36=999,360,Calc!$C$36),Calc!$C$16=1),CHOOSE(Calc!$C$3,INDEX('Snowball Engine'!$AH262:$AV262,Calc!$I$16),INDEX('Avalanche Engine'!$AH262:$AV262,Calc!$J$16),INDEX('My Order Engine'!$AH262:$AV262,Calc!$K$16)),"")</f>
        <v/>
      </c>
      <c r="N260" s="25" t="str">
        <f>IF(AND($A260&lt;=IF(Calc!$C$36=999,360,Calc!$C$36),Calc!$C$17=1),CHOOSE(Calc!$C$3,INDEX('Snowball Engine'!$AH262:$AV262,Calc!$I$17),INDEX('Avalanche Engine'!$AH262:$AV262,Calc!$J$17),INDEX('My Order Engine'!$AH262:$AV262,Calc!$K$17)),"")</f>
        <v/>
      </c>
      <c r="O260" s="25" t="str">
        <f>IF(AND($A260&lt;=IF(Calc!$C$36=999,360,Calc!$C$36),Calc!$C$18=1),CHOOSE(Calc!$C$3,INDEX('Snowball Engine'!$AH262:$AV262,Calc!$I$18),INDEX('Avalanche Engine'!$AH262:$AV262,Calc!$J$18),INDEX('My Order Engine'!$AH262:$AV262,Calc!$K$18)),"")</f>
        <v/>
      </c>
      <c r="P260" s="25" t="str">
        <f>IF(AND($A260&lt;=IF(Calc!$C$36=999,360,Calc!$C$36),Calc!$C$19=1),CHOOSE(Calc!$C$3,INDEX('Snowball Engine'!$AH262:$AV262,Calc!$I$19),INDEX('Avalanche Engine'!$AH262:$AV262,Calc!$J$19),INDEX('My Order Engine'!$AH262:$AV262,Calc!$K$19)),"")</f>
        <v/>
      </c>
      <c r="Q260" s="25" t="str">
        <f>IF(AND($A260&lt;=IF(Calc!$C$36=999,360,Calc!$C$36),Calc!$C$20=1),CHOOSE(Calc!$C$3,INDEX('Snowball Engine'!$AH262:$AV262,Calc!$I$20),INDEX('Avalanche Engine'!$AH262:$AV262,Calc!$J$20),INDEX('My Order Engine'!$AH262:$AV262,Calc!$K$20)),"")</f>
        <v/>
      </c>
      <c r="R260" s="25" t="str">
        <f>IF(AND($A260&lt;=IF(Calc!$C$36=999,360,Calc!$C$36),Calc!$C$21=1),CHOOSE(Calc!$C$3,INDEX('Snowball Engine'!$AH262:$AV262,Calc!$I$21),INDEX('Avalanche Engine'!$AH262:$AV262,Calc!$J$21),INDEX('My Order Engine'!$AH262:$AV262,Calc!$K$21)),"")</f>
        <v/>
      </c>
      <c r="S260" s="25" t="str">
        <f>IF(AND($A260&lt;=IF(Calc!$C$36=999,360,Calc!$C$36),Calc!$C$22=1),CHOOSE(Calc!$C$3,INDEX('Snowball Engine'!$AH262:$AV262,Calc!$I$22),INDEX('Avalanche Engine'!$AH262:$AV262,Calc!$J$22),INDEX('My Order Engine'!$AH262:$AV262,Calc!$K$22)),"")</f>
        <v/>
      </c>
      <c r="T260" s="25" t="str">
        <f>IF(AND($A260&lt;=IF(Calc!$C$36=999,360,Calc!$C$36),Calc!$C$23=1),CHOOSE(Calc!$C$3,INDEX('Snowball Engine'!$AH262:$AV262,Calc!$I$23),INDEX('Avalanche Engine'!$AH262:$AV262,Calc!$J$23),INDEX('My Order Engine'!$AH262:$AV262,Calc!$K$23)),"")</f>
        <v/>
      </c>
      <c r="U260" s="25" t="str">
        <f>IF(AND($A260&lt;=IF(Calc!$C$36=999,360,Calc!$C$36),Calc!$C$24=1),CHOOSE(Calc!$C$3,INDEX('Snowball Engine'!$AH262:$AV262,Calc!$I$24),INDEX('Avalanche Engine'!$AH262:$AV262,Calc!$J$24),INDEX('My Order Engine'!$AH262:$AV262,Calc!$K$24)),"")</f>
        <v/>
      </c>
    </row>
    <row r="261" spans="1:21" x14ac:dyDescent="0.35">
      <c r="A261" s="23">
        <v>257</v>
      </c>
      <c r="B261" s="24" t="str">
        <f>IF($A261&lt;=IF(Calc!$C$36=999,360,Calc!$C$36),EDATE(Calc!$C$5,A261-1),"")</f>
        <v/>
      </c>
      <c r="C261" s="25" t="str">
        <f>IF($A261&lt;=IF(Calc!$C$36=999,360,Calc!$C$36),CHOOSE(Calc!$C$3,'Snowball Engine'!AY263,'Avalanche Engine'!AY263,'My Order Engine'!AY263),"")</f>
        <v/>
      </c>
      <c r="D261" s="25" t="str">
        <f>IF($A261&lt;=IF(Calc!$C$36=999,360,Calc!$C$36),CHOOSE(Calc!$C$3,'Snowball Engine'!AX263,'Avalanche Engine'!AX263,'My Order Engine'!AX263),"")</f>
        <v/>
      </c>
      <c r="E261" s="25" t="str">
        <f>IF($A261&lt;=IF(Calc!$C$36=999,360,Calc!$C$36),C261-D261,"")</f>
        <v/>
      </c>
      <c r="F261" s="25" t="str">
        <f>IF($A261&lt;=IF(Calc!$C$36=999,360,Calc!$C$36),CHOOSE(Calc!$C$3,'Snowball Engine'!AW263,'Avalanche Engine'!AW263,'My Order Engine'!AW263),"")</f>
        <v/>
      </c>
      <c r="G261" s="25" t="str">
        <f>IF(AND($A261&lt;=IF(Calc!$C$36=999,360,Calc!$C$36),Calc!$C$10=1),CHOOSE(Calc!$C$3,INDEX('Snowball Engine'!$AH263:$AV263,Calc!$I$10),INDEX('Avalanche Engine'!$AH263:$AV263,Calc!$J$10),INDEX('My Order Engine'!$AH263:$AV263,Calc!$K$10)),"")</f>
        <v/>
      </c>
      <c r="H261" s="25" t="str">
        <f>IF(AND($A261&lt;=IF(Calc!$C$36=999,360,Calc!$C$36),Calc!$C$11=1),CHOOSE(Calc!$C$3,INDEX('Snowball Engine'!$AH263:$AV263,Calc!$I$11),INDEX('Avalanche Engine'!$AH263:$AV263,Calc!$J$11),INDEX('My Order Engine'!$AH263:$AV263,Calc!$K$11)),"")</f>
        <v/>
      </c>
      <c r="I261" s="25" t="str">
        <f>IF(AND($A261&lt;=IF(Calc!$C$36=999,360,Calc!$C$36),Calc!$C$12=1),CHOOSE(Calc!$C$3,INDEX('Snowball Engine'!$AH263:$AV263,Calc!$I$12),INDEX('Avalanche Engine'!$AH263:$AV263,Calc!$J$12),INDEX('My Order Engine'!$AH263:$AV263,Calc!$K$12)),"")</f>
        <v/>
      </c>
      <c r="J261" s="25" t="str">
        <f>IF(AND($A261&lt;=IF(Calc!$C$36=999,360,Calc!$C$36),Calc!$C$13=1),CHOOSE(Calc!$C$3,INDEX('Snowball Engine'!$AH263:$AV263,Calc!$I$13),INDEX('Avalanche Engine'!$AH263:$AV263,Calc!$J$13),INDEX('My Order Engine'!$AH263:$AV263,Calc!$K$13)),"")</f>
        <v/>
      </c>
      <c r="K261" s="25" t="str">
        <f>IF(AND($A261&lt;=IF(Calc!$C$36=999,360,Calc!$C$36),Calc!$C$14=1),CHOOSE(Calc!$C$3,INDEX('Snowball Engine'!$AH263:$AV263,Calc!$I$14),INDEX('Avalanche Engine'!$AH263:$AV263,Calc!$J$14),INDEX('My Order Engine'!$AH263:$AV263,Calc!$K$14)),"")</f>
        <v/>
      </c>
      <c r="L261" s="25" t="str">
        <f>IF(AND($A261&lt;=IF(Calc!$C$36=999,360,Calc!$C$36),Calc!$C$15=1),CHOOSE(Calc!$C$3,INDEX('Snowball Engine'!$AH263:$AV263,Calc!$I$15),INDEX('Avalanche Engine'!$AH263:$AV263,Calc!$J$15),INDEX('My Order Engine'!$AH263:$AV263,Calc!$K$15)),"")</f>
        <v/>
      </c>
      <c r="M261" s="25" t="str">
        <f>IF(AND($A261&lt;=IF(Calc!$C$36=999,360,Calc!$C$36),Calc!$C$16=1),CHOOSE(Calc!$C$3,INDEX('Snowball Engine'!$AH263:$AV263,Calc!$I$16),INDEX('Avalanche Engine'!$AH263:$AV263,Calc!$J$16),INDEX('My Order Engine'!$AH263:$AV263,Calc!$K$16)),"")</f>
        <v/>
      </c>
      <c r="N261" s="25" t="str">
        <f>IF(AND($A261&lt;=IF(Calc!$C$36=999,360,Calc!$C$36),Calc!$C$17=1),CHOOSE(Calc!$C$3,INDEX('Snowball Engine'!$AH263:$AV263,Calc!$I$17),INDEX('Avalanche Engine'!$AH263:$AV263,Calc!$J$17),INDEX('My Order Engine'!$AH263:$AV263,Calc!$K$17)),"")</f>
        <v/>
      </c>
      <c r="O261" s="25" t="str">
        <f>IF(AND($A261&lt;=IF(Calc!$C$36=999,360,Calc!$C$36),Calc!$C$18=1),CHOOSE(Calc!$C$3,INDEX('Snowball Engine'!$AH263:$AV263,Calc!$I$18),INDEX('Avalanche Engine'!$AH263:$AV263,Calc!$J$18),INDEX('My Order Engine'!$AH263:$AV263,Calc!$K$18)),"")</f>
        <v/>
      </c>
      <c r="P261" s="25" t="str">
        <f>IF(AND($A261&lt;=IF(Calc!$C$36=999,360,Calc!$C$36),Calc!$C$19=1),CHOOSE(Calc!$C$3,INDEX('Snowball Engine'!$AH263:$AV263,Calc!$I$19),INDEX('Avalanche Engine'!$AH263:$AV263,Calc!$J$19),INDEX('My Order Engine'!$AH263:$AV263,Calc!$K$19)),"")</f>
        <v/>
      </c>
      <c r="Q261" s="25" t="str">
        <f>IF(AND($A261&lt;=IF(Calc!$C$36=999,360,Calc!$C$36),Calc!$C$20=1),CHOOSE(Calc!$C$3,INDEX('Snowball Engine'!$AH263:$AV263,Calc!$I$20),INDEX('Avalanche Engine'!$AH263:$AV263,Calc!$J$20),INDEX('My Order Engine'!$AH263:$AV263,Calc!$K$20)),"")</f>
        <v/>
      </c>
      <c r="R261" s="25" t="str">
        <f>IF(AND($A261&lt;=IF(Calc!$C$36=999,360,Calc!$C$36),Calc!$C$21=1),CHOOSE(Calc!$C$3,INDEX('Snowball Engine'!$AH263:$AV263,Calc!$I$21),INDEX('Avalanche Engine'!$AH263:$AV263,Calc!$J$21),INDEX('My Order Engine'!$AH263:$AV263,Calc!$K$21)),"")</f>
        <v/>
      </c>
      <c r="S261" s="25" t="str">
        <f>IF(AND($A261&lt;=IF(Calc!$C$36=999,360,Calc!$C$36),Calc!$C$22=1),CHOOSE(Calc!$C$3,INDEX('Snowball Engine'!$AH263:$AV263,Calc!$I$22),INDEX('Avalanche Engine'!$AH263:$AV263,Calc!$J$22),INDEX('My Order Engine'!$AH263:$AV263,Calc!$K$22)),"")</f>
        <v/>
      </c>
      <c r="T261" s="25" t="str">
        <f>IF(AND($A261&lt;=IF(Calc!$C$36=999,360,Calc!$C$36),Calc!$C$23=1),CHOOSE(Calc!$C$3,INDEX('Snowball Engine'!$AH263:$AV263,Calc!$I$23),INDEX('Avalanche Engine'!$AH263:$AV263,Calc!$J$23),INDEX('My Order Engine'!$AH263:$AV263,Calc!$K$23)),"")</f>
        <v/>
      </c>
      <c r="U261" s="25" t="str">
        <f>IF(AND($A261&lt;=IF(Calc!$C$36=999,360,Calc!$C$36),Calc!$C$24=1),CHOOSE(Calc!$C$3,INDEX('Snowball Engine'!$AH263:$AV263,Calc!$I$24),INDEX('Avalanche Engine'!$AH263:$AV263,Calc!$J$24),INDEX('My Order Engine'!$AH263:$AV263,Calc!$K$24)),"")</f>
        <v/>
      </c>
    </row>
    <row r="262" spans="1:21" x14ac:dyDescent="0.35">
      <c r="A262" s="23">
        <v>258</v>
      </c>
      <c r="B262" s="24" t="str">
        <f>IF($A262&lt;=IF(Calc!$C$36=999,360,Calc!$C$36),EDATE(Calc!$C$5,A262-1),"")</f>
        <v/>
      </c>
      <c r="C262" s="25" t="str">
        <f>IF($A262&lt;=IF(Calc!$C$36=999,360,Calc!$C$36),CHOOSE(Calc!$C$3,'Snowball Engine'!AY264,'Avalanche Engine'!AY264,'My Order Engine'!AY264),"")</f>
        <v/>
      </c>
      <c r="D262" s="25" t="str">
        <f>IF($A262&lt;=IF(Calc!$C$36=999,360,Calc!$C$36),CHOOSE(Calc!$C$3,'Snowball Engine'!AX264,'Avalanche Engine'!AX264,'My Order Engine'!AX264),"")</f>
        <v/>
      </c>
      <c r="E262" s="25" t="str">
        <f>IF($A262&lt;=IF(Calc!$C$36=999,360,Calc!$C$36),C262-D262,"")</f>
        <v/>
      </c>
      <c r="F262" s="25" t="str">
        <f>IF($A262&lt;=IF(Calc!$C$36=999,360,Calc!$C$36),CHOOSE(Calc!$C$3,'Snowball Engine'!AW264,'Avalanche Engine'!AW264,'My Order Engine'!AW264),"")</f>
        <v/>
      </c>
      <c r="G262" s="25" t="str">
        <f>IF(AND($A262&lt;=IF(Calc!$C$36=999,360,Calc!$C$36),Calc!$C$10=1),CHOOSE(Calc!$C$3,INDEX('Snowball Engine'!$AH264:$AV264,Calc!$I$10),INDEX('Avalanche Engine'!$AH264:$AV264,Calc!$J$10),INDEX('My Order Engine'!$AH264:$AV264,Calc!$K$10)),"")</f>
        <v/>
      </c>
      <c r="H262" s="25" t="str">
        <f>IF(AND($A262&lt;=IF(Calc!$C$36=999,360,Calc!$C$36),Calc!$C$11=1),CHOOSE(Calc!$C$3,INDEX('Snowball Engine'!$AH264:$AV264,Calc!$I$11),INDEX('Avalanche Engine'!$AH264:$AV264,Calc!$J$11),INDEX('My Order Engine'!$AH264:$AV264,Calc!$K$11)),"")</f>
        <v/>
      </c>
      <c r="I262" s="25" t="str">
        <f>IF(AND($A262&lt;=IF(Calc!$C$36=999,360,Calc!$C$36),Calc!$C$12=1),CHOOSE(Calc!$C$3,INDEX('Snowball Engine'!$AH264:$AV264,Calc!$I$12),INDEX('Avalanche Engine'!$AH264:$AV264,Calc!$J$12),INDEX('My Order Engine'!$AH264:$AV264,Calc!$K$12)),"")</f>
        <v/>
      </c>
      <c r="J262" s="25" t="str">
        <f>IF(AND($A262&lt;=IF(Calc!$C$36=999,360,Calc!$C$36),Calc!$C$13=1),CHOOSE(Calc!$C$3,INDEX('Snowball Engine'!$AH264:$AV264,Calc!$I$13),INDEX('Avalanche Engine'!$AH264:$AV264,Calc!$J$13),INDEX('My Order Engine'!$AH264:$AV264,Calc!$K$13)),"")</f>
        <v/>
      </c>
      <c r="K262" s="25" t="str">
        <f>IF(AND($A262&lt;=IF(Calc!$C$36=999,360,Calc!$C$36),Calc!$C$14=1),CHOOSE(Calc!$C$3,INDEX('Snowball Engine'!$AH264:$AV264,Calc!$I$14),INDEX('Avalanche Engine'!$AH264:$AV264,Calc!$J$14),INDEX('My Order Engine'!$AH264:$AV264,Calc!$K$14)),"")</f>
        <v/>
      </c>
      <c r="L262" s="25" t="str">
        <f>IF(AND($A262&lt;=IF(Calc!$C$36=999,360,Calc!$C$36),Calc!$C$15=1),CHOOSE(Calc!$C$3,INDEX('Snowball Engine'!$AH264:$AV264,Calc!$I$15),INDEX('Avalanche Engine'!$AH264:$AV264,Calc!$J$15),INDEX('My Order Engine'!$AH264:$AV264,Calc!$K$15)),"")</f>
        <v/>
      </c>
      <c r="M262" s="25" t="str">
        <f>IF(AND($A262&lt;=IF(Calc!$C$36=999,360,Calc!$C$36),Calc!$C$16=1),CHOOSE(Calc!$C$3,INDEX('Snowball Engine'!$AH264:$AV264,Calc!$I$16),INDEX('Avalanche Engine'!$AH264:$AV264,Calc!$J$16),INDEX('My Order Engine'!$AH264:$AV264,Calc!$K$16)),"")</f>
        <v/>
      </c>
      <c r="N262" s="25" t="str">
        <f>IF(AND($A262&lt;=IF(Calc!$C$36=999,360,Calc!$C$36),Calc!$C$17=1),CHOOSE(Calc!$C$3,INDEX('Snowball Engine'!$AH264:$AV264,Calc!$I$17),INDEX('Avalanche Engine'!$AH264:$AV264,Calc!$J$17),INDEX('My Order Engine'!$AH264:$AV264,Calc!$K$17)),"")</f>
        <v/>
      </c>
      <c r="O262" s="25" t="str">
        <f>IF(AND($A262&lt;=IF(Calc!$C$36=999,360,Calc!$C$36),Calc!$C$18=1),CHOOSE(Calc!$C$3,INDEX('Snowball Engine'!$AH264:$AV264,Calc!$I$18),INDEX('Avalanche Engine'!$AH264:$AV264,Calc!$J$18),INDEX('My Order Engine'!$AH264:$AV264,Calc!$K$18)),"")</f>
        <v/>
      </c>
      <c r="P262" s="25" t="str">
        <f>IF(AND($A262&lt;=IF(Calc!$C$36=999,360,Calc!$C$36),Calc!$C$19=1),CHOOSE(Calc!$C$3,INDEX('Snowball Engine'!$AH264:$AV264,Calc!$I$19),INDEX('Avalanche Engine'!$AH264:$AV264,Calc!$J$19),INDEX('My Order Engine'!$AH264:$AV264,Calc!$K$19)),"")</f>
        <v/>
      </c>
      <c r="Q262" s="25" t="str">
        <f>IF(AND($A262&lt;=IF(Calc!$C$36=999,360,Calc!$C$36),Calc!$C$20=1),CHOOSE(Calc!$C$3,INDEX('Snowball Engine'!$AH264:$AV264,Calc!$I$20),INDEX('Avalanche Engine'!$AH264:$AV264,Calc!$J$20),INDEX('My Order Engine'!$AH264:$AV264,Calc!$K$20)),"")</f>
        <v/>
      </c>
      <c r="R262" s="25" t="str">
        <f>IF(AND($A262&lt;=IF(Calc!$C$36=999,360,Calc!$C$36),Calc!$C$21=1),CHOOSE(Calc!$C$3,INDEX('Snowball Engine'!$AH264:$AV264,Calc!$I$21),INDEX('Avalanche Engine'!$AH264:$AV264,Calc!$J$21),INDEX('My Order Engine'!$AH264:$AV264,Calc!$K$21)),"")</f>
        <v/>
      </c>
      <c r="S262" s="25" t="str">
        <f>IF(AND($A262&lt;=IF(Calc!$C$36=999,360,Calc!$C$36),Calc!$C$22=1),CHOOSE(Calc!$C$3,INDEX('Snowball Engine'!$AH264:$AV264,Calc!$I$22),INDEX('Avalanche Engine'!$AH264:$AV264,Calc!$J$22),INDEX('My Order Engine'!$AH264:$AV264,Calc!$K$22)),"")</f>
        <v/>
      </c>
      <c r="T262" s="25" t="str">
        <f>IF(AND($A262&lt;=IF(Calc!$C$36=999,360,Calc!$C$36),Calc!$C$23=1),CHOOSE(Calc!$C$3,INDEX('Snowball Engine'!$AH264:$AV264,Calc!$I$23),INDEX('Avalanche Engine'!$AH264:$AV264,Calc!$J$23),INDEX('My Order Engine'!$AH264:$AV264,Calc!$K$23)),"")</f>
        <v/>
      </c>
      <c r="U262" s="25" t="str">
        <f>IF(AND($A262&lt;=IF(Calc!$C$36=999,360,Calc!$C$36),Calc!$C$24=1),CHOOSE(Calc!$C$3,INDEX('Snowball Engine'!$AH264:$AV264,Calc!$I$24),INDEX('Avalanche Engine'!$AH264:$AV264,Calc!$J$24),INDEX('My Order Engine'!$AH264:$AV264,Calc!$K$24)),"")</f>
        <v/>
      </c>
    </row>
    <row r="263" spans="1:21" x14ac:dyDescent="0.35">
      <c r="A263" s="23">
        <v>259</v>
      </c>
      <c r="B263" s="24" t="str">
        <f>IF($A263&lt;=IF(Calc!$C$36=999,360,Calc!$C$36),EDATE(Calc!$C$5,A263-1),"")</f>
        <v/>
      </c>
      <c r="C263" s="25" t="str">
        <f>IF($A263&lt;=IF(Calc!$C$36=999,360,Calc!$C$36),CHOOSE(Calc!$C$3,'Snowball Engine'!AY265,'Avalanche Engine'!AY265,'My Order Engine'!AY265),"")</f>
        <v/>
      </c>
      <c r="D263" s="25" t="str">
        <f>IF($A263&lt;=IF(Calc!$C$36=999,360,Calc!$C$36),CHOOSE(Calc!$C$3,'Snowball Engine'!AX265,'Avalanche Engine'!AX265,'My Order Engine'!AX265),"")</f>
        <v/>
      </c>
      <c r="E263" s="25" t="str">
        <f>IF($A263&lt;=IF(Calc!$C$36=999,360,Calc!$C$36),C263-D263,"")</f>
        <v/>
      </c>
      <c r="F263" s="25" t="str">
        <f>IF($A263&lt;=IF(Calc!$C$36=999,360,Calc!$C$36),CHOOSE(Calc!$C$3,'Snowball Engine'!AW265,'Avalanche Engine'!AW265,'My Order Engine'!AW265),"")</f>
        <v/>
      </c>
      <c r="G263" s="25" t="str">
        <f>IF(AND($A263&lt;=IF(Calc!$C$36=999,360,Calc!$C$36),Calc!$C$10=1),CHOOSE(Calc!$C$3,INDEX('Snowball Engine'!$AH265:$AV265,Calc!$I$10),INDEX('Avalanche Engine'!$AH265:$AV265,Calc!$J$10),INDEX('My Order Engine'!$AH265:$AV265,Calc!$K$10)),"")</f>
        <v/>
      </c>
      <c r="H263" s="25" t="str">
        <f>IF(AND($A263&lt;=IF(Calc!$C$36=999,360,Calc!$C$36),Calc!$C$11=1),CHOOSE(Calc!$C$3,INDEX('Snowball Engine'!$AH265:$AV265,Calc!$I$11),INDEX('Avalanche Engine'!$AH265:$AV265,Calc!$J$11),INDEX('My Order Engine'!$AH265:$AV265,Calc!$K$11)),"")</f>
        <v/>
      </c>
      <c r="I263" s="25" t="str">
        <f>IF(AND($A263&lt;=IF(Calc!$C$36=999,360,Calc!$C$36),Calc!$C$12=1),CHOOSE(Calc!$C$3,INDEX('Snowball Engine'!$AH265:$AV265,Calc!$I$12),INDEX('Avalanche Engine'!$AH265:$AV265,Calc!$J$12),INDEX('My Order Engine'!$AH265:$AV265,Calc!$K$12)),"")</f>
        <v/>
      </c>
      <c r="J263" s="25" t="str">
        <f>IF(AND($A263&lt;=IF(Calc!$C$36=999,360,Calc!$C$36),Calc!$C$13=1),CHOOSE(Calc!$C$3,INDEX('Snowball Engine'!$AH265:$AV265,Calc!$I$13),INDEX('Avalanche Engine'!$AH265:$AV265,Calc!$J$13),INDEX('My Order Engine'!$AH265:$AV265,Calc!$K$13)),"")</f>
        <v/>
      </c>
      <c r="K263" s="25" t="str">
        <f>IF(AND($A263&lt;=IF(Calc!$C$36=999,360,Calc!$C$36),Calc!$C$14=1),CHOOSE(Calc!$C$3,INDEX('Snowball Engine'!$AH265:$AV265,Calc!$I$14),INDEX('Avalanche Engine'!$AH265:$AV265,Calc!$J$14),INDEX('My Order Engine'!$AH265:$AV265,Calc!$K$14)),"")</f>
        <v/>
      </c>
      <c r="L263" s="25" t="str">
        <f>IF(AND($A263&lt;=IF(Calc!$C$36=999,360,Calc!$C$36),Calc!$C$15=1),CHOOSE(Calc!$C$3,INDEX('Snowball Engine'!$AH265:$AV265,Calc!$I$15),INDEX('Avalanche Engine'!$AH265:$AV265,Calc!$J$15),INDEX('My Order Engine'!$AH265:$AV265,Calc!$K$15)),"")</f>
        <v/>
      </c>
      <c r="M263" s="25" t="str">
        <f>IF(AND($A263&lt;=IF(Calc!$C$36=999,360,Calc!$C$36),Calc!$C$16=1),CHOOSE(Calc!$C$3,INDEX('Snowball Engine'!$AH265:$AV265,Calc!$I$16),INDEX('Avalanche Engine'!$AH265:$AV265,Calc!$J$16),INDEX('My Order Engine'!$AH265:$AV265,Calc!$K$16)),"")</f>
        <v/>
      </c>
      <c r="N263" s="25" t="str">
        <f>IF(AND($A263&lt;=IF(Calc!$C$36=999,360,Calc!$C$36),Calc!$C$17=1),CHOOSE(Calc!$C$3,INDEX('Snowball Engine'!$AH265:$AV265,Calc!$I$17),INDEX('Avalanche Engine'!$AH265:$AV265,Calc!$J$17),INDEX('My Order Engine'!$AH265:$AV265,Calc!$K$17)),"")</f>
        <v/>
      </c>
      <c r="O263" s="25" t="str">
        <f>IF(AND($A263&lt;=IF(Calc!$C$36=999,360,Calc!$C$36),Calc!$C$18=1),CHOOSE(Calc!$C$3,INDEX('Snowball Engine'!$AH265:$AV265,Calc!$I$18),INDEX('Avalanche Engine'!$AH265:$AV265,Calc!$J$18),INDEX('My Order Engine'!$AH265:$AV265,Calc!$K$18)),"")</f>
        <v/>
      </c>
      <c r="P263" s="25" t="str">
        <f>IF(AND($A263&lt;=IF(Calc!$C$36=999,360,Calc!$C$36),Calc!$C$19=1),CHOOSE(Calc!$C$3,INDEX('Snowball Engine'!$AH265:$AV265,Calc!$I$19),INDEX('Avalanche Engine'!$AH265:$AV265,Calc!$J$19),INDEX('My Order Engine'!$AH265:$AV265,Calc!$K$19)),"")</f>
        <v/>
      </c>
      <c r="Q263" s="25" t="str">
        <f>IF(AND($A263&lt;=IF(Calc!$C$36=999,360,Calc!$C$36),Calc!$C$20=1),CHOOSE(Calc!$C$3,INDEX('Snowball Engine'!$AH265:$AV265,Calc!$I$20),INDEX('Avalanche Engine'!$AH265:$AV265,Calc!$J$20),INDEX('My Order Engine'!$AH265:$AV265,Calc!$K$20)),"")</f>
        <v/>
      </c>
      <c r="R263" s="25" t="str">
        <f>IF(AND($A263&lt;=IF(Calc!$C$36=999,360,Calc!$C$36),Calc!$C$21=1),CHOOSE(Calc!$C$3,INDEX('Snowball Engine'!$AH265:$AV265,Calc!$I$21),INDEX('Avalanche Engine'!$AH265:$AV265,Calc!$J$21),INDEX('My Order Engine'!$AH265:$AV265,Calc!$K$21)),"")</f>
        <v/>
      </c>
      <c r="S263" s="25" t="str">
        <f>IF(AND($A263&lt;=IF(Calc!$C$36=999,360,Calc!$C$36),Calc!$C$22=1),CHOOSE(Calc!$C$3,INDEX('Snowball Engine'!$AH265:$AV265,Calc!$I$22),INDEX('Avalanche Engine'!$AH265:$AV265,Calc!$J$22),INDEX('My Order Engine'!$AH265:$AV265,Calc!$K$22)),"")</f>
        <v/>
      </c>
      <c r="T263" s="25" t="str">
        <f>IF(AND($A263&lt;=IF(Calc!$C$36=999,360,Calc!$C$36),Calc!$C$23=1),CHOOSE(Calc!$C$3,INDEX('Snowball Engine'!$AH265:$AV265,Calc!$I$23),INDEX('Avalanche Engine'!$AH265:$AV265,Calc!$J$23),INDEX('My Order Engine'!$AH265:$AV265,Calc!$K$23)),"")</f>
        <v/>
      </c>
      <c r="U263" s="25" t="str">
        <f>IF(AND($A263&lt;=IF(Calc!$C$36=999,360,Calc!$C$36),Calc!$C$24=1),CHOOSE(Calc!$C$3,INDEX('Snowball Engine'!$AH265:$AV265,Calc!$I$24),INDEX('Avalanche Engine'!$AH265:$AV265,Calc!$J$24),INDEX('My Order Engine'!$AH265:$AV265,Calc!$K$24)),"")</f>
        <v/>
      </c>
    </row>
    <row r="264" spans="1:21" x14ac:dyDescent="0.35">
      <c r="A264" s="23">
        <v>260</v>
      </c>
      <c r="B264" s="24" t="str">
        <f>IF($A264&lt;=IF(Calc!$C$36=999,360,Calc!$C$36),EDATE(Calc!$C$5,A264-1),"")</f>
        <v/>
      </c>
      <c r="C264" s="25" t="str">
        <f>IF($A264&lt;=IF(Calc!$C$36=999,360,Calc!$C$36),CHOOSE(Calc!$C$3,'Snowball Engine'!AY266,'Avalanche Engine'!AY266,'My Order Engine'!AY266),"")</f>
        <v/>
      </c>
      <c r="D264" s="25" t="str">
        <f>IF($A264&lt;=IF(Calc!$C$36=999,360,Calc!$C$36),CHOOSE(Calc!$C$3,'Snowball Engine'!AX266,'Avalanche Engine'!AX266,'My Order Engine'!AX266),"")</f>
        <v/>
      </c>
      <c r="E264" s="25" t="str">
        <f>IF($A264&lt;=IF(Calc!$C$36=999,360,Calc!$C$36),C264-D264,"")</f>
        <v/>
      </c>
      <c r="F264" s="25" t="str">
        <f>IF($A264&lt;=IF(Calc!$C$36=999,360,Calc!$C$36),CHOOSE(Calc!$C$3,'Snowball Engine'!AW266,'Avalanche Engine'!AW266,'My Order Engine'!AW266),"")</f>
        <v/>
      </c>
      <c r="G264" s="25" t="str">
        <f>IF(AND($A264&lt;=IF(Calc!$C$36=999,360,Calc!$C$36),Calc!$C$10=1),CHOOSE(Calc!$C$3,INDEX('Snowball Engine'!$AH266:$AV266,Calc!$I$10),INDEX('Avalanche Engine'!$AH266:$AV266,Calc!$J$10),INDEX('My Order Engine'!$AH266:$AV266,Calc!$K$10)),"")</f>
        <v/>
      </c>
      <c r="H264" s="25" t="str">
        <f>IF(AND($A264&lt;=IF(Calc!$C$36=999,360,Calc!$C$36),Calc!$C$11=1),CHOOSE(Calc!$C$3,INDEX('Snowball Engine'!$AH266:$AV266,Calc!$I$11),INDEX('Avalanche Engine'!$AH266:$AV266,Calc!$J$11),INDEX('My Order Engine'!$AH266:$AV266,Calc!$K$11)),"")</f>
        <v/>
      </c>
      <c r="I264" s="25" t="str">
        <f>IF(AND($A264&lt;=IF(Calc!$C$36=999,360,Calc!$C$36),Calc!$C$12=1),CHOOSE(Calc!$C$3,INDEX('Snowball Engine'!$AH266:$AV266,Calc!$I$12),INDEX('Avalanche Engine'!$AH266:$AV266,Calc!$J$12),INDEX('My Order Engine'!$AH266:$AV266,Calc!$K$12)),"")</f>
        <v/>
      </c>
      <c r="J264" s="25" t="str">
        <f>IF(AND($A264&lt;=IF(Calc!$C$36=999,360,Calc!$C$36),Calc!$C$13=1),CHOOSE(Calc!$C$3,INDEX('Snowball Engine'!$AH266:$AV266,Calc!$I$13),INDEX('Avalanche Engine'!$AH266:$AV266,Calc!$J$13),INDEX('My Order Engine'!$AH266:$AV266,Calc!$K$13)),"")</f>
        <v/>
      </c>
      <c r="K264" s="25" t="str">
        <f>IF(AND($A264&lt;=IF(Calc!$C$36=999,360,Calc!$C$36),Calc!$C$14=1),CHOOSE(Calc!$C$3,INDEX('Snowball Engine'!$AH266:$AV266,Calc!$I$14),INDEX('Avalanche Engine'!$AH266:$AV266,Calc!$J$14),INDEX('My Order Engine'!$AH266:$AV266,Calc!$K$14)),"")</f>
        <v/>
      </c>
      <c r="L264" s="25" t="str">
        <f>IF(AND($A264&lt;=IF(Calc!$C$36=999,360,Calc!$C$36),Calc!$C$15=1),CHOOSE(Calc!$C$3,INDEX('Snowball Engine'!$AH266:$AV266,Calc!$I$15),INDEX('Avalanche Engine'!$AH266:$AV266,Calc!$J$15),INDEX('My Order Engine'!$AH266:$AV266,Calc!$K$15)),"")</f>
        <v/>
      </c>
      <c r="M264" s="25" t="str">
        <f>IF(AND($A264&lt;=IF(Calc!$C$36=999,360,Calc!$C$36),Calc!$C$16=1),CHOOSE(Calc!$C$3,INDEX('Snowball Engine'!$AH266:$AV266,Calc!$I$16),INDEX('Avalanche Engine'!$AH266:$AV266,Calc!$J$16),INDEX('My Order Engine'!$AH266:$AV266,Calc!$K$16)),"")</f>
        <v/>
      </c>
      <c r="N264" s="25" t="str">
        <f>IF(AND($A264&lt;=IF(Calc!$C$36=999,360,Calc!$C$36),Calc!$C$17=1),CHOOSE(Calc!$C$3,INDEX('Snowball Engine'!$AH266:$AV266,Calc!$I$17),INDEX('Avalanche Engine'!$AH266:$AV266,Calc!$J$17),INDEX('My Order Engine'!$AH266:$AV266,Calc!$K$17)),"")</f>
        <v/>
      </c>
      <c r="O264" s="25" t="str">
        <f>IF(AND($A264&lt;=IF(Calc!$C$36=999,360,Calc!$C$36),Calc!$C$18=1),CHOOSE(Calc!$C$3,INDEX('Snowball Engine'!$AH266:$AV266,Calc!$I$18),INDEX('Avalanche Engine'!$AH266:$AV266,Calc!$J$18),INDEX('My Order Engine'!$AH266:$AV266,Calc!$K$18)),"")</f>
        <v/>
      </c>
      <c r="P264" s="25" t="str">
        <f>IF(AND($A264&lt;=IF(Calc!$C$36=999,360,Calc!$C$36),Calc!$C$19=1),CHOOSE(Calc!$C$3,INDEX('Snowball Engine'!$AH266:$AV266,Calc!$I$19),INDEX('Avalanche Engine'!$AH266:$AV266,Calc!$J$19),INDEX('My Order Engine'!$AH266:$AV266,Calc!$K$19)),"")</f>
        <v/>
      </c>
      <c r="Q264" s="25" t="str">
        <f>IF(AND($A264&lt;=IF(Calc!$C$36=999,360,Calc!$C$36),Calc!$C$20=1),CHOOSE(Calc!$C$3,INDEX('Snowball Engine'!$AH266:$AV266,Calc!$I$20),INDEX('Avalanche Engine'!$AH266:$AV266,Calc!$J$20),INDEX('My Order Engine'!$AH266:$AV266,Calc!$K$20)),"")</f>
        <v/>
      </c>
      <c r="R264" s="25" t="str">
        <f>IF(AND($A264&lt;=IF(Calc!$C$36=999,360,Calc!$C$36),Calc!$C$21=1),CHOOSE(Calc!$C$3,INDEX('Snowball Engine'!$AH266:$AV266,Calc!$I$21),INDEX('Avalanche Engine'!$AH266:$AV266,Calc!$J$21),INDEX('My Order Engine'!$AH266:$AV266,Calc!$K$21)),"")</f>
        <v/>
      </c>
      <c r="S264" s="25" t="str">
        <f>IF(AND($A264&lt;=IF(Calc!$C$36=999,360,Calc!$C$36),Calc!$C$22=1),CHOOSE(Calc!$C$3,INDEX('Snowball Engine'!$AH266:$AV266,Calc!$I$22),INDEX('Avalanche Engine'!$AH266:$AV266,Calc!$J$22),INDEX('My Order Engine'!$AH266:$AV266,Calc!$K$22)),"")</f>
        <v/>
      </c>
      <c r="T264" s="25" t="str">
        <f>IF(AND($A264&lt;=IF(Calc!$C$36=999,360,Calc!$C$36),Calc!$C$23=1),CHOOSE(Calc!$C$3,INDEX('Snowball Engine'!$AH266:$AV266,Calc!$I$23),INDEX('Avalanche Engine'!$AH266:$AV266,Calc!$J$23),INDEX('My Order Engine'!$AH266:$AV266,Calc!$K$23)),"")</f>
        <v/>
      </c>
      <c r="U264" s="25" t="str">
        <f>IF(AND($A264&lt;=IF(Calc!$C$36=999,360,Calc!$C$36),Calc!$C$24=1),CHOOSE(Calc!$C$3,INDEX('Snowball Engine'!$AH266:$AV266,Calc!$I$24),INDEX('Avalanche Engine'!$AH266:$AV266,Calc!$J$24),INDEX('My Order Engine'!$AH266:$AV266,Calc!$K$24)),"")</f>
        <v/>
      </c>
    </row>
    <row r="265" spans="1:21" x14ac:dyDescent="0.35">
      <c r="A265" s="23">
        <v>261</v>
      </c>
      <c r="B265" s="24" t="str">
        <f>IF($A265&lt;=IF(Calc!$C$36=999,360,Calc!$C$36),EDATE(Calc!$C$5,A265-1),"")</f>
        <v/>
      </c>
      <c r="C265" s="25" t="str">
        <f>IF($A265&lt;=IF(Calc!$C$36=999,360,Calc!$C$36),CHOOSE(Calc!$C$3,'Snowball Engine'!AY267,'Avalanche Engine'!AY267,'My Order Engine'!AY267),"")</f>
        <v/>
      </c>
      <c r="D265" s="25" t="str">
        <f>IF($A265&lt;=IF(Calc!$C$36=999,360,Calc!$C$36),CHOOSE(Calc!$C$3,'Snowball Engine'!AX267,'Avalanche Engine'!AX267,'My Order Engine'!AX267),"")</f>
        <v/>
      </c>
      <c r="E265" s="25" t="str">
        <f>IF($A265&lt;=IF(Calc!$C$36=999,360,Calc!$C$36),C265-D265,"")</f>
        <v/>
      </c>
      <c r="F265" s="25" t="str">
        <f>IF($A265&lt;=IF(Calc!$C$36=999,360,Calc!$C$36),CHOOSE(Calc!$C$3,'Snowball Engine'!AW267,'Avalanche Engine'!AW267,'My Order Engine'!AW267),"")</f>
        <v/>
      </c>
      <c r="G265" s="25" t="str">
        <f>IF(AND($A265&lt;=IF(Calc!$C$36=999,360,Calc!$C$36),Calc!$C$10=1),CHOOSE(Calc!$C$3,INDEX('Snowball Engine'!$AH267:$AV267,Calc!$I$10),INDEX('Avalanche Engine'!$AH267:$AV267,Calc!$J$10),INDEX('My Order Engine'!$AH267:$AV267,Calc!$K$10)),"")</f>
        <v/>
      </c>
      <c r="H265" s="25" t="str">
        <f>IF(AND($A265&lt;=IF(Calc!$C$36=999,360,Calc!$C$36),Calc!$C$11=1),CHOOSE(Calc!$C$3,INDEX('Snowball Engine'!$AH267:$AV267,Calc!$I$11),INDEX('Avalanche Engine'!$AH267:$AV267,Calc!$J$11),INDEX('My Order Engine'!$AH267:$AV267,Calc!$K$11)),"")</f>
        <v/>
      </c>
      <c r="I265" s="25" t="str">
        <f>IF(AND($A265&lt;=IF(Calc!$C$36=999,360,Calc!$C$36),Calc!$C$12=1),CHOOSE(Calc!$C$3,INDEX('Snowball Engine'!$AH267:$AV267,Calc!$I$12),INDEX('Avalanche Engine'!$AH267:$AV267,Calc!$J$12),INDEX('My Order Engine'!$AH267:$AV267,Calc!$K$12)),"")</f>
        <v/>
      </c>
      <c r="J265" s="25" t="str">
        <f>IF(AND($A265&lt;=IF(Calc!$C$36=999,360,Calc!$C$36),Calc!$C$13=1),CHOOSE(Calc!$C$3,INDEX('Snowball Engine'!$AH267:$AV267,Calc!$I$13),INDEX('Avalanche Engine'!$AH267:$AV267,Calc!$J$13),INDEX('My Order Engine'!$AH267:$AV267,Calc!$K$13)),"")</f>
        <v/>
      </c>
      <c r="K265" s="25" t="str">
        <f>IF(AND($A265&lt;=IF(Calc!$C$36=999,360,Calc!$C$36),Calc!$C$14=1),CHOOSE(Calc!$C$3,INDEX('Snowball Engine'!$AH267:$AV267,Calc!$I$14),INDEX('Avalanche Engine'!$AH267:$AV267,Calc!$J$14),INDEX('My Order Engine'!$AH267:$AV267,Calc!$K$14)),"")</f>
        <v/>
      </c>
      <c r="L265" s="25" t="str">
        <f>IF(AND($A265&lt;=IF(Calc!$C$36=999,360,Calc!$C$36),Calc!$C$15=1),CHOOSE(Calc!$C$3,INDEX('Snowball Engine'!$AH267:$AV267,Calc!$I$15),INDEX('Avalanche Engine'!$AH267:$AV267,Calc!$J$15),INDEX('My Order Engine'!$AH267:$AV267,Calc!$K$15)),"")</f>
        <v/>
      </c>
      <c r="M265" s="25" t="str">
        <f>IF(AND($A265&lt;=IF(Calc!$C$36=999,360,Calc!$C$36),Calc!$C$16=1),CHOOSE(Calc!$C$3,INDEX('Snowball Engine'!$AH267:$AV267,Calc!$I$16),INDEX('Avalanche Engine'!$AH267:$AV267,Calc!$J$16),INDEX('My Order Engine'!$AH267:$AV267,Calc!$K$16)),"")</f>
        <v/>
      </c>
      <c r="N265" s="25" t="str">
        <f>IF(AND($A265&lt;=IF(Calc!$C$36=999,360,Calc!$C$36),Calc!$C$17=1),CHOOSE(Calc!$C$3,INDEX('Snowball Engine'!$AH267:$AV267,Calc!$I$17),INDEX('Avalanche Engine'!$AH267:$AV267,Calc!$J$17),INDEX('My Order Engine'!$AH267:$AV267,Calc!$K$17)),"")</f>
        <v/>
      </c>
      <c r="O265" s="25" t="str">
        <f>IF(AND($A265&lt;=IF(Calc!$C$36=999,360,Calc!$C$36),Calc!$C$18=1),CHOOSE(Calc!$C$3,INDEX('Snowball Engine'!$AH267:$AV267,Calc!$I$18),INDEX('Avalanche Engine'!$AH267:$AV267,Calc!$J$18),INDEX('My Order Engine'!$AH267:$AV267,Calc!$K$18)),"")</f>
        <v/>
      </c>
      <c r="P265" s="25" t="str">
        <f>IF(AND($A265&lt;=IF(Calc!$C$36=999,360,Calc!$C$36),Calc!$C$19=1),CHOOSE(Calc!$C$3,INDEX('Snowball Engine'!$AH267:$AV267,Calc!$I$19),INDEX('Avalanche Engine'!$AH267:$AV267,Calc!$J$19),INDEX('My Order Engine'!$AH267:$AV267,Calc!$K$19)),"")</f>
        <v/>
      </c>
      <c r="Q265" s="25" t="str">
        <f>IF(AND($A265&lt;=IF(Calc!$C$36=999,360,Calc!$C$36),Calc!$C$20=1),CHOOSE(Calc!$C$3,INDEX('Snowball Engine'!$AH267:$AV267,Calc!$I$20),INDEX('Avalanche Engine'!$AH267:$AV267,Calc!$J$20),INDEX('My Order Engine'!$AH267:$AV267,Calc!$K$20)),"")</f>
        <v/>
      </c>
      <c r="R265" s="25" t="str">
        <f>IF(AND($A265&lt;=IF(Calc!$C$36=999,360,Calc!$C$36),Calc!$C$21=1),CHOOSE(Calc!$C$3,INDEX('Snowball Engine'!$AH267:$AV267,Calc!$I$21),INDEX('Avalanche Engine'!$AH267:$AV267,Calc!$J$21),INDEX('My Order Engine'!$AH267:$AV267,Calc!$K$21)),"")</f>
        <v/>
      </c>
      <c r="S265" s="25" t="str">
        <f>IF(AND($A265&lt;=IF(Calc!$C$36=999,360,Calc!$C$36),Calc!$C$22=1),CHOOSE(Calc!$C$3,INDEX('Snowball Engine'!$AH267:$AV267,Calc!$I$22),INDEX('Avalanche Engine'!$AH267:$AV267,Calc!$J$22),INDEX('My Order Engine'!$AH267:$AV267,Calc!$K$22)),"")</f>
        <v/>
      </c>
      <c r="T265" s="25" t="str">
        <f>IF(AND($A265&lt;=IF(Calc!$C$36=999,360,Calc!$C$36),Calc!$C$23=1),CHOOSE(Calc!$C$3,INDEX('Snowball Engine'!$AH267:$AV267,Calc!$I$23),INDEX('Avalanche Engine'!$AH267:$AV267,Calc!$J$23),INDEX('My Order Engine'!$AH267:$AV267,Calc!$K$23)),"")</f>
        <v/>
      </c>
      <c r="U265" s="25" t="str">
        <f>IF(AND($A265&lt;=IF(Calc!$C$36=999,360,Calc!$C$36),Calc!$C$24=1),CHOOSE(Calc!$C$3,INDEX('Snowball Engine'!$AH267:$AV267,Calc!$I$24),INDEX('Avalanche Engine'!$AH267:$AV267,Calc!$J$24),INDEX('My Order Engine'!$AH267:$AV267,Calc!$K$24)),"")</f>
        <v/>
      </c>
    </row>
    <row r="266" spans="1:21" x14ac:dyDescent="0.35">
      <c r="A266" s="23">
        <v>262</v>
      </c>
      <c r="B266" s="24" t="str">
        <f>IF($A266&lt;=IF(Calc!$C$36=999,360,Calc!$C$36),EDATE(Calc!$C$5,A266-1),"")</f>
        <v/>
      </c>
      <c r="C266" s="25" t="str">
        <f>IF($A266&lt;=IF(Calc!$C$36=999,360,Calc!$C$36),CHOOSE(Calc!$C$3,'Snowball Engine'!AY268,'Avalanche Engine'!AY268,'My Order Engine'!AY268),"")</f>
        <v/>
      </c>
      <c r="D266" s="25" t="str">
        <f>IF($A266&lt;=IF(Calc!$C$36=999,360,Calc!$C$36),CHOOSE(Calc!$C$3,'Snowball Engine'!AX268,'Avalanche Engine'!AX268,'My Order Engine'!AX268),"")</f>
        <v/>
      </c>
      <c r="E266" s="25" t="str">
        <f>IF($A266&lt;=IF(Calc!$C$36=999,360,Calc!$C$36),C266-D266,"")</f>
        <v/>
      </c>
      <c r="F266" s="25" t="str">
        <f>IF($A266&lt;=IF(Calc!$C$36=999,360,Calc!$C$36),CHOOSE(Calc!$C$3,'Snowball Engine'!AW268,'Avalanche Engine'!AW268,'My Order Engine'!AW268),"")</f>
        <v/>
      </c>
      <c r="G266" s="25" t="str">
        <f>IF(AND($A266&lt;=IF(Calc!$C$36=999,360,Calc!$C$36),Calc!$C$10=1),CHOOSE(Calc!$C$3,INDEX('Snowball Engine'!$AH268:$AV268,Calc!$I$10),INDEX('Avalanche Engine'!$AH268:$AV268,Calc!$J$10),INDEX('My Order Engine'!$AH268:$AV268,Calc!$K$10)),"")</f>
        <v/>
      </c>
      <c r="H266" s="25" t="str">
        <f>IF(AND($A266&lt;=IF(Calc!$C$36=999,360,Calc!$C$36),Calc!$C$11=1),CHOOSE(Calc!$C$3,INDEX('Snowball Engine'!$AH268:$AV268,Calc!$I$11),INDEX('Avalanche Engine'!$AH268:$AV268,Calc!$J$11),INDEX('My Order Engine'!$AH268:$AV268,Calc!$K$11)),"")</f>
        <v/>
      </c>
      <c r="I266" s="25" t="str">
        <f>IF(AND($A266&lt;=IF(Calc!$C$36=999,360,Calc!$C$36),Calc!$C$12=1),CHOOSE(Calc!$C$3,INDEX('Snowball Engine'!$AH268:$AV268,Calc!$I$12),INDEX('Avalanche Engine'!$AH268:$AV268,Calc!$J$12),INDEX('My Order Engine'!$AH268:$AV268,Calc!$K$12)),"")</f>
        <v/>
      </c>
      <c r="J266" s="25" t="str">
        <f>IF(AND($A266&lt;=IF(Calc!$C$36=999,360,Calc!$C$36),Calc!$C$13=1),CHOOSE(Calc!$C$3,INDEX('Snowball Engine'!$AH268:$AV268,Calc!$I$13),INDEX('Avalanche Engine'!$AH268:$AV268,Calc!$J$13),INDEX('My Order Engine'!$AH268:$AV268,Calc!$K$13)),"")</f>
        <v/>
      </c>
      <c r="K266" s="25" t="str">
        <f>IF(AND($A266&lt;=IF(Calc!$C$36=999,360,Calc!$C$36),Calc!$C$14=1),CHOOSE(Calc!$C$3,INDEX('Snowball Engine'!$AH268:$AV268,Calc!$I$14),INDEX('Avalanche Engine'!$AH268:$AV268,Calc!$J$14),INDEX('My Order Engine'!$AH268:$AV268,Calc!$K$14)),"")</f>
        <v/>
      </c>
      <c r="L266" s="25" t="str">
        <f>IF(AND($A266&lt;=IF(Calc!$C$36=999,360,Calc!$C$36),Calc!$C$15=1),CHOOSE(Calc!$C$3,INDEX('Snowball Engine'!$AH268:$AV268,Calc!$I$15),INDEX('Avalanche Engine'!$AH268:$AV268,Calc!$J$15),INDEX('My Order Engine'!$AH268:$AV268,Calc!$K$15)),"")</f>
        <v/>
      </c>
      <c r="M266" s="25" t="str">
        <f>IF(AND($A266&lt;=IF(Calc!$C$36=999,360,Calc!$C$36),Calc!$C$16=1),CHOOSE(Calc!$C$3,INDEX('Snowball Engine'!$AH268:$AV268,Calc!$I$16),INDEX('Avalanche Engine'!$AH268:$AV268,Calc!$J$16),INDEX('My Order Engine'!$AH268:$AV268,Calc!$K$16)),"")</f>
        <v/>
      </c>
      <c r="N266" s="25" t="str">
        <f>IF(AND($A266&lt;=IF(Calc!$C$36=999,360,Calc!$C$36),Calc!$C$17=1),CHOOSE(Calc!$C$3,INDEX('Snowball Engine'!$AH268:$AV268,Calc!$I$17),INDEX('Avalanche Engine'!$AH268:$AV268,Calc!$J$17),INDEX('My Order Engine'!$AH268:$AV268,Calc!$K$17)),"")</f>
        <v/>
      </c>
      <c r="O266" s="25" t="str">
        <f>IF(AND($A266&lt;=IF(Calc!$C$36=999,360,Calc!$C$36),Calc!$C$18=1),CHOOSE(Calc!$C$3,INDEX('Snowball Engine'!$AH268:$AV268,Calc!$I$18),INDEX('Avalanche Engine'!$AH268:$AV268,Calc!$J$18),INDEX('My Order Engine'!$AH268:$AV268,Calc!$K$18)),"")</f>
        <v/>
      </c>
      <c r="P266" s="25" t="str">
        <f>IF(AND($A266&lt;=IF(Calc!$C$36=999,360,Calc!$C$36),Calc!$C$19=1),CHOOSE(Calc!$C$3,INDEX('Snowball Engine'!$AH268:$AV268,Calc!$I$19),INDEX('Avalanche Engine'!$AH268:$AV268,Calc!$J$19),INDEX('My Order Engine'!$AH268:$AV268,Calc!$K$19)),"")</f>
        <v/>
      </c>
      <c r="Q266" s="25" t="str">
        <f>IF(AND($A266&lt;=IF(Calc!$C$36=999,360,Calc!$C$36),Calc!$C$20=1),CHOOSE(Calc!$C$3,INDEX('Snowball Engine'!$AH268:$AV268,Calc!$I$20),INDEX('Avalanche Engine'!$AH268:$AV268,Calc!$J$20),INDEX('My Order Engine'!$AH268:$AV268,Calc!$K$20)),"")</f>
        <v/>
      </c>
      <c r="R266" s="25" t="str">
        <f>IF(AND($A266&lt;=IF(Calc!$C$36=999,360,Calc!$C$36),Calc!$C$21=1),CHOOSE(Calc!$C$3,INDEX('Snowball Engine'!$AH268:$AV268,Calc!$I$21),INDEX('Avalanche Engine'!$AH268:$AV268,Calc!$J$21),INDEX('My Order Engine'!$AH268:$AV268,Calc!$K$21)),"")</f>
        <v/>
      </c>
      <c r="S266" s="25" t="str">
        <f>IF(AND($A266&lt;=IF(Calc!$C$36=999,360,Calc!$C$36),Calc!$C$22=1),CHOOSE(Calc!$C$3,INDEX('Snowball Engine'!$AH268:$AV268,Calc!$I$22),INDEX('Avalanche Engine'!$AH268:$AV268,Calc!$J$22),INDEX('My Order Engine'!$AH268:$AV268,Calc!$K$22)),"")</f>
        <v/>
      </c>
      <c r="T266" s="25" t="str">
        <f>IF(AND($A266&lt;=IF(Calc!$C$36=999,360,Calc!$C$36),Calc!$C$23=1),CHOOSE(Calc!$C$3,INDEX('Snowball Engine'!$AH268:$AV268,Calc!$I$23),INDEX('Avalanche Engine'!$AH268:$AV268,Calc!$J$23),INDEX('My Order Engine'!$AH268:$AV268,Calc!$K$23)),"")</f>
        <v/>
      </c>
      <c r="U266" s="25" t="str">
        <f>IF(AND($A266&lt;=IF(Calc!$C$36=999,360,Calc!$C$36),Calc!$C$24=1),CHOOSE(Calc!$C$3,INDEX('Snowball Engine'!$AH268:$AV268,Calc!$I$24),INDEX('Avalanche Engine'!$AH268:$AV268,Calc!$J$24),INDEX('My Order Engine'!$AH268:$AV268,Calc!$K$24)),"")</f>
        <v/>
      </c>
    </row>
    <row r="267" spans="1:21" x14ac:dyDescent="0.35">
      <c r="A267" s="23">
        <v>263</v>
      </c>
      <c r="B267" s="24" t="str">
        <f>IF($A267&lt;=IF(Calc!$C$36=999,360,Calc!$C$36),EDATE(Calc!$C$5,A267-1),"")</f>
        <v/>
      </c>
      <c r="C267" s="25" t="str">
        <f>IF($A267&lt;=IF(Calc!$C$36=999,360,Calc!$C$36),CHOOSE(Calc!$C$3,'Snowball Engine'!AY269,'Avalanche Engine'!AY269,'My Order Engine'!AY269),"")</f>
        <v/>
      </c>
      <c r="D267" s="25" t="str">
        <f>IF($A267&lt;=IF(Calc!$C$36=999,360,Calc!$C$36),CHOOSE(Calc!$C$3,'Snowball Engine'!AX269,'Avalanche Engine'!AX269,'My Order Engine'!AX269),"")</f>
        <v/>
      </c>
      <c r="E267" s="25" t="str">
        <f>IF($A267&lt;=IF(Calc!$C$36=999,360,Calc!$C$36),C267-D267,"")</f>
        <v/>
      </c>
      <c r="F267" s="25" t="str">
        <f>IF($A267&lt;=IF(Calc!$C$36=999,360,Calc!$C$36),CHOOSE(Calc!$C$3,'Snowball Engine'!AW269,'Avalanche Engine'!AW269,'My Order Engine'!AW269),"")</f>
        <v/>
      </c>
      <c r="G267" s="25" t="str">
        <f>IF(AND($A267&lt;=IF(Calc!$C$36=999,360,Calc!$C$36),Calc!$C$10=1),CHOOSE(Calc!$C$3,INDEX('Snowball Engine'!$AH269:$AV269,Calc!$I$10),INDEX('Avalanche Engine'!$AH269:$AV269,Calc!$J$10),INDEX('My Order Engine'!$AH269:$AV269,Calc!$K$10)),"")</f>
        <v/>
      </c>
      <c r="H267" s="25" t="str">
        <f>IF(AND($A267&lt;=IF(Calc!$C$36=999,360,Calc!$C$36),Calc!$C$11=1),CHOOSE(Calc!$C$3,INDEX('Snowball Engine'!$AH269:$AV269,Calc!$I$11),INDEX('Avalanche Engine'!$AH269:$AV269,Calc!$J$11),INDEX('My Order Engine'!$AH269:$AV269,Calc!$K$11)),"")</f>
        <v/>
      </c>
      <c r="I267" s="25" t="str">
        <f>IF(AND($A267&lt;=IF(Calc!$C$36=999,360,Calc!$C$36),Calc!$C$12=1),CHOOSE(Calc!$C$3,INDEX('Snowball Engine'!$AH269:$AV269,Calc!$I$12),INDEX('Avalanche Engine'!$AH269:$AV269,Calc!$J$12),INDEX('My Order Engine'!$AH269:$AV269,Calc!$K$12)),"")</f>
        <v/>
      </c>
      <c r="J267" s="25" t="str">
        <f>IF(AND($A267&lt;=IF(Calc!$C$36=999,360,Calc!$C$36),Calc!$C$13=1),CHOOSE(Calc!$C$3,INDEX('Snowball Engine'!$AH269:$AV269,Calc!$I$13),INDEX('Avalanche Engine'!$AH269:$AV269,Calc!$J$13),INDEX('My Order Engine'!$AH269:$AV269,Calc!$K$13)),"")</f>
        <v/>
      </c>
      <c r="K267" s="25" t="str">
        <f>IF(AND($A267&lt;=IF(Calc!$C$36=999,360,Calc!$C$36),Calc!$C$14=1),CHOOSE(Calc!$C$3,INDEX('Snowball Engine'!$AH269:$AV269,Calc!$I$14),INDEX('Avalanche Engine'!$AH269:$AV269,Calc!$J$14),INDEX('My Order Engine'!$AH269:$AV269,Calc!$K$14)),"")</f>
        <v/>
      </c>
      <c r="L267" s="25" t="str">
        <f>IF(AND($A267&lt;=IF(Calc!$C$36=999,360,Calc!$C$36),Calc!$C$15=1),CHOOSE(Calc!$C$3,INDEX('Snowball Engine'!$AH269:$AV269,Calc!$I$15),INDEX('Avalanche Engine'!$AH269:$AV269,Calc!$J$15),INDEX('My Order Engine'!$AH269:$AV269,Calc!$K$15)),"")</f>
        <v/>
      </c>
      <c r="M267" s="25" t="str">
        <f>IF(AND($A267&lt;=IF(Calc!$C$36=999,360,Calc!$C$36),Calc!$C$16=1),CHOOSE(Calc!$C$3,INDEX('Snowball Engine'!$AH269:$AV269,Calc!$I$16),INDEX('Avalanche Engine'!$AH269:$AV269,Calc!$J$16),INDEX('My Order Engine'!$AH269:$AV269,Calc!$K$16)),"")</f>
        <v/>
      </c>
      <c r="N267" s="25" t="str">
        <f>IF(AND($A267&lt;=IF(Calc!$C$36=999,360,Calc!$C$36),Calc!$C$17=1),CHOOSE(Calc!$C$3,INDEX('Snowball Engine'!$AH269:$AV269,Calc!$I$17),INDEX('Avalanche Engine'!$AH269:$AV269,Calc!$J$17),INDEX('My Order Engine'!$AH269:$AV269,Calc!$K$17)),"")</f>
        <v/>
      </c>
      <c r="O267" s="25" t="str">
        <f>IF(AND($A267&lt;=IF(Calc!$C$36=999,360,Calc!$C$36),Calc!$C$18=1),CHOOSE(Calc!$C$3,INDEX('Snowball Engine'!$AH269:$AV269,Calc!$I$18),INDEX('Avalanche Engine'!$AH269:$AV269,Calc!$J$18),INDEX('My Order Engine'!$AH269:$AV269,Calc!$K$18)),"")</f>
        <v/>
      </c>
      <c r="P267" s="25" t="str">
        <f>IF(AND($A267&lt;=IF(Calc!$C$36=999,360,Calc!$C$36),Calc!$C$19=1),CHOOSE(Calc!$C$3,INDEX('Snowball Engine'!$AH269:$AV269,Calc!$I$19),INDEX('Avalanche Engine'!$AH269:$AV269,Calc!$J$19),INDEX('My Order Engine'!$AH269:$AV269,Calc!$K$19)),"")</f>
        <v/>
      </c>
      <c r="Q267" s="25" t="str">
        <f>IF(AND($A267&lt;=IF(Calc!$C$36=999,360,Calc!$C$36),Calc!$C$20=1),CHOOSE(Calc!$C$3,INDEX('Snowball Engine'!$AH269:$AV269,Calc!$I$20),INDEX('Avalanche Engine'!$AH269:$AV269,Calc!$J$20),INDEX('My Order Engine'!$AH269:$AV269,Calc!$K$20)),"")</f>
        <v/>
      </c>
      <c r="R267" s="25" t="str">
        <f>IF(AND($A267&lt;=IF(Calc!$C$36=999,360,Calc!$C$36),Calc!$C$21=1),CHOOSE(Calc!$C$3,INDEX('Snowball Engine'!$AH269:$AV269,Calc!$I$21),INDEX('Avalanche Engine'!$AH269:$AV269,Calc!$J$21),INDEX('My Order Engine'!$AH269:$AV269,Calc!$K$21)),"")</f>
        <v/>
      </c>
      <c r="S267" s="25" t="str">
        <f>IF(AND($A267&lt;=IF(Calc!$C$36=999,360,Calc!$C$36),Calc!$C$22=1),CHOOSE(Calc!$C$3,INDEX('Snowball Engine'!$AH269:$AV269,Calc!$I$22),INDEX('Avalanche Engine'!$AH269:$AV269,Calc!$J$22),INDEX('My Order Engine'!$AH269:$AV269,Calc!$K$22)),"")</f>
        <v/>
      </c>
      <c r="T267" s="25" t="str">
        <f>IF(AND($A267&lt;=IF(Calc!$C$36=999,360,Calc!$C$36),Calc!$C$23=1),CHOOSE(Calc!$C$3,INDEX('Snowball Engine'!$AH269:$AV269,Calc!$I$23),INDEX('Avalanche Engine'!$AH269:$AV269,Calc!$J$23),INDEX('My Order Engine'!$AH269:$AV269,Calc!$K$23)),"")</f>
        <v/>
      </c>
      <c r="U267" s="25" t="str">
        <f>IF(AND($A267&lt;=IF(Calc!$C$36=999,360,Calc!$C$36),Calc!$C$24=1),CHOOSE(Calc!$C$3,INDEX('Snowball Engine'!$AH269:$AV269,Calc!$I$24),INDEX('Avalanche Engine'!$AH269:$AV269,Calc!$J$24),INDEX('My Order Engine'!$AH269:$AV269,Calc!$K$24)),"")</f>
        <v/>
      </c>
    </row>
    <row r="268" spans="1:21" x14ac:dyDescent="0.35">
      <c r="A268" s="23">
        <v>264</v>
      </c>
      <c r="B268" s="24" t="str">
        <f>IF($A268&lt;=IF(Calc!$C$36=999,360,Calc!$C$36),EDATE(Calc!$C$5,A268-1),"")</f>
        <v/>
      </c>
      <c r="C268" s="25" t="str">
        <f>IF($A268&lt;=IF(Calc!$C$36=999,360,Calc!$C$36),CHOOSE(Calc!$C$3,'Snowball Engine'!AY270,'Avalanche Engine'!AY270,'My Order Engine'!AY270),"")</f>
        <v/>
      </c>
      <c r="D268" s="25" t="str">
        <f>IF($A268&lt;=IF(Calc!$C$36=999,360,Calc!$C$36),CHOOSE(Calc!$C$3,'Snowball Engine'!AX270,'Avalanche Engine'!AX270,'My Order Engine'!AX270),"")</f>
        <v/>
      </c>
      <c r="E268" s="25" t="str">
        <f>IF($A268&lt;=IF(Calc!$C$36=999,360,Calc!$C$36),C268-D268,"")</f>
        <v/>
      </c>
      <c r="F268" s="25" t="str">
        <f>IF($A268&lt;=IF(Calc!$C$36=999,360,Calc!$C$36),CHOOSE(Calc!$C$3,'Snowball Engine'!AW270,'Avalanche Engine'!AW270,'My Order Engine'!AW270),"")</f>
        <v/>
      </c>
      <c r="G268" s="25" t="str">
        <f>IF(AND($A268&lt;=IF(Calc!$C$36=999,360,Calc!$C$36),Calc!$C$10=1),CHOOSE(Calc!$C$3,INDEX('Snowball Engine'!$AH270:$AV270,Calc!$I$10),INDEX('Avalanche Engine'!$AH270:$AV270,Calc!$J$10),INDEX('My Order Engine'!$AH270:$AV270,Calc!$K$10)),"")</f>
        <v/>
      </c>
      <c r="H268" s="25" t="str">
        <f>IF(AND($A268&lt;=IF(Calc!$C$36=999,360,Calc!$C$36),Calc!$C$11=1),CHOOSE(Calc!$C$3,INDEX('Snowball Engine'!$AH270:$AV270,Calc!$I$11),INDEX('Avalanche Engine'!$AH270:$AV270,Calc!$J$11),INDEX('My Order Engine'!$AH270:$AV270,Calc!$K$11)),"")</f>
        <v/>
      </c>
      <c r="I268" s="25" t="str">
        <f>IF(AND($A268&lt;=IF(Calc!$C$36=999,360,Calc!$C$36),Calc!$C$12=1),CHOOSE(Calc!$C$3,INDEX('Snowball Engine'!$AH270:$AV270,Calc!$I$12),INDEX('Avalanche Engine'!$AH270:$AV270,Calc!$J$12),INDEX('My Order Engine'!$AH270:$AV270,Calc!$K$12)),"")</f>
        <v/>
      </c>
      <c r="J268" s="25" t="str">
        <f>IF(AND($A268&lt;=IF(Calc!$C$36=999,360,Calc!$C$36),Calc!$C$13=1),CHOOSE(Calc!$C$3,INDEX('Snowball Engine'!$AH270:$AV270,Calc!$I$13),INDEX('Avalanche Engine'!$AH270:$AV270,Calc!$J$13),INDEX('My Order Engine'!$AH270:$AV270,Calc!$K$13)),"")</f>
        <v/>
      </c>
      <c r="K268" s="25" t="str">
        <f>IF(AND($A268&lt;=IF(Calc!$C$36=999,360,Calc!$C$36),Calc!$C$14=1),CHOOSE(Calc!$C$3,INDEX('Snowball Engine'!$AH270:$AV270,Calc!$I$14),INDEX('Avalanche Engine'!$AH270:$AV270,Calc!$J$14),INDEX('My Order Engine'!$AH270:$AV270,Calc!$K$14)),"")</f>
        <v/>
      </c>
      <c r="L268" s="25" t="str">
        <f>IF(AND($A268&lt;=IF(Calc!$C$36=999,360,Calc!$C$36),Calc!$C$15=1),CHOOSE(Calc!$C$3,INDEX('Snowball Engine'!$AH270:$AV270,Calc!$I$15),INDEX('Avalanche Engine'!$AH270:$AV270,Calc!$J$15),INDEX('My Order Engine'!$AH270:$AV270,Calc!$K$15)),"")</f>
        <v/>
      </c>
      <c r="M268" s="25" t="str">
        <f>IF(AND($A268&lt;=IF(Calc!$C$36=999,360,Calc!$C$36),Calc!$C$16=1),CHOOSE(Calc!$C$3,INDEX('Snowball Engine'!$AH270:$AV270,Calc!$I$16),INDEX('Avalanche Engine'!$AH270:$AV270,Calc!$J$16),INDEX('My Order Engine'!$AH270:$AV270,Calc!$K$16)),"")</f>
        <v/>
      </c>
      <c r="N268" s="25" t="str">
        <f>IF(AND($A268&lt;=IF(Calc!$C$36=999,360,Calc!$C$36),Calc!$C$17=1),CHOOSE(Calc!$C$3,INDEX('Snowball Engine'!$AH270:$AV270,Calc!$I$17),INDEX('Avalanche Engine'!$AH270:$AV270,Calc!$J$17),INDEX('My Order Engine'!$AH270:$AV270,Calc!$K$17)),"")</f>
        <v/>
      </c>
      <c r="O268" s="25" t="str">
        <f>IF(AND($A268&lt;=IF(Calc!$C$36=999,360,Calc!$C$36),Calc!$C$18=1),CHOOSE(Calc!$C$3,INDEX('Snowball Engine'!$AH270:$AV270,Calc!$I$18),INDEX('Avalanche Engine'!$AH270:$AV270,Calc!$J$18),INDEX('My Order Engine'!$AH270:$AV270,Calc!$K$18)),"")</f>
        <v/>
      </c>
      <c r="P268" s="25" t="str">
        <f>IF(AND($A268&lt;=IF(Calc!$C$36=999,360,Calc!$C$36),Calc!$C$19=1),CHOOSE(Calc!$C$3,INDEX('Snowball Engine'!$AH270:$AV270,Calc!$I$19),INDEX('Avalanche Engine'!$AH270:$AV270,Calc!$J$19),INDEX('My Order Engine'!$AH270:$AV270,Calc!$K$19)),"")</f>
        <v/>
      </c>
      <c r="Q268" s="25" t="str">
        <f>IF(AND($A268&lt;=IF(Calc!$C$36=999,360,Calc!$C$36),Calc!$C$20=1),CHOOSE(Calc!$C$3,INDEX('Snowball Engine'!$AH270:$AV270,Calc!$I$20),INDEX('Avalanche Engine'!$AH270:$AV270,Calc!$J$20),INDEX('My Order Engine'!$AH270:$AV270,Calc!$K$20)),"")</f>
        <v/>
      </c>
      <c r="R268" s="25" t="str">
        <f>IF(AND($A268&lt;=IF(Calc!$C$36=999,360,Calc!$C$36),Calc!$C$21=1),CHOOSE(Calc!$C$3,INDEX('Snowball Engine'!$AH270:$AV270,Calc!$I$21),INDEX('Avalanche Engine'!$AH270:$AV270,Calc!$J$21),INDEX('My Order Engine'!$AH270:$AV270,Calc!$K$21)),"")</f>
        <v/>
      </c>
      <c r="S268" s="25" t="str">
        <f>IF(AND($A268&lt;=IF(Calc!$C$36=999,360,Calc!$C$36),Calc!$C$22=1),CHOOSE(Calc!$C$3,INDEX('Snowball Engine'!$AH270:$AV270,Calc!$I$22),INDEX('Avalanche Engine'!$AH270:$AV270,Calc!$J$22),INDEX('My Order Engine'!$AH270:$AV270,Calc!$K$22)),"")</f>
        <v/>
      </c>
      <c r="T268" s="25" t="str">
        <f>IF(AND($A268&lt;=IF(Calc!$C$36=999,360,Calc!$C$36),Calc!$C$23=1),CHOOSE(Calc!$C$3,INDEX('Snowball Engine'!$AH270:$AV270,Calc!$I$23),INDEX('Avalanche Engine'!$AH270:$AV270,Calc!$J$23),INDEX('My Order Engine'!$AH270:$AV270,Calc!$K$23)),"")</f>
        <v/>
      </c>
      <c r="U268" s="25" t="str">
        <f>IF(AND($A268&lt;=IF(Calc!$C$36=999,360,Calc!$C$36),Calc!$C$24=1),CHOOSE(Calc!$C$3,INDEX('Snowball Engine'!$AH270:$AV270,Calc!$I$24),INDEX('Avalanche Engine'!$AH270:$AV270,Calc!$J$24),INDEX('My Order Engine'!$AH270:$AV270,Calc!$K$24)),"")</f>
        <v/>
      </c>
    </row>
    <row r="269" spans="1:21" x14ac:dyDescent="0.35">
      <c r="A269" s="23">
        <v>265</v>
      </c>
      <c r="B269" s="24" t="str">
        <f>IF($A269&lt;=IF(Calc!$C$36=999,360,Calc!$C$36),EDATE(Calc!$C$5,A269-1),"")</f>
        <v/>
      </c>
      <c r="C269" s="25" t="str">
        <f>IF($A269&lt;=IF(Calc!$C$36=999,360,Calc!$C$36),CHOOSE(Calc!$C$3,'Snowball Engine'!AY271,'Avalanche Engine'!AY271,'My Order Engine'!AY271),"")</f>
        <v/>
      </c>
      <c r="D269" s="25" t="str">
        <f>IF($A269&lt;=IF(Calc!$C$36=999,360,Calc!$C$36),CHOOSE(Calc!$C$3,'Snowball Engine'!AX271,'Avalanche Engine'!AX271,'My Order Engine'!AX271),"")</f>
        <v/>
      </c>
      <c r="E269" s="25" t="str">
        <f>IF($A269&lt;=IF(Calc!$C$36=999,360,Calc!$C$36),C269-D269,"")</f>
        <v/>
      </c>
      <c r="F269" s="25" t="str">
        <f>IF($A269&lt;=IF(Calc!$C$36=999,360,Calc!$C$36),CHOOSE(Calc!$C$3,'Snowball Engine'!AW271,'Avalanche Engine'!AW271,'My Order Engine'!AW271),"")</f>
        <v/>
      </c>
      <c r="G269" s="25" t="str">
        <f>IF(AND($A269&lt;=IF(Calc!$C$36=999,360,Calc!$C$36),Calc!$C$10=1),CHOOSE(Calc!$C$3,INDEX('Snowball Engine'!$AH271:$AV271,Calc!$I$10),INDEX('Avalanche Engine'!$AH271:$AV271,Calc!$J$10),INDEX('My Order Engine'!$AH271:$AV271,Calc!$K$10)),"")</f>
        <v/>
      </c>
      <c r="H269" s="25" t="str">
        <f>IF(AND($A269&lt;=IF(Calc!$C$36=999,360,Calc!$C$36),Calc!$C$11=1),CHOOSE(Calc!$C$3,INDEX('Snowball Engine'!$AH271:$AV271,Calc!$I$11),INDEX('Avalanche Engine'!$AH271:$AV271,Calc!$J$11),INDEX('My Order Engine'!$AH271:$AV271,Calc!$K$11)),"")</f>
        <v/>
      </c>
      <c r="I269" s="25" t="str">
        <f>IF(AND($A269&lt;=IF(Calc!$C$36=999,360,Calc!$C$36),Calc!$C$12=1),CHOOSE(Calc!$C$3,INDEX('Snowball Engine'!$AH271:$AV271,Calc!$I$12),INDEX('Avalanche Engine'!$AH271:$AV271,Calc!$J$12),INDEX('My Order Engine'!$AH271:$AV271,Calc!$K$12)),"")</f>
        <v/>
      </c>
      <c r="J269" s="25" t="str">
        <f>IF(AND($A269&lt;=IF(Calc!$C$36=999,360,Calc!$C$36),Calc!$C$13=1),CHOOSE(Calc!$C$3,INDEX('Snowball Engine'!$AH271:$AV271,Calc!$I$13),INDEX('Avalanche Engine'!$AH271:$AV271,Calc!$J$13),INDEX('My Order Engine'!$AH271:$AV271,Calc!$K$13)),"")</f>
        <v/>
      </c>
      <c r="K269" s="25" t="str">
        <f>IF(AND($A269&lt;=IF(Calc!$C$36=999,360,Calc!$C$36),Calc!$C$14=1),CHOOSE(Calc!$C$3,INDEX('Snowball Engine'!$AH271:$AV271,Calc!$I$14),INDEX('Avalanche Engine'!$AH271:$AV271,Calc!$J$14),INDEX('My Order Engine'!$AH271:$AV271,Calc!$K$14)),"")</f>
        <v/>
      </c>
      <c r="L269" s="25" t="str">
        <f>IF(AND($A269&lt;=IF(Calc!$C$36=999,360,Calc!$C$36),Calc!$C$15=1),CHOOSE(Calc!$C$3,INDEX('Snowball Engine'!$AH271:$AV271,Calc!$I$15),INDEX('Avalanche Engine'!$AH271:$AV271,Calc!$J$15),INDEX('My Order Engine'!$AH271:$AV271,Calc!$K$15)),"")</f>
        <v/>
      </c>
      <c r="M269" s="25" t="str">
        <f>IF(AND($A269&lt;=IF(Calc!$C$36=999,360,Calc!$C$36),Calc!$C$16=1),CHOOSE(Calc!$C$3,INDEX('Snowball Engine'!$AH271:$AV271,Calc!$I$16),INDEX('Avalanche Engine'!$AH271:$AV271,Calc!$J$16),INDEX('My Order Engine'!$AH271:$AV271,Calc!$K$16)),"")</f>
        <v/>
      </c>
      <c r="N269" s="25" t="str">
        <f>IF(AND($A269&lt;=IF(Calc!$C$36=999,360,Calc!$C$36),Calc!$C$17=1),CHOOSE(Calc!$C$3,INDEX('Snowball Engine'!$AH271:$AV271,Calc!$I$17),INDEX('Avalanche Engine'!$AH271:$AV271,Calc!$J$17),INDEX('My Order Engine'!$AH271:$AV271,Calc!$K$17)),"")</f>
        <v/>
      </c>
      <c r="O269" s="25" t="str">
        <f>IF(AND($A269&lt;=IF(Calc!$C$36=999,360,Calc!$C$36),Calc!$C$18=1),CHOOSE(Calc!$C$3,INDEX('Snowball Engine'!$AH271:$AV271,Calc!$I$18),INDEX('Avalanche Engine'!$AH271:$AV271,Calc!$J$18),INDEX('My Order Engine'!$AH271:$AV271,Calc!$K$18)),"")</f>
        <v/>
      </c>
      <c r="P269" s="25" t="str">
        <f>IF(AND($A269&lt;=IF(Calc!$C$36=999,360,Calc!$C$36),Calc!$C$19=1),CHOOSE(Calc!$C$3,INDEX('Snowball Engine'!$AH271:$AV271,Calc!$I$19),INDEX('Avalanche Engine'!$AH271:$AV271,Calc!$J$19),INDEX('My Order Engine'!$AH271:$AV271,Calc!$K$19)),"")</f>
        <v/>
      </c>
      <c r="Q269" s="25" t="str">
        <f>IF(AND($A269&lt;=IF(Calc!$C$36=999,360,Calc!$C$36),Calc!$C$20=1),CHOOSE(Calc!$C$3,INDEX('Snowball Engine'!$AH271:$AV271,Calc!$I$20),INDEX('Avalanche Engine'!$AH271:$AV271,Calc!$J$20),INDEX('My Order Engine'!$AH271:$AV271,Calc!$K$20)),"")</f>
        <v/>
      </c>
      <c r="R269" s="25" t="str">
        <f>IF(AND($A269&lt;=IF(Calc!$C$36=999,360,Calc!$C$36),Calc!$C$21=1),CHOOSE(Calc!$C$3,INDEX('Snowball Engine'!$AH271:$AV271,Calc!$I$21),INDEX('Avalanche Engine'!$AH271:$AV271,Calc!$J$21),INDEX('My Order Engine'!$AH271:$AV271,Calc!$K$21)),"")</f>
        <v/>
      </c>
      <c r="S269" s="25" t="str">
        <f>IF(AND($A269&lt;=IF(Calc!$C$36=999,360,Calc!$C$36),Calc!$C$22=1),CHOOSE(Calc!$C$3,INDEX('Snowball Engine'!$AH271:$AV271,Calc!$I$22),INDEX('Avalanche Engine'!$AH271:$AV271,Calc!$J$22),INDEX('My Order Engine'!$AH271:$AV271,Calc!$K$22)),"")</f>
        <v/>
      </c>
      <c r="T269" s="25" t="str">
        <f>IF(AND($A269&lt;=IF(Calc!$C$36=999,360,Calc!$C$36),Calc!$C$23=1),CHOOSE(Calc!$C$3,INDEX('Snowball Engine'!$AH271:$AV271,Calc!$I$23),INDEX('Avalanche Engine'!$AH271:$AV271,Calc!$J$23),INDEX('My Order Engine'!$AH271:$AV271,Calc!$K$23)),"")</f>
        <v/>
      </c>
      <c r="U269" s="25" t="str">
        <f>IF(AND($A269&lt;=IF(Calc!$C$36=999,360,Calc!$C$36),Calc!$C$24=1),CHOOSE(Calc!$C$3,INDEX('Snowball Engine'!$AH271:$AV271,Calc!$I$24),INDEX('Avalanche Engine'!$AH271:$AV271,Calc!$J$24),INDEX('My Order Engine'!$AH271:$AV271,Calc!$K$24)),"")</f>
        <v/>
      </c>
    </row>
    <row r="270" spans="1:21" x14ac:dyDescent="0.35">
      <c r="A270" s="23">
        <v>266</v>
      </c>
      <c r="B270" s="24" t="str">
        <f>IF($A270&lt;=IF(Calc!$C$36=999,360,Calc!$C$36),EDATE(Calc!$C$5,A270-1),"")</f>
        <v/>
      </c>
      <c r="C270" s="25" t="str">
        <f>IF($A270&lt;=IF(Calc!$C$36=999,360,Calc!$C$36),CHOOSE(Calc!$C$3,'Snowball Engine'!AY272,'Avalanche Engine'!AY272,'My Order Engine'!AY272),"")</f>
        <v/>
      </c>
      <c r="D270" s="25" t="str">
        <f>IF($A270&lt;=IF(Calc!$C$36=999,360,Calc!$C$36),CHOOSE(Calc!$C$3,'Snowball Engine'!AX272,'Avalanche Engine'!AX272,'My Order Engine'!AX272),"")</f>
        <v/>
      </c>
      <c r="E270" s="25" t="str">
        <f>IF($A270&lt;=IF(Calc!$C$36=999,360,Calc!$C$36),C270-D270,"")</f>
        <v/>
      </c>
      <c r="F270" s="25" t="str">
        <f>IF($A270&lt;=IF(Calc!$C$36=999,360,Calc!$C$36),CHOOSE(Calc!$C$3,'Snowball Engine'!AW272,'Avalanche Engine'!AW272,'My Order Engine'!AW272),"")</f>
        <v/>
      </c>
      <c r="G270" s="25" t="str">
        <f>IF(AND($A270&lt;=IF(Calc!$C$36=999,360,Calc!$C$36),Calc!$C$10=1),CHOOSE(Calc!$C$3,INDEX('Snowball Engine'!$AH272:$AV272,Calc!$I$10),INDEX('Avalanche Engine'!$AH272:$AV272,Calc!$J$10),INDEX('My Order Engine'!$AH272:$AV272,Calc!$K$10)),"")</f>
        <v/>
      </c>
      <c r="H270" s="25" t="str">
        <f>IF(AND($A270&lt;=IF(Calc!$C$36=999,360,Calc!$C$36),Calc!$C$11=1),CHOOSE(Calc!$C$3,INDEX('Snowball Engine'!$AH272:$AV272,Calc!$I$11),INDEX('Avalanche Engine'!$AH272:$AV272,Calc!$J$11),INDEX('My Order Engine'!$AH272:$AV272,Calc!$K$11)),"")</f>
        <v/>
      </c>
      <c r="I270" s="25" t="str">
        <f>IF(AND($A270&lt;=IF(Calc!$C$36=999,360,Calc!$C$36),Calc!$C$12=1),CHOOSE(Calc!$C$3,INDEX('Snowball Engine'!$AH272:$AV272,Calc!$I$12),INDEX('Avalanche Engine'!$AH272:$AV272,Calc!$J$12),INDEX('My Order Engine'!$AH272:$AV272,Calc!$K$12)),"")</f>
        <v/>
      </c>
      <c r="J270" s="25" t="str">
        <f>IF(AND($A270&lt;=IF(Calc!$C$36=999,360,Calc!$C$36),Calc!$C$13=1),CHOOSE(Calc!$C$3,INDEX('Snowball Engine'!$AH272:$AV272,Calc!$I$13),INDEX('Avalanche Engine'!$AH272:$AV272,Calc!$J$13),INDEX('My Order Engine'!$AH272:$AV272,Calc!$K$13)),"")</f>
        <v/>
      </c>
      <c r="K270" s="25" t="str">
        <f>IF(AND($A270&lt;=IF(Calc!$C$36=999,360,Calc!$C$36),Calc!$C$14=1),CHOOSE(Calc!$C$3,INDEX('Snowball Engine'!$AH272:$AV272,Calc!$I$14),INDEX('Avalanche Engine'!$AH272:$AV272,Calc!$J$14),INDEX('My Order Engine'!$AH272:$AV272,Calc!$K$14)),"")</f>
        <v/>
      </c>
      <c r="L270" s="25" t="str">
        <f>IF(AND($A270&lt;=IF(Calc!$C$36=999,360,Calc!$C$36),Calc!$C$15=1),CHOOSE(Calc!$C$3,INDEX('Snowball Engine'!$AH272:$AV272,Calc!$I$15),INDEX('Avalanche Engine'!$AH272:$AV272,Calc!$J$15),INDEX('My Order Engine'!$AH272:$AV272,Calc!$K$15)),"")</f>
        <v/>
      </c>
      <c r="M270" s="25" t="str">
        <f>IF(AND($A270&lt;=IF(Calc!$C$36=999,360,Calc!$C$36),Calc!$C$16=1),CHOOSE(Calc!$C$3,INDEX('Snowball Engine'!$AH272:$AV272,Calc!$I$16),INDEX('Avalanche Engine'!$AH272:$AV272,Calc!$J$16),INDEX('My Order Engine'!$AH272:$AV272,Calc!$K$16)),"")</f>
        <v/>
      </c>
      <c r="N270" s="25" t="str">
        <f>IF(AND($A270&lt;=IF(Calc!$C$36=999,360,Calc!$C$36),Calc!$C$17=1),CHOOSE(Calc!$C$3,INDEX('Snowball Engine'!$AH272:$AV272,Calc!$I$17),INDEX('Avalanche Engine'!$AH272:$AV272,Calc!$J$17),INDEX('My Order Engine'!$AH272:$AV272,Calc!$K$17)),"")</f>
        <v/>
      </c>
      <c r="O270" s="25" t="str">
        <f>IF(AND($A270&lt;=IF(Calc!$C$36=999,360,Calc!$C$36),Calc!$C$18=1),CHOOSE(Calc!$C$3,INDEX('Snowball Engine'!$AH272:$AV272,Calc!$I$18),INDEX('Avalanche Engine'!$AH272:$AV272,Calc!$J$18),INDEX('My Order Engine'!$AH272:$AV272,Calc!$K$18)),"")</f>
        <v/>
      </c>
      <c r="P270" s="25" t="str">
        <f>IF(AND($A270&lt;=IF(Calc!$C$36=999,360,Calc!$C$36),Calc!$C$19=1),CHOOSE(Calc!$C$3,INDEX('Snowball Engine'!$AH272:$AV272,Calc!$I$19),INDEX('Avalanche Engine'!$AH272:$AV272,Calc!$J$19),INDEX('My Order Engine'!$AH272:$AV272,Calc!$K$19)),"")</f>
        <v/>
      </c>
      <c r="Q270" s="25" t="str">
        <f>IF(AND($A270&lt;=IF(Calc!$C$36=999,360,Calc!$C$36),Calc!$C$20=1),CHOOSE(Calc!$C$3,INDEX('Snowball Engine'!$AH272:$AV272,Calc!$I$20),INDEX('Avalanche Engine'!$AH272:$AV272,Calc!$J$20),INDEX('My Order Engine'!$AH272:$AV272,Calc!$K$20)),"")</f>
        <v/>
      </c>
      <c r="R270" s="25" t="str">
        <f>IF(AND($A270&lt;=IF(Calc!$C$36=999,360,Calc!$C$36),Calc!$C$21=1),CHOOSE(Calc!$C$3,INDEX('Snowball Engine'!$AH272:$AV272,Calc!$I$21),INDEX('Avalanche Engine'!$AH272:$AV272,Calc!$J$21),INDEX('My Order Engine'!$AH272:$AV272,Calc!$K$21)),"")</f>
        <v/>
      </c>
      <c r="S270" s="25" t="str">
        <f>IF(AND($A270&lt;=IF(Calc!$C$36=999,360,Calc!$C$36),Calc!$C$22=1),CHOOSE(Calc!$C$3,INDEX('Snowball Engine'!$AH272:$AV272,Calc!$I$22),INDEX('Avalanche Engine'!$AH272:$AV272,Calc!$J$22),INDEX('My Order Engine'!$AH272:$AV272,Calc!$K$22)),"")</f>
        <v/>
      </c>
      <c r="T270" s="25" t="str">
        <f>IF(AND($A270&lt;=IF(Calc!$C$36=999,360,Calc!$C$36),Calc!$C$23=1),CHOOSE(Calc!$C$3,INDEX('Snowball Engine'!$AH272:$AV272,Calc!$I$23),INDEX('Avalanche Engine'!$AH272:$AV272,Calc!$J$23),INDEX('My Order Engine'!$AH272:$AV272,Calc!$K$23)),"")</f>
        <v/>
      </c>
      <c r="U270" s="25" t="str">
        <f>IF(AND($A270&lt;=IF(Calc!$C$36=999,360,Calc!$C$36),Calc!$C$24=1),CHOOSE(Calc!$C$3,INDEX('Snowball Engine'!$AH272:$AV272,Calc!$I$24),INDEX('Avalanche Engine'!$AH272:$AV272,Calc!$J$24),INDEX('My Order Engine'!$AH272:$AV272,Calc!$K$24)),"")</f>
        <v/>
      </c>
    </row>
    <row r="271" spans="1:21" x14ac:dyDescent="0.35">
      <c r="A271" s="23">
        <v>267</v>
      </c>
      <c r="B271" s="24" t="str">
        <f>IF($A271&lt;=IF(Calc!$C$36=999,360,Calc!$C$36),EDATE(Calc!$C$5,A271-1),"")</f>
        <v/>
      </c>
      <c r="C271" s="25" t="str">
        <f>IF($A271&lt;=IF(Calc!$C$36=999,360,Calc!$C$36),CHOOSE(Calc!$C$3,'Snowball Engine'!AY273,'Avalanche Engine'!AY273,'My Order Engine'!AY273),"")</f>
        <v/>
      </c>
      <c r="D271" s="25" t="str">
        <f>IF($A271&lt;=IF(Calc!$C$36=999,360,Calc!$C$36),CHOOSE(Calc!$C$3,'Snowball Engine'!AX273,'Avalanche Engine'!AX273,'My Order Engine'!AX273),"")</f>
        <v/>
      </c>
      <c r="E271" s="25" t="str">
        <f>IF($A271&lt;=IF(Calc!$C$36=999,360,Calc!$C$36),C271-D271,"")</f>
        <v/>
      </c>
      <c r="F271" s="25" t="str">
        <f>IF($A271&lt;=IF(Calc!$C$36=999,360,Calc!$C$36),CHOOSE(Calc!$C$3,'Snowball Engine'!AW273,'Avalanche Engine'!AW273,'My Order Engine'!AW273),"")</f>
        <v/>
      </c>
      <c r="G271" s="25" t="str">
        <f>IF(AND($A271&lt;=IF(Calc!$C$36=999,360,Calc!$C$36),Calc!$C$10=1),CHOOSE(Calc!$C$3,INDEX('Snowball Engine'!$AH273:$AV273,Calc!$I$10),INDEX('Avalanche Engine'!$AH273:$AV273,Calc!$J$10),INDEX('My Order Engine'!$AH273:$AV273,Calc!$K$10)),"")</f>
        <v/>
      </c>
      <c r="H271" s="25" t="str">
        <f>IF(AND($A271&lt;=IF(Calc!$C$36=999,360,Calc!$C$36),Calc!$C$11=1),CHOOSE(Calc!$C$3,INDEX('Snowball Engine'!$AH273:$AV273,Calc!$I$11),INDEX('Avalanche Engine'!$AH273:$AV273,Calc!$J$11),INDEX('My Order Engine'!$AH273:$AV273,Calc!$K$11)),"")</f>
        <v/>
      </c>
      <c r="I271" s="25" t="str">
        <f>IF(AND($A271&lt;=IF(Calc!$C$36=999,360,Calc!$C$36),Calc!$C$12=1),CHOOSE(Calc!$C$3,INDEX('Snowball Engine'!$AH273:$AV273,Calc!$I$12),INDEX('Avalanche Engine'!$AH273:$AV273,Calc!$J$12),INDEX('My Order Engine'!$AH273:$AV273,Calc!$K$12)),"")</f>
        <v/>
      </c>
      <c r="J271" s="25" t="str">
        <f>IF(AND($A271&lt;=IF(Calc!$C$36=999,360,Calc!$C$36),Calc!$C$13=1),CHOOSE(Calc!$C$3,INDEX('Snowball Engine'!$AH273:$AV273,Calc!$I$13),INDEX('Avalanche Engine'!$AH273:$AV273,Calc!$J$13),INDEX('My Order Engine'!$AH273:$AV273,Calc!$K$13)),"")</f>
        <v/>
      </c>
      <c r="K271" s="25" t="str">
        <f>IF(AND($A271&lt;=IF(Calc!$C$36=999,360,Calc!$C$36),Calc!$C$14=1),CHOOSE(Calc!$C$3,INDEX('Snowball Engine'!$AH273:$AV273,Calc!$I$14),INDEX('Avalanche Engine'!$AH273:$AV273,Calc!$J$14),INDEX('My Order Engine'!$AH273:$AV273,Calc!$K$14)),"")</f>
        <v/>
      </c>
      <c r="L271" s="25" t="str">
        <f>IF(AND($A271&lt;=IF(Calc!$C$36=999,360,Calc!$C$36),Calc!$C$15=1),CHOOSE(Calc!$C$3,INDEX('Snowball Engine'!$AH273:$AV273,Calc!$I$15),INDEX('Avalanche Engine'!$AH273:$AV273,Calc!$J$15),INDEX('My Order Engine'!$AH273:$AV273,Calc!$K$15)),"")</f>
        <v/>
      </c>
      <c r="M271" s="25" t="str">
        <f>IF(AND($A271&lt;=IF(Calc!$C$36=999,360,Calc!$C$36),Calc!$C$16=1),CHOOSE(Calc!$C$3,INDEX('Snowball Engine'!$AH273:$AV273,Calc!$I$16),INDEX('Avalanche Engine'!$AH273:$AV273,Calc!$J$16),INDEX('My Order Engine'!$AH273:$AV273,Calc!$K$16)),"")</f>
        <v/>
      </c>
      <c r="N271" s="25" t="str">
        <f>IF(AND($A271&lt;=IF(Calc!$C$36=999,360,Calc!$C$36),Calc!$C$17=1),CHOOSE(Calc!$C$3,INDEX('Snowball Engine'!$AH273:$AV273,Calc!$I$17),INDEX('Avalanche Engine'!$AH273:$AV273,Calc!$J$17),INDEX('My Order Engine'!$AH273:$AV273,Calc!$K$17)),"")</f>
        <v/>
      </c>
      <c r="O271" s="25" t="str">
        <f>IF(AND($A271&lt;=IF(Calc!$C$36=999,360,Calc!$C$36),Calc!$C$18=1),CHOOSE(Calc!$C$3,INDEX('Snowball Engine'!$AH273:$AV273,Calc!$I$18),INDEX('Avalanche Engine'!$AH273:$AV273,Calc!$J$18),INDEX('My Order Engine'!$AH273:$AV273,Calc!$K$18)),"")</f>
        <v/>
      </c>
      <c r="P271" s="25" t="str">
        <f>IF(AND($A271&lt;=IF(Calc!$C$36=999,360,Calc!$C$36),Calc!$C$19=1),CHOOSE(Calc!$C$3,INDEX('Snowball Engine'!$AH273:$AV273,Calc!$I$19),INDEX('Avalanche Engine'!$AH273:$AV273,Calc!$J$19),INDEX('My Order Engine'!$AH273:$AV273,Calc!$K$19)),"")</f>
        <v/>
      </c>
      <c r="Q271" s="25" t="str">
        <f>IF(AND($A271&lt;=IF(Calc!$C$36=999,360,Calc!$C$36),Calc!$C$20=1),CHOOSE(Calc!$C$3,INDEX('Snowball Engine'!$AH273:$AV273,Calc!$I$20),INDEX('Avalanche Engine'!$AH273:$AV273,Calc!$J$20),INDEX('My Order Engine'!$AH273:$AV273,Calc!$K$20)),"")</f>
        <v/>
      </c>
      <c r="R271" s="25" t="str">
        <f>IF(AND($A271&lt;=IF(Calc!$C$36=999,360,Calc!$C$36),Calc!$C$21=1),CHOOSE(Calc!$C$3,INDEX('Snowball Engine'!$AH273:$AV273,Calc!$I$21),INDEX('Avalanche Engine'!$AH273:$AV273,Calc!$J$21),INDEX('My Order Engine'!$AH273:$AV273,Calc!$K$21)),"")</f>
        <v/>
      </c>
      <c r="S271" s="25" t="str">
        <f>IF(AND($A271&lt;=IF(Calc!$C$36=999,360,Calc!$C$36),Calc!$C$22=1),CHOOSE(Calc!$C$3,INDEX('Snowball Engine'!$AH273:$AV273,Calc!$I$22),INDEX('Avalanche Engine'!$AH273:$AV273,Calc!$J$22),INDEX('My Order Engine'!$AH273:$AV273,Calc!$K$22)),"")</f>
        <v/>
      </c>
      <c r="T271" s="25" t="str">
        <f>IF(AND($A271&lt;=IF(Calc!$C$36=999,360,Calc!$C$36),Calc!$C$23=1),CHOOSE(Calc!$C$3,INDEX('Snowball Engine'!$AH273:$AV273,Calc!$I$23),INDEX('Avalanche Engine'!$AH273:$AV273,Calc!$J$23),INDEX('My Order Engine'!$AH273:$AV273,Calc!$K$23)),"")</f>
        <v/>
      </c>
      <c r="U271" s="25" t="str">
        <f>IF(AND($A271&lt;=IF(Calc!$C$36=999,360,Calc!$C$36),Calc!$C$24=1),CHOOSE(Calc!$C$3,INDEX('Snowball Engine'!$AH273:$AV273,Calc!$I$24),INDEX('Avalanche Engine'!$AH273:$AV273,Calc!$J$24),INDEX('My Order Engine'!$AH273:$AV273,Calc!$K$24)),"")</f>
        <v/>
      </c>
    </row>
    <row r="272" spans="1:21" x14ac:dyDescent="0.35">
      <c r="A272" s="23">
        <v>268</v>
      </c>
      <c r="B272" s="24" t="str">
        <f>IF($A272&lt;=IF(Calc!$C$36=999,360,Calc!$C$36),EDATE(Calc!$C$5,A272-1),"")</f>
        <v/>
      </c>
      <c r="C272" s="25" t="str">
        <f>IF($A272&lt;=IF(Calc!$C$36=999,360,Calc!$C$36),CHOOSE(Calc!$C$3,'Snowball Engine'!AY274,'Avalanche Engine'!AY274,'My Order Engine'!AY274),"")</f>
        <v/>
      </c>
      <c r="D272" s="25" t="str">
        <f>IF($A272&lt;=IF(Calc!$C$36=999,360,Calc!$C$36),CHOOSE(Calc!$C$3,'Snowball Engine'!AX274,'Avalanche Engine'!AX274,'My Order Engine'!AX274),"")</f>
        <v/>
      </c>
      <c r="E272" s="25" t="str">
        <f>IF($A272&lt;=IF(Calc!$C$36=999,360,Calc!$C$36),C272-D272,"")</f>
        <v/>
      </c>
      <c r="F272" s="25" t="str">
        <f>IF($A272&lt;=IF(Calc!$C$36=999,360,Calc!$C$36),CHOOSE(Calc!$C$3,'Snowball Engine'!AW274,'Avalanche Engine'!AW274,'My Order Engine'!AW274),"")</f>
        <v/>
      </c>
      <c r="G272" s="25" t="str">
        <f>IF(AND($A272&lt;=IF(Calc!$C$36=999,360,Calc!$C$36),Calc!$C$10=1),CHOOSE(Calc!$C$3,INDEX('Snowball Engine'!$AH274:$AV274,Calc!$I$10),INDEX('Avalanche Engine'!$AH274:$AV274,Calc!$J$10),INDEX('My Order Engine'!$AH274:$AV274,Calc!$K$10)),"")</f>
        <v/>
      </c>
      <c r="H272" s="25" t="str">
        <f>IF(AND($A272&lt;=IF(Calc!$C$36=999,360,Calc!$C$36),Calc!$C$11=1),CHOOSE(Calc!$C$3,INDEX('Snowball Engine'!$AH274:$AV274,Calc!$I$11),INDEX('Avalanche Engine'!$AH274:$AV274,Calc!$J$11),INDEX('My Order Engine'!$AH274:$AV274,Calc!$K$11)),"")</f>
        <v/>
      </c>
      <c r="I272" s="25" t="str">
        <f>IF(AND($A272&lt;=IF(Calc!$C$36=999,360,Calc!$C$36),Calc!$C$12=1),CHOOSE(Calc!$C$3,INDEX('Snowball Engine'!$AH274:$AV274,Calc!$I$12),INDEX('Avalanche Engine'!$AH274:$AV274,Calc!$J$12),INDEX('My Order Engine'!$AH274:$AV274,Calc!$K$12)),"")</f>
        <v/>
      </c>
      <c r="J272" s="25" t="str">
        <f>IF(AND($A272&lt;=IF(Calc!$C$36=999,360,Calc!$C$36),Calc!$C$13=1),CHOOSE(Calc!$C$3,INDEX('Snowball Engine'!$AH274:$AV274,Calc!$I$13),INDEX('Avalanche Engine'!$AH274:$AV274,Calc!$J$13),INDEX('My Order Engine'!$AH274:$AV274,Calc!$K$13)),"")</f>
        <v/>
      </c>
      <c r="K272" s="25" t="str">
        <f>IF(AND($A272&lt;=IF(Calc!$C$36=999,360,Calc!$C$36),Calc!$C$14=1),CHOOSE(Calc!$C$3,INDEX('Snowball Engine'!$AH274:$AV274,Calc!$I$14),INDEX('Avalanche Engine'!$AH274:$AV274,Calc!$J$14),INDEX('My Order Engine'!$AH274:$AV274,Calc!$K$14)),"")</f>
        <v/>
      </c>
      <c r="L272" s="25" t="str">
        <f>IF(AND($A272&lt;=IF(Calc!$C$36=999,360,Calc!$C$36),Calc!$C$15=1),CHOOSE(Calc!$C$3,INDEX('Snowball Engine'!$AH274:$AV274,Calc!$I$15),INDEX('Avalanche Engine'!$AH274:$AV274,Calc!$J$15),INDEX('My Order Engine'!$AH274:$AV274,Calc!$K$15)),"")</f>
        <v/>
      </c>
      <c r="M272" s="25" t="str">
        <f>IF(AND($A272&lt;=IF(Calc!$C$36=999,360,Calc!$C$36),Calc!$C$16=1),CHOOSE(Calc!$C$3,INDEX('Snowball Engine'!$AH274:$AV274,Calc!$I$16),INDEX('Avalanche Engine'!$AH274:$AV274,Calc!$J$16),INDEX('My Order Engine'!$AH274:$AV274,Calc!$K$16)),"")</f>
        <v/>
      </c>
      <c r="N272" s="25" t="str">
        <f>IF(AND($A272&lt;=IF(Calc!$C$36=999,360,Calc!$C$36),Calc!$C$17=1),CHOOSE(Calc!$C$3,INDEX('Snowball Engine'!$AH274:$AV274,Calc!$I$17),INDEX('Avalanche Engine'!$AH274:$AV274,Calc!$J$17),INDEX('My Order Engine'!$AH274:$AV274,Calc!$K$17)),"")</f>
        <v/>
      </c>
      <c r="O272" s="25" t="str">
        <f>IF(AND($A272&lt;=IF(Calc!$C$36=999,360,Calc!$C$36),Calc!$C$18=1),CHOOSE(Calc!$C$3,INDEX('Snowball Engine'!$AH274:$AV274,Calc!$I$18),INDEX('Avalanche Engine'!$AH274:$AV274,Calc!$J$18),INDEX('My Order Engine'!$AH274:$AV274,Calc!$K$18)),"")</f>
        <v/>
      </c>
      <c r="P272" s="25" t="str">
        <f>IF(AND($A272&lt;=IF(Calc!$C$36=999,360,Calc!$C$36),Calc!$C$19=1),CHOOSE(Calc!$C$3,INDEX('Snowball Engine'!$AH274:$AV274,Calc!$I$19),INDEX('Avalanche Engine'!$AH274:$AV274,Calc!$J$19),INDEX('My Order Engine'!$AH274:$AV274,Calc!$K$19)),"")</f>
        <v/>
      </c>
      <c r="Q272" s="25" t="str">
        <f>IF(AND($A272&lt;=IF(Calc!$C$36=999,360,Calc!$C$36),Calc!$C$20=1),CHOOSE(Calc!$C$3,INDEX('Snowball Engine'!$AH274:$AV274,Calc!$I$20),INDEX('Avalanche Engine'!$AH274:$AV274,Calc!$J$20),INDEX('My Order Engine'!$AH274:$AV274,Calc!$K$20)),"")</f>
        <v/>
      </c>
      <c r="R272" s="25" t="str">
        <f>IF(AND($A272&lt;=IF(Calc!$C$36=999,360,Calc!$C$36),Calc!$C$21=1),CHOOSE(Calc!$C$3,INDEX('Snowball Engine'!$AH274:$AV274,Calc!$I$21),INDEX('Avalanche Engine'!$AH274:$AV274,Calc!$J$21),INDEX('My Order Engine'!$AH274:$AV274,Calc!$K$21)),"")</f>
        <v/>
      </c>
      <c r="S272" s="25" t="str">
        <f>IF(AND($A272&lt;=IF(Calc!$C$36=999,360,Calc!$C$36),Calc!$C$22=1),CHOOSE(Calc!$C$3,INDEX('Snowball Engine'!$AH274:$AV274,Calc!$I$22),INDEX('Avalanche Engine'!$AH274:$AV274,Calc!$J$22),INDEX('My Order Engine'!$AH274:$AV274,Calc!$K$22)),"")</f>
        <v/>
      </c>
      <c r="T272" s="25" t="str">
        <f>IF(AND($A272&lt;=IF(Calc!$C$36=999,360,Calc!$C$36),Calc!$C$23=1),CHOOSE(Calc!$C$3,INDEX('Snowball Engine'!$AH274:$AV274,Calc!$I$23),INDEX('Avalanche Engine'!$AH274:$AV274,Calc!$J$23),INDEX('My Order Engine'!$AH274:$AV274,Calc!$K$23)),"")</f>
        <v/>
      </c>
      <c r="U272" s="25" t="str">
        <f>IF(AND($A272&lt;=IF(Calc!$C$36=999,360,Calc!$C$36),Calc!$C$24=1),CHOOSE(Calc!$C$3,INDEX('Snowball Engine'!$AH274:$AV274,Calc!$I$24),INDEX('Avalanche Engine'!$AH274:$AV274,Calc!$J$24),INDEX('My Order Engine'!$AH274:$AV274,Calc!$K$24)),"")</f>
        <v/>
      </c>
    </row>
    <row r="273" spans="1:21" x14ac:dyDescent="0.35">
      <c r="A273" s="23">
        <v>269</v>
      </c>
      <c r="B273" s="24" t="str">
        <f>IF($A273&lt;=IF(Calc!$C$36=999,360,Calc!$C$36),EDATE(Calc!$C$5,A273-1),"")</f>
        <v/>
      </c>
      <c r="C273" s="25" t="str">
        <f>IF($A273&lt;=IF(Calc!$C$36=999,360,Calc!$C$36),CHOOSE(Calc!$C$3,'Snowball Engine'!AY275,'Avalanche Engine'!AY275,'My Order Engine'!AY275),"")</f>
        <v/>
      </c>
      <c r="D273" s="25" t="str">
        <f>IF($A273&lt;=IF(Calc!$C$36=999,360,Calc!$C$36),CHOOSE(Calc!$C$3,'Snowball Engine'!AX275,'Avalanche Engine'!AX275,'My Order Engine'!AX275),"")</f>
        <v/>
      </c>
      <c r="E273" s="25" t="str">
        <f>IF($A273&lt;=IF(Calc!$C$36=999,360,Calc!$C$36),C273-D273,"")</f>
        <v/>
      </c>
      <c r="F273" s="25" t="str">
        <f>IF($A273&lt;=IF(Calc!$C$36=999,360,Calc!$C$36),CHOOSE(Calc!$C$3,'Snowball Engine'!AW275,'Avalanche Engine'!AW275,'My Order Engine'!AW275),"")</f>
        <v/>
      </c>
      <c r="G273" s="25" t="str">
        <f>IF(AND($A273&lt;=IF(Calc!$C$36=999,360,Calc!$C$36),Calc!$C$10=1),CHOOSE(Calc!$C$3,INDEX('Snowball Engine'!$AH275:$AV275,Calc!$I$10),INDEX('Avalanche Engine'!$AH275:$AV275,Calc!$J$10),INDEX('My Order Engine'!$AH275:$AV275,Calc!$K$10)),"")</f>
        <v/>
      </c>
      <c r="H273" s="25" t="str">
        <f>IF(AND($A273&lt;=IF(Calc!$C$36=999,360,Calc!$C$36),Calc!$C$11=1),CHOOSE(Calc!$C$3,INDEX('Snowball Engine'!$AH275:$AV275,Calc!$I$11),INDEX('Avalanche Engine'!$AH275:$AV275,Calc!$J$11),INDEX('My Order Engine'!$AH275:$AV275,Calc!$K$11)),"")</f>
        <v/>
      </c>
      <c r="I273" s="25" t="str">
        <f>IF(AND($A273&lt;=IF(Calc!$C$36=999,360,Calc!$C$36),Calc!$C$12=1),CHOOSE(Calc!$C$3,INDEX('Snowball Engine'!$AH275:$AV275,Calc!$I$12),INDEX('Avalanche Engine'!$AH275:$AV275,Calc!$J$12),INDEX('My Order Engine'!$AH275:$AV275,Calc!$K$12)),"")</f>
        <v/>
      </c>
      <c r="J273" s="25" t="str">
        <f>IF(AND($A273&lt;=IF(Calc!$C$36=999,360,Calc!$C$36),Calc!$C$13=1),CHOOSE(Calc!$C$3,INDEX('Snowball Engine'!$AH275:$AV275,Calc!$I$13),INDEX('Avalanche Engine'!$AH275:$AV275,Calc!$J$13),INDEX('My Order Engine'!$AH275:$AV275,Calc!$K$13)),"")</f>
        <v/>
      </c>
      <c r="K273" s="25" t="str">
        <f>IF(AND($A273&lt;=IF(Calc!$C$36=999,360,Calc!$C$36),Calc!$C$14=1),CHOOSE(Calc!$C$3,INDEX('Snowball Engine'!$AH275:$AV275,Calc!$I$14),INDEX('Avalanche Engine'!$AH275:$AV275,Calc!$J$14),INDEX('My Order Engine'!$AH275:$AV275,Calc!$K$14)),"")</f>
        <v/>
      </c>
      <c r="L273" s="25" t="str">
        <f>IF(AND($A273&lt;=IF(Calc!$C$36=999,360,Calc!$C$36),Calc!$C$15=1),CHOOSE(Calc!$C$3,INDEX('Snowball Engine'!$AH275:$AV275,Calc!$I$15),INDEX('Avalanche Engine'!$AH275:$AV275,Calc!$J$15),INDEX('My Order Engine'!$AH275:$AV275,Calc!$K$15)),"")</f>
        <v/>
      </c>
      <c r="M273" s="25" t="str">
        <f>IF(AND($A273&lt;=IF(Calc!$C$36=999,360,Calc!$C$36),Calc!$C$16=1),CHOOSE(Calc!$C$3,INDEX('Snowball Engine'!$AH275:$AV275,Calc!$I$16),INDEX('Avalanche Engine'!$AH275:$AV275,Calc!$J$16),INDEX('My Order Engine'!$AH275:$AV275,Calc!$K$16)),"")</f>
        <v/>
      </c>
      <c r="N273" s="25" t="str">
        <f>IF(AND($A273&lt;=IF(Calc!$C$36=999,360,Calc!$C$36),Calc!$C$17=1),CHOOSE(Calc!$C$3,INDEX('Snowball Engine'!$AH275:$AV275,Calc!$I$17),INDEX('Avalanche Engine'!$AH275:$AV275,Calc!$J$17),INDEX('My Order Engine'!$AH275:$AV275,Calc!$K$17)),"")</f>
        <v/>
      </c>
      <c r="O273" s="25" t="str">
        <f>IF(AND($A273&lt;=IF(Calc!$C$36=999,360,Calc!$C$36),Calc!$C$18=1),CHOOSE(Calc!$C$3,INDEX('Snowball Engine'!$AH275:$AV275,Calc!$I$18),INDEX('Avalanche Engine'!$AH275:$AV275,Calc!$J$18),INDEX('My Order Engine'!$AH275:$AV275,Calc!$K$18)),"")</f>
        <v/>
      </c>
      <c r="P273" s="25" t="str">
        <f>IF(AND($A273&lt;=IF(Calc!$C$36=999,360,Calc!$C$36),Calc!$C$19=1),CHOOSE(Calc!$C$3,INDEX('Snowball Engine'!$AH275:$AV275,Calc!$I$19),INDEX('Avalanche Engine'!$AH275:$AV275,Calc!$J$19),INDEX('My Order Engine'!$AH275:$AV275,Calc!$K$19)),"")</f>
        <v/>
      </c>
      <c r="Q273" s="25" t="str">
        <f>IF(AND($A273&lt;=IF(Calc!$C$36=999,360,Calc!$C$36),Calc!$C$20=1),CHOOSE(Calc!$C$3,INDEX('Snowball Engine'!$AH275:$AV275,Calc!$I$20),INDEX('Avalanche Engine'!$AH275:$AV275,Calc!$J$20),INDEX('My Order Engine'!$AH275:$AV275,Calc!$K$20)),"")</f>
        <v/>
      </c>
      <c r="R273" s="25" t="str">
        <f>IF(AND($A273&lt;=IF(Calc!$C$36=999,360,Calc!$C$36),Calc!$C$21=1),CHOOSE(Calc!$C$3,INDEX('Snowball Engine'!$AH275:$AV275,Calc!$I$21),INDEX('Avalanche Engine'!$AH275:$AV275,Calc!$J$21),INDEX('My Order Engine'!$AH275:$AV275,Calc!$K$21)),"")</f>
        <v/>
      </c>
      <c r="S273" s="25" t="str">
        <f>IF(AND($A273&lt;=IF(Calc!$C$36=999,360,Calc!$C$36),Calc!$C$22=1),CHOOSE(Calc!$C$3,INDEX('Snowball Engine'!$AH275:$AV275,Calc!$I$22),INDEX('Avalanche Engine'!$AH275:$AV275,Calc!$J$22),INDEX('My Order Engine'!$AH275:$AV275,Calc!$K$22)),"")</f>
        <v/>
      </c>
      <c r="T273" s="25" t="str">
        <f>IF(AND($A273&lt;=IF(Calc!$C$36=999,360,Calc!$C$36),Calc!$C$23=1),CHOOSE(Calc!$C$3,INDEX('Snowball Engine'!$AH275:$AV275,Calc!$I$23),INDEX('Avalanche Engine'!$AH275:$AV275,Calc!$J$23),INDEX('My Order Engine'!$AH275:$AV275,Calc!$K$23)),"")</f>
        <v/>
      </c>
      <c r="U273" s="25" t="str">
        <f>IF(AND($A273&lt;=IF(Calc!$C$36=999,360,Calc!$C$36),Calc!$C$24=1),CHOOSE(Calc!$C$3,INDEX('Snowball Engine'!$AH275:$AV275,Calc!$I$24),INDEX('Avalanche Engine'!$AH275:$AV275,Calc!$J$24),INDEX('My Order Engine'!$AH275:$AV275,Calc!$K$24)),"")</f>
        <v/>
      </c>
    </row>
    <row r="274" spans="1:21" x14ac:dyDescent="0.35">
      <c r="A274" s="23">
        <v>270</v>
      </c>
      <c r="B274" s="24" t="str">
        <f>IF($A274&lt;=IF(Calc!$C$36=999,360,Calc!$C$36),EDATE(Calc!$C$5,A274-1),"")</f>
        <v/>
      </c>
      <c r="C274" s="25" t="str">
        <f>IF($A274&lt;=IF(Calc!$C$36=999,360,Calc!$C$36),CHOOSE(Calc!$C$3,'Snowball Engine'!AY276,'Avalanche Engine'!AY276,'My Order Engine'!AY276),"")</f>
        <v/>
      </c>
      <c r="D274" s="25" t="str">
        <f>IF($A274&lt;=IF(Calc!$C$36=999,360,Calc!$C$36),CHOOSE(Calc!$C$3,'Snowball Engine'!AX276,'Avalanche Engine'!AX276,'My Order Engine'!AX276),"")</f>
        <v/>
      </c>
      <c r="E274" s="25" t="str">
        <f>IF($A274&lt;=IF(Calc!$C$36=999,360,Calc!$C$36),C274-D274,"")</f>
        <v/>
      </c>
      <c r="F274" s="25" t="str">
        <f>IF($A274&lt;=IF(Calc!$C$36=999,360,Calc!$C$36),CHOOSE(Calc!$C$3,'Snowball Engine'!AW276,'Avalanche Engine'!AW276,'My Order Engine'!AW276),"")</f>
        <v/>
      </c>
      <c r="G274" s="25" t="str">
        <f>IF(AND($A274&lt;=IF(Calc!$C$36=999,360,Calc!$C$36),Calc!$C$10=1),CHOOSE(Calc!$C$3,INDEX('Snowball Engine'!$AH276:$AV276,Calc!$I$10),INDEX('Avalanche Engine'!$AH276:$AV276,Calc!$J$10),INDEX('My Order Engine'!$AH276:$AV276,Calc!$K$10)),"")</f>
        <v/>
      </c>
      <c r="H274" s="25" t="str">
        <f>IF(AND($A274&lt;=IF(Calc!$C$36=999,360,Calc!$C$36),Calc!$C$11=1),CHOOSE(Calc!$C$3,INDEX('Snowball Engine'!$AH276:$AV276,Calc!$I$11),INDEX('Avalanche Engine'!$AH276:$AV276,Calc!$J$11),INDEX('My Order Engine'!$AH276:$AV276,Calc!$K$11)),"")</f>
        <v/>
      </c>
      <c r="I274" s="25" t="str">
        <f>IF(AND($A274&lt;=IF(Calc!$C$36=999,360,Calc!$C$36),Calc!$C$12=1),CHOOSE(Calc!$C$3,INDEX('Snowball Engine'!$AH276:$AV276,Calc!$I$12),INDEX('Avalanche Engine'!$AH276:$AV276,Calc!$J$12),INDEX('My Order Engine'!$AH276:$AV276,Calc!$K$12)),"")</f>
        <v/>
      </c>
      <c r="J274" s="25" t="str">
        <f>IF(AND($A274&lt;=IF(Calc!$C$36=999,360,Calc!$C$36),Calc!$C$13=1),CHOOSE(Calc!$C$3,INDEX('Snowball Engine'!$AH276:$AV276,Calc!$I$13),INDEX('Avalanche Engine'!$AH276:$AV276,Calc!$J$13),INDEX('My Order Engine'!$AH276:$AV276,Calc!$K$13)),"")</f>
        <v/>
      </c>
      <c r="K274" s="25" t="str">
        <f>IF(AND($A274&lt;=IF(Calc!$C$36=999,360,Calc!$C$36),Calc!$C$14=1),CHOOSE(Calc!$C$3,INDEX('Snowball Engine'!$AH276:$AV276,Calc!$I$14),INDEX('Avalanche Engine'!$AH276:$AV276,Calc!$J$14),INDEX('My Order Engine'!$AH276:$AV276,Calc!$K$14)),"")</f>
        <v/>
      </c>
      <c r="L274" s="25" t="str">
        <f>IF(AND($A274&lt;=IF(Calc!$C$36=999,360,Calc!$C$36),Calc!$C$15=1),CHOOSE(Calc!$C$3,INDEX('Snowball Engine'!$AH276:$AV276,Calc!$I$15),INDEX('Avalanche Engine'!$AH276:$AV276,Calc!$J$15),INDEX('My Order Engine'!$AH276:$AV276,Calc!$K$15)),"")</f>
        <v/>
      </c>
      <c r="M274" s="25" t="str">
        <f>IF(AND($A274&lt;=IF(Calc!$C$36=999,360,Calc!$C$36),Calc!$C$16=1),CHOOSE(Calc!$C$3,INDEX('Snowball Engine'!$AH276:$AV276,Calc!$I$16),INDEX('Avalanche Engine'!$AH276:$AV276,Calc!$J$16),INDEX('My Order Engine'!$AH276:$AV276,Calc!$K$16)),"")</f>
        <v/>
      </c>
      <c r="N274" s="25" t="str">
        <f>IF(AND($A274&lt;=IF(Calc!$C$36=999,360,Calc!$C$36),Calc!$C$17=1),CHOOSE(Calc!$C$3,INDEX('Snowball Engine'!$AH276:$AV276,Calc!$I$17),INDEX('Avalanche Engine'!$AH276:$AV276,Calc!$J$17),INDEX('My Order Engine'!$AH276:$AV276,Calc!$K$17)),"")</f>
        <v/>
      </c>
      <c r="O274" s="25" t="str">
        <f>IF(AND($A274&lt;=IF(Calc!$C$36=999,360,Calc!$C$36),Calc!$C$18=1),CHOOSE(Calc!$C$3,INDEX('Snowball Engine'!$AH276:$AV276,Calc!$I$18),INDEX('Avalanche Engine'!$AH276:$AV276,Calc!$J$18),INDEX('My Order Engine'!$AH276:$AV276,Calc!$K$18)),"")</f>
        <v/>
      </c>
      <c r="P274" s="25" t="str">
        <f>IF(AND($A274&lt;=IF(Calc!$C$36=999,360,Calc!$C$36),Calc!$C$19=1),CHOOSE(Calc!$C$3,INDEX('Snowball Engine'!$AH276:$AV276,Calc!$I$19),INDEX('Avalanche Engine'!$AH276:$AV276,Calc!$J$19),INDEX('My Order Engine'!$AH276:$AV276,Calc!$K$19)),"")</f>
        <v/>
      </c>
      <c r="Q274" s="25" t="str">
        <f>IF(AND($A274&lt;=IF(Calc!$C$36=999,360,Calc!$C$36),Calc!$C$20=1),CHOOSE(Calc!$C$3,INDEX('Snowball Engine'!$AH276:$AV276,Calc!$I$20),INDEX('Avalanche Engine'!$AH276:$AV276,Calc!$J$20),INDEX('My Order Engine'!$AH276:$AV276,Calc!$K$20)),"")</f>
        <v/>
      </c>
      <c r="R274" s="25" t="str">
        <f>IF(AND($A274&lt;=IF(Calc!$C$36=999,360,Calc!$C$36),Calc!$C$21=1),CHOOSE(Calc!$C$3,INDEX('Snowball Engine'!$AH276:$AV276,Calc!$I$21),INDEX('Avalanche Engine'!$AH276:$AV276,Calc!$J$21),INDEX('My Order Engine'!$AH276:$AV276,Calc!$K$21)),"")</f>
        <v/>
      </c>
      <c r="S274" s="25" t="str">
        <f>IF(AND($A274&lt;=IF(Calc!$C$36=999,360,Calc!$C$36),Calc!$C$22=1),CHOOSE(Calc!$C$3,INDEX('Snowball Engine'!$AH276:$AV276,Calc!$I$22),INDEX('Avalanche Engine'!$AH276:$AV276,Calc!$J$22),INDEX('My Order Engine'!$AH276:$AV276,Calc!$K$22)),"")</f>
        <v/>
      </c>
      <c r="T274" s="25" t="str">
        <f>IF(AND($A274&lt;=IF(Calc!$C$36=999,360,Calc!$C$36),Calc!$C$23=1),CHOOSE(Calc!$C$3,INDEX('Snowball Engine'!$AH276:$AV276,Calc!$I$23),INDEX('Avalanche Engine'!$AH276:$AV276,Calc!$J$23),INDEX('My Order Engine'!$AH276:$AV276,Calc!$K$23)),"")</f>
        <v/>
      </c>
      <c r="U274" s="25" t="str">
        <f>IF(AND($A274&lt;=IF(Calc!$C$36=999,360,Calc!$C$36),Calc!$C$24=1),CHOOSE(Calc!$C$3,INDEX('Snowball Engine'!$AH276:$AV276,Calc!$I$24),INDEX('Avalanche Engine'!$AH276:$AV276,Calc!$J$24),INDEX('My Order Engine'!$AH276:$AV276,Calc!$K$24)),"")</f>
        <v/>
      </c>
    </row>
    <row r="275" spans="1:21" x14ac:dyDescent="0.35">
      <c r="A275" s="23">
        <v>271</v>
      </c>
      <c r="B275" s="24" t="str">
        <f>IF($A275&lt;=IF(Calc!$C$36=999,360,Calc!$C$36),EDATE(Calc!$C$5,A275-1),"")</f>
        <v/>
      </c>
      <c r="C275" s="25" t="str">
        <f>IF($A275&lt;=IF(Calc!$C$36=999,360,Calc!$C$36),CHOOSE(Calc!$C$3,'Snowball Engine'!AY277,'Avalanche Engine'!AY277,'My Order Engine'!AY277),"")</f>
        <v/>
      </c>
      <c r="D275" s="25" t="str">
        <f>IF($A275&lt;=IF(Calc!$C$36=999,360,Calc!$C$36),CHOOSE(Calc!$C$3,'Snowball Engine'!AX277,'Avalanche Engine'!AX277,'My Order Engine'!AX277),"")</f>
        <v/>
      </c>
      <c r="E275" s="25" t="str">
        <f>IF($A275&lt;=IF(Calc!$C$36=999,360,Calc!$C$36),C275-D275,"")</f>
        <v/>
      </c>
      <c r="F275" s="25" t="str">
        <f>IF($A275&lt;=IF(Calc!$C$36=999,360,Calc!$C$36),CHOOSE(Calc!$C$3,'Snowball Engine'!AW277,'Avalanche Engine'!AW277,'My Order Engine'!AW277),"")</f>
        <v/>
      </c>
      <c r="G275" s="25" t="str">
        <f>IF(AND($A275&lt;=IF(Calc!$C$36=999,360,Calc!$C$36),Calc!$C$10=1),CHOOSE(Calc!$C$3,INDEX('Snowball Engine'!$AH277:$AV277,Calc!$I$10),INDEX('Avalanche Engine'!$AH277:$AV277,Calc!$J$10),INDEX('My Order Engine'!$AH277:$AV277,Calc!$K$10)),"")</f>
        <v/>
      </c>
      <c r="H275" s="25" t="str">
        <f>IF(AND($A275&lt;=IF(Calc!$C$36=999,360,Calc!$C$36),Calc!$C$11=1),CHOOSE(Calc!$C$3,INDEX('Snowball Engine'!$AH277:$AV277,Calc!$I$11),INDEX('Avalanche Engine'!$AH277:$AV277,Calc!$J$11),INDEX('My Order Engine'!$AH277:$AV277,Calc!$K$11)),"")</f>
        <v/>
      </c>
      <c r="I275" s="25" t="str">
        <f>IF(AND($A275&lt;=IF(Calc!$C$36=999,360,Calc!$C$36),Calc!$C$12=1),CHOOSE(Calc!$C$3,INDEX('Snowball Engine'!$AH277:$AV277,Calc!$I$12),INDEX('Avalanche Engine'!$AH277:$AV277,Calc!$J$12),INDEX('My Order Engine'!$AH277:$AV277,Calc!$K$12)),"")</f>
        <v/>
      </c>
      <c r="J275" s="25" t="str">
        <f>IF(AND($A275&lt;=IF(Calc!$C$36=999,360,Calc!$C$36),Calc!$C$13=1),CHOOSE(Calc!$C$3,INDEX('Snowball Engine'!$AH277:$AV277,Calc!$I$13),INDEX('Avalanche Engine'!$AH277:$AV277,Calc!$J$13),INDEX('My Order Engine'!$AH277:$AV277,Calc!$K$13)),"")</f>
        <v/>
      </c>
      <c r="K275" s="25" t="str">
        <f>IF(AND($A275&lt;=IF(Calc!$C$36=999,360,Calc!$C$36),Calc!$C$14=1),CHOOSE(Calc!$C$3,INDEX('Snowball Engine'!$AH277:$AV277,Calc!$I$14),INDEX('Avalanche Engine'!$AH277:$AV277,Calc!$J$14),INDEX('My Order Engine'!$AH277:$AV277,Calc!$K$14)),"")</f>
        <v/>
      </c>
      <c r="L275" s="25" t="str">
        <f>IF(AND($A275&lt;=IF(Calc!$C$36=999,360,Calc!$C$36),Calc!$C$15=1),CHOOSE(Calc!$C$3,INDEX('Snowball Engine'!$AH277:$AV277,Calc!$I$15),INDEX('Avalanche Engine'!$AH277:$AV277,Calc!$J$15),INDEX('My Order Engine'!$AH277:$AV277,Calc!$K$15)),"")</f>
        <v/>
      </c>
      <c r="M275" s="25" t="str">
        <f>IF(AND($A275&lt;=IF(Calc!$C$36=999,360,Calc!$C$36),Calc!$C$16=1),CHOOSE(Calc!$C$3,INDEX('Snowball Engine'!$AH277:$AV277,Calc!$I$16),INDEX('Avalanche Engine'!$AH277:$AV277,Calc!$J$16),INDEX('My Order Engine'!$AH277:$AV277,Calc!$K$16)),"")</f>
        <v/>
      </c>
      <c r="N275" s="25" t="str">
        <f>IF(AND($A275&lt;=IF(Calc!$C$36=999,360,Calc!$C$36),Calc!$C$17=1),CHOOSE(Calc!$C$3,INDEX('Snowball Engine'!$AH277:$AV277,Calc!$I$17),INDEX('Avalanche Engine'!$AH277:$AV277,Calc!$J$17),INDEX('My Order Engine'!$AH277:$AV277,Calc!$K$17)),"")</f>
        <v/>
      </c>
      <c r="O275" s="25" t="str">
        <f>IF(AND($A275&lt;=IF(Calc!$C$36=999,360,Calc!$C$36),Calc!$C$18=1),CHOOSE(Calc!$C$3,INDEX('Snowball Engine'!$AH277:$AV277,Calc!$I$18),INDEX('Avalanche Engine'!$AH277:$AV277,Calc!$J$18),INDEX('My Order Engine'!$AH277:$AV277,Calc!$K$18)),"")</f>
        <v/>
      </c>
      <c r="P275" s="25" t="str">
        <f>IF(AND($A275&lt;=IF(Calc!$C$36=999,360,Calc!$C$36),Calc!$C$19=1),CHOOSE(Calc!$C$3,INDEX('Snowball Engine'!$AH277:$AV277,Calc!$I$19),INDEX('Avalanche Engine'!$AH277:$AV277,Calc!$J$19),INDEX('My Order Engine'!$AH277:$AV277,Calc!$K$19)),"")</f>
        <v/>
      </c>
      <c r="Q275" s="25" t="str">
        <f>IF(AND($A275&lt;=IF(Calc!$C$36=999,360,Calc!$C$36),Calc!$C$20=1),CHOOSE(Calc!$C$3,INDEX('Snowball Engine'!$AH277:$AV277,Calc!$I$20),INDEX('Avalanche Engine'!$AH277:$AV277,Calc!$J$20),INDEX('My Order Engine'!$AH277:$AV277,Calc!$K$20)),"")</f>
        <v/>
      </c>
      <c r="R275" s="25" t="str">
        <f>IF(AND($A275&lt;=IF(Calc!$C$36=999,360,Calc!$C$36),Calc!$C$21=1),CHOOSE(Calc!$C$3,INDEX('Snowball Engine'!$AH277:$AV277,Calc!$I$21),INDEX('Avalanche Engine'!$AH277:$AV277,Calc!$J$21),INDEX('My Order Engine'!$AH277:$AV277,Calc!$K$21)),"")</f>
        <v/>
      </c>
      <c r="S275" s="25" t="str">
        <f>IF(AND($A275&lt;=IF(Calc!$C$36=999,360,Calc!$C$36),Calc!$C$22=1),CHOOSE(Calc!$C$3,INDEX('Snowball Engine'!$AH277:$AV277,Calc!$I$22),INDEX('Avalanche Engine'!$AH277:$AV277,Calc!$J$22),INDEX('My Order Engine'!$AH277:$AV277,Calc!$K$22)),"")</f>
        <v/>
      </c>
      <c r="T275" s="25" t="str">
        <f>IF(AND($A275&lt;=IF(Calc!$C$36=999,360,Calc!$C$36),Calc!$C$23=1),CHOOSE(Calc!$C$3,INDEX('Snowball Engine'!$AH277:$AV277,Calc!$I$23),INDEX('Avalanche Engine'!$AH277:$AV277,Calc!$J$23),INDEX('My Order Engine'!$AH277:$AV277,Calc!$K$23)),"")</f>
        <v/>
      </c>
      <c r="U275" s="25" t="str">
        <f>IF(AND($A275&lt;=IF(Calc!$C$36=999,360,Calc!$C$36),Calc!$C$24=1),CHOOSE(Calc!$C$3,INDEX('Snowball Engine'!$AH277:$AV277,Calc!$I$24),INDEX('Avalanche Engine'!$AH277:$AV277,Calc!$J$24),INDEX('My Order Engine'!$AH277:$AV277,Calc!$K$24)),"")</f>
        <v/>
      </c>
    </row>
    <row r="276" spans="1:21" x14ac:dyDescent="0.35">
      <c r="A276" s="23">
        <v>272</v>
      </c>
      <c r="B276" s="24" t="str">
        <f>IF($A276&lt;=IF(Calc!$C$36=999,360,Calc!$C$36),EDATE(Calc!$C$5,A276-1),"")</f>
        <v/>
      </c>
      <c r="C276" s="25" t="str">
        <f>IF($A276&lt;=IF(Calc!$C$36=999,360,Calc!$C$36),CHOOSE(Calc!$C$3,'Snowball Engine'!AY278,'Avalanche Engine'!AY278,'My Order Engine'!AY278),"")</f>
        <v/>
      </c>
      <c r="D276" s="25" t="str">
        <f>IF($A276&lt;=IF(Calc!$C$36=999,360,Calc!$C$36),CHOOSE(Calc!$C$3,'Snowball Engine'!AX278,'Avalanche Engine'!AX278,'My Order Engine'!AX278),"")</f>
        <v/>
      </c>
      <c r="E276" s="25" t="str">
        <f>IF($A276&lt;=IF(Calc!$C$36=999,360,Calc!$C$36),C276-D276,"")</f>
        <v/>
      </c>
      <c r="F276" s="25" t="str">
        <f>IF($A276&lt;=IF(Calc!$C$36=999,360,Calc!$C$36),CHOOSE(Calc!$C$3,'Snowball Engine'!AW278,'Avalanche Engine'!AW278,'My Order Engine'!AW278),"")</f>
        <v/>
      </c>
      <c r="G276" s="25" t="str">
        <f>IF(AND($A276&lt;=IF(Calc!$C$36=999,360,Calc!$C$36),Calc!$C$10=1),CHOOSE(Calc!$C$3,INDEX('Snowball Engine'!$AH278:$AV278,Calc!$I$10),INDEX('Avalanche Engine'!$AH278:$AV278,Calc!$J$10),INDEX('My Order Engine'!$AH278:$AV278,Calc!$K$10)),"")</f>
        <v/>
      </c>
      <c r="H276" s="25" t="str">
        <f>IF(AND($A276&lt;=IF(Calc!$C$36=999,360,Calc!$C$36),Calc!$C$11=1),CHOOSE(Calc!$C$3,INDEX('Snowball Engine'!$AH278:$AV278,Calc!$I$11),INDEX('Avalanche Engine'!$AH278:$AV278,Calc!$J$11),INDEX('My Order Engine'!$AH278:$AV278,Calc!$K$11)),"")</f>
        <v/>
      </c>
      <c r="I276" s="25" t="str">
        <f>IF(AND($A276&lt;=IF(Calc!$C$36=999,360,Calc!$C$36),Calc!$C$12=1),CHOOSE(Calc!$C$3,INDEX('Snowball Engine'!$AH278:$AV278,Calc!$I$12),INDEX('Avalanche Engine'!$AH278:$AV278,Calc!$J$12),INDEX('My Order Engine'!$AH278:$AV278,Calc!$K$12)),"")</f>
        <v/>
      </c>
      <c r="J276" s="25" t="str">
        <f>IF(AND($A276&lt;=IF(Calc!$C$36=999,360,Calc!$C$36),Calc!$C$13=1),CHOOSE(Calc!$C$3,INDEX('Snowball Engine'!$AH278:$AV278,Calc!$I$13),INDEX('Avalanche Engine'!$AH278:$AV278,Calc!$J$13),INDEX('My Order Engine'!$AH278:$AV278,Calc!$K$13)),"")</f>
        <v/>
      </c>
      <c r="K276" s="25" t="str">
        <f>IF(AND($A276&lt;=IF(Calc!$C$36=999,360,Calc!$C$36),Calc!$C$14=1),CHOOSE(Calc!$C$3,INDEX('Snowball Engine'!$AH278:$AV278,Calc!$I$14),INDEX('Avalanche Engine'!$AH278:$AV278,Calc!$J$14),INDEX('My Order Engine'!$AH278:$AV278,Calc!$K$14)),"")</f>
        <v/>
      </c>
      <c r="L276" s="25" t="str">
        <f>IF(AND($A276&lt;=IF(Calc!$C$36=999,360,Calc!$C$36),Calc!$C$15=1),CHOOSE(Calc!$C$3,INDEX('Snowball Engine'!$AH278:$AV278,Calc!$I$15),INDEX('Avalanche Engine'!$AH278:$AV278,Calc!$J$15),INDEX('My Order Engine'!$AH278:$AV278,Calc!$K$15)),"")</f>
        <v/>
      </c>
      <c r="M276" s="25" t="str">
        <f>IF(AND($A276&lt;=IF(Calc!$C$36=999,360,Calc!$C$36),Calc!$C$16=1),CHOOSE(Calc!$C$3,INDEX('Snowball Engine'!$AH278:$AV278,Calc!$I$16),INDEX('Avalanche Engine'!$AH278:$AV278,Calc!$J$16),INDEX('My Order Engine'!$AH278:$AV278,Calc!$K$16)),"")</f>
        <v/>
      </c>
      <c r="N276" s="25" t="str">
        <f>IF(AND($A276&lt;=IF(Calc!$C$36=999,360,Calc!$C$36),Calc!$C$17=1),CHOOSE(Calc!$C$3,INDEX('Snowball Engine'!$AH278:$AV278,Calc!$I$17),INDEX('Avalanche Engine'!$AH278:$AV278,Calc!$J$17),INDEX('My Order Engine'!$AH278:$AV278,Calc!$K$17)),"")</f>
        <v/>
      </c>
      <c r="O276" s="25" t="str">
        <f>IF(AND($A276&lt;=IF(Calc!$C$36=999,360,Calc!$C$36),Calc!$C$18=1),CHOOSE(Calc!$C$3,INDEX('Snowball Engine'!$AH278:$AV278,Calc!$I$18),INDEX('Avalanche Engine'!$AH278:$AV278,Calc!$J$18),INDEX('My Order Engine'!$AH278:$AV278,Calc!$K$18)),"")</f>
        <v/>
      </c>
      <c r="P276" s="25" t="str">
        <f>IF(AND($A276&lt;=IF(Calc!$C$36=999,360,Calc!$C$36),Calc!$C$19=1),CHOOSE(Calc!$C$3,INDEX('Snowball Engine'!$AH278:$AV278,Calc!$I$19),INDEX('Avalanche Engine'!$AH278:$AV278,Calc!$J$19),INDEX('My Order Engine'!$AH278:$AV278,Calc!$K$19)),"")</f>
        <v/>
      </c>
      <c r="Q276" s="25" t="str">
        <f>IF(AND($A276&lt;=IF(Calc!$C$36=999,360,Calc!$C$36),Calc!$C$20=1),CHOOSE(Calc!$C$3,INDEX('Snowball Engine'!$AH278:$AV278,Calc!$I$20),INDEX('Avalanche Engine'!$AH278:$AV278,Calc!$J$20),INDEX('My Order Engine'!$AH278:$AV278,Calc!$K$20)),"")</f>
        <v/>
      </c>
      <c r="R276" s="25" t="str">
        <f>IF(AND($A276&lt;=IF(Calc!$C$36=999,360,Calc!$C$36),Calc!$C$21=1),CHOOSE(Calc!$C$3,INDEX('Snowball Engine'!$AH278:$AV278,Calc!$I$21),INDEX('Avalanche Engine'!$AH278:$AV278,Calc!$J$21),INDEX('My Order Engine'!$AH278:$AV278,Calc!$K$21)),"")</f>
        <v/>
      </c>
      <c r="S276" s="25" t="str">
        <f>IF(AND($A276&lt;=IF(Calc!$C$36=999,360,Calc!$C$36),Calc!$C$22=1),CHOOSE(Calc!$C$3,INDEX('Snowball Engine'!$AH278:$AV278,Calc!$I$22),INDEX('Avalanche Engine'!$AH278:$AV278,Calc!$J$22),INDEX('My Order Engine'!$AH278:$AV278,Calc!$K$22)),"")</f>
        <v/>
      </c>
      <c r="T276" s="25" t="str">
        <f>IF(AND($A276&lt;=IF(Calc!$C$36=999,360,Calc!$C$36),Calc!$C$23=1),CHOOSE(Calc!$C$3,INDEX('Snowball Engine'!$AH278:$AV278,Calc!$I$23),INDEX('Avalanche Engine'!$AH278:$AV278,Calc!$J$23),INDEX('My Order Engine'!$AH278:$AV278,Calc!$K$23)),"")</f>
        <v/>
      </c>
      <c r="U276" s="25" t="str">
        <f>IF(AND($A276&lt;=IF(Calc!$C$36=999,360,Calc!$C$36),Calc!$C$24=1),CHOOSE(Calc!$C$3,INDEX('Snowball Engine'!$AH278:$AV278,Calc!$I$24),INDEX('Avalanche Engine'!$AH278:$AV278,Calc!$J$24),INDEX('My Order Engine'!$AH278:$AV278,Calc!$K$24)),"")</f>
        <v/>
      </c>
    </row>
    <row r="277" spans="1:21" x14ac:dyDescent="0.35">
      <c r="A277" s="23">
        <v>273</v>
      </c>
      <c r="B277" s="24" t="str">
        <f>IF($A277&lt;=IF(Calc!$C$36=999,360,Calc!$C$36),EDATE(Calc!$C$5,A277-1),"")</f>
        <v/>
      </c>
      <c r="C277" s="25" t="str">
        <f>IF($A277&lt;=IF(Calc!$C$36=999,360,Calc!$C$36),CHOOSE(Calc!$C$3,'Snowball Engine'!AY279,'Avalanche Engine'!AY279,'My Order Engine'!AY279),"")</f>
        <v/>
      </c>
      <c r="D277" s="25" t="str">
        <f>IF($A277&lt;=IF(Calc!$C$36=999,360,Calc!$C$36),CHOOSE(Calc!$C$3,'Snowball Engine'!AX279,'Avalanche Engine'!AX279,'My Order Engine'!AX279),"")</f>
        <v/>
      </c>
      <c r="E277" s="25" t="str">
        <f>IF($A277&lt;=IF(Calc!$C$36=999,360,Calc!$C$36),C277-D277,"")</f>
        <v/>
      </c>
      <c r="F277" s="25" t="str">
        <f>IF($A277&lt;=IF(Calc!$C$36=999,360,Calc!$C$36),CHOOSE(Calc!$C$3,'Snowball Engine'!AW279,'Avalanche Engine'!AW279,'My Order Engine'!AW279),"")</f>
        <v/>
      </c>
      <c r="G277" s="25" t="str">
        <f>IF(AND($A277&lt;=IF(Calc!$C$36=999,360,Calc!$C$36),Calc!$C$10=1),CHOOSE(Calc!$C$3,INDEX('Snowball Engine'!$AH279:$AV279,Calc!$I$10),INDEX('Avalanche Engine'!$AH279:$AV279,Calc!$J$10),INDEX('My Order Engine'!$AH279:$AV279,Calc!$K$10)),"")</f>
        <v/>
      </c>
      <c r="H277" s="25" t="str">
        <f>IF(AND($A277&lt;=IF(Calc!$C$36=999,360,Calc!$C$36),Calc!$C$11=1),CHOOSE(Calc!$C$3,INDEX('Snowball Engine'!$AH279:$AV279,Calc!$I$11),INDEX('Avalanche Engine'!$AH279:$AV279,Calc!$J$11),INDEX('My Order Engine'!$AH279:$AV279,Calc!$K$11)),"")</f>
        <v/>
      </c>
      <c r="I277" s="25" t="str">
        <f>IF(AND($A277&lt;=IF(Calc!$C$36=999,360,Calc!$C$36),Calc!$C$12=1),CHOOSE(Calc!$C$3,INDEX('Snowball Engine'!$AH279:$AV279,Calc!$I$12),INDEX('Avalanche Engine'!$AH279:$AV279,Calc!$J$12),INDEX('My Order Engine'!$AH279:$AV279,Calc!$K$12)),"")</f>
        <v/>
      </c>
      <c r="J277" s="25" t="str">
        <f>IF(AND($A277&lt;=IF(Calc!$C$36=999,360,Calc!$C$36),Calc!$C$13=1),CHOOSE(Calc!$C$3,INDEX('Snowball Engine'!$AH279:$AV279,Calc!$I$13),INDEX('Avalanche Engine'!$AH279:$AV279,Calc!$J$13),INDEX('My Order Engine'!$AH279:$AV279,Calc!$K$13)),"")</f>
        <v/>
      </c>
      <c r="K277" s="25" t="str">
        <f>IF(AND($A277&lt;=IF(Calc!$C$36=999,360,Calc!$C$36),Calc!$C$14=1),CHOOSE(Calc!$C$3,INDEX('Snowball Engine'!$AH279:$AV279,Calc!$I$14),INDEX('Avalanche Engine'!$AH279:$AV279,Calc!$J$14),INDEX('My Order Engine'!$AH279:$AV279,Calc!$K$14)),"")</f>
        <v/>
      </c>
      <c r="L277" s="25" t="str">
        <f>IF(AND($A277&lt;=IF(Calc!$C$36=999,360,Calc!$C$36),Calc!$C$15=1),CHOOSE(Calc!$C$3,INDEX('Snowball Engine'!$AH279:$AV279,Calc!$I$15),INDEX('Avalanche Engine'!$AH279:$AV279,Calc!$J$15),INDEX('My Order Engine'!$AH279:$AV279,Calc!$K$15)),"")</f>
        <v/>
      </c>
      <c r="M277" s="25" t="str">
        <f>IF(AND($A277&lt;=IF(Calc!$C$36=999,360,Calc!$C$36),Calc!$C$16=1),CHOOSE(Calc!$C$3,INDEX('Snowball Engine'!$AH279:$AV279,Calc!$I$16),INDEX('Avalanche Engine'!$AH279:$AV279,Calc!$J$16),INDEX('My Order Engine'!$AH279:$AV279,Calc!$K$16)),"")</f>
        <v/>
      </c>
      <c r="N277" s="25" t="str">
        <f>IF(AND($A277&lt;=IF(Calc!$C$36=999,360,Calc!$C$36),Calc!$C$17=1),CHOOSE(Calc!$C$3,INDEX('Snowball Engine'!$AH279:$AV279,Calc!$I$17),INDEX('Avalanche Engine'!$AH279:$AV279,Calc!$J$17),INDEX('My Order Engine'!$AH279:$AV279,Calc!$K$17)),"")</f>
        <v/>
      </c>
      <c r="O277" s="25" t="str">
        <f>IF(AND($A277&lt;=IF(Calc!$C$36=999,360,Calc!$C$36),Calc!$C$18=1),CHOOSE(Calc!$C$3,INDEX('Snowball Engine'!$AH279:$AV279,Calc!$I$18),INDEX('Avalanche Engine'!$AH279:$AV279,Calc!$J$18),INDEX('My Order Engine'!$AH279:$AV279,Calc!$K$18)),"")</f>
        <v/>
      </c>
      <c r="P277" s="25" t="str">
        <f>IF(AND($A277&lt;=IF(Calc!$C$36=999,360,Calc!$C$36),Calc!$C$19=1),CHOOSE(Calc!$C$3,INDEX('Snowball Engine'!$AH279:$AV279,Calc!$I$19),INDEX('Avalanche Engine'!$AH279:$AV279,Calc!$J$19),INDEX('My Order Engine'!$AH279:$AV279,Calc!$K$19)),"")</f>
        <v/>
      </c>
      <c r="Q277" s="25" t="str">
        <f>IF(AND($A277&lt;=IF(Calc!$C$36=999,360,Calc!$C$36),Calc!$C$20=1),CHOOSE(Calc!$C$3,INDEX('Snowball Engine'!$AH279:$AV279,Calc!$I$20),INDEX('Avalanche Engine'!$AH279:$AV279,Calc!$J$20),INDEX('My Order Engine'!$AH279:$AV279,Calc!$K$20)),"")</f>
        <v/>
      </c>
      <c r="R277" s="25" t="str">
        <f>IF(AND($A277&lt;=IF(Calc!$C$36=999,360,Calc!$C$36),Calc!$C$21=1),CHOOSE(Calc!$C$3,INDEX('Snowball Engine'!$AH279:$AV279,Calc!$I$21),INDEX('Avalanche Engine'!$AH279:$AV279,Calc!$J$21),INDEX('My Order Engine'!$AH279:$AV279,Calc!$K$21)),"")</f>
        <v/>
      </c>
      <c r="S277" s="25" t="str">
        <f>IF(AND($A277&lt;=IF(Calc!$C$36=999,360,Calc!$C$36),Calc!$C$22=1),CHOOSE(Calc!$C$3,INDEX('Snowball Engine'!$AH279:$AV279,Calc!$I$22),INDEX('Avalanche Engine'!$AH279:$AV279,Calc!$J$22),INDEX('My Order Engine'!$AH279:$AV279,Calc!$K$22)),"")</f>
        <v/>
      </c>
      <c r="T277" s="25" t="str">
        <f>IF(AND($A277&lt;=IF(Calc!$C$36=999,360,Calc!$C$36),Calc!$C$23=1),CHOOSE(Calc!$C$3,INDEX('Snowball Engine'!$AH279:$AV279,Calc!$I$23),INDEX('Avalanche Engine'!$AH279:$AV279,Calc!$J$23),INDEX('My Order Engine'!$AH279:$AV279,Calc!$K$23)),"")</f>
        <v/>
      </c>
      <c r="U277" s="25" t="str">
        <f>IF(AND($A277&lt;=IF(Calc!$C$36=999,360,Calc!$C$36),Calc!$C$24=1),CHOOSE(Calc!$C$3,INDEX('Snowball Engine'!$AH279:$AV279,Calc!$I$24),INDEX('Avalanche Engine'!$AH279:$AV279,Calc!$J$24),INDEX('My Order Engine'!$AH279:$AV279,Calc!$K$24)),"")</f>
        <v/>
      </c>
    </row>
    <row r="278" spans="1:21" x14ac:dyDescent="0.35">
      <c r="A278" s="23">
        <v>274</v>
      </c>
      <c r="B278" s="24" t="str">
        <f>IF($A278&lt;=IF(Calc!$C$36=999,360,Calc!$C$36),EDATE(Calc!$C$5,A278-1),"")</f>
        <v/>
      </c>
      <c r="C278" s="25" t="str">
        <f>IF($A278&lt;=IF(Calc!$C$36=999,360,Calc!$C$36),CHOOSE(Calc!$C$3,'Snowball Engine'!AY280,'Avalanche Engine'!AY280,'My Order Engine'!AY280),"")</f>
        <v/>
      </c>
      <c r="D278" s="25" t="str">
        <f>IF($A278&lt;=IF(Calc!$C$36=999,360,Calc!$C$36),CHOOSE(Calc!$C$3,'Snowball Engine'!AX280,'Avalanche Engine'!AX280,'My Order Engine'!AX280),"")</f>
        <v/>
      </c>
      <c r="E278" s="25" t="str">
        <f>IF($A278&lt;=IF(Calc!$C$36=999,360,Calc!$C$36),C278-D278,"")</f>
        <v/>
      </c>
      <c r="F278" s="25" t="str">
        <f>IF($A278&lt;=IF(Calc!$C$36=999,360,Calc!$C$36),CHOOSE(Calc!$C$3,'Snowball Engine'!AW280,'Avalanche Engine'!AW280,'My Order Engine'!AW280),"")</f>
        <v/>
      </c>
      <c r="G278" s="25" t="str">
        <f>IF(AND($A278&lt;=IF(Calc!$C$36=999,360,Calc!$C$36),Calc!$C$10=1),CHOOSE(Calc!$C$3,INDEX('Snowball Engine'!$AH280:$AV280,Calc!$I$10),INDEX('Avalanche Engine'!$AH280:$AV280,Calc!$J$10),INDEX('My Order Engine'!$AH280:$AV280,Calc!$K$10)),"")</f>
        <v/>
      </c>
      <c r="H278" s="25" t="str">
        <f>IF(AND($A278&lt;=IF(Calc!$C$36=999,360,Calc!$C$36),Calc!$C$11=1),CHOOSE(Calc!$C$3,INDEX('Snowball Engine'!$AH280:$AV280,Calc!$I$11),INDEX('Avalanche Engine'!$AH280:$AV280,Calc!$J$11),INDEX('My Order Engine'!$AH280:$AV280,Calc!$K$11)),"")</f>
        <v/>
      </c>
      <c r="I278" s="25" t="str">
        <f>IF(AND($A278&lt;=IF(Calc!$C$36=999,360,Calc!$C$36),Calc!$C$12=1),CHOOSE(Calc!$C$3,INDEX('Snowball Engine'!$AH280:$AV280,Calc!$I$12),INDEX('Avalanche Engine'!$AH280:$AV280,Calc!$J$12),INDEX('My Order Engine'!$AH280:$AV280,Calc!$K$12)),"")</f>
        <v/>
      </c>
      <c r="J278" s="25" t="str">
        <f>IF(AND($A278&lt;=IF(Calc!$C$36=999,360,Calc!$C$36),Calc!$C$13=1),CHOOSE(Calc!$C$3,INDEX('Snowball Engine'!$AH280:$AV280,Calc!$I$13),INDEX('Avalanche Engine'!$AH280:$AV280,Calc!$J$13),INDEX('My Order Engine'!$AH280:$AV280,Calc!$K$13)),"")</f>
        <v/>
      </c>
      <c r="K278" s="25" t="str">
        <f>IF(AND($A278&lt;=IF(Calc!$C$36=999,360,Calc!$C$36),Calc!$C$14=1),CHOOSE(Calc!$C$3,INDEX('Snowball Engine'!$AH280:$AV280,Calc!$I$14),INDEX('Avalanche Engine'!$AH280:$AV280,Calc!$J$14),INDEX('My Order Engine'!$AH280:$AV280,Calc!$K$14)),"")</f>
        <v/>
      </c>
      <c r="L278" s="25" t="str">
        <f>IF(AND($A278&lt;=IF(Calc!$C$36=999,360,Calc!$C$36),Calc!$C$15=1),CHOOSE(Calc!$C$3,INDEX('Snowball Engine'!$AH280:$AV280,Calc!$I$15),INDEX('Avalanche Engine'!$AH280:$AV280,Calc!$J$15),INDEX('My Order Engine'!$AH280:$AV280,Calc!$K$15)),"")</f>
        <v/>
      </c>
      <c r="M278" s="25" t="str">
        <f>IF(AND($A278&lt;=IF(Calc!$C$36=999,360,Calc!$C$36),Calc!$C$16=1),CHOOSE(Calc!$C$3,INDEX('Snowball Engine'!$AH280:$AV280,Calc!$I$16),INDEX('Avalanche Engine'!$AH280:$AV280,Calc!$J$16),INDEX('My Order Engine'!$AH280:$AV280,Calc!$K$16)),"")</f>
        <v/>
      </c>
      <c r="N278" s="25" t="str">
        <f>IF(AND($A278&lt;=IF(Calc!$C$36=999,360,Calc!$C$36),Calc!$C$17=1),CHOOSE(Calc!$C$3,INDEX('Snowball Engine'!$AH280:$AV280,Calc!$I$17),INDEX('Avalanche Engine'!$AH280:$AV280,Calc!$J$17),INDEX('My Order Engine'!$AH280:$AV280,Calc!$K$17)),"")</f>
        <v/>
      </c>
      <c r="O278" s="25" t="str">
        <f>IF(AND($A278&lt;=IF(Calc!$C$36=999,360,Calc!$C$36),Calc!$C$18=1),CHOOSE(Calc!$C$3,INDEX('Snowball Engine'!$AH280:$AV280,Calc!$I$18),INDEX('Avalanche Engine'!$AH280:$AV280,Calc!$J$18),INDEX('My Order Engine'!$AH280:$AV280,Calc!$K$18)),"")</f>
        <v/>
      </c>
      <c r="P278" s="25" t="str">
        <f>IF(AND($A278&lt;=IF(Calc!$C$36=999,360,Calc!$C$36),Calc!$C$19=1),CHOOSE(Calc!$C$3,INDEX('Snowball Engine'!$AH280:$AV280,Calc!$I$19),INDEX('Avalanche Engine'!$AH280:$AV280,Calc!$J$19),INDEX('My Order Engine'!$AH280:$AV280,Calc!$K$19)),"")</f>
        <v/>
      </c>
      <c r="Q278" s="25" t="str">
        <f>IF(AND($A278&lt;=IF(Calc!$C$36=999,360,Calc!$C$36),Calc!$C$20=1),CHOOSE(Calc!$C$3,INDEX('Snowball Engine'!$AH280:$AV280,Calc!$I$20),INDEX('Avalanche Engine'!$AH280:$AV280,Calc!$J$20),INDEX('My Order Engine'!$AH280:$AV280,Calc!$K$20)),"")</f>
        <v/>
      </c>
      <c r="R278" s="25" t="str">
        <f>IF(AND($A278&lt;=IF(Calc!$C$36=999,360,Calc!$C$36),Calc!$C$21=1),CHOOSE(Calc!$C$3,INDEX('Snowball Engine'!$AH280:$AV280,Calc!$I$21),INDEX('Avalanche Engine'!$AH280:$AV280,Calc!$J$21),INDEX('My Order Engine'!$AH280:$AV280,Calc!$K$21)),"")</f>
        <v/>
      </c>
      <c r="S278" s="25" t="str">
        <f>IF(AND($A278&lt;=IF(Calc!$C$36=999,360,Calc!$C$36),Calc!$C$22=1),CHOOSE(Calc!$C$3,INDEX('Snowball Engine'!$AH280:$AV280,Calc!$I$22),INDEX('Avalanche Engine'!$AH280:$AV280,Calc!$J$22),INDEX('My Order Engine'!$AH280:$AV280,Calc!$K$22)),"")</f>
        <v/>
      </c>
      <c r="T278" s="25" t="str">
        <f>IF(AND($A278&lt;=IF(Calc!$C$36=999,360,Calc!$C$36),Calc!$C$23=1),CHOOSE(Calc!$C$3,INDEX('Snowball Engine'!$AH280:$AV280,Calc!$I$23),INDEX('Avalanche Engine'!$AH280:$AV280,Calc!$J$23),INDEX('My Order Engine'!$AH280:$AV280,Calc!$K$23)),"")</f>
        <v/>
      </c>
      <c r="U278" s="25" t="str">
        <f>IF(AND($A278&lt;=IF(Calc!$C$36=999,360,Calc!$C$36),Calc!$C$24=1),CHOOSE(Calc!$C$3,INDEX('Snowball Engine'!$AH280:$AV280,Calc!$I$24),INDEX('Avalanche Engine'!$AH280:$AV280,Calc!$J$24),INDEX('My Order Engine'!$AH280:$AV280,Calc!$K$24)),"")</f>
        <v/>
      </c>
    </row>
    <row r="279" spans="1:21" x14ac:dyDescent="0.35">
      <c r="A279" s="23">
        <v>275</v>
      </c>
      <c r="B279" s="24" t="str">
        <f>IF($A279&lt;=IF(Calc!$C$36=999,360,Calc!$C$36),EDATE(Calc!$C$5,A279-1),"")</f>
        <v/>
      </c>
      <c r="C279" s="25" t="str">
        <f>IF($A279&lt;=IF(Calc!$C$36=999,360,Calc!$C$36),CHOOSE(Calc!$C$3,'Snowball Engine'!AY281,'Avalanche Engine'!AY281,'My Order Engine'!AY281),"")</f>
        <v/>
      </c>
      <c r="D279" s="25" t="str">
        <f>IF($A279&lt;=IF(Calc!$C$36=999,360,Calc!$C$36),CHOOSE(Calc!$C$3,'Snowball Engine'!AX281,'Avalanche Engine'!AX281,'My Order Engine'!AX281),"")</f>
        <v/>
      </c>
      <c r="E279" s="25" t="str">
        <f>IF($A279&lt;=IF(Calc!$C$36=999,360,Calc!$C$36),C279-D279,"")</f>
        <v/>
      </c>
      <c r="F279" s="25" t="str">
        <f>IF($A279&lt;=IF(Calc!$C$36=999,360,Calc!$C$36),CHOOSE(Calc!$C$3,'Snowball Engine'!AW281,'Avalanche Engine'!AW281,'My Order Engine'!AW281),"")</f>
        <v/>
      </c>
      <c r="G279" s="25" t="str">
        <f>IF(AND($A279&lt;=IF(Calc!$C$36=999,360,Calc!$C$36),Calc!$C$10=1),CHOOSE(Calc!$C$3,INDEX('Snowball Engine'!$AH281:$AV281,Calc!$I$10),INDEX('Avalanche Engine'!$AH281:$AV281,Calc!$J$10),INDEX('My Order Engine'!$AH281:$AV281,Calc!$K$10)),"")</f>
        <v/>
      </c>
      <c r="H279" s="25" t="str">
        <f>IF(AND($A279&lt;=IF(Calc!$C$36=999,360,Calc!$C$36),Calc!$C$11=1),CHOOSE(Calc!$C$3,INDEX('Snowball Engine'!$AH281:$AV281,Calc!$I$11),INDEX('Avalanche Engine'!$AH281:$AV281,Calc!$J$11),INDEX('My Order Engine'!$AH281:$AV281,Calc!$K$11)),"")</f>
        <v/>
      </c>
      <c r="I279" s="25" t="str">
        <f>IF(AND($A279&lt;=IF(Calc!$C$36=999,360,Calc!$C$36),Calc!$C$12=1),CHOOSE(Calc!$C$3,INDEX('Snowball Engine'!$AH281:$AV281,Calc!$I$12),INDEX('Avalanche Engine'!$AH281:$AV281,Calc!$J$12),INDEX('My Order Engine'!$AH281:$AV281,Calc!$K$12)),"")</f>
        <v/>
      </c>
      <c r="J279" s="25" t="str">
        <f>IF(AND($A279&lt;=IF(Calc!$C$36=999,360,Calc!$C$36),Calc!$C$13=1),CHOOSE(Calc!$C$3,INDEX('Snowball Engine'!$AH281:$AV281,Calc!$I$13),INDEX('Avalanche Engine'!$AH281:$AV281,Calc!$J$13),INDEX('My Order Engine'!$AH281:$AV281,Calc!$K$13)),"")</f>
        <v/>
      </c>
      <c r="K279" s="25" t="str">
        <f>IF(AND($A279&lt;=IF(Calc!$C$36=999,360,Calc!$C$36),Calc!$C$14=1),CHOOSE(Calc!$C$3,INDEX('Snowball Engine'!$AH281:$AV281,Calc!$I$14),INDEX('Avalanche Engine'!$AH281:$AV281,Calc!$J$14),INDEX('My Order Engine'!$AH281:$AV281,Calc!$K$14)),"")</f>
        <v/>
      </c>
      <c r="L279" s="25" t="str">
        <f>IF(AND($A279&lt;=IF(Calc!$C$36=999,360,Calc!$C$36),Calc!$C$15=1),CHOOSE(Calc!$C$3,INDEX('Snowball Engine'!$AH281:$AV281,Calc!$I$15),INDEX('Avalanche Engine'!$AH281:$AV281,Calc!$J$15),INDEX('My Order Engine'!$AH281:$AV281,Calc!$K$15)),"")</f>
        <v/>
      </c>
      <c r="M279" s="25" t="str">
        <f>IF(AND($A279&lt;=IF(Calc!$C$36=999,360,Calc!$C$36),Calc!$C$16=1),CHOOSE(Calc!$C$3,INDEX('Snowball Engine'!$AH281:$AV281,Calc!$I$16),INDEX('Avalanche Engine'!$AH281:$AV281,Calc!$J$16),INDEX('My Order Engine'!$AH281:$AV281,Calc!$K$16)),"")</f>
        <v/>
      </c>
      <c r="N279" s="25" t="str">
        <f>IF(AND($A279&lt;=IF(Calc!$C$36=999,360,Calc!$C$36),Calc!$C$17=1),CHOOSE(Calc!$C$3,INDEX('Snowball Engine'!$AH281:$AV281,Calc!$I$17),INDEX('Avalanche Engine'!$AH281:$AV281,Calc!$J$17),INDEX('My Order Engine'!$AH281:$AV281,Calc!$K$17)),"")</f>
        <v/>
      </c>
      <c r="O279" s="25" t="str">
        <f>IF(AND($A279&lt;=IF(Calc!$C$36=999,360,Calc!$C$36),Calc!$C$18=1),CHOOSE(Calc!$C$3,INDEX('Snowball Engine'!$AH281:$AV281,Calc!$I$18),INDEX('Avalanche Engine'!$AH281:$AV281,Calc!$J$18),INDEX('My Order Engine'!$AH281:$AV281,Calc!$K$18)),"")</f>
        <v/>
      </c>
      <c r="P279" s="25" t="str">
        <f>IF(AND($A279&lt;=IF(Calc!$C$36=999,360,Calc!$C$36),Calc!$C$19=1),CHOOSE(Calc!$C$3,INDEX('Snowball Engine'!$AH281:$AV281,Calc!$I$19),INDEX('Avalanche Engine'!$AH281:$AV281,Calc!$J$19),INDEX('My Order Engine'!$AH281:$AV281,Calc!$K$19)),"")</f>
        <v/>
      </c>
      <c r="Q279" s="25" t="str">
        <f>IF(AND($A279&lt;=IF(Calc!$C$36=999,360,Calc!$C$36),Calc!$C$20=1),CHOOSE(Calc!$C$3,INDEX('Snowball Engine'!$AH281:$AV281,Calc!$I$20),INDEX('Avalanche Engine'!$AH281:$AV281,Calc!$J$20),INDEX('My Order Engine'!$AH281:$AV281,Calc!$K$20)),"")</f>
        <v/>
      </c>
      <c r="R279" s="25" t="str">
        <f>IF(AND($A279&lt;=IF(Calc!$C$36=999,360,Calc!$C$36),Calc!$C$21=1),CHOOSE(Calc!$C$3,INDEX('Snowball Engine'!$AH281:$AV281,Calc!$I$21),INDEX('Avalanche Engine'!$AH281:$AV281,Calc!$J$21),INDEX('My Order Engine'!$AH281:$AV281,Calc!$K$21)),"")</f>
        <v/>
      </c>
      <c r="S279" s="25" t="str">
        <f>IF(AND($A279&lt;=IF(Calc!$C$36=999,360,Calc!$C$36),Calc!$C$22=1),CHOOSE(Calc!$C$3,INDEX('Snowball Engine'!$AH281:$AV281,Calc!$I$22),INDEX('Avalanche Engine'!$AH281:$AV281,Calc!$J$22),INDEX('My Order Engine'!$AH281:$AV281,Calc!$K$22)),"")</f>
        <v/>
      </c>
      <c r="T279" s="25" t="str">
        <f>IF(AND($A279&lt;=IF(Calc!$C$36=999,360,Calc!$C$36),Calc!$C$23=1),CHOOSE(Calc!$C$3,INDEX('Snowball Engine'!$AH281:$AV281,Calc!$I$23),INDEX('Avalanche Engine'!$AH281:$AV281,Calc!$J$23),INDEX('My Order Engine'!$AH281:$AV281,Calc!$K$23)),"")</f>
        <v/>
      </c>
      <c r="U279" s="25" t="str">
        <f>IF(AND($A279&lt;=IF(Calc!$C$36=999,360,Calc!$C$36),Calc!$C$24=1),CHOOSE(Calc!$C$3,INDEX('Snowball Engine'!$AH281:$AV281,Calc!$I$24),INDEX('Avalanche Engine'!$AH281:$AV281,Calc!$J$24),INDEX('My Order Engine'!$AH281:$AV281,Calc!$K$24)),"")</f>
        <v/>
      </c>
    </row>
    <row r="280" spans="1:21" x14ac:dyDescent="0.35">
      <c r="A280" s="23">
        <v>276</v>
      </c>
      <c r="B280" s="24" t="str">
        <f>IF($A280&lt;=IF(Calc!$C$36=999,360,Calc!$C$36),EDATE(Calc!$C$5,A280-1),"")</f>
        <v/>
      </c>
      <c r="C280" s="25" t="str">
        <f>IF($A280&lt;=IF(Calc!$C$36=999,360,Calc!$C$36),CHOOSE(Calc!$C$3,'Snowball Engine'!AY282,'Avalanche Engine'!AY282,'My Order Engine'!AY282),"")</f>
        <v/>
      </c>
      <c r="D280" s="25" t="str">
        <f>IF($A280&lt;=IF(Calc!$C$36=999,360,Calc!$C$36),CHOOSE(Calc!$C$3,'Snowball Engine'!AX282,'Avalanche Engine'!AX282,'My Order Engine'!AX282),"")</f>
        <v/>
      </c>
      <c r="E280" s="25" t="str">
        <f>IF($A280&lt;=IF(Calc!$C$36=999,360,Calc!$C$36),C280-D280,"")</f>
        <v/>
      </c>
      <c r="F280" s="25" t="str">
        <f>IF($A280&lt;=IF(Calc!$C$36=999,360,Calc!$C$36),CHOOSE(Calc!$C$3,'Snowball Engine'!AW282,'Avalanche Engine'!AW282,'My Order Engine'!AW282),"")</f>
        <v/>
      </c>
      <c r="G280" s="25" t="str">
        <f>IF(AND($A280&lt;=IF(Calc!$C$36=999,360,Calc!$C$36),Calc!$C$10=1),CHOOSE(Calc!$C$3,INDEX('Snowball Engine'!$AH282:$AV282,Calc!$I$10),INDEX('Avalanche Engine'!$AH282:$AV282,Calc!$J$10),INDEX('My Order Engine'!$AH282:$AV282,Calc!$K$10)),"")</f>
        <v/>
      </c>
      <c r="H280" s="25" t="str">
        <f>IF(AND($A280&lt;=IF(Calc!$C$36=999,360,Calc!$C$36),Calc!$C$11=1),CHOOSE(Calc!$C$3,INDEX('Snowball Engine'!$AH282:$AV282,Calc!$I$11),INDEX('Avalanche Engine'!$AH282:$AV282,Calc!$J$11),INDEX('My Order Engine'!$AH282:$AV282,Calc!$K$11)),"")</f>
        <v/>
      </c>
      <c r="I280" s="25" t="str">
        <f>IF(AND($A280&lt;=IF(Calc!$C$36=999,360,Calc!$C$36),Calc!$C$12=1),CHOOSE(Calc!$C$3,INDEX('Snowball Engine'!$AH282:$AV282,Calc!$I$12),INDEX('Avalanche Engine'!$AH282:$AV282,Calc!$J$12),INDEX('My Order Engine'!$AH282:$AV282,Calc!$K$12)),"")</f>
        <v/>
      </c>
      <c r="J280" s="25" t="str">
        <f>IF(AND($A280&lt;=IF(Calc!$C$36=999,360,Calc!$C$36),Calc!$C$13=1),CHOOSE(Calc!$C$3,INDEX('Snowball Engine'!$AH282:$AV282,Calc!$I$13),INDEX('Avalanche Engine'!$AH282:$AV282,Calc!$J$13),INDEX('My Order Engine'!$AH282:$AV282,Calc!$K$13)),"")</f>
        <v/>
      </c>
      <c r="K280" s="25" t="str">
        <f>IF(AND($A280&lt;=IF(Calc!$C$36=999,360,Calc!$C$36),Calc!$C$14=1),CHOOSE(Calc!$C$3,INDEX('Snowball Engine'!$AH282:$AV282,Calc!$I$14),INDEX('Avalanche Engine'!$AH282:$AV282,Calc!$J$14),INDEX('My Order Engine'!$AH282:$AV282,Calc!$K$14)),"")</f>
        <v/>
      </c>
      <c r="L280" s="25" t="str">
        <f>IF(AND($A280&lt;=IF(Calc!$C$36=999,360,Calc!$C$36),Calc!$C$15=1),CHOOSE(Calc!$C$3,INDEX('Snowball Engine'!$AH282:$AV282,Calc!$I$15),INDEX('Avalanche Engine'!$AH282:$AV282,Calc!$J$15),INDEX('My Order Engine'!$AH282:$AV282,Calc!$K$15)),"")</f>
        <v/>
      </c>
      <c r="M280" s="25" t="str">
        <f>IF(AND($A280&lt;=IF(Calc!$C$36=999,360,Calc!$C$36),Calc!$C$16=1),CHOOSE(Calc!$C$3,INDEX('Snowball Engine'!$AH282:$AV282,Calc!$I$16),INDEX('Avalanche Engine'!$AH282:$AV282,Calc!$J$16),INDEX('My Order Engine'!$AH282:$AV282,Calc!$K$16)),"")</f>
        <v/>
      </c>
      <c r="N280" s="25" t="str">
        <f>IF(AND($A280&lt;=IF(Calc!$C$36=999,360,Calc!$C$36),Calc!$C$17=1),CHOOSE(Calc!$C$3,INDEX('Snowball Engine'!$AH282:$AV282,Calc!$I$17),INDEX('Avalanche Engine'!$AH282:$AV282,Calc!$J$17),INDEX('My Order Engine'!$AH282:$AV282,Calc!$K$17)),"")</f>
        <v/>
      </c>
      <c r="O280" s="25" t="str">
        <f>IF(AND($A280&lt;=IF(Calc!$C$36=999,360,Calc!$C$36),Calc!$C$18=1),CHOOSE(Calc!$C$3,INDEX('Snowball Engine'!$AH282:$AV282,Calc!$I$18),INDEX('Avalanche Engine'!$AH282:$AV282,Calc!$J$18),INDEX('My Order Engine'!$AH282:$AV282,Calc!$K$18)),"")</f>
        <v/>
      </c>
      <c r="P280" s="25" t="str">
        <f>IF(AND($A280&lt;=IF(Calc!$C$36=999,360,Calc!$C$36),Calc!$C$19=1),CHOOSE(Calc!$C$3,INDEX('Snowball Engine'!$AH282:$AV282,Calc!$I$19),INDEX('Avalanche Engine'!$AH282:$AV282,Calc!$J$19),INDEX('My Order Engine'!$AH282:$AV282,Calc!$K$19)),"")</f>
        <v/>
      </c>
      <c r="Q280" s="25" t="str">
        <f>IF(AND($A280&lt;=IF(Calc!$C$36=999,360,Calc!$C$36),Calc!$C$20=1),CHOOSE(Calc!$C$3,INDEX('Snowball Engine'!$AH282:$AV282,Calc!$I$20),INDEX('Avalanche Engine'!$AH282:$AV282,Calc!$J$20),INDEX('My Order Engine'!$AH282:$AV282,Calc!$K$20)),"")</f>
        <v/>
      </c>
      <c r="R280" s="25" t="str">
        <f>IF(AND($A280&lt;=IF(Calc!$C$36=999,360,Calc!$C$36),Calc!$C$21=1),CHOOSE(Calc!$C$3,INDEX('Snowball Engine'!$AH282:$AV282,Calc!$I$21),INDEX('Avalanche Engine'!$AH282:$AV282,Calc!$J$21),INDEX('My Order Engine'!$AH282:$AV282,Calc!$K$21)),"")</f>
        <v/>
      </c>
      <c r="S280" s="25" t="str">
        <f>IF(AND($A280&lt;=IF(Calc!$C$36=999,360,Calc!$C$36),Calc!$C$22=1),CHOOSE(Calc!$C$3,INDEX('Snowball Engine'!$AH282:$AV282,Calc!$I$22),INDEX('Avalanche Engine'!$AH282:$AV282,Calc!$J$22),INDEX('My Order Engine'!$AH282:$AV282,Calc!$K$22)),"")</f>
        <v/>
      </c>
      <c r="T280" s="25" t="str">
        <f>IF(AND($A280&lt;=IF(Calc!$C$36=999,360,Calc!$C$36),Calc!$C$23=1),CHOOSE(Calc!$C$3,INDEX('Snowball Engine'!$AH282:$AV282,Calc!$I$23),INDEX('Avalanche Engine'!$AH282:$AV282,Calc!$J$23),INDEX('My Order Engine'!$AH282:$AV282,Calc!$K$23)),"")</f>
        <v/>
      </c>
      <c r="U280" s="25" t="str">
        <f>IF(AND($A280&lt;=IF(Calc!$C$36=999,360,Calc!$C$36),Calc!$C$24=1),CHOOSE(Calc!$C$3,INDEX('Snowball Engine'!$AH282:$AV282,Calc!$I$24),INDEX('Avalanche Engine'!$AH282:$AV282,Calc!$J$24),INDEX('My Order Engine'!$AH282:$AV282,Calc!$K$24)),"")</f>
        <v/>
      </c>
    </row>
    <row r="281" spans="1:21" x14ac:dyDescent="0.35">
      <c r="A281" s="23">
        <v>277</v>
      </c>
      <c r="B281" s="24" t="str">
        <f>IF($A281&lt;=IF(Calc!$C$36=999,360,Calc!$C$36),EDATE(Calc!$C$5,A281-1),"")</f>
        <v/>
      </c>
      <c r="C281" s="25" t="str">
        <f>IF($A281&lt;=IF(Calc!$C$36=999,360,Calc!$C$36),CHOOSE(Calc!$C$3,'Snowball Engine'!AY283,'Avalanche Engine'!AY283,'My Order Engine'!AY283),"")</f>
        <v/>
      </c>
      <c r="D281" s="25" t="str">
        <f>IF($A281&lt;=IF(Calc!$C$36=999,360,Calc!$C$36),CHOOSE(Calc!$C$3,'Snowball Engine'!AX283,'Avalanche Engine'!AX283,'My Order Engine'!AX283),"")</f>
        <v/>
      </c>
      <c r="E281" s="25" t="str">
        <f>IF($A281&lt;=IF(Calc!$C$36=999,360,Calc!$C$36),C281-D281,"")</f>
        <v/>
      </c>
      <c r="F281" s="25" t="str">
        <f>IF($A281&lt;=IF(Calc!$C$36=999,360,Calc!$C$36),CHOOSE(Calc!$C$3,'Snowball Engine'!AW283,'Avalanche Engine'!AW283,'My Order Engine'!AW283),"")</f>
        <v/>
      </c>
      <c r="G281" s="25" t="str">
        <f>IF(AND($A281&lt;=IF(Calc!$C$36=999,360,Calc!$C$36),Calc!$C$10=1),CHOOSE(Calc!$C$3,INDEX('Snowball Engine'!$AH283:$AV283,Calc!$I$10),INDEX('Avalanche Engine'!$AH283:$AV283,Calc!$J$10),INDEX('My Order Engine'!$AH283:$AV283,Calc!$K$10)),"")</f>
        <v/>
      </c>
      <c r="H281" s="25" t="str">
        <f>IF(AND($A281&lt;=IF(Calc!$C$36=999,360,Calc!$C$36),Calc!$C$11=1),CHOOSE(Calc!$C$3,INDEX('Snowball Engine'!$AH283:$AV283,Calc!$I$11),INDEX('Avalanche Engine'!$AH283:$AV283,Calc!$J$11),INDEX('My Order Engine'!$AH283:$AV283,Calc!$K$11)),"")</f>
        <v/>
      </c>
      <c r="I281" s="25" t="str">
        <f>IF(AND($A281&lt;=IF(Calc!$C$36=999,360,Calc!$C$36),Calc!$C$12=1),CHOOSE(Calc!$C$3,INDEX('Snowball Engine'!$AH283:$AV283,Calc!$I$12),INDEX('Avalanche Engine'!$AH283:$AV283,Calc!$J$12),INDEX('My Order Engine'!$AH283:$AV283,Calc!$K$12)),"")</f>
        <v/>
      </c>
      <c r="J281" s="25" t="str">
        <f>IF(AND($A281&lt;=IF(Calc!$C$36=999,360,Calc!$C$36),Calc!$C$13=1),CHOOSE(Calc!$C$3,INDEX('Snowball Engine'!$AH283:$AV283,Calc!$I$13),INDEX('Avalanche Engine'!$AH283:$AV283,Calc!$J$13),INDEX('My Order Engine'!$AH283:$AV283,Calc!$K$13)),"")</f>
        <v/>
      </c>
      <c r="K281" s="25" t="str">
        <f>IF(AND($A281&lt;=IF(Calc!$C$36=999,360,Calc!$C$36),Calc!$C$14=1),CHOOSE(Calc!$C$3,INDEX('Snowball Engine'!$AH283:$AV283,Calc!$I$14),INDEX('Avalanche Engine'!$AH283:$AV283,Calc!$J$14),INDEX('My Order Engine'!$AH283:$AV283,Calc!$K$14)),"")</f>
        <v/>
      </c>
      <c r="L281" s="25" t="str">
        <f>IF(AND($A281&lt;=IF(Calc!$C$36=999,360,Calc!$C$36),Calc!$C$15=1),CHOOSE(Calc!$C$3,INDEX('Snowball Engine'!$AH283:$AV283,Calc!$I$15),INDEX('Avalanche Engine'!$AH283:$AV283,Calc!$J$15),INDEX('My Order Engine'!$AH283:$AV283,Calc!$K$15)),"")</f>
        <v/>
      </c>
      <c r="M281" s="25" t="str">
        <f>IF(AND($A281&lt;=IF(Calc!$C$36=999,360,Calc!$C$36),Calc!$C$16=1),CHOOSE(Calc!$C$3,INDEX('Snowball Engine'!$AH283:$AV283,Calc!$I$16),INDEX('Avalanche Engine'!$AH283:$AV283,Calc!$J$16),INDEX('My Order Engine'!$AH283:$AV283,Calc!$K$16)),"")</f>
        <v/>
      </c>
      <c r="N281" s="25" t="str">
        <f>IF(AND($A281&lt;=IF(Calc!$C$36=999,360,Calc!$C$36),Calc!$C$17=1),CHOOSE(Calc!$C$3,INDEX('Snowball Engine'!$AH283:$AV283,Calc!$I$17),INDEX('Avalanche Engine'!$AH283:$AV283,Calc!$J$17),INDEX('My Order Engine'!$AH283:$AV283,Calc!$K$17)),"")</f>
        <v/>
      </c>
      <c r="O281" s="25" t="str">
        <f>IF(AND($A281&lt;=IF(Calc!$C$36=999,360,Calc!$C$36),Calc!$C$18=1),CHOOSE(Calc!$C$3,INDEX('Snowball Engine'!$AH283:$AV283,Calc!$I$18),INDEX('Avalanche Engine'!$AH283:$AV283,Calc!$J$18),INDEX('My Order Engine'!$AH283:$AV283,Calc!$K$18)),"")</f>
        <v/>
      </c>
      <c r="P281" s="25" t="str">
        <f>IF(AND($A281&lt;=IF(Calc!$C$36=999,360,Calc!$C$36),Calc!$C$19=1),CHOOSE(Calc!$C$3,INDEX('Snowball Engine'!$AH283:$AV283,Calc!$I$19),INDEX('Avalanche Engine'!$AH283:$AV283,Calc!$J$19),INDEX('My Order Engine'!$AH283:$AV283,Calc!$K$19)),"")</f>
        <v/>
      </c>
      <c r="Q281" s="25" t="str">
        <f>IF(AND($A281&lt;=IF(Calc!$C$36=999,360,Calc!$C$36),Calc!$C$20=1),CHOOSE(Calc!$C$3,INDEX('Snowball Engine'!$AH283:$AV283,Calc!$I$20),INDEX('Avalanche Engine'!$AH283:$AV283,Calc!$J$20),INDEX('My Order Engine'!$AH283:$AV283,Calc!$K$20)),"")</f>
        <v/>
      </c>
      <c r="R281" s="25" t="str">
        <f>IF(AND($A281&lt;=IF(Calc!$C$36=999,360,Calc!$C$36),Calc!$C$21=1),CHOOSE(Calc!$C$3,INDEX('Snowball Engine'!$AH283:$AV283,Calc!$I$21),INDEX('Avalanche Engine'!$AH283:$AV283,Calc!$J$21),INDEX('My Order Engine'!$AH283:$AV283,Calc!$K$21)),"")</f>
        <v/>
      </c>
      <c r="S281" s="25" t="str">
        <f>IF(AND($A281&lt;=IF(Calc!$C$36=999,360,Calc!$C$36),Calc!$C$22=1),CHOOSE(Calc!$C$3,INDEX('Snowball Engine'!$AH283:$AV283,Calc!$I$22),INDEX('Avalanche Engine'!$AH283:$AV283,Calc!$J$22),INDEX('My Order Engine'!$AH283:$AV283,Calc!$K$22)),"")</f>
        <v/>
      </c>
      <c r="T281" s="25" t="str">
        <f>IF(AND($A281&lt;=IF(Calc!$C$36=999,360,Calc!$C$36),Calc!$C$23=1),CHOOSE(Calc!$C$3,INDEX('Snowball Engine'!$AH283:$AV283,Calc!$I$23),INDEX('Avalanche Engine'!$AH283:$AV283,Calc!$J$23),INDEX('My Order Engine'!$AH283:$AV283,Calc!$K$23)),"")</f>
        <v/>
      </c>
      <c r="U281" s="25" t="str">
        <f>IF(AND($A281&lt;=IF(Calc!$C$36=999,360,Calc!$C$36),Calc!$C$24=1),CHOOSE(Calc!$C$3,INDEX('Snowball Engine'!$AH283:$AV283,Calc!$I$24),INDEX('Avalanche Engine'!$AH283:$AV283,Calc!$J$24),INDEX('My Order Engine'!$AH283:$AV283,Calc!$K$24)),"")</f>
        <v/>
      </c>
    </row>
    <row r="282" spans="1:21" x14ac:dyDescent="0.35">
      <c r="A282" s="23">
        <v>278</v>
      </c>
      <c r="B282" s="24" t="str">
        <f>IF($A282&lt;=IF(Calc!$C$36=999,360,Calc!$C$36),EDATE(Calc!$C$5,A282-1),"")</f>
        <v/>
      </c>
      <c r="C282" s="25" t="str">
        <f>IF($A282&lt;=IF(Calc!$C$36=999,360,Calc!$C$36),CHOOSE(Calc!$C$3,'Snowball Engine'!AY284,'Avalanche Engine'!AY284,'My Order Engine'!AY284),"")</f>
        <v/>
      </c>
      <c r="D282" s="25" t="str">
        <f>IF($A282&lt;=IF(Calc!$C$36=999,360,Calc!$C$36),CHOOSE(Calc!$C$3,'Snowball Engine'!AX284,'Avalanche Engine'!AX284,'My Order Engine'!AX284),"")</f>
        <v/>
      </c>
      <c r="E282" s="25" t="str">
        <f>IF($A282&lt;=IF(Calc!$C$36=999,360,Calc!$C$36),C282-D282,"")</f>
        <v/>
      </c>
      <c r="F282" s="25" t="str">
        <f>IF($A282&lt;=IF(Calc!$C$36=999,360,Calc!$C$36),CHOOSE(Calc!$C$3,'Snowball Engine'!AW284,'Avalanche Engine'!AW284,'My Order Engine'!AW284),"")</f>
        <v/>
      </c>
      <c r="G282" s="25" t="str">
        <f>IF(AND($A282&lt;=IF(Calc!$C$36=999,360,Calc!$C$36),Calc!$C$10=1),CHOOSE(Calc!$C$3,INDEX('Snowball Engine'!$AH284:$AV284,Calc!$I$10),INDEX('Avalanche Engine'!$AH284:$AV284,Calc!$J$10),INDEX('My Order Engine'!$AH284:$AV284,Calc!$K$10)),"")</f>
        <v/>
      </c>
      <c r="H282" s="25" t="str">
        <f>IF(AND($A282&lt;=IF(Calc!$C$36=999,360,Calc!$C$36),Calc!$C$11=1),CHOOSE(Calc!$C$3,INDEX('Snowball Engine'!$AH284:$AV284,Calc!$I$11),INDEX('Avalanche Engine'!$AH284:$AV284,Calc!$J$11),INDEX('My Order Engine'!$AH284:$AV284,Calc!$K$11)),"")</f>
        <v/>
      </c>
      <c r="I282" s="25" t="str">
        <f>IF(AND($A282&lt;=IF(Calc!$C$36=999,360,Calc!$C$36),Calc!$C$12=1),CHOOSE(Calc!$C$3,INDEX('Snowball Engine'!$AH284:$AV284,Calc!$I$12),INDEX('Avalanche Engine'!$AH284:$AV284,Calc!$J$12),INDEX('My Order Engine'!$AH284:$AV284,Calc!$K$12)),"")</f>
        <v/>
      </c>
      <c r="J282" s="25" t="str">
        <f>IF(AND($A282&lt;=IF(Calc!$C$36=999,360,Calc!$C$36),Calc!$C$13=1),CHOOSE(Calc!$C$3,INDEX('Snowball Engine'!$AH284:$AV284,Calc!$I$13),INDEX('Avalanche Engine'!$AH284:$AV284,Calc!$J$13),INDEX('My Order Engine'!$AH284:$AV284,Calc!$K$13)),"")</f>
        <v/>
      </c>
      <c r="K282" s="25" t="str">
        <f>IF(AND($A282&lt;=IF(Calc!$C$36=999,360,Calc!$C$36),Calc!$C$14=1),CHOOSE(Calc!$C$3,INDEX('Snowball Engine'!$AH284:$AV284,Calc!$I$14),INDEX('Avalanche Engine'!$AH284:$AV284,Calc!$J$14),INDEX('My Order Engine'!$AH284:$AV284,Calc!$K$14)),"")</f>
        <v/>
      </c>
      <c r="L282" s="25" t="str">
        <f>IF(AND($A282&lt;=IF(Calc!$C$36=999,360,Calc!$C$36),Calc!$C$15=1),CHOOSE(Calc!$C$3,INDEX('Snowball Engine'!$AH284:$AV284,Calc!$I$15),INDEX('Avalanche Engine'!$AH284:$AV284,Calc!$J$15),INDEX('My Order Engine'!$AH284:$AV284,Calc!$K$15)),"")</f>
        <v/>
      </c>
      <c r="M282" s="25" t="str">
        <f>IF(AND($A282&lt;=IF(Calc!$C$36=999,360,Calc!$C$36),Calc!$C$16=1),CHOOSE(Calc!$C$3,INDEX('Snowball Engine'!$AH284:$AV284,Calc!$I$16),INDEX('Avalanche Engine'!$AH284:$AV284,Calc!$J$16),INDEX('My Order Engine'!$AH284:$AV284,Calc!$K$16)),"")</f>
        <v/>
      </c>
      <c r="N282" s="25" t="str">
        <f>IF(AND($A282&lt;=IF(Calc!$C$36=999,360,Calc!$C$36),Calc!$C$17=1),CHOOSE(Calc!$C$3,INDEX('Snowball Engine'!$AH284:$AV284,Calc!$I$17),INDEX('Avalanche Engine'!$AH284:$AV284,Calc!$J$17),INDEX('My Order Engine'!$AH284:$AV284,Calc!$K$17)),"")</f>
        <v/>
      </c>
      <c r="O282" s="25" t="str">
        <f>IF(AND($A282&lt;=IF(Calc!$C$36=999,360,Calc!$C$36),Calc!$C$18=1),CHOOSE(Calc!$C$3,INDEX('Snowball Engine'!$AH284:$AV284,Calc!$I$18),INDEX('Avalanche Engine'!$AH284:$AV284,Calc!$J$18),INDEX('My Order Engine'!$AH284:$AV284,Calc!$K$18)),"")</f>
        <v/>
      </c>
      <c r="P282" s="25" t="str">
        <f>IF(AND($A282&lt;=IF(Calc!$C$36=999,360,Calc!$C$36),Calc!$C$19=1),CHOOSE(Calc!$C$3,INDEX('Snowball Engine'!$AH284:$AV284,Calc!$I$19),INDEX('Avalanche Engine'!$AH284:$AV284,Calc!$J$19),INDEX('My Order Engine'!$AH284:$AV284,Calc!$K$19)),"")</f>
        <v/>
      </c>
      <c r="Q282" s="25" t="str">
        <f>IF(AND($A282&lt;=IF(Calc!$C$36=999,360,Calc!$C$36),Calc!$C$20=1),CHOOSE(Calc!$C$3,INDEX('Snowball Engine'!$AH284:$AV284,Calc!$I$20),INDEX('Avalanche Engine'!$AH284:$AV284,Calc!$J$20),INDEX('My Order Engine'!$AH284:$AV284,Calc!$K$20)),"")</f>
        <v/>
      </c>
      <c r="R282" s="25" t="str">
        <f>IF(AND($A282&lt;=IF(Calc!$C$36=999,360,Calc!$C$36),Calc!$C$21=1),CHOOSE(Calc!$C$3,INDEX('Snowball Engine'!$AH284:$AV284,Calc!$I$21),INDEX('Avalanche Engine'!$AH284:$AV284,Calc!$J$21),INDEX('My Order Engine'!$AH284:$AV284,Calc!$K$21)),"")</f>
        <v/>
      </c>
      <c r="S282" s="25" t="str">
        <f>IF(AND($A282&lt;=IF(Calc!$C$36=999,360,Calc!$C$36),Calc!$C$22=1),CHOOSE(Calc!$C$3,INDEX('Snowball Engine'!$AH284:$AV284,Calc!$I$22),INDEX('Avalanche Engine'!$AH284:$AV284,Calc!$J$22),INDEX('My Order Engine'!$AH284:$AV284,Calc!$K$22)),"")</f>
        <v/>
      </c>
      <c r="T282" s="25" t="str">
        <f>IF(AND($A282&lt;=IF(Calc!$C$36=999,360,Calc!$C$36),Calc!$C$23=1),CHOOSE(Calc!$C$3,INDEX('Snowball Engine'!$AH284:$AV284,Calc!$I$23),INDEX('Avalanche Engine'!$AH284:$AV284,Calc!$J$23),INDEX('My Order Engine'!$AH284:$AV284,Calc!$K$23)),"")</f>
        <v/>
      </c>
      <c r="U282" s="25" t="str">
        <f>IF(AND($A282&lt;=IF(Calc!$C$36=999,360,Calc!$C$36),Calc!$C$24=1),CHOOSE(Calc!$C$3,INDEX('Snowball Engine'!$AH284:$AV284,Calc!$I$24),INDEX('Avalanche Engine'!$AH284:$AV284,Calc!$J$24),INDEX('My Order Engine'!$AH284:$AV284,Calc!$K$24)),"")</f>
        <v/>
      </c>
    </row>
    <row r="283" spans="1:21" x14ac:dyDescent="0.35">
      <c r="A283" s="23">
        <v>279</v>
      </c>
      <c r="B283" s="24" t="str">
        <f>IF($A283&lt;=IF(Calc!$C$36=999,360,Calc!$C$36),EDATE(Calc!$C$5,A283-1),"")</f>
        <v/>
      </c>
      <c r="C283" s="25" t="str">
        <f>IF($A283&lt;=IF(Calc!$C$36=999,360,Calc!$C$36),CHOOSE(Calc!$C$3,'Snowball Engine'!AY285,'Avalanche Engine'!AY285,'My Order Engine'!AY285),"")</f>
        <v/>
      </c>
      <c r="D283" s="25" t="str">
        <f>IF($A283&lt;=IF(Calc!$C$36=999,360,Calc!$C$36),CHOOSE(Calc!$C$3,'Snowball Engine'!AX285,'Avalanche Engine'!AX285,'My Order Engine'!AX285),"")</f>
        <v/>
      </c>
      <c r="E283" s="25" t="str">
        <f>IF($A283&lt;=IF(Calc!$C$36=999,360,Calc!$C$36),C283-D283,"")</f>
        <v/>
      </c>
      <c r="F283" s="25" t="str">
        <f>IF($A283&lt;=IF(Calc!$C$36=999,360,Calc!$C$36),CHOOSE(Calc!$C$3,'Snowball Engine'!AW285,'Avalanche Engine'!AW285,'My Order Engine'!AW285),"")</f>
        <v/>
      </c>
      <c r="G283" s="25" t="str">
        <f>IF(AND($A283&lt;=IF(Calc!$C$36=999,360,Calc!$C$36),Calc!$C$10=1),CHOOSE(Calc!$C$3,INDEX('Snowball Engine'!$AH285:$AV285,Calc!$I$10),INDEX('Avalanche Engine'!$AH285:$AV285,Calc!$J$10),INDEX('My Order Engine'!$AH285:$AV285,Calc!$K$10)),"")</f>
        <v/>
      </c>
      <c r="H283" s="25" t="str">
        <f>IF(AND($A283&lt;=IF(Calc!$C$36=999,360,Calc!$C$36),Calc!$C$11=1),CHOOSE(Calc!$C$3,INDEX('Snowball Engine'!$AH285:$AV285,Calc!$I$11),INDEX('Avalanche Engine'!$AH285:$AV285,Calc!$J$11),INDEX('My Order Engine'!$AH285:$AV285,Calc!$K$11)),"")</f>
        <v/>
      </c>
      <c r="I283" s="25" t="str">
        <f>IF(AND($A283&lt;=IF(Calc!$C$36=999,360,Calc!$C$36),Calc!$C$12=1),CHOOSE(Calc!$C$3,INDEX('Snowball Engine'!$AH285:$AV285,Calc!$I$12),INDEX('Avalanche Engine'!$AH285:$AV285,Calc!$J$12),INDEX('My Order Engine'!$AH285:$AV285,Calc!$K$12)),"")</f>
        <v/>
      </c>
      <c r="J283" s="25" t="str">
        <f>IF(AND($A283&lt;=IF(Calc!$C$36=999,360,Calc!$C$36),Calc!$C$13=1),CHOOSE(Calc!$C$3,INDEX('Snowball Engine'!$AH285:$AV285,Calc!$I$13),INDEX('Avalanche Engine'!$AH285:$AV285,Calc!$J$13),INDEX('My Order Engine'!$AH285:$AV285,Calc!$K$13)),"")</f>
        <v/>
      </c>
      <c r="K283" s="25" t="str">
        <f>IF(AND($A283&lt;=IF(Calc!$C$36=999,360,Calc!$C$36),Calc!$C$14=1),CHOOSE(Calc!$C$3,INDEX('Snowball Engine'!$AH285:$AV285,Calc!$I$14),INDEX('Avalanche Engine'!$AH285:$AV285,Calc!$J$14),INDEX('My Order Engine'!$AH285:$AV285,Calc!$K$14)),"")</f>
        <v/>
      </c>
      <c r="L283" s="25" t="str">
        <f>IF(AND($A283&lt;=IF(Calc!$C$36=999,360,Calc!$C$36),Calc!$C$15=1),CHOOSE(Calc!$C$3,INDEX('Snowball Engine'!$AH285:$AV285,Calc!$I$15),INDEX('Avalanche Engine'!$AH285:$AV285,Calc!$J$15),INDEX('My Order Engine'!$AH285:$AV285,Calc!$K$15)),"")</f>
        <v/>
      </c>
      <c r="M283" s="25" t="str">
        <f>IF(AND($A283&lt;=IF(Calc!$C$36=999,360,Calc!$C$36),Calc!$C$16=1),CHOOSE(Calc!$C$3,INDEX('Snowball Engine'!$AH285:$AV285,Calc!$I$16),INDEX('Avalanche Engine'!$AH285:$AV285,Calc!$J$16),INDEX('My Order Engine'!$AH285:$AV285,Calc!$K$16)),"")</f>
        <v/>
      </c>
      <c r="N283" s="25" t="str">
        <f>IF(AND($A283&lt;=IF(Calc!$C$36=999,360,Calc!$C$36),Calc!$C$17=1),CHOOSE(Calc!$C$3,INDEX('Snowball Engine'!$AH285:$AV285,Calc!$I$17),INDEX('Avalanche Engine'!$AH285:$AV285,Calc!$J$17),INDEX('My Order Engine'!$AH285:$AV285,Calc!$K$17)),"")</f>
        <v/>
      </c>
      <c r="O283" s="25" t="str">
        <f>IF(AND($A283&lt;=IF(Calc!$C$36=999,360,Calc!$C$36),Calc!$C$18=1),CHOOSE(Calc!$C$3,INDEX('Snowball Engine'!$AH285:$AV285,Calc!$I$18),INDEX('Avalanche Engine'!$AH285:$AV285,Calc!$J$18),INDEX('My Order Engine'!$AH285:$AV285,Calc!$K$18)),"")</f>
        <v/>
      </c>
      <c r="P283" s="25" t="str">
        <f>IF(AND($A283&lt;=IF(Calc!$C$36=999,360,Calc!$C$36),Calc!$C$19=1),CHOOSE(Calc!$C$3,INDEX('Snowball Engine'!$AH285:$AV285,Calc!$I$19),INDEX('Avalanche Engine'!$AH285:$AV285,Calc!$J$19),INDEX('My Order Engine'!$AH285:$AV285,Calc!$K$19)),"")</f>
        <v/>
      </c>
      <c r="Q283" s="25" t="str">
        <f>IF(AND($A283&lt;=IF(Calc!$C$36=999,360,Calc!$C$36),Calc!$C$20=1),CHOOSE(Calc!$C$3,INDEX('Snowball Engine'!$AH285:$AV285,Calc!$I$20),INDEX('Avalanche Engine'!$AH285:$AV285,Calc!$J$20),INDEX('My Order Engine'!$AH285:$AV285,Calc!$K$20)),"")</f>
        <v/>
      </c>
      <c r="R283" s="25" t="str">
        <f>IF(AND($A283&lt;=IF(Calc!$C$36=999,360,Calc!$C$36),Calc!$C$21=1),CHOOSE(Calc!$C$3,INDEX('Snowball Engine'!$AH285:$AV285,Calc!$I$21),INDEX('Avalanche Engine'!$AH285:$AV285,Calc!$J$21),INDEX('My Order Engine'!$AH285:$AV285,Calc!$K$21)),"")</f>
        <v/>
      </c>
      <c r="S283" s="25" t="str">
        <f>IF(AND($A283&lt;=IF(Calc!$C$36=999,360,Calc!$C$36),Calc!$C$22=1),CHOOSE(Calc!$C$3,INDEX('Snowball Engine'!$AH285:$AV285,Calc!$I$22),INDEX('Avalanche Engine'!$AH285:$AV285,Calc!$J$22),INDEX('My Order Engine'!$AH285:$AV285,Calc!$K$22)),"")</f>
        <v/>
      </c>
      <c r="T283" s="25" t="str">
        <f>IF(AND($A283&lt;=IF(Calc!$C$36=999,360,Calc!$C$36),Calc!$C$23=1),CHOOSE(Calc!$C$3,INDEX('Snowball Engine'!$AH285:$AV285,Calc!$I$23),INDEX('Avalanche Engine'!$AH285:$AV285,Calc!$J$23),INDEX('My Order Engine'!$AH285:$AV285,Calc!$K$23)),"")</f>
        <v/>
      </c>
      <c r="U283" s="25" t="str">
        <f>IF(AND($A283&lt;=IF(Calc!$C$36=999,360,Calc!$C$36),Calc!$C$24=1),CHOOSE(Calc!$C$3,INDEX('Snowball Engine'!$AH285:$AV285,Calc!$I$24),INDEX('Avalanche Engine'!$AH285:$AV285,Calc!$J$24),INDEX('My Order Engine'!$AH285:$AV285,Calc!$K$24)),"")</f>
        <v/>
      </c>
    </row>
    <row r="284" spans="1:21" x14ac:dyDescent="0.35">
      <c r="A284" s="23">
        <v>280</v>
      </c>
      <c r="B284" s="24" t="str">
        <f>IF($A284&lt;=IF(Calc!$C$36=999,360,Calc!$C$36),EDATE(Calc!$C$5,A284-1),"")</f>
        <v/>
      </c>
      <c r="C284" s="25" t="str">
        <f>IF($A284&lt;=IF(Calc!$C$36=999,360,Calc!$C$36),CHOOSE(Calc!$C$3,'Snowball Engine'!AY286,'Avalanche Engine'!AY286,'My Order Engine'!AY286),"")</f>
        <v/>
      </c>
      <c r="D284" s="25" t="str">
        <f>IF($A284&lt;=IF(Calc!$C$36=999,360,Calc!$C$36),CHOOSE(Calc!$C$3,'Snowball Engine'!AX286,'Avalanche Engine'!AX286,'My Order Engine'!AX286),"")</f>
        <v/>
      </c>
      <c r="E284" s="25" t="str">
        <f>IF($A284&lt;=IF(Calc!$C$36=999,360,Calc!$C$36),C284-D284,"")</f>
        <v/>
      </c>
      <c r="F284" s="25" t="str">
        <f>IF($A284&lt;=IF(Calc!$C$36=999,360,Calc!$C$36),CHOOSE(Calc!$C$3,'Snowball Engine'!AW286,'Avalanche Engine'!AW286,'My Order Engine'!AW286),"")</f>
        <v/>
      </c>
      <c r="G284" s="25" t="str">
        <f>IF(AND($A284&lt;=IF(Calc!$C$36=999,360,Calc!$C$36),Calc!$C$10=1),CHOOSE(Calc!$C$3,INDEX('Snowball Engine'!$AH286:$AV286,Calc!$I$10),INDEX('Avalanche Engine'!$AH286:$AV286,Calc!$J$10),INDEX('My Order Engine'!$AH286:$AV286,Calc!$K$10)),"")</f>
        <v/>
      </c>
      <c r="H284" s="25" t="str">
        <f>IF(AND($A284&lt;=IF(Calc!$C$36=999,360,Calc!$C$36),Calc!$C$11=1),CHOOSE(Calc!$C$3,INDEX('Snowball Engine'!$AH286:$AV286,Calc!$I$11),INDEX('Avalanche Engine'!$AH286:$AV286,Calc!$J$11),INDEX('My Order Engine'!$AH286:$AV286,Calc!$K$11)),"")</f>
        <v/>
      </c>
      <c r="I284" s="25" t="str">
        <f>IF(AND($A284&lt;=IF(Calc!$C$36=999,360,Calc!$C$36),Calc!$C$12=1),CHOOSE(Calc!$C$3,INDEX('Snowball Engine'!$AH286:$AV286,Calc!$I$12),INDEX('Avalanche Engine'!$AH286:$AV286,Calc!$J$12),INDEX('My Order Engine'!$AH286:$AV286,Calc!$K$12)),"")</f>
        <v/>
      </c>
      <c r="J284" s="25" t="str">
        <f>IF(AND($A284&lt;=IF(Calc!$C$36=999,360,Calc!$C$36),Calc!$C$13=1),CHOOSE(Calc!$C$3,INDEX('Snowball Engine'!$AH286:$AV286,Calc!$I$13),INDEX('Avalanche Engine'!$AH286:$AV286,Calc!$J$13),INDEX('My Order Engine'!$AH286:$AV286,Calc!$K$13)),"")</f>
        <v/>
      </c>
      <c r="K284" s="25" t="str">
        <f>IF(AND($A284&lt;=IF(Calc!$C$36=999,360,Calc!$C$36),Calc!$C$14=1),CHOOSE(Calc!$C$3,INDEX('Snowball Engine'!$AH286:$AV286,Calc!$I$14),INDEX('Avalanche Engine'!$AH286:$AV286,Calc!$J$14),INDEX('My Order Engine'!$AH286:$AV286,Calc!$K$14)),"")</f>
        <v/>
      </c>
      <c r="L284" s="25" t="str">
        <f>IF(AND($A284&lt;=IF(Calc!$C$36=999,360,Calc!$C$36),Calc!$C$15=1),CHOOSE(Calc!$C$3,INDEX('Snowball Engine'!$AH286:$AV286,Calc!$I$15),INDEX('Avalanche Engine'!$AH286:$AV286,Calc!$J$15),INDEX('My Order Engine'!$AH286:$AV286,Calc!$K$15)),"")</f>
        <v/>
      </c>
      <c r="M284" s="25" t="str">
        <f>IF(AND($A284&lt;=IF(Calc!$C$36=999,360,Calc!$C$36),Calc!$C$16=1),CHOOSE(Calc!$C$3,INDEX('Snowball Engine'!$AH286:$AV286,Calc!$I$16),INDEX('Avalanche Engine'!$AH286:$AV286,Calc!$J$16),INDEX('My Order Engine'!$AH286:$AV286,Calc!$K$16)),"")</f>
        <v/>
      </c>
      <c r="N284" s="25" t="str">
        <f>IF(AND($A284&lt;=IF(Calc!$C$36=999,360,Calc!$C$36),Calc!$C$17=1),CHOOSE(Calc!$C$3,INDEX('Snowball Engine'!$AH286:$AV286,Calc!$I$17),INDEX('Avalanche Engine'!$AH286:$AV286,Calc!$J$17),INDEX('My Order Engine'!$AH286:$AV286,Calc!$K$17)),"")</f>
        <v/>
      </c>
      <c r="O284" s="25" t="str">
        <f>IF(AND($A284&lt;=IF(Calc!$C$36=999,360,Calc!$C$36),Calc!$C$18=1),CHOOSE(Calc!$C$3,INDEX('Snowball Engine'!$AH286:$AV286,Calc!$I$18),INDEX('Avalanche Engine'!$AH286:$AV286,Calc!$J$18),INDEX('My Order Engine'!$AH286:$AV286,Calc!$K$18)),"")</f>
        <v/>
      </c>
      <c r="P284" s="25" t="str">
        <f>IF(AND($A284&lt;=IF(Calc!$C$36=999,360,Calc!$C$36),Calc!$C$19=1),CHOOSE(Calc!$C$3,INDEX('Snowball Engine'!$AH286:$AV286,Calc!$I$19),INDEX('Avalanche Engine'!$AH286:$AV286,Calc!$J$19),INDEX('My Order Engine'!$AH286:$AV286,Calc!$K$19)),"")</f>
        <v/>
      </c>
      <c r="Q284" s="25" t="str">
        <f>IF(AND($A284&lt;=IF(Calc!$C$36=999,360,Calc!$C$36),Calc!$C$20=1),CHOOSE(Calc!$C$3,INDEX('Snowball Engine'!$AH286:$AV286,Calc!$I$20),INDEX('Avalanche Engine'!$AH286:$AV286,Calc!$J$20),INDEX('My Order Engine'!$AH286:$AV286,Calc!$K$20)),"")</f>
        <v/>
      </c>
      <c r="R284" s="25" t="str">
        <f>IF(AND($A284&lt;=IF(Calc!$C$36=999,360,Calc!$C$36),Calc!$C$21=1),CHOOSE(Calc!$C$3,INDEX('Snowball Engine'!$AH286:$AV286,Calc!$I$21),INDEX('Avalanche Engine'!$AH286:$AV286,Calc!$J$21),INDEX('My Order Engine'!$AH286:$AV286,Calc!$K$21)),"")</f>
        <v/>
      </c>
      <c r="S284" s="25" t="str">
        <f>IF(AND($A284&lt;=IF(Calc!$C$36=999,360,Calc!$C$36),Calc!$C$22=1),CHOOSE(Calc!$C$3,INDEX('Snowball Engine'!$AH286:$AV286,Calc!$I$22),INDEX('Avalanche Engine'!$AH286:$AV286,Calc!$J$22),INDEX('My Order Engine'!$AH286:$AV286,Calc!$K$22)),"")</f>
        <v/>
      </c>
      <c r="T284" s="25" t="str">
        <f>IF(AND($A284&lt;=IF(Calc!$C$36=999,360,Calc!$C$36),Calc!$C$23=1),CHOOSE(Calc!$C$3,INDEX('Snowball Engine'!$AH286:$AV286,Calc!$I$23),INDEX('Avalanche Engine'!$AH286:$AV286,Calc!$J$23),INDEX('My Order Engine'!$AH286:$AV286,Calc!$K$23)),"")</f>
        <v/>
      </c>
      <c r="U284" s="25" t="str">
        <f>IF(AND($A284&lt;=IF(Calc!$C$36=999,360,Calc!$C$36),Calc!$C$24=1),CHOOSE(Calc!$C$3,INDEX('Snowball Engine'!$AH286:$AV286,Calc!$I$24),INDEX('Avalanche Engine'!$AH286:$AV286,Calc!$J$24),INDEX('My Order Engine'!$AH286:$AV286,Calc!$K$24)),"")</f>
        <v/>
      </c>
    </row>
    <row r="285" spans="1:21" x14ac:dyDescent="0.35">
      <c r="A285" s="23">
        <v>281</v>
      </c>
      <c r="B285" s="24" t="str">
        <f>IF($A285&lt;=IF(Calc!$C$36=999,360,Calc!$C$36),EDATE(Calc!$C$5,A285-1),"")</f>
        <v/>
      </c>
      <c r="C285" s="25" t="str">
        <f>IF($A285&lt;=IF(Calc!$C$36=999,360,Calc!$C$36),CHOOSE(Calc!$C$3,'Snowball Engine'!AY287,'Avalanche Engine'!AY287,'My Order Engine'!AY287),"")</f>
        <v/>
      </c>
      <c r="D285" s="25" t="str">
        <f>IF($A285&lt;=IF(Calc!$C$36=999,360,Calc!$C$36),CHOOSE(Calc!$C$3,'Snowball Engine'!AX287,'Avalanche Engine'!AX287,'My Order Engine'!AX287),"")</f>
        <v/>
      </c>
      <c r="E285" s="25" t="str">
        <f>IF($A285&lt;=IF(Calc!$C$36=999,360,Calc!$C$36),C285-D285,"")</f>
        <v/>
      </c>
      <c r="F285" s="25" t="str">
        <f>IF($A285&lt;=IF(Calc!$C$36=999,360,Calc!$C$36),CHOOSE(Calc!$C$3,'Snowball Engine'!AW287,'Avalanche Engine'!AW287,'My Order Engine'!AW287),"")</f>
        <v/>
      </c>
      <c r="G285" s="25" t="str">
        <f>IF(AND($A285&lt;=IF(Calc!$C$36=999,360,Calc!$C$36),Calc!$C$10=1),CHOOSE(Calc!$C$3,INDEX('Snowball Engine'!$AH287:$AV287,Calc!$I$10),INDEX('Avalanche Engine'!$AH287:$AV287,Calc!$J$10),INDEX('My Order Engine'!$AH287:$AV287,Calc!$K$10)),"")</f>
        <v/>
      </c>
      <c r="H285" s="25" t="str">
        <f>IF(AND($A285&lt;=IF(Calc!$C$36=999,360,Calc!$C$36),Calc!$C$11=1),CHOOSE(Calc!$C$3,INDEX('Snowball Engine'!$AH287:$AV287,Calc!$I$11),INDEX('Avalanche Engine'!$AH287:$AV287,Calc!$J$11),INDEX('My Order Engine'!$AH287:$AV287,Calc!$K$11)),"")</f>
        <v/>
      </c>
      <c r="I285" s="25" t="str">
        <f>IF(AND($A285&lt;=IF(Calc!$C$36=999,360,Calc!$C$36),Calc!$C$12=1),CHOOSE(Calc!$C$3,INDEX('Snowball Engine'!$AH287:$AV287,Calc!$I$12),INDEX('Avalanche Engine'!$AH287:$AV287,Calc!$J$12),INDEX('My Order Engine'!$AH287:$AV287,Calc!$K$12)),"")</f>
        <v/>
      </c>
      <c r="J285" s="25" t="str">
        <f>IF(AND($A285&lt;=IF(Calc!$C$36=999,360,Calc!$C$36),Calc!$C$13=1),CHOOSE(Calc!$C$3,INDEX('Snowball Engine'!$AH287:$AV287,Calc!$I$13),INDEX('Avalanche Engine'!$AH287:$AV287,Calc!$J$13),INDEX('My Order Engine'!$AH287:$AV287,Calc!$K$13)),"")</f>
        <v/>
      </c>
      <c r="K285" s="25" t="str">
        <f>IF(AND($A285&lt;=IF(Calc!$C$36=999,360,Calc!$C$36),Calc!$C$14=1),CHOOSE(Calc!$C$3,INDEX('Snowball Engine'!$AH287:$AV287,Calc!$I$14),INDEX('Avalanche Engine'!$AH287:$AV287,Calc!$J$14),INDEX('My Order Engine'!$AH287:$AV287,Calc!$K$14)),"")</f>
        <v/>
      </c>
      <c r="L285" s="25" t="str">
        <f>IF(AND($A285&lt;=IF(Calc!$C$36=999,360,Calc!$C$36),Calc!$C$15=1),CHOOSE(Calc!$C$3,INDEX('Snowball Engine'!$AH287:$AV287,Calc!$I$15),INDEX('Avalanche Engine'!$AH287:$AV287,Calc!$J$15),INDEX('My Order Engine'!$AH287:$AV287,Calc!$K$15)),"")</f>
        <v/>
      </c>
      <c r="M285" s="25" t="str">
        <f>IF(AND($A285&lt;=IF(Calc!$C$36=999,360,Calc!$C$36),Calc!$C$16=1),CHOOSE(Calc!$C$3,INDEX('Snowball Engine'!$AH287:$AV287,Calc!$I$16),INDEX('Avalanche Engine'!$AH287:$AV287,Calc!$J$16),INDEX('My Order Engine'!$AH287:$AV287,Calc!$K$16)),"")</f>
        <v/>
      </c>
      <c r="N285" s="25" t="str">
        <f>IF(AND($A285&lt;=IF(Calc!$C$36=999,360,Calc!$C$36),Calc!$C$17=1),CHOOSE(Calc!$C$3,INDEX('Snowball Engine'!$AH287:$AV287,Calc!$I$17),INDEX('Avalanche Engine'!$AH287:$AV287,Calc!$J$17),INDEX('My Order Engine'!$AH287:$AV287,Calc!$K$17)),"")</f>
        <v/>
      </c>
      <c r="O285" s="25" t="str">
        <f>IF(AND($A285&lt;=IF(Calc!$C$36=999,360,Calc!$C$36),Calc!$C$18=1),CHOOSE(Calc!$C$3,INDEX('Snowball Engine'!$AH287:$AV287,Calc!$I$18),INDEX('Avalanche Engine'!$AH287:$AV287,Calc!$J$18),INDEX('My Order Engine'!$AH287:$AV287,Calc!$K$18)),"")</f>
        <v/>
      </c>
      <c r="P285" s="25" t="str">
        <f>IF(AND($A285&lt;=IF(Calc!$C$36=999,360,Calc!$C$36),Calc!$C$19=1),CHOOSE(Calc!$C$3,INDEX('Snowball Engine'!$AH287:$AV287,Calc!$I$19),INDEX('Avalanche Engine'!$AH287:$AV287,Calc!$J$19),INDEX('My Order Engine'!$AH287:$AV287,Calc!$K$19)),"")</f>
        <v/>
      </c>
      <c r="Q285" s="25" t="str">
        <f>IF(AND($A285&lt;=IF(Calc!$C$36=999,360,Calc!$C$36),Calc!$C$20=1),CHOOSE(Calc!$C$3,INDEX('Snowball Engine'!$AH287:$AV287,Calc!$I$20),INDEX('Avalanche Engine'!$AH287:$AV287,Calc!$J$20),INDEX('My Order Engine'!$AH287:$AV287,Calc!$K$20)),"")</f>
        <v/>
      </c>
      <c r="R285" s="25" t="str">
        <f>IF(AND($A285&lt;=IF(Calc!$C$36=999,360,Calc!$C$36),Calc!$C$21=1),CHOOSE(Calc!$C$3,INDEX('Snowball Engine'!$AH287:$AV287,Calc!$I$21),INDEX('Avalanche Engine'!$AH287:$AV287,Calc!$J$21),INDEX('My Order Engine'!$AH287:$AV287,Calc!$K$21)),"")</f>
        <v/>
      </c>
      <c r="S285" s="25" t="str">
        <f>IF(AND($A285&lt;=IF(Calc!$C$36=999,360,Calc!$C$36),Calc!$C$22=1),CHOOSE(Calc!$C$3,INDEX('Snowball Engine'!$AH287:$AV287,Calc!$I$22),INDEX('Avalanche Engine'!$AH287:$AV287,Calc!$J$22),INDEX('My Order Engine'!$AH287:$AV287,Calc!$K$22)),"")</f>
        <v/>
      </c>
      <c r="T285" s="25" t="str">
        <f>IF(AND($A285&lt;=IF(Calc!$C$36=999,360,Calc!$C$36),Calc!$C$23=1),CHOOSE(Calc!$C$3,INDEX('Snowball Engine'!$AH287:$AV287,Calc!$I$23),INDEX('Avalanche Engine'!$AH287:$AV287,Calc!$J$23),INDEX('My Order Engine'!$AH287:$AV287,Calc!$K$23)),"")</f>
        <v/>
      </c>
      <c r="U285" s="25" t="str">
        <f>IF(AND($A285&lt;=IF(Calc!$C$36=999,360,Calc!$C$36),Calc!$C$24=1),CHOOSE(Calc!$C$3,INDEX('Snowball Engine'!$AH287:$AV287,Calc!$I$24),INDEX('Avalanche Engine'!$AH287:$AV287,Calc!$J$24),INDEX('My Order Engine'!$AH287:$AV287,Calc!$K$24)),"")</f>
        <v/>
      </c>
    </row>
    <row r="286" spans="1:21" x14ac:dyDescent="0.35">
      <c r="A286" s="23">
        <v>282</v>
      </c>
      <c r="B286" s="24" t="str">
        <f>IF($A286&lt;=IF(Calc!$C$36=999,360,Calc!$C$36),EDATE(Calc!$C$5,A286-1),"")</f>
        <v/>
      </c>
      <c r="C286" s="25" t="str">
        <f>IF($A286&lt;=IF(Calc!$C$36=999,360,Calc!$C$36),CHOOSE(Calc!$C$3,'Snowball Engine'!AY288,'Avalanche Engine'!AY288,'My Order Engine'!AY288),"")</f>
        <v/>
      </c>
      <c r="D286" s="25" t="str">
        <f>IF($A286&lt;=IF(Calc!$C$36=999,360,Calc!$C$36),CHOOSE(Calc!$C$3,'Snowball Engine'!AX288,'Avalanche Engine'!AX288,'My Order Engine'!AX288),"")</f>
        <v/>
      </c>
      <c r="E286" s="25" t="str">
        <f>IF($A286&lt;=IF(Calc!$C$36=999,360,Calc!$C$36),C286-D286,"")</f>
        <v/>
      </c>
      <c r="F286" s="25" t="str">
        <f>IF($A286&lt;=IF(Calc!$C$36=999,360,Calc!$C$36),CHOOSE(Calc!$C$3,'Snowball Engine'!AW288,'Avalanche Engine'!AW288,'My Order Engine'!AW288),"")</f>
        <v/>
      </c>
      <c r="G286" s="25" t="str">
        <f>IF(AND($A286&lt;=IF(Calc!$C$36=999,360,Calc!$C$36),Calc!$C$10=1),CHOOSE(Calc!$C$3,INDEX('Snowball Engine'!$AH288:$AV288,Calc!$I$10),INDEX('Avalanche Engine'!$AH288:$AV288,Calc!$J$10),INDEX('My Order Engine'!$AH288:$AV288,Calc!$K$10)),"")</f>
        <v/>
      </c>
      <c r="H286" s="25" t="str">
        <f>IF(AND($A286&lt;=IF(Calc!$C$36=999,360,Calc!$C$36),Calc!$C$11=1),CHOOSE(Calc!$C$3,INDEX('Snowball Engine'!$AH288:$AV288,Calc!$I$11),INDEX('Avalanche Engine'!$AH288:$AV288,Calc!$J$11),INDEX('My Order Engine'!$AH288:$AV288,Calc!$K$11)),"")</f>
        <v/>
      </c>
      <c r="I286" s="25" t="str">
        <f>IF(AND($A286&lt;=IF(Calc!$C$36=999,360,Calc!$C$36),Calc!$C$12=1),CHOOSE(Calc!$C$3,INDEX('Snowball Engine'!$AH288:$AV288,Calc!$I$12),INDEX('Avalanche Engine'!$AH288:$AV288,Calc!$J$12),INDEX('My Order Engine'!$AH288:$AV288,Calc!$K$12)),"")</f>
        <v/>
      </c>
      <c r="J286" s="25" t="str">
        <f>IF(AND($A286&lt;=IF(Calc!$C$36=999,360,Calc!$C$36),Calc!$C$13=1),CHOOSE(Calc!$C$3,INDEX('Snowball Engine'!$AH288:$AV288,Calc!$I$13),INDEX('Avalanche Engine'!$AH288:$AV288,Calc!$J$13),INDEX('My Order Engine'!$AH288:$AV288,Calc!$K$13)),"")</f>
        <v/>
      </c>
      <c r="K286" s="25" t="str">
        <f>IF(AND($A286&lt;=IF(Calc!$C$36=999,360,Calc!$C$36),Calc!$C$14=1),CHOOSE(Calc!$C$3,INDEX('Snowball Engine'!$AH288:$AV288,Calc!$I$14),INDEX('Avalanche Engine'!$AH288:$AV288,Calc!$J$14),INDEX('My Order Engine'!$AH288:$AV288,Calc!$K$14)),"")</f>
        <v/>
      </c>
      <c r="L286" s="25" t="str">
        <f>IF(AND($A286&lt;=IF(Calc!$C$36=999,360,Calc!$C$36),Calc!$C$15=1),CHOOSE(Calc!$C$3,INDEX('Snowball Engine'!$AH288:$AV288,Calc!$I$15),INDEX('Avalanche Engine'!$AH288:$AV288,Calc!$J$15),INDEX('My Order Engine'!$AH288:$AV288,Calc!$K$15)),"")</f>
        <v/>
      </c>
      <c r="M286" s="25" t="str">
        <f>IF(AND($A286&lt;=IF(Calc!$C$36=999,360,Calc!$C$36),Calc!$C$16=1),CHOOSE(Calc!$C$3,INDEX('Snowball Engine'!$AH288:$AV288,Calc!$I$16),INDEX('Avalanche Engine'!$AH288:$AV288,Calc!$J$16),INDEX('My Order Engine'!$AH288:$AV288,Calc!$K$16)),"")</f>
        <v/>
      </c>
      <c r="N286" s="25" t="str">
        <f>IF(AND($A286&lt;=IF(Calc!$C$36=999,360,Calc!$C$36),Calc!$C$17=1),CHOOSE(Calc!$C$3,INDEX('Snowball Engine'!$AH288:$AV288,Calc!$I$17),INDEX('Avalanche Engine'!$AH288:$AV288,Calc!$J$17),INDEX('My Order Engine'!$AH288:$AV288,Calc!$K$17)),"")</f>
        <v/>
      </c>
      <c r="O286" s="25" t="str">
        <f>IF(AND($A286&lt;=IF(Calc!$C$36=999,360,Calc!$C$36),Calc!$C$18=1),CHOOSE(Calc!$C$3,INDEX('Snowball Engine'!$AH288:$AV288,Calc!$I$18),INDEX('Avalanche Engine'!$AH288:$AV288,Calc!$J$18),INDEX('My Order Engine'!$AH288:$AV288,Calc!$K$18)),"")</f>
        <v/>
      </c>
      <c r="P286" s="25" t="str">
        <f>IF(AND($A286&lt;=IF(Calc!$C$36=999,360,Calc!$C$36),Calc!$C$19=1),CHOOSE(Calc!$C$3,INDEX('Snowball Engine'!$AH288:$AV288,Calc!$I$19),INDEX('Avalanche Engine'!$AH288:$AV288,Calc!$J$19),INDEX('My Order Engine'!$AH288:$AV288,Calc!$K$19)),"")</f>
        <v/>
      </c>
      <c r="Q286" s="25" t="str">
        <f>IF(AND($A286&lt;=IF(Calc!$C$36=999,360,Calc!$C$36),Calc!$C$20=1),CHOOSE(Calc!$C$3,INDEX('Snowball Engine'!$AH288:$AV288,Calc!$I$20),INDEX('Avalanche Engine'!$AH288:$AV288,Calc!$J$20),INDEX('My Order Engine'!$AH288:$AV288,Calc!$K$20)),"")</f>
        <v/>
      </c>
      <c r="R286" s="25" t="str">
        <f>IF(AND($A286&lt;=IF(Calc!$C$36=999,360,Calc!$C$36),Calc!$C$21=1),CHOOSE(Calc!$C$3,INDEX('Snowball Engine'!$AH288:$AV288,Calc!$I$21),INDEX('Avalanche Engine'!$AH288:$AV288,Calc!$J$21),INDEX('My Order Engine'!$AH288:$AV288,Calc!$K$21)),"")</f>
        <v/>
      </c>
      <c r="S286" s="25" t="str">
        <f>IF(AND($A286&lt;=IF(Calc!$C$36=999,360,Calc!$C$36),Calc!$C$22=1),CHOOSE(Calc!$C$3,INDEX('Snowball Engine'!$AH288:$AV288,Calc!$I$22),INDEX('Avalanche Engine'!$AH288:$AV288,Calc!$J$22),INDEX('My Order Engine'!$AH288:$AV288,Calc!$K$22)),"")</f>
        <v/>
      </c>
      <c r="T286" s="25" t="str">
        <f>IF(AND($A286&lt;=IF(Calc!$C$36=999,360,Calc!$C$36),Calc!$C$23=1),CHOOSE(Calc!$C$3,INDEX('Snowball Engine'!$AH288:$AV288,Calc!$I$23),INDEX('Avalanche Engine'!$AH288:$AV288,Calc!$J$23),INDEX('My Order Engine'!$AH288:$AV288,Calc!$K$23)),"")</f>
        <v/>
      </c>
      <c r="U286" s="25" t="str">
        <f>IF(AND($A286&lt;=IF(Calc!$C$36=999,360,Calc!$C$36),Calc!$C$24=1),CHOOSE(Calc!$C$3,INDEX('Snowball Engine'!$AH288:$AV288,Calc!$I$24),INDEX('Avalanche Engine'!$AH288:$AV288,Calc!$J$24),INDEX('My Order Engine'!$AH288:$AV288,Calc!$K$24)),"")</f>
        <v/>
      </c>
    </row>
    <row r="287" spans="1:21" x14ac:dyDescent="0.35">
      <c r="A287" s="23">
        <v>283</v>
      </c>
      <c r="B287" s="24" t="str">
        <f>IF($A287&lt;=IF(Calc!$C$36=999,360,Calc!$C$36),EDATE(Calc!$C$5,A287-1),"")</f>
        <v/>
      </c>
      <c r="C287" s="25" t="str">
        <f>IF($A287&lt;=IF(Calc!$C$36=999,360,Calc!$C$36),CHOOSE(Calc!$C$3,'Snowball Engine'!AY289,'Avalanche Engine'!AY289,'My Order Engine'!AY289),"")</f>
        <v/>
      </c>
      <c r="D287" s="25" t="str">
        <f>IF($A287&lt;=IF(Calc!$C$36=999,360,Calc!$C$36),CHOOSE(Calc!$C$3,'Snowball Engine'!AX289,'Avalanche Engine'!AX289,'My Order Engine'!AX289),"")</f>
        <v/>
      </c>
      <c r="E287" s="25" t="str">
        <f>IF($A287&lt;=IF(Calc!$C$36=999,360,Calc!$C$36),C287-D287,"")</f>
        <v/>
      </c>
      <c r="F287" s="25" t="str">
        <f>IF($A287&lt;=IF(Calc!$C$36=999,360,Calc!$C$36),CHOOSE(Calc!$C$3,'Snowball Engine'!AW289,'Avalanche Engine'!AW289,'My Order Engine'!AW289),"")</f>
        <v/>
      </c>
      <c r="G287" s="25" t="str">
        <f>IF(AND($A287&lt;=IF(Calc!$C$36=999,360,Calc!$C$36),Calc!$C$10=1),CHOOSE(Calc!$C$3,INDEX('Snowball Engine'!$AH289:$AV289,Calc!$I$10),INDEX('Avalanche Engine'!$AH289:$AV289,Calc!$J$10),INDEX('My Order Engine'!$AH289:$AV289,Calc!$K$10)),"")</f>
        <v/>
      </c>
      <c r="H287" s="25" t="str">
        <f>IF(AND($A287&lt;=IF(Calc!$C$36=999,360,Calc!$C$36),Calc!$C$11=1),CHOOSE(Calc!$C$3,INDEX('Snowball Engine'!$AH289:$AV289,Calc!$I$11),INDEX('Avalanche Engine'!$AH289:$AV289,Calc!$J$11),INDEX('My Order Engine'!$AH289:$AV289,Calc!$K$11)),"")</f>
        <v/>
      </c>
      <c r="I287" s="25" t="str">
        <f>IF(AND($A287&lt;=IF(Calc!$C$36=999,360,Calc!$C$36),Calc!$C$12=1),CHOOSE(Calc!$C$3,INDEX('Snowball Engine'!$AH289:$AV289,Calc!$I$12),INDEX('Avalanche Engine'!$AH289:$AV289,Calc!$J$12),INDEX('My Order Engine'!$AH289:$AV289,Calc!$K$12)),"")</f>
        <v/>
      </c>
      <c r="J287" s="25" t="str">
        <f>IF(AND($A287&lt;=IF(Calc!$C$36=999,360,Calc!$C$36),Calc!$C$13=1),CHOOSE(Calc!$C$3,INDEX('Snowball Engine'!$AH289:$AV289,Calc!$I$13),INDEX('Avalanche Engine'!$AH289:$AV289,Calc!$J$13),INDEX('My Order Engine'!$AH289:$AV289,Calc!$K$13)),"")</f>
        <v/>
      </c>
      <c r="K287" s="25" t="str">
        <f>IF(AND($A287&lt;=IF(Calc!$C$36=999,360,Calc!$C$36),Calc!$C$14=1),CHOOSE(Calc!$C$3,INDEX('Snowball Engine'!$AH289:$AV289,Calc!$I$14),INDEX('Avalanche Engine'!$AH289:$AV289,Calc!$J$14),INDEX('My Order Engine'!$AH289:$AV289,Calc!$K$14)),"")</f>
        <v/>
      </c>
      <c r="L287" s="25" t="str">
        <f>IF(AND($A287&lt;=IF(Calc!$C$36=999,360,Calc!$C$36),Calc!$C$15=1),CHOOSE(Calc!$C$3,INDEX('Snowball Engine'!$AH289:$AV289,Calc!$I$15),INDEX('Avalanche Engine'!$AH289:$AV289,Calc!$J$15),INDEX('My Order Engine'!$AH289:$AV289,Calc!$K$15)),"")</f>
        <v/>
      </c>
      <c r="M287" s="25" t="str">
        <f>IF(AND($A287&lt;=IF(Calc!$C$36=999,360,Calc!$C$36),Calc!$C$16=1),CHOOSE(Calc!$C$3,INDEX('Snowball Engine'!$AH289:$AV289,Calc!$I$16),INDEX('Avalanche Engine'!$AH289:$AV289,Calc!$J$16),INDEX('My Order Engine'!$AH289:$AV289,Calc!$K$16)),"")</f>
        <v/>
      </c>
      <c r="N287" s="25" t="str">
        <f>IF(AND($A287&lt;=IF(Calc!$C$36=999,360,Calc!$C$36),Calc!$C$17=1),CHOOSE(Calc!$C$3,INDEX('Snowball Engine'!$AH289:$AV289,Calc!$I$17),INDEX('Avalanche Engine'!$AH289:$AV289,Calc!$J$17),INDEX('My Order Engine'!$AH289:$AV289,Calc!$K$17)),"")</f>
        <v/>
      </c>
      <c r="O287" s="25" t="str">
        <f>IF(AND($A287&lt;=IF(Calc!$C$36=999,360,Calc!$C$36),Calc!$C$18=1),CHOOSE(Calc!$C$3,INDEX('Snowball Engine'!$AH289:$AV289,Calc!$I$18),INDEX('Avalanche Engine'!$AH289:$AV289,Calc!$J$18),INDEX('My Order Engine'!$AH289:$AV289,Calc!$K$18)),"")</f>
        <v/>
      </c>
      <c r="P287" s="25" t="str">
        <f>IF(AND($A287&lt;=IF(Calc!$C$36=999,360,Calc!$C$36),Calc!$C$19=1),CHOOSE(Calc!$C$3,INDEX('Snowball Engine'!$AH289:$AV289,Calc!$I$19),INDEX('Avalanche Engine'!$AH289:$AV289,Calc!$J$19),INDEX('My Order Engine'!$AH289:$AV289,Calc!$K$19)),"")</f>
        <v/>
      </c>
      <c r="Q287" s="25" t="str">
        <f>IF(AND($A287&lt;=IF(Calc!$C$36=999,360,Calc!$C$36),Calc!$C$20=1),CHOOSE(Calc!$C$3,INDEX('Snowball Engine'!$AH289:$AV289,Calc!$I$20),INDEX('Avalanche Engine'!$AH289:$AV289,Calc!$J$20),INDEX('My Order Engine'!$AH289:$AV289,Calc!$K$20)),"")</f>
        <v/>
      </c>
      <c r="R287" s="25" t="str">
        <f>IF(AND($A287&lt;=IF(Calc!$C$36=999,360,Calc!$C$36),Calc!$C$21=1),CHOOSE(Calc!$C$3,INDEX('Snowball Engine'!$AH289:$AV289,Calc!$I$21),INDEX('Avalanche Engine'!$AH289:$AV289,Calc!$J$21),INDEX('My Order Engine'!$AH289:$AV289,Calc!$K$21)),"")</f>
        <v/>
      </c>
      <c r="S287" s="25" t="str">
        <f>IF(AND($A287&lt;=IF(Calc!$C$36=999,360,Calc!$C$36),Calc!$C$22=1),CHOOSE(Calc!$C$3,INDEX('Snowball Engine'!$AH289:$AV289,Calc!$I$22),INDEX('Avalanche Engine'!$AH289:$AV289,Calc!$J$22),INDEX('My Order Engine'!$AH289:$AV289,Calc!$K$22)),"")</f>
        <v/>
      </c>
      <c r="T287" s="25" t="str">
        <f>IF(AND($A287&lt;=IF(Calc!$C$36=999,360,Calc!$C$36),Calc!$C$23=1),CHOOSE(Calc!$C$3,INDEX('Snowball Engine'!$AH289:$AV289,Calc!$I$23),INDEX('Avalanche Engine'!$AH289:$AV289,Calc!$J$23),INDEX('My Order Engine'!$AH289:$AV289,Calc!$K$23)),"")</f>
        <v/>
      </c>
      <c r="U287" s="25" t="str">
        <f>IF(AND($A287&lt;=IF(Calc!$C$36=999,360,Calc!$C$36),Calc!$C$24=1),CHOOSE(Calc!$C$3,INDEX('Snowball Engine'!$AH289:$AV289,Calc!$I$24),INDEX('Avalanche Engine'!$AH289:$AV289,Calc!$J$24),INDEX('My Order Engine'!$AH289:$AV289,Calc!$K$24)),"")</f>
        <v/>
      </c>
    </row>
    <row r="288" spans="1:21" x14ac:dyDescent="0.35">
      <c r="A288" s="23">
        <v>284</v>
      </c>
      <c r="B288" s="24" t="str">
        <f>IF($A288&lt;=IF(Calc!$C$36=999,360,Calc!$C$36),EDATE(Calc!$C$5,A288-1),"")</f>
        <v/>
      </c>
      <c r="C288" s="25" t="str">
        <f>IF($A288&lt;=IF(Calc!$C$36=999,360,Calc!$C$36),CHOOSE(Calc!$C$3,'Snowball Engine'!AY290,'Avalanche Engine'!AY290,'My Order Engine'!AY290),"")</f>
        <v/>
      </c>
      <c r="D288" s="25" t="str">
        <f>IF($A288&lt;=IF(Calc!$C$36=999,360,Calc!$C$36),CHOOSE(Calc!$C$3,'Snowball Engine'!AX290,'Avalanche Engine'!AX290,'My Order Engine'!AX290),"")</f>
        <v/>
      </c>
      <c r="E288" s="25" t="str">
        <f>IF($A288&lt;=IF(Calc!$C$36=999,360,Calc!$C$36),C288-D288,"")</f>
        <v/>
      </c>
      <c r="F288" s="25" t="str">
        <f>IF($A288&lt;=IF(Calc!$C$36=999,360,Calc!$C$36),CHOOSE(Calc!$C$3,'Snowball Engine'!AW290,'Avalanche Engine'!AW290,'My Order Engine'!AW290),"")</f>
        <v/>
      </c>
      <c r="G288" s="25" t="str">
        <f>IF(AND($A288&lt;=IF(Calc!$C$36=999,360,Calc!$C$36),Calc!$C$10=1),CHOOSE(Calc!$C$3,INDEX('Snowball Engine'!$AH290:$AV290,Calc!$I$10),INDEX('Avalanche Engine'!$AH290:$AV290,Calc!$J$10),INDEX('My Order Engine'!$AH290:$AV290,Calc!$K$10)),"")</f>
        <v/>
      </c>
      <c r="H288" s="25" t="str">
        <f>IF(AND($A288&lt;=IF(Calc!$C$36=999,360,Calc!$C$36),Calc!$C$11=1),CHOOSE(Calc!$C$3,INDEX('Snowball Engine'!$AH290:$AV290,Calc!$I$11),INDEX('Avalanche Engine'!$AH290:$AV290,Calc!$J$11),INDEX('My Order Engine'!$AH290:$AV290,Calc!$K$11)),"")</f>
        <v/>
      </c>
      <c r="I288" s="25" t="str">
        <f>IF(AND($A288&lt;=IF(Calc!$C$36=999,360,Calc!$C$36),Calc!$C$12=1),CHOOSE(Calc!$C$3,INDEX('Snowball Engine'!$AH290:$AV290,Calc!$I$12),INDEX('Avalanche Engine'!$AH290:$AV290,Calc!$J$12),INDEX('My Order Engine'!$AH290:$AV290,Calc!$K$12)),"")</f>
        <v/>
      </c>
      <c r="J288" s="25" t="str">
        <f>IF(AND($A288&lt;=IF(Calc!$C$36=999,360,Calc!$C$36),Calc!$C$13=1),CHOOSE(Calc!$C$3,INDEX('Snowball Engine'!$AH290:$AV290,Calc!$I$13),INDEX('Avalanche Engine'!$AH290:$AV290,Calc!$J$13),INDEX('My Order Engine'!$AH290:$AV290,Calc!$K$13)),"")</f>
        <v/>
      </c>
      <c r="K288" s="25" t="str">
        <f>IF(AND($A288&lt;=IF(Calc!$C$36=999,360,Calc!$C$36),Calc!$C$14=1),CHOOSE(Calc!$C$3,INDEX('Snowball Engine'!$AH290:$AV290,Calc!$I$14),INDEX('Avalanche Engine'!$AH290:$AV290,Calc!$J$14),INDEX('My Order Engine'!$AH290:$AV290,Calc!$K$14)),"")</f>
        <v/>
      </c>
      <c r="L288" s="25" t="str">
        <f>IF(AND($A288&lt;=IF(Calc!$C$36=999,360,Calc!$C$36),Calc!$C$15=1),CHOOSE(Calc!$C$3,INDEX('Snowball Engine'!$AH290:$AV290,Calc!$I$15),INDEX('Avalanche Engine'!$AH290:$AV290,Calc!$J$15),INDEX('My Order Engine'!$AH290:$AV290,Calc!$K$15)),"")</f>
        <v/>
      </c>
      <c r="M288" s="25" t="str">
        <f>IF(AND($A288&lt;=IF(Calc!$C$36=999,360,Calc!$C$36),Calc!$C$16=1),CHOOSE(Calc!$C$3,INDEX('Snowball Engine'!$AH290:$AV290,Calc!$I$16),INDEX('Avalanche Engine'!$AH290:$AV290,Calc!$J$16),INDEX('My Order Engine'!$AH290:$AV290,Calc!$K$16)),"")</f>
        <v/>
      </c>
      <c r="N288" s="25" t="str">
        <f>IF(AND($A288&lt;=IF(Calc!$C$36=999,360,Calc!$C$36),Calc!$C$17=1),CHOOSE(Calc!$C$3,INDEX('Snowball Engine'!$AH290:$AV290,Calc!$I$17),INDEX('Avalanche Engine'!$AH290:$AV290,Calc!$J$17),INDEX('My Order Engine'!$AH290:$AV290,Calc!$K$17)),"")</f>
        <v/>
      </c>
      <c r="O288" s="25" t="str">
        <f>IF(AND($A288&lt;=IF(Calc!$C$36=999,360,Calc!$C$36),Calc!$C$18=1),CHOOSE(Calc!$C$3,INDEX('Snowball Engine'!$AH290:$AV290,Calc!$I$18),INDEX('Avalanche Engine'!$AH290:$AV290,Calc!$J$18),INDEX('My Order Engine'!$AH290:$AV290,Calc!$K$18)),"")</f>
        <v/>
      </c>
      <c r="P288" s="25" t="str">
        <f>IF(AND($A288&lt;=IF(Calc!$C$36=999,360,Calc!$C$36),Calc!$C$19=1),CHOOSE(Calc!$C$3,INDEX('Snowball Engine'!$AH290:$AV290,Calc!$I$19),INDEX('Avalanche Engine'!$AH290:$AV290,Calc!$J$19),INDEX('My Order Engine'!$AH290:$AV290,Calc!$K$19)),"")</f>
        <v/>
      </c>
      <c r="Q288" s="25" t="str">
        <f>IF(AND($A288&lt;=IF(Calc!$C$36=999,360,Calc!$C$36),Calc!$C$20=1),CHOOSE(Calc!$C$3,INDEX('Snowball Engine'!$AH290:$AV290,Calc!$I$20),INDEX('Avalanche Engine'!$AH290:$AV290,Calc!$J$20),INDEX('My Order Engine'!$AH290:$AV290,Calc!$K$20)),"")</f>
        <v/>
      </c>
      <c r="R288" s="25" t="str">
        <f>IF(AND($A288&lt;=IF(Calc!$C$36=999,360,Calc!$C$36),Calc!$C$21=1),CHOOSE(Calc!$C$3,INDEX('Snowball Engine'!$AH290:$AV290,Calc!$I$21),INDEX('Avalanche Engine'!$AH290:$AV290,Calc!$J$21),INDEX('My Order Engine'!$AH290:$AV290,Calc!$K$21)),"")</f>
        <v/>
      </c>
      <c r="S288" s="25" t="str">
        <f>IF(AND($A288&lt;=IF(Calc!$C$36=999,360,Calc!$C$36),Calc!$C$22=1),CHOOSE(Calc!$C$3,INDEX('Snowball Engine'!$AH290:$AV290,Calc!$I$22),INDEX('Avalanche Engine'!$AH290:$AV290,Calc!$J$22),INDEX('My Order Engine'!$AH290:$AV290,Calc!$K$22)),"")</f>
        <v/>
      </c>
      <c r="T288" s="25" t="str">
        <f>IF(AND($A288&lt;=IF(Calc!$C$36=999,360,Calc!$C$36),Calc!$C$23=1),CHOOSE(Calc!$C$3,INDEX('Snowball Engine'!$AH290:$AV290,Calc!$I$23),INDEX('Avalanche Engine'!$AH290:$AV290,Calc!$J$23),INDEX('My Order Engine'!$AH290:$AV290,Calc!$K$23)),"")</f>
        <v/>
      </c>
      <c r="U288" s="25" t="str">
        <f>IF(AND($A288&lt;=IF(Calc!$C$36=999,360,Calc!$C$36),Calc!$C$24=1),CHOOSE(Calc!$C$3,INDEX('Snowball Engine'!$AH290:$AV290,Calc!$I$24),INDEX('Avalanche Engine'!$AH290:$AV290,Calc!$J$24),INDEX('My Order Engine'!$AH290:$AV290,Calc!$K$24)),"")</f>
        <v/>
      </c>
    </row>
    <row r="289" spans="1:21" x14ac:dyDescent="0.35">
      <c r="A289" s="23">
        <v>285</v>
      </c>
      <c r="B289" s="24" t="str">
        <f>IF($A289&lt;=IF(Calc!$C$36=999,360,Calc!$C$36),EDATE(Calc!$C$5,A289-1),"")</f>
        <v/>
      </c>
      <c r="C289" s="25" t="str">
        <f>IF($A289&lt;=IF(Calc!$C$36=999,360,Calc!$C$36),CHOOSE(Calc!$C$3,'Snowball Engine'!AY291,'Avalanche Engine'!AY291,'My Order Engine'!AY291),"")</f>
        <v/>
      </c>
      <c r="D289" s="25" t="str">
        <f>IF($A289&lt;=IF(Calc!$C$36=999,360,Calc!$C$36),CHOOSE(Calc!$C$3,'Snowball Engine'!AX291,'Avalanche Engine'!AX291,'My Order Engine'!AX291),"")</f>
        <v/>
      </c>
      <c r="E289" s="25" t="str">
        <f>IF($A289&lt;=IF(Calc!$C$36=999,360,Calc!$C$36),C289-D289,"")</f>
        <v/>
      </c>
      <c r="F289" s="25" t="str">
        <f>IF($A289&lt;=IF(Calc!$C$36=999,360,Calc!$C$36),CHOOSE(Calc!$C$3,'Snowball Engine'!AW291,'Avalanche Engine'!AW291,'My Order Engine'!AW291),"")</f>
        <v/>
      </c>
      <c r="G289" s="25" t="str">
        <f>IF(AND($A289&lt;=IF(Calc!$C$36=999,360,Calc!$C$36),Calc!$C$10=1),CHOOSE(Calc!$C$3,INDEX('Snowball Engine'!$AH291:$AV291,Calc!$I$10),INDEX('Avalanche Engine'!$AH291:$AV291,Calc!$J$10),INDEX('My Order Engine'!$AH291:$AV291,Calc!$K$10)),"")</f>
        <v/>
      </c>
      <c r="H289" s="25" t="str">
        <f>IF(AND($A289&lt;=IF(Calc!$C$36=999,360,Calc!$C$36),Calc!$C$11=1),CHOOSE(Calc!$C$3,INDEX('Snowball Engine'!$AH291:$AV291,Calc!$I$11),INDEX('Avalanche Engine'!$AH291:$AV291,Calc!$J$11),INDEX('My Order Engine'!$AH291:$AV291,Calc!$K$11)),"")</f>
        <v/>
      </c>
      <c r="I289" s="25" t="str">
        <f>IF(AND($A289&lt;=IF(Calc!$C$36=999,360,Calc!$C$36),Calc!$C$12=1),CHOOSE(Calc!$C$3,INDEX('Snowball Engine'!$AH291:$AV291,Calc!$I$12),INDEX('Avalanche Engine'!$AH291:$AV291,Calc!$J$12),INDEX('My Order Engine'!$AH291:$AV291,Calc!$K$12)),"")</f>
        <v/>
      </c>
      <c r="J289" s="25" t="str">
        <f>IF(AND($A289&lt;=IF(Calc!$C$36=999,360,Calc!$C$36),Calc!$C$13=1),CHOOSE(Calc!$C$3,INDEX('Snowball Engine'!$AH291:$AV291,Calc!$I$13),INDEX('Avalanche Engine'!$AH291:$AV291,Calc!$J$13),INDEX('My Order Engine'!$AH291:$AV291,Calc!$K$13)),"")</f>
        <v/>
      </c>
      <c r="K289" s="25" t="str">
        <f>IF(AND($A289&lt;=IF(Calc!$C$36=999,360,Calc!$C$36),Calc!$C$14=1),CHOOSE(Calc!$C$3,INDEX('Snowball Engine'!$AH291:$AV291,Calc!$I$14),INDEX('Avalanche Engine'!$AH291:$AV291,Calc!$J$14),INDEX('My Order Engine'!$AH291:$AV291,Calc!$K$14)),"")</f>
        <v/>
      </c>
      <c r="L289" s="25" t="str">
        <f>IF(AND($A289&lt;=IF(Calc!$C$36=999,360,Calc!$C$36),Calc!$C$15=1),CHOOSE(Calc!$C$3,INDEX('Snowball Engine'!$AH291:$AV291,Calc!$I$15),INDEX('Avalanche Engine'!$AH291:$AV291,Calc!$J$15),INDEX('My Order Engine'!$AH291:$AV291,Calc!$K$15)),"")</f>
        <v/>
      </c>
      <c r="M289" s="25" t="str">
        <f>IF(AND($A289&lt;=IF(Calc!$C$36=999,360,Calc!$C$36),Calc!$C$16=1),CHOOSE(Calc!$C$3,INDEX('Snowball Engine'!$AH291:$AV291,Calc!$I$16),INDEX('Avalanche Engine'!$AH291:$AV291,Calc!$J$16),INDEX('My Order Engine'!$AH291:$AV291,Calc!$K$16)),"")</f>
        <v/>
      </c>
      <c r="N289" s="25" t="str">
        <f>IF(AND($A289&lt;=IF(Calc!$C$36=999,360,Calc!$C$36),Calc!$C$17=1),CHOOSE(Calc!$C$3,INDEX('Snowball Engine'!$AH291:$AV291,Calc!$I$17),INDEX('Avalanche Engine'!$AH291:$AV291,Calc!$J$17),INDEX('My Order Engine'!$AH291:$AV291,Calc!$K$17)),"")</f>
        <v/>
      </c>
      <c r="O289" s="25" t="str">
        <f>IF(AND($A289&lt;=IF(Calc!$C$36=999,360,Calc!$C$36),Calc!$C$18=1),CHOOSE(Calc!$C$3,INDEX('Snowball Engine'!$AH291:$AV291,Calc!$I$18),INDEX('Avalanche Engine'!$AH291:$AV291,Calc!$J$18),INDEX('My Order Engine'!$AH291:$AV291,Calc!$K$18)),"")</f>
        <v/>
      </c>
      <c r="P289" s="25" t="str">
        <f>IF(AND($A289&lt;=IF(Calc!$C$36=999,360,Calc!$C$36),Calc!$C$19=1),CHOOSE(Calc!$C$3,INDEX('Snowball Engine'!$AH291:$AV291,Calc!$I$19),INDEX('Avalanche Engine'!$AH291:$AV291,Calc!$J$19),INDEX('My Order Engine'!$AH291:$AV291,Calc!$K$19)),"")</f>
        <v/>
      </c>
      <c r="Q289" s="25" t="str">
        <f>IF(AND($A289&lt;=IF(Calc!$C$36=999,360,Calc!$C$36),Calc!$C$20=1),CHOOSE(Calc!$C$3,INDEX('Snowball Engine'!$AH291:$AV291,Calc!$I$20),INDEX('Avalanche Engine'!$AH291:$AV291,Calc!$J$20),INDEX('My Order Engine'!$AH291:$AV291,Calc!$K$20)),"")</f>
        <v/>
      </c>
      <c r="R289" s="25" t="str">
        <f>IF(AND($A289&lt;=IF(Calc!$C$36=999,360,Calc!$C$36),Calc!$C$21=1),CHOOSE(Calc!$C$3,INDEX('Snowball Engine'!$AH291:$AV291,Calc!$I$21),INDEX('Avalanche Engine'!$AH291:$AV291,Calc!$J$21),INDEX('My Order Engine'!$AH291:$AV291,Calc!$K$21)),"")</f>
        <v/>
      </c>
      <c r="S289" s="25" t="str">
        <f>IF(AND($A289&lt;=IF(Calc!$C$36=999,360,Calc!$C$36),Calc!$C$22=1),CHOOSE(Calc!$C$3,INDEX('Snowball Engine'!$AH291:$AV291,Calc!$I$22),INDEX('Avalanche Engine'!$AH291:$AV291,Calc!$J$22),INDEX('My Order Engine'!$AH291:$AV291,Calc!$K$22)),"")</f>
        <v/>
      </c>
      <c r="T289" s="25" t="str">
        <f>IF(AND($A289&lt;=IF(Calc!$C$36=999,360,Calc!$C$36),Calc!$C$23=1),CHOOSE(Calc!$C$3,INDEX('Snowball Engine'!$AH291:$AV291,Calc!$I$23),INDEX('Avalanche Engine'!$AH291:$AV291,Calc!$J$23),INDEX('My Order Engine'!$AH291:$AV291,Calc!$K$23)),"")</f>
        <v/>
      </c>
      <c r="U289" s="25" t="str">
        <f>IF(AND($A289&lt;=IF(Calc!$C$36=999,360,Calc!$C$36),Calc!$C$24=1),CHOOSE(Calc!$C$3,INDEX('Snowball Engine'!$AH291:$AV291,Calc!$I$24),INDEX('Avalanche Engine'!$AH291:$AV291,Calc!$J$24),INDEX('My Order Engine'!$AH291:$AV291,Calc!$K$24)),"")</f>
        <v/>
      </c>
    </row>
    <row r="290" spans="1:21" x14ac:dyDescent="0.35">
      <c r="A290" s="23">
        <v>286</v>
      </c>
      <c r="B290" s="24" t="str">
        <f>IF($A290&lt;=IF(Calc!$C$36=999,360,Calc!$C$36),EDATE(Calc!$C$5,A290-1),"")</f>
        <v/>
      </c>
      <c r="C290" s="25" t="str">
        <f>IF($A290&lt;=IF(Calc!$C$36=999,360,Calc!$C$36),CHOOSE(Calc!$C$3,'Snowball Engine'!AY292,'Avalanche Engine'!AY292,'My Order Engine'!AY292),"")</f>
        <v/>
      </c>
      <c r="D290" s="25" t="str">
        <f>IF($A290&lt;=IF(Calc!$C$36=999,360,Calc!$C$36),CHOOSE(Calc!$C$3,'Snowball Engine'!AX292,'Avalanche Engine'!AX292,'My Order Engine'!AX292),"")</f>
        <v/>
      </c>
      <c r="E290" s="25" t="str">
        <f>IF($A290&lt;=IF(Calc!$C$36=999,360,Calc!$C$36),C290-D290,"")</f>
        <v/>
      </c>
      <c r="F290" s="25" t="str">
        <f>IF($A290&lt;=IF(Calc!$C$36=999,360,Calc!$C$36),CHOOSE(Calc!$C$3,'Snowball Engine'!AW292,'Avalanche Engine'!AW292,'My Order Engine'!AW292),"")</f>
        <v/>
      </c>
      <c r="G290" s="25" t="str">
        <f>IF(AND($A290&lt;=IF(Calc!$C$36=999,360,Calc!$C$36),Calc!$C$10=1),CHOOSE(Calc!$C$3,INDEX('Snowball Engine'!$AH292:$AV292,Calc!$I$10),INDEX('Avalanche Engine'!$AH292:$AV292,Calc!$J$10),INDEX('My Order Engine'!$AH292:$AV292,Calc!$K$10)),"")</f>
        <v/>
      </c>
      <c r="H290" s="25" t="str">
        <f>IF(AND($A290&lt;=IF(Calc!$C$36=999,360,Calc!$C$36),Calc!$C$11=1),CHOOSE(Calc!$C$3,INDEX('Snowball Engine'!$AH292:$AV292,Calc!$I$11),INDEX('Avalanche Engine'!$AH292:$AV292,Calc!$J$11),INDEX('My Order Engine'!$AH292:$AV292,Calc!$K$11)),"")</f>
        <v/>
      </c>
      <c r="I290" s="25" t="str">
        <f>IF(AND($A290&lt;=IF(Calc!$C$36=999,360,Calc!$C$36),Calc!$C$12=1),CHOOSE(Calc!$C$3,INDEX('Snowball Engine'!$AH292:$AV292,Calc!$I$12),INDEX('Avalanche Engine'!$AH292:$AV292,Calc!$J$12),INDEX('My Order Engine'!$AH292:$AV292,Calc!$K$12)),"")</f>
        <v/>
      </c>
      <c r="J290" s="25" t="str">
        <f>IF(AND($A290&lt;=IF(Calc!$C$36=999,360,Calc!$C$36),Calc!$C$13=1),CHOOSE(Calc!$C$3,INDEX('Snowball Engine'!$AH292:$AV292,Calc!$I$13),INDEX('Avalanche Engine'!$AH292:$AV292,Calc!$J$13),INDEX('My Order Engine'!$AH292:$AV292,Calc!$K$13)),"")</f>
        <v/>
      </c>
      <c r="K290" s="25" t="str">
        <f>IF(AND($A290&lt;=IF(Calc!$C$36=999,360,Calc!$C$36),Calc!$C$14=1),CHOOSE(Calc!$C$3,INDEX('Snowball Engine'!$AH292:$AV292,Calc!$I$14),INDEX('Avalanche Engine'!$AH292:$AV292,Calc!$J$14),INDEX('My Order Engine'!$AH292:$AV292,Calc!$K$14)),"")</f>
        <v/>
      </c>
      <c r="L290" s="25" t="str">
        <f>IF(AND($A290&lt;=IF(Calc!$C$36=999,360,Calc!$C$36),Calc!$C$15=1),CHOOSE(Calc!$C$3,INDEX('Snowball Engine'!$AH292:$AV292,Calc!$I$15),INDEX('Avalanche Engine'!$AH292:$AV292,Calc!$J$15),INDEX('My Order Engine'!$AH292:$AV292,Calc!$K$15)),"")</f>
        <v/>
      </c>
      <c r="M290" s="25" t="str">
        <f>IF(AND($A290&lt;=IF(Calc!$C$36=999,360,Calc!$C$36),Calc!$C$16=1),CHOOSE(Calc!$C$3,INDEX('Snowball Engine'!$AH292:$AV292,Calc!$I$16),INDEX('Avalanche Engine'!$AH292:$AV292,Calc!$J$16),INDEX('My Order Engine'!$AH292:$AV292,Calc!$K$16)),"")</f>
        <v/>
      </c>
      <c r="N290" s="25" t="str">
        <f>IF(AND($A290&lt;=IF(Calc!$C$36=999,360,Calc!$C$36),Calc!$C$17=1),CHOOSE(Calc!$C$3,INDEX('Snowball Engine'!$AH292:$AV292,Calc!$I$17),INDEX('Avalanche Engine'!$AH292:$AV292,Calc!$J$17),INDEX('My Order Engine'!$AH292:$AV292,Calc!$K$17)),"")</f>
        <v/>
      </c>
      <c r="O290" s="25" t="str">
        <f>IF(AND($A290&lt;=IF(Calc!$C$36=999,360,Calc!$C$36),Calc!$C$18=1),CHOOSE(Calc!$C$3,INDEX('Snowball Engine'!$AH292:$AV292,Calc!$I$18),INDEX('Avalanche Engine'!$AH292:$AV292,Calc!$J$18),INDEX('My Order Engine'!$AH292:$AV292,Calc!$K$18)),"")</f>
        <v/>
      </c>
      <c r="P290" s="25" t="str">
        <f>IF(AND($A290&lt;=IF(Calc!$C$36=999,360,Calc!$C$36),Calc!$C$19=1),CHOOSE(Calc!$C$3,INDEX('Snowball Engine'!$AH292:$AV292,Calc!$I$19),INDEX('Avalanche Engine'!$AH292:$AV292,Calc!$J$19),INDEX('My Order Engine'!$AH292:$AV292,Calc!$K$19)),"")</f>
        <v/>
      </c>
      <c r="Q290" s="25" t="str">
        <f>IF(AND($A290&lt;=IF(Calc!$C$36=999,360,Calc!$C$36),Calc!$C$20=1),CHOOSE(Calc!$C$3,INDEX('Snowball Engine'!$AH292:$AV292,Calc!$I$20),INDEX('Avalanche Engine'!$AH292:$AV292,Calc!$J$20),INDEX('My Order Engine'!$AH292:$AV292,Calc!$K$20)),"")</f>
        <v/>
      </c>
      <c r="R290" s="25" t="str">
        <f>IF(AND($A290&lt;=IF(Calc!$C$36=999,360,Calc!$C$36),Calc!$C$21=1),CHOOSE(Calc!$C$3,INDEX('Snowball Engine'!$AH292:$AV292,Calc!$I$21),INDEX('Avalanche Engine'!$AH292:$AV292,Calc!$J$21),INDEX('My Order Engine'!$AH292:$AV292,Calc!$K$21)),"")</f>
        <v/>
      </c>
      <c r="S290" s="25" t="str">
        <f>IF(AND($A290&lt;=IF(Calc!$C$36=999,360,Calc!$C$36),Calc!$C$22=1),CHOOSE(Calc!$C$3,INDEX('Snowball Engine'!$AH292:$AV292,Calc!$I$22),INDEX('Avalanche Engine'!$AH292:$AV292,Calc!$J$22),INDEX('My Order Engine'!$AH292:$AV292,Calc!$K$22)),"")</f>
        <v/>
      </c>
      <c r="T290" s="25" t="str">
        <f>IF(AND($A290&lt;=IF(Calc!$C$36=999,360,Calc!$C$36),Calc!$C$23=1),CHOOSE(Calc!$C$3,INDEX('Snowball Engine'!$AH292:$AV292,Calc!$I$23),INDEX('Avalanche Engine'!$AH292:$AV292,Calc!$J$23),INDEX('My Order Engine'!$AH292:$AV292,Calc!$K$23)),"")</f>
        <v/>
      </c>
      <c r="U290" s="25" t="str">
        <f>IF(AND($A290&lt;=IF(Calc!$C$36=999,360,Calc!$C$36),Calc!$C$24=1),CHOOSE(Calc!$C$3,INDEX('Snowball Engine'!$AH292:$AV292,Calc!$I$24),INDEX('Avalanche Engine'!$AH292:$AV292,Calc!$J$24),INDEX('My Order Engine'!$AH292:$AV292,Calc!$K$24)),"")</f>
        <v/>
      </c>
    </row>
    <row r="291" spans="1:21" x14ac:dyDescent="0.35">
      <c r="A291" s="23">
        <v>287</v>
      </c>
      <c r="B291" s="24" t="str">
        <f>IF($A291&lt;=IF(Calc!$C$36=999,360,Calc!$C$36),EDATE(Calc!$C$5,A291-1),"")</f>
        <v/>
      </c>
      <c r="C291" s="25" t="str">
        <f>IF($A291&lt;=IF(Calc!$C$36=999,360,Calc!$C$36),CHOOSE(Calc!$C$3,'Snowball Engine'!AY293,'Avalanche Engine'!AY293,'My Order Engine'!AY293),"")</f>
        <v/>
      </c>
      <c r="D291" s="25" t="str">
        <f>IF($A291&lt;=IF(Calc!$C$36=999,360,Calc!$C$36),CHOOSE(Calc!$C$3,'Snowball Engine'!AX293,'Avalanche Engine'!AX293,'My Order Engine'!AX293),"")</f>
        <v/>
      </c>
      <c r="E291" s="25" t="str">
        <f>IF($A291&lt;=IF(Calc!$C$36=999,360,Calc!$C$36),C291-D291,"")</f>
        <v/>
      </c>
      <c r="F291" s="25" t="str">
        <f>IF($A291&lt;=IF(Calc!$C$36=999,360,Calc!$C$36),CHOOSE(Calc!$C$3,'Snowball Engine'!AW293,'Avalanche Engine'!AW293,'My Order Engine'!AW293),"")</f>
        <v/>
      </c>
      <c r="G291" s="25" t="str">
        <f>IF(AND($A291&lt;=IF(Calc!$C$36=999,360,Calc!$C$36),Calc!$C$10=1),CHOOSE(Calc!$C$3,INDEX('Snowball Engine'!$AH293:$AV293,Calc!$I$10),INDEX('Avalanche Engine'!$AH293:$AV293,Calc!$J$10),INDEX('My Order Engine'!$AH293:$AV293,Calc!$K$10)),"")</f>
        <v/>
      </c>
      <c r="H291" s="25" t="str">
        <f>IF(AND($A291&lt;=IF(Calc!$C$36=999,360,Calc!$C$36),Calc!$C$11=1),CHOOSE(Calc!$C$3,INDEX('Snowball Engine'!$AH293:$AV293,Calc!$I$11),INDEX('Avalanche Engine'!$AH293:$AV293,Calc!$J$11),INDEX('My Order Engine'!$AH293:$AV293,Calc!$K$11)),"")</f>
        <v/>
      </c>
      <c r="I291" s="25" t="str">
        <f>IF(AND($A291&lt;=IF(Calc!$C$36=999,360,Calc!$C$36),Calc!$C$12=1),CHOOSE(Calc!$C$3,INDEX('Snowball Engine'!$AH293:$AV293,Calc!$I$12),INDEX('Avalanche Engine'!$AH293:$AV293,Calc!$J$12),INDEX('My Order Engine'!$AH293:$AV293,Calc!$K$12)),"")</f>
        <v/>
      </c>
      <c r="J291" s="25" t="str">
        <f>IF(AND($A291&lt;=IF(Calc!$C$36=999,360,Calc!$C$36),Calc!$C$13=1),CHOOSE(Calc!$C$3,INDEX('Snowball Engine'!$AH293:$AV293,Calc!$I$13),INDEX('Avalanche Engine'!$AH293:$AV293,Calc!$J$13),INDEX('My Order Engine'!$AH293:$AV293,Calc!$K$13)),"")</f>
        <v/>
      </c>
      <c r="K291" s="25" t="str">
        <f>IF(AND($A291&lt;=IF(Calc!$C$36=999,360,Calc!$C$36),Calc!$C$14=1),CHOOSE(Calc!$C$3,INDEX('Snowball Engine'!$AH293:$AV293,Calc!$I$14),INDEX('Avalanche Engine'!$AH293:$AV293,Calc!$J$14),INDEX('My Order Engine'!$AH293:$AV293,Calc!$K$14)),"")</f>
        <v/>
      </c>
      <c r="L291" s="25" t="str">
        <f>IF(AND($A291&lt;=IF(Calc!$C$36=999,360,Calc!$C$36),Calc!$C$15=1),CHOOSE(Calc!$C$3,INDEX('Snowball Engine'!$AH293:$AV293,Calc!$I$15),INDEX('Avalanche Engine'!$AH293:$AV293,Calc!$J$15),INDEX('My Order Engine'!$AH293:$AV293,Calc!$K$15)),"")</f>
        <v/>
      </c>
      <c r="M291" s="25" t="str">
        <f>IF(AND($A291&lt;=IF(Calc!$C$36=999,360,Calc!$C$36),Calc!$C$16=1),CHOOSE(Calc!$C$3,INDEX('Snowball Engine'!$AH293:$AV293,Calc!$I$16),INDEX('Avalanche Engine'!$AH293:$AV293,Calc!$J$16),INDEX('My Order Engine'!$AH293:$AV293,Calc!$K$16)),"")</f>
        <v/>
      </c>
      <c r="N291" s="25" t="str">
        <f>IF(AND($A291&lt;=IF(Calc!$C$36=999,360,Calc!$C$36),Calc!$C$17=1),CHOOSE(Calc!$C$3,INDEX('Snowball Engine'!$AH293:$AV293,Calc!$I$17),INDEX('Avalanche Engine'!$AH293:$AV293,Calc!$J$17),INDEX('My Order Engine'!$AH293:$AV293,Calc!$K$17)),"")</f>
        <v/>
      </c>
      <c r="O291" s="25" t="str">
        <f>IF(AND($A291&lt;=IF(Calc!$C$36=999,360,Calc!$C$36),Calc!$C$18=1),CHOOSE(Calc!$C$3,INDEX('Snowball Engine'!$AH293:$AV293,Calc!$I$18),INDEX('Avalanche Engine'!$AH293:$AV293,Calc!$J$18),INDEX('My Order Engine'!$AH293:$AV293,Calc!$K$18)),"")</f>
        <v/>
      </c>
      <c r="P291" s="25" t="str">
        <f>IF(AND($A291&lt;=IF(Calc!$C$36=999,360,Calc!$C$36),Calc!$C$19=1),CHOOSE(Calc!$C$3,INDEX('Snowball Engine'!$AH293:$AV293,Calc!$I$19),INDEX('Avalanche Engine'!$AH293:$AV293,Calc!$J$19),INDEX('My Order Engine'!$AH293:$AV293,Calc!$K$19)),"")</f>
        <v/>
      </c>
      <c r="Q291" s="25" t="str">
        <f>IF(AND($A291&lt;=IF(Calc!$C$36=999,360,Calc!$C$36),Calc!$C$20=1),CHOOSE(Calc!$C$3,INDEX('Snowball Engine'!$AH293:$AV293,Calc!$I$20),INDEX('Avalanche Engine'!$AH293:$AV293,Calc!$J$20),INDEX('My Order Engine'!$AH293:$AV293,Calc!$K$20)),"")</f>
        <v/>
      </c>
      <c r="R291" s="25" t="str">
        <f>IF(AND($A291&lt;=IF(Calc!$C$36=999,360,Calc!$C$36),Calc!$C$21=1),CHOOSE(Calc!$C$3,INDEX('Snowball Engine'!$AH293:$AV293,Calc!$I$21),INDEX('Avalanche Engine'!$AH293:$AV293,Calc!$J$21),INDEX('My Order Engine'!$AH293:$AV293,Calc!$K$21)),"")</f>
        <v/>
      </c>
      <c r="S291" s="25" t="str">
        <f>IF(AND($A291&lt;=IF(Calc!$C$36=999,360,Calc!$C$36),Calc!$C$22=1),CHOOSE(Calc!$C$3,INDEX('Snowball Engine'!$AH293:$AV293,Calc!$I$22),INDEX('Avalanche Engine'!$AH293:$AV293,Calc!$J$22),INDEX('My Order Engine'!$AH293:$AV293,Calc!$K$22)),"")</f>
        <v/>
      </c>
      <c r="T291" s="25" t="str">
        <f>IF(AND($A291&lt;=IF(Calc!$C$36=999,360,Calc!$C$36),Calc!$C$23=1),CHOOSE(Calc!$C$3,INDEX('Snowball Engine'!$AH293:$AV293,Calc!$I$23),INDEX('Avalanche Engine'!$AH293:$AV293,Calc!$J$23),INDEX('My Order Engine'!$AH293:$AV293,Calc!$K$23)),"")</f>
        <v/>
      </c>
      <c r="U291" s="25" t="str">
        <f>IF(AND($A291&lt;=IF(Calc!$C$36=999,360,Calc!$C$36),Calc!$C$24=1),CHOOSE(Calc!$C$3,INDEX('Snowball Engine'!$AH293:$AV293,Calc!$I$24),INDEX('Avalanche Engine'!$AH293:$AV293,Calc!$J$24),INDEX('My Order Engine'!$AH293:$AV293,Calc!$K$24)),"")</f>
        <v/>
      </c>
    </row>
    <row r="292" spans="1:21" x14ac:dyDescent="0.35">
      <c r="A292" s="23">
        <v>288</v>
      </c>
      <c r="B292" s="24" t="str">
        <f>IF($A292&lt;=IF(Calc!$C$36=999,360,Calc!$C$36),EDATE(Calc!$C$5,A292-1),"")</f>
        <v/>
      </c>
      <c r="C292" s="25" t="str">
        <f>IF($A292&lt;=IF(Calc!$C$36=999,360,Calc!$C$36),CHOOSE(Calc!$C$3,'Snowball Engine'!AY294,'Avalanche Engine'!AY294,'My Order Engine'!AY294),"")</f>
        <v/>
      </c>
      <c r="D292" s="25" t="str">
        <f>IF($A292&lt;=IF(Calc!$C$36=999,360,Calc!$C$36),CHOOSE(Calc!$C$3,'Snowball Engine'!AX294,'Avalanche Engine'!AX294,'My Order Engine'!AX294),"")</f>
        <v/>
      </c>
      <c r="E292" s="25" t="str">
        <f>IF($A292&lt;=IF(Calc!$C$36=999,360,Calc!$C$36),C292-D292,"")</f>
        <v/>
      </c>
      <c r="F292" s="25" t="str">
        <f>IF($A292&lt;=IF(Calc!$C$36=999,360,Calc!$C$36),CHOOSE(Calc!$C$3,'Snowball Engine'!AW294,'Avalanche Engine'!AW294,'My Order Engine'!AW294),"")</f>
        <v/>
      </c>
      <c r="G292" s="25" t="str">
        <f>IF(AND($A292&lt;=IF(Calc!$C$36=999,360,Calc!$C$36),Calc!$C$10=1),CHOOSE(Calc!$C$3,INDEX('Snowball Engine'!$AH294:$AV294,Calc!$I$10),INDEX('Avalanche Engine'!$AH294:$AV294,Calc!$J$10),INDEX('My Order Engine'!$AH294:$AV294,Calc!$K$10)),"")</f>
        <v/>
      </c>
      <c r="H292" s="25" t="str">
        <f>IF(AND($A292&lt;=IF(Calc!$C$36=999,360,Calc!$C$36),Calc!$C$11=1),CHOOSE(Calc!$C$3,INDEX('Snowball Engine'!$AH294:$AV294,Calc!$I$11),INDEX('Avalanche Engine'!$AH294:$AV294,Calc!$J$11),INDEX('My Order Engine'!$AH294:$AV294,Calc!$K$11)),"")</f>
        <v/>
      </c>
      <c r="I292" s="25" t="str">
        <f>IF(AND($A292&lt;=IF(Calc!$C$36=999,360,Calc!$C$36),Calc!$C$12=1),CHOOSE(Calc!$C$3,INDEX('Snowball Engine'!$AH294:$AV294,Calc!$I$12),INDEX('Avalanche Engine'!$AH294:$AV294,Calc!$J$12),INDEX('My Order Engine'!$AH294:$AV294,Calc!$K$12)),"")</f>
        <v/>
      </c>
      <c r="J292" s="25" t="str">
        <f>IF(AND($A292&lt;=IF(Calc!$C$36=999,360,Calc!$C$36),Calc!$C$13=1),CHOOSE(Calc!$C$3,INDEX('Snowball Engine'!$AH294:$AV294,Calc!$I$13),INDEX('Avalanche Engine'!$AH294:$AV294,Calc!$J$13),INDEX('My Order Engine'!$AH294:$AV294,Calc!$K$13)),"")</f>
        <v/>
      </c>
      <c r="K292" s="25" t="str">
        <f>IF(AND($A292&lt;=IF(Calc!$C$36=999,360,Calc!$C$36),Calc!$C$14=1),CHOOSE(Calc!$C$3,INDEX('Snowball Engine'!$AH294:$AV294,Calc!$I$14),INDEX('Avalanche Engine'!$AH294:$AV294,Calc!$J$14),INDEX('My Order Engine'!$AH294:$AV294,Calc!$K$14)),"")</f>
        <v/>
      </c>
      <c r="L292" s="25" t="str">
        <f>IF(AND($A292&lt;=IF(Calc!$C$36=999,360,Calc!$C$36),Calc!$C$15=1),CHOOSE(Calc!$C$3,INDEX('Snowball Engine'!$AH294:$AV294,Calc!$I$15),INDEX('Avalanche Engine'!$AH294:$AV294,Calc!$J$15),INDEX('My Order Engine'!$AH294:$AV294,Calc!$K$15)),"")</f>
        <v/>
      </c>
      <c r="M292" s="25" t="str">
        <f>IF(AND($A292&lt;=IF(Calc!$C$36=999,360,Calc!$C$36),Calc!$C$16=1),CHOOSE(Calc!$C$3,INDEX('Snowball Engine'!$AH294:$AV294,Calc!$I$16),INDEX('Avalanche Engine'!$AH294:$AV294,Calc!$J$16),INDEX('My Order Engine'!$AH294:$AV294,Calc!$K$16)),"")</f>
        <v/>
      </c>
      <c r="N292" s="25" t="str">
        <f>IF(AND($A292&lt;=IF(Calc!$C$36=999,360,Calc!$C$36),Calc!$C$17=1),CHOOSE(Calc!$C$3,INDEX('Snowball Engine'!$AH294:$AV294,Calc!$I$17),INDEX('Avalanche Engine'!$AH294:$AV294,Calc!$J$17),INDEX('My Order Engine'!$AH294:$AV294,Calc!$K$17)),"")</f>
        <v/>
      </c>
      <c r="O292" s="25" t="str">
        <f>IF(AND($A292&lt;=IF(Calc!$C$36=999,360,Calc!$C$36),Calc!$C$18=1),CHOOSE(Calc!$C$3,INDEX('Snowball Engine'!$AH294:$AV294,Calc!$I$18),INDEX('Avalanche Engine'!$AH294:$AV294,Calc!$J$18),INDEX('My Order Engine'!$AH294:$AV294,Calc!$K$18)),"")</f>
        <v/>
      </c>
      <c r="P292" s="25" t="str">
        <f>IF(AND($A292&lt;=IF(Calc!$C$36=999,360,Calc!$C$36),Calc!$C$19=1),CHOOSE(Calc!$C$3,INDEX('Snowball Engine'!$AH294:$AV294,Calc!$I$19),INDEX('Avalanche Engine'!$AH294:$AV294,Calc!$J$19),INDEX('My Order Engine'!$AH294:$AV294,Calc!$K$19)),"")</f>
        <v/>
      </c>
      <c r="Q292" s="25" t="str">
        <f>IF(AND($A292&lt;=IF(Calc!$C$36=999,360,Calc!$C$36),Calc!$C$20=1),CHOOSE(Calc!$C$3,INDEX('Snowball Engine'!$AH294:$AV294,Calc!$I$20),INDEX('Avalanche Engine'!$AH294:$AV294,Calc!$J$20),INDEX('My Order Engine'!$AH294:$AV294,Calc!$K$20)),"")</f>
        <v/>
      </c>
      <c r="R292" s="25" t="str">
        <f>IF(AND($A292&lt;=IF(Calc!$C$36=999,360,Calc!$C$36),Calc!$C$21=1),CHOOSE(Calc!$C$3,INDEX('Snowball Engine'!$AH294:$AV294,Calc!$I$21),INDEX('Avalanche Engine'!$AH294:$AV294,Calc!$J$21),INDEX('My Order Engine'!$AH294:$AV294,Calc!$K$21)),"")</f>
        <v/>
      </c>
      <c r="S292" s="25" t="str">
        <f>IF(AND($A292&lt;=IF(Calc!$C$36=999,360,Calc!$C$36),Calc!$C$22=1),CHOOSE(Calc!$C$3,INDEX('Snowball Engine'!$AH294:$AV294,Calc!$I$22),INDEX('Avalanche Engine'!$AH294:$AV294,Calc!$J$22),INDEX('My Order Engine'!$AH294:$AV294,Calc!$K$22)),"")</f>
        <v/>
      </c>
      <c r="T292" s="25" t="str">
        <f>IF(AND($A292&lt;=IF(Calc!$C$36=999,360,Calc!$C$36),Calc!$C$23=1),CHOOSE(Calc!$C$3,INDEX('Snowball Engine'!$AH294:$AV294,Calc!$I$23),INDEX('Avalanche Engine'!$AH294:$AV294,Calc!$J$23),INDEX('My Order Engine'!$AH294:$AV294,Calc!$K$23)),"")</f>
        <v/>
      </c>
      <c r="U292" s="25" t="str">
        <f>IF(AND($A292&lt;=IF(Calc!$C$36=999,360,Calc!$C$36),Calc!$C$24=1),CHOOSE(Calc!$C$3,INDEX('Snowball Engine'!$AH294:$AV294,Calc!$I$24),INDEX('Avalanche Engine'!$AH294:$AV294,Calc!$J$24),INDEX('My Order Engine'!$AH294:$AV294,Calc!$K$24)),"")</f>
        <v/>
      </c>
    </row>
    <row r="293" spans="1:21" x14ac:dyDescent="0.35">
      <c r="A293" s="23">
        <v>289</v>
      </c>
      <c r="B293" s="24" t="str">
        <f>IF($A293&lt;=IF(Calc!$C$36=999,360,Calc!$C$36),EDATE(Calc!$C$5,A293-1),"")</f>
        <v/>
      </c>
      <c r="C293" s="25" t="str">
        <f>IF($A293&lt;=IF(Calc!$C$36=999,360,Calc!$C$36),CHOOSE(Calc!$C$3,'Snowball Engine'!AY295,'Avalanche Engine'!AY295,'My Order Engine'!AY295),"")</f>
        <v/>
      </c>
      <c r="D293" s="25" t="str">
        <f>IF($A293&lt;=IF(Calc!$C$36=999,360,Calc!$C$36),CHOOSE(Calc!$C$3,'Snowball Engine'!AX295,'Avalanche Engine'!AX295,'My Order Engine'!AX295),"")</f>
        <v/>
      </c>
      <c r="E293" s="25" t="str">
        <f>IF($A293&lt;=IF(Calc!$C$36=999,360,Calc!$C$36),C293-D293,"")</f>
        <v/>
      </c>
      <c r="F293" s="25" t="str">
        <f>IF($A293&lt;=IF(Calc!$C$36=999,360,Calc!$C$36),CHOOSE(Calc!$C$3,'Snowball Engine'!AW295,'Avalanche Engine'!AW295,'My Order Engine'!AW295),"")</f>
        <v/>
      </c>
      <c r="G293" s="25" t="str">
        <f>IF(AND($A293&lt;=IF(Calc!$C$36=999,360,Calc!$C$36),Calc!$C$10=1),CHOOSE(Calc!$C$3,INDEX('Snowball Engine'!$AH295:$AV295,Calc!$I$10),INDEX('Avalanche Engine'!$AH295:$AV295,Calc!$J$10),INDEX('My Order Engine'!$AH295:$AV295,Calc!$K$10)),"")</f>
        <v/>
      </c>
      <c r="H293" s="25" t="str">
        <f>IF(AND($A293&lt;=IF(Calc!$C$36=999,360,Calc!$C$36),Calc!$C$11=1),CHOOSE(Calc!$C$3,INDEX('Snowball Engine'!$AH295:$AV295,Calc!$I$11),INDEX('Avalanche Engine'!$AH295:$AV295,Calc!$J$11),INDEX('My Order Engine'!$AH295:$AV295,Calc!$K$11)),"")</f>
        <v/>
      </c>
      <c r="I293" s="25" t="str">
        <f>IF(AND($A293&lt;=IF(Calc!$C$36=999,360,Calc!$C$36),Calc!$C$12=1),CHOOSE(Calc!$C$3,INDEX('Snowball Engine'!$AH295:$AV295,Calc!$I$12),INDEX('Avalanche Engine'!$AH295:$AV295,Calc!$J$12),INDEX('My Order Engine'!$AH295:$AV295,Calc!$K$12)),"")</f>
        <v/>
      </c>
      <c r="J293" s="25" t="str">
        <f>IF(AND($A293&lt;=IF(Calc!$C$36=999,360,Calc!$C$36),Calc!$C$13=1),CHOOSE(Calc!$C$3,INDEX('Snowball Engine'!$AH295:$AV295,Calc!$I$13),INDEX('Avalanche Engine'!$AH295:$AV295,Calc!$J$13),INDEX('My Order Engine'!$AH295:$AV295,Calc!$K$13)),"")</f>
        <v/>
      </c>
      <c r="K293" s="25" t="str">
        <f>IF(AND($A293&lt;=IF(Calc!$C$36=999,360,Calc!$C$36),Calc!$C$14=1),CHOOSE(Calc!$C$3,INDEX('Snowball Engine'!$AH295:$AV295,Calc!$I$14),INDEX('Avalanche Engine'!$AH295:$AV295,Calc!$J$14),INDEX('My Order Engine'!$AH295:$AV295,Calc!$K$14)),"")</f>
        <v/>
      </c>
      <c r="L293" s="25" t="str">
        <f>IF(AND($A293&lt;=IF(Calc!$C$36=999,360,Calc!$C$36),Calc!$C$15=1),CHOOSE(Calc!$C$3,INDEX('Snowball Engine'!$AH295:$AV295,Calc!$I$15),INDEX('Avalanche Engine'!$AH295:$AV295,Calc!$J$15),INDEX('My Order Engine'!$AH295:$AV295,Calc!$K$15)),"")</f>
        <v/>
      </c>
      <c r="M293" s="25" t="str">
        <f>IF(AND($A293&lt;=IF(Calc!$C$36=999,360,Calc!$C$36),Calc!$C$16=1),CHOOSE(Calc!$C$3,INDEX('Snowball Engine'!$AH295:$AV295,Calc!$I$16),INDEX('Avalanche Engine'!$AH295:$AV295,Calc!$J$16),INDEX('My Order Engine'!$AH295:$AV295,Calc!$K$16)),"")</f>
        <v/>
      </c>
      <c r="N293" s="25" t="str">
        <f>IF(AND($A293&lt;=IF(Calc!$C$36=999,360,Calc!$C$36),Calc!$C$17=1),CHOOSE(Calc!$C$3,INDEX('Snowball Engine'!$AH295:$AV295,Calc!$I$17),INDEX('Avalanche Engine'!$AH295:$AV295,Calc!$J$17),INDEX('My Order Engine'!$AH295:$AV295,Calc!$K$17)),"")</f>
        <v/>
      </c>
      <c r="O293" s="25" t="str">
        <f>IF(AND($A293&lt;=IF(Calc!$C$36=999,360,Calc!$C$36),Calc!$C$18=1),CHOOSE(Calc!$C$3,INDEX('Snowball Engine'!$AH295:$AV295,Calc!$I$18),INDEX('Avalanche Engine'!$AH295:$AV295,Calc!$J$18),INDEX('My Order Engine'!$AH295:$AV295,Calc!$K$18)),"")</f>
        <v/>
      </c>
      <c r="P293" s="25" t="str">
        <f>IF(AND($A293&lt;=IF(Calc!$C$36=999,360,Calc!$C$36),Calc!$C$19=1),CHOOSE(Calc!$C$3,INDEX('Snowball Engine'!$AH295:$AV295,Calc!$I$19),INDEX('Avalanche Engine'!$AH295:$AV295,Calc!$J$19),INDEX('My Order Engine'!$AH295:$AV295,Calc!$K$19)),"")</f>
        <v/>
      </c>
      <c r="Q293" s="25" t="str">
        <f>IF(AND($A293&lt;=IF(Calc!$C$36=999,360,Calc!$C$36),Calc!$C$20=1),CHOOSE(Calc!$C$3,INDEX('Snowball Engine'!$AH295:$AV295,Calc!$I$20),INDEX('Avalanche Engine'!$AH295:$AV295,Calc!$J$20),INDEX('My Order Engine'!$AH295:$AV295,Calc!$K$20)),"")</f>
        <v/>
      </c>
      <c r="R293" s="25" t="str">
        <f>IF(AND($A293&lt;=IF(Calc!$C$36=999,360,Calc!$C$36),Calc!$C$21=1),CHOOSE(Calc!$C$3,INDEX('Snowball Engine'!$AH295:$AV295,Calc!$I$21),INDEX('Avalanche Engine'!$AH295:$AV295,Calc!$J$21),INDEX('My Order Engine'!$AH295:$AV295,Calc!$K$21)),"")</f>
        <v/>
      </c>
      <c r="S293" s="25" t="str">
        <f>IF(AND($A293&lt;=IF(Calc!$C$36=999,360,Calc!$C$36),Calc!$C$22=1),CHOOSE(Calc!$C$3,INDEX('Snowball Engine'!$AH295:$AV295,Calc!$I$22),INDEX('Avalanche Engine'!$AH295:$AV295,Calc!$J$22),INDEX('My Order Engine'!$AH295:$AV295,Calc!$K$22)),"")</f>
        <v/>
      </c>
      <c r="T293" s="25" t="str">
        <f>IF(AND($A293&lt;=IF(Calc!$C$36=999,360,Calc!$C$36),Calc!$C$23=1),CHOOSE(Calc!$C$3,INDEX('Snowball Engine'!$AH295:$AV295,Calc!$I$23),INDEX('Avalanche Engine'!$AH295:$AV295,Calc!$J$23),INDEX('My Order Engine'!$AH295:$AV295,Calc!$K$23)),"")</f>
        <v/>
      </c>
      <c r="U293" s="25" t="str">
        <f>IF(AND($A293&lt;=IF(Calc!$C$36=999,360,Calc!$C$36),Calc!$C$24=1),CHOOSE(Calc!$C$3,INDEX('Snowball Engine'!$AH295:$AV295,Calc!$I$24),INDEX('Avalanche Engine'!$AH295:$AV295,Calc!$J$24),INDEX('My Order Engine'!$AH295:$AV295,Calc!$K$24)),"")</f>
        <v/>
      </c>
    </row>
    <row r="294" spans="1:21" x14ac:dyDescent="0.35">
      <c r="A294" s="23">
        <v>290</v>
      </c>
      <c r="B294" s="24" t="str">
        <f>IF($A294&lt;=IF(Calc!$C$36=999,360,Calc!$C$36),EDATE(Calc!$C$5,A294-1),"")</f>
        <v/>
      </c>
      <c r="C294" s="25" t="str">
        <f>IF($A294&lt;=IF(Calc!$C$36=999,360,Calc!$C$36),CHOOSE(Calc!$C$3,'Snowball Engine'!AY296,'Avalanche Engine'!AY296,'My Order Engine'!AY296),"")</f>
        <v/>
      </c>
      <c r="D294" s="25" t="str">
        <f>IF($A294&lt;=IF(Calc!$C$36=999,360,Calc!$C$36),CHOOSE(Calc!$C$3,'Snowball Engine'!AX296,'Avalanche Engine'!AX296,'My Order Engine'!AX296),"")</f>
        <v/>
      </c>
      <c r="E294" s="25" t="str">
        <f>IF($A294&lt;=IF(Calc!$C$36=999,360,Calc!$C$36),C294-D294,"")</f>
        <v/>
      </c>
      <c r="F294" s="25" t="str">
        <f>IF($A294&lt;=IF(Calc!$C$36=999,360,Calc!$C$36),CHOOSE(Calc!$C$3,'Snowball Engine'!AW296,'Avalanche Engine'!AW296,'My Order Engine'!AW296),"")</f>
        <v/>
      </c>
      <c r="G294" s="25" t="str">
        <f>IF(AND($A294&lt;=IF(Calc!$C$36=999,360,Calc!$C$36),Calc!$C$10=1),CHOOSE(Calc!$C$3,INDEX('Snowball Engine'!$AH296:$AV296,Calc!$I$10),INDEX('Avalanche Engine'!$AH296:$AV296,Calc!$J$10),INDEX('My Order Engine'!$AH296:$AV296,Calc!$K$10)),"")</f>
        <v/>
      </c>
      <c r="H294" s="25" t="str">
        <f>IF(AND($A294&lt;=IF(Calc!$C$36=999,360,Calc!$C$36),Calc!$C$11=1),CHOOSE(Calc!$C$3,INDEX('Snowball Engine'!$AH296:$AV296,Calc!$I$11),INDEX('Avalanche Engine'!$AH296:$AV296,Calc!$J$11),INDEX('My Order Engine'!$AH296:$AV296,Calc!$K$11)),"")</f>
        <v/>
      </c>
      <c r="I294" s="25" t="str">
        <f>IF(AND($A294&lt;=IF(Calc!$C$36=999,360,Calc!$C$36),Calc!$C$12=1),CHOOSE(Calc!$C$3,INDEX('Snowball Engine'!$AH296:$AV296,Calc!$I$12),INDEX('Avalanche Engine'!$AH296:$AV296,Calc!$J$12),INDEX('My Order Engine'!$AH296:$AV296,Calc!$K$12)),"")</f>
        <v/>
      </c>
      <c r="J294" s="25" t="str">
        <f>IF(AND($A294&lt;=IF(Calc!$C$36=999,360,Calc!$C$36),Calc!$C$13=1),CHOOSE(Calc!$C$3,INDEX('Snowball Engine'!$AH296:$AV296,Calc!$I$13),INDEX('Avalanche Engine'!$AH296:$AV296,Calc!$J$13),INDEX('My Order Engine'!$AH296:$AV296,Calc!$K$13)),"")</f>
        <v/>
      </c>
      <c r="K294" s="25" t="str">
        <f>IF(AND($A294&lt;=IF(Calc!$C$36=999,360,Calc!$C$36),Calc!$C$14=1),CHOOSE(Calc!$C$3,INDEX('Snowball Engine'!$AH296:$AV296,Calc!$I$14),INDEX('Avalanche Engine'!$AH296:$AV296,Calc!$J$14),INDEX('My Order Engine'!$AH296:$AV296,Calc!$K$14)),"")</f>
        <v/>
      </c>
      <c r="L294" s="25" t="str">
        <f>IF(AND($A294&lt;=IF(Calc!$C$36=999,360,Calc!$C$36),Calc!$C$15=1),CHOOSE(Calc!$C$3,INDEX('Snowball Engine'!$AH296:$AV296,Calc!$I$15),INDEX('Avalanche Engine'!$AH296:$AV296,Calc!$J$15),INDEX('My Order Engine'!$AH296:$AV296,Calc!$K$15)),"")</f>
        <v/>
      </c>
      <c r="M294" s="25" t="str">
        <f>IF(AND($A294&lt;=IF(Calc!$C$36=999,360,Calc!$C$36),Calc!$C$16=1),CHOOSE(Calc!$C$3,INDEX('Snowball Engine'!$AH296:$AV296,Calc!$I$16),INDEX('Avalanche Engine'!$AH296:$AV296,Calc!$J$16),INDEX('My Order Engine'!$AH296:$AV296,Calc!$K$16)),"")</f>
        <v/>
      </c>
      <c r="N294" s="25" t="str">
        <f>IF(AND($A294&lt;=IF(Calc!$C$36=999,360,Calc!$C$36),Calc!$C$17=1),CHOOSE(Calc!$C$3,INDEX('Snowball Engine'!$AH296:$AV296,Calc!$I$17),INDEX('Avalanche Engine'!$AH296:$AV296,Calc!$J$17),INDEX('My Order Engine'!$AH296:$AV296,Calc!$K$17)),"")</f>
        <v/>
      </c>
      <c r="O294" s="25" t="str">
        <f>IF(AND($A294&lt;=IF(Calc!$C$36=999,360,Calc!$C$36),Calc!$C$18=1),CHOOSE(Calc!$C$3,INDEX('Snowball Engine'!$AH296:$AV296,Calc!$I$18),INDEX('Avalanche Engine'!$AH296:$AV296,Calc!$J$18),INDEX('My Order Engine'!$AH296:$AV296,Calc!$K$18)),"")</f>
        <v/>
      </c>
      <c r="P294" s="25" t="str">
        <f>IF(AND($A294&lt;=IF(Calc!$C$36=999,360,Calc!$C$36),Calc!$C$19=1),CHOOSE(Calc!$C$3,INDEX('Snowball Engine'!$AH296:$AV296,Calc!$I$19),INDEX('Avalanche Engine'!$AH296:$AV296,Calc!$J$19),INDEX('My Order Engine'!$AH296:$AV296,Calc!$K$19)),"")</f>
        <v/>
      </c>
      <c r="Q294" s="25" t="str">
        <f>IF(AND($A294&lt;=IF(Calc!$C$36=999,360,Calc!$C$36),Calc!$C$20=1),CHOOSE(Calc!$C$3,INDEX('Snowball Engine'!$AH296:$AV296,Calc!$I$20),INDEX('Avalanche Engine'!$AH296:$AV296,Calc!$J$20),INDEX('My Order Engine'!$AH296:$AV296,Calc!$K$20)),"")</f>
        <v/>
      </c>
      <c r="R294" s="25" t="str">
        <f>IF(AND($A294&lt;=IF(Calc!$C$36=999,360,Calc!$C$36),Calc!$C$21=1),CHOOSE(Calc!$C$3,INDEX('Snowball Engine'!$AH296:$AV296,Calc!$I$21),INDEX('Avalanche Engine'!$AH296:$AV296,Calc!$J$21),INDEX('My Order Engine'!$AH296:$AV296,Calc!$K$21)),"")</f>
        <v/>
      </c>
      <c r="S294" s="25" t="str">
        <f>IF(AND($A294&lt;=IF(Calc!$C$36=999,360,Calc!$C$36),Calc!$C$22=1),CHOOSE(Calc!$C$3,INDEX('Snowball Engine'!$AH296:$AV296,Calc!$I$22),INDEX('Avalanche Engine'!$AH296:$AV296,Calc!$J$22),INDEX('My Order Engine'!$AH296:$AV296,Calc!$K$22)),"")</f>
        <v/>
      </c>
      <c r="T294" s="25" t="str">
        <f>IF(AND($A294&lt;=IF(Calc!$C$36=999,360,Calc!$C$36),Calc!$C$23=1),CHOOSE(Calc!$C$3,INDEX('Snowball Engine'!$AH296:$AV296,Calc!$I$23),INDEX('Avalanche Engine'!$AH296:$AV296,Calc!$J$23),INDEX('My Order Engine'!$AH296:$AV296,Calc!$K$23)),"")</f>
        <v/>
      </c>
      <c r="U294" s="25" t="str">
        <f>IF(AND($A294&lt;=IF(Calc!$C$36=999,360,Calc!$C$36),Calc!$C$24=1),CHOOSE(Calc!$C$3,INDEX('Snowball Engine'!$AH296:$AV296,Calc!$I$24),INDEX('Avalanche Engine'!$AH296:$AV296,Calc!$J$24),INDEX('My Order Engine'!$AH296:$AV296,Calc!$K$24)),"")</f>
        <v/>
      </c>
    </row>
    <row r="295" spans="1:21" x14ac:dyDescent="0.35">
      <c r="A295" s="23">
        <v>291</v>
      </c>
      <c r="B295" s="24" t="str">
        <f>IF($A295&lt;=IF(Calc!$C$36=999,360,Calc!$C$36),EDATE(Calc!$C$5,A295-1),"")</f>
        <v/>
      </c>
      <c r="C295" s="25" t="str">
        <f>IF($A295&lt;=IF(Calc!$C$36=999,360,Calc!$C$36),CHOOSE(Calc!$C$3,'Snowball Engine'!AY297,'Avalanche Engine'!AY297,'My Order Engine'!AY297),"")</f>
        <v/>
      </c>
      <c r="D295" s="25" t="str">
        <f>IF($A295&lt;=IF(Calc!$C$36=999,360,Calc!$C$36),CHOOSE(Calc!$C$3,'Snowball Engine'!AX297,'Avalanche Engine'!AX297,'My Order Engine'!AX297),"")</f>
        <v/>
      </c>
      <c r="E295" s="25" t="str">
        <f>IF($A295&lt;=IF(Calc!$C$36=999,360,Calc!$C$36),C295-D295,"")</f>
        <v/>
      </c>
      <c r="F295" s="25" t="str">
        <f>IF($A295&lt;=IF(Calc!$C$36=999,360,Calc!$C$36),CHOOSE(Calc!$C$3,'Snowball Engine'!AW297,'Avalanche Engine'!AW297,'My Order Engine'!AW297),"")</f>
        <v/>
      </c>
      <c r="G295" s="25" t="str">
        <f>IF(AND($A295&lt;=IF(Calc!$C$36=999,360,Calc!$C$36),Calc!$C$10=1),CHOOSE(Calc!$C$3,INDEX('Snowball Engine'!$AH297:$AV297,Calc!$I$10),INDEX('Avalanche Engine'!$AH297:$AV297,Calc!$J$10),INDEX('My Order Engine'!$AH297:$AV297,Calc!$K$10)),"")</f>
        <v/>
      </c>
      <c r="H295" s="25" t="str">
        <f>IF(AND($A295&lt;=IF(Calc!$C$36=999,360,Calc!$C$36),Calc!$C$11=1),CHOOSE(Calc!$C$3,INDEX('Snowball Engine'!$AH297:$AV297,Calc!$I$11),INDEX('Avalanche Engine'!$AH297:$AV297,Calc!$J$11),INDEX('My Order Engine'!$AH297:$AV297,Calc!$K$11)),"")</f>
        <v/>
      </c>
      <c r="I295" s="25" t="str">
        <f>IF(AND($A295&lt;=IF(Calc!$C$36=999,360,Calc!$C$36),Calc!$C$12=1),CHOOSE(Calc!$C$3,INDEX('Snowball Engine'!$AH297:$AV297,Calc!$I$12),INDEX('Avalanche Engine'!$AH297:$AV297,Calc!$J$12),INDEX('My Order Engine'!$AH297:$AV297,Calc!$K$12)),"")</f>
        <v/>
      </c>
      <c r="J295" s="25" t="str">
        <f>IF(AND($A295&lt;=IF(Calc!$C$36=999,360,Calc!$C$36),Calc!$C$13=1),CHOOSE(Calc!$C$3,INDEX('Snowball Engine'!$AH297:$AV297,Calc!$I$13),INDEX('Avalanche Engine'!$AH297:$AV297,Calc!$J$13),INDEX('My Order Engine'!$AH297:$AV297,Calc!$K$13)),"")</f>
        <v/>
      </c>
      <c r="K295" s="25" t="str">
        <f>IF(AND($A295&lt;=IF(Calc!$C$36=999,360,Calc!$C$36),Calc!$C$14=1),CHOOSE(Calc!$C$3,INDEX('Snowball Engine'!$AH297:$AV297,Calc!$I$14),INDEX('Avalanche Engine'!$AH297:$AV297,Calc!$J$14),INDEX('My Order Engine'!$AH297:$AV297,Calc!$K$14)),"")</f>
        <v/>
      </c>
      <c r="L295" s="25" t="str">
        <f>IF(AND($A295&lt;=IF(Calc!$C$36=999,360,Calc!$C$36),Calc!$C$15=1),CHOOSE(Calc!$C$3,INDEX('Snowball Engine'!$AH297:$AV297,Calc!$I$15),INDEX('Avalanche Engine'!$AH297:$AV297,Calc!$J$15),INDEX('My Order Engine'!$AH297:$AV297,Calc!$K$15)),"")</f>
        <v/>
      </c>
      <c r="M295" s="25" t="str">
        <f>IF(AND($A295&lt;=IF(Calc!$C$36=999,360,Calc!$C$36),Calc!$C$16=1),CHOOSE(Calc!$C$3,INDEX('Snowball Engine'!$AH297:$AV297,Calc!$I$16),INDEX('Avalanche Engine'!$AH297:$AV297,Calc!$J$16),INDEX('My Order Engine'!$AH297:$AV297,Calc!$K$16)),"")</f>
        <v/>
      </c>
      <c r="N295" s="25" t="str">
        <f>IF(AND($A295&lt;=IF(Calc!$C$36=999,360,Calc!$C$36),Calc!$C$17=1),CHOOSE(Calc!$C$3,INDEX('Snowball Engine'!$AH297:$AV297,Calc!$I$17),INDEX('Avalanche Engine'!$AH297:$AV297,Calc!$J$17),INDEX('My Order Engine'!$AH297:$AV297,Calc!$K$17)),"")</f>
        <v/>
      </c>
      <c r="O295" s="25" t="str">
        <f>IF(AND($A295&lt;=IF(Calc!$C$36=999,360,Calc!$C$36),Calc!$C$18=1),CHOOSE(Calc!$C$3,INDEX('Snowball Engine'!$AH297:$AV297,Calc!$I$18),INDEX('Avalanche Engine'!$AH297:$AV297,Calc!$J$18),INDEX('My Order Engine'!$AH297:$AV297,Calc!$K$18)),"")</f>
        <v/>
      </c>
      <c r="P295" s="25" t="str">
        <f>IF(AND($A295&lt;=IF(Calc!$C$36=999,360,Calc!$C$36),Calc!$C$19=1),CHOOSE(Calc!$C$3,INDEX('Snowball Engine'!$AH297:$AV297,Calc!$I$19),INDEX('Avalanche Engine'!$AH297:$AV297,Calc!$J$19),INDEX('My Order Engine'!$AH297:$AV297,Calc!$K$19)),"")</f>
        <v/>
      </c>
      <c r="Q295" s="25" t="str">
        <f>IF(AND($A295&lt;=IF(Calc!$C$36=999,360,Calc!$C$36),Calc!$C$20=1),CHOOSE(Calc!$C$3,INDEX('Snowball Engine'!$AH297:$AV297,Calc!$I$20),INDEX('Avalanche Engine'!$AH297:$AV297,Calc!$J$20),INDEX('My Order Engine'!$AH297:$AV297,Calc!$K$20)),"")</f>
        <v/>
      </c>
      <c r="R295" s="25" t="str">
        <f>IF(AND($A295&lt;=IF(Calc!$C$36=999,360,Calc!$C$36),Calc!$C$21=1),CHOOSE(Calc!$C$3,INDEX('Snowball Engine'!$AH297:$AV297,Calc!$I$21),INDEX('Avalanche Engine'!$AH297:$AV297,Calc!$J$21),INDEX('My Order Engine'!$AH297:$AV297,Calc!$K$21)),"")</f>
        <v/>
      </c>
      <c r="S295" s="25" t="str">
        <f>IF(AND($A295&lt;=IF(Calc!$C$36=999,360,Calc!$C$36),Calc!$C$22=1),CHOOSE(Calc!$C$3,INDEX('Snowball Engine'!$AH297:$AV297,Calc!$I$22),INDEX('Avalanche Engine'!$AH297:$AV297,Calc!$J$22),INDEX('My Order Engine'!$AH297:$AV297,Calc!$K$22)),"")</f>
        <v/>
      </c>
      <c r="T295" s="25" t="str">
        <f>IF(AND($A295&lt;=IF(Calc!$C$36=999,360,Calc!$C$36),Calc!$C$23=1),CHOOSE(Calc!$C$3,INDEX('Snowball Engine'!$AH297:$AV297,Calc!$I$23),INDEX('Avalanche Engine'!$AH297:$AV297,Calc!$J$23),INDEX('My Order Engine'!$AH297:$AV297,Calc!$K$23)),"")</f>
        <v/>
      </c>
      <c r="U295" s="25" t="str">
        <f>IF(AND($A295&lt;=IF(Calc!$C$36=999,360,Calc!$C$36),Calc!$C$24=1),CHOOSE(Calc!$C$3,INDEX('Snowball Engine'!$AH297:$AV297,Calc!$I$24),INDEX('Avalanche Engine'!$AH297:$AV297,Calc!$J$24),INDEX('My Order Engine'!$AH297:$AV297,Calc!$K$24)),"")</f>
        <v/>
      </c>
    </row>
    <row r="296" spans="1:21" x14ac:dyDescent="0.35">
      <c r="A296" s="23">
        <v>292</v>
      </c>
      <c r="B296" s="24" t="str">
        <f>IF($A296&lt;=IF(Calc!$C$36=999,360,Calc!$C$36),EDATE(Calc!$C$5,A296-1),"")</f>
        <v/>
      </c>
      <c r="C296" s="25" t="str">
        <f>IF($A296&lt;=IF(Calc!$C$36=999,360,Calc!$C$36),CHOOSE(Calc!$C$3,'Snowball Engine'!AY298,'Avalanche Engine'!AY298,'My Order Engine'!AY298),"")</f>
        <v/>
      </c>
      <c r="D296" s="25" t="str">
        <f>IF($A296&lt;=IF(Calc!$C$36=999,360,Calc!$C$36),CHOOSE(Calc!$C$3,'Snowball Engine'!AX298,'Avalanche Engine'!AX298,'My Order Engine'!AX298),"")</f>
        <v/>
      </c>
      <c r="E296" s="25" t="str">
        <f>IF($A296&lt;=IF(Calc!$C$36=999,360,Calc!$C$36),C296-D296,"")</f>
        <v/>
      </c>
      <c r="F296" s="25" t="str">
        <f>IF($A296&lt;=IF(Calc!$C$36=999,360,Calc!$C$36),CHOOSE(Calc!$C$3,'Snowball Engine'!AW298,'Avalanche Engine'!AW298,'My Order Engine'!AW298),"")</f>
        <v/>
      </c>
      <c r="G296" s="25" t="str">
        <f>IF(AND($A296&lt;=IF(Calc!$C$36=999,360,Calc!$C$36),Calc!$C$10=1),CHOOSE(Calc!$C$3,INDEX('Snowball Engine'!$AH298:$AV298,Calc!$I$10),INDEX('Avalanche Engine'!$AH298:$AV298,Calc!$J$10),INDEX('My Order Engine'!$AH298:$AV298,Calc!$K$10)),"")</f>
        <v/>
      </c>
      <c r="H296" s="25" t="str">
        <f>IF(AND($A296&lt;=IF(Calc!$C$36=999,360,Calc!$C$36),Calc!$C$11=1),CHOOSE(Calc!$C$3,INDEX('Snowball Engine'!$AH298:$AV298,Calc!$I$11),INDEX('Avalanche Engine'!$AH298:$AV298,Calc!$J$11),INDEX('My Order Engine'!$AH298:$AV298,Calc!$K$11)),"")</f>
        <v/>
      </c>
      <c r="I296" s="25" t="str">
        <f>IF(AND($A296&lt;=IF(Calc!$C$36=999,360,Calc!$C$36),Calc!$C$12=1),CHOOSE(Calc!$C$3,INDEX('Snowball Engine'!$AH298:$AV298,Calc!$I$12),INDEX('Avalanche Engine'!$AH298:$AV298,Calc!$J$12),INDEX('My Order Engine'!$AH298:$AV298,Calc!$K$12)),"")</f>
        <v/>
      </c>
      <c r="J296" s="25" t="str">
        <f>IF(AND($A296&lt;=IF(Calc!$C$36=999,360,Calc!$C$36),Calc!$C$13=1),CHOOSE(Calc!$C$3,INDEX('Snowball Engine'!$AH298:$AV298,Calc!$I$13),INDEX('Avalanche Engine'!$AH298:$AV298,Calc!$J$13),INDEX('My Order Engine'!$AH298:$AV298,Calc!$K$13)),"")</f>
        <v/>
      </c>
      <c r="K296" s="25" t="str">
        <f>IF(AND($A296&lt;=IF(Calc!$C$36=999,360,Calc!$C$36),Calc!$C$14=1),CHOOSE(Calc!$C$3,INDEX('Snowball Engine'!$AH298:$AV298,Calc!$I$14),INDEX('Avalanche Engine'!$AH298:$AV298,Calc!$J$14),INDEX('My Order Engine'!$AH298:$AV298,Calc!$K$14)),"")</f>
        <v/>
      </c>
      <c r="L296" s="25" t="str">
        <f>IF(AND($A296&lt;=IF(Calc!$C$36=999,360,Calc!$C$36),Calc!$C$15=1),CHOOSE(Calc!$C$3,INDEX('Snowball Engine'!$AH298:$AV298,Calc!$I$15),INDEX('Avalanche Engine'!$AH298:$AV298,Calc!$J$15),INDEX('My Order Engine'!$AH298:$AV298,Calc!$K$15)),"")</f>
        <v/>
      </c>
      <c r="M296" s="25" t="str">
        <f>IF(AND($A296&lt;=IF(Calc!$C$36=999,360,Calc!$C$36),Calc!$C$16=1),CHOOSE(Calc!$C$3,INDEX('Snowball Engine'!$AH298:$AV298,Calc!$I$16),INDEX('Avalanche Engine'!$AH298:$AV298,Calc!$J$16),INDEX('My Order Engine'!$AH298:$AV298,Calc!$K$16)),"")</f>
        <v/>
      </c>
      <c r="N296" s="25" t="str">
        <f>IF(AND($A296&lt;=IF(Calc!$C$36=999,360,Calc!$C$36),Calc!$C$17=1),CHOOSE(Calc!$C$3,INDEX('Snowball Engine'!$AH298:$AV298,Calc!$I$17),INDEX('Avalanche Engine'!$AH298:$AV298,Calc!$J$17),INDEX('My Order Engine'!$AH298:$AV298,Calc!$K$17)),"")</f>
        <v/>
      </c>
      <c r="O296" s="25" t="str">
        <f>IF(AND($A296&lt;=IF(Calc!$C$36=999,360,Calc!$C$36),Calc!$C$18=1),CHOOSE(Calc!$C$3,INDEX('Snowball Engine'!$AH298:$AV298,Calc!$I$18),INDEX('Avalanche Engine'!$AH298:$AV298,Calc!$J$18),INDEX('My Order Engine'!$AH298:$AV298,Calc!$K$18)),"")</f>
        <v/>
      </c>
      <c r="P296" s="25" t="str">
        <f>IF(AND($A296&lt;=IF(Calc!$C$36=999,360,Calc!$C$36),Calc!$C$19=1),CHOOSE(Calc!$C$3,INDEX('Snowball Engine'!$AH298:$AV298,Calc!$I$19),INDEX('Avalanche Engine'!$AH298:$AV298,Calc!$J$19),INDEX('My Order Engine'!$AH298:$AV298,Calc!$K$19)),"")</f>
        <v/>
      </c>
      <c r="Q296" s="25" t="str">
        <f>IF(AND($A296&lt;=IF(Calc!$C$36=999,360,Calc!$C$36),Calc!$C$20=1),CHOOSE(Calc!$C$3,INDEX('Snowball Engine'!$AH298:$AV298,Calc!$I$20),INDEX('Avalanche Engine'!$AH298:$AV298,Calc!$J$20),INDEX('My Order Engine'!$AH298:$AV298,Calc!$K$20)),"")</f>
        <v/>
      </c>
      <c r="R296" s="25" t="str">
        <f>IF(AND($A296&lt;=IF(Calc!$C$36=999,360,Calc!$C$36),Calc!$C$21=1),CHOOSE(Calc!$C$3,INDEX('Snowball Engine'!$AH298:$AV298,Calc!$I$21),INDEX('Avalanche Engine'!$AH298:$AV298,Calc!$J$21),INDEX('My Order Engine'!$AH298:$AV298,Calc!$K$21)),"")</f>
        <v/>
      </c>
      <c r="S296" s="25" t="str">
        <f>IF(AND($A296&lt;=IF(Calc!$C$36=999,360,Calc!$C$36),Calc!$C$22=1),CHOOSE(Calc!$C$3,INDEX('Snowball Engine'!$AH298:$AV298,Calc!$I$22),INDEX('Avalanche Engine'!$AH298:$AV298,Calc!$J$22),INDEX('My Order Engine'!$AH298:$AV298,Calc!$K$22)),"")</f>
        <v/>
      </c>
      <c r="T296" s="25" t="str">
        <f>IF(AND($A296&lt;=IF(Calc!$C$36=999,360,Calc!$C$36),Calc!$C$23=1),CHOOSE(Calc!$C$3,INDEX('Snowball Engine'!$AH298:$AV298,Calc!$I$23),INDEX('Avalanche Engine'!$AH298:$AV298,Calc!$J$23),INDEX('My Order Engine'!$AH298:$AV298,Calc!$K$23)),"")</f>
        <v/>
      </c>
      <c r="U296" s="25" t="str">
        <f>IF(AND($A296&lt;=IF(Calc!$C$36=999,360,Calc!$C$36),Calc!$C$24=1),CHOOSE(Calc!$C$3,INDEX('Snowball Engine'!$AH298:$AV298,Calc!$I$24),INDEX('Avalanche Engine'!$AH298:$AV298,Calc!$J$24),INDEX('My Order Engine'!$AH298:$AV298,Calc!$K$24)),"")</f>
        <v/>
      </c>
    </row>
    <row r="297" spans="1:21" x14ac:dyDescent="0.35">
      <c r="A297" s="23">
        <v>293</v>
      </c>
      <c r="B297" s="24" t="str">
        <f>IF($A297&lt;=IF(Calc!$C$36=999,360,Calc!$C$36),EDATE(Calc!$C$5,A297-1),"")</f>
        <v/>
      </c>
      <c r="C297" s="25" t="str">
        <f>IF($A297&lt;=IF(Calc!$C$36=999,360,Calc!$C$36),CHOOSE(Calc!$C$3,'Snowball Engine'!AY299,'Avalanche Engine'!AY299,'My Order Engine'!AY299),"")</f>
        <v/>
      </c>
      <c r="D297" s="25" t="str">
        <f>IF($A297&lt;=IF(Calc!$C$36=999,360,Calc!$C$36),CHOOSE(Calc!$C$3,'Snowball Engine'!AX299,'Avalanche Engine'!AX299,'My Order Engine'!AX299),"")</f>
        <v/>
      </c>
      <c r="E297" s="25" t="str">
        <f>IF($A297&lt;=IF(Calc!$C$36=999,360,Calc!$C$36),C297-D297,"")</f>
        <v/>
      </c>
      <c r="F297" s="25" t="str">
        <f>IF($A297&lt;=IF(Calc!$C$36=999,360,Calc!$C$36),CHOOSE(Calc!$C$3,'Snowball Engine'!AW299,'Avalanche Engine'!AW299,'My Order Engine'!AW299),"")</f>
        <v/>
      </c>
      <c r="G297" s="25" t="str">
        <f>IF(AND($A297&lt;=IF(Calc!$C$36=999,360,Calc!$C$36),Calc!$C$10=1),CHOOSE(Calc!$C$3,INDEX('Snowball Engine'!$AH299:$AV299,Calc!$I$10),INDEX('Avalanche Engine'!$AH299:$AV299,Calc!$J$10),INDEX('My Order Engine'!$AH299:$AV299,Calc!$K$10)),"")</f>
        <v/>
      </c>
      <c r="H297" s="25" t="str">
        <f>IF(AND($A297&lt;=IF(Calc!$C$36=999,360,Calc!$C$36),Calc!$C$11=1),CHOOSE(Calc!$C$3,INDEX('Snowball Engine'!$AH299:$AV299,Calc!$I$11),INDEX('Avalanche Engine'!$AH299:$AV299,Calc!$J$11),INDEX('My Order Engine'!$AH299:$AV299,Calc!$K$11)),"")</f>
        <v/>
      </c>
      <c r="I297" s="25" t="str">
        <f>IF(AND($A297&lt;=IF(Calc!$C$36=999,360,Calc!$C$36),Calc!$C$12=1),CHOOSE(Calc!$C$3,INDEX('Snowball Engine'!$AH299:$AV299,Calc!$I$12),INDEX('Avalanche Engine'!$AH299:$AV299,Calc!$J$12),INDEX('My Order Engine'!$AH299:$AV299,Calc!$K$12)),"")</f>
        <v/>
      </c>
      <c r="J297" s="25" t="str">
        <f>IF(AND($A297&lt;=IF(Calc!$C$36=999,360,Calc!$C$36),Calc!$C$13=1),CHOOSE(Calc!$C$3,INDEX('Snowball Engine'!$AH299:$AV299,Calc!$I$13),INDEX('Avalanche Engine'!$AH299:$AV299,Calc!$J$13),INDEX('My Order Engine'!$AH299:$AV299,Calc!$K$13)),"")</f>
        <v/>
      </c>
      <c r="K297" s="25" t="str">
        <f>IF(AND($A297&lt;=IF(Calc!$C$36=999,360,Calc!$C$36),Calc!$C$14=1),CHOOSE(Calc!$C$3,INDEX('Snowball Engine'!$AH299:$AV299,Calc!$I$14),INDEX('Avalanche Engine'!$AH299:$AV299,Calc!$J$14),INDEX('My Order Engine'!$AH299:$AV299,Calc!$K$14)),"")</f>
        <v/>
      </c>
      <c r="L297" s="25" t="str">
        <f>IF(AND($A297&lt;=IF(Calc!$C$36=999,360,Calc!$C$36),Calc!$C$15=1),CHOOSE(Calc!$C$3,INDEX('Snowball Engine'!$AH299:$AV299,Calc!$I$15),INDEX('Avalanche Engine'!$AH299:$AV299,Calc!$J$15),INDEX('My Order Engine'!$AH299:$AV299,Calc!$K$15)),"")</f>
        <v/>
      </c>
      <c r="M297" s="25" t="str">
        <f>IF(AND($A297&lt;=IF(Calc!$C$36=999,360,Calc!$C$36),Calc!$C$16=1),CHOOSE(Calc!$C$3,INDEX('Snowball Engine'!$AH299:$AV299,Calc!$I$16),INDEX('Avalanche Engine'!$AH299:$AV299,Calc!$J$16),INDEX('My Order Engine'!$AH299:$AV299,Calc!$K$16)),"")</f>
        <v/>
      </c>
      <c r="N297" s="25" t="str">
        <f>IF(AND($A297&lt;=IF(Calc!$C$36=999,360,Calc!$C$36),Calc!$C$17=1),CHOOSE(Calc!$C$3,INDEX('Snowball Engine'!$AH299:$AV299,Calc!$I$17),INDEX('Avalanche Engine'!$AH299:$AV299,Calc!$J$17),INDEX('My Order Engine'!$AH299:$AV299,Calc!$K$17)),"")</f>
        <v/>
      </c>
      <c r="O297" s="25" t="str">
        <f>IF(AND($A297&lt;=IF(Calc!$C$36=999,360,Calc!$C$36),Calc!$C$18=1),CHOOSE(Calc!$C$3,INDEX('Snowball Engine'!$AH299:$AV299,Calc!$I$18),INDEX('Avalanche Engine'!$AH299:$AV299,Calc!$J$18),INDEX('My Order Engine'!$AH299:$AV299,Calc!$K$18)),"")</f>
        <v/>
      </c>
      <c r="P297" s="25" t="str">
        <f>IF(AND($A297&lt;=IF(Calc!$C$36=999,360,Calc!$C$36),Calc!$C$19=1),CHOOSE(Calc!$C$3,INDEX('Snowball Engine'!$AH299:$AV299,Calc!$I$19),INDEX('Avalanche Engine'!$AH299:$AV299,Calc!$J$19),INDEX('My Order Engine'!$AH299:$AV299,Calc!$K$19)),"")</f>
        <v/>
      </c>
      <c r="Q297" s="25" t="str">
        <f>IF(AND($A297&lt;=IF(Calc!$C$36=999,360,Calc!$C$36),Calc!$C$20=1),CHOOSE(Calc!$C$3,INDEX('Snowball Engine'!$AH299:$AV299,Calc!$I$20),INDEX('Avalanche Engine'!$AH299:$AV299,Calc!$J$20),INDEX('My Order Engine'!$AH299:$AV299,Calc!$K$20)),"")</f>
        <v/>
      </c>
      <c r="R297" s="25" t="str">
        <f>IF(AND($A297&lt;=IF(Calc!$C$36=999,360,Calc!$C$36),Calc!$C$21=1),CHOOSE(Calc!$C$3,INDEX('Snowball Engine'!$AH299:$AV299,Calc!$I$21),INDEX('Avalanche Engine'!$AH299:$AV299,Calc!$J$21),INDEX('My Order Engine'!$AH299:$AV299,Calc!$K$21)),"")</f>
        <v/>
      </c>
      <c r="S297" s="25" t="str">
        <f>IF(AND($A297&lt;=IF(Calc!$C$36=999,360,Calc!$C$36),Calc!$C$22=1),CHOOSE(Calc!$C$3,INDEX('Snowball Engine'!$AH299:$AV299,Calc!$I$22),INDEX('Avalanche Engine'!$AH299:$AV299,Calc!$J$22),INDEX('My Order Engine'!$AH299:$AV299,Calc!$K$22)),"")</f>
        <v/>
      </c>
      <c r="T297" s="25" t="str">
        <f>IF(AND($A297&lt;=IF(Calc!$C$36=999,360,Calc!$C$36),Calc!$C$23=1),CHOOSE(Calc!$C$3,INDEX('Snowball Engine'!$AH299:$AV299,Calc!$I$23),INDEX('Avalanche Engine'!$AH299:$AV299,Calc!$J$23),INDEX('My Order Engine'!$AH299:$AV299,Calc!$K$23)),"")</f>
        <v/>
      </c>
      <c r="U297" s="25" t="str">
        <f>IF(AND($A297&lt;=IF(Calc!$C$36=999,360,Calc!$C$36),Calc!$C$24=1),CHOOSE(Calc!$C$3,INDEX('Snowball Engine'!$AH299:$AV299,Calc!$I$24),INDEX('Avalanche Engine'!$AH299:$AV299,Calc!$J$24),INDEX('My Order Engine'!$AH299:$AV299,Calc!$K$24)),"")</f>
        <v/>
      </c>
    </row>
    <row r="298" spans="1:21" x14ac:dyDescent="0.35">
      <c r="A298" s="23">
        <v>294</v>
      </c>
      <c r="B298" s="24" t="str">
        <f>IF($A298&lt;=IF(Calc!$C$36=999,360,Calc!$C$36),EDATE(Calc!$C$5,A298-1),"")</f>
        <v/>
      </c>
      <c r="C298" s="25" t="str">
        <f>IF($A298&lt;=IF(Calc!$C$36=999,360,Calc!$C$36),CHOOSE(Calc!$C$3,'Snowball Engine'!AY300,'Avalanche Engine'!AY300,'My Order Engine'!AY300),"")</f>
        <v/>
      </c>
      <c r="D298" s="25" t="str">
        <f>IF($A298&lt;=IF(Calc!$C$36=999,360,Calc!$C$36),CHOOSE(Calc!$C$3,'Snowball Engine'!AX300,'Avalanche Engine'!AX300,'My Order Engine'!AX300),"")</f>
        <v/>
      </c>
      <c r="E298" s="25" t="str">
        <f>IF($A298&lt;=IF(Calc!$C$36=999,360,Calc!$C$36),C298-D298,"")</f>
        <v/>
      </c>
      <c r="F298" s="25" t="str">
        <f>IF($A298&lt;=IF(Calc!$C$36=999,360,Calc!$C$36),CHOOSE(Calc!$C$3,'Snowball Engine'!AW300,'Avalanche Engine'!AW300,'My Order Engine'!AW300),"")</f>
        <v/>
      </c>
      <c r="G298" s="25" t="str">
        <f>IF(AND($A298&lt;=IF(Calc!$C$36=999,360,Calc!$C$36),Calc!$C$10=1),CHOOSE(Calc!$C$3,INDEX('Snowball Engine'!$AH300:$AV300,Calc!$I$10),INDEX('Avalanche Engine'!$AH300:$AV300,Calc!$J$10),INDEX('My Order Engine'!$AH300:$AV300,Calc!$K$10)),"")</f>
        <v/>
      </c>
      <c r="H298" s="25" t="str">
        <f>IF(AND($A298&lt;=IF(Calc!$C$36=999,360,Calc!$C$36),Calc!$C$11=1),CHOOSE(Calc!$C$3,INDEX('Snowball Engine'!$AH300:$AV300,Calc!$I$11),INDEX('Avalanche Engine'!$AH300:$AV300,Calc!$J$11),INDEX('My Order Engine'!$AH300:$AV300,Calc!$K$11)),"")</f>
        <v/>
      </c>
      <c r="I298" s="25" t="str">
        <f>IF(AND($A298&lt;=IF(Calc!$C$36=999,360,Calc!$C$36),Calc!$C$12=1),CHOOSE(Calc!$C$3,INDEX('Snowball Engine'!$AH300:$AV300,Calc!$I$12),INDEX('Avalanche Engine'!$AH300:$AV300,Calc!$J$12),INDEX('My Order Engine'!$AH300:$AV300,Calc!$K$12)),"")</f>
        <v/>
      </c>
      <c r="J298" s="25" t="str">
        <f>IF(AND($A298&lt;=IF(Calc!$C$36=999,360,Calc!$C$36),Calc!$C$13=1),CHOOSE(Calc!$C$3,INDEX('Snowball Engine'!$AH300:$AV300,Calc!$I$13),INDEX('Avalanche Engine'!$AH300:$AV300,Calc!$J$13),INDEX('My Order Engine'!$AH300:$AV300,Calc!$K$13)),"")</f>
        <v/>
      </c>
      <c r="K298" s="25" t="str">
        <f>IF(AND($A298&lt;=IF(Calc!$C$36=999,360,Calc!$C$36),Calc!$C$14=1),CHOOSE(Calc!$C$3,INDEX('Snowball Engine'!$AH300:$AV300,Calc!$I$14),INDEX('Avalanche Engine'!$AH300:$AV300,Calc!$J$14),INDEX('My Order Engine'!$AH300:$AV300,Calc!$K$14)),"")</f>
        <v/>
      </c>
      <c r="L298" s="25" t="str">
        <f>IF(AND($A298&lt;=IF(Calc!$C$36=999,360,Calc!$C$36),Calc!$C$15=1),CHOOSE(Calc!$C$3,INDEX('Snowball Engine'!$AH300:$AV300,Calc!$I$15),INDEX('Avalanche Engine'!$AH300:$AV300,Calc!$J$15),INDEX('My Order Engine'!$AH300:$AV300,Calc!$K$15)),"")</f>
        <v/>
      </c>
      <c r="M298" s="25" t="str">
        <f>IF(AND($A298&lt;=IF(Calc!$C$36=999,360,Calc!$C$36),Calc!$C$16=1),CHOOSE(Calc!$C$3,INDEX('Snowball Engine'!$AH300:$AV300,Calc!$I$16),INDEX('Avalanche Engine'!$AH300:$AV300,Calc!$J$16),INDEX('My Order Engine'!$AH300:$AV300,Calc!$K$16)),"")</f>
        <v/>
      </c>
      <c r="N298" s="25" t="str">
        <f>IF(AND($A298&lt;=IF(Calc!$C$36=999,360,Calc!$C$36),Calc!$C$17=1),CHOOSE(Calc!$C$3,INDEX('Snowball Engine'!$AH300:$AV300,Calc!$I$17),INDEX('Avalanche Engine'!$AH300:$AV300,Calc!$J$17),INDEX('My Order Engine'!$AH300:$AV300,Calc!$K$17)),"")</f>
        <v/>
      </c>
      <c r="O298" s="25" t="str">
        <f>IF(AND($A298&lt;=IF(Calc!$C$36=999,360,Calc!$C$36),Calc!$C$18=1),CHOOSE(Calc!$C$3,INDEX('Snowball Engine'!$AH300:$AV300,Calc!$I$18),INDEX('Avalanche Engine'!$AH300:$AV300,Calc!$J$18),INDEX('My Order Engine'!$AH300:$AV300,Calc!$K$18)),"")</f>
        <v/>
      </c>
      <c r="P298" s="25" t="str">
        <f>IF(AND($A298&lt;=IF(Calc!$C$36=999,360,Calc!$C$36),Calc!$C$19=1),CHOOSE(Calc!$C$3,INDEX('Snowball Engine'!$AH300:$AV300,Calc!$I$19),INDEX('Avalanche Engine'!$AH300:$AV300,Calc!$J$19),INDEX('My Order Engine'!$AH300:$AV300,Calc!$K$19)),"")</f>
        <v/>
      </c>
      <c r="Q298" s="25" t="str">
        <f>IF(AND($A298&lt;=IF(Calc!$C$36=999,360,Calc!$C$36),Calc!$C$20=1),CHOOSE(Calc!$C$3,INDEX('Snowball Engine'!$AH300:$AV300,Calc!$I$20),INDEX('Avalanche Engine'!$AH300:$AV300,Calc!$J$20),INDEX('My Order Engine'!$AH300:$AV300,Calc!$K$20)),"")</f>
        <v/>
      </c>
      <c r="R298" s="25" t="str">
        <f>IF(AND($A298&lt;=IF(Calc!$C$36=999,360,Calc!$C$36),Calc!$C$21=1),CHOOSE(Calc!$C$3,INDEX('Snowball Engine'!$AH300:$AV300,Calc!$I$21),INDEX('Avalanche Engine'!$AH300:$AV300,Calc!$J$21),INDEX('My Order Engine'!$AH300:$AV300,Calc!$K$21)),"")</f>
        <v/>
      </c>
      <c r="S298" s="25" t="str">
        <f>IF(AND($A298&lt;=IF(Calc!$C$36=999,360,Calc!$C$36),Calc!$C$22=1),CHOOSE(Calc!$C$3,INDEX('Snowball Engine'!$AH300:$AV300,Calc!$I$22),INDEX('Avalanche Engine'!$AH300:$AV300,Calc!$J$22),INDEX('My Order Engine'!$AH300:$AV300,Calc!$K$22)),"")</f>
        <v/>
      </c>
      <c r="T298" s="25" t="str">
        <f>IF(AND($A298&lt;=IF(Calc!$C$36=999,360,Calc!$C$36),Calc!$C$23=1),CHOOSE(Calc!$C$3,INDEX('Snowball Engine'!$AH300:$AV300,Calc!$I$23),INDEX('Avalanche Engine'!$AH300:$AV300,Calc!$J$23),INDEX('My Order Engine'!$AH300:$AV300,Calc!$K$23)),"")</f>
        <v/>
      </c>
      <c r="U298" s="25" t="str">
        <f>IF(AND($A298&lt;=IF(Calc!$C$36=999,360,Calc!$C$36),Calc!$C$24=1),CHOOSE(Calc!$C$3,INDEX('Snowball Engine'!$AH300:$AV300,Calc!$I$24),INDEX('Avalanche Engine'!$AH300:$AV300,Calc!$J$24),INDEX('My Order Engine'!$AH300:$AV300,Calc!$K$24)),"")</f>
        <v/>
      </c>
    </row>
    <row r="299" spans="1:21" x14ac:dyDescent="0.35">
      <c r="A299" s="23">
        <v>295</v>
      </c>
      <c r="B299" s="24" t="str">
        <f>IF($A299&lt;=IF(Calc!$C$36=999,360,Calc!$C$36),EDATE(Calc!$C$5,A299-1),"")</f>
        <v/>
      </c>
      <c r="C299" s="25" t="str">
        <f>IF($A299&lt;=IF(Calc!$C$36=999,360,Calc!$C$36),CHOOSE(Calc!$C$3,'Snowball Engine'!AY301,'Avalanche Engine'!AY301,'My Order Engine'!AY301),"")</f>
        <v/>
      </c>
      <c r="D299" s="25" t="str">
        <f>IF($A299&lt;=IF(Calc!$C$36=999,360,Calc!$C$36),CHOOSE(Calc!$C$3,'Snowball Engine'!AX301,'Avalanche Engine'!AX301,'My Order Engine'!AX301),"")</f>
        <v/>
      </c>
      <c r="E299" s="25" t="str">
        <f>IF($A299&lt;=IF(Calc!$C$36=999,360,Calc!$C$36),C299-D299,"")</f>
        <v/>
      </c>
      <c r="F299" s="25" t="str">
        <f>IF($A299&lt;=IF(Calc!$C$36=999,360,Calc!$C$36),CHOOSE(Calc!$C$3,'Snowball Engine'!AW301,'Avalanche Engine'!AW301,'My Order Engine'!AW301),"")</f>
        <v/>
      </c>
      <c r="G299" s="25" t="str">
        <f>IF(AND($A299&lt;=IF(Calc!$C$36=999,360,Calc!$C$36),Calc!$C$10=1),CHOOSE(Calc!$C$3,INDEX('Snowball Engine'!$AH301:$AV301,Calc!$I$10),INDEX('Avalanche Engine'!$AH301:$AV301,Calc!$J$10),INDEX('My Order Engine'!$AH301:$AV301,Calc!$K$10)),"")</f>
        <v/>
      </c>
      <c r="H299" s="25" t="str">
        <f>IF(AND($A299&lt;=IF(Calc!$C$36=999,360,Calc!$C$36),Calc!$C$11=1),CHOOSE(Calc!$C$3,INDEX('Snowball Engine'!$AH301:$AV301,Calc!$I$11),INDEX('Avalanche Engine'!$AH301:$AV301,Calc!$J$11),INDEX('My Order Engine'!$AH301:$AV301,Calc!$K$11)),"")</f>
        <v/>
      </c>
      <c r="I299" s="25" t="str">
        <f>IF(AND($A299&lt;=IF(Calc!$C$36=999,360,Calc!$C$36),Calc!$C$12=1),CHOOSE(Calc!$C$3,INDEX('Snowball Engine'!$AH301:$AV301,Calc!$I$12),INDEX('Avalanche Engine'!$AH301:$AV301,Calc!$J$12),INDEX('My Order Engine'!$AH301:$AV301,Calc!$K$12)),"")</f>
        <v/>
      </c>
      <c r="J299" s="25" t="str">
        <f>IF(AND($A299&lt;=IF(Calc!$C$36=999,360,Calc!$C$36),Calc!$C$13=1),CHOOSE(Calc!$C$3,INDEX('Snowball Engine'!$AH301:$AV301,Calc!$I$13),INDEX('Avalanche Engine'!$AH301:$AV301,Calc!$J$13),INDEX('My Order Engine'!$AH301:$AV301,Calc!$K$13)),"")</f>
        <v/>
      </c>
      <c r="K299" s="25" t="str">
        <f>IF(AND($A299&lt;=IF(Calc!$C$36=999,360,Calc!$C$36),Calc!$C$14=1),CHOOSE(Calc!$C$3,INDEX('Snowball Engine'!$AH301:$AV301,Calc!$I$14),INDEX('Avalanche Engine'!$AH301:$AV301,Calc!$J$14),INDEX('My Order Engine'!$AH301:$AV301,Calc!$K$14)),"")</f>
        <v/>
      </c>
      <c r="L299" s="25" t="str">
        <f>IF(AND($A299&lt;=IF(Calc!$C$36=999,360,Calc!$C$36),Calc!$C$15=1),CHOOSE(Calc!$C$3,INDEX('Snowball Engine'!$AH301:$AV301,Calc!$I$15),INDEX('Avalanche Engine'!$AH301:$AV301,Calc!$J$15),INDEX('My Order Engine'!$AH301:$AV301,Calc!$K$15)),"")</f>
        <v/>
      </c>
      <c r="M299" s="25" t="str">
        <f>IF(AND($A299&lt;=IF(Calc!$C$36=999,360,Calc!$C$36),Calc!$C$16=1),CHOOSE(Calc!$C$3,INDEX('Snowball Engine'!$AH301:$AV301,Calc!$I$16),INDEX('Avalanche Engine'!$AH301:$AV301,Calc!$J$16),INDEX('My Order Engine'!$AH301:$AV301,Calc!$K$16)),"")</f>
        <v/>
      </c>
      <c r="N299" s="25" t="str">
        <f>IF(AND($A299&lt;=IF(Calc!$C$36=999,360,Calc!$C$36),Calc!$C$17=1),CHOOSE(Calc!$C$3,INDEX('Snowball Engine'!$AH301:$AV301,Calc!$I$17),INDEX('Avalanche Engine'!$AH301:$AV301,Calc!$J$17),INDEX('My Order Engine'!$AH301:$AV301,Calc!$K$17)),"")</f>
        <v/>
      </c>
      <c r="O299" s="25" t="str">
        <f>IF(AND($A299&lt;=IF(Calc!$C$36=999,360,Calc!$C$36),Calc!$C$18=1),CHOOSE(Calc!$C$3,INDEX('Snowball Engine'!$AH301:$AV301,Calc!$I$18),INDEX('Avalanche Engine'!$AH301:$AV301,Calc!$J$18),INDEX('My Order Engine'!$AH301:$AV301,Calc!$K$18)),"")</f>
        <v/>
      </c>
      <c r="P299" s="25" t="str">
        <f>IF(AND($A299&lt;=IF(Calc!$C$36=999,360,Calc!$C$36),Calc!$C$19=1),CHOOSE(Calc!$C$3,INDEX('Snowball Engine'!$AH301:$AV301,Calc!$I$19),INDEX('Avalanche Engine'!$AH301:$AV301,Calc!$J$19),INDEX('My Order Engine'!$AH301:$AV301,Calc!$K$19)),"")</f>
        <v/>
      </c>
      <c r="Q299" s="25" t="str">
        <f>IF(AND($A299&lt;=IF(Calc!$C$36=999,360,Calc!$C$36),Calc!$C$20=1),CHOOSE(Calc!$C$3,INDEX('Snowball Engine'!$AH301:$AV301,Calc!$I$20),INDEX('Avalanche Engine'!$AH301:$AV301,Calc!$J$20),INDEX('My Order Engine'!$AH301:$AV301,Calc!$K$20)),"")</f>
        <v/>
      </c>
      <c r="R299" s="25" t="str">
        <f>IF(AND($A299&lt;=IF(Calc!$C$36=999,360,Calc!$C$36),Calc!$C$21=1),CHOOSE(Calc!$C$3,INDEX('Snowball Engine'!$AH301:$AV301,Calc!$I$21),INDEX('Avalanche Engine'!$AH301:$AV301,Calc!$J$21),INDEX('My Order Engine'!$AH301:$AV301,Calc!$K$21)),"")</f>
        <v/>
      </c>
      <c r="S299" s="25" t="str">
        <f>IF(AND($A299&lt;=IF(Calc!$C$36=999,360,Calc!$C$36),Calc!$C$22=1),CHOOSE(Calc!$C$3,INDEX('Snowball Engine'!$AH301:$AV301,Calc!$I$22),INDEX('Avalanche Engine'!$AH301:$AV301,Calc!$J$22),INDEX('My Order Engine'!$AH301:$AV301,Calc!$K$22)),"")</f>
        <v/>
      </c>
      <c r="T299" s="25" t="str">
        <f>IF(AND($A299&lt;=IF(Calc!$C$36=999,360,Calc!$C$36),Calc!$C$23=1),CHOOSE(Calc!$C$3,INDEX('Snowball Engine'!$AH301:$AV301,Calc!$I$23),INDEX('Avalanche Engine'!$AH301:$AV301,Calc!$J$23),INDEX('My Order Engine'!$AH301:$AV301,Calc!$K$23)),"")</f>
        <v/>
      </c>
      <c r="U299" s="25" t="str">
        <f>IF(AND($A299&lt;=IF(Calc!$C$36=999,360,Calc!$C$36),Calc!$C$24=1),CHOOSE(Calc!$C$3,INDEX('Snowball Engine'!$AH301:$AV301,Calc!$I$24),INDEX('Avalanche Engine'!$AH301:$AV301,Calc!$J$24),INDEX('My Order Engine'!$AH301:$AV301,Calc!$K$24)),"")</f>
        <v/>
      </c>
    </row>
    <row r="300" spans="1:21" x14ac:dyDescent="0.35">
      <c r="A300" s="23">
        <v>296</v>
      </c>
      <c r="B300" s="24" t="str">
        <f>IF($A300&lt;=IF(Calc!$C$36=999,360,Calc!$C$36),EDATE(Calc!$C$5,A300-1),"")</f>
        <v/>
      </c>
      <c r="C300" s="25" t="str">
        <f>IF($A300&lt;=IF(Calc!$C$36=999,360,Calc!$C$36),CHOOSE(Calc!$C$3,'Snowball Engine'!AY302,'Avalanche Engine'!AY302,'My Order Engine'!AY302),"")</f>
        <v/>
      </c>
      <c r="D300" s="25" t="str">
        <f>IF($A300&lt;=IF(Calc!$C$36=999,360,Calc!$C$36),CHOOSE(Calc!$C$3,'Snowball Engine'!AX302,'Avalanche Engine'!AX302,'My Order Engine'!AX302),"")</f>
        <v/>
      </c>
      <c r="E300" s="25" t="str">
        <f>IF($A300&lt;=IF(Calc!$C$36=999,360,Calc!$C$36),C300-D300,"")</f>
        <v/>
      </c>
      <c r="F300" s="25" t="str">
        <f>IF($A300&lt;=IF(Calc!$C$36=999,360,Calc!$C$36),CHOOSE(Calc!$C$3,'Snowball Engine'!AW302,'Avalanche Engine'!AW302,'My Order Engine'!AW302),"")</f>
        <v/>
      </c>
      <c r="G300" s="25" t="str">
        <f>IF(AND($A300&lt;=IF(Calc!$C$36=999,360,Calc!$C$36),Calc!$C$10=1),CHOOSE(Calc!$C$3,INDEX('Snowball Engine'!$AH302:$AV302,Calc!$I$10),INDEX('Avalanche Engine'!$AH302:$AV302,Calc!$J$10),INDEX('My Order Engine'!$AH302:$AV302,Calc!$K$10)),"")</f>
        <v/>
      </c>
      <c r="H300" s="25" t="str">
        <f>IF(AND($A300&lt;=IF(Calc!$C$36=999,360,Calc!$C$36),Calc!$C$11=1),CHOOSE(Calc!$C$3,INDEX('Snowball Engine'!$AH302:$AV302,Calc!$I$11),INDEX('Avalanche Engine'!$AH302:$AV302,Calc!$J$11),INDEX('My Order Engine'!$AH302:$AV302,Calc!$K$11)),"")</f>
        <v/>
      </c>
      <c r="I300" s="25" t="str">
        <f>IF(AND($A300&lt;=IF(Calc!$C$36=999,360,Calc!$C$36),Calc!$C$12=1),CHOOSE(Calc!$C$3,INDEX('Snowball Engine'!$AH302:$AV302,Calc!$I$12),INDEX('Avalanche Engine'!$AH302:$AV302,Calc!$J$12),INDEX('My Order Engine'!$AH302:$AV302,Calc!$K$12)),"")</f>
        <v/>
      </c>
      <c r="J300" s="25" t="str">
        <f>IF(AND($A300&lt;=IF(Calc!$C$36=999,360,Calc!$C$36),Calc!$C$13=1),CHOOSE(Calc!$C$3,INDEX('Snowball Engine'!$AH302:$AV302,Calc!$I$13),INDEX('Avalanche Engine'!$AH302:$AV302,Calc!$J$13),INDEX('My Order Engine'!$AH302:$AV302,Calc!$K$13)),"")</f>
        <v/>
      </c>
      <c r="K300" s="25" t="str">
        <f>IF(AND($A300&lt;=IF(Calc!$C$36=999,360,Calc!$C$36),Calc!$C$14=1),CHOOSE(Calc!$C$3,INDEX('Snowball Engine'!$AH302:$AV302,Calc!$I$14),INDEX('Avalanche Engine'!$AH302:$AV302,Calc!$J$14),INDEX('My Order Engine'!$AH302:$AV302,Calc!$K$14)),"")</f>
        <v/>
      </c>
      <c r="L300" s="25" t="str">
        <f>IF(AND($A300&lt;=IF(Calc!$C$36=999,360,Calc!$C$36),Calc!$C$15=1),CHOOSE(Calc!$C$3,INDEX('Snowball Engine'!$AH302:$AV302,Calc!$I$15),INDEX('Avalanche Engine'!$AH302:$AV302,Calc!$J$15),INDEX('My Order Engine'!$AH302:$AV302,Calc!$K$15)),"")</f>
        <v/>
      </c>
      <c r="M300" s="25" t="str">
        <f>IF(AND($A300&lt;=IF(Calc!$C$36=999,360,Calc!$C$36),Calc!$C$16=1),CHOOSE(Calc!$C$3,INDEX('Snowball Engine'!$AH302:$AV302,Calc!$I$16),INDEX('Avalanche Engine'!$AH302:$AV302,Calc!$J$16),INDEX('My Order Engine'!$AH302:$AV302,Calc!$K$16)),"")</f>
        <v/>
      </c>
      <c r="N300" s="25" t="str">
        <f>IF(AND($A300&lt;=IF(Calc!$C$36=999,360,Calc!$C$36),Calc!$C$17=1),CHOOSE(Calc!$C$3,INDEX('Snowball Engine'!$AH302:$AV302,Calc!$I$17),INDEX('Avalanche Engine'!$AH302:$AV302,Calc!$J$17),INDEX('My Order Engine'!$AH302:$AV302,Calc!$K$17)),"")</f>
        <v/>
      </c>
      <c r="O300" s="25" t="str">
        <f>IF(AND($A300&lt;=IF(Calc!$C$36=999,360,Calc!$C$36),Calc!$C$18=1),CHOOSE(Calc!$C$3,INDEX('Snowball Engine'!$AH302:$AV302,Calc!$I$18),INDEX('Avalanche Engine'!$AH302:$AV302,Calc!$J$18),INDEX('My Order Engine'!$AH302:$AV302,Calc!$K$18)),"")</f>
        <v/>
      </c>
      <c r="P300" s="25" t="str">
        <f>IF(AND($A300&lt;=IF(Calc!$C$36=999,360,Calc!$C$36),Calc!$C$19=1),CHOOSE(Calc!$C$3,INDEX('Snowball Engine'!$AH302:$AV302,Calc!$I$19),INDEX('Avalanche Engine'!$AH302:$AV302,Calc!$J$19),INDEX('My Order Engine'!$AH302:$AV302,Calc!$K$19)),"")</f>
        <v/>
      </c>
      <c r="Q300" s="25" t="str">
        <f>IF(AND($A300&lt;=IF(Calc!$C$36=999,360,Calc!$C$36),Calc!$C$20=1),CHOOSE(Calc!$C$3,INDEX('Snowball Engine'!$AH302:$AV302,Calc!$I$20),INDEX('Avalanche Engine'!$AH302:$AV302,Calc!$J$20),INDEX('My Order Engine'!$AH302:$AV302,Calc!$K$20)),"")</f>
        <v/>
      </c>
      <c r="R300" s="25" t="str">
        <f>IF(AND($A300&lt;=IF(Calc!$C$36=999,360,Calc!$C$36),Calc!$C$21=1),CHOOSE(Calc!$C$3,INDEX('Snowball Engine'!$AH302:$AV302,Calc!$I$21),INDEX('Avalanche Engine'!$AH302:$AV302,Calc!$J$21),INDEX('My Order Engine'!$AH302:$AV302,Calc!$K$21)),"")</f>
        <v/>
      </c>
      <c r="S300" s="25" t="str">
        <f>IF(AND($A300&lt;=IF(Calc!$C$36=999,360,Calc!$C$36),Calc!$C$22=1),CHOOSE(Calc!$C$3,INDEX('Snowball Engine'!$AH302:$AV302,Calc!$I$22),INDEX('Avalanche Engine'!$AH302:$AV302,Calc!$J$22),INDEX('My Order Engine'!$AH302:$AV302,Calc!$K$22)),"")</f>
        <v/>
      </c>
      <c r="T300" s="25" t="str">
        <f>IF(AND($A300&lt;=IF(Calc!$C$36=999,360,Calc!$C$36),Calc!$C$23=1),CHOOSE(Calc!$C$3,INDEX('Snowball Engine'!$AH302:$AV302,Calc!$I$23),INDEX('Avalanche Engine'!$AH302:$AV302,Calc!$J$23),INDEX('My Order Engine'!$AH302:$AV302,Calc!$K$23)),"")</f>
        <v/>
      </c>
      <c r="U300" s="25" t="str">
        <f>IF(AND($A300&lt;=IF(Calc!$C$36=999,360,Calc!$C$36),Calc!$C$24=1),CHOOSE(Calc!$C$3,INDEX('Snowball Engine'!$AH302:$AV302,Calc!$I$24),INDEX('Avalanche Engine'!$AH302:$AV302,Calc!$J$24),INDEX('My Order Engine'!$AH302:$AV302,Calc!$K$24)),"")</f>
        <v/>
      </c>
    </row>
    <row r="301" spans="1:21" x14ac:dyDescent="0.35">
      <c r="A301" s="23">
        <v>297</v>
      </c>
      <c r="B301" s="24" t="str">
        <f>IF($A301&lt;=IF(Calc!$C$36=999,360,Calc!$C$36),EDATE(Calc!$C$5,A301-1),"")</f>
        <v/>
      </c>
      <c r="C301" s="25" t="str">
        <f>IF($A301&lt;=IF(Calc!$C$36=999,360,Calc!$C$36),CHOOSE(Calc!$C$3,'Snowball Engine'!AY303,'Avalanche Engine'!AY303,'My Order Engine'!AY303),"")</f>
        <v/>
      </c>
      <c r="D301" s="25" t="str">
        <f>IF($A301&lt;=IF(Calc!$C$36=999,360,Calc!$C$36),CHOOSE(Calc!$C$3,'Snowball Engine'!AX303,'Avalanche Engine'!AX303,'My Order Engine'!AX303),"")</f>
        <v/>
      </c>
      <c r="E301" s="25" t="str">
        <f>IF($A301&lt;=IF(Calc!$C$36=999,360,Calc!$C$36),C301-D301,"")</f>
        <v/>
      </c>
      <c r="F301" s="25" t="str">
        <f>IF($A301&lt;=IF(Calc!$C$36=999,360,Calc!$C$36),CHOOSE(Calc!$C$3,'Snowball Engine'!AW303,'Avalanche Engine'!AW303,'My Order Engine'!AW303),"")</f>
        <v/>
      </c>
      <c r="G301" s="25" t="str">
        <f>IF(AND($A301&lt;=IF(Calc!$C$36=999,360,Calc!$C$36),Calc!$C$10=1),CHOOSE(Calc!$C$3,INDEX('Snowball Engine'!$AH303:$AV303,Calc!$I$10),INDEX('Avalanche Engine'!$AH303:$AV303,Calc!$J$10),INDEX('My Order Engine'!$AH303:$AV303,Calc!$K$10)),"")</f>
        <v/>
      </c>
      <c r="H301" s="25" t="str">
        <f>IF(AND($A301&lt;=IF(Calc!$C$36=999,360,Calc!$C$36),Calc!$C$11=1),CHOOSE(Calc!$C$3,INDEX('Snowball Engine'!$AH303:$AV303,Calc!$I$11),INDEX('Avalanche Engine'!$AH303:$AV303,Calc!$J$11),INDEX('My Order Engine'!$AH303:$AV303,Calc!$K$11)),"")</f>
        <v/>
      </c>
      <c r="I301" s="25" t="str">
        <f>IF(AND($A301&lt;=IF(Calc!$C$36=999,360,Calc!$C$36),Calc!$C$12=1),CHOOSE(Calc!$C$3,INDEX('Snowball Engine'!$AH303:$AV303,Calc!$I$12),INDEX('Avalanche Engine'!$AH303:$AV303,Calc!$J$12),INDEX('My Order Engine'!$AH303:$AV303,Calc!$K$12)),"")</f>
        <v/>
      </c>
      <c r="J301" s="25" t="str">
        <f>IF(AND($A301&lt;=IF(Calc!$C$36=999,360,Calc!$C$36),Calc!$C$13=1),CHOOSE(Calc!$C$3,INDEX('Snowball Engine'!$AH303:$AV303,Calc!$I$13),INDEX('Avalanche Engine'!$AH303:$AV303,Calc!$J$13),INDEX('My Order Engine'!$AH303:$AV303,Calc!$K$13)),"")</f>
        <v/>
      </c>
      <c r="K301" s="25" t="str">
        <f>IF(AND($A301&lt;=IF(Calc!$C$36=999,360,Calc!$C$36),Calc!$C$14=1),CHOOSE(Calc!$C$3,INDEX('Snowball Engine'!$AH303:$AV303,Calc!$I$14),INDEX('Avalanche Engine'!$AH303:$AV303,Calc!$J$14),INDEX('My Order Engine'!$AH303:$AV303,Calc!$K$14)),"")</f>
        <v/>
      </c>
      <c r="L301" s="25" t="str">
        <f>IF(AND($A301&lt;=IF(Calc!$C$36=999,360,Calc!$C$36),Calc!$C$15=1),CHOOSE(Calc!$C$3,INDEX('Snowball Engine'!$AH303:$AV303,Calc!$I$15),INDEX('Avalanche Engine'!$AH303:$AV303,Calc!$J$15),INDEX('My Order Engine'!$AH303:$AV303,Calc!$K$15)),"")</f>
        <v/>
      </c>
      <c r="M301" s="25" t="str">
        <f>IF(AND($A301&lt;=IF(Calc!$C$36=999,360,Calc!$C$36),Calc!$C$16=1),CHOOSE(Calc!$C$3,INDEX('Snowball Engine'!$AH303:$AV303,Calc!$I$16),INDEX('Avalanche Engine'!$AH303:$AV303,Calc!$J$16),INDEX('My Order Engine'!$AH303:$AV303,Calc!$K$16)),"")</f>
        <v/>
      </c>
      <c r="N301" s="25" t="str">
        <f>IF(AND($A301&lt;=IF(Calc!$C$36=999,360,Calc!$C$36),Calc!$C$17=1),CHOOSE(Calc!$C$3,INDEX('Snowball Engine'!$AH303:$AV303,Calc!$I$17),INDEX('Avalanche Engine'!$AH303:$AV303,Calc!$J$17),INDEX('My Order Engine'!$AH303:$AV303,Calc!$K$17)),"")</f>
        <v/>
      </c>
      <c r="O301" s="25" t="str">
        <f>IF(AND($A301&lt;=IF(Calc!$C$36=999,360,Calc!$C$36),Calc!$C$18=1),CHOOSE(Calc!$C$3,INDEX('Snowball Engine'!$AH303:$AV303,Calc!$I$18),INDEX('Avalanche Engine'!$AH303:$AV303,Calc!$J$18),INDEX('My Order Engine'!$AH303:$AV303,Calc!$K$18)),"")</f>
        <v/>
      </c>
      <c r="P301" s="25" t="str">
        <f>IF(AND($A301&lt;=IF(Calc!$C$36=999,360,Calc!$C$36),Calc!$C$19=1),CHOOSE(Calc!$C$3,INDEX('Snowball Engine'!$AH303:$AV303,Calc!$I$19),INDEX('Avalanche Engine'!$AH303:$AV303,Calc!$J$19),INDEX('My Order Engine'!$AH303:$AV303,Calc!$K$19)),"")</f>
        <v/>
      </c>
      <c r="Q301" s="25" t="str">
        <f>IF(AND($A301&lt;=IF(Calc!$C$36=999,360,Calc!$C$36),Calc!$C$20=1),CHOOSE(Calc!$C$3,INDEX('Snowball Engine'!$AH303:$AV303,Calc!$I$20),INDEX('Avalanche Engine'!$AH303:$AV303,Calc!$J$20),INDEX('My Order Engine'!$AH303:$AV303,Calc!$K$20)),"")</f>
        <v/>
      </c>
      <c r="R301" s="25" t="str">
        <f>IF(AND($A301&lt;=IF(Calc!$C$36=999,360,Calc!$C$36),Calc!$C$21=1),CHOOSE(Calc!$C$3,INDEX('Snowball Engine'!$AH303:$AV303,Calc!$I$21),INDEX('Avalanche Engine'!$AH303:$AV303,Calc!$J$21),INDEX('My Order Engine'!$AH303:$AV303,Calc!$K$21)),"")</f>
        <v/>
      </c>
      <c r="S301" s="25" t="str">
        <f>IF(AND($A301&lt;=IF(Calc!$C$36=999,360,Calc!$C$36),Calc!$C$22=1),CHOOSE(Calc!$C$3,INDEX('Snowball Engine'!$AH303:$AV303,Calc!$I$22),INDEX('Avalanche Engine'!$AH303:$AV303,Calc!$J$22),INDEX('My Order Engine'!$AH303:$AV303,Calc!$K$22)),"")</f>
        <v/>
      </c>
      <c r="T301" s="25" t="str">
        <f>IF(AND($A301&lt;=IF(Calc!$C$36=999,360,Calc!$C$36),Calc!$C$23=1),CHOOSE(Calc!$C$3,INDEX('Snowball Engine'!$AH303:$AV303,Calc!$I$23),INDEX('Avalanche Engine'!$AH303:$AV303,Calc!$J$23),INDEX('My Order Engine'!$AH303:$AV303,Calc!$K$23)),"")</f>
        <v/>
      </c>
      <c r="U301" s="25" t="str">
        <f>IF(AND($A301&lt;=IF(Calc!$C$36=999,360,Calc!$C$36),Calc!$C$24=1),CHOOSE(Calc!$C$3,INDEX('Snowball Engine'!$AH303:$AV303,Calc!$I$24),INDEX('Avalanche Engine'!$AH303:$AV303,Calc!$J$24),INDEX('My Order Engine'!$AH303:$AV303,Calc!$K$24)),"")</f>
        <v/>
      </c>
    </row>
    <row r="302" spans="1:21" x14ac:dyDescent="0.35">
      <c r="A302" s="23">
        <v>298</v>
      </c>
      <c r="B302" s="24" t="str">
        <f>IF($A302&lt;=IF(Calc!$C$36=999,360,Calc!$C$36),EDATE(Calc!$C$5,A302-1),"")</f>
        <v/>
      </c>
      <c r="C302" s="25" t="str">
        <f>IF($A302&lt;=IF(Calc!$C$36=999,360,Calc!$C$36),CHOOSE(Calc!$C$3,'Snowball Engine'!AY304,'Avalanche Engine'!AY304,'My Order Engine'!AY304),"")</f>
        <v/>
      </c>
      <c r="D302" s="25" t="str">
        <f>IF($A302&lt;=IF(Calc!$C$36=999,360,Calc!$C$36),CHOOSE(Calc!$C$3,'Snowball Engine'!AX304,'Avalanche Engine'!AX304,'My Order Engine'!AX304),"")</f>
        <v/>
      </c>
      <c r="E302" s="25" t="str">
        <f>IF($A302&lt;=IF(Calc!$C$36=999,360,Calc!$C$36),C302-D302,"")</f>
        <v/>
      </c>
      <c r="F302" s="25" t="str">
        <f>IF($A302&lt;=IF(Calc!$C$36=999,360,Calc!$C$36),CHOOSE(Calc!$C$3,'Snowball Engine'!AW304,'Avalanche Engine'!AW304,'My Order Engine'!AW304),"")</f>
        <v/>
      </c>
      <c r="G302" s="25" t="str">
        <f>IF(AND($A302&lt;=IF(Calc!$C$36=999,360,Calc!$C$36),Calc!$C$10=1),CHOOSE(Calc!$C$3,INDEX('Snowball Engine'!$AH304:$AV304,Calc!$I$10),INDEX('Avalanche Engine'!$AH304:$AV304,Calc!$J$10),INDEX('My Order Engine'!$AH304:$AV304,Calc!$K$10)),"")</f>
        <v/>
      </c>
      <c r="H302" s="25" t="str">
        <f>IF(AND($A302&lt;=IF(Calc!$C$36=999,360,Calc!$C$36),Calc!$C$11=1),CHOOSE(Calc!$C$3,INDEX('Snowball Engine'!$AH304:$AV304,Calc!$I$11),INDEX('Avalanche Engine'!$AH304:$AV304,Calc!$J$11),INDEX('My Order Engine'!$AH304:$AV304,Calc!$K$11)),"")</f>
        <v/>
      </c>
      <c r="I302" s="25" t="str">
        <f>IF(AND($A302&lt;=IF(Calc!$C$36=999,360,Calc!$C$36),Calc!$C$12=1),CHOOSE(Calc!$C$3,INDEX('Snowball Engine'!$AH304:$AV304,Calc!$I$12),INDEX('Avalanche Engine'!$AH304:$AV304,Calc!$J$12),INDEX('My Order Engine'!$AH304:$AV304,Calc!$K$12)),"")</f>
        <v/>
      </c>
      <c r="J302" s="25" t="str">
        <f>IF(AND($A302&lt;=IF(Calc!$C$36=999,360,Calc!$C$36),Calc!$C$13=1),CHOOSE(Calc!$C$3,INDEX('Snowball Engine'!$AH304:$AV304,Calc!$I$13),INDEX('Avalanche Engine'!$AH304:$AV304,Calc!$J$13),INDEX('My Order Engine'!$AH304:$AV304,Calc!$K$13)),"")</f>
        <v/>
      </c>
      <c r="K302" s="25" t="str">
        <f>IF(AND($A302&lt;=IF(Calc!$C$36=999,360,Calc!$C$36),Calc!$C$14=1),CHOOSE(Calc!$C$3,INDEX('Snowball Engine'!$AH304:$AV304,Calc!$I$14),INDEX('Avalanche Engine'!$AH304:$AV304,Calc!$J$14),INDEX('My Order Engine'!$AH304:$AV304,Calc!$K$14)),"")</f>
        <v/>
      </c>
      <c r="L302" s="25" t="str">
        <f>IF(AND($A302&lt;=IF(Calc!$C$36=999,360,Calc!$C$36),Calc!$C$15=1),CHOOSE(Calc!$C$3,INDEX('Snowball Engine'!$AH304:$AV304,Calc!$I$15),INDEX('Avalanche Engine'!$AH304:$AV304,Calc!$J$15),INDEX('My Order Engine'!$AH304:$AV304,Calc!$K$15)),"")</f>
        <v/>
      </c>
      <c r="M302" s="25" t="str">
        <f>IF(AND($A302&lt;=IF(Calc!$C$36=999,360,Calc!$C$36),Calc!$C$16=1),CHOOSE(Calc!$C$3,INDEX('Snowball Engine'!$AH304:$AV304,Calc!$I$16),INDEX('Avalanche Engine'!$AH304:$AV304,Calc!$J$16),INDEX('My Order Engine'!$AH304:$AV304,Calc!$K$16)),"")</f>
        <v/>
      </c>
      <c r="N302" s="25" t="str">
        <f>IF(AND($A302&lt;=IF(Calc!$C$36=999,360,Calc!$C$36),Calc!$C$17=1),CHOOSE(Calc!$C$3,INDEX('Snowball Engine'!$AH304:$AV304,Calc!$I$17),INDEX('Avalanche Engine'!$AH304:$AV304,Calc!$J$17),INDEX('My Order Engine'!$AH304:$AV304,Calc!$K$17)),"")</f>
        <v/>
      </c>
      <c r="O302" s="25" t="str">
        <f>IF(AND($A302&lt;=IF(Calc!$C$36=999,360,Calc!$C$36),Calc!$C$18=1),CHOOSE(Calc!$C$3,INDEX('Snowball Engine'!$AH304:$AV304,Calc!$I$18),INDEX('Avalanche Engine'!$AH304:$AV304,Calc!$J$18),INDEX('My Order Engine'!$AH304:$AV304,Calc!$K$18)),"")</f>
        <v/>
      </c>
      <c r="P302" s="25" t="str">
        <f>IF(AND($A302&lt;=IF(Calc!$C$36=999,360,Calc!$C$36),Calc!$C$19=1),CHOOSE(Calc!$C$3,INDEX('Snowball Engine'!$AH304:$AV304,Calc!$I$19),INDEX('Avalanche Engine'!$AH304:$AV304,Calc!$J$19),INDEX('My Order Engine'!$AH304:$AV304,Calc!$K$19)),"")</f>
        <v/>
      </c>
      <c r="Q302" s="25" t="str">
        <f>IF(AND($A302&lt;=IF(Calc!$C$36=999,360,Calc!$C$36),Calc!$C$20=1),CHOOSE(Calc!$C$3,INDEX('Snowball Engine'!$AH304:$AV304,Calc!$I$20),INDEX('Avalanche Engine'!$AH304:$AV304,Calc!$J$20),INDEX('My Order Engine'!$AH304:$AV304,Calc!$K$20)),"")</f>
        <v/>
      </c>
      <c r="R302" s="25" t="str">
        <f>IF(AND($A302&lt;=IF(Calc!$C$36=999,360,Calc!$C$36),Calc!$C$21=1),CHOOSE(Calc!$C$3,INDEX('Snowball Engine'!$AH304:$AV304,Calc!$I$21),INDEX('Avalanche Engine'!$AH304:$AV304,Calc!$J$21),INDEX('My Order Engine'!$AH304:$AV304,Calc!$K$21)),"")</f>
        <v/>
      </c>
      <c r="S302" s="25" t="str">
        <f>IF(AND($A302&lt;=IF(Calc!$C$36=999,360,Calc!$C$36),Calc!$C$22=1),CHOOSE(Calc!$C$3,INDEX('Snowball Engine'!$AH304:$AV304,Calc!$I$22),INDEX('Avalanche Engine'!$AH304:$AV304,Calc!$J$22),INDEX('My Order Engine'!$AH304:$AV304,Calc!$K$22)),"")</f>
        <v/>
      </c>
      <c r="T302" s="25" t="str">
        <f>IF(AND($A302&lt;=IF(Calc!$C$36=999,360,Calc!$C$36),Calc!$C$23=1),CHOOSE(Calc!$C$3,INDEX('Snowball Engine'!$AH304:$AV304,Calc!$I$23),INDEX('Avalanche Engine'!$AH304:$AV304,Calc!$J$23),INDEX('My Order Engine'!$AH304:$AV304,Calc!$K$23)),"")</f>
        <v/>
      </c>
      <c r="U302" s="25" t="str">
        <f>IF(AND($A302&lt;=IF(Calc!$C$36=999,360,Calc!$C$36),Calc!$C$24=1),CHOOSE(Calc!$C$3,INDEX('Snowball Engine'!$AH304:$AV304,Calc!$I$24),INDEX('Avalanche Engine'!$AH304:$AV304,Calc!$J$24),INDEX('My Order Engine'!$AH304:$AV304,Calc!$K$24)),"")</f>
        <v/>
      </c>
    </row>
    <row r="303" spans="1:21" x14ac:dyDescent="0.35">
      <c r="A303" s="23">
        <v>299</v>
      </c>
      <c r="B303" s="24" t="str">
        <f>IF($A303&lt;=IF(Calc!$C$36=999,360,Calc!$C$36),EDATE(Calc!$C$5,A303-1),"")</f>
        <v/>
      </c>
      <c r="C303" s="25" t="str">
        <f>IF($A303&lt;=IF(Calc!$C$36=999,360,Calc!$C$36),CHOOSE(Calc!$C$3,'Snowball Engine'!AY305,'Avalanche Engine'!AY305,'My Order Engine'!AY305),"")</f>
        <v/>
      </c>
      <c r="D303" s="25" t="str">
        <f>IF($A303&lt;=IF(Calc!$C$36=999,360,Calc!$C$36),CHOOSE(Calc!$C$3,'Snowball Engine'!AX305,'Avalanche Engine'!AX305,'My Order Engine'!AX305),"")</f>
        <v/>
      </c>
      <c r="E303" s="25" t="str">
        <f>IF($A303&lt;=IF(Calc!$C$36=999,360,Calc!$C$36),C303-D303,"")</f>
        <v/>
      </c>
      <c r="F303" s="25" t="str">
        <f>IF($A303&lt;=IF(Calc!$C$36=999,360,Calc!$C$36),CHOOSE(Calc!$C$3,'Snowball Engine'!AW305,'Avalanche Engine'!AW305,'My Order Engine'!AW305),"")</f>
        <v/>
      </c>
      <c r="G303" s="25" t="str">
        <f>IF(AND($A303&lt;=IF(Calc!$C$36=999,360,Calc!$C$36),Calc!$C$10=1),CHOOSE(Calc!$C$3,INDEX('Snowball Engine'!$AH305:$AV305,Calc!$I$10),INDEX('Avalanche Engine'!$AH305:$AV305,Calc!$J$10),INDEX('My Order Engine'!$AH305:$AV305,Calc!$K$10)),"")</f>
        <v/>
      </c>
      <c r="H303" s="25" t="str">
        <f>IF(AND($A303&lt;=IF(Calc!$C$36=999,360,Calc!$C$36),Calc!$C$11=1),CHOOSE(Calc!$C$3,INDEX('Snowball Engine'!$AH305:$AV305,Calc!$I$11),INDEX('Avalanche Engine'!$AH305:$AV305,Calc!$J$11),INDEX('My Order Engine'!$AH305:$AV305,Calc!$K$11)),"")</f>
        <v/>
      </c>
      <c r="I303" s="25" t="str">
        <f>IF(AND($A303&lt;=IF(Calc!$C$36=999,360,Calc!$C$36),Calc!$C$12=1),CHOOSE(Calc!$C$3,INDEX('Snowball Engine'!$AH305:$AV305,Calc!$I$12),INDEX('Avalanche Engine'!$AH305:$AV305,Calc!$J$12),INDEX('My Order Engine'!$AH305:$AV305,Calc!$K$12)),"")</f>
        <v/>
      </c>
      <c r="J303" s="25" t="str">
        <f>IF(AND($A303&lt;=IF(Calc!$C$36=999,360,Calc!$C$36),Calc!$C$13=1),CHOOSE(Calc!$C$3,INDEX('Snowball Engine'!$AH305:$AV305,Calc!$I$13),INDEX('Avalanche Engine'!$AH305:$AV305,Calc!$J$13),INDEX('My Order Engine'!$AH305:$AV305,Calc!$K$13)),"")</f>
        <v/>
      </c>
      <c r="K303" s="25" t="str">
        <f>IF(AND($A303&lt;=IF(Calc!$C$36=999,360,Calc!$C$36),Calc!$C$14=1),CHOOSE(Calc!$C$3,INDEX('Snowball Engine'!$AH305:$AV305,Calc!$I$14),INDEX('Avalanche Engine'!$AH305:$AV305,Calc!$J$14),INDEX('My Order Engine'!$AH305:$AV305,Calc!$K$14)),"")</f>
        <v/>
      </c>
      <c r="L303" s="25" t="str">
        <f>IF(AND($A303&lt;=IF(Calc!$C$36=999,360,Calc!$C$36),Calc!$C$15=1),CHOOSE(Calc!$C$3,INDEX('Snowball Engine'!$AH305:$AV305,Calc!$I$15),INDEX('Avalanche Engine'!$AH305:$AV305,Calc!$J$15),INDEX('My Order Engine'!$AH305:$AV305,Calc!$K$15)),"")</f>
        <v/>
      </c>
      <c r="M303" s="25" t="str">
        <f>IF(AND($A303&lt;=IF(Calc!$C$36=999,360,Calc!$C$36),Calc!$C$16=1),CHOOSE(Calc!$C$3,INDEX('Snowball Engine'!$AH305:$AV305,Calc!$I$16),INDEX('Avalanche Engine'!$AH305:$AV305,Calc!$J$16),INDEX('My Order Engine'!$AH305:$AV305,Calc!$K$16)),"")</f>
        <v/>
      </c>
      <c r="N303" s="25" t="str">
        <f>IF(AND($A303&lt;=IF(Calc!$C$36=999,360,Calc!$C$36),Calc!$C$17=1),CHOOSE(Calc!$C$3,INDEX('Snowball Engine'!$AH305:$AV305,Calc!$I$17),INDEX('Avalanche Engine'!$AH305:$AV305,Calc!$J$17),INDEX('My Order Engine'!$AH305:$AV305,Calc!$K$17)),"")</f>
        <v/>
      </c>
      <c r="O303" s="25" t="str">
        <f>IF(AND($A303&lt;=IF(Calc!$C$36=999,360,Calc!$C$36),Calc!$C$18=1),CHOOSE(Calc!$C$3,INDEX('Snowball Engine'!$AH305:$AV305,Calc!$I$18),INDEX('Avalanche Engine'!$AH305:$AV305,Calc!$J$18),INDEX('My Order Engine'!$AH305:$AV305,Calc!$K$18)),"")</f>
        <v/>
      </c>
      <c r="P303" s="25" t="str">
        <f>IF(AND($A303&lt;=IF(Calc!$C$36=999,360,Calc!$C$36),Calc!$C$19=1),CHOOSE(Calc!$C$3,INDEX('Snowball Engine'!$AH305:$AV305,Calc!$I$19),INDEX('Avalanche Engine'!$AH305:$AV305,Calc!$J$19),INDEX('My Order Engine'!$AH305:$AV305,Calc!$K$19)),"")</f>
        <v/>
      </c>
      <c r="Q303" s="25" t="str">
        <f>IF(AND($A303&lt;=IF(Calc!$C$36=999,360,Calc!$C$36),Calc!$C$20=1),CHOOSE(Calc!$C$3,INDEX('Snowball Engine'!$AH305:$AV305,Calc!$I$20),INDEX('Avalanche Engine'!$AH305:$AV305,Calc!$J$20),INDEX('My Order Engine'!$AH305:$AV305,Calc!$K$20)),"")</f>
        <v/>
      </c>
      <c r="R303" s="25" t="str">
        <f>IF(AND($A303&lt;=IF(Calc!$C$36=999,360,Calc!$C$36),Calc!$C$21=1),CHOOSE(Calc!$C$3,INDEX('Snowball Engine'!$AH305:$AV305,Calc!$I$21),INDEX('Avalanche Engine'!$AH305:$AV305,Calc!$J$21),INDEX('My Order Engine'!$AH305:$AV305,Calc!$K$21)),"")</f>
        <v/>
      </c>
      <c r="S303" s="25" t="str">
        <f>IF(AND($A303&lt;=IF(Calc!$C$36=999,360,Calc!$C$36),Calc!$C$22=1),CHOOSE(Calc!$C$3,INDEX('Snowball Engine'!$AH305:$AV305,Calc!$I$22),INDEX('Avalanche Engine'!$AH305:$AV305,Calc!$J$22),INDEX('My Order Engine'!$AH305:$AV305,Calc!$K$22)),"")</f>
        <v/>
      </c>
      <c r="T303" s="25" t="str">
        <f>IF(AND($A303&lt;=IF(Calc!$C$36=999,360,Calc!$C$36),Calc!$C$23=1),CHOOSE(Calc!$C$3,INDEX('Snowball Engine'!$AH305:$AV305,Calc!$I$23),INDEX('Avalanche Engine'!$AH305:$AV305,Calc!$J$23),INDEX('My Order Engine'!$AH305:$AV305,Calc!$K$23)),"")</f>
        <v/>
      </c>
      <c r="U303" s="25" t="str">
        <f>IF(AND($A303&lt;=IF(Calc!$C$36=999,360,Calc!$C$36),Calc!$C$24=1),CHOOSE(Calc!$C$3,INDEX('Snowball Engine'!$AH305:$AV305,Calc!$I$24),INDEX('Avalanche Engine'!$AH305:$AV305,Calc!$J$24),INDEX('My Order Engine'!$AH305:$AV305,Calc!$K$24)),"")</f>
        <v/>
      </c>
    </row>
    <row r="304" spans="1:21" x14ac:dyDescent="0.35">
      <c r="A304" s="23">
        <v>300</v>
      </c>
      <c r="B304" s="24" t="str">
        <f>IF($A304&lt;=IF(Calc!$C$36=999,360,Calc!$C$36),EDATE(Calc!$C$5,A304-1),"")</f>
        <v/>
      </c>
      <c r="C304" s="25" t="str">
        <f>IF($A304&lt;=IF(Calc!$C$36=999,360,Calc!$C$36),CHOOSE(Calc!$C$3,'Snowball Engine'!AY306,'Avalanche Engine'!AY306,'My Order Engine'!AY306),"")</f>
        <v/>
      </c>
      <c r="D304" s="25" t="str">
        <f>IF($A304&lt;=IF(Calc!$C$36=999,360,Calc!$C$36),CHOOSE(Calc!$C$3,'Snowball Engine'!AX306,'Avalanche Engine'!AX306,'My Order Engine'!AX306),"")</f>
        <v/>
      </c>
      <c r="E304" s="25" t="str">
        <f>IF($A304&lt;=IF(Calc!$C$36=999,360,Calc!$C$36),C304-D304,"")</f>
        <v/>
      </c>
      <c r="F304" s="25" t="str">
        <f>IF($A304&lt;=IF(Calc!$C$36=999,360,Calc!$C$36),CHOOSE(Calc!$C$3,'Snowball Engine'!AW306,'Avalanche Engine'!AW306,'My Order Engine'!AW306),"")</f>
        <v/>
      </c>
      <c r="G304" s="25" t="str">
        <f>IF(AND($A304&lt;=IF(Calc!$C$36=999,360,Calc!$C$36),Calc!$C$10=1),CHOOSE(Calc!$C$3,INDEX('Snowball Engine'!$AH306:$AV306,Calc!$I$10),INDEX('Avalanche Engine'!$AH306:$AV306,Calc!$J$10),INDEX('My Order Engine'!$AH306:$AV306,Calc!$K$10)),"")</f>
        <v/>
      </c>
      <c r="H304" s="25" t="str">
        <f>IF(AND($A304&lt;=IF(Calc!$C$36=999,360,Calc!$C$36),Calc!$C$11=1),CHOOSE(Calc!$C$3,INDEX('Snowball Engine'!$AH306:$AV306,Calc!$I$11),INDEX('Avalanche Engine'!$AH306:$AV306,Calc!$J$11),INDEX('My Order Engine'!$AH306:$AV306,Calc!$K$11)),"")</f>
        <v/>
      </c>
      <c r="I304" s="25" t="str">
        <f>IF(AND($A304&lt;=IF(Calc!$C$36=999,360,Calc!$C$36),Calc!$C$12=1),CHOOSE(Calc!$C$3,INDEX('Snowball Engine'!$AH306:$AV306,Calc!$I$12),INDEX('Avalanche Engine'!$AH306:$AV306,Calc!$J$12),INDEX('My Order Engine'!$AH306:$AV306,Calc!$K$12)),"")</f>
        <v/>
      </c>
      <c r="J304" s="25" t="str">
        <f>IF(AND($A304&lt;=IF(Calc!$C$36=999,360,Calc!$C$36),Calc!$C$13=1),CHOOSE(Calc!$C$3,INDEX('Snowball Engine'!$AH306:$AV306,Calc!$I$13),INDEX('Avalanche Engine'!$AH306:$AV306,Calc!$J$13),INDEX('My Order Engine'!$AH306:$AV306,Calc!$K$13)),"")</f>
        <v/>
      </c>
      <c r="K304" s="25" t="str">
        <f>IF(AND($A304&lt;=IF(Calc!$C$36=999,360,Calc!$C$36),Calc!$C$14=1),CHOOSE(Calc!$C$3,INDEX('Snowball Engine'!$AH306:$AV306,Calc!$I$14),INDEX('Avalanche Engine'!$AH306:$AV306,Calc!$J$14),INDEX('My Order Engine'!$AH306:$AV306,Calc!$K$14)),"")</f>
        <v/>
      </c>
      <c r="L304" s="25" t="str">
        <f>IF(AND($A304&lt;=IF(Calc!$C$36=999,360,Calc!$C$36),Calc!$C$15=1),CHOOSE(Calc!$C$3,INDEX('Snowball Engine'!$AH306:$AV306,Calc!$I$15),INDEX('Avalanche Engine'!$AH306:$AV306,Calc!$J$15),INDEX('My Order Engine'!$AH306:$AV306,Calc!$K$15)),"")</f>
        <v/>
      </c>
      <c r="M304" s="25" t="str">
        <f>IF(AND($A304&lt;=IF(Calc!$C$36=999,360,Calc!$C$36),Calc!$C$16=1),CHOOSE(Calc!$C$3,INDEX('Snowball Engine'!$AH306:$AV306,Calc!$I$16),INDEX('Avalanche Engine'!$AH306:$AV306,Calc!$J$16),INDEX('My Order Engine'!$AH306:$AV306,Calc!$K$16)),"")</f>
        <v/>
      </c>
      <c r="N304" s="25" t="str">
        <f>IF(AND($A304&lt;=IF(Calc!$C$36=999,360,Calc!$C$36),Calc!$C$17=1),CHOOSE(Calc!$C$3,INDEX('Snowball Engine'!$AH306:$AV306,Calc!$I$17),INDEX('Avalanche Engine'!$AH306:$AV306,Calc!$J$17),INDEX('My Order Engine'!$AH306:$AV306,Calc!$K$17)),"")</f>
        <v/>
      </c>
      <c r="O304" s="25" t="str">
        <f>IF(AND($A304&lt;=IF(Calc!$C$36=999,360,Calc!$C$36),Calc!$C$18=1),CHOOSE(Calc!$C$3,INDEX('Snowball Engine'!$AH306:$AV306,Calc!$I$18),INDEX('Avalanche Engine'!$AH306:$AV306,Calc!$J$18),INDEX('My Order Engine'!$AH306:$AV306,Calc!$K$18)),"")</f>
        <v/>
      </c>
      <c r="P304" s="25" t="str">
        <f>IF(AND($A304&lt;=IF(Calc!$C$36=999,360,Calc!$C$36),Calc!$C$19=1),CHOOSE(Calc!$C$3,INDEX('Snowball Engine'!$AH306:$AV306,Calc!$I$19),INDEX('Avalanche Engine'!$AH306:$AV306,Calc!$J$19),INDEX('My Order Engine'!$AH306:$AV306,Calc!$K$19)),"")</f>
        <v/>
      </c>
      <c r="Q304" s="25" t="str">
        <f>IF(AND($A304&lt;=IF(Calc!$C$36=999,360,Calc!$C$36),Calc!$C$20=1),CHOOSE(Calc!$C$3,INDEX('Snowball Engine'!$AH306:$AV306,Calc!$I$20),INDEX('Avalanche Engine'!$AH306:$AV306,Calc!$J$20),INDEX('My Order Engine'!$AH306:$AV306,Calc!$K$20)),"")</f>
        <v/>
      </c>
      <c r="R304" s="25" t="str">
        <f>IF(AND($A304&lt;=IF(Calc!$C$36=999,360,Calc!$C$36),Calc!$C$21=1),CHOOSE(Calc!$C$3,INDEX('Snowball Engine'!$AH306:$AV306,Calc!$I$21),INDEX('Avalanche Engine'!$AH306:$AV306,Calc!$J$21),INDEX('My Order Engine'!$AH306:$AV306,Calc!$K$21)),"")</f>
        <v/>
      </c>
      <c r="S304" s="25" t="str">
        <f>IF(AND($A304&lt;=IF(Calc!$C$36=999,360,Calc!$C$36),Calc!$C$22=1),CHOOSE(Calc!$C$3,INDEX('Snowball Engine'!$AH306:$AV306,Calc!$I$22),INDEX('Avalanche Engine'!$AH306:$AV306,Calc!$J$22),INDEX('My Order Engine'!$AH306:$AV306,Calc!$K$22)),"")</f>
        <v/>
      </c>
      <c r="T304" s="25" t="str">
        <f>IF(AND($A304&lt;=IF(Calc!$C$36=999,360,Calc!$C$36),Calc!$C$23=1),CHOOSE(Calc!$C$3,INDEX('Snowball Engine'!$AH306:$AV306,Calc!$I$23),INDEX('Avalanche Engine'!$AH306:$AV306,Calc!$J$23),INDEX('My Order Engine'!$AH306:$AV306,Calc!$K$23)),"")</f>
        <v/>
      </c>
      <c r="U304" s="25" t="str">
        <f>IF(AND($A304&lt;=IF(Calc!$C$36=999,360,Calc!$C$36),Calc!$C$24=1),CHOOSE(Calc!$C$3,INDEX('Snowball Engine'!$AH306:$AV306,Calc!$I$24),INDEX('Avalanche Engine'!$AH306:$AV306,Calc!$J$24),INDEX('My Order Engine'!$AH306:$AV306,Calc!$K$24)),"")</f>
        <v/>
      </c>
    </row>
    <row r="305" spans="1:21" x14ac:dyDescent="0.35">
      <c r="A305" s="23">
        <v>301</v>
      </c>
      <c r="B305" s="24" t="str">
        <f>IF($A305&lt;=IF(Calc!$C$36=999,360,Calc!$C$36),EDATE(Calc!$C$5,A305-1),"")</f>
        <v/>
      </c>
      <c r="C305" s="25" t="str">
        <f>IF($A305&lt;=IF(Calc!$C$36=999,360,Calc!$C$36),CHOOSE(Calc!$C$3,'Snowball Engine'!AY307,'Avalanche Engine'!AY307,'My Order Engine'!AY307),"")</f>
        <v/>
      </c>
      <c r="D305" s="25" t="str">
        <f>IF($A305&lt;=IF(Calc!$C$36=999,360,Calc!$C$36),CHOOSE(Calc!$C$3,'Snowball Engine'!AX307,'Avalanche Engine'!AX307,'My Order Engine'!AX307),"")</f>
        <v/>
      </c>
      <c r="E305" s="25" t="str">
        <f>IF($A305&lt;=IF(Calc!$C$36=999,360,Calc!$C$36),C305-D305,"")</f>
        <v/>
      </c>
      <c r="F305" s="25" t="str">
        <f>IF($A305&lt;=IF(Calc!$C$36=999,360,Calc!$C$36),CHOOSE(Calc!$C$3,'Snowball Engine'!AW307,'Avalanche Engine'!AW307,'My Order Engine'!AW307),"")</f>
        <v/>
      </c>
      <c r="G305" s="25" t="str">
        <f>IF(AND($A305&lt;=IF(Calc!$C$36=999,360,Calc!$C$36),Calc!$C$10=1),CHOOSE(Calc!$C$3,INDEX('Snowball Engine'!$AH307:$AV307,Calc!$I$10),INDEX('Avalanche Engine'!$AH307:$AV307,Calc!$J$10),INDEX('My Order Engine'!$AH307:$AV307,Calc!$K$10)),"")</f>
        <v/>
      </c>
      <c r="H305" s="25" t="str">
        <f>IF(AND($A305&lt;=IF(Calc!$C$36=999,360,Calc!$C$36),Calc!$C$11=1),CHOOSE(Calc!$C$3,INDEX('Snowball Engine'!$AH307:$AV307,Calc!$I$11),INDEX('Avalanche Engine'!$AH307:$AV307,Calc!$J$11),INDEX('My Order Engine'!$AH307:$AV307,Calc!$K$11)),"")</f>
        <v/>
      </c>
      <c r="I305" s="25" t="str">
        <f>IF(AND($A305&lt;=IF(Calc!$C$36=999,360,Calc!$C$36),Calc!$C$12=1),CHOOSE(Calc!$C$3,INDEX('Snowball Engine'!$AH307:$AV307,Calc!$I$12),INDEX('Avalanche Engine'!$AH307:$AV307,Calc!$J$12),INDEX('My Order Engine'!$AH307:$AV307,Calc!$K$12)),"")</f>
        <v/>
      </c>
      <c r="J305" s="25" t="str">
        <f>IF(AND($A305&lt;=IF(Calc!$C$36=999,360,Calc!$C$36),Calc!$C$13=1),CHOOSE(Calc!$C$3,INDEX('Snowball Engine'!$AH307:$AV307,Calc!$I$13),INDEX('Avalanche Engine'!$AH307:$AV307,Calc!$J$13),INDEX('My Order Engine'!$AH307:$AV307,Calc!$K$13)),"")</f>
        <v/>
      </c>
      <c r="K305" s="25" t="str">
        <f>IF(AND($A305&lt;=IF(Calc!$C$36=999,360,Calc!$C$36),Calc!$C$14=1),CHOOSE(Calc!$C$3,INDEX('Snowball Engine'!$AH307:$AV307,Calc!$I$14),INDEX('Avalanche Engine'!$AH307:$AV307,Calc!$J$14),INDEX('My Order Engine'!$AH307:$AV307,Calc!$K$14)),"")</f>
        <v/>
      </c>
      <c r="L305" s="25" t="str">
        <f>IF(AND($A305&lt;=IF(Calc!$C$36=999,360,Calc!$C$36),Calc!$C$15=1),CHOOSE(Calc!$C$3,INDEX('Snowball Engine'!$AH307:$AV307,Calc!$I$15),INDEX('Avalanche Engine'!$AH307:$AV307,Calc!$J$15),INDEX('My Order Engine'!$AH307:$AV307,Calc!$K$15)),"")</f>
        <v/>
      </c>
      <c r="M305" s="25" t="str">
        <f>IF(AND($A305&lt;=IF(Calc!$C$36=999,360,Calc!$C$36),Calc!$C$16=1),CHOOSE(Calc!$C$3,INDEX('Snowball Engine'!$AH307:$AV307,Calc!$I$16),INDEX('Avalanche Engine'!$AH307:$AV307,Calc!$J$16),INDEX('My Order Engine'!$AH307:$AV307,Calc!$K$16)),"")</f>
        <v/>
      </c>
      <c r="N305" s="25" t="str">
        <f>IF(AND($A305&lt;=IF(Calc!$C$36=999,360,Calc!$C$36),Calc!$C$17=1),CHOOSE(Calc!$C$3,INDEX('Snowball Engine'!$AH307:$AV307,Calc!$I$17),INDEX('Avalanche Engine'!$AH307:$AV307,Calc!$J$17),INDEX('My Order Engine'!$AH307:$AV307,Calc!$K$17)),"")</f>
        <v/>
      </c>
      <c r="O305" s="25" t="str">
        <f>IF(AND($A305&lt;=IF(Calc!$C$36=999,360,Calc!$C$36),Calc!$C$18=1),CHOOSE(Calc!$C$3,INDEX('Snowball Engine'!$AH307:$AV307,Calc!$I$18),INDEX('Avalanche Engine'!$AH307:$AV307,Calc!$J$18),INDEX('My Order Engine'!$AH307:$AV307,Calc!$K$18)),"")</f>
        <v/>
      </c>
      <c r="P305" s="25" t="str">
        <f>IF(AND($A305&lt;=IF(Calc!$C$36=999,360,Calc!$C$36),Calc!$C$19=1),CHOOSE(Calc!$C$3,INDEX('Snowball Engine'!$AH307:$AV307,Calc!$I$19),INDEX('Avalanche Engine'!$AH307:$AV307,Calc!$J$19),INDEX('My Order Engine'!$AH307:$AV307,Calc!$K$19)),"")</f>
        <v/>
      </c>
      <c r="Q305" s="25" t="str">
        <f>IF(AND($A305&lt;=IF(Calc!$C$36=999,360,Calc!$C$36),Calc!$C$20=1),CHOOSE(Calc!$C$3,INDEX('Snowball Engine'!$AH307:$AV307,Calc!$I$20),INDEX('Avalanche Engine'!$AH307:$AV307,Calc!$J$20),INDEX('My Order Engine'!$AH307:$AV307,Calc!$K$20)),"")</f>
        <v/>
      </c>
      <c r="R305" s="25" t="str">
        <f>IF(AND($A305&lt;=IF(Calc!$C$36=999,360,Calc!$C$36),Calc!$C$21=1),CHOOSE(Calc!$C$3,INDEX('Snowball Engine'!$AH307:$AV307,Calc!$I$21),INDEX('Avalanche Engine'!$AH307:$AV307,Calc!$J$21),INDEX('My Order Engine'!$AH307:$AV307,Calc!$K$21)),"")</f>
        <v/>
      </c>
      <c r="S305" s="25" t="str">
        <f>IF(AND($A305&lt;=IF(Calc!$C$36=999,360,Calc!$C$36),Calc!$C$22=1),CHOOSE(Calc!$C$3,INDEX('Snowball Engine'!$AH307:$AV307,Calc!$I$22),INDEX('Avalanche Engine'!$AH307:$AV307,Calc!$J$22),INDEX('My Order Engine'!$AH307:$AV307,Calc!$K$22)),"")</f>
        <v/>
      </c>
      <c r="T305" s="25" t="str">
        <f>IF(AND($A305&lt;=IF(Calc!$C$36=999,360,Calc!$C$36),Calc!$C$23=1),CHOOSE(Calc!$C$3,INDEX('Snowball Engine'!$AH307:$AV307,Calc!$I$23),INDEX('Avalanche Engine'!$AH307:$AV307,Calc!$J$23),INDEX('My Order Engine'!$AH307:$AV307,Calc!$K$23)),"")</f>
        <v/>
      </c>
      <c r="U305" s="25" t="str">
        <f>IF(AND($A305&lt;=IF(Calc!$C$36=999,360,Calc!$C$36),Calc!$C$24=1),CHOOSE(Calc!$C$3,INDEX('Snowball Engine'!$AH307:$AV307,Calc!$I$24),INDEX('Avalanche Engine'!$AH307:$AV307,Calc!$J$24),INDEX('My Order Engine'!$AH307:$AV307,Calc!$K$24)),"")</f>
        <v/>
      </c>
    </row>
    <row r="306" spans="1:21" x14ac:dyDescent="0.35">
      <c r="A306" s="23">
        <v>302</v>
      </c>
      <c r="B306" s="24" t="str">
        <f>IF($A306&lt;=IF(Calc!$C$36=999,360,Calc!$C$36),EDATE(Calc!$C$5,A306-1),"")</f>
        <v/>
      </c>
      <c r="C306" s="25" t="str">
        <f>IF($A306&lt;=IF(Calc!$C$36=999,360,Calc!$C$36),CHOOSE(Calc!$C$3,'Snowball Engine'!AY308,'Avalanche Engine'!AY308,'My Order Engine'!AY308),"")</f>
        <v/>
      </c>
      <c r="D306" s="25" t="str">
        <f>IF($A306&lt;=IF(Calc!$C$36=999,360,Calc!$C$36),CHOOSE(Calc!$C$3,'Snowball Engine'!AX308,'Avalanche Engine'!AX308,'My Order Engine'!AX308),"")</f>
        <v/>
      </c>
      <c r="E306" s="25" t="str">
        <f>IF($A306&lt;=IF(Calc!$C$36=999,360,Calc!$C$36),C306-D306,"")</f>
        <v/>
      </c>
      <c r="F306" s="25" t="str">
        <f>IF($A306&lt;=IF(Calc!$C$36=999,360,Calc!$C$36),CHOOSE(Calc!$C$3,'Snowball Engine'!AW308,'Avalanche Engine'!AW308,'My Order Engine'!AW308),"")</f>
        <v/>
      </c>
      <c r="G306" s="25" t="str">
        <f>IF(AND($A306&lt;=IF(Calc!$C$36=999,360,Calc!$C$36),Calc!$C$10=1),CHOOSE(Calc!$C$3,INDEX('Snowball Engine'!$AH308:$AV308,Calc!$I$10),INDEX('Avalanche Engine'!$AH308:$AV308,Calc!$J$10),INDEX('My Order Engine'!$AH308:$AV308,Calc!$K$10)),"")</f>
        <v/>
      </c>
      <c r="H306" s="25" t="str">
        <f>IF(AND($A306&lt;=IF(Calc!$C$36=999,360,Calc!$C$36),Calc!$C$11=1),CHOOSE(Calc!$C$3,INDEX('Snowball Engine'!$AH308:$AV308,Calc!$I$11),INDEX('Avalanche Engine'!$AH308:$AV308,Calc!$J$11),INDEX('My Order Engine'!$AH308:$AV308,Calc!$K$11)),"")</f>
        <v/>
      </c>
      <c r="I306" s="25" t="str">
        <f>IF(AND($A306&lt;=IF(Calc!$C$36=999,360,Calc!$C$36),Calc!$C$12=1),CHOOSE(Calc!$C$3,INDEX('Snowball Engine'!$AH308:$AV308,Calc!$I$12),INDEX('Avalanche Engine'!$AH308:$AV308,Calc!$J$12),INDEX('My Order Engine'!$AH308:$AV308,Calc!$K$12)),"")</f>
        <v/>
      </c>
      <c r="J306" s="25" t="str">
        <f>IF(AND($A306&lt;=IF(Calc!$C$36=999,360,Calc!$C$36),Calc!$C$13=1),CHOOSE(Calc!$C$3,INDEX('Snowball Engine'!$AH308:$AV308,Calc!$I$13),INDEX('Avalanche Engine'!$AH308:$AV308,Calc!$J$13),INDEX('My Order Engine'!$AH308:$AV308,Calc!$K$13)),"")</f>
        <v/>
      </c>
      <c r="K306" s="25" t="str">
        <f>IF(AND($A306&lt;=IF(Calc!$C$36=999,360,Calc!$C$36),Calc!$C$14=1),CHOOSE(Calc!$C$3,INDEX('Snowball Engine'!$AH308:$AV308,Calc!$I$14),INDEX('Avalanche Engine'!$AH308:$AV308,Calc!$J$14),INDEX('My Order Engine'!$AH308:$AV308,Calc!$K$14)),"")</f>
        <v/>
      </c>
      <c r="L306" s="25" t="str">
        <f>IF(AND($A306&lt;=IF(Calc!$C$36=999,360,Calc!$C$36),Calc!$C$15=1),CHOOSE(Calc!$C$3,INDEX('Snowball Engine'!$AH308:$AV308,Calc!$I$15),INDEX('Avalanche Engine'!$AH308:$AV308,Calc!$J$15),INDEX('My Order Engine'!$AH308:$AV308,Calc!$K$15)),"")</f>
        <v/>
      </c>
      <c r="M306" s="25" t="str">
        <f>IF(AND($A306&lt;=IF(Calc!$C$36=999,360,Calc!$C$36),Calc!$C$16=1),CHOOSE(Calc!$C$3,INDEX('Snowball Engine'!$AH308:$AV308,Calc!$I$16),INDEX('Avalanche Engine'!$AH308:$AV308,Calc!$J$16),INDEX('My Order Engine'!$AH308:$AV308,Calc!$K$16)),"")</f>
        <v/>
      </c>
      <c r="N306" s="25" t="str">
        <f>IF(AND($A306&lt;=IF(Calc!$C$36=999,360,Calc!$C$36),Calc!$C$17=1),CHOOSE(Calc!$C$3,INDEX('Snowball Engine'!$AH308:$AV308,Calc!$I$17),INDEX('Avalanche Engine'!$AH308:$AV308,Calc!$J$17),INDEX('My Order Engine'!$AH308:$AV308,Calc!$K$17)),"")</f>
        <v/>
      </c>
      <c r="O306" s="25" t="str">
        <f>IF(AND($A306&lt;=IF(Calc!$C$36=999,360,Calc!$C$36),Calc!$C$18=1),CHOOSE(Calc!$C$3,INDEX('Snowball Engine'!$AH308:$AV308,Calc!$I$18),INDEX('Avalanche Engine'!$AH308:$AV308,Calc!$J$18),INDEX('My Order Engine'!$AH308:$AV308,Calc!$K$18)),"")</f>
        <v/>
      </c>
      <c r="P306" s="25" t="str">
        <f>IF(AND($A306&lt;=IF(Calc!$C$36=999,360,Calc!$C$36),Calc!$C$19=1),CHOOSE(Calc!$C$3,INDEX('Snowball Engine'!$AH308:$AV308,Calc!$I$19),INDEX('Avalanche Engine'!$AH308:$AV308,Calc!$J$19),INDEX('My Order Engine'!$AH308:$AV308,Calc!$K$19)),"")</f>
        <v/>
      </c>
      <c r="Q306" s="25" t="str">
        <f>IF(AND($A306&lt;=IF(Calc!$C$36=999,360,Calc!$C$36),Calc!$C$20=1),CHOOSE(Calc!$C$3,INDEX('Snowball Engine'!$AH308:$AV308,Calc!$I$20),INDEX('Avalanche Engine'!$AH308:$AV308,Calc!$J$20),INDEX('My Order Engine'!$AH308:$AV308,Calc!$K$20)),"")</f>
        <v/>
      </c>
      <c r="R306" s="25" t="str">
        <f>IF(AND($A306&lt;=IF(Calc!$C$36=999,360,Calc!$C$36),Calc!$C$21=1),CHOOSE(Calc!$C$3,INDEX('Snowball Engine'!$AH308:$AV308,Calc!$I$21),INDEX('Avalanche Engine'!$AH308:$AV308,Calc!$J$21),INDEX('My Order Engine'!$AH308:$AV308,Calc!$K$21)),"")</f>
        <v/>
      </c>
      <c r="S306" s="25" t="str">
        <f>IF(AND($A306&lt;=IF(Calc!$C$36=999,360,Calc!$C$36),Calc!$C$22=1),CHOOSE(Calc!$C$3,INDEX('Snowball Engine'!$AH308:$AV308,Calc!$I$22),INDEX('Avalanche Engine'!$AH308:$AV308,Calc!$J$22),INDEX('My Order Engine'!$AH308:$AV308,Calc!$K$22)),"")</f>
        <v/>
      </c>
      <c r="T306" s="25" t="str">
        <f>IF(AND($A306&lt;=IF(Calc!$C$36=999,360,Calc!$C$36),Calc!$C$23=1),CHOOSE(Calc!$C$3,INDEX('Snowball Engine'!$AH308:$AV308,Calc!$I$23),INDEX('Avalanche Engine'!$AH308:$AV308,Calc!$J$23),INDEX('My Order Engine'!$AH308:$AV308,Calc!$K$23)),"")</f>
        <v/>
      </c>
      <c r="U306" s="25" t="str">
        <f>IF(AND($A306&lt;=IF(Calc!$C$36=999,360,Calc!$C$36),Calc!$C$24=1),CHOOSE(Calc!$C$3,INDEX('Snowball Engine'!$AH308:$AV308,Calc!$I$24),INDEX('Avalanche Engine'!$AH308:$AV308,Calc!$J$24),INDEX('My Order Engine'!$AH308:$AV308,Calc!$K$24)),"")</f>
        <v/>
      </c>
    </row>
    <row r="307" spans="1:21" x14ac:dyDescent="0.35">
      <c r="A307" s="23">
        <v>303</v>
      </c>
      <c r="B307" s="24" t="str">
        <f>IF($A307&lt;=IF(Calc!$C$36=999,360,Calc!$C$36),EDATE(Calc!$C$5,A307-1),"")</f>
        <v/>
      </c>
      <c r="C307" s="25" t="str">
        <f>IF($A307&lt;=IF(Calc!$C$36=999,360,Calc!$C$36),CHOOSE(Calc!$C$3,'Snowball Engine'!AY309,'Avalanche Engine'!AY309,'My Order Engine'!AY309),"")</f>
        <v/>
      </c>
      <c r="D307" s="25" t="str">
        <f>IF($A307&lt;=IF(Calc!$C$36=999,360,Calc!$C$36),CHOOSE(Calc!$C$3,'Snowball Engine'!AX309,'Avalanche Engine'!AX309,'My Order Engine'!AX309),"")</f>
        <v/>
      </c>
      <c r="E307" s="25" t="str">
        <f>IF($A307&lt;=IF(Calc!$C$36=999,360,Calc!$C$36),C307-D307,"")</f>
        <v/>
      </c>
      <c r="F307" s="25" t="str">
        <f>IF($A307&lt;=IF(Calc!$C$36=999,360,Calc!$C$36),CHOOSE(Calc!$C$3,'Snowball Engine'!AW309,'Avalanche Engine'!AW309,'My Order Engine'!AW309),"")</f>
        <v/>
      </c>
      <c r="G307" s="25" t="str">
        <f>IF(AND($A307&lt;=IF(Calc!$C$36=999,360,Calc!$C$36),Calc!$C$10=1),CHOOSE(Calc!$C$3,INDEX('Snowball Engine'!$AH309:$AV309,Calc!$I$10),INDEX('Avalanche Engine'!$AH309:$AV309,Calc!$J$10),INDEX('My Order Engine'!$AH309:$AV309,Calc!$K$10)),"")</f>
        <v/>
      </c>
      <c r="H307" s="25" t="str">
        <f>IF(AND($A307&lt;=IF(Calc!$C$36=999,360,Calc!$C$36),Calc!$C$11=1),CHOOSE(Calc!$C$3,INDEX('Snowball Engine'!$AH309:$AV309,Calc!$I$11),INDEX('Avalanche Engine'!$AH309:$AV309,Calc!$J$11),INDEX('My Order Engine'!$AH309:$AV309,Calc!$K$11)),"")</f>
        <v/>
      </c>
      <c r="I307" s="25" t="str">
        <f>IF(AND($A307&lt;=IF(Calc!$C$36=999,360,Calc!$C$36),Calc!$C$12=1),CHOOSE(Calc!$C$3,INDEX('Snowball Engine'!$AH309:$AV309,Calc!$I$12),INDEX('Avalanche Engine'!$AH309:$AV309,Calc!$J$12),INDEX('My Order Engine'!$AH309:$AV309,Calc!$K$12)),"")</f>
        <v/>
      </c>
      <c r="J307" s="25" t="str">
        <f>IF(AND($A307&lt;=IF(Calc!$C$36=999,360,Calc!$C$36),Calc!$C$13=1),CHOOSE(Calc!$C$3,INDEX('Snowball Engine'!$AH309:$AV309,Calc!$I$13),INDEX('Avalanche Engine'!$AH309:$AV309,Calc!$J$13),INDEX('My Order Engine'!$AH309:$AV309,Calc!$K$13)),"")</f>
        <v/>
      </c>
      <c r="K307" s="25" t="str">
        <f>IF(AND($A307&lt;=IF(Calc!$C$36=999,360,Calc!$C$36),Calc!$C$14=1),CHOOSE(Calc!$C$3,INDEX('Snowball Engine'!$AH309:$AV309,Calc!$I$14),INDEX('Avalanche Engine'!$AH309:$AV309,Calc!$J$14),INDEX('My Order Engine'!$AH309:$AV309,Calc!$K$14)),"")</f>
        <v/>
      </c>
      <c r="L307" s="25" t="str">
        <f>IF(AND($A307&lt;=IF(Calc!$C$36=999,360,Calc!$C$36),Calc!$C$15=1),CHOOSE(Calc!$C$3,INDEX('Snowball Engine'!$AH309:$AV309,Calc!$I$15),INDEX('Avalanche Engine'!$AH309:$AV309,Calc!$J$15),INDEX('My Order Engine'!$AH309:$AV309,Calc!$K$15)),"")</f>
        <v/>
      </c>
      <c r="M307" s="25" t="str">
        <f>IF(AND($A307&lt;=IF(Calc!$C$36=999,360,Calc!$C$36),Calc!$C$16=1),CHOOSE(Calc!$C$3,INDEX('Snowball Engine'!$AH309:$AV309,Calc!$I$16),INDEX('Avalanche Engine'!$AH309:$AV309,Calc!$J$16),INDEX('My Order Engine'!$AH309:$AV309,Calc!$K$16)),"")</f>
        <v/>
      </c>
      <c r="N307" s="25" t="str">
        <f>IF(AND($A307&lt;=IF(Calc!$C$36=999,360,Calc!$C$36),Calc!$C$17=1),CHOOSE(Calc!$C$3,INDEX('Snowball Engine'!$AH309:$AV309,Calc!$I$17),INDEX('Avalanche Engine'!$AH309:$AV309,Calc!$J$17),INDEX('My Order Engine'!$AH309:$AV309,Calc!$K$17)),"")</f>
        <v/>
      </c>
      <c r="O307" s="25" t="str">
        <f>IF(AND($A307&lt;=IF(Calc!$C$36=999,360,Calc!$C$36),Calc!$C$18=1),CHOOSE(Calc!$C$3,INDEX('Snowball Engine'!$AH309:$AV309,Calc!$I$18),INDEX('Avalanche Engine'!$AH309:$AV309,Calc!$J$18),INDEX('My Order Engine'!$AH309:$AV309,Calc!$K$18)),"")</f>
        <v/>
      </c>
      <c r="P307" s="25" t="str">
        <f>IF(AND($A307&lt;=IF(Calc!$C$36=999,360,Calc!$C$36),Calc!$C$19=1),CHOOSE(Calc!$C$3,INDEX('Snowball Engine'!$AH309:$AV309,Calc!$I$19),INDEX('Avalanche Engine'!$AH309:$AV309,Calc!$J$19),INDEX('My Order Engine'!$AH309:$AV309,Calc!$K$19)),"")</f>
        <v/>
      </c>
      <c r="Q307" s="25" t="str">
        <f>IF(AND($A307&lt;=IF(Calc!$C$36=999,360,Calc!$C$36),Calc!$C$20=1),CHOOSE(Calc!$C$3,INDEX('Snowball Engine'!$AH309:$AV309,Calc!$I$20),INDEX('Avalanche Engine'!$AH309:$AV309,Calc!$J$20),INDEX('My Order Engine'!$AH309:$AV309,Calc!$K$20)),"")</f>
        <v/>
      </c>
      <c r="R307" s="25" t="str">
        <f>IF(AND($A307&lt;=IF(Calc!$C$36=999,360,Calc!$C$36),Calc!$C$21=1),CHOOSE(Calc!$C$3,INDEX('Snowball Engine'!$AH309:$AV309,Calc!$I$21),INDEX('Avalanche Engine'!$AH309:$AV309,Calc!$J$21),INDEX('My Order Engine'!$AH309:$AV309,Calc!$K$21)),"")</f>
        <v/>
      </c>
      <c r="S307" s="25" t="str">
        <f>IF(AND($A307&lt;=IF(Calc!$C$36=999,360,Calc!$C$36),Calc!$C$22=1),CHOOSE(Calc!$C$3,INDEX('Snowball Engine'!$AH309:$AV309,Calc!$I$22),INDEX('Avalanche Engine'!$AH309:$AV309,Calc!$J$22),INDEX('My Order Engine'!$AH309:$AV309,Calc!$K$22)),"")</f>
        <v/>
      </c>
      <c r="T307" s="25" t="str">
        <f>IF(AND($A307&lt;=IF(Calc!$C$36=999,360,Calc!$C$36),Calc!$C$23=1),CHOOSE(Calc!$C$3,INDEX('Snowball Engine'!$AH309:$AV309,Calc!$I$23),INDEX('Avalanche Engine'!$AH309:$AV309,Calc!$J$23),INDEX('My Order Engine'!$AH309:$AV309,Calc!$K$23)),"")</f>
        <v/>
      </c>
      <c r="U307" s="25" t="str">
        <f>IF(AND($A307&lt;=IF(Calc!$C$36=999,360,Calc!$C$36),Calc!$C$24=1),CHOOSE(Calc!$C$3,INDEX('Snowball Engine'!$AH309:$AV309,Calc!$I$24),INDEX('Avalanche Engine'!$AH309:$AV309,Calc!$J$24),INDEX('My Order Engine'!$AH309:$AV309,Calc!$K$24)),"")</f>
        <v/>
      </c>
    </row>
    <row r="308" spans="1:21" x14ac:dyDescent="0.35">
      <c r="A308" s="23">
        <v>304</v>
      </c>
      <c r="B308" s="24" t="str">
        <f>IF($A308&lt;=IF(Calc!$C$36=999,360,Calc!$C$36),EDATE(Calc!$C$5,A308-1),"")</f>
        <v/>
      </c>
      <c r="C308" s="25" t="str">
        <f>IF($A308&lt;=IF(Calc!$C$36=999,360,Calc!$C$36),CHOOSE(Calc!$C$3,'Snowball Engine'!AY310,'Avalanche Engine'!AY310,'My Order Engine'!AY310),"")</f>
        <v/>
      </c>
      <c r="D308" s="25" t="str">
        <f>IF($A308&lt;=IF(Calc!$C$36=999,360,Calc!$C$36),CHOOSE(Calc!$C$3,'Snowball Engine'!AX310,'Avalanche Engine'!AX310,'My Order Engine'!AX310),"")</f>
        <v/>
      </c>
      <c r="E308" s="25" t="str">
        <f>IF($A308&lt;=IF(Calc!$C$36=999,360,Calc!$C$36),C308-D308,"")</f>
        <v/>
      </c>
      <c r="F308" s="25" t="str">
        <f>IF($A308&lt;=IF(Calc!$C$36=999,360,Calc!$C$36),CHOOSE(Calc!$C$3,'Snowball Engine'!AW310,'Avalanche Engine'!AW310,'My Order Engine'!AW310),"")</f>
        <v/>
      </c>
      <c r="G308" s="25" t="str">
        <f>IF(AND($A308&lt;=IF(Calc!$C$36=999,360,Calc!$C$36),Calc!$C$10=1),CHOOSE(Calc!$C$3,INDEX('Snowball Engine'!$AH310:$AV310,Calc!$I$10),INDEX('Avalanche Engine'!$AH310:$AV310,Calc!$J$10),INDEX('My Order Engine'!$AH310:$AV310,Calc!$K$10)),"")</f>
        <v/>
      </c>
      <c r="H308" s="25" t="str">
        <f>IF(AND($A308&lt;=IF(Calc!$C$36=999,360,Calc!$C$36),Calc!$C$11=1),CHOOSE(Calc!$C$3,INDEX('Snowball Engine'!$AH310:$AV310,Calc!$I$11),INDEX('Avalanche Engine'!$AH310:$AV310,Calc!$J$11),INDEX('My Order Engine'!$AH310:$AV310,Calc!$K$11)),"")</f>
        <v/>
      </c>
      <c r="I308" s="25" t="str">
        <f>IF(AND($A308&lt;=IF(Calc!$C$36=999,360,Calc!$C$36),Calc!$C$12=1),CHOOSE(Calc!$C$3,INDEX('Snowball Engine'!$AH310:$AV310,Calc!$I$12),INDEX('Avalanche Engine'!$AH310:$AV310,Calc!$J$12),INDEX('My Order Engine'!$AH310:$AV310,Calc!$K$12)),"")</f>
        <v/>
      </c>
      <c r="J308" s="25" t="str">
        <f>IF(AND($A308&lt;=IF(Calc!$C$36=999,360,Calc!$C$36),Calc!$C$13=1),CHOOSE(Calc!$C$3,INDEX('Snowball Engine'!$AH310:$AV310,Calc!$I$13),INDEX('Avalanche Engine'!$AH310:$AV310,Calc!$J$13),INDEX('My Order Engine'!$AH310:$AV310,Calc!$K$13)),"")</f>
        <v/>
      </c>
      <c r="K308" s="25" t="str">
        <f>IF(AND($A308&lt;=IF(Calc!$C$36=999,360,Calc!$C$36),Calc!$C$14=1),CHOOSE(Calc!$C$3,INDEX('Snowball Engine'!$AH310:$AV310,Calc!$I$14),INDEX('Avalanche Engine'!$AH310:$AV310,Calc!$J$14),INDEX('My Order Engine'!$AH310:$AV310,Calc!$K$14)),"")</f>
        <v/>
      </c>
      <c r="L308" s="25" t="str">
        <f>IF(AND($A308&lt;=IF(Calc!$C$36=999,360,Calc!$C$36),Calc!$C$15=1),CHOOSE(Calc!$C$3,INDEX('Snowball Engine'!$AH310:$AV310,Calc!$I$15),INDEX('Avalanche Engine'!$AH310:$AV310,Calc!$J$15),INDEX('My Order Engine'!$AH310:$AV310,Calc!$K$15)),"")</f>
        <v/>
      </c>
      <c r="M308" s="25" t="str">
        <f>IF(AND($A308&lt;=IF(Calc!$C$36=999,360,Calc!$C$36),Calc!$C$16=1),CHOOSE(Calc!$C$3,INDEX('Snowball Engine'!$AH310:$AV310,Calc!$I$16),INDEX('Avalanche Engine'!$AH310:$AV310,Calc!$J$16),INDEX('My Order Engine'!$AH310:$AV310,Calc!$K$16)),"")</f>
        <v/>
      </c>
      <c r="N308" s="25" t="str">
        <f>IF(AND($A308&lt;=IF(Calc!$C$36=999,360,Calc!$C$36),Calc!$C$17=1),CHOOSE(Calc!$C$3,INDEX('Snowball Engine'!$AH310:$AV310,Calc!$I$17),INDEX('Avalanche Engine'!$AH310:$AV310,Calc!$J$17),INDEX('My Order Engine'!$AH310:$AV310,Calc!$K$17)),"")</f>
        <v/>
      </c>
      <c r="O308" s="25" t="str">
        <f>IF(AND($A308&lt;=IF(Calc!$C$36=999,360,Calc!$C$36),Calc!$C$18=1),CHOOSE(Calc!$C$3,INDEX('Snowball Engine'!$AH310:$AV310,Calc!$I$18),INDEX('Avalanche Engine'!$AH310:$AV310,Calc!$J$18),INDEX('My Order Engine'!$AH310:$AV310,Calc!$K$18)),"")</f>
        <v/>
      </c>
      <c r="P308" s="25" t="str">
        <f>IF(AND($A308&lt;=IF(Calc!$C$36=999,360,Calc!$C$36),Calc!$C$19=1),CHOOSE(Calc!$C$3,INDEX('Snowball Engine'!$AH310:$AV310,Calc!$I$19),INDEX('Avalanche Engine'!$AH310:$AV310,Calc!$J$19),INDEX('My Order Engine'!$AH310:$AV310,Calc!$K$19)),"")</f>
        <v/>
      </c>
      <c r="Q308" s="25" t="str">
        <f>IF(AND($A308&lt;=IF(Calc!$C$36=999,360,Calc!$C$36),Calc!$C$20=1),CHOOSE(Calc!$C$3,INDEX('Snowball Engine'!$AH310:$AV310,Calc!$I$20),INDEX('Avalanche Engine'!$AH310:$AV310,Calc!$J$20),INDEX('My Order Engine'!$AH310:$AV310,Calc!$K$20)),"")</f>
        <v/>
      </c>
      <c r="R308" s="25" t="str">
        <f>IF(AND($A308&lt;=IF(Calc!$C$36=999,360,Calc!$C$36),Calc!$C$21=1),CHOOSE(Calc!$C$3,INDEX('Snowball Engine'!$AH310:$AV310,Calc!$I$21),INDEX('Avalanche Engine'!$AH310:$AV310,Calc!$J$21),INDEX('My Order Engine'!$AH310:$AV310,Calc!$K$21)),"")</f>
        <v/>
      </c>
      <c r="S308" s="25" t="str">
        <f>IF(AND($A308&lt;=IF(Calc!$C$36=999,360,Calc!$C$36),Calc!$C$22=1),CHOOSE(Calc!$C$3,INDEX('Snowball Engine'!$AH310:$AV310,Calc!$I$22),INDEX('Avalanche Engine'!$AH310:$AV310,Calc!$J$22),INDEX('My Order Engine'!$AH310:$AV310,Calc!$K$22)),"")</f>
        <v/>
      </c>
      <c r="T308" s="25" t="str">
        <f>IF(AND($A308&lt;=IF(Calc!$C$36=999,360,Calc!$C$36),Calc!$C$23=1),CHOOSE(Calc!$C$3,INDEX('Snowball Engine'!$AH310:$AV310,Calc!$I$23),INDEX('Avalanche Engine'!$AH310:$AV310,Calc!$J$23),INDEX('My Order Engine'!$AH310:$AV310,Calc!$K$23)),"")</f>
        <v/>
      </c>
      <c r="U308" s="25" t="str">
        <f>IF(AND($A308&lt;=IF(Calc!$C$36=999,360,Calc!$C$36),Calc!$C$24=1),CHOOSE(Calc!$C$3,INDEX('Snowball Engine'!$AH310:$AV310,Calc!$I$24),INDEX('Avalanche Engine'!$AH310:$AV310,Calc!$J$24),INDEX('My Order Engine'!$AH310:$AV310,Calc!$K$24)),"")</f>
        <v/>
      </c>
    </row>
    <row r="309" spans="1:21" x14ac:dyDescent="0.35">
      <c r="A309" s="23">
        <v>305</v>
      </c>
      <c r="B309" s="24" t="str">
        <f>IF($A309&lt;=IF(Calc!$C$36=999,360,Calc!$C$36),EDATE(Calc!$C$5,A309-1),"")</f>
        <v/>
      </c>
      <c r="C309" s="25" t="str">
        <f>IF($A309&lt;=IF(Calc!$C$36=999,360,Calc!$C$36),CHOOSE(Calc!$C$3,'Snowball Engine'!AY311,'Avalanche Engine'!AY311,'My Order Engine'!AY311),"")</f>
        <v/>
      </c>
      <c r="D309" s="25" t="str">
        <f>IF($A309&lt;=IF(Calc!$C$36=999,360,Calc!$C$36),CHOOSE(Calc!$C$3,'Snowball Engine'!AX311,'Avalanche Engine'!AX311,'My Order Engine'!AX311),"")</f>
        <v/>
      </c>
      <c r="E309" s="25" t="str">
        <f>IF($A309&lt;=IF(Calc!$C$36=999,360,Calc!$C$36),C309-D309,"")</f>
        <v/>
      </c>
      <c r="F309" s="25" t="str">
        <f>IF($A309&lt;=IF(Calc!$C$36=999,360,Calc!$C$36),CHOOSE(Calc!$C$3,'Snowball Engine'!AW311,'Avalanche Engine'!AW311,'My Order Engine'!AW311),"")</f>
        <v/>
      </c>
      <c r="G309" s="25" t="str">
        <f>IF(AND($A309&lt;=IF(Calc!$C$36=999,360,Calc!$C$36),Calc!$C$10=1),CHOOSE(Calc!$C$3,INDEX('Snowball Engine'!$AH311:$AV311,Calc!$I$10),INDEX('Avalanche Engine'!$AH311:$AV311,Calc!$J$10),INDEX('My Order Engine'!$AH311:$AV311,Calc!$K$10)),"")</f>
        <v/>
      </c>
      <c r="H309" s="25" t="str">
        <f>IF(AND($A309&lt;=IF(Calc!$C$36=999,360,Calc!$C$36),Calc!$C$11=1),CHOOSE(Calc!$C$3,INDEX('Snowball Engine'!$AH311:$AV311,Calc!$I$11),INDEX('Avalanche Engine'!$AH311:$AV311,Calc!$J$11),INDEX('My Order Engine'!$AH311:$AV311,Calc!$K$11)),"")</f>
        <v/>
      </c>
      <c r="I309" s="25" t="str">
        <f>IF(AND($A309&lt;=IF(Calc!$C$36=999,360,Calc!$C$36),Calc!$C$12=1),CHOOSE(Calc!$C$3,INDEX('Snowball Engine'!$AH311:$AV311,Calc!$I$12),INDEX('Avalanche Engine'!$AH311:$AV311,Calc!$J$12),INDEX('My Order Engine'!$AH311:$AV311,Calc!$K$12)),"")</f>
        <v/>
      </c>
      <c r="J309" s="25" t="str">
        <f>IF(AND($A309&lt;=IF(Calc!$C$36=999,360,Calc!$C$36),Calc!$C$13=1),CHOOSE(Calc!$C$3,INDEX('Snowball Engine'!$AH311:$AV311,Calc!$I$13),INDEX('Avalanche Engine'!$AH311:$AV311,Calc!$J$13),INDEX('My Order Engine'!$AH311:$AV311,Calc!$K$13)),"")</f>
        <v/>
      </c>
      <c r="K309" s="25" t="str">
        <f>IF(AND($A309&lt;=IF(Calc!$C$36=999,360,Calc!$C$36),Calc!$C$14=1),CHOOSE(Calc!$C$3,INDEX('Snowball Engine'!$AH311:$AV311,Calc!$I$14),INDEX('Avalanche Engine'!$AH311:$AV311,Calc!$J$14),INDEX('My Order Engine'!$AH311:$AV311,Calc!$K$14)),"")</f>
        <v/>
      </c>
      <c r="L309" s="25" t="str">
        <f>IF(AND($A309&lt;=IF(Calc!$C$36=999,360,Calc!$C$36),Calc!$C$15=1),CHOOSE(Calc!$C$3,INDEX('Snowball Engine'!$AH311:$AV311,Calc!$I$15),INDEX('Avalanche Engine'!$AH311:$AV311,Calc!$J$15),INDEX('My Order Engine'!$AH311:$AV311,Calc!$K$15)),"")</f>
        <v/>
      </c>
      <c r="M309" s="25" t="str">
        <f>IF(AND($A309&lt;=IF(Calc!$C$36=999,360,Calc!$C$36),Calc!$C$16=1),CHOOSE(Calc!$C$3,INDEX('Snowball Engine'!$AH311:$AV311,Calc!$I$16),INDEX('Avalanche Engine'!$AH311:$AV311,Calc!$J$16),INDEX('My Order Engine'!$AH311:$AV311,Calc!$K$16)),"")</f>
        <v/>
      </c>
      <c r="N309" s="25" t="str">
        <f>IF(AND($A309&lt;=IF(Calc!$C$36=999,360,Calc!$C$36),Calc!$C$17=1),CHOOSE(Calc!$C$3,INDEX('Snowball Engine'!$AH311:$AV311,Calc!$I$17),INDEX('Avalanche Engine'!$AH311:$AV311,Calc!$J$17),INDEX('My Order Engine'!$AH311:$AV311,Calc!$K$17)),"")</f>
        <v/>
      </c>
      <c r="O309" s="25" t="str">
        <f>IF(AND($A309&lt;=IF(Calc!$C$36=999,360,Calc!$C$36),Calc!$C$18=1),CHOOSE(Calc!$C$3,INDEX('Snowball Engine'!$AH311:$AV311,Calc!$I$18),INDEX('Avalanche Engine'!$AH311:$AV311,Calc!$J$18),INDEX('My Order Engine'!$AH311:$AV311,Calc!$K$18)),"")</f>
        <v/>
      </c>
      <c r="P309" s="25" t="str">
        <f>IF(AND($A309&lt;=IF(Calc!$C$36=999,360,Calc!$C$36),Calc!$C$19=1),CHOOSE(Calc!$C$3,INDEX('Snowball Engine'!$AH311:$AV311,Calc!$I$19),INDEX('Avalanche Engine'!$AH311:$AV311,Calc!$J$19),INDEX('My Order Engine'!$AH311:$AV311,Calc!$K$19)),"")</f>
        <v/>
      </c>
      <c r="Q309" s="25" t="str">
        <f>IF(AND($A309&lt;=IF(Calc!$C$36=999,360,Calc!$C$36),Calc!$C$20=1),CHOOSE(Calc!$C$3,INDEX('Snowball Engine'!$AH311:$AV311,Calc!$I$20),INDEX('Avalanche Engine'!$AH311:$AV311,Calc!$J$20),INDEX('My Order Engine'!$AH311:$AV311,Calc!$K$20)),"")</f>
        <v/>
      </c>
      <c r="R309" s="25" t="str">
        <f>IF(AND($A309&lt;=IF(Calc!$C$36=999,360,Calc!$C$36),Calc!$C$21=1),CHOOSE(Calc!$C$3,INDEX('Snowball Engine'!$AH311:$AV311,Calc!$I$21),INDEX('Avalanche Engine'!$AH311:$AV311,Calc!$J$21),INDEX('My Order Engine'!$AH311:$AV311,Calc!$K$21)),"")</f>
        <v/>
      </c>
      <c r="S309" s="25" t="str">
        <f>IF(AND($A309&lt;=IF(Calc!$C$36=999,360,Calc!$C$36),Calc!$C$22=1),CHOOSE(Calc!$C$3,INDEX('Snowball Engine'!$AH311:$AV311,Calc!$I$22),INDEX('Avalanche Engine'!$AH311:$AV311,Calc!$J$22),INDEX('My Order Engine'!$AH311:$AV311,Calc!$K$22)),"")</f>
        <v/>
      </c>
      <c r="T309" s="25" t="str">
        <f>IF(AND($A309&lt;=IF(Calc!$C$36=999,360,Calc!$C$36),Calc!$C$23=1),CHOOSE(Calc!$C$3,INDEX('Snowball Engine'!$AH311:$AV311,Calc!$I$23),INDEX('Avalanche Engine'!$AH311:$AV311,Calc!$J$23),INDEX('My Order Engine'!$AH311:$AV311,Calc!$K$23)),"")</f>
        <v/>
      </c>
      <c r="U309" s="25" t="str">
        <f>IF(AND($A309&lt;=IF(Calc!$C$36=999,360,Calc!$C$36),Calc!$C$24=1),CHOOSE(Calc!$C$3,INDEX('Snowball Engine'!$AH311:$AV311,Calc!$I$24),INDEX('Avalanche Engine'!$AH311:$AV311,Calc!$J$24),INDEX('My Order Engine'!$AH311:$AV311,Calc!$K$24)),"")</f>
        <v/>
      </c>
    </row>
    <row r="310" spans="1:21" x14ac:dyDescent="0.35">
      <c r="A310" s="23">
        <v>306</v>
      </c>
      <c r="B310" s="24" t="str">
        <f>IF($A310&lt;=IF(Calc!$C$36=999,360,Calc!$C$36),EDATE(Calc!$C$5,A310-1),"")</f>
        <v/>
      </c>
      <c r="C310" s="25" t="str">
        <f>IF($A310&lt;=IF(Calc!$C$36=999,360,Calc!$C$36),CHOOSE(Calc!$C$3,'Snowball Engine'!AY312,'Avalanche Engine'!AY312,'My Order Engine'!AY312),"")</f>
        <v/>
      </c>
      <c r="D310" s="25" t="str">
        <f>IF($A310&lt;=IF(Calc!$C$36=999,360,Calc!$C$36),CHOOSE(Calc!$C$3,'Snowball Engine'!AX312,'Avalanche Engine'!AX312,'My Order Engine'!AX312),"")</f>
        <v/>
      </c>
      <c r="E310" s="25" t="str">
        <f>IF($A310&lt;=IF(Calc!$C$36=999,360,Calc!$C$36),C310-D310,"")</f>
        <v/>
      </c>
      <c r="F310" s="25" t="str">
        <f>IF($A310&lt;=IF(Calc!$C$36=999,360,Calc!$C$36),CHOOSE(Calc!$C$3,'Snowball Engine'!AW312,'Avalanche Engine'!AW312,'My Order Engine'!AW312),"")</f>
        <v/>
      </c>
      <c r="G310" s="25" t="str">
        <f>IF(AND($A310&lt;=IF(Calc!$C$36=999,360,Calc!$C$36),Calc!$C$10=1),CHOOSE(Calc!$C$3,INDEX('Snowball Engine'!$AH312:$AV312,Calc!$I$10),INDEX('Avalanche Engine'!$AH312:$AV312,Calc!$J$10),INDEX('My Order Engine'!$AH312:$AV312,Calc!$K$10)),"")</f>
        <v/>
      </c>
      <c r="H310" s="25" t="str">
        <f>IF(AND($A310&lt;=IF(Calc!$C$36=999,360,Calc!$C$36),Calc!$C$11=1),CHOOSE(Calc!$C$3,INDEX('Snowball Engine'!$AH312:$AV312,Calc!$I$11),INDEX('Avalanche Engine'!$AH312:$AV312,Calc!$J$11),INDEX('My Order Engine'!$AH312:$AV312,Calc!$K$11)),"")</f>
        <v/>
      </c>
      <c r="I310" s="25" t="str">
        <f>IF(AND($A310&lt;=IF(Calc!$C$36=999,360,Calc!$C$36),Calc!$C$12=1),CHOOSE(Calc!$C$3,INDEX('Snowball Engine'!$AH312:$AV312,Calc!$I$12),INDEX('Avalanche Engine'!$AH312:$AV312,Calc!$J$12),INDEX('My Order Engine'!$AH312:$AV312,Calc!$K$12)),"")</f>
        <v/>
      </c>
      <c r="J310" s="25" t="str">
        <f>IF(AND($A310&lt;=IF(Calc!$C$36=999,360,Calc!$C$36),Calc!$C$13=1),CHOOSE(Calc!$C$3,INDEX('Snowball Engine'!$AH312:$AV312,Calc!$I$13),INDEX('Avalanche Engine'!$AH312:$AV312,Calc!$J$13),INDEX('My Order Engine'!$AH312:$AV312,Calc!$K$13)),"")</f>
        <v/>
      </c>
      <c r="K310" s="25" t="str">
        <f>IF(AND($A310&lt;=IF(Calc!$C$36=999,360,Calc!$C$36),Calc!$C$14=1),CHOOSE(Calc!$C$3,INDEX('Snowball Engine'!$AH312:$AV312,Calc!$I$14),INDEX('Avalanche Engine'!$AH312:$AV312,Calc!$J$14),INDEX('My Order Engine'!$AH312:$AV312,Calc!$K$14)),"")</f>
        <v/>
      </c>
      <c r="L310" s="25" t="str">
        <f>IF(AND($A310&lt;=IF(Calc!$C$36=999,360,Calc!$C$36),Calc!$C$15=1),CHOOSE(Calc!$C$3,INDEX('Snowball Engine'!$AH312:$AV312,Calc!$I$15),INDEX('Avalanche Engine'!$AH312:$AV312,Calc!$J$15),INDEX('My Order Engine'!$AH312:$AV312,Calc!$K$15)),"")</f>
        <v/>
      </c>
      <c r="M310" s="25" t="str">
        <f>IF(AND($A310&lt;=IF(Calc!$C$36=999,360,Calc!$C$36),Calc!$C$16=1),CHOOSE(Calc!$C$3,INDEX('Snowball Engine'!$AH312:$AV312,Calc!$I$16),INDEX('Avalanche Engine'!$AH312:$AV312,Calc!$J$16),INDEX('My Order Engine'!$AH312:$AV312,Calc!$K$16)),"")</f>
        <v/>
      </c>
      <c r="N310" s="25" t="str">
        <f>IF(AND($A310&lt;=IF(Calc!$C$36=999,360,Calc!$C$36),Calc!$C$17=1),CHOOSE(Calc!$C$3,INDEX('Snowball Engine'!$AH312:$AV312,Calc!$I$17),INDEX('Avalanche Engine'!$AH312:$AV312,Calc!$J$17),INDEX('My Order Engine'!$AH312:$AV312,Calc!$K$17)),"")</f>
        <v/>
      </c>
      <c r="O310" s="25" t="str">
        <f>IF(AND($A310&lt;=IF(Calc!$C$36=999,360,Calc!$C$36),Calc!$C$18=1),CHOOSE(Calc!$C$3,INDEX('Snowball Engine'!$AH312:$AV312,Calc!$I$18),INDEX('Avalanche Engine'!$AH312:$AV312,Calc!$J$18),INDEX('My Order Engine'!$AH312:$AV312,Calc!$K$18)),"")</f>
        <v/>
      </c>
      <c r="P310" s="25" t="str">
        <f>IF(AND($A310&lt;=IF(Calc!$C$36=999,360,Calc!$C$36),Calc!$C$19=1),CHOOSE(Calc!$C$3,INDEX('Snowball Engine'!$AH312:$AV312,Calc!$I$19),INDEX('Avalanche Engine'!$AH312:$AV312,Calc!$J$19),INDEX('My Order Engine'!$AH312:$AV312,Calc!$K$19)),"")</f>
        <v/>
      </c>
      <c r="Q310" s="25" t="str">
        <f>IF(AND($A310&lt;=IF(Calc!$C$36=999,360,Calc!$C$36),Calc!$C$20=1),CHOOSE(Calc!$C$3,INDEX('Snowball Engine'!$AH312:$AV312,Calc!$I$20),INDEX('Avalanche Engine'!$AH312:$AV312,Calc!$J$20),INDEX('My Order Engine'!$AH312:$AV312,Calc!$K$20)),"")</f>
        <v/>
      </c>
      <c r="R310" s="25" t="str">
        <f>IF(AND($A310&lt;=IF(Calc!$C$36=999,360,Calc!$C$36),Calc!$C$21=1),CHOOSE(Calc!$C$3,INDEX('Snowball Engine'!$AH312:$AV312,Calc!$I$21),INDEX('Avalanche Engine'!$AH312:$AV312,Calc!$J$21),INDEX('My Order Engine'!$AH312:$AV312,Calc!$K$21)),"")</f>
        <v/>
      </c>
      <c r="S310" s="25" t="str">
        <f>IF(AND($A310&lt;=IF(Calc!$C$36=999,360,Calc!$C$36),Calc!$C$22=1),CHOOSE(Calc!$C$3,INDEX('Snowball Engine'!$AH312:$AV312,Calc!$I$22),INDEX('Avalanche Engine'!$AH312:$AV312,Calc!$J$22),INDEX('My Order Engine'!$AH312:$AV312,Calc!$K$22)),"")</f>
        <v/>
      </c>
      <c r="T310" s="25" t="str">
        <f>IF(AND($A310&lt;=IF(Calc!$C$36=999,360,Calc!$C$36),Calc!$C$23=1),CHOOSE(Calc!$C$3,INDEX('Snowball Engine'!$AH312:$AV312,Calc!$I$23),INDEX('Avalanche Engine'!$AH312:$AV312,Calc!$J$23),INDEX('My Order Engine'!$AH312:$AV312,Calc!$K$23)),"")</f>
        <v/>
      </c>
      <c r="U310" s="25" t="str">
        <f>IF(AND($A310&lt;=IF(Calc!$C$36=999,360,Calc!$C$36),Calc!$C$24=1),CHOOSE(Calc!$C$3,INDEX('Snowball Engine'!$AH312:$AV312,Calc!$I$24),INDEX('Avalanche Engine'!$AH312:$AV312,Calc!$J$24),INDEX('My Order Engine'!$AH312:$AV312,Calc!$K$24)),"")</f>
        <v/>
      </c>
    </row>
    <row r="311" spans="1:21" x14ac:dyDescent="0.35">
      <c r="A311" s="23">
        <v>307</v>
      </c>
      <c r="B311" s="24" t="str">
        <f>IF($A311&lt;=IF(Calc!$C$36=999,360,Calc!$C$36),EDATE(Calc!$C$5,A311-1),"")</f>
        <v/>
      </c>
      <c r="C311" s="25" t="str">
        <f>IF($A311&lt;=IF(Calc!$C$36=999,360,Calc!$C$36),CHOOSE(Calc!$C$3,'Snowball Engine'!AY313,'Avalanche Engine'!AY313,'My Order Engine'!AY313),"")</f>
        <v/>
      </c>
      <c r="D311" s="25" t="str">
        <f>IF($A311&lt;=IF(Calc!$C$36=999,360,Calc!$C$36),CHOOSE(Calc!$C$3,'Snowball Engine'!AX313,'Avalanche Engine'!AX313,'My Order Engine'!AX313),"")</f>
        <v/>
      </c>
      <c r="E311" s="25" t="str">
        <f>IF($A311&lt;=IF(Calc!$C$36=999,360,Calc!$C$36),C311-D311,"")</f>
        <v/>
      </c>
      <c r="F311" s="25" t="str">
        <f>IF($A311&lt;=IF(Calc!$C$36=999,360,Calc!$C$36),CHOOSE(Calc!$C$3,'Snowball Engine'!AW313,'Avalanche Engine'!AW313,'My Order Engine'!AW313),"")</f>
        <v/>
      </c>
      <c r="G311" s="25" t="str">
        <f>IF(AND($A311&lt;=IF(Calc!$C$36=999,360,Calc!$C$36),Calc!$C$10=1),CHOOSE(Calc!$C$3,INDEX('Snowball Engine'!$AH313:$AV313,Calc!$I$10),INDEX('Avalanche Engine'!$AH313:$AV313,Calc!$J$10),INDEX('My Order Engine'!$AH313:$AV313,Calc!$K$10)),"")</f>
        <v/>
      </c>
      <c r="H311" s="25" t="str">
        <f>IF(AND($A311&lt;=IF(Calc!$C$36=999,360,Calc!$C$36),Calc!$C$11=1),CHOOSE(Calc!$C$3,INDEX('Snowball Engine'!$AH313:$AV313,Calc!$I$11),INDEX('Avalanche Engine'!$AH313:$AV313,Calc!$J$11),INDEX('My Order Engine'!$AH313:$AV313,Calc!$K$11)),"")</f>
        <v/>
      </c>
      <c r="I311" s="25" t="str">
        <f>IF(AND($A311&lt;=IF(Calc!$C$36=999,360,Calc!$C$36),Calc!$C$12=1),CHOOSE(Calc!$C$3,INDEX('Snowball Engine'!$AH313:$AV313,Calc!$I$12),INDEX('Avalanche Engine'!$AH313:$AV313,Calc!$J$12),INDEX('My Order Engine'!$AH313:$AV313,Calc!$K$12)),"")</f>
        <v/>
      </c>
      <c r="J311" s="25" t="str">
        <f>IF(AND($A311&lt;=IF(Calc!$C$36=999,360,Calc!$C$36),Calc!$C$13=1),CHOOSE(Calc!$C$3,INDEX('Snowball Engine'!$AH313:$AV313,Calc!$I$13),INDEX('Avalanche Engine'!$AH313:$AV313,Calc!$J$13),INDEX('My Order Engine'!$AH313:$AV313,Calc!$K$13)),"")</f>
        <v/>
      </c>
      <c r="K311" s="25" t="str">
        <f>IF(AND($A311&lt;=IF(Calc!$C$36=999,360,Calc!$C$36),Calc!$C$14=1),CHOOSE(Calc!$C$3,INDEX('Snowball Engine'!$AH313:$AV313,Calc!$I$14),INDEX('Avalanche Engine'!$AH313:$AV313,Calc!$J$14),INDEX('My Order Engine'!$AH313:$AV313,Calc!$K$14)),"")</f>
        <v/>
      </c>
      <c r="L311" s="25" t="str">
        <f>IF(AND($A311&lt;=IF(Calc!$C$36=999,360,Calc!$C$36),Calc!$C$15=1),CHOOSE(Calc!$C$3,INDEX('Snowball Engine'!$AH313:$AV313,Calc!$I$15),INDEX('Avalanche Engine'!$AH313:$AV313,Calc!$J$15),INDEX('My Order Engine'!$AH313:$AV313,Calc!$K$15)),"")</f>
        <v/>
      </c>
      <c r="M311" s="25" t="str">
        <f>IF(AND($A311&lt;=IF(Calc!$C$36=999,360,Calc!$C$36),Calc!$C$16=1),CHOOSE(Calc!$C$3,INDEX('Snowball Engine'!$AH313:$AV313,Calc!$I$16),INDEX('Avalanche Engine'!$AH313:$AV313,Calc!$J$16),INDEX('My Order Engine'!$AH313:$AV313,Calc!$K$16)),"")</f>
        <v/>
      </c>
      <c r="N311" s="25" t="str">
        <f>IF(AND($A311&lt;=IF(Calc!$C$36=999,360,Calc!$C$36),Calc!$C$17=1),CHOOSE(Calc!$C$3,INDEX('Snowball Engine'!$AH313:$AV313,Calc!$I$17),INDEX('Avalanche Engine'!$AH313:$AV313,Calc!$J$17),INDEX('My Order Engine'!$AH313:$AV313,Calc!$K$17)),"")</f>
        <v/>
      </c>
      <c r="O311" s="25" t="str">
        <f>IF(AND($A311&lt;=IF(Calc!$C$36=999,360,Calc!$C$36),Calc!$C$18=1),CHOOSE(Calc!$C$3,INDEX('Snowball Engine'!$AH313:$AV313,Calc!$I$18),INDEX('Avalanche Engine'!$AH313:$AV313,Calc!$J$18),INDEX('My Order Engine'!$AH313:$AV313,Calc!$K$18)),"")</f>
        <v/>
      </c>
      <c r="P311" s="25" t="str">
        <f>IF(AND($A311&lt;=IF(Calc!$C$36=999,360,Calc!$C$36),Calc!$C$19=1),CHOOSE(Calc!$C$3,INDEX('Snowball Engine'!$AH313:$AV313,Calc!$I$19),INDEX('Avalanche Engine'!$AH313:$AV313,Calc!$J$19),INDEX('My Order Engine'!$AH313:$AV313,Calc!$K$19)),"")</f>
        <v/>
      </c>
      <c r="Q311" s="25" t="str">
        <f>IF(AND($A311&lt;=IF(Calc!$C$36=999,360,Calc!$C$36),Calc!$C$20=1),CHOOSE(Calc!$C$3,INDEX('Snowball Engine'!$AH313:$AV313,Calc!$I$20),INDEX('Avalanche Engine'!$AH313:$AV313,Calc!$J$20),INDEX('My Order Engine'!$AH313:$AV313,Calc!$K$20)),"")</f>
        <v/>
      </c>
      <c r="R311" s="25" t="str">
        <f>IF(AND($A311&lt;=IF(Calc!$C$36=999,360,Calc!$C$36),Calc!$C$21=1),CHOOSE(Calc!$C$3,INDEX('Snowball Engine'!$AH313:$AV313,Calc!$I$21),INDEX('Avalanche Engine'!$AH313:$AV313,Calc!$J$21),INDEX('My Order Engine'!$AH313:$AV313,Calc!$K$21)),"")</f>
        <v/>
      </c>
      <c r="S311" s="25" t="str">
        <f>IF(AND($A311&lt;=IF(Calc!$C$36=999,360,Calc!$C$36),Calc!$C$22=1),CHOOSE(Calc!$C$3,INDEX('Snowball Engine'!$AH313:$AV313,Calc!$I$22),INDEX('Avalanche Engine'!$AH313:$AV313,Calc!$J$22),INDEX('My Order Engine'!$AH313:$AV313,Calc!$K$22)),"")</f>
        <v/>
      </c>
      <c r="T311" s="25" t="str">
        <f>IF(AND($A311&lt;=IF(Calc!$C$36=999,360,Calc!$C$36),Calc!$C$23=1),CHOOSE(Calc!$C$3,INDEX('Snowball Engine'!$AH313:$AV313,Calc!$I$23),INDEX('Avalanche Engine'!$AH313:$AV313,Calc!$J$23),INDEX('My Order Engine'!$AH313:$AV313,Calc!$K$23)),"")</f>
        <v/>
      </c>
      <c r="U311" s="25" t="str">
        <f>IF(AND($A311&lt;=IF(Calc!$C$36=999,360,Calc!$C$36),Calc!$C$24=1),CHOOSE(Calc!$C$3,INDEX('Snowball Engine'!$AH313:$AV313,Calc!$I$24),INDEX('Avalanche Engine'!$AH313:$AV313,Calc!$J$24),INDEX('My Order Engine'!$AH313:$AV313,Calc!$K$24)),"")</f>
        <v/>
      </c>
    </row>
    <row r="312" spans="1:21" x14ac:dyDescent="0.35">
      <c r="A312" s="23">
        <v>308</v>
      </c>
      <c r="B312" s="24" t="str">
        <f>IF($A312&lt;=IF(Calc!$C$36=999,360,Calc!$C$36),EDATE(Calc!$C$5,A312-1),"")</f>
        <v/>
      </c>
      <c r="C312" s="25" t="str">
        <f>IF($A312&lt;=IF(Calc!$C$36=999,360,Calc!$C$36),CHOOSE(Calc!$C$3,'Snowball Engine'!AY314,'Avalanche Engine'!AY314,'My Order Engine'!AY314),"")</f>
        <v/>
      </c>
      <c r="D312" s="25" t="str">
        <f>IF($A312&lt;=IF(Calc!$C$36=999,360,Calc!$C$36),CHOOSE(Calc!$C$3,'Snowball Engine'!AX314,'Avalanche Engine'!AX314,'My Order Engine'!AX314),"")</f>
        <v/>
      </c>
      <c r="E312" s="25" t="str">
        <f>IF($A312&lt;=IF(Calc!$C$36=999,360,Calc!$C$36),C312-D312,"")</f>
        <v/>
      </c>
      <c r="F312" s="25" t="str">
        <f>IF($A312&lt;=IF(Calc!$C$36=999,360,Calc!$C$36),CHOOSE(Calc!$C$3,'Snowball Engine'!AW314,'Avalanche Engine'!AW314,'My Order Engine'!AW314),"")</f>
        <v/>
      </c>
      <c r="G312" s="25" t="str">
        <f>IF(AND($A312&lt;=IF(Calc!$C$36=999,360,Calc!$C$36),Calc!$C$10=1),CHOOSE(Calc!$C$3,INDEX('Snowball Engine'!$AH314:$AV314,Calc!$I$10),INDEX('Avalanche Engine'!$AH314:$AV314,Calc!$J$10),INDEX('My Order Engine'!$AH314:$AV314,Calc!$K$10)),"")</f>
        <v/>
      </c>
      <c r="H312" s="25" t="str">
        <f>IF(AND($A312&lt;=IF(Calc!$C$36=999,360,Calc!$C$36),Calc!$C$11=1),CHOOSE(Calc!$C$3,INDEX('Snowball Engine'!$AH314:$AV314,Calc!$I$11),INDEX('Avalanche Engine'!$AH314:$AV314,Calc!$J$11),INDEX('My Order Engine'!$AH314:$AV314,Calc!$K$11)),"")</f>
        <v/>
      </c>
      <c r="I312" s="25" t="str">
        <f>IF(AND($A312&lt;=IF(Calc!$C$36=999,360,Calc!$C$36),Calc!$C$12=1),CHOOSE(Calc!$C$3,INDEX('Snowball Engine'!$AH314:$AV314,Calc!$I$12),INDEX('Avalanche Engine'!$AH314:$AV314,Calc!$J$12),INDEX('My Order Engine'!$AH314:$AV314,Calc!$K$12)),"")</f>
        <v/>
      </c>
      <c r="J312" s="25" t="str">
        <f>IF(AND($A312&lt;=IF(Calc!$C$36=999,360,Calc!$C$36),Calc!$C$13=1),CHOOSE(Calc!$C$3,INDEX('Snowball Engine'!$AH314:$AV314,Calc!$I$13),INDEX('Avalanche Engine'!$AH314:$AV314,Calc!$J$13),INDEX('My Order Engine'!$AH314:$AV314,Calc!$K$13)),"")</f>
        <v/>
      </c>
      <c r="K312" s="25" t="str">
        <f>IF(AND($A312&lt;=IF(Calc!$C$36=999,360,Calc!$C$36),Calc!$C$14=1),CHOOSE(Calc!$C$3,INDEX('Snowball Engine'!$AH314:$AV314,Calc!$I$14),INDEX('Avalanche Engine'!$AH314:$AV314,Calc!$J$14),INDEX('My Order Engine'!$AH314:$AV314,Calc!$K$14)),"")</f>
        <v/>
      </c>
      <c r="L312" s="25" t="str">
        <f>IF(AND($A312&lt;=IF(Calc!$C$36=999,360,Calc!$C$36),Calc!$C$15=1),CHOOSE(Calc!$C$3,INDEX('Snowball Engine'!$AH314:$AV314,Calc!$I$15),INDEX('Avalanche Engine'!$AH314:$AV314,Calc!$J$15),INDEX('My Order Engine'!$AH314:$AV314,Calc!$K$15)),"")</f>
        <v/>
      </c>
      <c r="M312" s="25" t="str">
        <f>IF(AND($A312&lt;=IF(Calc!$C$36=999,360,Calc!$C$36),Calc!$C$16=1),CHOOSE(Calc!$C$3,INDEX('Snowball Engine'!$AH314:$AV314,Calc!$I$16),INDEX('Avalanche Engine'!$AH314:$AV314,Calc!$J$16),INDEX('My Order Engine'!$AH314:$AV314,Calc!$K$16)),"")</f>
        <v/>
      </c>
      <c r="N312" s="25" t="str">
        <f>IF(AND($A312&lt;=IF(Calc!$C$36=999,360,Calc!$C$36),Calc!$C$17=1),CHOOSE(Calc!$C$3,INDEX('Snowball Engine'!$AH314:$AV314,Calc!$I$17),INDEX('Avalanche Engine'!$AH314:$AV314,Calc!$J$17),INDEX('My Order Engine'!$AH314:$AV314,Calc!$K$17)),"")</f>
        <v/>
      </c>
      <c r="O312" s="25" t="str">
        <f>IF(AND($A312&lt;=IF(Calc!$C$36=999,360,Calc!$C$36),Calc!$C$18=1),CHOOSE(Calc!$C$3,INDEX('Snowball Engine'!$AH314:$AV314,Calc!$I$18),INDEX('Avalanche Engine'!$AH314:$AV314,Calc!$J$18),INDEX('My Order Engine'!$AH314:$AV314,Calc!$K$18)),"")</f>
        <v/>
      </c>
      <c r="P312" s="25" t="str">
        <f>IF(AND($A312&lt;=IF(Calc!$C$36=999,360,Calc!$C$36),Calc!$C$19=1),CHOOSE(Calc!$C$3,INDEX('Snowball Engine'!$AH314:$AV314,Calc!$I$19),INDEX('Avalanche Engine'!$AH314:$AV314,Calc!$J$19),INDEX('My Order Engine'!$AH314:$AV314,Calc!$K$19)),"")</f>
        <v/>
      </c>
      <c r="Q312" s="25" t="str">
        <f>IF(AND($A312&lt;=IF(Calc!$C$36=999,360,Calc!$C$36),Calc!$C$20=1),CHOOSE(Calc!$C$3,INDEX('Snowball Engine'!$AH314:$AV314,Calc!$I$20),INDEX('Avalanche Engine'!$AH314:$AV314,Calc!$J$20),INDEX('My Order Engine'!$AH314:$AV314,Calc!$K$20)),"")</f>
        <v/>
      </c>
      <c r="R312" s="25" t="str">
        <f>IF(AND($A312&lt;=IF(Calc!$C$36=999,360,Calc!$C$36),Calc!$C$21=1),CHOOSE(Calc!$C$3,INDEX('Snowball Engine'!$AH314:$AV314,Calc!$I$21),INDEX('Avalanche Engine'!$AH314:$AV314,Calc!$J$21),INDEX('My Order Engine'!$AH314:$AV314,Calc!$K$21)),"")</f>
        <v/>
      </c>
      <c r="S312" s="25" t="str">
        <f>IF(AND($A312&lt;=IF(Calc!$C$36=999,360,Calc!$C$36),Calc!$C$22=1),CHOOSE(Calc!$C$3,INDEX('Snowball Engine'!$AH314:$AV314,Calc!$I$22),INDEX('Avalanche Engine'!$AH314:$AV314,Calc!$J$22),INDEX('My Order Engine'!$AH314:$AV314,Calc!$K$22)),"")</f>
        <v/>
      </c>
      <c r="T312" s="25" t="str">
        <f>IF(AND($A312&lt;=IF(Calc!$C$36=999,360,Calc!$C$36),Calc!$C$23=1),CHOOSE(Calc!$C$3,INDEX('Snowball Engine'!$AH314:$AV314,Calc!$I$23),INDEX('Avalanche Engine'!$AH314:$AV314,Calc!$J$23),INDEX('My Order Engine'!$AH314:$AV314,Calc!$K$23)),"")</f>
        <v/>
      </c>
      <c r="U312" s="25" t="str">
        <f>IF(AND($A312&lt;=IF(Calc!$C$36=999,360,Calc!$C$36),Calc!$C$24=1),CHOOSE(Calc!$C$3,INDEX('Snowball Engine'!$AH314:$AV314,Calc!$I$24),INDEX('Avalanche Engine'!$AH314:$AV314,Calc!$J$24),INDEX('My Order Engine'!$AH314:$AV314,Calc!$K$24)),"")</f>
        <v/>
      </c>
    </row>
    <row r="313" spans="1:21" x14ac:dyDescent="0.35">
      <c r="A313" s="23">
        <v>309</v>
      </c>
      <c r="B313" s="24" t="str">
        <f>IF($A313&lt;=IF(Calc!$C$36=999,360,Calc!$C$36),EDATE(Calc!$C$5,A313-1),"")</f>
        <v/>
      </c>
      <c r="C313" s="25" t="str">
        <f>IF($A313&lt;=IF(Calc!$C$36=999,360,Calc!$C$36),CHOOSE(Calc!$C$3,'Snowball Engine'!AY315,'Avalanche Engine'!AY315,'My Order Engine'!AY315),"")</f>
        <v/>
      </c>
      <c r="D313" s="25" t="str">
        <f>IF($A313&lt;=IF(Calc!$C$36=999,360,Calc!$C$36),CHOOSE(Calc!$C$3,'Snowball Engine'!AX315,'Avalanche Engine'!AX315,'My Order Engine'!AX315),"")</f>
        <v/>
      </c>
      <c r="E313" s="25" t="str">
        <f>IF($A313&lt;=IF(Calc!$C$36=999,360,Calc!$C$36),C313-D313,"")</f>
        <v/>
      </c>
      <c r="F313" s="25" t="str">
        <f>IF($A313&lt;=IF(Calc!$C$36=999,360,Calc!$C$36),CHOOSE(Calc!$C$3,'Snowball Engine'!AW315,'Avalanche Engine'!AW315,'My Order Engine'!AW315),"")</f>
        <v/>
      </c>
      <c r="G313" s="25" t="str">
        <f>IF(AND($A313&lt;=IF(Calc!$C$36=999,360,Calc!$C$36),Calc!$C$10=1),CHOOSE(Calc!$C$3,INDEX('Snowball Engine'!$AH315:$AV315,Calc!$I$10),INDEX('Avalanche Engine'!$AH315:$AV315,Calc!$J$10),INDEX('My Order Engine'!$AH315:$AV315,Calc!$K$10)),"")</f>
        <v/>
      </c>
      <c r="H313" s="25" t="str">
        <f>IF(AND($A313&lt;=IF(Calc!$C$36=999,360,Calc!$C$36),Calc!$C$11=1),CHOOSE(Calc!$C$3,INDEX('Snowball Engine'!$AH315:$AV315,Calc!$I$11),INDEX('Avalanche Engine'!$AH315:$AV315,Calc!$J$11),INDEX('My Order Engine'!$AH315:$AV315,Calc!$K$11)),"")</f>
        <v/>
      </c>
      <c r="I313" s="25" t="str">
        <f>IF(AND($A313&lt;=IF(Calc!$C$36=999,360,Calc!$C$36),Calc!$C$12=1),CHOOSE(Calc!$C$3,INDEX('Snowball Engine'!$AH315:$AV315,Calc!$I$12),INDEX('Avalanche Engine'!$AH315:$AV315,Calc!$J$12),INDEX('My Order Engine'!$AH315:$AV315,Calc!$K$12)),"")</f>
        <v/>
      </c>
      <c r="J313" s="25" t="str">
        <f>IF(AND($A313&lt;=IF(Calc!$C$36=999,360,Calc!$C$36),Calc!$C$13=1),CHOOSE(Calc!$C$3,INDEX('Snowball Engine'!$AH315:$AV315,Calc!$I$13),INDEX('Avalanche Engine'!$AH315:$AV315,Calc!$J$13),INDEX('My Order Engine'!$AH315:$AV315,Calc!$K$13)),"")</f>
        <v/>
      </c>
      <c r="K313" s="25" t="str">
        <f>IF(AND($A313&lt;=IF(Calc!$C$36=999,360,Calc!$C$36),Calc!$C$14=1),CHOOSE(Calc!$C$3,INDEX('Snowball Engine'!$AH315:$AV315,Calc!$I$14),INDEX('Avalanche Engine'!$AH315:$AV315,Calc!$J$14),INDEX('My Order Engine'!$AH315:$AV315,Calc!$K$14)),"")</f>
        <v/>
      </c>
      <c r="L313" s="25" t="str">
        <f>IF(AND($A313&lt;=IF(Calc!$C$36=999,360,Calc!$C$36),Calc!$C$15=1),CHOOSE(Calc!$C$3,INDEX('Snowball Engine'!$AH315:$AV315,Calc!$I$15),INDEX('Avalanche Engine'!$AH315:$AV315,Calc!$J$15),INDEX('My Order Engine'!$AH315:$AV315,Calc!$K$15)),"")</f>
        <v/>
      </c>
      <c r="M313" s="25" t="str">
        <f>IF(AND($A313&lt;=IF(Calc!$C$36=999,360,Calc!$C$36),Calc!$C$16=1),CHOOSE(Calc!$C$3,INDEX('Snowball Engine'!$AH315:$AV315,Calc!$I$16),INDEX('Avalanche Engine'!$AH315:$AV315,Calc!$J$16),INDEX('My Order Engine'!$AH315:$AV315,Calc!$K$16)),"")</f>
        <v/>
      </c>
      <c r="N313" s="25" t="str">
        <f>IF(AND($A313&lt;=IF(Calc!$C$36=999,360,Calc!$C$36),Calc!$C$17=1),CHOOSE(Calc!$C$3,INDEX('Snowball Engine'!$AH315:$AV315,Calc!$I$17),INDEX('Avalanche Engine'!$AH315:$AV315,Calc!$J$17),INDEX('My Order Engine'!$AH315:$AV315,Calc!$K$17)),"")</f>
        <v/>
      </c>
      <c r="O313" s="25" t="str">
        <f>IF(AND($A313&lt;=IF(Calc!$C$36=999,360,Calc!$C$36),Calc!$C$18=1),CHOOSE(Calc!$C$3,INDEX('Snowball Engine'!$AH315:$AV315,Calc!$I$18),INDEX('Avalanche Engine'!$AH315:$AV315,Calc!$J$18),INDEX('My Order Engine'!$AH315:$AV315,Calc!$K$18)),"")</f>
        <v/>
      </c>
      <c r="P313" s="25" t="str">
        <f>IF(AND($A313&lt;=IF(Calc!$C$36=999,360,Calc!$C$36),Calc!$C$19=1),CHOOSE(Calc!$C$3,INDEX('Snowball Engine'!$AH315:$AV315,Calc!$I$19),INDEX('Avalanche Engine'!$AH315:$AV315,Calc!$J$19),INDEX('My Order Engine'!$AH315:$AV315,Calc!$K$19)),"")</f>
        <v/>
      </c>
      <c r="Q313" s="25" t="str">
        <f>IF(AND($A313&lt;=IF(Calc!$C$36=999,360,Calc!$C$36),Calc!$C$20=1),CHOOSE(Calc!$C$3,INDEX('Snowball Engine'!$AH315:$AV315,Calc!$I$20),INDEX('Avalanche Engine'!$AH315:$AV315,Calc!$J$20),INDEX('My Order Engine'!$AH315:$AV315,Calc!$K$20)),"")</f>
        <v/>
      </c>
      <c r="R313" s="25" t="str">
        <f>IF(AND($A313&lt;=IF(Calc!$C$36=999,360,Calc!$C$36),Calc!$C$21=1),CHOOSE(Calc!$C$3,INDEX('Snowball Engine'!$AH315:$AV315,Calc!$I$21),INDEX('Avalanche Engine'!$AH315:$AV315,Calc!$J$21),INDEX('My Order Engine'!$AH315:$AV315,Calc!$K$21)),"")</f>
        <v/>
      </c>
      <c r="S313" s="25" t="str">
        <f>IF(AND($A313&lt;=IF(Calc!$C$36=999,360,Calc!$C$36),Calc!$C$22=1),CHOOSE(Calc!$C$3,INDEX('Snowball Engine'!$AH315:$AV315,Calc!$I$22),INDEX('Avalanche Engine'!$AH315:$AV315,Calc!$J$22),INDEX('My Order Engine'!$AH315:$AV315,Calc!$K$22)),"")</f>
        <v/>
      </c>
      <c r="T313" s="25" t="str">
        <f>IF(AND($A313&lt;=IF(Calc!$C$36=999,360,Calc!$C$36),Calc!$C$23=1),CHOOSE(Calc!$C$3,INDEX('Snowball Engine'!$AH315:$AV315,Calc!$I$23),INDEX('Avalanche Engine'!$AH315:$AV315,Calc!$J$23),INDEX('My Order Engine'!$AH315:$AV315,Calc!$K$23)),"")</f>
        <v/>
      </c>
      <c r="U313" s="25" t="str">
        <f>IF(AND($A313&lt;=IF(Calc!$C$36=999,360,Calc!$C$36),Calc!$C$24=1),CHOOSE(Calc!$C$3,INDEX('Snowball Engine'!$AH315:$AV315,Calc!$I$24),INDEX('Avalanche Engine'!$AH315:$AV315,Calc!$J$24),INDEX('My Order Engine'!$AH315:$AV315,Calc!$K$24)),"")</f>
        <v/>
      </c>
    </row>
    <row r="314" spans="1:21" x14ac:dyDescent="0.35">
      <c r="A314" s="23">
        <v>310</v>
      </c>
      <c r="B314" s="24" t="str">
        <f>IF($A314&lt;=IF(Calc!$C$36=999,360,Calc!$C$36),EDATE(Calc!$C$5,A314-1),"")</f>
        <v/>
      </c>
      <c r="C314" s="25" t="str">
        <f>IF($A314&lt;=IF(Calc!$C$36=999,360,Calc!$C$36),CHOOSE(Calc!$C$3,'Snowball Engine'!AY316,'Avalanche Engine'!AY316,'My Order Engine'!AY316),"")</f>
        <v/>
      </c>
      <c r="D314" s="25" t="str">
        <f>IF($A314&lt;=IF(Calc!$C$36=999,360,Calc!$C$36),CHOOSE(Calc!$C$3,'Snowball Engine'!AX316,'Avalanche Engine'!AX316,'My Order Engine'!AX316),"")</f>
        <v/>
      </c>
      <c r="E314" s="25" t="str">
        <f>IF($A314&lt;=IF(Calc!$C$36=999,360,Calc!$C$36),C314-D314,"")</f>
        <v/>
      </c>
      <c r="F314" s="25" t="str">
        <f>IF($A314&lt;=IF(Calc!$C$36=999,360,Calc!$C$36),CHOOSE(Calc!$C$3,'Snowball Engine'!AW316,'Avalanche Engine'!AW316,'My Order Engine'!AW316),"")</f>
        <v/>
      </c>
      <c r="G314" s="25" t="str">
        <f>IF(AND($A314&lt;=IF(Calc!$C$36=999,360,Calc!$C$36),Calc!$C$10=1),CHOOSE(Calc!$C$3,INDEX('Snowball Engine'!$AH316:$AV316,Calc!$I$10),INDEX('Avalanche Engine'!$AH316:$AV316,Calc!$J$10),INDEX('My Order Engine'!$AH316:$AV316,Calc!$K$10)),"")</f>
        <v/>
      </c>
      <c r="H314" s="25" t="str">
        <f>IF(AND($A314&lt;=IF(Calc!$C$36=999,360,Calc!$C$36),Calc!$C$11=1),CHOOSE(Calc!$C$3,INDEX('Snowball Engine'!$AH316:$AV316,Calc!$I$11),INDEX('Avalanche Engine'!$AH316:$AV316,Calc!$J$11),INDEX('My Order Engine'!$AH316:$AV316,Calc!$K$11)),"")</f>
        <v/>
      </c>
      <c r="I314" s="25" t="str">
        <f>IF(AND($A314&lt;=IF(Calc!$C$36=999,360,Calc!$C$36),Calc!$C$12=1),CHOOSE(Calc!$C$3,INDEX('Snowball Engine'!$AH316:$AV316,Calc!$I$12),INDEX('Avalanche Engine'!$AH316:$AV316,Calc!$J$12),INDEX('My Order Engine'!$AH316:$AV316,Calc!$K$12)),"")</f>
        <v/>
      </c>
      <c r="J314" s="25" t="str">
        <f>IF(AND($A314&lt;=IF(Calc!$C$36=999,360,Calc!$C$36),Calc!$C$13=1),CHOOSE(Calc!$C$3,INDEX('Snowball Engine'!$AH316:$AV316,Calc!$I$13),INDEX('Avalanche Engine'!$AH316:$AV316,Calc!$J$13),INDEX('My Order Engine'!$AH316:$AV316,Calc!$K$13)),"")</f>
        <v/>
      </c>
      <c r="K314" s="25" t="str">
        <f>IF(AND($A314&lt;=IF(Calc!$C$36=999,360,Calc!$C$36),Calc!$C$14=1),CHOOSE(Calc!$C$3,INDEX('Snowball Engine'!$AH316:$AV316,Calc!$I$14),INDEX('Avalanche Engine'!$AH316:$AV316,Calc!$J$14),INDEX('My Order Engine'!$AH316:$AV316,Calc!$K$14)),"")</f>
        <v/>
      </c>
      <c r="L314" s="25" t="str">
        <f>IF(AND($A314&lt;=IF(Calc!$C$36=999,360,Calc!$C$36),Calc!$C$15=1),CHOOSE(Calc!$C$3,INDEX('Snowball Engine'!$AH316:$AV316,Calc!$I$15),INDEX('Avalanche Engine'!$AH316:$AV316,Calc!$J$15),INDEX('My Order Engine'!$AH316:$AV316,Calc!$K$15)),"")</f>
        <v/>
      </c>
      <c r="M314" s="25" t="str">
        <f>IF(AND($A314&lt;=IF(Calc!$C$36=999,360,Calc!$C$36),Calc!$C$16=1),CHOOSE(Calc!$C$3,INDEX('Snowball Engine'!$AH316:$AV316,Calc!$I$16),INDEX('Avalanche Engine'!$AH316:$AV316,Calc!$J$16),INDEX('My Order Engine'!$AH316:$AV316,Calc!$K$16)),"")</f>
        <v/>
      </c>
      <c r="N314" s="25" t="str">
        <f>IF(AND($A314&lt;=IF(Calc!$C$36=999,360,Calc!$C$36),Calc!$C$17=1),CHOOSE(Calc!$C$3,INDEX('Snowball Engine'!$AH316:$AV316,Calc!$I$17),INDEX('Avalanche Engine'!$AH316:$AV316,Calc!$J$17),INDEX('My Order Engine'!$AH316:$AV316,Calc!$K$17)),"")</f>
        <v/>
      </c>
      <c r="O314" s="25" t="str">
        <f>IF(AND($A314&lt;=IF(Calc!$C$36=999,360,Calc!$C$36),Calc!$C$18=1),CHOOSE(Calc!$C$3,INDEX('Snowball Engine'!$AH316:$AV316,Calc!$I$18),INDEX('Avalanche Engine'!$AH316:$AV316,Calc!$J$18),INDEX('My Order Engine'!$AH316:$AV316,Calc!$K$18)),"")</f>
        <v/>
      </c>
      <c r="P314" s="25" t="str">
        <f>IF(AND($A314&lt;=IF(Calc!$C$36=999,360,Calc!$C$36),Calc!$C$19=1),CHOOSE(Calc!$C$3,INDEX('Snowball Engine'!$AH316:$AV316,Calc!$I$19),INDEX('Avalanche Engine'!$AH316:$AV316,Calc!$J$19),INDEX('My Order Engine'!$AH316:$AV316,Calc!$K$19)),"")</f>
        <v/>
      </c>
      <c r="Q314" s="25" t="str">
        <f>IF(AND($A314&lt;=IF(Calc!$C$36=999,360,Calc!$C$36),Calc!$C$20=1),CHOOSE(Calc!$C$3,INDEX('Snowball Engine'!$AH316:$AV316,Calc!$I$20),INDEX('Avalanche Engine'!$AH316:$AV316,Calc!$J$20),INDEX('My Order Engine'!$AH316:$AV316,Calc!$K$20)),"")</f>
        <v/>
      </c>
      <c r="R314" s="25" t="str">
        <f>IF(AND($A314&lt;=IF(Calc!$C$36=999,360,Calc!$C$36),Calc!$C$21=1),CHOOSE(Calc!$C$3,INDEX('Snowball Engine'!$AH316:$AV316,Calc!$I$21),INDEX('Avalanche Engine'!$AH316:$AV316,Calc!$J$21),INDEX('My Order Engine'!$AH316:$AV316,Calc!$K$21)),"")</f>
        <v/>
      </c>
      <c r="S314" s="25" t="str">
        <f>IF(AND($A314&lt;=IF(Calc!$C$36=999,360,Calc!$C$36),Calc!$C$22=1),CHOOSE(Calc!$C$3,INDEX('Snowball Engine'!$AH316:$AV316,Calc!$I$22),INDEX('Avalanche Engine'!$AH316:$AV316,Calc!$J$22),INDEX('My Order Engine'!$AH316:$AV316,Calc!$K$22)),"")</f>
        <v/>
      </c>
      <c r="T314" s="25" t="str">
        <f>IF(AND($A314&lt;=IF(Calc!$C$36=999,360,Calc!$C$36),Calc!$C$23=1),CHOOSE(Calc!$C$3,INDEX('Snowball Engine'!$AH316:$AV316,Calc!$I$23),INDEX('Avalanche Engine'!$AH316:$AV316,Calc!$J$23),INDEX('My Order Engine'!$AH316:$AV316,Calc!$K$23)),"")</f>
        <v/>
      </c>
      <c r="U314" s="25" t="str">
        <f>IF(AND($A314&lt;=IF(Calc!$C$36=999,360,Calc!$C$36),Calc!$C$24=1),CHOOSE(Calc!$C$3,INDEX('Snowball Engine'!$AH316:$AV316,Calc!$I$24),INDEX('Avalanche Engine'!$AH316:$AV316,Calc!$J$24),INDEX('My Order Engine'!$AH316:$AV316,Calc!$K$24)),"")</f>
        <v/>
      </c>
    </row>
    <row r="315" spans="1:21" x14ac:dyDescent="0.35">
      <c r="A315" s="23">
        <v>311</v>
      </c>
      <c r="B315" s="24" t="str">
        <f>IF($A315&lt;=IF(Calc!$C$36=999,360,Calc!$C$36),EDATE(Calc!$C$5,A315-1),"")</f>
        <v/>
      </c>
      <c r="C315" s="25" t="str">
        <f>IF($A315&lt;=IF(Calc!$C$36=999,360,Calc!$C$36),CHOOSE(Calc!$C$3,'Snowball Engine'!AY317,'Avalanche Engine'!AY317,'My Order Engine'!AY317),"")</f>
        <v/>
      </c>
      <c r="D315" s="25" t="str">
        <f>IF($A315&lt;=IF(Calc!$C$36=999,360,Calc!$C$36),CHOOSE(Calc!$C$3,'Snowball Engine'!AX317,'Avalanche Engine'!AX317,'My Order Engine'!AX317),"")</f>
        <v/>
      </c>
      <c r="E315" s="25" t="str">
        <f>IF($A315&lt;=IF(Calc!$C$36=999,360,Calc!$C$36),C315-D315,"")</f>
        <v/>
      </c>
      <c r="F315" s="25" t="str">
        <f>IF($A315&lt;=IF(Calc!$C$36=999,360,Calc!$C$36),CHOOSE(Calc!$C$3,'Snowball Engine'!AW317,'Avalanche Engine'!AW317,'My Order Engine'!AW317),"")</f>
        <v/>
      </c>
      <c r="G315" s="25" t="str">
        <f>IF(AND($A315&lt;=IF(Calc!$C$36=999,360,Calc!$C$36),Calc!$C$10=1),CHOOSE(Calc!$C$3,INDEX('Snowball Engine'!$AH317:$AV317,Calc!$I$10),INDEX('Avalanche Engine'!$AH317:$AV317,Calc!$J$10),INDEX('My Order Engine'!$AH317:$AV317,Calc!$K$10)),"")</f>
        <v/>
      </c>
      <c r="H315" s="25" t="str">
        <f>IF(AND($A315&lt;=IF(Calc!$C$36=999,360,Calc!$C$36),Calc!$C$11=1),CHOOSE(Calc!$C$3,INDEX('Snowball Engine'!$AH317:$AV317,Calc!$I$11),INDEX('Avalanche Engine'!$AH317:$AV317,Calc!$J$11),INDEX('My Order Engine'!$AH317:$AV317,Calc!$K$11)),"")</f>
        <v/>
      </c>
      <c r="I315" s="25" t="str">
        <f>IF(AND($A315&lt;=IF(Calc!$C$36=999,360,Calc!$C$36),Calc!$C$12=1),CHOOSE(Calc!$C$3,INDEX('Snowball Engine'!$AH317:$AV317,Calc!$I$12),INDEX('Avalanche Engine'!$AH317:$AV317,Calc!$J$12),INDEX('My Order Engine'!$AH317:$AV317,Calc!$K$12)),"")</f>
        <v/>
      </c>
      <c r="J315" s="25" t="str">
        <f>IF(AND($A315&lt;=IF(Calc!$C$36=999,360,Calc!$C$36),Calc!$C$13=1),CHOOSE(Calc!$C$3,INDEX('Snowball Engine'!$AH317:$AV317,Calc!$I$13),INDEX('Avalanche Engine'!$AH317:$AV317,Calc!$J$13),INDEX('My Order Engine'!$AH317:$AV317,Calc!$K$13)),"")</f>
        <v/>
      </c>
      <c r="K315" s="25" t="str">
        <f>IF(AND($A315&lt;=IF(Calc!$C$36=999,360,Calc!$C$36),Calc!$C$14=1),CHOOSE(Calc!$C$3,INDEX('Snowball Engine'!$AH317:$AV317,Calc!$I$14),INDEX('Avalanche Engine'!$AH317:$AV317,Calc!$J$14),INDEX('My Order Engine'!$AH317:$AV317,Calc!$K$14)),"")</f>
        <v/>
      </c>
      <c r="L315" s="25" t="str">
        <f>IF(AND($A315&lt;=IF(Calc!$C$36=999,360,Calc!$C$36),Calc!$C$15=1),CHOOSE(Calc!$C$3,INDEX('Snowball Engine'!$AH317:$AV317,Calc!$I$15),INDEX('Avalanche Engine'!$AH317:$AV317,Calc!$J$15),INDEX('My Order Engine'!$AH317:$AV317,Calc!$K$15)),"")</f>
        <v/>
      </c>
      <c r="M315" s="25" t="str">
        <f>IF(AND($A315&lt;=IF(Calc!$C$36=999,360,Calc!$C$36),Calc!$C$16=1),CHOOSE(Calc!$C$3,INDEX('Snowball Engine'!$AH317:$AV317,Calc!$I$16),INDEX('Avalanche Engine'!$AH317:$AV317,Calc!$J$16),INDEX('My Order Engine'!$AH317:$AV317,Calc!$K$16)),"")</f>
        <v/>
      </c>
      <c r="N315" s="25" t="str">
        <f>IF(AND($A315&lt;=IF(Calc!$C$36=999,360,Calc!$C$36),Calc!$C$17=1),CHOOSE(Calc!$C$3,INDEX('Snowball Engine'!$AH317:$AV317,Calc!$I$17),INDEX('Avalanche Engine'!$AH317:$AV317,Calc!$J$17),INDEX('My Order Engine'!$AH317:$AV317,Calc!$K$17)),"")</f>
        <v/>
      </c>
      <c r="O315" s="25" t="str">
        <f>IF(AND($A315&lt;=IF(Calc!$C$36=999,360,Calc!$C$36),Calc!$C$18=1),CHOOSE(Calc!$C$3,INDEX('Snowball Engine'!$AH317:$AV317,Calc!$I$18),INDEX('Avalanche Engine'!$AH317:$AV317,Calc!$J$18),INDEX('My Order Engine'!$AH317:$AV317,Calc!$K$18)),"")</f>
        <v/>
      </c>
      <c r="P315" s="25" t="str">
        <f>IF(AND($A315&lt;=IF(Calc!$C$36=999,360,Calc!$C$36),Calc!$C$19=1),CHOOSE(Calc!$C$3,INDEX('Snowball Engine'!$AH317:$AV317,Calc!$I$19),INDEX('Avalanche Engine'!$AH317:$AV317,Calc!$J$19),INDEX('My Order Engine'!$AH317:$AV317,Calc!$K$19)),"")</f>
        <v/>
      </c>
      <c r="Q315" s="25" t="str">
        <f>IF(AND($A315&lt;=IF(Calc!$C$36=999,360,Calc!$C$36),Calc!$C$20=1),CHOOSE(Calc!$C$3,INDEX('Snowball Engine'!$AH317:$AV317,Calc!$I$20),INDEX('Avalanche Engine'!$AH317:$AV317,Calc!$J$20),INDEX('My Order Engine'!$AH317:$AV317,Calc!$K$20)),"")</f>
        <v/>
      </c>
      <c r="R315" s="25" t="str">
        <f>IF(AND($A315&lt;=IF(Calc!$C$36=999,360,Calc!$C$36),Calc!$C$21=1),CHOOSE(Calc!$C$3,INDEX('Snowball Engine'!$AH317:$AV317,Calc!$I$21),INDEX('Avalanche Engine'!$AH317:$AV317,Calc!$J$21),INDEX('My Order Engine'!$AH317:$AV317,Calc!$K$21)),"")</f>
        <v/>
      </c>
      <c r="S315" s="25" t="str">
        <f>IF(AND($A315&lt;=IF(Calc!$C$36=999,360,Calc!$C$36),Calc!$C$22=1),CHOOSE(Calc!$C$3,INDEX('Snowball Engine'!$AH317:$AV317,Calc!$I$22),INDEX('Avalanche Engine'!$AH317:$AV317,Calc!$J$22),INDEX('My Order Engine'!$AH317:$AV317,Calc!$K$22)),"")</f>
        <v/>
      </c>
      <c r="T315" s="25" t="str">
        <f>IF(AND($A315&lt;=IF(Calc!$C$36=999,360,Calc!$C$36),Calc!$C$23=1),CHOOSE(Calc!$C$3,INDEX('Snowball Engine'!$AH317:$AV317,Calc!$I$23),INDEX('Avalanche Engine'!$AH317:$AV317,Calc!$J$23),INDEX('My Order Engine'!$AH317:$AV317,Calc!$K$23)),"")</f>
        <v/>
      </c>
      <c r="U315" s="25" t="str">
        <f>IF(AND($A315&lt;=IF(Calc!$C$36=999,360,Calc!$C$36),Calc!$C$24=1),CHOOSE(Calc!$C$3,INDEX('Snowball Engine'!$AH317:$AV317,Calc!$I$24),INDEX('Avalanche Engine'!$AH317:$AV317,Calc!$J$24),INDEX('My Order Engine'!$AH317:$AV317,Calc!$K$24)),"")</f>
        <v/>
      </c>
    </row>
    <row r="316" spans="1:21" x14ac:dyDescent="0.35">
      <c r="A316" s="23">
        <v>312</v>
      </c>
      <c r="B316" s="24" t="str">
        <f>IF($A316&lt;=IF(Calc!$C$36=999,360,Calc!$C$36),EDATE(Calc!$C$5,A316-1),"")</f>
        <v/>
      </c>
      <c r="C316" s="25" t="str">
        <f>IF($A316&lt;=IF(Calc!$C$36=999,360,Calc!$C$36),CHOOSE(Calc!$C$3,'Snowball Engine'!AY318,'Avalanche Engine'!AY318,'My Order Engine'!AY318),"")</f>
        <v/>
      </c>
      <c r="D316" s="25" t="str">
        <f>IF($A316&lt;=IF(Calc!$C$36=999,360,Calc!$C$36),CHOOSE(Calc!$C$3,'Snowball Engine'!AX318,'Avalanche Engine'!AX318,'My Order Engine'!AX318),"")</f>
        <v/>
      </c>
      <c r="E316" s="25" t="str">
        <f>IF($A316&lt;=IF(Calc!$C$36=999,360,Calc!$C$36),C316-D316,"")</f>
        <v/>
      </c>
      <c r="F316" s="25" t="str">
        <f>IF($A316&lt;=IF(Calc!$C$36=999,360,Calc!$C$36),CHOOSE(Calc!$C$3,'Snowball Engine'!AW318,'Avalanche Engine'!AW318,'My Order Engine'!AW318),"")</f>
        <v/>
      </c>
      <c r="G316" s="25" t="str">
        <f>IF(AND($A316&lt;=IF(Calc!$C$36=999,360,Calc!$C$36),Calc!$C$10=1),CHOOSE(Calc!$C$3,INDEX('Snowball Engine'!$AH318:$AV318,Calc!$I$10),INDEX('Avalanche Engine'!$AH318:$AV318,Calc!$J$10),INDEX('My Order Engine'!$AH318:$AV318,Calc!$K$10)),"")</f>
        <v/>
      </c>
      <c r="H316" s="25" t="str">
        <f>IF(AND($A316&lt;=IF(Calc!$C$36=999,360,Calc!$C$36),Calc!$C$11=1),CHOOSE(Calc!$C$3,INDEX('Snowball Engine'!$AH318:$AV318,Calc!$I$11),INDEX('Avalanche Engine'!$AH318:$AV318,Calc!$J$11),INDEX('My Order Engine'!$AH318:$AV318,Calc!$K$11)),"")</f>
        <v/>
      </c>
      <c r="I316" s="25" t="str">
        <f>IF(AND($A316&lt;=IF(Calc!$C$36=999,360,Calc!$C$36),Calc!$C$12=1),CHOOSE(Calc!$C$3,INDEX('Snowball Engine'!$AH318:$AV318,Calc!$I$12),INDEX('Avalanche Engine'!$AH318:$AV318,Calc!$J$12),INDEX('My Order Engine'!$AH318:$AV318,Calc!$K$12)),"")</f>
        <v/>
      </c>
      <c r="J316" s="25" t="str">
        <f>IF(AND($A316&lt;=IF(Calc!$C$36=999,360,Calc!$C$36),Calc!$C$13=1),CHOOSE(Calc!$C$3,INDEX('Snowball Engine'!$AH318:$AV318,Calc!$I$13),INDEX('Avalanche Engine'!$AH318:$AV318,Calc!$J$13),INDEX('My Order Engine'!$AH318:$AV318,Calc!$K$13)),"")</f>
        <v/>
      </c>
      <c r="K316" s="25" t="str">
        <f>IF(AND($A316&lt;=IF(Calc!$C$36=999,360,Calc!$C$36),Calc!$C$14=1),CHOOSE(Calc!$C$3,INDEX('Snowball Engine'!$AH318:$AV318,Calc!$I$14),INDEX('Avalanche Engine'!$AH318:$AV318,Calc!$J$14),INDEX('My Order Engine'!$AH318:$AV318,Calc!$K$14)),"")</f>
        <v/>
      </c>
      <c r="L316" s="25" t="str">
        <f>IF(AND($A316&lt;=IF(Calc!$C$36=999,360,Calc!$C$36),Calc!$C$15=1),CHOOSE(Calc!$C$3,INDEX('Snowball Engine'!$AH318:$AV318,Calc!$I$15),INDEX('Avalanche Engine'!$AH318:$AV318,Calc!$J$15),INDEX('My Order Engine'!$AH318:$AV318,Calc!$K$15)),"")</f>
        <v/>
      </c>
      <c r="M316" s="25" t="str">
        <f>IF(AND($A316&lt;=IF(Calc!$C$36=999,360,Calc!$C$36),Calc!$C$16=1),CHOOSE(Calc!$C$3,INDEX('Snowball Engine'!$AH318:$AV318,Calc!$I$16),INDEX('Avalanche Engine'!$AH318:$AV318,Calc!$J$16),INDEX('My Order Engine'!$AH318:$AV318,Calc!$K$16)),"")</f>
        <v/>
      </c>
      <c r="N316" s="25" t="str">
        <f>IF(AND($A316&lt;=IF(Calc!$C$36=999,360,Calc!$C$36),Calc!$C$17=1),CHOOSE(Calc!$C$3,INDEX('Snowball Engine'!$AH318:$AV318,Calc!$I$17),INDEX('Avalanche Engine'!$AH318:$AV318,Calc!$J$17),INDEX('My Order Engine'!$AH318:$AV318,Calc!$K$17)),"")</f>
        <v/>
      </c>
      <c r="O316" s="25" t="str">
        <f>IF(AND($A316&lt;=IF(Calc!$C$36=999,360,Calc!$C$36),Calc!$C$18=1),CHOOSE(Calc!$C$3,INDEX('Snowball Engine'!$AH318:$AV318,Calc!$I$18),INDEX('Avalanche Engine'!$AH318:$AV318,Calc!$J$18),INDEX('My Order Engine'!$AH318:$AV318,Calc!$K$18)),"")</f>
        <v/>
      </c>
      <c r="P316" s="25" t="str">
        <f>IF(AND($A316&lt;=IF(Calc!$C$36=999,360,Calc!$C$36),Calc!$C$19=1),CHOOSE(Calc!$C$3,INDEX('Snowball Engine'!$AH318:$AV318,Calc!$I$19),INDEX('Avalanche Engine'!$AH318:$AV318,Calc!$J$19),INDEX('My Order Engine'!$AH318:$AV318,Calc!$K$19)),"")</f>
        <v/>
      </c>
      <c r="Q316" s="25" t="str">
        <f>IF(AND($A316&lt;=IF(Calc!$C$36=999,360,Calc!$C$36),Calc!$C$20=1),CHOOSE(Calc!$C$3,INDEX('Snowball Engine'!$AH318:$AV318,Calc!$I$20),INDEX('Avalanche Engine'!$AH318:$AV318,Calc!$J$20),INDEX('My Order Engine'!$AH318:$AV318,Calc!$K$20)),"")</f>
        <v/>
      </c>
      <c r="R316" s="25" t="str">
        <f>IF(AND($A316&lt;=IF(Calc!$C$36=999,360,Calc!$C$36),Calc!$C$21=1),CHOOSE(Calc!$C$3,INDEX('Snowball Engine'!$AH318:$AV318,Calc!$I$21),INDEX('Avalanche Engine'!$AH318:$AV318,Calc!$J$21),INDEX('My Order Engine'!$AH318:$AV318,Calc!$K$21)),"")</f>
        <v/>
      </c>
      <c r="S316" s="25" t="str">
        <f>IF(AND($A316&lt;=IF(Calc!$C$36=999,360,Calc!$C$36),Calc!$C$22=1),CHOOSE(Calc!$C$3,INDEX('Snowball Engine'!$AH318:$AV318,Calc!$I$22),INDEX('Avalanche Engine'!$AH318:$AV318,Calc!$J$22),INDEX('My Order Engine'!$AH318:$AV318,Calc!$K$22)),"")</f>
        <v/>
      </c>
      <c r="T316" s="25" t="str">
        <f>IF(AND($A316&lt;=IF(Calc!$C$36=999,360,Calc!$C$36),Calc!$C$23=1),CHOOSE(Calc!$C$3,INDEX('Snowball Engine'!$AH318:$AV318,Calc!$I$23),INDEX('Avalanche Engine'!$AH318:$AV318,Calc!$J$23),INDEX('My Order Engine'!$AH318:$AV318,Calc!$K$23)),"")</f>
        <v/>
      </c>
      <c r="U316" s="25" t="str">
        <f>IF(AND($A316&lt;=IF(Calc!$C$36=999,360,Calc!$C$36),Calc!$C$24=1),CHOOSE(Calc!$C$3,INDEX('Snowball Engine'!$AH318:$AV318,Calc!$I$24),INDEX('Avalanche Engine'!$AH318:$AV318,Calc!$J$24),INDEX('My Order Engine'!$AH318:$AV318,Calc!$K$24)),"")</f>
        <v/>
      </c>
    </row>
    <row r="317" spans="1:21" x14ac:dyDescent="0.35">
      <c r="A317" s="23">
        <v>313</v>
      </c>
      <c r="B317" s="24" t="str">
        <f>IF($A317&lt;=IF(Calc!$C$36=999,360,Calc!$C$36),EDATE(Calc!$C$5,A317-1),"")</f>
        <v/>
      </c>
      <c r="C317" s="25" t="str">
        <f>IF($A317&lt;=IF(Calc!$C$36=999,360,Calc!$C$36),CHOOSE(Calc!$C$3,'Snowball Engine'!AY319,'Avalanche Engine'!AY319,'My Order Engine'!AY319),"")</f>
        <v/>
      </c>
      <c r="D317" s="25" t="str">
        <f>IF($A317&lt;=IF(Calc!$C$36=999,360,Calc!$C$36),CHOOSE(Calc!$C$3,'Snowball Engine'!AX319,'Avalanche Engine'!AX319,'My Order Engine'!AX319),"")</f>
        <v/>
      </c>
      <c r="E317" s="25" t="str">
        <f>IF($A317&lt;=IF(Calc!$C$36=999,360,Calc!$C$36),C317-D317,"")</f>
        <v/>
      </c>
      <c r="F317" s="25" t="str">
        <f>IF($A317&lt;=IF(Calc!$C$36=999,360,Calc!$C$36),CHOOSE(Calc!$C$3,'Snowball Engine'!AW319,'Avalanche Engine'!AW319,'My Order Engine'!AW319),"")</f>
        <v/>
      </c>
      <c r="G317" s="25" t="str">
        <f>IF(AND($A317&lt;=IF(Calc!$C$36=999,360,Calc!$C$36),Calc!$C$10=1),CHOOSE(Calc!$C$3,INDEX('Snowball Engine'!$AH319:$AV319,Calc!$I$10),INDEX('Avalanche Engine'!$AH319:$AV319,Calc!$J$10),INDEX('My Order Engine'!$AH319:$AV319,Calc!$K$10)),"")</f>
        <v/>
      </c>
      <c r="H317" s="25" t="str">
        <f>IF(AND($A317&lt;=IF(Calc!$C$36=999,360,Calc!$C$36),Calc!$C$11=1),CHOOSE(Calc!$C$3,INDEX('Snowball Engine'!$AH319:$AV319,Calc!$I$11),INDEX('Avalanche Engine'!$AH319:$AV319,Calc!$J$11),INDEX('My Order Engine'!$AH319:$AV319,Calc!$K$11)),"")</f>
        <v/>
      </c>
      <c r="I317" s="25" t="str">
        <f>IF(AND($A317&lt;=IF(Calc!$C$36=999,360,Calc!$C$36),Calc!$C$12=1),CHOOSE(Calc!$C$3,INDEX('Snowball Engine'!$AH319:$AV319,Calc!$I$12),INDEX('Avalanche Engine'!$AH319:$AV319,Calc!$J$12),INDEX('My Order Engine'!$AH319:$AV319,Calc!$K$12)),"")</f>
        <v/>
      </c>
      <c r="J317" s="25" t="str">
        <f>IF(AND($A317&lt;=IF(Calc!$C$36=999,360,Calc!$C$36),Calc!$C$13=1),CHOOSE(Calc!$C$3,INDEX('Snowball Engine'!$AH319:$AV319,Calc!$I$13),INDEX('Avalanche Engine'!$AH319:$AV319,Calc!$J$13),INDEX('My Order Engine'!$AH319:$AV319,Calc!$K$13)),"")</f>
        <v/>
      </c>
      <c r="K317" s="25" t="str">
        <f>IF(AND($A317&lt;=IF(Calc!$C$36=999,360,Calc!$C$36),Calc!$C$14=1),CHOOSE(Calc!$C$3,INDEX('Snowball Engine'!$AH319:$AV319,Calc!$I$14),INDEX('Avalanche Engine'!$AH319:$AV319,Calc!$J$14),INDEX('My Order Engine'!$AH319:$AV319,Calc!$K$14)),"")</f>
        <v/>
      </c>
      <c r="L317" s="25" t="str">
        <f>IF(AND($A317&lt;=IF(Calc!$C$36=999,360,Calc!$C$36),Calc!$C$15=1),CHOOSE(Calc!$C$3,INDEX('Snowball Engine'!$AH319:$AV319,Calc!$I$15),INDEX('Avalanche Engine'!$AH319:$AV319,Calc!$J$15),INDEX('My Order Engine'!$AH319:$AV319,Calc!$K$15)),"")</f>
        <v/>
      </c>
      <c r="M317" s="25" t="str">
        <f>IF(AND($A317&lt;=IF(Calc!$C$36=999,360,Calc!$C$36),Calc!$C$16=1),CHOOSE(Calc!$C$3,INDEX('Snowball Engine'!$AH319:$AV319,Calc!$I$16),INDEX('Avalanche Engine'!$AH319:$AV319,Calc!$J$16),INDEX('My Order Engine'!$AH319:$AV319,Calc!$K$16)),"")</f>
        <v/>
      </c>
      <c r="N317" s="25" t="str">
        <f>IF(AND($A317&lt;=IF(Calc!$C$36=999,360,Calc!$C$36),Calc!$C$17=1),CHOOSE(Calc!$C$3,INDEX('Snowball Engine'!$AH319:$AV319,Calc!$I$17),INDEX('Avalanche Engine'!$AH319:$AV319,Calc!$J$17),INDEX('My Order Engine'!$AH319:$AV319,Calc!$K$17)),"")</f>
        <v/>
      </c>
      <c r="O317" s="25" t="str">
        <f>IF(AND($A317&lt;=IF(Calc!$C$36=999,360,Calc!$C$36),Calc!$C$18=1),CHOOSE(Calc!$C$3,INDEX('Snowball Engine'!$AH319:$AV319,Calc!$I$18),INDEX('Avalanche Engine'!$AH319:$AV319,Calc!$J$18),INDEX('My Order Engine'!$AH319:$AV319,Calc!$K$18)),"")</f>
        <v/>
      </c>
      <c r="P317" s="25" t="str">
        <f>IF(AND($A317&lt;=IF(Calc!$C$36=999,360,Calc!$C$36),Calc!$C$19=1),CHOOSE(Calc!$C$3,INDEX('Snowball Engine'!$AH319:$AV319,Calc!$I$19),INDEX('Avalanche Engine'!$AH319:$AV319,Calc!$J$19),INDEX('My Order Engine'!$AH319:$AV319,Calc!$K$19)),"")</f>
        <v/>
      </c>
      <c r="Q317" s="25" t="str">
        <f>IF(AND($A317&lt;=IF(Calc!$C$36=999,360,Calc!$C$36),Calc!$C$20=1),CHOOSE(Calc!$C$3,INDEX('Snowball Engine'!$AH319:$AV319,Calc!$I$20),INDEX('Avalanche Engine'!$AH319:$AV319,Calc!$J$20),INDEX('My Order Engine'!$AH319:$AV319,Calc!$K$20)),"")</f>
        <v/>
      </c>
      <c r="R317" s="25" t="str">
        <f>IF(AND($A317&lt;=IF(Calc!$C$36=999,360,Calc!$C$36),Calc!$C$21=1),CHOOSE(Calc!$C$3,INDEX('Snowball Engine'!$AH319:$AV319,Calc!$I$21),INDEX('Avalanche Engine'!$AH319:$AV319,Calc!$J$21),INDEX('My Order Engine'!$AH319:$AV319,Calc!$K$21)),"")</f>
        <v/>
      </c>
      <c r="S317" s="25" t="str">
        <f>IF(AND($A317&lt;=IF(Calc!$C$36=999,360,Calc!$C$36),Calc!$C$22=1),CHOOSE(Calc!$C$3,INDEX('Snowball Engine'!$AH319:$AV319,Calc!$I$22),INDEX('Avalanche Engine'!$AH319:$AV319,Calc!$J$22),INDEX('My Order Engine'!$AH319:$AV319,Calc!$K$22)),"")</f>
        <v/>
      </c>
      <c r="T317" s="25" t="str">
        <f>IF(AND($A317&lt;=IF(Calc!$C$36=999,360,Calc!$C$36),Calc!$C$23=1),CHOOSE(Calc!$C$3,INDEX('Snowball Engine'!$AH319:$AV319,Calc!$I$23),INDEX('Avalanche Engine'!$AH319:$AV319,Calc!$J$23),INDEX('My Order Engine'!$AH319:$AV319,Calc!$K$23)),"")</f>
        <v/>
      </c>
      <c r="U317" s="25" t="str">
        <f>IF(AND($A317&lt;=IF(Calc!$C$36=999,360,Calc!$C$36),Calc!$C$24=1),CHOOSE(Calc!$C$3,INDEX('Snowball Engine'!$AH319:$AV319,Calc!$I$24),INDEX('Avalanche Engine'!$AH319:$AV319,Calc!$J$24),INDEX('My Order Engine'!$AH319:$AV319,Calc!$K$24)),"")</f>
        <v/>
      </c>
    </row>
    <row r="318" spans="1:21" x14ac:dyDescent="0.35">
      <c r="A318" s="23">
        <v>314</v>
      </c>
      <c r="B318" s="24" t="str">
        <f>IF($A318&lt;=IF(Calc!$C$36=999,360,Calc!$C$36),EDATE(Calc!$C$5,A318-1),"")</f>
        <v/>
      </c>
      <c r="C318" s="25" t="str">
        <f>IF($A318&lt;=IF(Calc!$C$36=999,360,Calc!$C$36),CHOOSE(Calc!$C$3,'Snowball Engine'!AY320,'Avalanche Engine'!AY320,'My Order Engine'!AY320),"")</f>
        <v/>
      </c>
      <c r="D318" s="25" t="str">
        <f>IF($A318&lt;=IF(Calc!$C$36=999,360,Calc!$C$36),CHOOSE(Calc!$C$3,'Snowball Engine'!AX320,'Avalanche Engine'!AX320,'My Order Engine'!AX320),"")</f>
        <v/>
      </c>
      <c r="E318" s="25" t="str">
        <f>IF($A318&lt;=IF(Calc!$C$36=999,360,Calc!$C$36),C318-D318,"")</f>
        <v/>
      </c>
      <c r="F318" s="25" t="str">
        <f>IF($A318&lt;=IF(Calc!$C$36=999,360,Calc!$C$36),CHOOSE(Calc!$C$3,'Snowball Engine'!AW320,'Avalanche Engine'!AW320,'My Order Engine'!AW320),"")</f>
        <v/>
      </c>
      <c r="G318" s="25" t="str">
        <f>IF(AND($A318&lt;=IF(Calc!$C$36=999,360,Calc!$C$36),Calc!$C$10=1),CHOOSE(Calc!$C$3,INDEX('Snowball Engine'!$AH320:$AV320,Calc!$I$10),INDEX('Avalanche Engine'!$AH320:$AV320,Calc!$J$10),INDEX('My Order Engine'!$AH320:$AV320,Calc!$K$10)),"")</f>
        <v/>
      </c>
      <c r="H318" s="25" t="str">
        <f>IF(AND($A318&lt;=IF(Calc!$C$36=999,360,Calc!$C$36),Calc!$C$11=1),CHOOSE(Calc!$C$3,INDEX('Snowball Engine'!$AH320:$AV320,Calc!$I$11),INDEX('Avalanche Engine'!$AH320:$AV320,Calc!$J$11),INDEX('My Order Engine'!$AH320:$AV320,Calc!$K$11)),"")</f>
        <v/>
      </c>
      <c r="I318" s="25" t="str">
        <f>IF(AND($A318&lt;=IF(Calc!$C$36=999,360,Calc!$C$36),Calc!$C$12=1),CHOOSE(Calc!$C$3,INDEX('Snowball Engine'!$AH320:$AV320,Calc!$I$12),INDEX('Avalanche Engine'!$AH320:$AV320,Calc!$J$12),INDEX('My Order Engine'!$AH320:$AV320,Calc!$K$12)),"")</f>
        <v/>
      </c>
      <c r="J318" s="25" t="str">
        <f>IF(AND($A318&lt;=IF(Calc!$C$36=999,360,Calc!$C$36),Calc!$C$13=1),CHOOSE(Calc!$C$3,INDEX('Snowball Engine'!$AH320:$AV320,Calc!$I$13),INDEX('Avalanche Engine'!$AH320:$AV320,Calc!$J$13),INDEX('My Order Engine'!$AH320:$AV320,Calc!$K$13)),"")</f>
        <v/>
      </c>
      <c r="K318" s="25" t="str">
        <f>IF(AND($A318&lt;=IF(Calc!$C$36=999,360,Calc!$C$36),Calc!$C$14=1),CHOOSE(Calc!$C$3,INDEX('Snowball Engine'!$AH320:$AV320,Calc!$I$14),INDEX('Avalanche Engine'!$AH320:$AV320,Calc!$J$14),INDEX('My Order Engine'!$AH320:$AV320,Calc!$K$14)),"")</f>
        <v/>
      </c>
      <c r="L318" s="25" t="str">
        <f>IF(AND($A318&lt;=IF(Calc!$C$36=999,360,Calc!$C$36),Calc!$C$15=1),CHOOSE(Calc!$C$3,INDEX('Snowball Engine'!$AH320:$AV320,Calc!$I$15),INDEX('Avalanche Engine'!$AH320:$AV320,Calc!$J$15),INDEX('My Order Engine'!$AH320:$AV320,Calc!$K$15)),"")</f>
        <v/>
      </c>
      <c r="M318" s="25" t="str">
        <f>IF(AND($A318&lt;=IF(Calc!$C$36=999,360,Calc!$C$36),Calc!$C$16=1),CHOOSE(Calc!$C$3,INDEX('Snowball Engine'!$AH320:$AV320,Calc!$I$16),INDEX('Avalanche Engine'!$AH320:$AV320,Calc!$J$16),INDEX('My Order Engine'!$AH320:$AV320,Calc!$K$16)),"")</f>
        <v/>
      </c>
      <c r="N318" s="25" t="str">
        <f>IF(AND($A318&lt;=IF(Calc!$C$36=999,360,Calc!$C$36),Calc!$C$17=1),CHOOSE(Calc!$C$3,INDEX('Snowball Engine'!$AH320:$AV320,Calc!$I$17),INDEX('Avalanche Engine'!$AH320:$AV320,Calc!$J$17),INDEX('My Order Engine'!$AH320:$AV320,Calc!$K$17)),"")</f>
        <v/>
      </c>
      <c r="O318" s="25" t="str">
        <f>IF(AND($A318&lt;=IF(Calc!$C$36=999,360,Calc!$C$36),Calc!$C$18=1),CHOOSE(Calc!$C$3,INDEX('Snowball Engine'!$AH320:$AV320,Calc!$I$18),INDEX('Avalanche Engine'!$AH320:$AV320,Calc!$J$18),INDEX('My Order Engine'!$AH320:$AV320,Calc!$K$18)),"")</f>
        <v/>
      </c>
      <c r="P318" s="25" t="str">
        <f>IF(AND($A318&lt;=IF(Calc!$C$36=999,360,Calc!$C$36),Calc!$C$19=1),CHOOSE(Calc!$C$3,INDEX('Snowball Engine'!$AH320:$AV320,Calc!$I$19),INDEX('Avalanche Engine'!$AH320:$AV320,Calc!$J$19),INDEX('My Order Engine'!$AH320:$AV320,Calc!$K$19)),"")</f>
        <v/>
      </c>
      <c r="Q318" s="25" t="str">
        <f>IF(AND($A318&lt;=IF(Calc!$C$36=999,360,Calc!$C$36),Calc!$C$20=1),CHOOSE(Calc!$C$3,INDEX('Snowball Engine'!$AH320:$AV320,Calc!$I$20),INDEX('Avalanche Engine'!$AH320:$AV320,Calc!$J$20),INDEX('My Order Engine'!$AH320:$AV320,Calc!$K$20)),"")</f>
        <v/>
      </c>
      <c r="R318" s="25" t="str">
        <f>IF(AND($A318&lt;=IF(Calc!$C$36=999,360,Calc!$C$36),Calc!$C$21=1),CHOOSE(Calc!$C$3,INDEX('Snowball Engine'!$AH320:$AV320,Calc!$I$21),INDEX('Avalanche Engine'!$AH320:$AV320,Calc!$J$21),INDEX('My Order Engine'!$AH320:$AV320,Calc!$K$21)),"")</f>
        <v/>
      </c>
      <c r="S318" s="25" t="str">
        <f>IF(AND($A318&lt;=IF(Calc!$C$36=999,360,Calc!$C$36),Calc!$C$22=1),CHOOSE(Calc!$C$3,INDEX('Snowball Engine'!$AH320:$AV320,Calc!$I$22),INDEX('Avalanche Engine'!$AH320:$AV320,Calc!$J$22),INDEX('My Order Engine'!$AH320:$AV320,Calc!$K$22)),"")</f>
        <v/>
      </c>
      <c r="T318" s="25" t="str">
        <f>IF(AND($A318&lt;=IF(Calc!$C$36=999,360,Calc!$C$36),Calc!$C$23=1),CHOOSE(Calc!$C$3,INDEX('Snowball Engine'!$AH320:$AV320,Calc!$I$23),INDEX('Avalanche Engine'!$AH320:$AV320,Calc!$J$23),INDEX('My Order Engine'!$AH320:$AV320,Calc!$K$23)),"")</f>
        <v/>
      </c>
      <c r="U318" s="25" t="str">
        <f>IF(AND($A318&lt;=IF(Calc!$C$36=999,360,Calc!$C$36),Calc!$C$24=1),CHOOSE(Calc!$C$3,INDEX('Snowball Engine'!$AH320:$AV320,Calc!$I$24),INDEX('Avalanche Engine'!$AH320:$AV320,Calc!$J$24),INDEX('My Order Engine'!$AH320:$AV320,Calc!$K$24)),"")</f>
        <v/>
      </c>
    </row>
    <row r="319" spans="1:21" x14ac:dyDescent="0.35">
      <c r="A319" s="23">
        <v>315</v>
      </c>
      <c r="B319" s="24" t="str">
        <f>IF($A319&lt;=IF(Calc!$C$36=999,360,Calc!$C$36),EDATE(Calc!$C$5,A319-1),"")</f>
        <v/>
      </c>
      <c r="C319" s="25" t="str">
        <f>IF($A319&lt;=IF(Calc!$C$36=999,360,Calc!$C$36),CHOOSE(Calc!$C$3,'Snowball Engine'!AY321,'Avalanche Engine'!AY321,'My Order Engine'!AY321),"")</f>
        <v/>
      </c>
      <c r="D319" s="25" t="str">
        <f>IF($A319&lt;=IF(Calc!$C$36=999,360,Calc!$C$36),CHOOSE(Calc!$C$3,'Snowball Engine'!AX321,'Avalanche Engine'!AX321,'My Order Engine'!AX321),"")</f>
        <v/>
      </c>
      <c r="E319" s="25" t="str">
        <f>IF($A319&lt;=IF(Calc!$C$36=999,360,Calc!$C$36),C319-D319,"")</f>
        <v/>
      </c>
      <c r="F319" s="25" t="str">
        <f>IF($A319&lt;=IF(Calc!$C$36=999,360,Calc!$C$36),CHOOSE(Calc!$C$3,'Snowball Engine'!AW321,'Avalanche Engine'!AW321,'My Order Engine'!AW321),"")</f>
        <v/>
      </c>
      <c r="G319" s="25" t="str">
        <f>IF(AND($A319&lt;=IF(Calc!$C$36=999,360,Calc!$C$36),Calc!$C$10=1),CHOOSE(Calc!$C$3,INDEX('Snowball Engine'!$AH321:$AV321,Calc!$I$10),INDEX('Avalanche Engine'!$AH321:$AV321,Calc!$J$10),INDEX('My Order Engine'!$AH321:$AV321,Calc!$K$10)),"")</f>
        <v/>
      </c>
      <c r="H319" s="25" t="str">
        <f>IF(AND($A319&lt;=IF(Calc!$C$36=999,360,Calc!$C$36),Calc!$C$11=1),CHOOSE(Calc!$C$3,INDEX('Snowball Engine'!$AH321:$AV321,Calc!$I$11),INDEX('Avalanche Engine'!$AH321:$AV321,Calc!$J$11),INDEX('My Order Engine'!$AH321:$AV321,Calc!$K$11)),"")</f>
        <v/>
      </c>
      <c r="I319" s="25" t="str">
        <f>IF(AND($A319&lt;=IF(Calc!$C$36=999,360,Calc!$C$36),Calc!$C$12=1),CHOOSE(Calc!$C$3,INDEX('Snowball Engine'!$AH321:$AV321,Calc!$I$12),INDEX('Avalanche Engine'!$AH321:$AV321,Calc!$J$12),INDEX('My Order Engine'!$AH321:$AV321,Calc!$K$12)),"")</f>
        <v/>
      </c>
      <c r="J319" s="25" t="str">
        <f>IF(AND($A319&lt;=IF(Calc!$C$36=999,360,Calc!$C$36),Calc!$C$13=1),CHOOSE(Calc!$C$3,INDEX('Snowball Engine'!$AH321:$AV321,Calc!$I$13),INDEX('Avalanche Engine'!$AH321:$AV321,Calc!$J$13),INDEX('My Order Engine'!$AH321:$AV321,Calc!$K$13)),"")</f>
        <v/>
      </c>
      <c r="K319" s="25" t="str">
        <f>IF(AND($A319&lt;=IF(Calc!$C$36=999,360,Calc!$C$36),Calc!$C$14=1),CHOOSE(Calc!$C$3,INDEX('Snowball Engine'!$AH321:$AV321,Calc!$I$14),INDEX('Avalanche Engine'!$AH321:$AV321,Calc!$J$14),INDEX('My Order Engine'!$AH321:$AV321,Calc!$K$14)),"")</f>
        <v/>
      </c>
      <c r="L319" s="25" t="str">
        <f>IF(AND($A319&lt;=IF(Calc!$C$36=999,360,Calc!$C$36),Calc!$C$15=1),CHOOSE(Calc!$C$3,INDEX('Snowball Engine'!$AH321:$AV321,Calc!$I$15),INDEX('Avalanche Engine'!$AH321:$AV321,Calc!$J$15),INDEX('My Order Engine'!$AH321:$AV321,Calc!$K$15)),"")</f>
        <v/>
      </c>
      <c r="M319" s="25" t="str">
        <f>IF(AND($A319&lt;=IF(Calc!$C$36=999,360,Calc!$C$36),Calc!$C$16=1),CHOOSE(Calc!$C$3,INDEX('Snowball Engine'!$AH321:$AV321,Calc!$I$16),INDEX('Avalanche Engine'!$AH321:$AV321,Calc!$J$16),INDEX('My Order Engine'!$AH321:$AV321,Calc!$K$16)),"")</f>
        <v/>
      </c>
      <c r="N319" s="25" t="str">
        <f>IF(AND($A319&lt;=IF(Calc!$C$36=999,360,Calc!$C$36),Calc!$C$17=1),CHOOSE(Calc!$C$3,INDEX('Snowball Engine'!$AH321:$AV321,Calc!$I$17),INDEX('Avalanche Engine'!$AH321:$AV321,Calc!$J$17),INDEX('My Order Engine'!$AH321:$AV321,Calc!$K$17)),"")</f>
        <v/>
      </c>
      <c r="O319" s="25" t="str">
        <f>IF(AND($A319&lt;=IF(Calc!$C$36=999,360,Calc!$C$36),Calc!$C$18=1),CHOOSE(Calc!$C$3,INDEX('Snowball Engine'!$AH321:$AV321,Calc!$I$18),INDEX('Avalanche Engine'!$AH321:$AV321,Calc!$J$18),INDEX('My Order Engine'!$AH321:$AV321,Calc!$K$18)),"")</f>
        <v/>
      </c>
      <c r="P319" s="25" t="str">
        <f>IF(AND($A319&lt;=IF(Calc!$C$36=999,360,Calc!$C$36),Calc!$C$19=1),CHOOSE(Calc!$C$3,INDEX('Snowball Engine'!$AH321:$AV321,Calc!$I$19),INDEX('Avalanche Engine'!$AH321:$AV321,Calc!$J$19),INDEX('My Order Engine'!$AH321:$AV321,Calc!$K$19)),"")</f>
        <v/>
      </c>
      <c r="Q319" s="25" t="str">
        <f>IF(AND($A319&lt;=IF(Calc!$C$36=999,360,Calc!$C$36),Calc!$C$20=1),CHOOSE(Calc!$C$3,INDEX('Snowball Engine'!$AH321:$AV321,Calc!$I$20),INDEX('Avalanche Engine'!$AH321:$AV321,Calc!$J$20),INDEX('My Order Engine'!$AH321:$AV321,Calc!$K$20)),"")</f>
        <v/>
      </c>
      <c r="R319" s="25" t="str">
        <f>IF(AND($A319&lt;=IF(Calc!$C$36=999,360,Calc!$C$36),Calc!$C$21=1),CHOOSE(Calc!$C$3,INDEX('Snowball Engine'!$AH321:$AV321,Calc!$I$21),INDEX('Avalanche Engine'!$AH321:$AV321,Calc!$J$21),INDEX('My Order Engine'!$AH321:$AV321,Calc!$K$21)),"")</f>
        <v/>
      </c>
      <c r="S319" s="25" t="str">
        <f>IF(AND($A319&lt;=IF(Calc!$C$36=999,360,Calc!$C$36),Calc!$C$22=1),CHOOSE(Calc!$C$3,INDEX('Snowball Engine'!$AH321:$AV321,Calc!$I$22),INDEX('Avalanche Engine'!$AH321:$AV321,Calc!$J$22),INDEX('My Order Engine'!$AH321:$AV321,Calc!$K$22)),"")</f>
        <v/>
      </c>
      <c r="T319" s="25" t="str">
        <f>IF(AND($A319&lt;=IF(Calc!$C$36=999,360,Calc!$C$36),Calc!$C$23=1),CHOOSE(Calc!$C$3,INDEX('Snowball Engine'!$AH321:$AV321,Calc!$I$23),INDEX('Avalanche Engine'!$AH321:$AV321,Calc!$J$23),INDEX('My Order Engine'!$AH321:$AV321,Calc!$K$23)),"")</f>
        <v/>
      </c>
      <c r="U319" s="25" t="str">
        <f>IF(AND($A319&lt;=IF(Calc!$C$36=999,360,Calc!$C$36),Calc!$C$24=1),CHOOSE(Calc!$C$3,INDEX('Snowball Engine'!$AH321:$AV321,Calc!$I$24),INDEX('Avalanche Engine'!$AH321:$AV321,Calc!$J$24),INDEX('My Order Engine'!$AH321:$AV321,Calc!$K$24)),"")</f>
        <v/>
      </c>
    </row>
    <row r="320" spans="1:21" x14ac:dyDescent="0.35">
      <c r="A320" s="23">
        <v>316</v>
      </c>
      <c r="B320" s="24" t="str">
        <f>IF($A320&lt;=IF(Calc!$C$36=999,360,Calc!$C$36),EDATE(Calc!$C$5,A320-1),"")</f>
        <v/>
      </c>
      <c r="C320" s="25" t="str">
        <f>IF($A320&lt;=IF(Calc!$C$36=999,360,Calc!$C$36),CHOOSE(Calc!$C$3,'Snowball Engine'!AY322,'Avalanche Engine'!AY322,'My Order Engine'!AY322),"")</f>
        <v/>
      </c>
      <c r="D320" s="25" t="str">
        <f>IF($A320&lt;=IF(Calc!$C$36=999,360,Calc!$C$36),CHOOSE(Calc!$C$3,'Snowball Engine'!AX322,'Avalanche Engine'!AX322,'My Order Engine'!AX322),"")</f>
        <v/>
      </c>
      <c r="E320" s="25" t="str">
        <f>IF($A320&lt;=IF(Calc!$C$36=999,360,Calc!$C$36),C320-D320,"")</f>
        <v/>
      </c>
      <c r="F320" s="25" t="str">
        <f>IF($A320&lt;=IF(Calc!$C$36=999,360,Calc!$C$36),CHOOSE(Calc!$C$3,'Snowball Engine'!AW322,'Avalanche Engine'!AW322,'My Order Engine'!AW322),"")</f>
        <v/>
      </c>
      <c r="G320" s="25" t="str">
        <f>IF(AND($A320&lt;=IF(Calc!$C$36=999,360,Calc!$C$36),Calc!$C$10=1),CHOOSE(Calc!$C$3,INDEX('Snowball Engine'!$AH322:$AV322,Calc!$I$10),INDEX('Avalanche Engine'!$AH322:$AV322,Calc!$J$10),INDEX('My Order Engine'!$AH322:$AV322,Calc!$K$10)),"")</f>
        <v/>
      </c>
      <c r="H320" s="25" t="str">
        <f>IF(AND($A320&lt;=IF(Calc!$C$36=999,360,Calc!$C$36),Calc!$C$11=1),CHOOSE(Calc!$C$3,INDEX('Snowball Engine'!$AH322:$AV322,Calc!$I$11),INDEX('Avalanche Engine'!$AH322:$AV322,Calc!$J$11),INDEX('My Order Engine'!$AH322:$AV322,Calc!$K$11)),"")</f>
        <v/>
      </c>
      <c r="I320" s="25" t="str">
        <f>IF(AND($A320&lt;=IF(Calc!$C$36=999,360,Calc!$C$36),Calc!$C$12=1),CHOOSE(Calc!$C$3,INDEX('Snowball Engine'!$AH322:$AV322,Calc!$I$12),INDEX('Avalanche Engine'!$AH322:$AV322,Calc!$J$12),INDEX('My Order Engine'!$AH322:$AV322,Calc!$K$12)),"")</f>
        <v/>
      </c>
      <c r="J320" s="25" t="str">
        <f>IF(AND($A320&lt;=IF(Calc!$C$36=999,360,Calc!$C$36),Calc!$C$13=1),CHOOSE(Calc!$C$3,INDEX('Snowball Engine'!$AH322:$AV322,Calc!$I$13),INDEX('Avalanche Engine'!$AH322:$AV322,Calc!$J$13),INDEX('My Order Engine'!$AH322:$AV322,Calc!$K$13)),"")</f>
        <v/>
      </c>
      <c r="K320" s="25" t="str">
        <f>IF(AND($A320&lt;=IF(Calc!$C$36=999,360,Calc!$C$36),Calc!$C$14=1),CHOOSE(Calc!$C$3,INDEX('Snowball Engine'!$AH322:$AV322,Calc!$I$14),INDEX('Avalanche Engine'!$AH322:$AV322,Calc!$J$14),INDEX('My Order Engine'!$AH322:$AV322,Calc!$K$14)),"")</f>
        <v/>
      </c>
      <c r="L320" s="25" t="str">
        <f>IF(AND($A320&lt;=IF(Calc!$C$36=999,360,Calc!$C$36),Calc!$C$15=1),CHOOSE(Calc!$C$3,INDEX('Snowball Engine'!$AH322:$AV322,Calc!$I$15),INDEX('Avalanche Engine'!$AH322:$AV322,Calc!$J$15),INDEX('My Order Engine'!$AH322:$AV322,Calc!$K$15)),"")</f>
        <v/>
      </c>
      <c r="M320" s="25" t="str">
        <f>IF(AND($A320&lt;=IF(Calc!$C$36=999,360,Calc!$C$36),Calc!$C$16=1),CHOOSE(Calc!$C$3,INDEX('Snowball Engine'!$AH322:$AV322,Calc!$I$16),INDEX('Avalanche Engine'!$AH322:$AV322,Calc!$J$16),INDEX('My Order Engine'!$AH322:$AV322,Calc!$K$16)),"")</f>
        <v/>
      </c>
      <c r="N320" s="25" t="str">
        <f>IF(AND($A320&lt;=IF(Calc!$C$36=999,360,Calc!$C$36),Calc!$C$17=1),CHOOSE(Calc!$C$3,INDEX('Snowball Engine'!$AH322:$AV322,Calc!$I$17),INDEX('Avalanche Engine'!$AH322:$AV322,Calc!$J$17),INDEX('My Order Engine'!$AH322:$AV322,Calc!$K$17)),"")</f>
        <v/>
      </c>
      <c r="O320" s="25" t="str">
        <f>IF(AND($A320&lt;=IF(Calc!$C$36=999,360,Calc!$C$36),Calc!$C$18=1),CHOOSE(Calc!$C$3,INDEX('Snowball Engine'!$AH322:$AV322,Calc!$I$18),INDEX('Avalanche Engine'!$AH322:$AV322,Calc!$J$18),INDEX('My Order Engine'!$AH322:$AV322,Calc!$K$18)),"")</f>
        <v/>
      </c>
      <c r="P320" s="25" t="str">
        <f>IF(AND($A320&lt;=IF(Calc!$C$36=999,360,Calc!$C$36),Calc!$C$19=1),CHOOSE(Calc!$C$3,INDEX('Snowball Engine'!$AH322:$AV322,Calc!$I$19),INDEX('Avalanche Engine'!$AH322:$AV322,Calc!$J$19),INDEX('My Order Engine'!$AH322:$AV322,Calc!$K$19)),"")</f>
        <v/>
      </c>
      <c r="Q320" s="25" t="str">
        <f>IF(AND($A320&lt;=IF(Calc!$C$36=999,360,Calc!$C$36),Calc!$C$20=1),CHOOSE(Calc!$C$3,INDEX('Snowball Engine'!$AH322:$AV322,Calc!$I$20),INDEX('Avalanche Engine'!$AH322:$AV322,Calc!$J$20),INDEX('My Order Engine'!$AH322:$AV322,Calc!$K$20)),"")</f>
        <v/>
      </c>
      <c r="R320" s="25" t="str">
        <f>IF(AND($A320&lt;=IF(Calc!$C$36=999,360,Calc!$C$36),Calc!$C$21=1),CHOOSE(Calc!$C$3,INDEX('Snowball Engine'!$AH322:$AV322,Calc!$I$21),INDEX('Avalanche Engine'!$AH322:$AV322,Calc!$J$21),INDEX('My Order Engine'!$AH322:$AV322,Calc!$K$21)),"")</f>
        <v/>
      </c>
      <c r="S320" s="25" t="str">
        <f>IF(AND($A320&lt;=IF(Calc!$C$36=999,360,Calc!$C$36),Calc!$C$22=1),CHOOSE(Calc!$C$3,INDEX('Snowball Engine'!$AH322:$AV322,Calc!$I$22),INDEX('Avalanche Engine'!$AH322:$AV322,Calc!$J$22),INDEX('My Order Engine'!$AH322:$AV322,Calc!$K$22)),"")</f>
        <v/>
      </c>
      <c r="T320" s="25" t="str">
        <f>IF(AND($A320&lt;=IF(Calc!$C$36=999,360,Calc!$C$36),Calc!$C$23=1),CHOOSE(Calc!$C$3,INDEX('Snowball Engine'!$AH322:$AV322,Calc!$I$23),INDEX('Avalanche Engine'!$AH322:$AV322,Calc!$J$23),INDEX('My Order Engine'!$AH322:$AV322,Calc!$K$23)),"")</f>
        <v/>
      </c>
      <c r="U320" s="25" t="str">
        <f>IF(AND($A320&lt;=IF(Calc!$C$36=999,360,Calc!$C$36),Calc!$C$24=1),CHOOSE(Calc!$C$3,INDEX('Snowball Engine'!$AH322:$AV322,Calc!$I$24),INDEX('Avalanche Engine'!$AH322:$AV322,Calc!$J$24),INDEX('My Order Engine'!$AH322:$AV322,Calc!$K$24)),"")</f>
        <v/>
      </c>
    </row>
    <row r="321" spans="1:21" x14ac:dyDescent="0.35">
      <c r="A321" s="23">
        <v>317</v>
      </c>
      <c r="B321" s="24" t="str">
        <f>IF($A321&lt;=IF(Calc!$C$36=999,360,Calc!$C$36),EDATE(Calc!$C$5,A321-1),"")</f>
        <v/>
      </c>
      <c r="C321" s="25" t="str">
        <f>IF($A321&lt;=IF(Calc!$C$36=999,360,Calc!$C$36),CHOOSE(Calc!$C$3,'Snowball Engine'!AY323,'Avalanche Engine'!AY323,'My Order Engine'!AY323),"")</f>
        <v/>
      </c>
      <c r="D321" s="25" t="str">
        <f>IF($A321&lt;=IF(Calc!$C$36=999,360,Calc!$C$36),CHOOSE(Calc!$C$3,'Snowball Engine'!AX323,'Avalanche Engine'!AX323,'My Order Engine'!AX323),"")</f>
        <v/>
      </c>
      <c r="E321" s="25" t="str">
        <f>IF($A321&lt;=IF(Calc!$C$36=999,360,Calc!$C$36),C321-D321,"")</f>
        <v/>
      </c>
      <c r="F321" s="25" t="str">
        <f>IF($A321&lt;=IF(Calc!$C$36=999,360,Calc!$C$36),CHOOSE(Calc!$C$3,'Snowball Engine'!AW323,'Avalanche Engine'!AW323,'My Order Engine'!AW323),"")</f>
        <v/>
      </c>
      <c r="G321" s="25" t="str">
        <f>IF(AND($A321&lt;=IF(Calc!$C$36=999,360,Calc!$C$36),Calc!$C$10=1),CHOOSE(Calc!$C$3,INDEX('Snowball Engine'!$AH323:$AV323,Calc!$I$10),INDEX('Avalanche Engine'!$AH323:$AV323,Calc!$J$10),INDEX('My Order Engine'!$AH323:$AV323,Calc!$K$10)),"")</f>
        <v/>
      </c>
      <c r="H321" s="25" t="str">
        <f>IF(AND($A321&lt;=IF(Calc!$C$36=999,360,Calc!$C$36),Calc!$C$11=1),CHOOSE(Calc!$C$3,INDEX('Snowball Engine'!$AH323:$AV323,Calc!$I$11),INDEX('Avalanche Engine'!$AH323:$AV323,Calc!$J$11),INDEX('My Order Engine'!$AH323:$AV323,Calc!$K$11)),"")</f>
        <v/>
      </c>
      <c r="I321" s="25" t="str">
        <f>IF(AND($A321&lt;=IF(Calc!$C$36=999,360,Calc!$C$36),Calc!$C$12=1),CHOOSE(Calc!$C$3,INDEX('Snowball Engine'!$AH323:$AV323,Calc!$I$12),INDEX('Avalanche Engine'!$AH323:$AV323,Calc!$J$12),INDEX('My Order Engine'!$AH323:$AV323,Calc!$K$12)),"")</f>
        <v/>
      </c>
      <c r="J321" s="25" t="str">
        <f>IF(AND($A321&lt;=IF(Calc!$C$36=999,360,Calc!$C$36),Calc!$C$13=1),CHOOSE(Calc!$C$3,INDEX('Snowball Engine'!$AH323:$AV323,Calc!$I$13),INDEX('Avalanche Engine'!$AH323:$AV323,Calc!$J$13),INDEX('My Order Engine'!$AH323:$AV323,Calc!$K$13)),"")</f>
        <v/>
      </c>
      <c r="K321" s="25" t="str">
        <f>IF(AND($A321&lt;=IF(Calc!$C$36=999,360,Calc!$C$36),Calc!$C$14=1),CHOOSE(Calc!$C$3,INDEX('Snowball Engine'!$AH323:$AV323,Calc!$I$14),INDEX('Avalanche Engine'!$AH323:$AV323,Calc!$J$14),INDEX('My Order Engine'!$AH323:$AV323,Calc!$K$14)),"")</f>
        <v/>
      </c>
      <c r="L321" s="25" t="str">
        <f>IF(AND($A321&lt;=IF(Calc!$C$36=999,360,Calc!$C$36),Calc!$C$15=1),CHOOSE(Calc!$C$3,INDEX('Snowball Engine'!$AH323:$AV323,Calc!$I$15),INDEX('Avalanche Engine'!$AH323:$AV323,Calc!$J$15),INDEX('My Order Engine'!$AH323:$AV323,Calc!$K$15)),"")</f>
        <v/>
      </c>
      <c r="M321" s="25" t="str">
        <f>IF(AND($A321&lt;=IF(Calc!$C$36=999,360,Calc!$C$36),Calc!$C$16=1),CHOOSE(Calc!$C$3,INDEX('Snowball Engine'!$AH323:$AV323,Calc!$I$16),INDEX('Avalanche Engine'!$AH323:$AV323,Calc!$J$16),INDEX('My Order Engine'!$AH323:$AV323,Calc!$K$16)),"")</f>
        <v/>
      </c>
      <c r="N321" s="25" t="str">
        <f>IF(AND($A321&lt;=IF(Calc!$C$36=999,360,Calc!$C$36),Calc!$C$17=1),CHOOSE(Calc!$C$3,INDEX('Snowball Engine'!$AH323:$AV323,Calc!$I$17),INDEX('Avalanche Engine'!$AH323:$AV323,Calc!$J$17),INDEX('My Order Engine'!$AH323:$AV323,Calc!$K$17)),"")</f>
        <v/>
      </c>
      <c r="O321" s="25" t="str">
        <f>IF(AND($A321&lt;=IF(Calc!$C$36=999,360,Calc!$C$36),Calc!$C$18=1),CHOOSE(Calc!$C$3,INDEX('Snowball Engine'!$AH323:$AV323,Calc!$I$18),INDEX('Avalanche Engine'!$AH323:$AV323,Calc!$J$18),INDEX('My Order Engine'!$AH323:$AV323,Calc!$K$18)),"")</f>
        <v/>
      </c>
      <c r="P321" s="25" t="str">
        <f>IF(AND($A321&lt;=IF(Calc!$C$36=999,360,Calc!$C$36),Calc!$C$19=1),CHOOSE(Calc!$C$3,INDEX('Snowball Engine'!$AH323:$AV323,Calc!$I$19),INDEX('Avalanche Engine'!$AH323:$AV323,Calc!$J$19),INDEX('My Order Engine'!$AH323:$AV323,Calc!$K$19)),"")</f>
        <v/>
      </c>
      <c r="Q321" s="25" t="str">
        <f>IF(AND($A321&lt;=IF(Calc!$C$36=999,360,Calc!$C$36),Calc!$C$20=1),CHOOSE(Calc!$C$3,INDEX('Snowball Engine'!$AH323:$AV323,Calc!$I$20),INDEX('Avalanche Engine'!$AH323:$AV323,Calc!$J$20),INDEX('My Order Engine'!$AH323:$AV323,Calc!$K$20)),"")</f>
        <v/>
      </c>
      <c r="R321" s="25" t="str">
        <f>IF(AND($A321&lt;=IF(Calc!$C$36=999,360,Calc!$C$36),Calc!$C$21=1),CHOOSE(Calc!$C$3,INDEX('Snowball Engine'!$AH323:$AV323,Calc!$I$21),INDEX('Avalanche Engine'!$AH323:$AV323,Calc!$J$21),INDEX('My Order Engine'!$AH323:$AV323,Calc!$K$21)),"")</f>
        <v/>
      </c>
      <c r="S321" s="25" t="str">
        <f>IF(AND($A321&lt;=IF(Calc!$C$36=999,360,Calc!$C$36),Calc!$C$22=1),CHOOSE(Calc!$C$3,INDEX('Snowball Engine'!$AH323:$AV323,Calc!$I$22),INDEX('Avalanche Engine'!$AH323:$AV323,Calc!$J$22),INDEX('My Order Engine'!$AH323:$AV323,Calc!$K$22)),"")</f>
        <v/>
      </c>
      <c r="T321" s="25" t="str">
        <f>IF(AND($A321&lt;=IF(Calc!$C$36=999,360,Calc!$C$36),Calc!$C$23=1),CHOOSE(Calc!$C$3,INDEX('Snowball Engine'!$AH323:$AV323,Calc!$I$23),INDEX('Avalanche Engine'!$AH323:$AV323,Calc!$J$23),INDEX('My Order Engine'!$AH323:$AV323,Calc!$K$23)),"")</f>
        <v/>
      </c>
      <c r="U321" s="25" t="str">
        <f>IF(AND($A321&lt;=IF(Calc!$C$36=999,360,Calc!$C$36),Calc!$C$24=1),CHOOSE(Calc!$C$3,INDEX('Snowball Engine'!$AH323:$AV323,Calc!$I$24),INDEX('Avalanche Engine'!$AH323:$AV323,Calc!$J$24),INDEX('My Order Engine'!$AH323:$AV323,Calc!$K$24)),"")</f>
        <v/>
      </c>
    </row>
    <row r="322" spans="1:21" x14ac:dyDescent="0.35">
      <c r="A322" s="23">
        <v>318</v>
      </c>
      <c r="B322" s="24" t="str">
        <f>IF($A322&lt;=IF(Calc!$C$36=999,360,Calc!$C$36),EDATE(Calc!$C$5,A322-1),"")</f>
        <v/>
      </c>
      <c r="C322" s="25" t="str">
        <f>IF($A322&lt;=IF(Calc!$C$36=999,360,Calc!$C$36),CHOOSE(Calc!$C$3,'Snowball Engine'!AY324,'Avalanche Engine'!AY324,'My Order Engine'!AY324),"")</f>
        <v/>
      </c>
      <c r="D322" s="25" t="str">
        <f>IF($A322&lt;=IF(Calc!$C$36=999,360,Calc!$C$36),CHOOSE(Calc!$C$3,'Snowball Engine'!AX324,'Avalanche Engine'!AX324,'My Order Engine'!AX324),"")</f>
        <v/>
      </c>
      <c r="E322" s="25" t="str">
        <f>IF($A322&lt;=IF(Calc!$C$36=999,360,Calc!$C$36),C322-D322,"")</f>
        <v/>
      </c>
      <c r="F322" s="25" t="str">
        <f>IF($A322&lt;=IF(Calc!$C$36=999,360,Calc!$C$36),CHOOSE(Calc!$C$3,'Snowball Engine'!AW324,'Avalanche Engine'!AW324,'My Order Engine'!AW324),"")</f>
        <v/>
      </c>
      <c r="G322" s="25" t="str">
        <f>IF(AND($A322&lt;=IF(Calc!$C$36=999,360,Calc!$C$36),Calc!$C$10=1),CHOOSE(Calc!$C$3,INDEX('Snowball Engine'!$AH324:$AV324,Calc!$I$10),INDEX('Avalanche Engine'!$AH324:$AV324,Calc!$J$10),INDEX('My Order Engine'!$AH324:$AV324,Calc!$K$10)),"")</f>
        <v/>
      </c>
      <c r="H322" s="25" t="str">
        <f>IF(AND($A322&lt;=IF(Calc!$C$36=999,360,Calc!$C$36),Calc!$C$11=1),CHOOSE(Calc!$C$3,INDEX('Snowball Engine'!$AH324:$AV324,Calc!$I$11),INDEX('Avalanche Engine'!$AH324:$AV324,Calc!$J$11),INDEX('My Order Engine'!$AH324:$AV324,Calc!$K$11)),"")</f>
        <v/>
      </c>
      <c r="I322" s="25" t="str">
        <f>IF(AND($A322&lt;=IF(Calc!$C$36=999,360,Calc!$C$36),Calc!$C$12=1),CHOOSE(Calc!$C$3,INDEX('Snowball Engine'!$AH324:$AV324,Calc!$I$12),INDEX('Avalanche Engine'!$AH324:$AV324,Calc!$J$12),INDEX('My Order Engine'!$AH324:$AV324,Calc!$K$12)),"")</f>
        <v/>
      </c>
      <c r="J322" s="25" t="str">
        <f>IF(AND($A322&lt;=IF(Calc!$C$36=999,360,Calc!$C$36),Calc!$C$13=1),CHOOSE(Calc!$C$3,INDEX('Snowball Engine'!$AH324:$AV324,Calc!$I$13),INDEX('Avalanche Engine'!$AH324:$AV324,Calc!$J$13),INDEX('My Order Engine'!$AH324:$AV324,Calc!$K$13)),"")</f>
        <v/>
      </c>
      <c r="K322" s="25" t="str">
        <f>IF(AND($A322&lt;=IF(Calc!$C$36=999,360,Calc!$C$36),Calc!$C$14=1),CHOOSE(Calc!$C$3,INDEX('Snowball Engine'!$AH324:$AV324,Calc!$I$14),INDEX('Avalanche Engine'!$AH324:$AV324,Calc!$J$14),INDEX('My Order Engine'!$AH324:$AV324,Calc!$K$14)),"")</f>
        <v/>
      </c>
      <c r="L322" s="25" t="str">
        <f>IF(AND($A322&lt;=IF(Calc!$C$36=999,360,Calc!$C$36),Calc!$C$15=1),CHOOSE(Calc!$C$3,INDEX('Snowball Engine'!$AH324:$AV324,Calc!$I$15),INDEX('Avalanche Engine'!$AH324:$AV324,Calc!$J$15),INDEX('My Order Engine'!$AH324:$AV324,Calc!$K$15)),"")</f>
        <v/>
      </c>
      <c r="M322" s="25" t="str">
        <f>IF(AND($A322&lt;=IF(Calc!$C$36=999,360,Calc!$C$36),Calc!$C$16=1),CHOOSE(Calc!$C$3,INDEX('Snowball Engine'!$AH324:$AV324,Calc!$I$16),INDEX('Avalanche Engine'!$AH324:$AV324,Calc!$J$16),INDEX('My Order Engine'!$AH324:$AV324,Calc!$K$16)),"")</f>
        <v/>
      </c>
      <c r="N322" s="25" t="str">
        <f>IF(AND($A322&lt;=IF(Calc!$C$36=999,360,Calc!$C$36),Calc!$C$17=1),CHOOSE(Calc!$C$3,INDEX('Snowball Engine'!$AH324:$AV324,Calc!$I$17),INDEX('Avalanche Engine'!$AH324:$AV324,Calc!$J$17),INDEX('My Order Engine'!$AH324:$AV324,Calc!$K$17)),"")</f>
        <v/>
      </c>
      <c r="O322" s="25" t="str">
        <f>IF(AND($A322&lt;=IF(Calc!$C$36=999,360,Calc!$C$36),Calc!$C$18=1),CHOOSE(Calc!$C$3,INDEX('Snowball Engine'!$AH324:$AV324,Calc!$I$18),INDEX('Avalanche Engine'!$AH324:$AV324,Calc!$J$18),INDEX('My Order Engine'!$AH324:$AV324,Calc!$K$18)),"")</f>
        <v/>
      </c>
      <c r="P322" s="25" t="str">
        <f>IF(AND($A322&lt;=IF(Calc!$C$36=999,360,Calc!$C$36),Calc!$C$19=1),CHOOSE(Calc!$C$3,INDEX('Snowball Engine'!$AH324:$AV324,Calc!$I$19),INDEX('Avalanche Engine'!$AH324:$AV324,Calc!$J$19),INDEX('My Order Engine'!$AH324:$AV324,Calc!$K$19)),"")</f>
        <v/>
      </c>
      <c r="Q322" s="25" t="str">
        <f>IF(AND($A322&lt;=IF(Calc!$C$36=999,360,Calc!$C$36),Calc!$C$20=1),CHOOSE(Calc!$C$3,INDEX('Snowball Engine'!$AH324:$AV324,Calc!$I$20),INDEX('Avalanche Engine'!$AH324:$AV324,Calc!$J$20),INDEX('My Order Engine'!$AH324:$AV324,Calc!$K$20)),"")</f>
        <v/>
      </c>
      <c r="R322" s="25" t="str">
        <f>IF(AND($A322&lt;=IF(Calc!$C$36=999,360,Calc!$C$36),Calc!$C$21=1),CHOOSE(Calc!$C$3,INDEX('Snowball Engine'!$AH324:$AV324,Calc!$I$21),INDEX('Avalanche Engine'!$AH324:$AV324,Calc!$J$21),INDEX('My Order Engine'!$AH324:$AV324,Calc!$K$21)),"")</f>
        <v/>
      </c>
      <c r="S322" s="25" t="str">
        <f>IF(AND($A322&lt;=IF(Calc!$C$36=999,360,Calc!$C$36),Calc!$C$22=1),CHOOSE(Calc!$C$3,INDEX('Snowball Engine'!$AH324:$AV324,Calc!$I$22),INDEX('Avalanche Engine'!$AH324:$AV324,Calc!$J$22),INDEX('My Order Engine'!$AH324:$AV324,Calc!$K$22)),"")</f>
        <v/>
      </c>
      <c r="T322" s="25" t="str">
        <f>IF(AND($A322&lt;=IF(Calc!$C$36=999,360,Calc!$C$36),Calc!$C$23=1),CHOOSE(Calc!$C$3,INDEX('Snowball Engine'!$AH324:$AV324,Calc!$I$23),INDEX('Avalanche Engine'!$AH324:$AV324,Calc!$J$23),INDEX('My Order Engine'!$AH324:$AV324,Calc!$K$23)),"")</f>
        <v/>
      </c>
      <c r="U322" s="25" t="str">
        <f>IF(AND($A322&lt;=IF(Calc!$C$36=999,360,Calc!$C$36),Calc!$C$24=1),CHOOSE(Calc!$C$3,INDEX('Snowball Engine'!$AH324:$AV324,Calc!$I$24),INDEX('Avalanche Engine'!$AH324:$AV324,Calc!$J$24),INDEX('My Order Engine'!$AH324:$AV324,Calc!$K$24)),"")</f>
        <v/>
      </c>
    </row>
    <row r="323" spans="1:21" x14ac:dyDescent="0.35">
      <c r="A323" s="23">
        <v>319</v>
      </c>
      <c r="B323" s="24" t="str">
        <f>IF($A323&lt;=IF(Calc!$C$36=999,360,Calc!$C$36),EDATE(Calc!$C$5,A323-1),"")</f>
        <v/>
      </c>
      <c r="C323" s="25" t="str">
        <f>IF($A323&lt;=IF(Calc!$C$36=999,360,Calc!$C$36),CHOOSE(Calc!$C$3,'Snowball Engine'!AY325,'Avalanche Engine'!AY325,'My Order Engine'!AY325),"")</f>
        <v/>
      </c>
      <c r="D323" s="25" t="str">
        <f>IF($A323&lt;=IF(Calc!$C$36=999,360,Calc!$C$36),CHOOSE(Calc!$C$3,'Snowball Engine'!AX325,'Avalanche Engine'!AX325,'My Order Engine'!AX325),"")</f>
        <v/>
      </c>
      <c r="E323" s="25" t="str">
        <f>IF($A323&lt;=IF(Calc!$C$36=999,360,Calc!$C$36),C323-D323,"")</f>
        <v/>
      </c>
      <c r="F323" s="25" t="str">
        <f>IF($A323&lt;=IF(Calc!$C$36=999,360,Calc!$C$36),CHOOSE(Calc!$C$3,'Snowball Engine'!AW325,'Avalanche Engine'!AW325,'My Order Engine'!AW325),"")</f>
        <v/>
      </c>
      <c r="G323" s="25" t="str">
        <f>IF(AND($A323&lt;=IF(Calc!$C$36=999,360,Calc!$C$36),Calc!$C$10=1),CHOOSE(Calc!$C$3,INDEX('Snowball Engine'!$AH325:$AV325,Calc!$I$10),INDEX('Avalanche Engine'!$AH325:$AV325,Calc!$J$10),INDEX('My Order Engine'!$AH325:$AV325,Calc!$K$10)),"")</f>
        <v/>
      </c>
      <c r="H323" s="25" t="str">
        <f>IF(AND($A323&lt;=IF(Calc!$C$36=999,360,Calc!$C$36),Calc!$C$11=1),CHOOSE(Calc!$C$3,INDEX('Snowball Engine'!$AH325:$AV325,Calc!$I$11),INDEX('Avalanche Engine'!$AH325:$AV325,Calc!$J$11),INDEX('My Order Engine'!$AH325:$AV325,Calc!$K$11)),"")</f>
        <v/>
      </c>
      <c r="I323" s="25" t="str">
        <f>IF(AND($A323&lt;=IF(Calc!$C$36=999,360,Calc!$C$36),Calc!$C$12=1),CHOOSE(Calc!$C$3,INDEX('Snowball Engine'!$AH325:$AV325,Calc!$I$12),INDEX('Avalanche Engine'!$AH325:$AV325,Calc!$J$12),INDEX('My Order Engine'!$AH325:$AV325,Calc!$K$12)),"")</f>
        <v/>
      </c>
      <c r="J323" s="25" t="str">
        <f>IF(AND($A323&lt;=IF(Calc!$C$36=999,360,Calc!$C$36),Calc!$C$13=1),CHOOSE(Calc!$C$3,INDEX('Snowball Engine'!$AH325:$AV325,Calc!$I$13),INDEX('Avalanche Engine'!$AH325:$AV325,Calc!$J$13),INDEX('My Order Engine'!$AH325:$AV325,Calc!$K$13)),"")</f>
        <v/>
      </c>
      <c r="K323" s="25" t="str">
        <f>IF(AND($A323&lt;=IF(Calc!$C$36=999,360,Calc!$C$36),Calc!$C$14=1),CHOOSE(Calc!$C$3,INDEX('Snowball Engine'!$AH325:$AV325,Calc!$I$14),INDEX('Avalanche Engine'!$AH325:$AV325,Calc!$J$14),INDEX('My Order Engine'!$AH325:$AV325,Calc!$K$14)),"")</f>
        <v/>
      </c>
      <c r="L323" s="25" t="str">
        <f>IF(AND($A323&lt;=IF(Calc!$C$36=999,360,Calc!$C$36),Calc!$C$15=1),CHOOSE(Calc!$C$3,INDEX('Snowball Engine'!$AH325:$AV325,Calc!$I$15),INDEX('Avalanche Engine'!$AH325:$AV325,Calc!$J$15),INDEX('My Order Engine'!$AH325:$AV325,Calc!$K$15)),"")</f>
        <v/>
      </c>
      <c r="M323" s="25" t="str">
        <f>IF(AND($A323&lt;=IF(Calc!$C$36=999,360,Calc!$C$36),Calc!$C$16=1),CHOOSE(Calc!$C$3,INDEX('Snowball Engine'!$AH325:$AV325,Calc!$I$16),INDEX('Avalanche Engine'!$AH325:$AV325,Calc!$J$16),INDEX('My Order Engine'!$AH325:$AV325,Calc!$K$16)),"")</f>
        <v/>
      </c>
      <c r="N323" s="25" t="str">
        <f>IF(AND($A323&lt;=IF(Calc!$C$36=999,360,Calc!$C$36),Calc!$C$17=1),CHOOSE(Calc!$C$3,INDEX('Snowball Engine'!$AH325:$AV325,Calc!$I$17),INDEX('Avalanche Engine'!$AH325:$AV325,Calc!$J$17),INDEX('My Order Engine'!$AH325:$AV325,Calc!$K$17)),"")</f>
        <v/>
      </c>
      <c r="O323" s="25" t="str">
        <f>IF(AND($A323&lt;=IF(Calc!$C$36=999,360,Calc!$C$36),Calc!$C$18=1),CHOOSE(Calc!$C$3,INDEX('Snowball Engine'!$AH325:$AV325,Calc!$I$18),INDEX('Avalanche Engine'!$AH325:$AV325,Calc!$J$18),INDEX('My Order Engine'!$AH325:$AV325,Calc!$K$18)),"")</f>
        <v/>
      </c>
      <c r="P323" s="25" t="str">
        <f>IF(AND($A323&lt;=IF(Calc!$C$36=999,360,Calc!$C$36),Calc!$C$19=1),CHOOSE(Calc!$C$3,INDEX('Snowball Engine'!$AH325:$AV325,Calc!$I$19),INDEX('Avalanche Engine'!$AH325:$AV325,Calc!$J$19),INDEX('My Order Engine'!$AH325:$AV325,Calc!$K$19)),"")</f>
        <v/>
      </c>
      <c r="Q323" s="25" t="str">
        <f>IF(AND($A323&lt;=IF(Calc!$C$36=999,360,Calc!$C$36),Calc!$C$20=1),CHOOSE(Calc!$C$3,INDEX('Snowball Engine'!$AH325:$AV325,Calc!$I$20),INDEX('Avalanche Engine'!$AH325:$AV325,Calc!$J$20),INDEX('My Order Engine'!$AH325:$AV325,Calc!$K$20)),"")</f>
        <v/>
      </c>
      <c r="R323" s="25" t="str">
        <f>IF(AND($A323&lt;=IF(Calc!$C$36=999,360,Calc!$C$36),Calc!$C$21=1),CHOOSE(Calc!$C$3,INDEX('Snowball Engine'!$AH325:$AV325,Calc!$I$21),INDEX('Avalanche Engine'!$AH325:$AV325,Calc!$J$21),INDEX('My Order Engine'!$AH325:$AV325,Calc!$K$21)),"")</f>
        <v/>
      </c>
      <c r="S323" s="25" t="str">
        <f>IF(AND($A323&lt;=IF(Calc!$C$36=999,360,Calc!$C$36),Calc!$C$22=1),CHOOSE(Calc!$C$3,INDEX('Snowball Engine'!$AH325:$AV325,Calc!$I$22),INDEX('Avalanche Engine'!$AH325:$AV325,Calc!$J$22),INDEX('My Order Engine'!$AH325:$AV325,Calc!$K$22)),"")</f>
        <v/>
      </c>
      <c r="T323" s="25" t="str">
        <f>IF(AND($A323&lt;=IF(Calc!$C$36=999,360,Calc!$C$36),Calc!$C$23=1),CHOOSE(Calc!$C$3,INDEX('Snowball Engine'!$AH325:$AV325,Calc!$I$23),INDEX('Avalanche Engine'!$AH325:$AV325,Calc!$J$23),INDEX('My Order Engine'!$AH325:$AV325,Calc!$K$23)),"")</f>
        <v/>
      </c>
      <c r="U323" s="25" t="str">
        <f>IF(AND($A323&lt;=IF(Calc!$C$36=999,360,Calc!$C$36),Calc!$C$24=1),CHOOSE(Calc!$C$3,INDEX('Snowball Engine'!$AH325:$AV325,Calc!$I$24),INDEX('Avalanche Engine'!$AH325:$AV325,Calc!$J$24),INDEX('My Order Engine'!$AH325:$AV325,Calc!$K$24)),"")</f>
        <v/>
      </c>
    </row>
    <row r="324" spans="1:21" x14ac:dyDescent="0.35">
      <c r="A324" s="23">
        <v>320</v>
      </c>
      <c r="B324" s="24" t="str">
        <f>IF($A324&lt;=IF(Calc!$C$36=999,360,Calc!$C$36),EDATE(Calc!$C$5,A324-1),"")</f>
        <v/>
      </c>
      <c r="C324" s="25" t="str">
        <f>IF($A324&lt;=IF(Calc!$C$36=999,360,Calc!$C$36),CHOOSE(Calc!$C$3,'Snowball Engine'!AY326,'Avalanche Engine'!AY326,'My Order Engine'!AY326),"")</f>
        <v/>
      </c>
      <c r="D324" s="25" t="str">
        <f>IF($A324&lt;=IF(Calc!$C$36=999,360,Calc!$C$36),CHOOSE(Calc!$C$3,'Snowball Engine'!AX326,'Avalanche Engine'!AX326,'My Order Engine'!AX326),"")</f>
        <v/>
      </c>
      <c r="E324" s="25" t="str">
        <f>IF($A324&lt;=IF(Calc!$C$36=999,360,Calc!$C$36),C324-D324,"")</f>
        <v/>
      </c>
      <c r="F324" s="25" t="str">
        <f>IF($A324&lt;=IF(Calc!$C$36=999,360,Calc!$C$36),CHOOSE(Calc!$C$3,'Snowball Engine'!AW326,'Avalanche Engine'!AW326,'My Order Engine'!AW326),"")</f>
        <v/>
      </c>
      <c r="G324" s="25" t="str">
        <f>IF(AND($A324&lt;=IF(Calc!$C$36=999,360,Calc!$C$36),Calc!$C$10=1),CHOOSE(Calc!$C$3,INDEX('Snowball Engine'!$AH326:$AV326,Calc!$I$10),INDEX('Avalanche Engine'!$AH326:$AV326,Calc!$J$10),INDEX('My Order Engine'!$AH326:$AV326,Calc!$K$10)),"")</f>
        <v/>
      </c>
      <c r="H324" s="25" t="str">
        <f>IF(AND($A324&lt;=IF(Calc!$C$36=999,360,Calc!$C$36),Calc!$C$11=1),CHOOSE(Calc!$C$3,INDEX('Snowball Engine'!$AH326:$AV326,Calc!$I$11),INDEX('Avalanche Engine'!$AH326:$AV326,Calc!$J$11),INDEX('My Order Engine'!$AH326:$AV326,Calc!$K$11)),"")</f>
        <v/>
      </c>
      <c r="I324" s="25" t="str">
        <f>IF(AND($A324&lt;=IF(Calc!$C$36=999,360,Calc!$C$36),Calc!$C$12=1),CHOOSE(Calc!$C$3,INDEX('Snowball Engine'!$AH326:$AV326,Calc!$I$12),INDEX('Avalanche Engine'!$AH326:$AV326,Calc!$J$12),INDEX('My Order Engine'!$AH326:$AV326,Calc!$K$12)),"")</f>
        <v/>
      </c>
      <c r="J324" s="25" t="str">
        <f>IF(AND($A324&lt;=IF(Calc!$C$36=999,360,Calc!$C$36),Calc!$C$13=1),CHOOSE(Calc!$C$3,INDEX('Snowball Engine'!$AH326:$AV326,Calc!$I$13),INDEX('Avalanche Engine'!$AH326:$AV326,Calc!$J$13),INDEX('My Order Engine'!$AH326:$AV326,Calc!$K$13)),"")</f>
        <v/>
      </c>
      <c r="K324" s="25" t="str">
        <f>IF(AND($A324&lt;=IF(Calc!$C$36=999,360,Calc!$C$36),Calc!$C$14=1),CHOOSE(Calc!$C$3,INDEX('Snowball Engine'!$AH326:$AV326,Calc!$I$14),INDEX('Avalanche Engine'!$AH326:$AV326,Calc!$J$14),INDEX('My Order Engine'!$AH326:$AV326,Calc!$K$14)),"")</f>
        <v/>
      </c>
      <c r="L324" s="25" t="str">
        <f>IF(AND($A324&lt;=IF(Calc!$C$36=999,360,Calc!$C$36),Calc!$C$15=1),CHOOSE(Calc!$C$3,INDEX('Snowball Engine'!$AH326:$AV326,Calc!$I$15),INDEX('Avalanche Engine'!$AH326:$AV326,Calc!$J$15),INDEX('My Order Engine'!$AH326:$AV326,Calc!$K$15)),"")</f>
        <v/>
      </c>
      <c r="M324" s="25" t="str">
        <f>IF(AND($A324&lt;=IF(Calc!$C$36=999,360,Calc!$C$36),Calc!$C$16=1),CHOOSE(Calc!$C$3,INDEX('Snowball Engine'!$AH326:$AV326,Calc!$I$16),INDEX('Avalanche Engine'!$AH326:$AV326,Calc!$J$16),INDEX('My Order Engine'!$AH326:$AV326,Calc!$K$16)),"")</f>
        <v/>
      </c>
      <c r="N324" s="25" t="str">
        <f>IF(AND($A324&lt;=IF(Calc!$C$36=999,360,Calc!$C$36),Calc!$C$17=1),CHOOSE(Calc!$C$3,INDEX('Snowball Engine'!$AH326:$AV326,Calc!$I$17),INDEX('Avalanche Engine'!$AH326:$AV326,Calc!$J$17),INDEX('My Order Engine'!$AH326:$AV326,Calc!$K$17)),"")</f>
        <v/>
      </c>
      <c r="O324" s="25" t="str">
        <f>IF(AND($A324&lt;=IF(Calc!$C$36=999,360,Calc!$C$36),Calc!$C$18=1),CHOOSE(Calc!$C$3,INDEX('Snowball Engine'!$AH326:$AV326,Calc!$I$18),INDEX('Avalanche Engine'!$AH326:$AV326,Calc!$J$18),INDEX('My Order Engine'!$AH326:$AV326,Calc!$K$18)),"")</f>
        <v/>
      </c>
      <c r="P324" s="25" t="str">
        <f>IF(AND($A324&lt;=IF(Calc!$C$36=999,360,Calc!$C$36),Calc!$C$19=1),CHOOSE(Calc!$C$3,INDEX('Snowball Engine'!$AH326:$AV326,Calc!$I$19),INDEX('Avalanche Engine'!$AH326:$AV326,Calc!$J$19),INDEX('My Order Engine'!$AH326:$AV326,Calc!$K$19)),"")</f>
        <v/>
      </c>
      <c r="Q324" s="25" t="str">
        <f>IF(AND($A324&lt;=IF(Calc!$C$36=999,360,Calc!$C$36),Calc!$C$20=1),CHOOSE(Calc!$C$3,INDEX('Snowball Engine'!$AH326:$AV326,Calc!$I$20),INDEX('Avalanche Engine'!$AH326:$AV326,Calc!$J$20),INDEX('My Order Engine'!$AH326:$AV326,Calc!$K$20)),"")</f>
        <v/>
      </c>
      <c r="R324" s="25" t="str">
        <f>IF(AND($A324&lt;=IF(Calc!$C$36=999,360,Calc!$C$36),Calc!$C$21=1),CHOOSE(Calc!$C$3,INDEX('Snowball Engine'!$AH326:$AV326,Calc!$I$21),INDEX('Avalanche Engine'!$AH326:$AV326,Calc!$J$21),INDEX('My Order Engine'!$AH326:$AV326,Calc!$K$21)),"")</f>
        <v/>
      </c>
      <c r="S324" s="25" t="str">
        <f>IF(AND($A324&lt;=IF(Calc!$C$36=999,360,Calc!$C$36),Calc!$C$22=1),CHOOSE(Calc!$C$3,INDEX('Snowball Engine'!$AH326:$AV326,Calc!$I$22),INDEX('Avalanche Engine'!$AH326:$AV326,Calc!$J$22),INDEX('My Order Engine'!$AH326:$AV326,Calc!$K$22)),"")</f>
        <v/>
      </c>
      <c r="T324" s="25" t="str">
        <f>IF(AND($A324&lt;=IF(Calc!$C$36=999,360,Calc!$C$36),Calc!$C$23=1),CHOOSE(Calc!$C$3,INDEX('Snowball Engine'!$AH326:$AV326,Calc!$I$23),INDEX('Avalanche Engine'!$AH326:$AV326,Calc!$J$23),INDEX('My Order Engine'!$AH326:$AV326,Calc!$K$23)),"")</f>
        <v/>
      </c>
      <c r="U324" s="25" t="str">
        <f>IF(AND($A324&lt;=IF(Calc!$C$36=999,360,Calc!$C$36),Calc!$C$24=1),CHOOSE(Calc!$C$3,INDEX('Snowball Engine'!$AH326:$AV326,Calc!$I$24),INDEX('Avalanche Engine'!$AH326:$AV326,Calc!$J$24),INDEX('My Order Engine'!$AH326:$AV326,Calc!$K$24)),"")</f>
        <v/>
      </c>
    </row>
    <row r="325" spans="1:21" x14ac:dyDescent="0.35">
      <c r="A325" s="23">
        <v>321</v>
      </c>
      <c r="B325" s="24" t="str">
        <f>IF($A325&lt;=IF(Calc!$C$36=999,360,Calc!$C$36),EDATE(Calc!$C$5,A325-1),"")</f>
        <v/>
      </c>
      <c r="C325" s="25" t="str">
        <f>IF($A325&lt;=IF(Calc!$C$36=999,360,Calc!$C$36),CHOOSE(Calc!$C$3,'Snowball Engine'!AY327,'Avalanche Engine'!AY327,'My Order Engine'!AY327),"")</f>
        <v/>
      </c>
      <c r="D325" s="25" t="str">
        <f>IF($A325&lt;=IF(Calc!$C$36=999,360,Calc!$C$36),CHOOSE(Calc!$C$3,'Snowball Engine'!AX327,'Avalanche Engine'!AX327,'My Order Engine'!AX327),"")</f>
        <v/>
      </c>
      <c r="E325" s="25" t="str">
        <f>IF($A325&lt;=IF(Calc!$C$36=999,360,Calc!$C$36),C325-D325,"")</f>
        <v/>
      </c>
      <c r="F325" s="25" t="str">
        <f>IF($A325&lt;=IF(Calc!$C$36=999,360,Calc!$C$36),CHOOSE(Calc!$C$3,'Snowball Engine'!AW327,'Avalanche Engine'!AW327,'My Order Engine'!AW327),"")</f>
        <v/>
      </c>
      <c r="G325" s="25" t="str">
        <f>IF(AND($A325&lt;=IF(Calc!$C$36=999,360,Calc!$C$36),Calc!$C$10=1),CHOOSE(Calc!$C$3,INDEX('Snowball Engine'!$AH327:$AV327,Calc!$I$10),INDEX('Avalanche Engine'!$AH327:$AV327,Calc!$J$10),INDEX('My Order Engine'!$AH327:$AV327,Calc!$K$10)),"")</f>
        <v/>
      </c>
      <c r="H325" s="25" t="str">
        <f>IF(AND($A325&lt;=IF(Calc!$C$36=999,360,Calc!$C$36),Calc!$C$11=1),CHOOSE(Calc!$C$3,INDEX('Snowball Engine'!$AH327:$AV327,Calc!$I$11),INDEX('Avalanche Engine'!$AH327:$AV327,Calc!$J$11),INDEX('My Order Engine'!$AH327:$AV327,Calc!$K$11)),"")</f>
        <v/>
      </c>
      <c r="I325" s="25" t="str">
        <f>IF(AND($A325&lt;=IF(Calc!$C$36=999,360,Calc!$C$36),Calc!$C$12=1),CHOOSE(Calc!$C$3,INDEX('Snowball Engine'!$AH327:$AV327,Calc!$I$12),INDEX('Avalanche Engine'!$AH327:$AV327,Calc!$J$12),INDEX('My Order Engine'!$AH327:$AV327,Calc!$K$12)),"")</f>
        <v/>
      </c>
      <c r="J325" s="25" t="str">
        <f>IF(AND($A325&lt;=IF(Calc!$C$36=999,360,Calc!$C$36),Calc!$C$13=1),CHOOSE(Calc!$C$3,INDEX('Snowball Engine'!$AH327:$AV327,Calc!$I$13),INDEX('Avalanche Engine'!$AH327:$AV327,Calc!$J$13),INDEX('My Order Engine'!$AH327:$AV327,Calc!$K$13)),"")</f>
        <v/>
      </c>
      <c r="K325" s="25" t="str">
        <f>IF(AND($A325&lt;=IF(Calc!$C$36=999,360,Calc!$C$36),Calc!$C$14=1),CHOOSE(Calc!$C$3,INDEX('Snowball Engine'!$AH327:$AV327,Calc!$I$14),INDEX('Avalanche Engine'!$AH327:$AV327,Calc!$J$14),INDEX('My Order Engine'!$AH327:$AV327,Calc!$K$14)),"")</f>
        <v/>
      </c>
      <c r="L325" s="25" t="str">
        <f>IF(AND($A325&lt;=IF(Calc!$C$36=999,360,Calc!$C$36),Calc!$C$15=1),CHOOSE(Calc!$C$3,INDEX('Snowball Engine'!$AH327:$AV327,Calc!$I$15),INDEX('Avalanche Engine'!$AH327:$AV327,Calc!$J$15),INDEX('My Order Engine'!$AH327:$AV327,Calc!$K$15)),"")</f>
        <v/>
      </c>
      <c r="M325" s="25" t="str">
        <f>IF(AND($A325&lt;=IF(Calc!$C$36=999,360,Calc!$C$36),Calc!$C$16=1),CHOOSE(Calc!$C$3,INDEX('Snowball Engine'!$AH327:$AV327,Calc!$I$16),INDEX('Avalanche Engine'!$AH327:$AV327,Calc!$J$16),INDEX('My Order Engine'!$AH327:$AV327,Calc!$K$16)),"")</f>
        <v/>
      </c>
      <c r="N325" s="25" t="str">
        <f>IF(AND($A325&lt;=IF(Calc!$C$36=999,360,Calc!$C$36),Calc!$C$17=1),CHOOSE(Calc!$C$3,INDEX('Snowball Engine'!$AH327:$AV327,Calc!$I$17),INDEX('Avalanche Engine'!$AH327:$AV327,Calc!$J$17),INDEX('My Order Engine'!$AH327:$AV327,Calc!$K$17)),"")</f>
        <v/>
      </c>
      <c r="O325" s="25" t="str">
        <f>IF(AND($A325&lt;=IF(Calc!$C$36=999,360,Calc!$C$36),Calc!$C$18=1),CHOOSE(Calc!$C$3,INDEX('Snowball Engine'!$AH327:$AV327,Calc!$I$18),INDEX('Avalanche Engine'!$AH327:$AV327,Calc!$J$18),INDEX('My Order Engine'!$AH327:$AV327,Calc!$K$18)),"")</f>
        <v/>
      </c>
      <c r="P325" s="25" t="str">
        <f>IF(AND($A325&lt;=IF(Calc!$C$36=999,360,Calc!$C$36),Calc!$C$19=1),CHOOSE(Calc!$C$3,INDEX('Snowball Engine'!$AH327:$AV327,Calc!$I$19),INDEX('Avalanche Engine'!$AH327:$AV327,Calc!$J$19),INDEX('My Order Engine'!$AH327:$AV327,Calc!$K$19)),"")</f>
        <v/>
      </c>
      <c r="Q325" s="25" t="str">
        <f>IF(AND($A325&lt;=IF(Calc!$C$36=999,360,Calc!$C$36),Calc!$C$20=1),CHOOSE(Calc!$C$3,INDEX('Snowball Engine'!$AH327:$AV327,Calc!$I$20),INDEX('Avalanche Engine'!$AH327:$AV327,Calc!$J$20),INDEX('My Order Engine'!$AH327:$AV327,Calc!$K$20)),"")</f>
        <v/>
      </c>
      <c r="R325" s="25" t="str">
        <f>IF(AND($A325&lt;=IF(Calc!$C$36=999,360,Calc!$C$36),Calc!$C$21=1),CHOOSE(Calc!$C$3,INDEX('Snowball Engine'!$AH327:$AV327,Calc!$I$21),INDEX('Avalanche Engine'!$AH327:$AV327,Calc!$J$21),INDEX('My Order Engine'!$AH327:$AV327,Calc!$K$21)),"")</f>
        <v/>
      </c>
      <c r="S325" s="25" t="str">
        <f>IF(AND($A325&lt;=IF(Calc!$C$36=999,360,Calc!$C$36),Calc!$C$22=1),CHOOSE(Calc!$C$3,INDEX('Snowball Engine'!$AH327:$AV327,Calc!$I$22),INDEX('Avalanche Engine'!$AH327:$AV327,Calc!$J$22),INDEX('My Order Engine'!$AH327:$AV327,Calc!$K$22)),"")</f>
        <v/>
      </c>
      <c r="T325" s="25" t="str">
        <f>IF(AND($A325&lt;=IF(Calc!$C$36=999,360,Calc!$C$36),Calc!$C$23=1),CHOOSE(Calc!$C$3,INDEX('Snowball Engine'!$AH327:$AV327,Calc!$I$23),INDEX('Avalanche Engine'!$AH327:$AV327,Calc!$J$23),INDEX('My Order Engine'!$AH327:$AV327,Calc!$K$23)),"")</f>
        <v/>
      </c>
      <c r="U325" s="25" t="str">
        <f>IF(AND($A325&lt;=IF(Calc!$C$36=999,360,Calc!$C$36),Calc!$C$24=1),CHOOSE(Calc!$C$3,INDEX('Snowball Engine'!$AH327:$AV327,Calc!$I$24),INDEX('Avalanche Engine'!$AH327:$AV327,Calc!$J$24),INDEX('My Order Engine'!$AH327:$AV327,Calc!$K$24)),"")</f>
        <v/>
      </c>
    </row>
    <row r="326" spans="1:21" x14ac:dyDescent="0.35">
      <c r="A326" s="23">
        <v>322</v>
      </c>
      <c r="B326" s="24" t="str">
        <f>IF($A326&lt;=IF(Calc!$C$36=999,360,Calc!$C$36),EDATE(Calc!$C$5,A326-1),"")</f>
        <v/>
      </c>
      <c r="C326" s="25" t="str">
        <f>IF($A326&lt;=IF(Calc!$C$36=999,360,Calc!$C$36),CHOOSE(Calc!$C$3,'Snowball Engine'!AY328,'Avalanche Engine'!AY328,'My Order Engine'!AY328),"")</f>
        <v/>
      </c>
      <c r="D326" s="25" t="str">
        <f>IF($A326&lt;=IF(Calc!$C$36=999,360,Calc!$C$36),CHOOSE(Calc!$C$3,'Snowball Engine'!AX328,'Avalanche Engine'!AX328,'My Order Engine'!AX328),"")</f>
        <v/>
      </c>
      <c r="E326" s="25" t="str">
        <f>IF($A326&lt;=IF(Calc!$C$36=999,360,Calc!$C$36),C326-D326,"")</f>
        <v/>
      </c>
      <c r="F326" s="25" t="str">
        <f>IF($A326&lt;=IF(Calc!$C$36=999,360,Calc!$C$36),CHOOSE(Calc!$C$3,'Snowball Engine'!AW328,'Avalanche Engine'!AW328,'My Order Engine'!AW328),"")</f>
        <v/>
      </c>
      <c r="G326" s="25" t="str">
        <f>IF(AND($A326&lt;=IF(Calc!$C$36=999,360,Calc!$C$36),Calc!$C$10=1),CHOOSE(Calc!$C$3,INDEX('Snowball Engine'!$AH328:$AV328,Calc!$I$10),INDEX('Avalanche Engine'!$AH328:$AV328,Calc!$J$10),INDEX('My Order Engine'!$AH328:$AV328,Calc!$K$10)),"")</f>
        <v/>
      </c>
      <c r="H326" s="25" t="str">
        <f>IF(AND($A326&lt;=IF(Calc!$C$36=999,360,Calc!$C$36),Calc!$C$11=1),CHOOSE(Calc!$C$3,INDEX('Snowball Engine'!$AH328:$AV328,Calc!$I$11),INDEX('Avalanche Engine'!$AH328:$AV328,Calc!$J$11),INDEX('My Order Engine'!$AH328:$AV328,Calc!$K$11)),"")</f>
        <v/>
      </c>
      <c r="I326" s="25" t="str">
        <f>IF(AND($A326&lt;=IF(Calc!$C$36=999,360,Calc!$C$36),Calc!$C$12=1),CHOOSE(Calc!$C$3,INDEX('Snowball Engine'!$AH328:$AV328,Calc!$I$12),INDEX('Avalanche Engine'!$AH328:$AV328,Calc!$J$12),INDEX('My Order Engine'!$AH328:$AV328,Calc!$K$12)),"")</f>
        <v/>
      </c>
      <c r="J326" s="25" t="str">
        <f>IF(AND($A326&lt;=IF(Calc!$C$36=999,360,Calc!$C$36),Calc!$C$13=1),CHOOSE(Calc!$C$3,INDEX('Snowball Engine'!$AH328:$AV328,Calc!$I$13),INDEX('Avalanche Engine'!$AH328:$AV328,Calc!$J$13),INDEX('My Order Engine'!$AH328:$AV328,Calc!$K$13)),"")</f>
        <v/>
      </c>
      <c r="K326" s="25" t="str">
        <f>IF(AND($A326&lt;=IF(Calc!$C$36=999,360,Calc!$C$36),Calc!$C$14=1),CHOOSE(Calc!$C$3,INDEX('Snowball Engine'!$AH328:$AV328,Calc!$I$14),INDEX('Avalanche Engine'!$AH328:$AV328,Calc!$J$14),INDEX('My Order Engine'!$AH328:$AV328,Calc!$K$14)),"")</f>
        <v/>
      </c>
      <c r="L326" s="25" t="str">
        <f>IF(AND($A326&lt;=IF(Calc!$C$36=999,360,Calc!$C$36),Calc!$C$15=1),CHOOSE(Calc!$C$3,INDEX('Snowball Engine'!$AH328:$AV328,Calc!$I$15),INDEX('Avalanche Engine'!$AH328:$AV328,Calc!$J$15),INDEX('My Order Engine'!$AH328:$AV328,Calc!$K$15)),"")</f>
        <v/>
      </c>
      <c r="M326" s="25" t="str">
        <f>IF(AND($A326&lt;=IF(Calc!$C$36=999,360,Calc!$C$36),Calc!$C$16=1),CHOOSE(Calc!$C$3,INDEX('Snowball Engine'!$AH328:$AV328,Calc!$I$16),INDEX('Avalanche Engine'!$AH328:$AV328,Calc!$J$16),INDEX('My Order Engine'!$AH328:$AV328,Calc!$K$16)),"")</f>
        <v/>
      </c>
      <c r="N326" s="25" t="str">
        <f>IF(AND($A326&lt;=IF(Calc!$C$36=999,360,Calc!$C$36),Calc!$C$17=1),CHOOSE(Calc!$C$3,INDEX('Snowball Engine'!$AH328:$AV328,Calc!$I$17),INDEX('Avalanche Engine'!$AH328:$AV328,Calc!$J$17),INDEX('My Order Engine'!$AH328:$AV328,Calc!$K$17)),"")</f>
        <v/>
      </c>
      <c r="O326" s="25" t="str">
        <f>IF(AND($A326&lt;=IF(Calc!$C$36=999,360,Calc!$C$36),Calc!$C$18=1),CHOOSE(Calc!$C$3,INDEX('Snowball Engine'!$AH328:$AV328,Calc!$I$18),INDEX('Avalanche Engine'!$AH328:$AV328,Calc!$J$18),INDEX('My Order Engine'!$AH328:$AV328,Calc!$K$18)),"")</f>
        <v/>
      </c>
      <c r="P326" s="25" t="str">
        <f>IF(AND($A326&lt;=IF(Calc!$C$36=999,360,Calc!$C$36),Calc!$C$19=1),CHOOSE(Calc!$C$3,INDEX('Snowball Engine'!$AH328:$AV328,Calc!$I$19),INDEX('Avalanche Engine'!$AH328:$AV328,Calc!$J$19),INDEX('My Order Engine'!$AH328:$AV328,Calc!$K$19)),"")</f>
        <v/>
      </c>
      <c r="Q326" s="25" t="str">
        <f>IF(AND($A326&lt;=IF(Calc!$C$36=999,360,Calc!$C$36),Calc!$C$20=1),CHOOSE(Calc!$C$3,INDEX('Snowball Engine'!$AH328:$AV328,Calc!$I$20),INDEX('Avalanche Engine'!$AH328:$AV328,Calc!$J$20),INDEX('My Order Engine'!$AH328:$AV328,Calc!$K$20)),"")</f>
        <v/>
      </c>
      <c r="R326" s="25" t="str">
        <f>IF(AND($A326&lt;=IF(Calc!$C$36=999,360,Calc!$C$36),Calc!$C$21=1),CHOOSE(Calc!$C$3,INDEX('Snowball Engine'!$AH328:$AV328,Calc!$I$21),INDEX('Avalanche Engine'!$AH328:$AV328,Calc!$J$21),INDEX('My Order Engine'!$AH328:$AV328,Calc!$K$21)),"")</f>
        <v/>
      </c>
      <c r="S326" s="25" t="str">
        <f>IF(AND($A326&lt;=IF(Calc!$C$36=999,360,Calc!$C$36),Calc!$C$22=1),CHOOSE(Calc!$C$3,INDEX('Snowball Engine'!$AH328:$AV328,Calc!$I$22),INDEX('Avalanche Engine'!$AH328:$AV328,Calc!$J$22),INDEX('My Order Engine'!$AH328:$AV328,Calc!$K$22)),"")</f>
        <v/>
      </c>
      <c r="T326" s="25" t="str">
        <f>IF(AND($A326&lt;=IF(Calc!$C$36=999,360,Calc!$C$36),Calc!$C$23=1),CHOOSE(Calc!$C$3,INDEX('Snowball Engine'!$AH328:$AV328,Calc!$I$23),INDEX('Avalanche Engine'!$AH328:$AV328,Calc!$J$23),INDEX('My Order Engine'!$AH328:$AV328,Calc!$K$23)),"")</f>
        <v/>
      </c>
      <c r="U326" s="25" t="str">
        <f>IF(AND($A326&lt;=IF(Calc!$C$36=999,360,Calc!$C$36),Calc!$C$24=1),CHOOSE(Calc!$C$3,INDEX('Snowball Engine'!$AH328:$AV328,Calc!$I$24),INDEX('Avalanche Engine'!$AH328:$AV328,Calc!$J$24),INDEX('My Order Engine'!$AH328:$AV328,Calc!$K$24)),"")</f>
        <v/>
      </c>
    </row>
    <row r="327" spans="1:21" x14ac:dyDescent="0.35">
      <c r="A327" s="23">
        <v>323</v>
      </c>
      <c r="B327" s="24" t="str">
        <f>IF($A327&lt;=IF(Calc!$C$36=999,360,Calc!$C$36),EDATE(Calc!$C$5,A327-1),"")</f>
        <v/>
      </c>
      <c r="C327" s="25" t="str">
        <f>IF($A327&lt;=IF(Calc!$C$36=999,360,Calc!$C$36),CHOOSE(Calc!$C$3,'Snowball Engine'!AY329,'Avalanche Engine'!AY329,'My Order Engine'!AY329),"")</f>
        <v/>
      </c>
      <c r="D327" s="25" t="str">
        <f>IF($A327&lt;=IF(Calc!$C$36=999,360,Calc!$C$36),CHOOSE(Calc!$C$3,'Snowball Engine'!AX329,'Avalanche Engine'!AX329,'My Order Engine'!AX329),"")</f>
        <v/>
      </c>
      <c r="E327" s="25" t="str">
        <f>IF($A327&lt;=IF(Calc!$C$36=999,360,Calc!$C$36),C327-D327,"")</f>
        <v/>
      </c>
      <c r="F327" s="25" t="str">
        <f>IF($A327&lt;=IF(Calc!$C$36=999,360,Calc!$C$36),CHOOSE(Calc!$C$3,'Snowball Engine'!AW329,'Avalanche Engine'!AW329,'My Order Engine'!AW329),"")</f>
        <v/>
      </c>
      <c r="G327" s="25" t="str">
        <f>IF(AND($A327&lt;=IF(Calc!$C$36=999,360,Calc!$C$36),Calc!$C$10=1),CHOOSE(Calc!$C$3,INDEX('Snowball Engine'!$AH329:$AV329,Calc!$I$10),INDEX('Avalanche Engine'!$AH329:$AV329,Calc!$J$10),INDEX('My Order Engine'!$AH329:$AV329,Calc!$K$10)),"")</f>
        <v/>
      </c>
      <c r="H327" s="25" t="str">
        <f>IF(AND($A327&lt;=IF(Calc!$C$36=999,360,Calc!$C$36),Calc!$C$11=1),CHOOSE(Calc!$C$3,INDEX('Snowball Engine'!$AH329:$AV329,Calc!$I$11),INDEX('Avalanche Engine'!$AH329:$AV329,Calc!$J$11),INDEX('My Order Engine'!$AH329:$AV329,Calc!$K$11)),"")</f>
        <v/>
      </c>
      <c r="I327" s="25" t="str">
        <f>IF(AND($A327&lt;=IF(Calc!$C$36=999,360,Calc!$C$36),Calc!$C$12=1),CHOOSE(Calc!$C$3,INDEX('Snowball Engine'!$AH329:$AV329,Calc!$I$12),INDEX('Avalanche Engine'!$AH329:$AV329,Calc!$J$12),INDEX('My Order Engine'!$AH329:$AV329,Calc!$K$12)),"")</f>
        <v/>
      </c>
      <c r="J327" s="25" t="str">
        <f>IF(AND($A327&lt;=IF(Calc!$C$36=999,360,Calc!$C$36),Calc!$C$13=1),CHOOSE(Calc!$C$3,INDEX('Snowball Engine'!$AH329:$AV329,Calc!$I$13),INDEX('Avalanche Engine'!$AH329:$AV329,Calc!$J$13),INDEX('My Order Engine'!$AH329:$AV329,Calc!$K$13)),"")</f>
        <v/>
      </c>
      <c r="K327" s="25" t="str">
        <f>IF(AND($A327&lt;=IF(Calc!$C$36=999,360,Calc!$C$36),Calc!$C$14=1),CHOOSE(Calc!$C$3,INDEX('Snowball Engine'!$AH329:$AV329,Calc!$I$14),INDEX('Avalanche Engine'!$AH329:$AV329,Calc!$J$14),INDEX('My Order Engine'!$AH329:$AV329,Calc!$K$14)),"")</f>
        <v/>
      </c>
      <c r="L327" s="25" t="str">
        <f>IF(AND($A327&lt;=IF(Calc!$C$36=999,360,Calc!$C$36),Calc!$C$15=1),CHOOSE(Calc!$C$3,INDEX('Snowball Engine'!$AH329:$AV329,Calc!$I$15),INDEX('Avalanche Engine'!$AH329:$AV329,Calc!$J$15),INDEX('My Order Engine'!$AH329:$AV329,Calc!$K$15)),"")</f>
        <v/>
      </c>
      <c r="M327" s="25" t="str">
        <f>IF(AND($A327&lt;=IF(Calc!$C$36=999,360,Calc!$C$36),Calc!$C$16=1),CHOOSE(Calc!$C$3,INDEX('Snowball Engine'!$AH329:$AV329,Calc!$I$16),INDEX('Avalanche Engine'!$AH329:$AV329,Calc!$J$16),INDEX('My Order Engine'!$AH329:$AV329,Calc!$K$16)),"")</f>
        <v/>
      </c>
      <c r="N327" s="25" t="str">
        <f>IF(AND($A327&lt;=IF(Calc!$C$36=999,360,Calc!$C$36),Calc!$C$17=1),CHOOSE(Calc!$C$3,INDEX('Snowball Engine'!$AH329:$AV329,Calc!$I$17),INDEX('Avalanche Engine'!$AH329:$AV329,Calc!$J$17),INDEX('My Order Engine'!$AH329:$AV329,Calc!$K$17)),"")</f>
        <v/>
      </c>
      <c r="O327" s="25" t="str">
        <f>IF(AND($A327&lt;=IF(Calc!$C$36=999,360,Calc!$C$36),Calc!$C$18=1),CHOOSE(Calc!$C$3,INDEX('Snowball Engine'!$AH329:$AV329,Calc!$I$18),INDEX('Avalanche Engine'!$AH329:$AV329,Calc!$J$18),INDEX('My Order Engine'!$AH329:$AV329,Calc!$K$18)),"")</f>
        <v/>
      </c>
      <c r="P327" s="25" t="str">
        <f>IF(AND($A327&lt;=IF(Calc!$C$36=999,360,Calc!$C$36),Calc!$C$19=1),CHOOSE(Calc!$C$3,INDEX('Snowball Engine'!$AH329:$AV329,Calc!$I$19),INDEX('Avalanche Engine'!$AH329:$AV329,Calc!$J$19),INDEX('My Order Engine'!$AH329:$AV329,Calc!$K$19)),"")</f>
        <v/>
      </c>
      <c r="Q327" s="25" t="str">
        <f>IF(AND($A327&lt;=IF(Calc!$C$36=999,360,Calc!$C$36),Calc!$C$20=1),CHOOSE(Calc!$C$3,INDEX('Snowball Engine'!$AH329:$AV329,Calc!$I$20),INDEX('Avalanche Engine'!$AH329:$AV329,Calc!$J$20),INDEX('My Order Engine'!$AH329:$AV329,Calc!$K$20)),"")</f>
        <v/>
      </c>
      <c r="R327" s="25" t="str">
        <f>IF(AND($A327&lt;=IF(Calc!$C$36=999,360,Calc!$C$36),Calc!$C$21=1),CHOOSE(Calc!$C$3,INDEX('Snowball Engine'!$AH329:$AV329,Calc!$I$21),INDEX('Avalanche Engine'!$AH329:$AV329,Calc!$J$21),INDEX('My Order Engine'!$AH329:$AV329,Calc!$K$21)),"")</f>
        <v/>
      </c>
      <c r="S327" s="25" t="str">
        <f>IF(AND($A327&lt;=IF(Calc!$C$36=999,360,Calc!$C$36),Calc!$C$22=1),CHOOSE(Calc!$C$3,INDEX('Snowball Engine'!$AH329:$AV329,Calc!$I$22),INDEX('Avalanche Engine'!$AH329:$AV329,Calc!$J$22),INDEX('My Order Engine'!$AH329:$AV329,Calc!$K$22)),"")</f>
        <v/>
      </c>
      <c r="T327" s="25" t="str">
        <f>IF(AND($A327&lt;=IF(Calc!$C$36=999,360,Calc!$C$36),Calc!$C$23=1),CHOOSE(Calc!$C$3,INDEX('Snowball Engine'!$AH329:$AV329,Calc!$I$23),INDEX('Avalanche Engine'!$AH329:$AV329,Calc!$J$23),INDEX('My Order Engine'!$AH329:$AV329,Calc!$K$23)),"")</f>
        <v/>
      </c>
      <c r="U327" s="25" t="str">
        <f>IF(AND($A327&lt;=IF(Calc!$C$36=999,360,Calc!$C$36),Calc!$C$24=1),CHOOSE(Calc!$C$3,INDEX('Snowball Engine'!$AH329:$AV329,Calc!$I$24),INDEX('Avalanche Engine'!$AH329:$AV329,Calc!$J$24),INDEX('My Order Engine'!$AH329:$AV329,Calc!$K$24)),"")</f>
        <v/>
      </c>
    </row>
    <row r="328" spans="1:21" x14ac:dyDescent="0.35">
      <c r="A328" s="23">
        <v>324</v>
      </c>
      <c r="B328" s="24" t="str">
        <f>IF($A328&lt;=IF(Calc!$C$36=999,360,Calc!$C$36),EDATE(Calc!$C$5,A328-1),"")</f>
        <v/>
      </c>
      <c r="C328" s="25" t="str">
        <f>IF($A328&lt;=IF(Calc!$C$36=999,360,Calc!$C$36),CHOOSE(Calc!$C$3,'Snowball Engine'!AY330,'Avalanche Engine'!AY330,'My Order Engine'!AY330),"")</f>
        <v/>
      </c>
      <c r="D328" s="25" t="str">
        <f>IF($A328&lt;=IF(Calc!$C$36=999,360,Calc!$C$36),CHOOSE(Calc!$C$3,'Snowball Engine'!AX330,'Avalanche Engine'!AX330,'My Order Engine'!AX330),"")</f>
        <v/>
      </c>
      <c r="E328" s="25" t="str">
        <f>IF($A328&lt;=IF(Calc!$C$36=999,360,Calc!$C$36),C328-D328,"")</f>
        <v/>
      </c>
      <c r="F328" s="25" t="str">
        <f>IF($A328&lt;=IF(Calc!$C$36=999,360,Calc!$C$36),CHOOSE(Calc!$C$3,'Snowball Engine'!AW330,'Avalanche Engine'!AW330,'My Order Engine'!AW330),"")</f>
        <v/>
      </c>
      <c r="G328" s="25" t="str">
        <f>IF(AND($A328&lt;=IF(Calc!$C$36=999,360,Calc!$C$36),Calc!$C$10=1),CHOOSE(Calc!$C$3,INDEX('Snowball Engine'!$AH330:$AV330,Calc!$I$10),INDEX('Avalanche Engine'!$AH330:$AV330,Calc!$J$10),INDEX('My Order Engine'!$AH330:$AV330,Calc!$K$10)),"")</f>
        <v/>
      </c>
      <c r="H328" s="25" t="str">
        <f>IF(AND($A328&lt;=IF(Calc!$C$36=999,360,Calc!$C$36),Calc!$C$11=1),CHOOSE(Calc!$C$3,INDEX('Snowball Engine'!$AH330:$AV330,Calc!$I$11),INDEX('Avalanche Engine'!$AH330:$AV330,Calc!$J$11),INDEX('My Order Engine'!$AH330:$AV330,Calc!$K$11)),"")</f>
        <v/>
      </c>
      <c r="I328" s="25" t="str">
        <f>IF(AND($A328&lt;=IF(Calc!$C$36=999,360,Calc!$C$36),Calc!$C$12=1),CHOOSE(Calc!$C$3,INDEX('Snowball Engine'!$AH330:$AV330,Calc!$I$12),INDEX('Avalanche Engine'!$AH330:$AV330,Calc!$J$12),INDEX('My Order Engine'!$AH330:$AV330,Calc!$K$12)),"")</f>
        <v/>
      </c>
      <c r="J328" s="25" t="str">
        <f>IF(AND($A328&lt;=IF(Calc!$C$36=999,360,Calc!$C$36),Calc!$C$13=1),CHOOSE(Calc!$C$3,INDEX('Snowball Engine'!$AH330:$AV330,Calc!$I$13),INDEX('Avalanche Engine'!$AH330:$AV330,Calc!$J$13),INDEX('My Order Engine'!$AH330:$AV330,Calc!$K$13)),"")</f>
        <v/>
      </c>
      <c r="K328" s="25" t="str">
        <f>IF(AND($A328&lt;=IF(Calc!$C$36=999,360,Calc!$C$36),Calc!$C$14=1),CHOOSE(Calc!$C$3,INDEX('Snowball Engine'!$AH330:$AV330,Calc!$I$14),INDEX('Avalanche Engine'!$AH330:$AV330,Calc!$J$14),INDEX('My Order Engine'!$AH330:$AV330,Calc!$K$14)),"")</f>
        <v/>
      </c>
      <c r="L328" s="25" t="str">
        <f>IF(AND($A328&lt;=IF(Calc!$C$36=999,360,Calc!$C$36),Calc!$C$15=1),CHOOSE(Calc!$C$3,INDEX('Snowball Engine'!$AH330:$AV330,Calc!$I$15),INDEX('Avalanche Engine'!$AH330:$AV330,Calc!$J$15),INDEX('My Order Engine'!$AH330:$AV330,Calc!$K$15)),"")</f>
        <v/>
      </c>
      <c r="M328" s="25" t="str">
        <f>IF(AND($A328&lt;=IF(Calc!$C$36=999,360,Calc!$C$36),Calc!$C$16=1),CHOOSE(Calc!$C$3,INDEX('Snowball Engine'!$AH330:$AV330,Calc!$I$16),INDEX('Avalanche Engine'!$AH330:$AV330,Calc!$J$16),INDEX('My Order Engine'!$AH330:$AV330,Calc!$K$16)),"")</f>
        <v/>
      </c>
      <c r="N328" s="25" t="str">
        <f>IF(AND($A328&lt;=IF(Calc!$C$36=999,360,Calc!$C$36),Calc!$C$17=1),CHOOSE(Calc!$C$3,INDEX('Snowball Engine'!$AH330:$AV330,Calc!$I$17),INDEX('Avalanche Engine'!$AH330:$AV330,Calc!$J$17),INDEX('My Order Engine'!$AH330:$AV330,Calc!$K$17)),"")</f>
        <v/>
      </c>
      <c r="O328" s="25" t="str">
        <f>IF(AND($A328&lt;=IF(Calc!$C$36=999,360,Calc!$C$36),Calc!$C$18=1),CHOOSE(Calc!$C$3,INDEX('Snowball Engine'!$AH330:$AV330,Calc!$I$18),INDEX('Avalanche Engine'!$AH330:$AV330,Calc!$J$18),INDEX('My Order Engine'!$AH330:$AV330,Calc!$K$18)),"")</f>
        <v/>
      </c>
      <c r="P328" s="25" t="str">
        <f>IF(AND($A328&lt;=IF(Calc!$C$36=999,360,Calc!$C$36),Calc!$C$19=1),CHOOSE(Calc!$C$3,INDEX('Snowball Engine'!$AH330:$AV330,Calc!$I$19),INDEX('Avalanche Engine'!$AH330:$AV330,Calc!$J$19),INDEX('My Order Engine'!$AH330:$AV330,Calc!$K$19)),"")</f>
        <v/>
      </c>
      <c r="Q328" s="25" t="str">
        <f>IF(AND($A328&lt;=IF(Calc!$C$36=999,360,Calc!$C$36),Calc!$C$20=1),CHOOSE(Calc!$C$3,INDEX('Snowball Engine'!$AH330:$AV330,Calc!$I$20),INDEX('Avalanche Engine'!$AH330:$AV330,Calc!$J$20),INDEX('My Order Engine'!$AH330:$AV330,Calc!$K$20)),"")</f>
        <v/>
      </c>
      <c r="R328" s="25" t="str">
        <f>IF(AND($A328&lt;=IF(Calc!$C$36=999,360,Calc!$C$36),Calc!$C$21=1),CHOOSE(Calc!$C$3,INDEX('Snowball Engine'!$AH330:$AV330,Calc!$I$21),INDEX('Avalanche Engine'!$AH330:$AV330,Calc!$J$21),INDEX('My Order Engine'!$AH330:$AV330,Calc!$K$21)),"")</f>
        <v/>
      </c>
      <c r="S328" s="25" t="str">
        <f>IF(AND($A328&lt;=IF(Calc!$C$36=999,360,Calc!$C$36),Calc!$C$22=1),CHOOSE(Calc!$C$3,INDEX('Snowball Engine'!$AH330:$AV330,Calc!$I$22),INDEX('Avalanche Engine'!$AH330:$AV330,Calc!$J$22),INDEX('My Order Engine'!$AH330:$AV330,Calc!$K$22)),"")</f>
        <v/>
      </c>
      <c r="T328" s="25" t="str">
        <f>IF(AND($A328&lt;=IF(Calc!$C$36=999,360,Calc!$C$36),Calc!$C$23=1),CHOOSE(Calc!$C$3,INDEX('Snowball Engine'!$AH330:$AV330,Calc!$I$23),INDEX('Avalanche Engine'!$AH330:$AV330,Calc!$J$23),INDEX('My Order Engine'!$AH330:$AV330,Calc!$K$23)),"")</f>
        <v/>
      </c>
      <c r="U328" s="25" t="str">
        <f>IF(AND($A328&lt;=IF(Calc!$C$36=999,360,Calc!$C$36),Calc!$C$24=1),CHOOSE(Calc!$C$3,INDEX('Snowball Engine'!$AH330:$AV330,Calc!$I$24),INDEX('Avalanche Engine'!$AH330:$AV330,Calc!$J$24),INDEX('My Order Engine'!$AH330:$AV330,Calc!$K$24)),"")</f>
        <v/>
      </c>
    </row>
    <row r="329" spans="1:21" x14ac:dyDescent="0.35">
      <c r="A329" s="23">
        <v>325</v>
      </c>
      <c r="B329" s="24" t="str">
        <f>IF($A329&lt;=IF(Calc!$C$36=999,360,Calc!$C$36),EDATE(Calc!$C$5,A329-1),"")</f>
        <v/>
      </c>
      <c r="C329" s="25" t="str">
        <f>IF($A329&lt;=IF(Calc!$C$36=999,360,Calc!$C$36),CHOOSE(Calc!$C$3,'Snowball Engine'!AY331,'Avalanche Engine'!AY331,'My Order Engine'!AY331),"")</f>
        <v/>
      </c>
      <c r="D329" s="25" t="str">
        <f>IF($A329&lt;=IF(Calc!$C$36=999,360,Calc!$C$36),CHOOSE(Calc!$C$3,'Snowball Engine'!AX331,'Avalanche Engine'!AX331,'My Order Engine'!AX331),"")</f>
        <v/>
      </c>
      <c r="E329" s="25" t="str">
        <f>IF($A329&lt;=IF(Calc!$C$36=999,360,Calc!$C$36),C329-D329,"")</f>
        <v/>
      </c>
      <c r="F329" s="25" t="str">
        <f>IF($A329&lt;=IF(Calc!$C$36=999,360,Calc!$C$36),CHOOSE(Calc!$C$3,'Snowball Engine'!AW331,'Avalanche Engine'!AW331,'My Order Engine'!AW331),"")</f>
        <v/>
      </c>
      <c r="G329" s="25" t="str">
        <f>IF(AND($A329&lt;=IF(Calc!$C$36=999,360,Calc!$C$36),Calc!$C$10=1),CHOOSE(Calc!$C$3,INDEX('Snowball Engine'!$AH331:$AV331,Calc!$I$10),INDEX('Avalanche Engine'!$AH331:$AV331,Calc!$J$10),INDEX('My Order Engine'!$AH331:$AV331,Calc!$K$10)),"")</f>
        <v/>
      </c>
      <c r="H329" s="25" t="str">
        <f>IF(AND($A329&lt;=IF(Calc!$C$36=999,360,Calc!$C$36),Calc!$C$11=1),CHOOSE(Calc!$C$3,INDEX('Snowball Engine'!$AH331:$AV331,Calc!$I$11),INDEX('Avalanche Engine'!$AH331:$AV331,Calc!$J$11),INDEX('My Order Engine'!$AH331:$AV331,Calc!$K$11)),"")</f>
        <v/>
      </c>
      <c r="I329" s="25" t="str">
        <f>IF(AND($A329&lt;=IF(Calc!$C$36=999,360,Calc!$C$36),Calc!$C$12=1),CHOOSE(Calc!$C$3,INDEX('Snowball Engine'!$AH331:$AV331,Calc!$I$12),INDEX('Avalanche Engine'!$AH331:$AV331,Calc!$J$12),INDEX('My Order Engine'!$AH331:$AV331,Calc!$K$12)),"")</f>
        <v/>
      </c>
      <c r="J329" s="25" t="str">
        <f>IF(AND($A329&lt;=IF(Calc!$C$36=999,360,Calc!$C$36),Calc!$C$13=1),CHOOSE(Calc!$C$3,INDEX('Snowball Engine'!$AH331:$AV331,Calc!$I$13),INDEX('Avalanche Engine'!$AH331:$AV331,Calc!$J$13),INDEX('My Order Engine'!$AH331:$AV331,Calc!$K$13)),"")</f>
        <v/>
      </c>
      <c r="K329" s="25" t="str">
        <f>IF(AND($A329&lt;=IF(Calc!$C$36=999,360,Calc!$C$36),Calc!$C$14=1),CHOOSE(Calc!$C$3,INDEX('Snowball Engine'!$AH331:$AV331,Calc!$I$14),INDEX('Avalanche Engine'!$AH331:$AV331,Calc!$J$14),INDEX('My Order Engine'!$AH331:$AV331,Calc!$K$14)),"")</f>
        <v/>
      </c>
      <c r="L329" s="25" t="str">
        <f>IF(AND($A329&lt;=IF(Calc!$C$36=999,360,Calc!$C$36),Calc!$C$15=1),CHOOSE(Calc!$C$3,INDEX('Snowball Engine'!$AH331:$AV331,Calc!$I$15),INDEX('Avalanche Engine'!$AH331:$AV331,Calc!$J$15),INDEX('My Order Engine'!$AH331:$AV331,Calc!$K$15)),"")</f>
        <v/>
      </c>
      <c r="M329" s="25" t="str">
        <f>IF(AND($A329&lt;=IF(Calc!$C$36=999,360,Calc!$C$36),Calc!$C$16=1),CHOOSE(Calc!$C$3,INDEX('Snowball Engine'!$AH331:$AV331,Calc!$I$16),INDEX('Avalanche Engine'!$AH331:$AV331,Calc!$J$16),INDEX('My Order Engine'!$AH331:$AV331,Calc!$K$16)),"")</f>
        <v/>
      </c>
      <c r="N329" s="25" t="str">
        <f>IF(AND($A329&lt;=IF(Calc!$C$36=999,360,Calc!$C$36),Calc!$C$17=1),CHOOSE(Calc!$C$3,INDEX('Snowball Engine'!$AH331:$AV331,Calc!$I$17),INDEX('Avalanche Engine'!$AH331:$AV331,Calc!$J$17),INDEX('My Order Engine'!$AH331:$AV331,Calc!$K$17)),"")</f>
        <v/>
      </c>
      <c r="O329" s="25" t="str">
        <f>IF(AND($A329&lt;=IF(Calc!$C$36=999,360,Calc!$C$36),Calc!$C$18=1),CHOOSE(Calc!$C$3,INDEX('Snowball Engine'!$AH331:$AV331,Calc!$I$18),INDEX('Avalanche Engine'!$AH331:$AV331,Calc!$J$18),INDEX('My Order Engine'!$AH331:$AV331,Calc!$K$18)),"")</f>
        <v/>
      </c>
      <c r="P329" s="25" t="str">
        <f>IF(AND($A329&lt;=IF(Calc!$C$36=999,360,Calc!$C$36),Calc!$C$19=1),CHOOSE(Calc!$C$3,INDEX('Snowball Engine'!$AH331:$AV331,Calc!$I$19),INDEX('Avalanche Engine'!$AH331:$AV331,Calc!$J$19),INDEX('My Order Engine'!$AH331:$AV331,Calc!$K$19)),"")</f>
        <v/>
      </c>
      <c r="Q329" s="25" t="str">
        <f>IF(AND($A329&lt;=IF(Calc!$C$36=999,360,Calc!$C$36),Calc!$C$20=1),CHOOSE(Calc!$C$3,INDEX('Snowball Engine'!$AH331:$AV331,Calc!$I$20),INDEX('Avalanche Engine'!$AH331:$AV331,Calc!$J$20),INDEX('My Order Engine'!$AH331:$AV331,Calc!$K$20)),"")</f>
        <v/>
      </c>
      <c r="R329" s="25" t="str">
        <f>IF(AND($A329&lt;=IF(Calc!$C$36=999,360,Calc!$C$36),Calc!$C$21=1),CHOOSE(Calc!$C$3,INDEX('Snowball Engine'!$AH331:$AV331,Calc!$I$21),INDEX('Avalanche Engine'!$AH331:$AV331,Calc!$J$21),INDEX('My Order Engine'!$AH331:$AV331,Calc!$K$21)),"")</f>
        <v/>
      </c>
      <c r="S329" s="25" t="str">
        <f>IF(AND($A329&lt;=IF(Calc!$C$36=999,360,Calc!$C$36),Calc!$C$22=1),CHOOSE(Calc!$C$3,INDEX('Snowball Engine'!$AH331:$AV331,Calc!$I$22),INDEX('Avalanche Engine'!$AH331:$AV331,Calc!$J$22),INDEX('My Order Engine'!$AH331:$AV331,Calc!$K$22)),"")</f>
        <v/>
      </c>
      <c r="T329" s="25" t="str">
        <f>IF(AND($A329&lt;=IF(Calc!$C$36=999,360,Calc!$C$36),Calc!$C$23=1),CHOOSE(Calc!$C$3,INDEX('Snowball Engine'!$AH331:$AV331,Calc!$I$23),INDEX('Avalanche Engine'!$AH331:$AV331,Calc!$J$23),INDEX('My Order Engine'!$AH331:$AV331,Calc!$K$23)),"")</f>
        <v/>
      </c>
      <c r="U329" s="25" t="str">
        <f>IF(AND($A329&lt;=IF(Calc!$C$36=999,360,Calc!$C$36),Calc!$C$24=1),CHOOSE(Calc!$C$3,INDEX('Snowball Engine'!$AH331:$AV331,Calc!$I$24),INDEX('Avalanche Engine'!$AH331:$AV331,Calc!$J$24),INDEX('My Order Engine'!$AH331:$AV331,Calc!$K$24)),"")</f>
        <v/>
      </c>
    </row>
    <row r="330" spans="1:21" x14ac:dyDescent="0.35">
      <c r="A330" s="23">
        <v>326</v>
      </c>
      <c r="B330" s="24" t="str">
        <f>IF($A330&lt;=IF(Calc!$C$36=999,360,Calc!$C$36),EDATE(Calc!$C$5,A330-1),"")</f>
        <v/>
      </c>
      <c r="C330" s="25" t="str">
        <f>IF($A330&lt;=IF(Calc!$C$36=999,360,Calc!$C$36),CHOOSE(Calc!$C$3,'Snowball Engine'!AY332,'Avalanche Engine'!AY332,'My Order Engine'!AY332),"")</f>
        <v/>
      </c>
      <c r="D330" s="25" t="str">
        <f>IF($A330&lt;=IF(Calc!$C$36=999,360,Calc!$C$36),CHOOSE(Calc!$C$3,'Snowball Engine'!AX332,'Avalanche Engine'!AX332,'My Order Engine'!AX332),"")</f>
        <v/>
      </c>
      <c r="E330" s="25" t="str">
        <f>IF($A330&lt;=IF(Calc!$C$36=999,360,Calc!$C$36),C330-D330,"")</f>
        <v/>
      </c>
      <c r="F330" s="25" t="str">
        <f>IF($A330&lt;=IF(Calc!$C$36=999,360,Calc!$C$36),CHOOSE(Calc!$C$3,'Snowball Engine'!AW332,'Avalanche Engine'!AW332,'My Order Engine'!AW332),"")</f>
        <v/>
      </c>
      <c r="G330" s="25" t="str">
        <f>IF(AND($A330&lt;=IF(Calc!$C$36=999,360,Calc!$C$36),Calc!$C$10=1),CHOOSE(Calc!$C$3,INDEX('Snowball Engine'!$AH332:$AV332,Calc!$I$10),INDEX('Avalanche Engine'!$AH332:$AV332,Calc!$J$10),INDEX('My Order Engine'!$AH332:$AV332,Calc!$K$10)),"")</f>
        <v/>
      </c>
      <c r="H330" s="25" t="str">
        <f>IF(AND($A330&lt;=IF(Calc!$C$36=999,360,Calc!$C$36),Calc!$C$11=1),CHOOSE(Calc!$C$3,INDEX('Snowball Engine'!$AH332:$AV332,Calc!$I$11),INDEX('Avalanche Engine'!$AH332:$AV332,Calc!$J$11),INDEX('My Order Engine'!$AH332:$AV332,Calc!$K$11)),"")</f>
        <v/>
      </c>
      <c r="I330" s="25" t="str">
        <f>IF(AND($A330&lt;=IF(Calc!$C$36=999,360,Calc!$C$36),Calc!$C$12=1),CHOOSE(Calc!$C$3,INDEX('Snowball Engine'!$AH332:$AV332,Calc!$I$12),INDEX('Avalanche Engine'!$AH332:$AV332,Calc!$J$12),INDEX('My Order Engine'!$AH332:$AV332,Calc!$K$12)),"")</f>
        <v/>
      </c>
      <c r="J330" s="25" t="str">
        <f>IF(AND($A330&lt;=IF(Calc!$C$36=999,360,Calc!$C$36),Calc!$C$13=1),CHOOSE(Calc!$C$3,INDEX('Snowball Engine'!$AH332:$AV332,Calc!$I$13),INDEX('Avalanche Engine'!$AH332:$AV332,Calc!$J$13),INDEX('My Order Engine'!$AH332:$AV332,Calc!$K$13)),"")</f>
        <v/>
      </c>
      <c r="K330" s="25" t="str">
        <f>IF(AND($A330&lt;=IF(Calc!$C$36=999,360,Calc!$C$36),Calc!$C$14=1),CHOOSE(Calc!$C$3,INDEX('Snowball Engine'!$AH332:$AV332,Calc!$I$14),INDEX('Avalanche Engine'!$AH332:$AV332,Calc!$J$14),INDEX('My Order Engine'!$AH332:$AV332,Calc!$K$14)),"")</f>
        <v/>
      </c>
      <c r="L330" s="25" t="str">
        <f>IF(AND($A330&lt;=IF(Calc!$C$36=999,360,Calc!$C$36),Calc!$C$15=1),CHOOSE(Calc!$C$3,INDEX('Snowball Engine'!$AH332:$AV332,Calc!$I$15),INDEX('Avalanche Engine'!$AH332:$AV332,Calc!$J$15),INDEX('My Order Engine'!$AH332:$AV332,Calc!$K$15)),"")</f>
        <v/>
      </c>
      <c r="M330" s="25" t="str">
        <f>IF(AND($A330&lt;=IF(Calc!$C$36=999,360,Calc!$C$36),Calc!$C$16=1),CHOOSE(Calc!$C$3,INDEX('Snowball Engine'!$AH332:$AV332,Calc!$I$16),INDEX('Avalanche Engine'!$AH332:$AV332,Calc!$J$16),INDEX('My Order Engine'!$AH332:$AV332,Calc!$K$16)),"")</f>
        <v/>
      </c>
      <c r="N330" s="25" t="str">
        <f>IF(AND($A330&lt;=IF(Calc!$C$36=999,360,Calc!$C$36),Calc!$C$17=1),CHOOSE(Calc!$C$3,INDEX('Snowball Engine'!$AH332:$AV332,Calc!$I$17),INDEX('Avalanche Engine'!$AH332:$AV332,Calc!$J$17),INDEX('My Order Engine'!$AH332:$AV332,Calc!$K$17)),"")</f>
        <v/>
      </c>
      <c r="O330" s="25" t="str">
        <f>IF(AND($A330&lt;=IF(Calc!$C$36=999,360,Calc!$C$36),Calc!$C$18=1),CHOOSE(Calc!$C$3,INDEX('Snowball Engine'!$AH332:$AV332,Calc!$I$18),INDEX('Avalanche Engine'!$AH332:$AV332,Calc!$J$18),INDEX('My Order Engine'!$AH332:$AV332,Calc!$K$18)),"")</f>
        <v/>
      </c>
      <c r="P330" s="25" t="str">
        <f>IF(AND($A330&lt;=IF(Calc!$C$36=999,360,Calc!$C$36),Calc!$C$19=1),CHOOSE(Calc!$C$3,INDEX('Snowball Engine'!$AH332:$AV332,Calc!$I$19),INDEX('Avalanche Engine'!$AH332:$AV332,Calc!$J$19),INDEX('My Order Engine'!$AH332:$AV332,Calc!$K$19)),"")</f>
        <v/>
      </c>
      <c r="Q330" s="25" t="str">
        <f>IF(AND($A330&lt;=IF(Calc!$C$36=999,360,Calc!$C$36),Calc!$C$20=1),CHOOSE(Calc!$C$3,INDEX('Snowball Engine'!$AH332:$AV332,Calc!$I$20),INDEX('Avalanche Engine'!$AH332:$AV332,Calc!$J$20),INDEX('My Order Engine'!$AH332:$AV332,Calc!$K$20)),"")</f>
        <v/>
      </c>
      <c r="R330" s="25" t="str">
        <f>IF(AND($A330&lt;=IF(Calc!$C$36=999,360,Calc!$C$36),Calc!$C$21=1),CHOOSE(Calc!$C$3,INDEX('Snowball Engine'!$AH332:$AV332,Calc!$I$21),INDEX('Avalanche Engine'!$AH332:$AV332,Calc!$J$21),INDEX('My Order Engine'!$AH332:$AV332,Calc!$K$21)),"")</f>
        <v/>
      </c>
      <c r="S330" s="25" t="str">
        <f>IF(AND($A330&lt;=IF(Calc!$C$36=999,360,Calc!$C$36),Calc!$C$22=1),CHOOSE(Calc!$C$3,INDEX('Snowball Engine'!$AH332:$AV332,Calc!$I$22),INDEX('Avalanche Engine'!$AH332:$AV332,Calc!$J$22),INDEX('My Order Engine'!$AH332:$AV332,Calc!$K$22)),"")</f>
        <v/>
      </c>
      <c r="T330" s="25" t="str">
        <f>IF(AND($A330&lt;=IF(Calc!$C$36=999,360,Calc!$C$36),Calc!$C$23=1),CHOOSE(Calc!$C$3,INDEX('Snowball Engine'!$AH332:$AV332,Calc!$I$23),INDEX('Avalanche Engine'!$AH332:$AV332,Calc!$J$23),INDEX('My Order Engine'!$AH332:$AV332,Calc!$K$23)),"")</f>
        <v/>
      </c>
      <c r="U330" s="25" t="str">
        <f>IF(AND($A330&lt;=IF(Calc!$C$36=999,360,Calc!$C$36),Calc!$C$24=1),CHOOSE(Calc!$C$3,INDEX('Snowball Engine'!$AH332:$AV332,Calc!$I$24),INDEX('Avalanche Engine'!$AH332:$AV332,Calc!$J$24),INDEX('My Order Engine'!$AH332:$AV332,Calc!$K$24)),"")</f>
        <v/>
      </c>
    </row>
    <row r="331" spans="1:21" x14ac:dyDescent="0.35">
      <c r="A331" s="23">
        <v>327</v>
      </c>
      <c r="B331" s="24" t="str">
        <f>IF($A331&lt;=IF(Calc!$C$36=999,360,Calc!$C$36),EDATE(Calc!$C$5,A331-1),"")</f>
        <v/>
      </c>
      <c r="C331" s="25" t="str">
        <f>IF($A331&lt;=IF(Calc!$C$36=999,360,Calc!$C$36),CHOOSE(Calc!$C$3,'Snowball Engine'!AY333,'Avalanche Engine'!AY333,'My Order Engine'!AY333),"")</f>
        <v/>
      </c>
      <c r="D331" s="25" t="str">
        <f>IF($A331&lt;=IF(Calc!$C$36=999,360,Calc!$C$36),CHOOSE(Calc!$C$3,'Snowball Engine'!AX333,'Avalanche Engine'!AX333,'My Order Engine'!AX333),"")</f>
        <v/>
      </c>
      <c r="E331" s="25" t="str">
        <f>IF($A331&lt;=IF(Calc!$C$36=999,360,Calc!$C$36),C331-D331,"")</f>
        <v/>
      </c>
      <c r="F331" s="25" t="str">
        <f>IF($A331&lt;=IF(Calc!$C$36=999,360,Calc!$C$36),CHOOSE(Calc!$C$3,'Snowball Engine'!AW333,'Avalanche Engine'!AW333,'My Order Engine'!AW333),"")</f>
        <v/>
      </c>
      <c r="G331" s="25" t="str">
        <f>IF(AND($A331&lt;=IF(Calc!$C$36=999,360,Calc!$C$36),Calc!$C$10=1),CHOOSE(Calc!$C$3,INDEX('Snowball Engine'!$AH333:$AV333,Calc!$I$10),INDEX('Avalanche Engine'!$AH333:$AV333,Calc!$J$10),INDEX('My Order Engine'!$AH333:$AV333,Calc!$K$10)),"")</f>
        <v/>
      </c>
      <c r="H331" s="25" t="str">
        <f>IF(AND($A331&lt;=IF(Calc!$C$36=999,360,Calc!$C$36),Calc!$C$11=1),CHOOSE(Calc!$C$3,INDEX('Snowball Engine'!$AH333:$AV333,Calc!$I$11),INDEX('Avalanche Engine'!$AH333:$AV333,Calc!$J$11),INDEX('My Order Engine'!$AH333:$AV333,Calc!$K$11)),"")</f>
        <v/>
      </c>
      <c r="I331" s="25" t="str">
        <f>IF(AND($A331&lt;=IF(Calc!$C$36=999,360,Calc!$C$36),Calc!$C$12=1),CHOOSE(Calc!$C$3,INDEX('Snowball Engine'!$AH333:$AV333,Calc!$I$12),INDEX('Avalanche Engine'!$AH333:$AV333,Calc!$J$12),INDEX('My Order Engine'!$AH333:$AV333,Calc!$K$12)),"")</f>
        <v/>
      </c>
      <c r="J331" s="25" t="str">
        <f>IF(AND($A331&lt;=IF(Calc!$C$36=999,360,Calc!$C$36),Calc!$C$13=1),CHOOSE(Calc!$C$3,INDEX('Snowball Engine'!$AH333:$AV333,Calc!$I$13),INDEX('Avalanche Engine'!$AH333:$AV333,Calc!$J$13),INDEX('My Order Engine'!$AH333:$AV333,Calc!$K$13)),"")</f>
        <v/>
      </c>
      <c r="K331" s="25" t="str">
        <f>IF(AND($A331&lt;=IF(Calc!$C$36=999,360,Calc!$C$36),Calc!$C$14=1),CHOOSE(Calc!$C$3,INDEX('Snowball Engine'!$AH333:$AV333,Calc!$I$14),INDEX('Avalanche Engine'!$AH333:$AV333,Calc!$J$14),INDEX('My Order Engine'!$AH333:$AV333,Calc!$K$14)),"")</f>
        <v/>
      </c>
      <c r="L331" s="25" t="str">
        <f>IF(AND($A331&lt;=IF(Calc!$C$36=999,360,Calc!$C$36),Calc!$C$15=1),CHOOSE(Calc!$C$3,INDEX('Snowball Engine'!$AH333:$AV333,Calc!$I$15),INDEX('Avalanche Engine'!$AH333:$AV333,Calc!$J$15),INDEX('My Order Engine'!$AH333:$AV333,Calc!$K$15)),"")</f>
        <v/>
      </c>
      <c r="M331" s="25" t="str">
        <f>IF(AND($A331&lt;=IF(Calc!$C$36=999,360,Calc!$C$36),Calc!$C$16=1),CHOOSE(Calc!$C$3,INDEX('Snowball Engine'!$AH333:$AV333,Calc!$I$16),INDEX('Avalanche Engine'!$AH333:$AV333,Calc!$J$16),INDEX('My Order Engine'!$AH333:$AV333,Calc!$K$16)),"")</f>
        <v/>
      </c>
      <c r="N331" s="25" t="str">
        <f>IF(AND($A331&lt;=IF(Calc!$C$36=999,360,Calc!$C$36),Calc!$C$17=1),CHOOSE(Calc!$C$3,INDEX('Snowball Engine'!$AH333:$AV333,Calc!$I$17),INDEX('Avalanche Engine'!$AH333:$AV333,Calc!$J$17),INDEX('My Order Engine'!$AH333:$AV333,Calc!$K$17)),"")</f>
        <v/>
      </c>
      <c r="O331" s="25" t="str">
        <f>IF(AND($A331&lt;=IF(Calc!$C$36=999,360,Calc!$C$36),Calc!$C$18=1),CHOOSE(Calc!$C$3,INDEX('Snowball Engine'!$AH333:$AV333,Calc!$I$18),INDEX('Avalanche Engine'!$AH333:$AV333,Calc!$J$18),INDEX('My Order Engine'!$AH333:$AV333,Calc!$K$18)),"")</f>
        <v/>
      </c>
      <c r="P331" s="25" t="str">
        <f>IF(AND($A331&lt;=IF(Calc!$C$36=999,360,Calc!$C$36),Calc!$C$19=1),CHOOSE(Calc!$C$3,INDEX('Snowball Engine'!$AH333:$AV333,Calc!$I$19),INDEX('Avalanche Engine'!$AH333:$AV333,Calc!$J$19),INDEX('My Order Engine'!$AH333:$AV333,Calc!$K$19)),"")</f>
        <v/>
      </c>
      <c r="Q331" s="25" t="str">
        <f>IF(AND($A331&lt;=IF(Calc!$C$36=999,360,Calc!$C$36),Calc!$C$20=1),CHOOSE(Calc!$C$3,INDEX('Snowball Engine'!$AH333:$AV333,Calc!$I$20),INDEX('Avalanche Engine'!$AH333:$AV333,Calc!$J$20),INDEX('My Order Engine'!$AH333:$AV333,Calc!$K$20)),"")</f>
        <v/>
      </c>
      <c r="R331" s="25" t="str">
        <f>IF(AND($A331&lt;=IF(Calc!$C$36=999,360,Calc!$C$36),Calc!$C$21=1),CHOOSE(Calc!$C$3,INDEX('Snowball Engine'!$AH333:$AV333,Calc!$I$21),INDEX('Avalanche Engine'!$AH333:$AV333,Calc!$J$21),INDEX('My Order Engine'!$AH333:$AV333,Calc!$K$21)),"")</f>
        <v/>
      </c>
      <c r="S331" s="25" t="str">
        <f>IF(AND($A331&lt;=IF(Calc!$C$36=999,360,Calc!$C$36),Calc!$C$22=1),CHOOSE(Calc!$C$3,INDEX('Snowball Engine'!$AH333:$AV333,Calc!$I$22),INDEX('Avalanche Engine'!$AH333:$AV333,Calc!$J$22),INDEX('My Order Engine'!$AH333:$AV333,Calc!$K$22)),"")</f>
        <v/>
      </c>
      <c r="T331" s="25" t="str">
        <f>IF(AND($A331&lt;=IF(Calc!$C$36=999,360,Calc!$C$36),Calc!$C$23=1),CHOOSE(Calc!$C$3,INDEX('Snowball Engine'!$AH333:$AV333,Calc!$I$23),INDEX('Avalanche Engine'!$AH333:$AV333,Calc!$J$23),INDEX('My Order Engine'!$AH333:$AV333,Calc!$K$23)),"")</f>
        <v/>
      </c>
      <c r="U331" s="25" t="str">
        <f>IF(AND($A331&lt;=IF(Calc!$C$36=999,360,Calc!$C$36),Calc!$C$24=1),CHOOSE(Calc!$C$3,INDEX('Snowball Engine'!$AH333:$AV333,Calc!$I$24),INDEX('Avalanche Engine'!$AH333:$AV333,Calc!$J$24),INDEX('My Order Engine'!$AH333:$AV333,Calc!$K$24)),"")</f>
        <v/>
      </c>
    </row>
    <row r="332" spans="1:21" x14ac:dyDescent="0.35">
      <c r="A332" s="23">
        <v>328</v>
      </c>
      <c r="B332" s="24" t="str">
        <f>IF($A332&lt;=IF(Calc!$C$36=999,360,Calc!$C$36),EDATE(Calc!$C$5,A332-1),"")</f>
        <v/>
      </c>
      <c r="C332" s="25" t="str">
        <f>IF($A332&lt;=IF(Calc!$C$36=999,360,Calc!$C$36),CHOOSE(Calc!$C$3,'Snowball Engine'!AY334,'Avalanche Engine'!AY334,'My Order Engine'!AY334),"")</f>
        <v/>
      </c>
      <c r="D332" s="25" t="str">
        <f>IF($A332&lt;=IF(Calc!$C$36=999,360,Calc!$C$36),CHOOSE(Calc!$C$3,'Snowball Engine'!AX334,'Avalanche Engine'!AX334,'My Order Engine'!AX334),"")</f>
        <v/>
      </c>
      <c r="E332" s="25" t="str">
        <f>IF($A332&lt;=IF(Calc!$C$36=999,360,Calc!$C$36),C332-D332,"")</f>
        <v/>
      </c>
      <c r="F332" s="25" t="str">
        <f>IF($A332&lt;=IF(Calc!$C$36=999,360,Calc!$C$36),CHOOSE(Calc!$C$3,'Snowball Engine'!AW334,'Avalanche Engine'!AW334,'My Order Engine'!AW334),"")</f>
        <v/>
      </c>
      <c r="G332" s="25" t="str">
        <f>IF(AND($A332&lt;=IF(Calc!$C$36=999,360,Calc!$C$36),Calc!$C$10=1),CHOOSE(Calc!$C$3,INDEX('Snowball Engine'!$AH334:$AV334,Calc!$I$10),INDEX('Avalanche Engine'!$AH334:$AV334,Calc!$J$10),INDEX('My Order Engine'!$AH334:$AV334,Calc!$K$10)),"")</f>
        <v/>
      </c>
      <c r="H332" s="25" t="str">
        <f>IF(AND($A332&lt;=IF(Calc!$C$36=999,360,Calc!$C$36),Calc!$C$11=1),CHOOSE(Calc!$C$3,INDEX('Snowball Engine'!$AH334:$AV334,Calc!$I$11),INDEX('Avalanche Engine'!$AH334:$AV334,Calc!$J$11),INDEX('My Order Engine'!$AH334:$AV334,Calc!$K$11)),"")</f>
        <v/>
      </c>
      <c r="I332" s="25" t="str">
        <f>IF(AND($A332&lt;=IF(Calc!$C$36=999,360,Calc!$C$36),Calc!$C$12=1),CHOOSE(Calc!$C$3,INDEX('Snowball Engine'!$AH334:$AV334,Calc!$I$12),INDEX('Avalanche Engine'!$AH334:$AV334,Calc!$J$12),INDEX('My Order Engine'!$AH334:$AV334,Calc!$K$12)),"")</f>
        <v/>
      </c>
      <c r="J332" s="25" t="str">
        <f>IF(AND($A332&lt;=IF(Calc!$C$36=999,360,Calc!$C$36),Calc!$C$13=1),CHOOSE(Calc!$C$3,INDEX('Snowball Engine'!$AH334:$AV334,Calc!$I$13),INDEX('Avalanche Engine'!$AH334:$AV334,Calc!$J$13),INDEX('My Order Engine'!$AH334:$AV334,Calc!$K$13)),"")</f>
        <v/>
      </c>
      <c r="K332" s="25" t="str">
        <f>IF(AND($A332&lt;=IF(Calc!$C$36=999,360,Calc!$C$36),Calc!$C$14=1),CHOOSE(Calc!$C$3,INDEX('Snowball Engine'!$AH334:$AV334,Calc!$I$14),INDEX('Avalanche Engine'!$AH334:$AV334,Calc!$J$14),INDEX('My Order Engine'!$AH334:$AV334,Calc!$K$14)),"")</f>
        <v/>
      </c>
      <c r="L332" s="25" t="str">
        <f>IF(AND($A332&lt;=IF(Calc!$C$36=999,360,Calc!$C$36),Calc!$C$15=1),CHOOSE(Calc!$C$3,INDEX('Snowball Engine'!$AH334:$AV334,Calc!$I$15),INDEX('Avalanche Engine'!$AH334:$AV334,Calc!$J$15),INDEX('My Order Engine'!$AH334:$AV334,Calc!$K$15)),"")</f>
        <v/>
      </c>
      <c r="M332" s="25" t="str">
        <f>IF(AND($A332&lt;=IF(Calc!$C$36=999,360,Calc!$C$36),Calc!$C$16=1),CHOOSE(Calc!$C$3,INDEX('Snowball Engine'!$AH334:$AV334,Calc!$I$16),INDEX('Avalanche Engine'!$AH334:$AV334,Calc!$J$16),INDEX('My Order Engine'!$AH334:$AV334,Calc!$K$16)),"")</f>
        <v/>
      </c>
      <c r="N332" s="25" t="str">
        <f>IF(AND($A332&lt;=IF(Calc!$C$36=999,360,Calc!$C$36),Calc!$C$17=1),CHOOSE(Calc!$C$3,INDEX('Snowball Engine'!$AH334:$AV334,Calc!$I$17),INDEX('Avalanche Engine'!$AH334:$AV334,Calc!$J$17),INDEX('My Order Engine'!$AH334:$AV334,Calc!$K$17)),"")</f>
        <v/>
      </c>
      <c r="O332" s="25" t="str">
        <f>IF(AND($A332&lt;=IF(Calc!$C$36=999,360,Calc!$C$36),Calc!$C$18=1),CHOOSE(Calc!$C$3,INDEX('Snowball Engine'!$AH334:$AV334,Calc!$I$18),INDEX('Avalanche Engine'!$AH334:$AV334,Calc!$J$18),INDEX('My Order Engine'!$AH334:$AV334,Calc!$K$18)),"")</f>
        <v/>
      </c>
      <c r="P332" s="25" t="str">
        <f>IF(AND($A332&lt;=IF(Calc!$C$36=999,360,Calc!$C$36),Calc!$C$19=1),CHOOSE(Calc!$C$3,INDEX('Snowball Engine'!$AH334:$AV334,Calc!$I$19),INDEX('Avalanche Engine'!$AH334:$AV334,Calc!$J$19),INDEX('My Order Engine'!$AH334:$AV334,Calc!$K$19)),"")</f>
        <v/>
      </c>
      <c r="Q332" s="25" t="str">
        <f>IF(AND($A332&lt;=IF(Calc!$C$36=999,360,Calc!$C$36),Calc!$C$20=1),CHOOSE(Calc!$C$3,INDEX('Snowball Engine'!$AH334:$AV334,Calc!$I$20),INDEX('Avalanche Engine'!$AH334:$AV334,Calc!$J$20),INDEX('My Order Engine'!$AH334:$AV334,Calc!$K$20)),"")</f>
        <v/>
      </c>
      <c r="R332" s="25" t="str">
        <f>IF(AND($A332&lt;=IF(Calc!$C$36=999,360,Calc!$C$36),Calc!$C$21=1),CHOOSE(Calc!$C$3,INDEX('Snowball Engine'!$AH334:$AV334,Calc!$I$21),INDEX('Avalanche Engine'!$AH334:$AV334,Calc!$J$21),INDEX('My Order Engine'!$AH334:$AV334,Calc!$K$21)),"")</f>
        <v/>
      </c>
      <c r="S332" s="25" t="str">
        <f>IF(AND($A332&lt;=IF(Calc!$C$36=999,360,Calc!$C$36),Calc!$C$22=1),CHOOSE(Calc!$C$3,INDEX('Snowball Engine'!$AH334:$AV334,Calc!$I$22),INDEX('Avalanche Engine'!$AH334:$AV334,Calc!$J$22),INDEX('My Order Engine'!$AH334:$AV334,Calc!$K$22)),"")</f>
        <v/>
      </c>
      <c r="T332" s="25" t="str">
        <f>IF(AND($A332&lt;=IF(Calc!$C$36=999,360,Calc!$C$36),Calc!$C$23=1),CHOOSE(Calc!$C$3,INDEX('Snowball Engine'!$AH334:$AV334,Calc!$I$23),INDEX('Avalanche Engine'!$AH334:$AV334,Calc!$J$23),INDEX('My Order Engine'!$AH334:$AV334,Calc!$K$23)),"")</f>
        <v/>
      </c>
      <c r="U332" s="25" t="str">
        <f>IF(AND($A332&lt;=IF(Calc!$C$36=999,360,Calc!$C$36),Calc!$C$24=1),CHOOSE(Calc!$C$3,INDEX('Snowball Engine'!$AH334:$AV334,Calc!$I$24),INDEX('Avalanche Engine'!$AH334:$AV334,Calc!$J$24),INDEX('My Order Engine'!$AH334:$AV334,Calc!$K$24)),"")</f>
        <v/>
      </c>
    </row>
    <row r="333" spans="1:21" x14ac:dyDescent="0.35">
      <c r="A333" s="23">
        <v>329</v>
      </c>
      <c r="B333" s="24" t="str">
        <f>IF($A333&lt;=IF(Calc!$C$36=999,360,Calc!$C$36),EDATE(Calc!$C$5,A333-1),"")</f>
        <v/>
      </c>
      <c r="C333" s="25" t="str">
        <f>IF($A333&lt;=IF(Calc!$C$36=999,360,Calc!$C$36),CHOOSE(Calc!$C$3,'Snowball Engine'!AY335,'Avalanche Engine'!AY335,'My Order Engine'!AY335),"")</f>
        <v/>
      </c>
      <c r="D333" s="25" t="str">
        <f>IF($A333&lt;=IF(Calc!$C$36=999,360,Calc!$C$36),CHOOSE(Calc!$C$3,'Snowball Engine'!AX335,'Avalanche Engine'!AX335,'My Order Engine'!AX335),"")</f>
        <v/>
      </c>
      <c r="E333" s="25" t="str">
        <f>IF($A333&lt;=IF(Calc!$C$36=999,360,Calc!$C$36),C333-D333,"")</f>
        <v/>
      </c>
      <c r="F333" s="25" t="str">
        <f>IF($A333&lt;=IF(Calc!$C$36=999,360,Calc!$C$36),CHOOSE(Calc!$C$3,'Snowball Engine'!AW335,'Avalanche Engine'!AW335,'My Order Engine'!AW335),"")</f>
        <v/>
      </c>
      <c r="G333" s="25" t="str">
        <f>IF(AND($A333&lt;=IF(Calc!$C$36=999,360,Calc!$C$36),Calc!$C$10=1),CHOOSE(Calc!$C$3,INDEX('Snowball Engine'!$AH335:$AV335,Calc!$I$10),INDEX('Avalanche Engine'!$AH335:$AV335,Calc!$J$10),INDEX('My Order Engine'!$AH335:$AV335,Calc!$K$10)),"")</f>
        <v/>
      </c>
      <c r="H333" s="25" t="str">
        <f>IF(AND($A333&lt;=IF(Calc!$C$36=999,360,Calc!$C$36),Calc!$C$11=1),CHOOSE(Calc!$C$3,INDEX('Snowball Engine'!$AH335:$AV335,Calc!$I$11),INDEX('Avalanche Engine'!$AH335:$AV335,Calc!$J$11),INDEX('My Order Engine'!$AH335:$AV335,Calc!$K$11)),"")</f>
        <v/>
      </c>
      <c r="I333" s="25" t="str">
        <f>IF(AND($A333&lt;=IF(Calc!$C$36=999,360,Calc!$C$36),Calc!$C$12=1),CHOOSE(Calc!$C$3,INDEX('Snowball Engine'!$AH335:$AV335,Calc!$I$12),INDEX('Avalanche Engine'!$AH335:$AV335,Calc!$J$12),INDEX('My Order Engine'!$AH335:$AV335,Calc!$K$12)),"")</f>
        <v/>
      </c>
      <c r="J333" s="25" t="str">
        <f>IF(AND($A333&lt;=IF(Calc!$C$36=999,360,Calc!$C$36),Calc!$C$13=1),CHOOSE(Calc!$C$3,INDEX('Snowball Engine'!$AH335:$AV335,Calc!$I$13),INDEX('Avalanche Engine'!$AH335:$AV335,Calc!$J$13),INDEX('My Order Engine'!$AH335:$AV335,Calc!$K$13)),"")</f>
        <v/>
      </c>
      <c r="K333" s="25" t="str">
        <f>IF(AND($A333&lt;=IF(Calc!$C$36=999,360,Calc!$C$36),Calc!$C$14=1),CHOOSE(Calc!$C$3,INDEX('Snowball Engine'!$AH335:$AV335,Calc!$I$14),INDEX('Avalanche Engine'!$AH335:$AV335,Calc!$J$14),INDEX('My Order Engine'!$AH335:$AV335,Calc!$K$14)),"")</f>
        <v/>
      </c>
      <c r="L333" s="25" t="str">
        <f>IF(AND($A333&lt;=IF(Calc!$C$36=999,360,Calc!$C$36),Calc!$C$15=1),CHOOSE(Calc!$C$3,INDEX('Snowball Engine'!$AH335:$AV335,Calc!$I$15),INDEX('Avalanche Engine'!$AH335:$AV335,Calc!$J$15),INDEX('My Order Engine'!$AH335:$AV335,Calc!$K$15)),"")</f>
        <v/>
      </c>
      <c r="M333" s="25" t="str">
        <f>IF(AND($A333&lt;=IF(Calc!$C$36=999,360,Calc!$C$36),Calc!$C$16=1),CHOOSE(Calc!$C$3,INDEX('Snowball Engine'!$AH335:$AV335,Calc!$I$16),INDEX('Avalanche Engine'!$AH335:$AV335,Calc!$J$16),INDEX('My Order Engine'!$AH335:$AV335,Calc!$K$16)),"")</f>
        <v/>
      </c>
      <c r="N333" s="25" t="str">
        <f>IF(AND($A333&lt;=IF(Calc!$C$36=999,360,Calc!$C$36),Calc!$C$17=1),CHOOSE(Calc!$C$3,INDEX('Snowball Engine'!$AH335:$AV335,Calc!$I$17),INDEX('Avalanche Engine'!$AH335:$AV335,Calc!$J$17),INDEX('My Order Engine'!$AH335:$AV335,Calc!$K$17)),"")</f>
        <v/>
      </c>
      <c r="O333" s="25" t="str">
        <f>IF(AND($A333&lt;=IF(Calc!$C$36=999,360,Calc!$C$36),Calc!$C$18=1),CHOOSE(Calc!$C$3,INDEX('Snowball Engine'!$AH335:$AV335,Calc!$I$18),INDEX('Avalanche Engine'!$AH335:$AV335,Calc!$J$18),INDEX('My Order Engine'!$AH335:$AV335,Calc!$K$18)),"")</f>
        <v/>
      </c>
      <c r="P333" s="25" t="str">
        <f>IF(AND($A333&lt;=IF(Calc!$C$36=999,360,Calc!$C$36),Calc!$C$19=1),CHOOSE(Calc!$C$3,INDEX('Snowball Engine'!$AH335:$AV335,Calc!$I$19),INDEX('Avalanche Engine'!$AH335:$AV335,Calc!$J$19),INDEX('My Order Engine'!$AH335:$AV335,Calc!$K$19)),"")</f>
        <v/>
      </c>
      <c r="Q333" s="25" t="str">
        <f>IF(AND($A333&lt;=IF(Calc!$C$36=999,360,Calc!$C$36),Calc!$C$20=1),CHOOSE(Calc!$C$3,INDEX('Snowball Engine'!$AH335:$AV335,Calc!$I$20),INDEX('Avalanche Engine'!$AH335:$AV335,Calc!$J$20),INDEX('My Order Engine'!$AH335:$AV335,Calc!$K$20)),"")</f>
        <v/>
      </c>
      <c r="R333" s="25" t="str">
        <f>IF(AND($A333&lt;=IF(Calc!$C$36=999,360,Calc!$C$36),Calc!$C$21=1),CHOOSE(Calc!$C$3,INDEX('Snowball Engine'!$AH335:$AV335,Calc!$I$21),INDEX('Avalanche Engine'!$AH335:$AV335,Calc!$J$21),INDEX('My Order Engine'!$AH335:$AV335,Calc!$K$21)),"")</f>
        <v/>
      </c>
      <c r="S333" s="25" t="str">
        <f>IF(AND($A333&lt;=IF(Calc!$C$36=999,360,Calc!$C$36),Calc!$C$22=1),CHOOSE(Calc!$C$3,INDEX('Snowball Engine'!$AH335:$AV335,Calc!$I$22),INDEX('Avalanche Engine'!$AH335:$AV335,Calc!$J$22),INDEX('My Order Engine'!$AH335:$AV335,Calc!$K$22)),"")</f>
        <v/>
      </c>
      <c r="T333" s="25" t="str">
        <f>IF(AND($A333&lt;=IF(Calc!$C$36=999,360,Calc!$C$36),Calc!$C$23=1),CHOOSE(Calc!$C$3,INDEX('Snowball Engine'!$AH335:$AV335,Calc!$I$23),INDEX('Avalanche Engine'!$AH335:$AV335,Calc!$J$23),INDEX('My Order Engine'!$AH335:$AV335,Calc!$K$23)),"")</f>
        <v/>
      </c>
      <c r="U333" s="25" t="str">
        <f>IF(AND($A333&lt;=IF(Calc!$C$36=999,360,Calc!$C$36),Calc!$C$24=1),CHOOSE(Calc!$C$3,INDEX('Snowball Engine'!$AH335:$AV335,Calc!$I$24),INDEX('Avalanche Engine'!$AH335:$AV335,Calc!$J$24),INDEX('My Order Engine'!$AH335:$AV335,Calc!$K$24)),"")</f>
        <v/>
      </c>
    </row>
    <row r="334" spans="1:21" x14ac:dyDescent="0.35">
      <c r="A334" s="23">
        <v>330</v>
      </c>
      <c r="B334" s="24" t="str">
        <f>IF($A334&lt;=IF(Calc!$C$36=999,360,Calc!$C$36),EDATE(Calc!$C$5,A334-1),"")</f>
        <v/>
      </c>
      <c r="C334" s="25" t="str">
        <f>IF($A334&lt;=IF(Calc!$C$36=999,360,Calc!$C$36),CHOOSE(Calc!$C$3,'Snowball Engine'!AY336,'Avalanche Engine'!AY336,'My Order Engine'!AY336),"")</f>
        <v/>
      </c>
      <c r="D334" s="25" t="str">
        <f>IF($A334&lt;=IF(Calc!$C$36=999,360,Calc!$C$36),CHOOSE(Calc!$C$3,'Snowball Engine'!AX336,'Avalanche Engine'!AX336,'My Order Engine'!AX336),"")</f>
        <v/>
      </c>
      <c r="E334" s="25" t="str">
        <f>IF($A334&lt;=IF(Calc!$C$36=999,360,Calc!$C$36),C334-D334,"")</f>
        <v/>
      </c>
      <c r="F334" s="25" t="str">
        <f>IF($A334&lt;=IF(Calc!$C$36=999,360,Calc!$C$36),CHOOSE(Calc!$C$3,'Snowball Engine'!AW336,'Avalanche Engine'!AW336,'My Order Engine'!AW336),"")</f>
        <v/>
      </c>
      <c r="G334" s="25" t="str">
        <f>IF(AND($A334&lt;=IF(Calc!$C$36=999,360,Calc!$C$36),Calc!$C$10=1),CHOOSE(Calc!$C$3,INDEX('Snowball Engine'!$AH336:$AV336,Calc!$I$10),INDEX('Avalanche Engine'!$AH336:$AV336,Calc!$J$10),INDEX('My Order Engine'!$AH336:$AV336,Calc!$K$10)),"")</f>
        <v/>
      </c>
      <c r="H334" s="25" t="str">
        <f>IF(AND($A334&lt;=IF(Calc!$C$36=999,360,Calc!$C$36),Calc!$C$11=1),CHOOSE(Calc!$C$3,INDEX('Snowball Engine'!$AH336:$AV336,Calc!$I$11),INDEX('Avalanche Engine'!$AH336:$AV336,Calc!$J$11),INDEX('My Order Engine'!$AH336:$AV336,Calc!$K$11)),"")</f>
        <v/>
      </c>
      <c r="I334" s="25" t="str">
        <f>IF(AND($A334&lt;=IF(Calc!$C$36=999,360,Calc!$C$36),Calc!$C$12=1),CHOOSE(Calc!$C$3,INDEX('Snowball Engine'!$AH336:$AV336,Calc!$I$12),INDEX('Avalanche Engine'!$AH336:$AV336,Calc!$J$12),INDEX('My Order Engine'!$AH336:$AV336,Calc!$K$12)),"")</f>
        <v/>
      </c>
      <c r="J334" s="25" t="str">
        <f>IF(AND($A334&lt;=IF(Calc!$C$36=999,360,Calc!$C$36),Calc!$C$13=1),CHOOSE(Calc!$C$3,INDEX('Snowball Engine'!$AH336:$AV336,Calc!$I$13),INDEX('Avalanche Engine'!$AH336:$AV336,Calc!$J$13),INDEX('My Order Engine'!$AH336:$AV336,Calc!$K$13)),"")</f>
        <v/>
      </c>
      <c r="K334" s="25" t="str">
        <f>IF(AND($A334&lt;=IF(Calc!$C$36=999,360,Calc!$C$36),Calc!$C$14=1),CHOOSE(Calc!$C$3,INDEX('Snowball Engine'!$AH336:$AV336,Calc!$I$14),INDEX('Avalanche Engine'!$AH336:$AV336,Calc!$J$14),INDEX('My Order Engine'!$AH336:$AV336,Calc!$K$14)),"")</f>
        <v/>
      </c>
      <c r="L334" s="25" t="str">
        <f>IF(AND($A334&lt;=IF(Calc!$C$36=999,360,Calc!$C$36),Calc!$C$15=1),CHOOSE(Calc!$C$3,INDEX('Snowball Engine'!$AH336:$AV336,Calc!$I$15),INDEX('Avalanche Engine'!$AH336:$AV336,Calc!$J$15),INDEX('My Order Engine'!$AH336:$AV336,Calc!$K$15)),"")</f>
        <v/>
      </c>
      <c r="M334" s="25" t="str">
        <f>IF(AND($A334&lt;=IF(Calc!$C$36=999,360,Calc!$C$36),Calc!$C$16=1),CHOOSE(Calc!$C$3,INDEX('Snowball Engine'!$AH336:$AV336,Calc!$I$16),INDEX('Avalanche Engine'!$AH336:$AV336,Calc!$J$16),INDEX('My Order Engine'!$AH336:$AV336,Calc!$K$16)),"")</f>
        <v/>
      </c>
      <c r="N334" s="25" t="str">
        <f>IF(AND($A334&lt;=IF(Calc!$C$36=999,360,Calc!$C$36),Calc!$C$17=1),CHOOSE(Calc!$C$3,INDEX('Snowball Engine'!$AH336:$AV336,Calc!$I$17),INDEX('Avalanche Engine'!$AH336:$AV336,Calc!$J$17),INDEX('My Order Engine'!$AH336:$AV336,Calc!$K$17)),"")</f>
        <v/>
      </c>
      <c r="O334" s="25" t="str">
        <f>IF(AND($A334&lt;=IF(Calc!$C$36=999,360,Calc!$C$36),Calc!$C$18=1),CHOOSE(Calc!$C$3,INDEX('Snowball Engine'!$AH336:$AV336,Calc!$I$18),INDEX('Avalanche Engine'!$AH336:$AV336,Calc!$J$18),INDEX('My Order Engine'!$AH336:$AV336,Calc!$K$18)),"")</f>
        <v/>
      </c>
      <c r="P334" s="25" t="str">
        <f>IF(AND($A334&lt;=IF(Calc!$C$36=999,360,Calc!$C$36),Calc!$C$19=1),CHOOSE(Calc!$C$3,INDEX('Snowball Engine'!$AH336:$AV336,Calc!$I$19),INDEX('Avalanche Engine'!$AH336:$AV336,Calc!$J$19),INDEX('My Order Engine'!$AH336:$AV336,Calc!$K$19)),"")</f>
        <v/>
      </c>
      <c r="Q334" s="25" t="str">
        <f>IF(AND($A334&lt;=IF(Calc!$C$36=999,360,Calc!$C$36),Calc!$C$20=1),CHOOSE(Calc!$C$3,INDEX('Snowball Engine'!$AH336:$AV336,Calc!$I$20),INDEX('Avalanche Engine'!$AH336:$AV336,Calc!$J$20),INDEX('My Order Engine'!$AH336:$AV336,Calc!$K$20)),"")</f>
        <v/>
      </c>
      <c r="R334" s="25" t="str">
        <f>IF(AND($A334&lt;=IF(Calc!$C$36=999,360,Calc!$C$36),Calc!$C$21=1),CHOOSE(Calc!$C$3,INDEX('Snowball Engine'!$AH336:$AV336,Calc!$I$21),INDEX('Avalanche Engine'!$AH336:$AV336,Calc!$J$21),INDEX('My Order Engine'!$AH336:$AV336,Calc!$K$21)),"")</f>
        <v/>
      </c>
      <c r="S334" s="25" t="str">
        <f>IF(AND($A334&lt;=IF(Calc!$C$36=999,360,Calc!$C$36),Calc!$C$22=1),CHOOSE(Calc!$C$3,INDEX('Snowball Engine'!$AH336:$AV336,Calc!$I$22),INDEX('Avalanche Engine'!$AH336:$AV336,Calc!$J$22),INDEX('My Order Engine'!$AH336:$AV336,Calc!$K$22)),"")</f>
        <v/>
      </c>
      <c r="T334" s="25" t="str">
        <f>IF(AND($A334&lt;=IF(Calc!$C$36=999,360,Calc!$C$36),Calc!$C$23=1),CHOOSE(Calc!$C$3,INDEX('Snowball Engine'!$AH336:$AV336,Calc!$I$23),INDEX('Avalanche Engine'!$AH336:$AV336,Calc!$J$23),INDEX('My Order Engine'!$AH336:$AV336,Calc!$K$23)),"")</f>
        <v/>
      </c>
      <c r="U334" s="25" t="str">
        <f>IF(AND($A334&lt;=IF(Calc!$C$36=999,360,Calc!$C$36),Calc!$C$24=1),CHOOSE(Calc!$C$3,INDEX('Snowball Engine'!$AH336:$AV336,Calc!$I$24),INDEX('Avalanche Engine'!$AH336:$AV336,Calc!$J$24),INDEX('My Order Engine'!$AH336:$AV336,Calc!$K$24)),"")</f>
        <v/>
      </c>
    </row>
    <row r="335" spans="1:21" x14ac:dyDescent="0.35">
      <c r="A335" s="23">
        <v>331</v>
      </c>
      <c r="B335" s="24" t="str">
        <f>IF($A335&lt;=IF(Calc!$C$36=999,360,Calc!$C$36),EDATE(Calc!$C$5,A335-1),"")</f>
        <v/>
      </c>
      <c r="C335" s="25" t="str">
        <f>IF($A335&lt;=IF(Calc!$C$36=999,360,Calc!$C$36),CHOOSE(Calc!$C$3,'Snowball Engine'!AY337,'Avalanche Engine'!AY337,'My Order Engine'!AY337),"")</f>
        <v/>
      </c>
      <c r="D335" s="25" t="str">
        <f>IF($A335&lt;=IF(Calc!$C$36=999,360,Calc!$C$36),CHOOSE(Calc!$C$3,'Snowball Engine'!AX337,'Avalanche Engine'!AX337,'My Order Engine'!AX337),"")</f>
        <v/>
      </c>
      <c r="E335" s="25" t="str">
        <f>IF($A335&lt;=IF(Calc!$C$36=999,360,Calc!$C$36),C335-D335,"")</f>
        <v/>
      </c>
      <c r="F335" s="25" t="str">
        <f>IF($A335&lt;=IF(Calc!$C$36=999,360,Calc!$C$36),CHOOSE(Calc!$C$3,'Snowball Engine'!AW337,'Avalanche Engine'!AW337,'My Order Engine'!AW337),"")</f>
        <v/>
      </c>
      <c r="G335" s="25" t="str">
        <f>IF(AND($A335&lt;=IF(Calc!$C$36=999,360,Calc!$C$36),Calc!$C$10=1),CHOOSE(Calc!$C$3,INDEX('Snowball Engine'!$AH337:$AV337,Calc!$I$10),INDEX('Avalanche Engine'!$AH337:$AV337,Calc!$J$10),INDEX('My Order Engine'!$AH337:$AV337,Calc!$K$10)),"")</f>
        <v/>
      </c>
      <c r="H335" s="25" t="str">
        <f>IF(AND($A335&lt;=IF(Calc!$C$36=999,360,Calc!$C$36),Calc!$C$11=1),CHOOSE(Calc!$C$3,INDEX('Snowball Engine'!$AH337:$AV337,Calc!$I$11),INDEX('Avalanche Engine'!$AH337:$AV337,Calc!$J$11),INDEX('My Order Engine'!$AH337:$AV337,Calc!$K$11)),"")</f>
        <v/>
      </c>
      <c r="I335" s="25" t="str">
        <f>IF(AND($A335&lt;=IF(Calc!$C$36=999,360,Calc!$C$36),Calc!$C$12=1),CHOOSE(Calc!$C$3,INDEX('Snowball Engine'!$AH337:$AV337,Calc!$I$12),INDEX('Avalanche Engine'!$AH337:$AV337,Calc!$J$12),INDEX('My Order Engine'!$AH337:$AV337,Calc!$K$12)),"")</f>
        <v/>
      </c>
      <c r="J335" s="25" t="str">
        <f>IF(AND($A335&lt;=IF(Calc!$C$36=999,360,Calc!$C$36),Calc!$C$13=1),CHOOSE(Calc!$C$3,INDEX('Snowball Engine'!$AH337:$AV337,Calc!$I$13),INDEX('Avalanche Engine'!$AH337:$AV337,Calc!$J$13),INDEX('My Order Engine'!$AH337:$AV337,Calc!$K$13)),"")</f>
        <v/>
      </c>
      <c r="K335" s="25" t="str">
        <f>IF(AND($A335&lt;=IF(Calc!$C$36=999,360,Calc!$C$36),Calc!$C$14=1),CHOOSE(Calc!$C$3,INDEX('Snowball Engine'!$AH337:$AV337,Calc!$I$14),INDEX('Avalanche Engine'!$AH337:$AV337,Calc!$J$14),INDEX('My Order Engine'!$AH337:$AV337,Calc!$K$14)),"")</f>
        <v/>
      </c>
      <c r="L335" s="25" t="str">
        <f>IF(AND($A335&lt;=IF(Calc!$C$36=999,360,Calc!$C$36),Calc!$C$15=1),CHOOSE(Calc!$C$3,INDEX('Snowball Engine'!$AH337:$AV337,Calc!$I$15),INDEX('Avalanche Engine'!$AH337:$AV337,Calc!$J$15),INDEX('My Order Engine'!$AH337:$AV337,Calc!$K$15)),"")</f>
        <v/>
      </c>
      <c r="M335" s="25" t="str">
        <f>IF(AND($A335&lt;=IF(Calc!$C$36=999,360,Calc!$C$36),Calc!$C$16=1),CHOOSE(Calc!$C$3,INDEX('Snowball Engine'!$AH337:$AV337,Calc!$I$16),INDEX('Avalanche Engine'!$AH337:$AV337,Calc!$J$16),INDEX('My Order Engine'!$AH337:$AV337,Calc!$K$16)),"")</f>
        <v/>
      </c>
      <c r="N335" s="25" t="str">
        <f>IF(AND($A335&lt;=IF(Calc!$C$36=999,360,Calc!$C$36),Calc!$C$17=1),CHOOSE(Calc!$C$3,INDEX('Snowball Engine'!$AH337:$AV337,Calc!$I$17),INDEX('Avalanche Engine'!$AH337:$AV337,Calc!$J$17),INDEX('My Order Engine'!$AH337:$AV337,Calc!$K$17)),"")</f>
        <v/>
      </c>
      <c r="O335" s="25" t="str">
        <f>IF(AND($A335&lt;=IF(Calc!$C$36=999,360,Calc!$C$36),Calc!$C$18=1),CHOOSE(Calc!$C$3,INDEX('Snowball Engine'!$AH337:$AV337,Calc!$I$18),INDEX('Avalanche Engine'!$AH337:$AV337,Calc!$J$18),INDEX('My Order Engine'!$AH337:$AV337,Calc!$K$18)),"")</f>
        <v/>
      </c>
      <c r="P335" s="25" t="str">
        <f>IF(AND($A335&lt;=IF(Calc!$C$36=999,360,Calc!$C$36),Calc!$C$19=1),CHOOSE(Calc!$C$3,INDEX('Snowball Engine'!$AH337:$AV337,Calc!$I$19),INDEX('Avalanche Engine'!$AH337:$AV337,Calc!$J$19),INDEX('My Order Engine'!$AH337:$AV337,Calc!$K$19)),"")</f>
        <v/>
      </c>
      <c r="Q335" s="25" t="str">
        <f>IF(AND($A335&lt;=IF(Calc!$C$36=999,360,Calc!$C$36),Calc!$C$20=1),CHOOSE(Calc!$C$3,INDEX('Snowball Engine'!$AH337:$AV337,Calc!$I$20),INDEX('Avalanche Engine'!$AH337:$AV337,Calc!$J$20),INDEX('My Order Engine'!$AH337:$AV337,Calc!$K$20)),"")</f>
        <v/>
      </c>
      <c r="R335" s="25" t="str">
        <f>IF(AND($A335&lt;=IF(Calc!$C$36=999,360,Calc!$C$36),Calc!$C$21=1),CHOOSE(Calc!$C$3,INDEX('Snowball Engine'!$AH337:$AV337,Calc!$I$21),INDEX('Avalanche Engine'!$AH337:$AV337,Calc!$J$21),INDEX('My Order Engine'!$AH337:$AV337,Calc!$K$21)),"")</f>
        <v/>
      </c>
      <c r="S335" s="25" t="str">
        <f>IF(AND($A335&lt;=IF(Calc!$C$36=999,360,Calc!$C$36),Calc!$C$22=1),CHOOSE(Calc!$C$3,INDEX('Snowball Engine'!$AH337:$AV337,Calc!$I$22),INDEX('Avalanche Engine'!$AH337:$AV337,Calc!$J$22),INDEX('My Order Engine'!$AH337:$AV337,Calc!$K$22)),"")</f>
        <v/>
      </c>
      <c r="T335" s="25" t="str">
        <f>IF(AND($A335&lt;=IF(Calc!$C$36=999,360,Calc!$C$36),Calc!$C$23=1),CHOOSE(Calc!$C$3,INDEX('Snowball Engine'!$AH337:$AV337,Calc!$I$23),INDEX('Avalanche Engine'!$AH337:$AV337,Calc!$J$23),INDEX('My Order Engine'!$AH337:$AV337,Calc!$K$23)),"")</f>
        <v/>
      </c>
      <c r="U335" s="25" t="str">
        <f>IF(AND($A335&lt;=IF(Calc!$C$36=999,360,Calc!$C$36),Calc!$C$24=1),CHOOSE(Calc!$C$3,INDEX('Snowball Engine'!$AH337:$AV337,Calc!$I$24),INDEX('Avalanche Engine'!$AH337:$AV337,Calc!$J$24),INDEX('My Order Engine'!$AH337:$AV337,Calc!$K$24)),"")</f>
        <v/>
      </c>
    </row>
    <row r="336" spans="1:21" x14ac:dyDescent="0.35">
      <c r="A336" s="23">
        <v>332</v>
      </c>
      <c r="B336" s="24" t="str">
        <f>IF($A336&lt;=IF(Calc!$C$36=999,360,Calc!$C$36),EDATE(Calc!$C$5,A336-1),"")</f>
        <v/>
      </c>
      <c r="C336" s="25" t="str">
        <f>IF($A336&lt;=IF(Calc!$C$36=999,360,Calc!$C$36),CHOOSE(Calc!$C$3,'Snowball Engine'!AY338,'Avalanche Engine'!AY338,'My Order Engine'!AY338),"")</f>
        <v/>
      </c>
      <c r="D336" s="25" t="str">
        <f>IF($A336&lt;=IF(Calc!$C$36=999,360,Calc!$C$36),CHOOSE(Calc!$C$3,'Snowball Engine'!AX338,'Avalanche Engine'!AX338,'My Order Engine'!AX338),"")</f>
        <v/>
      </c>
      <c r="E336" s="25" t="str">
        <f>IF($A336&lt;=IF(Calc!$C$36=999,360,Calc!$C$36),C336-D336,"")</f>
        <v/>
      </c>
      <c r="F336" s="25" t="str">
        <f>IF($A336&lt;=IF(Calc!$C$36=999,360,Calc!$C$36),CHOOSE(Calc!$C$3,'Snowball Engine'!AW338,'Avalanche Engine'!AW338,'My Order Engine'!AW338),"")</f>
        <v/>
      </c>
      <c r="G336" s="25" t="str">
        <f>IF(AND($A336&lt;=IF(Calc!$C$36=999,360,Calc!$C$36),Calc!$C$10=1),CHOOSE(Calc!$C$3,INDEX('Snowball Engine'!$AH338:$AV338,Calc!$I$10),INDEX('Avalanche Engine'!$AH338:$AV338,Calc!$J$10),INDEX('My Order Engine'!$AH338:$AV338,Calc!$K$10)),"")</f>
        <v/>
      </c>
      <c r="H336" s="25" t="str">
        <f>IF(AND($A336&lt;=IF(Calc!$C$36=999,360,Calc!$C$36),Calc!$C$11=1),CHOOSE(Calc!$C$3,INDEX('Snowball Engine'!$AH338:$AV338,Calc!$I$11),INDEX('Avalanche Engine'!$AH338:$AV338,Calc!$J$11),INDEX('My Order Engine'!$AH338:$AV338,Calc!$K$11)),"")</f>
        <v/>
      </c>
      <c r="I336" s="25" t="str">
        <f>IF(AND($A336&lt;=IF(Calc!$C$36=999,360,Calc!$C$36),Calc!$C$12=1),CHOOSE(Calc!$C$3,INDEX('Snowball Engine'!$AH338:$AV338,Calc!$I$12),INDEX('Avalanche Engine'!$AH338:$AV338,Calc!$J$12),INDEX('My Order Engine'!$AH338:$AV338,Calc!$K$12)),"")</f>
        <v/>
      </c>
      <c r="J336" s="25" t="str">
        <f>IF(AND($A336&lt;=IF(Calc!$C$36=999,360,Calc!$C$36),Calc!$C$13=1),CHOOSE(Calc!$C$3,INDEX('Snowball Engine'!$AH338:$AV338,Calc!$I$13),INDEX('Avalanche Engine'!$AH338:$AV338,Calc!$J$13),INDEX('My Order Engine'!$AH338:$AV338,Calc!$K$13)),"")</f>
        <v/>
      </c>
      <c r="K336" s="25" t="str">
        <f>IF(AND($A336&lt;=IF(Calc!$C$36=999,360,Calc!$C$36),Calc!$C$14=1),CHOOSE(Calc!$C$3,INDEX('Snowball Engine'!$AH338:$AV338,Calc!$I$14),INDEX('Avalanche Engine'!$AH338:$AV338,Calc!$J$14),INDEX('My Order Engine'!$AH338:$AV338,Calc!$K$14)),"")</f>
        <v/>
      </c>
      <c r="L336" s="25" t="str">
        <f>IF(AND($A336&lt;=IF(Calc!$C$36=999,360,Calc!$C$36),Calc!$C$15=1),CHOOSE(Calc!$C$3,INDEX('Snowball Engine'!$AH338:$AV338,Calc!$I$15),INDEX('Avalanche Engine'!$AH338:$AV338,Calc!$J$15),INDEX('My Order Engine'!$AH338:$AV338,Calc!$K$15)),"")</f>
        <v/>
      </c>
      <c r="M336" s="25" t="str">
        <f>IF(AND($A336&lt;=IF(Calc!$C$36=999,360,Calc!$C$36),Calc!$C$16=1),CHOOSE(Calc!$C$3,INDEX('Snowball Engine'!$AH338:$AV338,Calc!$I$16),INDEX('Avalanche Engine'!$AH338:$AV338,Calc!$J$16),INDEX('My Order Engine'!$AH338:$AV338,Calc!$K$16)),"")</f>
        <v/>
      </c>
      <c r="N336" s="25" t="str">
        <f>IF(AND($A336&lt;=IF(Calc!$C$36=999,360,Calc!$C$36),Calc!$C$17=1),CHOOSE(Calc!$C$3,INDEX('Snowball Engine'!$AH338:$AV338,Calc!$I$17),INDEX('Avalanche Engine'!$AH338:$AV338,Calc!$J$17),INDEX('My Order Engine'!$AH338:$AV338,Calc!$K$17)),"")</f>
        <v/>
      </c>
      <c r="O336" s="25" t="str">
        <f>IF(AND($A336&lt;=IF(Calc!$C$36=999,360,Calc!$C$36),Calc!$C$18=1),CHOOSE(Calc!$C$3,INDEX('Snowball Engine'!$AH338:$AV338,Calc!$I$18),INDEX('Avalanche Engine'!$AH338:$AV338,Calc!$J$18),INDEX('My Order Engine'!$AH338:$AV338,Calc!$K$18)),"")</f>
        <v/>
      </c>
      <c r="P336" s="25" t="str">
        <f>IF(AND($A336&lt;=IF(Calc!$C$36=999,360,Calc!$C$36),Calc!$C$19=1),CHOOSE(Calc!$C$3,INDEX('Snowball Engine'!$AH338:$AV338,Calc!$I$19),INDEX('Avalanche Engine'!$AH338:$AV338,Calc!$J$19),INDEX('My Order Engine'!$AH338:$AV338,Calc!$K$19)),"")</f>
        <v/>
      </c>
      <c r="Q336" s="25" t="str">
        <f>IF(AND($A336&lt;=IF(Calc!$C$36=999,360,Calc!$C$36),Calc!$C$20=1),CHOOSE(Calc!$C$3,INDEX('Snowball Engine'!$AH338:$AV338,Calc!$I$20),INDEX('Avalanche Engine'!$AH338:$AV338,Calc!$J$20),INDEX('My Order Engine'!$AH338:$AV338,Calc!$K$20)),"")</f>
        <v/>
      </c>
      <c r="R336" s="25" t="str">
        <f>IF(AND($A336&lt;=IF(Calc!$C$36=999,360,Calc!$C$36),Calc!$C$21=1),CHOOSE(Calc!$C$3,INDEX('Snowball Engine'!$AH338:$AV338,Calc!$I$21),INDEX('Avalanche Engine'!$AH338:$AV338,Calc!$J$21),INDEX('My Order Engine'!$AH338:$AV338,Calc!$K$21)),"")</f>
        <v/>
      </c>
      <c r="S336" s="25" t="str">
        <f>IF(AND($A336&lt;=IF(Calc!$C$36=999,360,Calc!$C$36),Calc!$C$22=1),CHOOSE(Calc!$C$3,INDEX('Snowball Engine'!$AH338:$AV338,Calc!$I$22),INDEX('Avalanche Engine'!$AH338:$AV338,Calc!$J$22),INDEX('My Order Engine'!$AH338:$AV338,Calc!$K$22)),"")</f>
        <v/>
      </c>
      <c r="T336" s="25" t="str">
        <f>IF(AND($A336&lt;=IF(Calc!$C$36=999,360,Calc!$C$36),Calc!$C$23=1),CHOOSE(Calc!$C$3,INDEX('Snowball Engine'!$AH338:$AV338,Calc!$I$23),INDEX('Avalanche Engine'!$AH338:$AV338,Calc!$J$23),INDEX('My Order Engine'!$AH338:$AV338,Calc!$K$23)),"")</f>
        <v/>
      </c>
      <c r="U336" s="25" t="str">
        <f>IF(AND($A336&lt;=IF(Calc!$C$36=999,360,Calc!$C$36),Calc!$C$24=1),CHOOSE(Calc!$C$3,INDEX('Snowball Engine'!$AH338:$AV338,Calc!$I$24),INDEX('Avalanche Engine'!$AH338:$AV338,Calc!$J$24),INDEX('My Order Engine'!$AH338:$AV338,Calc!$K$24)),"")</f>
        <v/>
      </c>
    </row>
    <row r="337" spans="1:21" x14ac:dyDescent="0.35">
      <c r="A337" s="23">
        <v>333</v>
      </c>
      <c r="B337" s="24" t="str">
        <f>IF($A337&lt;=IF(Calc!$C$36=999,360,Calc!$C$36),EDATE(Calc!$C$5,A337-1),"")</f>
        <v/>
      </c>
      <c r="C337" s="25" t="str">
        <f>IF($A337&lt;=IF(Calc!$C$36=999,360,Calc!$C$36),CHOOSE(Calc!$C$3,'Snowball Engine'!AY339,'Avalanche Engine'!AY339,'My Order Engine'!AY339),"")</f>
        <v/>
      </c>
      <c r="D337" s="25" t="str">
        <f>IF($A337&lt;=IF(Calc!$C$36=999,360,Calc!$C$36),CHOOSE(Calc!$C$3,'Snowball Engine'!AX339,'Avalanche Engine'!AX339,'My Order Engine'!AX339),"")</f>
        <v/>
      </c>
      <c r="E337" s="25" t="str">
        <f>IF($A337&lt;=IF(Calc!$C$36=999,360,Calc!$C$36),C337-D337,"")</f>
        <v/>
      </c>
      <c r="F337" s="25" t="str">
        <f>IF($A337&lt;=IF(Calc!$C$36=999,360,Calc!$C$36),CHOOSE(Calc!$C$3,'Snowball Engine'!AW339,'Avalanche Engine'!AW339,'My Order Engine'!AW339),"")</f>
        <v/>
      </c>
      <c r="G337" s="25" t="str">
        <f>IF(AND($A337&lt;=IF(Calc!$C$36=999,360,Calc!$C$36),Calc!$C$10=1),CHOOSE(Calc!$C$3,INDEX('Snowball Engine'!$AH339:$AV339,Calc!$I$10),INDEX('Avalanche Engine'!$AH339:$AV339,Calc!$J$10),INDEX('My Order Engine'!$AH339:$AV339,Calc!$K$10)),"")</f>
        <v/>
      </c>
      <c r="H337" s="25" t="str">
        <f>IF(AND($A337&lt;=IF(Calc!$C$36=999,360,Calc!$C$36),Calc!$C$11=1),CHOOSE(Calc!$C$3,INDEX('Snowball Engine'!$AH339:$AV339,Calc!$I$11),INDEX('Avalanche Engine'!$AH339:$AV339,Calc!$J$11),INDEX('My Order Engine'!$AH339:$AV339,Calc!$K$11)),"")</f>
        <v/>
      </c>
      <c r="I337" s="25" t="str">
        <f>IF(AND($A337&lt;=IF(Calc!$C$36=999,360,Calc!$C$36),Calc!$C$12=1),CHOOSE(Calc!$C$3,INDEX('Snowball Engine'!$AH339:$AV339,Calc!$I$12),INDEX('Avalanche Engine'!$AH339:$AV339,Calc!$J$12),INDEX('My Order Engine'!$AH339:$AV339,Calc!$K$12)),"")</f>
        <v/>
      </c>
      <c r="J337" s="25" t="str">
        <f>IF(AND($A337&lt;=IF(Calc!$C$36=999,360,Calc!$C$36),Calc!$C$13=1),CHOOSE(Calc!$C$3,INDEX('Snowball Engine'!$AH339:$AV339,Calc!$I$13),INDEX('Avalanche Engine'!$AH339:$AV339,Calc!$J$13),INDEX('My Order Engine'!$AH339:$AV339,Calc!$K$13)),"")</f>
        <v/>
      </c>
      <c r="K337" s="25" t="str">
        <f>IF(AND($A337&lt;=IF(Calc!$C$36=999,360,Calc!$C$36),Calc!$C$14=1),CHOOSE(Calc!$C$3,INDEX('Snowball Engine'!$AH339:$AV339,Calc!$I$14),INDEX('Avalanche Engine'!$AH339:$AV339,Calc!$J$14),INDEX('My Order Engine'!$AH339:$AV339,Calc!$K$14)),"")</f>
        <v/>
      </c>
      <c r="L337" s="25" t="str">
        <f>IF(AND($A337&lt;=IF(Calc!$C$36=999,360,Calc!$C$36),Calc!$C$15=1),CHOOSE(Calc!$C$3,INDEX('Snowball Engine'!$AH339:$AV339,Calc!$I$15),INDEX('Avalanche Engine'!$AH339:$AV339,Calc!$J$15),INDEX('My Order Engine'!$AH339:$AV339,Calc!$K$15)),"")</f>
        <v/>
      </c>
      <c r="M337" s="25" t="str">
        <f>IF(AND($A337&lt;=IF(Calc!$C$36=999,360,Calc!$C$36),Calc!$C$16=1),CHOOSE(Calc!$C$3,INDEX('Snowball Engine'!$AH339:$AV339,Calc!$I$16),INDEX('Avalanche Engine'!$AH339:$AV339,Calc!$J$16),INDEX('My Order Engine'!$AH339:$AV339,Calc!$K$16)),"")</f>
        <v/>
      </c>
      <c r="N337" s="25" t="str">
        <f>IF(AND($A337&lt;=IF(Calc!$C$36=999,360,Calc!$C$36),Calc!$C$17=1),CHOOSE(Calc!$C$3,INDEX('Snowball Engine'!$AH339:$AV339,Calc!$I$17),INDEX('Avalanche Engine'!$AH339:$AV339,Calc!$J$17),INDEX('My Order Engine'!$AH339:$AV339,Calc!$K$17)),"")</f>
        <v/>
      </c>
      <c r="O337" s="25" t="str">
        <f>IF(AND($A337&lt;=IF(Calc!$C$36=999,360,Calc!$C$36),Calc!$C$18=1),CHOOSE(Calc!$C$3,INDEX('Snowball Engine'!$AH339:$AV339,Calc!$I$18),INDEX('Avalanche Engine'!$AH339:$AV339,Calc!$J$18),INDEX('My Order Engine'!$AH339:$AV339,Calc!$K$18)),"")</f>
        <v/>
      </c>
      <c r="P337" s="25" t="str">
        <f>IF(AND($A337&lt;=IF(Calc!$C$36=999,360,Calc!$C$36),Calc!$C$19=1),CHOOSE(Calc!$C$3,INDEX('Snowball Engine'!$AH339:$AV339,Calc!$I$19),INDEX('Avalanche Engine'!$AH339:$AV339,Calc!$J$19),INDEX('My Order Engine'!$AH339:$AV339,Calc!$K$19)),"")</f>
        <v/>
      </c>
      <c r="Q337" s="25" t="str">
        <f>IF(AND($A337&lt;=IF(Calc!$C$36=999,360,Calc!$C$36),Calc!$C$20=1),CHOOSE(Calc!$C$3,INDEX('Snowball Engine'!$AH339:$AV339,Calc!$I$20),INDEX('Avalanche Engine'!$AH339:$AV339,Calc!$J$20),INDEX('My Order Engine'!$AH339:$AV339,Calc!$K$20)),"")</f>
        <v/>
      </c>
      <c r="R337" s="25" t="str">
        <f>IF(AND($A337&lt;=IF(Calc!$C$36=999,360,Calc!$C$36),Calc!$C$21=1),CHOOSE(Calc!$C$3,INDEX('Snowball Engine'!$AH339:$AV339,Calc!$I$21),INDEX('Avalanche Engine'!$AH339:$AV339,Calc!$J$21),INDEX('My Order Engine'!$AH339:$AV339,Calc!$K$21)),"")</f>
        <v/>
      </c>
      <c r="S337" s="25" t="str">
        <f>IF(AND($A337&lt;=IF(Calc!$C$36=999,360,Calc!$C$36),Calc!$C$22=1),CHOOSE(Calc!$C$3,INDEX('Snowball Engine'!$AH339:$AV339,Calc!$I$22),INDEX('Avalanche Engine'!$AH339:$AV339,Calc!$J$22),INDEX('My Order Engine'!$AH339:$AV339,Calc!$K$22)),"")</f>
        <v/>
      </c>
      <c r="T337" s="25" t="str">
        <f>IF(AND($A337&lt;=IF(Calc!$C$36=999,360,Calc!$C$36),Calc!$C$23=1),CHOOSE(Calc!$C$3,INDEX('Snowball Engine'!$AH339:$AV339,Calc!$I$23),INDEX('Avalanche Engine'!$AH339:$AV339,Calc!$J$23),INDEX('My Order Engine'!$AH339:$AV339,Calc!$K$23)),"")</f>
        <v/>
      </c>
      <c r="U337" s="25" t="str">
        <f>IF(AND($A337&lt;=IF(Calc!$C$36=999,360,Calc!$C$36),Calc!$C$24=1),CHOOSE(Calc!$C$3,INDEX('Snowball Engine'!$AH339:$AV339,Calc!$I$24),INDEX('Avalanche Engine'!$AH339:$AV339,Calc!$J$24),INDEX('My Order Engine'!$AH339:$AV339,Calc!$K$24)),"")</f>
        <v/>
      </c>
    </row>
    <row r="338" spans="1:21" x14ac:dyDescent="0.35">
      <c r="A338" s="23">
        <v>334</v>
      </c>
      <c r="B338" s="24" t="str">
        <f>IF($A338&lt;=IF(Calc!$C$36=999,360,Calc!$C$36),EDATE(Calc!$C$5,A338-1),"")</f>
        <v/>
      </c>
      <c r="C338" s="25" t="str">
        <f>IF($A338&lt;=IF(Calc!$C$36=999,360,Calc!$C$36),CHOOSE(Calc!$C$3,'Snowball Engine'!AY340,'Avalanche Engine'!AY340,'My Order Engine'!AY340),"")</f>
        <v/>
      </c>
      <c r="D338" s="25" t="str">
        <f>IF($A338&lt;=IF(Calc!$C$36=999,360,Calc!$C$36),CHOOSE(Calc!$C$3,'Snowball Engine'!AX340,'Avalanche Engine'!AX340,'My Order Engine'!AX340),"")</f>
        <v/>
      </c>
      <c r="E338" s="25" t="str">
        <f>IF($A338&lt;=IF(Calc!$C$36=999,360,Calc!$C$36),C338-D338,"")</f>
        <v/>
      </c>
      <c r="F338" s="25" t="str">
        <f>IF($A338&lt;=IF(Calc!$C$36=999,360,Calc!$C$36),CHOOSE(Calc!$C$3,'Snowball Engine'!AW340,'Avalanche Engine'!AW340,'My Order Engine'!AW340),"")</f>
        <v/>
      </c>
      <c r="G338" s="25" t="str">
        <f>IF(AND($A338&lt;=IF(Calc!$C$36=999,360,Calc!$C$36),Calc!$C$10=1),CHOOSE(Calc!$C$3,INDEX('Snowball Engine'!$AH340:$AV340,Calc!$I$10),INDEX('Avalanche Engine'!$AH340:$AV340,Calc!$J$10),INDEX('My Order Engine'!$AH340:$AV340,Calc!$K$10)),"")</f>
        <v/>
      </c>
      <c r="H338" s="25" t="str">
        <f>IF(AND($A338&lt;=IF(Calc!$C$36=999,360,Calc!$C$36),Calc!$C$11=1),CHOOSE(Calc!$C$3,INDEX('Snowball Engine'!$AH340:$AV340,Calc!$I$11),INDEX('Avalanche Engine'!$AH340:$AV340,Calc!$J$11),INDEX('My Order Engine'!$AH340:$AV340,Calc!$K$11)),"")</f>
        <v/>
      </c>
      <c r="I338" s="25" t="str">
        <f>IF(AND($A338&lt;=IF(Calc!$C$36=999,360,Calc!$C$36),Calc!$C$12=1),CHOOSE(Calc!$C$3,INDEX('Snowball Engine'!$AH340:$AV340,Calc!$I$12),INDEX('Avalanche Engine'!$AH340:$AV340,Calc!$J$12),INDEX('My Order Engine'!$AH340:$AV340,Calc!$K$12)),"")</f>
        <v/>
      </c>
      <c r="J338" s="25" t="str">
        <f>IF(AND($A338&lt;=IF(Calc!$C$36=999,360,Calc!$C$36),Calc!$C$13=1),CHOOSE(Calc!$C$3,INDEX('Snowball Engine'!$AH340:$AV340,Calc!$I$13),INDEX('Avalanche Engine'!$AH340:$AV340,Calc!$J$13),INDEX('My Order Engine'!$AH340:$AV340,Calc!$K$13)),"")</f>
        <v/>
      </c>
      <c r="K338" s="25" t="str">
        <f>IF(AND($A338&lt;=IF(Calc!$C$36=999,360,Calc!$C$36),Calc!$C$14=1),CHOOSE(Calc!$C$3,INDEX('Snowball Engine'!$AH340:$AV340,Calc!$I$14),INDEX('Avalanche Engine'!$AH340:$AV340,Calc!$J$14),INDEX('My Order Engine'!$AH340:$AV340,Calc!$K$14)),"")</f>
        <v/>
      </c>
      <c r="L338" s="25" t="str">
        <f>IF(AND($A338&lt;=IF(Calc!$C$36=999,360,Calc!$C$36),Calc!$C$15=1),CHOOSE(Calc!$C$3,INDEX('Snowball Engine'!$AH340:$AV340,Calc!$I$15),INDEX('Avalanche Engine'!$AH340:$AV340,Calc!$J$15),INDEX('My Order Engine'!$AH340:$AV340,Calc!$K$15)),"")</f>
        <v/>
      </c>
      <c r="M338" s="25" t="str">
        <f>IF(AND($A338&lt;=IF(Calc!$C$36=999,360,Calc!$C$36),Calc!$C$16=1),CHOOSE(Calc!$C$3,INDEX('Snowball Engine'!$AH340:$AV340,Calc!$I$16),INDEX('Avalanche Engine'!$AH340:$AV340,Calc!$J$16),INDEX('My Order Engine'!$AH340:$AV340,Calc!$K$16)),"")</f>
        <v/>
      </c>
      <c r="N338" s="25" t="str">
        <f>IF(AND($A338&lt;=IF(Calc!$C$36=999,360,Calc!$C$36),Calc!$C$17=1),CHOOSE(Calc!$C$3,INDEX('Snowball Engine'!$AH340:$AV340,Calc!$I$17),INDEX('Avalanche Engine'!$AH340:$AV340,Calc!$J$17),INDEX('My Order Engine'!$AH340:$AV340,Calc!$K$17)),"")</f>
        <v/>
      </c>
      <c r="O338" s="25" t="str">
        <f>IF(AND($A338&lt;=IF(Calc!$C$36=999,360,Calc!$C$36),Calc!$C$18=1),CHOOSE(Calc!$C$3,INDEX('Snowball Engine'!$AH340:$AV340,Calc!$I$18),INDEX('Avalanche Engine'!$AH340:$AV340,Calc!$J$18),INDEX('My Order Engine'!$AH340:$AV340,Calc!$K$18)),"")</f>
        <v/>
      </c>
      <c r="P338" s="25" t="str">
        <f>IF(AND($A338&lt;=IF(Calc!$C$36=999,360,Calc!$C$36),Calc!$C$19=1),CHOOSE(Calc!$C$3,INDEX('Snowball Engine'!$AH340:$AV340,Calc!$I$19),INDEX('Avalanche Engine'!$AH340:$AV340,Calc!$J$19),INDEX('My Order Engine'!$AH340:$AV340,Calc!$K$19)),"")</f>
        <v/>
      </c>
      <c r="Q338" s="25" t="str">
        <f>IF(AND($A338&lt;=IF(Calc!$C$36=999,360,Calc!$C$36),Calc!$C$20=1),CHOOSE(Calc!$C$3,INDEX('Snowball Engine'!$AH340:$AV340,Calc!$I$20),INDEX('Avalanche Engine'!$AH340:$AV340,Calc!$J$20),INDEX('My Order Engine'!$AH340:$AV340,Calc!$K$20)),"")</f>
        <v/>
      </c>
      <c r="R338" s="25" t="str">
        <f>IF(AND($A338&lt;=IF(Calc!$C$36=999,360,Calc!$C$36),Calc!$C$21=1),CHOOSE(Calc!$C$3,INDEX('Snowball Engine'!$AH340:$AV340,Calc!$I$21),INDEX('Avalanche Engine'!$AH340:$AV340,Calc!$J$21),INDEX('My Order Engine'!$AH340:$AV340,Calc!$K$21)),"")</f>
        <v/>
      </c>
      <c r="S338" s="25" t="str">
        <f>IF(AND($A338&lt;=IF(Calc!$C$36=999,360,Calc!$C$36),Calc!$C$22=1),CHOOSE(Calc!$C$3,INDEX('Snowball Engine'!$AH340:$AV340,Calc!$I$22),INDEX('Avalanche Engine'!$AH340:$AV340,Calc!$J$22),INDEX('My Order Engine'!$AH340:$AV340,Calc!$K$22)),"")</f>
        <v/>
      </c>
      <c r="T338" s="25" t="str">
        <f>IF(AND($A338&lt;=IF(Calc!$C$36=999,360,Calc!$C$36),Calc!$C$23=1),CHOOSE(Calc!$C$3,INDEX('Snowball Engine'!$AH340:$AV340,Calc!$I$23),INDEX('Avalanche Engine'!$AH340:$AV340,Calc!$J$23),INDEX('My Order Engine'!$AH340:$AV340,Calc!$K$23)),"")</f>
        <v/>
      </c>
      <c r="U338" s="25" t="str">
        <f>IF(AND($A338&lt;=IF(Calc!$C$36=999,360,Calc!$C$36),Calc!$C$24=1),CHOOSE(Calc!$C$3,INDEX('Snowball Engine'!$AH340:$AV340,Calc!$I$24),INDEX('Avalanche Engine'!$AH340:$AV340,Calc!$J$24),INDEX('My Order Engine'!$AH340:$AV340,Calc!$K$24)),"")</f>
        <v/>
      </c>
    </row>
    <row r="339" spans="1:21" x14ac:dyDescent="0.35">
      <c r="A339" s="23">
        <v>335</v>
      </c>
      <c r="B339" s="24" t="str">
        <f>IF($A339&lt;=IF(Calc!$C$36=999,360,Calc!$C$36),EDATE(Calc!$C$5,A339-1),"")</f>
        <v/>
      </c>
      <c r="C339" s="25" t="str">
        <f>IF($A339&lt;=IF(Calc!$C$36=999,360,Calc!$C$36),CHOOSE(Calc!$C$3,'Snowball Engine'!AY341,'Avalanche Engine'!AY341,'My Order Engine'!AY341),"")</f>
        <v/>
      </c>
      <c r="D339" s="25" t="str">
        <f>IF($A339&lt;=IF(Calc!$C$36=999,360,Calc!$C$36),CHOOSE(Calc!$C$3,'Snowball Engine'!AX341,'Avalanche Engine'!AX341,'My Order Engine'!AX341),"")</f>
        <v/>
      </c>
      <c r="E339" s="25" t="str">
        <f>IF($A339&lt;=IF(Calc!$C$36=999,360,Calc!$C$36),C339-D339,"")</f>
        <v/>
      </c>
      <c r="F339" s="25" t="str">
        <f>IF($A339&lt;=IF(Calc!$C$36=999,360,Calc!$C$36),CHOOSE(Calc!$C$3,'Snowball Engine'!AW341,'Avalanche Engine'!AW341,'My Order Engine'!AW341),"")</f>
        <v/>
      </c>
      <c r="G339" s="25" t="str">
        <f>IF(AND($A339&lt;=IF(Calc!$C$36=999,360,Calc!$C$36),Calc!$C$10=1),CHOOSE(Calc!$C$3,INDEX('Snowball Engine'!$AH341:$AV341,Calc!$I$10),INDEX('Avalanche Engine'!$AH341:$AV341,Calc!$J$10),INDEX('My Order Engine'!$AH341:$AV341,Calc!$K$10)),"")</f>
        <v/>
      </c>
      <c r="H339" s="25" t="str">
        <f>IF(AND($A339&lt;=IF(Calc!$C$36=999,360,Calc!$C$36),Calc!$C$11=1),CHOOSE(Calc!$C$3,INDEX('Snowball Engine'!$AH341:$AV341,Calc!$I$11),INDEX('Avalanche Engine'!$AH341:$AV341,Calc!$J$11),INDEX('My Order Engine'!$AH341:$AV341,Calc!$K$11)),"")</f>
        <v/>
      </c>
      <c r="I339" s="25" t="str">
        <f>IF(AND($A339&lt;=IF(Calc!$C$36=999,360,Calc!$C$36),Calc!$C$12=1),CHOOSE(Calc!$C$3,INDEX('Snowball Engine'!$AH341:$AV341,Calc!$I$12),INDEX('Avalanche Engine'!$AH341:$AV341,Calc!$J$12),INDEX('My Order Engine'!$AH341:$AV341,Calc!$K$12)),"")</f>
        <v/>
      </c>
      <c r="J339" s="25" t="str">
        <f>IF(AND($A339&lt;=IF(Calc!$C$36=999,360,Calc!$C$36),Calc!$C$13=1),CHOOSE(Calc!$C$3,INDEX('Snowball Engine'!$AH341:$AV341,Calc!$I$13),INDEX('Avalanche Engine'!$AH341:$AV341,Calc!$J$13),INDEX('My Order Engine'!$AH341:$AV341,Calc!$K$13)),"")</f>
        <v/>
      </c>
      <c r="K339" s="25" t="str">
        <f>IF(AND($A339&lt;=IF(Calc!$C$36=999,360,Calc!$C$36),Calc!$C$14=1),CHOOSE(Calc!$C$3,INDEX('Snowball Engine'!$AH341:$AV341,Calc!$I$14),INDEX('Avalanche Engine'!$AH341:$AV341,Calc!$J$14),INDEX('My Order Engine'!$AH341:$AV341,Calc!$K$14)),"")</f>
        <v/>
      </c>
      <c r="L339" s="25" t="str">
        <f>IF(AND($A339&lt;=IF(Calc!$C$36=999,360,Calc!$C$36),Calc!$C$15=1),CHOOSE(Calc!$C$3,INDEX('Snowball Engine'!$AH341:$AV341,Calc!$I$15),INDEX('Avalanche Engine'!$AH341:$AV341,Calc!$J$15),INDEX('My Order Engine'!$AH341:$AV341,Calc!$K$15)),"")</f>
        <v/>
      </c>
      <c r="M339" s="25" t="str">
        <f>IF(AND($A339&lt;=IF(Calc!$C$36=999,360,Calc!$C$36),Calc!$C$16=1),CHOOSE(Calc!$C$3,INDEX('Snowball Engine'!$AH341:$AV341,Calc!$I$16),INDEX('Avalanche Engine'!$AH341:$AV341,Calc!$J$16),INDEX('My Order Engine'!$AH341:$AV341,Calc!$K$16)),"")</f>
        <v/>
      </c>
      <c r="N339" s="25" t="str">
        <f>IF(AND($A339&lt;=IF(Calc!$C$36=999,360,Calc!$C$36),Calc!$C$17=1),CHOOSE(Calc!$C$3,INDEX('Snowball Engine'!$AH341:$AV341,Calc!$I$17),INDEX('Avalanche Engine'!$AH341:$AV341,Calc!$J$17),INDEX('My Order Engine'!$AH341:$AV341,Calc!$K$17)),"")</f>
        <v/>
      </c>
      <c r="O339" s="25" t="str">
        <f>IF(AND($A339&lt;=IF(Calc!$C$36=999,360,Calc!$C$36),Calc!$C$18=1),CHOOSE(Calc!$C$3,INDEX('Snowball Engine'!$AH341:$AV341,Calc!$I$18),INDEX('Avalanche Engine'!$AH341:$AV341,Calc!$J$18),INDEX('My Order Engine'!$AH341:$AV341,Calc!$K$18)),"")</f>
        <v/>
      </c>
      <c r="P339" s="25" t="str">
        <f>IF(AND($A339&lt;=IF(Calc!$C$36=999,360,Calc!$C$36),Calc!$C$19=1),CHOOSE(Calc!$C$3,INDEX('Snowball Engine'!$AH341:$AV341,Calc!$I$19),INDEX('Avalanche Engine'!$AH341:$AV341,Calc!$J$19),INDEX('My Order Engine'!$AH341:$AV341,Calc!$K$19)),"")</f>
        <v/>
      </c>
      <c r="Q339" s="25" t="str">
        <f>IF(AND($A339&lt;=IF(Calc!$C$36=999,360,Calc!$C$36),Calc!$C$20=1),CHOOSE(Calc!$C$3,INDEX('Snowball Engine'!$AH341:$AV341,Calc!$I$20),INDEX('Avalanche Engine'!$AH341:$AV341,Calc!$J$20),INDEX('My Order Engine'!$AH341:$AV341,Calc!$K$20)),"")</f>
        <v/>
      </c>
      <c r="R339" s="25" t="str">
        <f>IF(AND($A339&lt;=IF(Calc!$C$36=999,360,Calc!$C$36),Calc!$C$21=1),CHOOSE(Calc!$C$3,INDEX('Snowball Engine'!$AH341:$AV341,Calc!$I$21),INDEX('Avalanche Engine'!$AH341:$AV341,Calc!$J$21),INDEX('My Order Engine'!$AH341:$AV341,Calc!$K$21)),"")</f>
        <v/>
      </c>
      <c r="S339" s="25" t="str">
        <f>IF(AND($A339&lt;=IF(Calc!$C$36=999,360,Calc!$C$36),Calc!$C$22=1),CHOOSE(Calc!$C$3,INDEX('Snowball Engine'!$AH341:$AV341,Calc!$I$22),INDEX('Avalanche Engine'!$AH341:$AV341,Calc!$J$22),INDEX('My Order Engine'!$AH341:$AV341,Calc!$K$22)),"")</f>
        <v/>
      </c>
      <c r="T339" s="25" t="str">
        <f>IF(AND($A339&lt;=IF(Calc!$C$36=999,360,Calc!$C$36),Calc!$C$23=1),CHOOSE(Calc!$C$3,INDEX('Snowball Engine'!$AH341:$AV341,Calc!$I$23),INDEX('Avalanche Engine'!$AH341:$AV341,Calc!$J$23),INDEX('My Order Engine'!$AH341:$AV341,Calc!$K$23)),"")</f>
        <v/>
      </c>
      <c r="U339" s="25" t="str">
        <f>IF(AND($A339&lt;=IF(Calc!$C$36=999,360,Calc!$C$36),Calc!$C$24=1),CHOOSE(Calc!$C$3,INDEX('Snowball Engine'!$AH341:$AV341,Calc!$I$24),INDEX('Avalanche Engine'!$AH341:$AV341,Calc!$J$24),INDEX('My Order Engine'!$AH341:$AV341,Calc!$K$24)),"")</f>
        <v/>
      </c>
    </row>
    <row r="340" spans="1:21" x14ac:dyDescent="0.35">
      <c r="A340" s="23">
        <v>336</v>
      </c>
      <c r="B340" s="24" t="str">
        <f>IF($A340&lt;=IF(Calc!$C$36=999,360,Calc!$C$36),EDATE(Calc!$C$5,A340-1),"")</f>
        <v/>
      </c>
      <c r="C340" s="25" t="str">
        <f>IF($A340&lt;=IF(Calc!$C$36=999,360,Calc!$C$36),CHOOSE(Calc!$C$3,'Snowball Engine'!AY342,'Avalanche Engine'!AY342,'My Order Engine'!AY342),"")</f>
        <v/>
      </c>
      <c r="D340" s="25" t="str">
        <f>IF($A340&lt;=IF(Calc!$C$36=999,360,Calc!$C$36),CHOOSE(Calc!$C$3,'Snowball Engine'!AX342,'Avalanche Engine'!AX342,'My Order Engine'!AX342),"")</f>
        <v/>
      </c>
      <c r="E340" s="25" t="str">
        <f>IF($A340&lt;=IF(Calc!$C$36=999,360,Calc!$C$36),C340-D340,"")</f>
        <v/>
      </c>
      <c r="F340" s="25" t="str">
        <f>IF($A340&lt;=IF(Calc!$C$36=999,360,Calc!$C$36),CHOOSE(Calc!$C$3,'Snowball Engine'!AW342,'Avalanche Engine'!AW342,'My Order Engine'!AW342),"")</f>
        <v/>
      </c>
      <c r="G340" s="25" t="str">
        <f>IF(AND($A340&lt;=IF(Calc!$C$36=999,360,Calc!$C$36),Calc!$C$10=1),CHOOSE(Calc!$C$3,INDEX('Snowball Engine'!$AH342:$AV342,Calc!$I$10),INDEX('Avalanche Engine'!$AH342:$AV342,Calc!$J$10),INDEX('My Order Engine'!$AH342:$AV342,Calc!$K$10)),"")</f>
        <v/>
      </c>
      <c r="H340" s="25" t="str">
        <f>IF(AND($A340&lt;=IF(Calc!$C$36=999,360,Calc!$C$36),Calc!$C$11=1),CHOOSE(Calc!$C$3,INDEX('Snowball Engine'!$AH342:$AV342,Calc!$I$11),INDEX('Avalanche Engine'!$AH342:$AV342,Calc!$J$11),INDEX('My Order Engine'!$AH342:$AV342,Calc!$K$11)),"")</f>
        <v/>
      </c>
      <c r="I340" s="25" t="str">
        <f>IF(AND($A340&lt;=IF(Calc!$C$36=999,360,Calc!$C$36),Calc!$C$12=1),CHOOSE(Calc!$C$3,INDEX('Snowball Engine'!$AH342:$AV342,Calc!$I$12),INDEX('Avalanche Engine'!$AH342:$AV342,Calc!$J$12),INDEX('My Order Engine'!$AH342:$AV342,Calc!$K$12)),"")</f>
        <v/>
      </c>
      <c r="J340" s="25" t="str">
        <f>IF(AND($A340&lt;=IF(Calc!$C$36=999,360,Calc!$C$36),Calc!$C$13=1),CHOOSE(Calc!$C$3,INDEX('Snowball Engine'!$AH342:$AV342,Calc!$I$13),INDEX('Avalanche Engine'!$AH342:$AV342,Calc!$J$13),INDEX('My Order Engine'!$AH342:$AV342,Calc!$K$13)),"")</f>
        <v/>
      </c>
      <c r="K340" s="25" t="str">
        <f>IF(AND($A340&lt;=IF(Calc!$C$36=999,360,Calc!$C$36),Calc!$C$14=1),CHOOSE(Calc!$C$3,INDEX('Snowball Engine'!$AH342:$AV342,Calc!$I$14),INDEX('Avalanche Engine'!$AH342:$AV342,Calc!$J$14),INDEX('My Order Engine'!$AH342:$AV342,Calc!$K$14)),"")</f>
        <v/>
      </c>
      <c r="L340" s="25" t="str">
        <f>IF(AND($A340&lt;=IF(Calc!$C$36=999,360,Calc!$C$36),Calc!$C$15=1),CHOOSE(Calc!$C$3,INDEX('Snowball Engine'!$AH342:$AV342,Calc!$I$15),INDEX('Avalanche Engine'!$AH342:$AV342,Calc!$J$15),INDEX('My Order Engine'!$AH342:$AV342,Calc!$K$15)),"")</f>
        <v/>
      </c>
      <c r="M340" s="25" t="str">
        <f>IF(AND($A340&lt;=IF(Calc!$C$36=999,360,Calc!$C$36),Calc!$C$16=1),CHOOSE(Calc!$C$3,INDEX('Snowball Engine'!$AH342:$AV342,Calc!$I$16),INDEX('Avalanche Engine'!$AH342:$AV342,Calc!$J$16),INDEX('My Order Engine'!$AH342:$AV342,Calc!$K$16)),"")</f>
        <v/>
      </c>
      <c r="N340" s="25" t="str">
        <f>IF(AND($A340&lt;=IF(Calc!$C$36=999,360,Calc!$C$36),Calc!$C$17=1),CHOOSE(Calc!$C$3,INDEX('Snowball Engine'!$AH342:$AV342,Calc!$I$17),INDEX('Avalanche Engine'!$AH342:$AV342,Calc!$J$17),INDEX('My Order Engine'!$AH342:$AV342,Calc!$K$17)),"")</f>
        <v/>
      </c>
      <c r="O340" s="25" t="str">
        <f>IF(AND($A340&lt;=IF(Calc!$C$36=999,360,Calc!$C$36),Calc!$C$18=1),CHOOSE(Calc!$C$3,INDEX('Snowball Engine'!$AH342:$AV342,Calc!$I$18),INDEX('Avalanche Engine'!$AH342:$AV342,Calc!$J$18),INDEX('My Order Engine'!$AH342:$AV342,Calc!$K$18)),"")</f>
        <v/>
      </c>
      <c r="P340" s="25" t="str">
        <f>IF(AND($A340&lt;=IF(Calc!$C$36=999,360,Calc!$C$36),Calc!$C$19=1),CHOOSE(Calc!$C$3,INDEX('Snowball Engine'!$AH342:$AV342,Calc!$I$19),INDEX('Avalanche Engine'!$AH342:$AV342,Calc!$J$19),INDEX('My Order Engine'!$AH342:$AV342,Calc!$K$19)),"")</f>
        <v/>
      </c>
      <c r="Q340" s="25" t="str">
        <f>IF(AND($A340&lt;=IF(Calc!$C$36=999,360,Calc!$C$36),Calc!$C$20=1),CHOOSE(Calc!$C$3,INDEX('Snowball Engine'!$AH342:$AV342,Calc!$I$20),INDEX('Avalanche Engine'!$AH342:$AV342,Calc!$J$20),INDEX('My Order Engine'!$AH342:$AV342,Calc!$K$20)),"")</f>
        <v/>
      </c>
      <c r="R340" s="25" t="str">
        <f>IF(AND($A340&lt;=IF(Calc!$C$36=999,360,Calc!$C$36),Calc!$C$21=1),CHOOSE(Calc!$C$3,INDEX('Snowball Engine'!$AH342:$AV342,Calc!$I$21),INDEX('Avalanche Engine'!$AH342:$AV342,Calc!$J$21),INDEX('My Order Engine'!$AH342:$AV342,Calc!$K$21)),"")</f>
        <v/>
      </c>
      <c r="S340" s="25" t="str">
        <f>IF(AND($A340&lt;=IF(Calc!$C$36=999,360,Calc!$C$36),Calc!$C$22=1),CHOOSE(Calc!$C$3,INDEX('Snowball Engine'!$AH342:$AV342,Calc!$I$22),INDEX('Avalanche Engine'!$AH342:$AV342,Calc!$J$22),INDEX('My Order Engine'!$AH342:$AV342,Calc!$K$22)),"")</f>
        <v/>
      </c>
      <c r="T340" s="25" t="str">
        <f>IF(AND($A340&lt;=IF(Calc!$C$36=999,360,Calc!$C$36),Calc!$C$23=1),CHOOSE(Calc!$C$3,INDEX('Snowball Engine'!$AH342:$AV342,Calc!$I$23),INDEX('Avalanche Engine'!$AH342:$AV342,Calc!$J$23),INDEX('My Order Engine'!$AH342:$AV342,Calc!$K$23)),"")</f>
        <v/>
      </c>
      <c r="U340" s="25" t="str">
        <f>IF(AND($A340&lt;=IF(Calc!$C$36=999,360,Calc!$C$36),Calc!$C$24=1),CHOOSE(Calc!$C$3,INDEX('Snowball Engine'!$AH342:$AV342,Calc!$I$24),INDEX('Avalanche Engine'!$AH342:$AV342,Calc!$J$24),INDEX('My Order Engine'!$AH342:$AV342,Calc!$K$24)),"")</f>
        <v/>
      </c>
    </row>
    <row r="341" spans="1:21" x14ac:dyDescent="0.35">
      <c r="A341" s="23">
        <v>337</v>
      </c>
      <c r="B341" s="24" t="str">
        <f>IF($A341&lt;=IF(Calc!$C$36=999,360,Calc!$C$36),EDATE(Calc!$C$5,A341-1),"")</f>
        <v/>
      </c>
      <c r="C341" s="25" t="str">
        <f>IF($A341&lt;=IF(Calc!$C$36=999,360,Calc!$C$36),CHOOSE(Calc!$C$3,'Snowball Engine'!AY343,'Avalanche Engine'!AY343,'My Order Engine'!AY343),"")</f>
        <v/>
      </c>
      <c r="D341" s="25" t="str">
        <f>IF($A341&lt;=IF(Calc!$C$36=999,360,Calc!$C$36),CHOOSE(Calc!$C$3,'Snowball Engine'!AX343,'Avalanche Engine'!AX343,'My Order Engine'!AX343),"")</f>
        <v/>
      </c>
      <c r="E341" s="25" t="str">
        <f>IF($A341&lt;=IF(Calc!$C$36=999,360,Calc!$C$36),C341-D341,"")</f>
        <v/>
      </c>
      <c r="F341" s="25" t="str">
        <f>IF($A341&lt;=IF(Calc!$C$36=999,360,Calc!$C$36),CHOOSE(Calc!$C$3,'Snowball Engine'!AW343,'Avalanche Engine'!AW343,'My Order Engine'!AW343),"")</f>
        <v/>
      </c>
      <c r="G341" s="25" t="str">
        <f>IF(AND($A341&lt;=IF(Calc!$C$36=999,360,Calc!$C$36),Calc!$C$10=1),CHOOSE(Calc!$C$3,INDEX('Snowball Engine'!$AH343:$AV343,Calc!$I$10),INDEX('Avalanche Engine'!$AH343:$AV343,Calc!$J$10),INDEX('My Order Engine'!$AH343:$AV343,Calc!$K$10)),"")</f>
        <v/>
      </c>
      <c r="H341" s="25" t="str">
        <f>IF(AND($A341&lt;=IF(Calc!$C$36=999,360,Calc!$C$36),Calc!$C$11=1),CHOOSE(Calc!$C$3,INDEX('Snowball Engine'!$AH343:$AV343,Calc!$I$11),INDEX('Avalanche Engine'!$AH343:$AV343,Calc!$J$11),INDEX('My Order Engine'!$AH343:$AV343,Calc!$K$11)),"")</f>
        <v/>
      </c>
      <c r="I341" s="25" t="str">
        <f>IF(AND($A341&lt;=IF(Calc!$C$36=999,360,Calc!$C$36),Calc!$C$12=1),CHOOSE(Calc!$C$3,INDEX('Snowball Engine'!$AH343:$AV343,Calc!$I$12),INDEX('Avalanche Engine'!$AH343:$AV343,Calc!$J$12),INDEX('My Order Engine'!$AH343:$AV343,Calc!$K$12)),"")</f>
        <v/>
      </c>
      <c r="J341" s="25" t="str">
        <f>IF(AND($A341&lt;=IF(Calc!$C$36=999,360,Calc!$C$36),Calc!$C$13=1),CHOOSE(Calc!$C$3,INDEX('Snowball Engine'!$AH343:$AV343,Calc!$I$13),INDEX('Avalanche Engine'!$AH343:$AV343,Calc!$J$13),INDEX('My Order Engine'!$AH343:$AV343,Calc!$K$13)),"")</f>
        <v/>
      </c>
      <c r="K341" s="25" t="str">
        <f>IF(AND($A341&lt;=IF(Calc!$C$36=999,360,Calc!$C$36),Calc!$C$14=1),CHOOSE(Calc!$C$3,INDEX('Snowball Engine'!$AH343:$AV343,Calc!$I$14),INDEX('Avalanche Engine'!$AH343:$AV343,Calc!$J$14),INDEX('My Order Engine'!$AH343:$AV343,Calc!$K$14)),"")</f>
        <v/>
      </c>
      <c r="L341" s="25" t="str">
        <f>IF(AND($A341&lt;=IF(Calc!$C$36=999,360,Calc!$C$36),Calc!$C$15=1),CHOOSE(Calc!$C$3,INDEX('Snowball Engine'!$AH343:$AV343,Calc!$I$15),INDEX('Avalanche Engine'!$AH343:$AV343,Calc!$J$15),INDEX('My Order Engine'!$AH343:$AV343,Calc!$K$15)),"")</f>
        <v/>
      </c>
      <c r="M341" s="25" t="str">
        <f>IF(AND($A341&lt;=IF(Calc!$C$36=999,360,Calc!$C$36),Calc!$C$16=1),CHOOSE(Calc!$C$3,INDEX('Snowball Engine'!$AH343:$AV343,Calc!$I$16),INDEX('Avalanche Engine'!$AH343:$AV343,Calc!$J$16),INDEX('My Order Engine'!$AH343:$AV343,Calc!$K$16)),"")</f>
        <v/>
      </c>
      <c r="N341" s="25" t="str">
        <f>IF(AND($A341&lt;=IF(Calc!$C$36=999,360,Calc!$C$36),Calc!$C$17=1),CHOOSE(Calc!$C$3,INDEX('Snowball Engine'!$AH343:$AV343,Calc!$I$17),INDEX('Avalanche Engine'!$AH343:$AV343,Calc!$J$17),INDEX('My Order Engine'!$AH343:$AV343,Calc!$K$17)),"")</f>
        <v/>
      </c>
      <c r="O341" s="25" t="str">
        <f>IF(AND($A341&lt;=IF(Calc!$C$36=999,360,Calc!$C$36),Calc!$C$18=1),CHOOSE(Calc!$C$3,INDEX('Snowball Engine'!$AH343:$AV343,Calc!$I$18),INDEX('Avalanche Engine'!$AH343:$AV343,Calc!$J$18),INDEX('My Order Engine'!$AH343:$AV343,Calc!$K$18)),"")</f>
        <v/>
      </c>
      <c r="P341" s="25" t="str">
        <f>IF(AND($A341&lt;=IF(Calc!$C$36=999,360,Calc!$C$36),Calc!$C$19=1),CHOOSE(Calc!$C$3,INDEX('Snowball Engine'!$AH343:$AV343,Calc!$I$19),INDEX('Avalanche Engine'!$AH343:$AV343,Calc!$J$19),INDEX('My Order Engine'!$AH343:$AV343,Calc!$K$19)),"")</f>
        <v/>
      </c>
      <c r="Q341" s="25" t="str">
        <f>IF(AND($A341&lt;=IF(Calc!$C$36=999,360,Calc!$C$36),Calc!$C$20=1),CHOOSE(Calc!$C$3,INDEX('Snowball Engine'!$AH343:$AV343,Calc!$I$20),INDEX('Avalanche Engine'!$AH343:$AV343,Calc!$J$20),INDEX('My Order Engine'!$AH343:$AV343,Calc!$K$20)),"")</f>
        <v/>
      </c>
      <c r="R341" s="25" t="str">
        <f>IF(AND($A341&lt;=IF(Calc!$C$36=999,360,Calc!$C$36),Calc!$C$21=1),CHOOSE(Calc!$C$3,INDEX('Snowball Engine'!$AH343:$AV343,Calc!$I$21),INDEX('Avalanche Engine'!$AH343:$AV343,Calc!$J$21),INDEX('My Order Engine'!$AH343:$AV343,Calc!$K$21)),"")</f>
        <v/>
      </c>
      <c r="S341" s="25" t="str">
        <f>IF(AND($A341&lt;=IF(Calc!$C$36=999,360,Calc!$C$36),Calc!$C$22=1),CHOOSE(Calc!$C$3,INDEX('Snowball Engine'!$AH343:$AV343,Calc!$I$22),INDEX('Avalanche Engine'!$AH343:$AV343,Calc!$J$22),INDEX('My Order Engine'!$AH343:$AV343,Calc!$K$22)),"")</f>
        <v/>
      </c>
      <c r="T341" s="25" t="str">
        <f>IF(AND($A341&lt;=IF(Calc!$C$36=999,360,Calc!$C$36),Calc!$C$23=1),CHOOSE(Calc!$C$3,INDEX('Snowball Engine'!$AH343:$AV343,Calc!$I$23),INDEX('Avalanche Engine'!$AH343:$AV343,Calc!$J$23),INDEX('My Order Engine'!$AH343:$AV343,Calc!$K$23)),"")</f>
        <v/>
      </c>
      <c r="U341" s="25" t="str">
        <f>IF(AND($A341&lt;=IF(Calc!$C$36=999,360,Calc!$C$36),Calc!$C$24=1),CHOOSE(Calc!$C$3,INDEX('Snowball Engine'!$AH343:$AV343,Calc!$I$24),INDEX('Avalanche Engine'!$AH343:$AV343,Calc!$J$24),INDEX('My Order Engine'!$AH343:$AV343,Calc!$K$24)),"")</f>
        <v/>
      </c>
    </row>
    <row r="342" spans="1:21" x14ac:dyDescent="0.35">
      <c r="A342" s="23">
        <v>338</v>
      </c>
      <c r="B342" s="24" t="str">
        <f>IF($A342&lt;=IF(Calc!$C$36=999,360,Calc!$C$36),EDATE(Calc!$C$5,A342-1),"")</f>
        <v/>
      </c>
      <c r="C342" s="25" t="str">
        <f>IF($A342&lt;=IF(Calc!$C$36=999,360,Calc!$C$36),CHOOSE(Calc!$C$3,'Snowball Engine'!AY344,'Avalanche Engine'!AY344,'My Order Engine'!AY344),"")</f>
        <v/>
      </c>
      <c r="D342" s="25" t="str">
        <f>IF($A342&lt;=IF(Calc!$C$36=999,360,Calc!$C$36),CHOOSE(Calc!$C$3,'Snowball Engine'!AX344,'Avalanche Engine'!AX344,'My Order Engine'!AX344),"")</f>
        <v/>
      </c>
      <c r="E342" s="25" t="str">
        <f>IF($A342&lt;=IF(Calc!$C$36=999,360,Calc!$C$36),C342-D342,"")</f>
        <v/>
      </c>
      <c r="F342" s="25" t="str">
        <f>IF($A342&lt;=IF(Calc!$C$36=999,360,Calc!$C$36),CHOOSE(Calc!$C$3,'Snowball Engine'!AW344,'Avalanche Engine'!AW344,'My Order Engine'!AW344),"")</f>
        <v/>
      </c>
      <c r="G342" s="25" t="str">
        <f>IF(AND($A342&lt;=IF(Calc!$C$36=999,360,Calc!$C$36),Calc!$C$10=1),CHOOSE(Calc!$C$3,INDEX('Snowball Engine'!$AH344:$AV344,Calc!$I$10),INDEX('Avalanche Engine'!$AH344:$AV344,Calc!$J$10),INDEX('My Order Engine'!$AH344:$AV344,Calc!$K$10)),"")</f>
        <v/>
      </c>
      <c r="H342" s="25" t="str">
        <f>IF(AND($A342&lt;=IF(Calc!$C$36=999,360,Calc!$C$36),Calc!$C$11=1),CHOOSE(Calc!$C$3,INDEX('Snowball Engine'!$AH344:$AV344,Calc!$I$11),INDEX('Avalanche Engine'!$AH344:$AV344,Calc!$J$11),INDEX('My Order Engine'!$AH344:$AV344,Calc!$K$11)),"")</f>
        <v/>
      </c>
      <c r="I342" s="25" t="str">
        <f>IF(AND($A342&lt;=IF(Calc!$C$36=999,360,Calc!$C$36),Calc!$C$12=1),CHOOSE(Calc!$C$3,INDEX('Snowball Engine'!$AH344:$AV344,Calc!$I$12),INDEX('Avalanche Engine'!$AH344:$AV344,Calc!$J$12),INDEX('My Order Engine'!$AH344:$AV344,Calc!$K$12)),"")</f>
        <v/>
      </c>
      <c r="J342" s="25" t="str">
        <f>IF(AND($A342&lt;=IF(Calc!$C$36=999,360,Calc!$C$36),Calc!$C$13=1),CHOOSE(Calc!$C$3,INDEX('Snowball Engine'!$AH344:$AV344,Calc!$I$13),INDEX('Avalanche Engine'!$AH344:$AV344,Calc!$J$13),INDEX('My Order Engine'!$AH344:$AV344,Calc!$K$13)),"")</f>
        <v/>
      </c>
      <c r="K342" s="25" t="str">
        <f>IF(AND($A342&lt;=IF(Calc!$C$36=999,360,Calc!$C$36),Calc!$C$14=1),CHOOSE(Calc!$C$3,INDEX('Snowball Engine'!$AH344:$AV344,Calc!$I$14),INDEX('Avalanche Engine'!$AH344:$AV344,Calc!$J$14),INDEX('My Order Engine'!$AH344:$AV344,Calc!$K$14)),"")</f>
        <v/>
      </c>
      <c r="L342" s="25" t="str">
        <f>IF(AND($A342&lt;=IF(Calc!$C$36=999,360,Calc!$C$36),Calc!$C$15=1),CHOOSE(Calc!$C$3,INDEX('Snowball Engine'!$AH344:$AV344,Calc!$I$15),INDEX('Avalanche Engine'!$AH344:$AV344,Calc!$J$15),INDEX('My Order Engine'!$AH344:$AV344,Calc!$K$15)),"")</f>
        <v/>
      </c>
      <c r="M342" s="25" t="str">
        <f>IF(AND($A342&lt;=IF(Calc!$C$36=999,360,Calc!$C$36),Calc!$C$16=1),CHOOSE(Calc!$C$3,INDEX('Snowball Engine'!$AH344:$AV344,Calc!$I$16),INDEX('Avalanche Engine'!$AH344:$AV344,Calc!$J$16),INDEX('My Order Engine'!$AH344:$AV344,Calc!$K$16)),"")</f>
        <v/>
      </c>
      <c r="N342" s="25" t="str">
        <f>IF(AND($A342&lt;=IF(Calc!$C$36=999,360,Calc!$C$36),Calc!$C$17=1),CHOOSE(Calc!$C$3,INDEX('Snowball Engine'!$AH344:$AV344,Calc!$I$17),INDEX('Avalanche Engine'!$AH344:$AV344,Calc!$J$17),INDEX('My Order Engine'!$AH344:$AV344,Calc!$K$17)),"")</f>
        <v/>
      </c>
      <c r="O342" s="25" t="str">
        <f>IF(AND($A342&lt;=IF(Calc!$C$36=999,360,Calc!$C$36),Calc!$C$18=1),CHOOSE(Calc!$C$3,INDEX('Snowball Engine'!$AH344:$AV344,Calc!$I$18),INDEX('Avalanche Engine'!$AH344:$AV344,Calc!$J$18),INDEX('My Order Engine'!$AH344:$AV344,Calc!$K$18)),"")</f>
        <v/>
      </c>
      <c r="P342" s="25" t="str">
        <f>IF(AND($A342&lt;=IF(Calc!$C$36=999,360,Calc!$C$36),Calc!$C$19=1),CHOOSE(Calc!$C$3,INDEX('Snowball Engine'!$AH344:$AV344,Calc!$I$19),INDEX('Avalanche Engine'!$AH344:$AV344,Calc!$J$19),INDEX('My Order Engine'!$AH344:$AV344,Calc!$K$19)),"")</f>
        <v/>
      </c>
      <c r="Q342" s="25" t="str">
        <f>IF(AND($A342&lt;=IF(Calc!$C$36=999,360,Calc!$C$36),Calc!$C$20=1),CHOOSE(Calc!$C$3,INDEX('Snowball Engine'!$AH344:$AV344,Calc!$I$20),INDEX('Avalanche Engine'!$AH344:$AV344,Calc!$J$20),INDEX('My Order Engine'!$AH344:$AV344,Calc!$K$20)),"")</f>
        <v/>
      </c>
      <c r="R342" s="25" t="str">
        <f>IF(AND($A342&lt;=IF(Calc!$C$36=999,360,Calc!$C$36),Calc!$C$21=1),CHOOSE(Calc!$C$3,INDEX('Snowball Engine'!$AH344:$AV344,Calc!$I$21),INDEX('Avalanche Engine'!$AH344:$AV344,Calc!$J$21),INDEX('My Order Engine'!$AH344:$AV344,Calc!$K$21)),"")</f>
        <v/>
      </c>
      <c r="S342" s="25" t="str">
        <f>IF(AND($A342&lt;=IF(Calc!$C$36=999,360,Calc!$C$36),Calc!$C$22=1),CHOOSE(Calc!$C$3,INDEX('Snowball Engine'!$AH344:$AV344,Calc!$I$22),INDEX('Avalanche Engine'!$AH344:$AV344,Calc!$J$22),INDEX('My Order Engine'!$AH344:$AV344,Calc!$K$22)),"")</f>
        <v/>
      </c>
      <c r="T342" s="25" t="str">
        <f>IF(AND($A342&lt;=IF(Calc!$C$36=999,360,Calc!$C$36),Calc!$C$23=1),CHOOSE(Calc!$C$3,INDEX('Snowball Engine'!$AH344:$AV344,Calc!$I$23),INDEX('Avalanche Engine'!$AH344:$AV344,Calc!$J$23),INDEX('My Order Engine'!$AH344:$AV344,Calc!$K$23)),"")</f>
        <v/>
      </c>
      <c r="U342" s="25" t="str">
        <f>IF(AND($A342&lt;=IF(Calc!$C$36=999,360,Calc!$C$36),Calc!$C$24=1),CHOOSE(Calc!$C$3,INDEX('Snowball Engine'!$AH344:$AV344,Calc!$I$24),INDEX('Avalanche Engine'!$AH344:$AV344,Calc!$J$24),INDEX('My Order Engine'!$AH344:$AV344,Calc!$K$24)),"")</f>
        <v/>
      </c>
    </row>
    <row r="343" spans="1:21" x14ac:dyDescent="0.35">
      <c r="A343" s="23">
        <v>339</v>
      </c>
      <c r="B343" s="24" t="str">
        <f>IF($A343&lt;=IF(Calc!$C$36=999,360,Calc!$C$36),EDATE(Calc!$C$5,A343-1),"")</f>
        <v/>
      </c>
      <c r="C343" s="25" t="str">
        <f>IF($A343&lt;=IF(Calc!$C$36=999,360,Calc!$C$36),CHOOSE(Calc!$C$3,'Snowball Engine'!AY345,'Avalanche Engine'!AY345,'My Order Engine'!AY345),"")</f>
        <v/>
      </c>
      <c r="D343" s="25" t="str">
        <f>IF($A343&lt;=IF(Calc!$C$36=999,360,Calc!$C$36),CHOOSE(Calc!$C$3,'Snowball Engine'!AX345,'Avalanche Engine'!AX345,'My Order Engine'!AX345),"")</f>
        <v/>
      </c>
      <c r="E343" s="25" t="str">
        <f>IF($A343&lt;=IF(Calc!$C$36=999,360,Calc!$C$36),C343-D343,"")</f>
        <v/>
      </c>
      <c r="F343" s="25" t="str">
        <f>IF($A343&lt;=IF(Calc!$C$36=999,360,Calc!$C$36),CHOOSE(Calc!$C$3,'Snowball Engine'!AW345,'Avalanche Engine'!AW345,'My Order Engine'!AW345),"")</f>
        <v/>
      </c>
      <c r="G343" s="25" t="str">
        <f>IF(AND($A343&lt;=IF(Calc!$C$36=999,360,Calc!$C$36),Calc!$C$10=1),CHOOSE(Calc!$C$3,INDEX('Snowball Engine'!$AH345:$AV345,Calc!$I$10),INDEX('Avalanche Engine'!$AH345:$AV345,Calc!$J$10),INDEX('My Order Engine'!$AH345:$AV345,Calc!$K$10)),"")</f>
        <v/>
      </c>
      <c r="H343" s="25" t="str">
        <f>IF(AND($A343&lt;=IF(Calc!$C$36=999,360,Calc!$C$36),Calc!$C$11=1),CHOOSE(Calc!$C$3,INDEX('Snowball Engine'!$AH345:$AV345,Calc!$I$11),INDEX('Avalanche Engine'!$AH345:$AV345,Calc!$J$11),INDEX('My Order Engine'!$AH345:$AV345,Calc!$K$11)),"")</f>
        <v/>
      </c>
      <c r="I343" s="25" t="str">
        <f>IF(AND($A343&lt;=IF(Calc!$C$36=999,360,Calc!$C$36),Calc!$C$12=1),CHOOSE(Calc!$C$3,INDEX('Snowball Engine'!$AH345:$AV345,Calc!$I$12),INDEX('Avalanche Engine'!$AH345:$AV345,Calc!$J$12),INDEX('My Order Engine'!$AH345:$AV345,Calc!$K$12)),"")</f>
        <v/>
      </c>
      <c r="J343" s="25" t="str">
        <f>IF(AND($A343&lt;=IF(Calc!$C$36=999,360,Calc!$C$36),Calc!$C$13=1),CHOOSE(Calc!$C$3,INDEX('Snowball Engine'!$AH345:$AV345,Calc!$I$13),INDEX('Avalanche Engine'!$AH345:$AV345,Calc!$J$13),INDEX('My Order Engine'!$AH345:$AV345,Calc!$K$13)),"")</f>
        <v/>
      </c>
      <c r="K343" s="25" t="str">
        <f>IF(AND($A343&lt;=IF(Calc!$C$36=999,360,Calc!$C$36),Calc!$C$14=1),CHOOSE(Calc!$C$3,INDEX('Snowball Engine'!$AH345:$AV345,Calc!$I$14),INDEX('Avalanche Engine'!$AH345:$AV345,Calc!$J$14),INDEX('My Order Engine'!$AH345:$AV345,Calc!$K$14)),"")</f>
        <v/>
      </c>
      <c r="L343" s="25" t="str">
        <f>IF(AND($A343&lt;=IF(Calc!$C$36=999,360,Calc!$C$36),Calc!$C$15=1),CHOOSE(Calc!$C$3,INDEX('Snowball Engine'!$AH345:$AV345,Calc!$I$15),INDEX('Avalanche Engine'!$AH345:$AV345,Calc!$J$15),INDEX('My Order Engine'!$AH345:$AV345,Calc!$K$15)),"")</f>
        <v/>
      </c>
      <c r="M343" s="25" t="str">
        <f>IF(AND($A343&lt;=IF(Calc!$C$36=999,360,Calc!$C$36),Calc!$C$16=1),CHOOSE(Calc!$C$3,INDEX('Snowball Engine'!$AH345:$AV345,Calc!$I$16),INDEX('Avalanche Engine'!$AH345:$AV345,Calc!$J$16),INDEX('My Order Engine'!$AH345:$AV345,Calc!$K$16)),"")</f>
        <v/>
      </c>
      <c r="N343" s="25" t="str">
        <f>IF(AND($A343&lt;=IF(Calc!$C$36=999,360,Calc!$C$36),Calc!$C$17=1),CHOOSE(Calc!$C$3,INDEX('Snowball Engine'!$AH345:$AV345,Calc!$I$17),INDEX('Avalanche Engine'!$AH345:$AV345,Calc!$J$17),INDEX('My Order Engine'!$AH345:$AV345,Calc!$K$17)),"")</f>
        <v/>
      </c>
      <c r="O343" s="25" t="str">
        <f>IF(AND($A343&lt;=IF(Calc!$C$36=999,360,Calc!$C$36),Calc!$C$18=1),CHOOSE(Calc!$C$3,INDEX('Snowball Engine'!$AH345:$AV345,Calc!$I$18),INDEX('Avalanche Engine'!$AH345:$AV345,Calc!$J$18),INDEX('My Order Engine'!$AH345:$AV345,Calc!$K$18)),"")</f>
        <v/>
      </c>
      <c r="P343" s="25" t="str">
        <f>IF(AND($A343&lt;=IF(Calc!$C$36=999,360,Calc!$C$36),Calc!$C$19=1),CHOOSE(Calc!$C$3,INDEX('Snowball Engine'!$AH345:$AV345,Calc!$I$19),INDEX('Avalanche Engine'!$AH345:$AV345,Calc!$J$19),INDEX('My Order Engine'!$AH345:$AV345,Calc!$K$19)),"")</f>
        <v/>
      </c>
      <c r="Q343" s="25" t="str">
        <f>IF(AND($A343&lt;=IF(Calc!$C$36=999,360,Calc!$C$36),Calc!$C$20=1),CHOOSE(Calc!$C$3,INDEX('Snowball Engine'!$AH345:$AV345,Calc!$I$20),INDEX('Avalanche Engine'!$AH345:$AV345,Calc!$J$20),INDEX('My Order Engine'!$AH345:$AV345,Calc!$K$20)),"")</f>
        <v/>
      </c>
      <c r="R343" s="25" t="str">
        <f>IF(AND($A343&lt;=IF(Calc!$C$36=999,360,Calc!$C$36),Calc!$C$21=1),CHOOSE(Calc!$C$3,INDEX('Snowball Engine'!$AH345:$AV345,Calc!$I$21),INDEX('Avalanche Engine'!$AH345:$AV345,Calc!$J$21),INDEX('My Order Engine'!$AH345:$AV345,Calc!$K$21)),"")</f>
        <v/>
      </c>
      <c r="S343" s="25" t="str">
        <f>IF(AND($A343&lt;=IF(Calc!$C$36=999,360,Calc!$C$36),Calc!$C$22=1),CHOOSE(Calc!$C$3,INDEX('Snowball Engine'!$AH345:$AV345,Calc!$I$22),INDEX('Avalanche Engine'!$AH345:$AV345,Calc!$J$22),INDEX('My Order Engine'!$AH345:$AV345,Calc!$K$22)),"")</f>
        <v/>
      </c>
      <c r="T343" s="25" t="str">
        <f>IF(AND($A343&lt;=IF(Calc!$C$36=999,360,Calc!$C$36),Calc!$C$23=1),CHOOSE(Calc!$C$3,INDEX('Snowball Engine'!$AH345:$AV345,Calc!$I$23),INDEX('Avalanche Engine'!$AH345:$AV345,Calc!$J$23),INDEX('My Order Engine'!$AH345:$AV345,Calc!$K$23)),"")</f>
        <v/>
      </c>
      <c r="U343" s="25" t="str">
        <f>IF(AND($A343&lt;=IF(Calc!$C$36=999,360,Calc!$C$36),Calc!$C$24=1),CHOOSE(Calc!$C$3,INDEX('Snowball Engine'!$AH345:$AV345,Calc!$I$24),INDEX('Avalanche Engine'!$AH345:$AV345,Calc!$J$24),INDEX('My Order Engine'!$AH345:$AV345,Calc!$K$24)),"")</f>
        <v/>
      </c>
    </row>
    <row r="344" spans="1:21" x14ac:dyDescent="0.35">
      <c r="A344" s="23">
        <v>340</v>
      </c>
      <c r="B344" s="24" t="str">
        <f>IF($A344&lt;=IF(Calc!$C$36=999,360,Calc!$C$36),EDATE(Calc!$C$5,A344-1),"")</f>
        <v/>
      </c>
      <c r="C344" s="25" t="str">
        <f>IF($A344&lt;=IF(Calc!$C$36=999,360,Calc!$C$36),CHOOSE(Calc!$C$3,'Snowball Engine'!AY346,'Avalanche Engine'!AY346,'My Order Engine'!AY346),"")</f>
        <v/>
      </c>
      <c r="D344" s="25" t="str">
        <f>IF($A344&lt;=IF(Calc!$C$36=999,360,Calc!$C$36),CHOOSE(Calc!$C$3,'Snowball Engine'!AX346,'Avalanche Engine'!AX346,'My Order Engine'!AX346),"")</f>
        <v/>
      </c>
      <c r="E344" s="25" t="str">
        <f>IF($A344&lt;=IF(Calc!$C$36=999,360,Calc!$C$36),C344-D344,"")</f>
        <v/>
      </c>
      <c r="F344" s="25" t="str">
        <f>IF($A344&lt;=IF(Calc!$C$36=999,360,Calc!$C$36),CHOOSE(Calc!$C$3,'Snowball Engine'!AW346,'Avalanche Engine'!AW346,'My Order Engine'!AW346),"")</f>
        <v/>
      </c>
      <c r="G344" s="25" t="str">
        <f>IF(AND($A344&lt;=IF(Calc!$C$36=999,360,Calc!$C$36),Calc!$C$10=1),CHOOSE(Calc!$C$3,INDEX('Snowball Engine'!$AH346:$AV346,Calc!$I$10),INDEX('Avalanche Engine'!$AH346:$AV346,Calc!$J$10),INDEX('My Order Engine'!$AH346:$AV346,Calc!$K$10)),"")</f>
        <v/>
      </c>
      <c r="H344" s="25" t="str">
        <f>IF(AND($A344&lt;=IF(Calc!$C$36=999,360,Calc!$C$36),Calc!$C$11=1),CHOOSE(Calc!$C$3,INDEX('Snowball Engine'!$AH346:$AV346,Calc!$I$11),INDEX('Avalanche Engine'!$AH346:$AV346,Calc!$J$11),INDEX('My Order Engine'!$AH346:$AV346,Calc!$K$11)),"")</f>
        <v/>
      </c>
      <c r="I344" s="25" t="str">
        <f>IF(AND($A344&lt;=IF(Calc!$C$36=999,360,Calc!$C$36),Calc!$C$12=1),CHOOSE(Calc!$C$3,INDEX('Snowball Engine'!$AH346:$AV346,Calc!$I$12),INDEX('Avalanche Engine'!$AH346:$AV346,Calc!$J$12),INDEX('My Order Engine'!$AH346:$AV346,Calc!$K$12)),"")</f>
        <v/>
      </c>
      <c r="J344" s="25" t="str">
        <f>IF(AND($A344&lt;=IF(Calc!$C$36=999,360,Calc!$C$36),Calc!$C$13=1),CHOOSE(Calc!$C$3,INDEX('Snowball Engine'!$AH346:$AV346,Calc!$I$13),INDEX('Avalanche Engine'!$AH346:$AV346,Calc!$J$13),INDEX('My Order Engine'!$AH346:$AV346,Calc!$K$13)),"")</f>
        <v/>
      </c>
      <c r="K344" s="25" t="str">
        <f>IF(AND($A344&lt;=IF(Calc!$C$36=999,360,Calc!$C$36),Calc!$C$14=1),CHOOSE(Calc!$C$3,INDEX('Snowball Engine'!$AH346:$AV346,Calc!$I$14),INDEX('Avalanche Engine'!$AH346:$AV346,Calc!$J$14),INDEX('My Order Engine'!$AH346:$AV346,Calc!$K$14)),"")</f>
        <v/>
      </c>
      <c r="L344" s="25" t="str">
        <f>IF(AND($A344&lt;=IF(Calc!$C$36=999,360,Calc!$C$36),Calc!$C$15=1),CHOOSE(Calc!$C$3,INDEX('Snowball Engine'!$AH346:$AV346,Calc!$I$15),INDEX('Avalanche Engine'!$AH346:$AV346,Calc!$J$15),INDEX('My Order Engine'!$AH346:$AV346,Calc!$K$15)),"")</f>
        <v/>
      </c>
      <c r="M344" s="25" t="str">
        <f>IF(AND($A344&lt;=IF(Calc!$C$36=999,360,Calc!$C$36),Calc!$C$16=1),CHOOSE(Calc!$C$3,INDEX('Snowball Engine'!$AH346:$AV346,Calc!$I$16),INDEX('Avalanche Engine'!$AH346:$AV346,Calc!$J$16),INDEX('My Order Engine'!$AH346:$AV346,Calc!$K$16)),"")</f>
        <v/>
      </c>
      <c r="N344" s="25" t="str">
        <f>IF(AND($A344&lt;=IF(Calc!$C$36=999,360,Calc!$C$36),Calc!$C$17=1),CHOOSE(Calc!$C$3,INDEX('Snowball Engine'!$AH346:$AV346,Calc!$I$17),INDEX('Avalanche Engine'!$AH346:$AV346,Calc!$J$17),INDEX('My Order Engine'!$AH346:$AV346,Calc!$K$17)),"")</f>
        <v/>
      </c>
      <c r="O344" s="25" t="str">
        <f>IF(AND($A344&lt;=IF(Calc!$C$36=999,360,Calc!$C$36),Calc!$C$18=1),CHOOSE(Calc!$C$3,INDEX('Snowball Engine'!$AH346:$AV346,Calc!$I$18),INDEX('Avalanche Engine'!$AH346:$AV346,Calc!$J$18),INDEX('My Order Engine'!$AH346:$AV346,Calc!$K$18)),"")</f>
        <v/>
      </c>
      <c r="P344" s="25" t="str">
        <f>IF(AND($A344&lt;=IF(Calc!$C$36=999,360,Calc!$C$36),Calc!$C$19=1),CHOOSE(Calc!$C$3,INDEX('Snowball Engine'!$AH346:$AV346,Calc!$I$19),INDEX('Avalanche Engine'!$AH346:$AV346,Calc!$J$19),INDEX('My Order Engine'!$AH346:$AV346,Calc!$K$19)),"")</f>
        <v/>
      </c>
      <c r="Q344" s="25" t="str">
        <f>IF(AND($A344&lt;=IF(Calc!$C$36=999,360,Calc!$C$36),Calc!$C$20=1),CHOOSE(Calc!$C$3,INDEX('Snowball Engine'!$AH346:$AV346,Calc!$I$20),INDEX('Avalanche Engine'!$AH346:$AV346,Calc!$J$20),INDEX('My Order Engine'!$AH346:$AV346,Calc!$K$20)),"")</f>
        <v/>
      </c>
      <c r="R344" s="25" t="str">
        <f>IF(AND($A344&lt;=IF(Calc!$C$36=999,360,Calc!$C$36),Calc!$C$21=1),CHOOSE(Calc!$C$3,INDEX('Snowball Engine'!$AH346:$AV346,Calc!$I$21),INDEX('Avalanche Engine'!$AH346:$AV346,Calc!$J$21),INDEX('My Order Engine'!$AH346:$AV346,Calc!$K$21)),"")</f>
        <v/>
      </c>
      <c r="S344" s="25" t="str">
        <f>IF(AND($A344&lt;=IF(Calc!$C$36=999,360,Calc!$C$36),Calc!$C$22=1),CHOOSE(Calc!$C$3,INDEX('Snowball Engine'!$AH346:$AV346,Calc!$I$22),INDEX('Avalanche Engine'!$AH346:$AV346,Calc!$J$22),INDEX('My Order Engine'!$AH346:$AV346,Calc!$K$22)),"")</f>
        <v/>
      </c>
      <c r="T344" s="25" t="str">
        <f>IF(AND($A344&lt;=IF(Calc!$C$36=999,360,Calc!$C$36),Calc!$C$23=1),CHOOSE(Calc!$C$3,INDEX('Snowball Engine'!$AH346:$AV346,Calc!$I$23),INDEX('Avalanche Engine'!$AH346:$AV346,Calc!$J$23),INDEX('My Order Engine'!$AH346:$AV346,Calc!$K$23)),"")</f>
        <v/>
      </c>
      <c r="U344" s="25" t="str">
        <f>IF(AND($A344&lt;=IF(Calc!$C$36=999,360,Calc!$C$36),Calc!$C$24=1),CHOOSE(Calc!$C$3,INDEX('Snowball Engine'!$AH346:$AV346,Calc!$I$24),INDEX('Avalanche Engine'!$AH346:$AV346,Calc!$J$24),INDEX('My Order Engine'!$AH346:$AV346,Calc!$K$24)),"")</f>
        <v/>
      </c>
    </row>
    <row r="345" spans="1:21" x14ac:dyDescent="0.35">
      <c r="A345" s="23">
        <v>341</v>
      </c>
      <c r="B345" s="24" t="str">
        <f>IF($A345&lt;=IF(Calc!$C$36=999,360,Calc!$C$36),EDATE(Calc!$C$5,A345-1),"")</f>
        <v/>
      </c>
      <c r="C345" s="25" t="str">
        <f>IF($A345&lt;=IF(Calc!$C$36=999,360,Calc!$C$36),CHOOSE(Calc!$C$3,'Snowball Engine'!AY347,'Avalanche Engine'!AY347,'My Order Engine'!AY347),"")</f>
        <v/>
      </c>
      <c r="D345" s="25" t="str">
        <f>IF($A345&lt;=IF(Calc!$C$36=999,360,Calc!$C$36),CHOOSE(Calc!$C$3,'Snowball Engine'!AX347,'Avalanche Engine'!AX347,'My Order Engine'!AX347),"")</f>
        <v/>
      </c>
      <c r="E345" s="25" t="str">
        <f>IF($A345&lt;=IF(Calc!$C$36=999,360,Calc!$C$36),C345-D345,"")</f>
        <v/>
      </c>
      <c r="F345" s="25" t="str">
        <f>IF($A345&lt;=IF(Calc!$C$36=999,360,Calc!$C$36),CHOOSE(Calc!$C$3,'Snowball Engine'!AW347,'Avalanche Engine'!AW347,'My Order Engine'!AW347),"")</f>
        <v/>
      </c>
      <c r="G345" s="25" t="str">
        <f>IF(AND($A345&lt;=IF(Calc!$C$36=999,360,Calc!$C$36),Calc!$C$10=1),CHOOSE(Calc!$C$3,INDEX('Snowball Engine'!$AH347:$AV347,Calc!$I$10),INDEX('Avalanche Engine'!$AH347:$AV347,Calc!$J$10),INDEX('My Order Engine'!$AH347:$AV347,Calc!$K$10)),"")</f>
        <v/>
      </c>
      <c r="H345" s="25" t="str">
        <f>IF(AND($A345&lt;=IF(Calc!$C$36=999,360,Calc!$C$36),Calc!$C$11=1),CHOOSE(Calc!$C$3,INDEX('Snowball Engine'!$AH347:$AV347,Calc!$I$11),INDEX('Avalanche Engine'!$AH347:$AV347,Calc!$J$11),INDEX('My Order Engine'!$AH347:$AV347,Calc!$K$11)),"")</f>
        <v/>
      </c>
      <c r="I345" s="25" t="str">
        <f>IF(AND($A345&lt;=IF(Calc!$C$36=999,360,Calc!$C$36),Calc!$C$12=1),CHOOSE(Calc!$C$3,INDEX('Snowball Engine'!$AH347:$AV347,Calc!$I$12),INDEX('Avalanche Engine'!$AH347:$AV347,Calc!$J$12),INDEX('My Order Engine'!$AH347:$AV347,Calc!$K$12)),"")</f>
        <v/>
      </c>
      <c r="J345" s="25" t="str">
        <f>IF(AND($A345&lt;=IF(Calc!$C$36=999,360,Calc!$C$36),Calc!$C$13=1),CHOOSE(Calc!$C$3,INDEX('Snowball Engine'!$AH347:$AV347,Calc!$I$13),INDEX('Avalanche Engine'!$AH347:$AV347,Calc!$J$13),INDEX('My Order Engine'!$AH347:$AV347,Calc!$K$13)),"")</f>
        <v/>
      </c>
      <c r="K345" s="25" t="str">
        <f>IF(AND($A345&lt;=IF(Calc!$C$36=999,360,Calc!$C$36),Calc!$C$14=1),CHOOSE(Calc!$C$3,INDEX('Snowball Engine'!$AH347:$AV347,Calc!$I$14),INDEX('Avalanche Engine'!$AH347:$AV347,Calc!$J$14),INDEX('My Order Engine'!$AH347:$AV347,Calc!$K$14)),"")</f>
        <v/>
      </c>
      <c r="L345" s="25" t="str">
        <f>IF(AND($A345&lt;=IF(Calc!$C$36=999,360,Calc!$C$36),Calc!$C$15=1),CHOOSE(Calc!$C$3,INDEX('Snowball Engine'!$AH347:$AV347,Calc!$I$15),INDEX('Avalanche Engine'!$AH347:$AV347,Calc!$J$15),INDEX('My Order Engine'!$AH347:$AV347,Calc!$K$15)),"")</f>
        <v/>
      </c>
      <c r="M345" s="25" t="str">
        <f>IF(AND($A345&lt;=IF(Calc!$C$36=999,360,Calc!$C$36),Calc!$C$16=1),CHOOSE(Calc!$C$3,INDEX('Snowball Engine'!$AH347:$AV347,Calc!$I$16),INDEX('Avalanche Engine'!$AH347:$AV347,Calc!$J$16),INDEX('My Order Engine'!$AH347:$AV347,Calc!$K$16)),"")</f>
        <v/>
      </c>
      <c r="N345" s="25" t="str">
        <f>IF(AND($A345&lt;=IF(Calc!$C$36=999,360,Calc!$C$36),Calc!$C$17=1),CHOOSE(Calc!$C$3,INDEX('Snowball Engine'!$AH347:$AV347,Calc!$I$17),INDEX('Avalanche Engine'!$AH347:$AV347,Calc!$J$17),INDEX('My Order Engine'!$AH347:$AV347,Calc!$K$17)),"")</f>
        <v/>
      </c>
      <c r="O345" s="25" t="str">
        <f>IF(AND($A345&lt;=IF(Calc!$C$36=999,360,Calc!$C$36),Calc!$C$18=1),CHOOSE(Calc!$C$3,INDEX('Snowball Engine'!$AH347:$AV347,Calc!$I$18),INDEX('Avalanche Engine'!$AH347:$AV347,Calc!$J$18),INDEX('My Order Engine'!$AH347:$AV347,Calc!$K$18)),"")</f>
        <v/>
      </c>
      <c r="P345" s="25" t="str">
        <f>IF(AND($A345&lt;=IF(Calc!$C$36=999,360,Calc!$C$36),Calc!$C$19=1),CHOOSE(Calc!$C$3,INDEX('Snowball Engine'!$AH347:$AV347,Calc!$I$19),INDEX('Avalanche Engine'!$AH347:$AV347,Calc!$J$19),INDEX('My Order Engine'!$AH347:$AV347,Calc!$K$19)),"")</f>
        <v/>
      </c>
      <c r="Q345" s="25" t="str">
        <f>IF(AND($A345&lt;=IF(Calc!$C$36=999,360,Calc!$C$36),Calc!$C$20=1),CHOOSE(Calc!$C$3,INDEX('Snowball Engine'!$AH347:$AV347,Calc!$I$20),INDEX('Avalanche Engine'!$AH347:$AV347,Calc!$J$20),INDEX('My Order Engine'!$AH347:$AV347,Calc!$K$20)),"")</f>
        <v/>
      </c>
      <c r="R345" s="25" t="str">
        <f>IF(AND($A345&lt;=IF(Calc!$C$36=999,360,Calc!$C$36),Calc!$C$21=1),CHOOSE(Calc!$C$3,INDEX('Snowball Engine'!$AH347:$AV347,Calc!$I$21),INDEX('Avalanche Engine'!$AH347:$AV347,Calc!$J$21),INDEX('My Order Engine'!$AH347:$AV347,Calc!$K$21)),"")</f>
        <v/>
      </c>
      <c r="S345" s="25" t="str">
        <f>IF(AND($A345&lt;=IF(Calc!$C$36=999,360,Calc!$C$36),Calc!$C$22=1),CHOOSE(Calc!$C$3,INDEX('Snowball Engine'!$AH347:$AV347,Calc!$I$22),INDEX('Avalanche Engine'!$AH347:$AV347,Calc!$J$22),INDEX('My Order Engine'!$AH347:$AV347,Calc!$K$22)),"")</f>
        <v/>
      </c>
      <c r="T345" s="25" t="str">
        <f>IF(AND($A345&lt;=IF(Calc!$C$36=999,360,Calc!$C$36),Calc!$C$23=1),CHOOSE(Calc!$C$3,INDEX('Snowball Engine'!$AH347:$AV347,Calc!$I$23),INDEX('Avalanche Engine'!$AH347:$AV347,Calc!$J$23),INDEX('My Order Engine'!$AH347:$AV347,Calc!$K$23)),"")</f>
        <v/>
      </c>
      <c r="U345" s="25" t="str">
        <f>IF(AND($A345&lt;=IF(Calc!$C$36=999,360,Calc!$C$36),Calc!$C$24=1),CHOOSE(Calc!$C$3,INDEX('Snowball Engine'!$AH347:$AV347,Calc!$I$24),INDEX('Avalanche Engine'!$AH347:$AV347,Calc!$J$24),INDEX('My Order Engine'!$AH347:$AV347,Calc!$K$24)),"")</f>
        <v/>
      </c>
    </row>
    <row r="346" spans="1:21" x14ac:dyDescent="0.35">
      <c r="A346" s="23">
        <v>342</v>
      </c>
      <c r="B346" s="24" t="str">
        <f>IF($A346&lt;=IF(Calc!$C$36=999,360,Calc!$C$36),EDATE(Calc!$C$5,A346-1),"")</f>
        <v/>
      </c>
      <c r="C346" s="25" t="str">
        <f>IF($A346&lt;=IF(Calc!$C$36=999,360,Calc!$C$36),CHOOSE(Calc!$C$3,'Snowball Engine'!AY348,'Avalanche Engine'!AY348,'My Order Engine'!AY348),"")</f>
        <v/>
      </c>
      <c r="D346" s="25" t="str">
        <f>IF($A346&lt;=IF(Calc!$C$36=999,360,Calc!$C$36),CHOOSE(Calc!$C$3,'Snowball Engine'!AX348,'Avalanche Engine'!AX348,'My Order Engine'!AX348),"")</f>
        <v/>
      </c>
      <c r="E346" s="25" t="str">
        <f>IF($A346&lt;=IF(Calc!$C$36=999,360,Calc!$C$36),C346-D346,"")</f>
        <v/>
      </c>
      <c r="F346" s="25" t="str">
        <f>IF($A346&lt;=IF(Calc!$C$36=999,360,Calc!$C$36),CHOOSE(Calc!$C$3,'Snowball Engine'!AW348,'Avalanche Engine'!AW348,'My Order Engine'!AW348),"")</f>
        <v/>
      </c>
      <c r="G346" s="25" t="str">
        <f>IF(AND($A346&lt;=IF(Calc!$C$36=999,360,Calc!$C$36),Calc!$C$10=1),CHOOSE(Calc!$C$3,INDEX('Snowball Engine'!$AH348:$AV348,Calc!$I$10),INDEX('Avalanche Engine'!$AH348:$AV348,Calc!$J$10),INDEX('My Order Engine'!$AH348:$AV348,Calc!$K$10)),"")</f>
        <v/>
      </c>
      <c r="H346" s="25" t="str">
        <f>IF(AND($A346&lt;=IF(Calc!$C$36=999,360,Calc!$C$36),Calc!$C$11=1),CHOOSE(Calc!$C$3,INDEX('Snowball Engine'!$AH348:$AV348,Calc!$I$11),INDEX('Avalanche Engine'!$AH348:$AV348,Calc!$J$11),INDEX('My Order Engine'!$AH348:$AV348,Calc!$K$11)),"")</f>
        <v/>
      </c>
      <c r="I346" s="25" t="str">
        <f>IF(AND($A346&lt;=IF(Calc!$C$36=999,360,Calc!$C$36),Calc!$C$12=1),CHOOSE(Calc!$C$3,INDEX('Snowball Engine'!$AH348:$AV348,Calc!$I$12),INDEX('Avalanche Engine'!$AH348:$AV348,Calc!$J$12),INDEX('My Order Engine'!$AH348:$AV348,Calc!$K$12)),"")</f>
        <v/>
      </c>
      <c r="J346" s="25" t="str">
        <f>IF(AND($A346&lt;=IF(Calc!$C$36=999,360,Calc!$C$36),Calc!$C$13=1),CHOOSE(Calc!$C$3,INDEX('Snowball Engine'!$AH348:$AV348,Calc!$I$13),INDEX('Avalanche Engine'!$AH348:$AV348,Calc!$J$13),INDEX('My Order Engine'!$AH348:$AV348,Calc!$K$13)),"")</f>
        <v/>
      </c>
      <c r="K346" s="25" t="str">
        <f>IF(AND($A346&lt;=IF(Calc!$C$36=999,360,Calc!$C$36),Calc!$C$14=1),CHOOSE(Calc!$C$3,INDEX('Snowball Engine'!$AH348:$AV348,Calc!$I$14),INDEX('Avalanche Engine'!$AH348:$AV348,Calc!$J$14),INDEX('My Order Engine'!$AH348:$AV348,Calc!$K$14)),"")</f>
        <v/>
      </c>
      <c r="L346" s="25" t="str">
        <f>IF(AND($A346&lt;=IF(Calc!$C$36=999,360,Calc!$C$36),Calc!$C$15=1),CHOOSE(Calc!$C$3,INDEX('Snowball Engine'!$AH348:$AV348,Calc!$I$15),INDEX('Avalanche Engine'!$AH348:$AV348,Calc!$J$15),INDEX('My Order Engine'!$AH348:$AV348,Calc!$K$15)),"")</f>
        <v/>
      </c>
      <c r="M346" s="25" t="str">
        <f>IF(AND($A346&lt;=IF(Calc!$C$36=999,360,Calc!$C$36),Calc!$C$16=1),CHOOSE(Calc!$C$3,INDEX('Snowball Engine'!$AH348:$AV348,Calc!$I$16),INDEX('Avalanche Engine'!$AH348:$AV348,Calc!$J$16),INDEX('My Order Engine'!$AH348:$AV348,Calc!$K$16)),"")</f>
        <v/>
      </c>
      <c r="N346" s="25" t="str">
        <f>IF(AND($A346&lt;=IF(Calc!$C$36=999,360,Calc!$C$36),Calc!$C$17=1),CHOOSE(Calc!$C$3,INDEX('Snowball Engine'!$AH348:$AV348,Calc!$I$17),INDEX('Avalanche Engine'!$AH348:$AV348,Calc!$J$17),INDEX('My Order Engine'!$AH348:$AV348,Calc!$K$17)),"")</f>
        <v/>
      </c>
      <c r="O346" s="25" t="str">
        <f>IF(AND($A346&lt;=IF(Calc!$C$36=999,360,Calc!$C$36),Calc!$C$18=1),CHOOSE(Calc!$C$3,INDEX('Snowball Engine'!$AH348:$AV348,Calc!$I$18),INDEX('Avalanche Engine'!$AH348:$AV348,Calc!$J$18),INDEX('My Order Engine'!$AH348:$AV348,Calc!$K$18)),"")</f>
        <v/>
      </c>
      <c r="P346" s="25" t="str">
        <f>IF(AND($A346&lt;=IF(Calc!$C$36=999,360,Calc!$C$36),Calc!$C$19=1),CHOOSE(Calc!$C$3,INDEX('Snowball Engine'!$AH348:$AV348,Calc!$I$19),INDEX('Avalanche Engine'!$AH348:$AV348,Calc!$J$19),INDEX('My Order Engine'!$AH348:$AV348,Calc!$K$19)),"")</f>
        <v/>
      </c>
      <c r="Q346" s="25" t="str">
        <f>IF(AND($A346&lt;=IF(Calc!$C$36=999,360,Calc!$C$36),Calc!$C$20=1),CHOOSE(Calc!$C$3,INDEX('Snowball Engine'!$AH348:$AV348,Calc!$I$20),INDEX('Avalanche Engine'!$AH348:$AV348,Calc!$J$20),INDEX('My Order Engine'!$AH348:$AV348,Calc!$K$20)),"")</f>
        <v/>
      </c>
      <c r="R346" s="25" t="str">
        <f>IF(AND($A346&lt;=IF(Calc!$C$36=999,360,Calc!$C$36),Calc!$C$21=1),CHOOSE(Calc!$C$3,INDEX('Snowball Engine'!$AH348:$AV348,Calc!$I$21),INDEX('Avalanche Engine'!$AH348:$AV348,Calc!$J$21),INDEX('My Order Engine'!$AH348:$AV348,Calc!$K$21)),"")</f>
        <v/>
      </c>
      <c r="S346" s="25" t="str">
        <f>IF(AND($A346&lt;=IF(Calc!$C$36=999,360,Calc!$C$36),Calc!$C$22=1),CHOOSE(Calc!$C$3,INDEX('Snowball Engine'!$AH348:$AV348,Calc!$I$22),INDEX('Avalanche Engine'!$AH348:$AV348,Calc!$J$22),INDEX('My Order Engine'!$AH348:$AV348,Calc!$K$22)),"")</f>
        <v/>
      </c>
      <c r="T346" s="25" t="str">
        <f>IF(AND($A346&lt;=IF(Calc!$C$36=999,360,Calc!$C$36),Calc!$C$23=1),CHOOSE(Calc!$C$3,INDEX('Snowball Engine'!$AH348:$AV348,Calc!$I$23),INDEX('Avalanche Engine'!$AH348:$AV348,Calc!$J$23),INDEX('My Order Engine'!$AH348:$AV348,Calc!$K$23)),"")</f>
        <v/>
      </c>
      <c r="U346" s="25" t="str">
        <f>IF(AND($A346&lt;=IF(Calc!$C$36=999,360,Calc!$C$36),Calc!$C$24=1),CHOOSE(Calc!$C$3,INDEX('Snowball Engine'!$AH348:$AV348,Calc!$I$24),INDEX('Avalanche Engine'!$AH348:$AV348,Calc!$J$24),INDEX('My Order Engine'!$AH348:$AV348,Calc!$K$24)),"")</f>
        <v/>
      </c>
    </row>
    <row r="347" spans="1:21" x14ac:dyDescent="0.35">
      <c r="A347" s="23">
        <v>343</v>
      </c>
      <c r="B347" s="24" t="str">
        <f>IF($A347&lt;=IF(Calc!$C$36=999,360,Calc!$C$36),EDATE(Calc!$C$5,A347-1),"")</f>
        <v/>
      </c>
      <c r="C347" s="25" t="str">
        <f>IF($A347&lt;=IF(Calc!$C$36=999,360,Calc!$C$36),CHOOSE(Calc!$C$3,'Snowball Engine'!AY349,'Avalanche Engine'!AY349,'My Order Engine'!AY349),"")</f>
        <v/>
      </c>
      <c r="D347" s="25" t="str">
        <f>IF($A347&lt;=IF(Calc!$C$36=999,360,Calc!$C$36),CHOOSE(Calc!$C$3,'Snowball Engine'!AX349,'Avalanche Engine'!AX349,'My Order Engine'!AX349),"")</f>
        <v/>
      </c>
      <c r="E347" s="25" t="str">
        <f>IF($A347&lt;=IF(Calc!$C$36=999,360,Calc!$C$36),C347-D347,"")</f>
        <v/>
      </c>
      <c r="F347" s="25" t="str">
        <f>IF($A347&lt;=IF(Calc!$C$36=999,360,Calc!$C$36),CHOOSE(Calc!$C$3,'Snowball Engine'!AW349,'Avalanche Engine'!AW349,'My Order Engine'!AW349),"")</f>
        <v/>
      </c>
      <c r="G347" s="25" t="str">
        <f>IF(AND($A347&lt;=IF(Calc!$C$36=999,360,Calc!$C$36),Calc!$C$10=1),CHOOSE(Calc!$C$3,INDEX('Snowball Engine'!$AH349:$AV349,Calc!$I$10),INDEX('Avalanche Engine'!$AH349:$AV349,Calc!$J$10),INDEX('My Order Engine'!$AH349:$AV349,Calc!$K$10)),"")</f>
        <v/>
      </c>
      <c r="H347" s="25" t="str">
        <f>IF(AND($A347&lt;=IF(Calc!$C$36=999,360,Calc!$C$36),Calc!$C$11=1),CHOOSE(Calc!$C$3,INDEX('Snowball Engine'!$AH349:$AV349,Calc!$I$11),INDEX('Avalanche Engine'!$AH349:$AV349,Calc!$J$11),INDEX('My Order Engine'!$AH349:$AV349,Calc!$K$11)),"")</f>
        <v/>
      </c>
      <c r="I347" s="25" t="str">
        <f>IF(AND($A347&lt;=IF(Calc!$C$36=999,360,Calc!$C$36),Calc!$C$12=1),CHOOSE(Calc!$C$3,INDEX('Snowball Engine'!$AH349:$AV349,Calc!$I$12),INDEX('Avalanche Engine'!$AH349:$AV349,Calc!$J$12),INDEX('My Order Engine'!$AH349:$AV349,Calc!$K$12)),"")</f>
        <v/>
      </c>
      <c r="J347" s="25" t="str">
        <f>IF(AND($A347&lt;=IF(Calc!$C$36=999,360,Calc!$C$36),Calc!$C$13=1),CHOOSE(Calc!$C$3,INDEX('Snowball Engine'!$AH349:$AV349,Calc!$I$13),INDEX('Avalanche Engine'!$AH349:$AV349,Calc!$J$13),INDEX('My Order Engine'!$AH349:$AV349,Calc!$K$13)),"")</f>
        <v/>
      </c>
      <c r="K347" s="25" t="str">
        <f>IF(AND($A347&lt;=IF(Calc!$C$36=999,360,Calc!$C$36),Calc!$C$14=1),CHOOSE(Calc!$C$3,INDEX('Snowball Engine'!$AH349:$AV349,Calc!$I$14),INDEX('Avalanche Engine'!$AH349:$AV349,Calc!$J$14),INDEX('My Order Engine'!$AH349:$AV349,Calc!$K$14)),"")</f>
        <v/>
      </c>
      <c r="L347" s="25" t="str">
        <f>IF(AND($A347&lt;=IF(Calc!$C$36=999,360,Calc!$C$36),Calc!$C$15=1),CHOOSE(Calc!$C$3,INDEX('Snowball Engine'!$AH349:$AV349,Calc!$I$15),INDEX('Avalanche Engine'!$AH349:$AV349,Calc!$J$15),INDEX('My Order Engine'!$AH349:$AV349,Calc!$K$15)),"")</f>
        <v/>
      </c>
      <c r="M347" s="25" t="str">
        <f>IF(AND($A347&lt;=IF(Calc!$C$36=999,360,Calc!$C$36),Calc!$C$16=1),CHOOSE(Calc!$C$3,INDEX('Snowball Engine'!$AH349:$AV349,Calc!$I$16),INDEX('Avalanche Engine'!$AH349:$AV349,Calc!$J$16),INDEX('My Order Engine'!$AH349:$AV349,Calc!$K$16)),"")</f>
        <v/>
      </c>
      <c r="N347" s="25" t="str">
        <f>IF(AND($A347&lt;=IF(Calc!$C$36=999,360,Calc!$C$36),Calc!$C$17=1),CHOOSE(Calc!$C$3,INDEX('Snowball Engine'!$AH349:$AV349,Calc!$I$17),INDEX('Avalanche Engine'!$AH349:$AV349,Calc!$J$17),INDEX('My Order Engine'!$AH349:$AV349,Calc!$K$17)),"")</f>
        <v/>
      </c>
      <c r="O347" s="25" t="str">
        <f>IF(AND($A347&lt;=IF(Calc!$C$36=999,360,Calc!$C$36),Calc!$C$18=1),CHOOSE(Calc!$C$3,INDEX('Snowball Engine'!$AH349:$AV349,Calc!$I$18),INDEX('Avalanche Engine'!$AH349:$AV349,Calc!$J$18),INDEX('My Order Engine'!$AH349:$AV349,Calc!$K$18)),"")</f>
        <v/>
      </c>
      <c r="P347" s="25" t="str">
        <f>IF(AND($A347&lt;=IF(Calc!$C$36=999,360,Calc!$C$36),Calc!$C$19=1),CHOOSE(Calc!$C$3,INDEX('Snowball Engine'!$AH349:$AV349,Calc!$I$19),INDEX('Avalanche Engine'!$AH349:$AV349,Calc!$J$19),INDEX('My Order Engine'!$AH349:$AV349,Calc!$K$19)),"")</f>
        <v/>
      </c>
      <c r="Q347" s="25" t="str">
        <f>IF(AND($A347&lt;=IF(Calc!$C$36=999,360,Calc!$C$36),Calc!$C$20=1),CHOOSE(Calc!$C$3,INDEX('Snowball Engine'!$AH349:$AV349,Calc!$I$20),INDEX('Avalanche Engine'!$AH349:$AV349,Calc!$J$20),INDEX('My Order Engine'!$AH349:$AV349,Calc!$K$20)),"")</f>
        <v/>
      </c>
      <c r="R347" s="25" t="str">
        <f>IF(AND($A347&lt;=IF(Calc!$C$36=999,360,Calc!$C$36),Calc!$C$21=1),CHOOSE(Calc!$C$3,INDEX('Snowball Engine'!$AH349:$AV349,Calc!$I$21),INDEX('Avalanche Engine'!$AH349:$AV349,Calc!$J$21),INDEX('My Order Engine'!$AH349:$AV349,Calc!$K$21)),"")</f>
        <v/>
      </c>
      <c r="S347" s="25" t="str">
        <f>IF(AND($A347&lt;=IF(Calc!$C$36=999,360,Calc!$C$36),Calc!$C$22=1),CHOOSE(Calc!$C$3,INDEX('Snowball Engine'!$AH349:$AV349,Calc!$I$22),INDEX('Avalanche Engine'!$AH349:$AV349,Calc!$J$22),INDEX('My Order Engine'!$AH349:$AV349,Calc!$K$22)),"")</f>
        <v/>
      </c>
      <c r="T347" s="25" t="str">
        <f>IF(AND($A347&lt;=IF(Calc!$C$36=999,360,Calc!$C$36),Calc!$C$23=1),CHOOSE(Calc!$C$3,INDEX('Snowball Engine'!$AH349:$AV349,Calc!$I$23),INDEX('Avalanche Engine'!$AH349:$AV349,Calc!$J$23),INDEX('My Order Engine'!$AH349:$AV349,Calc!$K$23)),"")</f>
        <v/>
      </c>
      <c r="U347" s="25" t="str">
        <f>IF(AND($A347&lt;=IF(Calc!$C$36=999,360,Calc!$C$36),Calc!$C$24=1),CHOOSE(Calc!$C$3,INDEX('Snowball Engine'!$AH349:$AV349,Calc!$I$24),INDEX('Avalanche Engine'!$AH349:$AV349,Calc!$J$24),INDEX('My Order Engine'!$AH349:$AV349,Calc!$K$24)),"")</f>
        <v/>
      </c>
    </row>
    <row r="348" spans="1:21" x14ac:dyDescent="0.35">
      <c r="A348" s="23">
        <v>344</v>
      </c>
      <c r="B348" s="24" t="str">
        <f>IF($A348&lt;=IF(Calc!$C$36=999,360,Calc!$C$36),EDATE(Calc!$C$5,A348-1),"")</f>
        <v/>
      </c>
      <c r="C348" s="25" t="str">
        <f>IF($A348&lt;=IF(Calc!$C$36=999,360,Calc!$C$36),CHOOSE(Calc!$C$3,'Snowball Engine'!AY350,'Avalanche Engine'!AY350,'My Order Engine'!AY350),"")</f>
        <v/>
      </c>
      <c r="D348" s="25" t="str">
        <f>IF($A348&lt;=IF(Calc!$C$36=999,360,Calc!$C$36),CHOOSE(Calc!$C$3,'Snowball Engine'!AX350,'Avalanche Engine'!AX350,'My Order Engine'!AX350),"")</f>
        <v/>
      </c>
      <c r="E348" s="25" t="str">
        <f>IF($A348&lt;=IF(Calc!$C$36=999,360,Calc!$C$36),C348-D348,"")</f>
        <v/>
      </c>
      <c r="F348" s="25" t="str">
        <f>IF($A348&lt;=IF(Calc!$C$36=999,360,Calc!$C$36),CHOOSE(Calc!$C$3,'Snowball Engine'!AW350,'Avalanche Engine'!AW350,'My Order Engine'!AW350),"")</f>
        <v/>
      </c>
      <c r="G348" s="25" t="str">
        <f>IF(AND($A348&lt;=IF(Calc!$C$36=999,360,Calc!$C$36),Calc!$C$10=1),CHOOSE(Calc!$C$3,INDEX('Snowball Engine'!$AH350:$AV350,Calc!$I$10),INDEX('Avalanche Engine'!$AH350:$AV350,Calc!$J$10),INDEX('My Order Engine'!$AH350:$AV350,Calc!$K$10)),"")</f>
        <v/>
      </c>
      <c r="H348" s="25" t="str">
        <f>IF(AND($A348&lt;=IF(Calc!$C$36=999,360,Calc!$C$36),Calc!$C$11=1),CHOOSE(Calc!$C$3,INDEX('Snowball Engine'!$AH350:$AV350,Calc!$I$11),INDEX('Avalanche Engine'!$AH350:$AV350,Calc!$J$11),INDEX('My Order Engine'!$AH350:$AV350,Calc!$K$11)),"")</f>
        <v/>
      </c>
      <c r="I348" s="25" t="str">
        <f>IF(AND($A348&lt;=IF(Calc!$C$36=999,360,Calc!$C$36),Calc!$C$12=1),CHOOSE(Calc!$C$3,INDEX('Snowball Engine'!$AH350:$AV350,Calc!$I$12),INDEX('Avalanche Engine'!$AH350:$AV350,Calc!$J$12),INDEX('My Order Engine'!$AH350:$AV350,Calc!$K$12)),"")</f>
        <v/>
      </c>
      <c r="J348" s="25" t="str">
        <f>IF(AND($A348&lt;=IF(Calc!$C$36=999,360,Calc!$C$36),Calc!$C$13=1),CHOOSE(Calc!$C$3,INDEX('Snowball Engine'!$AH350:$AV350,Calc!$I$13),INDEX('Avalanche Engine'!$AH350:$AV350,Calc!$J$13),INDEX('My Order Engine'!$AH350:$AV350,Calc!$K$13)),"")</f>
        <v/>
      </c>
      <c r="K348" s="25" t="str">
        <f>IF(AND($A348&lt;=IF(Calc!$C$36=999,360,Calc!$C$36),Calc!$C$14=1),CHOOSE(Calc!$C$3,INDEX('Snowball Engine'!$AH350:$AV350,Calc!$I$14),INDEX('Avalanche Engine'!$AH350:$AV350,Calc!$J$14),INDEX('My Order Engine'!$AH350:$AV350,Calc!$K$14)),"")</f>
        <v/>
      </c>
      <c r="L348" s="25" t="str">
        <f>IF(AND($A348&lt;=IF(Calc!$C$36=999,360,Calc!$C$36),Calc!$C$15=1),CHOOSE(Calc!$C$3,INDEX('Snowball Engine'!$AH350:$AV350,Calc!$I$15),INDEX('Avalanche Engine'!$AH350:$AV350,Calc!$J$15),INDEX('My Order Engine'!$AH350:$AV350,Calc!$K$15)),"")</f>
        <v/>
      </c>
      <c r="M348" s="25" t="str">
        <f>IF(AND($A348&lt;=IF(Calc!$C$36=999,360,Calc!$C$36),Calc!$C$16=1),CHOOSE(Calc!$C$3,INDEX('Snowball Engine'!$AH350:$AV350,Calc!$I$16),INDEX('Avalanche Engine'!$AH350:$AV350,Calc!$J$16),INDEX('My Order Engine'!$AH350:$AV350,Calc!$K$16)),"")</f>
        <v/>
      </c>
      <c r="N348" s="25" t="str">
        <f>IF(AND($A348&lt;=IF(Calc!$C$36=999,360,Calc!$C$36),Calc!$C$17=1),CHOOSE(Calc!$C$3,INDEX('Snowball Engine'!$AH350:$AV350,Calc!$I$17),INDEX('Avalanche Engine'!$AH350:$AV350,Calc!$J$17),INDEX('My Order Engine'!$AH350:$AV350,Calc!$K$17)),"")</f>
        <v/>
      </c>
      <c r="O348" s="25" t="str">
        <f>IF(AND($A348&lt;=IF(Calc!$C$36=999,360,Calc!$C$36),Calc!$C$18=1),CHOOSE(Calc!$C$3,INDEX('Snowball Engine'!$AH350:$AV350,Calc!$I$18),INDEX('Avalanche Engine'!$AH350:$AV350,Calc!$J$18),INDEX('My Order Engine'!$AH350:$AV350,Calc!$K$18)),"")</f>
        <v/>
      </c>
      <c r="P348" s="25" t="str">
        <f>IF(AND($A348&lt;=IF(Calc!$C$36=999,360,Calc!$C$36),Calc!$C$19=1),CHOOSE(Calc!$C$3,INDEX('Snowball Engine'!$AH350:$AV350,Calc!$I$19),INDEX('Avalanche Engine'!$AH350:$AV350,Calc!$J$19),INDEX('My Order Engine'!$AH350:$AV350,Calc!$K$19)),"")</f>
        <v/>
      </c>
      <c r="Q348" s="25" t="str">
        <f>IF(AND($A348&lt;=IF(Calc!$C$36=999,360,Calc!$C$36),Calc!$C$20=1),CHOOSE(Calc!$C$3,INDEX('Snowball Engine'!$AH350:$AV350,Calc!$I$20),INDEX('Avalanche Engine'!$AH350:$AV350,Calc!$J$20),INDEX('My Order Engine'!$AH350:$AV350,Calc!$K$20)),"")</f>
        <v/>
      </c>
      <c r="R348" s="25" t="str">
        <f>IF(AND($A348&lt;=IF(Calc!$C$36=999,360,Calc!$C$36),Calc!$C$21=1),CHOOSE(Calc!$C$3,INDEX('Snowball Engine'!$AH350:$AV350,Calc!$I$21),INDEX('Avalanche Engine'!$AH350:$AV350,Calc!$J$21),INDEX('My Order Engine'!$AH350:$AV350,Calc!$K$21)),"")</f>
        <v/>
      </c>
      <c r="S348" s="25" t="str">
        <f>IF(AND($A348&lt;=IF(Calc!$C$36=999,360,Calc!$C$36),Calc!$C$22=1),CHOOSE(Calc!$C$3,INDEX('Snowball Engine'!$AH350:$AV350,Calc!$I$22),INDEX('Avalanche Engine'!$AH350:$AV350,Calc!$J$22),INDEX('My Order Engine'!$AH350:$AV350,Calc!$K$22)),"")</f>
        <v/>
      </c>
      <c r="T348" s="25" t="str">
        <f>IF(AND($A348&lt;=IF(Calc!$C$36=999,360,Calc!$C$36),Calc!$C$23=1),CHOOSE(Calc!$C$3,INDEX('Snowball Engine'!$AH350:$AV350,Calc!$I$23),INDEX('Avalanche Engine'!$AH350:$AV350,Calc!$J$23),INDEX('My Order Engine'!$AH350:$AV350,Calc!$K$23)),"")</f>
        <v/>
      </c>
      <c r="U348" s="25" t="str">
        <f>IF(AND($A348&lt;=IF(Calc!$C$36=999,360,Calc!$C$36),Calc!$C$24=1),CHOOSE(Calc!$C$3,INDEX('Snowball Engine'!$AH350:$AV350,Calc!$I$24),INDEX('Avalanche Engine'!$AH350:$AV350,Calc!$J$24),INDEX('My Order Engine'!$AH350:$AV350,Calc!$K$24)),"")</f>
        <v/>
      </c>
    </row>
    <row r="349" spans="1:21" x14ac:dyDescent="0.35">
      <c r="A349" s="23">
        <v>345</v>
      </c>
      <c r="B349" s="24" t="str">
        <f>IF($A349&lt;=IF(Calc!$C$36=999,360,Calc!$C$36),EDATE(Calc!$C$5,A349-1),"")</f>
        <v/>
      </c>
      <c r="C349" s="25" t="str">
        <f>IF($A349&lt;=IF(Calc!$C$36=999,360,Calc!$C$36),CHOOSE(Calc!$C$3,'Snowball Engine'!AY351,'Avalanche Engine'!AY351,'My Order Engine'!AY351),"")</f>
        <v/>
      </c>
      <c r="D349" s="25" t="str">
        <f>IF($A349&lt;=IF(Calc!$C$36=999,360,Calc!$C$36),CHOOSE(Calc!$C$3,'Snowball Engine'!AX351,'Avalanche Engine'!AX351,'My Order Engine'!AX351),"")</f>
        <v/>
      </c>
      <c r="E349" s="25" t="str">
        <f>IF($A349&lt;=IF(Calc!$C$36=999,360,Calc!$C$36),C349-D349,"")</f>
        <v/>
      </c>
      <c r="F349" s="25" t="str">
        <f>IF($A349&lt;=IF(Calc!$C$36=999,360,Calc!$C$36),CHOOSE(Calc!$C$3,'Snowball Engine'!AW351,'Avalanche Engine'!AW351,'My Order Engine'!AW351),"")</f>
        <v/>
      </c>
      <c r="G349" s="25" t="str">
        <f>IF(AND($A349&lt;=IF(Calc!$C$36=999,360,Calc!$C$36),Calc!$C$10=1),CHOOSE(Calc!$C$3,INDEX('Snowball Engine'!$AH351:$AV351,Calc!$I$10),INDEX('Avalanche Engine'!$AH351:$AV351,Calc!$J$10),INDEX('My Order Engine'!$AH351:$AV351,Calc!$K$10)),"")</f>
        <v/>
      </c>
      <c r="H349" s="25" t="str">
        <f>IF(AND($A349&lt;=IF(Calc!$C$36=999,360,Calc!$C$36),Calc!$C$11=1),CHOOSE(Calc!$C$3,INDEX('Snowball Engine'!$AH351:$AV351,Calc!$I$11),INDEX('Avalanche Engine'!$AH351:$AV351,Calc!$J$11),INDEX('My Order Engine'!$AH351:$AV351,Calc!$K$11)),"")</f>
        <v/>
      </c>
      <c r="I349" s="25" t="str">
        <f>IF(AND($A349&lt;=IF(Calc!$C$36=999,360,Calc!$C$36),Calc!$C$12=1),CHOOSE(Calc!$C$3,INDEX('Snowball Engine'!$AH351:$AV351,Calc!$I$12),INDEX('Avalanche Engine'!$AH351:$AV351,Calc!$J$12),INDEX('My Order Engine'!$AH351:$AV351,Calc!$K$12)),"")</f>
        <v/>
      </c>
      <c r="J349" s="25" t="str">
        <f>IF(AND($A349&lt;=IF(Calc!$C$36=999,360,Calc!$C$36),Calc!$C$13=1),CHOOSE(Calc!$C$3,INDEX('Snowball Engine'!$AH351:$AV351,Calc!$I$13),INDEX('Avalanche Engine'!$AH351:$AV351,Calc!$J$13),INDEX('My Order Engine'!$AH351:$AV351,Calc!$K$13)),"")</f>
        <v/>
      </c>
      <c r="K349" s="25" t="str">
        <f>IF(AND($A349&lt;=IF(Calc!$C$36=999,360,Calc!$C$36),Calc!$C$14=1),CHOOSE(Calc!$C$3,INDEX('Snowball Engine'!$AH351:$AV351,Calc!$I$14),INDEX('Avalanche Engine'!$AH351:$AV351,Calc!$J$14),INDEX('My Order Engine'!$AH351:$AV351,Calc!$K$14)),"")</f>
        <v/>
      </c>
      <c r="L349" s="25" t="str">
        <f>IF(AND($A349&lt;=IF(Calc!$C$36=999,360,Calc!$C$36),Calc!$C$15=1),CHOOSE(Calc!$C$3,INDEX('Snowball Engine'!$AH351:$AV351,Calc!$I$15),INDEX('Avalanche Engine'!$AH351:$AV351,Calc!$J$15),INDEX('My Order Engine'!$AH351:$AV351,Calc!$K$15)),"")</f>
        <v/>
      </c>
      <c r="M349" s="25" t="str">
        <f>IF(AND($A349&lt;=IF(Calc!$C$36=999,360,Calc!$C$36),Calc!$C$16=1),CHOOSE(Calc!$C$3,INDEX('Snowball Engine'!$AH351:$AV351,Calc!$I$16),INDEX('Avalanche Engine'!$AH351:$AV351,Calc!$J$16),INDEX('My Order Engine'!$AH351:$AV351,Calc!$K$16)),"")</f>
        <v/>
      </c>
      <c r="N349" s="25" t="str">
        <f>IF(AND($A349&lt;=IF(Calc!$C$36=999,360,Calc!$C$36),Calc!$C$17=1),CHOOSE(Calc!$C$3,INDEX('Snowball Engine'!$AH351:$AV351,Calc!$I$17),INDEX('Avalanche Engine'!$AH351:$AV351,Calc!$J$17),INDEX('My Order Engine'!$AH351:$AV351,Calc!$K$17)),"")</f>
        <v/>
      </c>
      <c r="O349" s="25" t="str">
        <f>IF(AND($A349&lt;=IF(Calc!$C$36=999,360,Calc!$C$36),Calc!$C$18=1),CHOOSE(Calc!$C$3,INDEX('Snowball Engine'!$AH351:$AV351,Calc!$I$18),INDEX('Avalanche Engine'!$AH351:$AV351,Calc!$J$18),INDEX('My Order Engine'!$AH351:$AV351,Calc!$K$18)),"")</f>
        <v/>
      </c>
      <c r="P349" s="25" t="str">
        <f>IF(AND($A349&lt;=IF(Calc!$C$36=999,360,Calc!$C$36),Calc!$C$19=1),CHOOSE(Calc!$C$3,INDEX('Snowball Engine'!$AH351:$AV351,Calc!$I$19),INDEX('Avalanche Engine'!$AH351:$AV351,Calc!$J$19),INDEX('My Order Engine'!$AH351:$AV351,Calc!$K$19)),"")</f>
        <v/>
      </c>
      <c r="Q349" s="25" t="str">
        <f>IF(AND($A349&lt;=IF(Calc!$C$36=999,360,Calc!$C$36),Calc!$C$20=1),CHOOSE(Calc!$C$3,INDEX('Snowball Engine'!$AH351:$AV351,Calc!$I$20),INDEX('Avalanche Engine'!$AH351:$AV351,Calc!$J$20),INDEX('My Order Engine'!$AH351:$AV351,Calc!$K$20)),"")</f>
        <v/>
      </c>
      <c r="R349" s="25" t="str">
        <f>IF(AND($A349&lt;=IF(Calc!$C$36=999,360,Calc!$C$36),Calc!$C$21=1),CHOOSE(Calc!$C$3,INDEX('Snowball Engine'!$AH351:$AV351,Calc!$I$21),INDEX('Avalanche Engine'!$AH351:$AV351,Calc!$J$21),INDEX('My Order Engine'!$AH351:$AV351,Calc!$K$21)),"")</f>
        <v/>
      </c>
      <c r="S349" s="25" t="str">
        <f>IF(AND($A349&lt;=IF(Calc!$C$36=999,360,Calc!$C$36),Calc!$C$22=1),CHOOSE(Calc!$C$3,INDEX('Snowball Engine'!$AH351:$AV351,Calc!$I$22),INDEX('Avalanche Engine'!$AH351:$AV351,Calc!$J$22),INDEX('My Order Engine'!$AH351:$AV351,Calc!$K$22)),"")</f>
        <v/>
      </c>
      <c r="T349" s="25" t="str">
        <f>IF(AND($A349&lt;=IF(Calc!$C$36=999,360,Calc!$C$36),Calc!$C$23=1),CHOOSE(Calc!$C$3,INDEX('Snowball Engine'!$AH351:$AV351,Calc!$I$23),INDEX('Avalanche Engine'!$AH351:$AV351,Calc!$J$23),INDEX('My Order Engine'!$AH351:$AV351,Calc!$K$23)),"")</f>
        <v/>
      </c>
      <c r="U349" s="25" t="str">
        <f>IF(AND($A349&lt;=IF(Calc!$C$36=999,360,Calc!$C$36),Calc!$C$24=1),CHOOSE(Calc!$C$3,INDEX('Snowball Engine'!$AH351:$AV351,Calc!$I$24),INDEX('Avalanche Engine'!$AH351:$AV351,Calc!$J$24),INDEX('My Order Engine'!$AH351:$AV351,Calc!$K$24)),"")</f>
        <v/>
      </c>
    </row>
    <row r="350" spans="1:21" x14ac:dyDescent="0.35">
      <c r="A350" s="23">
        <v>346</v>
      </c>
      <c r="B350" s="24" t="str">
        <f>IF($A350&lt;=IF(Calc!$C$36=999,360,Calc!$C$36),EDATE(Calc!$C$5,A350-1),"")</f>
        <v/>
      </c>
      <c r="C350" s="25" t="str">
        <f>IF($A350&lt;=IF(Calc!$C$36=999,360,Calc!$C$36),CHOOSE(Calc!$C$3,'Snowball Engine'!AY352,'Avalanche Engine'!AY352,'My Order Engine'!AY352),"")</f>
        <v/>
      </c>
      <c r="D350" s="25" t="str">
        <f>IF($A350&lt;=IF(Calc!$C$36=999,360,Calc!$C$36),CHOOSE(Calc!$C$3,'Snowball Engine'!AX352,'Avalanche Engine'!AX352,'My Order Engine'!AX352),"")</f>
        <v/>
      </c>
      <c r="E350" s="25" t="str">
        <f>IF($A350&lt;=IF(Calc!$C$36=999,360,Calc!$C$36),C350-D350,"")</f>
        <v/>
      </c>
      <c r="F350" s="25" t="str">
        <f>IF($A350&lt;=IF(Calc!$C$36=999,360,Calc!$C$36),CHOOSE(Calc!$C$3,'Snowball Engine'!AW352,'Avalanche Engine'!AW352,'My Order Engine'!AW352),"")</f>
        <v/>
      </c>
      <c r="G350" s="25" t="str">
        <f>IF(AND($A350&lt;=IF(Calc!$C$36=999,360,Calc!$C$36),Calc!$C$10=1),CHOOSE(Calc!$C$3,INDEX('Snowball Engine'!$AH352:$AV352,Calc!$I$10),INDEX('Avalanche Engine'!$AH352:$AV352,Calc!$J$10),INDEX('My Order Engine'!$AH352:$AV352,Calc!$K$10)),"")</f>
        <v/>
      </c>
      <c r="H350" s="25" t="str">
        <f>IF(AND($A350&lt;=IF(Calc!$C$36=999,360,Calc!$C$36),Calc!$C$11=1),CHOOSE(Calc!$C$3,INDEX('Snowball Engine'!$AH352:$AV352,Calc!$I$11),INDEX('Avalanche Engine'!$AH352:$AV352,Calc!$J$11),INDEX('My Order Engine'!$AH352:$AV352,Calc!$K$11)),"")</f>
        <v/>
      </c>
      <c r="I350" s="25" t="str">
        <f>IF(AND($A350&lt;=IF(Calc!$C$36=999,360,Calc!$C$36),Calc!$C$12=1),CHOOSE(Calc!$C$3,INDEX('Snowball Engine'!$AH352:$AV352,Calc!$I$12),INDEX('Avalanche Engine'!$AH352:$AV352,Calc!$J$12),INDEX('My Order Engine'!$AH352:$AV352,Calc!$K$12)),"")</f>
        <v/>
      </c>
      <c r="J350" s="25" t="str">
        <f>IF(AND($A350&lt;=IF(Calc!$C$36=999,360,Calc!$C$36),Calc!$C$13=1),CHOOSE(Calc!$C$3,INDEX('Snowball Engine'!$AH352:$AV352,Calc!$I$13),INDEX('Avalanche Engine'!$AH352:$AV352,Calc!$J$13),INDEX('My Order Engine'!$AH352:$AV352,Calc!$K$13)),"")</f>
        <v/>
      </c>
      <c r="K350" s="25" t="str">
        <f>IF(AND($A350&lt;=IF(Calc!$C$36=999,360,Calc!$C$36),Calc!$C$14=1),CHOOSE(Calc!$C$3,INDEX('Snowball Engine'!$AH352:$AV352,Calc!$I$14),INDEX('Avalanche Engine'!$AH352:$AV352,Calc!$J$14),INDEX('My Order Engine'!$AH352:$AV352,Calc!$K$14)),"")</f>
        <v/>
      </c>
      <c r="L350" s="25" t="str">
        <f>IF(AND($A350&lt;=IF(Calc!$C$36=999,360,Calc!$C$36),Calc!$C$15=1),CHOOSE(Calc!$C$3,INDEX('Snowball Engine'!$AH352:$AV352,Calc!$I$15),INDEX('Avalanche Engine'!$AH352:$AV352,Calc!$J$15),INDEX('My Order Engine'!$AH352:$AV352,Calc!$K$15)),"")</f>
        <v/>
      </c>
      <c r="M350" s="25" t="str">
        <f>IF(AND($A350&lt;=IF(Calc!$C$36=999,360,Calc!$C$36),Calc!$C$16=1),CHOOSE(Calc!$C$3,INDEX('Snowball Engine'!$AH352:$AV352,Calc!$I$16),INDEX('Avalanche Engine'!$AH352:$AV352,Calc!$J$16),INDEX('My Order Engine'!$AH352:$AV352,Calc!$K$16)),"")</f>
        <v/>
      </c>
      <c r="N350" s="25" t="str">
        <f>IF(AND($A350&lt;=IF(Calc!$C$36=999,360,Calc!$C$36),Calc!$C$17=1),CHOOSE(Calc!$C$3,INDEX('Snowball Engine'!$AH352:$AV352,Calc!$I$17),INDEX('Avalanche Engine'!$AH352:$AV352,Calc!$J$17),INDEX('My Order Engine'!$AH352:$AV352,Calc!$K$17)),"")</f>
        <v/>
      </c>
      <c r="O350" s="25" t="str">
        <f>IF(AND($A350&lt;=IF(Calc!$C$36=999,360,Calc!$C$36),Calc!$C$18=1),CHOOSE(Calc!$C$3,INDEX('Snowball Engine'!$AH352:$AV352,Calc!$I$18),INDEX('Avalanche Engine'!$AH352:$AV352,Calc!$J$18),INDEX('My Order Engine'!$AH352:$AV352,Calc!$K$18)),"")</f>
        <v/>
      </c>
      <c r="P350" s="25" t="str">
        <f>IF(AND($A350&lt;=IF(Calc!$C$36=999,360,Calc!$C$36),Calc!$C$19=1),CHOOSE(Calc!$C$3,INDEX('Snowball Engine'!$AH352:$AV352,Calc!$I$19),INDEX('Avalanche Engine'!$AH352:$AV352,Calc!$J$19),INDEX('My Order Engine'!$AH352:$AV352,Calc!$K$19)),"")</f>
        <v/>
      </c>
      <c r="Q350" s="25" t="str">
        <f>IF(AND($A350&lt;=IF(Calc!$C$36=999,360,Calc!$C$36),Calc!$C$20=1),CHOOSE(Calc!$C$3,INDEX('Snowball Engine'!$AH352:$AV352,Calc!$I$20),INDEX('Avalanche Engine'!$AH352:$AV352,Calc!$J$20),INDEX('My Order Engine'!$AH352:$AV352,Calc!$K$20)),"")</f>
        <v/>
      </c>
      <c r="R350" s="25" t="str">
        <f>IF(AND($A350&lt;=IF(Calc!$C$36=999,360,Calc!$C$36),Calc!$C$21=1),CHOOSE(Calc!$C$3,INDEX('Snowball Engine'!$AH352:$AV352,Calc!$I$21),INDEX('Avalanche Engine'!$AH352:$AV352,Calc!$J$21),INDEX('My Order Engine'!$AH352:$AV352,Calc!$K$21)),"")</f>
        <v/>
      </c>
      <c r="S350" s="25" t="str">
        <f>IF(AND($A350&lt;=IF(Calc!$C$36=999,360,Calc!$C$36),Calc!$C$22=1),CHOOSE(Calc!$C$3,INDEX('Snowball Engine'!$AH352:$AV352,Calc!$I$22),INDEX('Avalanche Engine'!$AH352:$AV352,Calc!$J$22),INDEX('My Order Engine'!$AH352:$AV352,Calc!$K$22)),"")</f>
        <v/>
      </c>
      <c r="T350" s="25" t="str">
        <f>IF(AND($A350&lt;=IF(Calc!$C$36=999,360,Calc!$C$36),Calc!$C$23=1),CHOOSE(Calc!$C$3,INDEX('Snowball Engine'!$AH352:$AV352,Calc!$I$23),INDEX('Avalanche Engine'!$AH352:$AV352,Calc!$J$23),INDEX('My Order Engine'!$AH352:$AV352,Calc!$K$23)),"")</f>
        <v/>
      </c>
      <c r="U350" s="25" t="str">
        <f>IF(AND($A350&lt;=IF(Calc!$C$36=999,360,Calc!$C$36),Calc!$C$24=1),CHOOSE(Calc!$C$3,INDEX('Snowball Engine'!$AH352:$AV352,Calc!$I$24),INDEX('Avalanche Engine'!$AH352:$AV352,Calc!$J$24),INDEX('My Order Engine'!$AH352:$AV352,Calc!$K$24)),"")</f>
        <v/>
      </c>
    </row>
    <row r="351" spans="1:21" x14ac:dyDescent="0.35">
      <c r="A351" s="23">
        <v>347</v>
      </c>
      <c r="B351" s="24" t="str">
        <f>IF($A351&lt;=IF(Calc!$C$36=999,360,Calc!$C$36),EDATE(Calc!$C$5,A351-1),"")</f>
        <v/>
      </c>
      <c r="C351" s="25" t="str">
        <f>IF($A351&lt;=IF(Calc!$C$36=999,360,Calc!$C$36),CHOOSE(Calc!$C$3,'Snowball Engine'!AY353,'Avalanche Engine'!AY353,'My Order Engine'!AY353),"")</f>
        <v/>
      </c>
      <c r="D351" s="25" t="str">
        <f>IF($A351&lt;=IF(Calc!$C$36=999,360,Calc!$C$36),CHOOSE(Calc!$C$3,'Snowball Engine'!AX353,'Avalanche Engine'!AX353,'My Order Engine'!AX353),"")</f>
        <v/>
      </c>
      <c r="E351" s="25" t="str">
        <f>IF($A351&lt;=IF(Calc!$C$36=999,360,Calc!$C$36),C351-D351,"")</f>
        <v/>
      </c>
      <c r="F351" s="25" t="str">
        <f>IF($A351&lt;=IF(Calc!$C$36=999,360,Calc!$C$36),CHOOSE(Calc!$C$3,'Snowball Engine'!AW353,'Avalanche Engine'!AW353,'My Order Engine'!AW353),"")</f>
        <v/>
      </c>
      <c r="G351" s="25" t="str">
        <f>IF(AND($A351&lt;=IF(Calc!$C$36=999,360,Calc!$C$36),Calc!$C$10=1),CHOOSE(Calc!$C$3,INDEX('Snowball Engine'!$AH353:$AV353,Calc!$I$10),INDEX('Avalanche Engine'!$AH353:$AV353,Calc!$J$10),INDEX('My Order Engine'!$AH353:$AV353,Calc!$K$10)),"")</f>
        <v/>
      </c>
      <c r="H351" s="25" t="str">
        <f>IF(AND($A351&lt;=IF(Calc!$C$36=999,360,Calc!$C$36),Calc!$C$11=1),CHOOSE(Calc!$C$3,INDEX('Snowball Engine'!$AH353:$AV353,Calc!$I$11),INDEX('Avalanche Engine'!$AH353:$AV353,Calc!$J$11),INDEX('My Order Engine'!$AH353:$AV353,Calc!$K$11)),"")</f>
        <v/>
      </c>
      <c r="I351" s="25" t="str">
        <f>IF(AND($A351&lt;=IF(Calc!$C$36=999,360,Calc!$C$36),Calc!$C$12=1),CHOOSE(Calc!$C$3,INDEX('Snowball Engine'!$AH353:$AV353,Calc!$I$12),INDEX('Avalanche Engine'!$AH353:$AV353,Calc!$J$12),INDEX('My Order Engine'!$AH353:$AV353,Calc!$K$12)),"")</f>
        <v/>
      </c>
      <c r="J351" s="25" t="str">
        <f>IF(AND($A351&lt;=IF(Calc!$C$36=999,360,Calc!$C$36),Calc!$C$13=1),CHOOSE(Calc!$C$3,INDEX('Snowball Engine'!$AH353:$AV353,Calc!$I$13),INDEX('Avalanche Engine'!$AH353:$AV353,Calc!$J$13),INDEX('My Order Engine'!$AH353:$AV353,Calc!$K$13)),"")</f>
        <v/>
      </c>
      <c r="K351" s="25" t="str">
        <f>IF(AND($A351&lt;=IF(Calc!$C$36=999,360,Calc!$C$36),Calc!$C$14=1),CHOOSE(Calc!$C$3,INDEX('Snowball Engine'!$AH353:$AV353,Calc!$I$14),INDEX('Avalanche Engine'!$AH353:$AV353,Calc!$J$14),INDEX('My Order Engine'!$AH353:$AV353,Calc!$K$14)),"")</f>
        <v/>
      </c>
      <c r="L351" s="25" t="str">
        <f>IF(AND($A351&lt;=IF(Calc!$C$36=999,360,Calc!$C$36),Calc!$C$15=1),CHOOSE(Calc!$C$3,INDEX('Snowball Engine'!$AH353:$AV353,Calc!$I$15),INDEX('Avalanche Engine'!$AH353:$AV353,Calc!$J$15),INDEX('My Order Engine'!$AH353:$AV353,Calc!$K$15)),"")</f>
        <v/>
      </c>
      <c r="M351" s="25" t="str">
        <f>IF(AND($A351&lt;=IF(Calc!$C$36=999,360,Calc!$C$36),Calc!$C$16=1),CHOOSE(Calc!$C$3,INDEX('Snowball Engine'!$AH353:$AV353,Calc!$I$16),INDEX('Avalanche Engine'!$AH353:$AV353,Calc!$J$16),INDEX('My Order Engine'!$AH353:$AV353,Calc!$K$16)),"")</f>
        <v/>
      </c>
      <c r="N351" s="25" t="str">
        <f>IF(AND($A351&lt;=IF(Calc!$C$36=999,360,Calc!$C$36),Calc!$C$17=1),CHOOSE(Calc!$C$3,INDEX('Snowball Engine'!$AH353:$AV353,Calc!$I$17),INDEX('Avalanche Engine'!$AH353:$AV353,Calc!$J$17),INDEX('My Order Engine'!$AH353:$AV353,Calc!$K$17)),"")</f>
        <v/>
      </c>
      <c r="O351" s="25" t="str">
        <f>IF(AND($A351&lt;=IF(Calc!$C$36=999,360,Calc!$C$36),Calc!$C$18=1),CHOOSE(Calc!$C$3,INDEX('Snowball Engine'!$AH353:$AV353,Calc!$I$18),INDEX('Avalanche Engine'!$AH353:$AV353,Calc!$J$18),INDEX('My Order Engine'!$AH353:$AV353,Calc!$K$18)),"")</f>
        <v/>
      </c>
      <c r="P351" s="25" t="str">
        <f>IF(AND($A351&lt;=IF(Calc!$C$36=999,360,Calc!$C$36),Calc!$C$19=1),CHOOSE(Calc!$C$3,INDEX('Snowball Engine'!$AH353:$AV353,Calc!$I$19),INDEX('Avalanche Engine'!$AH353:$AV353,Calc!$J$19),INDEX('My Order Engine'!$AH353:$AV353,Calc!$K$19)),"")</f>
        <v/>
      </c>
      <c r="Q351" s="25" t="str">
        <f>IF(AND($A351&lt;=IF(Calc!$C$36=999,360,Calc!$C$36),Calc!$C$20=1),CHOOSE(Calc!$C$3,INDEX('Snowball Engine'!$AH353:$AV353,Calc!$I$20),INDEX('Avalanche Engine'!$AH353:$AV353,Calc!$J$20),INDEX('My Order Engine'!$AH353:$AV353,Calc!$K$20)),"")</f>
        <v/>
      </c>
      <c r="R351" s="25" t="str">
        <f>IF(AND($A351&lt;=IF(Calc!$C$36=999,360,Calc!$C$36),Calc!$C$21=1),CHOOSE(Calc!$C$3,INDEX('Snowball Engine'!$AH353:$AV353,Calc!$I$21),INDEX('Avalanche Engine'!$AH353:$AV353,Calc!$J$21),INDEX('My Order Engine'!$AH353:$AV353,Calc!$K$21)),"")</f>
        <v/>
      </c>
      <c r="S351" s="25" t="str">
        <f>IF(AND($A351&lt;=IF(Calc!$C$36=999,360,Calc!$C$36),Calc!$C$22=1),CHOOSE(Calc!$C$3,INDEX('Snowball Engine'!$AH353:$AV353,Calc!$I$22),INDEX('Avalanche Engine'!$AH353:$AV353,Calc!$J$22),INDEX('My Order Engine'!$AH353:$AV353,Calc!$K$22)),"")</f>
        <v/>
      </c>
      <c r="T351" s="25" t="str">
        <f>IF(AND($A351&lt;=IF(Calc!$C$36=999,360,Calc!$C$36),Calc!$C$23=1),CHOOSE(Calc!$C$3,INDEX('Snowball Engine'!$AH353:$AV353,Calc!$I$23),INDEX('Avalanche Engine'!$AH353:$AV353,Calc!$J$23),INDEX('My Order Engine'!$AH353:$AV353,Calc!$K$23)),"")</f>
        <v/>
      </c>
      <c r="U351" s="25" t="str">
        <f>IF(AND($A351&lt;=IF(Calc!$C$36=999,360,Calc!$C$36),Calc!$C$24=1),CHOOSE(Calc!$C$3,INDEX('Snowball Engine'!$AH353:$AV353,Calc!$I$24),INDEX('Avalanche Engine'!$AH353:$AV353,Calc!$J$24),INDEX('My Order Engine'!$AH353:$AV353,Calc!$K$24)),"")</f>
        <v/>
      </c>
    </row>
    <row r="352" spans="1:21" x14ac:dyDescent="0.35">
      <c r="A352" s="23">
        <v>348</v>
      </c>
      <c r="B352" s="24" t="str">
        <f>IF($A352&lt;=IF(Calc!$C$36=999,360,Calc!$C$36),EDATE(Calc!$C$5,A352-1),"")</f>
        <v/>
      </c>
      <c r="C352" s="25" t="str">
        <f>IF($A352&lt;=IF(Calc!$C$36=999,360,Calc!$C$36),CHOOSE(Calc!$C$3,'Snowball Engine'!AY354,'Avalanche Engine'!AY354,'My Order Engine'!AY354),"")</f>
        <v/>
      </c>
      <c r="D352" s="25" t="str">
        <f>IF($A352&lt;=IF(Calc!$C$36=999,360,Calc!$C$36),CHOOSE(Calc!$C$3,'Snowball Engine'!AX354,'Avalanche Engine'!AX354,'My Order Engine'!AX354),"")</f>
        <v/>
      </c>
      <c r="E352" s="25" t="str">
        <f>IF($A352&lt;=IF(Calc!$C$36=999,360,Calc!$C$36),C352-D352,"")</f>
        <v/>
      </c>
      <c r="F352" s="25" t="str">
        <f>IF($A352&lt;=IF(Calc!$C$36=999,360,Calc!$C$36),CHOOSE(Calc!$C$3,'Snowball Engine'!AW354,'Avalanche Engine'!AW354,'My Order Engine'!AW354),"")</f>
        <v/>
      </c>
      <c r="G352" s="25" t="str">
        <f>IF(AND($A352&lt;=IF(Calc!$C$36=999,360,Calc!$C$36),Calc!$C$10=1),CHOOSE(Calc!$C$3,INDEX('Snowball Engine'!$AH354:$AV354,Calc!$I$10),INDEX('Avalanche Engine'!$AH354:$AV354,Calc!$J$10),INDEX('My Order Engine'!$AH354:$AV354,Calc!$K$10)),"")</f>
        <v/>
      </c>
      <c r="H352" s="25" t="str">
        <f>IF(AND($A352&lt;=IF(Calc!$C$36=999,360,Calc!$C$36),Calc!$C$11=1),CHOOSE(Calc!$C$3,INDEX('Snowball Engine'!$AH354:$AV354,Calc!$I$11),INDEX('Avalanche Engine'!$AH354:$AV354,Calc!$J$11),INDEX('My Order Engine'!$AH354:$AV354,Calc!$K$11)),"")</f>
        <v/>
      </c>
      <c r="I352" s="25" t="str">
        <f>IF(AND($A352&lt;=IF(Calc!$C$36=999,360,Calc!$C$36),Calc!$C$12=1),CHOOSE(Calc!$C$3,INDEX('Snowball Engine'!$AH354:$AV354,Calc!$I$12),INDEX('Avalanche Engine'!$AH354:$AV354,Calc!$J$12),INDEX('My Order Engine'!$AH354:$AV354,Calc!$K$12)),"")</f>
        <v/>
      </c>
      <c r="J352" s="25" t="str">
        <f>IF(AND($A352&lt;=IF(Calc!$C$36=999,360,Calc!$C$36),Calc!$C$13=1),CHOOSE(Calc!$C$3,INDEX('Snowball Engine'!$AH354:$AV354,Calc!$I$13),INDEX('Avalanche Engine'!$AH354:$AV354,Calc!$J$13),INDEX('My Order Engine'!$AH354:$AV354,Calc!$K$13)),"")</f>
        <v/>
      </c>
      <c r="K352" s="25" t="str">
        <f>IF(AND($A352&lt;=IF(Calc!$C$36=999,360,Calc!$C$36),Calc!$C$14=1),CHOOSE(Calc!$C$3,INDEX('Snowball Engine'!$AH354:$AV354,Calc!$I$14),INDEX('Avalanche Engine'!$AH354:$AV354,Calc!$J$14),INDEX('My Order Engine'!$AH354:$AV354,Calc!$K$14)),"")</f>
        <v/>
      </c>
      <c r="L352" s="25" t="str">
        <f>IF(AND($A352&lt;=IF(Calc!$C$36=999,360,Calc!$C$36),Calc!$C$15=1),CHOOSE(Calc!$C$3,INDEX('Snowball Engine'!$AH354:$AV354,Calc!$I$15),INDEX('Avalanche Engine'!$AH354:$AV354,Calc!$J$15),INDEX('My Order Engine'!$AH354:$AV354,Calc!$K$15)),"")</f>
        <v/>
      </c>
      <c r="M352" s="25" t="str">
        <f>IF(AND($A352&lt;=IF(Calc!$C$36=999,360,Calc!$C$36),Calc!$C$16=1),CHOOSE(Calc!$C$3,INDEX('Snowball Engine'!$AH354:$AV354,Calc!$I$16),INDEX('Avalanche Engine'!$AH354:$AV354,Calc!$J$16),INDEX('My Order Engine'!$AH354:$AV354,Calc!$K$16)),"")</f>
        <v/>
      </c>
      <c r="N352" s="25" t="str">
        <f>IF(AND($A352&lt;=IF(Calc!$C$36=999,360,Calc!$C$36),Calc!$C$17=1),CHOOSE(Calc!$C$3,INDEX('Snowball Engine'!$AH354:$AV354,Calc!$I$17),INDEX('Avalanche Engine'!$AH354:$AV354,Calc!$J$17),INDEX('My Order Engine'!$AH354:$AV354,Calc!$K$17)),"")</f>
        <v/>
      </c>
      <c r="O352" s="25" t="str">
        <f>IF(AND($A352&lt;=IF(Calc!$C$36=999,360,Calc!$C$36),Calc!$C$18=1),CHOOSE(Calc!$C$3,INDEX('Snowball Engine'!$AH354:$AV354,Calc!$I$18),INDEX('Avalanche Engine'!$AH354:$AV354,Calc!$J$18),INDEX('My Order Engine'!$AH354:$AV354,Calc!$K$18)),"")</f>
        <v/>
      </c>
      <c r="P352" s="25" t="str">
        <f>IF(AND($A352&lt;=IF(Calc!$C$36=999,360,Calc!$C$36),Calc!$C$19=1),CHOOSE(Calc!$C$3,INDEX('Snowball Engine'!$AH354:$AV354,Calc!$I$19),INDEX('Avalanche Engine'!$AH354:$AV354,Calc!$J$19),INDEX('My Order Engine'!$AH354:$AV354,Calc!$K$19)),"")</f>
        <v/>
      </c>
      <c r="Q352" s="25" t="str">
        <f>IF(AND($A352&lt;=IF(Calc!$C$36=999,360,Calc!$C$36),Calc!$C$20=1),CHOOSE(Calc!$C$3,INDEX('Snowball Engine'!$AH354:$AV354,Calc!$I$20),INDEX('Avalanche Engine'!$AH354:$AV354,Calc!$J$20),INDEX('My Order Engine'!$AH354:$AV354,Calc!$K$20)),"")</f>
        <v/>
      </c>
      <c r="R352" s="25" t="str">
        <f>IF(AND($A352&lt;=IF(Calc!$C$36=999,360,Calc!$C$36),Calc!$C$21=1),CHOOSE(Calc!$C$3,INDEX('Snowball Engine'!$AH354:$AV354,Calc!$I$21),INDEX('Avalanche Engine'!$AH354:$AV354,Calc!$J$21),INDEX('My Order Engine'!$AH354:$AV354,Calc!$K$21)),"")</f>
        <v/>
      </c>
      <c r="S352" s="25" t="str">
        <f>IF(AND($A352&lt;=IF(Calc!$C$36=999,360,Calc!$C$36),Calc!$C$22=1),CHOOSE(Calc!$C$3,INDEX('Snowball Engine'!$AH354:$AV354,Calc!$I$22),INDEX('Avalanche Engine'!$AH354:$AV354,Calc!$J$22),INDEX('My Order Engine'!$AH354:$AV354,Calc!$K$22)),"")</f>
        <v/>
      </c>
      <c r="T352" s="25" t="str">
        <f>IF(AND($A352&lt;=IF(Calc!$C$36=999,360,Calc!$C$36),Calc!$C$23=1),CHOOSE(Calc!$C$3,INDEX('Snowball Engine'!$AH354:$AV354,Calc!$I$23),INDEX('Avalanche Engine'!$AH354:$AV354,Calc!$J$23),INDEX('My Order Engine'!$AH354:$AV354,Calc!$K$23)),"")</f>
        <v/>
      </c>
      <c r="U352" s="25" t="str">
        <f>IF(AND($A352&lt;=IF(Calc!$C$36=999,360,Calc!$C$36),Calc!$C$24=1),CHOOSE(Calc!$C$3,INDEX('Snowball Engine'!$AH354:$AV354,Calc!$I$24),INDEX('Avalanche Engine'!$AH354:$AV354,Calc!$J$24),INDEX('My Order Engine'!$AH354:$AV354,Calc!$K$24)),"")</f>
        <v/>
      </c>
    </row>
    <row r="353" spans="1:21" x14ac:dyDescent="0.35">
      <c r="A353" s="23">
        <v>349</v>
      </c>
      <c r="B353" s="24" t="str">
        <f>IF($A353&lt;=IF(Calc!$C$36=999,360,Calc!$C$36),EDATE(Calc!$C$5,A353-1),"")</f>
        <v/>
      </c>
      <c r="C353" s="25" t="str">
        <f>IF($A353&lt;=IF(Calc!$C$36=999,360,Calc!$C$36),CHOOSE(Calc!$C$3,'Snowball Engine'!AY355,'Avalanche Engine'!AY355,'My Order Engine'!AY355),"")</f>
        <v/>
      </c>
      <c r="D353" s="25" t="str">
        <f>IF($A353&lt;=IF(Calc!$C$36=999,360,Calc!$C$36),CHOOSE(Calc!$C$3,'Snowball Engine'!AX355,'Avalanche Engine'!AX355,'My Order Engine'!AX355),"")</f>
        <v/>
      </c>
      <c r="E353" s="25" t="str">
        <f>IF($A353&lt;=IF(Calc!$C$36=999,360,Calc!$C$36),C353-D353,"")</f>
        <v/>
      </c>
      <c r="F353" s="25" t="str">
        <f>IF($A353&lt;=IF(Calc!$C$36=999,360,Calc!$C$36),CHOOSE(Calc!$C$3,'Snowball Engine'!AW355,'Avalanche Engine'!AW355,'My Order Engine'!AW355),"")</f>
        <v/>
      </c>
      <c r="G353" s="25" t="str">
        <f>IF(AND($A353&lt;=IF(Calc!$C$36=999,360,Calc!$C$36),Calc!$C$10=1),CHOOSE(Calc!$C$3,INDEX('Snowball Engine'!$AH355:$AV355,Calc!$I$10),INDEX('Avalanche Engine'!$AH355:$AV355,Calc!$J$10),INDEX('My Order Engine'!$AH355:$AV355,Calc!$K$10)),"")</f>
        <v/>
      </c>
      <c r="H353" s="25" t="str">
        <f>IF(AND($A353&lt;=IF(Calc!$C$36=999,360,Calc!$C$36),Calc!$C$11=1),CHOOSE(Calc!$C$3,INDEX('Snowball Engine'!$AH355:$AV355,Calc!$I$11),INDEX('Avalanche Engine'!$AH355:$AV355,Calc!$J$11),INDEX('My Order Engine'!$AH355:$AV355,Calc!$K$11)),"")</f>
        <v/>
      </c>
      <c r="I353" s="25" t="str">
        <f>IF(AND($A353&lt;=IF(Calc!$C$36=999,360,Calc!$C$36),Calc!$C$12=1),CHOOSE(Calc!$C$3,INDEX('Snowball Engine'!$AH355:$AV355,Calc!$I$12),INDEX('Avalanche Engine'!$AH355:$AV355,Calc!$J$12),INDEX('My Order Engine'!$AH355:$AV355,Calc!$K$12)),"")</f>
        <v/>
      </c>
      <c r="J353" s="25" t="str">
        <f>IF(AND($A353&lt;=IF(Calc!$C$36=999,360,Calc!$C$36),Calc!$C$13=1),CHOOSE(Calc!$C$3,INDEX('Snowball Engine'!$AH355:$AV355,Calc!$I$13),INDEX('Avalanche Engine'!$AH355:$AV355,Calc!$J$13),INDEX('My Order Engine'!$AH355:$AV355,Calc!$K$13)),"")</f>
        <v/>
      </c>
      <c r="K353" s="25" t="str">
        <f>IF(AND($A353&lt;=IF(Calc!$C$36=999,360,Calc!$C$36),Calc!$C$14=1),CHOOSE(Calc!$C$3,INDEX('Snowball Engine'!$AH355:$AV355,Calc!$I$14),INDEX('Avalanche Engine'!$AH355:$AV355,Calc!$J$14),INDEX('My Order Engine'!$AH355:$AV355,Calc!$K$14)),"")</f>
        <v/>
      </c>
      <c r="L353" s="25" t="str">
        <f>IF(AND($A353&lt;=IF(Calc!$C$36=999,360,Calc!$C$36),Calc!$C$15=1),CHOOSE(Calc!$C$3,INDEX('Snowball Engine'!$AH355:$AV355,Calc!$I$15),INDEX('Avalanche Engine'!$AH355:$AV355,Calc!$J$15),INDEX('My Order Engine'!$AH355:$AV355,Calc!$K$15)),"")</f>
        <v/>
      </c>
      <c r="M353" s="25" t="str">
        <f>IF(AND($A353&lt;=IF(Calc!$C$36=999,360,Calc!$C$36),Calc!$C$16=1),CHOOSE(Calc!$C$3,INDEX('Snowball Engine'!$AH355:$AV355,Calc!$I$16),INDEX('Avalanche Engine'!$AH355:$AV355,Calc!$J$16),INDEX('My Order Engine'!$AH355:$AV355,Calc!$K$16)),"")</f>
        <v/>
      </c>
      <c r="N353" s="25" t="str">
        <f>IF(AND($A353&lt;=IF(Calc!$C$36=999,360,Calc!$C$36),Calc!$C$17=1),CHOOSE(Calc!$C$3,INDEX('Snowball Engine'!$AH355:$AV355,Calc!$I$17),INDEX('Avalanche Engine'!$AH355:$AV355,Calc!$J$17),INDEX('My Order Engine'!$AH355:$AV355,Calc!$K$17)),"")</f>
        <v/>
      </c>
      <c r="O353" s="25" t="str">
        <f>IF(AND($A353&lt;=IF(Calc!$C$36=999,360,Calc!$C$36),Calc!$C$18=1),CHOOSE(Calc!$C$3,INDEX('Snowball Engine'!$AH355:$AV355,Calc!$I$18),INDEX('Avalanche Engine'!$AH355:$AV355,Calc!$J$18),INDEX('My Order Engine'!$AH355:$AV355,Calc!$K$18)),"")</f>
        <v/>
      </c>
      <c r="P353" s="25" t="str">
        <f>IF(AND($A353&lt;=IF(Calc!$C$36=999,360,Calc!$C$36),Calc!$C$19=1),CHOOSE(Calc!$C$3,INDEX('Snowball Engine'!$AH355:$AV355,Calc!$I$19),INDEX('Avalanche Engine'!$AH355:$AV355,Calc!$J$19),INDEX('My Order Engine'!$AH355:$AV355,Calc!$K$19)),"")</f>
        <v/>
      </c>
      <c r="Q353" s="25" t="str">
        <f>IF(AND($A353&lt;=IF(Calc!$C$36=999,360,Calc!$C$36),Calc!$C$20=1),CHOOSE(Calc!$C$3,INDEX('Snowball Engine'!$AH355:$AV355,Calc!$I$20),INDEX('Avalanche Engine'!$AH355:$AV355,Calc!$J$20),INDEX('My Order Engine'!$AH355:$AV355,Calc!$K$20)),"")</f>
        <v/>
      </c>
      <c r="R353" s="25" t="str">
        <f>IF(AND($A353&lt;=IF(Calc!$C$36=999,360,Calc!$C$36),Calc!$C$21=1),CHOOSE(Calc!$C$3,INDEX('Snowball Engine'!$AH355:$AV355,Calc!$I$21),INDEX('Avalanche Engine'!$AH355:$AV355,Calc!$J$21),INDEX('My Order Engine'!$AH355:$AV355,Calc!$K$21)),"")</f>
        <v/>
      </c>
      <c r="S353" s="25" t="str">
        <f>IF(AND($A353&lt;=IF(Calc!$C$36=999,360,Calc!$C$36),Calc!$C$22=1),CHOOSE(Calc!$C$3,INDEX('Snowball Engine'!$AH355:$AV355,Calc!$I$22),INDEX('Avalanche Engine'!$AH355:$AV355,Calc!$J$22),INDEX('My Order Engine'!$AH355:$AV355,Calc!$K$22)),"")</f>
        <v/>
      </c>
      <c r="T353" s="25" t="str">
        <f>IF(AND($A353&lt;=IF(Calc!$C$36=999,360,Calc!$C$36),Calc!$C$23=1),CHOOSE(Calc!$C$3,INDEX('Snowball Engine'!$AH355:$AV355,Calc!$I$23),INDEX('Avalanche Engine'!$AH355:$AV355,Calc!$J$23),INDEX('My Order Engine'!$AH355:$AV355,Calc!$K$23)),"")</f>
        <v/>
      </c>
      <c r="U353" s="25" t="str">
        <f>IF(AND($A353&lt;=IF(Calc!$C$36=999,360,Calc!$C$36),Calc!$C$24=1),CHOOSE(Calc!$C$3,INDEX('Snowball Engine'!$AH355:$AV355,Calc!$I$24),INDEX('Avalanche Engine'!$AH355:$AV355,Calc!$J$24),INDEX('My Order Engine'!$AH355:$AV355,Calc!$K$24)),"")</f>
        <v/>
      </c>
    </row>
    <row r="354" spans="1:21" x14ac:dyDescent="0.35">
      <c r="A354" s="23">
        <v>350</v>
      </c>
      <c r="B354" s="24" t="str">
        <f>IF($A354&lt;=IF(Calc!$C$36=999,360,Calc!$C$36),EDATE(Calc!$C$5,A354-1),"")</f>
        <v/>
      </c>
      <c r="C354" s="25" t="str">
        <f>IF($A354&lt;=IF(Calc!$C$36=999,360,Calc!$C$36),CHOOSE(Calc!$C$3,'Snowball Engine'!AY356,'Avalanche Engine'!AY356,'My Order Engine'!AY356),"")</f>
        <v/>
      </c>
      <c r="D354" s="25" t="str">
        <f>IF($A354&lt;=IF(Calc!$C$36=999,360,Calc!$C$36),CHOOSE(Calc!$C$3,'Snowball Engine'!AX356,'Avalanche Engine'!AX356,'My Order Engine'!AX356),"")</f>
        <v/>
      </c>
      <c r="E354" s="25" t="str">
        <f>IF($A354&lt;=IF(Calc!$C$36=999,360,Calc!$C$36),C354-D354,"")</f>
        <v/>
      </c>
      <c r="F354" s="25" t="str">
        <f>IF($A354&lt;=IF(Calc!$C$36=999,360,Calc!$C$36),CHOOSE(Calc!$C$3,'Snowball Engine'!AW356,'Avalanche Engine'!AW356,'My Order Engine'!AW356),"")</f>
        <v/>
      </c>
      <c r="G354" s="25" t="str">
        <f>IF(AND($A354&lt;=IF(Calc!$C$36=999,360,Calc!$C$36),Calc!$C$10=1),CHOOSE(Calc!$C$3,INDEX('Snowball Engine'!$AH356:$AV356,Calc!$I$10),INDEX('Avalanche Engine'!$AH356:$AV356,Calc!$J$10),INDEX('My Order Engine'!$AH356:$AV356,Calc!$K$10)),"")</f>
        <v/>
      </c>
      <c r="H354" s="25" t="str">
        <f>IF(AND($A354&lt;=IF(Calc!$C$36=999,360,Calc!$C$36),Calc!$C$11=1),CHOOSE(Calc!$C$3,INDEX('Snowball Engine'!$AH356:$AV356,Calc!$I$11),INDEX('Avalanche Engine'!$AH356:$AV356,Calc!$J$11),INDEX('My Order Engine'!$AH356:$AV356,Calc!$K$11)),"")</f>
        <v/>
      </c>
      <c r="I354" s="25" t="str">
        <f>IF(AND($A354&lt;=IF(Calc!$C$36=999,360,Calc!$C$36),Calc!$C$12=1),CHOOSE(Calc!$C$3,INDEX('Snowball Engine'!$AH356:$AV356,Calc!$I$12),INDEX('Avalanche Engine'!$AH356:$AV356,Calc!$J$12),INDEX('My Order Engine'!$AH356:$AV356,Calc!$K$12)),"")</f>
        <v/>
      </c>
      <c r="J354" s="25" t="str">
        <f>IF(AND($A354&lt;=IF(Calc!$C$36=999,360,Calc!$C$36),Calc!$C$13=1),CHOOSE(Calc!$C$3,INDEX('Snowball Engine'!$AH356:$AV356,Calc!$I$13),INDEX('Avalanche Engine'!$AH356:$AV356,Calc!$J$13),INDEX('My Order Engine'!$AH356:$AV356,Calc!$K$13)),"")</f>
        <v/>
      </c>
      <c r="K354" s="25" t="str">
        <f>IF(AND($A354&lt;=IF(Calc!$C$36=999,360,Calc!$C$36),Calc!$C$14=1),CHOOSE(Calc!$C$3,INDEX('Snowball Engine'!$AH356:$AV356,Calc!$I$14),INDEX('Avalanche Engine'!$AH356:$AV356,Calc!$J$14),INDEX('My Order Engine'!$AH356:$AV356,Calc!$K$14)),"")</f>
        <v/>
      </c>
      <c r="L354" s="25" t="str">
        <f>IF(AND($A354&lt;=IF(Calc!$C$36=999,360,Calc!$C$36),Calc!$C$15=1),CHOOSE(Calc!$C$3,INDEX('Snowball Engine'!$AH356:$AV356,Calc!$I$15),INDEX('Avalanche Engine'!$AH356:$AV356,Calc!$J$15),INDEX('My Order Engine'!$AH356:$AV356,Calc!$K$15)),"")</f>
        <v/>
      </c>
      <c r="M354" s="25" t="str">
        <f>IF(AND($A354&lt;=IF(Calc!$C$36=999,360,Calc!$C$36),Calc!$C$16=1),CHOOSE(Calc!$C$3,INDEX('Snowball Engine'!$AH356:$AV356,Calc!$I$16),INDEX('Avalanche Engine'!$AH356:$AV356,Calc!$J$16),INDEX('My Order Engine'!$AH356:$AV356,Calc!$K$16)),"")</f>
        <v/>
      </c>
      <c r="N354" s="25" t="str">
        <f>IF(AND($A354&lt;=IF(Calc!$C$36=999,360,Calc!$C$36),Calc!$C$17=1),CHOOSE(Calc!$C$3,INDEX('Snowball Engine'!$AH356:$AV356,Calc!$I$17),INDEX('Avalanche Engine'!$AH356:$AV356,Calc!$J$17),INDEX('My Order Engine'!$AH356:$AV356,Calc!$K$17)),"")</f>
        <v/>
      </c>
      <c r="O354" s="25" t="str">
        <f>IF(AND($A354&lt;=IF(Calc!$C$36=999,360,Calc!$C$36),Calc!$C$18=1),CHOOSE(Calc!$C$3,INDEX('Snowball Engine'!$AH356:$AV356,Calc!$I$18),INDEX('Avalanche Engine'!$AH356:$AV356,Calc!$J$18),INDEX('My Order Engine'!$AH356:$AV356,Calc!$K$18)),"")</f>
        <v/>
      </c>
      <c r="P354" s="25" t="str">
        <f>IF(AND($A354&lt;=IF(Calc!$C$36=999,360,Calc!$C$36),Calc!$C$19=1),CHOOSE(Calc!$C$3,INDEX('Snowball Engine'!$AH356:$AV356,Calc!$I$19),INDEX('Avalanche Engine'!$AH356:$AV356,Calc!$J$19),INDEX('My Order Engine'!$AH356:$AV356,Calc!$K$19)),"")</f>
        <v/>
      </c>
      <c r="Q354" s="25" t="str">
        <f>IF(AND($A354&lt;=IF(Calc!$C$36=999,360,Calc!$C$36),Calc!$C$20=1),CHOOSE(Calc!$C$3,INDEX('Snowball Engine'!$AH356:$AV356,Calc!$I$20),INDEX('Avalanche Engine'!$AH356:$AV356,Calc!$J$20),INDEX('My Order Engine'!$AH356:$AV356,Calc!$K$20)),"")</f>
        <v/>
      </c>
      <c r="R354" s="25" t="str">
        <f>IF(AND($A354&lt;=IF(Calc!$C$36=999,360,Calc!$C$36),Calc!$C$21=1),CHOOSE(Calc!$C$3,INDEX('Snowball Engine'!$AH356:$AV356,Calc!$I$21),INDEX('Avalanche Engine'!$AH356:$AV356,Calc!$J$21),INDEX('My Order Engine'!$AH356:$AV356,Calc!$K$21)),"")</f>
        <v/>
      </c>
      <c r="S354" s="25" t="str">
        <f>IF(AND($A354&lt;=IF(Calc!$C$36=999,360,Calc!$C$36),Calc!$C$22=1),CHOOSE(Calc!$C$3,INDEX('Snowball Engine'!$AH356:$AV356,Calc!$I$22),INDEX('Avalanche Engine'!$AH356:$AV356,Calc!$J$22),INDEX('My Order Engine'!$AH356:$AV356,Calc!$K$22)),"")</f>
        <v/>
      </c>
      <c r="T354" s="25" t="str">
        <f>IF(AND($A354&lt;=IF(Calc!$C$36=999,360,Calc!$C$36),Calc!$C$23=1),CHOOSE(Calc!$C$3,INDEX('Snowball Engine'!$AH356:$AV356,Calc!$I$23),INDEX('Avalanche Engine'!$AH356:$AV356,Calc!$J$23),INDEX('My Order Engine'!$AH356:$AV356,Calc!$K$23)),"")</f>
        <v/>
      </c>
      <c r="U354" s="25" t="str">
        <f>IF(AND($A354&lt;=IF(Calc!$C$36=999,360,Calc!$C$36),Calc!$C$24=1),CHOOSE(Calc!$C$3,INDEX('Snowball Engine'!$AH356:$AV356,Calc!$I$24),INDEX('Avalanche Engine'!$AH356:$AV356,Calc!$J$24),INDEX('My Order Engine'!$AH356:$AV356,Calc!$K$24)),"")</f>
        <v/>
      </c>
    </row>
    <row r="355" spans="1:21" x14ac:dyDescent="0.35">
      <c r="A355" s="23">
        <v>351</v>
      </c>
      <c r="B355" s="24" t="str">
        <f>IF($A355&lt;=IF(Calc!$C$36=999,360,Calc!$C$36),EDATE(Calc!$C$5,A355-1),"")</f>
        <v/>
      </c>
      <c r="C355" s="25" t="str">
        <f>IF($A355&lt;=IF(Calc!$C$36=999,360,Calc!$C$36),CHOOSE(Calc!$C$3,'Snowball Engine'!AY357,'Avalanche Engine'!AY357,'My Order Engine'!AY357),"")</f>
        <v/>
      </c>
      <c r="D355" s="25" t="str">
        <f>IF($A355&lt;=IF(Calc!$C$36=999,360,Calc!$C$36),CHOOSE(Calc!$C$3,'Snowball Engine'!AX357,'Avalanche Engine'!AX357,'My Order Engine'!AX357),"")</f>
        <v/>
      </c>
      <c r="E355" s="25" t="str">
        <f>IF($A355&lt;=IF(Calc!$C$36=999,360,Calc!$C$36),C355-D355,"")</f>
        <v/>
      </c>
      <c r="F355" s="25" t="str">
        <f>IF($A355&lt;=IF(Calc!$C$36=999,360,Calc!$C$36),CHOOSE(Calc!$C$3,'Snowball Engine'!AW357,'Avalanche Engine'!AW357,'My Order Engine'!AW357),"")</f>
        <v/>
      </c>
      <c r="G355" s="25" t="str">
        <f>IF(AND($A355&lt;=IF(Calc!$C$36=999,360,Calc!$C$36),Calc!$C$10=1),CHOOSE(Calc!$C$3,INDEX('Snowball Engine'!$AH357:$AV357,Calc!$I$10),INDEX('Avalanche Engine'!$AH357:$AV357,Calc!$J$10),INDEX('My Order Engine'!$AH357:$AV357,Calc!$K$10)),"")</f>
        <v/>
      </c>
      <c r="H355" s="25" t="str">
        <f>IF(AND($A355&lt;=IF(Calc!$C$36=999,360,Calc!$C$36),Calc!$C$11=1),CHOOSE(Calc!$C$3,INDEX('Snowball Engine'!$AH357:$AV357,Calc!$I$11),INDEX('Avalanche Engine'!$AH357:$AV357,Calc!$J$11),INDEX('My Order Engine'!$AH357:$AV357,Calc!$K$11)),"")</f>
        <v/>
      </c>
      <c r="I355" s="25" t="str">
        <f>IF(AND($A355&lt;=IF(Calc!$C$36=999,360,Calc!$C$36),Calc!$C$12=1),CHOOSE(Calc!$C$3,INDEX('Snowball Engine'!$AH357:$AV357,Calc!$I$12),INDEX('Avalanche Engine'!$AH357:$AV357,Calc!$J$12),INDEX('My Order Engine'!$AH357:$AV357,Calc!$K$12)),"")</f>
        <v/>
      </c>
      <c r="J355" s="25" t="str">
        <f>IF(AND($A355&lt;=IF(Calc!$C$36=999,360,Calc!$C$36),Calc!$C$13=1),CHOOSE(Calc!$C$3,INDEX('Snowball Engine'!$AH357:$AV357,Calc!$I$13),INDEX('Avalanche Engine'!$AH357:$AV357,Calc!$J$13),INDEX('My Order Engine'!$AH357:$AV357,Calc!$K$13)),"")</f>
        <v/>
      </c>
      <c r="K355" s="25" t="str">
        <f>IF(AND($A355&lt;=IF(Calc!$C$36=999,360,Calc!$C$36),Calc!$C$14=1),CHOOSE(Calc!$C$3,INDEX('Snowball Engine'!$AH357:$AV357,Calc!$I$14),INDEX('Avalanche Engine'!$AH357:$AV357,Calc!$J$14),INDEX('My Order Engine'!$AH357:$AV357,Calc!$K$14)),"")</f>
        <v/>
      </c>
      <c r="L355" s="25" t="str">
        <f>IF(AND($A355&lt;=IF(Calc!$C$36=999,360,Calc!$C$36),Calc!$C$15=1),CHOOSE(Calc!$C$3,INDEX('Snowball Engine'!$AH357:$AV357,Calc!$I$15),INDEX('Avalanche Engine'!$AH357:$AV357,Calc!$J$15),INDEX('My Order Engine'!$AH357:$AV357,Calc!$K$15)),"")</f>
        <v/>
      </c>
      <c r="M355" s="25" t="str">
        <f>IF(AND($A355&lt;=IF(Calc!$C$36=999,360,Calc!$C$36),Calc!$C$16=1),CHOOSE(Calc!$C$3,INDEX('Snowball Engine'!$AH357:$AV357,Calc!$I$16),INDEX('Avalanche Engine'!$AH357:$AV357,Calc!$J$16),INDEX('My Order Engine'!$AH357:$AV357,Calc!$K$16)),"")</f>
        <v/>
      </c>
      <c r="N355" s="25" t="str">
        <f>IF(AND($A355&lt;=IF(Calc!$C$36=999,360,Calc!$C$36),Calc!$C$17=1),CHOOSE(Calc!$C$3,INDEX('Snowball Engine'!$AH357:$AV357,Calc!$I$17),INDEX('Avalanche Engine'!$AH357:$AV357,Calc!$J$17),INDEX('My Order Engine'!$AH357:$AV357,Calc!$K$17)),"")</f>
        <v/>
      </c>
      <c r="O355" s="25" t="str">
        <f>IF(AND($A355&lt;=IF(Calc!$C$36=999,360,Calc!$C$36),Calc!$C$18=1),CHOOSE(Calc!$C$3,INDEX('Snowball Engine'!$AH357:$AV357,Calc!$I$18),INDEX('Avalanche Engine'!$AH357:$AV357,Calc!$J$18),INDEX('My Order Engine'!$AH357:$AV357,Calc!$K$18)),"")</f>
        <v/>
      </c>
      <c r="P355" s="25" t="str">
        <f>IF(AND($A355&lt;=IF(Calc!$C$36=999,360,Calc!$C$36),Calc!$C$19=1),CHOOSE(Calc!$C$3,INDEX('Snowball Engine'!$AH357:$AV357,Calc!$I$19),INDEX('Avalanche Engine'!$AH357:$AV357,Calc!$J$19),INDEX('My Order Engine'!$AH357:$AV357,Calc!$K$19)),"")</f>
        <v/>
      </c>
      <c r="Q355" s="25" t="str">
        <f>IF(AND($A355&lt;=IF(Calc!$C$36=999,360,Calc!$C$36),Calc!$C$20=1),CHOOSE(Calc!$C$3,INDEX('Snowball Engine'!$AH357:$AV357,Calc!$I$20),INDEX('Avalanche Engine'!$AH357:$AV357,Calc!$J$20),INDEX('My Order Engine'!$AH357:$AV357,Calc!$K$20)),"")</f>
        <v/>
      </c>
      <c r="R355" s="25" t="str">
        <f>IF(AND($A355&lt;=IF(Calc!$C$36=999,360,Calc!$C$36),Calc!$C$21=1),CHOOSE(Calc!$C$3,INDEX('Snowball Engine'!$AH357:$AV357,Calc!$I$21),INDEX('Avalanche Engine'!$AH357:$AV357,Calc!$J$21),INDEX('My Order Engine'!$AH357:$AV357,Calc!$K$21)),"")</f>
        <v/>
      </c>
      <c r="S355" s="25" t="str">
        <f>IF(AND($A355&lt;=IF(Calc!$C$36=999,360,Calc!$C$36),Calc!$C$22=1),CHOOSE(Calc!$C$3,INDEX('Snowball Engine'!$AH357:$AV357,Calc!$I$22),INDEX('Avalanche Engine'!$AH357:$AV357,Calc!$J$22),INDEX('My Order Engine'!$AH357:$AV357,Calc!$K$22)),"")</f>
        <v/>
      </c>
      <c r="T355" s="25" t="str">
        <f>IF(AND($A355&lt;=IF(Calc!$C$36=999,360,Calc!$C$36),Calc!$C$23=1),CHOOSE(Calc!$C$3,INDEX('Snowball Engine'!$AH357:$AV357,Calc!$I$23),INDEX('Avalanche Engine'!$AH357:$AV357,Calc!$J$23),INDEX('My Order Engine'!$AH357:$AV357,Calc!$K$23)),"")</f>
        <v/>
      </c>
      <c r="U355" s="25" t="str">
        <f>IF(AND($A355&lt;=IF(Calc!$C$36=999,360,Calc!$C$36),Calc!$C$24=1),CHOOSE(Calc!$C$3,INDEX('Snowball Engine'!$AH357:$AV357,Calc!$I$24),INDEX('Avalanche Engine'!$AH357:$AV357,Calc!$J$24),INDEX('My Order Engine'!$AH357:$AV357,Calc!$K$24)),"")</f>
        <v/>
      </c>
    </row>
    <row r="356" spans="1:21" x14ac:dyDescent="0.35">
      <c r="A356" s="23">
        <v>352</v>
      </c>
      <c r="B356" s="24" t="str">
        <f>IF($A356&lt;=IF(Calc!$C$36=999,360,Calc!$C$36),EDATE(Calc!$C$5,A356-1),"")</f>
        <v/>
      </c>
      <c r="C356" s="25" t="str">
        <f>IF($A356&lt;=IF(Calc!$C$36=999,360,Calc!$C$36),CHOOSE(Calc!$C$3,'Snowball Engine'!AY358,'Avalanche Engine'!AY358,'My Order Engine'!AY358),"")</f>
        <v/>
      </c>
      <c r="D356" s="25" t="str">
        <f>IF($A356&lt;=IF(Calc!$C$36=999,360,Calc!$C$36),CHOOSE(Calc!$C$3,'Snowball Engine'!AX358,'Avalanche Engine'!AX358,'My Order Engine'!AX358),"")</f>
        <v/>
      </c>
      <c r="E356" s="25" t="str">
        <f>IF($A356&lt;=IF(Calc!$C$36=999,360,Calc!$C$36),C356-D356,"")</f>
        <v/>
      </c>
      <c r="F356" s="25" t="str">
        <f>IF($A356&lt;=IF(Calc!$C$36=999,360,Calc!$C$36),CHOOSE(Calc!$C$3,'Snowball Engine'!AW358,'Avalanche Engine'!AW358,'My Order Engine'!AW358),"")</f>
        <v/>
      </c>
      <c r="G356" s="25" t="str">
        <f>IF(AND($A356&lt;=IF(Calc!$C$36=999,360,Calc!$C$36),Calc!$C$10=1),CHOOSE(Calc!$C$3,INDEX('Snowball Engine'!$AH358:$AV358,Calc!$I$10),INDEX('Avalanche Engine'!$AH358:$AV358,Calc!$J$10),INDEX('My Order Engine'!$AH358:$AV358,Calc!$K$10)),"")</f>
        <v/>
      </c>
      <c r="H356" s="25" t="str">
        <f>IF(AND($A356&lt;=IF(Calc!$C$36=999,360,Calc!$C$36),Calc!$C$11=1),CHOOSE(Calc!$C$3,INDEX('Snowball Engine'!$AH358:$AV358,Calc!$I$11),INDEX('Avalanche Engine'!$AH358:$AV358,Calc!$J$11),INDEX('My Order Engine'!$AH358:$AV358,Calc!$K$11)),"")</f>
        <v/>
      </c>
      <c r="I356" s="25" t="str">
        <f>IF(AND($A356&lt;=IF(Calc!$C$36=999,360,Calc!$C$36),Calc!$C$12=1),CHOOSE(Calc!$C$3,INDEX('Snowball Engine'!$AH358:$AV358,Calc!$I$12),INDEX('Avalanche Engine'!$AH358:$AV358,Calc!$J$12),INDEX('My Order Engine'!$AH358:$AV358,Calc!$K$12)),"")</f>
        <v/>
      </c>
      <c r="J356" s="25" t="str">
        <f>IF(AND($A356&lt;=IF(Calc!$C$36=999,360,Calc!$C$36),Calc!$C$13=1),CHOOSE(Calc!$C$3,INDEX('Snowball Engine'!$AH358:$AV358,Calc!$I$13),INDEX('Avalanche Engine'!$AH358:$AV358,Calc!$J$13),INDEX('My Order Engine'!$AH358:$AV358,Calc!$K$13)),"")</f>
        <v/>
      </c>
      <c r="K356" s="25" t="str">
        <f>IF(AND($A356&lt;=IF(Calc!$C$36=999,360,Calc!$C$36),Calc!$C$14=1),CHOOSE(Calc!$C$3,INDEX('Snowball Engine'!$AH358:$AV358,Calc!$I$14),INDEX('Avalanche Engine'!$AH358:$AV358,Calc!$J$14),INDEX('My Order Engine'!$AH358:$AV358,Calc!$K$14)),"")</f>
        <v/>
      </c>
      <c r="L356" s="25" t="str">
        <f>IF(AND($A356&lt;=IF(Calc!$C$36=999,360,Calc!$C$36),Calc!$C$15=1),CHOOSE(Calc!$C$3,INDEX('Snowball Engine'!$AH358:$AV358,Calc!$I$15),INDEX('Avalanche Engine'!$AH358:$AV358,Calc!$J$15),INDEX('My Order Engine'!$AH358:$AV358,Calc!$K$15)),"")</f>
        <v/>
      </c>
      <c r="M356" s="25" t="str">
        <f>IF(AND($A356&lt;=IF(Calc!$C$36=999,360,Calc!$C$36),Calc!$C$16=1),CHOOSE(Calc!$C$3,INDEX('Snowball Engine'!$AH358:$AV358,Calc!$I$16),INDEX('Avalanche Engine'!$AH358:$AV358,Calc!$J$16),INDEX('My Order Engine'!$AH358:$AV358,Calc!$K$16)),"")</f>
        <v/>
      </c>
      <c r="N356" s="25" t="str">
        <f>IF(AND($A356&lt;=IF(Calc!$C$36=999,360,Calc!$C$36),Calc!$C$17=1),CHOOSE(Calc!$C$3,INDEX('Snowball Engine'!$AH358:$AV358,Calc!$I$17),INDEX('Avalanche Engine'!$AH358:$AV358,Calc!$J$17),INDEX('My Order Engine'!$AH358:$AV358,Calc!$K$17)),"")</f>
        <v/>
      </c>
      <c r="O356" s="25" t="str">
        <f>IF(AND($A356&lt;=IF(Calc!$C$36=999,360,Calc!$C$36),Calc!$C$18=1),CHOOSE(Calc!$C$3,INDEX('Snowball Engine'!$AH358:$AV358,Calc!$I$18),INDEX('Avalanche Engine'!$AH358:$AV358,Calc!$J$18),INDEX('My Order Engine'!$AH358:$AV358,Calc!$K$18)),"")</f>
        <v/>
      </c>
      <c r="P356" s="25" t="str">
        <f>IF(AND($A356&lt;=IF(Calc!$C$36=999,360,Calc!$C$36),Calc!$C$19=1),CHOOSE(Calc!$C$3,INDEX('Snowball Engine'!$AH358:$AV358,Calc!$I$19),INDEX('Avalanche Engine'!$AH358:$AV358,Calc!$J$19),INDEX('My Order Engine'!$AH358:$AV358,Calc!$K$19)),"")</f>
        <v/>
      </c>
      <c r="Q356" s="25" t="str">
        <f>IF(AND($A356&lt;=IF(Calc!$C$36=999,360,Calc!$C$36),Calc!$C$20=1),CHOOSE(Calc!$C$3,INDEX('Snowball Engine'!$AH358:$AV358,Calc!$I$20),INDEX('Avalanche Engine'!$AH358:$AV358,Calc!$J$20),INDEX('My Order Engine'!$AH358:$AV358,Calc!$K$20)),"")</f>
        <v/>
      </c>
      <c r="R356" s="25" t="str">
        <f>IF(AND($A356&lt;=IF(Calc!$C$36=999,360,Calc!$C$36),Calc!$C$21=1),CHOOSE(Calc!$C$3,INDEX('Snowball Engine'!$AH358:$AV358,Calc!$I$21),INDEX('Avalanche Engine'!$AH358:$AV358,Calc!$J$21),INDEX('My Order Engine'!$AH358:$AV358,Calc!$K$21)),"")</f>
        <v/>
      </c>
      <c r="S356" s="25" t="str">
        <f>IF(AND($A356&lt;=IF(Calc!$C$36=999,360,Calc!$C$36),Calc!$C$22=1),CHOOSE(Calc!$C$3,INDEX('Snowball Engine'!$AH358:$AV358,Calc!$I$22),INDEX('Avalanche Engine'!$AH358:$AV358,Calc!$J$22),INDEX('My Order Engine'!$AH358:$AV358,Calc!$K$22)),"")</f>
        <v/>
      </c>
      <c r="T356" s="25" t="str">
        <f>IF(AND($A356&lt;=IF(Calc!$C$36=999,360,Calc!$C$36),Calc!$C$23=1),CHOOSE(Calc!$C$3,INDEX('Snowball Engine'!$AH358:$AV358,Calc!$I$23),INDEX('Avalanche Engine'!$AH358:$AV358,Calc!$J$23),INDEX('My Order Engine'!$AH358:$AV358,Calc!$K$23)),"")</f>
        <v/>
      </c>
      <c r="U356" s="25" t="str">
        <f>IF(AND($A356&lt;=IF(Calc!$C$36=999,360,Calc!$C$36),Calc!$C$24=1),CHOOSE(Calc!$C$3,INDEX('Snowball Engine'!$AH358:$AV358,Calc!$I$24),INDEX('Avalanche Engine'!$AH358:$AV358,Calc!$J$24),INDEX('My Order Engine'!$AH358:$AV358,Calc!$K$24)),"")</f>
        <v/>
      </c>
    </row>
    <row r="357" spans="1:21" x14ac:dyDescent="0.35">
      <c r="A357" s="23">
        <v>353</v>
      </c>
      <c r="B357" s="24" t="str">
        <f>IF($A357&lt;=IF(Calc!$C$36=999,360,Calc!$C$36),EDATE(Calc!$C$5,A357-1),"")</f>
        <v/>
      </c>
      <c r="C357" s="25" t="str">
        <f>IF($A357&lt;=IF(Calc!$C$36=999,360,Calc!$C$36),CHOOSE(Calc!$C$3,'Snowball Engine'!AY359,'Avalanche Engine'!AY359,'My Order Engine'!AY359),"")</f>
        <v/>
      </c>
      <c r="D357" s="25" t="str">
        <f>IF($A357&lt;=IF(Calc!$C$36=999,360,Calc!$C$36),CHOOSE(Calc!$C$3,'Snowball Engine'!AX359,'Avalanche Engine'!AX359,'My Order Engine'!AX359),"")</f>
        <v/>
      </c>
      <c r="E357" s="25" t="str">
        <f>IF($A357&lt;=IF(Calc!$C$36=999,360,Calc!$C$36),C357-D357,"")</f>
        <v/>
      </c>
      <c r="F357" s="25" t="str">
        <f>IF($A357&lt;=IF(Calc!$C$36=999,360,Calc!$C$36),CHOOSE(Calc!$C$3,'Snowball Engine'!AW359,'Avalanche Engine'!AW359,'My Order Engine'!AW359),"")</f>
        <v/>
      </c>
      <c r="G357" s="25" t="str">
        <f>IF(AND($A357&lt;=IF(Calc!$C$36=999,360,Calc!$C$36),Calc!$C$10=1),CHOOSE(Calc!$C$3,INDEX('Snowball Engine'!$AH359:$AV359,Calc!$I$10),INDEX('Avalanche Engine'!$AH359:$AV359,Calc!$J$10),INDEX('My Order Engine'!$AH359:$AV359,Calc!$K$10)),"")</f>
        <v/>
      </c>
      <c r="H357" s="25" t="str">
        <f>IF(AND($A357&lt;=IF(Calc!$C$36=999,360,Calc!$C$36),Calc!$C$11=1),CHOOSE(Calc!$C$3,INDEX('Snowball Engine'!$AH359:$AV359,Calc!$I$11),INDEX('Avalanche Engine'!$AH359:$AV359,Calc!$J$11),INDEX('My Order Engine'!$AH359:$AV359,Calc!$K$11)),"")</f>
        <v/>
      </c>
      <c r="I357" s="25" t="str">
        <f>IF(AND($A357&lt;=IF(Calc!$C$36=999,360,Calc!$C$36),Calc!$C$12=1),CHOOSE(Calc!$C$3,INDEX('Snowball Engine'!$AH359:$AV359,Calc!$I$12),INDEX('Avalanche Engine'!$AH359:$AV359,Calc!$J$12),INDEX('My Order Engine'!$AH359:$AV359,Calc!$K$12)),"")</f>
        <v/>
      </c>
      <c r="J357" s="25" t="str">
        <f>IF(AND($A357&lt;=IF(Calc!$C$36=999,360,Calc!$C$36),Calc!$C$13=1),CHOOSE(Calc!$C$3,INDEX('Snowball Engine'!$AH359:$AV359,Calc!$I$13),INDEX('Avalanche Engine'!$AH359:$AV359,Calc!$J$13),INDEX('My Order Engine'!$AH359:$AV359,Calc!$K$13)),"")</f>
        <v/>
      </c>
      <c r="K357" s="25" t="str">
        <f>IF(AND($A357&lt;=IF(Calc!$C$36=999,360,Calc!$C$36),Calc!$C$14=1),CHOOSE(Calc!$C$3,INDEX('Snowball Engine'!$AH359:$AV359,Calc!$I$14),INDEX('Avalanche Engine'!$AH359:$AV359,Calc!$J$14),INDEX('My Order Engine'!$AH359:$AV359,Calc!$K$14)),"")</f>
        <v/>
      </c>
      <c r="L357" s="25" t="str">
        <f>IF(AND($A357&lt;=IF(Calc!$C$36=999,360,Calc!$C$36),Calc!$C$15=1),CHOOSE(Calc!$C$3,INDEX('Snowball Engine'!$AH359:$AV359,Calc!$I$15),INDEX('Avalanche Engine'!$AH359:$AV359,Calc!$J$15),INDEX('My Order Engine'!$AH359:$AV359,Calc!$K$15)),"")</f>
        <v/>
      </c>
      <c r="M357" s="25" t="str">
        <f>IF(AND($A357&lt;=IF(Calc!$C$36=999,360,Calc!$C$36),Calc!$C$16=1),CHOOSE(Calc!$C$3,INDEX('Snowball Engine'!$AH359:$AV359,Calc!$I$16),INDEX('Avalanche Engine'!$AH359:$AV359,Calc!$J$16),INDEX('My Order Engine'!$AH359:$AV359,Calc!$K$16)),"")</f>
        <v/>
      </c>
      <c r="N357" s="25" t="str">
        <f>IF(AND($A357&lt;=IF(Calc!$C$36=999,360,Calc!$C$36),Calc!$C$17=1),CHOOSE(Calc!$C$3,INDEX('Snowball Engine'!$AH359:$AV359,Calc!$I$17),INDEX('Avalanche Engine'!$AH359:$AV359,Calc!$J$17),INDEX('My Order Engine'!$AH359:$AV359,Calc!$K$17)),"")</f>
        <v/>
      </c>
      <c r="O357" s="25" t="str">
        <f>IF(AND($A357&lt;=IF(Calc!$C$36=999,360,Calc!$C$36),Calc!$C$18=1),CHOOSE(Calc!$C$3,INDEX('Snowball Engine'!$AH359:$AV359,Calc!$I$18),INDEX('Avalanche Engine'!$AH359:$AV359,Calc!$J$18),INDEX('My Order Engine'!$AH359:$AV359,Calc!$K$18)),"")</f>
        <v/>
      </c>
      <c r="P357" s="25" t="str">
        <f>IF(AND($A357&lt;=IF(Calc!$C$36=999,360,Calc!$C$36),Calc!$C$19=1),CHOOSE(Calc!$C$3,INDEX('Snowball Engine'!$AH359:$AV359,Calc!$I$19),INDEX('Avalanche Engine'!$AH359:$AV359,Calc!$J$19),INDEX('My Order Engine'!$AH359:$AV359,Calc!$K$19)),"")</f>
        <v/>
      </c>
      <c r="Q357" s="25" t="str">
        <f>IF(AND($A357&lt;=IF(Calc!$C$36=999,360,Calc!$C$36),Calc!$C$20=1),CHOOSE(Calc!$C$3,INDEX('Snowball Engine'!$AH359:$AV359,Calc!$I$20),INDEX('Avalanche Engine'!$AH359:$AV359,Calc!$J$20),INDEX('My Order Engine'!$AH359:$AV359,Calc!$K$20)),"")</f>
        <v/>
      </c>
      <c r="R357" s="25" t="str">
        <f>IF(AND($A357&lt;=IF(Calc!$C$36=999,360,Calc!$C$36),Calc!$C$21=1),CHOOSE(Calc!$C$3,INDEX('Snowball Engine'!$AH359:$AV359,Calc!$I$21),INDEX('Avalanche Engine'!$AH359:$AV359,Calc!$J$21),INDEX('My Order Engine'!$AH359:$AV359,Calc!$K$21)),"")</f>
        <v/>
      </c>
      <c r="S357" s="25" t="str">
        <f>IF(AND($A357&lt;=IF(Calc!$C$36=999,360,Calc!$C$36),Calc!$C$22=1),CHOOSE(Calc!$C$3,INDEX('Snowball Engine'!$AH359:$AV359,Calc!$I$22),INDEX('Avalanche Engine'!$AH359:$AV359,Calc!$J$22),INDEX('My Order Engine'!$AH359:$AV359,Calc!$K$22)),"")</f>
        <v/>
      </c>
      <c r="T357" s="25" t="str">
        <f>IF(AND($A357&lt;=IF(Calc!$C$36=999,360,Calc!$C$36),Calc!$C$23=1),CHOOSE(Calc!$C$3,INDEX('Snowball Engine'!$AH359:$AV359,Calc!$I$23),INDEX('Avalanche Engine'!$AH359:$AV359,Calc!$J$23),INDEX('My Order Engine'!$AH359:$AV359,Calc!$K$23)),"")</f>
        <v/>
      </c>
      <c r="U357" s="25" t="str">
        <f>IF(AND($A357&lt;=IF(Calc!$C$36=999,360,Calc!$C$36),Calc!$C$24=1),CHOOSE(Calc!$C$3,INDEX('Snowball Engine'!$AH359:$AV359,Calc!$I$24),INDEX('Avalanche Engine'!$AH359:$AV359,Calc!$J$24),INDEX('My Order Engine'!$AH359:$AV359,Calc!$K$24)),"")</f>
        <v/>
      </c>
    </row>
    <row r="358" spans="1:21" x14ac:dyDescent="0.35">
      <c r="A358" s="23">
        <v>354</v>
      </c>
      <c r="B358" s="24" t="str">
        <f>IF($A358&lt;=IF(Calc!$C$36=999,360,Calc!$C$36),EDATE(Calc!$C$5,A358-1),"")</f>
        <v/>
      </c>
      <c r="C358" s="25" t="str">
        <f>IF($A358&lt;=IF(Calc!$C$36=999,360,Calc!$C$36),CHOOSE(Calc!$C$3,'Snowball Engine'!AY360,'Avalanche Engine'!AY360,'My Order Engine'!AY360),"")</f>
        <v/>
      </c>
      <c r="D358" s="25" t="str">
        <f>IF($A358&lt;=IF(Calc!$C$36=999,360,Calc!$C$36),CHOOSE(Calc!$C$3,'Snowball Engine'!AX360,'Avalanche Engine'!AX360,'My Order Engine'!AX360),"")</f>
        <v/>
      </c>
      <c r="E358" s="25" t="str">
        <f>IF($A358&lt;=IF(Calc!$C$36=999,360,Calc!$C$36),C358-D358,"")</f>
        <v/>
      </c>
      <c r="F358" s="25" t="str">
        <f>IF($A358&lt;=IF(Calc!$C$36=999,360,Calc!$C$36),CHOOSE(Calc!$C$3,'Snowball Engine'!AW360,'Avalanche Engine'!AW360,'My Order Engine'!AW360),"")</f>
        <v/>
      </c>
      <c r="G358" s="25" t="str">
        <f>IF(AND($A358&lt;=IF(Calc!$C$36=999,360,Calc!$C$36),Calc!$C$10=1),CHOOSE(Calc!$C$3,INDEX('Snowball Engine'!$AH360:$AV360,Calc!$I$10),INDEX('Avalanche Engine'!$AH360:$AV360,Calc!$J$10),INDEX('My Order Engine'!$AH360:$AV360,Calc!$K$10)),"")</f>
        <v/>
      </c>
      <c r="H358" s="25" t="str">
        <f>IF(AND($A358&lt;=IF(Calc!$C$36=999,360,Calc!$C$36),Calc!$C$11=1),CHOOSE(Calc!$C$3,INDEX('Snowball Engine'!$AH360:$AV360,Calc!$I$11),INDEX('Avalanche Engine'!$AH360:$AV360,Calc!$J$11),INDEX('My Order Engine'!$AH360:$AV360,Calc!$K$11)),"")</f>
        <v/>
      </c>
      <c r="I358" s="25" t="str">
        <f>IF(AND($A358&lt;=IF(Calc!$C$36=999,360,Calc!$C$36),Calc!$C$12=1),CHOOSE(Calc!$C$3,INDEX('Snowball Engine'!$AH360:$AV360,Calc!$I$12),INDEX('Avalanche Engine'!$AH360:$AV360,Calc!$J$12),INDEX('My Order Engine'!$AH360:$AV360,Calc!$K$12)),"")</f>
        <v/>
      </c>
      <c r="J358" s="25" t="str">
        <f>IF(AND($A358&lt;=IF(Calc!$C$36=999,360,Calc!$C$36),Calc!$C$13=1),CHOOSE(Calc!$C$3,INDEX('Snowball Engine'!$AH360:$AV360,Calc!$I$13),INDEX('Avalanche Engine'!$AH360:$AV360,Calc!$J$13),INDEX('My Order Engine'!$AH360:$AV360,Calc!$K$13)),"")</f>
        <v/>
      </c>
      <c r="K358" s="25" t="str">
        <f>IF(AND($A358&lt;=IF(Calc!$C$36=999,360,Calc!$C$36),Calc!$C$14=1),CHOOSE(Calc!$C$3,INDEX('Snowball Engine'!$AH360:$AV360,Calc!$I$14),INDEX('Avalanche Engine'!$AH360:$AV360,Calc!$J$14),INDEX('My Order Engine'!$AH360:$AV360,Calc!$K$14)),"")</f>
        <v/>
      </c>
      <c r="L358" s="25" t="str">
        <f>IF(AND($A358&lt;=IF(Calc!$C$36=999,360,Calc!$C$36),Calc!$C$15=1),CHOOSE(Calc!$C$3,INDEX('Snowball Engine'!$AH360:$AV360,Calc!$I$15),INDEX('Avalanche Engine'!$AH360:$AV360,Calc!$J$15),INDEX('My Order Engine'!$AH360:$AV360,Calc!$K$15)),"")</f>
        <v/>
      </c>
      <c r="M358" s="25" t="str">
        <f>IF(AND($A358&lt;=IF(Calc!$C$36=999,360,Calc!$C$36),Calc!$C$16=1),CHOOSE(Calc!$C$3,INDEX('Snowball Engine'!$AH360:$AV360,Calc!$I$16),INDEX('Avalanche Engine'!$AH360:$AV360,Calc!$J$16),INDEX('My Order Engine'!$AH360:$AV360,Calc!$K$16)),"")</f>
        <v/>
      </c>
      <c r="N358" s="25" t="str">
        <f>IF(AND($A358&lt;=IF(Calc!$C$36=999,360,Calc!$C$36),Calc!$C$17=1),CHOOSE(Calc!$C$3,INDEX('Snowball Engine'!$AH360:$AV360,Calc!$I$17),INDEX('Avalanche Engine'!$AH360:$AV360,Calc!$J$17),INDEX('My Order Engine'!$AH360:$AV360,Calc!$K$17)),"")</f>
        <v/>
      </c>
      <c r="O358" s="25" t="str">
        <f>IF(AND($A358&lt;=IF(Calc!$C$36=999,360,Calc!$C$36),Calc!$C$18=1),CHOOSE(Calc!$C$3,INDEX('Snowball Engine'!$AH360:$AV360,Calc!$I$18),INDEX('Avalanche Engine'!$AH360:$AV360,Calc!$J$18),INDEX('My Order Engine'!$AH360:$AV360,Calc!$K$18)),"")</f>
        <v/>
      </c>
      <c r="P358" s="25" t="str">
        <f>IF(AND($A358&lt;=IF(Calc!$C$36=999,360,Calc!$C$36),Calc!$C$19=1),CHOOSE(Calc!$C$3,INDEX('Snowball Engine'!$AH360:$AV360,Calc!$I$19),INDEX('Avalanche Engine'!$AH360:$AV360,Calc!$J$19),INDEX('My Order Engine'!$AH360:$AV360,Calc!$K$19)),"")</f>
        <v/>
      </c>
      <c r="Q358" s="25" t="str">
        <f>IF(AND($A358&lt;=IF(Calc!$C$36=999,360,Calc!$C$36),Calc!$C$20=1),CHOOSE(Calc!$C$3,INDEX('Snowball Engine'!$AH360:$AV360,Calc!$I$20),INDEX('Avalanche Engine'!$AH360:$AV360,Calc!$J$20),INDEX('My Order Engine'!$AH360:$AV360,Calc!$K$20)),"")</f>
        <v/>
      </c>
      <c r="R358" s="25" t="str">
        <f>IF(AND($A358&lt;=IF(Calc!$C$36=999,360,Calc!$C$36),Calc!$C$21=1),CHOOSE(Calc!$C$3,INDEX('Snowball Engine'!$AH360:$AV360,Calc!$I$21),INDEX('Avalanche Engine'!$AH360:$AV360,Calc!$J$21),INDEX('My Order Engine'!$AH360:$AV360,Calc!$K$21)),"")</f>
        <v/>
      </c>
      <c r="S358" s="25" t="str">
        <f>IF(AND($A358&lt;=IF(Calc!$C$36=999,360,Calc!$C$36),Calc!$C$22=1),CHOOSE(Calc!$C$3,INDEX('Snowball Engine'!$AH360:$AV360,Calc!$I$22),INDEX('Avalanche Engine'!$AH360:$AV360,Calc!$J$22),INDEX('My Order Engine'!$AH360:$AV360,Calc!$K$22)),"")</f>
        <v/>
      </c>
      <c r="T358" s="25" t="str">
        <f>IF(AND($A358&lt;=IF(Calc!$C$36=999,360,Calc!$C$36),Calc!$C$23=1),CHOOSE(Calc!$C$3,INDEX('Snowball Engine'!$AH360:$AV360,Calc!$I$23),INDEX('Avalanche Engine'!$AH360:$AV360,Calc!$J$23),INDEX('My Order Engine'!$AH360:$AV360,Calc!$K$23)),"")</f>
        <v/>
      </c>
      <c r="U358" s="25" t="str">
        <f>IF(AND($A358&lt;=IF(Calc!$C$36=999,360,Calc!$C$36),Calc!$C$24=1),CHOOSE(Calc!$C$3,INDEX('Snowball Engine'!$AH360:$AV360,Calc!$I$24),INDEX('Avalanche Engine'!$AH360:$AV360,Calc!$J$24),INDEX('My Order Engine'!$AH360:$AV360,Calc!$K$24)),"")</f>
        <v/>
      </c>
    </row>
    <row r="359" spans="1:21" x14ac:dyDescent="0.35">
      <c r="A359" s="23">
        <v>355</v>
      </c>
      <c r="B359" s="24" t="str">
        <f>IF($A359&lt;=IF(Calc!$C$36=999,360,Calc!$C$36),EDATE(Calc!$C$5,A359-1),"")</f>
        <v/>
      </c>
      <c r="C359" s="25" t="str">
        <f>IF($A359&lt;=IF(Calc!$C$36=999,360,Calc!$C$36),CHOOSE(Calc!$C$3,'Snowball Engine'!AY361,'Avalanche Engine'!AY361,'My Order Engine'!AY361),"")</f>
        <v/>
      </c>
      <c r="D359" s="25" t="str">
        <f>IF($A359&lt;=IF(Calc!$C$36=999,360,Calc!$C$36),CHOOSE(Calc!$C$3,'Snowball Engine'!AX361,'Avalanche Engine'!AX361,'My Order Engine'!AX361),"")</f>
        <v/>
      </c>
      <c r="E359" s="25" t="str">
        <f>IF($A359&lt;=IF(Calc!$C$36=999,360,Calc!$C$36),C359-D359,"")</f>
        <v/>
      </c>
      <c r="F359" s="25" t="str">
        <f>IF($A359&lt;=IF(Calc!$C$36=999,360,Calc!$C$36),CHOOSE(Calc!$C$3,'Snowball Engine'!AW361,'Avalanche Engine'!AW361,'My Order Engine'!AW361),"")</f>
        <v/>
      </c>
      <c r="G359" s="25" t="str">
        <f>IF(AND($A359&lt;=IF(Calc!$C$36=999,360,Calc!$C$36),Calc!$C$10=1),CHOOSE(Calc!$C$3,INDEX('Snowball Engine'!$AH361:$AV361,Calc!$I$10),INDEX('Avalanche Engine'!$AH361:$AV361,Calc!$J$10),INDEX('My Order Engine'!$AH361:$AV361,Calc!$K$10)),"")</f>
        <v/>
      </c>
      <c r="H359" s="25" t="str">
        <f>IF(AND($A359&lt;=IF(Calc!$C$36=999,360,Calc!$C$36),Calc!$C$11=1),CHOOSE(Calc!$C$3,INDEX('Snowball Engine'!$AH361:$AV361,Calc!$I$11),INDEX('Avalanche Engine'!$AH361:$AV361,Calc!$J$11),INDEX('My Order Engine'!$AH361:$AV361,Calc!$K$11)),"")</f>
        <v/>
      </c>
      <c r="I359" s="25" t="str">
        <f>IF(AND($A359&lt;=IF(Calc!$C$36=999,360,Calc!$C$36),Calc!$C$12=1),CHOOSE(Calc!$C$3,INDEX('Snowball Engine'!$AH361:$AV361,Calc!$I$12),INDEX('Avalanche Engine'!$AH361:$AV361,Calc!$J$12),INDEX('My Order Engine'!$AH361:$AV361,Calc!$K$12)),"")</f>
        <v/>
      </c>
      <c r="J359" s="25" t="str">
        <f>IF(AND($A359&lt;=IF(Calc!$C$36=999,360,Calc!$C$36),Calc!$C$13=1),CHOOSE(Calc!$C$3,INDEX('Snowball Engine'!$AH361:$AV361,Calc!$I$13),INDEX('Avalanche Engine'!$AH361:$AV361,Calc!$J$13),INDEX('My Order Engine'!$AH361:$AV361,Calc!$K$13)),"")</f>
        <v/>
      </c>
      <c r="K359" s="25" t="str">
        <f>IF(AND($A359&lt;=IF(Calc!$C$36=999,360,Calc!$C$36),Calc!$C$14=1),CHOOSE(Calc!$C$3,INDEX('Snowball Engine'!$AH361:$AV361,Calc!$I$14),INDEX('Avalanche Engine'!$AH361:$AV361,Calc!$J$14),INDEX('My Order Engine'!$AH361:$AV361,Calc!$K$14)),"")</f>
        <v/>
      </c>
      <c r="L359" s="25" t="str">
        <f>IF(AND($A359&lt;=IF(Calc!$C$36=999,360,Calc!$C$36),Calc!$C$15=1),CHOOSE(Calc!$C$3,INDEX('Snowball Engine'!$AH361:$AV361,Calc!$I$15),INDEX('Avalanche Engine'!$AH361:$AV361,Calc!$J$15),INDEX('My Order Engine'!$AH361:$AV361,Calc!$K$15)),"")</f>
        <v/>
      </c>
      <c r="M359" s="25" t="str">
        <f>IF(AND($A359&lt;=IF(Calc!$C$36=999,360,Calc!$C$36),Calc!$C$16=1),CHOOSE(Calc!$C$3,INDEX('Snowball Engine'!$AH361:$AV361,Calc!$I$16),INDEX('Avalanche Engine'!$AH361:$AV361,Calc!$J$16),INDEX('My Order Engine'!$AH361:$AV361,Calc!$K$16)),"")</f>
        <v/>
      </c>
      <c r="N359" s="25" t="str">
        <f>IF(AND($A359&lt;=IF(Calc!$C$36=999,360,Calc!$C$36),Calc!$C$17=1),CHOOSE(Calc!$C$3,INDEX('Snowball Engine'!$AH361:$AV361,Calc!$I$17),INDEX('Avalanche Engine'!$AH361:$AV361,Calc!$J$17),INDEX('My Order Engine'!$AH361:$AV361,Calc!$K$17)),"")</f>
        <v/>
      </c>
      <c r="O359" s="25" t="str">
        <f>IF(AND($A359&lt;=IF(Calc!$C$36=999,360,Calc!$C$36),Calc!$C$18=1),CHOOSE(Calc!$C$3,INDEX('Snowball Engine'!$AH361:$AV361,Calc!$I$18),INDEX('Avalanche Engine'!$AH361:$AV361,Calc!$J$18),INDEX('My Order Engine'!$AH361:$AV361,Calc!$K$18)),"")</f>
        <v/>
      </c>
      <c r="P359" s="25" t="str">
        <f>IF(AND($A359&lt;=IF(Calc!$C$36=999,360,Calc!$C$36),Calc!$C$19=1),CHOOSE(Calc!$C$3,INDEX('Snowball Engine'!$AH361:$AV361,Calc!$I$19),INDEX('Avalanche Engine'!$AH361:$AV361,Calc!$J$19),INDEX('My Order Engine'!$AH361:$AV361,Calc!$K$19)),"")</f>
        <v/>
      </c>
      <c r="Q359" s="25" t="str">
        <f>IF(AND($A359&lt;=IF(Calc!$C$36=999,360,Calc!$C$36),Calc!$C$20=1),CHOOSE(Calc!$C$3,INDEX('Snowball Engine'!$AH361:$AV361,Calc!$I$20),INDEX('Avalanche Engine'!$AH361:$AV361,Calc!$J$20),INDEX('My Order Engine'!$AH361:$AV361,Calc!$K$20)),"")</f>
        <v/>
      </c>
      <c r="R359" s="25" t="str">
        <f>IF(AND($A359&lt;=IF(Calc!$C$36=999,360,Calc!$C$36),Calc!$C$21=1),CHOOSE(Calc!$C$3,INDEX('Snowball Engine'!$AH361:$AV361,Calc!$I$21),INDEX('Avalanche Engine'!$AH361:$AV361,Calc!$J$21),INDEX('My Order Engine'!$AH361:$AV361,Calc!$K$21)),"")</f>
        <v/>
      </c>
      <c r="S359" s="25" t="str">
        <f>IF(AND($A359&lt;=IF(Calc!$C$36=999,360,Calc!$C$36),Calc!$C$22=1),CHOOSE(Calc!$C$3,INDEX('Snowball Engine'!$AH361:$AV361,Calc!$I$22),INDEX('Avalanche Engine'!$AH361:$AV361,Calc!$J$22),INDEX('My Order Engine'!$AH361:$AV361,Calc!$K$22)),"")</f>
        <v/>
      </c>
      <c r="T359" s="25" t="str">
        <f>IF(AND($A359&lt;=IF(Calc!$C$36=999,360,Calc!$C$36),Calc!$C$23=1),CHOOSE(Calc!$C$3,INDEX('Snowball Engine'!$AH361:$AV361,Calc!$I$23),INDEX('Avalanche Engine'!$AH361:$AV361,Calc!$J$23),INDEX('My Order Engine'!$AH361:$AV361,Calc!$K$23)),"")</f>
        <v/>
      </c>
      <c r="U359" s="25" t="str">
        <f>IF(AND($A359&lt;=IF(Calc!$C$36=999,360,Calc!$C$36),Calc!$C$24=1),CHOOSE(Calc!$C$3,INDEX('Snowball Engine'!$AH361:$AV361,Calc!$I$24),INDEX('Avalanche Engine'!$AH361:$AV361,Calc!$J$24),INDEX('My Order Engine'!$AH361:$AV361,Calc!$K$24)),"")</f>
        <v/>
      </c>
    </row>
    <row r="360" spans="1:21" x14ac:dyDescent="0.35">
      <c r="A360" s="23">
        <v>356</v>
      </c>
      <c r="B360" s="24" t="str">
        <f>IF($A360&lt;=IF(Calc!$C$36=999,360,Calc!$C$36),EDATE(Calc!$C$5,A360-1),"")</f>
        <v/>
      </c>
      <c r="C360" s="25" t="str">
        <f>IF($A360&lt;=IF(Calc!$C$36=999,360,Calc!$C$36),CHOOSE(Calc!$C$3,'Snowball Engine'!AY362,'Avalanche Engine'!AY362,'My Order Engine'!AY362),"")</f>
        <v/>
      </c>
      <c r="D360" s="25" t="str">
        <f>IF($A360&lt;=IF(Calc!$C$36=999,360,Calc!$C$36),CHOOSE(Calc!$C$3,'Snowball Engine'!AX362,'Avalanche Engine'!AX362,'My Order Engine'!AX362),"")</f>
        <v/>
      </c>
      <c r="E360" s="25" t="str">
        <f>IF($A360&lt;=IF(Calc!$C$36=999,360,Calc!$C$36),C360-D360,"")</f>
        <v/>
      </c>
      <c r="F360" s="25" t="str">
        <f>IF($A360&lt;=IF(Calc!$C$36=999,360,Calc!$C$36),CHOOSE(Calc!$C$3,'Snowball Engine'!AW362,'Avalanche Engine'!AW362,'My Order Engine'!AW362),"")</f>
        <v/>
      </c>
      <c r="G360" s="25" t="str">
        <f>IF(AND($A360&lt;=IF(Calc!$C$36=999,360,Calc!$C$36),Calc!$C$10=1),CHOOSE(Calc!$C$3,INDEX('Snowball Engine'!$AH362:$AV362,Calc!$I$10),INDEX('Avalanche Engine'!$AH362:$AV362,Calc!$J$10),INDEX('My Order Engine'!$AH362:$AV362,Calc!$K$10)),"")</f>
        <v/>
      </c>
      <c r="H360" s="25" t="str">
        <f>IF(AND($A360&lt;=IF(Calc!$C$36=999,360,Calc!$C$36),Calc!$C$11=1),CHOOSE(Calc!$C$3,INDEX('Snowball Engine'!$AH362:$AV362,Calc!$I$11),INDEX('Avalanche Engine'!$AH362:$AV362,Calc!$J$11),INDEX('My Order Engine'!$AH362:$AV362,Calc!$K$11)),"")</f>
        <v/>
      </c>
      <c r="I360" s="25" t="str">
        <f>IF(AND($A360&lt;=IF(Calc!$C$36=999,360,Calc!$C$36),Calc!$C$12=1),CHOOSE(Calc!$C$3,INDEX('Snowball Engine'!$AH362:$AV362,Calc!$I$12),INDEX('Avalanche Engine'!$AH362:$AV362,Calc!$J$12),INDEX('My Order Engine'!$AH362:$AV362,Calc!$K$12)),"")</f>
        <v/>
      </c>
      <c r="J360" s="25" t="str">
        <f>IF(AND($A360&lt;=IF(Calc!$C$36=999,360,Calc!$C$36),Calc!$C$13=1),CHOOSE(Calc!$C$3,INDEX('Snowball Engine'!$AH362:$AV362,Calc!$I$13),INDEX('Avalanche Engine'!$AH362:$AV362,Calc!$J$13),INDEX('My Order Engine'!$AH362:$AV362,Calc!$K$13)),"")</f>
        <v/>
      </c>
      <c r="K360" s="25" t="str">
        <f>IF(AND($A360&lt;=IF(Calc!$C$36=999,360,Calc!$C$36),Calc!$C$14=1),CHOOSE(Calc!$C$3,INDEX('Snowball Engine'!$AH362:$AV362,Calc!$I$14),INDEX('Avalanche Engine'!$AH362:$AV362,Calc!$J$14),INDEX('My Order Engine'!$AH362:$AV362,Calc!$K$14)),"")</f>
        <v/>
      </c>
      <c r="L360" s="25" t="str">
        <f>IF(AND($A360&lt;=IF(Calc!$C$36=999,360,Calc!$C$36),Calc!$C$15=1),CHOOSE(Calc!$C$3,INDEX('Snowball Engine'!$AH362:$AV362,Calc!$I$15),INDEX('Avalanche Engine'!$AH362:$AV362,Calc!$J$15),INDEX('My Order Engine'!$AH362:$AV362,Calc!$K$15)),"")</f>
        <v/>
      </c>
      <c r="M360" s="25" t="str">
        <f>IF(AND($A360&lt;=IF(Calc!$C$36=999,360,Calc!$C$36),Calc!$C$16=1),CHOOSE(Calc!$C$3,INDEX('Snowball Engine'!$AH362:$AV362,Calc!$I$16),INDEX('Avalanche Engine'!$AH362:$AV362,Calc!$J$16),INDEX('My Order Engine'!$AH362:$AV362,Calc!$K$16)),"")</f>
        <v/>
      </c>
      <c r="N360" s="25" t="str">
        <f>IF(AND($A360&lt;=IF(Calc!$C$36=999,360,Calc!$C$36),Calc!$C$17=1),CHOOSE(Calc!$C$3,INDEX('Snowball Engine'!$AH362:$AV362,Calc!$I$17),INDEX('Avalanche Engine'!$AH362:$AV362,Calc!$J$17),INDEX('My Order Engine'!$AH362:$AV362,Calc!$K$17)),"")</f>
        <v/>
      </c>
      <c r="O360" s="25" t="str">
        <f>IF(AND($A360&lt;=IF(Calc!$C$36=999,360,Calc!$C$36),Calc!$C$18=1),CHOOSE(Calc!$C$3,INDEX('Snowball Engine'!$AH362:$AV362,Calc!$I$18),INDEX('Avalanche Engine'!$AH362:$AV362,Calc!$J$18),INDEX('My Order Engine'!$AH362:$AV362,Calc!$K$18)),"")</f>
        <v/>
      </c>
      <c r="P360" s="25" t="str">
        <f>IF(AND($A360&lt;=IF(Calc!$C$36=999,360,Calc!$C$36),Calc!$C$19=1),CHOOSE(Calc!$C$3,INDEX('Snowball Engine'!$AH362:$AV362,Calc!$I$19),INDEX('Avalanche Engine'!$AH362:$AV362,Calc!$J$19),INDEX('My Order Engine'!$AH362:$AV362,Calc!$K$19)),"")</f>
        <v/>
      </c>
      <c r="Q360" s="25" t="str">
        <f>IF(AND($A360&lt;=IF(Calc!$C$36=999,360,Calc!$C$36),Calc!$C$20=1),CHOOSE(Calc!$C$3,INDEX('Snowball Engine'!$AH362:$AV362,Calc!$I$20),INDEX('Avalanche Engine'!$AH362:$AV362,Calc!$J$20),INDEX('My Order Engine'!$AH362:$AV362,Calc!$K$20)),"")</f>
        <v/>
      </c>
      <c r="R360" s="25" t="str">
        <f>IF(AND($A360&lt;=IF(Calc!$C$36=999,360,Calc!$C$36),Calc!$C$21=1),CHOOSE(Calc!$C$3,INDEX('Snowball Engine'!$AH362:$AV362,Calc!$I$21),INDEX('Avalanche Engine'!$AH362:$AV362,Calc!$J$21),INDEX('My Order Engine'!$AH362:$AV362,Calc!$K$21)),"")</f>
        <v/>
      </c>
      <c r="S360" s="25" t="str">
        <f>IF(AND($A360&lt;=IF(Calc!$C$36=999,360,Calc!$C$36),Calc!$C$22=1),CHOOSE(Calc!$C$3,INDEX('Snowball Engine'!$AH362:$AV362,Calc!$I$22),INDEX('Avalanche Engine'!$AH362:$AV362,Calc!$J$22),INDEX('My Order Engine'!$AH362:$AV362,Calc!$K$22)),"")</f>
        <v/>
      </c>
      <c r="T360" s="25" t="str">
        <f>IF(AND($A360&lt;=IF(Calc!$C$36=999,360,Calc!$C$36),Calc!$C$23=1),CHOOSE(Calc!$C$3,INDEX('Snowball Engine'!$AH362:$AV362,Calc!$I$23),INDEX('Avalanche Engine'!$AH362:$AV362,Calc!$J$23),INDEX('My Order Engine'!$AH362:$AV362,Calc!$K$23)),"")</f>
        <v/>
      </c>
      <c r="U360" s="25" t="str">
        <f>IF(AND($A360&lt;=IF(Calc!$C$36=999,360,Calc!$C$36),Calc!$C$24=1),CHOOSE(Calc!$C$3,INDEX('Snowball Engine'!$AH362:$AV362,Calc!$I$24),INDEX('Avalanche Engine'!$AH362:$AV362,Calc!$J$24),INDEX('My Order Engine'!$AH362:$AV362,Calc!$K$24)),"")</f>
        <v/>
      </c>
    </row>
    <row r="361" spans="1:21" x14ac:dyDescent="0.35">
      <c r="A361" s="23">
        <v>357</v>
      </c>
      <c r="B361" s="24" t="str">
        <f>IF($A361&lt;=IF(Calc!$C$36=999,360,Calc!$C$36),EDATE(Calc!$C$5,A361-1),"")</f>
        <v/>
      </c>
      <c r="C361" s="25" t="str">
        <f>IF($A361&lt;=IF(Calc!$C$36=999,360,Calc!$C$36),CHOOSE(Calc!$C$3,'Snowball Engine'!AY363,'Avalanche Engine'!AY363,'My Order Engine'!AY363),"")</f>
        <v/>
      </c>
      <c r="D361" s="25" t="str">
        <f>IF($A361&lt;=IF(Calc!$C$36=999,360,Calc!$C$36),CHOOSE(Calc!$C$3,'Snowball Engine'!AX363,'Avalanche Engine'!AX363,'My Order Engine'!AX363),"")</f>
        <v/>
      </c>
      <c r="E361" s="25" t="str">
        <f>IF($A361&lt;=IF(Calc!$C$36=999,360,Calc!$C$36),C361-D361,"")</f>
        <v/>
      </c>
      <c r="F361" s="25" t="str">
        <f>IF($A361&lt;=IF(Calc!$C$36=999,360,Calc!$C$36),CHOOSE(Calc!$C$3,'Snowball Engine'!AW363,'Avalanche Engine'!AW363,'My Order Engine'!AW363),"")</f>
        <v/>
      </c>
      <c r="G361" s="25" t="str">
        <f>IF(AND($A361&lt;=IF(Calc!$C$36=999,360,Calc!$C$36),Calc!$C$10=1),CHOOSE(Calc!$C$3,INDEX('Snowball Engine'!$AH363:$AV363,Calc!$I$10),INDEX('Avalanche Engine'!$AH363:$AV363,Calc!$J$10),INDEX('My Order Engine'!$AH363:$AV363,Calc!$K$10)),"")</f>
        <v/>
      </c>
      <c r="H361" s="25" t="str">
        <f>IF(AND($A361&lt;=IF(Calc!$C$36=999,360,Calc!$C$36),Calc!$C$11=1),CHOOSE(Calc!$C$3,INDEX('Snowball Engine'!$AH363:$AV363,Calc!$I$11),INDEX('Avalanche Engine'!$AH363:$AV363,Calc!$J$11),INDEX('My Order Engine'!$AH363:$AV363,Calc!$K$11)),"")</f>
        <v/>
      </c>
      <c r="I361" s="25" t="str">
        <f>IF(AND($A361&lt;=IF(Calc!$C$36=999,360,Calc!$C$36),Calc!$C$12=1),CHOOSE(Calc!$C$3,INDEX('Snowball Engine'!$AH363:$AV363,Calc!$I$12),INDEX('Avalanche Engine'!$AH363:$AV363,Calc!$J$12),INDEX('My Order Engine'!$AH363:$AV363,Calc!$K$12)),"")</f>
        <v/>
      </c>
      <c r="J361" s="25" t="str">
        <f>IF(AND($A361&lt;=IF(Calc!$C$36=999,360,Calc!$C$36),Calc!$C$13=1),CHOOSE(Calc!$C$3,INDEX('Snowball Engine'!$AH363:$AV363,Calc!$I$13),INDEX('Avalanche Engine'!$AH363:$AV363,Calc!$J$13),INDEX('My Order Engine'!$AH363:$AV363,Calc!$K$13)),"")</f>
        <v/>
      </c>
      <c r="K361" s="25" t="str">
        <f>IF(AND($A361&lt;=IF(Calc!$C$36=999,360,Calc!$C$36),Calc!$C$14=1),CHOOSE(Calc!$C$3,INDEX('Snowball Engine'!$AH363:$AV363,Calc!$I$14),INDEX('Avalanche Engine'!$AH363:$AV363,Calc!$J$14),INDEX('My Order Engine'!$AH363:$AV363,Calc!$K$14)),"")</f>
        <v/>
      </c>
      <c r="L361" s="25" t="str">
        <f>IF(AND($A361&lt;=IF(Calc!$C$36=999,360,Calc!$C$36),Calc!$C$15=1),CHOOSE(Calc!$C$3,INDEX('Snowball Engine'!$AH363:$AV363,Calc!$I$15),INDEX('Avalanche Engine'!$AH363:$AV363,Calc!$J$15),INDEX('My Order Engine'!$AH363:$AV363,Calc!$K$15)),"")</f>
        <v/>
      </c>
      <c r="M361" s="25" t="str">
        <f>IF(AND($A361&lt;=IF(Calc!$C$36=999,360,Calc!$C$36),Calc!$C$16=1),CHOOSE(Calc!$C$3,INDEX('Snowball Engine'!$AH363:$AV363,Calc!$I$16),INDEX('Avalanche Engine'!$AH363:$AV363,Calc!$J$16),INDEX('My Order Engine'!$AH363:$AV363,Calc!$K$16)),"")</f>
        <v/>
      </c>
      <c r="N361" s="25" t="str">
        <f>IF(AND($A361&lt;=IF(Calc!$C$36=999,360,Calc!$C$36),Calc!$C$17=1),CHOOSE(Calc!$C$3,INDEX('Snowball Engine'!$AH363:$AV363,Calc!$I$17),INDEX('Avalanche Engine'!$AH363:$AV363,Calc!$J$17),INDEX('My Order Engine'!$AH363:$AV363,Calc!$K$17)),"")</f>
        <v/>
      </c>
      <c r="O361" s="25" t="str">
        <f>IF(AND($A361&lt;=IF(Calc!$C$36=999,360,Calc!$C$36),Calc!$C$18=1),CHOOSE(Calc!$C$3,INDEX('Snowball Engine'!$AH363:$AV363,Calc!$I$18),INDEX('Avalanche Engine'!$AH363:$AV363,Calc!$J$18),INDEX('My Order Engine'!$AH363:$AV363,Calc!$K$18)),"")</f>
        <v/>
      </c>
      <c r="P361" s="25" t="str">
        <f>IF(AND($A361&lt;=IF(Calc!$C$36=999,360,Calc!$C$36),Calc!$C$19=1),CHOOSE(Calc!$C$3,INDEX('Snowball Engine'!$AH363:$AV363,Calc!$I$19),INDEX('Avalanche Engine'!$AH363:$AV363,Calc!$J$19),INDEX('My Order Engine'!$AH363:$AV363,Calc!$K$19)),"")</f>
        <v/>
      </c>
      <c r="Q361" s="25" t="str">
        <f>IF(AND($A361&lt;=IF(Calc!$C$36=999,360,Calc!$C$36),Calc!$C$20=1),CHOOSE(Calc!$C$3,INDEX('Snowball Engine'!$AH363:$AV363,Calc!$I$20),INDEX('Avalanche Engine'!$AH363:$AV363,Calc!$J$20),INDEX('My Order Engine'!$AH363:$AV363,Calc!$K$20)),"")</f>
        <v/>
      </c>
      <c r="R361" s="25" t="str">
        <f>IF(AND($A361&lt;=IF(Calc!$C$36=999,360,Calc!$C$36),Calc!$C$21=1),CHOOSE(Calc!$C$3,INDEX('Snowball Engine'!$AH363:$AV363,Calc!$I$21),INDEX('Avalanche Engine'!$AH363:$AV363,Calc!$J$21),INDEX('My Order Engine'!$AH363:$AV363,Calc!$K$21)),"")</f>
        <v/>
      </c>
      <c r="S361" s="25" t="str">
        <f>IF(AND($A361&lt;=IF(Calc!$C$36=999,360,Calc!$C$36),Calc!$C$22=1),CHOOSE(Calc!$C$3,INDEX('Snowball Engine'!$AH363:$AV363,Calc!$I$22),INDEX('Avalanche Engine'!$AH363:$AV363,Calc!$J$22),INDEX('My Order Engine'!$AH363:$AV363,Calc!$K$22)),"")</f>
        <v/>
      </c>
      <c r="T361" s="25" t="str">
        <f>IF(AND($A361&lt;=IF(Calc!$C$36=999,360,Calc!$C$36),Calc!$C$23=1),CHOOSE(Calc!$C$3,INDEX('Snowball Engine'!$AH363:$AV363,Calc!$I$23),INDEX('Avalanche Engine'!$AH363:$AV363,Calc!$J$23),INDEX('My Order Engine'!$AH363:$AV363,Calc!$K$23)),"")</f>
        <v/>
      </c>
      <c r="U361" s="25" t="str">
        <f>IF(AND($A361&lt;=IF(Calc!$C$36=999,360,Calc!$C$36),Calc!$C$24=1),CHOOSE(Calc!$C$3,INDEX('Snowball Engine'!$AH363:$AV363,Calc!$I$24),INDEX('Avalanche Engine'!$AH363:$AV363,Calc!$J$24),INDEX('My Order Engine'!$AH363:$AV363,Calc!$K$24)),"")</f>
        <v/>
      </c>
    </row>
    <row r="362" spans="1:21" x14ac:dyDescent="0.35">
      <c r="A362" s="23">
        <v>358</v>
      </c>
      <c r="B362" s="24" t="str">
        <f>IF($A362&lt;=IF(Calc!$C$36=999,360,Calc!$C$36),EDATE(Calc!$C$5,A362-1),"")</f>
        <v/>
      </c>
      <c r="C362" s="25" t="str">
        <f>IF($A362&lt;=IF(Calc!$C$36=999,360,Calc!$C$36),CHOOSE(Calc!$C$3,'Snowball Engine'!AY364,'Avalanche Engine'!AY364,'My Order Engine'!AY364),"")</f>
        <v/>
      </c>
      <c r="D362" s="25" t="str">
        <f>IF($A362&lt;=IF(Calc!$C$36=999,360,Calc!$C$36),CHOOSE(Calc!$C$3,'Snowball Engine'!AX364,'Avalanche Engine'!AX364,'My Order Engine'!AX364),"")</f>
        <v/>
      </c>
      <c r="E362" s="25" t="str">
        <f>IF($A362&lt;=IF(Calc!$C$36=999,360,Calc!$C$36),C362-D362,"")</f>
        <v/>
      </c>
      <c r="F362" s="25" t="str">
        <f>IF($A362&lt;=IF(Calc!$C$36=999,360,Calc!$C$36),CHOOSE(Calc!$C$3,'Snowball Engine'!AW364,'Avalanche Engine'!AW364,'My Order Engine'!AW364),"")</f>
        <v/>
      </c>
      <c r="G362" s="25" t="str">
        <f>IF(AND($A362&lt;=IF(Calc!$C$36=999,360,Calc!$C$36),Calc!$C$10=1),CHOOSE(Calc!$C$3,INDEX('Snowball Engine'!$AH364:$AV364,Calc!$I$10),INDEX('Avalanche Engine'!$AH364:$AV364,Calc!$J$10),INDEX('My Order Engine'!$AH364:$AV364,Calc!$K$10)),"")</f>
        <v/>
      </c>
      <c r="H362" s="25" t="str">
        <f>IF(AND($A362&lt;=IF(Calc!$C$36=999,360,Calc!$C$36),Calc!$C$11=1),CHOOSE(Calc!$C$3,INDEX('Snowball Engine'!$AH364:$AV364,Calc!$I$11),INDEX('Avalanche Engine'!$AH364:$AV364,Calc!$J$11),INDEX('My Order Engine'!$AH364:$AV364,Calc!$K$11)),"")</f>
        <v/>
      </c>
      <c r="I362" s="25" t="str">
        <f>IF(AND($A362&lt;=IF(Calc!$C$36=999,360,Calc!$C$36),Calc!$C$12=1),CHOOSE(Calc!$C$3,INDEX('Snowball Engine'!$AH364:$AV364,Calc!$I$12),INDEX('Avalanche Engine'!$AH364:$AV364,Calc!$J$12),INDEX('My Order Engine'!$AH364:$AV364,Calc!$K$12)),"")</f>
        <v/>
      </c>
      <c r="J362" s="25" t="str">
        <f>IF(AND($A362&lt;=IF(Calc!$C$36=999,360,Calc!$C$36),Calc!$C$13=1),CHOOSE(Calc!$C$3,INDEX('Snowball Engine'!$AH364:$AV364,Calc!$I$13),INDEX('Avalanche Engine'!$AH364:$AV364,Calc!$J$13),INDEX('My Order Engine'!$AH364:$AV364,Calc!$K$13)),"")</f>
        <v/>
      </c>
      <c r="K362" s="25" t="str">
        <f>IF(AND($A362&lt;=IF(Calc!$C$36=999,360,Calc!$C$36),Calc!$C$14=1),CHOOSE(Calc!$C$3,INDEX('Snowball Engine'!$AH364:$AV364,Calc!$I$14),INDEX('Avalanche Engine'!$AH364:$AV364,Calc!$J$14),INDEX('My Order Engine'!$AH364:$AV364,Calc!$K$14)),"")</f>
        <v/>
      </c>
      <c r="L362" s="25" t="str">
        <f>IF(AND($A362&lt;=IF(Calc!$C$36=999,360,Calc!$C$36),Calc!$C$15=1),CHOOSE(Calc!$C$3,INDEX('Snowball Engine'!$AH364:$AV364,Calc!$I$15),INDEX('Avalanche Engine'!$AH364:$AV364,Calc!$J$15),INDEX('My Order Engine'!$AH364:$AV364,Calc!$K$15)),"")</f>
        <v/>
      </c>
      <c r="M362" s="25" t="str">
        <f>IF(AND($A362&lt;=IF(Calc!$C$36=999,360,Calc!$C$36),Calc!$C$16=1),CHOOSE(Calc!$C$3,INDEX('Snowball Engine'!$AH364:$AV364,Calc!$I$16),INDEX('Avalanche Engine'!$AH364:$AV364,Calc!$J$16),INDEX('My Order Engine'!$AH364:$AV364,Calc!$K$16)),"")</f>
        <v/>
      </c>
      <c r="N362" s="25" t="str">
        <f>IF(AND($A362&lt;=IF(Calc!$C$36=999,360,Calc!$C$36),Calc!$C$17=1),CHOOSE(Calc!$C$3,INDEX('Snowball Engine'!$AH364:$AV364,Calc!$I$17),INDEX('Avalanche Engine'!$AH364:$AV364,Calc!$J$17),INDEX('My Order Engine'!$AH364:$AV364,Calc!$K$17)),"")</f>
        <v/>
      </c>
      <c r="O362" s="25" t="str">
        <f>IF(AND($A362&lt;=IF(Calc!$C$36=999,360,Calc!$C$36),Calc!$C$18=1),CHOOSE(Calc!$C$3,INDEX('Snowball Engine'!$AH364:$AV364,Calc!$I$18),INDEX('Avalanche Engine'!$AH364:$AV364,Calc!$J$18),INDEX('My Order Engine'!$AH364:$AV364,Calc!$K$18)),"")</f>
        <v/>
      </c>
      <c r="P362" s="25" t="str">
        <f>IF(AND($A362&lt;=IF(Calc!$C$36=999,360,Calc!$C$36),Calc!$C$19=1),CHOOSE(Calc!$C$3,INDEX('Snowball Engine'!$AH364:$AV364,Calc!$I$19),INDEX('Avalanche Engine'!$AH364:$AV364,Calc!$J$19),INDEX('My Order Engine'!$AH364:$AV364,Calc!$K$19)),"")</f>
        <v/>
      </c>
      <c r="Q362" s="25" t="str">
        <f>IF(AND($A362&lt;=IF(Calc!$C$36=999,360,Calc!$C$36),Calc!$C$20=1),CHOOSE(Calc!$C$3,INDEX('Snowball Engine'!$AH364:$AV364,Calc!$I$20),INDEX('Avalanche Engine'!$AH364:$AV364,Calc!$J$20),INDEX('My Order Engine'!$AH364:$AV364,Calc!$K$20)),"")</f>
        <v/>
      </c>
      <c r="R362" s="25" t="str">
        <f>IF(AND($A362&lt;=IF(Calc!$C$36=999,360,Calc!$C$36),Calc!$C$21=1),CHOOSE(Calc!$C$3,INDEX('Snowball Engine'!$AH364:$AV364,Calc!$I$21),INDEX('Avalanche Engine'!$AH364:$AV364,Calc!$J$21),INDEX('My Order Engine'!$AH364:$AV364,Calc!$K$21)),"")</f>
        <v/>
      </c>
      <c r="S362" s="25" t="str">
        <f>IF(AND($A362&lt;=IF(Calc!$C$36=999,360,Calc!$C$36),Calc!$C$22=1),CHOOSE(Calc!$C$3,INDEX('Snowball Engine'!$AH364:$AV364,Calc!$I$22),INDEX('Avalanche Engine'!$AH364:$AV364,Calc!$J$22),INDEX('My Order Engine'!$AH364:$AV364,Calc!$K$22)),"")</f>
        <v/>
      </c>
      <c r="T362" s="25" t="str">
        <f>IF(AND($A362&lt;=IF(Calc!$C$36=999,360,Calc!$C$36),Calc!$C$23=1),CHOOSE(Calc!$C$3,INDEX('Snowball Engine'!$AH364:$AV364,Calc!$I$23),INDEX('Avalanche Engine'!$AH364:$AV364,Calc!$J$23),INDEX('My Order Engine'!$AH364:$AV364,Calc!$K$23)),"")</f>
        <v/>
      </c>
      <c r="U362" s="25" t="str">
        <f>IF(AND($A362&lt;=IF(Calc!$C$36=999,360,Calc!$C$36),Calc!$C$24=1),CHOOSE(Calc!$C$3,INDEX('Snowball Engine'!$AH364:$AV364,Calc!$I$24),INDEX('Avalanche Engine'!$AH364:$AV364,Calc!$J$24),INDEX('My Order Engine'!$AH364:$AV364,Calc!$K$24)),"")</f>
        <v/>
      </c>
    </row>
    <row r="363" spans="1:21" x14ac:dyDescent="0.35">
      <c r="A363" s="23">
        <v>359</v>
      </c>
      <c r="B363" s="24" t="str">
        <f>IF($A363&lt;=IF(Calc!$C$36=999,360,Calc!$C$36),EDATE(Calc!$C$5,A363-1),"")</f>
        <v/>
      </c>
      <c r="C363" s="25" t="str">
        <f>IF($A363&lt;=IF(Calc!$C$36=999,360,Calc!$C$36),CHOOSE(Calc!$C$3,'Snowball Engine'!AY365,'Avalanche Engine'!AY365,'My Order Engine'!AY365),"")</f>
        <v/>
      </c>
      <c r="D363" s="25" t="str">
        <f>IF($A363&lt;=IF(Calc!$C$36=999,360,Calc!$C$36),CHOOSE(Calc!$C$3,'Snowball Engine'!AX365,'Avalanche Engine'!AX365,'My Order Engine'!AX365),"")</f>
        <v/>
      </c>
      <c r="E363" s="25" t="str">
        <f>IF($A363&lt;=IF(Calc!$C$36=999,360,Calc!$C$36),C363-D363,"")</f>
        <v/>
      </c>
      <c r="F363" s="25" t="str">
        <f>IF($A363&lt;=IF(Calc!$C$36=999,360,Calc!$C$36),CHOOSE(Calc!$C$3,'Snowball Engine'!AW365,'Avalanche Engine'!AW365,'My Order Engine'!AW365),"")</f>
        <v/>
      </c>
      <c r="G363" s="25" t="str">
        <f>IF(AND($A363&lt;=IF(Calc!$C$36=999,360,Calc!$C$36),Calc!$C$10=1),CHOOSE(Calc!$C$3,INDEX('Snowball Engine'!$AH365:$AV365,Calc!$I$10),INDEX('Avalanche Engine'!$AH365:$AV365,Calc!$J$10),INDEX('My Order Engine'!$AH365:$AV365,Calc!$K$10)),"")</f>
        <v/>
      </c>
      <c r="H363" s="25" t="str">
        <f>IF(AND($A363&lt;=IF(Calc!$C$36=999,360,Calc!$C$36),Calc!$C$11=1),CHOOSE(Calc!$C$3,INDEX('Snowball Engine'!$AH365:$AV365,Calc!$I$11),INDEX('Avalanche Engine'!$AH365:$AV365,Calc!$J$11),INDEX('My Order Engine'!$AH365:$AV365,Calc!$K$11)),"")</f>
        <v/>
      </c>
      <c r="I363" s="25" t="str">
        <f>IF(AND($A363&lt;=IF(Calc!$C$36=999,360,Calc!$C$36),Calc!$C$12=1),CHOOSE(Calc!$C$3,INDEX('Snowball Engine'!$AH365:$AV365,Calc!$I$12),INDEX('Avalanche Engine'!$AH365:$AV365,Calc!$J$12),INDEX('My Order Engine'!$AH365:$AV365,Calc!$K$12)),"")</f>
        <v/>
      </c>
      <c r="J363" s="25" t="str">
        <f>IF(AND($A363&lt;=IF(Calc!$C$36=999,360,Calc!$C$36),Calc!$C$13=1),CHOOSE(Calc!$C$3,INDEX('Snowball Engine'!$AH365:$AV365,Calc!$I$13),INDEX('Avalanche Engine'!$AH365:$AV365,Calc!$J$13),INDEX('My Order Engine'!$AH365:$AV365,Calc!$K$13)),"")</f>
        <v/>
      </c>
      <c r="K363" s="25" t="str">
        <f>IF(AND($A363&lt;=IF(Calc!$C$36=999,360,Calc!$C$36),Calc!$C$14=1),CHOOSE(Calc!$C$3,INDEX('Snowball Engine'!$AH365:$AV365,Calc!$I$14),INDEX('Avalanche Engine'!$AH365:$AV365,Calc!$J$14),INDEX('My Order Engine'!$AH365:$AV365,Calc!$K$14)),"")</f>
        <v/>
      </c>
      <c r="L363" s="25" t="str">
        <f>IF(AND($A363&lt;=IF(Calc!$C$36=999,360,Calc!$C$36),Calc!$C$15=1),CHOOSE(Calc!$C$3,INDEX('Snowball Engine'!$AH365:$AV365,Calc!$I$15),INDEX('Avalanche Engine'!$AH365:$AV365,Calc!$J$15),INDEX('My Order Engine'!$AH365:$AV365,Calc!$K$15)),"")</f>
        <v/>
      </c>
      <c r="M363" s="25" t="str">
        <f>IF(AND($A363&lt;=IF(Calc!$C$36=999,360,Calc!$C$36),Calc!$C$16=1),CHOOSE(Calc!$C$3,INDEX('Snowball Engine'!$AH365:$AV365,Calc!$I$16),INDEX('Avalanche Engine'!$AH365:$AV365,Calc!$J$16),INDEX('My Order Engine'!$AH365:$AV365,Calc!$K$16)),"")</f>
        <v/>
      </c>
      <c r="N363" s="25" t="str">
        <f>IF(AND($A363&lt;=IF(Calc!$C$36=999,360,Calc!$C$36),Calc!$C$17=1),CHOOSE(Calc!$C$3,INDEX('Snowball Engine'!$AH365:$AV365,Calc!$I$17),INDEX('Avalanche Engine'!$AH365:$AV365,Calc!$J$17),INDEX('My Order Engine'!$AH365:$AV365,Calc!$K$17)),"")</f>
        <v/>
      </c>
      <c r="O363" s="25" t="str">
        <f>IF(AND($A363&lt;=IF(Calc!$C$36=999,360,Calc!$C$36),Calc!$C$18=1),CHOOSE(Calc!$C$3,INDEX('Snowball Engine'!$AH365:$AV365,Calc!$I$18),INDEX('Avalanche Engine'!$AH365:$AV365,Calc!$J$18),INDEX('My Order Engine'!$AH365:$AV365,Calc!$K$18)),"")</f>
        <v/>
      </c>
      <c r="P363" s="25" t="str">
        <f>IF(AND($A363&lt;=IF(Calc!$C$36=999,360,Calc!$C$36),Calc!$C$19=1),CHOOSE(Calc!$C$3,INDEX('Snowball Engine'!$AH365:$AV365,Calc!$I$19),INDEX('Avalanche Engine'!$AH365:$AV365,Calc!$J$19),INDEX('My Order Engine'!$AH365:$AV365,Calc!$K$19)),"")</f>
        <v/>
      </c>
      <c r="Q363" s="25" t="str">
        <f>IF(AND($A363&lt;=IF(Calc!$C$36=999,360,Calc!$C$36),Calc!$C$20=1),CHOOSE(Calc!$C$3,INDEX('Snowball Engine'!$AH365:$AV365,Calc!$I$20),INDEX('Avalanche Engine'!$AH365:$AV365,Calc!$J$20),INDEX('My Order Engine'!$AH365:$AV365,Calc!$K$20)),"")</f>
        <v/>
      </c>
      <c r="R363" s="25" t="str">
        <f>IF(AND($A363&lt;=IF(Calc!$C$36=999,360,Calc!$C$36),Calc!$C$21=1),CHOOSE(Calc!$C$3,INDEX('Snowball Engine'!$AH365:$AV365,Calc!$I$21),INDEX('Avalanche Engine'!$AH365:$AV365,Calc!$J$21),INDEX('My Order Engine'!$AH365:$AV365,Calc!$K$21)),"")</f>
        <v/>
      </c>
      <c r="S363" s="25" t="str">
        <f>IF(AND($A363&lt;=IF(Calc!$C$36=999,360,Calc!$C$36),Calc!$C$22=1),CHOOSE(Calc!$C$3,INDEX('Snowball Engine'!$AH365:$AV365,Calc!$I$22),INDEX('Avalanche Engine'!$AH365:$AV365,Calc!$J$22),INDEX('My Order Engine'!$AH365:$AV365,Calc!$K$22)),"")</f>
        <v/>
      </c>
      <c r="T363" s="25" t="str">
        <f>IF(AND($A363&lt;=IF(Calc!$C$36=999,360,Calc!$C$36),Calc!$C$23=1),CHOOSE(Calc!$C$3,INDEX('Snowball Engine'!$AH365:$AV365,Calc!$I$23),INDEX('Avalanche Engine'!$AH365:$AV365,Calc!$J$23),INDEX('My Order Engine'!$AH365:$AV365,Calc!$K$23)),"")</f>
        <v/>
      </c>
      <c r="U363" s="25" t="str">
        <f>IF(AND($A363&lt;=IF(Calc!$C$36=999,360,Calc!$C$36),Calc!$C$24=1),CHOOSE(Calc!$C$3,INDEX('Snowball Engine'!$AH365:$AV365,Calc!$I$24),INDEX('Avalanche Engine'!$AH365:$AV365,Calc!$J$24),INDEX('My Order Engine'!$AH365:$AV365,Calc!$K$24)),"")</f>
        <v/>
      </c>
    </row>
    <row r="364" spans="1:21" x14ac:dyDescent="0.35">
      <c r="A364" s="23">
        <v>360</v>
      </c>
      <c r="B364" s="24" t="str">
        <f>IF($A364&lt;=IF(Calc!$C$36=999,360,Calc!$C$36),EDATE(Calc!$C$5,A364-1),"")</f>
        <v/>
      </c>
      <c r="C364" s="25" t="str">
        <f>IF($A364&lt;=IF(Calc!$C$36=999,360,Calc!$C$36),CHOOSE(Calc!$C$3,'Snowball Engine'!AY366,'Avalanche Engine'!AY366,'My Order Engine'!AY366),"")</f>
        <v/>
      </c>
      <c r="D364" s="25" t="str">
        <f>IF($A364&lt;=IF(Calc!$C$36=999,360,Calc!$C$36),CHOOSE(Calc!$C$3,'Snowball Engine'!AX366,'Avalanche Engine'!AX366,'My Order Engine'!AX366),"")</f>
        <v/>
      </c>
      <c r="E364" s="25" t="str">
        <f>IF($A364&lt;=IF(Calc!$C$36=999,360,Calc!$C$36),C364-D364,"")</f>
        <v/>
      </c>
      <c r="F364" s="25" t="str">
        <f>IF($A364&lt;=IF(Calc!$C$36=999,360,Calc!$C$36),CHOOSE(Calc!$C$3,'Snowball Engine'!AW366,'Avalanche Engine'!AW366,'My Order Engine'!AW366),"")</f>
        <v/>
      </c>
      <c r="G364" s="25" t="str">
        <f>IF(AND($A364&lt;=IF(Calc!$C$36=999,360,Calc!$C$36),Calc!$C$10=1),CHOOSE(Calc!$C$3,INDEX('Snowball Engine'!$AH366:$AV366,Calc!$I$10),INDEX('Avalanche Engine'!$AH366:$AV366,Calc!$J$10),INDEX('My Order Engine'!$AH366:$AV366,Calc!$K$10)),"")</f>
        <v/>
      </c>
      <c r="H364" s="25" t="str">
        <f>IF(AND($A364&lt;=IF(Calc!$C$36=999,360,Calc!$C$36),Calc!$C$11=1),CHOOSE(Calc!$C$3,INDEX('Snowball Engine'!$AH366:$AV366,Calc!$I$11),INDEX('Avalanche Engine'!$AH366:$AV366,Calc!$J$11),INDEX('My Order Engine'!$AH366:$AV366,Calc!$K$11)),"")</f>
        <v/>
      </c>
      <c r="I364" s="25" t="str">
        <f>IF(AND($A364&lt;=IF(Calc!$C$36=999,360,Calc!$C$36),Calc!$C$12=1),CHOOSE(Calc!$C$3,INDEX('Snowball Engine'!$AH366:$AV366,Calc!$I$12),INDEX('Avalanche Engine'!$AH366:$AV366,Calc!$J$12),INDEX('My Order Engine'!$AH366:$AV366,Calc!$K$12)),"")</f>
        <v/>
      </c>
      <c r="J364" s="25" t="str">
        <f>IF(AND($A364&lt;=IF(Calc!$C$36=999,360,Calc!$C$36),Calc!$C$13=1),CHOOSE(Calc!$C$3,INDEX('Snowball Engine'!$AH366:$AV366,Calc!$I$13),INDEX('Avalanche Engine'!$AH366:$AV366,Calc!$J$13),INDEX('My Order Engine'!$AH366:$AV366,Calc!$K$13)),"")</f>
        <v/>
      </c>
      <c r="K364" s="25" t="str">
        <f>IF(AND($A364&lt;=IF(Calc!$C$36=999,360,Calc!$C$36),Calc!$C$14=1),CHOOSE(Calc!$C$3,INDEX('Snowball Engine'!$AH366:$AV366,Calc!$I$14),INDEX('Avalanche Engine'!$AH366:$AV366,Calc!$J$14),INDEX('My Order Engine'!$AH366:$AV366,Calc!$K$14)),"")</f>
        <v/>
      </c>
      <c r="L364" s="25" t="str">
        <f>IF(AND($A364&lt;=IF(Calc!$C$36=999,360,Calc!$C$36),Calc!$C$15=1),CHOOSE(Calc!$C$3,INDEX('Snowball Engine'!$AH366:$AV366,Calc!$I$15),INDEX('Avalanche Engine'!$AH366:$AV366,Calc!$J$15),INDEX('My Order Engine'!$AH366:$AV366,Calc!$K$15)),"")</f>
        <v/>
      </c>
      <c r="M364" s="25" t="str">
        <f>IF(AND($A364&lt;=IF(Calc!$C$36=999,360,Calc!$C$36),Calc!$C$16=1),CHOOSE(Calc!$C$3,INDEX('Snowball Engine'!$AH366:$AV366,Calc!$I$16),INDEX('Avalanche Engine'!$AH366:$AV366,Calc!$J$16),INDEX('My Order Engine'!$AH366:$AV366,Calc!$K$16)),"")</f>
        <v/>
      </c>
      <c r="N364" s="25" t="str">
        <f>IF(AND($A364&lt;=IF(Calc!$C$36=999,360,Calc!$C$36),Calc!$C$17=1),CHOOSE(Calc!$C$3,INDEX('Snowball Engine'!$AH366:$AV366,Calc!$I$17),INDEX('Avalanche Engine'!$AH366:$AV366,Calc!$J$17),INDEX('My Order Engine'!$AH366:$AV366,Calc!$K$17)),"")</f>
        <v/>
      </c>
      <c r="O364" s="25" t="str">
        <f>IF(AND($A364&lt;=IF(Calc!$C$36=999,360,Calc!$C$36),Calc!$C$18=1),CHOOSE(Calc!$C$3,INDEX('Snowball Engine'!$AH366:$AV366,Calc!$I$18),INDEX('Avalanche Engine'!$AH366:$AV366,Calc!$J$18),INDEX('My Order Engine'!$AH366:$AV366,Calc!$K$18)),"")</f>
        <v/>
      </c>
      <c r="P364" s="25" t="str">
        <f>IF(AND($A364&lt;=IF(Calc!$C$36=999,360,Calc!$C$36),Calc!$C$19=1),CHOOSE(Calc!$C$3,INDEX('Snowball Engine'!$AH366:$AV366,Calc!$I$19),INDEX('Avalanche Engine'!$AH366:$AV366,Calc!$J$19),INDEX('My Order Engine'!$AH366:$AV366,Calc!$K$19)),"")</f>
        <v/>
      </c>
      <c r="Q364" s="25" t="str">
        <f>IF(AND($A364&lt;=IF(Calc!$C$36=999,360,Calc!$C$36),Calc!$C$20=1),CHOOSE(Calc!$C$3,INDEX('Snowball Engine'!$AH366:$AV366,Calc!$I$20),INDEX('Avalanche Engine'!$AH366:$AV366,Calc!$J$20),INDEX('My Order Engine'!$AH366:$AV366,Calc!$K$20)),"")</f>
        <v/>
      </c>
      <c r="R364" s="25" t="str">
        <f>IF(AND($A364&lt;=IF(Calc!$C$36=999,360,Calc!$C$36),Calc!$C$21=1),CHOOSE(Calc!$C$3,INDEX('Snowball Engine'!$AH366:$AV366,Calc!$I$21),INDEX('Avalanche Engine'!$AH366:$AV366,Calc!$J$21),INDEX('My Order Engine'!$AH366:$AV366,Calc!$K$21)),"")</f>
        <v/>
      </c>
      <c r="S364" s="25" t="str">
        <f>IF(AND($A364&lt;=IF(Calc!$C$36=999,360,Calc!$C$36),Calc!$C$22=1),CHOOSE(Calc!$C$3,INDEX('Snowball Engine'!$AH366:$AV366,Calc!$I$22),INDEX('Avalanche Engine'!$AH366:$AV366,Calc!$J$22),INDEX('My Order Engine'!$AH366:$AV366,Calc!$K$22)),"")</f>
        <v/>
      </c>
      <c r="T364" s="25" t="str">
        <f>IF(AND($A364&lt;=IF(Calc!$C$36=999,360,Calc!$C$36),Calc!$C$23=1),CHOOSE(Calc!$C$3,INDEX('Snowball Engine'!$AH366:$AV366,Calc!$I$23),INDEX('Avalanche Engine'!$AH366:$AV366,Calc!$J$23),INDEX('My Order Engine'!$AH366:$AV366,Calc!$K$23)),"")</f>
        <v/>
      </c>
      <c r="U364" s="25" t="str">
        <f>IF(AND($A364&lt;=IF(Calc!$C$36=999,360,Calc!$C$36),Calc!$C$24=1),CHOOSE(Calc!$C$3,INDEX('Snowball Engine'!$AH366:$AV366,Calc!$I$24),INDEX('Avalanche Engine'!$AH366:$AV366,Calc!$J$24),INDEX('My Order Engine'!$AH366:$AV366,Calc!$K$24)),"")</f>
        <v/>
      </c>
    </row>
  </sheetData>
  <conditionalFormatting sqref="G5:U364">
    <cfRule type="expression" dxfId="0" priority="1">
      <formula>AND(ISNUMBER(G5),G5&lt;0.005,A5&gt;1)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A3B4F"/>
  </sheetPr>
  <dimension ref="A1:B10"/>
  <sheetViews>
    <sheetView workbookViewId="0"/>
  </sheetViews>
  <sheetFormatPr defaultRowHeight="14.5" x14ac:dyDescent="0.35"/>
  <sheetData>
    <row r="1" spans="1:2" x14ac:dyDescent="0.35">
      <c r="A1" t="s">
        <v>117</v>
      </c>
      <c r="B1" t="s">
        <v>118</v>
      </c>
    </row>
    <row r="2" spans="1:2" x14ac:dyDescent="0.35">
      <c r="A2" t="s">
        <v>26</v>
      </c>
      <c r="B2" t="s">
        <v>101</v>
      </c>
    </row>
    <row r="3" spans="1:2" x14ac:dyDescent="0.35">
      <c r="A3" t="s">
        <v>119</v>
      </c>
      <c r="B3" t="s">
        <v>103</v>
      </c>
    </row>
    <row r="4" spans="1:2" x14ac:dyDescent="0.35">
      <c r="A4" t="s">
        <v>120</v>
      </c>
      <c r="B4" t="s">
        <v>105</v>
      </c>
    </row>
    <row r="5" spans="1:2" x14ac:dyDescent="0.35">
      <c r="B5" t="s">
        <v>121</v>
      </c>
    </row>
    <row r="6" spans="1:2" x14ac:dyDescent="0.35">
      <c r="B6" t="s">
        <v>122</v>
      </c>
    </row>
    <row r="7" spans="1:2" x14ac:dyDescent="0.35">
      <c r="B7" t="s">
        <v>107</v>
      </c>
    </row>
    <row r="8" spans="1:2" x14ac:dyDescent="0.35">
      <c r="B8" t="s">
        <v>123</v>
      </c>
    </row>
    <row r="9" spans="1:2" x14ac:dyDescent="0.35">
      <c r="B9" t="s">
        <v>124</v>
      </c>
    </row>
    <row r="10" spans="1:2" x14ac:dyDescent="0.35">
      <c r="B10" t="s">
        <v>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A3B4F"/>
  </sheetPr>
  <dimension ref="B3:O46"/>
  <sheetViews>
    <sheetView workbookViewId="0"/>
  </sheetViews>
  <sheetFormatPr defaultRowHeight="14.5" x14ac:dyDescent="0.35"/>
  <sheetData>
    <row r="3" spans="2:15" x14ac:dyDescent="0.35">
      <c r="B3" t="s">
        <v>126</v>
      </c>
      <c r="C3">
        <f>MAX(1,IFERROR(MATCH(Dashboard!$C$4,Lists!$A$2:$A$4,0),1))</f>
        <v>1</v>
      </c>
      <c r="N3" t="s">
        <v>127</v>
      </c>
      <c r="O3">
        <f>SUMPRODUCT(((Debts!$A$7:$A$21&lt;&gt;"")+(Debts!$B$7:$B$21&lt;&gt;"")+(Debts!$C$7:$C$21&lt;&gt;"")+(Debts!$D$7:$D$21&lt;&gt;"")+(Debts!$E$7:$E$21&lt;&gt;"")+(Debts!$F$7:$F$21&lt;&gt;"")&gt;0)*1)-C8</f>
        <v>0</v>
      </c>
    </row>
    <row r="4" spans="2:15" x14ac:dyDescent="0.35">
      <c r="B4" t="s">
        <v>128</v>
      </c>
      <c r="C4">
        <f>IF(AND(ISNUMBER(Dashboard!$C$3),N(Dashboard!$C$3)&gt;=0),Dashboard!$C$3,0)</f>
        <v>200</v>
      </c>
    </row>
    <row r="5" spans="2:15" x14ac:dyDescent="0.35">
      <c r="B5" t="s">
        <v>129</v>
      </c>
      <c r="C5">
        <f ca="1">IF(AND(ISNUMBER(Dashboard!$C$5),N(Dashboard!$C$5)&gt;1),DATE(YEAR(Dashboard!$C$5),MONTH(Dashboard!$C$5),1),DATE(YEAR(TODAY()),MONTH(TODAY()),1))</f>
        <v>46296</v>
      </c>
    </row>
    <row r="6" spans="2:15" x14ac:dyDescent="0.35">
      <c r="B6" t="s">
        <v>130</v>
      </c>
      <c r="C6">
        <f>SUMPRODUCT(C10:C24,F10:F24)</f>
        <v>550</v>
      </c>
    </row>
    <row r="7" spans="2:15" x14ac:dyDescent="0.35">
      <c r="B7" t="s">
        <v>131</v>
      </c>
      <c r="C7">
        <f>C6+C4</f>
        <v>750</v>
      </c>
    </row>
    <row r="8" spans="2:15" x14ac:dyDescent="0.35">
      <c r="B8" t="s">
        <v>132</v>
      </c>
      <c r="C8">
        <f>SUM(C10:C24)</f>
        <v>4</v>
      </c>
    </row>
    <row r="9" spans="2:15" x14ac:dyDescent="0.35">
      <c r="B9" t="s">
        <v>133</v>
      </c>
      <c r="C9">
        <f>SUMPRODUCT(C10:C24,D10:D24)</f>
        <v>18100</v>
      </c>
      <c r="D9" t="s">
        <v>134</v>
      </c>
    </row>
    <row r="10" spans="2:15" x14ac:dyDescent="0.35">
      <c r="B10" t="str">
        <f>IF(C10=1,Debts!A7,"")</f>
        <v>EXAMPLE: Visa card</v>
      </c>
      <c r="C10">
        <f>IF(AND(Debts!A7&lt;&gt;"",ISNUMBER(Debts!C7),ISNUMBER(Debts!D7),ISNUMBER(Debts!E7),OR(Debts!F7="",ISNUMBER(Debts!F7))),IF(AND(Debts!C7&gt;0,Debts!D7&gt;=0,Debts!D7&lt;=100,Debts!E7&gt;0),1,0),0)</f>
        <v>1</v>
      </c>
      <c r="D10">
        <f>IF(C10=1,ROUND(Debts!C7,2),0)</f>
        <v>4850</v>
      </c>
      <c r="E10">
        <f>IF(C10=1,Debts!D7,0)</f>
        <v>24.99</v>
      </c>
      <c r="F10">
        <f>IF(C10=1,Debts!E7,0)</f>
        <v>145</v>
      </c>
      <c r="G10">
        <f>IF(C10=1,IF(ISNUMBER(Debts!F7),Debts!F7,1000000000),0)</f>
        <v>1000000000</v>
      </c>
      <c r="H10">
        <v>1</v>
      </c>
      <c r="I10">
        <f t="shared" ref="I10:I24" si="0">IF(C10=1,SUMPRODUCT($C$10:$C$24*(($D$10:$D$24&lt;D10)+($D$10:$D$24=D10)*($E$10:$E$24&gt;E10)+($D$10:$D$24=D10)*($E$10:$E$24=E10)*($H$10:$H$24&lt;H10)))+1,0)</f>
        <v>3</v>
      </c>
      <c r="J10">
        <f t="shared" ref="J10:J24" si="1">IF(C10=1,SUMPRODUCT($C$10:$C$24*(($E$10:$E$24&gt;E10)+($E$10:$E$24=E10)*($D$10:$D$24&lt;D10)+($E$10:$E$24=E10)*($D$10:$D$24=D10)*($H$10:$H$24&lt;H10)))+1,0)</f>
        <v>2</v>
      </c>
      <c r="K10">
        <f t="shared" ref="K10:K24" si="2">IF(C10=1,SUMPRODUCT($C$10:$C$24*(($G$10:$G$24&lt;G10)+($G$10:$G$24=G10)*($H$10:$H$24&lt;H10)))+1,0)</f>
        <v>1</v>
      </c>
      <c r="L10">
        <f t="shared" ref="L10:L24" si="3">IF(C10=1,CHOOSE($C$3,I10,J10,K10),0)</f>
        <v>3</v>
      </c>
    </row>
    <row r="11" spans="2:15" x14ac:dyDescent="0.35">
      <c r="B11" t="str">
        <f>IF(C11=1,Debts!A8,"")</f>
        <v>EXAMPLE: Store card</v>
      </c>
      <c r="C11">
        <f>IF(AND(Debts!A8&lt;&gt;"",ISNUMBER(Debts!C8),ISNUMBER(Debts!D8),ISNUMBER(Debts!E8),OR(Debts!F8="",ISNUMBER(Debts!F8))),IF(AND(Debts!C8&gt;0,Debts!D8&gt;=0,Debts!D8&lt;=100,Debts!E8&gt;0),1,0),0)</f>
        <v>1</v>
      </c>
      <c r="D11">
        <f>IF(C11=1,ROUND(Debts!C8,2),0)</f>
        <v>1200</v>
      </c>
      <c r="E11">
        <f>IF(C11=1,Debts!D8,0)</f>
        <v>28.99</v>
      </c>
      <c r="F11">
        <f>IF(C11=1,Debts!E8,0)</f>
        <v>40</v>
      </c>
      <c r="G11">
        <f>IF(C11=1,IF(ISNUMBER(Debts!F8),Debts!F8,1000000000),0)</f>
        <v>1000000000</v>
      </c>
      <c r="H11">
        <v>2</v>
      </c>
      <c r="I11">
        <f t="shared" si="0"/>
        <v>2</v>
      </c>
      <c r="J11">
        <f t="shared" si="1"/>
        <v>1</v>
      </c>
      <c r="K11">
        <f t="shared" si="2"/>
        <v>2</v>
      </c>
      <c r="L11">
        <f t="shared" si="3"/>
        <v>2</v>
      </c>
    </row>
    <row r="12" spans="2:15" x14ac:dyDescent="0.35">
      <c r="B12" t="str">
        <f>IF(C12=1,Debts!A9,"")</f>
        <v>EXAMPLE: Car loan</v>
      </c>
      <c r="C12">
        <f>IF(AND(Debts!A9&lt;&gt;"",ISNUMBER(Debts!C9),ISNUMBER(Debts!D9),ISNUMBER(Debts!E9),OR(Debts!F9="",ISNUMBER(Debts!F9))),IF(AND(Debts!C9&gt;0,Debts!D9&gt;=0,Debts!D9&lt;=100,Debts!E9&gt;0),1,0),0)</f>
        <v>1</v>
      </c>
      <c r="D12">
        <f>IF(C12=1,ROUND(Debts!C9,2),0)</f>
        <v>11400</v>
      </c>
      <c r="E12">
        <f>IF(C12=1,Debts!D9,0)</f>
        <v>7.5</v>
      </c>
      <c r="F12">
        <f>IF(C12=1,Debts!E9,0)</f>
        <v>315</v>
      </c>
      <c r="G12">
        <f>IF(C12=1,IF(ISNUMBER(Debts!F9),Debts!F9,1000000000),0)</f>
        <v>1000000000</v>
      </c>
      <c r="H12">
        <v>3</v>
      </c>
      <c r="I12">
        <f t="shared" si="0"/>
        <v>4</v>
      </c>
      <c r="J12">
        <f t="shared" si="1"/>
        <v>3</v>
      </c>
      <c r="K12">
        <f t="shared" si="2"/>
        <v>3</v>
      </c>
      <c r="L12">
        <f t="shared" si="3"/>
        <v>4</v>
      </c>
    </row>
    <row r="13" spans="2:15" x14ac:dyDescent="0.35">
      <c r="B13" t="str">
        <f>IF(C13=1,Debts!A10,"")</f>
        <v>EXAMPLE: Medical bill</v>
      </c>
      <c r="C13">
        <f>IF(AND(Debts!A10&lt;&gt;"",ISNUMBER(Debts!C10),ISNUMBER(Debts!D10),ISNUMBER(Debts!E10),OR(Debts!F10="",ISNUMBER(Debts!F10))),IF(AND(Debts!C10&gt;0,Debts!D10&gt;=0,Debts!D10&lt;=100,Debts!E10&gt;0),1,0),0)</f>
        <v>1</v>
      </c>
      <c r="D13">
        <f>IF(C13=1,ROUND(Debts!C10,2),0)</f>
        <v>650</v>
      </c>
      <c r="E13">
        <f>IF(C13=1,Debts!D10,0)</f>
        <v>0</v>
      </c>
      <c r="F13">
        <f>IF(C13=1,Debts!E10,0)</f>
        <v>50</v>
      </c>
      <c r="G13">
        <f>IF(C13=1,IF(ISNUMBER(Debts!F10),Debts!F10,1000000000),0)</f>
        <v>1000000000</v>
      </c>
      <c r="H13">
        <v>4</v>
      </c>
      <c r="I13">
        <f t="shared" si="0"/>
        <v>1</v>
      </c>
      <c r="J13">
        <f t="shared" si="1"/>
        <v>4</v>
      </c>
      <c r="K13">
        <f t="shared" si="2"/>
        <v>4</v>
      </c>
      <c r="L13">
        <f t="shared" si="3"/>
        <v>1</v>
      </c>
    </row>
    <row r="14" spans="2:15" x14ac:dyDescent="0.35">
      <c r="B14" t="str">
        <f>IF(C14=1,Debts!A11,"")</f>
        <v/>
      </c>
      <c r="C14">
        <f>IF(AND(Debts!A11&lt;&gt;"",ISNUMBER(Debts!C11),ISNUMBER(Debts!D11),ISNUMBER(Debts!E11),OR(Debts!F11="",ISNUMBER(Debts!F11))),IF(AND(Debts!C11&gt;0,Debts!D11&gt;=0,Debts!D11&lt;=100,Debts!E11&gt;0),1,0),0)</f>
        <v>0</v>
      </c>
      <c r="D14">
        <f>IF(C14=1,ROUND(Debts!C11,2),0)</f>
        <v>0</v>
      </c>
      <c r="E14">
        <f>IF(C14=1,Debts!D11,0)</f>
        <v>0</v>
      </c>
      <c r="F14">
        <f>IF(C14=1,Debts!E11,0)</f>
        <v>0</v>
      </c>
      <c r="G14">
        <f>IF(C14=1,IF(ISNUMBER(Debts!F11),Debts!F11,1000000000),0)</f>
        <v>0</v>
      </c>
      <c r="H14">
        <v>5</v>
      </c>
      <c r="I14">
        <f t="shared" si="0"/>
        <v>0</v>
      </c>
      <c r="J14">
        <f t="shared" si="1"/>
        <v>0</v>
      </c>
      <c r="K14">
        <f t="shared" si="2"/>
        <v>0</v>
      </c>
      <c r="L14">
        <f t="shared" si="3"/>
        <v>0</v>
      </c>
    </row>
    <row r="15" spans="2:15" x14ac:dyDescent="0.35">
      <c r="B15" t="str">
        <f>IF(C15=1,Debts!A12,"")</f>
        <v/>
      </c>
      <c r="C15">
        <f>IF(AND(Debts!A12&lt;&gt;"",ISNUMBER(Debts!C12),ISNUMBER(Debts!D12),ISNUMBER(Debts!E12),OR(Debts!F12="",ISNUMBER(Debts!F12))),IF(AND(Debts!C12&gt;0,Debts!D12&gt;=0,Debts!D12&lt;=100,Debts!E12&gt;0),1,0),0)</f>
        <v>0</v>
      </c>
      <c r="D15">
        <f>IF(C15=1,ROUND(Debts!C12,2),0)</f>
        <v>0</v>
      </c>
      <c r="E15">
        <f>IF(C15=1,Debts!D12,0)</f>
        <v>0</v>
      </c>
      <c r="F15">
        <f>IF(C15=1,Debts!E12,0)</f>
        <v>0</v>
      </c>
      <c r="G15">
        <f>IF(C15=1,IF(ISNUMBER(Debts!F12),Debts!F12,1000000000),0)</f>
        <v>0</v>
      </c>
      <c r="H15">
        <v>6</v>
      </c>
      <c r="I15">
        <f t="shared" si="0"/>
        <v>0</v>
      </c>
      <c r="J15">
        <f t="shared" si="1"/>
        <v>0</v>
      </c>
      <c r="K15">
        <f t="shared" si="2"/>
        <v>0</v>
      </c>
      <c r="L15">
        <f t="shared" si="3"/>
        <v>0</v>
      </c>
    </row>
    <row r="16" spans="2:15" x14ac:dyDescent="0.35">
      <c r="B16" t="str">
        <f>IF(C16=1,Debts!A13,"")</f>
        <v/>
      </c>
      <c r="C16">
        <f>IF(AND(Debts!A13&lt;&gt;"",ISNUMBER(Debts!C13),ISNUMBER(Debts!D13),ISNUMBER(Debts!E13),OR(Debts!F13="",ISNUMBER(Debts!F13))),IF(AND(Debts!C13&gt;0,Debts!D13&gt;=0,Debts!D13&lt;=100,Debts!E13&gt;0),1,0),0)</f>
        <v>0</v>
      </c>
      <c r="D16">
        <f>IF(C16=1,ROUND(Debts!C13,2),0)</f>
        <v>0</v>
      </c>
      <c r="E16">
        <f>IF(C16=1,Debts!D13,0)</f>
        <v>0</v>
      </c>
      <c r="F16">
        <f>IF(C16=1,Debts!E13,0)</f>
        <v>0</v>
      </c>
      <c r="G16">
        <f>IF(C16=1,IF(ISNUMBER(Debts!F13),Debts!F13,1000000000),0)</f>
        <v>0</v>
      </c>
      <c r="H16">
        <v>7</v>
      </c>
      <c r="I16">
        <f t="shared" si="0"/>
        <v>0</v>
      </c>
      <c r="J16">
        <f t="shared" si="1"/>
        <v>0</v>
      </c>
      <c r="K16">
        <f t="shared" si="2"/>
        <v>0</v>
      </c>
      <c r="L16">
        <f t="shared" si="3"/>
        <v>0</v>
      </c>
    </row>
    <row r="17" spans="2:12" x14ac:dyDescent="0.35">
      <c r="B17" t="str">
        <f>IF(C17=1,Debts!A14,"")</f>
        <v/>
      </c>
      <c r="C17">
        <f>IF(AND(Debts!A14&lt;&gt;"",ISNUMBER(Debts!C14),ISNUMBER(Debts!D14),ISNUMBER(Debts!E14),OR(Debts!F14="",ISNUMBER(Debts!F14))),IF(AND(Debts!C14&gt;0,Debts!D14&gt;=0,Debts!D14&lt;=100,Debts!E14&gt;0),1,0),0)</f>
        <v>0</v>
      </c>
      <c r="D17">
        <f>IF(C17=1,ROUND(Debts!C14,2),0)</f>
        <v>0</v>
      </c>
      <c r="E17">
        <f>IF(C17=1,Debts!D14,0)</f>
        <v>0</v>
      </c>
      <c r="F17">
        <f>IF(C17=1,Debts!E14,0)</f>
        <v>0</v>
      </c>
      <c r="G17">
        <f>IF(C17=1,IF(ISNUMBER(Debts!F14),Debts!F14,1000000000),0)</f>
        <v>0</v>
      </c>
      <c r="H17">
        <v>8</v>
      </c>
      <c r="I17">
        <f t="shared" si="0"/>
        <v>0</v>
      </c>
      <c r="J17">
        <f t="shared" si="1"/>
        <v>0</v>
      </c>
      <c r="K17">
        <f t="shared" si="2"/>
        <v>0</v>
      </c>
      <c r="L17">
        <f t="shared" si="3"/>
        <v>0</v>
      </c>
    </row>
    <row r="18" spans="2:12" x14ac:dyDescent="0.35">
      <c r="B18" t="str">
        <f>IF(C18=1,Debts!A15,"")</f>
        <v/>
      </c>
      <c r="C18">
        <f>IF(AND(Debts!A15&lt;&gt;"",ISNUMBER(Debts!C15),ISNUMBER(Debts!D15),ISNUMBER(Debts!E15),OR(Debts!F15="",ISNUMBER(Debts!F15))),IF(AND(Debts!C15&gt;0,Debts!D15&gt;=0,Debts!D15&lt;=100,Debts!E15&gt;0),1,0),0)</f>
        <v>0</v>
      </c>
      <c r="D18">
        <f>IF(C18=1,ROUND(Debts!C15,2),0)</f>
        <v>0</v>
      </c>
      <c r="E18">
        <f>IF(C18=1,Debts!D15,0)</f>
        <v>0</v>
      </c>
      <c r="F18">
        <f>IF(C18=1,Debts!E15,0)</f>
        <v>0</v>
      </c>
      <c r="G18">
        <f>IF(C18=1,IF(ISNUMBER(Debts!F15),Debts!F15,1000000000),0)</f>
        <v>0</v>
      </c>
      <c r="H18">
        <v>9</v>
      </c>
      <c r="I18">
        <f t="shared" si="0"/>
        <v>0</v>
      </c>
      <c r="J18">
        <f t="shared" si="1"/>
        <v>0</v>
      </c>
      <c r="K18">
        <f t="shared" si="2"/>
        <v>0</v>
      </c>
      <c r="L18">
        <f t="shared" si="3"/>
        <v>0</v>
      </c>
    </row>
    <row r="19" spans="2:12" x14ac:dyDescent="0.35">
      <c r="B19" t="str">
        <f>IF(C19=1,Debts!A16,"")</f>
        <v/>
      </c>
      <c r="C19">
        <f>IF(AND(Debts!A16&lt;&gt;"",ISNUMBER(Debts!C16),ISNUMBER(Debts!D16),ISNUMBER(Debts!E16),OR(Debts!F16="",ISNUMBER(Debts!F16))),IF(AND(Debts!C16&gt;0,Debts!D16&gt;=0,Debts!D16&lt;=100,Debts!E16&gt;0),1,0),0)</f>
        <v>0</v>
      </c>
      <c r="D19">
        <f>IF(C19=1,ROUND(Debts!C16,2),0)</f>
        <v>0</v>
      </c>
      <c r="E19">
        <f>IF(C19=1,Debts!D16,0)</f>
        <v>0</v>
      </c>
      <c r="F19">
        <f>IF(C19=1,Debts!E16,0)</f>
        <v>0</v>
      </c>
      <c r="G19">
        <f>IF(C19=1,IF(ISNUMBER(Debts!F16),Debts!F16,1000000000),0)</f>
        <v>0</v>
      </c>
      <c r="H19">
        <v>10</v>
      </c>
      <c r="I19">
        <f t="shared" si="0"/>
        <v>0</v>
      </c>
      <c r="J19">
        <f t="shared" si="1"/>
        <v>0</v>
      </c>
      <c r="K19">
        <f t="shared" si="2"/>
        <v>0</v>
      </c>
      <c r="L19">
        <f t="shared" si="3"/>
        <v>0</v>
      </c>
    </row>
    <row r="20" spans="2:12" x14ac:dyDescent="0.35">
      <c r="B20" t="str">
        <f>IF(C20=1,Debts!A17,"")</f>
        <v/>
      </c>
      <c r="C20">
        <f>IF(AND(Debts!A17&lt;&gt;"",ISNUMBER(Debts!C17),ISNUMBER(Debts!D17),ISNUMBER(Debts!E17),OR(Debts!F17="",ISNUMBER(Debts!F17))),IF(AND(Debts!C17&gt;0,Debts!D17&gt;=0,Debts!D17&lt;=100,Debts!E17&gt;0),1,0),0)</f>
        <v>0</v>
      </c>
      <c r="D20">
        <f>IF(C20=1,ROUND(Debts!C17,2),0)</f>
        <v>0</v>
      </c>
      <c r="E20">
        <f>IF(C20=1,Debts!D17,0)</f>
        <v>0</v>
      </c>
      <c r="F20">
        <f>IF(C20=1,Debts!E17,0)</f>
        <v>0</v>
      </c>
      <c r="G20">
        <f>IF(C20=1,IF(ISNUMBER(Debts!F17),Debts!F17,1000000000),0)</f>
        <v>0</v>
      </c>
      <c r="H20">
        <v>11</v>
      </c>
      <c r="I20">
        <f t="shared" si="0"/>
        <v>0</v>
      </c>
      <c r="J20">
        <f t="shared" si="1"/>
        <v>0</v>
      </c>
      <c r="K20">
        <f t="shared" si="2"/>
        <v>0</v>
      </c>
      <c r="L20">
        <f t="shared" si="3"/>
        <v>0</v>
      </c>
    </row>
    <row r="21" spans="2:12" x14ac:dyDescent="0.35">
      <c r="B21" t="str">
        <f>IF(C21=1,Debts!A18,"")</f>
        <v/>
      </c>
      <c r="C21">
        <f>IF(AND(Debts!A18&lt;&gt;"",ISNUMBER(Debts!C18),ISNUMBER(Debts!D18),ISNUMBER(Debts!E18),OR(Debts!F18="",ISNUMBER(Debts!F18))),IF(AND(Debts!C18&gt;0,Debts!D18&gt;=0,Debts!D18&lt;=100,Debts!E18&gt;0),1,0),0)</f>
        <v>0</v>
      </c>
      <c r="D21">
        <f>IF(C21=1,ROUND(Debts!C18,2),0)</f>
        <v>0</v>
      </c>
      <c r="E21">
        <f>IF(C21=1,Debts!D18,0)</f>
        <v>0</v>
      </c>
      <c r="F21">
        <f>IF(C21=1,Debts!E18,0)</f>
        <v>0</v>
      </c>
      <c r="G21">
        <f>IF(C21=1,IF(ISNUMBER(Debts!F18),Debts!F18,1000000000),0)</f>
        <v>0</v>
      </c>
      <c r="H21">
        <v>12</v>
      </c>
      <c r="I21">
        <f t="shared" si="0"/>
        <v>0</v>
      </c>
      <c r="J21">
        <f t="shared" si="1"/>
        <v>0</v>
      </c>
      <c r="K21">
        <f t="shared" si="2"/>
        <v>0</v>
      </c>
      <c r="L21">
        <f t="shared" si="3"/>
        <v>0</v>
      </c>
    </row>
    <row r="22" spans="2:12" x14ac:dyDescent="0.35">
      <c r="B22" t="str">
        <f>IF(C22=1,Debts!A19,"")</f>
        <v/>
      </c>
      <c r="C22">
        <f>IF(AND(Debts!A19&lt;&gt;"",ISNUMBER(Debts!C19),ISNUMBER(Debts!D19),ISNUMBER(Debts!E19),OR(Debts!F19="",ISNUMBER(Debts!F19))),IF(AND(Debts!C19&gt;0,Debts!D19&gt;=0,Debts!D19&lt;=100,Debts!E19&gt;0),1,0),0)</f>
        <v>0</v>
      </c>
      <c r="D22">
        <f>IF(C22=1,ROUND(Debts!C19,2),0)</f>
        <v>0</v>
      </c>
      <c r="E22">
        <f>IF(C22=1,Debts!D19,0)</f>
        <v>0</v>
      </c>
      <c r="F22">
        <f>IF(C22=1,Debts!E19,0)</f>
        <v>0</v>
      </c>
      <c r="G22">
        <f>IF(C22=1,IF(ISNUMBER(Debts!F19),Debts!F19,1000000000),0)</f>
        <v>0</v>
      </c>
      <c r="H22">
        <v>13</v>
      </c>
      <c r="I22">
        <f t="shared" si="0"/>
        <v>0</v>
      </c>
      <c r="J22">
        <f t="shared" si="1"/>
        <v>0</v>
      </c>
      <c r="K22">
        <f t="shared" si="2"/>
        <v>0</v>
      </c>
      <c r="L22">
        <f t="shared" si="3"/>
        <v>0</v>
      </c>
    </row>
    <row r="23" spans="2:12" x14ac:dyDescent="0.35">
      <c r="B23" t="str">
        <f>IF(C23=1,Debts!A20,"")</f>
        <v/>
      </c>
      <c r="C23">
        <f>IF(AND(Debts!A20&lt;&gt;"",ISNUMBER(Debts!C20),ISNUMBER(Debts!D20),ISNUMBER(Debts!E20),OR(Debts!F20="",ISNUMBER(Debts!F20))),IF(AND(Debts!C20&gt;0,Debts!D20&gt;=0,Debts!D20&lt;=100,Debts!E20&gt;0),1,0),0)</f>
        <v>0</v>
      </c>
      <c r="D23">
        <f>IF(C23=1,ROUND(Debts!C20,2),0)</f>
        <v>0</v>
      </c>
      <c r="E23">
        <f>IF(C23=1,Debts!D20,0)</f>
        <v>0</v>
      </c>
      <c r="F23">
        <f>IF(C23=1,Debts!E20,0)</f>
        <v>0</v>
      </c>
      <c r="G23">
        <f>IF(C23=1,IF(ISNUMBER(Debts!F20),Debts!F20,1000000000),0)</f>
        <v>0</v>
      </c>
      <c r="H23">
        <v>14</v>
      </c>
      <c r="I23">
        <f t="shared" si="0"/>
        <v>0</v>
      </c>
      <c r="J23">
        <f t="shared" si="1"/>
        <v>0</v>
      </c>
      <c r="K23">
        <f t="shared" si="2"/>
        <v>0</v>
      </c>
      <c r="L23">
        <f t="shared" si="3"/>
        <v>0</v>
      </c>
    </row>
    <row r="24" spans="2:12" x14ac:dyDescent="0.35">
      <c r="B24" t="str">
        <f>IF(C24=1,Debts!A21,"")</f>
        <v/>
      </c>
      <c r="C24">
        <f>IF(AND(Debts!A21&lt;&gt;"",ISNUMBER(Debts!C21),ISNUMBER(Debts!D21),ISNUMBER(Debts!E21),OR(Debts!F21="",ISNUMBER(Debts!F21))),IF(AND(Debts!C21&gt;0,Debts!D21&gt;=0,Debts!D21&lt;=100,Debts!E21&gt;0),1,0),0)</f>
        <v>0</v>
      </c>
      <c r="D24">
        <f>IF(C24=1,ROUND(Debts!C21,2),0)</f>
        <v>0</v>
      </c>
      <c r="E24">
        <f>IF(C24=1,Debts!D21,0)</f>
        <v>0</v>
      </c>
      <c r="F24">
        <f>IF(C24=1,Debts!E21,0)</f>
        <v>0</v>
      </c>
      <c r="G24">
        <f>IF(C24=1,IF(ISNUMBER(Debts!F21),Debts!F21,1000000000),0)</f>
        <v>0</v>
      </c>
      <c r="H24">
        <v>15</v>
      </c>
      <c r="I24">
        <f t="shared" si="0"/>
        <v>0</v>
      </c>
      <c r="J24">
        <f t="shared" si="1"/>
        <v>0</v>
      </c>
      <c r="K24">
        <f t="shared" si="2"/>
        <v>0</v>
      </c>
      <c r="L24">
        <f t="shared" si="3"/>
        <v>0</v>
      </c>
    </row>
    <row r="29" spans="2:12" x14ac:dyDescent="0.35">
      <c r="B29" t="s">
        <v>49</v>
      </c>
      <c r="C29" t="s">
        <v>51</v>
      </c>
      <c r="D29" t="s">
        <v>52</v>
      </c>
      <c r="E29" t="s">
        <v>135</v>
      </c>
      <c r="F29" t="s">
        <v>136</v>
      </c>
    </row>
    <row r="30" spans="2:12" x14ac:dyDescent="0.35">
      <c r="B30" t="s">
        <v>29</v>
      </c>
      <c r="C30">
        <f>IF($C$8=0,0,IF('Minimums Engine'!$AW$366&gt;0.005,999,COUNTIF('Minimums Engine'!$AW$7:$AW$366,"&gt;0.005")+1))</f>
        <v>58</v>
      </c>
      <c r="D30">
        <f>SUM('Minimums Engine'!$AX$7:$AX$366)</f>
        <v>6066.0800000000017</v>
      </c>
      <c r="E30">
        <f>SUM('Minimums Engine'!$AY$7:$AY$366)</f>
        <v>24166.079999999998</v>
      </c>
      <c r="F30" t="str">
        <f ca="1">IF(C30=0,"No debts yet",IF(C30=999,"Not within 30 years",TEXT(EDATE($C$5,C30-1),"mmm yyyy")))</f>
        <v>Jul 2031</v>
      </c>
    </row>
    <row r="31" spans="2:12" x14ac:dyDescent="0.35">
      <c r="B31" t="s">
        <v>137</v>
      </c>
      <c r="C31">
        <f>IF($C$8=0,0,IF('Snowball Engine'!$AW$366&gt;0.005,999,COUNTIF('Snowball Engine'!$AW$7:$AW$366,"&gt;0.005")+1))</f>
        <v>28</v>
      </c>
      <c r="D31">
        <f>SUM('Snowball Engine'!$AX$7:$AX$366)</f>
        <v>2737.6400000000003</v>
      </c>
      <c r="E31">
        <f>SUM('Snowball Engine'!$AY$7:$AY$366)</f>
        <v>20837.64</v>
      </c>
      <c r="F31" t="str">
        <f ca="1">IF(C31=0,"No debts yet",IF(C31=999,"Not within 30 years",TEXT(EDATE($C$5,C31-1),"mmm yyyy")))</f>
        <v>Jan 2029</v>
      </c>
    </row>
    <row r="32" spans="2:12" x14ac:dyDescent="0.35">
      <c r="B32" t="s">
        <v>138</v>
      </c>
      <c r="C32">
        <f>IF($C$8=0,0,IF('Avalanche Engine'!$AW$366&gt;0.005,999,COUNTIF('Avalanche Engine'!$AW$7:$AW$366,"&gt;0.005")+1))</f>
        <v>28</v>
      </c>
      <c r="D32">
        <f>SUM('Avalanche Engine'!$AX$7:$AX$366)</f>
        <v>2630.62</v>
      </c>
      <c r="E32">
        <f>SUM('Avalanche Engine'!$AY$7:$AY$366)</f>
        <v>20730.62</v>
      </c>
      <c r="F32" t="str">
        <f ca="1">IF(C32=0,"No debts yet",IF(C32=999,"Not within 30 years",TEXT(EDATE($C$5,C32-1),"mmm yyyy")))</f>
        <v>Jan 2029</v>
      </c>
    </row>
    <row r="33" spans="2:6" x14ac:dyDescent="0.35">
      <c r="B33" t="s">
        <v>139</v>
      </c>
      <c r="C33">
        <f>IF($C$8=0,0,IF('My Order Engine'!$AW$366&gt;0.005,999,COUNTIF('My Order Engine'!$AW$7:$AW$366,"&gt;0.005")+1))</f>
        <v>28</v>
      </c>
      <c r="D33">
        <f>SUM('My Order Engine'!$AX$7:$AX$366)</f>
        <v>2696.56</v>
      </c>
      <c r="E33">
        <f>SUM('My Order Engine'!$AY$7:$AY$366)</f>
        <v>20796.560000000001</v>
      </c>
      <c r="F33" t="str">
        <f ca="1">IF(C33=0,"No debts yet",IF(C33=999,"Not within 30 years",TEXT(EDATE($C$5,C33-1),"mmm yyyy")))</f>
        <v>Jan 2029</v>
      </c>
    </row>
    <row r="35" spans="2:6" x14ac:dyDescent="0.35">
      <c r="B35" t="s">
        <v>28</v>
      </c>
    </row>
    <row r="36" spans="2:6" x14ac:dyDescent="0.35">
      <c r="B36" t="s">
        <v>140</v>
      </c>
      <c r="C36">
        <f>CHOOSE($C$3,C31,C32,C33)</f>
        <v>28</v>
      </c>
    </row>
    <row r="37" spans="2:6" x14ac:dyDescent="0.35">
      <c r="B37" t="s">
        <v>141</v>
      </c>
      <c r="C37">
        <f>CHOOSE($C$3,D31,D32,D33)</f>
        <v>2737.6400000000003</v>
      </c>
    </row>
    <row r="38" spans="2:6" x14ac:dyDescent="0.35">
      <c r="B38" t="s">
        <v>142</v>
      </c>
      <c r="C38">
        <f>CHOOSE($C$3,E31,E32,E33)</f>
        <v>20837.64</v>
      </c>
    </row>
    <row r="39" spans="2:6" x14ac:dyDescent="0.35">
      <c r="B39" t="s">
        <v>143</v>
      </c>
      <c r="C39" t="str">
        <f ca="1">CHOOSE($C$3,F31,F32,F33)</f>
        <v>Jan 2029</v>
      </c>
    </row>
    <row r="40" spans="2:6" x14ac:dyDescent="0.35">
      <c r="B40" t="s">
        <v>144</v>
      </c>
      <c r="C40">
        <f>IF($C$8=0,0,D30-C37)</f>
        <v>3328.4400000000014</v>
      </c>
    </row>
    <row r="41" spans="2:6" x14ac:dyDescent="0.35">
      <c r="B41" t="s">
        <v>145</v>
      </c>
      <c r="C41">
        <f>IF(OR($C$8=0,C36=999),0,C30-C36)</f>
        <v>30</v>
      </c>
    </row>
    <row r="42" spans="2:6" x14ac:dyDescent="0.35">
      <c r="B42" t="s">
        <v>146</v>
      </c>
      <c r="C42" t="str">
        <f>IF($C$8=0,"-",IF(C36=999,"Plan runs past 30 years",IF(C30=999,"Decades: minimums never finish",IF(C41&lt;=0,"Same as minimums",IF(INT(C41/12)&gt;0,INT(C41/12)&amp;" yr ","")&amp;MOD(C41,12)&amp;" mo sooner"))))</f>
        <v>2 yr 6 mo sooner</v>
      </c>
    </row>
    <row r="43" spans="2:6" x14ac:dyDescent="0.35">
      <c r="B43" t="s">
        <v>147</v>
      </c>
      <c r="C43" t="str">
        <f ca="1">IF($C$8=0,"-",IFERROR(INDEX($B$10:$B$24,MATCH(1,$L$10:$L$24,0))&amp;" ("&amp;IF(INDEX(Debts!$I$7:$I$21,MATCH(1,$L$10:$L$24,0))="30+ years","30+ years",TEXT(EDATE($C$5,INDEX(Debts!$I$7:$I$21,MATCH(1,$L$10:$L$24,0))-1),"mmm yyyy"))&amp;")","-"))</f>
        <v>EXAMPLE: Medical bill (Dec 2026)</v>
      </c>
    </row>
    <row r="44" spans="2:6" x14ac:dyDescent="0.35">
      <c r="B44" t="s">
        <v>148</v>
      </c>
      <c r="C44" t="str">
        <f>IF($C$8=0,"-",INDEX($B$10:$B$24,MATCH(1,$J$10:$J$24,0))&amp;" ("&amp;TEXT(INDEX($E$10:$E$24,MATCH(1,$J$10:$J$24,0)),"0.00")&amp;"%)")</f>
        <v>EXAMPLE: Store card (28.99%)</v>
      </c>
    </row>
    <row r="45" spans="2:6" x14ac:dyDescent="0.35">
      <c r="B45" t="s">
        <v>95</v>
      </c>
      <c r="C45">
        <f>SUM(Debts!$G$7:$G$21)</f>
        <v>201.24</v>
      </c>
    </row>
    <row r="46" spans="2:6" x14ac:dyDescent="0.35">
      <c r="B46" t="s">
        <v>149</v>
      </c>
      <c r="C46">
        <f>COUNTIF(Debts!$L$7:$L$21,"Minimum*")</f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A3B4F"/>
  </sheetPr>
  <dimension ref="A1:AY370"/>
  <sheetViews>
    <sheetView workbookViewId="0"/>
  </sheetViews>
  <sheetFormatPr defaultRowHeight="14.5" x14ac:dyDescent="0.35"/>
  <sheetData>
    <row r="1" spans="1:51" x14ac:dyDescent="0.35">
      <c r="A1" t="s">
        <v>150</v>
      </c>
    </row>
    <row r="2" spans="1:51" x14ac:dyDescent="0.35">
      <c r="A2" t="s">
        <v>151</v>
      </c>
      <c r="AH2">
        <f>IFERROR(MATCH(1,Calc!$I$10:$I$24,0),0)</f>
        <v>4</v>
      </c>
      <c r="AI2">
        <f>IFERROR(MATCH(2,Calc!$I$10:$I$24,0),0)</f>
        <v>2</v>
      </c>
      <c r="AJ2">
        <f>IFERROR(MATCH(3,Calc!$I$10:$I$24,0),0)</f>
        <v>1</v>
      </c>
      <c r="AK2">
        <f>IFERROR(MATCH(4,Calc!$I$10:$I$24,0),0)</f>
        <v>3</v>
      </c>
      <c r="AL2">
        <f>IFERROR(MATCH(5,Calc!$I$10:$I$24,0),0)</f>
        <v>0</v>
      </c>
      <c r="AM2">
        <f>IFERROR(MATCH(6,Calc!$I$10:$I$24,0),0)</f>
        <v>0</v>
      </c>
      <c r="AN2">
        <f>IFERROR(MATCH(7,Calc!$I$10:$I$24,0),0)</f>
        <v>0</v>
      </c>
      <c r="AO2">
        <f>IFERROR(MATCH(8,Calc!$I$10:$I$24,0),0)</f>
        <v>0</v>
      </c>
      <c r="AP2">
        <f>IFERROR(MATCH(9,Calc!$I$10:$I$24,0),0)</f>
        <v>0</v>
      </c>
      <c r="AQ2">
        <f>IFERROR(MATCH(10,Calc!$I$10:$I$24,0),0)</f>
        <v>0</v>
      </c>
      <c r="AR2">
        <f>IFERROR(MATCH(11,Calc!$I$10:$I$24,0),0)</f>
        <v>0</v>
      </c>
      <c r="AS2">
        <f>IFERROR(MATCH(12,Calc!$I$10:$I$24,0),0)</f>
        <v>0</v>
      </c>
      <c r="AT2">
        <f>IFERROR(MATCH(13,Calc!$I$10:$I$24,0),0)</f>
        <v>0</v>
      </c>
      <c r="AU2">
        <f>IFERROR(MATCH(14,Calc!$I$10:$I$24,0),0)</f>
        <v>0</v>
      </c>
      <c r="AV2">
        <f>IFERROR(MATCH(15,Calc!$I$10:$I$24,0),0)</f>
        <v>0</v>
      </c>
    </row>
    <row r="3" spans="1:51" x14ac:dyDescent="0.35">
      <c r="A3" t="s">
        <v>152</v>
      </c>
      <c r="AH3">
        <f>IF(AH2=0,0,INDEX(Calc!$E$10:$E$24,AH2)/1200)</f>
        <v>0</v>
      </c>
      <c r="AI3">
        <f>IF(AI2=0,0,INDEX(Calc!$E$10:$E$24,AI2)/1200)</f>
        <v>2.4158333333333334E-2</v>
      </c>
      <c r="AJ3">
        <f>IF(AJ2=0,0,INDEX(Calc!$E$10:$E$24,AJ2)/1200)</f>
        <v>2.0825E-2</v>
      </c>
      <c r="AK3">
        <f>IF(AK2=0,0,INDEX(Calc!$E$10:$E$24,AK2)/1200)</f>
        <v>6.2500000000000003E-3</v>
      </c>
      <c r="AL3">
        <f>IF(AL2=0,0,INDEX(Calc!$E$10:$E$24,AL2)/1200)</f>
        <v>0</v>
      </c>
      <c r="AM3">
        <f>IF(AM2=0,0,INDEX(Calc!$E$10:$E$24,AM2)/1200)</f>
        <v>0</v>
      </c>
      <c r="AN3">
        <f>IF(AN2=0,0,INDEX(Calc!$E$10:$E$24,AN2)/1200)</f>
        <v>0</v>
      </c>
      <c r="AO3">
        <f>IF(AO2=0,0,INDEX(Calc!$E$10:$E$24,AO2)/1200)</f>
        <v>0</v>
      </c>
      <c r="AP3">
        <f>IF(AP2=0,0,INDEX(Calc!$E$10:$E$24,AP2)/1200)</f>
        <v>0</v>
      </c>
      <c r="AQ3">
        <f>IF(AQ2=0,0,INDEX(Calc!$E$10:$E$24,AQ2)/1200)</f>
        <v>0</v>
      </c>
      <c r="AR3">
        <f>IF(AR2=0,0,INDEX(Calc!$E$10:$E$24,AR2)/1200)</f>
        <v>0</v>
      </c>
      <c r="AS3">
        <f>IF(AS2=0,0,INDEX(Calc!$E$10:$E$24,AS2)/1200)</f>
        <v>0</v>
      </c>
      <c r="AT3">
        <f>IF(AT2=0,0,INDEX(Calc!$E$10:$E$24,AT2)/1200)</f>
        <v>0</v>
      </c>
      <c r="AU3">
        <f>IF(AU2=0,0,INDEX(Calc!$E$10:$E$24,AU2)/1200)</f>
        <v>0</v>
      </c>
      <c r="AV3">
        <f>IF(AV2=0,0,INDEX(Calc!$E$10:$E$24,AV2)/1200)</f>
        <v>0</v>
      </c>
    </row>
    <row r="4" spans="1:51" x14ac:dyDescent="0.35">
      <c r="A4" t="s">
        <v>153</v>
      </c>
      <c r="AH4">
        <f>IF(AH2=0,0,INDEX(Calc!$F$10:$F$24,AH2))</f>
        <v>50</v>
      </c>
      <c r="AI4">
        <f>IF(AI2=0,0,INDEX(Calc!$F$10:$F$24,AI2))</f>
        <v>40</v>
      </c>
      <c r="AJ4">
        <f>IF(AJ2=0,0,INDEX(Calc!$F$10:$F$24,AJ2))</f>
        <v>145</v>
      </c>
      <c r="AK4">
        <f>IF(AK2=0,0,INDEX(Calc!$F$10:$F$24,AK2))</f>
        <v>315</v>
      </c>
      <c r="AL4">
        <f>IF(AL2=0,0,INDEX(Calc!$F$10:$F$24,AL2))</f>
        <v>0</v>
      </c>
      <c r="AM4">
        <f>IF(AM2=0,0,INDEX(Calc!$F$10:$F$24,AM2))</f>
        <v>0</v>
      </c>
      <c r="AN4">
        <f>IF(AN2=0,0,INDEX(Calc!$F$10:$F$24,AN2))</f>
        <v>0</v>
      </c>
      <c r="AO4">
        <f>IF(AO2=0,0,INDEX(Calc!$F$10:$F$24,AO2))</f>
        <v>0</v>
      </c>
      <c r="AP4">
        <f>IF(AP2=0,0,INDEX(Calc!$F$10:$F$24,AP2))</f>
        <v>0</v>
      </c>
      <c r="AQ4">
        <f>IF(AQ2=0,0,INDEX(Calc!$F$10:$F$24,AQ2))</f>
        <v>0</v>
      </c>
      <c r="AR4">
        <f>IF(AR2=0,0,INDEX(Calc!$F$10:$F$24,AR2))</f>
        <v>0</v>
      </c>
      <c r="AS4">
        <f>IF(AS2=0,0,INDEX(Calc!$F$10:$F$24,AS2))</f>
        <v>0</v>
      </c>
      <c r="AT4">
        <f>IF(AT2=0,0,INDEX(Calc!$F$10:$F$24,AT2))</f>
        <v>0</v>
      </c>
      <c r="AU4">
        <f>IF(AU2=0,0,INDEX(Calc!$F$10:$F$24,AU2))</f>
        <v>0</v>
      </c>
      <c r="AV4">
        <f>IF(AV2=0,0,INDEX(Calc!$F$10:$F$24,AV2))</f>
        <v>0</v>
      </c>
    </row>
    <row r="5" spans="1:51" x14ac:dyDescent="0.35">
      <c r="A5" t="s">
        <v>112</v>
      </c>
      <c r="C5" t="s">
        <v>154</v>
      </c>
      <c r="D5" t="s">
        <v>155</v>
      </c>
      <c r="E5" t="s">
        <v>156</v>
      </c>
      <c r="F5" t="s">
        <v>157</v>
      </c>
      <c r="G5" t="s">
        <v>158</v>
      </c>
      <c r="H5" t="s">
        <v>159</v>
      </c>
      <c r="I5" t="s">
        <v>160</v>
      </c>
      <c r="J5" t="s">
        <v>161</v>
      </c>
      <c r="K5" t="s">
        <v>162</v>
      </c>
      <c r="L5" t="s">
        <v>163</v>
      </c>
      <c r="M5" t="s">
        <v>164</v>
      </c>
      <c r="N5" t="s">
        <v>165</v>
      </c>
      <c r="O5" t="s">
        <v>166</v>
      </c>
      <c r="P5" t="s">
        <v>167</v>
      </c>
      <c r="Q5" t="s">
        <v>168</v>
      </c>
      <c r="R5" t="s">
        <v>169</v>
      </c>
      <c r="S5" t="s">
        <v>170</v>
      </c>
      <c r="T5" t="s">
        <v>171</v>
      </c>
      <c r="U5" t="s">
        <v>172</v>
      </c>
      <c r="V5" t="s">
        <v>173</v>
      </c>
      <c r="W5" t="s">
        <v>174</v>
      </c>
      <c r="X5" t="s">
        <v>175</v>
      </c>
      <c r="Y5" t="s">
        <v>176</v>
      </c>
      <c r="Z5" t="s">
        <v>177</v>
      </c>
      <c r="AA5" t="s">
        <v>178</v>
      </c>
      <c r="AB5" t="s">
        <v>179</v>
      </c>
      <c r="AC5" t="s">
        <v>180</v>
      </c>
      <c r="AD5" t="s">
        <v>181</v>
      </c>
      <c r="AE5" t="s">
        <v>182</v>
      </c>
      <c r="AF5" t="s">
        <v>183</v>
      </c>
      <c r="AG5" t="s">
        <v>184</v>
      </c>
      <c r="AH5" t="s">
        <v>185</v>
      </c>
      <c r="AI5" t="s">
        <v>186</v>
      </c>
      <c r="AJ5" t="s">
        <v>187</v>
      </c>
      <c r="AK5" t="s">
        <v>188</v>
      </c>
      <c r="AL5" t="s">
        <v>189</v>
      </c>
      <c r="AM5" t="s">
        <v>190</v>
      </c>
      <c r="AN5" t="s">
        <v>191</v>
      </c>
      <c r="AO5" t="s">
        <v>192</v>
      </c>
      <c r="AP5" t="s">
        <v>193</v>
      </c>
      <c r="AQ5" t="s">
        <v>194</v>
      </c>
      <c r="AR5" t="s">
        <v>195</v>
      </c>
      <c r="AS5" t="s">
        <v>196</v>
      </c>
      <c r="AT5" t="s">
        <v>197</v>
      </c>
      <c r="AU5" t="s">
        <v>198</v>
      </c>
      <c r="AV5" t="s">
        <v>199</v>
      </c>
      <c r="AW5" t="s">
        <v>200</v>
      </c>
      <c r="AX5" t="s">
        <v>61</v>
      </c>
      <c r="AY5" t="s">
        <v>114</v>
      </c>
    </row>
    <row r="6" spans="1:51" x14ac:dyDescent="0.35">
      <c r="A6">
        <v>0</v>
      </c>
      <c r="AH6">
        <f>IF(AH2=0,0,INDEX(Calc!$D$10:$D$24,AH2))</f>
        <v>650</v>
      </c>
      <c r="AI6">
        <f>IF(AI2=0,0,INDEX(Calc!$D$10:$D$24,AI2))</f>
        <v>1200</v>
      </c>
      <c r="AJ6">
        <f>IF(AJ2=0,0,INDEX(Calc!$D$10:$D$24,AJ2))</f>
        <v>4850</v>
      </c>
      <c r="AK6">
        <f>IF(AK2=0,0,INDEX(Calc!$D$10:$D$24,AK2))</f>
        <v>11400</v>
      </c>
      <c r="AL6">
        <f>IF(AL2=0,0,INDEX(Calc!$D$10:$D$24,AL2))</f>
        <v>0</v>
      </c>
      <c r="AM6">
        <f>IF(AM2=0,0,INDEX(Calc!$D$10:$D$24,AM2))</f>
        <v>0</v>
      </c>
      <c r="AN6">
        <f>IF(AN2=0,0,INDEX(Calc!$D$10:$D$24,AN2))</f>
        <v>0</v>
      </c>
      <c r="AO6">
        <f>IF(AO2=0,0,INDEX(Calc!$D$10:$D$24,AO2))</f>
        <v>0</v>
      </c>
      <c r="AP6">
        <f>IF(AP2=0,0,INDEX(Calc!$D$10:$D$24,AP2))</f>
        <v>0</v>
      </c>
      <c r="AQ6">
        <f>IF(AQ2=0,0,INDEX(Calc!$D$10:$D$24,AQ2))</f>
        <v>0</v>
      </c>
      <c r="AR6">
        <f>IF(AR2=0,0,INDEX(Calc!$D$10:$D$24,AR2))</f>
        <v>0</v>
      </c>
      <c r="AS6">
        <f>IF(AS2=0,0,INDEX(Calc!$D$10:$D$24,AS2))</f>
        <v>0</v>
      </c>
      <c r="AT6">
        <f>IF(AT2=0,0,INDEX(Calc!$D$10:$D$24,AT2))</f>
        <v>0</v>
      </c>
      <c r="AU6">
        <f>IF(AU2=0,0,INDEX(Calc!$D$10:$D$24,AU2))</f>
        <v>0</v>
      </c>
      <c r="AV6">
        <f>IF(AV2=0,0,INDEX(Calc!$D$10:$D$24,AV2))</f>
        <v>0</v>
      </c>
      <c r="AW6">
        <f t="shared" ref="AW6:AW69" si="0">SUM(AH6:AV6)</f>
        <v>18100</v>
      </c>
    </row>
    <row r="7" spans="1:51" x14ac:dyDescent="0.35">
      <c r="A7">
        <v>1</v>
      </c>
      <c r="C7">
        <f t="shared" ref="C7:C70" si="1">MAX(0,0-SUM(D7:R7))</f>
        <v>0</v>
      </c>
      <c r="D7">
        <f t="shared" ref="D7:D70" si="2">IF(AH6&lt;0.005,0,MIN((AH6+ROUND(AH6*AH$3,2)),AH$4))</f>
        <v>50</v>
      </c>
      <c r="E7">
        <f t="shared" ref="E7:E70" si="3">IF(AI6&lt;0.005,0,MIN((AI6+ROUND(AI6*AI$3,2)),AI$4))</f>
        <v>40</v>
      </c>
      <c r="F7">
        <f t="shared" ref="F7:F70" si="4">IF(AJ6&lt;0.005,0,MIN((AJ6+ROUND(AJ6*AJ$3,2)),AJ$4))</f>
        <v>145</v>
      </c>
      <c r="G7">
        <f t="shared" ref="G7:G70" si="5">IF(AK6&lt;0.005,0,MIN((AK6+ROUND(AK6*AK$3,2)),AK$4))</f>
        <v>315</v>
      </c>
      <c r="H7">
        <f t="shared" ref="H7:H70" si="6">IF(AL6&lt;0.005,0,MIN((AL6+ROUND(AL6*AL$3,2)),AL$4))</f>
        <v>0</v>
      </c>
      <c r="I7">
        <f t="shared" ref="I7:I70" si="7">IF(AM6&lt;0.005,0,MIN((AM6+ROUND(AM6*AM$3,2)),AM$4))</f>
        <v>0</v>
      </c>
      <c r="J7">
        <f t="shared" ref="J7:J70" si="8">IF(AN6&lt;0.005,0,MIN((AN6+ROUND(AN6*AN$3,2)),AN$4))</f>
        <v>0</v>
      </c>
      <c r="K7">
        <f t="shared" ref="K7:K70" si="9">IF(AO6&lt;0.005,0,MIN((AO6+ROUND(AO6*AO$3,2)),AO$4))</f>
        <v>0</v>
      </c>
      <c r="L7">
        <f t="shared" ref="L7:L70" si="10">IF(AP6&lt;0.005,0,MIN((AP6+ROUND(AP6*AP$3,2)),AP$4))</f>
        <v>0</v>
      </c>
      <c r="M7">
        <f t="shared" ref="M7:M70" si="11">IF(AQ6&lt;0.005,0,MIN((AQ6+ROUND(AQ6*AQ$3,2)),AQ$4))</f>
        <v>0</v>
      </c>
      <c r="N7">
        <f t="shared" ref="N7:N70" si="12">IF(AR6&lt;0.005,0,MIN((AR6+ROUND(AR6*AR$3,2)),AR$4))</f>
        <v>0</v>
      </c>
      <c r="O7">
        <f t="shared" ref="O7:O70" si="13">IF(AS6&lt;0.005,0,MIN((AS6+ROUND(AS6*AS$3,2)),AS$4))</f>
        <v>0</v>
      </c>
      <c r="P7">
        <f t="shared" ref="P7:P70" si="14">IF(AT6&lt;0.005,0,MIN((AT6+ROUND(AT6*AT$3,2)),AT$4))</f>
        <v>0</v>
      </c>
      <c r="Q7">
        <f t="shared" ref="Q7:Q70" si="15">IF(AU6&lt;0.005,0,MIN((AU6+ROUND(AU6*AU$3,2)),AU$4))</f>
        <v>0</v>
      </c>
      <c r="R7">
        <f t="shared" ref="R7:R70" si="16">IF(AV6&lt;0.005,0,MIN((AV6+ROUND(AV6*AV$3,2)),AV$4))</f>
        <v>0</v>
      </c>
      <c r="S7">
        <f t="shared" ref="S7:S70" si="17">IF(AH6&lt;0.005,0,MIN((AH6+ROUND(AH6*AH$3,2))-D7,MAX(0,$C7)))</f>
        <v>0</v>
      </c>
      <c r="T7">
        <f t="shared" ref="T7:T70" si="18">IF(AI6&lt;0.005,0,MIN((AI6+ROUND(AI6*AI$3,2))-E7,MAX(0,$C7-SUM(S7:S7))))</f>
        <v>0</v>
      </c>
      <c r="U7">
        <f t="shared" ref="U7:U70" si="19">IF(AJ6&lt;0.005,0,MIN((AJ6+ROUND(AJ6*AJ$3,2))-F7,MAX(0,$C7-SUM(S7:T7))))</f>
        <v>0</v>
      </c>
      <c r="V7">
        <f t="shared" ref="V7:V70" si="20">IF(AK6&lt;0.005,0,MIN((AK6+ROUND(AK6*AK$3,2))-G7,MAX(0,$C7-SUM(S7:U7))))</f>
        <v>0</v>
      </c>
      <c r="W7">
        <f t="shared" ref="W7:W70" si="21">IF(AL6&lt;0.005,0,MIN((AL6+ROUND(AL6*AL$3,2))-H7,MAX(0,$C7-SUM(S7:V7))))</f>
        <v>0</v>
      </c>
      <c r="X7">
        <f t="shared" ref="X7:X70" si="22">IF(AM6&lt;0.005,0,MIN((AM6+ROUND(AM6*AM$3,2))-I7,MAX(0,$C7-SUM(S7:W7))))</f>
        <v>0</v>
      </c>
      <c r="Y7">
        <f t="shared" ref="Y7:Y70" si="23">IF(AN6&lt;0.005,0,MIN((AN6+ROUND(AN6*AN$3,2))-J7,MAX(0,$C7-SUM(S7:X7))))</f>
        <v>0</v>
      </c>
      <c r="Z7">
        <f t="shared" ref="Z7:Z70" si="24">IF(AO6&lt;0.005,0,MIN((AO6+ROUND(AO6*AO$3,2))-K7,MAX(0,$C7-SUM(S7:Y7))))</f>
        <v>0</v>
      </c>
      <c r="AA7">
        <f t="shared" ref="AA7:AA70" si="25">IF(AP6&lt;0.005,0,MIN((AP6+ROUND(AP6*AP$3,2))-L7,MAX(0,$C7-SUM(S7:Z7))))</f>
        <v>0</v>
      </c>
      <c r="AB7">
        <f t="shared" ref="AB7:AB70" si="26">IF(AQ6&lt;0.005,0,MIN((AQ6+ROUND(AQ6*AQ$3,2))-M7,MAX(0,$C7-SUM(S7:AA7))))</f>
        <v>0</v>
      </c>
      <c r="AC7">
        <f t="shared" ref="AC7:AC70" si="27">IF(AR6&lt;0.005,0,MIN((AR6+ROUND(AR6*AR$3,2))-N7,MAX(0,$C7-SUM(S7:AB7))))</f>
        <v>0</v>
      </c>
      <c r="AD7">
        <f t="shared" ref="AD7:AD70" si="28">IF(AS6&lt;0.005,0,MIN((AS6+ROUND(AS6*AS$3,2))-O7,MAX(0,$C7-SUM(S7:AC7))))</f>
        <v>0</v>
      </c>
      <c r="AE7">
        <f t="shared" ref="AE7:AE70" si="29">IF(AT6&lt;0.005,0,MIN((AT6+ROUND(AT6*AT$3,2))-P7,MAX(0,$C7-SUM(S7:AD7))))</f>
        <v>0</v>
      </c>
      <c r="AF7">
        <f t="shared" ref="AF7:AF70" si="30">IF(AU6&lt;0.005,0,MIN((AU6+ROUND(AU6*AU$3,2))-Q7,MAX(0,$C7-SUM(S7:AE7))))</f>
        <v>0</v>
      </c>
      <c r="AG7">
        <f t="shared" ref="AG7:AG70" si="31">IF(AV6&lt;0.005,0,MIN((AV6+ROUND(AV6*AV$3,2))-R7,MAX(0,$C7-SUM(S7:AF7))))</f>
        <v>0</v>
      </c>
      <c r="AH7">
        <f t="shared" ref="AH7:AH70" si="32">IF(AH6&lt;0.005,0,ROUND((AH6+ROUND(AH6*AH$3,2))-D7-S7,2))</f>
        <v>600</v>
      </c>
      <c r="AI7">
        <f t="shared" ref="AI7:AI70" si="33">IF(AI6&lt;0.005,0,ROUND((AI6+ROUND(AI6*AI$3,2))-E7-T7,2))</f>
        <v>1188.99</v>
      </c>
      <c r="AJ7">
        <f t="shared" ref="AJ7:AJ70" si="34">IF(AJ6&lt;0.005,0,ROUND((AJ6+ROUND(AJ6*AJ$3,2))-F7-U7,2))</f>
        <v>4806</v>
      </c>
      <c r="AK7">
        <f t="shared" ref="AK7:AK70" si="35">IF(AK6&lt;0.005,0,ROUND((AK6+ROUND(AK6*AK$3,2))-G7-V7,2))</f>
        <v>11156.25</v>
      </c>
      <c r="AL7">
        <f t="shared" ref="AL7:AL70" si="36">IF(AL6&lt;0.005,0,ROUND((AL6+ROUND(AL6*AL$3,2))-H7-W7,2))</f>
        <v>0</v>
      </c>
      <c r="AM7">
        <f t="shared" ref="AM7:AM70" si="37">IF(AM6&lt;0.005,0,ROUND((AM6+ROUND(AM6*AM$3,2))-I7-X7,2))</f>
        <v>0</v>
      </c>
      <c r="AN7">
        <f t="shared" ref="AN7:AN70" si="38">IF(AN6&lt;0.005,0,ROUND((AN6+ROUND(AN6*AN$3,2))-J7-Y7,2))</f>
        <v>0</v>
      </c>
      <c r="AO7">
        <f t="shared" ref="AO7:AO70" si="39">IF(AO6&lt;0.005,0,ROUND((AO6+ROUND(AO6*AO$3,2))-K7-Z7,2))</f>
        <v>0</v>
      </c>
      <c r="AP7">
        <f t="shared" ref="AP7:AP70" si="40">IF(AP6&lt;0.005,0,ROUND((AP6+ROUND(AP6*AP$3,2))-L7-AA7,2))</f>
        <v>0</v>
      </c>
      <c r="AQ7">
        <f t="shared" ref="AQ7:AQ70" si="41">IF(AQ6&lt;0.005,0,ROUND((AQ6+ROUND(AQ6*AQ$3,2))-M7-AB7,2))</f>
        <v>0</v>
      </c>
      <c r="AR7">
        <f t="shared" ref="AR7:AR70" si="42">IF(AR6&lt;0.005,0,ROUND((AR6+ROUND(AR6*AR$3,2))-N7-AC7,2))</f>
        <v>0</v>
      </c>
      <c r="AS7">
        <f t="shared" ref="AS7:AS70" si="43">IF(AS6&lt;0.005,0,ROUND((AS6+ROUND(AS6*AS$3,2))-O7-AD7,2))</f>
        <v>0</v>
      </c>
      <c r="AT7">
        <f t="shared" ref="AT7:AT70" si="44">IF(AT6&lt;0.005,0,ROUND((AT6+ROUND(AT6*AT$3,2))-P7-AE7,2))</f>
        <v>0</v>
      </c>
      <c r="AU7">
        <f t="shared" ref="AU7:AU70" si="45">IF(AU6&lt;0.005,0,ROUND((AU6+ROUND(AU6*AU$3,2))-Q7-AF7,2))</f>
        <v>0</v>
      </c>
      <c r="AV7">
        <f t="shared" ref="AV7:AV70" si="46">IF(AV6&lt;0.005,0,ROUND((AV6+ROUND(AV6*AV$3,2))-R7-AG7,2))</f>
        <v>0</v>
      </c>
      <c r="AW7">
        <f t="shared" si="0"/>
        <v>17751.239999999998</v>
      </c>
      <c r="AX7">
        <f t="shared" ref="AX7:AX70" si="47">SUMPRODUCT(ROUND(AH6:AV6*AH$3:AV$3,2))</f>
        <v>201.24</v>
      </c>
      <c r="AY7">
        <f t="shared" ref="AY7:AY70" si="48">SUM(D7:AG7)</f>
        <v>550</v>
      </c>
    </row>
    <row r="8" spans="1:51" x14ac:dyDescent="0.35">
      <c r="A8">
        <v>2</v>
      </c>
      <c r="C8">
        <f t="shared" si="1"/>
        <v>0</v>
      </c>
      <c r="D8">
        <f t="shared" si="2"/>
        <v>50</v>
      </c>
      <c r="E8">
        <f t="shared" si="3"/>
        <v>40</v>
      </c>
      <c r="F8">
        <f t="shared" si="4"/>
        <v>145</v>
      </c>
      <c r="G8">
        <f t="shared" si="5"/>
        <v>315</v>
      </c>
      <c r="H8">
        <f t="shared" si="6"/>
        <v>0</v>
      </c>
      <c r="I8">
        <f t="shared" si="7"/>
        <v>0</v>
      </c>
      <c r="J8">
        <f t="shared" si="8"/>
        <v>0</v>
      </c>
      <c r="K8">
        <f t="shared" si="9"/>
        <v>0</v>
      </c>
      <c r="L8">
        <f t="shared" si="10"/>
        <v>0</v>
      </c>
      <c r="M8">
        <f t="shared" si="11"/>
        <v>0</v>
      </c>
      <c r="N8">
        <f t="shared" si="12"/>
        <v>0</v>
      </c>
      <c r="O8">
        <f t="shared" si="13"/>
        <v>0</v>
      </c>
      <c r="P8">
        <f t="shared" si="14"/>
        <v>0</v>
      </c>
      <c r="Q8">
        <f t="shared" si="15"/>
        <v>0</v>
      </c>
      <c r="R8">
        <f t="shared" si="16"/>
        <v>0</v>
      </c>
      <c r="S8">
        <f t="shared" si="17"/>
        <v>0</v>
      </c>
      <c r="T8">
        <f t="shared" si="18"/>
        <v>0</v>
      </c>
      <c r="U8">
        <f t="shared" si="19"/>
        <v>0</v>
      </c>
      <c r="V8">
        <f t="shared" si="20"/>
        <v>0</v>
      </c>
      <c r="W8">
        <f t="shared" si="21"/>
        <v>0</v>
      </c>
      <c r="X8">
        <f t="shared" si="22"/>
        <v>0</v>
      </c>
      <c r="Y8">
        <f t="shared" si="23"/>
        <v>0</v>
      </c>
      <c r="Z8">
        <f t="shared" si="24"/>
        <v>0</v>
      </c>
      <c r="AA8">
        <f t="shared" si="25"/>
        <v>0</v>
      </c>
      <c r="AB8">
        <f t="shared" si="26"/>
        <v>0</v>
      </c>
      <c r="AC8">
        <f t="shared" si="27"/>
        <v>0</v>
      </c>
      <c r="AD8">
        <f t="shared" si="28"/>
        <v>0</v>
      </c>
      <c r="AE8">
        <f t="shared" si="29"/>
        <v>0</v>
      </c>
      <c r="AF8">
        <f t="shared" si="30"/>
        <v>0</v>
      </c>
      <c r="AG8">
        <f t="shared" si="31"/>
        <v>0</v>
      </c>
      <c r="AH8">
        <f t="shared" si="32"/>
        <v>550</v>
      </c>
      <c r="AI8">
        <f t="shared" si="33"/>
        <v>1177.71</v>
      </c>
      <c r="AJ8">
        <f t="shared" si="34"/>
        <v>4761.08</v>
      </c>
      <c r="AK8">
        <f t="shared" si="35"/>
        <v>10910.98</v>
      </c>
      <c r="AL8">
        <f t="shared" si="36"/>
        <v>0</v>
      </c>
      <c r="AM8">
        <f t="shared" si="37"/>
        <v>0</v>
      </c>
      <c r="AN8">
        <f t="shared" si="38"/>
        <v>0</v>
      </c>
      <c r="AO8">
        <f t="shared" si="39"/>
        <v>0</v>
      </c>
      <c r="AP8">
        <f t="shared" si="40"/>
        <v>0</v>
      </c>
      <c r="AQ8">
        <f t="shared" si="41"/>
        <v>0</v>
      </c>
      <c r="AR8">
        <f t="shared" si="42"/>
        <v>0</v>
      </c>
      <c r="AS8">
        <f t="shared" si="43"/>
        <v>0</v>
      </c>
      <c r="AT8">
        <f t="shared" si="44"/>
        <v>0</v>
      </c>
      <c r="AU8">
        <f t="shared" si="45"/>
        <v>0</v>
      </c>
      <c r="AV8">
        <f t="shared" si="46"/>
        <v>0</v>
      </c>
      <c r="AW8">
        <f t="shared" si="0"/>
        <v>17399.77</v>
      </c>
      <c r="AX8">
        <f t="shared" si="47"/>
        <v>198.53000000000003</v>
      </c>
      <c r="AY8">
        <f t="shared" si="48"/>
        <v>550</v>
      </c>
    </row>
    <row r="9" spans="1:51" x14ac:dyDescent="0.35">
      <c r="A9">
        <v>3</v>
      </c>
      <c r="C9">
        <f t="shared" si="1"/>
        <v>0</v>
      </c>
      <c r="D9">
        <f t="shared" si="2"/>
        <v>50</v>
      </c>
      <c r="E9">
        <f t="shared" si="3"/>
        <v>40</v>
      </c>
      <c r="F9">
        <f t="shared" si="4"/>
        <v>145</v>
      </c>
      <c r="G9">
        <f t="shared" si="5"/>
        <v>315</v>
      </c>
      <c r="H9">
        <f t="shared" si="6"/>
        <v>0</v>
      </c>
      <c r="I9">
        <f t="shared" si="7"/>
        <v>0</v>
      </c>
      <c r="J9">
        <f t="shared" si="8"/>
        <v>0</v>
      </c>
      <c r="K9">
        <f t="shared" si="9"/>
        <v>0</v>
      </c>
      <c r="L9">
        <f t="shared" si="10"/>
        <v>0</v>
      </c>
      <c r="M9">
        <f t="shared" si="11"/>
        <v>0</v>
      </c>
      <c r="N9">
        <f t="shared" si="12"/>
        <v>0</v>
      </c>
      <c r="O9">
        <f t="shared" si="13"/>
        <v>0</v>
      </c>
      <c r="P9">
        <f t="shared" si="14"/>
        <v>0</v>
      </c>
      <c r="Q9">
        <f t="shared" si="15"/>
        <v>0</v>
      </c>
      <c r="R9">
        <f t="shared" si="16"/>
        <v>0</v>
      </c>
      <c r="S9">
        <f t="shared" si="17"/>
        <v>0</v>
      </c>
      <c r="T9">
        <f t="shared" si="18"/>
        <v>0</v>
      </c>
      <c r="U9">
        <f t="shared" si="19"/>
        <v>0</v>
      </c>
      <c r="V9">
        <f t="shared" si="20"/>
        <v>0</v>
      </c>
      <c r="W9">
        <f t="shared" si="21"/>
        <v>0</v>
      </c>
      <c r="X9">
        <f t="shared" si="22"/>
        <v>0</v>
      </c>
      <c r="Y9">
        <f t="shared" si="23"/>
        <v>0</v>
      </c>
      <c r="Z9">
        <f t="shared" si="24"/>
        <v>0</v>
      </c>
      <c r="AA9">
        <f t="shared" si="25"/>
        <v>0</v>
      </c>
      <c r="AB9">
        <f t="shared" si="26"/>
        <v>0</v>
      </c>
      <c r="AC9">
        <f t="shared" si="27"/>
        <v>0</v>
      </c>
      <c r="AD9">
        <f t="shared" si="28"/>
        <v>0</v>
      </c>
      <c r="AE9">
        <f t="shared" si="29"/>
        <v>0</v>
      </c>
      <c r="AF9">
        <f t="shared" si="30"/>
        <v>0</v>
      </c>
      <c r="AG9">
        <f t="shared" si="31"/>
        <v>0</v>
      </c>
      <c r="AH9">
        <f t="shared" si="32"/>
        <v>500</v>
      </c>
      <c r="AI9">
        <f t="shared" si="33"/>
        <v>1166.1600000000001</v>
      </c>
      <c r="AJ9">
        <f t="shared" si="34"/>
        <v>4715.2299999999996</v>
      </c>
      <c r="AK9">
        <f t="shared" si="35"/>
        <v>10664.17</v>
      </c>
      <c r="AL9">
        <f t="shared" si="36"/>
        <v>0</v>
      </c>
      <c r="AM9">
        <f t="shared" si="37"/>
        <v>0</v>
      </c>
      <c r="AN9">
        <f t="shared" si="38"/>
        <v>0</v>
      </c>
      <c r="AO9">
        <f t="shared" si="39"/>
        <v>0</v>
      </c>
      <c r="AP9">
        <f t="shared" si="40"/>
        <v>0</v>
      </c>
      <c r="AQ9">
        <f t="shared" si="41"/>
        <v>0</v>
      </c>
      <c r="AR9">
        <f t="shared" si="42"/>
        <v>0</v>
      </c>
      <c r="AS9">
        <f t="shared" si="43"/>
        <v>0</v>
      </c>
      <c r="AT9">
        <f t="shared" si="44"/>
        <v>0</v>
      </c>
      <c r="AU9">
        <f t="shared" si="45"/>
        <v>0</v>
      </c>
      <c r="AV9">
        <f t="shared" si="46"/>
        <v>0</v>
      </c>
      <c r="AW9">
        <f t="shared" si="0"/>
        <v>17045.559999999998</v>
      </c>
      <c r="AX9">
        <f t="shared" si="47"/>
        <v>195.79000000000002</v>
      </c>
      <c r="AY9">
        <f t="shared" si="48"/>
        <v>550</v>
      </c>
    </row>
    <row r="10" spans="1:51" x14ac:dyDescent="0.35">
      <c r="A10">
        <v>4</v>
      </c>
      <c r="C10">
        <f t="shared" si="1"/>
        <v>0</v>
      </c>
      <c r="D10">
        <f t="shared" si="2"/>
        <v>50</v>
      </c>
      <c r="E10">
        <f t="shared" si="3"/>
        <v>40</v>
      </c>
      <c r="F10">
        <f t="shared" si="4"/>
        <v>145</v>
      </c>
      <c r="G10">
        <f t="shared" si="5"/>
        <v>315</v>
      </c>
      <c r="H10">
        <f t="shared" si="6"/>
        <v>0</v>
      </c>
      <c r="I10">
        <f t="shared" si="7"/>
        <v>0</v>
      </c>
      <c r="J10">
        <f t="shared" si="8"/>
        <v>0</v>
      </c>
      <c r="K10">
        <f t="shared" si="9"/>
        <v>0</v>
      </c>
      <c r="L10">
        <f t="shared" si="10"/>
        <v>0</v>
      </c>
      <c r="M10">
        <f t="shared" si="11"/>
        <v>0</v>
      </c>
      <c r="N10">
        <f t="shared" si="12"/>
        <v>0</v>
      </c>
      <c r="O10">
        <f t="shared" si="13"/>
        <v>0</v>
      </c>
      <c r="P10">
        <f t="shared" si="14"/>
        <v>0</v>
      </c>
      <c r="Q10">
        <f t="shared" si="15"/>
        <v>0</v>
      </c>
      <c r="R10">
        <f t="shared" si="16"/>
        <v>0</v>
      </c>
      <c r="S10">
        <f t="shared" si="17"/>
        <v>0</v>
      </c>
      <c r="T10">
        <f t="shared" si="18"/>
        <v>0</v>
      </c>
      <c r="U10">
        <f t="shared" si="19"/>
        <v>0</v>
      </c>
      <c r="V10">
        <f t="shared" si="20"/>
        <v>0</v>
      </c>
      <c r="W10">
        <f t="shared" si="21"/>
        <v>0</v>
      </c>
      <c r="X10">
        <f t="shared" si="22"/>
        <v>0</v>
      </c>
      <c r="Y10">
        <f t="shared" si="23"/>
        <v>0</v>
      </c>
      <c r="Z10">
        <f t="shared" si="24"/>
        <v>0</v>
      </c>
      <c r="AA10">
        <f t="shared" si="25"/>
        <v>0</v>
      </c>
      <c r="AB10">
        <f t="shared" si="26"/>
        <v>0</v>
      </c>
      <c r="AC10">
        <f t="shared" si="27"/>
        <v>0</v>
      </c>
      <c r="AD10">
        <f t="shared" si="28"/>
        <v>0</v>
      </c>
      <c r="AE10">
        <f t="shared" si="29"/>
        <v>0</v>
      </c>
      <c r="AF10">
        <f t="shared" si="30"/>
        <v>0</v>
      </c>
      <c r="AG10">
        <f t="shared" si="31"/>
        <v>0</v>
      </c>
      <c r="AH10">
        <f t="shared" si="32"/>
        <v>450</v>
      </c>
      <c r="AI10">
        <f t="shared" si="33"/>
        <v>1154.33</v>
      </c>
      <c r="AJ10">
        <f t="shared" si="34"/>
        <v>4668.42</v>
      </c>
      <c r="AK10">
        <f t="shared" si="35"/>
        <v>10415.82</v>
      </c>
      <c r="AL10">
        <f t="shared" si="36"/>
        <v>0</v>
      </c>
      <c r="AM10">
        <f t="shared" si="37"/>
        <v>0</v>
      </c>
      <c r="AN10">
        <f t="shared" si="38"/>
        <v>0</v>
      </c>
      <c r="AO10">
        <f t="shared" si="39"/>
        <v>0</v>
      </c>
      <c r="AP10">
        <f t="shared" si="40"/>
        <v>0</v>
      </c>
      <c r="AQ10">
        <f t="shared" si="41"/>
        <v>0</v>
      </c>
      <c r="AR10">
        <f t="shared" si="42"/>
        <v>0</v>
      </c>
      <c r="AS10">
        <f t="shared" si="43"/>
        <v>0</v>
      </c>
      <c r="AT10">
        <f t="shared" si="44"/>
        <v>0</v>
      </c>
      <c r="AU10">
        <f t="shared" si="45"/>
        <v>0</v>
      </c>
      <c r="AV10">
        <f t="shared" si="46"/>
        <v>0</v>
      </c>
      <c r="AW10">
        <f t="shared" si="0"/>
        <v>16688.57</v>
      </c>
      <c r="AX10">
        <f t="shared" si="47"/>
        <v>193.01</v>
      </c>
      <c r="AY10">
        <f t="shared" si="48"/>
        <v>550</v>
      </c>
    </row>
    <row r="11" spans="1:51" x14ac:dyDescent="0.35">
      <c r="A11">
        <v>5</v>
      </c>
      <c r="C11">
        <f t="shared" si="1"/>
        <v>0</v>
      </c>
      <c r="D11">
        <f t="shared" si="2"/>
        <v>50</v>
      </c>
      <c r="E11">
        <f t="shared" si="3"/>
        <v>40</v>
      </c>
      <c r="F11">
        <f t="shared" si="4"/>
        <v>145</v>
      </c>
      <c r="G11">
        <f t="shared" si="5"/>
        <v>315</v>
      </c>
      <c r="H11">
        <f t="shared" si="6"/>
        <v>0</v>
      </c>
      <c r="I11">
        <f t="shared" si="7"/>
        <v>0</v>
      </c>
      <c r="J11">
        <f t="shared" si="8"/>
        <v>0</v>
      </c>
      <c r="K11">
        <f t="shared" si="9"/>
        <v>0</v>
      </c>
      <c r="L11">
        <f t="shared" si="10"/>
        <v>0</v>
      </c>
      <c r="M11">
        <f t="shared" si="11"/>
        <v>0</v>
      </c>
      <c r="N11">
        <f t="shared" si="12"/>
        <v>0</v>
      </c>
      <c r="O11">
        <f t="shared" si="13"/>
        <v>0</v>
      </c>
      <c r="P11">
        <f t="shared" si="14"/>
        <v>0</v>
      </c>
      <c r="Q11">
        <f t="shared" si="15"/>
        <v>0</v>
      </c>
      <c r="R11">
        <f t="shared" si="16"/>
        <v>0</v>
      </c>
      <c r="S11">
        <f t="shared" si="17"/>
        <v>0</v>
      </c>
      <c r="T11">
        <f t="shared" si="18"/>
        <v>0</v>
      </c>
      <c r="U11">
        <f t="shared" si="19"/>
        <v>0</v>
      </c>
      <c r="V11">
        <f t="shared" si="20"/>
        <v>0</v>
      </c>
      <c r="W11">
        <f t="shared" si="21"/>
        <v>0</v>
      </c>
      <c r="X11">
        <f t="shared" si="22"/>
        <v>0</v>
      </c>
      <c r="Y11">
        <f t="shared" si="23"/>
        <v>0</v>
      </c>
      <c r="Z11">
        <f t="shared" si="24"/>
        <v>0</v>
      </c>
      <c r="AA11">
        <f t="shared" si="25"/>
        <v>0</v>
      </c>
      <c r="AB11">
        <f t="shared" si="26"/>
        <v>0</v>
      </c>
      <c r="AC11">
        <f t="shared" si="27"/>
        <v>0</v>
      </c>
      <c r="AD11">
        <f t="shared" si="28"/>
        <v>0</v>
      </c>
      <c r="AE11">
        <f t="shared" si="29"/>
        <v>0</v>
      </c>
      <c r="AF11">
        <f t="shared" si="30"/>
        <v>0</v>
      </c>
      <c r="AG11">
        <f t="shared" si="31"/>
        <v>0</v>
      </c>
      <c r="AH11">
        <f t="shared" si="32"/>
        <v>400</v>
      </c>
      <c r="AI11">
        <f t="shared" si="33"/>
        <v>1142.22</v>
      </c>
      <c r="AJ11">
        <f t="shared" si="34"/>
        <v>4620.6400000000003</v>
      </c>
      <c r="AK11">
        <f t="shared" si="35"/>
        <v>10165.92</v>
      </c>
      <c r="AL11">
        <f t="shared" si="36"/>
        <v>0</v>
      </c>
      <c r="AM11">
        <f t="shared" si="37"/>
        <v>0</v>
      </c>
      <c r="AN11">
        <f t="shared" si="38"/>
        <v>0</v>
      </c>
      <c r="AO11">
        <f t="shared" si="39"/>
        <v>0</v>
      </c>
      <c r="AP11">
        <f t="shared" si="40"/>
        <v>0</v>
      </c>
      <c r="AQ11">
        <f t="shared" si="41"/>
        <v>0</v>
      </c>
      <c r="AR11">
        <f t="shared" si="42"/>
        <v>0</v>
      </c>
      <c r="AS11">
        <f t="shared" si="43"/>
        <v>0</v>
      </c>
      <c r="AT11">
        <f t="shared" si="44"/>
        <v>0</v>
      </c>
      <c r="AU11">
        <f t="shared" si="45"/>
        <v>0</v>
      </c>
      <c r="AV11">
        <f t="shared" si="46"/>
        <v>0</v>
      </c>
      <c r="AW11">
        <f t="shared" si="0"/>
        <v>16328.78</v>
      </c>
      <c r="AX11">
        <f t="shared" si="47"/>
        <v>190.20999999999998</v>
      </c>
      <c r="AY11">
        <f t="shared" si="48"/>
        <v>550</v>
      </c>
    </row>
    <row r="12" spans="1:51" x14ac:dyDescent="0.35">
      <c r="A12">
        <v>6</v>
      </c>
      <c r="C12">
        <f t="shared" si="1"/>
        <v>0</v>
      </c>
      <c r="D12">
        <f t="shared" si="2"/>
        <v>50</v>
      </c>
      <c r="E12">
        <f t="shared" si="3"/>
        <v>40</v>
      </c>
      <c r="F12">
        <f t="shared" si="4"/>
        <v>145</v>
      </c>
      <c r="G12">
        <f t="shared" si="5"/>
        <v>315</v>
      </c>
      <c r="H12">
        <f t="shared" si="6"/>
        <v>0</v>
      </c>
      <c r="I12">
        <f t="shared" si="7"/>
        <v>0</v>
      </c>
      <c r="J12">
        <f t="shared" si="8"/>
        <v>0</v>
      </c>
      <c r="K12">
        <f t="shared" si="9"/>
        <v>0</v>
      </c>
      <c r="L12">
        <f t="shared" si="10"/>
        <v>0</v>
      </c>
      <c r="M12">
        <f t="shared" si="11"/>
        <v>0</v>
      </c>
      <c r="N12">
        <f t="shared" si="12"/>
        <v>0</v>
      </c>
      <c r="O12">
        <f t="shared" si="13"/>
        <v>0</v>
      </c>
      <c r="P12">
        <f t="shared" si="14"/>
        <v>0</v>
      </c>
      <c r="Q12">
        <f t="shared" si="15"/>
        <v>0</v>
      </c>
      <c r="R12">
        <f t="shared" si="16"/>
        <v>0</v>
      </c>
      <c r="S12">
        <f t="shared" si="17"/>
        <v>0</v>
      </c>
      <c r="T12">
        <f t="shared" si="18"/>
        <v>0</v>
      </c>
      <c r="U12">
        <f t="shared" si="19"/>
        <v>0</v>
      </c>
      <c r="V12">
        <f t="shared" si="20"/>
        <v>0</v>
      </c>
      <c r="W12">
        <f t="shared" si="21"/>
        <v>0</v>
      </c>
      <c r="X12">
        <f t="shared" si="22"/>
        <v>0</v>
      </c>
      <c r="Y12">
        <f t="shared" si="23"/>
        <v>0</v>
      </c>
      <c r="Z12">
        <f t="shared" si="24"/>
        <v>0</v>
      </c>
      <c r="AA12">
        <f t="shared" si="25"/>
        <v>0</v>
      </c>
      <c r="AB12">
        <f t="shared" si="26"/>
        <v>0</v>
      </c>
      <c r="AC12">
        <f t="shared" si="27"/>
        <v>0</v>
      </c>
      <c r="AD12">
        <f t="shared" si="28"/>
        <v>0</v>
      </c>
      <c r="AE12">
        <f t="shared" si="29"/>
        <v>0</v>
      </c>
      <c r="AF12">
        <f t="shared" si="30"/>
        <v>0</v>
      </c>
      <c r="AG12">
        <f t="shared" si="31"/>
        <v>0</v>
      </c>
      <c r="AH12">
        <f t="shared" si="32"/>
        <v>350</v>
      </c>
      <c r="AI12">
        <f t="shared" si="33"/>
        <v>1129.81</v>
      </c>
      <c r="AJ12">
        <f t="shared" si="34"/>
        <v>4571.8599999999997</v>
      </c>
      <c r="AK12">
        <f t="shared" si="35"/>
        <v>9914.4599999999991</v>
      </c>
      <c r="AL12">
        <f t="shared" si="36"/>
        <v>0</v>
      </c>
      <c r="AM12">
        <f t="shared" si="37"/>
        <v>0</v>
      </c>
      <c r="AN12">
        <f t="shared" si="38"/>
        <v>0</v>
      </c>
      <c r="AO12">
        <f t="shared" si="39"/>
        <v>0</v>
      </c>
      <c r="AP12">
        <f t="shared" si="40"/>
        <v>0</v>
      </c>
      <c r="AQ12">
        <f t="shared" si="41"/>
        <v>0</v>
      </c>
      <c r="AR12">
        <f t="shared" si="42"/>
        <v>0</v>
      </c>
      <c r="AS12">
        <f t="shared" si="43"/>
        <v>0</v>
      </c>
      <c r="AT12">
        <f t="shared" si="44"/>
        <v>0</v>
      </c>
      <c r="AU12">
        <f t="shared" si="45"/>
        <v>0</v>
      </c>
      <c r="AV12">
        <f t="shared" si="46"/>
        <v>0</v>
      </c>
      <c r="AW12">
        <f t="shared" si="0"/>
        <v>15966.13</v>
      </c>
      <c r="AX12">
        <f t="shared" si="47"/>
        <v>187.35</v>
      </c>
      <c r="AY12">
        <f t="shared" si="48"/>
        <v>550</v>
      </c>
    </row>
    <row r="13" spans="1:51" x14ac:dyDescent="0.35">
      <c r="A13">
        <v>7</v>
      </c>
      <c r="C13">
        <f t="shared" si="1"/>
        <v>0</v>
      </c>
      <c r="D13">
        <f t="shared" si="2"/>
        <v>50</v>
      </c>
      <c r="E13">
        <f t="shared" si="3"/>
        <v>40</v>
      </c>
      <c r="F13">
        <f t="shared" si="4"/>
        <v>145</v>
      </c>
      <c r="G13">
        <f t="shared" si="5"/>
        <v>315</v>
      </c>
      <c r="H13">
        <f t="shared" si="6"/>
        <v>0</v>
      </c>
      <c r="I13">
        <f t="shared" si="7"/>
        <v>0</v>
      </c>
      <c r="J13">
        <f t="shared" si="8"/>
        <v>0</v>
      </c>
      <c r="K13">
        <f t="shared" si="9"/>
        <v>0</v>
      </c>
      <c r="L13">
        <f t="shared" si="10"/>
        <v>0</v>
      </c>
      <c r="M13">
        <f t="shared" si="11"/>
        <v>0</v>
      </c>
      <c r="N13">
        <f t="shared" si="12"/>
        <v>0</v>
      </c>
      <c r="O13">
        <f t="shared" si="13"/>
        <v>0</v>
      </c>
      <c r="P13">
        <f t="shared" si="14"/>
        <v>0</v>
      </c>
      <c r="Q13">
        <f t="shared" si="15"/>
        <v>0</v>
      </c>
      <c r="R13">
        <f t="shared" si="16"/>
        <v>0</v>
      </c>
      <c r="S13">
        <f t="shared" si="17"/>
        <v>0</v>
      </c>
      <c r="T13">
        <f t="shared" si="18"/>
        <v>0</v>
      </c>
      <c r="U13">
        <f t="shared" si="19"/>
        <v>0</v>
      </c>
      <c r="V13">
        <f t="shared" si="20"/>
        <v>0</v>
      </c>
      <c r="W13">
        <f t="shared" si="21"/>
        <v>0</v>
      </c>
      <c r="X13">
        <f t="shared" si="22"/>
        <v>0</v>
      </c>
      <c r="Y13">
        <f t="shared" si="23"/>
        <v>0</v>
      </c>
      <c r="Z13">
        <f t="shared" si="24"/>
        <v>0</v>
      </c>
      <c r="AA13">
        <f t="shared" si="25"/>
        <v>0</v>
      </c>
      <c r="AB13">
        <f t="shared" si="26"/>
        <v>0</v>
      </c>
      <c r="AC13">
        <f t="shared" si="27"/>
        <v>0</v>
      </c>
      <c r="AD13">
        <f t="shared" si="28"/>
        <v>0</v>
      </c>
      <c r="AE13">
        <f t="shared" si="29"/>
        <v>0</v>
      </c>
      <c r="AF13">
        <f t="shared" si="30"/>
        <v>0</v>
      </c>
      <c r="AG13">
        <f t="shared" si="31"/>
        <v>0</v>
      </c>
      <c r="AH13">
        <f t="shared" si="32"/>
        <v>300</v>
      </c>
      <c r="AI13">
        <f t="shared" si="33"/>
        <v>1117.0999999999999</v>
      </c>
      <c r="AJ13">
        <f t="shared" si="34"/>
        <v>4522.07</v>
      </c>
      <c r="AK13">
        <f t="shared" si="35"/>
        <v>9661.43</v>
      </c>
      <c r="AL13">
        <f t="shared" si="36"/>
        <v>0</v>
      </c>
      <c r="AM13">
        <f t="shared" si="37"/>
        <v>0</v>
      </c>
      <c r="AN13">
        <f t="shared" si="38"/>
        <v>0</v>
      </c>
      <c r="AO13">
        <f t="shared" si="39"/>
        <v>0</v>
      </c>
      <c r="AP13">
        <f t="shared" si="40"/>
        <v>0</v>
      </c>
      <c r="AQ13">
        <f t="shared" si="41"/>
        <v>0</v>
      </c>
      <c r="AR13">
        <f t="shared" si="42"/>
        <v>0</v>
      </c>
      <c r="AS13">
        <f t="shared" si="43"/>
        <v>0</v>
      </c>
      <c r="AT13">
        <f t="shared" si="44"/>
        <v>0</v>
      </c>
      <c r="AU13">
        <f t="shared" si="45"/>
        <v>0</v>
      </c>
      <c r="AV13">
        <f t="shared" si="46"/>
        <v>0</v>
      </c>
      <c r="AW13">
        <f t="shared" si="0"/>
        <v>15600.6</v>
      </c>
      <c r="AX13">
        <f t="shared" si="47"/>
        <v>184.47</v>
      </c>
      <c r="AY13">
        <f t="shared" si="48"/>
        <v>550</v>
      </c>
    </row>
    <row r="14" spans="1:51" x14ac:dyDescent="0.35">
      <c r="A14">
        <v>8</v>
      </c>
      <c r="C14">
        <f t="shared" si="1"/>
        <v>0</v>
      </c>
      <c r="D14">
        <f t="shared" si="2"/>
        <v>50</v>
      </c>
      <c r="E14">
        <f t="shared" si="3"/>
        <v>40</v>
      </c>
      <c r="F14">
        <f t="shared" si="4"/>
        <v>145</v>
      </c>
      <c r="G14">
        <f t="shared" si="5"/>
        <v>315</v>
      </c>
      <c r="H14">
        <f t="shared" si="6"/>
        <v>0</v>
      </c>
      <c r="I14">
        <f t="shared" si="7"/>
        <v>0</v>
      </c>
      <c r="J14">
        <f t="shared" si="8"/>
        <v>0</v>
      </c>
      <c r="K14">
        <f t="shared" si="9"/>
        <v>0</v>
      </c>
      <c r="L14">
        <f t="shared" si="10"/>
        <v>0</v>
      </c>
      <c r="M14">
        <f t="shared" si="11"/>
        <v>0</v>
      </c>
      <c r="N14">
        <f t="shared" si="12"/>
        <v>0</v>
      </c>
      <c r="O14">
        <f t="shared" si="13"/>
        <v>0</v>
      </c>
      <c r="P14">
        <f t="shared" si="14"/>
        <v>0</v>
      </c>
      <c r="Q14">
        <f t="shared" si="15"/>
        <v>0</v>
      </c>
      <c r="R14">
        <f t="shared" si="16"/>
        <v>0</v>
      </c>
      <c r="S14">
        <f t="shared" si="17"/>
        <v>0</v>
      </c>
      <c r="T14">
        <f t="shared" si="18"/>
        <v>0</v>
      </c>
      <c r="U14">
        <f t="shared" si="19"/>
        <v>0</v>
      </c>
      <c r="V14">
        <f t="shared" si="20"/>
        <v>0</v>
      </c>
      <c r="W14">
        <f t="shared" si="21"/>
        <v>0</v>
      </c>
      <c r="X14">
        <f t="shared" si="22"/>
        <v>0</v>
      </c>
      <c r="Y14">
        <f t="shared" si="23"/>
        <v>0</v>
      </c>
      <c r="Z14">
        <f t="shared" si="24"/>
        <v>0</v>
      </c>
      <c r="AA14">
        <f t="shared" si="25"/>
        <v>0</v>
      </c>
      <c r="AB14">
        <f t="shared" si="26"/>
        <v>0</v>
      </c>
      <c r="AC14">
        <f t="shared" si="27"/>
        <v>0</v>
      </c>
      <c r="AD14">
        <f t="shared" si="28"/>
        <v>0</v>
      </c>
      <c r="AE14">
        <f t="shared" si="29"/>
        <v>0</v>
      </c>
      <c r="AF14">
        <f t="shared" si="30"/>
        <v>0</v>
      </c>
      <c r="AG14">
        <f t="shared" si="31"/>
        <v>0</v>
      </c>
      <c r="AH14">
        <f t="shared" si="32"/>
        <v>250</v>
      </c>
      <c r="AI14">
        <f t="shared" si="33"/>
        <v>1104.0899999999999</v>
      </c>
      <c r="AJ14">
        <f t="shared" si="34"/>
        <v>4471.24</v>
      </c>
      <c r="AK14">
        <f t="shared" si="35"/>
        <v>9406.81</v>
      </c>
      <c r="AL14">
        <f t="shared" si="36"/>
        <v>0</v>
      </c>
      <c r="AM14">
        <f t="shared" si="37"/>
        <v>0</v>
      </c>
      <c r="AN14">
        <f t="shared" si="38"/>
        <v>0</v>
      </c>
      <c r="AO14">
        <f t="shared" si="39"/>
        <v>0</v>
      </c>
      <c r="AP14">
        <f t="shared" si="40"/>
        <v>0</v>
      </c>
      <c r="AQ14">
        <f t="shared" si="41"/>
        <v>0</v>
      </c>
      <c r="AR14">
        <f t="shared" si="42"/>
        <v>0</v>
      </c>
      <c r="AS14">
        <f t="shared" si="43"/>
        <v>0</v>
      </c>
      <c r="AT14">
        <f t="shared" si="44"/>
        <v>0</v>
      </c>
      <c r="AU14">
        <f t="shared" si="45"/>
        <v>0</v>
      </c>
      <c r="AV14">
        <f t="shared" si="46"/>
        <v>0</v>
      </c>
      <c r="AW14">
        <f t="shared" si="0"/>
        <v>15232.14</v>
      </c>
      <c r="AX14">
        <f t="shared" si="47"/>
        <v>181.54</v>
      </c>
      <c r="AY14">
        <f t="shared" si="48"/>
        <v>550</v>
      </c>
    </row>
    <row r="15" spans="1:51" x14ac:dyDescent="0.35">
      <c r="A15">
        <v>9</v>
      </c>
      <c r="C15">
        <f t="shared" si="1"/>
        <v>0</v>
      </c>
      <c r="D15">
        <f t="shared" si="2"/>
        <v>50</v>
      </c>
      <c r="E15">
        <f t="shared" si="3"/>
        <v>40</v>
      </c>
      <c r="F15">
        <f t="shared" si="4"/>
        <v>145</v>
      </c>
      <c r="G15">
        <f t="shared" si="5"/>
        <v>315</v>
      </c>
      <c r="H15">
        <f t="shared" si="6"/>
        <v>0</v>
      </c>
      <c r="I15">
        <f t="shared" si="7"/>
        <v>0</v>
      </c>
      <c r="J15">
        <f t="shared" si="8"/>
        <v>0</v>
      </c>
      <c r="K15">
        <f t="shared" si="9"/>
        <v>0</v>
      </c>
      <c r="L15">
        <f t="shared" si="10"/>
        <v>0</v>
      </c>
      <c r="M15">
        <f t="shared" si="11"/>
        <v>0</v>
      </c>
      <c r="N15">
        <f t="shared" si="12"/>
        <v>0</v>
      </c>
      <c r="O15">
        <f t="shared" si="13"/>
        <v>0</v>
      </c>
      <c r="P15">
        <f t="shared" si="14"/>
        <v>0</v>
      </c>
      <c r="Q15">
        <f t="shared" si="15"/>
        <v>0</v>
      </c>
      <c r="R15">
        <f t="shared" si="16"/>
        <v>0</v>
      </c>
      <c r="S15">
        <f t="shared" si="17"/>
        <v>0</v>
      </c>
      <c r="T15">
        <f t="shared" si="18"/>
        <v>0</v>
      </c>
      <c r="U15">
        <f t="shared" si="19"/>
        <v>0</v>
      </c>
      <c r="V15">
        <f t="shared" si="20"/>
        <v>0</v>
      </c>
      <c r="W15">
        <f t="shared" si="21"/>
        <v>0</v>
      </c>
      <c r="X15">
        <f t="shared" si="22"/>
        <v>0</v>
      </c>
      <c r="Y15">
        <f t="shared" si="23"/>
        <v>0</v>
      </c>
      <c r="Z15">
        <f t="shared" si="24"/>
        <v>0</v>
      </c>
      <c r="AA15">
        <f t="shared" si="25"/>
        <v>0</v>
      </c>
      <c r="AB15">
        <f t="shared" si="26"/>
        <v>0</v>
      </c>
      <c r="AC15">
        <f t="shared" si="27"/>
        <v>0</v>
      </c>
      <c r="AD15">
        <f t="shared" si="28"/>
        <v>0</v>
      </c>
      <c r="AE15">
        <f t="shared" si="29"/>
        <v>0</v>
      </c>
      <c r="AF15">
        <f t="shared" si="30"/>
        <v>0</v>
      </c>
      <c r="AG15">
        <f t="shared" si="31"/>
        <v>0</v>
      </c>
      <c r="AH15">
        <f t="shared" si="32"/>
        <v>200</v>
      </c>
      <c r="AI15">
        <f t="shared" si="33"/>
        <v>1090.76</v>
      </c>
      <c r="AJ15">
        <f t="shared" si="34"/>
        <v>4419.3500000000004</v>
      </c>
      <c r="AK15">
        <f t="shared" si="35"/>
        <v>9150.6</v>
      </c>
      <c r="AL15">
        <f t="shared" si="36"/>
        <v>0</v>
      </c>
      <c r="AM15">
        <f t="shared" si="37"/>
        <v>0</v>
      </c>
      <c r="AN15">
        <f t="shared" si="38"/>
        <v>0</v>
      </c>
      <c r="AO15">
        <f t="shared" si="39"/>
        <v>0</v>
      </c>
      <c r="AP15">
        <f t="shared" si="40"/>
        <v>0</v>
      </c>
      <c r="AQ15">
        <f t="shared" si="41"/>
        <v>0</v>
      </c>
      <c r="AR15">
        <f t="shared" si="42"/>
        <v>0</v>
      </c>
      <c r="AS15">
        <f t="shared" si="43"/>
        <v>0</v>
      </c>
      <c r="AT15">
        <f t="shared" si="44"/>
        <v>0</v>
      </c>
      <c r="AU15">
        <f t="shared" si="45"/>
        <v>0</v>
      </c>
      <c r="AV15">
        <f t="shared" si="46"/>
        <v>0</v>
      </c>
      <c r="AW15">
        <f t="shared" si="0"/>
        <v>14860.710000000001</v>
      </c>
      <c r="AX15">
        <f t="shared" si="47"/>
        <v>178.57</v>
      </c>
      <c r="AY15">
        <f t="shared" si="48"/>
        <v>550</v>
      </c>
    </row>
    <row r="16" spans="1:51" x14ac:dyDescent="0.35">
      <c r="A16">
        <v>10</v>
      </c>
      <c r="C16">
        <f t="shared" si="1"/>
        <v>0</v>
      </c>
      <c r="D16">
        <f t="shared" si="2"/>
        <v>50</v>
      </c>
      <c r="E16">
        <f t="shared" si="3"/>
        <v>40</v>
      </c>
      <c r="F16">
        <f t="shared" si="4"/>
        <v>145</v>
      </c>
      <c r="G16">
        <f t="shared" si="5"/>
        <v>315</v>
      </c>
      <c r="H16">
        <f t="shared" si="6"/>
        <v>0</v>
      </c>
      <c r="I16">
        <f t="shared" si="7"/>
        <v>0</v>
      </c>
      <c r="J16">
        <f t="shared" si="8"/>
        <v>0</v>
      </c>
      <c r="K16">
        <f t="shared" si="9"/>
        <v>0</v>
      </c>
      <c r="L16">
        <f t="shared" si="10"/>
        <v>0</v>
      </c>
      <c r="M16">
        <f t="shared" si="11"/>
        <v>0</v>
      </c>
      <c r="N16">
        <f t="shared" si="12"/>
        <v>0</v>
      </c>
      <c r="O16">
        <f t="shared" si="13"/>
        <v>0</v>
      </c>
      <c r="P16">
        <f t="shared" si="14"/>
        <v>0</v>
      </c>
      <c r="Q16">
        <f t="shared" si="15"/>
        <v>0</v>
      </c>
      <c r="R16">
        <f t="shared" si="16"/>
        <v>0</v>
      </c>
      <c r="S16">
        <f t="shared" si="17"/>
        <v>0</v>
      </c>
      <c r="T16">
        <f t="shared" si="18"/>
        <v>0</v>
      </c>
      <c r="U16">
        <f t="shared" si="19"/>
        <v>0</v>
      </c>
      <c r="V16">
        <f t="shared" si="20"/>
        <v>0</v>
      </c>
      <c r="W16">
        <f t="shared" si="21"/>
        <v>0</v>
      </c>
      <c r="X16">
        <f t="shared" si="22"/>
        <v>0</v>
      </c>
      <c r="Y16">
        <f t="shared" si="23"/>
        <v>0</v>
      </c>
      <c r="Z16">
        <f t="shared" si="24"/>
        <v>0</v>
      </c>
      <c r="AA16">
        <f t="shared" si="25"/>
        <v>0</v>
      </c>
      <c r="AB16">
        <f t="shared" si="26"/>
        <v>0</v>
      </c>
      <c r="AC16">
        <f t="shared" si="27"/>
        <v>0</v>
      </c>
      <c r="AD16">
        <f t="shared" si="28"/>
        <v>0</v>
      </c>
      <c r="AE16">
        <f t="shared" si="29"/>
        <v>0</v>
      </c>
      <c r="AF16">
        <f t="shared" si="30"/>
        <v>0</v>
      </c>
      <c r="AG16">
        <f t="shared" si="31"/>
        <v>0</v>
      </c>
      <c r="AH16">
        <f t="shared" si="32"/>
        <v>150</v>
      </c>
      <c r="AI16">
        <f t="shared" si="33"/>
        <v>1077.1099999999999</v>
      </c>
      <c r="AJ16">
        <f t="shared" si="34"/>
        <v>4366.38</v>
      </c>
      <c r="AK16">
        <f t="shared" si="35"/>
        <v>8892.7900000000009</v>
      </c>
      <c r="AL16">
        <f t="shared" si="36"/>
        <v>0</v>
      </c>
      <c r="AM16">
        <f t="shared" si="37"/>
        <v>0</v>
      </c>
      <c r="AN16">
        <f t="shared" si="38"/>
        <v>0</v>
      </c>
      <c r="AO16">
        <f t="shared" si="39"/>
        <v>0</v>
      </c>
      <c r="AP16">
        <f t="shared" si="40"/>
        <v>0</v>
      </c>
      <c r="AQ16">
        <f t="shared" si="41"/>
        <v>0</v>
      </c>
      <c r="AR16">
        <f t="shared" si="42"/>
        <v>0</v>
      </c>
      <c r="AS16">
        <f t="shared" si="43"/>
        <v>0</v>
      </c>
      <c r="AT16">
        <f t="shared" si="44"/>
        <v>0</v>
      </c>
      <c r="AU16">
        <f t="shared" si="45"/>
        <v>0</v>
      </c>
      <c r="AV16">
        <f t="shared" si="46"/>
        <v>0</v>
      </c>
      <c r="AW16">
        <f t="shared" si="0"/>
        <v>14486.28</v>
      </c>
      <c r="AX16">
        <f t="shared" si="47"/>
        <v>175.57</v>
      </c>
      <c r="AY16">
        <f t="shared" si="48"/>
        <v>550</v>
      </c>
    </row>
    <row r="17" spans="1:51" x14ac:dyDescent="0.35">
      <c r="A17">
        <v>11</v>
      </c>
      <c r="C17">
        <f t="shared" si="1"/>
        <v>0</v>
      </c>
      <c r="D17">
        <f t="shared" si="2"/>
        <v>50</v>
      </c>
      <c r="E17">
        <f t="shared" si="3"/>
        <v>40</v>
      </c>
      <c r="F17">
        <f t="shared" si="4"/>
        <v>145</v>
      </c>
      <c r="G17">
        <f t="shared" si="5"/>
        <v>315</v>
      </c>
      <c r="H17">
        <f t="shared" si="6"/>
        <v>0</v>
      </c>
      <c r="I17">
        <f t="shared" si="7"/>
        <v>0</v>
      </c>
      <c r="J17">
        <f t="shared" si="8"/>
        <v>0</v>
      </c>
      <c r="K17">
        <f t="shared" si="9"/>
        <v>0</v>
      </c>
      <c r="L17">
        <f t="shared" si="10"/>
        <v>0</v>
      </c>
      <c r="M17">
        <f t="shared" si="11"/>
        <v>0</v>
      </c>
      <c r="N17">
        <f t="shared" si="12"/>
        <v>0</v>
      </c>
      <c r="O17">
        <f t="shared" si="13"/>
        <v>0</v>
      </c>
      <c r="P17">
        <f t="shared" si="14"/>
        <v>0</v>
      </c>
      <c r="Q17">
        <f t="shared" si="15"/>
        <v>0</v>
      </c>
      <c r="R17">
        <f t="shared" si="16"/>
        <v>0</v>
      </c>
      <c r="S17">
        <f t="shared" si="17"/>
        <v>0</v>
      </c>
      <c r="T17">
        <f t="shared" si="18"/>
        <v>0</v>
      </c>
      <c r="U17">
        <f t="shared" si="19"/>
        <v>0</v>
      </c>
      <c r="V17">
        <f t="shared" si="20"/>
        <v>0</v>
      </c>
      <c r="W17">
        <f t="shared" si="21"/>
        <v>0</v>
      </c>
      <c r="X17">
        <f t="shared" si="22"/>
        <v>0</v>
      </c>
      <c r="Y17">
        <f t="shared" si="23"/>
        <v>0</v>
      </c>
      <c r="Z17">
        <f t="shared" si="24"/>
        <v>0</v>
      </c>
      <c r="AA17">
        <f t="shared" si="25"/>
        <v>0</v>
      </c>
      <c r="AB17">
        <f t="shared" si="26"/>
        <v>0</v>
      </c>
      <c r="AC17">
        <f t="shared" si="27"/>
        <v>0</v>
      </c>
      <c r="AD17">
        <f t="shared" si="28"/>
        <v>0</v>
      </c>
      <c r="AE17">
        <f t="shared" si="29"/>
        <v>0</v>
      </c>
      <c r="AF17">
        <f t="shared" si="30"/>
        <v>0</v>
      </c>
      <c r="AG17">
        <f t="shared" si="31"/>
        <v>0</v>
      </c>
      <c r="AH17">
        <f t="shared" si="32"/>
        <v>100</v>
      </c>
      <c r="AI17">
        <f t="shared" si="33"/>
        <v>1063.1300000000001</v>
      </c>
      <c r="AJ17">
        <f t="shared" si="34"/>
        <v>4312.3100000000004</v>
      </c>
      <c r="AK17">
        <f t="shared" si="35"/>
        <v>8633.3700000000008</v>
      </c>
      <c r="AL17">
        <f t="shared" si="36"/>
        <v>0</v>
      </c>
      <c r="AM17">
        <f t="shared" si="37"/>
        <v>0</v>
      </c>
      <c r="AN17">
        <f t="shared" si="38"/>
        <v>0</v>
      </c>
      <c r="AO17">
        <f t="shared" si="39"/>
        <v>0</v>
      </c>
      <c r="AP17">
        <f t="shared" si="40"/>
        <v>0</v>
      </c>
      <c r="AQ17">
        <f t="shared" si="41"/>
        <v>0</v>
      </c>
      <c r="AR17">
        <f t="shared" si="42"/>
        <v>0</v>
      </c>
      <c r="AS17">
        <f t="shared" si="43"/>
        <v>0</v>
      </c>
      <c r="AT17">
        <f t="shared" si="44"/>
        <v>0</v>
      </c>
      <c r="AU17">
        <f t="shared" si="45"/>
        <v>0</v>
      </c>
      <c r="AV17">
        <f t="shared" si="46"/>
        <v>0</v>
      </c>
      <c r="AW17">
        <f t="shared" si="0"/>
        <v>14108.810000000001</v>
      </c>
      <c r="AX17">
        <f t="shared" si="47"/>
        <v>172.53</v>
      </c>
      <c r="AY17">
        <f t="shared" si="48"/>
        <v>550</v>
      </c>
    </row>
    <row r="18" spans="1:51" x14ac:dyDescent="0.35">
      <c r="A18">
        <v>12</v>
      </c>
      <c r="C18">
        <f t="shared" si="1"/>
        <v>0</v>
      </c>
      <c r="D18">
        <f t="shared" si="2"/>
        <v>50</v>
      </c>
      <c r="E18">
        <f t="shared" si="3"/>
        <v>40</v>
      </c>
      <c r="F18">
        <f t="shared" si="4"/>
        <v>145</v>
      </c>
      <c r="G18">
        <f t="shared" si="5"/>
        <v>315</v>
      </c>
      <c r="H18">
        <f t="shared" si="6"/>
        <v>0</v>
      </c>
      <c r="I18">
        <f t="shared" si="7"/>
        <v>0</v>
      </c>
      <c r="J18">
        <f t="shared" si="8"/>
        <v>0</v>
      </c>
      <c r="K18">
        <f t="shared" si="9"/>
        <v>0</v>
      </c>
      <c r="L18">
        <f t="shared" si="10"/>
        <v>0</v>
      </c>
      <c r="M18">
        <f t="shared" si="11"/>
        <v>0</v>
      </c>
      <c r="N18">
        <f t="shared" si="12"/>
        <v>0</v>
      </c>
      <c r="O18">
        <f t="shared" si="13"/>
        <v>0</v>
      </c>
      <c r="P18">
        <f t="shared" si="14"/>
        <v>0</v>
      </c>
      <c r="Q18">
        <f t="shared" si="15"/>
        <v>0</v>
      </c>
      <c r="R18">
        <f t="shared" si="16"/>
        <v>0</v>
      </c>
      <c r="S18">
        <f t="shared" si="17"/>
        <v>0</v>
      </c>
      <c r="T18">
        <f t="shared" si="18"/>
        <v>0</v>
      </c>
      <c r="U18">
        <f t="shared" si="19"/>
        <v>0</v>
      </c>
      <c r="V18">
        <f t="shared" si="20"/>
        <v>0</v>
      </c>
      <c r="W18">
        <f t="shared" si="21"/>
        <v>0</v>
      </c>
      <c r="X18">
        <f t="shared" si="22"/>
        <v>0</v>
      </c>
      <c r="Y18">
        <f t="shared" si="23"/>
        <v>0</v>
      </c>
      <c r="Z18">
        <f t="shared" si="24"/>
        <v>0</v>
      </c>
      <c r="AA18">
        <f t="shared" si="25"/>
        <v>0</v>
      </c>
      <c r="AB18">
        <f t="shared" si="26"/>
        <v>0</v>
      </c>
      <c r="AC18">
        <f t="shared" si="27"/>
        <v>0</v>
      </c>
      <c r="AD18">
        <f t="shared" si="28"/>
        <v>0</v>
      </c>
      <c r="AE18">
        <f t="shared" si="29"/>
        <v>0</v>
      </c>
      <c r="AF18">
        <f t="shared" si="30"/>
        <v>0</v>
      </c>
      <c r="AG18">
        <f t="shared" si="31"/>
        <v>0</v>
      </c>
      <c r="AH18">
        <f t="shared" si="32"/>
        <v>50</v>
      </c>
      <c r="AI18">
        <f t="shared" si="33"/>
        <v>1048.81</v>
      </c>
      <c r="AJ18">
        <f t="shared" si="34"/>
        <v>4257.1099999999997</v>
      </c>
      <c r="AK18">
        <f t="shared" si="35"/>
        <v>8372.33</v>
      </c>
      <c r="AL18">
        <f t="shared" si="36"/>
        <v>0</v>
      </c>
      <c r="AM18">
        <f t="shared" si="37"/>
        <v>0</v>
      </c>
      <c r="AN18">
        <f t="shared" si="38"/>
        <v>0</v>
      </c>
      <c r="AO18">
        <f t="shared" si="39"/>
        <v>0</v>
      </c>
      <c r="AP18">
        <f t="shared" si="40"/>
        <v>0</v>
      </c>
      <c r="AQ18">
        <f t="shared" si="41"/>
        <v>0</v>
      </c>
      <c r="AR18">
        <f t="shared" si="42"/>
        <v>0</v>
      </c>
      <c r="AS18">
        <f t="shared" si="43"/>
        <v>0</v>
      </c>
      <c r="AT18">
        <f t="shared" si="44"/>
        <v>0</v>
      </c>
      <c r="AU18">
        <f t="shared" si="45"/>
        <v>0</v>
      </c>
      <c r="AV18">
        <f t="shared" si="46"/>
        <v>0</v>
      </c>
      <c r="AW18">
        <f t="shared" si="0"/>
        <v>13728.25</v>
      </c>
      <c r="AX18">
        <f t="shared" si="47"/>
        <v>169.44</v>
      </c>
      <c r="AY18">
        <f t="shared" si="48"/>
        <v>550</v>
      </c>
    </row>
    <row r="19" spans="1:51" x14ac:dyDescent="0.35">
      <c r="A19">
        <v>13</v>
      </c>
      <c r="C19">
        <f t="shared" si="1"/>
        <v>0</v>
      </c>
      <c r="D19">
        <f t="shared" si="2"/>
        <v>50</v>
      </c>
      <c r="E19">
        <f t="shared" si="3"/>
        <v>40</v>
      </c>
      <c r="F19">
        <f t="shared" si="4"/>
        <v>145</v>
      </c>
      <c r="G19">
        <f t="shared" si="5"/>
        <v>315</v>
      </c>
      <c r="H19">
        <f t="shared" si="6"/>
        <v>0</v>
      </c>
      <c r="I19">
        <f t="shared" si="7"/>
        <v>0</v>
      </c>
      <c r="J19">
        <f t="shared" si="8"/>
        <v>0</v>
      </c>
      <c r="K19">
        <f t="shared" si="9"/>
        <v>0</v>
      </c>
      <c r="L19">
        <f t="shared" si="10"/>
        <v>0</v>
      </c>
      <c r="M19">
        <f t="shared" si="11"/>
        <v>0</v>
      </c>
      <c r="N19">
        <f t="shared" si="12"/>
        <v>0</v>
      </c>
      <c r="O19">
        <f t="shared" si="13"/>
        <v>0</v>
      </c>
      <c r="P19">
        <f t="shared" si="14"/>
        <v>0</v>
      </c>
      <c r="Q19">
        <f t="shared" si="15"/>
        <v>0</v>
      </c>
      <c r="R19">
        <f t="shared" si="16"/>
        <v>0</v>
      </c>
      <c r="S19">
        <f t="shared" si="17"/>
        <v>0</v>
      </c>
      <c r="T19">
        <f t="shared" si="18"/>
        <v>0</v>
      </c>
      <c r="U19">
        <f t="shared" si="19"/>
        <v>0</v>
      </c>
      <c r="V19">
        <f t="shared" si="20"/>
        <v>0</v>
      </c>
      <c r="W19">
        <f t="shared" si="21"/>
        <v>0</v>
      </c>
      <c r="X19">
        <f t="shared" si="22"/>
        <v>0</v>
      </c>
      <c r="Y19">
        <f t="shared" si="23"/>
        <v>0</v>
      </c>
      <c r="Z19">
        <f t="shared" si="24"/>
        <v>0</v>
      </c>
      <c r="AA19">
        <f t="shared" si="25"/>
        <v>0</v>
      </c>
      <c r="AB19">
        <f t="shared" si="26"/>
        <v>0</v>
      </c>
      <c r="AC19">
        <f t="shared" si="27"/>
        <v>0</v>
      </c>
      <c r="AD19">
        <f t="shared" si="28"/>
        <v>0</v>
      </c>
      <c r="AE19">
        <f t="shared" si="29"/>
        <v>0</v>
      </c>
      <c r="AF19">
        <f t="shared" si="30"/>
        <v>0</v>
      </c>
      <c r="AG19">
        <f t="shared" si="31"/>
        <v>0</v>
      </c>
      <c r="AH19">
        <f t="shared" si="32"/>
        <v>0</v>
      </c>
      <c r="AI19">
        <f t="shared" si="33"/>
        <v>1034.1500000000001</v>
      </c>
      <c r="AJ19">
        <f t="shared" si="34"/>
        <v>4200.76</v>
      </c>
      <c r="AK19">
        <f t="shared" si="35"/>
        <v>8109.66</v>
      </c>
      <c r="AL19">
        <f t="shared" si="36"/>
        <v>0</v>
      </c>
      <c r="AM19">
        <f t="shared" si="37"/>
        <v>0</v>
      </c>
      <c r="AN19">
        <f t="shared" si="38"/>
        <v>0</v>
      </c>
      <c r="AO19">
        <f t="shared" si="39"/>
        <v>0</v>
      </c>
      <c r="AP19">
        <f t="shared" si="40"/>
        <v>0</v>
      </c>
      <c r="AQ19">
        <f t="shared" si="41"/>
        <v>0</v>
      </c>
      <c r="AR19">
        <f t="shared" si="42"/>
        <v>0</v>
      </c>
      <c r="AS19">
        <f t="shared" si="43"/>
        <v>0</v>
      </c>
      <c r="AT19">
        <f t="shared" si="44"/>
        <v>0</v>
      </c>
      <c r="AU19">
        <f t="shared" si="45"/>
        <v>0</v>
      </c>
      <c r="AV19">
        <f t="shared" si="46"/>
        <v>0</v>
      </c>
      <c r="AW19">
        <f t="shared" si="0"/>
        <v>13344.57</v>
      </c>
      <c r="AX19">
        <f t="shared" si="47"/>
        <v>166.32</v>
      </c>
      <c r="AY19">
        <f t="shared" si="48"/>
        <v>550</v>
      </c>
    </row>
    <row r="20" spans="1:51" x14ac:dyDescent="0.35">
      <c r="A20">
        <v>14</v>
      </c>
      <c r="C20">
        <f t="shared" si="1"/>
        <v>0</v>
      </c>
      <c r="D20">
        <f t="shared" si="2"/>
        <v>0</v>
      </c>
      <c r="E20">
        <f t="shared" si="3"/>
        <v>40</v>
      </c>
      <c r="F20">
        <f t="shared" si="4"/>
        <v>145</v>
      </c>
      <c r="G20">
        <f t="shared" si="5"/>
        <v>315</v>
      </c>
      <c r="H20">
        <f t="shared" si="6"/>
        <v>0</v>
      </c>
      <c r="I20">
        <f t="shared" si="7"/>
        <v>0</v>
      </c>
      <c r="J20">
        <f t="shared" si="8"/>
        <v>0</v>
      </c>
      <c r="K20">
        <f t="shared" si="9"/>
        <v>0</v>
      </c>
      <c r="L20">
        <f t="shared" si="10"/>
        <v>0</v>
      </c>
      <c r="M20">
        <f t="shared" si="11"/>
        <v>0</v>
      </c>
      <c r="N20">
        <f t="shared" si="12"/>
        <v>0</v>
      </c>
      <c r="O20">
        <f t="shared" si="13"/>
        <v>0</v>
      </c>
      <c r="P20">
        <f t="shared" si="14"/>
        <v>0</v>
      </c>
      <c r="Q20">
        <f t="shared" si="15"/>
        <v>0</v>
      </c>
      <c r="R20">
        <f t="shared" si="16"/>
        <v>0</v>
      </c>
      <c r="S20">
        <f t="shared" si="17"/>
        <v>0</v>
      </c>
      <c r="T20">
        <f t="shared" si="18"/>
        <v>0</v>
      </c>
      <c r="U20">
        <f t="shared" si="19"/>
        <v>0</v>
      </c>
      <c r="V20">
        <f t="shared" si="20"/>
        <v>0</v>
      </c>
      <c r="W20">
        <f t="shared" si="21"/>
        <v>0</v>
      </c>
      <c r="X20">
        <f t="shared" si="22"/>
        <v>0</v>
      </c>
      <c r="Y20">
        <f t="shared" si="23"/>
        <v>0</v>
      </c>
      <c r="Z20">
        <f t="shared" si="24"/>
        <v>0</v>
      </c>
      <c r="AA20">
        <f t="shared" si="25"/>
        <v>0</v>
      </c>
      <c r="AB20">
        <f t="shared" si="26"/>
        <v>0</v>
      </c>
      <c r="AC20">
        <f t="shared" si="27"/>
        <v>0</v>
      </c>
      <c r="AD20">
        <f t="shared" si="28"/>
        <v>0</v>
      </c>
      <c r="AE20">
        <f t="shared" si="29"/>
        <v>0</v>
      </c>
      <c r="AF20">
        <f t="shared" si="30"/>
        <v>0</v>
      </c>
      <c r="AG20">
        <f t="shared" si="31"/>
        <v>0</v>
      </c>
      <c r="AH20">
        <f t="shared" si="32"/>
        <v>0</v>
      </c>
      <c r="AI20">
        <f t="shared" si="33"/>
        <v>1019.13</v>
      </c>
      <c r="AJ20">
        <f t="shared" si="34"/>
        <v>4143.24</v>
      </c>
      <c r="AK20">
        <f t="shared" si="35"/>
        <v>7845.35</v>
      </c>
      <c r="AL20">
        <f t="shared" si="36"/>
        <v>0</v>
      </c>
      <c r="AM20">
        <f t="shared" si="37"/>
        <v>0</v>
      </c>
      <c r="AN20">
        <f t="shared" si="38"/>
        <v>0</v>
      </c>
      <c r="AO20">
        <f t="shared" si="39"/>
        <v>0</v>
      </c>
      <c r="AP20">
        <f t="shared" si="40"/>
        <v>0</v>
      </c>
      <c r="AQ20">
        <f t="shared" si="41"/>
        <v>0</v>
      </c>
      <c r="AR20">
        <f t="shared" si="42"/>
        <v>0</v>
      </c>
      <c r="AS20">
        <f t="shared" si="43"/>
        <v>0</v>
      </c>
      <c r="AT20">
        <f t="shared" si="44"/>
        <v>0</v>
      </c>
      <c r="AU20">
        <f t="shared" si="45"/>
        <v>0</v>
      </c>
      <c r="AV20">
        <f t="shared" si="46"/>
        <v>0</v>
      </c>
      <c r="AW20">
        <f t="shared" si="0"/>
        <v>13007.720000000001</v>
      </c>
      <c r="AX20">
        <f t="shared" si="47"/>
        <v>163.15</v>
      </c>
      <c r="AY20">
        <f t="shared" si="48"/>
        <v>500</v>
      </c>
    </row>
    <row r="21" spans="1:51" x14ac:dyDescent="0.35">
      <c r="A21">
        <v>15</v>
      </c>
      <c r="C21">
        <f t="shared" si="1"/>
        <v>0</v>
      </c>
      <c r="D21">
        <f t="shared" si="2"/>
        <v>0</v>
      </c>
      <c r="E21">
        <f t="shared" si="3"/>
        <v>40</v>
      </c>
      <c r="F21">
        <f t="shared" si="4"/>
        <v>145</v>
      </c>
      <c r="G21">
        <f t="shared" si="5"/>
        <v>315</v>
      </c>
      <c r="H21">
        <f t="shared" si="6"/>
        <v>0</v>
      </c>
      <c r="I21">
        <f t="shared" si="7"/>
        <v>0</v>
      </c>
      <c r="J21">
        <f t="shared" si="8"/>
        <v>0</v>
      </c>
      <c r="K21">
        <f t="shared" si="9"/>
        <v>0</v>
      </c>
      <c r="L21">
        <f t="shared" si="10"/>
        <v>0</v>
      </c>
      <c r="M21">
        <f t="shared" si="11"/>
        <v>0</v>
      </c>
      <c r="N21">
        <f t="shared" si="12"/>
        <v>0</v>
      </c>
      <c r="O21">
        <f t="shared" si="13"/>
        <v>0</v>
      </c>
      <c r="P21">
        <f t="shared" si="14"/>
        <v>0</v>
      </c>
      <c r="Q21">
        <f t="shared" si="15"/>
        <v>0</v>
      </c>
      <c r="R21">
        <f t="shared" si="16"/>
        <v>0</v>
      </c>
      <c r="S21">
        <f t="shared" si="17"/>
        <v>0</v>
      </c>
      <c r="T21">
        <f t="shared" si="18"/>
        <v>0</v>
      </c>
      <c r="U21">
        <f t="shared" si="19"/>
        <v>0</v>
      </c>
      <c r="V21">
        <f t="shared" si="20"/>
        <v>0</v>
      </c>
      <c r="W21">
        <f t="shared" si="21"/>
        <v>0</v>
      </c>
      <c r="X21">
        <f t="shared" si="22"/>
        <v>0</v>
      </c>
      <c r="Y21">
        <f t="shared" si="23"/>
        <v>0</v>
      </c>
      <c r="Z21">
        <f t="shared" si="24"/>
        <v>0</v>
      </c>
      <c r="AA21">
        <f t="shared" si="25"/>
        <v>0</v>
      </c>
      <c r="AB21">
        <f t="shared" si="26"/>
        <v>0</v>
      </c>
      <c r="AC21">
        <f t="shared" si="27"/>
        <v>0</v>
      </c>
      <c r="AD21">
        <f t="shared" si="28"/>
        <v>0</v>
      </c>
      <c r="AE21">
        <f t="shared" si="29"/>
        <v>0</v>
      </c>
      <c r="AF21">
        <f t="shared" si="30"/>
        <v>0</v>
      </c>
      <c r="AG21">
        <f t="shared" si="31"/>
        <v>0</v>
      </c>
      <c r="AH21">
        <f t="shared" si="32"/>
        <v>0</v>
      </c>
      <c r="AI21">
        <f t="shared" si="33"/>
        <v>1003.75</v>
      </c>
      <c r="AJ21">
        <f t="shared" si="34"/>
        <v>4084.52</v>
      </c>
      <c r="AK21">
        <f t="shared" si="35"/>
        <v>7579.38</v>
      </c>
      <c r="AL21">
        <f t="shared" si="36"/>
        <v>0</v>
      </c>
      <c r="AM21">
        <f t="shared" si="37"/>
        <v>0</v>
      </c>
      <c r="AN21">
        <f t="shared" si="38"/>
        <v>0</v>
      </c>
      <c r="AO21">
        <f t="shared" si="39"/>
        <v>0</v>
      </c>
      <c r="AP21">
        <f t="shared" si="40"/>
        <v>0</v>
      </c>
      <c r="AQ21">
        <f t="shared" si="41"/>
        <v>0</v>
      </c>
      <c r="AR21">
        <f t="shared" si="42"/>
        <v>0</v>
      </c>
      <c r="AS21">
        <f t="shared" si="43"/>
        <v>0</v>
      </c>
      <c r="AT21">
        <f t="shared" si="44"/>
        <v>0</v>
      </c>
      <c r="AU21">
        <f t="shared" si="45"/>
        <v>0</v>
      </c>
      <c r="AV21">
        <f t="shared" si="46"/>
        <v>0</v>
      </c>
      <c r="AW21">
        <f t="shared" si="0"/>
        <v>12667.650000000001</v>
      </c>
      <c r="AX21">
        <f t="shared" si="47"/>
        <v>159.93</v>
      </c>
      <c r="AY21">
        <f t="shared" si="48"/>
        <v>500</v>
      </c>
    </row>
    <row r="22" spans="1:51" x14ac:dyDescent="0.35">
      <c r="A22">
        <v>16</v>
      </c>
      <c r="C22">
        <f t="shared" si="1"/>
        <v>0</v>
      </c>
      <c r="D22">
        <f t="shared" si="2"/>
        <v>0</v>
      </c>
      <c r="E22">
        <f t="shared" si="3"/>
        <v>40</v>
      </c>
      <c r="F22">
        <f t="shared" si="4"/>
        <v>145</v>
      </c>
      <c r="G22">
        <f t="shared" si="5"/>
        <v>315</v>
      </c>
      <c r="H22">
        <f t="shared" si="6"/>
        <v>0</v>
      </c>
      <c r="I22">
        <f t="shared" si="7"/>
        <v>0</v>
      </c>
      <c r="J22">
        <f t="shared" si="8"/>
        <v>0</v>
      </c>
      <c r="K22">
        <f t="shared" si="9"/>
        <v>0</v>
      </c>
      <c r="L22">
        <f t="shared" si="10"/>
        <v>0</v>
      </c>
      <c r="M22">
        <f t="shared" si="11"/>
        <v>0</v>
      </c>
      <c r="N22">
        <f t="shared" si="12"/>
        <v>0</v>
      </c>
      <c r="O22">
        <f t="shared" si="13"/>
        <v>0</v>
      </c>
      <c r="P22">
        <f t="shared" si="14"/>
        <v>0</v>
      </c>
      <c r="Q22">
        <f t="shared" si="15"/>
        <v>0</v>
      </c>
      <c r="R22">
        <f t="shared" si="16"/>
        <v>0</v>
      </c>
      <c r="S22">
        <f t="shared" si="17"/>
        <v>0</v>
      </c>
      <c r="T22">
        <f t="shared" si="18"/>
        <v>0</v>
      </c>
      <c r="U22">
        <f t="shared" si="19"/>
        <v>0</v>
      </c>
      <c r="V22">
        <f t="shared" si="20"/>
        <v>0</v>
      </c>
      <c r="W22">
        <f t="shared" si="21"/>
        <v>0</v>
      </c>
      <c r="X22">
        <f t="shared" si="22"/>
        <v>0</v>
      </c>
      <c r="Y22">
        <f t="shared" si="23"/>
        <v>0</v>
      </c>
      <c r="Z22">
        <f t="shared" si="24"/>
        <v>0</v>
      </c>
      <c r="AA22">
        <f t="shared" si="25"/>
        <v>0</v>
      </c>
      <c r="AB22">
        <f t="shared" si="26"/>
        <v>0</v>
      </c>
      <c r="AC22">
        <f t="shared" si="27"/>
        <v>0</v>
      </c>
      <c r="AD22">
        <f t="shared" si="28"/>
        <v>0</v>
      </c>
      <c r="AE22">
        <f t="shared" si="29"/>
        <v>0</v>
      </c>
      <c r="AF22">
        <f t="shared" si="30"/>
        <v>0</v>
      </c>
      <c r="AG22">
        <f t="shared" si="31"/>
        <v>0</v>
      </c>
      <c r="AH22">
        <f t="shared" si="32"/>
        <v>0</v>
      </c>
      <c r="AI22">
        <f t="shared" si="33"/>
        <v>988</v>
      </c>
      <c r="AJ22">
        <f t="shared" si="34"/>
        <v>4024.58</v>
      </c>
      <c r="AK22">
        <f t="shared" si="35"/>
        <v>7311.75</v>
      </c>
      <c r="AL22">
        <f t="shared" si="36"/>
        <v>0</v>
      </c>
      <c r="AM22">
        <f t="shared" si="37"/>
        <v>0</v>
      </c>
      <c r="AN22">
        <f t="shared" si="38"/>
        <v>0</v>
      </c>
      <c r="AO22">
        <f t="shared" si="39"/>
        <v>0</v>
      </c>
      <c r="AP22">
        <f t="shared" si="40"/>
        <v>0</v>
      </c>
      <c r="AQ22">
        <f t="shared" si="41"/>
        <v>0</v>
      </c>
      <c r="AR22">
        <f t="shared" si="42"/>
        <v>0</v>
      </c>
      <c r="AS22">
        <f t="shared" si="43"/>
        <v>0</v>
      </c>
      <c r="AT22">
        <f t="shared" si="44"/>
        <v>0</v>
      </c>
      <c r="AU22">
        <f t="shared" si="45"/>
        <v>0</v>
      </c>
      <c r="AV22">
        <f t="shared" si="46"/>
        <v>0</v>
      </c>
      <c r="AW22">
        <f t="shared" si="0"/>
        <v>12324.33</v>
      </c>
      <c r="AX22">
        <f t="shared" si="47"/>
        <v>156.68</v>
      </c>
      <c r="AY22">
        <f t="shared" si="48"/>
        <v>500</v>
      </c>
    </row>
    <row r="23" spans="1:51" x14ac:dyDescent="0.35">
      <c r="A23">
        <v>17</v>
      </c>
      <c r="C23">
        <f t="shared" si="1"/>
        <v>0</v>
      </c>
      <c r="D23">
        <f t="shared" si="2"/>
        <v>0</v>
      </c>
      <c r="E23">
        <f t="shared" si="3"/>
        <v>40</v>
      </c>
      <c r="F23">
        <f t="shared" si="4"/>
        <v>145</v>
      </c>
      <c r="G23">
        <f t="shared" si="5"/>
        <v>315</v>
      </c>
      <c r="H23">
        <f t="shared" si="6"/>
        <v>0</v>
      </c>
      <c r="I23">
        <f t="shared" si="7"/>
        <v>0</v>
      </c>
      <c r="J23">
        <f t="shared" si="8"/>
        <v>0</v>
      </c>
      <c r="K23">
        <f t="shared" si="9"/>
        <v>0</v>
      </c>
      <c r="L23">
        <f t="shared" si="10"/>
        <v>0</v>
      </c>
      <c r="M23">
        <f t="shared" si="11"/>
        <v>0</v>
      </c>
      <c r="N23">
        <f t="shared" si="12"/>
        <v>0</v>
      </c>
      <c r="O23">
        <f t="shared" si="13"/>
        <v>0</v>
      </c>
      <c r="P23">
        <f t="shared" si="14"/>
        <v>0</v>
      </c>
      <c r="Q23">
        <f t="shared" si="15"/>
        <v>0</v>
      </c>
      <c r="R23">
        <f t="shared" si="16"/>
        <v>0</v>
      </c>
      <c r="S23">
        <f t="shared" si="17"/>
        <v>0</v>
      </c>
      <c r="T23">
        <f t="shared" si="18"/>
        <v>0</v>
      </c>
      <c r="U23">
        <f t="shared" si="19"/>
        <v>0</v>
      </c>
      <c r="V23">
        <f t="shared" si="20"/>
        <v>0</v>
      </c>
      <c r="W23">
        <f t="shared" si="21"/>
        <v>0</v>
      </c>
      <c r="X23">
        <f t="shared" si="22"/>
        <v>0</v>
      </c>
      <c r="Y23">
        <f t="shared" si="23"/>
        <v>0</v>
      </c>
      <c r="Z23">
        <f t="shared" si="24"/>
        <v>0</v>
      </c>
      <c r="AA23">
        <f t="shared" si="25"/>
        <v>0</v>
      </c>
      <c r="AB23">
        <f t="shared" si="26"/>
        <v>0</v>
      </c>
      <c r="AC23">
        <f t="shared" si="27"/>
        <v>0</v>
      </c>
      <c r="AD23">
        <f t="shared" si="28"/>
        <v>0</v>
      </c>
      <c r="AE23">
        <f t="shared" si="29"/>
        <v>0</v>
      </c>
      <c r="AF23">
        <f t="shared" si="30"/>
        <v>0</v>
      </c>
      <c r="AG23">
        <f t="shared" si="31"/>
        <v>0</v>
      </c>
      <c r="AH23">
        <f t="shared" si="32"/>
        <v>0</v>
      </c>
      <c r="AI23">
        <f t="shared" si="33"/>
        <v>971.87</v>
      </c>
      <c r="AJ23">
        <f t="shared" si="34"/>
        <v>3963.39</v>
      </c>
      <c r="AK23">
        <f t="shared" si="35"/>
        <v>7042.45</v>
      </c>
      <c r="AL23">
        <f t="shared" si="36"/>
        <v>0</v>
      </c>
      <c r="AM23">
        <f t="shared" si="37"/>
        <v>0</v>
      </c>
      <c r="AN23">
        <f t="shared" si="38"/>
        <v>0</v>
      </c>
      <c r="AO23">
        <f t="shared" si="39"/>
        <v>0</v>
      </c>
      <c r="AP23">
        <f t="shared" si="40"/>
        <v>0</v>
      </c>
      <c r="AQ23">
        <f t="shared" si="41"/>
        <v>0</v>
      </c>
      <c r="AR23">
        <f t="shared" si="42"/>
        <v>0</v>
      </c>
      <c r="AS23">
        <f t="shared" si="43"/>
        <v>0</v>
      </c>
      <c r="AT23">
        <f t="shared" si="44"/>
        <v>0</v>
      </c>
      <c r="AU23">
        <f t="shared" si="45"/>
        <v>0</v>
      </c>
      <c r="AV23">
        <f t="shared" si="46"/>
        <v>0</v>
      </c>
      <c r="AW23">
        <f t="shared" si="0"/>
        <v>11977.71</v>
      </c>
      <c r="AX23">
        <f t="shared" si="47"/>
        <v>153.38</v>
      </c>
      <c r="AY23">
        <f t="shared" si="48"/>
        <v>500</v>
      </c>
    </row>
    <row r="24" spans="1:51" x14ac:dyDescent="0.35">
      <c r="A24">
        <v>18</v>
      </c>
      <c r="C24">
        <f t="shared" si="1"/>
        <v>0</v>
      </c>
      <c r="D24">
        <f t="shared" si="2"/>
        <v>0</v>
      </c>
      <c r="E24">
        <f t="shared" si="3"/>
        <v>40</v>
      </c>
      <c r="F24">
        <f t="shared" si="4"/>
        <v>145</v>
      </c>
      <c r="G24">
        <f t="shared" si="5"/>
        <v>315</v>
      </c>
      <c r="H24">
        <f t="shared" si="6"/>
        <v>0</v>
      </c>
      <c r="I24">
        <f t="shared" si="7"/>
        <v>0</v>
      </c>
      <c r="J24">
        <f t="shared" si="8"/>
        <v>0</v>
      </c>
      <c r="K24">
        <f t="shared" si="9"/>
        <v>0</v>
      </c>
      <c r="L24">
        <f t="shared" si="10"/>
        <v>0</v>
      </c>
      <c r="M24">
        <f t="shared" si="11"/>
        <v>0</v>
      </c>
      <c r="N24">
        <f t="shared" si="12"/>
        <v>0</v>
      </c>
      <c r="O24">
        <f t="shared" si="13"/>
        <v>0</v>
      </c>
      <c r="P24">
        <f t="shared" si="14"/>
        <v>0</v>
      </c>
      <c r="Q24">
        <f t="shared" si="15"/>
        <v>0</v>
      </c>
      <c r="R24">
        <f t="shared" si="16"/>
        <v>0</v>
      </c>
      <c r="S24">
        <f t="shared" si="17"/>
        <v>0</v>
      </c>
      <c r="T24">
        <f t="shared" si="18"/>
        <v>0</v>
      </c>
      <c r="U24">
        <f t="shared" si="19"/>
        <v>0</v>
      </c>
      <c r="V24">
        <f t="shared" si="20"/>
        <v>0</v>
      </c>
      <c r="W24">
        <f t="shared" si="21"/>
        <v>0</v>
      </c>
      <c r="X24">
        <f t="shared" si="22"/>
        <v>0</v>
      </c>
      <c r="Y24">
        <f t="shared" si="23"/>
        <v>0</v>
      </c>
      <c r="Z24">
        <f t="shared" si="24"/>
        <v>0</v>
      </c>
      <c r="AA24">
        <f t="shared" si="25"/>
        <v>0</v>
      </c>
      <c r="AB24">
        <f t="shared" si="26"/>
        <v>0</v>
      </c>
      <c r="AC24">
        <f t="shared" si="27"/>
        <v>0</v>
      </c>
      <c r="AD24">
        <f t="shared" si="28"/>
        <v>0</v>
      </c>
      <c r="AE24">
        <f t="shared" si="29"/>
        <v>0</v>
      </c>
      <c r="AF24">
        <f t="shared" si="30"/>
        <v>0</v>
      </c>
      <c r="AG24">
        <f t="shared" si="31"/>
        <v>0</v>
      </c>
      <c r="AH24">
        <f t="shared" si="32"/>
        <v>0</v>
      </c>
      <c r="AI24">
        <f t="shared" si="33"/>
        <v>955.35</v>
      </c>
      <c r="AJ24">
        <f t="shared" si="34"/>
        <v>3900.93</v>
      </c>
      <c r="AK24">
        <f t="shared" si="35"/>
        <v>6771.47</v>
      </c>
      <c r="AL24">
        <f t="shared" si="36"/>
        <v>0</v>
      </c>
      <c r="AM24">
        <f t="shared" si="37"/>
        <v>0</v>
      </c>
      <c r="AN24">
        <f t="shared" si="38"/>
        <v>0</v>
      </c>
      <c r="AO24">
        <f t="shared" si="39"/>
        <v>0</v>
      </c>
      <c r="AP24">
        <f t="shared" si="40"/>
        <v>0</v>
      </c>
      <c r="AQ24">
        <f t="shared" si="41"/>
        <v>0</v>
      </c>
      <c r="AR24">
        <f t="shared" si="42"/>
        <v>0</v>
      </c>
      <c r="AS24">
        <f t="shared" si="43"/>
        <v>0</v>
      </c>
      <c r="AT24">
        <f t="shared" si="44"/>
        <v>0</v>
      </c>
      <c r="AU24">
        <f t="shared" si="45"/>
        <v>0</v>
      </c>
      <c r="AV24">
        <f t="shared" si="46"/>
        <v>0</v>
      </c>
      <c r="AW24">
        <f t="shared" si="0"/>
        <v>11627.75</v>
      </c>
      <c r="AX24">
        <f t="shared" si="47"/>
        <v>150.04000000000002</v>
      </c>
      <c r="AY24">
        <f t="shared" si="48"/>
        <v>500</v>
      </c>
    </row>
    <row r="25" spans="1:51" x14ac:dyDescent="0.35">
      <c r="A25">
        <v>19</v>
      </c>
      <c r="C25">
        <f t="shared" si="1"/>
        <v>0</v>
      </c>
      <c r="D25">
        <f t="shared" si="2"/>
        <v>0</v>
      </c>
      <c r="E25">
        <f t="shared" si="3"/>
        <v>40</v>
      </c>
      <c r="F25">
        <f t="shared" si="4"/>
        <v>145</v>
      </c>
      <c r="G25">
        <f t="shared" si="5"/>
        <v>315</v>
      </c>
      <c r="H25">
        <f t="shared" si="6"/>
        <v>0</v>
      </c>
      <c r="I25">
        <f t="shared" si="7"/>
        <v>0</v>
      </c>
      <c r="J25">
        <f t="shared" si="8"/>
        <v>0</v>
      </c>
      <c r="K25">
        <f t="shared" si="9"/>
        <v>0</v>
      </c>
      <c r="L25">
        <f t="shared" si="10"/>
        <v>0</v>
      </c>
      <c r="M25">
        <f t="shared" si="11"/>
        <v>0</v>
      </c>
      <c r="N25">
        <f t="shared" si="12"/>
        <v>0</v>
      </c>
      <c r="O25">
        <f t="shared" si="13"/>
        <v>0</v>
      </c>
      <c r="P25">
        <f t="shared" si="14"/>
        <v>0</v>
      </c>
      <c r="Q25">
        <f t="shared" si="15"/>
        <v>0</v>
      </c>
      <c r="R25">
        <f t="shared" si="16"/>
        <v>0</v>
      </c>
      <c r="S25">
        <f t="shared" si="17"/>
        <v>0</v>
      </c>
      <c r="T25">
        <f t="shared" si="18"/>
        <v>0</v>
      </c>
      <c r="U25">
        <f t="shared" si="19"/>
        <v>0</v>
      </c>
      <c r="V25">
        <f t="shared" si="20"/>
        <v>0</v>
      </c>
      <c r="W25">
        <f t="shared" si="21"/>
        <v>0</v>
      </c>
      <c r="X25">
        <f t="shared" si="22"/>
        <v>0</v>
      </c>
      <c r="Y25">
        <f t="shared" si="23"/>
        <v>0</v>
      </c>
      <c r="Z25">
        <f t="shared" si="24"/>
        <v>0</v>
      </c>
      <c r="AA25">
        <f t="shared" si="25"/>
        <v>0</v>
      </c>
      <c r="AB25">
        <f t="shared" si="26"/>
        <v>0</v>
      </c>
      <c r="AC25">
        <f t="shared" si="27"/>
        <v>0</v>
      </c>
      <c r="AD25">
        <f t="shared" si="28"/>
        <v>0</v>
      </c>
      <c r="AE25">
        <f t="shared" si="29"/>
        <v>0</v>
      </c>
      <c r="AF25">
        <f t="shared" si="30"/>
        <v>0</v>
      </c>
      <c r="AG25">
        <f t="shared" si="31"/>
        <v>0</v>
      </c>
      <c r="AH25">
        <f t="shared" si="32"/>
        <v>0</v>
      </c>
      <c r="AI25">
        <f t="shared" si="33"/>
        <v>938.43</v>
      </c>
      <c r="AJ25">
        <f t="shared" si="34"/>
        <v>3837.17</v>
      </c>
      <c r="AK25">
        <f t="shared" si="35"/>
        <v>6498.79</v>
      </c>
      <c r="AL25">
        <f t="shared" si="36"/>
        <v>0</v>
      </c>
      <c r="AM25">
        <f t="shared" si="37"/>
        <v>0</v>
      </c>
      <c r="AN25">
        <f t="shared" si="38"/>
        <v>0</v>
      </c>
      <c r="AO25">
        <f t="shared" si="39"/>
        <v>0</v>
      </c>
      <c r="AP25">
        <f t="shared" si="40"/>
        <v>0</v>
      </c>
      <c r="AQ25">
        <f t="shared" si="41"/>
        <v>0</v>
      </c>
      <c r="AR25">
        <f t="shared" si="42"/>
        <v>0</v>
      </c>
      <c r="AS25">
        <f t="shared" si="43"/>
        <v>0</v>
      </c>
      <c r="AT25">
        <f t="shared" si="44"/>
        <v>0</v>
      </c>
      <c r="AU25">
        <f t="shared" si="45"/>
        <v>0</v>
      </c>
      <c r="AV25">
        <f t="shared" si="46"/>
        <v>0</v>
      </c>
      <c r="AW25">
        <f t="shared" si="0"/>
        <v>11274.39</v>
      </c>
      <c r="AX25">
        <f t="shared" si="47"/>
        <v>146.63999999999999</v>
      </c>
      <c r="AY25">
        <f t="shared" si="48"/>
        <v>500</v>
      </c>
    </row>
    <row r="26" spans="1:51" x14ac:dyDescent="0.35">
      <c r="A26">
        <v>20</v>
      </c>
      <c r="C26">
        <f t="shared" si="1"/>
        <v>0</v>
      </c>
      <c r="D26">
        <f t="shared" si="2"/>
        <v>0</v>
      </c>
      <c r="E26">
        <f t="shared" si="3"/>
        <v>40</v>
      </c>
      <c r="F26">
        <f t="shared" si="4"/>
        <v>145</v>
      </c>
      <c r="G26">
        <f t="shared" si="5"/>
        <v>315</v>
      </c>
      <c r="H26">
        <f t="shared" si="6"/>
        <v>0</v>
      </c>
      <c r="I26">
        <f t="shared" si="7"/>
        <v>0</v>
      </c>
      <c r="J26">
        <f t="shared" si="8"/>
        <v>0</v>
      </c>
      <c r="K26">
        <f t="shared" si="9"/>
        <v>0</v>
      </c>
      <c r="L26">
        <f t="shared" si="10"/>
        <v>0</v>
      </c>
      <c r="M26">
        <f t="shared" si="11"/>
        <v>0</v>
      </c>
      <c r="N26">
        <f t="shared" si="12"/>
        <v>0</v>
      </c>
      <c r="O26">
        <f t="shared" si="13"/>
        <v>0</v>
      </c>
      <c r="P26">
        <f t="shared" si="14"/>
        <v>0</v>
      </c>
      <c r="Q26">
        <f t="shared" si="15"/>
        <v>0</v>
      </c>
      <c r="R26">
        <f t="shared" si="16"/>
        <v>0</v>
      </c>
      <c r="S26">
        <f t="shared" si="17"/>
        <v>0</v>
      </c>
      <c r="T26">
        <f t="shared" si="18"/>
        <v>0</v>
      </c>
      <c r="U26">
        <f t="shared" si="19"/>
        <v>0</v>
      </c>
      <c r="V26">
        <f t="shared" si="20"/>
        <v>0</v>
      </c>
      <c r="W26">
        <f t="shared" si="21"/>
        <v>0</v>
      </c>
      <c r="X26">
        <f t="shared" si="22"/>
        <v>0</v>
      </c>
      <c r="Y26">
        <f t="shared" si="23"/>
        <v>0</v>
      </c>
      <c r="Z26">
        <f t="shared" si="24"/>
        <v>0</v>
      </c>
      <c r="AA26">
        <f t="shared" si="25"/>
        <v>0</v>
      </c>
      <c r="AB26">
        <f t="shared" si="26"/>
        <v>0</v>
      </c>
      <c r="AC26">
        <f t="shared" si="27"/>
        <v>0</v>
      </c>
      <c r="AD26">
        <f t="shared" si="28"/>
        <v>0</v>
      </c>
      <c r="AE26">
        <f t="shared" si="29"/>
        <v>0</v>
      </c>
      <c r="AF26">
        <f t="shared" si="30"/>
        <v>0</v>
      </c>
      <c r="AG26">
        <f t="shared" si="31"/>
        <v>0</v>
      </c>
      <c r="AH26">
        <f t="shared" si="32"/>
        <v>0</v>
      </c>
      <c r="AI26">
        <f t="shared" si="33"/>
        <v>921.1</v>
      </c>
      <c r="AJ26">
        <f t="shared" si="34"/>
        <v>3772.08</v>
      </c>
      <c r="AK26">
        <f t="shared" si="35"/>
        <v>6224.41</v>
      </c>
      <c r="AL26">
        <f t="shared" si="36"/>
        <v>0</v>
      </c>
      <c r="AM26">
        <f t="shared" si="37"/>
        <v>0</v>
      </c>
      <c r="AN26">
        <f t="shared" si="38"/>
        <v>0</v>
      </c>
      <c r="AO26">
        <f t="shared" si="39"/>
        <v>0</v>
      </c>
      <c r="AP26">
        <f t="shared" si="40"/>
        <v>0</v>
      </c>
      <c r="AQ26">
        <f t="shared" si="41"/>
        <v>0</v>
      </c>
      <c r="AR26">
        <f t="shared" si="42"/>
        <v>0</v>
      </c>
      <c r="AS26">
        <f t="shared" si="43"/>
        <v>0</v>
      </c>
      <c r="AT26">
        <f t="shared" si="44"/>
        <v>0</v>
      </c>
      <c r="AU26">
        <f t="shared" si="45"/>
        <v>0</v>
      </c>
      <c r="AV26">
        <f t="shared" si="46"/>
        <v>0</v>
      </c>
      <c r="AW26">
        <f t="shared" si="0"/>
        <v>10917.59</v>
      </c>
      <c r="AX26">
        <f t="shared" si="47"/>
        <v>143.19999999999999</v>
      </c>
      <c r="AY26">
        <f t="shared" si="48"/>
        <v>500</v>
      </c>
    </row>
    <row r="27" spans="1:51" x14ac:dyDescent="0.35">
      <c r="A27">
        <v>21</v>
      </c>
      <c r="C27">
        <f t="shared" si="1"/>
        <v>0</v>
      </c>
      <c r="D27">
        <f t="shared" si="2"/>
        <v>0</v>
      </c>
      <c r="E27">
        <f t="shared" si="3"/>
        <v>40</v>
      </c>
      <c r="F27">
        <f t="shared" si="4"/>
        <v>145</v>
      </c>
      <c r="G27">
        <f t="shared" si="5"/>
        <v>315</v>
      </c>
      <c r="H27">
        <f t="shared" si="6"/>
        <v>0</v>
      </c>
      <c r="I27">
        <f t="shared" si="7"/>
        <v>0</v>
      </c>
      <c r="J27">
        <f t="shared" si="8"/>
        <v>0</v>
      </c>
      <c r="K27">
        <f t="shared" si="9"/>
        <v>0</v>
      </c>
      <c r="L27">
        <f t="shared" si="10"/>
        <v>0</v>
      </c>
      <c r="M27">
        <f t="shared" si="11"/>
        <v>0</v>
      </c>
      <c r="N27">
        <f t="shared" si="12"/>
        <v>0</v>
      </c>
      <c r="O27">
        <f t="shared" si="13"/>
        <v>0</v>
      </c>
      <c r="P27">
        <f t="shared" si="14"/>
        <v>0</v>
      </c>
      <c r="Q27">
        <f t="shared" si="15"/>
        <v>0</v>
      </c>
      <c r="R27">
        <f t="shared" si="16"/>
        <v>0</v>
      </c>
      <c r="S27">
        <f t="shared" si="17"/>
        <v>0</v>
      </c>
      <c r="T27">
        <f t="shared" si="18"/>
        <v>0</v>
      </c>
      <c r="U27">
        <f t="shared" si="19"/>
        <v>0</v>
      </c>
      <c r="V27">
        <f t="shared" si="20"/>
        <v>0</v>
      </c>
      <c r="W27">
        <f t="shared" si="21"/>
        <v>0</v>
      </c>
      <c r="X27">
        <f t="shared" si="22"/>
        <v>0</v>
      </c>
      <c r="Y27">
        <f t="shared" si="23"/>
        <v>0</v>
      </c>
      <c r="Z27">
        <f t="shared" si="24"/>
        <v>0</v>
      </c>
      <c r="AA27">
        <f t="shared" si="25"/>
        <v>0</v>
      </c>
      <c r="AB27">
        <f t="shared" si="26"/>
        <v>0</v>
      </c>
      <c r="AC27">
        <f t="shared" si="27"/>
        <v>0</v>
      </c>
      <c r="AD27">
        <f t="shared" si="28"/>
        <v>0</v>
      </c>
      <c r="AE27">
        <f t="shared" si="29"/>
        <v>0</v>
      </c>
      <c r="AF27">
        <f t="shared" si="30"/>
        <v>0</v>
      </c>
      <c r="AG27">
        <f t="shared" si="31"/>
        <v>0</v>
      </c>
      <c r="AH27">
        <f t="shared" si="32"/>
        <v>0</v>
      </c>
      <c r="AI27">
        <f t="shared" si="33"/>
        <v>903.35</v>
      </c>
      <c r="AJ27">
        <f t="shared" si="34"/>
        <v>3705.63</v>
      </c>
      <c r="AK27">
        <f t="shared" si="35"/>
        <v>5948.31</v>
      </c>
      <c r="AL27">
        <f t="shared" si="36"/>
        <v>0</v>
      </c>
      <c r="AM27">
        <f t="shared" si="37"/>
        <v>0</v>
      </c>
      <c r="AN27">
        <f t="shared" si="38"/>
        <v>0</v>
      </c>
      <c r="AO27">
        <f t="shared" si="39"/>
        <v>0</v>
      </c>
      <c r="AP27">
        <f t="shared" si="40"/>
        <v>0</v>
      </c>
      <c r="AQ27">
        <f t="shared" si="41"/>
        <v>0</v>
      </c>
      <c r="AR27">
        <f t="shared" si="42"/>
        <v>0</v>
      </c>
      <c r="AS27">
        <f t="shared" si="43"/>
        <v>0</v>
      </c>
      <c r="AT27">
        <f t="shared" si="44"/>
        <v>0</v>
      </c>
      <c r="AU27">
        <f t="shared" si="45"/>
        <v>0</v>
      </c>
      <c r="AV27">
        <f t="shared" si="46"/>
        <v>0</v>
      </c>
      <c r="AW27">
        <f t="shared" si="0"/>
        <v>10557.29</v>
      </c>
      <c r="AX27">
        <f t="shared" si="47"/>
        <v>139.69999999999999</v>
      </c>
      <c r="AY27">
        <f t="shared" si="48"/>
        <v>500</v>
      </c>
    </row>
    <row r="28" spans="1:51" x14ac:dyDescent="0.35">
      <c r="A28">
        <v>22</v>
      </c>
      <c r="C28">
        <f t="shared" si="1"/>
        <v>0</v>
      </c>
      <c r="D28">
        <f t="shared" si="2"/>
        <v>0</v>
      </c>
      <c r="E28">
        <f t="shared" si="3"/>
        <v>40</v>
      </c>
      <c r="F28">
        <f t="shared" si="4"/>
        <v>145</v>
      </c>
      <c r="G28">
        <f t="shared" si="5"/>
        <v>315</v>
      </c>
      <c r="H28">
        <f t="shared" si="6"/>
        <v>0</v>
      </c>
      <c r="I28">
        <f t="shared" si="7"/>
        <v>0</v>
      </c>
      <c r="J28">
        <f t="shared" si="8"/>
        <v>0</v>
      </c>
      <c r="K28">
        <f t="shared" si="9"/>
        <v>0</v>
      </c>
      <c r="L28">
        <f t="shared" si="10"/>
        <v>0</v>
      </c>
      <c r="M28">
        <f t="shared" si="11"/>
        <v>0</v>
      </c>
      <c r="N28">
        <f t="shared" si="12"/>
        <v>0</v>
      </c>
      <c r="O28">
        <f t="shared" si="13"/>
        <v>0</v>
      </c>
      <c r="P28">
        <f t="shared" si="14"/>
        <v>0</v>
      </c>
      <c r="Q28">
        <f t="shared" si="15"/>
        <v>0</v>
      </c>
      <c r="R28">
        <f t="shared" si="16"/>
        <v>0</v>
      </c>
      <c r="S28">
        <f t="shared" si="17"/>
        <v>0</v>
      </c>
      <c r="T28">
        <f t="shared" si="18"/>
        <v>0</v>
      </c>
      <c r="U28">
        <f t="shared" si="19"/>
        <v>0</v>
      </c>
      <c r="V28">
        <f t="shared" si="20"/>
        <v>0</v>
      </c>
      <c r="W28">
        <f t="shared" si="21"/>
        <v>0</v>
      </c>
      <c r="X28">
        <f t="shared" si="22"/>
        <v>0</v>
      </c>
      <c r="Y28">
        <f t="shared" si="23"/>
        <v>0</v>
      </c>
      <c r="Z28">
        <f t="shared" si="24"/>
        <v>0</v>
      </c>
      <c r="AA28">
        <f t="shared" si="25"/>
        <v>0</v>
      </c>
      <c r="AB28">
        <f t="shared" si="26"/>
        <v>0</v>
      </c>
      <c r="AC28">
        <f t="shared" si="27"/>
        <v>0</v>
      </c>
      <c r="AD28">
        <f t="shared" si="28"/>
        <v>0</v>
      </c>
      <c r="AE28">
        <f t="shared" si="29"/>
        <v>0</v>
      </c>
      <c r="AF28">
        <f t="shared" si="30"/>
        <v>0</v>
      </c>
      <c r="AG28">
        <f t="shared" si="31"/>
        <v>0</v>
      </c>
      <c r="AH28">
        <f t="shared" si="32"/>
        <v>0</v>
      </c>
      <c r="AI28">
        <f t="shared" si="33"/>
        <v>885.17</v>
      </c>
      <c r="AJ28">
        <f t="shared" si="34"/>
        <v>3637.8</v>
      </c>
      <c r="AK28">
        <f t="shared" si="35"/>
        <v>5670.49</v>
      </c>
      <c r="AL28">
        <f t="shared" si="36"/>
        <v>0</v>
      </c>
      <c r="AM28">
        <f t="shared" si="37"/>
        <v>0</v>
      </c>
      <c r="AN28">
        <f t="shared" si="38"/>
        <v>0</v>
      </c>
      <c r="AO28">
        <f t="shared" si="39"/>
        <v>0</v>
      </c>
      <c r="AP28">
        <f t="shared" si="40"/>
        <v>0</v>
      </c>
      <c r="AQ28">
        <f t="shared" si="41"/>
        <v>0</v>
      </c>
      <c r="AR28">
        <f t="shared" si="42"/>
        <v>0</v>
      </c>
      <c r="AS28">
        <f t="shared" si="43"/>
        <v>0</v>
      </c>
      <c r="AT28">
        <f t="shared" si="44"/>
        <v>0</v>
      </c>
      <c r="AU28">
        <f t="shared" si="45"/>
        <v>0</v>
      </c>
      <c r="AV28">
        <f t="shared" si="46"/>
        <v>0</v>
      </c>
      <c r="AW28">
        <f t="shared" si="0"/>
        <v>10193.459999999999</v>
      </c>
      <c r="AX28">
        <f t="shared" si="47"/>
        <v>136.17000000000002</v>
      </c>
      <c r="AY28">
        <f t="shared" si="48"/>
        <v>500</v>
      </c>
    </row>
    <row r="29" spans="1:51" x14ac:dyDescent="0.35">
      <c r="A29">
        <v>23</v>
      </c>
      <c r="C29">
        <f t="shared" si="1"/>
        <v>0</v>
      </c>
      <c r="D29">
        <f t="shared" si="2"/>
        <v>0</v>
      </c>
      <c r="E29">
        <f t="shared" si="3"/>
        <v>40</v>
      </c>
      <c r="F29">
        <f t="shared" si="4"/>
        <v>145</v>
      </c>
      <c r="G29">
        <f t="shared" si="5"/>
        <v>315</v>
      </c>
      <c r="H29">
        <f t="shared" si="6"/>
        <v>0</v>
      </c>
      <c r="I29">
        <f t="shared" si="7"/>
        <v>0</v>
      </c>
      <c r="J29">
        <f t="shared" si="8"/>
        <v>0</v>
      </c>
      <c r="K29">
        <f t="shared" si="9"/>
        <v>0</v>
      </c>
      <c r="L29">
        <f t="shared" si="10"/>
        <v>0</v>
      </c>
      <c r="M29">
        <f t="shared" si="11"/>
        <v>0</v>
      </c>
      <c r="N29">
        <f t="shared" si="12"/>
        <v>0</v>
      </c>
      <c r="O29">
        <f t="shared" si="13"/>
        <v>0</v>
      </c>
      <c r="P29">
        <f t="shared" si="14"/>
        <v>0</v>
      </c>
      <c r="Q29">
        <f t="shared" si="15"/>
        <v>0</v>
      </c>
      <c r="R29">
        <f t="shared" si="16"/>
        <v>0</v>
      </c>
      <c r="S29">
        <f t="shared" si="17"/>
        <v>0</v>
      </c>
      <c r="T29">
        <f t="shared" si="18"/>
        <v>0</v>
      </c>
      <c r="U29">
        <f t="shared" si="19"/>
        <v>0</v>
      </c>
      <c r="V29">
        <f t="shared" si="20"/>
        <v>0</v>
      </c>
      <c r="W29">
        <f t="shared" si="21"/>
        <v>0</v>
      </c>
      <c r="X29">
        <f t="shared" si="22"/>
        <v>0</v>
      </c>
      <c r="Y29">
        <f t="shared" si="23"/>
        <v>0</v>
      </c>
      <c r="Z29">
        <f t="shared" si="24"/>
        <v>0</v>
      </c>
      <c r="AA29">
        <f t="shared" si="25"/>
        <v>0</v>
      </c>
      <c r="AB29">
        <f t="shared" si="26"/>
        <v>0</v>
      </c>
      <c r="AC29">
        <f t="shared" si="27"/>
        <v>0</v>
      </c>
      <c r="AD29">
        <f t="shared" si="28"/>
        <v>0</v>
      </c>
      <c r="AE29">
        <f t="shared" si="29"/>
        <v>0</v>
      </c>
      <c r="AF29">
        <f t="shared" si="30"/>
        <v>0</v>
      </c>
      <c r="AG29">
        <f t="shared" si="31"/>
        <v>0</v>
      </c>
      <c r="AH29">
        <f t="shared" si="32"/>
        <v>0</v>
      </c>
      <c r="AI29">
        <f t="shared" si="33"/>
        <v>866.55</v>
      </c>
      <c r="AJ29">
        <f t="shared" si="34"/>
        <v>3568.56</v>
      </c>
      <c r="AK29">
        <f t="shared" si="35"/>
        <v>5390.93</v>
      </c>
      <c r="AL29">
        <f t="shared" si="36"/>
        <v>0</v>
      </c>
      <c r="AM29">
        <f t="shared" si="37"/>
        <v>0</v>
      </c>
      <c r="AN29">
        <f t="shared" si="38"/>
        <v>0</v>
      </c>
      <c r="AO29">
        <f t="shared" si="39"/>
        <v>0</v>
      </c>
      <c r="AP29">
        <f t="shared" si="40"/>
        <v>0</v>
      </c>
      <c r="AQ29">
        <f t="shared" si="41"/>
        <v>0</v>
      </c>
      <c r="AR29">
        <f t="shared" si="42"/>
        <v>0</v>
      </c>
      <c r="AS29">
        <f t="shared" si="43"/>
        <v>0</v>
      </c>
      <c r="AT29">
        <f t="shared" si="44"/>
        <v>0</v>
      </c>
      <c r="AU29">
        <f t="shared" si="45"/>
        <v>0</v>
      </c>
      <c r="AV29">
        <f t="shared" si="46"/>
        <v>0</v>
      </c>
      <c r="AW29">
        <f t="shared" si="0"/>
        <v>9826.0400000000009</v>
      </c>
      <c r="AX29">
        <f t="shared" si="47"/>
        <v>132.57999999999998</v>
      </c>
      <c r="AY29">
        <f t="shared" si="48"/>
        <v>500</v>
      </c>
    </row>
    <row r="30" spans="1:51" x14ac:dyDescent="0.35">
      <c r="A30">
        <v>24</v>
      </c>
      <c r="C30">
        <f t="shared" si="1"/>
        <v>0</v>
      </c>
      <c r="D30">
        <f t="shared" si="2"/>
        <v>0</v>
      </c>
      <c r="E30">
        <f t="shared" si="3"/>
        <v>40</v>
      </c>
      <c r="F30">
        <f t="shared" si="4"/>
        <v>145</v>
      </c>
      <c r="G30">
        <f t="shared" si="5"/>
        <v>315</v>
      </c>
      <c r="H30">
        <f t="shared" si="6"/>
        <v>0</v>
      </c>
      <c r="I30">
        <f t="shared" si="7"/>
        <v>0</v>
      </c>
      <c r="J30">
        <f t="shared" si="8"/>
        <v>0</v>
      </c>
      <c r="K30">
        <f t="shared" si="9"/>
        <v>0</v>
      </c>
      <c r="L30">
        <f t="shared" si="10"/>
        <v>0</v>
      </c>
      <c r="M30">
        <f t="shared" si="11"/>
        <v>0</v>
      </c>
      <c r="N30">
        <f t="shared" si="12"/>
        <v>0</v>
      </c>
      <c r="O30">
        <f t="shared" si="13"/>
        <v>0</v>
      </c>
      <c r="P30">
        <f t="shared" si="14"/>
        <v>0</v>
      </c>
      <c r="Q30">
        <f t="shared" si="15"/>
        <v>0</v>
      </c>
      <c r="R30">
        <f t="shared" si="16"/>
        <v>0</v>
      </c>
      <c r="S30">
        <f t="shared" si="17"/>
        <v>0</v>
      </c>
      <c r="T30">
        <f t="shared" si="18"/>
        <v>0</v>
      </c>
      <c r="U30">
        <f t="shared" si="19"/>
        <v>0</v>
      </c>
      <c r="V30">
        <f t="shared" si="20"/>
        <v>0</v>
      </c>
      <c r="W30">
        <f t="shared" si="21"/>
        <v>0</v>
      </c>
      <c r="X30">
        <f t="shared" si="22"/>
        <v>0</v>
      </c>
      <c r="Y30">
        <f t="shared" si="23"/>
        <v>0</v>
      </c>
      <c r="Z30">
        <f t="shared" si="24"/>
        <v>0</v>
      </c>
      <c r="AA30">
        <f t="shared" si="25"/>
        <v>0</v>
      </c>
      <c r="AB30">
        <f t="shared" si="26"/>
        <v>0</v>
      </c>
      <c r="AC30">
        <f t="shared" si="27"/>
        <v>0</v>
      </c>
      <c r="AD30">
        <f t="shared" si="28"/>
        <v>0</v>
      </c>
      <c r="AE30">
        <f t="shared" si="29"/>
        <v>0</v>
      </c>
      <c r="AF30">
        <f t="shared" si="30"/>
        <v>0</v>
      </c>
      <c r="AG30">
        <f t="shared" si="31"/>
        <v>0</v>
      </c>
      <c r="AH30">
        <f t="shared" si="32"/>
        <v>0</v>
      </c>
      <c r="AI30">
        <f t="shared" si="33"/>
        <v>847.48</v>
      </c>
      <c r="AJ30">
        <f t="shared" si="34"/>
        <v>3497.88</v>
      </c>
      <c r="AK30">
        <f t="shared" si="35"/>
        <v>5109.62</v>
      </c>
      <c r="AL30">
        <f t="shared" si="36"/>
        <v>0</v>
      </c>
      <c r="AM30">
        <f t="shared" si="37"/>
        <v>0</v>
      </c>
      <c r="AN30">
        <f t="shared" si="38"/>
        <v>0</v>
      </c>
      <c r="AO30">
        <f t="shared" si="39"/>
        <v>0</v>
      </c>
      <c r="AP30">
        <f t="shared" si="40"/>
        <v>0</v>
      </c>
      <c r="AQ30">
        <f t="shared" si="41"/>
        <v>0</v>
      </c>
      <c r="AR30">
        <f t="shared" si="42"/>
        <v>0</v>
      </c>
      <c r="AS30">
        <f t="shared" si="43"/>
        <v>0</v>
      </c>
      <c r="AT30">
        <f t="shared" si="44"/>
        <v>0</v>
      </c>
      <c r="AU30">
        <f t="shared" si="45"/>
        <v>0</v>
      </c>
      <c r="AV30">
        <f t="shared" si="46"/>
        <v>0</v>
      </c>
      <c r="AW30">
        <f t="shared" si="0"/>
        <v>9454.98</v>
      </c>
      <c r="AX30">
        <f t="shared" si="47"/>
        <v>128.94</v>
      </c>
      <c r="AY30">
        <f t="shared" si="48"/>
        <v>500</v>
      </c>
    </row>
    <row r="31" spans="1:51" x14ac:dyDescent="0.35">
      <c r="A31">
        <v>25</v>
      </c>
      <c r="C31">
        <f t="shared" si="1"/>
        <v>0</v>
      </c>
      <c r="D31">
        <f t="shared" si="2"/>
        <v>0</v>
      </c>
      <c r="E31">
        <f t="shared" si="3"/>
        <v>40</v>
      </c>
      <c r="F31">
        <f t="shared" si="4"/>
        <v>145</v>
      </c>
      <c r="G31">
        <f t="shared" si="5"/>
        <v>315</v>
      </c>
      <c r="H31">
        <f t="shared" si="6"/>
        <v>0</v>
      </c>
      <c r="I31">
        <f t="shared" si="7"/>
        <v>0</v>
      </c>
      <c r="J31">
        <f t="shared" si="8"/>
        <v>0</v>
      </c>
      <c r="K31">
        <f t="shared" si="9"/>
        <v>0</v>
      </c>
      <c r="L31">
        <f t="shared" si="10"/>
        <v>0</v>
      </c>
      <c r="M31">
        <f t="shared" si="11"/>
        <v>0</v>
      </c>
      <c r="N31">
        <f t="shared" si="12"/>
        <v>0</v>
      </c>
      <c r="O31">
        <f t="shared" si="13"/>
        <v>0</v>
      </c>
      <c r="P31">
        <f t="shared" si="14"/>
        <v>0</v>
      </c>
      <c r="Q31">
        <f t="shared" si="15"/>
        <v>0</v>
      </c>
      <c r="R31">
        <f t="shared" si="16"/>
        <v>0</v>
      </c>
      <c r="S31">
        <f t="shared" si="17"/>
        <v>0</v>
      </c>
      <c r="T31">
        <f t="shared" si="18"/>
        <v>0</v>
      </c>
      <c r="U31">
        <f t="shared" si="19"/>
        <v>0</v>
      </c>
      <c r="V31">
        <f t="shared" si="20"/>
        <v>0</v>
      </c>
      <c r="W31">
        <f t="shared" si="21"/>
        <v>0</v>
      </c>
      <c r="X31">
        <f t="shared" si="22"/>
        <v>0</v>
      </c>
      <c r="Y31">
        <f t="shared" si="23"/>
        <v>0</v>
      </c>
      <c r="Z31">
        <f t="shared" si="24"/>
        <v>0</v>
      </c>
      <c r="AA31">
        <f t="shared" si="25"/>
        <v>0</v>
      </c>
      <c r="AB31">
        <f t="shared" si="26"/>
        <v>0</v>
      </c>
      <c r="AC31">
        <f t="shared" si="27"/>
        <v>0</v>
      </c>
      <c r="AD31">
        <f t="shared" si="28"/>
        <v>0</v>
      </c>
      <c r="AE31">
        <f t="shared" si="29"/>
        <v>0</v>
      </c>
      <c r="AF31">
        <f t="shared" si="30"/>
        <v>0</v>
      </c>
      <c r="AG31">
        <f t="shared" si="31"/>
        <v>0</v>
      </c>
      <c r="AH31">
        <f t="shared" si="32"/>
        <v>0</v>
      </c>
      <c r="AI31">
        <f t="shared" si="33"/>
        <v>827.95</v>
      </c>
      <c r="AJ31">
        <f t="shared" si="34"/>
        <v>3425.72</v>
      </c>
      <c r="AK31">
        <f t="shared" si="35"/>
        <v>4826.5600000000004</v>
      </c>
      <c r="AL31">
        <f t="shared" si="36"/>
        <v>0</v>
      </c>
      <c r="AM31">
        <f t="shared" si="37"/>
        <v>0</v>
      </c>
      <c r="AN31">
        <f t="shared" si="38"/>
        <v>0</v>
      </c>
      <c r="AO31">
        <f t="shared" si="39"/>
        <v>0</v>
      </c>
      <c r="AP31">
        <f t="shared" si="40"/>
        <v>0</v>
      </c>
      <c r="AQ31">
        <f t="shared" si="41"/>
        <v>0</v>
      </c>
      <c r="AR31">
        <f t="shared" si="42"/>
        <v>0</v>
      </c>
      <c r="AS31">
        <f t="shared" si="43"/>
        <v>0</v>
      </c>
      <c r="AT31">
        <f t="shared" si="44"/>
        <v>0</v>
      </c>
      <c r="AU31">
        <f t="shared" si="45"/>
        <v>0</v>
      </c>
      <c r="AV31">
        <f t="shared" si="46"/>
        <v>0</v>
      </c>
      <c r="AW31">
        <f t="shared" si="0"/>
        <v>9080.23</v>
      </c>
      <c r="AX31">
        <f t="shared" si="47"/>
        <v>125.25</v>
      </c>
      <c r="AY31">
        <f t="shared" si="48"/>
        <v>500</v>
      </c>
    </row>
    <row r="32" spans="1:51" x14ac:dyDescent="0.35">
      <c r="A32">
        <v>26</v>
      </c>
      <c r="C32">
        <f t="shared" si="1"/>
        <v>0</v>
      </c>
      <c r="D32">
        <f t="shared" si="2"/>
        <v>0</v>
      </c>
      <c r="E32">
        <f t="shared" si="3"/>
        <v>40</v>
      </c>
      <c r="F32">
        <f t="shared" si="4"/>
        <v>145</v>
      </c>
      <c r="G32">
        <f t="shared" si="5"/>
        <v>315</v>
      </c>
      <c r="H32">
        <f t="shared" si="6"/>
        <v>0</v>
      </c>
      <c r="I32">
        <f t="shared" si="7"/>
        <v>0</v>
      </c>
      <c r="J32">
        <f t="shared" si="8"/>
        <v>0</v>
      </c>
      <c r="K32">
        <f t="shared" si="9"/>
        <v>0</v>
      </c>
      <c r="L32">
        <f t="shared" si="10"/>
        <v>0</v>
      </c>
      <c r="M32">
        <f t="shared" si="11"/>
        <v>0</v>
      </c>
      <c r="N32">
        <f t="shared" si="12"/>
        <v>0</v>
      </c>
      <c r="O32">
        <f t="shared" si="13"/>
        <v>0</v>
      </c>
      <c r="P32">
        <f t="shared" si="14"/>
        <v>0</v>
      </c>
      <c r="Q32">
        <f t="shared" si="15"/>
        <v>0</v>
      </c>
      <c r="R32">
        <f t="shared" si="16"/>
        <v>0</v>
      </c>
      <c r="S32">
        <f t="shared" si="17"/>
        <v>0</v>
      </c>
      <c r="T32">
        <f t="shared" si="18"/>
        <v>0</v>
      </c>
      <c r="U32">
        <f t="shared" si="19"/>
        <v>0</v>
      </c>
      <c r="V32">
        <f t="shared" si="20"/>
        <v>0</v>
      </c>
      <c r="W32">
        <f t="shared" si="21"/>
        <v>0</v>
      </c>
      <c r="X32">
        <f t="shared" si="22"/>
        <v>0</v>
      </c>
      <c r="Y32">
        <f t="shared" si="23"/>
        <v>0</v>
      </c>
      <c r="Z32">
        <f t="shared" si="24"/>
        <v>0</v>
      </c>
      <c r="AA32">
        <f t="shared" si="25"/>
        <v>0</v>
      </c>
      <c r="AB32">
        <f t="shared" si="26"/>
        <v>0</v>
      </c>
      <c r="AC32">
        <f t="shared" si="27"/>
        <v>0</v>
      </c>
      <c r="AD32">
        <f t="shared" si="28"/>
        <v>0</v>
      </c>
      <c r="AE32">
        <f t="shared" si="29"/>
        <v>0</v>
      </c>
      <c r="AF32">
        <f t="shared" si="30"/>
        <v>0</v>
      </c>
      <c r="AG32">
        <f t="shared" si="31"/>
        <v>0</v>
      </c>
      <c r="AH32">
        <f t="shared" si="32"/>
        <v>0</v>
      </c>
      <c r="AI32">
        <f t="shared" si="33"/>
        <v>807.95</v>
      </c>
      <c r="AJ32">
        <f t="shared" si="34"/>
        <v>3352.06</v>
      </c>
      <c r="AK32">
        <f t="shared" si="35"/>
        <v>4541.7299999999996</v>
      </c>
      <c r="AL32">
        <f t="shared" si="36"/>
        <v>0</v>
      </c>
      <c r="AM32">
        <f t="shared" si="37"/>
        <v>0</v>
      </c>
      <c r="AN32">
        <f t="shared" si="38"/>
        <v>0</v>
      </c>
      <c r="AO32">
        <f t="shared" si="39"/>
        <v>0</v>
      </c>
      <c r="AP32">
        <f t="shared" si="40"/>
        <v>0</v>
      </c>
      <c r="AQ32">
        <f t="shared" si="41"/>
        <v>0</v>
      </c>
      <c r="AR32">
        <f t="shared" si="42"/>
        <v>0</v>
      </c>
      <c r="AS32">
        <f t="shared" si="43"/>
        <v>0</v>
      </c>
      <c r="AT32">
        <f t="shared" si="44"/>
        <v>0</v>
      </c>
      <c r="AU32">
        <f t="shared" si="45"/>
        <v>0</v>
      </c>
      <c r="AV32">
        <f t="shared" si="46"/>
        <v>0</v>
      </c>
      <c r="AW32">
        <f t="shared" si="0"/>
        <v>8701.74</v>
      </c>
      <c r="AX32">
        <f t="shared" si="47"/>
        <v>121.51</v>
      </c>
      <c r="AY32">
        <f t="shared" si="48"/>
        <v>500</v>
      </c>
    </row>
    <row r="33" spans="1:51" x14ac:dyDescent="0.35">
      <c r="A33">
        <v>27</v>
      </c>
      <c r="C33">
        <f t="shared" si="1"/>
        <v>0</v>
      </c>
      <c r="D33">
        <f t="shared" si="2"/>
        <v>0</v>
      </c>
      <c r="E33">
        <f t="shared" si="3"/>
        <v>40</v>
      </c>
      <c r="F33">
        <f t="shared" si="4"/>
        <v>145</v>
      </c>
      <c r="G33">
        <f t="shared" si="5"/>
        <v>315</v>
      </c>
      <c r="H33">
        <f t="shared" si="6"/>
        <v>0</v>
      </c>
      <c r="I33">
        <f t="shared" si="7"/>
        <v>0</v>
      </c>
      <c r="J33">
        <f t="shared" si="8"/>
        <v>0</v>
      </c>
      <c r="K33">
        <f t="shared" si="9"/>
        <v>0</v>
      </c>
      <c r="L33">
        <f t="shared" si="10"/>
        <v>0</v>
      </c>
      <c r="M33">
        <f t="shared" si="11"/>
        <v>0</v>
      </c>
      <c r="N33">
        <f t="shared" si="12"/>
        <v>0</v>
      </c>
      <c r="O33">
        <f t="shared" si="13"/>
        <v>0</v>
      </c>
      <c r="P33">
        <f t="shared" si="14"/>
        <v>0</v>
      </c>
      <c r="Q33">
        <f t="shared" si="15"/>
        <v>0</v>
      </c>
      <c r="R33">
        <f t="shared" si="16"/>
        <v>0</v>
      </c>
      <c r="S33">
        <f t="shared" si="17"/>
        <v>0</v>
      </c>
      <c r="T33">
        <f t="shared" si="18"/>
        <v>0</v>
      </c>
      <c r="U33">
        <f t="shared" si="19"/>
        <v>0</v>
      </c>
      <c r="V33">
        <f t="shared" si="20"/>
        <v>0</v>
      </c>
      <c r="W33">
        <f t="shared" si="21"/>
        <v>0</v>
      </c>
      <c r="X33">
        <f t="shared" si="22"/>
        <v>0</v>
      </c>
      <c r="Y33">
        <f t="shared" si="23"/>
        <v>0</v>
      </c>
      <c r="Z33">
        <f t="shared" si="24"/>
        <v>0</v>
      </c>
      <c r="AA33">
        <f t="shared" si="25"/>
        <v>0</v>
      </c>
      <c r="AB33">
        <f t="shared" si="26"/>
        <v>0</v>
      </c>
      <c r="AC33">
        <f t="shared" si="27"/>
        <v>0</v>
      </c>
      <c r="AD33">
        <f t="shared" si="28"/>
        <v>0</v>
      </c>
      <c r="AE33">
        <f t="shared" si="29"/>
        <v>0</v>
      </c>
      <c r="AF33">
        <f t="shared" si="30"/>
        <v>0</v>
      </c>
      <c r="AG33">
        <f t="shared" si="31"/>
        <v>0</v>
      </c>
      <c r="AH33">
        <f t="shared" si="32"/>
        <v>0</v>
      </c>
      <c r="AI33">
        <f t="shared" si="33"/>
        <v>787.47</v>
      </c>
      <c r="AJ33">
        <f t="shared" si="34"/>
        <v>3276.87</v>
      </c>
      <c r="AK33">
        <f t="shared" si="35"/>
        <v>4255.12</v>
      </c>
      <c r="AL33">
        <f t="shared" si="36"/>
        <v>0</v>
      </c>
      <c r="AM33">
        <f t="shared" si="37"/>
        <v>0</v>
      </c>
      <c r="AN33">
        <f t="shared" si="38"/>
        <v>0</v>
      </c>
      <c r="AO33">
        <f t="shared" si="39"/>
        <v>0</v>
      </c>
      <c r="AP33">
        <f t="shared" si="40"/>
        <v>0</v>
      </c>
      <c r="AQ33">
        <f t="shared" si="41"/>
        <v>0</v>
      </c>
      <c r="AR33">
        <f t="shared" si="42"/>
        <v>0</v>
      </c>
      <c r="AS33">
        <f t="shared" si="43"/>
        <v>0</v>
      </c>
      <c r="AT33">
        <f t="shared" si="44"/>
        <v>0</v>
      </c>
      <c r="AU33">
        <f t="shared" si="45"/>
        <v>0</v>
      </c>
      <c r="AV33">
        <f t="shared" si="46"/>
        <v>0</v>
      </c>
      <c r="AW33">
        <f t="shared" si="0"/>
        <v>8319.4599999999991</v>
      </c>
      <c r="AX33">
        <f t="shared" si="47"/>
        <v>117.72</v>
      </c>
      <c r="AY33">
        <f t="shared" si="48"/>
        <v>500</v>
      </c>
    </row>
    <row r="34" spans="1:51" x14ac:dyDescent="0.35">
      <c r="A34">
        <v>28</v>
      </c>
      <c r="C34">
        <f t="shared" si="1"/>
        <v>0</v>
      </c>
      <c r="D34">
        <f t="shared" si="2"/>
        <v>0</v>
      </c>
      <c r="E34">
        <f t="shared" si="3"/>
        <v>40</v>
      </c>
      <c r="F34">
        <f t="shared" si="4"/>
        <v>145</v>
      </c>
      <c r="G34">
        <f t="shared" si="5"/>
        <v>315</v>
      </c>
      <c r="H34">
        <f t="shared" si="6"/>
        <v>0</v>
      </c>
      <c r="I34">
        <f t="shared" si="7"/>
        <v>0</v>
      </c>
      <c r="J34">
        <f t="shared" si="8"/>
        <v>0</v>
      </c>
      <c r="K34">
        <f t="shared" si="9"/>
        <v>0</v>
      </c>
      <c r="L34">
        <f t="shared" si="10"/>
        <v>0</v>
      </c>
      <c r="M34">
        <f t="shared" si="11"/>
        <v>0</v>
      </c>
      <c r="N34">
        <f t="shared" si="12"/>
        <v>0</v>
      </c>
      <c r="O34">
        <f t="shared" si="13"/>
        <v>0</v>
      </c>
      <c r="P34">
        <f t="shared" si="14"/>
        <v>0</v>
      </c>
      <c r="Q34">
        <f t="shared" si="15"/>
        <v>0</v>
      </c>
      <c r="R34">
        <f t="shared" si="16"/>
        <v>0</v>
      </c>
      <c r="S34">
        <f t="shared" si="17"/>
        <v>0</v>
      </c>
      <c r="T34">
        <f t="shared" si="18"/>
        <v>0</v>
      </c>
      <c r="U34">
        <f t="shared" si="19"/>
        <v>0</v>
      </c>
      <c r="V34">
        <f t="shared" si="20"/>
        <v>0</v>
      </c>
      <c r="W34">
        <f t="shared" si="21"/>
        <v>0</v>
      </c>
      <c r="X34">
        <f t="shared" si="22"/>
        <v>0</v>
      </c>
      <c r="Y34">
        <f t="shared" si="23"/>
        <v>0</v>
      </c>
      <c r="Z34">
        <f t="shared" si="24"/>
        <v>0</v>
      </c>
      <c r="AA34">
        <f t="shared" si="25"/>
        <v>0</v>
      </c>
      <c r="AB34">
        <f t="shared" si="26"/>
        <v>0</v>
      </c>
      <c r="AC34">
        <f t="shared" si="27"/>
        <v>0</v>
      </c>
      <c r="AD34">
        <f t="shared" si="28"/>
        <v>0</v>
      </c>
      <c r="AE34">
        <f t="shared" si="29"/>
        <v>0</v>
      </c>
      <c r="AF34">
        <f t="shared" si="30"/>
        <v>0</v>
      </c>
      <c r="AG34">
        <f t="shared" si="31"/>
        <v>0</v>
      </c>
      <c r="AH34">
        <f t="shared" si="32"/>
        <v>0</v>
      </c>
      <c r="AI34">
        <f t="shared" si="33"/>
        <v>766.49</v>
      </c>
      <c r="AJ34">
        <f t="shared" si="34"/>
        <v>3200.11</v>
      </c>
      <c r="AK34">
        <f t="shared" si="35"/>
        <v>3966.71</v>
      </c>
      <c r="AL34">
        <f t="shared" si="36"/>
        <v>0</v>
      </c>
      <c r="AM34">
        <f t="shared" si="37"/>
        <v>0</v>
      </c>
      <c r="AN34">
        <f t="shared" si="38"/>
        <v>0</v>
      </c>
      <c r="AO34">
        <f t="shared" si="39"/>
        <v>0</v>
      </c>
      <c r="AP34">
        <f t="shared" si="40"/>
        <v>0</v>
      </c>
      <c r="AQ34">
        <f t="shared" si="41"/>
        <v>0</v>
      </c>
      <c r="AR34">
        <f t="shared" si="42"/>
        <v>0</v>
      </c>
      <c r="AS34">
        <f t="shared" si="43"/>
        <v>0</v>
      </c>
      <c r="AT34">
        <f t="shared" si="44"/>
        <v>0</v>
      </c>
      <c r="AU34">
        <f t="shared" si="45"/>
        <v>0</v>
      </c>
      <c r="AV34">
        <f t="shared" si="46"/>
        <v>0</v>
      </c>
      <c r="AW34">
        <f t="shared" si="0"/>
        <v>7933.31</v>
      </c>
      <c r="AX34">
        <f t="shared" si="47"/>
        <v>113.85</v>
      </c>
      <c r="AY34">
        <f t="shared" si="48"/>
        <v>500</v>
      </c>
    </row>
    <row r="35" spans="1:51" x14ac:dyDescent="0.35">
      <c r="A35">
        <v>29</v>
      </c>
      <c r="C35">
        <f t="shared" si="1"/>
        <v>0</v>
      </c>
      <c r="D35">
        <f t="shared" si="2"/>
        <v>0</v>
      </c>
      <c r="E35">
        <f t="shared" si="3"/>
        <v>40</v>
      </c>
      <c r="F35">
        <f t="shared" si="4"/>
        <v>145</v>
      </c>
      <c r="G35">
        <f t="shared" si="5"/>
        <v>315</v>
      </c>
      <c r="H35">
        <f t="shared" si="6"/>
        <v>0</v>
      </c>
      <c r="I35">
        <f t="shared" si="7"/>
        <v>0</v>
      </c>
      <c r="J35">
        <f t="shared" si="8"/>
        <v>0</v>
      </c>
      <c r="K35">
        <f t="shared" si="9"/>
        <v>0</v>
      </c>
      <c r="L35">
        <f t="shared" si="10"/>
        <v>0</v>
      </c>
      <c r="M35">
        <f t="shared" si="11"/>
        <v>0</v>
      </c>
      <c r="N35">
        <f t="shared" si="12"/>
        <v>0</v>
      </c>
      <c r="O35">
        <f t="shared" si="13"/>
        <v>0</v>
      </c>
      <c r="P35">
        <f t="shared" si="14"/>
        <v>0</v>
      </c>
      <c r="Q35">
        <f t="shared" si="15"/>
        <v>0</v>
      </c>
      <c r="R35">
        <f t="shared" si="16"/>
        <v>0</v>
      </c>
      <c r="S35">
        <f t="shared" si="17"/>
        <v>0</v>
      </c>
      <c r="T35">
        <f t="shared" si="18"/>
        <v>0</v>
      </c>
      <c r="U35">
        <f t="shared" si="19"/>
        <v>0</v>
      </c>
      <c r="V35">
        <f t="shared" si="20"/>
        <v>0</v>
      </c>
      <c r="W35">
        <f t="shared" si="21"/>
        <v>0</v>
      </c>
      <c r="X35">
        <f t="shared" si="22"/>
        <v>0</v>
      </c>
      <c r="Y35">
        <f t="shared" si="23"/>
        <v>0</v>
      </c>
      <c r="Z35">
        <f t="shared" si="24"/>
        <v>0</v>
      </c>
      <c r="AA35">
        <f t="shared" si="25"/>
        <v>0</v>
      </c>
      <c r="AB35">
        <f t="shared" si="26"/>
        <v>0</v>
      </c>
      <c r="AC35">
        <f t="shared" si="27"/>
        <v>0</v>
      </c>
      <c r="AD35">
        <f t="shared" si="28"/>
        <v>0</v>
      </c>
      <c r="AE35">
        <f t="shared" si="29"/>
        <v>0</v>
      </c>
      <c r="AF35">
        <f t="shared" si="30"/>
        <v>0</v>
      </c>
      <c r="AG35">
        <f t="shared" si="31"/>
        <v>0</v>
      </c>
      <c r="AH35">
        <f t="shared" si="32"/>
        <v>0</v>
      </c>
      <c r="AI35">
        <f t="shared" si="33"/>
        <v>745.01</v>
      </c>
      <c r="AJ35">
        <f t="shared" si="34"/>
        <v>3121.75</v>
      </c>
      <c r="AK35">
        <f t="shared" si="35"/>
        <v>3676.5</v>
      </c>
      <c r="AL35">
        <f t="shared" si="36"/>
        <v>0</v>
      </c>
      <c r="AM35">
        <f t="shared" si="37"/>
        <v>0</v>
      </c>
      <c r="AN35">
        <f t="shared" si="38"/>
        <v>0</v>
      </c>
      <c r="AO35">
        <f t="shared" si="39"/>
        <v>0</v>
      </c>
      <c r="AP35">
        <f t="shared" si="40"/>
        <v>0</v>
      </c>
      <c r="AQ35">
        <f t="shared" si="41"/>
        <v>0</v>
      </c>
      <c r="AR35">
        <f t="shared" si="42"/>
        <v>0</v>
      </c>
      <c r="AS35">
        <f t="shared" si="43"/>
        <v>0</v>
      </c>
      <c r="AT35">
        <f t="shared" si="44"/>
        <v>0</v>
      </c>
      <c r="AU35">
        <f t="shared" si="45"/>
        <v>0</v>
      </c>
      <c r="AV35">
        <f t="shared" si="46"/>
        <v>0</v>
      </c>
      <c r="AW35">
        <f t="shared" si="0"/>
        <v>7543.26</v>
      </c>
      <c r="AX35">
        <f t="shared" si="47"/>
        <v>109.94999999999999</v>
      </c>
      <c r="AY35">
        <f t="shared" si="48"/>
        <v>500</v>
      </c>
    </row>
    <row r="36" spans="1:51" x14ac:dyDescent="0.35">
      <c r="A36">
        <v>30</v>
      </c>
      <c r="C36">
        <f t="shared" si="1"/>
        <v>0</v>
      </c>
      <c r="D36">
        <f t="shared" si="2"/>
        <v>0</v>
      </c>
      <c r="E36">
        <f t="shared" si="3"/>
        <v>40</v>
      </c>
      <c r="F36">
        <f t="shared" si="4"/>
        <v>145</v>
      </c>
      <c r="G36">
        <f t="shared" si="5"/>
        <v>315</v>
      </c>
      <c r="H36">
        <f t="shared" si="6"/>
        <v>0</v>
      </c>
      <c r="I36">
        <f t="shared" si="7"/>
        <v>0</v>
      </c>
      <c r="J36">
        <f t="shared" si="8"/>
        <v>0</v>
      </c>
      <c r="K36">
        <f t="shared" si="9"/>
        <v>0</v>
      </c>
      <c r="L36">
        <f t="shared" si="10"/>
        <v>0</v>
      </c>
      <c r="M36">
        <f t="shared" si="11"/>
        <v>0</v>
      </c>
      <c r="N36">
        <f t="shared" si="12"/>
        <v>0</v>
      </c>
      <c r="O36">
        <f t="shared" si="13"/>
        <v>0</v>
      </c>
      <c r="P36">
        <f t="shared" si="14"/>
        <v>0</v>
      </c>
      <c r="Q36">
        <f t="shared" si="15"/>
        <v>0</v>
      </c>
      <c r="R36">
        <f t="shared" si="16"/>
        <v>0</v>
      </c>
      <c r="S36">
        <f t="shared" si="17"/>
        <v>0</v>
      </c>
      <c r="T36">
        <f t="shared" si="18"/>
        <v>0</v>
      </c>
      <c r="U36">
        <f t="shared" si="19"/>
        <v>0</v>
      </c>
      <c r="V36">
        <f t="shared" si="20"/>
        <v>0</v>
      </c>
      <c r="W36">
        <f t="shared" si="21"/>
        <v>0</v>
      </c>
      <c r="X36">
        <f t="shared" si="22"/>
        <v>0</v>
      </c>
      <c r="Y36">
        <f t="shared" si="23"/>
        <v>0</v>
      </c>
      <c r="Z36">
        <f t="shared" si="24"/>
        <v>0</v>
      </c>
      <c r="AA36">
        <f t="shared" si="25"/>
        <v>0</v>
      </c>
      <c r="AB36">
        <f t="shared" si="26"/>
        <v>0</v>
      </c>
      <c r="AC36">
        <f t="shared" si="27"/>
        <v>0</v>
      </c>
      <c r="AD36">
        <f t="shared" si="28"/>
        <v>0</v>
      </c>
      <c r="AE36">
        <f t="shared" si="29"/>
        <v>0</v>
      </c>
      <c r="AF36">
        <f t="shared" si="30"/>
        <v>0</v>
      </c>
      <c r="AG36">
        <f t="shared" si="31"/>
        <v>0</v>
      </c>
      <c r="AH36">
        <f t="shared" si="32"/>
        <v>0</v>
      </c>
      <c r="AI36">
        <f t="shared" si="33"/>
        <v>723.01</v>
      </c>
      <c r="AJ36">
        <f t="shared" si="34"/>
        <v>3041.76</v>
      </c>
      <c r="AK36">
        <f t="shared" si="35"/>
        <v>3384.48</v>
      </c>
      <c r="AL36">
        <f t="shared" si="36"/>
        <v>0</v>
      </c>
      <c r="AM36">
        <f t="shared" si="37"/>
        <v>0</v>
      </c>
      <c r="AN36">
        <f t="shared" si="38"/>
        <v>0</v>
      </c>
      <c r="AO36">
        <f t="shared" si="39"/>
        <v>0</v>
      </c>
      <c r="AP36">
        <f t="shared" si="40"/>
        <v>0</v>
      </c>
      <c r="AQ36">
        <f t="shared" si="41"/>
        <v>0</v>
      </c>
      <c r="AR36">
        <f t="shared" si="42"/>
        <v>0</v>
      </c>
      <c r="AS36">
        <f t="shared" si="43"/>
        <v>0</v>
      </c>
      <c r="AT36">
        <f t="shared" si="44"/>
        <v>0</v>
      </c>
      <c r="AU36">
        <f t="shared" si="45"/>
        <v>0</v>
      </c>
      <c r="AV36">
        <f t="shared" si="46"/>
        <v>0</v>
      </c>
      <c r="AW36">
        <f t="shared" si="0"/>
        <v>7149.25</v>
      </c>
      <c r="AX36">
        <f t="shared" si="47"/>
        <v>105.99000000000001</v>
      </c>
      <c r="AY36">
        <f t="shared" si="48"/>
        <v>500</v>
      </c>
    </row>
    <row r="37" spans="1:51" x14ac:dyDescent="0.35">
      <c r="A37">
        <v>31</v>
      </c>
      <c r="C37">
        <f t="shared" si="1"/>
        <v>0</v>
      </c>
      <c r="D37">
        <f t="shared" si="2"/>
        <v>0</v>
      </c>
      <c r="E37">
        <f t="shared" si="3"/>
        <v>40</v>
      </c>
      <c r="F37">
        <f t="shared" si="4"/>
        <v>145</v>
      </c>
      <c r="G37">
        <f t="shared" si="5"/>
        <v>315</v>
      </c>
      <c r="H37">
        <f t="shared" si="6"/>
        <v>0</v>
      </c>
      <c r="I37">
        <f t="shared" si="7"/>
        <v>0</v>
      </c>
      <c r="J37">
        <f t="shared" si="8"/>
        <v>0</v>
      </c>
      <c r="K37">
        <f t="shared" si="9"/>
        <v>0</v>
      </c>
      <c r="L37">
        <f t="shared" si="10"/>
        <v>0</v>
      </c>
      <c r="M37">
        <f t="shared" si="11"/>
        <v>0</v>
      </c>
      <c r="N37">
        <f t="shared" si="12"/>
        <v>0</v>
      </c>
      <c r="O37">
        <f t="shared" si="13"/>
        <v>0</v>
      </c>
      <c r="P37">
        <f t="shared" si="14"/>
        <v>0</v>
      </c>
      <c r="Q37">
        <f t="shared" si="15"/>
        <v>0</v>
      </c>
      <c r="R37">
        <f t="shared" si="16"/>
        <v>0</v>
      </c>
      <c r="S37">
        <f t="shared" si="17"/>
        <v>0</v>
      </c>
      <c r="T37">
        <f t="shared" si="18"/>
        <v>0</v>
      </c>
      <c r="U37">
        <f t="shared" si="19"/>
        <v>0</v>
      </c>
      <c r="V37">
        <f t="shared" si="20"/>
        <v>0</v>
      </c>
      <c r="W37">
        <f t="shared" si="21"/>
        <v>0</v>
      </c>
      <c r="X37">
        <f t="shared" si="22"/>
        <v>0</v>
      </c>
      <c r="Y37">
        <f t="shared" si="23"/>
        <v>0</v>
      </c>
      <c r="Z37">
        <f t="shared" si="24"/>
        <v>0</v>
      </c>
      <c r="AA37">
        <f t="shared" si="25"/>
        <v>0</v>
      </c>
      <c r="AB37">
        <f t="shared" si="26"/>
        <v>0</v>
      </c>
      <c r="AC37">
        <f t="shared" si="27"/>
        <v>0</v>
      </c>
      <c r="AD37">
        <f t="shared" si="28"/>
        <v>0</v>
      </c>
      <c r="AE37">
        <f t="shared" si="29"/>
        <v>0</v>
      </c>
      <c r="AF37">
        <f t="shared" si="30"/>
        <v>0</v>
      </c>
      <c r="AG37">
        <f t="shared" si="31"/>
        <v>0</v>
      </c>
      <c r="AH37">
        <f t="shared" si="32"/>
        <v>0</v>
      </c>
      <c r="AI37">
        <f t="shared" si="33"/>
        <v>700.48</v>
      </c>
      <c r="AJ37">
        <f t="shared" si="34"/>
        <v>2960.1</v>
      </c>
      <c r="AK37">
        <f t="shared" si="35"/>
        <v>3090.63</v>
      </c>
      <c r="AL37">
        <f t="shared" si="36"/>
        <v>0</v>
      </c>
      <c r="AM37">
        <f t="shared" si="37"/>
        <v>0</v>
      </c>
      <c r="AN37">
        <f t="shared" si="38"/>
        <v>0</v>
      </c>
      <c r="AO37">
        <f t="shared" si="39"/>
        <v>0</v>
      </c>
      <c r="AP37">
        <f t="shared" si="40"/>
        <v>0</v>
      </c>
      <c r="AQ37">
        <f t="shared" si="41"/>
        <v>0</v>
      </c>
      <c r="AR37">
        <f t="shared" si="42"/>
        <v>0</v>
      </c>
      <c r="AS37">
        <f t="shared" si="43"/>
        <v>0</v>
      </c>
      <c r="AT37">
        <f t="shared" si="44"/>
        <v>0</v>
      </c>
      <c r="AU37">
        <f t="shared" si="45"/>
        <v>0</v>
      </c>
      <c r="AV37">
        <f t="shared" si="46"/>
        <v>0</v>
      </c>
      <c r="AW37">
        <f t="shared" si="0"/>
        <v>6751.21</v>
      </c>
      <c r="AX37">
        <f t="shared" si="47"/>
        <v>101.96000000000001</v>
      </c>
      <c r="AY37">
        <f t="shared" si="48"/>
        <v>500</v>
      </c>
    </row>
    <row r="38" spans="1:51" x14ac:dyDescent="0.35">
      <c r="A38">
        <v>32</v>
      </c>
      <c r="C38">
        <f t="shared" si="1"/>
        <v>0</v>
      </c>
      <c r="D38">
        <f t="shared" si="2"/>
        <v>0</v>
      </c>
      <c r="E38">
        <f t="shared" si="3"/>
        <v>40</v>
      </c>
      <c r="F38">
        <f t="shared" si="4"/>
        <v>145</v>
      </c>
      <c r="G38">
        <f t="shared" si="5"/>
        <v>315</v>
      </c>
      <c r="H38">
        <f t="shared" si="6"/>
        <v>0</v>
      </c>
      <c r="I38">
        <f t="shared" si="7"/>
        <v>0</v>
      </c>
      <c r="J38">
        <f t="shared" si="8"/>
        <v>0</v>
      </c>
      <c r="K38">
        <f t="shared" si="9"/>
        <v>0</v>
      </c>
      <c r="L38">
        <f t="shared" si="10"/>
        <v>0</v>
      </c>
      <c r="M38">
        <f t="shared" si="11"/>
        <v>0</v>
      </c>
      <c r="N38">
        <f t="shared" si="12"/>
        <v>0</v>
      </c>
      <c r="O38">
        <f t="shared" si="13"/>
        <v>0</v>
      </c>
      <c r="P38">
        <f t="shared" si="14"/>
        <v>0</v>
      </c>
      <c r="Q38">
        <f t="shared" si="15"/>
        <v>0</v>
      </c>
      <c r="R38">
        <f t="shared" si="16"/>
        <v>0</v>
      </c>
      <c r="S38">
        <f t="shared" si="17"/>
        <v>0</v>
      </c>
      <c r="T38">
        <f t="shared" si="18"/>
        <v>0</v>
      </c>
      <c r="U38">
        <f t="shared" si="19"/>
        <v>0</v>
      </c>
      <c r="V38">
        <f t="shared" si="20"/>
        <v>0</v>
      </c>
      <c r="W38">
        <f t="shared" si="21"/>
        <v>0</v>
      </c>
      <c r="X38">
        <f t="shared" si="22"/>
        <v>0</v>
      </c>
      <c r="Y38">
        <f t="shared" si="23"/>
        <v>0</v>
      </c>
      <c r="Z38">
        <f t="shared" si="24"/>
        <v>0</v>
      </c>
      <c r="AA38">
        <f t="shared" si="25"/>
        <v>0</v>
      </c>
      <c r="AB38">
        <f t="shared" si="26"/>
        <v>0</v>
      </c>
      <c r="AC38">
        <f t="shared" si="27"/>
        <v>0</v>
      </c>
      <c r="AD38">
        <f t="shared" si="28"/>
        <v>0</v>
      </c>
      <c r="AE38">
        <f t="shared" si="29"/>
        <v>0</v>
      </c>
      <c r="AF38">
        <f t="shared" si="30"/>
        <v>0</v>
      </c>
      <c r="AG38">
        <f t="shared" si="31"/>
        <v>0</v>
      </c>
      <c r="AH38">
        <f t="shared" si="32"/>
        <v>0</v>
      </c>
      <c r="AI38">
        <f t="shared" si="33"/>
        <v>677.4</v>
      </c>
      <c r="AJ38">
        <f t="shared" si="34"/>
        <v>2876.74</v>
      </c>
      <c r="AK38">
        <f t="shared" si="35"/>
        <v>2794.95</v>
      </c>
      <c r="AL38">
        <f t="shared" si="36"/>
        <v>0</v>
      </c>
      <c r="AM38">
        <f t="shared" si="37"/>
        <v>0</v>
      </c>
      <c r="AN38">
        <f t="shared" si="38"/>
        <v>0</v>
      </c>
      <c r="AO38">
        <f t="shared" si="39"/>
        <v>0</v>
      </c>
      <c r="AP38">
        <f t="shared" si="40"/>
        <v>0</v>
      </c>
      <c r="AQ38">
        <f t="shared" si="41"/>
        <v>0</v>
      </c>
      <c r="AR38">
        <f t="shared" si="42"/>
        <v>0</v>
      </c>
      <c r="AS38">
        <f t="shared" si="43"/>
        <v>0</v>
      </c>
      <c r="AT38">
        <f t="shared" si="44"/>
        <v>0</v>
      </c>
      <c r="AU38">
        <f t="shared" si="45"/>
        <v>0</v>
      </c>
      <c r="AV38">
        <f t="shared" si="46"/>
        <v>0</v>
      </c>
      <c r="AW38">
        <f t="shared" si="0"/>
        <v>6349.09</v>
      </c>
      <c r="AX38">
        <f t="shared" si="47"/>
        <v>97.88</v>
      </c>
      <c r="AY38">
        <f t="shared" si="48"/>
        <v>500</v>
      </c>
    </row>
    <row r="39" spans="1:51" x14ac:dyDescent="0.35">
      <c r="A39">
        <v>33</v>
      </c>
      <c r="C39">
        <f t="shared" si="1"/>
        <v>0</v>
      </c>
      <c r="D39">
        <f t="shared" si="2"/>
        <v>0</v>
      </c>
      <c r="E39">
        <f t="shared" si="3"/>
        <v>40</v>
      </c>
      <c r="F39">
        <f t="shared" si="4"/>
        <v>145</v>
      </c>
      <c r="G39">
        <f t="shared" si="5"/>
        <v>315</v>
      </c>
      <c r="H39">
        <f t="shared" si="6"/>
        <v>0</v>
      </c>
      <c r="I39">
        <f t="shared" si="7"/>
        <v>0</v>
      </c>
      <c r="J39">
        <f t="shared" si="8"/>
        <v>0</v>
      </c>
      <c r="K39">
        <f t="shared" si="9"/>
        <v>0</v>
      </c>
      <c r="L39">
        <f t="shared" si="10"/>
        <v>0</v>
      </c>
      <c r="M39">
        <f t="shared" si="11"/>
        <v>0</v>
      </c>
      <c r="N39">
        <f t="shared" si="12"/>
        <v>0</v>
      </c>
      <c r="O39">
        <f t="shared" si="13"/>
        <v>0</v>
      </c>
      <c r="P39">
        <f t="shared" si="14"/>
        <v>0</v>
      </c>
      <c r="Q39">
        <f t="shared" si="15"/>
        <v>0</v>
      </c>
      <c r="R39">
        <f t="shared" si="16"/>
        <v>0</v>
      </c>
      <c r="S39">
        <f t="shared" si="17"/>
        <v>0</v>
      </c>
      <c r="T39">
        <f t="shared" si="18"/>
        <v>0</v>
      </c>
      <c r="U39">
        <f t="shared" si="19"/>
        <v>0</v>
      </c>
      <c r="V39">
        <f t="shared" si="20"/>
        <v>0</v>
      </c>
      <c r="W39">
        <f t="shared" si="21"/>
        <v>0</v>
      </c>
      <c r="X39">
        <f t="shared" si="22"/>
        <v>0</v>
      </c>
      <c r="Y39">
        <f t="shared" si="23"/>
        <v>0</v>
      </c>
      <c r="Z39">
        <f t="shared" si="24"/>
        <v>0</v>
      </c>
      <c r="AA39">
        <f t="shared" si="25"/>
        <v>0</v>
      </c>
      <c r="AB39">
        <f t="shared" si="26"/>
        <v>0</v>
      </c>
      <c r="AC39">
        <f t="shared" si="27"/>
        <v>0</v>
      </c>
      <c r="AD39">
        <f t="shared" si="28"/>
        <v>0</v>
      </c>
      <c r="AE39">
        <f t="shared" si="29"/>
        <v>0</v>
      </c>
      <c r="AF39">
        <f t="shared" si="30"/>
        <v>0</v>
      </c>
      <c r="AG39">
        <f t="shared" si="31"/>
        <v>0</v>
      </c>
      <c r="AH39">
        <f t="shared" si="32"/>
        <v>0</v>
      </c>
      <c r="AI39">
        <f t="shared" si="33"/>
        <v>653.76</v>
      </c>
      <c r="AJ39">
        <f t="shared" si="34"/>
        <v>2791.65</v>
      </c>
      <c r="AK39">
        <f t="shared" si="35"/>
        <v>2497.42</v>
      </c>
      <c r="AL39">
        <f t="shared" si="36"/>
        <v>0</v>
      </c>
      <c r="AM39">
        <f t="shared" si="37"/>
        <v>0</v>
      </c>
      <c r="AN39">
        <f t="shared" si="38"/>
        <v>0</v>
      </c>
      <c r="AO39">
        <f t="shared" si="39"/>
        <v>0</v>
      </c>
      <c r="AP39">
        <f t="shared" si="40"/>
        <v>0</v>
      </c>
      <c r="AQ39">
        <f t="shared" si="41"/>
        <v>0</v>
      </c>
      <c r="AR39">
        <f t="shared" si="42"/>
        <v>0</v>
      </c>
      <c r="AS39">
        <f t="shared" si="43"/>
        <v>0</v>
      </c>
      <c r="AT39">
        <f t="shared" si="44"/>
        <v>0</v>
      </c>
      <c r="AU39">
        <f t="shared" si="45"/>
        <v>0</v>
      </c>
      <c r="AV39">
        <f t="shared" si="46"/>
        <v>0</v>
      </c>
      <c r="AW39">
        <f t="shared" si="0"/>
        <v>5942.83</v>
      </c>
      <c r="AX39">
        <f t="shared" si="47"/>
        <v>93.74</v>
      </c>
      <c r="AY39">
        <f t="shared" si="48"/>
        <v>500</v>
      </c>
    </row>
    <row r="40" spans="1:51" x14ac:dyDescent="0.35">
      <c r="A40">
        <v>34</v>
      </c>
      <c r="C40">
        <f t="shared" si="1"/>
        <v>0</v>
      </c>
      <c r="D40">
        <f t="shared" si="2"/>
        <v>0</v>
      </c>
      <c r="E40">
        <f t="shared" si="3"/>
        <v>40</v>
      </c>
      <c r="F40">
        <f t="shared" si="4"/>
        <v>145</v>
      </c>
      <c r="G40">
        <f t="shared" si="5"/>
        <v>315</v>
      </c>
      <c r="H40">
        <f t="shared" si="6"/>
        <v>0</v>
      </c>
      <c r="I40">
        <f t="shared" si="7"/>
        <v>0</v>
      </c>
      <c r="J40">
        <f t="shared" si="8"/>
        <v>0</v>
      </c>
      <c r="K40">
        <f t="shared" si="9"/>
        <v>0</v>
      </c>
      <c r="L40">
        <f t="shared" si="10"/>
        <v>0</v>
      </c>
      <c r="M40">
        <f t="shared" si="11"/>
        <v>0</v>
      </c>
      <c r="N40">
        <f t="shared" si="12"/>
        <v>0</v>
      </c>
      <c r="O40">
        <f t="shared" si="13"/>
        <v>0</v>
      </c>
      <c r="P40">
        <f t="shared" si="14"/>
        <v>0</v>
      </c>
      <c r="Q40">
        <f t="shared" si="15"/>
        <v>0</v>
      </c>
      <c r="R40">
        <f t="shared" si="16"/>
        <v>0</v>
      </c>
      <c r="S40">
        <f t="shared" si="17"/>
        <v>0</v>
      </c>
      <c r="T40">
        <f t="shared" si="18"/>
        <v>0</v>
      </c>
      <c r="U40">
        <f t="shared" si="19"/>
        <v>0</v>
      </c>
      <c r="V40">
        <f t="shared" si="20"/>
        <v>0</v>
      </c>
      <c r="W40">
        <f t="shared" si="21"/>
        <v>0</v>
      </c>
      <c r="X40">
        <f t="shared" si="22"/>
        <v>0</v>
      </c>
      <c r="Y40">
        <f t="shared" si="23"/>
        <v>0</v>
      </c>
      <c r="Z40">
        <f t="shared" si="24"/>
        <v>0</v>
      </c>
      <c r="AA40">
        <f t="shared" si="25"/>
        <v>0</v>
      </c>
      <c r="AB40">
        <f t="shared" si="26"/>
        <v>0</v>
      </c>
      <c r="AC40">
        <f t="shared" si="27"/>
        <v>0</v>
      </c>
      <c r="AD40">
        <f t="shared" si="28"/>
        <v>0</v>
      </c>
      <c r="AE40">
        <f t="shared" si="29"/>
        <v>0</v>
      </c>
      <c r="AF40">
        <f t="shared" si="30"/>
        <v>0</v>
      </c>
      <c r="AG40">
        <f t="shared" si="31"/>
        <v>0</v>
      </c>
      <c r="AH40">
        <f t="shared" si="32"/>
        <v>0</v>
      </c>
      <c r="AI40">
        <f t="shared" si="33"/>
        <v>629.54999999999995</v>
      </c>
      <c r="AJ40">
        <f t="shared" si="34"/>
        <v>2704.79</v>
      </c>
      <c r="AK40">
        <f t="shared" si="35"/>
        <v>2198.0300000000002</v>
      </c>
      <c r="AL40">
        <f t="shared" si="36"/>
        <v>0</v>
      </c>
      <c r="AM40">
        <f t="shared" si="37"/>
        <v>0</v>
      </c>
      <c r="AN40">
        <f t="shared" si="38"/>
        <v>0</v>
      </c>
      <c r="AO40">
        <f t="shared" si="39"/>
        <v>0</v>
      </c>
      <c r="AP40">
        <f t="shared" si="40"/>
        <v>0</v>
      </c>
      <c r="AQ40">
        <f t="shared" si="41"/>
        <v>0</v>
      </c>
      <c r="AR40">
        <f t="shared" si="42"/>
        <v>0</v>
      </c>
      <c r="AS40">
        <f t="shared" si="43"/>
        <v>0</v>
      </c>
      <c r="AT40">
        <f t="shared" si="44"/>
        <v>0</v>
      </c>
      <c r="AU40">
        <f t="shared" si="45"/>
        <v>0</v>
      </c>
      <c r="AV40">
        <f t="shared" si="46"/>
        <v>0</v>
      </c>
      <c r="AW40">
        <f t="shared" si="0"/>
        <v>5532.3700000000008</v>
      </c>
      <c r="AX40">
        <f t="shared" si="47"/>
        <v>89.54</v>
      </c>
      <c r="AY40">
        <f t="shared" si="48"/>
        <v>500</v>
      </c>
    </row>
    <row r="41" spans="1:51" x14ac:dyDescent="0.35">
      <c r="A41">
        <v>35</v>
      </c>
      <c r="C41">
        <f t="shared" si="1"/>
        <v>0</v>
      </c>
      <c r="D41">
        <f t="shared" si="2"/>
        <v>0</v>
      </c>
      <c r="E41">
        <f t="shared" si="3"/>
        <v>40</v>
      </c>
      <c r="F41">
        <f t="shared" si="4"/>
        <v>145</v>
      </c>
      <c r="G41">
        <f t="shared" si="5"/>
        <v>315</v>
      </c>
      <c r="H41">
        <f t="shared" si="6"/>
        <v>0</v>
      </c>
      <c r="I41">
        <f t="shared" si="7"/>
        <v>0</v>
      </c>
      <c r="J41">
        <f t="shared" si="8"/>
        <v>0</v>
      </c>
      <c r="K41">
        <f t="shared" si="9"/>
        <v>0</v>
      </c>
      <c r="L41">
        <f t="shared" si="10"/>
        <v>0</v>
      </c>
      <c r="M41">
        <f t="shared" si="11"/>
        <v>0</v>
      </c>
      <c r="N41">
        <f t="shared" si="12"/>
        <v>0</v>
      </c>
      <c r="O41">
        <f t="shared" si="13"/>
        <v>0</v>
      </c>
      <c r="P41">
        <f t="shared" si="14"/>
        <v>0</v>
      </c>
      <c r="Q41">
        <f t="shared" si="15"/>
        <v>0</v>
      </c>
      <c r="R41">
        <f t="shared" si="16"/>
        <v>0</v>
      </c>
      <c r="S41">
        <f t="shared" si="17"/>
        <v>0</v>
      </c>
      <c r="T41">
        <f t="shared" si="18"/>
        <v>0</v>
      </c>
      <c r="U41">
        <f t="shared" si="19"/>
        <v>0</v>
      </c>
      <c r="V41">
        <f t="shared" si="20"/>
        <v>0</v>
      </c>
      <c r="W41">
        <f t="shared" si="21"/>
        <v>0</v>
      </c>
      <c r="X41">
        <f t="shared" si="22"/>
        <v>0</v>
      </c>
      <c r="Y41">
        <f t="shared" si="23"/>
        <v>0</v>
      </c>
      <c r="Z41">
        <f t="shared" si="24"/>
        <v>0</v>
      </c>
      <c r="AA41">
        <f t="shared" si="25"/>
        <v>0</v>
      </c>
      <c r="AB41">
        <f t="shared" si="26"/>
        <v>0</v>
      </c>
      <c r="AC41">
        <f t="shared" si="27"/>
        <v>0</v>
      </c>
      <c r="AD41">
        <f t="shared" si="28"/>
        <v>0</v>
      </c>
      <c r="AE41">
        <f t="shared" si="29"/>
        <v>0</v>
      </c>
      <c r="AF41">
        <f t="shared" si="30"/>
        <v>0</v>
      </c>
      <c r="AG41">
        <f t="shared" si="31"/>
        <v>0</v>
      </c>
      <c r="AH41">
        <f t="shared" si="32"/>
        <v>0</v>
      </c>
      <c r="AI41">
        <f t="shared" si="33"/>
        <v>604.76</v>
      </c>
      <c r="AJ41">
        <f t="shared" si="34"/>
        <v>2616.12</v>
      </c>
      <c r="AK41">
        <f t="shared" si="35"/>
        <v>1896.77</v>
      </c>
      <c r="AL41">
        <f t="shared" si="36"/>
        <v>0</v>
      </c>
      <c r="AM41">
        <f t="shared" si="37"/>
        <v>0</v>
      </c>
      <c r="AN41">
        <f t="shared" si="38"/>
        <v>0</v>
      </c>
      <c r="AO41">
        <f t="shared" si="39"/>
        <v>0</v>
      </c>
      <c r="AP41">
        <f t="shared" si="40"/>
        <v>0</v>
      </c>
      <c r="AQ41">
        <f t="shared" si="41"/>
        <v>0</v>
      </c>
      <c r="AR41">
        <f t="shared" si="42"/>
        <v>0</v>
      </c>
      <c r="AS41">
        <f t="shared" si="43"/>
        <v>0</v>
      </c>
      <c r="AT41">
        <f t="shared" si="44"/>
        <v>0</v>
      </c>
      <c r="AU41">
        <f t="shared" si="45"/>
        <v>0</v>
      </c>
      <c r="AV41">
        <f t="shared" si="46"/>
        <v>0</v>
      </c>
      <c r="AW41">
        <f t="shared" si="0"/>
        <v>5117.6499999999996</v>
      </c>
      <c r="AX41">
        <f t="shared" si="47"/>
        <v>85.279999999999987</v>
      </c>
      <c r="AY41">
        <f t="shared" si="48"/>
        <v>500</v>
      </c>
    </row>
    <row r="42" spans="1:51" x14ac:dyDescent="0.35">
      <c r="A42">
        <v>36</v>
      </c>
      <c r="C42">
        <f t="shared" si="1"/>
        <v>0</v>
      </c>
      <c r="D42">
        <f t="shared" si="2"/>
        <v>0</v>
      </c>
      <c r="E42">
        <f t="shared" si="3"/>
        <v>40</v>
      </c>
      <c r="F42">
        <f t="shared" si="4"/>
        <v>145</v>
      </c>
      <c r="G42">
        <f t="shared" si="5"/>
        <v>315</v>
      </c>
      <c r="H42">
        <f t="shared" si="6"/>
        <v>0</v>
      </c>
      <c r="I42">
        <f t="shared" si="7"/>
        <v>0</v>
      </c>
      <c r="J42">
        <f t="shared" si="8"/>
        <v>0</v>
      </c>
      <c r="K42">
        <f t="shared" si="9"/>
        <v>0</v>
      </c>
      <c r="L42">
        <f t="shared" si="10"/>
        <v>0</v>
      </c>
      <c r="M42">
        <f t="shared" si="11"/>
        <v>0</v>
      </c>
      <c r="N42">
        <f t="shared" si="12"/>
        <v>0</v>
      </c>
      <c r="O42">
        <f t="shared" si="13"/>
        <v>0</v>
      </c>
      <c r="P42">
        <f t="shared" si="14"/>
        <v>0</v>
      </c>
      <c r="Q42">
        <f t="shared" si="15"/>
        <v>0</v>
      </c>
      <c r="R42">
        <f t="shared" si="16"/>
        <v>0</v>
      </c>
      <c r="S42">
        <f t="shared" si="17"/>
        <v>0</v>
      </c>
      <c r="T42">
        <f t="shared" si="18"/>
        <v>0</v>
      </c>
      <c r="U42">
        <f t="shared" si="19"/>
        <v>0</v>
      </c>
      <c r="V42">
        <f t="shared" si="20"/>
        <v>0</v>
      </c>
      <c r="W42">
        <f t="shared" si="21"/>
        <v>0</v>
      </c>
      <c r="X42">
        <f t="shared" si="22"/>
        <v>0</v>
      </c>
      <c r="Y42">
        <f t="shared" si="23"/>
        <v>0</v>
      </c>
      <c r="Z42">
        <f t="shared" si="24"/>
        <v>0</v>
      </c>
      <c r="AA42">
        <f t="shared" si="25"/>
        <v>0</v>
      </c>
      <c r="AB42">
        <f t="shared" si="26"/>
        <v>0</v>
      </c>
      <c r="AC42">
        <f t="shared" si="27"/>
        <v>0</v>
      </c>
      <c r="AD42">
        <f t="shared" si="28"/>
        <v>0</v>
      </c>
      <c r="AE42">
        <f t="shared" si="29"/>
        <v>0</v>
      </c>
      <c r="AF42">
        <f t="shared" si="30"/>
        <v>0</v>
      </c>
      <c r="AG42">
        <f t="shared" si="31"/>
        <v>0</v>
      </c>
      <c r="AH42">
        <f t="shared" si="32"/>
        <v>0</v>
      </c>
      <c r="AI42">
        <f t="shared" si="33"/>
        <v>579.37</v>
      </c>
      <c r="AJ42">
        <f t="shared" si="34"/>
        <v>2525.6</v>
      </c>
      <c r="AK42">
        <f t="shared" si="35"/>
        <v>1593.62</v>
      </c>
      <c r="AL42">
        <f t="shared" si="36"/>
        <v>0</v>
      </c>
      <c r="AM42">
        <f t="shared" si="37"/>
        <v>0</v>
      </c>
      <c r="AN42">
        <f t="shared" si="38"/>
        <v>0</v>
      </c>
      <c r="AO42">
        <f t="shared" si="39"/>
        <v>0</v>
      </c>
      <c r="AP42">
        <f t="shared" si="40"/>
        <v>0</v>
      </c>
      <c r="AQ42">
        <f t="shared" si="41"/>
        <v>0</v>
      </c>
      <c r="AR42">
        <f t="shared" si="42"/>
        <v>0</v>
      </c>
      <c r="AS42">
        <f t="shared" si="43"/>
        <v>0</v>
      </c>
      <c r="AT42">
        <f t="shared" si="44"/>
        <v>0</v>
      </c>
      <c r="AU42">
        <f t="shared" si="45"/>
        <v>0</v>
      </c>
      <c r="AV42">
        <f t="shared" si="46"/>
        <v>0</v>
      </c>
      <c r="AW42">
        <f t="shared" si="0"/>
        <v>4698.59</v>
      </c>
      <c r="AX42">
        <f t="shared" si="47"/>
        <v>80.94</v>
      </c>
      <c r="AY42">
        <f t="shared" si="48"/>
        <v>500</v>
      </c>
    </row>
    <row r="43" spans="1:51" x14ac:dyDescent="0.35">
      <c r="A43">
        <v>37</v>
      </c>
      <c r="C43">
        <f t="shared" si="1"/>
        <v>0</v>
      </c>
      <c r="D43">
        <f t="shared" si="2"/>
        <v>0</v>
      </c>
      <c r="E43">
        <f t="shared" si="3"/>
        <v>40</v>
      </c>
      <c r="F43">
        <f t="shared" si="4"/>
        <v>145</v>
      </c>
      <c r="G43">
        <f t="shared" si="5"/>
        <v>315</v>
      </c>
      <c r="H43">
        <f t="shared" si="6"/>
        <v>0</v>
      </c>
      <c r="I43">
        <f t="shared" si="7"/>
        <v>0</v>
      </c>
      <c r="J43">
        <f t="shared" si="8"/>
        <v>0</v>
      </c>
      <c r="K43">
        <f t="shared" si="9"/>
        <v>0</v>
      </c>
      <c r="L43">
        <f t="shared" si="10"/>
        <v>0</v>
      </c>
      <c r="M43">
        <f t="shared" si="11"/>
        <v>0</v>
      </c>
      <c r="N43">
        <f t="shared" si="12"/>
        <v>0</v>
      </c>
      <c r="O43">
        <f t="shared" si="13"/>
        <v>0</v>
      </c>
      <c r="P43">
        <f t="shared" si="14"/>
        <v>0</v>
      </c>
      <c r="Q43">
        <f t="shared" si="15"/>
        <v>0</v>
      </c>
      <c r="R43">
        <f t="shared" si="16"/>
        <v>0</v>
      </c>
      <c r="S43">
        <f t="shared" si="17"/>
        <v>0</v>
      </c>
      <c r="T43">
        <f t="shared" si="18"/>
        <v>0</v>
      </c>
      <c r="U43">
        <f t="shared" si="19"/>
        <v>0</v>
      </c>
      <c r="V43">
        <f t="shared" si="20"/>
        <v>0</v>
      </c>
      <c r="W43">
        <f t="shared" si="21"/>
        <v>0</v>
      </c>
      <c r="X43">
        <f t="shared" si="22"/>
        <v>0</v>
      </c>
      <c r="Y43">
        <f t="shared" si="23"/>
        <v>0</v>
      </c>
      <c r="Z43">
        <f t="shared" si="24"/>
        <v>0</v>
      </c>
      <c r="AA43">
        <f t="shared" si="25"/>
        <v>0</v>
      </c>
      <c r="AB43">
        <f t="shared" si="26"/>
        <v>0</v>
      </c>
      <c r="AC43">
        <f t="shared" si="27"/>
        <v>0</v>
      </c>
      <c r="AD43">
        <f t="shared" si="28"/>
        <v>0</v>
      </c>
      <c r="AE43">
        <f t="shared" si="29"/>
        <v>0</v>
      </c>
      <c r="AF43">
        <f t="shared" si="30"/>
        <v>0</v>
      </c>
      <c r="AG43">
        <f t="shared" si="31"/>
        <v>0</v>
      </c>
      <c r="AH43">
        <f t="shared" si="32"/>
        <v>0</v>
      </c>
      <c r="AI43">
        <f t="shared" si="33"/>
        <v>553.37</v>
      </c>
      <c r="AJ43">
        <f t="shared" si="34"/>
        <v>2433.1999999999998</v>
      </c>
      <c r="AK43">
        <f t="shared" si="35"/>
        <v>1288.58</v>
      </c>
      <c r="AL43">
        <f t="shared" si="36"/>
        <v>0</v>
      </c>
      <c r="AM43">
        <f t="shared" si="37"/>
        <v>0</v>
      </c>
      <c r="AN43">
        <f t="shared" si="38"/>
        <v>0</v>
      </c>
      <c r="AO43">
        <f t="shared" si="39"/>
        <v>0</v>
      </c>
      <c r="AP43">
        <f t="shared" si="40"/>
        <v>0</v>
      </c>
      <c r="AQ43">
        <f t="shared" si="41"/>
        <v>0</v>
      </c>
      <c r="AR43">
        <f t="shared" si="42"/>
        <v>0</v>
      </c>
      <c r="AS43">
        <f t="shared" si="43"/>
        <v>0</v>
      </c>
      <c r="AT43">
        <f t="shared" si="44"/>
        <v>0</v>
      </c>
      <c r="AU43">
        <f t="shared" si="45"/>
        <v>0</v>
      </c>
      <c r="AV43">
        <f t="shared" si="46"/>
        <v>0</v>
      </c>
      <c r="AW43">
        <f t="shared" si="0"/>
        <v>4275.1499999999996</v>
      </c>
      <c r="AX43">
        <f t="shared" si="47"/>
        <v>76.56</v>
      </c>
      <c r="AY43">
        <f t="shared" si="48"/>
        <v>500</v>
      </c>
    </row>
    <row r="44" spans="1:51" x14ac:dyDescent="0.35">
      <c r="A44">
        <v>38</v>
      </c>
      <c r="C44">
        <f t="shared" si="1"/>
        <v>0</v>
      </c>
      <c r="D44">
        <f t="shared" si="2"/>
        <v>0</v>
      </c>
      <c r="E44">
        <f t="shared" si="3"/>
        <v>40</v>
      </c>
      <c r="F44">
        <f t="shared" si="4"/>
        <v>145</v>
      </c>
      <c r="G44">
        <f t="shared" si="5"/>
        <v>315</v>
      </c>
      <c r="H44">
        <f t="shared" si="6"/>
        <v>0</v>
      </c>
      <c r="I44">
        <f t="shared" si="7"/>
        <v>0</v>
      </c>
      <c r="J44">
        <f t="shared" si="8"/>
        <v>0</v>
      </c>
      <c r="K44">
        <f t="shared" si="9"/>
        <v>0</v>
      </c>
      <c r="L44">
        <f t="shared" si="10"/>
        <v>0</v>
      </c>
      <c r="M44">
        <f t="shared" si="11"/>
        <v>0</v>
      </c>
      <c r="N44">
        <f t="shared" si="12"/>
        <v>0</v>
      </c>
      <c r="O44">
        <f t="shared" si="13"/>
        <v>0</v>
      </c>
      <c r="P44">
        <f t="shared" si="14"/>
        <v>0</v>
      </c>
      <c r="Q44">
        <f t="shared" si="15"/>
        <v>0</v>
      </c>
      <c r="R44">
        <f t="shared" si="16"/>
        <v>0</v>
      </c>
      <c r="S44">
        <f t="shared" si="17"/>
        <v>0</v>
      </c>
      <c r="T44">
        <f t="shared" si="18"/>
        <v>0</v>
      </c>
      <c r="U44">
        <f t="shared" si="19"/>
        <v>0</v>
      </c>
      <c r="V44">
        <f t="shared" si="20"/>
        <v>0</v>
      </c>
      <c r="W44">
        <f t="shared" si="21"/>
        <v>0</v>
      </c>
      <c r="X44">
        <f t="shared" si="22"/>
        <v>0</v>
      </c>
      <c r="Y44">
        <f t="shared" si="23"/>
        <v>0</v>
      </c>
      <c r="Z44">
        <f t="shared" si="24"/>
        <v>0</v>
      </c>
      <c r="AA44">
        <f t="shared" si="25"/>
        <v>0</v>
      </c>
      <c r="AB44">
        <f t="shared" si="26"/>
        <v>0</v>
      </c>
      <c r="AC44">
        <f t="shared" si="27"/>
        <v>0</v>
      </c>
      <c r="AD44">
        <f t="shared" si="28"/>
        <v>0</v>
      </c>
      <c r="AE44">
        <f t="shared" si="29"/>
        <v>0</v>
      </c>
      <c r="AF44">
        <f t="shared" si="30"/>
        <v>0</v>
      </c>
      <c r="AG44">
        <f t="shared" si="31"/>
        <v>0</v>
      </c>
      <c r="AH44">
        <f t="shared" si="32"/>
        <v>0</v>
      </c>
      <c r="AI44">
        <f t="shared" si="33"/>
        <v>526.74</v>
      </c>
      <c r="AJ44">
        <f t="shared" si="34"/>
        <v>2338.87</v>
      </c>
      <c r="AK44">
        <f t="shared" si="35"/>
        <v>981.63</v>
      </c>
      <c r="AL44">
        <f t="shared" si="36"/>
        <v>0</v>
      </c>
      <c r="AM44">
        <f t="shared" si="37"/>
        <v>0</v>
      </c>
      <c r="AN44">
        <f t="shared" si="38"/>
        <v>0</v>
      </c>
      <c r="AO44">
        <f t="shared" si="39"/>
        <v>0</v>
      </c>
      <c r="AP44">
        <f t="shared" si="40"/>
        <v>0</v>
      </c>
      <c r="AQ44">
        <f t="shared" si="41"/>
        <v>0</v>
      </c>
      <c r="AR44">
        <f t="shared" si="42"/>
        <v>0</v>
      </c>
      <c r="AS44">
        <f t="shared" si="43"/>
        <v>0</v>
      </c>
      <c r="AT44">
        <f t="shared" si="44"/>
        <v>0</v>
      </c>
      <c r="AU44">
        <f t="shared" si="45"/>
        <v>0</v>
      </c>
      <c r="AV44">
        <f t="shared" si="46"/>
        <v>0</v>
      </c>
      <c r="AW44">
        <f t="shared" si="0"/>
        <v>3847.24</v>
      </c>
      <c r="AX44">
        <f t="shared" si="47"/>
        <v>72.09</v>
      </c>
      <c r="AY44">
        <f t="shared" si="48"/>
        <v>500</v>
      </c>
    </row>
    <row r="45" spans="1:51" x14ac:dyDescent="0.35">
      <c r="A45">
        <v>39</v>
      </c>
      <c r="C45">
        <f t="shared" si="1"/>
        <v>0</v>
      </c>
      <c r="D45">
        <f t="shared" si="2"/>
        <v>0</v>
      </c>
      <c r="E45">
        <f t="shared" si="3"/>
        <v>40</v>
      </c>
      <c r="F45">
        <f t="shared" si="4"/>
        <v>145</v>
      </c>
      <c r="G45">
        <f t="shared" si="5"/>
        <v>315</v>
      </c>
      <c r="H45">
        <f t="shared" si="6"/>
        <v>0</v>
      </c>
      <c r="I45">
        <f t="shared" si="7"/>
        <v>0</v>
      </c>
      <c r="J45">
        <f t="shared" si="8"/>
        <v>0</v>
      </c>
      <c r="K45">
        <f t="shared" si="9"/>
        <v>0</v>
      </c>
      <c r="L45">
        <f t="shared" si="10"/>
        <v>0</v>
      </c>
      <c r="M45">
        <f t="shared" si="11"/>
        <v>0</v>
      </c>
      <c r="N45">
        <f t="shared" si="12"/>
        <v>0</v>
      </c>
      <c r="O45">
        <f t="shared" si="13"/>
        <v>0</v>
      </c>
      <c r="P45">
        <f t="shared" si="14"/>
        <v>0</v>
      </c>
      <c r="Q45">
        <f t="shared" si="15"/>
        <v>0</v>
      </c>
      <c r="R45">
        <f t="shared" si="16"/>
        <v>0</v>
      </c>
      <c r="S45">
        <f t="shared" si="17"/>
        <v>0</v>
      </c>
      <c r="T45">
        <f t="shared" si="18"/>
        <v>0</v>
      </c>
      <c r="U45">
        <f t="shared" si="19"/>
        <v>0</v>
      </c>
      <c r="V45">
        <f t="shared" si="20"/>
        <v>0</v>
      </c>
      <c r="W45">
        <f t="shared" si="21"/>
        <v>0</v>
      </c>
      <c r="X45">
        <f t="shared" si="22"/>
        <v>0</v>
      </c>
      <c r="Y45">
        <f t="shared" si="23"/>
        <v>0</v>
      </c>
      <c r="Z45">
        <f t="shared" si="24"/>
        <v>0</v>
      </c>
      <c r="AA45">
        <f t="shared" si="25"/>
        <v>0</v>
      </c>
      <c r="AB45">
        <f t="shared" si="26"/>
        <v>0</v>
      </c>
      <c r="AC45">
        <f t="shared" si="27"/>
        <v>0</v>
      </c>
      <c r="AD45">
        <f t="shared" si="28"/>
        <v>0</v>
      </c>
      <c r="AE45">
        <f t="shared" si="29"/>
        <v>0</v>
      </c>
      <c r="AF45">
        <f t="shared" si="30"/>
        <v>0</v>
      </c>
      <c r="AG45">
        <f t="shared" si="31"/>
        <v>0</v>
      </c>
      <c r="AH45">
        <f t="shared" si="32"/>
        <v>0</v>
      </c>
      <c r="AI45">
        <f t="shared" si="33"/>
        <v>499.47</v>
      </c>
      <c r="AJ45">
        <f t="shared" si="34"/>
        <v>2242.58</v>
      </c>
      <c r="AK45">
        <f t="shared" si="35"/>
        <v>672.77</v>
      </c>
      <c r="AL45">
        <f t="shared" si="36"/>
        <v>0</v>
      </c>
      <c r="AM45">
        <f t="shared" si="37"/>
        <v>0</v>
      </c>
      <c r="AN45">
        <f t="shared" si="38"/>
        <v>0</v>
      </c>
      <c r="AO45">
        <f t="shared" si="39"/>
        <v>0</v>
      </c>
      <c r="AP45">
        <f t="shared" si="40"/>
        <v>0</v>
      </c>
      <c r="AQ45">
        <f t="shared" si="41"/>
        <v>0</v>
      </c>
      <c r="AR45">
        <f t="shared" si="42"/>
        <v>0</v>
      </c>
      <c r="AS45">
        <f t="shared" si="43"/>
        <v>0</v>
      </c>
      <c r="AT45">
        <f t="shared" si="44"/>
        <v>0</v>
      </c>
      <c r="AU45">
        <f t="shared" si="45"/>
        <v>0</v>
      </c>
      <c r="AV45">
        <f t="shared" si="46"/>
        <v>0</v>
      </c>
      <c r="AW45">
        <f t="shared" si="0"/>
        <v>3414.82</v>
      </c>
      <c r="AX45">
        <f t="shared" si="47"/>
        <v>67.58</v>
      </c>
      <c r="AY45">
        <f t="shared" si="48"/>
        <v>500</v>
      </c>
    </row>
    <row r="46" spans="1:51" x14ac:dyDescent="0.35">
      <c r="A46">
        <v>40</v>
      </c>
      <c r="C46">
        <f t="shared" si="1"/>
        <v>0</v>
      </c>
      <c r="D46">
        <f t="shared" si="2"/>
        <v>0</v>
      </c>
      <c r="E46">
        <f t="shared" si="3"/>
        <v>40</v>
      </c>
      <c r="F46">
        <f t="shared" si="4"/>
        <v>145</v>
      </c>
      <c r="G46">
        <f t="shared" si="5"/>
        <v>315</v>
      </c>
      <c r="H46">
        <f t="shared" si="6"/>
        <v>0</v>
      </c>
      <c r="I46">
        <f t="shared" si="7"/>
        <v>0</v>
      </c>
      <c r="J46">
        <f t="shared" si="8"/>
        <v>0</v>
      </c>
      <c r="K46">
        <f t="shared" si="9"/>
        <v>0</v>
      </c>
      <c r="L46">
        <f t="shared" si="10"/>
        <v>0</v>
      </c>
      <c r="M46">
        <f t="shared" si="11"/>
        <v>0</v>
      </c>
      <c r="N46">
        <f t="shared" si="12"/>
        <v>0</v>
      </c>
      <c r="O46">
        <f t="shared" si="13"/>
        <v>0</v>
      </c>
      <c r="P46">
        <f t="shared" si="14"/>
        <v>0</v>
      </c>
      <c r="Q46">
        <f t="shared" si="15"/>
        <v>0</v>
      </c>
      <c r="R46">
        <f t="shared" si="16"/>
        <v>0</v>
      </c>
      <c r="S46">
        <f t="shared" si="17"/>
        <v>0</v>
      </c>
      <c r="T46">
        <f t="shared" si="18"/>
        <v>0</v>
      </c>
      <c r="U46">
        <f t="shared" si="19"/>
        <v>0</v>
      </c>
      <c r="V46">
        <f t="shared" si="20"/>
        <v>0</v>
      </c>
      <c r="W46">
        <f t="shared" si="21"/>
        <v>0</v>
      </c>
      <c r="X46">
        <f t="shared" si="22"/>
        <v>0</v>
      </c>
      <c r="Y46">
        <f t="shared" si="23"/>
        <v>0</v>
      </c>
      <c r="Z46">
        <f t="shared" si="24"/>
        <v>0</v>
      </c>
      <c r="AA46">
        <f t="shared" si="25"/>
        <v>0</v>
      </c>
      <c r="AB46">
        <f t="shared" si="26"/>
        <v>0</v>
      </c>
      <c r="AC46">
        <f t="shared" si="27"/>
        <v>0</v>
      </c>
      <c r="AD46">
        <f t="shared" si="28"/>
        <v>0</v>
      </c>
      <c r="AE46">
        <f t="shared" si="29"/>
        <v>0</v>
      </c>
      <c r="AF46">
        <f t="shared" si="30"/>
        <v>0</v>
      </c>
      <c r="AG46">
        <f t="shared" si="31"/>
        <v>0</v>
      </c>
      <c r="AH46">
        <f t="shared" si="32"/>
        <v>0</v>
      </c>
      <c r="AI46">
        <f t="shared" si="33"/>
        <v>471.54</v>
      </c>
      <c r="AJ46">
        <f t="shared" si="34"/>
        <v>2144.2800000000002</v>
      </c>
      <c r="AK46">
        <f t="shared" si="35"/>
        <v>361.97</v>
      </c>
      <c r="AL46">
        <f t="shared" si="36"/>
        <v>0</v>
      </c>
      <c r="AM46">
        <f t="shared" si="37"/>
        <v>0</v>
      </c>
      <c r="AN46">
        <f t="shared" si="38"/>
        <v>0</v>
      </c>
      <c r="AO46">
        <f t="shared" si="39"/>
        <v>0</v>
      </c>
      <c r="AP46">
        <f t="shared" si="40"/>
        <v>0</v>
      </c>
      <c r="AQ46">
        <f t="shared" si="41"/>
        <v>0</v>
      </c>
      <c r="AR46">
        <f t="shared" si="42"/>
        <v>0</v>
      </c>
      <c r="AS46">
        <f t="shared" si="43"/>
        <v>0</v>
      </c>
      <c r="AT46">
        <f t="shared" si="44"/>
        <v>0</v>
      </c>
      <c r="AU46">
        <f t="shared" si="45"/>
        <v>0</v>
      </c>
      <c r="AV46">
        <f t="shared" si="46"/>
        <v>0</v>
      </c>
      <c r="AW46">
        <f t="shared" si="0"/>
        <v>2977.79</v>
      </c>
      <c r="AX46">
        <f t="shared" si="47"/>
        <v>62.970000000000006</v>
      </c>
      <c r="AY46">
        <f t="shared" si="48"/>
        <v>500</v>
      </c>
    </row>
    <row r="47" spans="1:51" x14ac:dyDescent="0.35">
      <c r="A47">
        <v>41</v>
      </c>
      <c r="C47">
        <f t="shared" si="1"/>
        <v>0</v>
      </c>
      <c r="D47">
        <f t="shared" si="2"/>
        <v>0</v>
      </c>
      <c r="E47">
        <f t="shared" si="3"/>
        <v>40</v>
      </c>
      <c r="F47">
        <f t="shared" si="4"/>
        <v>145</v>
      </c>
      <c r="G47">
        <f t="shared" si="5"/>
        <v>315</v>
      </c>
      <c r="H47">
        <f t="shared" si="6"/>
        <v>0</v>
      </c>
      <c r="I47">
        <f t="shared" si="7"/>
        <v>0</v>
      </c>
      <c r="J47">
        <f t="shared" si="8"/>
        <v>0</v>
      </c>
      <c r="K47">
        <f t="shared" si="9"/>
        <v>0</v>
      </c>
      <c r="L47">
        <f t="shared" si="10"/>
        <v>0</v>
      </c>
      <c r="M47">
        <f t="shared" si="11"/>
        <v>0</v>
      </c>
      <c r="N47">
        <f t="shared" si="12"/>
        <v>0</v>
      </c>
      <c r="O47">
        <f t="shared" si="13"/>
        <v>0</v>
      </c>
      <c r="P47">
        <f t="shared" si="14"/>
        <v>0</v>
      </c>
      <c r="Q47">
        <f t="shared" si="15"/>
        <v>0</v>
      </c>
      <c r="R47">
        <f t="shared" si="16"/>
        <v>0</v>
      </c>
      <c r="S47">
        <f t="shared" si="17"/>
        <v>0</v>
      </c>
      <c r="T47">
        <f t="shared" si="18"/>
        <v>0</v>
      </c>
      <c r="U47">
        <f t="shared" si="19"/>
        <v>0</v>
      </c>
      <c r="V47">
        <f t="shared" si="20"/>
        <v>0</v>
      </c>
      <c r="W47">
        <f t="shared" si="21"/>
        <v>0</v>
      </c>
      <c r="X47">
        <f t="shared" si="22"/>
        <v>0</v>
      </c>
      <c r="Y47">
        <f t="shared" si="23"/>
        <v>0</v>
      </c>
      <c r="Z47">
        <f t="shared" si="24"/>
        <v>0</v>
      </c>
      <c r="AA47">
        <f t="shared" si="25"/>
        <v>0</v>
      </c>
      <c r="AB47">
        <f t="shared" si="26"/>
        <v>0</v>
      </c>
      <c r="AC47">
        <f t="shared" si="27"/>
        <v>0</v>
      </c>
      <c r="AD47">
        <f t="shared" si="28"/>
        <v>0</v>
      </c>
      <c r="AE47">
        <f t="shared" si="29"/>
        <v>0</v>
      </c>
      <c r="AF47">
        <f t="shared" si="30"/>
        <v>0</v>
      </c>
      <c r="AG47">
        <f t="shared" si="31"/>
        <v>0</v>
      </c>
      <c r="AH47">
        <f t="shared" si="32"/>
        <v>0</v>
      </c>
      <c r="AI47">
        <f t="shared" si="33"/>
        <v>442.93</v>
      </c>
      <c r="AJ47">
        <f t="shared" si="34"/>
        <v>2043.93</v>
      </c>
      <c r="AK47">
        <f t="shared" si="35"/>
        <v>49.23</v>
      </c>
      <c r="AL47">
        <f t="shared" si="36"/>
        <v>0</v>
      </c>
      <c r="AM47">
        <f t="shared" si="37"/>
        <v>0</v>
      </c>
      <c r="AN47">
        <f t="shared" si="38"/>
        <v>0</v>
      </c>
      <c r="AO47">
        <f t="shared" si="39"/>
        <v>0</v>
      </c>
      <c r="AP47">
        <f t="shared" si="40"/>
        <v>0</v>
      </c>
      <c r="AQ47">
        <f t="shared" si="41"/>
        <v>0</v>
      </c>
      <c r="AR47">
        <f t="shared" si="42"/>
        <v>0</v>
      </c>
      <c r="AS47">
        <f t="shared" si="43"/>
        <v>0</v>
      </c>
      <c r="AT47">
        <f t="shared" si="44"/>
        <v>0</v>
      </c>
      <c r="AU47">
        <f t="shared" si="45"/>
        <v>0</v>
      </c>
      <c r="AV47">
        <f t="shared" si="46"/>
        <v>0</v>
      </c>
      <c r="AW47">
        <f t="shared" si="0"/>
        <v>2536.09</v>
      </c>
      <c r="AX47">
        <f t="shared" si="47"/>
        <v>58.3</v>
      </c>
      <c r="AY47">
        <f t="shared" si="48"/>
        <v>500</v>
      </c>
    </row>
    <row r="48" spans="1:51" x14ac:dyDescent="0.35">
      <c r="A48">
        <v>42</v>
      </c>
      <c r="C48">
        <f t="shared" si="1"/>
        <v>0</v>
      </c>
      <c r="D48">
        <f t="shared" si="2"/>
        <v>0</v>
      </c>
      <c r="E48">
        <f t="shared" si="3"/>
        <v>40</v>
      </c>
      <c r="F48">
        <f t="shared" si="4"/>
        <v>145</v>
      </c>
      <c r="G48">
        <f t="shared" si="5"/>
        <v>49.54</v>
      </c>
      <c r="H48">
        <f t="shared" si="6"/>
        <v>0</v>
      </c>
      <c r="I48">
        <f t="shared" si="7"/>
        <v>0</v>
      </c>
      <c r="J48">
        <f t="shared" si="8"/>
        <v>0</v>
      </c>
      <c r="K48">
        <f t="shared" si="9"/>
        <v>0</v>
      </c>
      <c r="L48">
        <f t="shared" si="10"/>
        <v>0</v>
      </c>
      <c r="M48">
        <f t="shared" si="11"/>
        <v>0</v>
      </c>
      <c r="N48">
        <f t="shared" si="12"/>
        <v>0</v>
      </c>
      <c r="O48">
        <f t="shared" si="13"/>
        <v>0</v>
      </c>
      <c r="P48">
        <f t="shared" si="14"/>
        <v>0</v>
      </c>
      <c r="Q48">
        <f t="shared" si="15"/>
        <v>0</v>
      </c>
      <c r="R48">
        <f t="shared" si="16"/>
        <v>0</v>
      </c>
      <c r="S48">
        <f t="shared" si="17"/>
        <v>0</v>
      </c>
      <c r="T48">
        <f t="shared" si="18"/>
        <v>0</v>
      </c>
      <c r="U48">
        <f t="shared" si="19"/>
        <v>0</v>
      </c>
      <c r="V48">
        <f t="shared" si="20"/>
        <v>0</v>
      </c>
      <c r="W48">
        <f t="shared" si="21"/>
        <v>0</v>
      </c>
      <c r="X48">
        <f t="shared" si="22"/>
        <v>0</v>
      </c>
      <c r="Y48">
        <f t="shared" si="23"/>
        <v>0</v>
      </c>
      <c r="Z48">
        <f t="shared" si="24"/>
        <v>0</v>
      </c>
      <c r="AA48">
        <f t="shared" si="25"/>
        <v>0</v>
      </c>
      <c r="AB48">
        <f t="shared" si="26"/>
        <v>0</v>
      </c>
      <c r="AC48">
        <f t="shared" si="27"/>
        <v>0</v>
      </c>
      <c r="AD48">
        <f t="shared" si="28"/>
        <v>0</v>
      </c>
      <c r="AE48">
        <f t="shared" si="29"/>
        <v>0</v>
      </c>
      <c r="AF48">
        <f t="shared" si="30"/>
        <v>0</v>
      </c>
      <c r="AG48">
        <f t="shared" si="31"/>
        <v>0</v>
      </c>
      <c r="AH48">
        <f t="shared" si="32"/>
        <v>0</v>
      </c>
      <c r="AI48">
        <f t="shared" si="33"/>
        <v>413.63</v>
      </c>
      <c r="AJ48">
        <f t="shared" si="34"/>
        <v>1941.49</v>
      </c>
      <c r="AK48">
        <f t="shared" si="35"/>
        <v>0</v>
      </c>
      <c r="AL48">
        <f t="shared" si="36"/>
        <v>0</v>
      </c>
      <c r="AM48">
        <f t="shared" si="37"/>
        <v>0</v>
      </c>
      <c r="AN48">
        <f t="shared" si="38"/>
        <v>0</v>
      </c>
      <c r="AO48">
        <f t="shared" si="39"/>
        <v>0</v>
      </c>
      <c r="AP48">
        <f t="shared" si="40"/>
        <v>0</v>
      </c>
      <c r="AQ48">
        <f t="shared" si="41"/>
        <v>0</v>
      </c>
      <c r="AR48">
        <f t="shared" si="42"/>
        <v>0</v>
      </c>
      <c r="AS48">
        <f t="shared" si="43"/>
        <v>0</v>
      </c>
      <c r="AT48">
        <f t="shared" si="44"/>
        <v>0</v>
      </c>
      <c r="AU48">
        <f t="shared" si="45"/>
        <v>0</v>
      </c>
      <c r="AV48">
        <f t="shared" si="46"/>
        <v>0</v>
      </c>
      <c r="AW48">
        <f t="shared" si="0"/>
        <v>2355.12</v>
      </c>
      <c r="AX48">
        <f t="shared" si="47"/>
        <v>53.570000000000007</v>
      </c>
      <c r="AY48">
        <f t="shared" si="48"/>
        <v>234.54</v>
      </c>
    </row>
    <row r="49" spans="1:51" x14ac:dyDescent="0.35">
      <c r="A49">
        <v>43</v>
      </c>
      <c r="C49">
        <f t="shared" si="1"/>
        <v>0</v>
      </c>
      <c r="D49">
        <f t="shared" si="2"/>
        <v>0</v>
      </c>
      <c r="E49">
        <f t="shared" si="3"/>
        <v>40</v>
      </c>
      <c r="F49">
        <f t="shared" si="4"/>
        <v>145</v>
      </c>
      <c r="G49">
        <f t="shared" si="5"/>
        <v>0</v>
      </c>
      <c r="H49">
        <f t="shared" si="6"/>
        <v>0</v>
      </c>
      <c r="I49">
        <f t="shared" si="7"/>
        <v>0</v>
      </c>
      <c r="J49">
        <f t="shared" si="8"/>
        <v>0</v>
      </c>
      <c r="K49">
        <f t="shared" si="9"/>
        <v>0</v>
      </c>
      <c r="L49">
        <f t="shared" si="10"/>
        <v>0</v>
      </c>
      <c r="M49">
        <f t="shared" si="11"/>
        <v>0</v>
      </c>
      <c r="N49">
        <f t="shared" si="12"/>
        <v>0</v>
      </c>
      <c r="O49">
        <f t="shared" si="13"/>
        <v>0</v>
      </c>
      <c r="P49">
        <f t="shared" si="14"/>
        <v>0</v>
      </c>
      <c r="Q49">
        <f t="shared" si="15"/>
        <v>0</v>
      </c>
      <c r="R49">
        <f t="shared" si="16"/>
        <v>0</v>
      </c>
      <c r="S49">
        <f t="shared" si="17"/>
        <v>0</v>
      </c>
      <c r="T49">
        <f t="shared" si="18"/>
        <v>0</v>
      </c>
      <c r="U49">
        <f t="shared" si="19"/>
        <v>0</v>
      </c>
      <c r="V49">
        <f t="shared" si="20"/>
        <v>0</v>
      </c>
      <c r="W49">
        <f t="shared" si="21"/>
        <v>0</v>
      </c>
      <c r="X49">
        <f t="shared" si="22"/>
        <v>0</v>
      </c>
      <c r="Y49">
        <f t="shared" si="23"/>
        <v>0</v>
      </c>
      <c r="Z49">
        <f t="shared" si="24"/>
        <v>0</v>
      </c>
      <c r="AA49">
        <f t="shared" si="25"/>
        <v>0</v>
      </c>
      <c r="AB49">
        <f t="shared" si="26"/>
        <v>0</v>
      </c>
      <c r="AC49">
        <f t="shared" si="27"/>
        <v>0</v>
      </c>
      <c r="AD49">
        <f t="shared" si="28"/>
        <v>0</v>
      </c>
      <c r="AE49">
        <f t="shared" si="29"/>
        <v>0</v>
      </c>
      <c r="AF49">
        <f t="shared" si="30"/>
        <v>0</v>
      </c>
      <c r="AG49">
        <f t="shared" si="31"/>
        <v>0</v>
      </c>
      <c r="AH49">
        <f t="shared" si="32"/>
        <v>0</v>
      </c>
      <c r="AI49">
        <f t="shared" si="33"/>
        <v>383.62</v>
      </c>
      <c r="AJ49">
        <f t="shared" si="34"/>
        <v>1836.92</v>
      </c>
      <c r="AK49">
        <f t="shared" si="35"/>
        <v>0</v>
      </c>
      <c r="AL49">
        <f t="shared" si="36"/>
        <v>0</v>
      </c>
      <c r="AM49">
        <f t="shared" si="37"/>
        <v>0</v>
      </c>
      <c r="AN49">
        <f t="shared" si="38"/>
        <v>0</v>
      </c>
      <c r="AO49">
        <f t="shared" si="39"/>
        <v>0</v>
      </c>
      <c r="AP49">
        <f t="shared" si="40"/>
        <v>0</v>
      </c>
      <c r="AQ49">
        <f t="shared" si="41"/>
        <v>0</v>
      </c>
      <c r="AR49">
        <f t="shared" si="42"/>
        <v>0</v>
      </c>
      <c r="AS49">
        <f t="shared" si="43"/>
        <v>0</v>
      </c>
      <c r="AT49">
        <f t="shared" si="44"/>
        <v>0</v>
      </c>
      <c r="AU49">
        <f t="shared" si="45"/>
        <v>0</v>
      </c>
      <c r="AV49">
        <f t="shared" si="46"/>
        <v>0</v>
      </c>
      <c r="AW49">
        <f t="shared" si="0"/>
        <v>2220.54</v>
      </c>
      <c r="AX49">
        <f t="shared" si="47"/>
        <v>50.42</v>
      </c>
      <c r="AY49">
        <f t="shared" si="48"/>
        <v>185</v>
      </c>
    </row>
    <row r="50" spans="1:51" x14ac:dyDescent="0.35">
      <c r="A50">
        <v>44</v>
      </c>
      <c r="C50">
        <f t="shared" si="1"/>
        <v>0</v>
      </c>
      <c r="D50">
        <f t="shared" si="2"/>
        <v>0</v>
      </c>
      <c r="E50">
        <f t="shared" si="3"/>
        <v>40</v>
      </c>
      <c r="F50">
        <f t="shared" si="4"/>
        <v>145</v>
      </c>
      <c r="G50">
        <f t="shared" si="5"/>
        <v>0</v>
      </c>
      <c r="H50">
        <f t="shared" si="6"/>
        <v>0</v>
      </c>
      <c r="I50">
        <f t="shared" si="7"/>
        <v>0</v>
      </c>
      <c r="J50">
        <f t="shared" si="8"/>
        <v>0</v>
      </c>
      <c r="K50">
        <f t="shared" si="9"/>
        <v>0</v>
      </c>
      <c r="L50">
        <f t="shared" si="10"/>
        <v>0</v>
      </c>
      <c r="M50">
        <f t="shared" si="11"/>
        <v>0</v>
      </c>
      <c r="N50">
        <f t="shared" si="12"/>
        <v>0</v>
      </c>
      <c r="O50">
        <f t="shared" si="13"/>
        <v>0</v>
      </c>
      <c r="P50">
        <f t="shared" si="14"/>
        <v>0</v>
      </c>
      <c r="Q50">
        <f t="shared" si="15"/>
        <v>0</v>
      </c>
      <c r="R50">
        <f t="shared" si="16"/>
        <v>0</v>
      </c>
      <c r="S50">
        <f t="shared" si="17"/>
        <v>0</v>
      </c>
      <c r="T50">
        <f t="shared" si="18"/>
        <v>0</v>
      </c>
      <c r="U50">
        <f t="shared" si="19"/>
        <v>0</v>
      </c>
      <c r="V50">
        <f t="shared" si="20"/>
        <v>0</v>
      </c>
      <c r="W50">
        <f t="shared" si="21"/>
        <v>0</v>
      </c>
      <c r="X50">
        <f t="shared" si="22"/>
        <v>0</v>
      </c>
      <c r="Y50">
        <f t="shared" si="23"/>
        <v>0</v>
      </c>
      <c r="Z50">
        <f t="shared" si="24"/>
        <v>0</v>
      </c>
      <c r="AA50">
        <f t="shared" si="25"/>
        <v>0</v>
      </c>
      <c r="AB50">
        <f t="shared" si="26"/>
        <v>0</v>
      </c>
      <c r="AC50">
        <f t="shared" si="27"/>
        <v>0</v>
      </c>
      <c r="AD50">
        <f t="shared" si="28"/>
        <v>0</v>
      </c>
      <c r="AE50">
        <f t="shared" si="29"/>
        <v>0</v>
      </c>
      <c r="AF50">
        <f t="shared" si="30"/>
        <v>0</v>
      </c>
      <c r="AG50">
        <f t="shared" si="31"/>
        <v>0</v>
      </c>
      <c r="AH50">
        <f t="shared" si="32"/>
        <v>0</v>
      </c>
      <c r="AI50">
        <f t="shared" si="33"/>
        <v>352.89</v>
      </c>
      <c r="AJ50">
        <f t="shared" si="34"/>
        <v>1730.17</v>
      </c>
      <c r="AK50">
        <f t="shared" si="35"/>
        <v>0</v>
      </c>
      <c r="AL50">
        <f t="shared" si="36"/>
        <v>0</v>
      </c>
      <c r="AM50">
        <f t="shared" si="37"/>
        <v>0</v>
      </c>
      <c r="AN50">
        <f t="shared" si="38"/>
        <v>0</v>
      </c>
      <c r="AO50">
        <f t="shared" si="39"/>
        <v>0</v>
      </c>
      <c r="AP50">
        <f t="shared" si="40"/>
        <v>0</v>
      </c>
      <c r="AQ50">
        <f t="shared" si="41"/>
        <v>0</v>
      </c>
      <c r="AR50">
        <f t="shared" si="42"/>
        <v>0</v>
      </c>
      <c r="AS50">
        <f t="shared" si="43"/>
        <v>0</v>
      </c>
      <c r="AT50">
        <f t="shared" si="44"/>
        <v>0</v>
      </c>
      <c r="AU50">
        <f t="shared" si="45"/>
        <v>0</v>
      </c>
      <c r="AV50">
        <f t="shared" si="46"/>
        <v>0</v>
      </c>
      <c r="AW50">
        <f t="shared" si="0"/>
        <v>2083.06</v>
      </c>
      <c r="AX50">
        <f t="shared" si="47"/>
        <v>47.519999999999996</v>
      </c>
      <c r="AY50">
        <f t="shared" si="48"/>
        <v>185</v>
      </c>
    </row>
    <row r="51" spans="1:51" x14ac:dyDescent="0.35">
      <c r="A51">
        <v>45</v>
      </c>
      <c r="C51">
        <f t="shared" si="1"/>
        <v>0</v>
      </c>
      <c r="D51">
        <f t="shared" si="2"/>
        <v>0</v>
      </c>
      <c r="E51">
        <f t="shared" si="3"/>
        <v>40</v>
      </c>
      <c r="F51">
        <f t="shared" si="4"/>
        <v>145</v>
      </c>
      <c r="G51">
        <f t="shared" si="5"/>
        <v>0</v>
      </c>
      <c r="H51">
        <f t="shared" si="6"/>
        <v>0</v>
      </c>
      <c r="I51">
        <f t="shared" si="7"/>
        <v>0</v>
      </c>
      <c r="J51">
        <f t="shared" si="8"/>
        <v>0</v>
      </c>
      <c r="K51">
        <f t="shared" si="9"/>
        <v>0</v>
      </c>
      <c r="L51">
        <f t="shared" si="10"/>
        <v>0</v>
      </c>
      <c r="M51">
        <f t="shared" si="11"/>
        <v>0</v>
      </c>
      <c r="N51">
        <f t="shared" si="12"/>
        <v>0</v>
      </c>
      <c r="O51">
        <f t="shared" si="13"/>
        <v>0</v>
      </c>
      <c r="P51">
        <f t="shared" si="14"/>
        <v>0</v>
      </c>
      <c r="Q51">
        <f t="shared" si="15"/>
        <v>0</v>
      </c>
      <c r="R51">
        <f t="shared" si="16"/>
        <v>0</v>
      </c>
      <c r="S51">
        <f t="shared" si="17"/>
        <v>0</v>
      </c>
      <c r="T51">
        <f t="shared" si="18"/>
        <v>0</v>
      </c>
      <c r="U51">
        <f t="shared" si="19"/>
        <v>0</v>
      </c>
      <c r="V51">
        <f t="shared" si="20"/>
        <v>0</v>
      </c>
      <c r="W51">
        <f t="shared" si="21"/>
        <v>0</v>
      </c>
      <c r="X51">
        <f t="shared" si="22"/>
        <v>0</v>
      </c>
      <c r="Y51">
        <f t="shared" si="23"/>
        <v>0</v>
      </c>
      <c r="Z51">
        <f t="shared" si="24"/>
        <v>0</v>
      </c>
      <c r="AA51">
        <f t="shared" si="25"/>
        <v>0</v>
      </c>
      <c r="AB51">
        <f t="shared" si="26"/>
        <v>0</v>
      </c>
      <c r="AC51">
        <f t="shared" si="27"/>
        <v>0</v>
      </c>
      <c r="AD51">
        <f t="shared" si="28"/>
        <v>0</v>
      </c>
      <c r="AE51">
        <f t="shared" si="29"/>
        <v>0</v>
      </c>
      <c r="AF51">
        <f t="shared" si="30"/>
        <v>0</v>
      </c>
      <c r="AG51">
        <f t="shared" si="31"/>
        <v>0</v>
      </c>
      <c r="AH51">
        <f t="shared" si="32"/>
        <v>0</v>
      </c>
      <c r="AI51">
        <f t="shared" si="33"/>
        <v>321.42</v>
      </c>
      <c r="AJ51">
        <f t="shared" si="34"/>
        <v>1621.2</v>
      </c>
      <c r="AK51">
        <f t="shared" si="35"/>
        <v>0</v>
      </c>
      <c r="AL51">
        <f t="shared" si="36"/>
        <v>0</v>
      </c>
      <c r="AM51">
        <f t="shared" si="37"/>
        <v>0</v>
      </c>
      <c r="AN51">
        <f t="shared" si="38"/>
        <v>0</v>
      </c>
      <c r="AO51">
        <f t="shared" si="39"/>
        <v>0</v>
      </c>
      <c r="AP51">
        <f t="shared" si="40"/>
        <v>0</v>
      </c>
      <c r="AQ51">
        <f t="shared" si="41"/>
        <v>0</v>
      </c>
      <c r="AR51">
        <f t="shared" si="42"/>
        <v>0</v>
      </c>
      <c r="AS51">
        <f t="shared" si="43"/>
        <v>0</v>
      </c>
      <c r="AT51">
        <f t="shared" si="44"/>
        <v>0</v>
      </c>
      <c r="AU51">
        <f t="shared" si="45"/>
        <v>0</v>
      </c>
      <c r="AV51">
        <f t="shared" si="46"/>
        <v>0</v>
      </c>
      <c r="AW51">
        <f t="shared" si="0"/>
        <v>1942.6200000000001</v>
      </c>
      <c r="AX51">
        <f t="shared" si="47"/>
        <v>44.56</v>
      </c>
      <c r="AY51">
        <f t="shared" si="48"/>
        <v>185</v>
      </c>
    </row>
    <row r="52" spans="1:51" x14ac:dyDescent="0.35">
      <c r="A52">
        <v>46</v>
      </c>
      <c r="C52">
        <f t="shared" si="1"/>
        <v>0</v>
      </c>
      <c r="D52">
        <f t="shared" si="2"/>
        <v>0</v>
      </c>
      <c r="E52">
        <f t="shared" si="3"/>
        <v>40</v>
      </c>
      <c r="F52">
        <f t="shared" si="4"/>
        <v>145</v>
      </c>
      <c r="G52">
        <f t="shared" si="5"/>
        <v>0</v>
      </c>
      <c r="H52">
        <f t="shared" si="6"/>
        <v>0</v>
      </c>
      <c r="I52">
        <f t="shared" si="7"/>
        <v>0</v>
      </c>
      <c r="J52">
        <f t="shared" si="8"/>
        <v>0</v>
      </c>
      <c r="K52">
        <f t="shared" si="9"/>
        <v>0</v>
      </c>
      <c r="L52">
        <f t="shared" si="10"/>
        <v>0</v>
      </c>
      <c r="M52">
        <f t="shared" si="11"/>
        <v>0</v>
      </c>
      <c r="N52">
        <f t="shared" si="12"/>
        <v>0</v>
      </c>
      <c r="O52">
        <f t="shared" si="13"/>
        <v>0</v>
      </c>
      <c r="P52">
        <f t="shared" si="14"/>
        <v>0</v>
      </c>
      <c r="Q52">
        <f t="shared" si="15"/>
        <v>0</v>
      </c>
      <c r="R52">
        <f t="shared" si="16"/>
        <v>0</v>
      </c>
      <c r="S52">
        <f t="shared" si="17"/>
        <v>0</v>
      </c>
      <c r="T52">
        <f t="shared" si="18"/>
        <v>0</v>
      </c>
      <c r="U52">
        <f t="shared" si="19"/>
        <v>0</v>
      </c>
      <c r="V52">
        <f t="shared" si="20"/>
        <v>0</v>
      </c>
      <c r="W52">
        <f t="shared" si="21"/>
        <v>0</v>
      </c>
      <c r="X52">
        <f t="shared" si="22"/>
        <v>0</v>
      </c>
      <c r="Y52">
        <f t="shared" si="23"/>
        <v>0</v>
      </c>
      <c r="Z52">
        <f t="shared" si="24"/>
        <v>0</v>
      </c>
      <c r="AA52">
        <f t="shared" si="25"/>
        <v>0</v>
      </c>
      <c r="AB52">
        <f t="shared" si="26"/>
        <v>0</v>
      </c>
      <c r="AC52">
        <f t="shared" si="27"/>
        <v>0</v>
      </c>
      <c r="AD52">
        <f t="shared" si="28"/>
        <v>0</v>
      </c>
      <c r="AE52">
        <f t="shared" si="29"/>
        <v>0</v>
      </c>
      <c r="AF52">
        <f t="shared" si="30"/>
        <v>0</v>
      </c>
      <c r="AG52">
        <f t="shared" si="31"/>
        <v>0</v>
      </c>
      <c r="AH52">
        <f t="shared" si="32"/>
        <v>0</v>
      </c>
      <c r="AI52">
        <f t="shared" si="33"/>
        <v>289.18</v>
      </c>
      <c r="AJ52">
        <f t="shared" si="34"/>
        <v>1509.96</v>
      </c>
      <c r="AK52">
        <f t="shared" si="35"/>
        <v>0</v>
      </c>
      <c r="AL52">
        <f t="shared" si="36"/>
        <v>0</v>
      </c>
      <c r="AM52">
        <f t="shared" si="37"/>
        <v>0</v>
      </c>
      <c r="AN52">
        <f t="shared" si="38"/>
        <v>0</v>
      </c>
      <c r="AO52">
        <f t="shared" si="39"/>
        <v>0</v>
      </c>
      <c r="AP52">
        <f t="shared" si="40"/>
        <v>0</v>
      </c>
      <c r="AQ52">
        <f t="shared" si="41"/>
        <v>0</v>
      </c>
      <c r="AR52">
        <f t="shared" si="42"/>
        <v>0</v>
      </c>
      <c r="AS52">
        <f t="shared" si="43"/>
        <v>0</v>
      </c>
      <c r="AT52">
        <f t="shared" si="44"/>
        <v>0</v>
      </c>
      <c r="AU52">
        <f t="shared" si="45"/>
        <v>0</v>
      </c>
      <c r="AV52">
        <f t="shared" si="46"/>
        <v>0</v>
      </c>
      <c r="AW52">
        <f t="shared" si="0"/>
        <v>1799.14</v>
      </c>
      <c r="AX52">
        <f t="shared" si="47"/>
        <v>41.519999999999996</v>
      </c>
      <c r="AY52">
        <f t="shared" si="48"/>
        <v>185</v>
      </c>
    </row>
    <row r="53" spans="1:51" x14ac:dyDescent="0.35">
      <c r="A53">
        <v>47</v>
      </c>
      <c r="C53">
        <f t="shared" si="1"/>
        <v>0</v>
      </c>
      <c r="D53">
        <f t="shared" si="2"/>
        <v>0</v>
      </c>
      <c r="E53">
        <f t="shared" si="3"/>
        <v>40</v>
      </c>
      <c r="F53">
        <f t="shared" si="4"/>
        <v>145</v>
      </c>
      <c r="G53">
        <f t="shared" si="5"/>
        <v>0</v>
      </c>
      <c r="H53">
        <f t="shared" si="6"/>
        <v>0</v>
      </c>
      <c r="I53">
        <f t="shared" si="7"/>
        <v>0</v>
      </c>
      <c r="J53">
        <f t="shared" si="8"/>
        <v>0</v>
      </c>
      <c r="K53">
        <f t="shared" si="9"/>
        <v>0</v>
      </c>
      <c r="L53">
        <f t="shared" si="10"/>
        <v>0</v>
      </c>
      <c r="M53">
        <f t="shared" si="11"/>
        <v>0</v>
      </c>
      <c r="N53">
        <f t="shared" si="12"/>
        <v>0</v>
      </c>
      <c r="O53">
        <f t="shared" si="13"/>
        <v>0</v>
      </c>
      <c r="P53">
        <f t="shared" si="14"/>
        <v>0</v>
      </c>
      <c r="Q53">
        <f t="shared" si="15"/>
        <v>0</v>
      </c>
      <c r="R53">
        <f t="shared" si="16"/>
        <v>0</v>
      </c>
      <c r="S53">
        <f t="shared" si="17"/>
        <v>0</v>
      </c>
      <c r="T53">
        <f t="shared" si="18"/>
        <v>0</v>
      </c>
      <c r="U53">
        <f t="shared" si="19"/>
        <v>0</v>
      </c>
      <c r="V53">
        <f t="shared" si="20"/>
        <v>0</v>
      </c>
      <c r="W53">
        <f t="shared" si="21"/>
        <v>0</v>
      </c>
      <c r="X53">
        <f t="shared" si="22"/>
        <v>0</v>
      </c>
      <c r="Y53">
        <f t="shared" si="23"/>
        <v>0</v>
      </c>
      <c r="Z53">
        <f t="shared" si="24"/>
        <v>0</v>
      </c>
      <c r="AA53">
        <f t="shared" si="25"/>
        <v>0</v>
      </c>
      <c r="AB53">
        <f t="shared" si="26"/>
        <v>0</v>
      </c>
      <c r="AC53">
        <f t="shared" si="27"/>
        <v>0</v>
      </c>
      <c r="AD53">
        <f t="shared" si="28"/>
        <v>0</v>
      </c>
      <c r="AE53">
        <f t="shared" si="29"/>
        <v>0</v>
      </c>
      <c r="AF53">
        <f t="shared" si="30"/>
        <v>0</v>
      </c>
      <c r="AG53">
        <f t="shared" si="31"/>
        <v>0</v>
      </c>
      <c r="AH53">
        <f t="shared" si="32"/>
        <v>0</v>
      </c>
      <c r="AI53">
        <f t="shared" si="33"/>
        <v>256.17</v>
      </c>
      <c r="AJ53">
        <f t="shared" si="34"/>
        <v>1396.4</v>
      </c>
      <c r="AK53">
        <f t="shared" si="35"/>
        <v>0</v>
      </c>
      <c r="AL53">
        <f t="shared" si="36"/>
        <v>0</v>
      </c>
      <c r="AM53">
        <f t="shared" si="37"/>
        <v>0</v>
      </c>
      <c r="AN53">
        <f t="shared" si="38"/>
        <v>0</v>
      </c>
      <c r="AO53">
        <f t="shared" si="39"/>
        <v>0</v>
      </c>
      <c r="AP53">
        <f t="shared" si="40"/>
        <v>0</v>
      </c>
      <c r="AQ53">
        <f t="shared" si="41"/>
        <v>0</v>
      </c>
      <c r="AR53">
        <f t="shared" si="42"/>
        <v>0</v>
      </c>
      <c r="AS53">
        <f t="shared" si="43"/>
        <v>0</v>
      </c>
      <c r="AT53">
        <f t="shared" si="44"/>
        <v>0</v>
      </c>
      <c r="AU53">
        <f t="shared" si="45"/>
        <v>0</v>
      </c>
      <c r="AV53">
        <f t="shared" si="46"/>
        <v>0</v>
      </c>
      <c r="AW53">
        <f t="shared" si="0"/>
        <v>1652.5700000000002</v>
      </c>
      <c r="AX53">
        <f t="shared" si="47"/>
        <v>38.43</v>
      </c>
      <c r="AY53">
        <f t="shared" si="48"/>
        <v>185</v>
      </c>
    </row>
    <row r="54" spans="1:51" x14ac:dyDescent="0.35">
      <c r="A54">
        <v>48</v>
      </c>
      <c r="C54">
        <f t="shared" si="1"/>
        <v>0</v>
      </c>
      <c r="D54">
        <f t="shared" si="2"/>
        <v>0</v>
      </c>
      <c r="E54">
        <f t="shared" si="3"/>
        <v>40</v>
      </c>
      <c r="F54">
        <f t="shared" si="4"/>
        <v>145</v>
      </c>
      <c r="G54">
        <f t="shared" si="5"/>
        <v>0</v>
      </c>
      <c r="H54">
        <f t="shared" si="6"/>
        <v>0</v>
      </c>
      <c r="I54">
        <f t="shared" si="7"/>
        <v>0</v>
      </c>
      <c r="J54">
        <f t="shared" si="8"/>
        <v>0</v>
      </c>
      <c r="K54">
        <f t="shared" si="9"/>
        <v>0</v>
      </c>
      <c r="L54">
        <f t="shared" si="10"/>
        <v>0</v>
      </c>
      <c r="M54">
        <f t="shared" si="11"/>
        <v>0</v>
      </c>
      <c r="N54">
        <f t="shared" si="12"/>
        <v>0</v>
      </c>
      <c r="O54">
        <f t="shared" si="13"/>
        <v>0</v>
      </c>
      <c r="P54">
        <f t="shared" si="14"/>
        <v>0</v>
      </c>
      <c r="Q54">
        <f t="shared" si="15"/>
        <v>0</v>
      </c>
      <c r="R54">
        <f t="shared" si="16"/>
        <v>0</v>
      </c>
      <c r="S54">
        <f t="shared" si="17"/>
        <v>0</v>
      </c>
      <c r="T54">
        <f t="shared" si="18"/>
        <v>0</v>
      </c>
      <c r="U54">
        <f t="shared" si="19"/>
        <v>0</v>
      </c>
      <c r="V54">
        <f t="shared" si="20"/>
        <v>0</v>
      </c>
      <c r="W54">
        <f t="shared" si="21"/>
        <v>0</v>
      </c>
      <c r="X54">
        <f t="shared" si="22"/>
        <v>0</v>
      </c>
      <c r="Y54">
        <f t="shared" si="23"/>
        <v>0</v>
      </c>
      <c r="Z54">
        <f t="shared" si="24"/>
        <v>0</v>
      </c>
      <c r="AA54">
        <f t="shared" si="25"/>
        <v>0</v>
      </c>
      <c r="AB54">
        <f t="shared" si="26"/>
        <v>0</v>
      </c>
      <c r="AC54">
        <f t="shared" si="27"/>
        <v>0</v>
      </c>
      <c r="AD54">
        <f t="shared" si="28"/>
        <v>0</v>
      </c>
      <c r="AE54">
        <f t="shared" si="29"/>
        <v>0</v>
      </c>
      <c r="AF54">
        <f t="shared" si="30"/>
        <v>0</v>
      </c>
      <c r="AG54">
        <f t="shared" si="31"/>
        <v>0</v>
      </c>
      <c r="AH54">
        <f t="shared" si="32"/>
        <v>0</v>
      </c>
      <c r="AI54">
        <f t="shared" si="33"/>
        <v>222.36</v>
      </c>
      <c r="AJ54">
        <f t="shared" si="34"/>
        <v>1280.48</v>
      </c>
      <c r="AK54">
        <f t="shared" si="35"/>
        <v>0</v>
      </c>
      <c r="AL54">
        <f t="shared" si="36"/>
        <v>0</v>
      </c>
      <c r="AM54">
        <f t="shared" si="37"/>
        <v>0</v>
      </c>
      <c r="AN54">
        <f t="shared" si="38"/>
        <v>0</v>
      </c>
      <c r="AO54">
        <f t="shared" si="39"/>
        <v>0</v>
      </c>
      <c r="AP54">
        <f t="shared" si="40"/>
        <v>0</v>
      </c>
      <c r="AQ54">
        <f t="shared" si="41"/>
        <v>0</v>
      </c>
      <c r="AR54">
        <f t="shared" si="42"/>
        <v>0</v>
      </c>
      <c r="AS54">
        <f t="shared" si="43"/>
        <v>0</v>
      </c>
      <c r="AT54">
        <f t="shared" si="44"/>
        <v>0</v>
      </c>
      <c r="AU54">
        <f t="shared" si="45"/>
        <v>0</v>
      </c>
      <c r="AV54">
        <f t="shared" si="46"/>
        <v>0</v>
      </c>
      <c r="AW54">
        <f t="shared" si="0"/>
        <v>1502.8400000000001</v>
      </c>
      <c r="AX54">
        <f t="shared" si="47"/>
        <v>35.269999999999996</v>
      </c>
      <c r="AY54">
        <f t="shared" si="48"/>
        <v>185</v>
      </c>
    </row>
    <row r="55" spans="1:51" x14ac:dyDescent="0.35">
      <c r="A55">
        <v>49</v>
      </c>
      <c r="C55">
        <f t="shared" si="1"/>
        <v>0</v>
      </c>
      <c r="D55">
        <f t="shared" si="2"/>
        <v>0</v>
      </c>
      <c r="E55">
        <f t="shared" si="3"/>
        <v>40</v>
      </c>
      <c r="F55">
        <f t="shared" si="4"/>
        <v>145</v>
      </c>
      <c r="G55">
        <f t="shared" si="5"/>
        <v>0</v>
      </c>
      <c r="H55">
        <f t="shared" si="6"/>
        <v>0</v>
      </c>
      <c r="I55">
        <f t="shared" si="7"/>
        <v>0</v>
      </c>
      <c r="J55">
        <f t="shared" si="8"/>
        <v>0</v>
      </c>
      <c r="K55">
        <f t="shared" si="9"/>
        <v>0</v>
      </c>
      <c r="L55">
        <f t="shared" si="10"/>
        <v>0</v>
      </c>
      <c r="M55">
        <f t="shared" si="11"/>
        <v>0</v>
      </c>
      <c r="N55">
        <f t="shared" si="12"/>
        <v>0</v>
      </c>
      <c r="O55">
        <f t="shared" si="13"/>
        <v>0</v>
      </c>
      <c r="P55">
        <f t="shared" si="14"/>
        <v>0</v>
      </c>
      <c r="Q55">
        <f t="shared" si="15"/>
        <v>0</v>
      </c>
      <c r="R55">
        <f t="shared" si="16"/>
        <v>0</v>
      </c>
      <c r="S55">
        <f t="shared" si="17"/>
        <v>0</v>
      </c>
      <c r="T55">
        <f t="shared" si="18"/>
        <v>0</v>
      </c>
      <c r="U55">
        <f t="shared" si="19"/>
        <v>0</v>
      </c>
      <c r="V55">
        <f t="shared" si="20"/>
        <v>0</v>
      </c>
      <c r="W55">
        <f t="shared" si="21"/>
        <v>0</v>
      </c>
      <c r="X55">
        <f t="shared" si="22"/>
        <v>0</v>
      </c>
      <c r="Y55">
        <f t="shared" si="23"/>
        <v>0</v>
      </c>
      <c r="Z55">
        <f t="shared" si="24"/>
        <v>0</v>
      </c>
      <c r="AA55">
        <f t="shared" si="25"/>
        <v>0</v>
      </c>
      <c r="AB55">
        <f t="shared" si="26"/>
        <v>0</v>
      </c>
      <c r="AC55">
        <f t="shared" si="27"/>
        <v>0</v>
      </c>
      <c r="AD55">
        <f t="shared" si="28"/>
        <v>0</v>
      </c>
      <c r="AE55">
        <f t="shared" si="29"/>
        <v>0</v>
      </c>
      <c r="AF55">
        <f t="shared" si="30"/>
        <v>0</v>
      </c>
      <c r="AG55">
        <f t="shared" si="31"/>
        <v>0</v>
      </c>
      <c r="AH55">
        <f t="shared" si="32"/>
        <v>0</v>
      </c>
      <c r="AI55">
        <f t="shared" si="33"/>
        <v>187.73</v>
      </c>
      <c r="AJ55">
        <f t="shared" si="34"/>
        <v>1162.1500000000001</v>
      </c>
      <c r="AK55">
        <f t="shared" si="35"/>
        <v>0</v>
      </c>
      <c r="AL55">
        <f t="shared" si="36"/>
        <v>0</v>
      </c>
      <c r="AM55">
        <f t="shared" si="37"/>
        <v>0</v>
      </c>
      <c r="AN55">
        <f t="shared" si="38"/>
        <v>0</v>
      </c>
      <c r="AO55">
        <f t="shared" si="39"/>
        <v>0</v>
      </c>
      <c r="AP55">
        <f t="shared" si="40"/>
        <v>0</v>
      </c>
      <c r="AQ55">
        <f t="shared" si="41"/>
        <v>0</v>
      </c>
      <c r="AR55">
        <f t="shared" si="42"/>
        <v>0</v>
      </c>
      <c r="AS55">
        <f t="shared" si="43"/>
        <v>0</v>
      </c>
      <c r="AT55">
        <f t="shared" si="44"/>
        <v>0</v>
      </c>
      <c r="AU55">
        <f t="shared" si="45"/>
        <v>0</v>
      </c>
      <c r="AV55">
        <f t="shared" si="46"/>
        <v>0</v>
      </c>
      <c r="AW55">
        <f t="shared" si="0"/>
        <v>1349.88</v>
      </c>
      <c r="AX55">
        <f t="shared" si="47"/>
        <v>32.04</v>
      </c>
      <c r="AY55">
        <f t="shared" si="48"/>
        <v>185</v>
      </c>
    </row>
    <row r="56" spans="1:51" x14ac:dyDescent="0.35">
      <c r="A56">
        <v>50</v>
      </c>
      <c r="C56">
        <f t="shared" si="1"/>
        <v>0</v>
      </c>
      <c r="D56">
        <f t="shared" si="2"/>
        <v>0</v>
      </c>
      <c r="E56">
        <f t="shared" si="3"/>
        <v>40</v>
      </c>
      <c r="F56">
        <f t="shared" si="4"/>
        <v>145</v>
      </c>
      <c r="G56">
        <f t="shared" si="5"/>
        <v>0</v>
      </c>
      <c r="H56">
        <f t="shared" si="6"/>
        <v>0</v>
      </c>
      <c r="I56">
        <f t="shared" si="7"/>
        <v>0</v>
      </c>
      <c r="J56">
        <f t="shared" si="8"/>
        <v>0</v>
      </c>
      <c r="K56">
        <f t="shared" si="9"/>
        <v>0</v>
      </c>
      <c r="L56">
        <f t="shared" si="10"/>
        <v>0</v>
      </c>
      <c r="M56">
        <f t="shared" si="11"/>
        <v>0</v>
      </c>
      <c r="N56">
        <f t="shared" si="12"/>
        <v>0</v>
      </c>
      <c r="O56">
        <f t="shared" si="13"/>
        <v>0</v>
      </c>
      <c r="P56">
        <f t="shared" si="14"/>
        <v>0</v>
      </c>
      <c r="Q56">
        <f t="shared" si="15"/>
        <v>0</v>
      </c>
      <c r="R56">
        <f t="shared" si="16"/>
        <v>0</v>
      </c>
      <c r="S56">
        <f t="shared" si="17"/>
        <v>0</v>
      </c>
      <c r="T56">
        <f t="shared" si="18"/>
        <v>0</v>
      </c>
      <c r="U56">
        <f t="shared" si="19"/>
        <v>0</v>
      </c>
      <c r="V56">
        <f t="shared" si="20"/>
        <v>0</v>
      </c>
      <c r="W56">
        <f t="shared" si="21"/>
        <v>0</v>
      </c>
      <c r="X56">
        <f t="shared" si="22"/>
        <v>0</v>
      </c>
      <c r="Y56">
        <f t="shared" si="23"/>
        <v>0</v>
      </c>
      <c r="Z56">
        <f t="shared" si="24"/>
        <v>0</v>
      </c>
      <c r="AA56">
        <f t="shared" si="25"/>
        <v>0</v>
      </c>
      <c r="AB56">
        <f t="shared" si="26"/>
        <v>0</v>
      </c>
      <c r="AC56">
        <f t="shared" si="27"/>
        <v>0</v>
      </c>
      <c r="AD56">
        <f t="shared" si="28"/>
        <v>0</v>
      </c>
      <c r="AE56">
        <f t="shared" si="29"/>
        <v>0</v>
      </c>
      <c r="AF56">
        <f t="shared" si="30"/>
        <v>0</v>
      </c>
      <c r="AG56">
        <f t="shared" si="31"/>
        <v>0</v>
      </c>
      <c r="AH56">
        <f t="shared" si="32"/>
        <v>0</v>
      </c>
      <c r="AI56">
        <f t="shared" si="33"/>
        <v>152.27000000000001</v>
      </c>
      <c r="AJ56">
        <f t="shared" si="34"/>
        <v>1041.3499999999999</v>
      </c>
      <c r="AK56">
        <f t="shared" si="35"/>
        <v>0</v>
      </c>
      <c r="AL56">
        <f t="shared" si="36"/>
        <v>0</v>
      </c>
      <c r="AM56">
        <f t="shared" si="37"/>
        <v>0</v>
      </c>
      <c r="AN56">
        <f t="shared" si="38"/>
        <v>0</v>
      </c>
      <c r="AO56">
        <f t="shared" si="39"/>
        <v>0</v>
      </c>
      <c r="AP56">
        <f t="shared" si="40"/>
        <v>0</v>
      </c>
      <c r="AQ56">
        <f t="shared" si="41"/>
        <v>0</v>
      </c>
      <c r="AR56">
        <f t="shared" si="42"/>
        <v>0</v>
      </c>
      <c r="AS56">
        <f t="shared" si="43"/>
        <v>0</v>
      </c>
      <c r="AT56">
        <f t="shared" si="44"/>
        <v>0</v>
      </c>
      <c r="AU56">
        <f t="shared" si="45"/>
        <v>0</v>
      </c>
      <c r="AV56">
        <f t="shared" si="46"/>
        <v>0</v>
      </c>
      <c r="AW56">
        <f t="shared" si="0"/>
        <v>1193.6199999999999</v>
      </c>
      <c r="AX56">
        <f t="shared" si="47"/>
        <v>28.74</v>
      </c>
      <c r="AY56">
        <f t="shared" si="48"/>
        <v>185</v>
      </c>
    </row>
    <row r="57" spans="1:51" x14ac:dyDescent="0.35">
      <c r="A57">
        <v>51</v>
      </c>
      <c r="C57">
        <f t="shared" si="1"/>
        <v>0</v>
      </c>
      <c r="D57">
        <f t="shared" si="2"/>
        <v>0</v>
      </c>
      <c r="E57">
        <f t="shared" si="3"/>
        <v>40</v>
      </c>
      <c r="F57">
        <f t="shared" si="4"/>
        <v>145</v>
      </c>
      <c r="G57">
        <f t="shared" si="5"/>
        <v>0</v>
      </c>
      <c r="H57">
        <f t="shared" si="6"/>
        <v>0</v>
      </c>
      <c r="I57">
        <f t="shared" si="7"/>
        <v>0</v>
      </c>
      <c r="J57">
        <f t="shared" si="8"/>
        <v>0</v>
      </c>
      <c r="K57">
        <f t="shared" si="9"/>
        <v>0</v>
      </c>
      <c r="L57">
        <f t="shared" si="10"/>
        <v>0</v>
      </c>
      <c r="M57">
        <f t="shared" si="11"/>
        <v>0</v>
      </c>
      <c r="N57">
        <f t="shared" si="12"/>
        <v>0</v>
      </c>
      <c r="O57">
        <f t="shared" si="13"/>
        <v>0</v>
      </c>
      <c r="P57">
        <f t="shared" si="14"/>
        <v>0</v>
      </c>
      <c r="Q57">
        <f t="shared" si="15"/>
        <v>0</v>
      </c>
      <c r="R57">
        <f t="shared" si="16"/>
        <v>0</v>
      </c>
      <c r="S57">
        <f t="shared" si="17"/>
        <v>0</v>
      </c>
      <c r="T57">
        <f t="shared" si="18"/>
        <v>0</v>
      </c>
      <c r="U57">
        <f t="shared" si="19"/>
        <v>0</v>
      </c>
      <c r="V57">
        <f t="shared" si="20"/>
        <v>0</v>
      </c>
      <c r="W57">
        <f t="shared" si="21"/>
        <v>0</v>
      </c>
      <c r="X57">
        <f t="shared" si="22"/>
        <v>0</v>
      </c>
      <c r="Y57">
        <f t="shared" si="23"/>
        <v>0</v>
      </c>
      <c r="Z57">
        <f t="shared" si="24"/>
        <v>0</v>
      </c>
      <c r="AA57">
        <f t="shared" si="25"/>
        <v>0</v>
      </c>
      <c r="AB57">
        <f t="shared" si="26"/>
        <v>0</v>
      </c>
      <c r="AC57">
        <f t="shared" si="27"/>
        <v>0</v>
      </c>
      <c r="AD57">
        <f t="shared" si="28"/>
        <v>0</v>
      </c>
      <c r="AE57">
        <f t="shared" si="29"/>
        <v>0</v>
      </c>
      <c r="AF57">
        <f t="shared" si="30"/>
        <v>0</v>
      </c>
      <c r="AG57">
        <f t="shared" si="31"/>
        <v>0</v>
      </c>
      <c r="AH57">
        <f t="shared" si="32"/>
        <v>0</v>
      </c>
      <c r="AI57">
        <f t="shared" si="33"/>
        <v>115.95</v>
      </c>
      <c r="AJ57">
        <f t="shared" si="34"/>
        <v>918.04</v>
      </c>
      <c r="AK57">
        <f t="shared" si="35"/>
        <v>0</v>
      </c>
      <c r="AL57">
        <f t="shared" si="36"/>
        <v>0</v>
      </c>
      <c r="AM57">
        <f t="shared" si="37"/>
        <v>0</v>
      </c>
      <c r="AN57">
        <f t="shared" si="38"/>
        <v>0</v>
      </c>
      <c r="AO57">
        <f t="shared" si="39"/>
        <v>0</v>
      </c>
      <c r="AP57">
        <f t="shared" si="40"/>
        <v>0</v>
      </c>
      <c r="AQ57">
        <f t="shared" si="41"/>
        <v>0</v>
      </c>
      <c r="AR57">
        <f t="shared" si="42"/>
        <v>0</v>
      </c>
      <c r="AS57">
        <f t="shared" si="43"/>
        <v>0</v>
      </c>
      <c r="AT57">
        <f t="shared" si="44"/>
        <v>0</v>
      </c>
      <c r="AU57">
        <f t="shared" si="45"/>
        <v>0</v>
      </c>
      <c r="AV57">
        <f t="shared" si="46"/>
        <v>0</v>
      </c>
      <c r="AW57">
        <f t="shared" si="0"/>
        <v>1033.99</v>
      </c>
      <c r="AX57">
        <f t="shared" si="47"/>
        <v>25.37</v>
      </c>
      <c r="AY57">
        <f t="shared" si="48"/>
        <v>185</v>
      </c>
    </row>
    <row r="58" spans="1:51" x14ac:dyDescent="0.35">
      <c r="A58">
        <v>52</v>
      </c>
      <c r="C58">
        <f t="shared" si="1"/>
        <v>0</v>
      </c>
      <c r="D58">
        <f t="shared" si="2"/>
        <v>0</v>
      </c>
      <c r="E58">
        <f t="shared" si="3"/>
        <v>40</v>
      </c>
      <c r="F58">
        <f t="shared" si="4"/>
        <v>145</v>
      </c>
      <c r="G58">
        <f t="shared" si="5"/>
        <v>0</v>
      </c>
      <c r="H58">
        <f t="shared" si="6"/>
        <v>0</v>
      </c>
      <c r="I58">
        <f t="shared" si="7"/>
        <v>0</v>
      </c>
      <c r="J58">
        <f t="shared" si="8"/>
        <v>0</v>
      </c>
      <c r="K58">
        <f t="shared" si="9"/>
        <v>0</v>
      </c>
      <c r="L58">
        <f t="shared" si="10"/>
        <v>0</v>
      </c>
      <c r="M58">
        <f t="shared" si="11"/>
        <v>0</v>
      </c>
      <c r="N58">
        <f t="shared" si="12"/>
        <v>0</v>
      </c>
      <c r="O58">
        <f t="shared" si="13"/>
        <v>0</v>
      </c>
      <c r="P58">
        <f t="shared" si="14"/>
        <v>0</v>
      </c>
      <c r="Q58">
        <f t="shared" si="15"/>
        <v>0</v>
      </c>
      <c r="R58">
        <f t="shared" si="16"/>
        <v>0</v>
      </c>
      <c r="S58">
        <f t="shared" si="17"/>
        <v>0</v>
      </c>
      <c r="T58">
        <f t="shared" si="18"/>
        <v>0</v>
      </c>
      <c r="U58">
        <f t="shared" si="19"/>
        <v>0</v>
      </c>
      <c r="V58">
        <f t="shared" si="20"/>
        <v>0</v>
      </c>
      <c r="W58">
        <f t="shared" si="21"/>
        <v>0</v>
      </c>
      <c r="X58">
        <f t="shared" si="22"/>
        <v>0</v>
      </c>
      <c r="Y58">
        <f t="shared" si="23"/>
        <v>0</v>
      </c>
      <c r="Z58">
        <f t="shared" si="24"/>
        <v>0</v>
      </c>
      <c r="AA58">
        <f t="shared" si="25"/>
        <v>0</v>
      </c>
      <c r="AB58">
        <f t="shared" si="26"/>
        <v>0</v>
      </c>
      <c r="AC58">
        <f t="shared" si="27"/>
        <v>0</v>
      </c>
      <c r="AD58">
        <f t="shared" si="28"/>
        <v>0</v>
      </c>
      <c r="AE58">
        <f t="shared" si="29"/>
        <v>0</v>
      </c>
      <c r="AF58">
        <f t="shared" si="30"/>
        <v>0</v>
      </c>
      <c r="AG58">
        <f t="shared" si="31"/>
        <v>0</v>
      </c>
      <c r="AH58">
        <f t="shared" si="32"/>
        <v>0</v>
      </c>
      <c r="AI58">
        <f t="shared" si="33"/>
        <v>78.75</v>
      </c>
      <c r="AJ58">
        <f t="shared" si="34"/>
        <v>792.16</v>
      </c>
      <c r="AK58">
        <f t="shared" si="35"/>
        <v>0</v>
      </c>
      <c r="AL58">
        <f t="shared" si="36"/>
        <v>0</v>
      </c>
      <c r="AM58">
        <f t="shared" si="37"/>
        <v>0</v>
      </c>
      <c r="AN58">
        <f t="shared" si="38"/>
        <v>0</v>
      </c>
      <c r="AO58">
        <f t="shared" si="39"/>
        <v>0</v>
      </c>
      <c r="AP58">
        <f t="shared" si="40"/>
        <v>0</v>
      </c>
      <c r="AQ58">
        <f t="shared" si="41"/>
        <v>0</v>
      </c>
      <c r="AR58">
        <f t="shared" si="42"/>
        <v>0</v>
      </c>
      <c r="AS58">
        <f t="shared" si="43"/>
        <v>0</v>
      </c>
      <c r="AT58">
        <f t="shared" si="44"/>
        <v>0</v>
      </c>
      <c r="AU58">
        <f t="shared" si="45"/>
        <v>0</v>
      </c>
      <c r="AV58">
        <f t="shared" si="46"/>
        <v>0</v>
      </c>
      <c r="AW58">
        <f t="shared" si="0"/>
        <v>870.91</v>
      </c>
      <c r="AX58">
        <f t="shared" si="47"/>
        <v>21.92</v>
      </c>
      <c r="AY58">
        <f t="shared" si="48"/>
        <v>185</v>
      </c>
    </row>
    <row r="59" spans="1:51" x14ac:dyDescent="0.35">
      <c r="A59">
        <v>53</v>
      </c>
      <c r="C59">
        <f t="shared" si="1"/>
        <v>0</v>
      </c>
      <c r="D59">
        <f t="shared" si="2"/>
        <v>0</v>
      </c>
      <c r="E59">
        <f t="shared" si="3"/>
        <v>40</v>
      </c>
      <c r="F59">
        <f t="shared" si="4"/>
        <v>145</v>
      </c>
      <c r="G59">
        <f t="shared" si="5"/>
        <v>0</v>
      </c>
      <c r="H59">
        <f t="shared" si="6"/>
        <v>0</v>
      </c>
      <c r="I59">
        <f t="shared" si="7"/>
        <v>0</v>
      </c>
      <c r="J59">
        <f t="shared" si="8"/>
        <v>0</v>
      </c>
      <c r="K59">
        <f t="shared" si="9"/>
        <v>0</v>
      </c>
      <c r="L59">
        <f t="shared" si="10"/>
        <v>0</v>
      </c>
      <c r="M59">
        <f t="shared" si="11"/>
        <v>0</v>
      </c>
      <c r="N59">
        <f t="shared" si="12"/>
        <v>0</v>
      </c>
      <c r="O59">
        <f t="shared" si="13"/>
        <v>0</v>
      </c>
      <c r="P59">
        <f t="shared" si="14"/>
        <v>0</v>
      </c>
      <c r="Q59">
        <f t="shared" si="15"/>
        <v>0</v>
      </c>
      <c r="R59">
        <f t="shared" si="16"/>
        <v>0</v>
      </c>
      <c r="S59">
        <f t="shared" si="17"/>
        <v>0</v>
      </c>
      <c r="T59">
        <f t="shared" si="18"/>
        <v>0</v>
      </c>
      <c r="U59">
        <f t="shared" si="19"/>
        <v>0</v>
      </c>
      <c r="V59">
        <f t="shared" si="20"/>
        <v>0</v>
      </c>
      <c r="W59">
        <f t="shared" si="21"/>
        <v>0</v>
      </c>
      <c r="X59">
        <f t="shared" si="22"/>
        <v>0</v>
      </c>
      <c r="Y59">
        <f t="shared" si="23"/>
        <v>0</v>
      </c>
      <c r="Z59">
        <f t="shared" si="24"/>
        <v>0</v>
      </c>
      <c r="AA59">
        <f t="shared" si="25"/>
        <v>0</v>
      </c>
      <c r="AB59">
        <f t="shared" si="26"/>
        <v>0</v>
      </c>
      <c r="AC59">
        <f t="shared" si="27"/>
        <v>0</v>
      </c>
      <c r="AD59">
        <f t="shared" si="28"/>
        <v>0</v>
      </c>
      <c r="AE59">
        <f t="shared" si="29"/>
        <v>0</v>
      </c>
      <c r="AF59">
        <f t="shared" si="30"/>
        <v>0</v>
      </c>
      <c r="AG59">
        <f t="shared" si="31"/>
        <v>0</v>
      </c>
      <c r="AH59">
        <f t="shared" si="32"/>
        <v>0</v>
      </c>
      <c r="AI59">
        <f t="shared" si="33"/>
        <v>40.65</v>
      </c>
      <c r="AJ59">
        <f t="shared" si="34"/>
        <v>663.66</v>
      </c>
      <c r="AK59">
        <f t="shared" si="35"/>
        <v>0</v>
      </c>
      <c r="AL59">
        <f t="shared" si="36"/>
        <v>0</v>
      </c>
      <c r="AM59">
        <f t="shared" si="37"/>
        <v>0</v>
      </c>
      <c r="AN59">
        <f t="shared" si="38"/>
        <v>0</v>
      </c>
      <c r="AO59">
        <f t="shared" si="39"/>
        <v>0</v>
      </c>
      <c r="AP59">
        <f t="shared" si="40"/>
        <v>0</v>
      </c>
      <c r="AQ59">
        <f t="shared" si="41"/>
        <v>0</v>
      </c>
      <c r="AR59">
        <f t="shared" si="42"/>
        <v>0</v>
      </c>
      <c r="AS59">
        <f t="shared" si="43"/>
        <v>0</v>
      </c>
      <c r="AT59">
        <f t="shared" si="44"/>
        <v>0</v>
      </c>
      <c r="AU59">
        <f t="shared" si="45"/>
        <v>0</v>
      </c>
      <c r="AV59">
        <f t="shared" si="46"/>
        <v>0</v>
      </c>
      <c r="AW59">
        <f t="shared" si="0"/>
        <v>704.31</v>
      </c>
      <c r="AX59">
        <f t="shared" si="47"/>
        <v>18.399999999999999</v>
      </c>
      <c r="AY59">
        <f t="shared" si="48"/>
        <v>185</v>
      </c>
    </row>
    <row r="60" spans="1:51" x14ac:dyDescent="0.35">
      <c r="A60">
        <v>54</v>
      </c>
      <c r="C60">
        <f t="shared" si="1"/>
        <v>0</v>
      </c>
      <c r="D60">
        <f t="shared" si="2"/>
        <v>0</v>
      </c>
      <c r="E60">
        <f t="shared" si="3"/>
        <v>40</v>
      </c>
      <c r="F60">
        <f t="shared" si="4"/>
        <v>145</v>
      </c>
      <c r="G60">
        <f t="shared" si="5"/>
        <v>0</v>
      </c>
      <c r="H60">
        <f t="shared" si="6"/>
        <v>0</v>
      </c>
      <c r="I60">
        <f t="shared" si="7"/>
        <v>0</v>
      </c>
      <c r="J60">
        <f t="shared" si="8"/>
        <v>0</v>
      </c>
      <c r="K60">
        <f t="shared" si="9"/>
        <v>0</v>
      </c>
      <c r="L60">
        <f t="shared" si="10"/>
        <v>0</v>
      </c>
      <c r="M60">
        <f t="shared" si="11"/>
        <v>0</v>
      </c>
      <c r="N60">
        <f t="shared" si="12"/>
        <v>0</v>
      </c>
      <c r="O60">
        <f t="shared" si="13"/>
        <v>0</v>
      </c>
      <c r="P60">
        <f t="shared" si="14"/>
        <v>0</v>
      </c>
      <c r="Q60">
        <f t="shared" si="15"/>
        <v>0</v>
      </c>
      <c r="R60">
        <f t="shared" si="16"/>
        <v>0</v>
      </c>
      <c r="S60">
        <f t="shared" si="17"/>
        <v>0</v>
      </c>
      <c r="T60">
        <f t="shared" si="18"/>
        <v>0</v>
      </c>
      <c r="U60">
        <f t="shared" si="19"/>
        <v>0</v>
      </c>
      <c r="V60">
        <f t="shared" si="20"/>
        <v>0</v>
      </c>
      <c r="W60">
        <f t="shared" si="21"/>
        <v>0</v>
      </c>
      <c r="X60">
        <f t="shared" si="22"/>
        <v>0</v>
      </c>
      <c r="Y60">
        <f t="shared" si="23"/>
        <v>0</v>
      </c>
      <c r="Z60">
        <f t="shared" si="24"/>
        <v>0</v>
      </c>
      <c r="AA60">
        <f t="shared" si="25"/>
        <v>0</v>
      </c>
      <c r="AB60">
        <f t="shared" si="26"/>
        <v>0</v>
      </c>
      <c r="AC60">
        <f t="shared" si="27"/>
        <v>0</v>
      </c>
      <c r="AD60">
        <f t="shared" si="28"/>
        <v>0</v>
      </c>
      <c r="AE60">
        <f t="shared" si="29"/>
        <v>0</v>
      </c>
      <c r="AF60">
        <f t="shared" si="30"/>
        <v>0</v>
      </c>
      <c r="AG60">
        <f t="shared" si="31"/>
        <v>0</v>
      </c>
      <c r="AH60">
        <f t="shared" si="32"/>
        <v>0</v>
      </c>
      <c r="AI60">
        <f t="shared" si="33"/>
        <v>1.63</v>
      </c>
      <c r="AJ60">
        <f t="shared" si="34"/>
        <v>532.48</v>
      </c>
      <c r="AK60">
        <f t="shared" si="35"/>
        <v>0</v>
      </c>
      <c r="AL60">
        <f t="shared" si="36"/>
        <v>0</v>
      </c>
      <c r="AM60">
        <f t="shared" si="37"/>
        <v>0</v>
      </c>
      <c r="AN60">
        <f t="shared" si="38"/>
        <v>0</v>
      </c>
      <c r="AO60">
        <f t="shared" si="39"/>
        <v>0</v>
      </c>
      <c r="AP60">
        <f t="shared" si="40"/>
        <v>0</v>
      </c>
      <c r="AQ60">
        <f t="shared" si="41"/>
        <v>0</v>
      </c>
      <c r="AR60">
        <f t="shared" si="42"/>
        <v>0</v>
      </c>
      <c r="AS60">
        <f t="shared" si="43"/>
        <v>0</v>
      </c>
      <c r="AT60">
        <f t="shared" si="44"/>
        <v>0</v>
      </c>
      <c r="AU60">
        <f t="shared" si="45"/>
        <v>0</v>
      </c>
      <c r="AV60">
        <f t="shared" si="46"/>
        <v>0</v>
      </c>
      <c r="AW60">
        <f t="shared" si="0"/>
        <v>534.11</v>
      </c>
      <c r="AX60">
        <f t="shared" si="47"/>
        <v>14.8</v>
      </c>
      <c r="AY60">
        <f t="shared" si="48"/>
        <v>185</v>
      </c>
    </row>
    <row r="61" spans="1:51" x14ac:dyDescent="0.35">
      <c r="A61">
        <v>55</v>
      </c>
      <c r="C61">
        <f t="shared" si="1"/>
        <v>0</v>
      </c>
      <c r="D61">
        <f t="shared" si="2"/>
        <v>0</v>
      </c>
      <c r="E61">
        <f t="shared" si="3"/>
        <v>1.67</v>
      </c>
      <c r="F61">
        <f t="shared" si="4"/>
        <v>145</v>
      </c>
      <c r="G61">
        <f t="shared" si="5"/>
        <v>0</v>
      </c>
      <c r="H61">
        <f t="shared" si="6"/>
        <v>0</v>
      </c>
      <c r="I61">
        <f t="shared" si="7"/>
        <v>0</v>
      </c>
      <c r="J61">
        <f t="shared" si="8"/>
        <v>0</v>
      </c>
      <c r="K61">
        <f t="shared" si="9"/>
        <v>0</v>
      </c>
      <c r="L61">
        <f t="shared" si="10"/>
        <v>0</v>
      </c>
      <c r="M61">
        <f t="shared" si="11"/>
        <v>0</v>
      </c>
      <c r="N61">
        <f t="shared" si="12"/>
        <v>0</v>
      </c>
      <c r="O61">
        <f t="shared" si="13"/>
        <v>0</v>
      </c>
      <c r="P61">
        <f t="shared" si="14"/>
        <v>0</v>
      </c>
      <c r="Q61">
        <f t="shared" si="15"/>
        <v>0</v>
      </c>
      <c r="R61">
        <f t="shared" si="16"/>
        <v>0</v>
      </c>
      <c r="S61">
        <f t="shared" si="17"/>
        <v>0</v>
      </c>
      <c r="T61">
        <f t="shared" si="18"/>
        <v>0</v>
      </c>
      <c r="U61">
        <f t="shared" si="19"/>
        <v>0</v>
      </c>
      <c r="V61">
        <f t="shared" si="20"/>
        <v>0</v>
      </c>
      <c r="W61">
        <f t="shared" si="21"/>
        <v>0</v>
      </c>
      <c r="X61">
        <f t="shared" si="22"/>
        <v>0</v>
      </c>
      <c r="Y61">
        <f t="shared" si="23"/>
        <v>0</v>
      </c>
      <c r="Z61">
        <f t="shared" si="24"/>
        <v>0</v>
      </c>
      <c r="AA61">
        <f t="shared" si="25"/>
        <v>0</v>
      </c>
      <c r="AB61">
        <f t="shared" si="26"/>
        <v>0</v>
      </c>
      <c r="AC61">
        <f t="shared" si="27"/>
        <v>0</v>
      </c>
      <c r="AD61">
        <f t="shared" si="28"/>
        <v>0</v>
      </c>
      <c r="AE61">
        <f t="shared" si="29"/>
        <v>0</v>
      </c>
      <c r="AF61">
        <f t="shared" si="30"/>
        <v>0</v>
      </c>
      <c r="AG61">
        <f t="shared" si="31"/>
        <v>0</v>
      </c>
      <c r="AH61">
        <f t="shared" si="32"/>
        <v>0</v>
      </c>
      <c r="AI61">
        <f t="shared" si="33"/>
        <v>0</v>
      </c>
      <c r="AJ61">
        <f t="shared" si="34"/>
        <v>398.57</v>
      </c>
      <c r="AK61">
        <f t="shared" si="35"/>
        <v>0</v>
      </c>
      <c r="AL61">
        <f t="shared" si="36"/>
        <v>0</v>
      </c>
      <c r="AM61">
        <f t="shared" si="37"/>
        <v>0</v>
      </c>
      <c r="AN61">
        <f t="shared" si="38"/>
        <v>0</v>
      </c>
      <c r="AO61">
        <f t="shared" si="39"/>
        <v>0</v>
      </c>
      <c r="AP61">
        <f t="shared" si="40"/>
        <v>0</v>
      </c>
      <c r="AQ61">
        <f t="shared" si="41"/>
        <v>0</v>
      </c>
      <c r="AR61">
        <f t="shared" si="42"/>
        <v>0</v>
      </c>
      <c r="AS61">
        <f t="shared" si="43"/>
        <v>0</v>
      </c>
      <c r="AT61">
        <f t="shared" si="44"/>
        <v>0</v>
      </c>
      <c r="AU61">
        <f t="shared" si="45"/>
        <v>0</v>
      </c>
      <c r="AV61">
        <f t="shared" si="46"/>
        <v>0</v>
      </c>
      <c r="AW61">
        <f t="shared" si="0"/>
        <v>398.57</v>
      </c>
      <c r="AX61">
        <f t="shared" si="47"/>
        <v>11.129999999999999</v>
      </c>
      <c r="AY61">
        <f t="shared" si="48"/>
        <v>146.66999999999999</v>
      </c>
    </row>
    <row r="62" spans="1:51" x14ac:dyDescent="0.35">
      <c r="A62">
        <v>56</v>
      </c>
      <c r="C62">
        <f t="shared" si="1"/>
        <v>0</v>
      </c>
      <c r="D62">
        <f t="shared" si="2"/>
        <v>0</v>
      </c>
      <c r="E62">
        <f t="shared" si="3"/>
        <v>0</v>
      </c>
      <c r="F62">
        <f t="shared" si="4"/>
        <v>145</v>
      </c>
      <c r="G62">
        <f t="shared" si="5"/>
        <v>0</v>
      </c>
      <c r="H62">
        <f t="shared" si="6"/>
        <v>0</v>
      </c>
      <c r="I62">
        <f t="shared" si="7"/>
        <v>0</v>
      </c>
      <c r="J62">
        <f t="shared" si="8"/>
        <v>0</v>
      </c>
      <c r="K62">
        <f t="shared" si="9"/>
        <v>0</v>
      </c>
      <c r="L62">
        <f t="shared" si="10"/>
        <v>0</v>
      </c>
      <c r="M62">
        <f t="shared" si="11"/>
        <v>0</v>
      </c>
      <c r="N62">
        <f t="shared" si="12"/>
        <v>0</v>
      </c>
      <c r="O62">
        <f t="shared" si="13"/>
        <v>0</v>
      </c>
      <c r="P62">
        <f t="shared" si="14"/>
        <v>0</v>
      </c>
      <c r="Q62">
        <f t="shared" si="15"/>
        <v>0</v>
      </c>
      <c r="R62">
        <f t="shared" si="16"/>
        <v>0</v>
      </c>
      <c r="S62">
        <f t="shared" si="17"/>
        <v>0</v>
      </c>
      <c r="T62">
        <f t="shared" si="18"/>
        <v>0</v>
      </c>
      <c r="U62">
        <f t="shared" si="19"/>
        <v>0</v>
      </c>
      <c r="V62">
        <f t="shared" si="20"/>
        <v>0</v>
      </c>
      <c r="W62">
        <f t="shared" si="21"/>
        <v>0</v>
      </c>
      <c r="X62">
        <f t="shared" si="22"/>
        <v>0</v>
      </c>
      <c r="Y62">
        <f t="shared" si="23"/>
        <v>0</v>
      </c>
      <c r="Z62">
        <f t="shared" si="24"/>
        <v>0</v>
      </c>
      <c r="AA62">
        <f t="shared" si="25"/>
        <v>0</v>
      </c>
      <c r="AB62">
        <f t="shared" si="26"/>
        <v>0</v>
      </c>
      <c r="AC62">
        <f t="shared" si="27"/>
        <v>0</v>
      </c>
      <c r="AD62">
        <f t="shared" si="28"/>
        <v>0</v>
      </c>
      <c r="AE62">
        <f t="shared" si="29"/>
        <v>0</v>
      </c>
      <c r="AF62">
        <f t="shared" si="30"/>
        <v>0</v>
      </c>
      <c r="AG62">
        <f t="shared" si="31"/>
        <v>0</v>
      </c>
      <c r="AH62">
        <f t="shared" si="32"/>
        <v>0</v>
      </c>
      <c r="AI62">
        <f t="shared" si="33"/>
        <v>0</v>
      </c>
      <c r="AJ62">
        <f t="shared" si="34"/>
        <v>261.87</v>
      </c>
      <c r="AK62">
        <f t="shared" si="35"/>
        <v>0</v>
      </c>
      <c r="AL62">
        <f t="shared" si="36"/>
        <v>0</v>
      </c>
      <c r="AM62">
        <f t="shared" si="37"/>
        <v>0</v>
      </c>
      <c r="AN62">
        <f t="shared" si="38"/>
        <v>0</v>
      </c>
      <c r="AO62">
        <f t="shared" si="39"/>
        <v>0</v>
      </c>
      <c r="AP62">
        <f t="shared" si="40"/>
        <v>0</v>
      </c>
      <c r="AQ62">
        <f t="shared" si="41"/>
        <v>0</v>
      </c>
      <c r="AR62">
        <f t="shared" si="42"/>
        <v>0</v>
      </c>
      <c r="AS62">
        <f t="shared" si="43"/>
        <v>0</v>
      </c>
      <c r="AT62">
        <f t="shared" si="44"/>
        <v>0</v>
      </c>
      <c r="AU62">
        <f t="shared" si="45"/>
        <v>0</v>
      </c>
      <c r="AV62">
        <f t="shared" si="46"/>
        <v>0</v>
      </c>
      <c r="AW62">
        <f t="shared" si="0"/>
        <v>261.87</v>
      </c>
      <c r="AX62">
        <f t="shared" si="47"/>
        <v>8.3000000000000007</v>
      </c>
      <c r="AY62">
        <f t="shared" si="48"/>
        <v>145</v>
      </c>
    </row>
    <row r="63" spans="1:51" x14ac:dyDescent="0.35">
      <c r="A63">
        <v>57</v>
      </c>
      <c r="C63">
        <f t="shared" si="1"/>
        <v>0</v>
      </c>
      <c r="D63">
        <f t="shared" si="2"/>
        <v>0</v>
      </c>
      <c r="E63">
        <f t="shared" si="3"/>
        <v>0</v>
      </c>
      <c r="F63">
        <f t="shared" si="4"/>
        <v>145</v>
      </c>
      <c r="G63">
        <f t="shared" si="5"/>
        <v>0</v>
      </c>
      <c r="H63">
        <f t="shared" si="6"/>
        <v>0</v>
      </c>
      <c r="I63">
        <f t="shared" si="7"/>
        <v>0</v>
      </c>
      <c r="J63">
        <f t="shared" si="8"/>
        <v>0</v>
      </c>
      <c r="K63">
        <f t="shared" si="9"/>
        <v>0</v>
      </c>
      <c r="L63">
        <f t="shared" si="10"/>
        <v>0</v>
      </c>
      <c r="M63">
        <f t="shared" si="11"/>
        <v>0</v>
      </c>
      <c r="N63">
        <f t="shared" si="12"/>
        <v>0</v>
      </c>
      <c r="O63">
        <f t="shared" si="13"/>
        <v>0</v>
      </c>
      <c r="P63">
        <f t="shared" si="14"/>
        <v>0</v>
      </c>
      <c r="Q63">
        <f t="shared" si="15"/>
        <v>0</v>
      </c>
      <c r="R63">
        <f t="shared" si="16"/>
        <v>0</v>
      </c>
      <c r="S63">
        <f t="shared" si="17"/>
        <v>0</v>
      </c>
      <c r="T63">
        <f t="shared" si="18"/>
        <v>0</v>
      </c>
      <c r="U63">
        <f t="shared" si="19"/>
        <v>0</v>
      </c>
      <c r="V63">
        <f t="shared" si="20"/>
        <v>0</v>
      </c>
      <c r="W63">
        <f t="shared" si="21"/>
        <v>0</v>
      </c>
      <c r="X63">
        <f t="shared" si="22"/>
        <v>0</v>
      </c>
      <c r="Y63">
        <f t="shared" si="23"/>
        <v>0</v>
      </c>
      <c r="Z63">
        <f t="shared" si="24"/>
        <v>0</v>
      </c>
      <c r="AA63">
        <f t="shared" si="25"/>
        <v>0</v>
      </c>
      <c r="AB63">
        <f t="shared" si="26"/>
        <v>0</v>
      </c>
      <c r="AC63">
        <f t="shared" si="27"/>
        <v>0</v>
      </c>
      <c r="AD63">
        <f t="shared" si="28"/>
        <v>0</v>
      </c>
      <c r="AE63">
        <f t="shared" si="29"/>
        <v>0</v>
      </c>
      <c r="AF63">
        <f t="shared" si="30"/>
        <v>0</v>
      </c>
      <c r="AG63">
        <f t="shared" si="31"/>
        <v>0</v>
      </c>
      <c r="AH63">
        <f t="shared" si="32"/>
        <v>0</v>
      </c>
      <c r="AI63">
        <f t="shared" si="33"/>
        <v>0</v>
      </c>
      <c r="AJ63">
        <f t="shared" si="34"/>
        <v>122.32</v>
      </c>
      <c r="AK63">
        <f t="shared" si="35"/>
        <v>0</v>
      </c>
      <c r="AL63">
        <f t="shared" si="36"/>
        <v>0</v>
      </c>
      <c r="AM63">
        <f t="shared" si="37"/>
        <v>0</v>
      </c>
      <c r="AN63">
        <f t="shared" si="38"/>
        <v>0</v>
      </c>
      <c r="AO63">
        <f t="shared" si="39"/>
        <v>0</v>
      </c>
      <c r="AP63">
        <f t="shared" si="40"/>
        <v>0</v>
      </c>
      <c r="AQ63">
        <f t="shared" si="41"/>
        <v>0</v>
      </c>
      <c r="AR63">
        <f t="shared" si="42"/>
        <v>0</v>
      </c>
      <c r="AS63">
        <f t="shared" si="43"/>
        <v>0</v>
      </c>
      <c r="AT63">
        <f t="shared" si="44"/>
        <v>0</v>
      </c>
      <c r="AU63">
        <f t="shared" si="45"/>
        <v>0</v>
      </c>
      <c r="AV63">
        <f t="shared" si="46"/>
        <v>0</v>
      </c>
      <c r="AW63">
        <f t="shared" si="0"/>
        <v>122.32</v>
      </c>
      <c r="AX63">
        <f t="shared" si="47"/>
        <v>5.45</v>
      </c>
      <c r="AY63">
        <f t="shared" si="48"/>
        <v>145</v>
      </c>
    </row>
    <row r="64" spans="1:51" x14ac:dyDescent="0.35">
      <c r="A64">
        <v>58</v>
      </c>
      <c r="C64">
        <f t="shared" si="1"/>
        <v>0</v>
      </c>
      <c r="D64">
        <f t="shared" si="2"/>
        <v>0</v>
      </c>
      <c r="E64">
        <f t="shared" si="3"/>
        <v>0</v>
      </c>
      <c r="F64">
        <f t="shared" si="4"/>
        <v>124.86999999999999</v>
      </c>
      <c r="G64">
        <f t="shared" si="5"/>
        <v>0</v>
      </c>
      <c r="H64">
        <f t="shared" si="6"/>
        <v>0</v>
      </c>
      <c r="I64">
        <f t="shared" si="7"/>
        <v>0</v>
      </c>
      <c r="J64">
        <f t="shared" si="8"/>
        <v>0</v>
      </c>
      <c r="K64">
        <f t="shared" si="9"/>
        <v>0</v>
      </c>
      <c r="L64">
        <f t="shared" si="10"/>
        <v>0</v>
      </c>
      <c r="M64">
        <f t="shared" si="11"/>
        <v>0</v>
      </c>
      <c r="N64">
        <f t="shared" si="12"/>
        <v>0</v>
      </c>
      <c r="O64">
        <f t="shared" si="13"/>
        <v>0</v>
      </c>
      <c r="P64">
        <f t="shared" si="14"/>
        <v>0</v>
      </c>
      <c r="Q64">
        <f t="shared" si="15"/>
        <v>0</v>
      </c>
      <c r="R64">
        <f t="shared" si="16"/>
        <v>0</v>
      </c>
      <c r="S64">
        <f t="shared" si="17"/>
        <v>0</v>
      </c>
      <c r="T64">
        <f t="shared" si="18"/>
        <v>0</v>
      </c>
      <c r="U64">
        <f t="shared" si="19"/>
        <v>0</v>
      </c>
      <c r="V64">
        <f t="shared" si="20"/>
        <v>0</v>
      </c>
      <c r="W64">
        <f t="shared" si="21"/>
        <v>0</v>
      </c>
      <c r="X64">
        <f t="shared" si="22"/>
        <v>0</v>
      </c>
      <c r="Y64">
        <f t="shared" si="23"/>
        <v>0</v>
      </c>
      <c r="Z64">
        <f t="shared" si="24"/>
        <v>0</v>
      </c>
      <c r="AA64">
        <f t="shared" si="25"/>
        <v>0</v>
      </c>
      <c r="AB64">
        <f t="shared" si="26"/>
        <v>0</v>
      </c>
      <c r="AC64">
        <f t="shared" si="27"/>
        <v>0</v>
      </c>
      <c r="AD64">
        <f t="shared" si="28"/>
        <v>0</v>
      </c>
      <c r="AE64">
        <f t="shared" si="29"/>
        <v>0</v>
      </c>
      <c r="AF64">
        <f t="shared" si="30"/>
        <v>0</v>
      </c>
      <c r="AG64">
        <f t="shared" si="31"/>
        <v>0</v>
      </c>
      <c r="AH64">
        <f t="shared" si="32"/>
        <v>0</v>
      </c>
      <c r="AI64">
        <f t="shared" si="33"/>
        <v>0</v>
      </c>
      <c r="AJ64">
        <f t="shared" si="34"/>
        <v>0</v>
      </c>
      <c r="AK64">
        <f t="shared" si="35"/>
        <v>0</v>
      </c>
      <c r="AL64">
        <f t="shared" si="36"/>
        <v>0</v>
      </c>
      <c r="AM64">
        <f t="shared" si="37"/>
        <v>0</v>
      </c>
      <c r="AN64">
        <f t="shared" si="38"/>
        <v>0</v>
      </c>
      <c r="AO64">
        <f t="shared" si="39"/>
        <v>0</v>
      </c>
      <c r="AP64">
        <f t="shared" si="40"/>
        <v>0</v>
      </c>
      <c r="AQ64">
        <f t="shared" si="41"/>
        <v>0</v>
      </c>
      <c r="AR64">
        <f t="shared" si="42"/>
        <v>0</v>
      </c>
      <c r="AS64">
        <f t="shared" si="43"/>
        <v>0</v>
      </c>
      <c r="AT64">
        <f t="shared" si="44"/>
        <v>0</v>
      </c>
      <c r="AU64">
        <f t="shared" si="45"/>
        <v>0</v>
      </c>
      <c r="AV64">
        <f t="shared" si="46"/>
        <v>0</v>
      </c>
      <c r="AW64">
        <f t="shared" si="0"/>
        <v>0</v>
      </c>
      <c r="AX64">
        <f t="shared" si="47"/>
        <v>2.5499999999999998</v>
      </c>
      <c r="AY64">
        <f t="shared" si="48"/>
        <v>124.86999999999999</v>
      </c>
    </row>
    <row r="65" spans="1:51" x14ac:dyDescent="0.35">
      <c r="A65">
        <v>59</v>
      </c>
      <c r="C65">
        <f t="shared" si="1"/>
        <v>0</v>
      </c>
      <c r="D65">
        <f t="shared" si="2"/>
        <v>0</v>
      </c>
      <c r="E65">
        <f t="shared" si="3"/>
        <v>0</v>
      </c>
      <c r="F65">
        <f t="shared" si="4"/>
        <v>0</v>
      </c>
      <c r="G65">
        <f t="shared" si="5"/>
        <v>0</v>
      </c>
      <c r="H65">
        <f t="shared" si="6"/>
        <v>0</v>
      </c>
      <c r="I65">
        <f t="shared" si="7"/>
        <v>0</v>
      </c>
      <c r="J65">
        <f t="shared" si="8"/>
        <v>0</v>
      </c>
      <c r="K65">
        <f t="shared" si="9"/>
        <v>0</v>
      </c>
      <c r="L65">
        <f t="shared" si="10"/>
        <v>0</v>
      </c>
      <c r="M65">
        <f t="shared" si="11"/>
        <v>0</v>
      </c>
      <c r="N65">
        <f t="shared" si="12"/>
        <v>0</v>
      </c>
      <c r="O65">
        <f t="shared" si="13"/>
        <v>0</v>
      </c>
      <c r="P65">
        <f t="shared" si="14"/>
        <v>0</v>
      </c>
      <c r="Q65">
        <f t="shared" si="15"/>
        <v>0</v>
      </c>
      <c r="R65">
        <f t="shared" si="16"/>
        <v>0</v>
      </c>
      <c r="S65">
        <f t="shared" si="17"/>
        <v>0</v>
      </c>
      <c r="T65">
        <f t="shared" si="18"/>
        <v>0</v>
      </c>
      <c r="U65">
        <f t="shared" si="19"/>
        <v>0</v>
      </c>
      <c r="V65">
        <f t="shared" si="20"/>
        <v>0</v>
      </c>
      <c r="W65">
        <f t="shared" si="21"/>
        <v>0</v>
      </c>
      <c r="X65">
        <f t="shared" si="22"/>
        <v>0</v>
      </c>
      <c r="Y65">
        <f t="shared" si="23"/>
        <v>0</v>
      </c>
      <c r="Z65">
        <f t="shared" si="24"/>
        <v>0</v>
      </c>
      <c r="AA65">
        <f t="shared" si="25"/>
        <v>0</v>
      </c>
      <c r="AB65">
        <f t="shared" si="26"/>
        <v>0</v>
      </c>
      <c r="AC65">
        <f t="shared" si="27"/>
        <v>0</v>
      </c>
      <c r="AD65">
        <f t="shared" si="28"/>
        <v>0</v>
      </c>
      <c r="AE65">
        <f t="shared" si="29"/>
        <v>0</v>
      </c>
      <c r="AF65">
        <f t="shared" si="30"/>
        <v>0</v>
      </c>
      <c r="AG65">
        <f t="shared" si="31"/>
        <v>0</v>
      </c>
      <c r="AH65">
        <f t="shared" si="32"/>
        <v>0</v>
      </c>
      <c r="AI65">
        <f t="shared" si="33"/>
        <v>0</v>
      </c>
      <c r="AJ65">
        <f t="shared" si="34"/>
        <v>0</v>
      </c>
      <c r="AK65">
        <f t="shared" si="35"/>
        <v>0</v>
      </c>
      <c r="AL65">
        <f t="shared" si="36"/>
        <v>0</v>
      </c>
      <c r="AM65">
        <f t="shared" si="37"/>
        <v>0</v>
      </c>
      <c r="AN65">
        <f t="shared" si="38"/>
        <v>0</v>
      </c>
      <c r="AO65">
        <f t="shared" si="39"/>
        <v>0</v>
      </c>
      <c r="AP65">
        <f t="shared" si="40"/>
        <v>0</v>
      </c>
      <c r="AQ65">
        <f t="shared" si="41"/>
        <v>0</v>
      </c>
      <c r="AR65">
        <f t="shared" si="42"/>
        <v>0</v>
      </c>
      <c r="AS65">
        <f t="shared" si="43"/>
        <v>0</v>
      </c>
      <c r="AT65">
        <f t="shared" si="44"/>
        <v>0</v>
      </c>
      <c r="AU65">
        <f t="shared" si="45"/>
        <v>0</v>
      </c>
      <c r="AV65">
        <f t="shared" si="46"/>
        <v>0</v>
      </c>
      <c r="AW65">
        <f t="shared" si="0"/>
        <v>0</v>
      </c>
      <c r="AX65">
        <f t="shared" si="47"/>
        <v>0</v>
      </c>
      <c r="AY65">
        <f t="shared" si="48"/>
        <v>0</v>
      </c>
    </row>
    <row r="66" spans="1:51" x14ac:dyDescent="0.35">
      <c r="A66">
        <v>60</v>
      </c>
      <c r="C66">
        <f t="shared" si="1"/>
        <v>0</v>
      </c>
      <c r="D66">
        <f t="shared" si="2"/>
        <v>0</v>
      </c>
      <c r="E66">
        <f t="shared" si="3"/>
        <v>0</v>
      </c>
      <c r="F66">
        <f t="shared" si="4"/>
        <v>0</v>
      </c>
      <c r="G66">
        <f t="shared" si="5"/>
        <v>0</v>
      </c>
      <c r="H66">
        <f t="shared" si="6"/>
        <v>0</v>
      </c>
      <c r="I66">
        <f t="shared" si="7"/>
        <v>0</v>
      </c>
      <c r="J66">
        <f t="shared" si="8"/>
        <v>0</v>
      </c>
      <c r="K66">
        <f t="shared" si="9"/>
        <v>0</v>
      </c>
      <c r="L66">
        <f t="shared" si="10"/>
        <v>0</v>
      </c>
      <c r="M66">
        <f t="shared" si="11"/>
        <v>0</v>
      </c>
      <c r="N66">
        <f t="shared" si="12"/>
        <v>0</v>
      </c>
      <c r="O66">
        <f t="shared" si="13"/>
        <v>0</v>
      </c>
      <c r="P66">
        <f t="shared" si="14"/>
        <v>0</v>
      </c>
      <c r="Q66">
        <f t="shared" si="15"/>
        <v>0</v>
      </c>
      <c r="R66">
        <f t="shared" si="16"/>
        <v>0</v>
      </c>
      <c r="S66">
        <f t="shared" si="17"/>
        <v>0</v>
      </c>
      <c r="T66">
        <f t="shared" si="18"/>
        <v>0</v>
      </c>
      <c r="U66">
        <f t="shared" si="19"/>
        <v>0</v>
      </c>
      <c r="V66">
        <f t="shared" si="20"/>
        <v>0</v>
      </c>
      <c r="W66">
        <f t="shared" si="21"/>
        <v>0</v>
      </c>
      <c r="X66">
        <f t="shared" si="22"/>
        <v>0</v>
      </c>
      <c r="Y66">
        <f t="shared" si="23"/>
        <v>0</v>
      </c>
      <c r="Z66">
        <f t="shared" si="24"/>
        <v>0</v>
      </c>
      <c r="AA66">
        <f t="shared" si="25"/>
        <v>0</v>
      </c>
      <c r="AB66">
        <f t="shared" si="26"/>
        <v>0</v>
      </c>
      <c r="AC66">
        <f t="shared" si="27"/>
        <v>0</v>
      </c>
      <c r="AD66">
        <f t="shared" si="28"/>
        <v>0</v>
      </c>
      <c r="AE66">
        <f t="shared" si="29"/>
        <v>0</v>
      </c>
      <c r="AF66">
        <f t="shared" si="30"/>
        <v>0</v>
      </c>
      <c r="AG66">
        <f t="shared" si="31"/>
        <v>0</v>
      </c>
      <c r="AH66">
        <f t="shared" si="32"/>
        <v>0</v>
      </c>
      <c r="AI66">
        <f t="shared" si="33"/>
        <v>0</v>
      </c>
      <c r="AJ66">
        <f t="shared" si="34"/>
        <v>0</v>
      </c>
      <c r="AK66">
        <f t="shared" si="35"/>
        <v>0</v>
      </c>
      <c r="AL66">
        <f t="shared" si="36"/>
        <v>0</v>
      </c>
      <c r="AM66">
        <f t="shared" si="37"/>
        <v>0</v>
      </c>
      <c r="AN66">
        <f t="shared" si="38"/>
        <v>0</v>
      </c>
      <c r="AO66">
        <f t="shared" si="39"/>
        <v>0</v>
      </c>
      <c r="AP66">
        <f t="shared" si="40"/>
        <v>0</v>
      </c>
      <c r="AQ66">
        <f t="shared" si="41"/>
        <v>0</v>
      </c>
      <c r="AR66">
        <f t="shared" si="42"/>
        <v>0</v>
      </c>
      <c r="AS66">
        <f t="shared" si="43"/>
        <v>0</v>
      </c>
      <c r="AT66">
        <f t="shared" si="44"/>
        <v>0</v>
      </c>
      <c r="AU66">
        <f t="shared" si="45"/>
        <v>0</v>
      </c>
      <c r="AV66">
        <f t="shared" si="46"/>
        <v>0</v>
      </c>
      <c r="AW66">
        <f t="shared" si="0"/>
        <v>0</v>
      </c>
      <c r="AX66">
        <f t="shared" si="47"/>
        <v>0</v>
      </c>
      <c r="AY66">
        <f t="shared" si="48"/>
        <v>0</v>
      </c>
    </row>
    <row r="67" spans="1:51" x14ac:dyDescent="0.35">
      <c r="A67">
        <v>61</v>
      </c>
      <c r="C67">
        <f t="shared" si="1"/>
        <v>0</v>
      </c>
      <c r="D67">
        <f t="shared" si="2"/>
        <v>0</v>
      </c>
      <c r="E67">
        <f t="shared" si="3"/>
        <v>0</v>
      </c>
      <c r="F67">
        <f t="shared" si="4"/>
        <v>0</v>
      </c>
      <c r="G67">
        <f t="shared" si="5"/>
        <v>0</v>
      </c>
      <c r="H67">
        <f t="shared" si="6"/>
        <v>0</v>
      </c>
      <c r="I67">
        <f t="shared" si="7"/>
        <v>0</v>
      </c>
      <c r="J67">
        <f t="shared" si="8"/>
        <v>0</v>
      </c>
      <c r="K67">
        <f t="shared" si="9"/>
        <v>0</v>
      </c>
      <c r="L67">
        <f t="shared" si="10"/>
        <v>0</v>
      </c>
      <c r="M67">
        <f t="shared" si="11"/>
        <v>0</v>
      </c>
      <c r="N67">
        <f t="shared" si="12"/>
        <v>0</v>
      </c>
      <c r="O67">
        <f t="shared" si="13"/>
        <v>0</v>
      </c>
      <c r="P67">
        <f t="shared" si="14"/>
        <v>0</v>
      </c>
      <c r="Q67">
        <f t="shared" si="15"/>
        <v>0</v>
      </c>
      <c r="R67">
        <f t="shared" si="16"/>
        <v>0</v>
      </c>
      <c r="S67">
        <f t="shared" si="17"/>
        <v>0</v>
      </c>
      <c r="T67">
        <f t="shared" si="18"/>
        <v>0</v>
      </c>
      <c r="U67">
        <f t="shared" si="19"/>
        <v>0</v>
      </c>
      <c r="V67">
        <f t="shared" si="20"/>
        <v>0</v>
      </c>
      <c r="W67">
        <f t="shared" si="21"/>
        <v>0</v>
      </c>
      <c r="X67">
        <f t="shared" si="22"/>
        <v>0</v>
      </c>
      <c r="Y67">
        <f t="shared" si="23"/>
        <v>0</v>
      </c>
      <c r="Z67">
        <f t="shared" si="24"/>
        <v>0</v>
      </c>
      <c r="AA67">
        <f t="shared" si="25"/>
        <v>0</v>
      </c>
      <c r="AB67">
        <f t="shared" si="26"/>
        <v>0</v>
      </c>
      <c r="AC67">
        <f t="shared" si="27"/>
        <v>0</v>
      </c>
      <c r="AD67">
        <f t="shared" si="28"/>
        <v>0</v>
      </c>
      <c r="AE67">
        <f t="shared" si="29"/>
        <v>0</v>
      </c>
      <c r="AF67">
        <f t="shared" si="30"/>
        <v>0</v>
      </c>
      <c r="AG67">
        <f t="shared" si="31"/>
        <v>0</v>
      </c>
      <c r="AH67">
        <f t="shared" si="32"/>
        <v>0</v>
      </c>
      <c r="AI67">
        <f t="shared" si="33"/>
        <v>0</v>
      </c>
      <c r="AJ67">
        <f t="shared" si="34"/>
        <v>0</v>
      </c>
      <c r="AK67">
        <f t="shared" si="35"/>
        <v>0</v>
      </c>
      <c r="AL67">
        <f t="shared" si="36"/>
        <v>0</v>
      </c>
      <c r="AM67">
        <f t="shared" si="37"/>
        <v>0</v>
      </c>
      <c r="AN67">
        <f t="shared" si="38"/>
        <v>0</v>
      </c>
      <c r="AO67">
        <f t="shared" si="39"/>
        <v>0</v>
      </c>
      <c r="AP67">
        <f t="shared" si="40"/>
        <v>0</v>
      </c>
      <c r="AQ67">
        <f t="shared" si="41"/>
        <v>0</v>
      </c>
      <c r="AR67">
        <f t="shared" si="42"/>
        <v>0</v>
      </c>
      <c r="AS67">
        <f t="shared" si="43"/>
        <v>0</v>
      </c>
      <c r="AT67">
        <f t="shared" si="44"/>
        <v>0</v>
      </c>
      <c r="AU67">
        <f t="shared" si="45"/>
        <v>0</v>
      </c>
      <c r="AV67">
        <f t="shared" si="46"/>
        <v>0</v>
      </c>
      <c r="AW67">
        <f t="shared" si="0"/>
        <v>0</v>
      </c>
      <c r="AX67">
        <f t="shared" si="47"/>
        <v>0</v>
      </c>
      <c r="AY67">
        <f t="shared" si="48"/>
        <v>0</v>
      </c>
    </row>
    <row r="68" spans="1:51" x14ac:dyDescent="0.35">
      <c r="A68">
        <v>62</v>
      </c>
      <c r="C68">
        <f t="shared" si="1"/>
        <v>0</v>
      </c>
      <c r="D68">
        <f t="shared" si="2"/>
        <v>0</v>
      </c>
      <c r="E68">
        <f t="shared" si="3"/>
        <v>0</v>
      </c>
      <c r="F68">
        <f t="shared" si="4"/>
        <v>0</v>
      </c>
      <c r="G68">
        <f t="shared" si="5"/>
        <v>0</v>
      </c>
      <c r="H68">
        <f t="shared" si="6"/>
        <v>0</v>
      </c>
      <c r="I68">
        <f t="shared" si="7"/>
        <v>0</v>
      </c>
      <c r="J68">
        <f t="shared" si="8"/>
        <v>0</v>
      </c>
      <c r="K68">
        <f t="shared" si="9"/>
        <v>0</v>
      </c>
      <c r="L68">
        <f t="shared" si="10"/>
        <v>0</v>
      </c>
      <c r="M68">
        <f t="shared" si="11"/>
        <v>0</v>
      </c>
      <c r="N68">
        <f t="shared" si="12"/>
        <v>0</v>
      </c>
      <c r="O68">
        <f t="shared" si="13"/>
        <v>0</v>
      </c>
      <c r="P68">
        <f t="shared" si="14"/>
        <v>0</v>
      </c>
      <c r="Q68">
        <f t="shared" si="15"/>
        <v>0</v>
      </c>
      <c r="R68">
        <f t="shared" si="16"/>
        <v>0</v>
      </c>
      <c r="S68">
        <f t="shared" si="17"/>
        <v>0</v>
      </c>
      <c r="T68">
        <f t="shared" si="18"/>
        <v>0</v>
      </c>
      <c r="U68">
        <f t="shared" si="19"/>
        <v>0</v>
      </c>
      <c r="V68">
        <f t="shared" si="20"/>
        <v>0</v>
      </c>
      <c r="W68">
        <f t="shared" si="21"/>
        <v>0</v>
      </c>
      <c r="X68">
        <f t="shared" si="22"/>
        <v>0</v>
      </c>
      <c r="Y68">
        <f t="shared" si="23"/>
        <v>0</v>
      </c>
      <c r="Z68">
        <f t="shared" si="24"/>
        <v>0</v>
      </c>
      <c r="AA68">
        <f t="shared" si="25"/>
        <v>0</v>
      </c>
      <c r="AB68">
        <f t="shared" si="26"/>
        <v>0</v>
      </c>
      <c r="AC68">
        <f t="shared" si="27"/>
        <v>0</v>
      </c>
      <c r="AD68">
        <f t="shared" si="28"/>
        <v>0</v>
      </c>
      <c r="AE68">
        <f t="shared" si="29"/>
        <v>0</v>
      </c>
      <c r="AF68">
        <f t="shared" si="30"/>
        <v>0</v>
      </c>
      <c r="AG68">
        <f t="shared" si="31"/>
        <v>0</v>
      </c>
      <c r="AH68">
        <f t="shared" si="32"/>
        <v>0</v>
      </c>
      <c r="AI68">
        <f t="shared" si="33"/>
        <v>0</v>
      </c>
      <c r="AJ68">
        <f t="shared" si="34"/>
        <v>0</v>
      </c>
      <c r="AK68">
        <f t="shared" si="35"/>
        <v>0</v>
      </c>
      <c r="AL68">
        <f t="shared" si="36"/>
        <v>0</v>
      </c>
      <c r="AM68">
        <f t="shared" si="37"/>
        <v>0</v>
      </c>
      <c r="AN68">
        <f t="shared" si="38"/>
        <v>0</v>
      </c>
      <c r="AO68">
        <f t="shared" si="39"/>
        <v>0</v>
      </c>
      <c r="AP68">
        <f t="shared" si="40"/>
        <v>0</v>
      </c>
      <c r="AQ68">
        <f t="shared" si="41"/>
        <v>0</v>
      </c>
      <c r="AR68">
        <f t="shared" si="42"/>
        <v>0</v>
      </c>
      <c r="AS68">
        <f t="shared" si="43"/>
        <v>0</v>
      </c>
      <c r="AT68">
        <f t="shared" si="44"/>
        <v>0</v>
      </c>
      <c r="AU68">
        <f t="shared" si="45"/>
        <v>0</v>
      </c>
      <c r="AV68">
        <f t="shared" si="46"/>
        <v>0</v>
      </c>
      <c r="AW68">
        <f t="shared" si="0"/>
        <v>0</v>
      </c>
      <c r="AX68">
        <f t="shared" si="47"/>
        <v>0</v>
      </c>
      <c r="AY68">
        <f t="shared" si="48"/>
        <v>0</v>
      </c>
    </row>
    <row r="69" spans="1:51" x14ac:dyDescent="0.35">
      <c r="A69">
        <v>63</v>
      </c>
      <c r="C69">
        <f t="shared" si="1"/>
        <v>0</v>
      </c>
      <c r="D69">
        <f t="shared" si="2"/>
        <v>0</v>
      </c>
      <c r="E69">
        <f t="shared" si="3"/>
        <v>0</v>
      </c>
      <c r="F69">
        <f t="shared" si="4"/>
        <v>0</v>
      </c>
      <c r="G69">
        <f t="shared" si="5"/>
        <v>0</v>
      </c>
      <c r="H69">
        <f t="shared" si="6"/>
        <v>0</v>
      </c>
      <c r="I69">
        <f t="shared" si="7"/>
        <v>0</v>
      </c>
      <c r="J69">
        <f t="shared" si="8"/>
        <v>0</v>
      </c>
      <c r="K69">
        <f t="shared" si="9"/>
        <v>0</v>
      </c>
      <c r="L69">
        <f t="shared" si="10"/>
        <v>0</v>
      </c>
      <c r="M69">
        <f t="shared" si="11"/>
        <v>0</v>
      </c>
      <c r="N69">
        <f t="shared" si="12"/>
        <v>0</v>
      </c>
      <c r="O69">
        <f t="shared" si="13"/>
        <v>0</v>
      </c>
      <c r="P69">
        <f t="shared" si="14"/>
        <v>0</v>
      </c>
      <c r="Q69">
        <f t="shared" si="15"/>
        <v>0</v>
      </c>
      <c r="R69">
        <f t="shared" si="16"/>
        <v>0</v>
      </c>
      <c r="S69">
        <f t="shared" si="17"/>
        <v>0</v>
      </c>
      <c r="T69">
        <f t="shared" si="18"/>
        <v>0</v>
      </c>
      <c r="U69">
        <f t="shared" si="19"/>
        <v>0</v>
      </c>
      <c r="V69">
        <f t="shared" si="20"/>
        <v>0</v>
      </c>
      <c r="W69">
        <f t="shared" si="21"/>
        <v>0</v>
      </c>
      <c r="X69">
        <f t="shared" si="22"/>
        <v>0</v>
      </c>
      <c r="Y69">
        <f t="shared" si="23"/>
        <v>0</v>
      </c>
      <c r="Z69">
        <f t="shared" si="24"/>
        <v>0</v>
      </c>
      <c r="AA69">
        <f t="shared" si="25"/>
        <v>0</v>
      </c>
      <c r="AB69">
        <f t="shared" si="26"/>
        <v>0</v>
      </c>
      <c r="AC69">
        <f t="shared" si="27"/>
        <v>0</v>
      </c>
      <c r="AD69">
        <f t="shared" si="28"/>
        <v>0</v>
      </c>
      <c r="AE69">
        <f t="shared" si="29"/>
        <v>0</v>
      </c>
      <c r="AF69">
        <f t="shared" si="30"/>
        <v>0</v>
      </c>
      <c r="AG69">
        <f t="shared" si="31"/>
        <v>0</v>
      </c>
      <c r="AH69">
        <f t="shared" si="32"/>
        <v>0</v>
      </c>
      <c r="AI69">
        <f t="shared" si="33"/>
        <v>0</v>
      </c>
      <c r="AJ69">
        <f t="shared" si="34"/>
        <v>0</v>
      </c>
      <c r="AK69">
        <f t="shared" si="35"/>
        <v>0</v>
      </c>
      <c r="AL69">
        <f t="shared" si="36"/>
        <v>0</v>
      </c>
      <c r="AM69">
        <f t="shared" si="37"/>
        <v>0</v>
      </c>
      <c r="AN69">
        <f t="shared" si="38"/>
        <v>0</v>
      </c>
      <c r="AO69">
        <f t="shared" si="39"/>
        <v>0</v>
      </c>
      <c r="AP69">
        <f t="shared" si="40"/>
        <v>0</v>
      </c>
      <c r="AQ69">
        <f t="shared" si="41"/>
        <v>0</v>
      </c>
      <c r="AR69">
        <f t="shared" si="42"/>
        <v>0</v>
      </c>
      <c r="AS69">
        <f t="shared" si="43"/>
        <v>0</v>
      </c>
      <c r="AT69">
        <f t="shared" si="44"/>
        <v>0</v>
      </c>
      <c r="AU69">
        <f t="shared" si="45"/>
        <v>0</v>
      </c>
      <c r="AV69">
        <f t="shared" si="46"/>
        <v>0</v>
      </c>
      <c r="AW69">
        <f t="shared" si="0"/>
        <v>0</v>
      </c>
      <c r="AX69">
        <f t="shared" si="47"/>
        <v>0</v>
      </c>
      <c r="AY69">
        <f t="shared" si="48"/>
        <v>0</v>
      </c>
    </row>
    <row r="70" spans="1:51" x14ac:dyDescent="0.35">
      <c r="A70">
        <v>64</v>
      </c>
      <c r="C70">
        <f t="shared" si="1"/>
        <v>0</v>
      </c>
      <c r="D70">
        <f t="shared" si="2"/>
        <v>0</v>
      </c>
      <c r="E70">
        <f t="shared" si="3"/>
        <v>0</v>
      </c>
      <c r="F70">
        <f t="shared" si="4"/>
        <v>0</v>
      </c>
      <c r="G70">
        <f t="shared" si="5"/>
        <v>0</v>
      </c>
      <c r="H70">
        <f t="shared" si="6"/>
        <v>0</v>
      </c>
      <c r="I70">
        <f t="shared" si="7"/>
        <v>0</v>
      </c>
      <c r="J70">
        <f t="shared" si="8"/>
        <v>0</v>
      </c>
      <c r="K70">
        <f t="shared" si="9"/>
        <v>0</v>
      </c>
      <c r="L70">
        <f t="shared" si="10"/>
        <v>0</v>
      </c>
      <c r="M70">
        <f t="shared" si="11"/>
        <v>0</v>
      </c>
      <c r="N70">
        <f t="shared" si="12"/>
        <v>0</v>
      </c>
      <c r="O70">
        <f t="shared" si="13"/>
        <v>0</v>
      </c>
      <c r="P70">
        <f t="shared" si="14"/>
        <v>0</v>
      </c>
      <c r="Q70">
        <f t="shared" si="15"/>
        <v>0</v>
      </c>
      <c r="R70">
        <f t="shared" si="16"/>
        <v>0</v>
      </c>
      <c r="S70">
        <f t="shared" si="17"/>
        <v>0</v>
      </c>
      <c r="T70">
        <f t="shared" si="18"/>
        <v>0</v>
      </c>
      <c r="U70">
        <f t="shared" si="19"/>
        <v>0</v>
      </c>
      <c r="V70">
        <f t="shared" si="20"/>
        <v>0</v>
      </c>
      <c r="W70">
        <f t="shared" si="21"/>
        <v>0</v>
      </c>
      <c r="X70">
        <f t="shared" si="22"/>
        <v>0</v>
      </c>
      <c r="Y70">
        <f t="shared" si="23"/>
        <v>0</v>
      </c>
      <c r="Z70">
        <f t="shared" si="24"/>
        <v>0</v>
      </c>
      <c r="AA70">
        <f t="shared" si="25"/>
        <v>0</v>
      </c>
      <c r="AB70">
        <f t="shared" si="26"/>
        <v>0</v>
      </c>
      <c r="AC70">
        <f t="shared" si="27"/>
        <v>0</v>
      </c>
      <c r="AD70">
        <f t="shared" si="28"/>
        <v>0</v>
      </c>
      <c r="AE70">
        <f t="shared" si="29"/>
        <v>0</v>
      </c>
      <c r="AF70">
        <f t="shared" si="30"/>
        <v>0</v>
      </c>
      <c r="AG70">
        <f t="shared" si="31"/>
        <v>0</v>
      </c>
      <c r="AH70">
        <f t="shared" si="32"/>
        <v>0</v>
      </c>
      <c r="AI70">
        <f t="shared" si="33"/>
        <v>0</v>
      </c>
      <c r="AJ70">
        <f t="shared" si="34"/>
        <v>0</v>
      </c>
      <c r="AK70">
        <f t="shared" si="35"/>
        <v>0</v>
      </c>
      <c r="AL70">
        <f t="shared" si="36"/>
        <v>0</v>
      </c>
      <c r="AM70">
        <f t="shared" si="37"/>
        <v>0</v>
      </c>
      <c r="AN70">
        <f t="shared" si="38"/>
        <v>0</v>
      </c>
      <c r="AO70">
        <f t="shared" si="39"/>
        <v>0</v>
      </c>
      <c r="AP70">
        <f t="shared" si="40"/>
        <v>0</v>
      </c>
      <c r="AQ70">
        <f t="shared" si="41"/>
        <v>0</v>
      </c>
      <c r="AR70">
        <f t="shared" si="42"/>
        <v>0</v>
      </c>
      <c r="AS70">
        <f t="shared" si="43"/>
        <v>0</v>
      </c>
      <c r="AT70">
        <f t="shared" si="44"/>
        <v>0</v>
      </c>
      <c r="AU70">
        <f t="shared" si="45"/>
        <v>0</v>
      </c>
      <c r="AV70">
        <f t="shared" si="46"/>
        <v>0</v>
      </c>
      <c r="AW70">
        <f t="shared" ref="AW70:AW133" si="49">SUM(AH70:AV70)</f>
        <v>0</v>
      </c>
      <c r="AX70">
        <f t="shared" si="47"/>
        <v>0</v>
      </c>
      <c r="AY70">
        <f t="shared" si="48"/>
        <v>0</v>
      </c>
    </row>
    <row r="71" spans="1:51" x14ac:dyDescent="0.35">
      <c r="A71">
        <v>65</v>
      </c>
      <c r="C71">
        <f t="shared" ref="C71:C134" si="50">MAX(0,0-SUM(D71:R71))</f>
        <v>0</v>
      </c>
      <c r="D71">
        <f t="shared" ref="D71:D134" si="51">IF(AH70&lt;0.005,0,MIN((AH70+ROUND(AH70*AH$3,2)),AH$4))</f>
        <v>0</v>
      </c>
      <c r="E71">
        <f t="shared" ref="E71:E134" si="52">IF(AI70&lt;0.005,0,MIN((AI70+ROUND(AI70*AI$3,2)),AI$4))</f>
        <v>0</v>
      </c>
      <c r="F71">
        <f t="shared" ref="F71:F134" si="53">IF(AJ70&lt;0.005,0,MIN((AJ70+ROUND(AJ70*AJ$3,2)),AJ$4))</f>
        <v>0</v>
      </c>
      <c r="G71">
        <f t="shared" ref="G71:G134" si="54">IF(AK70&lt;0.005,0,MIN((AK70+ROUND(AK70*AK$3,2)),AK$4))</f>
        <v>0</v>
      </c>
      <c r="H71">
        <f t="shared" ref="H71:H134" si="55">IF(AL70&lt;0.005,0,MIN((AL70+ROUND(AL70*AL$3,2)),AL$4))</f>
        <v>0</v>
      </c>
      <c r="I71">
        <f t="shared" ref="I71:I134" si="56">IF(AM70&lt;0.005,0,MIN((AM70+ROUND(AM70*AM$3,2)),AM$4))</f>
        <v>0</v>
      </c>
      <c r="J71">
        <f t="shared" ref="J71:J134" si="57">IF(AN70&lt;0.005,0,MIN((AN70+ROUND(AN70*AN$3,2)),AN$4))</f>
        <v>0</v>
      </c>
      <c r="K71">
        <f t="shared" ref="K71:K134" si="58">IF(AO70&lt;0.005,0,MIN((AO70+ROUND(AO70*AO$3,2)),AO$4))</f>
        <v>0</v>
      </c>
      <c r="L71">
        <f t="shared" ref="L71:L134" si="59">IF(AP70&lt;0.005,0,MIN((AP70+ROUND(AP70*AP$3,2)),AP$4))</f>
        <v>0</v>
      </c>
      <c r="M71">
        <f t="shared" ref="M71:M134" si="60">IF(AQ70&lt;0.005,0,MIN((AQ70+ROUND(AQ70*AQ$3,2)),AQ$4))</f>
        <v>0</v>
      </c>
      <c r="N71">
        <f t="shared" ref="N71:N134" si="61">IF(AR70&lt;0.005,0,MIN((AR70+ROUND(AR70*AR$3,2)),AR$4))</f>
        <v>0</v>
      </c>
      <c r="O71">
        <f t="shared" ref="O71:O134" si="62">IF(AS70&lt;0.005,0,MIN((AS70+ROUND(AS70*AS$3,2)),AS$4))</f>
        <v>0</v>
      </c>
      <c r="P71">
        <f t="shared" ref="P71:P134" si="63">IF(AT70&lt;0.005,0,MIN((AT70+ROUND(AT70*AT$3,2)),AT$4))</f>
        <v>0</v>
      </c>
      <c r="Q71">
        <f t="shared" ref="Q71:Q134" si="64">IF(AU70&lt;0.005,0,MIN((AU70+ROUND(AU70*AU$3,2)),AU$4))</f>
        <v>0</v>
      </c>
      <c r="R71">
        <f t="shared" ref="R71:R134" si="65">IF(AV70&lt;0.005,0,MIN((AV70+ROUND(AV70*AV$3,2)),AV$4))</f>
        <v>0</v>
      </c>
      <c r="S71">
        <f t="shared" ref="S71:S134" si="66">IF(AH70&lt;0.005,0,MIN((AH70+ROUND(AH70*AH$3,2))-D71,MAX(0,$C71)))</f>
        <v>0</v>
      </c>
      <c r="T71">
        <f t="shared" ref="T71:T134" si="67">IF(AI70&lt;0.005,0,MIN((AI70+ROUND(AI70*AI$3,2))-E71,MAX(0,$C71-SUM(S71:S71))))</f>
        <v>0</v>
      </c>
      <c r="U71">
        <f t="shared" ref="U71:U134" si="68">IF(AJ70&lt;0.005,0,MIN((AJ70+ROUND(AJ70*AJ$3,2))-F71,MAX(0,$C71-SUM(S71:T71))))</f>
        <v>0</v>
      </c>
      <c r="V71">
        <f t="shared" ref="V71:V134" si="69">IF(AK70&lt;0.005,0,MIN((AK70+ROUND(AK70*AK$3,2))-G71,MAX(0,$C71-SUM(S71:U71))))</f>
        <v>0</v>
      </c>
      <c r="W71">
        <f t="shared" ref="W71:W134" si="70">IF(AL70&lt;0.005,0,MIN((AL70+ROUND(AL70*AL$3,2))-H71,MAX(0,$C71-SUM(S71:V71))))</f>
        <v>0</v>
      </c>
      <c r="X71">
        <f t="shared" ref="X71:X134" si="71">IF(AM70&lt;0.005,0,MIN((AM70+ROUND(AM70*AM$3,2))-I71,MAX(0,$C71-SUM(S71:W71))))</f>
        <v>0</v>
      </c>
      <c r="Y71">
        <f t="shared" ref="Y71:Y134" si="72">IF(AN70&lt;0.005,0,MIN((AN70+ROUND(AN70*AN$3,2))-J71,MAX(0,$C71-SUM(S71:X71))))</f>
        <v>0</v>
      </c>
      <c r="Z71">
        <f t="shared" ref="Z71:Z134" si="73">IF(AO70&lt;0.005,0,MIN((AO70+ROUND(AO70*AO$3,2))-K71,MAX(0,$C71-SUM(S71:Y71))))</f>
        <v>0</v>
      </c>
      <c r="AA71">
        <f t="shared" ref="AA71:AA134" si="74">IF(AP70&lt;0.005,0,MIN((AP70+ROUND(AP70*AP$3,2))-L71,MAX(0,$C71-SUM(S71:Z71))))</f>
        <v>0</v>
      </c>
      <c r="AB71">
        <f t="shared" ref="AB71:AB134" si="75">IF(AQ70&lt;0.005,0,MIN((AQ70+ROUND(AQ70*AQ$3,2))-M71,MAX(0,$C71-SUM(S71:AA71))))</f>
        <v>0</v>
      </c>
      <c r="AC71">
        <f t="shared" ref="AC71:AC134" si="76">IF(AR70&lt;0.005,0,MIN((AR70+ROUND(AR70*AR$3,2))-N71,MAX(0,$C71-SUM(S71:AB71))))</f>
        <v>0</v>
      </c>
      <c r="AD71">
        <f t="shared" ref="AD71:AD134" si="77">IF(AS70&lt;0.005,0,MIN((AS70+ROUND(AS70*AS$3,2))-O71,MAX(0,$C71-SUM(S71:AC71))))</f>
        <v>0</v>
      </c>
      <c r="AE71">
        <f t="shared" ref="AE71:AE134" si="78">IF(AT70&lt;0.005,0,MIN((AT70+ROUND(AT70*AT$3,2))-P71,MAX(0,$C71-SUM(S71:AD71))))</f>
        <v>0</v>
      </c>
      <c r="AF71">
        <f t="shared" ref="AF71:AF134" si="79">IF(AU70&lt;0.005,0,MIN((AU70+ROUND(AU70*AU$3,2))-Q71,MAX(0,$C71-SUM(S71:AE71))))</f>
        <v>0</v>
      </c>
      <c r="AG71">
        <f t="shared" ref="AG71:AG134" si="80">IF(AV70&lt;0.005,0,MIN((AV70+ROUND(AV70*AV$3,2))-R71,MAX(0,$C71-SUM(S71:AF71))))</f>
        <v>0</v>
      </c>
      <c r="AH71">
        <f t="shared" ref="AH71:AH134" si="81">IF(AH70&lt;0.005,0,ROUND((AH70+ROUND(AH70*AH$3,2))-D71-S71,2))</f>
        <v>0</v>
      </c>
      <c r="AI71">
        <f t="shared" ref="AI71:AI134" si="82">IF(AI70&lt;0.005,0,ROUND((AI70+ROUND(AI70*AI$3,2))-E71-T71,2))</f>
        <v>0</v>
      </c>
      <c r="AJ71">
        <f t="shared" ref="AJ71:AJ134" si="83">IF(AJ70&lt;0.005,0,ROUND((AJ70+ROUND(AJ70*AJ$3,2))-F71-U71,2))</f>
        <v>0</v>
      </c>
      <c r="AK71">
        <f t="shared" ref="AK71:AK134" si="84">IF(AK70&lt;0.005,0,ROUND((AK70+ROUND(AK70*AK$3,2))-G71-V71,2))</f>
        <v>0</v>
      </c>
      <c r="AL71">
        <f t="shared" ref="AL71:AL134" si="85">IF(AL70&lt;0.005,0,ROUND((AL70+ROUND(AL70*AL$3,2))-H71-W71,2))</f>
        <v>0</v>
      </c>
      <c r="AM71">
        <f t="shared" ref="AM71:AM134" si="86">IF(AM70&lt;0.005,0,ROUND((AM70+ROUND(AM70*AM$3,2))-I71-X71,2))</f>
        <v>0</v>
      </c>
      <c r="AN71">
        <f t="shared" ref="AN71:AN134" si="87">IF(AN70&lt;0.005,0,ROUND((AN70+ROUND(AN70*AN$3,2))-J71-Y71,2))</f>
        <v>0</v>
      </c>
      <c r="AO71">
        <f t="shared" ref="AO71:AO134" si="88">IF(AO70&lt;0.005,0,ROUND((AO70+ROUND(AO70*AO$3,2))-K71-Z71,2))</f>
        <v>0</v>
      </c>
      <c r="AP71">
        <f t="shared" ref="AP71:AP134" si="89">IF(AP70&lt;0.005,0,ROUND((AP70+ROUND(AP70*AP$3,2))-L71-AA71,2))</f>
        <v>0</v>
      </c>
      <c r="AQ71">
        <f t="shared" ref="AQ71:AQ134" si="90">IF(AQ70&lt;0.005,0,ROUND((AQ70+ROUND(AQ70*AQ$3,2))-M71-AB71,2))</f>
        <v>0</v>
      </c>
      <c r="AR71">
        <f t="shared" ref="AR71:AR134" si="91">IF(AR70&lt;0.005,0,ROUND((AR70+ROUND(AR70*AR$3,2))-N71-AC71,2))</f>
        <v>0</v>
      </c>
      <c r="AS71">
        <f t="shared" ref="AS71:AS134" si="92">IF(AS70&lt;0.005,0,ROUND((AS70+ROUND(AS70*AS$3,2))-O71-AD71,2))</f>
        <v>0</v>
      </c>
      <c r="AT71">
        <f t="shared" ref="AT71:AT134" si="93">IF(AT70&lt;0.005,0,ROUND((AT70+ROUND(AT70*AT$3,2))-P71-AE71,2))</f>
        <v>0</v>
      </c>
      <c r="AU71">
        <f t="shared" ref="AU71:AU134" si="94">IF(AU70&lt;0.005,0,ROUND((AU70+ROUND(AU70*AU$3,2))-Q71-AF71,2))</f>
        <v>0</v>
      </c>
      <c r="AV71">
        <f t="shared" ref="AV71:AV134" si="95">IF(AV70&lt;0.005,0,ROUND((AV70+ROUND(AV70*AV$3,2))-R71-AG71,2))</f>
        <v>0</v>
      </c>
      <c r="AW71">
        <f t="shared" si="49"/>
        <v>0</v>
      </c>
      <c r="AX71">
        <f t="shared" ref="AX71:AX134" si="96">SUMPRODUCT(ROUND(AH70:AV70*AH$3:AV$3,2))</f>
        <v>0</v>
      </c>
      <c r="AY71">
        <f t="shared" ref="AY71:AY134" si="97">SUM(D71:AG71)</f>
        <v>0</v>
      </c>
    </row>
    <row r="72" spans="1:51" x14ac:dyDescent="0.35">
      <c r="A72">
        <v>66</v>
      </c>
      <c r="C72">
        <f t="shared" si="50"/>
        <v>0</v>
      </c>
      <c r="D72">
        <f t="shared" si="51"/>
        <v>0</v>
      </c>
      <c r="E72">
        <f t="shared" si="52"/>
        <v>0</v>
      </c>
      <c r="F72">
        <f t="shared" si="53"/>
        <v>0</v>
      </c>
      <c r="G72">
        <f t="shared" si="54"/>
        <v>0</v>
      </c>
      <c r="H72">
        <f t="shared" si="55"/>
        <v>0</v>
      </c>
      <c r="I72">
        <f t="shared" si="56"/>
        <v>0</v>
      </c>
      <c r="J72">
        <f t="shared" si="57"/>
        <v>0</v>
      </c>
      <c r="K72">
        <f t="shared" si="58"/>
        <v>0</v>
      </c>
      <c r="L72">
        <f t="shared" si="59"/>
        <v>0</v>
      </c>
      <c r="M72">
        <f t="shared" si="60"/>
        <v>0</v>
      </c>
      <c r="N72">
        <f t="shared" si="61"/>
        <v>0</v>
      </c>
      <c r="O72">
        <f t="shared" si="62"/>
        <v>0</v>
      </c>
      <c r="P72">
        <f t="shared" si="63"/>
        <v>0</v>
      </c>
      <c r="Q72">
        <f t="shared" si="64"/>
        <v>0</v>
      </c>
      <c r="R72">
        <f t="shared" si="65"/>
        <v>0</v>
      </c>
      <c r="S72">
        <f t="shared" si="66"/>
        <v>0</v>
      </c>
      <c r="T72">
        <f t="shared" si="67"/>
        <v>0</v>
      </c>
      <c r="U72">
        <f t="shared" si="68"/>
        <v>0</v>
      </c>
      <c r="V72">
        <f t="shared" si="69"/>
        <v>0</v>
      </c>
      <c r="W72">
        <f t="shared" si="70"/>
        <v>0</v>
      </c>
      <c r="X72">
        <f t="shared" si="71"/>
        <v>0</v>
      </c>
      <c r="Y72">
        <f t="shared" si="72"/>
        <v>0</v>
      </c>
      <c r="Z72">
        <f t="shared" si="73"/>
        <v>0</v>
      </c>
      <c r="AA72">
        <f t="shared" si="74"/>
        <v>0</v>
      </c>
      <c r="AB72">
        <f t="shared" si="75"/>
        <v>0</v>
      </c>
      <c r="AC72">
        <f t="shared" si="76"/>
        <v>0</v>
      </c>
      <c r="AD72">
        <f t="shared" si="77"/>
        <v>0</v>
      </c>
      <c r="AE72">
        <f t="shared" si="78"/>
        <v>0</v>
      </c>
      <c r="AF72">
        <f t="shared" si="79"/>
        <v>0</v>
      </c>
      <c r="AG72">
        <f t="shared" si="80"/>
        <v>0</v>
      </c>
      <c r="AH72">
        <f t="shared" si="81"/>
        <v>0</v>
      </c>
      <c r="AI72">
        <f t="shared" si="82"/>
        <v>0</v>
      </c>
      <c r="AJ72">
        <f t="shared" si="83"/>
        <v>0</v>
      </c>
      <c r="AK72">
        <f t="shared" si="84"/>
        <v>0</v>
      </c>
      <c r="AL72">
        <f t="shared" si="85"/>
        <v>0</v>
      </c>
      <c r="AM72">
        <f t="shared" si="86"/>
        <v>0</v>
      </c>
      <c r="AN72">
        <f t="shared" si="87"/>
        <v>0</v>
      </c>
      <c r="AO72">
        <f t="shared" si="88"/>
        <v>0</v>
      </c>
      <c r="AP72">
        <f t="shared" si="89"/>
        <v>0</v>
      </c>
      <c r="AQ72">
        <f t="shared" si="90"/>
        <v>0</v>
      </c>
      <c r="AR72">
        <f t="shared" si="91"/>
        <v>0</v>
      </c>
      <c r="AS72">
        <f t="shared" si="92"/>
        <v>0</v>
      </c>
      <c r="AT72">
        <f t="shared" si="93"/>
        <v>0</v>
      </c>
      <c r="AU72">
        <f t="shared" si="94"/>
        <v>0</v>
      </c>
      <c r="AV72">
        <f t="shared" si="95"/>
        <v>0</v>
      </c>
      <c r="AW72">
        <f t="shared" si="49"/>
        <v>0</v>
      </c>
      <c r="AX72">
        <f t="shared" si="96"/>
        <v>0</v>
      </c>
      <c r="AY72">
        <f t="shared" si="97"/>
        <v>0</v>
      </c>
    </row>
    <row r="73" spans="1:51" x14ac:dyDescent="0.35">
      <c r="A73">
        <v>67</v>
      </c>
      <c r="C73">
        <f t="shared" si="50"/>
        <v>0</v>
      </c>
      <c r="D73">
        <f t="shared" si="51"/>
        <v>0</v>
      </c>
      <c r="E73">
        <f t="shared" si="52"/>
        <v>0</v>
      </c>
      <c r="F73">
        <f t="shared" si="53"/>
        <v>0</v>
      </c>
      <c r="G73">
        <f t="shared" si="54"/>
        <v>0</v>
      </c>
      <c r="H73">
        <f t="shared" si="55"/>
        <v>0</v>
      </c>
      <c r="I73">
        <f t="shared" si="56"/>
        <v>0</v>
      </c>
      <c r="J73">
        <f t="shared" si="57"/>
        <v>0</v>
      </c>
      <c r="K73">
        <f t="shared" si="58"/>
        <v>0</v>
      </c>
      <c r="L73">
        <f t="shared" si="59"/>
        <v>0</v>
      </c>
      <c r="M73">
        <f t="shared" si="60"/>
        <v>0</v>
      </c>
      <c r="N73">
        <f t="shared" si="61"/>
        <v>0</v>
      </c>
      <c r="O73">
        <f t="shared" si="62"/>
        <v>0</v>
      </c>
      <c r="P73">
        <f t="shared" si="63"/>
        <v>0</v>
      </c>
      <c r="Q73">
        <f t="shared" si="64"/>
        <v>0</v>
      </c>
      <c r="R73">
        <f t="shared" si="65"/>
        <v>0</v>
      </c>
      <c r="S73">
        <f t="shared" si="66"/>
        <v>0</v>
      </c>
      <c r="T73">
        <f t="shared" si="67"/>
        <v>0</v>
      </c>
      <c r="U73">
        <f t="shared" si="68"/>
        <v>0</v>
      </c>
      <c r="V73">
        <f t="shared" si="69"/>
        <v>0</v>
      </c>
      <c r="W73">
        <f t="shared" si="70"/>
        <v>0</v>
      </c>
      <c r="X73">
        <f t="shared" si="71"/>
        <v>0</v>
      </c>
      <c r="Y73">
        <f t="shared" si="72"/>
        <v>0</v>
      </c>
      <c r="Z73">
        <f t="shared" si="73"/>
        <v>0</v>
      </c>
      <c r="AA73">
        <f t="shared" si="74"/>
        <v>0</v>
      </c>
      <c r="AB73">
        <f t="shared" si="75"/>
        <v>0</v>
      </c>
      <c r="AC73">
        <f t="shared" si="76"/>
        <v>0</v>
      </c>
      <c r="AD73">
        <f t="shared" si="77"/>
        <v>0</v>
      </c>
      <c r="AE73">
        <f t="shared" si="78"/>
        <v>0</v>
      </c>
      <c r="AF73">
        <f t="shared" si="79"/>
        <v>0</v>
      </c>
      <c r="AG73">
        <f t="shared" si="80"/>
        <v>0</v>
      </c>
      <c r="AH73">
        <f t="shared" si="81"/>
        <v>0</v>
      </c>
      <c r="AI73">
        <f t="shared" si="82"/>
        <v>0</v>
      </c>
      <c r="AJ73">
        <f t="shared" si="83"/>
        <v>0</v>
      </c>
      <c r="AK73">
        <f t="shared" si="84"/>
        <v>0</v>
      </c>
      <c r="AL73">
        <f t="shared" si="85"/>
        <v>0</v>
      </c>
      <c r="AM73">
        <f t="shared" si="86"/>
        <v>0</v>
      </c>
      <c r="AN73">
        <f t="shared" si="87"/>
        <v>0</v>
      </c>
      <c r="AO73">
        <f t="shared" si="88"/>
        <v>0</v>
      </c>
      <c r="AP73">
        <f t="shared" si="89"/>
        <v>0</v>
      </c>
      <c r="AQ73">
        <f t="shared" si="90"/>
        <v>0</v>
      </c>
      <c r="AR73">
        <f t="shared" si="91"/>
        <v>0</v>
      </c>
      <c r="AS73">
        <f t="shared" si="92"/>
        <v>0</v>
      </c>
      <c r="AT73">
        <f t="shared" si="93"/>
        <v>0</v>
      </c>
      <c r="AU73">
        <f t="shared" si="94"/>
        <v>0</v>
      </c>
      <c r="AV73">
        <f t="shared" si="95"/>
        <v>0</v>
      </c>
      <c r="AW73">
        <f t="shared" si="49"/>
        <v>0</v>
      </c>
      <c r="AX73">
        <f t="shared" si="96"/>
        <v>0</v>
      </c>
      <c r="AY73">
        <f t="shared" si="97"/>
        <v>0</v>
      </c>
    </row>
    <row r="74" spans="1:51" x14ac:dyDescent="0.35">
      <c r="A74">
        <v>68</v>
      </c>
      <c r="C74">
        <f t="shared" si="50"/>
        <v>0</v>
      </c>
      <c r="D74">
        <f t="shared" si="51"/>
        <v>0</v>
      </c>
      <c r="E74">
        <f t="shared" si="52"/>
        <v>0</v>
      </c>
      <c r="F74">
        <f t="shared" si="53"/>
        <v>0</v>
      </c>
      <c r="G74">
        <f t="shared" si="54"/>
        <v>0</v>
      </c>
      <c r="H74">
        <f t="shared" si="55"/>
        <v>0</v>
      </c>
      <c r="I74">
        <f t="shared" si="56"/>
        <v>0</v>
      </c>
      <c r="J74">
        <f t="shared" si="57"/>
        <v>0</v>
      </c>
      <c r="K74">
        <f t="shared" si="58"/>
        <v>0</v>
      </c>
      <c r="L74">
        <f t="shared" si="59"/>
        <v>0</v>
      </c>
      <c r="M74">
        <f t="shared" si="60"/>
        <v>0</v>
      </c>
      <c r="N74">
        <f t="shared" si="61"/>
        <v>0</v>
      </c>
      <c r="O74">
        <f t="shared" si="62"/>
        <v>0</v>
      </c>
      <c r="P74">
        <f t="shared" si="63"/>
        <v>0</v>
      </c>
      <c r="Q74">
        <f t="shared" si="64"/>
        <v>0</v>
      </c>
      <c r="R74">
        <f t="shared" si="65"/>
        <v>0</v>
      </c>
      <c r="S74">
        <f t="shared" si="66"/>
        <v>0</v>
      </c>
      <c r="T74">
        <f t="shared" si="67"/>
        <v>0</v>
      </c>
      <c r="U74">
        <f t="shared" si="68"/>
        <v>0</v>
      </c>
      <c r="V74">
        <f t="shared" si="69"/>
        <v>0</v>
      </c>
      <c r="W74">
        <f t="shared" si="70"/>
        <v>0</v>
      </c>
      <c r="X74">
        <f t="shared" si="71"/>
        <v>0</v>
      </c>
      <c r="Y74">
        <f t="shared" si="72"/>
        <v>0</v>
      </c>
      <c r="Z74">
        <f t="shared" si="73"/>
        <v>0</v>
      </c>
      <c r="AA74">
        <f t="shared" si="74"/>
        <v>0</v>
      </c>
      <c r="AB74">
        <f t="shared" si="75"/>
        <v>0</v>
      </c>
      <c r="AC74">
        <f t="shared" si="76"/>
        <v>0</v>
      </c>
      <c r="AD74">
        <f t="shared" si="77"/>
        <v>0</v>
      </c>
      <c r="AE74">
        <f t="shared" si="78"/>
        <v>0</v>
      </c>
      <c r="AF74">
        <f t="shared" si="79"/>
        <v>0</v>
      </c>
      <c r="AG74">
        <f t="shared" si="80"/>
        <v>0</v>
      </c>
      <c r="AH74">
        <f t="shared" si="81"/>
        <v>0</v>
      </c>
      <c r="AI74">
        <f t="shared" si="82"/>
        <v>0</v>
      </c>
      <c r="AJ74">
        <f t="shared" si="83"/>
        <v>0</v>
      </c>
      <c r="AK74">
        <f t="shared" si="84"/>
        <v>0</v>
      </c>
      <c r="AL74">
        <f t="shared" si="85"/>
        <v>0</v>
      </c>
      <c r="AM74">
        <f t="shared" si="86"/>
        <v>0</v>
      </c>
      <c r="AN74">
        <f t="shared" si="87"/>
        <v>0</v>
      </c>
      <c r="AO74">
        <f t="shared" si="88"/>
        <v>0</v>
      </c>
      <c r="AP74">
        <f t="shared" si="89"/>
        <v>0</v>
      </c>
      <c r="AQ74">
        <f t="shared" si="90"/>
        <v>0</v>
      </c>
      <c r="AR74">
        <f t="shared" si="91"/>
        <v>0</v>
      </c>
      <c r="AS74">
        <f t="shared" si="92"/>
        <v>0</v>
      </c>
      <c r="AT74">
        <f t="shared" si="93"/>
        <v>0</v>
      </c>
      <c r="AU74">
        <f t="shared" si="94"/>
        <v>0</v>
      </c>
      <c r="AV74">
        <f t="shared" si="95"/>
        <v>0</v>
      </c>
      <c r="AW74">
        <f t="shared" si="49"/>
        <v>0</v>
      </c>
      <c r="AX74">
        <f t="shared" si="96"/>
        <v>0</v>
      </c>
      <c r="AY74">
        <f t="shared" si="97"/>
        <v>0</v>
      </c>
    </row>
    <row r="75" spans="1:51" x14ac:dyDescent="0.35">
      <c r="A75">
        <v>69</v>
      </c>
      <c r="C75">
        <f t="shared" si="50"/>
        <v>0</v>
      </c>
      <c r="D75">
        <f t="shared" si="51"/>
        <v>0</v>
      </c>
      <c r="E75">
        <f t="shared" si="52"/>
        <v>0</v>
      </c>
      <c r="F75">
        <f t="shared" si="53"/>
        <v>0</v>
      </c>
      <c r="G75">
        <f t="shared" si="54"/>
        <v>0</v>
      </c>
      <c r="H75">
        <f t="shared" si="55"/>
        <v>0</v>
      </c>
      <c r="I75">
        <f t="shared" si="56"/>
        <v>0</v>
      </c>
      <c r="J75">
        <f t="shared" si="57"/>
        <v>0</v>
      </c>
      <c r="K75">
        <f t="shared" si="58"/>
        <v>0</v>
      </c>
      <c r="L75">
        <f t="shared" si="59"/>
        <v>0</v>
      </c>
      <c r="M75">
        <f t="shared" si="60"/>
        <v>0</v>
      </c>
      <c r="N75">
        <f t="shared" si="61"/>
        <v>0</v>
      </c>
      <c r="O75">
        <f t="shared" si="62"/>
        <v>0</v>
      </c>
      <c r="P75">
        <f t="shared" si="63"/>
        <v>0</v>
      </c>
      <c r="Q75">
        <f t="shared" si="64"/>
        <v>0</v>
      </c>
      <c r="R75">
        <f t="shared" si="65"/>
        <v>0</v>
      </c>
      <c r="S75">
        <f t="shared" si="66"/>
        <v>0</v>
      </c>
      <c r="T75">
        <f t="shared" si="67"/>
        <v>0</v>
      </c>
      <c r="U75">
        <f t="shared" si="68"/>
        <v>0</v>
      </c>
      <c r="V75">
        <f t="shared" si="69"/>
        <v>0</v>
      </c>
      <c r="W75">
        <f t="shared" si="70"/>
        <v>0</v>
      </c>
      <c r="X75">
        <f t="shared" si="71"/>
        <v>0</v>
      </c>
      <c r="Y75">
        <f t="shared" si="72"/>
        <v>0</v>
      </c>
      <c r="Z75">
        <f t="shared" si="73"/>
        <v>0</v>
      </c>
      <c r="AA75">
        <f t="shared" si="74"/>
        <v>0</v>
      </c>
      <c r="AB75">
        <f t="shared" si="75"/>
        <v>0</v>
      </c>
      <c r="AC75">
        <f t="shared" si="76"/>
        <v>0</v>
      </c>
      <c r="AD75">
        <f t="shared" si="77"/>
        <v>0</v>
      </c>
      <c r="AE75">
        <f t="shared" si="78"/>
        <v>0</v>
      </c>
      <c r="AF75">
        <f t="shared" si="79"/>
        <v>0</v>
      </c>
      <c r="AG75">
        <f t="shared" si="80"/>
        <v>0</v>
      </c>
      <c r="AH75">
        <f t="shared" si="81"/>
        <v>0</v>
      </c>
      <c r="AI75">
        <f t="shared" si="82"/>
        <v>0</v>
      </c>
      <c r="AJ75">
        <f t="shared" si="83"/>
        <v>0</v>
      </c>
      <c r="AK75">
        <f t="shared" si="84"/>
        <v>0</v>
      </c>
      <c r="AL75">
        <f t="shared" si="85"/>
        <v>0</v>
      </c>
      <c r="AM75">
        <f t="shared" si="86"/>
        <v>0</v>
      </c>
      <c r="AN75">
        <f t="shared" si="87"/>
        <v>0</v>
      </c>
      <c r="AO75">
        <f t="shared" si="88"/>
        <v>0</v>
      </c>
      <c r="AP75">
        <f t="shared" si="89"/>
        <v>0</v>
      </c>
      <c r="AQ75">
        <f t="shared" si="90"/>
        <v>0</v>
      </c>
      <c r="AR75">
        <f t="shared" si="91"/>
        <v>0</v>
      </c>
      <c r="AS75">
        <f t="shared" si="92"/>
        <v>0</v>
      </c>
      <c r="AT75">
        <f t="shared" si="93"/>
        <v>0</v>
      </c>
      <c r="AU75">
        <f t="shared" si="94"/>
        <v>0</v>
      </c>
      <c r="AV75">
        <f t="shared" si="95"/>
        <v>0</v>
      </c>
      <c r="AW75">
        <f t="shared" si="49"/>
        <v>0</v>
      </c>
      <c r="AX75">
        <f t="shared" si="96"/>
        <v>0</v>
      </c>
      <c r="AY75">
        <f t="shared" si="97"/>
        <v>0</v>
      </c>
    </row>
    <row r="76" spans="1:51" x14ac:dyDescent="0.35">
      <c r="A76">
        <v>70</v>
      </c>
      <c r="C76">
        <f t="shared" si="50"/>
        <v>0</v>
      </c>
      <c r="D76">
        <f t="shared" si="51"/>
        <v>0</v>
      </c>
      <c r="E76">
        <f t="shared" si="52"/>
        <v>0</v>
      </c>
      <c r="F76">
        <f t="shared" si="53"/>
        <v>0</v>
      </c>
      <c r="G76">
        <f t="shared" si="54"/>
        <v>0</v>
      </c>
      <c r="H76">
        <f t="shared" si="55"/>
        <v>0</v>
      </c>
      <c r="I76">
        <f t="shared" si="56"/>
        <v>0</v>
      </c>
      <c r="J76">
        <f t="shared" si="57"/>
        <v>0</v>
      </c>
      <c r="K76">
        <f t="shared" si="58"/>
        <v>0</v>
      </c>
      <c r="L76">
        <f t="shared" si="59"/>
        <v>0</v>
      </c>
      <c r="M76">
        <f t="shared" si="60"/>
        <v>0</v>
      </c>
      <c r="N76">
        <f t="shared" si="61"/>
        <v>0</v>
      </c>
      <c r="O76">
        <f t="shared" si="62"/>
        <v>0</v>
      </c>
      <c r="P76">
        <f t="shared" si="63"/>
        <v>0</v>
      </c>
      <c r="Q76">
        <f t="shared" si="64"/>
        <v>0</v>
      </c>
      <c r="R76">
        <f t="shared" si="65"/>
        <v>0</v>
      </c>
      <c r="S76">
        <f t="shared" si="66"/>
        <v>0</v>
      </c>
      <c r="T76">
        <f t="shared" si="67"/>
        <v>0</v>
      </c>
      <c r="U76">
        <f t="shared" si="68"/>
        <v>0</v>
      </c>
      <c r="V76">
        <f t="shared" si="69"/>
        <v>0</v>
      </c>
      <c r="W76">
        <f t="shared" si="70"/>
        <v>0</v>
      </c>
      <c r="X76">
        <f t="shared" si="71"/>
        <v>0</v>
      </c>
      <c r="Y76">
        <f t="shared" si="72"/>
        <v>0</v>
      </c>
      <c r="Z76">
        <f t="shared" si="73"/>
        <v>0</v>
      </c>
      <c r="AA76">
        <f t="shared" si="74"/>
        <v>0</v>
      </c>
      <c r="AB76">
        <f t="shared" si="75"/>
        <v>0</v>
      </c>
      <c r="AC76">
        <f t="shared" si="76"/>
        <v>0</v>
      </c>
      <c r="AD76">
        <f t="shared" si="77"/>
        <v>0</v>
      </c>
      <c r="AE76">
        <f t="shared" si="78"/>
        <v>0</v>
      </c>
      <c r="AF76">
        <f t="shared" si="79"/>
        <v>0</v>
      </c>
      <c r="AG76">
        <f t="shared" si="80"/>
        <v>0</v>
      </c>
      <c r="AH76">
        <f t="shared" si="81"/>
        <v>0</v>
      </c>
      <c r="AI76">
        <f t="shared" si="82"/>
        <v>0</v>
      </c>
      <c r="AJ76">
        <f t="shared" si="83"/>
        <v>0</v>
      </c>
      <c r="AK76">
        <f t="shared" si="84"/>
        <v>0</v>
      </c>
      <c r="AL76">
        <f t="shared" si="85"/>
        <v>0</v>
      </c>
      <c r="AM76">
        <f t="shared" si="86"/>
        <v>0</v>
      </c>
      <c r="AN76">
        <f t="shared" si="87"/>
        <v>0</v>
      </c>
      <c r="AO76">
        <f t="shared" si="88"/>
        <v>0</v>
      </c>
      <c r="AP76">
        <f t="shared" si="89"/>
        <v>0</v>
      </c>
      <c r="AQ76">
        <f t="shared" si="90"/>
        <v>0</v>
      </c>
      <c r="AR76">
        <f t="shared" si="91"/>
        <v>0</v>
      </c>
      <c r="AS76">
        <f t="shared" si="92"/>
        <v>0</v>
      </c>
      <c r="AT76">
        <f t="shared" si="93"/>
        <v>0</v>
      </c>
      <c r="AU76">
        <f t="shared" si="94"/>
        <v>0</v>
      </c>
      <c r="AV76">
        <f t="shared" si="95"/>
        <v>0</v>
      </c>
      <c r="AW76">
        <f t="shared" si="49"/>
        <v>0</v>
      </c>
      <c r="AX76">
        <f t="shared" si="96"/>
        <v>0</v>
      </c>
      <c r="AY76">
        <f t="shared" si="97"/>
        <v>0</v>
      </c>
    </row>
    <row r="77" spans="1:51" x14ac:dyDescent="0.35">
      <c r="A77">
        <v>71</v>
      </c>
      <c r="C77">
        <f t="shared" si="50"/>
        <v>0</v>
      </c>
      <c r="D77">
        <f t="shared" si="51"/>
        <v>0</v>
      </c>
      <c r="E77">
        <f t="shared" si="52"/>
        <v>0</v>
      </c>
      <c r="F77">
        <f t="shared" si="53"/>
        <v>0</v>
      </c>
      <c r="G77">
        <f t="shared" si="54"/>
        <v>0</v>
      </c>
      <c r="H77">
        <f t="shared" si="55"/>
        <v>0</v>
      </c>
      <c r="I77">
        <f t="shared" si="56"/>
        <v>0</v>
      </c>
      <c r="J77">
        <f t="shared" si="57"/>
        <v>0</v>
      </c>
      <c r="K77">
        <f t="shared" si="58"/>
        <v>0</v>
      </c>
      <c r="L77">
        <f t="shared" si="59"/>
        <v>0</v>
      </c>
      <c r="M77">
        <f t="shared" si="60"/>
        <v>0</v>
      </c>
      <c r="N77">
        <f t="shared" si="61"/>
        <v>0</v>
      </c>
      <c r="O77">
        <f t="shared" si="62"/>
        <v>0</v>
      </c>
      <c r="P77">
        <f t="shared" si="63"/>
        <v>0</v>
      </c>
      <c r="Q77">
        <f t="shared" si="64"/>
        <v>0</v>
      </c>
      <c r="R77">
        <f t="shared" si="65"/>
        <v>0</v>
      </c>
      <c r="S77">
        <f t="shared" si="66"/>
        <v>0</v>
      </c>
      <c r="T77">
        <f t="shared" si="67"/>
        <v>0</v>
      </c>
      <c r="U77">
        <f t="shared" si="68"/>
        <v>0</v>
      </c>
      <c r="V77">
        <f t="shared" si="69"/>
        <v>0</v>
      </c>
      <c r="W77">
        <f t="shared" si="70"/>
        <v>0</v>
      </c>
      <c r="X77">
        <f t="shared" si="71"/>
        <v>0</v>
      </c>
      <c r="Y77">
        <f t="shared" si="72"/>
        <v>0</v>
      </c>
      <c r="Z77">
        <f t="shared" si="73"/>
        <v>0</v>
      </c>
      <c r="AA77">
        <f t="shared" si="74"/>
        <v>0</v>
      </c>
      <c r="AB77">
        <f t="shared" si="75"/>
        <v>0</v>
      </c>
      <c r="AC77">
        <f t="shared" si="76"/>
        <v>0</v>
      </c>
      <c r="AD77">
        <f t="shared" si="77"/>
        <v>0</v>
      </c>
      <c r="AE77">
        <f t="shared" si="78"/>
        <v>0</v>
      </c>
      <c r="AF77">
        <f t="shared" si="79"/>
        <v>0</v>
      </c>
      <c r="AG77">
        <f t="shared" si="80"/>
        <v>0</v>
      </c>
      <c r="AH77">
        <f t="shared" si="81"/>
        <v>0</v>
      </c>
      <c r="AI77">
        <f t="shared" si="82"/>
        <v>0</v>
      </c>
      <c r="AJ77">
        <f t="shared" si="83"/>
        <v>0</v>
      </c>
      <c r="AK77">
        <f t="shared" si="84"/>
        <v>0</v>
      </c>
      <c r="AL77">
        <f t="shared" si="85"/>
        <v>0</v>
      </c>
      <c r="AM77">
        <f t="shared" si="86"/>
        <v>0</v>
      </c>
      <c r="AN77">
        <f t="shared" si="87"/>
        <v>0</v>
      </c>
      <c r="AO77">
        <f t="shared" si="88"/>
        <v>0</v>
      </c>
      <c r="AP77">
        <f t="shared" si="89"/>
        <v>0</v>
      </c>
      <c r="AQ77">
        <f t="shared" si="90"/>
        <v>0</v>
      </c>
      <c r="AR77">
        <f t="shared" si="91"/>
        <v>0</v>
      </c>
      <c r="AS77">
        <f t="shared" si="92"/>
        <v>0</v>
      </c>
      <c r="AT77">
        <f t="shared" si="93"/>
        <v>0</v>
      </c>
      <c r="AU77">
        <f t="shared" si="94"/>
        <v>0</v>
      </c>
      <c r="AV77">
        <f t="shared" si="95"/>
        <v>0</v>
      </c>
      <c r="AW77">
        <f t="shared" si="49"/>
        <v>0</v>
      </c>
      <c r="AX77">
        <f t="shared" si="96"/>
        <v>0</v>
      </c>
      <c r="AY77">
        <f t="shared" si="97"/>
        <v>0</v>
      </c>
    </row>
    <row r="78" spans="1:51" x14ac:dyDescent="0.35">
      <c r="A78">
        <v>72</v>
      </c>
      <c r="C78">
        <f t="shared" si="50"/>
        <v>0</v>
      </c>
      <c r="D78">
        <f t="shared" si="51"/>
        <v>0</v>
      </c>
      <c r="E78">
        <f t="shared" si="52"/>
        <v>0</v>
      </c>
      <c r="F78">
        <f t="shared" si="53"/>
        <v>0</v>
      </c>
      <c r="G78">
        <f t="shared" si="54"/>
        <v>0</v>
      </c>
      <c r="H78">
        <f t="shared" si="55"/>
        <v>0</v>
      </c>
      <c r="I78">
        <f t="shared" si="56"/>
        <v>0</v>
      </c>
      <c r="J78">
        <f t="shared" si="57"/>
        <v>0</v>
      </c>
      <c r="K78">
        <f t="shared" si="58"/>
        <v>0</v>
      </c>
      <c r="L78">
        <f t="shared" si="59"/>
        <v>0</v>
      </c>
      <c r="M78">
        <f t="shared" si="60"/>
        <v>0</v>
      </c>
      <c r="N78">
        <f t="shared" si="61"/>
        <v>0</v>
      </c>
      <c r="O78">
        <f t="shared" si="62"/>
        <v>0</v>
      </c>
      <c r="P78">
        <f t="shared" si="63"/>
        <v>0</v>
      </c>
      <c r="Q78">
        <f t="shared" si="64"/>
        <v>0</v>
      </c>
      <c r="R78">
        <f t="shared" si="65"/>
        <v>0</v>
      </c>
      <c r="S78">
        <f t="shared" si="66"/>
        <v>0</v>
      </c>
      <c r="T78">
        <f t="shared" si="67"/>
        <v>0</v>
      </c>
      <c r="U78">
        <f t="shared" si="68"/>
        <v>0</v>
      </c>
      <c r="V78">
        <f t="shared" si="69"/>
        <v>0</v>
      </c>
      <c r="W78">
        <f t="shared" si="70"/>
        <v>0</v>
      </c>
      <c r="X78">
        <f t="shared" si="71"/>
        <v>0</v>
      </c>
      <c r="Y78">
        <f t="shared" si="72"/>
        <v>0</v>
      </c>
      <c r="Z78">
        <f t="shared" si="73"/>
        <v>0</v>
      </c>
      <c r="AA78">
        <f t="shared" si="74"/>
        <v>0</v>
      </c>
      <c r="AB78">
        <f t="shared" si="75"/>
        <v>0</v>
      </c>
      <c r="AC78">
        <f t="shared" si="76"/>
        <v>0</v>
      </c>
      <c r="AD78">
        <f t="shared" si="77"/>
        <v>0</v>
      </c>
      <c r="AE78">
        <f t="shared" si="78"/>
        <v>0</v>
      </c>
      <c r="AF78">
        <f t="shared" si="79"/>
        <v>0</v>
      </c>
      <c r="AG78">
        <f t="shared" si="80"/>
        <v>0</v>
      </c>
      <c r="AH78">
        <f t="shared" si="81"/>
        <v>0</v>
      </c>
      <c r="AI78">
        <f t="shared" si="82"/>
        <v>0</v>
      </c>
      <c r="AJ78">
        <f t="shared" si="83"/>
        <v>0</v>
      </c>
      <c r="AK78">
        <f t="shared" si="84"/>
        <v>0</v>
      </c>
      <c r="AL78">
        <f t="shared" si="85"/>
        <v>0</v>
      </c>
      <c r="AM78">
        <f t="shared" si="86"/>
        <v>0</v>
      </c>
      <c r="AN78">
        <f t="shared" si="87"/>
        <v>0</v>
      </c>
      <c r="AO78">
        <f t="shared" si="88"/>
        <v>0</v>
      </c>
      <c r="AP78">
        <f t="shared" si="89"/>
        <v>0</v>
      </c>
      <c r="AQ78">
        <f t="shared" si="90"/>
        <v>0</v>
      </c>
      <c r="AR78">
        <f t="shared" si="91"/>
        <v>0</v>
      </c>
      <c r="AS78">
        <f t="shared" si="92"/>
        <v>0</v>
      </c>
      <c r="AT78">
        <f t="shared" si="93"/>
        <v>0</v>
      </c>
      <c r="AU78">
        <f t="shared" si="94"/>
        <v>0</v>
      </c>
      <c r="AV78">
        <f t="shared" si="95"/>
        <v>0</v>
      </c>
      <c r="AW78">
        <f t="shared" si="49"/>
        <v>0</v>
      </c>
      <c r="AX78">
        <f t="shared" si="96"/>
        <v>0</v>
      </c>
      <c r="AY78">
        <f t="shared" si="97"/>
        <v>0</v>
      </c>
    </row>
    <row r="79" spans="1:51" x14ac:dyDescent="0.35">
      <c r="A79">
        <v>73</v>
      </c>
      <c r="C79">
        <f t="shared" si="50"/>
        <v>0</v>
      </c>
      <c r="D79">
        <f t="shared" si="51"/>
        <v>0</v>
      </c>
      <c r="E79">
        <f t="shared" si="52"/>
        <v>0</v>
      </c>
      <c r="F79">
        <f t="shared" si="53"/>
        <v>0</v>
      </c>
      <c r="G79">
        <f t="shared" si="54"/>
        <v>0</v>
      </c>
      <c r="H79">
        <f t="shared" si="55"/>
        <v>0</v>
      </c>
      <c r="I79">
        <f t="shared" si="56"/>
        <v>0</v>
      </c>
      <c r="J79">
        <f t="shared" si="57"/>
        <v>0</v>
      </c>
      <c r="K79">
        <f t="shared" si="58"/>
        <v>0</v>
      </c>
      <c r="L79">
        <f t="shared" si="59"/>
        <v>0</v>
      </c>
      <c r="M79">
        <f t="shared" si="60"/>
        <v>0</v>
      </c>
      <c r="N79">
        <f t="shared" si="61"/>
        <v>0</v>
      </c>
      <c r="O79">
        <f t="shared" si="62"/>
        <v>0</v>
      </c>
      <c r="P79">
        <f t="shared" si="63"/>
        <v>0</v>
      </c>
      <c r="Q79">
        <f t="shared" si="64"/>
        <v>0</v>
      </c>
      <c r="R79">
        <f t="shared" si="65"/>
        <v>0</v>
      </c>
      <c r="S79">
        <f t="shared" si="66"/>
        <v>0</v>
      </c>
      <c r="T79">
        <f t="shared" si="67"/>
        <v>0</v>
      </c>
      <c r="U79">
        <f t="shared" si="68"/>
        <v>0</v>
      </c>
      <c r="V79">
        <f t="shared" si="69"/>
        <v>0</v>
      </c>
      <c r="W79">
        <f t="shared" si="70"/>
        <v>0</v>
      </c>
      <c r="X79">
        <f t="shared" si="71"/>
        <v>0</v>
      </c>
      <c r="Y79">
        <f t="shared" si="72"/>
        <v>0</v>
      </c>
      <c r="Z79">
        <f t="shared" si="73"/>
        <v>0</v>
      </c>
      <c r="AA79">
        <f t="shared" si="74"/>
        <v>0</v>
      </c>
      <c r="AB79">
        <f t="shared" si="75"/>
        <v>0</v>
      </c>
      <c r="AC79">
        <f t="shared" si="76"/>
        <v>0</v>
      </c>
      <c r="AD79">
        <f t="shared" si="77"/>
        <v>0</v>
      </c>
      <c r="AE79">
        <f t="shared" si="78"/>
        <v>0</v>
      </c>
      <c r="AF79">
        <f t="shared" si="79"/>
        <v>0</v>
      </c>
      <c r="AG79">
        <f t="shared" si="80"/>
        <v>0</v>
      </c>
      <c r="AH79">
        <f t="shared" si="81"/>
        <v>0</v>
      </c>
      <c r="AI79">
        <f t="shared" si="82"/>
        <v>0</v>
      </c>
      <c r="AJ79">
        <f t="shared" si="83"/>
        <v>0</v>
      </c>
      <c r="AK79">
        <f t="shared" si="84"/>
        <v>0</v>
      </c>
      <c r="AL79">
        <f t="shared" si="85"/>
        <v>0</v>
      </c>
      <c r="AM79">
        <f t="shared" si="86"/>
        <v>0</v>
      </c>
      <c r="AN79">
        <f t="shared" si="87"/>
        <v>0</v>
      </c>
      <c r="AO79">
        <f t="shared" si="88"/>
        <v>0</v>
      </c>
      <c r="AP79">
        <f t="shared" si="89"/>
        <v>0</v>
      </c>
      <c r="AQ79">
        <f t="shared" si="90"/>
        <v>0</v>
      </c>
      <c r="AR79">
        <f t="shared" si="91"/>
        <v>0</v>
      </c>
      <c r="AS79">
        <f t="shared" si="92"/>
        <v>0</v>
      </c>
      <c r="AT79">
        <f t="shared" si="93"/>
        <v>0</v>
      </c>
      <c r="AU79">
        <f t="shared" si="94"/>
        <v>0</v>
      </c>
      <c r="AV79">
        <f t="shared" si="95"/>
        <v>0</v>
      </c>
      <c r="AW79">
        <f t="shared" si="49"/>
        <v>0</v>
      </c>
      <c r="AX79">
        <f t="shared" si="96"/>
        <v>0</v>
      </c>
      <c r="AY79">
        <f t="shared" si="97"/>
        <v>0</v>
      </c>
    </row>
    <row r="80" spans="1:51" x14ac:dyDescent="0.35">
      <c r="A80">
        <v>74</v>
      </c>
      <c r="C80">
        <f t="shared" si="50"/>
        <v>0</v>
      </c>
      <c r="D80">
        <f t="shared" si="51"/>
        <v>0</v>
      </c>
      <c r="E80">
        <f t="shared" si="52"/>
        <v>0</v>
      </c>
      <c r="F80">
        <f t="shared" si="53"/>
        <v>0</v>
      </c>
      <c r="G80">
        <f t="shared" si="54"/>
        <v>0</v>
      </c>
      <c r="H80">
        <f t="shared" si="55"/>
        <v>0</v>
      </c>
      <c r="I80">
        <f t="shared" si="56"/>
        <v>0</v>
      </c>
      <c r="J80">
        <f t="shared" si="57"/>
        <v>0</v>
      </c>
      <c r="K80">
        <f t="shared" si="58"/>
        <v>0</v>
      </c>
      <c r="L80">
        <f t="shared" si="59"/>
        <v>0</v>
      </c>
      <c r="M80">
        <f t="shared" si="60"/>
        <v>0</v>
      </c>
      <c r="N80">
        <f t="shared" si="61"/>
        <v>0</v>
      </c>
      <c r="O80">
        <f t="shared" si="62"/>
        <v>0</v>
      </c>
      <c r="P80">
        <f t="shared" si="63"/>
        <v>0</v>
      </c>
      <c r="Q80">
        <f t="shared" si="64"/>
        <v>0</v>
      </c>
      <c r="R80">
        <f t="shared" si="65"/>
        <v>0</v>
      </c>
      <c r="S80">
        <f t="shared" si="66"/>
        <v>0</v>
      </c>
      <c r="T80">
        <f t="shared" si="67"/>
        <v>0</v>
      </c>
      <c r="U80">
        <f t="shared" si="68"/>
        <v>0</v>
      </c>
      <c r="V80">
        <f t="shared" si="69"/>
        <v>0</v>
      </c>
      <c r="W80">
        <f t="shared" si="70"/>
        <v>0</v>
      </c>
      <c r="X80">
        <f t="shared" si="71"/>
        <v>0</v>
      </c>
      <c r="Y80">
        <f t="shared" si="72"/>
        <v>0</v>
      </c>
      <c r="Z80">
        <f t="shared" si="73"/>
        <v>0</v>
      </c>
      <c r="AA80">
        <f t="shared" si="74"/>
        <v>0</v>
      </c>
      <c r="AB80">
        <f t="shared" si="75"/>
        <v>0</v>
      </c>
      <c r="AC80">
        <f t="shared" si="76"/>
        <v>0</v>
      </c>
      <c r="AD80">
        <f t="shared" si="77"/>
        <v>0</v>
      </c>
      <c r="AE80">
        <f t="shared" si="78"/>
        <v>0</v>
      </c>
      <c r="AF80">
        <f t="shared" si="79"/>
        <v>0</v>
      </c>
      <c r="AG80">
        <f t="shared" si="80"/>
        <v>0</v>
      </c>
      <c r="AH80">
        <f t="shared" si="81"/>
        <v>0</v>
      </c>
      <c r="AI80">
        <f t="shared" si="82"/>
        <v>0</v>
      </c>
      <c r="AJ80">
        <f t="shared" si="83"/>
        <v>0</v>
      </c>
      <c r="AK80">
        <f t="shared" si="84"/>
        <v>0</v>
      </c>
      <c r="AL80">
        <f t="shared" si="85"/>
        <v>0</v>
      </c>
      <c r="AM80">
        <f t="shared" si="86"/>
        <v>0</v>
      </c>
      <c r="AN80">
        <f t="shared" si="87"/>
        <v>0</v>
      </c>
      <c r="AO80">
        <f t="shared" si="88"/>
        <v>0</v>
      </c>
      <c r="AP80">
        <f t="shared" si="89"/>
        <v>0</v>
      </c>
      <c r="AQ80">
        <f t="shared" si="90"/>
        <v>0</v>
      </c>
      <c r="AR80">
        <f t="shared" si="91"/>
        <v>0</v>
      </c>
      <c r="AS80">
        <f t="shared" si="92"/>
        <v>0</v>
      </c>
      <c r="AT80">
        <f t="shared" si="93"/>
        <v>0</v>
      </c>
      <c r="AU80">
        <f t="shared" si="94"/>
        <v>0</v>
      </c>
      <c r="AV80">
        <f t="shared" si="95"/>
        <v>0</v>
      </c>
      <c r="AW80">
        <f t="shared" si="49"/>
        <v>0</v>
      </c>
      <c r="AX80">
        <f t="shared" si="96"/>
        <v>0</v>
      </c>
      <c r="AY80">
        <f t="shared" si="97"/>
        <v>0</v>
      </c>
    </row>
    <row r="81" spans="1:51" x14ac:dyDescent="0.35">
      <c r="A81">
        <v>75</v>
      </c>
      <c r="C81">
        <f t="shared" si="50"/>
        <v>0</v>
      </c>
      <c r="D81">
        <f t="shared" si="51"/>
        <v>0</v>
      </c>
      <c r="E81">
        <f t="shared" si="52"/>
        <v>0</v>
      </c>
      <c r="F81">
        <f t="shared" si="53"/>
        <v>0</v>
      </c>
      <c r="G81">
        <f t="shared" si="54"/>
        <v>0</v>
      </c>
      <c r="H81">
        <f t="shared" si="55"/>
        <v>0</v>
      </c>
      <c r="I81">
        <f t="shared" si="56"/>
        <v>0</v>
      </c>
      <c r="J81">
        <f t="shared" si="57"/>
        <v>0</v>
      </c>
      <c r="K81">
        <f t="shared" si="58"/>
        <v>0</v>
      </c>
      <c r="L81">
        <f t="shared" si="59"/>
        <v>0</v>
      </c>
      <c r="M81">
        <f t="shared" si="60"/>
        <v>0</v>
      </c>
      <c r="N81">
        <f t="shared" si="61"/>
        <v>0</v>
      </c>
      <c r="O81">
        <f t="shared" si="62"/>
        <v>0</v>
      </c>
      <c r="P81">
        <f t="shared" si="63"/>
        <v>0</v>
      </c>
      <c r="Q81">
        <f t="shared" si="64"/>
        <v>0</v>
      </c>
      <c r="R81">
        <f t="shared" si="65"/>
        <v>0</v>
      </c>
      <c r="S81">
        <f t="shared" si="66"/>
        <v>0</v>
      </c>
      <c r="T81">
        <f t="shared" si="67"/>
        <v>0</v>
      </c>
      <c r="U81">
        <f t="shared" si="68"/>
        <v>0</v>
      </c>
      <c r="V81">
        <f t="shared" si="69"/>
        <v>0</v>
      </c>
      <c r="W81">
        <f t="shared" si="70"/>
        <v>0</v>
      </c>
      <c r="X81">
        <f t="shared" si="71"/>
        <v>0</v>
      </c>
      <c r="Y81">
        <f t="shared" si="72"/>
        <v>0</v>
      </c>
      <c r="Z81">
        <f t="shared" si="73"/>
        <v>0</v>
      </c>
      <c r="AA81">
        <f t="shared" si="74"/>
        <v>0</v>
      </c>
      <c r="AB81">
        <f t="shared" si="75"/>
        <v>0</v>
      </c>
      <c r="AC81">
        <f t="shared" si="76"/>
        <v>0</v>
      </c>
      <c r="AD81">
        <f t="shared" si="77"/>
        <v>0</v>
      </c>
      <c r="AE81">
        <f t="shared" si="78"/>
        <v>0</v>
      </c>
      <c r="AF81">
        <f t="shared" si="79"/>
        <v>0</v>
      </c>
      <c r="AG81">
        <f t="shared" si="80"/>
        <v>0</v>
      </c>
      <c r="AH81">
        <f t="shared" si="81"/>
        <v>0</v>
      </c>
      <c r="AI81">
        <f t="shared" si="82"/>
        <v>0</v>
      </c>
      <c r="AJ81">
        <f t="shared" si="83"/>
        <v>0</v>
      </c>
      <c r="AK81">
        <f t="shared" si="84"/>
        <v>0</v>
      </c>
      <c r="AL81">
        <f t="shared" si="85"/>
        <v>0</v>
      </c>
      <c r="AM81">
        <f t="shared" si="86"/>
        <v>0</v>
      </c>
      <c r="AN81">
        <f t="shared" si="87"/>
        <v>0</v>
      </c>
      <c r="AO81">
        <f t="shared" si="88"/>
        <v>0</v>
      </c>
      <c r="AP81">
        <f t="shared" si="89"/>
        <v>0</v>
      </c>
      <c r="AQ81">
        <f t="shared" si="90"/>
        <v>0</v>
      </c>
      <c r="AR81">
        <f t="shared" si="91"/>
        <v>0</v>
      </c>
      <c r="AS81">
        <f t="shared" si="92"/>
        <v>0</v>
      </c>
      <c r="AT81">
        <f t="shared" si="93"/>
        <v>0</v>
      </c>
      <c r="AU81">
        <f t="shared" si="94"/>
        <v>0</v>
      </c>
      <c r="AV81">
        <f t="shared" si="95"/>
        <v>0</v>
      </c>
      <c r="AW81">
        <f t="shared" si="49"/>
        <v>0</v>
      </c>
      <c r="AX81">
        <f t="shared" si="96"/>
        <v>0</v>
      </c>
      <c r="AY81">
        <f t="shared" si="97"/>
        <v>0</v>
      </c>
    </row>
    <row r="82" spans="1:51" x14ac:dyDescent="0.35">
      <c r="A82">
        <v>76</v>
      </c>
      <c r="C82">
        <f t="shared" si="50"/>
        <v>0</v>
      </c>
      <c r="D82">
        <f t="shared" si="51"/>
        <v>0</v>
      </c>
      <c r="E82">
        <f t="shared" si="52"/>
        <v>0</v>
      </c>
      <c r="F82">
        <f t="shared" si="53"/>
        <v>0</v>
      </c>
      <c r="G82">
        <f t="shared" si="54"/>
        <v>0</v>
      </c>
      <c r="H82">
        <f t="shared" si="55"/>
        <v>0</v>
      </c>
      <c r="I82">
        <f t="shared" si="56"/>
        <v>0</v>
      </c>
      <c r="J82">
        <f t="shared" si="57"/>
        <v>0</v>
      </c>
      <c r="K82">
        <f t="shared" si="58"/>
        <v>0</v>
      </c>
      <c r="L82">
        <f t="shared" si="59"/>
        <v>0</v>
      </c>
      <c r="M82">
        <f t="shared" si="60"/>
        <v>0</v>
      </c>
      <c r="N82">
        <f t="shared" si="61"/>
        <v>0</v>
      </c>
      <c r="O82">
        <f t="shared" si="62"/>
        <v>0</v>
      </c>
      <c r="P82">
        <f t="shared" si="63"/>
        <v>0</v>
      </c>
      <c r="Q82">
        <f t="shared" si="64"/>
        <v>0</v>
      </c>
      <c r="R82">
        <f t="shared" si="65"/>
        <v>0</v>
      </c>
      <c r="S82">
        <f t="shared" si="66"/>
        <v>0</v>
      </c>
      <c r="T82">
        <f t="shared" si="67"/>
        <v>0</v>
      </c>
      <c r="U82">
        <f t="shared" si="68"/>
        <v>0</v>
      </c>
      <c r="V82">
        <f t="shared" si="69"/>
        <v>0</v>
      </c>
      <c r="W82">
        <f t="shared" si="70"/>
        <v>0</v>
      </c>
      <c r="X82">
        <f t="shared" si="71"/>
        <v>0</v>
      </c>
      <c r="Y82">
        <f t="shared" si="72"/>
        <v>0</v>
      </c>
      <c r="Z82">
        <f t="shared" si="73"/>
        <v>0</v>
      </c>
      <c r="AA82">
        <f t="shared" si="74"/>
        <v>0</v>
      </c>
      <c r="AB82">
        <f t="shared" si="75"/>
        <v>0</v>
      </c>
      <c r="AC82">
        <f t="shared" si="76"/>
        <v>0</v>
      </c>
      <c r="AD82">
        <f t="shared" si="77"/>
        <v>0</v>
      </c>
      <c r="AE82">
        <f t="shared" si="78"/>
        <v>0</v>
      </c>
      <c r="AF82">
        <f t="shared" si="79"/>
        <v>0</v>
      </c>
      <c r="AG82">
        <f t="shared" si="80"/>
        <v>0</v>
      </c>
      <c r="AH82">
        <f t="shared" si="81"/>
        <v>0</v>
      </c>
      <c r="AI82">
        <f t="shared" si="82"/>
        <v>0</v>
      </c>
      <c r="AJ82">
        <f t="shared" si="83"/>
        <v>0</v>
      </c>
      <c r="AK82">
        <f t="shared" si="84"/>
        <v>0</v>
      </c>
      <c r="AL82">
        <f t="shared" si="85"/>
        <v>0</v>
      </c>
      <c r="AM82">
        <f t="shared" si="86"/>
        <v>0</v>
      </c>
      <c r="AN82">
        <f t="shared" si="87"/>
        <v>0</v>
      </c>
      <c r="AO82">
        <f t="shared" si="88"/>
        <v>0</v>
      </c>
      <c r="AP82">
        <f t="shared" si="89"/>
        <v>0</v>
      </c>
      <c r="AQ82">
        <f t="shared" si="90"/>
        <v>0</v>
      </c>
      <c r="AR82">
        <f t="shared" si="91"/>
        <v>0</v>
      </c>
      <c r="AS82">
        <f t="shared" si="92"/>
        <v>0</v>
      </c>
      <c r="AT82">
        <f t="shared" si="93"/>
        <v>0</v>
      </c>
      <c r="AU82">
        <f t="shared" si="94"/>
        <v>0</v>
      </c>
      <c r="AV82">
        <f t="shared" si="95"/>
        <v>0</v>
      </c>
      <c r="AW82">
        <f t="shared" si="49"/>
        <v>0</v>
      </c>
      <c r="AX82">
        <f t="shared" si="96"/>
        <v>0</v>
      </c>
      <c r="AY82">
        <f t="shared" si="97"/>
        <v>0</v>
      </c>
    </row>
    <row r="83" spans="1:51" x14ac:dyDescent="0.35">
      <c r="A83">
        <v>77</v>
      </c>
      <c r="C83">
        <f t="shared" si="50"/>
        <v>0</v>
      </c>
      <c r="D83">
        <f t="shared" si="51"/>
        <v>0</v>
      </c>
      <c r="E83">
        <f t="shared" si="52"/>
        <v>0</v>
      </c>
      <c r="F83">
        <f t="shared" si="53"/>
        <v>0</v>
      </c>
      <c r="G83">
        <f t="shared" si="54"/>
        <v>0</v>
      </c>
      <c r="H83">
        <f t="shared" si="55"/>
        <v>0</v>
      </c>
      <c r="I83">
        <f t="shared" si="56"/>
        <v>0</v>
      </c>
      <c r="J83">
        <f t="shared" si="57"/>
        <v>0</v>
      </c>
      <c r="K83">
        <f t="shared" si="58"/>
        <v>0</v>
      </c>
      <c r="L83">
        <f t="shared" si="59"/>
        <v>0</v>
      </c>
      <c r="M83">
        <f t="shared" si="60"/>
        <v>0</v>
      </c>
      <c r="N83">
        <f t="shared" si="61"/>
        <v>0</v>
      </c>
      <c r="O83">
        <f t="shared" si="62"/>
        <v>0</v>
      </c>
      <c r="P83">
        <f t="shared" si="63"/>
        <v>0</v>
      </c>
      <c r="Q83">
        <f t="shared" si="64"/>
        <v>0</v>
      </c>
      <c r="R83">
        <f t="shared" si="65"/>
        <v>0</v>
      </c>
      <c r="S83">
        <f t="shared" si="66"/>
        <v>0</v>
      </c>
      <c r="T83">
        <f t="shared" si="67"/>
        <v>0</v>
      </c>
      <c r="U83">
        <f t="shared" si="68"/>
        <v>0</v>
      </c>
      <c r="V83">
        <f t="shared" si="69"/>
        <v>0</v>
      </c>
      <c r="W83">
        <f t="shared" si="70"/>
        <v>0</v>
      </c>
      <c r="X83">
        <f t="shared" si="71"/>
        <v>0</v>
      </c>
      <c r="Y83">
        <f t="shared" si="72"/>
        <v>0</v>
      </c>
      <c r="Z83">
        <f t="shared" si="73"/>
        <v>0</v>
      </c>
      <c r="AA83">
        <f t="shared" si="74"/>
        <v>0</v>
      </c>
      <c r="AB83">
        <f t="shared" si="75"/>
        <v>0</v>
      </c>
      <c r="AC83">
        <f t="shared" si="76"/>
        <v>0</v>
      </c>
      <c r="AD83">
        <f t="shared" si="77"/>
        <v>0</v>
      </c>
      <c r="AE83">
        <f t="shared" si="78"/>
        <v>0</v>
      </c>
      <c r="AF83">
        <f t="shared" si="79"/>
        <v>0</v>
      </c>
      <c r="AG83">
        <f t="shared" si="80"/>
        <v>0</v>
      </c>
      <c r="AH83">
        <f t="shared" si="81"/>
        <v>0</v>
      </c>
      <c r="AI83">
        <f t="shared" si="82"/>
        <v>0</v>
      </c>
      <c r="AJ83">
        <f t="shared" si="83"/>
        <v>0</v>
      </c>
      <c r="AK83">
        <f t="shared" si="84"/>
        <v>0</v>
      </c>
      <c r="AL83">
        <f t="shared" si="85"/>
        <v>0</v>
      </c>
      <c r="AM83">
        <f t="shared" si="86"/>
        <v>0</v>
      </c>
      <c r="AN83">
        <f t="shared" si="87"/>
        <v>0</v>
      </c>
      <c r="AO83">
        <f t="shared" si="88"/>
        <v>0</v>
      </c>
      <c r="AP83">
        <f t="shared" si="89"/>
        <v>0</v>
      </c>
      <c r="AQ83">
        <f t="shared" si="90"/>
        <v>0</v>
      </c>
      <c r="AR83">
        <f t="shared" si="91"/>
        <v>0</v>
      </c>
      <c r="AS83">
        <f t="shared" si="92"/>
        <v>0</v>
      </c>
      <c r="AT83">
        <f t="shared" si="93"/>
        <v>0</v>
      </c>
      <c r="AU83">
        <f t="shared" si="94"/>
        <v>0</v>
      </c>
      <c r="AV83">
        <f t="shared" si="95"/>
        <v>0</v>
      </c>
      <c r="AW83">
        <f t="shared" si="49"/>
        <v>0</v>
      </c>
      <c r="AX83">
        <f t="shared" si="96"/>
        <v>0</v>
      </c>
      <c r="AY83">
        <f t="shared" si="97"/>
        <v>0</v>
      </c>
    </row>
    <row r="84" spans="1:51" x14ac:dyDescent="0.35">
      <c r="A84">
        <v>78</v>
      </c>
      <c r="C84">
        <f t="shared" si="50"/>
        <v>0</v>
      </c>
      <c r="D84">
        <f t="shared" si="51"/>
        <v>0</v>
      </c>
      <c r="E84">
        <f t="shared" si="52"/>
        <v>0</v>
      </c>
      <c r="F84">
        <f t="shared" si="53"/>
        <v>0</v>
      </c>
      <c r="G84">
        <f t="shared" si="54"/>
        <v>0</v>
      </c>
      <c r="H84">
        <f t="shared" si="55"/>
        <v>0</v>
      </c>
      <c r="I84">
        <f t="shared" si="56"/>
        <v>0</v>
      </c>
      <c r="J84">
        <f t="shared" si="57"/>
        <v>0</v>
      </c>
      <c r="K84">
        <f t="shared" si="58"/>
        <v>0</v>
      </c>
      <c r="L84">
        <f t="shared" si="59"/>
        <v>0</v>
      </c>
      <c r="M84">
        <f t="shared" si="60"/>
        <v>0</v>
      </c>
      <c r="N84">
        <f t="shared" si="61"/>
        <v>0</v>
      </c>
      <c r="O84">
        <f t="shared" si="62"/>
        <v>0</v>
      </c>
      <c r="P84">
        <f t="shared" si="63"/>
        <v>0</v>
      </c>
      <c r="Q84">
        <f t="shared" si="64"/>
        <v>0</v>
      </c>
      <c r="R84">
        <f t="shared" si="65"/>
        <v>0</v>
      </c>
      <c r="S84">
        <f t="shared" si="66"/>
        <v>0</v>
      </c>
      <c r="T84">
        <f t="shared" si="67"/>
        <v>0</v>
      </c>
      <c r="U84">
        <f t="shared" si="68"/>
        <v>0</v>
      </c>
      <c r="V84">
        <f t="shared" si="69"/>
        <v>0</v>
      </c>
      <c r="W84">
        <f t="shared" si="70"/>
        <v>0</v>
      </c>
      <c r="X84">
        <f t="shared" si="71"/>
        <v>0</v>
      </c>
      <c r="Y84">
        <f t="shared" si="72"/>
        <v>0</v>
      </c>
      <c r="Z84">
        <f t="shared" si="73"/>
        <v>0</v>
      </c>
      <c r="AA84">
        <f t="shared" si="74"/>
        <v>0</v>
      </c>
      <c r="AB84">
        <f t="shared" si="75"/>
        <v>0</v>
      </c>
      <c r="AC84">
        <f t="shared" si="76"/>
        <v>0</v>
      </c>
      <c r="AD84">
        <f t="shared" si="77"/>
        <v>0</v>
      </c>
      <c r="AE84">
        <f t="shared" si="78"/>
        <v>0</v>
      </c>
      <c r="AF84">
        <f t="shared" si="79"/>
        <v>0</v>
      </c>
      <c r="AG84">
        <f t="shared" si="80"/>
        <v>0</v>
      </c>
      <c r="AH84">
        <f t="shared" si="81"/>
        <v>0</v>
      </c>
      <c r="AI84">
        <f t="shared" si="82"/>
        <v>0</v>
      </c>
      <c r="AJ84">
        <f t="shared" si="83"/>
        <v>0</v>
      </c>
      <c r="AK84">
        <f t="shared" si="84"/>
        <v>0</v>
      </c>
      <c r="AL84">
        <f t="shared" si="85"/>
        <v>0</v>
      </c>
      <c r="AM84">
        <f t="shared" si="86"/>
        <v>0</v>
      </c>
      <c r="AN84">
        <f t="shared" si="87"/>
        <v>0</v>
      </c>
      <c r="AO84">
        <f t="shared" si="88"/>
        <v>0</v>
      </c>
      <c r="AP84">
        <f t="shared" si="89"/>
        <v>0</v>
      </c>
      <c r="AQ84">
        <f t="shared" si="90"/>
        <v>0</v>
      </c>
      <c r="AR84">
        <f t="shared" si="91"/>
        <v>0</v>
      </c>
      <c r="AS84">
        <f t="shared" si="92"/>
        <v>0</v>
      </c>
      <c r="AT84">
        <f t="shared" si="93"/>
        <v>0</v>
      </c>
      <c r="AU84">
        <f t="shared" si="94"/>
        <v>0</v>
      </c>
      <c r="AV84">
        <f t="shared" si="95"/>
        <v>0</v>
      </c>
      <c r="AW84">
        <f t="shared" si="49"/>
        <v>0</v>
      </c>
      <c r="AX84">
        <f t="shared" si="96"/>
        <v>0</v>
      </c>
      <c r="AY84">
        <f t="shared" si="97"/>
        <v>0</v>
      </c>
    </row>
    <row r="85" spans="1:51" x14ac:dyDescent="0.35">
      <c r="A85">
        <v>79</v>
      </c>
      <c r="C85">
        <f t="shared" si="50"/>
        <v>0</v>
      </c>
      <c r="D85">
        <f t="shared" si="51"/>
        <v>0</v>
      </c>
      <c r="E85">
        <f t="shared" si="52"/>
        <v>0</v>
      </c>
      <c r="F85">
        <f t="shared" si="53"/>
        <v>0</v>
      </c>
      <c r="G85">
        <f t="shared" si="54"/>
        <v>0</v>
      </c>
      <c r="H85">
        <f t="shared" si="55"/>
        <v>0</v>
      </c>
      <c r="I85">
        <f t="shared" si="56"/>
        <v>0</v>
      </c>
      <c r="J85">
        <f t="shared" si="57"/>
        <v>0</v>
      </c>
      <c r="K85">
        <f t="shared" si="58"/>
        <v>0</v>
      </c>
      <c r="L85">
        <f t="shared" si="59"/>
        <v>0</v>
      </c>
      <c r="M85">
        <f t="shared" si="60"/>
        <v>0</v>
      </c>
      <c r="N85">
        <f t="shared" si="61"/>
        <v>0</v>
      </c>
      <c r="O85">
        <f t="shared" si="62"/>
        <v>0</v>
      </c>
      <c r="P85">
        <f t="shared" si="63"/>
        <v>0</v>
      </c>
      <c r="Q85">
        <f t="shared" si="64"/>
        <v>0</v>
      </c>
      <c r="R85">
        <f t="shared" si="65"/>
        <v>0</v>
      </c>
      <c r="S85">
        <f t="shared" si="66"/>
        <v>0</v>
      </c>
      <c r="T85">
        <f t="shared" si="67"/>
        <v>0</v>
      </c>
      <c r="U85">
        <f t="shared" si="68"/>
        <v>0</v>
      </c>
      <c r="V85">
        <f t="shared" si="69"/>
        <v>0</v>
      </c>
      <c r="W85">
        <f t="shared" si="70"/>
        <v>0</v>
      </c>
      <c r="X85">
        <f t="shared" si="71"/>
        <v>0</v>
      </c>
      <c r="Y85">
        <f t="shared" si="72"/>
        <v>0</v>
      </c>
      <c r="Z85">
        <f t="shared" si="73"/>
        <v>0</v>
      </c>
      <c r="AA85">
        <f t="shared" si="74"/>
        <v>0</v>
      </c>
      <c r="AB85">
        <f t="shared" si="75"/>
        <v>0</v>
      </c>
      <c r="AC85">
        <f t="shared" si="76"/>
        <v>0</v>
      </c>
      <c r="AD85">
        <f t="shared" si="77"/>
        <v>0</v>
      </c>
      <c r="AE85">
        <f t="shared" si="78"/>
        <v>0</v>
      </c>
      <c r="AF85">
        <f t="shared" si="79"/>
        <v>0</v>
      </c>
      <c r="AG85">
        <f t="shared" si="80"/>
        <v>0</v>
      </c>
      <c r="AH85">
        <f t="shared" si="81"/>
        <v>0</v>
      </c>
      <c r="AI85">
        <f t="shared" si="82"/>
        <v>0</v>
      </c>
      <c r="AJ85">
        <f t="shared" si="83"/>
        <v>0</v>
      </c>
      <c r="AK85">
        <f t="shared" si="84"/>
        <v>0</v>
      </c>
      <c r="AL85">
        <f t="shared" si="85"/>
        <v>0</v>
      </c>
      <c r="AM85">
        <f t="shared" si="86"/>
        <v>0</v>
      </c>
      <c r="AN85">
        <f t="shared" si="87"/>
        <v>0</v>
      </c>
      <c r="AO85">
        <f t="shared" si="88"/>
        <v>0</v>
      </c>
      <c r="AP85">
        <f t="shared" si="89"/>
        <v>0</v>
      </c>
      <c r="AQ85">
        <f t="shared" si="90"/>
        <v>0</v>
      </c>
      <c r="AR85">
        <f t="shared" si="91"/>
        <v>0</v>
      </c>
      <c r="AS85">
        <f t="shared" si="92"/>
        <v>0</v>
      </c>
      <c r="AT85">
        <f t="shared" si="93"/>
        <v>0</v>
      </c>
      <c r="AU85">
        <f t="shared" si="94"/>
        <v>0</v>
      </c>
      <c r="AV85">
        <f t="shared" si="95"/>
        <v>0</v>
      </c>
      <c r="AW85">
        <f t="shared" si="49"/>
        <v>0</v>
      </c>
      <c r="AX85">
        <f t="shared" si="96"/>
        <v>0</v>
      </c>
      <c r="AY85">
        <f t="shared" si="97"/>
        <v>0</v>
      </c>
    </row>
    <row r="86" spans="1:51" x14ac:dyDescent="0.35">
      <c r="A86">
        <v>80</v>
      </c>
      <c r="C86">
        <f t="shared" si="50"/>
        <v>0</v>
      </c>
      <c r="D86">
        <f t="shared" si="51"/>
        <v>0</v>
      </c>
      <c r="E86">
        <f t="shared" si="52"/>
        <v>0</v>
      </c>
      <c r="F86">
        <f t="shared" si="53"/>
        <v>0</v>
      </c>
      <c r="G86">
        <f t="shared" si="54"/>
        <v>0</v>
      </c>
      <c r="H86">
        <f t="shared" si="55"/>
        <v>0</v>
      </c>
      <c r="I86">
        <f t="shared" si="56"/>
        <v>0</v>
      </c>
      <c r="J86">
        <f t="shared" si="57"/>
        <v>0</v>
      </c>
      <c r="K86">
        <f t="shared" si="58"/>
        <v>0</v>
      </c>
      <c r="L86">
        <f t="shared" si="59"/>
        <v>0</v>
      </c>
      <c r="M86">
        <f t="shared" si="60"/>
        <v>0</v>
      </c>
      <c r="N86">
        <f t="shared" si="61"/>
        <v>0</v>
      </c>
      <c r="O86">
        <f t="shared" si="62"/>
        <v>0</v>
      </c>
      <c r="P86">
        <f t="shared" si="63"/>
        <v>0</v>
      </c>
      <c r="Q86">
        <f t="shared" si="64"/>
        <v>0</v>
      </c>
      <c r="R86">
        <f t="shared" si="65"/>
        <v>0</v>
      </c>
      <c r="S86">
        <f t="shared" si="66"/>
        <v>0</v>
      </c>
      <c r="T86">
        <f t="shared" si="67"/>
        <v>0</v>
      </c>
      <c r="U86">
        <f t="shared" si="68"/>
        <v>0</v>
      </c>
      <c r="V86">
        <f t="shared" si="69"/>
        <v>0</v>
      </c>
      <c r="W86">
        <f t="shared" si="70"/>
        <v>0</v>
      </c>
      <c r="X86">
        <f t="shared" si="71"/>
        <v>0</v>
      </c>
      <c r="Y86">
        <f t="shared" si="72"/>
        <v>0</v>
      </c>
      <c r="Z86">
        <f t="shared" si="73"/>
        <v>0</v>
      </c>
      <c r="AA86">
        <f t="shared" si="74"/>
        <v>0</v>
      </c>
      <c r="AB86">
        <f t="shared" si="75"/>
        <v>0</v>
      </c>
      <c r="AC86">
        <f t="shared" si="76"/>
        <v>0</v>
      </c>
      <c r="AD86">
        <f t="shared" si="77"/>
        <v>0</v>
      </c>
      <c r="AE86">
        <f t="shared" si="78"/>
        <v>0</v>
      </c>
      <c r="AF86">
        <f t="shared" si="79"/>
        <v>0</v>
      </c>
      <c r="AG86">
        <f t="shared" si="80"/>
        <v>0</v>
      </c>
      <c r="AH86">
        <f t="shared" si="81"/>
        <v>0</v>
      </c>
      <c r="AI86">
        <f t="shared" si="82"/>
        <v>0</v>
      </c>
      <c r="AJ86">
        <f t="shared" si="83"/>
        <v>0</v>
      </c>
      <c r="AK86">
        <f t="shared" si="84"/>
        <v>0</v>
      </c>
      <c r="AL86">
        <f t="shared" si="85"/>
        <v>0</v>
      </c>
      <c r="AM86">
        <f t="shared" si="86"/>
        <v>0</v>
      </c>
      <c r="AN86">
        <f t="shared" si="87"/>
        <v>0</v>
      </c>
      <c r="AO86">
        <f t="shared" si="88"/>
        <v>0</v>
      </c>
      <c r="AP86">
        <f t="shared" si="89"/>
        <v>0</v>
      </c>
      <c r="AQ86">
        <f t="shared" si="90"/>
        <v>0</v>
      </c>
      <c r="AR86">
        <f t="shared" si="91"/>
        <v>0</v>
      </c>
      <c r="AS86">
        <f t="shared" si="92"/>
        <v>0</v>
      </c>
      <c r="AT86">
        <f t="shared" si="93"/>
        <v>0</v>
      </c>
      <c r="AU86">
        <f t="shared" si="94"/>
        <v>0</v>
      </c>
      <c r="AV86">
        <f t="shared" si="95"/>
        <v>0</v>
      </c>
      <c r="AW86">
        <f t="shared" si="49"/>
        <v>0</v>
      </c>
      <c r="AX86">
        <f t="shared" si="96"/>
        <v>0</v>
      </c>
      <c r="AY86">
        <f t="shared" si="97"/>
        <v>0</v>
      </c>
    </row>
    <row r="87" spans="1:51" x14ac:dyDescent="0.35">
      <c r="A87">
        <v>81</v>
      </c>
      <c r="C87">
        <f t="shared" si="50"/>
        <v>0</v>
      </c>
      <c r="D87">
        <f t="shared" si="51"/>
        <v>0</v>
      </c>
      <c r="E87">
        <f t="shared" si="52"/>
        <v>0</v>
      </c>
      <c r="F87">
        <f t="shared" si="53"/>
        <v>0</v>
      </c>
      <c r="G87">
        <f t="shared" si="54"/>
        <v>0</v>
      </c>
      <c r="H87">
        <f t="shared" si="55"/>
        <v>0</v>
      </c>
      <c r="I87">
        <f t="shared" si="56"/>
        <v>0</v>
      </c>
      <c r="J87">
        <f t="shared" si="57"/>
        <v>0</v>
      </c>
      <c r="K87">
        <f t="shared" si="58"/>
        <v>0</v>
      </c>
      <c r="L87">
        <f t="shared" si="59"/>
        <v>0</v>
      </c>
      <c r="M87">
        <f t="shared" si="60"/>
        <v>0</v>
      </c>
      <c r="N87">
        <f t="shared" si="61"/>
        <v>0</v>
      </c>
      <c r="O87">
        <f t="shared" si="62"/>
        <v>0</v>
      </c>
      <c r="P87">
        <f t="shared" si="63"/>
        <v>0</v>
      </c>
      <c r="Q87">
        <f t="shared" si="64"/>
        <v>0</v>
      </c>
      <c r="R87">
        <f t="shared" si="65"/>
        <v>0</v>
      </c>
      <c r="S87">
        <f t="shared" si="66"/>
        <v>0</v>
      </c>
      <c r="T87">
        <f t="shared" si="67"/>
        <v>0</v>
      </c>
      <c r="U87">
        <f t="shared" si="68"/>
        <v>0</v>
      </c>
      <c r="V87">
        <f t="shared" si="69"/>
        <v>0</v>
      </c>
      <c r="W87">
        <f t="shared" si="70"/>
        <v>0</v>
      </c>
      <c r="X87">
        <f t="shared" si="71"/>
        <v>0</v>
      </c>
      <c r="Y87">
        <f t="shared" si="72"/>
        <v>0</v>
      </c>
      <c r="Z87">
        <f t="shared" si="73"/>
        <v>0</v>
      </c>
      <c r="AA87">
        <f t="shared" si="74"/>
        <v>0</v>
      </c>
      <c r="AB87">
        <f t="shared" si="75"/>
        <v>0</v>
      </c>
      <c r="AC87">
        <f t="shared" si="76"/>
        <v>0</v>
      </c>
      <c r="AD87">
        <f t="shared" si="77"/>
        <v>0</v>
      </c>
      <c r="AE87">
        <f t="shared" si="78"/>
        <v>0</v>
      </c>
      <c r="AF87">
        <f t="shared" si="79"/>
        <v>0</v>
      </c>
      <c r="AG87">
        <f t="shared" si="80"/>
        <v>0</v>
      </c>
      <c r="AH87">
        <f t="shared" si="81"/>
        <v>0</v>
      </c>
      <c r="AI87">
        <f t="shared" si="82"/>
        <v>0</v>
      </c>
      <c r="AJ87">
        <f t="shared" si="83"/>
        <v>0</v>
      </c>
      <c r="AK87">
        <f t="shared" si="84"/>
        <v>0</v>
      </c>
      <c r="AL87">
        <f t="shared" si="85"/>
        <v>0</v>
      </c>
      <c r="AM87">
        <f t="shared" si="86"/>
        <v>0</v>
      </c>
      <c r="AN87">
        <f t="shared" si="87"/>
        <v>0</v>
      </c>
      <c r="AO87">
        <f t="shared" si="88"/>
        <v>0</v>
      </c>
      <c r="AP87">
        <f t="shared" si="89"/>
        <v>0</v>
      </c>
      <c r="AQ87">
        <f t="shared" si="90"/>
        <v>0</v>
      </c>
      <c r="AR87">
        <f t="shared" si="91"/>
        <v>0</v>
      </c>
      <c r="AS87">
        <f t="shared" si="92"/>
        <v>0</v>
      </c>
      <c r="AT87">
        <f t="shared" si="93"/>
        <v>0</v>
      </c>
      <c r="AU87">
        <f t="shared" si="94"/>
        <v>0</v>
      </c>
      <c r="AV87">
        <f t="shared" si="95"/>
        <v>0</v>
      </c>
      <c r="AW87">
        <f t="shared" si="49"/>
        <v>0</v>
      </c>
      <c r="AX87">
        <f t="shared" si="96"/>
        <v>0</v>
      </c>
      <c r="AY87">
        <f t="shared" si="97"/>
        <v>0</v>
      </c>
    </row>
    <row r="88" spans="1:51" x14ac:dyDescent="0.35">
      <c r="A88">
        <v>82</v>
      </c>
      <c r="C88">
        <f t="shared" si="50"/>
        <v>0</v>
      </c>
      <c r="D88">
        <f t="shared" si="51"/>
        <v>0</v>
      </c>
      <c r="E88">
        <f t="shared" si="52"/>
        <v>0</v>
      </c>
      <c r="F88">
        <f t="shared" si="53"/>
        <v>0</v>
      </c>
      <c r="G88">
        <f t="shared" si="54"/>
        <v>0</v>
      </c>
      <c r="H88">
        <f t="shared" si="55"/>
        <v>0</v>
      </c>
      <c r="I88">
        <f t="shared" si="56"/>
        <v>0</v>
      </c>
      <c r="J88">
        <f t="shared" si="57"/>
        <v>0</v>
      </c>
      <c r="K88">
        <f t="shared" si="58"/>
        <v>0</v>
      </c>
      <c r="L88">
        <f t="shared" si="59"/>
        <v>0</v>
      </c>
      <c r="M88">
        <f t="shared" si="60"/>
        <v>0</v>
      </c>
      <c r="N88">
        <f t="shared" si="61"/>
        <v>0</v>
      </c>
      <c r="O88">
        <f t="shared" si="62"/>
        <v>0</v>
      </c>
      <c r="P88">
        <f t="shared" si="63"/>
        <v>0</v>
      </c>
      <c r="Q88">
        <f t="shared" si="64"/>
        <v>0</v>
      </c>
      <c r="R88">
        <f t="shared" si="65"/>
        <v>0</v>
      </c>
      <c r="S88">
        <f t="shared" si="66"/>
        <v>0</v>
      </c>
      <c r="T88">
        <f t="shared" si="67"/>
        <v>0</v>
      </c>
      <c r="U88">
        <f t="shared" si="68"/>
        <v>0</v>
      </c>
      <c r="V88">
        <f t="shared" si="69"/>
        <v>0</v>
      </c>
      <c r="W88">
        <f t="shared" si="70"/>
        <v>0</v>
      </c>
      <c r="X88">
        <f t="shared" si="71"/>
        <v>0</v>
      </c>
      <c r="Y88">
        <f t="shared" si="72"/>
        <v>0</v>
      </c>
      <c r="Z88">
        <f t="shared" si="73"/>
        <v>0</v>
      </c>
      <c r="AA88">
        <f t="shared" si="74"/>
        <v>0</v>
      </c>
      <c r="AB88">
        <f t="shared" si="75"/>
        <v>0</v>
      </c>
      <c r="AC88">
        <f t="shared" si="76"/>
        <v>0</v>
      </c>
      <c r="AD88">
        <f t="shared" si="77"/>
        <v>0</v>
      </c>
      <c r="AE88">
        <f t="shared" si="78"/>
        <v>0</v>
      </c>
      <c r="AF88">
        <f t="shared" si="79"/>
        <v>0</v>
      </c>
      <c r="AG88">
        <f t="shared" si="80"/>
        <v>0</v>
      </c>
      <c r="AH88">
        <f t="shared" si="81"/>
        <v>0</v>
      </c>
      <c r="AI88">
        <f t="shared" si="82"/>
        <v>0</v>
      </c>
      <c r="AJ88">
        <f t="shared" si="83"/>
        <v>0</v>
      </c>
      <c r="AK88">
        <f t="shared" si="84"/>
        <v>0</v>
      </c>
      <c r="AL88">
        <f t="shared" si="85"/>
        <v>0</v>
      </c>
      <c r="AM88">
        <f t="shared" si="86"/>
        <v>0</v>
      </c>
      <c r="AN88">
        <f t="shared" si="87"/>
        <v>0</v>
      </c>
      <c r="AO88">
        <f t="shared" si="88"/>
        <v>0</v>
      </c>
      <c r="AP88">
        <f t="shared" si="89"/>
        <v>0</v>
      </c>
      <c r="AQ88">
        <f t="shared" si="90"/>
        <v>0</v>
      </c>
      <c r="AR88">
        <f t="shared" si="91"/>
        <v>0</v>
      </c>
      <c r="AS88">
        <f t="shared" si="92"/>
        <v>0</v>
      </c>
      <c r="AT88">
        <f t="shared" si="93"/>
        <v>0</v>
      </c>
      <c r="AU88">
        <f t="shared" si="94"/>
        <v>0</v>
      </c>
      <c r="AV88">
        <f t="shared" si="95"/>
        <v>0</v>
      </c>
      <c r="AW88">
        <f t="shared" si="49"/>
        <v>0</v>
      </c>
      <c r="AX88">
        <f t="shared" si="96"/>
        <v>0</v>
      </c>
      <c r="AY88">
        <f t="shared" si="97"/>
        <v>0</v>
      </c>
    </row>
    <row r="89" spans="1:51" x14ac:dyDescent="0.35">
      <c r="A89">
        <v>83</v>
      </c>
      <c r="C89">
        <f t="shared" si="50"/>
        <v>0</v>
      </c>
      <c r="D89">
        <f t="shared" si="51"/>
        <v>0</v>
      </c>
      <c r="E89">
        <f t="shared" si="52"/>
        <v>0</v>
      </c>
      <c r="F89">
        <f t="shared" si="53"/>
        <v>0</v>
      </c>
      <c r="G89">
        <f t="shared" si="54"/>
        <v>0</v>
      </c>
      <c r="H89">
        <f t="shared" si="55"/>
        <v>0</v>
      </c>
      <c r="I89">
        <f t="shared" si="56"/>
        <v>0</v>
      </c>
      <c r="J89">
        <f t="shared" si="57"/>
        <v>0</v>
      </c>
      <c r="K89">
        <f t="shared" si="58"/>
        <v>0</v>
      </c>
      <c r="L89">
        <f t="shared" si="59"/>
        <v>0</v>
      </c>
      <c r="M89">
        <f t="shared" si="60"/>
        <v>0</v>
      </c>
      <c r="N89">
        <f t="shared" si="61"/>
        <v>0</v>
      </c>
      <c r="O89">
        <f t="shared" si="62"/>
        <v>0</v>
      </c>
      <c r="P89">
        <f t="shared" si="63"/>
        <v>0</v>
      </c>
      <c r="Q89">
        <f t="shared" si="64"/>
        <v>0</v>
      </c>
      <c r="R89">
        <f t="shared" si="65"/>
        <v>0</v>
      </c>
      <c r="S89">
        <f t="shared" si="66"/>
        <v>0</v>
      </c>
      <c r="T89">
        <f t="shared" si="67"/>
        <v>0</v>
      </c>
      <c r="U89">
        <f t="shared" si="68"/>
        <v>0</v>
      </c>
      <c r="V89">
        <f t="shared" si="69"/>
        <v>0</v>
      </c>
      <c r="W89">
        <f t="shared" si="70"/>
        <v>0</v>
      </c>
      <c r="X89">
        <f t="shared" si="71"/>
        <v>0</v>
      </c>
      <c r="Y89">
        <f t="shared" si="72"/>
        <v>0</v>
      </c>
      <c r="Z89">
        <f t="shared" si="73"/>
        <v>0</v>
      </c>
      <c r="AA89">
        <f t="shared" si="74"/>
        <v>0</v>
      </c>
      <c r="AB89">
        <f t="shared" si="75"/>
        <v>0</v>
      </c>
      <c r="AC89">
        <f t="shared" si="76"/>
        <v>0</v>
      </c>
      <c r="AD89">
        <f t="shared" si="77"/>
        <v>0</v>
      </c>
      <c r="AE89">
        <f t="shared" si="78"/>
        <v>0</v>
      </c>
      <c r="AF89">
        <f t="shared" si="79"/>
        <v>0</v>
      </c>
      <c r="AG89">
        <f t="shared" si="80"/>
        <v>0</v>
      </c>
      <c r="AH89">
        <f t="shared" si="81"/>
        <v>0</v>
      </c>
      <c r="AI89">
        <f t="shared" si="82"/>
        <v>0</v>
      </c>
      <c r="AJ89">
        <f t="shared" si="83"/>
        <v>0</v>
      </c>
      <c r="AK89">
        <f t="shared" si="84"/>
        <v>0</v>
      </c>
      <c r="AL89">
        <f t="shared" si="85"/>
        <v>0</v>
      </c>
      <c r="AM89">
        <f t="shared" si="86"/>
        <v>0</v>
      </c>
      <c r="AN89">
        <f t="shared" si="87"/>
        <v>0</v>
      </c>
      <c r="AO89">
        <f t="shared" si="88"/>
        <v>0</v>
      </c>
      <c r="AP89">
        <f t="shared" si="89"/>
        <v>0</v>
      </c>
      <c r="AQ89">
        <f t="shared" si="90"/>
        <v>0</v>
      </c>
      <c r="AR89">
        <f t="shared" si="91"/>
        <v>0</v>
      </c>
      <c r="AS89">
        <f t="shared" si="92"/>
        <v>0</v>
      </c>
      <c r="AT89">
        <f t="shared" si="93"/>
        <v>0</v>
      </c>
      <c r="AU89">
        <f t="shared" si="94"/>
        <v>0</v>
      </c>
      <c r="AV89">
        <f t="shared" si="95"/>
        <v>0</v>
      </c>
      <c r="AW89">
        <f t="shared" si="49"/>
        <v>0</v>
      </c>
      <c r="AX89">
        <f t="shared" si="96"/>
        <v>0</v>
      </c>
      <c r="AY89">
        <f t="shared" si="97"/>
        <v>0</v>
      </c>
    </row>
    <row r="90" spans="1:51" x14ac:dyDescent="0.35">
      <c r="A90">
        <v>84</v>
      </c>
      <c r="C90">
        <f t="shared" si="50"/>
        <v>0</v>
      </c>
      <c r="D90">
        <f t="shared" si="51"/>
        <v>0</v>
      </c>
      <c r="E90">
        <f t="shared" si="52"/>
        <v>0</v>
      </c>
      <c r="F90">
        <f t="shared" si="53"/>
        <v>0</v>
      </c>
      <c r="G90">
        <f t="shared" si="54"/>
        <v>0</v>
      </c>
      <c r="H90">
        <f t="shared" si="55"/>
        <v>0</v>
      </c>
      <c r="I90">
        <f t="shared" si="56"/>
        <v>0</v>
      </c>
      <c r="J90">
        <f t="shared" si="57"/>
        <v>0</v>
      </c>
      <c r="K90">
        <f t="shared" si="58"/>
        <v>0</v>
      </c>
      <c r="L90">
        <f t="shared" si="59"/>
        <v>0</v>
      </c>
      <c r="M90">
        <f t="shared" si="60"/>
        <v>0</v>
      </c>
      <c r="N90">
        <f t="shared" si="61"/>
        <v>0</v>
      </c>
      <c r="O90">
        <f t="shared" si="62"/>
        <v>0</v>
      </c>
      <c r="P90">
        <f t="shared" si="63"/>
        <v>0</v>
      </c>
      <c r="Q90">
        <f t="shared" si="64"/>
        <v>0</v>
      </c>
      <c r="R90">
        <f t="shared" si="65"/>
        <v>0</v>
      </c>
      <c r="S90">
        <f t="shared" si="66"/>
        <v>0</v>
      </c>
      <c r="T90">
        <f t="shared" si="67"/>
        <v>0</v>
      </c>
      <c r="U90">
        <f t="shared" si="68"/>
        <v>0</v>
      </c>
      <c r="V90">
        <f t="shared" si="69"/>
        <v>0</v>
      </c>
      <c r="W90">
        <f t="shared" si="70"/>
        <v>0</v>
      </c>
      <c r="X90">
        <f t="shared" si="71"/>
        <v>0</v>
      </c>
      <c r="Y90">
        <f t="shared" si="72"/>
        <v>0</v>
      </c>
      <c r="Z90">
        <f t="shared" si="73"/>
        <v>0</v>
      </c>
      <c r="AA90">
        <f t="shared" si="74"/>
        <v>0</v>
      </c>
      <c r="AB90">
        <f t="shared" si="75"/>
        <v>0</v>
      </c>
      <c r="AC90">
        <f t="shared" si="76"/>
        <v>0</v>
      </c>
      <c r="AD90">
        <f t="shared" si="77"/>
        <v>0</v>
      </c>
      <c r="AE90">
        <f t="shared" si="78"/>
        <v>0</v>
      </c>
      <c r="AF90">
        <f t="shared" si="79"/>
        <v>0</v>
      </c>
      <c r="AG90">
        <f t="shared" si="80"/>
        <v>0</v>
      </c>
      <c r="AH90">
        <f t="shared" si="81"/>
        <v>0</v>
      </c>
      <c r="AI90">
        <f t="shared" si="82"/>
        <v>0</v>
      </c>
      <c r="AJ90">
        <f t="shared" si="83"/>
        <v>0</v>
      </c>
      <c r="AK90">
        <f t="shared" si="84"/>
        <v>0</v>
      </c>
      <c r="AL90">
        <f t="shared" si="85"/>
        <v>0</v>
      </c>
      <c r="AM90">
        <f t="shared" si="86"/>
        <v>0</v>
      </c>
      <c r="AN90">
        <f t="shared" si="87"/>
        <v>0</v>
      </c>
      <c r="AO90">
        <f t="shared" si="88"/>
        <v>0</v>
      </c>
      <c r="AP90">
        <f t="shared" si="89"/>
        <v>0</v>
      </c>
      <c r="AQ90">
        <f t="shared" si="90"/>
        <v>0</v>
      </c>
      <c r="AR90">
        <f t="shared" si="91"/>
        <v>0</v>
      </c>
      <c r="AS90">
        <f t="shared" si="92"/>
        <v>0</v>
      </c>
      <c r="AT90">
        <f t="shared" si="93"/>
        <v>0</v>
      </c>
      <c r="AU90">
        <f t="shared" si="94"/>
        <v>0</v>
      </c>
      <c r="AV90">
        <f t="shared" si="95"/>
        <v>0</v>
      </c>
      <c r="AW90">
        <f t="shared" si="49"/>
        <v>0</v>
      </c>
      <c r="AX90">
        <f t="shared" si="96"/>
        <v>0</v>
      </c>
      <c r="AY90">
        <f t="shared" si="97"/>
        <v>0</v>
      </c>
    </row>
    <row r="91" spans="1:51" x14ac:dyDescent="0.35">
      <c r="A91">
        <v>85</v>
      </c>
      <c r="C91">
        <f t="shared" si="50"/>
        <v>0</v>
      </c>
      <c r="D91">
        <f t="shared" si="51"/>
        <v>0</v>
      </c>
      <c r="E91">
        <f t="shared" si="52"/>
        <v>0</v>
      </c>
      <c r="F91">
        <f t="shared" si="53"/>
        <v>0</v>
      </c>
      <c r="G91">
        <f t="shared" si="54"/>
        <v>0</v>
      </c>
      <c r="H91">
        <f t="shared" si="55"/>
        <v>0</v>
      </c>
      <c r="I91">
        <f t="shared" si="56"/>
        <v>0</v>
      </c>
      <c r="J91">
        <f t="shared" si="57"/>
        <v>0</v>
      </c>
      <c r="K91">
        <f t="shared" si="58"/>
        <v>0</v>
      </c>
      <c r="L91">
        <f t="shared" si="59"/>
        <v>0</v>
      </c>
      <c r="M91">
        <f t="shared" si="60"/>
        <v>0</v>
      </c>
      <c r="N91">
        <f t="shared" si="61"/>
        <v>0</v>
      </c>
      <c r="O91">
        <f t="shared" si="62"/>
        <v>0</v>
      </c>
      <c r="P91">
        <f t="shared" si="63"/>
        <v>0</v>
      </c>
      <c r="Q91">
        <f t="shared" si="64"/>
        <v>0</v>
      </c>
      <c r="R91">
        <f t="shared" si="65"/>
        <v>0</v>
      </c>
      <c r="S91">
        <f t="shared" si="66"/>
        <v>0</v>
      </c>
      <c r="T91">
        <f t="shared" si="67"/>
        <v>0</v>
      </c>
      <c r="U91">
        <f t="shared" si="68"/>
        <v>0</v>
      </c>
      <c r="V91">
        <f t="shared" si="69"/>
        <v>0</v>
      </c>
      <c r="W91">
        <f t="shared" si="70"/>
        <v>0</v>
      </c>
      <c r="X91">
        <f t="shared" si="71"/>
        <v>0</v>
      </c>
      <c r="Y91">
        <f t="shared" si="72"/>
        <v>0</v>
      </c>
      <c r="Z91">
        <f t="shared" si="73"/>
        <v>0</v>
      </c>
      <c r="AA91">
        <f t="shared" si="74"/>
        <v>0</v>
      </c>
      <c r="AB91">
        <f t="shared" si="75"/>
        <v>0</v>
      </c>
      <c r="AC91">
        <f t="shared" si="76"/>
        <v>0</v>
      </c>
      <c r="AD91">
        <f t="shared" si="77"/>
        <v>0</v>
      </c>
      <c r="AE91">
        <f t="shared" si="78"/>
        <v>0</v>
      </c>
      <c r="AF91">
        <f t="shared" si="79"/>
        <v>0</v>
      </c>
      <c r="AG91">
        <f t="shared" si="80"/>
        <v>0</v>
      </c>
      <c r="AH91">
        <f t="shared" si="81"/>
        <v>0</v>
      </c>
      <c r="AI91">
        <f t="shared" si="82"/>
        <v>0</v>
      </c>
      <c r="AJ91">
        <f t="shared" si="83"/>
        <v>0</v>
      </c>
      <c r="AK91">
        <f t="shared" si="84"/>
        <v>0</v>
      </c>
      <c r="AL91">
        <f t="shared" si="85"/>
        <v>0</v>
      </c>
      <c r="AM91">
        <f t="shared" si="86"/>
        <v>0</v>
      </c>
      <c r="AN91">
        <f t="shared" si="87"/>
        <v>0</v>
      </c>
      <c r="AO91">
        <f t="shared" si="88"/>
        <v>0</v>
      </c>
      <c r="AP91">
        <f t="shared" si="89"/>
        <v>0</v>
      </c>
      <c r="AQ91">
        <f t="shared" si="90"/>
        <v>0</v>
      </c>
      <c r="AR91">
        <f t="shared" si="91"/>
        <v>0</v>
      </c>
      <c r="AS91">
        <f t="shared" si="92"/>
        <v>0</v>
      </c>
      <c r="AT91">
        <f t="shared" si="93"/>
        <v>0</v>
      </c>
      <c r="AU91">
        <f t="shared" si="94"/>
        <v>0</v>
      </c>
      <c r="AV91">
        <f t="shared" si="95"/>
        <v>0</v>
      </c>
      <c r="AW91">
        <f t="shared" si="49"/>
        <v>0</v>
      </c>
      <c r="AX91">
        <f t="shared" si="96"/>
        <v>0</v>
      </c>
      <c r="AY91">
        <f t="shared" si="97"/>
        <v>0</v>
      </c>
    </row>
    <row r="92" spans="1:51" x14ac:dyDescent="0.35">
      <c r="A92">
        <v>86</v>
      </c>
      <c r="C92">
        <f t="shared" si="50"/>
        <v>0</v>
      </c>
      <c r="D92">
        <f t="shared" si="51"/>
        <v>0</v>
      </c>
      <c r="E92">
        <f t="shared" si="52"/>
        <v>0</v>
      </c>
      <c r="F92">
        <f t="shared" si="53"/>
        <v>0</v>
      </c>
      <c r="G92">
        <f t="shared" si="54"/>
        <v>0</v>
      </c>
      <c r="H92">
        <f t="shared" si="55"/>
        <v>0</v>
      </c>
      <c r="I92">
        <f t="shared" si="56"/>
        <v>0</v>
      </c>
      <c r="J92">
        <f t="shared" si="57"/>
        <v>0</v>
      </c>
      <c r="K92">
        <f t="shared" si="58"/>
        <v>0</v>
      </c>
      <c r="L92">
        <f t="shared" si="59"/>
        <v>0</v>
      </c>
      <c r="M92">
        <f t="shared" si="60"/>
        <v>0</v>
      </c>
      <c r="N92">
        <f t="shared" si="61"/>
        <v>0</v>
      </c>
      <c r="O92">
        <f t="shared" si="62"/>
        <v>0</v>
      </c>
      <c r="P92">
        <f t="shared" si="63"/>
        <v>0</v>
      </c>
      <c r="Q92">
        <f t="shared" si="64"/>
        <v>0</v>
      </c>
      <c r="R92">
        <f t="shared" si="65"/>
        <v>0</v>
      </c>
      <c r="S92">
        <f t="shared" si="66"/>
        <v>0</v>
      </c>
      <c r="T92">
        <f t="shared" si="67"/>
        <v>0</v>
      </c>
      <c r="U92">
        <f t="shared" si="68"/>
        <v>0</v>
      </c>
      <c r="V92">
        <f t="shared" si="69"/>
        <v>0</v>
      </c>
      <c r="W92">
        <f t="shared" si="70"/>
        <v>0</v>
      </c>
      <c r="X92">
        <f t="shared" si="71"/>
        <v>0</v>
      </c>
      <c r="Y92">
        <f t="shared" si="72"/>
        <v>0</v>
      </c>
      <c r="Z92">
        <f t="shared" si="73"/>
        <v>0</v>
      </c>
      <c r="AA92">
        <f t="shared" si="74"/>
        <v>0</v>
      </c>
      <c r="AB92">
        <f t="shared" si="75"/>
        <v>0</v>
      </c>
      <c r="AC92">
        <f t="shared" si="76"/>
        <v>0</v>
      </c>
      <c r="AD92">
        <f t="shared" si="77"/>
        <v>0</v>
      </c>
      <c r="AE92">
        <f t="shared" si="78"/>
        <v>0</v>
      </c>
      <c r="AF92">
        <f t="shared" si="79"/>
        <v>0</v>
      </c>
      <c r="AG92">
        <f t="shared" si="80"/>
        <v>0</v>
      </c>
      <c r="AH92">
        <f t="shared" si="81"/>
        <v>0</v>
      </c>
      <c r="AI92">
        <f t="shared" si="82"/>
        <v>0</v>
      </c>
      <c r="AJ92">
        <f t="shared" si="83"/>
        <v>0</v>
      </c>
      <c r="AK92">
        <f t="shared" si="84"/>
        <v>0</v>
      </c>
      <c r="AL92">
        <f t="shared" si="85"/>
        <v>0</v>
      </c>
      <c r="AM92">
        <f t="shared" si="86"/>
        <v>0</v>
      </c>
      <c r="AN92">
        <f t="shared" si="87"/>
        <v>0</v>
      </c>
      <c r="AO92">
        <f t="shared" si="88"/>
        <v>0</v>
      </c>
      <c r="AP92">
        <f t="shared" si="89"/>
        <v>0</v>
      </c>
      <c r="AQ92">
        <f t="shared" si="90"/>
        <v>0</v>
      </c>
      <c r="AR92">
        <f t="shared" si="91"/>
        <v>0</v>
      </c>
      <c r="AS92">
        <f t="shared" si="92"/>
        <v>0</v>
      </c>
      <c r="AT92">
        <f t="shared" si="93"/>
        <v>0</v>
      </c>
      <c r="AU92">
        <f t="shared" si="94"/>
        <v>0</v>
      </c>
      <c r="AV92">
        <f t="shared" si="95"/>
        <v>0</v>
      </c>
      <c r="AW92">
        <f t="shared" si="49"/>
        <v>0</v>
      </c>
      <c r="AX92">
        <f t="shared" si="96"/>
        <v>0</v>
      </c>
      <c r="AY92">
        <f t="shared" si="97"/>
        <v>0</v>
      </c>
    </row>
    <row r="93" spans="1:51" x14ac:dyDescent="0.35">
      <c r="A93">
        <v>87</v>
      </c>
      <c r="C93">
        <f t="shared" si="50"/>
        <v>0</v>
      </c>
      <c r="D93">
        <f t="shared" si="51"/>
        <v>0</v>
      </c>
      <c r="E93">
        <f t="shared" si="52"/>
        <v>0</v>
      </c>
      <c r="F93">
        <f t="shared" si="53"/>
        <v>0</v>
      </c>
      <c r="G93">
        <f t="shared" si="54"/>
        <v>0</v>
      </c>
      <c r="H93">
        <f t="shared" si="55"/>
        <v>0</v>
      </c>
      <c r="I93">
        <f t="shared" si="56"/>
        <v>0</v>
      </c>
      <c r="J93">
        <f t="shared" si="57"/>
        <v>0</v>
      </c>
      <c r="K93">
        <f t="shared" si="58"/>
        <v>0</v>
      </c>
      <c r="L93">
        <f t="shared" si="59"/>
        <v>0</v>
      </c>
      <c r="M93">
        <f t="shared" si="60"/>
        <v>0</v>
      </c>
      <c r="N93">
        <f t="shared" si="61"/>
        <v>0</v>
      </c>
      <c r="O93">
        <f t="shared" si="62"/>
        <v>0</v>
      </c>
      <c r="P93">
        <f t="shared" si="63"/>
        <v>0</v>
      </c>
      <c r="Q93">
        <f t="shared" si="64"/>
        <v>0</v>
      </c>
      <c r="R93">
        <f t="shared" si="65"/>
        <v>0</v>
      </c>
      <c r="S93">
        <f t="shared" si="66"/>
        <v>0</v>
      </c>
      <c r="T93">
        <f t="shared" si="67"/>
        <v>0</v>
      </c>
      <c r="U93">
        <f t="shared" si="68"/>
        <v>0</v>
      </c>
      <c r="V93">
        <f t="shared" si="69"/>
        <v>0</v>
      </c>
      <c r="W93">
        <f t="shared" si="70"/>
        <v>0</v>
      </c>
      <c r="X93">
        <f t="shared" si="71"/>
        <v>0</v>
      </c>
      <c r="Y93">
        <f t="shared" si="72"/>
        <v>0</v>
      </c>
      <c r="Z93">
        <f t="shared" si="73"/>
        <v>0</v>
      </c>
      <c r="AA93">
        <f t="shared" si="74"/>
        <v>0</v>
      </c>
      <c r="AB93">
        <f t="shared" si="75"/>
        <v>0</v>
      </c>
      <c r="AC93">
        <f t="shared" si="76"/>
        <v>0</v>
      </c>
      <c r="AD93">
        <f t="shared" si="77"/>
        <v>0</v>
      </c>
      <c r="AE93">
        <f t="shared" si="78"/>
        <v>0</v>
      </c>
      <c r="AF93">
        <f t="shared" si="79"/>
        <v>0</v>
      </c>
      <c r="AG93">
        <f t="shared" si="80"/>
        <v>0</v>
      </c>
      <c r="AH93">
        <f t="shared" si="81"/>
        <v>0</v>
      </c>
      <c r="AI93">
        <f t="shared" si="82"/>
        <v>0</v>
      </c>
      <c r="AJ93">
        <f t="shared" si="83"/>
        <v>0</v>
      </c>
      <c r="AK93">
        <f t="shared" si="84"/>
        <v>0</v>
      </c>
      <c r="AL93">
        <f t="shared" si="85"/>
        <v>0</v>
      </c>
      <c r="AM93">
        <f t="shared" si="86"/>
        <v>0</v>
      </c>
      <c r="AN93">
        <f t="shared" si="87"/>
        <v>0</v>
      </c>
      <c r="AO93">
        <f t="shared" si="88"/>
        <v>0</v>
      </c>
      <c r="AP93">
        <f t="shared" si="89"/>
        <v>0</v>
      </c>
      <c r="AQ93">
        <f t="shared" si="90"/>
        <v>0</v>
      </c>
      <c r="AR93">
        <f t="shared" si="91"/>
        <v>0</v>
      </c>
      <c r="AS93">
        <f t="shared" si="92"/>
        <v>0</v>
      </c>
      <c r="AT93">
        <f t="shared" si="93"/>
        <v>0</v>
      </c>
      <c r="AU93">
        <f t="shared" si="94"/>
        <v>0</v>
      </c>
      <c r="AV93">
        <f t="shared" si="95"/>
        <v>0</v>
      </c>
      <c r="AW93">
        <f t="shared" si="49"/>
        <v>0</v>
      </c>
      <c r="AX93">
        <f t="shared" si="96"/>
        <v>0</v>
      </c>
      <c r="AY93">
        <f t="shared" si="97"/>
        <v>0</v>
      </c>
    </row>
    <row r="94" spans="1:51" x14ac:dyDescent="0.35">
      <c r="A94">
        <v>88</v>
      </c>
      <c r="C94">
        <f t="shared" si="50"/>
        <v>0</v>
      </c>
      <c r="D94">
        <f t="shared" si="51"/>
        <v>0</v>
      </c>
      <c r="E94">
        <f t="shared" si="52"/>
        <v>0</v>
      </c>
      <c r="F94">
        <f t="shared" si="53"/>
        <v>0</v>
      </c>
      <c r="G94">
        <f t="shared" si="54"/>
        <v>0</v>
      </c>
      <c r="H94">
        <f t="shared" si="55"/>
        <v>0</v>
      </c>
      <c r="I94">
        <f t="shared" si="56"/>
        <v>0</v>
      </c>
      <c r="J94">
        <f t="shared" si="57"/>
        <v>0</v>
      </c>
      <c r="K94">
        <f t="shared" si="58"/>
        <v>0</v>
      </c>
      <c r="L94">
        <f t="shared" si="59"/>
        <v>0</v>
      </c>
      <c r="M94">
        <f t="shared" si="60"/>
        <v>0</v>
      </c>
      <c r="N94">
        <f t="shared" si="61"/>
        <v>0</v>
      </c>
      <c r="O94">
        <f t="shared" si="62"/>
        <v>0</v>
      </c>
      <c r="P94">
        <f t="shared" si="63"/>
        <v>0</v>
      </c>
      <c r="Q94">
        <f t="shared" si="64"/>
        <v>0</v>
      </c>
      <c r="R94">
        <f t="shared" si="65"/>
        <v>0</v>
      </c>
      <c r="S94">
        <f t="shared" si="66"/>
        <v>0</v>
      </c>
      <c r="T94">
        <f t="shared" si="67"/>
        <v>0</v>
      </c>
      <c r="U94">
        <f t="shared" si="68"/>
        <v>0</v>
      </c>
      <c r="V94">
        <f t="shared" si="69"/>
        <v>0</v>
      </c>
      <c r="W94">
        <f t="shared" si="70"/>
        <v>0</v>
      </c>
      <c r="X94">
        <f t="shared" si="71"/>
        <v>0</v>
      </c>
      <c r="Y94">
        <f t="shared" si="72"/>
        <v>0</v>
      </c>
      <c r="Z94">
        <f t="shared" si="73"/>
        <v>0</v>
      </c>
      <c r="AA94">
        <f t="shared" si="74"/>
        <v>0</v>
      </c>
      <c r="AB94">
        <f t="shared" si="75"/>
        <v>0</v>
      </c>
      <c r="AC94">
        <f t="shared" si="76"/>
        <v>0</v>
      </c>
      <c r="AD94">
        <f t="shared" si="77"/>
        <v>0</v>
      </c>
      <c r="AE94">
        <f t="shared" si="78"/>
        <v>0</v>
      </c>
      <c r="AF94">
        <f t="shared" si="79"/>
        <v>0</v>
      </c>
      <c r="AG94">
        <f t="shared" si="80"/>
        <v>0</v>
      </c>
      <c r="AH94">
        <f t="shared" si="81"/>
        <v>0</v>
      </c>
      <c r="AI94">
        <f t="shared" si="82"/>
        <v>0</v>
      </c>
      <c r="AJ94">
        <f t="shared" si="83"/>
        <v>0</v>
      </c>
      <c r="AK94">
        <f t="shared" si="84"/>
        <v>0</v>
      </c>
      <c r="AL94">
        <f t="shared" si="85"/>
        <v>0</v>
      </c>
      <c r="AM94">
        <f t="shared" si="86"/>
        <v>0</v>
      </c>
      <c r="AN94">
        <f t="shared" si="87"/>
        <v>0</v>
      </c>
      <c r="AO94">
        <f t="shared" si="88"/>
        <v>0</v>
      </c>
      <c r="AP94">
        <f t="shared" si="89"/>
        <v>0</v>
      </c>
      <c r="AQ94">
        <f t="shared" si="90"/>
        <v>0</v>
      </c>
      <c r="AR94">
        <f t="shared" si="91"/>
        <v>0</v>
      </c>
      <c r="AS94">
        <f t="shared" si="92"/>
        <v>0</v>
      </c>
      <c r="AT94">
        <f t="shared" si="93"/>
        <v>0</v>
      </c>
      <c r="AU94">
        <f t="shared" si="94"/>
        <v>0</v>
      </c>
      <c r="AV94">
        <f t="shared" si="95"/>
        <v>0</v>
      </c>
      <c r="AW94">
        <f t="shared" si="49"/>
        <v>0</v>
      </c>
      <c r="AX94">
        <f t="shared" si="96"/>
        <v>0</v>
      </c>
      <c r="AY94">
        <f t="shared" si="97"/>
        <v>0</v>
      </c>
    </row>
    <row r="95" spans="1:51" x14ac:dyDescent="0.35">
      <c r="A95">
        <v>89</v>
      </c>
      <c r="C95">
        <f t="shared" si="50"/>
        <v>0</v>
      </c>
      <c r="D95">
        <f t="shared" si="51"/>
        <v>0</v>
      </c>
      <c r="E95">
        <f t="shared" si="52"/>
        <v>0</v>
      </c>
      <c r="F95">
        <f t="shared" si="53"/>
        <v>0</v>
      </c>
      <c r="G95">
        <f t="shared" si="54"/>
        <v>0</v>
      </c>
      <c r="H95">
        <f t="shared" si="55"/>
        <v>0</v>
      </c>
      <c r="I95">
        <f t="shared" si="56"/>
        <v>0</v>
      </c>
      <c r="J95">
        <f t="shared" si="57"/>
        <v>0</v>
      </c>
      <c r="K95">
        <f t="shared" si="58"/>
        <v>0</v>
      </c>
      <c r="L95">
        <f t="shared" si="59"/>
        <v>0</v>
      </c>
      <c r="M95">
        <f t="shared" si="60"/>
        <v>0</v>
      </c>
      <c r="N95">
        <f t="shared" si="61"/>
        <v>0</v>
      </c>
      <c r="O95">
        <f t="shared" si="62"/>
        <v>0</v>
      </c>
      <c r="P95">
        <f t="shared" si="63"/>
        <v>0</v>
      </c>
      <c r="Q95">
        <f t="shared" si="64"/>
        <v>0</v>
      </c>
      <c r="R95">
        <f t="shared" si="65"/>
        <v>0</v>
      </c>
      <c r="S95">
        <f t="shared" si="66"/>
        <v>0</v>
      </c>
      <c r="T95">
        <f t="shared" si="67"/>
        <v>0</v>
      </c>
      <c r="U95">
        <f t="shared" si="68"/>
        <v>0</v>
      </c>
      <c r="V95">
        <f t="shared" si="69"/>
        <v>0</v>
      </c>
      <c r="W95">
        <f t="shared" si="70"/>
        <v>0</v>
      </c>
      <c r="X95">
        <f t="shared" si="71"/>
        <v>0</v>
      </c>
      <c r="Y95">
        <f t="shared" si="72"/>
        <v>0</v>
      </c>
      <c r="Z95">
        <f t="shared" si="73"/>
        <v>0</v>
      </c>
      <c r="AA95">
        <f t="shared" si="74"/>
        <v>0</v>
      </c>
      <c r="AB95">
        <f t="shared" si="75"/>
        <v>0</v>
      </c>
      <c r="AC95">
        <f t="shared" si="76"/>
        <v>0</v>
      </c>
      <c r="AD95">
        <f t="shared" si="77"/>
        <v>0</v>
      </c>
      <c r="AE95">
        <f t="shared" si="78"/>
        <v>0</v>
      </c>
      <c r="AF95">
        <f t="shared" si="79"/>
        <v>0</v>
      </c>
      <c r="AG95">
        <f t="shared" si="80"/>
        <v>0</v>
      </c>
      <c r="AH95">
        <f t="shared" si="81"/>
        <v>0</v>
      </c>
      <c r="AI95">
        <f t="shared" si="82"/>
        <v>0</v>
      </c>
      <c r="AJ95">
        <f t="shared" si="83"/>
        <v>0</v>
      </c>
      <c r="AK95">
        <f t="shared" si="84"/>
        <v>0</v>
      </c>
      <c r="AL95">
        <f t="shared" si="85"/>
        <v>0</v>
      </c>
      <c r="AM95">
        <f t="shared" si="86"/>
        <v>0</v>
      </c>
      <c r="AN95">
        <f t="shared" si="87"/>
        <v>0</v>
      </c>
      <c r="AO95">
        <f t="shared" si="88"/>
        <v>0</v>
      </c>
      <c r="AP95">
        <f t="shared" si="89"/>
        <v>0</v>
      </c>
      <c r="AQ95">
        <f t="shared" si="90"/>
        <v>0</v>
      </c>
      <c r="AR95">
        <f t="shared" si="91"/>
        <v>0</v>
      </c>
      <c r="AS95">
        <f t="shared" si="92"/>
        <v>0</v>
      </c>
      <c r="AT95">
        <f t="shared" si="93"/>
        <v>0</v>
      </c>
      <c r="AU95">
        <f t="shared" si="94"/>
        <v>0</v>
      </c>
      <c r="AV95">
        <f t="shared" si="95"/>
        <v>0</v>
      </c>
      <c r="AW95">
        <f t="shared" si="49"/>
        <v>0</v>
      </c>
      <c r="AX95">
        <f t="shared" si="96"/>
        <v>0</v>
      </c>
      <c r="AY95">
        <f t="shared" si="97"/>
        <v>0</v>
      </c>
    </row>
    <row r="96" spans="1:51" x14ac:dyDescent="0.35">
      <c r="A96">
        <v>90</v>
      </c>
      <c r="C96">
        <f t="shared" si="50"/>
        <v>0</v>
      </c>
      <c r="D96">
        <f t="shared" si="51"/>
        <v>0</v>
      </c>
      <c r="E96">
        <f t="shared" si="52"/>
        <v>0</v>
      </c>
      <c r="F96">
        <f t="shared" si="53"/>
        <v>0</v>
      </c>
      <c r="G96">
        <f t="shared" si="54"/>
        <v>0</v>
      </c>
      <c r="H96">
        <f t="shared" si="55"/>
        <v>0</v>
      </c>
      <c r="I96">
        <f t="shared" si="56"/>
        <v>0</v>
      </c>
      <c r="J96">
        <f t="shared" si="57"/>
        <v>0</v>
      </c>
      <c r="K96">
        <f t="shared" si="58"/>
        <v>0</v>
      </c>
      <c r="L96">
        <f t="shared" si="59"/>
        <v>0</v>
      </c>
      <c r="M96">
        <f t="shared" si="60"/>
        <v>0</v>
      </c>
      <c r="N96">
        <f t="shared" si="61"/>
        <v>0</v>
      </c>
      <c r="O96">
        <f t="shared" si="62"/>
        <v>0</v>
      </c>
      <c r="P96">
        <f t="shared" si="63"/>
        <v>0</v>
      </c>
      <c r="Q96">
        <f t="shared" si="64"/>
        <v>0</v>
      </c>
      <c r="R96">
        <f t="shared" si="65"/>
        <v>0</v>
      </c>
      <c r="S96">
        <f t="shared" si="66"/>
        <v>0</v>
      </c>
      <c r="T96">
        <f t="shared" si="67"/>
        <v>0</v>
      </c>
      <c r="U96">
        <f t="shared" si="68"/>
        <v>0</v>
      </c>
      <c r="V96">
        <f t="shared" si="69"/>
        <v>0</v>
      </c>
      <c r="W96">
        <f t="shared" si="70"/>
        <v>0</v>
      </c>
      <c r="X96">
        <f t="shared" si="71"/>
        <v>0</v>
      </c>
      <c r="Y96">
        <f t="shared" si="72"/>
        <v>0</v>
      </c>
      <c r="Z96">
        <f t="shared" si="73"/>
        <v>0</v>
      </c>
      <c r="AA96">
        <f t="shared" si="74"/>
        <v>0</v>
      </c>
      <c r="AB96">
        <f t="shared" si="75"/>
        <v>0</v>
      </c>
      <c r="AC96">
        <f t="shared" si="76"/>
        <v>0</v>
      </c>
      <c r="AD96">
        <f t="shared" si="77"/>
        <v>0</v>
      </c>
      <c r="AE96">
        <f t="shared" si="78"/>
        <v>0</v>
      </c>
      <c r="AF96">
        <f t="shared" si="79"/>
        <v>0</v>
      </c>
      <c r="AG96">
        <f t="shared" si="80"/>
        <v>0</v>
      </c>
      <c r="AH96">
        <f t="shared" si="81"/>
        <v>0</v>
      </c>
      <c r="AI96">
        <f t="shared" si="82"/>
        <v>0</v>
      </c>
      <c r="AJ96">
        <f t="shared" si="83"/>
        <v>0</v>
      </c>
      <c r="AK96">
        <f t="shared" si="84"/>
        <v>0</v>
      </c>
      <c r="AL96">
        <f t="shared" si="85"/>
        <v>0</v>
      </c>
      <c r="AM96">
        <f t="shared" si="86"/>
        <v>0</v>
      </c>
      <c r="AN96">
        <f t="shared" si="87"/>
        <v>0</v>
      </c>
      <c r="AO96">
        <f t="shared" si="88"/>
        <v>0</v>
      </c>
      <c r="AP96">
        <f t="shared" si="89"/>
        <v>0</v>
      </c>
      <c r="AQ96">
        <f t="shared" si="90"/>
        <v>0</v>
      </c>
      <c r="AR96">
        <f t="shared" si="91"/>
        <v>0</v>
      </c>
      <c r="AS96">
        <f t="shared" si="92"/>
        <v>0</v>
      </c>
      <c r="AT96">
        <f t="shared" si="93"/>
        <v>0</v>
      </c>
      <c r="AU96">
        <f t="shared" si="94"/>
        <v>0</v>
      </c>
      <c r="AV96">
        <f t="shared" si="95"/>
        <v>0</v>
      </c>
      <c r="AW96">
        <f t="shared" si="49"/>
        <v>0</v>
      </c>
      <c r="AX96">
        <f t="shared" si="96"/>
        <v>0</v>
      </c>
      <c r="AY96">
        <f t="shared" si="97"/>
        <v>0</v>
      </c>
    </row>
    <row r="97" spans="1:51" x14ac:dyDescent="0.35">
      <c r="A97">
        <v>91</v>
      </c>
      <c r="C97">
        <f t="shared" si="50"/>
        <v>0</v>
      </c>
      <c r="D97">
        <f t="shared" si="51"/>
        <v>0</v>
      </c>
      <c r="E97">
        <f t="shared" si="52"/>
        <v>0</v>
      </c>
      <c r="F97">
        <f t="shared" si="53"/>
        <v>0</v>
      </c>
      <c r="G97">
        <f t="shared" si="54"/>
        <v>0</v>
      </c>
      <c r="H97">
        <f t="shared" si="55"/>
        <v>0</v>
      </c>
      <c r="I97">
        <f t="shared" si="56"/>
        <v>0</v>
      </c>
      <c r="J97">
        <f t="shared" si="57"/>
        <v>0</v>
      </c>
      <c r="K97">
        <f t="shared" si="58"/>
        <v>0</v>
      </c>
      <c r="L97">
        <f t="shared" si="59"/>
        <v>0</v>
      </c>
      <c r="M97">
        <f t="shared" si="60"/>
        <v>0</v>
      </c>
      <c r="N97">
        <f t="shared" si="61"/>
        <v>0</v>
      </c>
      <c r="O97">
        <f t="shared" si="62"/>
        <v>0</v>
      </c>
      <c r="P97">
        <f t="shared" si="63"/>
        <v>0</v>
      </c>
      <c r="Q97">
        <f t="shared" si="64"/>
        <v>0</v>
      </c>
      <c r="R97">
        <f t="shared" si="65"/>
        <v>0</v>
      </c>
      <c r="S97">
        <f t="shared" si="66"/>
        <v>0</v>
      </c>
      <c r="T97">
        <f t="shared" si="67"/>
        <v>0</v>
      </c>
      <c r="U97">
        <f t="shared" si="68"/>
        <v>0</v>
      </c>
      <c r="V97">
        <f t="shared" si="69"/>
        <v>0</v>
      </c>
      <c r="W97">
        <f t="shared" si="70"/>
        <v>0</v>
      </c>
      <c r="X97">
        <f t="shared" si="71"/>
        <v>0</v>
      </c>
      <c r="Y97">
        <f t="shared" si="72"/>
        <v>0</v>
      </c>
      <c r="Z97">
        <f t="shared" si="73"/>
        <v>0</v>
      </c>
      <c r="AA97">
        <f t="shared" si="74"/>
        <v>0</v>
      </c>
      <c r="AB97">
        <f t="shared" si="75"/>
        <v>0</v>
      </c>
      <c r="AC97">
        <f t="shared" si="76"/>
        <v>0</v>
      </c>
      <c r="AD97">
        <f t="shared" si="77"/>
        <v>0</v>
      </c>
      <c r="AE97">
        <f t="shared" si="78"/>
        <v>0</v>
      </c>
      <c r="AF97">
        <f t="shared" si="79"/>
        <v>0</v>
      </c>
      <c r="AG97">
        <f t="shared" si="80"/>
        <v>0</v>
      </c>
      <c r="AH97">
        <f t="shared" si="81"/>
        <v>0</v>
      </c>
      <c r="AI97">
        <f t="shared" si="82"/>
        <v>0</v>
      </c>
      <c r="AJ97">
        <f t="shared" si="83"/>
        <v>0</v>
      </c>
      <c r="AK97">
        <f t="shared" si="84"/>
        <v>0</v>
      </c>
      <c r="AL97">
        <f t="shared" si="85"/>
        <v>0</v>
      </c>
      <c r="AM97">
        <f t="shared" si="86"/>
        <v>0</v>
      </c>
      <c r="AN97">
        <f t="shared" si="87"/>
        <v>0</v>
      </c>
      <c r="AO97">
        <f t="shared" si="88"/>
        <v>0</v>
      </c>
      <c r="AP97">
        <f t="shared" si="89"/>
        <v>0</v>
      </c>
      <c r="AQ97">
        <f t="shared" si="90"/>
        <v>0</v>
      </c>
      <c r="AR97">
        <f t="shared" si="91"/>
        <v>0</v>
      </c>
      <c r="AS97">
        <f t="shared" si="92"/>
        <v>0</v>
      </c>
      <c r="AT97">
        <f t="shared" si="93"/>
        <v>0</v>
      </c>
      <c r="AU97">
        <f t="shared" si="94"/>
        <v>0</v>
      </c>
      <c r="AV97">
        <f t="shared" si="95"/>
        <v>0</v>
      </c>
      <c r="AW97">
        <f t="shared" si="49"/>
        <v>0</v>
      </c>
      <c r="AX97">
        <f t="shared" si="96"/>
        <v>0</v>
      </c>
      <c r="AY97">
        <f t="shared" si="97"/>
        <v>0</v>
      </c>
    </row>
    <row r="98" spans="1:51" x14ac:dyDescent="0.35">
      <c r="A98">
        <v>92</v>
      </c>
      <c r="C98">
        <f t="shared" si="50"/>
        <v>0</v>
      </c>
      <c r="D98">
        <f t="shared" si="51"/>
        <v>0</v>
      </c>
      <c r="E98">
        <f t="shared" si="52"/>
        <v>0</v>
      </c>
      <c r="F98">
        <f t="shared" si="53"/>
        <v>0</v>
      </c>
      <c r="G98">
        <f t="shared" si="54"/>
        <v>0</v>
      </c>
      <c r="H98">
        <f t="shared" si="55"/>
        <v>0</v>
      </c>
      <c r="I98">
        <f t="shared" si="56"/>
        <v>0</v>
      </c>
      <c r="J98">
        <f t="shared" si="57"/>
        <v>0</v>
      </c>
      <c r="K98">
        <f t="shared" si="58"/>
        <v>0</v>
      </c>
      <c r="L98">
        <f t="shared" si="59"/>
        <v>0</v>
      </c>
      <c r="M98">
        <f t="shared" si="60"/>
        <v>0</v>
      </c>
      <c r="N98">
        <f t="shared" si="61"/>
        <v>0</v>
      </c>
      <c r="O98">
        <f t="shared" si="62"/>
        <v>0</v>
      </c>
      <c r="P98">
        <f t="shared" si="63"/>
        <v>0</v>
      </c>
      <c r="Q98">
        <f t="shared" si="64"/>
        <v>0</v>
      </c>
      <c r="R98">
        <f t="shared" si="65"/>
        <v>0</v>
      </c>
      <c r="S98">
        <f t="shared" si="66"/>
        <v>0</v>
      </c>
      <c r="T98">
        <f t="shared" si="67"/>
        <v>0</v>
      </c>
      <c r="U98">
        <f t="shared" si="68"/>
        <v>0</v>
      </c>
      <c r="V98">
        <f t="shared" si="69"/>
        <v>0</v>
      </c>
      <c r="W98">
        <f t="shared" si="70"/>
        <v>0</v>
      </c>
      <c r="X98">
        <f t="shared" si="71"/>
        <v>0</v>
      </c>
      <c r="Y98">
        <f t="shared" si="72"/>
        <v>0</v>
      </c>
      <c r="Z98">
        <f t="shared" si="73"/>
        <v>0</v>
      </c>
      <c r="AA98">
        <f t="shared" si="74"/>
        <v>0</v>
      </c>
      <c r="AB98">
        <f t="shared" si="75"/>
        <v>0</v>
      </c>
      <c r="AC98">
        <f t="shared" si="76"/>
        <v>0</v>
      </c>
      <c r="AD98">
        <f t="shared" si="77"/>
        <v>0</v>
      </c>
      <c r="AE98">
        <f t="shared" si="78"/>
        <v>0</v>
      </c>
      <c r="AF98">
        <f t="shared" si="79"/>
        <v>0</v>
      </c>
      <c r="AG98">
        <f t="shared" si="80"/>
        <v>0</v>
      </c>
      <c r="AH98">
        <f t="shared" si="81"/>
        <v>0</v>
      </c>
      <c r="AI98">
        <f t="shared" si="82"/>
        <v>0</v>
      </c>
      <c r="AJ98">
        <f t="shared" si="83"/>
        <v>0</v>
      </c>
      <c r="AK98">
        <f t="shared" si="84"/>
        <v>0</v>
      </c>
      <c r="AL98">
        <f t="shared" si="85"/>
        <v>0</v>
      </c>
      <c r="AM98">
        <f t="shared" si="86"/>
        <v>0</v>
      </c>
      <c r="AN98">
        <f t="shared" si="87"/>
        <v>0</v>
      </c>
      <c r="AO98">
        <f t="shared" si="88"/>
        <v>0</v>
      </c>
      <c r="AP98">
        <f t="shared" si="89"/>
        <v>0</v>
      </c>
      <c r="AQ98">
        <f t="shared" si="90"/>
        <v>0</v>
      </c>
      <c r="AR98">
        <f t="shared" si="91"/>
        <v>0</v>
      </c>
      <c r="AS98">
        <f t="shared" si="92"/>
        <v>0</v>
      </c>
      <c r="AT98">
        <f t="shared" si="93"/>
        <v>0</v>
      </c>
      <c r="AU98">
        <f t="shared" si="94"/>
        <v>0</v>
      </c>
      <c r="AV98">
        <f t="shared" si="95"/>
        <v>0</v>
      </c>
      <c r="AW98">
        <f t="shared" si="49"/>
        <v>0</v>
      </c>
      <c r="AX98">
        <f t="shared" si="96"/>
        <v>0</v>
      </c>
      <c r="AY98">
        <f t="shared" si="97"/>
        <v>0</v>
      </c>
    </row>
    <row r="99" spans="1:51" x14ac:dyDescent="0.35">
      <c r="A99">
        <v>93</v>
      </c>
      <c r="C99">
        <f t="shared" si="50"/>
        <v>0</v>
      </c>
      <c r="D99">
        <f t="shared" si="51"/>
        <v>0</v>
      </c>
      <c r="E99">
        <f t="shared" si="52"/>
        <v>0</v>
      </c>
      <c r="F99">
        <f t="shared" si="53"/>
        <v>0</v>
      </c>
      <c r="G99">
        <f t="shared" si="54"/>
        <v>0</v>
      </c>
      <c r="H99">
        <f t="shared" si="55"/>
        <v>0</v>
      </c>
      <c r="I99">
        <f t="shared" si="56"/>
        <v>0</v>
      </c>
      <c r="J99">
        <f t="shared" si="57"/>
        <v>0</v>
      </c>
      <c r="K99">
        <f t="shared" si="58"/>
        <v>0</v>
      </c>
      <c r="L99">
        <f t="shared" si="59"/>
        <v>0</v>
      </c>
      <c r="M99">
        <f t="shared" si="60"/>
        <v>0</v>
      </c>
      <c r="N99">
        <f t="shared" si="61"/>
        <v>0</v>
      </c>
      <c r="O99">
        <f t="shared" si="62"/>
        <v>0</v>
      </c>
      <c r="P99">
        <f t="shared" si="63"/>
        <v>0</v>
      </c>
      <c r="Q99">
        <f t="shared" si="64"/>
        <v>0</v>
      </c>
      <c r="R99">
        <f t="shared" si="65"/>
        <v>0</v>
      </c>
      <c r="S99">
        <f t="shared" si="66"/>
        <v>0</v>
      </c>
      <c r="T99">
        <f t="shared" si="67"/>
        <v>0</v>
      </c>
      <c r="U99">
        <f t="shared" si="68"/>
        <v>0</v>
      </c>
      <c r="V99">
        <f t="shared" si="69"/>
        <v>0</v>
      </c>
      <c r="W99">
        <f t="shared" si="70"/>
        <v>0</v>
      </c>
      <c r="X99">
        <f t="shared" si="71"/>
        <v>0</v>
      </c>
      <c r="Y99">
        <f t="shared" si="72"/>
        <v>0</v>
      </c>
      <c r="Z99">
        <f t="shared" si="73"/>
        <v>0</v>
      </c>
      <c r="AA99">
        <f t="shared" si="74"/>
        <v>0</v>
      </c>
      <c r="AB99">
        <f t="shared" si="75"/>
        <v>0</v>
      </c>
      <c r="AC99">
        <f t="shared" si="76"/>
        <v>0</v>
      </c>
      <c r="AD99">
        <f t="shared" si="77"/>
        <v>0</v>
      </c>
      <c r="AE99">
        <f t="shared" si="78"/>
        <v>0</v>
      </c>
      <c r="AF99">
        <f t="shared" si="79"/>
        <v>0</v>
      </c>
      <c r="AG99">
        <f t="shared" si="80"/>
        <v>0</v>
      </c>
      <c r="AH99">
        <f t="shared" si="81"/>
        <v>0</v>
      </c>
      <c r="AI99">
        <f t="shared" si="82"/>
        <v>0</v>
      </c>
      <c r="AJ99">
        <f t="shared" si="83"/>
        <v>0</v>
      </c>
      <c r="AK99">
        <f t="shared" si="84"/>
        <v>0</v>
      </c>
      <c r="AL99">
        <f t="shared" si="85"/>
        <v>0</v>
      </c>
      <c r="AM99">
        <f t="shared" si="86"/>
        <v>0</v>
      </c>
      <c r="AN99">
        <f t="shared" si="87"/>
        <v>0</v>
      </c>
      <c r="AO99">
        <f t="shared" si="88"/>
        <v>0</v>
      </c>
      <c r="AP99">
        <f t="shared" si="89"/>
        <v>0</v>
      </c>
      <c r="AQ99">
        <f t="shared" si="90"/>
        <v>0</v>
      </c>
      <c r="AR99">
        <f t="shared" si="91"/>
        <v>0</v>
      </c>
      <c r="AS99">
        <f t="shared" si="92"/>
        <v>0</v>
      </c>
      <c r="AT99">
        <f t="shared" si="93"/>
        <v>0</v>
      </c>
      <c r="AU99">
        <f t="shared" si="94"/>
        <v>0</v>
      </c>
      <c r="AV99">
        <f t="shared" si="95"/>
        <v>0</v>
      </c>
      <c r="AW99">
        <f t="shared" si="49"/>
        <v>0</v>
      </c>
      <c r="AX99">
        <f t="shared" si="96"/>
        <v>0</v>
      </c>
      <c r="AY99">
        <f t="shared" si="97"/>
        <v>0</v>
      </c>
    </row>
    <row r="100" spans="1:51" x14ac:dyDescent="0.35">
      <c r="A100">
        <v>94</v>
      </c>
      <c r="C100">
        <f t="shared" si="50"/>
        <v>0</v>
      </c>
      <c r="D100">
        <f t="shared" si="51"/>
        <v>0</v>
      </c>
      <c r="E100">
        <f t="shared" si="52"/>
        <v>0</v>
      </c>
      <c r="F100">
        <f t="shared" si="53"/>
        <v>0</v>
      </c>
      <c r="G100">
        <f t="shared" si="54"/>
        <v>0</v>
      </c>
      <c r="H100">
        <f t="shared" si="55"/>
        <v>0</v>
      </c>
      <c r="I100">
        <f t="shared" si="56"/>
        <v>0</v>
      </c>
      <c r="J100">
        <f t="shared" si="57"/>
        <v>0</v>
      </c>
      <c r="K100">
        <f t="shared" si="58"/>
        <v>0</v>
      </c>
      <c r="L100">
        <f t="shared" si="59"/>
        <v>0</v>
      </c>
      <c r="M100">
        <f t="shared" si="60"/>
        <v>0</v>
      </c>
      <c r="N100">
        <f t="shared" si="61"/>
        <v>0</v>
      </c>
      <c r="O100">
        <f t="shared" si="62"/>
        <v>0</v>
      </c>
      <c r="P100">
        <f t="shared" si="63"/>
        <v>0</v>
      </c>
      <c r="Q100">
        <f t="shared" si="64"/>
        <v>0</v>
      </c>
      <c r="R100">
        <f t="shared" si="65"/>
        <v>0</v>
      </c>
      <c r="S100">
        <f t="shared" si="66"/>
        <v>0</v>
      </c>
      <c r="T100">
        <f t="shared" si="67"/>
        <v>0</v>
      </c>
      <c r="U100">
        <f t="shared" si="68"/>
        <v>0</v>
      </c>
      <c r="V100">
        <f t="shared" si="69"/>
        <v>0</v>
      </c>
      <c r="W100">
        <f t="shared" si="70"/>
        <v>0</v>
      </c>
      <c r="X100">
        <f t="shared" si="71"/>
        <v>0</v>
      </c>
      <c r="Y100">
        <f t="shared" si="72"/>
        <v>0</v>
      </c>
      <c r="Z100">
        <f t="shared" si="73"/>
        <v>0</v>
      </c>
      <c r="AA100">
        <f t="shared" si="74"/>
        <v>0</v>
      </c>
      <c r="AB100">
        <f t="shared" si="75"/>
        <v>0</v>
      </c>
      <c r="AC100">
        <f t="shared" si="76"/>
        <v>0</v>
      </c>
      <c r="AD100">
        <f t="shared" si="77"/>
        <v>0</v>
      </c>
      <c r="AE100">
        <f t="shared" si="78"/>
        <v>0</v>
      </c>
      <c r="AF100">
        <f t="shared" si="79"/>
        <v>0</v>
      </c>
      <c r="AG100">
        <f t="shared" si="80"/>
        <v>0</v>
      </c>
      <c r="AH100">
        <f t="shared" si="81"/>
        <v>0</v>
      </c>
      <c r="AI100">
        <f t="shared" si="82"/>
        <v>0</v>
      </c>
      <c r="AJ100">
        <f t="shared" si="83"/>
        <v>0</v>
      </c>
      <c r="AK100">
        <f t="shared" si="84"/>
        <v>0</v>
      </c>
      <c r="AL100">
        <f t="shared" si="85"/>
        <v>0</v>
      </c>
      <c r="AM100">
        <f t="shared" si="86"/>
        <v>0</v>
      </c>
      <c r="AN100">
        <f t="shared" si="87"/>
        <v>0</v>
      </c>
      <c r="AO100">
        <f t="shared" si="88"/>
        <v>0</v>
      </c>
      <c r="AP100">
        <f t="shared" si="89"/>
        <v>0</v>
      </c>
      <c r="AQ100">
        <f t="shared" si="90"/>
        <v>0</v>
      </c>
      <c r="AR100">
        <f t="shared" si="91"/>
        <v>0</v>
      </c>
      <c r="AS100">
        <f t="shared" si="92"/>
        <v>0</v>
      </c>
      <c r="AT100">
        <f t="shared" si="93"/>
        <v>0</v>
      </c>
      <c r="AU100">
        <f t="shared" si="94"/>
        <v>0</v>
      </c>
      <c r="AV100">
        <f t="shared" si="95"/>
        <v>0</v>
      </c>
      <c r="AW100">
        <f t="shared" si="49"/>
        <v>0</v>
      </c>
      <c r="AX100">
        <f t="shared" si="96"/>
        <v>0</v>
      </c>
      <c r="AY100">
        <f t="shared" si="97"/>
        <v>0</v>
      </c>
    </row>
    <row r="101" spans="1:51" x14ac:dyDescent="0.35">
      <c r="A101">
        <v>95</v>
      </c>
      <c r="C101">
        <f t="shared" si="50"/>
        <v>0</v>
      </c>
      <c r="D101">
        <f t="shared" si="51"/>
        <v>0</v>
      </c>
      <c r="E101">
        <f t="shared" si="52"/>
        <v>0</v>
      </c>
      <c r="F101">
        <f t="shared" si="53"/>
        <v>0</v>
      </c>
      <c r="G101">
        <f t="shared" si="54"/>
        <v>0</v>
      </c>
      <c r="H101">
        <f t="shared" si="55"/>
        <v>0</v>
      </c>
      <c r="I101">
        <f t="shared" si="56"/>
        <v>0</v>
      </c>
      <c r="J101">
        <f t="shared" si="57"/>
        <v>0</v>
      </c>
      <c r="K101">
        <f t="shared" si="58"/>
        <v>0</v>
      </c>
      <c r="L101">
        <f t="shared" si="59"/>
        <v>0</v>
      </c>
      <c r="M101">
        <f t="shared" si="60"/>
        <v>0</v>
      </c>
      <c r="N101">
        <f t="shared" si="61"/>
        <v>0</v>
      </c>
      <c r="O101">
        <f t="shared" si="62"/>
        <v>0</v>
      </c>
      <c r="P101">
        <f t="shared" si="63"/>
        <v>0</v>
      </c>
      <c r="Q101">
        <f t="shared" si="64"/>
        <v>0</v>
      </c>
      <c r="R101">
        <f t="shared" si="65"/>
        <v>0</v>
      </c>
      <c r="S101">
        <f t="shared" si="66"/>
        <v>0</v>
      </c>
      <c r="T101">
        <f t="shared" si="67"/>
        <v>0</v>
      </c>
      <c r="U101">
        <f t="shared" si="68"/>
        <v>0</v>
      </c>
      <c r="V101">
        <f t="shared" si="69"/>
        <v>0</v>
      </c>
      <c r="W101">
        <f t="shared" si="70"/>
        <v>0</v>
      </c>
      <c r="X101">
        <f t="shared" si="71"/>
        <v>0</v>
      </c>
      <c r="Y101">
        <f t="shared" si="72"/>
        <v>0</v>
      </c>
      <c r="Z101">
        <f t="shared" si="73"/>
        <v>0</v>
      </c>
      <c r="AA101">
        <f t="shared" si="74"/>
        <v>0</v>
      </c>
      <c r="AB101">
        <f t="shared" si="75"/>
        <v>0</v>
      </c>
      <c r="AC101">
        <f t="shared" si="76"/>
        <v>0</v>
      </c>
      <c r="AD101">
        <f t="shared" si="77"/>
        <v>0</v>
      </c>
      <c r="AE101">
        <f t="shared" si="78"/>
        <v>0</v>
      </c>
      <c r="AF101">
        <f t="shared" si="79"/>
        <v>0</v>
      </c>
      <c r="AG101">
        <f t="shared" si="80"/>
        <v>0</v>
      </c>
      <c r="AH101">
        <f t="shared" si="81"/>
        <v>0</v>
      </c>
      <c r="AI101">
        <f t="shared" si="82"/>
        <v>0</v>
      </c>
      <c r="AJ101">
        <f t="shared" si="83"/>
        <v>0</v>
      </c>
      <c r="AK101">
        <f t="shared" si="84"/>
        <v>0</v>
      </c>
      <c r="AL101">
        <f t="shared" si="85"/>
        <v>0</v>
      </c>
      <c r="AM101">
        <f t="shared" si="86"/>
        <v>0</v>
      </c>
      <c r="AN101">
        <f t="shared" si="87"/>
        <v>0</v>
      </c>
      <c r="AO101">
        <f t="shared" si="88"/>
        <v>0</v>
      </c>
      <c r="AP101">
        <f t="shared" si="89"/>
        <v>0</v>
      </c>
      <c r="AQ101">
        <f t="shared" si="90"/>
        <v>0</v>
      </c>
      <c r="AR101">
        <f t="shared" si="91"/>
        <v>0</v>
      </c>
      <c r="AS101">
        <f t="shared" si="92"/>
        <v>0</v>
      </c>
      <c r="AT101">
        <f t="shared" si="93"/>
        <v>0</v>
      </c>
      <c r="AU101">
        <f t="shared" si="94"/>
        <v>0</v>
      </c>
      <c r="AV101">
        <f t="shared" si="95"/>
        <v>0</v>
      </c>
      <c r="AW101">
        <f t="shared" si="49"/>
        <v>0</v>
      </c>
      <c r="AX101">
        <f t="shared" si="96"/>
        <v>0</v>
      </c>
      <c r="AY101">
        <f t="shared" si="97"/>
        <v>0</v>
      </c>
    </row>
    <row r="102" spans="1:51" x14ac:dyDescent="0.35">
      <c r="A102">
        <v>96</v>
      </c>
      <c r="C102">
        <f t="shared" si="50"/>
        <v>0</v>
      </c>
      <c r="D102">
        <f t="shared" si="51"/>
        <v>0</v>
      </c>
      <c r="E102">
        <f t="shared" si="52"/>
        <v>0</v>
      </c>
      <c r="F102">
        <f t="shared" si="53"/>
        <v>0</v>
      </c>
      <c r="G102">
        <f t="shared" si="54"/>
        <v>0</v>
      </c>
      <c r="H102">
        <f t="shared" si="55"/>
        <v>0</v>
      </c>
      <c r="I102">
        <f t="shared" si="56"/>
        <v>0</v>
      </c>
      <c r="J102">
        <f t="shared" si="57"/>
        <v>0</v>
      </c>
      <c r="K102">
        <f t="shared" si="58"/>
        <v>0</v>
      </c>
      <c r="L102">
        <f t="shared" si="59"/>
        <v>0</v>
      </c>
      <c r="M102">
        <f t="shared" si="60"/>
        <v>0</v>
      </c>
      <c r="N102">
        <f t="shared" si="61"/>
        <v>0</v>
      </c>
      <c r="O102">
        <f t="shared" si="62"/>
        <v>0</v>
      </c>
      <c r="P102">
        <f t="shared" si="63"/>
        <v>0</v>
      </c>
      <c r="Q102">
        <f t="shared" si="64"/>
        <v>0</v>
      </c>
      <c r="R102">
        <f t="shared" si="65"/>
        <v>0</v>
      </c>
      <c r="S102">
        <f t="shared" si="66"/>
        <v>0</v>
      </c>
      <c r="T102">
        <f t="shared" si="67"/>
        <v>0</v>
      </c>
      <c r="U102">
        <f t="shared" si="68"/>
        <v>0</v>
      </c>
      <c r="V102">
        <f t="shared" si="69"/>
        <v>0</v>
      </c>
      <c r="W102">
        <f t="shared" si="70"/>
        <v>0</v>
      </c>
      <c r="X102">
        <f t="shared" si="71"/>
        <v>0</v>
      </c>
      <c r="Y102">
        <f t="shared" si="72"/>
        <v>0</v>
      </c>
      <c r="Z102">
        <f t="shared" si="73"/>
        <v>0</v>
      </c>
      <c r="AA102">
        <f t="shared" si="74"/>
        <v>0</v>
      </c>
      <c r="AB102">
        <f t="shared" si="75"/>
        <v>0</v>
      </c>
      <c r="AC102">
        <f t="shared" si="76"/>
        <v>0</v>
      </c>
      <c r="AD102">
        <f t="shared" si="77"/>
        <v>0</v>
      </c>
      <c r="AE102">
        <f t="shared" si="78"/>
        <v>0</v>
      </c>
      <c r="AF102">
        <f t="shared" si="79"/>
        <v>0</v>
      </c>
      <c r="AG102">
        <f t="shared" si="80"/>
        <v>0</v>
      </c>
      <c r="AH102">
        <f t="shared" si="81"/>
        <v>0</v>
      </c>
      <c r="AI102">
        <f t="shared" si="82"/>
        <v>0</v>
      </c>
      <c r="AJ102">
        <f t="shared" si="83"/>
        <v>0</v>
      </c>
      <c r="AK102">
        <f t="shared" si="84"/>
        <v>0</v>
      </c>
      <c r="AL102">
        <f t="shared" si="85"/>
        <v>0</v>
      </c>
      <c r="AM102">
        <f t="shared" si="86"/>
        <v>0</v>
      </c>
      <c r="AN102">
        <f t="shared" si="87"/>
        <v>0</v>
      </c>
      <c r="AO102">
        <f t="shared" si="88"/>
        <v>0</v>
      </c>
      <c r="AP102">
        <f t="shared" si="89"/>
        <v>0</v>
      </c>
      <c r="AQ102">
        <f t="shared" si="90"/>
        <v>0</v>
      </c>
      <c r="AR102">
        <f t="shared" si="91"/>
        <v>0</v>
      </c>
      <c r="AS102">
        <f t="shared" si="92"/>
        <v>0</v>
      </c>
      <c r="AT102">
        <f t="shared" si="93"/>
        <v>0</v>
      </c>
      <c r="AU102">
        <f t="shared" si="94"/>
        <v>0</v>
      </c>
      <c r="AV102">
        <f t="shared" si="95"/>
        <v>0</v>
      </c>
      <c r="AW102">
        <f t="shared" si="49"/>
        <v>0</v>
      </c>
      <c r="AX102">
        <f t="shared" si="96"/>
        <v>0</v>
      </c>
      <c r="AY102">
        <f t="shared" si="97"/>
        <v>0</v>
      </c>
    </row>
    <row r="103" spans="1:51" x14ac:dyDescent="0.35">
      <c r="A103">
        <v>97</v>
      </c>
      <c r="C103">
        <f t="shared" si="50"/>
        <v>0</v>
      </c>
      <c r="D103">
        <f t="shared" si="51"/>
        <v>0</v>
      </c>
      <c r="E103">
        <f t="shared" si="52"/>
        <v>0</v>
      </c>
      <c r="F103">
        <f t="shared" si="53"/>
        <v>0</v>
      </c>
      <c r="G103">
        <f t="shared" si="54"/>
        <v>0</v>
      </c>
      <c r="H103">
        <f t="shared" si="55"/>
        <v>0</v>
      </c>
      <c r="I103">
        <f t="shared" si="56"/>
        <v>0</v>
      </c>
      <c r="J103">
        <f t="shared" si="57"/>
        <v>0</v>
      </c>
      <c r="K103">
        <f t="shared" si="58"/>
        <v>0</v>
      </c>
      <c r="L103">
        <f t="shared" si="59"/>
        <v>0</v>
      </c>
      <c r="M103">
        <f t="shared" si="60"/>
        <v>0</v>
      </c>
      <c r="N103">
        <f t="shared" si="61"/>
        <v>0</v>
      </c>
      <c r="O103">
        <f t="shared" si="62"/>
        <v>0</v>
      </c>
      <c r="P103">
        <f t="shared" si="63"/>
        <v>0</v>
      </c>
      <c r="Q103">
        <f t="shared" si="64"/>
        <v>0</v>
      </c>
      <c r="R103">
        <f t="shared" si="65"/>
        <v>0</v>
      </c>
      <c r="S103">
        <f t="shared" si="66"/>
        <v>0</v>
      </c>
      <c r="T103">
        <f t="shared" si="67"/>
        <v>0</v>
      </c>
      <c r="U103">
        <f t="shared" si="68"/>
        <v>0</v>
      </c>
      <c r="V103">
        <f t="shared" si="69"/>
        <v>0</v>
      </c>
      <c r="W103">
        <f t="shared" si="70"/>
        <v>0</v>
      </c>
      <c r="X103">
        <f t="shared" si="71"/>
        <v>0</v>
      </c>
      <c r="Y103">
        <f t="shared" si="72"/>
        <v>0</v>
      </c>
      <c r="Z103">
        <f t="shared" si="73"/>
        <v>0</v>
      </c>
      <c r="AA103">
        <f t="shared" si="74"/>
        <v>0</v>
      </c>
      <c r="AB103">
        <f t="shared" si="75"/>
        <v>0</v>
      </c>
      <c r="AC103">
        <f t="shared" si="76"/>
        <v>0</v>
      </c>
      <c r="AD103">
        <f t="shared" si="77"/>
        <v>0</v>
      </c>
      <c r="AE103">
        <f t="shared" si="78"/>
        <v>0</v>
      </c>
      <c r="AF103">
        <f t="shared" si="79"/>
        <v>0</v>
      </c>
      <c r="AG103">
        <f t="shared" si="80"/>
        <v>0</v>
      </c>
      <c r="AH103">
        <f t="shared" si="81"/>
        <v>0</v>
      </c>
      <c r="AI103">
        <f t="shared" si="82"/>
        <v>0</v>
      </c>
      <c r="AJ103">
        <f t="shared" si="83"/>
        <v>0</v>
      </c>
      <c r="AK103">
        <f t="shared" si="84"/>
        <v>0</v>
      </c>
      <c r="AL103">
        <f t="shared" si="85"/>
        <v>0</v>
      </c>
      <c r="AM103">
        <f t="shared" si="86"/>
        <v>0</v>
      </c>
      <c r="AN103">
        <f t="shared" si="87"/>
        <v>0</v>
      </c>
      <c r="AO103">
        <f t="shared" si="88"/>
        <v>0</v>
      </c>
      <c r="AP103">
        <f t="shared" si="89"/>
        <v>0</v>
      </c>
      <c r="AQ103">
        <f t="shared" si="90"/>
        <v>0</v>
      </c>
      <c r="AR103">
        <f t="shared" si="91"/>
        <v>0</v>
      </c>
      <c r="AS103">
        <f t="shared" si="92"/>
        <v>0</v>
      </c>
      <c r="AT103">
        <f t="shared" si="93"/>
        <v>0</v>
      </c>
      <c r="AU103">
        <f t="shared" si="94"/>
        <v>0</v>
      </c>
      <c r="AV103">
        <f t="shared" si="95"/>
        <v>0</v>
      </c>
      <c r="AW103">
        <f t="shared" si="49"/>
        <v>0</v>
      </c>
      <c r="AX103">
        <f t="shared" si="96"/>
        <v>0</v>
      </c>
      <c r="AY103">
        <f t="shared" si="97"/>
        <v>0</v>
      </c>
    </row>
    <row r="104" spans="1:51" x14ac:dyDescent="0.35">
      <c r="A104">
        <v>98</v>
      </c>
      <c r="C104">
        <f t="shared" si="50"/>
        <v>0</v>
      </c>
      <c r="D104">
        <f t="shared" si="51"/>
        <v>0</v>
      </c>
      <c r="E104">
        <f t="shared" si="52"/>
        <v>0</v>
      </c>
      <c r="F104">
        <f t="shared" si="53"/>
        <v>0</v>
      </c>
      <c r="G104">
        <f t="shared" si="54"/>
        <v>0</v>
      </c>
      <c r="H104">
        <f t="shared" si="55"/>
        <v>0</v>
      </c>
      <c r="I104">
        <f t="shared" si="56"/>
        <v>0</v>
      </c>
      <c r="J104">
        <f t="shared" si="57"/>
        <v>0</v>
      </c>
      <c r="K104">
        <f t="shared" si="58"/>
        <v>0</v>
      </c>
      <c r="L104">
        <f t="shared" si="59"/>
        <v>0</v>
      </c>
      <c r="M104">
        <f t="shared" si="60"/>
        <v>0</v>
      </c>
      <c r="N104">
        <f t="shared" si="61"/>
        <v>0</v>
      </c>
      <c r="O104">
        <f t="shared" si="62"/>
        <v>0</v>
      </c>
      <c r="P104">
        <f t="shared" si="63"/>
        <v>0</v>
      </c>
      <c r="Q104">
        <f t="shared" si="64"/>
        <v>0</v>
      </c>
      <c r="R104">
        <f t="shared" si="65"/>
        <v>0</v>
      </c>
      <c r="S104">
        <f t="shared" si="66"/>
        <v>0</v>
      </c>
      <c r="T104">
        <f t="shared" si="67"/>
        <v>0</v>
      </c>
      <c r="U104">
        <f t="shared" si="68"/>
        <v>0</v>
      </c>
      <c r="V104">
        <f t="shared" si="69"/>
        <v>0</v>
      </c>
      <c r="W104">
        <f t="shared" si="70"/>
        <v>0</v>
      </c>
      <c r="X104">
        <f t="shared" si="71"/>
        <v>0</v>
      </c>
      <c r="Y104">
        <f t="shared" si="72"/>
        <v>0</v>
      </c>
      <c r="Z104">
        <f t="shared" si="73"/>
        <v>0</v>
      </c>
      <c r="AA104">
        <f t="shared" si="74"/>
        <v>0</v>
      </c>
      <c r="AB104">
        <f t="shared" si="75"/>
        <v>0</v>
      </c>
      <c r="AC104">
        <f t="shared" si="76"/>
        <v>0</v>
      </c>
      <c r="AD104">
        <f t="shared" si="77"/>
        <v>0</v>
      </c>
      <c r="AE104">
        <f t="shared" si="78"/>
        <v>0</v>
      </c>
      <c r="AF104">
        <f t="shared" si="79"/>
        <v>0</v>
      </c>
      <c r="AG104">
        <f t="shared" si="80"/>
        <v>0</v>
      </c>
      <c r="AH104">
        <f t="shared" si="81"/>
        <v>0</v>
      </c>
      <c r="AI104">
        <f t="shared" si="82"/>
        <v>0</v>
      </c>
      <c r="AJ104">
        <f t="shared" si="83"/>
        <v>0</v>
      </c>
      <c r="AK104">
        <f t="shared" si="84"/>
        <v>0</v>
      </c>
      <c r="AL104">
        <f t="shared" si="85"/>
        <v>0</v>
      </c>
      <c r="AM104">
        <f t="shared" si="86"/>
        <v>0</v>
      </c>
      <c r="AN104">
        <f t="shared" si="87"/>
        <v>0</v>
      </c>
      <c r="AO104">
        <f t="shared" si="88"/>
        <v>0</v>
      </c>
      <c r="AP104">
        <f t="shared" si="89"/>
        <v>0</v>
      </c>
      <c r="AQ104">
        <f t="shared" si="90"/>
        <v>0</v>
      </c>
      <c r="AR104">
        <f t="shared" si="91"/>
        <v>0</v>
      </c>
      <c r="AS104">
        <f t="shared" si="92"/>
        <v>0</v>
      </c>
      <c r="AT104">
        <f t="shared" si="93"/>
        <v>0</v>
      </c>
      <c r="AU104">
        <f t="shared" si="94"/>
        <v>0</v>
      </c>
      <c r="AV104">
        <f t="shared" si="95"/>
        <v>0</v>
      </c>
      <c r="AW104">
        <f t="shared" si="49"/>
        <v>0</v>
      </c>
      <c r="AX104">
        <f t="shared" si="96"/>
        <v>0</v>
      </c>
      <c r="AY104">
        <f t="shared" si="97"/>
        <v>0</v>
      </c>
    </row>
    <row r="105" spans="1:51" x14ac:dyDescent="0.35">
      <c r="A105">
        <v>99</v>
      </c>
      <c r="C105">
        <f t="shared" si="50"/>
        <v>0</v>
      </c>
      <c r="D105">
        <f t="shared" si="51"/>
        <v>0</v>
      </c>
      <c r="E105">
        <f t="shared" si="52"/>
        <v>0</v>
      </c>
      <c r="F105">
        <f t="shared" si="53"/>
        <v>0</v>
      </c>
      <c r="G105">
        <f t="shared" si="54"/>
        <v>0</v>
      </c>
      <c r="H105">
        <f t="shared" si="55"/>
        <v>0</v>
      </c>
      <c r="I105">
        <f t="shared" si="56"/>
        <v>0</v>
      </c>
      <c r="J105">
        <f t="shared" si="57"/>
        <v>0</v>
      </c>
      <c r="K105">
        <f t="shared" si="58"/>
        <v>0</v>
      </c>
      <c r="L105">
        <f t="shared" si="59"/>
        <v>0</v>
      </c>
      <c r="M105">
        <f t="shared" si="60"/>
        <v>0</v>
      </c>
      <c r="N105">
        <f t="shared" si="61"/>
        <v>0</v>
      </c>
      <c r="O105">
        <f t="shared" si="62"/>
        <v>0</v>
      </c>
      <c r="P105">
        <f t="shared" si="63"/>
        <v>0</v>
      </c>
      <c r="Q105">
        <f t="shared" si="64"/>
        <v>0</v>
      </c>
      <c r="R105">
        <f t="shared" si="65"/>
        <v>0</v>
      </c>
      <c r="S105">
        <f t="shared" si="66"/>
        <v>0</v>
      </c>
      <c r="T105">
        <f t="shared" si="67"/>
        <v>0</v>
      </c>
      <c r="U105">
        <f t="shared" si="68"/>
        <v>0</v>
      </c>
      <c r="V105">
        <f t="shared" si="69"/>
        <v>0</v>
      </c>
      <c r="W105">
        <f t="shared" si="70"/>
        <v>0</v>
      </c>
      <c r="X105">
        <f t="shared" si="71"/>
        <v>0</v>
      </c>
      <c r="Y105">
        <f t="shared" si="72"/>
        <v>0</v>
      </c>
      <c r="Z105">
        <f t="shared" si="73"/>
        <v>0</v>
      </c>
      <c r="AA105">
        <f t="shared" si="74"/>
        <v>0</v>
      </c>
      <c r="AB105">
        <f t="shared" si="75"/>
        <v>0</v>
      </c>
      <c r="AC105">
        <f t="shared" si="76"/>
        <v>0</v>
      </c>
      <c r="AD105">
        <f t="shared" si="77"/>
        <v>0</v>
      </c>
      <c r="AE105">
        <f t="shared" si="78"/>
        <v>0</v>
      </c>
      <c r="AF105">
        <f t="shared" si="79"/>
        <v>0</v>
      </c>
      <c r="AG105">
        <f t="shared" si="80"/>
        <v>0</v>
      </c>
      <c r="AH105">
        <f t="shared" si="81"/>
        <v>0</v>
      </c>
      <c r="AI105">
        <f t="shared" si="82"/>
        <v>0</v>
      </c>
      <c r="AJ105">
        <f t="shared" si="83"/>
        <v>0</v>
      </c>
      <c r="AK105">
        <f t="shared" si="84"/>
        <v>0</v>
      </c>
      <c r="AL105">
        <f t="shared" si="85"/>
        <v>0</v>
      </c>
      <c r="AM105">
        <f t="shared" si="86"/>
        <v>0</v>
      </c>
      <c r="AN105">
        <f t="shared" si="87"/>
        <v>0</v>
      </c>
      <c r="AO105">
        <f t="shared" si="88"/>
        <v>0</v>
      </c>
      <c r="AP105">
        <f t="shared" si="89"/>
        <v>0</v>
      </c>
      <c r="AQ105">
        <f t="shared" si="90"/>
        <v>0</v>
      </c>
      <c r="AR105">
        <f t="shared" si="91"/>
        <v>0</v>
      </c>
      <c r="AS105">
        <f t="shared" si="92"/>
        <v>0</v>
      </c>
      <c r="AT105">
        <f t="shared" si="93"/>
        <v>0</v>
      </c>
      <c r="AU105">
        <f t="shared" si="94"/>
        <v>0</v>
      </c>
      <c r="AV105">
        <f t="shared" si="95"/>
        <v>0</v>
      </c>
      <c r="AW105">
        <f t="shared" si="49"/>
        <v>0</v>
      </c>
      <c r="AX105">
        <f t="shared" si="96"/>
        <v>0</v>
      </c>
      <c r="AY105">
        <f t="shared" si="97"/>
        <v>0</v>
      </c>
    </row>
    <row r="106" spans="1:51" x14ac:dyDescent="0.35">
      <c r="A106">
        <v>100</v>
      </c>
      <c r="C106">
        <f t="shared" si="50"/>
        <v>0</v>
      </c>
      <c r="D106">
        <f t="shared" si="51"/>
        <v>0</v>
      </c>
      <c r="E106">
        <f t="shared" si="52"/>
        <v>0</v>
      </c>
      <c r="F106">
        <f t="shared" si="53"/>
        <v>0</v>
      </c>
      <c r="G106">
        <f t="shared" si="54"/>
        <v>0</v>
      </c>
      <c r="H106">
        <f t="shared" si="55"/>
        <v>0</v>
      </c>
      <c r="I106">
        <f t="shared" si="56"/>
        <v>0</v>
      </c>
      <c r="J106">
        <f t="shared" si="57"/>
        <v>0</v>
      </c>
      <c r="K106">
        <f t="shared" si="58"/>
        <v>0</v>
      </c>
      <c r="L106">
        <f t="shared" si="59"/>
        <v>0</v>
      </c>
      <c r="M106">
        <f t="shared" si="60"/>
        <v>0</v>
      </c>
      <c r="N106">
        <f t="shared" si="61"/>
        <v>0</v>
      </c>
      <c r="O106">
        <f t="shared" si="62"/>
        <v>0</v>
      </c>
      <c r="P106">
        <f t="shared" si="63"/>
        <v>0</v>
      </c>
      <c r="Q106">
        <f t="shared" si="64"/>
        <v>0</v>
      </c>
      <c r="R106">
        <f t="shared" si="65"/>
        <v>0</v>
      </c>
      <c r="S106">
        <f t="shared" si="66"/>
        <v>0</v>
      </c>
      <c r="T106">
        <f t="shared" si="67"/>
        <v>0</v>
      </c>
      <c r="U106">
        <f t="shared" si="68"/>
        <v>0</v>
      </c>
      <c r="V106">
        <f t="shared" si="69"/>
        <v>0</v>
      </c>
      <c r="W106">
        <f t="shared" si="70"/>
        <v>0</v>
      </c>
      <c r="X106">
        <f t="shared" si="71"/>
        <v>0</v>
      </c>
      <c r="Y106">
        <f t="shared" si="72"/>
        <v>0</v>
      </c>
      <c r="Z106">
        <f t="shared" si="73"/>
        <v>0</v>
      </c>
      <c r="AA106">
        <f t="shared" si="74"/>
        <v>0</v>
      </c>
      <c r="AB106">
        <f t="shared" si="75"/>
        <v>0</v>
      </c>
      <c r="AC106">
        <f t="shared" si="76"/>
        <v>0</v>
      </c>
      <c r="AD106">
        <f t="shared" si="77"/>
        <v>0</v>
      </c>
      <c r="AE106">
        <f t="shared" si="78"/>
        <v>0</v>
      </c>
      <c r="AF106">
        <f t="shared" si="79"/>
        <v>0</v>
      </c>
      <c r="AG106">
        <f t="shared" si="80"/>
        <v>0</v>
      </c>
      <c r="AH106">
        <f t="shared" si="81"/>
        <v>0</v>
      </c>
      <c r="AI106">
        <f t="shared" si="82"/>
        <v>0</v>
      </c>
      <c r="AJ106">
        <f t="shared" si="83"/>
        <v>0</v>
      </c>
      <c r="AK106">
        <f t="shared" si="84"/>
        <v>0</v>
      </c>
      <c r="AL106">
        <f t="shared" si="85"/>
        <v>0</v>
      </c>
      <c r="AM106">
        <f t="shared" si="86"/>
        <v>0</v>
      </c>
      <c r="AN106">
        <f t="shared" si="87"/>
        <v>0</v>
      </c>
      <c r="AO106">
        <f t="shared" si="88"/>
        <v>0</v>
      </c>
      <c r="AP106">
        <f t="shared" si="89"/>
        <v>0</v>
      </c>
      <c r="AQ106">
        <f t="shared" si="90"/>
        <v>0</v>
      </c>
      <c r="AR106">
        <f t="shared" si="91"/>
        <v>0</v>
      </c>
      <c r="AS106">
        <f t="shared" si="92"/>
        <v>0</v>
      </c>
      <c r="AT106">
        <f t="shared" si="93"/>
        <v>0</v>
      </c>
      <c r="AU106">
        <f t="shared" si="94"/>
        <v>0</v>
      </c>
      <c r="AV106">
        <f t="shared" si="95"/>
        <v>0</v>
      </c>
      <c r="AW106">
        <f t="shared" si="49"/>
        <v>0</v>
      </c>
      <c r="AX106">
        <f t="shared" si="96"/>
        <v>0</v>
      </c>
      <c r="AY106">
        <f t="shared" si="97"/>
        <v>0</v>
      </c>
    </row>
    <row r="107" spans="1:51" x14ac:dyDescent="0.35">
      <c r="A107">
        <v>101</v>
      </c>
      <c r="C107">
        <f t="shared" si="50"/>
        <v>0</v>
      </c>
      <c r="D107">
        <f t="shared" si="51"/>
        <v>0</v>
      </c>
      <c r="E107">
        <f t="shared" si="52"/>
        <v>0</v>
      </c>
      <c r="F107">
        <f t="shared" si="53"/>
        <v>0</v>
      </c>
      <c r="G107">
        <f t="shared" si="54"/>
        <v>0</v>
      </c>
      <c r="H107">
        <f t="shared" si="55"/>
        <v>0</v>
      </c>
      <c r="I107">
        <f t="shared" si="56"/>
        <v>0</v>
      </c>
      <c r="J107">
        <f t="shared" si="57"/>
        <v>0</v>
      </c>
      <c r="K107">
        <f t="shared" si="58"/>
        <v>0</v>
      </c>
      <c r="L107">
        <f t="shared" si="59"/>
        <v>0</v>
      </c>
      <c r="M107">
        <f t="shared" si="60"/>
        <v>0</v>
      </c>
      <c r="N107">
        <f t="shared" si="61"/>
        <v>0</v>
      </c>
      <c r="O107">
        <f t="shared" si="62"/>
        <v>0</v>
      </c>
      <c r="P107">
        <f t="shared" si="63"/>
        <v>0</v>
      </c>
      <c r="Q107">
        <f t="shared" si="64"/>
        <v>0</v>
      </c>
      <c r="R107">
        <f t="shared" si="65"/>
        <v>0</v>
      </c>
      <c r="S107">
        <f t="shared" si="66"/>
        <v>0</v>
      </c>
      <c r="T107">
        <f t="shared" si="67"/>
        <v>0</v>
      </c>
      <c r="U107">
        <f t="shared" si="68"/>
        <v>0</v>
      </c>
      <c r="V107">
        <f t="shared" si="69"/>
        <v>0</v>
      </c>
      <c r="W107">
        <f t="shared" si="70"/>
        <v>0</v>
      </c>
      <c r="X107">
        <f t="shared" si="71"/>
        <v>0</v>
      </c>
      <c r="Y107">
        <f t="shared" si="72"/>
        <v>0</v>
      </c>
      <c r="Z107">
        <f t="shared" si="73"/>
        <v>0</v>
      </c>
      <c r="AA107">
        <f t="shared" si="74"/>
        <v>0</v>
      </c>
      <c r="AB107">
        <f t="shared" si="75"/>
        <v>0</v>
      </c>
      <c r="AC107">
        <f t="shared" si="76"/>
        <v>0</v>
      </c>
      <c r="AD107">
        <f t="shared" si="77"/>
        <v>0</v>
      </c>
      <c r="AE107">
        <f t="shared" si="78"/>
        <v>0</v>
      </c>
      <c r="AF107">
        <f t="shared" si="79"/>
        <v>0</v>
      </c>
      <c r="AG107">
        <f t="shared" si="80"/>
        <v>0</v>
      </c>
      <c r="AH107">
        <f t="shared" si="81"/>
        <v>0</v>
      </c>
      <c r="AI107">
        <f t="shared" si="82"/>
        <v>0</v>
      </c>
      <c r="AJ107">
        <f t="shared" si="83"/>
        <v>0</v>
      </c>
      <c r="AK107">
        <f t="shared" si="84"/>
        <v>0</v>
      </c>
      <c r="AL107">
        <f t="shared" si="85"/>
        <v>0</v>
      </c>
      <c r="AM107">
        <f t="shared" si="86"/>
        <v>0</v>
      </c>
      <c r="AN107">
        <f t="shared" si="87"/>
        <v>0</v>
      </c>
      <c r="AO107">
        <f t="shared" si="88"/>
        <v>0</v>
      </c>
      <c r="AP107">
        <f t="shared" si="89"/>
        <v>0</v>
      </c>
      <c r="AQ107">
        <f t="shared" si="90"/>
        <v>0</v>
      </c>
      <c r="AR107">
        <f t="shared" si="91"/>
        <v>0</v>
      </c>
      <c r="AS107">
        <f t="shared" si="92"/>
        <v>0</v>
      </c>
      <c r="AT107">
        <f t="shared" si="93"/>
        <v>0</v>
      </c>
      <c r="AU107">
        <f t="shared" si="94"/>
        <v>0</v>
      </c>
      <c r="AV107">
        <f t="shared" si="95"/>
        <v>0</v>
      </c>
      <c r="AW107">
        <f t="shared" si="49"/>
        <v>0</v>
      </c>
      <c r="AX107">
        <f t="shared" si="96"/>
        <v>0</v>
      </c>
      <c r="AY107">
        <f t="shared" si="97"/>
        <v>0</v>
      </c>
    </row>
    <row r="108" spans="1:51" x14ac:dyDescent="0.35">
      <c r="A108">
        <v>102</v>
      </c>
      <c r="C108">
        <f t="shared" si="50"/>
        <v>0</v>
      </c>
      <c r="D108">
        <f t="shared" si="51"/>
        <v>0</v>
      </c>
      <c r="E108">
        <f t="shared" si="52"/>
        <v>0</v>
      </c>
      <c r="F108">
        <f t="shared" si="53"/>
        <v>0</v>
      </c>
      <c r="G108">
        <f t="shared" si="54"/>
        <v>0</v>
      </c>
      <c r="H108">
        <f t="shared" si="55"/>
        <v>0</v>
      </c>
      <c r="I108">
        <f t="shared" si="56"/>
        <v>0</v>
      </c>
      <c r="J108">
        <f t="shared" si="57"/>
        <v>0</v>
      </c>
      <c r="K108">
        <f t="shared" si="58"/>
        <v>0</v>
      </c>
      <c r="L108">
        <f t="shared" si="59"/>
        <v>0</v>
      </c>
      <c r="M108">
        <f t="shared" si="60"/>
        <v>0</v>
      </c>
      <c r="N108">
        <f t="shared" si="61"/>
        <v>0</v>
      </c>
      <c r="O108">
        <f t="shared" si="62"/>
        <v>0</v>
      </c>
      <c r="P108">
        <f t="shared" si="63"/>
        <v>0</v>
      </c>
      <c r="Q108">
        <f t="shared" si="64"/>
        <v>0</v>
      </c>
      <c r="R108">
        <f t="shared" si="65"/>
        <v>0</v>
      </c>
      <c r="S108">
        <f t="shared" si="66"/>
        <v>0</v>
      </c>
      <c r="T108">
        <f t="shared" si="67"/>
        <v>0</v>
      </c>
      <c r="U108">
        <f t="shared" si="68"/>
        <v>0</v>
      </c>
      <c r="V108">
        <f t="shared" si="69"/>
        <v>0</v>
      </c>
      <c r="W108">
        <f t="shared" si="70"/>
        <v>0</v>
      </c>
      <c r="X108">
        <f t="shared" si="71"/>
        <v>0</v>
      </c>
      <c r="Y108">
        <f t="shared" si="72"/>
        <v>0</v>
      </c>
      <c r="Z108">
        <f t="shared" si="73"/>
        <v>0</v>
      </c>
      <c r="AA108">
        <f t="shared" si="74"/>
        <v>0</v>
      </c>
      <c r="AB108">
        <f t="shared" si="75"/>
        <v>0</v>
      </c>
      <c r="AC108">
        <f t="shared" si="76"/>
        <v>0</v>
      </c>
      <c r="AD108">
        <f t="shared" si="77"/>
        <v>0</v>
      </c>
      <c r="AE108">
        <f t="shared" si="78"/>
        <v>0</v>
      </c>
      <c r="AF108">
        <f t="shared" si="79"/>
        <v>0</v>
      </c>
      <c r="AG108">
        <f t="shared" si="80"/>
        <v>0</v>
      </c>
      <c r="AH108">
        <f t="shared" si="81"/>
        <v>0</v>
      </c>
      <c r="AI108">
        <f t="shared" si="82"/>
        <v>0</v>
      </c>
      <c r="AJ108">
        <f t="shared" si="83"/>
        <v>0</v>
      </c>
      <c r="AK108">
        <f t="shared" si="84"/>
        <v>0</v>
      </c>
      <c r="AL108">
        <f t="shared" si="85"/>
        <v>0</v>
      </c>
      <c r="AM108">
        <f t="shared" si="86"/>
        <v>0</v>
      </c>
      <c r="AN108">
        <f t="shared" si="87"/>
        <v>0</v>
      </c>
      <c r="AO108">
        <f t="shared" si="88"/>
        <v>0</v>
      </c>
      <c r="AP108">
        <f t="shared" si="89"/>
        <v>0</v>
      </c>
      <c r="AQ108">
        <f t="shared" si="90"/>
        <v>0</v>
      </c>
      <c r="AR108">
        <f t="shared" si="91"/>
        <v>0</v>
      </c>
      <c r="AS108">
        <f t="shared" si="92"/>
        <v>0</v>
      </c>
      <c r="AT108">
        <f t="shared" si="93"/>
        <v>0</v>
      </c>
      <c r="AU108">
        <f t="shared" si="94"/>
        <v>0</v>
      </c>
      <c r="AV108">
        <f t="shared" si="95"/>
        <v>0</v>
      </c>
      <c r="AW108">
        <f t="shared" si="49"/>
        <v>0</v>
      </c>
      <c r="AX108">
        <f t="shared" si="96"/>
        <v>0</v>
      </c>
      <c r="AY108">
        <f t="shared" si="97"/>
        <v>0</v>
      </c>
    </row>
    <row r="109" spans="1:51" x14ac:dyDescent="0.35">
      <c r="A109">
        <v>103</v>
      </c>
      <c r="C109">
        <f t="shared" si="50"/>
        <v>0</v>
      </c>
      <c r="D109">
        <f t="shared" si="51"/>
        <v>0</v>
      </c>
      <c r="E109">
        <f t="shared" si="52"/>
        <v>0</v>
      </c>
      <c r="F109">
        <f t="shared" si="53"/>
        <v>0</v>
      </c>
      <c r="G109">
        <f t="shared" si="54"/>
        <v>0</v>
      </c>
      <c r="H109">
        <f t="shared" si="55"/>
        <v>0</v>
      </c>
      <c r="I109">
        <f t="shared" si="56"/>
        <v>0</v>
      </c>
      <c r="J109">
        <f t="shared" si="57"/>
        <v>0</v>
      </c>
      <c r="K109">
        <f t="shared" si="58"/>
        <v>0</v>
      </c>
      <c r="L109">
        <f t="shared" si="59"/>
        <v>0</v>
      </c>
      <c r="M109">
        <f t="shared" si="60"/>
        <v>0</v>
      </c>
      <c r="N109">
        <f t="shared" si="61"/>
        <v>0</v>
      </c>
      <c r="O109">
        <f t="shared" si="62"/>
        <v>0</v>
      </c>
      <c r="P109">
        <f t="shared" si="63"/>
        <v>0</v>
      </c>
      <c r="Q109">
        <f t="shared" si="64"/>
        <v>0</v>
      </c>
      <c r="R109">
        <f t="shared" si="65"/>
        <v>0</v>
      </c>
      <c r="S109">
        <f t="shared" si="66"/>
        <v>0</v>
      </c>
      <c r="T109">
        <f t="shared" si="67"/>
        <v>0</v>
      </c>
      <c r="U109">
        <f t="shared" si="68"/>
        <v>0</v>
      </c>
      <c r="V109">
        <f t="shared" si="69"/>
        <v>0</v>
      </c>
      <c r="W109">
        <f t="shared" si="70"/>
        <v>0</v>
      </c>
      <c r="X109">
        <f t="shared" si="71"/>
        <v>0</v>
      </c>
      <c r="Y109">
        <f t="shared" si="72"/>
        <v>0</v>
      </c>
      <c r="Z109">
        <f t="shared" si="73"/>
        <v>0</v>
      </c>
      <c r="AA109">
        <f t="shared" si="74"/>
        <v>0</v>
      </c>
      <c r="AB109">
        <f t="shared" si="75"/>
        <v>0</v>
      </c>
      <c r="AC109">
        <f t="shared" si="76"/>
        <v>0</v>
      </c>
      <c r="AD109">
        <f t="shared" si="77"/>
        <v>0</v>
      </c>
      <c r="AE109">
        <f t="shared" si="78"/>
        <v>0</v>
      </c>
      <c r="AF109">
        <f t="shared" si="79"/>
        <v>0</v>
      </c>
      <c r="AG109">
        <f t="shared" si="80"/>
        <v>0</v>
      </c>
      <c r="AH109">
        <f t="shared" si="81"/>
        <v>0</v>
      </c>
      <c r="AI109">
        <f t="shared" si="82"/>
        <v>0</v>
      </c>
      <c r="AJ109">
        <f t="shared" si="83"/>
        <v>0</v>
      </c>
      <c r="AK109">
        <f t="shared" si="84"/>
        <v>0</v>
      </c>
      <c r="AL109">
        <f t="shared" si="85"/>
        <v>0</v>
      </c>
      <c r="AM109">
        <f t="shared" si="86"/>
        <v>0</v>
      </c>
      <c r="AN109">
        <f t="shared" si="87"/>
        <v>0</v>
      </c>
      <c r="AO109">
        <f t="shared" si="88"/>
        <v>0</v>
      </c>
      <c r="AP109">
        <f t="shared" si="89"/>
        <v>0</v>
      </c>
      <c r="AQ109">
        <f t="shared" si="90"/>
        <v>0</v>
      </c>
      <c r="AR109">
        <f t="shared" si="91"/>
        <v>0</v>
      </c>
      <c r="AS109">
        <f t="shared" si="92"/>
        <v>0</v>
      </c>
      <c r="AT109">
        <f t="shared" si="93"/>
        <v>0</v>
      </c>
      <c r="AU109">
        <f t="shared" si="94"/>
        <v>0</v>
      </c>
      <c r="AV109">
        <f t="shared" si="95"/>
        <v>0</v>
      </c>
      <c r="AW109">
        <f t="shared" si="49"/>
        <v>0</v>
      </c>
      <c r="AX109">
        <f t="shared" si="96"/>
        <v>0</v>
      </c>
      <c r="AY109">
        <f t="shared" si="97"/>
        <v>0</v>
      </c>
    </row>
    <row r="110" spans="1:51" x14ac:dyDescent="0.35">
      <c r="A110">
        <v>104</v>
      </c>
      <c r="C110">
        <f t="shared" si="50"/>
        <v>0</v>
      </c>
      <c r="D110">
        <f t="shared" si="51"/>
        <v>0</v>
      </c>
      <c r="E110">
        <f t="shared" si="52"/>
        <v>0</v>
      </c>
      <c r="F110">
        <f t="shared" si="53"/>
        <v>0</v>
      </c>
      <c r="G110">
        <f t="shared" si="54"/>
        <v>0</v>
      </c>
      <c r="H110">
        <f t="shared" si="55"/>
        <v>0</v>
      </c>
      <c r="I110">
        <f t="shared" si="56"/>
        <v>0</v>
      </c>
      <c r="J110">
        <f t="shared" si="57"/>
        <v>0</v>
      </c>
      <c r="K110">
        <f t="shared" si="58"/>
        <v>0</v>
      </c>
      <c r="L110">
        <f t="shared" si="59"/>
        <v>0</v>
      </c>
      <c r="M110">
        <f t="shared" si="60"/>
        <v>0</v>
      </c>
      <c r="N110">
        <f t="shared" si="61"/>
        <v>0</v>
      </c>
      <c r="O110">
        <f t="shared" si="62"/>
        <v>0</v>
      </c>
      <c r="P110">
        <f t="shared" si="63"/>
        <v>0</v>
      </c>
      <c r="Q110">
        <f t="shared" si="64"/>
        <v>0</v>
      </c>
      <c r="R110">
        <f t="shared" si="65"/>
        <v>0</v>
      </c>
      <c r="S110">
        <f t="shared" si="66"/>
        <v>0</v>
      </c>
      <c r="T110">
        <f t="shared" si="67"/>
        <v>0</v>
      </c>
      <c r="U110">
        <f t="shared" si="68"/>
        <v>0</v>
      </c>
      <c r="V110">
        <f t="shared" si="69"/>
        <v>0</v>
      </c>
      <c r="W110">
        <f t="shared" si="70"/>
        <v>0</v>
      </c>
      <c r="X110">
        <f t="shared" si="71"/>
        <v>0</v>
      </c>
      <c r="Y110">
        <f t="shared" si="72"/>
        <v>0</v>
      </c>
      <c r="Z110">
        <f t="shared" si="73"/>
        <v>0</v>
      </c>
      <c r="AA110">
        <f t="shared" si="74"/>
        <v>0</v>
      </c>
      <c r="AB110">
        <f t="shared" si="75"/>
        <v>0</v>
      </c>
      <c r="AC110">
        <f t="shared" si="76"/>
        <v>0</v>
      </c>
      <c r="AD110">
        <f t="shared" si="77"/>
        <v>0</v>
      </c>
      <c r="AE110">
        <f t="shared" si="78"/>
        <v>0</v>
      </c>
      <c r="AF110">
        <f t="shared" si="79"/>
        <v>0</v>
      </c>
      <c r="AG110">
        <f t="shared" si="80"/>
        <v>0</v>
      </c>
      <c r="AH110">
        <f t="shared" si="81"/>
        <v>0</v>
      </c>
      <c r="AI110">
        <f t="shared" si="82"/>
        <v>0</v>
      </c>
      <c r="AJ110">
        <f t="shared" si="83"/>
        <v>0</v>
      </c>
      <c r="AK110">
        <f t="shared" si="84"/>
        <v>0</v>
      </c>
      <c r="AL110">
        <f t="shared" si="85"/>
        <v>0</v>
      </c>
      <c r="AM110">
        <f t="shared" si="86"/>
        <v>0</v>
      </c>
      <c r="AN110">
        <f t="shared" si="87"/>
        <v>0</v>
      </c>
      <c r="AO110">
        <f t="shared" si="88"/>
        <v>0</v>
      </c>
      <c r="AP110">
        <f t="shared" si="89"/>
        <v>0</v>
      </c>
      <c r="AQ110">
        <f t="shared" si="90"/>
        <v>0</v>
      </c>
      <c r="AR110">
        <f t="shared" si="91"/>
        <v>0</v>
      </c>
      <c r="AS110">
        <f t="shared" si="92"/>
        <v>0</v>
      </c>
      <c r="AT110">
        <f t="shared" si="93"/>
        <v>0</v>
      </c>
      <c r="AU110">
        <f t="shared" si="94"/>
        <v>0</v>
      </c>
      <c r="AV110">
        <f t="shared" si="95"/>
        <v>0</v>
      </c>
      <c r="AW110">
        <f t="shared" si="49"/>
        <v>0</v>
      </c>
      <c r="AX110">
        <f t="shared" si="96"/>
        <v>0</v>
      </c>
      <c r="AY110">
        <f t="shared" si="97"/>
        <v>0</v>
      </c>
    </row>
    <row r="111" spans="1:51" x14ac:dyDescent="0.35">
      <c r="A111">
        <v>105</v>
      </c>
      <c r="C111">
        <f t="shared" si="50"/>
        <v>0</v>
      </c>
      <c r="D111">
        <f t="shared" si="51"/>
        <v>0</v>
      </c>
      <c r="E111">
        <f t="shared" si="52"/>
        <v>0</v>
      </c>
      <c r="F111">
        <f t="shared" si="53"/>
        <v>0</v>
      </c>
      <c r="G111">
        <f t="shared" si="54"/>
        <v>0</v>
      </c>
      <c r="H111">
        <f t="shared" si="55"/>
        <v>0</v>
      </c>
      <c r="I111">
        <f t="shared" si="56"/>
        <v>0</v>
      </c>
      <c r="J111">
        <f t="shared" si="57"/>
        <v>0</v>
      </c>
      <c r="K111">
        <f t="shared" si="58"/>
        <v>0</v>
      </c>
      <c r="L111">
        <f t="shared" si="59"/>
        <v>0</v>
      </c>
      <c r="M111">
        <f t="shared" si="60"/>
        <v>0</v>
      </c>
      <c r="N111">
        <f t="shared" si="61"/>
        <v>0</v>
      </c>
      <c r="O111">
        <f t="shared" si="62"/>
        <v>0</v>
      </c>
      <c r="P111">
        <f t="shared" si="63"/>
        <v>0</v>
      </c>
      <c r="Q111">
        <f t="shared" si="64"/>
        <v>0</v>
      </c>
      <c r="R111">
        <f t="shared" si="65"/>
        <v>0</v>
      </c>
      <c r="S111">
        <f t="shared" si="66"/>
        <v>0</v>
      </c>
      <c r="T111">
        <f t="shared" si="67"/>
        <v>0</v>
      </c>
      <c r="U111">
        <f t="shared" si="68"/>
        <v>0</v>
      </c>
      <c r="V111">
        <f t="shared" si="69"/>
        <v>0</v>
      </c>
      <c r="W111">
        <f t="shared" si="70"/>
        <v>0</v>
      </c>
      <c r="X111">
        <f t="shared" si="71"/>
        <v>0</v>
      </c>
      <c r="Y111">
        <f t="shared" si="72"/>
        <v>0</v>
      </c>
      <c r="Z111">
        <f t="shared" si="73"/>
        <v>0</v>
      </c>
      <c r="AA111">
        <f t="shared" si="74"/>
        <v>0</v>
      </c>
      <c r="AB111">
        <f t="shared" si="75"/>
        <v>0</v>
      </c>
      <c r="AC111">
        <f t="shared" si="76"/>
        <v>0</v>
      </c>
      <c r="AD111">
        <f t="shared" si="77"/>
        <v>0</v>
      </c>
      <c r="AE111">
        <f t="shared" si="78"/>
        <v>0</v>
      </c>
      <c r="AF111">
        <f t="shared" si="79"/>
        <v>0</v>
      </c>
      <c r="AG111">
        <f t="shared" si="80"/>
        <v>0</v>
      </c>
      <c r="AH111">
        <f t="shared" si="81"/>
        <v>0</v>
      </c>
      <c r="AI111">
        <f t="shared" si="82"/>
        <v>0</v>
      </c>
      <c r="AJ111">
        <f t="shared" si="83"/>
        <v>0</v>
      </c>
      <c r="AK111">
        <f t="shared" si="84"/>
        <v>0</v>
      </c>
      <c r="AL111">
        <f t="shared" si="85"/>
        <v>0</v>
      </c>
      <c r="AM111">
        <f t="shared" si="86"/>
        <v>0</v>
      </c>
      <c r="AN111">
        <f t="shared" si="87"/>
        <v>0</v>
      </c>
      <c r="AO111">
        <f t="shared" si="88"/>
        <v>0</v>
      </c>
      <c r="AP111">
        <f t="shared" si="89"/>
        <v>0</v>
      </c>
      <c r="AQ111">
        <f t="shared" si="90"/>
        <v>0</v>
      </c>
      <c r="AR111">
        <f t="shared" si="91"/>
        <v>0</v>
      </c>
      <c r="AS111">
        <f t="shared" si="92"/>
        <v>0</v>
      </c>
      <c r="AT111">
        <f t="shared" si="93"/>
        <v>0</v>
      </c>
      <c r="AU111">
        <f t="shared" si="94"/>
        <v>0</v>
      </c>
      <c r="AV111">
        <f t="shared" si="95"/>
        <v>0</v>
      </c>
      <c r="AW111">
        <f t="shared" si="49"/>
        <v>0</v>
      </c>
      <c r="AX111">
        <f t="shared" si="96"/>
        <v>0</v>
      </c>
      <c r="AY111">
        <f t="shared" si="97"/>
        <v>0</v>
      </c>
    </row>
    <row r="112" spans="1:51" x14ac:dyDescent="0.35">
      <c r="A112">
        <v>106</v>
      </c>
      <c r="C112">
        <f t="shared" si="50"/>
        <v>0</v>
      </c>
      <c r="D112">
        <f t="shared" si="51"/>
        <v>0</v>
      </c>
      <c r="E112">
        <f t="shared" si="52"/>
        <v>0</v>
      </c>
      <c r="F112">
        <f t="shared" si="53"/>
        <v>0</v>
      </c>
      <c r="G112">
        <f t="shared" si="54"/>
        <v>0</v>
      </c>
      <c r="H112">
        <f t="shared" si="55"/>
        <v>0</v>
      </c>
      <c r="I112">
        <f t="shared" si="56"/>
        <v>0</v>
      </c>
      <c r="J112">
        <f t="shared" si="57"/>
        <v>0</v>
      </c>
      <c r="K112">
        <f t="shared" si="58"/>
        <v>0</v>
      </c>
      <c r="L112">
        <f t="shared" si="59"/>
        <v>0</v>
      </c>
      <c r="M112">
        <f t="shared" si="60"/>
        <v>0</v>
      </c>
      <c r="N112">
        <f t="shared" si="61"/>
        <v>0</v>
      </c>
      <c r="O112">
        <f t="shared" si="62"/>
        <v>0</v>
      </c>
      <c r="P112">
        <f t="shared" si="63"/>
        <v>0</v>
      </c>
      <c r="Q112">
        <f t="shared" si="64"/>
        <v>0</v>
      </c>
      <c r="R112">
        <f t="shared" si="65"/>
        <v>0</v>
      </c>
      <c r="S112">
        <f t="shared" si="66"/>
        <v>0</v>
      </c>
      <c r="T112">
        <f t="shared" si="67"/>
        <v>0</v>
      </c>
      <c r="U112">
        <f t="shared" si="68"/>
        <v>0</v>
      </c>
      <c r="V112">
        <f t="shared" si="69"/>
        <v>0</v>
      </c>
      <c r="W112">
        <f t="shared" si="70"/>
        <v>0</v>
      </c>
      <c r="X112">
        <f t="shared" si="71"/>
        <v>0</v>
      </c>
      <c r="Y112">
        <f t="shared" si="72"/>
        <v>0</v>
      </c>
      <c r="Z112">
        <f t="shared" si="73"/>
        <v>0</v>
      </c>
      <c r="AA112">
        <f t="shared" si="74"/>
        <v>0</v>
      </c>
      <c r="AB112">
        <f t="shared" si="75"/>
        <v>0</v>
      </c>
      <c r="AC112">
        <f t="shared" si="76"/>
        <v>0</v>
      </c>
      <c r="AD112">
        <f t="shared" si="77"/>
        <v>0</v>
      </c>
      <c r="AE112">
        <f t="shared" si="78"/>
        <v>0</v>
      </c>
      <c r="AF112">
        <f t="shared" si="79"/>
        <v>0</v>
      </c>
      <c r="AG112">
        <f t="shared" si="80"/>
        <v>0</v>
      </c>
      <c r="AH112">
        <f t="shared" si="81"/>
        <v>0</v>
      </c>
      <c r="AI112">
        <f t="shared" si="82"/>
        <v>0</v>
      </c>
      <c r="AJ112">
        <f t="shared" si="83"/>
        <v>0</v>
      </c>
      <c r="AK112">
        <f t="shared" si="84"/>
        <v>0</v>
      </c>
      <c r="AL112">
        <f t="shared" si="85"/>
        <v>0</v>
      </c>
      <c r="AM112">
        <f t="shared" si="86"/>
        <v>0</v>
      </c>
      <c r="AN112">
        <f t="shared" si="87"/>
        <v>0</v>
      </c>
      <c r="AO112">
        <f t="shared" si="88"/>
        <v>0</v>
      </c>
      <c r="AP112">
        <f t="shared" si="89"/>
        <v>0</v>
      </c>
      <c r="AQ112">
        <f t="shared" si="90"/>
        <v>0</v>
      </c>
      <c r="AR112">
        <f t="shared" si="91"/>
        <v>0</v>
      </c>
      <c r="AS112">
        <f t="shared" si="92"/>
        <v>0</v>
      </c>
      <c r="AT112">
        <f t="shared" si="93"/>
        <v>0</v>
      </c>
      <c r="AU112">
        <f t="shared" si="94"/>
        <v>0</v>
      </c>
      <c r="AV112">
        <f t="shared" si="95"/>
        <v>0</v>
      </c>
      <c r="AW112">
        <f t="shared" si="49"/>
        <v>0</v>
      </c>
      <c r="AX112">
        <f t="shared" si="96"/>
        <v>0</v>
      </c>
      <c r="AY112">
        <f t="shared" si="97"/>
        <v>0</v>
      </c>
    </row>
    <row r="113" spans="1:51" x14ac:dyDescent="0.35">
      <c r="A113">
        <v>107</v>
      </c>
      <c r="C113">
        <f t="shared" si="50"/>
        <v>0</v>
      </c>
      <c r="D113">
        <f t="shared" si="51"/>
        <v>0</v>
      </c>
      <c r="E113">
        <f t="shared" si="52"/>
        <v>0</v>
      </c>
      <c r="F113">
        <f t="shared" si="53"/>
        <v>0</v>
      </c>
      <c r="G113">
        <f t="shared" si="54"/>
        <v>0</v>
      </c>
      <c r="H113">
        <f t="shared" si="55"/>
        <v>0</v>
      </c>
      <c r="I113">
        <f t="shared" si="56"/>
        <v>0</v>
      </c>
      <c r="J113">
        <f t="shared" si="57"/>
        <v>0</v>
      </c>
      <c r="K113">
        <f t="shared" si="58"/>
        <v>0</v>
      </c>
      <c r="L113">
        <f t="shared" si="59"/>
        <v>0</v>
      </c>
      <c r="M113">
        <f t="shared" si="60"/>
        <v>0</v>
      </c>
      <c r="N113">
        <f t="shared" si="61"/>
        <v>0</v>
      </c>
      <c r="O113">
        <f t="shared" si="62"/>
        <v>0</v>
      </c>
      <c r="P113">
        <f t="shared" si="63"/>
        <v>0</v>
      </c>
      <c r="Q113">
        <f t="shared" si="64"/>
        <v>0</v>
      </c>
      <c r="R113">
        <f t="shared" si="65"/>
        <v>0</v>
      </c>
      <c r="S113">
        <f t="shared" si="66"/>
        <v>0</v>
      </c>
      <c r="T113">
        <f t="shared" si="67"/>
        <v>0</v>
      </c>
      <c r="U113">
        <f t="shared" si="68"/>
        <v>0</v>
      </c>
      <c r="V113">
        <f t="shared" si="69"/>
        <v>0</v>
      </c>
      <c r="W113">
        <f t="shared" si="70"/>
        <v>0</v>
      </c>
      <c r="X113">
        <f t="shared" si="71"/>
        <v>0</v>
      </c>
      <c r="Y113">
        <f t="shared" si="72"/>
        <v>0</v>
      </c>
      <c r="Z113">
        <f t="shared" si="73"/>
        <v>0</v>
      </c>
      <c r="AA113">
        <f t="shared" si="74"/>
        <v>0</v>
      </c>
      <c r="AB113">
        <f t="shared" si="75"/>
        <v>0</v>
      </c>
      <c r="AC113">
        <f t="shared" si="76"/>
        <v>0</v>
      </c>
      <c r="AD113">
        <f t="shared" si="77"/>
        <v>0</v>
      </c>
      <c r="AE113">
        <f t="shared" si="78"/>
        <v>0</v>
      </c>
      <c r="AF113">
        <f t="shared" si="79"/>
        <v>0</v>
      </c>
      <c r="AG113">
        <f t="shared" si="80"/>
        <v>0</v>
      </c>
      <c r="AH113">
        <f t="shared" si="81"/>
        <v>0</v>
      </c>
      <c r="AI113">
        <f t="shared" si="82"/>
        <v>0</v>
      </c>
      <c r="AJ113">
        <f t="shared" si="83"/>
        <v>0</v>
      </c>
      <c r="AK113">
        <f t="shared" si="84"/>
        <v>0</v>
      </c>
      <c r="AL113">
        <f t="shared" si="85"/>
        <v>0</v>
      </c>
      <c r="AM113">
        <f t="shared" si="86"/>
        <v>0</v>
      </c>
      <c r="AN113">
        <f t="shared" si="87"/>
        <v>0</v>
      </c>
      <c r="AO113">
        <f t="shared" si="88"/>
        <v>0</v>
      </c>
      <c r="AP113">
        <f t="shared" si="89"/>
        <v>0</v>
      </c>
      <c r="AQ113">
        <f t="shared" si="90"/>
        <v>0</v>
      </c>
      <c r="AR113">
        <f t="shared" si="91"/>
        <v>0</v>
      </c>
      <c r="AS113">
        <f t="shared" si="92"/>
        <v>0</v>
      </c>
      <c r="AT113">
        <f t="shared" si="93"/>
        <v>0</v>
      </c>
      <c r="AU113">
        <f t="shared" si="94"/>
        <v>0</v>
      </c>
      <c r="AV113">
        <f t="shared" si="95"/>
        <v>0</v>
      </c>
      <c r="AW113">
        <f t="shared" si="49"/>
        <v>0</v>
      </c>
      <c r="AX113">
        <f t="shared" si="96"/>
        <v>0</v>
      </c>
      <c r="AY113">
        <f t="shared" si="97"/>
        <v>0</v>
      </c>
    </row>
    <row r="114" spans="1:51" x14ac:dyDescent="0.35">
      <c r="A114">
        <v>108</v>
      </c>
      <c r="C114">
        <f t="shared" si="50"/>
        <v>0</v>
      </c>
      <c r="D114">
        <f t="shared" si="51"/>
        <v>0</v>
      </c>
      <c r="E114">
        <f t="shared" si="52"/>
        <v>0</v>
      </c>
      <c r="F114">
        <f t="shared" si="53"/>
        <v>0</v>
      </c>
      <c r="G114">
        <f t="shared" si="54"/>
        <v>0</v>
      </c>
      <c r="H114">
        <f t="shared" si="55"/>
        <v>0</v>
      </c>
      <c r="I114">
        <f t="shared" si="56"/>
        <v>0</v>
      </c>
      <c r="J114">
        <f t="shared" si="57"/>
        <v>0</v>
      </c>
      <c r="K114">
        <f t="shared" si="58"/>
        <v>0</v>
      </c>
      <c r="L114">
        <f t="shared" si="59"/>
        <v>0</v>
      </c>
      <c r="M114">
        <f t="shared" si="60"/>
        <v>0</v>
      </c>
      <c r="N114">
        <f t="shared" si="61"/>
        <v>0</v>
      </c>
      <c r="O114">
        <f t="shared" si="62"/>
        <v>0</v>
      </c>
      <c r="P114">
        <f t="shared" si="63"/>
        <v>0</v>
      </c>
      <c r="Q114">
        <f t="shared" si="64"/>
        <v>0</v>
      </c>
      <c r="R114">
        <f t="shared" si="65"/>
        <v>0</v>
      </c>
      <c r="S114">
        <f t="shared" si="66"/>
        <v>0</v>
      </c>
      <c r="T114">
        <f t="shared" si="67"/>
        <v>0</v>
      </c>
      <c r="U114">
        <f t="shared" si="68"/>
        <v>0</v>
      </c>
      <c r="V114">
        <f t="shared" si="69"/>
        <v>0</v>
      </c>
      <c r="W114">
        <f t="shared" si="70"/>
        <v>0</v>
      </c>
      <c r="X114">
        <f t="shared" si="71"/>
        <v>0</v>
      </c>
      <c r="Y114">
        <f t="shared" si="72"/>
        <v>0</v>
      </c>
      <c r="Z114">
        <f t="shared" si="73"/>
        <v>0</v>
      </c>
      <c r="AA114">
        <f t="shared" si="74"/>
        <v>0</v>
      </c>
      <c r="AB114">
        <f t="shared" si="75"/>
        <v>0</v>
      </c>
      <c r="AC114">
        <f t="shared" si="76"/>
        <v>0</v>
      </c>
      <c r="AD114">
        <f t="shared" si="77"/>
        <v>0</v>
      </c>
      <c r="AE114">
        <f t="shared" si="78"/>
        <v>0</v>
      </c>
      <c r="AF114">
        <f t="shared" si="79"/>
        <v>0</v>
      </c>
      <c r="AG114">
        <f t="shared" si="80"/>
        <v>0</v>
      </c>
      <c r="AH114">
        <f t="shared" si="81"/>
        <v>0</v>
      </c>
      <c r="AI114">
        <f t="shared" si="82"/>
        <v>0</v>
      </c>
      <c r="AJ114">
        <f t="shared" si="83"/>
        <v>0</v>
      </c>
      <c r="AK114">
        <f t="shared" si="84"/>
        <v>0</v>
      </c>
      <c r="AL114">
        <f t="shared" si="85"/>
        <v>0</v>
      </c>
      <c r="AM114">
        <f t="shared" si="86"/>
        <v>0</v>
      </c>
      <c r="AN114">
        <f t="shared" si="87"/>
        <v>0</v>
      </c>
      <c r="AO114">
        <f t="shared" si="88"/>
        <v>0</v>
      </c>
      <c r="AP114">
        <f t="shared" si="89"/>
        <v>0</v>
      </c>
      <c r="AQ114">
        <f t="shared" si="90"/>
        <v>0</v>
      </c>
      <c r="AR114">
        <f t="shared" si="91"/>
        <v>0</v>
      </c>
      <c r="AS114">
        <f t="shared" si="92"/>
        <v>0</v>
      </c>
      <c r="AT114">
        <f t="shared" si="93"/>
        <v>0</v>
      </c>
      <c r="AU114">
        <f t="shared" si="94"/>
        <v>0</v>
      </c>
      <c r="AV114">
        <f t="shared" si="95"/>
        <v>0</v>
      </c>
      <c r="AW114">
        <f t="shared" si="49"/>
        <v>0</v>
      </c>
      <c r="AX114">
        <f t="shared" si="96"/>
        <v>0</v>
      </c>
      <c r="AY114">
        <f t="shared" si="97"/>
        <v>0</v>
      </c>
    </row>
    <row r="115" spans="1:51" x14ac:dyDescent="0.35">
      <c r="A115">
        <v>109</v>
      </c>
      <c r="C115">
        <f t="shared" si="50"/>
        <v>0</v>
      </c>
      <c r="D115">
        <f t="shared" si="51"/>
        <v>0</v>
      </c>
      <c r="E115">
        <f t="shared" si="52"/>
        <v>0</v>
      </c>
      <c r="F115">
        <f t="shared" si="53"/>
        <v>0</v>
      </c>
      <c r="G115">
        <f t="shared" si="54"/>
        <v>0</v>
      </c>
      <c r="H115">
        <f t="shared" si="55"/>
        <v>0</v>
      </c>
      <c r="I115">
        <f t="shared" si="56"/>
        <v>0</v>
      </c>
      <c r="J115">
        <f t="shared" si="57"/>
        <v>0</v>
      </c>
      <c r="K115">
        <f t="shared" si="58"/>
        <v>0</v>
      </c>
      <c r="L115">
        <f t="shared" si="59"/>
        <v>0</v>
      </c>
      <c r="M115">
        <f t="shared" si="60"/>
        <v>0</v>
      </c>
      <c r="N115">
        <f t="shared" si="61"/>
        <v>0</v>
      </c>
      <c r="O115">
        <f t="shared" si="62"/>
        <v>0</v>
      </c>
      <c r="P115">
        <f t="shared" si="63"/>
        <v>0</v>
      </c>
      <c r="Q115">
        <f t="shared" si="64"/>
        <v>0</v>
      </c>
      <c r="R115">
        <f t="shared" si="65"/>
        <v>0</v>
      </c>
      <c r="S115">
        <f t="shared" si="66"/>
        <v>0</v>
      </c>
      <c r="T115">
        <f t="shared" si="67"/>
        <v>0</v>
      </c>
      <c r="U115">
        <f t="shared" si="68"/>
        <v>0</v>
      </c>
      <c r="V115">
        <f t="shared" si="69"/>
        <v>0</v>
      </c>
      <c r="W115">
        <f t="shared" si="70"/>
        <v>0</v>
      </c>
      <c r="X115">
        <f t="shared" si="71"/>
        <v>0</v>
      </c>
      <c r="Y115">
        <f t="shared" si="72"/>
        <v>0</v>
      </c>
      <c r="Z115">
        <f t="shared" si="73"/>
        <v>0</v>
      </c>
      <c r="AA115">
        <f t="shared" si="74"/>
        <v>0</v>
      </c>
      <c r="AB115">
        <f t="shared" si="75"/>
        <v>0</v>
      </c>
      <c r="AC115">
        <f t="shared" si="76"/>
        <v>0</v>
      </c>
      <c r="AD115">
        <f t="shared" si="77"/>
        <v>0</v>
      </c>
      <c r="AE115">
        <f t="shared" si="78"/>
        <v>0</v>
      </c>
      <c r="AF115">
        <f t="shared" si="79"/>
        <v>0</v>
      </c>
      <c r="AG115">
        <f t="shared" si="80"/>
        <v>0</v>
      </c>
      <c r="AH115">
        <f t="shared" si="81"/>
        <v>0</v>
      </c>
      <c r="AI115">
        <f t="shared" si="82"/>
        <v>0</v>
      </c>
      <c r="AJ115">
        <f t="shared" si="83"/>
        <v>0</v>
      </c>
      <c r="AK115">
        <f t="shared" si="84"/>
        <v>0</v>
      </c>
      <c r="AL115">
        <f t="shared" si="85"/>
        <v>0</v>
      </c>
      <c r="AM115">
        <f t="shared" si="86"/>
        <v>0</v>
      </c>
      <c r="AN115">
        <f t="shared" si="87"/>
        <v>0</v>
      </c>
      <c r="AO115">
        <f t="shared" si="88"/>
        <v>0</v>
      </c>
      <c r="AP115">
        <f t="shared" si="89"/>
        <v>0</v>
      </c>
      <c r="AQ115">
        <f t="shared" si="90"/>
        <v>0</v>
      </c>
      <c r="AR115">
        <f t="shared" si="91"/>
        <v>0</v>
      </c>
      <c r="AS115">
        <f t="shared" si="92"/>
        <v>0</v>
      </c>
      <c r="AT115">
        <f t="shared" si="93"/>
        <v>0</v>
      </c>
      <c r="AU115">
        <f t="shared" si="94"/>
        <v>0</v>
      </c>
      <c r="AV115">
        <f t="shared" si="95"/>
        <v>0</v>
      </c>
      <c r="AW115">
        <f t="shared" si="49"/>
        <v>0</v>
      </c>
      <c r="AX115">
        <f t="shared" si="96"/>
        <v>0</v>
      </c>
      <c r="AY115">
        <f t="shared" si="97"/>
        <v>0</v>
      </c>
    </row>
    <row r="116" spans="1:51" x14ac:dyDescent="0.35">
      <c r="A116">
        <v>110</v>
      </c>
      <c r="C116">
        <f t="shared" si="50"/>
        <v>0</v>
      </c>
      <c r="D116">
        <f t="shared" si="51"/>
        <v>0</v>
      </c>
      <c r="E116">
        <f t="shared" si="52"/>
        <v>0</v>
      </c>
      <c r="F116">
        <f t="shared" si="53"/>
        <v>0</v>
      </c>
      <c r="G116">
        <f t="shared" si="54"/>
        <v>0</v>
      </c>
      <c r="H116">
        <f t="shared" si="55"/>
        <v>0</v>
      </c>
      <c r="I116">
        <f t="shared" si="56"/>
        <v>0</v>
      </c>
      <c r="J116">
        <f t="shared" si="57"/>
        <v>0</v>
      </c>
      <c r="K116">
        <f t="shared" si="58"/>
        <v>0</v>
      </c>
      <c r="L116">
        <f t="shared" si="59"/>
        <v>0</v>
      </c>
      <c r="M116">
        <f t="shared" si="60"/>
        <v>0</v>
      </c>
      <c r="N116">
        <f t="shared" si="61"/>
        <v>0</v>
      </c>
      <c r="O116">
        <f t="shared" si="62"/>
        <v>0</v>
      </c>
      <c r="P116">
        <f t="shared" si="63"/>
        <v>0</v>
      </c>
      <c r="Q116">
        <f t="shared" si="64"/>
        <v>0</v>
      </c>
      <c r="R116">
        <f t="shared" si="65"/>
        <v>0</v>
      </c>
      <c r="S116">
        <f t="shared" si="66"/>
        <v>0</v>
      </c>
      <c r="T116">
        <f t="shared" si="67"/>
        <v>0</v>
      </c>
      <c r="U116">
        <f t="shared" si="68"/>
        <v>0</v>
      </c>
      <c r="V116">
        <f t="shared" si="69"/>
        <v>0</v>
      </c>
      <c r="W116">
        <f t="shared" si="70"/>
        <v>0</v>
      </c>
      <c r="X116">
        <f t="shared" si="71"/>
        <v>0</v>
      </c>
      <c r="Y116">
        <f t="shared" si="72"/>
        <v>0</v>
      </c>
      <c r="Z116">
        <f t="shared" si="73"/>
        <v>0</v>
      </c>
      <c r="AA116">
        <f t="shared" si="74"/>
        <v>0</v>
      </c>
      <c r="AB116">
        <f t="shared" si="75"/>
        <v>0</v>
      </c>
      <c r="AC116">
        <f t="shared" si="76"/>
        <v>0</v>
      </c>
      <c r="AD116">
        <f t="shared" si="77"/>
        <v>0</v>
      </c>
      <c r="AE116">
        <f t="shared" si="78"/>
        <v>0</v>
      </c>
      <c r="AF116">
        <f t="shared" si="79"/>
        <v>0</v>
      </c>
      <c r="AG116">
        <f t="shared" si="80"/>
        <v>0</v>
      </c>
      <c r="AH116">
        <f t="shared" si="81"/>
        <v>0</v>
      </c>
      <c r="AI116">
        <f t="shared" si="82"/>
        <v>0</v>
      </c>
      <c r="AJ116">
        <f t="shared" si="83"/>
        <v>0</v>
      </c>
      <c r="AK116">
        <f t="shared" si="84"/>
        <v>0</v>
      </c>
      <c r="AL116">
        <f t="shared" si="85"/>
        <v>0</v>
      </c>
      <c r="AM116">
        <f t="shared" si="86"/>
        <v>0</v>
      </c>
      <c r="AN116">
        <f t="shared" si="87"/>
        <v>0</v>
      </c>
      <c r="AO116">
        <f t="shared" si="88"/>
        <v>0</v>
      </c>
      <c r="AP116">
        <f t="shared" si="89"/>
        <v>0</v>
      </c>
      <c r="AQ116">
        <f t="shared" si="90"/>
        <v>0</v>
      </c>
      <c r="AR116">
        <f t="shared" si="91"/>
        <v>0</v>
      </c>
      <c r="AS116">
        <f t="shared" si="92"/>
        <v>0</v>
      </c>
      <c r="AT116">
        <f t="shared" si="93"/>
        <v>0</v>
      </c>
      <c r="AU116">
        <f t="shared" si="94"/>
        <v>0</v>
      </c>
      <c r="AV116">
        <f t="shared" si="95"/>
        <v>0</v>
      </c>
      <c r="AW116">
        <f t="shared" si="49"/>
        <v>0</v>
      </c>
      <c r="AX116">
        <f t="shared" si="96"/>
        <v>0</v>
      </c>
      <c r="AY116">
        <f t="shared" si="97"/>
        <v>0</v>
      </c>
    </row>
    <row r="117" spans="1:51" x14ac:dyDescent="0.35">
      <c r="A117">
        <v>111</v>
      </c>
      <c r="C117">
        <f t="shared" si="50"/>
        <v>0</v>
      </c>
      <c r="D117">
        <f t="shared" si="51"/>
        <v>0</v>
      </c>
      <c r="E117">
        <f t="shared" si="52"/>
        <v>0</v>
      </c>
      <c r="F117">
        <f t="shared" si="53"/>
        <v>0</v>
      </c>
      <c r="G117">
        <f t="shared" si="54"/>
        <v>0</v>
      </c>
      <c r="H117">
        <f t="shared" si="55"/>
        <v>0</v>
      </c>
      <c r="I117">
        <f t="shared" si="56"/>
        <v>0</v>
      </c>
      <c r="J117">
        <f t="shared" si="57"/>
        <v>0</v>
      </c>
      <c r="K117">
        <f t="shared" si="58"/>
        <v>0</v>
      </c>
      <c r="L117">
        <f t="shared" si="59"/>
        <v>0</v>
      </c>
      <c r="M117">
        <f t="shared" si="60"/>
        <v>0</v>
      </c>
      <c r="N117">
        <f t="shared" si="61"/>
        <v>0</v>
      </c>
      <c r="O117">
        <f t="shared" si="62"/>
        <v>0</v>
      </c>
      <c r="P117">
        <f t="shared" si="63"/>
        <v>0</v>
      </c>
      <c r="Q117">
        <f t="shared" si="64"/>
        <v>0</v>
      </c>
      <c r="R117">
        <f t="shared" si="65"/>
        <v>0</v>
      </c>
      <c r="S117">
        <f t="shared" si="66"/>
        <v>0</v>
      </c>
      <c r="T117">
        <f t="shared" si="67"/>
        <v>0</v>
      </c>
      <c r="U117">
        <f t="shared" si="68"/>
        <v>0</v>
      </c>
      <c r="V117">
        <f t="shared" si="69"/>
        <v>0</v>
      </c>
      <c r="W117">
        <f t="shared" si="70"/>
        <v>0</v>
      </c>
      <c r="X117">
        <f t="shared" si="71"/>
        <v>0</v>
      </c>
      <c r="Y117">
        <f t="shared" si="72"/>
        <v>0</v>
      </c>
      <c r="Z117">
        <f t="shared" si="73"/>
        <v>0</v>
      </c>
      <c r="AA117">
        <f t="shared" si="74"/>
        <v>0</v>
      </c>
      <c r="AB117">
        <f t="shared" si="75"/>
        <v>0</v>
      </c>
      <c r="AC117">
        <f t="shared" si="76"/>
        <v>0</v>
      </c>
      <c r="AD117">
        <f t="shared" si="77"/>
        <v>0</v>
      </c>
      <c r="AE117">
        <f t="shared" si="78"/>
        <v>0</v>
      </c>
      <c r="AF117">
        <f t="shared" si="79"/>
        <v>0</v>
      </c>
      <c r="AG117">
        <f t="shared" si="80"/>
        <v>0</v>
      </c>
      <c r="AH117">
        <f t="shared" si="81"/>
        <v>0</v>
      </c>
      <c r="AI117">
        <f t="shared" si="82"/>
        <v>0</v>
      </c>
      <c r="AJ117">
        <f t="shared" si="83"/>
        <v>0</v>
      </c>
      <c r="AK117">
        <f t="shared" si="84"/>
        <v>0</v>
      </c>
      <c r="AL117">
        <f t="shared" si="85"/>
        <v>0</v>
      </c>
      <c r="AM117">
        <f t="shared" si="86"/>
        <v>0</v>
      </c>
      <c r="AN117">
        <f t="shared" si="87"/>
        <v>0</v>
      </c>
      <c r="AO117">
        <f t="shared" si="88"/>
        <v>0</v>
      </c>
      <c r="AP117">
        <f t="shared" si="89"/>
        <v>0</v>
      </c>
      <c r="AQ117">
        <f t="shared" si="90"/>
        <v>0</v>
      </c>
      <c r="AR117">
        <f t="shared" si="91"/>
        <v>0</v>
      </c>
      <c r="AS117">
        <f t="shared" si="92"/>
        <v>0</v>
      </c>
      <c r="AT117">
        <f t="shared" si="93"/>
        <v>0</v>
      </c>
      <c r="AU117">
        <f t="shared" si="94"/>
        <v>0</v>
      </c>
      <c r="AV117">
        <f t="shared" si="95"/>
        <v>0</v>
      </c>
      <c r="AW117">
        <f t="shared" si="49"/>
        <v>0</v>
      </c>
      <c r="AX117">
        <f t="shared" si="96"/>
        <v>0</v>
      </c>
      <c r="AY117">
        <f t="shared" si="97"/>
        <v>0</v>
      </c>
    </row>
    <row r="118" spans="1:51" x14ac:dyDescent="0.35">
      <c r="A118">
        <v>112</v>
      </c>
      <c r="C118">
        <f t="shared" si="50"/>
        <v>0</v>
      </c>
      <c r="D118">
        <f t="shared" si="51"/>
        <v>0</v>
      </c>
      <c r="E118">
        <f t="shared" si="52"/>
        <v>0</v>
      </c>
      <c r="F118">
        <f t="shared" si="53"/>
        <v>0</v>
      </c>
      <c r="G118">
        <f t="shared" si="54"/>
        <v>0</v>
      </c>
      <c r="H118">
        <f t="shared" si="55"/>
        <v>0</v>
      </c>
      <c r="I118">
        <f t="shared" si="56"/>
        <v>0</v>
      </c>
      <c r="J118">
        <f t="shared" si="57"/>
        <v>0</v>
      </c>
      <c r="K118">
        <f t="shared" si="58"/>
        <v>0</v>
      </c>
      <c r="L118">
        <f t="shared" si="59"/>
        <v>0</v>
      </c>
      <c r="M118">
        <f t="shared" si="60"/>
        <v>0</v>
      </c>
      <c r="N118">
        <f t="shared" si="61"/>
        <v>0</v>
      </c>
      <c r="O118">
        <f t="shared" si="62"/>
        <v>0</v>
      </c>
      <c r="P118">
        <f t="shared" si="63"/>
        <v>0</v>
      </c>
      <c r="Q118">
        <f t="shared" si="64"/>
        <v>0</v>
      </c>
      <c r="R118">
        <f t="shared" si="65"/>
        <v>0</v>
      </c>
      <c r="S118">
        <f t="shared" si="66"/>
        <v>0</v>
      </c>
      <c r="T118">
        <f t="shared" si="67"/>
        <v>0</v>
      </c>
      <c r="U118">
        <f t="shared" si="68"/>
        <v>0</v>
      </c>
      <c r="V118">
        <f t="shared" si="69"/>
        <v>0</v>
      </c>
      <c r="W118">
        <f t="shared" si="70"/>
        <v>0</v>
      </c>
      <c r="X118">
        <f t="shared" si="71"/>
        <v>0</v>
      </c>
      <c r="Y118">
        <f t="shared" si="72"/>
        <v>0</v>
      </c>
      <c r="Z118">
        <f t="shared" si="73"/>
        <v>0</v>
      </c>
      <c r="AA118">
        <f t="shared" si="74"/>
        <v>0</v>
      </c>
      <c r="AB118">
        <f t="shared" si="75"/>
        <v>0</v>
      </c>
      <c r="AC118">
        <f t="shared" si="76"/>
        <v>0</v>
      </c>
      <c r="AD118">
        <f t="shared" si="77"/>
        <v>0</v>
      </c>
      <c r="AE118">
        <f t="shared" si="78"/>
        <v>0</v>
      </c>
      <c r="AF118">
        <f t="shared" si="79"/>
        <v>0</v>
      </c>
      <c r="AG118">
        <f t="shared" si="80"/>
        <v>0</v>
      </c>
      <c r="AH118">
        <f t="shared" si="81"/>
        <v>0</v>
      </c>
      <c r="AI118">
        <f t="shared" si="82"/>
        <v>0</v>
      </c>
      <c r="AJ118">
        <f t="shared" si="83"/>
        <v>0</v>
      </c>
      <c r="AK118">
        <f t="shared" si="84"/>
        <v>0</v>
      </c>
      <c r="AL118">
        <f t="shared" si="85"/>
        <v>0</v>
      </c>
      <c r="AM118">
        <f t="shared" si="86"/>
        <v>0</v>
      </c>
      <c r="AN118">
        <f t="shared" si="87"/>
        <v>0</v>
      </c>
      <c r="AO118">
        <f t="shared" si="88"/>
        <v>0</v>
      </c>
      <c r="AP118">
        <f t="shared" si="89"/>
        <v>0</v>
      </c>
      <c r="AQ118">
        <f t="shared" si="90"/>
        <v>0</v>
      </c>
      <c r="AR118">
        <f t="shared" si="91"/>
        <v>0</v>
      </c>
      <c r="AS118">
        <f t="shared" si="92"/>
        <v>0</v>
      </c>
      <c r="AT118">
        <f t="shared" si="93"/>
        <v>0</v>
      </c>
      <c r="AU118">
        <f t="shared" si="94"/>
        <v>0</v>
      </c>
      <c r="AV118">
        <f t="shared" si="95"/>
        <v>0</v>
      </c>
      <c r="AW118">
        <f t="shared" si="49"/>
        <v>0</v>
      </c>
      <c r="AX118">
        <f t="shared" si="96"/>
        <v>0</v>
      </c>
      <c r="AY118">
        <f t="shared" si="97"/>
        <v>0</v>
      </c>
    </row>
    <row r="119" spans="1:51" x14ac:dyDescent="0.35">
      <c r="A119">
        <v>113</v>
      </c>
      <c r="C119">
        <f t="shared" si="50"/>
        <v>0</v>
      </c>
      <c r="D119">
        <f t="shared" si="51"/>
        <v>0</v>
      </c>
      <c r="E119">
        <f t="shared" si="52"/>
        <v>0</v>
      </c>
      <c r="F119">
        <f t="shared" si="53"/>
        <v>0</v>
      </c>
      <c r="G119">
        <f t="shared" si="54"/>
        <v>0</v>
      </c>
      <c r="H119">
        <f t="shared" si="55"/>
        <v>0</v>
      </c>
      <c r="I119">
        <f t="shared" si="56"/>
        <v>0</v>
      </c>
      <c r="J119">
        <f t="shared" si="57"/>
        <v>0</v>
      </c>
      <c r="K119">
        <f t="shared" si="58"/>
        <v>0</v>
      </c>
      <c r="L119">
        <f t="shared" si="59"/>
        <v>0</v>
      </c>
      <c r="M119">
        <f t="shared" si="60"/>
        <v>0</v>
      </c>
      <c r="N119">
        <f t="shared" si="61"/>
        <v>0</v>
      </c>
      <c r="O119">
        <f t="shared" si="62"/>
        <v>0</v>
      </c>
      <c r="P119">
        <f t="shared" si="63"/>
        <v>0</v>
      </c>
      <c r="Q119">
        <f t="shared" si="64"/>
        <v>0</v>
      </c>
      <c r="R119">
        <f t="shared" si="65"/>
        <v>0</v>
      </c>
      <c r="S119">
        <f t="shared" si="66"/>
        <v>0</v>
      </c>
      <c r="T119">
        <f t="shared" si="67"/>
        <v>0</v>
      </c>
      <c r="U119">
        <f t="shared" si="68"/>
        <v>0</v>
      </c>
      <c r="V119">
        <f t="shared" si="69"/>
        <v>0</v>
      </c>
      <c r="W119">
        <f t="shared" si="70"/>
        <v>0</v>
      </c>
      <c r="X119">
        <f t="shared" si="71"/>
        <v>0</v>
      </c>
      <c r="Y119">
        <f t="shared" si="72"/>
        <v>0</v>
      </c>
      <c r="Z119">
        <f t="shared" si="73"/>
        <v>0</v>
      </c>
      <c r="AA119">
        <f t="shared" si="74"/>
        <v>0</v>
      </c>
      <c r="AB119">
        <f t="shared" si="75"/>
        <v>0</v>
      </c>
      <c r="AC119">
        <f t="shared" si="76"/>
        <v>0</v>
      </c>
      <c r="AD119">
        <f t="shared" si="77"/>
        <v>0</v>
      </c>
      <c r="AE119">
        <f t="shared" si="78"/>
        <v>0</v>
      </c>
      <c r="AF119">
        <f t="shared" si="79"/>
        <v>0</v>
      </c>
      <c r="AG119">
        <f t="shared" si="80"/>
        <v>0</v>
      </c>
      <c r="AH119">
        <f t="shared" si="81"/>
        <v>0</v>
      </c>
      <c r="AI119">
        <f t="shared" si="82"/>
        <v>0</v>
      </c>
      <c r="AJ119">
        <f t="shared" si="83"/>
        <v>0</v>
      </c>
      <c r="AK119">
        <f t="shared" si="84"/>
        <v>0</v>
      </c>
      <c r="AL119">
        <f t="shared" si="85"/>
        <v>0</v>
      </c>
      <c r="AM119">
        <f t="shared" si="86"/>
        <v>0</v>
      </c>
      <c r="AN119">
        <f t="shared" si="87"/>
        <v>0</v>
      </c>
      <c r="AO119">
        <f t="shared" si="88"/>
        <v>0</v>
      </c>
      <c r="AP119">
        <f t="shared" si="89"/>
        <v>0</v>
      </c>
      <c r="AQ119">
        <f t="shared" si="90"/>
        <v>0</v>
      </c>
      <c r="AR119">
        <f t="shared" si="91"/>
        <v>0</v>
      </c>
      <c r="AS119">
        <f t="shared" si="92"/>
        <v>0</v>
      </c>
      <c r="AT119">
        <f t="shared" si="93"/>
        <v>0</v>
      </c>
      <c r="AU119">
        <f t="shared" si="94"/>
        <v>0</v>
      </c>
      <c r="AV119">
        <f t="shared" si="95"/>
        <v>0</v>
      </c>
      <c r="AW119">
        <f t="shared" si="49"/>
        <v>0</v>
      </c>
      <c r="AX119">
        <f t="shared" si="96"/>
        <v>0</v>
      </c>
      <c r="AY119">
        <f t="shared" si="97"/>
        <v>0</v>
      </c>
    </row>
    <row r="120" spans="1:51" x14ac:dyDescent="0.35">
      <c r="A120">
        <v>114</v>
      </c>
      <c r="C120">
        <f t="shared" si="50"/>
        <v>0</v>
      </c>
      <c r="D120">
        <f t="shared" si="51"/>
        <v>0</v>
      </c>
      <c r="E120">
        <f t="shared" si="52"/>
        <v>0</v>
      </c>
      <c r="F120">
        <f t="shared" si="53"/>
        <v>0</v>
      </c>
      <c r="G120">
        <f t="shared" si="54"/>
        <v>0</v>
      </c>
      <c r="H120">
        <f t="shared" si="55"/>
        <v>0</v>
      </c>
      <c r="I120">
        <f t="shared" si="56"/>
        <v>0</v>
      </c>
      <c r="J120">
        <f t="shared" si="57"/>
        <v>0</v>
      </c>
      <c r="K120">
        <f t="shared" si="58"/>
        <v>0</v>
      </c>
      <c r="L120">
        <f t="shared" si="59"/>
        <v>0</v>
      </c>
      <c r="M120">
        <f t="shared" si="60"/>
        <v>0</v>
      </c>
      <c r="N120">
        <f t="shared" si="61"/>
        <v>0</v>
      </c>
      <c r="O120">
        <f t="shared" si="62"/>
        <v>0</v>
      </c>
      <c r="P120">
        <f t="shared" si="63"/>
        <v>0</v>
      </c>
      <c r="Q120">
        <f t="shared" si="64"/>
        <v>0</v>
      </c>
      <c r="R120">
        <f t="shared" si="65"/>
        <v>0</v>
      </c>
      <c r="S120">
        <f t="shared" si="66"/>
        <v>0</v>
      </c>
      <c r="T120">
        <f t="shared" si="67"/>
        <v>0</v>
      </c>
      <c r="U120">
        <f t="shared" si="68"/>
        <v>0</v>
      </c>
      <c r="V120">
        <f t="shared" si="69"/>
        <v>0</v>
      </c>
      <c r="W120">
        <f t="shared" si="70"/>
        <v>0</v>
      </c>
      <c r="X120">
        <f t="shared" si="71"/>
        <v>0</v>
      </c>
      <c r="Y120">
        <f t="shared" si="72"/>
        <v>0</v>
      </c>
      <c r="Z120">
        <f t="shared" si="73"/>
        <v>0</v>
      </c>
      <c r="AA120">
        <f t="shared" si="74"/>
        <v>0</v>
      </c>
      <c r="AB120">
        <f t="shared" si="75"/>
        <v>0</v>
      </c>
      <c r="AC120">
        <f t="shared" si="76"/>
        <v>0</v>
      </c>
      <c r="AD120">
        <f t="shared" si="77"/>
        <v>0</v>
      </c>
      <c r="AE120">
        <f t="shared" si="78"/>
        <v>0</v>
      </c>
      <c r="AF120">
        <f t="shared" si="79"/>
        <v>0</v>
      </c>
      <c r="AG120">
        <f t="shared" si="80"/>
        <v>0</v>
      </c>
      <c r="AH120">
        <f t="shared" si="81"/>
        <v>0</v>
      </c>
      <c r="AI120">
        <f t="shared" si="82"/>
        <v>0</v>
      </c>
      <c r="AJ120">
        <f t="shared" si="83"/>
        <v>0</v>
      </c>
      <c r="AK120">
        <f t="shared" si="84"/>
        <v>0</v>
      </c>
      <c r="AL120">
        <f t="shared" si="85"/>
        <v>0</v>
      </c>
      <c r="AM120">
        <f t="shared" si="86"/>
        <v>0</v>
      </c>
      <c r="AN120">
        <f t="shared" si="87"/>
        <v>0</v>
      </c>
      <c r="AO120">
        <f t="shared" si="88"/>
        <v>0</v>
      </c>
      <c r="AP120">
        <f t="shared" si="89"/>
        <v>0</v>
      </c>
      <c r="AQ120">
        <f t="shared" si="90"/>
        <v>0</v>
      </c>
      <c r="AR120">
        <f t="shared" si="91"/>
        <v>0</v>
      </c>
      <c r="AS120">
        <f t="shared" si="92"/>
        <v>0</v>
      </c>
      <c r="AT120">
        <f t="shared" si="93"/>
        <v>0</v>
      </c>
      <c r="AU120">
        <f t="shared" si="94"/>
        <v>0</v>
      </c>
      <c r="AV120">
        <f t="shared" si="95"/>
        <v>0</v>
      </c>
      <c r="AW120">
        <f t="shared" si="49"/>
        <v>0</v>
      </c>
      <c r="AX120">
        <f t="shared" si="96"/>
        <v>0</v>
      </c>
      <c r="AY120">
        <f t="shared" si="97"/>
        <v>0</v>
      </c>
    </row>
    <row r="121" spans="1:51" x14ac:dyDescent="0.35">
      <c r="A121">
        <v>115</v>
      </c>
      <c r="C121">
        <f t="shared" si="50"/>
        <v>0</v>
      </c>
      <c r="D121">
        <f t="shared" si="51"/>
        <v>0</v>
      </c>
      <c r="E121">
        <f t="shared" si="52"/>
        <v>0</v>
      </c>
      <c r="F121">
        <f t="shared" si="53"/>
        <v>0</v>
      </c>
      <c r="G121">
        <f t="shared" si="54"/>
        <v>0</v>
      </c>
      <c r="H121">
        <f t="shared" si="55"/>
        <v>0</v>
      </c>
      <c r="I121">
        <f t="shared" si="56"/>
        <v>0</v>
      </c>
      <c r="J121">
        <f t="shared" si="57"/>
        <v>0</v>
      </c>
      <c r="K121">
        <f t="shared" si="58"/>
        <v>0</v>
      </c>
      <c r="L121">
        <f t="shared" si="59"/>
        <v>0</v>
      </c>
      <c r="M121">
        <f t="shared" si="60"/>
        <v>0</v>
      </c>
      <c r="N121">
        <f t="shared" si="61"/>
        <v>0</v>
      </c>
      <c r="O121">
        <f t="shared" si="62"/>
        <v>0</v>
      </c>
      <c r="P121">
        <f t="shared" si="63"/>
        <v>0</v>
      </c>
      <c r="Q121">
        <f t="shared" si="64"/>
        <v>0</v>
      </c>
      <c r="R121">
        <f t="shared" si="65"/>
        <v>0</v>
      </c>
      <c r="S121">
        <f t="shared" si="66"/>
        <v>0</v>
      </c>
      <c r="T121">
        <f t="shared" si="67"/>
        <v>0</v>
      </c>
      <c r="U121">
        <f t="shared" si="68"/>
        <v>0</v>
      </c>
      <c r="V121">
        <f t="shared" si="69"/>
        <v>0</v>
      </c>
      <c r="W121">
        <f t="shared" si="70"/>
        <v>0</v>
      </c>
      <c r="X121">
        <f t="shared" si="71"/>
        <v>0</v>
      </c>
      <c r="Y121">
        <f t="shared" si="72"/>
        <v>0</v>
      </c>
      <c r="Z121">
        <f t="shared" si="73"/>
        <v>0</v>
      </c>
      <c r="AA121">
        <f t="shared" si="74"/>
        <v>0</v>
      </c>
      <c r="AB121">
        <f t="shared" si="75"/>
        <v>0</v>
      </c>
      <c r="AC121">
        <f t="shared" si="76"/>
        <v>0</v>
      </c>
      <c r="AD121">
        <f t="shared" si="77"/>
        <v>0</v>
      </c>
      <c r="AE121">
        <f t="shared" si="78"/>
        <v>0</v>
      </c>
      <c r="AF121">
        <f t="shared" si="79"/>
        <v>0</v>
      </c>
      <c r="AG121">
        <f t="shared" si="80"/>
        <v>0</v>
      </c>
      <c r="AH121">
        <f t="shared" si="81"/>
        <v>0</v>
      </c>
      <c r="AI121">
        <f t="shared" si="82"/>
        <v>0</v>
      </c>
      <c r="AJ121">
        <f t="shared" si="83"/>
        <v>0</v>
      </c>
      <c r="AK121">
        <f t="shared" si="84"/>
        <v>0</v>
      </c>
      <c r="AL121">
        <f t="shared" si="85"/>
        <v>0</v>
      </c>
      <c r="AM121">
        <f t="shared" si="86"/>
        <v>0</v>
      </c>
      <c r="AN121">
        <f t="shared" si="87"/>
        <v>0</v>
      </c>
      <c r="AO121">
        <f t="shared" si="88"/>
        <v>0</v>
      </c>
      <c r="AP121">
        <f t="shared" si="89"/>
        <v>0</v>
      </c>
      <c r="AQ121">
        <f t="shared" si="90"/>
        <v>0</v>
      </c>
      <c r="AR121">
        <f t="shared" si="91"/>
        <v>0</v>
      </c>
      <c r="AS121">
        <f t="shared" si="92"/>
        <v>0</v>
      </c>
      <c r="AT121">
        <f t="shared" si="93"/>
        <v>0</v>
      </c>
      <c r="AU121">
        <f t="shared" si="94"/>
        <v>0</v>
      </c>
      <c r="AV121">
        <f t="shared" si="95"/>
        <v>0</v>
      </c>
      <c r="AW121">
        <f t="shared" si="49"/>
        <v>0</v>
      </c>
      <c r="AX121">
        <f t="shared" si="96"/>
        <v>0</v>
      </c>
      <c r="AY121">
        <f t="shared" si="97"/>
        <v>0</v>
      </c>
    </row>
    <row r="122" spans="1:51" x14ac:dyDescent="0.35">
      <c r="A122">
        <v>116</v>
      </c>
      <c r="C122">
        <f t="shared" si="50"/>
        <v>0</v>
      </c>
      <c r="D122">
        <f t="shared" si="51"/>
        <v>0</v>
      </c>
      <c r="E122">
        <f t="shared" si="52"/>
        <v>0</v>
      </c>
      <c r="F122">
        <f t="shared" si="53"/>
        <v>0</v>
      </c>
      <c r="G122">
        <f t="shared" si="54"/>
        <v>0</v>
      </c>
      <c r="H122">
        <f t="shared" si="55"/>
        <v>0</v>
      </c>
      <c r="I122">
        <f t="shared" si="56"/>
        <v>0</v>
      </c>
      <c r="J122">
        <f t="shared" si="57"/>
        <v>0</v>
      </c>
      <c r="K122">
        <f t="shared" si="58"/>
        <v>0</v>
      </c>
      <c r="L122">
        <f t="shared" si="59"/>
        <v>0</v>
      </c>
      <c r="M122">
        <f t="shared" si="60"/>
        <v>0</v>
      </c>
      <c r="N122">
        <f t="shared" si="61"/>
        <v>0</v>
      </c>
      <c r="O122">
        <f t="shared" si="62"/>
        <v>0</v>
      </c>
      <c r="P122">
        <f t="shared" si="63"/>
        <v>0</v>
      </c>
      <c r="Q122">
        <f t="shared" si="64"/>
        <v>0</v>
      </c>
      <c r="R122">
        <f t="shared" si="65"/>
        <v>0</v>
      </c>
      <c r="S122">
        <f t="shared" si="66"/>
        <v>0</v>
      </c>
      <c r="T122">
        <f t="shared" si="67"/>
        <v>0</v>
      </c>
      <c r="U122">
        <f t="shared" si="68"/>
        <v>0</v>
      </c>
      <c r="V122">
        <f t="shared" si="69"/>
        <v>0</v>
      </c>
      <c r="W122">
        <f t="shared" si="70"/>
        <v>0</v>
      </c>
      <c r="X122">
        <f t="shared" si="71"/>
        <v>0</v>
      </c>
      <c r="Y122">
        <f t="shared" si="72"/>
        <v>0</v>
      </c>
      <c r="Z122">
        <f t="shared" si="73"/>
        <v>0</v>
      </c>
      <c r="AA122">
        <f t="shared" si="74"/>
        <v>0</v>
      </c>
      <c r="AB122">
        <f t="shared" si="75"/>
        <v>0</v>
      </c>
      <c r="AC122">
        <f t="shared" si="76"/>
        <v>0</v>
      </c>
      <c r="AD122">
        <f t="shared" si="77"/>
        <v>0</v>
      </c>
      <c r="AE122">
        <f t="shared" si="78"/>
        <v>0</v>
      </c>
      <c r="AF122">
        <f t="shared" si="79"/>
        <v>0</v>
      </c>
      <c r="AG122">
        <f t="shared" si="80"/>
        <v>0</v>
      </c>
      <c r="AH122">
        <f t="shared" si="81"/>
        <v>0</v>
      </c>
      <c r="AI122">
        <f t="shared" si="82"/>
        <v>0</v>
      </c>
      <c r="AJ122">
        <f t="shared" si="83"/>
        <v>0</v>
      </c>
      <c r="AK122">
        <f t="shared" si="84"/>
        <v>0</v>
      </c>
      <c r="AL122">
        <f t="shared" si="85"/>
        <v>0</v>
      </c>
      <c r="AM122">
        <f t="shared" si="86"/>
        <v>0</v>
      </c>
      <c r="AN122">
        <f t="shared" si="87"/>
        <v>0</v>
      </c>
      <c r="AO122">
        <f t="shared" si="88"/>
        <v>0</v>
      </c>
      <c r="AP122">
        <f t="shared" si="89"/>
        <v>0</v>
      </c>
      <c r="AQ122">
        <f t="shared" si="90"/>
        <v>0</v>
      </c>
      <c r="AR122">
        <f t="shared" si="91"/>
        <v>0</v>
      </c>
      <c r="AS122">
        <f t="shared" si="92"/>
        <v>0</v>
      </c>
      <c r="AT122">
        <f t="shared" si="93"/>
        <v>0</v>
      </c>
      <c r="AU122">
        <f t="shared" si="94"/>
        <v>0</v>
      </c>
      <c r="AV122">
        <f t="shared" si="95"/>
        <v>0</v>
      </c>
      <c r="AW122">
        <f t="shared" si="49"/>
        <v>0</v>
      </c>
      <c r="AX122">
        <f t="shared" si="96"/>
        <v>0</v>
      </c>
      <c r="AY122">
        <f t="shared" si="97"/>
        <v>0</v>
      </c>
    </row>
    <row r="123" spans="1:51" x14ac:dyDescent="0.35">
      <c r="A123">
        <v>117</v>
      </c>
      <c r="C123">
        <f t="shared" si="50"/>
        <v>0</v>
      </c>
      <c r="D123">
        <f t="shared" si="51"/>
        <v>0</v>
      </c>
      <c r="E123">
        <f t="shared" si="52"/>
        <v>0</v>
      </c>
      <c r="F123">
        <f t="shared" si="53"/>
        <v>0</v>
      </c>
      <c r="G123">
        <f t="shared" si="54"/>
        <v>0</v>
      </c>
      <c r="H123">
        <f t="shared" si="55"/>
        <v>0</v>
      </c>
      <c r="I123">
        <f t="shared" si="56"/>
        <v>0</v>
      </c>
      <c r="J123">
        <f t="shared" si="57"/>
        <v>0</v>
      </c>
      <c r="K123">
        <f t="shared" si="58"/>
        <v>0</v>
      </c>
      <c r="L123">
        <f t="shared" si="59"/>
        <v>0</v>
      </c>
      <c r="M123">
        <f t="shared" si="60"/>
        <v>0</v>
      </c>
      <c r="N123">
        <f t="shared" si="61"/>
        <v>0</v>
      </c>
      <c r="O123">
        <f t="shared" si="62"/>
        <v>0</v>
      </c>
      <c r="P123">
        <f t="shared" si="63"/>
        <v>0</v>
      </c>
      <c r="Q123">
        <f t="shared" si="64"/>
        <v>0</v>
      </c>
      <c r="R123">
        <f t="shared" si="65"/>
        <v>0</v>
      </c>
      <c r="S123">
        <f t="shared" si="66"/>
        <v>0</v>
      </c>
      <c r="T123">
        <f t="shared" si="67"/>
        <v>0</v>
      </c>
      <c r="U123">
        <f t="shared" si="68"/>
        <v>0</v>
      </c>
      <c r="V123">
        <f t="shared" si="69"/>
        <v>0</v>
      </c>
      <c r="W123">
        <f t="shared" si="70"/>
        <v>0</v>
      </c>
      <c r="X123">
        <f t="shared" si="71"/>
        <v>0</v>
      </c>
      <c r="Y123">
        <f t="shared" si="72"/>
        <v>0</v>
      </c>
      <c r="Z123">
        <f t="shared" si="73"/>
        <v>0</v>
      </c>
      <c r="AA123">
        <f t="shared" si="74"/>
        <v>0</v>
      </c>
      <c r="AB123">
        <f t="shared" si="75"/>
        <v>0</v>
      </c>
      <c r="AC123">
        <f t="shared" si="76"/>
        <v>0</v>
      </c>
      <c r="AD123">
        <f t="shared" si="77"/>
        <v>0</v>
      </c>
      <c r="AE123">
        <f t="shared" si="78"/>
        <v>0</v>
      </c>
      <c r="AF123">
        <f t="shared" si="79"/>
        <v>0</v>
      </c>
      <c r="AG123">
        <f t="shared" si="80"/>
        <v>0</v>
      </c>
      <c r="AH123">
        <f t="shared" si="81"/>
        <v>0</v>
      </c>
      <c r="AI123">
        <f t="shared" si="82"/>
        <v>0</v>
      </c>
      <c r="AJ123">
        <f t="shared" si="83"/>
        <v>0</v>
      </c>
      <c r="AK123">
        <f t="shared" si="84"/>
        <v>0</v>
      </c>
      <c r="AL123">
        <f t="shared" si="85"/>
        <v>0</v>
      </c>
      <c r="AM123">
        <f t="shared" si="86"/>
        <v>0</v>
      </c>
      <c r="AN123">
        <f t="shared" si="87"/>
        <v>0</v>
      </c>
      <c r="AO123">
        <f t="shared" si="88"/>
        <v>0</v>
      </c>
      <c r="AP123">
        <f t="shared" si="89"/>
        <v>0</v>
      </c>
      <c r="AQ123">
        <f t="shared" si="90"/>
        <v>0</v>
      </c>
      <c r="AR123">
        <f t="shared" si="91"/>
        <v>0</v>
      </c>
      <c r="AS123">
        <f t="shared" si="92"/>
        <v>0</v>
      </c>
      <c r="AT123">
        <f t="shared" si="93"/>
        <v>0</v>
      </c>
      <c r="AU123">
        <f t="shared" si="94"/>
        <v>0</v>
      </c>
      <c r="AV123">
        <f t="shared" si="95"/>
        <v>0</v>
      </c>
      <c r="AW123">
        <f t="shared" si="49"/>
        <v>0</v>
      </c>
      <c r="AX123">
        <f t="shared" si="96"/>
        <v>0</v>
      </c>
      <c r="AY123">
        <f t="shared" si="97"/>
        <v>0</v>
      </c>
    </row>
    <row r="124" spans="1:51" x14ac:dyDescent="0.35">
      <c r="A124">
        <v>118</v>
      </c>
      <c r="C124">
        <f t="shared" si="50"/>
        <v>0</v>
      </c>
      <c r="D124">
        <f t="shared" si="51"/>
        <v>0</v>
      </c>
      <c r="E124">
        <f t="shared" si="52"/>
        <v>0</v>
      </c>
      <c r="F124">
        <f t="shared" si="53"/>
        <v>0</v>
      </c>
      <c r="G124">
        <f t="shared" si="54"/>
        <v>0</v>
      </c>
      <c r="H124">
        <f t="shared" si="55"/>
        <v>0</v>
      </c>
      <c r="I124">
        <f t="shared" si="56"/>
        <v>0</v>
      </c>
      <c r="J124">
        <f t="shared" si="57"/>
        <v>0</v>
      </c>
      <c r="K124">
        <f t="shared" si="58"/>
        <v>0</v>
      </c>
      <c r="L124">
        <f t="shared" si="59"/>
        <v>0</v>
      </c>
      <c r="M124">
        <f t="shared" si="60"/>
        <v>0</v>
      </c>
      <c r="N124">
        <f t="shared" si="61"/>
        <v>0</v>
      </c>
      <c r="O124">
        <f t="shared" si="62"/>
        <v>0</v>
      </c>
      <c r="P124">
        <f t="shared" si="63"/>
        <v>0</v>
      </c>
      <c r="Q124">
        <f t="shared" si="64"/>
        <v>0</v>
      </c>
      <c r="R124">
        <f t="shared" si="65"/>
        <v>0</v>
      </c>
      <c r="S124">
        <f t="shared" si="66"/>
        <v>0</v>
      </c>
      <c r="T124">
        <f t="shared" si="67"/>
        <v>0</v>
      </c>
      <c r="U124">
        <f t="shared" si="68"/>
        <v>0</v>
      </c>
      <c r="V124">
        <f t="shared" si="69"/>
        <v>0</v>
      </c>
      <c r="W124">
        <f t="shared" si="70"/>
        <v>0</v>
      </c>
      <c r="X124">
        <f t="shared" si="71"/>
        <v>0</v>
      </c>
      <c r="Y124">
        <f t="shared" si="72"/>
        <v>0</v>
      </c>
      <c r="Z124">
        <f t="shared" si="73"/>
        <v>0</v>
      </c>
      <c r="AA124">
        <f t="shared" si="74"/>
        <v>0</v>
      </c>
      <c r="AB124">
        <f t="shared" si="75"/>
        <v>0</v>
      </c>
      <c r="AC124">
        <f t="shared" si="76"/>
        <v>0</v>
      </c>
      <c r="AD124">
        <f t="shared" si="77"/>
        <v>0</v>
      </c>
      <c r="AE124">
        <f t="shared" si="78"/>
        <v>0</v>
      </c>
      <c r="AF124">
        <f t="shared" si="79"/>
        <v>0</v>
      </c>
      <c r="AG124">
        <f t="shared" si="80"/>
        <v>0</v>
      </c>
      <c r="AH124">
        <f t="shared" si="81"/>
        <v>0</v>
      </c>
      <c r="AI124">
        <f t="shared" si="82"/>
        <v>0</v>
      </c>
      <c r="AJ124">
        <f t="shared" si="83"/>
        <v>0</v>
      </c>
      <c r="AK124">
        <f t="shared" si="84"/>
        <v>0</v>
      </c>
      <c r="AL124">
        <f t="shared" si="85"/>
        <v>0</v>
      </c>
      <c r="AM124">
        <f t="shared" si="86"/>
        <v>0</v>
      </c>
      <c r="AN124">
        <f t="shared" si="87"/>
        <v>0</v>
      </c>
      <c r="AO124">
        <f t="shared" si="88"/>
        <v>0</v>
      </c>
      <c r="AP124">
        <f t="shared" si="89"/>
        <v>0</v>
      </c>
      <c r="AQ124">
        <f t="shared" si="90"/>
        <v>0</v>
      </c>
      <c r="AR124">
        <f t="shared" si="91"/>
        <v>0</v>
      </c>
      <c r="AS124">
        <f t="shared" si="92"/>
        <v>0</v>
      </c>
      <c r="AT124">
        <f t="shared" si="93"/>
        <v>0</v>
      </c>
      <c r="AU124">
        <f t="shared" si="94"/>
        <v>0</v>
      </c>
      <c r="AV124">
        <f t="shared" si="95"/>
        <v>0</v>
      </c>
      <c r="AW124">
        <f t="shared" si="49"/>
        <v>0</v>
      </c>
      <c r="AX124">
        <f t="shared" si="96"/>
        <v>0</v>
      </c>
      <c r="AY124">
        <f t="shared" si="97"/>
        <v>0</v>
      </c>
    </row>
    <row r="125" spans="1:51" x14ac:dyDescent="0.35">
      <c r="A125">
        <v>119</v>
      </c>
      <c r="C125">
        <f t="shared" si="50"/>
        <v>0</v>
      </c>
      <c r="D125">
        <f t="shared" si="51"/>
        <v>0</v>
      </c>
      <c r="E125">
        <f t="shared" si="52"/>
        <v>0</v>
      </c>
      <c r="F125">
        <f t="shared" si="53"/>
        <v>0</v>
      </c>
      <c r="G125">
        <f t="shared" si="54"/>
        <v>0</v>
      </c>
      <c r="H125">
        <f t="shared" si="55"/>
        <v>0</v>
      </c>
      <c r="I125">
        <f t="shared" si="56"/>
        <v>0</v>
      </c>
      <c r="J125">
        <f t="shared" si="57"/>
        <v>0</v>
      </c>
      <c r="K125">
        <f t="shared" si="58"/>
        <v>0</v>
      </c>
      <c r="L125">
        <f t="shared" si="59"/>
        <v>0</v>
      </c>
      <c r="M125">
        <f t="shared" si="60"/>
        <v>0</v>
      </c>
      <c r="N125">
        <f t="shared" si="61"/>
        <v>0</v>
      </c>
      <c r="O125">
        <f t="shared" si="62"/>
        <v>0</v>
      </c>
      <c r="P125">
        <f t="shared" si="63"/>
        <v>0</v>
      </c>
      <c r="Q125">
        <f t="shared" si="64"/>
        <v>0</v>
      </c>
      <c r="R125">
        <f t="shared" si="65"/>
        <v>0</v>
      </c>
      <c r="S125">
        <f t="shared" si="66"/>
        <v>0</v>
      </c>
      <c r="T125">
        <f t="shared" si="67"/>
        <v>0</v>
      </c>
      <c r="U125">
        <f t="shared" si="68"/>
        <v>0</v>
      </c>
      <c r="V125">
        <f t="shared" si="69"/>
        <v>0</v>
      </c>
      <c r="W125">
        <f t="shared" si="70"/>
        <v>0</v>
      </c>
      <c r="X125">
        <f t="shared" si="71"/>
        <v>0</v>
      </c>
      <c r="Y125">
        <f t="shared" si="72"/>
        <v>0</v>
      </c>
      <c r="Z125">
        <f t="shared" si="73"/>
        <v>0</v>
      </c>
      <c r="AA125">
        <f t="shared" si="74"/>
        <v>0</v>
      </c>
      <c r="AB125">
        <f t="shared" si="75"/>
        <v>0</v>
      </c>
      <c r="AC125">
        <f t="shared" si="76"/>
        <v>0</v>
      </c>
      <c r="AD125">
        <f t="shared" si="77"/>
        <v>0</v>
      </c>
      <c r="AE125">
        <f t="shared" si="78"/>
        <v>0</v>
      </c>
      <c r="AF125">
        <f t="shared" si="79"/>
        <v>0</v>
      </c>
      <c r="AG125">
        <f t="shared" si="80"/>
        <v>0</v>
      </c>
      <c r="AH125">
        <f t="shared" si="81"/>
        <v>0</v>
      </c>
      <c r="AI125">
        <f t="shared" si="82"/>
        <v>0</v>
      </c>
      <c r="AJ125">
        <f t="shared" si="83"/>
        <v>0</v>
      </c>
      <c r="AK125">
        <f t="shared" si="84"/>
        <v>0</v>
      </c>
      <c r="AL125">
        <f t="shared" si="85"/>
        <v>0</v>
      </c>
      <c r="AM125">
        <f t="shared" si="86"/>
        <v>0</v>
      </c>
      <c r="AN125">
        <f t="shared" si="87"/>
        <v>0</v>
      </c>
      <c r="AO125">
        <f t="shared" si="88"/>
        <v>0</v>
      </c>
      <c r="AP125">
        <f t="shared" si="89"/>
        <v>0</v>
      </c>
      <c r="AQ125">
        <f t="shared" si="90"/>
        <v>0</v>
      </c>
      <c r="AR125">
        <f t="shared" si="91"/>
        <v>0</v>
      </c>
      <c r="AS125">
        <f t="shared" si="92"/>
        <v>0</v>
      </c>
      <c r="AT125">
        <f t="shared" si="93"/>
        <v>0</v>
      </c>
      <c r="AU125">
        <f t="shared" si="94"/>
        <v>0</v>
      </c>
      <c r="AV125">
        <f t="shared" si="95"/>
        <v>0</v>
      </c>
      <c r="AW125">
        <f t="shared" si="49"/>
        <v>0</v>
      </c>
      <c r="AX125">
        <f t="shared" si="96"/>
        <v>0</v>
      </c>
      <c r="AY125">
        <f t="shared" si="97"/>
        <v>0</v>
      </c>
    </row>
    <row r="126" spans="1:51" x14ac:dyDescent="0.35">
      <c r="A126">
        <v>120</v>
      </c>
      <c r="C126">
        <f t="shared" si="50"/>
        <v>0</v>
      </c>
      <c r="D126">
        <f t="shared" si="51"/>
        <v>0</v>
      </c>
      <c r="E126">
        <f t="shared" si="52"/>
        <v>0</v>
      </c>
      <c r="F126">
        <f t="shared" si="53"/>
        <v>0</v>
      </c>
      <c r="G126">
        <f t="shared" si="54"/>
        <v>0</v>
      </c>
      <c r="H126">
        <f t="shared" si="55"/>
        <v>0</v>
      </c>
      <c r="I126">
        <f t="shared" si="56"/>
        <v>0</v>
      </c>
      <c r="J126">
        <f t="shared" si="57"/>
        <v>0</v>
      </c>
      <c r="K126">
        <f t="shared" si="58"/>
        <v>0</v>
      </c>
      <c r="L126">
        <f t="shared" si="59"/>
        <v>0</v>
      </c>
      <c r="M126">
        <f t="shared" si="60"/>
        <v>0</v>
      </c>
      <c r="N126">
        <f t="shared" si="61"/>
        <v>0</v>
      </c>
      <c r="O126">
        <f t="shared" si="62"/>
        <v>0</v>
      </c>
      <c r="P126">
        <f t="shared" si="63"/>
        <v>0</v>
      </c>
      <c r="Q126">
        <f t="shared" si="64"/>
        <v>0</v>
      </c>
      <c r="R126">
        <f t="shared" si="65"/>
        <v>0</v>
      </c>
      <c r="S126">
        <f t="shared" si="66"/>
        <v>0</v>
      </c>
      <c r="T126">
        <f t="shared" si="67"/>
        <v>0</v>
      </c>
      <c r="U126">
        <f t="shared" si="68"/>
        <v>0</v>
      </c>
      <c r="V126">
        <f t="shared" si="69"/>
        <v>0</v>
      </c>
      <c r="W126">
        <f t="shared" si="70"/>
        <v>0</v>
      </c>
      <c r="X126">
        <f t="shared" si="71"/>
        <v>0</v>
      </c>
      <c r="Y126">
        <f t="shared" si="72"/>
        <v>0</v>
      </c>
      <c r="Z126">
        <f t="shared" si="73"/>
        <v>0</v>
      </c>
      <c r="AA126">
        <f t="shared" si="74"/>
        <v>0</v>
      </c>
      <c r="AB126">
        <f t="shared" si="75"/>
        <v>0</v>
      </c>
      <c r="AC126">
        <f t="shared" si="76"/>
        <v>0</v>
      </c>
      <c r="AD126">
        <f t="shared" si="77"/>
        <v>0</v>
      </c>
      <c r="AE126">
        <f t="shared" si="78"/>
        <v>0</v>
      </c>
      <c r="AF126">
        <f t="shared" si="79"/>
        <v>0</v>
      </c>
      <c r="AG126">
        <f t="shared" si="80"/>
        <v>0</v>
      </c>
      <c r="AH126">
        <f t="shared" si="81"/>
        <v>0</v>
      </c>
      <c r="AI126">
        <f t="shared" si="82"/>
        <v>0</v>
      </c>
      <c r="AJ126">
        <f t="shared" si="83"/>
        <v>0</v>
      </c>
      <c r="AK126">
        <f t="shared" si="84"/>
        <v>0</v>
      </c>
      <c r="AL126">
        <f t="shared" si="85"/>
        <v>0</v>
      </c>
      <c r="AM126">
        <f t="shared" si="86"/>
        <v>0</v>
      </c>
      <c r="AN126">
        <f t="shared" si="87"/>
        <v>0</v>
      </c>
      <c r="AO126">
        <f t="shared" si="88"/>
        <v>0</v>
      </c>
      <c r="AP126">
        <f t="shared" si="89"/>
        <v>0</v>
      </c>
      <c r="AQ126">
        <f t="shared" si="90"/>
        <v>0</v>
      </c>
      <c r="AR126">
        <f t="shared" si="91"/>
        <v>0</v>
      </c>
      <c r="AS126">
        <f t="shared" si="92"/>
        <v>0</v>
      </c>
      <c r="AT126">
        <f t="shared" si="93"/>
        <v>0</v>
      </c>
      <c r="AU126">
        <f t="shared" si="94"/>
        <v>0</v>
      </c>
      <c r="AV126">
        <f t="shared" si="95"/>
        <v>0</v>
      </c>
      <c r="AW126">
        <f t="shared" si="49"/>
        <v>0</v>
      </c>
      <c r="AX126">
        <f t="shared" si="96"/>
        <v>0</v>
      </c>
      <c r="AY126">
        <f t="shared" si="97"/>
        <v>0</v>
      </c>
    </row>
    <row r="127" spans="1:51" x14ac:dyDescent="0.35">
      <c r="A127">
        <v>121</v>
      </c>
      <c r="C127">
        <f t="shared" si="50"/>
        <v>0</v>
      </c>
      <c r="D127">
        <f t="shared" si="51"/>
        <v>0</v>
      </c>
      <c r="E127">
        <f t="shared" si="52"/>
        <v>0</v>
      </c>
      <c r="F127">
        <f t="shared" si="53"/>
        <v>0</v>
      </c>
      <c r="G127">
        <f t="shared" si="54"/>
        <v>0</v>
      </c>
      <c r="H127">
        <f t="shared" si="55"/>
        <v>0</v>
      </c>
      <c r="I127">
        <f t="shared" si="56"/>
        <v>0</v>
      </c>
      <c r="J127">
        <f t="shared" si="57"/>
        <v>0</v>
      </c>
      <c r="K127">
        <f t="shared" si="58"/>
        <v>0</v>
      </c>
      <c r="L127">
        <f t="shared" si="59"/>
        <v>0</v>
      </c>
      <c r="M127">
        <f t="shared" si="60"/>
        <v>0</v>
      </c>
      <c r="N127">
        <f t="shared" si="61"/>
        <v>0</v>
      </c>
      <c r="O127">
        <f t="shared" si="62"/>
        <v>0</v>
      </c>
      <c r="P127">
        <f t="shared" si="63"/>
        <v>0</v>
      </c>
      <c r="Q127">
        <f t="shared" si="64"/>
        <v>0</v>
      </c>
      <c r="R127">
        <f t="shared" si="65"/>
        <v>0</v>
      </c>
      <c r="S127">
        <f t="shared" si="66"/>
        <v>0</v>
      </c>
      <c r="T127">
        <f t="shared" si="67"/>
        <v>0</v>
      </c>
      <c r="U127">
        <f t="shared" si="68"/>
        <v>0</v>
      </c>
      <c r="V127">
        <f t="shared" si="69"/>
        <v>0</v>
      </c>
      <c r="W127">
        <f t="shared" si="70"/>
        <v>0</v>
      </c>
      <c r="X127">
        <f t="shared" si="71"/>
        <v>0</v>
      </c>
      <c r="Y127">
        <f t="shared" si="72"/>
        <v>0</v>
      </c>
      <c r="Z127">
        <f t="shared" si="73"/>
        <v>0</v>
      </c>
      <c r="AA127">
        <f t="shared" si="74"/>
        <v>0</v>
      </c>
      <c r="AB127">
        <f t="shared" si="75"/>
        <v>0</v>
      </c>
      <c r="AC127">
        <f t="shared" si="76"/>
        <v>0</v>
      </c>
      <c r="AD127">
        <f t="shared" si="77"/>
        <v>0</v>
      </c>
      <c r="AE127">
        <f t="shared" si="78"/>
        <v>0</v>
      </c>
      <c r="AF127">
        <f t="shared" si="79"/>
        <v>0</v>
      </c>
      <c r="AG127">
        <f t="shared" si="80"/>
        <v>0</v>
      </c>
      <c r="AH127">
        <f t="shared" si="81"/>
        <v>0</v>
      </c>
      <c r="AI127">
        <f t="shared" si="82"/>
        <v>0</v>
      </c>
      <c r="AJ127">
        <f t="shared" si="83"/>
        <v>0</v>
      </c>
      <c r="AK127">
        <f t="shared" si="84"/>
        <v>0</v>
      </c>
      <c r="AL127">
        <f t="shared" si="85"/>
        <v>0</v>
      </c>
      <c r="AM127">
        <f t="shared" si="86"/>
        <v>0</v>
      </c>
      <c r="AN127">
        <f t="shared" si="87"/>
        <v>0</v>
      </c>
      <c r="AO127">
        <f t="shared" si="88"/>
        <v>0</v>
      </c>
      <c r="AP127">
        <f t="shared" si="89"/>
        <v>0</v>
      </c>
      <c r="AQ127">
        <f t="shared" si="90"/>
        <v>0</v>
      </c>
      <c r="AR127">
        <f t="shared" si="91"/>
        <v>0</v>
      </c>
      <c r="AS127">
        <f t="shared" si="92"/>
        <v>0</v>
      </c>
      <c r="AT127">
        <f t="shared" si="93"/>
        <v>0</v>
      </c>
      <c r="AU127">
        <f t="shared" si="94"/>
        <v>0</v>
      </c>
      <c r="AV127">
        <f t="shared" si="95"/>
        <v>0</v>
      </c>
      <c r="AW127">
        <f t="shared" si="49"/>
        <v>0</v>
      </c>
      <c r="AX127">
        <f t="shared" si="96"/>
        <v>0</v>
      </c>
      <c r="AY127">
        <f t="shared" si="97"/>
        <v>0</v>
      </c>
    </row>
    <row r="128" spans="1:51" x14ac:dyDescent="0.35">
      <c r="A128">
        <v>122</v>
      </c>
      <c r="C128">
        <f t="shared" si="50"/>
        <v>0</v>
      </c>
      <c r="D128">
        <f t="shared" si="51"/>
        <v>0</v>
      </c>
      <c r="E128">
        <f t="shared" si="52"/>
        <v>0</v>
      </c>
      <c r="F128">
        <f t="shared" si="53"/>
        <v>0</v>
      </c>
      <c r="G128">
        <f t="shared" si="54"/>
        <v>0</v>
      </c>
      <c r="H128">
        <f t="shared" si="55"/>
        <v>0</v>
      </c>
      <c r="I128">
        <f t="shared" si="56"/>
        <v>0</v>
      </c>
      <c r="J128">
        <f t="shared" si="57"/>
        <v>0</v>
      </c>
      <c r="K128">
        <f t="shared" si="58"/>
        <v>0</v>
      </c>
      <c r="L128">
        <f t="shared" si="59"/>
        <v>0</v>
      </c>
      <c r="M128">
        <f t="shared" si="60"/>
        <v>0</v>
      </c>
      <c r="N128">
        <f t="shared" si="61"/>
        <v>0</v>
      </c>
      <c r="O128">
        <f t="shared" si="62"/>
        <v>0</v>
      </c>
      <c r="P128">
        <f t="shared" si="63"/>
        <v>0</v>
      </c>
      <c r="Q128">
        <f t="shared" si="64"/>
        <v>0</v>
      </c>
      <c r="R128">
        <f t="shared" si="65"/>
        <v>0</v>
      </c>
      <c r="S128">
        <f t="shared" si="66"/>
        <v>0</v>
      </c>
      <c r="T128">
        <f t="shared" si="67"/>
        <v>0</v>
      </c>
      <c r="U128">
        <f t="shared" si="68"/>
        <v>0</v>
      </c>
      <c r="V128">
        <f t="shared" si="69"/>
        <v>0</v>
      </c>
      <c r="W128">
        <f t="shared" si="70"/>
        <v>0</v>
      </c>
      <c r="X128">
        <f t="shared" si="71"/>
        <v>0</v>
      </c>
      <c r="Y128">
        <f t="shared" si="72"/>
        <v>0</v>
      </c>
      <c r="Z128">
        <f t="shared" si="73"/>
        <v>0</v>
      </c>
      <c r="AA128">
        <f t="shared" si="74"/>
        <v>0</v>
      </c>
      <c r="AB128">
        <f t="shared" si="75"/>
        <v>0</v>
      </c>
      <c r="AC128">
        <f t="shared" si="76"/>
        <v>0</v>
      </c>
      <c r="AD128">
        <f t="shared" si="77"/>
        <v>0</v>
      </c>
      <c r="AE128">
        <f t="shared" si="78"/>
        <v>0</v>
      </c>
      <c r="AF128">
        <f t="shared" si="79"/>
        <v>0</v>
      </c>
      <c r="AG128">
        <f t="shared" si="80"/>
        <v>0</v>
      </c>
      <c r="AH128">
        <f t="shared" si="81"/>
        <v>0</v>
      </c>
      <c r="AI128">
        <f t="shared" si="82"/>
        <v>0</v>
      </c>
      <c r="AJ128">
        <f t="shared" si="83"/>
        <v>0</v>
      </c>
      <c r="AK128">
        <f t="shared" si="84"/>
        <v>0</v>
      </c>
      <c r="AL128">
        <f t="shared" si="85"/>
        <v>0</v>
      </c>
      <c r="AM128">
        <f t="shared" si="86"/>
        <v>0</v>
      </c>
      <c r="AN128">
        <f t="shared" si="87"/>
        <v>0</v>
      </c>
      <c r="AO128">
        <f t="shared" si="88"/>
        <v>0</v>
      </c>
      <c r="AP128">
        <f t="shared" si="89"/>
        <v>0</v>
      </c>
      <c r="AQ128">
        <f t="shared" si="90"/>
        <v>0</v>
      </c>
      <c r="AR128">
        <f t="shared" si="91"/>
        <v>0</v>
      </c>
      <c r="AS128">
        <f t="shared" si="92"/>
        <v>0</v>
      </c>
      <c r="AT128">
        <f t="shared" si="93"/>
        <v>0</v>
      </c>
      <c r="AU128">
        <f t="shared" si="94"/>
        <v>0</v>
      </c>
      <c r="AV128">
        <f t="shared" si="95"/>
        <v>0</v>
      </c>
      <c r="AW128">
        <f t="shared" si="49"/>
        <v>0</v>
      </c>
      <c r="AX128">
        <f t="shared" si="96"/>
        <v>0</v>
      </c>
      <c r="AY128">
        <f t="shared" si="97"/>
        <v>0</v>
      </c>
    </row>
    <row r="129" spans="1:51" x14ac:dyDescent="0.35">
      <c r="A129">
        <v>123</v>
      </c>
      <c r="C129">
        <f t="shared" si="50"/>
        <v>0</v>
      </c>
      <c r="D129">
        <f t="shared" si="51"/>
        <v>0</v>
      </c>
      <c r="E129">
        <f t="shared" si="52"/>
        <v>0</v>
      </c>
      <c r="F129">
        <f t="shared" si="53"/>
        <v>0</v>
      </c>
      <c r="G129">
        <f t="shared" si="54"/>
        <v>0</v>
      </c>
      <c r="H129">
        <f t="shared" si="55"/>
        <v>0</v>
      </c>
      <c r="I129">
        <f t="shared" si="56"/>
        <v>0</v>
      </c>
      <c r="J129">
        <f t="shared" si="57"/>
        <v>0</v>
      </c>
      <c r="K129">
        <f t="shared" si="58"/>
        <v>0</v>
      </c>
      <c r="L129">
        <f t="shared" si="59"/>
        <v>0</v>
      </c>
      <c r="M129">
        <f t="shared" si="60"/>
        <v>0</v>
      </c>
      <c r="N129">
        <f t="shared" si="61"/>
        <v>0</v>
      </c>
      <c r="O129">
        <f t="shared" si="62"/>
        <v>0</v>
      </c>
      <c r="P129">
        <f t="shared" si="63"/>
        <v>0</v>
      </c>
      <c r="Q129">
        <f t="shared" si="64"/>
        <v>0</v>
      </c>
      <c r="R129">
        <f t="shared" si="65"/>
        <v>0</v>
      </c>
      <c r="S129">
        <f t="shared" si="66"/>
        <v>0</v>
      </c>
      <c r="T129">
        <f t="shared" si="67"/>
        <v>0</v>
      </c>
      <c r="U129">
        <f t="shared" si="68"/>
        <v>0</v>
      </c>
      <c r="V129">
        <f t="shared" si="69"/>
        <v>0</v>
      </c>
      <c r="W129">
        <f t="shared" si="70"/>
        <v>0</v>
      </c>
      <c r="X129">
        <f t="shared" si="71"/>
        <v>0</v>
      </c>
      <c r="Y129">
        <f t="shared" si="72"/>
        <v>0</v>
      </c>
      <c r="Z129">
        <f t="shared" si="73"/>
        <v>0</v>
      </c>
      <c r="AA129">
        <f t="shared" si="74"/>
        <v>0</v>
      </c>
      <c r="AB129">
        <f t="shared" si="75"/>
        <v>0</v>
      </c>
      <c r="AC129">
        <f t="shared" si="76"/>
        <v>0</v>
      </c>
      <c r="AD129">
        <f t="shared" si="77"/>
        <v>0</v>
      </c>
      <c r="AE129">
        <f t="shared" si="78"/>
        <v>0</v>
      </c>
      <c r="AF129">
        <f t="shared" si="79"/>
        <v>0</v>
      </c>
      <c r="AG129">
        <f t="shared" si="80"/>
        <v>0</v>
      </c>
      <c r="AH129">
        <f t="shared" si="81"/>
        <v>0</v>
      </c>
      <c r="AI129">
        <f t="shared" si="82"/>
        <v>0</v>
      </c>
      <c r="AJ129">
        <f t="shared" si="83"/>
        <v>0</v>
      </c>
      <c r="AK129">
        <f t="shared" si="84"/>
        <v>0</v>
      </c>
      <c r="AL129">
        <f t="shared" si="85"/>
        <v>0</v>
      </c>
      <c r="AM129">
        <f t="shared" si="86"/>
        <v>0</v>
      </c>
      <c r="AN129">
        <f t="shared" si="87"/>
        <v>0</v>
      </c>
      <c r="AO129">
        <f t="shared" si="88"/>
        <v>0</v>
      </c>
      <c r="AP129">
        <f t="shared" si="89"/>
        <v>0</v>
      </c>
      <c r="AQ129">
        <f t="shared" si="90"/>
        <v>0</v>
      </c>
      <c r="AR129">
        <f t="shared" si="91"/>
        <v>0</v>
      </c>
      <c r="AS129">
        <f t="shared" si="92"/>
        <v>0</v>
      </c>
      <c r="AT129">
        <f t="shared" si="93"/>
        <v>0</v>
      </c>
      <c r="AU129">
        <f t="shared" si="94"/>
        <v>0</v>
      </c>
      <c r="AV129">
        <f t="shared" si="95"/>
        <v>0</v>
      </c>
      <c r="AW129">
        <f t="shared" si="49"/>
        <v>0</v>
      </c>
      <c r="AX129">
        <f t="shared" si="96"/>
        <v>0</v>
      </c>
      <c r="AY129">
        <f t="shared" si="97"/>
        <v>0</v>
      </c>
    </row>
    <row r="130" spans="1:51" x14ac:dyDescent="0.35">
      <c r="A130">
        <v>124</v>
      </c>
      <c r="C130">
        <f t="shared" si="50"/>
        <v>0</v>
      </c>
      <c r="D130">
        <f t="shared" si="51"/>
        <v>0</v>
      </c>
      <c r="E130">
        <f t="shared" si="52"/>
        <v>0</v>
      </c>
      <c r="F130">
        <f t="shared" si="53"/>
        <v>0</v>
      </c>
      <c r="G130">
        <f t="shared" si="54"/>
        <v>0</v>
      </c>
      <c r="H130">
        <f t="shared" si="55"/>
        <v>0</v>
      </c>
      <c r="I130">
        <f t="shared" si="56"/>
        <v>0</v>
      </c>
      <c r="J130">
        <f t="shared" si="57"/>
        <v>0</v>
      </c>
      <c r="K130">
        <f t="shared" si="58"/>
        <v>0</v>
      </c>
      <c r="L130">
        <f t="shared" si="59"/>
        <v>0</v>
      </c>
      <c r="M130">
        <f t="shared" si="60"/>
        <v>0</v>
      </c>
      <c r="N130">
        <f t="shared" si="61"/>
        <v>0</v>
      </c>
      <c r="O130">
        <f t="shared" si="62"/>
        <v>0</v>
      </c>
      <c r="P130">
        <f t="shared" si="63"/>
        <v>0</v>
      </c>
      <c r="Q130">
        <f t="shared" si="64"/>
        <v>0</v>
      </c>
      <c r="R130">
        <f t="shared" si="65"/>
        <v>0</v>
      </c>
      <c r="S130">
        <f t="shared" si="66"/>
        <v>0</v>
      </c>
      <c r="T130">
        <f t="shared" si="67"/>
        <v>0</v>
      </c>
      <c r="U130">
        <f t="shared" si="68"/>
        <v>0</v>
      </c>
      <c r="V130">
        <f t="shared" si="69"/>
        <v>0</v>
      </c>
      <c r="W130">
        <f t="shared" si="70"/>
        <v>0</v>
      </c>
      <c r="X130">
        <f t="shared" si="71"/>
        <v>0</v>
      </c>
      <c r="Y130">
        <f t="shared" si="72"/>
        <v>0</v>
      </c>
      <c r="Z130">
        <f t="shared" si="73"/>
        <v>0</v>
      </c>
      <c r="AA130">
        <f t="shared" si="74"/>
        <v>0</v>
      </c>
      <c r="AB130">
        <f t="shared" si="75"/>
        <v>0</v>
      </c>
      <c r="AC130">
        <f t="shared" si="76"/>
        <v>0</v>
      </c>
      <c r="AD130">
        <f t="shared" si="77"/>
        <v>0</v>
      </c>
      <c r="AE130">
        <f t="shared" si="78"/>
        <v>0</v>
      </c>
      <c r="AF130">
        <f t="shared" si="79"/>
        <v>0</v>
      </c>
      <c r="AG130">
        <f t="shared" si="80"/>
        <v>0</v>
      </c>
      <c r="AH130">
        <f t="shared" si="81"/>
        <v>0</v>
      </c>
      <c r="AI130">
        <f t="shared" si="82"/>
        <v>0</v>
      </c>
      <c r="AJ130">
        <f t="shared" si="83"/>
        <v>0</v>
      </c>
      <c r="AK130">
        <f t="shared" si="84"/>
        <v>0</v>
      </c>
      <c r="AL130">
        <f t="shared" si="85"/>
        <v>0</v>
      </c>
      <c r="AM130">
        <f t="shared" si="86"/>
        <v>0</v>
      </c>
      <c r="AN130">
        <f t="shared" si="87"/>
        <v>0</v>
      </c>
      <c r="AO130">
        <f t="shared" si="88"/>
        <v>0</v>
      </c>
      <c r="AP130">
        <f t="shared" si="89"/>
        <v>0</v>
      </c>
      <c r="AQ130">
        <f t="shared" si="90"/>
        <v>0</v>
      </c>
      <c r="AR130">
        <f t="shared" si="91"/>
        <v>0</v>
      </c>
      <c r="AS130">
        <f t="shared" si="92"/>
        <v>0</v>
      </c>
      <c r="AT130">
        <f t="shared" si="93"/>
        <v>0</v>
      </c>
      <c r="AU130">
        <f t="shared" si="94"/>
        <v>0</v>
      </c>
      <c r="AV130">
        <f t="shared" si="95"/>
        <v>0</v>
      </c>
      <c r="AW130">
        <f t="shared" si="49"/>
        <v>0</v>
      </c>
      <c r="AX130">
        <f t="shared" si="96"/>
        <v>0</v>
      </c>
      <c r="AY130">
        <f t="shared" si="97"/>
        <v>0</v>
      </c>
    </row>
    <row r="131" spans="1:51" x14ac:dyDescent="0.35">
      <c r="A131">
        <v>125</v>
      </c>
      <c r="C131">
        <f t="shared" si="50"/>
        <v>0</v>
      </c>
      <c r="D131">
        <f t="shared" si="51"/>
        <v>0</v>
      </c>
      <c r="E131">
        <f t="shared" si="52"/>
        <v>0</v>
      </c>
      <c r="F131">
        <f t="shared" si="53"/>
        <v>0</v>
      </c>
      <c r="G131">
        <f t="shared" si="54"/>
        <v>0</v>
      </c>
      <c r="H131">
        <f t="shared" si="55"/>
        <v>0</v>
      </c>
      <c r="I131">
        <f t="shared" si="56"/>
        <v>0</v>
      </c>
      <c r="J131">
        <f t="shared" si="57"/>
        <v>0</v>
      </c>
      <c r="K131">
        <f t="shared" si="58"/>
        <v>0</v>
      </c>
      <c r="L131">
        <f t="shared" si="59"/>
        <v>0</v>
      </c>
      <c r="M131">
        <f t="shared" si="60"/>
        <v>0</v>
      </c>
      <c r="N131">
        <f t="shared" si="61"/>
        <v>0</v>
      </c>
      <c r="O131">
        <f t="shared" si="62"/>
        <v>0</v>
      </c>
      <c r="P131">
        <f t="shared" si="63"/>
        <v>0</v>
      </c>
      <c r="Q131">
        <f t="shared" si="64"/>
        <v>0</v>
      </c>
      <c r="R131">
        <f t="shared" si="65"/>
        <v>0</v>
      </c>
      <c r="S131">
        <f t="shared" si="66"/>
        <v>0</v>
      </c>
      <c r="T131">
        <f t="shared" si="67"/>
        <v>0</v>
      </c>
      <c r="U131">
        <f t="shared" si="68"/>
        <v>0</v>
      </c>
      <c r="V131">
        <f t="shared" si="69"/>
        <v>0</v>
      </c>
      <c r="W131">
        <f t="shared" si="70"/>
        <v>0</v>
      </c>
      <c r="X131">
        <f t="shared" si="71"/>
        <v>0</v>
      </c>
      <c r="Y131">
        <f t="shared" si="72"/>
        <v>0</v>
      </c>
      <c r="Z131">
        <f t="shared" si="73"/>
        <v>0</v>
      </c>
      <c r="AA131">
        <f t="shared" si="74"/>
        <v>0</v>
      </c>
      <c r="AB131">
        <f t="shared" si="75"/>
        <v>0</v>
      </c>
      <c r="AC131">
        <f t="shared" si="76"/>
        <v>0</v>
      </c>
      <c r="AD131">
        <f t="shared" si="77"/>
        <v>0</v>
      </c>
      <c r="AE131">
        <f t="shared" si="78"/>
        <v>0</v>
      </c>
      <c r="AF131">
        <f t="shared" si="79"/>
        <v>0</v>
      </c>
      <c r="AG131">
        <f t="shared" si="80"/>
        <v>0</v>
      </c>
      <c r="AH131">
        <f t="shared" si="81"/>
        <v>0</v>
      </c>
      <c r="AI131">
        <f t="shared" si="82"/>
        <v>0</v>
      </c>
      <c r="AJ131">
        <f t="shared" si="83"/>
        <v>0</v>
      </c>
      <c r="AK131">
        <f t="shared" si="84"/>
        <v>0</v>
      </c>
      <c r="AL131">
        <f t="shared" si="85"/>
        <v>0</v>
      </c>
      <c r="AM131">
        <f t="shared" si="86"/>
        <v>0</v>
      </c>
      <c r="AN131">
        <f t="shared" si="87"/>
        <v>0</v>
      </c>
      <c r="AO131">
        <f t="shared" si="88"/>
        <v>0</v>
      </c>
      <c r="AP131">
        <f t="shared" si="89"/>
        <v>0</v>
      </c>
      <c r="AQ131">
        <f t="shared" si="90"/>
        <v>0</v>
      </c>
      <c r="AR131">
        <f t="shared" si="91"/>
        <v>0</v>
      </c>
      <c r="AS131">
        <f t="shared" si="92"/>
        <v>0</v>
      </c>
      <c r="AT131">
        <f t="shared" si="93"/>
        <v>0</v>
      </c>
      <c r="AU131">
        <f t="shared" si="94"/>
        <v>0</v>
      </c>
      <c r="AV131">
        <f t="shared" si="95"/>
        <v>0</v>
      </c>
      <c r="AW131">
        <f t="shared" si="49"/>
        <v>0</v>
      </c>
      <c r="AX131">
        <f t="shared" si="96"/>
        <v>0</v>
      </c>
      <c r="AY131">
        <f t="shared" si="97"/>
        <v>0</v>
      </c>
    </row>
    <row r="132" spans="1:51" x14ac:dyDescent="0.35">
      <c r="A132">
        <v>126</v>
      </c>
      <c r="C132">
        <f t="shared" si="50"/>
        <v>0</v>
      </c>
      <c r="D132">
        <f t="shared" si="51"/>
        <v>0</v>
      </c>
      <c r="E132">
        <f t="shared" si="52"/>
        <v>0</v>
      </c>
      <c r="F132">
        <f t="shared" si="53"/>
        <v>0</v>
      </c>
      <c r="G132">
        <f t="shared" si="54"/>
        <v>0</v>
      </c>
      <c r="H132">
        <f t="shared" si="55"/>
        <v>0</v>
      </c>
      <c r="I132">
        <f t="shared" si="56"/>
        <v>0</v>
      </c>
      <c r="J132">
        <f t="shared" si="57"/>
        <v>0</v>
      </c>
      <c r="K132">
        <f t="shared" si="58"/>
        <v>0</v>
      </c>
      <c r="L132">
        <f t="shared" si="59"/>
        <v>0</v>
      </c>
      <c r="M132">
        <f t="shared" si="60"/>
        <v>0</v>
      </c>
      <c r="N132">
        <f t="shared" si="61"/>
        <v>0</v>
      </c>
      <c r="O132">
        <f t="shared" si="62"/>
        <v>0</v>
      </c>
      <c r="P132">
        <f t="shared" si="63"/>
        <v>0</v>
      </c>
      <c r="Q132">
        <f t="shared" si="64"/>
        <v>0</v>
      </c>
      <c r="R132">
        <f t="shared" si="65"/>
        <v>0</v>
      </c>
      <c r="S132">
        <f t="shared" si="66"/>
        <v>0</v>
      </c>
      <c r="T132">
        <f t="shared" si="67"/>
        <v>0</v>
      </c>
      <c r="U132">
        <f t="shared" si="68"/>
        <v>0</v>
      </c>
      <c r="V132">
        <f t="shared" si="69"/>
        <v>0</v>
      </c>
      <c r="W132">
        <f t="shared" si="70"/>
        <v>0</v>
      </c>
      <c r="X132">
        <f t="shared" si="71"/>
        <v>0</v>
      </c>
      <c r="Y132">
        <f t="shared" si="72"/>
        <v>0</v>
      </c>
      <c r="Z132">
        <f t="shared" si="73"/>
        <v>0</v>
      </c>
      <c r="AA132">
        <f t="shared" si="74"/>
        <v>0</v>
      </c>
      <c r="AB132">
        <f t="shared" si="75"/>
        <v>0</v>
      </c>
      <c r="AC132">
        <f t="shared" si="76"/>
        <v>0</v>
      </c>
      <c r="AD132">
        <f t="shared" si="77"/>
        <v>0</v>
      </c>
      <c r="AE132">
        <f t="shared" si="78"/>
        <v>0</v>
      </c>
      <c r="AF132">
        <f t="shared" si="79"/>
        <v>0</v>
      </c>
      <c r="AG132">
        <f t="shared" si="80"/>
        <v>0</v>
      </c>
      <c r="AH132">
        <f t="shared" si="81"/>
        <v>0</v>
      </c>
      <c r="AI132">
        <f t="shared" si="82"/>
        <v>0</v>
      </c>
      <c r="AJ132">
        <f t="shared" si="83"/>
        <v>0</v>
      </c>
      <c r="AK132">
        <f t="shared" si="84"/>
        <v>0</v>
      </c>
      <c r="AL132">
        <f t="shared" si="85"/>
        <v>0</v>
      </c>
      <c r="AM132">
        <f t="shared" si="86"/>
        <v>0</v>
      </c>
      <c r="AN132">
        <f t="shared" si="87"/>
        <v>0</v>
      </c>
      <c r="AO132">
        <f t="shared" si="88"/>
        <v>0</v>
      </c>
      <c r="AP132">
        <f t="shared" si="89"/>
        <v>0</v>
      </c>
      <c r="AQ132">
        <f t="shared" si="90"/>
        <v>0</v>
      </c>
      <c r="AR132">
        <f t="shared" si="91"/>
        <v>0</v>
      </c>
      <c r="AS132">
        <f t="shared" si="92"/>
        <v>0</v>
      </c>
      <c r="AT132">
        <f t="shared" si="93"/>
        <v>0</v>
      </c>
      <c r="AU132">
        <f t="shared" si="94"/>
        <v>0</v>
      </c>
      <c r="AV132">
        <f t="shared" si="95"/>
        <v>0</v>
      </c>
      <c r="AW132">
        <f t="shared" si="49"/>
        <v>0</v>
      </c>
      <c r="AX132">
        <f t="shared" si="96"/>
        <v>0</v>
      </c>
      <c r="AY132">
        <f t="shared" si="97"/>
        <v>0</v>
      </c>
    </row>
    <row r="133" spans="1:51" x14ac:dyDescent="0.35">
      <c r="A133">
        <v>127</v>
      </c>
      <c r="C133">
        <f t="shared" si="50"/>
        <v>0</v>
      </c>
      <c r="D133">
        <f t="shared" si="51"/>
        <v>0</v>
      </c>
      <c r="E133">
        <f t="shared" si="52"/>
        <v>0</v>
      </c>
      <c r="F133">
        <f t="shared" si="53"/>
        <v>0</v>
      </c>
      <c r="G133">
        <f t="shared" si="54"/>
        <v>0</v>
      </c>
      <c r="H133">
        <f t="shared" si="55"/>
        <v>0</v>
      </c>
      <c r="I133">
        <f t="shared" si="56"/>
        <v>0</v>
      </c>
      <c r="J133">
        <f t="shared" si="57"/>
        <v>0</v>
      </c>
      <c r="K133">
        <f t="shared" si="58"/>
        <v>0</v>
      </c>
      <c r="L133">
        <f t="shared" si="59"/>
        <v>0</v>
      </c>
      <c r="M133">
        <f t="shared" si="60"/>
        <v>0</v>
      </c>
      <c r="N133">
        <f t="shared" si="61"/>
        <v>0</v>
      </c>
      <c r="O133">
        <f t="shared" si="62"/>
        <v>0</v>
      </c>
      <c r="P133">
        <f t="shared" si="63"/>
        <v>0</v>
      </c>
      <c r="Q133">
        <f t="shared" si="64"/>
        <v>0</v>
      </c>
      <c r="R133">
        <f t="shared" si="65"/>
        <v>0</v>
      </c>
      <c r="S133">
        <f t="shared" si="66"/>
        <v>0</v>
      </c>
      <c r="T133">
        <f t="shared" si="67"/>
        <v>0</v>
      </c>
      <c r="U133">
        <f t="shared" si="68"/>
        <v>0</v>
      </c>
      <c r="V133">
        <f t="shared" si="69"/>
        <v>0</v>
      </c>
      <c r="W133">
        <f t="shared" si="70"/>
        <v>0</v>
      </c>
      <c r="X133">
        <f t="shared" si="71"/>
        <v>0</v>
      </c>
      <c r="Y133">
        <f t="shared" si="72"/>
        <v>0</v>
      </c>
      <c r="Z133">
        <f t="shared" si="73"/>
        <v>0</v>
      </c>
      <c r="AA133">
        <f t="shared" si="74"/>
        <v>0</v>
      </c>
      <c r="AB133">
        <f t="shared" si="75"/>
        <v>0</v>
      </c>
      <c r="AC133">
        <f t="shared" si="76"/>
        <v>0</v>
      </c>
      <c r="AD133">
        <f t="shared" si="77"/>
        <v>0</v>
      </c>
      <c r="AE133">
        <f t="shared" si="78"/>
        <v>0</v>
      </c>
      <c r="AF133">
        <f t="shared" si="79"/>
        <v>0</v>
      </c>
      <c r="AG133">
        <f t="shared" si="80"/>
        <v>0</v>
      </c>
      <c r="AH133">
        <f t="shared" si="81"/>
        <v>0</v>
      </c>
      <c r="AI133">
        <f t="shared" si="82"/>
        <v>0</v>
      </c>
      <c r="AJ133">
        <f t="shared" si="83"/>
        <v>0</v>
      </c>
      <c r="AK133">
        <f t="shared" si="84"/>
        <v>0</v>
      </c>
      <c r="AL133">
        <f t="shared" si="85"/>
        <v>0</v>
      </c>
      <c r="AM133">
        <f t="shared" si="86"/>
        <v>0</v>
      </c>
      <c r="AN133">
        <f t="shared" si="87"/>
        <v>0</v>
      </c>
      <c r="AO133">
        <f t="shared" si="88"/>
        <v>0</v>
      </c>
      <c r="AP133">
        <f t="shared" si="89"/>
        <v>0</v>
      </c>
      <c r="AQ133">
        <f t="shared" si="90"/>
        <v>0</v>
      </c>
      <c r="AR133">
        <f t="shared" si="91"/>
        <v>0</v>
      </c>
      <c r="AS133">
        <f t="shared" si="92"/>
        <v>0</v>
      </c>
      <c r="AT133">
        <f t="shared" si="93"/>
        <v>0</v>
      </c>
      <c r="AU133">
        <f t="shared" si="94"/>
        <v>0</v>
      </c>
      <c r="AV133">
        <f t="shared" si="95"/>
        <v>0</v>
      </c>
      <c r="AW133">
        <f t="shared" si="49"/>
        <v>0</v>
      </c>
      <c r="AX133">
        <f t="shared" si="96"/>
        <v>0</v>
      </c>
      <c r="AY133">
        <f t="shared" si="97"/>
        <v>0</v>
      </c>
    </row>
    <row r="134" spans="1:51" x14ac:dyDescent="0.35">
      <c r="A134">
        <v>128</v>
      </c>
      <c r="C134">
        <f t="shared" si="50"/>
        <v>0</v>
      </c>
      <c r="D134">
        <f t="shared" si="51"/>
        <v>0</v>
      </c>
      <c r="E134">
        <f t="shared" si="52"/>
        <v>0</v>
      </c>
      <c r="F134">
        <f t="shared" si="53"/>
        <v>0</v>
      </c>
      <c r="G134">
        <f t="shared" si="54"/>
        <v>0</v>
      </c>
      <c r="H134">
        <f t="shared" si="55"/>
        <v>0</v>
      </c>
      <c r="I134">
        <f t="shared" si="56"/>
        <v>0</v>
      </c>
      <c r="J134">
        <f t="shared" si="57"/>
        <v>0</v>
      </c>
      <c r="K134">
        <f t="shared" si="58"/>
        <v>0</v>
      </c>
      <c r="L134">
        <f t="shared" si="59"/>
        <v>0</v>
      </c>
      <c r="M134">
        <f t="shared" si="60"/>
        <v>0</v>
      </c>
      <c r="N134">
        <f t="shared" si="61"/>
        <v>0</v>
      </c>
      <c r="O134">
        <f t="shared" si="62"/>
        <v>0</v>
      </c>
      <c r="P134">
        <f t="shared" si="63"/>
        <v>0</v>
      </c>
      <c r="Q134">
        <f t="shared" si="64"/>
        <v>0</v>
      </c>
      <c r="R134">
        <f t="shared" si="65"/>
        <v>0</v>
      </c>
      <c r="S134">
        <f t="shared" si="66"/>
        <v>0</v>
      </c>
      <c r="T134">
        <f t="shared" si="67"/>
        <v>0</v>
      </c>
      <c r="U134">
        <f t="shared" si="68"/>
        <v>0</v>
      </c>
      <c r="V134">
        <f t="shared" si="69"/>
        <v>0</v>
      </c>
      <c r="W134">
        <f t="shared" si="70"/>
        <v>0</v>
      </c>
      <c r="X134">
        <f t="shared" si="71"/>
        <v>0</v>
      </c>
      <c r="Y134">
        <f t="shared" si="72"/>
        <v>0</v>
      </c>
      <c r="Z134">
        <f t="shared" si="73"/>
        <v>0</v>
      </c>
      <c r="AA134">
        <f t="shared" si="74"/>
        <v>0</v>
      </c>
      <c r="AB134">
        <f t="shared" si="75"/>
        <v>0</v>
      </c>
      <c r="AC134">
        <f t="shared" si="76"/>
        <v>0</v>
      </c>
      <c r="AD134">
        <f t="shared" si="77"/>
        <v>0</v>
      </c>
      <c r="AE134">
        <f t="shared" si="78"/>
        <v>0</v>
      </c>
      <c r="AF134">
        <f t="shared" si="79"/>
        <v>0</v>
      </c>
      <c r="AG134">
        <f t="shared" si="80"/>
        <v>0</v>
      </c>
      <c r="AH134">
        <f t="shared" si="81"/>
        <v>0</v>
      </c>
      <c r="AI134">
        <f t="shared" si="82"/>
        <v>0</v>
      </c>
      <c r="AJ134">
        <f t="shared" si="83"/>
        <v>0</v>
      </c>
      <c r="AK134">
        <f t="shared" si="84"/>
        <v>0</v>
      </c>
      <c r="AL134">
        <f t="shared" si="85"/>
        <v>0</v>
      </c>
      <c r="AM134">
        <f t="shared" si="86"/>
        <v>0</v>
      </c>
      <c r="AN134">
        <f t="shared" si="87"/>
        <v>0</v>
      </c>
      <c r="AO134">
        <f t="shared" si="88"/>
        <v>0</v>
      </c>
      <c r="AP134">
        <f t="shared" si="89"/>
        <v>0</v>
      </c>
      <c r="AQ134">
        <f t="shared" si="90"/>
        <v>0</v>
      </c>
      <c r="AR134">
        <f t="shared" si="91"/>
        <v>0</v>
      </c>
      <c r="AS134">
        <f t="shared" si="92"/>
        <v>0</v>
      </c>
      <c r="AT134">
        <f t="shared" si="93"/>
        <v>0</v>
      </c>
      <c r="AU134">
        <f t="shared" si="94"/>
        <v>0</v>
      </c>
      <c r="AV134">
        <f t="shared" si="95"/>
        <v>0</v>
      </c>
      <c r="AW134">
        <f t="shared" ref="AW134:AW197" si="98">SUM(AH134:AV134)</f>
        <v>0</v>
      </c>
      <c r="AX134">
        <f t="shared" si="96"/>
        <v>0</v>
      </c>
      <c r="AY134">
        <f t="shared" si="97"/>
        <v>0</v>
      </c>
    </row>
    <row r="135" spans="1:51" x14ac:dyDescent="0.35">
      <c r="A135">
        <v>129</v>
      </c>
      <c r="C135">
        <f t="shared" ref="C135:C198" si="99">MAX(0,0-SUM(D135:R135))</f>
        <v>0</v>
      </c>
      <c r="D135">
        <f t="shared" ref="D135:D198" si="100">IF(AH134&lt;0.005,0,MIN((AH134+ROUND(AH134*AH$3,2)),AH$4))</f>
        <v>0</v>
      </c>
      <c r="E135">
        <f t="shared" ref="E135:E198" si="101">IF(AI134&lt;0.005,0,MIN((AI134+ROUND(AI134*AI$3,2)),AI$4))</f>
        <v>0</v>
      </c>
      <c r="F135">
        <f t="shared" ref="F135:F198" si="102">IF(AJ134&lt;0.005,0,MIN((AJ134+ROUND(AJ134*AJ$3,2)),AJ$4))</f>
        <v>0</v>
      </c>
      <c r="G135">
        <f t="shared" ref="G135:G198" si="103">IF(AK134&lt;0.005,0,MIN((AK134+ROUND(AK134*AK$3,2)),AK$4))</f>
        <v>0</v>
      </c>
      <c r="H135">
        <f t="shared" ref="H135:H198" si="104">IF(AL134&lt;0.005,0,MIN((AL134+ROUND(AL134*AL$3,2)),AL$4))</f>
        <v>0</v>
      </c>
      <c r="I135">
        <f t="shared" ref="I135:I198" si="105">IF(AM134&lt;0.005,0,MIN((AM134+ROUND(AM134*AM$3,2)),AM$4))</f>
        <v>0</v>
      </c>
      <c r="J135">
        <f t="shared" ref="J135:J198" si="106">IF(AN134&lt;0.005,0,MIN((AN134+ROUND(AN134*AN$3,2)),AN$4))</f>
        <v>0</v>
      </c>
      <c r="K135">
        <f t="shared" ref="K135:K198" si="107">IF(AO134&lt;0.005,0,MIN((AO134+ROUND(AO134*AO$3,2)),AO$4))</f>
        <v>0</v>
      </c>
      <c r="L135">
        <f t="shared" ref="L135:L198" si="108">IF(AP134&lt;0.005,0,MIN((AP134+ROUND(AP134*AP$3,2)),AP$4))</f>
        <v>0</v>
      </c>
      <c r="M135">
        <f t="shared" ref="M135:M198" si="109">IF(AQ134&lt;0.005,0,MIN((AQ134+ROUND(AQ134*AQ$3,2)),AQ$4))</f>
        <v>0</v>
      </c>
      <c r="N135">
        <f t="shared" ref="N135:N198" si="110">IF(AR134&lt;0.005,0,MIN((AR134+ROUND(AR134*AR$3,2)),AR$4))</f>
        <v>0</v>
      </c>
      <c r="O135">
        <f t="shared" ref="O135:O198" si="111">IF(AS134&lt;0.005,0,MIN((AS134+ROUND(AS134*AS$3,2)),AS$4))</f>
        <v>0</v>
      </c>
      <c r="P135">
        <f t="shared" ref="P135:P198" si="112">IF(AT134&lt;0.005,0,MIN((AT134+ROUND(AT134*AT$3,2)),AT$4))</f>
        <v>0</v>
      </c>
      <c r="Q135">
        <f t="shared" ref="Q135:Q198" si="113">IF(AU134&lt;0.005,0,MIN((AU134+ROUND(AU134*AU$3,2)),AU$4))</f>
        <v>0</v>
      </c>
      <c r="R135">
        <f t="shared" ref="R135:R198" si="114">IF(AV134&lt;0.005,0,MIN((AV134+ROUND(AV134*AV$3,2)),AV$4))</f>
        <v>0</v>
      </c>
      <c r="S135">
        <f t="shared" ref="S135:S198" si="115">IF(AH134&lt;0.005,0,MIN((AH134+ROUND(AH134*AH$3,2))-D135,MAX(0,$C135)))</f>
        <v>0</v>
      </c>
      <c r="T135">
        <f t="shared" ref="T135:T198" si="116">IF(AI134&lt;0.005,0,MIN((AI134+ROUND(AI134*AI$3,2))-E135,MAX(0,$C135-SUM(S135:S135))))</f>
        <v>0</v>
      </c>
      <c r="U135">
        <f t="shared" ref="U135:U198" si="117">IF(AJ134&lt;0.005,0,MIN((AJ134+ROUND(AJ134*AJ$3,2))-F135,MAX(0,$C135-SUM(S135:T135))))</f>
        <v>0</v>
      </c>
      <c r="V135">
        <f t="shared" ref="V135:V198" si="118">IF(AK134&lt;0.005,0,MIN((AK134+ROUND(AK134*AK$3,2))-G135,MAX(0,$C135-SUM(S135:U135))))</f>
        <v>0</v>
      </c>
      <c r="W135">
        <f t="shared" ref="W135:W198" si="119">IF(AL134&lt;0.005,0,MIN((AL134+ROUND(AL134*AL$3,2))-H135,MAX(0,$C135-SUM(S135:V135))))</f>
        <v>0</v>
      </c>
      <c r="X135">
        <f t="shared" ref="X135:X198" si="120">IF(AM134&lt;0.005,0,MIN((AM134+ROUND(AM134*AM$3,2))-I135,MAX(0,$C135-SUM(S135:W135))))</f>
        <v>0</v>
      </c>
      <c r="Y135">
        <f t="shared" ref="Y135:Y198" si="121">IF(AN134&lt;0.005,0,MIN((AN134+ROUND(AN134*AN$3,2))-J135,MAX(0,$C135-SUM(S135:X135))))</f>
        <v>0</v>
      </c>
      <c r="Z135">
        <f t="shared" ref="Z135:Z198" si="122">IF(AO134&lt;0.005,0,MIN((AO134+ROUND(AO134*AO$3,2))-K135,MAX(0,$C135-SUM(S135:Y135))))</f>
        <v>0</v>
      </c>
      <c r="AA135">
        <f t="shared" ref="AA135:AA198" si="123">IF(AP134&lt;0.005,0,MIN((AP134+ROUND(AP134*AP$3,2))-L135,MAX(0,$C135-SUM(S135:Z135))))</f>
        <v>0</v>
      </c>
      <c r="AB135">
        <f t="shared" ref="AB135:AB198" si="124">IF(AQ134&lt;0.005,0,MIN((AQ134+ROUND(AQ134*AQ$3,2))-M135,MAX(0,$C135-SUM(S135:AA135))))</f>
        <v>0</v>
      </c>
      <c r="AC135">
        <f t="shared" ref="AC135:AC198" si="125">IF(AR134&lt;0.005,0,MIN((AR134+ROUND(AR134*AR$3,2))-N135,MAX(0,$C135-SUM(S135:AB135))))</f>
        <v>0</v>
      </c>
      <c r="AD135">
        <f t="shared" ref="AD135:AD198" si="126">IF(AS134&lt;0.005,0,MIN((AS134+ROUND(AS134*AS$3,2))-O135,MAX(0,$C135-SUM(S135:AC135))))</f>
        <v>0</v>
      </c>
      <c r="AE135">
        <f t="shared" ref="AE135:AE198" si="127">IF(AT134&lt;0.005,0,MIN((AT134+ROUND(AT134*AT$3,2))-P135,MAX(0,$C135-SUM(S135:AD135))))</f>
        <v>0</v>
      </c>
      <c r="AF135">
        <f t="shared" ref="AF135:AF198" si="128">IF(AU134&lt;0.005,0,MIN((AU134+ROUND(AU134*AU$3,2))-Q135,MAX(0,$C135-SUM(S135:AE135))))</f>
        <v>0</v>
      </c>
      <c r="AG135">
        <f t="shared" ref="AG135:AG198" si="129">IF(AV134&lt;0.005,0,MIN((AV134+ROUND(AV134*AV$3,2))-R135,MAX(0,$C135-SUM(S135:AF135))))</f>
        <v>0</v>
      </c>
      <c r="AH135">
        <f t="shared" ref="AH135:AH198" si="130">IF(AH134&lt;0.005,0,ROUND((AH134+ROUND(AH134*AH$3,2))-D135-S135,2))</f>
        <v>0</v>
      </c>
      <c r="AI135">
        <f t="shared" ref="AI135:AI198" si="131">IF(AI134&lt;0.005,0,ROUND((AI134+ROUND(AI134*AI$3,2))-E135-T135,2))</f>
        <v>0</v>
      </c>
      <c r="AJ135">
        <f t="shared" ref="AJ135:AJ198" si="132">IF(AJ134&lt;0.005,0,ROUND((AJ134+ROUND(AJ134*AJ$3,2))-F135-U135,2))</f>
        <v>0</v>
      </c>
      <c r="AK135">
        <f t="shared" ref="AK135:AK198" si="133">IF(AK134&lt;0.005,0,ROUND((AK134+ROUND(AK134*AK$3,2))-G135-V135,2))</f>
        <v>0</v>
      </c>
      <c r="AL135">
        <f t="shared" ref="AL135:AL198" si="134">IF(AL134&lt;0.005,0,ROUND((AL134+ROUND(AL134*AL$3,2))-H135-W135,2))</f>
        <v>0</v>
      </c>
      <c r="AM135">
        <f t="shared" ref="AM135:AM198" si="135">IF(AM134&lt;0.005,0,ROUND((AM134+ROUND(AM134*AM$3,2))-I135-X135,2))</f>
        <v>0</v>
      </c>
      <c r="AN135">
        <f t="shared" ref="AN135:AN198" si="136">IF(AN134&lt;0.005,0,ROUND((AN134+ROUND(AN134*AN$3,2))-J135-Y135,2))</f>
        <v>0</v>
      </c>
      <c r="AO135">
        <f t="shared" ref="AO135:AO198" si="137">IF(AO134&lt;0.005,0,ROUND((AO134+ROUND(AO134*AO$3,2))-K135-Z135,2))</f>
        <v>0</v>
      </c>
      <c r="AP135">
        <f t="shared" ref="AP135:AP198" si="138">IF(AP134&lt;0.005,0,ROUND((AP134+ROUND(AP134*AP$3,2))-L135-AA135,2))</f>
        <v>0</v>
      </c>
      <c r="AQ135">
        <f t="shared" ref="AQ135:AQ198" si="139">IF(AQ134&lt;0.005,0,ROUND((AQ134+ROUND(AQ134*AQ$3,2))-M135-AB135,2))</f>
        <v>0</v>
      </c>
      <c r="AR135">
        <f t="shared" ref="AR135:AR198" si="140">IF(AR134&lt;0.005,0,ROUND((AR134+ROUND(AR134*AR$3,2))-N135-AC135,2))</f>
        <v>0</v>
      </c>
      <c r="AS135">
        <f t="shared" ref="AS135:AS198" si="141">IF(AS134&lt;0.005,0,ROUND((AS134+ROUND(AS134*AS$3,2))-O135-AD135,2))</f>
        <v>0</v>
      </c>
      <c r="AT135">
        <f t="shared" ref="AT135:AT198" si="142">IF(AT134&lt;0.005,0,ROUND((AT134+ROUND(AT134*AT$3,2))-P135-AE135,2))</f>
        <v>0</v>
      </c>
      <c r="AU135">
        <f t="shared" ref="AU135:AU198" si="143">IF(AU134&lt;0.005,0,ROUND((AU134+ROUND(AU134*AU$3,2))-Q135-AF135,2))</f>
        <v>0</v>
      </c>
      <c r="AV135">
        <f t="shared" ref="AV135:AV198" si="144">IF(AV134&lt;0.005,0,ROUND((AV134+ROUND(AV134*AV$3,2))-R135-AG135,2))</f>
        <v>0</v>
      </c>
      <c r="AW135">
        <f t="shared" si="98"/>
        <v>0</v>
      </c>
      <c r="AX135">
        <f t="shared" ref="AX135:AX198" si="145">SUMPRODUCT(ROUND(AH134:AV134*AH$3:AV$3,2))</f>
        <v>0</v>
      </c>
      <c r="AY135">
        <f t="shared" ref="AY135:AY198" si="146">SUM(D135:AG135)</f>
        <v>0</v>
      </c>
    </row>
    <row r="136" spans="1:51" x14ac:dyDescent="0.35">
      <c r="A136">
        <v>130</v>
      </c>
      <c r="C136">
        <f t="shared" si="99"/>
        <v>0</v>
      </c>
      <c r="D136">
        <f t="shared" si="100"/>
        <v>0</v>
      </c>
      <c r="E136">
        <f t="shared" si="101"/>
        <v>0</v>
      </c>
      <c r="F136">
        <f t="shared" si="102"/>
        <v>0</v>
      </c>
      <c r="G136">
        <f t="shared" si="103"/>
        <v>0</v>
      </c>
      <c r="H136">
        <f t="shared" si="104"/>
        <v>0</v>
      </c>
      <c r="I136">
        <f t="shared" si="105"/>
        <v>0</v>
      </c>
      <c r="J136">
        <f t="shared" si="106"/>
        <v>0</v>
      </c>
      <c r="K136">
        <f t="shared" si="107"/>
        <v>0</v>
      </c>
      <c r="L136">
        <f t="shared" si="108"/>
        <v>0</v>
      </c>
      <c r="M136">
        <f t="shared" si="109"/>
        <v>0</v>
      </c>
      <c r="N136">
        <f t="shared" si="110"/>
        <v>0</v>
      </c>
      <c r="O136">
        <f t="shared" si="111"/>
        <v>0</v>
      </c>
      <c r="P136">
        <f t="shared" si="112"/>
        <v>0</v>
      </c>
      <c r="Q136">
        <f t="shared" si="113"/>
        <v>0</v>
      </c>
      <c r="R136">
        <f t="shared" si="114"/>
        <v>0</v>
      </c>
      <c r="S136">
        <f t="shared" si="115"/>
        <v>0</v>
      </c>
      <c r="T136">
        <f t="shared" si="116"/>
        <v>0</v>
      </c>
      <c r="U136">
        <f t="shared" si="117"/>
        <v>0</v>
      </c>
      <c r="V136">
        <f t="shared" si="118"/>
        <v>0</v>
      </c>
      <c r="W136">
        <f t="shared" si="119"/>
        <v>0</v>
      </c>
      <c r="X136">
        <f t="shared" si="120"/>
        <v>0</v>
      </c>
      <c r="Y136">
        <f t="shared" si="121"/>
        <v>0</v>
      </c>
      <c r="Z136">
        <f t="shared" si="122"/>
        <v>0</v>
      </c>
      <c r="AA136">
        <f t="shared" si="123"/>
        <v>0</v>
      </c>
      <c r="AB136">
        <f t="shared" si="124"/>
        <v>0</v>
      </c>
      <c r="AC136">
        <f t="shared" si="125"/>
        <v>0</v>
      </c>
      <c r="AD136">
        <f t="shared" si="126"/>
        <v>0</v>
      </c>
      <c r="AE136">
        <f t="shared" si="127"/>
        <v>0</v>
      </c>
      <c r="AF136">
        <f t="shared" si="128"/>
        <v>0</v>
      </c>
      <c r="AG136">
        <f t="shared" si="129"/>
        <v>0</v>
      </c>
      <c r="AH136">
        <f t="shared" si="130"/>
        <v>0</v>
      </c>
      <c r="AI136">
        <f t="shared" si="131"/>
        <v>0</v>
      </c>
      <c r="AJ136">
        <f t="shared" si="132"/>
        <v>0</v>
      </c>
      <c r="AK136">
        <f t="shared" si="133"/>
        <v>0</v>
      </c>
      <c r="AL136">
        <f t="shared" si="134"/>
        <v>0</v>
      </c>
      <c r="AM136">
        <f t="shared" si="135"/>
        <v>0</v>
      </c>
      <c r="AN136">
        <f t="shared" si="136"/>
        <v>0</v>
      </c>
      <c r="AO136">
        <f t="shared" si="137"/>
        <v>0</v>
      </c>
      <c r="AP136">
        <f t="shared" si="138"/>
        <v>0</v>
      </c>
      <c r="AQ136">
        <f t="shared" si="139"/>
        <v>0</v>
      </c>
      <c r="AR136">
        <f t="shared" si="140"/>
        <v>0</v>
      </c>
      <c r="AS136">
        <f t="shared" si="141"/>
        <v>0</v>
      </c>
      <c r="AT136">
        <f t="shared" si="142"/>
        <v>0</v>
      </c>
      <c r="AU136">
        <f t="shared" si="143"/>
        <v>0</v>
      </c>
      <c r="AV136">
        <f t="shared" si="144"/>
        <v>0</v>
      </c>
      <c r="AW136">
        <f t="shared" si="98"/>
        <v>0</v>
      </c>
      <c r="AX136">
        <f t="shared" si="145"/>
        <v>0</v>
      </c>
      <c r="AY136">
        <f t="shared" si="146"/>
        <v>0</v>
      </c>
    </row>
    <row r="137" spans="1:51" x14ac:dyDescent="0.35">
      <c r="A137">
        <v>131</v>
      </c>
      <c r="C137">
        <f t="shared" si="99"/>
        <v>0</v>
      </c>
      <c r="D137">
        <f t="shared" si="100"/>
        <v>0</v>
      </c>
      <c r="E137">
        <f t="shared" si="101"/>
        <v>0</v>
      </c>
      <c r="F137">
        <f t="shared" si="102"/>
        <v>0</v>
      </c>
      <c r="G137">
        <f t="shared" si="103"/>
        <v>0</v>
      </c>
      <c r="H137">
        <f t="shared" si="104"/>
        <v>0</v>
      </c>
      <c r="I137">
        <f t="shared" si="105"/>
        <v>0</v>
      </c>
      <c r="J137">
        <f t="shared" si="106"/>
        <v>0</v>
      </c>
      <c r="K137">
        <f t="shared" si="107"/>
        <v>0</v>
      </c>
      <c r="L137">
        <f t="shared" si="108"/>
        <v>0</v>
      </c>
      <c r="M137">
        <f t="shared" si="109"/>
        <v>0</v>
      </c>
      <c r="N137">
        <f t="shared" si="110"/>
        <v>0</v>
      </c>
      <c r="O137">
        <f t="shared" si="111"/>
        <v>0</v>
      </c>
      <c r="P137">
        <f t="shared" si="112"/>
        <v>0</v>
      </c>
      <c r="Q137">
        <f t="shared" si="113"/>
        <v>0</v>
      </c>
      <c r="R137">
        <f t="shared" si="114"/>
        <v>0</v>
      </c>
      <c r="S137">
        <f t="shared" si="115"/>
        <v>0</v>
      </c>
      <c r="T137">
        <f t="shared" si="116"/>
        <v>0</v>
      </c>
      <c r="U137">
        <f t="shared" si="117"/>
        <v>0</v>
      </c>
      <c r="V137">
        <f t="shared" si="118"/>
        <v>0</v>
      </c>
      <c r="W137">
        <f t="shared" si="119"/>
        <v>0</v>
      </c>
      <c r="X137">
        <f t="shared" si="120"/>
        <v>0</v>
      </c>
      <c r="Y137">
        <f t="shared" si="121"/>
        <v>0</v>
      </c>
      <c r="Z137">
        <f t="shared" si="122"/>
        <v>0</v>
      </c>
      <c r="AA137">
        <f t="shared" si="123"/>
        <v>0</v>
      </c>
      <c r="AB137">
        <f t="shared" si="124"/>
        <v>0</v>
      </c>
      <c r="AC137">
        <f t="shared" si="125"/>
        <v>0</v>
      </c>
      <c r="AD137">
        <f t="shared" si="126"/>
        <v>0</v>
      </c>
      <c r="AE137">
        <f t="shared" si="127"/>
        <v>0</v>
      </c>
      <c r="AF137">
        <f t="shared" si="128"/>
        <v>0</v>
      </c>
      <c r="AG137">
        <f t="shared" si="129"/>
        <v>0</v>
      </c>
      <c r="AH137">
        <f t="shared" si="130"/>
        <v>0</v>
      </c>
      <c r="AI137">
        <f t="shared" si="131"/>
        <v>0</v>
      </c>
      <c r="AJ137">
        <f t="shared" si="132"/>
        <v>0</v>
      </c>
      <c r="AK137">
        <f t="shared" si="133"/>
        <v>0</v>
      </c>
      <c r="AL137">
        <f t="shared" si="134"/>
        <v>0</v>
      </c>
      <c r="AM137">
        <f t="shared" si="135"/>
        <v>0</v>
      </c>
      <c r="AN137">
        <f t="shared" si="136"/>
        <v>0</v>
      </c>
      <c r="AO137">
        <f t="shared" si="137"/>
        <v>0</v>
      </c>
      <c r="AP137">
        <f t="shared" si="138"/>
        <v>0</v>
      </c>
      <c r="AQ137">
        <f t="shared" si="139"/>
        <v>0</v>
      </c>
      <c r="AR137">
        <f t="shared" si="140"/>
        <v>0</v>
      </c>
      <c r="AS137">
        <f t="shared" si="141"/>
        <v>0</v>
      </c>
      <c r="AT137">
        <f t="shared" si="142"/>
        <v>0</v>
      </c>
      <c r="AU137">
        <f t="shared" si="143"/>
        <v>0</v>
      </c>
      <c r="AV137">
        <f t="shared" si="144"/>
        <v>0</v>
      </c>
      <c r="AW137">
        <f t="shared" si="98"/>
        <v>0</v>
      </c>
      <c r="AX137">
        <f t="shared" si="145"/>
        <v>0</v>
      </c>
      <c r="AY137">
        <f t="shared" si="146"/>
        <v>0</v>
      </c>
    </row>
    <row r="138" spans="1:51" x14ac:dyDescent="0.35">
      <c r="A138">
        <v>132</v>
      </c>
      <c r="C138">
        <f t="shared" si="99"/>
        <v>0</v>
      </c>
      <c r="D138">
        <f t="shared" si="100"/>
        <v>0</v>
      </c>
      <c r="E138">
        <f t="shared" si="101"/>
        <v>0</v>
      </c>
      <c r="F138">
        <f t="shared" si="102"/>
        <v>0</v>
      </c>
      <c r="G138">
        <f t="shared" si="103"/>
        <v>0</v>
      </c>
      <c r="H138">
        <f t="shared" si="104"/>
        <v>0</v>
      </c>
      <c r="I138">
        <f t="shared" si="105"/>
        <v>0</v>
      </c>
      <c r="J138">
        <f t="shared" si="106"/>
        <v>0</v>
      </c>
      <c r="K138">
        <f t="shared" si="107"/>
        <v>0</v>
      </c>
      <c r="L138">
        <f t="shared" si="108"/>
        <v>0</v>
      </c>
      <c r="M138">
        <f t="shared" si="109"/>
        <v>0</v>
      </c>
      <c r="N138">
        <f t="shared" si="110"/>
        <v>0</v>
      </c>
      <c r="O138">
        <f t="shared" si="111"/>
        <v>0</v>
      </c>
      <c r="P138">
        <f t="shared" si="112"/>
        <v>0</v>
      </c>
      <c r="Q138">
        <f t="shared" si="113"/>
        <v>0</v>
      </c>
      <c r="R138">
        <f t="shared" si="114"/>
        <v>0</v>
      </c>
      <c r="S138">
        <f t="shared" si="115"/>
        <v>0</v>
      </c>
      <c r="T138">
        <f t="shared" si="116"/>
        <v>0</v>
      </c>
      <c r="U138">
        <f t="shared" si="117"/>
        <v>0</v>
      </c>
      <c r="V138">
        <f t="shared" si="118"/>
        <v>0</v>
      </c>
      <c r="W138">
        <f t="shared" si="119"/>
        <v>0</v>
      </c>
      <c r="X138">
        <f t="shared" si="120"/>
        <v>0</v>
      </c>
      <c r="Y138">
        <f t="shared" si="121"/>
        <v>0</v>
      </c>
      <c r="Z138">
        <f t="shared" si="122"/>
        <v>0</v>
      </c>
      <c r="AA138">
        <f t="shared" si="123"/>
        <v>0</v>
      </c>
      <c r="AB138">
        <f t="shared" si="124"/>
        <v>0</v>
      </c>
      <c r="AC138">
        <f t="shared" si="125"/>
        <v>0</v>
      </c>
      <c r="AD138">
        <f t="shared" si="126"/>
        <v>0</v>
      </c>
      <c r="AE138">
        <f t="shared" si="127"/>
        <v>0</v>
      </c>
      <c r="AF138">
        <f t="shared" si="128"/>
        <v>0</v>
      </c>
      <c r="AG138">
        <f t="shared" si="129"/>
        <v>0</v>
      </c>
      <c r="AH138">
        <f t="shared" si="130"/>
        <v>0</v>
      </c>
      <c r="AI138">
        <f t="shared" si="131"/>
        <v>0</v>
      </c>
      <c r="AJ138">
        <f t="shared" si="132"/>
        <v>0</v>
      </c>
      <c r="AK138">
        <f t="shared" si="133"/>
        <v>0</v>
      </c>
      <c r="AL138">
        <f t="shared" si="134"/>
        <v>0</v>
      </c>
      <c r="AM138">
        <f t="shared" si="135"/>
        <v>0</v>
      </c>
      <c r="AN138">
        <f t="shared" si="136"/>
        <v>0</v>
      </c>
      <c r="AO138">
        <f t="shared" si="137"/>
        <v>0</v>
      </c>
      <c r="AP138">
        <f t="shared" si="138"/>
        <v>0</v>
      </c>
      <c r="AQ138">
        <f t="shared" si="139"/>
        <v>0</v>
      </c>
      <c r="AR138">
        <f t="shared" si="140"/>
        <v>0</v>
      </c>
      <c r="AS138">
        <f t="shared" si="141"/>
        <v>0</v>
      </c>
      <c r="AT138">
        <f t="shared" si="142"/>
        <v>0</v>
      </c>
      <c r="AU138">
        <f t="shared" si="143"/>
        <v>0</v>
      </c>
      <c r="AV138">
        <f t="shared" si="144"/>
        <v>0</v>
      </c>
      <c r="AW138">
        <f t="shared" si="98"/>
        <v>0</v>
      </c>
      <c r="AX138">
        <f t="shared" si="145"/>
        <v>0</v>
      </c>
      <c r="AY138">
        <f t="shared" si="146"/>
        <v>0</v>
      </c>
    </row>
    <row r="139" spans="1:51" x14ac:dyDescent="0.35">
      <c r="A139">
        <v>133</v>
      </c>
      <c r="C139">
        <f t="shared" si="99"/>
        <v>0</v>
      </c>
      <c r="D139">
        <f t="shared" si="100"/>
        <v>0</v>
      </c>
      <c r="E139">
        <f t="shared" si="101"/>
        <v>0</v>
      </c>
      <c r="F139">
        <f t="shared" si="102"/>
        <v>0</v>
      </c>
      <c r="G139">
        <f t="shared" si="103"/>
        <v>0</v>
      </c>
      <c r="H139">
        <f t="shared" si="104"/>
        <v>0</v>
      </c>
      <c r="I139">
        <f t="shared" si="105"/>
        <v>0</v>
      </c>
      <c r="J139">
        <f t="shared" si="106"/>
        <v>0</v>
      </c>
      <c r="K139">
        <f t="shared" si="107"/>
        <v>0</v>
      </c>
      <c r="L139">
        <f t="shared" si="108"/>
        <v>0</v>
      </c>
      <c r="M139">
        <f t="shared" si="109"/>
        <v>0</v>
      </c>
      <c r="N139">
        <f t="shared" si="110"/>
        <v>0</v>
      </c>
      <c r="O139">
        <f t="shared" si="111"/>
        <v>0</v>
      </c>
      <c r="P139">
        <f t="shared" si="112"/>
        <v>0</v>
      </c>
      <c r="Q139">
        <f t="shared" si="113"/>
        <v>0</v>
      </c>
      <c r="R139">
        <f t="shared" si="114"/>
        <v>0</v>
      </c>
      <c r="S139">
        <f t="shared" si="115"/>
        <v>0</v>
      </c>
      <c r="T139">
        <f t="shared" si="116"/>
        <v>0</v>
      </c>
      <c r="U139">
        <f t="shared" si="117"/>
        <v>0</v>
      </c>
      <c r="V139">
        <f t="shared" si="118"/>
        <v>0</v>
      </c>
      <c r="W139">
        <f t="shared" si="119"/>
        <v>0</v>
      </c>
      <c r="X139">
        <f t="shared" si="120"/>
        <v>0</v>
      </c>
      <c r="Y139">
        <f t="shared" si="121"/>
        <v>0</v>
      </c>
      <c r="Z139">
        <f t="shared" si="122"/>
        <v>0</v>
      </c>
      <c r="AA139">
        <f t="shared" si="123"/>
        <v>0</v>
      </c>
      <c r="AB139">
        <f t="shared" si="124"/>
        <v>0</v>
      </c>
      <c r="AC139">
        <f t="shared" si="125"/>
        <v>0</v>
      </c>
      <c r="AD139">
        <f t="shared" si="126"/>
        <v>0</v>
      </c>
      <c r="AE139">
        <f t="shared" si="127"/>
        <v>0</v>
      </c>
      <c r="AF139">
        <f t="shared" si="128"/>
        <v>0</v>
      </c>
      <c r="AG139">
        <f t="shared" si="129"/>
        <v>0</v>
      </c>
      <c r="AH139">
        <f t="shared" si="130"/>
        <v>0</v>
      </c>
      <c r="AI139">
        <f t="shared" si="131"/>
        <v>0</v>
      </c>
      <c r="AJ139">
        <f t="shared" si="132"/>
        <v>0</v>
      </c>
      <c r="AK139">
        <f t="shared" si="133"/>
        <v>0</v>
      </c>
      <c r="AL139">
        <f t="shared" si="134"/>
        <v>0</v>
      </c>
      <c r="AM139">
        <f t="shared" si="135"/>
        <v>0</v>
      </c>
      <c r="AN139">
        <f t="shared" si="136"/>
        <v>0</v>
      </c>
      <c r="AO139">
        <f t="shared" si="137"/>
        <v>0</v>
      </c>
      <c r="AP139">
        <f t="shared" si="138"/>
        <v>0</v>
      </c>
      <c r="AQ139">
        <f t="shared" si="139"/>
        <v>0</v>
      </c>
      <c r="AR139">
        <f t="shared" si="140"/>
        <v>0</v>
      </c>
      <c r="AS139">
        <f t="shared" si="141"/>
        <v>0</v>
      </c>
      <c r="AT139">
        <f t="shared" si="142"/>
        <v>0</v>
      </c>
      <c r="AU139">
        <f t="shared" si="143"/>
        <v>0</v>
      </c>
      <c r="AV139">
        <f t="shared" si="144"/>
        <v>0</v>
      </c>
      <c r="AW139">
        <f t="shared" si="98"/>
        <v>0</v>
      </c>
      <c r="AX139">
        <f t="shared" si="145"/>
        <v>0</v>
      </c>
      <c r="AY139">
        <f t="shared" si="146"/>
        <v>0</v>
      </c>
    </row>
    <row r="140" spans="1:51" x14ac:dyDescent="0.35">
      <c r="A140">
        <v>134</v>
      </c>
      <c r="C140">
        <f t="shared" si="99"/>
        <v>0</v>
      </c>
      <c r="D140">
        <f t="shared" si="100"/>
        <v>0</v>
      </c>
      <c r="E140">
        <f t="shared" si="101"/>
        <v>0</v>
      </c>
      <c r="F140">
        <f t="shared" si="102"/>
        <v>0</v>
      </c>
      <c r="G140">
        <f t="shared" si="103"/>
        <v>0</v>
      </c>
      <c r="H140">
        <f t="shared" si="104"/>
        <v>0</v>
      </c>
      <c r="I140">
        <f t="shared" si="105"/>
        <v>0</v>
      </c>
      <c r="J140">
        <f t="shared" si="106"/>
        <v>0</v>
      </c>
      <c r="K140">
        <f t="shared" si="107"/>
        <v>0</v>
      </c>
      <c r="L140">
        <f t="shared" si="108"/>
        <v>0</v>
      </c>
      <c r="M140">
        <f t="shared" si="109"/>
        <v>0</v>
      </c>
      <c r="N140">
        <f t="shared" si="110"/>
        <v>0</v>
      </c>
      <c r="O140">
        <f t="shared" si="111"/>
        <v>0</v>
      </c>
      <c r="P140">
        <f t="shared" si="112"/>
        <v>0</v>
      </c>
      <c r="Q140">
        <f t="shared" si="113"/>
        <v>0</v>
      </c>
      <c r="R140">
        <f t="shared" si="114"/>
        <v>0</v>
      </c>
      <c r="S140">
        <f t="shared" si="115"/>
        <v>0</v>
      </c>
      <c r="T140">
        <f t="shared" si="116"/>
        <v>0</v>
      </c>
      <c r="U140">
        <f t="shared" si="117"/>
        <v>0</v>
      </c>
      <c r="V140">
        <f t="shared" si="118"/>
        <v>0</v>
      </c>
      <c r="W140">
        <f t="shared" si="119"/>
        <v>0</v>
      </c>
      <c r="X140">
        <f t="shared" si="120"/>
        <v>0</v>
      </c>
      <c r="Y140">
        <f t="shared" si="121"/>
        <v>0</v>
      </c>
      <c r="Z140">
        <f t="shared" si="122"/>
        <v>0</v>
      </c>
      <c r="AA140">
        <f t="shared" si="123"/>
        <v>0</v>
      </c>
      <c r="AB140">
        <f t="shared" si="124"/>
        <v>0</v>
      </c>
      <c r="AC140">
        <f t="shared" si="125"/>
        <v>0</v>
      </c>
      <c r="AD140">
        <f t="shared" si="126"/>
        <v>0</v>
      </c>
      <c r="AE140">
        <f t="shared" si="127"/>
        <v>0</v>
      </c>
      <c r="AF140">
        <f t="shared" si="128"/>
        <v>0</v>
      </c>
      <c r="AG140">
        <f t="shared" si="129"/>
        <v>0</v>
      </c>
      <c r="AH140">
        <f t="shared" si="130"/>
        <v>0</v>
      </c>
      <c r="AI140">
        <f t="shared" si="131"/>
        <v>0</v>
      </c>
      <c r="AJ140">
        <f t="shared" si="132"/>
        <v>0</v>
      </c>
      <c r="AK140">
        <f t="shared" si="133"/>
        <v>0</v>
      </c>
      <c r="AL140">
        <f t="shared" si="134"/>
        <v>0</v>
      </c>
      <c r="AM140">
        <f t="shared" si="135"/>
        <v>0</v>
      </c>
      <c r="AN140">
        <f t="shared" si="136"/>
        <v>0</v>
      </c>
      <c r="AO140">
        <f t="shared" si="137"/>
        <v>0</v>
      </c>
      <c r="AP140">
        <f t="shared" si="138"/>
        <v>0</v>
      </c>
      <c r="AQ140">
        <f t="shared" si="139"/>
        <v>0</v>
      </c>
      <c r="AR140">
        <f t="shared" si="140"/>
        <v>0</v>
      </c>
      <c r="AS140">
        <f t="shared" si="141"/>
        <v>0</v>
      </c>
      <c r="AT140">
        <f t="shared" si="142"/>
        <v>0</v>
      </c>
      <c r="AU140">
        <f t="shared" si="143"/>
        <v>0</v>
      </c>
      <c r="AV140">
        <f t="shared" si="144"/>
        <v>0</v>
      </c>
      <c r="AW140">
        <f t="shared" si="98"/>
        <v>0</v>
      </c>
      <c r="AX140">
        <f t="shared" si="145"/>
        <v>0</v>
      </c>
      <c r="AY140">
        <f t="shared" si="146"/>
        <v>0</v>
      </c>
    </row>
    <row r="141" spans="1:51" x14ac:dyDescent="0.35">
      <c r="A141">
        <v>135</v>
      </c>
      <c r="C141">
        <f t="shared" si="99"/>
        <v>0</v>
      </c>
      <c r="D141">
        <f t="shared" si="100"/>
        <v>0</v>
      </c>
      <c r="E141">
        <f t="shared" si="101"/>
        <v>0</v>
      </c>
      <c r="F141">
        <f t="shared" si="102"/>
        <v>0</v>
      </c>
      <c r="G141">
        <f t="shared" si="103"/>
        <v>0</v>
      </c>
      <c r="H141">
        <f t="shared" si="104"/>
        <v>0</v>
      </c>
      <c r="I141">
        <f t="shared" si="105"/>
        <v>0</v>
      </c>
      <c r="J141">
        <f t="shared" si="106"/>
        <v>0</v>
      </c>
      <c r="K141">
        <f t="shared" si="107"/>
        <v>0</v>
      </c>
      <c r="L141">
        <f t="shared" si="108"/>
        <v>0</v>
      </c>
      <c r="M141">
        <f t="shared" si="109"/>
        <v>0</v>
      </c>
      <c r="N141">
        <f t="shared" si="110"/>
        <v>0</v>
      </c>
      <c r="O141">
        <f t="shared" si="111"/>
        <v>0</v>
      </c>
      <c r="P141">
        <f t="shared" si="112"/>
        <v>0</v>
      </c>
      <c r="Q141">
        <f t="shared" si="113"/>
        <v>0</v>
      </c>
      <c r="R141">
        <f t="shared" si="114"/>
        <v>0</v>
      </c>
      <c r="S141">
        <f t="shared" si="115"/>
        <v>0</v>
      </c>
      <c r="T141">
        <f t="shared" si="116"/>
        <v>0</v>
      </c>
      <c r="U141">
        <f t="shared" si="117"/>
        <v>0</v>
      </c>
      <c r="V141">
        <f t="shared" si="118"/>
        <v>0</v>
      </c>
      <c r="W141">
        <f t="shared" si="119"/>
        <v>0</v>
      </c>
      <c r="X141">
        <f t="shared" si="120"/>
        <v>0</v>
      </c>
      <c r="Y141">
        <f t="shared" si="121"/>
        <v>0</v>
      </c>
      <c r="Z141">
        <f t="shared" si="122"/>
        <v>0</v>
      </c>
      <c r="AA141">
        <f t="shared" si="123"/>
        <v>0</v>
      </c>
      <c r="AB141">
        <f t="shared" si="124"/>
        <v>0</v>
      </c>
      <c r="AC141">
        <f t="shared" si="125"/>
        <v>0</v>
      </c>
      <c r="AD141">
        <f t="shared" si="126"/>
        <v>0</v>
      </c>
      <c r="AE141">
        <f t="shared" si="127"/>
        <v>0</v>
      </c>
      <c r="AF141">
        <f t="shared" si="128"/>
        <v>0</v>
      </c>
      <c r="AG141">
        <f t="shared" si="129"/>
        <v>0</v>
      </c>
      <c r="AH141">
        <f t="shared" si="130"/>
        <v>0</v>
      </c>
      <c r="AI141">
        <f t="shared" si="131"/>
        <v>0</v>
      </c>
      <c r="AJ141">
        <f t="shared" si="132"/>
        <v>0</v>
      </c>
      <c r="AK141">
        <f t="shared" si="133"/>
        <v>0</v>
      </c>
      <c r="AL141">
        <f t="shared" si="134"/>
        <v>0</v>
      </c>
      <c r="AM141">
        <f t="shared" si="135"/>
        <v>0</v>
      </c>
      <c r="AN141">
        <f t="shared" si="136"/>
        <v>0</v>
      </c>
      <c r="AO141">
        <f t="shared" si="137"/>
        <v>0</v>
      </c>
      <c r="AP141">
        <f t="shared" si="138"/>
        <v>0</v>
      </c>
      <c r="AQ141">
        <f t="shared" si="139"/>
        <v>0</v>
      </c>
      <c r="AR141">
        <f t="shared" si="140"/>
        <v>0</v>
      </c>
      <c r="AS141">
        <f t="shared" si="141"/>
        <v>0</v>
      </c>
      <c r="AT141">
        <f t="shared" si="142"/>
        <v>0</v>
      </c>
      <c r="AU141">
        <f t="shared" si="143"/>
        <v>0</v>
      </c>
      <c r="AV141">
        <f t="shared" si="144"/>
        <v>0</v>
      </c>
      <c r="AW141">
        <f t="shared" si="98"/>
        <v>0</v>
      </c>
      <c r="AX141">
        <f t="shared" si="145"/>
        <v>0</v>
      </c>
      <c r="AY141">
        <f t="shared" si="146"/>
        <v>0</v>
      </c>
    </row>
    <row r="142" spans="1:51" x14ac:dyDescent="0.35">
      <c r="A142">
        <v>136</v>
      </c>
      <c r="C142">
        <f t="shared" si="99"/>
        <v>0</v>
      </c>
      <c r="D142">
        <f t="shared" si="100"/>
        <v>0</v>
      </c>
      <c r="E142">
        <f t="shared" si="101"/>
        <v>0</v>
      </c>
      <c r="F142">
        <f t="shared" si="102"/>
        <v>0</v>
      </c>
      <c r="G142">
        <f t="shared" si="103"/>
        <v>0</v>
      </c>
      <c r="H142">
        <f t="shared" si="104"/>
        <v>0</v>
      </c>
      <c r="I142">
        <f t="shared" si="105"/>
        <v>0</v>
      </c>
      <c r="J142">
        <f t="shared" si="106"/>
        <v>0</v>
      </c>
      <c r="K142">
        <f t="shared" si="107"/>
        <v>0</v>
      </c>
      <c r="L142">
        <f t="shared" si="108"/>
        <v>0</v>
      </c>
      <c r="M142">
        <f t="shared" si="109"/>
        <v>0</v>
      </c>
      <c r="N142">
        <f t="shared" si="110"/>
        <v>0</v>
      </c>
      <c r="O142">
        <f t="shared" si="111"/>
        <v>0</v>
      </c>
      <c r="P142">
        <f t="shared" si="112"/>
        <v>0</v>
      </c>
      <c r="Q142">
        <f t="shared" si="113"/>
        <v>0</v>
      </c>
      <c r="R142">
        <f t="shared" si="114"/>
        <v>0</v>
      </c>
      <c r="S142">
        <f t="shared" si="115"/>
        <v>0</v>
      </c>
      <c r="T142">
        <f t="shared" si="116"/>
        <v>0</v>
      </c>
      <c r="U142">
        <f t="shared" si="117"/>
        <v>0</v>
      </c>
      <c r="V142">
        <f t="shared" si="118"/>
        <v>0</v>
      </c>
      <c r="W142">
        <f t="shared" si="119"/>
        <v>0</v>
      </c>
      <c r="X142">
        <f t="shared" si="120"/>
        <v>0</v>
      </c>
      <c r="Y142">
        <f t="shared" si="121"/>
        <v>0</v>
      </c>
      <c r="Z142">
        <f t="shared" si="122"/>
        <v>0</v>
      </c>
      <c r="AA142">
        <f t="shared" si="123"/>
        <v>0</v>
      </c>
      <c r="AB142">
        <f t="shared" si="124"/>
        <v>0</v>
      </c>
      <c r="AC142">
        <f t="shared" si="125"/>
        <v>0</v>
      </c>
      <c r="AD142">
        <f t="shared" si="126"/>
        <v>0</v>
      </c>
      <c r="AE142">
        <f t="shared" si="127"/>
        <v>0</v>
      </c>
      <c r="AF142">
        <f t="shared" si="128"/>
        <v>0</v>
      </c>
      <c r="AG142">
        <f t="shared" si="129"/>
        <v>0</v>
      </c>
      <c r="AH142">
        <f t="shared" si="130"/>
        <v>0</v>
      </c>
      <c r="AI142">
        <f t="shared" si="131"/>
        <v>0</v>
      </c>
      <c r="AJ142">
        <f t="shared" si="132"/>
        <v>0</v>
      </c>
      <c r="AK142">
        <f t="shared" si="133"/>
        <v>0</v>
      </c>
      <c r="AL142">
        <f t="shared" si="134"/>
        <v>0</v>
      </c>
      <c r="AM142">
        <f t="shared" si="135"/>
        <v>0</v>
      </c>
      <c r="AN142">
        <f t="shared" si="136"/>
        <v>0</v>
      </c>
      <c r="AO142">
        <f t="shared" si="137"/>
        <v>0</v>
      </c>
      <c r="AP142">
        <f t="shared" si="138"/>
        <v>0</v>
      </c>
      <c r="AQ142">
        <f t="shared" si="139"/>
        <v>0</v>
      </c>
      <c r="AR142">
        <f t="shared" si="140"/>
        <v>0</v>
      </c>
      <c r="AS142">
        <f t="shared" si="141"/>
        <v>0</v>
      </c>
      <c r="AT142">
        <f t="shared" si="142"/>
        <v>0</v>
      </c>
      <c r="AU142">
        <f t="shared" si="143"/>
        <v>0</v>
      </c>
      <c r="AV142">
        <f t="shared" si="144"/>
        <v>0</v>
      </c>
      <c r="AW142">
        <f t="shared" si="98"/>
        <v>0</v>
      </c>
      <c r="AX142">
        <f t="shared" si="145"/>
        <v>0</v>
      </c>
      <c r="AY142">
        <f t="shared" si="146"/>
        <v>0</v>
      </c>
    </row>
    <row r="143" spans="1:51" x14ac:dyDescent="0.35">
      <c r="A143">
        <v>137</v>
      </c>
      <c r="C143">
        <f t="shared" si="99"/>
        <v>0</v>
      </c>
      <c r="D143">
        <f t="shared" si="100"/>
        <v>0</v>
      </c>
      <c r="E143">
        <f t="shared" si="101"/>
        <v>0</v>
      </c>
      <c r="F143">
        <f t="shared" si="102"/>
        <v>0</v>
      </c>
      <c r="G143">
        <f t="shared" si="103"/>
        <v>0</v>
      </c>
      <c r="H143">
        <f t="shared" si="104"/>
        <v>0</v>
      </c>
      <c r="I143">
        <f t="shared" si="105"/>
        <v>0</v>
      </c>
      <c r="J143">
        <f t="shared" si="106"/>
        <v>0</v>
      </c>
      <c r="K143">
        <f t="shared" si="107"/>
        <v>0</v>
      </c>
      <c r="L143">
        <f t="shared" si="108"/>
        <v>0</v>
      </c>
      <c r="M143">
        <f t="shared" si="109"/>
        <v>0</v>
      </c>
      <c r="N143">
        <f t="shared" si="110"/>
        <v>0</v>
      </c>
      <c r="O143">
        <f t="shared" si="111"/>
        <v>0</v>
      </c>
      <c r="P143">
        <f t="shared" si="112"/>
        <v>0</v>
      </c>
      <c r="Q143">
        <f t="shared" si="113"/>
        <v>0</v>
      </c>
      <c r="R143">
        <f t="shared" si="114"/>
        <v>0</v>
      </c>
      <c r="S143">
        <f t="shared" si="115"/>
        <v>0</v>
      </c>
      <c r="T143">
        <f t="shared" si="116"/>
        <v>0</v>
      </c>
      <c r="U143">
        <f t="shared" si="117"/>
        <v>0</v>
      </c>
      <c r="V143">
        <f t="shared" si="118"/>
        <v>0</v>
      </c>
      <c r="W143">
        <f t="shared" si="119"/>
        <v>0</v>
      </c>
      <c r="X143">
        <f t="shared" si="120"/>
        <v>0</v>
      </c>
      <c r="Y143">
        <f t="shared" si="121"/>
        <v>0</v>
      </c>
      <c r="Z143">
        <f t="shared" si="122"/>
        <v>0</v>
      </c>
      <c r="AA143">
        <f t="shared" si="123"/>
        <v>0</v>
      </c>
      <c r="AB143">
        <f t="shared" si="124"/>
        <v>0</v>
      </c>
      <c r="AC143">
        <f t="shared" si="125"/>
        <v>0</v>
      </c>
      <c r="AD143">
        <f t="shared" si="126"/>
        <v>0</v>
      </c>
      <c r="AE143">
        <f t="shared" si="127"/>
        <v>0</v>
      </c>
      <c r="AF143">
        <f t="shared" si="128"/>
        <v>0</v>
      </c>
      <c r="AG143">
        <f t="shared" si="129"/>
        <v>0</v>
      </c>
      <c r="AH143">
        <f t="shared" si="130"/>
        <v>0</v>
      </c>
      <c r="AI143">
        <f t="shared" si="131"/>
        <v>0</v>
      </c>
      <c r="AJ143">
        <f t="shared" si="132"/>
        <v>0</v>
      </c>
      <c r="AK143">
        <f t="shared" si="133"/>
        <v>0</v>
      </c>
      <c r="AL143">
        <f t="shared" si="134"/>
        <v>0</v>
      </c>
      <c r="AM143">
        <f t="shared" si="135"/>
        <v>0</v>
      </c>
      <c r="AN143">
        <f t="shared" si="136"/>
        <v>0</v>
      </c>
      <c r="AO143">
        <f t="shared" si="137"/>
        <v>0</v>
      </c>
      <c r="AP143">
        <f t="shared" si="138"/>
        <v>0</v>
      </c>
      <c r="AQ143">
        <f t="shared" si="139"/>
        <v>0</v>
      </c>
      <c r="AR143">
        <f t="shared" si="140"/>
        <v>0</v>
      </c>
      <c r="AS143">
        <f t="shared" si="141"/>
        <v>0</v>
      </c>
      <c r="AT143">
        <f t="shared" si="142"/>
        <v>0</v>
      </c>
      <c r="AU143">
        <f t="shared" si="143"/>
        <v>0</v>
      </c>
      <c r="AV143">
        <f t="shared" si="144"/>
        <v>0</v>
      </c>
      <c r="AW143">
        <f t="shared" si="98"/>
        <v>0</v>
      </c>
      <c r="AX143">
        <f t="shared" si="145"/>
        <v>0</v>
      </c>
      <c r="AY143">
        <f t="shared" si="146"/>
        <v>0</v>
      </c>
    </row>
    <row r="144" spans="1:51" x14ac:dyDescent="0.35">
      <c r="A144">
        <v>138</v>
      </c>
      <c r="C144">
        <f t="shared" si="99"/>
        <v>0</v>
      </c>
      <c r="D144">
        <f t="shared" si="100"/>
        <v>0</v>
      </c>
      <c r="E144">
        <f t="shared" si="101"/>
        <v>0</v>
      </c>
      <c r="F144">
        <f t="shared" si="102"/>
        <v>0</v>
      </c>
      <c r="G144">
        <f t="shared" si="103"/>
        <v>0</v>
      </c>
      <c r="H144">
        <f t="shared" si="104"/>
        <v>0</v>
      </c>
      <c r="I144">
        <f t="shared" si="105"/>
        <v>0</v>
      </c>
      <c r="J144">
        <f t="shared" si="106"/>
        <v>0</v>
      </c>
      <c r="K144">
        <f t="shared" si="107"/>
        <v>0</v>
      </c>
      <c r="L144">
        <f t="shared" si="108"/>
        <v>0</v>
      </c>
      <c r="M144">
        <f t="shared" si="109"/>
        <v>0</v>
      </c>
      <c r="N144">
        <f t="shared" si="110"/>
        <v>0</v>
      </c>
      <c r="O144">
        <f t="shared" si="111"/>
        <v>0</v>
      </c>
      <c r="P144">
        <f t="shared" si="112"/>
        <v>0</v>
      </c>
      <c r="Q144">
        <f t="shared" si="113"/>
        <v>0</v>
      </c>
      <c r="R144">
        <f t="shared" si="114"/>
        <v>0</v>
      </c>
      <c r="S144">
        <f t="shared" si="115"/>
        <v>0</v>
      </c>
      <c r="T144">
        <f t="shared" si="116"/>
        <v>0</v>
      </c>
      <c r="U144">
        <f t="shared" si="117"/>
        <v>0</v>
      </c>
      <c r="V144">
        <f t="shared" si="118"/>
        <v>0</v>
      </c>
      <c r="W144">
        <f t="shared" si="119"/>
        <v>0</v>
      </c>
      <c r="X144">
        <f t="shared" si="120"/>
        <v>0</v>
      </c>
      <c r="Y144">
        <f t="shared" si="121"/>
        <v>0</v>
      </c>
      <c r="Z144">
        <f t="shared" si="122"/>
        <v>0</v>
      </c>
      <c r="AA144">
        <f t="shared" si="123"/>
        <v>0</v>
      </c>
      <c r="AB144">
        <f t="shared" si="124"/>
        <v>0</v>
      </c>
      <c r="AC144">
        <f t="shared" si="125"/>
        <v>0</v>
      </c>
      <c r="AD144">
        <f t="shared" si="126"/>
        <v>0</v>
      </c>
      <c r="AE144">
        <f t="shared" si="127"/>
        <v>0</v>
      </c>
      <c r="AF144">
        <f t="shared" si="128"/>
        <v>0</v>
      </c>
      <c r="AG144">
        <f t="shared" si="129"/>
        <v>0</v>
      </c>
      <c r="AH144">
        <f t="shared" si="130"/>
        <v>0</v>
      </c>
      <c r="AI144">
        <f t="shared" si="131"/>
        <v>0</v>
      </c>
      <c r="AJ144">
        <f t="shared" si="132"/>
        <v>0</v>
      </c>
      <c r="AK144">
        <f t="shared" si="133"/>
        <v>0</v>
      </c>
      <c r="AL144">
        <f t="shared" si="134"/>
        <v>0</v>
      </c>
      <c r="AM144">
        <f t="shared" si="135"/>
        <v>0</v>
      </c>
      <c r="AN144">
        <f t="shared" si="136"/>
        <v>0</v>
      </c>
      <c r="AO144">
        <f t="shared" si="137"/>
        <v>0</v>
      </c>
      <c r="AP144">
        <f t="shared" si="138"/>
        <v>0</v>
      </c>
      <c r="AQ144">
        <f t="shared" si="139"/>
        <v>0</v>
      </c>
      <c r="AR144">
        <f t="shared" si="140"/>
        <v>0</v>
      </c>
      <c r="AS144">
        <f t="shared" si="141"/>
        <v>0</v>
      </c>
      <c r="AT144">
        <f t="shared" si="142"/>
        <v>0</v>
      </c>
      <c r="AU144">
        <f t="shared" si="143"/>
        <v>0</v>
      </c>
      <c r="AV144">
        <f t="shared" si="144"/>
        <v>0</v>
      </c>
      <c r="AW144">
        <f t="shared" si="98"/>
        <v>0</v>
      </c>
      <c r="AX144">
        <f t="shared" si="145"/>
        <v>0</v>
      </c>
      <c r="AY144">
        <f t="shared" si="146"/>
        <v>0</v>
      </c>
    </row>
    <row r="145" spans="1:51" x14ac:dyDescent="0.35">
      <c r="A145">
        <v>139</v>
      </c>
      <c r="C145">
        <f t="shared" si="99"/>
        <v>0</v>
      </c>
      <c r="D145">
        <f t="shared" si="100"/>
        <v>0</v>
      </c>
      <c r="E145">
        <f t="shared" si="101"/>
        <v>0</v>
      </c>
      <c r="F145">
        <f t="shared" si="102"/>
        <v>0</v>
      </c>
      <c r="G145">
        <f t="shared" si="103"/>
        <v>0</v>
      </c>
      <c r="H145">
        <f t="shared" si="104"/>
        <v>0</v>
      </c>
      <c r="I145">
        <f t="shared" si="105"/>
        <v>0</v>
      </c>
      <c r="J145">
        <f t="shared" si="106"/>
        <v>0</v>
      </c>
      <c r="K145">
        <f t="shared" si="107"/>
        <v>0</v>
      </c>
      <c r="L145">
        <f t="shared" si="108"/>
        <v>0</v>
      </c>
      <c r="M145">
        <f t="shared" si="109"/>
        <v>0</v>
      </c>
      <c r="N145">
        <f t="shared" si="110"/>
        <v>0</v>
      </c>
      <c r="O145">
        <f t="shared" si="111"/>
        <v>0</v>
      </c>
      <c r="P145">
        <f t="shared" si="112"/>
        <v>0</v>
      </c>
      <c r="Q145">
        <f t="shared" si="113"/>
        <v>0</v>
      </c>
      <c r="R145">
        <f t="shared" si="114"/>
        <v>0</v>
      </c>
      <c r="S145">
        <f t="shared" si="115"/>
        <v>0</v>
      </c>
      <c r="T145">
        <f t="shared" si="116"/>
        <v>0</v>
      </c>
      <c r="U145">
        <f t="shared" si="117"/>
        <v>0</v>
      </c>
      <c r="V145">
        <f t="shared" si="118"/>
        <v>0</v>
      </c>
      <c r="W145">
        <f t="shared" si="119"/>
        <v>0</v>
      </c>
      <c r="X145">
        <f t="shared" si="120"/>
        <v>0</v>
      </c>
      <c r="Y145">
        <f t="shared" si="121"/>
        <v>0</v>
      </c>
      <c r="Z145">
        <f t="shared" si="122"/>
        <v>0</v>
      </c>
      <c r="AA145">
        <f t="shared" si="123"/>
        <v>0</v>
      </c>
      <c r="AB145">
        <f t="shared" si="124"/>
        <v>0</v>
      </c>
      <c r="AC145">
        <f t="shared" si="125"/>
        <v>0</v>
      </c>
      <c r="AD145">
        <f t="shared" si="126"/>
        <v>0</v>
      </c>
      <c r="AE145">
        <f t="shared" si="127"/>
        <v>0</v>
      </c>
      <c r="AF145">
        <f t="shared" si="128"/>
        <v>0</v>
      </c>
      <c r="AG145">
        <f t="shared" si="129"/>
        <v>0</v>
      </c>
      <c r="AH145">
        <f t="shared" si="130"/>
        <v>0</v>
      </c>
      <c r="AI145">
        <f t="shared" si="131"/>
        <v>0</v>
      </c>
      <c r="AJ145">
        <f t="shared" si="132"/>
        <v>0</v>
      </c>
      <c r="AK145">
        <f t="shared" si="133"/>
        <v>0</v>
      </c>
      <c r="AL145">
        <f t="shared" si="134"/>
        <v>0</v>
      </c>
      <c r="AM145">
        <f t="shared" si="135"/>
        <v>0</v>
      </c>
      <c r="AN145">
        <f t="shared" si="136"/>
        <v>0</v>
      </c>
      <c r="AO145">
        <f t="shared" si="137"/>
        <v>0</v>
      </c>
      <c r="AP145">
        <f t="shared" si="138"/>
        <v>0</v>
      </c>
      <c r="AQ145">
        <f t="shared" si="139"/>
        <v>0</v>
      </c>
      <c r="AR145">
        <f t="shared" si="140"/>
        <v>0</v>
      </c>
      <c r="AS145">
        <f t="shared" si="141"/>
        <v>0</v>
      </c>
      <c r="AT145">
        <f t="shared" si="142"/>
        <v>0</v>
      </c>
      <c r="AU145">
        <f t="shared" si="143"/>
        <v>0</v>
      </c>
      <c r="AV145">
        <f t="shared" si="144"/>
        <v>0</v>
      </c>
      <c r="AW145">
        <f t="shared" si="98"/>
        <v>0</v>
      </c>
      <c r="AX145">
        <f t="shared" si="145"/>
        <v>0</v>
      </c>
      <c r="AY145">
        <f t="shared" si="146"/>
        <v>0</v>
      </c>
    </row>
    <row r="146" spans="1:51" x14ac:dyDescent="0.35">
      <c r="A146">
        <v>140</v>
      </c>
      <c r="C146">
        <f t="shared" si="99"/>
        <v>0</v>
      </c>
      <c r="D146">
        <f t="shared" si="100"/>
        <v>0</v>
      </c>
      <c r="E146">
        <f t="shared" si="101"/>
        <v>0</v>
      </c>
      <c r="F146">
        <f t="shared" si="102"/>
        <v>0</v>
      </c>
      <c r="G146">
        <f t="shared" si="103"/>
        <v>0</v>
      </c>
      <c r="H146">
        <f t="shared" si="104"/>
        <v>0</v>
      </c>
      <c r="I146">
        <f t="shared" si="105"/>
        <v>0</v>
      </c>
      <c r="J146">
        <f t="shared" si="106"/>
        <v>0</v>
      </c>
      <c r="K146">
        <f t="shared" si="107"/>
        <v>0</v>
      </c>
      <c r="L146">
        <f t="shared" si="108"/>
        <v>0</v>
      </c>
      <c r="M146">
        <f t="shared" si="109"/>
        <v>0</v>
      </c>
      <c r="N146">
        <f t="shared" si="110"/>
        <v>0</v>
      </c>
      <c r="O146">
        <f t="shared" si="111"/>
        <v>0</v>
      </c>
      <c r="P146">
        <f t="shared" si="112"/>
        <v>0</v>
      </c>
      <c r="Q146">
        <f t="shared" si="113"/>
        <v>0</v>
      </c>
      <c r="R146">
        <f t="shared" si="114"/>
        <v>0</v>
      </c>
      <c r="S146">
        <f t="shared" si="115"/>
        <v>0</v>
      </c>
      <c r="T146">
        <f t="shared" si="116"/>
        <v>0</v>
      </c>
      <c r="U146">
        <f t="shared" si="117"/>
        <v>0</v>
      </c>
      <c r="V146">
        <f t="shared" si="118"/>
        <v>0</v>
      </c>
      <c r="W146">
        <f t="shared" si="119"/>
        <v>0</v>
      </c>
      <c r="X146">
        <f t="shared" si="120"/>
        <v>0</v>
      </c>
      <c r="Y146">
        <f t="shared" si="121"/>
        <v>0</v>
      </c>
      <c r="Z146">
        <f t="shared" si="122"/>
        <v>0</v>
      </c>
      <c r="AA146">
        <f t="shared" si="123"/>
        <v>0</v>
      </c>
      <c r="AB146">
        <f t="shared" si="124"/>
        <v>0</v>
      </c>
      <c r="AC146">
        <f t="shared" si="125"/>
        <v>0</v>
      </c>
      <c r="AD146">
        <f t="shared" si="126"/>
        <v>0</v>
      </c>
      <c r="AE146">
        <f t="shared" si="127"/>
        <v>0</v>
      </c>
      <c r="AF146">
        <f t="shared" si="128"/>
        <v>0</v>
      </c>
      <c r="AG146">
        <f t="shared" si="129"/>
        <v>0</v>
      </c>
      <c r="AH146">
        <f t="shared" si="130"/>
        <v>0</v>
      </c>
      <c r="AI146">
        <f t="shared" si="131"/>
        <v>0</v>
      </c>
      <c r="AJ146">
        <f t="shared" si="132"/>
        <v>0</v>
      </c>
      <c r="AK146">
        <f t="shared" si="133"/>
        <v>0</v>
      </c>
      <c r="AL146">
        <f t="shared" si="134"/>
        <v>0</v>
      </c>
      <c r="AM146">
        <f t="shared" si="135"/>
        <v>0</v>
      </c>
      <c r="AN146">
        <f t="shared" si="136"/>
        <v>0</v>
      </c>
      <c r="AO146">
        <f t="shared" si="137"/>
        <v>0</v>
      </c>
      <c r="AP146">
        <f t="shared" si="138"/>
        <v>0</v>
      </c>
      <c r="AQ146">
        <f t="shared" si="139"/>
        <v>0</v>
      </c>
      <c r="AR146">
        <f t="shared" si="140"/>
        <v>0</v>
      </c>
      <c r="AS146">
        <f t="shared" si="141"/>
        <v>0</v>
      </c>
      <c r="AT146">
        <f t="shared" si="142"/>
        <v>0</v>
      </c>
      <c r="AU146">
        <f t="shared" si="143"/>
        <v>0</v>
      </c>
      <c r="AV146">
        <f t="shared" si="144"/>
        <v>0</v>
      </c>
      <c r="AW146">
        <f t="shared" si="98"/>
        <v>0</v>
      </c>
      <c r="AX146">
        <f t="shared" si="145"/>
        <v>0</v>
      </c>
      <c r="AY146">
        <f t="shared" si="146"/>
        <v>0</v>
      </c>
    </row>
    <row r="147" spans="1:51" x14ac:dyDescent="0.35">
      <c r="A147">
        <v>141</v>
      </c>
      <c r="C147">
        <f t="shared" si="99"/>
        <v>0</v>
      </c>
      <c r="D147">
        <f t="shared" si="100"/>
        <v>0</v>
      </c>
      <c r="E147">
        <f t="shared" si="101"/>
        <v>0</v>
      </c>
      <c r="F147">
        <f t="shared" si="102"/>
        <v>0</v>
      </c>
      <c r="G147">
        <f t="shared" si="103"/>
        <v>0</v>
      </c>
      <c r="H147">
        <f t="shared" si="104"/>
        <v>0</v>
      </c>
      <c r="I147">
        <f t="shared" si="105"/>
        <v>0</v>
      </c>
      <c r="J147">
        <f t="shared" si="106"/>
        <v>0</v>
      </c>
      <c r="K147">
        <f t="shared" si="107"/>
        <v>0</v>
      </c>
      <c r="L147">
        <f t="shared" si="108"/>
        <v>0</v>
      </c>
      <c r="M147">
        <f t="shared" si="109"/>
        <v>0</v>
      </c>
      <c r="N147">
        <f t="shared" si="110"/>
        <v>0</v>
      </c>
      <c r="O147">
        <f t="shared" si="111"/>
        <v>0</v>
      </c>
      <c r="P147">
        <f t="shared" si="112"/>
        <v>0</v>
      </c>
      <c r="Q147">
        <f t="shared" si="113"/>
        <v>0</v>
      </c>
      <c r="R147">
        <f t="shared" si="114"/>
        <v>0</v>
      </c>
      <c r="S147">
        <f t="shared" si="115"/>
        <v>0</v>
      </c>
      <c r="T147">
        <f t="shared" si="116"/>
        <v>0</v>
      </c>
      <c r="U147">
        <f t="shared" si="117"/>
        <v>0</v>
      </c>
      <c r="V147">
        <f t="shared" si="118"/>
        <v>0</v>
      </c>
      <c r="W147">
        <f t="shared" si="119"/>
        <v>0</v>
      </c>
      <c r="X147">
        <f t="shared" si="120"/>
        <v>0</v>
      </c>
      <c r="Y147">
        <f t="shared" si="121"/>
        <v>0</v>
      </c>
      <c r="Z147">
        <f t="shared" si="122"/>
        <v>0</v>
      </c>
      <c r="AA147">
        <f t="shared" si="123"/>
        <v>0</v>
      </c>
      <c r="AB147">
        <f t="shared" si="124"/>
        <v>0</v>
      </c>
      <c r="AC147">
        <f t="shared" si="125"/>
        <v>0</v>
      </c>
      <c r="AD147">
        <f t="shared" si="126"/>
        <v>0</v>
      </c>
      <c r="AE147">
        <f t="shared" si="127"/>
        <v>0</v>
      </c>
      <c r="AF147">
        <f t="shared" si="128"/>
        <v>0</v>
      </c>
      <c r="AG147">
        <f t="shared" si="129"/>
        <v>0</v>
      </c>
      <c r="AH147">
        <f t="shared" si="130"/>
        <v>0</v>
      </c>
      <c r="AI147">
        <f t="shared" si="131"/>
        <v>0</v>
      </c>
      <c r="AJ147">
        <f t="shared" si="132"/>
        <v>0</v>
      </c>
      <c r="AK147">
        <f t="shared" si="133"/>
        <v>0</v>
      </c>
      <c r="AL147">
        <f t="shared" si="134"/>
        <v>0</v>
      </c>
      <c r="AM147">
        <f t="shared" si="135"/>
        <v>0</v>
      </c>
      <c r="AN147">
        <f t="shared" si="136"/>
        <v>0</v>
      </c>
      <c r="AO147">
        <f t="shared" si="137"/>
        <v>0</v>
      </c>
      <c r="AP147">
        <f t="shared" si="138"/>
        <v>0</v>
      </c>
      <c r="AQ147">
        <f t="shared" si="139"/>
        <v>0</v>
      </c>
      <c r="AR147">
        <f t="shared" si="140"/>
        <v>0</v>
      </c>
      <c r="AS147">
        <f t="shared" si="141"/>
        <v>0</v>
      </c>
      <c r="AT147">
        <f t="shared" si="142"/>
        <v>0</v>
      </c>
      <c r="AU147">
        <f t="shared" si="143"/>
        <v>0</v>
      </c>
      <c r="AV147">
        <f t="shared" si="144"/>
        <v>0</v>
      </c>
      <c r="AW147">
        <f t="shared" si="98"/>
        <v>0</v>
      </c>
      <c r="AX147">
        <f t="shared" si="145"/>
        <v>0</v>
      </c>
      <c r="AY147">
        <f t="shared" si="146"/>
        <v>0</v>
      </c>
    </row>
    <row r="148" spans="1:51" x14ac:dyDescent="0.35">
      <c r="A148">
        <v>142</v>
      </c>
      <c r="C148">
        <f t="shared" si="99"/>
        <v>0</v>
      </c>
      <c r="D148">
        <f t="shared" si="100"/>
        <v>0</v>
      </c>
      <c r="E148">
        <f t="shared" si="101"/>
        <v>0</v>
      </c>
      <c r="F148">
        <f t="shared" si="102"/>
        <v>0</v>
      </c>
      <c r="G148">
        <f t="shared" si="103"/>
        <v>0</v>
      </c>
      <c r="H148">
        <f t="shared" si="104"/>
        <v>0</v>
      </c>
      <c r="I148">
        <f t="shared" si="105"/>
        <v>0</v>
      </c>
      <c r="J148">
        <f t="shared" si="106"/>
        <v>0</v>
      </c>
      <c r="K148">
        <f t="shared" si="107"/>
        <v>0</v>
      </c>
      <c r="L148">
        <f t="shared" si="108"/>
        <v>0</v>
      </c>
      <c r="M148">
        <f t="shared" si="109"/>
        <v>0</v>
      </c>
      <c r="N148">
        <f t="shared" si="110"/>
        <v>0</v>
      </c>
      <c r="O148">
        <f t="shared" si="111"/>
        <v>0</v>
      </c>
      <c r="P148">
        <f t="shared" si="112"/>
        <v>0</v>
      </c>
      <c r="Q148">
        <f t="shared" si="113"/>
        <v>0</v>
      </c>
      <c r="R148">
        <f t="shared" si="114"/>
        <v>0</v>
      </c>
      <c r="S148">
        <f t="shared" si="115"/>
        <v>0</v>
      </c>
      <c r="T148">
        <f t="shared" si="116"/>
        <v>0</v>
      </c>
      <c r="U148">
        <f t="shared" si="117"/>
        <v>0</v>
      </c>
      <c r="V148">
        <f t="shared" si="118"/>
        <v>0</v>
      </c>
      <c r="W148">
        <f t="shared" si="119"/>
        <v>0</v>
      </c>
      <c r="X148">
        <f t="shared" si="120"/>
        <v>0</v>
      </c>
      <c r="Y148">
        <f t="shared" si="121"/>
        <v>0</v>
      </c>
      <c r="Z148">
        <f t="shared" si="122"/>
        <v>0</v>
      </c>
      <c r="AA148">
        <f t="shared" si="123"/>
        <v>0</v>
      </c>
      <c r="AB148">
        <f t="shared" si="124"/>
        <v>0</v>
      </c>
      <c r="AC148">
        <f t="shared" si="125"/>
        <v>0</v>
      </c>
      <c r="AD148">
        <f t="shared" si="126"/>
        <v>0</v>
      </c>
      <c r="AE148">
        <f t="shared" si="127"/>
        <v>0</v>
      </c>
      <c r="AF148">
        <f t="shared" si="128"/>
        <v>0</v>
      </c>
      <c r="AG148">
        <f t="shared" si="129"/>
        <v>0</v>
      </c>
      <c r="AH148">
        <f t="shared" si="130"/>
        <v>0</v>
      </c>
      <c r="AI148">
        <f t="shared" si="131"/>
        <v>0</v>
      </c>
      <c r="AJ148">
        <f t="shared" si="132"/>
        <v>0</v>
      </c>
      <c r="AK148">
        <f t="shared" si="133"/>
        <v>0</v>
      </c>
      <c r="AL148">
        <f t="shared" si="134"/>
        <v>0</v>
      </c>
      <c r="AM148">
        <f t="shared" si="135"/>
        <v>0</v>
      </c>
      <c r="AN148">
        <f t="shared" si="136"/>
        <v>0</v>
      </c>
      <c r="AO148">
        <f t="shared" si="137"/>
        <v>0</v>
      </c>
      <c r="AP148">
        <f t="shared" si="138"/>
        <v>0</v>
      </c>
      <c r="AQ148">
        <f t="shared" si="139"/>
        <v>0</v>
      </c>
      <c r="AR148">
        <f t="shared" si="140"/>
        <v>0</v>
      </c>
      <c r="AS148">
        <f t="shared" si="141"/>
        <v>0</v>
      </c>
      <c r="AT148">
        <f t="shared" si="142"/>
        <v>0</v>
      </c>
      <c r="AU148">
        <f t="shared" si="143"/>
        <v>0</v>
      </c>
      <c r="AV148">
        <f t="shared" si="144"/>
        <v>0</v>
      </c>
      <c r="AW148">
        <f t="shared" si="98"/>
        <v>0</v>
      </c>
      <c r="AX148">
        <f t="shared" si="145"/>
        <v>0</v>
      </c>
      <c r="AY148">
        <f t="shared" si="146"/>
        <v>0</v>
      </c>
    </row>
    <row r="149" spans="1:51" x14ac:dyDescent="0.35">
      <c r="A149">
        <v>143</v>
      </c>
      <c r="C149">
        <f t="shared" si="99"/>
        <v>0</v>
      </c>
      <c r="D149">
        <f t="shared" si="100"/>
        <v>0</v>
      </c>
      <c r="E149">
        <f t="shared" si="101"/>
        <v>0</v>
      </c>
      <c r="F149">
        <f t="shared" si="102"/>
        <v>0</v>
      </c>
      <c r="G149">
        <f t="shared" si="103"/>
        <v>0</v>
      </c>
      <c r="H149">
        <f t="shared" si="104"/>
        <v>0</v>
      </c>
      <c r="I149">
        <f t="shared" si="105"/>
        <v>0</v>
      </c>
      <c r="J149">
        <f t="shared" si="106"/>
        <v>0</v>
      </c>
      <c r="K149">
        <f t="shared" si="107"/>
        <v>0</v>
      </c>
      <c r="L149">
        <f t="shared" si="108"/>
        <v>0</v>
      </c>
      <c r="M149">
        <f t="shared" si="109"/>
        <v>0</v>
      </c>
      <c r="N149">
        <f t="shared" si="110"/>
        <v>0</v>
      </c>
      <c r="O149">
        <f t="shared" si="111"/>
        <v>0</v>
      </c>
      <c r="P149">
        <f t="shared" si="112"/>
        <v>0</v>
      </c>
      <c r="Q149">
        <f t="shared" si="113"/>
        <v>0</v>
      </c>
      <c r="R149">
        <f t="shared" si="114"/>
        <v>0</v>
      </c>
      <c r="S149">
        <f t="shared" si="115"/>
        <v>0</v>
      </c>
      <c r="T149">
        <f t="shared" si="116"/>
        <v>0</v>
      </c>
      <c r="U149">
        <f t="shared" si="117"/>
        <v>0</v>
      </c>
      <c r="V149">
        <f t="shared" si="118"/>
        <v>0</v>
      </c>
      <c r="W149">
        <f t="shared" si="119"/>
        <v>0</v>
      </c>
      <c r="X149">
        <f t="shared" si="120"/>
        <v>0</v>
      </c>
      <c r="Y149">
        <f t="shared" si="121"/>
        <v>0</v>
      </c>
      <c r="Z149">
        <f t="shared" si="122"/>
        <v>0</v>
      </c>
      <c r="AA149">
        <f t="shared" si="123"/>
        <v>0</v>
      </c>
      <c r="AB149">
        <f t="shared" si="124"/>
        <v>0</v>
      </c>
      <c r="AC149">
        <f t="shared" si="125"/>
        <v>0</v>
      </c>
      <c r="AD149">
        <f t="shared" si="126"/>
        <v>0</v>
      </c>
      <c r="AE149">
        <f t="shared" si="127"/>
        <v>0</v>
      </c>
      <c r="AF149">
        <f t="shared" si="128"/>
        <v>0</v>
      </c>
      <c r="AG149">
        <f t="shared" si="129"/>
        <v>0</v>
      </c>
      <c r="AH149">
        <f t="shared" si="130"/>
        <v>0</v>
      </c>
      <c r="AI149">
        <f t="shared" si="131"/>
        <v>0</v>
      </c>
      <c r="AJ149">
        <f t="shared" si="132"/>
        <v>0</v>
      </c>
      <c r="AK149">
        <f t="shared" si="133"/>
        <v>0</v>
      </c>
      <c r="AL149">
        <f t="shared" si="134"/>
        <v>0</v>
      </c>
      <c r="AM149">
        <f t="shared" si="135"/>
        <v>0</v>
      </c>
      <c r="AN149">
        <f t="shared" si="136"/>
        <v>0</v>
      </c>
      <c r="AO149">
        <f t="shared" si="137"/>
        <v>0</v>
      </c>
      <c r="AP149">
        <f t="shared" si="138"/>
        <v>0</v>
      </c>
      <c r="AQ149">
        <f t="shared" si="139"/>
        <v>0</v>
      </c>
      <c r="AR149">
        <f t="shared" si="140"/>
        <v>0</v>
      </c>
      <c r="AS149">
        <f t="shared" si="141"/>
        <v>0</v>
      </c>
      <c r="AT149">
        <f t="shared" si="142"/>
        <v>0</v>
      </c>
      <c r="AU149">
        <f t="shared" si="143"/>
        <v>0</v>
      </c>
      <c r="AV149">
        <f t="shared" si="144"/>
        <v>0</v>
      </c>
      <c r="AW149">
        <f t="shared" si="98"/>
        <v>0</v>
      </c>
      <c r="AX149">
        <f t="shared" si="145"/>
        <v>0</v>
      </c>
      <c r="AY149">
        <f t="shared" si="146"/>
        <v>0</v>
      </c>
    </row>
    <row r="150" spans="1:51" x14ac:dyDescent="0.35">
      <c r="A150">
        <v>144</v>
      </c>
      <c r="C150">
        <f t="shared" si="99"/>
        <v>0</v>
      </c>
      <c r="D150">
        <f t="shared" si="100"/>
        <v>0</v>
      </c>
      <c r="E150">
        <f t="shared" si="101"/>
        <v>0</v>
      </c>
      <c r="F150">
        <f t="shared" si="102"/>
        <v>0</v>
      </c>
      <c r="G150">
        <f t="shared" si="103"/>
        <v>0</v>
      </c>
      <c r="H150">
        <f t="shared" si="104"/>
        <v>0</v>
      </c>
      <c r="I150">
        <f t="shared" si="105"/>
        <v>0</v>
      </c>
      <c r="J150">
        <f t="shared" si="106"/>
        <v>0</v>
      </c>
      <c r="K150">
        <f t="shared" si="107"/>
        <v>0</v>
      </c>
      <c r="L150">
        <f t="shared" si="108"/>
        <v>0</v>
      </c>
      <c r="M150">
        <f t="shared" si="109"/>
        <v>0</v>
      </c>
      <c r="N150">
        <f t="shared" si="110"/>
        <v>0</v>
      </c>
      <c r="O150">
        <f t="shared" si="111"/>
        <v>0</v>
      </c>
      <c r="P150">
        <f t="shared" si="112"/>
        <v>0</v>
      </c>
      <c r="Q150">
        <f t="shared" si="113"/>
        <v>0</v>
      </c>
      <c r="R150">
        <f t="shared" si="114"/>
        <v>0</v>
      </c>
      <c r="S150">
        <f t="shared" si="115"/>
        <v>0</v>
      </c>
      <c r="T150">
        <f t="shared" si="116"/>
        <v>0</v>
      </c>
      <c r="U150">
        <f t="shared" si="117"/>
        <v>0</v>
      </c>
      <c r="V150">
        <f t="shared" si="118"/>
        <v>0</v>
      </c>
      <c r="W150">
        <f t="shared" si="119"/>
        <v>0</v>
      </c>
      <c r="X150">
        <f t="shared" si="120"/>
        <v>0</v>
      </c>
      <c r="Y150">
        <f t="shared" si="121"/>
        <v>0</v>
      </c>
      <c r="Z150">
        <f t="shared" si="122"/>
        <v>0</v>
      </c>
      <c r="AA150">
        <f t="shared" si="123"/>
        <v>0</v>
      </c>
      <c r="AB150">
        <f t="shared" si="124"/>
        <v>0</v>
      </c>
      <c r="AC150">
        <f t="shared" si="125"/>
        <v>0</v>
      </c>
      <c r="AD150">
        <f t="shared" si="126"/>
        <v>0</v>
      </c>
      <c r="AE150">
        <f t="shared" si="127"/>
        <v>0</v>
      </c>
      <c r="AF150">
        <f t="shared" si="128"/>
        <v>0</v>
      </c>
      <c r="AG150">
        <f t="shared" si="129"/>
        <v>0</v>
      </c>
      <c r="AH150">
        <f t="shared" si="130"/>
        <v>0</v>
      </c>
      <c r="AI150">
        <f t="shared" si="131"/>
        <v>0</v>
      </c>
      <c r="AJ150">
        <f t="shared" si="132"/>
        <v>0</v>
      </c>
      <c r="AK150">
        <f t="shared" si="133"/>
        <v>0</v>
      </c>
      <c r="AL150">
        <f t="shared" si="134"/>
        <v>0</v>
      </c>
      <c r="AM150">
        <f t="shared" si="135"/>
        <v>0</v>
      </c>
      <c r="AN150">
        <f t="shared" si="136"/>
        <v>0</v>
      </c>
      <c r="AO150">
        <f t="shared" si="137"/>
        <v>0</v>
      </c>
      <c r="AP150">
        <f t="shared" si="138"/>
        <v>0</v>
      </c>
      <c r="AQ150">
        <f t="shared" si="139"/>
        <v>0</v>
      </c>
      <c r="AR150">
        <f t="shared" si="140"/>
        <v>0</v>
      </c>
      <c r="AS150">
        <f t="shared" si="141"/>
        <v>0</v>
      </c>
      <c r="AT150">
        <f t="shared" si="142"/>
        <v>0</v>
      </c>
      <c r="AU150">
        <f t="shared" si="143"/>
        <v>0</v>
      </c>
      <c r="AV150">
        <f t="shared" si="144"/>
        <v>0</v>
      </c>
      <c r="AW150">
        <f t="shared" si="98"/>
        <v>0</v>
      </c>
      <c r="AX150">
        <f t="shared" si="145"/>
        <v>0</v>
      </c>
      <c r="AY150">
        <f t="shared" si="146"/>
        <v>0</v>
      </c>
    </row>
    <row r="151" spans="1:51" x14ac:dyDescent="0.35">
      <c r="A151">
        <v>145</v>
      </c>
      <c r="C151">
        <f t="shared" si="99"/>
        <v>0</v>
      </c>
      <c r="D151">
        <f t="shared" si="100"/>
        <v>0</v>
      </c>
      <c r="E151">
        <f t="shared" si="101"/>
        <v>0</v>
      </c>
      <c r="F151">
        <f t="shared" si="102"/>
        <v>0</v>
      </c>
      <c r="G151">
        <f t="shared" si="103"/>
        <v>0</v>
      </c>
      <c r="H151">
        <f t="shared" si="104"/>
        <v>0</v>
      </c>
      <c r="I151">
        <f t="shared" si="105"/>
        <v>0</v>
      </c>
      <c r="J151">
        <f t="shared" si="106"/>
        <v>0</v>
      </c>
      <c r="K151">
        <f t="shared" si="107"/>
        <v>0</v>
      </c>
      <c r="L151">
        <f t="shared" si="108"/>
        <v>0</v>
      </c>
      <c r="M151">
        <f t="shared" si="109"/>
        <v>0</v>
      </c>
      <c r="N151">
        <f t="shared" si="110"/>
        <v>0</v>
      </c>
      <c r="O151">
        <f t="shared" si="111"/>
        <v>0</v>
      </c>
      <c r="P151">
        <f t="shared" si="112"/>
        <v>0</v>
      </c>
      <c r="Q151">
        <f t="shared" si="113"/>
        <v>0</v>
      </c>
      <c r="R151">
        <f t="shared" si="114"/>
        <v>0</v>
      </c>
      <c r="S151">
        <f t="shared" si="115"/>
        <v>0</v>
      </c>
      <c r="T151">
        <f t="shared" si="116"/>
        <v>0</v>
      </c>
      <c r="U151">
        <f t="shared" si="117"/>
        <v>0</v>
      </c>
      <c r="V151">
        <f t="shared" si="118"/>
        <v>0</v>
      </c>
      <c r="W151">
        <f t="shared" si="119"/>
        <v>0</v>
      </c>
      <c r="X151">
        <f t="shared" si="120"/>
        <v>0</v>
      </c>
      <c r="Y151">
        <f t="shared" si="121"/>
        <v>0</v>
      </c>
      <c r="Z151">
        <f t="shared" si="122"/>
        <v>0</v>
      </c>
      <c r="AA151">
        <f t="shared" si="123"/>
        <v>0</v>
      </c>
      <c r="AB151">
        <f t="shared" si="124"/>
        <v>0</v>
      </c>
      <c r="AC151">
        <f t="shared" si="125"/>
        <v>0</v>
      </c>
      <c r="AD151">
        <f t="shared" si="126"/>
        <v>0</v>
      </c>
      <c r="AE151">
        <f t="shared" si="127"/>
        <v>0</v>
      </c>
      <c r="AF151">
        <f t="shared" si="128"/>
        <v>0</v>
      </c>
      <c r="AG151">
        <f t="shared" si="129"/>
        <v>0</v>
      </c>
      <c r="AH151">
        <f t="shared" si="130"/>
        <v>0</v>
      </c>
      <c r="AI151">
        <f t="shared" si="131"/>
        <v>0</v>
      </c>
      <c r="AJ151">
        <f t="shared" si="132"/>
        <v>0</v>
      </c>
      <c r="AK151">
        <f t="shared" si="133"/>
        <v>0</v>
      </c>
      <c r="AL151">
        <f t="shared" si="134"/>
        <v>0</v>
      </c>
      <c r="AM151">
        <f t="shared" si="135"/>
        <v>0</v>
      </c>
      <c r="AN151">
        <f t="shared" si="136"/>
        <v>0</v>
      </c>
      <c r="AO151">
        <f t="shared" si="137"/>
        <v>0</v>
      </c>
      <c r="AP151">
        <f t="shared" si="138"/>
        <v>0</v>
      </c>
      <c r="AQ151">
        <f t="shared" si="139"/>
        <v>0</v>
      </c>
      <c r="AR151">
        <f t="shared" si="140"/>
        <v>0</v>
      </c>
      <c r="AS151">
        <f t="shared" si="141"/>
        <v>0</v>
      </c>
      <c r="AT151">
        <f t="shared" si="142"/>
        <v>0</v>
      </c>
      <c r="AU151">
        <f t="shared" si="143"/>
        <v>0</v>
      </c>
      <c r="AV151">
        <f t="shared" si="144"/>
        <v>0</v>
      </c>
      <c r="AW151">
        <f t="shared" si="98"/>
        <v>0</v>
      </c>
      <c r="AX151">
        <f t="shared" si="145"/>
        <v>0</v>
      </c>
      <c r="AY151">
        <f t="shared" si="146"/>
        <v>0</v>
      </c>
    </row>
    <row r="152" spans="1:51" x14ac:dyDescent="0.35">
      <c r="A152">
        <v>146</v>
      </c>
      <c r="C152">
        <f t="shared" si="99"/>
        <v>0</v>
      </c>
      <c r="D152">
        <f t="shared" si="100"/>
        <v>0</v>
      </c>
      <c r="E152">
        <f t="shared" si="101"/>
        <v>0</v>
      </c>
      <c r="F152">
        <f t="shared" si="102"/>
        <v>0</v>
      </c>
      <c r="G152">
        <f t="shared" si="103"/>
        <v>0</v>
      </c>
      <c r="H152">
        <f t="shared" si="104"/>
        <v>0</v>
      </c>
      <c r="I152">
        <f t="shared" si="105"/>
        <v>0</v>
      </c>
      <c r="J152">
        <f t="shared" si="106"/>
        <v>0</v>
      </c>
      <c r="K152">
        <f t="shared" si="107"/>
        <v>0</v>
      </c>
      <c r="L152">
        <f t="shared" si="108"/>
        <v>0</v>
      </c>
      <c r="M152">
        <f t="shared" si="109"/>
        <v>0</v>
      </c>
      <c r="N152">
        <f t="shared" si="110"/>
        <v>0</v>
      </c>
      <c r="O152">
        <f t="shared" si="111"/>
        <v>0</v>
      </c>
      <c r="P152">
        <f t="shared" si="112"/>
        <v>0</v>
      </c>
      <c r="Q152">
        <f t="shared" si="113"/>
        <v>0</v>
      </c>
      <c r="R152">
        <f t="shared" si="114"/>
        <v>0</v>
      </c>
      <c r="S152">
        <f t="shared" si="115"/>
        <v>0</v>
      </c>
      <c r="T152">
        <f t="shared" si="116"/>
        <v>0</v>
      </c>
      <c r="U152">
        <f t="shared" si="117"/>
        <v>0</v>
      </c>
      <c r="V152">
        <f t="shared" si="118"/>
        <v>0</v>
      </c>
      <c r="W152">
        <f t="shared" si="119"/>
        <v>0</v>
      </c>
      <c r="X152">
        <f t="shared" si="120"/>
        <v>0</v>
      </c>
      <c r="Y152">
        <f t="shared" si="121"/>
        <v>0</v>
      </c>
      <c r="Z152">
        <f t="shared" si="122"/>
        <v>0</v>
      </c>
      <c r="AA152">
        <f t="shared" si="123"/>
        <v>0</v>
      </c>
      <c r="AB152">
        <f t="shared" si="124"/>
        <v>0</v>
      </c>
      <c r="AC152">
        <f t="shared" si="125"/>
        <v>0</v>
      </c>
      <c r="AD152">
        <f t="shared" si="126"/>
        <v>0</v>
      </c>
      <c r="AE152">
        <f t="shared" si="127"/>
        <v>0</v>
      </c>
      <c r="AF152">
        <f t="shared" si="128"/>
        <v>0</v>
      </c>
      <c r="AG152">
        <f t="shared" si="129"/>
        <v>0</v>
      </c>
      <c r="AH152">
        <f t="shared" si="130"/>
        <v>0</v>
      </c>
      <c r="AI152">
        <f t="shared" si="131"/>
        <v>0</v>
      </c>
      <c r="AJ152">
        <f t="shared" si="132"/>
        <v>0</v>
      </c>
      <c r="AK152">
        <f t="shared" si="133"/>
        <v>0</v>
      </c>
      <c r="AL152">
        <f t="shared" si="134"/>
        <v>0</v>
      </c>
      <c r="AM152">
        <f t="shared" si="135"/>
        <v>0</v>
      </c>
      <c r="AN152">
        <f t="shared" si="136"/>
        <v>0</v>
      </c>
      <c r="AO152">
        <f t="shared" si="137"/>
        <v>0</v>
      </c>
      <c r="AP152">
        <f t="shared" si="138"/>
        <v>0</v>
      </c>
      <c r="AQ152">
        <f t="shared" si="139"/>
        <v>0</v>
      </c>
      <c r="AR152">
        <f t="shared" si="140"/>
        <v>0</v>
      </c>
      <c r="AS152">
        <f t="shared" si="141"/>
        <v>0</v>
      </c>
      <c r="AT152">
        <f t="shared" si="142"/>
        <v>0</v>
      </c>
      <c r="AU152">
        <f t="shared" si="143"/>
        <v>0</v>
      </c>
      <c r="AV152">
        <f t="shared" si="144"/>
        <v>0</v>
      </c>
      <c r="AW152">
        <f t="shared" si="98"/>
        <v>0</v>
      </c>
      <c r="AX152">
        <f t="shared" si="145"/>
        <v>0</v>
      </c>
      <c r="AY152">
        <f t="shared" si="146"/>
        <v>0</v>
      </c>
    </row>
    <row r="153" spans="1:51" x14ac:dyDescent="0.35">
      <c r="A153">
        <v>147</v>
      </c>
      <c r="C153">
        <f t="shared" si="99"/>
        <v>0</v>
      </c>
      <c r="D153">
        <f t="shared" si="100"/>
        <v>0</v>
      </c>
      <c r="E153">
        <f t="shared" si="101"/>
        <v>0</v>
      </c>
      <c r="F153">
        <f t="shared" si="102"/>
        <v>0</v>
      </c>
      <c r="G153">
        <f t="shared" si="103"/>
        <v>0</v>
      </c>
      <c r="H153">
        <f t="shared" si="104"/>
        <v>0</v>
      </c>
      <c r="I153">
        <f t="shared" si="105"/>
        <v>0</v>
      </c>
      <c r="J153">
        <f t="shared" si="106"/>
        <v>0</v>
      </c>
      <c r="K153">
        <f t="shared" si="107"/>
        <v>0</v>
      </c>
      <c r="L153">
        <f t="shared" si="108"/>
        <v>0</v>
      </c>
      <c r="M153">
        <f t="shared" si="109"/>
        <v>0</v>
      </c>
      <c r="N153">
        <f t="shared" si="110"/>
        <v>0</v>
      </c>
      <c r="O153">
        <f t="shared" si="111"/>
        <v>0</v>
      </c>
      <c r="P153">
        <f t="shared" si="112"/>
        <v>0</v>
      </c>
      <c r="Q153">
        <f t="shared" si="113"/>
        <v>0</v>
      </c>
      <c r="R153">
        <f t="shared" si="114"/>
        <v>0</v>
      </c>
      <c r="S153">
        <f t="shared" si="115"/>
        <v>0</v>
      </c>
      <c r="T153">
        <f t="shared" si="116"/>
        <v>0</v>
      </c>
      <c r="U153">
        <f t="shared" si="117"/>
        <v>0</v>
      </c>
      <c r="V153">
        <f t="shared" si="118"/>
        <v>0</v>
      </c>
      <c r="W153">
        <f t="shared" si="119"/>
        <v>0</v>
      </c>
      <c r="X153">
        <f t="shared" si="120"/>
        <v>0</v>
      </c>
      <c r="Y153">
        <f t="shared" si="121"/>
        <v>0</v>
      </c>
      <c r="Z153">
        <f t="shared" si="122"/>
        <v>0</v>
      </c>
      <c r="AA153">
        <f t="shared" si="123"/>
        <v>0</v>
      </c>
      <c r="AB153">
        <f t="shared" si="124"/>
        <v>0</v>
      </c>
      <c r="AC153">
        <f t="shared" si="125"/>
        <v>0</v>
      </c>
      <c r="AD153">
        <f t="shared" si="126"/>
        <v>0</v>
      </c>
      <c r="AE153">
        <f t="shared" si="127"/>
        <v>0</v>
      </c>
      <c r="AF153">
        <f t="shared" si="128"/>
        <v>0</v>
      </c>
      <c r="AG153">
        <f t="shared" si="129"/>
        <v>0</v>
      </c>
      <c r="AH153">
        <f t="shared" si="130"/>
        <v>0</v>
      </c>
      <c r="AI153">
        <f t="shared" si="131"/>
        <v>0</v>
      </c>
      <c r="AJ153">
        <f t="shared" si="132"/>
        <v>0</v>
      </c>
      <c r="AK153">
        <f t="shared" si="133"/>
        <v>0</v>
      </c>
      <c r="AL153">
        <f t="shared" si="134"/>
        <v>0</v>
      </c>
      <c r="AM153">
        <f t="shared" si="135"/>
        <v>0</v>
      </c>
      <c r="AN153">
        <f t="shared" si="136"/>
        <v>0</v>
      </c>
      <c r="AO153">
        <f t="shared" si="137"/>
        <v>0</v>
      </c>
      <c r="AP153">
        <f t="shared" si="138"/>
        <v>0</v>
      </c>
      <c r="AQ153">
        <f t="shared" si="139"/>
        <v>0</v>
      </c>
      <c r="AR153">
        <f t="shared" si="140"/>
        <v>0</v>
      </c>
      <c r="AS153">
        <f t="shared" si="141"/>
        <v>0</v>
      </c>
      <c r="AT153">
        <f t="shared" si="142"/>
        <v>0</v>
      </c>
      <c r="AU153">
        <f t="shared" si="143"/>
        <v>0</v>
      </c>
      <c r="AV153">
        <f t="shared" si="144"/>
        <v>0</v>
      </c>
      <c r="AW153">
        <f t="shared" si="98"/>
        <v>0</v>
      </c>
      <c r="AX153">
        <f t="shared" si="145"/>
        <v>0</v>
      </c>
      <c r="AY153">
        <f t="shared" si="146"/>
        <v>0</v>
      </c>
    </row>
    <row r="154" spans="1:51" x14ac:dyDescent="0.35">
      <c r="A154">
        <v>148</v>
      </c>
      <c r="C154">
        <f t="shared" si="99"/>
        <v>0</v>
      </c>
      <c r="D154">
        <f t="shared" si="100"/>
        <v>0</v>
      </c>
      <c r="E154">
        <f t="shared" si="101"/>
        <v>0</v>
      </c>
      <c r="F154">
        <f t="shared" si="102"/>
        <v>0</v>
      </c>
      <c r="G154">
        <f t="shared" si="103"/>
        <v>0</v>
      </c>
      <c r="H154">
        <f t="shared" si="104"/>
        <v>0</v>
      </c>
      <c r="I154">
        <f t="shared" si="105"/>
        <v>0</v>
      </c>
      <c r="J154">
        <f t="shared" si="106"/>
        <v>0</v>
      </c>
      <c r="K154">
        <f t="shared" si="107"/>
        <v>0</v>
      </c>
      <c r="L154">
        <f t="shared" si="108"/>
        <v>0</v>
      </c>
      <c r="M154">
        <f t="shared" si="109"/>
        <v>0</v>
      </c>
      <c r="N154">
        <f t="shared" si="110"/>
        <v>0</v>
      </c>
      <c r="O154">
        <f t="shared" si="111"/>
        <v>0</v>
      </c>
      <c r="P154">
        <f t="shared" si="112"/>
        <v>0</v>
      </c>
      <c r="Q154">
        <f t="shared" si="113"/>
        <v>0</v>
      </c>
      <c r="R154">
        <f t="shared" si="114"/>
        <v>0</v>
      </c>
      <c r="S154">
        <f t="shared" si="115"/>
        <v>0</v>
      </c>
      <c r="T154">
        <f t="shared" si="116"/>
        <v>0</v>
      </c>
      <c r="U154">
        <f t="shared" si="117"/>
        <v>0</v>
      </c>
      <c r="V154">
        <f t="shared" si="118"/>
        <v>0</v>
      </c>
      <c r="W154">
        <f t="shared" si="119"/>
        <v>0</v>
      </c>
      <c r="X154">
        <f t="shared" si="120"/>
        <v>0</v>
      </c>
      <c r="Y154">
        <f t="shared" si="121"/>
        <v>0</v>
      </c>
      <c r="Z154">
        <f t="shared" si="122"/>
        <v>0</v>
      </c>
      <c r="AA154">
        <f t="shared" si="123"/>
        <v>0</v>
      </c>
      <c r="AB154">
        <f t="shared" si="124"/>
        <v>0</v>
      </c>
      <c r="AC154">
        <f t="shared" si="125"/>
        <v>0</v>
      </c>
      <c r="AD154">
        <f t="shared" si="126"/>
        <v>0</v>
      </c>
      <c r="AE154">
        <f t="shared" si="127"/>
        <v>0</v>
      </c>
      <c r="AF154">
        <f t="shared" si="128"/>
        <v>0</v>
      </c>
      <c r="AG154">
        <f t="shared" si="129"/>
        <v>0</v>
      </c>
      <c r="AH154">
        <f t="shared" si="130"/>
        <v>0</v>
      </c>
      <c r="AI154">
        <f t="shared" si="131"/>
        <v>0</v>
      </c>
      <c r="AJ154">
        <f t="shared" si="132"/>
        <v>0</v>
      </c>
      <c r="AK154">
        <f t="shared" si="133"/>
        <v>0</v>
      </c>
      <c r="AL154">
        <f t="shared" si="134"/>
        <v>0</v>
      </c>
      <c r="AM154">
        <f t="shared" si="135"/>
        <v>0</v>
      </c>
      <c r="AN154">
        <f t="shared" si="136"/>
        <v>0</v>
      </c>
      <c r="AO154">
        <f t="shared" si="137"/>
        <v>0</v>
      </c>
      <c r="AP154">
        <f t="shared" si="138"/>
        <v>0</v>
      </c>
      <c r="AQ154">
        <f t="shared" si="139"/>
        <v>0</v>
      </c>
      <c r="AR154">
        <f t="shared" si="140"/>
        <v>0</v>
      </c>
      <c r="AS154">
        <f t="shared" si="141"/>
        <v>0</v>
      </c>
      <c r="AT154">
        <f t="shared" si="142"/>
        <v>0</v>
      </c>
      <c r="AU154">
        <f t="shared" si="143"/>
        <v>0</v>
      </c>
      <c r="AV154">
        <f t="shared" si="144"/>
        <v>0</v>
      </c>
      <c r="AW154">
        <f t="shared" si="98"/>
        <v>0</v>
      </c>
      <c r="AX154">
        <f t="shared" si="145"/>
        <v>0</v>
      </c>
      <c r="AY154">
        <f t="shared" si="146"/>
        <v>0</v>
      </c>
    </row>
    <row r="155" spans="1:51" x14ac:dyDescent="0.35">
      <c r="A155">
        <v>149</v>
      </c>
      <c r="C155">
        <f t="shared" si="99"/>
        <v>0</v>
      </c>
      <c r="D155">
        <f t="shared" si="100"/>
        <v>0</v>
      </c>
      <c r="E155">
        <f t="shared" si="101"/>
        <v>0</v>
      </c>
      <c r="F155">
        <f t="shared" si="102"/>
        <v>0</v>
      </c>
      <c r="G155">
        <f t="shared" si="103"/>
        <v>0</v>
      </c>
      <c r="H155">
        <f t="shared" si="104"/>
        <v>0</v>
      </c>
      <c r="I155">
        <f t="shared" si="105"/>
        <v>0</v>
      </c>
      <c r="J155">
        <f t="shared" si="106"/>
        <v>0</v>
      </c>
      <c r="K155">
        <f t="shared" si="107"/>
        <v>0</v>
      </c>
      <c r="L155">
        <f t="shared" si="108"/>
        <v>0</v>
      </c>
      <c r="M155">
        <f t="shared" si="109"/>
        <v>0</v>
      </c>
      <c r="N155">
        <f t="shared" si="110"/>
        <v>0</v>
      </c>
      <c r="O155">
        <f t="shared" si="111"/>
        <v>0</v>
      </c>
      <c r="P155">
        <f t="shared" si="112"/>
        <v>0</v>
      </c>
      <c r="Q155">
        <f t="shared" si="113"/>
        <v>0</v>
      </c>
      <c r="R155">
        <f t="shared" si="114"/>
        <v>0</v>
      </c>
      <c r="S155">
        <f t="shared" si="115"/>
        <v>0</v>
      </c>
      <c r="T155">
        <f t="shared" si="116"/>
        <v>0</v>
      </c>
      <c r="U155">
        <f t="shared" si="117"/>
        <v>0</v>
      </c>
      <c r="V155">
        <f t="shared" si="118"/>
        <v>0</v>
      </c>
      <c r="W155">
        <f t="shared" si="119"/>
        <v>0</v>
      </c>
      <c r="X155">
        <f t="shared" si="120"/>
        <v>0</v>
      </c>
      <c r="Y155">
        <f t="shared" si="121"/>
        <v>0</v>
      </c>
      <c r="Z155">
        <f t="shared" si="122"/>
        <v>0</v>
      </c>
      <c r="AA155">
        <f t="shared" si="123"/>
        <v>0</v>
      </c>
      <c r="AB155">
        <f t="shared" si="124"/>
        <v>0</v>
      </c>
      <c r="AC155">
        <f t="shared" si="125"/>
        <v>0</v>
      </c>
      <c r="AD155">
        <f t="shared" si="126"/>
        <v>0</v>
      </c>
      <c r="AE155">
        <f t="shared" si="127"/>
        <v>0</v>
      </c>
      <c r="AF155">
        <f t="shared" si="128"/>
        <v>0</v>
      </c>
      <c r="AG155">
        <f t="shared" si="129"/>
        <v>0</v>
      </c>
      <c r="AH155">
        <f t="shared" si="130"/>
        <v>0</v>
      </c>
      <c r="AI155">
        <f t="shared" si="131"/>
        <v>0</v>
      </c>
      <c r="AJ155">
        <f t="shared" si="132"/>
        <v>0</v>
      </c>
      <c r="AK155">
        <f t="shared" si="133"/>
        <v>0</v>
      </c>
      <c r="AL155">
        <f t="shared" si="134"/>
        <v>0</v>
      </c>
      <c r="AM155">
        <f t="shared" si="135"/>
        <v>0</v>
      </c>
      <c r="AN155">
        <f t="shared" si="136"/>
        <v>0</v>
      </c>
      <c r="AO155">
        <f t="shared" si="137"/>
        <v>0</v>
      </c>
      <c r="AP155">
        <f t="shared" si="138"/>
        <v>0</v>
      </c>
      <c r="AQ155">
        <f t="shared" si="139"/>
        <v>0</v>
      </c>
      <c r="AR155">
        <f t="shared" si="140"/>
        <v>0</v>
      </c>
      <c r="AS155">
        <f t="shared" si="141"/>
        <v>0</v>
      </c>
      <c r="AT155">
        <f t="shared" si="142"/>
        <v>0</v>
      </c>
      <c r="AU155">
        <f t="shared" si="143"/>
        <v>0</v>
      </c>
      <c r="AV155">
        <f t="shared" si="144"/>
        <v>0</v>
      </c>
      <c r="AW155">
        <f t="shared" si="98"/>
        <v>0</v>
      </c>
      <c r="AX155">
        <f t="shared" si="145"/>
        <v>0</v>
      </c>
      <c r="AY155">
        <f t="shared" si="146"/>
        <v>0</v>
      </c>
    </row>
    <row r="156" spans="1:51" x14ac:dyDescent="0.35">
      <c r="A156">
        <v>150</v>
      </c>
      <c r="C156">
        <f t="shared" si="99"/>
        <v>0</v>
      </c>
      <c r="D156">
        <f t="shared" si="100"/>
        <v>0</v>
      </c>
      <c r="E156">
        <f t="shared" si="101"/>
        <v>0</v>
      </c>
      <c r="F156">
        <f t="shared" si="102"/>
        <v>0</v>
      </c>
      <c r="G156">
        <f t="shared" si="103"/>
        <v>0</v>
      </c>
      <c r="H156">
        <f t="shared" si="104"/>
        <v>0</v>
      </c>
      <c r="I156">
        <f t="shared" si="105"/>
        <v>0</v>
      </c>
      <c r="J156">
        <f t="shared" si="106"/>
        <v>0</v>
      </c>
      <c r="K156">
        <f t="shared" si="107"/>
        <v>0</v>
      </c>
      <c r="L156">
        <f t="shared" si="108"/>
        <v>0</v>
      </c>
      <c r="M156">
        <f t="shared" si="109"/>
        <v>0</v>
      </c>
      <c r="N156">
        <f t="shared" si="110"/>
        <v>0</v>
      </c>
      <c r="O156">
        <f t="shared" si="111"/>
        <v>0</v>
      </c>
      <c r="P156">
        <f t="shared" si="112"/>
        <v>0</v>
      </c>
      <c r="Q156">
        <f t="shared" si="113"/>
        <v>0</v>
      </c>
      <c r="R156">
        <f t="shared" si="114"/>
        <v>0</v>
      </c>
      <c r="S156">
        <f t="shared" si="115"/>
        <v>0</v>
      </c>
      <c r="T156">
        <f t="shared" si="116"/>
        <v>0</v>
      </c>
      <c r="U156">
        <f t="shared" si="117"/>
        <v>0</v>
      </c>
      <c r="V156">
        <f t="shared" si="118"/>
        <v>0</v>
      </c>
      <c r="W156">
        <f t="shared" si="119"/>
        <v>0</v>
      </c>
      <c r="X156">
        <f t="shared" si="120"/>
        <v>0</v>
      </c>
      <c r="Y156">
        <f t="shared" si="121"/>
        <v>0</v>
      </c>
      <c r="Z156">
        <f t="shared" si="122"/>
        <v>0</v>
      </c>
      <c r="AA156">
        <f t="shared" si="123"/>
        <v>0</v>
      </c>
      <c r="AB156">
        <f t="shared" si="124"/>
        <v>0</v>
      </c>
      <c r="AC156">
        <f t="shared" si="125"/>
        <v>0</v>
      </c>
      <c r="AD156">
        <f t="shared" si="126"/>
        <v>0</v>
      </c>
      <c r="AE156">
        <f t="shared" si="127"/>
        <v>0</v>
      </c>
      <c r="AF156">
        <f t="shared" si="128"/>
        <v>0</v>
      </c>
      <c r="AG156">
        <f t="shared" si="129"/>
        <v>0</v>
      </c>
      <c r="AH156">
        <f t="shared" si="130"/>
        <v>0</v>
      </c>
      <c r="AI156">
        <f t="shared" si="131"/>
        <v>0</v>
      </c>
      <c r="AJ156">
        <f t="shared" si="132"/>
        <v>0</v>
      </c>
      <c r="AK156">
        <f t="shared" si="133"/>
        <v>0</v>
      </c>
      <c r="AL156">
        <f t="shared" si="134"/>
        <v>0</v>
      </c>
      <c r="AM156">
        <f t="shared" si="135"/>
        <v>0</v>
      </c>
      <c r="AN156">
        <f t="shared" si="136"/>
        <v>0</v>
      </c>
      <c r="AO156">
        <f t="shared" si="137"/>
        <v>0</v>
      </c>
      <c r="AP156">
        <f t="shared" si="138"/>
        <v>0</v>
      </c>
      <c r="AQ156">
        <f t="shared" si="139"/>
        <v>0</v>
      </c>
      <c r="AR156">
        <f t="shared" si="140"/>
        <v>0</v>
      </c>
      <c r="AS156">
        <f t="shared" si="141"/>
        <v>0</v>
      </c>
      <c r="AT156">
        <f t="shared" si="142"/>
        <v>0</v>
      </c>
      <c r="AU156">
        <f t="shared" si="143"/>
        <v>0</v>
      </c>
      <c r="AV156">
        <f t="shared" si="144"/>
        <v>0</v>
      </c>
      <c r="AW156">
        <f t="shared" si="98"/>
        <v>0</v>
      </c>
      <c r="AX156">
        <f t="shared" si="145"/>
        <v>0</v>
      </c>
      <c r="AY156">
        <f t="shared" si="146"/>
        <v>0</v>
      </c>
    </row>
    <row r="157" spans="1:51" x14ac:dyDescent="0.35">
      <c r="A157">
        <v>151</v>
      </c>
      <c r="C157">
        <f t="shared" si="99"/>
        <v>0</v>
      </c>
      <c r="D157">
        <f t="shared" si="100"/>
        <v>0</v>
      </c>
      <c r="E157">
        <f t="shared" si="101"/>
        <v>0</v>
      </c>
      <c r="F157">
        <f t="shared" si="102"/>
        <v>0</v>
      </c>
      <c r="G157">
        <f t="shared" si="103"/>
        <v>0</v>
      </c>
      <c r="H157">
        <f t="shared" si="104"/>
        <v>0</v>
      </c>
      <c r="I157">
        <f t="shared" si="105"/>
        <v>0</v>
      </c>
      <c r="J157">
        <f t="shared" si="106"/>
        <v>0</v>
      </c>
      <c r="K157">
        <f t="shared" si="107"/>
        <v>0</v>
      </c>
      <c r="L157">
        <f t="shared" si="108"/>
        <v>0</v>
      </c>
      <c r="M157">
        <f t="shared" si="109"/>
        <v>0</v>
      </c>
      <c r="N157">
        <f t="shared" si="110"/>
        <v>0</v>
      </c>
      <c r="O157">
        <f t="shared" si="111"/>
        <v>0</v>
      </c>
      <c r="P157">
        <f t="shared" si="112"/>
        <v>0</v>
      </c>
      <c r="Q157">
        <f t="shared" si="113"/>
        <v>0</v>
      </c>
      <c r="R157">
        <f t="shared" si="114"/>
        <v>0</v>
      </c>
      <c r="S157">
        <f t="shared" si="115"/>
        <v>0</v>
      </c>
      <c r="T157">
        <f t="shared" si="116"/>
        <v>0</v>
      </c>
      <c r="U157">
        <f t="shared" si="117"/>
        <v>0</v>
      </c>
      <c r="V157">
        <f t="shared" si="118"/>
        <v>0</v>
      </c>
      <c r="W157">
        <f t="shared" si="119"/>
        <v>0</v>
      </c>
      <c r="X157">
        <f t="shared" si="120"/>
        <v>0</v>
      </c>
      <c r="Y157">
        <f t="shared" si="121"/>
        <v>0</v>
      </c>
      <c r="Z157">
        <f t="shared" si="122"/>
        <v>0</v>
      </c>
      <c r="AA157">
        <f t="shared" si="123"/>
        <v>0</v>
      </c>
      <c r="AB157">
        <f t="shared" si="124"/>
        <v>0</v>
      </c>
      <c r="AC157">
        <f t="shared" si="125"/>
        <v>0</v>
      </c>
      <c r="AD157">
        <f t="shared" si="126"/>
        <v>0</v>
      </c>
      <c r="AE157">
        <f t="shared" si="127"/>
        <v>0</v>
      </c>
      <c r="AF157">
        <f t="shared" si="128"/>
        <v>0</v>
      </c>
      <c r="AG157">
        <f t="shared" si="129"/>
        <v>0</v>
      </c>
      <c r="AH157">
        <f t="shared" si="130"/>
        <v>0</v>
      </c>
      <c r="AI157">
        <f t="shared" si="131"/>
        <v>0</v>
      </c>
      <c r="AJ157">
        <f t="shared" si="132"/>
        <v>0</v>
      </c>
      <c r="AK157">
        <f t="shared" si="133"/>
        <v>0</v>
      </c>
      <c r="AL157">
        <f t="shared" si="134"/>
        <v>0</v>
      </c>
      <c r="AM157">
        <f t="shared" si="135"/>
        <v>0</v>
      </c>
      <c r="AN157">
        <f t="shared" si="136"/>
        <v>0</v>
      </c>
      <c r="AO157">
        <f t="shared" si="137"/>
        <v>0</v>
      </c>
      <c r="AP157">
        <f t="shared" si="138"/>
        <v>0</v>
      </c>
      <c r="AQ157">
        <f t="shared" si="139"/>
        <v>0</v>
      </c>
      <c r="AR157">
        <f t="shared" si="140"/>
        <v>0</v>
      </c>
      <c r="AS157">
        <f t="shared" si="141"/>
        <v>0</v>
      </c>
      <c r="AT157">
        <f t="shared" si="142"/>
        <v>0</v>
      </c>
      <c r="AU157">
        <f t="shared" si="143"/>
        <v>0</v>
      </c>
      <c r="AV157">
        <f t="shared" si="144"/>
        <v>0</v>
      </c>
      <c r="AW157">
        <f t="shared" si="98"/>
        <v>0</v>
      </c>
      <c r="AX157">
        <f t="shared" si="145"/>
        <v>0</v>
      </c>
      <c r="AY157">
        <f t="shared" si="146"/>
        <v>0</v>
      </c>
    </row>
    <row r="158" spans="1:51" x14ac:dyDescent="0.35">
      <c r="A158">
        <v>152</v>
      </c>
      <c r="C158">
        <f t="shared" si="99"/>
        <v>0</v>
      </c>
      <c r="D158">
        <f t="shared" si="100"/>
        <v>0</v>
      </c>
      <c r="E158">
        <f t="shared" si="101"/>
        <v>0</v>
      </c>
      <c r="F158">
        <f t="shared" si="102"/>
        <v>0</v>
      </c>
      <c r="G158">
        <f t="shared" si="103"/>
        <v>0</v>
      </c>
      <c r="H158">
        <f t="shared" si="104"/>
        <v>0</v>
      </c>
      <c r="I158">
        <f t="shared" si="105"/>
        <v>0</v>
      </c>
      <c r="J158">
        <f t="shared" si="106"/>
        <v>0</v>
      </c>
      <c r="K158">
        <f t="shared" si="107"/>
        <v>0</v>
      </c>
      <c r="L158">
        <f t="shared" si="108"/>
        <v>0</v>
      </c>
      <c r="M158">
        <f t="shared" si="109"/>
        <v>0</v>
      </c>
      <c r="N158">
        <f t="shared" si="110"/>
        <v>0</v>
      </c>
      <c r="O158">
        <f t="shared" si="111"/>
        <v>0</v>
      </c>
      <c r="P158">
        <f t="shared" si="112"/>
        <v>0</v>
      </c>
      <c r="Q158">
        <f t="shared" si="113"/>
        <v>0</v>
      </c>
      <c r="R158">
        <f t="shared" si="114"/>
        <v>0</v>
      </c>
      <c r="S158">
        <f t="shared" si="115"/>
        <v>0</v>
      </c>
      <c r="T158">
        <f t="shared" si="116"/>
        <v>0</v>
      </c>
      <c r="U158">
        <f t="shared" si="117"/>
        <v>0</v>
      </c>
      <c r="V158">
        <f t="shared" si="118"/>
        <v>0</v>
      </c>
      <c r="W158">
        <f t="shared" si="119"/>
        <v>0</v>
      </c>
      <c r="X158">
        <f t="shared" si="120"/>
        <v>0</v>
      </c>
      <c r="Y158">
        <f t="shared" si="121"/>
        <v>0</v>
      </c>
      <c r="Z158">
        <f t="shared" si="122"/>
        <v>0</v>
      </c>
      <c r="AA158">
        <f t="shared" si="123"/>
        <v>0</v>
      </c>
      <c r="AB158">
        <f t="shared" si="124"/>
        <v>0</v>
      </c>
      <c r="AC158">
        <f t="shared" si="125"/>
        <v>0</v>
      </c>
      <c r="AD158">
        <f t="shared" si="126"/>
        <v>0</v>
      </c>
      <c r="AE158">
        <f t="shared" si="127"/>
        <v>0</v>
      </c>
      <c r="AF158">
        <f t="shared" si="128"/>
        <v>0</v>
      </c>
      <c r="AG158">
        <f t="shared" si="129"/>
        <v>0</v>
      </c>
      <c r="AH158">
        <f t="shared" si="130"/>
        <v>0</v>
      </c>
      <c r="AI158">
        <f t="shared" si="131"/>
        <v>0</v>
      </c>
      <c r="AJ158">
        <f t="shared" si="132"/>
        <v>0</v>
      </c>
      <c r="AK158">
        <f t="shared" si="133"/>
        <v>0</v>
      </c>
      <c r="AL158">
        <f t="shared" si="134"/>
        <v>0</v>
      </c>
      <c r="AM158">
        <f t="shared" si="135"/>
        <v>0</v>
      </c>
      <c r="AN158">
        <f t="shared" si="136"/>
        <v>0</v>
      </c>
      <c r="AO158">
        <f t="shared" si="137"/>
        <v>0</v>
      </c>
      <c r="AP158">
        <f t="shared" si="138"/>
        <v>0</v>
      </c>
      <c r="AQ158">
        <f t="shared" si="139"/>
        <v>0</v>
      </c>
      <c r="AR158">
        <f t="shared" si="140"/>
        <v>0</v>
      </c>
      <c r="AS158">
        <f t="shared" si="141"/>
        <v>0</v>
      </c>
      <c r="AT158">
        <f t="shared" si="142"/>
        <v>0</v>
      </c>
      <c r="AU158">
        <f t="shared" si="143"/>
        <v>0</v>
      </c>
      <c r="AV158">
        <f t="shared" si="144"/>
        <v>0</v>
      </c>
      <c r="AW158">
        <f t="shared" si="98"/>
        <v>0</v>
      </c>
      <c r="AX158">
        <f t="shared" si="145"/>
        <v>0</v>
      </c>
      <c r="AY158">
        <f t="shared" si="146"/>
        <v>0</v>
      </c>
    </row>
    <row r="159" spans="1:51" x14ac:dyDescent="0.35">
      <c r="A159">
        <v>153</v>
      </c>
      <c r="C159">
        <f t="shared" si="99"/>
        <v>0</v>
      </c>
      <c r="D159">
        <f t="shared" si="100"/>
        <v>0</v>
      </c>
      <c r="E159">
        <f t="shared" si="101"/>
        <v>0</v>
      </c>
      <c r="F159">
        <f t="shared" si="102"/>
        <v>0</v>
      </c>
      <c r="G159">
        <f t="shared" si="103"/>
        <v>0</v>
      </c>
      <c r="H159">
        <f t="shared" si="104"/>
        <v>0</v>
      </c>
      <c r="I159">
        <f t="shared" si="105"/>
        <v>0</v>
      </c>
      <c r="J159">
        <f t="shared" si="106"/>
        <v>0</v>
      </c>
      <c r="K159">
        <f t="shared" si="107"/>
        <v>0</v>
      </c>
      <c r="L159">
        <f t="shared" si="108"/>
        <v>0</v>
      </c>
      <c r="M159">
        <f t="shared" si="109"/>
        <v>0</v>
      </c>
      <c r="N159">
        <f t="shared" si="110"/>
        <v>0</v>
      </c>
      <c r="O159">
        <f t="shared" si="111"/>
        <v>0</v>
      </c>
      <c r="P159">
        <f t="shared" si="112"/>
        <v>0</v>
      </c>
      <c r="Q159">
        <f t="shared" si="113"/>
        <v>0</v>
      </c>
      <c r="R159">
        <f t="shared" si="114"/>
        <v>0</v>
      </c>
      <c r="S159">
        <f t="shared" si="115"/>
        <v>0</v>
      </c>
      <c r="T159">
        <f t="shared" si="116"/>
        <v>0</v>
      </c>
      <c r="U159">
        <f t="shared" si="117"/>
        <v>0</v>
      </c>
      <c r="V159">
        <f t="shared" si="118"/>
        <v>0</v>
      </c>
      <c r="W159">
        <f t="shared" si="119"/>
        <v>0</v>
      </c>
      <c r="X159">
        <f t="shared" si="120"/>
        <v>0</v>
      </c>
      <c r="Y159">
        <f t="shared" si="121"/>
        <v>0</v>
      </c>
      <c r="Z159">
        <f t="shared" si="122"/>
        <v>0</v>
      </c>
      <c r="AA159">
        <f t="shared" si="123"/>
        <v>0</v>
      </c>
      <c r="AB159">
        <f t="shared" si="124"/>
        <v>0</v>
      </c>
      <c r="AC159">
        <f t="shared" si="125"/>
        <v>0</v>
      </c>
      <c r="AD159">
        <f t="shared" si="126"/>
        <v>0</v>
      </c>
      <c r="AE159">
        <f t="shared" si="127"/>
        <v>0</v>
      </c>
      <c r="AF159">
        <f t="shared" si="128"/>
        <v>0</v>
      </c>
      <c r="AG159">
        <f t="shared" si="129"/>
        <v>0</v>
      </c>
      <c r="AH159">
        <f t="shared" si="130"/>
        <v>0</v>
      </c>
      <c r="AI159">
        <f t="shared" si="131"/>
        <v>0</v>
      </c>
      <c r="AJ159">
        <f t="shared" si="132"/>
        <v>0</v>
      </c>
      <c r="AK159">
        <f t="shared" si="133"/>
        <v>0</v>
      </c>
      <c r="AL159">
        <f t="shared" si="134"/>
        <v>0</v>
      </c>
      <c r="AM159">
        <f t="shared" si="135"/>
        <v>0</v>
      </c>
      <c r="AN159">
        <f t="shared" si="136"/>
        <v>0</v>
      </c>
      <c r="AO159">
        <f t="shared" si="137"/>
        <v>0</v>
      </c>
      <c r="AP159">
        <f t="shared" si="138"/>
        <v>0</v>
      </c>
      <c r="AQ159">
        <f t="shared" si="139"/>
        <v>0</v>
      </c>
      <c r="AR159">
        <f t="shared" si="140"/>
        <v>0</v>
      </c>
      <c r="AS159">
        <f t="shared" si="141"/>
        <v>0</v>
      </c>
      <c r="AT159">
        <f t="shared" si="142"/>
        <v>0</v>
      </c>
      <c r="AU159">
        <f t="shared" si="143"/>
        <v>0</v>
      </c>
      <c r="AV159">
        <f t="shared" si="144"/>
        <v>0</v>
      </c>
      <c r="AW159">
        <f t="shared" si="98"/>
        <v>0</v>
      </c>
      <c r="AX159">
        <f t="shared" si="145"/>
        <v>0</v>
      </c>
      <c r="AY159">
        <f t="shared" si="146"/>
        <v>0</v>
      </c>
    </row>
    <row r="160" spans="1:51" x14ac:dyDescent="0.35">
      <c r="A160">
        <v>154</v>
      </c>
      <c r="C160">
        <f t="shared" si="99"/>
        <v>0</v>
      </c>
      <c r="D160">
        <f t="shared" si="100"/>
        <v>0</v>
      </c>
      <c r="E160">
        <f t="shared" si="101"/>
        <v>0</v>
      </c>
      <c r="F160">
        <f t="shared" si="102"/>
        <v>0</v>
      </c>
      <c r="G160">
        <f t="shared" si="103"/>
        <v>0</v>
      </c>
      <c r="H160">
        <f t="shared" si="104"/>
        <v>0</v>
      </c>
      <c r="I160">
        <f t="shared" si="105"/>
        <v>0</v>
      </c>
      <c r="J160">
        <f t="shared" si="106"/>
        <v>0</v>
      </c>
      <c r="K160">
        <f t="shared" si="107"/>
        <v>0</v>
      </c>
      <c r="L160">
        <f t="shared" si="108"/>
        <v>0</v>
      </c>
      <c r="M160">
        <f t="shared" si="109"/>
        <v>0</v>
      </c>
      <c r="N160">
        <f t="shared" si="110"/>
        <v>0</v>
      </c>
      <c r="O160">
        <f t="shared" si="111"/>
        <v>0</v>
      </c>
      <c r="P160">
        <f t="shared" si="112"/>
        <v>0</v>
      </c>
      <c r="Q160">
        <f t="shared" si="113"/>
        <v>0</v>
      </c>
      <c r="R160">
        <f t="shared" si="114"/>
        <v>0</v>
      </c>
      <c r="S160">
        <f t="shared" si="115"/>
        <v>0</v>
      </c>
      <c r="T160">
        <f t="shared" si="116"/>
        <v>0</v>
      </c>
      <c r="U160">
        <f t="shared" si="117"/>
        <v>0</v>
      </c>
      <c r="V160">
        <f t="shared" si="118"/>
        <v>0</v>
      </c>
      <c r="W160">
        <f t="shared" si="119"/>
        <v>0</v>
      </c>
      <c r="X160">
        <f t="shared" si="120"/>
        <v>0</v>
      </c>
      <c r="Y160">
        <f t="shared" si="121"/>
        <v>0</v>
      </c>
      <c r="Z160">
        <f t="shared" si="122"/>
        <v>0</v>
      </c>
      <c r="AA160">
        <f t="shared" si="123"/>
        <v>0</v>
      </c>
      <c r="AB160">
        <f t="shared" si="124"/>
        <v>0</v>
      </c>
      <c r="AC160">
        <f t="shared" si="125"/>
        <v>0</v>
      </c>
      <c r="AD160">
        <f t="shared" si="126"/>
        <v>0</v>
      </c>
      <c r="AE160">
        <f t="shared" si="127"/>
        <v>0</v>
      </c>
      <c r="AF160">
        <f t="shared" si="128"/>
        <v>0</v>
      </c>
      <c r="AG160">
        <f t="shared" si="129"/>
        <v>0</v>
      </c>
      <c r="AH160">
        <f t="shared" si="130"/>
        <v>0</v>
      </c>
      <c r="AI160">
        <f t="shared" si="131"/>
        <v>0</v>
      </c>
      <c r="AJ160">
        <f t="shared" si="132"/>
        <v>0</v>
      </c>
      <c r="AK160">
        <f t="shared" si="133"/>
        <v>0</v>
      </c>
      <c r="AL160">
        <f t="shared" si="134"/>
        <v>0</v>
      </c>
      <c r="AM160">
        <f t="shared" si="135"/>
        <v>0</v>
      </c>
      <c r="AN160">
        <f t="shared" si="136"/>
        <v>0</v>
      </c>
      <c r="AO160">
        <f t="shared" si="137"/>
        <v>0</v>
      </c>
      <c r="AP160">
        <f t="shared" si="138"/>
        <v>0</v>
      </c>
      <c r="AQ160">
        <f t="shared" si="139"/>
        <v>0</v>
      </c>
      <c r="AR160">
        <f t="shared" si="140"/>
        <v>0</v>
      </c>
      <c r="AS160">
        <f t="shared" si="141"/>
        <v>0</v>
      </c>
      <c r="AT160">
        <f t="shared" si="142"/>
        <v>0</v>
      </c>
      <c r="AU160">
        <f t="shared" si="143"/>
        <v>0</v>
      </c>
      <c r="AV160">
        <f t="shared" si="144"/>
        <v>0</v>
      </c>
      <c r="AW160">
        <f t="shared" si="98"/>
        <v>0</v>
      </c>
      <c r="AX160">
        <f t="shared" si="145"/>
        <v>0</v>
      </c>
      <c r="AY160">
        <f t="shared" si="146"/>
        <v>0</v>
      </c>
    </row>
    <row r="161" spans="1:51" x14ac:dyDescent="0.35">
      <c r="A161">
        <v>155</v>
      </c>
      <c r="C161">
        <f t="shared" si="99"/>
        <v>0</v>
      </c>
      <c r="D161">
        <f t="shared" si="100"/>
        <v>0</v>
      </c>
      <c r="E161">
        <f t="shared" si="101"/>
        <v>0</v>
      </c>
      <c r="F161">
        <f t="shared" si="102"/>
        <v>0</v>
      </c>
      <c r="G161">
        <f t="shared" si="103"/>
        <v>0</v>
      </c>
      <c r="H161">
        <f t="shared" si="104"/>
        <v>0</v>
      </c>
      <c r="I161">
        <f t="shared" si="105"/>
        <v>0</v>
      </c>
      <c r="J161">
        <f t="shared" si="106"/>
        <v>0</v>
      </c>
      <c r="K161">
        <f t="shared" si="107"/>
        <v>0</v>
      </c>
      <c r="L161">
        <f t="shared" si="108"/>
        <v>0</v>
      </c>
      <c r="M161">
        <f t="shared" si="109"/>
        <v>0</v>
      </c>
      <c r="N161">
        <f t="shared" si="110"/>
        <v>0</v>
      </c>
      <c r="O161">
        <f t="shared" si="111"/>
        <v>0</v>
      </c>
      <c r="P161">
        <f t="shared" si="112"/>
        <v>0</v>
      </c>
      <c r="Q161">
        <f t="shared" si="113"/>
        <v>0</v>
      </c>
      <c r="R161">
        <f t="shared" si="114"/>
        <v>0</v>
      </c>
      <c r="S161">
        <f t="shared" si="115"/>
        <v>0</v>
      </c>
      <c r="T161">
        <f t="shared" si="116"/>
        <v>0</v>
      </c>
      <c r="U161">
        <f t="shared" si="117"/>
        <v>0</v>
      </c>
      <c r="V161">
        <f t="shared" si="118"/>
        <v>0</v>
      </c>
      <c r="W161">
        <f t="shared" si="119"/>
        <v>0</v>
      </c>
      <c r="X161">
        <f t="shared" si="120"/>
        <v>0</v>
      </c>
      <c r="Y161">
        <f t="shared" si="121"/>
        <v>0</v>
      </c>
      <c r="Z161">
        <f t="shared" si="122"/>
        <v>0</v>
      </c>
      <c r="AA161">
        <f t="shared" si="123"/>
        <v>0</v>
      </c>
      <c r="AB161">
        <f t="shared" si="124"/>
        <v>0</v>
      </c>
      <c r="AC161">
        <f t="shared" si="125"/>
        <v>0</v>
      </c>
      <c r="AD161">
        <f t="shared" si="126"/>
        <v>0</v>
      </c>
      <c r="AE161">
        <f t="shared" si="127"/>
        <v>0</v>
      </c>
      <c r="AF161">
        <f t="shared" si="128"/>
        <v>0</v>
      </c>
      <c r="AG161">
        <f t="shared" si="129"/>
        <v>0</v>
      </c>
      <c r="AH161">
        <f t="shared" si="130"/>
        <v>0</v>
      </c>
      <c r="AI161">
        <f t="shared" si="131"/>
        <v>0</v>
      </c>
      <c r="AJ161">
        <f t="shared" si="132"/>
        <v>0</v>
      </c>
      <c r="AK161">
        <f t="shared" si="133"/>
        <v>0</v>
      </c>
      <c r="AL161">
        <f t="shared" si="134"/>
        <v>0</v>
      </c>
      <c r="AM161">
        <f t="shared" si="135"/>
        <v>0</v>
      </c>
      <c r="AN161">
        <f t="shared" si="136"/>
        <v>0</v>
      </c>
      <c r="AO161">
        <f t="shared" si="137"/>
        <v>0</v>
      </c>
      <c r="AP161">
        <f t="shared" si="138"/>
        <v>0</v>
      </c>
      <c r="AQ161">
        <f t="shared" si="139"/>
        <v>0</v>
      </c>
      <c r="AR161">
        <f t="shared" si="140"/>
        <v>0</v>
      </c>
      <c r="AS161">
        <f t="shared" si="141"/>
        <v>0</v>
      </c>
      <c r="AT161">
        <f t="shared" si="142"/>
        <v>0</v>
      </c>
      <c r="AU161">
        <f t="shared" si="143"/>
        <v>0</v>
      </c>
      <c r="AV161">
        <f t="shared" si="144"/>
        <v>0</v>
      </c>
      <c r="AW161">
        <f t="shared" si="98"/>
        <v>0</v>
      </c>
      <c r="AX161">
        <f t="shared" si="145"/>
        <v>0</v>
      </c>
      <c r="AY161">
        <f t="shared" si="146"/>
        <v>0</v>
      </c>
    </row>
    <row r="162" spans="1:51" x14ac:dyDescent="0.35">
      <c r="A162">
        <v>156</v>
      </c>
      <c r="C162">
        <f t="shared" si="99"/>
        <v>0</v>
      </c>
      <c r="D162">
        <f t="shared" si="100"/>
        <v>0</v>
      </c>
      <c r="E162">
        <f t="shared" si="101"/>
        <v>0</v>
      </c>
      <c r="F162">
        <f t="shared" si="102"/>
        <v>0</v>
      </c>
      <c r="G162">
        <f t="shared" si="103"/>
        <v>0</v>
      </c>
      <c r="H162">
        <f t="shared" si="104"/>
        <v>0</v>
      </c>
      <c r="I162">
        <f t="shared" si="105"/>
        <v>0</v>
      </c>
      <c r="J162">
        <f t="shared" si="106"/>
        <v>0</v>
      </c>
      <c r="K162">
        <f t="shared" si="107"/>
        <v>0</v>
      </c>
      <c r="L162">
        <f t="shared" si="108"/>
        <v>0</v>
      </c>
      <c r="M162">
        <f t="shared" si="109"/>
        <v>0</v>
      </c>
      <c r="N162">
        <f t="shared" si="110"/>
        <v>0</v>
      </c>
      <c r="O162">
        <f t="shared" si="111"/>
        <v>0</v>
      </c>
      <c r="P162">
        <f t="shared" si="112"/>
        <v>0</v>
      </c>
      <c r="Q162">
        <f t="shared" si="113"/>
        <v>0</v>
      </c>
      <c r="R162">
        <f t="shared" si="114"/>
        <v>0</v>
      </c>
      <c r="S162">
        <f t="shared" si="115"/>
        <v>0</v>
      </c>
      <c r="T162">
        <f t="shared" si="116"/>
        <v>0</v>
      </c>
      <c r="U162">
        <f t="shared" si="117"/>
        <v>0</v>
      </c>
      <c r="V162">
        <f t="shared" si="118"/>
        <v>0</v>
      </c>
      <c r="W162">
        <f t="shared" si="119"/>
        <v>0</v>
      </c>
      <c r="X162">
        <f t="shared" si="120"/>
        <v>0</v>
      </c>
      <c r="Y162">
        <f t="shared" si="121"/>
        <v>0</v>
      </c>
      <c r="Z162">
        <f t="shared" si="122"/>
        <v>0</v>
      </c>
      <c r="AA162">
        <f t="shared" si="123"/>
        <v>0</v>
      </c>
      <c r="AB162">
        <f t="shared" si="124"/>
        <v>0</v>
      </c>
      <c r="AC162">
        <f t="shared" si="125"/>
        <v>0</v>
      </c>
      <c r="AD162">
        <f t="shared" si="126"/>
        <v>0</v>
      </c>
      <c r="AE162">
        <f t="shared" si="127"/>
        <v>0</v>
      </c>
      <c r="AF162">
        <f t="shared" si="128"/>
        <v>0</v>
      </c>
      <c r="AG162">
        <f t="shared" si="129"/>
        <v>0</v>
      </c>
      <c r="AH162">
        <f t="shared" si="130"/>
        <v>0</v>
      </c>
      <c r="AI162">
        <f t="shared" si="131"/>
        <v>0</v>
      </c>
      <c r="AJ162">
        <f t="shared" si="132"/>
        <v>0</v>
      </c>
      <c r="AK162">
        <f t="shared" si="133"/>
        <v>0</v>
      </c>
      <c r="AL162">
        <f t="shared" si="134"/>
        <v>0</v>
      </c>
      <c r="AM162">
        <f t="shared" si="135"/>
        <v>0</v>
      </c>
      <c r="AN162">
        <f t="shared" si="136"/>
        <v>0</v>
      </c>
      <c r="AO162">
        <f t="shared" si="137"/>
        <v>0</v>
      </c>
      <c r="AP162">
        <f t="shared" si="138"/>
        <v>0</v>
      </c>
      <c r="AQ162">
        <f t="shared" si="139"/>
        <v>0</v>
      </c>
      <c r="AR162">
        <f t="shared" si="140"/>
        <v>0</v>
      </c>
      <c r="AS162">
        <f t="shared" si="141"/>
        <v>0</v>
      </c>
      <c r="AT162">
        <f t="shared" si="142"/>
        <v>0</v>
      </c>
      <c r="AU162">
        <f t="shared" si="143"/>
        <v>0</v>
      </c>
      <c r="AV162">
        <f t="shared" si="144"/>
        <v>0</v>
      </c>
      <c r="AW162">
        <f t="shared" si="98"/>
        <v>0</v>
      </c>
      <c r="AX162">
        <f t="shared" si="145"/>
        <v>0</v>
      </c>
      <c r="AY162">
        <f t="shared" si="146"/>
        <v>0</v>
      </c>
    </row>
    <row r="163" spans="1:51" x14ac:dyDescent="0.35">
      <c r="A163">
        <v>157</v>
      </c>
      <c r="C163">
        <f t="shared" si="99"/>
        <v>0</v>
      </c>
      <c r="D163">
        <f t="shared" si="100"/>
        <v>0</v>
      </c>
      <c r="E163">
        <f t="shared" si="101"/>
        <v>0</v>
      </c>
      <c r="F163">
        <f t="shared" si="102"/>
        <v>0</v>
      </c>
      <c r="G163">
        <f t="shared" si="103"/>
        <v>0</v>
      </c>
      <c r="H163">
        <f t="shared" si="104"/>
        <v>0</v>
      </c>
      <c r="I163">
        <f t="shared" si="105"/>
        <v>0</v>
      </c>
      <c r="J163">
        <f t="shared" si="106"/>
        <v>0</v>
      </c>
      <c r="K163">
        <f t="shared" si="107"/>
        <v>0</v>
      </c>
      <c r="L163">
        <f t="shared" si="108"/>
        <v>0</v>
      </c>
      <c r="M163">
        <f t="shared" si="109"/>
        <v>0</v>
      </c>
      <c r="N163">
        <f t="shared" si="110"/>
        <v>0</v>
      </c>
      <c r="O163">
        <f t="shared" si="111"/>
        <v>0</v>
      </c>
      <c r="P163">
        <f t="shared" si="112"/>
        <v>0</v>
      </c>
      <c r="Q163">
        <f t="shared" si="113"/>
        <v>0</v>
      </c>
      <c r="R163">
        <f t="shared" si="114"/>
        <v>0</v>
      </c>
      <c r="S163">
        <f t="shared" si="115"/>
        <v>0</v>
      </c>
      <c r="T163">
        <f t="shared" si="116"/>
        <v>0</v>
      </c>
      <c r="U163">
        <f t="shared" si="117"/>
        <v>0</v>
      </c>
      <c r="V163">
        <f t="shared" si="118"/>
        <v>0</v>
      </c>
      <c r="W163">
        <f t="shared" si="119"/>
        <v>0</v>
      </c>
      <c r="X163">
        <f t="shared" si="120"/>
        <v>0</v>
      </c>
      <c r="Y163">
        <f t="shared" si="121"/>
        <v>0</v>
      </c>
      <c r="Z163">
        <f t="shared" si="122"/>
        <v>0</v>
      </c>
      <c r="AA163">
        <f t="shared" si="123"/>
        <v>0</v>
      </c>
      <c r="AB163">
        <f t="shared" si="124"/>
        <v>0</v>
      </c>
      <c r="AC163">
        <f t="shared" si="125"/>
        <v>0</v>
      </c>
      <c r="AD163">
        <f t="shared" si="126"/>
        <v>0</v>
      </c>
      <c r="AE163">
        <f t="shared" si="127"/>
        <v>0</v>
      </c>
      <c r="AF163">
        <f t="shared" si="128"/>
        <v>0</v>
      </c>
      <c r="AG163">
        <f t="shared" si="129"/>
        <v>0</v>
      </c>
      <c r="AH163">
        <f t="shared" si="130"/>
        <v>0</v>
      </c>
      <c r="AI163">
        <f t="shared" si="131"/>
        <v>0</v>
      </c>
      <c r="AJ163">
        <f t="shared" si="132"/>
        <v>0</v>
      </c>
      <c r="AK163">
        <f t="shared" si="133"/>
        <v>0</v>
      </c>
      <c r="AL163">
        <f t="shared" si="134"/>
        <v>0</v>
      </c>
      <c r="AM163">
        <f t="shared" si="135"/>
        <v>0</v>
      </c>
      <c r="AN163">
        <f t="shared" si="136"/>
        <v>0</v>
      </c>
      <c r="AO163">
        <f t="shared" si="137"/>
        <v>0</v>
      </c>
      <c r="AP163">
        <f t="shared" si="138"/>
        <v>0</v>
      </c>
      <c r="AQ163">
        <f t="shared" si="139"/>
        <v>0</v>
      </c>
      <c r="AR163">
        <f t="shared" si="140"/>
        <v>0</v>
      </c>
      <c r="AS163">
        <f t="shared" si="141"/>
        <v>0</v>
      </c>
      <c r="AT163">
        <f t="shared" si="142"/>
        <v>0</v>
      </c>
      <c r="AU163">
        <f t="shared" si="143"/>
        <v>0</v>
      </c>
      <c r="AV163">
        <f t="shared" si="144"/>
        <v>0</v>
      </c>
      <c r="AW163">
        <f t="shared" si="98"/>
        <v>0</v>
      </c>
      <c r="AX163">
        <f t="shared" si="145"/>
        <v>0</v>
      </c>
      <c r="AY163">
        <f t="shared" si="146"/>
        <v>0</v>
      </c>
    </row>
    <row r="164" spans="1:51" x14ac:dyDescent="0.35">
      <c r="A164">
        <v>158</v>
      </c>
      <c r="C164">
        <f t="shared" si="99"/>
        <v>0</v>
      </c>
      <c r="D164">
        <f t="shared" si="100"/>
        <v>0</v>
      </c>
      <c r="E164">
        <f t="shared" si="101"/>
        <v>0</v>
      </c>
      <c r="F164">
        <f t="shared" si="102"/>
        <v>0</v>
      </c>
      <c r="G164">
        <f t="shared" si="103"/>
        <v>0</v>
      </c>
      <c r="H164">
        <f t="shared" si="104"/>
        <v>0</v>
      </c>
      <c r="I164">
        <f t="shared" si="105"/>
        <v>0</v>
      </c>
      <c r="J164">
        <f t="shared" si="106"/>
        <v>0</v>
      </c>
      <c r="K164">
        <f t="shared" si="107"/>
        <v>0</v>
      </c>
      <c r="L164">
        <f t="shared" si="108"/>
        <v>0</v>
      </c>
      <c r="M164">
        <f t="shared" si="109"/>
        <v>0</v>
      </c>
      <c r="N164">
        <f t="shared" si="110"/>
        <v>0</v>
      </c>
      <c r="O164">
        <f t="shared" si="111"/>
        <v>0</v>
      </c>
      <c r="P164">
        <f t="shared" si="112"/>
        <v>0</v>
      </c>
      <c r="Q164">
        <f t="shared" si="113"/>
        <v>0</v>
      </c>
      <c r="R164">
        <f t="shared" si="114"/>
        <v>0</v>
      </c>
      <c r="S164">
        <f t="shared" si="115"/>
        <v>0</v>
      </c>
      <c r="T164">
        <f t="shared" si="116"/>
        <v>0</v>
      </c>
      <c r="U164">
        <f t="shared" si="117"/>
        <v>0</v>
      </c>
      <c r="V164">
        <f t="shared" si="118"/>
        <v>0</v>
      </c>
      <c r="W164">
        <f t="shared" si="119"/>
        <v>0</v>
      </c>
      <c r="X164">
        <f t="shared" si="120"/>
        <v>0</v>
      </c>
      <c r="Y164">
        <f t="shared" si="121"/>
        <v>0</v>
      </c>
      <c r="Z164">
        <f t="shared" si="122"/>
        <v>0</v>
      </c>
      <c r="AA164">
        <f t="shared" si="123"/>
        <v>0</v>
      </c>
      <c r="AB164">
        <f t="shared" si="124"/>
        <v>0</v>
      </c>
      <c r="AC164">
        <f t="shared" si="125"/>
        <v>0</v>
      </c>
      <c r="AD164">
        <f t="shared" si="126"/>
        <v>0</v>
      </c>
      <c r="AE164">
        <f t="shared" si="127"/>
        <v>0</v>
      </c>
      <c r="AF164">
        <f t="shared" si="128"/>
        <v>0</v>
      </c>
      <c r="AG164">
        <f t="shared" si="129"/>
        <v>0</v>
      </c>
      <c r="AH164">
        <f t="shared" si="130"/>
        <v>0</v>
      </c>
      <c r="AI164">
        <f t="shared" si="131"/>
        <v>0</v>
      </c>
      <c r="AJ164">
        <f t="shared" si="132"/>
        <v>0</v>
      </c>
      <c r="AK164">
        <f t="shared" si="133"/>
        <v>0</v>
      </c>
      <c r="AL164">
        <f t="shared" si="134"/>
        <v>0</v>
      </c>
      <c r="AM164">
        <f t="shared" si="135"/>
        <v>0</v>
      </c>
      <c r="AN164">
        <f t="shared" si="136"/>
        <v>0</v>
      </c>
      <c r="AO164">
        <f t="shared" si="137"/>
        <v>0</v>
      </c>
      <c r="AP164">
        <f t="shared" si="138"/>
        <v>0</v>
      </c>
      <c r="AQ164">
        <f t="shared" si="139"/>
        <v>0</v>
      </c>
      <c r="AR164">
        <f t="shared" si="140"/>
        <v>0</v>
      </c>
      <c r="AS164">
        <f t="shared" si="141"/>
        <v>0</v>
      </c>
      <c r="AT164">
        <f t="shared" si="142"/>
        <v>0</v>
      </c>
      <c r="AU164">
        <f t="shared" si="143"/>
        <v>0</v>
      </c>
      <c r="AV164">
        <f t="shared" si="144"/>
        <v>0</v>
      </c>
      <c r="AW164">
        <f t="shared" si="98"/>
        <v>0</v>
      </c>
      <c r="AX164">
        <f t="shared" si="145"/>
        <v>0</v>
      </c>
      <c r="AY164">
        <f t="shared" si="146"/>
        <v>0</v>
      </c>
    </row>
    <row r="165" spans="1:51" x14ac:dyDescent="0.35">
      <c r="A165">
        <v>159</v>
      </c>
      <c r="C165">
        <f t="shared" si="99"/>
        <v>0</v>
      </c>
      <c r="D165">
        <f t="shared" si="100"/>
        <v>0</v>
      </c>
      <c r="E165">
        <f t="shared" si="101"/>
        <v>0</v>
      </c>
      <c r="F165">
        <f t="shared" si="102"/>
        <v>0</v>
      </c>
      <c r="G165">
        <f t="shared" si="103"/>
        <v>0</v>
      </c>
      <c r="H165">
        <f t="shared" si="104"/>
        <v>0</v>
      </c>
      <c r="I165">
        <f t="shared" si="105"/>
        <v>0</v>
      </c>
      <c r="J165">
        <f t="shared" si="106"/>
        <v>0</v>
      </c>
      <c r="K165">
        <f t="shared" si="107"/>
        <v>0</v>
      </c>
      <c r="L165">
        <f t="shared" si="108"/>
        <v>0</v>
      </c>
      <c r="M165">
        <f t="shared" si="109"/>
        <v>0</v>
      </c>
      <c r="N165">
        <f t="shared" si="110"/>
        <v>0</v>
      </c>
      <c r="O165">
        <f t="shared" si="111"/>
        <v>0</v>
      </c>
      <c r="P165">
        <f t="shared" si="112"/>
        <v>0</v>
      </c>
      <c r="Q165">
        <f t="shared" si="113"/>
        <v>0</v>
      </c>
      <c r="R165">
        <f t="shared" si="114"/>
        <v>0</v>
      </c>
      <c r="S165">
        <f t="shared" si="115"/>
        <v>0</v>
      </c>
      <c r="T165">
        <f t="shared" si="116"/>
        <v>0</v>
      </c>
      <c r="U165">
        <f t="shared" si="117"/>
        <v>0</v>
      </c>
      <c r="V165">
        <f t="shared" si="118"/>
        <v>0</v>
      </c>
      <c r="W165">
        <f t="shared" si="119"/>
        <v>0</v>
      </c>
      <c r="X165">
        <f t="shared" si="120"/>
        <v>0</v>
      </c>
      <c r="Y165">
        <f t="shared" si="121"/>
        <v>0</v>
      </c>
      <c r="Z165">
        <f t="shared" si="122"/>
        <v>0</v>
      </c>
      <c r="AA165">
        <f t="shared" si="123"/>
        <v>0</v>
      </c>
      <c r="AB165">
        <f t="shared" si="124"/>
        <v>0</v>
      </c>
      <c r="AC165">
        <f t="shared" si="125"/>
        <v>0</v>
      </c>
      <c r="AD165">
        <f t="shared" si="126"/>
        <v>0</v>
      </c>
      <c r="AE165">
        <f t="shared" si="127"/>
        <v>0</v>
      </c>
      <c r="AF165">
        <f t="shared" si="128"/>
        <v>0</v>
      </c>
      <c r="AG165">
        <f t="shared" si="129"/>
        <v>0</v>
      </c>
      <c r="AH165">
        <f t="shared" si="130"/>
        <v>0</v>
      </c>
      <c r="AI165">
        <f t="shared" si="131"/>
        <v>0</v>
      </c>
      <c r="AJ165">
        <f t="shared" si="132"/>
        <v>0</v>
      </c>
      <c r="AK165">
        <f t="shared" si="133"/>
        <v>0</v>
      </c>
      <c r="AL165">
        <f t="shared" si="134"/>
        <v>0</v>
      </c>
      <c r="AM165">
        <f t="shared" si="135"/>
        <v>0</v>
      </c>
      <c r="AN165">
        <f t="shared" si="136"/>
        <v>0</v>
      </c>
      <c r="AO165">
        <f t="shared" si="137"/>
        <v>0</v>
      </c>
      <c r="AP165">
        <f t="shared" si="138"/>
        <v>0</v>
      </c>
      <c r="AQ165">
        <f t="shared" si="139"/>
        <v>0</v>
      </c>
      <c r="AR165">
        <f t="shared" si="140"/>
        <v>0</v>
      </c>
      <c r="AS165">
        <f t="shared" si="141"/>
        <v>0</v>
      </c>
      <c r="AT165">
        <f t="shared" si="142"/>
        <v>0</v>
      </c>
      <c r="AU165">
        <f t="shared" si="143"/>
        <v>0</v>
      </c>
      <c r="AV165">
        <f t="shared" si="144"/>
        <v>0</v>
      </c>
      <c r="AW165">
        <f t="shared" si="98"/>
        <v>0</v>
      </c>
      <c r="AX165">
        <f t="shared" si="145"/>
        <v>0</v>
      </c>
      <c r="AY165">
        <f t="shared" si="146"/>
        <v>0</v>
      </c>
    </row>
    <row r="166" spans="1:51" x14ac:dyDescent="0.35">
      <c r="A166">
        <v>160</v>
      </c>
      <c r="C166">
        <f t="shared" si="99"/>
        <v>0</v>
      </c>
      <c r="D166">
        <f t="shared" si="100"/>
        <v>0</v>
      </c>
      <c r="E166">
        <f t="shared" si="101"/>
        <v>0</v>
      </c>
      <c r="F166">
        <f t="shared" si="102"/>
        <v>0</v>
      </c>
      <c r="G166">
        <f t="shared" si="103"/>
        <v>0</v>
      </c>
      <c r="H166">
        <f t="shared" si="104"/>
        <v>0</v>
      </c>
      <c r="I166">
        <f t="shared" si="105"/>
        <v>0</v>
      </c>
      <c r="J166">
        <f t="shared" si="106"/>
        <v>0</v>
      </c>
      <c r="K166">
        <f t="shared" si="107"/>
        <v>0</v>
      </c>
      <c r="L166">
        <f t="shared" si="108"/>
        <v>0</v>
      </c>
      <c r="M166">
        <f t="shared" si="109"/>
        <v>0</v>
      </c>
      <c r="N166">
        <f t="shared" si="110"/>
        <v>0</v>
      </c>
      <c r="O166">
        <f t="shared" si="111"/>
        <v>0</v>
      </c>
      <c r="P166">
        <f t="shared" si="112"/>
        <v>0</v>
      </c>
      <c r="Q166">
        <f t="shared" si="113"/>
        <v>0</v>
      </c>
      <c r="R166">
        <f t="shared" si="114"/>
        <v>0</v>
      </c>
      <c r="S166">
        <f t="shared" si="115"/>
        <v>0</v>
      </c>
      <c r="T166">
        <f t="shared" si="116"/>
        <v>0</v>
      </c>
      <c r="U166">
        <f t="shared" si="117"/>
        <v>0</v>
      </c>
      <c r="V166">
        <f t="shared" si="118"/>
        <v>0</v>
      </c>
      <c r="W166">
        <f t="shared" si="119"/>
        <v>0</v>
      </c>
      <c r="X166">
        <f t="shared" si="120"/>
        <v>0</v>
      </c>
      <c r="Y166">
        <f t="shared" si="121"/>
        <v>0</v>
      </c>
      <c r="Z166">
        <f t="shared" si="122"/>
        <v>0</v>
      </c>
      <c r="AA166">
        <f t="shared" si="123"/>
        <v>0</v>
      </c>
      <c r="AB166">
        <f t="shared" si="124"/>
        <v>0</v>
      </c>
      <c r="AC166">
        <f t="shared" si="125"/>
        <v>0</v>
      </c>
      <c r="AD166">
        <f t="shared" si="126"/>
        <v>0</v>
      </c>
      <c r="AE166">
        <f t="shared" si="127"/>
        <v>0</v>
      </c>
      <c r="AF166">
        <f t="shared" si="128"/>
        <v>0</v>
      </c>
      <c r="AG166">
        <f t="shared" si="129"/>
        <v>0</v>
      </c>
      <c r="AH166">
        <f t="shared" si="130"/>
        <v>0</v>
      </c>
      <c r="AI166">
        <f t="shared" si="131"/>
        <v>0</v>
      </c>
      <c r="AJ166">
        <f t="shared" si="132"/>
        <v>0</v>
      </c>
      <c r="AK166">
        <f t="shared" si="133"/>
        <v>0</v>
      </c>
      <c r="AL166">
        <f t="shared" si="134"/>
        <v>0</v>
      </c>
      <c r="AM166">
        <f t="shared" si="135"/>
        <v>0</v>
      </c>
      <c r="AN166">
        <f t="shared" si="136"/>
        <v>0</v>
      </c>
      <c r="AO166">
        <f t="shared" si="137"/>
        <v>0</v>
      </c>
      <c r="AP166">
        <f t="shared" si="138"/>
        <v>0</v>
      </c>
      <c r="AQ166">
        <f t="shared" si="139"/>
        <v>0</v>
      </c>
      <c r="AR166">
        <f t="shared" si="140"/>
        <v>0</v>
      </c>
      <c r="AS166">
        <f t="shared" si="141"/>
        <v>0</v>
      </c>
      <c r="AT166">
        <f t="shared" si="142"/>
        <v>0</v>
      </c>
      <c r="AU166">
        <f t="shared" si="143"/>
        <v>0</v>
      </c>
      <c r="AV166">
        <f t="shared" si="144"/>
        <v>0</v>
      </c>
      <c r="AW166">
        <f t="shared" si="98"/>
        <v>0</v>
      </c>
      <c r="AX166">
        <f t="shared" si="145"/>
        <v>0</v>
      </c>
      <c r="AY166">
        <f t="shared" si="146"/>
        <v>0</v>
      </c>
    </row>
    <row r="167" spans="1:51" x14ac:dyDescent="0.35">
      <c r="A167">
        <v>161</v>
      </c>
      <c r="C167">
        <f t="shared" si="99"/>
        <v>0</v>
      </c>
      <c r="D167">
        <f t="shared" si="100"/>
        <v>0</v>
      </c>
      <c r="E167">
        <f t="shared" si="101"/>
        <v>0</v>
      </c>
      <c r="F167">
        <f t="shared" si="102"/>
        <v>0</v>
      </c>
      <c r="G167">
        <f t="shared" si="103"/>
        <v>0</v>
      </c>
      <c r="H167">
        <f t="shared" si="104"/>
        <v>0</v>
      </c>
      <c r="I167">
        <f t="shared" si="105"/>
        <v>0</v>
      </c>
      <c r="J167">
        <f t="shared" si="106"/>
        <v>0</v>
      </c>
      <c r="K167">
        <f t="shared" si="107"/>
        <v>0</v>
      </c>
      <c r="L167">
        <f t="shared" si="108"/>
        <v>0</v>
      </c>
      <c r="M167">
        <f t="shared" si="109"/>
        <v>0</v>
      </c>
      <c r="N167">
        <f t="shared" si="110"/>
        <v>0</v>
      </c>
      <c r="O167">
        <f t="shared" si="111"/>
        <v>0</v>
      </c>
      <c r="P167">
        <f t="shared" si="112"/>
        <v>0</v>
      </c>
      <c r="Q167">
        <f t="shared" si="113"/>
        <v>0</v>
      </c>
      <c r="R167">
        <f t="shared" si="114"/>
        <v>0</v>
      </c>
      <c r="S167">
        <f t="shared" si="115"/>
        <v>0</v>
      </c>
      <c r="T167">
        <f t="shared" si="116"/>
        <v>0</v>
      </c>
      <c r="U167">
        <f t="shared" si="117"/>
        <v>0</v>
      </c>
      <c r="V167">
        <f t="shared" si="118"/>
        <v>0</v>
      </c>
      <c r="W167">
        <f t="shared" si="119"/>
        <v>0</v>
      </c>
      <c r="X167">
        <f t="shared" si="120"/>
        <v>0</v>
      </c>
      <c r="Y167">
        <f t="shared" si="121"/>
        <v>0</v>
      </c>
      <c r="Z167">
        <f t="shared" si="122"/>
        <v>0</v>
      </c>
      <c r="AA167">
        <f t="shared" si="123"/>
        <v>0</v>
      </c>
      <c r="AB167">
        <f t="shared" si="124"/>
        <v>0</v>
      </c>
      <c r="AC167">
        <f t="shared" si="125"/>
        <v>0</v>
      </c>
      <c r="AD167">
        <f t="shared" si="126"/>
        <v>0</v>
      </c>
      <c r="AE167">
        <f t="shared" si="127"/>
        <v>0</v>
      </c>
      <c r="AF167">
        <f t="shared" si="128"/>
        <v>0</v>
      </c>
      <c r="AG167">
        <f t="shared" si="129"/>
        <v>0</v>
      </c>
      <c r="AH167">
        <f t="shared" si="130"/>
        <v>0</v>
      </c>
      <c r="AI167">
        <f t="shared" si="131"/>
        <v>0</v>
      </c>
      <c r="AJ167">
        <f t="shared" si="132"/>
        <v>0</v>
      </c>
      <c r="AK167">
        <f t="shared" si="133"/>
        <v>0</v>
      </c>
      <c r="AL167">
        <f t="shared" si="134"/>
        <v>0</v>
      </c>
      <c r="AM167">
        <f t="shared" si="135"/>
        <v>0</v>
      </c>
      <c r="AN167">
        <f t="shared" si="136"/>
        <v>0</v>
      </c>
      <c r="AO167">
        <f t="shared" si="137"/>
        <v>0</v>
      </c>
      <c r="AP167">
        <f t="shared" si="138"/>
        <v>0</v>
      </c>
      <c r="AQ167">
        <f t="shared" si="139"/>
        <v>0</v>
      </c>
      <c r="AR167">
        <f t="shared" si="140"/>
        <v>0</v>
      </c>
      <c r="AS167">
        <f t="shared" si="141"/>
        <v>0</v>
      </c>
      <c r="AT167">
        <f t="shared" si="142"/>
        <v>0</v>
      </c>
      <c r="AU167">
        <f t="shared" si="143"/>
        <v>0</v>
      </c>
      <c r="AV167">
        <f t="shared" si="144"/>
        <v>0</v>
      </c>
      <c r="AW167">
        <f t="shared" si="98"/>
        <v>0</v>
      </c>
      <c r="AX167">
        <f t="shared" si="145"/>
        <v>0</v>
      </c>
      <c r="AY167">
        <f t="shared" si="146"/>
        <v>0</v>
      </c>
    </row>
    <row r="168" spans="1:51" x14ac:dyDescent="0.35">
      <c r="A168">
        <v>162</v>
      </c>
      <c r="C168">
        <f t="shared" si="99"/>
        <v>0</v>
      </c>
      <c r="D168">
        <f t="shared" si="100"/>
        <v>0</v>
      </c>
      <c r="E168">
        <f t="shared" si="101"/>
        <v>0</v>
      </c>
      <c r="F168">
        <f t="shared" si="102"/>
        <v>0</v>
      </c>
      <c r="G168">
        <f t="shared" si="103"/>
        <v>0</v>
      </c>
      <c r="H168">
        <f t="shared" si="104"/>
        <v>0</v>
      </c>
      <c r="I168">
        <f t="shared" si="105"/>
        <v>0</v>
      </c>
      <c r="J168">
        <f t="shared" si="106"/>
        <v>0</v>
      </c>
      <c r="K168">
        <f t="shared" si="107"/>
        <v>0</v>
      </c>
      <c r="L168">
        <f t="shared" si="108"/>
        <v>0</v>
      </c>
      <c r="M168">
        <f t="shared" si="109"/>
        <v>0</v>
      </c>
      <c r="N168">
        <f t="shared" si="110"/>
        <v>0</v>
      </c>
      <c r="O168">
        <f t="shared" si="111"/>
        <v>0</v>
      </c>
      <c r="P168">
        <f t="shared" si="112"/>
        <v>0</v>
      </c>
      <c r="Q168">
        <f t="shared" si="113"/>
        <v>0</v>
      </c>
      <c r="R168">
        <f t="shared" si="114"/>
        <v>0</v>
      </c>
      <c r="S168">
        <f t="shared" si="115"/>
        <v>0</v>
      </c>
      <c r="T168">
        <f t="shared" si="116"/>
        <v>0</v>
      </c>
      <c r="U168">
        <f t="shared" si="117"/>
        <v>0</v>
      </c>
      <c r="V168">
        <f t="shared" si="118"/>
        <v>0</v>
      </c>
      <c r="W168">
        <f t="shared" si="119"/>
        <v>0</v>
      </c>
      <c r="X168">
        <f t="shared" si="120"/>
        <v>0</v>
      </c>
      <c r="Y168">
        <f t="shared" si="121"/>
        <v>0</v>
      </c>
      <c r="Z168">
        <f t="shared" si="122"/>
        <v>0</v>
      </c>
      <c r="AA168">
        <f t="shared" si="123"/>
        <v>0</v>
      </c>
      <c r="AB168">
        <f t="shared" si="124"/>
        <v>0</v>
      </c>
      <c r="AC168">
        <f t="shared" si="125"/>
        <v>0</v>
      </c>
      <c r="AD168">
        <f t="shared" si="126"/>
        <v>0</v>
      </c>
      <c r="AE168">
        <f t="shared" si="127"/>
        <v>0</v>
      </c>
      <c r="AF168">
        <f t="shared" si="128"/>
        <v>0</v>
      </c>
      <c r="AG168">
        <f t="shared" si="129"/>
        <v>0</v>
      </c>
      <c r="AH168">
        <f t="shared" si="130"/>
        <v>0</v>
      </c>
      <c r="AI168">
        <f t="shared" si="131"/>
        <v>0</v>
      </c>
      <c r="AJ168">
        <f t="shared" si="132"/>
        <v>0</v>
      </c>
      <c r="AK168">
        <f t="shared" si="133"/>
        <v>0</v>
      </c>
      <c r="AL168">
        <f t="shared" si="134"/>
        <v>0</v>
      </c>
      <c r="AM168">
        <f t="shared" si="135"/>
        <v>0</v>
      </c>
      <c r="AN168">
        <f t="shared" si="136"/>
        <v>0</v>
      </c>
      <c r="AO168">
        <f t="shared" si="137"/>
        <v>0</v>
      </c>
      <c r="AP168">
        <f t="shared" si="138"/>
        <v>0</v>
      </c>
      <c r="AQ168">
        <f t="shared" si="139"/>
        <v>0</v>
      </c>
      <c r="AR168">
        <f t="shared" si="140"/>
        <v>0</v>
      </c>
      <c r="AS168">
        <f t="shared" si="141"/>
        <v>0</v>
      </c>
      <c r="AT168">
        <f t="shared" si="142"/>
        <v>0</v>
      </c>
      <c r="AU168">
        <f t="shared" si="143"/>
        <v>0</v>
      </c>
      <c r="AV168">
        <f t="shared" si="144"/>
        <v>0</v>
      </c>
      <c r="AW168">
        <f t="shared" si="98"/>
        <v>0</v>
      </c>
      <c r="AX168">
        <f t="shared" si="145"/>
        <v>0</v>
      </c>
      <c r="AY168">
        <f t="shared" si="146"/>
        <v>0</v>
      </c>
    </row>
    <row r="169" spans="1:51" x14ac:dyDescent="0.35">
      <c r="A169">
        <v>163</v>
      </c>
      <c r="C169">
        <f t="shared" si="99"/>
        <v>0</v>
      </c>
      <c r="D169">
        <f t="shared" si="100"/>
        <v>0</v>
      </c>
      <c r="E169">
        <f t="shared" si="101"/>
        <v>0</v>
      </c>
      <c r="F169">
        <f t="shared" si="102"/>
        <v>0</v>
      </c>
      <c r="G169">
        <f t="shared" si="103"/>
        <v>0</v>
      </c>
      <c r="H169">
        <f t="shared" si="104"/>
        <v>0</v>
      </c>
      <c r="I169">
        <f t="shared" si="105"/>
        <v>0</v>
      </c>
      <c r="J169">
        <f t="shared" si="106"/>
        <v>0</v>
      </c>
      <c r="K169">
        <f t="shared" si="107"/>
        <v>0</v>
      </c>
      <c r="L169">
        <f t="shared" si="108"/>
        <v>0</v>
      </c>
      <c r="M169">
        <f t="shared" si="109"/>
        <v>0</v>
      </c>
      <c r="N169">
        <f t="shared" si="110"/>
        <v>0</v>
      </c>
      <c r="O169">
        <f t="shared" si="111"/>
        <v>0</v>
      </c>
      <c r="P169">
        <f t="shared" si="112"/>
        <v>0</v>
      </c>
      <c r="Q169">
        <f t="shared" si="113"/>
        <v>0</v>
      </c>
      <c r="R169">
        <f t="shared" si="114"/>
        <v>0</v>
      </c>
      <c r="S169">
        <f t="shared" si="115"/>
        <v>0</v>
      </c>
      <c r="T169">
        <f t="shared" si="116"/>
        <v>0</v>
      </c>
      <c r="U169">
        <f t="shared" si="117"/>
        <v>0</v>
      </c>
      <c r="V169">
        <f t="shared" si="118"/>
        <v>0</v>
      </c>
      <c r="W169">
        <f t="shared" si="119"/>
        <v>0</v>
      </c>
      <c r="X169">
        <f t="shared" si="120"/>
        <v>0</v>
      </c>
      <c r="Y169">
        <f t="shared" si="121"/>
        <v>0</v>
      </c>
      <c r="Z169">
        <f t="shared" si="122"/>
        <v>0</v>
      </c>
      <c r="AA169">
        <f t="shared" si="123"/>
        <v>0</v>
      </c>
      <c r="AB169">
        <f t="shared" si="124"/>
        <v>0</v>
      </c>
      <c r="AC169">
        <f t="shared" si="125"/>
        <v>0</v>
      </c>
      <c r="AD169">
        <f t="shared" si="126"/>
        <v>0</v>
      </c>
      <c r="AE169">
        <f t="shared" si="127"/>
        <v>0</v>
      </c>
      <c r="AF169">
        <f t="shared" si="128"/>
        <v>0</v>
      </c>
      <c r="AG169">
        <f t="shared" si="129"/>
        <v>0</v>
      </c>
      <c r="AH169">
        <f t="shared" si="130"/>
        <v>0</v>
      </c>
      <c r="AI169">
        <f t="shared" si="131"/>
        <v>0</v>
      </c>
      <c r="AJ169">
        <f t="shared" si="132"/>
        <v>0</v>
      </c>
      <c r="AK169">
        <f t="shared" si="133"/>
        <v>0</v>
      </c>
      <c r="AL169">
        <f t="shared" si="134"/>
        <v>0</v>
      </c>
      <c r="AM169">
        <f t="shared" si="135"/>
        <v>0</v>
      </c>
      <c r="AN169">
        <f t="shared" si="136"/>
        <v>0</v>
      </c>
      <c r="AO169">
        <f t="shared" si="137"/>
        <v>0</v>
      </c>
      <c r="AP169">
        <f t="shared" si="138"/>
        <v>0</v>
      </c>
      <c r="AQ169">
        <f t="shared" si="139"/>
        <v>0</v>
      </c>
      <c r="AR169">
        <f t="shared" si="140"/>
        <v>0</v>
      </c>
      <c r="AS169">
        <f t="shared" si="141"/>
        <v>0</v>
      </c>
      <c r="AT169">
        <f t="shared" si="142"/>
        <v>0</v>
      </c>
      <c r="AU169">
        <f t="shared" si="143"/>
        <v>0</v>
      </c>
      <c r="AV169">
        <f t="shared" si="144"/>
        <v>0</v>
      </c>
      <c r="AW169">
        <f t="shared" si="98"/>
        <v>0</v>
      </c>
      <c r="AX169">
        <f t="shared" si="145"/>
        <v>0</v>
      </c>
      <c r="AY169">
        <f t="shared" si="146"/>
        <v>0</v>
      </c>
    </row>
    <row r="170" spans="1:51" x14ac:dyDescent="0.35">
      <c r="A170">
        <v>164</v>
      </c>
      <c r="C170">
        <f t="shared" si="99"/>
        <v>0</v>
      </c>
      <c r="D170">
        <f t="shared" si="100"/>
        <v>0</v>
      </c>
      <c r="E170">
        <f t="shared" si="101"/>
        <v>0</v>
      </c>
      <c r="F170">
        <f t="shared" si="102"/>
        <v>0</v>
      </c>
      <c r="G170">
        <f t="shared" si="103"/>
        <v>0</v>
      </c>
      <c r="H170">
        <f t="shared" si="104"/>
        <v>0</v>
      </c>
      <c r="I170">
        <f t="shared" si="105"/>
        <v>0</v>
      </c>
      <c r="J170">
        <f t="shared" si="106"/>
        <v>0</v>
      </c>
      <c r="K170">
        <f t="shared" si="107"/>
        <v>0</v>
      </c>
      <c r="L170">
        <f t="shared" si="108"/>
        <v>0</v>
      </c>
      <c r="M170">
        <f t="shared" si="109"/>
        <v>0</v>
      </c>
      <c r="N170">
        <f t="shared" si="110"/>
        <v>0</v>
      </c>
      <c r="O170">
        <f t="shared" si="111"/>
        <v>0</v>
      </c>
      <c r="P170">
        <f t="shared" si="112"/>
        <v>0</v>
      </c>
      <c r="Q170">
        <f t="shared" si="113"/>
        <v>0</v>
      </c>
      <c r="R170">
        <f t="shared" si="114"/>
        <v>0</v>
      </c>
      <c r="S170">
        <f t="shared" si="115"/>
        <v>0</v>
      </c>
      <c r="T170">
        <f t="shared" si="116"/>
        <v>0</v>
      </c>
      <c r="U170">
        <f t="shared" si="117"/>
        <v>0</v>
      </c>
      <c r="V170">
        <f t="shared" si="118"/>
        <v>0</v>
      </c>
      <c r="W170">
        <f t="shared" si="119"/>
        <v>0</v>
      </c>
      <c r="X170">
        <f t="shared" si="120"/>
        <v>0</v>
      </c>
      <c r="Y170">
        <f t="shared" si="121"/>
        <v>0</v>
      </c>
      <c r="Z170">
        <f t="shared" si="122"/>
        <v>0</v>
      </c>
      <c r="AA170">
        <f t="shared" si="123"/>
        <v>0</v>
      </c>
      <c r="AB170">
        <f t="shared" si="124"/>
        <v>0</v>
      </c>
      <c r="AC170">
        <f t="shared" si="125"/>
        <v>0</v>
      </c>
      <c r="AD170">
        <f t="shared" si="126"/>
        <v>0</v>
      </c>
      <c r="AE170">
        <f t="shared" si="127"/>
        <v>0</v>
      </c>
      <c r="AF170">
        <f t="shared" si="128"/>
        <v>0</v>
      </c>
      <c r="AG170">
        <f t="shared" si="129"/>
        <v>0</v>
      </c>
      <c r="AH170">
        <f t="shared" si="130"/>
        <v>0</v>
      </c>
      <c r="AI170">
        <f t="shared" si="131"/>
        <v>0</v>
      </c>
      <c r="AJ170">
        <f t="shared" si="132"/>
        <v>0</v>
      </c>
      <c r="AK170">
        <f t="shared" si="133"/>
        <v>0</v>
      </c>
      <c r="AL170">
        <f t="shared" si="134"/>
        <v>0</v>
      </c>
      <c r="AM170">
        <f t="shared" si="135"/>
        <v>0</v>
      </c>
      <c r="AN170">
        <f t="shared" si="136"/>
        <v>0</v>
      </c>
      <c r="AO170">
        <f t="shared" si="137"/>
        <v>0</v>
      </c>
      <c r="AP170">
        <f t="shared" si="138"/>
        <v>0</v>
      </c>
      <c r="AQ170">
        <f t="shared" si="139"/>
        <v>0</v>
      </c>
      <c r="AR170">
        <f t="shared" si="140"/>
        <v>0</v>
      </c>
      <c r="AS170">
        <f t="shared" si="141"/>
        <v>0</v>
      </c>
      <c r="AT170">
        <f t="shared" si="142"/>
        <v>0</v>
      </c>
      <c r="AU170">
        <f t="shared" si="143"/>
        <v>0</v>
      </c>
      <c r="AV170">
        <f t="shared" si="144"/>
        <v>0</v>
      </c>
      <c r="AW170">
        <f t="shared" si="98"/>
        <v>0</v>
      </c>
      <c r="AX170">
        <f t="shared" si="145"/>
        <v>0</v>
      </c>
      <c r="AY170">
        <f t="shared" si="146"/>
        <v>0</v>
      </c>
    </row>
    <row r="171" spans="1:51" x14ac:dyDescent="0.35">
      <c r="A171">
        <v>165</v>
      </c>
      <c r="C171">
        <f t="shared" si="99"/>
        <v>0</v>
      </c>
      <c r="D171">
        <f t="shared" si="100"/>
        <v>0</v>
      </c>
      <c r="E171">
        <f t="shared" si="101"/>
        <v>0</v>
      </c>
      <c r="F171">
        <f t="shared" si="102"/>
        <v>0</v>
      </c>
      <c r="G171">
        <f t="shared" si="103"/>
        <v>0</v>
      </c>
      <c r="H171">
        <f t="shared" si="104"/>
        <v>0</v>
      </c>
      <c r="I171">
        <f t="shared" si="105"/>
        <v>0</v>
      </c>
      <c r="J171">
        <f t="shared" si="106"/>
        <v>0</v>
      </c>
      <c r="K171">
        <f t="shared" si="107"/>
        <v>0</v>
      </c>
      <c r="L171">
        <f t="shared" si="108"/>
        <v>0</v>
      </c>
      <c r="M171">
        <f t="shared" si="109"/>
        <v>0</v>
      </c>
      <c r="N171">
        <f t="shared" si="110"/>
        <v>0</v>
      </c>
      <c r="O171">
        <f t="shared" si="111"/>
        <v>0</v>
      </c>
      <c r="P171">
        <f t="shared" si="112"/>
        <v>0</v>
      </c>
      <c r="Q171">
        <f t="shared" si="113"/>
        <v>0</v>
      </c>
      <c r="R171">
        <f t="shared" si="114"/>
        <v>0</v>
      </c>
      <c r="S171">
        <f t="shared" si="115"/>
        <v>0</v>
      </c>
      <c r="T171">
        <f t="shared" si="116"/>
        <v>0</v>
      </c>
      <c r="U171">
        <f t="shared" si="117"/>
        <v>0</v>
      </c>
      <c r="V171">
        <f t="shared" si="118"/>
        <v>0</v>
      </c>
      <c r="W171">
        <f t="shared" si="119"/>
        <v>0</v>
      </c>
      <c r="X171">
        <f t="shared" si="120"/>
        <v>0</v>
      </c>
      <c r="Y171">
        <f t="shared" si="121"/>
        <v>0</v>
      </c>
      <c r="Z171">
        <f t="shared" si="122"/>
        <v>0</v>
      </c>
      <c r="AA171">
        <f t="shared" si="123"/>
        <v>0</v>
      </c>
      <c r="AB171">
        <f t="shared" si="124"/>
        <v>0</v>
      </c>
      <c r="AC171">
        <f t="shared" si="125"/>
        <v>0</v>
      </c>
      <c r="AD171">
        <f t="shared" si="126"/>
        <v>0</v>
      </c>
      <c r="AE171">
        <f t="shared" si="127"/>
        <v>0</v>
      </c>
      <c r="AF171">
        <f t="shared" si="128"/>
        <v>0</v>
      </c>
      <c r="AG171">
        <f t="shared" si="129"/>
        <v>0</v>
      </c>
      <c r="AH171">
        <f t="shared" si="130"/>
        <v>0</v>
      </c>
      <c r="AI171">
        <f t="shared" si="131"/>
        <v>0</v>
      </c>
      <c r="AJ171">
        <f t="shared" si="132"/>
        <v>0</v>
      </c>
      <c r="AK171">
        <f t="shared" si="133"/>
        <v>0</v>
      </c>
      <c r="AL171">
        <f t="shared" si="134"/>
        <v>0</v>
      </c>
      <c r="AM171">
        <f t="shared" si="135"/>
        <v>0</v>
      </c>
      <c r="AN171">
        <f t="shared" si="136"/>
        <v>0</v>
      </c>
      <c r="AO171">
        <f t="shared" si="137"/>
        <v>0</v>
      </c>
      <c r="AP171">
        <f t="shared" si="138"/>
        <v>0</v>
      </c>
      <c r="AQ171">
        <f t="shared" si="139"/>
        <v>0</v>
      </c>
      <c r="AR171">
        <f t="shared" si="140"/>
        <v>0</v>
      </c>
      <c r="AS171">
        <f t="shared" si="141"/>
        <v>0</v>
      </c>
      <c r="AT171">
        <f t="shared" si="142"/>
        <v>0</v>
      </c>
      <c r="AU171">
        <f t="shared" si="143"/>
        <v>0</v>
      </c>
      <c r="AV171">
        <f t="shared" si="144"/>
        <v>0</v>
      </c>
      <c r="AW171">
        <f t="shared" si="98"/>
        <v>0</v>
      </c>
      <c r="AX171">
        <f t="shared" si="145"/>
        <v>0</v>
      </c>
      <c r="AY171">
        <f t="shared" si="146"/>
        <v>0</v>
      </c>
    </row>
    <row r="172" spans="1:51" x14ac:dyDescent="0.35">
      <c r="A172">
        <v>166</v>
      </c>
      <c r="C172">
        <f t="shared" si="99"/>
        <v>0</v>
      </c>
      <c r="D172">
        <f t="shared" si="100"/>
        <v>0</v>
      </c>
      <c r="E172">
        <f t="shared" si="101"/>
        <v>0</v>
      </c>
      <c r="F172">
        <f t="shared" si="102"/>
        <v>0</v>
      </c>
      <c r="G172">
        <f t="shared" si="103"/>
        <v>0</v>
      </c>
      <c r="H172">
        <f t="shared" si="104"/>
        <v>0</v>
      </c>
      <c r="I172">
        <f t="shared" si="105"/>
        <v>0</v>
      </c>
      <c r="J172">
        <f t="shared" si="106"/>
        <v>0</v>
      </c>
      <c r="K172">
        <f t="shared" si="107"/>
        <v>0</v>
      </c>
      <c r="L172">
        <f t="shared" si="108"/>
        <v>0</v>
      </c>
      <c r="M172">
        <f t="shared" si="109"/>
        <v>0</v>
      </c>
      <c r="N172">
        <f t="shared" si="110"/>
        <v>0</v>
      </c>
      <c r="O172">
        <f t="shared" si="111"/>
        <v>0</v>
      </c>
      <c r="P172">
        <f t="shared" si="112"/>
        <v>0</v>
      </c>
      <c r="Q172">
        <f t="shared" si="113"/>
        <v>0</v>
      </c>
      <c r="R172">
        <f t="shared" si="114"/>
        <v>0</v>
      </c>
      <c r="S172">
        <f t="shared" si="115"/>
        <v>0</v>
      </c>
      <c r="T172">
        <f t="shared" si="116"/>
        <v>0</v>
      </c>
      <c r="U172">
        <f t="shared" si="117"/>
        <v>0</v>
      </c>
      <c r="V172">
        <f t="shared" si="118"/>
        <v>0</v>
      </c>
      <c r="W172">
        <f t="shared" si="119"/>
        <v>0</v>
      </c>
      <c r="X172">
        <f t="shared" si="120"/>
        <v>0</v>
      </c>
      <c r="Y172">
        <f t="shared" si="121"/>
        <v>0</v>
      </c>
      <c r="Z172">
        <f t="shared" si="122"/>
        <v>0</v>
      </c>
      <c r="AA172">
        <f t="shared" si="123"/>
        <v>0</v>
      </c>
      <c r="AB172">
        <f t="shared" si="124"/>
        <v>0</v>
      </c>
      <c r="AC172">
        <f t="shared" si="125"/>
        <v>0</v>
      </c>
      <c r="AD172">
        <f t="shared" si="126"/>
        <v>0</v>
      </c>
      <c r="AE172">
        <f t="shared" si="127"/>
        <v>0</v>
      </c>
      <c r="AF172">
        <f t="shared" si="128"/>
        <v>0</v>
      </c>
      <c r="AG172">
        <f t="shared" si="129"/>
        <v>0</v>
      </c>
      <c r="AH172">
        <f t="shared" si="130"/>
        <v>0</v>
      </c>
      <c r="AI172">
        <f t="shared" si="131"/>
        <v>0</v>
      </c>
      <c r="AJ172">
        <f t="shared" si="132"/>
        <v>0</v>
      </c>
      <c r="AK172">
        <f t="shared" si="133"/>
        <v>0</v>
      </c>
      <c r="AL172">
        <f t="shared" si="134"/>
        <v>0</v>
      </c>
      <c r="AM172">
        <f t="shared" si="135"/>
        <v>0</v>
      </c>
      <c r="AN172">
        <f t="shared" si="136"/>
        <v>0</v>
      </c>
      <c r="AO172">
        <f t="shared" si="137"/>
        <v>0</v>
      </c>
      <c r="AP172">
        <f t="shared" si="138"/>
        <v>0</v>
      </c>
      <c r="AQ172">
        <f t="shared" si="139"/>
        <v>0</v>
      </c>
      <c r="AR172">
        <f t="shared" si="140"/>
        <v>0</v>
      </c>
      <c r="AS172">
        <f t="shared" si="141"/>
        <v>0</v>
      </c>
      <c r="AT172">
        <f t="shared" si="142"/>
        <v>0</v>
      </c>
      <c r="AU172">
        <f t="shared" si="143"/>
        <v>0</v>
      </c>
      <c r="AV172">
        <f t="shared" si="144"/>
        <v>0</v>
      </c>
      <c r="AW172">
        <f t="shared" si="98"/>
        <v>0</v>
      </c>
      <c r="AX172">
        <f t="shared" si="145"/>
        <v>0</v>
      </c>
      <c r="AY172">
        <f t="shared" si="146"/>
        <v>0</v>
      </c>
    </row>
    <row r="173" spans="1:51" x14ac:dyDescent="0.35">
      <c r="A173">
        <v>167</v>
      </c>
      <c r="C173">
        <f t="shared" si="99"/>
        <v>0</v>
      </c>
      <c r="D173">
        <f t="shared" si="100"/>
        <v>0</v>
      </c>
      <c r="E173">
        <f t="shared" si="101"/>
        <v>0</v>
      </c>
      <c r="F173">
        <f t="shared" si="102"/>
        <v>0</v>
      </c>
      <c r="G173">
        <f t="shared" si="103"/>
        <v>0</v>
      </c>
      <c r="H173">
        <f t="shared" si="104"/>
        <v>0</v>
      </c>
      <c r="I173">
        <f t="shared" si="105"/>
        <v>0</v>
      </c>
      <c r="J173">
        <f t="shared" si="106"/>
        <v>0</v>
      </c>
      <c r="K173">
        <f t="shared" si="107"/>
        <v>0</v>
      </c>
      <c r="L173">
        <f t="shared" si="108"/>
        <v>0</v>
      </c>
      <c r="M173">
        <f t="shared" si="109"/>
        <v>0</v>
      </c>
      <c r="N173">
        <f t="shared" si="110"/>
        <v>0</v>
      </c>
      <c r="O173">
        <f t="shared" si="111"/>
        <v>0</v>
      </c>
      <c r="P173">
        <f t="shared" si="112"/>
        <v>0</v>
      </c>
      <c r="Q173">
        <f t="shared" si="113"/>
        <v>0</v>
      </c>
      <c r="R173">
        <f t="shared" si="114"/>
        <v>0</v>
      </c>
      <c r="S173">
        <f t="shared" si="115"/>
        <v>0</v>
      </c>
      <c r="T173">
        <f t="shared" si="116"/>
        <v>0</v>
      </c>
      <c r="U173">
        <f t="shared" si="117"/>
        <v>0</v>
      </c>
      <c r="V173">
        <f t="shared" si="118"/>
        <v>0</v>
      </c>
      <c r="W173">
        <f t="shared" si="119"/>
        <v>0</v>
      </c>
      <c r="X173">
        <f t="shared" si="120"/>
        <v>0</v>
      </c>
      <c r="Y173">
        <f t="shared" si="121"/>
        <v>0</v>
      </c>
      <c r="Z173">
        <f t="shared" si="122"/>
        <v>0</v>
      </c>
      <c r="AA173">
        <f t="shared" si="123"/>
        <v>0</v>
      </c>
      <c r="AB173">
        <f t="shared" si="124"/>
        <v>0</v>
      </c>
      <c r="AC173">
        <f t="shared" si="125"/>
        <v>0</v>
      </c>
      <c r="AD173">
        <f t="shared" si="126"/>
        <v>0</v>
      </c>
      <c r="AE173">
        <f t="shared" si="127"/>
        <v>0</v>
      </c>
      <c r="AF173">
        <f t="shared" si="128"/>
        <v>0</v>
      </c>
      <c r="AG173">
        <f t="shared" si="129"/>
        <v>0</v>
      </c>
      <c r="AH173">
        <f t="shared" si="130"/>
        <v>0</v>
      </c>
      <c r="AI173">
        <f t="shared" si="131"/>
        <v>0</v>
      </c>
      <c r="AJ173">
        <f t="shared" si="132"/>
        <v>0</v>
      </c>
      <c r="AK173">
        <f t="shared" si="133"/>
        <v>0</v>
      </c>
      <c r="AL173">
        <f t="shared" si="134"/>
        <v>0</v>
      </c>
      <c r="AM173">
        <f t="shared" si="135"/>
        <v>0</v>
      </c>
      <c r="AN173">
        <f t="shared" si="136"/>
        <v>0</v>
      </c>
      <c r="AO173">
        <f t="shared" si="137"/>
        <v>0</v>
      </c>
      <c r="AP173">
        <f t="shared" si="138"/>
        <v>0</v>
      </c>
      <c r="AQ173">
        <f t="shared" si="139"/>
        <v>0</v>
      </c>
      <c r="AR173">
        <f t="shared" si="140"/>
        <v>0</v>
      </c>
      <c r="AS173">
        <f t="shared" si="141"/>
        <v>0</v>
      </c>
      <c r="AT173">
        <f t="shared" si="142"/>
        <v>0</v>
      </c>
      <c r="AU173">
        <f t="shared" si="143"/>
        <v>0</v>
      </c>
      <c r="AV173">
        <f t="shared" si="144"/>
        <v>0</v>
      </c>
      <c r="AW173">
        <f t="shared" si="98"/>
        <v>0</v>
      </c>
      <c r="AX173">
        <f t="shared" si="145"/>
        <v>0</v>
      </c>
      <c r="AY173">
        <f t="shared" si="146"/>
        <v>0</v>
      </c>
    </row>
    <row r="174" spans="1:51" x14ac:dyDescent="0.35">
      <c r="A174">
        <v>168</v>
      </c>
      <c r="C174">
        <f t="shared" si="99"/>
        <v>0</v>
      </c>
      <c r="D174">
        <f t="shared" si="100"/>
        <v>0</v>
      </c>
      <c r="E174">
        <f t="shared" si="101"/>
        <v>0</v>
      </c>
      <c r="F174">
        <f t="shared" si="102"/>
        <v>0</v>
      </c>
      <c r="G174">
        <f t="shared" si="103"/>
        <v>0</v>
      </c>
      <c r="H174">
        <f t="shared" si="104"/>
        <v>0</v>
      </c>
      <c r="I174">
        <f t="shared" si="105"/>
        <v>0</v>
      </c>
      <c r="J174">
        <f t="shared" si="106"/>
        <v>0</v>
      </c>
      <c r="K174">
        <f t="shared" si="107"/>
        <v>0</v>
      </c>
      <c r="L174">
        <f t="shared" si="108"/>
        <v>0</v>
      </c>
      <c r="M174">
        <f t="shared" si="109"/>
        <v>0</v>
      </c>
      <c r="N174">
        <f t="shared" si="110"/>
        <v>0</v>
      </c>
      <c r="O174">
        <f t="shared" si="111"/>
        <v>0</v>
      </c>
      <c r="P174">
        <f t="shared" si="112"/>
        <v>0</v>
      </c>
      <c r="Q174">
        <f t="shared" si="113"/>
        <v>0</v>
      </c>
      <c r="R174">
        <f t="shared" si="114"/>
        <v>0</v>
      </c>
      <c r="S174">
        <f t="shared" si="115"/>
        <v>0</v>
      </c>
      <c r="T174">
        <f t="shared" si="116"/>
        <v>0</v>
      </c>
      <c r="U174">
        <f t="shared" si="117"/>
        <v>0</v>
      </c>
      <c r="V174">
        <f t="shared" si="118"/>
        <v>0</v>
      </c>
      <c r="W174">
        <f t="shared" si="119"/>
        <v>0</v>
      </c>
      <c r="X174">
        <f t="shared" si="120"/>
        <v>0</v>
      </c>
      <c r="Y174">
        <f t="shared" si="121"/>
        <v>0</v>
      </c>
      <c r="Z174">
        <f t="shared" si="122"/>
        <v>0</v>
      </c>
      <c r="AA174">
        <f t="shared" si="123"/>
        <v>0</v>
      </c>
      <c r="AB174">
        <f t="shared" si="124"/>
        <v>0</v>
      </c>
      <c r="AC174">
        <f t="shared" si="125"/>
        <v>0</v>
      </c>
      <c r="AD174">
        <f t="shared" si="126"/>
        <v>0</v>
      </c>
      <c r="AE174">
        <f t="shared" si="127"/>
        <v>0</v>
      </c>
      <c r="AF174">
        <f t="shared" si="128"/>
        <v>0</v>
      </c>
      <c r="AG174">
        <f t="shared" si="129"/>
        <v>0</v>
      </c>
      <c r="AH174">
        <f t="shared" si="130"/>
        <v>0</v>
      </c>
      <c r="AI174">
        <f t="shared" si="131"/>
        <v>0</v>
      </c>
      <c r="AJ174">
        <f t="shared" si="132"/>
        <v>0</v>
      </c>
      <c r="AK174">
        <f t="shared" si="133"/>
        <v>0</v>
      </c>
      <c r="AL174">
        <f t="shared" si="134"/>
        <v>0</v>
      </c>
      <c r="AM174">
        <f t="shared" si="135"/>
        <v>0</v>
      </c>
      <c r="AN174">
        <f t="shared" si="136"/>
        <v>0</v>
      </c>
      <c r="AO174">
        <f t="shared" si="137"/>
        <v>0</v>
      </c>
      <c r="AP174">
        <f t="shared" si="138"/>
        <v>0</v>
      </c>
      <c r="AQ174">
        <f t="shared" si="139"/>
        <v>0</v>
      </c>
      <c r="AR174">
        <f t="shared" si="140"/>
        <v>0</v>
      </c>
      <c r="AS174">
        <f t="shared" si="141"/>
        <v>0</v>
      </c>
      <c r="AT174">
        <f t="shared" si="142"/>
        <v>0</v>
      </c>
      <c r="AU174">
        <f t="shared" si="143"/>
        <v>0</v>
      </c>
      <c r="AV174">
        <f t="shared" si="144"/>
        <v>0</v>
      </c>
      <c r="AW174">
        <f t="shared" si="98"/>
        <v>0</v>
      </c>
      <c r="AX174">
        <f t="shared" si="145"/>
        <v>0</v>
      </c>
      <c r="AY174">
        <f t="shared" si="146"/>
        <v>0</v>
      </c>
    </row>
    <row r="175" spans="1:51" x14ac:dyDescent="0.35">
      <c r="A175">
        <v>169</v>
      </c>
      <c r="C175">
        <f t="shared" si="99"/>
        <v>0</v>
      </c>
      <c r="D175">
        <f t="shared" si="100"/>
        <v>0</v>
      </c>
      <c r="E175">
        <f t="shared" si="101"/>
        <v>0</v>
      </c>
      <c r="F175">
        <f t="shared" si="102"/>
        <v>0</v>
      </c>
      <c r="G175">
        <f t="shared" si="103"/>
        <v>0</v>
      </c>
      <c r="H175">
        <f t="shared" si="104"/>
        <v>0</v>
      </c>
      <c r="I175">
        <f t="shared" si="105"/>
        <v>0</v>
      </c>
      <c r="J175">
        <f t="shared" si="106"/>
        <v>0</v>
      </c>
      <c r="K175">
        <f t="shared" si="107"/>
        <v>0</v>
      </c>
      <c r="L175">
        <f t="shared" si="108"/>
        <v>0</v>
      </c>
      <c r="M175">
        <f t="shared" si="109"/>
        <v>0</v>
      </c>
      <c r="N175">
        <f t="shared" si="110"/>
        <v>0</v>
      </c>
      <c r="O175">
        <f t="shared" si="111"/>
        <v>0</v>
      </c>
      <c r="P175">
        <f t="shared" si="112"/>
        <v>0</v>
      </c>
      <c r="Q175">
        <f t="shared" si="113"/>
        <v>0</v>
      </c>
      <c r="R175">
        <f t="shared" si="114"/>
        <v>0</v>
      </c>
      <c r="S175">
        <f t="shared" si="115"/>
        <v>0</v>
      </c>
      <c r="T175">
        <f t="shared" si="116"/>
        <v>0</v>
      </c>
      <c r="U175">
        <f t="shared" si="117"/>
        <v>0</v>
      </c>
      <c r="V175">
        <f t="shared" si="118"/>
        <v>0</v>
      </c>
      <c r="W175">
        <f t="shared" si="119"/>
        <v>0</v>
      </c>
      <c r="X175">
        <f t="shared" si="120"/>
        <v>0</v>
      </c>
      <c r="Y175">
        <f t="shared" si="121"/>
        <v>0</v>
      </c>
      <c r="Z175">
        <f t="shared" si="122"/>
        <v>0</v>
      </c>
      <c r="AA175">
        <f t="shared" si="123"/>
        <v>0</v>
      </c>
      <c r="AB175">
        <f t="shared" si="124"/>
        <v>0</v>
      </c>
      <c r="AC175">
        <f t="shared" si="125"/>
        <v>0</v>
      </c>
      <c r="AD175">
        <f t="shared" si="126"/>
        <v>0</v>
      </c>
      <c r="AE175">
        <f t="shared" si="127"/>
        <v>0</v>
      </c>
      <c r="AF175">
        <f t="shared" si="128"/>
        <v>0</v>
      </c>
      <c r="AG175">
        <f t="shared" si="129"/>
        <v>0</v>
      </c>
      <c r="AH175">
        <f t="shared" si="130"/>
        <v>0</v>
      </c>
      <c r="AI175">
        <f t="shared" si="131"/>
        <v>0</v>
      </c>
      <c r="AJ175">
        <f t="shared" si="132"/>
        <v>0</v>
      </c>
      <c r="AK175">
        <f t="shared" si="133"/>
        <v>0</v>
      </c>
      <c r="AL175">
        <f t="shared" si="134"/>
        <v>0</v>
      </c>
      <c r="AM175">
        <f t="shared" si="135"/>
        <v>0</v>
      </c>
      <c r="AN175">
        <f t="shared" si="136"/>
        <v>0</v>
      </c>
      <c r="AO175">
        <f t="shared" si="137"/>
        <v>0</v>
      </c>
      <c r="AP175">
        <f t="shared" si="138"/>
        <v>0</v>
      </c>
      <c r="AQ175">
        <f t="shared" si="139"/>
        <v>0</v>
      </c>
      <c r="AR175">
        <f t="shared" si="140"/>
        <v>0</v>
      </c>
      <c r="AS175">
        <f t="shared" si="141"/>
        <v>0</v>
      </c>
      <c r="AT175">
        <f t="shared" si="142"/>
        <v>0</v>
      </c>
      <c r="AU175">
        <f t="shared" si="143"/>
        <v>0</v>
      </c>
      <c r="AV175">
        <f t="shared" si="144"/>
        <v>0</v>
      </c>
      <c r="AW175">
        <f t="shared" si="98"/>
        <v>0</v>
      </c>
      <c r="AX175">
        <f t="shared" si="145"/>
        <v>0</v>
      </c>
      <c r="AY175">
        <f t="shared" si="146"/>
        <v>0</v>
      </c>
    </row>
    <row r="176" spans="1:51" x14ac:dyDescent="0.35">
      <c r="A176">
        <v>170</v>
      </c>
      <c r="C176">
        <f t="shared" si="99"/>
        <v>0</v>
      </c>
      <c r="D176">
        <f t="shared" si="100"/>
        <v>0</v>
      </c>
      <c r="E176">
        <f t="shared" si="101"/>
        <v>0</v>
      </c>
      <c r="F176">
        <f t="shared" si="102"/>
        <v>0</v>
      </c>
      <c r="G176">
        <f t="shared" si="103"/>
        <v>0</v>
      </c>
      <c r="H176">
        <f t="shared" si="104"/>
        <v>0</v>
      </c>
      <c r="I176">
        <f t="shared" si="105"/>
        <v>0</v>
      </c>
      <c r="J176">
        <f t="shared" si="106"/>
        <v>0</v>
      </c>
      <c r="K176">
        <f t="shared" si="107"/>
        <v>0</v>
      </c>
      <c r="L176">
        <f t="shared" si="108"/>
        <v>0</v>
      </c>
      <c r="M176">
        <f t="shared" si="109"/>
        <v>0</v>
      </c>
      <c r="N176">
        <f t="shared" si="110"/>
        <v>0</v>
      </c>
      <c r="O176">
        <f t="shared" si="111"/>
        <v>0</v>
      </c>
      <c r="P176">
        <f t="shared" si="112"/>
        <v>0</v>
      </c>
      <c r="Q176">
        <f t="shared" si="113"/>
        <v>0</v>
      </c>
      <c r="R176">
        <f t="shared" si="114"/>
        <v>0</v>
      </c>
      <c r="S176">
        <f t="shared" si="115"/>
        <v>0</v>
      </c>
      <c r="T176">
        <f t="shared" si="116"/>
        <v>0</v>
      </c>
      <c r="U176">
        <f t="shared" si="117"/>
        <v>0</v>
      </c>
      <c r="V176">
        <f t="shared" si="118"/>
        <v>0</v>
      </c>
      <c r="W176">
        <f t="shared" si="119"/>
        <v>0</v>
      </c>
      <c r="X176">
        <f t="shared" si="120"/>
        <v>0</v>
      </c>
      <c r="Y176">
        <f t="shared" si="121"/>
        <v>0</v>
      </c>
      <c r="Z176">
        <f t="shared" si="122"/>
        <v>0</v>
      </c>
      <c r="AA176">
        <f t="shared" si="123"/>
        <v>0</v>
      </c>
      <c r="AB176">
        <f t="shared" si="124"/>
        <v>0</v>
      </c>
      <c r="AC176">
        <f t="shared" si="125"/>
        <v>0</v>
      </c>
      <c r="AD176">
        <f t="shared" si="126"/>
        <v>0</v>
      </c>
      <c r="AE176">
        <f t="shared" si="127"/>
        <v>0</v>
      </c>
      <c r="AF176">
        <f t="shared" si="128"/>
        <v>0</v>
      </c>
      <c r="AG176">
        <f t="shared" si="129"/>
        <v>0</v>
      </c>
      <c r="AH176">
        <f t="shared" si="130"/>
        <v>0</v>
      </c>
      <c r="AI176">
        <f t="shared" si="131"/>
        <v>0</v>
      </c>
      <c r="AJ176">
        <f t="shared" si="132"/>
        <v>0</v>
      </c>
      <c r="AK176">
        <f t="shared" si="133"/>
        <v>0</v>
      </c>
      <c r="AL176">
        <f t="shared" si="134"/>
        <v>0</v>
      </c>
      <c r="AM176">
        <f t="shared" si="135"/>
        <v>0</v>
      </c>
      <c r="AN176">
        <f t="shared" si="136"/>
        <v>0</v>
      </c>
      <c r="AO176">
        <f t="shared" si="137"/>
        <v>0</v>
      </c>
      <c r="AP176">
        <f t="shared" si="138"/>
        <v>0</v>
      </c>
      <c r="AQ176">
        <f t="shared" si="139"/>
        <v>0</v>
      </c>
      <c r="AR176">
        <f t="shared" si="140"/>
        <v>0</v>
      </c>
      <c r="AS176">
        <f t="shared" si="141"/>
        <v>0</v>
      </c>
      <c r="AT176">
        <f t="shared" si="142"/>
        <v>0</v>
      </c>
      <c r="AU176">
        <f t="shared" si="143"/>
        <v>0</v>
      </c>
      <c r="AV176">
        <f t="shared" si="144"/>
        <v>0</v>
      </c>
      <c r="AW176">
        <f t="shared" si="98"/>
        <v>0</v>
      </c>
      <c r="AX176">
        <f t="shared" si="145"/>
        <v>0</v>
      </c>
      <c r="AY176">
        <f t="shared" si="146"/>
        <v>0</v>
      </c>
    </row>
    <row r="177" spans="1:51" x14ac:dyDescent="0.35">
      <c r="A177">
        <v>171</v>
      </c>
      <c r="C177">
        <f t="shared" si="99"/>
        <v>0</v>
      </c>
      <c r="D177">
        <f t="shared" si="100"/>
        <v>0</v>
      </c>
      <c r="E177">
        <f t="shared" si="101"/>
        <v>0</v>
      </c>
      <c r="F177">
        <f t="shared" si="102"/>
        <v>0</v>
      </c>
      <c r="G177">
        <f t="shared" si="103"/>
        <v>0</v>
      </c>
      <c r="H177">
        <f t="shared" si="104"/>
        <v>0</v>
      </c>
      <c r="I177">
        <f t="shared" si="105"/>
        <v>0</v>
      </c>
      <c r="J177">
        <f t="shared" si="106"/>
        <v>0</v>
      </c>
      <c r="K177">
        <f t="shared" si="107"/>
        <v>0</v>
      </c>
      <c r="L177">
        <f t="shared" si="108"/>
        <v>0</v>
      </c>
      <c r="M177">
        <f t="shared" si="109"/>
        <v>0</v>
      </c>
      <c r="N177">
        <f t="shared" si="110"/>
        <v>0</v>
      </c>
      <c r="O177">
        <f t="shared" si="111"/>
        <v>0</v>
      </c>
      <c r="P177">
        <f t="shared" si="112"/>
        <v>0</v>
      </c>
      <c r="Q177">
        <f t="shared" si="113"/>
        <v>0</v>
      </c>
      <c r="R177">
        <f t="shared" si="114"/>
        <v>0</v>
      </c>
      <c r="S177">
        <f t="shared" si="115"/>
        <v>0</v>
      </c>
      <c r="T177">
        <f t="shared" si="116"/>
        <v>0</v>
      </c>
      <c r="U177">
        <f t="shared" si="117"/>
        <v>0</v>
      </c>
      <c r="V177">
        <f t="shared" si="118"/>
        <v>0</v>
      </c>
      <c r="W177">
        <f t="shared" si="119"/>
        <v>0</v>
      </c>
      <c r="X177">
        <f t="shared" si="120"/>
        <v>0</v>
      </c>
      <c r="Y177">
        <f t="shared" si="121"/>
        <v>0</v>
      </c>
      <c r="Z177">
        <f t="shared" si="122"/>
        <v>0</v>
      </c>
      <c r="AA177">
        <f t="shared" si="123"/>
        <v>0</v>
      </c>
      <c r="AB177">
        <f t="shared" si="124"/>
        <v>0</v>
      </c>
      <c r="AC177">
        <f t="shared" si="125"/>
        <v>0</v>
      </c>
      <c r="AD177">
        <f t="shared" si="126"/>
        <v>0</v>
      </c>
      <c r="AE177">
        <f t="shared" si="127"/>
        <v>0</v>
      </c>
      <c r="AF177">
        <f t="shared" si="128"/>
        <v>0</v>
      </c>
      <c r="AG177">
        <f t="shared" si="129"/>
        <v>0</v>
      </c>
      <c r="AH177">
        <f t="shared" si="130"/>
        <v>0</v>
      </c>
      <c r="AI177">
        <f t="shared" si="131"/>
        <v>0</v>
      </c>
      <c r="AJ177">
        <f t="shared" si="132"/>
        <v>0</v>
      </c>
      <c r="AK177">
        <f t="shared" si="133"/>
        <v>0</v>
      </c>
      <c r="AL177">
        <f t="shared" si="134"/>
        <v>0</v>
      </c>
      <c r="AM177">
        <f t="shared" si="135"/>
        <v>0</v>
      </c>
      <c r="AN177">
        <f t="shared" si="136"/>
        <v>0</v>
      </c>
      <c r="AO177">
        <f t="shared" si="137"/>
        <v>0</v>
      </c>
      <c r="AP177">
        <f t="shared" si="138"/>
        <v>0</v>
      </c>
      <c r="AQ177">
        <f t="shared" si="139"/>
        <v>0</v>
      </c>
      <c r="AR177">
        <f t="shared" si="140"/>
        <v>0</v>
      </c>
      <c r="AS177">
        <f t="shared" si="141"/>
        <v>0</v>
      </c>
      <c r="AT177">
        <f t="shared" si="142"/>
        <v>0</v>
      </c>
      <c r="AU177">
        <f t="shared" si="143"/>
        <v>0</v>
      </c>
      <c r="AV177">
        <f t="shared" si="144"/>
        <v>0</v>
      </c>
      <c r="AW177">
        <f t="shared" si="98"/>
        <v>0</v>
      </c>
      <c r="AX177">
        <f t="shared" si="145"/>
        <v>0</v>
      </c>
      <c r="AY177">
        <f t="shared" si="146"/>
        <v>0</v>
      </c>
    </row>
    <row r="178" spans="1:51" x14ac:dyDescent="0.35">
      <c r="A178">
        <v>172</v>
      </c>
      <c r="C178">
        <f t="shared" si="99"/>
        <v>0</v>
      </c>
      <c r="D178">
        <f t="shared" si="100"/>
        <v>0</v>
      </c>
      <c r="E178">
        <f t="shared" si="101"/>
        <v>0</v>
      </c>
      <c r="F178">
        <f t="shared" si="102"/>
        <v>0</v>
      </c>
      <c r="G178">
        <f t="shared" si="103"/>
        <v>0</v>
      </c>
      <c r="H178">
        <f t="shared" si="104"/>
        <v>0</v>
      </c>
      <c r="I178">
        <f t="shared" si="105"/>
        <v>0</v>
      </c>
      <c r="J178">
        <f t="shared" si="106"/>
        <v>0</v>
      </c>
      <c r="K178">
        <f t="shared" si="107"/>
        <v>0</v>
      </c>
      <c r="L178">
        <f t="shared" si="108"/>
        <v>0</v>
      </c>
      <c r="M178">
        <f t="shared" si="109"/>
        <v>0</v>
      </c>
      <c r="N178">
        <f t="shared" si="110"/>
        <v>0</v>
      </c>
      <c r="O178">
        <f t="shared" si="111"/>
        <v>0</v>
      </c>
      <c r="P178">
        <f t="shared" si="112"/>
        <v>0</v>
      </c>
      <c r="Q178">
        <f t="shared" si="113"/>
        <v>0</v>
      </c>
      <c r="R178">
        <f t="shared" si="114"/>
        <v>0</v>
      </c>
      <c r="S178">
        <f t="shared" si="115"/>
        <v>0</v>
      </c>
      <c r="T178">
        <f t="shared" si="116"/>
        <v>0</v>
      </c>
      <c r="U178">
        <f t="shared" si="117"/>
        <v>0</v>
      </c>
      <c r="V178">
        <f t="shared" si="118"/>
        <v>0</v>
      </c>
      <c r="W178">
        <f t="shared" si="119"/>
        <v>0</v>
      </c>
      <c r="X178">
        <f t="shared" si="120"/>
        <v>0</v>
      </c>
      <c r="Y178">
        <f t="shared" si="121"/>
        <v>0</v>
      </c>
      <c r="Z178">
        <f t="shared" si="122"/>
        <v>0</v>
      </c>
      <c r="AA178">
        <f t="shared" si="123"/>
        <v>0</v>
      </c>
      <c r="AB178">
        <f t="shared" si="124"/>
        <v>0</v>
      </c>
      <c r="AC178">
        <f t="shared" si="125"/>
        <v>0</v>
      </c>
      <c r="AD178">
        <f t="shared" si="126"/>
        <v>0</v>
      </c>
      <c r="AE178">
        <f t="shared" si="127"/>
        <v>0</v>
      </c>
      <c r="AF178">
        <f t="shared" si="128"/>
        <v>0</v>
      </c>
      <c r="AG178">
        <f t="shared" si="129"/>
        <v>0</v>
      </c>
      <c r="AH178">
        <f t="shared" si="130"/>
        <v>0</v>
      </c>
      <c r="AI178">
        <f t="shared" si="131"/>
        <v>0</v>
      </c>
      <c r="AJ178">
        <f t="shared" si="132"/>
        <v>0</v>
      </c>
      <c r="AK178">
        <f t="shared" si="133"/>
        <v>0</v>
      </c>
      <c r="AL178">
        <f t="shared" si="134"/>
        <v>0</v>
      </c>
      <c r="AM178">
        <f t="shared" si="135"/>
        <v>0</v>
      </c>
      <c r="AN178">
        <f t="shared" si="136"/>
        <v>0</v>
      </c>
      <c r="AO178">
        <f t="shared" si="137"/>
        <v>0</v>
      </c>
      <c r="AP178">
        <f t="shared" si="138"/>
        <v>0</v>
      </c>
      <c r="AQ178">
        <f t="shared" si="139"/>
        <v>0</v>
      </c>
      <c r="AR178">
        <f t="shared" si="140"/>
        <v>0</v>
      </c>
      <c r="AS178">
        <f t="shared" si="141"/>
        <v>0</v>
      </c>
      <c r="AT178">
        <f t="shared" si="142"/>
        <v>0</v>
      </c>
      <c r="AU178">
        <f t="shared" si="143"/>
        <v>0</v>
      </c>
      <c r="AV178">
        <f t="shared" si="144"/>
        <v>0</v>
      </c>
      <c r="AW178">
        <f t="shared" si="98"/>
        <v>0</v>
      </c>
      <c r="AX178">
        <f t="shared" si="145"/>
        <v>0</v>
      </c>
      <c r="AY178">
        <f t="shared" si="146"/>
        <v>0</v>
      </c>
    </row>
    <row r="179" spans="1:51" x14ac:dyDescent="0.35">
      <c r="A179">
        <v>173</v>
      </c>
      <c r="C179">
        <f t="shared" si="99"/>
        <v>0</v>
      </c>
      <c r="D179">
        <f t="shared" si="100"/>
        <v>0</v>
      </c>
      <c r="E179">
        <f t="shared" si="101"/>
        <v>0</v>
      </c>
      <c r="F179">
        <f t="shared" si="102"/>
        <v>0</v>
      </c>
      <c r="G179">
        <f t="shared" si="103"/>
        <v>0</v>
      </c>
      <c r="H179">
        <f t="shared" si="104"/>
        <v>0</v>
      </c>
      <c r="I179">
        <f t="shared" si="105"/>
        <v>0</v>
      </c>
      <c r="J179">
        <f t="shared" si="106"/>
        <v>0</v>
      </c>
      <c r="K179">
        <f t="shared" si="107"/>
        <v>0</v>
      </c>
      <c r="L179">
        <f t="shared" si="108"/>
        <v>0</v>
      </c>
      <c r="M179">
        <f t="shared" si="109"/>
        <v>0</v>
      </c>
      <c r="N179">
        <f t="shared" si="110"/>
        <v>0</v>
      </c>
      <c r="O179">
        <f t="shared" si="111"/>
        <v>0</v>
      </c>
      <c r="P179">
        <f t="shared" si="112"/>
        <v>0</v>
      </c>
      <c r="Q179">
        <f t="shared" si="113"/>
        <v>0</v>
      </c>
      <c r="R179">
        <f t="shared" si="114"/>
        <v>0</v>
      </c>
      <c r="S179">
        <f t="shared" si="115"/>
        <v>0</v>
      </c>
      <c r="T179">
        <f t="shared" si="116"/>
        <v>0</v>
      </c>
      <c r="U179">
        <f t="shared" si="117"/>
        <v>0</v>
      </c>
      <c r="V179">
        <f t="shared" si="118"/>
        <v>0</v>
      </c>
      <c r="W179">
        <f t="shared" si="119"/>
        <v>0</v>
      </c>
      <c r="X179">
        <f t="shared" si="120"/>
        <v>0</v>
      </c>
      <c r="Y179">
        <f t="shared" si="121"/>
        <v>0</v>
      </c>
      <c r="Z179">
        <f t="shared" si="122"/>
        <v>0</v>
      </c>
      <c r="AA179">
        <f t="shared" si="123"/>
        <v>0</v>
      </c>
      <c r="AB179">
        <f t="shared" si="124"/>
        <v>0</v>
      </c>
      <c r="AC179">
        <f t="shared" si="125"/>
        <v>0</v>
      </c>
      <c r="AD179">
        <f t="shared" si="126"/>
        <v>0</v>
      </c>
      <c r="AE179">
        <f t="shared" si="127"/>
        <v>0</v>
      </c>
      <c r="AF179">
        <f t="shared" si="128"/>
        <v>0</v>
      </c>
      <c r="AG179">
        <f t="shared" si="129"/>
        <v>0</v>
      </c>
      <c r="AH179">
        <f t="shared" si="130"/>
        <v>0</v>
      </c>
      <c r="AI179">
        <f t="shared" si="131"/>
        <v>0</v>
      </c>
      <c r="AJ179">
        <f t="shared" si="132"/>
        <v>0</v>
      </c>
      <c r="AK179">
        <f t="shared" si="133"/>
        <v>0</v>
      </c>
      <c r="AL179">
        <f t="shared" si="134"/>
        <v>0</v>
      </c>
      <c r="AM179">
        <f t="shared" si="135"/>
        <v>0</v>
      </c>
      <c r="AN179">
        <f t="shared" si="136"/>
        <v>0</v>
      </c>
      <c r="AO179">
        <f t="shared" si="137"/>
        <v>0</v>
      </c>
      <c r="AP179">
        <f t="shared" si="138"/>
        <v>0</v>
      </c>
      <c r="AQ179">
        <f t="shared" si="139"/>
        <v>0</v>
      </c>
      <c r="AR179">
        <f t="shared" si="140"/>
        <v>0</v>
      </c>
      <c r="AS179">
        <f t="shared" si="141"/>
        <v>0</v>
      </c>
      <c r="AT179">
        <f t="shared" si="142"/>
        <v>0</v>
      </c>
      <c r="AU179">
        <f t="shared" si="143"/>
        <v>0</v>
      </c>
      <c r="AV179">
        <f t="shared" si="144"/>
        <v>0</v>
      </c>
      <c r="AW179">
        <f t="shared" si="98"/>
        <v>0</v>
      </c>
      <c r="AX179">
        <f t="shared" si="145"/>
        <v>0</v>
      </c>
      <c r="AY179">
        <f t="shared" si="146"/>
        <v>0</v>
      </c>
    </row>
    <row r="180" spans="1:51" x14ac:dyDescent="0.35">
      <c r="A180">
        <v>174</v>
      </c>
      <c r="C180">
        <f t="shared" si="99"/>
        <v>0</v>
      </c>
      <c r="D180">
        <f t="shared" si="100"/>
        <v>0</v>
      </c>
      <c r="E180">
        <f t="shared" si="101"/>
        <v>0</v>
      </c>
      <c r="F180">
        <f t="shared" si="102"/>
        <v>0</v>
      </c>
      <c r="G180">
        <f t="shared" si="103"/>
        <v>0</v>
      </c>
      <c r="H180">
        <f t="shared" si="104"/>
        <v>0</v>
      </c>
      <c r="I180">
        <f t="shared" si="105"/>
        <v>0</v>
      </c>
      <c r="J180">
        <f t="shared" si="106"/>
        <v>0</v>
      </c>
      <c r="K180">
        <f t="shared" si="107"/>
        <v>0</v>
      </c>
      <c r="L180">
        <f t="shared" si="108"/>
        <v>0</v>
      </c>
      <c r="M180">
        <f t="shared" si="109"/>
        <v>0</v>
      </c>
      <c r="N180">
        <f t="shared" si="110"/>
        <v>0</v>
      </c>
      <c r="O180">
        <f t="shared" si="111"/>
        <v>0</v>
      </c>
      <c r="P180">
        <f t="shared" si="112"/>
        <v>0</v>
      </c>
      <c r="Q180">
        <f t="shared" si="113"/>
        <v>0</v>
      </c>
      <c r="R180">
        <f t="shared" si="114"/>
        <v>0</v>
      </c>
      <c r="S180">
        <f t="shared" si="115"/>
        <v>0</v>
      </c>
      <c r="T180">
        <f t="shared" si="116"/>
        <v>0</v>
      </c>
      <c r="U180">
        <f t="shared" si="117"/>
        <v>0</v>
      </c>
      <c r="V180">
        <f t="shared" si="118"/>
        <v>0</v>
      </c>
      <c r="W180">
        <f t="shared" si="119"/>
        <v>0</v>
      </c>
      <c r="X180">
        <f t="shared" si="120"/>
        <v>0</v>
      </c>
      <c r="Y180">
        <f t="shared" si="121"/>
        <v>0</v>
      </c>
      <c r="Z180">
        <f t="shared" si="122"/>
        <v>0</v>
      </c>
      <c r="AA180">
        <f t="shared" si="123"/>
        <v>0</v>
      </c>
      <c r="AB180">
        <f t="shared" si="124"/>
        <v>0</v>
      </c>
      <c r="AC180">
        <f t="shared" si="125"/>
        <v>0</v>
      </c>
      <c r="AD180">
        <f t="shared" si="126"/>
        <v>0</v>
      </c>
      <c r="AE180">
        <f t="shared" si="127"/>
        <v>0</v>
      </c>
      <c r="AF180">
        <f t="shared" si="128"/>
        <v>0</v>
      </c>
      <c r="AG180">
        <f t="shared" si="129"/>
        <v>0</v>
      </c>
      <c r="AH180">
        <f t="shared" si="130"/>
        <v>0</v>
      </c>
      <c r="AI180">
        <f t="shared" si="131"/>
        <v>0</v>
      </c>
      <c r="AJ180">
        <f t="shared" si="132"/>
        <v>0</v>
      </c>
      <c r="AK180">
        <f t="shared" si="133"/>
        <v>0</v>
      </c>
      <c r="AL180">
        <f t="shared" si="134"/>
        <v>0</v>
      </c>
      <c r="AM180">
        <f t="shared" si="135"/>
        <v>0</v>
      </c>
      <c r="AN180">
        <f t="shared" si="136"/>
        <v>0</v>
      </c>
      <c r="AO180">
        <f t="shared" si="137"/>
        <v>0</v>
      </c>
      <c r="AP180">
        <f t="shared" si="138"/>
        <v>0</v>
      </c>
      <c r="AQ180">
        <f t="shared" si="139"/>
        <v>0</v>
      </c>
      <c r="AR180">
        <f t="shared" si="140"/>
        <v>0</v>
      </c>
      <c r="AS180">
        <f t="shared" si="141"/>
        <v>0</v>
      </c>
      <c r="AT180">
        <f t="shared" si="142"/>
        <v>0</v>
      </c>
      <c r="AU180">
        <f t="shared" si="143"/>
        <v>0</v>
      </c>
      <c r="AV180">
        <f t="shared" si="144"/>
        <v>0</v>
      </c>
      <c r="AW180">
        <f t="shared" si="98"/>
        <v>0</v>
      </c>
      <c r="AX180">
        <f t="shared" si="145"/>
        <v>0</v>
      </c>
      <c r="AY180">
        <f t="shared" si="146"/>
        <v>0</v>
      </c>
    </row>
    <row r="181" spans="1:51" x14ac:dyDescent="0.35">
      <c r="A181">
        <v>175</v>
      </c>
      <c r="C181">
        <f t="shared" si="99"/>
        <v>0</v>
      </c>
      <c r="D181">
        <f t="shared" si="100"/>
        <v>0</v>
      </c>
      <c r="E181">
        <f t="shared" si="101"/>
        <v>0</v>
      </c>
      <c r="F181">
        <f t="shared" si="102"/>
        <v>0</v>
      </c>
      <c r="G181">
        <f t="shared" si="103"/>
        <v>0</v>
      </c>
      <c r="H181">
        <f t="shared" si="104"/>
        <v>0</v>
      </c>
      <c r="I181">
        <f t="shared" si="105"/>
        <v>0</v>
      </c>
      <c r="J181">
        <f t="shared" si="106"/>
        <v>0</v>
      </c>
      <c r="K181">
        <f t="shared" si="107"/>
        <v>0</v>
      </c>
      <c r="L181">
        <f t="shared" si="108"/>
        <v>0</v>
      </c>
      <c r="M181">
        <f t="shared" si="109"/>
        <v>0</v>
      </c>
      <c r="N181">
        <f t="shared" si="110"/>
        <v>0</v>
      </c>
      <c r="O181">
        <f t="shared" si="111"/>
        <v>0</v>
      </c>
      <c r="P181">
        <f t="shared" si="112"/>
        <v>0</v>
      </c>
      <c r="Q181">
        <f t="shared" si="113"/>
        <v>0</v>
      </c>
      <c r="R181">
        <f t="shared" si="114"/>
        <v>0</v>
      </c>
      <c r="S181">
        <f t="shared" si="115"/>
        <v>0</v>
      </c>
      <c r="T181">
        <f t="shared" si="116"/>
        <v>0</v>
      </c>
      <c r="U181">
        <f t="shared" si="117"/>
        <v>0</v>
      </c>
      <c r="V181">
        <f t="shared" si="118"/>
        <v>0</v>
      </c>
      <c r="W181">
        <f t="shared" si="119"/>
        <v>0</v>
      </c>
      <c r="X181">
        <f t="shared" si="120"/>
        <v>0</v>
      </c>
      <c r="Y181">
        <f t="shared" si="121"/>
        <v>0</v>
      </c>
      <c r="Z181">
        <f t="shared" si="122"/>
        <v>0</v>
      </c>
      <c r="AA181">
        <f t="shared" si="123"/>
        <v>0</v>
      </c>
      <c r="AB181">
        <f t="shared" si="124"/>
        <v>0</v>
      </c>
      <c r="AC181">
        <f t="shared" si="125"/>
        <v>0</v>
      </c>
      <c r="AD181">
        <f t="shared" si="126"/>
        <v>0</v>
      </c>
      <c r="AE181">
        <f t="shared" si="127"/>
        <v>0</v>
      </c>
      <c r="AF181">
        <f t="shared" si="128"/>
        <v>0</v>
      </c>
      <c r="AG181">
        <f t="shared" si="129"/>
        <v>0</v>
      </c>
      <c r="AH181">
        <f t="shared" si="130"/>
        <v>0</v>
      </c>
      <c r="AI181">
        <f t="shared" si="131"/>
        <v>0</v>
      </c>
      <c r="AJ181">
        <f t="shared" si="132"/>
        <v>0</v>
      </c>
      <c r="AK181">
        <f t="shared" si="133"/>
        <v>0</v>
      </c>
      <c r="AL181">
        <f t="shared" si="134"/>
        <v>0</v>
      </c>
      <c r="AM181">
        <f t="shared" si="135"/>
        <v>0</v>
      </c>
      <c r="AN181">
        <f t="shared" si="136"/>
        <v>0</v>
      </c>
      <c r="AO181">
        <f t="shared" si="137"/>
        <v>0</v>
      </c>
      <c r="AP181">
        <f t="shared" si="138"/>
        <v>0</v>
      </c>
      <c r="AQ181">
        <f t="shared" si="139"/>
        <v>0</v>
      </c>
      <c r="AR181">
        <f t="shared" si="140"/>
        <v>0</v>
      </c>
      <c r="AS181">
        <f t="shared" si="141"/>
        <v>0</v>
      </c>
      <c r="AT181">
        <f t="shared" si="142"/>
        <v>0</v>
      </c>
      <c r="AU181">
        <f t="shared" si="143"/>
        <v>0</v>
      </c>
      <c r="AV181">
        <f t="shared" si="144"/>
        <v>0</v>
      </c>
      <c r="AW181">
        <f t="shared" si="98"/>
        <v>0</v>
      </c>
      <c r="AX181">
        <f t="shared" si="145"/>
        <v>0</v>
      </c>
      <c r="AY181">
        <f t="shared" si="146"/>
        <v>0</v>
      </c>
    </row>
    <row r="182" spans="1:51" x14ac:dyDescent="0.35">
      <c r="A182">
        <v>176</v>
      </c>
      <c r="C182">
        <f t="shared" si="99"/>
        <v>0</v>
      </c>
      <c r="D182">
        <f t="shared" si="100"/>
        <v>0</v>
      </c>
      <c r="E182">
        <f t="shared" si="101"/>
        <v>0</v>
      </c>
      <c r="F182">
        <f t="shared" si="102"/>
        <v>0</v>
      </c>
      <c r="G182">
        <f t="shared" si="103"/>
        <v>0</v>
      </c>
      <c r="H182">
        <f t="shared" si="104"/>
        <v>0</v>
      </c>
      <c r="I182">
        <f t="shared" si="105"/>
        <v>0</v>
      </c>
      <c r="J182">
        <f t="shared" si="106"/>
        <v>0</v>
      </c>
      <c r="K182">
        <f t="shared" si="107"/>
        <v>0</v>
      </c>
      <c r="L182">
        <f t="shared" si="108"/>
        <v>0</v>
      </c>
      <c r="M182">
        <f t="shared" si="109"/>
        <v>0</v>
      </c>
      <c r="N182">
        <f t="shared" si="110"/>
        <v>0</v>
      </c>
      <c r="O182">
        <f t="shared" si="111"/>
        <v>0</v>
      </c>
      <c r="P182">
        <f t="shared" si="112"/>
        <v>0</v>
      </c>
      <c r="Q182">
        <f t="shared" si="113"/>
        <v>0</v>
      </c>
      <c r="R182">
        <f t="shared" si="114"/>
        <v>0</v>
      </c>
      <c r="S182">
        <f t="shared" si="115"/>
        <v>0</v>
      </c>
      <c r="T182">
        <f t="shared" si="116"/>
        <v>0</v>
      </c>
      <c r="U182">
        <f t="shared" si="117"/>
        <v>0</v>
      </c>
      <c r="V182">
        <f t="shared" si="118"/>
        <v>0</v>
      </c>
      <c r="W182">
        <f t="shared" si="119"/>
        <v>0</v>
      </c>
      <c r="X182">
        <f t="shared" si="120"/>
        <v>0</v>
      </c>
      <c r="Y182">
        <f t="shared" si="121"/>
        <v>0</v>
      </c>
      <c r="Z182">
        <f t="shared" si="122"/>
        <v>0</v>
      </c>
      <c r="AA182">
        <f t="shared" si="123"/>
        <v>0</v>
      </c>
      <c r="AB182">
        <f t="shared" si="124"/>
        <v>0</v>
      </c>
      <c r="AC182">
        <f t="shared" si="125"/>
        <v>0</v>
      </c>
      <c r="AD182">
        <f t="shared" si="126"/>
        <v>0</v>
      </c>
      <c r="AE182">
        <f t="shared" si="127"/>
        <v>0</v>
      </c>
      <c r="AF182">
        <f t="shared" si="128"/>
        <v>0</v>
      </c>
      <c r="AG182">
        <f t="shared" si="129"/>
        <v>0</v>
      </c>
      <c r="AH182">
        <f t="shared" si="130"/>
        <v>0</v>
      </c>
      <c r="AI182">
        <f t="shared" si="131"/>
        <v>0</v>
      </c>
      <c r="AJ182">
        <f t="shared" si="132"/>
        <v>0</v>
      </c>
      <c r="AK182">
        <f t="shared" si="133"/>
        <v>0</v>
      </c>
      <c r="AL182">
        <f t="shared" si="134"/>
        <v>0</v>
      </c>
      <c r="AM182">
        <f t="shared" si="135"/>
        <v>0</v>
      </c>
      <c r="AN182">
        <f t="shared" si="136"/>
        <v>0</v>
      </c>
      <c r="AO182">
        <f t="shared" si="137"/>
        <v>0</v>
      </c>
      <c r="AP182">
        <f t="shared" si="138"/>
        <v>0</v>
      </c>
      <c r="AQ182">
        <f t="shared" si="139"/>
        <v>0</v>
      </c>
      <c r="AR182">
        <f t="shared" si="140"/>
        <v>0</v>
      </c>
      <c r="AS182">
        <f t="shared" si="141"/>
        <v>0</v>
      </c>
      <c r="AT182">
        <f t="shared" si="142"/>
        <v>0</v>
      </c>
      <c r="AU182">
        <f t="shared" si="143"/>
        <v>0</v>
      </c>
      <c r="AV182">
        <f t="shared" si="144"/>
        <v>0</v>
      </c>
      <c r="AW182">
        <f t="shared" si="98"/>
        <v>0</v>
      </c>
      <c r="AX182">
        <f t="shared" si="145"/>
        <v>0</v>
      </c>
      <c r="AY182">
        <f t="shared" si="146"/>
        <v>0</v>
      </c>
    </row>
    <row r="183" spans="1:51" x14ac:dyDescent="0.35">
      <c r="A183">
        <v>177</v>
      </c>
      <c r="C183">
        <f t="shared" si="99"/>
        <v>0</v>
      </c>
      <c r="D183">
        <f t="shared" si="100"/>
        <v>0</v>
      </c>
      <c r="E183">
        <f t="shared" si="101"/>
        <v>0</v>
      </c>
      <c r="F183">
        <f t="shared" si="102"/>
        <v>0</v>
      </c>
      <c r="G183">
        <f t="shared" si="103"/>
        <v>0</v>
      </c>
      <c r="H183">
        <f t="shared" si="104"/>
        <v>0</v>
      </c>
      <c r="I183">
        <f t="shared" si="105"/>
        <v>0</v>
      </c>
      <c r="J183">
        <f t="shared" si="106"/>
        <v>0</v>
      </c>
      <c r="K183">
        <f t="shared" si="107"/>
        <v>0</v>
      </c>
      <c r="L183">
        <f t="shared" si="108"/>
        <v>0</v>
      </c>
      <c r="M183">
        <f t="shared" si="109"/>
        <v>0</v>
      </c>
      <c r="N183">
        <f t="shared" si="110"/>
        <v>0</v>
      </c>
      <c r="O183">
        <f t="shared" si="111"/>
        <v>0</v>
      </c>
      <c r="P183">
        <f t="shared" si="112"/>
        <v>0</v>
      </c>
      <c r="Q183">
        <f t="shared" si="113"/>
        <v>0</v>
      </c>
      <c r="R183">
        <f t="shared" si="114"/>
        <v>0</v>
      </c>
      <c r="S183">
        <f t="shared" si="115"/>
        <v>0</v>
      </c>
      <c r="T183">
        <f t="shared" si="116"/>
        <v>0</v>
      </c>
      <c r="U183">
        <f t="shared" si="117"/>
        <v>0</v>
      </c>
      <c r="V183">
        <f t="shared" si="118"/>
        <v>0</v>
      </c>
      <c r="W183">
        <f t="shared" si="119"/>
        <v>0</v>
      </c>
      <c r="X183">
        <f t="shared" si="120"/>
        <v>0</v>
      </c>
      <c r="Y183">
        <f t="shared" si="121"/>
        <v>0</v>
      </c>
      <c r="Z183">
        <f t="shared" si="122"/>
        <v>0</v>
      </c>
      <c r="AA183">
        <f t="shared" si="123"/>
        <v>0</v>
      </c>
      <c r="AB183">
        <f t="shared" si="124"/>
        <v>0</v>
      </c>
      <c r="AC183">
        <f t="shared" si="125"/>
        <v>0</v>
      </c>
      <c r="AD183">
        <f t="shared" si="126"/>
        <v>0</v>
      </c>
      <c r="AE183">
        <f t="shared" si="127"/>
        <v>0</v>
      </c>
      <c r="AF183">
        <f t="shared" si="128"/>
        <v>0</v>
      </c>
      <c r="AG183">
        <f t="shared" si="129"/>
        <v>0</v>
      </c>
      <c r="AH183">
        <f t="shared" si="130"/>
        <v>0</v>
      </c>
      <c r="AI183">
        <f t="shared" si="131"/>
        <v>0</v>
      </c>
      <c r="AJ183">
        <f t="shared" si="132"/>
        <v>0</v>
      </c>
      <c r="AK183">
        <f t="shared" si="133"/>
        <v>0</v>
      </c>
      <c r="AL183">
        <f t="shared" si="134"/>
        <v>0</v>
      </c>
      <c r="AM183">
        <f t="shared" si="135"/>
        <v>0</v>
      </c>
      <c r="AN183">
        <f t="shared" si="136"/>
        <v>0</v>
      </c>
      <c r="AO183">
        <f t="shared" si="137"/>
        <v>0</v>
      </c>
      <c r="AP183">
        <f t="shared" si="138"/>
        <v>0</v>
      </c>
      <c r="AQ183">
        <f t="shared" si="139"/>
        <v>0</v>
      </c>
      <c r="AR183">
        <f t="shared" si="140"/>
        <v>0</v>
      </c>
      <c r="AS183">
        <f t="shared" si="141"/>
        <v>0</v>
      </c>
      <c r="AT183">
        <f t="shared" si="142"/>
        <v>0</v>
      </c>
      <c r="AU183">
        <f t="shared" si="143"/>
        <v>0</v>
      </c>
      <c r="AV183">
        <f t="shared" si="144"/>
        <v>0</v>
      </c>
      <c r="AW183">
        <f t="shared" si="98"/>
        <v>0</v>
      </c>
      <c r="AX183">
        <f t="shared" si="145"/>
        <v>0</v>
      </c>
      <c r="AY183">
        <f t="shared" si="146"/>
        <v>0</v>
      </c>
    </row>
    <row r="184" spans="1:51" x14ac:dyDescent="0.35">
      <c r="A184">
        <v>178</v>
      </c>
      <c r="C184">
        <f t="shared" si="99"/>
        <v>0</v>
      </c>
      <c r="D184">
        <f t="shared" si="100"/>
        <v>0</v>
      </c>
      <c r="E184">
        <f t="shared" si="101"/>
        <v>0</v>
      </c>
      <c r="F184">
        <f t="shared" si="102"/>
        <v>0</v>
      </c>
      <c r="G184">
        <f t="shared" si="103"/>
        <v>0</v>
      </c>
      <c r="H184">
        <f t="shared" si="104"/>
        <v>0</v>
      </c>
      <c r="I184">
        <f t="shared" si="105"/>
        <v>0</v>
      </c>
      <c r="J184">
        <f t="shared" si="106"/>
        <v>0</v>
      </c>
      <c r="K184">
        <f t="shared" si="107"/>
        <v>0</v>
      </c>
      <c r="L184">
        <f t="shared" si="108"/>
        <v>0</v>
      </c>
      <c r="M184">
        <f t="shared" si="109"/>
        <v>0</v>
      </c>
      <c r="N184">
        <f t="shared" si="110"/>
        <v>0</v>
      </c>
      <c r="O184">
        <f t="shared" si="111"/>
        <v>0</v>
      </c>
      <c r="P184">
        <f t="shared" si="112"/>
        <v>0</v>
      </c>
      <c r="Q184">
        <f t="shared" si="113"/>
        <v>0</v>
      </c>
      <c r="R184">
        <f t="shared" si="114"/>
        <v>0</v>
      </c>
      <c r="S184">
        <f t="shared" si="115"/>
        <v>0</v>
      </c>
      <c r="T184">
        <f t="shared" si="116"/>
        <v>0</v>
      </c>
      <c r="U184">
        <f t="shared" si="117"/>
        <v>0</v>
      </c>
      <c r="V184">
        <f t="shared" si="118"/>
        <v>0</v>
      </c>
      <c r="W184">
        <f t="shared" si="119"/>
        <v>0</v>
      </c>
      <c r="X184">
        <f t="shared" si="120"/>
        <v>0</v>
      </c>
      <c r="Y184">
        <f t="shared" si="121"/>
        <v>0</v>
      </c>
      <c r="Z184">
        <f t="shared" si="122"/>
        <v>0</v>
      </c>
      <c r="AA184">
        <f t="shared" si="123"/>
        <v>0</v>
      </c>
      <c r="AB184">
        <f t="shared" si="124"/>
        <v>0</v>
      </c>
      <c r="AC184">
        <f t="shared" si="125"/>
        <v>0</v>
      </c>
      <c r="AD184">
        <f t="shared" si="126"/>
        <v>0</v>
      </c>
      <c r="AE184">
        <f t="shared" si="127"/>
        <v>0</v>
      </c>
      <c r="AF184">
        <f t="shared" si="128"/>
        <v>0</v>
      </c>
      <c r="AG184">
        <f t="shared" si="129"/>
        <v>0</v>
      </c>
      <c r="AH184">
        <f t="shared" si="130"/>
        <v>0</v>
      </c>
      <c r="AI184">
        <f t="shared" si="131"/>
        <v>0</v>
      </c>
      <c r="AJ184">
        <f t="shared" si="132"/>
        <v>0</v>
      </c>
      <c r="AK184">
        <f t="shared" si="133"/>
        <v>0</v>
      </c>
      <c r="AL184">
        <f t="shared" si="134"/>
        <v>0</v>
      </c>
      <c r="AM184">
        <f t="shared" si="135"/>
        <v>0</v>
      </c>
      <c r="AN184">
        <f t="shared" si="136"/>
        <v>0</v>
      </c>
      <c r="AO184">
        <f t="shared" si="137"/>
        <v>0</v>
      </c>
      <c r="AP184">
        <f t="shared" si="138"/>
        <v>0</v>
      </c>
      <c r="AQ184">
        <f t="shared" si="139"/>
        <v>0</v>
      </c>
      <c r="AR184">
        <f t="shared" si="140"/>
        <v>0</v>
      </c>
      <c r="AS184">
        <f t="shared" si="141"/>
        <v>0</v>
      </c>
      <c r="AT184">
        <f t="shared" si="142"/>
        <v>0</v>
      </c>
      <c r="AU184">
        <f t="shared" si="143"/>
        <v>0</v>
      </c>
      <c r="AV184">
        <f t="shared" si="144"/>
        <v>0</v>
      </c>
      <c r="AW184">
        <f t="shared" si="98"/>
        <v>0</v>
      </c>
      <c r="AX184">
        <f t="shared" si="145"/>
        <v>0</v>
      </c>
      <c r="AY184">
        <f t="shared" si="146"/>
        <v>0</v>
      </c>
    </row>
    <row r="185" spans="1:51" x14ac:dyDescent="0.35">
      <c r="A185">
        <v>179</v>
      </c>
      <c r="C185">
        <f t="shared" si="99"/>
        <v>0</v>
      </c>
      <c r="D185">
        <f t="shared" si="100"/>
        <v>0</v>
      </c>
      <c r="E185">
        <f t="shared" si="101"/>
        <v>0</v>
      </c>
      <c r="F185">
        <f t="shared" si="102"/>
        <v>0</v>
      </c>
      <c r="G185">
        <f t="shared" si="103"/>
        <v>0</v>
      </c>
      <c r="H185">
        <f t="shared" si="104"/>
        <v>0</v>
      </c>
      <c r="I185">
        <f t="shared" si="105"/>
        <v>0</v>
      </c>
      <c r="J185">
        <f t="shared" si="106"/>
        <v>0</v>
      </c>
      <c r="K185">
        <f t="shared" si="107"/>
        <v>0</v>
      </c>
      <c r="L185">
        <f t="shared" si="108"/>
        <v>0</v>
      </c>
      <c r="M185">
        <f t="shared" si="109"/>
        <v>0</v>
      </c>
      <c r="N185">
        <f t="shared" si="110"/>
        <v>0</v>
      </c>
      <c r="O185">
        <f t="shared" si="111"/>
        <v>0</v>
      </c>
      <c r="P185">
        <f t="shared" si="112"/>
        <v>0</v>
      </c>
      <c r="Q185">
        <f t="shared" si="113"/>
        <v>0</v>
      </c>
      <c r="R185">
        <f t="shared" si="114"/>
        <v>0</v>
      </c>
      <c r="S185">
        <f t="shared" si="115"/>
        <v>0</v>
      </c>
      <c r="T185">
        <f t="shared" si="116"/>
        <v>0</v>
      </c>
      <c r="U185">
        <f t="shared" si="117"/>
        <v>0</v>
      </c>
      <c r="V185">
        <f t="shared" si="118"/>
        <v>0</v>
      </c>
      <c r="W185">
        <f t="shared" si="119"/>
        <v>0</v>
      </c>
      <c r="X185">
        <f t="shared" si="120"/>
        <v>0</v>
      </c>
      <c r="Y185">
        <f t="shared" si="121"/>
        <v>0</v>
      </c>
      <c r="Z185">
        <f t="shared" si="122"/>
        <v>0</v>
      </c>
      <c r="AA185">
        <f t="shared" si="123"/>
        <v>0</v>
      </c>
      <c r="AB185">
        <f t="shared" si="124"/>
        <v>0</v>
      </c>
      <c r="AC185">
        <f t="shared" si="125"/>
        <v>0</v>
      </c>
      <c r="AD185">
        <f t="shared" si="126"/>
        <v>0</v>
      </c>
      <c r="AE185">
        <f t="shared" si="127"/>
        <v>0</v>
      </c>
      <c r="AF185">
        <f t="shared" si="128"/>
        <v>0</v>
      </c>
      <c r="AG185">
        <f t="shared" si="129"/>
        <v>0</v>
      </c>
      <c r="AH185">
        <f t="shared" si="130"/>
        <v>0</v>
      </c>
      <c r="AI185">
        <f t="shared" si="131"/>
        <v>0</v>
      </c>
      <c r="AJ185">
        <f t="shared" si="132"/>
        <v>0</v>
      </c>
      <c r="AK185">
        <f t="shared" si="133"/>
        <v>0</v>
      </c>
      <c r="AL185">
        <f t="shared" si="134"/>
        <v>0</v>
      </c>
      <c r="AM185">
        <f t="shared" si="135"/>
        <v>0</v>
      </c>
      <c r="AN185">
        <f t="shared" si="136"/>
        <v>0</v>
      </c>
      <c r="AO185">
        <f t="shared" si="137"/>
        <v>0</v>
      </c>
      <c r="AP185">
        <f t="shared" si="138"/>
        <v>0</v>
      </c>
      <c r="AQ185">
        <f t="shared" si="139"/>
        <v>0</v>
      </c>
      <c r="AR185">
        <f t="shared" si="140"/>
        <v>0</v>
      </c>
      <c r="AS185">
        <f t="shared" si="141"/>
        <v>0</v>
      </c>
      <c r="AT185">
        <f t="shared" si="142"/>
        <v>0</v>
      </c>
      <c r="AU185">
        <f t="shared" si="143"/>
        <v>0</v>
      </c>
      <c r="AV185">
        <f t="shared" si="144"/>
        <v>0</v>
      </c>
      <c r="AW185">
        <f t="shared" si="98"/>
        <v>0</v>
      </c>
      <c r="AX185">
        <f t="shared" si="145"/>
        <v>0</v>
      </c>
      <c r="AY185">
        <f t="shared" si="146"/>
        <v>0</v>
      </c>
    </row>
    <row r="186" spans="1:51" x14ac:dyDescent="0.35">
      <c r="A186">
        <v>180</v>
      </c>
      <c r="C186">
        <f t="shared" si="99"/>
        <v>0</v>
      </c>
      <c r="D186">
        <f t="shared" si="100"/>
        <v>0</v>
      </c>
      <c r="E186">
        <f t="shared" si="101"/>
        <v>0</v>
      </c>
      <c r="F186">
        <f t="shared" si="102"/>
        <v>0</v>
      </c>
      <c r="G186">
        <f t="shared" si="103"/>
        <v>0</v>
      </c>
      <c r="H186">
        <f t="shared" si="104"/>
        <v>0</v>
      </c>
      <c r="I186">
        <f t="shared" si="105"/>
        <v>0</v>
      </c>
      <c r="J186">
        <f t="shared" si="106"/>
        <v>0</v>
      </c>
      <c r="K186">
        <f t="shared" si="107"/>
        <v>0</v>
      </c>
      <c r="L186">
        <f t="shared" si="108"/>
        <v>0</v>
      </c>
      <c r="M186">
        <f t="shared" si="109"/>
        <v>0</v>
      </c>
      <c r="N186">
        <f t="shared" si="110"/>
        <v>0</v>
      </c>
      <c r="O186">
        <f t="shared" si="111"/>
        <v>0</v>
      </c>
      <c r="P186">
        <f t="shared" si="112"/>
        <v>0</v>
      </c>
      <c r="Q186">
        <f t="shared" si="113"/>
        <v>0</v>
      </c>
      <c r="R186">
        <f t="shared" si="114"/>
        <v>0</v>
      </c>
      <c r="S186">
        <f t="shared" si="115"/>
        <v>0</v>
      </c>
      <c r="T186">
        <f t="shared" si="116"/>
        <v>0</v>
      </c>
      <c r="U186">
        <f t="shared" si="117"/>
        <v>0</v>
      </c>
      <c r="V186">
        <f t="shared" si="118"/>
        <v>0</v>
      </c>
      <c r="W186">
        <f t="shared" si="119"/>
        <v>0</v>
      </c>
      <c r="X186">
        <f t="shared" si="120"/>
        <v>0</v>
      </c>
      <c r="Y186">
        <f t="shared" si="121"/>
        <v>0</v>
      </c>
      <c r="Z186">
        <f t="shared" si="122"/>
        <v>0</v>
      </c>
      <c r="AA186">
        <f t="shared" si="123"/>
        <v>0</v>
      </c>
      <c r="AB186">
        <f t="shared" si="124"/>
        <v>0</v>
      </c>
      <c r="AC186">
        <f t="shared" si="125"/>
        <v>0</v>
      </c>
      <c r="AD186">
        <f t="shared" si="126"/>
        <v>0</v>
      </c>
      <c r="AE186">
        <f t="shared" si="127"/>
        <v>0</v>
      </c>
      <c r="AF186">
        <f t="shared" si="128"/>
        <v>0</v>
      </c>
      <c r="AG186">
        <f t="shared" si="129"/>
        <v>0</v>
      </c>
      <c r="AH186">
        <f t="shared" si="130"/>
        <v>0</v>
      </c>
      <c r="AI186">
        <f t="shared" si="131"/>
        <v>0</v>
      </c>
      <c r="AJ186">
        <f t="shared" si="132"/>
        <v>0</v>
      </c>
      <c r="AK186">
        <f t="shared" si="133"/>
        <v>0</v>
      </c>
      <c r="AL186">
        <f t="shared" si="134"/>
        <v>0</v>
      </c>
      <c r="AM186">
        <f t="shared" si="135"/>
        <v>0</v>
      </c>
      <c r="AN186">
        <f t="shared" si="136"/>
        <v>0</v>
      </c>
      <c r="AO186">
        <f t="shared" si="137"/>
        <v>0</v>
      </c>
      <c r="AP186">
        <f t="shared" si="138"/>
        <v>0</v>
      </c>
      <c r="AQ186">
        <f t="shared" si="139"/>
        <v>0</v>
      </c>
      <c r="AR186">
        <f t="shared" si="140"/>
        <v>0</v>
      </c>
      <c r="AS186">
        <f t="shared" si="141"/>
        <v>0</v>
      </c>
      <c r="AT186">
        <f t="shared" si="142"/>
        <v>0</v>
      </c>
      <c r="AU186">
        <f t="shared" si="143"/>
        <v>0</v>
      </c>
      <c r="AV186">
        <f t="shared" si="144"/>
        <v>0</v>
      </c>
      <c r="AW186">
        <f t="shared" si="98"/>
        <v>0</v>
      </c>
      <c r="AX186">
        <f t="shared" si="145"/>
        <v>0</v>
      </c>
      <c r="AY186">
        <f t="shared" si="146"/>
        <v>0</v>
      </c>
    </row>
    <row r="187" spans="1:51" x14ac:dyDescent="0.35">
      <c r="A187">
        <v>181</v>
      </c>
      <c r="C187">
        <f t="shared" si="99"/>
        <v>0</v>
      </c>
      <c r="D187">
        <f t="shared" si="100"/>
        <v>0</v>
      </c>
      <c r="E187">
        <f t="shared" si="101"/>
        <v>0</v>
      </c>
      <c r="F187">
        <f t="shared" si="102"/>
        <v>0</v>
      </c>
      <c r="G187">
        <f t="shared" si="103"/>
        <v>0</v>
      </c>
      <c r="H187">
        <f t="shared" si="104"/>
        <v>0</v>
      </c>
      <c r="I187">
        <f t="shared" si="105"/>
        <v>0</v>
      </c>
      <c r="J187">
        <f t="shared" si="106"/>
        <v>0</v>
      </c>
      <c r="K187">
        <f t="shared" si="107"/>
        <v>0</v>
      </c>
      <c r="L187">
        <f t="shared" si="108"/>
        <v>0</v>
      </c>
      <c r="M187">
        <f t="shared" si="109"/>
        <v>0</v>
      </c>
      <c r="N187">
        <f t="shared" si="110"/>
        <v>0</v>
      </c>
      <c r="O187">
        <f t="shared" si="111"/>
        <v>0</v>
      </c>
      <c r="P187">
        <f t="shared" si="112"/>
        <v>0</v>
      </c>
      <c r="Q187">
        <f t="shared" si="113"/>
        <v>0</v>
      </c>
      <c r="R187">
        <f t="shared" si="114"/>
        <v>0</v>
      </c>
      <c r="S187">
        <f t="shared" si="115"/>
        <v>0</v>
      </c>
      <c r="T187">
        <f t="shared" si="116"/>
        <v>0</v>
      </c>
      <c r="U187">
        <f t="shared" si="117"/>
        <v>0</v>
      </c>
      <c r="V187">
        <f t="shared" si="118"/>
        <v>0</v>
      </c>
      <c r="W187">
        <f t="shared" si="119"/>
        <v>0</v>
      </c>
      <c r="X187">
        <f t="shared" si="120"/>
        <v>0</v>
      </c>
      <c r="Y187">
        <f t="shared" si="121"/>
        <v>0</v>
      </c>
      <c r="Z187">
        <f t="shared" si="122"/>
        <v>0</v>
      </c>
      <c r="AA187">
        <f t="shared" si="123"/>
        <v>0</v>
      </c>
      <c r="AB187">
        <f t="shared" si="124"/>
        <v>0</v>
      </c>
      <c r="AC187">
        <f t="shared" si="125"/>
        <v>0</v>
      </c>
      <c r="AD187">
        <f t="shared" si="126"/>
        <v>0</v>
      </c>
      <c r="AE187">
        <f t="shared" si="127"/>
        <v>0</v>
      </c>
      <c r="AF187">
        <f t="shared" si="128"/>
        <v>0</v>
      </c>
      <c r="AG187">
        <f t="shared" si="129"/>
        <v>0</v>
      </c>
      <c r="AH187">
        <f t="shared" si="130"/>
        <v>0</v>
      </c>
      <c r="AI187">
        <f t="shared" si="131"/>
        <v>0</v>
      </c>
      <c r="AJ187">
        <f t="shared" si="132"/>
        <v>0</v>
      </c>
      <c r="AK187">
        <f t="shared" si="133"/>
        <v>0</v>
      </c>
      <c r="AL187">
        <f t="shared" si="134"/>
        <v>0</v>
      </c>
      <c r="AM187">
        <f t="shared" si="135"/>
        <v>0</v>
      </c>
      <c r="AN187">
        <f t="shared" si="136"/>
        <v>0</v>
      </c>
      <c r="AO187">
        <f t="shared" si="137"/>
        <v>0</v>
      </c>
      <c r="AP187">
        <f t="shared" si="138"/>
        <v>0</v>
      </c>
      <c r="AQ187">
        <f t="shared" si="139"/>
        <v>0</v>
      </c>
      <c r="AR187">
        <f t="shared" si="140"/>
        <v>0</v>
      </c>
      <c r="AS187">
        <f t="shared" si="141"/>
        <v>0</v>
      </c>
      <c r="AT187">
        <f t="shared" si="142"/>
        <v>0</v>
      </c>
      <c r="AU187">
        <f t="shared" si="143"/>
        <v>0</v>
      </c>
      <c r="AV187">
        <f t="shared" si="144"/>
        <v>0</v>
      </c>
      <c r="AW187">
        <f t="shared" si="98"/>
        <v>0</v>
      </c>
      <c r="AX187">
        <f t="shared" si="145"/>
        <v>0</v>
      </c>
      <c r="AY187">
        <f t="shared" si="146"/>
        <v>0</v>
      </c>
    </row>
    <row r="188" spans="1:51" x14ac:dyDescent="0.35">
      <c r="A188">
        <v>182</v>
      </c>
      <c r="C188">
        <f t="shared" si="99"/>
        <v>0</v>
      </c>
      <c r="D188">
        <f t="shared" si="100"/>
        <v>0</v>
      </c>
      <c r="E188">
        <f t="shared" si="101"/>
        <v>0</v>
      </c>
      <c r="F188">
        <f t="shared" si="102"/>
        <v>0</v>
      </c>
      <c r="G188">
        <f t="shared" si="103"/>
        <v>0</v>
      </c>
      <c r="H188">
        <f t="shared" si="104"/>
        <v>0</v>
      </c>
      <c r="I188">
        <f t="shared" si="105"/>
        <v>0</v>
      </c>
      <c r="J188">
        <f t="shared" si="106"/>
        <v>0</v>
      </c>
      <c r="K188">
        <f t="shared" si="107"/>
        <v>0</v>
      </c>
      <c r="L188">
        <f t="shared" si="108"/>
        <v>0</v>
      </c>
      <c r="M188">
        <f t="shared" si="109"/>
        <v>0</v>
      </c>
      <c r="N188">
        <f t="shared" si="110"/>
        <v>0</v>
      </c>
      <c r="O188">
        <f t="shared" si="111"/>
        <v>0</v>
      </c>
      <c r="P188">
        <f t="shared" si="112"/>
        <v>0</v>
      </c>
      <c r="Q188">
        <f t="shared" si="113"/>
        <v>0</v>
      </c>
      <c r="R188">
        <f t="shared" si="114"/>
        <v>0</v>
      </c>
      <c r="S188">
        <f t="shared" si="115"/>
        <v>0</v>
      </c>
      <c r="T188">
        <f t="shared" si="116"/>
        <v>0</v>
      </c>
      <c r="U188">
        <f t="shared" si="117"/>
        <v>0</v>
      </c>
      <c r="V188">
        <f t="shared" si="118"/>
        <v>0</v>
      </c>
      <c r="W188">
        <f t="shared" si="119"/>
        <v>0</v>
      </c>
      <c r="X188">
        <f t="shared" si="120"/>
        <v>0</v>
      </c>
      <c r="Y188">
        <f t="shared" si="121"/>
        <v>0</v>
      </c>
      <c r="Z188">
        <f t="shared" si="122"/>
        <v>0</v>
      </c>
      <c r="AA188">
        <f t="shared" si="123"/>
        <v>0</v>
      </c>
      <c r="AB188">
        <f t="shared" si="124"/>
        <v>0</v>
      </c>
      <c r="AC188">
        <f t="shared" si="125"/>
        <v>0</v>
      </c>
      <c r="AD188">
        <f t="shared" si="126"/>
        <v>0</v>
      </c>
      <c r="AE188">
        <f t="shared" si="127"/>
        <v>0</v>
      </c>
      <c r="AF188">
        <f t="shared" si="128"/>
        <v>0</v>
      </c>
      <c r="AG188">
        <f t="shared" si="129"/>
        <v>0</v>
      </c>
      <c r="AH188">
        <f t="shared" si="130"/>
        <v>0</v>
      </c>
      <c r="AI188">
        <f t="shared" si="131"/>
        <v>0</v>
      </c>
      <c r="AJ188">
        <f t="shared" si="132"/>
        <v>0</v>
      </c>
      <c r="AK188">
        <f t="shared" si="133"/>
        <v>0</v>
      </c>
      <c r="AL188">
        <f t="shared" si="134"/>
        <v>0</v>
      </c>
      <c r="AM188">
        <f t="shared" si="135"/>
        <v>0</v>
      </c>
      <c r="AN188">
        <f t="shared" si="136"/>
        <v>0</v>
      </c>
      <c r="AO188">
        <f t="shared" si="137"/>
        <v>0</v>
      </c>
      <c r="AP188">
        <f t="shared" si="138"/>
        <v>0</v>
      </c>
      <c r="AQ188">
        <f t="shared" si="139"/>
        <v>0</v>
      </c>
      <c r="AR188">
        <f t="shared" si="140"/>
        <v>0</v>
      </c>
      <c r="AS188">
        <f t="shared" si="141"/>
        <v>0</v>
      </c>
      <c r="AT188">
        <f t="shared" si="142"/>
        <v>0</v>
      </c>
      <c r="AU188">
        <f t="shared" si="143"/>
        <v>0</v>
      </c>
      <c r="AV188">
        <f t="shared" si="144"/>
        <v>0</v>
      </c>
      <c r="AW188">
        <f t="shared" si="98"/>
        <v>0</v>
      </c>
      <c r="AX188">
        <f t="shared" si="145"/>
        <v>0</v>
      </c>
      <c r="AY188">
        <f t="shared" si="146"/>
        <v>0</v>
      </c>
    </row>
    <row r="189" spans="1:51" x14ac:dyDescent="0.35">
      <c r="A189">
        <v>183</v>
      </c>
      <c r="C189">
        <f t="shared" si="99"/>
        <v>0</v>
      </c>
      <c r="D189">
        <f t="shared" si="100"/>
        <v>0</v>
      </c>
      <c r="E189">
        <f t="shared" si="101"/>
        <v>0</v>
      </c>
      <c r="F189">
        <f t="shared" si="102"/>
        <v>0</v>
      </c>
      <c r="G189">
        <f t="shared" si="103"/>
        <v>0</v>
      </c>
      <c r="H189">
        <f t="shared" si="104"/>
        <v>0</v>
      </c>
      <c r="I189">
        <f t="shared" si="105"/>
        <v>0</v>
      </c>
      <c r="J189">
        <f t="shared" si="106"/>
        <v>0</v>
      </c>
      <c r="K189">
        <f t="shared" si="107"/>
        <v>0</v>
      </c>
      <c r="L189">
        <f t="shared" si="108"/>
        <v>0</v>
      </c>
      <c r="M189">
        <f t="shared" si="109"/>
        <v>0</v>
      </c>
      <c r="N189">
        <f t="shared" si="110"/>
        <v>0</v>
      </c>
      <c r="O189">
        <f t="shared" si="111"/>
        <v>0</v>
      </c>
      <c r="P189">
        <f t="shared" si="112"/>
        <v>0</v>
      </c>
      <c r="Q189">
        <f t="shared" si="113"/>
        <v>0</v>
      </c>
      <c r="R189">
        <f t="shared" si="114"/>
        <v>0</v>
      </c>
      <c r="S189">
        <f t="shared" si="115"/>
        <v>0</v>
      </c>
      <c r="T189">
        <f t="shared" si="116"/>
        <v>0</v>
      </c>
      <c r="U189">
        <f t="shared" si="117"/>
        <v>0</v>
      </c>
      <c r="V189">
        <f t="shared" si="118"/>
        <v>0</v>
      </c>
      <c r="W189">
        <f t="shared" si="119"/>
        <v>0</v>
      </c>
      <c r="X189">
        <f t="shared" si="120"/>
        <v>0</v>
      </c>
      <c r="Y189">
        <f t="shared" si="121"/>
        <v>0</v>
      </c>
      <c r="Z189">
        <f t="shared" si="122"/>
        <v>0</v>
      </c>
      <c r="AA189">
        <f t="shared" si="123"/>
        <v>0</v>
      </c>
      <c r="AB189">
        <f t="shared" si="124"/>
        <v>0</v>
      </c>
      <c r="AC189">
        <f t="shared" si="125"/>
        <v>0</v>
      </c>
      <c r="AD189">
        <f t="shared" si="126"/>
        <v>0</v>
      </c>
      <c r="AE189">
        <f t="shared" si="127"/>
        <v>0</v>
      </c>
      <c r="AF189">
        <f t="shared" si="128"/>
        <v>0</v>
      </c>
      <c r="AG189">
        <f t="shared" si="129"/>
        <v>0</v>
      </c>
      <c r="AH189">
        <f t="shared" si="130"/>
        <v>0</v>
      </c>
      <c r="AI189">
        <f t="shared" si="131"/>
        <v>0</v>
      </c>
      <c r="AJ189">
        <f t="shared" si="132"/>
        <v>0</v>
      </c>
      <c r="AK189">
        <f t="shared" si="133"/>
        <v>0</v>
      </c>
      <c r="AL189">
        <f t="shared" si="134"/>
        <v>0</v>
      </c>
      <c r="AM189">
        <f t="shared" si="135"/>
        <v>0</v>
      </c>
      <c r="AN189">
        <f t="shared" si="136"/>
        <v>0</v>
      </c>
      <c r="AO189">
        <f t="shared" si="137"/>
        <v>0</v>
      </c>
      <c r="AP189">
        <f t="shared" si="138"/>
        <v>0</v>
      </c>
      <c r="AQ189">
        <f t="shared" si="139"/>
        <v>0</v>
      </c>
      <c r="AR189">
        <f t="shared" si="140"/>
        <v>0</v>
      </c>
      <c r="AS189">
        <f t="shared" si="141"/>
        <v>0</v>
      </c>
      <c r="AT189">
        <f t="shared" si="142"/>
        <v>0</v>
      </c>
      <c r="AU189">
        <f t="shared" si="143"/>
        <v>0</v>
      </c>
      <c r="AV189">
        <f t="shared" si="144"/>
        <v>0</v>
      </c>
      <c r="AW189">
        <f t="shared" si="98"/>
        <v>0</v>
      </c>
      <c r="AX189">
        <f t="shared" si="145"/>
        <v>0</v>
      </c>
      <c r="AY189">
        <f t="shared" si="146"/>
        <v>0</v>
      </c>
    </row>
    <row r="190" spans="1:51" x14ac:dyDescent="0.35">
      <c r="A190">
        <v>184</v>
      </c>
      <c r="C190">
        <f t="shared" si="99"/>
        <v>0</v>
      </c>
      <c r="D190">
        <f t="shared" si="100"/>
        <v>0</v>
      </c>
      <c r="E190">
        <f t="shared" si="101"/>
        <v>0</v>
      </c>
      <c r="F190">
        <f t="shared" si="102"/>
        <v>0</v>
      </c>
      <c r="G190">
        <f t="shared" si="103"/>
        <v>0</v>
      </c>
      <c r="H190">
        <f t="shared" si="104"/>
        <v>0</v>
      </c>
      <c r="I190">
        <f t="shared" si="105"/>
        <v>0</v>
      </c>
      <c r="J190">
        <f t="shared" si="106"/>
        <v>0</v>
      </c>
      <c r="K190">
        <f t="shared" si="107"/>
        <v>0</v>
      </c>
      <c r="L190">
        <f t="shared" si="108"/>
        <v>0</v>
      </c>
      <c r="M190">
        <f t="shared" si="109"/>
        <v>0</v>
      </c>
      <c r="N190">
        <f t="shared" si="110"/>
        <v>0</v>
      </c>
      <c r="O190">
        <f t="shared" si="111"/>
        <v>0</v>
      </c>
      <c r="P190">
        <f t="shared" si="112"/>
        <v>0</v>
      </c>
      <c r="Q190">
        <f t="shared" si="113"/>
        <v>0</v>
      </c>
      <c r="R190">
        <f t="shared" si="114"/>
        <v>0</v>
      </c>
      <c r="S190">
        <f t="shared" si="115"/>
        <v>0</v>
      </c>
      <c r="T190">
        <f t="shared" si="116"/>
        <v>0</v>
      </c>
      <c r="U190">
        <f t="shared" si="117"/>
        <v>0</v>
      </c>
      <c r="V190">
        <f t="shared" si="118"/>
        <v>0</v>
      </c>
      <c r="W190">
        <f t="shared" si="119"/>
        <v>0</v>
      </c>
      <c r="X190">
        <f t="shared" si="120"/>
        <v>0</v>
      </c>
      <c r="Y190">
        <f t="shared" si="121"/>
        <v>0</v>
      </c>
      <c r="Z190">
        <f t="shared" si="122"/>
        <v>0</v>
      </c>
      <c r="AA190">
        <f t="shared" si="123"/>
        <v>0</v>
      </c>
      <c r="AB190">
        <f t="shared" si="124"/>
        <v>0</v>
      </c>
      <c r="AC190">
        <f t="shared" si="125"/>
        <v>0</v>
      </c>
      <c r="AD190">
        <f t="shared" si="126"/>
        <v>0</v>
      </c>
      <c r="AE190">
        <f t="shared" si="127"/>
        <v>0</v>
      </c>
      <c r="AF190">
        <f t="shared" si="128"/>
        <v>0</v>
      </c>
      <c r="AG190">
        <f t="shared" si="129"/>
        <v>0</v>
      </c>
      <c r="AH190">
        <f t="shared" si="130"/>
        <v>0</v>
      </c>
      <c r="AI190">
        <f t="shared" si="131"/>
        <v>0</v>
      </c>
      <c r="AJ190">
        <f t="shared" si="132"/>
        <v>0</v>
      </c>
      <c r="AK190">
        <f t="shared" si="133"/>
        <v>0</v>
      </c>
      <c r="AL190">
        <f t="shared" si="134"/>
        <v>0</v>
      </c>
      <c r="AM190">
        <f t="shared" si="135"/>
        <v>0</v>
      </c>
      <c r="AN190">
        <f t="shared" si="136"/>
        <v>0</v>
      </c>
      <c r="AO190">
        <f t="shared" si="137"/>
        <v>0</v>
      </c>
      <c r="AP190">
        <f t="shared" si="138"/>
        <v>0</v>
      </c>
      <c r="AQ190">
        <f t="shared" si="139"/>
        <v>0</v>
      </c>
      <c r="AR190">
        <f t="shared" si="140"/>
        <v>0</v>
      </c>
      <c r="AS190">
        <f t="shared" si="141"/>
        <v>0</v>
      </c>
      <c r="AT190">
        <f t="shared" si="142"/>
        <v>0</v>
      </c>
      <c r="AU190">
        <f t="shared" si="143"/>
        <v>0</v>
      </c>
      <c r="AV190">
        <f t="shared" si="144"/>
        <v>0</v>
      </c>
      <c r="AW190">
        <f t="shared" si="98"/>
        <v>0</v>
      </c>
      <c r="AX190">
        <f t="shared" si="145"/>
        <v>0</v>
      </c>
      <c r="AY190">
        <f t="shared" si="146"/>
        <v>0</v>
      </c>
    </row>
    <row r="191" spans="1:51" x14ac:dyDescent="0.35">
      <c r="A191">
        <v>185</v>
      </c>
      <c r="C191">
        <f t="shared" si="99"/>
        <v>0</v>
      </c>
      <c r="D191">
        <f t="shared" si="100"/>
        <v>0</v>
      </c>
      <c r="E191">
        <f t="shared" si="101"/>
        <v>0</v>
      </c>
      <c r="F191">
        <f t="shared" si="102"/>
        <v>0</v>
      </c>
      <c r="G191">
        <f t="shared" si="103"/>
        <v>0</v>
      </c>
      <c r="H191">
        <f t="shared" si="104"/>
        <v>0</v>
      </c>
      <c r="I191">
        <f t="shared" si="105"/>
        <v>0</v>
      </c>
      <c r="J191">
        <f t="shared" si="106"/>
        <v>0</v>
      </c>
      <c r="K191">
        <f t="shared" si="107"/>
        <v>0</v>
      </c>
      <c r="L191">
        <f t="shared" si="108"/>
        <v>0</v>
      </c>
      <c r="M191">
        <f t="shared" si="109"/>
        <v>0</v>
      </c>
      <c r="N191">
        <f t="shared" si="110"/>
        <v>0</v>
      </c>
      <c r="O191">
        <f t="shared" si="111"/>
        <v>0</v>
      </c>
      <c r="P191">
        <f t="shared" si="112"/>
        <v>0</v>
      </c>
      <c r="Q191">
        <f t="shared" si="113"/>
        <v>0</v>
      </c>
      <c r="R191">
        <f t="shared" si="114"/>
        <v>0</v>
      </c>
      <c r="S191">
        <f t="shared" si="115"/>
        <v>0</v>
      </c>
      <c r="T191">
        <f t="shared" si="116"/>
        <v>0</v>
      </c>
      <c r="U191">
        <f t="shared" si="117"/>
        <v>0</v>
      </c>
      <c r="V191">
        <f t="shared" si="118"/>
        <v>0</v>
      </c>
      <c r="W191">
        <f t="shared" si="119"/>
        <v>0</v>
      </c>
      <c r="X191">
        <f t="shared" si="120"/>
        <v>0</v>
      </c>
      <c r="Y191">
        <f t="shared" si="121"/>
        <v>0</v>
      </c>
      <c r="Z191">
        <f t="shared" si="122"/>
        <v>0</v>
      </c>
      <c r="AA191">
        <f t="shared" si="123"/>
        <v>0</v>
      </c>
      <c r="AB191">
        <f t="shared" si="124"/>
        <v>0</v>
      </c>
      <c r="AC191">
        <f t="shared" si="125"/>
        <v>0</v>
      </c>
      <c r="AD191">
        <f t="shared" si="126"/>
        <v>0</v>
      </c>
      <c r="AE191">
        <f t="shared" si="127"/>
        <v>0</v>
      </c>
      <c r="AF191">
        <f t="shared" si="128"/>
        <v>0</v>
      </c>
      <c r="AG191">
        <f t="shared" si="129"/>
        <v>0</v>
      </c>
      <c r="AH191">
        <f t="shared" si="130"/>
        <v>0</v>
      </c>
      <c r="AI191">
        <f t="shared" si="131"/>
        <v>0</v>
      </c>
      <c r="AJ191">
        <f t="shared" si="132"/>
        <v>0</v>
      </c>
      <c r="AK191">
        <f t="shared" si="133"/>
        <v>0</v>
      </c>
      <c r="AL191">
        <f t="shared" si="134"/>
        <v>0</v>
      </c>
      <c r="AM191">
        <f t="shared" si="135"/>
        <v>0</v>
      </c>
      <c r="AN191">
        <f t="shared" si="136"/>
        <v>0</v>
      </c>
      <c r="AO191">
        <f t="shared" si="137"/>
        <v>0</v>
      </c>
      <c r="AP191">
        <f t="shared" si="138"/>
        <v>0</v>
      </c>
      <c r="AQ191">
        <f t="shared" si="139"/>
        <v>0</v>
      </c>
      <c r="AR191">
        <f t="shared" si="140"/>
        <v>0</v>
      </c>
      <c r="AS191">
        <f t="shared" si="141"/>
        <v>0</v>
      </c>
      <c r="AT191">
        <f t="shared" si="142"/>
        <v>0</v>
      </c>
      <c r="AU191">
        <f t="shared" si="143"/>
        <v>0</v>
      </c>
      <c r="AV191">
        <f t="shared" si="144"/>
        <v>0</v>
      </c>
      <c r="AW191">
        <f t="shared" si="98"/>
        <v>0</v>
      </c>
      <c r="AX191">
        <f t="shared" si="145"/>
        <v>0</v>
      </c>
      <c r="AY191">
        <f t="shared" si="146"/>
        <v>0</v>
      </c>
    </row>
    <row r="192" spans="1:51" x14ac:dyDescent="0.35">
      <c r="A192">
        <v>186</v>
      </c>
      <c r="C192">
        <f t="shared" si="99"/>
        <v>0</v>
      </c>
      <c r="D192">
        <f t="shared" si="100"/>
        <v>0</v>
      </c>
      <c r="E192">
        <f t="shared" si="101"/>
        <v>0</v>
      </c>
      <c r="F192">
        <f t="shared" si="102"/>
        <v>0</v>
      </c>
      <c r="G192">
        <f t="shared" si="103"/>
        <v>0</v>
      </c>
      <c r="H192">
        <f t="shared" si="104"/>
        <v>0</v>
      </c>
      <c r="I192">
        <f t="shared" si="105"/>
        <v>0</v>
      </c>
      <c r="J192">
        <f t="shared" si="106"/>
        <v>0</v>
      </c>
      <c r="K192">
        <f t="shared" si="107"/>
        <v>0</v>
      </c>
      <c r="L192">
        <f t="shared" si="108"/>
        <v>0</v>
      </c>
      <c r="M192">
        <f t="shared" si="109"/>
        <v>0</v>
      </c>
      <c r="N192">
        <f t="shared" si="110"/>
        <v>0</v>
      </c>
      <c r="O192">
        <f t="shared" si="111"/>
        <v>0</v>
      </c>
      <c r="P192">
        <f t="shared" si="112"/>
        <v>0</v>
      </c>
      <c r="Q192">
        <f t="shared" si="113"/>
        <v>0</v>
      </c>
      <c r="R192">
        <f t="shared" si="114"/>
        <v>0</v>
      </c>
      <c r="S192">
        <f t="shared" si="115"/>
        <v>0</v>
      </c>
      <c r="T192">
        <f t="shared" si="116"/>
        <v>0</v>
      </c>
      <c r="U192">
        <f t="shared" si="117"/>
        <v>0</v>
      </c>
      <c r="V192">
        <f t="shared" si="118"/>
        <v>0</v>
      </c>
      <c r="W192">
        <f t="shared" si="119"/>
        <v>0</v>
      </c>
      <c r="X192">
        <f t="shared" si="120"/>
        <v>0</v>
      </c>
      <c r="Y192">
        <f t="shared" si="121"/>
        <v>0</v>
      </c>
      <c r="Z192">
        <f t="shared" si="122"/>
        <v>0</v>
      </c>
      <c r="AA192">
        <f t="shared" si="123"/>
        <v>0</v>
      </c>
      <c r="AB192">
        <f t="shared" si="124"/>
        <v>0</v>
      </c>
      <c r="AC192">
        <f t="shared" si="125"/>
        <v>0</v>
      </c>
      <c r="AD192">
        <f t="shared" si="126"/>
        <v>0</v>
      </c>
      <c r="AE192">
        <f t="shared" si="127"/>
        <v>0</v>
      </c>
      <c r="AF192">
        <f t="shared" si="128"/>
        <v>0</v>
      </c>
      <c r="AG192">
        <f t="shared" si="129"/>
        <v>0</v>
      </c>
      <c r="AH192">
        <f t="shared" si="130"/>
        <v>0</v>
      </c>
      <c r="AI192">
        <f t="shared" si="131"/>
        <v>0</v>
      </c>
      <c r="AJ192">
        <f t="shared" si="132"/>
        <v>0</v>
      </c>
      <c r="AK192">
        <f t="shared" si="133"/>
        <v>0</v>
      </c>
      <c r="AL192">
        <f t="shared" si="134"/>
        <v>0</v>
      </c>
      <c r="AM192">
        <f t="shared" si="135"/>
        <v>0</v>
      </c>
      <c r="AN192">
        <f t="shared" si="136"/>
        <v>0</v>
      </c>
      <c r="AO192">
        <f t="shared" si="137"/>
        <v>0</v>
      </c>
      <c r="AP192">
        <f t="shared" si="138"/>
        <v>0</v>
      </c>
      <c r="AQ192">
        <f t="shared" si="139"/>
        <v>0</v>
      </c>
      <c r="AR192">
        <f t="shared" si="140"/>
        <v>0</v>
      </c>
      <c r="AS192">
        <f t="shared" si="141"/>
        <v>0</v>
      </c>
      <c r="AT192">
        <f t="shared" si="142"/>
        <v>0</v>
      </c>
      <c r="AU192">
        <f t="shared" si="143"/>
        <v>0</v>
      </c>
      <c r="AV192">
        <f t="shared" si="144"/>
        <v>0</v>
      </c>
      <c r="AW192">
        <f t="shared" si="98"/>
        <v>0</v>
      </c>
      <c r="AX192">
        <f t="shared" si="145"/>
        <v>0</v>
      </c>
      <c r="AY192">
        <f t="shared" si="146"/>
        <v>0</v>
      </c>
    </row>
    <row r="193" spans="1:51" x14ac:dyDescent="0.35">
      <c r="A193">
        <v>187</v>
      </c>
      <c r="C193">
        <f t="shared" si="99"/>
        <v>0</v>
      </c>
      <c r="D193">
        <f t="shared" si="100"/>
        <v>0</v>
      </c>
      <c r="E193">
        <f t="shared" si="101"/>
        <v>0</v>
      </c>
      <c r="F193">
        <f t="shared" si="102"/>
        <v>0</v>
      </c>
      <c r="G193">
        <f t="shared" si="103"/>
        <v>0</v>
      </c>
      <c r="H193">
        <f t="shared" si="104"/>
        <v>0</v>
      </c>
      <c r="I193">
        <f t="shared" si="105"/>
        <v>0</v>
      </c>
      <c r="J193">
        <f t="shared" si="106"/>
        <v>0</v>
      </c>
      <c r="K193">
        <f t="shared" si="107"/>
        <v>0</v>
      </c>
      <c r="L193">
        <f t="shared" si="108"/>
        <v>0</v>
      </c>
      <c r="M193">
        <f t="shared" si="109"/>
        <v>0</v>
      </c>
      <c r="N193">
        <f t="shared" si="110"/>
        <v>0</v>
      </c>
      <c r="O193">
        <f t="shared" si="111"/>
        <v>0</v>
      </c>
      <c r="P193">
        <f t="shared" si="112"/>
        <v>0</v>
      </c>
      <c r="Q193">
        <f t="shared" si="113"/>
        <v>0</v>
      </c>
      <c r="R193">
        <f t="shared" si="114"/>
        <v>0</v>
      </c>
      <c r="S193">
        <f t="shared" si="115"/>
        <v>0</v>
      </c>
      <c r="T193">
        <f t="shared" si="116"/>
        <v>0</v>
      </c>
      <c r="U193">
        <f t="shared" si="117"/>
        <v>0</v>
      </c>
      <c r="V193">
        <f t="shared" si="118"/>
        <v>0</v>
      </c>
      <c r="W193">
        <f t="shared" si="119"/>
        <v>0</v>
      </c>
      <c r="X193">
        <f t="shared" si="120"/>
        <v>0</v>
      </c>
      <c r="Y193">
        <f t="shared" si="121"/>
        <v>0</v>
      </c>
      <c r="Z193">
        <f t="shared" si="122"/>
        <v>0</v>
      </c>
      <c r="AA193">
        <f t="shared" si="123"/>
        <v>0</v>
      </c>
      <c r="AB193">
        <f t="shared" si="124"/>
        <v>0</v>
      </c>
      <c r="AC193">
        <f t="shared" si="125"/>
        <v>0</v>
      </c>
      <c r="AD193">
        <f t="shared" si="126"/>
        <v>0</v>
      </c>
      <c r="AE193">
        <f t="shared" si="127"/>
        <v>0</v>
      </c>
      <c r="AF193">
        <f t="shared" si="128"/>
        <v>0</v>
      </c>
      <c r="AG193">
        <f t="shared" si="129"/>
        <v>0</v>
      </c>
      <c r="AH193">
        <f t="shared" si="130"/>
        <v>0</v>
      </c>
      <c r="AI193">
        <f t="shared" si="131"/>
        <v>0</v>
      </c>
      <c r="AJ193">
        <f t="shared" si="132"/>
        <v>0</v>
      </c>
      <c r="AK193">
        <f t="shared" si="133"/>
        <v>0</v>
      </c>
      <c r="AL193">
        <f t="shared" si="134"/>
        <v>0</v>
      </c>
      <c r="AM193">
        <f t="shared" si="135"/>
        <v>0</v>
      </c>
      <c r="AN193">
        <f t="shared" si="136"/>
        <v>0</v>
      </c>
      <c r="AO193">
        <f t="shared" si="137"/>
        <v>0</v>
      </c>
      <c r="AP193">
        <f t="shared" si="138"/>
        <v>0</v>
      </c>
      <c r="AQ193">
        <f t="shared" si="139"/>
        <v>0</v>
      </c>
      <c r="AR193">
        <f t="shared" si="140"/>
        <v>0</v>
      </c>
      <c r="AS193">
        <f t="shared" si="141"/>
        <v>0</v>
      </c>
      <c r="AT193">
        <f t="shared" si="142"/>
        <v>0</v>
      </c>
      <c r="AU193">
        <f t="shared" si="143"/>
        <v>0</v>
      </c>
      <c r="AV193">
        <f t="shared" si="144"/>
        <v>0</v>
      </c>
      <c r="AW193">
        <f t="shared" si="98"/>
        <v>0</v>
      </c>
      <c r="AX193">
        <f t="shared" si="145"/>
        <v>0</v>
      </c>
      <c r="AY193">
        <f t="shared" si="146"/>
        <v>0</v>
      </c>
    </row>
    <row r="194" spans="1:51" x14ac:dyDescent="0.35">
      <c r="A194">
        <v>188</v>
      </c>
      <c r="C194">
        <f t="shared" si="99"/>
        <v>0</v>
      </c>
      <c r="D194">
        <f t="shared" si="100"/>
        <v>0</v>
      </c>
      <c r="E194">
        <f t="shared" si="101"/>
        <v>0</v>
      </c>
      <c r="F194">
        <f t="shared" si="102"/>
        <v>0</v>
      </c>
      <c r="G194">
        <f t="shared" si="103"/>
        <v>0</v>
      </c>
      <c r="H194">
        <f t="shared" si="104"/>
        <v>0</v>
      </c>
      <c r="I194">
        <f t="shared" si="105"/>
        <v>0</v>
      </c>
      <c r="J194">
        <f t="shared" si="106"/>
        <v>0</v>
      </c>
      <c r="K194">
        <f t="shared" si="107"/>
        <v>0</v>
      </c>
      <c r="L194">
        <f t="shared" si="108"/>
        <v>0</v>
      </c>
      <c r="M194">
        <f t="shared" si="109"/>
        <v>0</v>
      </c>
      <c r="N194">
        <f t="shared" si="110"/>
        <v>0</v>
      </c>
      <c r="O194">
        <f t="shared" si="111"/>
        <v>0</v>
      </c>
      <c r="P194">
        <f t="shared" si="112"/>
        <v>0</v>
      </c>
      <c r="Q194">
        <f t="shared" si="113"/>
        <v>0</v>
      </c>
      <c r="R194">
        <f t="shared" si="114"/>
        <v>0</v>
      </c>
      <c r="S194">
        <f t="shared" si="115"/>
        <v>0</v>
      </c>
      <c r="T194">
        <f t="shared" si="116"/>
        <v>0</v>
      </c>
      <c r="U194">
        <f t="shared" si="117"/>
        <v>0</v>
      </c>
      <c r="V194">
        <f t="shared" si="118"/>
        <v>0</v>
      </c>
      <c r="W194">
        <f t="shared" si="119"/>
        <v>0</v>
      </c>
      <c r="X194">
        <f t="shared" si="120"/>
        <v>0</v>
      </c>
      <c r="Y194">
        <f t="shared" si="121"/>
        <v>0</v>
      </c>
      <c r="Z194">
        <f t="shared" si="122"/>
        <v>0</v>
      </c>
      <c r="AA194">
        <f t="shared" si="123"/>
        <v>0</v>
      </c>
      <c r="AB194">
        <f t="shared" si="124"/>
        <v>0</v>
      </c>
      <c r="AC194">
        <f t="shared" si="125"/>
        <v>0</v>
      </c>
      <c r="AD194">
        <f t="shared" si="126"/>
        <v>0</v>
      </c>
      <c r="AE194">
        <f t="shared" si="127"/>
        <v>0</v>
      </c>
      <c r="AF194">
        <f t="shared" si="128"/>
        <v>0</v>
      </c>
      <c r="AG194">
        <f t="shared" si="129"/>
        <v>0</v>
      </c>
      <c r="AH194">
        <f t="shared" si="130"/>
        <v>0</v>
      </c>
      <c r="AI194">
        <f t="shared" si="131"/>
        <v>0</v>
      </c>
      <c r="AJ194">
        <f t="shared" si="132"/>
        <v>0</v>
      </c>
      <c r="AK194">
        <f t="shared" si="133"/>
        <v>0</v>
      </c>
      <c r="AL194">
        <f t="shared" si="134"/>
        <v>0</v>
      </c>
      <c r="AM194">
        <f t="shared" si="135"/>
        <v>0</v>
      </c>
      <c r="AN194">
        <f t="shared" si="136"/>
        <v>0</v>
      </c>
      <c r="AO194">
        <f t="shared" si="137"/>
        <v>0</v>
      </c>
      <c r="AP194">
        <f t="shared" si="138"/>
        <v>0</v>
      </c>
      <c r="AQ194">
        <f t="shared" si="139"/>
        <v>0</v>
      </c>
      <c r="AR194">
        <f t="shared" si="140"/>
        <v>0</v>
      </c>
      <c r="AS194">
        <f t="shared" si="141"/>
        <v>0</v>
      </c>
      <c r="AT194">
        <f t="shared" si="142"/>
        <v>0</v>
      </c>
      <c r="AU194">
        <f t="shared" si="143"/>
        <v>0</v>
      </c>
      <c r="AV194">
        <f t="shared" si="144"/>
        <v>0</v>
      </c>
      <c r="AW194">
        <f t="shared" si="98"/>
        <v>0</v>
      </c>
      <c r="AX194">
        <f t="shared" si="145"/>
        <v>0</v>
      </c>
      <c r="AY194">
        <f t="shared" si="146"/>
        <v>0</v>
      </c>
    </row>
    <row r="195" spans="1:51" x14ac:dyDescent="0.35">
      <c r="A195">
        <v>189</v>
      </c>
      <c r="C195">
        <f t="shared" si="99"/>
        <v>0</v>
      </c>
      <c r="D195">
        <f t="shared" si="100"/>
        <v>0</v>
      </c>
      <c r="E195">
        <f t="shared" si="101"/>
        <v>0</v>
      </c>
      <c r="F195">
        <f t="shared" si="102"/>
        <v>0</v>
      </c>
      <c r="G195">
        <f t="shared" si="103"/>
        <v>0</v>
      </c>
      <c r="H195">
        <f t="shared" si="104"/>
        <v>0</v>
      </c>
      <c r="I195">
        <f t="shared" si="105"/>
        <v>0</v>
      </c>
      <c r="J195">
        <f t="shared" si="106"/>
        <v>0</v>
      </c>
      <c r="K195">
        <f t="shared" si="107"/>
        <v>0</v>
      </c>
      <c r="L195">
        <f t="shared" si="108"/>
        <v>0</v>
      </c>
      <c r="M195">
        <f t="shared" si="109"/>
        <v>0</v>
      </c>
      <c r="N195">
        <f t="shared" si="110"/>
        <v>0</v>
      </c>
      <c r="O195">
        <f t="shared" si="111"/>
        <v>0</v>
      </c>
      <c r="P195">
        <f t="shared" si="112"/>
        <v>0</v>
      </c>
      <c r="Q195">
        <f t="shared" si="113"/>
        <v>0</v>
      </c>
      <c r="R195">
        <f t="shared" si="114"/>
        <v>0</v>
      </c>
      <c r="S195">
        <f t="shared" si="115"/>
        <v>0</v>
      </c>
      <c r="T195">
        <f t="shared" si="116"/>
        <v>0</v>
      </c>
      <c r="U195">
        <f t="shared" si="117"/>
        <v>0</v>
      </c>
      <c r="V195">
        <f t="shared" si="118"/>
        <v>0</v>
      </c>
      <c r="W195">
        <f t="shared" si="119"/>
        <v>0</v>
      </c>
      <c r="X195">
        <f t="shared" si="120"/>
        <v>0</v>
      </c>
      <c r="Y195">
        <f t="shared" si="121"/>
        <v>0</v>
      </c>
      <c r="Z195">
        <f t="shared" si="122"/>
        <v>0</v>
      </c>
      <c r="AA195">
        <f t="shared" si="123"/>
        <v>0</v>
      </c>
      <c r="AB195">
        <f t="shared" si="124"/>
        <v>0</v>
      </c>
      <c r="AC195">
        <f t="shared" si="125"/>
        <v>0</v>
      </c>
      <c r="AD195">
        <f t="shared" si="126"/>
        <v>0</v>
      </c>
      <c r="AE195">
        <f t="shared" si="127"/>
        <v>0</v>
      </c>
      <c r="AF195">
        <f t="shared" si="128"/>
        <v>0</v>
      </c>
      <c r="AG195">
        <f t="shared" si="129"/>
        <v>0</v>
      </c>
      <c r="AH195">
        <f t="shared" si="130"/>
        <v>0</v>
      </c>
      <c r="AI195">
        <f t="shared" si="131"/>
        <v>0</v>
      </c>
      <c r="AJ195">
        <f t="shared" si="132"/>
        <v>0</v>
      </c>
      <c r="AK195">
        <f t="shared" si="133"/>
        <v>0</v>
      </c>
      <c r="AL195">
        <f t="shared" si="134"/>
        <v>0</v>
      </c>
      <c r="AM195">
        <f t="shared" si="135"/>
        <v>0</v>
      </c>
      <c r="AN195">
        <f t="shared" si="136"/>
        <v>0</v>
      </c>
      <c r="AO195">
        <f t="shared" si="137"/>
        <v>0</v>
      </c>
      <c r="AP195">
        <f t="shared" si="138"/>
        <v>0</v>
      </c>
      <c r="AQ195">
        <f t="shared" si="139"/>
        <v>0</v>
      </c>
      <c r="AR195">
        <f t="shared" si="140"/>
        <v>0</v>
      </c>
      <c r="AS195">
        <f t="shared" si="141"/>
        <v>0</v>
      </c>
      <c r="AT195">
        <f t="shared" si="142"/>
        <v>0</v>
      </c>
      <c r="AU195">
        <f t="shared" si="143"/>
        <v>0</v>
      </c>
      <c r="AV195">
        <f t="shared" si="144"/>
        <v>0</v>
      </c>
      <c r="AW195">
        <f t="shared" si="98"/>
        <v>0</v>
      </c>
      <c r="AX195">
        <f t="shared" si="145"/>
        <v>0</v>
      </c>
      <c r="AY195">
        <f t="shared" si="146"/>
        <v>0</v>
      </c>
    </row>
    <row r="196" spans="1:51" x14ac:dyDescent="0.35">
      <c r="A196">
        <v>190</v>
      </c>
      <c r="C196">
        <f t="shared" si="99"/>
        <v>0</v>
      </c>
      <c r="D196">
        <f t="shared" si="100"/>
        <v>0</v>
      </c>
      <c r="E196">
        <f t="shared" si="101"/>
        <v>0</v>
      </c>
      <c r="F196">
        <f t="shared" si="102"/>
        <v>0</v>
      </c>
      <c r="G196">
        <f t="shared" si="103"/>
        <v>0</v>
      </c>
      <c r="H196">
        <f t="shared" si="104"/>
        <v>0</v>
      </c>
      <c r="I196">
        <f t="shared" si="105"/>
        <v>0</v>
      </c>
      <c r="J196">
        <f t="shared" si="106"/>
        <v>0</v>
      </c>
      <c r="K196">
        <f t="shared" si="107"/>
        <v>0</v>
      </c>
      <c r="L196">
        <f t="shared" si="108"/>
        <v>0</v>
      </c>
      <c r="M196">
        <f t="shared" si="109"/>
        <v>0</v>
      </c>
      <c r="N196">
        <f t="shared" si="110"/>
        <v>0</v>
      </c>
      <c r="O196">
        <f t="shared" si="111"/>
        <v>0</v>
      </c>
      <c r="P196">
        <f t="shared" si="112"/>
        <v>0</v>
      </c>
      <c r="Q196">
        <f t="shared" si="113"/>
        <v>0</v>
      </c>
      <c r="R196">
        <f t="shared" si="114"/>
        <v>0</v>
      </c>
      <c r="S196">
        <f t="shared" si="115"/>
        <v>0</v>
      </c>
      <c r="T196">
        <f t="shared" si="116"/>
        <v>0</v>
      </c>
      <c r="U196">
        <f t="shared" si="117"/>
        <v>0</v>
      </c>
      <c r="V196">
        <f t="shared" si="118"/>
        <v>0</v>
      </c>
      <c r="W196">
        <f t="shared" si="119"/>
        <v>0</v>
      </c>
      <c r="X196">
        <f t="shared" si="120"/>
        <v>0</v>
      </c>
      <c r="Y196">
        <f t="shared" si="121"/>
        <v>0</v>
      </c>
      <c r="Z196">
        <f t="shared" si="122"/>
        <v>0</v>
      </c>
      <c r="AA196">
        <f t="shared" si="123"/>
        <v>0</v>
      </c>
      <c r="AB196">
        <f t="shared" si="124"/>
        <v>0</v>
      </c>
      <c r="AC196">
        <f t="shared" si="125"/>
        <v>0</v>
      </c>
      <c r="AD196">
        <f t="shared" si="126"/>
        <v>0</v>
      </c>
      <c r="AE196">
        <f t="shared" si="127"/>
        <v>0</v>
      </c>
      <c r="AF196">
        <f t="shared" si="128"/>
        <v>0</v>
      </c>
      <c r="AG196">
        <f t="shared" si="129"/>
        <v>0</v>
      </c>
      <c r="AH196">
        <f t="shared" si="130"/>
        <v>0</v>
      </c>
      <c r="AI196">
        <f t="shared" si="131"/>
        <v>0</v>
      </c>
      <c r="AJ196">
        <f t="shared" si="132"/>
        <v>0</v>
      </c>
      <c r="AK196">
        <f t="shared" si="133"/>
        <v>0</v>
      </c>
      <c r="AL196">
        <f t="shared" si="134"/>
        <v>0</v>
      </c>
      <c r="AM196">
        <f t="shared" si="135"/>
        <v>0</v>
      </c>
      <c r="AN196">
        <f t="shared" si="136"/>
        <v>0</v>
      </c>
      <c r="AO196">
        <f t="shared" si="137"/>
        <v>0</v>
      </c>
      <c r="AP196">
        <f t="shared" si="138"/>
        <v>0</v>
      </c>
      <c r="AQ196">
        <f t="shared" si="139"/>
        <v>0</v>
      </c>
      <c r="AR196">
        <f t="shared" si="140"/>
        <v>0</v>
      </c>
      <c r="AS196">
        <f t="shared" si="141"/>
        <v>0</v>
      </c>
      <c r="AT196">
        <f t="shared" si="142"/>
        <v>0</v>
      </c>
      <c r="AU196">
        <f t="shared" si="143"/>
        <v>0</v>
      </c>
      <c r="AV196">
        <f t="shared" si="144"/>
        <v>0</v>
      </c>
      <c r="AW196">
        <f t="shared" si="98"/>
        <v>0</v>
      </c>
      <c r="AX196">
        <f t="shared" si="145"/>
        <v>0</v>
      </c>
      <c r="AY196">
        <f t="shared" si="146"/>
        <v>0</v>
      </c>
    </row>
    <row r="197" spans="1:51" x14ac:dyDescent="0.35">
      <c r="A197">
        <v>191</v>
      </c>
      <c r="C197">
        <f t="shared" si="99"/>
        <v>0</v>
      </c>
      <c r="D197">
        <f t="shared" si="100"/>
        <v>0</v>
      </c>
      <c r="E197">
        <f t="shared" si="101"/>
        <v>0</v>
      </c>
      <c r="F197">
        <f t="shared" si="102"/>
        <v>0</v>
      </c>
      <c r="G197">
        <f t="shared" si="103"/>
        <v>0</v>
      </c>
      <c r="H197">
        <f t="shared" si="104"/>
        <v>0</v>
      </c>
      <c r="I197">
        <f t="shared" si="105"/>
        <v>0</v>
      </c>
      <c r="J197">
        <f t="shared" si="106"/>
        <v>0</v>
      </c>
      <c r="K197">
        <f t="shared" si="107"/>
        <v>0</v>
      </c>
      <c r="L197">
        <f t="shared" si="108"/>
        <v>0</v>
      </c>
      <c r="M197">
        <f t="shared" si="109"/>
        <v>0</v>
      </c>
      <c r="N197">
        <f t="shared" si="110"/>
        <v>0</v>
      </c>
      <c r="O197">
        <f t="shared" si="111"/>
        <v>0</v>
      </c>
      <c r="P197">
        <f t="shared" si="112"/>
        <v>0</v>
      </c>
      <c r="Q197">
        <f t="shared" si="113"/>
        <v>0</v>
      </c>
      <c r="R197">
        <f t="shared" si="114"/>
        <v>0</v>
      </c>
      <c r="S197">
        <f t="shared" si="115"/>
        <v>0</v>
      </c>
      <c r="T197">
        <f t="shared" si="116"/>
        <v>0</v>
      </c>
      <c r="U197">
        <f t="shared" si="117"/>
        <v>0</v>
      </c>
      <c r="V197">
        <f t="shared" si="118"/>
        <v>0</v>
      </c>
      <c r="W197">
        <f t="shared" si="119"/>
        <v>0</v>
      </c>
      <c r="X197">
        <f t="shared" si="120"/>
        <v>0</v>
      </c>
      <c r="Y197">
        <f t="shared" si="121"/>
        <v>0</v>
      </c>
      <c r="Z197">
        <f t="shared" si="122"/>
        <v>0</v>
      </c>
      <c r="AA197">
        <f t="shared" si="123"/>
        <v>0</v>
      </c>
      <c r="AB197">
        <f t="shared" si="124"/>
        <v>0</v>
      </c>
      <c r="AC197">
        <f t="shared" si="125"/>
        <v>0</v>
      </c>
      <c r="AD197">
        <f t="shared" si="126"/>
        <v>0</v>
      </c>
      <c r="AE197">
        <f t="shared" si="127"/>
        <v>0</v>
      </c>
      <c r="AF197">
        <f t="shared" si="128"/>
        <v>0</v>
      </c>
      <c r="AG197">
        <f t="shared" si="129"/>
        <v>0</v>
      </c>
      <c r="AH197">
        <f t="shared" si="130"/>
        <v>0</v>
      </c>
      <c r="AI197">
        <f t="shared" si="131"/>
        <v>0</v>
      </c>
      <c r="AJ197">
        <f t="shared" si="132"/>
        <v>0</v>
      </c>
      <c r="AK197">
        <f t="shared" si="133"/>
        <v>0</v>
      </c>
      <c r="AL197">
        <f t="shared" si="134"/>
        <v>0</v>
      </c>
      <c r="AM197">
        <f t="shared" si="135"/>
        <v>0</v>
      </c>
      <c r="AN197">
        <f t="shared" si="136"/>
        <v>0</v>
      </c>
      <c r="AO197">
        <f t="shared" si="137"/>
        <v>0</v>
      </c>
      <c r="AP197">
        <f t="shared" si="138"/>
        <v>0</v>
      </c>
      <c r="AQ197">
        <f t="shared" si="139"/>
        <v>0</v>
      </c>
      <c r="AR197">
        <f t="shared" si="140"/>
        <v>0</v>
      </c>
      <c r="AS197">
        <f t="shared" si="141"/>
        <v>0</v>
      </c>
      <c r="AT197">
        <f t="shared" si="142"/>
        <v>0</v>
      </c>
      <c r="AU197">
        <f t="shared" si="143"/>
        <v>0</v>
      </c>
      <c r="AV197">
        <f t="shared" si="144"/>
        <v>0</v>
      </c>
      <c r="AW197">
        <f t="shared" si="98"/>
        <v>0</v>
      </c>
      <c r="AX197">
        <f t="shared" si="145"/>
        <v>0</v>
      </c>
      <c r="AY197">
        <f t="shared" si="146"/>
        <v>0</v>
      </c>
    </row>
    <row r="198" spans="1:51" x14ac:dyDescent="0.35">
      <c r="A198">
        <v>192</v>
      </c>
      <c r="C198">
        <f t="shared" si="99"/>
        <v>0</v>
      </c>
      <c r="D198">
        <f t="shared" si="100"/>
        <v>0</v>
      </c>
      <c r="E198">
        <f t="shared" si="101"/>
        <v>0</v>
      </c>
      <c r="F198">
        <f t="shared" si="102"/>
        <v>0</v>
      </c>
      <c r="G198">
        <f t="shared" si="103"/>
        <v>0</v>
      </c>
      <c r="H198">
        <f t="shared" si="104"/>
        <v>0</v>
      </c>
      <c r="I198">
        <f t="shared" si="105"/>
        <v>0</v>
      </c>
      <c r="J198">
        <f t="shared" si="106"/>
        <v>0</v>
      </c>
      <c r="K198">
        <f t="shared" si="107"/>
        <v>0</v>
      </c>
      <c r="L198">
        <f t="shared" si="108"/>
        <v>0</v>
      </c>
      <c r="M198">
        <f t="shared" si="109"/>
        <v>0</v>
      </c>
      <c r="N198">
        <f t="shared" si="110"/>
        <v>0</v>
      </c>
      <c r="O198">
        <f t="shared" si="111"/>
        <v>0</v>
      </c>
      <c r="P198">
        <f t="shared" si="112"/>
        <v>0</v>
      </c>
      <c r="Q198">
        <f t="shared" si="113"/>
        <v>0</v>
      </c>
      <c r="R198">
        <f t="shared" si="114"/>
        <v>0</v>
      </c>
      <c r="S198">
        <f t="shared" si="115"/>
        <v>0</v>
      </c>
      <c r="T198">
        <f t="shared" si="116"/>
        <v>0</v>
      </c>
      <c r="U198">
        <f t="shared" si="117"/>
        <v>0</v>
      </c>
      <c r="V198">
        <f t="shared" si="118"/>
        <v>0</v>
      </c>
      <c r="W198">
        <f t="shared" si="119"/>
        <v>0</v>
      </c>
      <c r="X198">
        <f t="shared" si="120"/>
        <v>0</v>
      </c>
      <c r="Y198">
        <f t="shared" si="121"/>
        <v>0</v>
      </c>
      <c r="Z198">
        <f t="shared" si="122"/>
        <v>0</v>
      </c>
      <c r="AA198">
        <f t="shared" si="123"/>
        <v>0</v>
      </c>
      <c r="AB198">
        <f t="shared" si="124"/>
        <v>0</v>
      </c>
      <c r="AC198">
        <f t="shared" si="125"/>
        <v>0</v>
      </c>
      <c r="AD198">
        <f t="shared" si="126"/>
        <v>0</v>
      </c>
      <c r="AE198">
        <f t="shared" si="127"/>
        <v>0</v>
      </c>
      <c r="AF198">
        <f t="shared" si="128"/>
        <v>0</v>
      </c>
      <c r="AG198">
        <f t="shared" si="129"/>
        <v>0</v>
      </c>
      <c r="AH198">
        <f t="shared" si="130"/>
        <v>0</v>
      </c>
      <c r="AI198">
        <f t="shared" si="131"/>
        <v>0</v>
      </c>
      <c r="AJ198">
        <f t="shared" si="132"/>
        <v>0</v>
      </c>
      <c r="AK198">
        <f t="shared" si="133"/>
        <v>0</v>
      </c>
      <c r="AL198">
        <f t="shared" si="134"/>
        <v>0</v>
      </c>
      <c r="AM198">
        <f t="shared" si="135"/>
        <v>0</v>
      </c>
      <c r="AN198">
        <f t="shared" si="136"/>
        <v>0</v>
      </c>
      <c r="AO198">
        <f t="shared" si="137"/>
        <v>0</v>
      </c>
      <c r="AP198">
        <f t="shared" si="138"/>
        <v>0</v>
      </c>
      <c r="AQ198">
        <f t="shared" si="139"/>
        <v>0</v>
      </c>
      <c r="AR198">
        <f t="shared" si="140"/>
        <v>0</v>
      </c>
      <c r="AS198">
        <f t="shared" si="141"/>
        <v>0</v>
      </c>
      <c r="AT198">
        <f t="shared" si="142"/>
        <v>0</v>
      </c>
      <c r="AU198">
        <f t="shared" si="143"/>
        <v>0</v>
      </c>
      <c r="AV198">
        <f t="shared" si="144"/>
        <v>0</v>
      </c>
      <c r="AW198">
        <f t="shared" ref="AW198:AW261" si="147">SUM(AH198:AV198)</f>
        <v>0</v>
      </c>
      <c r="AX198">
        <f t="shared" si="145"/>
        <v>0</v>
      </c>
      <c r="AY198">
        <f t="shared" si="146"/>
        <v>0</v>
      </c>
    </row>
    <row r="199" spans="1:51" x14ac:dyDescent="0.35">
      <c r="A199">
        <v>193</v>
      </c>
      <c r="C199">
        <f t="shared" ref="C199:C262" si="148">MAX(0,0-SUM(D199:R199))</f>
        <v>0</v>
      </c>
      <c r="D199">
        <f t="shared" ref="D199:D262" si="149">IF(AH198&lt;0.005,0,MIN((AH198+ROUND(AH198*AH$3,2)),AH$4))</f>
        <v>0</v>
      </c>
      <c r="E199">
        <f t="shared" ref="E199:E262" si="150">IF(AI198&lt;0.005,0,MIN((AI198+ROUND(AI198*AI$3,2)),AI$4))</f>
        <v>0</v>
      </c>
      <c r="F199">
        <f t="shared" ref="F199:F262" si="151">IF(AJ198&lt;0.005,0,MIN((AJ198+ROUND(AJ198*AJ$3,2)),AJ$4))</f>
        <v>0</v>
      </c>
      <c r="G199">
        <f t="shared" ref="G199:G262" si="152">IF(AK198&lt;0.005,0,MIN((AK198+ROUND(AK198*AK$3,2)),AK$4))</f>
        <v>0</v>
      </c>
      <c r="H199">
        <f t="shared" ref="H199:H262" si="153">IF(AL198&lt;0.005,0,MIN((AL198+ROUND(AL198*AL$3,2)),AL$4))</f>
        <v>0</v>
      </c>
      <c r="I199">
        <f t="shared" ref="I199:I262" si="154">IF(AM198&lt;0.005,0,MIN((AM198+ROUND(AM198*AM$3,2)),AM$4))</f>
        <v>0</v>
      </c>
      <c r="J199">
        <f t="shared" ref="J199:J262" si="155">IF(AN198&lt;0.005,0,MIN((AN198+ROUND(AN198*AN$3,2)),AN$4))</f>
        <v>0</v>
      </c>
      <c r="K199">
        <f t="shared" ref="K199:K262" si="156">IF(AO198&lt;0.005,0,MIN((AO198+ROUND(AO198*AO$3,2)),AO$4))</f>
        <v>0</v>
      </c>
      <c r="L199">
        <f t="shared" ref="L199:L262" si="157">IF(AP198&lt;0.005,0,MIN((AP198+ROUND(AP198*AP$3,2)),AP$4))</f>
        <v>0</v>
      </c>
      <c r="M199">
        <f t="shared" ref="M199:M262" si="158">IF(AQ198&lt;0.005,0,MIN((AQ198+ROUND(AQ198*AQ$3,2)),AQ$4))</f>
        <v>0</v>
      </c>
      <c r="N199">
        <f t="shared" ref="N199:N262" si="159">IF(AR198&lt;0.005,0,MIN((AR198+ROUND(AR198*AR$3,2)),AR$4))</f>
        <v>0</v>
      </c>
      <c r="O199">
        <f t="shared" ref="O199:O262" si="160">IF(AS198&lt;0.005,0,MIN((AS198+ROUND(AS198*AS$3,2)),AS$4))</f>
        <v>0</v>
      </c>
      <c r="P199">
        <f t="shared" ref="P199:P262" si="161">IF(AT198&lt;0.005,0,MIN((AT198+ROUND(AT198*AT$3,2)),AT$4))</f>
        <v>0</v>
      </c>
      <c r="Q199">
        <f t="shared" ref="Q199:Q262" si="162">IF(AU198&lt;0.005,0,MIN((AU198+ROUND(AU198*AU$3,2)),AU$4))</f>
        <v>0</v>
      </c>
      <c r="R199">
        <f t="shared" ref="R199:R262" si="163">IF(AV198&lt;0.005,0,MIN((AV198+ROUND(AV198*AV$3,2)),AV$4))</f>
        <v>0</v>
      </c>
      <c r="S199">
        <f t="shared" ref="S199:S262" si="164">IF(AH198&lt;0.005,0,MIN((AH198+ROUND(AH198*AH$3,2))-D199,MAX(0,$C199)))</f>
        <v>0</v>
      </c>
      <c r="T199">
        <f t="shared" ref="T199:T262" si="165">IF(AI198&lt;0.005,0,MIN((AI198+ROUND(AI198*AI$3,2))-E199,MAX(0,$C199-SUM(S199:S199))))</f>
        <v>0</v>
      </c>
      <c r="U199">
        <f t="shared" ref="U199:U262" si="166">IF(AJ198&lt;0.005,0,MIN((AJ198+ROUND(AJ198*AJ$3,2))-F199,MAX(0,$C199-SUM(S199:T199))))</f>
        <v>0</v>
      </c>
      <c r="V199">
        <f t="shared" ref="V199:V262" si="167">IF(AK198&lt;0.005,0,MIN((AK198+ROUND(AK198*AK$3,2))-G199,MAX(0,$C199-SUM(S199:U199))))</f>
        <v>0</v>
      </c>
      <c r="W199">
        <f t="shared" ref="W199:W262" si="168">IF(AL198&lt;0.005,0,MIN((AL198+ROUND(AL198*AL$3,2))-H199,MAX(0,$C199-SUM(S199:V199))))</f>
        <v>0</v>
      </c>
      <c r="X199">
        <f t="shared" ref="X199:X262" si="169">IF(AM198&lt;0.005,0,MIN((AM198+ROUND(AM198*AM$3,2))-I199,MAX(0,$C199-SUM(S199:W199))))</f>
        <v>0</v>
      </c>
      <c r="Y199">
        <f t="shared" ref="Y199:Y262" si="170">IF(AN198&lt;0.005,0,MIN((AN198+ROUND(AN198*AN$3,2))-J199,MAX(0,$C199-SUM(S199:X199))))</f>
        <v>0</v>
      </c>
      <c r="Z199">
        <f t="shared" ref="Z199:Z262" si="171">IF(AO198&lt;0.005,0,MIN((AO198+ROUND(AO198*AO$3,2))-K199,MAX(0,$C199-SUM(S199:Y199))))</f>
        <v>0</v>
      </c>
      <c r="AA199">
        <f t="shared" ref="AA199:AA262" si="172">IF(AP198&lt;0.005,0,MIN((AP198+ROUND(AP198*AP$3,2))-L199,MAX(0,$C199-SUM(S199:Z199))))</f>
        <v>0</v>
      </c>
      <c r="AB199">
        <f t="shared" ref="AB199:AB262" si="173">IF(AQ198&lt;0.005,0,MIN((AQ198+ROUND(AQ198*AQ$3,2))-M199,MAX(0,$C199-SUM(S199:AA199))))</f>
        <v>0</v>
      </c>
      <c r="AC199">
        <f t="shared" ref="AC199:AC262" si="174">IF(AR198&lt;0.005,0,MIN((AR198+ROUND(AR198*AR$3,2))-N199,MAX(0,$C199-SUM(S199:AB199))))</f>
        <v>0</v>
      </c>
      <c r="AD199">
        <f t="shared" ref="AD199:AD262" si="175">IF(AS198&lt;0.005,0,MIN((AS198+ROUND(AS198*AS$3,2))-O199,MAX(0,$C199-SUM(S199:AC199))))</f>
        <v>0</v>
      </c>
      <c r="AE199">
        <f t="shared" ref="AE199:AE262" si="176">IF(AT198&lt;0.005,0,MIN((AT198+ROUND(AT198*AT$3,2))-P199,MAX(0,$C199-SUM(S199:AD199))))</f>
        <v>0</v>
      </c>
      <c r="AF199">
        <f t="shared" ref="AF199:AF262" si="177">IF(AU198&lt;0.005,0,MIN((AU198+ROUND(AU198*AU$3,2))-Q199,MAX(0,$C199-SUM(S199:AE199))))</f>
        <v>0</v>
      </c>
      <c r="AG199">
        <f t="shared" ref="AG199:AG262" si="178">IF(AV198&lt;0.005,0,MIN((AV198+ROUND(AV198*AV$3,2))-R199,MAX(0,$C199-SUM(S199:AF199))))</f>
        <v>0</v>
      </c>
      <c r="AH199">
        <f t="shared" ref="AH199:AH262" si="179">IF(AH198&lt;0.005,0,ROUND((AH198+ROUND(AH198*AH$3,2))-D199-S199,2))</f>
        <v>0</v>
      </c>
      <c r="AI199">
        <f t="shared" ref="AI199:AI262" si="180">IF(AI198&lt;0.005,0,ROUND((AI198+ROUND(AI198*AI$3,2))-E199-T199,2))</f>
        <v>0</v>
      </c>
      <c r="AJ199">
        <f t="shared" ref="AJ199:AJ262" si="181">IF(AJ198&lt;0.005,0,ROUND((AJ198+ROUND(AJ198*AJ$3,2))-F199-U199,2))</f>
        <v>0</v>
      </c>
      <c r="AK199">
        <f t="shared" ref="AK199:AK262" si="182">IF(AK198&lt;0.005,0,ROUND((AK198+ROUND(AK198*AK$3,2))-G199-V199,2))</f>
        <v>0</v>
      </c>
      <c r="AL199">
        <f t="shared" ref="AL199:AL262" si="183">IF(AL198&lt;0.005,0,ROUND((AL198+ROUND(AL198*AL$3,2))-H199-W199,2))</f>
        <v>0</v>
      </c>
      <c r="AM199">
        <f t="shared" ref="AM199:AM262" si="184">IF(AM198&lt;0.005,0,ROUND((AM198+ROUND(AM198*AM$3,2))-I199-X199,2))</f>
        <v>0</v>
      </c>
      <c r="AN199">
        <f t="shared" ref="AN199:AN262" si="185">IF(AN198&lt;0.005,0,ROUND((AN198+ROUND(AN198*AN$3,2))-J199-Y199,2))</f>
        <v>0</v>
      </c>
      <c r="AO199">
        <f t="shared" ref="AO199:AO262" si="186">IF(AO198&lt;0.005,0,ROUND((AO198+ROUND(AO198*AO$3,2))-K199-Z199,2))</f>
        <v>0</v>
      </c>
      <c r="AP199">
        <f t="shared" ref="AP199:AP262" si="187">IF(AP198&lt;0.005,0,ROUND((AP198+ROUND(AP198*AP$3,2))-L199-AA199,2))</f>
        <v>0</v>
      </c>
      <c r="AQ199">
        <f t="shared" ref="AQ199:AQ262" si="188">IF(AQ198&lt;0.005,0,ROUND((AQ198+ROUND(AQ198*AQ$3,2))-M199-AB199,2))</f>
        <v>0</v>
      </c>
      <c r="AR199">
        <f t="shared" ref="AR199:AR262" si="189">IF(AR198&lt;0.005,0,ROUND((AR198+ROUND(AR198*AR$3,2))-N199-AC199,2))</f>
        <v>0</v>
      </c>
      <c r="AS199">
        <f t="shared" ref="AS199:AS262" si="190">IF(AS198&lt;0.005,0,ROUND((AS198+ROUND(AS198*AS$3,2))-O199-AD199,2))</f>
        <v>0</v>
      </c>
      <c r="AT199">
        <f t="shared" ref="AT199:AT262" si="191">IF(AT198&lt;0.005,0,ROUND((AT198+ROUND(AT198*AT$3,2))-P199-AE199,2))</f>
        <v>0</v>
      </c>
      <c r="AU199">
        <f t="shared" ref="AU199:AU262" si="192">IF(AU198&lt;0.005,0,ROUND((AU198+ROUND(AU198*AU$3,2))-Q199-AF199,2))</f>
        <v>0</v>
      </c>
      <c r="AV199">
        <f t="shared" ref="AV199:AV262" si="193">IF(AV198&lt;0.005,0,ROUND((AV198+ROUND(AV198*AV$3,2))-R199-AG199,2))</f>
        <v>0</v>
      </c>
      <c r="AW199">
        <f t="shared" si="147"/>
        <v>0</v>
      </c>
      <c r="AX199">
        <f t="shared" ref="AX199:AX262" si="194">SUMPRODUCT(ROUND(AH198:AV198*AH$3:AV$3,2))</f>
        <v>0</v>
      </c>
      <c r="AY199">
        <f t="shared" ref="AY199:AY262" si="195">SUM(D199:AG199)</f>
        <v>0</v>
      </c>
    </row>
    <row r="200" spans="1:51" x14ac:dyDescent="0.35">
      <c r="A200">
        <v>194</v>
      </c>
      <c r="C200">
        <f t="shared" si="148"/>
        <v>0</v>
      </c>
      <c r="D200">
        <f t="shared" si="149"/>
        <v>0</v>
      </c>
      <c r="E200">
        <f t="shared" si="150"/>
        <v>0</v>
      </c>
      <c r="F200">
        <f t="shared" si="151"/>
        <v>0</v>
      </c>
      <c r="G200">
        <f t="shared" si="152"/>
        <v>0</v>
      </c>
      <c r="H200">
        <f t="shared" si="153"/>
        <v>0</v>
      </c>
      <c r="I200">
        <f t="shared" si="154"/>
        <v>0</v>
      </c>
      <c r="J200">
        <f t="shared" si="155"/>
        <v>0</v>
      </c>
      <c r="K200">
        <f t="shared" si="156"/>
        <v>0</v>
      </c>
      <c r="L200">
        <f t="shared" si="157"/>
        <v>0</v>
      </c>
      <c r="M200">
        <f t="shared" si="158"/>
        <v>0</v>
      </c>
      <c r="N200">
        <f t="shared" si="159"/>
        <v>0</v>
      </c>
      <c r="O200">
        <f t="shared" si="160"/>
        <v>0</v>
      </c>
      <c r="P200">
        <f t="shared" si="161"/>
        <v>0</v>
      </c>
      <c r="Q200">
        <f t="shared" si="162"/>
        <v>0</v>
      </c>
      <c r="R200">
        <f t="shared" si="163"/>
        <v>0</v>
      </c>
      <c r="S200">
        <f t="shared" si="164"/>
        <v>0</v>
      </c>
      <c r="T200">
        <f t="shared" si="165"/>
        <v>0</v>
      </c>
      <c r="U200">
        <f t="shared" si="166"/>
        <v>0</v>
      </c>
      <c r="V200">
        <f t="shared" si="167"/>
        <v>0</v>
      </c>
      <c r="W200">
        <f t="shared" si="168"/>
        <v>0</v>
      </c>
      <c r="X200">
        <f t="shared" si="169"/>
        <v>0</v>
      </c>
      <c r="Y200">
        <f t="shared" si="170"/>
        <v>0</v>
      </c>
      <c r="Z200">
        <f t="shared" si="171"/>
        <v>0</v>
      </c>
      <c r="AA200">
        <f t="shared" si="172"/>
        <v>0</v>
      </c>
      <c r="AB200">
        <f t="shared" si="173"/>
        <v>0</v>
      </c>
      <c r="AC200">
        <f t="shared" si="174"/>
        <v>0</v>
      </c>
      <c r="AD200">
        <f t="shared" si="175"/>
        <v>0</v>
      </c>
      <c r="AE200">
        <f t="shared" si="176"/>
        <v>0</v>
      </c>
      <c r="AF200">
        <f t="shared" si="177"/>
        <v>0</v>
      </c>
      <c r="AG200">
        <f t="shared" si="178"/>
        <v>0</v>
      </c>
      <c r="AH200">
        <f t="shared" si="179"/>
        <v>0</v>
      </c>
      <c r="AI200">
        <f t="shared" si="180"/>
        <v>0</v>
      </c>
      <c r="AJ200">
        <f t="shared" si="181"/>
        <v>0</v>
      </c>
      <c r="AK200">
        <f t="shared" si="182"/>
        <v>0</v>
      </c>
      <c r="AL200">
        <f t="shared" si="183"/>
        <v>0</v>
      </c>
      <c r="AM200">
        <f t="shared" si="184"/>
        <v>0</v>
      </c>
      <c r="AN200">
        <f t="shared" si="185"/>
        <v>0</v>
      </c>
      <c r="AO200">
        <f t="shared" si="186"/>
        <v>0</v>
      </c>
      <c r="AP200">
        <f t="shared" si="187"/>
        <v>0</v>
      </c>
      <c r="AQ200">
        <f t="shared" si="188"/>
        <v>0</v>
      </c>
      <c r="AR200">
        <f t="shared" si="189"/>
        <v>0</v>
      </c>
      <c r="AS200">
        <f t="shared" si="190"/>
        <v>0</v>
      </c>
      <c r="AT200">
        <f t="shared" si="191"/>
        <v>0</v>
      </c>
      <c r="AU200">
        <f t="shared" si="192"/>
        <v>0</v>
      </c>
      <c r="AV200">
        <f t="shared" si="193"/>
        <v>0</v>
      </c>
      <c r="AW200">
        <f t="shared" si="147"/>
        <v>0</v>
      </c>
      <c r="AX200">
        <f t="shared" si="194"/>
        <v>0</v>
      </c>
      <c r="AY200">
        <f t="shared" si="195"/>
        <v>0</v>
      </c>
    </row>
    <row r="201" spans="1:51" x14ac:dyDescent="0.35">
      <c r="A201">
        <v>195</v>
      </c>
      <c r="C201">
        <f t="shared" si="148"/>
        <v>0</v>
      </c>
      <c r="D201">
        <f t="shared" si="149"/>
        <v>0</v>
      </c>
      <c r="E201">
        <f t="shared" si="150"/>
        <v>0</v>
      </c>
      <c r="F201">
        <f t="shared" si="151"/>
        <v>0</v>
      </c>
      <c r="G201">
        <f t="shared" si="152"/>
        <v>0</v>
      </c>
      <c r="H201">
        <f t="shared" si="153"/>
        <v>0</v>
      </c>
      <c r="I201">
        <f t="shared" si="154"/>
        <v>0</v>
      </c>
      <c r="J201">
        <f t="shared" si="155"/>
        <v>0</v>
      </c>
      <c r="K201">
        <f t="shared" si="156"/>
        <v>0</v>
      </c>
      <c r="L201">
        <f t="shared" si="157"/>
        <v>0</v>
      </c>
      <c r="M201">
        <f t="shared" si="158"/>
        <v>0</v>
      </c>
      <c r="N201">
        <f t="shared" si="159"/>
        <v>0</v>
      </c>
      <c r="O201">
        <f t="shared" si="160"/>
        <v>0</v>
      </c>
      <c r="P201">
        <f t="shared" si="161"/>
        <v>0</v>
      </c>
      <c r="Q201">
        <f t="shared" si="162"/>
        <v>0</v>
      </c>
      <c r="R201">
        <f t="shared" si="163"/>
        <v>0</v>
      </c>
      <c r="S201">
        <f t="shared" si="164"/>
        <v>0</v>
      </c>
      <c r="T201">
        <f t="shared" si="165"/>
        <v>0</v>
      </c>
      <c r="U201">
        <f t="shared" si="166"/>
        <v>0</v>
      </c>
      <c r="V201">
        <f t="shared" si="167"/>
        <v>0</v>
      </c>
      <c r="W201">
        <f t="shared" si="168"/>
        <v>0</v>
      </c>
      <c r="X201">
        <f t="shared" si="169"/>
        <v>0</v>
      </c>
      <c r="Y201">
        <f t="shared" si="170"/>
        <v>0</v>
      </c>
      <c r="Z201">
        <f t="shared" si="171"/>
        <v>0</v>
      </c>
      <c r="AA201">
        <f t="shared" si="172"/>
        <v>0</v>
      </c>
      <c r="AB201">
        <f t="shared" si="173"/>
        <v>0</v>
      </c>
      <c r="AC201">
        <f t="shared" si="174"/>
        <v>0</v>
      </c>
      <c r="AD201">
        <f t="shared" si="175"/>
        <v>0</v>
      </c>
      <c r="AE201">
        <f t="shared" si="176"/>
        <v>0</v>
      </c>
      <c r="AF201">
        <f t="shared" si="177"/>
        <v>0</v>
      </c>
      <c r="AG201">
        <f t="shared" si="178"/>
        <v>0</v>
      </c>
      <c r="AH201">
        <f t="shared" si="179"/>
        <v>0</v>
      </c>
      <c r="AI201">
        <f t="shared" si="180"/>
        <v>0</v>
      </c>
      <c r="AJ201">
        <f t="shared" si="181"/>
        <v>0</v>
      </c>
      <c r="AK201">
        <f t="shared" si="182"/>
        <v>0</v>
      </c>
      <c r="AL201">
        <f t="shared" si="183"/>
        <v>0</v>
      </c>
      <c r="AM201">
        <f t="shared" si="184"/>
        <v>0</v>
      </c>
      <c r="AN201">
        <f t="shared" si="185"/>
        <v>0</v>
      </c>
      <c r="AO201">
        <f t="shared" si="186"/>
        <v>0</v>
      </c>
      <c r="AP201">
        <f t="shared" si="187"/>
        <v>0</v>
      </c>
      <c r="AQ201">
        <f t="shared" si="188"/>
        <v>0</v>
      </c>
      <c r="AR201">
        <f t="shared" si="189"/>
        <v>0</v>
      </c>
      <c r="AS201">
        <f t="shared" si="190"/>
        <v>0</v>
      </c>
      <c r="AT201">
        <f t="shared" si="191"/>
        <v>0</v>
      </c>
      <c r="AU201">
        <f t="shared" si="192"/>
        <v>0</v>
      </c>
      <c r="AV201">
        <f t="shared" si="193"/>
        <v>0</v>
      </c>
      <c r="AW201">
        <f t="shared" si="147"/>
        <v>0</v>
      </c>
      <c r="AX201">
        <f t="shared" si="194"/>
        <v>0</v>
      </c>
      <c r="AY201">
        <f t="shared" si="195"/>
        <v>0</v>
      </c>
    </row>
    <row r="202" spans="1:51" x14ac:dyDescent="0.35">
      <c r="A202">
        <v>196</v>
      </c>
      <c r="C202">
        <f t="shared" si="148"/>
        <v>0</v>
      </c>
      <c r="D202">
        <f t="shared" si="149"/>
        <v>0</v>
      </c>
      <c r="E202">
        <f t="shared" si="150"/>
        <v>0</v>
      </c>
      <c r="F202">
        <f t="shared" si="151"/>
        <v>0</v>
      </c>
      <c r="G202">
        <f t="shared" si="152"/>
        <v>0</v>
      </c>
      <c r="H202">
        <f t="shared" si="153"/>
        <v>0</v>
      </c>
      <c r="I202">
        <f t="shared" si="154"/>
        <v>0</v>
      </c>
      <c r="J202">
        <f t="shared" si="155"/>
        <v>0</v>
      </c>
      <c r="K202">
        <f t="shared" si="156"/>
        <v>0</v>
      </c>
      <c r="L202">
        <f t="shared" si="157"/>
        <v>0</v>
      </c>
      <c r="M202">
        <f t="shared" si="158"/>
        <v>0</v>
      </c>
      <c r="N202">
        <f t="shared" si="159"/>
        <v>0</v>
      </c>
      <c r="O202">
        <f t="shared" si="160"/>
        <v>0</v>
      </c>
      <c r="P202">
        <f t="shared" si="161"/>
        <v>0</v>
      </c>
      <c r="Q202">
        <f t="shared" si="162"/>
        <v>0</v>
      </c>
      <c r="R202">
        <f t="shared" si="163"/>
        <v>0</v>
      </c>
      <c r="S202">
        <f t="shared" si="164"/>
        <v>0</v>
      </c>
      <c r="T202">
        <f t="shared" si="165"/>
        <v>0</v>
      </c>
      <c r="U202">
        <f t="shared" si="166"/>
        <v>0</v>
      </c>
      <c r="V202">
        <f t="shared" si="167"/>
        <v>0</v>
      </c>
      <c r="W202">
        <f t="shared" si="168"/>
        <v>0</v>
      </c>
      <c r="X202">
        <f t="shared" si="169"/>
        <v>0</v>
      </c>
      <c r="Y202">
        <f t="shared" si="170"/>
        <v>0</v>
      </c>
      <c r="Z202">
        <f t="shared" si="171"/>
        <v>0</v>
      </c>
      <c r="AA202">
        <f t="shared" si="172"/>
        <v>0</v>
      </c>
      <c r="AB202">
        <f t="shared" si="173"/>
        <v>0</v>
      </c>
      <c r="AC202">
        <f t="shared" si="174"/>
        <v>0</v>
      </c>
      <c r="AD202">
        <f t="shared" si="175"/>
        <v>0</v>
      </c>
      <c r="AE202">
        <f t="shared" si="176"/>
        <v>0</v>
      </c>
      <c r="AF202">
        <f t="shared" si="177"/>
        <v>0</v>
      </c>
      <c r="AG202">
        <f t="shared" si="178"/>
        <v>0</v>
      </c>
      <c r="AH202">
        <f t="shared" si="179"/>
        <v>0</v>
      </c>
      <c r="AI202">
        <f t="shared" si="180"/>
        <v>0</v>
      </c>
      <c r="AJ202">
        <f t="shared" si="181"/>
        <v>0</v>
      </c>
      <c r="AK202">
        <f t="shared" si="182"/>
        <v>0</v>
      </c>
      <c r="AL202">
        <f t="shared" si="183"/>
        <v>0</v>
      </c>
      <c r="AM202">
        <f t="shared" si="184"/>
        <v>0</v>
      </c>
      <c r="AN202">
        <f t="shared" si="185"/>
        <v>0</v>
      </c>
      <c r="AO202">
        <f t="shared" si="186"/>
        <v>0</v>
      </c>
      <c r="AP202">
        <f t="shared" si="187"/>
        <v>0</v>
      </c>
      <c r="AQ202">
        <f t="shared" si="188"/>
        <v>0</v>
      </c>
      <c r="AR202">
        <f t="shared" si="189"/>
        <v>0</v>
      </c>
      <c r="AS202">
        <f t="shared" si="190"/>
        <v>0</v>
      </c>
      <c r="AT202">
        <f t="shared" si="191"/>
        <v>0</v>
      </c>
      <c r="AU202">
        <f t="shared" si="192"/>
        <v>0</v>
      </c>
      <c r="AV202">
        <f t="shared" si="193"/>
        <v>0</v>
      </c>
      <c r="AW202">
        <f t="shared" si="147"/>
        <v>0</v>
      </c>
      <c r="AX202">
        <f t="shared" si="194"/>
        <v>0</v>
      </c>
      <c r="AY202">
        <f t="shared" si="195"/>
        <v>0</v>
      </c>
    </row>
    <row r="203" spans="1:51" x14ac:dyDescent="0.35">
      <c r="A203">
        <v>197</v>
      </c>
      <c r="C203">
        <f t="shared" si="148"/>
        <v>0</v>
      </c>
      <c r="D203">
        <f t="shared" si="149"/>
        <v>0</v>
      </c>
      <c r="E203">
        <f t="shared" si="150"/>
        <v>0</v>
      </c>
      <c r="F203">
        <f t="shared" si="151"/>
        <v>0</v>
      </c>
      <c r="G203">
        <f t="shared" si="152"/>
        <v>0</v>
      </c>
      <c r="H203">
        <f t="shared" si="153"/>
        <v>0</v>
      </c>
      <c r="I203">
        <f t="shared" si="154"/>
        <v>0</v>
      </c>
      <c r="J203">
        <f t="shared" si="155"/>
        <v>0</v>
      </c>
      <c r="K203">
        <f t="shared" si="156"/>
        <v>0</v>
      </c>
      <c r="L203">
        <f t="shared" si="157"/>
        <v>0</v>
      </c>
      <c r="M203">
        <f t="shared" si="158"/>
        <v>0</v>
      </c>
      <c r="N203">
        <f t="shared" si="159"/>
        <v>0</v>
      </c>
      <c r="O203">
        <f t="shared" si="160"/>
        <v>0</v>
      </c>
      <c r="P203">
        <f t="shared" si="161"/>
        <v>0</v>
      </c>
      <c r="Q203">
        <f t="shared" si="162"/>
        <v>0</v>
      </c>
      <c r="R203">
        <f t="shared" si="163"/>
        <v>0</v>
      </c>
      <c r="S203">
        <f t="shared" si="164"/>
        <v>0</v>
      </c>
      <c r="T203">
        <f t="shared" si="165"/>
        <v>0</v>
      </c>
      <c r="U203">
        <f t="shared" si="166"/>
        <v>0</v>
      </c>
      <c r="V203">
        <f t="shared" si="167"/>
        <v>0</v>
      </c>
      <c r="W203">
        <f t="shared" si="168"/>
        <v>0</v>
      </c>
      <c r="X203">
        <f t="shared" si="169"/>
        <v>0</v>
      </c>
      <c r="Y203">
        <f t="shared" si="170"/>
        <v>0</v>
      </c>
      <c r="Z203">
        <f t="shared" si="171"/>
        <v>0</v>
      </c>
      <c r="AA203">
        <f t="shared" si="172"/>
        <v>0</v>
      </c>
      <c r="AB203">
        <f t="shared" si="173"/>
        <v>0</v>
      </c>
      <c r="AC203">
        <f t="shared" si="174"/>
        <v>0</v>
      </c>
      <c r="AD203">
        <f t="shared" si="175"/>
        <v>0</v>
      </c>
      <c r="AE203">
        <f t="shared" si="176"/>
        <v>0</v>
      </c>
      <c r="AF203">
        <f t="shared" si="177"/>
        <v>0</v>
      </c>
      <c r="AG203">
        <f t="shared" si="178"/>
        <v>0</v>
      </c>
      <c r="AH203">
        <f t="shared" si="179"/>
        <v>0</v>
      </c>
      <c r="AI203">
        <f t="shared" si="180"/>
        <v>0</v>
      </c>
      <c r="AJ203">
        <f t="shared" si="181"/>
        <v>0</v>
      </c>
      <c r="AK203">
        <f t="shared" si="182"/>
        <v>0</v>
      </c>
      <c r="AL203">
        <f t="shared" si="183"/>
        <v>0</v>
      </c>
      <c r="AM203">
        <f t="shared" si="184"/>
        <v>0</v>
      </c>
      <c r="AN203">
        <f t="shared" si="185"/>
        <v>0</v>
      </c>
      <c r="AO203">
        <f t="shared" si="186"/>
        <v>0</v>
      </c>
      <c r="AP203">
        <f t="shared" si="187"/>
        <v>0</v>
      </c>
      <c r="AQ203">
        <f t="shared" si="188"/>
        <v>0</v>
      </c>
      <c r="AR203">
        <f t="shared" si="189"/>
        <v>0</v>
      </c>
      <c r="AS203">
        <f t="shared" si="190"/>
        <v>0</v>
      </c>
      <c r="AT203">
        <f t="shared" si="191"/>
        <v>0</v>
      </c>
      <c r="AU203">
        <f t="shared" si="192"/>
        <v>0</v>
      </c>
      <c r="AV203">
        <f t="shared" si="193"/>
        <v>0</v>
      </c>
      <c r="AW203">
        <f t="shared" si="147"/>
        <v>0</v>
      </c>
      <c r="AX203">
        <f t="shared" si="194"/>
        <v>0</v>
      </c>
      <c r="AY203">
        <f t="shared" si="195"/>
        <v>0</v>
      </c>
    </row>
    <row r="204" spans="1:51" x14ac:dyDescent="0.35">
      <c r="A204">
        <v>198</v>
      </c>
      <c r="C204">
        <f t="shared" si="148"/>
        <v>0</v>
      </c>
      <c r="D204">
        <f t="shared" si="149"/>
        <v>0</v>
      </c>
      <c r="E204">
        <f t="shared" si="150"/>
        <v>0</v>
      </c>
      <c r="F204">
        <f t="shared" si="151"/>
        <v>0</v>
      </c>
      <c r="G204">
        <f t="shared" si="152"/>
        <v>0</v>
      </c>
      <c r="H204">
        <f t="shared" si="153"/>
        <v>0</v>
      </c>
      <c r="I204">
        <f t="shared" si="154"/>
        <v>0</v>
      </c>
      <c r="J204">
        <f t="shared" si="155"/>
        <v>0</v>
      </c>
      <c r="K204">
        <f t="shared" si="156"/>
        <v>0</v>
      </c>
      <c r="L204">
        <f t="shared" si="157"/>
        <v>0</v>
      </c>
      <c r="M204">
        <f t="shared" si="158"/>
        <v>0</v>
      </c>
      <c r="N204">
        <f t="shared" si="159"/>
        <v>0</v>
      </c>
      <c r="O204">
        <f t="shared" si="160"/>
        <v>0</v>
      </c>
      <c r="P204">
        <f t="shared" si="161"/>
        <v>0</v>
      </c>
      <c r="Q204">
        <f t="shared" si="162"/>
        <v>0</v>
      </c>
      <c r="R204">
        <f t="shared" si="163"/>
        <v>0</v>
      </c>
      <c r="S204">
        <f t="shared" si="164"/>
        <v>0</v>
      </c>
      <c r="T204">
        <f t="shared" si="165"/>
        <v>0</v>
      </c>
      <c r="U204">
        <f t="shared" si="166"/>
        <v>0</v>
      </c>
      <c r="V204">
        <f t="shared" si="167"/>
        <v>0</v>
      </c>
      <c r="W204">
        <f t="shared" si="168"/>
        <v>0</v>
      </c>
      <c r="X204">
        <f t="shared" si="169"/>
        <v>0</v>
      </c>
      <c r="Y204">
        <f t="shared" si="170"/>
        <v>0</v>
      </c>
      <c r="Z204">
        <f t="shared" si="171"/>
        <v>0</v>
      </c>
      <c r="AA204">
        <f t="shared" si="172"/>
        <v>0</v>
      </c>
      <c r="AB204">
        <f t="shared" si="173"/>
        <v>0</v>
      </c>
      <c r="AC204">
        <f t="shared" si="174"/>
        <v>0</v>
      </c>
      <c r="AD204">
        <f t="shared" si="175"/>
        <v>0</v>
      </c>
      <c r="AE204">
        <f t="shared" si="176"/>
        <v>0</v>
      </c>
      <c r="AF204">
        <f t="shared" si="177"/>
        <v>0</v>
      </c>
      <c r="AG204">
        <f t="shared" si="178"/>
        <v>0</v>
      </c>
      <c r="AH204">
        <f t="shared" si="179"/>
        <v>0</v>
      </c>
      <c r="AI204">
        <f t="shared" si="180"/>
        <v>0</v>
      </c>
      <c r="AJ204">
        <f t="shared" si="181"/>
        <v>0</v>
      </c>
      <c r="AK204">
        <f t="shared" si="182"/>
        <v>0</v>
      </c>
      <c r="AL204">
        <f t="shared" si="183"/>
        <v>0</v>
      </c>
      <c r="AM204">
        <f t="shared" si="184"/>
        <v>0</v>
      </c>
      <c r="AN204">
        <f t="shared" si="185"/>
        <v>0</v>
      </c>
      <c r="AO204">
        <f t="shared" si="186"/>
        <v>0</v>
      </c>
      <c r="AP204">
        <f t="shared" si="187"/>
        <v>0</v>
      </c>
      <c r="AQ204">
        <f t="shared" si="188"/>
        <v>0</v>
      </c>
      <c r="AR204">
        <f t="shared" si="189"/>
        <v>0</v>
      </c>
      <c r="AS204">
        <f t="shared" si="190"/>
        <v>0</v>
      </c>
      <c r="AT204">
        <f t="shared" si="191"/>
        <v>0</v>
      </c>
      <c r="AU204">
        <f t="shared" si="192"/>
        <v>0</v>
      </c>
      <c r="AV204">
        <f t="shared" si="193"/>
        <v>0</v>
      </c>
      <c r="AW204">
        <f t="shared" si="147"/>
        <v>0</v>
      </c>
      <c r="AX204">
        <f t="shared" si="194"/>
        <v>0</v>
      </c>
      <c r="AY204">
        <f t="shared" si="195"/>
        <v>0</v>
      </c>
    </row>
    <row r="205" spans="1:51" x14ac:dyDescent="0.35">
      <c r="A205">
        <v>199</v>
      </c>
      <c r="C205">
        <f t="shared" si="148"/>
        <v>0</v>
      </c>
      <c r="D205">
        <f t="shared" si="149"/>
        <v>0</v>
      </c>
      <c r="E205">
        <f t="shared" si="150"/>
        <v>0</v>
      </c>
      <c r="F205">
        <f t="shared" si="151"/>
        <v>0</v>
      </c>
      <c r="G205">
        <f t="shared" si="152"/>
        <v>0</v>
      </c>
      <c r="H205">
        <f t="shared" si="153"/>
        <v>0</v>
      </c>
      <c r="I205">
        <f t="shared" si="154"/>
        <v>0</v>
      </c>
      <c r="J205">
        <f t="shared" si="155"/>
        <v>0</v>
      </c>
      <c r="K205">
        <f t="shared" si="156"/>
        <v>0</v>
      </c>
      <c r="L205">
        <f t="shared" si="157"/>
        <v>0</v>
      </c>
      <c r="M205">
        <f t="shared" si="158"/>
        <v>0</v>
      </c>
      <c r="N205">
        <f t="shared" si="159"/>
        <v>0</v>
      </c>
      <c r="O205">
        <f t="shared" si="160"/>
        <v>0</v>
      </c>
      <c r="P205">
        <f t="shared" si="161"/>
        <v>0</v>
      </c>
      <c r="Q205">
        <f t="shared" si="162"/>
        <v>0</v>
      </c>
      <c r="R205">
        <f t="shared" si="163"/>
        <v>0</v>
      </c>
      <c r="S205">
        <f t="shared" si="164"/>
        <v>0</v>
      </c>
      <c r="T205">
        <f t="shared" si="165"/>
        <v>0</v>
      </c>
      <c r="U205">
        <f t="shared" si="166"/>
        <v>0</v>
      </c>
      <c r="V205">
        <f t="shared" si="167"/>
        <v>0</v>
      </c>
      <c r="W205">
        <f t="shared" si="168"/>
        <v>0</v>
      </c>
      <c r="X205">
        <f t="shared" si="169"/>
        <v>0</v>
      </c>
      <c r="Y205">
        <f t="shared" si="170"/>
        <v>0</v>
      </c>
      <c r="Z205">
        <f t="shared" si="171"/>
        <v>0</v>
      </c>
      <c r="AA205">
        <f t="shared" si="172"/>
        <v>0</v>
      </c>
      <c r="AB205">
        <f t="shared" si="173"/>
        <v>0</v>
      </c>
      <c r="AC205">
        <f t="shared" si="174"/>
        <v>0</v>
      </c>
      <c r="AD205">
        <f t="shared" si="175"/>
        <v>0</v>
      </c>
      <c r="AE205">
        <f t="shared" si="176"/>
        <v>0</v>
      </c>
      <c r="AF205">
        <f t="shared" si="177"/>
        <v>0</v>
      </c>
      <c r="AG205">
        <f t="shared" si="178"/>
        <v>0</v>
      </c>
      <c r="AH205">
        <f t="shared" si="179"/>
        <v>0</v>
      </c>
      <c r="AI205">
        <f t="shared" si="180"/>
        <v>0</v>
      </c>
      <c r="AJ205">
        <f t="shared" si="181"/>
        <v>0</v>
      </c>
      <c r="AK205">
        <f t="shared" si="182"/>
        <v>0</v>
      </c>
      <c r="AL205">
        <f t="shared" si="183"/>
        <v>0</v>
      </c>
      <c r="AM205">
        <f t="shared" si="184"/>
        <v>0</v>
      </c>
      <c r="AN205">
        <f t="shared" si="185"/>
        <v>0</v>
      </c>
      <c r="AO205">
        <f t="shared" si="186"/>
        <v>0</v>
      </c>
      <c r="AP205">
        <f t="shared" si="187"/>
        <v>0</v>
      </c>
      <c r="AQ205">
        <f t="shared" si="188"/>
        <v>0</v>
      </c>
      <c r="AR205">
        <f t="shared" si="189"/>
        <v>0</v>
      </c>
      <c r="AS205">
        <f t="shared" si="190"/>
        <v>0</v>
      </c>
      <c r="AT205">
        <f t="shared" si="191"/>
        <v>0</v>
      </c>
      <c r="AU205">
        <f t="shared" si="192"/>
        <v>0</v>
      </c>
      <c r="AV205">
        <f t="shared" si="193"/>
        <v>0</v>
      </c>
      <c r="AW205">
        <f t="shared" si="147"/>
        <v>0</v>
      </c>
      <c r="AX205">
        <f t="shared" si="194"/>
        <v>0</v>
      </c>
      <c r="AY205">
        <f t="shared" si="195"/>
        <v>0</v>
      </c>
    </row>
    <row r="206" spans="1:51" x14ac:dyDescent="0.35">
      <c r="A206">
        <v>200</v>
      </c>
      <c r="C206">
        <f t="shared" si="148"/>
        <v>0</v>
      </c>
      <c r="D206">
        <f t="shared" si="149"/>
        <v>0</v>
      </c>
      <c r="E206">
        <f t="shared" si="150"/>
        <v>0</v>
      </c>
      <c r="F206">
        <f t="shared" si="151"/>
        <v>0</v>
      </c>
      <c r="G206">
        <f t="shared" si="152"/>
        <v>0</v>
      </c>
      <c r="H206">
        <f t="shared" si="153"/>
        <v>0</v>
      </c>
      <c r="I206">
        <f t="shared" si="154"/>
        <v>0</v>
      </c>
      <c r="J206">
        <f t="shared" si="155"/>
        <v>0</v>
      </c>
      <c r="K206">
        <f t="shared" si="156"/>
        <v>0</v>
      </c>
      <c r="L206">
        <f t="shared" si="157"/>
        <v>0</v>
      </c>
      <c r="M206">
        <f t="shared" si="158"/>
        <v>0</v>
      </c>
      <c r="N206">
        <f t="shared" si="159"/>
        <v>0</v>
      </c>
      <c r="O206">
        <f t="shared" si="160"/>
        <v>0</v>
      </c>
      <c r="P206">
        <f t="shared" si="161"/>
        <v>0</v>
      </c>
      <c r="Q206">
        <f t="shared" si="162"/>
        <v>0</v>
      </c>
      <c r="R206">
        <f t="shared" si="163"/>
        <v>0</v>
      </c>
      <c r="S206">
        <f t="shared" si="164"/>
        <v>0</v>
      </c>
      <c r="T206">
        <f t="shared" si="165"/>
        <v>0</v>
      </c>
      <c r="U206">
        <f t="shared" si="166"/>
        <v>0</v>
      </c>
      <c r="V206">
        <f t="shared" si="167"/>
        <v>0</v>
      </c>
      <c r="W206">
        <f t="shared" si="168"/>
        <v>0</v>
      </c>
      <c r="X206">
        <f t="shared" si="169"/>
        <v>0</v>
      </c>
      <c r="Y206">
        <f t="shared" si="170"/>
        <v>0</v>
      </c>
      <c r="Z206">
        <f t="shared" si="171"/>
        <v>0</v>
      </c>
      <c r="AA206">
        <f t="shared" si="172"/>
        <v>0</v>
      </c>
      <c r="AB206">
        <f t="shared" si="173"/>
        <v>0</v>
      </c>
      <c r="AC206">
        <f t="shared" si="174"/>
        <v>0</v>
      </c>
      <c r="AD206">
        <f t="shared" si="175"/>
        <v>0</v>
      </c>
      <c r="AE206">
        <f t="shared" si="176"/>
        <v>0</v>
      </c>
      <c r="AF206">
        <f t="shared" si="177"/>
        <v>0</v>
      </c>
      <c r="AG206">
        <f t="shared" si="178"/>
        <v>0</v>
      </c>
      <c r="AH206">
        <f t="shared" si="179"/>
        <v>0</v>
      </c>
      <c r="AI206">
        <f t="shared" si="180"/>
        <v>0</v>
      </c>
      <c r="AJ206">
        <f t="shared" si="181"/>
        <v>0</v>
      </c>
      <c r="AK206">
        <f t="shared" si="182"/>
        <v>0</v>
      </c>
      <c r="AL206">
        <f t="shared" si="183"/>
        <v>0</v>
      </c>
      <c r="AM206">
        <f t="shared" si="184"/>
        <v>0</v>
      </c>
      <c r="AN206">
        <f t="shared" si="185"/>
        <v>0</v>
      </c>
      <c r="AO206">
        <f t="shared" si="186"/>
        <v>0</v>
      </c>
      <c r="AP206">
        <f t="shared" si="187"/>
        <v>0</v>
      </c>
      <c r="AQ206">
        <f t="shared" si="188"/>
        <v>0</v>
      </c>
      <c r="AR206">
        <f t="shared" si="189"/>
        <v>0</v>
      </c>
      <c r="AS206">
        <f t="shared" si="190"/>
        <v>0</v>
      </c>
      <c r="AT206">
        <f t="shared" si="191"/>
        <v>0</v>
      </c>
      <c r="AU206">
        <f t="shared" si="192"/>
        <v>0</v>
      </c>
      <c r="AV206">
        <f t="shared" si="193"/>
        <v>0</v>
      </c>
      <c r="AW206">
        <f t="shared" si="147"/>
        <v>0</v>
      </c>
      <c r="AX206">
        <f t="shared" si="194"/>
        <v>0</v>
      </c>
      <c r="AY206">
        <f t="shared" si="195"/>
        <v>0</v>
      </c>
    </row>
    <row r="207" spans="1:51" x14ac:dyDescent="0.35">
      <c r="A207">
        <v>201</v>
      </c>
      <c r="C207">
        <f t="shared" si="148"/>
        <v>0</v>
      </c>
      <c r="D207">
        <f t="shared" si="149"/>
        <v>0</v>
      </c>
      <c r="E207">
        <f t="shared" si="150"/>
        <v>0</v>
      </c>
      <c r="F207">
        <f t="shared" si="151"/>
        <v>0</v>
      </c>
      <c r="G207">
        <f t="shared" si="152"/>
        <v>0</v>
      </c>
      <c r="H207">
        <f t="shared" si="153"/>
        <v>0</v>
      </c>
      <c r="I207">
        <f t="shared" si="154"/>
        <v>0</v>
      </c>
      <c r="J207">
        <f t="shared" si="155"/>
        <v>0</v>
      </c>
      <c r="K207">
        <f t="shared" si="156"/>
        <v>0</v>
      </c>
      <c r="L207">
        <f t="shared" si="157"/>
        <v>0</v>
      </c>
      <c r="M207">
        <f t="shared" si="158"/>
        <v>0</v>
      </c>
      <c r="N207">
        <f t="shared" si="159"/>
        <v>0</v>
      </c>
      <c r="O207">
        <f t="shared" si="160"/>
        <v>0</v>
      </c>
      <c r="P207">
        <f t="shared" si="161"/>
        <v>0</v>
      </c>
      <c r="Q207">
        <f t="shared" si="162"/>
        <v>0</v>
      </c>
      <c r="R207">
        <f t="shared" si="163"/>
        <v>0</v>
      </c>
      <c r="S207">
        <f t="shared" si="164"/>
        <v>0</v>
      </c>
      <c r="T207">
        <f t="shared" si="165"/>
        <v>0</v>
      </c>
      <c r="U207">
        <f t="shared" si="166"/>
        <v>0</v>
      </c>
      <c r="V207">
        <f t="shared" si="167"/>
        <v>0</v>
      </c>
      <c r="W207">
        <f t="shared" si="168"/>
        <v>0</v>
      </c>
      <c r="X207">
        <f t="shared" si="169"/>
        <v>0</v>
      </c>
      <c r="Y207">
        <f t="shared" si="170"/>
        <v>0</v>
      </c>
      <c r="Z207">
        <f t="shared" si="171"/>
        <v>0</v>
      </c>
      <c r="AA207">
        <f t="shared" si="172"/>
        <v>0</v>
      </c>
      <c r="AB207">
        <f t="shared" si="173"/>
        <v>0</v>
      </c>
      <c r="AC207">
        <f t="shared" si="174"/>
        <v>0</v>
      </c>
      <c r="AD207">
        <f t="shared" si="175"/>
        <v>0</v>
      </c>
      <c r="AE207">
        <f t="shared" si="176"/>
        <v>0</v>
      </c>
      <c r="AF207">
        <f t="shared" si="177"/>
        <v>0</v>
      </c>
      <c r="AG207">
        <f t="shared" si="178"/>
        <v>0</v>
      </c>
      <c r="AH207">
        <f t="shared" si="179"/>
        <v>0</v>
      </c>
      <c r="AI207">
        <f t="shared" si="180"/>
        <v>0</v>
      </c>
      <c r="AJ207">
        <f t="shared" si="181"/>
        <v>0</v>
      </c>
      <c r="AK207">
        <f t="shared" si="182"/>
        <v>0</v>
      </c>
      <c r="AL207">
        <f t="shared" si="183"/>
        <v>0</v>
      </c>
      <c r="AM207">
        <f t="shared" si="184"/>
        <v>0</v>
      </c>
      <c r="AN207">
        <f t="shared" si="185"/>
        <v>0</v>
      </c>
      <c r="AO207">
        <f t="shared" si="186"/>
        <v>0</v>
      </c>
      <c r="AP207">
        <f t="shared" si="187"/>
        <v>0</v>
      </c>
      <c r="AQ207">
        <f t="shared" si="188"/>
        <v>0</v>
      </c>
      <c r="AR207">
        <f t="shared" si="189"/>
        <v>0</v>
      </c>
      <c r="AS207">
        <f t="shared" si="190"/>
        <v>0</v>
      </c>
      <c r="AT207">
        <f t="shared" si="191"/>
        <v>0</v>
      </c>
      <c r="AU207">
        <f t="shared" si="192"/>
        <v>0</v>
      </c>
      <c r="AV207">
        <f t="shared" si="193"/>
        <v>0</v>
      </c>
      <c r="AW207">
        <f t="shared" si="147"/>
        <v>0</v>
      </c>
      <c r="AX207">
        <f t="shared" si="194"/>
        <v>0</v>
      </c>
      <c r="AY207">
        <f t="shared" si="195"/>
        <v>0</v>
      </c>
    </row>
    <row r="208" spans="1:51" x14ac:dyDescent="0.35">
      <c r="A208">
        <v>202</v>
      </c>
      <c r="C208">
        <f t="shared" si="148"/>
        <v>0</v>
      </c>
      <c r="D208">
        <f t="shared" si="149"/>
        <v>0</v>
      </c>
      <c r="E208">
        <f t="shared" si="150"/>
        <v>0</v>
      </c>
      <c r="F208">
        <f t="shared" si="151"/>
        <v>0</v>
      </c>
      <c r="G208">
        <f t="shared" si="152"/>
        <v>0</v>
      </c>
      <c r="H208">
        <f t="shared" si="153"/>
        <v>0</v>
      </c>
      <c r="I208">
        <f t="shared" si="154"/>
        <v>0</v>
      </c>
      <c r="J208">
        <f t="shared" si="155"/>
        <v>0</v>
      </c>
      <c r="K208">
        <f t="shared" si="156"/>
        <v>0</v>
      </c>
      <c r="L208">
        <f t="shared" si="157"/>
        <v>0</v>
      </c>
      <c r="M208">
        <f t="shared" si="158"/>
        <v>0</v>
      </c>
      <c r="N208">
        <f t="shared" si="159"/>
        <v>0</v>
      </c>
      <c r="O208">
        <f t="shared" si="160"/>
        <v>0</v>
      </c>
      <c r="P208">
        <f t="shared" si="161"/>
        <v>0</v>
      </c>
      <c r="Q208">
        <f t="shared" si="162"/>
        <v>0</v>
      </c>
      <c r="R208">
        <f t="shared" si="163"/>
        <v>0</v>
      </c>
      <c r="S208">
        <f t="shared" si="164"/>
        <v>0</v>
      </c>
      <c r="T208">
        <f t="shared" si="165"/>
        <v>0</v>
      </c>
      <c r="U208">
        <f t="shared" si="166"/>
        <v>0</v>
      </c>
      <c r="V208">
        <f t="shared" si="167"/>
        <v>0</v>
      </c>
      <c r="W208">
        <f t="shared" si="168"/>
        <v>0</v>
      </c>
      <c r="X208">
        <f t="shared" si="169"/>
        <v>0</v>
      </c>
      <c r="Y208">
        <f t="shared" si="170"/>
        <v>0</v>
      </c>
      <c r="Z208">
        <f t="shared" si="171"/>
        <v>0</v>
      </c>
      <c r="AA208">
        <f t="shared" si="172"/>
        <v>0</v>
      </c>
      <c r="AB208">
        <f t="shared" si="173"/>
        <v>0</v>
      </c>
      <c r="AC208">
        <f t="shared" si="174"/>
        <v>0</v>
      </c>
      <c r="AD208">
        <f t="shared" si="175"/>
        <v>0</v>
      </c>
      <c r="AE208">
        <f t="shared" si="176"/>
        <v>0</v>
      </c>
      <c r="AF208">
        <f t="shared" si="177"/>
        <v>0</v>
      </c>
      <c r="AG208">
        <f t="shared" si="178"/>
        <v>0</v>
      </c>
      <c r="AH208">
        <f t="shared" si="179"/>
        <v>0</v>
      </c>
      <c r="AI208">
        <f t="shared" si="180"/>
        <v>0</v>
      </c>
      <c r="AJ208">
        <f t="shared" si="181"/>
        <v>0</v>
      </c>
      <c r="AK208">
        <f t="shared" si="182"/>
        <v>0</v>
      </c>
      <c r="AL208">
        <f t="shared" si="183"/>
        <v>0</v>
      </c>
      <c r="AM208">
        <f t="shared" si="184"/>
        <v>0</v>
      </c>
      <c r="AN208">
        <f t="shared" si="185"/>
        <v>0</v>
      </c>
      <c r="AO208">
        <f t="shared" si="186"/>
        <v>0</v>
      </c>
      <c r="AP208">
        <f t="shared" si="187"/>
        <v>0</v>
      </c>
      <c r="AQ208">
        <f t="shared" si="188"/>
        <v>0</v>
      </c>
      <c r="AR208">
        <f t="shared" si="189"/>
        <v>0</v>
      </c>
      <c r="AS208">
        <f t="shared" si="190"/>
        <v>0</v>
      </c>
      <c r="AT208">
        <f t="shared" si="191"/>
        <v>0</v>
      </c>
      <c r="AU208">
        <f t="shared" si="192"/>
        <v>0</v>
      </c>
      <c r="AV208">
        <f t="shared" si="193"/>
        <v>0</v>
      </c>
      <c r="AW208">
        <f t="shared" si="147"/>
        <v>0</v>
      </c>
      <c r="AX208">
        <f t="shared" si="194"/>
        <v>0</v>
      </c>
      <c r="AY208">
        <f t="shared" si="195"/>
        <v>0</v>
      </c>
    </row>
    <row r="209" spans="1:51" x14ac:dyDescent="0.35">
      <c r="A209">
        <v>203</v>
      </c>
      <c r="C209">
        <f t="shared" si="148"/>
        <v>0</v>
      </c>
      <c r="D209">
        <f t="shared" si="149"/>
        <v>0</v>
      </c>
      <c r="E209">
        <f t="shared" si="150"/>
        <v>0</v>
      </c>
      <c r="F209">
        <f t="shared" si="151"/>
        <v>0</v>
      </c>
      <c r="G209">
        <f t="shared" si="152"/>
        <v>0</v>
      </c>
      <c r="H209">
        <f t="shared" si="153"/>
        <v>0</v>
      </c>
      <c r="I209">
        <f t="shared" si="154"/>
        <v>0</v>
      </c>
      <c r="J209">
        <f t="shared" si="155"/>
        <v>0</v>
      </c>
      <c r="K209">
        <f t="shared" si="156"/>
        <v>0</v>
      </c>
      <c r="L209">
        <f t="shared" si="157"/>
        <v>0</v>
      </c>
      <c r="M209">
        <f t="shared" si="158"/>
        <v>0</v>
      </c>
      <c r="N209">
        <f t="shared" si="159"/>
        <v>0</v>
      </c>
      <c r="O209">
        <f t="shared" si="160"/>
        <v>0</v>
      </c>
      <c r="P209">
        <f t="shared" si="161"/>
        <v>0</v>
      </c>
      <c r="Q209">
        <f t="shared" si="162"/>
        <v>0</v>
      </c>
      <c r="R209">
        <f t="shared" si="163"/>
        <v>0</v>
      </c>
      <c r="S209">
        <f t="shared" si="164"/>
        <v>0</v>
      </c>
      <c r="T209">
        <f t="shared" si="165"/>
        <v>0</v>
      </c>
      <c r="U209">
        <f t="shared" si="166"/>
        <v>0</v>
      </c>
      <c r="V209">
        <f t="shared" si="167"/>
        <v>0</v>
      </c>
      <c r="W209">
        <f t="shared" si="168"/>
        <v>0</v>
      </c>
      <c r="X209">
        <f t="shared" si="169"/>
        <v>0</v>
      </c>
      <c r="Y209">
        <f t="shared" si="170"/>
        <v>0</v>
      </c>
      <c r="Z209">
        <f t="shared" si="171"/>
        <v>0</v>
      </c>
      <c r="AA209">
        <f t="shared" si="172"/>
        <v>0</v>
      </c>
      <c r="AB209">
        <f t="shared" si="173"/>
        <v>0</v>
      </c>
      <c r="AC209">
        <f t="shared" si="174"/>
        <v>0</v>
      </c>
      <c r="AD209">
        <f t="shared" si="175"/>
        <v>0</v>
      </c>
      <c r="AE209">
        <f t="shared" si="176"/>
        <v>0</v>
      </c>
      <c r="AF209">
        <f t="shared" si="177"/>
        <v>0</v>
      </c>
      <c r="AG209">
        <f t="shared" si="178"/>
        <v>0</v>
      </c>
      <c r="AH209">
        <f t="shared" si="179"/>
        <v>0</v>
      </c>
      <c r="AI209">
        <f t="shared" si="180"/>
        <v>0</v>
      </c>
      <c r="AJ209">
        <f t="shared" si="181"/>
        <v>0</v>
      </c>
      <c r="AK209">
        <f t="shared" si="182"/>
        <v>0</v>
      </c>
      <c r="AL209">
        <f t="shared" si="183"/>
        <v>0</v>
      </c>
      <c r="AM209">
        <f t="shared" si="184"/>
        <v>0</v>
      </c>
      <c r="AN209">
        <f t="shared" si="185"/>
        <v>0</v>
      </c>
      <c r="AO209">
        <f t="shared" si="186"/>
        <v>0</v>
      </c>
      <c r="AP209">
        <f t="shared" si="187"/>
        <v>0</v>
      </c>
      <c r="AQ209">
        <f t="shared" si="188"/>
        <v>0</v>
      </c>
      <c r="AR209">
        <f t="shared" si="189"/>
        <v>0</v>
      </c>
      <c r="AS209">
        <f t="shared" si="190"/>
        <v>0</v>
      </c>
      <c r="AT209">
        <f t="shared" si="191"/>
        <v>0</v>
      </c>
      <c r="AU209">
        <f t="shared" si="192"/>
        <v>0</v>
      </c>
      <c r="AV209">
        <f t="shared" si="193"/>
        <v>0</v>
      </c>
      <c r="AW209">
        <f t="shared" si="147"/>
        <v>0</v>
      </c>
      <c r="AX209">
        <f t="shared" si="194"/>
        <v>0</v>
      </c>
      <c r="AY209">
        <f t="shared" si="195"/>
        <v>0</v>
      </c>
    </row>
    <row r="210" spans="1:51" x14ac:dyDescent="0.35">
      <c r="A210">
        <v>204</v>
      </c>
      <c r="C210">
        <f t="shared" si="148"/>
        <v>0</v>
      </c>
      <c r="D210">
        <f t="shared" si="149"/>
        <v>0</v>
      </c>
      <c r="E210">
        <f t="shared" si="150"/>
        <v>0</v>
      </c>
      <c r="F210">
        <f t="shared" si="151"/>
        <v>0</v>
      </c>
      <c r="G210">
        <f t="shared" si="152"/>
        <v>0</v>
      </c>
      <c r="H210">
        <f t="shared" si="153"/>
        <v>0</v>
      </c>
      <c r="I210">
        <f t="shared" si="154"/>
        <v>0</v>
      </c>
      <c r="J210">
        <f t="shared" si="155"/>
        <v>0</v>
      </c>
      <c r="K210">
        <f t="shared" si="156"/>
        <v>0</v>
      </c>
      <c r="L210">
        <f t="shared" si="157"/>
        <v>0</v>
      </c>
      <c r="M210">
        <f t="shared" si="158"/>
        <v>0</v>
      </c>
      <c r="N210">
        <f t="shared" si="159"/>
        <v>0</v>
      </c>
      <c r="O210">
        <f t="shared" si="160"/>
        <v>0</v>
      </c>
      <c r="P210">
        <f t="shared" si="161"/>
        <v>0</v>
      </c>
      <c r="Q210">
        <f t="shared" si="162"/>
        <v>0</v>
      </c>
      <c r="R210">
        <f t="shared" si="163"/>
        <v>0</v>
      </c>
      <c r="S210">
        <f t="shared" si="164"/>
        <v>0</v>
      </c>
      <c r="T210">
        <f t="shared" si="165"/>
        <v>0</v>
      </c>
      <c r="U210">
        <f t="shared" si="166"/>
        <v>0</v>
      </c>
      <c r="V210">
        <f t="shared" si="167"/>
        <v>0</v>
      </c>
      <c r="W210">
        <f t="shared" si="168"/>
        <v>0</v>
      </c>
      <c r="X210">
        <f t="shared" si="169"/>
        <v>0</v>
      </c>
      <c r="Y210">
        <f t="shared" si="170"/>
        <v>0</v>
      </c>
      <c r="Z210">
        <f t="shared" si="171"/>
        <v>0</v>
      </c>
      <c r="AA210">
        <f t="shared" si="172"/>
        <v>0</v>
      </c>
      <c r="AB210">
        <f t="shared" si="173"/>
        <v>0</v>
      </c>
      <c r="AC210">
        <f t="shared" si="174"/>
        <v>0</v>
      </c>
      <c r="AD210">
        <f t="shared" si="175"/>
        <v>0</v>
      </c>
      <c r="AE210">
        <f t="shared" si="176"/>
        <v>0</v>
      </c>
      <c r="AF210">
        <f t="shared" si="177"/>
        <v>0</v>
      </c>
      <c r="AG210">
        <f t="shared" si="178"/>
        <v>0</v>
      </c>
      <c r="AH210">
        <f t="shared" si="179"/>
        <v>0</v>
      </c>
      <c r="AI210">
        <f t="shared" si="180"/>
        <v>0</v>
      </c>
      <c r="AJ210">
        <f t="shared" si="181"/>
        <v>0</v>
      </c>
      <c r="AK210">
        <f t="shared" si="182"/>
        <v>0</v>
      </c>
      <c r="AL210">
        <f t="shared" si="183"/>
        <v>0</v>
      </c>
      <c r="AM210">
        <f t="shared" si="184"/>
        <v>0</v>
      </c>
      <c r="AN210">
        <f t="shared" si="185"/>
        <v>0</v>
      </c>
      <c r="AO210">
        <f t="shared" si="186"/>
        <v>0</v>
      </c>
      <c r="AP210">
        <f t="shared" si="187"/>
        <v>0</v>
      </c>
      <c r="AQ210">
        <f t="shared" si="188"/>
        <v>0</v>
      </c>
      <c r="AR210">
        <f t="shared" si="189"/>
        <v>0</v>
      </c>
      <c r="AS210">
        <f t="shared" si="190"/>
        <v>0</v>
      </c>
      <c r="AT210">
        <f t="shared" si="191"/>
        <v>0</v>
      </c>
      <c r="AU210">
        <f t="shared" si="192"/>
        <v>0</v>
      </c>
      <c r="AV210">
        <f t="shared" si="193"/>
        <v>0</v>
      </c>
      <c r="AW210">
        <f t="shared" si="147"/>
        <v>0</v>
      </c>
      <c r="AX210">
        <f t="shared" si="194"/>
        <v>0</v>
      </c>
      <c r="AY210">
        <f t="shared" si="195"/>
        <v>0</v>
      </c>
    </row>
    <row r="211" spans="1:51" x14ac:dyDescent="0.35">
      <c r="A211">
        <v>205</v>
      </c>
      <c r="C211">
        <f t="shared" si="148"/>
        <v>0</v>
      </c>
      <c r="D211">
        <f t="shared" si="149"/>
        <v>0</v>
      </c>
      <c r="E211">
        <f t="shared" si="150"/>
        <v>0</v>
      </c>
      <c r="F211">
        <f t="shared" si="151"/>
        <v>0</v>
      </c>
      <c r="G211">
        <f t="shared" si="152"/>
        <v>0</v>
      </c>
      <c r="H211">
        <f t="shared" si="153"/>
        <v>0</v>
      </c>
      <c r="I211">
        <f t="shared" si="154"/>
        <v>0</v>
      </c>
      <c r="J211">
        <f t="shared" si="155"/>
        <v>0</v>
      </c>
      <c r="K211">
        <f t="shared" si="156"/>
        <v>0</v>
      </c>
      <c r="L211">
        <f t="shared" si="157"/>
        <v>0</v>
      </c>
      <c r="M211">
        <f t="shared" si="158"/>
        <v>0</v>
      </c>
      <c r="N211">
        <f t="shared" si="159"/>
        <v>0</v>
      </c>
      <c r="O211">
        <f t="shared" si="160"/>
        <v>0</v>
      </c>
      <c r="P211">
        <f t="shared" si="161"/>
        <v>0</v>
      </c>
      <c r="Q211">
        <f t="shared" si="162"/>
        <v>0</v>
      </c>
      <c r="R211">
        <f t="shared" si="163"/>
        <v>0</v>
      </c>
      <c r="S211">
        <f t="shared" si="164"/>
        <v>0</v>
      </c>
      <c r="T211">
        <f t="shared" si="165"/>
        <v>0</v>
      </c>
      <c r="U211">
        <f t="shared" si="166"/>
        <v>0</v>
      </c>
      <c r="V211">
        <f t="shared" si="167"/>
        <v>0</v>
      </c>
      <c r="W211">
        <f t="shared" si="168"/>
        <v>0</v>
      </c>
      <c r="X211">
        <f t="shared" si="169"/>
        <v>0</v>
      </c>
      <c r="Y211">
        <f t="shared" si="170"/>
        <v>0</v>
      </c>
      <c r="Z211">
        <f t="shared" si="171"/>
        <v>0</v>
      </c>
      <c r="AA211">
        <f t="shared" si="172"/>
        <v>0</v>
      </c>
      <c r="AB211">
        <f t="shared" si="173"/>
        <v>0</v>
      </c>
      <c r="AC211">
        <f t="shared" si="174"/>
        <v>0</v>
      </c>
      <c r="AD211">
        <f t="shared" si="175"/>
        <v>0</v>
      </c>
      <c r="AE211">
        <f t="shared" si="176"/>
        <v>0</v>
      </c>
      <c r="AF211">
        <f t="shared" si="177"/>
        <v>0</v>
      </c>
      <c r="AG211">
        <f t="shared" si="178"/>
        <v>0</v>
      </c>
      <c r="AH211">
        <f t="shared" si="179"/>
        <v>0</v>
      </c>
      <c r="AI211">
        <f t="shared" si="180"/>
        <v>0</v>
      </c>
      <c r="AJ211">
        <f t="shared" si="181"/>
        <v>0</v>
      </c>
      <c r="AK211">
        <f t="shared" si="182"/>
        <v>0</v>
      </c>
      <c r="AL211">
        <f t="shared" si="183"/>
        <v>0</v>
      </c>
      <c r="AM211">
        <f t="shared" si="184"/>
        <v>0</v>
      </c>
      <c r="AN211">
        <f t="shared" si="185"/>
        <v>0</v>
      </c>
      <c r="AO211">
        <f t="shared" si="186"/>
        <v>0</v>
      </c>
      <c r="AP211">
        <f t="shared" si="187"/>
        <v>0</v>
      </c>
      <c r="AQ211">
        <f t="shared" si="188"/>
        <v>0</v>
      </c>
      <c r="AR211">
        <f t="shared" si="189"/>
        <v>0</v>
      </c>
      <c r="AS211">
        <f t="shared" si="190"/>
        <v>0</v>
      </c>
      <c r="AT211">
        <f t="shared" si="191"/>
        <v>0</v>
      </c>
      <c r="AU211">
        <f t="shared" si="192"/>
        <v>0</v>
      </c>
      <c r="AV211">
        <f t="shared" si="193"/>
        <v>0</v>
      </c>
      <c r="AW211">
        <f t="shared" si="147"/>
        <v>0</v>
      </c>
      <c r="AX211">
        <f t="shared" si="194"/>
        <v>0</v>
      </c>
      <c r="AY211">
        <f t="shared" si="195"/>
        <v>0</v>
      </c>
    </row>
    <row r="212" spans="1:51" x14ac:dyDescent="0.35">
      <c r="A212">
        <v>206</v>
      </c>
      <c r="C212">
        <f t="shared" si="148"/>
        <v>0</v>
      </c>
      <c r="D212">
        <f t="shared" si="149"/>
        <v>0</v>
      </c>
      <c r="E212">
        <f t="shared" si="150"/>
        <v>0</v>
      </c>
      <c r="F212">
        <f t="shared" si="151"/>
        <v>0</v>
      </c>
      <c r="G212">
        <f t="shared" si="152"/>
        <v>0</v>
      </c>
      <c r="H212">
        <f t="shared" si="153"/>
        <v>0</v>
      </c>
      <c r="I212">
        <f t="shared" si="154"/>
        <v>0</v>
      </c>
      <c r="J212">
        <f t="shared" si="155"/>
        <v>0</v>
      </c>
      <c r="K212">
        <f t="shared" si="156"/>
        <v>0</v>
      </c>
      <c r="L212">
        <f t="shared" si="157"/>
        <v>0</v>
      </c>
      <c r="M212">
        <f t="shared" si="158"/>
        <v>0</v>
      </c>
      <c r="N212">
        <f t="shared" si="159"/>
        <v>0</v>
      </c>
      <c r="O212">
        <f t="shared" si="160"/>
        <v>0</v>
      </c>
      <c r="P212">
        <f t="shared" si="161"/>
        <v>0</v>
      </c>
      <c r="Q212">
        <f t="shared" si="162"/>
        <v>0</v>
      </c>
      <c r="R212">
        <f t="shared" si="163"/>
        <v>0</v>
      </c>
      <c r="S212">
        <f t="shared" si="164"/>
        <v>0</v>
      </c>
      <c r="T212">
        <f t="shared" si="165"/>
        <v>0</v>
      </c>
      <c r="U212">
        <f t="shared" si="166"/>
        <v>0</v>
      </c>
      <c r="V212">
        <f t="shared" si="167"/>
        <v>0</v>
      </c>
      <c r="W212">
        <f t="shared" si="168"/>
        <v>0</v>
      </c>
      <c r="X212">
        <f t="shared" si="169"/>
        <v>0</v>
      </c>
      <c r="Y212">
        <f t="shared" si="170"/>
        <v>0</v>
      </c>
      <c r="Z212">
        <f t="shared" si="171"/>
        <v>0</v>
      </c>
      <c r="AA212">
        <f t="shared" si="172"/>
        <v>0</v>
      </c>
      <c r="AB212">
        <f t="shared" si="173"/>
        <v>0</v>
      </c>
      <c r="AC212">
        <f t="shared" si="174"/>
        <v>0</v>
      </c>
      <c r="AD212">
        <f t="shared" si="175"/>
        <v>0</v>
      </c>
      <c r="AE212">
        <f t="shared" si="176"/>
        <v>0</v>
      </c>
      <c r="AF212">
        <f t="shared" si="177"/>
        <v>0</v>
      </c>
      <c r="AG212">
        <f t="shared" si="178"/>
        <v>0</v>
      </c>
      <c r="AH212">
        <f t="shared" si="179"/>
        <v>0</v>
      </c>
      <c r="AI212">
        <f t="shared" si="180"/>
        <v>0</v>
      </c>
      <c r="AJ212">
        <f t="shared" si="181"/>
        <v>0</v>
      </c>
      <c r="AK212">
        <f t="shared" si="182"/>
        <v>0</v>
      </c>
      <c r="AL212">
        <f t="shared" si="183"/>
        <v>0</v>
      </c>
      <c r="AM212">
        <f t="shared" si="184"/>
        <v>0</v>
      </c>
      <c r="AN212">
        <f t="shared" si="185"/>
        <v>0</v>
      </c>
      <c r="AO212">
        <f t="shared" si="186"/>
        <v>0</v>
      </c>
      <c r="AP212">
        <f t="shared" si="187"/>
        <v>0</v>
      </c>
      <c r="AQ212">
        <f t="shared" si="188"/>
        <v>0</v>
      </c>
      <c r="AR212">
        <f t="shared" si="189"/>
        <v>0</v>
      </c>
      <c r="AS212">
        <f t="shared" si="190"/>
        <v>0</v>
      </c>
      <c r="AT212">
        <f t="shared" si="191"/>
        <v>0</v>
      </c>
      <c r="AU212">
        <f t="shared" si="192"/>
        <v>0</v>
      </c>
      <c r="AV212">
        <f t="shared" si="193"/>
        <v>0</v>
      </c>
      <c r="AW212">
        <f t="shared" si="147"/>
        <v>0</v>
      </c>
      <c r="AX212">
        <f t="shared" si="194"/>
        <v>0</v>
      </c>
      <c r="AY212">
        <f t="shared" si="195"/>
        <v>0</v>
      </c>
    </row>
    <row r="213" spans="1:51" x14ac:dyDescent="0.35">
      <c r="A213">
        <v>207</v>
      </c>
      <c r="C213">
        <f t="shared" si="148"/>
        <v>0</v>
      </c>
      <c r="D213">
        <f t="shared" si="149"/>
        <v>0</v>
      </c>
      <c r="E213">
        <f t="shared" si="150"/>
        <v>0</v>
      </c>
      <c r="F213">
        <f t="shared" si="151"/>
        <v>0</v>
      </c>
      <c r="G213">
        <f t="shared" si="152"/>
        <v>0</v>
      </c>
      <c r="H213">
        <f t="shared" si="153"/>
        <v>0</v>
      </c>
      <c r="I213">
        <f t="shared" si="154"/>
        <v>0</v>
      </c>
      <c r="J213">
        <f t="shared" si="155"/>
        <v>0</v>
      </c>
      <c r="K213">
        <f t="shared" si="156"/>
        <v>0</v>
      </c>
      <c r="L213">
        <f t="shared" si="157"/>
        <v>0</v>
      </c>
      <c r="M213">
        <f t="shared" si="158"/>
        <v>0</v>
      </c>
      <c r="N213">
        <f t="shared" si="159"/>
        <v>0</v>
      </c>
      <c r="O213">
        <f t="shared" si="160"/>
        <v>0</v>
      </c>
      <c r="P213">
        <f t="shared" si="161"/>
        <v>0</v>
      </c>
      <c r="Q213">
        <f t="shared" si="162"/>
        <v>0</v>
      </c>
      <c r="R213">
        <f t="shared" si="163"/>
        <v>0</v>
      </c>
      <c r="S213">
        <f t="shared" si="164"/>
        <v>0</v>
      </c>
      <c r="T213">
        <f t="shared" si="165"/>
        <v>0</v>
      </c>
      <c r="U213">
        <f t="shared" si="166"/>
        <v>0</v>
      </c>
      <c r="V213">
        <f t="shared" si="167"/>
        <v>0</v>
      </c>
      <c r="W213">
        <f t="shared" si="168"/>
        <v>0</v>
      </c>
      <c r="X213">
        <f t="shared" si="169"/>
        <v>0</v>
      </c>
      <c r="Y213">
        <f t="shared" si="170"/>
        <v>0</v>
      </c>
      <c r="Z213">
        <f t="shared" si="171"/>
        <v>0</v>
      </c>
      <c r="AA213">
        <f t="shared" si="172"/>
        <v>0</v>
      </c>
      <c r="AB213">
        <f t="shared" si="173"/>
        <v>0</v>
      </c>
      <c r="AC213">
        <f t="shared" si="174"/>
        <v>0</v>
      </c>
      <c r="AD213">
        <f t="shared" si="175"/>
        <v>0</v>
      </c>
      <c r="AE213">
        <f t="shared" si="176"/>
        <v>0</v>
      </c>
      <c r="AF213">
        <f t="shared" si="177"/>
        <v>0</v>
      </c>
      <c r="AG213">
        <f t="shared" si="178"/>
        <v>0</v>
      </c>
      <c r="AH213">
        <f t="shared" si="179"/>
        <v>0</v>
      </c>
      <c r="AI213">
        <f t="shared" si="180"/>
        <v>0</v>
      </c>
      <c r="AJ213">
        <f t="shared" si="181"/>
        <v>0</v>
      </c>
      <c r="AK213">
        <f t="shared" si="182"/>
        <v>0</v>
      </c>
      <c r="AL213">
        <f t="shared" si="183"/>
        <v>0</v>
      </c>
      <c r="AM213">
        <f t="shared" si="184"/>
        <v>0</v>
      </c>
      <c r="AN213">
        <f t="shared" si="185"/>
        <v>0</v>
      </c>
      <c r="AO213">
        <f t="shared" si="186"/>
        <v>0</v>
      </c>
      <c r="AP213">
        <f t="shared" si="187"/>
        <v>0</v>
      </c>
      <c r="AQ213">
        <f t="shared" si="188"/>
        <v>0</v>
      </c>
      <c r="AR213">
        <f t="shared" si="189"/>
        <v>0</v>
      </c>
      <c r="AS213">
        <f t="shared" si="190"/>
        <v>0</v>
      </c>
      <c r="AT213">
        <f t="shared" si="191"/>
        <v>0</v>
      </c>
      <c r="AU213">
        <f t="shared" si="192"/>
        <v>0</v>
      </c>
      <c r="AV213">
        <f t="shared" si="193"/>
        <v>0</v>
      </c>
      <c r="AW213">
        <f t="shared" si="147"/>
        <v>0</v>
      </c>
      <c r="AX213">
        <f t="shared" si="194"/>
        <v>0</v>
      </c>
      <c r="AY213">
        <f t="shared" si="195"/>
        <v>0</v>
      </c>
    </row>
    <row r="214" spans="1:51" x14ac:dyDescent="0.35">
      <c r="A214">
        <v>208</v>
      </c>
      <c r="C214">
        <f t="shared" si="148"/>
        <v>0</v>
      </c>
      <c r="D214">
        <f t="shared" si="149"/>
        <v>0</v>
      </c>
      <c r="E214">
        <f t="shared" si="150"/>
        <v>0</v>
      </c>
      <c r="F214">
        <f t="shared" si="151"/>
        <v>0</v>
      </c>
      <c r="G214">
        <f t="shared" si="152"/>
        <v>0</v>
      </c>
      <c r="H214">
        <f t="shared" si="153"/>
        <v>0</v>
      </c>
      <c r="I214">
        <f t="shared" si="154"/>
        <v>0</v>
      </c>
      <c r="J214">
        <f t="shared" si="155"/>
        <v>0</v>
      </c>
      <c r="K214">
        <f t="shared" si="156"/>
        <v>0</v>
      </c>
      <c r="L214">
        <f t="shared" si="157"/>
        <v>0</v>
      </c>
      <c r="M214">
        <f t="shared" si="158"/>
        <v>0</v>
      </c>
      <c r="N214">
        <f t="shared" si="159"/>
        <v>0</v>
      </c>
      <c r="O214">
        <f t="shared" si="160"/>
        <v>0</v>
      </c>
      <c r="P214">
        <f t="shared" si="161"/>
        <v>0</v>
      </c>
      <c r="Q214">
        <f t="shared" si="162"/>
        <v>0</v>
      </c>
      <c r="R214">
        <f t="shared" si="163"/>
        <v>0</v>
      </c>
      <c r="S214">
        <f t="shared" si="164"/>
        <v>0</v>
      </c>
      <c r="T214">
        <f t="shared" si="165"/>
        <v>0</v>
      </c>
      <c r="U214">
        <f t="shared" si="166"/>
        <v>0</v>
      </c>
      <c r="V214">
        <f t="shared" si="167"/>
        <v>0</v>
      </c>
      <c r="W214">
        <f t="shared" si="168"/>
        <v>0</v>
      </c>
      <c r="X214">
        <f t="shared" si="169"/>
        <v>0</v>
      </c>
      <c r="Y214">
        <f t="shared" si="170"/>
        <v>0</v>
      </c>
      <c r="Z214">
        <f t="shared" si="171"/>
        <v>0</v>
      </c>
      <c r="AA214">
        <f t="shared" si="172"/>
        <v>0</v>
      </c>
      <c r="AB214">
        <f t="shared" si="173"/>
        <v>0</v>
      </c>
      <c r="AC214">
        <f t="shared" si="174"/>
        <v>0</v>
      </c>
      <c r="AD214">
        <f t="shared" si="175"/>
        <v>0</v>
      </c>
      <c r="AE214">
        <f t="shared" si="176"/>
        <v>0</v>
      </c>
      <c r="AF214">
        <f t="shared" si="177"/>
        <v>0</v>
      </c>
      <c r="AG214">
        <f t="shared" si="178"/>
        <v>0</v>
      </c>
      <c r="AH214">
        <f t="shared" si="179"/>
        <v>0</v>
      </c>
      <c r="AI214">
        <f t="shared" si="180"/>
        <v>0</v>
      </c>
      <c r="AJ214">
        <f t="shared" si="181"/>
        <v>0</v>
      </c>
      <c r="AK214">
        <f t="shared" si="182"/>
        <v>0</v>
      </c>
      <c r="AL214">
        <f t="shared" si="183"/>
        <v>0</v>
      </c>
      <c r="AM214">
        <f t="shared" si="184"/>
        <v>0</v>
      </c>
      <c r="AN214">
        <f t="shared" si="185"/>
        <v>0</v>
      </c>
      <c r="AO214">
        <f t="shared" si="186"/>
        <v>0</v>
      </c>
      <c r="AP214">
        <f t="shared" si="187"/>
        <v>0</v>
      </c>
      <c r="AQ214">
        <f t="shared" si="188"/>
        <v>0</v>
      </c>
      <c r="AR214">
        <f t="shared" si="189"/>
        <v>0</v>
      </c>
      <c r="AS214">
        <f t="shared" si="190"/>
        <v>0</v>
      </c>
      <c r="AT214">
        <f t="shared" si="191"/>
        <v>0</v>
      </c>
      <c r="AU214">
        <f t="shared" si="192"/>
        <v>0</v>
      </c>
      <c r="AV214">
        <f t="shared" si="193"/>
        <v>0</v>
      </c>
      <c r="AW214">
        <f t="shared" si="147"/>
        <v>0</v>
      </c>
      <c r="AX214">
        <f t="shared" si="194"/>
        <v>0</v>
      </c>
      <c r="AY214">
        <f t="shared" si="195"/>
        <v>0</v>
      </c>
    </row>
    <row r="215" spans="1:51" x14ac:dyDescent="0.35">
      <c r="A215">
        <v>209</v>
      </c>
      <c r="C215">
        <f t="shared" si="148"/>
        <v>0</v>
      </c>
      <c r="D215">
        <f t="shared" si="149"/>
        <v>0</v>
      </c>
      <c r="E215">
        <f t="shared" si="150"/>
        <v>0</v>
      </c>
      <c r="F215">
        <f t="shared" si="151"/>
        <v>0</v>
      </c>
      <c r="G215">
        <f t="shared" si="152"/>
        <v>0</v>
      </c>
      <c r="H215">
        <f t="shared" si="153"/>
        <v>0</v>
      </c>
      <c r="I215">
        <f t="shared" si="154"/>
        <v>0</v>
      </c>
      <c r="J215">
        <f t="shared" si="155"/>
        <v>0</v>
      </c>
      <c r="K215">
        <f t="shared" si="156"/>
        <v>0</v>
      </c>
      <c r="L215">
        <f t="shared" si="157"/>
        <v>0</v>
      </c>
      <c r="M215">
        <f t="shared" si="158"/>
        <v>0</v>
      </c>
      <c r="N215">
        <f t="shared" si="159"/>
        <v>0</v>
      </c>
      <c r="O215">
        <f t="shared" si="160"/>
        <v>0</v>
      </c>
      <c r="P215">
        <f t="shared" si="161"/>
        <v>0</v>
      </c>
      <c r="Q215">
        <f t="shared" si="162"/>
        <v>0</v>
      </c>
      <c r="R215">
        <f t="shared" si="163"/>
        <v>0</v>
      </c>
      <c r="S215">
        <f t="shared" si="164"/>
        <v>0</v>
      </c>
      <c r="T215">
        <f t="shared" si="165"/>
        <v>0</v>
      </c>
      <c r="U215">
        <f t="shared" si="166"/>
        <v>0</v>
      </c>
      <c r="V215">
        <f t="shared" si="167"/>
        <v>0</v>
      </c>
      <c r="W215">
        <f t="shared" si="168"/>
        <v>0</v>
      </c>
      <c r="X215">
        <f t="shared" si="169"/>
        <v>0</v>
      </c>
      <c r="Y215">
        <f t="shared" si="170"/>
        <v>0</v>
      </c>
      <c r="Z215">
        <f t="shared" si="171"/>
        <v>0</v>
      </c>
      <c r="AA215">
        <f t="shared" si="172"/>
        <v>0</v>
      </c>
      <c r="AB215">
        <f t="shared" si="173"/>
        <v>0</v>
      </c>
      <c r="AC215">
        <f t="shared" si="174"/>
        <v>0</v>
      </c>
      <c r="AD215">
        <f t="shared" si="175"/>
        <v>0</v>
      </c>
      <c r="AE215">
        <f t="shared" si="176"/>
        <v>0</v>
      </c>
      <c r="AF215">
        <f t="shared" si="177"/>
        <v>0</v>
      </c>
      <c r="AG215">
        <f t="shared" si="178"/>
        <v>0</v>
      </c>
      <c r="AH215">
        <f t="shared" si="179"/>
        <v>0</v>
      </c>
      <c r="AI215">
        <f t="shared" si="180"/>
        <v>0</v>
      </c>
      <c r="AJ215">
        <f t="shared" si="181"/>
        <v>0</v>
      </c>
      <c r="AK215">
        <f t="shared" si="182"/>
        <v>0</v>
      </c>
      <c r="AL215">
        <f t="shared" si="183"/>
        <v>0</v>
      </c>
      <c r="AM215">
        <f t="shared" si="184"/>
        <v>0</v>
      </c>
      <c r="AN215">
        <f t="shared" si="185"/>
        <v>0</v>
      </c>
      <c r="AO215">
        <f t="shared" si="186"/>
        <v>0</v>
      </c>
      <c r="AP215">
        <f t="shared" si="187"/>
        <v>0</v>
      </c>
      <c r="AQ215">
        <f t="shared" si="188"/>
        <v>0</v>
      </c>
      <c r="AR215">
        <f t="shared" si="189"/>
        <v>0</v>
      </c>
      <c r="AS215">
        <f t="shared" si="190"/>
        <v>0</v>
      </c>
      <c r="AT215">
        <f t="shared" si="191"/>
        <v>0</v>
      </c>
      <c r="AU215">
        <f t="shared" si="192"/>
        <v>0</v>
      </c>
      <c r="AV215">
        <f t="shared" si="193"/>
        <v>0</v>
      </c>
      <c r="AW215">
        <f t="shared" si="147"/>
        <v>0</v>
      </c>
      <c r="AX215">
        <f t="shared" si="194"/>
        <v>0</v>
      </c>
      <c r="AY215">
        <f t="shared" si="195"/>
        <v>0</v>
      </c>
    </row>
    <row r="216" spans="1:51" x14ac:dyDescent="0.35">
      <c r="A216">
        <v>210</v>
      </c>
      <c r="C216">
        <f t="shared" si="148"/>
        <v>0</v>
      </c>
      <c r="D216">
        <f t="shared" si="149"/>
        <v>0</v>
      </c>
      <c r="E216">
        <f t="shared" si="150"/>
        <v>0</v>
      </c>
      <c r="F216">
        <f t="shared" si="151"/>
        <v>0</v>
      </c>
      <c r="G216">
        <f t="shared" si="152"/>
        <v>0</v>
      </c>
      <c r="H216">
        <f t="shared" si="153"/>
        <v>0</v>
      </c>
      <c r="I216">
        <f t="shared" si="154"/>
        <v>0</v>
      </c>
      <c r="J216">
        <f t="shared" si="155"/>
        <v>0</v>
      </c>
      <c r="K216">
        <f t="shared" si="156"/>
        <v>0</v>
      </c>
      <c r="L216">
        <f t="shared" si="157"/>
        <v>0</v>
      </c>
      <c r="M216">
        <f t="shared" si="158"/>
        <v>0</v>
      </c>
      <c r="N216">
        <f t="shared" si="159"/>
        <v>0</v>
      </c>
      <c r="O216">
        <f t="shared" si="160"/>
        <v>0</v>
      </c>
      <c r="P216">
        <f t="shared" si="161"/>
        <v>0</v>
      </c>
      <c r="Q216">
        <f t="shared" si="162"/>
        <v>0</v>
      </c>
      <c r="R216">
        <f t="shared" si="163"/>
        <v>0</v>
      </c>
      <c r="S216">
        <f t="shared" si="164"/>
        <v>0</v>
      </c>
      <c r="T216">
        <f t="shared" si="165"/>
        <v>0</v>
      </c>
      <c r="U216">
        <f t="shared" si="166"/>
        <v>0</v>
      </c>
      <c r="V216">
        <f t="shared" si="167"/>
        <v>0</v>
      </c>
      <c r="W216">
        <f t="shared" si="168"/>
        <v>0</v>
      </c>
      <c r="X216">
        <f t="shared" si="169"/>
        <v>0</v>
      </c>
      <c r="Y216">
        <f t="shared" si="170"/>
        <v>0</v>
      </c>
      <c r="Z216">
        <f t="shared" si="171"/>
        <v>0</v>
      </c>
      <c r="AA216">
        <f t="shared" si="172"/>
        <v>0</v>
      </c>
      <c r="AB216">
        <f t="shared" si="173"/>
        <v>0</v>
      </c>
      <c r="AC216">
        <f t="shared" si="174"/>
        <v>0</v>
      </c>
      <c r="AD216">
        <f t="shared" si="175"/>
        <v>0</v>
      </c>
      <c r="AE216">
        <f t="shared" si="176"/>
        <v>0</v>
      </c>
      <c r="AF216">
        <f t="shared" si="177"/>
        <v>0</v>
      </c>
      <c r="AG216">
        <f t="shared" si="178"/>
        <v>0</v>
      </c>
      <c r="AH216">
        <f t="shared" si="179"/>
        <v>0</v>
      </c>
      <c r="AI216">
        <f t="shared" si="180"/>
        <v>0</v>
      </c>
      <c r="AJ216">
        <f t="shared" si="181"/>
        <v>0</v>
      </c>
      <c r="AK216">
        <f t="shared" si="182"/>
        <v>0</v>
      </c>
      <c r="AL216">
        <f t="shared" si="183"/>
        <v>0</v>
      </c>
      <c r="AM216">
        <f t="shared" si="184"/>
        <v>0</v>
      </c>
      <c r="AN216">
        <f t="shared" si="185"/>
        <v>0</v>
      </c>
      <c r="AO216">
        <f t="shared" si="186"/>
        <v>0</v>
      </c>
      <c r="AP216">
        <f t="shared" si="187"/>
        <v>0</v>
      </c>
      <c r="AQ216">
        <f t="shared" si="188"/>
        <v>0</v>
      </c>
      <c r="AR216">
        <f t="shared" si="189"/>
        <v>0</v>
      </c>
      <c r="AS216">
        <f t="shared" si="190"/>
        <v>0</v>
      </c>
      <c r="AT216">
        <f t="shared" si="191"/>
        <v>0</v>
      </c>
      <c r="AU216">
        <f t="shared" si="192"/>
        <v>0</v>
      </c>
      <c r="AV216">
        <f t="shared" si="193"/>
        <v>0</v>
      </c>
      <c r="AW216">
        <f t="shared" si="147"/>
        <v>0</v>
      </c>
      <c r="AX216">
        <f t="shared" si="194"/>
        <v>0</v>
      </c>
      <c r="AY216">
        <f t="shared" si="195"/>
        <v>0</v>
      </c>
    </row>
    <row r="217" spans="1:51" x14ac:dyDescent="0.35">
      <c r="A217">
        <v>211</v>
      </c>
      <c r="C217">
        <f t="shared" si="148"/>
        <v>0</v>
      </c>
      <c r="D217">
        <f t="shared" si="149"/>
        <v>0</v>
      </c>
      <c r="E217">
        <f t="shared" si="150"/>
        <v>0</v>
      </c>
      <c r="F217">
        <f t="shared" si="151"/>
        <v>0</v>
      </c>
      <c r="G217">
        <f t="shared" si="152"/>
        <v>0</v>
      </c>
      <c r="H217">
        <f t="shared" si="153"/>
        <v>0</v>
      </c>
      <c r="I217">
        <f t="shared" si="154"/>
        <v>0</v>
      </c>
      <c r="J217">
        <f t="shared" si="155"/>
        <v>0</v>
      </c>
      <c r="K217">
        <f t="shared" si="156"/>
        <v>0</v>
      </c>
      <c r="L217">
        <f t="shared" si="157"/>
        <v>0</v>
      </c>
      <c r="M217">
        <f t="shared" si="158"/>
        <v>0</v>
      </c>
      <c r="N217">
        <f t="shared" si="159"/>
        <v>0</v>
      </c>
      <c r="O217">
        <f t="shared" si="160"/>
        <v>0</v>
      </c>
      <c r="P217">
        <f t="shared" si="161"/>
        <v>0</v>
      </c>
      <c r="Q217">
        <f t="shared" si="162"/>
        <v>0</v>
      </c>
      <c r="R217">
        <f t="shared" si="163"/>
        <v>0</v>
      </c>
      <c r="S217">
        <f t="shared" si="164"/>
        <v>0</v>
      </c>
      <c r="T217">
        <f t="shared" si="165"/>
        <v>0</v>
      </c>
      <c r="U217">
        <f t="shared" si="166"/>
        <v>0</v>
      </c>
      <c r="V217">
        <f t="shared" si="167"/>
        <v>0</v>
      </c>
      <c r="W217">
        <f t="shared" si="168"/>
        <v>0</v>
      </c>
      <c r="X217">
        <f t="shared" si="169"/>
        <v>0</v>
      </c>
      <c r="Y217">
        <f t="shared" si="170"/>
        <v>0</v>
      </c>
      <c r="Z217">
        <f t="shared" si="171"/>
        <v>0</v>
      </c>
      <c r="AA217">
        <f t="shared" si="172"/>
        <v>0</v>
      </c>
      <c r="AB217">
        <f t="shared" si="173"/>
        <v>0</v>
      </c>
      <c r="AC217">
        <f t="shared" si="174"/>
        <v>0</v>
      </c>
      <c r="AD217">
        <f t="shared" si="175"/>
        <v>0</v>
      </c>
      <c r="AE217">
        <f t="shared" si="176"/>
        <v>0</v>
      </c>
      <c r="AF217">
        <f t="shared" si="177"/>
        <v>0</v>
      </c>
      <c r="AG217">
        <f t="shared" si="178"/>
        <v>0</v>
      </c>
      <c r="AH217">
        <f t="shared" si="179"/>
        <v>0</v>
      </c>
      <c r="AI217">
        <f t="shared" si="180"/>
        <v>0</v>
      </c>
      <c r="AJ217">
        <f t="shared" si="181"/>
        <v>0</v>
      </c>
      <c r="AK217">
        <f t="shared" si="182"/>
        <v>0</v>
      </c>
      <c r="AL217">
        <f t="shared" si="183"/>
        <v>0</v>
      </c>
      <c r="AM217">
        <f t="shared" si="184"/>
        <v>0</v>
      </c>
      <c r="AN217">
        <f t="shared" si="185"/>
        <v>0</v>
      </c>
      <c r="AO217">
        <f t="shared" si="186"/>
        <v>0</v>
      </c>
      <c r="AP217">
        <f t="shared" si="187"/>
        <v>0</v>
      </c>
      <c r="AQ217">
        <f t="shared" si="188"/>
        <v>0</v>
      </c>
      <c r="AR217">
        <f t="shared" si="189"/>
        <v>0</v>
      </c>
      <c r="AS217">
        <f t="shared" si="190"/>
        <v>0</v>
      </c>
      <c r="AT217">
        <f t="shared" si="191"/>
        <v>0</v>
      </c>
      <c r="AU217">
        <f t="shared" si="192"/>
        <v>0</v>
      </c>
      <c r="AV217">
        <f t="shared" si="193"/>
        <v>0</v>
      </c>
      <c r="AW217">
        <f t="shared" si="147"/>
        <v>0</v>
      </c>
      <c r="AX217">
        <f t="shared" si="194"/>
        <v>0</v>
      </c>
      <c r="AY217">
        <f t="shared" si="195"/>
        <v>0</v>
      </c>
    </row>
    <row r="218" spans="1:51" x14ac:dyDescent="0.35">
      <c r="A218">
        <v>212</v>
      </c>
      <c r="C218">
        <f t="shared" si="148"/>
        <v>0</v>
      </c>
      <c r="D218">
        <f t="shared" si="149"/>
        <v>0</v>
      </c>
      <c r="E218">
        <f t="shared" si="150"/>
        <v>0</v>
      </c>
      <c r="F218">
        <f t="shared" si="151"/>
        <v>0</v>
      </c>
      <c r="G218">
        <f t="shared" si="152"/>
        <v>0</v>
      </c>
      <c r="H218">
        <f t="shared" si="153"/>
        <v>0</v>
      </c>
      <c r="I218">
        <f t="shared" si="154"/>
        <v>0</v>
      </c>
      <c r="J218">
        <f t="shared" si="155"/>
        <v>0</v>
      </c>
      <c r="K218">
        <f t="shared" si="156"/>
        <v>0</v>
      </c>
      <c r="L218">
        <f t="shared" si="157"/>
        <v>0</v>
      </c>
      <c r="M218">
        <f t="shared" si="158"/>
        <v>0</v>
      </c>
      <c r="N218">
        <f t="shared" si="159"/>
        <v>0</v>
      </c>
      <c r="O218">
        <f t="shared" si="160"/>
        <v>0</v>
      </c>
      <c r="P218">
        <f t="shared" si="161"/>
        <v>0</v>
      </c>
      <c r="Q218">
        <f t="shared" si="162"/>
        <v>0</v>
      </c>
      <c r="R218">
        <f t="shared" si="163"/>
        <v>0</v>
      </c>
      <c r="S218">
        <f t="shared" si="164"/>
        <v>0</v>
      </c>
      <c r="T218">
        <f t="shared" si="165"/>
        <v>0</v>
      </c>
      <c r="U218">
        <f t="shared" si="166"/>
        <v>0</v>
      </c>
      <c r="V218">
        <f t="shared" si="167"/>
        <v>0</v>
      </c>
      <c r="W218">
        <f t="shared" si="168"/>
        <v>0</v>
      </c>
      <c r="X218">
        <f t="shared" si="169"/>
        <v>0</v>
      </c>
      <c r="Y218">
        <f t="shared" si="170"/>
        <v>0</v>
      </c>
      <c r="Z218">
        <f t="shared" si="171"/>
        <v>0</v>
      </c>
      <c r="AA218">
        <f t="shared" si="172"/>
        <v>0</v>
      </c>
      <c r="AB218">
        <f t="shared" si="173"/>
        <v>0</v>
      </c>
      <c r="AC218">
        <f t="shared" si="174"/>
        <v>0</v>
      </c>
      <c r="AD218">
        <f t="shared" si="175"/>
        <v>0</v>
      </c>
      <c r="AE218">
        <f t="shared" si="176"/>
        <v>0</v>
      </c>
      <c r="AF218">
        <f t="shared" si="177"/>
        <v>0</v>
      </c>
      <c r="AG218">
        <f t="shared" si="178"/>
        <v>0</v>
      </c>
      <c r="AH218">
        <f t="shared" si="179"/>
        <v>0</v>
      </c>
      <c r="AI218">
        <f t="shared" si="180"/>
        <v>0</v>
      </c>
      <c r="AJ218">
        <f t="shared" si="181"/>
        <v>0</v>
      </c>
      <c r="AK218">
        <f t="shared" si="182"/>
        <v>0</v>
      </c>
      <c r="AL218">
        <f t="shared" si="183"/>
        <v>0</v>
      </c>
      <c r="AM218">
        <f t="shared" si="184"/>
        <v>0</v>
      </c>
      <c r="AN218">
        <f t="shared" si="185"/>
        <v>0</v>
      </c>
      <c r="AO218">
        <f t="shared" si="186"/>
        <v>0</v>
      </c>
      <c r="AP218">
        <f t="shared" si="187"/>
        <v>0</v>
      </c>
      <c r="AQ218">
        <f t="shared" si="188"/>
        <v>0</v>
      </c>
      <c r="AR218">
        <f t="shared" si="189"/>
        <v>0</v>
      </c>
      <c r="AS218">
        <f t="shared" si="190"/>
        <v>0</v>
      </c>
      <c r="AT218">
        <f t="shared" si="191"/>
        <v>0</v>
      </c>
      <c r="AU218">
        <f t="shared" si="192"/>
        <v>0</v>
      </c>
      <c r="AV218">
        <f t="shared" si="193"/>
        <v>0</v>
      </c>
      <c r="AW218">
        <f t="shared" si="147"/>
        <v>0</v>
      </c>
      <c r="AX218">
        <f t="shared" si="194"/>
        <v>0</v>
      </c>
      <c r="AY218">
        <f t="shared" si="195"/>
        <v>0</v>
      </c>
    </row>
    <row r="219" spans="1:51" x14ac:dyDescent="0.35">
      <c r="A219">
        <v>213</v>
      </c>
      <c r="C219">
        <f t="shared" si="148"/>
        <v>0</v>
      </c>
      <c r="D219">
        <f t="shared" si="149"/>
        <v>0</v>
      </c>
      <c r="E219">
        <f t="shared" si="150"/>
        <v>0</v>
      </c>
      <c r="F219">
        <f t="shared" si="151"/>
        <v>0</v>
      </c>
      <c r="G219">
        <f t="shared" si="152"/>
        <v>0</v>
      </c>
      <c r="H219">
        <f t="shared" si="153"/>
        <v>0</v>
      </c>
      <c r="I219">
        <f t="shared" si="154"/>
        <v>0</v>
      </c>
      <c r="J219">
        <f t="shared" si="155"/>
        <v>0</v>
      </c>
      <c r="K219">
        <f t="shared" si="156"/>
        <v>0</v>
      </c>
      <c r="L219">
        <f t="shared" si="157"/>
        <v>0</v>
      </c>
      <c r="M219">
        <f t="shared" si="158"/>
        <v>0</v>
      </c>
      <c r="N219">
        <f t="shared" si="159"/>
        <v>0</v>
      </c>
      <c r="O219">
        <f t="shared" si="160"/>
        <v>0</v>
      </c>
      <c r="P219">
        <f t="shared" si="161"/>
        <v>0</v>
      </c>
      <c r="Q219">
        <f t="shared" si="162"/>
        <v>0</v>
      </c>
      <c r="R219">
        <f t="shared" si="163"/>
        <v>0</v>
      </c>
      <c r="S219">
        <f t="shared" si="164"/>
        <v>0</v>
      </c>
      <c r="T219">
        <f t="shared" si="165"/>
        <v>0</v>
      </c>
      <c r="U219">
        <f t="shared" si="166"/>
        <v>0</v>
      </c>
      <c r="V219">
        <f t="shared" si="167"/>
        <v>0</v>
      </c>
      <c r="W219">
        <f t="shared" si="168"/>
        <v>0</v>
      </c>
      <c r="X219">
        <f t="shared" si="169"/>
        <v>0</v>
      </c>
      <c r="Y219">
        <f t="shared" si="170"/>
        <v>0</v>
      </c>
      <c r="Z219">
        <f t="shared" si="171"/>
        <v>0</v>
      </c>
      <c r="AA219">
        <f t="shared" si="172"/>
        <v>0</v>
      </c>
      <c r="AB219">
        <f t="shared" si="173"/>
        <v>0</v>
      </c>
      <c r="AC219">
        <f t="shared" si="174"/>
        <v>0</v>
      </c>
      <c r="AD219">
        <f t="shared" si="175"/>
        <v>0</v>
      </c>
      <c r="AE219">
        <f t="shared" si="176"/>
        <v>0</v>
      </c>
      <c r="AF219">
        <f t="shared" si="177"/>
        <v>0</v>
      </c>
      <c r="AG219">
        <f t="shared" si="178"/>
        <v>0</v>
      </c>
      <c r="AH219">
        <f t="shared" si="179"/>
        <v>0</v>
      </c>
      <c r="AI219">
        <f t="shared" si="180"/>
        <v>0</v>
      </c>
      <c r="AJ219">
        <f t="shared" si="181"/>
        <v>0</v>
      </c>
      <c r="AK219">
        <f t="shared" si="182"/>
        <v>0</v>
      </c>
      <c r="AL219">
        <f t="shared" si="183"/>
        <v>0</v>
      </c>
      <c r="AM219">
        <f t="shared" si="184"/>
        <v>0</v>
      </c>
      <c r="AN219">
        <f t="shared" si="185"/>
        <v>0</v>
      </c>
      <c r="AO219">
        <f t="shared" si="186"/>
        <v>0</v>
      </c>
      <c r="AP219">
        <f t="shared" si="187"/>
        <v>0</v>
      </c>
      <c r="AQ219">
        <f t="shared" si="188"/>
        <v>0</v>
      </c>
      <c r="AR219">
        <f t="shared" si="189"/>
        <v>0</v>
      </c>
      <c r="AS219">
        <f t="shared" si="190"/>
        <v>0</v>
      </c>
      <c r="AT219">
        <f t="shared" si="191"/>
        <v>0</v>
      </c>
      <c r="AU219">
        <f t="shared" si="192"/>
        <v>0</v>
      </c>
      <c r="AV219">
        <f t="shared" si="193"/>
        <v>0</v>
      </c>
      <c r="AW219">
        <f t="shared" si="147"/>
        <v>0</v>
      </c>
      <c r="AX219">
        <f t="shared" si="194"/>
        <v>0</v>
      </c>
      <c r="AY219">
        <f t="shared" si="195"/>
        <v>0</v>
      </c>
    </row>
    <row r="220" spans="1:51" x14ac:dyDescent="0.35">
      <c r="A220">
        <v>214</v>
      </c>
      <c r="C220">
        <f t="shared" si="148"/>
        <v>0</v>
      </c>
      <c r="D220">
        <f t="shared" si="149"/>
        <v>0</v>
      </c>
      <c r="E220">
        <f t="shared" si="150"/>
        <v>0</v>
      </c>
      <c r="F220">
        <f t="shared" si="151"/>
        <v>0</v>
      </c>
      <c r="G220">
        <f t="shared" si="152"/>
        <v>0</v>
      </c>
      <c r="H220">
        <f t="shared" si="153"/>
        <v>0</v>
      </c>
      <c r="I220">
        <f t="shared" si="154"/>
        <v>0</v>
      </c>
      <c r="J220">
        <f t="shared" si="155"/>
        <v>0</v>
      </c>
      <c r="K220">
        <f t="shared" si="156"/>
        <v>0</v>
      </c>
      <c r="L220">
        <f t="shared" si="157"/>
        <v>0</v>
      </c>
      <c r="M220">
        <f t="shared" si="158"/>
        <v>0</v>
      </c>
      <c r="N220">
        <f t="shared" si="159"/>
        <v>0</v>
      </c>
      <c r="O220">
        <f t="shared" si="160"/>
        <v>0</v>
      </c>
      <c r="P220">
        <f t="shared" si="161"/>
        <v>0</v>
      </c>
      <c r="Q220">
        <f t="shared" si="162"/>
        <v>0</v>
      </c>
      <c r="R220">
        <f t="shared" si="163"/>
        <v>0</v>
      </c>
      <c r="S220">
        <f t="shared" si="164"/>
        <v>0</v>
      </c>
      <c r="T220">
        <f t="shared" si="165"/>
        <v>0</v>
      </c>
      <c r="U220">
        <f t="shared" si="166"/>
        <v>0</v>
      </c>
      <c r="V220">
        <f t="shared" si="167"/>
        <v>0</v>
      </c>
      <c r="W220">
        <f t="shared" si="168"/>
        <v>0</v>
      </c>
      <c r="X220">
        <f t="shared" si="169"/>
        <v>0</v>
      </c>
      <c r="Y220">
        <f t="shared" si="170"/>
        <v>0</v>
      </c>
      <c r="Z220">
        <f t="shared" si="171"/>
        <v>0</v>
      </c>
      <c r="AA220">
        <f t="shared" si="172"/>
        <v>0</v>
      </c>
      <c r="AB220">
        <f t="shared" si="173"/>
        <v>0</v>
      </c>
      <c r="AC220">
        <f t="shared" si="174"/>
        <v>0</v>
      </c>
      <c r="AD220">
        <f t="shared" si="175"/>
        <v>0</v>
      </c>
      <c r="AE220">
        <f t="shared" si="176"/>
        <v>0</v>
      </c>
      <c r="AF220">
        <f t="shared" si="177"/>
        <v>0</v>
      </c>
      <c r="AG220">
        <f t="shared" si="178"/>
        <v>0</v>
      </c>
      <c r="AH220">
        <f t="shared" si="179"/>
        <v>0</v>
      </c>
      <c r="AI220">
        <f t="shared" si="180"/>
        <v>0</v>
      </c>
      <c r="AJ220">
        <f t="shared" si="181"/>
        <v>0</v>
      </c>
      <c r="AK220">
        <f t="shared" si="182"/>
        <v>0</v>
      </c>
      <c r="AL220">
        <f t="shared" si="183"/>
        <v>0</v>
      </c>
      <c r="AM220">
        <f t="shared" si="184"/>
        <v>0</v>
      </c>
      <c r="AN220">
        <f t="shared" si="185"/>
        <v>0</v>
      </c>
      <c r="AO220">
        <f t="shared" si="186"/>
        <v>0</v>
      </c>
      <c r="AP220">
        <f t="shared" si="187"/>
        <v>0</v>
      </c>
      <c r="AQ220">
        <f t="shared" si="188"/>
        <v>0</v>
      </c>
      <c r="AR220">
        <f t="shared" si="189"/>
        <v>0</v>
      </c>
      <c r="AS220">
        <f t="shared" si="190"/>
        <v>0</v>
      </c>
      <c r="AT220">
        <f t="shared" si="191"/>
        <v>0</v>
      </c>
      <c r="AU220">
        <f t="shared" si="192"/>
        <v>0</v>
      </c>
      <c r="AV220">
        <f t="shared" si="193"/>
        <v>0</v>
      </c>
      <c r="AW220">
        <f t="shared" si="147"/>
        <v>0</v>
      </c>
      <c r="AX220">
        <f t="shared" si="194"/>
        <v>0</v>
      </c>
      <c r="AY220">
        <f t="shared" si="195"/>
        <v>0</v>
      </c>
    </row>
    <row r="221" spans="1:51" x14ac:dyDescent="0.35">
      <c r="A221">
        <v>215</v>
      </c>
      <c r="C221">
        <f t="shared" si="148"/>
        <v>0</v>
      </c>
      <c r="D221">
        <f t="shared" si="149"/>
        <v>0</v>
      </c>
      <c r="E221">
        <f t="shared" si="150"/>
        <v>0</v>
      </c>
      <c r="F221">
        <f t="shared" si="151"/>
        <v>0</v>
      </c>
      <c r="G221">
        <f t="shared" si="152"/>
        <v>0</v>
      </c>
      <c r="H221">
        <f t="shared" si="153"/>
        <v>0</v>
      </c>
      <c r="I221">
        <f t="shared" si="154"/>
        <v>0</v>
      </c>
      <c r="J221">
        <f t="shared" si="155"/>
        <v>0</v>
      </c>
      <c r="K221">
        <f t="shared" si="156"/>
        <v>0</v>
      </c>
      <c r="L221">
        <f t="shared" si="157"/>
        <v>0</v>
      </c>
      <c r="M221">
        <f t="shared" si="158"/>
        <v>0</v>
      </c>
      <c r="N221">
        <f t="shared" si="159"/>
        <v>0</v>
      </c>
      <c r="O221">
        <f t="shared" si="160"/>
        <v>0</v>
      </c>
      <c r="P221">
        <f t="shared" si="161"/>
        <v>0</v>
      </c>
      <c r="Q221">
        <f t="shared" si="162"/>
        <v>0</v>
      </c>
      <c r="R221">
        <f t="shared" si="163"/>
        <v>0</v>
      </c>
      <c r="S221">
        <f t="shared" si="164"/>
        <v>0</v>
      </c>
      <c r="T221">
        <f t="shared" si="165"/>
        <v>0</v>
      </c>
      <c r="U221">
        <f t="shared" si="166"/>
        <v>0</v>
      </c>
      <c r="V221">
        <f t="shared" si="167"/>
        <v>0</v>
      </c>
      <c r="W221">
        <f t="shared" si="168"/>
        <v>0</v>
      </c>
      <c r="X221">
        <f t="shared" si="169"/>
        <v>0</v>
      </c>
      <c r="Y221">
        <f t="shared" si="170"/>
        <v>0</v>
      </c>
      <c r="Z221">
        <f t="shared" si="171"/>
        <v>0</v>
      </c>
      <c r="AA221">
        <f t="shared" si="172"/>
        <v>0</v>
      </c>
      <c r="AB221">
        <f t="shared" si="173"/>
        <v>0</v>
      </c>
      <c r="AC221">
        <f t="shared" si="174"/>
        <v>0</v>
      </c>
      <c r="AD221">
        <f t="shared" si="175"/>
        <v>0</v>
      </c>
      <c r="AE221">
        <f t="shared" si="176"/>
        <v>0</v>
      </c>
      <c r="AF221">
        <f t="shared" si="177"/>
        <v>0</v>
      </c>
      <c r="AG221">
        <f t="shared" si="178"/>
        <v>0</v>
      </c>
      <c r="AH221">
        <f t="shared" si="179"/>
        <v>0</v>
      </c>
      <c r="AI221">
        <f t="shared" si="180"/>
        <v>0</v>
      </c>
      <c r="AJ221">
        <f t="shared" si="181"/>
        <v>0</v>
      </c>
      <c r="AK221">
        <f t="shared" si="182"/>
        <v>0</v>
      </c>
      <c r="AL221">
        <f t="shared" si="183"/>
        <v>0</v>
      </c>
      <c r="AM221">
        <f t="shared" si="184"/>
        <v>0</v>
      </c>
      <c r="AN221">
        <f t="shared" si="185"/>
        <v>0</v>
      </c>
      <c r="AO221">
        <f t="shared" si="186"/>
        <v>0</v>
      </c>
      <c r="AP221">
        <f t="shared" si="187"/>
        <v>0</v>
      </c>
      <c r="AQ221">
        <f t="shared" si="188"/>
        <v>0</v>
      </c>
      <c r="AR221">
        <f t="shared" si="189"/>
        <v>0</v>
      </c>
      <c r="AS221">
        <f t="shared" si="190"/>
        <v>0</v>
      </c>
      <c r="AT221">
        <f t="shared" si="191"/>
        <v>0</v>
      </c>
      <c r="AU221">
        <f t="shared" si="192"/>
        <v>0</v>
      </c>
      <c r="AV221">
        <f t="shared" si="193"/>
        <v>0</v>
      </c>
      <c r="AW221">
        <f t="shared" si="147"/>
        <v>0</v>
      </c>
      <c r="AX221">
        <f t="shared" si="194"/>
        <v>0</v>
      </c>
      <c r="AY221">
        <f t="shared" si="195"/>
        <v>0</v>
      </c>
    </row>
    <row r="222" spans="1:51" x14ac:dyDescent="0.35">
      <c r="A222">
        <v>216</v>
      </c>
      <c r="C222">
        <f t="shared" si="148"/>
        <v>0</v>
      </c>
      <c r="D222">
        <f t="shared" si="149"/>
        <v>0</v>
      </c>
      <c r="E222">
        <f t="shared" si="150"/>
        <v>0</v>
      </c>
      <c r="F222">
        <f t="shared" si="151"/>
        <v>0</v>
      </c>
      <c r="G222">
        <f t="shared" si="152"/>
        <v>0</v>
      </c>
      <c r="H222">
        <f t="shared" si="153"/>
        <v>0</v>
      </c>
      <c r="I222">
        <f t="shared" si="154"/>
        <v>0</v>
      </c>
      <c r="J222">
        <f t="shared" si="155"/>
        <v>0</v>
      </c>
      <c r="K222">
        <f t="shared" si="156"/>
        <v>0</v>
      </c>
      <c r="L222">
        <f t="shared" si="157"/>
        <v>0</v>
      </c>
      <c r="M222">
        <f t="shared" si="158"/>
        <v>0</v>
      </c>
      <c r="N222">
        <f t="shared" si="159"/>
        <v>0</v>
      </c>
      <c r="O222">
        <f t="shared" si="160"/>
        <v>0</v>
      </c>
      <c r="P222">
        <f t="shared" si="161"/>
        <v>0</v>
      </c>
      <c r="Q222">
        <f t="shared" si="162"/>
        <v>0</v>
      </c>
      <c r="R222">
        <f t="shared" si="163"/>
        <v>0</v>
      </c>
      <c r="S222">
        <f t="shared" si="164"/>
        <v>0</v>
      </c>
      <c r="T222">
        <f t="shared" si="165"/>
        <v>0</v>
      </c>
      <c r="U222">
        <f t="shared" si="166"/>
        <v>0</v>
      </c>
      <c r="V222">
        <f t="shared" si="167"/>
        <v>0</v>
      </c>
      <c r="W222">
        <f t="shared" si="168"/>
        <v>0</v>
      </c>
      <c r="X222">
        <f t="shared" si="169"/>
        <v>0</v>
      </c>
      <c r="Y222">
        <f t="shared" si="170"/>
        <v>0</v>
      </c>
      <c r="Z222">
        <f t="shared" si="171"/>
        <v>0</v>
      </c>
      <c r="AA222">
        <f t="shared" si="172"/>
        <v>0</v>
      </c>
      <c r="AB222">
        <f t="shared" si="173"/>
        <v>0</v>
      </c>
      <c r="AC222">
        <f t="shared" si="174"/>
        <v>0</v>
      </c>
      <c r="AD222">
        <f t="shared" si="175"/>
        <v>0</v>
      </c>
      <c r="AE222">
        <f t="shared" si="176"/>
        <v>0</v>
      </c>
      <c r="AF222">
        <f t="shared" si="177"/>
        <v>0</v>
      </c>
      <c r="AG222">
        <f t="shared" si="178"/>
        <v>0</v>
      </c>
      <c r="AH222">
        <f t="shared" si="179"/>
        <v>0</v>
      </c>
      <c r="AI222">
        <f t="shared" si="180"/>
        <v>0</v>
      </c>
      <c r="AJ222">
        <f t="shared" si="181"/>
        <v>0</v>
      </c>
      <c r="AK222">
        <f t="shared" si="182"/>
        <v>0</v>
      </c>
      <c r="AL222">
        <f t="shared" si="183"/>
        <v>0</v>
      </c>
      <c r="AM222">
        <f t="shared" si="184"/>
        <v>0</v>
      </c>
      <c r="AN222">
        <f t="shared" si="185"/>
        <v>0</v>
      </c>
      <c r="AO222">
        <f t="shared" si="186"/>
        <v>0</v>
      </c>
      <c r="AP222">
        <f t="shared" si="187"/>
        <v>0</v>
      </c>
      <c r="AQ222">
        <f t="shared" si="188"/>
        <v>0</v>
      </c>
      <c r="AR222">
        <f t="shared" si="189"/>
        <v>0</v>
      </c>
      <c r="AS222">
        <f t="shared" si="190"/>
        <v>0</v>
      </c>
      <c r="AT222">
        <f t="shared" si="191"/>
        <v>0</v>
      </c>
      <c r="AU222">
        <f t="shared" si="192"/>
        <v>0</v>
      </c>
      <c r="AV222">
        <f t="shared" si="193"/>
        <v>0</v>
      </c>
      <c r="AW222">
        <f t="shared" si="147"/>
        <v>0</v>
      </c>
      <c r="AX222">
        <f t="shared" si="194"/>
        <v>0</v>
      </c>
      <c r="AY222">
        <f t="shared" si="195"/>
        <v>0</v>
      </c>
    </row>
    <row r="223" spans="1:51" x14ac:dyDescent="0.35">
      <c r="A223">
        <v>217</v>
      </c>
      <c r="C223">
        <f t="shared" si="148"/>
        <v>0</v>
      </c>
      <c r="D223">
        <f t="shared" si="149"/>
        <v>0</v>
      </c>
      <c r="E223">
        <f t="shared" si="150"/>
        <v>0</v>
      </c>
      <c r="F223">
        <f t="shared" si="151"/>
        <v>0</v>
      </c>
      <c r="G223">
        <f t="shared" si="152"/>
        <v>0</v>
      </c>
      <c r="H223">
        <f t="shared" si="153"/>
        <v>0</v>
      </c>
      <c r="I223">
        <f t="shared" si="154"/>
        <v>0</v>
      </c>
      <c r="J223">
        <f t="shared" si="155"/>
        <v>0</v>
      </c>
      <c r="K223">
        <f t="shared" si="156"/>
        <v>0</v>
      </c>
      <c r="L223">
        <f t="shared" si="157"/>
        <v>0</v>
      </c>
      <c r="M223">
        <f t="shared" si="158"/>
        <v>0</v>
      </c>
      <c r="N223">
        <f t="shared" si="159"/>
        <v>0</v>
      </c>
      <c r="O223">
        <f t="shared" si="160"/>
        <v>0</v>
      </c>
      <c r="P223">
        <f t="shared" si="161"/>
        <v>0</v>
      </c>
      <c r="Q223">
        <f t="shared" si="162"/>
        <v>0</v>
      </c>
      <c r="R223">
        <f t="shared" si="163"/>
        <v>0</v>
      </c>
      <c r="S223">
        <f t="shared" si="164"/>
        <v>0</v>
      </c>
      <c r="T223">
        <f t="shared" si="165"/>
        <v>0</v>
      </c>
      <c r="U223">
        <f t="shared" si="166"/>
        <v>0</v>
      </c>
      <c r="V223">
        <f t="shared" si="167"/>
        <v>0</v>
      </c>
      <c r="W223">
        <f t="shared" si="168"/>
        <v>0</v>
      </c>
      <c r="X223">
        <f t="shared" si="169"/>
        <v>0</v>
      </c>
      <c r="Y223">
        <f t="shared" si="170"/>
        <v>0</v>
      </c>
      <c r="Z223">
        <f t="shared" si="171"/>
        <v>0</v>
      </c>
      <c r="AA223">
        <f t="shared" si="172"/>
        <v>0</v>
      </c>
      <c r="AB223">
        <f t="shared" si="173"/>
        <v>0</v>
      </c>
      <c r="AC223">
        <f t="shared" si="174"/>
        <v>0</v>
      </c>
      <c r="AD223">
        <f t="shared" si="175"/>
        <v>0</v>
      </c>
      <c r="AE223">
        <f t="shared" si="176"/>
        <v>0</v>
      </c>
      <c r="AF223">
        <f t="shared" si="177"/>
        <v>0</v>
      </c>
      <c r="AG223">
        <f t="shared" si="178"/>
        <v>0</v>
      </c>
      <c r="AH223">
        <f t="shared" si="179"/>
        <v>0</v>
      </c>
      <c r="AI223">
        <f t="shared" si="180"/>
        <v>0</v>
      </c>
      <c r="AJ223">
        <f t="shared" si="181"/>
        <v>0</v>
      </c>
      <c r="AK223">
        <f t="shared" si="182"/>
        <v>0</v>
      </c>
      <c r="AL223">
        <f t="shared" si="183"/>
        <v>0</v>
      </c>
      <c r="AM223">
        <f t="shared" si="184"/>
        <v>0</v>
      </c>
      <c r="AN223">
        <f t="shared" si="185"/>
        <v>0</v>
      </c>
      <c r="AO223">
        <f t="shared" si="186"/>
        <v>0</v>
      </c>
      <c r="AP223">
        <f t="shared" si="187"/>
        <v>0</v>
      </c>
      <c r="AQ223">
        <f t="shared" si="188"/>
        <v>0</v>
      </c>
      <c r="AR223">
        <f t="shared" si="189"/>
        <v>0</v>
      </c>
      <c r="AS223">
        <f t="shared" si="190"/>
        <v>0</v>
      </c>
      <c r="AT223">
        <f t="shared" si="191"/>
        <v>0</v>
      </c>
      <c r="AU223">
        <f t="shared" si="192"/>
        <v>0</v>
      </c>
      <c r="AV223">
        <f t="shared" si="193"/>
        <v>0</v>
      </c>
      <c r="AW223">
        <f t="shared" si="147"/>
        <v>0</v>
      </c>
      <c r="AX223">
        <f t="shared" si="194"/>
        <v>0</v>
      </c>
      <c r="AY223">
        <f t="shared" si="195"/>
        <v>0</v>
      </c>
    </row>
    <row r="224" spans="1:51" x14ac:dyDescent="0.35">
      <c r="A224">
        <v>218</v>
      </c>
      <c r="C224">
        <f t="shared" si="148"/>
        <v>0</v>
      </c>
      <c r="D224">
        <f t="shared" si="149"/>
        <v>0</v>
      </c>
      <c r="E224">
        <f t="shared" si="150"/>
        <v>0</v>
      </c>
      <c r="F224">
        <f t="shared" si="151"/>
        <v>0</v>
      </c>
      <c r="G224">
        <f t="shared" si="152"/>
        <v>0</v>
      </c>
      <c r="H224">
        <f t="shared" si="153"/>
        <v>0</v>
      </c>
      <c r="I224">
        <f t="shared" si="154"/>
        <v>0</v>
      </c>
      <c r="J224">
        <f t="shared" si="155"/>
        <v>0</v>
      </c>
      <c r="K224">
        <f t="shared" si="156"/>
        <v>0</v>
      </c>
      <c r="L224">
        <f t="shared" si="157"/>
        <v>0</v>
      </c>
      <c r="M224">
        <f t="shared" si="158"/>
        <v>0</v>
      </c>
      <c r="N224">
        <f t="shared" si="159"/>
        <v>0</v>
      </c>
      <c r="O224">
        <f t="shared" si="160"/>
        <v>0</v>
      </c>
      <c r="P224">
        <f t="shared" si="161"/>
        <v>0</v>
      </c>
      <c r="Q224">
        <f t="shared" si="162"/>
        <v>0</v>
      </c>
      <c r="R224">
        <f t="shared" si="163"/>
        <v>0</v>
      </c>
      <c r="S224">
        <f t="shared" si="164"/>
        <v>0</v>
      </c>
      <c r="T224">
        <f t="shared" si="165"/>
        <v>0</v>
      </c>
      <c r="U224">
        <f t="shared" si="166"/>
        <v>0</v>
      </c>
      <c r="V224">
        <f t="shared" si="167"/>
        <v>0</v>
      </c>
      <c r="W224">
        <f t="shared" si="168"/>
        <v>0</v>
      </c>
      <c r="X224">
        <f t="shared" si="169"/>
        <v>0</v>
      </c>
      <c r="Y224">
        <f t="shared" si="170"/>
        <v>0</v>
      </c>
      <c r="Z224">
        <f t="shared" si="171"/>
        <v>0</v>
      </c>
      <c r="AA224">
        <f t="shared" si="172"/>
        <v>0</v>
      </c>
      <c r="AB224">
        <f t="shared" si="173"/>
        <v>0</v>
      </c>
      <c r="AC224">
        <f t="shared" si="174"/>
        <v>0</v>
      </c>
      <c r="AD224">
        <f t="shared" si="175"/>
        <v>0</v>
      </c>
      <c r="AE224">
        <f t="shared" si="176"/>
        <v>0</v>
      </c>
      <c r="AF224">
        <f t="shared" si="177"/>
        <v>0</v>
      </c>
      <c r="AG224">
        <f t="shared" si="178"/>
        <v>0</v>
      </c>
      <c r="AH224">
        <f t="shared" si="179"/>
        <v>0</v>
      </c>
      <c r="AI224">
        <f t="shared" si="180"/>
        <v>0</v>
      </c>
      <c r="AJ224">
        <f t="shared" si="181"/>
        <v>0</v>
      </c>
      <c r="AK224">
        <f t="shared" si="182"/>
        <v>0</v>
      </c>
      <c r="AL224">
        <f t="shared" si="183"/>
        <v>0</v>
      </c>
      <c r="AM224">
        <f t="shared" si="184"/>
        <v>0</v>
      </c>
      <c r="AN224">
        <f t="shared" si="185"/>
        <v>0</v>
      </c>
      <c r="AO224">
        <f t="shared" si="186"/>
        <v>0</v>
      </c>
      <c r="AP224">
        <f t="shared" si="187"/>
        <v>0</v>
      </c>
      <c r="AQ224">
        <f t="shared" si="188"/>
        <v>0</v>
      </c>
      <c r="AR224">
        <f t="shared" si="189"/>
        <v>0</v>
      </c>
      <c r="AS224">
        <f t="shared" si="190"/>
        <v>0</v>
      </c>
      <c r="AT224">
        <f t="shared" si="191"/>
        <v>0</v>
      </c>
      <c r="AU224">
        <f t="shared" si="192"/>
        <v>0</v>
      </c>
      <c r="AV224">
        <f t="shared" si="193"/>
        <v>0</v>
      </c>
      <c r="AW224">
        <f t="shared" si="147"/>
        <v>0</v>
      </c>
      <c r="AX224">
        <f t="shared" si="194"/>
        <v>0</v>
      </c>
      <c r="AY224">
        <f t="shared" si="195"/>
        <v>0</v>
      </c>
    </row>
    <row r="225" spans="1:51" x14ac:dyDescent="0.35">
      <c r="A225">
        <v>219</v>
      </c>
      <c r="C225">
        <f t="shared" si="148"/>
        <v>0</v>
      </c>
      <c r="D225">
        <f t="shared" si="149"/>
        <v>0</v>
      </c>
      <c r="E225">
        <f t="shared" si="150"/>
        <v>0</v>
      </c>
      <c r="F225">
        <f t="shared" si="151"/>
        <v>0</v>
      </c>
      <c r="G225">
        <f t="shared" si="152"/>
        <v>0</v>
      </c>
      <c r="H225">
        <f t="shared" si="153"/>
        <v>0</v>
      </c>
      <c r="I225">
        <f t="shared" si="154"/>
        <v>0</v>
      </c>
      <c r="J225">
        <f t="shared" si="155"/>
        <v>0</v>
      </c>
      <c r="K225">
        <f t="shared" si="156"/>
        <v>0</v>
      </c>
      <c r="L225">
        <f t="shared" si="157"/>
        <v>0</v>
      </c>
      <c r="M225">
        <f t="shared" si="158"/>
        <v>0</v>
      </c>
      <c r="N225">
        <f t="shared" si="159"/>
        <v>0</v>
      </c>
      <c r="O225">
        <f t="shared" si="160"/>
        <v>0</v>
      </c>
      <c r="P225">
        <f t="shared" si="161"/>
        <v>0</v>
      </c>
      <c r="Q225">
        <f t="shared" si="162"/>
        <v>0</v>
      </c>
      <c r="R225">
        <f t="shared" si="163"/>
        <v>0</v>
      </c>
      <c r="S225">
        <f t="shared" si="164"/>
        <v>0</v>
      </c>
      <c r="T225">
        <f t="shared" si="165"/>
        <v>0</v>
      </c>
      <c r="U225">
        <f t="shared" si="166"/>
        <v>0</v>
      </c>
      <c r="V225">
        <f t="shared" si="167"/>
        <v>0</v>
      </c>
      <c r="W225">
        <f t="shared" si="168"/>
        <v>0</v>
      </c>
      <c r="X225">
        <f t="shared" si="169"/>
        <v>0</v>
      </c>
      <c r="Y225">
        <f t="shared" si="170"/>
        <v>0</v>
      </c>
      <c r="Z225">
        <f t="shared" si="171"/>
        <v>0</v>
      </c>
      <c r="AA225">
        <f t="shared" si="172"/>
        <v>0</v>
      </c>
      <c r="AB225">
        <f t="shared" si="173"/>
        <v>0</v>
      </c>
      <c r="AC225">
        <f t="shared" si="174"/>
        <v>0</v>
      </c>
      <c r="AD225">
        <f t="shared" si="175"/>
        <v>0</v>
      </c>
      <c r="AE225">
        <f t="shared" si="176"/>
        <v>0</v>
      </c>
      <c r="AF225">
        <f t="shared" si="177"/>
        <v>0</v>
      </c>
      <c r="AG225">
        <f t="shared" si="178"/>
        <v>0</v>
      </c>
      <c r="AH225">
        <f t="shared" si="179"/>
        <v>0</v>
      </c>
      <c r="AI225">
        <f t="shared" si="180"/>
        <v>0</v>
      </c>
      <c r="AJ225">
        <f t="shared" si="181"/>
        <v>0</v>
      </c>
      <c r="AK225">
        <f t="shared" si="182"/>
        <v>0</v>
      </c>
      <c r="AL225">
        <f t="shared" si="183"/>
        <v>0</v>
      </c>
      <c r="AM225">
        <f t="shared" si="184"/>
        <v>0</v>
      </c>
      <c r="AN225">
        <f t="shared" si="185"/>
        <v>0</v>
      </c>
      <c r="AO225">
        <f t="shared" si="186"/>
        <v>0</v>
      </c>
      <c r="AP225">
        <f t="shared" si="187"/>
        <v>0</v>
      </c>
      <c r="AQ225">
        <f t="shared" si="188"/>
        <v>0</v>
      </c>
      <c r="AR225">
        <f t="shared" si="189"/>
        <v>0</v>
      </c>
      <c r="AS225">
        <f t="shared" si="190"/>
        <v>0</v>
      </c>
      <c r="AT225">
        <f t="shared" si="191"/>
        <v>0</v>
      </c>
      <c r="AU225">
        <f t="shared" si="192"/>
        <v>0</v>
      </c>
      <c r="AV225">
        <f t="shared" si="193"/>
        <v>0</v>
      </c>
      <c r="AW225">
        <f t="shared" si="147"/>
        <v>0</v>
      </c>
      <c r="AX225">
        <f t="shared" si="194"/>
        <v>0</v>
      </c>
      <c r="AY225">
        <f t="shared" si="195"/>
        <v>0</v>
      </c>
    </row>
    <row r="226" spans="1:51" x14ac:dyDescent="0.35">
      <c r="A226">
        <v>220</v>
      </c>
      <c r="C226">
        <f t="shared" si="148"/>
        <v>0</v>
      </c>
      <c r="D226">
        <f t="shared" si="149"/>
        <v>0</v>
      </c>
      <c r="E226">
        <f t="shared" si="150"/>
        <v>0</v>
      </c>
      <c r="F226">
        <f t="shared" si="151"/>
        <v>0</v>
      </c>
      <c r="G226">
        <f t="shared" si="152"/>
        <v>0</v>
      </c>
      <c r="H226">
        <f t="shared" si="153"/>
        <v>0</v>
      </c>
      <c r="I226">
        <f t="shared" si="154"/>
        <v>0</v>
      </c>
      <c r="J226">
        <f t="shared" si="155"/>
        <v>0</v>
      </c>
      <c r="K226">
        <f t="shared" si="156"/>
        <v>0</v>
      </c>
      <c r="L226">
        <f t="shared" si="157"/>
        <v>0</v>
      </c>
      <c r="M226">
        <f t="shared" si="158"/>
        <v>0</v>
      </c>
      <c r="N226">
        <f t="shared" si="159"/>
        <v>0</v>
      </c>
      <c r="O226">
        <f t="shared" si="160"/>
        <v>0</v>
      </c>
      <c r="P226">
        <f t="shared" si="161"/>
        <v>0</v>
      </c>
      <c r="Q226">
        <f t="shared" si="162"/>
        <v>0</v>
      </c>
      <c r="R226">
        <f t="shared" si="163"/>
        <v>0</v>
      </c>
      <c r="S226">
        <f t="shared" si="164"/>
        <v>0</v>
      </c>
      <c r="T226">
        <f t="shared" si="165"/>
        <v>0</v>
      </c>
      <c r="U226">
        <f t="shared" si="166"/>
        <v>0</v>
      </c>
      <c r="V226">
        <f t="shared" si="167"/>
        <v>0</v>
      </c>
      <c r="W226">
        <f t="shared" si="168"/>
        <v>0</v>
      </c>
      <c r="X226">
        <f t="shared" si="169"/>
        <v>0</v>
      </c>
      <c r="Y226">
        <f t="shared" si="170"/>
        <v>0</v>
      </c>
      <c r="Z226">
        <f t="shared" si="171"/>
        <v>0</v>
      </c>
      <c r="AA226">
        <f t="shared" si="172"/>
        <v>0</v>
      </c>
      <c r="AB226">
        <f t="shared" si="173"/>
        <v>0</v>
      </c>
      <c r="AC226">
        <f t="shared" si="174"/>
        <v>0</v>
      </c>
      <c r="AD226">
        <f t="shared" si="175"/>
        <v>0</v>
      </c>
      <c r="AE226">
        <f t="shared" si="176"/>
        <v>0</v>
      </c>
      <c r="AF226">
        <f t="shared" si="177"/>
        <v>0</v>
      </c>
      <c r="AG226">
        <f t="shared" si="178"/>
        <v>0</v>
      </c>
      <c r="AH226">
        <f t="shared" si="179"/>
        <v>0</v>
      </c>
      <c r="AI226">
        <f t="shared" si="180"/>
        <v>0</v>
      </c>
      <c r="AJ226">
        <f t="shared" si="181"/>
        <v>0</v>
      </c>
      <c r="AK226">
        <f t="shared" si="182"/>
        <v>0</v>
      </c>
      <c r="AL226">
        <f t="shared" si="183"/>
        <v>0</v>
      </c>
      <c r="AM226">
        <f t="shared" si="184"/>
        <v>0</v>
      </c>
      <c r="AN226">
        <f t="shared" si="185"/>
        <v>0</v>
      </c>
      <c r="AO226">
        <f t="shared" si="186"/>
        <v>0</v>
      </c>
      <c r="AP226">
        <f t="shared" si="187"/>
        <v>0</v>
      </c>
      <c r="AQ226">
        <f t="shared" si="188"/>
        <v>0</v>
      </c>
      <c r="AR226">
        <f t="shared" si="189"/>
        <v>0</v>
      </c>
      <c r="AS226">
        <f t="shared" si="190"/>
        <v>0</v>
      </c>
      <c r="AT226">
        <f t="shared" si="191"/>
        <v>0</v>
      </c>
      <c r="AU226">
        <f t="shared" si="192"/>
        <v>0</v>
      </c>
      <c r="AV226">
        <f t="shared" si="193"/>
        <v>0</v>
      </c>
      <c r="AW226">
        <f t="shared" si="147"/>
        <v>0</v>
      </c>
      <c r="AX226">
        <f t="shared" si="194"/>
        <v>0</v>
      </c>
      <c r="AY226">
        <f t="shared" si="195"/>
        <v>0</v>
      </c>
    </row>
    <row r="227" spans="1:51" x14ac:dyDescent="0.35">
      <c r="A227">
        <v>221</v>
      </c>
      <c r="C227">
        <f t="shared" si="148"/>
        <v>0</v>
      </c>
      <c r="D227">
        <f t="shared" si="149"/>
        <v>0</v>
      </c>
      <c r="E227">
        <f t="shared" si="150"/>
        <v>0</v>
      </c>
      <c r="F227">
        <f t="shared" si="151"/>
        <v>0</v>
      </c>
      <c r="G227">
        <f t="shared" si="152"/>
        <v>0</v>
      </c>
      <c r="H227">
        <f t="shared" si="153"/>
        <v>0</v>
      </c>
      <c r="I227">
        <f t="shared" si="154"/>
        <v>0</v>
      </c>
      <c r="J227">
        <f t="shared" si="155"/>
        <v>0</v>
      </c>
      <c r="K227">
        <f t="shared" si="156"/>
        <v>0</v>
      </c>
      <c r="L227">
        <f t="shared" si="157"/>
        <v>0</v>
      </c>
      <c r="M227">
        <f t="shared" si="158"/>
        <v>0</v>
      </c>
      <c r="N227">
        <f t="shared" si="159"/>
        <v>0</v>
      </c>
      <c r="O227">
        <f t="shared" si="160"/>
        <v>0</v>
      </c>
      <c r="P227">
        <f t="shared" si="161"/>
        <v>0</v>
      </c>
      <c r="Q227">
        <f t="shared" si="162"/>
        <v>0</v>
      </c>
      <c r="R227">
        <f t="shared" si="163"/>
        <v>0</v>
      </c>
      <c r="S227">
        <f t="shared" si="164"/>
        <v>0</v>
      </c>
      <c r="T227">
        <f t="shared" si="165"/>
        <v>0</v>
      </c>
      <c r="U227">
        <f t="shared" si="166"/>
        <v>0</v>
      </c>
      <c r="V227">
        <f t="shared" si="167"/>
        <v>0</v>
      </c>
      <c r="W227">
        <f t="shared" si="168"/>
        <v>0</v>
      </c>
      <c r="X227">
        <f t="shared" si="169"/>
        <v>0</v>
      </c>
      <c r="Y227">
        <f t="shared" si="170"/>
        <v>0</v>
      </c>
      <c r="Z227">
        <f t="shared" si="171"/>
        <v>0</v>
      </c>
      <c r="AA227">
        <f t="shared" si="172"/>
        <v>0</v>
      </c>
      <c r="AB227">
        <f t="shared" si="173"/>
        <v>0</v>
      </c>
      <c r="AC227">
        <f t="shared" si="174"/>
        <v>0</v>
      </c>
      <c r="AD227">
        <f t="shared" si="175"/>
        <v>0</v>
      </c>
      <c r="AE227">
        <f t="shared" si="176"/>
        <v>0</v>
      </c>
      <c r="AF227">
        <f t="shared" si="177"/>
        <v>0</v>
      </c>
      <c r="AG227">
        <f t="shared" si="178"/>
        <v>0</v>
      </c>
      <c r="AH227">
        <f t="shared" si="179"/>
        <v>0</v>
      </c>
      <c r="AI227">
        <f t="shared" si="180"/>
        <v>0</v>
      </c>
      <c r="AJ227">
        <f t="shared" si="181"/>
        <v>0</v>
      </c>
      <c r="AK227">
        <f t="shared" si="182"/>
        <v>0</v>
      </c>
      <c r="AL227">
        <f t="shared" si="183"/>
        <v>0</v>
      </c>
      <c r="AM227">
        <f t="shared" si="184"/>
        <v>0</v>
      </c>
      <c r="AN227">
        <f t="shared" si="185"/>
        <v>0</v>
      </c>
      <c r="AO227">
        <f t="shared" si="186"/>
        <v>0</v>
      </c>
      <c r="AP227">
        <f t="shared" si="187"/>
        <v>0</v>
      </c>
      <c r="AQ227">
        <f t="shared" si="188"/>
        <v>0</v>
      </c>
      <c r="AR227">
        <f t="shared" si="189"/>
        <v>0</v>
      </c>
      <c r="AS227">
        <f t="shared" si="190"/>
        <v>0</v>
      </c>
      <c r="AT227">
        <f t="shared" si="191"/>
        <v>0</v>
      </c>
      <c r="AU227">
        <f t="shared" si="192"/>
        <v>0</v>
      </c>
      <c r="AV227">
        <f t="shared" si="193"/>
        <v>0</v>
      </c>
      <c r="AW227">
        <f t="shared" si="147"/>
        <v>0</v>
      </c>
      <c r="AX227">
        <f t="shared" si="194"/>
        <v>0</v>
      </c>
      <c r="AY227">
        <f t="shared" si="195"/>
        <v>0</v>
      </c>
    </row>
    <row r="228" spans="1:51" x14ac:dyDescent="0.35">
      <c r="A228">
        <v>222</v>
      </c>
      <c r="C228">
        <f t="shared" si="148"/>
        <v>0</v>
      </c>
      <c r="D228">
        <f t="shared" si="149"/>
        <v>0</v>
      </c>
      <c r="E228">
        <f t="shared" si="150"/>
        <v>0</v>
      </c>
      <c r="F228">
        <f t="shared" si="151"/>
        <v>0</v>
      </c>
      <c r="G228">
        <f t="shared" si="152"/>
        <v>0</v>
      </c>
      <c r="H228">
        <f t="shared" si="153"/>
        <v>0</v>
      </c>
      <c r="I228">
        <f t="shared" si="154"/>
        <v>0</v>
      </c>
      <c r="J228">
        <f t="shared" si="155"/>
        <v>0</v>
      </c>
      <c r="K228">
        <f t="shared" si="156"/>
        <v>0</v>
      </c>
      <c r="L228">
        <f t="shared" si="157"/>
        <v>0</v>
      </c>
      <c r="M228">
        <f t="shared" si="158"/>
        <v>0</v>
      </c>
      <c r="N228">
        <f t="shared" si="159"/>
        <v>0</v>
      </c>
      <c r="O228">
        <f t="shared" si="160"/>
        <v>0</v>
      </c>
      <c r="P228">
        <f t="shared" si="161"/>
        <v>0</v>
      </c>
      <c r="Q228">
        <f t="shared" si="162"/>
        <v>0</v>
      </c>
      <c r="R228">
        <f t="shared" si="163"/>
        <v>0</v>
      </c>
      <c r="S228">
        <f t="shared" si="164"/>
        <v>0</v>
      </c>
      <c r="T228">
        <f t="shared" si="165"/>
        <v>0</v>
      </c>
      <c r="U228">
        <f t="shared" si="166"/>
        <v>0</v>
      </c>
      <c r="V228">
        <f t="shared" si="167"/>
        <v>0</v>
      </c>
      <c r="W228">
        <f t="shared" si="168"/>
        <v>0</v>
      </c>
      <c r="X228">
        <f t="shared" si="169"/>
        <v>0</v>
      </c>
      <c r="Y228">
        <f t="shared" si="170"/>
        <v>0</v>
      </c>
      <c r="Z228">
        <f t="shared" si="171"/>
        <v>0</v>
      </c>
      <c r="AA228">
        <f t="shared" si="172"/>
        <v>0</v>
      </c>
      <c r="AB228">
        <f t="shared" si="173"/>
        <v>0</v>
      </c>
      <c r="AC228">
        <f t="shared" si="174"/>
        <v>0</v>
      </c>
      <c r="AD228">
        <f t="shared" si="175"/>
        <v>0</v>
      </c>
      <c r="AE228">
        <f t="shared" si="176"/>
        <v>0</v>
      </c>
      <c r="AF228">
        <f t="shared" si="177"/>
        <v>0</v>
      </c>
      <c r="AG228">
        <f t="shared" si="178"/>
        <v>0</v>
      </c>
      <c r="AH228">
        <f t="shared" si="179"/>
        <v>0</v>
      </c>
      <c r="AI228">
        <f t="shared" si="180"/>
        <v>0</v>
      </c>
      <c r="AJ228">
        <f t="shared" si="181"/>
        <v>0</v>
      </c>
      <c r="AK228">
        <f t="shared" si="182"/>
        <v>0</v>
      </c>
      <c r="AL228">
        <f t="shared" si="183"/>
        <v>0</v>
      </c>
      <c r="AM228">
        <f t="shared" si="184"/>
        <v>0</v>
      </c>
      <c r="AN228">
        <f t="shared" si="185"/>
        <v>0</v>
      </c>
      <c r="AO228">
        <f t="shared" si="186"/>
        <v>0</v>
      </c>
      <c r="AP228">
        <f t="shared" si="187"/>
        <v>0</v>
      </c>
      <c r="AQ228">
        <f t="shared" si="188"/>
        <v>0</v>
      </c>
      <c r="AR228">
        <f t="shared" si="189"/>
        <v>0</v>
      </c>
      <c r="AS228">
        <f t="shared" si="190"/>
        <v>0</v>
      </c>
      <c r="AT228">
        <f t="shared" si="191"/>
        <v>0</v>
      </c>
      <c r="AU228">
        <f t="shared" si="192"/>
        <v>0</v>
      </c>
      <c r="AV228">
        <f t="shared" si="193"/>
        <v>0</v>
      </c>
      <c r="AW228">
        <f t="shared" si="147"/>
        <v>0</v>
      </c>
      <c r="AX228">
        <f t="shared" si="194"/>
        <v>0</v>
      </c>
      <c r="AY228">
        <f t="shared" si="195"/>
        <v>0</v>
      </c>
    </row>
    <row r="229" spans="1:51" x14ac:dyDescent="0.35">
      <c r="A229">
        <v>223</v>
      </c>
      <c r="C229">
        <f t="shared" si="148"/>
        <v>0</v>
      </c>
      <c r="D229">
        <f t="shared" si="149"/>
        <v>0</v>
      </c>
      <c r="E229">
        <f t="shared" si="150"/>
        <v>0</v>
      </c>
      <c r="F229">
        <f t="shared" si="151"/>
        <v>0</v>
      </c>
      <c r="G229">
        <f t="shared" si="152"/>
        <v>0</v>
      </c>
      <c r="H229">
        <f t="shared" si="153"/>
        <v>0</v>
      </c>
      <c r="I229">
        <f t="shared" si="154"/>
        <v>0</v>
      </c>
      <c r="J229">
        <f t="shared" si="155"/>
        <v>0</v>
      </c>
      <c r="K229">
        <f t="shared" si="156"/>
        <v>0</v>
      </c>
      <c r="L229">
        <f t="shared" si="157"/>
        <v>0</v>
      </c>
      <c r="M229">
        <f t="shared" si="158"/>
        <v>0</v>
      </c>
      <c r="N229">
        <f t="shared" si="159"/>
        <v>0</v>
      </c>
      <c r="O229">
        <f t="shared" si="160"/>
        <v>0</v>
      </c>
      <c r="P229">
        <f t="shared" si="161"/>
        <v>0</v>
      </c>
      <c r="Q229">
        <f t="shared" si="162"/>
        <v>0</v>
      </c>
      <c r="R229">
        <f t="shared" si="163"/>
        <v>0</v>
      </c>
      <c r="S229">
        <f t="shared" si="164"/>
        <v>0</v>
      </c>
      <c r="T229">
        <f t="shared" si="165"/>
        <v>0</v>
      </c>
      <c r="U229">
        <f t="shared" si="166"/>
        <v>0</v>
      </c>
      <c r="V229">
        <f t="shared" si="167"/>
        <v>0</v>
      </c>
      <c r="W229">
        <f t="shared" si="168"/>
        <v>0</v>
      </c>
      <c r="X229">
        <f t="shared" si="169"/>
        <v>0</v>
      </c>
      <c r="Y229">
        <f t="shared" si="170"/>
        <v>0</v>
      </c>
      <c r="Z229">
        <f t="shared" si="171"/>
        <v>0</v>
      </c>
      <c r="AA229">
        <f t="shared" si="172"/>
        <v>0</v>
      </c>
      <c r="AB229">
        <f t="shared" si="173"/>
        <v>0</v>
      </c>
      <c r="AC229">
        <f t="shared" si="174"/>
        <v>0</v>
      </c>
      <c r="AD229">
        <f t="shared" si="175"/>
        <v>0</v>
      </c>
      <c r="AE229">
        <f t="shared" si="176"/>
        <v>0</v>
      </c>
      <c r="AF229">
        <f t="shared" si="177"/>
        <v>0</v>
      </c>
      <c r="AG229">
        <f t="shared" si="178"/>
        <v>0</v>
      </c>
      <c r="AH229">
        <f t="shared" si="179"/>
        <v>0</v>
      </c>
      <c r="AI229">
        <f t="shared" si="180"/>
        <v>0</v>
      </c>
      <c r="AJ229">
        <f t="shared" si="181"/>
        <v>0</v>
      </c>
      <c r="AK229">
        <f t="shared" si="182"/>
        <v>0</v>
      </c>
      <c r="AL229">
        <f t="shared" si="183"/>
        <v>0</v>
      </c>
      <c r="AM229">
        <f t="shared" si="184"/>
        <v>0</v>
      </c>
      <c r="AN229">
        <f t="shared" si="185"/>
        <v>0</v>
      </c>
      <c r="AO229">
        <f t="shared" si="186"/>
        <v>0</v>
      </c>
      <c r="AP229">
        <f t="shared" si="187"/>
        <v>0</v>
      </c>
      <c r="AQ229">
        <f t="shared" si="188"/>
        <v>0</v>
      </c>
      <c r="AR229">
        <f t="shared" si="189"/>
        <v>0</v>
      </c>
      <c r="AS229">
        <f t="shared" si="190"/>
        <v>0</v>
      </c>
      <c r="AT229">
        <f t="shared" si="191"/>
        <v>0</v>
      </c>
      <c r="AU229">
        <f t="shared" si="192"/>
        <v>0</v>
      </c>
      <c r="AV229">
        <f t="shared" si="193"/>
        <v>0</v>
      </c>
      <c r="AW229">
        <f t="shared" si="147"/>
        <v>0</v>
      </c>
      <c r="AX229">
        <f t="shared" si="194"/>
        <v>0</v>
      </c>
      <c r="AY229">
        <f t="shared" si="195"/>
        <v>0</v>
      </c>
    </row>
    <row r="230" spans="1:51" x14ac:dyDescent="0.35">
      <c r="A230">
        <v>224</v>
      </c>
      <c r="C230">
        <f t="shared" si="148"/>
        <v>0</v>
      </c>
      <c r="D230">
        <f t="shared" si="149"/>
        <v>0</v>
      </c>
      <c r="E230">
        <f t="shared" si="150"/>
        <v>0</v>
      </c>
      <c r="F230">
        <f t="shared" si="151"/>
        <v>0</v>
      </c>
      <c r="G230">
        <f t="shared" si="152"/>
        <v>0</v>
      </c>
      <c r="H230">
        <f t="shared" si="153"/>
        <v>0</v>
      </c>
      <c r="I230">
        <f t="shared" si="154"/>
        <v>0</v>
      </c>
      <c r="J230">
        <f t="shared" si="155"/>
        <v>0</v>
      </c>
      <c r="K230">
        <f t="shared" si="156"/>
        <v>0</v>
      </c>
      <c r="L230">
        <f t="shared" si="157"/>
        <v>0</v>
      </c>
      <c r="M230">
        <f t="shared" si="158"/>
        <v>0</v>
      </c>
      <c r="N230">
        <f t="shared" si="159"/>
        <v>0</v>
      </c>
      <c r="O230">
        <f t="shared" si="160"/>
        <v>0</v>
      </c>
      <c r="P230">
        <f t="shared" si="161"/>
        <v>0</v>
      </c>
      <c r="Q230">
        <f t="shared" si="162"/>
        <v>0</v>
      </c>
      <c r="R230">
        <f t="shared" si="163"/>
        <v>0</v>
      </c>
      <c r="S230">
        <f t="shared" si="164"/>
        <v>0</v>
      </c>
      <c r="T230">
        <f t="shared" si="165"/>
        <v>0</v>
      </c>
      <c r="U230">
        <f t="shared" si="166"/>
        <v>0</v>
      </c>
      <c r="V230">
        <f t="shared" si="167"/>
        <v>0</v>
      </c>
      <c r="W230">
        <f t="shared" si="168"/>
        <v>0</v>
      </c>
      <c r="X230">
        <f t="shared" si="169"/>
        <v>0</v>
      </c>
      <c r="Y230">
        <f t="shared" si="170"/>
        <v>0</v>
      </c>
      <c r="Z230">
        <f t="shared" si="171"/>
        <v>0</v>
      </c>
      <c r="AA230">
        <f t="shared" si="172"/>
        <v>0</v>
      </c>
      <c r="AB230">
        <f t="shared" si="173"/>
        <v>0</v>
      </c>
      <c r="AC230">
        <f t="shared" si="174"/>
        <v>0</v>
      </c>
      <c r="AD230">
        <f t="shared" si="175"/>
        <v>0</v>
      </c>
      <c r="AE230">
        <f t="shared" si="176"/>
        <v>0</v>
      </c>
      <c r="AF230">
        <f t="shared" si="177"/>
        <v>0</v>
      </c>
      <c r="AG230">
        <f t="shared" si="178"/>
        <v>0</v>
      </c>
      <c r="AH230">
        <f t="shared" si="179"/>
        <v>0</v>
      </c>
      <c r="AI230">
        <f t="shared" si="180"/>
        <v>0</v>
      </c>
      <c r="AJ230">
        <f t="shared" si="181"/>
        <v>0</v>
      </c>
      <c r="AK230">
        <f t="shared" si="182"/>
        <v>0</v>
      </c>
      <c r="AL230">
        <f t="shared" si="183"/>
        <v>0</v>
      </c>
      <c r="AM230">
        <f t="shared" si="184"/>
        <v>0</v>
      </c>
      <c r="AN230">
        <f t="shared" si="185"/>
        <v>0</v>
      </c>
      <c r="AO230">
        <f t="shared" si="186"/>
        <v>0</v>
      </c>
      <c r="AP230">
        <f t="shared" si="187"/>
        <v>0</v>
      </c>
      <c r="AQ230">
        <f t="shared" si="188"/>
        <v>0</v>
      </c>
      <c r="AR230">
        <f t="shared" si="189"/>
        <v>0</v>
      </c>
      <c r="AS230">
        <f t="shared" si="190"/>
        <v>0</v>
      </c>
      <c r="AT230">
        <f t="shared" si="191"/>
        <v>0</v>
      </c>
      <c r="AU230">
        <f t="shared" si="192"/>
        <v>0</v>
      </c>
      <c r="AV230">
        <f t="shared" si="193"/>
        <v>0</v>
      </c>
      <c r="AW230">
        <f t="shared" si="147"/>
        <v>0</v>
      </c>
      <c r="AX230">
        <f t="shared" si="194"/>
        <v>0</v>
      </c>
      <c r="AY230">
        <f t="shared" si="195"/>
        <v>0</v>
      </c>
    </row>
    <row r="231" spans="1:51" x14ac:dyDescent="0.35">
      <c r="A231">
        <v>225</v>
      </c>
      <c r="C231">
        <f t="shared" si="148"/>
        <v>0</v>
      </c>
      <c r="D231">
        <f t="shared" si="149"/>
        <v>0</v>
      </c>
      <c r="E231">
        <f t="shared" si="150"/>
        <v>0</v>
      </c>
      <c r="F231">
        <f t="shared" si="151"/>
        <v>0</v>
      </c>
      <c r="G231">
        <f t="shared" si="152"/>
        <v>0</v>
      </c>
      <c r="H231">
        <f t="shared" si="153"/>
        <v>0</v>
      </c>
      <c r="I231">
        <f t="shared" si="154"/>
        <v>0</v>
      </c>
      <c r="J231">
        <f t="shared" si="155"/>
        <v>0</v>
      </c>
      <c r="K231">
        <f t="shared" si="156"/>
        <v>0</v>
      </c>
      <c r="L231">
        <f t="shared" si="157"/>
        <v>0</v>
      </c>
      <c r="M231">
        <f t="shared" si="158"/>
        <v>0</v>
      </c>
      <c r="N231">
        <f t="shared" si="159"/>
        <v>0</v>
      </c>
      <c r="O231">
        <f t="shared" si="160"/>
        <v>0</v>
      </c>
      <c r="P231">
        <f t="shared" si="161"/>
        <v>0</v>
      </c>
      <c r="Q231">
        <f t="shared" si="162"/>
        <v>0</v>
      </c>
      <c r="R231">
        <f t="shared" si="163"/>
        <v>0</v>
      </c>
      <c r="S231">
        <f t="shared" si="164"/>
        <v>0</v>
      </c>
      <c r="T231">
        <f t="shared" si="165"/>
        <v>0</v>
      </c>
      <c r="U231">
        <f t="shared" si="166"/>
        <v>0</v>
      </c>
      <c r="V231">
        <f t="shared" si="167"/>
        <v>0</v>
      </c>
      <c r="W231">
        <f t="shared" si="168"/>
        <v>0</v>
      </c>
      <c r="X231">
        <f t="shared" si="169"/>
        <v>0</v>
      </c>
      <c r="Y231">
        <f t="shared" si="170"/>
        <v>0</v>
      </c>
      <c r="Z231">
        <f t="shared" si="171"/>
        <v>0</v>
      </c>
      <c r="AA231">
        <f t="shared" si="172"/>
        <v>0</v>
      </c>
      <c r="AB231">
        <f t="shared" si="173"/>
        <v>0</v>
      </c>
      <c r="AC231">
        <f t="shared" si="174"/>
        <v>0</v>
      </c>
      <c r="AD231">
        <f t="shared" si="175"/>
        <v>0</v>
      </c>
      <c r="AE231">
        <f t="shared" si="176"/>
        <v>0</v>
      </c>
      <c r="AF231">
        <f t="shared" si="177"/>
        <v>0</v>
      </c>
      <c r="AG231">
        <f t="shared" si="178"/>
        <v>0</v>
      </c>
      <c r="AH231">
        <f t="shared" si="179"/>
        <v>0</v>
      </c>
      <c r="AI231">
        <f t="shared" si="180"/>
        <v>0</v>
      </c>
      <c r="AJ231">
        <f t="shared" si="181"/>
        <v>0</v>
      </c>
      <c r="AK231">
        <f t="shared" si="182"/>
        <v>0</v>
      </c>
      <c r="AL231">
        <f t="shared" si="183"/>
        <v>0</v>
      </c>
      <c r="AM231">
        <f t="shared" si="184"/>
        <v>0</v>
      </c>
      <c r="AN231">
        <f t="shared" si="185"/>
        <v>0</v>
      </c>
      <c r="AO231">
        <f t="shared" si="186"/>
        <v>0</v>
      </c>
      <c r="AP231">
        <f t="shared" si="187"/>
        <v>0</v>
      </c>
      <c r="AQ231">
        <f t="shared" si="188"/>
        <v>0</v>
      </c>
      <c r="AR231">
        <f t="shared" si="189"/>
        <v>0</v>
      </c>
      <c r="AS231">
        <f t="shared" si="190"/>
        <v>0</v>
      </c>
      <c r="AT231">
        <f t="shared" si="191"/>
        <v>0</v>
      </c>
      <c r="AU231">
        <f t="shared" si="192"/>
        <v>0</v>
      </c>
      <c r="AV231">
        <f t="shared" si="193"/>
        <v>0</v>
      </c>
      <c r="AW231">
        <f t="shared" si="147"/>
        <v>0</v>
      </c>
      <c r="AX231">
        <f t="shared" si="194"/>
        <v>0</v>
      </c>
      <c r="AY231">
        <f t="shared" si="195"/>
        <v>0</v>
      </c>
    </row>
    <row r="232" spans="1:51" x14ac:dyDescent="0.35">
      <c r="A232">
        <v>226</v>
      </c>
      <c r="C232">
        <f t="shared" si="148"/>
        <v>0</v>
      </c>
      <c r="D232">
        <f t="shared" si="149"/>
        <v>0</v>
      </c>
      <c r="E232">
        <f t="shared" si="150"/>
        <v>0</v>
      </c>
      <c r="F232">
        <f t="shared" si="151"/>
        <v>0</v>
      </c>
      <c r="G232">
        <f t="shared" si="152"/>
        <v>0</v>
      </c>
      <c r="H232">
        <f t="shared" si="153"/>
        <v>0</v>
      </c>
      <c r="I232">
        <f t="shared" si="154"/>
        <v>0</v>
      </c>
      <c r="J232">
        <f t="shared" si="155"/>
        <v>0</v>
      </c>
      <c r="K232">
        <f t="shared" si="156"/>
        <v>0</v>
      </c>
      <c r="L232">
        <f t="shared" si="157"/>
        <v>0</v>
      </c>
      <c r="M232">
        <f t="shared" si="158"/>
        <v>0</v>
      </c>
      <c r="N232">
        <f t="shared" si="159"/>
        <v>0</v>
      </c>
      <c r="O232">
        <f t="shared" si="160"/>
        <v>0</v>
      </c>
      <c r="P232">
        <f t="shared" si="161"/>
        <v>0</v>
      </c>
      <c r="Q232">
        <f t="shared" si="162"/>
        <v>0</v>
      </c>
      <c r="R232">
        <f t="shared" si="163"/>
        <v>0</v>
      </c>
      <c r="S232">
        <f t="shared" si="164"/>
        <v>0</v>
      </c>
      <c r="T232">
        <f t="shared" si="165"/>
        <v>0</v>
      </c>
      <c r="U232">
        <f t="shared" si="166"/>
        <v>0</v>
      </c>
      <c r="V232">
        <f t="shared" si="167"/>
        <v>0</v>
      </c>
      <c r="W232">
        <f t="shared" si="168"/>
        <v>0</v>
      </c>
      <c r="X232">
        <f t="shared" si="169"/>
        <v>0</v>
      </c>
      <c r="Y232">
        <f t="shared" si="170"/>
        <v>0</v>
      </c>
      <c r="Z232">
        <f t="shared" si="171"/>
        <v>0</v>
      </c>
      <c r="AA232">
        <f t="shared" si="172"/>
        <v>0</v>
      </c>
      <c r="AB232">
        <f t="shared" si="173"/>
        <v>0</v>
      </c>
      <c r="AC232">
        <f t="shared" si="174"/>
        <v>0</v>
      </c>
      <c r="AD232">
        <f t="shared" si="175"/>
        <v>0</v>
      </c>
      <c r="AE232">
        <f t="shared" si="176"/>
        <v>0</v>
      </c>
      <c r="AF232">
        <f t="shared" si="177"/>
        <v>0</v>
      </c>
      <c r="AG232">
        <f t="shared" si="178"/>
        <v>0</v>
      </c>
      <c r="AH232">
        <f t="shared" si="179"/>
        <v>0</v>
      </c>
      <c r="AI232">
        <f t="shared" si="180"/>
        <v>0</v>
      </c>
      <c r="AJ232">
        <f t="shared" si="181"/>
        <v>0</v>
      </c>
      <c r="AK232">
        <f t="shared" si="182"/>
        <v>0</v>
      </c>
      <c r="AL232">
        <f t="shared" si="183"/>
        <v>0</v>
      </c>
      <c r="AM232">
        <f t="shared" si="184"/>
        <v>0</v>
      </c>
      <c r="AN232">
        <f t="shared" si="185"/>
        <v>0</v>
      </c>
      <c r="AO232">
        <f t="shared" si="186"/>
        <v>0</v>
      </c>
      <c r="AP232">
        <f t="shared" si="187"/>
        <v>0</v>
      </c>
      <c r="AQ232">
        <f t="shared" si="188"/>
        <v>0</v>
      </c>
      <c r="AR232">
        <f t="shared" si="189"/>
        <v>0</v>
      </c>
      <c r="AS232">
        <f t="shared" si="190"/>
        <v>0</v>
      </c>
      <c r="AT232">
        <f t="shared" si="191"/>
        <v>0</v>
      </c>
      <c r="AU232">
        <f t="shared" si="192"/>
        <v>0</v>
      </c>
      <c r="AV232">
        <f t="shared" si="193"/>
        <v>0</v>
      </c>
      <c r="AW232">
        <f t="shared" si="147"/>
        <v>0</v>
      </c>
      <c r="AX232">
        <f t="shared" si="194"/>
        <v>0</v>
      </c>
      <c r="AY232">
        <f t="shared" si="195"/>
        <v>0</v>
      </c>
    </row>
    <row r="233" spans="1:51" x14ac:dyDescent="0.35">
      <c r="A233">
        <v>227</v>
      </c>
      <c r="C233">
        <f t="shared" si="148"/>
        <v>0</v>
      </c>
      <c r="D233">
        <f t="shared" si="149"/>
        <v>0</v>
      </c>
      <c r="E233">
        <f t="shared" si="150"/>
        <v>0</v>
      </c>
      <c r="F233">
        <f t="shared" si="151"/>
        <v>0</v>
      </c>
      <c r="G233">
        <f t="shared" si="152"/>
        <v>0</v>
      </c>
      <c r="H233">
        <f t="shared" si="153"/>
        <v>0</v>
      </c>
      <c r="I233">
        <f t="shared" si="154"/>
        <v>0</v>
      </c>
      <c r="J233">
        <f t="shared" si="155"/>
        <v>0</v>
      </c>
      <c r="K233">
        <f t="shared" si="156"/>
        <v>0</v>
      </c>
      <c r="L233">
        <f t="shared" si="157"/>
        <v>0</v>
      </c>
      <c r="M233">
        <f t="shared" si="158"/>
        <v>0</v>
      </c>
      <c r="N233">
        <f t="shared" si="159"/>
        <v>0</v>
      </c>
      <c r="O233">
        <f t="shared" si="160"/>
        <v>0</v>
      </c>
      <c r="P233">
        <f t="shared" si="161"/>
        <v>0</v>
      </c>
      <c r="Q233">
        <f t="shared" si="162"/>
        <v>0</v>
      </c>
      <c r="R233">
        <f t="shared" si="163"/>
        <v>0</v>
      </c>
      <c r="S233">
        <f t="shared" si="164"/>
        <v>0</v>
      </c>
      <c r="T233">
        <f t="shared" si="165"/>
        <v>0</v>
      </c>
      <c r="U233">
        <f t="shared" si="166"/>
        <v>0</v>
      </c>
      <c r="V233">
        <f t="shared" si="167"/>
        <v>0</v>
      </c>
      <c r="W233">
        <f t="shared" si="168"/>
        <v>0</v>
      </c>
      <c r="X233">
        <f t="shared" si="169"/>
        <v>0</v>
      </c>
      <c r="Y233">
        <f t="shared" si="170"/>
        <v>0</v>
      </c>
      <c r="Z233">
        <f t="shared" si="171"/>
        <v>0</v>
      </c>
      <c r="AA233">
        <f t="shared" si="172"/>
        <v>0</v>
      </c>
      <c r="AB233">
        <f t="shared" si="173"/>
        <v>0</v>
      </c>
      <c r="AC233">
        <f t="shared" si="174"/>
        <v>0</v>
      </c>
      <c r="AD233">
        <f t="shared" si="175"/>
        <v>0</v>
      </c>
      <c r="AE233">
        <f t="shared" si="176"/>
        <v>0</v>
      </c>
      <c r="AF233">
        <f t="shared" si="177"/>
        <v>0</v>
      </c>
      <c r="AG233">
        <f t="shared" si="178"/>
        <v>0</v>
      </c>
      <c r="AH233">
        <f t="shared" si="179"/>
        <v>0</v>
      </c>
      <c r="AI233">
        <f t="shared" si="180"/>
        <v>0</v>
      </c>
      <c r="AJ233">
        <f t="shared" si="181"/>
        <v>0</v>
      </c>
      <c r="AK233">
        <f t="shared" si="182"/>
        <v>0</v>
      </c>
      <c r="AL233">
        <f t="shared" si="183"/>
        <v>0</v>
      </c>
      <c r="AM233">
        <f t="shared" si="184"/>
        <v>0</v>
      </c>
      <c r="AN233">
        <f t="shared" si="185"/>
        <v>0</v>
      </c>
      <c r="AO233">
        <f t="shared" si="186"/>
        <v>0</v>
      </c>
      <c r="AP233">
        <f t="shared" si="187"/>
        <v>0</v>
      </c>
      <c r="AQ233">
        <f t="shared" si="188"/>
        <v>0</v>
      </c>
      <c r="AR233">
        <f t="shared" si="189"/>
        <v>0</v>
      </c>
      <c r="AS233">
        <f t="shared" si="190"/>
        <v>0</v>
      </c>
      <c r="AT233">
        <f t="shared" si="191"/>
        <v>0</v>
      </c>
      <c r="AU233">
        <f t="shared" si="192"/>
        <v>0</v>
      </c>
      <c r="AV233">
        <f t="shared" si="193"/>
        <v>0</v>
      </c>
      <c r="AW233">
        <f t="shared" si="147"/>
        <v>0</v>
      </c>
      <c r="AX233">
        <f t="shared" si="194"/>
        <v>0</v>
      </c>
      <c r="AY233">
        <f t="shared" si="195"/>
        <v>0</v>
      </c>
    </row>
    <row r="234" spans="1:51" x14ac:dyDescent="0.35">
      <c r="A234">
        <v>228</v>
      </c>
      <c r="C234">
        <f t="shared" si="148"/>
        <v>0</v>
      </c>
      <c r="D234">
        <f t="shared" si="149"/>
        <v>0</v>
      </c>
      <c r="E234">
        <f t="shared" si="150"/>
        <v>0</v>
      </c>
      <c r="F234">
        <f t="shared" si="151"/>
        <v>0</v>
      </c>
      <c r="G234">
        <f t="shared" si="152"/>
        <v>0</v>
      </c>
      <c r="H234">
        <f t="shared" si="153"/>
        <v>0</v>
      </c>
      <c r="I234">
        <f t="shared" si="154"/>
        <v>0</v>
      </c>
      <c r="J234">
        <f t="shared" si="155"/>
        <v>0</v>
      </c>
      <c r="K234">
        <f t="shared" si="156"/>
        <v>0</v>
      </c>
      <c r="L234">
        <f t="shared" si="157"/>
        <v>0</v>
      </c>
      <c r="M234">
        <f t="shared" si="158"/>
        <v>0</v>
      </c>
      <c r="N234">
        <f t="shared" si="159"/>
        <v>0</v>
      </c>
      <c r="O234">
        <f t="shared" si="160"/>
        <v>0</v>
      </c>
      <c r="P234">
        <f t="shared" si="161"/>
        <v>0</v>
      </c>
      <c r="Q234">
        <f t="shared" si="162"/>
        <v>0</v>
      </c>
      <c r="R234">
        <f t="shared" si="163"/>
        <v>0</v>
      </c>
      <c r="S234">
        <f t="shared" si="164"/>
        <v>0</v>
      </c>
      <c r="T234">
        <f t="shared" si="165"/>
        <v>0</v>
      </c>
      <c r="U234">
        <f t="shared" si="166"/>
        <v>0</v>
      </c>
      <c r="V234">
        <f t="shared" si="167"/>
        <v>0</v>
      </c>
      <c r="W234">
        <f t="shared" si="168"/>
        <v>0</v>
      </c>
      <c r="X234">
        <f t="shared" si="169"/>
        <v>0</v>
      </c>
      <c r="Y234">
        <f t="shared" si="170"/>
        <v>0</v>
      </c>
      <c r="Z234">
        <f t="shared" si="171"/>
        <v>0</v>
      </c>
      <c r="AA234">
        <f t="shared" si="172"/>
        <v>0</v>
      </c>
      <c r="AB234">
        <f t="shared" si="173"/>
        <v>0</v>
      </c>
      <c r="AC234">
        <f t="shared" si="174"/>
        <v>0</v>
      </c>
      <c r="AD234">
        <f t="shared" si="175"/>
        <v>0</v>
      </c>
      <c r="AE234">
        <f t="shared" si="176"/>
        <v>0</v>
      </c>
      <c r="AF234">
        <f t="shared" si="177"/>
        <v>0</v>
      </c>
      <c r="AG234">
        <f t="shared" si="178"/>
        <v>0</v>
      </c>
      <c r="AH234">
        <f t="shared" si="179"/>
        <v>0</v>
      </c>
      <c r="AI234">
        <f t="shared" si="180"/>
        <v>0</v>
      </c>
      <c r="AJ234">
        <f t="shared" si="181"/>
        <v>0</v>
      </c>
      <c r="AK234">
        <f t="shared" si="182"/>
        <v>0</v>
      </c>
      <c r="AL234">
        <f t="shared" si="183"/>
        <v>0</v>
      </c>
      <c r="AM234">
        <f t="shared" si="184"/>
        <v>0</v>
      </c>
      <c r="AN234">
        <f t="shared" si="185"/>
        <v>0</v>
      </c>
      <c r="AO234">
        <f t="shared" si="186"/>
        <v>0</v>
      </c>
      <c r="AP234">
        <f t="shared" si="187"/>
        <v>0</v>
      </c>
      <c r="AQ234">
        <f t="shared" si="188"/>
        <v>0</v>
      </c>
      <c r="AR234">
        <f t="shared" si="189"/>
        <v>0</v>
      </c>
      <c r="AS234">
        <f t="shared" si="190"/>
        <v>0</v>
      </c>
      <c r="AT234">
        <f t="shared" si="191"/>
        <v>0</v>
      </c>
      <c r="AU234">
        <f t="shared" si="192"/>
        <v>0</v>
      </c>
      <c r="AV234">
        <f t="shared" si="193"/>
        <v>0</v>
      </c>
      <c r="AW234">
        <f t="shared" si="147"/>
        <v>0</v>
      </c>
      <c r="AX234">
        <f t="shared" si="194"/>
        <v>0</v>
      </c>
      <c r="AY234">
        <f t="shared" si="195"/>
        <v>0</v>
      </c>
    </row>
    <row r="235" spans="1:51" x14ac:dyDescent="0.35">
      <c r="A235">
        <v>229</v>
      </c>
      <c r="C235">
        <f t="shared" si="148"/>
        <v>0</v>
      </c>
      <c r="D235">
        <f t="shared" si="149"/>
        <v>0</v>
      </c>
      <c r="E235">
        <f t="shared" si="150"/>
        <v>0</v>
      </c>
      <c r="F235">
        <f t="shared" si="151"/>
        <v>0</v>
      </c>
      <c r="G235">
        <f t="shared" si="152"/>
        <v>0</v>
      </c>
      <c r="H235">
        <f t="shared" si="153"/>
        <v>0</v>
      </c>
      <c r="I235">
        <f t="shared" si="154"/>
        <v>0</v>
      </c>
      <c r="J235">
        <f t="shared" si="155"/>
        <v>0</v>
      </c>
      <c r="K235">
        <f t="shared" si="156"/>
        <v>0</v>
      </c>
      <c r="L235">
        <f t="shared" si="157"/>
        <v>0</v>
      </c>
      <c r="M235">
        <f t="shared" si="158"/>
        <v>0</v>
      </c>
      <c r="N235">
        <f t="shared" si="159"/>
        <v>0</v>
      </c>
      <c r="O235">
        <f t="shared" si="160"/>
        <v>0</v>
      </c>
      <c r="P235">
        <f t="shared" si="161"/>
        <v>0</v>
      </c>
      <c r="Q235">
        <f t="shared" si="162"/>
        <v>0</v>
      </c>
      <c r="R235">
        <f t="shared" si="163"/>
        <v>0</v>
      </c>
      <c r="S235">
        <f t="shared" si="164"/>
        <v>0</v>
      </c>
      <c r="T235">
        <f t="shared" si="165"/>
        <v>0</v>
      </c>
      <c r="U235">
        <f t="shared" si="166"/>
        <v>0</v>
      </c>
      <c r="V235">
        <f t="shared" si="167"/>
        <v>0</v>
      </c>
      <c r="W235">
        <f t="shared" si="168"/>
        <v>0</v>
      </c>
      <c r="X235">
        <f t="shared" si="169"/>
        <v>0</v>
      </c>
      <c r="Y235">
        <f t="shared" si="170"/>
        <v>0</v>
      </c>
      <c r="Z235">
        <f t="shared" si="171"/>
        <v>0</v>
      </c>
      <c r="AA235">
        <f t="shared" si="172"/>
        <v>0</v>
      </c>
      <c r="AB235">
        <f t="shared" si="173"/>
        <v>0</v>
      </c>
      <c r="AC235">
        <f t="shared" si="174"/>
        <v>0</v>
      </c>
      <c r="AD235">
        <f t="shared" si="175"/>
        <v>0</v>
      </c>
      <c r="AE235">
        <f t="shared" si="176"/>
        <v>0</v>
      </c>
      <c r="AF235">
        <f t="shared" si="177"/>
        <v>0</v>
      </c>
      <c r="AG235">
        <f t="shared" si="178"/>
        <v>0</v>
      </c>
      <c r="AH235">
        <f t="shared" si="179"/>
        <v>0</v>
      </c>
      <c r="AI235">
        <f t="shared" si="180"/>
        <v>0</v>
      </c>
      <c r="AJ235">
        <f t="shared" si="181"/>
        <v>0</v>
      </c>
      <c r="AK235">
        <f t="shared" si="182"/>
        <v>0</v>
      </c>
      <c r="AL235">
        <f t="shared" si="183"/>
        <v>0</v>
      </c>
      <c r="AM235">
        <f t="shared" si="184"/>
        <v>0</v>
      </c>
      <c r="AN235">
        <f t="shared" si="185"/>
        <v>0</v>
      </c>
      <c r="AO235">
        <f t="shared" si="186"/>
        <v>0</v>
      </c>
      <c r="AP235">
        <f t="shared" si="187"/>
        <v>0</v>
      </c>
      <c r="AQ235">
        <f t="shared" si="188"/>
        <v>0</v>
      </c>
      <c r="AR235">
        <f t="shared" si="189"/>
        <v>0</v>
      </c>
      <c r="AS235">
        <f t="shared" si="190"/>
        <v>0</v>
      </c>
      <c r="AT235">
        <f t="shared" si="191"/>
        <v>0</v>
      </c>
      <c r="AU235">
        <f t="shared" si="192"/>
        <v>0</v>
      </c>
      <c r="AV235">
        <f t="shared" si="193"/>
        <v>0</v>
      </c>
      <c r="AW235">
        <f t="shared" si="147"/>
        <v>0</v>
      </c>
      <c r="AX235">
        <f t="shared" si="194"/>
        <v>0</v>
      </c>
      <c r="AY235">
        <f t="shared" si="195"/>
        <v>0</v>
      </c>
    </row>
    <row r="236" spans="1:51" x14ac:dyDescent="0.35">
      <c r="A236">
        <v>230</v>
      </c>
      <c r="C236">
        <f t="shared" si="148"/>
        <v>0</v>
      </c>
      <c r="D236">
        <f t="shared" si="149"/>
        <v>0</v>
      </c>
      <c r="E236">
        <f t="shared" si="150"/>
        <v>0</v>
      </c>
      <c r="F236">
        <f t="shared" si="151"/>
        <v>0</v>
      </c>
      <c r="G236">
        <f t="shared" si="152"/>
        <v>0</v>
      </c>
      <c r="H236">
        <f t="shared" si="153"/>
        <v>0</v>
      </c>
      <c r="I236">
        <f t="shared" si="154"/>
        <v>0</v>
      </c>
      <c r="J236">
        <f t="shared" si="155"/>
        <v>0</v>
      </c>
      <c r="K236">
        <f t="shared" si="156"/>
        <v>0</v>
      </c>
      <c r="L236">
        <f t="shared" si="157"/>
        <v>0</v>
      </c>
      <c r="M236">
        <f t="shared" si="158"/>
        <v>0</v>
      </c>
      <c r="N236">
        <f t="shared" si="159"/>
        <v>0</v>
      </c>
      <c r="O236">
        <f t="shared" si="160"/>
        <v>0</v>
      </c>
      <c r="P236">
        <f t="shared" si="161"/>
        <v>0</v>
      </c>
      <c r="Q236">
        <f t="shared" si="162"/>
        <v>0</v>
      </c>
      <c r="R236">
        <f t="shared" si="163"/>
        <v>0</v>
      </c>
      <c r="S236">
        <f t="shared" si="164"/>
        <v>0</v>
      </c>
      <c r="T236">
        <f t="shared" si="165"/>
        <v>0</v>
      </c>
      <c r="U236">
        <f t="shared" si="166"/>
        <v>0</v>
      </c>
      <c r="V236">
        <f t="shared" si="167"/>
        <v>0</v>
      </c>
      <c r="W236">
        <f t="shared" si="168"/>
        <v>0</v>
      </c>
      <c r="X236">
        <f t="shared" si="169"/>
        <v>0</v>
      </c>
      <c r="Y236">
        <f t="shared" si="170"/>
        <v>0</v>
      </c>
      <c r="Z236">
        <f t="shared" si="171"/>
        <v>0</v>
      </c>
      <c r="AA236">
        <f t="shared" si="172"/>
        <v>0</v>
      </c>
      <c r="AB236">
        <f t="shared" si="173"/>
        <v>0</v>
      </c>
      <c r="AC236">
        <f t="shared" si="174"/>
        <v>0</v>
      </c>
      <c r="AD236">
        <f t="shared" si="175"/>
        <v>0</v>
      </c>
      <c r="AE236">
        <f t="shared" si="176"/>
        <v>0</v>
      </c>
      <c r="AF236">
        <f t="shared" si="177"/>
        <v>0</v>
      </c>
      <c r="AG236">
        <f t="shared" si="178"/>
        <v>0</v>
      </c>
      <c r="AH236">
        <f t="shared" si="179"/>
        <v>0</v>
      </c>
      <c r="AI236">
        <f t="shared" si="180"/>
        <v>0</v>
      </c>
      <c r="AJ236">
        <f t="shared" si="181"/>
        <v>0</v>
      </c>
      <c r="AK236">
        <f t="shared" si="182"/>
        <v>0</v>
      </c>
      <c r="AL236">
        <f t="shared" si="183"/>
        <v>0</v>
      </c>
      <c r="AM236">
        <f t="shared" si="184"/>
        <v>0</v>
      </c>
      <c r="AN236">
        <f t="shared" si="185"/>
        <v>0</v>
      </c>
      <c r="AO236">
        <f t="shared" si="186"/>
        <v>0</v>
      </c>
      <c r="AP236">
        <f t="shared" si="187"/>
        <v>0</v>
      </c>
      <c r="AQ236">
        <f t="shared" si="188"/>
        <v>0</v>
      </c>
      <c r="AR236">
        <f t="shared" si="189"/>
        <v>0</v>
      </c>
      <c r="AS236">
        <f t="shared" si="190"/>
        <v>0</v>
      </c>
      <c r="AT236">
        <f t="shared" si="191"/>
        <v>0</v>
      </c>
      <c r="AU236">
        <f t="shared" si="192"/>
        <v>0</v>
      </c>
      <c r="AV236">
        <f t="shared" si="193"/>
        <v>0</v>
      </c>
      <c r="AW236">
        <f t="shared" si="147"/>
        <v>0</v>
      </c>
      <c r="AX236">
        <f t="shared" si="194"/>
        <v>0</v>
      </c>
      <c r="AY236">
        <f t="shared" si="195"/>
        <v>0</v>
      </c>
    </row>
    <row r="237" spans="1:51" x14ac:dyDescent="0.35">
      <c r="A237">
        <v>231</v>
      </c>
      <c r="C237">
        <f t="shared" si="148"/>
        <v>0</v>
      </c>
      <c r="D237">
        <f t="shared" si="149"/>
        <v>0</v>
      </c>
      <c r="E237">
        <f t="shared" si="150"/>
        <v>0</v>
      </c>
      <c r="F237">
        <f t="shared" si="151"/>
        <v>0</v>
      </c>
      <c r="G237">
        <f t="shared" si="152"/>
        <v>0</v>
      </c>
      <c r="H237">
        <f t="shared" si="153"/>
        <v>0</v>
      </c>
      <c r="I237">
        <f t="shared" si="154"/>
        <v>0</v>
      </c>
      <c r="J237">
        <f t="shared" si="155"/>
        <v>0</v>
      </c>
      <c r="K237">
        <f t="shared" si="156"/>
        <v>0</v>
      </c>
      <c r="L237">
        <f t="shared" si="157"/>
        <v>0</v>
      </c>
      <c r="M237">
        <f t="shared" si="158"/>
        <v>0</v>
      </c>
      <c r="N237">
        <f t="shared" si="159"/>
        <v>0</v>
      </c>
      <c r="O237">
        <f t="shared" si="160"/>
        <v>0</v>
      </c>
      <c r="P237">
        <f t="shared" si="161"/>
        <v>0</v>
      </c>
      <c r="Q237">
        <f t="shared" si="162"/>
        <v>0</v>
      </c>
      <c r="R237">
        <f t="shared" si="163"/>
        <v>0</v>
      </c>
      <c r="S237">
        <f t="shared" si="164"/>
        <v>0</v>
      </c>
      <c r="T237">
        <f t="shared" si="165"/>
        <v>0</v>
      </c>
      <c r="U237">
        <f t="shared" si="166"/>
        <v>0</v>
      </c>
      <c r="V237">
        <f t="shared" si="167"/>
        <v>0</v>
      </c>
      <c r="W237">
        <f t="shared" si="168"/>
        <v>0</v>
      </c>
      <c r="X237">
        <f t="shared" si="169"/>
        <v>0</v>
      </c>
      <c r="Y237">
        <f t="shared" si="170"/>
        <v>0</v>
      </c>
      <c r="Z237">
        <f t="shared" si="171"/>
        <v>0</v>
      </c>
      <c r="AA237">
        <f t="shared" si="172"/>
        <v>0</v>
      </c>
      <c r="AB237">
        <f t="shared" si="173"/>
        <v>0</v>
      </c>
      <c r="AC237">
        <f t="shared" si="174"/>
        <v>0</v>
      </c>
      <c r="AD237">
        <f t="shared" si="175"/>
        <v>0</v>
      </c>
      <c r="AE237">
        <f t="shared" si="176"/>
        <v>0</v>
      </c>
      <c r="AF237">
        <f t="shared" si="177"/>
        <v>0</v>
      </c>
      <c r="AG237">
        <f t="shared" si="178"/>
        <v>0</v>
      </c>
      <c r="AH237">
        <f t="shared" si="179"/>
        <v>0</v>
      </c>
      <c r="AI237">
        <f t="shared" si="180"/>
        <v>0</v>
      </c>
      <c r="AJ237">
        <f t="shared" si="181"/>
        <v>0</v>
      </c>
      <c r="AK237">
        <f t="shared" si="182"/>
        <v>0</v>
      </c>
      <c r="AL237">
        <f t="shared" si="183"/>
        <v>0</v>
      </c>
      <c r="AM237">
        <f t="shared" si="184"/>
        <v>0</v>
      </c>
      <c r="AN237">
        <f t="shared" si="185"/>
        <v>0</v>
      </c>
      <c r="AO237">
        <f t="shared" si="186"/>
        <v>0</v>
      </c>
      <c r="AP237">
        <f t="shared" si="187"/>
        <v>0</v>
      </c>
      <c r="AQ237">
        <f t="shared" si="188"/>
        <v>0</v>
      </c>
      <c r="AR237">
        <f t="shared" si="189"/>
        <v>0</v>
      </c>
      <c r="AS237">
        <f t="shared" si="190"/>
        <v>0</v>
      </c>
      <c r="AT237">
        <f t="shared" si="191"/>
        <v>0</v>
      </c>
      <c r="AU237">
        <f t="shared" si="192"/>
        <v>0</v>
      </c>
      <c r="AV237">
        <f t="shared" si="193"/>
        <v>0</v>
      </c>
      <c r="AW237">
        <f t="shared" si="147"/>
        <v>0</v>
      </c>
      <c r="AX237">
        <f t="shared" si="194"/>
        <v>0</v>
      </c>
      <c r="AY237">
        <f t="shared" si="195"/>
        <v>0</v>
      </c>
    </row>
    <row r="238" spans="1:51" x14ac:dyDescent="0.35">
      <c r="A238">
        <v>232</v>
      </c>
      <c r="C238">
        <f t="shared" si="148"/>
        <v>0</v>
      </c>
      <c r="D238">
        <f t="shared" si="149"/>
        <v>0</v>
      </c>
      <c r="E238">
        <f t="shared" si="150"/>
        <v>0</v>
      </c>
      <c r="F238">
        <f t="shared" si="151"/>
        <v>0</v>
      </c>
      <c r="G238">
        <f t="shared" si="152"/>
        <v>0</v>
      </c>
      <c r="H238">
        <f t="shared" si="153"/>
        <v>0</v>
      </c>
      <c r="I238">
        <f t="shared" si="154"/>
        <v>0</v>
      </c>
      <c r="J238">
        <f t="shared" si="155"/>
        <v>0</v>
      </c>
      <c r="K238">
        <f t="shared" si="156"/>
        <v>0</v>
      </c>
      <c r="L238">
        <f t="shared" si="157"/>
        <v>0</v>
      </c>
      <c r="M238">
        <f t="shared" si="158"/>
        <v>0</v>
      </c>
      <c r="N238">
        <f t="shared" si="159"/>
        <v>0</v>
      </c>
      <c r="O238">
        <f t="shared" si="160"/>
        <v>0</v>
      </c>
      <c r="P238">
        <f t="shared" si="161"/>
        <v>0</v>
      </c>
      <c r="Q238">
        <f t="shared" si="162"/>
        <v>0</v>
      </c>
      <c r="R238">
        <f t="shared" si="163"/>
        <v>0</v>
      </c>
      <c r="S238">
        <f t="shared" si="164"/>
        <v>0</v>
      </c>
      <c r="T238">
        <f t="shared" si="165"/>
        <v>0</v>
      </c>
      <c r="U238">
        <f t="shared" si="166"/>
        <v>0</v>
      </c>
      <c r="V238">
        <f t="shared" si="167"/>
        <v>0</v>
      </c>
      <c r="W238">
        <f t="shared" si="168"/>
        <v>0</v>
      </c>
      <c r="X238">
        <f t="shared" si="169"/>
        <v>0</v>
      </c>
      <c r="Y238">
        <f t="shared" si="170"/>
        <v>0</v>
      </c>
      <c r="Z238">
        <f t="shared" si="171"/>
        <v>0</v>
      </c>
      <c r="AA238">
        <f t="shared" si="172"/>
        <v>0</v>
      </c>
      <c r="AB238">
        <f t="shared" si="173"/>
        <v>0</v>
      </c>
      <c r="AC238">
        <f t="shared" si="174"/>
        <v>0</v>
      </c>
      <c r="AD238">
        <f t="shared" si="175"/>
        <v>0</v>
      </c>
      <c r="AE238">
        <f t="shared" si="176"/>
        <v>0</v>
      </c>
      <c r="AF238">
        <f t="shared" si="177"/>
        <v>0</v>
      </c>
      <c r="AG238">
        <f t="shared" si="178"/>
        <v>0</v>
      </c>
      <c r="AH238">
        <f t="shared" si="179"/>
        <v>0</v>
      </c>
      <c r="AI238">
        <f t="shared" si="180"/>
        <v>0</v>
      </c>
      <c r="AJ238">
        <f t="shared" si="181"/>
        <v>0</v>
      </c>
      <c r="AK238">
        <f t="shared" si="182"/>
        <v>0</v>
      </c>
      <c r="AL238">
        <f t="shared" si="183"/>
        <v>0</v>
      </c>
      <c r="AM238">
        <f t="shared" si="184"/>
        <v>0</v>
      </c>
      <c r="AN238">
        <f t="shared" si="185"/>
        <v>0</v>
      </c>
      <c r="AO238">
        <f t="shared" si="186"/>
        <v>0</v>
      </c>
      <c r="AP238">
        <f t="shared" si="187"/>
        <v>0</v>
      </c>
      <c r="AQ238">
        <f t="shared" si="188"/>
        <v>0</v>
      </c>
      <c r="AR238">
        <f t="shared" si="189"/>
        <v>0</v>
      </c>
      <c r="AS238">
        <f t="shared" si="190"/>
        <v>0</v>
      </c>
      <c r="AT238">
        <f t="shared" si="191"/>
        <v>0</v>
      </c>
      <c r="AU238">
        <f t="shared" si="192"/>
        <v>0</v>
      </c>
      <c r="AV238">
        <f t="shared" si="193"/>
        <v>0</v>
      </c>
      <c r="AW238">
        <f t="shared" si="147"/>
        <v>0</v>
      </c>
      <c r="AX238">
        <f t="shared" si="194"/>
        <v>0</v>
      </c>
      <c r="AY238">
        <f t="shared" si="195"/>
        <v>0</v>
      </c>
    </row>
    <row r="239" spans="1:51" x14ac:dyDescent="0.35">
      <c r="A239">
        <v>233</v>
      </c>
      <c r="C239">
        <f t="shared" si="148"/>
        <v>0</v>
      </c>
      <c r="D239">
        <f t="shared" si="149"/>
        <v>0</v>
      </c>
      <c r="E239">
        <f t="shared" si="150"/>
        <v>0</v>
      </c>
      <c r="F239">
        <f t="shared" si="151"/>
        <v>0</v>
      </c>
      <c r="G239">
        <f t="shared" si="152"/>
        <v>0</v>
      </c>
      <c r="H239">
        <f t="shared" si="153"/>
        <v>0</v>
      </c>
      <c r="I239">
        <f t="shared" si="154"/>
        <v>0</v>
      </c>
      <c r="J239">
        <f t="shared" si="155"/>
        <v>0</v>
      </c>
      <c r="K239">
        <f t="shared" si="156"/>
        <v>0</v>
      </c>
      <c r="L239">
        <f t="shared" si="157"/>
        <v>0</v>
      </c>
      <c r="M239">
        <f t="shared" si="158"/>
        <v>0</v>
      </c>
      <c r="N239">
        <f t="shared" si="159"/>
        <v>0</v>
      </c>
      <c r="O239">
        <f t="shared" si="160"/>
        <v>0</v>
      </c>
      <c r="P239">
        <f t="shared" si="161"/>
        <v>0</v>
      </c>
      <c r="Q239">
        <f t="shared" si="162"/>
        <v>0</v>
      </c>
      <c r="R239">
        <f t="shared" si="163"/>
        <v>0</v>
      </c>
      <c r="S239">
        <f t="shared" si="164"/>
        <v>0</v>
      </c>
      <c r="T239">
        <f t="shared" si="165"/>
        <v>0</v>
      </c>
      <c r="U239">
        <f t="shared" si="166"/>
        <v>0</v>
      </c>
      <c r="V239">
        <f t="shared" si="167"/>
        <v>0</v>
      </c>
      <c r="W239">
        <f t="shared" si="168"/>
        <v>0</v>
      </c>
      <c r="X239">
        <f t="shared" si="169"/>
        <v>0</v>
      </c>
      <c r="Y239">
        <f t="shared" si="170"/>
        <v>0</v>
      </c>
      <c r="Z239">
        <f t="shared" si="171"/>
        <v>0</v>
      </c>
      <c r="AA239">
        <f t="shared" si="172"/>
        <v>0</v>
      </c>
      <c r="AB239">
        <f t="shared" si="173"/>
        <v>0</v>
      </c>
      <c r="AC239">
        <f t="shared" si="174"/>
        <v>0</v>
      </c>
      <c r="AD239">
        <f t="shared" si="175"/>
        <v>0</v>
      </c>
      <c r="AE239">
        <f t="shared" si="176"/>
        <v>0</v>
      </c>
      <c r="AF239">
        <f t="shared" si="177"/>
        <v>0</v>
      </c>
      <c r="AG239">
        <f t="shared" si="178"/>
        <v>0</v>
      </c>
      <c r="AH239">
        <f t="shared" si="179"/>
        <v>0</v>
      </c>
      <c r="AI239">
        <f t="shared" si="180"/>
        <v>0</v>
      </c>
      <c r="AJ239">
        <f t="shared" si="181"/>
        <v>0</v>
      </c>
      <c r="AK239">
        <f t="shared" si="182"/>
        <v>0</v>
      </c>
      <c r="AL239">
        <f t="shared" si="183"/>
        <v>0</v>
      </c>
      <c r="AM239">
        <f t="shared" si="184"/>
        <v>0</v>
      </c>
      <c r="AN239">
        <f t="shared" si="185"/>
        <v>0</v>
      </c>
      <c r="AO239">
        <f t="shared" si="186"/>
        <v>0</v>
      </c>
      <c r="AP239">
        <f t="shared" si="187"/>
        <v>0</v>
      </c>
      <c r="AQ239">
        <f t="shared" si="188"/>
        <v>0</v>
      </c>
      <c r="AR239">
        <f t="shared" si="189"/>
        <v>0</v>
      </c>
      <c r="AS239">
        <f t="shared" si="190"/>
        <v>0</v>
      </c>
      <c r="AT239">
        <f t="shared" si="191"/>
        <v>0</v>
      </c>
      <c r="AU239">
        <f t="shared" si="192"/>
        <v>0</v>
      </c>
      <c r="AV239">
        <f t="shared" si="193"/>
        <v>0</v>
      </c>
      <c r="AW239">
        <f t="shared" si="147"/>
        <v>0</v>
      </c>
      <c r="AX239">
        <f t="shared" si="194"/>
        <v>0</v>
      </c>
      <c r="AY239">
        <f t="shared" si="195"/>
        <v>0</v>
      </c>
    </row>
    <row r="240" spans="1:51" x14ac:dyDescent="0.35">
      <c r="A240">
        <v>234</v>
      </c>
      <c r="C240">
        <f t="shared" si="148"/>
        <v>0</v>
      </c>
      <c r="D240">
        <f t="shared" si="149"/>
        <v>0</v>
      </c>
      <c r="E240">
        <f t="shared" si="150"/>
        <v>0</v>
      </c>
      <c r="F240">
        <f t="shared" si="151"/>
        <v>0</v>
      </c>
      <c r="G240">
        <f t="shared" si="152"/>
        <v>0</v>
      </c>
      <c r="H240">
        <f t="shared" si="153"/>
        <v>0</v>
      </c>
      <c r="I240">
        <f t="shared" si="154"/>
        <v>0</v>
      </c>
      <c r="J240">
        <f t="shared" si="155"/>
        <v>0</v>
      </c>
      <c r="K240">
        <f t="shared" si="156"/>
        <v>0</v>
      </c>
      <c r="L240">
        <f t="shared" si="157"/>
        <v>0</v>
      </c>
      <c r="M240">
        <f t="shared" si="158"/>
        <v>0</v>
      </c>
      <c r="N240">
        <f t="shared" si="159"/>
        <v>0</v>
      </c>
      <c r="O240">
        <f t="shared" si="160"/>
        <v>0</v>
      </c>
      <c r="P240">
        <f t="shared" si="161"/>
        <v>0</v>
      </c>
      <c r="Q240">
        <f t="shared" si="162"/>
        <v>0</v>
      </c>
      <c r="R240">
        <f t="shared" si="163"/>
        <v>0</v>
      </c>
      <c r="S240">
        <f t="shared" si="164"/>
        <v>0</v>
      </c>
      <c r="T240">
        <f t="shared" si="165"/>
        <v>0</v>
      </c>
      <c r="U240">
        <f t="shared" si="166"/>
        <v>0</v>
      </c>
      <c r="V240">
        <f t="shared" si="167"/>
        <v>0</v>
      </c>
      <c r="W240">
        <f t="shared" si="168"/>
        <v>0</v>
      </c>
      <c r="X240">
        <f t="shared" si="169"/>
        <v>0</v>
      </c>
      <c r="Y240">
        <f t="shared" si="170"/>
        <v>0</v>
      </c>
      <c r="Z240">
        <f t="shared" si="171"/>
        <v>0</v>
      </c>
      <c r="AA240">
        <f t="shared" si="172"/>
        <v>0</v>
      </c>
      <c r="AB240">
        <f t="shared" si="173"/>
        <v>0</v>
      </c>
      <c r="AC240">
        <f t="shared" si="174"/>
        <v>0</v>
      </c>
      <c r="AD240">
        <f t="shared" si="175"/>
        <v>0</v>
      </c>
      <c r="AE240">
        <f t="shared" si="176"/>
        <v>0</v>
      </c>
      <c r="AF240">
        <f t="shared" si="177"/>
        <v>0</v>
      </c>
      <c r="AG240">
        <f t="shared" si="178"/>
        <v>0</v>
      </c>
      <c r="AH240">
        <f t="shared" si="179"/>
        <v>0</v>
      </c>
      <c r="AI240">
        <f t="shared" si="180"/>
        <v>0</v>
      </c>
      <c r="AJ240">
        <f t="shared" si="181"/>
        <v>0</v>
      </c>
      <c r="AK240">
        <f t="shared" si="182"/>
        <v>0</v>
      </c>
      <c r="AL240">
        <f t="shared" si="183"/>
        <v>0</v>
      </c>
      <c r="AM240">
        <f t="shared" si="184"/>
        <v>0</v>
      </c>
      <c r="AN240">
        <f t="shared" si="185"/>
        <v>0</v>
      </c>
      <c r="AO240">
        <f t="shared" si="186"/>
        <v>0</v>
      </c>
      <c r="AP240">
        <f t="shared" si="187"/>
        <v>0</v>
      </c>
      <c r="AQ240">
        <f t="shared" si="188"/>
        <v>0</v>
      </c>
      <c r="AR240">
        <f t="shared" si="189"/>
        <v>0</v>
      </c>
      <c r="AS240">
        <f t="shared" si="190"/>
        <v>0</v>
      </c>
      <c r="AT240">
        <f t="shared" si="191"/>
        <v>0</v>
      </c>
      <c r="AU240">
        <f t="shared" si="192"/>
        <v>0</v>
      </c>
      <c r="AV240">
        <f t="shared" si="193"/>
        <v>0</v>
      </c>
      <c r="AW240">
        <f t="shared" si="147"/>
        <v>0</v>
      </c>
      <c r="AX240">
        <f t="shared" si="194"/>
        <v>0</v>
      </c>
      <c r="AY240">
        <f t="shared" si="195"/>
        <v>0</v>
      </c>
    </row>
    <row r="241" spans="1:51" x14ac:dyDescent="0.35">
      <c r="A241">
        <v>235</v>
      </c>
      <c r="C241">
        <f t="shared" si="148"/>
        <v>0</v>
      </c>
      <c r="D241">
        <f t="shared" si="149"/>
        <v>0</v>
      </c>
      <c r="E241">
        <f t="shared" si="150"/>
        <v>0</v>
      </c>
      <c r="F241">
        <f t="shared" si="151"/>
        <v>0</v>
      </c>
      <c r="G241">
        <f t="shared" si="152"/>
        <v>0</v>
      </c>
      <c r="H241">
        <f t="shared" si="153"/>
        <v>0</v>
      </c>
      <c r="I241">
        <f t="shared" si="154"/>
        <v>0</v>
      </c>
      <c r="J241">
        <f t="shared" si="155"/>
        <v>0</v>
      </c>
      <c r="K241">
        <f t="shared" si="156"/>
        <v>0</v>
      </c>
      <c r="L241">
        <f t="shared" si="157"/>
        <v>0</v>
      </c>
      <c r="M241">
        <f t="shared" si="158"/>
        <v>0</v>
      </c>
      <c r="N241">
        <f t="shared" si="159"/>
        <v>0</v>
      </c>
      <c r="O241">
        <f t="shared" si="160"/>
        <v>0</v>
      </c>
      <c r="P241">
        <f t="shared" si="161"/>
        <v>0</v>
      </c>
      <c r="Q241">
        <f t="shared" si="162"/>
        <v>0</v>
      </c>
      <c r="R241">
        <f t="shared" si="163"/>
        <v>0</v>
      </c>
      <c r="S241">
        <f t="shared" si="164"/>
        <v>0</v>
      </c>
      <c r="T241">
        <f t="shared" si="165"/>
        <v>0</v>
      </c>
      <c r="U241">
        <f t="shared" si="166"/>
        <v>0</v>
      </c>
      <c r="V241">
        <f t="shared" si="167"/>
        <v>0</v>
      </c>
      <c r="W241">
        <f t="shared" si="168"/>
        <v>0</v>
      </c>
      <c r="X241">
        <f t="shared" si="169"/>
        <v>0</v>
      </c>
      <c r="Y241">
        <f t="shared" si="170"/>
        <v>0</v>
      </c>
      <c r="Z241">
        <f t="shared" si="171"/>
        <v>0</v>
      </c>
      <c r="AA241">
        <f t="shared" si="172"/>
        <v>0</v>
      </c>
      <c r="AB241">
        <f t="shared" si="173"/>
        <v>0</v>
      </c>
      <c r="AC241">
        <f t="shared" si="174"/>
        <v>0</v>
      </c>
      <c r="AD241">
        <f t="shared" si="175"/>
        <v>0</v>
      </c>
      <c r="AE241">
        <f t="shared" si="176"/>
        <v>0</v>
      </c>
      <c r="AF241">
        <f t="shared" si="177"/>
        <v>0</v>
      </c>
      <c r="AG241">
        <f t="shared" si="178"/>
        <v>0</v>
      </c>
      <c r="AH241">
        <f t="shared" si="179"/>
        <v>0</v>
      </c>
      <c r="AI241">
        <f t="shared" si="180"/>
        <v>0</v>
      </c>
      <c r="AJ241">
        <f t="shared" si="181"/>
        <v>0</v>
      </c>
      <c r="AK241">
        <f t="shared" si="182"/>
        <v>0</v>
      </c>
      <c r="AL241">
        <f t="shared" si="183"/>
        <v>0</v>
      </c>
      <c r="AM241">
        <f t="shared" si="184"/>
        <v>0</v>
      </c>
      <c r="AN241">
        <f t="shared" si="185"/>
        <v>0</v>
      </c>
      <c r="AO241">
        <f t="shared" si="186"/>
        <v>0</v>
      </c>
      <c r="AP241">
        <f t="shared" si="187"/>
        <v>0</v>
      </c>
      <c r="AQ241">
        <f t="shared" si="188"/>
        <v>0</v>
      </c>
      <c r="AR241">
        <f t="shared" si="189"/>
        <v>0</v>
      </c>
      <c r="AS241">
        <f t="shared" si="190"/>
        <v>0</v>
      </c>
      <c r="AT241">
        <f t="shared" si="191"/>
        <v>0</v>
      </c>
      <c r="AU241">
        <f t="shared" si="192"/>
        <v>0</v>
      </c>
      <c r="AV241">
        <f t="shared" si="193"/>
        <v>0</v>
      </c>
      <c r="AW241">
        <f t="shared" si="147"/>
        <v>0</v>
      </c>
      <c r="AX241">
        <f t="shared" si="194"/>
        <v>0</v>
      </c>
      <c r="AY241">
        <f t="shared" si="195"/>
        <v>0</v>
      </c>
    </row>
    <row r="242" spans="1:51" x14ac:dyDescent="0.35">
      <c r="A242">
        <v>236</v>
      </c>
      <c r="C242">
        <f t="shared" si="148"/>
        <v>0</v>
      </c>
      <c r="D242">
        <f t="shared" si="149"/>
        <v>0</v>
      </c>
      <c r="E242">
        <f t="shared" si="150"/>
        <v>0</v>
      </c>
      <c r="F242">
        <f t="shared" si="151"/>
        <v>0</v>
      </c>
      <c r="G242">
        <f t="shared" si="152"/>
        <v>0</v>
      </c>
      <c r="H242">
        <f t="shared" si="153"/>
        <v>0</v>
      </c>
      <c r="I242">
        <f t="shared" si="154"/>
        <v>0</v>
      </c>
      <c r="J242">
        <f t="shared" si="155"/>
        <v>0</v>
      </c>
      <c r="K242">
        <f t="shared" si="156"/>
        <v>0</v>
      </c>
      <c r="L242">
        <f t="shared" si="157"/>
        <v>0</v>
      </c>
      <c r="M242">
        <f t="shared" si="158"/>
        <v>0</v>
      </c>
      <c r="N242">
        <f t="shared" si="159"/>
        <v>0</v>
      </c>
      <c r="O242">
        <f t="shared" si="160"/>
        <v>0</v>
      </c>
      <c r="P242">
        <f t="shared" si="161"/>
        <v>0</v>
      </c>
      <c r="Q242">
        <f t="shared" si="162"/>
        <v>0</v>
      </c>
      <c r="R242">
        <f t="shared" si="163"/>
        <v>0</v>
      </c>
      <c r="S242">
        <f t="shared" si="164"/>
        <v>0</v>
      </c>
      <c r="T242">
        <f t="shared" si="165"/>
        <v>0</v>
      </c>
      <c r="U242">
        <f t="shared" si="166"/>
        <v>0</v>
      </c>
      <c r="V242">
        <f t="shared" si="167"/>
        <v>0</v>
      </c>
      <c r="W242">
        <f t="shared" si="168"/>
        <v>0</v>
      </c>
      <c r="X242">
        <f t="shared" si="169"/>
        <v>0</v>
      </c>
      <c r="Y242">
        <f t="shared" si="170"/>
        <v>0</v>
      </c>
      <c r="Z242">
        <f t="shared" si="171"/>
        <v>0</v>
      </c>
      <c r="AA242">
        <f t="shared" si="172"/>
        <v>0</v>
      </c>
      <c r="AB242">
        <f t="shared" si="173"/>
        <v>0</v>
      </c>
      <c r="AC242">
        <f t="shared" si="174"/>
        <v>0</v>
      </c>
      <c r="AD242">
        <f t="shared" si="175"/>
        <v>0</v>
      </c>
      <c r="AE242">
        <f t="shared" si="176"/>
        <v>0</v>
      </c>
      <c r="AF242">
        <f t="shared" si="177"/>
        <v>0</v>
      </c>
      <c r="AG242">
        <f t="shared" si="178"/>
        <v>0</v>
      </c>
      <c r="AH242">
        <f t="shared" si="179"/>
        <v>0</v>
      </c>
      <c r="AI242">
        <f t="shared" si="180"/>
        <v>0</v>
      </c>
      <c r="AJ242">
        <f t="shared" si="181"/>
        <v>0</v>
      </c>
      <c r="AK242">
        <f t="shared" si="182"/>
        <v>0</v>
      </c>
      <c r="AL242">
        <f t="shared" si="183"/>
        <v>0</v>
      </c>
      <c r="AM242">
        <f t="shared" si="184"/>
        <v>0</v>
      </c>
      <c r="AN242">
        <f t="shared" si="185"/>
        <v>0</v>
      </c>
      <c r="AO242">
        <f t="shared" si="186"/>
        <v>0</v>
      </c>
      <c r="AP242">
        <f t="shared" si="187"/>
        <v>0</v>
      </c>
      <c r="AQ242">
        <f t="shared" si="188"/>
        <v>0</v>
      </c>
      <c r="AR242">
        <f t="shared" si="189"/>
        <v>0</v>
      </c>
      <c r="AS242">
        <f t="shared" si="190"/>
        <v>0</v>
      </c>
      <c r="AT242">
        <f t="shared" si="191"/>
        <v>0</v>
      </c>
      <c r="AU242">
        <f t="shared" si="192"/>
        <v>0</v>
      </c>
      <c r="AV242">
        <f t="shared" si="193"/>
        <v>0</v>
      </c>
      <c r="AW242">
        <f t="shared" si="147"/>
        <v>0</v>
      </c>
      <c r="AX242">
        <f t="shared" si="194"/>
        <v>0</v>
      </c>
      <c r="AY242">
        <f t="shared" si="195"/>
        <v>0</v>
      </c>
    </row>
    <row r="243" spans="1:51" x14ac:dyDescent="0.35">
      <c r="A243">
        <v>237</v>
      </c>
      <c r="C243">
        <f t="shared" si="148"/>
        <v>0</v>
      </c>
      <c r="D243">
        <f t="shared" si="149"/>
        <v>0</v>
      </c>
      <c r="E243">
        <f t="shared" si="150"/>
        <v>0</v>
      </c>
      <c r="F243">
        <f t="shared" si="151"/>
        <v>0</v>
      </c>
      <c r="G243">
        <f t="shared" si="152"/>
        <v>0</v>
      </c>
      <c r="H243">
        <f t="shared" si="153"/>
        <v>0</v>
      </c>
      <c r="I243">
        <f t="shared" si="154"/>
        <v>0</v>
      </c>
      <c r="J243">
        <f t="shared" si="155"/>
        <v>0</v>
      </c>
      <c r="K243">
        <f t="shared" si="156"/>
        <v>0</v>
      </c>
      <c r="L243">
        <f t="shared" si="157"/>
        <v>0</v>
      </c>
      <c r="M243">
        <f t="shared" si="158"/>
        <v>0</v>
      </c>
      <c r="N243">
        <f t="shared" si="159"/>
        <v>0</v>
      </c>
      <c r="O243">
        <f t="shared" si="160"/>
        <v>0</v>
      </c>
      <c r="P243">
        <f t="shared" si="161"/>
        <v>0</v>
      </c>
      <c r="Q243">
        <f t="shared" si="162"/>
        <v>0</v>
      </c>
      <c r="R243">
        <f t="shared" si="163"/>
        <v>0</v>
      </c>
      <c r="S243">
        <f t="shared" si="164"/>
        <v>0</v>
      </c>
      <c r="T243">
        <f t="shared" si="165"/>
        <v>0</v>
      </c>
      <c r="U243">
        <f t="shared" si="166"/>
        <v>0</v>
      </c>
      <c r="V243">
        <f t="shared" si="167"/>
        <v>0</v>
      </c>
      <c r="W243">
        <f t="shared" si="168"/>
        <v>0</v>
      </c>
      <c r="X243">
        <f t="shared" si="169"/>
        <v>0</v>
      </c>
      <c r="Y243">
        <f t="shared" si="170"/>
        <v>0</v>
      </c>
      <c r="Z243">
        <f t="shared" si="171"/>
        <v>0</v>
      </c>
      <c r="AA243">
        <f t="shared" si="172"/>
        <v>0</v>
      </c>
      <c r="AB243">
        <f t="shared" si="173"/>
        <v>0</v>
      </c>
      <c r="AC243">
        <f t="shared" si="174"/>
        <v>0</v>
      </c>
      <c r="AD243">
        <f t="shared" si="175"/>
        <v>0</v>
      </c>
      <c r="AE243">
        <f t="shared" si="176"/>
        <v>0</v>
      </c>
      <c r="AF243">
        <f t="shared" si="177"/>
        <v>0</v>
      </c>
      <c r="AG243">
        <f t="shared" si="178"/>
        <v>0</v>
      </c>
      <c r="AH243">
        <f t="shared" si="179"/>
        <v>0</v>
      </c>
      <c r="AI243">
        <f t="shared" si="180"/>
        <v>0</v>
      </c>
      <c r="AJ243">
        <f t="shared" si="181"/>
        <v>0</v>
      </c>
      <c r="AK243">
        <f t="shared" si="182"/>
        <v>0</v>
      </c>
      <c r="AL243">
        <f t="shared" si="183"/>
        <v>0</v>
      </c>
      <c r="AM243">
        <f t="shared" si="184"/>
        <v>0</v>
      </c>
      <c r="AN243">
        <f t="shared" si="185"/>
        <v>0</v>
      </c>
      <c r="AO243">
        <f t="shared" si="186"/>
        <v>0</v>
      </c>
      <c r="AP243">
        <f t="shared" si="187"/>
        <v>0</v>
      </c>
      <c r="AQ243">
        <f t="shared" si="188"/>
        <v>0</v>
      </c>
      <c r="AR243">
        <f t="shared" si="189"/>
        <v>0</v>
      </c>
      <c r="AS243">
        <f t="shared" si="190"/>
        <v>0</v>
      </c>
      <c r="AT243">
        <f t="shared" si="191"/>
        <v>0</v>
      </c>
      <c r="AU243">
        <f t="shared" si="192"/>
        <v>0</v>
      </c>
      <c r="AV243">
        <f t="shared" si="193"/>
        <v>0</v>
      </c>
      <c r="AW243">
        <f t="shared" si="147"/>
        <v>0</v>
      </c>
      <c r="AX243">
        <f t="shared" si="194"/>
        <v>0</v>
      </c>
      <c r="AY243">
        <f t="shared" si="195"/>
        <v>0</v>
      </c>
    </row>
    <row r="244" spans="1:51" x14ac:dyDescent="0.35">
      <c r="A244">
        <v>238</v>
      </c>
      <c r="C244">
        <f t="shared" si="148"/>
        <v>0</v>
      </c>
      <c r="D244">
        <f t="shared" si="149"/>
        <v>0</v>
      </c>
      <c r="E244">
        <f t="shared" si="150"/>
        <v>0</v>
      </c>
      <c r="F244">
        <f t="shared" si="151"/>
        <v>0</v>
      </c>
      <c r="G244">
        <f t="shared" si="152"/>
        <v>0</v>
      </c>
      <c r="H244">
        <f t="shared" si="153"/>
        <v>0</v>
      </c>
      <c r="I244">
        <f t="shared" si="154"/>
        <v>0</v>
      </c>
      <c r="J244">
        <f t="shared" si="155"/>
        <v>0</v>
      </c>
      <c r="K244">
        <f t="shared" si="156"/>
        <v>0</v>
      </c>
      <c r="L244">
        <f t="shared" si="157"/>
        <v>0</v>
      </c>
      <c r="M244">
        <f t="shared" si="158"/>
        <v>0</v>
      </c>
      <c r="N244">
        <f t="shared" si="159"/>
        <v>0</v>
      </c>
      <c r="O244">
        <f t="shared" si="160"/>
        <v>0</v>
      </c>
      <c r="P244">
        <f t="shared" si="161"/>
        <v>0</v>
      </c>
      <c r="Q244">
        <f t="shared" si="162"/>
        <v>0</v>
      </c>
      <c r="R244">
        <f t="shared" si="163"/>
        <v>0</v>
      </c>
      <c r="S244">
        <f t="shared" si="164"/>
        <v>0</v>
      </c>
      <c r="T244">
        <f t="shared" si="165"/>
        <v>0</v>
      </c>
      <c r="U244">
        <f t="shared" si="166"/>
        <v>0</v>
      </c>
      <c r="V244">
        <f t="shared" si="167"/>
        <v>0</v>
      </c>
      <c r="W244">
        <f t="shared" si="168"/>
        <v>0</v>
      </c>
      <c r="X244">
        <f t="shared" si="169"/>
        <v>0</v>
      </c>
      <c r="Y244">
        <f t="shared" si="170"/>
        <v>0</v>
      </c>
      <c r="Z244">
        <f t="shared" si="171"/>
        <v>0</v>
      </c>
      <c r="AA244">
        <f t="shared" si="172"/>
        <v>0</v>
      </c>
      <c r="AB244">
        <f t="shared" si="173"/>
        <v>0</v>
      </c>
      <c r="AC244">
        <f t="shared" si="174"/>
        <v>0</v>
      </c>
      <c r="AD244">
        <f t="shared" si="175"/>
        <v>0</v>
      </c>
      <c r="AE244">
        <f t="shared" si="176"/>
        <v>0</v>
      </c>
      <c r="AF244">
        <f t="shared" si="177"/>
        <v>0</v>
      </c>
      <c r="AG244">
        <f t="shared" si="178"/>
        <v>0</v>
      </c>
      <c r="AH244">
        <f t="shared" si="179"/>
        <v>0</v>
      </c>
      <c r="AI244">
        <f t="shared" si="180"/>
        <v>0</v>
      </c>
      <c r="AJ244">
        <f t="shared" si="181"/>
        <v>0</v>
      </c>
      <c r="AK244">
        <f t="shared" si="182"/>
        <v>0</v>
      </c>
      <c r="AL244">
        <f t="shared" si="183"/>
        <v>0</v>
      </c>
      <c r="AM244">
        <f t="shared" si="184"/>
        <v>0</v>
      </c>
      <c r="AN244">
        <f t="shared" si="185"/>
        <v>0</v>
      </c>
      <c r="AO244">
        <f t="shared" si="186"/>
        <v>0</v>
      </c>
      <c r="AP244">
        <f t="shared" si="187"/>
        <v>0</v>
      </c>
      <c r="AQ244">
        <f t="shared" si="188"/>
        <v>0</v>
      </c>
      <c r="AR244">
        <f t="shared" si="189"/>
        <v>0</v>
      </c>
      <c r="AS244">
        <f t="shared" si="190"/>
        <v>0</v>
      </c>
      <c r="AT244">
        <f t="shared" si="191"/>
        <v>0</v>
      </c>
      <c r="AU244">
        <f t="shared" si="192"/>
        <v>0</v>
      </c>
      <c r="AV244">
        <f t="shared" si="193"/>
        <v>0</v>
      </c>
      <c r="AW244">
        <f t="shared" si="147"/>
        <v>0</v>
      </c>
      <c r="AX244">
        <f t="shared" si="194"/>
        <v>0</v>
      </c>
      <c r="AY244">
        <f t="shared" si="195"/>
        <v>0</v>
      </c>
    </row>
    <row r="245" spans="1:51" x14ac:dyDescent="0.35">
      <c r="A245">
        <v>239</v>
      </c>
      <c r="C245">
        <f t="shared" si="148"/>
        <v>0</v>
      </c>
      <c r="D245">
        <f t="shared" si="149"/>
        <v>0</v>
      </c>
      <c r="E245">
        <f t="shared" si="150"/>
        <v>0</v>
      </c>
      <c r="F245">
        <f t="shared" si="151"/>
        <v>0</v>
      </c>
      <c r="G245">
        <f t="shared" si="152"/>
        <v>0</v>
      </c>
      <c r="H245">
        <f t="shared" si="153"/>
        <v>0</v>
      </c>
      <c r="I245">
        <f t="shared" si="154"/>
        <v>0</v>
      </c>
      <c r="J245">
        <f t="shared" si="155"/>
        <v>0</v>
      </c>
      <c r="K245">
        <f t="shared" si="156"/>
        <v>0</v>
      </c>
      <c r="L245">
        <f t="shared" si="157"/>
        <v>0</v>
      </c>
      <c r="M245">
        <f t="shared" si="158"/>
        <v>0</v>
      </c>
      <c r="N245">
        <f t="shared" si="159"/>
        <v>0</v>
      </c>
      <c r="O245">
        <f t="shared" si="160"/>
        <v>0</v>
      </c>
      <c r="P245">
        <f t="shared" si="161"/>
        <v>0</v>
      </c>
      <c r="Q245">
        <f t="shared" si="162"/>
        <v>0</v>
      </c>
      <c r="R245">
        <f t="shared" si="163"/>
        <v>0</v>
      </c>
      <c r="S245">
        <f t="shared" si="164"/>
        <v>0</v>
      </c>
      <c r="T245">
        <f t="shared" si="165"/>
        <v>0</v>
      </c>
      <c r="U245">
        <f t="shared" si="166"/>
        <v>0</v>
      </c>
      <c r="V245">
        <f t="shared" si="167"/>
        <v>0</v>
      </c>
      <c r="W245">
        <f t="shared" si="168"/>
        <v>0</v>
      </c>
      <c r="X245">
        <f t="shared" si="169"/>
        <v>0</v>
      </c>
      <c r="Y245">
        <f t="shared" si="170"/>
        <v>0</v>
      </c>
      <c r="Z245">
        <f t="shared" si="171"/>
        <v>0</v>
      </c>
      <c r="AA245">
        <f t="shared" si="172"/>
        <v>0</v>
      </c>
      <c r="AB245">
        <f t="shared" si="173"/>
        <v>0</v>
      </c>
      <c r="AC245">
        <f t="shared" si="174"/>
        <v>0</v>
      </c>
      <c r="AD245">
        <f t="shared" si="175"/>
        <v>0</v>
      </c>
      <c r="AE245">
        <f t="shared" si="176"/>
        <v>0</v>
      </c>
      <c r="AF245">
        <f t="shared" si="177"/>
        <v>0</v>
      </c>
      <c r="AG245">
        <f t="shared" si="178"/>
        <v>0</v>
      </c>
      <c r="AH245">
        <f t="shared" si="179"/>
        <v>0</v>
      </c>
      <c r="AI245">
        <f t="shared" si="180"/>
        <v>0</v>
      </c>
      <c r="AJ245">
        <f t="shared" si="181"/>
        <v>0</v>
      </c>
      <c r="AK245">
        <f t="shared" si="182"/>
        <v>0</v>
      </c>
      <c r="AL245">
        <f t="shared" si="183"/>
        <v>0</v>
      </c>
      <c r="AM245">
        <f t="shared" si="184"/>
        <v>0</v>
      </c>
      <c r="AN245">
        <f t="shared" si="185"/>
        <v>0</v>
      </c>
      <c r="AO245">
        <f t="shared" si="186"/>
        <v>0</v>
      </c>
      <c r="AP245">
        <f t="shared" si="187"/>
        <v>0</v>
      </c>
      <c r="AQ245">
        <f t="shared" si="188"/>
        <v>0</v>
      </c>
      <c r="AR245">
        <f t="shared" si="189"/>
        <v>0</v>
      </c>
      <c r="AS245">
        <f t="shared" si="190"/>
        <v>0</v>
      </c>
      <c r="AT245">
        <f t="shared" si="191"/>
        <v>0</v>
      </c>
      <c r="AU245">
        <f t="shared" si="192"/>
        <v>0</v>
      </c>
      <c r="AV245">
        <f t="shared" si="193"/>
        <v>0</v>
      </c>
      <c r="AW245">
        <f t="shared" si="147"/>
        <v>0</v>
      </c>
      <c r="AX245">
        <f t="shared" si="194"/>
        <v>0</v>
      </c>
      <c r="AY245">
        <f t="shared" si="195"/>
        <v>0</v>
      </c>
    </row>
    <row r="246" spans="1:51" x14ac:dyDescent="0.35">
      <c r="A246">
        <v>240</v>
      </c>
      <c r="C246">
        <f t="shared" si="148"/>
        <v>0</v>
      </c>
      <c r="D246">
        <f t="shared" si="149"/>
        <v>0</v>
      </c>
      <c r="E246">
        <f t="shared" si="150"/>
        <v>0</v>
      </c>
      <c r="F246">
        <f t="shared" si="151"/>
        <v>0</v>
      </c>
      <c r="G246">
        <f t="shared" si="152"/>
        <v>0</v>
      </c>
      <c r="H246">
        <f t="shared" si="153"/>
        <v>0</v>
      </c>
      <c r="I246">
        <f t="shared" si="154"/>
        <v>0</v>
      </c>
      <c r="J246">
        <f t="shared" si="155"/>
        <v>0</v>
      </c>
      <c r="K246">
        <f t="shared" si="156"/>
        <v>0</v>
      </c>
      <c r="L246">
        <f t="shared" si="157"/>
        <v>0</v>
      </c>
      <c r="M246">
        <f t="shared" si="158"/>
        <v>0</v>
      </c>
      <c r="N246">
        <f t="shared" si="159"/>
        <v>0</v>
      </c>
      <c r="O246">
        <f t="shared" si="160"/>
        <v>0</v>
      </c>
      <c r="P246">
        <f t="shared" si="161"/>
        <v>0</v>
      </c>
      <c r="Q246">
        <f t="shared" si="162"/>
        <v>0</v>
      </c>
      <c r="R246">
        <f t="shared" si="163"/>
        <v>0</v>
      </c>
      <c r="S246">
        <f t="shared" si="164"/>
        <v>0</v>
      </c>
      <c r="T246">
        <f t="shared" si="165"/>
        <v>0</v>
      </c>
      <c r="U246">
        <f t="shared" si="166"/>
        <v>0</v>
      </c>
      <c r="V246">
        <f t="shared" si="167"/>
        <v>0</v>
      </c>
      <c r="W246">
        <f t="shared" si="168"/>
        <v>0</v>
      </c>
      <c r="X246">
        <f t="shared" si="169"/>
        <v>0</v>
      </c>
      <c r="Y246">
        <f t="shared" si="170"/>
        <v>0</v>
      </c>
      <c r="Z246">
        <f t="shared" si="171"/>
        <v>0</v>
      </c>
      <c r="AA246">
        <f t="shared" si="172"/>
        <v>0</v>
      </c>
      <c r="AB246">
        <f t="shared" si="173"/>
        <v>0</v>
      </c>
      <c r="AC246">
        <f t="shared" si="174"/>
        <v>0</v>
      </c>
      <c r="AD246">
        <f t="shared" si="175"/>
        <v>0</v>
      </c>
      <c r="AE246">
        <f t="shared" si="176"/>
        <v>0</v>
      </c>
      <c r="AF246">
        <f t="shared" si="177"/>
        <v>0</v>
      </c>
      <c r="AG246">
        <f t="shared" si="178"/>
        <v>0</v>
      </c>
      <c r="AH246">
        <f t="shared" si="179"/>
        <v>0</v>
      </c>
      <c r="AI246">
        <f t="shared" si="180"/>
        <v>0</v>
      </c>
      <c r="AJ246">
        <f t="shared" si="181"/>
        <v>0</v>
      </c>
      <c r="AK246">
        <f t="shared" si="182"/>
        <v>0</v>
      </c>
      <c r="AL246">
        <f t="shared" si="183"/>
        <v>0</v>
      </c>
      <c r="AM246">
        <f t="shared" si="184"/>
        <v>0</v>
      </c>
      <c r="AN246">
        <f t="shared" si="185"/>
        <v>0</v>
      </c>
      <c r="AO246">
        <f t="shared" si="186"/>
        <v>0</v>
      </c>
      <c r="AP246">
        <f t="shared" si="187"/>
        <v>0</v>
      </c>
      <c r="AQ246">
        <f t="shared" si="188"/>
        <v>0</v>
      </c>
      <c r="AR246">
        <f t="shared" si="189"/>
        <v>0</v>
      </c>
      <c r="AS246">
        <f t="shared" si="190"/>
        <v>0</v>
      </c>
      <c r="AT246">
        <f t="shared" si="191"/>
        <v>0</v>
      </c>
      <c r="AU246">
        <f t="shared" si="192"/>
        <v>0</v>
      </c>
      <c r="AV246">
        <f t="shared" si="193"/>
        <v>0</v>
      </c>
      <c r="AW246">
        <f t="shared" si="147"/>
        <v>0</v>
      </c>
      <c r="AX246">
        <f t="shared" si="194"/>
        <v>0</v>
      </c>
      <c r="AY246">
        <f t="shared" si="195"/>
        <v>0</v>
      </c>
    </row>
    <row r="247" spans="1:51" x14ac:dyDescent="0.35">
      <c r="A247">
        <v>241</v>
      </c>
      <c r="C247">
        <f t="shared" si="148"/>
        <v>0</v>
      </c>
      <c r="D247">
        <f t="shared" si="149"/>
        <v>0</v>
      </c>
      <c r="E247">
        <f t="shared" si="150"/>
        <v>0</v>
      </c>
      <c r="F247">
        <f t="shared" si="151"/>
        <v>0</v>
      </c>
      <c r="G247">
        <f t="shared" si="152"/>
        <v>0</v>
      </c>
      <c r="H247">
        <f t="shared" si="153"/>
        <v>0</v>
      </c>
      <c r="I247">
        <f t="shared" si="154"/>
        <v>0</v>
      </c>
      <c r="J247">
        <f t="shared" si="155"/>
        <v>0</v>
      </c>
      <c r="K247">
        <f t="shared" si="156"/>
        <v>0</v>
      </c>
      <c r="L247">
        <f t="shared" si="157"/>
        <v>0</v>
      </c>
      <c r="M247">
        <f t="shared" si="158"/>
        <v>0</v>
      </c>
      <c r="N247">
        <f t="shared" si="159"/>
        <v>0</v>
      </c>
      <c r="O247">
        <f t="shared" si="160"/>
        <v>0</v>
      </c>
      <c r="P247">
        <f t="shared" si="161"/>
        <v>0</v>
      </c>
      <c r="Q247">
        <f t="shared" si="162"/>
        <v>0</v>
      </c>
      <c r="R247">
        <f t="shared" si="163"/>
        <v>0</v>
      </c>
      <c r="S247">
        <f t="shared" si="164"/>
        <v>0</v>
      </c>
      <c r="T247">
        <f t="shared" si="165"/>
        <v>0</v>
      </c>
      <c r="U247">
        <f t="shared" si="166"/>
        <v>0</v>
      </c>
      <c r="V247">
        <f t="shared" si="167"/>
        <v>0</v>
      </c>
      <c r="W247">
        <f t="shared" si="168"/>
        <v>0</v>
      </c>
      <c r="X247">
        <f t="shared" si="169"/>
        <v>0</v>
      </c>
      <c r="Y247">
        <f t="shared" si="170"/>
        <v>0</v>
      </c>
      <c r="Z247">
        <f t="shared" si="171"/>
        <v>0</v>
      </c>
      <c r="AA247">
        <f t="shared" si="172"/>
        <v>0</v>
      </c>
      <c r="AB247">
        <f t="shared" si="173"/>
        <v>0</v>
      </c>
      <c r="AC247">
        <f t="shared" si="174"/>
        <v>0</v>
      </c>
      <c r="AD247">
        <f t="shared" si="175"/>
        <v>0</v>
      </c>
      <c r="AE247">
        <f t="shared" si="176"/>
        <v>0</v>
      </c>
      <c r="AF247">
        <f t="shared" si="177"/>
        <v>0</v>
      </c>
      <c r="AG247">
        <f t="shared" si="178"/>
        <v>0</v>
      </c>
      <c r="AH247">
        <f t="shared" si="179"/>
        <v>0</v>
      </c>
      <c r="AI247">
        <f t="shared" si="180"/>
        <v>0</v>
      </c>
      <c r="AJ247">
        <f t="shared" si="181"/>
        <v>0</v>
      </c>
      <c r="AK247">
        <f t="shared" si="182"/>
        <v>0</v>
      </c>
      <c r="AL247">
        <f t="shared" si="183"/>
        <v>0</v>
      </c>
      <c r="AM247">
        <f t="shared" si="184"/>
        <v>0</v>
      </c>
      <c r="AN247">
        <f t="shared" si="185"/>
        <v>0</v>
      </c>
      <c r="AO247">
        <f t="shared" si="186"/>
        <v>0</v>
      </c>
      <c r="AP247">
        <f t="shared" si="187"/>
        <v>0</v>
      </c>
      <c r="AQ247">
        <f t="shared" si="188"/>
        <v>0</v>
      </c>
      <c r="AR247">
        <f t="shared" si="189"/>
        <v>0</v>
      </c>
      <c r="AS247">
        <f t="shared" si="190"/>
        <v>0</v>
      </c>
      <c r="AT247">
        <f t="shared" si="191"/>
        <v>0</v>
      </c>
      <c r="AU247">
        <f t="shared" si="192"/>
        <v>0</v>
      </c>
      <c r="AV247">
        <f t="shared" si="193"/>
        <v>0</v>
      </c>
      <c r="AW247">
        <f t="shared" si="147"/>
        <v>0</v>
      </c>
      <c r="AX247">
        <f t="shared" si="194"/>
        <v>0</v>
      </c>
      <c r="AY247">
        <f t="shared" si="195"/>
        <v>0</v>
      </c>
    </row>
    <row r="248" spans="1:51" x14ac:dyDescent="0.35">
      <c r="A248">
        <v>242</v>
      </c>
      <c r="C248">
        <f t="shared" si="148"/>
        <v>0</v>
      </c>
      <c r="D248">
        <f t="shared" si="149"/>
        <v>0</v>
      </c>
      <c r="E248">
        <f t="shared" si="150"/>
        <v>0</v>
      </c>
      <c r="F248">
        <f t="shared" si="151"/>
        <v>0</v>
      </c>
      <c r="G248">
        <f t="shared" si="152"/>
        <v>0</v>
      </c>
      <c r="H248">
        <f t="shared" si="153"/>
        <v>0</v>
      </c>
      <c r="I248">
        <f t="shared" si="154"/>
        <v>0</v>
      </c>
      <c r="J248">
        <f t="shared" si="155"/>
        <v>0</v>
      </c>
      <c r="K248">
        <f t="shared" si="156"/>
        <v>0</v>
      </c>
      <c r="L248">
        <f t="shared" si="157"/>
        <v>0</v>
      </c>
      <c r="M248">
        <f t="shared" si="158"/>
        <v>0</v>
      </c>
      <c r="N248">
        <f t="shared" si="159"/>
        <v>0</v>
      </c>
      <c r="O248">
        <f t="shared" si="160"/>
        <v>0</v>
      </c>
      <c r="P248">
        <f t="shared" si="161"/>
        <v>0</v>
      </c>
      <c r="Q248">
        <f t="shared" si="162"/>
        <v>0</v>
      </c>
      <c r="R248">
        <f t="shared" si="163"/>
        <v>0</v>
      </c>
      <c r="S248">
        <f t="shared" si="164"/>
        <v>0</v>
      </c>
      <c r="T248">
        <f t="shared" si="165"/>
        <v>0</v>
      </c>
      <c r="U248">
        <f t="shared" si="166"/>
        <v>0</v>
      </c>
      <c r="V248">
        <f t="shared" si="167"/>
        <v>0</v>
      </c>
      <c r="W248">
        <f t="shared" si="168"/>
        <v>0</v>
      </c>
      <c r="X248">
        <f t="shared" si="169"/>
        <v>0</v>
      </c>
      <c r="Y248">
        <f t="shared" si="170"/>
        <v>0</v>
      </c>
      <c r="Z248">
        <f t="shared" si="171"/>
        <v>0</v>
      </c>
      <c r="AA248">
        <f t="shared" si="172"/>
        <v>0</v>
      </c>
      <c r="AB248">
        <f t="shared" si="173"/>
        <v>0</v>
      </c>
      <c r="AC248">
        <f t="shared" si="174"/>
        <v>0</v>
      </c>
      <c r="AD248">
        <f t="shared" si="175"/>
        <v>0</v>
      </c>
      <c r="AE248">
        <f t="shared" si="176"/>
        <v>0</v>
      </c>
      <c r="AF248">
        <f t="shared" si="177"/>
        <v>0</v>
      </c>
      <c r="AG248">
        <f t="shared" si="178"/>
        <v>0</v>
      </c>
      <c r="AH248">
        <f t="shared" si="179"/>
        <v>0</v>
      </c>
      <c r="AI248">
        <f t="shared" si="180"/>
        <v>0</v>
      </c>
      <c r="AJ248">
        <f t="shared" si="181"/>
        <v>0</v>
      </c>
      <c r="AK248">
        <f t="shared" si="182"/>
        <v>0</v>
      </c>
      <c r="AL248">
        <f t="shared" si="183"/>
        <v>0</v>
      </c>
      <c r="AM248">
        <f t="shared" si="184"/>
        <v>0</v>
      </c>
      <c r="AN248">
        <f t="shared" si="185"/>
        <v>0</v>
      </c>
      <c r="AO248">
        <f t="shared" si="186"/>
        <v>0</v>
      </c>
      <c r="AP248">
        <f t="shared" si="187"/>
        <v>0</v>
      </c>
      <c r="AQ248">
        <f t="shared" si="188"/>
        <v>0</v>
      </c>
      <c r="AR248">
        <f t="shared" si="189"/>
        <v>0</v>
      </c>
      <c r="AS248">
        <f t="shared" si="190"/>
        <v>0</v>
      </c>
      <c r="AT248">
        <f t="shared" si="191"/>
        <v>0</v>
      </c>
      <c r="AU248">
        <f t="shared" si="192"/>
        <v>0</v>
      </c>
      <c r="AV248">
        <f t="shared" si="193"/>
        <v>0</v>
      </c>
      <c r="AW248">
        <f t="shared" si="147"/>
        <v>0</v>
      </c>
      <c r="AX248">
        <f t="shared" si="194"/>
        <v>0</v>
      </c>
      <c r="AY248">
        <f t="shared" si="195"/>
        <v>0</v>
      </c>
    </row>
    <row r="249" spans="1:51" x14ac:dyDescent="0.35">
      <c r="A249">
        <v>243</v>
      </c>
      <c r="C249">
        <f t="shared" si="148"/>
        <v>0</v>
      </c>
      <c r="D249">
        <f t="shared" si="149"/>
        <v>0</v>
      </c>
      <c r="E249">
        <f t="shared" si="150"/>
        <v>0</v>
      </c>
      <c r="F249">
        <f t="shared" si="151"/>
        <v>0</v>
      </c>
      <c r="G249">
        <f t="shared" si="152"/>
        <v>0</v>
      </c>
      <c r="H249">
        <f t="shared" si="153"/>
        <v>0</v>
      </c>
      <c r="I249">
        <f t="shared" si="154"/>
        <v>0</v>
      </c>
      <c r="J249">
        <f t="shared" si="155"/>
        <v>0</v>
      </c>
      <c r="K249">
        <f t="shared" si="156"/>
        <v>0</v>
      </c>
      <c r="L249">
        <f t="shared" si="157"/>
        <v>0</v>
      </c>
      <c r="M249">
        <f t="shared" si="158"/>
        <v>0</v>
      </c>
      <c r="N249">
        <f t="shared" si="159"/>
        <v>0</v>
      </c>
      <c r="O249">
        <f t="shared" si="160"/>
        <v>0</v>
      </c>
      <c r="P249">
        <f t="shared" si="161"/>
        <v>0</v>
      </c>
      <c r="Q249">
        <f t="shared" si="162"/>
        <v>0</v>
      </c>
      <c r="R249">
        <f t="shared" si="163"/>
        <v>0</v>
      </c>
      <c r="S249">
        <f t="shared" si="164"/>
        <v>0</v>
      </c>
      <c r="T249">
        <f t="shared" si="165"/>
        <v>0</v>
      </c>
      <c r="U249">
        <f t="shared" si="166"/>
        <v>0</v>
      </c>
      <c r="V249">
        <f t="shared" si="167"/>
        <v>0</v>
      </c>
      <c r="W249">
        <f t="shared" si="168"/>
        <v>0</v>
      </c>
      <c r="X249">
        <f t="shared" si="169"/>
        <v>0</v>
      </c>
      <c r="Y249">
        <f t="shared" si="170"/>
        <v>0</v>
      </c>
      <c r="Z249">
        <f t="shared" si="171"/>
        <v>0</v>
      </c>
      <c r="AA249">
        <f t="shared" si="172"/>
        <v>0</v>
      </c>
      <c r="AB249">
        <f t="shared" si="173"/>
        <v>0</v>
      </c>
      <c r="AC249">
        <f t="shared" si="174"/>
        <v>0</v>
      </c>
      <c r="AD249">
        <f t="shared" si="175"/>
        <v>0</v>
      </c>
      <c r="AE249">
        <f t="shared" si="176"/>
        <v>0</v>
      </c>
      <c r="AF249">
        <f t="shared" si="177"/>
        <v>0</v>
      </c>
      <c r="AG249">
        <f t="shared" si="178"/>
        <v>0</v>
      </c>
      <c r="AH249">
        <f t="shared" si="179"/>
        <v>0</v>
      </c>
      <c r="AI249">
        <f t="shared" si="180"/>
        <v>0</v>
      </c>
      <c r="AJ249">
        <f t="shared" si="181"/>
        <v>0</v>
      </c>
      <c r="AK249">
        <f t="shared" si="182"/>
        <v>0</v>
      </c>
      <c r="AL249">
        <f t="shared" si="183"/>
        <v>0</v>
      </c>
      <c r="AM249">
        <f t="shared" si="184"/>
        <v>0</v>
      </c>
      <c r="AN249">
        <f t="shared" si="185"/>
        <v>0</v>
      </c>
      <c r="AO249">
        <f t="shared" si="186"/>
        <v>0</v>
      </c>
      <c r="AP249">
        <f t="shared" si="187"/>
        <v>0</v>
      </c>
      <c r="AQ249">
        <f t="shared" si="188"/>
        <v>0</v>
      </c>
      <c r="AR249">
        <f t="shared" si="189"/>
        <v>0</v>
      </c>
      <c r="AS249">
        <f t="shared" si="190"/>
        <v>0</v>
      </c>
      <c r="AT249">
        <f t="shared" si="191"/>
        <v>0</v>
      </c>
      <c r="AU249">
        <f t="shared" si="192"/>
        <v>0</v>
      </c>
      <c r="AV249">
        <f t="shared" si="193"/>
        <v>0</v>
      </c>
      <c r="AW249">
        <f t="shared" si="147"/>
        <v>0</v>
      </c>
      <c r="AX249">
        <f t="shared" si="194"/>
        <v>0</v>
      </c>
      <c r="AY249">
        <f t="shared" si="195"/>
        <v>0</v>
      </c>
    </row>
    <row r="250" spans="1:51" x14ac:dyDescent="0.35">
      <c r="A250">
        <v>244</v>
      </c>
      <c r="C250">
        <f t="shared" si="148"/>
        <v>0</v>
      </c>
      <c r="D250">
        <f t="shared" si="149"/>
        <v>0</v>
      </c>
      <c r="E250">
        <f t="shared" si="150"/>
        <v>0</v>
      </c>
      <c r="F250">
        <f t="shared" si="151"/>
        <v>0</v>
      </c>
      <c r="G250">
        <f t="shared" si="152"/>
        <v>0</v>
      </c>
      <c r="H250">
        <f t="shared" si="153"/>
        <v>0</v>
      </c>
      <c r="I250">
        <f t="shared" si="154"/>
        <v>0</v>
      </c>
      <c r="J250">
        <f t="shared" si="155"/>
        <v>0</v>
      </c>
      <c r="K250">
        <f t="shared" si="156"/>
        <v>0</v>
      </c>
      <c r="L250">
        <f t="shared" si="157"/>
        <v>0</v>
      </c>
      <c r="M250">
        <f t="shared" si="158"/>
        <v>0</v>
      </c>
      <c r="N250">
        <f t="shared" si="159"/>
        <v>0</v>
      </c>
      <c r="O250">
        <f t="shared" si="160"/>
        <v>0</v>
      </c>
      <c r="P250">
        <f t="shared" si="161"/>
        <v>0</v>
      </c>
      <c r="Q250">
        <f t="shared" si="162"/>
        <v>0</v>
      </c>
      <c r="R250">
        <f t="shared" si="163"/>
        <v>0</v>
      </c>
      <c r="S250">
        <f t="shared" si="164"/>
        <v>0</v>
      </c>
      <c r="T250">
        <f t="shared" si="165"/>
        <v>0</v>
      </c>
      <c r="U250">
        <f t="shared" si="166"/>
        <v>0</v>
      </c>
      <c r="V250">
        <f t="shared" si="167"/>
        <v>0</v>
      </c>
      <c r="W250">
        <f t="shared" si="168"/>
        <v>0</v>
      </c>
      <c r="X250">
        <f t="shared" si="169"/>
        <v>0</v>
      </c>
      <c r="Y250">
        <f t="shared" si="170"/>
        <v>0</v>
      </c>
      <c r="Z250">
        <f t="shared" si="171"/>
        <v>0</v>
      </c>
      <c r="AA250">
        <f t="shared" si="172"/>
        <v>0</v>
      </c>
      <c r="AB250">
        <f t="shared" si="173"/>
        <v>0</v>
      </c>
      <c r="AC250">
        <f t="shared" si="174"/>
        <v>0</v>
      </c>
      <c r="AD250">
        <f t="shared" si="175"/>
        <v>0</v>
      </c>
      <c r="AE250">
        <f t="shared" si="176"/>
        <v>0</v>
      </c>
      <c r="AF250">
        <f t="shared" si="177"/>
        <v>0</v>
      </c>
      <c r="AG250">
        <f t="shared" si="178"/>
        <v>0</v>
      </c>
      <c r="AH250">
        <f t="shared" si="179"/>
        <v>0</v>
      </c>
      <c r="AI250">
        <f t="shared" si="180"/>
        <v>0</v>
      </c>
      <c r="AJ250">
        <f t="shared" si="181"/>
        <v>0</v>
      </c>
      <c r="AK250">
        <f t="shared" si="182"/>
        <v>0</v>
      </c>
      <c r="AL250">
        <f t="shared" si="183"/>
        <v>0</v>
      </c>
      <c r="AM250">
        <f t="shared" si="184"/>
        <v>0</v>
      </c>
      <c r="AN250">
        <f t="shared" si="185"/>
        <v>0</v>
      </c>
      <c r="AO250">
        <f t="shared" si="186"/>
        <v>0</v>
      </c>
      <c r="AP250">
        <f t="shared" si="187"/>
        <v>0</v>
      </c>
      <c r="AQ250">
        <f t="shared" si="188"/>
        <v>0</v>
      </c>
      <c r="AR250">
        <f t="shared" si="189"/>
        <v>0</v>
      </c>
      <c r="AS250">
        <f t="shared" si="190"/>
        <v>0</v>
      </c>
      <c r="AT250">
        <f t="shared" si="191"/>
        <v>0</v>
      </c>
      <c r="AU250">
        <f t="shared" si="192"/>
        <v>0</v>
      </c>
      <c r="AV250">
        <f t="shared" si="193"/>
        <v>0</v>
      </c>
      <c r="AW250">
        <f t="shared" si="147"/>
        <v>0</v>
      </c>
      <c r="AX250">
        <f t="shared" si="194"/>
        <v>0</v>
      </c>
      <c r="AY250">
        <f t="shared" si="195"/>
        <v>0</v>
      </c>
    </row>
    <row r="251" spans="1:51" x14ac:dyDescent="0.35">
      <c r="A251">
        <v>245</v>
      </c>
      <c r="C251">
        <f t="shared" si="148"/>
        <v>0</v>
      </c>
      <c r="D251">
        <f t="shared" si="149"/>
        <v>0</v>
      </c>
      <c r="E251">
        <f t="shared" si="150"/>
        <v>0</v>
      </c>
      <c r="F251">
        <f t="shared" si="151"/>
        <v>0</v>
      </c>
      <c r="G251">
        <f t="shared" si="152"/>
        <v>0</v>
      </c>
      <c r="H251">
        <f t="shared" si="153"/>
        <v>0</v>
      </c>
      <c r="I251">
        <f t="shared" si="154"/>
        <v>0</v>
      </c>
      <c r="J251">
        <f t="shared" si="155"/>
        <v>0</v>
      </c>
      <c r="K251">
        <f t="shared" si="156"/>
        <v>0</v>
      </c>
      <c r="L251">
        <f t="shared" si="157"/>
        <v>0</v>
      </c>
      <c r="M251">
        <f t="shared" si="158"/>
        <v>0</v>
      </c>
      <c r="N251">
        <f t="shared" si="159"/>
        <v>0</v>
      </c>
      <c r="O251">
        <f t="shared" si="160"/>
        <v>0</v>
      </c>
      <c r="P251">
        <f t="shared" si="161"/>
        <v>0</v>
      </c>
      <c r="Q251">
        <f t="shared" si="162"/>
        <v>0</v>
      </c>
      <c r="R251">
        <f t="shared" si="163"/>
        <v>0</v>
      </c>
      <c r="S251">
        <f t="shared" si="164"/>
        <v>0</v>
      </c>
      <c r="T251">
        <f t="shared" si="165"/>
        <v>0</v>
      </c>
      <c r="U251">
        <f t="shared" si="166"/>
        <v>0</v>
      </c>
      <c r="V251">
        <f t="shared" si="167"/>
        <v>0</v>
      </c>
      <c r="W251">
        <f t="shared" si="168"/>
        <v>0</v>
      </c>
      <c r="X251">
        <f t="shared" si="169"/>
        <v>0</v>
      </c>
      <c r="Y251">
        <f t="shared" si="170"/>
        <v>0</v>
      </c>
      <c r="Z251">
        <f t="shared" si="171"/>
        <v>0</v>
      </c>
      <c r="AA251">
        <f t="shared" si="172"/>
        <v>0</v>
      </c>
      <c r="AB251">
        <f t="shared" si="173"/>
        <v>0</v>
      </c>
      <c r="AC251">
        <f t="shared" si="174"/>
        <v>0</v>
      </c>
      <c r="AD251">
        <f t="shared" si="175"/>
        <v>0</v>
      </c>
      <c r="AE251">
        <f t="shared" si="176"/>
        <v>0</v>
      </c>
      <c r="AF251">
        <f t="shared" si="177"/>
        <v>0</v>
      </c>
      <c r="AG251">
        <f t="shared" si="178"/>
        <v>0</v>
      </c>
      <c r="AH251">
        <f t="shared" si="179"/>
        <v>0</v>
      </c>
      <c r="AI251">
        <f t="shared" si="180"/>
        <v>0</v>
      </c>
      <c r="AJ251">
        <f t="shared" si="181"/>
        <v>0</v>
      </c>
      <c r="AK251">
        <f t="shared" si="182"/>
        <v>0</v>
      </c>
      <c r="AL251">
        <f t="shared" si="183"/>
        <v>0</v>
      </c>
      <c r="AM251">
        <f t="shared" si="184"/>
        <v>0</v>
      </c>
      <c r="AN251">
        <f t="shared" si="185"/>
        <v>0</v>
      </c>
      <c r="AO251">
        <f t="shared" si="186"/>
        <v>0</v>
      </c>
      <c r="AP251">
        <f t="shared" si="187"/>
        <v>0</v>
      </c>
      <c r="AQ251">
        <f t="shared" si="188"/>
        <v>0</v>
      </c>
      <c r="AR251">
        <f t="shared" si="189"/>
        <v>0</v>
      </c>
      <c r="AS251">
        <f t="shared" si="190"/>
        <v>0</v>
      </c>
      <c r="AT251">
        <f t="shared" si="191"/>
        <v>0</v>
      </c>
      <c r="AU251">
        <f t="shared" si="192"/>
        <v>0</v>
      </c>
      <c r="AV251">
        <f t="shared" si="193"/>
        <v>0</v>
      </c>
      <c r="AW251">
        <f t="shared" si="147"/>
        <v>0</v>
      </c>
      <c r="AX251">
        <f t="shared" si="194"/>
        <v>0</v>
      </c>
      <c r="AY251">
        <f t="shared" si="195"/>
        <v>0</v>
      </c>
    </row>
    <row r="252" spans="1:51" x14ac:dyDescent="0.35">
      <c r="A252">
        <v>246</v>
      </c>
      <c r="C252">
        <f t="shared" si="148"/>
        <v>0</v>
      </c>
      <c r="D252">
        <f t="shared" si="149"/>
        <v>0</v>
      </c>
      <c r="E252">
        <f t="shared" si="150"/>
        <v>0</v>
      </c>
      <c r="F252">
        <f t="shared" si="151"/>
        <v>0</v>
      </c>
      <c r="G252">
        <f t="shared" si="152"/>
        <v>0</v>
      </c>
      <c r="H252">
        <f t="shared" si="153"/>
        <v>0</v>
      </c>
      <c r="I252">
        <f t="shared" si="154"/>
        <v>0</v>
      </c>
      <c r="J252">
        <f t="shared" si="155"/>
        <v>0</v>
      </c>
      <c r="K252">
        <f t="shared" si="156"/>
        <v>0</v>
      </c>
      <c r="L252">
        <f t="shared" si="157"/>
        <v>0</v>
      </c>
      <c r="M252">
        <f t="shared" si="158"/>
        <v>0</v>
      </c>
      <c r="N252">
        <f t="shared" si="159"/>
        <v>0</v>
      </c>
      <c r="O252">
        <f t="shared" si="160"/>
        <v>0</v>
      </c>
      <c r="P252">
        <f t="shared" si="161"/>
        <v>0</v>
      </c>
      <c r="Q252">
        <f t="shared" si="162"/>
        <v>0</v>
      </c>
      <c r="R252">
        <f t="shared" si="163"/>
        <v>0</v>
      </c>
      <c r="S252">
        <f t="shared" si="164"/>
        <v>0</v>
      </c>
      <c r="T252">
        <f t="shared" si="165"/>
        <v>0</v>
      </c>
      <c r="U252">
        <f t="shared" si="166"/>
        <v>0</v>
      </c>
      <c r="V252">
        <f t="shared" si="167"/>
        <v>0</v>
      </c>
      <c r="W252">
        <f t="shared" si="168"/>
        <v>0</v>
      </c>
      <c r="X252">
        <f t="shared" si="169"/>
        <v>0</v>
      </c>
      <c r="Y252">
        <f t="shared" si="170"/>
        <v>0</v>
      </c>
      <c r="Z252">
        <f t="shared" si="171"/>
        <v>0</v>
      </c>
      <c r="AA252">
        <f t="shared" si="172"/>
        <v>0</v>
      </c>
      <c r="AB252">
        <f t="shared" si="173"/>
        <v>0</v>
      </c>
      <c r="AC252">
        <f t="shared" si="174"/>
        <v>0</v>
      </c>
      <c r="AD252">
        <f t="shared" si="175"/>
        <v>0</v>
      </c>
      <c r="AE252">
        <f t="shared" si="176"/>
        <v>0</v>
      </c>
      <c r="AF252">
        <f t="shared" si="177"/>
        <v>0</v>
      </c>
      <c r="AG252">
        <f t="shared" si="178"/>
        <v>0</v>
      </c>
      <c r="AH252">
        <f t="shared" si="179"/>
        <v>0</v>
      </c>
      <c r="AI252">
        <f t="shared" si="180"/>
        <v>0</v>
      </c>
      <c r="AJ252">
        <f t="shared" si="181"/>
        <v>0</v>
      </c>
      <c r="AK252">
        <f t="shared" si="182"/>
        <v>0</v>
      </c>
      <c r="AL252">
        <f t="shared" si="183"/>
        <v>0</v>
      </c>
      <c r="AM252">
        <f t="shared" si="184"/>
        <v>0</v>
      </c>
      <c r="AN252">
        <f t="shared" si="185"/>
        <v>0</v>
      </c>
      <c r="AO252">
        <f t="shared" si="186"/>
        <v>0</v>
      </c>
      <c r="AP252">
        <f t="shared" si="187"/>
        <v>0</v>
      </c>
      <c r="AQ252">
        <f t="shared" si="188"/>
        <v>0</v>
      </c>
      <c r="AR252">
        <f t="shared" si="189"/>
        <v>0</v>
      </c>
      <c r="AS252">
        <f t="shared" si="190"/>
        <v>0</v>
      </c>
      <c r="AT252">
        <f t="shared" si="191"/>
        <v>0</v>
      </c>
      <c r="AU252">
        <f t="shared" si="192"/>
        <v>0</v>
      </c>
      <c r="AV252">
        <f t="shared" si="193"/>
        <v>0</v>
      </c>
      <c r="AW252">
        <f t="shared" si="147"/>
        <v>0</v>
      </c>
      <c r="AX252">
        <f t="shared" si="194"/>
        <v>0</v>
      </c>
      <c r="AY252">
        <f t="shared" si="195"/>
        <v>0</v>
      </c>
    </row>
    <row r="253" spans="1:51" x14ac:dyDescent="0.35">
      <c r="A253">
        <v>247</v>
      </c>
      <c r="C253">
        <f t="shared" si="148"/>
        <v>0</v>
      </c>
      <c r="D253">
        <f t="shared" si="149"/>
        <v>0</v>
      </c>
      <c r="E253">
        <f t="shared" si="150"/>
        <v>0</v>
      </c>
      <c r="F253">
        <f t="shared" si="151"/>
        <v>0</v>
      </c>
      <c r="G253">
        <f t="shared" si="152"/>
        <v>0</v>
      </c>
      <c r="H253">
        <f t="shared" si="153"/>
        <v>0</v>
      </c>
      <c r="I253">
        <f t="shared" si="154"/>
        <v>0</v>
      </c>
      <c r="J253">
        <f t="shared" si="155"/>
        <v>0</v>
      </c>
      <c r="K253">
        <f t="shared" si="156"/>
        <v>0</v>
      </c>
      <c r="L253">
        <f t="shared" si="157"/>
        <v>0</v>
      </c>
      <c r="M253">
        <f t="shared" si="158"/>
        <v>0</v>
      </c>
      <c r="N253">
        <f t="shared" si="159"/>
        <v>0</v>
      </c>
      <c r="O253">
        <f t="shared" si="160"/>
        <v>0</v>
      </c>
      <c r="P253">
        <f t="shared" si="161"/>
        <v>0</v>
      </c>
      <c r="Q253">
        <f t="shared" si="162"/>
        <v>0</v>
      </c>
      <c r="R253">
        <f t="shared" si="163"/>
        <v>0</v>
      </c>
      <c r="S253">
        <f t="shared" si="164"/>
        <v>0</v>
      </c>
      <c r="T253">
        <f t="shared" si="165"/>
        <v>0</v>
      </c>
      <c r="U253">
        <f t="shared" si="166"/>
        <v>0</v>
      </c>
      <c r="V253">
        <f t="shared" si="167"/>
        <v>0</v>
      </c>
      <c r="W253">
        <f t="shared" si="168"/>
        <v>0</v>
      </c>
      <c r="X253">
        <f t="shared" si="169"/>
        <v>0</v>
      </c>
      <c r="Y253">
        <f t="shared" si="170"/>
        <v>0</v>
      </c>
      <c r="Z253">
        <f t="shared" si="171"/>
        <v>0</v>
      </c>
      <c r="AA253">
        <f t="shared" si="172"/>
        <v>0</v>
      </c>
      <c r="AB253">
        <f t="shared" si="173"/>
        <v>0</v>
      </c>
      <c r="AC253">
        <f t="shared" si="174"/>
        <v>0</v>
      </c>
      <c r="AD253">
        <f t="shared" si="175"/>
        <v>0</v>
      </c>
      <c r="AE253">
        <f t="shared" si="176"/>
        <v>0</v>
      </c>
      <c r="AF253">
        <f t="shared" si="177"/>
        <v>0</v>
      </c>
      <c r="AG253">
        <f t="shared" si="178"/>
        <v>0</v>
      </c>
      <c r="AH253">
        <f t="shared" si="179"/>
        <v>0</v>
      </c>
      <c r="AI253">
        <f t="shared" si="180"/>
        <v>0</v>
      </c>
      <c r="AJ253">
        <f t="shared" si="181"/>
        <v>0</v>
      </c>
      <c r="AK253">
        <f t="shared" si="182"/>
        <v>0</v>
      </c>
      <c r="AL253">
        <f t="shared" si="183"/>
        <v>0</v>
      </c>
      <c r="AM253">
        <f t="shared" si="184"/>
        <v>0</v>
      </c>
      <c r="AN253">
        <f t="shared" si="185"/>
        <v>0</v>
      </c>
      <c r="AO253">
        <f t="shared" si="186"/>
        <v>0</v>
      </c>
      <c r="AP253">
        <f t="shared" si="187"/>
        <v>0</v>
      </c>
      <c r="AQ253">
        <f t="shared" si="188"/>
        <v>0</v>
      </c>
      <c r="AR253">
        <f t="shared" si="189"/>
        <v>0</v>
      </c>
      <c r="AS253">
        <f t="shared" si="190"/>
        <v>0</v>
      </c>
      <c r="AT253">
        <f t="shared" si="191"/>
        <v>0</v>
      </c>
      <c r="AU253">
        <f t="shared" si="192"/>
        <v>0</v>
      </c>
      <c r="AV253">
        <f t="shared" si="193"/>
        <v>0</v>
      </c>
      <c r="AW253">
        <f t="shared" si="147"/>
        <v>0</v>
      </c>
      <c r="AX253">
        <f t="shared" si="194"/>
        <v>0</v>
      </c>
      <c r="AY253">
        <f t="shared" si="195"/>
        <v>0</v>
      </c>
    </row>
    <row r="254" spans="1:51" x14ac:dyDescent="0.35">
      <c r="A254">
        <v>248</v>
      </c>
      <c r="C254">
        <f t="shared" si="148"/>
        <v>0</v>
      </c>
      <c r="D254">
        <f t="shared" si="149"/>
        <v>0</v>
      </c>
      <c r="E254">
        <f t="shared" si="150"/>
        <v>0</v>
      </c>
      <c r="F254">
        <f t="shared" si="151"/>
        <v>0</v>
      </c>
      <c r="G254">
        <f t="shared" si="152"/>
        <v>0</v>
      </c>
      <c r="H254">
        <f t="shared" si="153"/>
        <v>0</v>
      </c>
      <c r="I254">
        <f t="shared" si="154"/>
        <v>0</v>
      </c>
      <c r="J254">
        <f t="shared" si="155"/>
        <v>0</v>
      </c>
      <c r="K254">
        <f t="shared" si="156"/>
        <v>0</v>
      </c>
      <c r="L254">
        <f t="shared" si="157"/>
        <v>0</v>
      </c>
      <c r="M254">
        <f t="shared" si="158"/>
        <v>0</v>
      </c>
      <c r="N254">
        <f t="shared" si="159"/>
        <v>0</v>
      </c>
      <c r="O254">
        <f t="shared" si="160"/>
        <v>0</v>
      </c>
      <c r="P254">
        <f t="shared" si="161"/>
        <v>0</v>
      </c>
      <c r="Q254">
        <f t="shared" si="162"/>
        <v>0</v>
      </c>
      <c r="R254">
        <f t="shared" si="163"/>
        <v>0</v>
      </c>
      <c r="S254">
        <f t="shared" si="164"/>
        <v>0</v>
      </c>
      <c r="T254">
        <f t="shared" si="165"/>
        <v>0</v>
      </c>
      <c r="U254">
        <f t="shared" si="166"/>
        <v>0</v>
      </c>
      <c r="V254">
        <f t="shared" si="167"/>
        <v>0</v>
      </c>
      <c r="W254">
        <f t="shared" si="168"/>
        <v>0</v>
      </c>
      <c r="X254">
        <f t="shared" si="169"/>
        <v>0</v>
      </c>
      <c r="Y254">
        <f t="shared" si="170"/>
        <v>0</v>
      </c>
      <c r="Z254">
        <f t="shared" si="171"/>
        <v>0</v>
      </c>
      <c r="AA254">
        <f t="shared" si="172"/>
        <v>0</v>
      </c>
      <c r="AB254">
        <f t="shared" si="173"/>
        <v>0</v>
      </c>
      <c r="AC254">
        <f t="shared" si="174"/>
        <v>0</v>
      </c>
      <c r="AD254">
        <f t="shared" si="175"/>
        <v>0</v>
      </c>
      <c r="AE254">
        <f t="shared" si="176"/>
        <v>0</v>
      </c>
      <c r="AF254">
        <f t="shared" si="177"/>
        <v>0</v>
      </c>
      <c r="AG254">
        <f t="shared" si="178"/>
        <v>0</v>
      </c>
      <c r="AH254">
        <f t="shared" si="179"/>
        <v>0</v>
      </c>
      <c r="AI254">
        <f t="shared" si="180"/>
        <v>0</v>
      </c>
      <c r="AJ254">
        <f t="shared" si="181"/>
        <v>0</v>
      </c>
      <c r="AK254">
        <f t="shared" si="182"/>
        <v>0</v>
      </c>
      <c r="AL254">
        <f t="shared" si="183"/>
        <v>0</v>
      </c>
      <c r="AM254">
        <f t="shared" si="184"/>
        <v>0</v>
      </c>
      <c r="AN254">
        <f t="shared" si="185"/>
        <v>0</v>
      </c>
      <c r="AO254">
        <f t="shared" si="186"/>
        <v>0</v>
      </c>
      <c r="AP254">
        <f t="shared" si="187"/>
        <v>0</v>
      </c>
      <c r="AQ254">
        <f t="shared" si="188"/>
        <v>0</v>
      </c>
      <c r="AR254">
        <f t="shared" si="189"/>
        <v>0</v>
      </c>
      <c r="AS254">
        <f t="shared" si="190"/>
        <v>0</v>
      </c>
      <c r="AT254">
        <f t="shared" si="191"/>
        <v>0</v>
      </c>
      <c r="AU254">
        <f t="shared" si="192"/>
        <v>0</v>
      </c>
      <c r="AV254">
        <f t="shared" si="193"/>
        <v>0</v>
      </c>
      <c r="AW254">
        <f t="shared" si="147"/>
        <v>0</v>
      </c>
      <c r="AX254">
        <f t="shared" si="194"/>
        <v>0</v>
      </c>
      <c r="AY254">
        <f t="shared" si="195"/>
        <v>0</v>
      </c>
    </row>
    <row r="255" spans="1:51" x14ac:dyDescent="0.35">
      <c r="A255">
        <v>249</v>
      </c>
      <c r="C255">
        <f t="shared" si="148"/>
        <v>0</v>
      </c>
      <c r="D255">
        <f t="shared" si="149"/>
        <v>0</v>
      </c>
      <c r="E255">
        <f t="shared" si="150"/>
        <v>0</v>
      </c>
      <c r="F255">
        <f t="shared" si="151"/>
        <v>0</v>
      </c>
      <c r="G255">
        <f t="shared" si="152"/>
        <v>0</v>
      </c>
      <c r="H255">
        <f t="shared" si="153"/>
        <v>0</v>
      </c>
      <c r="I255">
        <f t="shared" si="154"/>
        <v>0</v>
      </c>
      <c r="J255">
        <f t="shared" si="155"/>
        <v>0</v>
      </c>
      <c r="K255">
        <f t="shared" si="156"/>
        <v>0</v>
      </c>
      <c r="L255">
        <f t="shared" si="157"/>
        <v>0</v>
      </c>
      <c r="M255">
        <f t="shared" si="158"/>
        <v>0</v>
      </c>
      <c r="N255">
        <f t="shared" si="159"/>
        <v>0</v>
      </c>
      <c r="O255">
        <f t="shared" si="160"/>
        <v>0</v>
      </c>
      <c r="P255">
        <f t="shared" si="161"/>
        <v>0</v>
      </c>
      <c r="Q255">
        <f t="shared" si="162"/>
        <v>0</v>
      </c>
      <c r="R255">
        <f t="shared" si="163"/>
        <v>0</v>
      </c>
      <c r="S255">
        <f t="shared" si="164"/>
        <v>0</v>
      </c>
      <c r="T255">
        <f t="shared" si="165"/>
        <v>0</v>
      </c>
      <c r="U255">
        <f t="shared" si="166"/>
        <v>0</v>
      </c>
      <c r="V255">
        <f t="shared" si="167"/>
        <v>0</v>
      </c>
      <c r="W255">
        <f t="shared" si="168"/>
        <v>0</v>
      </c>
      <c r="X255">
        <f t="shared" si="169"/>
        <v>0</v>
      </c>
      <c r="Y255">
        <f t="shared" si="170"/>
        <v>0</v>
      </c>
      <c r="Z255">
        <f t="shared" si="171"/>
        <v>0</v>
      </c>
      <c r="AA255">
        <f t="shared" si="172"/>
        <v>0</v>
      </c>
      <c r="AB255">
        <f t="shared" si="173"/>
        <v>0</v>
      </c>
      <c r="AC255">
        <f t="shared" si="174"/>
        <v>0</v>
      </c>
      <c r="AD255">
        <f t="shared" si="175"/>
        <v>0</v>
      </c>
      <c r="AE255">
        <f t="shared" si="176"/>
        <v>0</v>
      </c>
      <c r="AF255">
        <f t="shared" si="177"/>
        <v>0</v>
      </c>
      <c r="AG255">
        <f t="shared" si="178"/>
        <v>0</v>
      </c>
      <c r="AH255">
        <f t="shared" si="179"/>
        <v>0</v>
      </c>
      <c r="AI255">
        <f t="shared" si="180"/>
        <v>0</v>
      </c>
      <c r="AJ255">
        <f t="shared" si="181"/>
        <v>0</v>
      </c>
      <c r="AK255">
        <f t="shared" si="182"/>
        <v>0</v>
      </c>
      <c r="AL255">
        <f t="shared" si="183"/>
        <v>0</v>
      </c>
      <c r="AM255">
        <f t="shared" si="184"/>
        <v>0</v>
      </c>
      <c r="AN255">
        <f t="shared" si="185"/>
        <v>0</v>
      </c>
      <c r="AO255">
        <f t="shared" si="186"/>
        <v>0</v>
      </c>
      <c r="AP255">
        <f t="shared" si="187"/>
        <v>0</v>
      </c>
      <c r="AQ255">
        <f t="shared" si="188"/>
        <v>0</v>
      </c>
      <c r="AR255">
        <f t="shared" si="189"/>
        <v>0</v>
      </c>
      <c r="AS255">
        <f t="shared" si="190"/>
        <v>0</v>
      </c>
      <c r="AT255">
        <f t="shared" si="191"/>
        <v>0</v>
      </c>
      <c r="AU255">
        <f t="shared" si="192"/>
        <v>0</v>
      </c>
      <c r="AV255">
        <f t="shared" si="193"/>
        <v>0</v>
      </c>
      <c r="AW255">
        <f t="shared" si="147"/>
        <v>0</v>
      </c>
      <c r="AX255">
        <f t="shared" si="194"/>
        <v>0</v>
      </c>
      <c r="AY255">
        <f t="shared" si="195"/>
        <v>0</v>
      </c>
    </row>
    <row r="256" spans="1:51" x14ac:dyDescent="0.35">
      <c r="A256">
        <v>250</v>
      </c>
      <c r="C256">
        <f t="shared" si="148"/>
        <v>0</v>
      </c>
      <c r="D256">
        <f t="shared" si="149"/>
        <v>0</v>
      </c>
      <c r="E256">
        <f t="shared" si="150"/>
        <v>0</v>
      </c>
      <c r="F256">
        <f t="shared" si="151"/>
        <v>0</v>
      </c>
      <c r="G256">
        <f t="shared" si="152"/>
        <v>0</v>
      </c>
      <c r="H256">
        <f t="shared" si="153"/>
        <v>0</v>
      </c>
      <c r="I256">
        <f t="shared" si="154"/>
        <v>0</v>
      </c>
      <c r="J256">
        <f t="shared" si="155"/>
        <v>0</v>
      </c>
      <c r="K256">
        <f t="shared" si="156"/>
        <v>0</v>
      </c>
      <c r="L256">
        <f t="shared" si="157"/>
        <v>0</v>
      </c>
      <c r="M256">
        <f t="shared" si="158"/>
        <v>0</v>
      </c>
      <c r="N256">
        <f t="shared" si="159"/>
        <v>0</v>
      </c>
      <c r="O256">
        <f t="shared" si="160"/>
        <v>0</v>
      </c>
      <c r="P256">
        <f t="shared" si="161"/>
        <v>0</v>
      </c>
      <c r="Q256">
        <f t="shared" si="162"/>
        <v>0</v>
      </c>
      <c r="R256">
        <f t="shared" si="163"/>
        <v>0</v>
      </c>
      <c r="S256">
        <f t="shared" si="164"/>
        <v>0</v>
      </c>
      <c r="T256">
        <f t="shared" si="165"/>
        <v>0</v>
      </c>
      <c r="U256">
        <f t="shared" si="166"/>
        <v>0</v>
      </c>
      <c r="V256">
        <f t="shared" si="167"/>
        <v>0</v>
      </c>
      <c r="W256">
        <f t="shared" si="168"/>
        <v>0</v>
      </c>
      <c r="X256">
        <f t="shared" si="169"/>
        <v>0</v>
      </c>
      <c r="Y256">
        <f t="shared" si="170"/>
        <v>0</v>
      </c>
      <c r="Z256">
        <f t="shared" si="171"/>
        <v>0</v>
      </c>
      <c r="AA256">
        <f t="shared" si="172"/>
        <v>0</v>
      </c>
      <c r="AB256">
        <f t="shared" si="173"/>
        <v>0</v>
      </c>
      <c r="AC256">
        <f t="shared" si="174"/>
        <v>0</v>
      </c>
      <c r="AD256">
        <f t="shared" si="175"/>
        <v>0</v>
      </c>
      <c r="AE256">
        <f t="shared" si="176"/>
        <v>0</v>
      </c>
      <c r="AF256">
        <f t="shared" si="177"/>
        <v>0</v>
      </c>
      <c r="AG256">
        <f t="shared" si="178"/>
        <v>0</v>
      </c>
      <c r="AH256">
        <f t="shared" si="179"/>
        <v>0</v>
      </c>
      <c r="AI256">
        <f t="shared" si="180"/>
        <v>0</v>
      </c>
      <c r="AJ256">
        <f t="shared" si="181"/>
        <v>0</v>
      </c>
      <c r="AK256">
        <f t="shared" si="182"/>
        <v>0</v>
      </c>
      <c r="AL256">
        <f t="shared" si="183"/>
        <v>0</v>
      </c>
      <c r="AM256">
        <f t="shared" si="184"/>
        <v>0</v>
      </c>
      <c r="AN256">
        <f t="shared" si="185"/>
        <v>0</v>
      </c>
      <c r="AO256">
        <f t="shared" si="186"/>
        <v>0</v>
      </c>
      <c r="AP256">
        <f t="shared" si="187"/>
        <v>0</v>
      </c>
      <c r="AQ256">
        <f t="shared" si="188"/>
        <v>0</v>
      </c>
      <c r="AR256">
        <f t="shared" si="189"/>
        <v>0</v>
      </c>
      <c r="AS256">
        <f t="shared" si="190"/>
        <v>0</v>
      </c>
      <c r="AT256">
        <f t="shared" si="191"/>
        <v>0</v>
      </c>
      <c r="AU256">
        <f t="shared" si="192"/>
        <v>0</v>
      </c>
      <c r="AV256">
        <f t="shared" si="193"/>
        <v>0</v>
      </c>
      <c r="AW256">
        <f t="shared" si="147"/>
        <v>0</v>
      </c>
      <c r="AX256">
        <f t="shared" si="194"/>
        <v>0</v>
      </c>
      <c r="AY256">
        <f t="shared" si="195"/>
        <v>0</v>
      </c>
    </row>
    <row r="257" spans="1:51" x14ac:dyDescent="0.35">
      <c r="A257">
        <v>251</v>
      </c>
      <c r="C257">
        <f t="shared" si="148"/>
        <v>0</v>
      </c>
      <c r="D257">
        <f t="shared" si="149"/>
        <v>0</v>
      </c>
      <c r="E257">
        <f t="shared" si="150"/>
        <v>0</v>
      </c>
      <c r="F257">
        <f t="shared" si="151"/>
        <v>0</v>
      </c>
      <c r="G257">
        <f t="shared" si="152"/>
        <v>0</v>
      </c>
      <c r="H257">
        <f t="shared" si="153"/>
        <v>0</v>
      </c>
      <c r="I257">
        <f t="shared" si="154"/>
        <v>0</v>
      </c>
      <c r="J257">
        <f t="shared" si="155"/>
        <v>0</v>
      </c>
      <c r="K257">
        <f t="shared" si="156"/>
        <v>0</v>
      </c>
      <c r="L257">
        <f t="shared" si="157"/>
        <v>0</v>
      </c>
      <c r="M257">
        <f t="shared" si="158"/>
        <v>0</v>
      </c>
      <c r="N257">
        <f t="shared" si="159"/>
        <v>0</v>
      </c>
      <c r="O257">
        <f t="shared" si="160"/>
        <v>0</v>
      </c>
      <c r="P257">
        <f t="shared" si="161"/>
        <v>0</v>
      </c>
      <c r="Q257">
        <f t="shared" si="162"/>
        <v>0</v>
      </c>
      <c r="R257">
        <f t="shared" si="163"/>
        <v>0</v>
      </c>
      <c r="S257">
        <f t="shared" si="164"/>
        <v>0</v>
      </c>
      <c r="T257">
        <f t="shared" si="165"/>
        <v>0</v>
      </c>
      <c r="U257">
        <f t="shared" si="166"/>
        <v>0</v>
      </c>
      <c r="V257">
        <f t="shared" si="167"/>
        <v>0</v>
      </c>
      <c r="W257">
        <f t="shared" si="168"/>
        <v>0</v>
      </c>
      <c r="X257">
        <f t="shared" si="169"/>
        <v>0</v>
      </c>
      <c r="Y257">
        <f t="shared" si="170"/>
        <v>0</v>
      </c>
      <c r="Z257">
        <f t="shared" si="171"/>
        <v>0</v>
      </c>
      <c r="AA257">
        <f t="shared" si="172"/>
        <v>0</v>
      </c>
      <c r="AB257">
        <f t="shared" si="173"/>
        <v>0</v>
      </c>
      <c r="AC257">
        <f t="shared" si="174"/>
        <v>0</v>
      </c>
      <c r="AD257">
        <f t="shared" si="175"/>
        <v>0</v>
      </c>
      <c r="AE257">
        <f t="shared" si="176"/>
        <v>0</v>
      </c>
      <c r="AF257">
        <f t="shared" si="177"/>
        <v>0</v>
      </c>
      <c r="AG257">
        <f t="shared" si="178"/>
        <v>0</v>
      </c>
      <c r="AH257">
        <f t="shared" si="179"/>
        <v>0</v>
      </c>
      <c r="AI257">
        <f t="shared" si="180"/>
        <v>0</v>
      </c>
      <c r="AJ257">
        <f t="shared" si="181"/>
        <v>0</v>
      </c>
      <c r="AK257">
        <f t="shared" si="182"/>
        <v>0</v>
      </c>
      <c r="AL257">
        <f t="shared" si="183"/>
        <v>0</v>
      </c>
      <c r="AM257">
        <f t="shared" si="184"/>
        <v>0</v>
      </c>
      <c r="AN257">
        <f t="shared" si="185"/>
        <v>0</v>
      </c>
      <c r="AO257">
        <f t="shared" si="186"/>
        <v>0</v>
      </c>
      <c r="AP257">
        <f t="shared" si="187"/>
        <v>0</v>
      </c>
      <c r="AQ257">
        <f t="shared" si="188"/>
        <v>0</v>
      </c>
      <c r="AR257">
        <f t="shared" si="189"/>
        <v>0</v>
      </c>
      <c r="AS257">
        <f t="shared" si="190"/>
        <v>0</v>
      </c>
      <c r="AT257">
        <f t="shared" si="191"/>
        <v>0</v>
      </c>
      <c r="AU257">
        <f t="shared" si="192"/>
        <v>0</v>
      </c>
      <c r="AV257">
        <f t="shared" si="193"/>
        <v>0</v>
      </c>
      <c r="AW257">
        <f t="shared" si="147"/>
        <v>0</v>
      </c>
      <c r="AX257">
        <f t="shared" si="194"/>
        <v>0</v>
      </c>
      <c r="AY257">
        <f t="shared" si="195"/>
        <v>0</v>
      </c>
    </row>
    <row r="258" spans="1:51" x14ac:dyDescent="0.35">
      <c r="A258">
        <v>252</v>
      </c>
      <c r="C258">
        <f t="shared" si="148"/>
        <v>0</v>
      </c>
      <c r="D258">
        <f t="shared" si="149"/>
        <v>0</v>
      </c>
      <c r="E258">
        <f t="shared" si="150"/>
        <v>0</v>
      </c>
      <c r="F258">
        <f t="shared" si="151"/>
        <v>0</v>
      </c>
      <c r="G258">
        <f t="shared" si="152"/>
        <v>0</v>
      </c>
      <c r="H258">
        <f t="shared" si="153"/>
        <v>0</v>
      </c>
      <c r="I258">
        <f t="shared" si="154"/>
        <v>0</v>
      </c>
      <c r="J258">
        <f t="shared" si="155"/>
        <v>0</v>
      </c>
      <c r="K258">
        <f t="shared" si="156"/>
        <v>0</v>
      </c>
      <c r="L258">
        <f t="shared" si="157"/>
        <v>0</v>
      </c>
      <c r="M258">
        <f t="shared" si="158"/>
        <v>0</v>
      </c>
      <c r="N258">
        <f t="shared" si="159"/>
        <v>0</v>
      </c>
      <c r="O258">
        <f t="shared" si="160"/>
        <v>0</v>
      </c>
      <c r="P258">
        <f t="shared" si="161"/>
        <v>0</v>
      </c>
      <c r="Q258">
        <f t="shared" si="162"/>
        <v>0</v>
      </c>
      <c r="R258">
        <f t="shared" si="163"/>
        <v>0</v>
      </c>
      <c r="S258">
        <f t="shared" si="164"/>
        <v>0</v>
      </c>
      <c r="T258">
        <f t="shared" si="165"/>
        <v>0</v>
      </c>
      <c r="U258">
        <f t="shared" si="166"/>
        <v>0</v>
      </c>
      <c r="V258">
        <f t="shared" si="167"/>
        <v>0</v>
      </c>
      <c r="W258">
        <f t="shared" si="168"/>
        <v>0</v>
      </c>
      <c r="X258">
        <f t="shared" si="169"/>
        <v>0</v>
      </c>
      <c r="Y258">
        <f t="shared" si="170"/>
        <v>0</v>
      </c>
      <c r="Z258">
        <f t="shared" si="171"/>
        <v>0</v>
      </c>
      <c r="AA258">
        <f t="shared" si="172"/>
        <v>0</v>
      </c>
      <c r="AB258">
        <f t="shared" si="173"/>
        <v>0</v>
      </c>
      <c r="AC258">
        <f t="shared" si="174"/>
        <v>0</v>
      </c>
      <c r="AD258">
        <f t="shared" si="175"/>
        <v>0</v>
      </c>
      <c r="AE258">
        <f t="shared" si="176"/>
        <v>0</v>
      </c>
      <c r="AF258">
        <f t="shared" si="177"/>
        <v>0</v>
      </c>
      <c r="AG258">
        <f t="shared" si="178"/>
        <v>0</v>
      </c>
      <c r="AH258">
        <f t="shared" si="179"/>
        <v>0</v>
      </c>
      <c r="AI258">
        <f t="shared" si="180"/>
        <v>0</v>
      </c>
      <c r="AJ258">
        <f t="shared" si="181"/>
        <v>0</v>
      </c>
      <c r="AK258">
        <f t="shared" si="182"/>
        <v>0</v>
      </c>
      <c r="AL258">
        <f t="shared" si="183"/>
        <v>0</v>
      </c>
      <c r="AM258">
        <f t="shared" si="184"/>
        <v>0</v>
      </c>
      <c r="AN258">
        <f t="shared" si="185"/>
        <v>0</v>
      </c>
      <c r="AO258">
        <f t="shared" si="186"/>
        <v>0</v>
      </c>
      <c r="AP258">
        <f t="shared" si="187"/>
        <v>0</v>
      </c>
      <c r="AQ258">
        <f t="shared" si="188"/>
        <v>0</v>
      </c>
      <c r="AR258">
        <f t="shared" si="189"/>
        <v>0</v>
      </c>
      <c r="AS258">
        <f t="shared" si="190"/>
        <v>0</v>
      </c>
      <c r="AT258">
        <f t="shared" si="191"/>
        <v>0</v>
      </c>
      <c r="AU258">
        <f t="shared" si="192"/>
        <v>0</v>
      </c>
      <c r="AV258">
        <f t="shared" si="193"/>
        <v>0</v>
      </c>
      <c r="AW258">
        <f t="shared" si="147"/>
        <v>0</v>
      </c>
      <c r="AX258">
        <f t="shared" si="194"/>
        <v>0</v>
      </c>
      <c r="AY258">
        <f t="shared" si="195"/>
        <v>0</v>
      </c>
    </row>
    <row r="259" spans="1:51" x14ac:dyDescent="0.35">
      <c r="A259">
        <v>253</v>
      </c>
      <c r="C259">
        <f t="shared" si="148"/>
        <v>0</v>
      </c>
      <c r="D259">
        <f t="shared" si="149"/>
        <v>0</v>
      </c>
      <c r="E259">
        <f t="shared" si="150"/>
        <v>0</v>
      </c>
      <c r="F259">
        <f t="shared" si="151"/>
        <v>0</v>
      </c>
      <c r="G259">
        <f t="shared" si="152"/>
        <v>0</v>
      </c>
      <c r="H259">
        <f t="shared" si="153"/>
        <v>0</v>
      </c>
      <c r="I259">
        <f t="shared" si="154"/>
        <v>0</v>
      </c>
      <c r="J259">
        <f t="shared" si="155"/>
        <v>0</v>
      </c>
      <c r="K259">
        <f t="shared" si="156"/>
        <v>0</v>
      </c>
      <c r="L259">
        <f t="shared" si="157"/>
        <v>0</v>
      </c>
      <c r="M259">
        <f t="shared" si="158"/>
        <v>0</v>
      </c>
      <c r="N259">
        <f t="shared" si="159"/>
        <v>0</v>
      </c>
      <c r="O259">
        <f t="shared" si="160"/>
        <v>0</v>
      </c>
      <c r="P259">
        <f t="shared" si="161"/>
        <v>0</v>
      </c>
      <c r="Q259">
        <f t="shared" si="162"/>
        <v>0</v>
      </c>
      <c r="R259">
        <f t="shared" si="163"/>
        <v>0</v>
      </c>
      <c r="S259">
        <f t="shared" si="164"/>
        <v>0</v>
      </c>
      <c r="T259">
        <f t="shared" si="165"/>
        <v>0</v>
      </c>
      <c r="U259">
        <f t="shared" si="166"/>
        <v>0</v>
      </c>
      <c r="V259">
        <f t="shared" si="167"/>
        <v>0</v>
      </c>
      <c r="W259">
        <f t="shared" si="168"/>
        <v>0</v>
      </c>
      <c r="X259">
        <f t="shared" si="169"/>
        <v>0</v>
      </c>
      <c r="Y259">
        <f t="shared" si="170"/>
        <v>0</v>
      </c>
      <c r="Z259">
        <f t="shared" si="171"/>
        <v>0</v>
      </c>
      <c r="AA259">
        <f t="shared" si="172"/>
        <v>0</v>
      </c>
      <c r="AB259">
        <f t="shared" si="173"/>
        <v>0</v>
      </c>
      <c r="AC259">
        <f t="shared" si="174"/>
        <v>0</v>
      </c>
      <c r="AD259">
        <f t="shared" si="175"/>
        <v>0</v>
      </c>
      <c r="AE259">
        <f t="shared" si="176"/>
        <v>0</v>
      </c>
      <c r="AF259">
        <f t="shared" si="177"/>
        <v>0</v>
      </c>
      <c r="AG259">
        <f t="shared" si="178"/>
        <v>0</v>
      </c>
      <c r="AH259">
        <f t="shared" si="179"/>
        <v>0</v>
      </c>
      <c r="AI259">
        <f t="shared" si="180"/>
        <v>0</v>
      </c>
      <c r="AJ259">
        <f t="shared" si="181"/>
        <v>0</v>
      </c>
      <c r="AK259">
        <f t="shared" si="182"/>
        <v>0</v>
      </c>
      <c r="AL259">
        <f t="shared" si="183"/>
        <v>0</v>
      </c>
      <c r="AM259">
        <f t="shared" si="184"/>
        <v>0</v>
      </c>
      <c r="AN259">
        <f t="shared" si="185"/>
        <v>0</v>
      </c>
      <c r="AO259">
        <f t="shared" si="186"/>
        <v>0</v>
      </c>
      <c r="AP259">
        <f t="shared" si="187"/>
        <v>0</v>
      </c>
      <c r="AQ259">
        <f t="shared" si="188"/>
        <v>0</v>
      </c>
      <c r="AR259">
        <f t="shared" si="189"/>
        <v>0</v>
      </c>
      <c r="AS259">
        <f t="shared" si="190"/>
        <v>0</v>
      </c>
      <c r="AT259">
        <f t="shared" si="191"/>
        <v>0</v>
      </c>
      <c r="AU259">
        <f t="shared" si="192"/>
        <v>0</v>
      </c>
      <c r="AV259">
        <f t="shared" si="193"/>
        <v>0</v>
      </c>
      <c r="AW259">
        <f t="shared" si="147"/>
        <v>0</v>
      </c>
      <c r="AX259">
        <f t="shared" si="194"/>
        <v>0</v>
      </c>
      <c r="AY259">
        <f t="shared" si="195"/>
        <v>0</v>
      </c>
    </row>
    <row r="260" spans="1:51" x14ac:dyDescent="0.35">
      <c r="A260">
        <v>254</v>
      </c>
      <c r="C260">
        <f t="shared" si="148"/>
        <v>0</v>
      </c>
      <c r="D260">
        <f t="shared" si="149"/>
        <v>0</v>
      </c>
      <c r="E260">
        <f t="shared" si="150"/>
        <v>0</v>
      </c>
      <c r="F260">
        <f t="shared" si="151"/>
        <v>0</v>
      </c>
      <c r="G260">
        <f t="shared" si="152"/>
        <v>0</v>
      </c>
      <c r="H260">
        <f t="shared" si="153"/>
        <v>0</v>
      </c>
      <c r="I260">
        <f t="shared" si="154"/>
        <v>0</v>
      </c>
      <c r="J260">
        <f t="shared" si="155"/>
        <v>0</v>
      </c>
      <c r="K260">
        <f t="shared" si="156"/>
        <v>0</v>
      </c>
      <c r="L260">
        <f t="shared" si="157"/>
        <v>0</v>
      </c>
      <c r="M260">
        <f t="shared" si="158"/>
        <v>0</v>
      </c>
      <c r="N260">
        <f t="shared" si="159"/>
        <v>0</v>
      </c>
      <c r="O260">
        <f t="shared" si="160"/>
        <v>0</v>
      </c>
      <c r="P260">
        <f t="shared" si="161"/>
        <v>0</v>
      </c>
      <c r="Q260">
        <f t="shared" si="162"/>
        <v>0</v>
      </c>
      <c r="R260">
        <f t="shared" si="163"/>
        <v>0</v>
      </c>
      <c r="S260">
        <f t="shared" si="164"/>
        <v>0</v>
      </c>
      <c r="T260">
        <f t="shared" si="165"/>
        <v>0</v>
      </c>
      <c r="U260">
        <f t="shared" si="166"/>
        <v>0</v>
      </c>
      <c r="V260">
        <f t="shared" si="167"/>
        <v>0</v>
      </c>
      <c r="W260">
        <f t="shared" si="168"/>
        <v>0</v>
      </c>
      <c r="X260">
        <f t="shared" si="169"/>
        <v>0</v>
      </c>
      <c r="Y260">
        <f t="shared" si="170"/>
        <v>0</v>
      </c>
      <c r="Z260">
        <f t="shared" si="171"/>
        <v>0</v>
      </c>
      <c r="AA260">
        <f t="shared" si="172"/>
        <v>0</v>
      </c>
      <c r="AB260">
        <f t="shared" si="173"/>
        <v>0</v>
      </c>
      <c r="AC260">
        <f t="shared" si="174"/>
        <v>0</v>
      </c>
      <c r="AD260">
        <f t="shared" si="175"/>
        <v>0</v>
      </c>
      <c r="AE260">
        <f t="shared" si="176"/>
        <v>0</v>
      </c>
      <c r="AF260">
        <f t="shared" si="177"/>
        <v>0</v>
      </c>
      <c r="AG260">
        <f t="shared" si="178"/>
        <v>0</v>
      </c>
      <c r="AH260">
        <f t="shared" si="179"/>
        <v>0</v>
      </c>
      <c r="AI260">
        <f t="shared" si="180"/>
        <v>0</v>
      </c>
      <c r="AJ260">
        <f t="shared" si="181"/>
        <v>0</v>
      </c>
      <c r="AK260">
        <f t="shared" si="182"/>
        <v>0</v>
      </c>
      <c r="AL260">
        <f t="shared" si="183"/>
        <v>0</v>
      </c>
      <c r="AM260">
        <f t="shared" si="184"/>
        <v>0</v>
      </c>
      <c r="AN260">
        <f t="shared" si="185"/>
        <v>0</v>
      </c>
      <c r="AO260">
        <f t="shared" si="186"/>
        <v>0</v>
      </c>
      <c r="AP260">
        <f t="shared" si="187"/>
        <v>0</v>
      </c>
      <c r="AQ260">
        <f t="shared" si="188"/>
        <v>0</v>
      </c>
      <c r="AR260">
        <f t="shared" si="189"/>
        <v>0</v>
      </c>
      <c r="AS260">
        <f t="shared" si="190"/>
        <v>0</v>
      </c>
      <c r="AT260">
        <f t="shared" si="191"/>
        <v>0</v>
      </c>
      <c r="AU260">
        <f t="shared" si="192"/>
        <v>0</v>
      </c>
      <c r="AV260">
        <f t="shared" si="193"/>
        <v>0</v>
      </c>
      <c r="AW260">
        <f t="shared" si="147"/>
        <v>0</v>
      </c>
      <c r="AX260">
        <f t="shared" si="194"/>
        <v>0</v>
      </c>
      <c r="AY260">
        <f t="shared" si="195"/>
        <v>0</v>
      </c>
    </row>
    <row r="261" spans="1:51" x14ac:dyDescent="0.35">
      <c r="A261">
        <v>255</v>
      </c>
      <c r="C261">
        <f t="shared" si="148"/>
        <v>0</v>
      </c>
      <c r="D261">
        <f t="shared" si="149"/>
        <v>0</v>
      </c>
      <c r="E261">
        <f t="shared" si="150"/>
        <v>0</v>
      </c>
      <c r="F261">
        <f t="shared" si="151"/>
        <v>0</v>
      </c>
      <c r="G261">
        <f t="shared" si="152"/>
        <v>0</v>
      </c>
      <c r="H261">
        <f t="shared" si="153"/>
        <v>0</v>
      </c>
      <c r="I261">
        <f t="shared" si="154"/>
        <v>0</v>
      </c>
      <c r="J261">
        <f t="shared" si="155"/>
        <v>0</v>
      </c>
      <c r="K261">
        <f t="shared" si="156"/>
        <v>0</v>
      </c>
      <c r="L261">
        <f t="shared" si="157"/>
        <v>0</v>
      </c>
      <c r="M261">
        <f t="shared" si="158"/>
        <v>0</v>
      </c>
      <c r="N261">
        <f t="shared" si="159"/>
        <v>0</v>
      </c>
      <c r="O261">
        <f t="shared" si="160"/>
        <v>0</v>
      </c>
      <c r="P261">
        <f t="shared" si="161"/>
        <v>0</v>
      </c>
      <c r="Q261">
        <f t="shared" si="162"/>
        <v>0</v>
      </c>
      <c r="R261">
        <f t="shared" si="163"/>
        <v>0</v>
      </c>
      <c r="S261">
        <f t="shared" si="164"/>
        <v>0</v>
      </c>
      <c r="T261">
        <f t="shared" si="165"/>
        <v>0</v>
      </c>
      <c r="U261">
        <f t="shared" si="166"/>
        <v>0</v>
      </c>
      <c r="V261">
        <f t="shared" si="167"/>
        <v>0</v>
      </c>
      <c r="W261">
        <f t="shared" si="168"/>
        <v>0</v>
      </c>
      <c r="X261">
        <f t="shared" si="169"/>
        <v>0</v>
      </c>
      <c r="Y261">
        <f t="shared" si="170"/>
        <v>0</v>
      </c>
      <c r="Z261">
        <f t="shared" si="171"/>
        <v>0</v>
      </c>
      <c r="AA261">
        <f t="shared" si="172"/>
        <v>0</v>
      </c>
      <c r="AB261">
        <f t="shared" si="173"/>
        <v>0</v>
      </c>
      <c r="AC261">
        <f t="shared" si="174"/>
        <v>0</v>
      </c>
      <c r="AD261">
        <f t="shared" si="175"/>
        <v>0</v>
      </c>
      <c r="AE261">
        <f t="shared" si="176"/>
        <v>0</v>
      </c>
      <c r="AF261">
        <f t="shared" si="177"/>
        <v>0</v>
      </c>
      <c r="AG261">
        <f t="shared" si="178"/>
        <v>0</v>
      </c>
      <c r="AH261">
        <f t="shared" si="179"/>
        <v>0</v>
      </c>
      <c r="AI261">
        <f t="shared" si="180"/>
        <v>0</v>
      </c>
      <c r="AJ261">
        <f t="shared" si="181"/>
        <v>0</v>
      </c>
      <c r="AK261">
        <f t="shared" si="182"/>
        <v>0</v>
      </c>
      <c r="AL261">
        <f t="shared" si="183"/>
        <v>0</v>
      </c>
      <c r="AM261">
        <f t="shared" si="184"/>
        <v>0</v>
      </c>
      <c r="AN261">
        <f t="shared" si="185"/>
        <v>0</v>
      </c>
      <c r="AO261">
        <f t="shared" si="186"/>
        <v>0</v>
      </c>
      <c r="AP261">
        <f t="shared" si="187"/>
        <v>0</v>
      </c>
      <c r="AQ261">
        <f t="shared" si="188"/>
        <v>0</v>
      </c>
      <c r="AR261">
        <f t="shared" si="189"/>
        <v>0</v>
      </c>
      <c r="AS261">
        <f t="shared" si="190"/>
        <v>0</v>
      </c>
      <c r="AT261">
        <f t="shared" si="191"/>
        <v>0</v>
      </c>
      <c r="AU261">
        <f t="shared" si="192"/>
        <v>0</v>
      </c>
      <c r="AV261">
        <f t="shared" si="193"/>
        <v>0</v>
      </c>
      <c r="AW261">
        <f t="shared" si="147"/>
        <v>0</v>
      </c>
      <c r="AX261">
        <f t="shared" si="194"/>
        <v>0</v>
      </c>
      <c r="AY261">
        <f t="shared" si="195"/>
        <v>0</v>
      </c>
    </row>
    <row r="262" spans="1:51" x14ac:dyDescent="0.35">
      <c r="A262">
        <v>256</v>
      </c>
      <c r="C262">
        <f t="shared" si="148"/>
        <v>0</v>
      </c>
      <c r="D262">
        <f t="shared" si="149"/>
        <v>0</v>
      </c>
      <c r="E262">
        <f t="shared" si="150"/>
        <v>0</v>
      </c>
      <c r="F262">
        <f t="shared" si="151"/>
        <v>0</v>
      </c>
      <c r="G262">
        <f t="shared" si="152"/>
        <v>0</v>
      </c>
      <c r="H262">
        <f t="shared" si="153"/>
        <v>0</v>
      </c>
      <c r="I262">
        <f t="shared" si="154"/>
        <v>0</v>
      </c>
      <c r="J262">
        <f t="shared" si="155"/>
        <v>0</v>
      </c>
      <c r="K262">
        <f t="shared" si="156"/>
        <v>0</v>
      </c>
      <c r="L262">
        <f t="shared" si="157"/>
        <v>0</v>
      </c>
      <c r="M262">
        <f t="shared" si="158"/>
        <v>0</v>
      </c>
      <c r="N262">
        <f t="shared" si="159"/>
        <v>0</v>
      </c>
      <c r="O262">
        <f t="shared" si="160"/>
        <v>0</v>
      </c>
      <c r="P262">
        <f t="shared" si="161"/>
        <v>0</v>
      </c>
      <c r="Q262">
        <f t="shared" si="162"/>
        <v>0</v>
      </c>
      <c r="R262">
        <f t="shared" si="163"/>
        <v>0</v>
      </c>
      <c r="S262">
        <f t="shared" si="164"/>
        <v>0</v>
      </c>
      <c r="T262">
        <f t="shared" si="165"/>
        <v>0</v>
      </c>
      <c r="U262">
        <f t="shared" si="166"/>
        <v>0</v>
      </c>
      <c r="V262">
        <f t="shared" si="167"/>
        <v>0</v>
      </c>
      <c r="W262">
        <f t="shared" si="168"/>
        <v>0</v>
      </c>
      <c r="X262">
        <f t="shared" si="169"/>
        <v>0</v>
      </c>
      <c r="Y262">
        <f t="shared" si="170"/>
        <v>0</v>
      </c>
      <c r="Z262">
        <f t="shared" si="171"/>
        <v>0</v>
      </c>
      <c r="AA262">
        <f t="shared" si="172"/>
        <v>0</v>
      </c>
      <c r="AB262">
        <f t="shared" si="173"/>
        <v>0</v>
      </c>
      <c r="AC262">
        <f t="shared" si="174"/>
        <v>0</v>
      </c>
      <c r="AD262">
        <f t="shared" si="175"/>
        <v>0</v>
      </c>
      <c r="AE262">
        <f t="shared" si="176"/>
        <v>0</v>
      </c>
      <c r="AF262">
        <f t="shared" si="177"/>
        <v>0</v>
      </c>
      <c r="AG262">
        <f t="shared" si="178"/>
        <v>0</v>
      </c>
      <c r="AH262">
        <f t="shared" si="179"/>
        <v>0</v>
      </c>
      <c r="AI262">
        <f t="shared" si="180"/>
        <v>0</v>
      </c>
      <c r="AJ262">
        <f t="shared" si="181"/>
        <v>0</v>
      </c>
      <c r="AK262">
        <f t="shared" si="182"/>
        <v>0</v>
      </c>
      <c r="AL262">
        <f t="shared" si="183"/>
        <v>0</v>
      </c>
      <c r="AM262">
        <f t="shared" si="184"/>
        <v>0</v>
      </c>
      <c r="AN262">
        <f t="shared" si="185"/>
        <v>0</v>
      </c>
      <c r="AO262">
        <f t="shared" si="186"/>
        <v>0</v>
      </c>
      <c r="AP262">
        <f t="shared" si="187"/>
        <v>0</v>
      </c>
      <c r="AQ262">
        <f t="shared" si="188"/>
        <v>0</v>
      </c>
      <c r="AR262">
        <f t="shared" si="189"/>
        <v>0</v>
      </c>
      <c r="AS262">
        <f t="shared" si="190"/>
        <v>0</v>
      </c>
      <c r="AT262">
        <f t="shared" si="191"/>
        <v>0</v>
      </c>
      <c r="AU262">
        <f t="shared" si="192"/>
        <v>0</v>
      </c>
      <c r="AV262">
        <f t="shared" si="193"/>
        <v>0</v>
      </c>
      <c r="AW262">
        <f t="shared" ref="AW262:AW325" si="196">SUM(AH262:AV262)</f>
        <v>0</v>
      </c>
      <c r="AX262">
        <f t="shared" si="194"/>
        <v>0</v>
      </c>
      <c r="AY262">
        <f t="shared" si="195"/>
        <v>0</v>
      </c>
    </row>
    <row r="263" spans="1:51" x14ac:dyDescent="0.35">
      <c r="A263">
        <v>257</v>
      </c>
      <c r="C263">
        <f t="shared" ref="C263:C326" si="197">MAX(0,0-SUM(D263:R263))</f>
        <v>0</v>
      </c>
      <c r="D263">
        <f t="shared" ref="D263:D326" si="198">IF(AH262&lt;0.005,0,MIN((AH262+ROUND(AH262*AH$3,2)),AH$4))</f>
        <v>0</v>
      </c>
      <c r="E263">
        <f t="shared" ref="E263:E326" si="199">IF(AI262&lt;0.005,0,MIN((AI262+ROUND(AI262*AI$3,2)),AI$4))</f>
        <v>0</v>
      </c>
      <c r="F263">
        <f t="shared" ref="F263:F326" si="200">IF(AJ262&lt;0.005,0,MIN((AJ262+ROUND(AJ262*AJ$3,2)),AJ$4))</f>
        <v>0</v>
      </c>
      <c r="G263">
        <f t="shared" ref="G263:G326" si="201">IF(AK262&lt;0.005,0,MIN((AK262+ROUND(AK262*AK$3,2)),AK$4))</f>
        <v>0</v>
      </c>
      <c r="H263">
        <f t="shared" ref="H263:H326" si="202">IF(AL262&lt;0.005,0,MIN((AL262+ROUND(AL262*AL$3,2)),AL$4))</f>
        <v>0</v>
      </c>
      <c r="I263">
        <f t="shared" ref="I263:I326" si="203">IF(AM262&lt;0.005,0,MIN((AM262+ROUND(AM262*AM$3,2)),AM$4))</f>
        <v>0</v>
      </c>
      <c r="J263">
        <f t="shared" ref="J263:J326" si="204">IF(AN262&lt;0.005,0,MIN((AN262+ROUND(AN262*AN$3,2)),AN$4))</f>
        <v>0</v>
      </c>
      <c r="K263">
        <f t="shared" ref="K263:K326" si="205">IF(AO262&lt;0.005,0,MIN((AO262+ROUND(AO262*AO$3,2)),AO$4))</f>
        <v>0</v>
      </c>
      <c r="L263">
        <f t="shared" ref="L263:L326" si="206">IF(AP262&lt;0.005,0,MIN((AP262+ROUND(AP262*AP$3,2)),AP$4))</f>
        <v>0</v>
      </c>
      <c r="M263">
        <f t="shared" ref="M263:M326" si="207">IF(AQ262&lt;0.005,0,MIN((AQ262+ROUND(AQ262*AQ$3,2)),AQ$4))</f>
        <v>0</v>
      </c>
      <c r="N263">
        <f t="shared" ref="N263:N326" si="208">IF(AR262&lt;0.005,0,MIN((AR262+ROUND(AR262*AR$3,2)),AR$4))</f>
        <v>0</v>
      </c>
      <c r="O263">
        <f t="shared" ref="O263:O326" si="209">IF(AS262&lt;0.005,0,MIN((AS262+ROUND(AS262*AS$3,2)),AS$4))</f>
        <v>0</v>
      </c>
      <c r="P263">
        <f t="shared" ref="P263:P326" si="210">IF(AT262&lt;0.005,0,MIN((AT262+ROUND(AT262*AT$3,2)),AT$4))</f>
        <v>0</v>
      </c>
      <c r="Q263">
        <f t="shared" ref="Q263:Q326" si="211">IF(AU262&lt;0.005,0,MIN((AU262+ROUND(AU262*AU$3,2)),AU$4))</f>
        <v>0</v>
      </c>
      <c r="R263">
        <f t="shared" ref="R263:R326" si="212">IF(AV262&lt;0.005,0,MIN((AV262+ROUND(AV262*AV$3,2)),AV$4))</f>
        <v>0</v>
      </c>
      <c r="S263">
        <f t="shared" ref="S263:S326" si="213">IF(AH262&lt;0.005,0,MIN((AH262+ROUND(AH262*AH$3,2))-D263,MAX(0,$C263)))</f>
        <v>0</v>
      </c>
      <c r="T263">
        <f t="shared" ref="T263:T326" si="214">IF(AI262&lt;0.005,0,MIN((AI262+ROUND(AI262*AI$3,2))-E263,MAX(0,$C263-SUM(S263:S263))))</f>
        <v>0</v>
      </c>
      <c r="U263">
        <f t="shared" ref="U263:U326" si="215">IF(AJ262&lt;0.005,0,MIN((AJ262+ROUND(AJ262*AJ$3,2))-F263,MAX(0,$C263-SUM(S263:T263))))</f>
        <v>0</v>
      </c>
      <c r="V263">
        <f t="shared" ref="V263:V326" si="216">IF(AK262&lt;0.005,0,MIN((AK262+ROUND(AK262*AK$3,2))-G263,MAX(0,$C263-SUM(S263:U263))))</f>
        <v>0</v>
      </c>
      <c r="W263">
        <f t="shared" ref="W263:W326" si="217">IF(AL262&lt;0.005,0,MIN((AL262+ROUND(AL262*AL$3,2))-H263,MAX(0,$C263-SUM(S263:V263))))</f>
        <v>0</v>
      </c>
      <c r="X263">
        <f t="shared" ref="X263:X326" si="218">IF(AM262&lt;0.005,0,MIN((AM262+ROUND(AM262*AM$3,2))-I263,MAX(0,$C263-SUM(S263:W263))))</f>
        <v>0</v>
      </c>
      <c r="Y263">
        <f t="shared" ref="Y263:Y326" si="219">IF(AN262&lt;0.005,0,MIN((AN262+ROUND(AN262*AN$3,2))-J263,MAX(0,$C263-SUM(S263:X263))))</f>
        <v>0</v>
      </c>
      <c r="Z263">
        <f t="shared" ref="Z263:Z326" si="220">IF(AO262&lt;0.005,0,MIN((AO262+ROUND(AO262*AO$3,2))-K263,MAX(0,$C263-SUM(S263:Y263))))</f>
        <v>0</v>
      </c>
      <c r="AA263">
        <f t="shared" ref="AA263:AA326" si="221">IF(AP262&lt;0.005,0,MIN((AP262+ROUND(AP262*AP$3,2))-L263,MAX(0,$C263-SUM(S263:Z263))))</f>
        <v>0</v>
      </c>
      <c r="AB263">
        <f t="shared" ref="AB263:AB326" si="222">IF(AQ262&lt;0.005,0,MIN((AQ262+ROUND(AQ262*AQ$3,2))-M263,MAX(0,$C263-SUM(S263:AA263))))</f>
        <v>0</v>
      </c>
      <c r="AC263">
        <f t="shared" ref="AC263:AC326" si="223">IF(AR262&lt;0.005,0,MIN((AR262+ROUND(AR262*AR$3,2))-N263,MAX(0,$C263-SUM(S263:AB263))))</f>
        <v>0</v>
      </c>
      <c r="AD263">
        <f t="shared" ref="AD263:AD326" si="224">IF(AS262&lt;0.005,0,MIN((AS262+ROUND(AS262*AS$3,2))-O263,MAX(0,$C263-SUM(S263:AC263))))</f>
        <v>0</v>
      </c>
      <c r="AE263">
        <f t="shared" ref="AE263:AE326" si="225">IF(AT262&lt;0.005,0,MIN((AT262+ROUND(AT262*AT$3,2))-P263,MAX(0,$C263-SUM(S263:AD263))))</f>
        <v>0</v>
      </c>
      <c r="AF263">
        <f t="shared" ref="AF263:AF326" si="226">IF(AU262&lt;0.005,0,MIN((AU262+ROUND(AU262*AU$3,2))-Q263,MAX(0,$C263-SUM(S263:AE263))))</f>
        <v>0</v>
      </c>
      <c r="AG263">
        <f t="shared" ref="AG263:AG326" si="227">IF(AV262&lt;0.005,0,MIN((AV262+ROUND(AV262*AV$3,2))-R263,MAX(0,$C263-SUM(S263:AF263))))</f>
        <v>0</v>
      </c>
      <c r="AH263">
        <f t="shared" ref="AH263:AH326" si="228">IF(AH262&lt;0.005,0,ROUND((AH262+ROUND(AH262*AH$3,2))-D263-S263,2))</f>
        <v>0</v>
      </c>
      <c r="AI263">
        <f t="shared" ref="AI263:AI326" si="229">IF(AI262&lt;0.005,0,ROUND((AI262+ROUND(AI262*AI$3,2))-E263-T263,2))</f>
        <v>0</v>
      </c>
      <c r="AJ263">
        <f t="shared" ref="AJ263:AJ326" si="230">IF(AJ262&lt;0.005,0,ROUND((AJ262+ROUND(AJ262*AJ$3,2))-F263-U263,2))</f>
        <v>0</v>
      </c>
      <c r="AK263">
        <f t="shared" ref="AK263:AK326" si="231">IF(AK262&lt;0.005,0,ROUND((AK262+ROUND(AK262*AK$3,2))-G263-V263,2))</f>
        <v>0</v>
      </c>
      <c r="AL263">
        <f t="shared" ref="AL263:AL326" si="232">IF(AL262&lt;0.005,0,ROUND((AL262+ROUND(AL262*AL$3,2))-H263-W263,2))</f>
        <v>0</v>
      </c>
      <c r="AM263">
        <f t="shared" ref="AM263:AM326" si="233">IF(AM262&lt;0.005,0,ROUND((AM262+ROUND(AM262*AM$3,2))-I263-X263,2))</f>
        <v>0</v>
      </c>
      <c r="AN263">
        <f t="shared" ref="AN263:AN326" si="234">IF(AN262&lt;0.005,0,ROUND((AN262+ROUND(AN262*AN$3,2))-J263-Y263,2))</f>
        <v>0</v>
      </c>
      <c r="AO263">
        <f t="shared" ref="AO263:AO326" si="235">IF(AO262&lt;0.005,0,ROUND((AO262+ROUND(AO262*AO$3,2))-K263-Z263,2))</f>
        <v>0</v>
      </c>
      <c r="AP263">
        <f t="shared" ref="AP263:AP326" si="236">IF(AP262&lt;0.005,0,ROUND((AP262+ROUND(AP262*AP$3,2))-L263-AA263,2))</f>
        <v>0</v>
      </c>
      <c r="AQ263">
        <f t="shared" ref="AQ263:AQ326" si="237">IF(AQ262&lt;0.005,0,ROUND((AQ262+ROUND(AQ262*AQ$3,2))-M263-AB263,2))</f>
        <v>0</v>
      </c>
      <c r="AR263">
        <f t="shared" ref="AR263:AR326" si="238">IF(AR262&lt;0.005,0,ROUND((AR262+ROUND(AR262*AR$3,2))-N263-AC263,2))</f>
        <v>0</v>
      </c>
      <c r="AS263">
        <f t="shared" ref="AS263:AS326" si="239">IF(AS262&lt;0.005,0,ROUND((AS262+ROUND(AS262*AS$3,2))-O263-AD263,2))</f>
        <v>0</v>
      </c>
      <c r="AT263">
        <f t="shared" ref="AT263:AT326" si="240">IF(AT262&lt;0.005,0,ROUND((AT262+ROUND(AT262*AT$3,2))-P263-AE263,2))</f>
        <v>0</v>
      </c>
      <c r="AU263">
        <f t="shared" ref="AU263:AU326" si="241">IF(AU262&lt;0.005,0,ROUND((AU262+ROUND(AU262*AU$3,2))-Q263-AF263,2))</f>
        <v>0</v>
      </c>
      <c r="AV263">
        <f t="shared" ref="AV263:AV326" si="242">IF(AV262&lt;0.005,0,ROUND((AV262+ROUND(AV262*AV$3,2))-R263-AG263,2))</f>
        <v>0</v>
      </c>
      <c r="AW263">
        <f t="shared" si="196"/>
        <v>0</v>
      </c>
      <c r="AX263">
        <f t="shared" ref="AX263:AX326" si="243">SUMPRODUCT(ROUND(AH262:AV262*AH$3:AV$3,2))</f>
        <v>0</v>
      </c>
      <c r="AY263">
        <f t="shared" ref="AY263:AY326" si="244">SUM(D263:AG263)</f>
        <v>0</v>
      </c>
    </row>
    <row r="264" spans="1:51" x14ac:dyDescent="0.35">
      <c r="A264">
        <v>258</v>
      </c>
      <c r="C264">
        <f t="shared" si="197"/>
        <v>0</v>
      </c>
      <c r="D264">
        <f t="shared" si="198"/>
        <v>0</v>
      </c>
      <c r="E264">
        <f t="shared" si="199"/>
        <v>0</v>
      </c>
      <c r="F264">
        <f t="shared" si="200"/>
        <v>0</v>
      </c>
      <c r="G264">
        <f t="shared" si="201"/>
        <v>0</v>
      </c>
      <c r="H264">
        <f t="shared" si="202"/>
        <v>0</v>
      </c>
      <c r="I264">
        <f t="shared" si="203"/>
        <v>0</v>
      </c>
      <c r="J264">
        <f t="shared" si="204"/>
        <v>0</v>
      </c>
      <c r="K264">
        <f t="shared" si="205"/>
        <v>0</v>
      </c>
      <c r="L264">
        <f t="shared" si="206"/>
        <v>0</v>
      </c>
      <c r="M264">
        <f t="shared" si="207"/>
        <v>0</v>
      </c>
      <c r="N264">
        <f t="shared" si="208"/>
        <v>0</v>
      </c>
      <c r="O264">
        <f t="shared" si="209"/>
        <v>0</v>
      </c>
      <c r="P264">
        <f t="shared" si="210"/>
        <v>0</v>
      </c>
      <c r="Q264">
        <f t="shared" si="211"/>
        <v>0</v>
      </c>
      <c r="R264">
        <f t="shared" si="212"/>
        <v>0</v>
      </c>
      <c r="S264">
        <f t="shared" si="213"/>
        <v>0</v>
      </c>
      <c r="T264">
        <f t="shared" si="214"/>
        <v>0</v>
      </c>
      <c r="U264">
        <f t="shared" si="215"/>
        <v>0</v>
      </c>
      <c r="V264">
        <f t="shared" si="216"/>
        <v>0</v>
      </c>
      <c r="W264">
        <f t="shared" si="217"/>
        <v>0</v>
      </c>
      <c r="X264">
        <f t="shared" si="218"/>
        <v>0</v>
      </c>
      <c r="Y264">
        <f t="shared" si="219"/>
        <v>0</v>
      </c>
      <c r="Z264">
        <f t="shared" si="220"/>
        <v>0</v>
      </c>
      <c r="AA264">
        <f t="shared" si="221"/>
        <v>0</v>
      </c>
      <c r="AB264">
        <f t="shared" si="222"/>
        <v>0</v>
      </c>
      <c r="AC264">
        <f t="shared" si="223"/>
        <v>0</v>
      </c>
      <c r="AD264">
        <f t="shared" si="224"/>
        <v>0</v>
      </c>
      <c r="AE264">
        <f t="shared" si="225"/>
        <v>0</v>
      </c>
      <c r="AF264">
        <f t="shared" si="226"/>
        <v>0</v>
      </c>
      <c r="AG264">
        <f t="shared" si="227"/>
        <v>0</v>
      </c>
      <c r="AH264">
        <f t="shared" si="228"/>
        <v>0</v>
      </c>
      <c r="AI264">
        <f t="shared" si="229"/>
        <v>0</v>
      </c>
      <c r="AJ264">
        <f t="shared" si="230"/>
        <v>0</v>
      </c>
      <c r="AK264">
        <f t="shared" si="231"/>
        <v>0</v>
      </c>
      <c r="AL264">
        <f t="shared" si="232"/>
        <v>0</v>
      </c>
      <c r="AM264">
        <f t="shared" si="233"/>
        <v>0</v>
      </c>
      <c r="AN264">
        <f t="shared" si="234"/>
        <v>0</v>
      </c>
      <c r="AO264">
        <f t="shared" si="235"/>
        <v>0</v>
      </c>
      <c r="AP264">
        <f t="shared" si="236"/>
        <v>0</v>
      </c>
      <c r="AQ264">
        <f t="shared" si="237"/>
        <v>0</v>
      </c>
      <c r="AR264">
        <f t="shared" si="238"/>
        <v>0</v>
      </c>
      <c r="AS264">
        <f t="shared" si="239"/>
        <v>0</v>
      </c>
      <c r="AT264">
        <f t="shared" si="240"/>
        <v>0</v>
      </c>
      <c r="AU264">
        <f t="shared" si="241"/>
        <v>0</v>
      </c>
      <c r="AV264">
        <f t="shared" si="242"/>
        <v>0</v>
      </c>
      <c r="AW264">
        <f t="shared" si="196"/>
        <v>0</v>
      </c>
      <c r="AX264">
        <f t="shared" si="243"/>
        <v>0</v>
      </c>
      <c r="AY264">
        <f t="shared" si="244"/>
        <v>0</v>
      </c>
    </row>
    <row r="265" spans="1:51" x14ac:dyDescent="0.35">
      <c r="A265">
        <v>259</v>
      </c>
      <c r="C265">
        <f t="shared" si="197"/>
        <v>0</v>
      </c>
      <c r="D265">
        <f t="shared" si="198"/>
        <v>0</v>
      </c>
      <c r="E265">
        <f t="shared" si="199"/>
        <v>0</v>
      </c>
      <c r="F265">
        <f t="shared" si="200"/>
        <v>0</v>
      </c>
      <c r="G265">
        <f t="shared" si="201"/>
        <v>0</v>
      </c>
      <c r="H265">
        <f t="shared" si="202"/>
        <v>0</v>
      </c>
      <c r="I265">
        <f t="shared" si="203"/>
        <v>0</v>
      </c>
      <c r="J265">
        <f t="shared" si="204"/>
        <v>0</v>
      </c>
      <c r="K265">
        <f t="shared" si="205"/>
        <v>0</v>
      </c>
      <c r="L265">
        <f t="shared" si="206"/>
        <v>0</v>
      </c>
      <c r="M265">
        <f t="shared" si="207"/>
        <v>0</v>
      </c>
      <c r="N265">
        <f t="shared" si="208"/>
        <v>0</v>
      </c>
      <c r="O265">
        <f t="shared" si="209"/>
        <v>0</v>
      </c>
      <c r="P265">
        <f t="shared" si="210"/>
        <v>0</v>
      </c>
      <c r="Q265">
        <f t="shared" si="211"/>
        <v>0</v>
      </c>
      <c r="R265">
        <f t="shared" si="212"/>
        <v>0</v>
      </c>
      <c r="S265">
        <f t="shared" si="213"/>
        <v>0</v>
      </c>
      <c r="T265">
        <f t="shared" si="214"/>
        <v>0</v>
      </c>
      <c r="U265">
        <f t="shared" si="215"/>
        <v>0</v>
      </c>
      <c r="V265">
        <f t="shared" si="216"/>
        <v>0</v>
      </c>
      <c r="W265">
        <f t="shared" si="217"/>
        <v>0</v>
      </c>
      <c r="X265">
        <f t="shared" si="218"/>
        <v>0</v>
      </c>
      <c r="Y265">
        <f t="shared" si="219"/>
        <v>0</v>
      </c>
      <c r="Z265">
        <f t="shared" si="220"/>
        <v>0</v>
      </c>
      <c r="AA265">
        <f t="shared" si="221"/>
        <v>0</v>
      </c>
      <c r="AB265">
        <f t="shared" si="222"/>
        <v>0</v>
      </c>
      <c r="AC265">
        <f t="shared" si="223"/>
        <v>0</v>
      </c>
      <c r="AD265">
        <f t="shared" si="224"/>
        <v>0</v>
      </c>
      <c r="AE265">
        <f t="shared" si="225"/>
        <v>0</v>
      </c>
      <c r="AF265">
        <f t="shared" si="226"/>
        <v>0</v>
      </c>
      <c r="AG265">
        <f t="shared" si="227"/>
        <v>0</v>
      </c>
      <c r="AH265">
        <f t="shared" si="228"/>
        <v>0</v>
      </c>
      <c r="AI265">
        <f t="shared" si="229"/>
        <v>0</v>
      </c>
      <c r="AJ265">
        <f t="shared" si="230"/>
        <v>0</v>
      </c>
      <c r="AK265">
        <f t="shared" si="231"/>
        <v>0</v>
      </c>
      <c r="AL265">
        <f t="shared" si="232"/>
        <v>0</v>
      </c>
      <c r="AM265">
        <f t="shared" si="233"/>
        <v>0</v>
      </c>
      <c r="AN265">
        <f t="shared" si="234"/>
        <v>0</v>
      </c>
      <c r="AO265">
        <f t="shared" si="235"/>
        <v>0</v>
      </c>
      <c r="AP265">
        <f t="shared" si="236"/>
        <v>0</v>
      </c>
      <c r="AQ265">
        <f t="shared" si="237"/>
        <v>0</v>
      </c>
      <c r="AR265">
        <f t="shared" si="238"/>
        <v>0</v>
      </c>
      <c r="AS265">
        <f t="shared" si="239"/>
        <v>0</v>
      </c>
      <c r="AT265">
        <f t="shared" si="240"/>
        <v>0</v>
      </c>
      <c r="AU265">
        <f t="shared" si="241"/>
        <v>0</v>
      </c>
      <c r="AV265">
        <f t="shared" si="242"/>
        <v>0</v>
      </c>
      <c r="AW265">
        <f t="shared" si="196"/>
        <v>0</v>
      </c>
      <c r="AX265">
        <f t="shared" si="243"/>
        <v>0</v>
      </c>
      <c r="AY265">
        <f t="shared" si="244"/>
        <v>0</v>
      </c>
    </row>
    <row r="266" spans="1:51" x14ac:dyDescent="0.35">
      <c r="A266">
        <v>260</v>
      </c>
      <c r="C266">
        <f t="shared" si="197"/>
        <v>0</v>
      </c>
      <c r="D266">
        <f t="shared" si="198"/>
        <v>0</v>
      </c>
      <c r="E266">
        <f t="shared" si="199"/>
        <v>0</v>
      </c>
      <c r="F266">
        <f t="shared" si="200"/>
        <v>0</v>
      </c>
      <c r="G266">
        <f t="shared" si="201"/>
        <v>0</v>
      </c>
      <c r="H266">
        <f t="shared" si="202"/>
        <v>0</v>
      </c>
      <c r="I266">
        <f t="shared" si="203"/>
        <v>0</v>
      </c>
      <c r="J266">
        <f t="shared" si="204"/>
        <v>0</v>
      </c>
      <c r="K266">
        <f t="shared" si="205"/>
        <v>0</v>
      </c>
      <c r="L266">
        <f t="shared" si="206"/>
        <v>0</v>
      </c>
      <c r="M266">
        <f t="shared" si="207"/>
        <v>0</v>
      </c>
      <c r="N266">
        <f t="shared" si="208"/>
        <v>0</v>
      </c>
      <c r="O266">
        <f t="shared" si="209"/>
        <v>0</v>
      </c>
      <c r="P266">
        <f t="shared" si="210"/>
        <v>0</v>
      </c>
      <c r="Q266">
        <f t="shared" si="211"/>
        <v>0</v>
      </c>
      <c r="R266">
        <f t="shared" si="212"/>
        <v>0</v>
      </c>
      <c r="S266">
        <f t="shared" si="213"/>
        <v>0</v>
      </c>
      <c r="T266">
        <f t="shared" si="214"/>
        <v>0</v>
      </c>
      <c r="U266">
        <f t="shared" si="215"/>
        <v>0</v>
      </c>
      <c r="V266">
        <f t="shared" si="216"/>
        <v>0</v>
      </c>
      <c r="W266">
        <f t="shared" si="217"/>
        <v>0</v>
      </c>
      <c r="X266">
        <f t="shared" si="218"/>
        <v>0</v>
      </c>
      <c r="Y266">
        <f t="shared" si="219"/>
        <v>0</v>
      </c>
      <c r="Z266">
        <f t="shared" si="220"/>
        <v>0</v>
      </c>
      <c r="AA266">
        <f t="shared" si="221"/>
        <v>0</v>
      </c>
      <c r="AB266">
        <f t="shared" si="222"/>
        <v>0</v>
      </c>
      <c r="AC266">
        <f t="shared" si="223"/>
        <v>0</v>
      </c>
      <c r="AD266">
        <f t="shared" si="224"/>
        <v>0</v>
      </c>
      <c r="AE266">
        <f t="shared" si="225"/>
        <v>0</v>
      </c>
      <c r="AF266">
        <f t="shared" si="226"/>
        <v>0</v>
      </c>
      <c r="AG266">
        <f t="shared" si="227"/>
        <v>0</v>
      </c>
      <c r="AH266">
        <f t="shared" si="228"/>
        <v>0</v>
      </c>
      <c r="AI266">
        <f t="shared" si="229"/>
        <v>0</v>
      </c>
      <c r="AJ266">
        <f t="shared" si="230"/>
        <v>0</v>
      </c>
      <c r="AK266">
        <f t="shared" si="231"/>
        <v>0</v>
      </c>
      <c r="AL266">
        <f t="shared" si="232"/>
        <v>0</v>
      </c>
      <c r="AM266">
        <f t="shared" si="233"/>
        <v>0</v>
      </c>
      <c r="AN266">
        <f t="shared" si="234"/>
        <v>0</v>
      </c>
      <c r="AO266">
        <f t="shared" si="235"/>
        <v>0</v>
      </c>
      <c r="AP266">
        <f t="shared" si="236"/>
        <v>0</v>
      </c>
      <c r="AQ266">
        <f t="shared" si="237"/>
        <v>0</v>
      </c>
      <c r="AR266">
        <f t="shared" si="238"/>
        <v>0</v>
      </c>
      <c r="AS266">
        <f t="shared" si="239"/>
        <v>0</v>
      </c>
      <c r="AT266">
        <f t="shared" si="240"/>
        <v>0</v>
      </c>
      <c r="AU266">
        <f t="shared" si="241"/>
        <v>0</v>
      </c>
      <c r="AV266">
        <f t="shared" si="242"/>
        <v>0</v>
      </c>
      <c r="AW266">
        <f t="shared" si="196"/>
        <v>0</v>
      </c>
      <c r="AX266">
        <f t="shared" si="243"/>
        <v>0</v>
      </c>
      <c r="AY266">
        <f t="shared" si="244"/>
        <v>0</v>
      </c>
    </row>
    <row r="267" spans="1:51" x14ac:dyDescent="0.35">
      <c r="A267">
        <v>261</v>
      </c>
      <c r="C267">
        <f t="shared" si="197"/>
        <v>0</v>
      </c>
      <c r="D267">
        <f t="shared" si="198"/>
        <v>0</v>
      </c>
      <c r="E267">
        <f t="shared" si="199"/>
        <v>0</v>
      </c>
      <c r="F267">
        <f t="shared" si="200"/>
        <v>0</v>
      </c>
      <c r="G267">
        <f t="shared" si="201"/>
        <v>0</v>
      </c>
      <c r="H267">
        <f t="shared" si="202"/>
        <v>0</v>
      </c>
      <c r="I267">
        <f t="shared" si="203"/>
        <v>0</v>
      </c>
      <c r="J267">
        <f t="shared" si="204"/>
        <v>0</v>
      </c>
      <c r="K267">
        <f t="shared" si="205"/>
        <v>0</v>
      </c>
      <c r="L267">
        <f t="shared" si="206"/>
        <v>0</v>
      </c>
      <c r="M267">
        <f t="shared" si="207"/>
        <v>0</v>
      </c>
      <c r="N267">
        <f t="shared" si="208"/>
        <v>0</v>
      </c>
      <c r="O267">
        <f t="shared" si="209"/>
        <v>0</v>
      </c>
      <c r="P267">
        <f t="shared" si="210"/>
        <v>0</v>
      </c>
      <c r="Q267">
        <f t="shared" si="211"/>
        <v>0</v>
      </c>
      <c r="R267">
        <f t="shared" si="212"/>
        <v>0</v>
      </c>
      <c r="S267">
        <f t="shared" si="213"/>
        <v>0</v>
      </c>
      <c r="T267">
        <f t="shared" si="214"/>
        <v>0</v>
      </c>
      <c r="U267">
        <f t="shared" si="215"/>
        <v>0</v>
      </c>
      <c r="V267">
        <f t="shared" si="216"/>
        <v>0</v>
      </c>
      <c r="W267">
        <f t="shared" si="217"/>
        <v>0</v>
      </c>
      <c r="X267">
        <f t="shared" si="218"/>
        <v>0</v>
      </c>
      <c r="Y267">
        <f t="shared" si="219"/>
        <v>0</v>
      </c>
      <c r="Z267">
        <f t="shared" si="220"/>
        <v>0</v>
      </c>
      <c r="AA267">
        <f t="shared" si="221"/>
        <v>0</v>
      </c>
      <c r="AB267">
        <f t="shared" si="222"/>
        <v>0</v>
      </c>
      <c r="AC267">
        <f t="shared" si="223"/>
        <v>0</v>
      </c>
      <c r="AD267">
        <f t="shared" si="224"/>
        <v>0</v>
      </c>
      <c r="AE267">
        <f t="shared" si="225"/>
        <v>0</v>
      </c>
      <c r="AF267">
        <f t="shared" si="226"/>
        <v>0</v>
      </c>
      <c r="AG267">
        <f t="shared" si="227"/>
        <v>0</v>
      </c>
      <c r="AH267">
        <f t="shared" si="228"/>
        <v>0</v>
      </c>
      <c r="AI267">
        <f t="shared" si="229"/>
        <v>0</v>
      </c>
      <c r="AJ267">
        <f t="shared" si="230"/>
        <v>0</v>
      </c>
      <c r="AK267">
        <f t="shared" si="231"/>
        <v>0</v>
      </c>
      <c r="AL267">
        <f t="shared" si="232"/>
        <v>0</v>
      </c>
      <c r="AM267">
        <f t="shared" si="233"/>
        <v>0</v>
      </c>
      <c r="AN267">
        <f t="shared" si="234"/>
        <v>0</v>
      </c>
      <c r="AO267">
        <f t="shared" si="235"/>
        <v>0</v>
      </c>
      <c r="AP267">
        <f t="shared" si="236"/>
        <v>0</v>
      </c>
      <c r="AQ267">
        <f t="shared" si="237"/>
        <v>0</v>
      </c>
      <c r="AR267">
        <f t="shared" si="238"/>
        <v>0</v>
      </c>
      <c r="AS267">
        <f t="shared" si="239"/>
        <v>0</v>
      </c>
      <c r="AT267">
        <f t="shared" si="240"/>
        <v>0</v>
      </c>
      <c r="AU267">
        <f t="shared" si="241"/>
        <v>0</v>
      </c>
      <c r="AV267">
        <f t="shared" si="242"/>
        <v>0</v>
      </c>
      <c r="AW267">
        <f t="shared" si="196"/>
        <v>0</v>
      </c>
      <c r="AX267">
        <f t="shared" si="243"/>
        <v>0</v>
      </c>
      <c r="AY267">
        <f t="shared" si="244"/>
        <v>0</v>
      </c>
    </row>
    <row r="268" spans="1:51" x14ac:dyDescent="0.35">
      <c r="A268">
        <v>262</v>
      </c>
      <c r="C268">
        <f t="shared" si="197"/>
        <v>0</v>
      </c>
      <c r="D268">
        <f t="shared" si="198"/>
        <v>0</v>
      </c>
      <c r="E268">
        <f t="shared" si="199"/>
        <v>0</v>
      </c>
      <c r="F268">
        <f t="shared" si="200"/>
        <v>0</v>
      </c>
      <c r="G268">
        <f t="shared" si="201"/>
        <v>0</v>
      </c>
      <c r="H268">
        <f t="shared" si="202"/>
        <v>0</v>
      </c>
      <c r="I268">
        <f t="shared" si="203"/>
        <v>0</v>
      </c>
      <c r="J268">
        <f t="shared" si="204"/>
        <v>0</v>
      </c>
      <c r="K268">
        <f t="shared" si="205"/>
        <v>0</v>
      </c>
      <c r="L268">
        <f t="shared" si="206"/>
        <v>0</v>
      </c>
      <c r="M268">
        <f t="shared" si="207"/>
        <v>0</v>
      </c>
      <c r="N268">
        <f t="shared" si="208"/>
        <v>0</v>
      </c>
      <c r="O268">
        <f t="shared" si="209"/>
        <v>0</v>
      </c>
      <c r="P268">
        <f t="shared" si="210"/>
        <v>0</v>
      </c>
      <c r="Q268">
        <f t="shared" si="211"/>
        <v>0</v>
      </c>
      <c r="R268">
        <f t="shared" si="212"/>
        <v>0</v>
      </c>
      <c r="S268">
        <f t="shared" si="213"/>
        <v>0</v>
      </c>
      <c r="T268">
        <f t="shared" si="214"/>
        <v>0</v>
      </c>
      <c r="U268">
        <f t="shared" si="215"/>
        <v>0</v>
      </c>
      <c r="V268">
        <f t="shared" si="216"/>
        <v>0</v>
      </c>
      <c r="W268">
        <f t="shared" si="217"/>
        <v>0</v>
      </c>
      <c r="X268">
        <f t="shared" si="218"/>
        <v>0</v>
      </c>
      <c r="Y268">
        <f t="shared" si="219"/>
        <v>0</v>
      </c>
      <c r="Z268">
        <f t="shared" si="220"/>
        <v>0</v>
      </c>
      <c r="AA268">
        <f t="shared" si="221"/>
        <v>0</v>
      </c>
      <c r="AB268">
        <f t="shared" si="222"/>
        <v>0</v>
      </c>
      <c r="AC268">
        <f t="shared" si="223"/>
        <v>0</v>
      </c>
      <c r="AD268">
        <f t="shared" si="224"/>
        <v>0</v>
      </c>
      <c r="AE268">
        <f t="shared" si="225"/>
        <v>0</v>
      </c>
      <c r="AF268">
        <f t="shared" si="226"/>
        <v>0</v>
      </c>
      <c r="AG268">
        <f t="shared" si="227"/>
        <v>0</v>
      </c>
      <c r="AH268">
        <f t="shared" si="228"/>
        <v>0</v>
      </c>
      <c r="AI268">
        <f t="shared" si="229"/>
        <v>0</v>
      </c>
      <c r="AJ268">
        <f t="shared" si="230"/>
        <v>0</v>
      </c>
      <c r="AK268">
        <f t="shared" si="231"/>
        <v>0</v>
      </c>
      <c r="AL268">
        <f t="shared" si="232"/>
        <v>0</v>
      </c>
      <c r="AM268">
        <f t="shared" si="233"/>
        <v>0</v>
      </c>
      <c r="AN268">
        <f t="shared" si="234"/>
        <v>0</v>
      </c>
      <c r="AO268">
        <f t="shared" si="235"/>
        <v>0</v>
      </c>
      <c r="AP268">
        <f t="shared" si="236"/>
        <v>0</v>
      </c>
      <c r="AQ268">
        <f t="shared" si="237"/>
        <v>0</v>
      </c>
      <c r="AR268">
        <f t="shared" si="238"/>
        <v>0</v>
      </c>
      <c r="AS268">
        <f t="shared" si="239"/>
        <v>0</v>
      </c>
      <c r="AT268">
        <f t="shared" si="240"/>
        <v>0</v>
      </c>
      <c r="AU268">
        <f t="shared" si="241"/>
        <v>0</v>
      </c>
      <c r="AV268">
        <f t="shared" si="242"/>
        <v>0</v>
      </c>
      <c r="AW268">
        <f t="shared" si="196"/>
        <v>0</v>
      </c>
      <c r="AX268">
        <f t="shared" si="243"/>
        <v>0</v>
      </c>
      <c r="AY268">
        <f t="shared" si="244"/>
        <v>0</v>
      </c>
    </row>
    <row r="269" spans="1:51" x14ac:dyDescent="0.35">
      <c r="A269">
        <v>263</v>
      </c>
      <c r="C269">
        <f t="shared" si="197"/>
        <v>0</v>
      </c>
      <c r="D269">
        <f t="shared" si="198"/>
        <v>0</v>
      </c>
      <c r="E269">
        <f t="shared" si="199"/>
        <v>0</v>
      </c>
      <c r="F269">
        <f t="shared" si="200"/>
        <v>0</v>
      </c>
      <c r="G269">
        <f t="shared" si="201"/>
        <v>0</v>
      </c>
      <c r="H269">
        <f t="shared" si="202"/>
        <v>0</v>
      </c>
      <c r="I269">
        <f t="shared" si="203"/>
        <v>0</v>
      </c>
      <c r="J269">
        <f t="shared" si="204"/>
        <v>0</v>
      </c>
      <c r="K269">
        <f t="shared" si="205"/>
        <v>0</v>
      </c>
      <c r="L269">
        <f t="shared" si="206"/>
        <v>0</v>
      </c>
      <c r="M269">
        <f t="shared" si="207"/>
        <v>0</v>
      </c>
      <c r="N269">
        <f t="shared" si="208"/>
        <v>0</v>
      </c>
      <c r="O269">
        <f t="shared" si="209"/>
        <v>0</v>
      </c>
      <c r="P269">
        <f t="shared" si="210"/>
        <v>0</v>
      </c>
      <c r="Q269">
        <f t="shared" si="211"/>
        <v>0</v>
      </c>
      <c r="R269">
        <f t="shared" si="212"/>
        <v>0</v>
      </c>
      <c r="S269">
        <f t="shared" si="213"/>
        <v>0</v>
      </c>
      <c r="T269">
        <f t="shared" si="214"/>
        <v>0</v>
      </c>
      <c r="U269">
        <f t="shared" si="215"/>
        <v>0</v>
      </c>
      <c r="V269">
        <f t="shared" si="216"/>
        <v>0</v>
      </c>
      <c r="W269">
        <f t="shared" si="217"/>
        <v>0</v>
      </c>
      <c r="X269">
        <f t="shared" si="218"/>
        <v>0</v>
      </c>
      <c r="Y269">
        <f t="shared" si="219"/>
        <v>0</v>
      </c>
      <c r="Z269">
        <f t="shared" si="220"/>
        <v>0</v>
      </c>
      <c r="AA269">
        <f t="shared" si="221"/>
        <v>0</v>
      </c>
      <c r="AB269">
        <f t="shared" si="222"/>
        <v>0</v>
      </c>
      <c r="AC269">
        <f t="shared" si="223"/>
        <v>0</v>
      </c>
      <c r="AD269">
        <f t="shared" si="224"/>
        <v>0</v>
      </c>
      <c r="AE269">
        <f t="shared" si="225"/>
        <v>0</v>
      </c>
      <c r="AF269">
        <f t="shared" si="226"/>
        <v>0</v>
      </c>
      <c r="AG269">
        <f t="shared" si="227"/>
        <v>0</v>
      </c>
      <c r="AH269">
        <f t="shared" si="228"/>
        <v>0</v>
      </c>
      <c r="AI269">
        <f t="shared" si="229"/>
        <v>0</v>
      </c>
      <c r="AJ269">
        <f t="shared" si="230"/>
        <v>0</v>
      </c>
      <c r="AK269">
        <f t="shared" si="231"/>
        <v>0</v>
      </c>
      <c r="AL269">
        <f t="shared" si="232"/>
        <v>0</v>
      </c>
      <c r="AM269">
        <f t="shared" si="233"/>
        <v>0</v>
      </c>
      <c r="AN269">
        <f t="shared" si="234"/>
        <v>0</v>
      </c>
      <c r="AO269">
        <f t="shared" si="235"/>
        <v>0</v>
      </c>
      <c r="AP269">
        <f t="shared" si="236"/>
        <v>0</v>
      </c>
      <c r="AQ269">
        <f t="shared" si="237"/>
        <v>0</v>
      </c>
      <c r="AR269">
        <f t="shared" si="238"/>
        <v>0</v>
      </c>
      <c r="AS269">
        <f t="shared" si="239"/>
        <v>0</v>
      </c>
      <c r="AT269">
        <f t="shared" si="240"/>
        <v>0</v>
      </c>
      <c r="AU269">
        <f t="shared" si="241"/>
        <v>0</v>
      </c>
      <c r="AV269">
        <f t="shared" si="242"/>
        <v>0</v>
      </c>
      <c r="AW269">
        <f t="shared" si="196"/>
        <v>0</v>
      </c>
      <c r="AX269">
        <f t="shared" si="243"/>
        <v>0</v>
      </c>
      <c r="AY269">
        <f t="shared" si="244"/>
        <v>0</v>
      </c>
    </row>
    <row r="270" spans="1:51" x14ac:dyDescent="0.35">
      <c r="A270">
        <v>264</v>
      </c>
      <c r="C270">
        <f t="shared" si="197"/>
        <v>0</v>
      </c>
      <c r="D270">
        <f t="shared" si="198"/>
        <v>0</v>
      </c>
      <c r="E270">
        <f t="shared" si="199"/>
        <v>0</v>
      </c>
      <c r="F270">
        <f t="shared" si="200"/>
        <v>0</v>
      </c>
      <c r="G270">
        <f t="shared" si="201"/>
        <v>0</v>
      </c>
      <c r="H270">
        <f t="shared" si="202"/>
        <v>0</v>
      </c>
      <c r="I270">
        <f t="shared" si="203"/>
        <v>0</v>
      </c>
      <c r="J270">
        <f t="shared" si="204"/>
        <v>0</v>
      </c>
      <c r="K270">
        <f t="shared" si="205"/>
        <v>0</v>
      </c>
      <c r="L270">
        <f t="shared" si="206"/>
        <v>0</v>
      </c>
      <c r="M270">
        <f t="shared" si="207"/>
        <v>0</v>
      </c>
      <c r="N270">
        <f t="shared" si="208"/>
        <v>0</v>
      </c>
      <c r="O270">
        <f t="shared" si="209"/>
        <v>0</v>
      </c>
      <c r="P270">
        <f t="shared" si="210"/>
        <v>0</v>
      </c>
      <c r="Q270">
        <f t="shared" si="211"/>
        <v>0</v>
      </c>
      <c r="R270">
        <f t="shared" si="212"/>
        <v>0</v>
      </c>
      <c r="S270">
        <f t="shared" si="213"/>
        <v>0</v>
      </c>
      <c r="T270">
        <f t="shared" si="214"/>
        <v>0</v>
      </c>
      <c r="U270">
        <f t="shared" si="215"/>
        <v>0</v>
      </c>
      <c r="V270">
        <f t="shared" si="216"/>
        <v>0</v>
      </c>
      <c r="W270">
        <f t="shared" si="217"/>
        <v>0</v>
      </c>
      <c r="X270">
        <f t="shared" si="218"/>
        <v>0</v>
      </c>
      <c r="Y270">
        <f t="shared" si="219"/>
        <v>0</v>
      </c>
      <c r="Z270">
        <f t="shared" si="220"/>
        <v>0</v>
      </c>
      <c r="AA270">
        <f t="shared" si="221"/>
        <v>0</v>
      </c>
      <c r="AB270">
        <f t="shared" si="222"/>
        <v>0</v>
      </c>
      <c r="AC270">
        <f t="shared" si="223"/>
        <v>0</v>
      </c>
      <c r="AD270">
        <f t="shared" si="224"/>
        <v>0</v>
      </c>
      <c r="AE270">
        <f t="shared" si="225"/>
        <v>0</v>
      </c>
      <c r="AF270">
        <f t="shared" si="226"/>
        <v>0</v>
      </c>
      <c r="AG270">
        <f t="shared" si="227"/>
        <v>0</v>
      </c>
      <c r="AH270">
        <f t="shared" si="228"/>
        <v>0</v>
      </c>
      <c r="AI270">
        <f t="shared" si="229"/>
        <v>0</v>
      </c>
      <c r="AJ270">
        <f t="shared" si="230"/>
        <v>0</v>
      </c>
      <c r="AK270">
        <f t="shared" si="231"/>
        <v>0</v>
      </c>
      <c r="AL270">
        <f t="shared" si="232"/>
        <v>0</v>
      </c>
      <c r="AM270">
        <f t="shared" si="233"/>
        <v>0</v>
      </c>
      <c r="AN270">
        <f t="shared" si="234"/>
        <v>0</v>
      </c>
      <c r="AO270">
        <f t="shared" si="235"/>
        <v>0</v>
      </c>
      <c r="AP270">
        <f t="shared" si="236"/>
        <v>0</v>
      </c>
      <c r="AQ270">
        <f t="shared" si="237"/>
        <v>0</v>
      </c>
      <c r="AR270">
        <f t="shared" si="238"/>
        <v>0</v>
      </c>
      <c r="AS270">
        <f t="shared" si="239"/>
        <v>0</v>
      </c>
      <c r="AT270">
        <f t="shared" si="240"/>
        <v>0</v>
      </c>
      <c r="AU270">
        <f t="shared" si="241"/>
        <v>0</v>
      </c>
      <c r="AV270">
        <f t="shared" si="242"/>
        <v>0</v>
      </c>
      <c r="AW270">
        <f t="shared" si="196"/>
        <v>0</v>
      </c>
      <c r="AX270">
        <f t="shared" si="243"/>
        <v>0</v>
      </c>
      <c r="AY270">
        <f t="shared" si="244"/>
        <v>0</v>
      </c>
    </row>
    <row r="271" spans="1:51" x14ac:dyDescent="0.35">
      <c r="A271">
        <v>265</v>
      </c>
      <c r="C271">
        <f t="shared" si="197"/>
        <v>0</v>
      </c>
      <c r="D271">
        <f t="shared" si="198"/>
        <v>0</v>
      </c>
      <c r="E271">
        <f t="shared" si="199"/>
        <v>0</v>
      </c>
      <c r="F271">
        <f t="shared" si="200"/>
        <v>0</v>
      </c>
      <c r="G271">
        <f t="shared" si="201"/>
        <v>0</v>
      </c>
      <c r="H271">
        <f t="shared" si="202"/>
        <v>0</v>
      </c>
      <c r="I271">
        <f t="shared" si="203"/>
        <v>0</v>
      </c>
      <c r="J271">
        <f t="shared" si="204"/>
        <v>0</v>
      </c>
      <c r="K271">
        <f t="shared" si="205"/>
        <v>0</v>
      </c>
      <c r="L271">
        <f t="shared" si="206"/>
        <v>0</v>
      </c>
      <c r="M271">
        <f t="shared" si="207"/>
        <v>0</v>
      </c>
      <c r="N271">
        <f t="shared" si="208"/>
        <v>0</v>
      </c>
      <c r="O271">
        <f t="shared" si="209"/>
        <v>0</v>
      </c>
      <c r="P271">
        <f t="shared" si="210"/>
        <v>0</v>
      </c>
      <c r="Q271">
        <f t="shared" si="211"/>
        <v>0</v>
      </c>
      <c r="R271">
        <f t="shared" si="212"/>
        <v>0</v>
      </c>
      <c r="S271">
        <f t="shared" si="213"/>
        <v>0</v>
      </c>
      <c r="T271">
        <f t="shared" si="214"/>
        <v>0</v>
      </c>
      <c r="U271">
        <f t="shared" si="215"/>
        <v>0</v>
      </c>
      <c r="V271">
        <f t="shared" si="216"/>
        <v>0</v>
      </c>
      <c r="W271">
        <f t="shared" si="217"/>
        <v>0</v>
      </c>
      <c r="X271">
        <f t="shared" si="218"/>
        <v>0</v>
      </c>
      <c r="Y271">
        <f t="shared" si="219"/>
        <v>0</v>
      </c>
      <c r="Z271">
        <f t="shared" si="220"/>
        <v>0</v>
      </c>
      <c r="AA271">
        <f t="shared" si="221"/>
        <v>0</v>
      </c>
      <c r="AB271">
        <f t="shared" si="222"/>
        <v>0</v>
      </c>
      <c r="AC271">
        <f t="shared" si="223"/>
        <v>0</v>
      </c>
      <c r="AD271">
        <f t="shared" si="224"/>
        <v>0</v>
      </c>
      <c r="AE271">
        <f t="shared" si="225"/>
        <v>0</v>
      </c>
      <c r="AF271">
        <f t="shared" si="226"/>
        <v>0</v>
      </c>
      <c r="AG271">
        <f t="shared" si="227"/>
        <v>0</v>
      </c>
      <c r="AH271">
        <f t="shared" si="228"/>
        <v>0</v>
      </c>
      <c r="AI271">
        <f t="shared" si="229"/>
        <v>0</v>
      </c>
      <c r="AJ271">
        <f t="shared" si="230"/>
        <v>0</v>
      </c>
      <c r="AK271">
        <f t="shared" si="231"/>
        <v>0</v>
      </c>
      <c r="AL271">
        <f t="shared" si="232"/>
        <v>0</v>
      </c>
      <c r="AM271">
        <f t="shared" si="233"/>
        <v>0</v>
      </c>
      <c r="AN271">
        <f t="shared" si="234"/>
        <v>0</v>
      </c>
      <c r="AO271">
        <f t="shared" si="235"/>
        <v>0</v>
      </c>
      <c r="AP271">
        <f t="shared" si="236"/>
        <v>0</v>
      </c>
      <c r="AQ271">
        <f t="shared" si="237"/>
        <v>0</v>
      </c>
      <c r="AR271">
        <f t="shared" si="238"/>
        <v>0</v>
      </c>
      <c r="AS271">
        <f t="shared" si="239"/>
        <v>0</v>
      </c>
      <c r="AT271">
        <f t="shared" si="240"/>
        <v>0</v>
      </c>
      <c r="AU271">
        <f t="shared" si="241"/>
        <v>0</v>
      </c>
      <c r="AV271">
        <f t="shared" si="242"/>
        <v>0</v>
      </c>
      <c r="AW271">
        <f t="shared" si="196"/>
        <v>0</v>
      </c>
      <c r="AX271">
        <f t="shared" si="243"/>
        <v>0</v>
      </c>
      <c r="AY271">
        <f t="shared" si="244"/>
        <v>0</v>
      </c>
    </row>
    <row r="272" spans="1:51" x14ac:dyDescent="0.35">
      <c r="A272">
        <v>266</v>
      </c>
      <c r="C272">
        <f t="shared" si="197"/>
        <v>0</v>
      </c>
      <c r="D272">
        <f t="shared" si="198"/>
        <v>0</v>
      </c>
      <c r="E272">
        <f t="shared" si="199"/>
        <v>0</v>
      </c>
      <c r="F272">
        <f t="shared" si="200"/>
        <v>0</v>
      </c>
      <c r="G272">
        <f t="shared" si="201"/>
        <v>0</v>
      </c>
      <c r="H272">
        <f t="shared" si="202"/>
        <v>0</v>
      </c>
      <c r="I272">
        <f t="shared" si="203"/>
        <v>0</v>
      </c>
      <c r="J272">
        <f t="shared" si="204"/>
        <v>0</v>
      </c>
      <c r="K272">
        <f t="shared" si="205"/>
        <v>0</v>
      </c>
      <c r="L272">
        <f t="shared" si="206"/>
        <v>0</v>
      </c>
      <c r="M272">
        <f t="shared" si="207"/>
        <v>0</v>
      </c>
      <c r="N272">
        <f t="shared" si="208"/>
        <v>0</v>
      </c>
      <c r="O272">
        <f t="shared" si="209"/>
        <v>0</v>
      </c>
      <c r="P272">
        <f t="shared" si="210"/>
        <v>0</v>
      </c>
      <c r="Q272">
        <f t="shared" si="211"/>
        <v>0</v>
      </c>
      <c r="R272">
        <f t="shared" si="212"/>
        <v>0</v>
      </c>
      <c r="S272">
        <f t="shared" si="213"/>
        <v>0</v>
      </c>
      <c r="T272">
        <f t="shared" si="214"/>
        <v>0</v>
      </c>
      <c r="U272">
        <f t="shared" si="215"/>
        <v>0</v>
      </c>
      <c r="V272">
        <f t="shared" si="216"/>
        <v>0</v>
      </c>
      <c r="W272">
        <f t="shared" si="217"/>
        <v>0</v>
      </c>
      <c r="X272">
        <f t="shared" si="218"/>
        <v>0</v>
      </c>
      <c r="Y272">
        <f t="shared" si="219"/>
        <v>0</v>
      </c>
      <c r="Z272">
        <f t="shared" si="220"/>
        <v>0</v>
      </c>
      <c r="AA272">
        <f t="shared" si="221"/>
        <v>0</v>
      </c>
      <c r="AB272">
        <f t="shared" si="222"/>
        <v>0</v>
      </c>
      <c r="AC272">
        <f t="shared" si="223"/>
        <v>0</v>
      </c>
      <c r="AD272">
        <f t="shared" si="224"/>
        <v>0</v>
      </c>
      <c r="AE272">
        <f t="shared" si="225"/>
        <v>0</v>
      </c>
      <c r="AF272">
        <f t="shared" si="226"/>
        <v>0</v>
      </c>
      <c r="AG272">
        <f t="shared" si="227"/>
        <v>0</v>
      </c>
      <c r="AH272">
        <f t="shared" si="228"/>
        <v>0</v>
      </c>
      <c r="AI272">
        <f t="shared" si="229"/>
        <v>0</v>
      </c>
      <c r="AJ272">
        <f t="shared" si="230"/>
        <v>0</v>
      </c>
      <c r="AK272">
        <f t="shared" si="231"/>
        <v>0</v>
      </c>
      <c r="AL272">
        <f t="shared" si="232"/>
        <v>0</v>
      </c>
      <c r="AM272">
        <f t="shared" si="233"/>
        <v>0</v>
      </c>
      <c r="AN272">
        <f t="shared" si="234"/>
        <v>0</v>
      </c>
      <c r="AO272">
        <f t="shared" si="235"/>
        <v>0</v>
      </c>
      <c r="AP272">
        <f t="shared" si="236"/>
        <v>0</v>
      </c>
      <c r="AQ272">
        <f t="shared" si="237"/>
        <v>0</v>
      </c>
      <c r="AR272">
        <f t="shared" si="238"/>
        <v>0</v>
      </c>
      <c r="AS272">
        <f t="shared" si="239"/>
        <v>0</v>
      </c>
      <c r="AT272">
        <f t="shared" si="240"/>
        <v>0</v>
      </c>
      <c r="AU272">
        <f t="shared" si="241"/>
        <v>0</v>
      </c>
      <c r="AV272">
        <f t="shared" si="242"/>
        <v>0</v>
      </c>
      <c r="AW272">
        <f t="shared" si="196"/>
        <v>0</v>
      </c>
      <c r="AX272">
        <f t="shared" si="243"/>
        <v>0</v>
      </c>
      <c r="AY272">
        <f t="shared" si="244"/>
        <v>0</v>
      </c>
    </row>
    <row r="273" spans="1:51" x14ac:dyDescent="0.35">
      <c r="A273">
        <v>267</v>
      </c>
      <c r="C273">
        <f t="shared" si="197"/>
        <v>0</v>
      </c>
      <c r="D273">
        <f t="shared" si="198"/>
        <v>0</v>
      </c>
      <c r="E273">
        <f t="shared" si="199"/>
        <v>0</v>
      </c>
      <c r="F273">
        <f t="shared" si="200"/>
        <v>0</v>
      </c>
      <c r="G273">
        <f t="shared" si="201"/>
        <v>0</v>
      </c>
      <c r="H273">
        <f t="shared" si="202"/>
        <v>0</v>
      </c>
      <c r="I273">
        <f t="shared" si="203"/>
        <v>0</v>
      </c>
      <c r="J273">
        <f t="shared" si="204"/>
        <v>0</v>
      </c>
      <c r="K273">
        <f t="shared" si="205"/>
        <v>0</v>
      </c>
      <c r="L273">
        <f t="shared" si="206"/>
        <v>0</v>
      </c>
      <c r="M273">
        <f t="shared" si="207"/>
        <v>0</v>
      </c>
      <c r="N273">
        <f t="shared" si="208"/>
        <v>0</v>
      </c>
      <c r="O273">
        <f t="shared" si="209"/>
        <v>0</v>
      </c>
      <c r="P273">
        <f t="shared" si="210"/>
        <v>0</v>
      </c>
      <c r="Q273">
        <f t="shared" si="211"/>
        <v>0</v>
      </c>
      <c r="R273">
        <f t="shared" si="212"/>
        <v>0</v>
      </c>
      <c r="S273">
        <f t="shared" si="213"/>
        <v>0</v>
      </c>
      <c r="T273">
        <f t="shared" si="214"/>
        <v>0</v>
      </c>
      <c r="U273">
        <f t="shared" si="215"/>
        <v>0</v>
      </c>
      <c r="V273">
        <f t="shared" si="216"/>
        <v>0</v>
      </c>
      <c r="W273">
        <f t="shared" si="217"/>
        <v>0</v>
      </c>
      <c r="X273">
        <f t="shared" si="218"/>
        <v>0</v>
      </c>
      <c r="Y273">
        <f t="shared" si="219"/>
        <v>0</v>
      </c>
      <c r="Z273">
        <f t="shared" si="220"/>
        <v>0</v>
      </c>
      <c r="AA273">
        <f t="shared" si="221"/>
        <v>0</v>
      </c>
      <c r="AB273">
        <f t="shared" si="222"/>
        <v>0</v>
      </c>
      <c r="AC273">
        <f t="shared" si="223"/>
        <v>0</v>
      </c>
      <c r="AD273">
        <f t="shared" si="224"/>
        <v>0</v>
      </c>
      <c r="AE273">
        <f t="shared" si="225"/>
        <v>0</v>
      </c>
      <c r="AF273">
        <f t="shared" si="226"/>
        <v>0</v>
      </c>
      <c r="AG273">
        <f t="shared" si="227"/>
        <v>0</v>
      </c>
      <c r="AH273">
        <f t="shared" si="228"/>
        <v>0</v>
      </c>
      <c r="AI273">
        <f t="shared" si="229"/>
        <v>0</v>
      </c>
      <c r="AJ273">
        <f t="shared" si="230"/>
        <v>0</v>
      </c>
      <c r="AK273">
        <f t="shared" si="231"/>
        <v>0</v>
      </c>
      <c r="AL273">
        <f t="shared" si="232"/>
        <v>0</v>
      </c>
      <c r="AM273">
        <f t="shared" si="233"/>
        <v>0</v>
      </c>
      <c r="AN273">
        <f t="shared" si="234"/>
        <v>0</v>
      </c>
      <c r="AO273">
        <f t="shared" si="235"/>
        <v>0</v>
      </c>
      <c r="AP273">
        <f t="shared" si="236"/>
        <v>0</v>
      </c>
      <c r="AQ273">
        <f t="shared" si="237"/>
        <v>0</v>
      </c>
      <c r="AR273">
        <f t="shared" si="238"/>
        <v>0</v>
      </c>
      <c r="AS273">
        <f t="shared" si="239"/>
        <v>0</v>
      </c>
      <c r="AT273">
        <f t="shared" si="240"/>
        <v>0</v>
      </c>
      <c r="AU273">
        <f t="shared" si="241"/>
        <v>0</v>
      </c>
      <c r="AV273">
        <f t="shared" si="242"/>
        <v>0</v>
      </c>
      <c r="AW273">
        <f t="shared" si="196"/>
        <v>0</v>
      </c>
      <c r="AX273">
        <f t="shared" si="243"/>
        <v>0</v>
      </c>
      <c r="AY273">
        <f t="shared" si="244"/>
        <v>0</v>
      </c>
    </row>
    <row r="274" spans="1:51" x14ac:dyDescent="0.35">
      <c r="A274">
        <v>268</v>
      </c>
      <c r="C274">
        <f t="shared" si="197"/>
        <v>0</v>
      </c>
      <c r="D274">
        <f t="shared" si="198"/>
        <v>0</v>
      </c>
      <c r="E274">
        <f t="shared" si="199"/>
        <v>0</v>
      </c>
      <c r="F274">
        <f t="shared" si="200"/>
        <v>0</v>
      </c>
      <c r="G274">
        <f t="shared" si="201"/>
        <v>0</v>
      </c>
      <c r="H274">
        <f t="shared" si="202"/>
        <v>0</v>
      </c>
      <c r="I274">
        <f t="shared" si="203"/>
        <v>0</v>
      </c>
      <c r="J274">
        <f t="shared" si="204"/>
        <v>0</v>
      </c>
      <c r="K274">
        <f t="shared" si="205"/>
        <v>0</v>
      </c>
      <c r="L274">
        <f t="shared" si="206"/>
        <v>0</v>
      </c>
      <c r="M274">
        <f t="shared" si="207"/>
        <v>0</v>
      </c>
      <c r="N274">
        <f t="shared" si="208"/>
        <v>0</v>
      </c>
      <c r="O274">
        <f t="shared" si="209"/>
        <v>0</v>
      </c>
      <c r="P274">
        <f t="shared" si="210"/>
        <v>0</v>
      </c>
      <c r="Q274">
        <f t="shared" si="211"/>
        <v>0</v>
      </c>
      <c r="R274">
        <f t="shared" si="212"/>
        <v>0</v>
      </c>
      <c r="S274">
        <f t="shared" si="213"/>
        <v>0</v>
      </c>
      <c r="T274">
        <f t="shared" si="214"/>
        <v>0</v>
      </c>
      <c r="U274">
        <f t="shared" si="215"/>
        <v>0</v>
      </c>
      <c r="V274">
        <f t="shared" si="216"/>
        <v>0</v>
      </c>
      <c r="W274">
        <f t="shared" si="217"/>
        <v>0</v>
      </c>
      <c r="X274">
        <f t="shared" si="218"/>
        <v>0</v>
      </c>
      <c r="Y274">
        <f t="shared" si="219"/>
        <v>0</v>
      </c>
      <c r="Z274">
        <f t="shared" si="220"/>
        <v>0</v>
      </c>
      <c r="AA274">
        <f t="shared" si="221"/>
        <v>0</v>
      </c>
      <c r="AB274">
        <f t="shared" si="222"/>
        <v>0</v>
      </c>
      <c r="AC274">
        <f t="shared" si="223"/>
        <v>0</v>
      </c>
      <c r="AD274">
        <f t="shared" si="224"/>
        <v>0</v>
      </c>
      <c r="AE274">
        <f t="shared" si="225"/>
        <v>0</v>
      </c>
      <c r="AF274">
        <f t="shared" si="226"/>
        <v>0</v>
      </c>
      <c r="AG274">
        <f t="shared" si="227"/>
        <v>0</v>
      </c>
      <c r="AH274">
        <f t="shared" si="228"/>
        <v>0</v>
      </c>
      <c r="AI274">
        <f t="shared" si="229"/>
        <v>0</v>
      </c>
      <c r="AJ274">
        <f t="shared" si="230"/>
        <v>0</v>
      </c>
      <c r="AK274">
        <f t="shared" si="231"/>
        <v>0</v>
      </c>
      <c r="AL274">
        <f t="shared" si="232"/>
        <v>0</v>
      </c>
      <c r="AM274">
        <f t="shared" si="233"/>
        <v>0</v>
      </c>
      <c r="AN274">
        <f t="shared" si="234"/>
        <v>0</v>
      </c>
      <c r="AO274">
        <f t="shared" si="235"/>
        <v>0</v>
      </c>
      <c r="AP274">
        <f t="shared" si="236"/>
        <v>0</v>
      </c>
      <c r="AQ274">
        <f t="shared" si="237"/>
        <v>0</v>
      </c>
      <c r="AR274">
        <f t="shared" si="238"/>
        <v>0</v>
      </c>
      <c r="AS274">
        <f t="shared" si="239"/>
        <v>0</v>
      </c>
      <c r="AT274">
        <f t="shared" si="240"/>
        <v>0</v>
      </c>
      <c r="AU274">
        <f t="shared" si="241"/>
        <v>0</v>
      </c>
      <c r="AV274">
        <f t="shared" si="242"/>
        <v>0</v>
      </c>
      <c r="AW274">
        <f t="shared" si="196"/>
        <v>0</v>
      </c>
      <c r="AX274">
        <f t="shared" si="243"/>
        <v>0</v>
      </c>
      <c r="AY274">
        <f t="shared" si="244"/>
        <v>0</v>
      </c>
    </row>
    <row r="275" spans="1:51" x14ac:dyDescent="0.35">
      <c r="A275">
        <v>269</v>
      </c>
      <c r="C275">
        <f t="shared" si="197"/>
        <v>0</v>
      </c>
      <c r="D275">
        <f t="shared" si="198"/>
        <v>0</v>
      </c>
      <c r="E275">
        <f t="shared" si="199"/>
        <v>0</v>
      </c>
      <c r="F275">
        <f t="shared" si="200"/>
        <v>0</v>
      </c>
      <c r="G275">
        <f t="shared" si="201"/>
        <v>0</v>
      </c>
      <c r="H275">
        <f t="shared" si="202"/>
        <v>0</v>
      </c>
      <c r="I275">
        <f t="shared" si="203"/>
        <v>0</v>
      </c>
      <c r="J275">
        <f t="shared" si="204"/>
        <v>0</v>
      </c>
      <c r="K275">
        <f t="shared" si="205"/>
        <v>0</v>
      </c>
      <c r="L275">
        <f t="shared" si="206"/>
        <v>0</v>
      </c>
      <c r="M275">
        <f t="shared" si="207"/>
        <v>0</v>
      </c>
      <c r="N275">
        <f t="shared" si="208"/>
        <v>0</v>
      </c>
      <c r="O275">
        <f t="shared" si="209"/>
        <v>0</v>
      </c>
      <c r="P275">
        <f t="shared" si="210"/>
        <v>0</v>
      </c>
      <c r="Q275">
        <f t="shared" si="211"/>
        <v>0</v>
      </c>
      <c r="R275">
        <f t="shared" si="212"/>
        <v>0</v>
      </c>
      <c r="S275">
        <f t="shared" si="213"/>
        <v>0</v>
      </c>
      <c r="T275">
        <f t="shared" si="214"/>
        <v>0</v>
      </c>
      <c r="U275">
        <f t="shared" si="215"/>
        <v>0</v>
      </c>
      <c r="V275">
        <f t="shared" si="216"/>
        <v>0</v>
      </c>
      <c r="W275">
        <f t="shared" si="217"/>
        <v>0</v>
      </c>
      <c r="X275">
        <f t="shared" si="218"/>
        <v>0</v>
      </c>
      <c r="Y275">
        <f t="shared" si="219"/>
        <v>0</v>
      </c>
      <c r="Z275">
        <f t="shared" si="220"/>
        <v>0</v>
      </c>
      <c r="AA275">
        <f t="shared" si="221"/>
        <v>0</v>
      </c>
      <c r="AB275">
        <f t="shared" si="222"/>
        <v>0</v>
      </c>
      <c r="AC275">
        <f t="shared" si="223"/>
        <v>0</v>
      </c>
      <c r="AD275">
        <f t="shared" si="224"/>
        <v>0</v>
      </c>
      <c r="AE275">
        <f t="shared" si="225"/>
        <v>0</v>
      </c>
      <c r="AF275">
        <f t="shared" si="226"/>
        <v>0</v>
      </c>
      <c r="AG275">
        <f t="shared" si="227"/>
        <v>0</v>
      </c>
      <c r="AH275">
        <f t="shared" si="228"/>
        <v>0</v>
      </c>
      <c r="AI275">
        <f t="shared" si="229"/>
        <v>0</v>
      </c>
      <c r="AJ275">
        <f t="shared" si="230"/>
        <v>0</v>
      </c>
      <c r="AK275">
        <f t="shared" si="231"/>
        <v>0</v>
      </c>
      <c r="AL275">
        <f t="shared" si="232"/>
        <v>0</v>
      </c>
      <c r="AM275">
        <f t="shared" si="233"/>
        <v>0</v>
      </c>
      <c r="AN275">
        <f t="shared" si="234"/>
        <v>0</v>
      </c>
      <c r="AO275">
        <f t="shared" si="235"/>
        <v>0</v>
      </c>
      <c r="AP275">
        <f t="shared" si="236"/>
        <v>0</v>
      </c>
      <c r="AQ275">
        <f t="shared" si="237"/>
        <v>0</v>
      </c>
      <c r="AR275">
        <f t="shared" si="238"/>
        <v>0</v>
      </c>
      <c r="AS275">
        <f t="shared" si="239"/>
        <v>0</v>
      </c>
      <c r="AT275">
        <f t="shared" si="240"/>
        <v>0</v>
      </c>
      <c r="AU275">
        <f t="shared" si="241"/>
        <v>0</v>
      </c>
      <c r="AV275">
        <f t="shared" si="242"/>
        <v>0</v>
      </c>
      <c r="AW275">
        <f t="shared" si="196"/>
        <v>0</v>
      </c>
      <c r="AX275">
        <f t="shared" si="243"/>
        <v>0</v>
      </c>
      <c r="AY275">
        <f t="shared" si="244"/>
        <v>0</v>
      </c>
    </row>
    <row r="276" spans="1:51" x14ac:dyDescent="0.35">
      <c r="A276">
        <v>270</v>
      </c>
      <c r="C276">
        <f t="shared" si="197"/>
        <v>0</v>
      </c>
      <c r="D276">
        <f t="shared" si="198"/>
        <v>0</v>
      </c>
      <c r="E276">
        <f t="shared" si="199"/>
        <v>0</v>
      </c>
      <c r="F276">
        <f t="shared" si="200"/>
        <v>0</v>
      </c>
      <c r="G276">
        <f t="shared" si="201"/>
        <v>0</v>
      </c>
      <c r="H276">
        <f t="shared" si="202"/>
        <v>0</v>
      </c>
      <c r="I276">
        <f t="shared" si="203"/>
        <v>0</v>
      </c>
      <c r="J276">
        <f t="shared" si="204"/>
        <v>0</v>
      </c>
      <c r="K276">
        <f t="shared" si="205"/>
        <v>0</v>
      </c>
      <c r="L276">
        <f t="shared" si="206"/>
        <v>0</v>
      </c>
      <c r="M276">
        <f t="shared" si="207"/>
        <v>0</v>
      </c>
      <c r="N276">
        <f t="shared" si="208"/>
        <v>0</v>
      </c>
      <c r="O276">
        <f t="shared" si="209"/>
        <v>0</v>
      </c>
      <c r="P276">
        <f t="shared" si="210"/>
        <v>0</v>
      </c>
      <c r="Q276">
        <f t="shared" si="211"/>
        <v>0</v>
      </c>
      <c r="R276">
        <f t="shared" si="212"/>
        <v>0</v>
      </c>
      <c r="S276">
        <f t="shared" si="213"/>
        <v>0</v>
      </c>
      <c r="T276">
        <f t="shared" si="214"/>
        <v>0</v>
      </c>
      <c r="U276">
        <f t="shared" si="215"/>
        <v>0</v>
      </c>
      <c r="V276">
        <f t="shared" si="216"/>
        <v>0</v>
      </c>
      <c r="W276">
        <f t="shared" si="217"/>
        <v>0</v>
      </c>
      <c r="X276">
        <f t="shared" si="218"/>
        <v>0</v>
      </c>
      <c r="Y276">
        <f t="shared" si="219"/>
        <v>0</v>
      </c>
      <c r="Z276">
        <f t="shared" si="220"/>
        <v>0</v>
      </c>
      <c r="AA276">
        <f t="shared" si="221"/>
        <v>0</v>
      </c>
      <c r="AB276">
        <f t="shared" si="222"/>
        <v>0</v>
      </c>
      <c r="AC276">
        <f t="shared" si="223"/>
        <v>0</v>
      </c>
      <c r="AD276">
        <f t="shared" si="224"/>
        <v>0</v>
      </c>
      <c r="AE276">
        <f t="shared" si="225"/>
        <v>0</v>
      </c>
      <c r="AF276">
        <f t="shared" si="226"/>
        <v>0</v>
      </c>
      <c r="AG276">
        <f t="shared" si="227"/>
        <v>0</v>
      </c>
      <c r="AH276">
        <f t="shared" si="228"/>
        <v>0</v>
      </c>
      <c r="AI276">
        <f t="shared" si="229"/>
        <v>0</v>
      </c>
      <c r="AJ276">
        <f t="shared" si="230"/>
        <v>0</v>
      </c>
      <c r="AK276">
        <f t="shared" si="231"/>
        <v>0</v>
      </c>
      <c r="AL276">
        <f t="shared" si="232"/>
        <v>0</v>
      </c>
      <c r="AM276">
        <f t="shared" si="233"/>
        <v>0</v>
      </c>
      <c r="AN276">
        <f t="shared" si="234"/>
        <v>0</v>
      </c>
      <c r="AO276">
        <f t="shared" si="235"/>
        <v>0</v>
      </c>
      <c r="AP276">
        <f t="shared" si="236"/>
        <v>0</v>
      </c>
      <c r="AQ276">
        <f t="shared" si="237"/>
        <v>0</v>
      </c>
      <c r="AR276">
        <f t="shared" si="238"/>
        <v>0</v>
      </c>
      <c r="AS276">
        <f t="shared" si="239"/>
        <v>0</v>
      </c>
      <c r="AT276">
        <f t="shared" si="240"/>
        <v>0</v>
      </c>
      <c r="AU276">
        <f t="shared" si="241"/>
        <v>0</v>
      </c>
      <c r="AV276">
        <f t="shared" si="242"/>
        <v>0</v>
      </c>
      <c r="AW276">
        <f t="shared" si="196"/>
        <v>0</v>
      </c>
      <c r="AX276">
        <f t="shared" si="243"/>
        <v>0</v>
      </c>
      <c r="AY276">
        <f t="shared" si="244"/>
        <v>0</v>
      </c>
    </row>
    <row r="277" spans="1:51" x14ac:dyDescent="0.35">
      <c r="A277">
        <v>271</v>
      </c>
      <c r="C277">
        <f t="shared" si="197"/>
        <v>0</v>
      </c>
      <c r="D277">
        <f t="shared" si="198"/>
        <v>0</v>
      </c>
      <c r="E277">
        <f t="shared" si="199"/>
        <v>0</v>
      </c>
      <c r="F277">
        <f t="shared" si="200"/>
        <v>0</v>
      </c>
      <c r="G277">
        <f t="shared" si="201"/>
        <v>0</v>
      </c>
      <c r="H277">
        <f t="shared" si="202"/>
        <v>0</v>
      </c>
      <c r="I277">
        <f t="shared" si="203"/>
        <v>0</v>
      </c>
      <c r="J277">
        <f t="shared" si="204"/>
        <v>0</v>
      </c>
      <c r="K277">
        <f t="shared" si="205"/>
        <v>0</v>
      </c>
      <c r="L277">
        <f t="shared" si="206"/>
        <v>0</v>
      </c>
      <c r="M277">
        <f t="shared" si="207"/>
        <v>0</v>
      </c>
      <c r="N277">
        <f t="shared" si="208"/>
        <v>0</v>
      </c>
      <c r="O277">
        <f t="shared" si="209"/>
        <v>0</v>
      </c>
      <c r="P277">
        <f t="shared" si="210"/>
        <v>0</v>
      </c>
      <c r="Q277">
        <f t="shared" si="211"/>
        <v>0</v>
      </c>
      <c r="R277">
        <f t="shared" si="212"/>
        <v>0</v>
      </c>
      <c r="S277">
        <f t="shared" si="213"/>
        <v>0</v>
      </c>
      <c r="T277">
        <f t="shared" si="214"/>
        <v>0</v>
      </c>
      <c r="U277">
        <f t="shared" si="215"/>
        <v>0</v>
      </c>
      <c r="V277">
        <f t="shared" si="216"/>
        <v>0</v>
      </c>
      <c r="W277">
        <f t="shared" si="217"/>
        <v>0</v>
      </c>
      <c r="X277">
        <f t="shared" si="218"/>
        <v>0</v>
      </c>
      <c r="Y277">
        <f t="shared" si="219"/>
        <v>0</v>
      </c>
      <c r="Z277">
        <f t="shared" si="220"/>
        <v>0</v>
      </c>
      <c r="AA277">
        <f t="shared" si="221"/>
        <v>0</v>
      </c>
      <c r="AB277">
        <f t="shared" si="222"/>
        <v>0</v>
      </c>
      <c r="AC277">
        <f t="shared" si="223"/>
        <v>0</v>
      </c>
      <c r="AD277">
        <f t="shared" si="224"/>
        <v>0</v>
      </c>
      <c r="AE277">
        <f t="shared" si="225"/>
        <v>0</v>
      </c>
      <c r="AF277">
        <f t="shared" si="226"/>
        <v>0</v>
      </c>
      <c r="AG277">
        <f t="shared" si="227"/>
        <v>0</v>
      </c>
      <c r="AH277">
        <f t="shared" si="228"/>
        <v>0</v>
      </c>
      <c r="AI277">
        <f t="shared" si="229"/>
        <v>0</v>
      </c>
      <c r="AJ277">
        <f t="shared" si="230"/>
        <v>0</v>
      </c>
      <c r="AK277">
        <f t="shared" si="231"/>
        <v>0</v>
      </c>
      <c r="AL277">
        <f t="shared" si="232"/>
        <v>0</v>
      </c>
      <c r="AM277">
        <f t="shared" si="233"/>
        <v>0</v>
      </c>
      <c r="AN277">
        <f t="shared" si="234"/>
        <v>0</v>
      </c>
      <c r="AO277">
        <f t="shared" si="235"/>
        <v>0</v>
      </c>
      <c r="AP277">
        <f t="shared" si="236"/>
        <v>0</v>
      </c>
      <c r="AQ277">
        <f t="shared" si="237"/>
        <v>0</v>
      </c>
      <c r="AR277">
        <f t="shared" si="238"/>
        <v>0</v>
      </c>
      <c r="AS277">
        <f t="shared" si="239"/>
        <v>0</v>
      </c>
      <c r="AT277">
        <f t="shared" si="240"/>
        <v>0</v>
      </c>
      <c r="AU277">
        <f t="shared" si="241"/>
        <v>0</v>
      </c>
      <c r="AV277">
        <f t="shared" si="242"/>
        <v>0</v>
      </c>
      <c r="AW277">
        <f t="shared" si="196"/>
        <v>0</v>
      </c>
      <c r="AX277">
        <f t="shared" si="243"/>
        <v>0</v>
      </c>
      <c r="AY277">
        <f t="shared" si="244"/>
        <v>0</v>
      </c>
    </row>
    <row r="278" spans="1:51" x14ac:dyDescent="0.35">
      <c r="A278">
        <v>272</v>
      </c>
      <c r="C278">
        <f t="shared" si="197"/>
        <v>0</v>
      </c>
      <c r="D278">
        <f t="shared" si="198"/>
        <v>0</v>
      </c>
      <c r="E278">
        <f t="shared" si="199"/>
        <v>0</v>
      </c>
      <c r="F278">
        <f t="shared" si="200"/>
        <v>0</v>
      </c>
      <c r="G278">
        <f t="shared" si="201"/>
        <v>0</v>
      </c>
      <c r="H278">
        <f t="shared" si="202"/>
        <v>0</v>
      </c>
      <c r="I278">
        <f t="shared" si="203"/>
        <v>0</v>
      </c>
      <c r="J278">
        <f t="shared" si="204"/>
        <v>0</v>
      </c>
      <c r="K278">
        <f t="shared" si="205"/>
        <v>0</v>
      </c>
      <c r="L278">
        <f t="shared" si="206"/>
        <v>0</v>
      </c>
      <c r="M278">
        <f t="shared" si="207"/>
        <v>0</v>
      </c>
      <c r="N278">
        <f t="shared" si="208"/>
        <v>0</v>
      </c>
      <c r="O278">
        <f t="shared" si="209"/>
        <v>0</v>
      </c>
      <c r="P278">
        <f t="shared" si="210"/>
        <v>0</v>
      </c>
      <c r="Q278">
        <f t="shared" si="211"/>
        <v>0</v>
      </c>
      <c r="R278">
        <f t="shared" si="212"/>
        <v>0</v>
      </c>
      <c r="S278">
        <f t="shared" si="213"/>
        <v>0</v>
      </c>
      <c r="T278">
        <f t="shared" si="214"/>
        <v>0</v>
      </c>
      <c r="U278">
        <f t="shared" si="215"/>
        <v>0</v>
      </c>
      <c r="V278">
        <f t="shared" si="216"/>
        <v>0</v>
      </c>
      <c r="W278">
        <f t="shared" si="217"/>
        <v>0</v>
      </c>
      <c r="X278">
        <f t="shared" si="218"/>
        <v>0</v>
      </c>
      <c r="Y278">
        <f t="shared" si="219"/>
        <v>0</v>
      </c>
      <c r="Z278">
        <f t="shared" si="220"/>
        <v>0</v>
      </c>
      <c r="AA278">
        <f t="shared" si="221"/>
        <v>0</v>
      </c>
      <c r="AB278">
        <f t="shared" si="222"/>
        <v>0</v>
      </c>
      <c r="AC278">
        <f t="shared" si="223"/>
        <v>0</v>
      </c>
      <c r="AD278">
        <f t="shared" si="224"/>
        <v>0</v>
      </c>
      <c r="AE278">
        <f t="shared" si="225"/>
        <v>0</v>
      </c>
      <c r="AF278">
        <f t="shared" si="226"/>
        <v>0</v>
      </c>
      <c r="AG278">
        <f t="shared" si="227"/>
        <v>0</v>
      </c>
      <c r="AH278">
        <f t="shared" si="228"/>
        <v>0</v>
      </c>
      <c r="AI278">
        <f t="shared" si="229"/>
        <v>0</v>
      </c>
      <c r="AJ278">
        <f t="shared" si="230"/>
        <v>0</v>
      </c>
      <c r="AK278">
        <f t="shared" si="231"/>
        <v>0</v>
      </c>
      <c r="AL278">
        <f t="shared" si="232"/>
        <v>0</v>
      </c>
      <c r="AM278">
        <f t="shared" si="233"/>
        <v>0</v>
      </c>
      <c r="AN278">
        <f t="shared" si="234"/>
        <v>0</v>
      </c>
      <c r="AO278">
        <f t="shared" si="235"/>
        <v>0</v>
      </c>
      <c r="AP278">
        <f t="shared" si="236"/>
        <v>0</v>
      </c>
      <c r="AQ278">
        <f t="shared" si="237"/>
        <v>0</v>
      </c>
      <c r="AR278">
        <f t="shared" si="238"/>
        <v>0</v>
      </c>
      <c r="AS278">
        <f t="shared" si="239"/>
        <v>0</v>
      </c>
      <c r="AT278">
        <f t="shared" si="240"/>
        <v>0</v>
      </c>
      <c r="AU278">
        <f t="shared" si="241"/>
        <v>0</v>
      </c>
      <c r="AV278">
        <f t="shared" si="242"/>
        <v>0</v>
      </c>
      <c r="AW278">
        <f t="shared" si="196"/>
        <v>0</v>
      </c>
      <c r="AX278">
        <f t="shared" si="243"/>
        <v>0</v>
      </c>
      <c r="AY278">
        <f t="shared" si="244"/>
        <v>0</v>
      </c>
    </row>
    <row r="279" spans="1:51" x14ac:dyDescent="0.35">
      <c r="A279">
        <v>273</v>
      </c>
      <c r="C279">
        <f t="shared" si="197"/>
        <v>0</v>
      </c>
      <c r="D279">
        <f t="shared" si="198"/>
        <v>0</v>
      </c>
      <c r="E279">
        <f t="shared" si="199"/>
        <v>0</v>
      </c>
      <c r="F279">
        <f t="shared" si="200"/>
        <v>0</v>
      </c>
      <c r="G279">
        <f t="shared" si="201"/>
        <v>0</v>
      </c>
      <c r="H279">
        <f t="shared" si="202"/>
        <v>0</v>
      </c>
      <c r="I279">
        <f t="shared" si="203"/>
        <v>0</v>
      </c>
      <c r="J279">
        <f t="shared" si="204"/>
        <v>0</v>
      </c>
      <c r="K279">
        <f t="shared" si="205"/>
        <v>0</v>
      </c>
      <c r="L279">
        <f t="shared" si="206"/>
        <v>0</v>
      </c>
      <c r="M279">
        <f t="shared" si="207"/>
        <v>0</v>
      </c>
      <c r="N279">
        <f t="shared" si="208"/>
        <v>0</v>
      </c>
      <c r="O279">
        <f t="shared" si="209"/>
        <v>0</v>
      </c>
      <c r="P279">
        <f t="shared" si="210"/>
        <v>0</v>
      </c>
      <c r="Q279">
        <f t="shared" si="211"/>
        <v>0</v>
      </c>
      <c r="R279">
        <f t="shared" si="212"/>
        <v>0</v>
      </c>
      <c r="S279">
        <f t="shared" si="213"/>
        <v>0</v>
      </c>
      <c r="T279">
        <f t="shared" si="214"/>
        <v>0</v>
      </c>
      <c r="U279">
        <f t="shared" si="215"/>
        <v>0</v>
      </c>
      <c r="V279">
        <f t="shared" si="216"/>
        <v>0</v>
      </c>
      <c r="W279">
        <f t="shared" si="217"/>
        <v>0</v>
      </c>
      <c r="X279">
        <f t="shared" si="218"/>
        <v>0</v>
      </c>
      <c r="Y279">
        <f t="shared" si="219"/>
        <v>0</v>
      </c>
      <c r="Z279">
        <f t="shared" si="220"/>
        <v>0</v>
      </c>
      <c r="AA279">
        <f t="shared" si="221"/>
        <v>0</v>
      </c>
      <c r="AB279">
        <f t="shared" si="222"/>
        <v>0</v>
      </c>
      <c r="AC279">
        <f t="shared" si="223"/>
        <v>0</v>
      </c>
      <c r="AD279">
        <f t="shared" si="224"/>
        <v>0</v>
      </c>
      <c r="AE279">
        <f t="shared" si="225"/>
        <v>0</v>
      </c>
      <c r="AF279">
        <f t="shared" si="226"/>
        <v>0</v>
      </c>
      <c r="AG279">
        <f t="shared" si="227"/>
        <v>0</v>
      </c>
      <c r="AH279">
        <f t="shared" si="228"/>
        <v>0</v>
      </c>
      <c r="AI279">
        <f t="shared" si="229"/>
        <v>0</v>
      </c>
      <c r="AJ279">
        <f t="shared" si="230"/>
        <v>0</v>
      </c>
      <c r="AK279">
        <f t="shared" si="231"/>
        <v>0</v>
      </c>
      <c r="AL279">
        <f t="shared" si="232"/>
        <v>0</v>
      </c>
      <c r="AM279">
        <f t="shared" si="233"/>
        <v>0</v>
      </c>
      <c r="AN279">
        <f t="shared" si="234"/>
        <v>0</v>
      </c>
      <c r="AO279">
        <f t="shared" si="235"/>
        <v>0</v>
      </c>
      <c r="AP279">
        <f t="shared" si="236"/>
        <v>0</v>
      </c>
      <c r="AQ279">
        <f t="shared" si="237"/>
        <v>0</v>
      </c>
      <c r="AR279">
        <f t="shared" si="238"/>
        <v>0</v>
      </c>
      <c r="AS279">
        <f t="shared" si="239"/>
        <v>0</v>
      </c>
      <c r="AT279">
        <f t="shared" si="240"/>
        <v>0</v>
      </c>
      <c r="AU279">
        <f t="shared" si="241"/>
        <v>0</v>
      </c>
      <c r="AV279">
        <f t="shared" si="242"/>
        <v>0</v>
      </c>
      <c r="AW279">
        <f t="shared" si="196"/>
        <v>0</v>
      </c>
      <c r="AX279">
        <f t="shared" si="243"/>
        <v>0</v>
      </c>
      <c r="AY279">
        <f t="shared" si="244"/>
        <v>0</v>
      </c>
    </row>
    <row r="280" spans="1:51" x14ac:dyDescent="0.35">
      <c r="A280">
        <v>274</v>
      </c>
      <c r="C280">
        <f t="shared" si="197"/>
        <v>0</v>
      </c>
      <c r="D280">
        <f t="shared" si="198"/>
        <v>0</v>
      </c>
      <c r="E280">
        <f t="shared" si="199"/>
        <v>0</v>
      </c>
      <c r="F280">
        <f t="shared" si="200"/>
        <v>0</v>
      </c>
      <c r="G280">
        <f t="shared" si="201"/>
        <v>0</v>
      </c>
      <c r="H280">
        <f t="shared" si="202"/>
        <v>0</v>
      </c>
      <c r="I280">
        <f t="shared" si="203"/>
        <v>0</v>
      </c>
      <c r="J280">
        <f t="shared" si="204"/>
        <v>0</v>
      </c>
      <c r="K280">
        <f t="shared" si="205"/>
        <v>0</v>
      </c>
      <c r="L280">
        <f t="shared" si="206"/>
        <v>0</v>
      </c>
      <c r="M280">
        <f t="shared" si="207"/>
        <v>0</v>
      </c>
      <c r="N280">
        <f t="shared" si="208"/>
        <v>0</v>
      </c>
      <c r="O280">
        <f t="shared" si="209"/>
        <v>0</v>
      </c>
      <c r="P280">
        <f t="shared" si="210"/>
        <v>0</v>
      </c>
      <c r="Q280">
        <f t="shared" si="211"/>
        <v>0</v>
      </c>
      <c r="R280">
        <f t="shared" si="212"/>
        <v>0</v>
      </c>
      <c r="S280">
        <f t="shared" si="213"/>
        <v>0</v>
      </c>
      <c r="T280">
        <f t="shared" si="214"/>
        <v>0</v>
      </c>
      <c r="U280">
        <f t="shared" si="215"/>
        <v>0</v>
      </c>
      <c r="V280">
        <f t="shared" si="216"/>
        <v>0</v>
      </c>
      <c r="W280">
        <f t="shared" si="217"/>
        <v>0</v>
      </c>
      <c r="X280">
        <f t="shared" si="218"/>
        <v>0</v>
      </c>
      <c r="Y280">
        <f t="shared" si="219"/>
        <v>0</v>
      </c>
      <c r="Z280">
        <f t="shared" si="220"/>
        <v>0</v>
      </c>
      <c r="AA280">
        <f t="shared" si="221"/>
        <v>0</v>
      </c>
      <c r="AB280">
        <f t="shared" si="222"/>
        <v>0</v>
      </c>
      <c r="AC280">
        <f t="shared" si="223"/>
        <v>0</v>
      </c>
      <c r="AD280">
        <f t="shared" si="224"/>
        <v>0</v>
      </c>
      <c r="AE280">
        <f t="shared" si="225"/>
        <v>0</v>
      </c>
      <c r="AF280">
        <f t="shared" si="226"/>
        <v>0</v>
      </c>
      <c r="AG280">
        <f t="shared" si="227"/>
        <v>0</v>
      </c>
      <c r="AH280">
        <f t="shared" si="228"/>
        <v>0</v>
      </c>
      <c r="AI280">
        <f t="shared" si="229"/>
        <v>0</v>
      </c>
      <c r="AJ280">
        <f t="shared" si="230"/>
        <v>0</v>
      </c>
      <c r="AK280">
        <f t="shared" si="231"/>
        <v>0</v>
      </c>
      <c r="AL280">
        <f t="shared" si="232"/>
        <v>0</v>
      </c>
      <c r="AM280">
        <f t="shared" si="233"/>
        <v>0</v>
      </c>
      <c r="AN280">
        <f t="shared" si="234"/>
        <v>0</v>
      </c>
      <c r="AO280">
        <f t="shared" si="235"/>
        <v>0</v>
      </c>
      <c r="AP280">
        <f t="shared" si="236"/>
        <v>0</v>
      </c>
      <c r="AQ280">
        <f t="shared" si="237"/>
        <v>0</v>
      </c>
      <c r="AR280">
        <f t="shared" si="238"/>
        <v>0</v>
      </c>
      <c r="AS280">
        <f t="shared" si="239"/>
        <v>0</v>
      </c>
      <c r="AT280">
        <f t="shared" si="240"/>
        <v>0</v>
      </c>
      <c r="AU280">
        <f t="shared" si="241"/>
        <v>0</v>
      </c>
      <c r="AV280">
        <f t="shared" si="242"/>
        <v>0</v>
      </c>
      <c r="AW280">
        <f t="shared" si="196"/>
        <v>0</v>
      </c>
      <c r="AX280">
        <f t="shared" si="243"/>
        <v>0</v>
      </c>
      <c r="AY280">
        <f t="shared" si="244"/>
        <v>0</v>
      </c>
    </row>
    <row r="281" spans="1:51" x14ac:dyDescent="0.35">
      <c r="A281">
        <v>275</v>
      </c>
      <c r="C281">
        <f t="shared" si="197"/>
        <v>0</v>
      </c>
      <c r="D281">
        <f t="shared" si="198"/>
        <v>0</v>
      </c>
      <c r="E281">
        <f t="shared" si="199"/>
        <v>0</v>
      </c>
      <c r="F281">
        <f t="shared" si="200"/>
        <v>0</v>
      </c>
      <c r="G281">
        <f t="shared" si="201"/>
        <v>0</v>
      </c>
      <c r="H281">
        <f t="shared" si="202"/>
        <v>0</v>
      </c>
      <c r="I281">
        <f t="shared" si="203"/>
        <v>0</v>
      </c>
      <c r="J281">
        <f t="shared" si="204"/>
        <v>0</v>
      </c>
      <c r="K281">
        <f t="shared" si="205"/>
        <v>0</v>
      </c>
      <c r="L281">
        <f t="shared" si="206"/>
        <v>0</v>
      </c>
      <c r="M281">
        <f t="shared" si="207"/>
        <v>0</v>
      </c>
      <c r="N281">
        <f t="shared" si="208"/>
        <v>0</v>
      </c>
      <c r="O281">
        <f t="shared" si="209"/>
        <v>0</v>
      </c>
      <c r="P281">
        <f t="shared" si="210"/>
        <v>0</v>
      </c>
      <c r="Q281">
        <f t="shared" si="211"/>
        <v>0</v>
      </c>
      <c r="R281">
        <f t="shared" si="212"/>
        <v>0</v>
      </c>
      <c r="S281">
        <f t="shared" si="213"/>
        <v>0</v>
      </c>
      <c r="T281">
        <f t="shared" si="214"/>
        <v>0</v>
      </c>
      <c r="U281">
        <f t="shared" si="215"/>
        <v>0</v>
      </c>
      <c r="V281">
        <f t="shared" si="216"/>
        <v>0</v>
      </c>
      <c r="W281">
        <f t="shared" si="217"/>
        <v>0</v>
      </c>
      <c r="X281">
        <f t="shared" si="218"/>
        <v>0</v>
      </c>
      <c r="Y281">
        <f t="shared" si="219"/>
        <v>0</v>
      </c>
      <c r="Z281">
        <f t="shared" si="220"/>
        <v>0</v>
      </c>
      <c r="AA281">
        <f t="shared" si="221"/>
        <v>0</v>
      </c>
      <c r="AB281">
        <f t="shared" si="222"/>
        <v>0</v>
      </c>
      <c r="AC281">
        <f t="shared" si="223"/>
        <v>0</v>
      </c>
      <c r="AD281">
        <f t="shared" si="224"/>
        <v>0</v>
      </c>
      <c r="AE281">
        <f t="shared" si="225"/>
        <v>0</v>
      </c>
      <c r="AF281">
        <f t="shared" si="226"/>
        <v>0</v>
      </c>
      <c r="AG281">
        <f t="shared" si="227"/>
        <v>0</v>
      </c>
      <c r="AH281">
        <f t="shared" si="228"/>
        <v>0</v>
      </c>
      <c r="AI281">
        <f t="shared" si="229"/>
        <v>0</v>
      </c>
      <c r="AJ281">
        <f t="shared" si="230"/>
        <v>0</v>
      </c>
      <c r="AK281">
        <f t="shared" si="231"/>
        <v>0</v>
      </c>
      <c r="AL281">
        <f t="shared" si="232"/>
        <v>0</v>
      </c>
      <c r="AM281">
        <f t="shared" si="233"/>
        <v>0</v>
      </c>
      <c r="AN281">
        <f t="shared" si="234"/>
        <v>0</v>
      </c>
      <c r="AO281">
        <f t="shared" si="235"/>
        <v>0</v>
      </c>
      <c r="AP281">
        <f t="shared" si="236"/>
        <v>0</v>
      </c>
      <c r="AQ281">
        <f t="shared" si="237"/>
        <v>0</v>
      </c>
      <c r="AR281">
        <f t="shared" si="238"/>
        <v>0</v>
      </c>
      <c r="AS281">
        <f t="shared" si="239"/>
        <v>0</v>
      </c>
      <c r="AT281">
        <f t="shared" si="240"/>
        <v>0</v>
      </c>
      <c r="AU281">
        <f t="shared" si="241"/>
        <v>0</v>
      </c>
      <c r="AV281">
        <f t="shared" si="242"/>
        <v>0</v>
      </c>
      <c r="AW281">
        <f t="shared" si="196"/>
        <v>0</v>
      </c>
      <c r="AX281">
        <f t="shared" si="243"/>
        <v>0</v>
      </c>
      <c r="AY281">
        <f t="shared" si="244"/>
        <v>0</v>
      </c>
    </row>
    <row r="282" spans="1:51" x14ac:dyDescent="0.35">
      <c r="A282">
        <v>276</v>
      </c>
      <c r="C282">
        <f t="shared" si="197"/>
        <v>0</v>
      </c>
      <c r="D282">
        <f t="shared" si="198"/>
        <v>0</v>
      </c>
      <c r="E282">
        <f t="shared" si="199"/>
        <v>0</v>
      </c>
      <c r="F282">
        <f t="shared" si="200"/>
        <v>0</v>
      </c>
      <c r="G282">
        <f t="shared" si="201"/>
        <v>0</v>
      </c>
      <c r="H282">
        <f t="shared" si="202"/>
        <v>0</v>
      </c>
      <c r="I282">
        <f t="shared" si="203"/>
        <v>0</v>
      </c>
      <c r="J282">
        <f t="shared" si="204"/>
        <v>0</v>
      </c>
      <c r="K282">
        <f t="shared" si="205"/>
        <v>0</v>
      </c>
      <c r="L282">
        <f t="shared" si="206"/>
        <v>0</v>
      </c>
      <c r="M282">
        <f t="shared" si="207"/>
        <v>0</v>
      </c>
      <c r="N282">
        <f t="shared" si="208"/>
        <v>0</v>
      </c>
      <c r="O282">
        <f t="shared" si="209"/>
        <v>0</v>
      </c>
      <c r="P282">
        <f t="shared" si="210"/>
        <v>0</v>
      </c>
      <c r="Q282">
        <f t="shared" si="211"/>
        <v>0</v>
      </c>
      <c r="R282">
        <f t="shared" si="212"/>
        <v>0</v>
      </c>
      <c r="S282">
        <f t="shared" si="213"/>
        <v>0</v>
      </c>
      <c r="T282">
        <f t="shared" si="214"/>
        <v>0</v>
      </c>
      <c r="U282">
        <f t="shared" si="215"/>
        <v>0</v>
      </c>
      <c r="V282">
        <f t="shared" si="216"/>
        <v>0</v>
      </c>
      <c r="W282">
        <f t="shared" si="217"/>
        <v>0</v>
      </c>
      <c r="X282">
        <f t="shared" si="218"/>
        <v>0</v>
      </c>
      <c r="Y282">
        <f t="shared" si="219"/>
        <v>0</v>
      </c>
      <c r="Z282">
        <f t="shared" si="220"/>
        <v>0</v>
      </c>
      <c r="AA282">
        <f t="shared" si="221"/>
        <v>0</v>
      </c>
      <c r="AB282">
        <f t="shared" si="222"/>
        <v>0</v>
      </c>
      <c r="AC282">
        <f t="shared" si="223"/>
        <v>0</v>
      </c>
      <c r="AD282">
        <f t="shared" si="224"/>
        <v>0</v>
      </c>
      <c r="AE282">
        <f t="shared" si="225"/>
        <v>0</v>
      </c>
      <c r="AF282">
        <f t="shared" si="226"/>
        <v>0</v>
      </c>
      <c r="AG282">
        <f t="shared" si="227"/>
        <v>0</v>
      </c>
      <c r="AH282">
        <f t="shared" si="228"/>
        <v>0</v>
      </c>
      <c r="AI282">
        <f t="shared" si="229"/>
        <v>0</v>
      </c>
      <c r="AJ282">
        <f t="shared" si="230"/>
        <v>0</v>
      </c>
      <c r="AK282">
        <f t="shared" si="231"/>
        <v>0</v>
      </c>
      <c r="AL282">
        <f t="shared" si="232"/>
        <v>0</v>
      </c>
      <c r="AM282">
        <f t="shared" si="233"/>
        <v>0</v>
      </c>
      <c r="AN282">
        <f t="shared" si="234"/>
        <v>0</v>
      </c>
      <c r="AO282">
        <f t="shared" si="235"/>
        <v>0</v>
      </c>
      <c r="AP282">
        <f t="shared" si="236"/>
        <v>0</v>
      </c>
      <c r="AQ282">
        <f t="shared" si="237"/>
        <v>0</v>
      </c>
      <c r="AR282">
        <f t="shared" si="238"/>
        <v>0</v>
      </c>
      <c r="AS282">
        <f t="shared" si="239"/>
        <v>0</v>
      </c>
      <c r="AT282">
        <f t="shared" si="240"/>
        <v>0</v>
      </c>
      <c r="AU282">
        <f t="shared" si="241"/>
        <v>0</v>
      </c>
      <c r="AV282">
        <f t="shared" si="242"/>
        <v>0</v>
      </c>
      <c r="AW282">
        <f t="shared" si="196"/>
        <v>0</v>
      </c>
      <c r="AX282">
        <f t="shared" si="243"/>
        <v>0</v>
      </c>
      <c r="AY282">
        <f t="shared" si="244"/>
        <v>0</v>
      </c>
    </row>
    <row r="283" spans="1:51" x14ac:dyDescent="0.35">
      <c r="A283">
        <v>277</v>
      </c>
      <c r="C283">
        <f t="shared" si="197"/>
        <v>0</v>
      </c>
      <c r="D283">
        <f t="shared" si="198"/>
        <v>0</v>
      </c>
      <c r="E283">
        <f t="shared" si="199"/>
        <v>0</v>
      </c>
      <c r="F283">
        <f t="shared" si="200"/>
        <v>0</v>
      </c>
      <c r="G283">
        <f t="shared" si="201"/>
        <v>0</v>
      </c>
      <c r="H283">
        <f t="shared" si="202"/>
        <v>0</v>
      </c>
      <c r="I283">
        <f t="shared" si="203"/>
        <v>0</v>
      </c>
      <c r="J283">
        <f t="shared" si="204"/>
        <v>0</v>
      </c>
      <c r="K283">
        <f t="shared" si="205"/>
        <v>0</v>
      </c>
      <c r="L283">
        <f t="shared" si="206"/>
        <v>0</v>
      </c>
      <c r="M283">
        <f t="shared" si="207"/>
        <v>0</v>
      </c>
      <c r="N283">
        <f t="shared" si="208"/>
        <v>0</v>
      </c>
      <c r="O283">
        <f t="shared" si="209"/>
        <v>0</v>
      </c>
      <c r="P283">
        <f t="shared" si="210"/>
        <v>0</v>
      </c>
      <c r="Q283">
        <f t="shared" si="211"/>
        <v>0</v>
      </c>
      <c r="R283">
        <f t="shared" si="212"/>
        <v>0</v>
      </c>
      <c r="S283">
        <f t="shared" si="213"/>
        <v>0</v>
      </c>
      <c r="T283">
        <f t="shared" si="214"/>
        <v>0</v>
      </c>
      <c r="U283">
        <f t="shared" si="215"/>
        <v>0</v>
      </c>
      <c r="V283">
        <f t="shared" si="216"/>
        <v>0</v>
      </c>
      <c r="W283">
        <f t="shared" si="217"/>
        <v>0</v>
      </c>
      <c r="X283">
        <f t="shared" si="218"/>
        <v>0</v>
      </c>
      <c r="Y283">
        <f t="shared" si="219"/>
        <v>0</v>
      </c>
      <c r="Z283">
        <f t="shared" si="220"/>
        <v>0</v>
      </c>
      <c r="AA283">
        <f t="shared" si="221"/>
        <v>0</v>
      </c>
      <c r="AB283">
        <f t="shared" si="222"/>
        <v>0</v>
      </c>
      <c r="AC283">
        <f t="shared" si="223"/>
        <v>0</v>
      </c>
      <c r="AD283">
        <f t="shared" si="224"/>
        <v>0</v>
      </c>
      <c r="AE283">
        <f t="shared" si="225"/>
        <v>0</v>
      </c>
      <c r="AF283">
        <f t="shared" si="226"/>
        <v>0</v>
      </c>
      <c r="AG283">
        <f t="shared" si="227"/>
        <v>0</v>
      </c>
      <c r="AH283">
        <f t="shared" si="228"/>
        <v>0</v>
      </c>
      <c r="AI283">
        <f t="shared" si="229"/>
        <v>0</v>
      </c>
      <c r="AJ283">
        <f t="shared" si="230"/>
        <v>0</v>
      </c>
      <c r="AK283">
        <f t="shared" si="231"/>
        <v>0</v>
      </c>
      <c r="AL283">
        <f t="shared" si="232"/>
        <v>0</v>
      </c>
      <c r="AM283">
        <f t="shared" si="233"/>
        <v>0</v>
      </c>
      <c r="AN283">
        <f t="shared" si="234"/>
        <v>0</v>
      </c>
      <c r="AO283">
        <f t="shared" si="235"/>
        <v>0</v>
      </c>
      <c r="AP283">
        <f t="shared" si="236"/>
        <v>0</v>
      </c>
      <c r="AQ283">
        <f t="shared" si="237"/>
        <v>0</v>
      </c>
      <c r="AR283">
        <f t="shared" si="238"/>
        <v>0</v>
      </c>
      <c r="AS283">
        <f t="shared" si="239"/>
        <v>0</v>
      </c>
      <c r="AT283">
        <f t="shared" si="240"/>
        <v>0</v>
      </c>
      <c r="AU283">
        <f t="shared" si="241"/>
        <v>0</v>
      </c>
      <c r="AV283">
        <f t="shared" si="242"/>
        <v>0</v>
      </c>
      <c r="AW283">
        <f t="shared" si="196"/>
        <v>0</v>
      </c>
      <c r="AX283">
        <f t="shared" si="243"/>
        <v>0</v>
      </c>
      <c r="AY283">
        <f t="shared" si="244"/>
        <v>0</v>
      </c>
    </row>
    <row r="284" spans="1:51" x14ac:dyDescent="0.35">
      <c r="A284">
        <v>278</v>
      </c>
      <c r="C284">
        <f t="shared" si="197"/>
        <v>0</v>
      </c>
      <c r="D284">
        <f t="shared" si="198"/>
        <v>0</v>
      </c>
      <c r="E284">
        <f t="shared" si="199"/>
        <v>0</v>
      </c>
      <c r="F284">
        <f t="shared" si="200"/>
        <v>0</v>
      </c>
      <c r="G284">
        <f t="shared" si="201"/>
        <v>0</v>
      </c>
      <c r="H284">
        <f t="shared" si="202"/>
        <v>0</v>
      </c>
      <c r="I284">
        <f t="shared" si="203"/>
        <v>0</v>
      </c>
      <c r="J284">
        <f t="shared" si="204"/>
        <v>0</v>
      </c>
      <c r="K284">
        <f t="shared" si="205"/>
        <v>0</v>
      </c>
      <c r="L284">
        <f t="shared" si="206"/>
        <v>0</v>
      </c>
      <c r="M284">
        <f t="shared" si="207"/>
        <v>0</v>
      </c>
      <c r="N284">
        <f t="shared" si="208"/>
        <v>0</v>
      </c>
      <c r="O284">
        <f t="shared" si="209"/>
        <v>0</v>
      </c>
      <c r="P284">
        <f t="shared" si="210"/>
        <v>0</v>
      </c>
      <c r="Q284">
        <f t="shared" si="211"/>
        <v>0</v>
      </c>
      <c r="R284">
        <f t="shared" si="212"/>
        <v>0</v>
      </c>
      <c r="S284">
        <f t="shared" si="213"/>
        <v>0</v>
      </c>
      <c r="T284">
        <f t="shared" si="214"/>
        <v>0</v>
      </c>
      <c r="U284">
        <f t="shared" si="215"/>
        <v>0</v>
      </c>
      <c r="V284">
        <f t="shared" si="216"/>
        <v>0</v>
      </c>
      <c r="W284">
        <f t="shared" si="217"/>
        <v>0</v>
      </c>
      <c r="X284">
        <f t="shared" si="218"/>
        <v>0</v>
      </c>
      <c r="Y284">
        <f t="shared" si="219"/>
        <v>0</v>
      </c>
      <c r="Z284">
        <f t="shared" si="220"/>
        <v>0</v>
      </c>
      <c r="AA284">
        <f t="shared" si="221"/>
        <v>0</v>
      </c>
      <c r="AB284">
        <f t="shared" si="222"/>
        <v>0</v>
      </c>
      <c r="AC284">
        <f t="shared" si="223"/>
        <v>0</v>
      </c>
      <c r="AD284">
        <f t="shared" si="224"/>
        <v>0</v>
      </c>
      <c r="AE284">
        <f t="shared" si="225"/>
        <v>0</v>
      </c>
      <c r="AF284">
        <f t="shared" si="226"/>
        <v>0</v>
      </c>
      <c r="AG284">
        <f t="shared" si="227"/>
        <v>0</v>
      </c>
      <c r="AH284">
        <f t="shared" si="228"/>
        <v>0</v>
      </c>
      <c r="AI284">
        <f t="shared" si="229"/>
        <v>0</v>
      </c>
      <c r="AJ284">
        <f t="shared" si="230"/>
        <v>0</v>
      </c>
      <c r="AK284">
        <f t="shared" si="231"/>
        <v>0</v>
      </c>
      <c r="AL284">
        <f t="shared" si="232"/>
        <v>0</v>
      </c>
      <c r="AM284">
        <f t="shared" si="233"/>
        <v>0</v>
      </c>
      <c r="AN284">
        <f t="shared" si="234"/>
        <v>0</v>
      </c>
      <c r="AO284">
        <f t="shared" si="235"/>
        <v>0</v>
      </c>
      <c r="AP284">
        <f t="shared" si="236"/>
        <v>0</v>
      </c>
      <c r="AQ284">
        <f t="shared" si="237"/>
        <v>0</v>
      </c>
      <c r="AR284">
        <f t="shared" si="238"/>
        <v>0</v>
      </c>
      <c r="AS284">
        <f t="shared" si="239"/>
        <v>0</v>
      </c>
      <c r="AT284">
        <f t="shared" si="240"/>
        <v>0</v>
      </c>
      <c r="AU284">
        <f t="shared" si="241"/>
        <v>0</v>
      </c>
      <c r="AV284">
        <f t="shared" si="242"/>
        <v>0</v>
      </c>
      <c r="AW284">
        <f t="shared" si="196"/>
        <v>0</v>
      </c>
      <c r="AX284">
        <f t="shared" si="243"/>
        <v>0</v>
      </c>
      <c r="AY284">
        <f t="shared" si="244"/>
        <v>0</v>
      </c>
    </row>
    <row r="285" spans="1:51" x14ac:dyDescent="0.35">
      <c r="A285">
        <v>279</v>
      </c>
      <c r="C285">
        <f t="shared" si="197"/>
        <v>0</v>
      </c>
      <c r="D285">
        <f t="shared" si="198"/>
        <v>0</v>
      </c>
      <c r="E285">
        <f t="shared" si="199"/>
        <v>0</v>
      </c>
      <c r="F285">
        <f t="shared" si="200"/>
        <v>0</v>
      </c>
      <c r="G285">
        <f t="shared" si="201"/>
        <v>0</v>
      </c>
      <c r="H285">
        <f t="shared" si="202"/>
        <v>0</v>
      </c>
      <c r="I285">
        <f t="shared" si="203"/>
        <v>0</v>
      </c>
      <c r="J285">
        <f t="shared" si="204"/>
        <v>0</v>
      </c>
      <c r="K285">
        <f t="shared" si="205"/>
        <v>0</v>
      </c>
      <c r="L285">
        <f t="shared" si="206"/>
        <v>0</v>
      </c>
      <c r="M285">
        <f t="shared" si="207"/>
        <v>0</v>
      </c>
      <c r="N285">
        <f t="shared" si="208"/>
        <v>0</v>
      </c>
      <c r="O285">
        <f t="shared" si="209"/>
        <v>0</v>
      </c>
      <c r="P285">
        <f t="shared" si="210"/>
        <v>0</v>
      </c>
      <c r="Q285">
        <f t="shared" si="211"/>
        <v>0</v>
      </c>
      <c r="R285">
        <f t="shared" si="212"/>
        <v>0</v>
      </c>
      <c r="S285">
        <f t="shared" si="213"/>
        <v>0</v>
      </c>
      <c r="T285">
        <f t="shared" si="214"/>
        <v>0</v>
      </c>
      <c r="U285">
        <f t="shared" si="215"/>
        <v>0</v>
      </c>
      <c r="V285">
        <f t="shared" si="216"/>
        <v>0</v>
      </c>
      <c r="W285">
        <f t="shared" si="217"/>
        <v>0</v>
      </c>
      <c r="X285">
        <f t="shared" si="218"/>
        <v>0</v>
      </c>
      <c r="Y285">
        <f t="shared" si="219"/>
        <v>0</v>
      </c>
      <c r="Z285">
        <f t="shared" si="220"/>
        <v>0</v>
      </c>
      <c r="AA285">
        <f t="shared" si="221"/>
        <v>0</v>
      </c>
      <c r="AB285">
        <f t="shared" si="222"/>
        <v>0</v>
      </c>
      <c r="AC285">
        <f t="shared" si="223"/>
        <v>0</v>
      </c>
      <c r="AD285">
        <f t="shared" si="224"/>
        <v>0</v>
      </c>
      <c r="AE285">
        <f t="shared" si="225"/>
        <v>0</v>
      </c>
      <c r="AF285">
        <f t="shared" si="226"/>
        <v>0</v>
      </c>
      <c r="AG285">
        <f t="shared" si="227"/>
        <v>0</v>
      </c>
      <c r="AH285">
        <f t="shared" si="228"/>
        <v>0</v>
      </c>
      <c r="AI285">
        <f t="shared" si="229"/>
        <v>0</v>
      </c>
      <c r="AJ285">
        <f t="shared" si="230"/>
        <v>0</v>
      </c>
      <c r="AK285">
        <f t="shared" si="231"/>
        <v>0</v>
      </c>
      <c r="AL285">
        <f t="shared" si="232"/>
        <v>0</v>
      </c>
      <c r="AM285">
        <f t="shared" si="233"/>
        <v>0</v>
      </c>
      <c r="AN285">
        <f t="shared" si="234"/>
        <v>0</v>
      </c>
      <c r="AO285">
        <f t="shared" si="235"/>
        <v>0</v>
      </c>
      <c r="AP285">
        <f t="shared" si="236"/>
        <v>0</v>
      </c>
      <c r="AQ285">
        <f t="shared" si="237"/>
        <v>0</v>
      </c>
      <c r="AR285">
        <f t="shared" si="238"/>
        <v>0</v>
      </c>
      <c r="AS285">
        <f t="shared" si="239"/>
        <v>0</v>
      </c>
      <c r="AT285">
        <f t="shared" si="240"/>
        <v>0</v>
      </c>
      <c r="AU285">
        <f t="shared" si="241"/>
        <v>0</v>
      </c>
      <c r="AV285">
        <f t="shared" si="242"/>
        <v>0</v>
      </c>
      <c r="AW285">
        <f t="shared" si="196"/>
        <v>0</v>
      </c>
      <c r="AX285">
        <f t="shared" si="243"/>
        <v>0</v>
      </c>
      <c r="AY285">
        <f t="shared" si="244"/>
        <v>0</v>
      </c>
    </row>
    <row r="286" spans="1:51" x14ac:dyDescent="0.35">
      <c r="A286">
        <v>280</v>
      </c>
      <c r="C286">
        <f t="shared" si="197"/>
        <v>0</v>
      </c>
      <c r="D286">
        <f t="shared" si="198"/>
        <v>0</v>
      </c>
      <c r="E286">
        <f t="shared" si="199"/>
        <v>0</v>
      </c>
      <c r="F286">
        <f t="shared" si="200"/>
        <v>0</v>
      </c>
      <c r="G286">
        <f t="shared" si="201"/>
        <v>0</v>
      </c>
      <c r="H286">
        <f t="shared" si="202"/>
        <v>0</v>
      </c>
      <c r="I286">
        <f t="shared" si="203"/>
        <v>0</v>
      </c>
      <c r="J286">
        <f t="shared" si="204"/>
        <v>0</v>
      </c>
      <c r="K286">
        <f t="shared" si="205"/>
        <v>0</v>
      </c>
      <c r="L286">
        <f t="shared" si="206"/>
        <v>0</v>
      </c>
      <c r="M286">
        <f t="shared" si="207"/>
        <v>0</v>
      </c>
      <c r="N286">
        <f t="shared" si="208"/>
        <v>0</v>
      </c>
      <c r="O286">
        <f t="shared" si="209"/>
        <v>0</v>
      </c>
      <c r="P286">
        <f t="shared" si="210"/>
        <v>0</v>
      </c>
      <c r="Q286">
        <f t="shared" si="211"/>
        <v>0</v>
      </c>
      <c r="R286">
        <f t="shared" si="212"/>
        <v>0</v>
      </c>
      <c r="S286">
        <f t="shared" si="213"/>
        <v>0</v>
      </c>
      <c r="T286">
        <f t="shared" si="214"/>
        <v>0</v>
      </c>
      <c r="U286">
        <f t="shared" si="215"/>
        <v>0</v>
      </c>
      <c r="V286">
        <f t="shared" si="216"/>
        <v>0</v>
      </c>
      <c r="W286">
        <f t="shared" si="217"/>
        <v>0</v>
      </c>
      <c r="X286">
        <f t="shared" si="218"/>
        <v>0</v>
      </c>
      <c r="Y286">
        <f t="shared" si="219"/>
        <v>0</v>
      </c>
      <c r="Z286">
        <f t="shared" si="220"/>
        <v>0</v>
      </c>
      <c r="AA286">
        <f t="shared" si="221"/>
        <v>0</v>
      </c>
      <c r="AB286">
        <f t="shared" si="222"/>
        <v>0</v>
      </c>
      <c r="AC286">
        <f t="shared" si="223"/>
        <v>0</v>
      </c>
      <c r="AD286">
        <f t="shared" si="224"/>
        <v>0</v>
      </c>
      <c r="AE286">
        <f t="shared" si="225"/>
        <v>0</v>
      </c>
      <c r="AF286">
        <f t="shared" si="226"/>
        <v>0</v>
      </c>
      <c r="AG286">
        <f t="shared" si="227"/>
        <v>0</v>
      </c>
      <c r="AH286">
        <f t="shared" si="228"/>
        <v>0</v>
      </c>
      <c r="AI286">
        <f t="shared" si="229"/>
        <v>0</v>
      </c>
      <c r="AJ286">
        <f t="shared" si="230"/>
        <v>0</v>
      </c>
      <c r="AK286">
        <f t="shared" si="231"/>
        <v>0</v>
      </c>
      <c r="AL286">
        <f t="shared" si="232"/>
        <v>0</v>
      </c>
      <c r="AM286">
        <f t="shared" si="233"/>
        <v>0</v>
      </c>
      <c r="AN286">
        <f t="shared" si="234"/>
        <v>0</v>
      </c>
      <c r="AO286">
        <f t="shared" si="235"/>
        <v>0</v>
      </c>
      <c r="AP286">
        <f t="shared" si="236"/>
        <v>0</v>
      </c>
      <c r="AQ286">
        <f t="shared" si="237"/>
        <v>0</v>
      </c>
      <c r="AR286">
        <f t="shared" si="238"/>
        <v>0</v>
      </c>
      <c r="AS286">
        <f t="shared" si="239"/>
        <v>0</v>
      </c>
      <c r="AT286">
        <f t="shared" si="240"/>
        <v>0</v>
      </c>
      <c r="AU286">
        <f t="shared" si="241"/>
        <v>0</v>
      </c>
      <c r="AV286">
        <f t="shared" si="242"/>
        <v>0</v>
      </c>
      <c r="AW286">
        <f t="shared" si="196"/>
        <v>0</v>
      </c>
      <c r="AX286">
        <f t="shared" si="243"/>
        <v>0</v>
      </c>
      <c r="AY286">
        <f t="shared" si="244"/>
        <v>0</v>
      </c>
    </row>
    <row r="287" spans="1:51" x14ac:dyDescent="0.35">
      <c r="A287">
        <v>281</v>
      </c>
      <c r="C287">
        <f t="shared" si="197"/>
        <v>0</v>
      </c>
      <c r="D287">
        <f t="shared" si="198"/>
        <v>0</v>
      </c>
      <c r="E287">
        <f t="shared" si="199"/>
        <v>0</v>
      </c>
      <c r="F287">
        <f t="shared" si="200"/>
        <v>0</v>
      </c>
      <c r="G287">
        <f t="shared" si="201"/>
        <v>0</v>
      </c>
      <c r="H287">
        <f t="shared" si="202"/>
        <v>0</v>
      </c>
      <c r="I287">
        <f t="shared" si="203"/>
        <v>0</v>
      </c>
      <c r="J287">
        <f t="shared" si="204"/>
        <v>0</v>
      </c>
      <c r="K287">
        <f t="shared" si="205"/>
        <v>0</v>
      </c>
      <c r="L287">
        <f t="shared" si="206"/>
        <v>0</v>
      </c>
      <c r="M287">
        <f t="shared" si="207"/>
        <v>0</v>
      </c>
      <c r="N287">
        <f t="shared" si="208"/>
        <v>0</v>
      </c>
      <c r="O287">
        <f t="shared" si="209"/>
        <v>0</v>
      </c>
      <c r="P287">
        <f t="shared" si="210"/>
        <v>0</v>
      </c>
      <c r="Q287">
        <f t="shared" si="211"/>
        <v>0</v>
      </c>
      <c r="R287">
        <f t="shared" si="212"/>
        <v>0</v>
      </c>
      <c r="S287">
        <f t="shared" si="213"/>
        <v>0</v>
      </c>
      <c r="T287">
        <f t="shared" si="214"/>
        <v>0</v>
      </c>
      <c r="U287">
        <f t="shared" si="215"/>
        <v>0</v>
      </c>
      <c r="V287">
        <f t="shared" si="216"/>
        <v>0</v>
      </c>
      <c r="W287">
        <f t="shared" si="217"/>
        <v>0</v>
      </c>
      <c r="X287">
        <f t="shared" si="218"/>
        <v>0</v>
      </c>
      <c r="Y287">
        <f t="shared" si="219"/>
        <v>0</v>
      </c>
      <c r="Z287">
        <f t="shared" si="220"/>
        <v>0</v>
      </c>
      <c r="AA287">
        <f t="shared" si="221"/>
        <v>0</v>
      </c>
      <c r="AB287">
        <f t="shared" si="222"/>
        <v>0</v>
      </c>
      <c r="AC287">
        <f t="shared" si="223"/>
        <v>0</v>
      </c>
      <c r="AD287">
        <f t="shared" si="224"/>
        <v>0</v>
      </c>
      <c r="AE287">
        <f t="shared" si="225"/>
        <v>0</v>
      </c>
      <c r="AF287">
        <f t="shared" si="226"/>
        <v>0</v>
      </c>
      <c r="AG287">
        <f t="shared" si="227"/>
        <v>0</v>
      </c>
      <c r="AH287">
        <f t="shared" si="228"/>
        <v>0</v>
      </c>
      <c r="AI287">
        <f t="shared" si="229"/>
        <v>0</v>
      </c>
      <c r="AJ287">
        <f t="shared" si="230"/>
        <v>0</v>
      </c>
      <c r="AK287">
        <f t="shared" si="231"/>
        <v>0</v>
      </c>
      <c r="AL287">
        <f t="shared" si="232"/>
        <v>0</v>
      </c>
      <c r="AM287">
        <f t="shared" si="233"/>
        <v>0</v>
      </c>
      <c r="AN287">
        <f t="shared" si="234"/>
        <v>0</v>
      </c>
      <c r="AO287">
        <f t="shared" si="235"/>
        <v>0</v>
      </c>
      <c r="AP287">
        <f t="shared" si="236"/>
        <v>0</v>
      </c>
      <c r="AQ287">
        <f t="shared" si="237"/>
        <v>0</v>
      </c>
      <c r="AR287">
        <f t="shared" si="238"/>
        <v>0</v>
      </c>
      <c r="AS287">
        <f t="shared" si="239"/>
        <v>0</v>
      </c>
      <c r="AT287">
        <f t="shared" si="240"/>
        <v>0</v>
      </c>
      <c r="AU287">
        <f t="shared" si="241"/>
        <v>0</v>
      </c>
      <c r="AV287">
        <f t="shared" si="242"/>
        <v>0</v>
      </c>
      <c r="AW287">
        <f t="shared" si="196"/>
        <v>0</v>
      </c>
      <c r="AX287">
        <f t="shared" si="243"/>
        <v>0</v>
      </c>
      <c r="AY287">
        <f t="shared" si="244"/>
        <v>0</v>
      </c>
    </row>
    <row r="288" spans="1:51" x14ac:dyDescent="0.35">
      <c r="A288">
        <v>282</v>
      </c>
      <c r="C288">
        <f t="shared" si="197"/>
        <v>0</v>
      </c>
      <c r="D288">
        <f t="shared" si="198"/>
        <v>0</v>
      </c>
      <c r="E288">
        <f t="shared" si="199"/>
        <v>0</v>
      </c>
      <c r="F288">
        <f t="shared" si="200"/>
        <v>0</v>
      </c>
      <c r="G288">
        <f t="shared" si="201"/>
        <v>0</v>
      </c>
      <c r="H288">
        <f t="shared" si="202"/>
        <v>0</v>
      </c>
      <c r="I288">
        <f t="shared" si="203"/>
        <v>0</v>
      </c>
      <c r="J288">
        <f t="shared" si="204"/>
        <v>0</v>
      </c>
      <c r="K288">
        <f t="shared" si="205"/>
        <v>0</v>
      </c>
      <c r="L288">
        <f t="shared" si="206"/>
        <v>0</v>
      </c>
      <c r="M288">
        <f t="shared" si="207"/>
        <v>0</v>
      </c>
      <c r="N288">
        <f t="shared" si="208"/>
        <v>0</v>
      </c>
      <c r="O288">
        <f t="shared" si="209"/>
        <v>0</v>
      </c>
      <c r="P288">
        <f t="shared" si="210"/>
        <v>0</v>
      </c>
      <c r="Q288">
        <f t="shared" si="211"/>
        <v>0</v>
      </c>
      <c r="R288">
        <f t="shared" si="212"/>
        <v>0</v>
      </c>
      <c r="S288">
        <f t="shared" si="213"/>
        <v>0</v>
      </c>
      <c r="T288">
        <f t="shared" si="214"/>
        <v>0</v>
      </c>
      <c r="U288">
        <f t="shared" si="215"/>
        <v>0</v>
      </c>
      <c r="V288">
        <f t="shared" si="216"/>
        <v>0</v>
      </c>
      <c r="W288">
        <f t="shared" si="217"/>
        <v>0</v>
      </c>
      <c r="X288">
        <f t="shared" si="218"/>
        <v>0</v>
      </c>
      <c r="Y288">
        <f t="shared" si="219"/>
        <v>0</v>
      </c>
      <c r="Z288">
        <f t="shared" si="220"/>
        <v>0</v>
      </c>
      <c r="AA288">
        <f t="shared" si="221"/>
        <v>0</v>
      </c>
      <c r="AB288">
        <f t="shared" si="222"/>
        <v>0</v>
      </c>
      <c r="AC288">
        <f t="shared" si="223"/>
        <v>0</v>
      </c>
      <c r="AD288">
        <f t="shared" si="224"/>
        <v>0</v>
      </c>
      <c r="AE288">
        <f t="shared" si="225"/>
        <v>0</v>
      </c>
      <c r="AF288">
        <f t="shared" si="226"/>
        <v>0</v>
      </c>
      <c r="AG288">
        <f t="shared" si="227"/>
        <v>0</v>
      </c>
      <c r="AH288">
        <f t="shared" si="228"/>
        <v>0</v>
      </c>
      <c r="AI288">
        <f t="shared" si="229"/>
        <v>0</v>
      </c>
      <c r="AJ288">
        <f t="shared" si="230"/>
        <v>0</v>
      </c>
      <c r="AK288">
        <f t="shared" si="231"/>
        <v>0</v>
      </c>
      <c r="AL288">
        <f t="shared" si="232"/>
        <v>0</v>
      </c>
      <c r="AM288">
        <f t="shared" si="233"/>
        <v>0</v>
      </c>
      <c r="AN288">
        <f t="shared" si="234"/>
        <v>0</v>
      </c>
      <c r="AO288">
        <f t="shared" si="235"/>
        <v>0</v>
      </c>
      <c r="AP288">
        <f t="shared" si="236"/>
        <v>0</v>
      </c>
      <c r="AQ288">
        <f t="shared" si="237"/>
        <v>0</v>
      </c>
      <c r="AR288">
        <f t="shared" si="238"/>
        <v>0</v>
      </c>
      <c r="AS288">
        <f t="shared" si="239"/>
        <v>0</v>
      </c>
      <c r="AT288">
        <f t="shared" si="240"/>
        <v>0</v>
      </c>
      <c r="AU288">
        <f t="shared" si="241"/>
        <v>0</v>
      </c>
      <c r="AV288">
        <f t="shared" si="242"/>
        <v>0</v>
      </c>
      <c r="AW288">
        <f t="shared" si="196"/>
        <v>0</v>
      </c>
      <c r="AX288">
        <f t="shared" si="243"/>
        <v>0</v>
      </c>
      <c r="AY288">
        <f t="shared" si="244"/>
        <v>0</v>
      </c>
    </row>
    <row r="289" spans="1:51" x14ac:dyDescent="0.35">
      <c r="A289">
        <v>283</v>
      </c>
      <c r="C289">
        <f t="shared" si="197"/>
        <v>0</v>
      </c>
      <c r="D289">
        <f t="shared" si="198"/>
        <v>0</v>
      </c>
      <c r="E289">
        <f t="shared" si="199"/>
        <v>0</v>
      </c>
      <c r="F289">
        <f t="shared" si="200"/>
        <v>0</v>
      </c>
      <c r="G289">
        <f t="shared" si="201"/>
        <v>0</v>
      </c>
      <c r="H289">
        <f t="shared" si="202"/>
        <v>0</v>
      </c>
      <c r="I289">
        <f t="shared" si="203"/>
        <v>0</v>
      </c>
      <c r="J289">
        <f t="shared" si="204"/>
        <v>0</v>
      </c>
      <c r="K289">
        <f t="shared" si="205"/>
        <v>0</v>
      </c>
      <c r="L289">
        <f t="shared" si="206"/>
        <v>0</v>
      </c>
      <c r="M289">
        <f t="shared" si="207"/>
        <v>0</v>
      </c>
      <c r="N289">
        <f t="shared" si="208"/>
        <v>0</v>
      </c>
      <c r="O289">
        <f t="shared" si="209"/>
        <v>0</v>
      </c>
      <c r="P289">
        <f t="shared" si="210"/>
        <v>0</v>
      </c>
      <c r="Q289">
        <f t="shared" si="211"/>
        <v>0</v>
      </c>
      <c r="R289">
        <f t="shared" si="212"/>
        <v>0</v>
      </c>
      <c r="S289">
        <f t="shared" si="213"/>
        <v>0</v>
      </c>
      <c r="T289">
        <f t="shared" si="214"/>
        <v>0</v>
      </c>
      <c r="U289">
        <f t="shared" si="215"/>
        <v>0</v>
      </c>
      <c r="V289">
        <f t="shared" si="216"/>
        <v>0</v>
      </c>
      <c r="W289">
        <f t="shared" si="217"/>
        <v>0</v>
      </c>
      <c r="X289">
        <f t="shared" si="218"/>
        <v>0</v>
      </c>
      <c r="Y289">
        <f t="shared" si="219"/>
        <v>0</v>
      </c>
      <c r="Z289">
        <f t="shared" si="220"/>
        <v>0</v>
      </c>
      <c r="AA289">
        <f t="shared" si="221"/>
        <v>0</v>
      </c>
      <c r="AB289">
        <f t="shared" si="222"/>
        <v>0</v>
      </c>
      <c r="AC289">
        <f t="shared" si="223"/>
        <v>0</v>
      </c>
      <c r="AD289">
        <f t="shared" si="224"/>
        <v>0</v>
      </c>
      <c r="AE289">
        <f t="shared" si="225"/>
        <v>0</v>
      </c>
      <c r="AF289">
        <f t="shared" si="226"/>
        <v>0</v>
      </c>
      <c r="AG289">
        <f t="shared" si="227"/>
        <v>0</v>
      </c>
      <c r="AH289">
        <f t="shared" si="228"/>
        <v>0</v>
      </c>
      <c r="AI289">
        <f t="shared" si="229"/>
        <v>0</v>
      </c>
      <c r="AJ289">
        <f t="shared" si="230"/>
        <v>0</v>
      </c>
      <c r="AK289">
        <f t="shared" si="231"/>
        <v>0</v>
      </c>
      <c r="AL289">
        <f t="shared" si="232"/>
        <v>0</v>
      </c>
      <c r="AM289">
        <f t="shared" si="233"/>
        <v>0</v>
      </c>
      <c r="AN289">
        <f t="shared" si="234"/>
        <v>0</v>
      </c>
      <c r="AO289">
        <f t="shared" si="235"/>
        <v>0</v>
      </c>
      <c r="AP289">
        <f t="shared" si="236"/>
        <v>0</v>
      </c>
      <c r="AQ289">
        <f t="shared" si="237"/>
        <v>0</v>
      </c>
      <c r="AR289">
        <f t="shared" si="238"/>
        <v>0</v>
      </c>
      <c r="AS289">
        <f t="shared" si="239"/>
        <v>0</v>
      </c>
      <c r="AT289">
        <f t="shared" si="240"/>
        <v>0</v>
      </c>
      <c r="AU289">
        <f t="shared" si="241"/>
        <v>0</v>
      </c>
      <c r="AV289">
        <f t="shared" si="242"/>
        <v>0</v>
      </c>
      <c r="AW289">
        <f t="shared" si="196"/>
        <v>0</v>
      </c>
      <c r="AX289">
        <f t="shared" si="243"/>
        <v>0</v>
      </c>
      <c r="AY289">
        <f t="shared" si="244"/>
        <v>0</v>
      </c>
    </row>
    <row r="290" spans="1:51" x14ac:dyDescent="0.35">
      <c r="A290">
        <v>284</v>
      </c>
      <c r="C290">
        <f t="shared" si="197"/>
        <v>0</v>
      </c>
      <c r="D290">
        <f t="shared" si="198"/>
        <v>0</v>
      </c>
      <c r="E290">
        <f t="shared" si="199"/>
        <v>0</v>
      </c>
      <c r="F290">
        <f t="shared" si="200"/>
        <v>0</v>
      </c>
      <c r="G290">
        <f t="shared" si="201"/>
        <v>0</v>
      </c>
      <c r="H290">
        <f t="shared" si="202"/>
        <v>0</v>
      </c>
      <c r="I290">
        <f t="shared" si="203"/>
        <v>0</v>
      </c>
      <c r="J290">
        <f t="shared" si="204"/>
        <v>0</v>
      </c>
      <c r="K290">
        <f t="shared" si="205"/>
        <v>0</v>
      </c>
      <c r="L290">
        <f t="shared" si="206"/>
        <v>0</v>
      </c>
      <c r="M290">
        <f t="shared" si="207"/>
        <v>0</v>
      </c>
      <c r="N290">
        <f t="shared" si="208"/>
        <v>0</v>
      </c>
      <c r="O290">
        <f t="shared" si="209"/>
        <v>0</v>
      </c>
      <c r="P290">
        <f t="shared" si="210"/>
        <v>0</v>
      </c>
      <c r="Q290">
        <f t="shared" si="211"/>
        <v>0</v>
      </c>
      <c r="R290">
        <f t="shared" si="212"/>
        <v>0</v>
      </c>
      <c r="S290">
        <f t="shared" si="213"/>
        <v>0</v>
      </c>
      <c r="T290">
        <f t="shared" si="214"/>
        <v>0</v>
      </c>
      <c r="U290">
        <f t="shared" si="215"/>
        <v>0</v>
      </c>
      <c r="V290">
        <f t="shared" si="216"/>
        <v>0</v>
      </c>
      <c r="W290">
        <f t="shared" si="217"/>
        <v>0</v>
      </c>
      <c r="X290">
        <f t="shared" si="218"/>
        <v>0</v>
      </c>
      <c r="Y290">
        <f t="shared" si="219"/>
        <v>0</v>
      </c>
      <c r="Z290">
        <f t="shared" si="220"/>
        <v>0</v>
      </c>
      <c r="AA290">
        <f t="shared" si="221"/>
        <v>0</v>
      </c>
      <c r="AB290">
        <f t="shared" si="222"/>
        <v>0</v>
      </c>
      <c r="AC290">
        <f t="shared" si="223"/>
        <v>0</v>
      </c>
      <c r="AD290">
        <f t="shared" si="224"/>
        <v>0</v>
      </c>
      <c r="AE290">
        <f t="shared" si="225"/>
        <v>0</v>
      </c>
      <c r="AF290">
        <f t="shared" si="226"/>
        <v>0</v>
      </c>
      <c r="AG290">
        <f t="shared" si="227"/>
        <v>0</v>
      </c>
      <c r="AH290">
        <f t="shared" si="228"/>
        <v>0</v>
      </c>
      <c r="AI290">
        <f t="shared" si="229"/>
        <v>0</v>
      </c>
      <c r="AJ290">
        <f t="shared" si="230"/>
        <v>0</v>
      </c>
      <c r="AK290">
        <f t="shared" si="231"/>
        <v>0</v>
      </c>
      <c r="AL290">
        <f t="shared" si="232"/>
        <v>0</v>
      </c>
      <c r="AM290">
        <f t="shared" si="233"/>
        <v>0</v>
      </c>
      <c r="AN290">
        <f t="shared" si="234"/>
        <v>0</v>
      </c>
      <c r="AO290">
        <f t="shared" si="235"/>
        <v>0</v>
      </c>
      <c r="AP290">
        <f t="shared" si="236"/>
        <v>0</v>
      </c>
      <c r="AQ290">
        <f t="shared" si="237"/>
        <v>0</v>
      </c>
      <c r="AR290">
        <f t="shared" si="238"/>
        <v>0</v>
      </c>
      <c r="AS290">
        <f t="shared" si="239"/>
        <v>0</v>
      </c>
      <c r="AT290">
        <f t="shared" si="240"/>
        <v>0</v>
      </c>
      <c r="AU290">
        <f t="shared" si="241"/>
        <v>0</v>
      </c>
      <c r="AV290">
        <f t="shared" si="242"/>
        <v>0</v>
      </c>
      <c r="AW290">
        <f t="shared" si="196"/>
        <v>0</v>
      </c>
      <c r="AX290">
        <f t="shared" si="243"/>
        <v>0</v>
      </c>
      <c r="AY290">
        <f t="shared" si="244"/>
        <v>0</v>
      </c>
    </row>
    <row r="291" spans="1:51" x14ac:dyDescent="0.35">
      <c r="A291">
        <v>285</v>
      </c>
      <c r="C291">
        <f t="shared" si="197"/>
        <v>0</v>
      </c>
      <c r="D291">
        <f t="shared" si="198"/>
        <v>0</v>
      </c>
      <c r="E291">
        <f t="shared" si="199"/>
        <v>0</v>
      </c>
      <c r="F291">
        <f t="shared" si="200"/>
        <v>0</v>
      </c>
      <c r="G291">
        <f t="shared" si="201"/>
        <v>0</v>
      </c>
      <c r="H291">
        <f t="shared" si="202"/>
        <v>0</v>
      </c>
      <c r="I291">
        <f t="shared" si="203"/>
        <v>0</v>
      </c>
      <c r="J291">
        <f t="shared" si="204"/>
        <v>0</v>
      </c>
      <c r="K291">
        <f t="shared" si="205"/>
        <v>0</v>
      </c>
      <c r="L291">
        <f t="shared" si="206"/>
        <v>0</v>
      </c>
      <c r="M291">
        <f t="shared" si="207"/>
        <v>0</v>
      </c>
      <c r="N291">
        <f t="shared" si="208"/>
        <v>0</v>
      </c>
      <c r="O291">
        <f t="shared" si="209"/>
        <v>0</v>
      </c>
      <c r="P291">
        <f t="shared" si="210"/>
        <v>0</v>
      </c>
      <c r="Q291">
        <f t="shared" si="211"/>
        <v>0</v>
      </c>
      <c r="R291">
        <f t="shared" si="212"/>
        <v>0</v>
      </c>
      <c r="S291">
        <f t="shared" si="213"/>
        <v>0</v>
      </c>
      <c r="T291">
        <f t="shared" si="214"/>
        <v>0</v>
      </c>
      <c r="U291">
        <f t="shared" si="215"/>
        <v>0</v>
      </c>
      <c r="V291">
        <f t="shared" si="216"/>
        <v>0</v>
      </c>
      <c r="W291">
        <f t="shared" si="217"/>
        <v>0</v>
      </c>
      <c r="X291">
        <f t="shared" si="218"/>
        <v>0</v>
      </c>
      <c r="Y291">
        <f t="shared" si="219"/>
        <v>0</v>
      </c>
      <c r="Z291">
        <f t="shared" si="220"/>
        <v>0</v>
      </c>
      <c r="AA291">
        <f t="shared" si="221"/>
        <v>0</v>
      </c>
      <c r="AB291">
        <f t="shared" si="222"/>
        <v>0</v>
      </c>
      <c r="AC291">
        <f t="shared" si="223"/>
        <v>0</v>
      </c>
      <c r="AD291">
        <f t="shared" si="224"/>
        <v>0</v>
      </c>
      <c r="AE291">
        <f t="shared" si="225"/>
        <v>0</v>
      </c>
      <c r="AF291">
        <f t="shared" si="226"/>
        <v>0</v>
      </c>
      <c r="AG291">
        <f t="shared" si="227"/>
        <v>0</v>
      </c>
      <c r="AH291">
        <f t="shared" si="228"/>
        <v>0</v>
      </c>
      <c r="AI291">
        <f t="shared" si="229"/>
        <v>0</v>
      </c>
      <c r="AJ291">
        <f t="shared" si="230"/>
        <v>0</v>
      </c>
      <c r="AK291">
        <f t="shared" si="231"/>
        <v>0</v>
      </c>
      <c r="AL291">
        <f t="shared" si="232"/>
        <v>0</v>
      </c>
      <c r="AM291">
        <f t="shared" si="233"/>
        <v>0</v>
      </c>
      <c r="AN291">
        <f t="shared" si="234"/>
        <v>0</v>
      </c>
      <c r="AO291">
        <f t="shared" si="235"/>
        <v>0</v>
      </c>
      <c r="AP291">
        <f t="shared" si="236"/>
        <v>0</v>
      </c>
      <c r="AQ291">
        <f t="shared" si="237"/>
        <v>0</v>
      </c>
      <c r="AR291">
        <f t="shared" si="238"/>
        <v>0</v>
      </c>
      <c r="AS291">
        <f t="shared" si="239"/>
        <v>0</v>
      </c>
      <c r="AT291">
        <f t="shared" si="240"/>
        <v>0</v>
      </c>
      <c r="AU291">
        <f t="shared" si="241"/>
        <v>0</v>
      </c>
      <c r="AV291">
        <f t="shared" si="242"/>
        <v>0</v>
      </c>
      <c r="AW291">
        <f t="shared" si="196"/>
        <v>0</v>
      </c>
      <c r="AX291">
        <f t="shared" si="243"/>
        <v>0</v>
      </c>
      <c r="AY291">
        <f t="shared" si="244"/>
        <v>0</v>
      </c>
    </row>
    <row r="292" spans="1:51" x14ac:dyDescent="0.35">
      <c r="A292">
        <v>286</v>
      </c>
      <c r="C292">
        <f t="shared" si="197"/>
        <v>0</v>
      </c>
      <c r="D292">
        <f t="shared" si="198"/>
        <v>0</v>
      </c>
      <c r="E292">
        <f t="shared" si="199"/>
        <v>0</v>
      </c>
      <c r="F292">
        <f t="shared" si="200"/>
        <v>0</v>
      </c>
      <c r="G292">
        <f t="shared" si="201"/>
        <v>0</v>
      </c>
      <c r="H292">
        <f t="shared" si="202"/>
        <v>0</v>
      </c>
      <c r="I292">
        <f t="shared" si="203"/>
        <v>0</v>
      </c>
      <c r="J292">
        <f t="shared" si="204"/>
        <v>0</v>
      </c>
      <c r="K292">
        <f t="shared" si="205"/>
        <v>0</v>
      </c>
      <c r="L292">
        <f t="shared" si="206"/>
        <v>0</v>
      </c>
      <c r="M292">
        <f t="shared" si="207"/>
        <v>0</v>
      </c>
      <c r="N292">
        <f t="shared" si="208"/>
        <v>0</v>
      </c>
      <c r="O292">
        <f t="shared" si="209"/>
        <v>0</v>
      </c>
      <c r="P292">
        <f t="shared" si="210"/>
        <v>0</v>
      </c>
      <c r="Q292">
        <f t="shared" si="211"/>
        <v>0</v>
      </c>
      <c r="R292">
        <f t="shared" si="212"/>
        <v>0</v>
      </c>
      <c r="S292">
        <f t="shared" si="213"/>
        <v>0</v>
      </c>
      <c r="T292">
        <f t="shared" si="214"/>
        <v>0</v>
      </c>
      <c r="U292">
        <f t="shared" si="215"/>
        <v>0</v>
      </c>
      <c r="V292">
        <f t="shared" si="216"/>
        <v>0</v>
      </c>
      <c r="W292">
        <f t="shared" si="217"/>
        <v>0</v>
      </c>
      <c r="X292">
        <f t="shared" si="218"/>
        <v>0</v>
      </c>
      <c r="Y292">
        <f t="shared" si="219"/>
        <v>0</v>
      </c>
      <c r="Z292">
        <f t="shared" si="220"/>
        <v>0</v>
      </c>
      <c r="AA292">
        <f t="shared" si="221"/>
        <v>0</v>
      </c>
      <c r="AB292">
        <f t="shared" si="222"/>
        <v>0</v>
      </c>
      <c r="AC292">
        <f t="shared" si="223"/>
        <v>0</v>
      </c>
      <c r="AD292">
        <f t="shared" si="224"/>
        <v>0</v>
      </c>
      <c r="AE292">
        <f t="shared" si="225"/>
        <v>0</v>
      </c>
      <c r="AF292">
        <f t="shared" si="226"/>
        <v>0</v>
      </c>
      <c r="AG292">
        <f t="shared" si="227"/>
        <v>0</v>
      </c>
      <c r="AH292">
        <f t="shared" si="228"/>
        <v>0</v>
      </c>
      <c r="AI292">
        <f t="shared" si="229"/>
        <v>0</v>
      </c>
      <c r="AJ292">
        <f t="shared" si="230"/>
        <v>0</v>
      </c>
      <c r="AK292">
        <f t="shared" si="231"/>
        <v>0</v>
      </c>
      <c r="AL292">
        <f t="shared" si="232"/>
        <v>0</v>
      </c>
      <c r="AM292">
        <f t="shared" si="233"/>
        <v>0</v>
      </c>
      <c r="AN292">
        <f t="shared" si="234"/>
        <v>0</v>
      </c>
      <c r="AO292">
        <f t="shared" si="235"/>
        <v>0</v>
      </c>
      <c r="AP292">
        <f t="shared" si="236"/>
        <v>0</v>
      </c>
      <c r="AQ292">
        <f t="shared" si="237"/>
        <v>0</v>
      </c>
      <c r="AR292">
        <f t="shared" si="238"/>
        <v>0</v>
      </c>
      <c r="AS292">
        <f t="shared" si="239"/>
        <v>0</v>
      </c>
      <c r="AT292">
        <f t="shared" si="240"/>
        <v>0</v>
      </c>
      <c r="AU292">
        <f t="shared" si="241"/>
        <v>0</v>
      </c>
      <c r="AV292">
        <f t="shared" si="242"/>
        <v>0</v>
      </c>
      <c r="AW292">
        <f t="shared" si="196"/>
        <v>0</v>
      </c>
      <c r="AX292">
        <f t="shared" si="243"/>
        <v>0</v>
      </c>
      <c r="AY292">
        <f t="shared" si="244"/>
        <v>0</v>
      </c>
    </row>
    <row r="293" spans="1:51" x14ac:dyDescent="0.35">
      <c r="A293">
        <v>287</v>
      </c>
      <c r="C293">
        <f t="shared" si="197"/>
        <v>0</v>
      </c>
      <c r="D293">
        <f t="shared" si="198"/>
        <v>0</v>
      </c>
      <c r="E293">
        <f t="shared" si="199"/>
        <v>0</v>
      </c>
      <c r="F293">
        <f t="shared" si="200"/>
        <v>0</v>
      </c>
      <c r="G293">
        <f t="shared" si="201"/>
        <v>0</v>
      </c>
      <c r="H293">
        <f t="shared" si="202"/>
        <v>0</v>
      </c>
      <c r="I293">
        <f t="shared" si="203"/>
        <v>0</v>
      </c>
      <c r="J293">
        <f t="shared" si="204"/>
        <v>0</v>
      </c>
      <c r="K293">
        <f t="shared" si="205"/>
        <v>0</v>
      </c>
      <c r="L293">
        <f t="shared" si="206"/>
        <v>0</v>
      </c>
      <c r="M293">
        <f t="shared" si="207"/>
        <v>0</v>
      </c>
      <c r="N293">
        <f t="shared" si="208"/>
        <v>0</v>
      </c>
      <c r="O293">
        <f t="shared" si="209"/>
        <v>0</v>
      </c>
      <c r="P293">
        <f t="shared" si="210"/>
        <v>0</v>
      </c>
      <c r="Q293">
        <f t="shared" si="211"/>
        <v>0</v>
      </c>
      <c r="R293">
        <f t="shared" si="212"/>
        <v>0</v>
      </c>
      <c r="S293">
        <f t="shared" si="213"/>
        <v>0</v>
      </c>
      <c r="T293">
        <f t="shared" si="214"/>
        <v>0</v>
      </c>
      <c r="U293">
        <f t="shared" si="215"/>
        <v>0</v>
      </c>
      <c r="V293">
        <f t="shared" si="216"/>
        <v>0</v>
      </c>
      <c r="W293">
        <f t="shared" si="217"/>
        <v>0</v>
      </c>
      <c r="X293">
        <f t="shared" si="218"/>
        <v>0</v>
      </c>
      <c r="Y293">
        <f t="shared" si="219"/>
        <v>0</v>
      </c>
      <c r="Z293">
        <f t="shared" si="220"/>
        <v>0</v>
      </c>
      <c r="AA293">
        <f t="shared" si="221"/>
        <v>0</v>
      </c>
      <c r="AB293">
        <f t="shared" si="222"/>
        <v>0</v>
      </c>
      <c r="AC293">
        <f t="shared" si="223"/>
        <v>0</v>
      </c>
      <c r="AD293">
        <f t="shared" si="224"/>
        <v>0</v>
      </c>
      <c r="AE293">
        <f t="shared" si="225"/>
        <v>0</v>
      </c>
      <c r="AF293">
        <f t="shared" si="226"/>
        <v>0</v>
      </c>
      <c r="AG293">
        <f t="shared" si="227"/>
        <v>0</v>
      </c>
      <c r="AH293">
        <f t="shared" si="228"/>
        <v>0</v>
      </c>
      <c r="AI293">
        <f t="shared" si="229"/>
        <v>0</v>
      </c>
      <c r="AJ293">
        <f t="shared" si="230"/>
        <v>0</v>
      </c>
      <c r="AK293">
        <f t="shared" si="231"/>
        <v>0</v>
      </c>
      <c r="AL293">
        <f t="shared" si="232"/>
        <v>0</v>
      </c>
      <c r="AM293">
        <f t="shared" si="233"/>
        <v>0</v>
      </c>
      <c r="AN293">
        <f t="shared" si="234"/>
        <v>0</v>
      </c>
      <c r="AO293">
        <f t="shared" si="235"/>
        <v>0</v>
      </c>
      <c r="AP293">
        <f t="shared" si="236"/>
        <v>0</v>
      </c>
      <c r="AQ293">
        <f t="shared" si="237"/>
        <v>0</v>
      </c>
      <c r="AR293">
        <f t="shared" si="238"/>
        <v>0</v>
      </c>
      <c r="AS293">
        <f t="shared" si="239"/>
        <v>0</v>
      </c>
      <c r="AT293">
        <f t="shared" si="240"/>
        <v>0</v>
      </c>
      <c r="AU293">
        <f t="shared" si="241"/>
        <v>0</v>
      </c>
      <c r="AV293">
        <f t="shared" si="242"/>
        <v>0</v>
      </c>
      <c r="AW293">
        <f t="shared" si="196"/>
        <v>0</v>
      </c>
      <c r="AX293">
        <f t="shared" si="243"/>
        <v>0</v>
      </c>
      <c r="AY293">
        <f t="shared" si="244"/>
        <v>0</v>
      </c>
    </row>
    <row r="294" spans="1:51" x14ac:dyDescent="0.35">
      <c r="A294">
        <v>288</v>
      </c>
      <c r="C294">
        <f t="shared" si="197"/>
        <v>0</v>
      </c>
      <c r="D294">
        <f t="shared" si="198"/>
        <v>0</v>
      </c>
      <c r="E294">
        <f t="shared" si="199"/>
        <v>0</v>
      </c>
      <c r="F294">
        <f t="shared" si="200"/>
        <v>0</v>
      </c>
      <c r="G294">
        <f t="shared" si="201"/>
        <v>0</v>
      </c>
      <c r="H294">
        <f t="shared" si="202"/>
        <v>0</v>
      </c>
      <c r="I294">
        <f t="shared" si="203"/>
        <v>0</v>
      </c>
      <c r="J294">
        <f t="shared" si="204"/>
        <v>0</v>
      </c>
      <c r="K294">
        <f t="shared" si="205"/>
        <v>0</v>
      </c>
      <c r="L294">
        <f t="shared" si="206"/>
        <v>0</v>
      </c>
      <c r="M294">
        <f t="shared" si="207"/>
        <v>0</v>
      </c>
      <c r="N294">
        <f t="shared" si="208"/>
        <v>0</v>
      </c>
      <c r="O294">
        <f t="shared" si="209"/>
        <v>0</v>
      </c>
      <c r="P294">
        <f t="shared" si="210"/>
        <v>0</v>
      </c>
      <c r="Q294">
        <f t="shared" si="211"/>
        <v>0</v>
      </c>
      <c r="R294">
        <f t="shared" si="212"/>
        <v>0</v>
      </c>
      <c r="S294">
        <f t="shared" si="213"/>
        <v>0</v>
      </c>
      <c r="T294">
        <f t="shared" si="214"/>
        <v>0</v>
      </c>
      <c r="U294">
        <f t="shared" si="215"/>
        <v>0</v>
      </c>
      <c r="V294">
        <f t="shared" si="216"/>
        <v>0</v>
      </c>
      <c r="W294">
        <f t="shared" si="217"/>
        <v>0</v>
      </c>
      <c r="X294">
        <f t="shared" si="218"/>
        <v>0</v>
      </c>
      <c r="Y294">
        <f t="shared" si="219"/>
        <v>0</v>
      </c>
      <c r="Z294">
        <f t="shared" si="220"/>
        <v>0</v>
      </c>
      <c r="AA294">
        <f t="shared" si="221"/>
        <v>0</v>
      </c>
      <c r="AB294">
        <f t="shared" si="222"/>
        <v>0</v>
      </c>
      <c r="AC294">
        <f t="shared" si="223"/>
        <v>0</v>
      </c>
      <c r="AD294">
        <f t="shared" si="224"/>
        <v>0</v>
      </c>
      <c r="AE294">
        <f t="shared" si="225"/>
        <v>0</v>
      </c>
      <c r="AF294">
        <f t="shared" si="226"/>
        <v>0</v>
      </c>
      <c r="AG294">
        <f t="shared" si="227"/>
        <v>0</v>
      </c>
      <c r="AH294">
        <f t="shared" si="228"/>
        <v>0</v>
      </c>
      <c r="AI294">
        <f t="shared" si="229"/>
        <v>0</v>
      </c>
      <c r="AJ294">
        <f t="shared" si="230"/>
        <v>0</v>
      </c>
      <c r="AK294">
        <f t="shared" si="231"/>
        <v>0</v>
      </c>
      <c r="AL294">
        <f t="shared" si="232"/>
        <v>0</v>
      </c>
      <c r="AM294">
        <f t="shared" si="233"/>
        <v>0</v>
      </c>
      <c r="AN294">
        <f t="shared" si="234"/>
        <v>0</v>
      </c>
      <c r="AO294">
        <f t="shared" si="235"/>
        <v>0</v>
      </c>
      <c r="AP294">
        <f t="shared" si="236"/>
        <v>0</v>
      </c>
      <c r="AQ294">
        <f t="shared" si="237"/>
        <v>0</v>
      </c>
      <c r="AR294">
        <f t="shared" si="238"/>
        <v>0</v>
      </c>
      <c r="AS294">
        <f t="shared" si="239"/>
        <v>0</v>
      </c>
      <c r="AT294">
        <f t="shared" si="240"/>
        <v>0</v>
      </c>
      <c r="AU294">
        <f t="shared" si="241"/>
        <v>0</v>
      </c>
      <c r="AV294">
        <f t="shared" si="242"/>
        <v>0</v>
      </c>
      <c r="AW294">
        <f t="shared" si="196"/>
        <v>0</v>
      </c>
      <c r="AX294">
        <f t="shared" si="243"/>
        <v>0</v>
      </c>
      <c r="AY294">
        <f t="shared" si="244"/>
        <v>0</v>
      </c>
    </row>
    <row r="295" spans="1:51" x14ac:dyDescent="0.35">
      <c r="A295">
        <v>289</v>
      </c>
      <c r="C295">
        <f t="shared" si="197"/>
        <v>0</v>
      </c>
      <c r="D295">
        <f t="shared" si="198"/>
        <v>0</v>
      </c>
      <c r="E295">
        <f t="shared" si="199"/>
        <v>0</v>
      </c>
      <c r="F295">
        <f t="shared" si="200"/>
        <v>0</v>
      </c>
      <c r="G295">
        <f t="shared" si="201"/>
        <v>0</v>
      </c>
      <c r="H295">
        <f t="shared" si="202"/>
        <v>0</v>
      </c>
      <c r="I295">
        <f t="shared" si="203"/>
        <v>0</v>
      </c>
      <c r="J295">
        <f t="shared" si="204"/>
        <v>0</v>
      </c>
      <c r="K295">
        <f t="shared" si="205"/>
        <v>0</v>
      </c>
      <c r="L295">
        <f t="shared" si="206"/>
        <v>0</v>
      </c>
      <c r="M295">
        <f t="shared" si="207"/>
        <v>0</v>
      </c>
      <c r="N295">
        <f t="shared" si="208"/>
        <v>0</v>
      </c>
      <c r="O295">
        <f t="shared" si="209"/>
        <v>0</v>
      </c>
      <c r="P295">
        <f t="shared" si="210"/>
        <v>0</v>
      </c>
      <c r="Q295">
        <f t="shared" si="211"/>
        <v>0</v>
      </c>
      <c r="R295">
        <f t="shared" si="212"/>
        <v>0</v>
      </c>
      <c r="S295">
        <f t="shared" si="213"/>
        <v>0</v>
      </c>
      <c r="T295">
        <f t="shared" si="214"/>
        <v>0</v>
      </c>
      <c r="U295">
        <f t="shared" si="215"/>
        <v>0</v>
      </c>
      <c r="V295">
        <f t="shared" si="216"/>
        <v>0</v>
      </c>
      <c r="W295">
        <f t="shared" si="217"/>
        <v>0</v>
      </c>
      <c r="X295">
        <f t="shared" si="218"/>
        <v>0</v>
      </c>
      <c r="Y295">
        <f t="shared" si="219"/>
        <v>0</v>
      </c>
      <c r="Z295">
        <f t="shared" si="220"/>
        <v>0</v>
      </c>
      <c r="AA295">
        <f t="shared" si="221"/>
        <v>0</v>
      </c>
      <c r="AB295">
        <f t="shared" si="222"/>
        <v>0</v>
      </c>
      <c r="AC295">
        <f t="shared" si="223"/>
        <v>0</v>
      </c>
      <c r="AD295">
        <f t="shared" si="224"/>
        <v>0</v>
      </c>
      <c r="AE295">
        <f t="shared" si="225"/>
        <v>0</v>
      </c>
      <c r="AF295">
        <f t="shared" si="226"/>
        <v>0</v>
      </c>
      <c r="AG295">
        <f t="shared" si="227"/>
        <v>0</v>
      </c>
      <c r="AH295">
        <f t="shared" si="228"/>
        <v>0</v>
      </c>
      <c r="AI295">
        <f t="shared" si="229"/>
        <v>0</v>
      </c>
      <c r="AJ295">
        <f t="shared" si="230"/>
        <v>0</v>
      </c>
      <c r="AK295">
        <f t="shared" si="231"/>
        <v>0</v>
      </c>
      <c r="AL295">
        <f t="shared" si="232"/>
        <v>0</v>
      </c>
      <c r="AM295">
        <f t="shared" si="233"/>
        <v>0</v>
      </c>
      <c r="AN295">
        <f t="shared" si="234"/>
        <v>0</v>
      </c>
      <c r="AO295">
        <f t="shared" si="235"/>
        <v>0</v>
      </c>
      <c r="AP295">
        <f t="shared" si="236"/>
        <v>0</v>
      </c>
      <c r="AQ295">
        <f t="shared" si="237"/>
        <v>0</v>
      </c>
      <c r="AR295">
        <f t="shared" si="238"/>
        <v>0</v>
      </c>
      <c r="AS295">
        <f t="shared" si="239"/>
        <v>0</v>
      </c>
      <c r="AT295">
        <f t="shared" si="240"/>
        <v>0</v>
      </c>
      <c r="AU295">
        <f t="shared" si="241"/>
        <v>0</v>
      </c>
      <c r="AV295">
        <f t="shared" si="242"/>
        <v>0</v>
      </c>
      <c r="AW295">
        <f t="shared" si="196"/>
        <v>0</v>
      </c>
      <c r="AX295">
        <f t="shared" si="243"/>
        <v>0</v>
      </c>
      <c r="AY295">
        <f t="shared" si="244"/>
        <v>0</v>
      </c>
    </row>
    <row r="296" spans="1:51" x14ac:dyDescent="0.35">
      <c r="A296">
        <v>290</v>
      </c>
      <c r="C296">
        <f t="shared" si="197"/>
        <v>0</v>
      </c>
      <c r="D296">
        <f t="shared" si="198"/>
        <v>0</v>
      </c>
      <c r="E296">
        <f t="shared" si="199"/>
        <v>0</v>
      </c>
      <c r="F296">
        <f t="shared" si="200"/>
        <v>0</v>
      </c>
      <c r="G296">
        <f t="shared" si="201"/>
        <v>0</v>
      </c>
      <c r="H296">
        <f t="shared" si="202"/>
        <v>0</v>
      </c>
      <c r="I296">
        <f t="shared" si="203"/>
        <v>0</v>
      </c>
      <c r="J296">
        <f t="shared" si="204"/>
        <v>0</v>
      </c>
      <c r="K296">
        <f t="shared" si="205"/>
        <v>0</v>
      </c>
      <c r="L296">
        <f t="shared" si="206"/>
        <v>0</v>
      </c>
      <c r="M296">
        <f t="shared" si="207"/>
        <v>0</v>
      </c>
      <c r="N296">
        <f t="shared" si="208"/>
        <v>0</v>
      </c>
      <c r="O296">
        <f t="shared" si="209"/>
        <v>0</v>
      </c>
      <c r="P296">
        <f t="shared" si="210"/>
        <v>0</v>
      </c>
      <c r="Q296">
        <f t="shared" si="211"/>
        <v>0</v>
      </c>
      <c r="R296">
        <f t="shared" si="212"/>
        <v>0</v>
      </c>
      <c r="S296">
        <f t="shared" si="213"/>
        <v>0</v>
      </c>
      <c r="T296">
        <f t="shared" si="214"/>
        <v>0</v>
      </c>
      <c r="U296">
        <f t="shared" si="215"/>
        <v>0</v>
      </c>
      <c r="V296">
        <f t="shared" si="216"/>
        <v>0</v>
      </c>
      <c r="W296">
        <f t="shared" si="217"/>
        <v>0</v>
      </c>
      <c r="X296">
        <f t="shared" si="218"/>
        <v>0</v>
      </c>
      <c r="Y296">
        <f t="shared" si="219"/>
        <v>0</v>
      </c>
      <c r="Z296">
        <f t="shared" si="220"/>
        <v>0</v>
      </c>
      <c r="AA296">
        <f t="shared" si="221"/>
        <v>0</v>
      </c>
      <c r="AB296">
        <f t="shared" si="222"/>
        <v>0</v>
      </c>
      <c r="AC296">
        <f t="shared" si="223"/>
        <v>0</v>
      </c>
      <c r="AD296">
        <f t="shared" si="224"/>
        <v>0</v>
      </c>
      <c r="AE296">
        <f t="shared" si="225"/>
        <v>0</v>
      </c>
      <c r="AF296">
        <f t="shared" si="226"/>
        <v>0</v>
      </c>
      <c r="AG296">
        <f t="shared" si="227"/>
        <v>0</v>
      </c>
      <c r="AH296">
        <f t="shared" si="228"/>
        <v>0</v>
      </c>
      <c r="AI296">
        <f t="shared" si="229"/>
        <v>0</v>
      </c>
      <c r="AJ296">
        <f t="shared" si="230"/>
        <v>0</v>
      </c>
      <c r="AK296">
        <f t="shared" si="231"/>
        <v>0</v>
      </c>
      <c r="AL296">
        <f t="shared" si="232"/>
        <v>0</v>
      </c>
      <c r="AM296">
        <f t="shared" si="233"/>
        <v>0</v>
      </c>
      <c r="AN296">
        <f t="shared" si="234"/>
        <v>0</v>
      </c>
      <c r="AO296">
        <f t="shared" si="235"/>
        <v>0</v>
      </c>
      <c r="AP296">
        <f t="shared" si="236"/>
        <v>0</v>
      </c>
      <c r="AQ296">
        <f t="shared" si="237"/>
        <v>0</v>
      </c>
      <c r="AR296">
        <f t="shared" si="238"/>
        <v>0</v>
      </c>
      <c r="AS296">
        <f t="shared" si="239"/>
        <v>0</v>
      </c>
      <c r="AT296">
        <f t="shared" si="240"/>
        <v>0</v>
      </c>
      <c r="AU296">
        <f t="shared" si="241"/>
        <v>0</v>
      </c>
      <c r="AV296">
        <f t="shared" si="242"/>
        <v>0</v>
      </c>
      <c r="AW296">
        <f t="shared" si="196"/>
        <v>0</v>
      </c>
      <c r="AX296">
        <f t="shared" si="243"/>
        <v>0</v>
      </c>
      <c r="AY296">
        <f t="shared" si="244"/>
        <v>0</v>
      </c>
    </row>
    <row r="297" spans="1:51" x14ac:dyDescent="0.35">
      <c r="A297">
        <v>291</v>
      </c>
      <c r="C297">
        <f t="shared" si="197"/>
        <v>0</v>
      </c>
      <c r="D297">
        <f t="shared" si="198"/>
        <v>0</v>
      </c>
      <c r="E297">
        <f t="shared" si="199"/>
        <v>0</v>
      </c>
      <c r="F297">
        <f t="shared" si="200"/>
        <v>0</v>
      </c>
      <c r="G297">
        <f t="shared" si="201"/>
        <v>0</v>
      </c>
      <c r="H297">
        <f t="shared" si="202"/>
        <v>0</v>
      </c>
      <c r="I297">
        <f t="shared" si="203"/>
        <v>0</v>
      </c>
      <c r="J297">
        <f t="shared" si="204"/>
        <v>0</v>
      </c>
      <c r="K297">
        <f t="shared" si="205"/>
        <v>0</v>
      </c>
      <c r="L297">
        <f t="shared" si="206"/>
        <v>0</v>
      </c>
      <c r="M297">
        <f t="shared" si="207"/>
        <v>0</v>
      </c>
      <c r="N297">
        <f t="shared" si="208"/>
        <v>0</v>
      </c>
      <c r="O297">
        <f t="shared" si="209"/>
        <v>0</v>
      </c>
      <c r="P297">
        <f t="shared" si="210"/>
        <v>0</v>
      </c>
      <c r="Q297">
        <f t="shared" si="211"/>
        <v>0</v>
      </c>
      <c r="R297">
        <f t="shared" si="212"/>
        <v>0</v>
      </c>
      <c r="S297">
        <f t="shared" si="213"/>
        <v>0</v>
      </c>
      <c r="T297">
        <f t="shared" si="214"/>
        <v>0</v>
      </c>
      <c r="U297">
        <f t="shared" si="215"/>
        <v>0</v>
      </c>
      <c r="V297">
        <f t="shared" si="216"/>
        <v>0</v>
      </c>
      <c r="W297">
        <f t="shared" si="217"/>
        <v>0</v>
      </c>
      <c r="X297">
        <f t="shared" si="218"/>
        <v>0</v>
      </c>
      <c r="Y297">
        <f t="shared" si="219"/>
        <v>0</v>
      </c>
      <c r="Z297">
        <f t="shared" si="220"/>
        <v>0</v>
      </c>
      <c r="AA297">
        <f t="shared" si="221"/>
        <v>0</v>
      </c>
      <c r="AB297">
        <f t="shared" si="222"/>
        <v>0</v>
      </c>
      <c r="AC297">
        <f t="shared" si="223"/>
        <v>0</v>
      </c>
      <c r="AD297">
        <f t="shared" si="224"/>
        <v>0</v>
      </c>
      <c r="AE297">
        <f t="shared" si="225"/>
        <v>0</v>
      </c>
      <c r="AF297">
        <f t="shared" si="226"/>
        <v>0</v>
      </c>
      <c r="AG297">
        <f t="shared" si="227"/>
        <v>0</v>
      </c>
      <c r="AH297">
        <f t="shared" si="228"/>
        <v>0</v>
      </c>
      <c r="AI297">
        <f t="shared" si="229"/>
        <v>0</v>
      </c>
      <c r="AJ297">
        <f t="shared" si="230"/>
        <v>0</v>
      </c>
      <c r="AK297">
        <f t="shared" si="231"/>
        <v>0</v>
      </c>
      <c r="AL297">
        <f t="shared" si="232"/>
        <v>0</v>
      </c>
      <c r="AM297">
        <f t="shared" si="233"/>
        <v>0</v>
      </c>
      <c r="AN297">
        <f t="shared" si="234"/>
        <v>0</v>
      </c>
      <c r="AO297">
        <f t="shared" si="235"/>
        <v>0</v>
      </c>
      <c r="AP297">
        <f t="shared" si="236"/>
        <v>0</v>
      </c>
      <c r="AQ297">
        <f t="shared" si="237"/>
        <v>0</v>
      </c>
      <c r="AR297">
        <f t="shared" si="238"/>
        <v>0</v>
      </c>
      <c r="AS297">
        <f t="shared" si="239"/>
        <v>0</v>
      </c>
      <c r="AT297">
        <f t="shared" si="240"/>
        <v>0</v>
      </c>
      <c r="AU297">
        <f t="shared" si="241"/>
        <v>0</v>
      </c>
      <c r="AV297">
        <f t="shared" si="242"/>
        <v>0</v>
      </c>
      <c r="AW297">
        <f t="shared" si="196"/>
        <v>0</v>
      </c>
      <c r="AX297">
        <f t="shared" si="243"/>
        <v>0</v>
      </c>
      <c r="AY297">
        <f t="shared" si="244"/>
        <v>0</v>
      </c>
    </row>
    <row r="298" spans="1:51" x14ac:dyDescent="0.35">
      <c r="A298">
        <v>292</v>
      </c>
      <c r="C298">
        <f t="shared" si="197"/>
        <v>0</v>
      </c>
      <c r="D298">
        <f t="shared" si="198"/>
        <v>0</v>
      </c>
      <c r="E298">
        <f t="shared" si="199"/>
        <v>0</v>
      </c>
      <c r="F298">
        <f t="shared" si="200"/>
        <v>0</v>
      </c>
      <c r="G298">
        <f t="shared" si="201"/>
        <v>0</v>
      </c>
      <c r="H298">
        <f t="shared" si="202"/>
        <v>0</v>
      </c>
      <c r="I298">
        <f t="shared" si="203"/>
        <v>0</v>
      </c>
      <c r="J298">
        <f t="shared" si="204"/>
        <v>0</v>
      </c>
      <c r="K298">
        <f t="shared" si="205"/>
        <v>0</v>
      </c>
      <c r="L298">
        <f t="shared" si="206"/>
        <v>0</v>
      </c>
      <c r="M298">
        <f t="shared" si="207"/>
        <v>0</v>
      </c>
      <c r="N298">
        <f t="shared" si="208"/>
        <v>0</v>
      </c>
      <c r="O298">
        <f t="shared" si="209"/>
        <v>0</v>
      </c>
      <c r="P298">
        <f t="shared" si="210"/>
        <v>0</v>
      </c>
      <c r="Q298">
        <f t="shared" si="211"/>
        <v>0</v>
      </c>
      <c r="R298">
        <f t="shared" si="212"/>
        <v>0</v>
      </c>
      <c r="S298">
        <f t="shared" si="213"/>
        <v>0</v>
      </c>
      <c r="T298">
        <f t="shared" si="214"/>
        <v>0</v>
      </c>
      <c r="U298">
        <f t="shared" si="215"/>
        <v>0</v>
      </c>
      <c r="V298">
        <f t="shared" si="216"/>
        <v>0</v>
      </c>
      <c r="W298">
        <f t="shared" si="217"/>
        <v>0</v>
      </c>
      <c r="X298">
        <f t="shared" si="218"/>
        <v>0</v>
      </c>
      <c r="Y298">
        <f t="shared" si="219"/>
        <v>0</v>
      </c>
      <c r="Z298">
        <f t="shared" si="220"/>
        <v>0</v>
      </c>
      <c r="AA298">
        <f t="shared" si="221"/>
        <v>0</v>
      </c>
      <c r="AB298">
        <f t="shared" si="222"/>
        <v>0</v>
      </c>
      <c r="AC298">
        <f t="shared" si="223"/>
        <v>0</v>
      </c>
      <c r="AD298">
        <f t="shared" si="224"/>
        <v>0</v>
      </c>
      <c r="AE298">
        <f t="shared" si="225"/>
        <v>0</v>
      </c>
      <c r="AF298">
        <f t="shared" si="226"/>
        <v>0</v>
      </c>
      <c r="AG298">
        <f t="shared" si="227"/>
        <v>0</v>
      </c>
      <c r="AH298">
        <f t="shared" si="228"/>
        <v>0</v>
      </c>
      <c r="AI298">
        <f t="shared" si="229"/>
        <v>0</v>
      </c>
      <c r="AJ298">
        <f t="shared" si="230"/>
        <v>0</v>
      </c>
      <c r="AK298">
        <f t="shared" si="231"/>
        <v>0</v>
      </c>
      <c r="AL298">
        <f t="shared" si="232"/>
        <v>0</v>
      </c>
      <c r="AM298">
        <f t="shared" si="233"/>
        <v>0</v>
      </c>
      <c r="AN298">
        <f t="shared" si="234"/>
        <v>0</v>
      </c>
      <c r="AO298">
        <f t="shared" si="235"/>
        <v>0</v>
      </c>
      <c r="AP298">
        <f t="shared" si="236"/>
        <v>0</v>
      </c>
      <c r="AQ298">
        <f t="shared" si="237"/>
        <v>0</v>
      </c>
      <c r="AR298">
        <f t="shared" si="238"/>
        <v>0</v>
      </c>
      <c r="AS298">
        <f t="shared" si="239"/>
        <v>0</v>
      </c>
      <c r="AT298">
        <f t="shared" si="240"/>
        <v>0</v>
      </c>
      <c r="AU298">
        <f t="shared" si="241"/>
        <v>0</v>
      </c>
      <c r="AV298">
        <f t="shared" si="242"/>
        <v>0</v>
      </c>
      <c r="AW298">
        <f t="shared" si="196"/>
        <v>0</v>
      </c>
      <c r="AX298">
        <f t="shared" si="243"/>
        <v>0</v>
      </c>
      <c r="AY298">
        <f t="shared" si="244"/>
        <v>0</v>
      </c>
    </row>
    <row r="299" spans="1:51" x14ac:dyDescent="0.35">
      <c r="A299">
        <v>293</v>
      </c>
      <c r="C299">
        <f t="shared" si="197"/>
        <v>0</v>
      </c>
      <c r="D299">
        <f t="shared" si="198"/>
        <v>0</v>
      </c>
      <c r="E299">
        <f t="shared" si="199"/>
        <v>0</v>
      </c>
      <c r="F299">
        <f t="shared" si="200"/>
        <v>0</v>
      </c>
      <c r="G299">
        <f t="shared" si="201"/>
        <v>0</v>
      </c>
      <c r="H299">
        <f t="shared" si="202"/>
        <v>0</v>
      </c>
      <c r="I299">
        <f t="shared" si="203"/>
        <v>0</v>
      </c>
      <c r="J299">
        <f t="shared" si="204"/>
        <v>0</v>
      </c>
      <c r="K299">
        <f t="shared" si="205"/>
        <v>0</v>
      </c>
      <c r="L299">
        <f t="shared" si="206"/>
        <v>0</v>
      </c>
      <c r="M299">
        <f t="shared" si="207"/>
        <v>0</v>
      </c>
      <c r="N299">
        <f t="shared" si="208"/>
        <v>0</v>
      </c>
      <c r="O299">
        <f t="shared" si="209"/>
        <v>0</v>
      </c>
      <c r="P299">
        <f t="shared" si="210"/>
        <v>0</v>
      </c>
      <c r="Q299">
        <f t="shared" si="211"/>
        <v>0</v>
      </c>
      <c r="R299">
        <f t="shared" si="212"/>
        <v>0</v>
      </c>
      <c r="S299">
        <f t="shared" si="213"/>
        <v>0</v>
      </c>
      <c r="T299">
        <f t="shared" si="214"/>
        <v>0</v>
      </c>
      <c r="U299">
        <f t="shared" si="215"/>
        <v>0</v>
      </c>
      <c r="V299">
        <f t="shared" si="216"/>
        <v>0</v>
      </c>
      <c r="W299">
        <f t="shared" si="217"/>
        <v>0</v>
      </c>
      <c r="X299">
        <f t="shared" si="218"/>
        <v>0</v>
      </c>
      <c r="Y299">
        <f t="shared" si="219"/>
        <v>0</v>
      </c>
      <c r="Z299">
        <f t="shared" si="220"/>
        <v>0</v>
      </c>
      <c r="AA299">
        <f t="shared" si="221"/>
        <v>0</v>
      </c>
      <c r="AB299">
        <f t="shared" si="222"/>
        <v>0</v>
      </c>
      <c r="AC299">
        <f t="shared" si="223"/>
        <v>0</v>
      </c>
      <c r="AD299">
        <f t="shared" si="224"/>
        <v>0</v>
      </c>
      <c r="AE299">
        <f t="shared" si="225"/>
        <v>0</v>
      </c>
      <c r="AF299">
        <f t="shared" si="226"/>
        <v>0</v>
      </c>
      <c r="AG299">
        <f t="shared" si="227"/>
        <v>0</v>
      </c>
      <c r="AH299">
        <f t="shared" si="228"/>
        <v>0</v>
      </c>
      <c r="AI299">
        <f t="shared" si="229"/>
        <v>0</v>
      </c>
      <c r="AJ299">
        <f t="shared" si="230"/>
        <v>0</v>
      </c>
      <c r="AK299">
        <f t="shared" si="231"/>
        <v>0</v>
      </c>
      <c r="AL299">
        <f t="shared" si="232"/>
        <v>0</v>
      </c>
      <c r="AM299">
        <f t="shared" si="233"/>
        <v>0</v>
      </c>
      <c r="AN299">
        <f t="shared" si="234"/>
        <v>0</v>
      </c>
      <c r="AO299">
        <f t="shared" si="235"/>
        <v>0</v>
      </c>
      <c r="AP299">
        <f t="shared" si="236"/>
        <v>0</v>
      </c>
      <c r="AQ299">
        <f t="shared" si="237"/>
        <v>0</v>
      </c>
      <c r="AR299">
        <f t="shared" si="238"/>
        <v>0</v>
      </c>
      <c r="AS299">
        <f t="shared" si="239"/>
        <v>0</v>
      </c>
      <c r="AT299">
        <f t="shared" si="240"/>
        <v>0</v>
      </c>
      <c r="AU299">
        <f t="shared" si="241"/>
        <v>0</v>
      </c>
      <c r="AV299">
        <f t="shared" si="242"/>
        <v>0</v>
      </c>
      <c r="AW299">
        <f t="shared" si="196"/>
        <v>0</v>
      </c>
      <c r="AX299">
        <f t="shared" si="243"/>
        <v>0</v>
      </c>
      <c r="AY299">
        <f t="shared" si="244"/>
        <v>0</v>
      </c>
    </row>
    <row r="300" spans="1:51" x14ac:dyDescent="0.35">
      <c r="A300">
        <v>294</v>
      </c>
      <c r="C300">
        <f t="shared" si="197"/>
        <v>0</v>
      </c>
      <c r="D300">
        <f t="shared" si="198"/>
        <v>0</v>
      </c>
      <c r="E300">
        <f t="shared" si="199"/>
        <v>0</v>
      </c>
      <c r="F300">
        <f t="shared" si="200"/>
        <v>0</v>
      </c>
      <c r="G300">
        <f t="shared" si="201"/>
        <v>0</v>
      </c>
      <c r="H300">
        <f t="shared" si="202"/>
        <v>0</v>
      </c>
      <c r="I300">
        <f t="shared" si="203"/>
        <v>0</v>
      </c>
      <c r="J300">
        <f t="shared" si="204"/>
        <v>0</v>
      </c>
      <c r="K300">
        <f t="shared" si="205"/>
        <v>0</v>
      </c>
      <c r="L300">
        <f t="shared" si="206"/>
        <v>0</v>
      </c>
      <c r="M300">
        <f t="shared" si="207"/>
        <v>0</v>
      </c>
      <c r="N300">
        <f t="shared" si="208"/>
        <v>0</v>
      </c>
      <c r="O300">
        <f t="shared" si="209"/>
        <v>0</v>
      </c>
      <c r="P300">
        <f t="shared" si="210"/>
        <v>0</v>
      </c>
      <c r="Q300">
        <f t="shared" si="211"/>
        <v>0</v>
      </c>
      <c r="R300">
        <f t="shared" si="212"/>
        <v>0</v>
      </c>
      <c r="S300">
        <f t="shared" si="213"/>
        <v>0</v>
      </c>
      <c r="T300">
        <f t="shared" si="214"/>
        <v>0</v>
      </c>
      <c r="U300">
        <f t="shared" si="215"/>
        <v>0</v>
      </c>
      <c r="V300">
        <f t="shared" si="216"/>
        <v>0</v>
      </c>
      <c r="W300">
        <f t="shared" si="217"/>
        <v>0</v>
      </c>
      <c r="X300">
        <f t="shared" si="218"/>
        <v>0</v>
      </c>
      <c r="Y300">
        <f t="shared" si="219"/>
        <v>0</v>
      </c>
      <c r="Z300">
        <f t="shared" si="220"/>
        <v>0</v>
      </c>
      <c r="AA300">
        <f t="shared" si="221"/>
        <v>0</v>
      </c>
      <c r="AB300">
        <f t="shared" si="222"/>
        <v>0</v>
      </c>
      <c r="AC300">
        <f t="shared" si="223"/>
        <v>0</v>
      </c>
      <c r="AD300">
        <f t="shared" si="224"/>
        <v>0</v>
      </c>
      <c r="AE300">
        <f t="shared" si="225"/>
        <v>0</v>
      </c>
      <c r="AF300">
        <f t="shared" si="226"/>
        <v>0</v>
      </c>
      <c r="AG300">
        <f t="shared" si="227"/>
        <v>0</v>
      </c>
      <c r="AH300">
        <f t="shared" si="228"/>
        <v>0</v>
      </c>
      <c r="AI300">
        <f t="shared" si="229"/>
        <v>0</v>
      </c>
      <c r="AJ300">
        <f t="shared" si="230"/>
        <v>0</v>
      </c>
      <c r="AK300">
        <f t="shared" si="231"/>
        <v>0</v>
      </c>
      <c r="AL300">
        <f t="shared" si="232"/>
        <v>0</v>
      </c>
      <c r="AM300">
        <f t="shared" si="233"/>
        <v>0</v>
      </c>
      <c r="AN300">
        <f t="shared" si="234"/>
        <v>0</v>
      </c>
      <c r="AO300">
        <f t="shared" si="235"/>
        <v>0</v>
      </c>
      <c r="AP300">
        <f t="shared" si="236"/>
        <v>0</v>
      </c>
      <c r="AQ300">
        <f t="shared" si="237"/>
        <v>0</v>
      </c>
      <c r="AR300">
        <f t="shared" si="238"/>
        <v>0</v>
      </c>
      <c r="AS300">
        <f t="shared" si="239"/>
        <v>0</v>
      </c>
      <c r="AT300">
        <f t="shared" si="240"/>
        <v>0</v>
      </c>
      <c r="AU300">
        <f t="shared" si="241"/>
        <v>0</v>
      </c>
      <c r="AV300">
        <f t="shared" si="242"/>
        <v>0</v>
      </c>
      <c r="AW300">
        <f t="shared" si="196"/>
        <v>0</v>
      </c>
      <c r="AX300">
        <f t="shared" si="243"/>
        <v>0</v>
      </c>
      <c r="AY300">
        <f t="shared" si="244"/>
        <v>0</v>
      </c>
    </row>
    <row r="301" spans="1:51" x14ac:dyDescent="0.35">
      <c r="A301">
        <v>295</v>
      </c>
      <c r="C301">
        <f t="shared" si="197"/>
        <v>0</v>
      </c>
      <c r="D301">
        <f t="shared" si="198"/>
        <v>0</v>
      </c>
      <c r="E301">
        <f t="shared" si="199"/>
        <v>0</v>
      </c>
      <c r="F301">
        <f t="shared" si="200"/>
        <v>0</v>
      </c>
      <c r="G301">
        <f t="shared" si="201"/>
        <v>0</v>
      </c>
      <c r="H301">
        <f t="shared" si="202"/>
        <v>0</v>
      </c>
      <c r="I301">
        <f t="shared" si="203"/>
        <v>0</v>
      </c>
      <c r="J301">
        <f t="shared" si="204"/>
        <v>0</v>
      </c>
      <c r="K301">
        <f t="shared" si="205"/>
        <v>0</v>
      </c>
      <c r="L301">
        <f t="shared" si="206"/>
        <v>0</v>
      </c>
      <c r="M301">
        <f t="shared" si="207"/>
        <v>0</v>
      </c>
      <c r="N301">
        <f t="shared" si="208"/>
        <v>0</v>
      </c>
      <c r="O301">
        <f t="shared" si="209"/>
        <v>0</v>
      </c>
      <c r="P301">
        <f t="shared" si="210"/>
        <v>0</v>
      </c>
      <c r="Q301">
        <f t="shared" si="211"/>
        <v>0</v>
      </c>
      <c r="R301">
        <f t="shared" si="212"/>
        <v>0</v>
      </c>
      <c r="S301">
        <f t="shared" si="213"/>
        <v>0</v>
      </c>
      <c r="T301">
        <f t="shared" si="214"/>
        <v>0</v>
      </c>
      <c r="U301">
        <f t="shared" si="215"/>
        <v>0</v>
      </c>
      <c r="V301">
        <f t="shared" si="216"/>
        <v>0</v>
      </c>
      <c r="W301">
        <f t="shared" si="217"/>
        <v>0</v>
      </c>
      <c r="X301">
        <f t="shared" si="218"/>
        <v>0</v>
      </c>
      <c r="Y301">
        <f t="shared" si="219"/>
        <v>0</v>
      </c>
      <c r="Z301">
        <f t="shared" si="220"/>
        <v>0</v>
      </c>
      <c r="AA301">
        <f t="shared" si="221"/>
        <v>0</v>
      </c>
      <c r="AB301">
        <f t="shared" si="222"/>
        <v>0</v>
      </c>
      <c r="AC301">
        <f t="shared" si="223"/>
        <v>0</v>
      </c>
      <c r="AD301">
        <f t="shared" si="224"/>
        <v>0</v>
      </c>
      <c r="AE301">
        <f t="shared" si="225"/>
        <v>0</v>
      </c>
      <c r="AF301">
        <f t="shared" si="226"/>
        <v>0</v>
      </c>
      <c r="AG301">
        <f t="shared" si="227"/>
        <v>0</v>
      </c>
      <c r="AH301">
        <f t="shared" si="228"/>
        <v>0</v>
      </c>
      <c r="AI301">
        <f t="shared" si="229"/>
        <v>0</v>
      </c>
      <c r="AJ301">
        <f t="shared" si="230"/>
        <v>0</v>
      </c>
      <c r="AK301">
        <f t="shared" si="231"/>
        <v>0</v>
      </c>
      <c r="AL301">
        <f t="shared" si="232"/>
        <v>0</v>
      </c>
      <c r="AM301">
        <f t="shared" si="233"/>
        <v>0</v>
      </c>
      <c r="AN301">
        <f t="shared" si="234"/>
        <v>0</v>
      </c>
      <c r="AO301">
        <f t="shared" si="235"/>
        <v>0</v>
      </c>
      <c r="AP301">
        <f t="shared" si="236"/>
        <v>0</v>
      </c>
      <c r="AQ301">
        <f t="shared" si="237"/>
        <v>0</v>
      </c>
      <c r="AR301">
        <f t="shared" si="238"/>
        <v>0</v>
      </c>
      <c r="AS301">
        <f t="shared" si="239"/>
        <v>0</v>
      </c>
      <c r="AT301">
        <f t="shared" si="240"/>
        <v>0</v>
      </c>
      <c r="AU301">
        <f t="shared" si="241"/>
        <v>0</v>
      </c>
      <c r="AV301">
        <f t="shared" si="242"/>
        <v>0</v>
      </c>
      <c r="AW301">
        <f t="shared" si="196"/>
        <v>0</v>
      </c>
      <c r="AX301">
        <f t="shared" si="243"/>
        <v>0</v>
      </c>
      <c r="AY301">
        <f t="shared" si="244"/>
        <v>0</v>
      </c>
    </row>
    <row r="302" spans="1:51" x14ac:dyDescent="0.35">
      <c r="A302">
        <v>296</v>
      </c>
      <c r="C302">
        <f t="shared" si="197"/>
        <v>0</v>
      </c>
      <c r="D302">
        <f t="shared" si="198"/>
        <v>0</v>
      </c>
      <c r="E302">
        <f t="shared" si="199"/>
        <v>0</v>
      </c>
      <c r="F302">
        <f t="shared" si="200"/>
        <v>0</v>
      </c>
      <c r="G302">
        <f t="shared" si="201"/>
        <v>0</v>
      </c>
      <c r="H302">
        <f t="shared" si="202"/>
        <v>0</v>
      </c>
      <c r="I302">
        <f t="shared" si="203"/>
        <v>0</v>
      </c>
      <c r="J302">
        <f t="shared" si="204"/>
        <v>0</v>
      </c>
      <c r="K302">
        <f t="shared" si="205"/>
        <v>0</v>
      </c>
      <c r="L302">
        <f t="shared" si="206"/>
        <v>0</v>
      </c>
      <c r="M302">
        <f t="shared" si="207"/>
        <v>0</v>
      </c>
      <c r="N302">
        <f t="shared" si="208"/>
        <v>0</v>
      </c>
      <c r="O302">
        <f t="shared" si="209"/>
        <v>0</v>
      </c>
      <c r="P302">
        <f t="shared" si="210"/>
        <v>0</v>
      </c>
      <c r="Q302">
        <f t="shared" si="211"/>
        <v>0</v>
      </c>
      <c r="R302">
        <f t="shared" si="212"/>
        <v>0</v>
      </c>
      <c r="S302">
        <f t="shared" si="213"/>
        <v>0</v>
      </c>
      <c r="T302">
        <f t="shared" si="214"/>
        <v>0</v>
      </c>
      <c r="U302">
        <f t="shared" si="215"/>
        <v>0</v>
      </c>
      <c r="V302">
        <f t="shared" si="216"/>
        <v>0</v>
      </c>
      <c r="W302">
        <f t="shared" si="217"/>
        <v>0</v>
      </c>
      <c r="X302">
        <f t="shared" si="218"/>
        <v>0</v>
      </c>
      <c r="Y302">
        <f t="shared" si="219"/>
        <v>0</v>
      </c>
      <c r="Z302">
        <f t="shared" si="220"/>
        <v>0</v>
      </c>
      <c r="AA302">
        <f t="shared" si="221"/>
        <v>0</v>
      </c>
      <c r="AB302">
        <f t="shared" si="222"/>
        <v>0</v>
      </c>
      <c r="AC302">
        <f t="shared" si="223"/>
        <v>0</v>
      </c>
      <c r="AD302">
        <f t="shared" si="224"/>
        <v>0</v>
      </c>
      <c r="AE302">
        <f t="shared" si="225"/>
        <v>0</v>
      </c>
      <c r="AF302">
        <f t="shared" si="226"/>
        <v>0</v>
      </c>
      <c r="AG302">
        <f t="shared" si="227"/>
        <v>0</v>
      </c>
      <c r="AH302">
        <f t="shared" si="228"/>
        <v>0</v>
      </c>
      <c r="AI302">
        <f t="shared" si="229"/>
        <v>0</v>
      </c>
      <c r="AJ302">
        <f t="shared" si="230"/>
        <v>0</v>
      </c>
      <c r="AK302">
        <f t="shared" si="231"/>
        <v>0</v>
      </c>
      <c r="AL302">
        <f t="shared" si="232"/>
        <v>0</v>
      </c>
      <c r="AM302">
        <f t="shared" si="233"/>
        <v>0</v>
      </c>
      <c r="AN302">
        <f t="shared" si="234"/>
        <v>0</v>
      </c>
      <c r="AO302">
        <f t="shared" si="235"/>
        <v>0</v>
      </c>
      <c r="AP302">
        <f t="shared" si="236"/>
        <v>0</v>
      </c>
      <c r="AQ302">
        <f t="shared" si="237"/>
        <v>0</v>
      </c>
      <c r="AR302">
        <f t="shared" si="238"/>
        <v>0</v>
      </c>
      <c r="AS302">
        <f t="shared" si="239"/>
        <v>0</v>
      </c>
      <c r="AT302">
        <f t="shared" si="240"/>
        <v>0</v>
      </c>
      <c r="AU302">
        <f t="shared" si="241"/>
        <v>0</v>
      </c>
      <c r="AV302">
        <f t="shared" si="242"/>
        <v>0</v>
      </c>
      <c r="AW302">
        <f t="shared" si="196"/>
        <v>0</v>
      </c>
      <c r="AX302">
        <f t="shared" si="243"/>
        <v>0</v>
      </c>
      <c r="AY302">
        <f t="shared" si="244"/>
        <v>0</v>
      </c>
    </row>
    <row r="303" spans="1:51" x14ac:dyDescent="0.35">
      <c r="A303">
        <v>297</v>
      </c>
      <c r="C303">
        <f t="shared" si="197"/>
        <v>0</v>
      </c>
      <c r="D303">
        <f t="shared" si="198"/>
        <v>0</v>
      </c>
      <c r="E303">
        <f t="shared" si="199"/>
        <v>0</v>
      </c>
      <c r="F303">
        <f t="shared" si="200"/>
        <v>0</v>
      </c>
      <c r="G303">
        <f t="shared" si="201"/>
        <v>0</v>
      </c>
      <c r="H303">
        <f t="shared" si="202"/>
        <v>0</v>
      </c>
      <c r="I303">
        <f t="shared" si="203"/>
        <v>0</v>
      </c>
      <c r="J303">
        <f t="shared" si="204"/>
        <v>0</v>
      </c>
      <c r="K303">
        <f t="shared" si="205"/>
        <v>0</v>
      </c>
      <c r="L303">
        <f t="shared" si="206"/>
        <v>0</v>
      </c>
      <c r="M303">
        <f t="shared" si="207"/>
        <v>0</v>
      </c>
      <c r="N303">
        <f t="shared" si="208"/>
        <v>0</v>
      </c>
      <c r="O303">
        <f t="shared" si="209"/>
        <v>0</v>
      </c>
      <c r="P303">
        <f t="shared" si="210"/>
        <v>0</v>
      </c>
      <c r="Q303">
        <f t="shared" si="211"/>
        <v>0</v>
      </c>
      <c r="R303">
        <f t="shared" si="212"/>
        <v>0</v>
      </c>
      <c r="S303">
        <f t="shared" si="213"/>
        <v>0</v>
      </c>
      <c r="T303">
        <f t="shared" si="214"/>
        <v>0</v>
      </c>
      <c r="U303">
        <f t="shared" si="215"/>
        <v>0</v>
      </c>
      <c r="V303">
        <f t="shared" si="216"/>
        <v>0</v>
      </c>
      <c r="W303">
        <f t="shared" si="217"/>
        <v>0</v>
      </c>
      <c r="X303">
        <f t="shared" si="218"/>
        <v>0</v>
      </c>
      <c r="Y303">
        <f t="shared" si="219"/>
        <v>0</v>
      </c>
      <c r="Z303">
        <f t="shared" si="220"/>
        <v>0</v>
      </c>
      <c r="AA303">
        <f t="shared" si="221"/>
        <v>0</v>
      </c>
      <c r="AB303">
        <f t="shared" si="222"/>
        <v>0</v>
      </c>
      <c r="AC303">
        <f t="shared" si="223"/>
        <v>0</v>
      </c>
      <c r="AD303">
        <f t="shared" si="224"/>
        <v>0</v>
      </c>
      <c r="AE303">
        <f t="shared" si="225"/>
        <v>0</v>
      </c>
      <c r="AF303">
        <f t="shared" si="226"/>
        <v>0</v>
      </c>
      <c r="AG303">
        <f t="shared" si="227"/>
        <v>0</v>
      </c>
      <c r="AH303">
        <f t="shared" si="228"/>
        <v>0</v>
      </c>
      <c r="AI303">
        <f t="shared" si="229"/>
        <v>0</v>
      </c>
      <c r="AJ303">
        <f t="shared" si="230"/>
        <v>0</v>
      </c>
      <c r="AK303">
        <f t="shared" si="231"/>
        <v>0</v>
      </c>
      <c r="AL303">
        <f t="shared" si="232"/>
        <v>0</v>
      </c>
      <c r="AM303">
        <f t="shared" si="233"/>
        <v>0</v>
      </c>
      <c r="AN303">
        <f t="shared" si="234"/>
        <v>0</v>
      </c>
      <c r="AO303">
        <f t="shared" si="235"/>
        <v>0</v>
      </c>
      <c r="AP303">
        <f t="shared" si="236"/>
        <v>0</v>
      </c>
      <c r="AQ303">
        <f t="shared" si="237"/>
        <v>0</v>
      </c>
      <c r="AR303">
        <f t="shared" si="238"/>
        <v>0</v>
      </c>
      <c r="AS303">
        <f t="shared" si="239"/>
        <v>0</v>
      </c>
      <c r="AT303">
        <f t="shared" si="240"/>
        <v>0</v>
      </c>
      <c r="AU303">
        <f t="shared" si="241"/>
        <v>0</v>
      </c>
      <c r="AV303">
        <f t="shared" si="242"/>
        <v>0</v>
      </c>
      <c r="AW303">
        <f t="shared" si="196"/>
        <v>0</v>
      </c>
      <c r="AX303">
        <f t="shared" si="243"/>
        <v>0</v>
      </c>
      <c r="AY303">
        <f t="shared" si="244"/>
        <v>0</v>
      </c>
    </row>
    <row r="304" spans="1:51" x14ac:dyDescent="0.35">
      <c r="A304">
        <v>298</v>
      </c>
      <c r="C304">
        <f t="shared" si="197"/>
        <v>0</v>
      </c>
      <c r="D304">
        <f t="shared" si="198"/>
        <v>0</v>
      </c>
      <c r="E304">
        <f t="shared" si="199"/>
        <v>0</v>
      </c>
      <c r="F304">
        <f t="shared" si="200"/>
        <v>0</v>
      </c>
      <c r="G304">
        <f t="shared" si="201"/>
        <v>0</v>
      </c>
      <c r="H304">
        <f t="shared" si="202"/>
        <v>0</v>
      </c>
      <c r="I304">
        <f t="shared" si="203"/>
        <v>0</v>
      </c>
      <c r="J304">
        <f t="shared" si="204"/>
        <v>0</v>
      </c>
      <c r="K304">
        <f t="shared" si="205"/>
        <v>0</v>
      </c>
      <c r="L304">
        <f t="shared" si="206"/>
        <v>0</v>
      </c>
      <c r="M304">
        <f t="shared" si="207"/>
        <v>0</v>
      </c>
      <c r="N304">
        <f t="shared" si="208"/>
        <v>0</v>
      </c>
      <c r="O304">
        <f t="shared" si="209"/>
        <v>0</v>
      </c>
      <c r="P304">
        <f t="shared" si="210"/>
        <v>0</v>
      </c>
      <c r="Q304">
        <f t="shared" si="211"/>
        <v>0</v>
      </c>
      <c r="R304">
        <f t="shared" si="212"/>
        <v>0</v>
      </c>
      <c r="S304">
        <f t="shared" si="213"/>
        <v>0</v>
      </c>
      <c r="T304">
        <f t="shared" si="214"/>
        <v>0</v>
      </c>
      <c r="U304">
        <f t="shared" si="215"/>
        <v>0</v>
      </c>
      <c r="V304">
        <f t="shared" si="216"/>
        <v>0</v>
      </c>
      <c r="W304">
        <f t="shared" si="217"/>
        <v>0</v>
      </c>
      <c r="X304">
        <f t="shared" si="218"/>
        <v>0</v>
      </c>
      <c r="Y304">
        <f t="shared" si="219"/>
        <v>0</v>
      </c>
      <c r="Z304">
        <f t="shared" si="220"/>
        <v>0</v>
      </c>
      <c r="AA304">
        <f t="shared" si="221"/>
        <v>0</v>
      </c>
      <c r="AB304">
        <f t="shared" si="222"/>
        <v>0</v>
      </c>
      <c r="AC304">
        <f t="shared" si="223"/>
        <v>0</v>
      </c>
      <c r="AD304">
        <f t="shared" si="224"/>
        <v>0</v>
      </c>
      <c r="AE304">
        <f t="shared" si="225"/>
        <v>0</v>
      </c>
      <c r="AF304">
        <f t="shared" si="226"/>
        <v>0</v>
      </c>
      <c r="AG304">
        <f t="shared" si="227"/>
        <v>0</v>
      </c>
      <c r="AH304">
        <f t="shared" si="228"/>
        <v>0</v>
      </c>
      <c r="AI304">
        <f t="shared" si="229"/>
        <v>0</v>
      </c>
      <c r="AJ304">
        <f t="shared" si="230"/>
        <v>0</v>
      </c>
      <c r="AK304">
        <f t="shared" si="231"/>
        <v>0</v>
      </c>
      <c r="AL304">
        <f t="shared" si="232"/>
        <v>0</v>
      </c>
      <c r="AM304">
        <f t="shared" si="233"/>
        <v>0</v>
      </c>
      <c r="AN304">
        <f t="shared" si="234"/>
        <v>0</v>
      </c>
      <c r="AO304">
        <f t="shared" si="235"/>
        <v>0</v>
      </c>
      <c r="AP304">
        <f t="shared" si="236"/>
        <v>0</v>
      </c>
      <c r="AQ304">
        <f t="shared" si="237"/>
        <v>0</v>
      </c>
      <c r="AR304">
        <f t="shared" si="238"/>
        <v>0</v>
      </c>
      <c r="AS304">
        <f t="shared" si="239"/>
        <v>0</v>
      </c>
      <c r="AT304">
        <f t="shared" si="240"/>
        <v>0</v>
      </c>
      <c r="AU304">
        <f t="shared" si="241"/>
        <v>0</v>
      </c>
      <c r="AV304">
        <f t="shared" si="242"/>
        <v>0</v>
      </c>
      <c r="AW304">
        <f t="shared" si="196"/>
        <v>0</v>
      </c>
      <c r="AX304">
        <f t="shared" si="243"/>
        <v>0</v>
      </c>
      <c r="AY304">
        <f t="shared" si="244"/>
        <v>0</v>
      </c>
    </row>
    <row r="305" spans="1:51" x14ac:dyDescent="0.35">
      <c r="A305">
        <v>299</v>
      </c>
      <c r="C305">
        <f t="shared" si="197"/>
        <v>0</v>
      </c>
      <c r="D305">
        <f t="shared" si="198"/>
        <v>0</v>
      </c>
      <c r="E305">
        <f t="shared" si="199"/>
        <v>0</v>
      </c>
      <c r="F305">
        <f t="shared" si="200"/>
        <v>0</v>
      </c>
      <c r="G305">
        <f t="shared" si="201"/>
        <v>0</v>
      </c>
      <c r="H305">
        <f t="shared" si="202"/>
        <v>0</v>
      </c>
      <c r="I305">
        <f t="shared" si="203"/>
        <v>0</v>
      </c>
      <c r="J305">
        <f t="shared" si="204"/>
        <v>0</v>
      </c>
      <c r="K305">
        <f t="shared" si="205"/>
        <v>0</v>
      </c>
      <c r="L305">
        <f t="shared" si="206"/>
        <v>0</v>
      </c>
      <c r="M305">
        <f t="shared" si="207"/>
        <v>0</v>
      </c>
      <c r="N305">
        <f t="shared" si="208"/>
        <v>0</v>
      </c>
      <c r="O305">
        <f t="shared" si="209"/>
        <v>0</v>
      </c>
      <c r="P305">
        <f t="shared" si="210"/>
        <v>0</v>
      </c>
      <c r="Q305">
        <f t="shared" si="211"/>
        <v>0</v>
      </c>
      <c r="R305">
        <f t="shared" si="212"/>
        <v>0</v>
      </c>
      <c r="S305">
        <f t="shared" si="213"/>
        <v>0</v>
      </c>
      <c r="T305">
        <f t="shared" si="214"/>
        <v>0</v>
      </c>
      <c r="U305">
        <f t="shared" si="215"/>
        <v>0</v>
      </c>
      <c r="V305">
        <f t="shared" si="216"/>
        <v>0</v>
      </c>
      <c r="W305">
        <f t="shared" si="217"/>
        <v>0</v>
      </c>
      <c r="X305">
        <f t="shared" si="218"/>
        <v>0</v>
      </c>
      <c r="Y305">
        <f t="shared" si="219"/>
        <v>0</v>
      </c>
      <c r="Z305">
        <f t="shared" si="220"/>
        <v>0</v>
      </c>
      <c r="AA305">
        <f t="shared" si="221"/>
        <v>0</v>
      </c>
      <c r="AB305">
        <f t="shared" si="222"/>
        <v>0</v>
      </c>
      <c r="AC305">
        <f t="shared" si="223"/>
        <v>0</v>
      </c>
      <c r="AD305">
        <f t="shared" si="224"/>
        <v>0</v>
      </c>
      <c r="AE305">
        <f t="shared" si="225"/>
        <v>0</v>
      </c>
      <c r="AF305">
        <f t="shared" si="226"/>
        <v>0</v>
      </c>
      <c r="AG305">
        <f t="shared" si="227"/>
        <v>0</v>
      </c>
      <c r="AH305">
        <f t="shared" si="228"/>
        <v>0</v>
      </c>
      <c r="AI305">
        <f t="shared" si="229"/>
        <v>0</v>
      </c>
      <c r="AJ305">
        <f t="shared" si="230"/>
        <v>0</v>
      </c>
      <c r="AK305">
        <f t="shared" si="231"/>
        <v>0</v>
      </c>
      <c r="AL305">
        <f t="shared" si="232"/>
        <v>0</v>
      </c>
      <c r="AM305">
        <f t="shared" si="233"/>
        <v>0</v>
      </c>
      <c r="AN305">
        <f t="shared" si="234"/>
        <v>0</v>
      </c>
      <c r="AO305">
        <f t="shared" si="235"/>
        <v>0</v>
      </c>
      <c r="AP305">
        <f t="shared" si="236"/>
        <v>0</v>
      </c>
      <c r="AQ305">
        <f t="shared" si="237"/>
        <v>0</v>
      </c>
      <c r="AR305">
        <f t="shared" si="238"/>
        <v>0</v>
      </c>
      <c r="AS305">
        <f t="shared" si="239"/>
        <v>0</v>
      </c>
      <c r="AT305">
        <f t="shared" si="240"/>
        <v>0</v>
      </c>
      <c r="AU305">
        <f t="shared" si="241"/>
        <v>0</v>
      </c>
      <c r="AV305">
        <f t="shared" si="242"/>
        <v>0</v>
      </c>
      <c r="AW305">
        <f t="shared" si="196"/>
        <v>0</v>
      </c>
      <c r="AX305">
        <f t="shared" si="243"/>
        <v>0</v>
      </c>
      <c r="AY305">
        <f t="shared" si="244"/>
        <v>0</v>
      </c>
    </row>
    <row r="306" spans="1:51" x14ac:dyDescent="0.35">
      <c r="A306">
        <v>300</v>
      </c>
      <c r="C306">
        <f t="shared" si="197"/>
        <v>0</v>
      </c>
      <c r="D306">
        <f t="shared" si="198"/>
        <v>0</v>
      </c>
      <c r="E306">
        <f t="shared" si="199"/>
        <v>0</v>
      </c>
      <c r="F306">
        <f t="shared" si="200"/>
        <v>0</v>
      </c>
      <c r="G306">
        <f t="shared" si="201"/>
        <v>0</v>
      </c>
      <c r="H306">
        <f t="shared" si="202"/>
        <v>0</v>
      </c>
      <c r="I306">
        <f t="shared" si="203"/>
        <v>0</v>
      </c>
      <c r="J306">
        <f t="shared" si="204"/>
        <v>0</v>
      </c>
      <c r="K306">
        <f t="shared" si="205"/>
        <v>0</v>
      </c>
      <c r="L306">
        <f t="shared" si="206"/>
        <v>0</v>
      </c>
      <c r="M306">
        <f t="shared" si="207"/>
        <v>0</v>
      </c>
      <c r="N306">
        <f t="shared" si="208"/>
        <v>0</v>
      </c>
      <c r="O306">
        <f t="shared" si="209"/>
        <v>0</v>
      </c>
      <c r="P306">
        <f t="shared" si="210"/>
        <v>0</v>
      </c>
      <c r="Q306">
        <f t="shared" si="211"/>
        <v>0</v>
      </c>
      <c r="R306">
        <f t="shared" si="212"/>
        <v>0</v>
      </c>
      <c r="S306">
        <f t="shared" si="213"/>
        <v>0</v>
      </c>
      <c r="T306">
        <f t="shared" si="214"/>
        <v>0</v>
      </c>
      <c r="U306">
        <f t="shared" si="215"/>
        <v>0</v>
      </c>
      <c r="V306">
        <f t="shared" si="216"/>
        <v>0</v>
      </c>
      <c r="W306">
        <f t="shared" si="217"/>
        <v>0</v>
      </c>
      <c r="X306">
        <f t="shared" si="218"/>
        <v>0</v>
      </c>
      <c r="Y306">
        <f t="shared" si="219"/>
        <v>0</v>
      </c>
      <c r="Z306">
        <f t="shared" si="220"/>
        <v>0</v>
      </c>
      <c r="AA306">
        <f t="shared" si="221"/>
        <v>0</v>
      </c>
      <c r="AB306">
        <f t="shared" si="222"/>
        <v>0</v>
      </c>
      <c r="AC306">
        <f t="shared" si="223"/>
        <v>0</v>
      </c>
      <c r="AD306">
        <f t="shared" si="224"/>
        <v>0</v>
      </c>
      <c r="AE306">
        <f t="shared" si="225"/>
        <v>0</v>
      </c>
      <c r="AF306">
        <f t="shared" si="226"/>
        <v>0</v>
      </c>
      <c r="AG306">
        <f t="shared" si="227"/>
        <v>0</v>
      </c>
      <c r="AH306">
        <f t="shared" si="228"/>
        <v>0</v>
      </c>
      <c r="AI306">
        <f t="shared" si="229"/>
        <v>0</v>
      </c>
      <c r="AJ306">
        <f t="shared" si="230"/>
        <v>0</v>
      </c>
      <c r="AK306">
        <f t="shared" si="231"/>
        <v>0</v>
      </c>
      <c r="AL306">
        <f t="shared" si="232"/>
        <v>0</v>
      </c>
      <c r="AM306">
        <f t="shared" si="233"/>
        <v>0</v>
      </c>
      <c r="AN306">
        <f t="shared" si="234"/>
        <v>0</v>
      </c>
      <c r="AO306">
        <f t="shared" si="235"/>
        <v>0</v>
      </c>
      <c r="AP306">
        <f t="shared" si="236"/>
        <v>0</v>
      </c>
      <c r="AQ306">
        <f t="shared" si="237"/>
        <v>0</v>
      </c>
      <c r="AR306">
        <f t="shared" si="238"/>
        <v>0</v>
      </c>
      <c r="AS306">
        <f t="shared" si="239"/>
        <v>0</v>
      </c>
      <c r="AT306">
        <f t="shared" si="240"/>
        <v>0</v>
      </c>
      <c r="AU306">
        <f t="shared" si="241"/>
        <v>0</v>
      </c>
      <c r="AV306">
        <f t="shared" si="242"/>
        <v>0</v>
      </c>
      <c r="AW306">
        <f t="shared" si="196"/>
        <v>0</v>
      </c>
      <c r="AX306">
        <f t="shared" si="243"/>
        <v>0</v>
      </c>
      <c r="AY306">
        <f t="shared" si="244"/>
        <v>0</v>
      </c>
    </row>
    <row r="307" spans="1:51" x14ac:dyDescent="0.35">
      <c r="A307">
        <v>301</v>
      </c>
      <c r="C307">
        <f t="shared" si="197"/>
        <v>0</v>
      </c>
      <c r="D307">
        <f t="shared" si="198"/>
        <v>0</v>
      </c>
      <c r="E307">
        <f t="shared" si="199"/>
        <v>0</v>
      </c>
      <c r="F307">
        <f t="shared" si="200"/>
        <v>0</v>
      </c>
      <c r="G307">
        <f t="shared" si="201"/>
        <v>0</v>
      </c>
      <c r="H307">
        <f t="shared" si="202"/>
        <v>0</v>
      </c>
      <c r="I307">
        <f t="shared" si="203"/>
        <v>0</v>
      </c>
      <c r="J307">
        <f t="shared" si="204"/>
        <v>0</v>
      </c>
      <c r="K307">
        <f t="shared" si="205"/>
        <v>0</v>
      </c>
      <c r="L307">
        <f t="shared" si="206"/>
        <v>0</v>
      </c>
      <c r="M307">
        <f t="shared" si="207"/>
        <v>0</v>
      </c>
      <c r="N307">
        <f t="shared" si="208"/>
        <v>0</v>
      </c>
      <c r="O307">
        <f t="shared" si="209"/>
        <v>0</v>
      </c>
      <c r="P307">
        <f t="shared" si="210"/>
        <v>0</v>
      </c>
      <c r="Q307">
        <f t="shared" si="211"/>
        <v>0</v>
      </c>
      <c r="R307">
        <f t="shared" si="212"/>
        <v>0</v>
      </c>
      <c r="S307">
        <f t="shared" si="213"/>
        <v>0</v>
      </c>
      <c r="T307">
        <f t="shared" si="214"/>
        <v>0</v>
      </c>
      <c r="U307">
        <f t="shared" si="215"/>
        <v>0</v>
      </c>
      <c r="V307">
        <f t="shared" si="216"/>
        <v>0</v>
      </c>
      <c r="W307">
        <f t="shared" si="217"/>
        <v>0</v>
      </c>
      <c r="X307">
        <f t="shared" si="218"/>
        <v>0</v>
      </c>
      <c r="Y307">
        <f t="shared" si="219"/>
        <v>0</v>
      </c>
      <c r="Z307">
        <f t="shared" si="220"/>
        <v>0</v>
      </c>
      <c r="AA307">
        <f t="shared" si="221"/>
        <v>0</v>
      </c>
      <c r="AB307">
        <f t="shared" si="222"/>
        <v>0</v>
      </c>
      <c r="AC307">
        <f t="shared" si="223"/>
        <v>0</v>
      </c>
      <c r="AD307">
        <f t="shared" si="224"/>
        <v>0</v>
      </c>
      <c r="AE307">
        <f t="shared" si="225"/>
        <v>0</v>
      </c>
      <c r="AF307">
        <f t="shared" si="226"/>
        <v>0</v>
      </c>
      <c r="AG307">
        <f t="shared" si="227"/>
        <v>0</v>
      </c>
      <c r="AH307">
        <f t="shared" si="228"/>
        <v>0</v>
      </c>
      <c r="AI307">
        <f t="shared" si="229"/>
        <v>0</v>
      </c>
      <c r="AJ307">
        <f t="shared" si="230"/>
        <v>0</v>
      </c>
      <c r="AK307">
        <f t="shared" si="231"/>
        <v>0</v>
      </c>
      <c r="AL307">
        <f t="shared" si="232"/>
        <v>0</v>
      </c>
      <c r="AM307">
        <f t="shared" si="233"/>
        <v>0</v>
      </c>
      <c r="AN307">
        <f t="shared" si="234"/>
        <v>0</v>
      </c>
      <c r="AO307">
        <f t="shared" si="235"/>
        <v>0</v>
      </c>
      <c r="AP307">
        <f t="shared" si="236"/>
        <v>0</v>
      </c>
      <c r="AQ307">
        <f t="shared" si="237"/>
        <v>0</v>
      </c>
      <c r="AR307">
        <f t="shared" si="238"/>
        <v>0</v>
      </c>
      <c r="AS307">
        <f t="shared" si="239"/>
        <v>0</v>
      </c>
      <c r="AT307">
        <f t="shared" si="240"/>
        <v>0</v>
      </c>
      <c r="AU307">
        <f t="shared" si="241"/>
        <v>0</v>
      </c>
      <c r="AV307">
        <f t="shared" si="242"/>
        <v>0</v>
      </c>
      <c r="AW307">
        <f t="shared" si="196"/>
        <v>0</v>
      </c>
      <c r="AX307">
        <f t="shared" si="243"/>
        <v>0</v>
      </c>
      <c r="AY307">
        <f t="shared" si="244"/>
        <v>0</v>
      </c>
    </row>
    <row r="308" spans="1:51" x14ac:dyDescent="0.35">
      <c r="A308">
        <v>302</v>
      </c>
      <c r="C308">
        <f t="shared" si="197"/>
        <v>0</v>
      </c>
      <c r="D308">
        <f t="shared" si="198"/>
        <v>0</v>
      </c>
      <c r="E308">
        <f t="shared" si="199"/>
        <v>0</v>
      </c>
      <c r="F308">
        <f t="shared" si="200"/>
        <v>0</v>
      </c>
      <c r="G308">
        <f t="shared" si="201"/>
        <v>0</v>
      </c>
      <c r="H308">
        <f t="shared" si="202"/>
        <v>0</v>
      </c>
      <c r="I308">
        <f t="shared" si="203"/>
        <v>0</v>
      </c>
      <c r="J308">
        <f t="shared" si="204"/>
        <v>0</v>
      </c>
      <c r="K308">
        <f t="shared" si="205"/>
        <v>0</v>
      </c>
      <c r="L308">
        <f t="shared" si="206"/>
        <v>0</v>
      </c>
      <c r="M308">
        <f t="shared" si="207"/>
        <v>0</v>
      </c>
      <c r="N308">
        <f t="shared" si="208"/>
        <v>0</v>
      </c>
      <c r="O308">
        <f t="shared" si="209"/>
        <v>0</v>
      </c>
      <c r="P308">
        <f t="shared" si="210"/>
        <v>0</v>
      </c>
      <c r="Q308">
        <f t="shared" si="211"/>
        <v>0</v>
      </c>
      <c r="R308">
        <f t="shared" si="212"/>
        <v>0</v>
      </c>
      <c r="S308">
        <f t="shared" si="213"/>
        <v>0</v>
      </c>
      <c r="T308">
        <f t="shared" si="214"/>
        <v>0</v>
      </c>
      <c r="U308">
        <f t="shared" si="215"/>
        <v>0</v>
      </c>
      <c r="V308">
        <f t="shared" si="216"/>
        <v>0</v>
      </c>
      <c r="W308">
        <f t="shared" si="217"/>
        <v>0</v>
      </c>
      <c r="X308">
        <f t="shared" si="218"/>
        <v>0</v>
      </c>
      <c r="Y308">
        <f t="shared" si="219"/>
        <v>0</v>
      </c>
      <c r="Z308">
        <f t="shared" si="220"/>
        <v>0</v>
      </c>
      <c r="AA308">
        <f t="shared" si="221"/>
        <v>0</v>
      </c>
      <c r="AB308">
        <f t="shared" si="222"/>
        <v>0</v>
      </c>
      <c r="AC308">
        <f t="shared" si="223"/>
        <v>0</v>
      </c>
      <c r="AD308">
        <f t="shared" si="224"/>
        <v>0</v>
      </c>
      <c r="AE308">
        <f t="shared" si="225"/>
        <v>0</v>
      </c>
      <c r="AF308">
        <f t="shared" si="226"/>
        <v>0</v>
      </c>
      <c r="AG308">
        <f t="shared" si="227"/>
        <v>0</v>
      </c>
      <c r="AH308">
        <f t="shared" si="228"/>
        <v>0</v>
      </c>
      <c r="AI308">
        <f t="shared" si="229"/>
        <v>0</v>
      </c>
      <c r="AJ308">
        <f t="shared" si="230"/>
        <v>0</v>
      </c>
      <c r="AK308">
        <f t="shared" si="231"/>
        <v>0</v>
      </c>
      <c r="AL308">
        <f t="shared" si="232"/>
        <v>0</v>
      </c>
      <c r="AM308">
        <f t="shared" si="233"/>
        <v>0</v>
      </c>
      <c r="AN308">
        <f t="shared" si="234"/>
        <v>0</v>
      </c>
      <c r="AO308">
        <f t="shared" si="235"/>
        <v>0</v>
      </c>
      <c r="AP308">
        <f t="shared" si="236"/>
        <v>0</v>
      </c>
      <c r="AQ308">
        <f t="shared" si="237"/>
        <v>0</v>
      </c>
      <c r="AR308">
        <f t="shared" si="238"/>
        <v>0</v>
      </c>
      <c r="AS308">
        <f t="shared" si="239"/>
        <v>0</v>
      </c>
      <c r="AT308">
        <f t="shared" si="240"/>
        <v>0</v>
      </c>
      <c r="AU308">
        <f t="shared" si="241"/>
        <v>0</v>
      </c>
      <c r="AV308">
        <f t="shared" si="242"/>
        <v>0</v>
      </c>
      <c r="AW308">
        <f t="shared" si="196"/>
        <v>0</v>
      </c>
      <c r="AX308">
        <f t="shared" si="243"/>
        <v>0</v>
      </c>
      <c r="AY308">
        <f t="shared" si="244"/>
        <v>0</v>
      </c>
    </row>
    <row r="309" spans="1:51" x14ac:dyDescent="0.35">
      <c r="A309">
        <v>303</v>
      </c>
      <c r="C309">
        <f t="shared" si="197"/>
        <v>0</v>
      </c>
      <c r="D309">
        <f t="shared" si="198"/>
        <v>0</v>
      </c>
      <c r="E309">
        <f t="shared" si="199"/>
        <v>0</v>
      </c>
      <c r="F309">
        <f t="shared" si="200"/>
        <v>0</v>
      </c>
      <c r="G309">
        <f t="shared" si="201"/>
        <v>0</v>
      </c>
      <c r="H309">
        <f t="shared" si="202"/>
        <v>0</v>
      </c>
      <c r="I309">
        <f t="shared" si="203"/>
        <v>0</v>
      </c>
      <c r="J309">
        <f t="shared" si="204"/>
        <v>0</v>
      </c>
      <c r="K309">
        <f t="shared" si="205"/>
        <v>0</v>
      </c>
      <c r="L309">
        <f t="shared" si="206"/>
        <v>0</v>
      </c>
      <c r="M309">
        <f t="shared" si="207"/>
        <v>0</v>
      </c>
      <c r="N309">
        <f t="shared" si="208"/>
        <v>0</v>
      </c>
      <c r="O309">
        <f t="shared" si="209"/>
        <v>0</v>
      </c>
      <c r="P309">
        <f t="shared" si="210"/>
        <v>0</v>
      </c>
      <c r="Q309">
        <f t="shared" si="211"/>
        <v>0</v>
      </c>
      <c r="R309">
        <f t="shared" si="212"/>
        <v>0</v>
      </c>
      <c r="S309">
        <f t="shared" si="213"/>
        <v>0</v>
      </c>
      <c r="T309">
        <f t="shared" si="214"/>
        <v>0</v>
      </c>
      <c r="U309">
        <f t="shared" si="215"/>
        <v>0</v>
      </c>
      <c r="V309">
        <f t="shared" si="216"/>
        <v>0</v>
      </c>
      <c r="W309">
        <f t="shared" si="217"/>
        <v>0</v>
      </c>
      <c r="X309">
        <f t="shared" si="218"/>
        <v>0</v>
      </c>
      <c r="Y309">
        <f t="shared" si="219"/>
        <v>0</v>
      </c>
      <c r="Z309">
        <f t="shared" si="220"/>
        <v>0</v>
      </c>
      <c r="AA309">
        <f t="shared" si="221"/>
        <v>0</v>
      </c>
      <c r="AB309">
        <f t="shared" si="222"/>
        <v>0</v>
      </c>
      <c r="AC309">
        <f t="shared" si="223"/>
        <v>0</v>
      </c>
      <c r="AD309">
        <f t="shared" si="224"/>
        <v>0</v>
      </c>
      <c r="AE309">
        <f t="shared" si="225"/>
        <v>0</v>
      </c>
      <c r="AF309">
        <f t="shared" si="226"/>
        <v>0</v>
      </c>
      <c r="AG309">
        <f t="shared" si="227"/>
        <v>0</v>
      </c>
      <c r="AH309">
        <f t="shared" si="228"/>
        <v>0</v>
      </c>
      <c r="AI309">
        <f t="shared" si="229"/>
        <v>0</v>
      </c>
      <c r="AJ309">
        <f t="shared" si="230"/>
        <v>0</v>
      </c>
      <c r="AK309">
        <f t="shared" si="231"/>
        <v>0</v>
      </c>
      <c r="AL309">
        <f t="shared" si="232"/>
        <v>0</v>
      </c>
      <c r="AM309">
        <f t="shared" si="233"/>
        <v>0</v>
      </c>
      <c r="AN309">
        <f t="shared" si="234"/>
        <v>0</v>
      </c>
      <c r="AO309">
        <f t="shared" si="235"/>
        <v>0</v>
      </c>
      <c r="AP309">
        <f t="shared" si="236"/>
        <v>0</v>
      </c>
      <c r="AQ309">
        <f t="shared" si="237"/>
        <v>0</v>
      </c>
      <c r="AR309">
        <f t="shared" si="238"/>
        <v>0</v>
      </c>
      <c r="AS309">
        <f t="shared" si="239"/>
        <v>0</v>
      </c>
      <c r="AT309">
        <f t="shared" si="240"/>
        <v>0</v>
      </c>
      <c r="AU309">
        <f t="shared" si="241"/>
        <v>0</v>
      </c>
      <c r="AV309">
        <f t="shared" si="242"/>
        <v>0</v>
      </c>
      <c r="AW309">
        <f t="shared" si="196"/>
        <v>0</v>
      </c>
      <c r="AX309">
        <f t="shared" si="243"/>
        <v>0</v>
      </c>
      <c r="AY309">
        <f t="shared" si="244"/>
        <v>0</v>
      </c>
    </row>
    <row r="310" spans="1:51" x14ac:dyDescent="0.35">
      <c r="A310">
        <v>304</v>
      </c>
      <c r="C310">
        <f t="shared" si="197"/>
        <v>0</v>
      </c>
      <c r="D310">
        <f t="shared" si="198"/>
        <v>0</v>
      </c>
      <c r="E310">
        <f t="shared" si="199"/>
        <v>0</v>
      </c>
      <c r="F310">
        <f t="shared" si="200"/>
        <v>0</v>
      </c>
      <c r="G310">
        <f t="shared" si="201"/>
        <v>0</v>
      </c>
      <c r="H310">
        <f t="shared" si="202"/>
        <v>0</v>
      </c>
      <c r="I310">
        <f t="shared" si="203"/>
        <v>0</v>
      </c>
      <c r="J310">
        <f t="shared" si="204"/>
        <v>0</v>
      </c>
      <c r="K310">
        <f t="shared" si="205"/>
        <v>0</v>
      </c>
      <c r="L310">
        <f t="shared" si="206"/>
        <v>0</v>
      </c>
      <c r="M310">
        <f t="shared" si="207"/>
        <v>0</v>
      </c>
      <c r="N310">
        <f t="shared" si="208"/>
        <v>0</v>
      </c>
      <c r="O310">
        <f t="shared" si="209"/>
        <v>0</v>
      </c>
      <c r="P310">
        <f t="shared" si="210"/>
        <v>0</v>
      </c>
      <c r="Q310">
        <f t="shared" si="211"/>
        <v>0</v>
      </c>
      <c r="R310">
        <f t="shared" si="212"/>
        <v>0</v>
      </c>
      <c r="S310">
        <f t="shared" si="213"/>
        <v>0</v>
      </c>
      <c r="T310">
        <f t="shared" si="214"/>
        <v>0</v>
      </c>
      <c r="U310">
        <f t="shared" si="215"/>
        <v>0</v>
      </c>
      <c r="V310">
        <f t="shared" si="216"/>
        <v>0</v>
      </c>
      <c r="W310">
        <f t="shared" si="217"/>
        <v>0</v>
      </c>
      <c r="X310">
        <f t="shared" si="218"/>
        <v>0</v>
      </c>
      <c r="Y310">
        <f t="shared" si="219"/>
        <v>0</v>
      </c>
      <c r="Z310">
        <f t="shared" si="220"/>
        <v>0</v>
      </c>
      <c r="AA310">
        <f t="shared" si="221"/>
        <v>0</v>
      </c>
      <c r="AB310">
        <f t="shared" si="222"/>
        <v>0</v>
      </c>
      <c r="AC310">
        <f t="shared" si="223"/>
        <v>0</v>
      </c>
      <c r="AD310">
        <f t="shared" si="224"/>
        <v>0</v>
      </c>
      <c r="AE310">
        <f t="shared" si="225"/>
        <v>0</v>
      </c>
      <c r="AF310">
        <f t="shared" si="226"/>
        <v>0</v>
      </c>
      <c r="AG310">
        <f t="shared" si="227"/>
        <v>0</v>
      </c>
      <c r="AH310">
        <f t="shared" si="228"/>
        <v>0</v>
      </c>
      <c r="AI310">
        <f t="shared" si="229"/>
        <v>0</v>
      </c>
      <c r="AJ310">
        <f t="shared" si="230"/>
        <v>0</v>
      </c>
      <c r="AK310">
        <f t="shared" si="231"/>
        <v>0</v>
      </c>
      <c r="AL310">
        <f t="shared" si="232"/>
        <v>0</v>
      </c>
      <c r="AM310">
        <f t="shared" si="233"/>
        <v>0</v>
      </c>
      <c r="AN310">
        <f t="shared" si="234"/>
        <v>0</v>
      </c>
      <c r="AO310">
        <f t="shared" si="235"/>
        <v>0</v>
      </c>
      <c r="AP310">
        <f t="shared" si="236"/>
        <v>0</v>
      </c>
      <c r="AQ310">
        <f t="shared" si="237"/>
        <v>0</v>
      </c>
      <c r="AR310">
        <f t="shared" si="238"/>
        <v>0</v>
      </c>
      <c r="AS310">
        <f t="shared" si="239"/>
        <v>0</v>
      </c>
      <c r="AT310">
        <f t="shared" si="240"/>
        <v>0</v>
      </c>
      <c r="AU310">
        <f t="shared" si="241"/>
        <v>0</v>
      </c>
      <c r="AV310">
        <f t="shared" si="242"/>
        <v>0</v>
      </c>
      <c r="AW310">
        <f t="shared" si="196"/>
        <v>0</v>
      </c>
      <c r="AX310">
        <f t="shared" si="243"/>
        <v>0</v>
      </c>
      <c r="AY310">
        <f t="shared" si="244"/>
        <v>0</v>
      </c>
    </row>
    <row r="311" spans="1:51" x14ac:dyDescent="0.35">
      <c r="A311">
        <v>305</v>
      </c>
      <c r="C311">
        <f t="shared" si="197"/>
        <v>0</v>
      </c>
      <c r="D311">
        <f t="shared" si="198"/>
        <v>0</v>
      </c>
      <c r="E311">
        <f t="shared" si="199"/>
        <v>0</v>
      </c>
      <c r="F311">
        <f t="shared" si="200"/>
        <v>0</v>
      </c>
      <c r="G311">
        <f t="shared" si="201"/>
        <v>0</v>
      </c>
      <c r="H311">
        <f t="shared" si="202"/>
        <v>0</v>
      </c>
      <c r="I311">
        <f t="shared" si="203"/>
        <v>0</v>
      </c>
      <c r="J311">
        <f t="shared" si="204"/>
        <v>0</v>
      </c>
      <c r="K311">
        <f t="shared" si="205"/>
        <v>0</v>
      </c>
      <c r="L311">
        <f t="shared" si="206"/>
        <v>0</v>
      </c>
      <c r="M311">
        <f t="shared" si="207"/>
        <v>0</v>
      </c>
      <c r="N311">
        <f t="shared" si="208"/>
        <v>0</v>
      </c>
      <c r="O311">
        <f t="shared" si="209"/>
        <v>0</v>
      </c>
      <c r="P311">
        <f t="shared" si="210"/>
        <v>0</v>
      </c>
      <c r="Q311">
        <f t="shared" si="211"/>
        <v>0</v>
      </c>
      <c r="R311">
        <f t="shared" si="212"/>
        <v>0</v>
      </c>
      <c r="S311">
        <f t="shared" si="213"/>
        <v>0</v>
      </c>
      <c r="T311">
        <f t="shared" si="214"/>
        <v>0</v>
      </c>
      <c r="U311">
        <f t="shared" si="215"/>
        <v>0</v>
      </c>
      <c r="V311">
        <f t="shared" si="216"/>
        <v>0</v>
      </c>
      <c r="W311">
        <f t="shared" si="217"/>
        <v>0</v>
      </c>
      <c r="X311">
        <f t="shared" si="218"/>
        <v>0</v>
      </c>
      <c r="Y311">
        <f t="shared" si="219"/>
        <v>0</v>
      </c>
      <c r="Z311">
        <f t="shared" si="220"/>
        <v>0</v>
      </c>
      <c r="AA311">
        <f t="shared" si="221"/>
        <v>0</v>
      </c>
      <c r="AB311">
        <f t="shared" si="222"/>
        <v>0</v>
      </c>
      <c r="AC311">
        <f t="shared" si="223"/>
        <v>0</v>
      </c>
      <c r="AD311">
        <f t="shared" si="224"/>
        <v>0</v>
      </c>
      <c r="AE311">
        <f t="shared" si="225"/>
        <v>0</v>
      </c>
      <c r="AF311">
        <f t="shared" si="226"/>
        <v>0</v>
      </c>
      <c r="AG311">
        <f t="shared" si="227"/>
        <v>0</v>
      </c>
      <c r="AH311">
        <f t="shared" si="228"/>
        <v>0</v>
      </c>
      <c r="AI311">
        <f t="shared" si="229"/>
        <v>0</v>
      </c>
      <c r="AJ311">
        <f t="shared" si="230"/>
        <v>0</v>
      </c>
      <c r="AK311">
        <f t="shared" si="231"/>
        <v>0</v>
      </c>
      <c r="AL311">
        <f t="shared" si="232"/>
        <v>0</v>
      </c>
      <c r="AM311">
        <f t="shared" si="233"/>
        <v>0</v>
      </c>
      <c r="AN311">
        <f t="shared" si="234"/>
        <v>0</v>
      </c>
      <c r="AO311">
        <f t="shared" si="235"/>
        <v>0</v>
      </c>
      <c r="AP311">
        <f t="shared" si="236"/>
        <v>0</v>
      </c>
      <c r="AQ311">
        <f t="shared" si="237"/>
        <v>0</v>
      </c>
      <c r="AR311">
        <f t="shared" si="238"/>
        <v>0</v>
      </c>
      <c r="AS311">
        <f t="shared" si="239"/>
        <v>0</v>
      </c>
      <c r="AT311">
        <f t="shared" si="240"/>
        <v>0</v>
      </c>
      <c r="AU311">
        <f t="shared" si="241"/>
        <v>0</v>
      </c>
      <c r="AV311">
        <f t="shared" si="242"/>
        <v>0</v>
      </c>
      <c r="AW311">
        <f t="shared" si="196"/>
        <v>0</v>
      </c>
      <c r="AX311">
        <f t="shared" si="243"/>
        <v>0</v>
      </c>
      <c r="AY311">
        <f t="shared" si="244"/>
        <v>0</v>
      </c>
    </row>
    <row r="312" spans="1:51" x14ac:dyDescent="0.35">
      <c r="A312">
        <v>306</v>
      </c>
      <c r="C312">
        <f t="shared" si="197"/>
        <v>0</v>
      </c>
      <c r="D312">
        <f t="shared" si="198"/>
        <v>0</v>
      </c>
      <c r="E312">
        <f t="shared" si="199"/>
        <v>0</v>
      </c>
      <c r="F312">
        <f t="shared" si="200"/>
        <v>0</v>
      </c>
      <c r="G312">
        <f t="shared" si="201"/>
        <v>0</v>
      </c>
      <c r="H312">
        <f t="shared" si="202"/>
        <v>0</v>
      </c>
      <c r="I312">
        <f t="shared" si="203"/>
        <v>0</v>
      </c>
      <c r="J312">
        <f t="shared" si="204"/>
        <v>0</v>
      </c>
      <c r="K312">
        <f t="shared" si="205"/>
        <v>0</v>
      </c>
      <c r="L312">
        <f t="shared" si="206"/>
        <v>0</v>
      </c>
      <c r="M312">
        <f t="shared" si="207"/>
        <v>0</v>
      </c>
      <c r="N312">
        <f t="shared" si="208"/>
        <v>0</v>
      </c>
      <c r="O312">
        <f t="shared" si="209"/>
        <v>0</v>
      </c>
      <c r="P312">
        <f t="shared" si="210"/>
        <v>0</v>
      </c>
      <c r="Q312">
        <f t="shared" si="211"/>
        <v>0</v>
      </c>
      <c r="R312">
        <f t="shared" si="212"/>
        <v>0</v>
      </c>
      <c r="S312">
        <f t="shared" si="213"/>
        <v>0</v>
      </c>
      <c r="T312">
        <f t="shared" si="214"/>
        <v>0</v>
      </c>
      <c r="U312">
        <f t="shared" si="215"/>
        <v>0</v>
      </c>
      <c r="V312">
        <f t="shared" si="216"/>
        <v>0</v>
      </c>
      <c r="W312">
        <f t="shared" si="217"/>
        <v>0</v>
      </c>
      <c r="X312">
        <f t="shared" si="218"/>
        <v>0</v>
      </c>
      <c r="Y312">
        <f t="shared" si="219"/>
        <v>0</v>
      </c>
      <c r="Z312">
        <f t="shared" si="220"/>
        <v>0</v>
      </c>
      <c r="AA312">
        <f t="shared" si="221"/>
        <v>0</v>
      </c>
      <c r="AB312">
        <f t="shared" si="222"/>
        <v>0</v>
      </c>
      <c r="AC312">
        <f t="shared" si="223"/>
        <v>0</v>
      </c>
      <c r="AD312">
        <f t="shared" si="224"/>
        <v>0</v>
      </c>
      <c r="AE312">
        <f t="shared" si="225"/>
        <v>0</v>
      </c>
      <c r="AF312">
        <f t="shared" si="226"/>
        <v>0</v>
      </c>
      <c r="AG312">
        <f t="shared" si="227"/>
        <v>0</v>
      </c>
      <c r="AH312">
        <f t="shared" si="228"/>
        <v>0</v>
      </c>
      <c r="AI312">
        <f t="shared" si="229"/>
        <v>0</v>
      </c>
      <c r="AJ312">
        <f t="shared" si="230"/>
        <v>0</v>
      </c>
      <c r="AK312">
        <f t="shared" si="231"/>
        <v>0</v>
      </c>
      <c r="AL312">
        <f t="shared" si="232"/>
        <v>0</v>
      </c>
      <c r="AM312">
        <f t="shared" si="233"/>
        <v>0</v>
      </c>
      <c r="AN312">
        <f t="shared" si="234"/>
        <v>0</v>
      </c>
      <c r="AO312">
        <f t="shared" si="235"/>
        <v>0</v>
      </c>
      <c r="AP312">
        <f t="shared" si="236"/>
        <v>0</v>
      </c>
      <c r="AQ312">
        <f t="shared" si="237"/>
        <v>0</v>
      </c>
      <c r="AR312">
        <f t="shared" si="238"/>
        <v>0</v>
      </c>
      <c r="AS312">
        <f t="shared" si="239"/>
        <v>0</v>
      </c>
      <c r="AT312">
        <f t="shared" si="240"/>
        <v>0</v>
      </c>
      <c r="AU312">
        <f t="shared" si="241"/>
        <v>0</v>
      </c>
      <c r="AV312">
        <f t="shared" si="242"/>
        <v>0</v>
      </c>
      <c r="AW312">
        <f t="shared" si="196"/>
        <v>0</v>
      </c>
      <c r="AX312">
        <f t="shared" si="243"/>
        <v>0</v>
      </c>
      <c r="AY312">
        <f t="shared" si="244"/>
        <v>0</v>
      </c>
    </row>
    <row r="313" spans="1:51" x14ac:dyDescent="0.35">
      <c r="A313">
        <v>307</v>
      </c>
      <c r="C313">
        <f t="shared" si="197"/>
        <v>0</v>
      </c>
      <c r="D313">
        <f t="shared" si="198"/>
        <v>0</v>
      </c>
      <c r="E313">
        <f t="shared" si="199"/>
        <v>0</v>
      </c>
      <c r="F313">
        <f t="shared" si="200"/>
        <v>0</v>
      </c>
      <c r="G313">
        <f t="shared" si="201"/>
        <v>0</v>
      </c>
      <c r="H313">
        <f t="shared" si="202"/>
        <v>0</v>
      </c>
      <c r="I313">
        <f t="shared" si="203"/>
        <v>0</v>
      </c>
      <c r="J313">
        <f t="shared" si="204"/>
        <v>0</v>
      </c>
      <c r="K313">
        <f t="shared" si="205"/>
        <v>0</v>
      </c>
      <c r="L313">
        <f t="shared" si="206"/>
        <v>0</v>
      </c>
      <c r="M313">
        <f t="shared" si="207"/>
        <v>0</v>
      </c>
      <c r="N313">
        <f t="shared" si="208"/>
        <v>0</v>
      </c>
      <c r="O313">
        <f t="shared" si="209"/>
        <v>0</v>
      </c>
      <c r="P313">
        <f t="shared" si="210"/>
        <v>0</v>
      </c>
      <c r="Q313">
        <f t="shared" si="211"/>
        <v>0</v>
      </c>
      <c r="R313">
        <f t="shared" si="212"/>
        <v>0</v>
      </c>
      <c r="S313">
        <f t="shared" si="213"/>
        <v>0</v>
      </c>
      <c r="T313">
        <f t="shared" si="214"/>
        <v>0</v>
      </c>
      <c r="U313">
        <f t="shared" si="215"/>
        <v>0</v>
      </c>
      <c r="V313">
        <f t="shared" si="216"/>
        <v>0</v>
      </c>
      <c r="W313">
        <f t="shared" si="217"/>
        <v>0</v>
      </c>
      <c r="X313">
        <f t="shared" si="218"/>
        <v>0</v>
      </c>
      <c r="Y313">
        <f t="shared" si="219"/>
        <v>0</v>
      </c>
      <c r="Z313">
        <f t="shared" si="220"/>
        <v>0</v>
      </c>
      <c r="AA313">
        <f t="shared" si="221"/>
        <v>0</v>
      </c>
      <c r="AB313">
        <f t="shared" si="222"/>
        <v>0</v>
      </c>
      <c r="AC313">
        <f t="shared" si="223"/>
        <v>0</v>
      </c>
      <c r="AD313">
        <f t="shared" si="224"/>
        <v>0</v>
      </c>
      <c r="AE313">
        <f t="shared" si="225"/>
        <v>0</v>
      </c>
      <c r="AF313">
        <f t="shared" si="226"/>
        <v>0</v>
      </c>
      <c r="AG313">
        <f t="shared" si="227"/>
        <v>0</v>
      </c>
      <c r="AH313">
        <f t="shared" si="228"/>
        <v>0</v>
      </c>
      <c r="AI313">
        <f t="shared" si="229"/>
        <v>0</v>
      </c>
      <c r="AJ313">
        <f t="shared" si="230"/>
        <v>0</v>
      </c>
      <c r="AK313">
        <f t="shared" si="231"/>
        <v>0</v>
      </c>
      <c r="AL313">
        <f t="shared" si="232"/>
        <v>0</v>
      </c>
      <c r="AM313">
        <f t="shared" si="233"/>
        <v>0</v>
      </c>
      <c r="AN313">
        <f t="shared" si="234"/>
        <v>0</v>
      </c>
      <c r="AO313">
        <f t="shared" si="235"/>
        <v>0</v>
      </c>
      <c r="AP313">
        <f t="shared" si="236"/>
        <v>0</v>
      </c>
      <c r="AQ313">
        <f t="shared" si="237"/>
        <v>0</v>
      </c>
      <c r="AR313">
        <f t="shared" si="238"/>
        <v>0</v>
      </c>
      <c r="AS313">
        <f t="shared" si="239"/>
        <v>0</v>
      </c>
      <c r="AT313">
        <f t="shared" si="240"/>
        <v>0</v>
      </c>
      <c r="AU313">
        <f t="shared" si="241"/>
        <v>0</v>
      </c>
      <c r="AV313">
        <f t="shared" si="242"/>
        <v>0</v>
      </c>
      <c r="AW313">
        <f t="shared" si="196"/>
        <v>0</v>
      </c>
      <c r="AX313">
        <f t="shared" si="243"/>
        <v>0</v>
      </c>
      <c r="AY313">
        <f t="shared" si="244"/>
        <v>0</v>
      </c>
    </row>
    <row r="314" spans="1:51" x14ac:dyDescent="0.35">
      <c r="A314">
        <v>308</v>
      </c>
      <c r="C314">
        <f t="shared" si="197"/>
        <v>0</v>
      </c>
      <c r="D314">
        <f t="shared" si="198"/>
        <v>0</v>
      </c>
      <c r="E314">
        <f t="shared" si="199"/>
        <v>0</v>
      </c>
      <c r="F314">
        <f t="shared" si="200"/>
        <v>0</v>
      </c>
      <c r="G314">
        <f t="shared" si="201"/>
        <v>0</v>
      </c>
      <c r="H314">
        <f t="shared" si="202"/>
        <v>0</v>
      </c>
      <c r="I314">
        <f t="shared" si="203"/>
        <v>0</v>
      </c>
      <c r="J314">
        <f t="shared" si="204"/>
        <v>0</v>
      </c>
      <c r="K314">
        <f t="shared" si="205"/>
        <v>0</v>
      </c>
      <c r="L314">
        <f t="shared" si="206"/>
        <v>0</v>
      </c>
      <c r="M314">
        <f t="shared" si="207"/>
        <v>0</v>
      </c>
      <c r="N314">
        <f t="shared" si="208"/>
        <v>0</v>
      </c>
      <c r="O314">
        <f t="shared" si="209"/>
        <v>0</v>
      </c>
      <c r="P314">
        <f t="shared" si="210"/>
        <v>0</v>
      </c>
      <c r="Q314">
        <f t="shared" si="211"/>
        <v>0</v>
      </c>
      <c r="R314">
        <f t="shared" si="212"/>
        <v>0</v>
      </c>
      <c r="S314">
        <f t="shared" si="213"/>
        <v>0</v>
      </c>
      <c r="T314">
        <f t="shared" si="214"/>
        <v>0</v>
      </c>
      <c r="U314">
        <f t="shared" si="215"/>
        <v>0</v>
      </c>
      <c r="V314">
        <f t="shared" si="216"/>
        <v>0</v>
      </c>
      <c r="W314">
        <f t="shared" si="217"/>
        <v>0</v>
      </c>
      <c r="X314">
        <f t="shared" si="218"/>
        <v>0</v>
      </c>
      <c r="Y314">
        <f t="shared" si="219"/>
        <v>0</v>
      </c>
      <c r="Z314">
        <f t="shared" si="220"/>
        <v>0</v>
      </c>
      <c r="AA314">
        <f t="shared" si="221"/>
        <v>0</v>
      </c>
      <c r="AB314">
        <f t="shared" si="222"/>
        <v>0</v>
      </c>
      <c r="AC314">
        <f t="shared" si="223"/>
        <v>0</v>
      </c>
      <c r="AD314">
        <f t="shared" si="224"/>
        <v>0</v>
      </c>
      <c r="AE314">
        <f t="shared" si="225"/>
        <v>0</v>
      </c>
      <c r="AF314">
        <f t="shared" si="226"/>
        <v>0</v>
      </c>
      <c r="AG314">
        <f t="shared" si="227"/>
        <v>0</v>
      </c>
      <c r="AH314">
        <f t="shared" si="228"/>
        <v>0</v>
      </c>
      <c r="AI314">
        <f t="shared" si="229"/>
        <v>0</v>
      </c>
      <c r="AJ314">
        <f t="shared" si="230"/>
        <v>0</v>
      </c>
      <c r="AK314">
        <f t="shared" si="231"/>
        <v>0</v>
      </c>
      <c r="AL314">
        <f t="shared" si="232"/>
        <v>0</v>
      </c>
      <c r="AM314">
        <f t="shared" si="233"/>
        <v>0</v>
      </c>
      <c r="AN314">
        <f t="shared" si="234"/>
        <v>0</v>
      </c>
      <c r="AO314">
        <f t="shared" si="235"/>
        <v>0</v>
      </c>
      <c r="AP314">
        <f t="shared" si="236"/>
        <v>0</v>
      </c>
      <c r="AQ314">
        <f t="shared" si="237"/>
        <v>0</v>
      </c>
      <c r="AR314">
        <f t="shared" si="238"/>
        <v>0</v>
      </c>
      <c r="AS314">
        <f t="shared" si="239"/>
        <v>0</v>
      </c>
      <c r="AT314">
        <f t="shared" si="240"/>
        <v>0</v>
      </c>
      <c r="AU314">
        <f t="shared" si="241"/>
        <v>0</v>
      </c>
      <c r="AV314">
        <f t="shared" si="242"/>
        <v>0</v>
      </c>
      <c r="AW314">
        <f t="shared" si="196"/>
        <v>0</v>
      </c>
      <c r="AX314">
        <f t="shared" si="243"/>
        <v>0</v>
      </c>
      <c r="AY314">
        <f t="shared" si="244"/>
        <v>0</v>
      </c>
    </row>
    <row r="315" spans="1:51" x14ac:dyDescent="0.35">
      <c r="A315">
        <v>309</v>
      </c>
      <c r="C315">
        <f t="shared" si="197"/>
        <v>0</v>
      </c>
      <c r="D315">
        <f t="shared" si="198"/>
        <v>0</v>
      </c>
      <c r="E315">
        <f t="shared" si="199"/>
        <v>0</v>
      </c>
      <c r="F315">
        <f t="shared" si="200"/>
        <v>0</v>
      </c>
      <c r="G315">
        <f t="shared" si="201"/>
        <v>0</v>
      </c>
      <c r="H315">
        <f t="shared" si="202"/>
        <v>0</v>
      </c>
      <c r="I315">
        <f t="shared" si="203"/>
        <v>0</v>
      </c>
      <c r="J315">
        <f t="shared" si="204"/>
        <v>0</v>
      </c>
      <c r="K315">
        <f t="shared" si="205"/>
        <v>0</v>
      </c>
      <c r="L315">
        <f t="shared" si="206"/>
        <v>0</v>
      </c>
      <c r="M315">
        <f t="shared" si="207"/>
        <v>0</v>
      </c>
      <c r="N315">
        <f t="shared" si="208"/>
        <v>0</v>
      </c>
      <c r="O315">
        <f t="shared" si="209"/>
        <v>0</v>
      </c>
      <c r="P315">
        <f t="shared" si="210"/>
        <v>0</v>
      </c>
      <c r="Q315">
        <f t="shared" si="211"/>
        <v>0</v>
      </c>
      <c r="R315">
        <f t="shared" si="212"/>
        <v>0</v>
      </c>
      <c r="S315">
        <f t="shared" si="213"/>
        <v>0</v>
      </c>
      <c r="T315">
        <f t="shared" si="214"/>
        <v>0</v>
      </c>
      <c r="U315">
        <f t="shared" si="215"/>
        <v>0</v>
      </c>
      <c r="V315">
        <f t="shared" si="216"/>
        <v>0</v>
      </c>
      <c r="W315">
        <f t="shared" si="217"/>
        <v>0</v>
      </c>
      <c r="X315">
        <f t="shared" si="218"/>
        <v>0</v>
      </c>
      <c r="Y315">
        <f t="shared" si="219"/>
        <v>0</v>
      </c>
      <c r="Z315">
        <f t="shared" si="220"/>
        <v>0</v>
      </c>
      <c r="AA315">
        <f t="shared" si="221"/>
        <v>0</v>
      </c>
      <c r="AB315">
        <f t="shared" si="222"/>
        <v>0</v>
      </c>
      <c r="AC315">
        <f t="shared" si="223"/>
        <v>0</v>
      </c>
      <c r="AD315">
        <f t="shared" si="224"/>
        <v>0</v>
      </c>
      <c r="AE315">
        <f t="shared" si="225"/>
        <v>0</v>
      </c>
      <c r="AF315">
        <f t="shared" si="226"/>
        <v>0</v>
      </c>
      <c r="AG315">
        <f t="shared" si="227"/>
        <v>0</v>
      </c>
      <c r="AH315">
        <f t="shared" si="228"/>
        <v>0</v>
      </c>
      <c r="AI315">
        <f t="shared" si="229"/>
        <v>0</v>
      </c>
      <c r="AJ315">
        <f t="shared" si="230"/>
        <v>0</v>
      </c>
      <c r="AK315">
        <f t="shared" si="231"/>
        <v>0</v>
      </c>
      <c r="AL315">
        <f t="shared" si="232"/>
        <v>0</v>
      </c>
      <c r="AM315">
        <f t="shared" si="233"/>
        <v>0</v>
      </c>
      <c r="AN315">
        <f t="shared" si="234"/>
        <v>0</v>
      </c>
      <c r="AO315">
        <f t="shared" si="235"/>
        <v>0</v>
      </c>
      <c r="AP315">
        <f t="shared" si="236"/>
        <v>0</v>
      </c>
      <c r="AQ315">
        <f t="shared" si="237"/>
        <v>0</v>
      </c>
      <c r="AR315">
        <f t="shared" si="238"/>
        <v>0</v>
      </c>
      <c r="AS315">
        <f t="shared" si="239"/>
        <v>0</v>
      </c>
      <c r="AT315">
        <f t="shared" si="240"/>
        <v>0</v>
      </c>
      <c r="AU315">
        <f t="shared" si="241"/>
        <v>0</v>
      </c>
      <c r="AV315">
        <f t="shared" si="242"/>
        <v>0</v>
      </c>
      <c r="AW315">
        <f t="shared" si="196"/>
        <v>0</v>
      </c>
      <c r="AX315">
        <f t="shared" si="243"/>
        <v>0</v>
      </c>
      <c r="AY315">
        <f t="shared" si="244"/>
        <v>0</v>
      </c>
    </row>
    <row r="316" spans="1:51" x14ac:dyDescent="0.35">
      <c r="A316">
        <v>310</v>
      </c>
      <c r="C316">
        <f t="shared" si="197"/>
        <v>0</v>
      </c>
      <c r="D316">
        <f t="shared" si="198"/>
        <v>0</v>
      </c>
      <c r="E316">
        <f t="shared" si="199"/>
        <v>0</v>
      </c>
      <c r="F316">
        <f t="shared" si="200"/>
        <v>0</v>
      </c>
      <c r="G316">
        <f t="shared" si="201"/>
        <v>0</v>
      </c>
      <c r="H316">
        <f t="shared" si="202"/>
        <v>0</v>
      </c>
      <c r="I316">
        <f t="shared" si="203"/>
        <v>0</v>
      </c>
      <c r="J316">
        <f t="shared" si="204"/>
        <v>0</v>
      </c>
      <c r="K316">
        <f t="shared" si="205"/>
        <v>0</v>
      </c>
      <c r="L316">
        <f t="shared" si="206"/>
        <v>0</v>
      </c>
      <c r="M316">
        <f t="shared" si="207"/>
        <v>0</v>
      </c>
      <c r="N316">
        <f t="shared" si="208"/>
        <v>0</v>
      </c>
      <c r="O316">
        <f t="shared" si="209"/>
        <v>0</v>
      </c>
      <c r="P316">
        <f t="shared" si="210"/>
        <v>0</v>
      </c>
      <c r="Q316">
        <f t="shared" si="211"/>
        <v>0</v>
      </c>
      <c r="R316">
        <f t="shared" si="212"/>
        <v>0</v>
      </c>
      <c r="S316">
        <f t="shared" si="213"/>
        <v>0</v>
      </c>
      <c r="T316">
        <f t="shared" si="214"/>
        <v>0</v>
      </c>
      <c r="U316">
        <f t="shared" si="215"/>
        <v>0</v>
      </c>
      <c r="V316">
        <f t="shared" si="216"/>
        <v>0</v>
      </c>
      <c r="W316">
        <f t="shared" si="217"/>
        <v>0</v>
      </c>
      <c r="X316">
        <f t="shared" si="218"/>
        <v>0</v>
      </c>
      <c r="Y316">
        <f t="shared" si="219"/>
        <v>0</v>
      </c>
      <c r="Z316">
        <f t="shared" si="220"/>
        <v>0</v>
      </c>
      <c r="AA316">
        <f t="shared" si="221"/>
        <v>0</v>
      </c>
      <c r="AB316">
        <f t="shared" si="222"/>
        <v>0</v>
      </c>
      <c r="AC316">
        <f t="shared" si="223"/>
        <v>0</v>
      </c>
      <c r="AD316">
        <f t="shared" si="224"/>
        <v>0</v>
      </c>
      <c r="AE316">
        <f t="shared" si="225"/>
        <v>0</v>
      </c>
      <c r="AF316">
        <f t="shared" si="226"/>
        <v>0</v>
      </c>
      <c r="AG316">
        <f t="shared" si="227"/>
        <v>0</v>
      </c>
      <c r="AH316">
        <f t="shared" si="228"/>
        <v>0</v>
      </c>
      <c r="AI316">
        <f t="shared" si="229"/>
        <v>0</v>
      </c>
      <c r="AJ316">
        <f t="shared" si="230"/>
        <v>0</v>
      </c>
      <c r="AK316">
        <f t="shared" si="231"/>
        <v>0</v>
      </c>
      <c r="AL316">
        <f t="shared" si="232"/>
        <v>0</v>
      </c>
      <c r="AM316">
        <f t="shared" si="233"/>
        <v>0</v>
      </c>
      <c r="AN316">
        <f t="shared" si="234"/>
        <v>0</v>
      </c>
      <c r="AO316">
        <f t="shared" si="235"/>
        <v>0</v>
      </c>
      <c r="AP316">
        <f t="shared" si="236"/>
        <v>0</v>
      </c>
      <c r="AQ316">
        <f t="shared" si="237"/>
        <v>0</v>
      </c>
      <c r="AR316">
        <f t="shared" si="238"/>
        <v>0</v>
      </c>
      <c r="AS316">
        <f t="shared" si="239"/>
        <v>0</v>
      </c>
      <c r="AT316">
        <f t="shared" si="240"/>
        <v>0</v>
      </c>
      <c r="AU316">
        <f t="shared" si="241"/>
        <v>0</v>
      </c>
      <c r="AV316">
        <f t="shared" si="242"/>
        <v>0</v>
      </c>
      <c r="AW316">
        <f t="shared" si="196"/>
        <v>0</v>
      </c>
      <c r="AX316">
        <f t="shared" si="243"/>
        <v>0</v>
      </c>
      <c r="AY316">
        <f t="shared" si="244"/>
        <v>0</v>
      </c>
    </row>
    <row r="317" spans="1:51" x14ac:dyDescent="0.35">
      <c r="A317">
        <v>311</v>
      </c>
      <c r="C317">
        <f t="shared" si="197"/>
        <v>0</v>
      </c>
      <c r="D317">
        <f t="shared" si="198"/>
        <v>0</v>
      </c>
      <c r="E317">
        <f t="shared" si="199"/>
        <v>0</v>
      </c>
      <c r="F317">
        <f t="shared" si="200"/>
        <v>0</v>
      </c>
      <c r="G317">
        <f t="shared" si="201"/>
        <v>0</v>
      </c>
      <c r="H317">
        <f t="shared" si="202"/>
        <v>0</v>
      </c>
      <c r="I317">
        <f t="shared" si="203"/>
        <v>0</v>
      </c>
      <c r="J317">
        <f t="shared" si="204"/>
        <v>0</v>
      </c>
      <c r="K317">
        <f t="shared" si="205"/>
        <v>0</v>
      </c>
      <c r="L317">
        <f t="shared" si="206"/>
        <v>0</v>
      </c>
      <c r="M317">
        <f t="shared" si="207"/>
        <v>0</v>
      </c>
      <c r="N317">
        <f t="shared" si="208"/>
        <v>0</v>
      </c>
      <c r="O317">
        <f t="shared" si="209"/>
        <v>0</v>
      </c>
      <c r="P317">
        <f t="shared" si="210"/>
        <v>0</v>
      </c>
      <c r="Q317">
        <f t="shared" si="211"/>
        <v>0</v>
      </c>
      <c r="R317">
        <f t="shared" si="212"/>
        <v>0</v>
      </c>
      <c r="S317">
        <f t="shared" si="213"/>
        <v>0</v>
      </c>
      <c r="T317">
        <f t="shared" si="214"/>
        <v>0</v>
      </c>
      <c r="U317">
        <f t="shared" si="215"/>
        <v>0</v>
      </c>
      <c r="V317">
        <f t="shared" si="216"/>
        <v>0</v>
      </c>
      <c r="W317">
        <f t="shared" si="217"/>
        <v>0</v>
      </c>
      <c r="X317">
        <f t="shared" si="218"/>
        <v>0</v>
      </c>
      <c r="Y317">
        <f t="shared" si="219"/>
        <v>0</v>
      </c>
      <c r="Z317">
        <f t="shared" si="220"/>
        <v>0</v>
      </c>
      <c r="AA317">
        <f t="shared" si="221"/>
        <v>0</v>
      </c>
      <c r="AB317">
        <f t="shared" si="222"/>
        <v>0</v>
      </c>
      <c r="AC317">
        <f t="shared" si="223"/>
        <v>0</v>
      </c>
      <c r="AD317">
        <f t="shared" si="224"/>
        <v>0</v>
      </c>
      <c r="AE317">
        <f t="shared" si="225"/>
        <v>0</v>
      </c>
      <c r="AF317">
        <f t="shared" si="226"/>
        <v>0</v>
      </c>
      <c r="AG317">
        <f t="shared" si="227"/>
        <v>0</v>
      </c>
      <c r="AH317">
        <f t="shared" si="228"/>
        <v>0</v>
      </c>
      <c r="AI317">
        <f t="shared" si="229"/>
        <v>0</v>
      </c>
      <c r="AJ317">
        <f t="shared" si="230"/>
        <v>0</v>
      </c>
      <c r="AK317">
        <f t="shared" si="231"/>
        <v>0</v>
      </c>
      <c r="AL317">
        <f t="shared" si="232"/>
        <v>0</v>
      </c>
      <c r="AM317">
        <f t="shared" si="233"/>
        <v>0</v>
      </c>
      <c r="AN317">
        <f t="shared" si="234"/>
        <v>0</v>
      </c>
      <c r="AO317">
        <f t="shared" si="235"/>
        <v>0</v>
      </c>
      <c r="AP317">
        <f t="shared" si="236"/>
        <v>0</v>
      </c>
      <c r="AQ317">
        <f t="shared" si="237"/>
        <v>0</v>
      </c>
      <c r="AR317">
        <f t="shared" si="238"/>
        <v>0</v>
      </c>
      <c r="AS317">
        <f t="shared" si="239"/>
        <v>0</v>
      </c>
      <c r="AT317">
        <f t="shared" si="240"/>
        <v>0</v>
      </c>
      <c r="AU317">
        <f t="shared" si="241"/>
        <v>0</v>
      </c>
      <c r="AV317">
        <f t="shared" si="242"/>
        <v>0</v>
      </c>
      <c r="AW317">
        <f t="shared" si="196"/>
        <v>0</v>
      </c>
      <c r="AX317">
        <f t="shared" si="243"/>
        <v>0</v>
      </c>
      <c r="AY317">
        <f t="shared" si="244"/>
        <v>0</v>
      </c>
    </row>
    <row r="318" spans="1:51" x14ac:dyDescent="0.35">
      <c r="A318">
        <v>312</v>
      </c>
      <c r="C318">
        <f t="shared" si="197"/>
        <v>0</v>
      </c>
      <c r="D318">
        <f t="shared" si="198"/>
        <v>0</v>
      </c>
      <c r="E318">
        <f t="shared" si="199"/>
        <v>0</v>
      </c>
      <c r="F318">
        <f t="shared" si="200"/>
        <v>0</v>
      </c>
      <c r="G318">
        <f t="shared" si="201"/>
        <v>0</v>
      </c>
      <c r="H318">
        <f t="shared" si="202"/>
        <v>0</v>
      </c>
      <c r="I318">
        <f t="shared" si="203"/>
        <v>0</v>
      </c>
      <c r="J318">
        <f t="shared" si="204"/>
        <v>0</v>
      </c>
      <c r="K318">
        <f t="shared" si="205"/>
        <v>0</v>
      </c>
      <c r="L318">
        <f t="shared" si="206"/>
        <v>0</v>
      </c>
      <c r="M318">
        <f t="shared" si="207"/>
        <v>0</v>
      </c>
      <c r="N318">
        <f t="shared" si="208"/>
        <v>0</v>
      </c>
      <c r="O318">
        <f t="shared" si="209"/>
        <v>0</v>
      </c>
      <c r="P318">
        <f t="shared" si="210"/>
        <v>0</v>
      </c>
      <c r="Q318">
        <f t="shared" si="211"/>
        <v>0</v>
      </c>
      <c r="R318">
        <f t="shared" si="212"/>
        <v>0</v>
      </c>
      <c r="S318">
        <f t="shared" si="213"/>
        <v>0</v>
      </c>
      <c r="T318">
        <f t="shared" si="214"/>
        <v>0</v>
      </c>
      <c r="U318">
        <f t="shared" si="215"/>
        <v>0</v>
      </c>
      <c r="V318">
        <f t="shared" si="216"/>
        <v>0</v>
      </c>
      <c r="W318">
        <f t="shared" si="217"/>
        <v>0</v>
      </c>
      <c r="X318">
        <f t="shared" si="218"/>
        <v>0</v>
      </c>
      <c r="Y318">
        <f t="shared" si="219"/>
        <v>0</v>
      </c>
      <c r="Z318">
        <f t="shared" si="220"/>
        <v>0</v>
      </c>
      <c r="AA318">
        <f t="shared" si="221"/>
        <v>0</v>
      </c>
      <c r="AB318">
        <f t="shared" si="222"/>
        <v>0</v>
      </c>
      <c r="AC318">
        <f t="shared" si="223"/>
        <v>0</v>
      </c>
      <c r="AD318">
        <f t="shared" si="224"/>
        <v>0</v>
      </c>
      <c r="AE318">
        <f t="shared" si="225"/>
        <v>0</v>
      </c>
      <c r="AF318">
        <f t="shared" si="226"/>
        <v>0</v>
      </c>
      <c r="AG318">
        <f t="shared" si="227"/>
        <v>0</v>
      </c>
      <c r="AH318">
        <f t="shared" si="228"/>
        <v>0</v>
      </c>
      <c r="AI318">
        <f t="shared" si="229"/>
        <v>0</v>
      </c>
      <c r="AJ318">
        <f t="shared" si="230"/>
        <v>0</v>
      </c>
      <c r="AK318">
        <f t="shared" si="231"/>
        <v>0</v>
      </c>
      <c r="AL318">
        <f t="shared" si="232"/>
        <v>0</v>
      </c>
      <c r="AM318">
        <f t="shared" si="233"/>
        <v>0</v>
      </c>
      <c r="AN318">
        <f t="shared" si="234"/>
        <v>0</v>
      </c>
      <c r="AO318">
        <f t="shared" si="235"/>
        <v>0</v>
      </c>
      <c r="AP318">
        <f t="shared" si="236"/>
        <v>0</v>
      </c>
      <c r="AQ318">
        <f t="shared" si="237"/>
        <v>0</v>
      </c>
      <c r="AR318">
        <f t="shared" si="238"/>
        <v>0</v>
      </c>
      <c r="AS318">
        <f t="shared" si="239"/>
        <v>0</v>
      </c>
      <c r="AT318">
        <f t="shared" si="240"/>
        <v>0</v>
      </c>
      <c r="AU318">
        <f t="shared" si="241"/>
        <v>0</v>
      </c>
      <c r="AV318">
        <f t="shared" si="242"/>
        <v>0</v>
      </c>
      <c r="AW318">
        <f t="shared" si="196"/>
        <v>0</v>
      </c>
      <c r="AX318">
        <f t="shared" si="243"/>
        <v>0</v>
      </c>
      <c r="AY318">
        <f t="shared" si="244"/>
        <v>0</v>
      </c>
    </row>
    <row r="319" spans="1:51" x14ac:dyDescent="0.35">
      <c r="A319">
        <v>313</v>
      </c>
      <c r="C319">
        <f t="shared" si="197"/>
        <v>0</v>
      </c>
      <c r="D319">
        <f t="shared" si="198"/>
        <v>0</v>
      </c>
      <c r="E319">
        <f t="shared" si="199"/>
        <v>0</v>
      </c>
      <c r="F319">
        <f t="shared" si="200"/>
        <v>0</v>
      </c>
      <c r="G319">
        <f t="shared" si="201"/>
        <v>0</v>
      </c>
      <c r="H319">
        <f t="shared" si="202"/>
        <v>0</v>
      </c>
      <c r="I319">
        <f t="shared" si="203"/>
        <v>0</v>
      </c>
      <c r="J319">
        <f t="shared" si="204"/>
        <v>0</v>
      </c>
      <c r="K319">
        <f t="shared" si="205"/>
        <v>0</v>
      </c>
      <c r="L319">
        <f t="shared" si="206"/>
        <v>0</v>
      </c>
      <c r="M319">
        <f t="shared" si="207"/>
        <v>0</v>
      </c>
      <c r="N319">
        <f t="shared" si="208"/>
        <v>0</v>
      </c>
      <c r="O319">
        <f t="shared" si="209"/>
        <v>0</v>
      </c>
      <c r="P319">
        <f t="shared" si="210"/>
        <v>0</v>
      </c>
      <c r="Q319">
        <f t="shared" si="211"/>
        <v>0</v>
      </c>
      <c r="R319">
        <f t="shared" si="212"/>
        <v>0</v>
      </c>
      <c r="S319">
        <f t="shared" si="213"/>
        <v>0</v>
      </c>
      <c r="T319">
        <f t="shared" si="214"/>
        <v>0</v>
      </c>
      <c r="U319">
        <f t="shared" si="215"/>
        <v>0</v>
      </c>
      <c r="V319">
        <f t="shared" si="216"/>
        <v>0</v>
      </c>
      <c r="W319">
        <f t="shared" si="217"/>
        <v>0</v>
      </c>
      <c r="X319">
        <f t="shared" si="218"/>
        <v>0</v>
      </c>
      <c r="Y319">
        <f t="shared" si="219"/>
        <v>0</v>
      </c>
      <c r="Z319">
        <f t="shared" si="220"/>
        <v>0</v>
      </c>
      <c r="AA319">
        <f t="shared" si="221"/>
        <v>0</v>
      </c>
      <c r="AB319">
        <f t="shared" si="222"/>
        <v>0</v>
      </c>
      <c r="AC319">
        <f t="shared" si="223"/>
        <v>0</v>
      </c>
      <c r="AD319">
        <f t="shared" si="224"/>
        <v>0</v>
      </c>
      <c r="AE319">
        <f t="shared" si="225"/>
        <v>0</v>
      </c>
      <c r="AF319">
        <f t="shared" si="226"/>
        <v>0</v>
      </c>
      <c r="AG319">
        <f t="shared" si="227"/>
        <v>0</v>
      </c>
      <c r="AH319">
        <f t="shared" si="228"/>
        <v>0</v>
      </c>
      <c r="AI319">
        <f t="shared" si="229"/>
        <v>0</v>
      </c>
      <c r="AJ319">
        <f t="shared" si="230"/>
        <v>0</v>
      </c>
      <c r="AK319">
        <f t="shared" si="231"/>
        <v>0</v>
      </c>
      <c r="AL319">
        <f t="shared" si="232"/>
        <v>0</v>
      </c>
      <c r="AM319">
        <f t="shared" si="233"/>
        <v>0</v>
      </c>
      <c r="AN319">
        <f t="shared" si="234"/>
        <v>0</v>
      </c>
      <c r="AO319">
        <f t="shared" si="235"/>
        <v>0</v>
      </c>
      <c r="AP319">
        <f t="shared" si="236"/>
        <v>0</v>
      </c>
      <c r="AQ319">
        <f t="shared" si="237"/>
        <v>0</v>
      </c>
      <c r="AR319">
        <f t="shared" si="238"/>
        <v>0</v>
      </c>
      <c r="AS319">
        <f t="shared" si="239"/>
        <v>0</v>
      </c>
      <c r="AT319">
        <f t="shared" si="240"/>
        <v>0</v>
      </c>
      <c r="AU319">
        <f t="shared" si="241"/>
        <v>0</v>
      </c>
      <c r="AV319">
        <f t="shared" si="242"/>
        <v>0</v>
      </c>
      <c r="AW319">
        <f t="shared" si="196"/>
        <v>0</v>
      </c>
      <c r="AX319">
        <f t="shared" si="243"/>
        <v>0</v>
      </c>
      <c r="AY319">
        <f t="shared" si="244"/>
        <v>0</v>
      </c>
    </row>
    <row r="320" spans="1:51" x14ac:dyDescent="0.35">
      <c r="A320">
        <v>314</v>
      </c>
      <c r="C320">
        <f t="shared" si="197"/>
        <v>0</v>
      </c>
      <c r="D320">
        <f t="shared" si="198"/>
        <v>0</v>
      </c>
      <c r="E320">
        <f t="shared" si="199"/>
        <v>0</v>
      </c>
      <c r="F320">
        <f t="shared" si="200"/>
        <v>0</v>
      </c>
      <c r="G320">
        <f t="shared" si="201"/>
        <v>0</v>
      </c>
      <c r="H320">
        <f t="shared" si="202"/>
        <v>0</v>
      </c>
      <c r="I320">
        <f t="shared" si="203"/>
        <v>0</v>
      </c>
      <c r="J320">
        <f t="shared" si="204"/>
        <v>0</v>
      </c>
      <c r="K320">
        <f t="shared" si="205"/>
        <v>0</v>
      </c>
      <c r="L320">
        <f t="shared" si="206"/>
        <v>0</v>
      </c>
      <c r="M320">
        <f t="shared" si="207"/>
        <v>0</v>
      </c>
      <c r="N320">
        <f t="shared" si="208"/>
        <v>0</v>
      </c>
      <c r="O320">
        <f t="shared" si="209"/>
        <v>0</v>
      </c>
      <c r="P320">
        <f t="shared" si="210"/>
        <v>0</v>
      </c>
      <c r="Q320">
        <f t="shared" si="211"/>
        <v>0</v>
      </c>
      <c r="R320">
        <f t="shared" si="212"/>
        <v>0</v>
      </c>
      <c r="S320">
        <f t="shared" si="213"/>
        <v>0</v>
      </c>
      <c r="T320">
        <f t="shared" si="214"/>
        <v>0</v>
      </c>
      <c r="U320">
        <f t="shared" si="215"/>
        <v>0</v>
      </c>
      <c r="V320">
        <f t="shared" si="216"/>
        <v>0</v>
      </c>
      <c r="W320">
        <f t="shared" si="217"/>
        <v>0</v>
      </c>
      <c r="X320">
        <f t="shared" si="218"/>
        <v>0</v>
      </c>
      <c r="Y320">
        <f t="shared" si="219"/>
        <v>0</v>
      </c>
      <c r="Z320">
        <f t="shared" si="220"/>
        <v>0</v>
      </c>
      <c r="AA320">
        <f t="shared" si="221"/>
        <v>0</v>
      </c>
      <c r="AB320">
        <f t="shared" si="222"/>
        <v>0</v>
      </c>
      <c r="AC320">
        <f t="shared" si="223"/>
        <v>0</v>
      </c>
      <c r="AD320">
        <f t="shared" si="224"/>
        <v>0</v>
      </c>
      <c r="AE320">
        <f t="shared" si="225"/>
        <v>0</v>
      </c>
      <c r="AF320">
        <f t="shared" si="226"/>
        <v>0</v>
      </c>
      <c r="AG320">
        <f t="shared" si="227"/>
        <v>0</v>
      </c>
      <c r="AH320">
        <f t="shared" si="228"/>
        <v>0</v>
      </c>
      <c r="AI320">
        <f t="shared" si="229"/>
        <v>0</v>
      </c>
      <c r="AJ320">
        <f t="shared" si="230"/>
        <v>0</v>
      </c>
      <c r="AK320">
        <f t="shared" si="231"/>
        <v>0</v>
      </c>
      <c r="AL320">
        <f t="shared" si="232"/>
        <v>0</v>
      </c>
      <c r="AM320">
        <f t="shared" si="233"/>
        <v>0</v>
      </c>
      <c r="AN320">
        <f t="shared" si="234"/>
        <v>0</v>
      </c>
      <c r="AO320">
        <f t="shared" si="235"/>
        <v>0</v>
      </c>
      <c r="AP320">
        <f t="shared" si="236"/>
        <v>0</v>
      </c>
      <c r="AQ320">
        <f t="shared" si="237"/>
        <v>0</v>
      </c>
      <c r="AR320">
        <f t="shared" si="238"/>
        <v>0</v>
      </c>
      <c r="AS320">
        <f t="shared" si="239"/>
        <v>0</v>
      </c>
      <c r="AT320">
        <f t="shared" si="240"/>
        <v>0</v>
      </c>
      <c r="AU320">
        <f t="shared" si="241"/>
        <v>0</v>
      </c>
      <c r="AV320">
        <f t="shared" si="242"/>
        <v>0</v>
      </c>
      <c r="AW320">
        <f t="shared" si="196"/>
        <v>0</v>
      </c>
      <c r="AX320">
        <f t="shared" si="243"/>
        <v>0</v>
      </c>
      <c r="AY320">
        <f t="shared" si="244"/>
        <v>0</v>
      </c>
    </row>
    <row r="321" spans="1:51" x14ac:dyDescent="0.35">
      <c r="A321">
        <v>315</v>
      </c>
      <c r="C321">
        <f t="shared" si="197"/>
        <v>0</v>
      </c>
      <c r="D321">
        <f t="shared" si="198"/>
        <v>0</v>
      </c>
      <c r="E321">
        <f t="shared" si="199"/>
        <v>0</v>
      </c>
      <c r="F321">
        <f t="shared" si="200"/>
        <v>0</v>
      </c>
      <c r="G321">
        <f t="shared" si="201"/>
        <v>0</v>
      </c>
      <c r="H321">
        <f t="shared" si="202"/>
        <v>0</v>
      </c>
      <c r="I321">
        <f t="shared" si="203"/>
        <v>0</v>
      </c>
      <c r="J321">
        <f t="shared" si="204"/>
        <v>0</v>
      </c>
      <c r="K321">
        <f t="shared" si="205"/>
        <v>0</v>
      </c>
      <c r="L321">
        <f t="shared" si="206"/>
        <v>0</v>
      </c>
      <c r="M321">
        <f t="shared" si="207"/>
        <v>0</v>
      </c>
      <c r="N321">
        <f t="shared" si="208"/>
        <v>0</v>
      </c>
      <c r="O321">
        <f t="shared" si="209"/>
        <v>0</v>
      </c>
      <c r="P321">
        <f t="shared" si="210"/>
        <v>0</v>
      </c>
      <c r="Q321">
        <f t="shared" si="211"/>
        <v>0</v>
      </c>
      <c r="R321">
        <f t="shared" si="212"/>
        <v>0</v>
      </c>
      <c r="S321">
        <f t="shared" si="213"/>
        <v>0</v>
      </c>
      <c r="T321">
        <f t="shared" si="214"/>
        <v>0</v>
      </c>
      <c r="U321">
        <f t="shared" si="215"/>
        <v>0</v>
      </c>
      <c r="V321">
        <f t="shared" si="216"/>
        <v>0</v>
      </c>
      <c r="W321">
        <f t="shared" si="217"/>
        <v>0</v>
      </c>
      <c r="X321">
        <f t="shared" si="218"/>
        <v>0</v>
      </c>
      <c r="Y321">
        <f t="shared" si="219"/>
        <v>0</v>
      </c>
      <c r="Z321">
        <f t="shared" si="220"/>
        <v>0</v>
      </c>
      <c r="AA321">
        <f t="shared" si="221"/>
        <v>0</v>
      </c>
      <c r="AB321">
        <f t="shared" si="222"/>
        <v>0</v>
      </c>
      <c r="AC321">
        <f t="shared" si="223"/>
        <v>0</v>
      </c>
      <c r="AD321">
        <f t="shared" si="224"/>
        <v>0</v>
      </c>
      <c r="AE321">
        <f t="shared" si="225"/>
        <v>0</v>
      </c>
      <c r="AF321">
        <f t="shared" si="226"/>
        <v>0</v>
      </c>
      <c r="AG321">
        <f t="shared" si="227"/>
        <v>0</v>
      </c>
      <c r="AH321">
        <f t="shared" si="228"/>
        <v>0</v>
      </c>
      <c r="AI321">
        <f t="shared" si="229"/>
        <v>0</v>
      </c>
      <c r="AJ321">
        <f t="shared" si="230"/>
        <v>0</v>
      </c>
      <c r="AK321">
        <f t="shared" si="231"/>
        <v>0</v>
      </c>
      <c r="AL321">
        <f t="shared" si="232"/>
        <v>0</v>
      </c>
      <c r="AM321">
        <f t="shared" si="233"/>
        <v>0</v>
      </c>
      <c r="AN321">
        <f t="shared" si="234"/>
        <v>0</v>
      </c>
      <c r="AO321">
        <f t="shared" si="235"/>
        <v>0</v>
      </c>
      <c r="AP321">
        <f t="shared" si="236"/>
        <v>0</v>
      </c>
      <c r="AQ321">
        <f t="shared" si="237"/>
        <v>0</v>
      </c>
      <c r="AR321">
        <f t="shared" si="238"/>
        <v>0</v>
      </c>
      <c r="AS321">
        <f t="shared" si="239"/>
        <v>0</v>
      </c>
      <c r="AT321">
        <f t="shared" si="240"/>
        <v>0</v>
      </c>
      <c r="AU321">
        <f t="shared" si="241"/>
        <v>0</v>
      </c>
      <c r="AV321">
        <f t="shared" si="242"/>
        <v>0</v>
      </c>
      <c r="AW321">
        <f t="shared" si="196"/>
        <v>0</v>
      </c>
      <c r="AX321">
        <f t="shared" si="243"/>
        <v>0</v>
      </c>
      <c r="AY321">
        <f t="shared" si="244"/>
        <v>0</v>
      </c>
    </row>
    <row r="322" spans="1:51" x14ac:dyDescent="0.35">
      <c r="A322">
        <v>316</v>
      </c>
      <c r="C322">
        <f t="shared" si="197"/>
        <v>0</v>
      </c>
      <c r="D322">
        <f t="shared" si="198"/>
        <v>0</v>
      </c>
      <c r="E322">
        <f t="shared" si="199"/>
        <v>0</v>
      </c>
      <c r="F322">
        <f t="shared" si="200"/>
        <v>0</v>
      </c>
      <c r="G322">
        <f t="shared" si="201"/>
        <v>0</v>
      </c>
      <c r="H322">
        <f t="shared" si="202"/>
        <v>0</v>
      </c>
      <c r="I322">
        <f t="shared" si="203"/>
        <v>0</v>
      </c>
      <c r="J322">
        <f t="shared" si="204"/>
        <v>0</v>
      </c>
      <c r="K322">
        <f t="shared" si="205"/>
        <v>0</v>
      </c>
      <c r="L322">
        <f t="shared" si="206"/>
        <v>0</v>
      </c>
      <c r="M322">
        <f t="shared" si="207"/>
        <v>0</v>
      </c>
      <c r="N322">
        <f t="shared" si="208"/>
        <v>0</v>
      </c>
      <c r="O322">
        <f t="shared" si="209"/>
        <v>0</v>
      </c>
      <c r="P322">
        <f t="shared" si="210"/>
        <v>0</v>
      </c>
      <c r="Q322">
        <f t="shared" si="211"/>
        <v>0</v>
      </c>
      <c r="R322">
        <f t="shared" si="212"/>
        <v>0</v>
      </c>
      <c r="S322">
        <f t="shared" si="213"/>
        <v>0</v>
      </c>
      <c r="T322">
        <f t="shared" si="214"/>
        <v>0</v>
      </c>
      <c r="U322">
        <f t="shared" si="215"/>
        <v>0</v>
      </c>
      <c r="V322">
        <f t="shared" si="216"/>
        <v>0</v>
      </c>
      <c r="W322">
        <f t="shared" si="217"/>
        <v>0</v>
      </c>
      <c r="X322">
        <f t="shared" si="218"/>
        <v>0</v>
      </c>
      <c r="Y322">
        <f t="shared" si="219"/>
        <v>0</v>
      </c>
      <c r="Z322">
        <f t="shared" si="220"/>
        <v>0</v>
      </c>
      <c r="AA322">
        <f t="shared" si="221"/>
        <v>0</v>
      </c>
      <c r="AB322">
        <f t="shared" si="222"/>
        <v>0</v>
      </c>
      <c r="AC322">
        <f t="shared" si="223"/>
        <v>0</v>
      </c>
      <c r="AD322">
        <f t="shared" si="224"/>
        <v>0</v>
      </c>
      <c r="AE322">
        <f t="shared" si="225"/>
        <v>0</v>
      </c>
      <c r="AF322">
        <f t="shared" si="226"/>
        <v>0</v>
      </c>
      <c r="AG322">
        <f t="shared" si="227"/>
        <v>0</v>
      </c>
      <c r="AH322">
        <f t="shared" si="228"/>
        <v>0</v>
      </c>
      <c r="AI322">
        <f t="shared" si="229"/>
        <v>0</v>
      </c>
      <c r="AJ322">
        <f t="shared" si="230"/>
        <v>0</v>
      </c>
      <c r="AK322">
        <f t="shared" si="231"/>
        <v>0</v>
      </c>
      <c r="AL322">
        <f t="shared" si="232"/>
        <v>0</v>
      </c>
      <c r="AM322">
        <f t="shared" si="233"/>
        <v>0</v>
      </c>
      <c r="AN322">
        <f t="shared" si="234"/>
        <v>0</v>
      </c>
      <c r="AO322">
        <f t="shared" si="235"/>
        <v>0</v>
      </c>
      <c r="AP322">
        <f t="shared" si="236"/>
        <v>0</v>
      </c>
      <c r="AQ322">
        <f t="shared" si="237"/>
        <v>0</v>
      </c>
      <c r="AR322">
        <f t="shared" si="238"/>
        <v>0</v>
      </c>
      <c r="AS322">
        <f t="shared" si="239"/>
        <v>0</v>
      </c>
      <c r="AT322">
        <f t="shared" si="240"/>
        <v>0</v>
      </c>
      <c r="AU322">
        <f t="shared" si="241"/>
        <v>0</v>
      </c>
      <c r="AV322">
        <f t="shared" si="242"/>
        <v>0</v>
      </c>
      <c r="AW322">
        <f t="shared" si="196"/>
        <v>0</v>
      </c>
      <c r="AX322">
        <f t="shared" si="243"/>
        <v>0</v>
      </c>
      <c r="AY322">
        <f t="shared" si="244"/>
        <v>0</v>
      </c>
    </row>
    <row r="323" spans="1:51" x14ac:dyDescent="0.35">
      <c r="A323">
        <v>317</v>
      </c>
      <c r="C323">
        <f t="shared" si="197"/>
        <v>0</v>
      </c>
      <c r="D323">
        <f t="shared" si="198"/>
        <v>0</v>
      </c>
      <c r="E323">
        <f t="shared" si="199"/>
        <v>0</v>
      </c>
      <c r="F323">
        <f t="shared" si="200"/>
        <v>0</v>
      </c>
      <c r="G323">
        <f t="shared" si="201"/>
        <v>0</v>
      </c>
      <c r="H323">
        <f t="shared" si="202"/>
        <v>0</v>
      </c>
      <c r="I323">
        <f t="shared" si="203"/>
        <v>0</v>
      </c>
      <c r="J323">
        <f t="shared" si="204"/>
        <v>0</v>
      </c>
      <c r="K323">
        <f t="shared" si="205"/>
        <v>0</v>
      </c>
      <c r="L323">
        <f t="shared" si="206"/>
        <v>0</v>
      </c>
      <c r="M323">
        <f t="shared" si="207"/>
        <v>0</v>
      </c>
      <c r="N323">
        <f t="shared" si="208"/>
        <v>0</v>
      </c>
      <c r="O323">
        <f t="shared" si="209"/>
        <v>0</v>
      </c>
      <c r="P323">
        <f t="shared" si="210"/>
        <v>0</v>
      </c>
      <c r="Q323">
        <f t="shared" si="211"/>
        <v>0</v>
      </c>
      <c r="R323">
        <f t="shared" si="212"/>
        <v>0</v>
      </c>
      <c r="S323">
        <f t="shared" si="213"/>
        <v>0</v>
      </c>
      <c r="T323">
        <f t="shared" si="214"/>
        <v>0</v>
      </c>
      <c r="U323">
        <f t="shared" si="215"/>
        <v>0</v>
      </c>
      <c r="V323">
        <f t="shared" si="216"/>
        <v>0</v>
      </c>
      <c r="W323">
        <f t="shared" si="217"/>
        <v>0</v>
      </c>
      <c r="X323">
        <f t="shared" si="218"/>
        <v>0</v>
      </c>
      <c r="Y323">
        <f t="shared" si="219"/>
        <v>0</v>
      </c>
      <c r="Z323">
        <f t="shared" si="220"/>
        <v>0</v>
      </c>
      <c r="AA323">
        <f t="shared" si="221"/>
        <v>0</v>
      </c>
      <c r="AB323">
        <f t="shared" si="222"/>
        <v>0</v>
      </c>
      <c r="AC323">
        <f t="shared" si="223"/>
        <v>0</v>
      </c>
      <c r="AD323">
        <f t="shared" si="224"/>
        <v>0</v>
      </c>
      <c r="AE323">
        <f t="shared" si="225"/>
        <v>0</v>
      </c>
      <c r="AF323">
        <f t="shared" si="226"/>
        <v>0</v>
      </c>
      <c r="AG323">
        <f t="shared" si="227"/>
        <v>0</v>
      </c>
      <c r="AH323">
        <f t="shared" si="228"/>
        <v>0</v>
      </c>
      <c r="AI323">
        <f t="shared" si="229"/>
        <v>0</v>
      </c>
      <c r="AJ323">
        <f t="shared" si="230"/>
        <v>0</v>
      </c>
      <c r="AK323">
        <f t="shared" si="231"/>
        <v>0</v>
      </c>
      <c r="AL323">
        <f t="shared" si="232"/>
        <v>0</v>
      </c>
      <c r="AM323">
        <f t="shared" si="233"/>
        <v>0</v>
      </c>
      <c r="AN323">
        <f t="shared" si="234"/>
        <v>0</v>
      </c>
      <c r="AO323">
        <f t="shared" si="235"/>
        <v>0</v>
      </c>
      <c r="AP323">
        <f t="shared" si="236"/>
        <v>0</v>
      </c>
      <c r="AQ323">
        <f t="shared" si="237"/>
        <v>0</v>
      </c>
      <c r="AR323">
        <f t="shared" si="238"/>
        <v>0</v>
      </c>
      <c r="AS323">
        <f t="shared" si="239"/>
        <v>0</v>
      </c>
      <c r="AT323">
        <f t="shared" si="240"/>
        <v>0</v>
      </c>
      <c r="AU323">
        <f t="shared" si="241"/>
        <v>0</v>
      </c>
      <c r="AV323">
        <f t="shared" si="242"/>
        <v>0</v>
      </c>
      <c r="AW323">
        <f t="shared" si="196"/>
        <v>0</v>
      </c>
      <c r="AX323">
        <f t="shared" si="243"/>
        <v>0</v>
      </c>
      <c r="AY323">
        <f t="shared" si="244"/>
        <v>0</v>
      </c>
    </row>
    <row r="324" spans="1:51" x14ac:dyDescent="0.35">
      <c r="A324">
        <v>318</v>
      </c>
      <c r="C324">
        <f t="shared" si="197"/>
        <v>0</v>
      </c>
      <c r="D324">
        <f t="shared" si="198"/>
        <v>0</v>
      </c>
      <c r="E324">
        <f t="shared" si="199"/>
        <v>0</v>
      </c>
      <c r="F324">
        <f t="shared" si="200"/>
        <v>0</v>
      </c>
      <c r="G324">
        <f t="shared" si="201"/>
        <v>0</v>
      </c>
      <c r="H324">
        <f t="shared" si="202"/>
        <v>0</v>
      </c>
      <c r="I324">
        <f t="shared" si="203"/>
        <v>0</v>
      </c>
      <c r="J324">
        <f t="shared" si="204"/>
        <v>0</v>
      </c>
      <c r="K324">
        <f t="shared" si="205"/>
        <v>0</v>
      </c>
      <c r="L324">
        <f t="shared" si="206"/>
        <v>0</v>
      </c>
      <c r="M324">
        <f t="shared" si="207"/>
        <v>0</v>
      </c>
      <c r="N324">
        <f t="shared" si="208"/>
        <v>0</v>
      </c>
      <c r="O324">
        <f t="shared" si="209"/>
        <v>0</v>
      </c>
      <c r="P324">
        <f t="shared" si="210"/>
        <v>0</v>
      </c>
      <c r="Q324">
        <f t="shared" si="211"/>
        <v>0</v>
      </c>
      <c r="R324">
        <f t="shared" si="212"/>
        <v>0</v>
      </c>
      <c r="S324">
        <f t="shared" si="213"/>
        <v>0</v>
      </c>
      <c r="T324">
        <f t="shared" si="214"/>
        <v>0</v>
      </c>
      <c r="U324">
        <f t="shared" si="215"/>
        <v>0</v>
      </c>
      <c r="V324">
        <f t="shared" si="216"/>
        <v>0</v>
      </c>
      <c r="W324">
        <f t="shared" si="217"/>
        <v>0</v>
      </c>
      <c r="X324">
        <f t="shared" si="218"/>
        <v>0</v>
      </c>
      <c r="Y324">
        <f t="shared" si="219"/>
        <v>0</v>
      </c>
      <c r="Z324">
        <f t="shared" si="220"/>
        <v>0</v>
      </c>
      <c r="AA324">
        <f t="shared" si="221"/>
        <v>0</v>
      </c>
      <c r="AB324">
        <f t="shared" si="222"/>
        <v>0</v>
      </c>
      <c r="AC324">
        <f t="shared" si="223"/>
        <v>0</v>
      </c>
      <c r="AD324">
        <f t="shared" si="224"/>
        <v>0</v>
      </c>
      <c r="AE324">
        <f t="shared" si="225"/>
        <v>0</v>
      </c>
      <c r="AF324">
        <f t="shared" si="226"/>
        <v>0</v>
      </c>
      <c r="AG324">
        <f t="shared" si="227"/>
        <v>0</v>
      </c>
      <c r="AH324">
        <f t="shared" si="228"/>
        <v>0</v>
      </c>
      <c r="AI324">
        <f t="shared" si="229"/>
        <v>0</v>
      </c>
      <c r="AJ324">
        <f t="shared" si="230"/>
        <v>0</v>
      </c>
      <c r="AK324">
        <f t="shared" si="231"/>
        <v>0</v>
      </c>
      <c r="AL324">
        <f t="shared" si="232"/>
        <v>0</v>
      </c>
      <c r="AM324">
        <f t="shared" si="233"/>
        <v>0</v>
      </c>
      <c r="AN324">
        <f t="shared" si="234"/>
        <v>0</v>
      </c>
      <c r="AO324">
        <f t="shared" si="235"/>
        <v>0</v>
      </c>
      <c r="AP324">
        <f t="shared" si="236"/>
        <v>0</v>
      </c>
      <c r="AQ324">
        <f t="shared" si="237"/>
        <v>0</v>
      </c>
      <c r="AR324">
        <f t="shared" si="238"/>
        <v>0</v>
      </c>
      <c r="AS324">
        <f t="shared" si="239"/>
        <v>0</v>
      </c>
      <c r="AT324">
        <f t="shared" si="240"/>
        <v>0</v>
      </c>
      <c r="AU324">
        <f t="shared" si="241"/>
        <v>0</v>
      </c>
      <c r="AV324">
        <f t="shared" si="242"/>
        <v>0</v>
      </c>
      <c r="AW324">
        <f t="shared" si="196"/>
        <v>0</v>
      </c>
      <c r="AX324">
        <f t="shared" si="243"/>
        <v>0</v>
      </c>
      <c r="AY324">
        <f t="shared" si="244"/>
        <v>0</v>
      </c>
    </row>
    <row r="325" spans="1:51" x14ac:dyDescent="0.35">
      <c r="A325">
        <v>319</v>
      </c>
      <c r="C325">
        <f t="shared" si="197"/>
        <v>0</v>
      </c>
      <c r="D325">
        <f t="shared" si="198"/>
        <v>0</v>
      </c>
      <c r="E325">
        <f t="shared" si="199"/>
        <v>0</v>
      </c>
      <c r="F325">
        <f t="shared" si="200"/>
        <v>0</v>
      </c>
      <c r="G325">
        <f t="shared" si="201"/>
        <v>0</v>
      </c>
      <c r="H325">
        <f t="shared" si="202"/>
        <v>0</v>
      </c>
      <c r="I325">
        <f t="shared" si="203"/>
        <v>0</v>
      </c>
      <c r="J325">
        <f t="shared" si="204"/>
        <v>0</v>
      </c>
      <c r="K325">
        <f t="shared" si="205"/>
        <v>0</v>
      </c>
      <c r="L325">
        <f t="shared" si="206"/>
        <v>0</v>
      </c>
      <c r="M325">
        <f t="shared" si="207"/>
        <v>0</v>
      </c>
      <c r="N325">
        <f t="shared" si="208"/>
        <v>0</v>
      </c>
      <c r="O325">
        <f t="shared" si="209"/>
        <v>0</v>
      </c>
      <c r="P325">
        <f t="shared" si="210"/>
        <v>0</v>
      </c>
      <c r="Q325">
        <f t="shared" si="211"/>
        <v>0</v>
      </c>
      <c r="R325">
        <f t="shared" si="212"/>
        <v>0</v>
      </c>
      <c r="S325">
        <f t="shared" si="213"/>
        <v>0</v>
      </c>
      <c r="T325">
        <f t="shared" si="214"/>
        <v>0</v>
      </c>
      <c r="U325">
        <f t="shared" si="215"/>
        <v>0</v>
      </c>
      <c r="V325">
        <f t="shared" si="216"/>
        <v>0</v>
      </c>
      <c r="W325">
        <f t="shared" si="217"/>
        <v>0</v>
      </c>
      <c r="X325">
        <f t="shared" si="218"/>
        <v>0</v>
      </c>
      <c r="Y325">
        <f t="shared" si="219"/>
        <v>0</v>
      </c>
      <c r="Z325">
        <f t="shared" si="220"/>
        <v>0</v>
      </c>
      <c r="AA325">
        <f t="shared" si="221"/>
        <v>0</v>
      </c>
      <c r="AB325">
        <f t="shared" si="222"/>
        <v>0</v>
      </c>
      <c r="AC325">
        <f t="shared" si="223"/>
        <v>0</v>
      </c>
      <c r="AD325">
        <f t="shared" si="224"/>
        <v>0</v>
      </c>
      <c r="AE325">
        <f t="shared" si="225"/>
        <v>0</v>
      </c>
      <c r="AF325">
        <f t="shared" si="226"/>
        <v>0</v>
      </c>
      <c r="AG325">
        <f t="shared" si="227"/>
        <v>0</v>
      </c>
      <c r="AH325">
        <f t="shared" si="228"/>
        <v>0</v>
      </c>
      <c r="AI325">
        <f t="shared" si="229"/>
        <v>0</v>
      </c>
      <c r="AJ325">
        <f t="shared" si="230"/>
        <v>0</v>
      </c>
      <c r="AK325">
        <f t="shared" si="231"/>
        <v>0</v>
      </c>
      <c r="AL325">
        <f t="shared" si="232"/>
        <v>0</v>
      </c>
      <c r="AM325">
        <f t="shared" si="233"/>
        <v>0</v>
      </c>
      <c r="AN325">
        <f t="shared" si="234"/>
        <v>0</v>
      </c>
      <c r="AO325">
        <f t="shared" si="235"/>
        <v>0</v>
      </c>
      <c r="AP325">
        <f t="shared" si="236"/>
        <v>0</v>
      </c>
      <c r="AQ325">
        <f t="shared" si="237"/>
        <v>0</v>
      </c>
      <c r="AR325">
        <f t="shared" si="238"/>
        <v>0</v>
      </c>
      <c r="AS325">
        <f t="shared" si="239"/>
        <v>0</v>
      </c>
      <c r="AT325">
        <f t="shared" si="240"/>
        <v>0</v>
      </c>
      <c r="AU325">
        <f t="shared" si="241"/>
        <v>0</v>
      </c>
      <c r="AV325">
        <f t="shared" si="242"/>
        <v>0</v>
      </c>
      <c r="AW325">
        <f t="shared" si="196"/>
        <v>0</v>
      </c>
      <c r="AX325">
        <f t="shared" si="243"/>
        <v>0</v>
      </c>
      <c r="AY325">
        <f t="shared" si="244"/>
        <v>0</v>
      </c>
    </row>
    <row r="326" spans="1:51" x14ac:dyDescent="0.35">
      <c r="A326">
        <v>320</v>
      </c>
      <c r="C326">
        <f t="shared" si="197"/>
        <v>0</v>
      </c>
      <c r="D326">
        <f t="shared" si="198"/>
        <v>0</v>
      </c>
      <c r="E326">
        <f t="shared" si="199"/>
        <v>0</v>
      </c>
      <c r="F326">
        <f t="shared" si="200"/>
        <v>0</v>
      </c>
      <c r="G326">
        <f t="shared" si="201"/>
        <v>0</v>
      </c>
      <c r="H326">
        <f t="shared" si="202"/>
        <v>0</v>
      </c>
      <c r="I326">
        <f t="shared" si="203"/>
        <v>0</v>
      </c>
      <c r="J326">
        <f t="shared" si="204"/>
        <v>0</v>
      </c>
      <c r="K326">
        <f t="shared" si="205"/>
        <v>0</v>
      </c>
      <c r="L326">
        <f t="shared" si="206"/>
        <v>0</v>
      </c>
      <c r="M326">
        <f t="shared" si="207"/>
        <v>0</v>
      </c>
      <c r="N326">
        <f t="shared" si="208"/>
        <v>0</v>
      </c>
      <c r="O326">
        <f t="shared" si="209"/>
        <v>0</v>
      </c>
      <c r="P326">
        <f t="shared" si="210"/>
        <v>0</v>
      </c>
      <c r="Q326">
        <f t="shared" si="211"/>
        <v>0</v>
      </c>
      <c r="R326">
        <f t="shared" si="212"/>
        <v>0</v>
      </c>
      <c r="S326">
        <f t="shared" si="213"/>
        <v>0</v>
      </c>
      <c r="T326">
        <f t="shared" si="214"/>
        <v>0</v>
      </c>
      <c r="U326">
        <f t="shared" si="215"/>
        <v>0</v>
      </c>
      <c r="V326">
        <f t="shared" si="216"/>
        <v>0</v>
      </c>
      <c r="W326">
        <f t="shared" si="217"/>
        <v>0</v>
      </c>
      <c r="X326">
        <f t="shared" si="218"/>
        <v>0</v>
      </c>
      <c r="Y326">
        <f t="shared" si="219"/>
        <v>0</v>
      </c>
      <c r="Z326">
        <f t="shared" si="220"/>
        <v>0</v>
      </c>
      <c r="AA326">
        <f t="shared" si="221"/>
        <v>0</v>
      </c>
      <c r="AB326">
        <f t="shared" si="222"/>
        <v>0</v>
      </c>
      <c r="AC326">
        <f t="shared" si="223"/>
        <v>0</v>
      </c>
      <c r="AD326">
        <f t="shared" si="224"/>
        <v>0</v>
      </c>
      <c r="AE326">
        <f t="shared" si="225"/>
        <v>0</v>
      </c>
      <c r="AF326">
        <f t="shared" si="226"/>
        <v>0</v>
      </c>
      <c r="AG326">
        <f t="shared" si="227"/>
        <v>0</v>
      </c>
      <c r="AH326">
        <f t="shared" si="228"/>
        <v>0</v>
      </c>
      <c r="AI326">
        <f t="shared" si="229"/>
        <v>0</v>
      </c>
      <c r="AJ326">
        <f t="shared" si="230"/>
        <v>0</v>
      </c>
      <c r="AK326">
        <f t="shared" si="231"/>
        <v>0</v>
      </c>
      <c r="AL326">
        <f t="shared" si="232"/>
        <v>0</v>
      </c>
      <c r="AM326">
        <f t="shared" si="233"/>
        <v>0</v>
      </c>
      <c r="AN326">
        <f t="shared" si="234"/>
        <v>0</v>
      </c>
      <c r="AO326">
        <f t="shared" si="235"/>
        <v>0</v>
      </c>
      <c r="AP326">
        <f t="shared" si="236"/>
        <v>0</v>
      </c>
      <c r="AQ326">
        <f t="shared" si="237"/>
        <v>0</v>
      </c>
      <c r="AR326">
        <f t="shared" si="238"/>
        <v>0</v>
      </c>
      <c r="AS326">
        <f t="shared" si="239"/>
        <v>0</v>
      </c>
      <c r="AT326">
        <f t="shared" si="240"/>
        <v>0</v>
      </c>
      <c r="AU326">
        <f t="shared" si="241"/>
        <v>0</v>
      </c>
      <c r="AV326">
        <f t="shared" si="242"/>
        <v>0</v>
      </c>
      <c r="AW326">
        <f t="shared" ref="AW326:AW389" si="245">SUM(AH326:AV326)</f>
        <v>0</v>
      </c>
      <c r="AX326">
        <f t="shared" si="243"/>
        <v>0</v>
      </c>
      <c r="AY326">
        <f t="shared" si="244"/>
        <v>0</v>
      </c>
    </row>
    <row r="327" spans="1:51" x14ac:dyDescent="0.35">
      <c r="A327">
        <v>321</v>
      </c>
      <c r="C327">
        <f t="shared" ref="C327:C390" si="246">MAX(0,0-SUM(D327:R327))</f>
        <v>0</v>
      </c>
      <c r="D327">
        <f t="shared" ref="D327:D366" si="247">IF(AH326&lt;0.005,0,MIN((AH326+ROUND(AH326*AH$3,2)),AH$4))</f>
        <v>0</v>
      </c>
      <c r="E327">
        <f t="shared" ref="E327:E366" si="248">IF(AI326&lt;0.005,0,MIN((AI326+ROUND(AI326*AI$3,2)),AI$4))</f>
        <v>0</v>
      </c>
      <c r="F327">
        <f t="shared" ref="F327:F366" si="249">IF(AJ326&lt;0.005,0,MIN((AJ326+ROUND(AJ326*AJ$3,2)),AJ$4))</f>
        <v>0</v>
      </c>
      <c r="G327">
        <f t="shared" ref="G327:G366" si="250">IF(AK326&lt;0.005,0,MIN((AK326+ROUND(AK326*AK$3,2)),AK$4))</f>
        <v>0</v>
      </c>
      <c r="H327">
        <f t="shared" ref="H327:H366" si="251">IF(AL326&lt;0.005,0,MIN((AL326+ROUND(AL326*AL$3,2)),AL$4))</f>
        <v>0</v>
      </c>
      <c r="I327">
        <f t="shared" ref="I327:I366" si="252">IF(AM326&lt;0.005,0,MIN((AM326+ROUND(AM326*AM$3,2)),AM$4))</f>
        <v>0</v>
      </c>
      <c r="J327">
        <f t="shared" ref="J327:J366" si="253">IF(AN326&lt;0.005,0,MIN((AN326+ROUND(AN326*AN$3,2)),AN$4))</f>
        <v>0</v>
      </c>
      <c r="K327">
        <f t="shared" ref="K327:K366" si="254">IF(AO326&lt;0.005,0,MIN((AO326+ROUND(AO326*AO$3,2)),AO$4))</f>
        <v>0</v>
      </c>
      <c r="L327">
        <f t="shared" ref="L327:L366" si="255">IF(AP326&lt;0.005,0,MIN((AP326+ROUND(AP326*AP$3,2)),AP$4))</f>
        <v>0</v>
      </c>
      <c r="M327">
        <f t="shared" ref="M327:M366" si="256">IF(AQ326&lt;0.005,0,MIN((AQ326+ROUND(AQ326*AQ$3,2)),AQ$4))</f>
        <v>0</v>
      </c>
      <c r="N327">
        <f t="shared" ref="N327:N366" si="257">IF(AR326&lt;0.005,0,MIN((AR326+ROUND(AR326*AR$3,2)),AR$4))</f>
        <v>0</v>
      </c>
      <c r="O327">
        <f t="shared" ref="O327:O366" si="258">IF(AS326&lt;0.005,0,MIN((AS326+ROUND(AS326*AS$3,2)),AS$4))</f>
        <v>0</v>
      </c>
      <c r="P327">
        <f t="shared" ref="P327:P366" si="259">IF(AT326&lt;0.005,0,MIN((AT326+ROUND(AT326*AT$3,2)),AT$4))</f>
        <v>0</v>
      </c>
      <c r="Q327">
        <f t="shared" ref="Q327:Q366" si="260">IF(AU326&lt;0.005,0,MIN((AU326+ROUND(AU326*AU$3,2)),AU$4))</f>
        <v>0</v>
      </c>
      <c r="R327">
        <f t="shared" ref="R327:R366" si="261">IF(AV326&lt;0.005,0,MIN((AV326+ROUND(AV326*AV$3,2)),AV$4))</f>
        <v>0</v>
      </c>
      <c r="S327">
        <f t="shared" ref="S327:S366" si="262">IF(AH326&lt;0.005,0,MIN((AH326+ROUND(AH326*AH$3,2))-D327,MAX(0,$C327)))</f>
        <v>0</v>
      </c>
      <c r="T327">
        <f t="shared" ref="T327:T390" si="263">IF(AI326&lt;0.005,0,MIN((AI326+ROUND(AI326*AI$3,2))-E327,MAX(0,$C327-SUM(S327:S327))))</f>
        <v>0</v>
      </c>
      <c r="U327">
        <f t="shared" ref="U327:U390" si="264">IF(AJ326&lt;0.005,0,MIN((AJ326+ROUND(AJ326*AJ$3,2))-F327,MAX(0,$C327-SUM(S327:T327))))</f>
        <v>0</v>
      </c>
      <c r="V327">
        <f t="shared" ref="V327:V390" si="265">IF(AK326&lt;0.005,0,MIN((AK326+ROUND(AK326*AK$3,2))-G327,MAX(0,$C327-SUM(S327:U327))))</f>
        <v>0</v>
      </c>
      <c r="W327">
        <f t="shared" ref="W327:W390" si="266">IF(AL326&lt;0.005,0,MIN((AL326+ROUND(AL326*AL$3,2))-H327,MAX(0,$C327-SUM(S327:V327))))</f>
        <v>0</v>
      </c>
      <c r="X327">
        <f t="shared" ref="X327:X390" si="267">IF(AM326&lt;0.005,0,MIN((AM326+ROUND(AM326*AM$3,2))-I327,MAX(0,$C327-SUM(S327:W327))))</f>
        <v>0</v>
      </c>
      <c r="Y327">
        <f t="shared" ref="Y327:Y390" si="268">IF(AN326&lt;0.005,0,MIN((AN326+ROUND(AN326*AN$3,2))-J327,MAX(0,$C327-SUM(S327:X327))))</f>
        <v>0</v>
      </c>
      <c r="Z327">
        <f t="shared" ref="Z327:Z390" si="269">IF(AO326&lt;0.005,0,MIN((AO326+ROUND(AO326*AO$3,2))-K327,MAX(0,$C327-SUM(S327:Y327))))</f>
        <v>0</v>
      </c>
      <c r="AA327">
        <f t="shared" ref="AA327:AA390" si="270">IF(AP326&lt;0.005,0,MIN((AP326+ROUND(AP326*AP$3,2))-L327,MAX(0,$C327-SUM(S327:Z327))))</f>
        <v>0</v>
      </c>
      <c r="AB327">
        <f t="shared" ref="AB327:AB390" si="271">IF(AQ326&lt;0.005,0,MIN((AQ326+ROUND(AQ326*AQ$3,2))-M327,MAX(0,$C327-SUM(S327:AA327))))</f>
        <v>0</v>
      </c>
      <c r="AC327">
        <f t="shared" ref="AC327:AC390" si="272">IF(AR326&lt;0.005,0,MIN((AR326+ROUND(AR326*AR$3,2))-N327,MAX(0,$C327-SUM(S327:AB327))))</f>
        <v>0</v>
      </c>
      <c r="AD327">
        <f t="shared" ref="AD327:AD390" si="273">IF(AS326&lt;0.005,0,MIN((AS326+ROUND(AS326*AS$3,2))-O327,MAX(0,$C327-SUM(S327:AC327))))</f>
        <v>0</v>
      </c>
      <c r="AE327">
        <f t="shared" ref="AE327:AE390" si="274">IF(AT326&lt;0.005,0,MIN((AT326+ROUND(AT326*AT$3,2))-P327,MAX(0,$C327-SUM(S327:AD327))))</f>
        <v>0</v>
      </c>
      <c r="AF327">
        <f t="shared" ref="AF327:AF390" si="275">IF(AU326&lt;0.005,0,MIN((AU326+ROUND(AU326*AU$3,2))-Q327,MAX(0,$C327-SUM(S327:AE327))))</f>
        <v>0</v>
      </c>
      <c r="AG327">
        <f t="shared" ref="AG327:AG390" si="276">IF(AV326&lt;0.005,0,MIN((AV326+ROUND(AV326*AV$3,2))-R327,MAX(0,$C327-SUM(S327:AF327))))</f>
        <v>0</v>
      </c>
      <c r="AH327">
        <f t="shared" ref="AH327:AH366" si="277">IF(AH326&lt;0.005,0,ROUND((AH326+ROUND(AH326*AH$3,2))-D327-S327,2))</f>
        <v>0</v>
      </c>
      <c r="AI327">
        <f t="shared" ref="AI327:AI366" si="278">IF(AI326&lt;0.005,0,ROUND((AI326+ROUND(AI326*AI$3,2))-E327-T327,2))</f>
        <v>0</v>
      </c>
      <c r="AJ327">
        <f t="shared" ref="AJ327:AJ366" si="279">IF(AJ326&lt;0.005,0,ROUND((AJ326+ROUND(AJ326*AJ$3,2))-F327-U327,2))</f>
        <v>0</v>
      </c>
      <c r="AK327">
        <f t="shared" ref="AK327:AK366" si="280">IF(AK326&lt;0.005,0,ROUND((AK326+ROUND(AK326*AK$3,2))-G327-V327,2))</f>
        <v>0</v>
      </c>
      <c r="AL327">
        <f t="shared" ref="AL327:AL366" si="281">IF(AL326&lt;0.005,0,ROUND((AL326+ROUND(AL326*AL$3,2))-H327-W327,2))</f>
        <v>0</v>
      </c>
      <c r="AM327">
        <f t="shared" ref="AM327:AM366" si="282">IF(AM326&lt;0.005,0,ROUND((AM326+ROUND(AM326*AM$3,2))-I327-X327,2))</f>
        <v>0</v>
      </c>
      <c r="AN327">
        <f t="shared" ref="AN327:AN366" si="283">IF(AN326&lt;0.005,0,ROUND((AN326+ROUND(AN326*AN$3,2))-J327-Y327,2))</f>
        <v>0</v>
      </c>
      <c r="AO327">
        <f t="shared" ref="AO327:AO366" si="284">IF(AO326&lt;0.005,0,ROUND((AO326+ROUND(AO326*AO$3,2))-K327-Z327,2))</f>
        <v>0</v>
      </c>
      <c r="AP327">
        <f t="shared" ref="AP327:AP366" si="285">IF(AP326&lt;0.005,0,ROUND((AP326+ROUND(AP326*AP$3,2))-L327-AA327,2))</f>
        <v>0</v>
      </c>
      <c r="AQ327">
        <f t="shared" ref="AQ327:AQ366" si="286">IF(AQ326&lt;0.005,0,ROUND((AQ326+ROUND(AQ326*AQ$3,2))-M327-AB327,2))</f>
        <v>0</v>
      </c>
      <c r="AR327">
        <f t="shared" ref="AR327:AR366" si="287">IF(AR326&lt;0.005,0,ROUND((AR326+ROUND(AR326*AR$3,2))-N327-AC327,2))</f>
        <v>0</v>
      </c>
      <c r="AS327">
        <f t="shared" ref="AS327:AS366" si="288">IF(AS326&lt;0.005,0,ROUND((AS326+ROUND(AS326*AS$3,2))-O327-AD327,2))</f>
        <v>0</v>
      </c>
      <c r="AT327">
        <f t="shared" ref="AT327:AT366" si="289">IF(AT326&lt;0.005,0,ROUND((AT326+ROUND(AT326*AT$3,2))-P327-AE327,2))</f>
        <v>0</v>
      </c>
      <c r="AU327">
        <f t="shared" ref="AU327:AU366" si="290">IF(AU326&lt;0.005,0,ROUND((AU326+ROUND(AU326*AU$3,2))-Q327-AF327,2))</f>
        <v>0</v>
      </c>
      <c r="AV327">
        <f t="shared" ref="AV327:AV366" si="291">IF(AV326&lt;0.005,0,ROUND((AV326+ROUND(AV326*AV$3,2))-R327-AG327,2))</f>
        <v>0</v>
      </c>
      <c r="AW327">
        <f t="shared" si="245"/>
        <v>0</v>
      </c>
      <c r="AX327">
        <f t="shared" ref="AX327:AX366" si="292">SUMPRODUCT(ROUND(AH326:AV326*AH$3:AV$3,2))</f>
        <v>0</v>
      </c>
      <c r="AY327">
        <f t="shared" ref="AY327:AY366" si="293">SUM(D327:AG327)</f>
        <v>0</v>
      </c>
    </row>
    <row r="328" spans="1:51" x14ac:dyDescent="0.35">
      <c r="A328">
        <v>322</v>
      </c>
      <c r="C328">
        <f t="shared" si="246"/>
        <v>0</v>
      </c>
      <c r="D328">
        <f t="shared" si="247"/>
        <v>0</v>
      </c>
      <c r="E328">
        <f t="shared" si="248"/>
        <v>0</v>
      </c>
      <c r="F328">
        <f t="shared" si="249"/>
        <v>0</v>
      </c>
      <c r="G328">
        <f t="shared" si="250"/>
        <v>0</v>
      </c>
      <c r="H328">
        <f t="shared" si="251"/>
        <v>0</v>
      </c>
      <c r="I328">
        <f t="shared" si="252"/>
        <v>0</v>
      </c>
      <c r="J328">
        <f t="shared" si="253"/>
        <v>0</v>
      </c>
      <c r="K328">
        <f t="shared" si="254"/>
        <v>0</v>
      </c>
      <c r="L328">
        <f t="shared" si="255"/>
        <v>0</v>
      </c>
      <c r="M328">
        <f t="shared" si="256"/>
        <v>0</v>
      </c>
      <c r="N328">
        <f t="shared" si="257"/>
        <v>0</v>
      </c>
      <c r="O328">
        <f t="shared" si="258"/>
        <v>0</v>
      </c>
      <c r="P328">
        <f t="shared" si="259"/>
        <v>0</v>
      </c>
      <c r="Q328">
        <f t="shared" si="260"/>
        <v>0</v>
      </c>
      <c r="R328">
        <f t="shared" si="261"/>
        <v>0</v>
      </c>
      <c r="S328">
        <f t="shared" si="262"/>
        <v>0</v>
      </c>
      <c r="T328">
        <f t="shared" si="263"/>
        <v>0</v>
      </c>
      <c r="U328">
        <f t="shared" si="264"/>
        <v>0</v>
      </c>
      <c r="V328">
        <f t="shared" si="265"/>
        <v>0</v>
      </c>
      <c r="W328">
        <f t="shared" si="266"/>
        <v>0</v>
      </c>
      <c r="X328">
        <f t="shared" si="267"/>
        <v>0</v>
      </c>
      <c r="Y328">
        <f t="shared" si="268"/>
        <v>0</v>
      </c>
      <c r="Z328">
        <f t="shared" si="269"/>
        <v>0</v>
      </c>
      <c r="AA328">
        <f t="shared" si="270"/>
        <v>0</v>
      </c>
      <c r="AB328">
        <f t="shared" si="271"/>
        <v>0</v>
      </c>
      <c r="AC328">
        <f t="shared" si="272"/>
        <v>0</v>
      </c>
      <c r="AD328">
        <f t="shared" si="273"/>
        <v>0</v>
      </c>
      <c r="AE328">
        <f t="shared" si="274"/>
        <v>0</v>
      </c>
      <c r="AF328">
        <f t="shared" si="275"/>
        <v>0</v>
      </c>
      <c r="AG328">
        <f t="shared" si="276"/>
        <v>0</v>
      </c>
      <c r="AH328">
        <f t="shared" si="277"/>
        <v>0</v>
      </c>
      <c r="AI328">
        <f t="shared" si="278"/>
        <v>0</v>
      </c>
      <c r="AJ328">
        <f t="shared" si="279"/>
        <v>0</v>
      </c>
      <c r="AK328">
        <f t="shared" si="280"/>
        <v>0</v>
      </c>
      <c r="AL328">
        <f t="shared" si="281"/>
        <v>0</v>
      </c>
      <c r="AM328">
        <f t="shared" si="282"/>
        <v>0</v>
      </c>
      <c r="AN328">
        <f t="shared" si="283"/>
        <v>0</v>
      </c>
      <c r="AO328">
        <f t="shared" si="284"/>
        <v>0</v>
      </c>
      <c r="AP328">
        <f t="shared" si="285"/>
        <v>0</v>
      </c>
      <c r="AQ328">
        <f t="shared" si="286"/>
        <v>0</v>
      </c>
      <c r="AR328">
        <f t="shared" si="287"/>
        <v>0</v>
      </c>
      <c r="AS328">
        <f t="shared" si="288"/>
        <v>0</v>
      </c>
      <c r="AT328">
        <f t="shared" si="289"/>
        <v>0</v>
      </c>
      <c r="AU328">
        <f t="shared" si="290"/>
        <v>0</v>
      </c>
      <c r="AV328">
        <f t="shared" si="291"/>
        <v>0</v>
      </c>
      <c r="AW328">
        <f t="shared" si="245"/>
        <v>0</v>
      </c>
      <c r="AX328">
        <f t="shared" si="292"/>
        <v>0</v>
      </c>
      <c r="AY328">
        <f t="shared" si="293"/>
        <v>0</v>
      </c>
    </row>
    <row r="329" spans="1:51" x14ac:dyDescent="0.35">
      <c r="A329">
        <v>323</v>
      </c>
      <c r="C329">
        <f t="shared" si="246"/>
        <v>0</v>
      </c>
      <c r="D329">
        <f t="shared" si="247"/>
        <v>0</v>
      </c>
      <c r="E329">
        <f t="shared" si="248"/>
        <v>0</v>
      </c>
      <c r="F329">
        <f t="shared" si="249"/>
        <v>0</v>
      </c>
      <c r="G329">
        <f t="shared" si="250"/>
        <v>0</v>
      </c>
      <c r="H329">
        <f t="shared" si="251"/>
        <v>0</v>
      </c>
      <c r="I329">
        <f t="shared" si="252"/>
        <v>0</v>
      </c>
      <c r="J329">
        <f t="shared" si="253"/>
        <v>0</v>
      </c>
      <c r="K329">
        <f t="shared" si="254"/>
        <v>0</v>
      </c>
      <c r="L329">
        <f t="shared" si="255"/>
        <v>0</v>
      </c>
      <c r="M329">
        <f t="shared" si="256"/>
        <v>0</v>
      </c>
      <c r="N329">
        <f t="shared" si="257"/>
        <v>0</v>
      </c>
      <c r="O329">
        <f t="shared" si="258"/>
        <v>0</v>
      </c>
      <c r="P329">
        <f t="shared" si="259"/>
        <v>0</v>
      </c>
      <c r="Q329">
        <f t="shared" si="260"/>
        <v>0</v>
      </c>
      <c r="R329">
        <f t="shared" si="261"/>
        <v>0</v>
      </c>
      <c r="S329">
        <f t="shared" si="262"/>
        <v>0</v>
      </c>
      <c r="T329">
        <f t="shared" si="263"/>
        <v>0</v>
      </c>
      <c r="U329">
        <f t="shared" si="264"/>
        <v>0</v>
      </c>
      <c r="V329">
        <f t="shared" si="265"/>
        <v>0</v>
      </c>
      <c r="W329">
        <f t="shared" si="266"/>
        <v>0</v>
      </c>
      <c r="X329">
        <f t="shared" si="267"/>
        <v>0</v>
      </c>
      <c r="Y329">
        <f t="shared" si="268"/>
        <v>0</v>
      </c>
      <c r="Z329">
        <f t="shared" si="269"/>
        <v>0</v>
      </c>
      <c r="AA329">
        <f t="shared" si="270"/>
        <v>0</v>
      </c>
      <c r="AB329">
        <f t="shared" si="271"/>
        <v>0</v>
      </c>
      <c r="AC329">
        <f t="shared" si="272"/>
        <v>0</v>
      </c>
      <c r="AD329">
        <f t="shared" si="273"/>
        <v>0</v>
      </c>
      <c r="AE329">
        <f t="shared" si="274"/>
        <v>0</v>
      </c>
      <c r="AF329">
        <f t="shared" si="275"/>
        <v>0</v>
      </c>
      <c r="AG329">
        <f t="shared" si="276"/>
        <v>0</v>
      </c>
      <c r="AH329">
        <f t="shared" si="277"/>
        <v>0</v>
      </c>
      <c r="AI329">
        <f t="shared" si="278"/>
        <v>0</v>
      </c>
      <c r="AJ329">
        <f t="shared" si="279"/>
        <v>0</v>
      </c>
      <c r="AK329">
        <f t="shared" si="280"/>
        <v>0</v>
      </c>
      <c r="AL329">
        <f t="shared" si="281"/>
        <v>0</v>
      </c>
      <c r="AM329">
        <f t="shared" si="282"/>
        <v>0</v>
      </c>
      <c r="AN329">
        <f t="shared" si="283"/>
        <v>0</v>
      </c>
      <c r="AO329">
        <f t="shared" si="284"/>
        <v>0</v>
      </c>
      <c r="AP329">
        <f t="shared" si="285"/>
        <v>0</v>
      </c>
      <c r="AQ329">
        <f t="shared" si="286"/>
        <v>0</v>
      </c>
      <c r="AR329">
        <f t="shared" si="287"/>
        <v>0</v>
      </c>
      <c r="AS329">
        <f t="shared" si="288"/>
        <v>0</v>
      </c>
      <c r="AT329">
        <f t="shared" si="289"/>
        <v>0</v>
      </c>
      <c r="AU329">
        <f t="shared" si="290"/>
        <v>0</v>
      </c>
      <c r="AV329">
        <f t="shared" si="291"/>
        <v>0</v>
      </c>
      <c r="AW329">
        <f t="shared" si="245"/>
        <v>0</v>
      </c>
      <c r="AX329">
        <f t="shared" si="292"/>
        <v>0</v>
      </c>
      <c r="AY329">
        <f t="shared" si="293"/>
        <v>0</v>
      </c>
    </row>
    <row r="330" spans="1:51" x14ac:dyDescent="0.35">
      <c r="A330">
        <v>324</v>
      </c>
      <c r="C330">
        <f t="shared" si="246"/>
        <v>0</v>
      </c>
      <c r="D330">
        <f t="shared" si="247"/>
        <v>0</v>
      </c>
      <c r="E330">
        <f t="shared" si="248"/>
        <v>0</v>
      </c>
      <c r="F330">
        <f t="shared" si="249"/>
        <v>0</v>
      </c>
      <c r="G330">
        <f t="shared" si="250"/>
        <v>0</v>
      </c>
      <c r="H330">
        <f t="shared" si="251"/>
        <v>0</v>
      </c>
      <c r="I330">
        <f t="shared" si="252"/>
        <v>0</v>
      </c>
      <c r="J330">
        <f t="shared" si="253"/>
        <v>0</v>
      </c>
      <c r="K330">
        <f t="shared" si="254"/>
        <v>0</v>
      </c>
      <c r="L330">
        <f t="shared" si="255"/>
        <v>0</v>
      </c>
      <c r="M330">
        <f t="shared" si="256"/>
        <v>0</v>
      </c>
      <c r="N330">
        <f t="shared" si="257"/>
        <v>0</v>
      </c>
      <c r="O330">
        <f t="shared" si="258"/>
        <v>0</v>
      </c>
      <c r="P330">
        <f t="shared" si="259"/>
        <v>0</v>
      </c>
      <c r="Q330">
        <f t="shared" si="260"/>
        <v>0</v>
      </c>
      <c r="R330">
        <f t="shared" si="261"/>
        <v>0</v>
      </c>
      <c r="S330">
        <f t="shared" si="262"/>
        <v>0</v>
      </c>
      <c r="T330">
        <f t="shared" si="263"/>
        <v>0</v>
      </c>
      <c r="U330">
        <f t="shared" si="264"/>
        <v>0</v>
      </c>
      <c r="V330">
        <f t="shared" si="265"/>
        <v>0</v>
      </c>
      <c r="W330">
        <f t="shared" si="266"/>
        <v>0</v>
      </c>
      <c r="X330">
        <f t="shared" si="267"/>
        <v>0</v>
      </c>
      <c r="Y330">
        <f t="shared" si="268"/>
        <v>0</v>
      </c>
      <c r="Z330">
        <f t="shared" si="269"/>
        <v>0</v>
      </c>
      <c r="AA330">
        <f t="shared" si="270"/>
        <v>0</v>
      </c>
      <c r="AB330">
        <f t="shared" si="271"/>
        <v>0</v>
      </c>
      <c r="AC330">
        <f t="shared" si="272"/>
        <v>0</v>
      </c>
      <c r="AD330">
        <f t="shared" si="273"/>
        <v>0</v>
      </c>
      <c r="AE330">
        <f t="shared" si="274"/>
        <v>0</v>
      </c>
      <c r="AF330">
        <f t="shared" si="275"/>
        <v>0</v>
      </c>
      <c r="AG330">
        <f t="shared" si="276"/>
        <v>0</v>
      </c>
      <c r="AH330">
        <f t="shared" si="277"/>
        <v>0</v>
      </c>
      <c r="AI330">
        <f t="shared" si="278"/>
        <v>0</v>
      </c>
      <c r="AJ330">
        <f t="shared" si="279"/>
        <v>0</v>
      </c>
      <c r="AK330">
        <f t="shared" si="280"/>
        <v>0</v>
      </c>
      <c r="AL330">
        <f t="shared" si="281"/>
        <v>0</v>
      </c>
      <c r="AM330">
        <f t="shared" si="282"/>
        <v>0</v>
      </c>
      <c r="AN330">
        <f t="shared" si="283"/>
        <v>0</v>
      </c>
      <c r="AO330">
        <f t="shared" si="284"/>
        <v>0</v>
      </c>
      <c r="AP330">
        <f t="shared" si="285"/>
        <v>0</v>
      </c>
      <c r="AQ330">
        <f t="shared" si="286"/>
        <v>0</v>
      </c>
      <c r="AR330">
        <f t="shared" si="287"/>
        <v>0</v>
      </c>
      <c r="AS330">
        <f t="shared" si="288"/>
        <v>0</v>
      </c>
      <c r="AT330">
        <f t="shared" si="289"/>
        <v>0</v>
      </c>
      <c r="AU330">
        <f t="shared" si="290"/>
        <v>0</v>
      </c>
      <c r="AV330">
        <f t="shared" si="291"/>
        <v>0</v>
      </c>
      <c r="AW330">
        <f t="shared" si="245"/>
        <v>0</v>
      </c>
      <c r="AX330">
        <f t="shared" si="292"/>
        <v>0</v>
      </c>
      <c r="AY330">
        <f t="shared" si="293"/>
        <v>0</v>
      </c>
    </row>
    <row r="331" spans="1:51" x14ac:dyDescent="0.35">
      <c r="A331">
        <v>325</v>
      </c>
      <c r="C331">
        <f t="shared" si="246"/>
        <v>0</v>
      </c>
      <c r="D331">
        <f t="shared" si="247"/>
        <v>0</v>
      </c>
      <c r="E331">
        <f t="shared" si="248"/>
        <v>0</v>
      </c>
      <c r="F331">
        <f t="shared" si="249"/>
        <v>0</v>
      </c>
      <c r="G331">
        <f t="shared" si="250"/>
        <v>0</v>
      </c>
      <c r="H331">
        <f t="shared" si="251"/>
        <v>0</v>
      </c>
      <c r="I331">
        <f t="shared" si="252"/>
        <v>0</v>
      </c>
      <c r="J331">
        <f t="shared" si="253"/>
        <v>0</v>
      </c>
      <c r="K331">
        <f t="shared" si="254"/>
        <v>0</v>
      </c>
      <c r="L331">
        <f t="shared" si="255"/>
        <v>0</v>
      </c>
      <c r="M331">
        <f t="shared" si="256"/>
        <v>0</v>
      </c>
      <c r="N331">
        <f t="shared" si="257"/>
        <v>0</v>
      </c>
      <c r="O331">
        <f t="shared" si="258"/>
        <v>0</v>
      </c>
      <c r="P331">
        <f t="shared" si="259"/>
        <v>0</v>
      </c>
      <c r="Q331">
        <f t="shared" si="260"/>
        <v>0</v>
      </c>
      <c r="R331">
        <f t="shared" si="261"/>
        <v>0</v>
      </c>
      <c r="S331">
        <f t="shared" si="262"/>
        <v>0</v>
      </c>
      <c r="T331">
        <f t="shared" si="263"/>
        <v>0</v>
      </c>
      <c r="U331">
        <f t="shared" si="264"/>
        <v>0</v>
      </c>
      <c r="V331">
        <f t="shared" si="265"/>
        <v>0</v>
      </c>
      <c r="W331">
        <f t="shared" si="266"/>
        <v>0</v>
      </c>
      <c r="X331">
        <f t="shared" si="267"/>
        <v>0</v>
      </c>
      <c r="Y331">
        <f t="shared" si="268"/>
        <v>0</v>
      </c>
      <c r="Z331">
        <f t="shared" si="269"/>
        <v>0</v>
      </c>
      <c r="AA331">
        <f t="shared" si="270"/>
        <v>0</v>
      </c>
      <c r="AB331">
        <f t="shared" si="271"/>
        <v>0</v>
      </c>
      <c r="AC331">
        <f t="shared" si="272"/>
        <v>0</v>
      </c>
      <c r="AD331">
        <f t="shared" si="273"/>
        <v>0</v>
      </c>
      <c r="AE331">
        <f t="shared" si="274"/>
        <v>0</v>
      </c>
      <c r="AF331">
        <f t="shared" si="275"/>
        <v>0</v>
      </c>
      <c r="AG331">
        <f t="shared" si="276"/>
        <v>0</v>
      </c>
      <c r="AH331">
        <f t="shared" si="277"/>
        <v>0</v>
      </c>
      <c r="AI331">
        <f t="shared" si="278"/>
        <v>0</v>
      </c>
      <c r="AJ331">
        <f t="shared" si="279"/>
        <v>0</v>
      </c>
      <c r="AK331">
        <f t="shared" si="280"/>
        <v>0</v>
      </c>
      <c r="AL331">
        <f t="shared" si="281"/>
        <v>0</v>
      </c>
      <c r="AM331">
        <f t="shared" si="282"/>
        <v>0</v>
      </c>
      <c r="AN331">
        <f t="shared" si="283"/>
        <v>0</v>
      </c>
      <c r="AO331">
        <f t="shared" si="284"/>
        <v>0</v>
      </c>
      <c r="AP331">
        <f t="shared" si="285"/>
        <v>0</v>
      </c>
      <c r="AQ331">
        <f t="shared" si="286"/>
        <v>0</v>
      </c>
      <c r="AR331">
        <f t="shared" si="287"/>
        <v>0</v>
      </c>
      <c r="AS331">
        <f t="shared" si="288"/>
        <v>0</v>
      </c>
      <c r="AT331">
        <f t="shared" si="289"/>
        <v>0</v>
      </c>
      <c r="AU331">
        <f t="shared" si="290"/>
        <v>0</v>
      </c>
      <c r="AV331">
        <f t="shared" si="291"/>
        <v>0</v>
      </c>
      <c r="AW331">
        <f t="shared" si="245"/>
        <v>0</v>
      </c>
      <c r="AX331">
        <f t="shared" si="292"/>
        <v>0</v>
      </c>
      <c r="AY331">
        <f t="shared" si="293"/>
        <v>0</v>
      </c>
    </row>
    <row r="332" spans="1:51" x14ac:dyDescent="0.35">
      <c r="A332">
        <v>326</v>
      </c>
      <c r="C332">
        <f t="shared" si="246"/>
        <v>0</v>
      </c>
      <c r="D332">
        <f t="shared" si="247"/>
        <v>0</v>
      </c>
      <c r="E332">
        <f t="shared" si="248"/>
        <v>0</v>
      </c>
      <c r="F332">
        <f t="shared" si="249"/>
        <v>0</v>
      </c>
      <c r="G332">
        <f t="shared" si="250"/>
        <v>0</v>
      </c>
      <c r="H332">
        <f t="shared" si="251"/>
        <v>0</v>
      </c>
      <c r="I332">
        <f t="shared" si="252"/>
        <v>0</v>
      </c>
      <c r="J332">
        <f t="shared" si="253"/>
        <v>0</v>
      </c>
      <c r="K332">
        <f t="shared" si="254"/>
        <v>0</v>
      </c>
      <c r="L332">
        <f t="shared" si="255"/>
        <v>0</v>
      </c>
      <c r="M332">
        <f t="shared" si="256"/>
        <v>0</v>
      </c>
      <c r="N332">
        <f t="shared" si="257"/>
        <v>0</v>
      </c>
      <c r="O332">
        <f t="shared" si="258"/>
        <v>0</v>
      </c>
      <c r="P332">
        <f t="shared" si="259"/>
        <v>0</v>
      </c>
      <c r="Q332">
        <f t="shared" si="260"/>
        <v>0</v>
      </c>
      <c r="R332">
        <f t="shared" si="261"/>
        <v>0</v>
      </c>
      <c r="S332">
        <f t="shared" si="262"/>
        <v>0</v>
      </c>
      <c r="T332">
        <f t="shared" si="263"/>
        <v>0</v>
      </c>
      <c r="U332">
        <f t="shared" si="264"/>
        <v>0</v>
      </c>
      <c r="V332">
        <f t="shared" si="265"/>
        <v>0</v>
      </c>
      <c r="W332">
        <f t="shared" si="266"/>
        <v>0</v>
      </c>
      <c r="X332">
        <f t="shared" si="267"/>
        <v>0</v>
      </c>
      <c r="Y332">
        <f t="shared" si="268"/>
        <v>0</v>
      </c>
      <c r="Z332">
        <f t="shared" si="269"/>
        <v>0</v>
      </c>
      <c r="AA332">
        <f t="shared" si="270"/>
        <v>0</v>
      </c>
      <c r="AB332">
        <f t="shared" si="271"/>
        <v>0</v>
      </c>
      <c r="AC332">
        <f t="shared" si="272"/>
        <v>0</v>
      </c>
      <c r="AD332">
        <f t="shared" si="273"/>
        <v>0</v>
      </c>
      <c r="AE332">
        <f t="shared" si="274"/>
        <v>0</v>
      </c>
      <c r="AF332">
        <f t="shared" si="275"/>
        <v>0</v>
      </c>
      <c r="AG332">
        <f t="shared" si="276"/>
        <v>0</v>
      </c>
      <c r="AH332">
        <f t="shared" si="277"/>
        <v>0</v>
      </c>
      <c r="AI332">
        <f t="shared" si="278"/>
        <v>0</v>
      </c>
      <c r="AJ332">
        <f t="shared" si="279"/>
        <v>0</v>
      </c>
      <c r="AK332">
        <f t="shared" si="280"/>
        <v>0</v>
      </c>
      <c r="AL332">
        <f t="shared" si="281"/>
        <v>0</v>
      </c>
      <c r="AM332">
        <f t="shared" si="282"/>
        <v>0</v>
      </c>
      <c r="AN332">
        <f t="shared" si="283"/>
        <v>0</v>
      </c>
      <c r="AO332">
        <f t="shared" si="284"/>
        <v>0</v>
      </c>
      <c r="AP332">
        <f t="shared" si="285"/>
        <v>0</v>
      </c>
      <c r="AQ332">
        <f t="shared" si="286"/>
        <v>0</v>
      </c>
      <c r="AR332">
        <f t="shared" si="287"/>
        <v>0</v>
      </c>
      <c r="AS332">
        <f t="shared" si="288"/>
        <v>0</v>
      </c>
      <c r="AT332">
        <f t="shared" si="289"/>
        <v>0</v>
      </c>
      <c r="AU332">
        <f t="shared" si="290"/>
        <v>0</v>
      </c>
      <c r="AV332">
        <f t="shared" si="291"/>
        <v>0</v>
      </c>
      <c r="AW332">
        <f t="shared" si="245"/>
        <v>0</v>
      </c>
      <c r="AX332">
        <f t="shared" si="292"/>
        <v>0</v>
      </c>
      <c r="AY332">
        <f t="shared" si="293"/>
        <v>0</v>
      </c>
    </row>
    <row r="333" spans="1:51" x14ac:dyDescent="0.35">
      <c r="A333">
        <v>327</v>
      </c>
      <c r="C333">
        <f t="shared" si="246"/>
        <v>0</v>
      </c>
      <c r="D333">
        <f t="shared" si="247"/>
        <v>0</v>
      </c>
      <c r="E333">
        <f t="shared" si="248"/>
        <v>0</v>
      </c>
      <c r="F333">
        <f t="shared" si="249"/>
        <v>0</v>
      </c>
      <c r="G333">
        <f t="shared" si="250"/>
        <v>0</v>
      </c>
      <c r="H333">
        <f t="shared" si="251"/>
        <v>0</v>
      </c>
      <c r="I333">
        <f t="shared" si="252"/>
        <v>0</v>
      </c>
      <c r="J333">
        <f t="shared" si="253"/>
        <v>0</v>
      </c>
      <c r="K333">
        <f t="shared" si="254"/>
        <v>0</v>
      </c>
      <c r="L333">
        <f t="shared" si="255"/>
        <v>0</v>
      </c>
      <c r="M333">
        <f t="shared" si="256"/>
        <v>0</v>
      </c>
      <c r="N333">
        <f t="shared" si="257"/>
        <v>0</v>
      </c>
      <c r="O333">
        <f t="shared" si="258"/>
        <v>0</v>
      </c>
      <c r="P333">
        <f t="shared" si="259"/>
        <v>0</v>
      </c>
      <c r="Q333">
        <f t="shared" si="260"/>
        <v>0</v>
      </c>
      <c r="R333">
        <f t="shared" si="261"/>
        <v>0</v>
      </c>
      <c r="S333">
        <f t="shared" si="262"/>
        <v>0</v>
      </c>
      <c r="T333">
        <f t="shared" si="263"/>
        <v>0</v>
      </c>
      <c r="U333">
        <f t="shared" si="264"/>
        <v>0</v>
      </c>
      <c r="V333">
        <f t="shared" si="265"/>
        <v>0</v>
      </c>
      <c r="W333">
        <f t="shared" si="266"/>
        <v>0</v>
      </c>
      <c r="X333">
        <f t="shared" si="267"/>
        <v>0</v>
      </c>
      <c r="Y333">
        <f t="shared" si="268"/>
        <v>0</v>
      </c>
      <c r="Z333">
        <f t="shared" si="269"/>
        <v>0</v>
      </c>
      <c r="AA333">
        <f t="shared" si="270"/>
        <v>0</v>
      </c>
      <c r="AB333">
        <f t="shared" si="271"/>
        <v>0</v>
      </c>
      <c r="AC333">
        <f t="shared" si="272"/>
        <v>0</v>
      </c>
      <c r="AD333">
        <f t="shared" si="273"/>
        <v>0</v>
      </c>
      <c r="AE333">
        <f t="shared" si="274"/>
        <v>0</v>
      </c>
      <c r="AF333">
        <f t="shared" si="275"/>
        <v>0</v>
      </c>
      <c r="AG333">
        <f t="shared" si="276"/>
        <v>0</v>
      </c>
      <c r="AH333">
        <f t="shared" si="277"/>
        <v>0</v>
      </c>
      <c r="AI333">
        <f t="shared" si="278"/>
        <v>0</v>
      </c>
      <c r="AJ333">
        <f t="shared" si="279"/>
        <v>0</v>
      </c>
      <c r="AK333">
        <f t="shared" si="280"/>
        <v>0</v>
      </c>
      <c r="AL333">
        <f t="shared" si="281"/>
        <v>0</v>
      </c>
      <c r="AM333">
        <f t="shared" si="282"/>
        <v>0</v>
      </c>
      <c r="AN333">
        <f t="shared" si="283"/>
        <v>0</v>
      </c>
      <c r="AO333">
        <f t="shared" si="284"/>
        <v>0</v>
      </c>
      <c r="AP333">
        <f t="shared" si="285"/>
        <v>0</v>
      </c>
      <c r="AQ333">
        <f t="shared" si="286"/>
        <v>0</v>
      </c>
      <c r="AR333">
        <f t="shared" si="287"/>
        <v>0</v>
      </c>
      <c r="AS333">
        <f t="shared" si="288"/>
        <v>0</v>
      </c>
      <c r="AT333">
        <f t="shared" si="289"/>
        <v>0</v>
      </c>
      <c r="AU333">
        <f t="shared" si="290"/>
        <v>0</v>
      </c>
      <c r="AV333">
        <f t="shared" si="291"/>
        <v>0</v>
      </c>
      <c r="AW333">
        <f t="shared" si="245"/>
        <v>0</v>
      </c>
      <c r="AX333">
        <f t="shared" si="292"/>
        <v>0</v>
      </c>
      <c r="AY333">
        <f t="shared" si="293"/>
        <v>0</v>
      </c>
    </row>
    <row r="334" spans="1:51" x14ac:dyDescent="0.35">
      <c r="A334">
        <v>328</v>
      </c>
      <c r="C334">
        <f t="shared" si="246"/>
        <v>0</v>
      </c>
      <c r="D334">
        <f t="shared" si="247"/>
        <v>0</v>
      </c>
      <c r="E334">
        <f t="shared" si="248"/>
        <v>0</v>
      </c>
      <c r="F334">
        <f t="shared" si="249"/>
        <v>0</v>
      </c>
      <c r="G334">
        <f t="shared" si="250"/>
        <v>0</v>
      </c>
      <c r="H334">
        <f t="shared" si="251"/>
        <v>0</v>
      </c>
      <c r="I334">
        <f t="shared" si="252"/>
        <v>0</v>
      </c>
      <c r="J334">
        <f t="shared" si="253"/>
        <v>0</v>
      </c>
      <c r="K334">
        <f t="shared" si="254"/>
        <v>0</v>
      </c>
      <c r="L334">
        <f t="shared" si="255"/>
        <v>0</v>
      </c>
      <c r="M334">
        <f t="shared" si="256"/>
        <v>0</v>
      </c>
      <c r="N334">
        <f t="shared" si="257"/>
        <v>0</v>
      </c>
      <c r="O334">
        <f t="shared" si="258"/>
        <v>0</v>
      </c>
      <c r="P334">
        <f t="shared" si="259"/>
        <v>0</v>
      </c>
      <c r="Q334">
        <f t="shared" si="260"/>
        <v>0</v>
      </c>
      <c r="R334">
        <f t="shared" si="261"/>
        <v>0</v>
      </c>
      <c r="S334">
        <f t="shared" si="262"/>
        <v>0</v>
      </c>
      <c r="T334">
        <f t="shared" si="263"/>
        <v>0</v>
      </c>
      <c r="U334">
        <f t="shared" si="264"/>
        <v>0</v>
      </c>
      <c r="V334">
        <f t="shared" si="265"/>
        <v>0</v>
      </c>
      <c r="W334">
        <f t="shared" si="266"/>
        <v>0</v>
      </c>
      <c r="X334">
        <f t="shared" si="267"/>
        <v>0</v>
      </c>
      <c r="Y334">
        <f t="shared" si="268"/>
        <v>0</v>
      </c>
      <c r="Z334">
        <f t="shared" si="269"/>
        <v>0</v>
      </c>
      <c r="AA334">
        <f t="shared" si="270"/>
        <v>0</v>
      </c>
      <c r="AB334">
        <f t="shared" si="271"/>
        <v>0</v>
      </c>
      <c r="AC334">
        <f t="shared" si="272"/>
        <v>0</v>
      </c>
      <c r="AD334">
        <f t="shared" si="273"/>
        <v>0</v>
      </c>
      <c r="AE334">
        <f t="shared" si="274"/>
        <v>0</v>
      </c>
      <c r="AF334">
        <f t="shared" si="275"/>
        <v>0</v>
      </c>
      <c r="AG334">
        <f t="shared" si="276"/>
        <v>0</v>
      </c>
      <c r="AH334">
        <f t="shared" si="277"/>
        <v>0</v>
      </c>
      <c r="AI334">
        <f t="shared" si="278"/>
        <v>0</v>
      </c>
      <c r="AJ334">
        <f t="shared" si="279"/>
        <v>0</v>
      </c>
      <c r="AK334">
        <f t="shared" si="280"/>
        <v>0</v>
      </c>
      <c r="AL334">
        <f t="shared" si="281"/>
        <v>0</v>
      </c>
      <c r="AM334">
        <f t="shared" si="282"/>
        <v>0</v>
      </c>
      <c r="AN334">
        <f t="shared" si="283"/>
        <v>0</v>
      </c>
      <c r="AO334">
        <f t="shared" si="284"/>
        <v>0</v>
      </c>
      <c r="AP334">
        <f t="shared" si="285"/>
        <v>0</v>
      </c>
      <c r="AQ334">
        <f t="shared" si="286"/>
        <v>0</v>
      </c>
      <c r="AR334">
        <f t="shared" si="287"/>
        <v>0</v>
      </c>
      <c r="AS334">
        <f t="shared" si="288"/>
        <v>0</v>
      </c>
      <c r="AT334">
        <f t="shared" si="289"/>
        <v>0</v>
      </c>
      <c r="AU334">
        <f t="shared" si="290"/>
        <v>0</v>
      </c>
      <c r="AV334">
        <f t="shared" si="291"/>
        <v>0</v>
      </c>
      <c r="AW334">
        <f t="shared" si="245"/>
        <v>0</v>
      </c>
      <c r="AX334">
        <f t="shared" si="292"/>
        <v>0</v>
      </c>
      <c r="AY334">
        <f t="shared" si="293"/>
        <v>0</v>
      </c>
    </row>
    <row r="335" spans="1:51" x14ac:dyDescent="0.35">
      <c r="A335">
        <v>329</v>
      </c>
      <c r="C335">
        <f t="shared" si="246"/>
        <v>0</v>
      </c>
      <c r="D335">
        <f t="shared" si="247"/>
        <v>0</v>
      </c>
      <c r="E335">
        <f t="shared" si="248"/>
        <v>0</v>
      </c>
      <c r="F335">
        <f t="shared" si="249"/>
        <v>0</v>
      </c>
      <c r="G335">
        <f t="shared" si="250"/>
        <v>0</v>
      </c>
      <c r="H335">
        <f t="shared" si="251"/>
        <v>0</v>
      </c>
      <c r="I335">
        <f t="shared" si="252"/>
        <v>0</v>
      </c>
      <c r="J335">
        <f t="shared" si="253"/>
        <v>0</v>
      </c>
      <c r="K335">
        <f t="shared" si="254"/>
        <v>0</v>
      </c>
      <c r="L335">
        <f t="shared" si="255"/>
        <v>0</v>
      </c>
      <c r="M335">
        <f t="shared" si="256"/>
        <v>0</v>
      </c>
      <c r="N335">
        <f t="shared" si="257"/>
        <v>0</v>
      </c>
      <c r="O335">
        <f t="shared" si="258"/>
        <v>0</v>
      </c>
      <c r="P335">
        <f t="shared" si="259"/>
        <v>0</v>
      </c>
      <c r="Q335">
        <f t="shared" si="260"/>
        <v>0</v>
      </c>
      <c r="R335">
        <f t="shared" si="261"/>
        <v>0</v>
      </c>
      <c r="S335">
        <f t="shared" si="262"/>
        <v>0</v>
      </c>
      <c r="T335">
        <f t="shared" si="263"/>
        <v>0</v>
      </c>
      <c r="U335">
        <f t="shared" si="264"/>
        <v>0</v>
      </c>
      <c r="V335">
        <f t="shared" si="265"/>
        <v>0</v>
      </c>
      <c r="W335">
        <f t="shared" si="266"/>
        <v>0</v>
      </c>
      <c r="X335">
        <f t="shared" si="267"/>
        <v>0</v>
      </c>
      <c r="Y335">
        <f t="shared" si="268"/>
        <v>0</v>
      </c>
      <c r="Z335">
        <f t="shared" si="269"/>
        <v>0</v>
      </c>
      <c r="AA335">
        <f t="shared" si="270"/>
        <v>0</v>
      </c>
      <c r="AB335">
        <f t="shared" si="271"/>
        <v>0</v>
      </c>
      <c r="AC335">
        <f t="shared" si="272"/>
        <v>0</v>
      </c>
      <c r="AD335">
        <f t="shared" si="273"/>
        <v>0</v>
      </c>
      <c r="AE335">
        <f t="shared" si="274"/>
        <v>0</v>
      </c>
      <c r="AF335">
        <f t="shared" si="275"/>
        <v>0</v>
      </c>
      <c r="AG335">
        <f t="shared" si="276"/>
        <v>0</v>
      </c>
      <c r="AH335">
        <f t="shared" si="277"/>
        <v>0</v>
      </c>
      <c r="AI335">
        <f t="shared" si="278"/>
        <v>0</v>
      </c>
      <c r="AJ335">
        <f t="shared" si="279"/>
        <v>0</v>
      </c>
      <c r="AK335">
        <f t="shared" si="280"/>
        <v>0</v>
      </c>
      <c r="AL335">
        <f t="shared" si="281"/>
        <v>0</v>
      </c>
      <c r="AM335">
        <f t="shared" si="282"/>
        <v>0</v>
      </c>
      <c r="AN335">
        <f t="shared" si="283"/>
        <v>0</v>
      </c>
      <c r="AO335">
        <f t="shared" si="284"/>
        <v>0</v>
      </c>
      <c r="AP335">
        <f t="shared" si="285"/>
        <v>0</v>
      </c>
      <c r="AQ335">
        <f t="shared" si="286"/>
        <v>0</v>
      </c>
      <c r="AR335">
        <f t="shared" si="287"/>
        <v>0</v>
      </c>
      <c r="AS335">
        <f t="shared" si="288"/>
        <v>0</v>
      </c>
      <c r="AT335">
        <f t="shared" si="289"/>
        <v>0</v>
      </c>
      <c r="AU335">
        <f t="shared" si="290"/>
        <v>0</v>
      </c>
      <c r="AV335">
        <f t="shared" si="291"/>
        <v>0</v>
      </c>
      <c r="AW335">
        <f t="shared" si="245"/>
        <v>0</v>
      </c>
      <c r="AX335">
        <f t="shared" si="292"/>
        <v>0</v>
      </c>
      <c r="AY335">
        <f t="shared" si="293"/>
        <v>0</v>
      </c>
    </row>
    <row r="336" spans="1:51" x14ac:dyDescent="0.35">
      <c r="A336">
        <v>330</v>
      </c>
      <c r="C336">
        <f t="shared" si="246"/>
        <v>0</v>
      </c>
      <c r="D336">
        <f t="shared" si="247"/>
        <v>0</v>
      </c>
      <c r="E336">
        <f t="shared" si="248"/>
        <v>0</v>
      </c>
      <c r="F336">
        <f t="shared" si="249"/>
        <v>0</v>
      </c>
      <c r="G336">
        <f t="shared" si="250"/>
        <v>0</v>
      </c>
      <c r="H336">
        <f t="shared" si="251"/>
        <v>0</v>
      </c>
      <c r="I336">
        <f t="shared" si="252"/>
        <v>0</v>
      </c>
      <c r="J336">
        <f t="shared" si="253"/>
        <v>0</v>
      </c>
      <c r="K336">
        <f t="shared" si="254"/>
        <v>0</v>
      </c>
      <c r="L336">
        <f t="shared" si="255"/>
        <v>0</v>
      </c>
      <c r="M336">
        <f t="shared" si="256"/>
        <v>0</v>
      </c>
      <c r="N336">
        <f t="shared" si="257"/>
        <v>0</v>
      </c>
      <c r="O336">
        <f t="shared" si="258"/>
        <v>0</v>
      </c>
      <c r="P336">
        <f t="shared" si="259"/>
        <v>0</v>
      </c>
      <c r="Q336">
        <f t="shared" si="260"/>
        <v>0</v>
      </c>
      <c r="R336">
        <f t="shared" si="261"/>
        <v>0</v>
      </c>
      <c r="S336">
        <f t="shared" si="262"/>
        <v>0</v>
      </c>
      <c r="T336">
        <f t="shared" si="263"/>
        <v>0</v>
      </c>
      <c r="U336">
        <f t="shared" si="264"/>
        <v>0</v>
      </c>
      <c r="V336">
        <f t="shared" si="265"/>
        <v>0</v>
      </c>
      <c r="W336">
        <f t="shared" si="266"/>
        <v>0</v>
      </c>
      <c r="X336">
        <f t="shared" si="267"/>
        <v>0</v>
      </c>
      <c r="Y336">
        <f t="shared" si="268"/>
        <v>0</v>
      </c>
      <c r="Z336">
        <f t="shared" si="269"/>
        <v>0</v>
      </c>
      <c r="AA336">
        <f t="shared" si="270"/>
        <v>0</v>
      </c>
      <c r="AB336">
        <f t="shared" si="271"/>
        <v>0</v>
      </c>
      <c r="AC336">
        <f t="shared" si="272"/>
        <v>0</v>
      </c>
      <c r="AD336">
        <f t="shared" si="273"/>
        <v>0</v>
      </c>
      <c r="AE336">
        <f t="shared" si="274"/>
        <v>0</v>
      </c>
      <c r="AF336">
        <f t="shared" si="275"/>
        <v>0</v>
      </c>
      <c r="AG336">
        <f t="shared" si="276"/>
        <v>0</v>
      </c>
      <c r="AH336">
        <f t="shared" si="277"/>
        <v>0</v>
      </c>
      <c r="AI336">
        <f t="shared" si="278"/>
        <v>0</v>
      </c>
      <c r="AJ336">
        <f t="shared" si="279"/>
        <v>0</v>
      </c>
      <c r="AK336">
        <f t="shared" si="280"/>
        <v>0</v>
      </c>
      <c r="AL336">
        <f t="shared" si="281"/>
        <v>0</v>
      </c>
      <c r="AM336">
        <f t="shared" si="282"/>
        <v>0</v>
      </c>
      <c r="AN336">
        <f t="shared" si="283"/>
        <v>0</v>
      </c>
      <c r="AO336">
        <f t="shared" si="284"/>
        <v>0</v>
      </c>
      <c r="AP336">
        <f t="shared" si="285"/>
        <v>0</v>
      </c>
      <c r="AQ336">
        <f t="shared" si="286"/>
        <v>0</v>
      </c>
      <c r="AR336">
        <f t="shared" si="287"/>
        <v>0</v>
      </c>
      <c r="AS336">
        <f t="shared" si="288"/>
        <v>0</v>
      </c>
      <c r="AT336">
        <f t="shared" si="289"/>
        <v>0</v>
      </c>
      <c r="AU336">
        <f t="shared" si="290"/>
        <v>0</v>
      </c>
      <c r="AV336">
        <f t="shared" si="291"/>
        <v>0</v>
      </c>
      <c r="AW336">
        <f t="shared" si="245"/>
        <v>0</v>
      </c>
      <c r="AX336">
        <f t="shared" si="292"/>
        <v>0</v>
      </c>
      <c r="AY336">
        <f t="shared" si="293"/>
        <v>0</v>
      </c>
    </row>
    <row r="337" spans="1:51" x14ac:dyDescent="0.35">
      <c r="A337">
        <v>331</v>
      </c>
      <c r="C337">
        <f t="shared" si="246"/>
        <v>0</v>
      </c>
      <c r="D337">
        <f t="shared" si="247"/>
        <v>0</v>
      </c>
      <c r="E337">
        <f t="shared" si="248"/>
        <v>0</v>
      </c>
      <c r="F337">
        <f t="shared" si="249"/>
        <v>0</v>
      </c>
      <c r="G337">
        <f t="shared" si="250"/>
        <v>0</v>
      </c>
      <c r="H337">
        <f t="shared" si="251"/>
        <v>0</v>
      </c>
      <c r="I337">
        <f t="shared" si="252"/>
        <v>0</v>
      </c>
      <c r="J337">
        <f t="shared" si="253"/>
        <v>0</v>
      </c>
      <c r="K337">
        <f t="shared" si="254"/>
        <v>0</v>
      </c>
      <c r="L337">
        <f t="shared" si="255"/>
        <v>0</v>
      </c>
      <c r="M337">
        <f t="shared" si="256"/>
        <v>0</v>
      </c>
      <c r="N337">
        <f t="shared" si="257"/>
        <v>0</v>
      </c>
      <c r="O337">
        <f t="shared" si="258"/>
        <v>0</v>
      </c>
      <c r="P337">
        <f t="shared" si="259"/>
        <v>0</v>
      </c>
      <c r="Q337">
        <f t="shared" si="260"/>
        <v>0</v>
      </c>
      <c r="R337">
        <f t="shared" si="261"/>
        <v>0</v>
      </c>
      <c r="S337">
        <f t="shared" si="262"/>
        <v>0</v>
      </c>
      <c r="T337">
        <f t="shared" si="263"/>
        <v>0</v>
      </c>
      <c r="U337">
        <f t="shared" si="264"/>
        <v>0</v>
      </c>
      <c r="V337">
        <f t="shared" si="265"/>
        <v>0</v>
      </c>
      <c r="W337">
        <f t="shared" si="266"/>
        <v>0</v>
      </c>
      <c r="X337">
        <f t="shared" si="267"/>
        <v>0</v>
      </c>
      <c r="Y337">
        <f t="shared" si="268"/>
        <v>0</v>
      </c>
      <c r="Z337">
        <f t="shared" si="269"/>
        <v>0</v>
      </c>
      <c r="AA337">
        <f t="shared" si="270"/>
        <v>0</v>
      </c>
      <c r="AB337">
        <f t="shared" si="271"/>
        <v>0</v>
      </c>
      <c r="AC337">
        <f t="shared" si="272"/>
        <v>0</v>
      </c>
      <c r="AD337">
        <f t="shared" si="273"/>
        <v>0</v>
      </c>
      <c r="AE337">
        <f t="shared" si="274"/>
        <v>0</v>
      </c>
      <c r="AF337">
        <f t="shared" si="275"/>
        <v>0</v>
      </c>
      <c r="AG337">
        <f t="shared" si="276"/>
        <v>0</v>
      </c>
      <c r="AH337">
        <f t="shared" si="277"/>
        <v>0</v>
      </c>
      <c r="AI337">
        <f t="shared" si="278"/>
        <v>0</v>
      </c>
      <c r="AJ337">
        <f t="shared" si="279"/>
        <v>0</v>
      </c>
      <c r="AK337">
        <f t="shared" si="280"/>
        <v>0</v>
      </c>
      <c r="AL337">
        <f t="shared" si="281"/>
        <v>0</v>
      </c>
      <c r="AM337">
        <f t="shared" si="282"/>
        <v>0</v>
      </c>
      <c r="AN337">
        <f t="shared" si="283"/>
        <v>0</v>
      </c>
      <c r="AO337">
        <f t="shared" si="284"/>
        <v>0</v>
      </c>
      <c r="AP337">
        <f t="shared" si="285"/>
        <v>0</v>
      </c>
      <c r="AQ337">
        <f t="shared" si="286"/>
        <v>0</v>
      </c>
      <c r="AR337">
        <f t="shared" si="287"/>
        <v>0</v>
      </c>
      <c r="AS337">
        <f t="shared" si="288"/>
        <v>0</v>
      </c>
      <c r="AT337">
        <f t="shared" si="289"/>
        <v>0</v>
      </c>
      <c r="AU337">
        <f t="shared" si="290"/>
        <v>0</v>
      </c>
      <c r="AV337">
        <f t="shared" si="291"/>
        <v>0</v>
      </c>
      <c r="AW337">
        <f t="shared" si="245"/>
        <v>0</v>
      </c>
      <c r="AX337">
        <f t="shared" si="292"/>
        <v>0</v>
      </c>
      <c r="AY337">
        <f t="shared" si="293"/>
        <v>0</v>
      </c>
    </row>
    <row r="338" spans="1:51" x14ac:dyDescent="0.35">
      <c r="A338">
        <v>332</v>
      </c>
      <c r="C338">
        <f t="shared" si="246"/>
        <v>0</v>
      </c>
      <c r="D338">
        <f t="shared" si="247"/>
        <v>0</v>
      </c>
      <c r="E338">
        <f t="shared" si="248"/>
        <v>0</v>
      </c>
      <c r="F338">
        <f t="shared" si="249"/>
        <v>0</v>
      </c>
      <c r="G338">
        <f t="shared" si="250"/>
        <v>0</v>
      </c>
      <c r="H338">
        <f t="shared" si="251"/>
        <v>0</v>
      </c>
      <c r="I338">
        <f t="shared" si="252"/>
        <v>0</v>
      </c>
      <c r="J338">
        <f t="shared" si="253"/>
        <v>0</v>
      </c>
      <c r="K338">
        <f t="shared" si="254"/>
        <v>0</v>
      </c>
      <c r="L338">
        <f t="shared" si="255"/>
        <v>0</v>
      </c>
      <c r="M338">
        <f t="shared" si="256"/>
        <v>0</v>
      </c>
      <c r="N338">
        <f t="shared" si="257"/>
        <v>0</v>
      </c>
      <c r="O338">
        <f t="shared" si="258"/>
        <v>0</v>
      </c>
      <c r="P338">
        <f t="shared" si="259"/>
        <v>0</v>
      </c>
      <c r="Q338">
        <f t="shared" si="260"/>
        <v>0</v>
      </c>
      <c r="R338">
        <f t="shared" si="261"/>
        <v>0</v>
      </c>
      <c r="S338">
        <f t="shared" si="262"/>
        <v>0</v>
      </c>
      <c r="T338">
        <f t="shared" si="263"/>
        <v>0</v>
      </c>
      <c r="U338">
        <f t="shared" si="264"/>
        <v>0</v>
      </c>
      <c r="V338">
        <f t="shared" si="265"/>
        <v>0</v>
      </c>
      <c r="W338">
        <f t="shared" si="266"/>
        <v>0</v>
      </c>
      <c r="X338">
        <f t="shared" si="267"/>
        <v>0</v>
      </c>
      <c r="Y338">
        <f t="shared" si="268"/>
        <v>0</v>
      </c>
      <c r="Z338">
        <f t="shared" si="269"/>
        <v>0</v>
      </c>
      <c r="AA338">
        <f t="shared" si="270"/>
        <v>0</v>
      </c>
      <c r="AB338">
        <f t="shared" si="271"/>
        <v>0</v>
      </c>
      <c r="AC338">
        <f t="shared" si="272"/>
        <v>0</v>
      </c>
      <c r="AD338">
        <f t="shared" si="273"/>
        <v>0</v>
      </c>
      <c r="AE338">
        <f t="shared" si="274"/>
        <v>0</v>
      </c>
      <c r="AF338">
        <f t="shared" si="275"/>
        <v>0</v>
      </c>
      <c r="AG338">
        <f t="shared" si="276"/>
        <v>0</v>
      </c>
      <c r="AH338">
        <f t="shared" si="277"/>
        <v>0</v>
      </c>
      <c r="AI338">
        <f t="shared" si="278"/>
        <v>0</v>
      </c>
      <c r="AJ338">
        <f t="shared" si="279"/>
        <v>0</v>
      </c>
      <c r="AK338">
        <f t="shared" si="280"/>
        <v>0</v>
      </c>
      <c r="AL338">
        <f t="shared" si="281"/>
        <v>0</v>
      </c>
      <c r="AM338">
        <f t="shared" si="282"/>
        <v>0</v>
      </c>
      <c r="AN338">
        <f t="shared" si="283"/>
        <v>0</v>
      </c>
      <c r="AO338">
        <f t="shared" si="284"/>
        <v>0</v>
      </c>
      <c r="AP338">
        <f t="shared" si="285"/>
        <v>0</v>
      </c>
      <c r="AQ338">
        <f t="shared" si="286"/>
        <v>0</v>
      </c>
      <c r="AR338">
        <f t="shared" si="287"/>
        <v>0</v>
      </c>
      <c r="AS338">
        <f t="shared" si="288"/>
        <v>0</v>
      </c>
      <c r="AT338">
        <f t="shared" si="289"/>
        <v>0</v>
      </c>
      <c r="AU338">
        <f t="shared" si="290"/>
        <v>0</v>
      </c>
      <c r="AV338">
        <f t="shared" si="291"/>
        <v>0</v>
      </c>
      <c r="AW338">
        <f t="shared" si="245"/>
        <v>0</v>
      </c>
      <c r="AX338">
        <f t="shared" si="292"/>
        <v>0</v>
      </c>
      <c r="AY338">
        <f t="shared" si="293"/>
        <v>0</v>
      </c>
    </row>
    <row r="339" spans="1:51" x14ac:dyDescent="0.35">
      <c r="A339">
        <v>333</v>
      </c>
      <c r="C339">
        <f t="shared" si="246"/>
        <v>0</v>
      </c>
      <c r="D339">
        <f t="shared" si="247"/>
        <v>0</v>
      </c>
      <c r="E339">
        <f t="shared" si="248"/>
        <v>0</v>
      </c>
      <c r="F339">
        <f t="shared" si="249"/>
        <v>0</v>
      </c>
      <c r="G339">
        <f t="shared" si="250"/>
        <v>0</v>
      </c>
      <c r="H339">
        <f t="shared" si="251"/>
        <v>0</v>
      </c>
      <c r="I339">
        <f t="shared" si="252"/>
        <v>0</v>
      </c>
      <c r="J339">
        <f t="shared" si="253"/>
        <v>0</v>
      </c>
      <c r="K339">
        <f t="shared" si="254"/>
        <v>0</v>
      </c>
      <c r="L339">
        <f t="shared" si="255"/>
        <v>0</v>
      </c>
      <c r="M339">
        <f t="shared" si="256"/>
        <v>0</v>
      </c>
      <c r="N339">
        <f t="shared" si="257"/>
        <v>0</v>
      </c>
      <c r="O339">
        <f t="shared" si="258"/>
        <v>0</v>
      </c>
      <c r="P339">
        <f t="shared" si="259"/>
        <v>0</v>
      </c>
      <c r="Q339">
        <f t="shared" si="260"/>
        <v>0</v>
      </c>
      <c r="R339">
        <f t="shared" si="261"/>
        <v>0</v>
      </c>
      <c r="S339">
        <f t="shared" si="262"/>
        <v>0</v>
      </c>
      <c r="T339">
        <f t="shared" si="263"/>
        <v>0</v>
      </c>
      <c r="U339">
        <f t="shared" si="264"/>
        <v>0</v>
      </c>
      <c r="V339">
        <f t="shared" si="265"/>
        <v>0</v>
      </c>
      <c r="W339">
        <f t="shared" si="266"/>
        <v>0</v>
      </c>
      <c r="X339">
        <f t="shared" si="267"/>
        <v>0</v>
      </c>
      <c r="Y339">
        <f t="shared" si="268"/>
        <v>0</v>
      </c>
      <c r="Z339">
        <f t="shared" si="269"/>
        <v>0</v>
      </c>
      <c r="AA339">
        <f t="shared" si="270"/>
        <v>0</v>
      </c>
      <c r="AB339">
        <f t="shared" si="271"/>
        <v>0</v>
      </c>
      <c r="AC339">
        <f t="shared" si="272"/>
        <v>0</v>
      </c>
      <c r="AD339">
        <f t="shared" si="273"/>
        <v>0</v>
      </c>
      <c r="AE339">
        <f t="shared" si="274"/>
        <v>0</v>
      </c>
      <c r="AF339">
        <f t="shared" si="275"/>
        <v>0</v>
      </c>
      <c r="AG339">
        <f t="shared" si="276"/>
        <v>0</v>
      </c>
      <c r="AH339">
        <f t="shared" si="277"/>
        <v>0</v>
      </c>
      <c r="AI339">
        <f t="shared" si="278"/>
        <v>0</v>
      </c>
      <c r="AJ339">
        <f t="shared" si="279"/>
        <v>0</v>
      </c>
      <c r="AK339">
        <f t="shared" si="280"/>
        <v>0</v>
      </c>
      <c r="AL339">
        <f t="shared" si="281"/>
        <v>0</v>
      </c>
      <c r="AM339">
        <f t="shared" si="282"/>
        <v>0</v>
      </c>
      <c r="AN339">
        <f t="shared" si="283"/>
        <v>0</v>
      </c>
      <c r="AO339">
        <f t="shared" si="284"/>
        <v>0</v>
      </c>
      <c r="AP339">
        <f t="shared" si="285"/>
        <v>0</v>
      </c>
      <c r="AQ339">
        <f t="shared" si="286"/>
        <v>0</v>
      </c>
      <c r="AR339">
        <f t="shared" si="287"/>
        <v>0</v>
      </c>
      <c r="AS339">
        <f t="shared" si="288"/>
        <v>0</v>
      </c>
      <c r="AT339">
        <f t="shared" si="289"/>
        <v>0</v>
      </c>
      <c r="AU339">
        <f t="shared" si="290"/>
        <v>0</v>
      </c>
      <c r="AV339">
        <f t="shared" si="291"/>
        <v>0</v>
      </c>
      <c r="AW339">
        <f t="shared" si="245"/>
        <v>0</v>
      </c>
      <c r="AX339">
        <f t="shared" si="292"/>
        <v>0</v>
      </c>
      <c r="AY339">
        <f t="shared" si="293"/>
        <v>0</v>
      </c>
    </row>
    <row r="340" spans="1:51" x14ac:dyDescent="0.35">
      <c r="A340">
        <v>334</v>
      </c>
      <c r="C340">
        <f t="shared" si="246"/>
        <v>0</v>
      </c>
      <c r="D340">
        <f t="shared" si="247"/>
        <v>0</v>
      </c>
      <c r="E340">
        <f t="shared" si="248"/>
        <v>0</v>
      </c>
      <c r="F340">
        <f t="shared" si="249"/>
        <v>0</v>
      </c>
      <c r="G340">
        <f t="shared" si="250"/>
        <v>0</v>
      </c>
      <c r="H340">
        <f t="shared" si="251"/>
        <v>0</v>
      </c>
      <c r="I340">
        <f t="shared" si="252"/>
        <v>0</v>
      </c>
      <c r="J340">
        <f t="shared" si="253"/>
        <v>0</v>
      </c>
      <c r="K340">
        <f t="shared" si="254"/>
        <v>0</v>
      </c>
      <c r="L340">
        <f t="shared" si="255"/>
        <v>0</v>
      </c>
      <c r="M340">
        <f t="shared" si="256"/>
        <v>0</v>
      </c>
      <c r="N340">
        <f t="shared" si="257"/>
        <v>0</v>
      </c>
      <c r="O340">
        <f t="shared" si="258"/>
        <v>0</v>
      </c>
      <c r="P340">
        <f t="shared" si="259"/>
        <v>0</v>
      </c>
      <c r="Q340">
        <f t="shared" si="260"/>
        <v>0</v>
      </c>
      <c r="R340">
        <f t="shared" si="261"/>
        <v>0</v>
      </c>
      <c r="S340">
        <f t="shared" si="262"/>
        <v>0</v>
      </c>
      <c r="T340">
        <f t="shared" si="263"/>
        <v>0</v>
      </c>
      <c r="U340">
        <f t="shared" si="264"/>
        <v>0</v>
      </c>
      <c r="V340">
        <f t="shared" si="265"/>
        <v>0</v>
      </c>
      <c r="W340">
        <f t="shared" si="266"/>
        <v>0</v>
      </c>
      <c r="X340">
        <f t="shared" si="267"/>
        <v>0</v>
      </c>
      <c r="Y340">
        <f t="shared" si="268"/>
        <v>0</v>
      </c>
      <c r="Z340">
        <f t="shared" si="269"/>
        <v>0</v>
      </c>
      <c r="AA340">
        <f t="shared" si="270"/>
        <v>0</v>
      </c>
      <c r="AB340">
        <f t="shared" si="271"/>
        <v>0</v>
      </c>
      <c r="AC340">
        <f t="shared" si="272"/>
        <v>0</v>
      </c>
      <c r="AD340">
        <f t="shared" si="273"/>
        <v>0</v>
      </c>
      <c r="AE340">
        <f t="shared" si="274"/>
        <v>0</v>
      </c>
      <c r="AF340">
        <f t="shared" si="275"/>
        <v>0</v>
      </c>
      <c r="AG340">
        <f t="shared" si="276"/>
        <v>0</v>
      </c>
      <c r="AH340">
        <f t="shared" si="277"/>
        <v>0</v>
      </c>
      <c r="AI340">
        <f t="shared" si="278"/>
        <v>0</v>
      </c>
      <c r="AJ340">
        <f t="shared" si="279"/>
        <v>0</v>
      </c>
      <c r="AK340">
        <f t="shared" si="280"/>
        <v>0</v>
      </c>
      <c r="AL340">
        <f t="shared" si="281"/>
        <v>0</v>
      </c>
      <c r="AM340">
        <f t="shared" si="282"/>
        <v>0</v>
      </c>
      <c r="AN340">
        <f t="shared" si="283"/>
        <v>0</v>
      </c>
      <c r="AO340">
        <f t="shared" si="284"/>
        <v>0</v>
      </c>
      <c r="AP340">
        <f t="shared" si="285"/>
        <v>0</v>
      </c>
      <c r="AQ340">
        <f t="shared" si="286"/>
        <v>0</v>
      </c>
      <c r="AR340">
        <f t="shared" si="287"/>
        <v>0</v>
      </c>
      <c r="AS340">
        <f t="shared" si="288"/>
        <v>0</v>
      </c>
      <c r="AT340">
        <f t="shared" si="289"/>
        <v>0</v>
      </c>
      <c r="AU340">
        <f t="shared" si="290"/>
        <v>0</v>
      </c>
      <c r="AV340">
        <f t="shared" si="291"/>
        <v>0</v>
      </c>
      <c r="AW340">
        <f t="shared" si="245"/>
        <v>0</v>
      </c>
      <c r="AX340">
        <f t="shared" si="292"/>
        <v>0</v>
      </c>
      <c r="AY340">
        <f t="shared" si="293"/>
        <v>0</v>
      </c>
    </row>
    <row r="341" spans="1:51" x14ac:dyDescent="0.35">
      <c r="A341">
        <v>335</v>
      </c>
      <c r="C341">
        <f t="shared" si="246"/>
        <v>0</v>
      </c>
      <c r="D341">
        <f t="shared" si="247"/>
        <v>0</v>
      </c>
      <c r="E341">
        <f t="shared" si="248"/>
        <v>0</v>
      </c>
      <c r="F341">
        <f t="shared" si="249"/>
        <v>0</v>
      </c>
      <c r="G341">
        <f t="shared" si="250"/>
        <v>0</v>
      </c>
      <c r="H341">
        <f t="shared" si="251"/>
        <v>0</v>
      </c>
      <c r="I341">
        <f t="shared" si="252"/>
        <v>0</v>
      </c>
      <c r="J341">
        <f t="shared" si="253"/>
        <v>0</v>
      </c>
      <c r="K341">
        <f t="shared" si="254"/>
        <v>0</v>
      </c>
      <c r="L341">
        <f t="shared" si="255"/>
        <v>0</v>
      </c>
      <c r="M341">
        <f t="shared" si="256"/>
        <v>0</v>
      </c>
      <c r="N341">
        <f t="shared" si="257"/>
        <v>0</v>
      </c>
      <c r="O341">
        <f t="shared" si="258"/>
        <v>0</v>
      </c>
      <c r="P341">
        <f t="shared" si="259"/>
        <v>0</v>
      </c>
      <c r="Q341">
        <f t="shared" si="260"/>
        <v>0</v>
      </c>
      <c r="R341">
        <f t="shared" si="261"/>
        <v>0</v>
      </c>
      <c r="S341">
        <f t="shared" si="262"/>
        <v>0</v>
      </c>
      <c r="T341">
        <f t="shared" si="263"/>
        <v>0</v>
      </c>
      <c r="U341">
        <f t="shared" si="264"/>
        <v>0</v>
      </c>
      <c r="V341">
        <f t="shared" si="265"/>
        <v>0</v>
      </c>
      <c r="W341">
        <f t="shared" si="266"/>
        <v>0</v>
      </c>
      <c r="X341">
        <f t="shared" si="267"/>
        <v>0</v>
      </c>
      <c r="Y341">
        <f t="shared" si="268"/>
        <v>0</v>
      </c>
      <c r="Z341">
        <f t="shared" si="269"/>
        <v>0</v>
      </c>
      <c r="AA341">
        <f t="shared" si="270"/>
        <v>0</v>
      </c>
      <c r="AB341">
        <f t="shared" si="271"/>
        <v>0</v>
      </c>
      <c r="AC341">
        <f t="shared" si="272"/>
        <v>0</v>
      </c>
      <c r="AD341">
        <f t="shared" si="273"/>
        <v>0</v>
      </c>
      <c r="AE341">
        <f t="shared" si="274"/>
        <v>0</v>
      </c>
      <c r="AF341">
        <f t="shared" si="275"/>
        <v>0</v>
      </c>
      <c r="AG341">
        <f t="shared" si="276"/>
        <v>0</v>
      </c>
      <c r="AH341">
        <f t="shared" si="277"/>
        <v>0</v>
      </c>
      <c r="AI341">
        <f t="shared" si="278"/>
        <v>0</v>
      </c>
      <c r="AJ341">
        <f t="shared" si="279"/>
        <v>0</v>
      </c>
      <c r="AK341">
        <f t="shared" si="280"/>
        <v>0</v>
      </c>
      <c r="AL341">
        <f t="shared" si="281"/>
        <v>0</v>
      </c>
      <c r="AM341">
        <f t="shared" si="282"/>
        <v>0</v>
      </c>
      <c r="AN341">
        <f t="shared" si="283"/>
        <v>0</v>
      </c>
      <c r="AO341">
        <f t="shared" si="284"/>
        <v>0</v>
      </c>
      <c r="AP341">
        <f t="shared" si="285"/>
        <v>0</v>
      </c>
      <c r="AQ341">
        <f t="shared" si="286"/>
        <v>0</v>
      </c>
      <c r="AR341">
        <f t="shared" si="287"/>
        <v>0</v>
      </c>
      <c r="AS341">
        <f t="shared" si="288"/>
        <v>0</v>
      </c>
      <c r="AT341">
        <f t="shared" si="289"/>
        <v>0</v>
      </c>
      <c r="AU341">
        <f t="shared" si="290"/>
        <v>0</v>
      </c>
      <c r="AV341">
        <f t="shared" si="291"/>
        <v>0</v>
      </c>
      <c r="AW341">
        <f t="shared" si="245"/>
        <v>0</v>
      </c>
      <c r="AX341">
        <f t="shared" si="292"/>
        <v>0</v>
      </c>
      <c r="AY341">
        <f t="shared" si="293"/>
        <v>0</v>
      </c>
    </row>
    <row r="342" spans="1:51" x14ac:dyDescent="0.35">
      <c r="A342">
        <v>336</v>
      </c>
      <c r="C342">
        <f t="shared" si="246"/>
        <v>0</v>
      </c>
      <c r="D342">
        <f t="shared" si="247"/>
        <v>0</v>
      </c>
      <c r="E342">
        <f t="shared" si="248"/>
        <v>0</v>
      </c>
      <c r="F342">
        <f t="shared" si="249"/>
        <v>0</v>
      </c>
      <c r="G342">
        <f t="shared" si="250"/>
        <v>0</v>
      </c>
      <c r="H342">
        <f t="shared" si="251"/>
        <v>0</v>
      </c>
      <c r="I342">
        <f t="shared" si="252"/>
        <v>0</v>
      </c>
      <c r="J342">
        <f t="shared" si="253"/>
        <v>0</v>
      </c>
      <c r="K342">
        <f t="shared" si="254"/>
        <v>0</v>
      </c>
      <c r="L342">
        <f t="shared" si="255"/>
        <v>0</v>
      </c>
      <c r="M342">
        <f t="shared" si="256"/>
        <v>0</v>
      </c>
      <c r="N342">
        <f t="shared" si="257"/>
        <v>0</v>
      </c>
      <c r="O342">
        <f t="shared" si="258"/>
        <v>0</v>
      </c>
      <c r="P342">
        <f t="shared" si="259"/>
        <v>0</v>
      </c>
      <c r="Q342">
        <f t="shared" si="260"/>
        <v>0</v>
      </c>
      <c r="R342">
        <f t="shared" si="261"/>
        <v>0</v>
      </c>
      <c r="S342">
        <f t="shared" si="262"/>
        <v>0</v>
      </c>
      <c r="T342">
        <f t="shared" si="263"/>
        <v>0</v>
      </c>
      <c r="U342">
        <f t="shared" si="264"/>
        <v>0</v>
      </c>
      <c r="V342">
        <f t="shared" si="265"/>
        <v>0</v>
      </c>
      <c r="W342">
        <f t="shared" si="266"/>
        <v>0</v>
      </c>
      <c r="X342">
        <f t="shared" si="267"/>
        <v>0</v>
      </c>
      <c r="Y342">
        <f t="shared" si="268"/>
        <v>0</v>
      </c>
      <c r="Z342">
        <f t="shared" si="269"/>
        <v>0</v>
      </c>
      <c r="AA342">
        <f t="shared" si="270"/>
        <v>0</v>
      </c>
      <c r="AB342">
        <f t="shared" si="271"/>
        <v>0</v>
      </c>
      <c r="AC342">
        <f t="shared" si="272"/>
        <v>0</v>
      </c>
      <c r="AD342">
        <f t="shared" si="273"/>
        <v>0</v>
      </c>
      <c r="AE342">
        <f t="shared" si="274"/>
        <v>0</v>
      </c>
      <c r="AF342">
        <f t="shared" si="275"/>
        <v>0</v>
      </c>
      <c r="AG342">
        <f t="shared" si="276"/>
        <v>0</v>
      </c>
      <c r="AH342">
        <f t="shared" si="277"/>
        <v>0</v>
      </c>
      <c r="AI342">
        <f t="shared" si="278"/>
        <v>0</v>
      </c>
      <c r="AJ342">
        <f t="shared" si="279"/>
        <v>0</v>
      </c>
      <c r="AK342">
        <f t="shared" si="280"/>
        <v>0</v>
      </c>
      <c r="AL342">
        <f t="shared" si="281"/>
        <v>0</v>
      </c>
      <c r="AM342">
        <f t="shared" si="282"/>
        <v>0</v>
      </c>
      <c r="AN342">
        <f t="shared" si="283"/>
        <v>0</v>
      </c>
      <c r="AO342">
        <f t="shared" si="284"/>
        <v>0</v>
      </c>
      <c r="AP342">
        <f t="shared" si="285"/>
        <v>0</v>
      </c>
      <c r="AQ342">
        <f t="shared" si="286"/>
        <v>0</v>
      </c>
      <c r="AR342">
        <f t="shared" si="287"/>
        <v>0</v>
      </c>
      <c r="AS342">
        <f t="shared" si="288"/>
        <v>0</v>
      </c>
      <c r="AT342">
        <f t="shared" si="289"/>
        <v>0</v>
      </c>
      <c r="AU342">
        <f t="shared" si="290"/>
        <v>0</v>
      </c>
      <c r="AV342">
        <f t="shared" si="291"/>
        <v>0</v>
      </c>
      <c r="AW342">
        <f t="shared" si="245"/>
        <v>0</v>
      </c>
      <c r="AX342">
        <f t="shared" si="292"/>
        <v>0</v>
      </c>
      <c r="AY342">
        <f t="shared" si="293"/>
        <v>0</v>
      </c>
    </row>
    <row r="343" spans="1:51" x14ac:dyDescent="0.35">
      <c r="A343">
        <v>337</v>
      </c>
      <c r="C343">
        <f t="shared" si="246"/>
        <v>0</v>
      </c>
      <c r="D343">
        <f t="shared" si="247"/>
        <v>0</v>
      </c>
      <c r="E343">
        <f t="shared" si="248"/>
        <v>0</v>
      </c>
      <c r="F343">
        <f t="shared" si="249"/>
        <v>0</v>
      </c>
      <c r="G343">
        <f t="shared" si="250"/>
        <v>0</v>
      </c>
      <c r="H343">
        <f t="shared" si="251"/>
        <v>0</v>
      </c>
      <c r="I343">
        <f t="shared" si="252"/>
        <v>0</v>
      </c>
      <c r="J343">
        <f t="shared" si="253"/>
        <v>0</v>
      </c>
      <c r="K343">
        <f t="shared" si="254"/>
        <v>0</v>
      </c>
      <c r="L343">
        <f t="shared" si="255"/>
        <v>0</v>
      </c>
      <c r="M343">
        <f t="shared" si="256"/>
        <v>0</v>
      </c>
      <c r="N343">
        <f t="shared" si="257"/>
        <v>0</v>
      </c>
      <c r="O343">
        <f t="shared" si="258"/>
        <v>0</v>
      </c>
      <c r="P343">
        <f t="shared" si="259"/>
        <v>0</v>
      </c>
      <c r="Q343">
        <f t="shared" si="260"/>
        <v>0</v>
      </c>
      <c r="R343">
        <f t="shared" si="261"/>
        <v>0</v>
      </c>
      <c r="S343">
        <f t="shared" si="262"/>
        <v>0</v>
      </c>
      <c r="T343">
        <f t="shared" si="263"/>
        <v>0</v>
      </c>
      <c r="U343">
        <f t="shared" si="264"/>
        <v>0</v>
      </c>
      <c r="V343">
        <f t="shared" si="265"/>
        <v>0</v>
      </c>
      <c r="W343">
        <f t="shared" si="266"/>
        <v>0</v>
      </c>
      <c r="X343">
        <f t="shared" si="267"/>
        <v>0</v>
      </c>
      <c r="Y343">
        <f t="shared" si="268"/>
        <v>0</v>
      </c>
      <c r="Z343">
        <f t="shared" si="269"/>
        <v>0</v>
      </c>
      <c r="AA343">
        <f t="shared" si="270"/>
        <v>0</v>
      </c>
      <c r="AB343">
        <f t="shared" si="271"/>
        <v>0</v>
      </c>
      <c r="AC343">
        <f t="shared" si="272"/>
        <v>0</v>
      </c>
      <c r="AD343">
        <f t="shared" si="273"/>
        <v>0</v>
      </c>
      <c r="AE343">
        <f t="shared" si="274"/>
        <v>0</v>
      </c>
      <c r="AF343">
        <f t="shared" si="275"/>
        <v>0</v>
      </c>
      <c r="AG343">
        <f t="shared" si="276"/>
        <v>0</v>
      </c>
      <c r="AH343">
        <f t="shared" si="277"/>
        <v>0</v>
      </c>
      <c r="AI343">
        <f t="shared" si="278"/>
        <v>0</v>
      </c>
      <c r="AJ343">
        <f t="shared" si="279"/>
        <v>0</v>
      </c>
      <c r="AK343">
        <f t="shared" si="280"/>
        <v>0</v>
      </c>
      <c r="AL343">
        <f t="shared" si="281"/>
        <v>0</v>
      </c>
      <c r="AM343">
        <f t="shared" si="282"/>
        <v>0</v>
      </c>
      <c r="AN343">
        <f t="shared" si="283"/>
        <v>0</v>
      </c>
      <c r="AO343">
        <f t="shared" si="284"/>
        <v>0</v>
      </c>
      <c r="AP343">
        <f t="shared" si="285"/>
        <v>0</v>
      </c>
      <c r="AQ343">
        <f t="shared" si="286"/>
        <v>0</v>
      </c>
      <c r="AR343">
        <f t="shared" si="287"/>
        <v>0</v>
      </c>
      <c r="AS343">
        <f t="shared" si="288"/>
        <v>0</v>
      </c>
      <c r="AT343">
        <f t="shared" si="289"/>
        <v>0</v>
      </c>
      <c r="AU343">
        <f t="shared" si="290"/>
        <v>0</v>
      </c>
      <c r="AV343">
        <f t="shared" si="291"/>
        <v>0</v>
      </c>
      <c r="AW343">
        <f t="shared" si="245"/>
        <v>0</v>
      </c>
      <c r="AX343">
        <f t="shared" si="292"/>
        <v>0</v>
      </c>
      <c r="AY343">
        <f t="shared" si="293"/>
        <v>0</v>
      </c>
    </row>
    <row r="344" spans="1:51" x14ac:dyDescent="0.35">
      <c r="A344">
        <v>338</v>
      </c>
      <c r="C344">
        <f t="shared" si="246"/>
        <v>0</v>
      </c>
      <c r="D344">
        <f t="shared" si="247"/>
        <v>0</v>
      </c>
      <c r="E344">
        <f t="shared" si="248"/>
        <v>0</v>
      </c>
      <c r="F344">
        <f t="shared" si="249"/>
        <v>0</v>
      </c>
      <c r="G344">
        <f t="shared" si="250"/>
        <v>0</v>
      </c>
      <c r="H344">
        <f t="shared" si="251"/>
        <v>0</v>
      </c>
      <c r="I344">
        <f t="shared" si="252"/>
        <v>0</v>
      </c>
      <c r="J344">
        <f t="shared" si="253"/>
        <v>0</v>
      </c>
      <c r="K344">
        <f t="shared" si="254"/>
        <v>0</v>
      </c>
      <c r="L344">
        <f t="shared" si="255"/>
        <v>0</v>
      </c>
      <c r="M344">
        <f t="shared" si="256"/>
        <v>0</v>
      </c>
      <c r="N344">
        <f t="shared" si="257"/>
        <v>0</v>
      </c>
      <c r="O344">
        <f t="shared" si="258"/>
        <v>0</v>
      </c>
      <c r="P344">
        <f t="shared" si="259"/>
        <v>0</v>
      </c>
      <c r="Q344">
        <f t="shared" si="260"/>
        <v>0</v>
      </c>
      <c r="R344">
        <f t="shared" si="261"/>
        <v>0</v>
      </c>
      <c r="S344">
        <f t="shared" si="262"/>
        <v>0</v>
      </c>
      <c r="T344">
        <f t="shared" si="263"/>
        <v>0</v>
      </c>
      <c r="U344">
        <f t="shared" si="264"/>
        <v>0</v>
      </c>
      <c r="V344">
        <f t="shared" si="265"/>
        <v>0</v>
      </c>
      <c r="W344">
        <f t="shared" si="266"/>
        <v>0</v>
      </c>
      <c r="X344">
        <f t="shared" si="267"/>
        <v>0</v>
      </c>
      <c r="Y344">
        <f t="shared" si="268"/>
        <v>0</v>
      </c>
      <c r="Z344">
        <f t="shared" si="269"/>
        <v>0</v>
      </c>
      <c r="AA344">
        <f t="shared" si="270"/>
        <v>0</v>
      </c>
      <c r="AB344">
        <f t="shared" si="271"/>
        <v>0</v>
      </c>
      <c r="AC344">
        <f t="shared" si="272"/>
        <v>0</v>
      </c>
      <c r="AD344">
        <f t="shared" si="273"/>
        <v>0</v>
      </c>
      <c r="AE344">
        <f t="shared" si="274"/>
        <v>0</v>
      </c>
      <c r="AF344">
        <f t="shared" si="275"/>
        <v>0</v>
      </c>
      <c r="AG344">
        <f t="shared" si="276"/>
        <v>0</v>
      </c>
      <c r="AH344">
        <f t="shared" si="277"/>
        <v>0</v>
      </c>
      <c r="AI344">
        <f t="shared" si="278"/>
        <v>0</v>
      </c>
      <c r="AJ344">
        <f t="shared" si="279"/>
        <v>0</v>
      </c>
      <c r="AK344">
        <f t="shared" si="280"/>
        <v>0</v>
      </c>
      <c r="AL344">
        <f t="shared" si="281"/>
        <v>0</v>
      </c>
      <c r="AM344">
        <f t="shared" si="282"/>
        <v>0</v>
      </c>
      <c r="AN344">
        <f t="shared" si="283"/>
        <v>0</v>
      </c>
      <c r="AO344">
        <f t="shared" si="284"/>
        <v>0</v>
      </c>
      <c r="AP344">
        <f t="shared" si="285"/>
        <v>0</v>
      </c>
      <c r="AQ344">
        <f t="shared" si="286"/>
        <v>0</v>
      </c>
      <c r="AR344">
        <f t="shared" si="287"/>
        <v>0</v>
      </c>
      <c r="AS344">
        <f t="shared" si="288"/>
        <v>0</v>
      </c>
      <c r="AT344">
        <f t="shared" si="289"/>
        <v>0</v>
      </c>
      <c r="AU344">
        <f t="shared" si="290"/>
        <v>0</v>
      </c>
      <c r="AV344">
        <f t="shared" si="291"/>
        <v>0</v>
      </c>
      <c r="AW344">
        <f t="shared" si="245"/>
        <v>0</v>
      </c>
      <c r="AX344">
        <f t="shared" si="292"/>
        <v>0</v>
      </c>
      <c r="AY344">
        <f t="shared" si="293"/>
        <v>0</v>
      </c>
    </row>
    <row r="345" spans="1:51" x14ac:dyDescent="0.35">
      <c r="A345">
        <v>339</v>
      </c>
      <c r="C345">
        <f t="shared" si="246"/>
        <v>0</v>
      </c>
      <c r="D345">
        <f t="shared" si="247"/>
        <v>0</v>
      </c>
      <c r="E345">
        <f t="shared" si="248"/>
        <v>0</v>
      </c>
      <c r="F345">
        <f t="shared" si="249"/>
        <v>0</v>
      </c>
      <c r="G345">
        <f t="shared" si="250"/>
        <v>0</v>
      </c>
      <c r="H345">
        <f t="shared" si="251"/>
        <v>0</v>
      </c>
      <c r="I345">
        <f t="shared" si="252"/>
        <v>0</v>
      </c>
      <c r="J345">
        <f t="shared" si="253"/>
        <v>0</v>
      </c>
      <c r="K345">
        <f t="shared" si="254"/>
        <v>0</v>
      </c>
      <c r="L345">
        <f t="shared" si="255"/>
        <v>0</v>
      </c>
      <c r="M345">
        <f t="shared" si="256"/>
        <v>0</v>
      </c>
      <c r="N345">
        <f t="shared" si="257"/>
        <v>0</v>
      </c>
      <c r="O345">
        <f t="shared" si="258"/>
        <v>0</v>
      </c>
      <c r="P345">
        <f t="shared" si="259"/>
        <v>0</v>
      </c>
      <c r="Q345">
        <f t="shared" si="260"/>
        <v>0</v>
      </c>
      <c r="R345">
        <f t="shared" si="261"/>
        <v>0</v>
      </c>
      <c r="S345">
        <f t="shared" si="262"/>
        <v>0</v>
      </c>
      <c r="T345">
        <f t="shared" si="263"/>
        <v>0</v>
      </c>
      <c r="U345">
        <f t="shared" si="264"/>
        <v>0</v>
      </c>
      <c r="V345">
        <f t="shared" si="265"/>
        <v>0</v>
      </c>
      <c r="W345">
        <f t="shared" si="266"/>
        <v>0</v>
      </c>
      <c r="X345">
        <f t="shared" si="267"/>
        <v>0</v>
      </c>
      <c r="Y345">
        <f t="shared" si="268"/>
        <v>0</v>
      </c>
      <c r="Z345">
        <f t="shared" si="269"/>
        <v>0</v>
      </c>
      <c r="AA345">
        <f t="shared" si="270"/>
        <v>0</v>
      </c>
      <c r="AB345">
        <f t="shared" si="271"/>
        <v>0</v>
      </c>
      <c r="AC345">
        <f t="shared" si="272"/>
        <v>0</v>
      </c>
      <c r="AD345">
        <f t="shared" si="273"/>
        <v>0</v>
      </c>
      <c r="AE345">
        <f t="shared" si="274"/>
        <v>0</v>
      </c>
      <c r="AF345">
        <f t="shared" si="275"/>
        <v>0</v>
      </c>
      <c r="AG345">
        <f t="shared" si="276"/>
        <v>0</v>
      </c>
      <c r="AH345">
        <f t="shared" si="277"/>
        <v>0</v>
      </c>
      <c r="AI345">
        <f t="shared" si="278"/>
        <v>0</v>
      </c>
      <c r="AJ345">
        <f t="shared" si="279"/>
        <v>0</v>
      </c>
      <c r="AK345">
        <f t="shared" si="280"/>
        <v>0</v>
      </c>
      <c r="AL345">
        <f t="shared" si="281"/>
        <v>0</v>
      </c>
      <c r="AM345">
        <f t="shared" si="282"/>
        <v>0</v>
      </c>
      <c r="AN345">
        <f t="shared" si="283"/>
        <v>0</v>
      </c>
      <c r="AO345">
        <f t="shared" si="284"/>
        <v>0</v>
      </c>
      <c r="AP345">
        <f t="shared" si="285"/>
        <v>0</v>
      </c>
      <c r="AQ345">
        <f t="shared" si="286"/>
        <v>0</v>
      </c>
      <c r="AR345">
        <f t="shared" si="287"/>
        <v>0</v>
      </c>
      <c r="AS345">
        <f t="shared" si="288"/>
        <v>0</v>
      </c>
      <c r="AT345">
        <f t="shared" si="289"/>
        <v>0</v>
      </c>
      <c r="AU345">
        <f t="shared" si="290"/>
        <v>0</v>
      </c>
      <c r="AV345">
        <f t="shared" si="291"/>
        <v>0</v>
      </c>
      <c r="AW345">
        <f t="shared" si="245"/>
        <v>0</v>
      </c>
      <c r="AX345">
        <f t="shared" si="292"/>
        <v>0</v>
      </c>
      <c r="AY345">
        <f t="shared" si="293"/>
        <v>0</v>
      </c>
    </row>
    <row r="346" spans="1:51" x14ac:dyDescent="0.35">
      <c r="A346">
        <v>340</v>
      </c>
      <c r="C346">
        <f t="shared" si="246"/>
        <v>0</v>
      </c>
      <c r="D346">
        <f t="shared" si="247"/>
        <v>0</v>
      </c>
      <c r="E346">
        <f t="shared" si="248"/>
        <v>0</v>
      </c>
      <c r="F346">
        <f t="shared" si="249"/>
        <v>0</v>
      </c>
      <c r="G346">
        <f t="shared" si="250"/>
        <v>0</v>
      </c>
      <c r="H346">
        <f t="shared" si="251"/>
        <v>0</v>
      </c>
      <c r="I346">
        <f t="shared" si="252"/>
        <v>0</v>
      </c>
      <c r="J346">
        <f t="shared" si="253"/>
        <v>0</v>
      </c>
      <c r="K346">
        <f t="shared" si="254"/>
        <v>0</v>
      </c>
      <c r="L346">
        <f t="shared" si="255"/>
        <v>0</v>
      </c>
      <c r="M346">
        <f t="shared" si="256"/>
        <v>0</v>
      </c>
      <c r="N346">
        <f t="shared" si="257"/>
        <v>0</v>
      </c>
      <c r="O346">
        <f t="shared" si="258"/>
        <v>0</v>
      </c>
      <c r="P346">
        <f t="shared" si="259"/>
        <v>0</v>
      </c>
      <c r="Q346">
        <f t="shared" si="260"/>
        <v>0</v>
      </c>
      <c r="R346">
        <f t="shared" si="261"/>
        <v>0</v>
      </c>
      <c r="S346">
        <f t="shared" si="262"/>
        <v>0</v>
      </c>
      <c r="T346">
        <f t="shared" si="263"/>
        <v>0</v>
      </c>
      <c r="U346">
        <f t="shared" si="264"/>
        <v>0</v>
      </c>
      <c r="V346">
        <f t="shared" si="265"/>
        <v>0</v>
      </c>
      <c r="W346">
        <f t="shared" si="266"/>
        <v>0</v>
      </c>
      <c r="X346">
        <f t="shared" si="267"/>
        <v>0</v>
      </c>
      <c r="Y346">
        <f t="shared" si="268"/>
        <v>0</v>
      </c>
      <c r="Z346">
        <f t="shared" si="269"/>
        <v>0</v>
      </c>
      <c r="AA346">
        <f t="shared" si="270"/>
        <v>0</v>
      </c>
      <c r="AB346">
        <f t="shared" si="271"/>
        <v>0</v>
      </c>
      <c r="AC346">
        <f t="shared" si="272"/>
        <v>0</v>
      </c>
      <c r="AD346">
        <f t="shared" si="273"/>
        <v>0</v>
      </c>
      <c r="AE346">
        <f t="shared" si="274"/>
        <v>0</v>
      </c>
      <c r="AF346">
        <f t="shared" si="275"/>
        <v>0</v>
      </c>
      <c r="AG346">
        <f t="shared" si="276"/>
        <v>0</v>
      </c>
      <c r="AH346">
        <f t="shared" si="277"/>
        <v>0</v>
      </c>
      <c r="AI346">
        <f t="shared" si="278"/>
        <v>0</v>
      </c>
      <c r="AJ346">
        <f t="shared" si="279"/>
        <v>0</v>
      </c>
      <c r="AK346">
        <f t="shared" si="280"/>
        <v>0</v>
      </c>
      <c r="AL346">
        <f t="shared" si="281"/>
        <v>0</v>
      </c>
      <c r="AM346">
        <f t="shared" si="282"/>
        <v>0</v>
      </c>
      <c r="AN346">
        <f t="shared" si="283"/>
        <v>0</v>
      </c>
      <c r="AO346">
        <f t="shared" si="284"/>
        <v>0</v>
      </c>
      <c r="AP346">
        <f t="shared" si="285"/>
        <v>0</v>
      </c>
      <c r="AQ346">
        <f t="shared" si="286"/>
        <v>0</v>
      </c>
      <c r="AR346">
        <f t="shared" si="287"/>
        <v>0</v>
      </c>
      <c r="AS346">
        <f t="shared" si="288"/>
        <v>0</v>
      </c>
      <c r="AT346">
        <f t="shared" si="289"/>
        <v>0</v>
      </c>
      <c r="AU346">
        <f t="shared" si="290"/>
        <v>0</v>
      </c>
      <c r="AV346">
        <f t="shared" si="291"/>
        <v>0</v>
      </c>
      <c r="AW346">
        <f t="shared" si="245"/>
        <v>0</v>
      </c>
      <c r="AX346">
        <f t="shared" si="292"/>
        <v>0</v>
      </c>
      <c r="AY346">
        <f t="shared" si="293"/>
        <v>0</v>
      </c>
    </row>
    <row r="347" spans="1:51" x14ac:dyDescent="0.35">
      <c r="A347">
        <v>341</v>
      </c>
      <c r="C347">
        <f t="shared" si="246"/>
        <v>0</v>
      </c>
      <c r="D347">
        <f t="shared" si="247"/>
        <v>0</v>
      </c>
      <c r="E347">
        <f t="shared" si="248"/>
        <v>0</v>
      </c>
      <c r="F347">
        <f t="shared" si="249"/>
        <v>0</v>
      </c>
      <c r="G347">
        <f t="shared" si="250"/>
        <v>0</v>
      </c>
      <c r="H347">
        <f t="shared" si="251"/>
        <v>0</v>
      </c>
      <c r="I347">
        <f t="shared" si="252"/>
        <v>0</v>
      </c>
      <c r="J347">
        <f t="shared" si="253"/>
        <v>0</v>
      </c>
      <c r="K347">
        <f t="shared" si="254"/>
        <v>0</v>
      </c>
      <c r="L347">
        <f t="shared" si="255"/>
        <v>0</v>
      </c>
      <c r="M347">
        <f t="shared" si="256"/>
        <v>0</v>
      </c>
      <c r="N347">
        <f t="shared" si="257"/>
        <v>0</v>
      </c>
      <c r="O347">
        <f t="shared" si="258"/>
        <v>0</v>
      </c>
      <c r="P347">
        <f t="shared" si="259"/>
        <v>0</v>
      </c>
      <c r="Q347">
        <f t="shared" si="260"/>
        <v>0</v>
      </c>
      <c r="R347">
        <f t="shared" si="261"/>
        <v>0</v>
      </c>
      <c r="S347">
        <f t="shared" si="262"/>
        <v>0</v>
      </c>
      <c r="T347">
        <f t="shared" si="263"/>
        <v>0</v>
      </c>
      <c r="U347">
        <f t="shared" si="264"/>
        <v>0</v>
      </c>
      <c r="V347">
        <f t="shared" si="265"/>
        <v>0</v>
      </c>
      <c r="W347">
        <f t="shared" si="266"/>
        <v>0</v>
      </c>
      <c r="X347">
        <f t="shared" si="267"/>
        <v>0</v>
      </c>
      <c r="Y347">
        <f t="shared" si="268"/>
        <v>0</v>
      </c>
      <c r="Z347">
        <f t="shared" si="269"/>
        <v>0</v>
      </c>
      <c r="AA347">
        <f t="shared" si="270"/>
        <v>0</v>
      </c>
      <c r="AB347">
        <f t="shared" si="271"/>
        <v>0</v>
      </c>
      <c r="AC347">
        <f t="shared" si="272"/>
        <v>0</v>
      </c>
      <c r="AD347">
        <f t="shared" si="273"/>
        <v>0</v>
      </c>
      <c r="AE347">
        <f t="shared" si="274"/>
        <v>0</v>
      </c>
      <c r="AF347">
        <f t="shared" si="275"/>
        <v>0</v>
      </c>
      <c r="AG347">
        <f t="shared" si="276"/>
        <v>0</v>
      </c>
      <c r="AH347">
        <f t="shared" si="277"/>
        <v>0</v>
      </c>
      <c r="AI347">
        <f t="shared" si="278"/>
        <v>0</v>
      </c>
      <c r="AJ347">
        <f t="shared" si="279"/>
        <v>0</v>
      </c>
      <c r="AK347">
        <f t="shared" si="280"/>
        <v>0</v>
      </c>
      <c r="AL347">
        <f t="shared" si="281"/>
        <v>0</v>
      </c>
      <c r="AM347">
        <f t="shared" si="282"/>
        <v>0</v>
      </c>
      <c r="AN347">
        <f t="shared" si="283"/>
        <v>0</v>
      </c>
      <c r="AO347">
        <f t="shared" si="284"/>
        <v>0</v>
      </c>
      <c r="AP347">
        <f t="shared" si="285"/>
        <v>0</v>
      </c>
      <c r="AQ347">
        <f t="shared" si="286"/>
        <v>0</v>
      </c>
      <c r="AR347">
        <f t="shared" si="287"/>
        <v>0</v>
      </c>
      <c r="AS347">
        <f t="shared" si="288"/>
        <v>0</v>
      </c>
      <c r="AT347">
        <f t="shared" si="289"/>
        <v>0</v>
      </c>
      <c r="AU347">
        <f t="shared" si="290"/>
        <v>0</v>
      </c>
      <c r="AV347">
        <f t="shared" si="291"/>
        <v>0</v>
      </c>
      <c r="AW347">
        <f t="shared" si="245"/>
        <v>0</v>
      </c>
      <c r="AX347">
        <f t="shared" si="292"/>
        <v>0</v>
      </c>
      <c r="AY347">
        <f t="shared" si="293"/>
        <v>0</v>
      </c>
    </row>
    <row r="348" spans="1:51" x14ac:dyDescent="0.35">
      <c r="A348">
        <v>342</v>
      </c>
      <c r="C348">
        <f t="shared" si="246"/>
        <v>0</v>
      </c>
      <c r="D348">
        <f t="shared" si="247"/>
        <v>0</v>
      </c>
      <c r="E348">
        <f t="shared" si="248"/>
        <v>0</v>
      </c>
      <c r="F348">
        <f t="shared" si="249"/>
        <v>0</v>
      </c>
      <c r="G348">
        <f t="shared" si="250"/>
        <v>0</v>
      </c>
      <c r="H348">
        <f t="shared" si="251"/>
        <v>0</v>
      </c>
      <c r="I348">
        <f t="shared" si="252"/>
        <v>0</v>
      </c>
      <c r="J348">
        <f t="shared" si="253"/>
        <v>0</v>
      </c>
      <c r="K348">
        <f t="shared" si="254"/>
        <v>0</v>
      </c>
      <c r="L348">
        <f t="shared" si="255"/>
        <v>0</v>
      </c>
      <c r="M348">
        <f t="shared" si="256"/>
        <v>0</v>
      </c>
      <c r="N348">
        <f t="shared" si="257"/>
        <v>0</v>
      </c>
      <c r="O348">
        <f t="shared" si="258"/>
        <v>0</v>
      </c>
      <c r="P348">
        <f t="shared" si="259"/>
        <v>0</v>
      </c>
      <c r="Q348">
        <f t="shared" si="260"/>
        <v>0</v>
      </c>
      <c r="R348">
        <f t="shared" si="261"/>
        <v>0</v>
      </c>
      <c r="S348">
        <f t="shared" si="262"/>
        <v>0</v>
      </c>
      <c r="T348">
        <f t="shared" si="263"/>
        <v>0</v>
      </c>
      <c r="U348">
        <f t="shared" si="264"/>
        <v>0</v>
      </c>
      <c r="V348">
        <f t="shared" si="265"/>
        <v>0</v>
      </c>
      <c r="W348">
        <f t="shared" si="266"/>
        <v>0</v>
      </c>
      <c r="X348">
        <f t="shared" si="267"/>
        <v>0</v>
      </c>
      <c r="Y348">
        <f t="shared" si="268"/>
        <v>0</v>
      </c>
      <c r="Z348">
        <f t="shared" si="269"/>
        <v>0</v>
      </c>
      <c r="AA348">
        <f t="shared" si="270"/>
        <v>0</v>
      </c>
      <c r="AB348">
        <f t="shared" si="271"/>
        <v>0</v>
      </c>
      <c r="AC348">
        <f t="shared" si="272"/>
        <v>0</v>
      </c>
      <c r="AD348">
        <f t="shared" si="273"/>
        <v>0</v>
      </c>
      <c r="AE348">
        <f t="shared" si="274"/>
        <v>0</v>
      </c>
      <c r="AF348">
        <f t="shared" si="275"/>
        <v>0</v>
      </c>
      <c r="AG348">
        <f t="shared" si="276"/>
        <v>0</v>
      </c>
      <c r="AH348">
        <f t="shared" si="277"/>
        <v>0</v>
      </c>
      <c r="AI348">
        <f t="shared" si="278"/>
        <v>0</v>
      </c>
      <c r="AJ348">
        <f t="shared" si="279"/>
        <v>0</v>
      </c>
      <c r="AK348">
        <f t="shared" si="280"/>
        <v>0</v>
      </c>
      <c r="AL348">
        <f t="shared" si="281"/>
        <v>0</v>
      </c>
      <c r="AM348">
        <f t="shared" si="282"/>
        <v>0</v>
      </c>
      <c r="AN348">
        <f t="shared" si="283"/>
        <v>0</v>
      </c>
      <c r="AO348">
        <f t="shared" si="284"/>
        <v>0</v>
      </c>
      <c r="AP348">
        <f t="shared" si="285"/>
        <v>0</v>
      </c>
      <c r="AQ348">
        <f t="shared" si="286"/>
        <v>0</v>
      </c>
      <c r="AR348">
        <f t="shared" si="287"/>
        <v>0</v>
      </c>
      <c r="AS348">
        <f t="shared" si="288"/>
        <v>0</v>
      </c>
      <c r="AT348">
        <f t="shared" si="289"/>
        <v>0</v>
      </c>
      <c r="AU348">
        <f t="shared" si="290"/>
        <v>0</v>
      </c>
      <c r="AV348">
        <f t="shared" si="291"/>
        <v>0</v>
      </c>
      <c r="AW348">
        <f t="shared" si="245"/>
        <v>0</v>
      </c>
      <c r="AX348">
        <f t="shared" si="292"/>
        <v>0</v>
      </c>
      <c r="AY348">
        <f t="shared" si="293"/>
        <v>0</v>
      </c>
    </row>
    <row r="349" spans="1:51" x14ac:dyDescent="0.35">
      <c r="A349">
        <v>343</v>
      </c>
      <c r="C349">
        <f t="shared" si="246"/>
        <v>0</v>
      </c>
      <c r="D349">
        <f t="shared" si="247"/>
        <v>0</v>
      </c>
      <c r="E349">
        <f t="shared" si="248"/>
        <v>0</v>
      </c>
      <c r="F349">
        <f t="shared" si="249"/>
        <v>0</v>
      </c>
      <c r="G349">
        <f t="shared" si="250"/>
        <v>0</v>
      </c>
      <c r="H349">
        <f t="shared" si="251"/>
        <v>0</v>
      </c>
      <c r="I349">
        <f t="shared" si="252"/>
        <v>0</v>
      </c>
      <c r="J349">
        <f t="shared" si="253"/>
        <v>0</v>
      </c>
      <c r="K349">
        <f t="shared" si="254"/>
        <v>0</v>
      </c>
      <c r="L349">
        <f t="shared" si="255"/>
        <v>0</v>
      </c>
      <c r="M349">
        <f t="shared" si="256"/>
        <v>0</v>
      </c>
      <c r="N349">
        <f t="shared" si="257"/>
        <v>0</v>
      </c>
      <c r="O349">
        <f t="shared" si="258"/>
        <v>0</v>
      </c>
      <c r="P349">
        <f t="shared" si="259"/>
        <v>0</v>
      </c>
      <c r="Q349">
        <f t="shared" si="260"/>
        <v>0</v>
      </c>
      <c r="R349">
        <f t="shared" si="261"/>
        <v>0</v>
      </c>
      <c r="S349">
        <f t="shared" si="262"/>
        <v>0</v>
      </c>
      <c r="T349">
        <f t="shared" si="263"/>
        <v>0</v>
      </c>
      <c r="U349">
        <f t="shared" si="264"/>
        <v>0</v>
      </c>
      <c r="V349">
        <f t="shared" si="265"/>
        <v>0</v>
      </c>
      <c r="W349">
        <f t="shared" si="266"/>
        <v>0</v>
      </c>
      <c r="X349">
        <f t="shared" si="267"/>
        <v>0</v>
      </c>
      <c r="Y349">
        <f t="shared" si="268"/>
        <v>0</v>
      </c>
      <c r="Z349">
        <f t="shared" si="269"/>
        <v>0</v>
      </c>
      <c r="AA349">
        <f t="shared" si="270"/>
        <v>0</v>
      </c>
      <c r="AB349">
        <f t="shared" si="271"/>
        <v>0</v>
      </c>
      <c r="AC349">
        <f t="shared" si="272"/>
        <v>0</v>
      </c>
      <c r="AD349">
        <f t="shared" si="273"/>
        <v>0</v>
      </c>
      <c r="AE349">
        <f t="shared" si="274"/>
        <v>0</v>
      </c>
      <c r="AF349">
        <f t="shared" si="275"/>
        <v>0</v>
      </c>
      <c r="AG349">
        <f t="shared" si="276"/>
        <v>0</v>
      </c>
      <c r="AH349">
        <f t="shared" si="277"/>
        <v>0</v>
      </c>
      <c r="AI349">
        <f t="shared" si="278"/>
        <v>0</v>
      </c>
      <c r="AJ349">
        <f t="shared" si="279"/>
        <v>0</v>
      </c>
      <c r="AK349">
        <f t="shared" si="280"/>
        <v>0</v>
      </c>
      <c r="AL349">
        <f t="shared" si="281"/>
        <v>0</v>
      </c>
      <c r="AM349">
        <f t="shared" si="282"/>
        <v>0</v>
      </c>
      <c r="AN349">
        <f t="shared" si="283"/>
        <v>0</v>
      </c>
      <c r="AO349">
        <f t="shared" si="284"/>
        <v>0</v>
      </c>
      <c r="AP349">
        <f t="shared" si="285"/>
        <v>0</v>
      </c>
      <c r="AQ349">
        <f t="shared" si="286"/>
        <v>0</v>
      </c>
      <c r="AR349">
        <f t="shared" si="287"/>
        <v>0</v>
      </c>
      <c r="AS349">
        <f t="shared" si="288"/>
        <v>0</v>
      </c>
      <c r="AT349">
        <f t="shared" si="289"/>
        <v>0</v>
      </c>
      <c r="AU349">
        <f t="shared" si="290"/>
        <v>0</v>
      </c>
      <c r="AV349">
        <f t="shared" si="291"/>
        <v>0</v>
      </c>
      <c r="AW349">
        <f t="shared" si="245"/>
        <v>0</v>
      </c>
      <c r="AX349">
        <f t="shared" si="292"/>
        <v>0</v>
      </c>
      <c r="AY349">
        <f t="shared" si="293"/>
        <v>0</v>
      </c>
    </row>
    <row r="350" spans="1:51" x14ac:dyDescent="0.35">
      <c r="A350">
        <v>344</v>
      </c>
      <c r="C350">
        <f t="shared" si="246"/>
        <v>0</v>
      </c>
      <c r="D350">
        <f t="shared" si="247"/>
        <v>0</v>
      </c>
      <c r="E350">
        <f t="shared" si="248"/>
        <v>0</v>
      </c>
      <c r="F350">
        <f t="shared" si="249"/>
        <v>0</v>
      </c>
      <c r="G350">
        <f t="shared" si="250"/>
        <v>0</v>
      </c>
      <c r="H350">
        <f t="shared" si="251"/>
        <v>0</v>
      </c>
      <c r="I350">
        <f t="shared" si="252"/>
        <v>0</v>
      </c>
      <c r="J350">
        <f t="shared" si="253"/>
        <v>0</v>
      </c>
      <c r="K350">
        <f t="shared" si="254"/>
        <v>0</v>
      </c>
      <c r="L350">
        <f t="shared" si="255"/>
        <v>0</v>
      </c>
      <c r="M350">
        <f t="shared" si="256"/>
        <v>0</v>
      </c>
      <c r="N350">
        <f t="shared" si="257"/>
        <v>0</v>
      </c>
      <c r="O350">
        <f t="shared" si="258"/>
        <v>0</v>
      </c>
      <c r="P350">
        <f t="shared" si="259"/>
        <v>0</v>
      </c>
      <c r="Q350">
        <f t="shared" si="260"/>
        <v>0</v>
      </c>
      <c r="R350">
        <f t="shared" si="261"/>
        <v>0</v>
      </c>
      <c r="S350">
        <f t="shared" si="262"/>
        <v>0</v>
      </c>
      <c r="T350">
        <f t="shared" si="263"/>
        <v>0</v>
      </c>
      <c r="U350">
        <f t="shared" si="264"/>
        <v>0</v>
      </c>
      <c r="V350">
        <f t="shared" si="265"/>
        <v>0</v>
      </c>
      <c r="W350">
        <f t="shared" si="266"/>
        <v>0</v>
      </c>
      <c r="X350">
        <f t="shared" si="267"/>
        <v>0</v>
      </c>
      <c r="Y350">
        <f t="shared" si="268"/>
        <v>0</v>
      </c>
      <c r="Z350">
        <f t="shared" si="269"/>
        <v>0</v>
      </c>
      <c r="AA350">
        <f t="shared" si="270"/>
        <v>0</v>
      </c>
      <c r="AB350">
        <f t="shared" si="271"/>
        <v>0</v>
      </c>
      <c r="AC350">
        <f t="shared" si="272"/>
        <v>0</v>
      </c>
      <c r="AD350">
        <f t="shared" si="273"/>
        <v>0</v>
      </c>
      <c r="AE350">
        <f t="shared" si="274"/>
        <v>0</v>
      </c>
      <c r="AF350">
        <f t="shared" si="275"/>
        <v>0</v>
      </c>
      <c r="AG350">
        <f t="shared" si="276"/>
        <v>0</v>
      </c>
      <c r="AH350">
        <f t="shared" si="277"/>
        <v>0</v>
      </c>
      <c r="AI350">
        <f t="shared" si="278"/>
        <v>0</v>
      </c>
      <c r="AJ350">
        <f t="shared" si="279"/>
        <v>0</v>
      </c>
      <c r="AK350">
        <f t="shared" si="280"/>
        <v>0</v>
      </c>
      <c r="AL350">
        <f t="shared" si="281"/>
        <v>0</v>
      </c>
      <c r="AM350">
        <f t="shared" si="282"/>
        <v>0</v>
      </c>
      <c r="AN350">
        <f t="shared" si="283"/>
        <v>0</v>
      </c>
      <c r="AO350">
        <f t="shared" si="284"/>
        <v>0</v>
      </c>
      <c r="AP350">
        <f t="shared" si="285"/>
        <v>0</v>
      </c>
      <c r="AQ350">
        <f t="shared" si="286"/>
        <v>0</v>
      </c>
      <c r="AR350">
        <f t="shared" si="287"/>
        <v>0</v>
      </c>
      <c r="AS350">
        <f t="shared" si="288"/>
        <v>0</v>
      </c>
      <c r="AT350">
        <f t="shared" si="289"/>
        <v>0</v>
      </c>
      <c r="AU350">
        <f t="shared" si="290"/>
        <v>0</v>
      </c>
      <c r="AV350">
        <f t="shared" si="291"/>
        <v>0</v>
      </c>
      <c r="AW350">
        <f t="shared" si="245"/>
        <v>0</v>
      </c>
      <c r="AX350">
        <f t="shared" si="292"/>
        <v>0</v>
      </c>
      <c r="AY350">
        <f t="shared" si="293"/>
        <v>0</v>
      </c>
    </row>
    <row r="351" spans="1:51" x14ac:dyDescent="0.35">
      <c r="A351">
        <v>345</v>
      </c>
      <c r="C351">
        <f t="shared" si="246"/>
        <v>0</v>
      </c>
      <c r="D351">
        <f t="shared" si="247"/>
        <v>0</v>
      </c>
      <c r="E351">
        <f t="shared" si="248"/>
        <v>0</v>
      </c>
      <c r="F351">
        <f t="shared" si="249"/>
        <v>0</v>
      </c>
      <c r="G351">
        <f t="shared" si="250"/>
        <v>0</v>
      </c>
      <c r="H351">
        <f t="shared" si="251"/>
        <v>0</v>
      </c>
      <c r="I351">
        <f t="shared" si="252"/>
        <v>0</v>
      </c>
      <c r="J351">
        <f t="shared" si="253"/>
        <v>0</v>
      </c>
      <c r="K351">
        <f t="shared" si="254"/>
        <v>0</v>
      </c>
      <c r="L351">
        <f t="shared" si="255"/>
        <v>0</v>
      </c>
      <c r="M351">
        <f t="shared" si="256"/>
        <v>0</v>
      </c>
      <c r="N351">
        <f t="shared" si="257"/>
        <v>0</v>
      </c>
      <c r="O351">
        <f t="shared" si="258"/>
        <v>0</v>
      </c>
      <c r="P351">
        <f t="shared" si="259"/>
        <v>0</v>
      </c>
      <c r="Q351">
        <f t="shared" si="260"/>
        <v>0</v>
      </c>
      <c r="R351">
        <f t="shared" si="261"/>
        <v>0</v>
      </c>
      <c r="S351">
        <f t="shared" si="262"/>
        <v>0</v>
      </c>
      <c r="T351">
        <f t="shared" si="263"/>
        <v>0</v>
      </c>
      <c r="U351">
        <f t="shared" si="264"/>
        <v>0</v>
      </c>
      <c r="V351">
        <f t="shared" si="265"/>
        <v>0</v>
      </c>
      <c r="W351">
        <f t="shared" si="266"/>
        <v>0</v>
      </c>
      <c r="X351">
        <f t="shared" si="267"/>
        <v>0</v>
      </c>
      <c r="Y351">
        <f t="shared" si="268"/>
        <v>0</v>
      </c>
      <c r="Z351">
        <f t="shared" si="269"/>
        <v>0</v>
      </c>
      <c r="AA351">
        <f t="shared" si="270"/>
        <v>0</v>
      </c>
      <c r="AB351">
        <f t="shared" si="271"/>
        <v>0</v>
      </c>
      <c r="AC351">
        <f t="shared" si="272"/>
        <v>0</v>
      </c>
      <c r="AD351">
        <f t="shared" si="273"/>
        <v>0</v>
      </c>
      <c r="AE351">
        <f t="shared" si="274"/>
        <v>0</v>
      </c>
      <c r="AF351">
        <f t="shared" si="275"/>
        <v>0</v>
      </c>
      <c r="AG351">
        <f t="shared" si="276"/>
        <v>0</v>
      </c>
      <c r="AH351">
        <f t="shared" si="277"/>
        <v>0</v>
      </c>
      <c r="AI351">
        <f t="shared" si="278"/>
        <v>0</v>
      </c>
      <c r="AJ351">
        <f t="shared" si="279"/>
        <v>0</v>
      </c>
      <c r="AK351">
        <f t="shared" si="280"/>
        <v>0</v>
      </c>
      <c r="AL351">
        <f t="shared" si="281"/>
        <v>0</v>
      </c>
      <c r="AM351">
        <f t="shared" si="282"/>
        <v>0</v>
      </c>
      <c r="AN351">
        <f t="shared" si="283"/>
        <v>0</v>
      </c>
      <c r="AO351">
        <f t="shared" si="284"/>
        <v>0</v>
      </c>
      <c r="AP351">
        <f t="shared" si="285"/>
        <v>0</v>
      </c>
      <c r="AQ351">
        <f t="shared" si="286"/>
        <v>0</v>
      </c>
      <c r="AR351">
        <f t="shared" si="287"/>
        <v>0</v>
      </c>
      <c r="AS351">
        <f t="shared" si="288"/>
        <v>0</v>
      </c>
      <c r="AT351">
        <f t="shared" si="289"/>
        <v>0</v>
      </c>
      <c r="AU351">
        <f t="shared" si="290"/>
        <v>0</v>
      </c>
      <c r="AV351">
        <f t="shared" si="291"/>
        <v>0</v>
      </c>
      <c r="AW351">
        <f t="shared" si="245"/>
        <v>0</v>
      </c>
      <c r="AX351">
        <f t="shared" si="292"/>
        <v>0</v>
      </c>
      <c r="AY351">
        <f t="shared" si="293"/>
        <v>0</v>
      </c>
    </row>
    <row r="352" spans="1:51" x14ac:dyDescent="0.35">
      <c r="A352">
        <v>346</v>
      </c>
      <c r="C352">
        <f t="shared" si="246"/>
        <v>0</v>
      </c>
      <c r="D352">
        <f t="shared" si="247"/>
        <v>0</v>
      </c>
      <c r="E352">
        <f t="shared" si="248"/>
        <v>0</v>
      </c>
      <c r="F352">
        <f t="shared" si="249"/>
        <v>0</v>
      </c>
      <c r="G352">
        <f t="shared" si="250"/>
        <v>0</v>
      </c>
      <c r="H352">
        <f t="shared" si="251"/>
        <v>0</v>
      </c>
      <c r="I352">
        <f t="shared" si="252"/>
        <v>0</v>
      </c>
      <c r="J352">
        <f t="shared" si="253"/>
        <v>0</v>
      </c>
      <c r="K352">
        <f t="shared" si="254"/>
        <v>0</v>
      </c>
      <c r="L352">
        <f t="shared" si="255"/>
        <v>0</v>
      </c>
      <c r="M352">
        <f t="shared" si="256"/>
        <v>0</v>
      </c>
      <c r="N352">
        <f t="shared" si="257"/>
        <v>0</v>
      </c>
      <c r="O352">
        <f t="shared" si="258"/>
        <v>0</v>
      </c>
      <c r="P352">
        <f t="shared" si="259"/>
        <v>0</v>
      </c>
      <c r="Q352">
        <f t="shared" si="260"/>
        <v>0</v>
      </c>
      <c r="R352">
        <f t="shared" si="261"/>
        <v>0</v>
      </c>
      <c r="S352">
        <f t="shared" si="262"/>
        <v>0</v>
      </c>
      <c r="T352">
        <f t="shared" si="263"/>
        <v>0</v>
      </c>
      <c r="U352">
        <f t="shared" si="264"/>
        <v>0</v>
      </c>
      <c r="V352">
        <f t="shared" si="265"/>
        <v>0</v>
      </c>
      <c r="W352">
        <f t="shared" si="266"/>
        <v>0</v>
      </c>
      <c r="X352">
        <f t="shared" si="267"/>
        <v>0</v>
      </c>
      <c r="Y352">
        <f t="shared" si="268"/>
        <v>0</v>
      </c>
      <c r="Z352">
        <f t="shared" si="269"/>
        <v>0</v>
      </c>
      <c r="AA352">
        <f t="shared" si="270"/>
        <v>0</v>
      </c>
      <c r="AB352">
        <f t="shared" si="271"/>
        <v>0</v>
      </c>
      <c r="AC352">
        <f t="shared" si="272"/>
        <v>0</v>
      </c>
      <c r="AD352">
        <f t="shared" si="273"/>
        <v>0</v>
      </c>
      <c r="AE352">
        <f t="shared" si="274"/>
        <v>0</v>
      </c>
      <c r="AF352">
        <f t="shared" si="275"/>
        <v>0</v>
      </c>
      <c r="AG352">
        <f t="shared" si="276"/>
        <v>0</v>
      </c>
      <c r="AH352">
        <f t="shared" si="277"/>
        <v>0</v>
      </c>
      <c r="AI352">
        <f t="shared" si="278"/>
        <v>0</v>
      </c>
      <c r="AJ352">
        <f t="shared" si="279"/>
        <v>0</v>
      </c>
      <c r="AK352">
        <f t="shared" si="280"/>
        <v>0</v>
      </c>
      <c r="AL352">
        <f t="shared" si="281"/>
        <v>0</v>
      </c>
      <c r="AM352">
        <f t="shared" si="282"/>
        <v>0</v>
      </c>
      <c r="AN352">
        <f t="shared" si="283"/>
        <v>0</v>
      </c>
      <c r="AO352">
        <f t="shared" si="284"/>
        <v>0</v>
      </c>
      <c r="AP352">
        <f t="shared" si="285"/>
        <v>0</v>
      </c>
      <c r="AQ352">
        <f t="shared" si="286"/>
        <v>0</v>
      </c>
      <c r="AR352">
        <f t="shared" si="287"/>
        <v>0</v>
      </c>
      <c r="AS352">
        <f t="shared" si="288"/>
        <v>0</v>
      </c>
      <c r="AT352">
        <f t="shared" si="289"/>
        <v>0</v>
      </c>
      <c r="AU352">
        <f t="shared" si="290"/>
        <v>0</v>
      </c>
      <c r="AV352">
        <f t="shared" si="291"/>
        <v>0</v>
      </c>
      <c r="AW352">
        <f t="shared" si="245"/>
        <v>0</v>
      </c>
      <c r="AX352">
        <f t="shared" si="292"/>
        <v>0</v>
      </c>
      <c r="AY352">
        <f t="shared" si="293"/>
        <v>0</v>
      </c>
    </row>
    <row r="353" spans="1:51" x14ac:dyDescent="0.35">
      <c r="A353">
        <v>347</v>
      </c>
      <c r="C353">
        <f t="shared" si="246"/>
        <v>0</v>
      </c>
      <c r="D353">
        <f t="shared" si="247"/>
        <v>0</v>
      </c>
      <c r="E353">
        <f t="shared" si="248"/>
        <v>0</v>
      </c>
      <c r="F353">
        <f t="shared" si="249"/>
        <v>0</v>
      </c>
      <c r="G353">
        <f t="shared" si="250"/>
        <v>0</v>
      </c>
      <c r="H353">
        <f t="shared" si="251"/>
        <v>0</v>
      </c>
      <c r="I353">
        <f t="shared" si="252"/>
        <v>0</v>
      </c>
      <c r="J353">
        <f t="shared" si="253"/>
        <v>0</v>
      </c>
      <c r="K353">
        <f t="shared" si="254"/>
        <v>0</v>
      </c>
      <c r="L353">
        <f t="shared" si="255"/>
        <v>0</v>
      </c>
      <c r="M353">
        <f t="shared" si="256"/>
        <v>0</v>
      </c>
      <c r="N353">
        <f t="shared" si="257"/>
        <v>0</v>
      </c>
      <c r="O353">
        <f t="shared" si="258"/>
        <v>0</v>
      </c>
      <c r="P353">
        <f t="shared" si="259"/>
        <v>0</v>
      </c>
      <c r="Q353">
        <f t="shared" si="260"/>
        <v>0</v>
      </c>
      <c r="R353">
        <f t="shared" si="261"/>
        <v>0</v>
      </c>
      <c r="S353">
        <f t="shared" si="262"/>
        <v>0</v>
      </c>
      <c r="T353">
        <f t="shared" si="263"/>
        <v>0</v>
      </c>
      <c r="U353">
        <f t="shared" si="264"/>
        <v>0</v>
      </c>
      <c r="V353">
        <f t="shared" si="265"/>
        <v>0</v>
      </c>
      <c r="W353">
        <f t="shared" si="266"/>
        <v>0</v>
      </c>
      <c r="X353">
        <f t="shared" si="267"/>
        <v>0</v>
      </c>
      <c r="Y353">
        <f t="shared" si="268"/>
        <v>0</v>
      </c>
      <c r="Z353">
        <f t="shared" si="269"/>
        <v>0</v>
      </c>
      <c r="AA353">
        <f t="shared" si="270"/>
        <v>0</v>
      </c>
      <c r="AB353">
        <f t="shared" si="271"/>
        <v>0</v>
      </c>
      <c r="AC353">
        <f t="shared" si="272"/>
        <v>0</v>
      </c>
      <c r="AD353">
        <f t="shared" si="273"/>
        <v>0</v>
      </c>
      <c r="AE353">
        <f t="shared" si="274"/>
        <v>0</v>
      </c>
      <c r="AF353">
        <f t="shared" si="275"/>
        <v>0</v>
      </c>
      <c r="AG353">
        <f t="shared" si="276"/>
        <v>0</v>
      </c>
      <c r="AH353">
        <f t="shared" si="277"/>
        <v>0</v>
      </c>
      <c r="AI353">
        <f t="shared" si="278"/>
        <v>0</v>
      </c>
      <c r="AJ353">
        <f t="shared" si="279"/>
        <v>0</v>
      </c>
      <c r="AK353">
        <f t="shared" si="280"/>
        <v>0</v>
      </c>
      <c r="AL353">
        <f t="shared" si="281"/>
        <v>0</v>
      </c>
      <c r="AM353">
        <f t="shared" si="282"/>
        <v>0</v>
      </c>
      <c r="AN353">
        <f t="shared" si="283"/>
        <v>0</v>
      </c>
      <c r="AO353">
        <f t="shared" si="284"/>
        <v>0</v>
      </c>
      <c r="AP353">
        <f t="shared" si="285"/>
        <v>0</v>
      </c>
      <c r="AQ353">
        <f t="shared" si="286"/>
        <v>0</v>
      </c>
      <c r="AR353">
        <f t="shared" si="287"/>
        <v>0</v>
      </c>
      <c r="AS353">
        <f t="shared" si="288"/>
        <v>0</v>
      </c>
      <c r="AT353">
        <f t="shared" si="289"/>
        <v>0</v>
      </c>
      <c r="AU353">
        <f t="shared" si="290"/>
        <v>0</v>
      </c>
      <c r="AV353">
        <f t="shared" si="291"/>
        <v>0</v>
      </c>
      <c r="AW353">
        <f t="shared" si="245"/>
        <v>0</v>
      </c>
      <c r="AX353">
        <f t="shared" si="292"/>
        <v>0</v>
      </c>
      <c r="AY353">
        <f t="shared" si="293"/>
        <v>0</v>
      </c>
    </row>
    <row r="354" spans="1:51" x14ac:dyDescent="0.35">
      <c r="A354">
        <v>348</v>
      </c>
      <c r="C354">
        <f t="shared" si="246"/>
        <v>0</v>
      </c>
      <c r="D354">
        <f t="shared" si="247"/>
        <v>0</v>
      </c>
      <c r="E354">
        <f t="shared" si="248"/>
        <v>0</v>
      </c>
      <c r="F354">
        <f t="shared" si="249"/>
        <v>0</v>
      </c>
      <c r="G354">
        <f t="shared" si="250"/>
        <v>0</v>
      </c>
      <c r="H354">
        <f t="shared" si="251"/>
        <v>0</v>
      </c>
      <c r="I354">
        <f t="shared" si="252"/>
        <v>0</v>
      </c>
      <c r="J354">
        <f t="shared" si="253"/>
        <v>0</v>
      </c>
      <c r="K354">
        <f t="shared" si="254"/>
        <v>0</v>
      </c>
      <c r="L354">
        <f t="shared" si="255"/>
        <v>0</v>
      </c>
      <c r="M354">
        <f t="shared" si="256"/>
        <v>0</v>
      </c>
      <c r="N354">
        <f t="shared" si="257"/>
        <v>0</v>
      </c>
      <c r="O354">
        <f t="shared" si="258"/>
        <v>0</v>
      </c>
      <c r="P354">
        <f t="shared" si="259"/>
        <v>0</v>
      </c>
      <c r="Q354">
        <f t="shared" si="260"/>
        <v>0</v>
      </c>
      <c r="R354">
        <f t="shared" si="261"/>
        <v>0</v>
      </c>
      <c r="S354">
        <f t="shared" si="262"/>
        <v>0</v>
      </c>
      <c r="T354">
        <f t="shared" si="263"/>
        <v>0</v>
      </c>
      <c r="U354">
        <f t="shared" si="264"/>
        <v>0</v>
      </c>
      <c r="V354">
        <f t="shared" si="265"/>
        <v>0</v>
      </c>
      <c r="W354">
        <f t="shared" si="266"/>
        <v>0</v>
      </c>
      <c r="X354">
        <f t="shared" si="267"/>
        <v>0</v>
      </c>
      <c r="Y354">
        <f t="shared" si="268"/>
        <v>0</v>
      </c>
      <c r="Z354">
        <f t="shared" si="269"/>
        <v>0</v>
      </c>
      <c r="AA354">
        <f t="shared" si="270"/>
        <v>0</v>
      </c>
      <c r="AB354">
        <f t="shared" si="271"/>
        <v>0</v>
      </c>
      <c r="AC354">
        <f t="shared" si="272"/>
        <v>0</v>
      </c>
      <c r="AD354">
        <f t="shared" si="273"/>
        <v>0</v>
      </c>
      <c r="AE354">
        <f t="shared" si="274"/>
        <v>0</v>
      </c>
      <c r="AF354">
        <f t="shared" si="275"/>
        <v>0</v>
      </c>
      <c r="AG354">
        <f t="shared" si="276"/>
        <v>0</v>
      </c>
      <c r="AH354">
        <f t="shared" si="277"/>
        <v>0</v>
      </c>
      <c r="AI354">
        <f t="shared" si="278"/>
        <v>0</v>
      </c>
      <c r="AJ354">
        <f t="shared" si="279"/>
        <v>0</v>
      </c>
      <c r="AK354">
        <f t="shared" si="280"/>
        <v>0</v>
      </c>
      <c r="AL354">
        <f t="shared" si="281"/>
        <v>0</v>
      </c>
      <c r="AM354">
        <f t="shared" si="282"/>
        <v>0</v>
      </c>
      <c r="AN354">
        <f t="shared" si="283"/>
        <v>0</v>
      </c>
      <c r="AO354">
        <f t="shared" si="284"/>
        <v>0</v>
      </c>
      <c r="AP354">
        <f t="shared" si="285"/>
        <v>0</v>
      </c>
      <c r="AQ354">
        <f t="shared" si="286"/>
        <v>0</v>
      </c>
      <c r="AR354">
        <f t="shared" si="287"/>
        <v>0</v>
      </c>
      <c r="AS354">
        <f t="shared" si="288"/>
        <v>0</v>
      </c>
      <c r="AT354">
        <f t="shared" si="289"/>
        <v>0</v>
      </c>
      <c r="AU354">
        <f t="shared" si="290"/>
        <v>0</v>
      </c>
      <c r="AV354">
        <f t="shared" si="291"/>
        <v>0</v>
      </c>
      <c r="AW354">
        <f t="shared" si="245"/>
        <v>0</v>
      </c>
      <c r="AX354">
        <f t="shared" si="292"/>
        <v>0</v>
      </c>
      <c r="AY354">
        <f t="shared" si="293"/>
        <v>0</v>
      </c>
    </row>
    <row r="355" spans="1:51" x14ac:dyDescent="0.35">
      <c r="A355">
        <v>349</v>
      </c>
      <c r="C355">
        <f t="shared" si="246"/>
        <v>0</v>
      </c>
      <c r="D355">
        <f t="shared" si="247"/>
        <v>0</v>
      </c>
      <c r="E355">
        <f t="shared" si="248"/>
        <v>0</v>
      </c>
      <c r="F355">
        <f t="shared" si="249"/>
        <v>0</v>
      </c>
      <c r="G355">
        <f t="shared" si="250"/>
        <v>0</v>
      </c>
      <c r="H355">
        <f t="shared" si="251"/>
        <v>0</v>
      </c>
      <c r="I355">
        <f t="shared" si="252"/>
        <v>0</v>
      </c>
      <c r="J355">
        <f t="shared" si="253"/>
        <v>0</v>
      </c>
      <c r="K355">
        <f t="shared" si="254"/>
        <v>0</v>
      </c>
      <c r="L355">
        <f t="shared" si="255"/>
        <v>0</v>
      </c>
      <c r="M355">
        <f t="shared" si="256"/>
        <v>0</v>
      </c>
      <c r="N355">
        <f t="shared" si="257"/>
        <v>0</v>
      </c>
      <c r="O355">
        <f t="shared" si="258"/>
        <v>0</v>
      </c>
      <c r="P355">
        <f t="shared" si="259"/>
        <v>0</v>
      </c>
      <c r="Q355">
        <f t="shared" si="260"/>
        <v>0</v>
      </c>
      <c r="R355">
        <f t="shared" si="261"/>
        <v>0</v>
      </c>
      <c r="S355">
        <f t="shared" si="262"/>
        <v>0</v>
      </c>
      <c r="T355">
        <f t="shared" si="263"/>
        <v>0</v>
      </c>
      <c r="U355">
        <f t="shared" si="264"/>
        <v>0</v>
      </c>
      <c r="V355">
        <f t="shared" si="265"/>
        <v>0</v>
      </c>
      <c r="W355">
        <f t="shared" si="266"/>
        <v>0</v>
      </c>
      <c r="X355">
        <f t="shared" si="267"/>
        <v>0</v>
      </c>
      <c r="Y355">
        <f t="shared" si="268"/>
        <v>0</v>
      </c>
      <c r="Z355">
        <f t="shared" si="269"/>
        <v>0</v>
      </c>
      <c r="AA355">
        <f t="shared" si="270"/>
        <v>0</v>
      </c>
      <c r="AB355">
        <f t="shared" si="271"/>
        <v>0</v>
      </c>
      <c r="AC355">
        <f t="shared" si="272"/>
        <v>0</v>
      </c>
      <c r="AD355">
        <f t="shared" si="273"/>
        <v>0</v>
      </c>
      <c r="AE355">
        <f t="shared" si="274"/>
        <v>0</v>
      </c>
      <c r="AF355">
        <f t="shared" si="275"/>
        <v>0</v>
      </c>
      <c r="AG355">
        <f t="shared" si="276"/>
        <v>0</v>
      </c>
      <c r="AH355">
        <f t="shared" si="277"/>
        <v>0</v>
      </c>
      <c r="AI355">
        <f t="shared" si="278"/>
        <v>0</v>
      </c>
      <c r="AJ355">
        <f t="shared" si="279"/>
        <v>0</v>
      </c>
      <c r="AK355">
        <f t="shared" si="280"/>
        <v>0</v>
      </c>
      <c r="AL355">
        <f t="shared" si="281"/>
        <v>0</v>
      </c>
      <c r="AM355">
        <f t="shared" si="282"/>
        <v>0</v>
      </c>
      <c r="AN355">
        <f t="shared" si="283"/>
        <v>0</v>
      </c>
      <c r="AO355">
        <f t="shared" si="284"/>
        <v>0</v>
      </c>
      <c r="AP355">
        <f t="shared" si="285"/>
        <v>0</v>
      </c>
      <c r="AQ355">
        <f t="shared" si="286"/>
        <v>0</v>
      </c>
      <c r="AR355">
        <f t="shared" si="287"/>
        <v>0</v>
      </c>
      <c r="AS355">
        <f t="shared" si="288"/>
        <v>0</v>
      </c>
      <c r="AT355">
        <f t="shared" si="289"/>
        <v>0</v>
      </c>
      <c r="AU355">
        <f t="shared" si="290"/>
        <v>0</v>
      </c>
      <c r="AV355">
        <f t="shared" si="291"/>
        <v>0</v>
      </c>
      <c r="AW355">
        <f t="shared" si="245"/>
        <v>0</v>
      </c>
      <c r="AX355">
        <f t="shared" si="292"/>
        <v>0</v>
      </c>
      <c r="AY355">
        <f t="shared" si="293"/>
        <v>0</v>
      </c>
    </row>
    <row r="356" spans="1:51" x14ac:dyDescent="0.35">
      <c r="A356">
        <v>350</v>
      </c>
      <c r="C356">
        <f t="shared" si="246"/>
        <v>0</v>
      </c>
      <c r="D356">
        <f t="shared" si="247"/>
        <v>0</v>
      </c>
      <c r="E356">
        <f t="shared" si="248"/>
        <v>0</v>
      </c>
      <c r="F356">
        <f t="shared" si="249"/>
        <v>0</v>
      </c>
      <c r="G356">
        <f t="shared" si="250"/>
        <v>0</v>
      </c>
      <c r="H356">
        <f t="shared" si="251"/>
        <v>0</v>
      </c>
      <c r="I356">
        <f t="shared" si="252"/>
        <v>0</v>
      </c>
      <c r="J356">
        <f t="shared" si="253"/>
        <v>0</v>
      </c>
      <c r="K356">
        <f t="shared" si="254"/>
        <v>0</v>
      </c>
      <c r="L356">
        <f t="shared" si="255"/>
        <v>0</v>
      </c>
      <c r="M356">
        <f t="shared" si="256"/>
        <v>0</v>
      </c>
      <c r="N356">
        <f t="shared" si="257"/>
        <v>0</v>
      </c>
      <c r="O356">
        <f t="shared" si="258"/>
        <v>0</v>
      </c>
      <c r="P356">
        <f t="shared" si="259"/>
        <v>0</v>
      </c>
      <c r="Q356">
        <f t="shared" si="260"/>
        <v>0</v>
      </c>
      <c r="R356">
        <f t="shared" si="261"/>
        <v>0</v>
      </c>
      <c r="S356">
        <f t="shared" si="262"/>
        <v>0</v>
      </c>
      <c r="T356">
        <f t="shared" si="263"/>
        <v>0</v>
      </c>
      <c r="U356">
        <f t="shared" si="264"/>
        <v>0</v>
      </c>
      <c r="V356">
        <f t="shared" si="265"/>
        <v>0</v>
      </c>
      <c r="W356">
        <f t="shared" si="266"/>
        <v>0</v>
      </c>
      <c r="X356">
        <f t="shared" si="267"/>
        <v>0</v>
      </c>
      <c r="Y356">
        <f t="shared" si="268"/>
        <v>0</v>
      </c>
      <c r="Z356">
        <f t="shared" si="269"/>
        <v>0</v>
      </c>
      <c r="AA356">
        <f t="shared" si="270"/>
        <v>0</v>
      </c>
      <c r="AB356">
        <f t="shared" si="271"/>
        <v>0</v>
      </c>
      <c r="AC356">
        <f t="shared" si="272"/>
        <v>0</v>
      </c>
      <c r="AD356">
        <f t="shared" si="273"/>
        <v>0</v>
      </c>
      <c r="AE356">
        <f t="shared" si="274"/>
        <v>0</v>
      </c>
      <c r="AF356">
        <f t="shared" si="275"/>
        <v>0</v>
      </c>
      <c r="AG356">
        <f t="shared" si="276"/>
        <v>0</v>
      </c>
      <c r="AH356">
        <f t="shared" si="277"/>
        <v>0</v>
      </c>
      <c r="AI356">
        <f t="shared" si="278"/>
        <v>0</v>
      </c>
      <c r="AJ356">
        <f t="shared" si="279"/>
        <v>0</v>
      </c>
      <c r="AK356">
        <f t="shared" si="280"/>
        <v>0</v>
      </c>
      <c r="AL356">
        <f t="shared" si="281"/>
        <v>0</v>
      </c>
      <c r="AM356">
        <f t="shared" si="282"/>
        <v>0</v>
      </c>
      <c r="AN356">
        <f t="shared" si="283"/>
        <v>0</v>
      </c>
      <c r="AO356">
        <f t="shared" si="284"/>
        <v>0</v>
      </c>
      <c r="AP356">
        <f t="shared" si="285"/>
        <v>0</v>
      </c>
      <c r="AQ356">
        <f t="shared" si="286"/>
        <v>0</v>
      </c>
      <c r="AR356">
        <f t="shared" si="287"/>
        <v>0</v>
      </c>
      <c r="AS356">
        <f t="shared" si="288"/>
        <v>0</v>
      </c>
      <c r="AT356">
        <f t="shared" si="289"/>
        <v>0</v>
      </c>
      <c r="AU356">
        <f t="shared" si="290"/>
        <v>0</v>
      </c>
      <c r="AV356">
        <f t="shared" si="291"/>
        <v>0</v>
      </c>
      <c r="AW356">
        <f t="shared" si="245"/>
        <v>0</v>
      </c>
      <c r="AX356">
        <f t="shared" si="292"/>
        <v>0</v>
      </c>
      <c r="AY356">
        <f t="shared" si="293"/>
        <v>0</v>
      </c>
    </row>
    <row r="357" spans="1:51" x14ac:dyDescent="0.35">
      <c r="A357">
        <v>351</v>
      </c>
      <c r="C357">
        <f t="shared" si="246"/>
        <v>0</v>
      </c>
      <c r="D357">
        <f t="shared" si="247"/>
        <v>0</v>
      </c>
      <c r="E357">
        <f t="shared" si="248"/>
        <v>0</v>
      </c>
      <c r="F357">
        <f t="shared" si="249"/>
        <v>0</v>
      </c>
      <c r="G357">
        <f t="shared" si="250"/>
        <v>0</v>
      </c>
      <c r="H357">
        <f t="shared" si="251"/>
        <v>0</v>
      </c>
      <c r="I357">
        <f t="shared" si="252"/>
        <v>0</v>
      </c>
      <c r="J357">
        <f t="shared" si="253"/>
        <v>0</v>
      </c>
      <c r="K357">
        <f t="shared" si="254"/>
        <v>0</v>
      </c>
      <c r="L357">
        <f t="shared" si="255"/>
        <v>0</v>
      </c>
      <c r="M357">
        <f t="shared" si="256"/>
        <v>0</v>
      </c>
      <c r="N357">
        <f t="shared" si="257"/>
        <v>0</v>
      </c>
      <c r="O357">
        <f t="shared" si="258"/>
        <v>0</v>
      </c>
      <c r="P357">
        <f t="shared" si="259"/>
        <v>0</v>
      </c>
      <c r="Q357">
        <f t="shared" si="260"/>
        <v>0</v>
      </c>
      <c r="R357">
        <f t="shared" si="261"/>
        <v>0</v>
      </c>
      <c r="S357">
        <f t="shared" si="262"/>
        <v>0</v>
      </c>
      <c r="T357">
        <f t="shared" si="263"/>
        <v>0</v>
      </c>
      <c r="U357">
        <f t="shared" si="264"/>
        <v>0</v>
      </c>
      <c r="V357">
        <f t="shared" si="265"/>
        <v>0</v>
      </c>
      <c r="W357">
        <f t="shared" si="266"/>
        <v>0</v>
      </c>
      <c r="X357">
        <f t="shared" si="267"/>
        <v>0</v>
      </c>
      <c r="Y357">
        <f t="shared" si="268"/>
        <v>0</v>
      </c>
      <c r="Z357">
        <f t="shared" si="269"/>
        <v>0</v>
      </c>
      <c r="AA357">
        <f t="shared" si="270"/>
        <v>0</v>
      </c>
      <c r="AB357">
        <f t="shared" si="271"/>
        <v>0</v>
      </c>
      <c r="AC357">
        <f t="shared" si="272"/>
        <v>0</v>
      </c>
      <c r="AD357">
        <f t="shared" si="273"/>
        <v>0</v>
      </c>
      <c r="AE357">
        <f t="shared" si="274"/>
        <v>0</v>
      </c>
      <c r="AF357">
        <f t="shared" si="275"/>
        <v>0</v>
      </c>
      <c r="AG357">
        <f t="shared" si="276"/>
        <v>0</v>
      </c>
      <c r="AH357">
        <f t="shared" si="277"/>
        <v>0</v>
      </c>
      <c r="AI357">
        <f t="shared" si="278"/>
        <v>0</v>
      </c>
      <c r="AJ357">
        <f t="shared" si="279"/>
        <v>0</v>
      </c>
      <c r="AK357">
        <f t="shared" si="280"/>
        <v>0</v>
      </c>
      <c r="AL357">
        <f t="shared" si="281"/>
        <v>0</v>
      </c>
      <c r="AM357">
        <f t="shared" si="282"/>
        <v>0</v>
      </c>
      <c r="AN357">
        <f t="shared" si="283"/>
        <v>0</v>
      </c>
      <c r="AO357">
        <f t="shared" si="284"/>
        <v>0</v>
      </c>
      <c r="AP357">
        <f t="shared" si="285"/>
        <v>0</v>
      </c>
      <c r="AQ357">
        <f t="shared" si="286"/>
        <v>0</v>
      </c>
      <c r="AR357">
        <f t="shared" si="287"/>
        <v>0</v>
      </c>
      <c r="AS357">
        <f t="shared" si="288"/>
        <v>0</v>
      </c>
      <c r="AT357">
        <f t="shared" si="289"/>
        <v>0</v>
      </c>
      <c r="AU357">
        <f t="shared" si="290"/>
        <v>0</v>
      </c>
      <c r="AV357">
        <f t="shared" si="291"/>
        <v>0</v>
      </c>
      <c r="AW357">
        <f t="shared" si="245"/>
        <v>0</v>
      </c>
      <c r="AX357">
        <f t="shared" si="292"/>
        <v>0</v>
      </c>
      <c r="AY357">
        <f t="shared" si="293"/>
        <v>0</v>
      </c>
    </row>
    <row r="358" spans="1:51" x14ac:dyDescent="0.35">
      <c r="A358">
        <v>352</v>
      </c>
      <c r="C358">
        <f t="shared" si="246"/>
        <v>0</v>
      </c>
      <c r="D358">
        <f t="shared" si="247"/>
        <v>0</v>
      </c>
      <c r="E358">
        <f t="shared" si="248"/>
        <v>0</v>
      </c>
      <c r="F358">
        <f t="shared" si="249"/>
        <v>0</v>
      </c>
      <c r="G358">
        <f t="shared" si="250"/>
        <v>0</v>
      </c>
      <c r="H358">
        <f t="shared" si="251"/>
        <v>0</v>
      </c>
      <c r="I358">
        <f t="shared" si="252"/>
        <v>0</v>
      </c>
      <c r="J358">
        <f t="shared" si="253"/>
        <v>0</v>
      </c>
      <c r="K358">
        <f t="shared" si="254"/>
        <v>0</v>
      </c>
      <c r="L358">
        <f t="shared" si="255"/>
        <v>0</v>
      </c>
      <c r="M358">
        <f t="shared" si="256"/>
        <v>0</v>
      </c>
      <c r="N358">
        <f t="shared" si="257"/>
        <v>0</v>
      </c>
      <c r="O358">
        <f t="shared" si="258"/>
        <v>0</v>
      </c>
      <c r="P358">
        <f t="shared" si="259"/>
        <v>0</v>
      </c>
      <c r="Q358">
        <f t="shared" si="260"/>
        <v>0</v>
      </c>
      <c r="R358">
        <f t="shared" si="261"/>
        <v>0</v>
      </c>
      <c r="S358">
        <f t="shared" si="262"/>
        <v>0</v>
      </c>
      <c r="T358">
        <f t="shared" si="263"/>
        <v>0</v>
      </c>
      <c r="U358">
        <f t="shared" si="264"/>
        <v>0</v>
      </c>
      <c r="V358">
        <f t="shared" si="265"/>
        <v>0</v>
      </c>
      <c r="W358">
        <f t="shared" si="266"/>
        <v>0</v>
      </c>
      <c r="X358">
        <f t="shared" si="267"/>
        <v>0</v>
      </c>
      <c r="Y358">
        <f t="shared" si="268"/>
        <v>0</v>
      </c>
      <c r="Z358">
        <f t="shared" si="269"/>
        <v>0</v>
      </c>
      <c r="AA358">
        <f t="shared" si="270"/>
        <v>0</v>
      </c>
      <c r="AB358">
        <f t="shared" si="271"/>
        <v>0</v>
      </c>
      <c r="AC358">
        <f t="shared" si="272"/>
        <v>0</v>
      </c>
      <c r="AD358">
        <f t="shared" si="273"/>
        <v>0</v>
      </c>
      <c r="AE358">
        <f t="shared" si="274"/>
        <v>0</v>
      </c>
      <c r="AF358">
        <f t="shared" si="275"/>
        <v>0</v>
      </c>
      <c r="AG358">
        <f t="shared" si="276"/>
        <v>0</v>
      </c>
      <c r="AH358">
        <f t="shared" si="277"/>
        <v>0</v>
      </c>
      <c r="AI358">
        <f t="shared" si="278"/>
        <v>0</v>
      </c>
      <c r="AJ358">
        <f t="shared" si="279"/>
        <v>0</v>
      </c>
      <c r="AK358">
        <f t="shared" si="280"/>
        <v>0</v>
      </c>
      <c r="AL358">
        <f t="shared" si="281"/>
        <v>0</v>
      </c>
      <c r="AM358">
        <f t="shared" si="282"/>
        <v>0</v>
      </c>
      <c r="AN358">
        <f t="shared" si="283"/>
        <v>0</v>
      </c>
      <c r="AO358">
        <f t="shared" si="284"/>
        <v>0</v>
      </c>
      <c r="AP358">
        <f t="shared" si="285"/>
        <v>0</v>
      </c>
      <c r="AQ358">
        <f t="shared" si="286"/>
        <v>0</v>
      </c>
      <c r="AR358">
        <f t="shared" si="287"/>
        <v>0</v>
      </c>
      <c r="AS358">
        <f t="shared" si="288"/>
        <v>0</v>
      </c>
      <c r="AT358">
        <f t="shared" si="289"/>
        <v>0</v>
      </c>
      <c r="AU358">
        <f t="shared" si="290"/>
        <v>0</v>
      </c>
      <c r="AV358">
        <f t="shared" si="291"/>
        <v>0</v>
      </c>
      <c r="AW358">
        <f t="shared" si="245"/>
        <v>0</v>
      </c>
      <c r="AX358">
        <f t="shared" si="292"/>
        <v>0</v>
      </c>
      <c r="AY358">
        <f t="shared" si="293"/>
        <v>0</v>
      </c>
    </row>
    <row r="359" spans="1:51" x14ac:dyDescent="0.35">
      <c r="A359">
        <v>353</v>
      </c>
      <c r="C359">
        <f t="shared" si="246"/>
        <v>0</v>
      </c>
      <c r="D359">
        <f t="shared" si="247"/>
        <v>0</v>
      </c>
      <c r="E359">
        <f t="shared" si="248"/>
        <v>0</v>
      </c>
      <c r="F359">
        <f t="shared" si="249"/>
        <v>0</v>
      </c>
      <c r="G359">
        <f t="shared" si="250"/>
        <v>0</v>
      </c>
      <c r="H359">
        <f t="shared" si="251"/>
        <v>0</v>
      </c>
      <c r="I359">
        <f t="shared" si="252"/>
        <v>0</v>
      </c>
      <c r="J359">
        <f t="shared" si="253"/>
        <v>0</v>
      </c>
      <c r="K359">
        <f t="shared" si="254"/>
        <v>0</v>
      </c>
      <c r="L359">
        <f t="shared" si="255"/>
        <v>0</v>
      </c>
      <c r="M359">
        <f t="shared" si="256"/>
        <v>0</v>
      </c>
      <c r="N359">
        <f t="shared" si="257"/>
        <v>0</v>
      </c>
      <c r="O359">
        <f t="shared" si="258"/>
        <v>0</v>
      </c>
      <c r="P359">
        <f t="shared" si="259"/>
        <v>0</v>
      </c>
      <c r="Q359">
        <f t="shared" si="260"/>
        <v>0</v>
      </c>
      <c r="R359">
        <f t="shared" si="261"/>
        <v>0</v>
      </c>
      <c r="S359">
        <f t="shared" si="262"/>
        <v>0</v>
      </c>
      <c r="T359">
        <f t="shared" si="263"/>
        <v>0</v>
      </c>
      <c r="U359">
        <f t="shared" si="264"/>
        <v>0</v>
      </c>
      <c r="V359">
        <f t="shared" si="265"/>
        <v>0</v>
      </c>
      <c r="W359">
        <f t="shared" si="266"/>
        <v>0</v>
      </c>
      <c r="X359">
        <f t="shared" si="267"/>
        <v>0</v>
      </c>
      <c r="Y359">
        <f t="shared" si="268"/>
        <v>0</v>
      </c>
      <c r="Z359">
        <f t="shared" si="269"/>
        <v>0</v>
      </c>
      <c r="AA359">
        <f t="shared" si="270"/>
        <v>0</v>
      </c>
      <c r="AB359">
        <f t="shared" si="271"/>
        <v>0</v>
      </c>
      <c r="AC359">
        <f t="shared" si="272"/>
        <v>0</v>
      </c>
      <c r="AD359">
        <f t="shared" si="273"/>
        <v>0</v>
      </c>
      <c r="AE359">
        <f t="shared" si="274"/>
        <v>0</v>
      </c>
      <c r="AF359">
        <f t="shared" si="275"/>
        <v>0</v>
      </c>
      <c r="AG359">
        <f t="shared" si="276"/>
        <v>0</v>
      </c>
      <c r="AH359">
        <f t="shared" si="277"/>
        <v>0</v>
      </c>
      <c r="AI359">
        <f t="shared" si="278"/>
        <v>0</v>
      </c>
      <c r="AJ359">
        <f t="shared" si="279"/>
        <v>0</v>
      </c>
      <c r="AK359">
        <f t="shared" si="280"/>
        <v>0</v>
      </c>
      <c r="AL359">
        <f t="shared" si="281"/>
        <v>0</v>
      </c>
      <c r="AM359">
        <f t="shared" si="282"/>
        <v>0</v>
      </c>
      <c r="AN359">
        <f t="shared" si="283"/>
        <v>0</v>
      </c>
      <c r="AO359">
        <f t="shared" si="284"/>
        <v>0</v>
      </c>
      <c r="AP359">
        <f t="shared" si="285"/>
        <v>0</v>
      </c>
      <c r="AQ359">
        <f t="shared" si="286"/>
        <v>0</v>
      </c>
      <c r="AR359">
        <f t="shared" si="287"/>
        <v>0</v>
      </c>
      <c r="AS359">
        <f t="shared" si="288"/>
        <v>0</v>
      </c>
      <c r="AT359">
        <f t="shared" si="289"/>
        <v>0</v>
      </c>
      <c r="AU359">
        <f t="shared" si="290"/>
        <v>0</v>
      </c>
      <c r="AV359">
        <f t="shared" si="291"/>
        <v>0</v>
      </c>
      <c r="AW359">
        <f t="shared" si="245"/>
        <v>0</v>
      </c>
      <c r="AX359">
        <f t="shared" si="292"/>
        <v>0</v>
      </c>
      <c r="AY359">
        <f t="shared" si="293"/>
        <v>0</v>
      </c>
    </row>
    <row r="360" spans="1:51" x14ac:dyDescent="0.35">
      <c r="A360">
        <v>354</v>
      </c>
      <c r="C360">
        <f t="shared" si="246"/>
        <v>0</v>
      </c>
      <c r="D360">
        <f t="shared" si="247"/>
        <v>0</v>
      </c>
      <c r="E360">
        <f t="shared" si="248"/>
        <v>0</v>
      </c>
      <c r="F360">
        <f t="shared" si="249"/>
        <v>0</v>
      </c>
      <c r="G360">
        <f t="shared" si="250"/>
        <v>0</v>
      </c>
      <c r="H360">
        <f t="shared" si="251"/>
        <v>0</v>
      </c>
      <c r="I360">
        <f t="shared" si="252"/>
        <v>0</v>
      </c>
      <c r="J360">
        <f t="shared" si="253"/>
        <v>0</v>
      </c>
      <c r="K360">
        <f t="shared" si="254"/>
        <v>0</v>
      </c>
      <c r="L360">
        <f t="shared" si="255"/>
        <v>0</v>
      </c>
      <c r="M360">
        <f t="shared" si="256"/>
        <v>0</v>
      </c>
      <c r="N360">
        <f t="shared" si="257"/>
        <v>0</v>
      </c>
      <c r="O360">
        <f t="shared" si="258"/>
        <v>0</v>
      </c>
      <c r="P360">
        <f t="shared" si="259"/>
        <v>0</v>
      </c>
      <c r="Q360">
        <f t="shared" si="260"/>
        <v>0</v>
      </c>
      <c r="R360">
        <f t="shared" si="261"/>
        <v>0</v>
      </c>
      <c r="S360">
        <f t="shared" si="262"/>
        <v>0</v>
      </c>
      <c r="T360">
        <f t="shared" si="263"/>
        <v>0</v>
      </c>
      <c r="U360">
        <f t="shared" si="264"/>
        <v>0</v>
      </c>
      <c r="V360">
        <f t="shared" si="265"/>
        <v>0</v>
      </c>
      <c r="W360">
        <f t="shared" si="266"/>
        <v>0</v>
      </c>
      <c r="X360">
        <f t="shared" si="267"/>
        <v>0</v>
      </c>
      <c r="Y360">
        <f t="shared" si="268"/>
        <v>0</v>
      </c>
      <c r="Z360">
        <f t="shared" si="269"/>
        <v>0</v>
      </c>
      <c r="AA360">
        <f t="shared" si="270"/>
        <v>0</v>
      </c>
      <c r="AB360">
        <f t="shared" si="271"/>
        <v>0</v>
      </c>
      <c r="AC360">
        <f t="shared" si="272"/>
        <v>0</v>
      </c>
      <c r="AD360">
        <f t="shared" si="273"/>
        <v>0</v>
      </c>
      <c r="AE360">
        <f t="shared" si="274"/>
        <v>0</v>
      </c>
      <c r="AF360">
        <f t="shared" si="275"/>
        <v>0</v>
      </c>
      <c r="AG360">
        <f t="shared" si="276"/>
        <v>0</v>
      </c>
      <c r="AH360">
        <f t="shared" si="277"/>
        <v>0</v>
      </c>
      <c r="AI360">
        <f t="shared" si="278"/>
        <v>0</v>
      </c>
      <c r="AJ360">
        <f t="shared" si="279"/>
        <v>0</v>
      </c>
      <c r="AK360">
        <f t="shared" si="280"/>
        <v>0</v>
      </c>
      <c r="AL360">
        <f t="shared" si="281"/>
        <v>0</v>
      </c>
      <c r="AM360">
        <f t="shared" si="282"/>
        <v>0</v>
      </c>
      <c r="AN360">
        <f t="shared" si="283"/>
        <v>0</v>
      </c>
      <c r="AO360">
        <f t="shared" si="284"/>
        <v>0</v>
      </c>
      <c r="AP360">
        <f t="shared" si="285"/>
        <v>0</v>
      </c>
      <c r="AQ360">
        <f t="shared" si="286"/>
        <v>0</v>
      </c>
      <c r="AR360">
        <f t="shared" si="287"/>
        <v>0</v>
      </c>
      <c r="AS360">
        <f t="shared" si="288"/>
        <v>0</v>
      </c>
      <c r="AT360">
        <f t="shared" si="289"/>
        <v>0</v>
      </c>
      <c r="AU360">
        <f t="shared" si="290"/>
        <v>0</v>
      </c>
      <c r="AV360">
        <f t="shared" si="291"/>
        <v>0</v>
      </c>
      <c r="AW360">
        <f t="shared" si="245"/>
        <v>0</v>
      </c>
      <c r="AX360">
        <f t="shared" si="292"/>
        <v>0</v>
      </c>
      <c r="AY360">
        <f t="shared" si="293"/>
        <v>0</v>
      </c>
    </row>
    <row r="361" spans="1:51" x14ac:dyDescent="0.35">
      <c r="A361">
        <v>355</v>
      </c>
      <c r="C361">
        <f t="shared" si="246"/>
        <v>0</v>
      </c>
      <c r="D361">
        <f t="shared" si="247"/>
        <v>0</v>
      </c>
      <c r="E361">
        <f t="shared" si="248"/>
        <v>0</v>
      </c>
      <c r="F361">
        <f t="shared" si="249"/>
        <v>0</v>
      </c>
      <c r="G361">
        <f t="shared" si="250"/>
        <v>0</v>
      </c>
      <c r="H361">
        <f t="shared" si="251"/>
        <v>0</v>
      </c>
      <c r="I361">
        <f t="shared" si="252"/>
        <v>0</v>
      </c>
      <c r="J361">
        <f t="shared" si="253"/>
        <v>0</v>
      </c>
      <c r="K361">
        <f t="shared" si="254"/>
        <v>0</v>
      </c>
      <c r="L361">
        <f t="shared" si="255"/>
        <v>0</v>
      </c>
      <c r="M361">
        <f t="shared" si="256"/>
        <v>0</v>
      </c>
      <c r="N361">
        <f t="shared" si="257"/>
        <v>0</v>
      </c>
      <c r="O361">
        <f t="shared" si="258"/>
        <v>0</v>
      </c>
      <c r="P361">
        <f t="shared" si="259"/>
        <v>0</v>
      </c>
      <c r="Q361">
        <f t="shared" si="260"/>
        <v>0</v>
      </c>
      <c r="R361">
        <f t="shared" si="261"/>
        <v>0</v>
      </c>
      <c r="S361">
        <f t="shared" si="262"/>
        <v>0</v>
      </c>
      <c r="T361">
        <f t="shared" si="263"/>
        <v>0</v>
      </c>
      <c r="U361">
        <f t="shared" si="264"/>
        <v>0</v>
      </c>
      <c r="V361">
        <f t="shared" si="265"/>
        <v>0</v>
      </c>
      <c r="W361">
        <f t="shared" si="266"/>
        <v>0</v>
      </c>
      <c r="X361">
        <f t="shared" si="267"/>
        <v>0</v>
      </c>
      <c r="Y361">
        <f t="shared" si="268"/>
        <v>0</v>
      </c>
      <c r="Z361">
        <f t="shared" si="269"/>
        <v>0</v>
      </c>
      <c r="AA361">
        <f t="shared" si="270"/>
        <v>0</v>
      </c>
      <c r="AB361">
        <f t="shared" si="271"/>
        <v>0</v>
      </c>
      <c r="AC361">
        <f t="shared" si="272"/>
        <v>0</v>
      </c>
      <c r="AD361">
        <f t="shared" si="273"/>
        <v>0</v>
      </c>
      <c r="AE361">
        <f t="shared" si="274"/>
        <v>0</v>
      </c>
      <c r="AF361">
        <f t="shared" si="275"/>
        <v>0</v>
      </c>
      <c r="AG361">
        <f t="shared" si="276"/>
        <v>0</v>
      </c>
      <c r="AH361">
        <f t="shared" si="277"/>
        <v>0</v>
      </c>
      <c r="AI361">
        <f t="shared" si="278"/>
        <v>0</v>
      </c>
      <c r="AJ361">
        <f t="shared" si="279"/>
        <v>0</v>
      </c>
      <c r="AK361">
        <f t="shared" si="280"/>
        <v>0</v>
      </c>
      <c r="AL361">
        <f t="shared" si="281"/>
        <v>0</v>
      </c>
      <c r="AM361">
        <f t="shared" si="282"/>
        <v>0</v>
      </c>
      <c r="AN361">
        <f t="shared" si="283"/>
        <v>0</v>
      </c>
      <c r="AO361">
        <f t="shared" si="284"/>
        <v>0</v>
      </c>
      <c r="AP361">
        <f t="shared" si="285"/>
        <v>0</v>
      </c>
      <c r="AQ361">
        <f t="shared" si="286"/>
        <v>0</v>
      </c>
      <c r="AR361">
        <f t="shared" si="287"/>
        <v>0</v>
      </c>
      <c r="AS361">
        <f t="shared" si="288"/>
        <v>0</v>
      </c>
      <c r="AT361">
        <f t="shared" si="289"/>
        <v>0</v>
      </c>
      <c r="AU361">
        <f t="shared" si="290"/>
        <v>0</v>
      </c>
      <c r="AV361">
        <f t="shared" si="291"/>
        <v>0</v>
      </c>
      <c r="AW361">
        <f t="shared" si="245"/>
        <v>0</v>
      </c>
      <c r="AX361">
        <f t="shared" si="292"/>
        <v>0</v>
      </c>
      <c r="AY361">
        <f t="shared" si="293"/>
        <v>0</v>
      </c>
    </row>
    <row r="362" spans="1:51" x14ac:dyDescent="0.35">
      <c r="A362">
        <v>356</v>
      </c>
      <c r="C362">
        <f t="shared" si="246"/>
        <v>0</v>
      </c>
      <c r="D362">
        <f t="shared" si="247"/>
        <v>0</v>
      </c>
      <c r="E362">
        <f t="shared" si="248"/>
        <v>0</v>
      </c>
      <c r="F362">
        <f t="shared" si="249"/>
        <v>0</v>
      </c>
      <c r="G362">
        <f t="shared" si="250"/>
        <v>0</v>
      </c>
      <c r="H362">
        <f t="shared" si="251"/>
        <v>0</v>
      </c>
      <c r="I362">
        <f t="shared" si="252"/>
        <v>0</v>
      </c>
      <c r="J362">
        <f t="shared" si="253"/>
        <v>0</v>
      </c>
      <c r="K362">
        <f t="shared" si="254"/>
        <v>0</v>
      </c>
      <c r="L362">
        <f t="shared" si="255"/>
        <v>0</v>
      </c>
      <c r="M362">
        <f t="shared" si="256"/>
        <v>0</v>
      </c>
      <c r="N362">
        <f t="shared" si="257"/>
        <v>0</v>
      </c>
      <c r="O362">
        <f t="shared" si="258"/>
        <v>0</v>
      </c>
      <c r="P362">
        <f t="shared" si="259"/>
        <v>0</v>
      </c>
      <c r="Q362">
        <f t="shared" si="260"/>
        <v>0</v>
      </c>
      <c r="R362">
        <f t="shared" si="261"/>
        <v>0</v>
      </c>
      <c r="S362">
        <f t="shared" si="262"/>
        <v>0</v>
      </c>
      <c r="T362">
        <f t="shared" si="263"/>
        <v>0</v>
      </c>
      <c r="U362">
        <f t="shared" si="264"/>
        <v>0</v>
      </c>
      <c r="V362">
        <f t="shared" si="265"/>
        <v>0</v>
      </c>
      <c r="W362">
        <f t="shared" si="266"/>
        <v>0</v>
      </c>
      <c r="X362">
        <f t="shared" si="267"/>
        <v>0</v>
      </c>
      <c r="Y362">
        <f t="shared" si="268"/>
        <v>0</v>
      </c>
      <c r="Z362">
        <f t="shared" si="269"/>
        <v>0</v>
      </c>
      <c r="AA362">
        <f t="shared" si="270"/>
        <v>0</v>
      </c>
      <c r="AB362">
        <f t="shared" si="271"/>
        <v>0</v>
      </c>
      <c r="AC362">
        <f t="shared" si="272"/>
        <v>0</v>
      </c>
      <c r="AD362">
        <f t="shared" si="273"/>
        <v>0</v>
      </c>
      <c r="AE362">
        <f t="shared" si="274"/>
        <v>0</v>
      </c>
      <c r="AF362">
        <f t="shared" si="275"/>
        <v>0</v>
      </c>
      <c r="AG362">
        <f t="shared" si="276"/>
        <v>0</v>
      </c>
      <c r="AH362">
        <f t="shared" si="277"/>
        <v>0</v>
      </c>
      <c r="AI362">
        <f t="shared" si="278"/>
        <v>0</v>
      </c>
      <c r="AJ362">
        <f t="shared" si="279"/>
        <v>0</v>
      </c>
      <c r="AK362">
        <f t="shared" si="280"/>
        <v>0</v>
      </c>
      <c r="AL362">
        <f t="shared" si="281"/>
        <v>0</v>
      </c>
      <c r="AM362">
        <f t="shared" si="282"/>
        <v>0</v>
      </c>
      <c r="AN362">
        <f t="shared" si="283"/>
        <v>0</v>
      </c>
      <c r="AO362">
        <f t="shared" si="284"/>
        <v>0</v>
      </c>
      <c r="AP362">
        <f t="shared" si="285"/>
        <v>0</v>
      </c>
      <c r="AQ362">
        <f t="shared" si="286"/>
        <v>0</v>
      </c>
      <c r="AR362">
        <f t="shared" si="287"/>
        <v>0</v>
      </c>
      <c r="AS362">
        <f t="shared" si="288"/>
        <v>0</v>
      </c>
      <c r="AT362">
        <f t="shared" si="289"/>
        <v>0</v>
      </c>
      <c r="AU362">
        <f t="shared" si="290"/>
        <v>0</v>
      </c>
      <c r="AV362">
        <f t="shared" si="291"/>
        <v>0</v>
      </c>
      <c r="AW362">
        <f t="shared" si="245"/>
        <v>0</v>
      </c>
      <c r="AX362">
        <f t="shared" si="292"/>
        <v>0</v>
      </c>
      <c r="AY362">
        <f t="shared" si="293"/>
        <v>0</v>
      </c>
    </row>
    <row r="363" spans="1:51" x14ac:dyDescent="0.35">
      <c r="A363">
        <v>357</v>
      </c>
      <c r="C363">
        <f t="shared" si="246"/>
        <v>0</v>
      </c>
      <c r="D363">
        <f t="shared" si="247"/>
        <v>0</v>
      </c>
      <c r="E363">
        <f t="shared" si="248"/>
        <v>0</v>
      </c>
      <c r="F363">
        <f t="shared" si="249"/>
        <v>0</v>
      </c>
      <c r="G363">
        <f t="shared" si="250"/>
        <v>0</v>
      </c>
      <c r="H363">
        <f t="shared" si="251"/>
        <v>0</v>
      </c>
      <c r="I363">
        <f t="shared" si="252"/>
        <v>0</v>
      </c>
      <c r="J363">
        <f t="shared" si="253"/>
        <v>0</v>
      </c>
      <c r="K363">
        <f t="shared" si="254"/>
        <v>0</v>
      </c>
      <c r="L363">
        <f t="shared" si="255"/>
        <v>0</v>
      </c>
      <c r="M363">
        <f t="shared" si="256"/>
        <v>0</v>
      </c>
      <c r="N363">
        <f t="shared" si="257"/>
        <v>0</v>
      </c>
      <c r="O363">
        <f t="shared" si="258"/>
        <v>0</v>
      </c>
      <c r="P363">
        <f t="shared" si="259"/>
        <v>0</v>
      </c>
      <c r="Q363">
        <f t="shared" si="260"/>
        <v>0</v>
      </c>
      <c r="R363">
        <f t="shared" si="261"/>
        <v>0</v>
      </c>
      <c r="S363">
        <f t="shared" si="262"/>
        <v>0</v>
      </c>
      <c r="T363">
        <f t="shared" si="263"/>
        <v>0</v>
      </c>
      <c r="U363">
        <f t="shared" si="264"/>
        <v>0</v>
      </c>
      <c r="V363">
        <f t="shared" si="265"/>
        <v>0</v>
      </c>
      <c r="W363">
        <f t="shared" si="266"/>
        <v>0</v>
      </c>
      <c r="X363">
        <f t="shared" si="267"/>
        <v>0</v>
      </c>
      <c r="Y363">
        <f t="shared" si="268"/>
        <v>0</v>
      </c>
      <c r="Z363">
        <f t="shared" si="269"/>
        <v>0</v>
      </c>
      <c r="AA363">
        <f t="shared" si="270"/>
        <v>0</v>
      </c>
      <c r="AB363">
        <f t="shared" si="271"/>
        <v>0</v>
      </c>
      <c r="AC363">
        <f t="shared" si="272"/>
        <v>0</v>
      </c>
      <c r="AD363">
        <f t="shared" si="273"/>
        <v>0</v>
      </c>
      <c r="AE363">
        <f t="shared" si="274"/>
        <v>0</v>
      </c>
      <c r="AF363">
        <f t="shared" si="275"/>
        <v>0</v>
      </c>
      <c r="AG363">
        <f t="shared" si="276"/>
        <v>0</v>
      </c>
      <c r="AH363">
        <f t="shared" si="277"/>
        <v>0</v>
      </c>
      <c r="AI363">
        <f t="shared" si="278"/>
        <v>0</v>
      </c>
      <c r="AJ363">
        <f t="shared" si="279"/>
        <v>0</v>
      </c>
      <c r="AK363">
        <f t="shared" si="280"/>
        <v>0</v>
      </c>
      <c r="AL363">
        <f t="shared" si="281"/>
        <v>0</v>
      </c>
      <c r="AM363">
        <f t="shared" si="282"/>
        <v>0</v>
      </c>
      <c r="AN363">
        <f t="shared" si="283"/>
        <v>0</v>
      </c>
      <c r="AO363">
        <f t="shared" si="284"/>
        <v>0</v>
      </c>
      <c r="AP363">
        <f t="shared" si="285"/>
        <v>0</v>
      </c>
      <c r="AQ363">
        <f t="shared" si="286"/>
        <v>0</v>
      </c>
      <c r="AR363">
        <f t="shared" si="287"/>
        <v>0</v>
      </c>
      <c r="AS363">
        <f t="shared" si="288"/>
        <v>0</v>
      </c>
      <c r="AT363">
        <f t="shared" si="289"/>
        <v>0</v>
      </c>
      <c r="AU363">
        <f t="shared" si="290"/>
        <v>0</v>
      </c>
      <c r="AV363">
        <f t="shared" si="291"/>
        <v>0</v>
      </c>
      <c r="AW363">
        <f t="shared" si="245"/>
        <v>0</v>
      </c>
      <c r="AX363">
        <f t="shared" si="292"/>
        <v>0</v>
      </c>
      <c r="AY363">
        <f t="shared" si="293"/>
        <v>0</v>
      </c>
    </row>
    <row r="364" spans="1:51" x14ac:dyDescent="0.35">
      <c r="A364">
        <v>358</v>
      </c>
      <c r="C364">
        <f t="shared" si="246"/>
        <v>0</v>
      </c>
      <c r="D364">
        <f t="shared" si="247"/>
        <v>0</v>
      </c>
      <c r="E364">
        <f t="shared" si="248"/>
        <v>0</v>
      </c>
      <c r="F364">
        <f t="shared" si="249"/>
        <v>0</v>
      </c>
      <c r="G364">
        <f t="shared" si="250"/>
        <v>0</v>
      </c>
      <c r="H364">
        <f t="shared" si="251"/>
        <v>0</v>
      </c>
      <c r="I364">
        <f t="shared" si="252"/>
        <v>0</v>
      </c>
      <c r="J364">
        <f t="shared" si="253"/>
        <v>0</v>
      </c>
      <c r="K364">
        <f t="shared" si="254"/>
        <v>0</v>
      </c>
      <c r="L364">
        <f t="shared" si="255"/>
        <v>0</v>
      </c>
      <c r="M364">
        <f t="shared" si="256"/>
        <v>0</v>
      </c>
      <c r="N364">
        <f t="shared" si="257"/>
        <v>0</v>
      </c>
      <c r="O364">
        <f t="shared" si="258"/>
        <v>0</v>
      </c>
      <c r="P364">
        <f t="shared" si="259"/>
        <v>0</v>
      </c>
      <c r="Q364">
        <f t="shared" si="260"/>
        <v>0</v>
      </c>
      <c r="R364">
        <f t="shared" si="261"/>
        <v>0</v>
      </c>
      <c r="S364">
        <f t="shared" si="262"/>
        <v>0</v>
      </c>
      <c r="T364">
        <f t="shared" si="263"/>
        <v>0</v>
      </c>
      <c r="U364">
        <f t="shared" si="264"/>
        <v>0</v>
      </c>
      <c r="V364">
        <f t="shared" si="265"/>
        <v>0</v>
      </c>
      <c r="W364">
        <f t="shared" si="266"/>
        <v>0</v>
      </c>
      <c r="X364">
        <f t="shared" si="267"/>
        <v>0</v>
      </c>
      <c r="Y364">
        <f t="shared" si="268"/>
        <v>0</v>
      </c>
      <c r="Z364">
        <f t="shared" si="269"/>
        <v>0</v>
      </c>
      <c r="AA364">
        <f t="shared" si="270"/>
        <v>0</v>
      </c>
      <c r="AB364">
        <f t="shared" si="271"/>
        <v>0</v>
      </c>
      <c r="AC364">
        <f t="shared" si="272"/>
        <v>0</v>
      </c>
      <c r="AD364">
        <f t="shared" si="273"/>
        <v>0</v>
      </c>
      <c r="AE364">
        <f t="shared" si="274"/>
        <v>0</v>
      </c>
      <c r="AF364">
        <f t="shared" si="275"/>
        <v>0</v>
      </c>
      <c r="AG364">
        <f t="shared" si="276"/>
        <v>0</v>
      </c>
      <c r="AH364">
        <f t="shared" si="277"/>
        <v>0</v>
      </c>
      <c r="AI364">
        <f t="shared" si="278"/>
        <v>0</v>
      </c>
      <c r="AJ364">
        <f t="shared" si="279"/>
        <v>0</v>
      </c>
      <c r="AK364">
        <f t="shared" si="280"/>
        <v>0</v>
      </c>
      <c r="AL364">
        <f t="shared" si="281"/>
        <v>0</v>
      </c>
      <c r="AM364">
        <f t="shared" si="282"/>
        <v>0</v>
      </c>
      <c r="AN364">
        <f t="shared" si="283"/>
        <v>0</v>
      </c>
      <c r="AO364">
        <f t="shared" si="284"/>
        <v>0</v>
      </c>
      <c r="AP364">
        <f t="shared" si="285"/>
        <v>0</v>
      </c>
      <c r="AQ364">
        <f t="shared" si="286"/>
        <v>0</v>
      </c>
      <c r="AR364">
        <f t="shared" si="287"/>
        <v>0</v>
      </c>
      <c r="AS364">
        <f t="shared" si="288"/>
        <v>0</v>
      </c>
      <c r="AT364">
        <f t="shared" si="289"/>
        <v>0</v>
      </c>
      <c r="AU364">
        <f t="shared" si="290"/>
        <v>0</v>
      </c>
      <c r="AV364">
        <f t="shared" si="291"/>
        <v>0</v>
      </c>
      <c r="AW364">
        <f t="shared" si="245"/>
        <v>0</v>
      </c>
      <c r="AX364">
        <f t="shared" si="292"/>
        <v>0</v>
      </c>
      <c r="AY364">
        <f t="shared" si="293"/>
        <v>0</v>
      </c>
    </row>
    <row r="365" spans="1:51" x14ac:dyDescent="0.35">
      <c r="A365">
        <v>359</v>
      </c>
      <c r="C365">
        <f t="shared" si="246"/>
        <v>0</v>
      </c>
      <c r="D365">
        <f t="shared" si="247"/>
        <v>0</v>
      </c>
      <c r="E365">
        <f t="shared" si="248"/>
        <v>0</v>
      </c>
      <c r="F365">
        <f t="shared" si="249"/>
        <v>0</v>
      </c>
      <c r="G365">
        <f t="shared" si="250"/>
        <v>0</v>
      </c>
      <c r="H365">
        <f t="shared" si="251"/>
        <v>0</v>
      </c>
      <c r="I365">
        <f t="shared" si="252"/>
        <v>0</v>
      </c>
      <c r="J365">
        <f t="shared" si="253"/>
        <v>0</v>
      </c>
      <c r="K365">
        <f t="shared" si="254"/>
        <v>0</v>
      </c>
      <c r="L365">
        <f t="shared" si="255"/>
        <v>0</v>
      </c>
      <c r="M365">
        <f t="shared" si="256"/>
        <v>0</v>
      </c>
      <c r="N365">
        <f t="shared" si="257"/>
        <v>0</v>
      </c>
      <c r="O365">
        <f t="shared" si="258"/>
        <v>0</v>
      </c>
      <c r="P365">
        <f t="shared" si="259"/>
        <v>0</v>
      </c>
      <c r="Q365">
        <f t="shared" si="260"/>
        <v>0</v>
      </c>
      <c r="R365">
        <f t="shared" si="261"/>
        <v>0</v>
      </c>
      <c r="S365">
        <f t="shared" si="262"/>
        <v>0</v>
      </c>
      <c r="T365">
        <f t="shared" si="263"/>
        <v>0</v>
      </c>
      <c r="U365">
        <f t="shared" si="264"/>
        <v>0</v>
      </c>
      <c r="V365">
        <f t="shared" si="265"/>
        <v>0</v>
      </c>
      <c r="W365">
        <f t="shared" si="266"/>
        <v>0</v>
      </c>
      <c r="X365">
        <f t="shared" si="267"/>
        <v>0</v>
      </c>
      <c r="Y365">
        <f t="shared" si="268"/>
        <v>0</v>
      </c>
      <c r="Z365">
        <f t="shared" si="269"/>
        <v>0</v>
      </c>
      <c r="AA365">
        <f t="shared" si="270"/>
        <v>0</v>
      </c>
      <c r="AB365">
        <f t="shared" si="271"/>
        <v>0</v>
      </c>
      <c r="AC365">
        <f t="shared" si="272"/>
        <v>0</v>
      </c>
      <c r="AD365">
        <f t="shared" si="273"/>
        <v>0</v>
      </c>
      <c r="AE365">
        <f t="shared" si="274"/>
        <v>0</v>
      </c>
      <c r="AF365">
        <f t="shared" si="275"/>
        <v>0</v>
      </c>
      <c r="AG365">
        <f t="shared" si="276"/>
        <v>0</v>
      </c>
      <c r="AH365">
        <f t="shared" si="277"/>
        <v>0</v>
      </c>
      <c r="AI365">
        <f t="shared" si="278"/>
        <v>0</v>
      </c>
      <c r="AJ365">
        <f t="shared" si="279"/>
        <v>0</v>
      </c>
      <c r="AK365">
        <f t="shared" si="280"/>
        <v>0</v>
      </c>
      <c r="AL365">
        <f t="shared" si="281"/>
        <v>0</v>
      </c>
      <c r="AM365">
        <f t="shared" si="282"/>
        <v>0</v>
      </c>
      <c r="AN365">
        <f t="shared" si="283"/>
        <v>0</v>
      </c>
      <c r="AO365">
        <f t="shared" si="284"/>
        <v>0</v>
      </c>
      <c r="AP365">
        <f t="shared" si="285"/>
        <v>0</v>
      </c>
      <c r="AQ365">
        <f t="shared" si="286"/>
        <v>0</v>
      </c>
      <c r="AR365">
        <f t="shared" si="287"/>
        <v>0</v>
      </c>
      <c r="AS365">
        <f t="shared" si="288"/>
        <v>0</v>
      </c>
      <c r="AT365">
        <f t="shared" si="289"/>
        <v>0</v>
      </c>
      <c r="AU365">
        <f t="shared" si="290"/>
        <v>0</v>
      </c>
      <c r="AV365">
        <f t="shared" si="291"/>
        <v>0</v>
      </c>
      <c r="AW365">
        <f t="shared" si="245"/>
        <v>0</v>
      </c>
      <c r="AX365">
        <f t="shared" si="292"/>
        <v>0</v>
      </c>
      <c r="AY365">
        <f t="shared" si="293"/>
        <v>0</v>
      </c>
    </row>
    <row r="366" spans="1:51" x14ac:dyDescent="0.35">
      <c r="A366">
        <v>360</v>
      </c>
      <c r="C366">
        <f t="shared" si="246"/>
        <v>0</v>
      </c>
      <c r="D366">
        <f t="shared" si="247"/>
        <v>0</v>
      </c>
      <c r="E366">
        <f t="shared" si="248"/>
        <v>0</v>
      </c>
      <c r="F366">
        <f t="shared" si="249"/>
        <v>0</v>
      </c>
      <c r="G366">
        <f t="shared" si="250"/>
        <v>0</v>
      </c>
      <c r="H366">
        <f t="shared" si="251"/>
        <v>0</v>
      </c>
      <c r="I366">
        <f t="shared" si="252"/>
        <v>0</v>
      </c>
      <c r="J366">
        <f t="shared" si="253"/>
        <v>0</v>
      </c>
      <c r="K366">
        <f t="shared" si="254"/>
        <v>0</v>
      </c>
      <c r="L366">
        <f t="shared" si="255"/>
        <v>0</v>
      </c>
      <c r="M366">
        <f t="shared" si="256"/>
        <v>0</v>
      </c>
      <c r="N366">
        <f t="shared" si="257"/>
        <v>0</v>
      </c>
      <c r="O366">
        <f t="shared" si="258"/>
        <v>0</v>
      </c>
      <c r="P366">
        <f t="shared" si="259"/>
        <v>0</v>
      </c>
      <c r="Q366">
        <f t="shared" si="260"/>
        <v>0</v>
      </c>
      <c r="R366">
        <f t="shared" si="261"/>
        <v>0</v>
      </c>
      <c r="S366">
        <f t="shared" si="262"/>
        <v>0</v>
      </c>
      <c r="T366">
        <f t="shared" si="263"/>
        <v>0</v>
      </c>
      <c r="U366">
        <f t="shared" si="264"/>
        <v>0</v>
      </c>
      <c r="V366">
        <f t="shared" si="265"/>
        <v>0</v>
      </c>
      <c r="W366">
        <f t="shared" si="266"/>
        <v>0</v>
      </c>
      <c r="X366">
        <f t="shared" si="267"/>
        <v>0</v>
      </c>
      <c r="Y366">
        <f t="shared" si="268"/>
        <v>0</v>
      </c>
      <c r="Z366">
        <f t="shared" si="269"/>
        <v>0</v>
      </c>
      <c r="AA366">
        <f t="shared" si="270"/>
        <v>0</v>
      </c>
      <c r="AB366">
        <f t="shared" si="271"/>
        <v>0</v>
      </c>
      <c r="AC366">
        <f t="shared" si="272"/>
        <v>0</v>
      </c>
      <c r="AD366">
        <f t="shared" si="273"/>
        <v>0</v>
      </c>
      <c r="AE366">
        <f t="shared" si="274"/>
        <v>0</v>
      </c>
      <c r="AF366">
        <f t="shared" si="275"/>
        <v>0</v>
      </c>
      <c r="AG366">
        <f t="shared" si="276"/>
        <v>0</v>
      </c>
      <c r="AH366">
        <f t="shared" si="277"/>
        <v>0</v>
      </c>
      <c r="AI366">
        <f t="shared" si="278"/>
        <v>0</v>
      </c>
      <c r="AJ366">
        <f t="shared" si="279"/>
        <v>0</v>
      </c>
      <c r="AK366">
        <f t="shared" si="280"/>
        <v>0</v>
      </c>
      <c r="AL366">
        <f t="shared" si="281"/>
        <v>0</v>
      </c>
      <c r="AM366">
        <f t="shared" si="282"/>
        <v>0</v>
      </c>
      <c r="AN366">
        <f t="shared" si="283"/>
        <v>0</v>
      </c>
      <c r="AO366">
        <f t="shared" si="284"/>
        <v>0</v>
      </c>
      <c r="AP366">
        <f t="shared" si="285"/>
        <v>0</v>
      </c>
      <c r="AQ366">
        <f t="shared" si="286"/>
        <v>0</v>
      </c>
      <c r="AR366">
        <f t="shared" si="287"/>
        <v>0</v>
      </c>
      <c r="AS366">
        <f t="shared" si="288"/>
        <v>0</v>
      </c>
      <c r="AT366">
        <f t="shared" si="289"/>
        <v>0</v>
      </c>
      <c r="AU366">
        <f t="shared" si="290"/>
        <v>0</v>
      </c>
      <c r="AV366">
        <f t="shared" si="291"/>
        <v>0</v>
      </c>
      <c r="AW366">
        <f t="shared" si="245"/>
        <v>0</v>
      </c>
      <c r="AX366">
        <f t="shared" si="292"/>
        <v>0</v>
      </c>
      <c r="AY366">
        <f t="shared" si="293"/>
        <v>0</v>
      </c>
    </row>
    <row r="368" spans="1:51" x14ac:dyDescent="0.35">
      <c r="A368" t="s">
        <v>201</v>
      </c>
      <c r="AH368">
        <f t="shared" ref="AH368:AV368" si="294">SUM(D7:D366)+SUM(S7:S366)</f>
        <v>650</v>
      </c>
      <c r="AI368">
        <f t="shared" si="294"/>
        <v>2161.67</v>
      </c>
      <c r="AJ368">
        <f t="shared" si="294"/>
        <v>8389.8700000000008</v>
      </c>
      <c r="AK368">
        <f t="shared" si="294"/>
        <v>12964.54</v>
      </c>
      <c r="AL368">
        <f t="shared" si="294"/>
        <v>0</v>
      </c>
      <c r="AM368">
        <f t="shared" si="294"/>
        <v>0</v>
      </c>
      <c r="AN368">
        <f t="shared" si="294"/>
        <v>0</v>
      </c>
      <c r="AO368">
        <f t="shared" si="294"/>
        <v>0</v>
      </c>
      <c r="AP368">
        <f t="shared" si="294"/>
        <v>0</v>
      </c>
      <c r="AQ368">
        <f t="shared" si="294"/>
        <v>0</v>
      </c>
      <c r="AR368">
        <f t="shared" si="294"/>
        <v>0</v>
      </c>
      <c r="AS368">
        <f t="shared" si="294"/>
        <v>0</v>
      </c>
      <c r="AT368">
        <f t="shared" si="294"/>
        <v>0</v>
      </c>
      <c r="AU368">
        <f t="shared" si="294"/>
        <v>0</v>
      </c>
      <c r="AV368">
        <f t="shared" si="294"/>
        <v>0</v>
      </c>
    </row>
    <row r="369" spans="1:48" x14ac:dyDescent="0.35">
      <c r="A369" t="s">
        <v>202</v>
      </c>
      <c r="AH369">
        <f t="shared" ref="AH369:AV369" si="295">IF(AH2=0,0,IF(AH366&gt;0.005,999,COUNTIF(AH7:AH366,"&gt;0.005")+1))</f>
        <v>13</v>
      </c>
      <c r="AI369">
        <f t="shared" si="295"/>
        <v>55</v>
      </c>
      <c r="AJ369">
        <f t="shared" si="295"/>
        <v>58</v>
      </c>
      <c r="AK369">
        <f t="shared" si="295"/>
        <v>42</v>
      </c>
      <c r="AL369">
        <f t="shared" si="295"/>
        <v>0</v>
      </c>
      <c r="AM369">
        <f t="shared" si="295"/>
        <v>0</v>
      </c>
      <c r="AN369">
        <f t="shared" si="295"/>
        <v>0</v>
      </c>
      <c r="AO369">
        <f t="shared" si="295"/>
        <v>0</v>
      </c>
      <c r="AP369">
        <f t="shared" si="295"/>
        <v>0</v>
      </c>
      <c r="AQ369">
        <f t="shared" si="295"/>
        <v>0</v>
      </c>
      <c r="AR369">
        <f t="shared" si="295"/>
        <v>0</v>
      </c>
      <c r="AS369">
        <f t="shared" si="295"/>
        <v>0</v>
      </c>
      <c r="AT369">
        <f t="shared" si="295"/>
        <v>0</v>
      </c>
      <c r="AU369">
        <f t="shared" si="295"/>
        <v>0</v>
      </c>
      <c r="AV369">
        <f t="shared" si="295"/>
        <v>0</v>
      </c>
    </row>
    <row r="370" spans="1:48" x14ac:dyDescent="0.35">
      <c r="A370" t="s">
        <v>61</v>
      </c>
      <c r="AH370">
        <f t="shared" ref="AH370:AV370" si="296">IF(AH2=0,0,ROUND(AH368-AH6+AH366,2))</f>
        <v>0</v>
      </c>
      <c r="AI370">
        <f t="shared" si="296"/>
        <v>961.67</v>
      </c>
      <c r="AJ370">
        <f t="shared" si="296"/>
        <v>3539.87</v>
      </c>
      <c r="AK370">
        <f t="shared" si="296"/>
        <v>1564.54</v>
      </c>
      <c r="AL370">
        <f t="shared" si="296"/>
        <v>0</v>
      </c>
      <c r="AM370">
        <f t="shared" si="296"/>
        <v>0</v>
      </c>
      <c r="AN370">
        <f t="shared" si="296"/>
        <v>0</v>
      </c>
      <c r="AO370">
        <f t="shared" si="296"/>
        <v>0</v>
      </c>
      <c r="AP370">
        <f t="shared" si="296"/>
        <v>0</v>
      </c>
      <c r="AQ370">
        <f t="shared" si="296"/>
        <v>0</v>
      </c>
      <c r="AR370">
        <f t="shared" si="296"/>
        <v>0</v>
      </c>
      <c r="AS370">
        <f t="shared" si="296"/>
        <v>0</v>
      </c>
      <c r="AT370">
        <f t="shared" si="296"/>
        <v>0</v>
      </c>
      <c r="AU370">
        <f t="shared" si="296"/>
        <v>0</v>
      </c>
      <c r="AV370">
        <f t="shared" si="296"/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A3B4F"/>
  </sheetPr>
  <dimension ref="A1:AY370"/>
  <sheetViews>
    <sheetView workbookViewId="0"/>
  </sheetViews>
  <sheetFormatPr defaultRowHeight="14.5" x14ac:dyDescent="0.35"/>
  <sheetData>
    <row r="1" spans="1:51" x14ac:dyDescent="0.35">
      <c r="A1" t="s">
        <v>203</v>
      </c>
    </row>
    <row r="2" spans="1:51" x14ac:dyDescent="0.35">
      <c r="A2" t="s">
        <v>151</v>
      </c>
      <c r="AH2">
        <f>IFERROR(MATCH(1,Calc!$I$10:$I$24,0),0)</f>
        <v>4</v>
      </c>
      <c r="AI2">
        <f>IFERROR(MATCH(2,Calc!$I$10:$I$24,0),0)</f>
        <v>2</v>
      </c>
      <c r="AJ2">
        <f>IFERROR(MATCH(3,Calc!$I$10:$I$24,0),0)</f>
        <v>1</v>
      </c>
      <c r="AK2">
        <f>IFERROR(MATCH(4,Calc!$I$10:$I$24,0),0)</f>
        <v>3</v>
      </c>
      <c r="AL2">
        <f>IFERROR(MATCH(5,Calc!$I$10:$I$24,0),0)</f>
        <v>0</v>
      </c>
      <c r="AM2">
        <f>IFERROR(MATCH(6,Calc!$I$10:$I$24,0),0)</f>
        <v>0</v>
      </c>
      <c r="AN2">
        <f>IFERROR(MATCH(7,Calc!$I$10:$I$24,0),0)</f>
        <v>0</v>
      </c>
      <c r="AO2">
        <f>IFERROR(MATCH(8,Calc!$I$10:$I$24,0),0)</f>
        <v>0</v>
      </c>
      <c r="AP2">
        <f>IFERROR(MATCH(9,Calc!$I$10:$I$24,0),0)</f>
        <v>0</v>
      </c>
      <c r="AQ2">
        <f>IFERROR(MATCH(10,Calc!$I$10:$I$24,0),0)</f>
        <v>0</v>
      </c>
      <c r="AR2">
        <f>IFERROR(MATCH(11,Calc!$I$10:$I$24,0),0)</f>
        <v>0</v>
      </c>
      <c r="AS2">
        <f>IFERROR(MATCH(12,Calc!$I$10:$I$24,0),0)</f>
        <v>0</v>
      </c>
      <c r="AT2">
        <f>IFERROR(MATCH(13,Calc!$I$10:$I$24,0),0)</f>
        <v>0</v>
      </c>
      <c r="AU2">
        <f>IFERROR(MATCH(14,Calc!$I$10:$I$24,0),0)</f>
        <v>0</v>
      </c>
      <c r="AV2">
        <f>IFERROR(MATCH(15,Calc!$I$10:$I$24,0),0)</f>
        <v>0</v>
      </c>
    </row>
    <row r="3" spans="1:51" x14ac:dyDescent="0.35">
      <c r="A3" t="s">
        <v>152</v>
      </c>
      <c r="AH3">
        <f>IF(AH2=0,0,INDEX(Calc!$E$10:$E$24,AH2)/1200)</f>
        <v>0</v>
      </c>
      <c r="AI3">
        <f>IF(AI2=0,0,INDEX(Calc!$E$10:$E$24,AI2)/1200)</f>
        <v>2.4158333333333334E-2</v>
      </c>
      <c r="AJ3">
        <f>IF(AJ2=0,0,INDEX(Calc!$E$10:$E$24,AJ2)/1200)</f>
        <v>2.0825E-2</v>
      </c>
      <c r="AK3">
        <f>IF(AK2=0,0,INDEX(Calc!$E$10:$E$24,AK2)/1200)</f>
        <v>6.2500000000000003E-3</v>
      </c>
      <c r="AL3">
        <f>IF(AL2=0,0,INDEX(Calc!$E$10:$E$24,AL2)/1200)</f>
        <v>0</v>
      </c>
      <c r="AM3">
        <f>IF(AM2=0,0,INDEX(Calc!$E$10:$E$24,AM2)/1200)</f>
        <v>0</v>
      </c>
      <c r="AN3">
        <f>IF(AN2=0,0,INDEX(Calc!$E$10:$E$24,AN2)/1200)</f>
        <v>0</v>
      </c>
      <c r="AO3">
        <f>IF(AO2=0,0,INDEX(Calc!$E$10:$E$24,AO2)/1200)</f>
        <v>0</v>
      </c>
      <c r="AP3">
        <f>IF(AP2=0,0,INDEX(Calc!$E$10:$E$24,AP2)/1200)</f>
        <v>0</v>
      </c>
      <c r="AQ3">
        <f>IF(AQ2=0,0,INDEX(Calc!$E$10:$E$24,AQ2)/1200)</f>
        <v>0</v>
      </c>
      <c r="AR3">
        <f>IF(AR2=0,0,INDEX(Calc!$E$10:$E$24,AR2)/1200)</f>
        <v>0</v>
      </c>
      <c r="AS3">
        <f>IF(AS2=0,0,INDEX(Calc!$E$10:$E$24,AS2)/1200)</f>
        <v>0</v>
      </c>
      <c r="AT3">
        <f>IF(AT2=0,0,INDEX(Calc!$E$10:$E$24,AT2)/1200)</f>
        <v>0</v>
      </c>
      <c r="AU3">
        <f>IF(AU2=0,0,INDEX(Calc!$E$10:$E$24,AU2)/1200)</f>
        <v>0</v>
      </c>
      <c r="AV3">
        <f>IF(AV2=0,0,INDEX(Calc!$E$10:$E$24,AV2)/1200)</f>
        <v>0</v>
      </c>
    </row>
    <row r="4" spans="1:51" x14ac:dyDescent="0.35">
      <c r="A4" t="s">
        <v>153</v>
      </c>
      <c r="AH4">
        <f>IF(AH2=0,0,INDEX(Calc!$F$10:$F$24,AH2))</f>
        <v>50</v>
      </c>
      <c r="AI4">
        <f>IF(AI2=0,0,INDEX(Calc!$F$10:$F$24,AI2))</f>
        <v>40</v>
      </c>
      <c r="AJ4">
        <f>IF(AJ2=0,0,INDEX(Calc!$F$10:$F$24,AJ2))</f>
        <v>145</v>
      </c>
      <c r="AK4">
        <f>IF(AK2=0,0,INDEX(Calc!$F$10:$F$24,AK2))</f>
        <v>315</v>
      </c>
      <c r="AL4">
        <f>IF(AL2=0,0,INDEX(Calc!$F$10:$F$24,AL2))</f>
        <v>0</v>
      </c>
      <c r="AM4">
        <f>IF(AM2=0,0,INDEX(Calc!$F$10:$F$24,AM2))</f>
        <v>0</v>
      </c>
      <c r="AN4">
        <f>IF(AN2=0,0,INDEX(Calc!$F$10:$F$24,AN2))</f>
        <v>0</v>
      </c>
      <c r="AO4">
        <f>IF(AO2=0,0,INDEX(Calc!$F$10:$F$24,AO2))</f>
        <v>0</v>
      </c>
      <c r="AP4">
        <f>IF(AP2=0,0,INDEX(Calc!$F$10:$F$24,AP2))</f>
        <v>0</v>
      </c>
      <c r="AQ4">
        <f>IF(AQ2=0,0,INDEX(Calc!$F$10:$F$24,AQ2))</f>
        <v>0</v>
      </c>
      <c r="AR4">
        <f>IF(AR2=0,0,INDEX(Calc!$F$10:$F$24,AR2))</f>
        <v>0</v>
      </c>
      <c r="AS4">
        <f>IF(AS2=0,0,INDEX(Calc!$F$10:$F$24,AS2))</f>
        <v>0</v>
      </c>
      <c r="AT4">
        <f>IF(AT2=0,0,INDEX(Calc!$F$10:$F$24,AT2))</f>
        <v>0</v>
      </c>
      <c r="AU4">
        <f>IF(AU2=0,0,INDEX(Calc!$F$10:$F$24,AU2))</f>
        <v>0</v>
      </c>
      <c r="AV4">
        <f>IF(AV2=0,0,INDEX(Calc!$F$10:$F$24,AV2))</f>
        <v>0</v>
      </c>
    </row>
    <row r="5" spans="1:51" x14ac:dyDescent="0.35">
      <c r="A5" t="s">
        <v>112</v>
      </c>
      <c r="C5" t="s">
        <v>154</v>
      </c>
      <c r="D5" t="s">
        <v>155</v>
      </c>
      <c r="E5" t="s">
        <v>156</v>
      </c>
      <c r="F5" t="s">
        <v>157</v>
      </c>
      <c r="G5" t="s">
        <v>158</v>
      </c>
      <c r="H5" t="s">
        <v>159</v>
      </c>
      <c r="I5" t="s">
        <v>160</v>
      </c>
      <c r="J5" t="s">
        <v>161</v>
      </c>
      <c r="K5" t="s">
        <v>162</v>
      </c>
      <c r="L5" t="s">
        <v>163</v>
      </c>
      <c r="M5" t="s">
        <v>164</v>
      </c>
      <c r="N5" t="s">
        <v>165</v>
      </c>
      <c r="O5" t="s">
        <v>166</v>
      </c>
      <c r="P5" t="s">
        <v>167</v>
      </c>
      <c r="Q5" t="s">
        <v>168</v>
      </c>
      <c r="R5" t="s">
        <v>169</v>
      </c>
      <c r="S5" t="s">
        <v>170</v>
      </c>
      <c r="T5" t="s">
        <v>171</v>
      </c>
      <c r="U5" t="s">
        <v>172</v>
      </c>
      <c r="V5" t="s">
        <v>173</v>
      </c>
      <c r="W5" t="s">
        <v>174</v>
      </c>
      <c r="X5" t="s">
        <v>175</v>
      </c>
      <c r="Y5" t="s">
        <v>176</v>
      </c>
      <c r="Z5" t="s">
        <v>177</v>
      </c>
      <c r="AA5" t="s">
        <v>178</v>
      </c>
      <c r="AB5" t="s">
        <v>179</v>
      </c>
      <c r="AC5" t="s">
        <v>180</v>
      </c>
      <c r="AD5" t="s">
        <v>181</v>
      </c>
      <c r="AE5" t="s">
        <v>182</v>
      </c>
      <c r="AF5" t="s">
        <v>183</v>
      </c>
      <c r="AG5" t="s">
        <v>184</v>
      </c>
      <c r="AH5" t="s">
        <v>185</v>
      </c>
      <c r="AI5" t="s">
        <v>186</v>
      </c>
      <c r="AJ5" t="s">
        <v>187</v>
      </c>
      <c r="AK5" t="s">
        <v>188</v>
      </c>
      <c r="AL5" t="s">
        <v>189</v>
      </c>
      <c r="AM5" t="s">
        <v>190</v>
      </c>
      <c r="AN5" t="s">
        <v>191</v>
      </c>
      <c r="AO5" t="s">
        <v>192</v>
      </c>
      <c r="AP5" t="s">
        <v>193</v>
      </c>
      <c r="AQ5" t="s">
        <v>194</v>
      </c>
      <c r="AR5" t="s">
        <v>195</v>
      </c>
      <c r="AS5" t="s">
        <v>196</v>
      </c>
      <c r="AT5" t="s">
        <v>197</v>
      </c>
      <c r="AU5" t="s">
        <v>198</v>
      </c>
      <c r="AV5" t="s">
        <v>199</v>
      </c>
      <c r="AW5" t="s">
        <v>200</v>
      </c>
      <c r="AX5" t="s">
        <v>61</v>
      </c>
      <c r="AY5" t="s">
        <v>114</v>
      </c>
    </row>
    <row r="6" spans="1:51" x14ac:dyDescent="0.35">
      <c r="A6">
        <v>0</v>
      </c>
      <c r="AH6">
        <f>IF(AH2=0,0,INDEX(Calc!$D$10:$D$24,AH2))</f>
        <v>650</v>
      </c>
      <c r="AI6">
        <f>IF(AI2=0,0,INDEX(Calc!$D$10:$D$24,AI2))</f>
        <v>1200</v>
      </c>
      <c r="AJ6">
        <f>IF(AJ2=0,0,INDEX(Calc!$D$10:$D$24,AJ2))</f>
        <v>4850</v>
      </c>
      <c r="AK6">
        <f>IF(AK2=0,0,INDEX(Calc!$D$10:$D$24,AK2))</f>
        <v>11400</v>
      </c>
      <c r="AL6">
        <f>IF(AL2=0,0,INDEX(Calc!$D$10:$D$24,AL2))</f>
        <v>0</v>
      </c>
      <c r="AM6">
        <f>IF(AM2=0,0,INDEX(Calc!$D$10:$D$24,AM2))</f>
        <v>0</v>
      </c>
      <c r="AN6">
        <f>IF(AN2=0,0,INDEX(Calc!$D$10:$D$24,AN2))</f>
        <v>0</v>
      </c>
      <c r="AO6">
        <f>IF(AO2=0,0,INDEX(Calc!$D$10:$D$24,AO2))</f>
        <v>0</v>
      </c>
      <c r="AP6">
        <f>IF(AP2=0,0,INDEX(Calc!$D$10:$D$24,AP2))</f>
        <v>0</v>
      </c>
      <c r="AQ6">
        <f>IF(AQ2=0,0,INDEX(Calc!$D$10:$D$24,AQ2))</f>
        <v>0</v>
      </c>
      <c r="AR6">
        <f>IF(AR2=0,0,INDEX(Calc!$D$10:$D$24,AR2))</f>
        <v>0</v>
      </c>
      <c r="AS6">
        <f>IF(AS2=0,0,INDEX(Calc!$D$10:$D$24,AS2))</f>
        <v>0</v>
      </c>
      <c r="AT6">
        <f>IF(AT2=0,0,INDEX(Calc!$D$10:$D$24,AT2))</f>
        <v>0</v>
      </c>
      <c r="AU6">
        <f>IF(AU2=0,0,INDEX(Calc!$D$10:$D$24,AU2))</f>
        <v>0</v>
      </c>
      <c r="AV6">
        <f>IF(AV2=0,0,INDEX(Calc!$D$10:$D$24,AV2))</f>
        <v>0</v>
      </c>
      <c r="AW6">
        <f t="shared" ref="AW6:AW69" si="0">SUM(AH6:AV6)</f>
        <v>18100</v>
      </c>
    </row>
    <row r="7" spans="1:51" x14ac:dyDescent="0.35">
      <c r="A7">
        <v>1</v>
      </c>
      <c r="C7">
        <f>MAX(0,Calc!$C$7-SUM(D7:R7))</f>
        <v>200</v>
      </c>
      <c r="D7">
        <f t="shared" ref="D7:D70" si="1">IF(AH6&lt;0.005,0,MIN((AH6+ROUND(AH6*AH$3,2)),AH$4))</f>
        <v>50</v>
      </c>
      <c r="E7">
        <f t="shared" ref="E7:E70" si="2">IF(AI6&lt;0.005,0,MIN((AI6+ROUND(AI6*AI$3,2)),AI$4))</f>
        <v>40</v>
      </c>
      <c r="F7">
        <f t="shared" ref="F7:F70" si="3">IF(AJ6&lt;0.005,0,MIN((AJ6+ROUND(AJ6*AJ$3,2)),AJ$4))</f>
        <v>145</v>
      </c>
      <c r="G7">
        <f t="shared" ref="G7:G70" si="4">IF(AK6&lt;0.005,0,MIN((AK6+ROUND(AK6*AK$3,2)),AK$4))</f>
        <v>315</v>
      </c>
      <c r="H7">
        <f t="shared" ref="H7:H70" si="5">IF(AL6&lt;0.005,0,MIN((AL6+ROUND(AL6*AL$3,2)),AL$4))</f>
        <v>0</v>
      </c>
      <c r="I7">
        <f t="shared" ref="I7:I70" si="6">IF(AM6&lt;0.005,0,MIN((AM6+ROUND(AM6*AM$3,2)),AM$4))</f>
        <v>0</v>
      </c>
      <c r="J7">
        <f t="shared" ref="J7:J70" si="7">IF(AN6&lt;0.005,0,MIN((AN6+ROUND(AN6*AN$3,2)),AN$4))</f>
        <v>0</v>
      </c>
      <c r="K7">
        <f t="shared" ref="K7:K70" si="8">IF(AO6&lt;0.005,0,MIN((AO6+ROUND(AO6*AO$3,2)),AO$4))</f>
        <v>0</v>
      </c>
      <c r="L7">
        <f t="shared" ref="L7:L70" si="9">IF(AP6&lt;0.005,0,MIN((AP6+ROUND(AP6*AP$3,2)),AP$4))</f>
        <v>0</v>
      </c>
      <c r="M7">
        <f t="shared" ref="M7:M70" si="10">IF(AQ6&lt;0.005,0,MIN((AQ6+ROUND(AQ6*AQ$3,2)),AQ$4))</f>
        <v>0</v>
      </c>
      <c r="N7">
        <f t="shared" ref="N7:N70" si="11">IF(AR6&lt;0.005,0,MIN((AR6+ROUND(AR6*AR$3,2)),AR$4))</f>
        <v>0</v>
      </c>
      <c r="O7">
        <f t="shared" ref="O7:O70" si="12">IF(AS6&lt;0.005,0,MIN((AS6+ROUND(AS6*AS$3,2)),AS$4))</f>
        <v>0</v>
      </c>
      <c r="P7">
        <f t="shared" ref="P7:P70" si="13">IF(AT6&lt;0.005,0,MIN((AT6+ROUND(AT6*AT$3,2)),AT$4))</f>
        <v>0</v>
      </c>
      <c r="Q7">
        <f t="shared" ref="Q7:Q70" si="14">IF(AU6&lt;0.005,0,MIN((AU6+ROUND(AU6*AU$3,2)),AU$4))</f>
        <v>0</v>
      </c>
      <c r="R7">
        <f t="shared" ref="R7:R70" si="15">IF(AV6&lt;0.005,0,MIN((AV6+ROUND(AV6*AV$3,2)),AV$4))</f>
        <v>0</v>
      </c>
      <c r="S7">
        <f t="shared" ref="S7:S70" si="16">IF(AH6&lt;0.005,0,MIN((AH6+ROUND(AH6*AH$3,2))-D7,MAX(0,$C7)))</f>
        <v>200</v>
      </c>
      <c r="T7">
        <f t="shared" ref="T7:T70" si="17">IF(AI6&lt;0.005,0,MIN((AI6+ROUND(AI6*AI$3,2))-E7,MAX(0,$C7-SUM(S7:S7))))</f>
        <v>0</v>
      </c>
      <c r="U7">
        <f t="shared" ref="U7:U70" si="18">IF(AJ6&lt;0.005,0,MIN((AJ6+ROUND(AJ6*AJ$3,2))-F7,MAX(0,$C7-SUM(S7:T7))))</f>
        <v>0</v>
      </c>
      <c r="V7">
        <f t="shared" ref="V7:V70" si="19">IF(AK6&lt;0.005,0,MIN((AK6+ROUND(AK6*AK$3,2))-G7,MAX(0,$C7-SUM(S7:U7))))</f>
        <v>0</v>
      </c>
      <c r="W7">
        <f t="shared" ref="W7:W70" si="20">IF(AL6&lt;0.005,0,MIN((AL6+ROUND(AL6*AL$3,2))-H7,MAX(0,$C7-SUM(S7:V7))))</f>
        <v>0</v>
      </c>
      <c r="X7">
        <f t="shared" ref="X7:X70" si="21">IF(AM6&lt;0.005,0,MIN((AM6+ROUND(AM6*AM$3,2))-I7,MAX(0,$C7-SUM(S7:W7))))</f>
        <v>0</v>
      </c>
      <c r="Y7">
        <f t="shared" ref="Y7:Y70" si="22">IF(AN6&lt;0.005,0,MIN((AN6+ROUND(AN6*AN$3,2))-J7,MAX(0,$C7-SUM(S7:X7))))</f>
        <v>0</v>
      </c>
      <c r="Z7">
        <f t="shared" ref="Z7:Z70" si="23">IF(AO6&lt;0.005,0,MIN((AO6+ROUND(AO6*AO$3,2))-K7,MAX(0,$C7-SUM(S7:Y7))))</f>
        <v>0</v>
      </c>
      <c r="AA7">
        <f t="shared" ref="AA7:AA70" si="24">IF(AP6&lt;0.005,0,MIN((AP6+ROUND(AP6*AP$3,2))-L7,MAX(0,$C7-SUM(S7:Z7))))</f>
        <v>0</v>
      </c>
      <c r="AB7">
        <f t="shared" ref="AB7:AB70" si="25">IF(AQ6&lt;0.005,0,MIN((AQ6+ROUND(AQ6*AQ$3,2))-M7,MAX(0,$C7-SUM(S7:AA7))))</f>
        <v>0</v>
      </c>
      <c r="AC7">
        <f t="shared" ref="AC7:AC70" si="26">IF(AR6&lt;0.005,0,MIN((AR6+ROUND(AR6*AR$3,2))-N7,MAX(0,$C7-SUM(S7:AB7))))</f>
        <v>0</v>
      </c>
      <c r="AD7">
        <f t="shared" ref="AD7:AD70" si="27">IF(AS6&lt;0.005,0,MIN((AS6+ROUND(AS6*AS$3,2))-O7,MAX(0,$C7-SUM(S7:AC7))))</f>
        <v>0</v>
      </c>
      <c r="AE7">
        <f t="shared" ref="AE7:AE70" si="28">IF(AT6&lt;0.005,0,MIN((AT6+ROUND(AT6*AT$3,2))-P7,MAX(0,$C7-SUM(S7:AD7))))</f>
        <v>0</v>
      </c>
      <c r="AF7">
        <f t="shared" ref="AF7:AF70" si="29">IF(AU6&lt;0.005,0,MIN((AU6+ROUND(AU6*AU$3,2))-Q7,MAX(0,$C7-SUM(S7:AE7))))</f>
        <v>0</v>
      </c>
      <c r="AG7">
        <f t="shared" ref="AG7:AG70" si="30">IF(AV6&lt;0.005,0,MIN((AV6+ROUND(AV6*AV$3,2))-R7,MAX(0,$C7-SUM(S7:AF7))))</f>
        <v>0</v>
      </c>
      <c r="AH7">
        <f t="shared" ref="AH7:AH70" si="31">IF(AH6&lt;0.005,0,ROUND((AH6+ROUND(AH6*AH$3,2))-D7-S7,2))</f>
        <v>400</v>
      </c>
      <c r="AI7">
        <f t="shared" ref="AI7:AI70" si="32">IF(AI6&lt;0.005,0,ROUND((AI6+ROUND(AI6*AI$3,2))-E7-T7,2))</f>
        <v>1188.99</v>
      </c>
      <c r="AJ7">
        <f t="shared" ref="AJ7:AJ70" si="33">IF(AJ6&lt;0.005,0,ROUND((AJ6+ROUND(AJ6*AJ$3,2))-F7-U7,2))</f>
        <v>4806</v>
      </c>
      <c r="AK7">
        <f t="shared" ref="AK7:AK70" si="34">IF(AK6&lt;0.005,0,ROUND((AK6+ROUND(AK6*AK$3,2))-G7-V7,2))</f>
        <v>11156.25</v>
      </c>
      <c r="AL7">
        <f t="shared" ref="AL7:AL70" si="35">IF(AL6&lt;0.005,0,ROUND((AL6+ROUND(AL6*AL$3,2))-H7-W7,2))</f>
        <v>0</v>
      </c>
      <c r="AM7">
        <f t="shared" ref="AM7:AM70" si="36">IF(AM6&lt;0.005,0,ROUND((AM6+ROUND(AM6*AM$3,2))-I7-X7,2))</f>
        <v>0</v>
      </c>
      <c r="AN7">
        <f t="shared" ref="AN7:AN70" si="37">IF(AN6&lt;0.005,0,ROUND((AN6+ROUND(AN6*AN$3,2))-J7-Y7,2))</f>
        <v>0</v>
      </c>
      <c r="AO7">
        <f t="shared" ref="AO7:AO70" si="38">IF(AO6&lt;0.005,0,ROUND((AO6+ROUND(AO6*AO$3,2))-K7-Z7,2))</f>
        <v>0</v>
      </c>
      <c r="AP7">
        <f t="shared" ref="AP7:AP70" si="39">IF(AP6&lt;0.005,0,ROUND((AP6+ROUND(AP6*AP$3,2))-L7-AA7,2))</f>
        <v>0</v>
      </c>
      <c r="AQ7">
        <f t="shared" ref="AQ7:AQ70" si="40">IF(AQ6&lt;0.005,0,ROUND((AQ6+ROUND(AQ6*AQ$3,2))-M7-AB7,2))</f>
        <v>0</v>
      </c>
      <c r="AR7">
        <f t="shared" ref="AR7:AR70" si="41">IF(AR6&lt;0.005,0,ROUND((AR6+ROUND(AR6*AR$3,2))-N7-AC7,2))</f>
        <v>0</v>
      </c>
      <c r="AS7">
        <f t="shared" ref="AS7:AS70" si="42">IF(AS6&lt;0.005,0,ROUND((AS6+ROUND(AS6*AS$3,2))-O7-AD7,2))</f>
        <v>0</v>
      </c>
      <c r="AT7">
        <f t="shared" ref="AT7:AT70" si="43">IF(AT6&lt;0.005,0,ROUND((AT6+ROUND(AT6*AT$3,2))-P7-AE7,2))</f>
        <v>0</v>
      </c>
      <c r="AU7">
        <f t="shared" ref="AU7:AU70" si="44">IF(AU6&lt;0.005,0,ROUND((AU6+ROUND(AU6*AU$3,2))-Q7-AF7,2))</f>
        <v>0</v>
      </c>
      <c r="AV7">
        <f t="shared" ref="AV7:AV70" si="45">IF(AV6&lt;0.005,0,ROUND((AV6+ROUND(AV6*AV$3,2))-R7-AG7,2))</f>
        <v>0</v>
      </c>
      <c r="AW7">
        <f t="shared" si="0"/>
        <v>17551.239999999998</v>
      </c>
      <c r="AX7">
        <f t="shared" ref="AX7:AX70" si="46">SUMPRODUCT(ROUND(AH6:AV6*AH$3:AV$3,2))</f>
        <v>201.24</v>
      </c>
      <c r="AY7">
        <f t="shared" ref="AY7:AY70" si="47">SUM(D7:AG7)</f>
        <v>750</v>
      </c>
    </row>
    <row r="8" spans="1:51" x14ac:dyDescent="0.35">
      <c r="A8">
        <v>2</v>
      </c>
      <c r="C8">
        <f>MAX(0,Calc!$C$7-SUM(D8:R8))</f>
        <v>200</v>
      </c>
      <c r="D8">
        <f t="shared" si="1"/>
        <v>50</v>
      </c>
      <c r="E8">
        <f t="shared" si="2"/>
        <v>40</v>
      </c>
      <c r="F8">
        <f t="shared" si="3"/>
        <v>145</v>
      </c>
      <c r="G8">
        <f t="shared" si="4"/>
        <v>315</v>
      </c>
      <c r="H8">
        <f t="shared" si="5"/>
        <v>0</v>
      </c>
      <c r="I8">
        <f t="shared" si="6"/>
        <v>0</v>
      </c>
      <c r="J8">
        <f t="shared" si="7"/>
        <v>0</v>
      </c>
      <c r="K8">
        <f t="shared" si="8"/>
        <v>0</v>
      </c>
      <c r="L8">
        <f t="shared" si="9"/>
        <v>0</v>
      </c>
      <c r="M8">
        <f t="shared" si="10"/>
        <v>0</v>
      </c>
      <c r="N8">
        <f t="shared" si="11"/>
        <v>0</v>
      </c>
      <c r="O8">
        <f t="shared" si="12"/>
        <v>0</v>
      </c>
      <c r="P8">
        <f t="shared" si="13"/>
        <v>0</v>
      </c>
      <c r="Q8">
        <f t="shared" si="14"/>
        <v>0</v>
      </c>
      <c r="R8">
        <f t="shared" si="15"/>
        <v>0</v>
      </c>
      <c r="S8">
        <f t="shared" si="16"/>
        <v>200</v>
      </c>
      <c r="T8">
        <f t="shared" si="17"/>
        <v>0</v>
      </c>
      <c r="U8">
        <f t="shared" si="18"/>
        <v>0</v>
      </c>
      <c r="V8">
        <f t="shared" si="19"/>
        <v>0</v>
      </c>
      <c r="W8">
        <f t="shared" si="20"/>
        <v>0</v>
      </c>
      <c r="X8">
        <f t="shared" si="21"/>
        <v>0</v>
      </c>
      <c r="Y8">
        <f t="shared" si="22"/>
        <v>0</v>
      </c>
      <c r="Z8">
        <f t="shared" si="23"/>
        <v>0</v>
      </c>
      <c r="AA8">
        <f t="shared" si="24"/>
        <v>0</v>
      </c>
      <c r="AB8">
        <f t="shared" si="25"/>
        <v>0</v>
      </c>
      <c r="AC8">
        <f t="shared" si="26"/>
        <v>0</v>
      </c>
      <c r="AD8">
        <f t="shared" si="27"/>
        <v>0</v>
      </c>
      <c r="AE8">
        <f t="shared" si="28"/>
        <v>0</v>
      </c>
      <c r="AF8">
        <f t="shared" si="29"/>
        <v>0</v>
      </c>
      <c r="AG8">
        <f t="shared" si="30"/>
        <v>0</v>
      </c>
      <c r="AH8">
        <f t="shared" si="31"/>
        <v>150</v>
      </c>
      <c r="AI8">
        <f t="shared" si="32"/>
        <v>1177.71</v>
      </c>
      <c r="AJ8">
        <f t="shared" si="33"/>
        <v>4761.08</v>
      </c>
      <c r="AK8">
        <f t="shared" si="34"/>
        <v>10910.98</v>
      </c>
      <c r="AL8">
        <f t="shared" si="35"/>
        <v>0</v>
      </c>
      <c r="AM8">
        <f t="shared" si="36"/>
        <v>0</v>
      </c>
      <c r="AN8">
        <f t="shared" si="37"/>
        <v>0</v>
      </c>
      <c r="AO8">
        <f t="shared" si="38"/>
        <v>0</v>
      </c>
      <c r="AP8">
        <f t="shared" si="39"/>
        <v>0</v>
      </c>
      <c r="AQ8">
        <f t="shared" si="40"/>
        <v>0</v>
      </c>
      <c r="AR8">
        <f t="shared" si="41"/>
        <v>0</v>
      </c>
      <c r="AS8">
        <f t="shared" si="42"/>
        <v>0</v>
      </c>
      <c r="AT8">
        <f t="shared" si="43"/>
        <v>0</v>
      </c>
      <c r="AU8">
        <f t="shared" si="44"/>
        <v>0</v>
      </c>
      <c r="AV8">
        <f t="shared" si="45"/>
        <v>0</v>
      </c>
      <c r="AW8">
        <f t="shared" si="0"/>
        <v>16999.77</v>
      </c>
      <c r="AX8">
        <f t="shared" si="46"/>
        <v>198.53000000000003</v>
      </c>
      <c r="AY8">
        <f t="shared" si="47"/>
        <v>750</v>
      </c>
    </row>
    <row r="9" spans="1:51" x14ac:dyDescent="0.35">
      <c r="A9">
        <v>3</v>
      </c>
      <c r="C9">
        <f>MAX(0,Calc!$C$7-SUM(D9:R9))</f>
        <v>200</v>
      </c>
      <c r="D9">
        <f t="shared" si="1"/>
        <v>50</v>
      </c>
      <c r="E9">
        <f t="shared" si="2"/>
        <v>40</v>
      </c>
      <c r="F9">
        <f t="shared" si="3"/>
        <v>145</v>
      </c>
      <c r="G9">
        <f t="shared" si="4"/>
        <v>315</v>
      </c>
      <c r="H9">
        <f t="shared" si="5"/>
        <v>0</v>
      </c>
      <c r="I9">
        <f t="shared" si="6"/>
        <v>0</v>
      </c>
      <c r="J9">
        <f t="shared" si="7"/>
        <v>0</v>
      </c>
      <c r="K9">
        <f t="shared" si="8"/>
        <v>0</v>
      </c>
      <c r="L9">
        <f t="shared" si="9"/>
        <v>0</v>
      </c>
      <c r="M9">
        <f t="shared" si="10"/>
        <v>0</v>
      </c>
      <c r="N9">
        <f t="shared" si="11"/>
        <v>0</v>
      </c>
      <c r="O9">
        <f t="shared" si="12"/>
        <v>0</v>
      </c>
      <c r="P9">
        <f t="shared" si="13"/>
        <v>0</v>
      </c>
      <c r="Q9">
        <f t="shared" si="14"/>
        <v>0</v>
      </c>
      <c r="R9">
        <f t="shared" si="15"/>
        <v>0</v>
      </c>
      <c r="S9">
        <f t="shared" si="16"/>
        <v>100</v>
      </c>
      <c r="T9">
        <f t="shared" si="17"/>
        <v>100</v>
      </c>
      <c r="U9">
        <f t="shared" si="18"/>
        <v>0</v>
      </c>
      <c r="V9">
        <f t="shared" si="19"/>
        <v>0</v>
      </c>
      <c r="W9">
        <f t="shared" si="20"/>
        <v>0</v>
      </c>
      <c r="X9">
        <f t="shared" si="21"/>
        <v>0</v>
      </c>
      <c r="Y9">
        <f t="shared" si="22"/>
        <v>0</v>
      </c>
      <c r="Z9">
        <f t="shared" si="23"/>
        <v>0</v>
      </c>
      <c r="AA9">
        <f t="shared" si="24"/>
        <v>0</v>
      </c>
      <c r="AB9">
        <f t="shared" si="25"/>
        <v>0</v>
      </c>
      <c r="AC9">
        <f t="shared" si="26"/>
        <v>0</v>
      </c>
      <c r="AD9">
        <f t="shared" si="27"/>
        <v>0</v>
      </c>
      <c r="AE9">
        <f t="shared" si="28"/>
        <v>0</v>
      </c>
      <c r="AF9">
        <f t="shared" si="29"/>
        <v>0</v>
      </c>
      <c r="AG9">
        <f t="shared" si="30"/>
        <v>0</v>
      </c>
      <c r="AH9">
        <f t="shared" si="31"/>
        <v>0</v>
      </c>
      <c r="AI9">
        <f t="shared" si="32"/>
        <v>1066.1600000000001</v>
      </c>
      <c r="AJ9">
        <f t="shared" si="33"/>
        <v>4715.2299999999996</v>
      </c>
      <c r="AK9">
        <f t="shared" si="34"/>
        <v>10664.17</v>
      </c>
      <c r="AL9">
        <f t="shared" si="35"/>
        <v>0</v>
      </c>
      <c r="AM9">
        <f t="shared" si="36"/>
        <v>0</v>
      </c>
      <c r="AN9">
        <f t="shared" si="37"/>
        <v>0</v>
      </c>
      <c r="AO9">
        <f t="shared" si="38"/>
        <v>0</v>
      </c>
      <c r="AP9">
        <f t="shared" si="39"/>
        <v>0</v>
      </c>
      <c r="AQ9">
        <f t="shared" si="40"/>
        <v>0</v>
      </c>
      <c r="AR9">
        <f t="shared" si="41"/>
        <v>0</v>
      </c>
      <c r="AS9">
        <f t="shared" si="42"/>
        <v>0</v>
      </c>
      <c r="AT9">
        <f t="shared" si="43"/>
        <v>0</v>
      </c>
      <c r="AU9">
        <f t="shared" si="44"/>
        <v>0</v>
      </c>
      <c r="AV9">
        <f t="shared" si="45"/>
        <v>0</v>
      </c>
      <c r="AW9">
        <f t="shared" si="0"/>
        <v>16445.559999999998</v>
      </c>
      <c r="AX9">
        <f t="shared" si="46"/>
        <v>195.79000000000002</v>
      </c>
      <c r="AY9">
        <f t="shared" si="47"/>
        <v>750</v>
      </c>
    </row>
    <row r="10" spans="1:51" x14ac:dyDescent="0.35">
      <c r="A10">
        <v>4</v>
      </c>
      <c r="C10">
        <f>MAX(0,Calc!$C$7-SUM(D10:R10))</f>
        <v>250</v>
      </c>
      <c r="D10">
        <f t="shared" si="1"/>
        <v>0</v>
      </c>
      <c r="E10">
        <f t="shared" si="2"/>
        <v>40</v>
      </c>
      <c r="F10">
        <f t="shared" si="3"/>
        <v>145</v>
      </c>
      <c r="G10">
        <f t="shared" si="4"/>
        <v>315</v>
      </c>
      <c r="H10">
        <f t="shared" si="5"/>
        <v>0</v>
      </c>
      <c r="I10">
        <f t="shared" si="6"/>
        <v>0</v>
      </c>
      <c r="J10">
        <f t="shared" si="7"/>
        <v>0</v>
      </c>
      <c r="K10">
        <f t="shared" si="8"/>
        <v>0</v>
      </c>
      <c r="L10">
        <f t="shared" si="9"/>
        <v>0</v>
      </c>
      <c r="M10">
        <f t="shared" si="10"/>
        <v>0</v>
      </c>
      <c r="N10">
        <f t="shared" si="11"/>
        <v>0</v>
      </c>
      <c r="O10">
        <f t="shared" si="12"/>
        <v>0</v>
      </c>
      <c r="P10">
        <f t="shared" si="13"/>
        <v>0</v>
      </c>
      <c r="Q10">
        <f t="shared" si="14"/>
        <v>0</v>
      </c>
      <c r="R10">
        <f t="shared" si="15"/>
        <v>0</v>
      </c>
      <c r="S10">
        <f t="shared" si="16"/>
        <v>0</v>
      </c>
      <c r="T10">
        <f t="shared" si="17"/>
        <v>250</v>
      </c>
      <c r="U10">
        <f t="shared" si="18"/>
        <v>0</v>
      </c>
      <c r="V10">
        <f t="shared" si="19"/>
        <v>0</v>
      </c>
      <c r="W10">
        <f t="shared" si="20"/>
        <v>0</v>
      </c>
      <c r="X10">
        <f t="shared" si="21"/>
        <v>0</v>
      </c>
      <c r="Y10">
        <f t="shared" si="22"/>
        <v>0</v>
      </c>
      <c r="Z10">
        <f t="shared" si="23"/>
        <v>0</v>
      </c>
      <c r="AA10">
        <f t="shared" si="24"/>
        <v>0</v>
      </c>
      <c r="AB10">
        <f t="shared" si="25"/>
        <v>0</v>
      </c>
      <c r="AC10">
        <f t="shared" si="26"/>
        <v>0</v>
      </c>
      <c r="AD10">
        <f t="shared" si="27"/>
        <v>0</v>
      </c>
      <c r="AE10">
        <f t="shared" si="28"/>
        <v>0</v>
      </c>
      <c r="AF10">
        <f t="shared" si="29"/>
        <v>0</v>
      </c>
      <c r="AG10">
        <f t="shared" si="30"/>
        <v>0</v>
      </c>
      <c r="AH10">
        <f t="shared" si="31"/>
        <v>0</v>
      </c>
      <c r="AI10">
        <f t="shared" si="32"/>
        <v>801.92</v>
      </c>
      <c r="AJ10">
        <f t="shared" si="33"/>
        <v>4668.42</v>
      </c>
      <c r="AK10">
        <f t="shared" si="34"/>
        <v>10415.82</v>
      </c>
      <c r="AL10">
        <f t="shared" si="35"/>
        <v>0</v>
      </c>
      <c r="AM10">
        <f t="shared" si="36"/>
        <v>0</v>
      </c>
      <c r="AN10">
        <f t="shared" si="37"/>
        <v>0</v>
      </c>
      <c r="AO10">
        <f t="shared" si="38"/>
        <v>0</v>
      </c>
      <c r="AP10">
        <f t="shared" si="39"/>
        <v>0</v>
      </c>
      <c r="AQ10">
        <f t="shared" si="40"/>
        <v>0</v>
      </c>
      <c r="AR10">
        <f t="shared" si="41"/>
        <v>0</v>
      </c>
      <c r="AS10">
        <f t="shared" si="42"/>
        <v>0</v>
      </c>
      <c r="AT10">
        <f t="shared" si="43"/>
        <v>0</v>
      </c>
      <c r="AU10">
        <f t="shared" si="44"/>
        <v>0</v>
      </c>
      <c r="AV10">
        <f t="shared" si="45"/>
        <v>0</v>
      </c>
      <c r="AW10">
        <f t="shared" si="0"/>
        <v>15886.16</v>
      </c>
      <c r="AX10">
        <f t="shared" si="46"/>
        <v>190.60000000000002</v>
      </c>
      <c r="AY10">
        <f t="shared" si="47"/>
        <v>750</v>
      </c>
    </row>
    <row r="11" spans="1:51" x14ac:dyDescent="0.35">
      <c r="A11">
        <v>5</v>
      </c>
      <c r="C11">
        <f>MAX(0,Calc!$C$7-SUM(D11:R11))</f>
        <v>250</v>
      </c>
      <c r="D11">
        <f t="shared" si="1"/>
        <v>0</v>
      </c>
      <c r="E11">
        <f t="shared" si="2"/>
        <v>40</v>
      </c>
      <c r="F11">
        <f t="shared" si="3"/>
        <v>145</v>
      </c>
      <c r="G11">
        <f t="shared" si="4"/>
        <v>315</v>
      </c>
      <c r="H11">
        <f t="shared" si="5"/>
        <v>0</v>
      </c>
      <c r="I11">
        <f t="shared" si="6"/>
        <v>0</v>
      </c>
      <c r="J11">
        <f t="shared" si="7"/>
        <v>0</v>
      </c>
      <c r="K11">
        <f t="shared" si="8"/>
        <v>0</v>
      </c>
      <c r="L11">
        <f t="shared" si="9"/>
        <v>0</v>
      </c>
      <c r="M11">
        <f t="shared" si="10"/>
        <v>0</v>
      </c>
      <c r="N11">
        <f t="shared" si="11"/>
        <v>0</v>
      </c>
      <c r="O11">
        <f t="shared" si="12"/>
        <v>0</v>
      </c>
      <c r="P11">
        <f t="shared" si="13"/>
        <v>0</v>
      </c>
      <c r="Q11">
        <f t="shared" si="14"/>
        <v>0</v>
      </c>
      <c r="R11">
        <f t="shared" si="15"/>
        <v>0</v>
      </c>
      <c r="S11">
        <f t="shared" si="16"/>
        <v>0</v>
      </c>
      <c r="T11">
        <f t="shared" si="17"/>
        <v>250</v>
      </c>
      <c r="U11">
        <f t="shared" si="18"/>
        <v>0</v>
      </c>
      <c r="V11">
        <f t="shared" si="19"/>
        <v>0</v>
      </c>
      <c r="W11">
        <f t="shared" si="20"/>
        <v>0</v>
      </c>
      <c r="X11">
        <f t="shared" si="21"/>
        <v>0</v>
      </c>
      <c r="Y11">
        <f t="shared" si="22"/>
        <v>0</v>
      </c>
      <c r="Z11">
        <f t="shared" si="23"/>
        <v>0</v>
      </c>
      <c r="AA11">
        <f t="shared" si="24"/>
        <v>0</v>
      </c>
      <c r="AB11">
        <f t="shared" si="25"/>
        <v>0</v>
      </c>
      <c r="AC11">
        <f t="shared" si="26"/>
        <v>0</v>
      </c>
      <c r="AD11">
        <f t="shared" si="27"/>
        <v>0</v>
      </c>
      <c r="AE11">
        <f t="shared" si="28"/>
        <v>0</v>
      </c>
      <c r="AF11">
        <f t="shared" si="29"/>
        <v>0</v>
      </c>
      <c r="AG11">
        <f t="shared" si="30"/>
        <v>0</v>
      </c>
      <c r="AH11">
        <f t="shared" si="31"/>
        <v>0</v>
      </c>
      <c r="AI11">
        <f t="shared" si="32"/>
        <v>531.29</v>
      </c>
      <c r="AJ11">
        <f t="shared" si="33"/>
        <v>4620.6400000000003</v>
      </c>
      <c r="AK11">
        <f t="shared" si="34"/>
        <v>10165.92</v>
      </c>
      <c r="AL11">
        <f t="shared" si="35"/>
        <v>0</v>
      </c>
      <c r="AM11">
        <f t="shared" si="36"/>
        <v>0</v>
      </c>
      <c r="AN11">
        <f t="shared" si="37"/>
        <v>0</v>
      </c>
      <c r="AO11">
        <f t="shared" si="38"/>
        <v>0</v>
      </c>
      <c r="AP11">
        <f t="shared" si="39"/>
        <v>0</v>
      </c>
      <c r="AQ11">
        <f t="shared" si="40"/>
        <v>0</v>
      </c>
      <c r="AR11">
        <f t="shared" si="41"/>
        <v>0</v>
      </c>
      <c r="AS11">
        <f t="shared" si="42"/>
        <v>0</v>
      </c>
      <c r="AT11">
        <f t="shared" si="43"/>
        <v>0</v>
      </c>
      <c r="AU11">
        <f t="shared" si="44"/>
        <v>0</v>
      </c>
      <c r="AV11">
        <f t="shared" si="45"/>
        <v>0</v>
      </c>
      <c r="AW11">
        <f t="shared" si="0"/>
        <v>15317.85</v>
      </c>
      <c r="AX11">
        <f t="shared" si="46"/>
        <v>181.69</v>
      </c>
      <c r="AY11">
        <f t="shared" si="47"/>
        <v>750</v>
      </c>
    </row>
    <row r="12" spans="1:51" x14ac:dyDescent="0.35">
      <c r="A12">
        <v>6</v>
      </c>
      <c r="C12">
        <f>MAX(0,Calc!$C$7-SUM(D12:R12))</f>
        <v>250</v>
      </c>
      <c r="D12">
        <f t="shared" si="1"/>
        <v>0</v>
      </c>
      <c r="E12">
        <f t="shared" si="2"/>
        <v>40</v>
      </c>
      <c r="F12">
        <f t="shared" si="3"/>
        <v>145</v>
      </c>
      <c r="G12">
        <f t="shared" si="4"/>
        <v>315</v>
      </c>
      <c r="H12">
        <f t="shared" si="5"/>
        <v>0</v>
      </c>
      <c r="I12">
        <f t="shared" si="6"/>
        <v>0</v>
      </c>
      <c r="J12">
        <f t="shared" si="7"/>
        <v>0</v>
      </c>
      <c r="K12">
        <f t="shared" si="8"/>
        <v>0</v>
      </c>
      <c r="L12">
        <f t="shared" si="9"/>
        <v>0</v>
      </c>
      <c r="M12">
        <f t="shared" si="10"/>
        <v>0</v>
      </c>
      <c r="N12">
        <f t="shared" si="11"/>
        <v>0</v>
      </c>
      <c r="O12">
        <f t="shared" si="12"/>
        <v>0</v>
      </c>
      <c r="P12">
        <f t="shared" si="13"/>
        <v>0</v>
      </c>
      <c r="Q12">
        <f t="shared" si="14"/>
        <v>0</v>
      </c>
      <c r="R12">
        <f t="shared" si="15"/>
        <v>0</v>
      </c>
      <c r="S12">
        <f t="shared" si="16"/>
        <v>0</v>
      </c>
      <c r="T12">
        <f t="shared" si="17"/>
        <v>250</v>
      </c>
      <c r="U12">
        <f t="shared" si="18"/>
        <v>0</v>
      </c>
      <c r="V12">
        <f t="shared" si="19"/>
        <v>0</v>
      </c>
      <c r="W12">
        <f t="shared" si="20"/>
        <v>0</v>
      </c>
      <c r="X12">
        <f t="shared" si="21"/>
        <v>0</v>
      </c>
      <c r="Y12">
        <f t="shared" si="22"/>
        <v>0</v>
      </c>
      <c r="Z12">
        <f t="shared" si="23"/>
        <v>0</v>
      </c>
      <c r="AA12">
        <f t="shared" si="24"/>
        <v>0</v>
      </c>
      <c r="AB12">
        <f t="shared" si="25"/>
        <v>0</v>
      </c>
      <c r="AC12">
        <f t="shared" si="26"/>
        <v>0</v>
      </c>
      <c r="AD12">
        <f t="shared" si="27"/>
        <v>0</v>
      </c>
      <c r="AE12">
        <f t="shared" si="28"/>
        <v>0</v>
      </c>
      <c r="AF12">
        <f t="shared" si="29"/>
        <v>0</v>
      </c>
      <c r="AG12">
        <f t="shared" si="30"/>
        <v>0</v>
      </c>
      <c r="AH12">
        <f t="shared" si="31"/>
        <v>0</v>
      </c>
      <c r="AI12">
        <f t="shared" si="32"/>
        <v>254.13</v>
      </c>
      <c r="AJ12">
        <f t="shared" si="33"/>
        <v>4571.8599999999997</v>
      </c>
      <c r="AK12">
        <f t="shared" si="34"/>
        <v>9914.4599999999991</v>
      </c>
      <c r="AL12">
        <f t="shared" si="35"/>
        <v>0</v>
      </c>
      <c r="AM12">
        <f t="shared" si="36"/>
        <v>0</v>
      </c>
      <c r="AN12">
        <f t="shared" si="37"/>
        <v>0</v>
      </c>
      <c r="AO12">
        <f t="shared" si="38"/>
        <v>0</v>
      </c>
      <c r="AP12">
        <f t="shared" si="39"/>
        <v>0</v>
      </c>
      <c r="AQ12">
        <f t="shared" si="40"/>
        <v>0</v>
      </c>
      <c r="AR12">
        <f t="shared" si="41"/>
        <v>0</v>
      </c>
      <c r="AS12">
        <f t="shared" si="42"/>
        <v>0</v>
      </c>
      <c r="AT12">
        <f t="shared" si="43"/>
        <v>0</v>
      </c>
      <c r="AU12">
        <f t="shared" si="44"/>
        <v>0</v>
      </c>
      <c r="AV12">
        <f t="shared" si="45"/>
        <v>0</v>
      </c>
      <c r="AW12">
        <f t="shared" si="0"/>
        <v>14740.449999999999</v>
      </c>
      <c r="AX12">
        <f t="shared" si="46"/>
        <v>172.6</v>
      </c>
      <c r="AY12">
        <f t="shared" si="47"/>
        <v>750</v>
      </c>
    </row>
    <row r="13" spans="1:51" x14ac:dyDescent="0.35">
      <c r="A13">
        <v>7</v>
      </c>
      <c r="C13">
        <f>MAX(0,Calc!$C$7-SUM(D13:R13))</f>
        <v>250</v>
      </c>
      <c r="D13">
        <f t="shared" si="1"/>
        <v>0</v>
      </c>
      <c r="E13">
        <f t="shared" si="2"/>
        <v>40</v>
      </c>
      <c r="F13">
        <f t="shared" si="3"/>
        <v>145</v>
      </c>
      <c r="G13">
        <f t="shared" si="4"/>
        <v>315</v>
      </c>
      <c r="H13">
        <f t="shared" si="5"/>
        <v>0</v>
      </c>
      <c r="I13">
        <f t="shared" si="6"/>
        <v>0</v>
      </c>
      <c r="J13">
        <f t="shared" si="7"/>
        <v>0</v>
      </c>
      <c r="K13">
        <f t="shared" si="8"/>
        <v>0</v>
      </c>
      <c r="L13">
        <f t="shared" si="9"/>
        <v>0</v>
      </c>
      <c r="M13">
        <f t="shared" si="10"/>
        <v>0</v>
      </c>
      <c r="N13">
        <f t="shared" si="11"/>
        <v>0</v>
      </c>
      <c r="O13">
        <f t="shared" si="12"/>
        <v>0</v>
      </c>
      <c r="P13">
        <f t="shared" si="13"/>
        <v>0</v>
      </c>
      <c r="Q13">
        <f t="shared" si="14"/>
        <v>0</v>
      </c>
      <c r="R13">
        <f t="shared" si="15"/>
        <v>0</v>
      </c>
      <c r="S13">
        <f t="shared" si="16"/>
        <v>0</v>
      </c>
      <c r="T13">
        <f t="shared" si="17"/>
        <v>220.26999999999998</v>
      </c>
      <c r="U13">
        <f t="shared" si="18"/>
        <v>29.730000000000018</v>
      </c>
      <c r="V13">
        <f t="shared" si="19"/>
        <v>0</v>
      </c>
      <c r="W13">
        <f t="shared" si="20"/>
        <v>0</v>
      </c>
      <c r="X13">
        <f t="shared" si="21"/>
        <v>0</v>
      </c>
      <c r="Y13">
        <f t="shared" si="22"/>
        <v>0</v>
      </c>
      <c r="Z13">
        <f t="shared" si="23"/>
        <v>0</v>
      </c>
      <c r="AA13">
        <f t="shared" si="24"/>
        <v>0</v>
      </c>
      <c r="AB13">
        <f t="shared" si="25"/>
        <v>0</v>
      </c>
      <c r="AC13">
        <f t="shared" si="26"/>
        <v>0</v>
      </c>
      <c r="AD13">
        <f t="shared" si="27"/>
        <v>0</v>
      </c>
      <c r="AE13">
        <f t="shared" si="28"/>
        <v>0</v>
      </c>
      <c r="AF13">
        <f t="shared" si="29"/>
        <v>0</v>
      </c>
      <c r="AG13">
        <f t="shared" si="30"/>
        <v>0</v>
      </c>
      <c r="AH13">
        <f t="shared" si="31"/>
        <v>0</v>
      </c>
      <c r="AI13">
        <f t="shared" si="32"/>
        <v>0</v>
      </c>
      <c r="AJ13">
        <f t="shared" si="33"/>
        <v>4492.34</v>
      </c>
      <c r="AK13">
        <f t="shared" si="34"/>
        <v>9661.43</v>
      </c>
      <c r="AL13">
        <f t="shared" si="35"/>
        <v>0</v>
      </c>
      <c r="AM13">
        <f t="shared" si="36"/>
        <v>0</v>
      </c>
      <c r="AN13">
        <f t="shared" si="37"/>
        <v>0</v>
      </c>
      <c r="AO13">
        <f t="shared" si="38"/>
        <v>0</v>
      </c>
      <c r="AP13">
        <f t="shared" si="39"/>
        <v>0</v>
      </c>
      <c r="AQ13">
        <f t="shared" si="40"/>
        <v>0</v>
      </c>
      <c r="AR13">
        <f t="shared" si="41"/>
        <v>0</v>
      </c>
      <c r="AS13">
        <f t="shared" si="42"/>
        <v>0</v>
      </c>
      <c r="AT13">
        <f t="shared" si="43"/>
        <v>0</v>
      </c>
      <c r="AU13">
        <f t="shared" si="44"/>
        <v>0</v>
      </c>
      <c r="AV13">
        <f t="shared" si="45"/>
        <v>0</v>
      </c>
      <c r="AW13">
        <f t="shared" si="0"/>
        <v>14153.77</v>
      </c>
      <c r="AX13">
        <f t="shared" si="46"/>
        <v>163.32</v>
      </c>
      <c r="AY13">
        <f t="shared" si="47"/>
        <v>750</v>
      </c>
    </row>
    <row r="14" spans="1:51" x14ac:dyDescent="0.35">
      <c r="A14">
        <v>8</v>
      </c>
      <c r="C14">
        <f>MAX(0,Calc!$C$7-SUM(D14:R14))</f>
        <v>290</v>
      </c>
      <c r="D14">
        <f t="shared" si="1"/>
        <v>0</v>
      </c>
      <c r="E14">
        <f t="shared" si="2"/>
        <v>0</v>
      </c>
      <c r="F14">
        <f t="shared" si="3"/>
        <v>145</v>
      </c>
      <c r="G14">
        <f t="shared" si="4"/>
        <v>315</v>
      </c>
      <c r="H14">
        <f t="shared" si="5"/>
        <v>0</v>
      </c>
      <c r="I14">
        <f t="shared" si="6"/>
        <v>0</v>
      </c>
      <c r="J14">
        <f t="shared" si="7"/>
        <v>0</v>
      </c>
      <c r="K14">
        <f t="shared" si="8"/>
        <v>0</v>
      </c>
      <c r="L14">
        <f t="shared" si="9"/>
        <v>0</v>
      </c>
      <c r="M14">
        <f t="shared" si="10"/>
        <v>0</v>
      </c>
      <c r="N14">
        <f t="shared" si="11"/>
        <v>0</v>
      </c>
      <c r="O14">
        <f t="shared" si="12"/>
        <v>0</v>
      </c>
      <c r="P14">
        <f t="shared" si="13"/>
        <v>0</v>
      </c>
      <c r="Q14">
        <f t="shared" si="14"/>
        <v>0</v>
      </c>
      <c r="R14">
        <f t="shared" si="15"/>
        <v>0</v>
      </c>
      <c r="S14">
        <f t="shared" si="16"/>
        <v>0</v>
      </c>
      <c r="T14">
        <f t="shared" si="17"/>
        <v>0</v>
      </c>
      <c r="U14">
        <f t="shared" si="18"/>
        <v>290</v>
      </c>
      <c r="V14">
        <f t="shared" si="19"/>
        <v>0</v>
      </c>
      <c r="W14">
        <f t="shared" si="20"/>
        <v>0</v>
      </c>
      <c r="X14">
        <f t="shared" si="21"/>
        <v>0</v>
      </c>
      <c r="Y14">
        <f t="shared" si="22"/>
        <v>0</v>
      </c>
      <c r="Z14">
        <f t="shared" si="23"/>
        <v>0</v>
      </c>
      <c r="AA14">
        <f t="shared" si="24"/>
        <v>0</v>
      </c>
      <c r="AB14">
        <f t="shared" si="25"/>
        <v>0</v>
      </c>
      <c r="AC14">
        <f t="shared" si="26"/>
        <v>0</v>
      </c>
      <c r="AD14">
        <f t="shared" si="27"/>
        <v>0</v>
      </c>
      <c r="AE14">
        <f t="shared" si="28"/>
        <v>0</v>
      </c>
      <c r="AF14">
        <f t="shared" si="29"/>
        <v>0</v>
      </c>
      <c r="AG14">
        <f t="shared" si="30"/>
        <v>0</v>
      </c>
      <c r="AH14">
        <f t="shared" si="31"/>
        <v>0</v>
      </c>
      <c r="AI14">
        <f t="shared" si="32"/>
        <v>0</v>
      </c>
      <c r="AJ14">
        <f t="shared" si="33"/>
        <v>4150.8900000000003</v>
      </c>
      <c r="AK14">
        <f t="shared" si="34"/>
        <v>9406.81</v>
      </c>
      <c r="AL14">
        <f t="shared" si="35"/>
        <v>0</v>
      </c>
      <c r="AM14">
        <f t="shared" si="36"/>
        <v>0</v>
      </c>
      <c r="AN14">
        <f t="shared" si="37"/>
        <v>0</v>
      </c>
      <c r="AO14">
        <f t="shared" si="38"/>
        <v>0</v>
      </c>
      <c r="AP14">
        <f t="shared" si="39"/>
        <v>0</v>
      </c>
      <c r="AQ14">
        <f t="shared" si="40"/>
        <v>0</v>
      </c>
      <c r="AR14">
        <f t="shared" si="41"/>
        <v>0</v>
      </c>
      <c r="AS14">
        <f t="shared" si="42"/>
        <v>0</v>
      </c>
      <c r="AT14">
        <f t="shared" si="43"/>
        <v>0</v>
      </c>
      <c r="AU14">
        <f t="shared" si="44"/>
        <v>0</v>
      </c>
      <c r="AV14">
        <f t="shared" si="45"/>
        <v>0</v>
      </c>
      <c r="AW14">
        <f t="shared" si="0"/>
        <v>13557.7</v>
      </c>
      <c r="AX14">
        <f t="shared" si="46"/>
        <v>153.93</v>
      </c>
      <c r="AY14">
        <f t="shared" si="47"/>
        <v>750</v>
      </c>
    </row>
    <row r="15" spans="1:51" x14ac:dyDescent="0.35">
      <c r="A15">
        <v>9</v>
      </c>
      <c r="C15">
        <f>MAX(0,Calc!$C$7-SUM(D15:R15))</f>
        <v>290</v>
      </c>
      <c r="D15">
        <f t="shared" si="1"/>
        <v>0</v>
      </c>
      <c r="E15">
        <f t="shared" si="2"/>
        <v>0</v>
      </c>
      <c r="F15">
        <f t="shared" si="3"/>
        <v>145</v>
      </c>
      <c r="G15">
        <f t="shared" si="4"/>
        <v>315</v>
      </c>
      <c r="H15">
        <f t="shared" si="5"/>
        <v>0</v>
      </c>
      <c r="I15">
        <f t="shared" si="6"/>
        <v>0</v>
      </c>
      <c r="J15">
        <f t="shared" si="7"/>
        <v>0</v>
      </c>
      <c r="K15">
        <f t="shared" si="8"/>
        <v>0</v>
      </c>
      <c r="L15">
        <f t="shared" si="9"/>
        <v>0</v>
      </c>
      <c r="M15">
        <f t="shared" si="10"/>
        <v>0</v>
      </c>
      <c r="N15">
        <f t="shared" si="11"/>
        <v>0</v>
      </c>
      <c r="O15">
        <f t="shared" si="12"/>
        <v>0</v>
      </c>
      <c r="P15">
        <f t="shared" si="13"/>
        <v>0</v>
      </c>
      <c r="Q15">
        <f t="shared" si="14"/>
        <v>0</v>
      </c>
      <c r="R15">
        <f t="shared" si="15"/>
        <v>0</v>
      </c>
      <c r="S15">
        <f t="shared" si="16"/>
        <v>0</v>
      </c>
      <c r="T15">
        <f t="shared" si="17"/>
        <v>0</v>
      </c>
      <c r="U15">
        <f t="shared" si="18"/>
        <v>290</v>
      </c>
      <c r="V15">
        <f t="shared" si="19"/>
        <v>0</v>
      </c>
      <c r="W15">
        <f t="shared" si="20"/>
        <v>0</v>
      </c>
      <c r="X15">
        <f t="shared" si="21"/>
        <v>0</v>
      </c>
      <c r="Y15">
        <f t="shared" si="22"/>
        <v>0</v>
      </c>
      <c r="Z15">
        <f t="shared" si="23"/>
        <v>0</v>
      </c>
      <c r="AA15">
        <f t="shared" si="24"/>
        <v>0</v>
      </c>
      <c r="AB15">
        <f t="shared" si="25"/>
        <v>0</v>
      </c>
      <c r="AC15">
        <f t="shared" si="26"/>
        <v>0</v>
      </c>
      <c r="AD15">
        <f t="shared" si="27"/>
        <v>0</v>
      </c>
      <c r="AE15">
        <f t="shared" si="28"/>
        <v>0</v>
      </c>
      <c r="AF15">
        <f t="shared" si="29"/>
        <v>0</v>
      </c>
      <c r="AG15">
        <f t="shared" si="30"/>
        <v>0</v>
      </c>
      <c r="AH15">
        <f t="shared" si="31"/>
        <v>0</v>
      </c>
      <c r="AI15">
        <f t="shared" si="32"/>
        <v>0</v>
      </c>
      <c r="AJ15">
        <f t="shared" si="33"/>
        <v>3802.33</v>
      </c>
      <c r="AK15">
        <f t="shared" si="34"/>
        <v>9150.6</v>
      </c>
      <c r="AL15">
        <f t="shared" si="35"/>
        <v>0</v>
      </c>
      <c r="AM15">
        <f t="shared" si="36"/>
        <v>0</v>
      </c>
      <c r="AN15">
        <f t="shared" si="37"/>
        <v>0</v>
      </c>
      <c r="AO15">
        <f t="shared" si="38"/>
        <v>0</v>
      </c>
      <c r="AP15">
        <f t="shared" si="39"/>
        <v>0</v>
      </c>
      <c r="AQ15">
        <f t="shared" si="40"/>
        <v>0</v>
      </c>
      <c r="AR15">
        <f t="shared" si="41"/>
        <v>0</v>
      </c>
      <c r="AS15">
        <f t="shared" si="42"/>
        <v>0</v>
      </c>
      <c r="AT15">
        <f t="shared" si="43"/>
        <v>0</v>
      </c>
      <c r="AU15">
        <f t="shared" si="44"/>
        <v>0</v>
      </c>
      <c r="AV15">
        <f t="shared" si="45"/>
        <v>0</v>
      </c>
      <c r="AW15">
        <f t="shared" si="0"/>
        <v>12952.93</v>
      </c>
      <c r="AX15">
        <f t="shared" si="46"/>
        <v>145.22999999999999</v>
      </c>
      <c r="AY15">
        <f t="shared" si="47"/>
        <v>750</v>
      </c>
    </row>
    <row r="16" spans="1:51" x14ac:dyDescent="0.35">
      <c r="A16">
        <v>10</v>
      </c>
      <c r="C16">
        <f>MAX(0,Calc!$C$7-SUM(D16:R16))</f>
        <v>290</v>
      </c>
      <c r="D16">
        <f t="shared" si="1"/>
        <v>0</v>
      </c>
      <c r="E16">
        <f t="shared" si="2"/>
        <v>0</v>
      </c>
      <c r="F16">
        <f t="shared" si="3"/>
        <v>145</v>
      </c>
      <c r="G16">
        <f t="shared" si="4"/>
        <v>315</v>
      </c>
      <c r="H16">
        <f t="shared" si="5"/>
        <v>0</v>
      </c>
      <c r="I16">
        <f t="shared" si="6"/>
        <v>0</v>
      </c>
      <c r="J16">
        <f t="shared" si="7"/>
        <v>0</v>
      </c>
      <c r="K16">
        <f t="shared" si="8"/>
        <v>0</v>
      </c>
      <c r="L16">
        <f t="shared" si="9"/>
        <v>0</v>
      </c>
      <c r="M16">
        <f t="shared" si="10"/>
        <v>0</v>
      </c>
      <c r="N16">
        <f t="shared" si="11"/>
        <v>0</v>
      </c>
      <c r="O16">
        <f t="shared" si="12"/>
        <v>0</v>
      </c>
      <c r="P16">
        <f t="shared" si="13"/>
        <v>0</v>
      </c>
      <c r="Q16">
        <f t="shared" si="14"/>
        <v>0</v>
      </c>
      <c r="R16">
        <f t="shared" si="15"/>
        <v>0</v>
      </c>
      <c r="S16">
        <f t="shared" si="16"/>
        <v>0</v>
      </c>
      <c r="T16">
        <f t="shared" si="17"/>
        <v>0</v>
      </c>
      <c r="U16">
        <f t="shared" si="18"/>
        <v>290</v>
      </c>
      <c r="V16">
        <f t="shared" si="19"/>
        <v>0</v>
      </c>
      <c r="W16">
        <f t="shared" si="20"/>
        <v>0</v>
      </c>
      <c r="X16">
        <f t="shared" si="21"/>
        <v>0</v>
      </c>
      <c r="Y16">
        <f t="shared" si="22"/>
        <v>0</v>
      </c>
      <c r="Z16">
        <f t="shared" si="23"/>
        <v>0</v>
      </c>
      <c r="AA16">
        <f t="shared" si="24"/>
        <v>0</v>
      </c>
      <c r="AB16">
        <f t="shared" si="25"/>
        <v>0</v>
      </c>
      <c r="AC16">
        <f t="shared" si="26"/>
        <v>0</v>
      </c>
      <c r="AD16">
        <f t="shared" si="27"/>
        <v>0</v>
      </c>
      <c r="AE16">
        <f t="shared" si="28"/>
        <v>0</v>
      </c>
      <c r="AF16">
        <f t="shared" si="29"/>
        <v>0</v>
      </c>
      <c r="AG16">
        <f t="shared" si="30"/>
        <v>0</v>
      </c>
      <c r="AH16">
        <f t="shared" si="31"/>
        <v>0</v>
      </c>
      <c r="AI16">
        <f t="shared" si="32"/>
        <v>0</v>
      </c>
      <c r="AJ16">
        <f t="shared" si="33"/>
        <v>3446.51</v>
      </c>
      <c r="AK16">
        <f t="shared" si="34"/>
        <v>8892.7900000000009</v>
      </c>
      <c r="AL16">
        <f t="shared" si="35"/>
        <v>0</v>
      </c>
      <c r="AM16">
        <f t="shared" si="36"/>
        <v>0</v>
      </c>
      <c r="AN16">
        <f t="shared" si="37"/>
        <v>0</v>
      </c>
      <c r="AO16">
        <f t="shared" si="38"/>
        <v>0</v>
      </c>
      <c r="AP16">
        <f t="shared" si="39"/>
        <v>0</v>
      </c>
      <c r="AQ16">
        <f t="shared" si="40"/>
        <v>0</v>
      </c>
      <c r="AR16">
        <f t="shared" si="41"/>
        <v>0</v>
      </c>
      <c r="AS16">
        <f t="shared" si="42"/>
        <v>0</v>
      </c>
      <c r="AT16">
        <f t="shared" si="43"/>
        <v>0</v>
      </c>
      <c r="AU16">
        <f t="shared" si="44"/>
        <v>0</v>
      </c>
      <c r="AV16">
        <f t="shared" si="45"/>
        <v>0</v>
      </c>
      <c r="AW16">
        <f t="shared" si="0"/>
        <v>12339.300000000001</v>
      </c>
      <c r="AX16">
        <f t="shared" si="46"/>
        <v>136.37</v>
      </c>
      <c r="AY16">
        <f t="shared" si="47"/>
        <v>750</v>
      </c>
    </row>
    <row r="17" spans="1:51" x14ac:dyDescent="0.35">
      <c r="A17">
        <v>11</v>
      </c>
      <c r="C17">
        <f>MAX(0,Calc!$C$7-SUM(D17:R17))</f>
        <v>290</v>
      </c>
      <c r="D17">
        <f t="shared" si="1"/>
        <v>0</v>
      </c>
      <c r="E17">
        <f t="shared" si="2"/>
        <v>0</v>
      </c>
      <c r="F17">
        <f t="shared" si="3"/>
        <v>145</v>
      </c>
      <c r="G17">
        <f t="shared" si="4"/>
        <v>315</v>
      </c>
      <c r="H17">
        <f t="shared" si="5"/>
        <v>0</v>
      </c>
      <c r="I17">
        <f t="shared" si="6"/>
        <v>0</v>
      </c>
      <c r="J17">
        <f t="shared" si="7"/>
        <v>0</v>
      </c>
      <c r="K17">
        <f t="shared" si="8"/>
        <v>0</v>
      </c>
      <c r="L17">
        <f t="shared" si="9"/>
        <v>0</v>
      </c>
      <c r="M17">
        <f t="shared" si="10"/>
        <v>0</v>
      </c>
      <c r="N17">
        <f t="shared" si="11"/>
        <v>0</v>
      </c>
      <c r="O17">
        <f t="shared" si="12"/>
        <v>0</v>
      </c>
      <c r="P17">
        <f t="shared" si="13"/>
        <v>0</v>
      </c>
      <c r="Q17">
        <f t="shared" si="14"/>
        <v>0</v>
      </c>
      <c r="R17">
        <f t="shared" si="15"/>
        <v>0</v>
      </c>
      <c r="S17">
        <f t="shared" si="16"/>
        <v>0</v>
      </c>
      <c r="T17">
        <f t="shared" si="17"/>
        <v>0</v>
      </c>
      <c r="U17">
        <f t="shared" si="18"/>
        <v>290</v>
      </c>
      <c r="V17">
        <f t="shared" si="19"/>
        <v>0</v>
      </c>
      <c r="W17">
        <f t="shared" si="20"/>
        <v>0</v>
      </c>
      <c r="X17">
        <f t="shared" si="21"/>
        <v>0</v>
      </c>
      <c r="Y17">
        <f t="shared" si="22"/>
        <v>0</v>
      </c>
      <c r="Z17">
        <f t="shared" si="23"/>
        <v>0</v>
      </c>
      <c r="AA17">
        <f t="shared" si="24"/>
        <v>0</v>
      </c>
      <c r="AB17">
        <f t="shared" si="25"/>
        <v>0</v>
      </c>
      <c r="AC17">
        <f t="shared" si="26"/>
        <v>0</v>
      </c>
      <c r="AD17">
        <f t="shared" si="27"/>
        <v>0</v>
      </c>
      <c r="AE17">
        <f t="shared" si="28"/>
        <v>0</v>
      </c>
      <c r="AF17">
        <f t="shared" si="29"/>
        <v>0</v>
      </c>
      <c r="AG17">
        <f t="shared" si="30"/>
        <v>0</v>
      </c>
      <c r="AH17">
        <f t="shared" si="31"/>
        <v>0</v>
      </c>
      <c r="AI17">
        <f t="shared" si="32"/>
        <v>0</v>
      </c>
      <c r="AJ17">
        <f t="shared" si="33"/>
        <v>3083.28</v>
      </c>
      <c r="AK17">
        <f t="shared" si="34"/>
        <v>8633.3700000000008</v>
      </c>
      <c r="AL17">
        <f t="shared" si="35"/>
        <v>0</v>
      </c>
      <c r="AM17">
        <f t="shared" si="36"/>
        <v>0</v>
      </c>
      <c r="AN17">
        <f t="shared" si="37"/>
        <v>0</v>
      </c>
      <c r="AO17">
        <f t="shared" si="38"/>
        <v>0</v>
      </c>
      <c r="AP17">
        <f t="shared" si="39"/>
        <v>0</v>
      </c>
      <c r="AQ17">
        <f t="shared" si="40"/>
        <v>0</v>
      </c>
      <c r="AR17">
        <f t="shared" si="41"/>
        <v>0</v>
      </c>
      <c r="AS17">
        <f t="shared" si="42"/>
        <v>0</v>
      </c>
      <c r="AT17">
        <f t="shared" si="43"/>
        <v>0</v>
      </c>
      <c r="AU17">
        <f t="shared" si="44"/>
        <v>0</v>
      </c>
      <c r="AV17">
        <f t="shared" si="45"/>
        <v>0</v>
      </c>
      <c r="AW17">
        <f t="shared" si="0"/>
        <v>11716.650000000001</v>
      </c>
      <c r="AX17">
        <f t="shared" si="46"/>
        <v>127.35</v>
      </c>
      <c r="AY17">
        <f t="shared" si="47"/>
        <v>750</v>
      </c>
    </row>
    <row r="18" spans="1:51" x14ac:dyDescent="0.35">
      <c r="A18">
        <v>12</v>
      </c>
      <c r="C18">
        <f>MAX(0,Calc!$C$7-SUM(D18:R18))</f>
        <v>290</v>
      </c>
      <c r="D18">
        <f t="shared" si="1"/>
        <v>0</v>
      </c>
      <c r="E18">
        <f t="shared" si="2"/>
        <v>0</v>
      </c>
      <c r="F18">
        <f t="shared" si="3"/>
        <v>145</v>
      </c>
      <c r="G18">
        <f t="shared" si="4"/>
        <v>315</v>
      </c>
      <c r="H18">
        <f t="shared" si="5"/>
        <v>0</v>
      </c>
      <c r="I18">
        <f t="shared" si="6"/>
        <v>0</v>
      </c>
      <c r="J18">
        <f t="shared" si="7"/>
        <v>0</v>
      </c>
      <c r="K18">
        <f t="shared" si="8"/>
        <v>0</v>
      </c>
      <c r="L18">
        <f t="shared" si="9"/>
        <v>0</v>
      </c>
      <c r="M18">
        <f t="shared" si="10"/>
        <v>0</v>
      </c>
      <c r="N18">
        <f t="shared" si="11"/>
        <v>0</v>
      </c>
      <c r="O18">
        <f t="shared" si="12"/>
        <v>0</v>
      </c>
      <c r="P18">
        <f t="shared" si="13"/>
        <v>0</v>
      </c>
      <c r="Q18">
        <f t="shared" si="14"/>
        <v>0</v>
      </c>
      <c r="R18">
        <f t="shared" si="15"/>
        <v>0</v>
      </c>
      <c r="S18">
        <f t="shared" si="16"/>
        <v>0</v>
      </c>
      <c r="T18">
        <f t="shared" si="17"/>
        <v>0</v>
      </c>
      <c r="U18">
        <f t="shared" si="18"/>
        <v>290</v>
      </c>
      <c r="V18">
        <f t="shared" si="19"/>
        <v>0</v>
      </c>
      <c r="W18">
        <f t="shared" si="20"/>
        <v>0</v>
      </c>
      <c r="X18">
        <f t="shared" si="21"/>
        <v>0</v>
      </c>
      <c r="Y18">
        <f t="shared" si="22"/>
        <v>0</v>
      </c>
      <c r="Z18">
        <f t="shared" si="23"/>
        <v>0</v>
      </c>
      <c r="AA18">
        <f t="shared" si="24"/>
        <v>0</v>
      </c>
      <c r="AB18">
        <f t="shared" si="25"/>
        <v>0</v>
      </c>
      <c r="AC18">
        <f t="shared" si="26"/>
        <v>0</v>
      </c>
      <c r="AD18">
        <f t="shared" si="27"/>
        <v>0</v>
      </c>
      <c r="AE18">
        <f t="shared" si="28"/>
        <v>0</v>
      </c>
      <c r="AF18">
        <f t="shared" si="29"/>
        <v>0</v>
      </c>
      <c r="AG18">
        <f t="shared" si="30"/>
        <v>0</v>
      </c>
      <c r="AH18">
        <f t="shared" si="31"/>
        <v>0</v>
      </c>
      <c r="AI18">
        <f t="shared" si="32"/>
        <v>0</v>
      </c>
      <c r="AJ18">
        <f t="shared" si="33"/>
        <v>2712.49</v>
      </c>
      <c r="AK18">
        <f t="shared" si="34"/>
        <v>8372.33</v>
      </c>
      <c r="AL18">
        <f t="shared" si="35"/>
        <v>0</v>
      </c>
      <c r="AM18">
        <f t="shared" si="36"/>
        <v>0</v>
      </c>
      <c r="AN18">
        <f t="shared" si="37"/>
        <v>0</v>
      </c>
      <c r="AO18">
        <f t="shared" si="38"/>
        <v>0</v>
      </c>
      <c r="AP18">
        <f t="shared" si="39"/>
        <v>0</v>
      </c>
      <c r="AQ18">
        <f t="shared" si="40"/>
        <v>0</v>
      </c>
      <c r="AR18">
        <f t="shared" si="41"/>
        <v>0</v>
      </c>
      <c r="AS18">
        <f t="shared" si="42"/>
        <v>0</v>
      </c>
      <c r="AT18">
        <f t="shared" si="43"/>
        <v>0</v>
      </c>
      <c r="AU18">
        <f t="shared" si="44"/>
        <v>0</v>
      </c>
      <c r="AV18">
        <f t="shared" si="45"/>
        <v>0</v>
      </c>
      <c r="AW18">
        <f t="shared" si="0"/>
        <v>11084.82</v>
      </c>
      <c r="AX18">
        <f t="shared" si="46"/>
        <v>118.16999999999999</v>
      </c>
      <c r="AY18">
        <f t="shared" si="47"/>
        <v>750</v>
      </c>
    </row>
    <row r="19" spans="1:51" x14ac:dyDescent="0.35">
      <c r="A19">
        <v>13</v>
      </c>
      <c r="C19">
        <f>MAX(0,Calc!$C$7-SUM(D19:R19))</f>
        <v>290</v>
      </c>
      <c r="D19">
        <f t="shared" si="1"/>
        <v>0</v>
      </c>
      <c r="E19">
        <f t="shared" si="2"/>
        <v>0</v>
      </c>
      <c r="F19">
        <f t="shared" si="3"/>
        <v>145</v>
      </c>
      <c r="G19">
        <f t="shared" si="4"/>
        <v>315</v>
      </c>
      <c r="H19">
        <f t="shared" si="5"/>
        <v>0</v>
      </c>
      <c r="I19">
        <f t="shared" si="6"/>
        <v>0</v>
      </c>
      <c r="J19">
        <f t="shared" si="7"/>
        <v>0</v>
      </c>
      <c r="K19">
        <f t="shared" si="8"/>
        <v>0</v>
      </c>
      <c r="L19">
        <f t="shared" si="9"/>
        <v>0</v>
      </c>
      <c r="M19">
        <f t="shared" si="10"/>
        <v>0</v>
      </c>
      <c r="N19">
        <f t="shared" si="11"/>
        <v>0</v>
      </c>
      <c r="O19">
        <f t="shared" si="12"/>
        <v>0</v>
      </c>
      <c r="P19">
        <f t="shared" si="13"/>
        <v>0</v>
      </c>
      <c r="Q19">
        <f t="shared" si="14"/>
        <v>0</v>
      </c>
      <c r="R19">
        <f t="shared" si="15"/>
        <v>0</v>
      </c>
      <c r="S19">
        <f t="shared" si="16"/>
        <v>0</v>
      </c>
      <c r="T19">
        <f t="shared" si="17"/>
        <v>0</v>
      </c>
      <c r="U19">
        <f t="shared" si="18"/>
        <v>290</v>
      </c>
      <c r="V19">
        <f t="shared" si="19"/>
        <v>0</v>
      </c>
      <c r="W19">
        <f t="shared" si="20"/>
        <v>0</v>
      </c>
      <c r="X19">
        <f t="shared" si="21"/>
        <v>0</v>
      </c>
      <c r="Y19">
        <f t="shared" si="22"/>
        <v>0</v>
      </c>
      <c r="Z19">
        <f t="shared" si="23"/>
        <v>0</v>
      </c>
      <c r="AA19">
        <f t="shared" si="24"/>
        <v>0</v>
      </c>
      <c r="AB19">
        <f t="shared" si="25"/>
        <v>0</v>
      </c>
      <c r="AC19">
        <f t="shared" si="26"/>
        <v>0</v>
      </c>
      <c r="AD19">
        <f t="shared" si="27"/>
        <v>0</v>
      </c>
      <c r="AE19">
        <f t="shared" si="28"/>
        <v>0</v>
      </c>
      <c r="AF19">
        <f t="shared" si="29"/>
        <v>0</v>
      </c>
      <c r="AG19">
        <f t="shared" si="30"/>
        <v>0</v>
      </c>
      <c r="AH19">
        <f t="shared" si="31"/>
        <v>0</v>
      </c>
      <c r="AI19">
        <f t="shared" si="32"/>
        <v>0</v>
      </c>
      <c r="AJ19">
        <f t="shared" si="33"/>
        <v>2333.98</v>
      </c>
      <c r="AK19">
        <f t="shared" si="34"/>
        <v>8109.66</v>
      </c>
      <c r="AL19">
        <f t="shared" si="35"/>
        <v>0</v>
      </c>
      <c r="AM19">
        <f t="shared" si="36"/>
        <v>0</v>
      </c>
      <c r="AN19">
        <f t="shared" si="37"/>
        <v>0</v>
      </c>
      <c r="AO19">
        <f t="shared" si="38"/>
        <v>0</v>
      </c>
      <c r="AP19">
        <f t="shared" si="39"/>
        <v>0</v>
      </c>
      <c r="AQ19">
        <f t="shared" si="40"/>
        <v>0</v>
      </c>
      <c r="AR19">
        <f t="shared" si="41"/>
        <v>0</v>
      </c>
      <c r="AS19">
        <f t="shared" si="42"/>
        <v>0</v>
      </c>
      <c r="AT19">
        <f t="shared" si="43"/>
        <v>0</v>
      </c>
      <c r="AU19">
        <f t="shared" si="44"/>
        <v>0</v>
      </c>
      <c r="AV19">
        <f t="shared" si="45"/>
        <v>0</v>
      </c>
      <c r="AW19">
        <f t="shared" si="0"/>
        <v>10443.64</v>
      </c>
      <c r="AX19">
        <f t="shared" si="46"/>
        <v>108.82</v>
      </c>
      <c r="AY19">
        <f t="shared" si="47"/>
        <v>750</v>
      </c>
    </row>
    <row r="20" spans="1:51" x14ac:dyDescent="0.35">
      <c r="A20">
        <v>14</v>
      </c>
      <c r="C20">
        <f>MAX(0,Calc!$C$7-SUM(D20:R20))</f>
        <v>290</v>
      </c>
      <c r="D20">
        <f t="shared" si="1"/>
        <v>0</v>
      </c>
      <c r="E20">
        <f t="shared" si="2"/>
        <v>0</v>
      </c>
      <c r="F20">
        <f t="shared" si="3"/>
        <v>145</v>
      </c>
      <c r="G20">
        <f t="shared" si="4"/>
        <v>315</v>
      </c>
      <c r="H20">
        <f t="shared" si="5"/>
        <v>0</v>
      </c>
      <c r="I20">
        <f t="shared" si="6"/>
        <v>0</v>
      </c>
      <c r="J20">
        <f t="shared" si="7"/>
        <v>0</v>
      </c>
      <c r="K20">
        <f t="shared" si="8"/>
        <v>0</v>
      </c>
      <c r="L20">
        <f t="shared" si="9"/>
        <v>0</v>
      </c>
      <c r="M20">
        <f t="shared" si="10"/>
        <v>0</v>
      </c>
      <c r="N20">
        <f t="shared" si="11"/>
        <v>0</v>
      </c>
      <c r="O20">
        <f t="shared" si="12"/>
        <v>0</v>
      </c>
      <c r="P20">
        <f t="shared" si="13"/>
        <v>0</v>
      </c>
      <c r="Q20">
        <f t="shared" si="14"/>
        <v>0</v>
      </c>
      <c r="R20">
        <f t="shared" si="15"/>
        <v>0</v>
      </c>
      <c r="S20">
        <f t="shared" si="16"/>
        <v>0</v>
      </c>
      <c r="T20">
        <f t="shared" si="17"/>
        <v>0</v>
      </c>
      <c r="U20">
        <f t="shared" si="18"/>
        <v>290</v>
      </c>
      <c r="V20">
        <f t="shared" si="19"/>
        <v>0</v>
      </c>
      <c r="W20">
        <f t="shared" si="20"/>
        <v>0</v>
      </c>
      <c r="X20">
        <f t="shared" si="21"/>
        <v>0</v>
      </c>
      <c r="Y20">
        <f t="shared" si="22"/>
        <v>0</v>
      </c>
      <c r="Z20">
        <f t="shared" si="23"/>
        <v>0</v>
      </c>
      <c r="AA20">
        <f t="shared" si="24"/>
        <v>0</v>
      </c>
      <c r="AB20">
        <f t="shared" si="25"/>
        <v>0</v>
      </c>
      <c r="AC20">
        <f t="shared" si="26"/>
        <v>0</v>
      </c>
      <c r="AD20">
        <f t="shared" si="27"/>
        <v>0</v>
      </c>
      <c r="AE20">
        <f t="shared" si="28"/>
        <v>0</v>
      </c>
      <c r="AF20">
        <f t="shared" si="29"/>
        <v>0</v>
      </c>
      <c r="AG20">
        <f t="shared" si="30"/>
        <v>0</v>
      </c>
      <c r="AH20">
        <f t="shared" si="31"/>
        <v>0</v>
      </c>
      <c r="AI20">
        <f t="shared" si="32"/>
        <v>0</v>
      </c>
      <c r="AJ20">
        <f t="shared" si="33"/>
        <v>1947.59</v>
      </c>
      <c r="AK20">
        <f t="shared" si="34"/>
        <v>7845.35</v>
      </c>
      <c r="AL20">
        <f t="shared" si="35"/>
        <v>0</v>
      </c>
      <c r="AM20">
        <f t="shared" si="36"/>
        <v>0</v>
      </c>
      <c r="AN20">
        <f t="shared" si="37"/>
        <v>0</v>
      </c>
      <c r="AO20">
        <f t="shared" si="38"/>
        <v>0</v>
      </c>
      <c r="AP20">
        <f t="shared" si="39"/>
        <v>0</v>
      </c>
      <c r="AQ20">
        <f t="shared" si="40"/>
        <v>0</v>
      </c>
      <c r="AR20">
        <f t="shared" si="41"/>
        <v>0</v>
      </c>
      <c r="AS20">
        <f t="shared" si="42"/>
        <v>0</v>
      </c>
      <c r="AT20">
        <f t="shared" si="43"/>
        <v>0</v>
      </c>
      <c r="AU20">
        <f t="shared" si="44"/>
        <v>0</v>
      </c>
      <c r="AV20">
        <f t="shared" si="45"/>
        <v>0</v>
      </c>
      <c r="AW20">
        <f t="shared" si="0"/>
        <v>9792.94</v>
      </c>
      <c r="AX20">
        <f t="shared" si="46"/>
        <v>99.3</v>
      </c>
      <c r="AY20">
        <f t="shared" si="47"/>
        <v>750</v>
      </c>
    </row>
    <row r="21" spans="1:51" x14ac:dyDescent="0.35">
      <c r="A21">
        <v>15</v>
      </c>
      <c r="C21">
        <f>MAX(0,Calc!$C$7-SUM(D21:R21))</f>
        <v>290</v>
      </c>
      <c r="D21">
        <f t="shared" si="1"/>
        <v>0</v>
      </c>
      <c r="E21">
        <f t="shared" si="2"/>
        <v>0</v>
      </c>
      <c r="F21">
        <f t="shared" si="3"/>
        <v>145</v>
      </c>
      <c r="G21">
        <f t="shared" si="4"/>
        <v>315</v>
      </c>
      <c r="H21">
        <f t="shared" si="5"/>
        <v>0</v>
      </c>
      <c r="I21">
        <f t="shared" si="6"/>
        <v>0</v>
      </c>
      <c r="J21">
        <f t="shared" si="7"/>
        <v>0</v>
      </c>
      <c r="K21">
        <f t="shared" si="8"/>
        <v>0</v>
      </c>
      <c r="L21">
        <f t="shared" si="9"/>
        <v>0</v>
      </c>
      <c r="M21">
        <f t="shared" si="10"/>
        <v>0</v>
      </c>
      <c r="N21">
        <f t="shared" si="11"/>
        <v>0</v>
      </c>
      <c r="O21">
        <f t="shared" si="12"/>
        <v>0</v>
      </c>
      <c r="P21">
        <f t="shared" si="13"/>
        <v>0</v>
      </c>
      <c r="Q21">
        <f t="shared" si="14"/>
        <v>0</v>
      </c>
      <c r="R21">
        <f t="shared" si="15"/>
        <v>0</v>
      </c>
      <c r="S21">
        <f t="shared" si="16"/>
        <v>0</v>
      </c>
      <c r="T21">
        <f t="shared" si="17"/>
        <v>0</v>
      </c>
      <c r="U21">
        <f t="shared" si="18"/>
        <v>290</v>
      </c>
      <c r="V21">
        <f t="shared" si="19"/>
        <v>0</v>
      </c>
      <c r="W21">
        <f t="shared" si="20"/>
        <v>0</v>
      </c>
      <c r="X21">
        <f t="shared" si="21"/>
        <v>0</v>
      </c>
      <c r="Y21">
        <f t="shared" si="22"/>
        <v>0</v>
      </c>
      <c r="Z21">
        <f t="shared" si="23"/>
        <v>0</v>
      </c>
      <c r="AA21">
        <f t="shared" si="24"/>
        <v>0</v>
      </c>
      <c r="AB21">
        <f t="shared" si="25"/>
        <v>0</v>
      </c>
      <c r="AC21">
        <f t="shared" si="26"/>
        <v>0</v>
      </c>
      <c r="AD21">
        <f t="shared" si="27"/>
        <v>0</v>
      </c>
      <c r="AE21">
        <f t="shared" si="28"/>
        <v>0</v>
      </c>
      <c r="AF21">
        <f t="shared" si="29"/>
        <v>0</v>
      </c>
      <c r="AG21">
        <f t="shared" si="30"/>
        <v>0</v>
      </c>
      <c r="AH21">
        <f t="shared" si="31"/>
        <v>0</v>
      </c>
      <c r="AI21">
        <f t="shared" si="32"/>
        <v>0</v>
      </c>
      <c r="AJ21">
        <f t="shared" si="33"/>
        <v>1553.15</v>
      </c>
      <c r="AK21">
        <f t="shared" si="34"/>
        <v>7579.38</v>
      </c>
      <c r="AL21">
        <f t="shared" si="35"/>
        <v>0</v>
      </c>
      <c r="AM21">
        <f t="shared" si="36"/>
        <v>0</v>
      </c>
      <c r="AN21">
        <f t="shared" si="37"/>
        <v>0</v>
      </c>
      <c r="AO21">
        <f t="shared" si="38"/>
        <v>0</v>
      </c>
      <c r="AP21">
        <f t="shared" si="39"/>
        <v>0</v>
      </c>
      <c r="AQ21">
        <f t="shared" si="40"/>
        <v>0</v>
      </c>
      <c r="AR21">
        <f t="shared" si="41"/>
        <v>0</v>
      </c>
      <c r="AS21">
        <f t="shared" si="42"/>
        <v>0</v>
      </c>
      <c r="AT21">
        <f t="shared" si="43"/>
        <v>0</v>
      </c>
      <c r="AU21">
        <f t="shared" si="44"/>
        <v>0</v>
      </c>
      <c r="AV21">
        <f t="shared" si="45"/>
        <v>0</v>
      </c>
      <c r="AW21">
        <f t="shared" si="0"/>
        <v>9132.5300000000007</v>
      </c>
      <c r="AX21">
        <f t="shared" si="46"/>
        <v>89.59</v>
      </c>
      <c r="AY21">
        <f t="shared" si="47"/>
        <v>750</v>
      </c>
    </row>
    <row r="22" spans="1:51" x14ac:dyDescent="0.35">
      <c r="A22">
        <v>16</v>
      </c>
      <c r="C22">
        <f>MAX(0,Calc!$C$7-SUM(D22:R22))</f>
        <v>290</v>
      </c>
      <c r="D22">
        <f t="shared" si="1"/>
        <v>0</v>
      </c>
      <c r="E22">
        <f t="shared" si="2"/>
        <v>0</v>
      </c>
      <c r="F22">
        <f t="shared" si="3"/>
        <v>145</v>
      </c>
      <c r="G22">
        <f t="shared" si="4"/>
        <v>315</v>
      </c>
      <c r="H22">
        <f t="shared" si="5"/>
        <v>0</v>
      </c>
      <c r="I22">
        <f t="shared" si="6"/>
        <v>0</v>
      </c>
      <c r="J22">
        <f t="shared" si="7"/>
        <v>0</v>
      </c>
      <c r="K22">
        <f t="shared" si="8"/>
        <v>0</v>
      </c>
      <c r="L22">
        <f t="shared" si="9"/>
        <v>0</v>
      </c>
      <c r="M22">
        <f t="shared" si="10"/>
        <v>0</v>
      </c>
      <c r="N22">
        <f t="shared" si="11"/>
        <v>0</v>
      </c>
      <c r="O22">
        <f t="shared" si="12"/>
        <v>0</v>
      </c>
      <c r="P22">
        <f t="shared" si="13"/>
        <v>0</v>
      </c>
      <c r="Q22">
        <f t="shared" si="14"/>
        <v>0</v>
      </c>
      <c r="R22">
        <f t="shared" si="15"/>
        <v>0</v>
      </c>
      <c r="S22">
        <f t="shared" si="16"/>
        <v>0</v>
      </c>
      <c r="T22">
        <f t="shared" si="17"/>
        <v>0</v>
      </c>
      <c r="U22">
        <f t="shared" si="18"/>
        <v>290</v>
      </c>
      <c r="V22">
        <f t="shared" si="19"/>
        <v>0</v>
      </c>
      <c r="W22">
        <f t="shared" si="20"/>
        <v>0</v>
      </c>
      <c r="X22">
        <f t="shared" si="21"/>
        <v>0</v>
      </c>
      <c r="Y22">
        <f t="shared" si="22"/>
        <v>0</v>
      </c>
      <c r="Z22">
        <f t="shared" si="23"/>
        <v>0</v>
      </c>
      <c r="AA22">
        <f t="shared" si="24"/>
        <v>0</v>
      </c>
      <c r="AB22">
        <f t="shared" si="25"/>
        <v>0</v>
      </c>
      <c r="AC22">
        <f t="shared" si="26"/>
        <v>0</v>
      </c>
      <c r="AD22">
        <f t="shared" si="27"/>
        <v>0</v>
      </c>
      <c r="AE22">
        <f t="shared" si="28"/>
        <v>0</v>
      </c>
      <c r="AF22">
        <f t="shared" si="29"/>
        <v>0</v>
      </c>
      <c r="AG22">
        <f t="shared" si="30"/>
        <v>0</v>
      </c>
      <c r="AH22">
        <f t="shared" si="31"/>
        <v>0</v>
      </c>
      <c r="AI22">
        <f t="shared" si="32"/>
        <v>0</v>
      </c>
      <c r="AJ22">
        <f t="shared" si="33"/>
        <v>1150.49</v>
      </c>
      <c r="AK22">
        <f t="shared" si="34"/>
        <v>7311.75</v>
      </c>
      <c r="AL22">
        <f t="shared" si="35"/>
        <v>0</v>
      </c>
      <c r="AM22">
        <f t="shared" si="36"/>
        <v>0</v>
      </c>
      <c r="AN22">
        <f t="shared" si="37"/>
        <v>0</v>
      </c>
      <c r="AO22">
        <f t="shared" si="38"/>
        <v>0</v>
      </c>
      <c r="AP22">
        <f t="shared" si="39"/>
        <v>0</v>
      </c>
      <c r="AQ22">
        <f t="shared" si="40"/>
        <v>0</v>
      </c>
      <c r="AR22">
        <f t="shared" si="41"/>
        <v>0</v>
      </c>
      <c r="AS22">
        <f t="shared" si="42"/>
        <v>0</v>
      </c>
      <c r="AT22">
        <f t="shared" si="43"/>
        <v>0</v>
      </c>
      <c r="AU22">
        <f t="shared" si="44"/>
        <v>0</v>
      </c>
      <c r="AV22">
        <f t="shared" si="45"/>
        <v>0</v>
      </c>
      <c r="AW22">
        <f t="shared" si="0"/>
        <v>8462.24</v>
      </c>
      <c r="AX22">
        <f t="shared" si="46"/>
        <v>79.710000000000008</v>
      </c>
      <c r="AY22">
        <f t="shared" si="47"/>
        <v>750</v>
      </c>
    </row>
    <row r="23" spans="1:51" x14ac:dyDescent="0.35">
      <c r="A23">
        <v>17</v>
      </c>
      <c r="C23">
        <f>MAX(0,Calc!$C$7-SUM(D23:R23))</f>
        <v>290</v>
      </c>
      <c r="D23">
        <f t="shared" si="1"/>
        <v>0</v>
      </c>
      <c r="E23">
        <f t="shared" si="2"/>
        <v>0</v>
      </c>
      <c r="F23">
        <f t="shared" si="3"/>
        <v>145</v>
      </c>
      <c r="G23">
        <f t="shared" si="4"/>
        <v>315</v>
      </c>
      <c r="H23">
        <f t="shared" si="5"/>
        <v>0</v>
      </c>
      <c r="I23">
        <f t="shared" si="6"/>
        <v>0</v>
      </c>
      <c r="J23">
        <f t="shared" si="7"/>
        <v>0</v>
      </c>
      <c r="K23">
        <f t="shared" si="8"/>
        <v>0</v>
      </c>
      <c r="L23">
        <f t="shared" si="9"/>
        <v>0</v>
      </c>
      <c r="M23">
        <f t="shared" si="10"/>
        <v>0</v>
      </c>
      <c r="N23">
        <f t="shared" si="11"/>
        <v>0</v>
      </c>
      <c r="O23">
        <f t="shared" si="12"/>
        <v>0</v>
      </c>
      <c r="P23">
        <f t="shared" si="13"/>
        <v>0</v>
      </c>
      <c r="Q23">
        <f t="shared" si="14"/>
        <v>0</v>
      </c>
      <c r="R23">
        <f t="shared" si="15"/>
        <v>0</v>
      </c>
      <c r="S23">
        <f t="shared" si="16"/>
        <v>0</v>
      </c>
      <c r="T23">
        <f t="shared" si="17"/>
        <v>0</v>
      </c>
      <c r="U23">
        <f t="shared" si="18"/>
        <v>290</v>
      </c>
      <c r="V23">
        <f t="shared" si="19"/>
        <v>0</v>
      </c>
      <c r="W23">
        <f t="shared" si="20"/>
        <v>0</v>
      </c>
      <c r="X23">
        <f t="shared" si="21"/>
        <v>0</v>
      </c>
      <c r="Y23">
        <f t="shared" si="22"/>
        <v>0</v>
      </c>
      <c r="Z23">
        <f t="shared" si="23"/>
        <v>0</v>
      </c>
      <c r="AA23">
        <f t="shared" si="24"/>
        <v>0</v>
      </c>
      <c r="AB23">
        <f t="shared" si="25"/>
        <v>0</v>
      </c>
      <c r="AC23">
        <f t="shared" si="26"/>
        <v>0</v>
      </c>
      <c r="AD23">
        <f t="shared" si="27"/>
        <v>0</v>
      </c>
      <c r="AE23">
        <f t="shared" si="28"/>
        <v>0</v>
      </c>
      <c r="AF23">
        <f t="shared" si="29"/>
        <v>0</v>
      </c>
      <c r="AG23">
        <f t="shared" si="30"/>
        <v>0</v>
      </c>
      <c r="AH23">
        <f t="shared" si="31"/>
        <v>0</v>
      </c>
      <c r="AI23">
        <f t="shared" si="32"/>
        <v>0</v>
      </c>
      <c r="AJ23">
        <f t="shared" si="33"/>
        <v>739.45</v>
      </c>
      <c r="AK23">
        <f t="shared" si="34"/>
        <v>7042.45</v>
      </c>
      <c r="AL23">
        <f t="shared" si="35"/>
        <v>0</v>
      </c>
      <c r="AM23">
        <f t="shared" si="36"/>
        <v>0</v>
      </c>
      <c r="AN23">
        <f t="shared" si="37"/>
        <v>0</v>
      </c>
      <c r="AO23">
        <f t="shared" si="38"/>
        <v>0</v>
      </c>
      <c r="AP23">
        <f t="shared" si="39"/>
        <v>0</v>
      </c>
      <c r="AQ23">
        <f t="shared" si="40"/>
        <v>0</v>
      </c>
      <c r="AR23">
        <f t="shared" si="41"/>
        <v>0</v>
      </c>
      <c r="AS23">
        <f t="shared" si="42"/>
        <v>0</v>
      </c>
      <c r="AT23">
        <f t="shared" si="43"/>
        <v>0</v>
      </c>
      <c r="AU23">
        <f t="shared" si="44"/>
        <v>0</v>
      </c>
      <c r="AV23">
        <f t="shared" si="45"/>
        <v>0</v>
      </c>
      <c r="AW23">
        <f t="shared" si="0"/>
        <v>7781.9</v>
      </c>
      <c r="AX23">
        <f t="shared" si="46"/>
        <v>69.66</v>
      </c>
      <c r="AY23">
        <f t="shared" si="47"/>
        <v>750</v>
      </c>
    </row>
    <row r="24" spans="1:51" x14ac:dyDescent="0.35">
      <c r="A24">
        <v>18</v>
      </c>
      <c r="C24">
        <f>MAX(0,Calc!$C$7-SUM(D24:R24))</f>
        <v>290</v>
      </c>
      <c r="D24">
        <f t="shared" si="1"/>
        <v>0</v>
      </c>
      <c r="E24">
        <f t="shared" si="2"/>
        <v>0</v>
      </c>
      <c r="F24">
        <f t="shared" si="3"/>
        <v>145</v>
      </c>
      <c r="G24">
        <f t="shared" si="4"/>
        <v>315</v>
      </c>
      <c r="H24">
        <f t="shared" si="5"/>
        <v>0</v>
      </c>
      <c r="I24">
        <f t="shared" si="6"/>
        <v>0</v>
      </c>
      <c r="J24">
        <f t="shared" si="7"/>
        <v>0</v>
      </c>
      <c r="K24">
        <f t="shared" si="8"/>
        <v>0</v>
      </c>
      <c r="L24">
        <f t="shared" si="9"/>
        <v>0</v>
      </c>
      <c r="M24">
        <f t="shared" si="10"/>
        <v>0</v>
      </c>
      <c r="N24">
        <f t="shared" si="11"/>
        <v>0</v>
      </c>
      <c r="O24">
        <f t="shared" si="12"/>
        <v>0</v>
      </c>
      <c r="P24">
        <f t="shared" si="13"/>
        <v>0</v>
      </c>
      <c r="Q24">
        <f t="shared" si="14"/>
        <v>0</v>
      </c>
      <c r="R24">
        <f t="shared" si="15"/>
        <v>0</v>
      </c>
      <c r="S24">
        <f t="shared" si="16"/>
        <v>0</v>
      </c>
      <c r="T24">
        <f t="shared" si="17"/>
        <v>0</v>
      </c>
      <c r="U24">
        <f t="shared" si="18"/>
        <v>290</v>
      </c>
      <c r="V24">
        <f t="shared" si="19"/>
        <v>0</v>
      </c>
      <c r="W24">
        <f t="shared" si="20"/>
        <v>0</v>
      </c>
      <c r="X24">
        <f t="shared" si="21"/>
        <v>0</v>
      </c>
      <c r="Y24">
        <f t="shared" si="22"/>
        <v>0</v>
      </c>
      <c r="Z24">
        <f t="shared" si="23"/>
        <v>0</v>
      </c>
      <c r="AA24">
        <f t="shared" si="24"/>
        <v>0</v>
      </c>
      <c r="AB24">
        <f t="shared" si="25"/>
        <v>0</v>
      </c>
      <c r="AC24">
        <f t="shared" si="26"/>
        <v>0</v>
      </c>
      <c r="AD24">
        <f t="shared" si="27"/>
        <v>0</v>
      </c>
      <c r="AE24">
        <f t="shared" si="28"/>
        <v>0</v>
      </c>
      <c r="AF24">
        <f t="shared" si="29"/>
        <v>0</v>
      </c>
      <c r="AG24">
        <f t="shared" si="30"/>
        <v>0</v>
      </c>
      <c r="AH24">
        <f t="shared" si="31"/>
        <v>0</v>
      </c>
      <c r="AI24">
        <f t="shared" si="32"/>
        <v>0</v>
      </c>
      <c r="AJ24">
        <f t="shared" si="33"/>
        <v>319.85000000000002</v>
      </c>
      <c r="AK24">
        <f t="shared" si="34"/>
        <v>6771.47</v>
      </c>
      <c r="AL24">
        <f t="shared" si="35"/>
        <v>0</v>
      </c>
      <c r="AM24">
        <f t="shared" si="36"/>
        <v>0</v>
      </c>
      <c r="AN24">
        <f t="shared" si="37"/>
        <v>0</v>
      </c>
      <c r="AO24">
        <f t="shared" si="38"/>
        <v>0</v>
      </c>
      <c r="AP24">
        <f t="shared" si="39"/>
        <v>0</v>
      </c>
      <c r="AQ24">
        <f t="shared" si="40"/>
        <v>0</v>
      </c>
      <c r="AR24">
        <f t="shared" si="41"/>
        <v>0</v>
      </c>
      <c r="AS24">
        <f t="shared" si="42"/>
        <v>0</v>
      </c>
      <c r="AT24">
        <f t="shared" si="43"/>
        <v>0</v>
      </c>
      <c r="AU24">
        <f t="shared" si="44"/>
        <v>0</v>
      </c>
      <c r="AV24">
        <f t="shared" si="45"/>
        <v>0</v>
      </c>
      <c r="AW24">
        <f t="shared" si="0"/>
        <v>7091.3200000000006</v>
      </c>
      <c r="AX24">
        <f t="shared" si="46"/>
        <v>59.42</v>
      </c>
      <c r="AY24">
        <f t="shared" si="47"/>
        <v>750</v>
      </c>
    </row>
    <row r="25" spans="1:51" x14ac:dyDescent="0.35">
      <c r="A25">
        <v>19</v>
      </c>
      <c r="C25">
        <f>MAX(0,Calc!$C$7-SUM(D25:R25))</f>
        <v>290</v>
      </c>
      <c r="D25">
        <f t="shared" si="1"/>
        <v>0</v>
      </c>
      <c r="E25">
        <f t="shared" si="2"/>
        <v>0</v>
      </c>
      <c r="F25">
        <f t="shared" si="3"/>
        <v>145</v>
      </c>
      <c r="G25">
        <f t="shared" si="4"/>
        <v>315</v>
      </c>
      <c r="H25">
        <f t="shared" si="5"/>
        <v>0</v>
      </c>
      <c r="I25">
        <f t="shared" si="6"/>
        <v>0</v>
      </c>
      <c r="J25">
        <f t="shared" si="7"/>
        <v>0</v>
      </c>
      <c r="K25">
        <f t="shared" si="8"/>
        <v>0</v>
      </c>
      <c r="L25">
        <f t="shared" si="9"/>
        <v>0</v>
      </c>
      <c r="M25">
        <f t="shared" si="10"/>
        <v>0</v>
      </c>
      <c r="N25">
        <f t="shared" si="11"/>
        <v>0</v>
      </c>
      <c r="O25">
        <f t="shared" si="12"/>
        <v>0</v>
      </c>
      <c r="P25">
        <f t="shared" si="13"/>
        <v>0</v>
      </c>
      <c r="Q25">
        <f t="shared" si="14"/>
        <v>0</v>
      </c>
      <c r="R25">
        <f t="shared" si="15"/>
        <v>0</v>
      </c>
      <c r="S25">
        <f t="shared" si="16"/>
        <v>0</v>
      </c>
      <c r="T25">
        <f t="shared" si="17"/>
        <v>0</v>
      </c>
      <c r="U25">
        <f t="shared" si="18"/>
        <v>181.51000000000005</v>
      </c>
      <c r="V25">
        <f t="shared" si="19"/>
        <v>108.48999999999995</v>
      </c>
      <c r="W25">
        <f t="shared" si="20"/>
        <v>0</v>
      </c>
      <c r="X25">
        <f t="shared" si="21"/>
        <v>0</v>
      </c>
      <c r="Y25">
        <f t="shared" si="22"/>
        <v>0</v>
      </c>
      <c r="Z25">
        <f t="shared" si="23"/>
        <v>0</v>
      </c>
      <c r="AA25">
        <f t="shared" si="24"/>
        <v>0</v>
      </c>
      <c r="AB25">
        <f t="shared" si="25"/>
        <v>0</v>
      </c>
      <c r="AC25">
        <f t="shared" si="26"/>
        <v>0</v>
      </c>
      <c r="AD25">
        <f t="shared" si="27"/>
        <v>0</v>
      </c>
      <c r="AE25">
        <f t="shared" si="28"/>
        <v>0</v>
      </c>
      <c r="AF25">
        <f t="shared" si="29"/>
        <v>0</v>
      </c>
      <c r="AG25">
        <f t="shared" si="30"/>
        <v>0</v>
      </c>
      <c r="AH25">
        <f t="shared" si="31"/>
        <v>0</v>
      </c>
      <c r="AI25">
        <f t="shared" si="32"/>
        <v>0</v>
      </c>
      <c r="AJ25">
        <f t="shared" si="33"/>
        <v>0</v>
      </c>
      <c r="AK25">
        <f t="shared" si="34"/>
        <v>6390.3</v>
      </c>
      <c r="AL25">
        <f t="shared" si="35"/>
        <v>0</v>
      </c>
      <c r="AM25">
        <f t="shared" si="36"/>
        <v>0</v>
      </c>
      <c r="AN25">
        <f t="shared" si="37"/>
        <v>0</v>
      </c>
      <c r="AO25">
        <f t="shared" si="38"/>
        <v>0</v>
      </c>
      <c r="AP25">
        <f t="shared" si="39"/>
        <v>0</v>
      </c>
      <c r="AQ25">
        <f t="shared" si="40"/>
        <v>0</v>
      </c>
      <c r="AR25">
        <f t="shared" si="41"/>
        <v>0</v>
      </c>
      <c r="AS25">
        <f t="shared" si="42"/>
        <v>0</v>
      </c>
      <c r="AT25">
        <f t="shared" si="43"/>
        <v>0</v>
      </c>
      <c r="AU25">
        <f t="shared" si="44"/>
        <v>0</v>
      </c>
      <c r="AV25">
        <f t="shared" si="45"/>
        <v>0</v>
      </c>
      <c r="AW25">
        <f t="shared" si="0"/>
        <v>6390.3</v>
      </c>
      <c r="AX25">
        <f t="shared" si="46"/>
        <v>48.980000000000004</v>
      </c>
      <c r="AY25">
        <f t="shared" si="47"/>
        <v>750</v>
      </c>
    </row>
    <row r="26" spans="1:51" x14ac:dyDescent="0.35">
      <c r="A26">
        <v>20</v>
      </c>
      <c r="C26">
        <f>MAX(0,Calc!$C$7-SUM(D26:R26))</f>
        <v>435</v>
      </c>
      <c r="D26">
        <f t="shared" si="1"/>
        <v>0</v>
      </c>
      <c r="E26">
        <f t="shared" si="2"/>
        <v>0</v>
      </c>
      <c r="F26">
        <f t="shared" si="3"/>
        <v>0</v>
      </c>
      <c r="G26">
        <f t="shared" si="4"/>
        <v>315</v>
      </c>
      <c r="H26">
        <f t="shared" si="5"/>
        <v>0</v>
      </c>
      <c r="I26">
        <f t="shared" si="6"/>
        <v>0</v>
      </c>
      <c r="J26">
        <f t="shared" si="7"/>
        <v>0</v>
      </c>
      <c r="K26">
        <f t="shared" si="8"/>
        <v>0</v>
      </c>
      <c r="L26">
        <f t="shared" si="9"/>
        <v>0</v>
      </c>
      <c r="M26">
        <f t="shared" si="10"/>
        <v>0</v>
      </c>
      <c r="N26">
        <f t="shared" si="11"/>
        <v>0</v>
      </c>
      <c r="O26">
        <f t="shared" si="12"/>
        <v>0</v>
      </c>
      <c r="P26">
        <f t="shared" si="13"/>
        <v>0</v>
      </c>
      <c r="Q26">
        <f t="shared" si="14"/>
        <v>0</v>
      </c>
      <c r="R26">
        <f t="shared" si="15"/>
        <v>0</v>
      </c>
      <c r="S26">
        <f t="shared" si="16"/>
        <v>0</v>
      </c>
      <c r="T26">
        <f t="shared" si="17"/>
        <v>0</v>
      </c>
      <c r="U26">
        <f t="shared" si="18"/>
        <v>0</v>
      </c>
      <c r="V26">
        <f t="shared" si="19"/>
        <v>435</v>
      </c>
      <c r="W26">
        <f t="shared" si="20"/>
        <v>0</v>
      </c>
      <c r="X26">
        <f t="shared" si="21"/>
        <v>0</v>
      </c>
      <c r="Y26">
        <f t="shared" si="22"/>
        <v>0</v>
      </c>
      <c r="Z26">
        <f t="shared" si="23"/>
        <v>0</v>
      </c>
      <c r="AA26">
        <f t="shared" si="24"/>
        <v>0</v>
      </c>
      <c r="AB26">
        <f t="shared" si="25"/>
        <v>0</v>
      </c>
      <c r="AC26">
        <f t="shared" si="26"/>
        <v>0</v>
      </c>
      <c r="AD26">
        <f t="shared" si="27"/>
        <v>0</v>
      </c>
      <c r="AE26">
        <f t="shared" si="28"/>
        <v>0</v>
      </c>
      <c r="AF26">
        <f t="shared" si="29"/>
        <v>0</v>
      </c>
      <c r="AG26">
        <f t="shared" si="30"/>
        <v>0</v>
      </c>
      <c r="AH26">
        <f t="shared" si="31"/>
        <v>0</v>
      </c>
      <c r="AI26">
        <f t="shared" si="32"/>
        <v>0</v>
      </c>
      <c r="AJ26">
        <f t="shared" si="33"/>
        <v>0</v>
      </c>
      <c r="AK26">
        <f t="shared" si="34"/>
        <v>5680.24</v>
      </c>
      <c r="AL26">
        <f t="shared" si="35"/>
        <v>0</v>
      </c>
      <c r="AM26">
        <f t="shared" si="36"/>
        <v>0</v>
      </c>
      <c r="AN26">
        <f t="shared" si="37"/>
        <v>0</v>
      </c>
      <c r="AO26">
        <f t="shared" si="38"/>
        <v>0</v>
      </c>
      <c r="AP26">
        <f t="shared" si="39"/>
        <v>0</v>
      </c>
      <c r="AQ26">
        <f t="shared" si="40"/>
        <v>0</v>
      </c>
      <c r="AR26">
        <f t="shared" si="41"/>
        <v>0</v>
      </c>
      <c r="AS26">
        <f t="shared" si="42"/>
        <v>0</v>
      </c>
      <c r="AT26">
        <f t="shared" si="43"/>
        <v>0</v>
      </c>
      <c r="AU26">
        <f t="shared" si="44"/>
        <v>0</v>
      </c>
      <c r="AV26">
        <f t="shared" si="45"/>
        <v>0</v>
      </c>
      <c r="AW26">
        <f t="shared" si="0"/>
        <v>5680.24</v>
      </c>
      <c r="AX26">
        <f t="shared" si="46"/>
        <v>39.94</v>
      </c>
      <c r="AY26">
        <f t="shared" si="47"/>
        <v>750</v>
      </c>
    </row>
    <row r="27" spans="1:51" x14ac:dyDescent="0.35">
      <c r="A27">
        <v>21</v>
      </c>
      <c r="C27">
        <f>MAX(0,Calc!$C$7-SUM(D27:R27))</f>
        <v>435</v>
      </c>
      <c r="D27">
        <f t="shared" si="1"/>
        <v>0</v>
      </c>
      <c r="E27">
        <f t="shared" si="2"/>
        <v>0</v>
      </c>
      <c r="F27">
        <f t="shared" si="3"/>
        <v>0</v>
      </c>
      <c r="G27">
        <f t="shared" si="4"/>
        <v>315</v>
      </c>
      <c r="H27">
        <f t="shared" si="5"/>
        <v>0</v>
      </c>
      <c r="I27">
        <f t="shared" si="6"/>
        <v>0</v>
      </c>
      <c r="J27">
        <f t="shared" si="7"/>
        <v>0</v>
      </c>
      <c r="K27">
        <f t="shared" si="8"/>
        <v>0</v>
      </c>
      <c r="L27">
        <f t="shared" si="9"/>
        <v>0</v>
      </c>
      <c r="M27">
        <f t="shared" si="10"/>
        <v>0</v>
      </c>
      <c r="N27">
        <f t="shared" si="11"/>
        <v>0</v>
      </c>
      <c r="O27">
        <f t="shared" si="12"/>
        <v>0</v>
      </c>
      <c r="P27">
        <f t="shared" si="13"/>
        <v>0</v>
      </c>
      <c r="Q27">
        <f t="shared" si="14"/>
        <v>0</v>
      </c>
      <c r="R27">
        <f t="shared" si="15"/>
        <v>0</v>
      </c>
      <c r="S27">
        <f t="shared" si="16"/>
        <v>0</v>
      </c>
      <c r="T27">
        <f t="shared" si="17"/>
        <v>0</v>
      </c>
      <c r="U27">
        <f t="shared" si="18"/>
        <v>0</v>
      </c>
      <c r="V27">
        <f t="shared" si="19"/>
        <v>435</v>
      </c>
      <c r="W27">
        <f t="shared" si="20"/>
        <v>0</v>
      </c>
      <c r="X27">
        <f t="shared" si="21"/>
        <v>0</v>
      </c>
      <c r="Y27">
        <f t="shared" si="22"/>
        <v>0</v>
      </c>
      <c r="Z27">
        <f t="shared" si="23"/>
        <v>0</v>
      </c>
      <c r="AA27">
        <f t="shared" si="24"/>
        <v>0</v>
      </c>
      <c r="AB27">
        <f t="shared" si="25"/>
        <v>0</v>
      </c>
      <c r="AC27">
        <f t="shared" si="26"/>
        <v>0</v>
      </c>
      <c r="AD27">
        <f t="shared" si="27"/>
        <v>0</v>
      </c>
      <c r="AE27">
        <f t="shared" si="28"/>
        <v>0</v>
      </c>
      <c r="AF27">
        <f t="shared" si="29"/>
        <v>0</v>
      </c>
      <c r="AG27">
        <f t="shared" si="30"/>
        <v>0</v>
      </c>
      <c r="AH27">
        <f t="shared" si="31"/>
        <v>0</v>
      </c>
      <c r="AI27">
        <f t="shared" si="32"/>
        <v>0</v>
      </c>
      <c r="AJ27">
        <f t="shared" si="33"/>
        <v>0</v>
      </c>
      <c r="AK27">
        <f t="shared" si="34"/>
        <v>4965.74</v>
      </c>
      <c r="AL27">
        <f t="shared" si="35"/>
        <v>0</v>
      </c>
      <c r="AM27">
        <f t="shared" si="36"/>
        <v>0</v>
      </c>
      <c r="AN27">
        <f t="shared" si="37"/>
        <v>0</v>
      </c>
      <c r="AO27">
        <f t="shared" si="38"/>
        <v>0</v>
      </c>
      <c r="AP27">
        <f t="shared" si="39"/>
        <v>0</v>
      </c>
      <c r="AQ27">
        <f t="shared" si="40"/>
        <v>0</v>
      </c>
      <c r="AR27">
        <f t="shared" si="41"/>
        <v>0</v>
      </c>
      <c r="AS27">
        <f t="shared" si="42"/>
        <v>0</v>
      </c>
      <c r="AT27">
        <f t="shared" si="43"/>
        <v>0</v>
      </c>
      <c r="AU27">
        <f t="shared" si="44"/>
        <v>0</v>
      </c>
      <c r="AV27">
        <f t="shared" si="45"/>
        <v>0</v>
      </c>
      <c r="AW27">
        <f t="shared" si="0"/>
        <v>4965.74</v>
      </c>
      <c r="AX27">
        <f t="shared" si="46"/>
        <v>35.5</v>
      </c>
      <c r="AY27">
        <f t="shared" si="47"/>
        <v>750</v>
      </c>
    </row>
    <row r="28" spans="1:51" x14ac:dyDescent="0.35">
      <c r="A28">
        <v>22</v>
      </c>
      <c r="C28">
        <f>MAX(0,Calc!$C$7-SUM(D28:R28))</f>
        <v>435</v>
      </c>
      <c r="D28">
        <f t="shared" si="1"/>
        <v>0</v>
      </c>
      <c r="E28">
        <f t="shared" si="2"/>
        <v>0</v>
      </c>
      <c r="F28">
        <f t="shared" si="3"/>
        <v>0</v>
      </c>
      <c r="G28">
        <f t="shared" si="4"/>
        <v>315</v>
      </c>
      <c r="H28">
        <f t="shared" si="5"/>
        <v>0</v>
      </c>
      <c r="I28">
        <f t="shared" si="6"/>
        <v>0</v>
      </c>
      <c r="J28">
        <f t="shared" si="7"/>
        <v>0</v>
      </c>
      <c r="K28">
        <f t="shared" si="8"/>
        <v>0</v>
      </c>
      <c r="L28">
        <f t="shared" si="9"/>
        <v>0</v>
      </c>
      <c r="M28">
        <f t="shared" si="10"/>
        <v>0</v>
      </c>
      <c r="N28">
        <f t="shared" si="11"/>
        <v>0</v>
      </c>
      <c r="O28">
        <f t="shared" si="12"/>
        <v>0</v>
      </c>
      <c r="P28">
        <f t="shared" si="13"/>
        <v>0</v>
      </c>
      <c r="Q28">
        <f t="shared" si="14"/>
        <v>0</v>
      </c>
      <c r="R28">
        <f t="shared" si="15"/>
        <v>0</v>
      </c>
      <c r="S28">
        <f t="shared" si="16"/>
        <v>0</v>
      </c>
      <c r="T28">
        <f t="shared" si="17"/>
        <v>0</v>
      </c>
      <c r="U28">
        <f t="shared" si="18"/>
        <v>0</v>
      </c>
      <c r="V28">
        <f t="shared" si="19"/>
        <v>435</v>
      </c>
      <c r="W28">
        <f t="shared" si="20"/>
        <v>0</v>
      </c>
      <c r="X28">
        <f t="shared" si="21"/>
        <v>0</v>
      </c>
      <c r="Y28">
        <f t="shared" si="22"/>
        <v>0</v>
      </c>
      <c r="Z28">
        <f t="shared" si="23"/>
        <v>0</v>
      </c>
      <c r="AA28">
        <f t="shared" si="24"/>
        <v>0</v>
      </c>
      <c r="AB28">
        <f t="shared" si="25"/>
        <v>0</v>
      </c>
      <c r="AC28">
        <f t="shared" si="26"/>
        <v>0</v>
      </c>
      <c r="AD28">
        <f t="shared" si="27"/>
        <v>0</v>
      </c>
      <c r="AE28">
        <f t="shared" si="28"/>
        <v>0</v>
      </c>
      <c r="AF28">
        <f t="shared" si="29"/>
        <v>0</v>
      </c>
      <c r="AG28">
        <f t="shared" si="30"/>
        <v>0</v>
      </c>
      <c r="AH28">
        <f t="shared" si="31"/>
        <v>0</v>
      </c>
      <c r="AI28">
        <f t="shared" si="32"/>
        <v>0</v>
      </c>
      <c r="AJ28">
        <f t="shared" si="33"/>
        <v>0</v>
      </c>
      <c r="AK28">
        <f t="shared" si="34"/>
        <v>4246.78</v>
      </c>
      <c r="AL28">
        <f t="shared" si="35"/>
        <v>0</v>
      </c>
      <c r="AM28">
        <f t="shared" si="36"/>
        <v>0</v>
      </c>
      <c r="AN28">
        <f t="shared" si="37"/>
        <v>0</v>
      </c>
      <c r="AO28">
        <f t="shared" si="38"/>
        <v>0</v>
      </c>
      <c r="AP28">
        <f t="shared" si="39"/>
        <v>0</v>
      </c>
      <c r="AQ28">
        <f t="shared" si="40"/>
        <v>0</v>
      </c>
      <c r="AR28">
        <f t="shared" si="41"/>
        <v>0</v>
      </c>
      <c r="AS28">
        <f t="shared" si="42"/>
        <v>0</v>
      </c>
      <c r="AT28">
        <f t="shared" si="43"/>
        <v>0</v>
      </c>
      <c r="AU28">
        <f t="shared" si="44"/>
        <v>0</v>
      </c>
      <c r="AV28">
        <f t="shared" si="45"/>
        <v>0</v>
      </c>
      <c r="AW28">
        <f t="shared" si="0"/>
        <v>4246.78</v>
      </c>
      <c r="AX28">
        <f t="shared" si="46"/>
        <v>31.04</v>
      </c>
      <c r="AY28">
        <f t="shared" si="47"/>
        <v>750</v>
      </c>
    </row>
    <row r="29" spans="1:51" x14ac:dyDescent="0.35">
      <c r="A29">
        <v>23</v>
      </c>
      <c r="C29">
        <f>MAX(0,Calc!$C$7-SUM(D29:R29))</f>
        <v>435</v>
      </c>
      <c r="D29">
        <f t="shared" si="1"/>
        <v>0</v>
      </c>
      <c r="E29">
        <f t="shared" si="2"/>
        <v>0</v>
      </c>
      <c r="F29">
        <f t="shared" si="3"/>
        <v>0</v>
      </c>
      <c r="G29">
        <f t="shared" si="4"/>
        <v>315</v>
      </c>
      <c r="H29">
        <f t="shared" si="5"/>
        <v>0</v>
      </c>
      <c r="I29">
        <f t="shared" si="6"/>
        <v>0</v>
      </c>
      <c r="J29">
        <f t="shared" si="7"/>
        <v>0</v>
      </c>
      <c r="K29">
        <f t="shared" si="8"/>
        <v>0</v>
      </c>
      <c r="L29">
        <f t="shared" si="9"/>
        <v>0</v>
      </c>
      <c r="M29">
        <f t="shared" si="10"/>
        <v>0</v>
      </c>
      <c r="N29">
        <f t="shared" si="11"/>
        <v>0</v>
      </c>
      <c r="O29">
        <f t="shared" si="12"/>
        <v>0</v>
      </c>
      <c r="P29">
        <f t="shared" si="13"/>
        <v>0</v>
      </c>
      <c r="Q29">
        <f t="shared" si="14"/>
        <v>0</v>
      </c>
      <c r="R29">
        <f t="shared" si="15"/>
        <v>0</v>
      </c>
      <c r="S29">
        <f t="shared" si="16"/>
        <v>0</v>
      </c>
      <c r="T29">
        <f t="shared" si="17"/>
        <v>0</v>
      </c>
      <c r="U29">
        <f t="shared" si="18"/>
        <v>0</v>
      </c>
      <c r="V29">
        <f t="shared" si="19"/>
        <v>435</v>
      </c>
      <c r="W29">
        <f t="shared" si="20"/>
        <v>0</v>
      </c>
      <c r="X29">
        <f t="shared" si="21"/>
        <v>0</v>
      </c>
      <c r="Y29">
        <f t="shared" si="22"/>
        <v>0</v>
      </c>
      <c r="Z29">
        <f t="shared" si="23"/>
        <v>0</v>
      </c>
      <c r="AA29">
        <f t="shared" si="24"/>
        <v>0</v>
      </c>
      <c r="AB29">
        <f t="shared" si="25"/>
        <v>0</v>
      </c>
      <c r="AC29">
        <f t="shared" si="26"/>
        <v>0</v>
      </c>
      <c r="AD29">
        <f t="shared" si="27"/>
        <v>0</v>
      </c>
      <c r="AE29">
        <f t="shared" si="28"/>
        <v>0</v>
      </c>
      <c r="AF29">
        <f t="shared" si="29"/>
        <v>0</v>
      </c>
      <c r="AG29">
        <f t="shared" si="30"/>
        <v>0</v>
      </c>
      <c r="AH29">
        <f t="shared" si="31"/>
        <v>0</v>
      </c>
      <c r="AI29">
        <f t="shared" si="32"/>
        <v>0</v>
      </c>
      <c r="AJ29">
        <f t="shared" si="33"/>
        <v>0</v>
      </c>
      <c r="AK29">
        <f t="shared" si="34"/>
        <v>3523.32</v>
      </c>
      <c r="AL29">
        <f t="shared" si="35"/>
        <v>0</v>
      </c>
      <c r="AM29">
        <f t="shared" si="36"/>
        <v>0</v>
      </c>
      <c r="AN29">
        <f t="shared" si="37"/>
        <v>0</v>
      </c>
      <c r="AO29">
        <f t="shared" si="38"/>
        <v>0</v>
      </c>
      <c r="AP29">
        <f t="shared" si="39"/>
        <v>0</v>
      </c>
      <c r="AQ29">
        <f t="shared" si="40"/>
        <v>0</v>
      </c>
      <c r="AR29">
        <f t="shared" si="41"/>
        <v>0</v>
      </c>
      <c r="AS29">
        <f t="shared" si="42"/>
        <v>0</v>
      </c>
      <c r="AT29">
        <f t="shared" si="43"/>
        <v>0</v>
      </c>
      <c r="AU29">
        <f t="shared" si="44"/>
        <v>0</v>
      </c>
      <c r="AV29">
        <f t="shared" si="45"/>
        <v>0</v>
      </c>
      <c r="AW29">
        <f t="shared" si="0"/>
        <v>3523.32</v>
      </c>
      <c r="AX29">
        <f t="shared" si="46"/>
        <v>26.54</v>
      </c>
      <c r="AY29">
        <f t="shared" si="47"/>
        <v>750</v>
      </c>
    </row>
    <row r="30" spans="1:51" x14ac:dyDescent="0.35">
      <c r="A30">
        <v>24</v>
      </c>
      <c r="C30">
        <f>MAX(0,Calc!$C$7-SUM(D30:R30))</f>
        <v>435</v>
      </c>
      <c r="D30">
        <f t="shared" si="1"/>
        <v>0</v>
      </c>
      <c r="E30">
        <f t="shared" si="2"/>
        <v>0</v>
      </c>
      <c r="F30">
        <f t="shared" si="3"/>
        <v>0</v>
      </c>
      <c r="G30">
        <f t="shared" si="4"/>
        <v>315</v>
      </c>
      <c r="H30">
        <f t="shared" si="5"/>
        <v>0</v>
      </c>
      <c r="I30">
        <f t="shared" si="6"/>
        <v>0</v>
      </c>
      <c r="J30">
        <f t="shared" si="7"/>
        <v>0</v>
      </c>
      <c r="K30">
        <f t="shared" si="8"/>
        <v>0</v>
      </c>
      <c r="L30">
        <f t="shared" si="9"/>
        <v>0</v>
      </c>
      <c r="M30">
        <f t="shared" si="10"/>
        <v>0</v>
      </c>
      <c r="N30">
        <f t="shared" si="11"/>
        <v>0</v>
      </c>
      <c r="O30">
        <f t="shared" si="12"/>
        <v>0</v>
      </c>
      <c r="P30">
        <f t="shared" si="13"/>
        <v>0</v>
      </c>
      <c r="Q30">
        <f t="shared" si="14"/>
        <v>0</v>
      </c>
      <c r="R30">
        <f t="shared" si="15"/>
        <v>0</v>
      </c>
      <c r="S30">
        <f t="shared" si="16"/>
        <v>0</v>
      </c>
      <c r="T30">
        <f t="shared" si="17"/>
        <v>0</v>
      </c>
      <c r="U30">
        <f t="shared" si="18"/>
        <v>0</v>
      </c>
      <c r="V30">
        <f t="shared" si="19"/>
        <v>435</v>
      </c>
      <c r="W30">
        <f t="shared" si="20"/>
        <v>0</v>
      </c>
      <c r="X30">
        <f t="shared" si="21"/>
        <v>0</v>
      </c>
      <c r="Y30">
        <f t="shared" si="22"/>
        <v>0</v>
      </c>
      <c r="Z30">
        <f t="shared" si="23"/>
        <v>0</v>
      </c>
      <c r="AA30">
        <f t="shared" si="24"/>
        <v>0</v>
      </c>
      <c r="AB30">
        <f t="shared" si="25"/>
        <v>0</v>
      </c>
      <c r="AC30">
        <f t="shared" si="26"/>
        <v>0</v>
      </c>
      <c r="AD30">
        <f t="shared" si="27"/>
        <v>0</v>
      </c>
      <c r="AE30">
        <f t="shared" si="28"/>
        <v>0</v>
      </c>
      <c r="AF30">
        <f t="shared" si="29"/>
        <v>0</v>
      </c>
      <c r="AG30">
        <f t="shared" si="30"/>
        <v>0</v>
      </c>
      <c r="AH30">
        <f t="shared" si="31"/>
        <v>0</v>
      </c>
      <c r="AI30">
        <f t="shared" si="32"/>
        <v>0</v>
      </c>
      <c r="AJ30">
        <f t="shared" si="33"/>
        <v>0</v>
      </c>
      <c r="AK30">
        <f t="shared" si="34"/>
        <v>2795.34</v>
      </c>
      <c r="AL30">
        <f t="shared" si="35"/>
        <v>0</v>
      </c>
      <c r="AM30">
        <f t="shared" si="36"/>
        <v>0</v>
      </c>
      <c r="AN30">
        <f t="shared" si="37"/>
        <v>0</v>
      </c>
      <c r="AO30">
        <f t="shared" si="38"/>
        <v>0</v>
      </c>
      <c r="AP30">
        <f t="shared" si="39"/>
        <v>0</v>
      </c>
      <c r="AQ30">
        <f t="shared" si="40"/>
        <v>0</v>
      </c>
      <c r="AR30">
        <f t="shared" si="41"/>
        <v>0</v>
      </c>
      <c r="AS30">
        <f t="shared" si="42"/>
        <v>0</v>
      </c>
      <c r="AT30">
        <f t="shared" si="43"/>
        <v>0</v>
      </c>
      <c r="AU30">
        <f t="shared" si="44"/>
        <v>0</v>
      </c>
      <c r="AV30">
        <f t="shared" si="45"/>
        <v>0</v>
      </c>
      <c r="AW30">
        <f t="shared" si="0"/>
        <v>2795.34</v>
      </c>
      <c r="AX30">
        <f t="shared" si="46"/>
        <v>22.02</v>
      </c>
      <c r="AY30">
        <f t="shared" si="47"/>
        <v>750</v>
      </c>
    </row>
    <row r="31" spans="1:51" x14ac:dyDescent="0.35">
      <c r="A31">
        <v>25</v>
      </c>
      <c r="C31">
        <f>MAX(0,Calc!$C$7-SUM(D31:R31))</f>
        <v>435</v>
      </c>
      <c r="D31">
        <f t="shared" si="1"/>
        <v>0</v>
      </c>
      <c r="E31">
        <f t="shared" si="2"/>
        <v>0</v>
      </c>
      <c r="F31">
        <f t="shared" si="3"/>
        <v>0</v>
      </c>
      <c r="G31">
        <f t="shared" si="4"/>
        <v>315</v>
      </c>
      <c r="H31">
        <f t="shared" si="5"/>
        <v>0</v>
      </c>
      <c r="I31">
        <f t="shared" si="6"/>
        <v>0</v>
      </c>
      <c r="J31">
        <f t="shared" si="7"/>
        <v>0</v>
      </c>
      <c r="K31">
        <f t="shared" si="8"/>
        <v>0</v>
      </c>
      <c r="L31">
        <f t="shared" si="9"/>
        <v>0</v>
      </c>
      <c r="M31">
        <f t="shared" si="10"/>
        <v>0</v>
      </c>
      <c r="N31">
        <f t="shared" si="11"/>
        <v>0</v>
      </c>
      <c r="O31">
        <f t="shared" si="12"/>
        <v>0</v>
      </c>
      <c r="P31">
        <f t="shared" si="13"/>
        <v>0</v>
      </c>
      <c r="Q31">
        <f t="shared" si="14"/>
        <v>0</v>
      </c>
      <c r="R31">
        <f t="shared" si="15"/>
        <v>0</v>
      </c>
      <c r="S31">
        <f t="shared" si="16"/>
        <v>0</v>
      </c>
      <c r="T31">
        <f t="shared" si="17"/>
        <v>0</v>
      </c>
      <c r="U31">
        <f t="shared" si="18"/>
        <v>0</v>
      </c>
      <c r="V31">
        <f t="shared" si="19"/>
        <v>435</v>
      </c>
      <c r="W31">
        <f t="shared" si="20"/>
        <v>0</v>
      </c>
      <c r="X31">
        <f t="shared" si="21"/>
        <v>0</v>
      </c>
      <c r="Y31">
        <f t="shared" si="22"/>
        <v>0</v>
      </c>
      <c r="Z31">
        <f t="shared" si="23"/>
        <v>0</v>
      </c>
      <c r="AA31">
        <f t="shared" si="24"/>
        <v>0</v>
      </c>
      <c r="AB31">
        <f t="shared" si="25"/>
        <v>0</v>
      </c>
      <c r="AC31">
        <f t="shared" si="26"/>
        <v>0</v>
      </c>
      <c r="AD31">
        <f t="shared" si="27"/>
        <v>0</v>
      </c>
      <c r="AE31">
        <f t="shared" si="28"/>
        <v>0</v>
      </c>
      <c r="AF31">
        <f t="shared" si="29"/>
        <v>0</v>
      </c>
      <c r="AG31">
        <f t="shared" si="30"/>
        <v>0</v>
      </c>
      <c r="AH31">
        <f t="shared" si="31"/>
        <v>0</v>
      </c>
      <c r="AI31">
        <f t="shared" si="32"/>
        <v>0</v>
      </c>
      <c r="AJ31">
        <f t="shared" si="33"/>
        <v>0</v>
      </c>
      <c r="AK31">
        <f t="shared" si="34"/>
        <v>2062.81</v>
      </c>
      <c r="AL31">
        <f t="shared" si="35"/>
        <v>0</v>
      </c>
      <c r="AM31">
        <f t="shared" si="36"/>
        <v>0</v>
      </c>
      <c r="AN31">
        <f t="shared" si="37"/>
        <v>0</v>
      </c>
      <c r="AO31">
        <f t="shared" si="38"/>
        <v>0</v>
      </c>
      <c r="AP31">
        <f t="shared" si="39"/>
        <v>0</v>
      </c>
      <c r="AQ31">
        <f t="shared" si="40"/>
        <v>0</v>
      </c>
      <c r="AR31">
        <f t="shared" si="41"/>
        <v>0</v>
      </c>
      <c r="AS31">
        <f t="shared" si="42"/>
        <v>0</v>
      </c>
      <c r="AT31">
        <f t="shared" si="43"/>
        <v>0</v>
      </c>
      <c r="AU31">
        <f t="shared" si="44"/>
        <v>0</v>
      </c>
      <c r="AV31">
        <f t="shared" si="45"/>
        <v>0</v>
      </c>
      <c r="AW31">
        <f t="shared" si="0"/>
        <v>2062.81</v>
      </c>
      <c r="AX31">
        <f t="shared" si="46"/>
        <v>17.47</v>
      </c>
      <c r="AY31">
        <f t="shared" si="47"/>
        <v>750</v>
      </c>
    </row>
    <row r="32" spans="1:51" x14ac:dyDescent="0.35">
      <c r="A32">
        <v>26</v>
      </c>
      <c r="C32">
        <f>MAX(0,Calc!$C$7-SUM(D32:R32))</f>
        <v>435</v>
      </c>
      <c r="D32">
        <f t="shared" si="1"/>
        <v>0</v>
      </c>
      <c r="E32">
        <f t="shared" si="2"/>
        <v>0</v>
      </c>
      <c r="F32">
        <f t="shared" si="3"/>
        <v>0</v>
      </c>
      <c r="G32">
        <f t="shared" si="4"/>
        <v>315</v>
      </c>
      <c r="H32">
        <f t="shared" si="5"/>
        <v>0</v>
      </c>
      <c r="I32">
        <f t="shared" si="6"/>
        <v>0</v>
      </c>
      <c r="J32">
        <f t="shared" si="7"/>
        <v>0</v>
      </c>
      <c r="K32">
        <f t="shared" si="8"/>
        <v>0</v>
      </c>
      <c r="L32">
        <f t="shared" si="9"/>
        <v>0</v>
      </c>
      <c r="M32">
        <f t="shared" si="10"/>
        <v>0</v>
      </c>
      <c r="N32">
        <f t="shared" si="11"/>
        <v>0</v>
      </c>
      <c r="O32">
        <f t="shared" si="12"/>
        <v>0</v>
      </c>
      <c r="P32">
        <f t="shared" si="13"/>
        <v>0</v>
      </c>
      <c r="Q32">
        <f t="shared" si="14"/>
        <v>0</v>
      </c>
      <c r="R32">
        <f t="shared" si="15"/>
        <v>0</v>
      </c>
      <c r="S32">
        <f t="shared" si="16"/>
        <v>0</v>
      </c>
      <c r="T32">
        <f t="shared" si="17"/>
        <v>0</v>
      </c>
      <c r="U32">
        <f t="shared" si="18"/>
        <v>0</v>
      </c>
      <c r="V32">
        <f t="shared" si="19"/>
        <v>435</v>
      </c>
      <c r="W32">
        <f t="shared" si="20"/>
        <v>0</v>
      </c>
      <c r="X32">
        <f t="shared" si="21"/>
        <v>0</v>
      </c>
      <c r="Y32">
        <f t="shared" si="22"/>
        <v>0</v>
      </c>
      <c r="Z32">
        <f t="shared" si="23"/>
        <v>0</v>
      </c>
      <c r="AA32">
        <f t="shared" si="24"/>
        <v>0</v>
      </c>
      <c r="AB32">
        <f t="shared" si="25"/>
        <v>0</v>
      </c>
      <c r="AC32">
        <f t="shared" si="26"/>
        <v>0</v>
      </c>
      <c r="AD32">
        <f t="shared" si="27"/>
        <v>0</v>
      </c>
      <c r="AE32">
        <f t="shared" si="28"/>
        <v>0</v>
      </c>
      <c r="AF32">
        <f t="shared" si="29"/>
        <v>0</v>
      </c>
      <c r="AG32">
        <f t="shared" si="30"/>
        <v>0</v>
      </c>
      <c r="AH32">
        <f t="shared" si="31"/>
        <v>0</v>
      </c>
      <c r="AI32">
        <f t="shared" si="32"/>
        <v>0</v>
      </c>
      <c r="AJ32">
        <f t="shared" si="33"/>
        <v>0</v>
      </c>
      <c r="AK32">
        <f t="shared" si="34"/>
        <v>1325.7</v>
      </c>
      <c r="AL32">
        <f t="shared" si="35"/>
        <v>0</v>
      </c>
      <c r="AM32">
        <f t="shared" si="36"/>
        <v>0</v>
      </c>
      <c r="AN32">
        <f t="shared" si="37"/>
        <v>0</v>
      </c>
      <c r="AO32">
        <f t="shared" si="38"/>
        <v>0</v>
      </c>
      <c r="AP32">
        <f t="shared" si="39"/>
        <v>0</v>
      </c>
      <c r="AQ32">
        <f t="shared" si="40"/>
        <v>0</v>
      </c>
      <c r="AR32">
        <f t="shared" si="41"/>
        <v>0</v>
      </c>
      <c r="AS32">
        <f t="shared" si="42"/>
        <v>0</v>
      </c>
      <c r="AT32">
        <f t="shared" si="43"/>
        <v>0</v>
      </c>
      <c r="AU32">
        <f t="shared" si="44"/>
        <v>0</v>
      </c>
      <c r="AV32">
        <f t="shared" si="45"/>
        <v>0</v>
      </c>
      <c r="AW32">
        <f t="shared" si="0"/>
        <v>1325.7</v>
      </c>
      <c r="AX32">
        <f t="shared" si="46"/>
        <v>12.89</v>
      </c>
      <c r="AY32">
        <f t="shared" si="47"/>
        <v>750</v>
      </c>
    </row>
    <row r="33" spans="1:51" x14ac:dyDescent="0.35">
      <c r="A33">
        <v>27</v>
      </c>
      <c r="C33">
        <f>MAX(0,Calc!$C$7-SUM(D33:R33))</f>
        <v>435</v>
      </c>
      <c r="D33">
        <f t="shared" si="1"/>
        <v>0</v>
      </c>
      <c r="E33">
        <f t="shared" si="2"/>
        <v>0</v>
      </c>
      <c r="F33">
        <f t="shared" si="3"/>
        <v>0</v>
      </c>
      <c r="G33">
        <f t="shared" si="4"/>
        <v>315</v>
      </c>
      <c r="H33">
        <f t="shared" si="5"/>
        <v>0</v>
      </c>
      <c r="I33">
        <f t="shared" si="6"/>
        <v>0</v>
      </c>
      <c r="J33">
        <f t="shared" si="7"/>
        <v>0</v>
      </c>
      <c r="K33">
        <f t="shared" si="8"/>
        <v>0</v>
      </c>
      <c r="L33">
        <f t="shared" si="9"/>
        <v>0</v>
      </c>
      <c r="M33">
        <f t="shared" si="10"/>
        <v>0</v>
      </c>
      <c r="N33">
        <f t="shared" si="11"/>
        <v>0</v>
      </c>
      <c r="O33">
        <f t="shared" si="12"/>
        <v>0</v>
      </c>
      <c r="P33">
        <f t="shared" si="13"/>
        <v>0</v>
      </c>
      <c r="Q33">
        <f t="shared" si="14"/>
        <v>0</v>
      </c>
      <c r="R33">
        <f t="shared" si="15"/>
        <v>0</v>
      </c>
      <c r="S33">
        <f t="shared" si="16"/>
        <v>0</v>
      </c>
      <c r="T33">
        <f t="shared" si="17"/>
        <v>0</v>
      </c>
      <c r="U33">
        <f t="shared" si="18"/>
        <v>0</v>
      </c>
      <c r="V33">
        <f t="shared" si="19"/>
        <v>435</v>
      </c>
      <c r="W33">
        <f t="shared" si="20"/>
        <v>0</v>
      </c>
      <c r="X33">
        <f t="shared" si="21"/>
        <v>0</v>
      </c>
      <c r="Y33">
        <f t="shared" si="22"/>
        <v>0</v>
      </c>
      <c r="Z33">
        <f t="shared" si="23"/>
        <v>0</v>
      </c>
      <c r="AA33">
        <f t="shared" si="24"/>
        <v>0</v>
      </c>
      <c r="AB33">
        <f t="shared" si="25"/>
        <v>0</v>
      </c>
      <c r="AC33">
        <f t="shared" si="26"/>
        <v>0</v>
      </c>
      <c r="AD33">
        <f t="shared" si="27"/>
        <v>0</v>
      </c>
      <c r="AE33">
        <f t="shared" si="28"/>
        <v>0</v>
      </c>
      <c r="AF33">
        <f t="shared" si="29"/>
        <v>0</v>
      </c>
      <c r="AG33">
        <f t="shared" si="30"/>
        <v>0</v>
      </c>
      <c r="AH33">
        <f t="shared" si="31"/>
        <v>0</v>
      </c>
      <c r="AI33">
        <f t="shared" si="32"/>
        <v>0</v>
      </c>
      <c r="AJ33">
        <f t="shared" si="33"/>
        <v>0</v>
      </c>
      <c r="AK33">
        <f t="shared" si="34"/>
        <v>583.99</v>
      </c>
      <c r="AL33">
        <f t="shared" si="35"/>
        <v>0</v>
      </c>
      <c r="AM33">
        <f t="shared" si="36"/>
        <v>0</v>
      </c>
      <c r="AN33">
        <f t="shared" si="37"/>
        <v>0</v>
      </c>
      <c r="AO33">
        <f t="shared" si="38"/>
        <v>0</v>
      </c>
      <c r="AP33">
        <f t="shared" si="39"/>
        <v>0</v>
      </c>
      <c r="AQ33">
        <f t="shared" si="40"/>
        <v>0</v>
      </c>
      <c r="AR33">
        <f t="shared" si="41"/>
        <v>0</v>
      </c>
      <c r="AS33">
        <f t="shared" si="42"/>
        <v>0</v>
      </c>
      <c r="AT33">
        <f t="shared" si="43"/>
        <v>0</v>
      </c>
      <c r="AU33">
        <f t="shared" si="44"/>
        <v>0</v>
      </c>
      <c r="AV33">
        <f t="shared" si="45"/>
        <v>0</v>
      </c>
      <c r="AW33">
        <f t="shared" si="0"/>
        <v>583.99</v>
      </c>
      <c r="AX33">
        <f t="shared" si="46"/>
        <v>8.2899999999999991</v>
      </c>
      <c r="AY33">
        <f t="shared" si="47"/>
        <v>750</v>
      </c>
    </row>
    <row r="34" spans="1:51" x14ac:dyDescent="0.35">
      <c r="A34">
        <v>28</v>
      </c>
      <c r="C34">
        <f>MAX(0,Calc!$C$7-SUM(D34:R34))</f>
        <v>435</v>
      </c>
      <c r="D34">
        <f t="shared" si="1"/>
        <v>0</v>
      </c>
      <c r="E34">
        <f t="shared" si="2"/>
        <v>0</v>
      </c>
      <c r="F34">
        <f t="shared" si="3"/>
        <v>0</v>
      </c>
      <c r="G34">
        <f t="shared" si="4"/>
        <v>315</v>
      </c>
      <c r="H34">
        <f t="shared" si="5"/>
        <v>0</v>
      </c>
      <c r="I34">
        <f t="shared" si="6"/>
        <v>0</v>
      </c>
      <c r="J34">
        <f t="shared" si="7"/>
        <v>0</v>
      </c>
      <c r="K34">
        <f t="shared" si="8"/>
        <v>0</v>
      </c>
      <c r="L34">
        <f t="shared" si="9"/>
        <v>0</v>
      </c>
      <c r="M34">
        <f t="shared" si="10"/>
        <v>0</v>
      </c>
      <c r="N34">
        <f t="shared" si="11"/>
        <v>0</v>
      </c>
      <c r="O34">
        <f t="shared" si="12"/>
        <v>0</v>
      </c>
      <c r="P34">
        <f t="shared" si="13"/>
        <v>0</v>
      </c>
      <c r="Q34">
        <f t="shared" si="14"/>
        <v>0</v>
      </c>
      <c r="R34">
        <f t="shared" si="15"/>
        <v>0</v>
      </c>
      <c r="S34">
        <f t="shared" si="16"/>
        <v>0</v>
      </c>
      <c r="T34">
        <f t="shared" si="17"/>
        <v>0</v>
      </c>
      <c r="U34">
        <f t="shared" si="18"/>
        <v>0</v>
      </c>
      <c r="V34">
        <f t="shared" si="19"/>
        <v>272.64</v>
      </c>
      <c r="W34">
        <f t="shared" si="20"/>
        <v>0</v>
      </c>
      <c r="X34">
        <f t="shared" si="21"/>
        <v>0</v>
      </c>
      <c r="Y34">
        <f t="shared" si="22"/>
        <v>0</v>
      </c>
      <c r="Z34">
        <f t="shared" si="23"/>
        <v>0</v>
      </c>
      <c r="AA34">
        <f t="shared" si="24"/>
        <v>0</v>
      </c>
      <c r="AB34">
        <f t="shared" si="25"/>
        <v>0</v>
      </c>
      <c r="AC34">
        <f t="shared" si="26"/>
        <v>0</v>
      </c>
      <c r="AD34">
        <f t="shared" si="27"/>
        <v>0</v>
      </c>
      <c r="AE34">
        <f t="shared" si="28"/>
        <v>0</v>
      </c>
      <c r="AF34">
        <f t="shared" si="29"/>
        <v>0</v>
      </c>
      <c r="AG34">
        <f t="shared" si="30"/>
        <v>0</v>
      </c>
      <c r="AH34">
        <f t="shared" si="31"/>
        <v>0</v>
      </c>
      <c r="AI34">
        <f t="shared" si="32"/>
        <v>0</v>
      </c>
      <c r="AJ34">
        <f t="shared" si="33"/>
        <v>0</v>
      </c>
      <c r="AK34">
        <f t="shared" si="34"/>
        <v>0</v>
      </c>
      <c r="AL34">
        <f t="shared" si="35"/>
        <v>0</v>
      </c>
      <c r="AM34">
        <f t="shared" si="36"/>
        <v>0</v>
      </c>
      <c r="AN34">
        <f t="shared" si="37"/>
        <v>0</v>
      </c>
      <c r="AO34">
        <f t="shared" si="38"/>
        <v>0</v>
      </c>
      <c r="AP34">
        <f t="shared" si="39"/>
        <v>0</v>
      </c>
      <c r="AQ34">
        <f t="shared" si="40"/>
        <v>0</v>
      </c>
      <c r="AR34">
        <f t="shared" si="41"/>
        <v>0</v>
      </c>
      <c r="AS34">
        <f t="shared" si="42"/>
        <v>0</v>
      </c>
      <c r="AT34">
        <f t="shared" si="43"/>
        <v>0</v>
      </c>
      <c r="AU34">
        <f t="shared" si="44"/>
        <v>0</v>
      </c>
      <c r="AV34">
        <f t="shared" si="45"/>
        <v>0</v>
      </c>
      <c r="AW34">
        <f t="shared" si="0"/>
        <v>0</v>
      </c>
      <c r="AX34">
        <f t="shared" si="46"/>
        <v>3.65</v>
      </c>
      <c r="AY34">
        <f t="shared" si="47"/>
        <v>587.64</v>
      </c>
    </row>
    <row r="35" spans="1:51" x14ac:dyDescent="0.35">
      <c r="A35">
        <v>29</v>
      </c>
      <c r="C35">
        <f>MAX(0,Calc!$C$7-SUM(D35:R35))</f>
        <v>750</v>
      </c>
      <c r="D35">
        <f t="shared" si="1"/>
        <v>0</v>
      </c>
      <c r="E35">
        <f t="shared" si="2"/>
        <v>0</v>
      </c>
      <c r="F35">
        <f t="shared" si="3"/>
        <v>0</v>
      </c>
      <c r="G35">
        <f t="shared" si="4"/>
        <v>0</v>
      </c>
      <c r="H35">
        <f t="shared" si="5"/>
        <v>0</v>
      </c>
      <c r="I35">
        <f t="shared" si="6"/>
        <v>0</v>
      </c>
      <c r="J35">
        <f t="shared" si="7"/>
        <v>0</v>
      </c>
      <c r="K35">
        <f t="shared" si="8"/>
        <v>0</v>
      </c>
      <c r="L35">
        <f t="shared" si="9"/>
        <v>0</v>
      </c>
      <c r="M35">
        <f t="shared" si="10"/>
        <v>0</v>
      </c>
      <c r="N35">
        <f t="shared" si="11"/>
        <v>0</v>
      </c>
      <c r="O35">
        <f t="shared" si="12"/>
        <v>0</v>
      </c>
      <c r="P35">
        <f t="shared" si="13"/>
        <v>0</v>
      </c>
      <c r="Q35">
        <f t="shared" si="14"/>
        <v>0</v>
      </c>
      <c r="R35">
        <f t="shared" si="15"/>
        <v>0</v>
      </c>
      <c r="S35">
        <f t="shared" si="16"/>
        <v>0</v>
      </c>
      <c r="T35">
        <f t="shared" si="17"/>
        <v>0</v>
      </c>
      <c r="U35">
        <f t="shared" si="18"/>
        <v>0</v>
      </c>
      <c r="V35">
        <f t="shared" si="19"/>
        <v>0</v>
      </c>
      <c r="W35">
        <f t="shared" si="20"/>
        <v>0</v>
      </c>
      <c r="X35">
        <f t="shared" si="21"/>
        <v>0</v>
      </c>
      <c r="Y35">
        <f t="shared" si="22"/>
        <v>0</v>
      </c>
      <c r="Z35">
        <f t="shared" si="23"/>
        <v>0</v>
      </c>
      <c r="AA35">
        <f t="shared" si="24"/>
        <v>0</v>
      </c>
      <c r="AB35">
        <f t="shared" si="25"/>
        <v>0</v>
      </c>
      <c r="AC35">
        <f t="shared" si="26"/>
        <v>0</v>
      </c>
      <c r="AD35">
        <f t="shared" si="27"/>
        <v>0</v>
      </c>
      <c r="AE35">
        <f t="shared" si="28"/>
        <v>0</v>
      </c>
      <c r="AF35">
        <f t="shared" si="29"/>
        <v>0</v>
      </c>
      <c r="AG35">
        <f t="shared" si="30"/>
        <v>0</v>
      </c>
      <c r="AH35">
        <f t="shared" si="31"/>
        <v>0</v>
      </c>
      <c r="AI35">
        <f t="shared" si="32"/>
        <v>0</v>
      </c>
      <c r="AJ35">
        <f t="shared" si="33"/>
        <v>0</v>
      </c>
      <c r="AK35">
        <f t="shared" si="34"/>
        <v>0</v>
      </c>
      <c r="AL35">
        <f t="shared" si="35"/>
        <v>0</v>
      </c>
      <c r="AM35">
        <f t="shared" si="36"/>
        <v>0</v>
      </c>
      <c r="AN35">
        <f t="shared" si="37"/>
        <v>0</v>
      </c>
      <c r="AO35">
        <f t="shared" si="38"/>
        <v>0</v>
      </c>
      <c r="AP35">
        <f t="shared" si="39"/>
        <v>0</v>
      </c>
      <c r="AQ35">
        <f t="shared" si="40"/>
        <v>0</v>
      </c>
      <c r="AR35">
        <f t="shared" si="41"/>
        <v>0</v>
      </c>
      <c r="AS35">
        <f t="shared" si="42"/>
        <v>0</v>
      </c>
      <c r="AT35">
        <f t="shared" si="43"/>
        <v>0</v>
      </c>
      <c r="AU35">
        <f t="shared" si="44"/>
        <v>0</v>
      </c>
      <c r="AV35">
        <f t="shared" si="45"/>
        <v>0</v>
      </c>
      <c r="AW35">
        <f t="shared" si="0"/>
        <v>0</v>
      </c>
      <c r="AX35">
        <f t="shared" si="46"/>
        <v>0</v>
      </c>
      <c r="AY35">
        <f t="shared" si="47"/>
        <v>0</v>
      </c>
    </row>
    <row r="36" spans="1:51" x14ac:dyDescent="0.35">
      <c r="A36">
        <v>30</v>
      </c>
      <c r="C36">
        <f>MAX(0,Calc!$C$7-SUM(D36:R36))</f>
        <v>750</v>
      </c>
      <c r="D36">
        <f t="shared" si="1"/>
        <v>0</v>
      </c>
      <c r="E36">
        <f t="shared" si="2"/>
        <v>0</v>
      </c>
      <c r="F36">
        <f t="shared" si="3"/>
        <v>0</v>
      </c>
      <c r="G36">
        <f t="shared" si="4"/>
        <v>0</v>
      </c>
      <c r="H36">
        <f t="shared" si="5"/>
        <v>0</v>
      </c>
      <c r="I36">
        <f t="shared" si="6"/>
        <v>0</v>
      </c>
      <c r="J36">
        <f t="shared" si="7"/>
        <v>0</v>
      </c>
      <c r="K36">
        <f t="shared" si="8"/>
        <v>0</v>
      </c>
      <c r="L36">
        <f t="shared" si="9"/>
        <v>0</v>
      </c>
      <c r="M36">
        <f t="shared" si="10"/>
        <v>0</v>
      </c>
      <c r="N36">
        <f t="shared" si="11"/>
        <v>0</v>
      </c>
      <c r="O36">
        <f t="shared" si="12"/>
        <v>0</v>
      </c>
      <c r="P36">
        <f t="shared" si="13"/>
        <v>0</v>
      </c>
      <c r="Q36">
        <f t="shared" si="14"/>
        <v>0</v>
      </c>
      <c r="R36">
        <f t="shared" si="15"/>
        <v>0</v>
      </c>
      <c r="S36">
        <f t="shared" si="16"/>
        <v>0</v>
      </c>
      <c r="T36">
        <f t="shared" si="17"/>
        <v>0</v>
      </c>
      <c r="U36">
        <f t="shared" si="18"/>
        <v>0</v>
      </c>
      <c r="V36">
        <f t="shared" si="19"/>
        <v>0</v>
      </c>
      <c r="W36">
        <f t="shared" si="20"/>
        <v>0</v>
      </c>
      <c r="X36">
        <f t="shared" si="21"/>
        <v>0</v>
      </c>
      <c r="Y36">
        <f t="shared" si="22"/>
        <v>0</v>
      </c>
      <c r="Z36">
        <f t="shared" si="23"/>
        <v>0</v>
      </c>
      <c r="AA36">
        <f t="shared" si="24"/>
        <v>0</v>
      </c>
      <c r="AB36">
        <f t="shared" si="25"/>
        <v>0</v>
      </c>
      <c r="AC36">
        <f t="shared" si="26"/>
        <v>0</v>
      </c>
      <c r="AD36">
        <f t="shared" si="27"/>
        <v>0</v>
      </c>
      <c r="AE36">
        <f t="shared" si="28"/>
        <v>0</v>
      </c>
      <c r="AF36">
        <f t="shared" si="29"/>
        <v>0</v>
      </c>
      <c r="AG36">
        <f t="shared" si="30"/>
        <v>0</v>
      </c>
      <c r="AH36">
        <f t="shared" si="31"/>
        <v>0</v>
      </c>
      <c r="AI36">
        <f t="shared" si="32"/>
        <v>0</v>
      </c>
      <c r="AJ36">
        <f t="shared" si="33"/>
        <v>0</v>
      </c>
      <c r="AK36">
        <f t="shared" si="34"/>
        <v>0</v>
      </c>
      <c r="AL36">
        <f t="shared" si="35"/>
        <v>0</v>
      </c>
      <c r="AM36">
        <f t="shared" si="36"/>
        <v>0</v>
      </c>
      <c r="AN36">
        <f t="shared" si="37"/>
        <v>0</v>
      </c>
      <c r="AO36">
        <f t="shared" si="38"/>
        <v>0</v>
      </c>
      <c r="AP36">
        <f t="shared" si="39"/>
        <v>0</v>
      </c>
      <c r="AQ36">
        <f t="shared" si="40"/>
        <v>0</v>
      </c>
      <c r="AR36">
        <f t="shared" si="41"/>
        <v>0</v>
      </c>
      <c r="AS36">
        <f t="shared" si="42"/>
        <v>0</v>
      </c>
      <c r="AT36">
        <f t="shared" si="43"/>
        <v>0</v>
      </c>
      <c r="AU36">
        <f t="shared" si="44"/>
        <v>0</v>
      </c>
      <c r="AV36">
        <f t="shared" si="45"/>
        <v>0</v>
      </c>
      <c r="AW36">
        <f t="shared" si="0"/>
        <v>0</v>
      </c>
      <c r="AX36">
        <f t="shared" si="46"/>
        <v>0</v>
      </c>
      <c r="AY36">
        <f t="shared" si="47"/>
        <v>0</v>
      </c>
    </row>
    <row r="37" spans="1:51" x14ac:dyDescent="0.35">
      <c r="A37">
        <v>31</v>
      </c>
      <c r="C37">
        <f>MAX(0,Calc!$C$7-SUM(D37:R37))</f>
        <v>750</v>
      </c>
      <c r="D37">
        <f t="shared" si="1"/>
        <v>0</v>
      </c>
      <c r="E37">
        <f t="shared" si="2"/>
        <v>0</v>
      </c>
      <c r="F37">
        <f t="shared" si="3"/>
        <v>0</v>
      </c>
      <c r="G37">
        <f t="shared" si="4"/>
        <v>0</v>
      </c>
      <c r="H37">
        <f t="shared" si="5"/>
        <v>0</v>
      </c>
      <c r="I37">
        <f t="shared" si="6"/>
        <v>0</v>
      </c>
      <c r="J37">
        <f t="shared" si="7"/>
        <v>0</v>
      </c>
      <c r="K37">
        <f t="shared" si="8"/>
        <v>0</v>
      </c>
      <c r="L37">
        <f t="shared" si="9"/>
        <v>0</v>
      </c>
      <c r="M37">
        <f t="shared" si="10"/>
        <v>0</v>
      </c>
      <c r="N37">
        <f t="shared" si="11"/>
        <v>0</v>
      </c>
      <c r="O37">
        <f t="shared" si="12"/>
        <v>0</v>
      </c>
      <c r="P37">
        <f t="shared" si="13"/>
        <v>0</v>
      </c>
      <c r="Q37">
        <f t="shared" si="14"/>
        <v>0</v>
      </c>
      <c r="R37">
        <f t="shared" si="15"/>
        <v>0</v>
      </c>
      <c r="S37">
        <f t="shared" si="16"/>
        <v>0</v>
      </c>
      <c r="T37">
        <f t="shared" si="17"/>
        <v>0</v>
      </c>
      <c r="U37">
        <f t="shared" si="18"/>
        <v>0</v>
      </c>
      <c r="V37">
        <f t="shared" si="19"/>
        <v>0</v>
      </c>
      <c r="W37">
        <f t="shared" si="20"/>
        <v>0</v>
      </c>
      <c r="X37">
        <f t="shared" si="21"/>
        <v>0</v>
      </c>
      <c r="Y37">
        <f t="shared" si="22"/>
        <v>0</v>
      </c>
      <c r="Z37">
        <f t="shared" si="23"/>
        <v>0</v>
      </c>
      <c r="AA37">
        <f t="shared" si="24"/>
        <v>0</v>
      </c>
      <c r="AB37">
        <f t="shared" si="25"/>
        <v>0</v>
      </c>
      <c r="AC37">
        <f t="shared" si="26"/>
        <v>0</v>
      </c>
      <c r="AD37">
        <f t="shared" si="27"/>
        <v>0</v>
      </c>
      <c r="AE37">
        <f t="shared" si="28"/>
        <v>0</v>
      </c>
      <c r="AF37">
        <f t="shared" si="29"/>
        <v>0</v>
      </c>
      <c r="AG37">
        <f t="shared" si="30"/>
        <v>0</v>
      </c>
      <c r="AH37">
        <f t="shared" si="31"/>
        <v>0</v>
      </c>
      <c r="AI37">
        <f t="shared" si="32"/>
        <v>0</v>
      </c>
      <c r="AJ37">
        <f t="shared" si="33"/>
        <v>0</v>
      </c>
      <c r="AK37">
        <f t="shared" si="34"/>
        <v>0</v>
      </c>
      <c r="AL37">
        <f t="shared" si="35"/>
        <v>0</v>
      </c>
      <c r="AM37">
        <f t="shared" si="36"/>
        <v>0</v>
      </c>
      <c r="AN37">
        <f t="shared" si="37"/>
        <v>0</v>
      </c>
      <c r="AO37">
        <f t="shared" si="38"/>
        <v>0</v>
      </c>
      <c r="AP37">
        <f t="shared" si="39"/>
        <v>0</v>
      </c>
      <c r="AQ37">
        <f t="shared" si="40"/>
        <v>0</v>
      </c>
      <c r="AR37">
        <f t="shared" si="41"/>
        <v>0</v>
      </c>
      <c r="AS37">
        <f t="shared" si="42"/>
        <v>0</v>
      </c>
      <c r="AT37">
        <f t="shared" si="43"/>
        <v>0</v>
      </c>
      <c r="AU37">
        <f t="shared" si="44"/>
        <v>0</v>
      </c>
      <c r="AV37">
        <f t="shared" si="45"/>
        <v>0</v>
      </c>
      <c r="AW37">
        <f t="shared" si="0"/>
        <v>0</v>
      </c>
      <c r="AX37">
        <f t="shared" si="46"/>
        <v>0</v>
      </c>
      <c r="AY37">
        <f t="shared" si="47"/>
        <v>0</v>
      </c>
    </row>
    <row r="38" spans="1:51" x14ac:dyDescent="0.35">
      <c r="A38">
        <v>32</v>
      </c>
      <c r="C38">
        <f>MAX(0,Calc!$C$7-SUM(D38:R38))</f>
        <v>750</v>
      </c>
      <c r="D38">
        <f t="shared" si="1"/>
        <v>0</v>
      </c>
      <c r="E38">
        <f t="shared" si="2"/>
        <v>0</v>
      </c>
      <c r="F38">
        <f t="shared" si="3"/>
        <v>0</v>
      </c>
      <c r="G38">
        <f t="shared" si="4"/>
        <v>0</v>
      </c>
      <c r="H38">
        <f t="shared" si="5"/>
        <v>0</v>
      </c>
      <c r="I38">
        <f t="shared" si="6"/>
        <v>0</v>
      </c>
      <c r="J38">
        <f t="shared" si="7"/>
        <v>0</v>
      </c>
      <c r="K38">
        <f t="shared" si="8"/>
        <v>0</v>
      </c>
      <c r="L38">
        <f t="shared" si="9"/>
        <v>0</v>
      </c>
      <c r="M38">
        <f t="shared" si="10"/>
        <v>0</v>
      </c>
      <c r="N38">
        <f t="shared" si="11"/>
        <v>0</v>
      </c>
      <c r="O38">
        <f t="shared" si="12"/>
        <v>0</v>
      </c>
      <c r="P38">
        <f t="shared" si="13"/>
        <v>0</v>
      </c>
      <c r="Q38">
        <f t="shared" si="14"/>
        <v>0</v>
      </c>
      <c r="R38">
        <f t="shared" si="15"/>
        <v>0</v>
      </c>
      <c r="S38">
        <f t="shared" si="16"/>
        <v>0</v>
      </c>
      <c r="T38">
        <f t="shared" si="17"/>
        <v>0</v>
      </c>
      <c r="U38">
        <f t="shared" si="18"/>
        <v>0</v>
      </c>
      <c r="V38">
        <f t="shared" si="19"/>
        <v>0</v>
      </c>
      <c r="W38">
        <f t="shared" si="20"/>
        <v>0</v>
      </c>
      <c r="X38">
        <f t="shared" si="21"/>
        <v>0</v>
      </c>
      <c r="Y38">
        <f t="shared" si="22"/>
        <v>0</v>
      </c>
      <c r="Z38">
        <f t="shared" si="23"/>
        <v>0</v>
      </c>
      <c r="AA38">
        <f t="shared" si="24"/>
        <v>0</v>
      </c>
      <c r="AB38">
        <f t="shared" si="25"/>
        <v>0</v>
      </c>
      <c r="AC38">
        <f t="shared" si="26"/>
        <v>0</v>
      </c>
      <c r="AD38">
        <f t="shared" si="27"/>
        <v>0</v>
      </c>
      <c r="AE38">
        <f t="shared" si="28"/>
        <v>0</v>
      </c>
      <c r="AF38">
        <f t="shared" si="29"/>
        <v>0</v>
      </c>
      <c r="AG38">
        <f t="shared" si="30"/>
        <v>0</v>
      </c>
      <c r="AH38">
        <f t="shared" si="31"/>
        <v>0</v>
      </c>
      <c r="AI38">
        <f t="shared" si="32"/>
        <v>0</v>
      </c>
      <c r="AJ38">
        <f t="shared" si="33"/>
        <v>0</v>
      </c>
      <c r="AK38">
        <f t="shared" si="34"/>
        <v>0</v>
      </c>
      <c r="AL38">
        <f t="shared" si="35"/>
        <v>0</v>
      </c>
      <c r="AM38">
        <f t="shared" si="36"/>
        <v>0</v>
      </c>
      <c r="AN38">
        <f t="shared" si="37"/>
        <v>0</v>
      </c>
      <c r="AO38">
        <f t="shared" si="38"/>
        <v>0</v>
      </c>
      <c r="AP38">
        <f t="shared" si="39"/>
        <v>0</v>
      </c>
      <c r="AQ38">
        <f t="shared" si="40"/>
        <v>0</v>
      </c>
      <c r="AR38">
        <f t="shared" si="41"/>
        <v>0</v>
      </c>
      <c r="AS38">
        <f t="shared" si="42"/>
        <v>0</v>
      </c>
      <c r="AT38">
        <f t="shared" si="43"/>
        <v>0</v>
      </c>
      <c r="AU38">
        <f t="shared" si="44"/>
        <v>0</v>
      </c>
      <c r="AV38">
        <f t="shared" si="45"/>
        <v>0</v>
      </c>
      <c r="AW38">
        <f t="shared" si="0"/>
        <v>0</v>
      </c>
      <c r="AX38">
        <f t="shared" si="46"/>
        <v>0</v>
      </c>
      <c r="AY38">
        <f t="shared" si="47"/>
        <v>0</v>
      </c>
    </row>
    <row r="39" spans="1:51" x14ac:dyDescent="0.35">
      <c r="A39">
        <v>33</v>
      </c>
      <c r="C39">
        <f>MAX(0,Calc!$C$7-SUM(D39:R39))</f>
        <v>750</v>
      </c>
      <c r="D39">
        <f t="shared" si="1"/>
        <v>0</v>
      </c>
      <c r="E39">
        <f t="shared" si="2"/>
        <v>0</v>
      </c>
      <c r="F39">
        <f t="shared" si="3"/>
        <v>0</v>
      </c>
      <c r="G39">
        <f t="shared" si="4"/>
        <v>0</v>
      </c>
      <c r="H39">
        <f t="shared" si="5"/>
        <v>0</v>
      </c>
      <c r="I39">
        <f t="shared" si="6"/>
        <v>0</v>
      </c>
      <c r="J39">
        <f t="shared" si="7"/>
        <v>0</v>
      </c>
      <c r="K39">
        <f t="shared" si="8"/>
        <v>0</v>
      </c>
      <c r="L39">
        <f t="shared" si="9"/>
        <v>0</v>
      </c>
      <c r="M39">
        <f t="shared" si="10"/>
        <v>0</v>
      </c>
      <c r="N39">
        <f t="shared" si="11"/>
        <v>0</v>
      </c>
      <c r="O39">
        <f t="shared" si="12"/>
        <v>0</v>
      </c>
      <c r="P39">
        <f t="shared" si="13"/>
        <v>0</v>
      </c>
      <c r="Q39">
        <f t="shared" si="14"/>
        <v>0</v>
      </c>
      <c r="R39">
        <f t="shared" si="15"/>
        <v>0</v>
      </c>
      <c r="S39">
        <f t="shared" si="16"/>
        <v>0</v>
      </c>
      <c r="T39">
        <f t="shared" si="17"/>
        <v>0</v>
      </c>
      <c r="U39">
        <f t="shared" si="18"/>
        <v>0</v>
      </c>
      <c r="V39">
        <f t="shared" si="19"/>
        <v>0</v>
      </c>
      <c r="W39">
        <f t="shared" si="20"/>
        <v>0</v>
      </c>
      <c r="X39">
        <f t="shared" si="21"/>
        <v>0</v>
      </c>
      <c r="Y39">
        <f t="shared" si="22"/>
        <v>0</v>
      </c>
      <c r="Z39">
        <f t="shared" si="23"/>
        <v>0</v>
      </c>
      <c r="AA39">
        <f t="shared" si="24"/>
        <v>0</v>
      </c>
      <c r="AB39">
        <f t="shared" si="25"/>
        <v>0</v>
      </c>
      <c r="AC39">
        <f t="shared" si="26"/>
        <v>0</v>
      </c>
      <c r="AD39">
        <f t="shared" si="27"/>
        <v>0</v>
      </c>
      <c r="AE39">
        <f t="shared" si="28"/>
        <v>0</v>
      </c>
      <c r="AF39">
        <f t="shared" si="29"/>
        <v>0</v>
      </c>
      <c r="AG39">
        <f t="shared" si="30"/>
        <v>0</v>
      </c>
      <c r="AH39">
        <f t="shared" si="31"/>
        <v>0</v>
      </c>
      <c r="AI39">
        <f t="shared" si="32"/>
        <v>0</v>
      </c>
      <c r="AJ39">
        <f t="shared" si="33"/>
        <v>0</v>
      </c>
      <c r="AK39">
        <f t="shared" si="34"/>
        <v>0</v>
      </c>
      <c r="AL39">
        <f t="shared" si="35"/>
        <v>0</v>
      </c>
      <c r="AM39">
        <f t="shared" si="36"/>
        <v>0</v>
      </c>
      <c r="AN39">
        <f t="shared" si="37"/>
        <v>0</v>
      </c>
      <c r="AO39">
        <f t="shared" si="38"/>
        <v>0</v>
      </c>
      <c r="AP39">
        <f t="shared" si="39"/>
        <v>0</v>
      </c>
      <c r="AQ39">
        <f t="shared" si="40"/>
        <v>0</v>
      </c>
      <c r="AR39">
        <f t="shared" si="41"/>
        <v>0</v>
      </c>
      <c r="AS39">
        <f t="shared" si="42"/>
        <v>0</v>
      </c>
      <c r="AT39">
        <f t="shared" si="43"/>
        <v>0</v>
      </c>
      <c r="AU39">
        <f t="shared" si="44"/>
        <v>0</v>
      </c>
      <c r="AV39">
        <f t="shared" si="45"/>
        <v>0</v>
      </c>
      <c r="AW39">
        <f t="shared" si="0"/>
        <v>0</v>
      </c>
      <c r="AX39">
        <f t="shared" si="46"/>
        <v>0</v>
      </c>
      <c r="AY39">
        <f t="shared" si="47"/>
        <v>0</v>
      </c>
    </row>
    <row r="40" spans="1:51" x14ac:dyDescent="0.35">
      <c r="A40">
        <v>34</v>
      </c>
      <c r="C40">
        <f>MAX(0,Calc!$C$7-SUM(D40:R40))</f>
        <v>750</v>
      </c>
      <c r="D40">
        <f t="shared" si="1"/>
        <v>0</v>
      </c>
      <c r="E40">
        <f t="shared" si="2"/>
        <v>0</v>
      </c>
      <c r="F40">
        <f t="shared" si="3"/>
        <v>0</v>
      </c>
      <c r="G40">
        <f t="shared" si="4"/>
        <v>0</v>
      </c>
      <c r="H40">
        <f t="shared" si="5"/>
        <v>0</v>
      </c>
      <c r="I40">
        <f t="shared" si="6"/>
        <v>0</v>
      </c>
      <c r="J40">
        <f t="shared" si="7"/>
        <v>0</v>
      </c>
      <c r="K40">
        <f t="shared" si="8"/>
        <v>0</v>
      </c>
      <c r="L40">
        <f t="shared" si="9"/>
        <v>0</v>
      </c>
      <c r="M40">
        <f t="shared" si="10"/>
        <v>0</v>
      </c>
      <c r="N40">
        <f t="shared" si="11"/>
        <v>0</v>
      </c>
      <c r="O40">
        <f t="shared" si="12"/>
        <v>0</v>
      </c>
      <c r="P40">
        <f t="shared" si="13"/>
        <v>0</v>
      </c>
      <c r="Q40">
        <f t="shared" si="14"/>
        <v>0</v>
      </c>
      <c r="R40">
        <f t="shared" si="15"/>
        <v>0</v>
      </c>
      <c r="S40">
        <f t="shared" si="16"/>
        <v>0</v>
      </c>
      <c r="T40">
        <f t="shared" si="17"/>
        <v>0</v>
      </c>
      <c r="U40">
        <f t="shared" si="18"/>
        <v>0</v>
      </c>
      <c r="V40">
        <f t="shared" si="19"/>
        <v>0</v>
      </c>
      <c r="W40">
        <f t="shared" si="20"/>
        <v>0</v>
      </c>
      <c r="X40">
        <f t="shared" si="21"/>
        <v>0</v>
      </c>
      <c r="Y40">
        <f t="shared" si="22"/>
        <v>0</v>
      </c>
      <c r="Z40">
        <f t="shared" si="23"/>
        <v>0</v>
      </c>
      <c r="AA40">
        <f t="shared" si="24"/>
        <v>0</v>
      </c>
      <c r="AB40">
        <f t="shared" si="25"/>
        <v>0</v>
      </c>
      <c r="AC40">
        <f t="shared" si="26"/>
        <v>0</v>
      </c>
      <c r="AD40">
        <f t="shared" si="27"/>
        <v>0</v>
      </c>
      <c r="AE40">
        <f t="shared" si="28"/>
        <v>0</v>
      </c>
      <c r="AF40">
        <f t="shared" si="29"/>
        <v>0</v>
      </c>
      <c r="AG40">
        <f t="shared" si="30"/>
        <v>0</v>
      </c>
      <c r="AH40">
        <f t="shared" si="31"/>
        <v>0</v>
      </c>
      <c r="AI40">
        <f t="shared" si="32"/>
        <v>0</v>
      </c>
      <c r="AJ40">
        <f t="shared" si="33"/>
        <v>0</v>
      </c>
      <c r="AK40">
        <f t="shared" si="34"/>
        <v>0</v>
      </c>
      <c r="AL40">
        <f t="shared" si="35"/>
        <v>0</v>
      </c>
      <c r="AM40">
        <f t="shared" si="36"/>
        <v>0</v>
      </c>
      <c r="AN40">
        <f t="shared" si="37"/>
        <v>0</v>
      </c>
      <c r="AO40">
        <f t="shared" si="38"/>
        <v>0</v>
      </c>
      <c r="AP40">
        <f t="shared" si="39"/>
        <v>0</v>
      </c>
      <c r="AQ40">
        <f t="shared" si="40"/>
        <v>0</v>
      </c>
      <c r="AR40">
        <f t="shared" si="41"/>
        <v>0</v>
      </c>
      <c r="AS40">
        <f t="shared" si="42"/>
        <v>0</v>
      </c>
      <c r="AT40">
        <f t="shared" si="43"/>
        <v>0</v>
      </c>
      <c r="AU40">
        <f t="shared" si="44"/>
        <v>0</v>
      </c>
      <c r="AV40">
        <f t="shared" si="45"/>
        <v>0</v>
      </c>
      <c r="AW40">
        <f t="shared" si="0"/>
        <v>0</v>
      </c>
      <c r="AX40">
        <f t="shared" si="46"/>
        <v>0</v>
      </c>
      <c r="AY40">
        <f t="shared" si="47"/>
        <v>0</v>
      </c>
    </row>
    <row r="41" spans="1:51" x14ac:dyDescent="0.35">
      <c r="A41">
        <v>35</v>
      </c>
      <c r="C41">
        <f>MAX(0,Calc!$C$7-SUM(D41:R41))</f>
        <v>750</v>
      </c>
      <c r="D41">
        <f t="shared" si="1"/>
        <v>0</v>
      </c>
      <c r="E41">
        <f t="shared" si="2"/>
        <v>0</v>
      </c>
      <c r="F41">
        <f t="shared" si="3"/>
        <v>0</v>
      </c>
      <c r="G41">
        <f t="shared" si="4"/>
        <v>0</v>
      </c>
      <c r="H41">
        <f t="shared" si="5"/>
        <v>0</v>
      </c>
      <c r="I41">
        <f t="shared" si="6"/>
        <v>0</v>
      </c>
      <c r="J41">
        <f t="shared" si="7"/>
        <v>0</v>
      </c>
      <c r="K41">
        <f t="shared" si="8"/>
        <v>0</v>
      </c>
      <c r="L41">
        <f t="shared" si="9"/>
        <v>0</v>
      </c>
      <c r="M41">
        <f t="shared" si="10"/>
        <v>0</v>
      </c>
      <c r="N41">
        <f t="shared" si="11"/>
        <v>0</v>
      </c>
      <c r="O41">
        <f t="shared" si="12"/>
        <v>0</v>
      </c>
      <c r="P41">
        <f t="shared" si="13"/>
        <v>0</v>
      </c>
      <c r="Q41">
        <f t="shared" si="14"/>
        <v>0</v>
      </c>
      <c r="R41">
        <f t="shared" si="15"/>
        <v>0</v>
      </c>
      <c r="S41">
        <f t="shared" si="16"/>
        <v>0</v>
      </c>
      <c r="T41">
        <f t="shared" si="17"/>
        <v>0</v>
      </c>
      <c r="U41">
        <f t="shared" si="18"/>
        <v>0</v>
      </c>
      <c r="V41">
        <f t="shared" si="19"/>
        <v>0</v>
      </c>
      <c r="W41">
        <f t="shared" si="20"/>
        <v>0</v>
      </c>
      <c r="X41">
        <f t="shared" si="21"/>
        <v>0</v>
      </c>
      <c r="Y41">
        <f t="shared" si="22"/>
        <v>0</v>
      </c>
      <c r="Z41">
        <f t="shared" si="23"/>
        <v>0</v>
      </c>
      <c r="AA41">
        <f t="shared" si="24"/>
        <v>0</v>
      </c>
      <c r="AB41">
        <f t="shared" si="25"/>
        <v>0</v>
      </c>
      <c r="AC41">
        <f t="shared" si="26"/>
        <v>0</v>
      </c>
      <c r="AD41">
        <f t="shared" si="27"/>
        <v>0</v>
      </c>
      <c r="AE41">
        <f t="shared" si="28"/>
        <v>0</v>
      </c>
      <c r="AF41">
        <f t="shared" si="29"/>
        <v>0</v>
      </c>
      <c r="AG41">
        <f t="shared" si="30"/>
        <v>0</v>
      </c>
      <c r="AH41">
        <f t="shared" si="31"/>
        <v>0</v>
      </c>
      <c r="AI41">
        <f t="shared" si="32"/>
        <v>0</v>
      </c>
      <c r="AJ41">
        <f t="shared" si="33"/>
        <v>0</v>
      </c>
      <c r="AK41">
        <f t="shared" si="34"/>
        <v>0</v>
      </c>
      <c r="AL41">
        <f t="shared" si="35"/>
        <v>0</v>
      </c>
      <c r="AM41">
        <f t="shared" si="36"/>
        <v>0</v>
      </c>
      <c r="AN41">
        <f t="shared" si="37"/>
        <v>0</v>
      </c>
      <c r="AO41">
        <f t="shared" si="38"/>
        <v>0</v>
      </c>
      <c r="AP41">
        <f t="shared" si="39"/>
        <v>0</v>
      </c>
      <c r="AQ41">
        <f t="shared" si="40"/>
        <v>0</v>
      </c>
      <c r="AR41">
        <f t="shared" si="41"/>
        <v>0</v>
      </c>
      <c r="AS41">
        <f t="shared" si="42"/>
        <v>0</v>
      </c>
      <c r="AT41">
        <f t="shared" si="43"/>
        <v>0</v>
      </c>
      <c r="AU41">
        <f t="shared" si="44"/>
        <v>0</v>
      </c>
      <c r="AV41">
        <f t="shared" si="45"/>
        <v>0</v>
      </c>
      <c r="AW41">
        <f t="shared" si="0"/>
        <v>0</v>
      </c>
      <c r="AX41">
        <f t="shared" si="46"/>
        <v>0</v>
      </c>
      <c r="AY41">
        <f t="shared" si="47"/>
        <v>0</v>
      </c>
    </row>
    <row r="42" spans="1:51" x14ac:dyDescent="0.35">
      <c r="A42">
        <v>36</v>
      </c>
      <c r="C42">
        <f>MAX(0,Calc!$C$7-SUM(D42:R42))</f>
        <v>750</v>
      </c>
      <c r="D42">
        <f t="shared" si="1"/>
        <v>0</v>
      </c>
      <c r="E42">
        <f t="shared" si="2"/>
        <v>0</v>
      </c>
      <c r="F42">
        <f t="shared" si="3"/>
        <v>0</v>
      </c>
      <c r="G42">
        <f t="shared" si="4"/>
        <v>0</v>
      </c>
      <c r="H42">
        <f t="shared" si="5"/>
        <v>0</v>
      </c>
      <c r="I42">
        <f t="shared" si="6"/>
        <v>0</v>
      </c>
      <c r="J42">
        <f t="shared" si="7"/>
        <v>0</v>
      </c>
      <c r="K42">
        <f t="shared" si="8"/>
        <v>0</v>
      </c>
      <c r="L42">
        <f t="shared" si="9"/>
        <v>0</v>
      </c>
      <c r="M42">
        <f t="shared" si="10"/>
        <v>0</v>
      </c>
      <c r="N42">
        <f t="shared" si="11"/>
        <v>0</v>
      </c>
      <c r="O42">
        <f t="shared" si="12"/>
        <v>0</v>
      </c>
      <c r="P42">
        <f t="shared" si="13"/>
        <v>0</v>
      </c>
      <c r="Q42">
        <f t="shared" si="14"/>
        <v>0</v>
      </c>
      <c r="R42">
        <f t="shared" si="15"/>
        <v>0</v>
      </c>
      <c r="S42">
        <f t="shared" si="16"/>
        <v>0</v>
      </c>
      <c r="T42">
        <f t="shared" si="17"/>
        <v>0</v>
      </c>
      <c r="U42">
        <f t="shared" si="18"/>
        <v>0</v>
      </c>
      <c r="V42">
        <f t="shared" si="19"/>
        <v>0</v>
      </c>
      <c r="W42">
        <f t="shared" si="20"/>
        <v>0</v>
      </c>
      <c r="X42">
        <f t="shared" si="21"/>
        <v>0</v>
      </c>
      <c r="Y42">
        <f t="shared" si="22"/>
        <v>0</v>
      </c>
      <c r="Z42">
        <f t="shared" si="23"/>
        <v>0</v>
      </c>
      <c r="AA42">
        <f t="shared" si="24"/>
        <v>0</v>
      </c>
      <c r="AB42">
        <f t="shared" si="25"/>
        <v>0</v>
      </c>
      <c r="AC42">
        <f t="shared" si="26"/>
        <v>0</v>
      </c>
      <c r="AD42">
        <f t="shared" si="27"/>
        <v>0</v>
      </c>
      <c r="AE42">
        <f t="shared" si="28"/>
        <v>0</v>
      </c>
      <c r="AF42">
        <f t="shared" si="29"/>
        <v>0</v>
      </c>
      <c r="AG42">
        <f t="shared" si="30"/>
        <v>0</v>
      </c>
      <c r="AH42">
        <f t="shared" si="31"/>
        <v>0</v>
      </c>
      <c r="AI42">
        <f t="shared" si="32"/>
        <v>0</v>
      </c>
      <c r="AJ42">
        <f t="shared" si="33"/>
        <v>0</v>
      </c>
      <c r="AK42">
        <f t="shared" si="34"/>
        <v>0</v>
      </c>
      <c r="AL42">
        <f t="shared" si="35"/>
        <v>0</v>
      </c>
      <c r="AM42">
        <f t="shared" si="36"/>
        <v>0</v>
      </c>
      <c r="AN42">
        <f t="shared" si="37"/>
        <v>0</v>
      </c>
      <c r="AO42">
        <f t="shared" si="38"/>
        <v>0</v>
      </c>
      <c r="AP42">
        <f t="shared" si="39"/>
        <v>0</v>
      </c>
      <c r="AQ42">
        <f t="shared" si="40"/>
        <v>0</v>
      </c>
      <c r="AR42">
        <f t="shared" si="41"/>
        <v>0</v>
      </c>
      <c r="AS42">
        <f t="shared" si="42"/>
        <v>0</v>
      </c>
      <c r="AT42">
        <f t="shared" si="43"/>
        <v>0</v>
      </c>
      <c r="AU42">
        <f t="shared" si="44"/>
        <v>0</v>
      </c>
      <c r="AV42">
        <f t="shared" si="45"/>
        <v>0</v>
      </c>
      <c r="AW42">
        <f t="shared" si="0"/>
        <v>0</v>
      </c>
      <c r="AX42">
        <f t="shared" si="46"/>
        <v>0</v>
      </c>
      <c r="AY42">
        <f t="shared" si="47"/>
        <v>0</v>
      </c>
    </row>
    <row r="43" spans="1:51" x14ac:dyDescent="0.35">
      <c r="A43">
        <v>37</v>
      </c>
      <c r="C43">
        <f>MAX(0,Calc!$C$7-SUM(D43:R43))</f>
        <v>750</v>
      </c>
      <c r="D43">
        <f t="shared" si="1"/>
        <v>0</v>
      </c>
      <c r="E43">
        <f t="shared" si="2"/>
        <v>0</v>
      </c>
      <c r="F43">
        <f t="shared" si="3"/>
        <v>0</v>
      </c>
      <c r="G43">
        <f t="shared" si="4"/>
        <v>0</v>
      </c>
      <c r="H43">
        <f t="shared" si="5"/>
        <v>0</v>
      </c>
      <c r="I43">
        <f t="shared" si="6"/>
        <v>0</v>
      </c>
      <c r="J43">
        <f t="shared" si="7"/>
        <v>0</v>
      </c>
      <c r="K43">
        <f t="shared" si="8"/>
        <v>0</v>
      </c>
      <c r="L43">
        <f t="shared" si="9"/>
        <v>0</v>
      </c>
      <c r="M43">
        <f t="shared" si="10"/>
        <v>0</v>
      </c>
      <c r="N43">
        <f t="shared" si="11"/>
        <v>0</v>
      </c>
      <c r="O43">
        <f t="shared" si="12"/>
        <v>0</v>
      </c>
      <c r="P43">
        <f t="shared" si="13"/>
        <v>0</v>
      </c>
      <c r="Q43">
        <f t="shared" si="14"/>
        <v>0</v>
      </c>
      <c r="R43">
        <f t="shared" si="15"/>
        <v>0</v>
      </c>
      <c r="S43">
        <f t="shared" si="16"/>
        <v>0</v>
      </c>
      <c r="T43">
        <f t="shared" si="17"/>
        <v>0</v>
      </c>
      <c r="U43">
        <f t="shared" si="18"/>
        <v>0</v>
      </c>
      <c r="V43">
        <f t="shared" si="19"/>
        <v>0</v>
      </c>
      <c r="W43">
        <f t="shared" si="20"/>
        <v>0</v>
      </c>
      <c r="X43">
        <f t="shared" si="21"/>
        <v>0</v>
      </c>
      <c r="Y43">
        <f t="shared" si="22"/>
        <v>0</v>
      </c>
      <c r="Z43">
        <f t="shared" si="23"/>
        <v>0</v>
      </c>
      <c r="AA43">
        <f t="shared" si="24"/>
        <v>0</v>
      </c>
      <c r="AB43">
        <f t="shared" si="25"/>
        <v>0</v>
      </c>
      <c r="AC43">
        <f t="shared" si="26"/>
        <v>0</v>
      </c>
      <c r="AD43">
        <f t="shared" si="27"/>
        <v>0</v>
      </c>
      <c r="AE43">
        <f t="shared" si="28"/>
        <v>0</v>
      </c>
      <c r="AF43">
        <f t="shared" si="29"/>
        <v>0</v>
      </c>
      <c r="AG43">
        <f t="shared" si="30"/>
        <v>0</v>
      </c>
      <c r="AH43">
        <f t="shared" si="31"/>
        <v>0</v>
      </c>
      <c r="AI43">
        <f t="shared" si="32"/>
        <v>0</v>
      </c>
      <c r="AJ43">
        <f t="shared" si="33"/>
        <v>0</v>
      </c>
      <c r="AK43">
        <f t="shared" si="34"/>
        <v>0</v>
      </c>
      <c r="AL43">
        <f t="shared" si="35"/>
        <v>0</v>
      </c>
      <c r="AM43">
        <f t="shared" si="36"/>
        <v>0</v>
      </c>
      <c r="AN43">
        <f t="shared" si="37"/>
        <v>0</v>
      </c>
      <c r="AO43">
        <f t="shared" si="38"/>
        <v>0</v>
      </c>
      <c r="AP43">
        <f t="shared" si="39"/>
        <v>0</v>
      </c>
      <c r="AQ43">
        <f t="shared" si="40"/>
        <v>0</v>
      </c>
      <c r="AR43">
        <f t="shared" si="41"/>
        <v>0</v>
      </c>
      <c r="AS43">
        <f t="shared" si="42"/>
        <v>0</v>
      </c>
      <c r="AT43">
        <f t="shared" si="43"/>
        <v>0</v>
      </c>
      <c r="AU43">
        <f t="shared" si="44"/>
        <v>0</v>
      </c>
      <c r="AV43">
        <f t="shared" si="45"/>
        <v>0</v>
      </c>
      <c r="AW43">
        <f t="shared" si="0"/>
        <v>0</v>
      </c>
      <c r="AX43">
        <f t="shared" si="46"/>
        <v>0</v>
      </c>
      <c r="AY43">
        <f t="shared" si="47"/>
        <v>0</v>
      </c>
    </row>
    <row r="44" spans="1:51" x14ac:dyDescent="0.35">
      <c r="A44">
        <v>38</v>
      </c>
      <c r="C44">
        <f>MAX(0,Calc!$C$7-SUM(D44:R44))</f>
        <v>750</v>
      </c>
      <c r="D44">
        <f t="shared" si="1"/>
        <v>0</v>
      </c>
      <c r="E44">
        <f t="shared" si="2"/>
        <v>0</v>
      </c>
      <c r="F44">
        <f t="shared" si="3"/>
        <v>0</v>
      </c>
      <c r="G44">
        <f t="shared" si="4"/>
        <v>0</v>
      </c>
      <c r="H44">
        <f t="shared" si="5"/>
        <v>0</v>
      </c>
      <c r="I44">
        <f t="shared" si="6"/>
        <v>0</v>
      </c>
      <c r="J44">
        <f t="shared" si="7"/>
        <v>0</v>
      </c>
      <c r="K44">
        <f t="shared" si="8"/>
        <v>0</v>
      </c>
      <c r="L44">
        <f t="shared" si="9"/>
        <v>0</v>
      </c>
      <c r="M44">
        <f t="shared" si="10"/>
        <v>0</v>
      </c>
      <c r="N44">
        <f t="shared" si="11"/>
        <v>0</v>
      </c>
      <c r="O44">
        <f t="shared" si="12"/>
        <v>0</v>
      </c>
      <c r="P44">
        <f t="shared" si="13"/>
        <v>0</v>
      </c>
      <c r="Q44">
        <f t="shared" si="14"/>
        <v>0</v>
      </c>
      <c r="R44">
        <f t="shared" si="15"/>
        <v>0</v>
      </c>
      <c r="S44">
        <f t="shared" si="16"/>
        <v>0</v>
      </c>
      <c r="T44">
        <f t="shared" si="17"/>
        <v>0</v>
      </c>
      <c r="U44">
        <f t="shared" si="18"/>
        <v>0</v>
      </c>
      <c r="V44">
        <f t="shared" si="19"/>
        <v>0</v>
      </c>
      <c r="W44">
        <f t="shared" si="20"/>
        <v>0</v>
      </c>
      <c r="X44">
        <f t="shared" si="21"/>
        <v>0</v>
      </c>
      <c r="Y44">
        <f t="shared" si="22"/>
        <v>0</v>
      </c>
      <c r="Z44">
        <f t="shared" si="23"/>
        <v>0</v>
      </c>
      <c r="AA44">
        <f t="shared" si="24"/>
        <v>0</v>
      </c>
      <c r="AB44">
        <f t="shared" si="25"/>
        <v>0</v>
      </c>
      <c r="AC44">
        <f t="shared" si="26"/>
        <v>0</v>
      </c>
      <c r="AD44">
        <f t="shared" si="27"/>
        <v>0</v>
      </c>
      <c r="AE44">
        <f t="shared" si="28"/>
        <v>0</v>
      </c>
      <c r="AF44">
        <f t="shared" si="29"/>
        <v>0</v>
      </c>
      <c r="AG44">
        <f t="shared" si="30"/>
        <v>0</v>
      </c>
      <c r="AH44">
        <f t="shared" si="31"/>
        <v>0</v>
      </c>
      <c r="AI44">
        <f t="shared" si="32"/>
        <v>0</v>
      </c>
      <c r="AJ44">
        <f t="shared" si="33"/>
        <v>0</v>
      </c>
      <c r="AK44">
        <f t="shared" si="34"/>
        <v>0</v>
      </c>
      <c r="AL44">
        <f t="shared" si="35"/>
        <v>0</v>
      </c>
      <c r="AM44">
        <f t="shared" si="36"/>
        <v>0</v>
      </c>
      <c r="AN44">
        <f t="shared" si="37"/>
        <v>0</v>
      </c>
      <c r="AO44">
        <f t="shared" si="38"/>
        <v>0</v>
      </c>
      <c r="AP44">
        <f t="shared" si="39"/>
        <v>0</v>
      </c>
      <c r="AQ44">
        <f t="shared" si="40"/>
        <v>0</v>
      </c>
      <c r="AR44">
        <f t="shared" si="41"/>
        <v>0</v>
      </c>
      <c r="AS44">
        <f t="shared" si="42"/>
        <v>0</v>
      </c>
      <c r="AT44">
        <f t="shared" si="43"/>
        <v>0</v>
      </c>
      <c r="AU44">
        <f t="shared" si="44"/>
        <v>0</v>
      </c>
      <c r="AV44">
        <f t="shared" si="45"/>
        <v>0</v>
      </c>
      <c r="AW44">
        <f t="shared" si="0"/>
        <v>0</v>
      </c>
      <c r="AX44">
        <f t="shared" si="46"/>
        <v>0</v>
      </c>
      <c r="AY44">
        <f t="shared" si="47"/>
        <v>0</v>
      </c>
    </row>
    <row r="45" spans="1:51" x14ac:dyDescent="0.35">
      <c r="A45">
        <v>39</v>
      </c>
      <c r="C45">
        <f>MAX(0,Calc!$C$7-SUM(D45:R45))</f>
        <v>750</v>
      </c>
      <c r="D45">
        <f t="shared" si="1"/>
        <v>0</v>
      </c>
      <c r="E45">
        <f t="shared" si="2"/>
        <v>0</v>
      </c>
      <c r="F45">
        <f t="shared" si="3"/>
        <v>0</v>
      </c>
      <c r="G45">
        <f t="shared" si="4"/>
        <v>0</v>
      </c>
      <c r="H45">
        <f t="shared" si="5"/>
        <v>0</v>
      </c>
      <c r="I45">
        <f t="shared" si="6"/>
        <v>0</v>
      </c>
      <c r="J45">
        <f t="shared" si="7"/>
        <v>0</v>
      </c>
      <c r="K45">
        <f t="shared" si="8"/>
        <v>0</v>
      </c>
      <c r="L45">
        <f t="shared" si="9"/>
        <v>0</v>
      </c>
      <c r="M45">
        <f t="shared" si="10"/>
        <v>0</v>
      </c>
      <c r="N45">
        <f t="shared" si="11"/>
        <v>0</v>
      </c>
      <c r="O45">
        <f t="shared" si="12"/>
        <v>0</v>
      </c>
      <c r="P45">
        <f t="shared" si="13"/>
        <v>0</v>
      </c>
      <c r="Q45">
        <f t="shared" si="14"/>
        <v>0</v>
      </c>
      <c r="R45">
        <f t="shared" si="15"/>
        <v>0</v>
      </c>
      <c r="S45">
        <f t="shared" si="16"/>
        <v>0</v>
      </c>
      <c r="T45">
        <f t="shared" si="17"/>
        <v>0</v>
      </c>
      <c r="U45">
        <f t="shared" si="18"/>
        <v>0</v>
      </c>
      <c r="V45">
        <f t="shared" si="19"/>
        <v>0</v>
      </c>
      <c r="W45">
        <f t="shared" si="20"/>
        <v>0</v>
      </c>
      <c r="X45">
        <f t="shared" si="21"/>
        <v>0</v>
      </c>
      <c r="Y45">
        <f t="shared" si="22"/>
        <v>0</v>
      </c>
      <c r="Z45">
        <f t="shared" si="23"/>
        <v>0</v>
      </c>
      <c r="AA45">
        <f t="shared" si="24"/>
        <v>0</v>
      </c>
      <c r="AB45">
        <f t="shared" si="25"/>
        <v>0</v>
      </c>
      <c r="AC45">
        <f t="shared" si="26"/>
        <v>0</v>
      </c>
      <c r="AD45">
        <f t="shared" si="27"/>
        <v>0</v>
      </c>
      <c r="AE45">
        <f t="shared" si="28"/>
        <v>0</v>
      </c>
      <c r="AF45">
        <f t="shared" si="29"/>
        <v>0</v>
      </c>
      <c r="AG45">
        <f t="shared" si="30"/>
        <v>0</v>
      </c>
      <c r="AH45">
        <f t="shared" si="31"/>
        <v>0</v>
      </c>
      <c r="AI45">
        <f t="shared" si="32"/>
        <v>0</v>
      </c>
      <c r="AJ45">
        <f t="shared" si="33"/>
        <v>0</v>
      </c>
      <c r="AK45">
        <f t="shared" si="34"/>
        <v>0</v>
      </c>
      <c r="AL45">
        <f t="shared" si="35"/>
        <v>0</v>
      </c>
      <c r="AM45">
        <f t="shared" si="36"/>
        <v>0</v>
      </c>
      <c r="AN45">
        <f t="shared" si="37"/>
        <v>0</v>
      </c>
      <c r="AO45">
        <f t="shared" si="38"/>
        <v>0</v>
      </c>
      <c r="AP45">
        <f t="shared" si="39"/>
        <v>0</v>
      </c>
      <c r="AQ45">
        <f t="shared" si="40"/>
        <v>0</v>
      </c>
      <c r="AR45">
        <f t="shared" si="41"/>
        <v>0</v>
      </c>
      <c r="AS45">
        <f t="shared" si="42"/>
        <v>0</v>
      </c>
      <c r="AT45">
        <f t="shared" si="43"/>
        <v>0</v>
      </c>
      <c r="AU45">
        <f t="shared" si="44"/>
        <v>0</v>
      </c>
      <c r="AV45">
        <f t="shared" si="45"/>
        <v>0</v>
      </c>
      <c r="AW45">
        <f t="shared" si="0"/>
        <v>0</v>
      </c>
      <c r="AX45">
        <f t="shared" si="46"/>
        <v>0</v>
      </c>
      <c r="AY45">
        <f t="shared" si="47"/>
        <v>0</v>
      </c>
    </row>
    <row r="46" spans="1:51" x14ac:dyDescent="0.35">
      <c r="A46">
        <v>40</v>
      </c>
      <c r="C46">
        <f>MAX(0,Calc!$C$7-SUM(D46:R46))</f>
        <v>750</v>
      </c>
      <c r="D46">
        <f t="shared" si="1"/>
        <v>0</v>
      </c>
      <c r="E46">
        <f t="shared" si="2"/>
        <v>0</v>
      </c>
      <c r="F46">
        <f t="shared" si="3"/>
        <v>0</v>
      </c>
      <c r="G46">
        <f t="shared" si="4"/>
        <v>0</v>
      </c>
      <c r="H46">
        <f t="shared" si="5"/>
        <v>0</v>
      </c>
      <c r="I46">
        <f t="shared" si="6"/>
        <v>0</v>
      </c>
      <c r="J46">
        <f t="shared" si="7"/>
        <v>0</v>
      </c>
      <c r="K46">
        <f t="shared" si="8"/>
        <v>0</v>
      </c>
      <c r="L46">
        <f t="shared" si="9"/>
        <v>0</v>
      </c>
      <c r="M46">
        <f t="shared" si="10"/>
        <v>0</v>
      </c>
      <c r="N46">
        <f t="shared" si="11"/>
        <v>0</v>
      </c>
      <c r="O46">
        <f t="shared" si="12"/>
        <v>0</v>
      </c>
      <c r="P46">
        <f t="shared" si="13"/>
        <v>0</v>
      </c>
      <c r="Q46">
        <f t="shared" si="14"/>
        <v>0</v>
      </c>
      <c r="R46">
        <f t="shared" si="15"/>
        <v>0</v>
      </c>
      <c r="S46">
        <f t="shared" si="16"/>
        <v>0</v>
      </c>
      <c r="T46">
        <f t="shared" si="17"/>
        <v>0</v>
      </c>
      <c r="U46">
        <f t="shared" si="18"/>
        <v>0</v>
      </c>
      <c r="V46">
        <f t="shared" si="19"/>
        <v>0</v>
      </c>
      <c r="W46">
        <f t="shared" si="20"/>
        <v>0</v>
      </c>
      <c r="X46">
        <f t="shared" si="21"/>
        <v>0</v>
      </c>
      <c r="Y46">
        <f t="shared" si="22"/>
        <v>0</v>
      </c>
      <c r="Z46">
        <f t="shared" si="23"/>
        <v>0</v>
      </c>
      <c r="AA46">
        <f t="shared" si="24"/>
        <v>0</v>
      </c>
      <c r="AB46">
        <f t="shared" si="25"/>
        <v>0</v>
      </c>
      <c r="AC46">
        <f t="shared" si="26"/>
        <v>0</v>
      </c>
      <c r="AD46">
        <f t="shared" si="27"/>
        <v>0</v>
      </c>
      <c r="AE46">
        <f t="shared" si="28"/>
        <v>0</v>
      </c>
      <c r="AF46">
        <f t="shared" si="29"/>
        <v>0</v>
      </c>
      <c r="AG46">
        <f t="shared" si="30"/>
        <v>0</v>
      </c>
      <c r="AH46">
        <f t="shared" si="31"/>
        <v>0</v>
      </c>
      <c r="AI46">
        <f t="shared" si="32"/>
        <v>0</v>
      </c>
      <c r="AJ46">
        <f t="shared" si="33"/>
        <v>0</v>
      </c>
      <c r="AK46">
        <f t="shared" si="34"/>
        <v>0</v>
      </c>
      <c r="AL46">
        <f t="shared" si="35"/>
        <v>0</v>
      </c>
      <c r="AM46">
        <f t="shared" si="36"/>
        <v>0</v>
      </c>
      <c r="AN46">
        <f t="shared" si="37"/>
        <v>0</v>
      </c>
      <c r="AO46">
        <f t="shared" si="38"/>
        <v>0</v>
      </c>
      <c r="AP46">
        <f t="shared" si="39"/>
        <v>0</v>
      </c>
      <c r="AQ46">
        <f t="shared" si="40"/>
        <v>0</v>
      </c>
      <c r="AR46">
        <f t="shared" si="41"/>
        <v>0</v>
      </c>
      <c r="AS46">
        <f t="shared" si="42"/>
        <v>0</v>
      </c>
      <c r="AT46">
        <f t="shared" si="43"/>
        <v>0</v>
      </c>
      <c r="AU46">
        <f t="shared" si="44"/>
        <v>0</v>
      </c>
      <c r="AV46">
        <f t="shared" si="45"/>
        <v>0</v>
      </c>
      <c r="AW46">
        <f t="shared" si="0"/>
        <v>0</v>
      </c>
      <c r="AX46">
        <f t="shared" si="46"/>
        <v>0</v>
      </c>
      <c r="AY46">
        <f t="shared" si="47"/>
        <v>0</v>
      </c>
    </row>
    <row r="47" spans="1:51" x14ac:dyDescent="0.35">
      <c r="A47">
        <v>41</v>
      </c>
      <c r="C47">
        <f>MAX(0,Calc!$C$7-SUM(D47:R47))</f>
        <v>750</v>
      </c>
      <c r="D47">
        <f t="shared" si="1"/>
        <v>0</v>
      </c>
      <c r="E47">
        <f t="shared" si="2"/>
        <v>0</v>
      </c>
      <c r="F47">
        <f t="shared" si="3"/>
        <v>0</v>
      </c>
      <c r="G47">
        <f t="shared" si="4"/>
        <v>0</v>
      </c>
      <c r="H47">
        <f t="shared" si="5"/>
        <v>0</v>
      </c>
      <c r="I47">
        <f t="shared" si="6"/>
        <v>0</v>
      </c>
      <c r="J47">
        <f t="shared" si="7"/>
        <v>0</v>
      </c>
      <c r="K47">
        <f t="shared" si="8"/>
        <v>0</v>
      </c>
      <c r="L47">
        <f t="shared" si="9"/>
        <v>0</v>
      </c>
      <c r="M47">
        <f t="shared" si="10"/>
        <v>0</v>
      </c>
      <c r="N47">
        <f t="shared" si="11"/>
        <v>0</v>
      </c>
      <c r="O47">
        <f t="shared" si="12"/>
        <v>0</v>
      </c>
      <c r="P47">
        <f t="shared" si="13"/>
        <v>0</v>
      </c>
      <c r="Q47">
        <f t="shared" si="14"/>
        <v>0</v>
      </c>
      <c r="R47">
        <f t="shared" si="15"/>
        <v>0</v>
      </c>
      <c r="S47">
        <f t="shared" si="16"/>
        <v>0</v>
      </c>
      <c r="T47">
        <f t="shared" si="17"/>
        <v>0</v>
      </c>
      <c r="U47">
        <f t="shared" si="18"/>
        <v>0</v>
      </c>
      <c r="V47">
        <f t="shared" si="19"/>
        <v>0</v>
      </c>
      <c r="W47">
        <f t="shared" si="20"/>
        <v>0</v>
      </c>
      <c r="X47">
        <f t="shared" si="21"/>
        <v>0</v>
      </c>
      <c r="Y47">
        <f t="shared" si="22"/>
        <v>0</v>
      </c>
      <c r="Z47">
        <f t="shared" si="23"/>
        <v>0</v>
      </c>
      <c r="AA47">
        <f t="shared" si="24"/>
        <v>0</v>
      </c>
      <c r="AB47">
        <f t="shared" si="25"/>
        <v>0</v>
      </c>
      <c r="AC47">
        <f t="shared" si="26"/>
        <v>0</v>
      </c>
      <c r="AD47">
        <f t="shared" si="27"/>
        <v>0</v>
      </c>
      <c r="AE47">
        <f t="shared" si="28"/>
        <v>0</v>
      </c>
      <c r="AF47">
        <f t="shared" si="29"/>
        <v>0</v>
      </c>
      <c r="AG47">
        <f t="shared" si="30"/>
        <v>0</v>
      </c>
      <c r="AH47">
        <f t="shared" si="31"/>
        <v>0</v>
      </c>
      <c r="AI47">
        <f t="shared" si="32"/>
        <v>0</v>
      </c>
      <c r="AJ47">
        <f t="shared" si="33"/>
        <v>0</v>
      </c>
      <c r="AK47">
        <f t="shared" si="34"/>
        <v>0</v>
      </c>
      <c r="AL47">
        <f t="shared" si="35"/>
        <v>0</v>
      </c>
      <c r="AM47">
        <f t="shared" si="36"/>
        <v>0</v>
      </c>
      <c r="AN47">
        <f t="shared" si="37"/>
        <v>0</v>
      </c>
      <c r="AO47">
        <f t="shared" si="38"/>
        <v>0</v>
      </c>
      <c r="AP47">
        <f t="shared" si="39"/>
        <v>0</v>
      </c>
      <c r="AQ47">
        <f t="shared" si="40"/>
        <v>0</v>
      </c>
      <c r="AR47">
        <f t="shared" si="41"/>
        <v>0</v>
      </c>
      <c r="AS47">
        <f t="shared" si="42"/>
        <v>0</v>
      </c>
      <c r="AT47">
        <f t="shared" si="43"/>
        <v>0</v>
      </c>
      <c r="AU47">
        <f t="shared" si="44"/>
        <v>0</v>
      </c>
      <c r="AV47">
        <f t="shared" si="45"/>
        <v>0</v>
      </c>
      <c r="AW47">
        <f t="shared" si="0"/>
        <v>0</v>
      </c>
      <c r="AX47">
        <f t="shared" si="46"/>
        <v>0</v>
      </c>
      <c r="AY47">
        <f t="shared" si="47"/>
        <v>0</v>
      </c>
    </row>
    <row r="48" spans="1:51" x14ac:dyDescent="0.35">
      <c r="A48">
        <v>42</v>
      </c>
      <c r="C48">
        <f>MAX(0,Calc!$C$7-SUM(D48:R48))</f>
        <v>750</v>
      </c>
      <c r="D48">
        <f t="shared" si="1"/>
        <v>0</v>
      </c>
      <c r="E48">
        <f t="shared" si="2"/>
        <v>0</v>
      </c>
      <c r="F48">
        <f t="shared" si="3"/>
        <v>0</v>
      </c>
      <c r="G48">
        <f t="shared" si="4"/>
        <v>0</v>
      </c>
      <c r="H48">
        <f t="shared" si="5"/>
        <v>0</v>
      </c>
      <c r="I48">
        <f t="shared" si="6"/>
        <v>0</v>
      </c>
      <c r="J48">
        <f t="shared" si="7"/>
        <v>0</v>
      </c>
      <c r="K48">
        <f t="shared" si="8"/>
        <v>0</v>
      </c>
      <c r="L48">
        <f t="shared" si="9"/>
        <v>0</v>
      </c>
      <c r="M48">
        <f t="shared" si="10"/>
        <v>0</v>
      </c>
      <c r="N48">
        <f t="shared" si="11"/>
        <v>0</v>
      </c>
      <c r="O48">
        <f t="shared" si="12"/>
        <v>0</v>
      </c>
      <c r="P48">
        <f t="shared" si="13"/>
        <v>0</v>
      </c>
      <c r="Q48">
        <f t="shared" si="14"/>
        <v>0</v>
      </c>
      <c r="R48">
        <f t="shared" si="15"/>
        <v>0</v>
      </c>
      <c r="S48">
        <f t="shared" si="16"/>
        <v>0</v>
      </c>
      <c r="T48">
        <f t="shared" si="17"/>
        <v>0</v>
      </c>
      <c r="U48">
        <f t="shared" si="18"/>
        <v>0</v>
      </c>
      <c r="V48">
        <f t="shared" si="19"/>
        <v>0</v>
      </c>
      <c r="W48">
        <f t="shared" si="20"/>
        <v>0</v>
      </c>
      <c r="X48">
        <f t="shared" si="21"/>
        <v>0</v>
      </c>
      <c r="Y48">
        <f t="shared" si="22"/>
        <v>0</v>
      </c>
      <c r="Z48">
        <f t="shared" si="23"/>
        <v>0</v>
      </c>
      <c r="AA48">
        <f t="shared" si="24"/>
        <v>0</v>
      </c>
      <c r="AB48">
        <f t="shared" si="25"/>
        <v>0</v>
      </c>
      <c r="AC48">
        <f t="shared" si="26"/>
        <v>0</v>
      </c>
      <c r="AD48">
        <f t="shared" si="27"/>
        <v>0</v>
      </c>
      <c r="AE48">
        <f t="shared" si="28"/>
        <v>0</v>
      </c>
      <c r="AF48">
        <f t="shared" si="29"/>
        <v>0</v>
      </c>
      <c r="AG48">
        <f t="shared" si="30"/>
        <v>0</v>
      </c>
      <c r="AH48">
        <f t="shared" si="31"/>
        <v>0</v>
      </c>
      <c r="AI48">
        <f t="shared" si="32"/>
        <v>0</v>
      </c>
      <c r="AJ48">
        <f t="shared" si="33"/>
        <v>0</v>
      </c>
      <c r="AK48">
        <f t="shared" si="34"/>
        <v>0</v>
      </c>
      <c r="AL48">
        <f t="shared" si="35"/>
        <v>0</v>
      </c>
      <c r="AM48">
        <f t="shared" si="36"/>
        <v>0</v>
      </c>
      <c r="AN48">
        <f t="shared" si="37"/>
        <v>0</v>
      </c>
      <c r="AO48">
        <f t="shared" si="38"/>
        <v>0</v>
      </c>
      <c r="AP48">
        <f t="shared" si="39"/>
        <v>0</v>
      </c>
      <c r="AQ48">
        <f t="shared" si="40"/>
        <v>0</v>
      </c>
      <c r="AR48">
        <f t="shared" si="41"/>
        <v>0</v>
      </c>
      <c r="AS48">
        <f t="shared" si="42"/>
        <v>0</v>
      </c>
      <c r="AT48">
        <f t="shared" si="43"/>
        <v>0</v>
      </c>
      <c r="AU48">
        <f t="shared" si="44"/>
        <v>0</v>
      </c>
      <c r="AV48">
        <f t="shared" si="45"/>
        <v>0</v>
      </c>
      <c r="AW48">
        <f t="shared" si="0"/>
        <v>0</v>
      </c>
      <c r="AX48">
        <f t="shared" si="46"/>
        <v>0</v>
      </c>
      <c r="AY48">
        <f t="shared" si="47"/>
        <v>0</v>
      </c>
    </row>
    <row r="49" spans="1:51" x14ac:dyDescent="0.35">
      <c r="A49">
        <v>43</v>
      </c>
      <c r="C49">
        <f>MAX(0,Calc!$C$7-SUM(D49:R49))</f>
        <v>750</v>
      </c>
      <c r="D49">
        <f t="shared" si="1"/>
        <v>0</v>
      </c>
      <c r="E49">
        <f t="shared" si="2"/>
        <v>0</v>
      </c>
      <c r="F49">
        <f t="shared" si="3"/>
        <v>0</v>
      </c>
      <c r="G49">
        <f t="shared" si="4"/>
        <v>0</v>
      </c>
      <c r="H49">
        <f t="shared" si="5"/>
        <v>0</v>
      </c>
      <c r="I49">
        <f t="shared" si="6"/>
        <v>0</v>
      </c>
      <c r="J49">
        <f t="shared" si="7"/>
        <v>0</v>
      </c>
      <c r="K49">
        <f t="shared" si="8"/>
        <v>0</v>
      </c>
      <c r="L49">
        <f t="shared" si="9"/>
        <v>0</v>
      </c>
      <c r="M49">
        <f t="shared" si="10"/>
        <v>0</v>
      </c>
      <c r="N49">
        <f t="shared" si="11"/>
        <v>0</v>
      </c>
      <c r="O49">
        <f t="shared" si="12"/>
        <v>0</v>
      </c>
      <c r="P49">
        <f t="shared" si="13"/>
        <v>0</v>
      </c>
      <c r="Q49">
        <f t="shared" si="14"/>
        <v>0</v>
      </c>
      <c r="R49">
        <f t="shared" si="15"/>
        <v>0</v>
      </c>
      <c r="S49">
        <f t="shared" si="16"/>
        <v>0</v>
      </c>
      <c r="T49">
        <f t="shared" si="17"/>
        <v>0</v>
      </c>
      <c r="U49">
        <f t="shared" si="18"/>
        <v>0</v>
      </c>
      <c r="V49">
        <f t="shared" si="19"/>
        <v>0</v>
      </c>
      <c r="W49">
        <f t="shared" si="20"/>
        <v>0</v>
      </c>
      <c r="X49">
        <f t="shared" si="21"/>
        <v>0</v>
      </c>
      <c r="Y49">
        <f t="shared" si="22"/>
        <v>0</v>
      </c>
      <c r="Z49">
        <f t="shared" si="23"/>
        <v>0</v>
      </c>
      <c r="AA49">
        <f t="shared" si="24"/>
        <v>0</v>
      </c>
      <c r="AB49">
        <f t="shared" si="25"/>
        <v>0</v>
      </c>
      <c r="AC49">
        <f t="shared" si="26"/>
        <v>0</v>
      </c>
      <c r="AD49">
        <f t="shared" si="27"/>
        <v>0</v>
      </c>
      <c r="AE49">
        <f t="shared" si="28"/>
        <v>0</v>
      </c>
      <c r="AF49">
        <f t="shared" si="29"/>
        <v>0</v>
      </c>
      <c r="AG49">
        <f t="shared" si="30"/>
        <v>0</v>
      </c>
      <c r="AH49">
        <f t="shared" si="31"/>
        <v>0</v>
      </c>
      <c r="AI49">
        <f t="shared" si="32"/>
        <v>0</v>
      </c>
      <c r="AJ49">
        <f t="shared" si="33"/>
        <v>0</v>
      </c>
      <c r="AK49">
        <f t="shared" si="34"/>
        <v>0</v>
      </c>
      <c r="AL49">
        <f t="shared" si="35"/>
        <v>0</v>
      </c>
      <c r="AM49">
        <f t="shared" si="36"/>
        <v>0</v>
      </c>
      <c r="AN49">
        <f t="shared" si="37"/>
        <v>0</v>
      </c>
      <c r="AO49">
        <f t="shared" si="38"/>
        <v>0</v>
      </c>
      <c r="AP49">
        <f t="shared" si="39"/>
        <v>0</v>
      </c>
      <c r="AQ49">
        <f t="shared" si="40"/>
        <v>0</v>
      </c>
      <c r="AR49">
        <f t="shared" si="41"/>
        <v>0</v>
      </c>
      <c r="AS49">
        <f t="shared" si="42"/>
        <v>0</v>
      </c>
      <c r="AT49">
        <f t="shared" si="43"/>
        <v>0</v>
      </c>
      <c r="AU49">
        <f t="shared" si="44"/>
        <v>0</v>
      </c>
      <c r="AV49">
        <f t="shared" si="45"/>
        <v>0</v>
      </c>
      <c r="AW49">
        <f t="shared" si="0"/>
        <v>0</v>
      </c>
      <c r="AX49">
        <f t="shared" si="46"/>
        <v>0</v>
      </c>
      <c r="AY49">
        <f t="shared" si="47"/>
        <v>0</v>
      </c>
    </row>
    <row r="50" spans="1:51" x14ac:dyDescent="0.35">
      <c r="A50">
        <v>44</v>
      </c>
      <c r="C50">
        <f>MAX(0,Calc!$C$7-SUM(D50:R50))</f>
        <v>750</v>
      </c>
      <c r="D50">
        <f t="shared" si="1"/>
        <v>0</v>
      </c>
      <c r="E50">
        <f t="shared" si="2"/>
        <v>0</v>
      </c>
      <c r="F50">
        <f t="shared" si="3"/>
        <v>0</v>
      </c>
      <c r="G50">
        <f t="shared" si="4"/>
        <v>0</v>
      </c>
      <c r="H50">
        <f t="shared" si="5"/>
        <v>0</v>
      </c>
      <c r="I50">
        <f t="shared" si="6"/>
        <v>0</v>
      </c>
      <c r="J50">
        <f t="shared" si="7"/>
        <v>0</v>
      </c>
      <c r="K50">
        <f t="shared" si="8"/>
        <v>0</v>
      </c>
      <c r="L50">
        <f t="shared" si="9"/>
        <v>0</v>
      </c>
      <c r="M50">
        <f t="shared" si="10"/>
        <v>0</v>
      </c>
      <c r="N50">
        <f t="shared" si="11"/>
        <v>0</v>
      </c>
      <c r="O50">
        <f t="shared" si="12"/>
        <v>0</v>
      </c>
      <c r="P50">
        <f t="shared" si="13"/>
        <v>0</v>
      </c>
      <c r="Q50">
        <f t="shared" si="14"/>
        <v>0</v>
      </c>
      <c r="R50">
        <f t="shared" si="15"/>
        <v>0</v>
      </c>
      <c r="S50">
        <f t="shared" si="16"/>
        <v>0</v>
      </c>
      <c r="T50">
        <f t="shared" si="17"/>
        <v>0</v>
      </c>
      <c r="U50">
        <f t="shared" si="18"/>
        <v>0</v>
      </c>
      <c r="V50">
        <f t="shared" si="19"/>
        <v>0</v>
      </c>
      <c r="W50">
        <f t="shared" si="20"/>
        <v>0</v>
      </c>
      <c r="X50">
        <f t="shared" si="21"/>
        <v>0</v>
      </c>
      <c r="Y50">
        <f t="shared" si="22"/>
        <v>0</v>
      </c>
      <c r="Z50">
        <f t="shared" si="23"/>
        <v>0</v>
      </c>
      <c r="AA50">
        <f t="shared" si="24"/>
        <v>0</v>
      </c>
      <c r="AB50">
        <f t="shared" si="25"/>
        <v>0</v>
      </c>
      <c r="AC50">
        <f t="shared" si="26"/>
        <v>0</v>
      </c>
      <c r="AD50">
        <f t="shared" si="27"/>
        <v>0</v>
      </c>
      <c r="AE50">
        <f t="shared" si="28"/>
        <v>0</v>
      </c>
      <c r="AF50">
        <f t="shared" si="29"/>
        <v>0</v>
      </c>
      <c r="AG50">
        <f t="shared" si="30"/>
        <v>0</v>
      </c>
      <c r="AH50">
        <f t="shared" si="31"/>
        <v>0</v>
      </c>
      <c r="AI50">
        <f t="shared" si="32"/>
        <v>0</v>
      </c>
      <c r="AJ50">
        <f t="shared" si="33"/>
        <v>0</v>
      </c>
      <c r="AK50">
        <f t="shared" si="34"/>
        <v>0</v>
      </c>
      <c r="AL50">
        <f t="shared" si="35"/>
        <v>0</v>
      </c>
      <c r="AM50">
        <f t="shared" si="36"/>
        <v>0</v>
      </c>
      <c r="AN50">
        <f t="shared" si="37"/>
        <v>0</v>
      </c>
      <c r="AO50">
        <f t="shared" si="38"/>
        <v>0</v>
      </c>
      <c r="AP50">
        <f t="shared" si="39"/>
        <v>0</v>
      </c>
      <c r="AQ50">
        <f t="shared" si="40"/>
        <v>0</v>
      </c>
      <c r="AR50">
        <f t="shared" si="41"/>
        <v>0</v>
      </c>
      <c r="AS50">
        <f t="shared" si="42"/>
        <v>0</v>
      </c>
      <c r="AT50">
        <f t="shared" si="43"/>
        <v>0</v>
      </c>
      <c r="AU50">
        <f t="shared" si="44"/>
        <v>0</v>
      </c>
      <c r="AV50">
        <f t="shared" si="45"/>
        <v>0</v>
      </c>
      <c r="AW50">
        <f t="shared" si="0"/>
        <v>0</v>
      </c>
      <c r="AX50">
        <f t="shared" si="46"/>
        <v>0</v>
      </c>
      <c r="AY50">
        <f t="shared" si="47"/>
        <v>0</v>
      </c>
    </row>
    <row r="51" spans="1:51" x14ac:dyDescent="0.35">
      <c r="A51">
        <v>45</v>
      </c>
      <c r="C51">
        <f>MAX(0,Calc!$C$7-SUM(D51:R51))</f>
        <v>750</v>
      </c>
      <c r="D51">
        <f t="shared" si="1"/>
        <v>0</v>
      </c>
      <c r="E51">
        <f t="shared" si="2"/>
        <v>0</v>
      </c>
      <c r="F51">
        <f t="shared" si="3"/>
        <v>0</v>
      </c>
      <c r="G51">
        <f t="shared" si="4"/>
        <v>0</v>
      </c>
      <c r="H51">
        <f t="shared" si="5"/>
        <v>0</v>
      </c>
      <c r="I51">
        <f t="shared" si="6"/>
        <v>0</v>
      </c>
      <c r="J51">
        <f t="shared" si="7"/>
        <v>0</v>
      </c>
      <c r="K51">
        <f t="shared" si="8"/>
        <v>0</v>
      </c>
      <c r="L51">
        <f t="shared" si="9"/>
        <v>0</v>
      </c>
      <c r="M51">
        <f t="shared" si="10"/>
        <v>0</v>
      </c>
      <c r="N51">
        <f t="shared" si="11"/>
        <v>0</v>
      </c>
      <c r="O51">
        <f t="shared" si="12"/>
        <v>0</v>
      </c>
      <c r="P51">
        <f t="shared" si="13"/>
        <v>0</v>
      </c>
      <c r="Q51">
        <f t="shared" si="14"/>
        <v>0</v>
      </c>
      <c r="R51">
        <f t="shared" si="15"/>
        <v>0</v>
      </c>
      <c r="S51">
        <f t="shared" si="16"/>
        <v>0</v>
      </c>
      <c r="T51">
        <f t="shared" si="17"/>
        <v>0</v>
      </c>
      <c r="U51">
        <f t="shared" si="18"/>
        <v>0</v>
      </c>
      <c r="V51">
        <f t="shared" si="19"/>
        <v>0</v>
      </c>
      <c r="W51">
        <f t="shared" si="20"/>
        <v>0</v>
      </c>
      <c r="X51">
        <f t="shared" si="21"/>
        <v>0</v>
      </c>
      <c r="Y51">
        <f t="shared" si="22"/>
        <v>0</v>
      </c>
      <c r="Z51">
        <f t="shared" si="23"/>
        <v>0</v>
      </c>
      <c r="AA51">
        <f t="shared" si="24"/>
        <v>0</v>
      </c>
      <c r="AB51">
        <f t="shared" si="25"/>
        <v>0</v>
      </c>
      <c r="AC51">
        <f t="shared" si="26"/>
        <v>0</v>
      </c>
      <c r="AD51">
        <f t="shared" si="27"/>
        <v>0</v>
      </c>
      <c r="AE51">
        <f t="shared" si="28"/>
        <v>0</v>
      </c>
      <c r="AF51">
        <f t="shared" si="29"/>
        <v>0</v>
      </c>
      <c r="AG51">
        <f t="shared" si="30"/>
        <v>0</v>
      </c>
      <c r="AH51">
        <f t="shared" si="31"/>
        <v>0</v>
      </c>
      <c r="AI51">
        <f t="shared" si="32"/>
        <v>0</v>
      </c>
      <c r="AJ51">
        <f t="shared" si="33"/>
        <v>0</v>
      </c>
      <c r="AK51">
        <f t="shared" si="34"/>
        <v>0</v>
      </c>
      <c r="AL51">
        <f t="shared" si="35"/>
        <v>0</v>
      </c>
      <c r="AM51">
        <f t="shared" si="36"/>
        <v>0</v>
      </c>
      <c r="AN51">
        <f t="shared" si="37"/>
        <v>0</v>
      </c>
      <c r="AO51">
        <f t="shared" si="38"/>
        <v>0</v>
      </c>
      <c r="AP51">
        <f t="shared" si="39"/>
        <v>0</v>
      </c>
      <c r="AQ51">
        <f t="shared" si="40"/>
        <v>0</v>
      </c>
      <c r="AR51">
        <f t="shared" si="41"/>
        <v>0</v>
      </c>
      <c r="AS51">
        <f t="shared" si="42"/>
        <v>0</v>
      </c>
      <c r="AT51">
        <f t="shared" si="43"/>
        <v>0</v>
      </c>
      <c r="AU51">
        <f t="shared" si="44"/>
        <v>0</v>
      </c>
      <c r="AV51">
        <f t="shared" si="45"/>
        <v>0</v>
      </c>
      <c r="AW51">
        <f t="shared" si="0"/>
        <v>0</v>
      </c>
      <c r="AX51">
        <f t="shared" si="46"/>
        <v>0</v>
      </c>
      <c r="AY51">
        <f t="shared" si="47"/>
        <v>0</v>
      </c>
    </row>
    <row r="52" spans="1:51" x14ac:dyDescent="0.35">
      <c r="A52">
        <v>46</v>
      </c>
      <c r="C52">
        <f>MAX(0,Calc!$C$7-SUM(D52:R52))</f>
        <v>750</v>
      </c>
      <c r="D52">
        <f t="shared" si="1"/>
        <v>0</v>
      </c>
      <c r="E52">
        <f t="shared" si="2"/>
        <v>0</v>
      </c>
      <c r="F52">
        <f t="shared" si="3"/>
        <v>0</v>
      </c>
      <c r="G52">
        <f t="shared" si="4"/>
        <v>0</v>
      </c>
      <c r="H52">
        <f t="shared" si="5"/>
        <v>0</v>
      </c>
      <c r="I52">
        <f t="shared" si="6"/>
        <v>0</v>
      </c>
      <c r="J52">
        <f t="shared" si="7"/>
        <v>0</v>
      </c>
      <c r="K52">
        <f t="shared" si="8"/>
        <v>0</v>
      </c>
      <c r="L52">
        <f t="shared" si="9"/>
        <v>0</v>
      </c>
      <c r="M52">
        <f t="shared" si="10"/>
        <v>0</v>
      </c>
      <c r="N52">
        <f t="shared" si="11"/>
        <v>0</v>
      </c>
      <c r="O52">
        <f t="shared" si="12"/>
        <v>0</v>
      </c>
      <c r="P52">
        <f t="shared" si="13"/>
        <v>0</v>
      </c>
      <c r="Q52">
        <f t="shared" si="14"/>
        <v>0</v>
      </c>
      <c r="R52">
        <f t="shared" si="15"/>
        <v>0</v>
      </c>
      <c r="S52">
        <f t="shared" si="16"/>
        <v>0</v>
      </c>
      <c r="T52">
        <f t="shared" si="17"/>
        <v>0</v>
      </c>
      <c r="U52">
        <f t="shared" si="18"/>
        <v>0</v>
      </c>
      <c r="V52">
        <f t="shared" si="19"/>
        <v>0</v>
      </c>
      <c r="W52">
        <f t="shared" si="20"/>
        <v>0</v>
      </c>
      <c r="X52">
        <f t="shared" si="21"/>
        <v>0</v>
      </c>
      <c r="Y52">
        <f t="shared" si="22"/>
        <v>0</v>
      </c>
      <c r="Z52">
        <f t="shared" si="23"/>
        <v>0</v>
      </c>
      <c r="AA52">
        <f t="shared" si="24"/>
        <v>0</v>
      </c>
      <c r="AB52">
        <f t="shared" si="25"/>
        <v>0</v>
      </c>
      <c r="AC52">
        <f t="shared" si="26"/>
        <v>0</v>
      </c>
      <c r="AD52">
        <f t="shared" si="27"/>
        <v>0</v>
      </c>
      <c r="AE52">
        <f t="shared" si="28"/>
        <v>0</v>
      </c>
      <c r="AF52">
        <f t="shared" si="29"/>
        <v>0</v>
      </c>
      <c r="AG52">
        <f t="shared" si="30"/>
        <v>0</v>
      </c>
      <c r="AH52">
        <f t="shared" si="31"/>
        <v>0</v>
      </c>
      <c r="AI52">
        <f t="shared" si="32"/>
        <v>0</v>
      </c>
      <c r="AJ52">
        <f t="shared" si="33"/>
        <v>0</v>
      </c>
      <c r="AK52">
        <f t="shared" si="34"/>
        <v>0</v>
      </c>
      <c r="AL52">
        <f t="shared" si="35"/>
        <v>0</v>
      </c>
      <c r="AM52">
        <f t="shared" si="36"/>
        <v>0</v>
      </c>
      <c r="AN52">
        <f t="shared" si="37"/>
        <v>0</v>
      </c>
      <c r="AO52">
        <f t="shared" si="38"/>
        <v>0</v>
      </c>
      <c r="AP52">
        <f t="shared" si="39"/>
        <v>0</v>
      </c>
      <c r="AQ52">
        <f t="shared" si="40"/>
        <v>0</v>
      </c>
      <c r="AR52">
        <f t="shared" si="41"/>
        <v>0</v>
      </c>
      <c r="AS52">
        <f t="shared" si="42"/>
        <v>0</v>
      </c>
      <c r="AT52">
        <f t="shared" si="43"/>
        <v>0</v>
      </c>
      <c r="AU52">
        <f t="shared" si="44"/>
        <v>0</v>
      </c>
      <c r="AV52">
        <f t="shared" si="45"/>
        <v>0</v>
      </c>
      <c r="AW52">
        <f t="shared" si="0"/>
        <v>0</v>
      </c>
      <c r="AX52">
        <f t="shared" si="46"/>
        <v>0</v>
      </c>
      <c r="AY52">
        <f t="shared" si="47"/>
        <v>0</v>
      </c>
    </row>
    <row r="53" spans="1:51" x14ac:dyDescent="0.35">
      <c r="A53">
        <v>47</v>
      </c>
      <c r="C53">
        <f>MAX(0,Calc!$C$7-SUM(D53:R53))</f>
        <v>750</v>
      </c>
      <c r="D53">
        <f t="shared" si="1"/>
        <v>0</v>
      </c>
      <c r="E53">
        <f t="shared" si="2"/>
        <v>0</v>
      </c>
      <c r="F53">
        <f t="shared" si="3"/>
        <v>0</v>
      </c>
      <c r="G53">
        <f t="shared" si="4"/>
        <v>0</v>
      </c>
      <c r="H53">
        <f t="shared" si="5"/>
        <v>0</v>
      </c>
      <c r="I53">
        <f t="shared" si="6"/>
        <v>0</v>
      </c>
      <c r="J53">
        <f t="shared" si="7"/>
        <v>0</v>
      </c>
      <c r="K53">
        <f t="shared" si="8"/>
        <v>0</v>
      </c>
      <c r="L53">
        <f t="shared" si="9"/>
        <v>0</v>
      </c>
      <c r="M53">
        <f t="shared" si="10"/>
        <v>0</v>
      </c>
      <c r="N53">
        <f t="shared" si="11"/>
        <v>0</v>
      </c>
      <c r="O53">
        <f t="shared" si="12"/>
        <v>0</v>
      </c>
      <c r="P53">
        <f t="shared" si="13"/>
        <v>0</v>
      </c>
      <c r="Q53">
        <f t="shared" si="14"/>
        <v>0</v>
      </c>
      <c r="R53">
        <f t="shared" si="15"/>
        <v>0</v>
      </c>
      <c r="S53">
        <f t="shared" si="16"/>
        <v>0</v>
      </c>
      <c r="T53">
        <f t="shared" si="17"/>
        <v>0</v>
      </c>
      <c r="U53">
        <f t="shared" si="18"/>
        <v>0</v>
      </c>
      <c r="V53">
        <f t="shared" si="19"/>
        <v>0</v>
      </c>
      <c r="W53">
        <f t="shared" si="20"/>
        <v>0</v>
      </c>
      <c r="X53">
        <f t="shared" si="21"/>
        <v>0</v>
      </c>
      <c r="Y53">
        <f t="shared" si="22"/>
        <v>0</v>
      </c>
      <c r="Z53">
        <f t="shared" si="23"/>
        <v>0</v>
      </c>
      <c r="AA53">
        <f t="shared" si="24"/>
        <v>0</v>
      </c>
      <c r="AB53">
        <f t="shared" si="25"/>
        <v>0</v>
      </c>
      <c r="AC53">
        <f t="shared" si="26"/>
        <v>0</v>
      </c>
      <c r="AD53">
        <f t="shared" si="27"/>
        <v>0</v>
      </c>
      <c r="AE53">
        <f t="shared" si="28"/>
        <v>0</v>
      </c>
      <c r="AF53">
        <f t="shared" si="29"/>
        <v>0</v>
      </c>
      <c r="AG53">
        <f t="shared" si="30"/>
        <v>0</v>
      </c>
      <c r="AH53">
        <f t="shared" si="31"/>
        <v>0</v>
      </c>
      <c r="AI53">
        <f t="shared" si="32"/>
        <v>0</v>
      </c>
      <c r="AJ53">
        <f t="shared" si="33"/>
        <v>0</v>
      </c>
      <c r="AK53">
        <f t="shared" si="34"/>
        <v>0</v>
      </c>
      <c r="AL53">
        <f t="shared" si="35"/>
        <v>0</v>
      </c>
      <c r="AM53">
        <f t="shared" si="36"/>
        <v>0</v>
      </c>
      <c r="AN53">
        <f t="shared" si="37"/>
        <v>0</v>
      </c>
      <c r="AO53">
        <f t="shared" si="38"/>
        <v>0</v>
      </c>
      <c r="AP53">
        <f t="shared" si="39"/>
        <v>0</v>
      </c>
      <c r="AQ53">
        <f t="shared" si="40"/>
        <v>0</v>
      </c>
      <c r="AR53">
        <f t="shared" si="41"/>
        <v>0</v>
      </c>
      <c r="AS53">
        <f t="shared" si="42"/>
        <v>0</v>
      </c>
      <c r="AT53">
        <f t="shared" si="43"/>
        <v>0</v>
      </c>
      <c r="AU53">
        <f t="shared" si="44"/>
        <v>0</v>
      </c>
      <c r="AV53">
        <f t="shared" si="45"/>
        <v>0</v>
      </c>
      <c r="AW53">
        <f t="shared" si="0"/>
        <v>0</v>
      </c>
      <c r="AX53">
        <f t="shared" si="46"/>
        <v>0</v>
      </c>
      <c r="AY53">
        <f t="shared" si="47"/>
        <v>0</v>
      </c>
    </row>
    <row r="54" spans="1:51" x14ac:dyDescent="0.35">
      <c r="A54">
        <v>48</v>
      </c>
      <c r="C54">
        <f>MAX(0,Calc!$C$7-SUM(D54:R54))</f>
        <v>750</v>
      </c>
      <c r="D54">
        <f t="shared" si="1"/>
        <v>0</v>
      </c>
      <c r="E54">
        <f t="shared" si="2"/>
        <v>0</v>
      </c>
      <c r="F54">
        <f t="shared" si="3"/>
        <v>0</v>
      </c>
      <c r="G54">
        <f t="shared" si="4"/>
        <v>0</v>
      </c>
      <c r="H54">
        <f t="shared" si="5"/>
        <v>0</v>
      </c>
      <c r="I54">
        <f t="shared" si="6"/>
        <v>0</v>
      </c>
      <c r="J54">
        <f t="shared" si="7"/>
        <v>0</v>
      </c>
      <c r="K54">
        <f t="shared" si="8"/>
        <v>0</v>
      </c>
      <c r="L54">
        <f t="shared" si="9"/>
        <v>0</v>
      </c>
      <c r="M54">
        <f t="shared" si="10"/>
        <v>0</v>
      </c>
      <c r="N54">
        <f t="shared" si="11"/>
        <v>0</v>
      </c>
      <c r="O54">
        <f t="shared" si="12"/>
        <v>0</v>
      </c>
      <c r="P54">
        <f t="shared" si="13"/>
        <v>0</v>
      </c>
      <c r="Q54">
        <f t="shared" si="14"/>
        <v>0</v>
      </c>
      <c r="R54">
        <f t="shared" si="15"/>
        <v>0</v>
      </c>
      <c r="S54">
        <f t="shared" si="16"/>
        <v>0</v>
      </c>
      <c r="T54">
        <f t="shared" si="17"/>
        <v>0</v>
      </c>
      <c r="U54">
        <f t="shared" si="18"/>
        <v>0</v>
      </c>
      <c r="V54">
        <f t="shared" si="19"/>
        <v>0</v>
      </c>
      <c r="W54">
        <f t="shared" si="20"/>
        <v>0</v>
      </c>
      <c r="X54">
        <f t="shared" si="21"/>
        <v>0</v>
      </c>
      <c r="Y54">
        <f t="shared" si="22"/>
        <v>0</v>
      </c>
      <c r="Z54">
        <f t="shared" si="23"/>
        <v>0</v>
      </c>
      <c r="AA54">
        <f t="shared" si="24"/>
        <v>0</v>
      </c>
      <c r="AB54">
        <f t="shared" si="25"/>
        <v>0</v>
      </c>
      <c r="AC54">
        <f t="shared" si="26"/>
        <v>0</v>
      </c>
      <c r="AD54">
        <f t="shared" si="27"/>
        <v>0</v>
      </c>
      <c r="AE54">
        <f t="shared" si="28"/>
        <v>0</v>
      </c>
      <c r="AF54">
        <f t="shared" si="29"/>
        <v>0</v>
      </c>
      <c r="AG54">
        <f t="shared" si="30"/>
        <v>0</v>
      </c>
      <c r="AH54">
        <f t="shared" si="31"/>
        <v>0</v>
      </c>
      <c r="AI54">
        <f t="shared" si="32"/>
        <v>0</v>
      </c>
      <c r="AJ54">
        <f t="shared" si="33"/>
        <v>0</v>
      </c>
      <c r="AK54">
        <f t="shared" si="34"/>
        <v>0</v>
      </c>
      <c r="AL54">
        <f t="shared" si="35"/>
        <v>0</v>
      </c>
      <c r="AM54">
        <f t="shared" si="36"/>
        <v>0</v>
      </c>
      <c r="AN54">
        <f t="shared" si="37"/>
        <v>0</v>
      </c>
      <c r="AO54">
        <f t="shared" si="38"/>
        <v>0</v>
      </c>
      <c r="AP54">
        <f t="shared" si="39"/>
        <v>0</v>
      </c>
      <c r="AQ54">
        <f t="shared" si="40"/>
        <v>0</v>
      </c>
      <c r="AR54">
        <f t="shared" si="41"/>
        <v>0</v>
      </c>
      <c r="AS54">
        <f t="shared" si="42"/>
        <v>0</v>
      </c>
      <c r="AT54">
        <f t="shared" si="43"/>
        <v>0</v>
      </c>
      <c r="AU54">
        <f t="shared" si="44"/>
        <v>0</v>
      </c>
      <c r="AV54">
        <f t="shared" si="45"/>
        <v>0</v>
      </c>
      <c r="AW54">
        <f t="shared" si="0"/>
        <v>0</v>
      </c>
      <c r="AX54">
        <f t="shared" si="46"/>
        <v>0</v>
      </c>
      <c r="AY54">
        <f t="shared" si="47"/>
        <v>0</v>
      </c>
    </row>
    <row r="55" spans="1:51" x14ac:dyDescent="0.35">
      <c r="A55">
        <v>49</v>
      </c>
      <c r="C55">
        <f>MAX(0,Calc!$C$7-SUM(D55:R55))</f>
        <v>750</v>
      </c>
      <c r="D55">
        <f t="shared" si="1"/>
        <v>0</v>
      </c>
      <c r="E55">
        <f t="shared" si="2"/>
        <v>0</v>
      </c>
      <c r="F55">
        <f t="shared" si="3"/>
        <v>0</v>
      </c>
      <c r="G55">
        <f t="shared" si="4"/>
        <v>0</v>
      </c>
      <c r="H55">
        <f t="shared" si="5"/>
        <v>0</v>
      </c>
      <c r="I55">
        <f t="shared" si="6"/>
        <v>0</v>
      </c>
      <c r="J55">
        <f t="shared" si="7"/>
        <v>0</v>
      </c>
      <c r="K55">
        <f t="shared" si="8"/>
        <v>0</v>
      </c>
      <c r="L55">
        <f t="shared" si="9"/>
        <v>0</v>
      </c>
      <c r="M55">
        <f t="shared" si="10"/>
        <v>0</v>
      </c>
      <c r="N55">
        <f t="shared" si="11"/>
        <v>0</v>
      </c>
      <c r="O55">
        <f t="shared" si="12"/>
        <v>0</v>
      </c>
      <c r="P55">
        <f t="shared" si="13"/>
        <v>0</v>
      </c>
      <c r="Q55">
        <f t="shared" si="14"/>
        <v>0</v>
      </c>
      <c r="R55">
        <f t="shared" si="15"/>
        <v>0</v>
      </c>
      <c r="S55">
        <f t="shared" si="16"/>
        <v>0</v>
      </c>
      <c r="T55">
        <f t="shared" si="17"/>
        <v>0</v>
      </c>
      <c r="U55">
        <f t="shared" si="18"/>
        <v>0</v>
      </c>
      <c r="V55">
        <f t="shared" si="19"/>
        <v>0</v>
      </c>
      <c r="W55">
        <f t="shared" si="20"/>
        <v>0</v>
      </c>
      <c r="X55">
        <f t="shared" si="21"/>
        <v>0</v>
      </c>
      <c r="Y55">
        <f t="shared" si="22"/>
        <v>0</v>
      </c>
      <c r="Z55">
        <f t="shared" si="23"/>
        <v>0</v>
      </c>
      <c r="AA55">
        <f t="shared" si="24"/>
        <v>0</v>
      </c>
      <c r="AB55">
        <f t="shared" si="25"/>
        <v>0</v>
      </c>
      <c r="AC55">
        <f t="shared" si="26"/>
        <v>0</v>
      </c>
      <c r="AD55">
        <f t="shared" si="27"/>
        <v>0</v>
      </c>
      <c r="AE55">
        <f t="shared" si="28"/>
        <v>0</v>
      </c>
      <c r="AF55">
        <f t="shared" si="29"/>
        <v>0</v>
      </c>
      <c r="AG55">
        <f t="shared" si="30"/>
        <v>0</v>
      </c>
      <c r="AH55">
        <f t="shared" si="31"/>
        <v>0</v>
      </c>
      <c r="AI55">
        <f t="shared" si="32"/>
        <v>0</v>
      </c>
      <c r="AJ55">
        <f t="shared" si="33"/>
        <v>0</v>
      </c>
      <c r="AK55">
        <f t="shared" si="34"/>
        <v>0</v>
      </c>
      <c r="AL55">
        <f t="shared" si="35"/>
        <v>0</v>
      </c>
      <c r="AM55">
        <f t="shared" si="36"/>
        <v>0</v>
      </c>
      <c r="AN55">
        <f t="shared" si="37"/>
        <v>0</v>
      </c>
      <c r="AO55">
        <f t="shared" si="38"/>
        <v>0</v>
      </c>
      <c r="AP55">
        <f t="shared" si="39"/>
        <v>0</v>
      </c>
      <c r="AQ55">
        <f t="shared" si="40"/>
        <v>0</v>
      </c>
      <c r="AR55">
        <f t="shared" si="41"/>
        <v>0</v>
      </c>
      <c r="AS55">
        <f t="shared" si="42"/>
        <v>0</v>
      </c>
      <c r="AT55">
        <f t="shared" si="43"/>
        <v>0</v>
      </c>
      <c r="AU55">
        <f t="shared" si="44"/>
        <v>0</v>
      </c>
      <c r="AV55">
        <f t="shared" si="45"/>
        <v>0</v>
      </c>
      <c r="AW55">
        <f t="shared" si="0"/>
        <v>0</v>
      </c>
      <c r="AX55">
        <f t="shared" si="46"/>
        <v>0</v>
      </c>
      <c r="AY55">
        <f t="shared" si="47"/>
        <v>0</v>
      </c>
    </row>
    <row r="56" spans="1:51" x14ac:dyDescent="0.35">
      <c r="A56">
        <v>50</v>
      </c>
      <c r="C56">
        <f>MAX(0,Calc!$C$7-SUM(D56:R56))</f>
        <v>750</v>
      </c>
      <c r="D56">
        <f t="shared" si="1"/>
        <v>0</v>
      </c>
      <c r="E56">
        <f t="shared" si="2"/>
        <v>0</v>
      </c>
      <c r="F56">
        <f t="shared" si="3"/>
        <v>0</v>
      </c>
      <c r="G56">
        <f t="shared" si="4"/>
        <v>0</v>
      </c>
      <c r="H56">
        <f t="shared" si="5"/>
        <v>0</v>
      </c>
      <c r="I56">
        <f t="shared" si="6"/>
        <v>0</v>
      </c>
      <c r="J56">
        <f t="shared" si="7"/>
        <v>0</v>
      </c>
      <c r="K56">
        <f t="shared" si="8"/>
        <v>0</v>
      </c>
      <c r="L56">
        <f t="shared" si="9"/>
        <v>0</v>
      </c>
      <c r="M56">
        <f t="shared" si="10"/>
        <v>0</v>
      </c>
      <c r="N56">
        <f t="shared" si="11"/>
        <v>0</v>
      </c>
      <c r="O56">
        <f t="shared" si="12"/>
        <v>0</v>
      </c>
      <c r="P56">
        <f t="shared" si="13"/>
        <v>0</v>
      </c>
      <c r="Q56">
        <f t="shared" si="14"/>
        <v>0</v>
      </c>
      <c r="R56">
        <f t="shared" si="15"/>
        <v>0</v>
      </c>
      <c r="S56">
        <f t="shared" si="16"/>
        <v>0</v>
      </c>
      <c r="T56">
        <f t="shared" si="17"/>
        <v>0</v>
      </c>
      <c r="U56">
        <f t="shared" si="18"/>
        <v>0</v>
      </c>
      <c r="V56">
        <f t="shared" si="19"/>
        <v>0</v>
      </c>
      <c r="W56">
        <f t="shared" si="20"/>
        <v>0</v>
      </c>
      <c r="X56">
        <f t="shared" si="21"/>
        <v>0</v>
      </c>
      <c r="Y56">
        <f t="shared" si="22"/>
        <v>0</v>
      </c>
      <c r="Z56">
        <f t="shared" si="23"/>
        <v>0</v>
      </c>
      <c r="AA56">
        <f t="shared" si="24"/>
        <v>0</v>
      </c>
      <c r="AB56">
        <f t="shared" si="25"/>
        <v>0</v>
      </c>
      <c r="AC56">
        <f t="shared" si="26"/>
        <v>0</v>
      </c>
      <c r="AD56">
        <f t="shared" si="27"/>
        <v>0</v>
      </c>
      <c r="AE56">
        <f t="shared" si="28"/>
        <v>0</v>
      </c>
      <c r="AF56">
        <f t="shared" si="29"/>
        <v>0</v>
      </c>
      <c r="AG56">
        <f t="shared" si="30"/>
        <v>0</v>
      </c>
      <c r="AH56">
        <f t="shared" si="31"/>
        <v>0</v>
      </c>
      <c r="AI56">
        <f t="shared" si="32"/>
        <v>0</v>
      </c>
      <c r="AJ56">
        <f t="shared" si="33"/>
        <v>0</v>
      </c>
      <c r="AK56">
        <f t="shared" si="34"/>
        <v>0</v>
      </c>
      <c r="AL56">
        <f t="shared" si="35"/>
        <v>0</v>
      </c>
      <c r="AM56">
        <f t="shared" si="36"/>
        <v>0</v>
      </c>
      <c r="AN56">
        <f t="shared" si="37"/>
        <v>0</v>
      </c>
      <c r="AO56">
        <f t="shared" si="38"/>
        <v>0</v>
      </c>
      <c r="AP56">
        <f t="shared" si="39"/>
        <v>0</v>
      </c>
      <c r="AQ56">
        <f t="shared" si="40"/>
        <v>0</v>
      </c>
      <c r="AR56">
        <f t="shared" si="41"/>
        <v>0</v>
      </c>
      <c r="AS56">
        <f t="shared" si="42"/>
        <v>0</v>
      </c>
      <c r="AT56">
        <f t="shared" si="43"/>
        <v>0</v>
      </c>
      <c r="AU56">
        <f t="shared" si="44"/>
        <v>0</v>
      </c>
      <c r="AV56">
        <f t="shared" si="45"/>
        <v>0</v>
      </c>
      <c r="AW56">
        <f t="shared" si="0"/>
        <v>0</v>
      </c>
      <c r="AX56">
        <f t="shared" si="46"/>
        <v>0</v>
      </c>
      <c r="AY56">
        <f t="shared" si="47"/>
        <v>0</v>
      </c>
    </row>
    <row r="57" spans="1:51" x14ac:dyDescent="0.35">
      <c r="A57">
        <v>51</v>
      </c>
      <c r="C57">
        <f>MAX(0,Calc!$C$7-SUM(D57:R57))</f>
        <v>750</v>
      </c>
      <c r="D57">
        <f t="shared" si="1"/>
        <v>0</v>
      </c>
      <c r="E57">
        <f t="shared" si="2"/>
        <v>0</v>
      </c>
      <c r="F57">
        <f t="shared" si="3"/>
        <v>0</v>
      </c>
      <c r="G57">
        <f t="shared" si="4"/>
        <v>0</v>
      </c>
      <c r="H57">
        <f t="shared" si="5"/>
        <v>0</v>
      </c>
      <c r="I57">
        <f t="shared" si="6"/>
        <v>0</v>
      </c>
      <c r="J57">
        <f t="shared" si="7"/>
        <v>0</v>
      </c>
      <c r="K57">
        <f t="shared" si="8"/>
        <v>0</v>
      </c>
      <c r="L57">
        <f t="shared" si="9"/>
        <v>0</v>
      </c>
      <c r="M57">
        <f t="shared" si="10"/>
        <v>0</v>
      </c>
      <c r="N57">
        <f t="shared" si="11"/>
        <v>0</v>
      </c>
      <c r="O57">
        <f t="shared" si="12"/>
        <v>0</v>
      </c>
      <c r="P57">
        <f t="shared" si="13"/>
        <v>0</v>
      </c>
      <c r="Q57">
        <f t="shared" si="14"/>
        <v>0</v>
      </c>
      <c r="R57">
        <f t="shared" si="15"/>
        <v>0</v>
      </c>
      <c r="S57">
        <f t="shared" si="16"/>
        <v>0</v>
      </c>
      <c r="T57">
        <f t="shared" si="17"/>
        <v>0</v>
      </c>
      <c r="U57">
        <f t="shared" si="18"/>
        <v>0</v>
      </c>
      <c r="V57">
        <f t="shared" si="19"/>
        <v>0</v>
      </c>
      <c r="W57">
        <f t="shared" si="20"/>
        <v>0</v>
      </c>
      <c r="X57">
        <f t="shared" si="21"/>
        <v>0</v>
      </c>
      <c r="Y57">
        <f t="shared" si="22"/>
        <v>0</v>
      </c>
      <c r="Z57">
        <f t="shared" si="23"/>
        <v>0</v>
      </c>
      <c r="AA57">
        <f t="shared" si="24"/>
        <v>0</v>
      </c>
      <c r="AB57">
        <f t="shared" si="25"/>
        <v>0</v>
      </c>
      <c r="AC57">
        <f t="shared" si="26"/>
        <v>0</v>
      </c>
      <c r="AD57">
        <f t="shared" si="27"/>
        <v>0</v>
      </c>
      <c r="AE57">
        <f t="shared" si="28"/>
        <v>0</v>
      </c>
      <c r="AF57">
        <f t="shared" si="29"/>
        <v>0</v>
      </c>
      <c r="AG57">
        <f t="shared" si="30"/>
        <v>0</v>
      </c>
      <c r="AH57">
        <f t="shared" si="31"/>
        <v>0</v>
      </c>
      <c r="AI57">
        <f t="shared" si="32"/>
        <v>0</v>
      </c>
      <c r="AJ57">
        <f t="shared" si="33"/>
        <v>0</v>
      </c>
      <c r="AK57">
        <f t="shared" si="34"/>
        <v>0</v>
      </c>
      <c r="AL57">
        <f t="shared" si="35"/>
        <v>0</v>
      </c>
      <c r="AM57">
        <f t="shared" si="36"/>
        <v>0</v>
      </c>
      <c r="AN57">
        <f t="shared" si="37"/>
        <v>0</v>
      </c>
      <c r="AO57">
        <f t="shared" si="38"/>
        <v>0</v>
      </c>
      <c r="AP57">
        <f t="shared" si="39"/>
        <v>0</v>
      </c>
      <c r="AQ57">
        <f t="shared" si="40"/>
        <v>0</v>
      </c>
      <c r="AR57">
        <f t="shared" si="41"/>
        <v>0</v>
      </c>
      <c r="AS57">
        <f t="shared" si="42"/>
        <v>0</v>
      </c>
      <c r="AT57">
        <f t="shared" si="43"/>
        <v>0</v>
      </c>
      <c r="AU57">
        <f t="shared" si="44"/>
        <v>0</v>
      </c>
      <c r="AV57">
        <f t="shared" si="45"/>
        <v>0</v>
      </c>
      <c r="AW57">
        <f t="shared" si="0"/>
        <v>0</v>
      </c>
      <c r="AX57">
        <f t="shared" si="46"/>
        <v>0</v>
      </c>
      <c r="AY57">
        <f t="shared" si="47"/>
        <v>0</v>
      </c>
    </row>
    <row r="58" spans="1:51" x14ac:dyDescent="0.35">
      <c r="A58">
        <v>52</v>
      </c>
      <c r="C58">
        <f>MAX(0,Calc!$C$7-SUM(D58:R58))</f>
        <v>750</v>
      </c>
      <c r="D58">
        <f t="shared" si="1"/>
        <v>0</v>
      </c>
      <c r="E58">
        <f t="shared" si="2"/>
        <v>0</v>
      </c>
      <c r="F58">
        <f t="shared" si="3"/>
        <v>0</v>
      </c>
      <c r="G58">
        <f t="shared" si="4"/>
        <v>0</v>
      </c>
      <c r="H58">
        <f t="shared" si="5"/>
        <v>0</v>
      </c>
      <c r="I58">
        <f t="shared" si="6"/>
        <v>0</v>
      </c>
      <c r="J58">
        <f t="shared" si="7"/>
        <v>0</v>
      </c>
      <c r="K58">
        <f t="shared" si="8"/>
        <v>0</v>
      </c>
      <c r="L58">
        <f t="shared" si="9"/>
        <v>0</v>
      </c>
      <c r="M58">
        <f t="shared" si="10"/>
        <v>0</v>
      </c>
      <c r="N58">
        <f t="shared" si="11"/>
        <v>0</v>
      </c>
      <c r="O58">
        <f t="shared" si="12"/>
        <v>0</v>
      </c>
      <c r="P58">
        <f t="shared" si="13"/>
        <v>0</v>
      </c>
      <c r="Q58">
        <f t="shared" si="14"/>
        <v>0</v>
      </c>
      <c r="R58">
        <f t="shared" si="15"/>
        <v>0</v>
      </c>
      <c r="S58">
        <f t="shared" si="16"/>
        <v>0</v>
      </c>
      <c r="T58">
        <f t="shared" si="17"/>
        <v>0</v>
      </c>
      <c r="U58">
        <f t="shared" si="18"/>
        <v>0</v>
      </c>
      <c r="V58">
        <f t="shared" si="19"/>
        <v>0</v>
      </c>
      <c r="W58">
        <f t="shared" si="20"/>
        <v>0</v>
      </c>
      <c r="X58">
        <f t="shared" si="21"/>
        <v>0</v>
      </c>
      <c r="Y58">
        <f t="shared" si="22"/>
        <v>0</v>
      </c>
      <c r="Z58">
        <f t="shared" si="23"/>
        <v>0</v>
      </c>
      <c r="AA58">
        <f t="shared" si="24"/>
        <v>0</v>
      </c>
      <c r="AB58">
        <f t="shared" si="25"/>
        <v>0</v>
      </c>
      <c r="AC58">
        <f t="shared" si="26"/>
        <v>0</v>
      </c>
      <c r="AD58">
        <f t="shared" si="27"/>
        <v>0</v>
      </c>
      <c r="AE58">
        <f t="shared" si="28"/>
        <v>0</v>
      </c>
      <c r="AF58">
        <f t="shared" si="29"/>
        <v>0</v>
      </c>
      <c r="AG58">
        <f t="shared" si="30"/>
        <v>0</v>
      </c>
      <c r="AH58">
        <f t="shared" si="31"/>
        <v>0</v>
      </c>
      <c r="AI58">
        <f t="shared" si="32"/>
        <v>0</v>
      </c>
      <c r="AJ58">
        <f t="shared" si="33"/>
        <v>0</v>
      </c>
      <c r="AK58">
        <f t="shared" si="34"/>
        <v>0</v>
      </c>
      <c r="AL58">
        <f t="shared" si="35"/>
        <v>0</v>
      </c>
      <c r="AM58">
        <f t="shared" si="36"/>
        <v>0</v>
      </c>
      <c r="AN58">
        <f t="shared" si="37"/>
        <v>0</v>
      </c>
      <c r="AO58">
        <f t="shared" si="38"/>
        <v>0</v>
      </c>
      <c r="AP58">
        <f t="shared" si="39"/>
        <v>0</v>
      </c>
      <c r="AQ58">
        <f t="shared" si="40"/>
        <v>0</v>
      </c>
      <c r="AR58">
        <f t="shared" si="41"/>
        <v>0</v>
      </c>
      <c r="AS58">
        <f t="shared" si="42"/>
        <v>0</v>
      </c>
      <c r="AT58">
        <f t="shared" si="43"/>
        <v>0</v>
      </c>
      <c r="AU58">
        <f t="shared" si="44"/>
        <v>0</v>
      </c>
      <c r="AV58">
        <f t="shared" si="45"/>
        <v>0</v>
      </c>
      <c r="AW58">
        <f t="shared" si="0"/>
        <v>0</v>
      </c>
      <c r="AX58">
        <f t="shared" si="46"/>
        <v>0</v>
      </c>
      <c r="AY58">
        <f t="shared" si="47"/>
        <v>0</v>
      </c>
    </row>
    <row r="59" spans="1:51" x14ac:dyDescent="0.35">
      <c r="A59">
        <v>53</v>
      </c>
      <c r="C59">
        <f>MAX(0,Calc!$C$7-SUM(D59:R59))</f>
        <v>750</v>
      </c>
      <c r="D59">
        <f t="shared" si="1"/>
        <v>0</v>
      </c>
      <c r="E59">
        <f t="shared" si="2"/>
        <v>0</v>
      </c>
      <c r="F59">
        <f t="shared" si="3"/>
        <v>0</v>
      </c>
      <c r="G59">
        <f t="shared" si="4"/>
        <v>0</v>
      </c>
      <c r="H59">
        <f t="shared" si="5"/>
        <v>0</v>
      </c>
      <c r="I59">
        <f t="shared" si="6"/>
        <v>0</v>
      </c>
      <c r="J59">
        <f t="shared" si="7"/>
        <v>0</v>
      </c>
      <c r="K59">
        <f t="shared" si="8"/>
        <v>0</v>
      </c>
      <c r="L59">
        <f t="shared" si="9"/>
        <v>0</v>
      </c>
      <c r="M59">
        <f t="shared" si="10"/>
        <v>0</v>
      </c>
      <c r="N59">
        <f t="shared" si="11"/>
        <v>0</v>
      </c>
      <c r="O59">
        <f t="shared" si="12"/>
        <v>0</v>
      </c>
      <c r="P59">
        <f t="shared" si="13"/>
        <v>0</v>
      </c>
      <c r="Q59">
        <f t="shared" si="14"/>
        <v>0</v>
      </c>
      <c r="R59">
        <f t="shared" si="15"/>
        <v>0</v>
      </c>
      <c r="S59">
        <f t="shared" si="16"/>
        <v>0</v>
      </c>
      <c r="T59">
        <f t="shared" si="17"/>
        <v>0</v>
      </c>
      <c r="U59">
        <f t="shared" si="18"/>
        <v>0</v>
      </c>
      <c r="V59">
        <f t="shared" si="19"/>
        <v>0</v>
      </c>
      <c r="W59">
        <f t="shared" si="20"/>
        <v>0</v>
      </c>
      <c r="X59">
        <f t="shared" si="21"/>
        <v>0</v>
      </c>
      <c r="Y59">
        <f t="shared" si="22"/>
        <v>0</v>
      </c>
      <c r="Z59">
        <f t="shared" si="23"/>
        <v>0</v>
      </c>
      <c r="AA59">
        <f t="shared" si="24"/>
        <v>0</v>
      </c>
      <c r="AB59">
        <f t="shared" si="25"/>
        <v>0</v>
      </c>
      <c r="AC59">
        <f t="shared" si="26"/>
        <v>0</v>
      </c>
      <c r="AD59">
        <f t="shared" si="27"/>
        <v>0</v>
      </c>
      <c r="AE59">
        <f t="shared" si="28"/>
        <v>0</v>
      </c>
      <c r="AF59">
        <f t="shared" si="29"/>
        <v>0</v>
      </c>
      <c r="AG59">
        <f t="shared" si="30"/>
        <v>0</v>
      </c>
      <c r="AH59">
        <f t="shared" si="31"/>
        <v>0</v>
      </c>
      <c r="AI59">
        <f t="shared" si="32"/>
        <v>0</v>
      </c>
      <c r="AJ59">
        <f t="shared" si="33"/>
        <v>0</v>
      </c>
      <c r="AK59">
        <f t="shared" si="34"/>
        <v>0</v>
      </c>
      <c r="AL59">
        <f t="shared" si="35"/>
        <v>0</v>
      </c>
      <c r="AM59">
        <f t="shared" si="36"/>
        <v>0</v>
      </c>
      <c r="AN59">
        <f t="shared" si="37"/>
        <v>0</v>
      </c>
      <c r="AO59">
        <f t="shared" si="38"/>
        <v>0</v>
      </c>
      <c r="AP59">
        <f t="shared" si="39"/>
        <v>0</v>
      </c>
      <c r="AQ59">
        <f t="shared" si="40"/>
        <v>0</v>
      </c>
      <c r="AR59">
        <f t="shared" si="41"/>
        <v>0</v>
      </c>
      <c r="AS59">
        <f t="shared" si="42"/>
        <v>0</v>
      </c>
      <c r="AT59">
        <f t="shared" si="43"/>
        <v>0</v>
      </c>
      <c r="AU59">
        <f t="shared" si="44"/>
        <v>0</v>
      </c>
      <c r="AV59">
        <f t="shared" si="45"/>
        <v>0</v>
      </c>
      <c r="AW59">
        <f t="shared" si="0"/>
        <v>0</v>
      </c>
      <c r="AX59">
        <f t="shared" si="46"/>
        <v>0</v>
      </c>
      <c r="AY59">
        <f t="shared" si="47"/>
        <v>0</v>
      </c>
    </row>
    <row r="60" spans="1:51" x14ac:dyDescent="0.35">
      <c r="A60">
        <v>54</v>
      </c>
      <c r="C60">
        <f>MAX(0,Calc!$C$7-SUM(D60:R60))</f>
        <v>750</v>
      </c>
      <c r="D60">
        <f t="shared" si="1"/>
        <v>0</v>
      </c>
      <c r="E60">
        <f t="shared" si="2"/>
        <v>0</v>
      </c>
      <c r="F60">
        <f t="shared" si="3"/>
        <v>0</v>
      </c>
      <c r="G60">
        <f t="shared" si="4"/>
        <v>0</v>
      </c>
      <c r="H60">
        <f t="shared" si="5"/>
        <v>0</v>
      </c>
      <c r="I60">
        <f t="shared" si="6"/>
        <v>0</v>
      </c>
      <c r="J60">
        <f t="shared" si="7"/>
        <v>0</v>
      </c>
      <c r="K60">
        <f t="shared" si="8"/>
        <v>0</v>
      </c>
      <c r="L60">
        <f t="shared" si="9"/>
        <v>0</v>
      </c>
      <c r="M60">
        <f t="shared" si="10"/>
        <v>0</v>
      </c>
      <c r="N60">
        <f t="shared" si="11"/>
        <v>0</v>
      </c>
      <c r="O60">
        <f t="shared" si="12"/>
        <v>0</v>
      </c>
      <c r="P60">
        <f t="shared" si="13"/>
        <v>0</v>
      </c>
      <c r="Q60">
        <f t="shared" si="14"/>
        <v>0</v>
      </c>
      <c r="R60">
        <f t="shared" si="15"/>
        <v>0</v>
      </c>
      <c r="S60">
        <f t="shared" si="16"/>
        <v>0</v>
      </c>
      <c r="T60">
        <f t="shared" si="17"/>
        <v>0</v>
      </c>
      <c r="U60">
        <f t="shared" si="18"/>
        <v>0</v>
      </c>
      <c r="V60">
        <f t="shared" si="19"/>
        <v>0</v>
      </c>
      <c r="W60">
        <f t="shared" si="20"/>
        <v>0</v>
      </c>
      <c r="X60">
        <f t="shared" si="21"/>
        <v>0</v>
      </c>
      <c r="Y60">
        <f t="shared" si="22"/>
        <v>0</v>
      </c>
      <c r="Z60">
        <f t="shared" si="23"/>
        <v>0</v>
      </c>
      <c r="AA60">
        <f t="shared" si="24"/>
        <v>0</v>
      </c>
      <c r="AB60">
        <f t="shared" si="25"/>
        <v>0</v>
      </c>
      <c r="AC60">
        <f t="shared" si="26"/>
        <v>0</v>
      </c>
      <c r="AD60">
        <f t="shared" si="27"/>
        <v>0</v>
      </c>
      <c r="AE60">
        <f t="shared" si="28"/>
        <v>0</v>
      </c>
      <c r="AF60">
        <f t="shared" si="29"/>
        <v>0</v>
      </c>
      <c r="AG60">
        <f t="shared" si="30"/>
        <v>0</v>
      </c>
      <c r="AH60">
        <f t="shared" si="31"/>
        <v>0</v>
      </c>
      <c r="AI60">
        <f t="shared" si="32"/>
        <v>0</v>
      </c>
      <c r="AJ60">
        <f t="shared" si="33"/>
        <v>0</v>
      </c>
      <c r="AK60">
        <f t="shared" si="34"/>
        <v>0</v>
      </c>
      <c r="AL60">
        <f t="shared" si="35"/>
        <v>0</v>
      </c>
      <c r="AM60">
        <f t="shared" si="36"/>
        <v>0</v>
      </c>
      <c r="AN60">
        <f t="shared" si="37"/>
        <v>0</v>
      </c>
      <c r="AO60">
        <f t="shared" si="38"/>
        <v>0</v>
      </c>
      <c r="AP60">
        <f t="shared" si="39"/>
        <v>0</v>
      </c>
      <c r="AQ60">
        <f t="shared" si="40"/>
        <v>0</v>
      </c>
      <c r="AR60">
        <f t="shared" si="41"/>
        <v>0</v>
      </c>
      <c r="AS60">
        <f t="shared" si="42"/>
        <v>0</v>
      </c>
      <c r="AT60">
        <f t="shared" si="43"/>
        <v>0</v>
      </c>
      <c r="AU60">
        <f t="shared" si="44"/>
        <v>0</v>
      </c>
      <c r="AV60">
        <f t="shared" si="45"/>
        <v>0</v>
      </c>
      <c r="AW60">
        <f t="shared" si="0"/>
        <v>0</v>
      </c>
      <c r="AX60">
        <f t="shared" si="46"/>
        <v>0</v>
      </c>
      <c r="AY60">
        <f t="shared" si="47"/>
        <v>0</v>
      </c>
    </row>
    <row r="61" spans="1:51" x14ac:dyDescent="0.35">
      <c r="A61">
        <v>55</v>
      </c>
      <c r="C61">
        <f>MAX(0,Calc!$C$7-SUM(D61:R61))</f>
        <v>750</v>
      </c>
      <c r="D61">
        <f t="shared" si="1"/>
        <v>0</v>
      </c>
      <c r="E61">
        <f t="shared" si="2"/>
        <v>0</v>
      </c>
      <c r="F61">
        <f t="shared" si="3"/>
        <v>0</v>
      </c>
      <c r="G61">
        <f t="shared" si="4"/>
        <v>0</v>
      </c>
      <c r="H61">
        <f t="shared" si="5"/>
        <v>0</v>
      </c>
      <c r="I61">
        <f t="shared" si="6"/>
        <v>0</v>
      </c>
      <c r="J61">
        <f t="shared" si="7"/>
        <v>0</v>
      </c>
      <c r="K61">
        <f t="shared" si="8"/>
        <v>0</v>
      </c>
      <c r="L61">
        <f t="shared" si="9"/>
        <v>0</v>
      </c>
      <c r="M61">
        <f t="shared" si="10"/>
        <v>0</v>
      </c>
      <c r="N61">
        <f t="shared" si="11"/>
        <v>0</v>
      </c>
      <c r="O61">
        <f t="shared" si="12"/>
        <v>0</v>
      </c>
      <c r="P61">
        <f t="shared" si="13"/>
        <v>0</v>
      </c>
      <c r="Q61">
        <f t="shared" si="14"/>
        <v>0</v>
      </c>
      <c r="R61">
        <f t="shared" si="15"/>
        <v>0</v>
      </c>
      <c r="S61">
        <f t="shared" si="16"/>
        <v>0</v>
      </c>
      <c r="T61">
        <f t="shared" si="17"/>
        <v>0</v>
      </c>
      <c r="U61">
        <f t="shared" si="18"/>
        <v>0</v>
      </c>
      <c r="V61">
        <f t="shared" si="19"/>
        <v>0</v>
      </c>
      <c r="W61">
        <f t="shared" si="20"/>
        <v>0</v>
      </c>
      <c r="X61">
        <f t="shared" si="21"/>
        <v>0</v>
      </c>
      <c r="Y61">
        <f t="shared" si="22"/>
        <v>0</v>
      </c>
      <c r="Z61">
        <f t="shared" si="23"/>
        <v>0</v>
      </c>
      <c r="AA61">
        <f t="shared" si="24"/>
        <v>0</v>
      </c>
      <c r="AB61">
        <f t="shared" si="25"/>
        <v>0</v>
      </c>
      <c r="AC61">
        <f t="shared" si="26"/>
        <v>0</v>
      </c>
      <c r="AD61">
        <f t="shared" si="27"/>
        <v>0</v>
      </c>
      <c r="AE61">
        <f t="shared" si="28"/>
        <v>0</v>
      </c>
      <c r="AF61">
        <f t="shared" si="29"/>
        <v>0</v>
      </c>
      <c r="AG61">
        <f t="shared" si="30"/>
        <v>0</v>
      </c>
      <c r="AH61">
        <f t="shared" si="31"/>
        <v>0</v>
      </c>
      <c r="AI61">
        <f t="shared" si="32"/>
        <v>0</v>
      </c>
      <c r="AJ61">
        <f t="shared" si="33"/>
        <v>0</v>
      </c>
      <c r="AK61">
        <f t="shared" si="34"/>
        <v>0</v>
      </c>
      <c r="AL61">
        <f t="shared" si="35"/>
        <v>0</v>
      </c>
      <c r="AM61">
        <f t="shared" si="36"/>
        <v>0</v>
      </c>
      <c r="AN61">
        <f t="shared" si="37"/>
        <v>0</v>
      </c>
      <c r="AO61">
        <f t="shared" si="38"/>
        <v>0</v>
      </c>
      <c r="AP61">
        <f t="shared" si="39"/>
        <v>0</v>
      </c>
      <c r="AQ61">
        <f t="shared" si="40"/>
        <v>0</v>
      </c>
      <c r="AR61">
        <f t="shared" si="41"/>
        <v>0</v>
      </c>
      <c r="AS61">
        <f t="shared" si="42"/>
        <v>0</v>
      </c>
      <c r="AT61">
        <f t="shared" si="43"/>
        <v>0</v>
      </c>
      <c r="AU61">
        <f t="shared" si="44"/>
        <v>0</v>
      </c>
      <c r="AV61">
        <f t="shared" si="45"/>
        <v>0</v>
      </c>
      <c r="AW61">
        <f t="shared" si="0"/>
        <v>0</v>
      </c>
      <c r="AX61">
        <f t="shared" si="46"/>
        <v>0</v>
      </c>
      <c r="AY61">
        <f t="shared" si="47"/>
        <v>0</v>
      </c>
    </row>
    <row r="62" spans="1:51" x14ac:dyDescent="0.35">
      <c r="A62">
        <v>56</v>
      </c>
      <c r="C62">
        <f>MAX(0,Calc!$C$7-SUM(D62:R62))</f>
        <v>750</v>
      </c>
      <c r="D62">
        <f t="shared" si="1"/>
        <v>0</v>
      </c>
      <c r="E62">
        <f t="shared" si="2"/>
        <v>0</v>
      </c>
      <c r="F62">
        <f t="shared" si="3"/>
        <v>0</v>
      </c>
      <c r="G62">
        <f t="shared" si="4"/>
        <v>0</v>
      </c>
      <c r="H62">
        <f t="shared" si="5"/>
        <v>0</v>
      </c>
      <c r="I62">
        <f t="shared" si="6"/>
        <v>0</v>
      </c>
      <c r="J62">
        <f t="shared" si="7"/>
        <v>0</v>
      </c>
      <c r="K62">
        <f t="shared" si="8"/>
        <v>0</v>
      </c>
      <c r="L62">
        <f t="shared" si="9"/>
        <v>0</v>
      </c>
      <c r="M62">
        <f t="shared" si="10"/>
        <v>0</v>
      </c>
      <c r="N62">
        <f t="shared" si="11"/>
        <v>0</v>
      </c>
      <c r="O62">
        <f t="shared" si="12"/>
        <v>0</v>
      </c>
      <c r="P62">
        <f t="shared" si="13"/>
        <v>0</v>
      </c>
      <c r="Q62">
        <f t="shared" si="14"/>
        <v>0</v>
      </c>
      <c r="R62">
        <f t="shared" si="15"/>
        <v>0</v>
      </c>
      <c r="S62">
        <f t="shared" si="16"/>
        <v>0</v>
      </c>
      <c r="T62">
        <f t="shared" si="17"/>
        <v>0</v>
      </c>
      <c r="U62">
        <f t="shared" si="18"/>
        <v>0</v>
      </c>
      <c r="V62">
        <f t="shared" si="19"/>
        <v>0</v>
      </c>
      <c r="W62">
        <f t="shared" si="20"/>
        <v>0</v>
      </c>
      <c r="X62">
        <f t="shared" si="21"/>
        <v>0</v>
      </c>
      <c r="Y62">
        <f t="shared" si="22"/>
        <v>0</v>
      </c>
      <c r="Z62">
        <f t="shared" si="23"/>
        <v>0</v>
      </c>
      <c r="AA62">
        <f t="shared" si="24"/>
        <v>0</v>
      </c>
      <c r="AB62">
        <f t="shared" si="25"/>
        <v>0</v>
      </c>
      <c r="AC62">
        <f t="shared" si="26"/>
        <v>0</v>
      </c>
      <c r="AD62">
        <f t="shared" si="27"/>
        <v>0</v>
      </c>
      <c r="AE62">
        <f t="shared" si="28"/>
        <v>0</v>
      </c>
      <c r="AF62">
        <f t="shared" si="29"/>
        <v>0</v>
      </c>
      <c r="AG62">
        <f t="shared" si="30"/>
        <v>0</v>
      </c>
      <c r="AH62">
        <f t="shared" si="31"/>
        <v>0</v>
      </c>
      <c r="AI62">
        <f t="shared" si="32"/>
        <v>0</v>
      </c>
      <c r="AJ62">
        <f t="shared" si="33"/>
        <v>0</v>
      </c>
      <c r="AK62">
        <f t="shared" si="34"/>
        <v>0</v>
      </c>
      <c r="AL62">
        <f t="shared" si="35"/>
        <v>0</v>
      </c>
      <c r="AM62">
        <f t="shared" si="36"/>
        <v>0</v>
      </c>
      <c r="AN62">
        <f t="shared" si="37"/>
        <v>0</v>
      </c>
      <c r="AO62">
        <f t="shared" si="38"/>
        <v>0</v>
      </c>
      <c r="AP62">
        <f t="shared" si="39"/>
        <v>0</v>
      </c>
      <c r="AQ62">
        <f t="shared" si="40"/>
        <v>0</v>
      </c>
      <c r="AR62">
        <f t="shared" si="41"/>
        <v>0</v>
      </c>
      <c r="AS62">
        <f t="shared" si="42"/>
        <v>0</v>
      </c>
      <c r="AT62">
        <f t="shared" si="43"/>
        <v>0</v>
      </c>
      <c r="AU62">
        <f t="shared" si="44"/>
        <v>0</v>
      </c>
      <c r="AV62">
        <f t="shared" si="45"/>
        <v>0</v>
      </c>
      <c r="AW62">
        <f t="shared" si="0"/>
        <v>0</v>
      </c>
      <c r="AX62">
        <f t="shared" si="46"/>
        <v>0</v>
      </c>
      <c r="AY62">
        <f t="shared" si="47"/>
        <v>0</v>
      </c>
    </row>
    <row r="63" spans="1:51" x14ac:dyDescent="0.35">
      <c r="A63">
        <v>57</v>
      </c>
      <c r="C63">
        <f>MAX(0,Calc!$C$7-SUM(D63:R63))</f>
        <v>750</v>
      </c>
      <c r="D63">
        <f t="shared" si="1"/>
        <v>0</v>
      </c>
      <c r="E63">
        <f t="shared" si="2"/>
        <v>0</v>
      </c>
      <c r="F63">
        <f t="shared" si="3"/>
        <v>0</v>
      </c>
      <c r="G63">
        <f t="shared" si="4"/>
        <v>0</v>
      </c>
      <c r="H63">
        <f t="shared" si="5"/>
        <v>0</v>
      </c>
      <c r="I63">
        <f t="shared" si="6"/>
        <v>0</v>
      </c>
      <c r="J63">
        <f t="shared" si="7"/>
        <v>0</v>
      </c>
      <c r="K63">
        <f t="shared" si="8"/>
        <v>0</v>
      </c>
      <c r="L63">
        <f t="shared" si="9"/>
        <v>0</v>
      </c>
      <c r="M63">
        <f t="shared" si="10"/>
        <v>0</v>
      </c>
      <c r="N63">
        <f t="shared" si="11"/>
        <v>0</v>
      </c>
      <c r="O63">
        <f t="shared" si="12"/>
        <v>0</v>
      </c>
      <c r="P63">
        <f t="shared" si="13"/>
        <v>0</v>
      </c>
      <c r="Q63">
        <f t="shared" si="14"/>
        <v>0</v>
      </c>
      <c r="R63">
        <f t="shared" si="15"/>
        <v>0</v>
      </c>
      <c r="S63">
        <f t="shared" si="16"/>
        <v>0</v>
      </c>
      <c r="T63">
        <f t="shared" si="17"/>
        <v>0</v>
      </c>
      <c r="U63">
        <f t="shared" si="18"/>
        <v>0</v>
      </c>
      <c r="V63">
        <f t="shared" si="19"/>
        <v>0</v>
      </c>
      <c r="W63">
        <f t="shared" si="20"/>
        <v>0</v>
      </c>
      <c r="X63">
        <f t="shared" si="21"/>
        <v>0</v>
      </c>
      <c r="Y63">
        <f t="shared" si="22"/>
        <v>0</v>
      </c>
      <c r="Z63">
        <f t="shared" si="23"/>
        <v>0</v>
      </c>
      <c r="AA63">
        <f t="shared" si="24"/>
        <v>0</v>
      </c>
      <c r="AB63">
        <f t="shared" si="25"/>
        <v>0</v>
      </c>
      <c r="AC63">
        <f t="shared" si="26"/>
        <v>0</v>
      </c>
      <c r="AD63">
        <f t="shared" si="27"/>
        <v>0</v>
      </c>
      <c r="AE63">
        <f t="shared" si="28"/>
        <v>0</v>
      </c>
      <c r="AF63">
        <f t="shared" si="29"/>
        <v>0</v>
      </c>
      <c r="AG63">
        <f t="shared" si="30"/>
        <v>0</v>
      </c>
      <c r="AH63">
        <f t="shared" si="31"/>
        <v>0</v>
      </c>
      <c r="AI63">
        <f t="shared" si="32"/>
        <v>0</v>
      </c>
      <c r="AJ63">
        <f t="shared" si="33"/>
        <v>0</v>
      </c>
      <c r="AK63">
        <f t="shared" si="34"/>
        <v>0</v>
      </c>
      <c r="AL63">
        <f t="shared" si="35"/>
        <v>0</v>
      </c>
      <c r="AM63">
        <f t="shared" si="36"/>
        <v>0</v>
      </c>
      <c r="AN63">
        <f t="shared" si="37"/>
        <v>0</v>
      </c>
      <c r="AO63">
        <f t="shared" si="38"/>
        <v>0</v>
      </c>
      <c r="AP63">
        <f t="shared" si="39"/>
        <v>0</v>
      </c>
      <c r="AQ63">
        <f t="shared" si="40"/>
        <v>0</v>
      </c>
      <c r="AR63">
        <f t="shared" si="41"/>
        <v>0</v>
      </c>
      <c r="AS63">
        <f t="shared" si="42"/>
        <v>0</v>
      </c>
      <c r="AT63">
        <f t="shared" si="43"/>
        <v>0</v>
      </c>
      <c r="AU63">
        <f t="shared" si="44"/>
        <v>0</v>
      </c>
      <c r="AV63">
        <f t="shared" si="45"/>
        <v>0</v>
      </c>
      <c r="AW63">
        <f t="shared" si="0"/>
        <v>0</v>
      </c>
      <c r="AX63">
        <f t="shared" si="46"/>
        <v>0</v>
      </c>
      <c r="AY63">
        <f t="shared" si="47"/>
        <v>0</v>
      </c>
    </row>
    <row r="64" spans="1:51" x14ac:dyDescent="0.35">
      <c r="A64">
        <v>58</v>
      </c>
      <c r="C64">
        <f>MAX(0,Calc!$C$7-SUM(D64:R64))</f>
        <v>750</v>
      </c>
      <c r="D64">
        <f t="shared" si="1"/>
        <v>0</v>
      </c>
      <c r="E64">
        <f t="shared" si="2"/>
        <v>0</v>
      </c>
      <c r="F64">
        <f t="shared" si="3"/>
        <v>0</v>
      </c>
      <c r="G64">
        <f t="shared" si="4"/>
        <v>0</v>
      </c>
      <c r="H64">
        <f t="shared" si="5"/>
        <v>0</v>
      </c>
      <c r="I64">
        <f t="shared" si="6"/>
        <v>0</v>
      </c>
      <c r="J64">
        <f t="shared" si="7"/>
        <v>0</v>
      </c>
      <c r="K64">
        <f t="shared" si="8"/>
        <v>0</v>
      </c>
      <c r="L64">
        <f t="shared" si="9"/>
        <v>0</v>
      </c>
      <c r="M64">
        <f t="shared" si="10"/>
        <v>0</v>
      </c>
      <c r="N64">
        <f t="shared" si="11"/>
        <v>0</v>
      </c>
      <c r="O64">
        <f t="shared" si="12"/>
        <v>0</v>
      </c>
      <c r="P64">
        <f t="shared" si="13"/>
        <v>0</v>
      </c>
      <c r="Q64">
        <f t="shared" si="14"/>
        <v>0</v>
      </c>
      <c r="R64">
        <f t="shared" si="15"/>
        <v>0</v>
      </c>
      <c r="S64">
        <f t="shared" si="16"/>
        <v>0</v>
      </c>
      <c r="T64">
        <f t="shared" si="17"/>
        <v>0</v>
      </c>
      <c r="U64">
        <f t="shared" si="18"/>
        <v>0</v>
      </c>
      <c r="V64">
        <f t="shared" si="19"/>
        <v>0</v>
      </c>
      <c r="W64">
        <f t="shared" si="20"/>
        <v>0</v>
      </c>
      <c r="X64">
        <f t="shared" si="21"/>
        <v>0</v>
      </c>
      <c r="Y64">
        <f t="shared" si="22"/>
        <v>0</v>
      </c>
      <c r="Z64">
        <f t="shared" si="23"/>
        <v>0</v>
      </c>
      <c r="AA64">
        <f t="shared" si="24"/>
        <v>0</v>
      </c>
      <c r="AB64">
        <f t="shared" si="25"/>
        <v>0</v>
      </c>
      <c r="AC64">
        <f t="shared" si="26"/>
        <v>0</v>
      </c>
      <c r="AD64">
        <f t="shared" si="27"/>
        <v>0</v>
      </c>
      <c r="AE64">
        <f t="shared" si="28"/>
        <v>0</v>
      </c>
      <c r="AF64">
        <f t="shared" si="29"/>
        <v>0</v>
      </c>
      <c r="AG64">
        <f t="shared" si="30"/>
        <v>0</v>
      </c>
      <c r="AH64">
        <f t="shared" si="31"/>
        <v>0</v>
      </c>
      <c r="AI64">
        <f t="shared" si="32"/>
        <v>0</v>
      </c>
      <c r="AJ64">
        <f t="shared" si="33"/>
        <v>0</v>
      </c>
      <c r="AK64">
        <f t="shared" si="34"/>
        <v>0</v>
      </c>
      <c r="AL64">
        <f t="shared" si="35"/>
        <v>0</v>
      </c>
      <c r="AM64">
        <f t="shared" si="36"/>
        <v>0</v>
      </c>
      <c r="AN64">
        <f t="shared" si="37"/>
        <v>0</v>
      </c>
      <c r="AO64">
        <f t="shared" si="38"/>
        <v>0</v>
      </c>
      <c r="AP64">
        <f t="shared" si="39"/>
        <v>0</v>
      </c>
      <c r="AQ64">
        <f t="shared" si="40"/>
        <v>0</v>
      </c>
      <c r="AR64">
        <f t="shared" si="41"/>
        <v>0</v>
      </c>
      <c r="AS64">
        <f t="shared" si="42"/>
        <v>0</v>
      </c>
      <c r="AT64">
        <f t="shared" si="43"/>
        <v>0</v>
      </c>
      <c r="AU64">
        <f t="shared" si="44"/>
        <v>0</v>
      </c>
      <c r="AV64">
        <f t="shared" si="45"/>
        <v>0</v>
      </c>
      <c r="AW64">
        <f t="shared" si="0"/>
        <v>0</v>
      </c>
      <c r="AX64">
        <f t="shared" si="46"/>
        <v>0</v>
      </c>
      <c r="AY64">
        <f t="shared" si="47"/>
        <v>0</v>
      </c>
    </row>
    <row r="65" spans="1:51" x14ac:dyDescent="0.35">
      <c r="A65">
        <v>59</v>
      </c>
      <c r="C65">
        <f>MAX(0,Calc!$C$7-SUM(D65:R65))</f>
        <v>750</v>
      </c>
      <c r="D65">
        <f t="shared" si="1"/>
        <v>0</v>
      </c>
      <c r="E65">
        <f t="shared" si="2"/>
        <v>0</v>
      </c>
      <c r="F65">
        <f t="shared" si="3"/>
        <v>0</v>
      </c>
      <c r="G65">
        <f t="shared" si="4"/>
        <v>0</v>
      </c>
      <c r="H65">
        <f t="shared" si="5"/>
        <v>0</v>
      </c>
      <c r="I65">
        <f t="shared" si="6"/>
        <v>0</v>
      </c>
      <c r="J65">
        <f t="shared" si="7"/>
        <v>0</v>
      </c>
      <c r="K65">
        <f t="shared" si="8"/>
        <v>0</v>
      </c>
      <c r="L65">
        <f t="shared" si="9"/>
        <v>0</v>
      </c>
      <c r="M65">
        <f t="shared" si="10"/>
        <v>0</v>
      </c>
      <c r="N65">
        <f t="shared" si="11"/>
        <v>0</v>
      </c>
      <c r="O65">
        <f t="shared" si="12"/>
        <v>0</v>
      </c>
      <c r="P65">
        <f t="shared" si="13"/>
        <v>0</v>
      </c>
      <c r="Q65">
        <f t="shared" si="14"/>
        <v>0</v>
      </c>
      <c r="R65">
        <f t="shared" si="15"/>
        <v>0</v>
      </c>
      <c r="S65">
        <f t="shared" si="16"/>
        <v>0</v>
      </c>
      <c r="T65">
        <f t="shared" si="17"/>
        <v>0</v>
      </c>
      <c r="U65">
        <f t="shared" si="18"/>
        <v>0</v>
      </c>
      <c r="V65">
        <f t="shared" si="19"/>
        <v>0</v>
      </c>
      <c r="W65">
        <f t="shared" si="20"/>
        <v>0</v>
      </c>
      <c r="X65">
        <f t="shared" si="21"/>
        <v>0</v>
      </c>
      <c r="Y65">
        <f t="shared" si="22"/>
        <v>0</v>
      </c>
      <c r="Z65">
        <f t="shared" si="23"/>
        <v>0</v>
      </c>
      <c r="AA65">
        <f t="shared" si="24"/>
        <v>0</v>
      </c>
      <c r="AB65">
        <f t="shared" si="25"/>
        <v>0</v>
      </c>
      <c r="AC65">
        <f t="shared" si="26"/>
        <v>0</v>
      </c>
      <c r="AD65">
        <f t="shared" si="27"/>
        <v>0</v>
      </c>
      <c r="AE65">
        <f t="shared" si="28"/>
        <v>0</v>
      </c>
      <c r="AF65">
        <f t="shared" si="29"/>
        <v>0</v>
      </c>
      <c r="AG65">
        <f t="shared" si="30"/>
        <v>0</v>
      </c>
      <c r="AH65">
        <f t="shared" si="31"/>
        <v>0</v>
      </c>
      <c r="AI65">
        <f t="shared" si="32"/>
        <v>0</v>
      </c>
      <c r="AJ65">
        <f t="shared" si="33"/>
        <v>0</v>
      </c>
      <c r="AK65">
        <f t="shared" si="34"/>
        <v>0</v>
      </c>
      <c r="AL65">
        <f t="shared" si="35"/>
        <v>0</v>
      </c>
      <c r="AM65">
        <f t="shared" si="36"/>
        <v>0</v>
      </c>
      <c r="AN65">
        <f t="shared" si="37"/>
        <v>0</v>
      </c>
      <c r="AO65">
        <f t="shared" si="38"/>
        <v>0</v>
      </c>
      <c r="AP65">
        <f t="shared" si="39"/>
        <v>0</v>
      </c>
      <c r="AQ65">
        <f t="shared" si="40"/>
        <v>0</v>
      </c>
      <c r="AR65">
        <f t="shared" si="41"/>
        <v>0</v>
      </c>
      <c r="AS65">
        <f t="shared" si="42"/>
        <v>0</v>
      </c>
      <c r="AT65">
        <f t="shared" si="43"/>
        <v>0</v>
      </c>
      <c r="AU65">
        <f t="shared" si="44"/>
        <v>0</v>
      </c>
      <c r="AV65">
        <f t="shared" si="45"/>
        <v>0</v>
      </c>
      <c r="AW65">
        <f t="shared" si="0"/>
        <v>0</v>
      </c>
      <c r="AX65">
        <f t="shared" si="46"/>
        <v>0</v>
      </c>
      <c r="AY65">
        <f t="shared" si="47"/>
        <v>0</v>
      </c>
    </row>
    <row r="66" spans="1:51" x14ac:dyDescent="0.35">
      <c r="A66">
        <v>60</v>
      </c>
      <c r="C66">
        <f>MAX(0,Calc!$C$7-SUM(D66:R66))</f>
        <v>750</v>
      </c>
      <c r="D66">
        <f t="shared" si="1"/>
        <v>0</v>
      </c>
      <c r="E66">
        <f t="shared" si="2"/>
        <v>0</v>
      </c>
      <c r="F66">
        <f t="shared" si="3"/>
        <v>0</v>
      </c>
      <c r="G66">
        <f t="shared" si="4"/>
        <v>0</v>
      </c>
      <c r="H66">
        <f t="shared" si="5"/>
        <v>0</v>
      </c>
      <c r="I66">
        <f t="shared" si="6"/>
        <v>0</v>
      </c>
      <c r="J66">
        <f t="shared" si="7"/>
        <v>0</v>
      </c>
      <c r="K66">
        <f t="shared" si="8"/>
        <v>0</v>
      </c>
      <c r="L66">
        <f t="shared" si="9"/>
        <v>0</v>
      </c>
      <c r="M66">
        <f t="shared" si="10"/>
        <v>0</v>
      </c>
      <c r="N66">
        <f t="shared" si="11"/>
        <v>0</v>
      </c>
      <c r="O66">
        <f t="shared" si="12"/>
        <v>0</v>
      </c>
      <c r="P66">
        <f t="shared" si="13"/>
        <v>0</v>
      </c>
      <c r="Q66">
        <f t="shared" si="14"/>
        <v>0</v>
      </c>
      <c r="R66">
        <f t="shared" si="15"/>
        <v>0</v>
      </c>
      <c r="S66">
        <f t="shared" si="16"/>
        <v>0</v>
      </c>
      <c r="T66">
        <f t="shared" si="17"/>
        <v>0</v>
      </c>
      <c r="U66">
        <f t="shared" si="18"/>
        <v>0</v>
      </c>
      <c r="V66">
        <f t="shared" si="19"/>
        <v>0</v>
      </c>
      <c r="W66">
        <f t="shared" si="20"/>
        <v>0</v>
      </c>
      <c r="X66">
        <f t="shared" si="21"/>
        <v>0</v>
      </c>
      <c r="Y66">
        <f t="shared" si="22"/>
        <v>0</v>
      </c>
      <c r="Z66">
        <f t="shared" si="23"/>
        <v>0</v>
      </c>
      <c r="AA66">
        <f t="shared" si="24"/>
        <v>0</v>
      </c>
      <c r="AB66">
        <f t="shared" si="25"/>
        <v>0</v>
      </c>
      <c r="AC66">
        <f t="shared" si="26"/>
        <v>0</v>
      </c>
      <c r="AD66">
        <f t="shared" si="27"/>
        <v>0</v>
      </c>
      <c r="AE66">
        <f t="shared" si="28"/>
        <v>0</v>
      </c>
      <c r="AF66">
        <f t="shared" si="29"/>
        <v>0</v>
      </c>
      <c r="AG66">
        <f t="shared" si="30"/>
        <v>0</v>
      </c>
      <c r="AH66">
        <f t="shared" si="31"/>
        <v>0</v>
      </c>
      <c r="AI66">
        <f t="shared" si="32"/>
        <v>0</v>
      </c>
      <c r="AJ66">
        <f t="shared" si="33"/>
        <v>0</v>
      </c>
      <c r="AK66">
        <f t="shared" si="34"/>
        <v>0</v>
      </c>
      <c r="AL66">
        <f t="shared" si="35"/>
        <v>0</v>
      </c>
      <c r="AM66">
        <f t="shared" si="36"/>
        <v>0</v>
      </c>
      <c r="AN66">
        <f t="shared" si="37"/>
        <v>0</v>
      </c>
      <c r="AO66">
        <f t="shared" si="38"/>
        <v>0</v>
      </c>
      <c r="AP66">
        <f t="shared" si="39"/>
        <v>0</v>
      </c>
      <c r="AQ66">
        <f t="shared" si="40"/>
        <v>0</v>
      </c>
      <c r="AR66">
        <f t="shared" si="41"/>
        <v>0</v>
      </c>
      <c r="AS66">
        <f t="shared" si="42"/>
        <v>0</v>
      </c>
      <c r="AT66">
        <f t="shared" si="43"/>
        <v>0</v>
      </c>
      <c r="AU66">
        <f t="shared" si="44"/>
        <v>0</v>
      </c>
      <c r="AV66">
        <f t="shared" si="45"/>
        <v>0</v>
      </c>
      <c r="AW66">
        <f t="shared" si="0"/>
        <v>0</v>
      </c>
      <c r="AX66">
        <f t="shared" si="46"/>
        <v>0</v>
      </c>
      <c r="AY66">
        <f t="shared" si="47"/>
        <v>0</v>
      </c>
    </row>
    <row r="67" spans="1:51" x14ac:dyDescent="0.35">
      <c r="A67">
        <v>61</v>
      </c>
      <c r="C67">
        <f>MAX(0,Calc!$C$7-SUM(D67:R67))</f>
        <v>750</v>
      </c>
      <c r="D67">
        <f t="shared" si="1"/>
        <v>0</v>
      </c>
      <c r="E67">
        <f t="shared" si="2"/>
        <v>0</v>
      </c>
      <c r="F67">
        <f t="shared" si="3"/>
        <v>0</v>
      </c>
      <c r="G67">
        <f t="shared" si="4"/>
        <v>0</v>
      </c>
      <c r="H67">
        <f t="shared" si="5"/>
        <v>0</v>
      </c>
      <c r="I67">
        <f t="shared" si="6"/>
        <v>0</v>
      </c>
      <c r="J67">
        <f t="shared" si="7"/>
        <v>0</v>
      </c>
      <c r="K67">
        <f t="shared" si="8"/>
        <v>0</v>
      </c>
      <c r="L67">
        <f t="shared" si="9"/>
        <v>0</v>
      </c>
      <c r="M67">
        <f t="shared" si="10"/>
        <v>0</v>
      </c>
      <c r="N67">
        <f t="shared" si="11"/>
        <v>0</v>
      </c>
      <c r="O67">
        <f t="shared" si="12"/>
        <v>0</v>
      </c>
      <c r="P67">
        <f t="shared" si="13"/>
        <v>0</v>
      </c>
      <c r="Q67">
        <f t="shared" si="14"/>
        <v>0</v>
      </c>
      <c r="R67">
        <f t="shared" si="15"/>
        <v>0</v>
      </c>
      <c r="S67">
        <f t="shared" si="16"/>
        <v>0</v>
      </c>
      <c r="T67">
        <f t="shared" si="17"/>
        <v>0</v>
      </c>
      <c r="U67">
        <f t="shared" si="18"/>
        <v>0</v>
      </c>
      <c r="V67">
        <f t="shared" si="19"/>
        <v>0</v>
      </c>
      <c r="W67">
        <f t="shared" si="20"/>
        <v>0</v>
      </c>
      <c r="X67">
        <f t="shared" si="21"/>
        <v>0</v>
      </c>
      <c r="Y67">
        <f t="shared" si="22"/>
        <v>0</v>
      </c>
      <c r="Z67">
        <f t="shared" si="23"/>
        <v>0</v>
      </c>
      <c r="AA67">
        <f t="shared" si="24"/>
        <v>0</v>
      </c>
      <c r="AB67">
        <f t="shared" si="25"/>
        <v>0</v>
      </c>
      <c r="AC67">
        <f t="shared" si="26"/>
        <v>0</v>
      </c>
      <c r="AD67">
        <f t="shared" si="27"/>
        <v>0</v>
      </c>
      <c r="AE67">
        <f t="shared" si="28"/>
        <v>0</v>
      </c>
      <c r="AF67">
        <f t="shared" si="29"/>
        <v>0</v>
      </c>
      <c r="AG67">
        <f t="shared" si="30"/>
        <v>0</v>
      </c>
      <c r="AH67">
        <f t="shared" si="31"/>
        <v>0</v>
      </c>
      <c r="AI67">
        <f t="shared" si="32"/>
        <v>0</v>
      </c>
      <c r="AJ67">
        <f t="shared" si="33"/>
        <v>0</v>
      </c>
      <c r="AK67">
        <f t="shared" si="34"/>
        <v>0</v>
      </c>
      <c r="AL67">
        <f t="shared" si="35"/>
        <v>0</v>
      </c>
      <c r="AM67">
        <f t="shared" si="36"/>
        <v>0</v>
      </c>
      <c r="AN67">
        <f t="shared" si="37"/>
        <v>0</v>
      </c>
      <c r="AO67">
        <f t="shared" si="38"/>
        <v>0</v>
      </c>
      <c r="AP67">
        <f t="shared" si="39"/>
        <v>0</v>
      </c>
      <c r="AQ67">
        <f t="shared" si="40"/>
        <v>0</v>
      </c>
      <c r="AR67">
        <f t="shared" si="41"/>
        <v>0</v>
      </c>
      <c r="AS67">
        <f t="shared" si="42"/>
        <v>0</v>
      </c>
      <c r="AT67">
        <f t="shared" si="43"/>
        <v>0</v>
      </c>
      <c r="AU67">
        <f t="shared" si="44"/>
        <v>0</v>
      </c>
      <c r="AV67">
        <f t="shared" si="45"/>
        <v>0</v>
      </c>
      <c r="AW67">
        <f t="shared" si="0"/>
        <v>0</v>
      </c>
      <c r="AX67">
        <f t="shared" si="46"/>
        <v>0</v>
      </c>
      <c r="AY67">
        <f t="shared" si="47"/>
        <v>0</v>
      </c>
    </row>
    <row r="68" spans="1:51" x14ac:dyDescent="0.35">
      <c r="A68">
        <v>62</v>
      </c>
      <c r="C68">
        <f>MAX(0,Calc!$C$7-SUM(D68:R68))</f>
        <v>750</v>
      </c>
      <c r="D68">
        <f t="shared" si="1"/>
        <v>0</v>
      </c>
      <c r="E68">
        <f t="shared" si="2"/>
        <v>0</v>
      </c>
      <c r="F68">
        <f t="shared" si="3"/>
        <v>0</v>
      </c>
      <c r="G68">
        <f t="shared" si="4"/>
        <v>0</v>
      </c>
      <c r="H68">
        <f t="shared" si="5"/>
        <v>0</v>
      </c>
      <c r="I68">
        <f t="shared" si="6"/>
        <v>0</v>
      </c>
      <c r="J68">
        <f t="shared" si="7"/>
        <v>0</v>
      </c>
      <c r="K68">
        <f t="shared" si="8"/>
        <v>0</v>
      </c>
      <c r="L68">
        <f t="shared" si="9"/>
        <v>0</v>
      </c>
      <c r="M68">
        <f t="shared" si="10"/>
        <v>0</v>
      </c>
      <c r="N68">
        <f t="shared" si="11"/>
        <v>0</v>
      </c>
      <c r="O68">
        <f t="shared" si="12"/>
        <v>0</v>
      </c>
      <c r="P68">
        <f t="shared" si="13"/>
        <v>0</v>
      </c>
      <c r="Q68">
        <f t="shared" si="14"/>
        <v>0</v>
      </c>
      <c r="R68">
        <f t="shared" si="15"/>
        <v>0</v>
      </c>
      <c r="S68">
        <f t="shared" si="16"/>
        <v>0</v>
      </c>
      <c r="T68">
        <f t="shared" si="17"/>
        <v>0</v>
      </c>
      <c r="U68">
        <f t="shared" si="18"/>
        <v>0</v>
      </c>
      <c r="V68">
        <f t="shared" si="19"/>
        <v>0</v>
      </c>
      <c r="W68">
        <f t="shared" si="20"/>
        <v>0</v>
      </c>
      <c r="X68">
        <f t="shared" si="21"/>
        <v>0</v>
      </c>
      <c r="Y68">
        <f t="shared" si="22"/>
        <v>0</v>
      </c>
      <c r="Z68">
        <f t="shared" si="23"/>
        <v>0</v>
      </c>
      <c r="AA68">
        <f t="shared" si="24"/>
        <v>0</v>
      </c>
      <c r="AB68">
        <f t="shared" si="25"/>
        <v>0</v>
      </c>
      <c r="AC68">
        <f t="shared" si="26"/>
        <v>0</v>
      </c>
      <c r="AD68">
        <f t="shared" si="27"/>
        <v>0</v>
      </c>
      <c r="AE68">
        <f t="shared" si="28"/>
        <v>0</v>
      </c>
      <c r="AF68">
        <f t="shared" si="29"/>
        <v>0</v>
      </c>
      <c r="AG68">
        <f t="shared" si="30"/>
        <v>0</v>
      </c>
      <c r="AH68">
        <f t="shared" si="31"/>
        <v>0</v>
      </c>
      <c r="AI68">
        <f t="shared" si="32"/>
        <v>0</v>
      </c>
      <c r="AJ68">
        <f t="shared" si="33"/>
        <v>0</v>
      </c>
      <c r="AK68">
        <f t="shared" si="34"/>
        <v>0</v>
      </c>
      <c r="AL68">
        <f t="shared" si="35"/>
        <v>0</v>
      </c>
      <c r="AM68">
        <f t="shared" si="36"/>
        <v>0</v>
      </c>
      <c r="AN68">
        <f t="shared" si="37"/>
        <v>0</v>
      </c>
      <c r="AO68">
        <f t="shared" si="38"/>
        <v>0</v>
      </c>
      <c r="AP68">
        <f t="shared" si="39"/>
        <v>0</v>
      </c>
      <c r="AQ68">
        <f t="shared" si="40"/>
        <v>0</v>
      </c>
      <c r="AR68">
        <f t="shared" si="41"/>
        <v>0</v>
      </c>
      <c r="AS68">
        <f t="shared" si="42"/>
        <v>0</v>
      </c>
      <c r="AT68">
        <f t="shared" si="43"/>
        <v>0</v>
      </c>
      <c r="AU68">
        <f t="shared" si="44"/>
        <v>0</v>
      </c>
      <c r="AV68">
        <f t="shared" si="45"/>
        <v>0</v>
      </c>
      <c r="AW68">
        <f t="shared" si="0"/>
        <v>0</v>
      </c>
      <c r="AX68">
        <f t="shared" si="46"/>
        <v>0</v>
      </c>
      <c r="AY68">
        <f t="shared" si="47"/>
        <v>0</v>
      </c>
    </row>
    <row r="69" spans="1:51" x14ac:dyDescent="0.35">
      <c r="A69">
        <v>63</v>
      </c>
      <c r="C69">
        <f>MAX(0,Calc!$C$7-SUM(D69:R69))</f>
        <v>750</v>
      </c>
      <c r="D69">
        <f t="shared" si="1"/>
        <v>0</v>
      </c>
      <c r="E69">
        <f t="shared" si="2"/>
        <v>0</v>
      </c>
      <c r="F69">
        <f t="shared" si="3"/>
        <v>0</v>
      </c>
      <c r="G69">
        <f t="shared" si="4"/>
        <v>0</v>
      </c>
      <c r="H69">
        <f t="shared" si="5"/>
        <v>0</v>
      </c>
      <c r="I69">
        <f t="shared" si="6"/>
        <v>0</v>
      </c>
      <c r="J69">
        <f t="shared" si="7"/>
        <v>0</v>
      </c>
      <c r="K69">
        <f t="shared" si="8"/>
        <v>0</v>
      </c>
      <c r="L69">
        <f t="shared" si="9"/>
        <v>0</v>
      </c>
      <c r="M69">
        <f t="shared" si="10"/>
        <v>0</v>
      </c>
      <c r="N69">
        <f t="shared" si="11"/>
        <v>0</v>
      </c>
      <c r="O69">
        <f t="shared" si="12"/>
        <v>0</v>
      </c>
      <c r="P69">
        <f t="shared" si="13"/>
        <v>0</v>
      </c>
      <c r="Q69">
        <f t="shared" si="14"/>
        <v>0</v>
      </c>
      <c r="R69">
        <f t="shared" si="15"/>
        <v>0</v>
      </c>
      <c r="S69">
        <f t="shared" si="16"/>
        <v>0</v>
      </c>
      <c r="T69">
        <f t="shared" si="17"/>
        <v>0</v>
      </c>
      <c r="U69">
        <f t="shared" si="18"/>
        <v>0</v>
      </c>
      <c r="V69">
        <f t="shared" si="19"/>
        <v>0</v>
      </c>
      <c r="W69">
        <f t="shared" si="20"/>
        <v>0</v>
      </c>
      <c r="X69">
        <f t="shared" si="21"/>
        <v>0</v>
      </c>
      <c r="Y69">
        <f t="shared" si="22"/>
        <v>0</v>
      </c>
      <c r="Z69">
        <f t="shared" si="23"/>
        <v>0</v>
      </c>
      <c r="AA69">
        <f t="shared" si="24"/>
        <v>0</v>
      </c>
      <c r="AB69">
        <f t="shared" si="25"/>
        <v>0</v>
      </c>
      <c r="AC69">
        <f t="shared" si="26"/>
        <v>0</v>
      </c>
      <c r="AD69">
        <f t="shared" si="27"/>
        <v>0</v>
      </c>
      <c r="AE69">
        <f t="shared" si="28"/>
        <v>0</v>
      </c>
      <c r="AF69">
        <f t="shared" si="29"/>
        <v>0</v>
      </c>
      <c r="AG69">
        <f t="shared" si="30"/>
        <v>0</v>
      </c>
      <c r="AH69">
        <f t="shared" si="31"/>
        <v>0</v>
      </c>
      <c r="AI69">
        <f t="shared" si="32"/>
        <v>0</v>
      </c>
      <c r="AJ69">
        <f t="shared" si="33"/>
        <v>0</v>
      </c>
      <c r="AK69">
        <f t="shared" si="34"/>
        <v>0</v>
      </c>
      <c r="AL69">
        <f t="shared" si="35"/>
        <v>0</v>
      </c>
      <c r="AM69">
        <f t="shared" si="36"/>
        <v>0</v>
      </c>
      <c r="AN69">
        <f t="shared" si="37"/>
        <v>0</v>
      </c>
      <c r="AO69">
        <f t="shared" si="38"/>
        <v>0</v>
      </c>
      <c r="AP69">
        <f t="shared" si="39"/>
        <v>0</v>
      </c>
      <c r="AQ69">
        <f t="shared" si="40"/>
        <v>0</v>
      </c>
      <c r="AR69">
        <f t="shared" si="41"/>
        <v>0</v>
      </c>
      <c r="AS69">
        <f t="shared" si="42"/>
        <v>0</v>
      </c>
      <c r="AT69">
        <f t="shared" si="43"/>
        <v>0</v>
      </c>
      <c r="AU69">
        <f t="shared" si="44"/>
        <v>0</v>
      </c>
      <c r="AV69">
        <f t="shared" si="45"/>
        <v>0</v>
      </c>
      <c r="AW69">
        <f t="shared" si="0"/>
        <v>0</v>
      </c>
      <c r="AX69">
        <f t="shared" si="46"/>
        <v>0</v>
      </c>
      <c r="AY69">
        <f t="shared" si="47"/>
        <v>0</v>
      </c>
    </row>
    <row r="70" spans="1:51" x14ac:dyDescent="0.35">
      <c r="A70">
        <v>64</v>
      </c>
      <c r="C70">
        <f>MAX(0,Calc!$C$7-SUM(D70:R70))</f>
        <v>750</v>
      </c>
      <c r="D70">
        <f t="shared" si="1"/>
        <v>0</v>
      </c>
      <c r="E70">
        <f t="shared" si="2"/>
        <v>0</v>
      </c>
      <c r="F70">
        <f t="shared" si="3"/>
        <v>0</v>
      </c>
      <c r="G70">
        <f t="shared" si="4"/>
        <v>0</v>
      </c>
      <c r="H70">
        <f t="shared" si="5"/>
        <v>0</v>
      </c>
      <c r="I70">
        <f t="shared" si="6"/>
        <v>0</v>
      </c>
      <c r="J70">
        <f t="shared" si="7"/>
        <v>0</v>
      </c>
      <c r="K70">
        <f t="shared" si="8"/>
        <v>0</v>
      </c>
      <c r="L70">
        <f t="shared" si="9"/>
        <v>0</v>
      </c>
      <c r="M70">
        <f t="shared" si="10"/>
        <v>0</v>
      </c>
      <c r="N70">
        <f t="shared" si="11"/>
        <v>0</v>
      </c>
      <c r="O70">
        <f t="shared" si="12"/>
        <v>0</v>
      </c>
      <c r="P70">
        <f t="shared" si="13"/>
        <v>0</v>
      </c>
      <c r="Q70">
        <f t="shared" si="14"/>
        <v>0</v>
      </c>
      <c r="R70">
        <f t="shared" si="15"/>
        <v>0</v>
      </c>
      <c r="S70">
        <f t="shared" si="16"/>
        <v>0</v>
      </c>
      <c r="T70">
        <f t="shared" si="17"/>
        <v>0</v>
      </c>
      <c r="U70">
        <f t="shared" si="18"/>
        <v>0</v>
      </c>
      <c r="V70">
        <f t="shared" si="19"/>
        <v>0</v>
      </c>
      <c r="W70">
        <f t="shared" si="20"/>
        <v>0</v>
      </c>
      <c r="X70">
        <f t="shared" si="21"/>
        <v>0</v>
      </c>
      <c r="Y70">
        <f t="shared" si="22"/>
        <v>0</v>
      </c>
      <c r="Z70">
        <f t="shared" si="23"/>
        <v>0</v>
      </c>
      <c r="AA70">
        <f t="shared" si="24"/>
        <v>0</v>
      </c>
      <c r="AB70">
        <f t="shared" si="25"/>
        <v>0</v>
      </c>
      <c r="AC70">
        <f t="shared" si="26"/>
        <v>0</v>
      </c>
      <c r="AD70">
        <f t="shared" si="27"/>
        <v>0</v>
      </c>
      <c r="AE70">
        <f t="shared" si="28"/>
        <v>0</v>
      </c>
      <c r="AF70">
        <f t="shared" si="29"/>
        <v>0</v>
      </c>
      <c r="AG70">
        <f t="shared" si="30"/>
        <v>0</v>
      </c>
      <c r="AH70">
        <f t="shared" si="31"/>
        <v>0</v>
      </c>
      <c r="AI70">
        <f t="shared" si="32"/>
        <v>0</v>
      </c>
      <c r="AJ70">
        <f t="shared" si="33"/>
        <v>0</v>
      </c>
      <c r="AK70">
        <f t="shared" si="34"/>
        <v>0</v>
      </c>
      <c r="AL70">
        <f t="shared" si="35"/>
        <v>0</v>
      </c>
      <c r="AM70">
        <f t="shared" si="36"/>
        <v>0</v>
      </c>
      <c r="AN70">
        <f t="shared" si="37"/>
        <v>0</v>
      </c>
      <c r="AO70">
        <f t="shared" si="38"/>
        <v>0</v>
      </c>
      <c r="AP70">
        <f t="shared" si="39"/>
        <v>0</v>
      </c>
      <c r="AQ70">
        <f t="shared" si="40"/>
        <v>0</v>
      </c>
      <c r="AR70">
        <f t="shared" si="41"/>
        <v>0</v>
      </c>
      <c r="AS70">
        <f t="shared" si="42"/>
        <v>0</v>
      </c>
      <c r="AT70">
        <f t="shared" si="43"/>
        <v>0</v>
      </c>
      <c r="AU70">
        <f t="shared" si="44"/>
        <v>0</v>
      </c>
      <c r="AV70">
        <f t="shared" si="45"/>
        <v>0</v>
      </c>
      <c r="AW70">
        <f t="shared" ref="AW70:AW133" si="48">SUM(AH70:AV70)</f>
        <v>0</v>
      </c>
      <c r="AX70">
        <f t="shared" si="46"/>
        <v>0</v>
      </c>
      <c r="AY70">
        <f t="shared" si="47"/>
        <v>0</v>
      </c>
    </row>
    <row r="71" spans="1:51" x14ac:dyDescent="0.35">
      <c r="A71">
        <v>65</v>
      </c>
      <c r="C71">
        <f>MAX(0,Calc!$C$7-SUM(D71:R71))</f>
        <v>750</v>
      </c>
      <c r="D71">
        <f t="shared" ref="D71:D134" si="49">IF(AH70&lt;0.005,0,MIN((AH70+ROUND(AH70*AH$3,2)),AH$4))</f>
        <v>0</v>
      </c>
      <c r="E71">
        <f t="shared" ref="E71:E134" si="50">IF(AI70&lt;0.005,0,MIN((AI70+ROUND(AI70*AI$3,2)),AI$4))</f>
        <v>0</v>
      </c>
      <c r="F71">
        <f t="shared" ref="F71:F134" si="51">IF(AJ70&lt;0.005,0,MIN((AJ70+ROUND(AJ70*AJ$3,2)),AJ$4))</f>
        <v>0</v>
      </c>
      <c r="G71">
        <f t="shared" ref="G71:G134" si="52">IF(AK70&lt;0.005,0,MIN((AK70+ROUND(AK70*AK$3,2)),AK$4))</f>
        <v>0</v>
      </c>
      <c r="H71">
        <f t="shared" ref="H71:H134" si="53">IF(AL70&lt;0.005,0,MIN((AL70+ROUND(AL70*AL$3,2)),AL$4))</f>
        <v>0</v>
      </c>
      <c r="I71">
        <f t="shared" ref="I71:I134" si="54">IF(AM70&lt;0.005,0,MIN((AM70+ROUND(AM70*AM$3,2)),AM$4))</f>
        <v>0</v>
      </c>
      <c r="J71">
        <f t="shared" ref="J71:J134" si="55">IF(AN70&lt;0.005,0,MIN((AN70+ROUND(AN70*AN$3,2)),AN$4))</f>
        <v>0</v>
      </c>
      <c r="K71">
        <f t="shared" ref="K71:K134" si="56">IF(AO70&lt;0.005,0,MIN((AO70+ROUND(AO70*AO$3,2)),AO$4))</f>
        <v>0</v>
      </c>
      <c r="L71">
        <f t="shared" ref="L71:L134" si="57">IF(AP70&lt;0.005,0,MIN((AP70+ROUND(AP70*AP$3,2)),AP$4))</f>
        <v>0</v>
      </c>
      <c r="M71">
        <f t="shared" ref="M71:M134" si="58">IF(AQ70&lt;0.005,0,MIN((AQ70+ROUND(AQ70*AQ$3,2)),AQ$4))</f>
        <v>0</v>
      </c>
      <c r="N71">
        <f t="shared" ref="N71:N134" si="59">IF(AR70&lt;0.005,0,MIN((AR70+ROUND(AR70*AR$3,2)),AR$4))</f>
        <v>0</v>
      </c>
      <c r="O71">
        <f t="shared" ref="O71:O134" si="60">IF(AS70&lt;0.005,0,MIN((AS70+ROUND(AS70*AS$3,2)),AS$4))</f>
        <v>0</v>
      </c>
      <c r="P71">
        <f t="shared" ref="P71:P134" si="61">IF(AT70&lt;0.005,0,MIN((AT70+ROUND(AT70*AT$3,2)),AT$4))</f>
        <v>0</v>
      </c>
      <c r="Q71">
        <f t="shared" ref="Q71:Q134" si="62">IF(AU70&lt;0.005,0,MIN((AU70+ROUND(AU70*AU$3,2)),AU$4))</f>
        <v>0</v>
      </c>
      <c r="R71">
        <f t="shared" ref="R71:R134" si="63">IF(AV70&lt;0.005,0,MIN((AV70+ROUND(AV70*AV$3,2)),AV$4))</f>
        <v>0</v>
      </c>
      <c r="S71">
        <f t="shared" ref="S71:S134" si="64">IF(AH70&lt;0.005,0,MIN((AH70+ROUND(AH70*AH$3,2))-D71,MAX(0,$C71)))</f>
        <v>0</v>
      </c>
      <c r="T71">
        <f t="shared" ref="T71:T134" si="65">IF(AI70&lt;0.005,0,MIN((AI70+ROUND(AI70*AI$3,2))-E71,MAX(0,$C71-SUM(S71:S71))))</f>
        <v>0</v>
      </c>
      <c r="U71">
        <f t="shared" ref="U71:U134" si="66">IF(AJ70&lt;0.005,0,MIN((AJ70+ROUND(AJ70*AJ$3,2))-F71,MAX(0,$C71-SUM(S71:T71))))</f>
        <v>0</v>
      </c>
      <c r="V71">
        <f t="shared" ref="V71:V134" si="67">IF(AK70&lt;0.005,0,MIN((AK70+ROUND(AK70*AK$3,2))-G71,MAX(0,$C71-SUM(S71:U71))))</f>
        <v>0</v>
      </c>
      <c r="W71">
        <f t="shared" ref="W71:W134" si="68">IF(AL70&lt;0.005,0,MIN((AL70+ROUND(AL70*AL$3,2))-H71,MAX(0,$C71-SUM(S71:V71))))</f>
        <v>0</v>
      </c>
      <c r="X71">
        <f t="shared" ref="X71:X134" si="69">IF(AM70&lt;0.005,0,MIN((AM70+ROUND(AM70*AM$3,2))-I71,MAX(0,$C71-SUM(S71:W71))))</f>
        <v>0</v>
      </c>
      <c r="Y71">
        <f t="shared" ref="Y71:Y134" si="70">IF(AN70&lt;0.005,0,MIN((AN70+ROUND(AN70*AN$3,2))-J71,MAX(0,$C71-SUM(S71:X71))))</f>
        <v>0</v>
      </c>
      <c r="Z71">
        <f t="shared" ref="Z71:Z134" si="71">IF(AO70&lt;0.005,0,MIN((AO70+ROUND(AO70*AO$3,2))-K71,MAX(0,$C71-SUM(S71:Y71))))</f>
        <v>0</v>
      </c>
      <c r="AA71">
        <f t="shared" ref="AA71:AA134" si="72">IF(AP70&lt;0.005,0,MIN((AP70+ROUND(AP70*AP$3,2))-L71,MAX(0,$C71-SUM(S71:Z71))))</f>
        <v>0</v>
      </c>
      <c r="AB71">
        <f t="shared" ref="AB71:AB134" si="73">IF(AQ70&lt;0.005,0,MIN((AQ70+ROUND(AQ70*AQ$3,2))-M71,MAX(0,$C71-SUM(S71:AA71))))</f>
        <v>0</v>
      </c>
      <c r="AC71">
        <f t="shared" ref="AC71:AC134" si="74">IF(AR70&lt;0.005,0,MIN((AR70+ROUND(AR70*AR$3,2))-N71,MAX(0,$C71-SUM(S71:AB71))))</f>
        <v>0</v>
      </c>
      <c r="AD71">
        <f t="shared" ref="AD71:AD134" si="75">IF(AS70&lt;0.005,0,MIN((AS70+ROUND(AS70*AS$3,2))-O71,MAX(0,$C71-SUM(S71:AC71))))</f>
        <v>0</v>
      </c>
      <c r="AE71">
        <f t="shared" ref="AE71:AE134" si="76">IF(AT70&lt;0.005,0,MIN((AT70+ROUND(AT70*AT$3,2))-P71,MAX(0,$C71-SUM(S71:AD71))))</f>
        <v>0</v>
      </c>
      <c r="AF71">
        <f t="shared" ref="AF71:AF134" si="77">IF(AU70&lt;0.005,0,MIN((AU70+ROUND(AU70*AU$3,2))-Q71,MAX(0,$C71-SUM(S71:AE71))))</f>
        <v>0</v>
      </c>
      <c r="AG71">
        <f t="shared" ref="AG71:AG134" si="78">IF(AV70&lt;0.005,0,MIN((AV70+ROUND(AV70*AV$3,2))-R71,MAX(0,$C71-SUM(S71:AF71))))</f>
        <v>0</v>
      </c>
      <c r="AH71">
        <f t="shared" ref="AH71:AH134" si="79">IF(AH70&lt;0.005,0,ROUND((AH70+ROUND(AH70*AH$3,2))-D71-S71,2))</f>
        <v>0</v>
      </c>
      <c r="AI71">
        <f t="shared" ref="AI71:AI134" si="80">IF(AI70&lt;0.005,0,ROUND((AI70+ROUND(AI70*AI$3,2))-E71-T71,2))</f>
        <v>0</v>
      </c>
      <c r="AJ71">
        <f t="shared" ref="AJ71:AJ134" si="81">IF(AJ70&lt;0.005,0,ROUND((AJ70+ROUND(AJ70*AJ$3,2))-F71-U71,2))</f>
        <v>0</v>
      </c>
      <c r="AK71">
        <f t="shared" ref="AK71:AK134" si="82">IF(AK70&lt;0.005,0,ROUND((AK70+ROUND(AK70*AK$3,2))-G71-V71,2))</f>
        <v>0</v>
      </c>
      <c r="AL71">
        <f t="shared" ref="AL71:AL134" si="83">IF(AL70&lt;0.005,0,ROUND((AL70+ROUND(AL70*AL$3,2))-H71-W71,2))</f>
        <v>0</v>
      </c>
      <c r="AM71">
        <f t="shared" ref="AM71:AM134" si="84">IF(AM70&lt;0.005,0,ROUND((AM70+ROUND(AM70*AM$3,2))-I71-X71,2))</f>
        <v>0</v>
      </c>
      <c r="AN71">
        <f t="shared" ref="AN71:AN134" si="85">IF(AN70&lt;0.005,0,ROUND((AN70+ROUND(AN70*AN$3,2))-J71-Y71,2))</f>
        <v>0</v>
      </c>
      <c r="AO71">
        <f t="shared" ref="AO71:AO134" si="86">IF(AO70&lt;0.005,0,ROUND((AO70+ROUND(AO70*AO$3,2))-K71-Z71,2))</f>
        <v>0</v>
      </c>
      <c r="AP71">
        <f t="shared" ref="AP71:AP134" si="87">IF(AP70&lt;0.005,0,ROUND((AP70+ROUND(AP70*AP$3,2))-L71-AA71,2))</f>
        <v>0</v>
      </c>
      <c r="AQ71">
        <f t="shared" ref="AQ71:AQ134" si="88">IF(AQ70&lt;0.005,0,ROUND((AQ70+ROUND(AQ70*AQ$3,2))-M71-AB71,2))</f>
        <v>0</v>
      </c>
      <c r="AR71">
        <f t="shared" ref="AR71:AR134" si="89">IF(AR70&lt;0.005,0,ROUND((AR70+ROUND(AR70*AR$3,2))-N71-AC71,2))</f>
        <v>0</v>
      </c>
      <c r="AS71">
        <f t="shared" ref="AS71:AS134" si="90">IF(AS70&lt;0.005,0,ROUND((AS70+ROUND(AS70*AS$3,2))-O71-AD71,2))</f>
        <v>0</v>
      </c>
      <c r="AT71">
        <f t="shared" ref="AT71:AT134" si="91">IF(AT70&lt;0.005,0,ROUND((AT70+ROUND(AT70*AT$3,2))-P71-AE71,2))</f>
        <v>0</v>
      </c>
      <c r="AU71">
        <f t="shared" ref="AU71:AU134" si="92">IF(AU70&lt;0.005,0,ROUND((AU70+ROUND(AU70*AU$3,2))-Q71-AF71,2))</f>
        <v>0</v>
      </c>
      <c r="AV71">
        <f t="shared" ref="AV71:AV134" si="93">IF(AV70&lt;0.005,0,ROUND((AV70+ROUND(AV70*AV$3,2))-R71-AG71,2))</f>
        <v>0</v>
      </c>
      <c r="AW71">
        <f t="shared" si="48"/>
        <v>0</v>
      </c>
      <c r="AX71">
        <f t="shared" ref="AX71:AX134" si="94">SUMPRODUCT(ROUND(AH70:AV70*AH$3:AV$3,2))</f>
        <v>0</v>
      </c>
      <c r="AY71">
        <f t="shared" ref="AY71:AY134" si="95">SUM(D71:AG71)</f>
        <v>0</v>
      </c>
    </row>
    <row r="72" spans="1:51" x14ac:dyDescent="0.35">
      <c r="A72">
        <v>66</v>
      </c>
      <c r="C72">
        <f>MAX(0,Calc!$C$7-SUM(D72:R72))</f>
        <v>750</v>
      </c>
      <c r="D72">
        <f t="shared" si="49"/>
        <v>0</v>
      </c>
      <c r="E72">
        <f t="shared" si="50"/>
        <v>0</v>
      </c>
      <c r="F72">
        <f t="shared" si="51"/>
        <v>0</v>
      </c>
      <c r="G72">
        <f t="shared" si="52"/>
        <v>0</v>
      </c>
      <c r="H72">
        <f t="shared" si="53"/>
        <v>0</v>
      </c>
      <c r="I72">
        <f t="shared" si="54"/>
        <v>0</v>
      </c>
      <c r="J72">
        <f t="shared" si="55"/>
        <v>0</v>
      </c>
      <c r="K72">
        <f t="shared" si="56"/>
        <v>0</v>
      </c>
      <c r="L72">
        <f t="shared" si="57"/>
        <v>0</v>
      </c>
      <c r="M72">
        <f t="shared" si="58"/>
        <v>0</v>
      </c>
      <c r="N72">
        <f t="shared" si="59"/>
        <v>0</v>
      </c>
      <c r="O72">
        <f t="shared" si="60"/>
        <v>0</v>
      </c>
      <c r="P72">
        <f t="shared" si="61"/>
        <v>0</v>
      </c>
      <c r="Q72">
        <f t="shared" si="62"/>
        <v>0</v>
      </c>
      <c r="R72">
        <f t="shared" si="63"/>
        <v>0</v>
      </c>
      <c r="S72">
        <f t="shared" si="64"/>
        <v>0</v>
      </c>
      <c r="T72">
        <f t="shared" si="65"/>
        <v>0</v>
      </c>
      <c r="U72">
        <f t="shared" si="66"/>
        <v>0</v>
      </c>
      <c r="V72">
        <f t="shared" si="67"/>
        <v>0</v>
      </c>
      <c r="W72">
        <f t="shared" si="68"/>
        <v>0</v>
      </c>
      <c r="X72">
        <f t="shared" si="69"/>
        <v>0</v>
      </c>
      <c r="Y72">
        <f t="shared" si="70"/>
        <v>0</v>
      </c>
      <c r="Z72">
        <f t="shared" si="71"/>
        <v>0</v>
      </c>
      <c r="AA72">
        <f t="shared" si="72"/>
        <v>0</v>
      </c>
      <c r="AB72">
        <f t="shared" si="73"/>
        <v>0</v>
      </c>
      <c r="AC72">
        <f t="shared" si="74"/>
        <v>0</v>
      </c>
      <c r="AD72">
        <f t="shared" si="75"/>
        <v>0</v>
      </c>
      <c r="AE72">
        <f t="shared" si="76"/>
        <v>0</v>
      </c>
      <c r="AF72">
        <f t="shared" si="77"/>
        <v>0</v>
      </c>
      <c r="AG72">
        <f t="shared" si="78"/>
        <v>0</v>
      </c>
      <c r="AH72">
        <f t="shared" si="79"/>
        <v>0</v>
      </c>
      <c r="AI72">
        <f t="shared" si="80"/>
        <v>0</v>
      </c>
      <c r="AJ72">
        <f t="shared" si="81"/>
        <v>0</v>
      </c>
      <c r="AK72">
        <f t="shared" si="82"/>
        <v>0</v>
      </c>
      <c r="AL72">
        <f t="shared" si="83"/>
        <v>0</v>
      </c>
      <c r="AM72">
        <f t="shared" si="84"/>
        <v>0</v>
      </c>
      <c r="AN72">
        <f t="shared" si="85"/>
        <v>0</v>
      </c>
      <c r="AO72">
        <f t="shared" si="86"/>
        <v>0</v>
      </c>
      <c r="AP72">
        <f t="shared" si="87"/>
        <v>0</v>
      </c>
      <c r="AQ72">
        <f t="shared" si="88"/>
        <v>0</v>
      </c>
      <c r="AR72">
        <f t="shared" si="89"/>
        <v>0</v>
      </c>
      <c r="AS72">
        <f t="shared" si="90"/>
        <v>0</v>
      </c>
      <c r="AT72">
        <f t="shared" si="91"/>
        <v>0</v>
      </c>
      <c r="AU72">
        <f t="shared" si="92"/>
        <v>0</v>
      </c>
      <c r="AV72">
        <f t="shared" si="93"/>
        <v>0</v>
      </c>
      <c r="AW72">
        <f t="shared" si="48"/>
        <v>0</v>
      </c>
      <c r="AX72">
        <f t="shared" si="94"/>
        <v>0</v>
      </c>
      <c r="AY72">
        <f t="shared" si="95"/>
        <v>0</v>
      </c>
    </row>
    <row r="73" spans="1:51" x14ac:dyDescent="0.35">
      <c r="A73">
        <v>67</v>
      </c>
      <c r="C73">
        <f>MAX(0,Calc!$C$7-SUM(D73:R73))</f>
        <v>750</v>
      </c>
      <c r="D73">
        <f t="shared" si="49"/>
        <v>0</v>
      </c>
      <c r="E73">
        <f t="shared" si="50"/>
        <v>0</v>
      </c>
      <c r="F73">
        <f t="shared" si="51"/>
        <v>0</v>
      </c>
      <c r="G73">
        <f t="shared" si="52"/>
        <v>0</v>
      </c>
      <c r="H73">
        <f t="shared" si="53"/>
        <v>0</v>
      </c>
      <c r="I73">
        <f t="shared" si="54"/>
        <v>0</v>
      </c>
      <c r="J73">
        <f t="shared" si="55"/>
        <v>0</v>
      </c>
      <c r="K73">
        <f t="shared" si="56"/>
        <v>0</v>
      </c>
      <c r="L73">
        <f t="shared" si="57"/>
        <v>0</v>
      </c>
      <c r="M73">
        <f t="shared" si="58"/>
        <v>0</v>
      </c>
      <c r="N73">
        <f t="shared" si="59"/>
        <v>0</v>
      </c>
      <c r="O73">
        <f t="shared" si="60"/>
        <v>0</v>
      </c>
      <c r="P73">
        <f t="shared" si="61"/>
        <v>0</v>
      </c>
      <c r="Q73">
        <f t="shared" si="62"/>
        <v>0</v>
      </c>
      <c r="R73">
        <f t="shared" si="63"/>
        <v>0</v>
      </c>
      <c r="S73">
        <f t="shared" si="64"/>
        <v>0</v>
      </c>
      <c r="T73">
        <f t="shared" si="65"/>
        <v>0</v>
      </c>
      <c r="U73">
        <f t="shared" si="66"/>
        <v>0</v>
      </c>
      <c r="V73">
        <f t="shared" si="67"/>
        <v>0</v>
      </c>
      <c r="W73">
        <f t="shared" si="68"/>
        <v>0</v>
      </c>
      <c r="X73">
        <f t="shared" si="69"/>
        <v>0</v>
      </c>
      <c r="Y73">
        <f t="shared" si="70"/>
        <v>0</v>
      </c>
      <c r="Z73">
        <f t="shared" si="71"/>
        <v>0</v>
      </c>
      <c r="AA73">
        <f t="shared" si="72"/>
        <v>0</v>
      </c>
      <c r="AB73">
        <f t="shared" si="73"/>
        <v>0</v>
      </c>
      <c r="AC73">
        <f t="shared" si="74"/>
        <v>0</v>
      </c>
      <c r="AD73">
        <f t="shared" si="75"/>
        <v>0</v>
      </c>
      <c r="AE73">
        <f t="shared" si="76"/>
        <v>0</v>
      </c>
      <c r="AF73">
        <f t="shared" si="77"/>
        <v>0</v>
      </c>
      <c r="AG73">
        <f t="shared" si="78"/>
        <v>0</v>
      </c>
      <c r="AH73">
        <f t="shared" si="79"/>
        <v>0</v>
      </c>
      <c r="AI73">
        <f t="shared" si="80"/>
        <v>0</v>
      </c>
      <c r="AJ73">
        <f t="shared" si="81"/>
        <v>0</v>
      </c>
      <c r="AK73">
        <f t="shared" si="82"/>
        <v>0</v>
      </c>
      <c r="AL73">
        <f t="shared" si="83"/>
        <v>0</v>
      </c>
      <c r="AM73">
        <f t="shared" si="84"/>
        <v>0</v>
      </c>
      <c r="AN73">
        <f t="shared" si="85"/>
        <v>0</v>
      </c>
      <c r="AO73">
        <f t="shared" si="86"/>
        <v>0</v>
      </c>
      <c r="AP73">
        <f t="shared" si="87"/>
        <v>0</v>
      </c>
      <c r="AQ73">
        <f t="shared" si="88"/>
        <v>0</v>
      </c>
      <c r="AR73">
        <f t="shared" si="89"/>
        <v>0</v>
      </c>
      <c r="AS73">
        <f t="shared" si="90"/>
        <v>0</v>
      </c>
      <c r="AT73">
        <f t="shared" si="91"/>
        <v>0</v>
      </c>
      <c r="AU73">
        <f t="shared" si="92"/>
        <v>0</v>
      </c>
      <c r="AV73">
        <f t="shared" si="93"/>
        <v>0</v>
      </c>
      <c r="AW73">
        <f t="shared" si="48"/>
        <v>0</v>
      </c>
      <c r="AX73">
        <f t="shared" si="94"/>
        <v>0</v>
      </c>
      <c r="AY73">
        <f t="shared" si="95"/>
        <v>0</v>
      </c>
    </row>
    <row r="74" spans="1:51" x14ac:dyDescent="0.35">
      <c r="A74">
        <v>68</v>
      </c>
      <c r="C74">
        <f>MAX(0,Calc!$C$7-SUM(D74:R74))</f>
        <v>750</v>
      </c>
      <c r="D74">
        <f t="shared" si="49"/>
        <v>0</v>
      </c>
      <c r="E74">
        <f t="shared" si="50"/>
        <v>0</v>
      </c>
      <c r="F74">
        <f t="shared" si="51"/>
        <v>0</v>
      </c>
      <c r="G74">
        <f t="shared" si="52"/>
        <v>0</v>
      </c>
      <c r="H74">
        <f t="shared" si="53"/>
        <v>0</v>
      </c>
      <c r="I74">
        <f t="shared" si="54"/>
        <v>0</v>
      </c>
      <c r="J74">
        <f t="shared" si="55"/>
        <v>0</v>
      </c>
      <c r="K74">
        <f t="shared" si="56"/>
        <v>0</v>
      </c>
      <c r="L74">
        <f t="shared" si="57"/>
        <v>0</v>
      </c>
      <c r="M74">
        <f t="shared" si="58"/>
        <v>0</v>
      </c>
      <c r="N74">
        <f t="shared" si="59"/>
        <v>0</v>
      </c>
      <c r="O74">
        <f t="shared" si="60"/>
        <v>0</v>
      </c>
      <c r="P74">
        <f t="shared" si="61"/>
        <v>0</v>
      </c>
      <c r="Q74">
        <f t="shared" si="62"/>
        <v>0</v>
      </c>
      <c r="R74">
        <f t="shared" si="63"/>
        <v>0</v>
      </c>
      <c r="S74">
        <f t="shared" si="64"/>
        <v>0</v>
      </c>
      <c r="T74">
        <f t="shared" si="65"/>
        <v>0</v>
      </c>
      <c r="U74">
        <f t="shared" si="66"/>
        <v>0</v>
      </c>
      <c r="V74">
        <f t="shared" si="67"/>
        <v>0</v>
      </c>
      <c r="W74">
        <f t="shared" si="68"/>
        <v>0</v>
      </c>
      <c r="X74">
        <f t="shared" si="69"/>
        <v>0</v>
      </c>
      <c r="Y74">
        <f t="shared" si="70"/>
        <v>0</v>
      </c>
      <c r="Z74">
        <f t="shared" si="71"/>
        <v>0</v>
      </c>
      <c r="AA74">
        <f t="shared" si="72"/>
        <v>0</v>
      </c>
      <c r="AB74">
        <f t="shared" si="73"/>
        <v>0</v>
      </c>
      <c r="AC74">
        <f t="shared" si="74"/>
        <v>0</v>
      </c>
      <c r="AD74">
        <f t="shared" si="75"/>
        <v>0</v>
      </c>
      <c r="AE74">
        <f t="shared" si="76"/>
        <v>0</v>
      </c>
      <c r="AF74">
        <f t="shared" si="77"/>
        <v>0</v>
      </c>
      <c r="AG74">
        <f t="shared" si="78"/>
        <v>0</v>
      </c>
      <c r="AH74">
        <f t="shared" si="79"/>
        <v>0</v>
      </c>
      <c r="AI74">
        <f t="shared" si="80"/>
        <v>0</v>
      </c>
      <c r="AJ74">
        <f t="shared" si="81"/>
        <v>0</v>
      </c>
      <c r="AK74">
        <f t="shared" si="82"/>
        <v>0</v>
      </c>
      <c r="AL74">
        <f t="shared" si="83"/>
        <v>0</v>
      </c>
      <c r="AM74">
        <f t="shared" si="84"/>
        <v>0</v>
      </c>
      <c r="AN74">
        <f t="shared" si="85"/>
        <v>0</v>
      </c>
      <c r="AO74">
        <f t="shared" si="86"/>
        <v>0</v>
      </c>
      <c r="AP74">
        <f t="shared" si="87"/>
        <v>0</v>
      </c>
      <c r="AQ74">
        <f t="shared" si="88"/>
        <v>0</v>
      </c>
      <c r="AR74">
        <f t="shared" si="89"/>
        <v>0</v>
      </c>
      <c r="AS74">
        <f t="shared" si="90"/>
        <v>0</v>
      </c>
      <c r="AT74">
        <f t="shared" si="91"/>
        <v>0</v>
      </c>
      <c r="AU74">
        <f t="shared" si="92"/>
        <v>0</v>
      </c>
      <c r="AV74">
        <f t="shared" si="93"/>
        <v>0</v>
      </c>
      <c r="AW74">
        <f t="shared" si="48"/>
        <v>0</v>
      </c>
      <c r="AX74">
        <f t="shared" si="94"/>
        <v>0</v>
      </c>
      <c r="AY74">
        <f t="shared" si="95"/>
        <v>0</v>
      </c>
    </row>
    <row r="75" spans="1:51" x14ac:dyDescent="0.35">
      <c r="A75">
        <v>69</v>
      </c>
      <c r="C75">
        <f>MAX(0,Calc!$C$7-SUM(D75:R75))</f>
        <v>750</v>
      </c>
      <c r="D75">
        <f t="shared" si="49"/>
        <v>0</v>
      </c>
      <c r="E75">
        <f t="shared" si="50"/>
        <v>0</v>
      </c>
      <c r="F75">
        <f t="shared" si="51"/>
        <v>0</v>
      </c>
      <c r="G75">
        <f t="shared" si="52"/>
        <v>0</v>
      </c>
      <c r="H75">
        <f t="shared" si="53"/>
        <v>0</v>
      </c>
      <c r="I75">
        <f t="shared" si="54"/>
        <v>0</v>
      </c>
      <c r="J75">
        <f t="shared" si="55"/>
        <v>0</v>
      </c>
      <c r="K75">
        <f t="shared" si="56"/>
        <v>0</v>
      </c>
      <c r="L75">
        <f t="shared" si="57"/>
        <v>0</v>
      </c>
      <c r="M75">
        <f t="shared" si="58"/>
        <v>0</v>
      </c>
      <c r="N75">
        <f t="shared" si="59"/>
        <v>0</v>
      </c>
      <c r="O75">
        <f t="shared" si="60"/>
        <v>0</v>
      </c>
      <c r="P75">
        <f t="shared" si="61"/>
        <v>0</v>
      </c>
      <c r="Q75">
        <f t="shared" si="62"/>
        <v>0</v>
      </c>
      <c r="R75">
        <f t="shared" si="63"/>
        <v>0</v>
      </c>
      <c r="S75">
        <f t="shared" si="64"/>
        <v>0</v>
      </c>
      <c r="T75">
        <f t="shared" si="65"/>
        <v>0</v>
      </c>
      <c r="U75">
        <f t="shared" si="66"/>
        <v>0</v>
      </c>
      <c r="V75">
        <f t="shared" si="67"/>
        <v>0</v>
      </c>
      <c r="W75">
        <f t="shared" si="68"/>
        <v>0</v>
      </c>
      <c r="X75">
        <f t="shared" si="69"/>
        <v>0</v>
      </c>
      <c r="Y75">
        <f t="shared" si="70"/>
        <v>0</v>
      </c>
      <c r="Z75">
        <f t="shared" si="71"/>
        <v>0</v>
      </c>
      <c r="AA75">
        <f t="shared" si="72"/>
        <v>0</v>
      </c>
      <c r="AB75">
        <f t="shared" si="73"/>
        <v>0</v>
      </c>
      <c r="AC75">
        <f t="shared" si="74"/>
        <v>0</v>
      </c>
      <c r="AD75">
        <f t="shared" si="75"/>
        <v>0</v>
      </c>
      <c r="AE75">
        <f t="shared" si="76"/>
        <v>0</v>
      </c>
      <c r="AF75">
        <f t="shared" si="77"/>
        <v>0</v>
      </c>
      <c r="AG75">
        <f t="shared" si="78"/>
        <v>0</v>
      </c>
      <c r="AH75">
        <f t="shared" si="79"/>
        <v>0</v>
      </c>
      <c r="AI75">
        <f t="shared" si="80"/>
        <v>0</v>
      </c>
      <c r="AJ75">
        <f t="shared" si="81"/>
        <v>0</v>
      </c>
      <c r="AK75">
        <f t="shared" si="82"/>
        <v>0</v>
      </c>
      <c r="AL75">
        <f t="shared" si="83"/>
        <v>0</v>
      </c>
      <c r="AM75">
        <f t="shared" si="84"/>
        <v>0</v>
      </c>
      <c r="AN75">
        <f t="shared" si="85"/>
        <v>0</v>
      </c>
      <c r="AO75">
        <f t="shared" si="86"/>
        <v>0</v>
      </c>
      <c r="AP75">
        <f t="shared" si="87"/>
        <v>0</v>
      </c>
      <c r="AQ75">
        <f t="shared" si="88"/>
        <v>0</v>
      </c>
      <c r="AR75">
        <f t="shared" si="89"/>
        <v>0</v>
      </c>
      <c r="AS75">
        <f t="shared" si="90"/>
        <v>0</v>
      </c>
      <c r="AT75">
        <f t="shared" si="91"/>
        <v>0</v>
      </c>
      <c r="AU75">
        <f t="shared" si="92"/>
        <v>0</v>
      </c>
      <c r="AV75">
        <f t="shared" si="93"/>
        <v>0</v>
      </c>
      <c r="AW75">
        <f t="shared" si="48"/>
        <v>0</v>
      </c>
      <c r="AX75">
        <f t="shared" si="94"/>
        <v>0</v>
      </c>
      <c r="AY75">
        <f t="shared" si="95"/>
        <v>0</v>
      </c>
    </row>
    <row r="76" spans="1:51" x14ac:dyDescent="0.35">
      <c r="A76">
        <v>70</v>
      </c>
      <c r="C76">
        <f>MAX(0,Calc!$C$7-SUM(D76:R76))</f>
        <v>750</v>
      </c>
      <c r="D76">
        <f t="shared" si="49"/>
        <v>0</v>
      </c>
      <c r="E76">
        <f t="shared" si="50"/>
        <v>0</v>
      </c>
      <c r="F76">
        <f t="shared" si="51"/>
        <v>0</v>
      </c>
      <c r="G76">
        <f t="shared" si="52"/>
        <v>0</v>
      </c>
      <c r="H76">
        <f t="shared" si="53"/>
        <v>0</v>
      </c>
      <c r="I76">
        <f t="shared" si="54"/>
        <v>0</v>
      </c>
      <c r="J76">
        <f t="shared" si="55"/>
        <v>0</v>
      </c>
      <c r="K76">
        <f t="shared" si="56"/>
        <v>0</v>
      </c>
      <c r="L76">
        <f t="shared" si="57"/>
        <v>0</v>
      </c>
      <c r="M76">
        <f t="shared" si="58"/>
        <v>0</v>
      </c>
      <c r="N76">
        <f t="shared" si="59"/>
        <v>0</v>
      </c>
      <c r="O76">
        <f t="shared" si="60"/>
        <v>0</v>
      </c>
      <c r="P76">
        <f t="shared" si="61"/>
        <v>0</v>
      </c>
      <c r="Q76">
        <f t="shared" si="62"/>
        <v>0</v>
      </c>
      <c r="R76">
        <f t="shared" si="63"/>
        <v>0</v>
      </c>
      <c r="S76">
        <f t="shared" si="64"/>
        <v>0</v>
      </c>
      <c r="T76">
        <f t="shared" si="65"/>
        <v>0</v>
      </c>
      <c r="U76">
        <f t="shared" si="66"/>
        <v>0</v>
      </c>
      <c r="V76">
        <f t="shared" si="67"/>
        <v>0</v>
      </c>
      <c r="W76">
        <f t="shared" si="68"/>
        <v>0</v>
      </c>
      <c r="X76">
        <f t="shared" si="69"/>
        <v>0</v>
      </c>
      <c r="Y76">
        <f t="shared" si="70"/>
        <v>0</v>
      </c>
      <c r="Z76">
        <f t="shared" si="71"/>
        <v>0</v>
      </c>
      <c r="AA76">
        <f t="shared" si="72"/>
        <v>0</v>
      </c>
      <c r="AB76">
        <f t="shared" si="73"/>
        <v>0</v>
      </c>
      <c r="AC76">
        <f t="shared" si="74"/>
        <v>0</v>
      </c>
      <c r="AD76">
        <f t="shared" si="75"/>
        <v>0</v>
      </c>
      <c r="AE76">
        <f t="shared" si="76"/>
        <v>0</v>
      </c>
      <c r="AF76">
        <f t="shared" si="77"/>
        <v>0</v>
      </c>
      <c r="AG76">
        <f t="shared" si="78"/>
        <v>0</v>
      </c>
      <c r="AH76">
        <f t="shared" si="79"/>
        <v>0</v>
      </c>
      <c r="AI76">
        <f t="shared" si="80"/>
        <v>0</v>
      </c>
      <c r="AJ76">
        <f t="shared" si="81"/>
        <v>0</v>
      </c>
      <c r="AK76">
        <f t="shared" si="82"/>
        <v>0</v>
      </c>
      <c r="AL76">
        <f t="shared" si="83"/>
        <v>0</v>
      </c>
      <c r="AM76">
        <f t="shared" si="84"/>
        <v>0</v>
      </c>
      <c r="AN76">
        <f t="shared" si="85"/>
        <v>0</v>
      </c>
      <c r="AO76">
        <f t="shared" si="86"/>
        <v>0</v>
      </c>
      <c r="AP76">
        <f t="shared" si="87"/>
        <v>0</v>
      </c>
      <c r="AQ76">
        <f t="shared" si="88"/>
        <v>0</v>
      </c>
      <c r="AR76">
        <f t="shared" si="89"/>
        <v>0</v>
      </c>
      <c r="AS76">
        <f t="shared" si="90"/>
        <v>0</v>
      </c>
      <c r="AT76">
        <f t="shared" si="91"/>
        <v>0</v>
      </c>
      <c r="AU76">
        <f t="shared" si="92"/>
        <v>0</v>
      </c>
      <c r="AV76">
        <f t="shared" si="93"/>
        <v>0</v>
      </c>
      <c r="AW76">
        <f t="shared" si="48"/>
        <v>0</v>
      </c>
      <c r="AX76">
        <f t="shared" si="94"/>
        <v>0</v>
      </c>
      <c r="AY76">
        <f t="shared" si="95"/>
        <v>0</v>
      </c>
    </row>
    <row r="77" spans="1:51" x14ac:dyDescent="0.35">
      <c r="A77">
        <v>71</v>
      </c>
      <c r="C77">
        <f>MAX(0,Calc!$C$7-SUM(D77:R77))</f>
        <v>750</v>
      </c>
      <c r="D77">
        <f t="shared" si="49"/>
        <v>0</v>
      </c>
      <c r="E77">
        <f t="shared" si="50"/>
        <v>0</v>
      </c>
      <c r="F77">
        <f t="shared" si="51"/>
        <v>0</v>
      </c>
      <c r="G77">
        <f t="shared" si="52"/>
        <v>0</v>
      </c>
      <c r="H77">
        <f t="shared" si="53"/>
        <v>0</v>
      </c>
      <c r="I77">
        <f t="shared" si="54"/>
        <v>0</v>
      </c>
      <c r="J77">
        <f t="shared" si="55"/>
        <v>0</v>
      </c>
      <c r="K77">
        <f t="shared" si="56"/>
        <v>0</v>
      </c>
      <c r="L77">
        <f t="shared" si="57"/>
        <v>0</v>
      </c>
      <c r="M77">
        <f t="shared" si="58"/>
        <v>0</v>
      </c>
      <c r="N77">
        <f t="shared" si="59"/>
        <v>0</v>
      </c>
      <c r="O77">
        <f t="shared" si="60"/>
        <v>0</v>
      </c>
      <c r="P77">
        <f t="shared" si="61"/>
        <v>0</v>
      </c>
      <c r="Q77">
        <f t="shared" si="62"/>
        <v>0</v>
      </c>
      <c r="R77">
        <f t="shared" si="63"/>
        <v>0</v>
      </c>
      <c r="S77">
        <f t="shared" si="64"/>
        <v>0</v>
      </c>
      <c r="T77">
        <f t="shared" si="65"/>
        <v>0</v>
      </c>
      <c r="U77">
        <f t="shared" si="66"/>
        <v>0</v>
      </c>
      <c r="V77">
        <f t="shared" si="67"/>
        <v>0</v>
      </c>
      <c r="W77">
        <f t="shared" si="68"/>
        <v>0</v>
      </c>
      <c r="X77">
        <f t="shared" si="69"/>
        <v>0</v>
      </c>
      <c r="Y77">
        <f t="shared" si="70"/>
        <v>0</v>
      </c>
      <c r="Z77">
        <f t="shared" si="71"/>
        <v>0</v>
      </c>
      <c r="AA77">
        <f t="shared" si="72"/>
        <v>0</v>
      </c>
      <c r="AB77">
        <f t="shared" si="73"/>
        <v>0</v>
      </c>
      <c r="AC77">
        <f t="shared" si="74"/>
        <v>0</v>
      </c>
      <c r="AD77">
        <f t="shared" si="75"/>
        <v>0</v>
      </c>
      <c r="AE77">
        <f t="shared" si="76"/>
        <v>0</v>
      </c>
      <c r="AF77">
        <f t="shared" si="77"/>
        <v>0</v>
      </c>
      <c r="AG77">
        <f t="shared" si="78"/>
        <v>0</v>
      </c>
      <c r="AH77">
        <f t="shared" si="79"/>
        <v>0</v>
      </c>
      <c r="AI77">
        <f t="shared" si="80"/>
        <v>0</v>
      </c>
      <c r="AJ77">
        <f t="shared" si="81"/>
        <v>0</v>
      </c>
      <c r="AK77">
        <f t="shared" si="82"/>
        <v>0</v>
      </c>
      <c r="AL77">
        <f t="shared" si="83"/>
        <v>0</v>
      </c>
      <c r="AM77">
        <f t="shared" si="84"/>
        <v>0</v>
      </c>
      <c r="AN77">
        <f t="shared" si="85"/>
        <v>0</v>
      </c>
      <c r="AO77">
        <f t="shared" si="86"/>
        <v>0</v>
      </c>
      <c r="AP77">
        <f t="shared" si="87"/>
        <v>0</v>
      </c>
      <c r="AQ77">
        <f t="shared" si="88"/>
        <v>0</v>
      </c>
      <c r="AR77">
        <f t="shared" si="89"/>
        <v>0</v>
      </c>
      <c r="AS77">
        <f t="shared" si="90"/>
        <v>0</v>
      </c>
      <c r="AT77">
        <f t="shared" si="91"/>
        <v>0</v>
      </c>
      <c r="AU77">
        <f t="shared" si="92"/>
        <v>0</v>
      </c>
      <c r="AV77">
        <f t="shared" si="93"/>
        <v>0</v>
      </c>
      <c r="AW77">
        <f t="shared" si="48"/>
        <v>0</v>
      </c>
      <c r="AX77">
        <f t="shared" si="94"/>
        <v>0</v>
      </c>
      <c r="AY77">
        <f t="shared" si="95"/>
        <v>0</v>
      </c>
    </row>
    <row r="78" spans="1:51" x14ac:dyDescent="0.35">
      <c r="A78">
        <v>72</v>
      </c>
      <c r="C78">
        <f>MAX(0,Calc!$C$7-SUM(D78:R78))</f>
        <v>750</v>
      </c>
      <c r="D78">
        <f t="shared" si="49"/>
        <v>0</v>
      </c>
      <c r="E78">
        <f t="shared" si="50"/>
        <v>0</v>
      </c>
      <c r="F78">
        <f t="shared" si="51"/>
        <v>0</v>
      </c>
      <c r="G78">
        <f t="shared" si="52"/>
        <v>0</v>
      </c>
      <c r="H78">
        <f t="shared" si="53"/>
        <v>0</v>
      </c>
      <c r="I78">
        <f t="shared" si="54"/>
        <v>0</v>
      </c>
      <c r="J78">
        <f t="shared" si="55"/>
        <v>0</v>
      </c>
      <c r="K78">
        <f t="shared" si="56"/>
        <v>0</v>
      </c>
      <c r="L78">
        <f t="shared" si="57"/>
        <v>0</v>
      </c>
      <c r="M78">
        <f t="shared" si="58"/>
        <v>0</v>
      </c>
      <c r="N78">
        <f t="shared" si="59"/>
        <v>0</v>
      </c>
      <c r="O78">
        <f t="shared" si="60"/>
        <v>0</v>
      </c>
      <c r="P78">
        <f t="shared" si="61"/>
        <v>0</v>
      </c>
      <c r="Q78">
        <f t="shared" si="62"/>
        <v>0</v>
      </c>
      <c r="R78">
        <f t="shared" si="63"/>
        <v>0</v>
      </c>
      <c r="S78">
        <f t="shared" si="64"/>
        <v>0</v>
      </c>
      <c r="T78">
        <f t="shared" si="65"/>
        <v>0</v>
      </c>
      <c r="U78">
        <f t="shared" si="66"/>
        <v>0</v>
      </c>
      <c r="V78">
        <f t="shared" si="67"/>
        <v>0</v>
      </c>
      <c r="W78">
        <f t="shared" si="68"/>
        <v>0</v>
      </c>
      <c r="X78">
        <f t="shared" si="69"/>
        <v>0</v>
      </c>
      <c r="Y78">
        <f t="shared" si="70"/>
        <v>0</v>
      </c>
      <c r="Z78">
        <f t="shared" si="71"/>
        <v>0</v>
      </c>
      <c r="AA78">
        <f t="shared" si="72"/>
        <v>0</v>
      </c>
      <c r="AB78">
        <f t="shared" si="73"/>
        <v>0</v>
      </c>
      <c r="AC78">
        <f t="shared" si="74"/>
        <v>0</v>
      </c>
      <c r="AD78">
        <f t="shared" si="75"/>
        <v>0</v>
      </c>
      <c r="AE78">
        <f t="shared" si="76"/>
        <v>0</v>
      </c>
      <c r="AF78">
        <f t="shared" si="77"/>
        <v>0</v>
      </c>
      <c r="AG78">
        <f t="shared" si="78"/>
        <v>0</v>
      </c>
      <c r="AH78">
        <f t="shared" si="79"/>
        <v>0</v>
      </c>
      <c r="AI78">
        <f t="shared" si="80"/>
        <v>0</v>
      </c>
      <c r="AJ78">
        <f t="shared" si="81"/>
        <v>0</v>
      </c>
      <c r="AK78">
        <f t="shared" si="82"/>
        <v>0</v>
      </c>
      <c r="AL78">
        <f t="shared" si="83"/>
        <v>0</v>
      </c>
      <c r="AM78">
        <f t="shared" si="84"/>
        <v>0</v>
      </c>
      <c r="AN78">
        <f t="shared" si="85"/>
        <v>0</v>
      </c>
      <c r="AO78">
        <f t="shared" si="86"/>
        <v>0</v>
      </c>
      <c r="AP78">
        <f t="shared" si="87"/>
        <v>0</v>
      </c>
      <c r="AQ78">
        <f t="shared" si="88"/>
        <v>0</v>
      </c>
      <c r="AR78">
        <f t="shared" si="89"/>
        <v>0</v>
      </c>
      <c r="AS78">
        <f t="shared" si="90"/>
        <v>0</v>
      </c>
      <c r="AT78">
        <f t="shared" si="91"/>
        <v>0</v>
      </c>
      <c r="AU78">
        <f t="shared" si="92"/>
        <v>0</v>
      </c>
      <c r="AV78">
        <f t="shared" si="93"/>
        <v>0</v>
      </c>
      <c r="AW78">
        <f t="shared" si="48"/>
        <v>0</v>
      </c>
      <c r="AX78">
        <f t="shared" si="94"/>
        <v>0</v>
      </c>
      <c r="AY78">
        <f t="shared" si="95"/>
        <v>0</v>
      </c>
    </row>
    <row r="79" spans="1:51" x14ac:dyDescent="0.35">
      <c r="A79">
        <v>73</v>
      </c>
      <c r="C79">
        <f>MAX(0,Calc!$C$7-SUM(D79:R79))</f>
        <v>750</v>
      </c>
      <c r="D79">
        <f t="shared" si="49"/>
        <v>0</v>
      </c>
      <c r="E79">
        <f t="shared" si="50"/>
        <v>0</v>
      </c>
      <c r="F79">
        <f t="shared" si="51"/>
        <v>0</v>
      </c>
      <c r="G79">
        <f t="shared" si="52"/>
        <v>0</v>
      </c>
      <c r="H79">
        <f t="shared" si="53"/>
        <v>0</v>
      </c>
      <c r="I79">
        <f t="shared" si="54"/>
        <v>0</v>
      </c>
      <c r="J79">
        <f t="shared" si="55"/>
        <v>0</v>
      </c>
      <c r="K79">
        <f t="shared" si="56"/>
        <v>0</v>
      </c>
      <c r="L79">
        <f t="shared" si="57"/>
        <v>0</v>
      </c>
      <c r="M79">
        <f t="shared" si="58"/>
        <v>0</v>
      </c>
      <c r="N79">
        <f t="shared" si="59"/>
        <v>0</v>
      </c>
      <c r="O79">
        <f t="shared" si="60"/>
        <v>0</v>
      </c>
      <c r="P79">
        <f t="shared" si="61"/>
        <v>0</v>
      </c>
      <c r="Q79">
        <f t="shared" si="62"/>
        <v>0</v>
      </c>
      <c r="R79">
        <f t="shared" si="63"/>
        <v>0</v>
      </c>
      <c r="S79">
        <f t="shared" si="64"/>
        <v>0</v>
      </c>
      <c r="T79">
        <f t="shared" si="65"/>
        <v>0</v>
      </c>
      <c r="U79">
        <f t="shared" si="66"/>
        <v>0</v>
      </c>
      <c r="V79">
        <f t="shared" si="67"/>
        <v>0</v>
      </c>
      <c r="W79">
        <f t="shared" si="68"/>
        <v>0</v>
      </c>
      <c r="X79">
        <f t="shared" si="69"/>
        <v>0</v>
      </c>
      <c r="Y79">
        <f t="shared" si="70"/>
        <v>0</v>
      </c>
      <c r="Z79">
        <f t="shared" si="71"/>
        <v>0</v>
      </c>
      <c r="AA79">
        <f t="shared" si="72"/>
        <v>0</v>
      </c>
      <c r="AB79">
        <f t="shared" si="73"/>
        <v>0</v>
      </c>
      <c r="AC79">
        <f t="shared" si="74"/>
        <v>0</v>
      </c>
      <c r="AD79">
        <f t="shared" si="75"/>
        <v>0</v>
      </c>
      <c r="AE79">
        <f t="shared" si="76"/>
        <v>0</v>
      </c>
      <c r="AF79">
        <f t="shared" si="77"/>
        <v>0</v>
      </c>
      <c r="AG79">
        <f t="shared" si="78"/>
        <v>0</v>
      </c>
      <c r="AH79">
        <f t="shared" si="79"/>
        <v>0</v>
      </c>
      <c r="AI79">
        <f t="shared" si="80"/>
        <v>0</v>
      </c>
      <c r="AJ79">
        <f t="shared" si="81"/>
        <v>0</v>
      </c>
      <c r="AK79">
        <f t="shared" si="82"/>
        <v>0</v>
      </c>
      <c r="AL79">
        <f t="shared" si="83"/>
        <v>0</v>
      </c>
      <c r="AM79">
        <f t="shared" si="84"/>
        <v>0</v>
      </c>
      <c r="AN79">
        <f t="shared" si="85"/>
        <v>0</v>
      </c>
      <c r="AO79">
        <f t="shared" si="86"/>
        <v>0</v>
      </c>
      <c r="AP79">
        <f t="shared" si="87"/>
        <v>0</v>
      </c>
      <c r="AQ79">
        <f t="shared" si="88"/>
        <v>0</v>
      </c>
      <c r="AR79">
        <f t="shared" si="89"/>
        <v>0</v>
      </c>
      <c r="AS79">
        <f t="shared" si="90"/>
        <v>0</v>
      </c>
      <c r="AT79">
        <f t="shared" si="91"/>
        <v>0</v>
      </c>
      <c r="AU79">
        <f t="shared" si="92"/>
        <v>0</v>
      </c>
      <c r="AV79">
        <f t="shared" si="93"/>
        <v>0</v>
      </c>
      <c r="AW79">
        <f t="shared" si="48"/>
        <v>0</v>
      </c>
      <c r="AX79">
        <f t="shared" si="94"/>
        <v>0</v>
      </c>
      <c r="AY79">
        <f t="shared" si="95"/>
        <v>0</v>
      </c>
    </row>
    <row r="80" spans="1:51" x14ac:dyDescent="0.35">
      <c r="A80">
        <v>74</v>
      </c>
      <c r="C80">
        <f>MAX(0,Calc!$C$7-SUM(D80:R80))</f>
        <v>750</v>
      </c>
      <c r="D80">
        <f t="shared" si="49"/>
        <v>0</v>
      </c>
      <c r="E80">
        <f t="shared" si="50"/>
        <v>0</v>
      </c>
      <c r="F80">
        <f t="shared" si="51"/>
        <v>0</v>
      </c>
      <c r="G80">
        <f t="shared" si="52"/>
        <v>0</v>
      </c>
      <c r="H80">
        <f t="shared" si="53"/>
        <v>0</v>
      </c>
      <c r="I80">
        <f t="shared" si="54"/>
        <v>0</v>
      </c>
      <c r="J80">
        <f t="shared" si="55"/>
        <v>0</v>
      </c>
      <c r="K80">
        <f t="shared" si="56"/>
        <v>0</v>
      </c>
      <c r="L80">
        <f t="shared" si="57"/>
        <v>0</v>
      </c>
      <c r="M80">
        <f t="shared" si="58"/>
        <v>0</v>
      </c>
      <c r="N80">
        <f t="shared" si="59"/>
        <v>0</v>
      </c>
      <c r="O80">
        <f t="shared" si="60"/>
        <v>0</v>
      </c>
      <c r="P80">
        <f t="shared" si="61"/>
        <v>0</v>
      </c>
      <c r="Q80">
        <f t="shared" si="62"/>
        <v>0</v>
      </c>
      <c r="R80">
        <f t="shared" si="63"/>
        <v>0</v>
      </c>
      <c r="S80">
        <f t="shared" si="64"/>
        <v>0</v>
      </c>
      <c r="T80">
        <f t="shared" si="65"/>
        <v>0</v>
      </c>
      <c r="U80">
        <f t="shared" si="66"/>
        <v>0</v>
      </c>
      <c r="V80">
        <f t="shared" si="67"/>
        <v>0</v>
      </c>
      <c r="W80">
        <f t="shared" si="68"/>
        <v>0</v>
      </c>
      <c r="X80">
        <f t="shared" si="69"/>
        <v>0</v>
      </c>
      <c r="Y80">
        <f t="shared" si="70"/>
        <v>0</v>
      </c>
      <c r="Z80">
        <f t="shared" si="71"/>
        <v>0</v>
      </c>
      <c r="AA80">
        <f t="shared" si="72"/>
        <v>0</v>
      </c>
      <c r="AB80">
        <f t="shared" si="73"/>
        <v>0</v>
      </c>
      <c r="AC80">
        <f t="shared" si="74"/>
        <v>0</v>
      </c>
      <c r="AD80">
        <f t="shared" si="75"/>
        <v>0</v>
      </c>
      <c r="AE80">
        <f t="shared" si="76"/>
        <v>0</v>
      </c>
      <c r="AF80">
        <f t="shared" si="77"/>
        <v>0</v>
      </c>
      <c r="AG80">
        <f t="shared" si="78"/>
        <v>0</v>
      </c>
      <c r="AH80">
        <f t="shared" si="79"/>
        <v>0</v>
      </c>
      <c r="AI80">
        <f t="shared" si="80"/>
        <v>0</v>
      </c>
      <c r="AJ80">
        <f t="shared" si="81"/>
        <v>0</v>
      </c>
      <c r="AK80">
        <f t="shared" si="82"/>
        <v>0</v>
      </c>
      <c r="AL80">
        <f t="shared" si="83"/>
        <v>0</v>
      </c>
      <c r="AM80">
        <f t="shared" si="84"/>
        <v>0</v>
      </c>
      <c r="AN80">
        <f t="shared" si="85"/>
        <v>0</v>
      </c>
      <c r="AO80">
        <f t="shared" si="86"/>
        <v>0</v>
      </c>
      <c r="AP80">
        <f t="shared" si="87"/>
        <v>0</v>
      </c>
      <c r="AQ80">
        <f t="shared" si="88"/>
        <v>0</v>
      </c>
      <c r="AR80">
        <f t="shared" si="89"/>
        <v>0</v>
      </c>
      <c r="AS80">
        <f t="shared" si="90"/>
        <v>0</v>
      </c>
      <c r="AT80">
        <f t="shared" si="91"/>
        <v>0</v>
      </c>
      <c r="AU80">
        <f t="shared" si="92"/>
        <v>0</v>
      </c>
      <c r="AV80">
        <f t="shared" si="93"/>
        <v>0</v>
      </c>
      <c r="AW80">
        <f t="shared" si="48"/>
        <v>0</v>
      </c>
      <c r="AX80">
        <f t="shared" si="94"/>
        <v>0</v>
      </c>
      <c r="AY80">
        <f t="shared" si="95"/>
        <v>0</v>
      </c>
    </row>
    <row r="81" spans="1:51" x14ac:dyDescent="0.35">
      <c r="A81">
        <v>75</v>
      </c>
      <c r="C81">
        <f>MAX(0,Calc!$C$7-SUM(D81:R81))</f>
        <v>750</v>
      </c>
      <c r="D81">
        <f t="shared" si="49"/>
        <v>0</v>
      </c>
      <c r="E81">
        <f t="shared" si="50"/>
        <v>0</v>
      </c>
      <c r="F81">
        <f t="shared" si="51"/>
        <v>0</v>
      </c>
      <c r="G81">
        <f t="shared" si="52"/>
        <v>0</v>
      </c>
      <c r="H81">
        <f t="shared" si="53"/>
        <v>0</v>
      </c>
      <c r="I81">
        <f t="shared" si="54"/>
        <v>0</v>
      </c>
      <c r="J81">
        <f t="shared" si="55"/>
        <v>0</v>
      </c>
      <c r="K81">
        <f t="shared" si="56"/>
        <v>0</v>
      </c>
      <c r="L81">
        <f t="shared" si="57"/>
        <v>0</v>
      </c>
      <c r="M81">
        <f t="shared" si="58"/>
        <v>0</v>
      </c>
      <c r="N81">
        <f t="shared" si="59"/>
        <v>0</v>
      </c>
      <c r="O81">
        <f t="shared" si="60"/>
        <v>0</v>
      </c>
      <c r="P81">
        <f t="shared" si="61"/>
        <v>0</v>
      </c>
      <c r="Q81">
        <f t="shared" si="62"/>
        <v>0</v>
      </c>
      <c r="R81">
        <f t="shared" si="63"/>
        <v>0</v>
      </c>
      <c r="S81">
        <f t="shared" si="64"/>
        <v>0</v>
      </c>
      <c r="T81">
        <f t="shared" si="65"/>
        <v>0</v>
      </c>
      <c r="U81">
        <f t="shared" si="66"/>
        <v>0</v>
      </c>
      <c r="V81">
        <f t="shared" si="67"/>
        <v>0</v>
      </c>
      <c r="W81">
        <f t="shared" si="68"/>
        <v>0</v>
      </c>
      <c r="X81">
        <f t="shared" si="69"/>
        <v>0</v>
      </c>
      <c r="Y81">
        <f t="shared" si="70"/>
        <v>0</v>
      </c>
      <c r="Z81">
        <f t="shared" si="71"/>
        <v>0</v>
      </c>
      <c r="AA81">
        <f t="shared" si="72"/>
        <v>0</v>
      </c>
      <c r="AB81">
        <f t="shared" si="73"/>
        <v>0</v>
      </c>
      <c r="AC81">
        <f t="shared" si="74"/>
        <v>0</v>
      </c>
      <c r="AD81">
        <f t="shared" si="75"/>
        <v>0</v>
      </c>
      <c r="AE81">
        <f t="shared" si="76"/>
        <v>0</v>
      </c>
      <c r="AF81">
        <f t="shared" si="77"/>
        <v>0</v>
      </c>
      <c r="AG81">
        <f t="shared" si="78"/>
        <v>0</v>
      </c>
      <c r="AH81">
        <f t="shared" si="79"/>
        <v>0</v>
      </c>
      <c r="AI81">
        <f t="shared" si="80"/>
        <v>0</v>
      </c>
      <c r="AJ81">
        <f t="shared" si="81"/>
        <v>0</v>
      </c>
      <c r="AK81">
        <f t="shared" si="82"/>
        <v>0</v>
      </c>
      <c r="AL81">
        <f t="shared" si="83"/>
        <v>0</v>
      </c>
      <c r="AM81">
        <f t="shared" si="84"/>
        <v>0</v>
      </c>
      <c r="AN81">
        <f t="shared" si="85"/>
        <v>0</v>
      </c>
      <c r="AO81">
        <f t="shared" si="86"/>
        <v>0</v>
      </c>
      <c r="AP81">
        <f t="shared" si="87"/>
        <v>0</v>
      </c>
      <c r="AQ81">
        <f t="shared" si="88"/>
        <v>0</v>
      </c>
      <c r="AR81">
        <f t="shared" si="89"/>
        <v>0</v>
      </c>
      <c r="AS81">
        <f t="shared" si="90"/>
        <v>0</v>
      </c>
      <c r="AT81">
        <f t="shared" si="91"/>
        <v>0</v>
      </c>
      <c r="AU81">
        <f t="shared" si="92"/>
        <v>0</v>
      </c>
      <c r="AV81">
        <f t="shared" si="93"/>
        <v>0</v>
      </c>
      <c r="AW81">
        <f t="shared" si="48"/>
        <v>0</v>
      </c>
      <c r="AX81">
        <f t="shared" si="94"/>
        <v>0</v>
      </c>
      <c r="AY81">
        <f t="shared" si="95"/>
        <v>0</v>
      </c>
    </row>
    <row r="82" spans="1:51" x14ac:dyDescent="0.35">
      <c r="A82">
        <v>76</v>
      </c>
      <c r="C82">
        <f>MAX(0,Calc!$C$7-SUM(D82:R82))</f>
        <v>750</v>
      </c>
      <c r="D82">
        <f t="shared" si="49"/>
        <v>0</v>
      </c>
      <c r="E82">
        <f t="shared" si="50"/>
        <v>0</v>
      </c>
      <c r="F82">
        <f t="shared" si="51"/>
        <v>0</v>
      </c>
      <c r="G82">
        <f t="shared" si="52"/>
        <v>0</v>
      </c>
      <c r="H82">
        <f t="shared" si="53"/>
        <v>0</v>
      </c>
      <c r="I82">
        <f t="shared" si="54"/>
        <v>0</v>
      </c>
      <c r="J82">
        <f t="shared" si="55"/>
        <v>0</v>
      </c>
      <c r="K82">
        <f t="shared" si="56"/>
        <v>0</v>
      </c>
      <c r="L82">
        <f t="shared" si="57"/>
        <v>0</v>
      </c>
      <c r="M82">
        <f t="shared" si="58"/>
        <v>0</v>
      </c>
      <c r="N82">
        <f t="shared" si="59"/>
        <v>0</v>
      </c>
      <c r="O82">
        <f t="shared" si="60"/>
        <v>0</v>
      </c>
      <c r="P82">
        <f t="shared" si="61"/>
        <v>0</v>
      </c>
      <c r="Q82">
        <f t="shared" si="62"/>
        <v>0</v>
      </c>
      <c r="R82">
        <f t="shared" si="63"/>
        <v>0</v>
      </c>
      <c r="S82">
        <f t="shared" si="64"/>
        <v>0</v>
      </c>
      <c r="T82">
        <f t="shared" si="65"/>
        <v>0</v>
      </c>
      <c r="U82">
        <f t="shared" si="66"/>
        <v>0</v>
      </c>
      <c r="V82">
        <f t="shared" si="67"/>
        <v>0</v>
      </c>
      <c r="W82">
        <f t="shared" si="68"/>
        <v>0</v>
      </c>
      <c r="X82">
        <f t="shared" si="69"/>
        <v>0</v>
      </c>
      <c r="Y82">
        <f t="shared" si="70"/>
        <v>0</v>
      </c>
      <c r="Z82">
        <f t="shared" si="71"/>
        <v>0</v>
      </c>
      <c r="AA82">
        <f t="shared" si="72"/>
        <v>0</v>
      </c>
      <c r="AB82">
        <f t="shared" si="73"/>
        <v>0</v>
      </c>
      <c r="AC82">
        <f t="shared" si="74"/>
        <v>0</v>
      </c>
      <c r="AD82">
        <f t="shared" si="75"/>
        <v>0</v>
      </c>
      <c r="AE82">
        <f t="shared" si="76"/>
        <v>0</v>
      </c>
      <c r="AF82">
        <f t="shared" si="77"/>
        <v>0</v>
      </c>
      <c r="AG82">
        <f t="shared" si="78"/>
        <v>0</v>
      </c>
      <c r="AH82">
        <f t="shared" si="79"/>
        <v>0</v>
      </c>
      <c r="AI82">
        <f t="shared" si="80"/>
        <v>0</v>
      </c>
      <c r="AJ82">
        <f t="shared" si="81"/>
        <v>0</v>
      </c>
      <c r="AK82">
        <f t="shared" si="82"/>
        <v>0</v>
      </c>
      <c r="AL82">
        <f t="shared" si="83"/>
        <v>0</v>
      </c>
      <c r="AM82">
        <f t="shared" si="84"/>
        <v>0</v>
      </c>
      <c r="AN82">
        <f t="shared" si="85"/>
        <v>0</v>
      </c>
      <c r="AO82">
        <f t="shared" si="86"/>
        <v>0</v>
      </c>
      <c r="AP82">
        <f t="shared" si="87"/>
        <v>0</v>
      </c>
      <c r="AQ82">
        <f t="shared" si="88"/>
        <v>0</v>
      </c>
      <c r="AR82">
        <f t="shared" si="89"/>
        <v>0</v>
      </c>
      <c r="AS82">
        <f t="shared" si="90"/>
        <v>0</v>
      </c>
      <c r="AT82">
        <f t="shared" si="91"/>
        <v>0</v>
      </c>
      <c r="AU82">
        <f t="shared" si="92"/>
        <v>0</v>
      </c>
      <c r="AV82">
        <f t="shared" si="93"/>
        <v>0</v>
      </c>
      <c r="AW82">
        <f t="shared" si="48"/>
        <v>0</v>
      </c>
      <c r="AX82">
        <f t="shared" si="94"/>
        <v>0</v>
      </c>
      <c r="AY82">
        <f t="shared" si="95"/>
        <v>0</v>
      </c>
    </row>
    <row r="83" spans="1:51" x14ac:dyDescent="0.35">
      <c r="A83">
        <v>77</v>
      </c>
      <c r="C83">
        <f>MAX(0,Calc!$C$7-SUM(D83:R83))</f>
        <v>750</v>
      </c>
      <c r="D83">
        <f t="shared" si="49"/>
        <v>0</v>
      </c>
      <c r="E83">
        <f t="shared" si="50"/>
        <v>0</v>
      </c>
      <c r="F83">
        <f t="shared" si="51"/>
        <v>0</v>
      </c>
      <c r="G83">
        <f t="shared" si="52"/>
        <v>0</v>
      </c>
      <c r="H83">
        <f t="shared" si="53"/>
        <v>0</v>
      </c>
      <c r="I83">
        <f t="shared" si="54"/>
        <v>0</v>
      </c>
      <c r="J83">
        <f t="shared" si="55"/>
        <v>0</v>
      </c>
      <c r="K83">
        <f t="shared" si="56"/>
        <v>0</v>
      </c>
      <c r="L83">
        <f t="shared" si="57"/>
        <v>0</v>
      </c>
      <c r="M83">
        <f t="shared" si="58"/>
        <v>0</v>
      </c>
      <c r="N83">
        <f t="shared" si="59"/>
        <v>0</v>
      </c>
      <c r="O83">
        <f t="shared" si="60"/>
        <v>0</v>
      </c>
      <c r="P83">
        <f t="shared" si="61"/>
        <v>0</v>
      </c>
      <c r="Q83">
        <f t="shared" si="62"/>
        <v>0</v>
      </c>
      <c r="R83">
        <f t="shared" si="63"/>
        <v>0</v>
      </c>
      <c r="S83">
        <f t="shared" si="64"/>
        <v>0</v>
      </c>
      <c r="T83">
        <f t="shared" si="65"/>
        <v>0</v>
      </c>
      <c r="U83">
        <f t="shared" si="66"/>
        <v>0</v>
      </c>
      <c r="V83">
        <f t="shared" si="67"/>
        <v>0</v>
      </c>
      <c r="W83">
        <f t="shared" si="68"/>
        <v>0</v>
      </c>
      <c r="X83">
        <f t="shared" si="69"/>
        <v>0</v>
      </c>
      <c r="Y83">
        <f t="shared" si="70"/>
        <v>0</v>
      </c>
      <c r="Z83">
        <f t="shared" si="71"/>
        <v>0</v>
      </c>
      <c r="AA83">
        <f t="shared" si="72"/>
        <v>0</v>
      </c>
      <c r="AB83">
        <f t="shared" si="73"/>
        <v>0</v>
      </c>
      <c r="AC83">
        <f t="shared" si="74"/>
        <v>0</v>
      </c>
      <c r="AD83">
        <f t="shared" si="75"/>
        <v>0</v>
      </c>
      <c r="AE83">
        <f t="shared" si="76"/>
        <v>0</v>
      </c>
      <c r="AF83">
        <f t="shared" si="77"/>
        <v>0</v>
      </c>
      <c r="AG83">
        <f t="shared" si="78"/>
        <v>0</v>
      </c>
      <c r="AH83">
        <f t="shared" si="79"/>
        <v>0</v>
      </c>
      <c r="AI83">
        <f t="shared" si="80"/>
        <v>0</v>
      </c>
      <c r="AJ83">
        <f t="shared" si="81"/>
        <v>0</v>
      </c>
      <c r="AK83">
        <f t="shared" si="82"/>
        <v>0</v>
      </c>
      <c r="AL83">
        <f t="shared" si="83"/>
        <v>0</v>
      </c>
      <c r="AM83">
        <f t="shared" si="84"/>
        <v>0</v>
      </c>
      <c r="AN83">
        <f t="shared" si="85"/>
        <v>0</v>
      </c>
      <c r="AO83">
        <f t="shared" si="86"/>
        <v>0</v>
      </c>
      <c r="AP83">
        <f t="shared" si="87"/>
        <v>0</v>
      </c>
      <c r="AQ83">
        <f t="shared" si="88"/>
        <v>0</v>
      </c>
      <c r="AR83">
        <f t="shared" si="89"/>
        <v>0</v>
      </c>
      <c r="AS83">
        <f t="shared" si="90"/>
        <v>0</v>
      </c>
      <c r="AT83">
        <f t="shared" si="91"/>
        <v>0</v>
      </c>
      <c r="AU83">
        <f t="shared" si="92"/>
        <v>0</v>
      </c>
      <c r="AV83">
        <f t="shared" si="93"/>
        <v>0</v>
      </c>
      <c r="AW83">
        <f t="shared" si="48"/>
        <v>0</v>
      </c>
      <c r="AX83">
        <f t="shared" si="94"/>
        <v>0</v>
      </c>
      <c r="AY83">
        <f t="shared" si="95"/>
        <v>0</v>
      </c>
    </row>
    <row r="84" spans="1:51" x14ac:dyDescent="0.35">
      <c r="A84">
        <v>78</v>
      </c>
      <c r="C84">
        <f>MAX(0,Calc!$C$7-SUM(D84:R84))</f>
        <v>750</v>
      </c>
      <c r="D84">
        <f t="shared" si="49"/>
        <v>0</v>
      </c>
      <c r="E84">
        <f t="shared" si="50"/>
        <v>0</v>
      </c>
      <c r="F84">
        <f t="shared" si="51"/>
        <v>0</v>
      </c>
      <c r="G84">
        <f t="shared" si="52"/>
        <v>0</v>
      </c>
      <c r="H84">
        <f t="shared" si="53"/>
        <v>0</v>
      </c>
      <c r="I84">
        <f t="shared" si="54"/>
        <v>0</v>
      </c>
      <c r="J84">
        <f t="shared" si="55"/>
        <v>0</v>
      </c>
      <c r="K84">
        <f t="shared" si="56"/>
        <v>0</v>
      </c>
      <c r="L84">
        <f t="shared" si="57"/>
        <v>0</v>
      </c>
      <c r="M84">
        <f t="shared" si="58"/>
        <v>0</v>
      </c>
      <c r="N84">
        <f t="shared" si="59"/>
        <v>0</v>
      </c>
      <c r="O84">
        <f t="shared" si="60"/>
        <v>0</v>
      </c>
      <c r="P84">
        <f t="shared" si="61"/>
        <v>0</v>
      </c>
      <c r="Q84">
        <f t="shared" si="62"/>
        <v>0</v>
      </c>
      <c r="R84">
        <f t="shared" si="63"/>
        <v>0</v>
      </c>
      <c r="S84">
        <f t="shared" si="64"/>
        <v>0</v>
      </c>
      <c r="T84">
        <f t="shared" si="65"/>
        <v>0</v>
      </c>
      <c r="U84">
        <f t="shared" si="66"/>
        <v>0</v>
      </c>
      <c r="V84">
        <f t="shared" si="67"/>
        <v>0</v>
      </c>
      <c r="W84">
        <f t="shared" si="68"/>
        <v>0</v>
      </c>
      <c r="X84">
        <f t="shared" si="69"/>
        <v>0</v>
      </c>
      <c r="Y84">
        <f t="shared" si="70"/>
        <v>0</v>
      </c>
      <c r="Z84">
        <f t="shared" si="71"/>
        <v>0</v>
      </c>
      <c r="AA84">
        <f t="shared" si="72"/>
        <v>0</v>
      </c>
      <c r="AB84">
        <f t="shared" si="73"/>
        <v>0</v>
      </c>
      <c r="AC84">
        <f t="shared" si="74"/>
        <v>0</v>
      </c>
      <c r="AD84">
        <f t="shared" si="75"/>
        <v>0</v>
      </c>
      <c r="AE84">
        <f t="shared" si="76"/>
        <v>0</v>
      </c>
      <c r="AF84">
        <f t="shared" si="77"/>
        <v>0</v>
      </c>
      <c r="AG84">
        <f t="shared" si="78"/>
        <v>0</v>
      </c>
      <c r="AH84">
        <f t="shared" si="79"/>
        <v>0</v>
      </c>
      <c r="AI84">
        <f t="shared" si="80"/>
        <v>0</v>
      </c>
      <c r="AJ84">
        <f t="shared" si="81"/>
        <v>0</v>
      </c>
      <c r="AK84">
        <f t="shared" si="82"/>
        <v>0</v>
      </c>
      <c r="AL84">
        <f t="shared" si="83"/>
        <v>0</v>
      </c>
      <c r="AM84">
        <f t="shared" si="84"/>
        <v>0</v>
      </c>
      <c r="AN84">
        <f t="shared" si="85"/>
        <v>0</v>
      </c>
      <c r="AO84">
        <f t="shared" si="86"/>
        <v>0</v>
      </c>
      <c r="AP84">
        <f t="shared" si="87"/>
        <v>0</v>
      </c>
      <c r="AQ84">
        <f t="shared" si="88"/>
        <v>0</v>
      </c>
      <c r="AR84">
        <f t="shared" si="89"/>
        <v>0</v>
      </c>
      <c r="AS84">
        <f t="shared" si="90"/>
        <v>0</v>
      </c>
      <c r="AT84">
        <f t="shared" si="91"/>
        <v>0</v>
      </c>
      <c r="AU84">
        <f t="shared" si="92"/>
        <v>0</v>
      </c>
      <c r="AV84">
        <f t="shared" si="93"/>
        <v>0</v>
      </c>
      <c r="AW84">
        <f t="shared" si="48"/>
        <v>0</v>
      </c>
      <c r="AX84">
        <f t="shared" si="94"/>
        <v>0</v>
      </c>
      <c r="AY84">
        <f t="shared" si="95"/>
        <v>0</v>
      </c>
    </row>
    <row r="85" spans="1:51" x14ac:dyDescent="0.35">
      <c r="A85">
        <v>79</v>
      </c>
      <c r="C85">
        <f>MAX(0,Calc!$C$7-SUM(D85:R85))</f>
        <v>750</v>
      </c>
      <c r="D85">
        <f t="shared" si="49"/>
        <v>0</v>
      </c>
      <c r="E85">
        <f t="shared" si="50"/>
        <v>0</v>
      </c>
      <c r="F85">
        <f t="shared" si="51"/>
        <v>0</v>
      </c>
      <c r="G85">
        <f t="shared" si="52"/>
        <v>0</v>
      </c>
      <c r="H85">
        <f t="shared" si="53"/>
        <v>0</v>
      </c>
      <c r="I85">
        <f t="shared" si="54"/>
        <v>0</v>
      </c>
      <c r="J85">
        <f t="shared" si="55"/>
        <v>0</v>
      </c>
      <c r="K85">
        <f t="shared" si="56"/>
        <v>0</v>
      </c>
      <c r="L85">
        <f t="shared" si="57"/>
        <v>0</v>
      </c>
      <c r="M85">
        <f t="shared" si="58"/>
        <v>0</v>
      </c>
      <c r="N85">
        <f t="shared" si="59"/>
        <v>0</v>
      </c>
      <c r="O85">
        <f t="shared" si="60"/>
        <v>0</v>
      </c>
      <c r="P85">
        <f t="shared" si="61"/>
        <v>0</v>
      </c>
      <c r="Q85">
        <f t="shared" si="62"/>
        <v>0</v>
      </c>
      <c r="R85">
        <f t="shared" si="63"/>
        <v>0</v>
      </c>
      <c r="S85">
        <f t="shared" si="64"/>
        <v>0</v>
      </c>
      <c r="T85">
        <f t="shared" si="65"/>
        <v>0</v>
      </c>
      <c r="U85">
        <f t="shared" si="66"/>
        <v>0</v>
      </c>
      <c r="V85">
        <f t="shared" si="67"/>
        <v>0</v>
      </c>
      <c r="W85">
        <f t="shared" si="68"/>
        <v>0</v>
      </c>
      <c r="X85">
        <f t="shared" si="69"/>
        <v>0</v>
      </c>
      <c r="Y85">
        <f t="shared" si="70"/>
        <v>0</v>
      </c>
      <c r="Z85">
        <f t="shared" si="71"/>
        <v>0</v>
      </c>
      <c r="AA85">
        <f t="shared" si="72"/>
        <v>0</v>
      </c>
      <c r="AB85">
        <f t="shared" si="73"/>
        <v>0</v>
      </c>
      <c r="AC85">
        <f t="shared" si="74"/>
        <v>0</v>
      </c>
      <c r="AD85">
        <f t="shared" si="75"/>
        <v>0</v>
      </c>
      <c r="AE85">
        <f t="shared" si="76"/>
        <v>0</v>
      </c>
      <c r="AF85">
        <f t="shared" si="77"/>
        <v>0</v>
      </c>
      <c r="AG85">
        <f t="shared" si="78"/>
        <v>0</v>
      </c>
      <c r="AH85">
        <f t="shared" si="79"/>
        <v>0</v>
      </c>
      <c r="AI85">
        <f t="shared" si="80"/>
        <v>0</v>
      </c>
      <c r="AJ85">
        <f t="shared" si="81"/>
        <v>0</v>
      </c>
      <c r="AK85">
        <f t="shared" si="82"/>
        <v>0</v>
      </c>
      <c r="AL85">
        <f t="shared" si="83"/>
        <v>0</v>
      </c>
      <c r="AM85">
        <f t="shared" si="84"/>
        <v>0</v>
      </c>
      <c r="AN85">
        <f t="shared" si="85"/>
        <v>0</v>
      </c>
      <c r="AO85">
        <f t="shared" si="86"/>
        <v>0</v>
      </c>
      <c r="AP85">
        <f t="shared" si="87"/>
        <v>0</v>
      </c>
      <c r="AQ85">
        <f t="shared" si="88"/>
        <v>0</v>
      </c>
      <c r="AR85">
        <f t="shared" si="89"/>
        <v>0</v>
      </c>
      <c r="AS85">
        <f t="shared" si="90"/>
        <v>0</v>
      </c>
      <c r="AT85">
        <f t="shared" si="91"/>
        <v>0</v>
      </c>
      <c r="AU85">
        <f t="shared" si="92"/>
        <v>0</v>
      </c>
      <c r="AV85">
        <f t="shared" si="93"/>
        <v>0</v>
      </c>
      <c r="AW85">
        <f t="shared" si="48"/>
        <v>0</v>
      </c>
      <c r="AX85">
        <f t="shared" si="94"/>
        <v>0</v>
      </c>
      <c r="AY85">
        <f t="shared" si="95"/>
        <v>0</v>
      </c>
    </row>
    <row r="86" spans="1:51" x14ac:dyDescent="0.35">
      <c r="A86">
        <v>80</v>
      </c>
      <c r="C86">
        <f>MAX(0,Calc!$C$7-SUM(D86:R86))</f>
        <v>750</v>
      </c>
      <c r="D86">
        <f t="shared" si="49"/>
        <v>0</v>
      </c>
      <c r="E86">
        <f t="shared" si="50"/>
        <v>0</v>
      </c>
      <c r="F86">
        <f t="shared" si="51"/>
        <v>0</v>
      </c>
      <c r="G86">
        <f t="shared" si="52"/>
        <v>0</v>
      </c>
      <c r="H86">
        <f t="shared" si="53"/>
        <v>0</v>
      </c>
      <c r="I86">
        <f t="shared" si="54"/>
        <v>0</v>
      </c>
      <c r="J86">
        <f t="shared" si="55"/>
        <v>0</v>
      </c>
      <c r="K86">
        <f t="shared" si="56"/>
        <v>0</v>
      </c>
      <c r="L86">
        <f t="shared" si="57"/>
        <v>0</v>
      </c>
      <c r="M86">
        <f t="shared" si="58"/>
        <v>0</v>
      </c>
      <c r="N86">
        <f t="shared" si="59"/>
        <v>0</v>
      </c>
      <c r="O86">
        <f t="shared" si="60"/>
        <v>0</v>
      </c>
      <c r="P86">
        <f t="shared" si="61"/>
        <v>0</v>
      </c>
      <c r="Q86">
        <f t="shared" si="62"/>
        <v>0</v>
      </c>
      <c r="R86">
        <f t="shared" si="63"/>
        <v>0</v>
      </c>
      <c r="S86">
        <f t="shared" si="64"/>
        <v>0</v>
      </c>
      <c r="T86">
        <f t="shared" si="65"/>
        <v>0</v>
      </c>
      <c r="U86">
        <f t="shared" si="66"/>
        <v>0</v>
      </c>
      <c r="V86">
        <f t="shared" si="67"/>
        <v>0</v>
      </c>
      <c r="W86">
        <f t="shared" si="68"/>
        <v>0</v>
      </c>
      <c r="X86">
        <f t="shared" si="69"/>
        <v>0</v>
      </c>
      <c r="Y86">
        <f t="shared" si="70"/>
        <v>0</v>
      </c>
      <c r="Z86">
        <f t="shared" si="71"/>
        <v>0</v>
      </c>
      <c r="AA86">
        <f t="shared" si="72"/>
        <v>0</v>
      </c>
      <c r="AB86">
        <f t="shared" si="73"/>
        <v>0</v>
      </c>
      <c r="AC86">
        <f t="shared" si="74"/>
        <v>0</v>
      </c>
      <c r="AD86">
        <f t="shared" si="75"/>
        <v>0</v>
      </c>
      <c r="AE86">
        <f t="shared" si="76"/>
        <v>0</v>
      </c>
      <c r="AF86">
        <f t="shared" si="77"/>
        <v>0</v>
      </c>
      <c r="AG86">
        <f t="shared" si="78"/>
        <v>0</v>
      </c>
      <c r="AH86">
        <f t="shared" si="79"/>
        <v>0</v>
      </c>
      <c r="AI86">
        <f t="shared" si="80"/>
        <v>0</v>
      </c>
      <c r="AJ86">
        <f t="shared" si="81"/>
        <v>0</v>
      </c>
      <c r="AK86">
        <f t="shared" si="82"/>
        <v>0</v>
      </c>
      <c r="AL86">
        <f t="shared" si="83"/>
        <v>0</v>
      </c>
      <c r="AM86">
        <f t="shared" si="84"/>
        <v>0</v>
      </c>
      <c r="AN86">
        <f t="shared" si="85"/>
        <v>0</v>
      </c>
      <c r="AO86">
        <f t="shared" si="86"/>
        <v>0</v>
      </c>
      <c r="AP86">
        <f t="shared" si="87"/>
        <v>0</v>
      </c>
      <c r="AQ86">
        <f t="shared" si="88"/>
        <v>0</v>
      </c>
      <c r="AR86">
        <f t="shared" si="89"/>
        <v>0</v>
      </c>
      <c r="AS86">
        <f t="shared" si="90"/>
        <v>0</v>
      </c>
      <c r="AT86">
        <f t="shared" si="91"/>
        <v>0</v>
      </c>
      <c r="AU86">
        <f t="shared" si="92"/>
        <v>0</v>
      </c>
      <c r="AV86">
        <f t="shared" si="93"/>
        <v>0</v>
      </c>
      <c r="AW86">
        <f t="shared" si="48"/>
        <v>0</v>
      </c>
      <c r="AX86">
        <f t="shared" si="94"/>
        <v>0</v>
      </c>
      <c r="AY86">
        <f t="shared" si="95"/>
        <v>0</v>
      </c>
    </row>
    <row r="87" spans="1:51" x14ac:dyDescent="0.35">
      <c r="A87">
        <v>81</v>
      </c>
      <c r="C87">
        <f>MAX(0,Calc!$C$7-SUM(D87:R87))</f>
        <v>750</v>
      </c>
      <c r="D87">
        <f t="shared" si="49"/>
        <v>0</v>
      </c>
      <c r="E87">
        <f t="shared" si="50"/>
        <v>0</v>
      </c>
      <c r="F87">
        <f t="shared" si="51"/>
        <v>0</v>
      </c>
      <c r="G87">
        <f t="shared" si="52"/>
        <v>0</v>
      </c>
      <c r="H87">
        <f t="shared" si="53"/>
        <v>0</v>
      </c>
      <c r="I87">
        <f t="shared" si="54"/>
        <v>0</v>
      </c>
      <c r="J87">
        <f t="shared" si="55"/>
        <v>0</v>
      </c>
      <c r="K87">
        <f t="shared" si="56"/>
        <v>0</v>
      </c>
      <c r="L87">
        <f t="shared" si="57"/>
        <v>0</v>
      </c>
      <c r="M87">
        <f t="shared" si="58"/>
        <v>0</v>
      </c>
      <c r="N87">
        <f t="shared" si="59"/>
        <v>0</v>
      </c>
      <c r="O87">
        <f t="shared" si="60"/>
        <v>0</v>
      </c>
      <c r="P87">
        <f t="shared" si="61"/>
        <v>0</v>
      </c>
      <c r="Q87">
        <f t="shared" si="62"/>
        <v>0</v>
      </c>
      <c r="R87">
        <f t="shared" si="63"/>
        <v>0</v>
      </c>
      <c r="S87">
        <f t="shared" si="64"/>
        <v>0</v>
      </c>
      <c r="T87">
        <f t="shared" si="65"/>
        <v>0</v>
      </c>
      <c r="U87">
        <f t="shared" si="66"/>
        <v>0</v>
      </c>
      <c r="V87">
        <f t="shared" si="67"/>
        <v>0</v>
      </c>
      <c r="W87">
        <f t="shared" si="68"/>
        <v>0</v>
      </c>
      <c r="X87">
        <f t="shared" si="69"/>
        <v>0</v>
      </c>
      <c r="Y87">
        <f t="shared" si="70"/>
        <v>0</v>
      </c>
      <c r="Z87">
        <f t="shared" si="71"/>
        <v>0</v>
      </c>
      <c r="AA87">
        <f t="shared" si="72"/>
        <v>0</v>
      </c>
      <c r="AB87">
        <f t="shared" si="73"/>
        <v>0</v>
      </c>
      <c r="AC87">
        <f t="shared" si="74"/>
        <v>0</v>
      </c>
      <c r="AD87">
        <f t="shared" si="75"/>
        <v>0</v>
      </c>
      <c r="AE87">
        <f t="shared" si="76"/>
        <v>0</v>
      </c>
      <c r="AF87">
        <f t="shared" si="77"/>
        <v>0</v>
      </c>
      <c r="AG87">
        <f t="shared" si="78"/>
        <v>0</v>
      </c>
      <c r="AH87">
        <f t="shared" si="79"/>
        <v>0</v>
      </c>
      <c r="AI87">
        <f t="shared" si="80"/>
        <v>0</v>
      </c>
      <c r="AJ87">
        <f t="shared" si="81"/>
        <v>0</v>
      </c>
      <c r="AK87">
        <f t="shared" si="82"/>
        <v>0</v>
      </c>
      <c r="AL87">
        <f t="shared" si="83"/>
        <v>0</v>
      </c>
      <c r="AM87">
        <f t="shared" si="84"/>
        <v>0</v>
      </c>
      <c r="AN87">
        <f t="shared" si="85"/>
        <v>0</v>
      </c>
      <c r="AO87">
        <f t="shared" si="86"/>
        <v>0</v>
      </c>
      <c r="AP87">
        <f t="shared" si="87"/>
        <v>0</v>
      </c>
      <c r="AQ87">
        <f t="shared" si="88"/>
        <v>0</v>
      </c>
      <c r="AR87">
        <f t="shared" si="89"/>
        <v>0</v>
      </c>
      <c r="AS87">
        <f t="shared" si="90"/>
        <v>0</v>
      </c>
      <c r="AT87">
        <f t="shared" si="91"/>
        <v>0</v>
      </c>
      <c r="AU87">
        <f t="shared" si="92"/>
        <v>0</v>
      </c>
      <c r="AV87">
        <f t="shared" si="93"/>
        <v>0</v>
      </c>
      <c r="AW87">
        <f t="shared" si="48"/>
        <v>0</v>
      </c>
      <c r="AX87">
        <f t="shared" si="94"/>
        <v>0</v>
      </c>
      <c r="AY87">
        <f t="shared" si="95"/>
        <v>0</v>
      </c>
    </row>
    <row r="88" spans="1:51" x14ac:dyDescent="0.35">
      <c r="A88">
        <v>82</v>
      </c>
      <c r="C88">
        <f>MAX(0,Calc!$C$7-SUM(D88:R88))</f>
        <v>750</v>
      </c>
      <c r="D88">
        <f t="shared" si="49"/>
        <v>0</v>
      </c>
      <c r="E88">
        <f t="shared" si="50"/>
        <v>0</v>
      </c>
      <c r="F88">
        <f t="shared" si="51"/>
        <v>0</v>
      </c>
      <c r="G88">
        <f t="shared" si="52"/>
        <v>0</v>
      </c>
      <c r="H88">
        <f t="shared" si="53"/>
        <v>0</v>
      </c>
      <c r="I88">
        <f t="shared" si="54"/>
        <v>0</v>
      </c>
      <c r="J88">
        <f t="shared" si="55"/>
        <v>0</v>
      </c>
      <c r="K88">
        <f t="shared" si="56"/>
        <v>0</v>
      </c>
      <c r="L88">
        <f t="shared" si="57"/>
        <v>0</v>
      </c>
      <c r="M88">
        <f t="shared" si="58"/>
        <v>0</v>
      </c>
      <c r="N88">
        <f t="shared" si="59"/>
        <v>0</v>
      </c>
      <c r="O88">
        <f t="shared" si="60"/>
        <v>0</v>
      </c>
      <c r="P88">
        <f t="shared" si="61"/>
        <v>0</v>
      </c>
      <c r="Q88">
        <f t="shared" si="62"/>
        <v>0</v>
      </c>
      <c r="R88">
        <f t="shared" si="63"/>
        <v>0</v>
      </c>
      <c r="S88">
        <f t="shared" si="64"/>
        <v>0</v>
      </c>
      <c r="T88">
        <f t="shared" si="65"/>
        <v>0</v>
      </c>
      <c r="U88">
        <f t="shared" si="66"/>
        <v>0</v>
      </c>
      <c r="V88">
        <f t="shared" si="67"/>
        <v>0</v>
      </c>
      <c r="W88">
        <f t="shared" si="68"/>
        <v>0</v>
      </c>
      <c r="X88">
        <f t="shared" si="69"/>
        <v>0</v>
      </c>
      <c r="Y88">
        <f t="shared" si="70"/>
        <v>0</v>
      </c>
      <c r="Z88">
        <f t="shared" si="71"/>
        <v>0</v>
      </c>
      <c r="AA88">
        <f t="shared" si="72"/>
        <v>0</v>
      </c>
      <c r="AB88">
        <f t="shared" si="73"/>
        <v>0</v>
      </c>
      <c r="AC88">
        <f t="shared" si="74"/>
        <v>0</v>
      </c>
      <c r="AD88">
        <f t="shared" si="75"/>
        <v>0</v>
      </c>
      <c r="AE88">
        <f t="shared" si="76"/>
        <v>0</v>
      </c>
      <c r="AF88">
        <f t="shared" si="77"/>
        <v>0</v>
      </c>
      <c r="AG88">
        <f t="shared" si="78"/>
        <v>0</v>
      </c>
      <c r="AH88">
        <f t="shared" si="79"/>
        <v>0</v>
      </c>
      <c r="AI88">
        <f t="shared" si="80"/>
        <v>0</v>
      </c>
      <c r="AJ88">
        <f t="shared" si="81"/>
        <v>0</v>
      </c>
      <c r="AK88">
        <f t="shared" si="82"/>
        <v>0</v>
      </c>
      <c r="AL88">
        <f t="shared" si="83"/>
        <v>0</v>
      </c>
      <c r="AM88">
        <f t="shared" si="84"/>
        <v>0</v>
      </c>
      <c r="AN88">
        <f t="shared" si="85"/>
        <v>0</v>
      </c>
      <c r="AO88">
        <f t="shared" si="86"/>
        <v>0</v>
      </c>
      <c r="AP88">
        <f t="shared" si="87"/>
        <v>0</v>
      </c>
      <c r="AQ88">
        <f t="shared" si="88"/>
        <v>0</v>
      </c>
      <c r="AR88">
        <f t="shared" si="89"/>
        <v>0</v>
      </c>
      <c r="AS88">
        <f t="shared" si="90"/>
        <v>0</v>
      </c>
      <c r="AT88">
        <f t="shared" si="91"/>
        <v>0</v>
      </c>
      <c r="AU88">
        <f t="shared" si="92"/>
        <v>0</v>
      </c>
      <c r="AV88">
        <f t="shared" si="93"/>
        <v>0</v>
      </c>
      <c r="AW88">
        <f t="shared" si="48"/>
        <v>0</v>
      </c>
      <c r="AX88">
        <f t="shared" si="94"/>
        <v>0</v>
      </c>
      <c r="AY88">
        <f t="shared" si="95"/>
        <v>0</v>
      </c>
    </row>
    <row r="89" spans="1:51" x14ac:dyDescent="0.35">
      <c r="A89">
        <v>83</v>
      </c>
      <c r="C89">
        <f>MAX(0,Calc!$C$7-SUM(D89:R89))</f>
        <v>750</v>
      </c>
      <c r="D89">
        <f t="shared" si="49"/>
        <v>0</v>
      </c>
      <c r="E89">
        <f t="shared" si="50"/>
        <v>0</v>
      </c>
      <c r="F89">
        <f t="shared" si="51"/>
        <v>0</v>
      </c>
      <c r="G89">
        <f t="shared" si="52"/>
        <v>0</v>
      </c>
      <c r="H89">
        <f t="shared" si="53"/>
        <v>0</v>
      </c>
      <c r="I89">
        <f t="shared" si="54"/>
        <v>0</v>
      </c>
      <c r="J89">
        <f t="shared" si="55"/>
        <v>0</v>
      </c>
      <c r="K89">
        <f t="shared" si="56"/>
        <v>0</v>
      </c>
      <c r="L89">
        <f t="shared" si="57"/>
        <v>0</v>
      </c>
      <c r="M89">
        <f t="shared" si="58"/>
        <v>0</v>
      </c>
      <c r="N89">
        <f t="shared" si="59"/>
        <v>0</v>
      </c>
      <c r="O89">
        <f t="shared" si="60"/>
        <v>0</v>
      </c>
      <c r="P89">
        <f t="shared" si="61"/>
        <v>0</v>
      </c>
      <c r="Q89">
        <f t="shared" si="62"/>
        <v>0</v>
      </c>
      <c r="R89">
        <f t="shared" si="63"/>
        <v>0</v>
      </c>
      <c r="S89">
        <f t="shared" si="64"/>
        <v>0</v>
      </c>
      <c r="T89">
        <f t="shared" si="65"/>
        <v>0</v>
      </c>
      <c r="U89">
        <f t="shared" si="66"/>
        <v>0</v>
      </c>
      <c r="V89">
        <f t="shared" si="67"/>
        <v>0</v>
      </c>
      <c r="W89">
        <f t="shared" si="68"/>
        <v>0</v>
      </c>
      <c r="X89">
        <f t="shared" si="69"/>
        <v>0</v>
      </c>
      <c r="Y89">
        <f t="shared" si="70"/>
        <v>0</v>
      </c>
      <c r="Z89">
        <f t="shared" si="71"/>
        <v>0</v>
      </c>
      <c r="AA89">
        <f t="shared" si="72"/>
        <v>0</v>
      </c>
      <c r="AB89">
        <f t="shared" si="73"/>
        <v>0</v>
      </c>
      <c r="AC89">
        <f t="shared" si="74"/>
        <v>0</v>
      </c>
      <c r="AD89">
        <f t="shared" si="75"/>
        <v>0</v>
      </c>
      <c r="AE89">
        <f t="shared" si="76"/>
        <v>0</v>
      </c>
      <c r="AF89">
        <f t="shared" si="77"/>
        <v>0</v>
      </c>
      <c r="AG89">
        <f t="shared" si="78"/>
        <v>0</v>
      </c>
      <c r="AH89">
        <f t="shared" si="79"/>
        <v>0</v>
      </c>
      <c r="AI89">
        <f t="shared" si="80"/>
        <v>0</v>
      </c>
      <c r="AJ89">
        <f t="shared" si="81"/>
        <v>0</v>
      </c>
      <c r="AK89">
        <f t="shared" si="82"/>
        <v>0</v>
      </c>
      <c r="AL89">
        <f t="shared" si="83"/>
        <v>0</v>
      </c>
      <c r="AM89">
        <f t="shared" si="84"/>
        <v>0</v>
      </c>
      <c r="AN89">
        <f t="shared" si="85"/>
        <v>0</v>
      </c>
      <c r="AO89">
        <f t="shared" si="86"/>
        <v>0</v>
      </c>
      <c r="AP89">
        <f t="shared" si="87"/>
        <v>0</v>
      </c>
      <c r="AQ89">
        <f t="shared" si="88"/>
        <v>0</v>
      </c>
      <c r="AR89">
        <f t="shared" si="89"/>
        <v>0</v>
      </c>
      <c r="AS89">
        <f t="shared" si="90"/>
        <v>0</v>
      </c>
      <c r="AT89">
        <f t="shared" si="91"/>
        <v>0</v>
      </c>
      <c r="AU89">
        <f t="shared" si="92"/>
        <v>0</v>
      </c>
      <c r="AV89">
        <f t="shared" si="93"/>
        <v>0</v>
      </c>
      <c r="AW89">
        <f t="shared" si="48"/>
        <v>0</v>
      </c>
      <c r="AX89">
        <f t="shared" si="94"/>
        <v>0</v>
      </c>
      <c r="AY89">
        <f t="shared" si="95"/>
        <v>0</v>
      </c>
    </row>
    <row r="90" spans="1:51" x14ac:dyDescent="0.35">
      <c r="A90">
        <v>84</v>
      </c>
      <c r="C90">
        <f>MAX(0,Calc!$C$7-SUM(D90:R90))</f>
        <v>750</v>
      </c>
      <c r="D90">
        <f t="shared" si="49"/>
        <v>0</v>
      </c>
      <c r="E90">
        <f t="shared" si="50"/>
        <v>0</v>
      </c>
      <c r="F90">
        <f t="shared" si="51"/>
        <v>0</v>
      </c>
      <c r="G90">
        <f t="shared" si="52"/>
        <v>0</v>
      </c>
      <c r="H90">
        <f t="shared" si="53"/>
        <v>0</v>
      </c>
      <c r="I90">
        <f t="shared" si="54"/>
        <v>0</v>
      </c>
      <c r="J90">
        <f t="shared" si="55"/>
        <v>0</v>
      </c>
      <c r="K90">
        <f t="shared" si="56"/>
        <v>0</v>
      </c>
      <c r="L90">
        <f t="shared" si="57"/>
        <v>0</v>
      </c>
      <c r="M90">
        <f t="shared" si="58"/>
        <v>0</v>
      </c>
      <c r="N90">
        <f t="shared" si="59"/>
        <v>0</v>
      </c>
      <c r="O90">
        <f t="shared" si="60"/>
        <v>0</v>
      </c>
      <c r="P90">
        <f t="shared" si="61"/>
        <v>0</v>
      </c>
      <c r="Q90">
        <f t="shared" si="62"/>
        <v>0</v>
      </c>
      <c r="R90">
        <f t="shared" si="63"/>
        <v>0</v>
      </c>
      <c r="S90">
        <f t="shared" si="64"/>
        <v>0</v>
      </c>
      <c r="T90">
        <f t="shared" si="65"/>
        <v>0</v>
      </c>
      <c r="U90">
        <f t="shared" si="66"/>
        <v>0</v>
      </c>
      <c r="V90">
        <f t="shared" si="67"/>
        <v>0</v>
      </c>
      <c r="W90">
        <f t="shared" si="68"/>
        <v>0</v>
      </c>
      <c r="X90">
        <f t="shared" si="69"/>
        <v>0</v>
      </c>
      <c r="Y90">
        <f t="shared" si="70"/>
        <v>0</v>
      </c>
      <c r="Z90">
        <f t="shared" si="71"/>
        <v>0</v>
      </c>
      <c r="AA90">
        <f t="shared" si="72"/>
        <v>0</v>
      </c>
      <c r="AB90">
        <f t="shared" si="73"/>
        <v>0</v>
      </c>
      <c r="AC90">
        <f t="shared" si="74"/>
        <v>0</v>
      </c>
      <c r="AD90">
        <f t="shared" si="75"/>
        <v>0</v>
      </c>
      <c r="AE90">
        <f t="shared" si="76"/>
        <v>0</v>
      </c>
      <c r="AF90">
        <f t="shared" si="77"/>
        <v>0</v>
      </c>
      <c r="AG90">
        <f t="shared" si="78"/>
        <v>0</v>
      </c>
      <c r="AH90">
        <f t="shared" si="79"/>
        <v>0</v>
      </c>
      <c r="AI90">
        <f t="shared" si="80"/>
        <v>0</v>
      </c>
      <c r="AJ90">
        <f t="shared" si="81"/>
        <v>0</v>
      </c>
      <c r="AK90">
        <f t="shared" si="82"/>
        <v>0</v>
      </c>
      <c r="AL90">
        <f t="shared" si="83"/>
        <v>0</v>
      </c>
      <c r="AM90">
        <f t="shared" si="84"/>
        <v>0</v>
      </c>
      <c r="AN90">
        <f t="shared" si="85"/>
        <v>0</v>
      </c>
      <c r="AO90">
        <f t="shared" si="86"/>
        <v>0</v>
      </c>
      <c r="AP90">
        <f t="shared" si="87"/>
        <v>0</v>
      </c>
      <c r="AQ90">
        <f t="shared" si="88"/>
        <v>0</v>
      </c>
      <c r="AR90">
        <f t="shared" si="89"/>
        <v>0</v>
      </c>
      <c r="AS90">
        <f t="shared" si="90"/>
        <v>0</v>
      </c>
      <c r="AT90">
        <f t="shared" si="91"/>
        <v>0</v>
      </c>
      <c r="AU90">
        <f t="shared" si="92"/>
        <v>0</v>
      </c>
      <c r="AV90">
        <f t="shared" si="93"/>
        <v>0</v>
      </c>
      <c r="AW90">
        <f t="shared" si="48"/>
        <v>0</v>
      </c>
      <c r="AX90">
        <f t="shared" si="94"/>
        <v>0</v>
      </c>
      <c r="AY90">
        <f t="shared" si="95"/>
        <v>0</v>
      </c>
    </row>
    <row r="91" spans="1:51" x14ac:dyDescent="0.35">
      <c r="A91">
        <v>85</v>
      </c>
      <c r="C91">
        <f>MAX(0,Calc!$C$7-SUM(D91:R91))</f>
        <v>750</v>
      </c>
      <c r="D91">
        <f t="shared" si="49"/>
        <v>0</v>
      </c>
      <c r="E91">
        <f t="shared" si="50"/>
        <v>0</v>
      </c>
      <c r="F91">
        <f t="shared" si="51"/>
        <v>0</v>
      </c>
      <c r="G91">
        <f t="shared" si="52"/>
        <v>0</v>
      </c>
      <c r="H91">
        <f t="shared" si="53"/>
        <v>0</v>
      </c>
      <c r="I91">
        <f t="shared" si="54"/>
        <v>0</v>
      </c>
      <c r="J91">
        <f t="shared" si="55"/>
        <v>0</v>
      </c>
      <c r="K91">
        <f t="shared" si="56"/>
        <v>0</v>
      </c>
      <c r="L91">
        <f t="shared" si="57"/>
        <v>0</v>
      </c>
      <c r="M91">
        <f t="shared" si="58"/>
        <v>0</v>
      </c>
      <c r="N91">
        <f t="shared" si="59"/>
        <v>0</v>
      </c>
      <c r="O91">
        <f t="shared" si="60"/>
        <v>0</v>
      </c>
      <c r="P91">
        <f t="shared" si="61"/>
        <v>0</v>
      </c>
      <c r="Q91">
        <f t="shared" si="62"/>
        <v>0</v>
      </c>
      <c r="R91">
        <f t="shared" si="63"/>
        <v>0</v>
      </c>
      <c r="S91">
        <f t="shared" si="64"/>
        <v>0</v>
      </c>
      <c r="T91">
        <f t="shared" si="65"/>
        <v>0</v>
      </c>
      <c r="U91">
        <f t="shared" si="66"/>
        <v>0</v>
      </c>
      <c r="V91">
        <f t="shared" si="67"/>
        <v>0</v>
      </c>
      <c r="W91">
        <f t="shared" si="68"/>
        <v>0</v>
      </c>
      <c r="X91">
        <f t="shared" si="69"/>
        <v>0</v>
      </c>
      <c r="Y91">
        <f t="shared" si="70"/>
        <v>0</v>
      </c>
      <c r="Z91">
        <f t="shared" si="71"/>
        <v>0</v>
      </c>
      <c r="AA91">
        <f t="shared" si="72"/>
        <v>0</v>
      </c>
      <c r="AB91">
        <f t="shared" si="73"/>
        <v>0</v>
      </c>
      <c r="AC91">
        <f t="shared" si="74"/>
        <v>0</v>
      </c>
      <c r="AD91">
        <f t="shared" si="75"/>
        <v>0</v>
      </c>
      <c r="AE91">
        <f t="shared" si="76"/>
        <v>0</v>
      </c>
      <c r="AF91">
        <f t="shared" si="77"/>
        <v>0</v>
      </c>
      <c r="AG91">
        <f t="shared" si="78"/>
        <v>0</v>
      </c>
      <c r="AH91">
        <f t="shared" si="79"/>
        <v>0</v>
      </c>
      <c r="AI91">
        <f t="shared" si="80"/>
        <v>0</v>
      </c>
      <c r="AJ91">
        <f t="shared" si="81"/>
        <v>0</v>
      </c>
      <c r="AK91">
        <f t="shared" si="82"/>
        <v>0</v>
      </c>
      <c r="AL91">
        <f t="shared" si="83"/>
        <v>0</v>
      </c>
      <c r="AM91">
        <f t="shared" si="84"/>
        <v>0</v>
      </c>
      <c r="AN91">
        <f t="shared" si="85"/>
        <v>0</v>
      </c>
      <c r="AO91">
        <f t="shared" si="86"/>
        <v>0</v>
      </c>
      <c r="AP91">
        <f t="shared" si="87"/>
        <v>0</v>
      </c>
      <c r="AQ91">
        <f t="shared" si="88"/>
        <v>0</v>
      </c>
      <c r="AR91">
        <f t="shared" si="89"/>
        <v>0</v>
      </c>
      <c r="AS91">
        <f t="shared" si="90"/>
        <v>0</v>
      </c>
      <c r="AT91">
        <f t="shared" si="91"/>
        <v>0</v>
      </c>
      <c r="AU91">
        <f t="shared" si="92"/>
        <v>0</v>
      </c>
      <c r="AV91">
        <f t="shared" si="93"/>
        <v>0</v>
      </c>
      <c r="AW91">
        <f t="shared" si="48"/>
        <v>0</v>
      </c>
      <c r="AX91">
        <f t="shared" si="94"/>
        <v>0</v>
      </c>
      <c r="AY91">
        <f t="shared" si="95"/>
        <v>0</v>
      </c>
    </row>
    <row r="92" spans="1:51" x14ac:dyDescent="0.35">
      <c r="A92">
        <v>86</v>
      </c>
      <c r="C92">
        <f>MAX(0,Calc!$C$7-SUM(D92:R92))</f>
        <v>750</v>
      </c>
      <c r="D92">
        <f t="shared" si="49"/>
        <v>0</v>
      </c>
      <c r="E92">
        <f t="shared" si="50"/>
        <v>0</v>
      </c>
      <c r="F92">
        <f t="shared" si="51"/>
        <v>0</v>
      </c>
      <c r="G92">
        <f t="shared" si="52"/>
        <v>0</v>
      </c>
      <c r="H92">
        <f t="shared" si="53"/>
        <v>0</v>
      </c>
      <c r="I92">
        <f t="shared" si="54"/>
        <v>0</v>
      </c>
      <c r="J92">
        <f t="shared" si="55"/>
        <v>0</v>
      </c>
      <c r="K92">
        <f t="shared" si="56"/>
        <v>0</v>
      </c>
      <c r="L92">
        <f t="shared" si="57"/>
        <v>0</v>
      </c>
      <c r="M92">
        <f t="shared" si="58"/>
        <v>0</v>
      </c>
      <c r="N92">
        <f t="shared" si="59"/>
        <v>0</v>
      </c>
      <c r="O92">
        <f t="shared" si="60"/>
        <v>0</v>
      </c>
      <c r="P92">
        <f t="shared" si="61"/>
        <v>0</v>
      </c>
      <c r="Q92">
        <f t="shared" si="62"/>
        <v>0</v>
      </c>
      <c r="R92">
        <f t="shared" si="63"/>
        <v>0</v>
      </c>
      <c r="S92">
        <f t="shared" si="64"/>
        <v>0</v>
      </c>
      <c r="T92">
        <f t="shared" si="65"/>
        <v>0</v>
      </c>
      <c r="U92">
        <f t="shared" si="66"/>
        <v>0</v>
      </c>
      <c r="V92">
        <f t="shared" si="67"/>
        <v>0</v>
      </c>
      <c r="W92">
        <f t="shared" si="68"/>
        <v>0</v>
      </c>
      <c r="X92">
        <f t="shared" si="69"/>
        <v>0</v>
      </c>
      <c r="Y92">
        <f t="shared" si="70"/>
        <v>0</v>
      </c>
      <c r="Z92">
        <f t="shared" si="71"/>
        <v>0</v>
      </c>
      <c r="AA92">
        <f t="shared" si="72"/>
        <v>0</v>
      </c>
      <c r="AB92">
        <f t="shared" si="73"/>
        <v>0</v>
      </c>
      <c r="AC92">
        <f t="shared" si="74"/>
        <v>0</v>
      </c>
      <c r="AD92">
        <f t="shared" si="75"/>
        <v>0</v>
      </c>
      <c r="AE92">
        <f t="shared" si="76"/>
        <v>0</v>
      </c>
      <c r="AF92">
        <f t="shared" si="77"/>
        <v>0</v>
      </c>
      <c r="AG92">
        <f t="shared" si="78"/>
        <v>0</v>
      </c>
      <c r="AH92">
        <f t="shared" si="79"/>
        <v>0</v>
      </c>
      <c r="AI92">
        <f t="shared" si="80"/>
        <v>0</v>
      </c>
      <c r="AJ92">
        <f t="shared" si="81"/>
        <v>0</v>
      </c>
      <c r="AK92">
        <f t="shared" si="82"/>
        <v>0</v>
      </c>
      <c r="AL92">
        <f t="shared" si="83"/>
        <v>0</v>
      </c>
      <c r="AM92">
        <f t="shared" si="84"/>
        <v>0</v>
      </c>
      <c r="AN92">
        <f t="shared" si="85"/>
        <v>0</v>
      </c>
      <c r="AO92">
        <f t="shared" si="86"/>
        <v>0</v>
      </c>
      <c r="AP92">
        <f t="shared" si="87"/>
        <v>0</v>
      </c>
      <c r="AQ92">
        <f t="shared" si="88"/>
        <v>0</v>
      </c>
      <c r="AR92">
        <f t="shared" si="89"/>
        <v>0</v>
      </c>
      <c r="AS92">
        <f t="shared" si="90"/>
        <v>0</v>
      </c>
      <c r="AT92">
        <f t="shared" si="91"/>
        <v>0</v>
      </c>
      <c r="AU92">
        <f t="shared" si="92"/>
        <v>0</v>
      </c>
      <c r="AV92">
        <f t="shared" si="93"/>
        <v>0</v>
      </c>
      <c r="AW92">
        <f t="shared" si="48"/>
        <v>0</v>
      </c>
      <c r="AX92">
        <f t="shared" si="94"/>
        <v>0</v>
      </c>
      <c r="AY92">
        <f t="shared" si="95"/>
        <v>0</v>
      </c>
    </row>
    <row r="93" spans="1:51" x14ac:dyDescent="0.35">
      <c r="A93">
        <v>87</v>
      </c>
      <c r="C93">
        <f>MAX(0,Calc!$C$7-SUM(D93:R93))</f>
        <v>750</v>
      </c>
      <c r="D93">
        <f t="shared" si="49"/>
        <v>0</v>
      </c>
      <c r="E93">
        <f t="shared" si="50"/>
        <v>0</v>
      </c>
      <c r="F93">
        <f t="shared" si="51"/>
        <v>0</v>
      </c>
      <c r="G93">
        <f t="shared" si="52"/>
        <v>0</v>
      </c>
      <c r="H93">
        <f t="shared" si="53"/>
        <v>0</v>
      </c>
      <c r="I93">
        <f t="shared" si="54"/>
        <v>0</v>
      </c>
      <c r="J93">
        <f t="shared" si="55"/>
        <v>0</v>
      </c>
      <c r="K93">
        <f t="shared" si="56"/>
        <v>0</v>
      </c>
      <c r="L93">
        <f t="shared" si="57"/>
        <v>0</v>
      </c>
      <c r="M93">
        <f t="shared" si="58"/>
        <v>0</v>
      </c>
      <c r="N93">
        <f t="shared" si="59"/>
        <v>0</v>
      </c>
      <c r="O93">
        <f t="shared" si="60"/>
        <v>0</v>
      </c>
      <c r="P93">
        <f t="shared" si="61"/>
        <v>0</v>
      </c>
      <c r="Q93">
        <f t="shared" si="62"/>
        <v>0</v>
      </c>
      <c r="R93">
        <f t="shared" si="63"/>
        <v>0</v>
      </c>
      <c r="S93">
        <f t="shared" si="64"/>
        <v>0</v>
      </c>
      <c r="T93">
        <f t="shared" si="65"/>
        <v>0</v>
      </c>
      <c r="U93">
        <f t="shared" si="66"/>
        <v>0</v>
      </c>
      <c r="V93">
        <f t="shared" si="67"/>
        <v>0</v>
      </c>
      <c r="W93">
        <f t="shared" si="68"/>
        <v>0</v>
      </c>
      <c r="X93">
        <f t="shared" si="69"/>
        <v>0</v>
      </c>
      <c r="Y93">
        <f t="shared" si="70"/>
        <v>0</v>
      </c>
      <c r="Z93">
        <f t="shared" si="71"/>
        <v>0</v>
      </c>
      <c r="AA93">
        <f t="shared" si="72"/>
        <v>0</v>
      </c>
      <c r="AB93">
        <f t="shared" si="73"/>
        <v>0</v>
      </c>
      <c r="AC93">
        <f t="shared" si="74"/>
        <v>0</v>
      </c>
      <c r="AD93">
        <f t="shared" si="75"/>
        <v>0</v>
      </c>
      <c r="AE93">
        <f t="shared" si="76"/>
        <v>0</v>
      </c>
      <c r="AF93">
        <f t="shared" si="77"/>
        <v>0</v>
      </c>
      <c r="AG93">
        <f t="shared" si="78"/>
        <v>0</v>
      </c>
      <c r="AH93">
        <f t="shared" si="79"/>
        <v>0</v>
      </c>
      <c r="AI93">
        <f t="shared" si="80"/>
        <v>0</v>
      </c>
      <c r="AJ93">
        <f t="shared" si="81"/>
        <v>0</v>
      </c>
      <c r="AK93">
        <f t="shared" si="82"/>
        <v>0</v>
      </c>
      <c r="AL93">
        <f t="shared" si="83"/>
        <v>0</v>
      </c>
      <c r="AM93">
        <f t="shared" si="84"/>
        <v>0</v>
      </c>
      <c r="AN93">
        <f t="shared" si="85"/>
        <v>0</v>
      </c>
      <c r="AO93">
        <f t="shared" si="86"/>
        <v>0</v>
      </c>
      <c r="AP93">
        <f t="shared" si="87"/>
        <v>0</v>
      </c>
      <c r="AQ93">
        <f t="shared" si="88"/>
        <v>0</v>
      </c>
      <c r="AR93">
        <f t="shared" si="89"/>
        <v>0</v>
      </c>
      <c r="AS93">
        <f t="shared" si="90"/>
        <v>0</v>
      </c>
      <c r="AT93">
        <f t="shared" si="91"/>
        <v>0</v>
      </c>
      <c r="AU93">
        <f t="shared" si="92"/>
        <v>0</v>
      </c>
      <c r="AV93">
        <f t="shared" si="93"/>
        <v>0</v>
      </c>
      <c r="AW93">
        <f t="shared" si="48"/>
        <v>0</v>
      </c>
      <c r="AX93">
        <f t="shared" si="94"/>
        <v>0</v>
      </c>
      <c r="AY93">
        <f t="shared" si="95"/>
        <v>0</v>
      </c>
    </row>
    <row r="94" spans="1:51" x14ac:dyDescent="0.35">
      <c r="A94">
        <v>88</v>
      </c>
      <c r="C94">
        <f>MAX(0,Calc!$C$7-SUM(D94:R94))</f>
        <v>750</v>
      </c>
      <c r="D94">
        <f t="shared" si="49"/>
        <v>0</v>
      </c>
      <c r="E94">
        <f t="shared" si="50"/>
        <v>0</v>
      </c>
      <c r="F94">
        <f t="shared" si="51"/>
        <v>0</v>
      </c>
      <c r="G94">
        <f t="shared" si="52"/>
        <v>0</v>
      </c>
      <c r="H94">
        <f t="shared" si="53"/>
        <v>0</v>
      </c>
      <c r="I94">
        <f t="shared" si="54"/>
        <v>0</v>
      </c>
      <c r="J94">
        <f t="shared" si="55"/>
        <v>0</v>
      </c>
      <c r="K94">
        <f t="shared" si="56"/>
        <v>0</v>
      </c>
      <c r="L94">
        <f t="shared" si="57"/>
        <v>0</v>
      </c>
      <c r="M94">
        <f t="shared" si="58"/>
        <v>0</v>
      </c>
      <c r="N94">
        <f t="shared" si="59"/>
        <v>0</v>
      </c>
      <c r="O94">
        <f t="shared" si="60"/>
        <v>0</v>
      </c>
      <c r="P94">
        <f t="shared" si="61"/>
        <v>0</v>
      </c>
      <c r="Q94">
        <f t="shared" si="62"/>
        <v>0</v>
      </c>
      <c r="R94">
        <f t="shared" si="63"/>
        <v>0</v>
      </c>
      <c r="S94">
        <f t="shared" si="64"/>
        <v>0</v>
      </c>
      <c r="T94">
        <f t="shared" si="65"/>
        <v>0</v>
      </c>
      <c r="U94">
        <f t="shared" si="66"/>
        <v>0</v>
      </c>
      <c r="V94">
        <f t="shared" si="67"/>
        <v>0</v>
      </c>
      <c r="W94">
        <f t="shared" si="68"/>
        <v>0</v>
      </c>
      <c r="X94">
        <f t="shared" si="69"/>
        <v>0</v>
      </c>
      <c r="Y94">
        <f t="shared" si="70"/>
        <v>0</v>
      </c>
      <c r="Z94">
        <f t="shared" si="71"/>
        <v>0</v>
      </c>
      <c r="AA94">
        <f t="shared" si="72"/>
        <v>0</v>
      </c>
      <c r="AB94">
        <f t="shared" si="73"/>
        <v>0</v>
      </c>
      <c r="AC94">
        <f t="shared" si="74"/>
        <v>0</v>
      </c>
      <c r="AD94">
        <f t="shared" si="75"/>
        <v>0</v>
      </c>
      <c r="AE94">
        <f t="shared" si="76"/>
        <v>0</v>
      </c>
      <c r="AF94">
        <f t="shared" si="77"/>
        <v>0</v>
      </c>
      <c r="AG94">
        <f t="shared" si="78"/>
        <v>0</v>
      </c>
      <c r="AH94">
        <f t="shared" si="79"/>
        <v>0</v>
      </c>
      <c r="AI94">
        <f t="shared" si="80"/>
        <v>0</v>
      </c>
      <c r="AJ94">
        <f t="shared" si="81"/>
        <v>0</v>
      </c>
      <c r="AK94">
        <f t="shared" si="82"/>
        <v>0</v>
      </c>
      <c r="AL94">
        <f t="shared" si="83"/>
        <v>0</v>
      </c>
      <c r="AM94">
        <f t="shared" si="84"/>
        <v>0</v>
      </c>
      <c r="AN94">
        <f t="shared" si="85"/>
        <v>0</v>
      </c>
      <c r="AO94">
        <f t="shared" si="86"/>
        <v>0</v>
      </c>
      <c r="AP94">
        <f t="shared" si="87"/>
        <v>0</v>
      </c>
      <c r="AQ94">
        <f t="shared" si="88"/>
        <v>0</v>
      </c>
      <c r="AR94">
        <f t="shared" si="89"/>
        <v>0</v>
      </c>
      <c r="AS94">
        <f t="shared" si="90"/>
        <v>0</v>
      </c>
      <c r="AT94">
        <f t="shared" si="91"/>
        <v>0</v>
      </c>
      <c r="AU94">
        <f t="shared" si="92"/>
        <v>0</v>
      </c>
      <c r="AV94">
        <f t="shared" si="93"/>
        <v>0</v>
      </c>
      <c r="AW94">
        <f t="shared" si="48"/>
        <v>0</v>
      </c>
      <c r="AX94">
        <f t="shared" si="94"/>
        <v>0</v>
      </c>
      <c r="AY94">
        <f t="shared" si="95"/>
        <v>0</v>
      </c>
    </row>
    <row r="95" spans="1:51" x14ac:dyDescent="0.35">
      <c r="A95">
        <v>89</v>
      </c>
      <c r="C95">
        <f>MAX(0,Calc!$C$7-SUM(D95:R95))</f>
        <v>750</v>
      </c>
      <c r="D95">
        <f t="shared" si="49"/>
        <v>0</v>
      </c>
      <c r="E95">
        <f t="shared" si="50"/>
        <v>0</v>
      </c>
      <c r="F95">
        <f t="shared" si="51"/>
        <v>0</v>
      </c>
      <c r="G95">
        <f t="shared" si="52"/>
        <v>0</v>
      </c>
      <c r="H95">
        <f t="shared" si="53"/>
        <v>0</v>
      </c>
      <c r="I95">
        <f t="shared" si="54"/>
        <v>0</v>
      </c>
      <c r="J95">
        <f t="shared" si="55"/>
        <v>0</v>
      </c>
      <c r="K95">
        <f t="shared" si="56"/>
        <v>0</v>
      </c>
      <c r="L95">
        <f t="shared" si="57"/>
        <v>0</v>
      </c>
      <c r="M95">
        <f t="shared" si="58"/>
        <v>0</v>
      </c>
      <c r="N95">
        <f t="shared" si="59"/>
        <v>0</v>
      </c>
      <c r="O95">
        <f t="shared" si="60"/>
        <v>0</v>
      </c>
      <c r="P95">
        <f t="shared" si="61"/>
        <v>0</v>
      </c>
      <c r="Q95">
        <f t="shared" si="62"/>
        <v>0</v>
      </c>
      <c r="R95">
        <f t="shared" si="63"/>
        <v>0</v>
      </c>
      <c r="S95">
        <f t="shared" si="64"/>
        <v>0</v>
      </c>
      <c r="T95">
        <f t="shared" si="65"/>
        <v>0</v>
      </c>
      <c r="U95">
        <f t="shared" si="66"/>
        <v>0</v>
      </c>
      <c r="V95">
        <f t="shared" si="67"/>
        <v>0</v>
      </c>
      <c r="W95">
        <f t="shared" si="68"/>
        <v>0</v>
      </c>
      <c r="X95">
        <f t="shared" si="69"/>
        <v>0</v>
      </c>
      <c r="Y95">
        <f t="shared" si="70"/>
        <v>0</v>
      </c>
      <c r="Z95">
        <f t="shared" si="71"/>
        <v>0</v>
      </c>
      <c r="AA95">
        <f t="shared" si="72"/>
        <v>0</v>
      </c>
      <c r="AB95">
        <f t="shared" si="73"/>
        <v>0</v>
      </c>
      <c r="AC95">
        <f t="shared" si="74"/>
        <v>0</v>
      </c>
      <c r="AD95">
        <f t="shared" si="75"/>
        <v>0</v>
      </c>
      <c r="AE95">
        <f t="shared" si="76"/>
        <v>0</v>
      </c>
      <c r="AF95">
        <f t="shared" si="77"/>
        <v>0</v>
      </c>
      <c r="AG95">
        <f t="shared" si="78"/>
        <v>0</v>
      </c>
      <c r="AH95">
        <f t="shared" si="79"/>
        <v>0</v>
      </c>
      <c r="AI95">
        <f t="shared" si="80"/>
        <v>0</v>
      </c>
      <c r="AJ95">
        <f t="shared" si="81"/>
        <v>0</v>
      </c>
      <c r="AK95">
        <f t="shared" si="82"/>
        <v>0</v>
      </c>
      <c r="AL95">
        <f t="shared" si="83"/>
        <v>0</v>
      </c>
      <c r="AM95">
        <f t="shared" si="84"/>
        <v>0</v>
      </c>
      <c r="AN95">
        <f t="shared" si="85"/>
        <v>0</v>
      </c>
      <c r="AO95">
        <f t="shared" si="86"/>
        <v>0</v>
      </c>
      <c r="AP95">
        <f t="shared" si="87"/>
        <v>0</v>
      </c>
      <c r="AQ95">
        <f t="shared" si="88"/>
        <v>0</v>
      </c>
      <c r="AR95">
        <f t="shared" si="89"/>
        <v>0</v>
      </c>
      <c r="AS95">
        <f t="shared" si="90"/>
        <v>0</v>
      </c>
      <c r="AT95">
        <f t="shared" si="91"/>
        <v>0</v>
      </c>
      <c r="AU95">
        <f t="shared" si="92"/>
        <v>0</v>
      </c>
      <c r="AV95">
        <f t="shared" si="93"/>
        <v>0</v>
      </c>
      <c r="AW95">
        <f t="shared" si="48"/>
        <v>0</v>
      </c>
      <c r="AX95">
        <f t="shared" si="94"/>
        <v>0</v>
      </c>
      <c r="AY95">
        <f t="shared" si="95"/>
        <v>0</v>
      </c>
    </row>
    <row r="96" spans="1:51" x14ac:dyDescent="0.35">
      <c r="A96">
        <v>90</v>
      </c>
      <c r="C96">
        <f>MAX(0,Calc!$C$7-SUM(D96:R96))</f>
        <v>750</v>
      </c>
      <c r="D96">
        <f t="shared" si="49"/>
        <v>0</v>
      </c>
      <c r="E96">
        <f t="shared" si="50"/>
        <v>0</v>
      </c>
      <c r="F96">
        <f t="shared" si="51"/>
        <v>0</v>
      </c>
      <c r="G96">
        <f t="shared" si="52"/>
        <v>0</v>
      </c>
      <c r="H96">
        <f t="shared" si="53"/>
        <v>0</v>
      </c>
      <c r="I96">
        <f t="shared" si="54"/>
        <v>0</v>
      </c>
      <c r="J96">
        <f t="shared" si="55"/>
        <v>0</v>
      </c>
      <c r="K96">
        <f t="shared" si="56"/>
        <v>0</v>
      </c>
      <c r="L96">
        <f t="shared" si="57"/>
        <v>0</v>
      </c>
      <c r="M96">
        <f t="shared" si="58"/>
        <v>0</v>
      </c>
      <c r="N96">
        <f t="shared" si="59"/>
        <v>0</v>
      </c>
      <c r="O96">
        <f t="shared" si="60"/>
        <v>0</v>
      </c>
      <c r="P96">
        <f t="shared" si="61"/>
        <v>0</v>
      </c>
      <c r="Q96">
        <f t="shared" si="62"/>
        <v>0</v>
      </c>
      <c r="R96">
        <f t="shared" si="63"/>
        <v>0</v>
      </c>
      <c r="S96">
        <f t="shared" si="64"/>
        <v>0</v>
      </c>
      <c r="T96">
        <f t="shared" si="65"/>
        <v>0</v>
      </c>
      <c r="U96">
        <f t="shared" si="66"/>
        <v>0</v>
      </c>
      <c r="V96">
        <f t="shared" si="67"/>
        <v>0</v>
      </c>
      <c r="W96">
        <f t="shared" si="68"/>
        <v>0</v>
      </c>
      <c r="X96">
        <f t="shared" si="69"/>
        <v>0</v>
      </c>
      <c r="Y96">
        <f t="shared" si="70"/>
        <v>0</v>
      </c>
      <c r="Z96">
        <f t="shared" si="71"/>
        <v>0</v>
      </c>
      <c r="AA96">
        <f t="shared" si="72"/>
        <v>0</v>
      </c>
      <c r="AB96">
        <f t="shared" si="73"/>
        <v>0</v>
      </c>
      <c r="AC96">
        <f t="shared" si="74"/>
        <v>0</v>
      </c>
      <c r="AD96">
        <f t="shared" si="75"/>
        <v>0</v>
      </c>
      <c r="AE96">
        <f t="shared" si="76"/>
        <v>0</v>
      </c>
      <c r="AF96">
        <f t="shared" si="77"/>
        <v>0</v>
      </c>
      <c r="AG96">
        <f t="shared" si="78"/>
        <v>0</v>
      </c>
      <c r="AH96">
        <f t="shared" si="79"/>
        <v>0</v>
      </c>
      <c r="AI96">
        <f t="shared" si="80"/>
        <v>0</v>
      </c>
      <c r="AJ96">
        <f t="shared" si="81"/>
        <v>0</v>
      </c>
      <c r="AK96">
        <f t="shared" si="82"/>
        <v>0</v>
      </c>
      <c r="AL96">
        <f t="shared" si="83"/>
        <v>0</v>
      </c>
      <c r="AM96">
        <f t="shared" si="84"/>
        <v>0</v>
      </c>
      <c r="AN96">
        <f t="shared" si="85"/>
        <v>0</v>
      </c>
      <c r="AO96">
        <f t="shared" si="86"/>
        <v>0</v>
      </c>
      <c r="AP96">
        <f t="shared" si="87"/>
        <v>0</v>
      </c>
      <c r="AQ96">
        <f t="shared" si="88"/>
        <v>0</v>
      </c>
      <c r="AR96">
        <f t="shared" si="89"/>
        <v>0</v>
      </c>
      <c r="AS96">
        <f t="shared" si="90"/>
        <v>0</v>
      </c>
      <c r="AT96">
        <f t="shared" si="91"/>
        <v>0</v>
      </c>
      <c r="AU96">
        <f t="shared" si="92"/>
        <v>0</v>
      </c>
      <c r="AV96">
        <f t="shared" si="93"/>
        <v>0</v>
      </c>
      <c r="AW96">
        <f t="shared" si="48"/>
        <v>0</v>
      </c>
      <c r="AX96">
        <f t="shared" si="94"/>
        <v>0</v>
      </c>
      <c r="AY96">
        <f t="shared" si="95"/>
        <v>0</v>
      </c>
    </row>
    <row r="97" spans="1:51" x14ac:dyDescent="0.35">
      <c r="A97">
        <v>91</v>
      </c>
      <c r="C97">
        <f>MAX(0,Calc!$C$7-SUM(D97:R97))</f>
        <v>750</v>
      </c>
      <c r="D97">
        <f t="shared" si="49"/>
        <v>0</v>
      </c>
      <c r="E97">
        <f t="shared" si="50"/>
        <v>0</v>
      </c>
      <c r="F97">
        <f t="shared" si="51"/>
        <v>0</v>
      </c>
      <c r="G97">
        <f t="shared" si="52"/>
        <v>0</v>
      </c>
      <c r="H97">
        <f t="shared" si="53"/>
        <v>0</v>
      </c>
      <c r="I97">
        <f t="shared" si="54"/>
        <v>0</v>
      </c>
      <c r="J97">
        <f t="shared" si="55"/>
        <v>0</v>
      </c>
      <c r="K97">
        <f t="shared" si="56"/>
        <v>0</v>
      </c>
      <c r="L97">
        <f t="shared" si="57"/>
        <v>0</v>
      </c>
      <c r="M97">
        <f t="shared" si="58"/>
        <v>0</v>
      </c>
      <c r="N97">
        <f t="shared" si="59"/>
        <v>0</v>
      </c>
      <c r="O97">
        <f t="shared" si="60"/>
        <v>0</v>
      </c>
      <c r="P97">
        <f t="shared" si="61"/>
        <v>0</v>
      </c>
      <c r="Q97">
        <f t="shared" si="62"/>
        <v>0</v>
      </c>
      <c r="R97">
        <f t="shared" si="63"/>
        <v>0</v>
      </c>
      <c r="S97">
        <f t="shared" si="64"/>
        <v>0</v>
      </c>
      <c r="T97">
        <f t="shared" si="65"/>
        <v>0</v>
      </c>
      <c r="U97">
        <f t="shared" si="66"/>
        <v>0</v>
      </c>
      <c r="V97">
        <f t="shared" si="67"/>
        <v>0</v>
      </c>
      <c r="W97">
        <f t="shared" si="68"/>
        <v>0</v>
      </c>
      <c r="X97">
        <f t="shared" si="69"/>
        <v>0</v>
      </c>
      <c r="Y97">
        <f t="shared" si="70"/>
        <v>0</v>
      </c>
      <c r="Z97">
        <f t="shared" si="71"/>
        <v>0</v>
      </c>
      <c r="AA97">
        <f t="shared" si="72"/>
        <v>0</v>
      </c>
      <c r="AB97">
        <f t="shared" si="73"/>
        <v>0</v>
      </c>
      <c r="AC97">
        <f t="shared" si="74"/>
        <v>0</v>
      </c>
      <c r="AD97">
        <f t="shared" si="75"/>
        <v>0</v>
      </c>
      <c r="AE97">
        <f t="shared" si="76"/>
        <v>0</v>
      </c>
      <c r="AF97">
        <f t="shared" si="77"/>
        <v>0</v>
      </c>
      <c r="AG97">
        <f t="shared" si="78"/>
        <v>0</v>
      </c>
      <c r="AH97">
        <f t="shared" si="79"/>
        <v>0</v>
      </c>
      <c r="AI97">
        <f t="shared" si="80"/>
        <v>0</v>
      </c>
      <c r="AJ97">
        <f t="shared" si="81"/>
        <v>0</v>
      </c>
      <c r="AK97">
        <f t="shared" si="82"/>
        <v>0</v>
      </c>
      <c r="AL97">
        <f t="shared" si="83"/>
        <v>0</v>
      </c>
      <c r="AM97">
        <f t="shared" si="84"/>
        <v>0</v>
      </c>
      <c r="AN97">
        <f t="shared" si="85"/>
        <v>0</v>
      </c>
      <c r="AO97">
        <f t="shared" si="86"/>
        <v>0</v>
      </c>
      <c r="AP97">
        <f t="shared" si="87"/>
        <v>0</v>
      </c>
      <c r="AQ97">
        <f t="shared" si="88"/>
        <v>0</v>
      </c>
      <c r="AR97">
        <f t="shared" si="89"/>
        <v>0</v>
      </c>
      <c r="AS97">
        <f t="shared" si="90"/>
        <v>0</v>
      </c>
      <c r="AT97">
        <f t="shared" si="91"/>
        <v>0</v>
      </c>
      <c r="AU97">
        <f t="shared" si="92"/>
        <v>0</v>
      </c>
      <c r="AV97">
        <f t="shared" si="93"/>
        <v>0</v>
      </c>
      <c r="AW97">
        <f t="shared" si="48"/>
        <v>0</v>
      </c>
      <c r="AX97">
        <f t="shared" si="94"/>
        <v>0</v>
      </c>
      <c r="AY97">
        <f t="shared" si="95"/>
        <v>0</v>
      </c>
    </row>
    <row r="98" spans="1:51" x14ac:dyDescent="0.35">
      <c r="A98">
        <v>92</v>
      </c>
      <c r="C98">
        <f>MAX(0,Calc!$C$7-SUM(D98:R98))</f>
        <v>750</v>
      </c>
      <c r="D98">
        <f t="shared" si="49"/>
        <v>0</v>
      </c>
      <c r="E98">
        <f t="shared" si="50"/>
        <v>0</v>
      </c>
      <c r="F98">
        <f t="shared" si="51"/>
        <v>0</v>
      </c>
      <c r="G98">
        <f t="shared" si="52"/>
        <v>0</v>
      </c>
      <c r="H98">
        <f t="shared" si="53"/>
        <v>0</v>
      </c>
      <c r="I98">
        <f t="shared" si="54"/>
        <v>0</v>
      </c>
      <c r="J98">
        <f t="shared" si="55"/>
        <v>0</v>
      </c>
      <c r="K98">
        <f t="shared" si="56"/>
        <v>0</v>
      </c>
      <c r="L98">
        <f t="shared" si="57"/>
        <v>0</v>
      </c>
      <c r="M98">
        <f t="shared" si="58"/>
        <v>0</v>
      </c>
      <c r="N98">
        <f t="shared" si="59"/>
        <v>0</v>
      </c>
      <c r="O98">
        <f t="shared" si="60"/>
        <v>0</v>
      </c>
      <c r="P98">
        <f t="shared" si="61"/>
        <v>0</v>
      </c>
      <c r="Q98">
        <f t="shared" si="62"/>
        <v>0</v>
      </c>
      <c r="R98">
        <f t="shared" si="63"/>
        <v>0</v>
      </c>
      <c r="S98">
        <f t="shared" si="64"/>
        <v>0</v>
      </c>
      <c r="T98">
        <f t="shared" si="65"/>
        <v>0</v>
      </c>
      <c r="U98">
        <f t="shared" si="66"/>
        <v>0</v>
      </c>
      <c r="V98">
        <f t="shared" si="67"/>
        <v>0</v>
      </c>
      <c r="W98">
        <f t="shared" si="68"/>
        <v>0</v>
      </c>
      <c r="X98">
        <f t="shared" si="69"/>
        <v>0</v>
      </c>
      <c r="Y98">
        <f t="shared" si="70"/>
        <v>0</v>
      </c>
      <c r="Z98">
        <f t="shared" si="71"/>
        <v>0</v>
      </c>
      <c r="AA98">
        <f t="shared" si="72"/>
        <v>0</v>
      </c>
      <c r="AB98">
        <f t="shared" si="73"/>
        <v>0</v>
      </c>
      <c r="AC98">
        <f t="shared" si="74"/>
        <v>0</v>
      </c>
      <c r="AD98">
        <f t="shared" si="75"/>
        <v>0</v>
      </c>
      <c r="AE98">
        <f t="shared" si="76"/>
        <v>0</v>
      </c>
      <c r="AF98">
        <f t="shared" si="77"/>
        <v>0</v>
      </c>
      <c r="AG98">
        <f t="shared" si="78"/>
        <v>0</v>
      </c>
      <c r="AH98">
        <f t="shared" si="79"/>
        <v>0</v>
      </c>
      <c r="AI98">
        <f t="shared" si="80"/>
        <v>0</v>
      </c>
      <c r="AJ98">
        <f t="shared" si="81"/>
        <v>0</v>
      </c>
      <c r="AK98">
        <f t="shared" si="82"/>
        <v>0</v>
      </c>
      <c r="AL98">
        <f t="shared" si="83"/>
        <v>0</v>
      </c>
      <c r="AM98">
        <f t="shared" si="84"/>
        <v>0</v>
      </c>
      <c r="AN98">
        <f t="shared" si="85"/>
        <v>0</v>
      </c>
      <c r="AO98">
        <f t="shared" si="86"/>
        <v>0</v>
      </c>
      <c r="AP98">
        <f t="shared" si="87"/>
        <v>0</v>
      </c>
      <c r="AQ98">
        <f t="shared" si="88"/>
        <v>0</v>
      </c>
      <c r="AR98">
        <f t="shared" si="89"/>
        <v>0</v>
      </c>
      <c r="AS98">
        <f t="shared" si="90"/>
        <v>0</v>
      </c>
      <c r="AT98">
        <f t="shared" si="91"/>
        <v>0</v>
      </c>
      <c r="AU98">
        <f t="shared" si="92"/>
        <v>0</v>
      </c>
      <c r="AV98">
        <f t="shared" si="93"/>
        <v>0</v>
      </c>
      <c r="AW98">
        <f t="shared" si="48"/>
        <v>0</v>
      </c>
      <c r="AX98">
        <f t="shared" si="94"/>
        <v>0</v>
      </c>
      <c r="AY98">
        <f t="shared" si="95"/>
        <v>0</v>
      </c>
    </row>
    <row r="99" spans="1:51" x14ac:dyDescent="0.35">
      <c r="A99">
        <v>93</v>
      </c>
      <c r="C99">
        <f>MAX(0,Calc!$C$7-SUM(D99:R99))</f>
        <v>750</v>
      </c>
      <c r="D99">
        <f t="shared" si="49"/>
        <v>0</v>
      </c>
      <c r="E99">
        <f t="shared" si="50"/>
        <v>0</v>
      </c>
      <c r="F99">
        <f t="shared" si="51"/>
        <v>0</v>
      </c>
      <c r="G99">
        <f t="shared" si="52"/>
        <v>0</v>
      </c>
      <c r="H99">
        <f t="shared" si="53"/>
        <v>0</v>
      </c>
      <c r="I99">
        <f t="shared" si="54"/>
        <v>0</v>
      </c>
      <c r="J99">
        <f t="shared" si="55"/>
        <v>0</v>
      </c>
      <c r="K99">
        <f t="shared" si="56"/>
        <v>0</v>
      </c>
      <c r="L99">
        <f t="shared" si="57"/>
        <v>0</v>
      </c>
      <c r="M99">
        <f t="shared" si="58"/>
        <v>0</v>
      </c>
      <c r="N99">
        <f t="shared" si="59"/>
        <v>0</v>
      </c>
      <c r="O99">
        <f t="shared" si="60"/>
        <v>0</v>
      </c>
      <c r="P99">
        <f t="shared" si="61"/>
        <v>0</v>
      </c>
      <c r="Q99">
        <f t="shared" si="62"/>
        <v>0</v>
      </c>
      <c r="R99">
        <f t="shared" si="63"/>
        <v>0</v>
      </c>
      <c r="S99">
        <f t="shared" si="64"/>
        <v>0</v>
      </c>
      <c r="T99">
        <f t="shared" si="65"/>
        <v>0</v>
      </c>
      <c r="U99">
        <f t="shared" si="66"/>
        <v>0</v>
      </c>
      <c r="V99">
        <f t="shared" si="67"/>
        <v>0</v>
      </c>
      <c r="W99">
        <f t="shared" si="68"/>
        <v>0</v>
      </c>
      <c r="X99">
        <f t="shared" si="69"/>
        <v>0</v>
      </c>
      <c r="Y99">
        <f t="shared" si="70"/>
        <v>0</v>
      </c>
      <c r="Z99">
        <f t="shared" si="71"/>
        <v>0</v>
      </c>
      <c r="AA99">
        <f t="shared" si="72"/>
        <v>0</v>
      </c>
      <c r="AB99">
        <f t="shared" si="73"/>
        <v>0</v>
      </c>
      <c r="AC99">
        <f t="shared" si="74"/>
        <v>0</v>
      </c>
      <c r="AD99">
        <f t="shared" si="75"/>
        <v>0</v>
      </c>
      <c r="AE99">
        <f t="shared" si="76"/>
        <v>0</v>
      </c>
      <c r="AF99">
        <f t="shared" si="77"/>
        <v>0</v>
      </c>
      <c r="AG99">
        <f t="shared" si="78"/>
        <v>0</v>
      </c>
      <c r="AH99">
        <f t="shared" si="79"/>
        <v>0</v>
      </c>
      <c r="AI99">
        <f t="shared" si="80"/>
        <v>0</v>
      </c>
      <c r="AJ99">
        <f t="shared" si="81"/>
        <v>0</v>
      </c>
      <c r="AK99">
        <f t="shared" si="82"/>
        <v>0</v>
      </c>
      <c r="AL99">
        <f t="shared" si="83"/>
        <v>0</v>
      </c>
      <c r="AM99">
        <f t="shared" si="84"/>
        <v>0</v>
      </c>
      <c r="AN99">
        <f t="shared" si="85"/>
        <v>0</v>
      </c>
      <c r="AO99">
        <f t="shared" si="86"/>
        <v>0</v>
      </c>
      <c r="AP99">
        <f t="shared" si="87"/>
        <v>0</v>
      </c>
      <c r="AQ99">
        <f t="shared" si="88"/>
        <v>0</v>
      </c>
      <c r="AR99">
        <f t="shared" si="89"/>
        <v>0</v>
      </c>
      <c r="AS99">
        <f t="shared" si="90"/>
        <v>0</v>
      </c>
      <c r="AT99">
        <f t="shared" si="91"/>
        <v>0</v>
      </c>
      <c r="AU99">
        <f t="shared" si="92"/>
        <v>0</v>
      </c>
      <c r="AV99">
        <f t="shared" si="93"/>
        <v>0</v>
      </c>
      <c r="AW99">
        <f t="shared" si="48"/>
        <v>0</v>
      </c>
      <c r="AX99">
        <f t="shared" si="94"/>
        <v>0</v>
      </c>
      <c r="AY99">
        <f t="shared" si="95"/>
        <v>0</v>
      </c>
    </row>
    <row r="100" spans="1:51" x14ac:dyDescent="0.35">
      <c r="A100">
        <v>94</v>
      </c>
      <c r="C100">
        <f>MAX(0,Calc!$C$7-SUM(D100:R100))</f>
        <v>750</v>
      </c>
      <c r="D100">
        <f t="shared" si="49"/>
        <v>0</v>
      </c>
      <c r="E100">
        <f t="shared" si="50"/>
        <v>0</v>
      </c>
      <c r="F100">
        <f t="shared" si="51"/>
        <v>0</v>
      </c>
      <c r="G100">
        <f t="shared" si="52"/>
        <v>0</v>
      </c>
      <c r="H100">
        <f t="shared" si="53"/>
        <v>0</v>
      </c>
      <c r="I100">
        <f t="shared" si="54"/>
        <v>0</v>
      </c>
      <c r="J100">
        <f t="shared" si="55"/>
        <v>0</v>
      </c>
      <c r="K100">
        <f t="shared" si="56"/>
        <v>0</v>
      </c>
      <c r="L100">
        <f t="shared" si="57"/>
        <v>0</v>
      </c>
      <c r="M100">
        <f t="shared" si="58"/>
        <v>0</v>
      </c>
      <c r="N100">
        <f t="shared" si="59"/>
        <v>0</v>
      </c>
      <c r="O100">
        <f t="shared" si="60"/>
        <v>0</v>
      </c>
      <c r="P100">
        <f t="shared" si="61"/>
        <v>0</v>
      </c>
      <c r="Q100">
        <f t="shared" si="62"/>
        <v>0</v>
      </c>
      <c r="R100">
        <f t="shared" si="63"/>
        <v>0</v>
      </c>
      <c r="S100">
        <f t="shared" si="64"/>
        <v>0</v>
      </c>
      <c r="T100">
        <f t="shared" si="65"/>
        <v>0</v>
      </c>
      <c r="U100">
        <f t="shared" si="66"/>
        <v>0</v>
      </c>
      <c r="V100">
        <f t="shared" si="67"/>
        <v>0</v>
      </c>
      <c r="W100">
        <f t="shared" si="68"/>
        <v>0</v>
      </c>
      <c r="X100">
        <f t="shared" si="69"/>
        <v>0</v>
      </c>
      <c r="Y100">
        <f t="shared" si="70"/>
        <v>0</v>
      </c>
      <c r="Z100">
        <f t="shared" si="71"/>
        <v>0</v>
      </c>
      <c r="AA100">
        <f t="shared" si="72"/>
        <v>0</v>
      </c>
      <c r="AB100">
        <f t="shared" si="73"/>
        <v>0</v>
      </c>
      <c r="AC100">
        <f t="shared" si="74"/>
        <v>0</v>
      </c>
      <c r="AD100">
        <f t="shared" si="75"/>
        <v>0</v>
      </c>
      <c r="AE100">
        <f t="shared" si="76"/>
        <v>0</v>
      </c>
      <c r="AF100">
        <f t="shared" si="77"/>
        <v>0</v>
      </c>
      <c r="AG100">
        <f t="shared" si="78"/>
        <v>0</v>
      </c>
      <c r="AH100">
        <f t="shared" si="79"/>
        <v>0</v>
      </c>
      <c r="AI100">
        <f t="shared" si="80"/>
        <v>0</v>
      </c>
      <c r="AJ100">
        <f t="shared" si="81"/>
        <v>0</v>
      </c>
      <c r="AK100">
        <f t="shared" si="82"/>
        <v>0</v>
      </c>
      <c r="AL100">
        <f t="shared" si="83"/>
        <v>0</v>
      </c>
      <c r="AM100">
        <f t="shared" si="84"/>
        <v>0</v>
      </c>
      <c r="AN100">
        <f t="shared" si="85"/>
        <v>0</v>
      </c>
      <c r="AO100">
        <f t="shared" si="86"/>
        <v>0</v>
      </c>
      <c r="AP100">
        <f t="shared" si="87"/>
        <v>0</v>
      </c>
      <c r="AQ100">
        <f t="shared" si="88"/>
        <v>0</v>
      </c>
      <c r="AR100">
        <f t="shared" si="89"/>
        <v>0</v>
      </c>
      <c r="AS100">
        <f t="shared" si="90"/>
        <v>0</v>
      </c>
      <c r="AT100">
        <f t="shared" si="91"/>
        <v>0</v>
      </c>
      <c r="AU100">
        <f t="shared" si="92"/>
        <v>0</v>
      </c>
      <c r="AV100">
        <f t="shared" si="93"/>
        <v>0</v>
      </c>
      <c r="AW100">
        <f t="shared" si="48"/>
        <v>0</v>
      </c>
      <c r="AX100">
        <f t="shared" si="94"/>
        <v>0</v>
      </c>
      <c r="AY100">
        <f t="shared" si="95"/>
        <v>0</v>
      </c>
    </row>
    <row r="101" spans="1:51" x14ac:dyDescent="0.35">
      <c r="A101">
        <v>95</v>
      </c>
      <c r="C101">
        <f>MAX(0,Calc!$C$7-SUM(D101:R101))</f>
        <v>750</v>
      </c>
      <c r="D101">
        <f t="shared" si="49"/>
        <v>0</v>
      </c>
      <c r="E101">
        <f t="shared" si="50"/>
        <v>0</v>
      </c>
      <c r="F101">
        <f t="shared" si="51"/>
        <v>0</v>
      </c>
      <c r="G101">
        <f t="shared" si="52"/>
        <v>0</v>
      </c>
      <c r="H101">
        <f t="shared" si="53"/>
        <v>0</v>
      </c>
      <c r="I101">
        <f t="shared" si="54"/>
        <v>0</v>
      </c>
      <c r="J101">
        <f t="shared" si="55"/>
        <v>0</v>
      </c>
      <c r="K101">
        <f t="shared" si="56"/>
        <v>0</v>
      </c>
      <c r="L101">
        <f t="shared" si="57"/>
        <v>0</v>
      </c>
      <c r="M101">
        <f t="shared" si="58"/>
        <v>0</v>
      </c>
      <c r="N101">
        <f t="shared" si="59"/>
        <v>0</v>
      </c>
      <c r="O101">
        <f t="shared" si="60"/>
        <v>0</v>
      </c>
      <c r="P101">
        <f t="shared" si="61"/>
        <v>0</v>
      </c>
      <c r="Q101">
        <f t="shared" si="62"/>
        <v>0</v>
      </c>
      <c r="R101">
        <f t="shared" si="63"/>
        <v>0</v>
      </c>
      <c r="S101">
        <f t="shared" si="64"/>
        <v>0</v>
      </c>
      <c r="T101">
        <f t="shared" si="65"/>
        <v>0</v>
      </c>
      <c r="U101">
        <f t="shared" si="66"/>
        <v>0</v>
      </c>
      <c r="V101">
        <f t="shared" si="67"/>
        <v>0</v>
      </c>
      <c r="W101">
        <f t="shared" si="68"/>
        <v>0</v>
      </c>
      <c r="X101">
        <f t="shared" si="69"/>
        <v>0</v>
      </c>
      <c r="Y101">
        <f t="shared" si="70"/>
        <v>0</v>
      </c>
      <c r="Z101">
        <f t="shared" si="71"/>
        <v>0</v>
      </c>
      <c r="AA101">
        <f t="shared" si="72"/>
        <v>0</v>
      </c>
      <c r="AB101">
        <f t="shared" si="73"/>
        <v>0</v>
      </c>
      <c r="AC101">
        <f t="shared" si="74"/>
        <v>0</v>
      </c>
      <c r="AD101">
        <f t="shared" si="75"/>
        <v>0</v>
      </c>
      <c r="AE101">
        <f t="shared" si="76"/>
        <v>0</v>
      </c>
      <c r="AF101">
        <f t="shared" si="77"/>
        <v>0</v>
      </c>
      <c r="AG101">
        <f t="shared" si="78"/>
        <v>0</v>
      </c>
      <c r="AH101">
        <f t="shared" si="79"/>
        <v>0</v>
      </c>
      <c r="AI101">
        <f t="shared" si="80"/>
        <v>0</v>
      </c>
      <c r="AJ101">
        <f t="shared" si="81"/>
        <v>0</v>
      </c>
      <c r="AK101">
        <f t="shared" si="82"/>
        <v>0</v>
      </c>
      <c r="AL101">
        <f t="shared" si="83"/>
        <v>0</v>
      </c>
      <c r="AM101">
        <f t="shared" si="84"/>
        <v>0</v>
      </c>
      <c r="AN101">
        <f t="shared" si="85"/>
        <v>0</v>
      </c>
      <c r="AO101">
        <f t="shared" si="86"/>
        <v>0</v>
      </c>
      <c r="AP101">
        <f t="shared" si="87"/>
        <v>0</v>
      </c>
      <c r="AQ101">
        <f t="shared" si="88"/>
        <v>0</v>
      </c>
      <c r="AR101">
        <f t="shared" si="89"/>
        <v>0</v>
      </c>
      <c r="AS101">
        <f t="shared" si="90"/>
        <v>0</v>
      </c>
      <c r="AT101">
        <f t="shared" si="91"/>
        <v>0</v>
      </c>
      <c r="AU101">
        <f t="shared" si="92"/>
        <v>0</v>
      </c>
      <c r="AV101">
        <f t="shared" si="93"/>
        <v>0</v>
      </c>
      <c r="AW101">
        <f t="shared" si="48"/>
        <v>0</v>
      </c>
      <c r="AX101">
        <f t="shared" si="94"/>
        <v>0</v>
      </c>
      <c r="AY101">
        <f t="shared" si="95"/>
        <v>0</v>
      </c>
    </row>
    <row r="102" spans="1:51" x14ac:dyDescent="0.35">
      <c r="A102">
        <v>96</v>
      </c>
      <c r="C102">
        <f>MAX(0,Calc!$C$7-SUM(D102:R102))</f>
        <v>750</v>
      </c>
      <c r="D102">
        <f t="shared" si="49"/>
        <v>0</v>
      </c>
      <c r="E102">
        <f t="shared" si="50"/>
        <v>0</v>
      </c>
      <c r="F102">
        <f t="shared" si="51"/>
        <v>0</v>
      </c>
      <c r="G102">
        <f t="shared" si="52"/>
        <v>0</v>
      </c>
      <c r="H102">
        <f t="shared" si="53"/>
        <v>0</v>
      </c>
      <c r="I102">
        <f t="shared" si="54"/>
        <v>0</v>
      </c>
      <c r="J102">
        <f t="shared" si="55"/>
        <v>0</v>
      </c>
      <c r="K102">
        <f t="shared" si="56"/>
        <v>0</v>
      </c>
      <c r="L102">
        <f t="shared" si="57"/>
        <v>0</v>
      </c>
      <c r="M102">
        <f t="shared" si="58"/>
        <v>0</v>
      </c>
      <c r="N102">
        <f t="shared" si="59"/>
        <v>0</v>
      </c>
      <c r="O102">
        <f t="shared" si="60"/>
        <v>0</v>
      </c>
      <c r="P102">
        <f t="shared" si="61"/>
        <v>0</v>
      </c>
      <c r="Q102">
        <f t="shared" si="62"/>
        <v>0</v>
      </c>
      <c r="R102">
        <f t="shared" si="63"/>
        <v>0</v>
      </c>
      <c r="S102">
        <f t="shared" si="64"/>
        <v>0</v>
      </c>
      <c r="T102">
        <f t="shared" si="65"/>
        <v>0</v>
      </c>
      <c r="U102">
        <f t="shared" si="66"/>
        <v>0</v>
      </c>
      <c r="V102">
        <f t="shared" si="67"/>
        <v>0</v>
      </c>
      <c r="W102">
        <f t="shared" si="68"/>
        <v>0</v>
      </c>
      <c r="X102">
        <f t="shared" si="69"/>
        <v>0</v>
      </c>
      <c r="Y102">
        <f t="shared" si="70"/>
        <v>0</v>
      </c>
      <c r="Z102">
        <f t="shared" si="71"/>
        <v>0</v>
      </c>
      <c r="AA102">
        <f t="shared" si="72"/>
        <v>0</v>
      </c>
      <c r="AB102">
        <f t="shared" si="73"/>
        <v>0</v>
      </c>
      <c r="AC102">
        <f t="shared" si="74"/>
        <v>0</v>
      </c>
      <c r="AD102">
        <f t="shared" si="75"/>
        <v>0</v>
      </c>
      <c r="AE102">
        <f t="shared" si="76"/>
        <v>0</v>
      </c>
      <c r="AF102">
        <f t="shared" si="77"/>
        <v>0</v>
      </c>
      <c r="AG102">
        <f t="shared" si="78"/>
        <v>0</v>
      </c>
      <c r="AH102">
        <f t="shared" si="79"/>
        <v>0</v>
      </c>
      <c r="AI102">
        <f t="shared" si="80"/>
        <v>0</v>
      </c>
      <c r="AJ102">
        <f t="shared" si="81"/>
        <v>0</v>
      </c>
      <c r="AK102">
        <f t="shared" si="82"/>
        <v>0</v>
      </c>
      <c r="AL102">
        <f t="shared" si="83"/>
        <v>0</v>
      </c>
      <c r="AM102">
        <f t="shared" si="84"/>
        <v>0</v>
      </c>
      <c r="AN102">
        <f t="shared" si="85"/>
        <v>0</v>
      </c>
      <c r="AO102">
        <f t="shared" si="86"/>
        <v>0</v>
      </c>
      <c r="AP102">
        <f t="shared" si="87"/>
        <v>0</v>
      </c>
      <c r="AQ102">
        <f t="shared" si="88"/>
        <v>0</v>
      </c>
      <c r="AR102">
        <f t="shared" si="89"/>
        <v>0</v>
      </c>
      <c r="AS102">
        <f t="shared" si="90"/>
        <v>0</v>
      </c>
      <c r="AT102">
        <f t="shared" si="91"/>
        <v>0</v>
      </c>
      <c r="AU102">
        <f t="shared" si="92"/>
        <v>0</v>
      </c>
      <c r="AV102">
        <f t="shared" si="93"/>
        <v>0</v>
      </c>
      <c r="AW102">
        <f t="shared" si="48"/>
        <v>0</v>
      </c>
      <c r="AX102">
        <f t="shared" si="94"/>
        <v>0</v>
      </c>
      <c r="AY102">
        <f t="shared" si="95"/>
        <v>0</v>
      </c>
    </row>
    <row r="103" spans="1:51" x14ac:dyDescent="0.35">
      <c r="A103">
        <v>97</v>
      </c>
      <c r="C103">
        <f>MAX(0,Calc!$C$7-SUM(D103:R103))</f>
        <v>750</v>
      </c>
      <c r="D103">
        <f t="shared" si="49"/>
        <v>0</v>
      </c>
      <c r="E103">
        <f t="shared" si="50"/>
        <v>0</v>
      </c>
      <c r="F103">
        <f t="shared" si="51"/>
        <v>0</v>
      </c>
      <c r="G103">
        <f t="shared" si="52"/>
        <v>0</v>
      </c>
      <c r="H103">
        <f t="shared" si="53"/>
        <v>0</v>
      </c>
      <c r="I103">
        <f t="shared" si="54"/>
        <v>0</v>
      </c>
      <c r="J103">
        <f t="shared" si="55"/>
        <v>0</v>
      </c>
      <c r="K103">
        <f t="shared" si="56"/>
        <v>0</v>
      </c>
      <c r="L103">
        <f t="shared" si="57"/>
        <v>0</v>
      </c>
      <c r="M103">
        <f t="shared" si="58"/>
        <v>0</v>
      </c>
      <c r="N103">
        <f t="shared" si="59"/>
        <v>0</v>
      </c>
      <c r="O103">
        <f t="shared" si="60"/>
        <v>0</v>
      </c>
      <c r="P103">
        <f t="shared" si="61"/>
        <v>0</v>
      </c>
      <c r="Q103">
        <f t="shared" si="62"/>
        <v>0</v>
      </c>
      <c r="R103">
        <f t="shared" si="63"/>
        <v>0</v>
      </c>
      <c r="S103">
        <f t="shared" si="64"/>
        <v>0</v>
      </c>
      <c r="T103">
        <f t="shared" si="65"/>
        <v>0</v>
      </c>
      <c r="U103">
        <f t="shared" si="66"/>
        <v>0</v>
      </c>
      <c r="V103">
        <f t="shared" si="67"/>
        <v>0</v>
      </c>
      <c r="W103">
        <f t="shared" si="68"/>
        <v>0</v>
      </c>
      <c r="X103">
        <f t="shared" si="69"/>
        <v>0</v>
      </c>
      <c r="Y103">
        <f t="shared" si="70"/>
        <v>0</v>
      </c>
      <c r="Z103">
        <f t="shared" si="71"/>
        <v>0</v>
      </c>
      <c r="AA103">
        <f t="shared" si="72"/>
        <v>0</v>
      </c>
      <c r="AB103">
        <f t="shared" si="73"/>
        <v>0</v>
      </c>
      <c r="AC103">
        <f t="shared" si="74"/>
        <v>0</v>
      </c>
      <c r="AD103">
        <f t="shared" si="75"/>
        <v>0</v>
      </c>
      <c r="AE103">
        <f t="shared" si="76"/>
        <v>0</v>
      </c>
      <c r="AF103">
        <f t="shared" si="77"/>
        <v>0</v>
      </c>
      <c r="AG103">
        <f t="shared" si="78"/>
        <v>0</v>
      </c>
      <c r="AH103">
        <f t="shared" si="79"/>
        <v>0</v>
      </c>
      <c r="AI103">
        <f t="shared" si="80"/>
        <v>0</v>
      </c>
      <c r="AJ103">
        <f t="shared" si="81"/>
        <v>0</v>
      </c>
      <c r="AK103">
        <f t="shared" si="82"/>
        <v>0</v>
      </c>
      <c r="AL103">
        <f t="shared" si="83"/>
        <v>0</v>
      </c>
      <c r="AM103">
        <f t="shared" si="84"/>
        <v>0</v>
      </c>
      <c r="AN103">
        <f t="shared" si="85"/>
        <v>0</v>
      </c>
      <c r="AO103">
        <f t="shared" si="86"/>
        <v>0</v>
      </c>
      <c r="AP103">
        <f t="shared" si="87"/>
        <v>0</v>
      </c>
      <c r="AQ103">
        <f t="shared" si="88"/>
        <v>0</v>
      </c>
      <c r="AR103">
        <f t="shared" si="89"/>
        <v>0</v>
      </c>
      <c r="AS103">
        <f t="shared" si="90"/>
        <v>0</v>
      </c>
      <c r="AT103">
        <f t="shared" si="91"/>
        <v>0</v>
      </c>
      <c r="AU103">
        <f t="shared" si="92"/>
        <v>0</v>
      </c>
      <c r="AV103">
        <f t="shared" si="93"/>
        <v>0</v>
      </c>
      <c r="AW103">
        <f t="shared" si="48"/>
        <v>0</v>
      </c>
      <c r="AX103">
        <f t="shared" si="94"/>
        <v>0</v>
      </c>
      <c r="AY103">
        <f t="shared" si="95"/>
        <v>0</v>
      </c>
    </row>
    <row r="104" spans="1:51" x14ac:dyDescent="0.35">
      <c r="A104">
        <v>98</v>
      </c>
      <c r="C104">
        <f>MAX(0,Calc!$C$7-SUM(D104:R104))</f>
        <v>750</v>
      </c>
      <c r="D104">
        <f t="shared" si="49"/>
        <v>0</v>
      </c>
      <c r="E104">
        <f t="shared" si="50"/>
        <v>0</v>
      </c>
      <c r="F104">
        <f t="shared" si="51"/>
        <v>0</v>
      </c>
      <c r="G104">
        <f t="shared" si="52"/>
        <v>0</v>
      </c>
      <c r="H104">
        <f t="shared" si="53"/>
        <v>0</v>
      </c>
      <c r="I104">
        <f t="shared" si="54"/>
        <v>0</v>
      </c>
      <c r="J104">
        <f t="shared" si="55"/>
        <v>0</v>
      </c>
      <c r="K104">
        <f t="shared" si="56"/>
        <v>0</v>
      </c>
      <c r="L104">
        <f t="shared" si="57"/>
        <v>0</v>
      </c>
      <c r="M104">
        <f t="shared" si="58"/>
        <v>0</v>
      </c>
      <c r="N104">
        <f t="shared" si="59"/>
        <v>0</v>
      </c>
      <c r="O104">
        <f t="shared" si="60"/>
        <v>0</v>
      </c>
      <c r="P104">
        <f t="shared" si="61"/>
        <v>0</v>
      </c>
      <c r="Q104">
        <f t="shared" si="62"/>
        <v>0</v>
      </c>
      <c r="R104">
        <f t="shared" si="63"/>
        <v>0</v>
      </c>
      <c r="S104">
        <f t="shared" si="64"/>
        <v>0</v>
      </c>
      <c r="T104">
        <f t="shared" si="65"/>
        <v>0</v>
      </c>
      <c r="U104">
        <f t="shared" si="66"/>
        <v>0</v>
      </c>
      <c r="V104">
        <f t="shared" si="67"/>
        <v>0</v>
      </c>
      <c r="W104">
        <f t="shared" si="68"/>
        <v>0</v>
      </c>
      <c r="X104">
        <f t="shared" si="69"/>
        <v>0</v>
      </c>
      <c r="Y104">
        <f t="shared" si="70"/>
        <v>0</v>
      </c>
      <c r="Z104">
        <f t="shared" si="71"/>
        <v>0</v>
      </c>
      <c r="AA104">
        <f t="shared" si="72"/>
        <v>0</v>
      </c>
      <c r="AB104">
        <f t="shared" si="73"/>
        <v>0</v>
      </c>
      <c r="AC104">
        <f t="shared" si="74"/>
        <v>0</v>
      </c>
      <c r="AD104">
        <f t="shared" si="75"/>
        <v>0</v>
      </c>
      <c r="AE104">
        <f t="shared" si="76"/>
        <v>0</v>
      </c>
      <c r="AF104">
        <f t="shared" si="77"/>
        <v>0</v>
      </c>
      <c r="AG104">
        <f t="shared" si="78"/>
        <v>0</v>
      </c>
      <c r="AH104">
        <f t="shared" si="79"/>
        <v>0</v>
      </c>
      <c r="AI104">
        <f t="shared" si="80"/>
        <v>0</v>
      </c>
      <c r="AJ104">
        <f t="shared" si="81"/>
        <v>0</v>
      </c>
      <c r="AK104">
        <f t="shared" si="82"/>
        <v>0</v>
      </c>
      <c r="AL104">
        <f t="shared" si="83"/>
        <v>0</v>
      </c>
      <c r="AM104">
        <f t="shared" si="84"/>
        <v>0</v>
      </c>
      <c r="AN104">
        <f t="shared" si="85"/>
        <v>0</v>
      </c>
      <c r="AO104">
        <f t="shared" si="86"/>
        <v>0</v>
      </c>
      <c r="AP104">
        <f t="shared" si="87"/>
        <v>0</v>
      </c>
      <c r="AQ104">
        <f t="shared" si="88"/>
        <v>0</v>
      </c>
      <c r="AR104">
        <f t="shared" si="89"/>
        <v>0</v>
      </c>
      <c r="AS104">
        <f t="shared" si="90"/>
        <v>0</v>
      </c>
      <c r="AT104">
        <f t="shared" si="91"/>
        <v>0</v>
      </c>
      <c r="AU104">
        <f t="shared" si="92"/>
        <v>0</v>
      </c>
      <c r="AV104">
        <f t="shared" si="93"/>
        <v>0</v>
      </c>
      <c r="AW104">
        <f t="shared" si="48"/>
        <v>0</v>
      </c>
      <c r="AX104">
        <f t="shared" si="94"/>
        <v>0</v>
      </c>
      <c r="AY104">
        <f t="shared" si="95"/>
        <v>0</v>
      </c>
    </row>
    <row r="105" spans="1:51" x14ac:dyDescent="0.35">
      <c r="A105">
        <v>99</v>
      </c>
      <c r="C105">
        <f>MAX(0,Calc!$C$7-SUM(D105:R105))</f>
        <v>750</v>
      </c>
      <c r="D105">
        <f t="shared" si="49"/>
        <v>0</v>
      </c>
      <c r="E105">
        <f t="shared" si="50"/>
        <v>0</v>
      </c>
      <c r="F105">
        <f t="shared" si="51"/>
        <v>0</v>
      </c>
      <c r="G105">
        <f t="shared" si="52"/>
        <v>0</v>
      </c>
      <c r="H105">
        <f t="shared" si="53"/>
        <v>0</v>
      </c>
      <c r="I105">
        <f t="shared" si="54"/>
        <v>0</v>
      </c>
      <c r="J105">
        <f t="shared" si="55"/>
        <v>0</v>
      </c>
      <c r="K105">
        <f t="shared" si="56"/>
        <v>0</v>
      </c>
      <c r="L105">
        <f t="shared" si="57"/>
        <v>0</v>
      </c>
      <c r="M105">
        <f t="shared" si="58"/>
        <v>0</v>
      </c>
      <c r="N105">
        <f t="shared" si="59"/>
        <v>0</v>
      </c>
      <c r="O105">
        <f t="shared" si="60"/>
        <v>0</v>
      </c>
      <c r="P105">
        <f t="shared" si="61"/>
        <v>0</v>
      </c>
      <c r="Q105">
        <f t="shared" si="62"/>
        <v>0</v>
      </c>
      <c r="R105">
        <f t="shared" si="63"/>
        <v>0</v>
      </c>
      <c r="S105">
        <f t="shared" si="64"/>
        <v>0</v>
      </c>
      <c r="T105">
        <f t="shared" si="65"/>
        <v>0</v>
      </c>
      <c r="U105">
        <f t="shared" si="66"/>
        <v>0</v>
      </c>
      <c r="V105">
        <f t="shared" si="67"/>
        <v>0</v>
      </c>
      <c r="W105">
        <f t="shared" si="68"/>
        <v>0</v>
      </c>
      <c r="X105">
        <f t="shared" si="69"/>
        <v>0</v>
      </c>
      <c r="Y105">
        <f t="shared" si="70"/>
        <v>0</v>
      </c>
      <c r="Z105">
        <f t="shared" si="71"/>
        <v>0</v>
      </c>
      <c r="AA105">
        <f t="shared" si="72"/>
        <v>0</v>
      </c>
      <c r="AB105">
        <f t="shared" si="73"/>
        <v>0</v>
      </c>
      <c r="AC105">
        <f t="shared" si="74"/>
        <v>0</v>
      </c>
      <c r="AD105">
        <f t="shared" si="75"/>
        <v>0</v>
      </c>
      <c r="AE105">
        <f t="shared" si="76"/>
        <v>0</v>
      </c>
      <c r="AF105">
        <f t="shared" si="77"/>
        <v>0</v>
      </c>
      <c r="AG105">
        <f t="shared" si="78"/>
        <v>0</v>
      </c>
      <c r="AH105">
        <f t="shared" si="79"/>
        <v>0</v>
      </c>
      <c r="AI105">
        <f t="shared" si="80"/>
        <v>0</v>
      </c>
      <c r="AJ105">
        <f t="shared" si="81"/>
        <v>0</v>
      </c>
      <c r="AK105">
        <f t="shared" si="82"/>
        <v>0</v>
      </c>
      <c r="AL105">
        <f t="shared" si="83"/>
        <v>0</v>
      </c>
      <c r="AM105">
        <f t="shared" si="84"/>
        <v>0</v>
      </c>
      <c r="AN105">
        <f t="shared" si="85"/>
        <v>0</v>
      </c>
      <c r="AO105">
        <f t="shared" si="86"/>
        <v>0</v>
      </c>
      <c r="AP105">
        <f t="shared" si="87"/>
        <v>0</v>
      </c>
      <c r="AQ105">
        <f t="shared" si="88"/>
        <v>0</v>
      </c>
      <c r="AR105">
        <f t="shared" si="89"/>
        <v>0</v>
      </c>
      <c r="AS105">
        <f t="shared" si="90"/>
        <v>0</v>
      </c>
      <c r="AT105">
        <f t="shared" si="91"/>
        <v>0</v>
      </c>
      <c r="AU105">
        <f t="shared" si="92"/>
        <v>0</v>
      </c>
      <c r="AV105">
        <f t="shared" si="93"/>
        <v>0</v>
      </c>
      <c r="AW105">
        <f t="shared" si="48"/>
        <v>0</v>
      </c>
      <c r="AX105">
        <f t="shared" si="94"/>
        <v>0</v>
      </c>
      <c r="AY105">
        <f t="shared" si="95"/>
        <v>0</v>
      </c>
    </row>
    <row r="106" spans="1:51" x14ac:dyDescent="0.35">
      <c r="A106">
        <v>100</v>
      </c>
      <c r="C106">
        <f>MAX(0,Calc!$C$7-SUM(D106:R106))</f>
        <v>750</v>
      </c>
      <c r="D106">
        <f t="shared" si="49"/>
        <v>0</v>
      </c>
      <c r="E106">
        <f t="shared" si="50"/>
        <v>0</v>
      </c>
      <c r="F106">
        <f t="shared" si="51"/>
        <v>0</v>
      </c>
      <c r="G106">
        <f t="shared" si="52"/>
        <v>0</v>
      </c>
      <c r="H106">
        <f t="shared" si="53"/>
        <v>0</v>
      </c>
      <c r="I106">
        <f t="shared" si="54"/>
        <v>0</v>
      </c>
      <c r="J106">
        <f t="shared" si="55"/>
        <v>0</v>
      </c>
      <c r="K106">
        <f t="shared" si="56"/>
        <v>0</v>
      </c>
      <c r="L106">
        <f t="shared" si="57"/>
        <v>0</v>
      </c>
      <c r="M106">
        <f t="shared" si="58"/>
        <v>0</v>
      </c>
      <c r="N106">
        <f t="shared" si="59"/>
        <v>0</v>
      </c>
      <c r="O106">
        <f t="shared" si="60"/>
        <v>0</v>
      </c>
      <c r="P106">
        <f t="shared" si="61"/>
        <v>0</v>
      </c>
      <c r="Q106">
        <f t="shared" si="62"/>
        <v>0</v>
      </c>
      <c r="R106">
        <f t="shared" si="63"/>
        <v>0</v>
      </c>
      <c r="S106">
        <f t="shared" si="64"/>
        <v>0</v>
      </c>
      <c r="T106">
        <f t="shared" si="65"/>
        <v>0</v>
      </c>
      <c r="U106">
        <f t="shared" si="66"/>
        <v>0</v>
      </c>
      <c r="V106">
        <f t="shared" si="67"/>
        <v>0</v>
      </c>
      <c r="W106">
        <f t="shared" si="68"/>
        <v>0</v>
      </c>
      <c r="X106">
        <f t="shared" si="69"/>
        <v>0</v>
      </c>
      <c r="Y106">
        <f t="shared" si="70"/>
        <v>0</v>
      </c>
      <c r="Z106">
        <f t="shared" si="71"/>
        <v>0</v>
      </c>
      <c r="AA106">
        <f t="shared" si="72"/>
        <v>0</v>
      </c>
      <c r="AB106">
        <f t="shared" si="73"/>
        <v>0</v>
      </c>
      <c r="AC106">
        <f t="shared" si="74"/>
        <v>0</v>
      </c>
      <c r="AD106">
        <f t="shared" si="75"/>
        <v>0</v>
      </c>
      <c r="AE106">
        <f t="shared" si="76"/>
        <v>0</v>
      </c>
      <c r="AF106">
        <f t="shared" si="77"/>
        <v>0</v>
      </c>
      <c r="AG106">
        <f t="shared" si="78"/>
        <v>0</v>
      </c>
      <c r="AH106">
        <f t="shared" si="79"/>
        <v>0</v>
      </c>
      <c r="AI106">
        <f t="shared" si="80"/>
        <v>0</v>
      </c>
      <c r="AJ106">
        <f t="shared" si="81"/>
        <v>0</v>
      </c>
      <c r="AK106">
        <f t="shared" si="82"/>
        <v>0</v>
      </c>
      <c r="AL106">
        <f t="shared" si="83"/>
        <v>0</v>
      </c>
      <c r="AM106">
        <f t="shared" si="84"/>
        <v>0</v>
      </c>
      <c r="AN106">
        <f t="shared" si="85"/>
        <v>0</v>
      </c>
      <c r="AO106">
        <f t="shared" si="86"/>
        <v>0</v>
      </c>
      <c r="AP106">
        <f t="shared" si="87"/>
        <v>0</v>
      </c>
      <c r="AQ106">
        <f t="shared" si="88"/>
        <v>0</v>
      </c>
      <c r="AR106">
        <f t="shared" si="89"/>
        <v>0</v>
      </c>
      <c r="AS106">
        <f t="shared" si="90"/>
        <v>0</v>
      </c>
      <c r="AT106">
        <f t="shared" si="91"/>
        <v>0</v>
      </c>
      <c r="AU106">
        <f t="shared" si="92"/>
        <v>0</v>
      </c>
      <c r="AV106">
        <f t="shared" si="93"/>
        <v>0</v>
      </c>
      <c r="AW106">
        <f t="shared" si="48"/>
        <v>0</v>
      </c>
      <c r="AX106">
        <f t="shared" si="94"/>
        <v>0</v>
      </c>
      <c r="AY106">
        <f t="shared" si="95"/>
        <v>0</v>
      </c>
    </row>
    <row r="107" spans="1:51" x14ac:dyDescent="0.35">
      <c r="A107">
        <v>101</v>
      </c>
      <c r="C107">
        <f>MAX(0,Calc!$C$7-SUM(D107:R107))</f>
        <v>750</v>
      </c>
      <c r="D107">
        <f t="shared" si="49"/>
        <v>0</v>
      </c>
      <c r="E107">
        <f t="shared" si="50"/>
        <v>0</v>
      </c>
      <c r="F107">
        <f t="shared" si="51"/>
        <v>0</v>
      </c>
      <c r="G107">
        <f t="shared" si="52"/>
        <v>0</v>
      </c>
      <c r="H107">
        <f t="shared" si="53"/>
        <v>0</v>
      </c>
      <c r="I107">
        <f t="shared" si="54"/>
        <v>0</v>
      </c>
      <c r="J107">
        <f t="shared" si="55"/>
        <v>0</v>
      </c>
      <c r="K107">
        <f t="shared" si="56"/>
        <v>0</v>
      </c>
      <c r="L107">
        <f t="shared" si="57"/>
        <v>0</v>
      </c>
      <c r="M107">
        <f t="shared" si="58"/>
        <v>0</v>
      </c>
      <c r="N107">
        <f t="shared" si="59"/>
        <v>0</v>
      </c>
      <c r="O107">
        <f t="shared" si="60"/>
        <v>0</v>
      </c>
      <c r="P107">
        <f t="shared" si="61"/>
        <v>0</v>
      </c>
      <c r="Q107">
        <f t="shared" si="62"/>
        <v>0</v>
      </c>
      <c r="R107">
        <f t="shared" si="63"/>
        <v>0</v>
      </c>
      <c r="S107">
        <f t="shared" si="64"/>
        <v>0</v>
      </c>
      <c r="T107">
        <f t="shared" si="65"/>
        <v>0</v>
      </c>
      <c r="U107">
        <f t="shared" si="66"/>
        <v>0</v>
      </c>
      <c r="V107">
        <f t="shared" si="67"/>
        <v>0</v>
      </c>
      <c r="W107">
        <f t="shared" si="68"/>
        <v>0</v>
      </c>
      <c r="X107">
        <f t="shared" si="69"/>
        <v>0</v>
      </c>
      <c r="Y107">
        <f t="shared" si="70"/>
        <v>0</v>
      </c>
      <c r="Z107">
        <f t="shared" si="71"/>
        <v>0</v>
      </c>
      <c r="AA107">
        <f t="shared" si="72"/>
        <v>0</v>
      </c>
      <c r="AB107">
        <f t="shared" si="73"/>
        <v>0</v>
      </c>
      <c r="AC107">
        <f t="shared" si="74"/>
        <v>0</v>
      </c>
      <c r="AD107">
        <f t="shared" si="75"/>
        <v>0</v>
      </c>
      <c r="AE107">
        <f t="shared" si="76"/>
        <v>0</v>
      </c>
      <c r="AF107">
        <f t="shared" si="77"/>
        <v>0</v>
      </c>
      <c r="AG107">
        <f t="shared" si="78"/>
        <v>0</v>
      </c>
      <c r="AH107">
        <f t="shared" si="79"/>
        <v>0</v>
      </c>
      <c r="AI107">
        <f t="shared" si="80"/>
        <v>0</v>
      </c>
      <c r="AJ107">
        <f t="shared" si="81"/>
        <v>0</v>
      </c>
      <c r="AK107">
        <f t="shared" si="82"/>
        <v>0</v>
      </c>
      <c r="AL107">
        <f t="shared" si="83"/>
        <v>0</v>
      </c>
      <c r="AM107">
        <f t="shared" si="84"/>
        <v>0</v>
      </c>
      <c r="AN107">
        <f t="shared" si="85"/>
        <v>0</v>
      </c>
      <c r="AO107">
        <f t="shared" si="86"/>
        <v>0</v>
      </c>
      <c r="AP107">
        <f t="shared" si="87"/>
        <v>0</v>
      </c>
      <c r="AQ107">
        <f t="shared" si="88"/>
        <v>0</v>
      </c>
      <c r="AR107">
        <f t="shared" si="89"/>
        <v>0</v>
      </c>
      <c r="AS107">
        <f t="shared" si="90"/>
        <v>0</v>
      </c>
      <c r="AT107">
        <f t="shared" si="91"/>
        <v>0</v>
      </c>
      <c r="AU107">
        <f t="shared" si="92"/>
        <v>0</v>
      </c>
      <c r="AV107">
        <f t="shared" si="93"/>
        <v>0</v>
      </c>
      <c r="AW107">
        <f t="shared" si="48"/>
        <v>0</v>
      </c>
      <c r="AX107">
        <f t="shared" si="94"/>
        <v>0</v>
      </c>
      <c r="AY107">
        <f t="shared" si="95"/>
        <v>0</v>
      </c>
    </row>
    <row r="108" spans="1:51" x14ac:dyDescent="0.35">
      <c r="A108">
        <v>102</v>
      </c>
      <c r="C108">
        <f>MAX(0,Calc!$C$7-SUM(D108:R108))</f>
        <v>750</v>
      </c>
      <c r="D108">
        <f t="shared" si="49"/>
        <v>0</v>
      </c>
      <c r="E108">
        <f t="shared" si="50"/>
        <v>0</v>
      </c>
      <c r="F108">
        <f t="shared" si="51"/>
        <v>0</v>
      </c>
      <c r="G108">
        <f t="shared" si="52"/>
        <v>0</v>
      </c>
      <c r="H108">
        <f t="shared" si="53"/>
        <v>0</v>
      </c>
      <c r="I108">
        <f t="shared" si="54"/>
        <v>0</v>
      </c>
      <c r="J108">
        <f t="shared" si="55"/>
        <v>0</v>
      </c>
      <c r="K108">
        <f t="shared" si="56"/>
        <v>0</v>
      </c>
      <c r="L108">
        <f t="shared" si="57"/>
        <v>0</v>
      </c>
      <c r="M108">
        <f t="shared" si="58"/>
        <v>0</v>
      </c>
      <c r="N108">
        <f t="shared" si="59"/>
        <v>0</v>
      </c>
      <c r="O108">
        <f t="shared" si="60"/>
        <v>0</v>
      </c>
      <c r="P108">
        <f t="shared" si="61"/>
        <v>0</v>
      </c>
      <c r="Q108">
        <f t="shared" si="62"/>
        <v>0</v>
      </c>
      <c r="R108">
        <f t="shared" si="63"/>
        <v>0</v>
      </c>
      <c r="S108">
        <f t="shared" si="64"/>
        <v>0</v>
      </c>
      <c r="T108">
        <f t="shared" si="65"/>
        <v>0</v>
      </c>
      <c r="U108">
        <f t="shared" si="66"/>
        <v>0</v>
      </c>
      <c r="V108">
        <f t="shared" si="67"/>
        <v>0</v>
      </c>
      <c r="W108">
        <f t="shared" si="68"/>
        <v>0</v>
      </c>
      <c r="X108">
        <f t="shared" si="69"/>
        <v>0</v>
      </c>
      <c r="Y108">
        <f t="shared" si="70"/>
        <v>0</v>
      </c>
      <c r="Z108">
        <f t="shared" si="71"/>
        <v>0</v>
      </c>
      <c r="AA108">
        <f t="shared" si="72"/>
        <v>0</v>
      </c>
      <c r="AB108">
        <f t="shared" si="73"/>
        <v>0</v>
      </c>
      <c r="AC108">
        <f t="shared" si="74"/>
        <v>0</v>
      </c>
      <c r="AD108">
        <f t="shared" si="75"/>
        <v>0</v>
      </c>
      <c r="AE108">
        <f t="shared" si="76"/>
        <v>0</v>
      </c>
      <c r="AF108">
        <f t="shared" si="77"/>
        <v>0</v>
      </c>
      <c r="AG108">
        <f t="shared" si="78"/>
        <v>0</v>
      </c>
      <c r="AH108">
        <f t="shared" si="79"/>
        <v>0</v>
      </c>
      <c r="AI108">
        <f t="shared" si="80"/>
        <v>0</v>
      </c>
      <c r="AJ108">
        <f t="shared" si="81"/>
        <v>0</v>
      </c>
      <c r="AK108">
        <f t="shared" si="82"/>
        <v>0</v>
      </c>
      <c r="AL108">
        <f t="shared" si="83"/>
        <v>0</v>
      </c>
      <c r="AM108">
        <f t="shared" si="84"/>
        <v>0</v>
      </c>
      <c r="AN108">
        <f t="shared" si="85"/>
        <v>0</v>
      </c>
      <c r="AO108">
        <f t="shared" si="86"/>
        <v>0</v>
      </c>
      <c r="AP108">
        <f t="shared" si="87"/>
        <v>0</v>
      </c>
      <c r="AQ108">
        <f t="shared" si="88"/>
        <v>0</v>
      </c>
      <c r="AR108">
        <f t="shared" si="89"/>
        <v>0</v>
      </c>
      <c r="AS108">
        <f t="shared" si="90"/>
        <v>0</v>
      </c>
      <c r="AT108">
        <f t="shared" si="91"/>
        <v>0</v>
      </c>
      <c r="AU108">
        <f t="shared" si="92"/>
        <v>0</v>
      </c>
      <c r="AV108">
        <f t="shared" si="93"/>
        <v>0</v>
      </c>
      <c r="AW108">
        <f t="shared" si="48"/>
        <v>0</v>
      </c>
      <c r="AX108">
        <f t="shared" si="94"/>
        <v>0</v>
      </c>
      <c r="AY108">
        <f t="shared" si="95"/>
        <v>0</v>
      </c>
    </row>
    <row r="109" spans="1:51" x14ac:dyDescent="0.35">
      <c r="A109">
        <v>103</v>
      </c>
      <c r="C109">
        <f>MAX(0,Calc!$C$7-SUM(D109:R109))</f>
        <v>750</v>
      </c>
      <c r="D109">
        <f t="shared" si="49"/>
        <v>0</v>
      </c>
      <c r="E109">
        <f t="shared" si="50"/>
        <v>0</v>
      </c>
      <c r="F109">
        <f t="shared" si="51"/>
        <v>0</v>
      </c>
      <c r="G109">
        <f t="shared" si="52"/>
        <v>0</v>
      </c>
      <c r="H109">
        <f t="shared" si="53"/>
        <v>0</v>
      </c>
      <c r="I109">
        <f t="shared" si="54"/>
        <v>0</v>
      </c>
      <c r="J109">
        <f t="shared" si="55"/>
        <v>0</v>
      </c>
      <c r="K109">
        <f t="shared" si="56"/>
        <v>0</v>
      </c>
      <c r="L109">
        <f t="shared" si="57"/>
        <v>0</v>
      </c>
      <c r="M109">
        <f t="shared" si="58"/>
        <v>0</v>
      </c>
      <c r="N109">
        <f t="shared" si="59"/>
        <v>0</v>
      </c>
      <c r="O109">
        <f t="shared" si="60"/>
        <v>0</v>
      </c>
      <c r="P109">
        <f t="shared" si="61"/>
        <v>0</v>
      </c>
      <c r="Q109">
        <f t="shared" si="62"/>
        <v>0</v>
      </c>
      <c r="R109">
        <f t="shared" si="63"/>
        <v>0</v>
      </c>
      <c r="S109">
        <f t="shared" si="64"/>
        <v>0</v>
      </c>
      <c r="T109">
        <f t="shared" si="65"/>
        <v>0</v>
      </c>
      <c r="U109">
        <f t="shared" si="66"/>
        <v>0</v>
      </c>
      <c r="V109">
        <f t="shared" si="67"/>
        <v>0</v>
      </c>
      <c r="W109">
        <f t="shared" si="68"/>
        <v>0</v>
      </c>
      <c r="X109">
        <f t="shared" si="69"/>
        <v>0</v>
      </c>
      <c r="Y109">
        <f t="shared" si="70"/>
        <v>0</v>
      </c>
      <c r="Z109">
        <f t="shared" si="71"/>
        <v>0</v>
      </c>
      <c r="AA109">
        <f t="shared" si="72"/>
        <v>0</v>
      </c>
      <c r="AB109">
        <f t="shared" si="73"/>
        <v>0</v>
      </c>
      <c r="AC109">
        <f t="shared" si="74"/>
        <v>0</v>
      </c>
      <c r="AD109">
        <f t="shared" si="75"/>
        <v>0</v>
      </c>
      <c r="AE109">
        <f t="shared" si="76"/>
        <v>0</v>
      </c>
      <c r="AF109">
        <f t="shared" si="77"/>
        <v>0</v>
      </c>
      <c r="AG109">
        <f t="shared" si="78"/>
        <v>0</v>
      </c>
      <c r="AH109">
        <f t="shared" si="79"/>
        <v>0</v>
      </c>
      <c r="AI109">
        <f t="shared" si="80"/>
        <v>0</v>
      </c>
      <c r="AJ109">
        <f t="shared" si="81"/>
        <v>0</v>
      </c>
      <c r="AK109">
        <f t="shared" si="82"/>
        <v>0</v>
      </c>
      <c r="AL109">
        <f t="shared" si="83"/>
        <v>0</v>
      </c>
      <c r="AM109">
        <f t="shared" si="84"/>
        <v>0</v>
      </c>
      <c r="AN109">
        <f t="shared" si="85"/>
        <v>0</v>
      </c>
      <c r="AO109">
        <f t="shared" si="86"/>
        <v>0</v>
      </c>
      <c r="AP109">
        <f t="shared" si="87"/>
        <v>0</v>
      </c>
      <c r="AQ109">
        <f t="shared" si="88"/>
        <v>0</v>
      </c>
      <c r="AR109">
        <f t="shared" si="89"/>
        <v>0</v>
      </c>
      <c r="AS109">
        <f t="shared" si="90"/>
        <v>0</v>
      </c>
      <c r="AT109">
        <f t="shared" si="91"/>
        <v>0</v>
      </c>
      <c r="AU109">
        <f t="shared" si="92"/>
        <v>0</v>
      </c>
      <c r="AV109">
        <f t="shared" si="93"/>
        <v>0</v>
      </c>
      <c r="AW109">
        <f t="shared" si="48"/>
        <v>0</v>
      </c>
      <c r="AX109">
        <f t="shared" si="94"/>
        <v>0</v>
      </c>
      <c r="AY109">
        <f t="shared" si="95"/>
        <v>0</v>
      </c>
    </row>
    <row r="110" spans="1:51" x14ac:dyDescent="0.35">
      <c r="A110">
        <v>104</v>
      </c>
      <c r="C110">
        <f>MAX(0,Calc!$C$7-SUM(D110:R110))</f>
        <v>750</v>
      </c>
      <c r="D110">
        <f t="shared" si="49"/>
        <v>0</v>
      </c>
      <c r="E110">
        <f t="shared" si="50"/>
        <v>0</v>
      </c>
      <c r="F110">
        <f t="shared" si="51"/>
        <v>0</v>
      </c>
      <c r="G110">
        <f t="shared" si="52"/>
        <v>0</v>
      </c>
      <c r="H110">
        <f t="shared" si="53"/>
        <v>0</v>
      </c>
      <c r="I110">
        <f t="shared" si="54"/>
        <v>0</v>
      </c>
      <c r="J110">
        <f t="shared" si="55"/>
        <v>0</v>
      </c>
      <c r="K110">
        <f t="shared" si="56"/>
        <v>0</v>
      </c>
      <c r="L110">
        <f t="shared" si="57"/>
        <v>0</v>
      </c>
      <c r="M110">
        <f t="shared" si="58"/>
        <v>0</v>
      </c>
      <c r="N110">
        <f t="shared" si="59"/>
        <v>0</v>
      </c>
      <c r="O110">
        <f t="shared" si="60"/>
        <v>0</v>
      </c>
      <c r="P110">
        <f t="shared" si="61"/>
        <v>0</v>
      </c>
      <c r="Q110">
        <f t="shared" si="62"/>
        <v>0</v>
      </c>
      <c r="R110">
        <f t="shared" si="63"/>
        <v>0</v>
      </c>
      <c r="S110">
        <f t="shared" si="64"/>
        <v>0</v>
      </c>
      <c r="T110">
        <f t="shared" si="65"/>
        <v>0</v>
      </c>
      <c r="U110">
        <f t="shared" si="66"/>
        <v>0</v>
      </c>
      <c r="V110">
        <f t="shared" si="67"/>
        <v>0</v>
      </c>
      <c r="W110">
        <f t="shared" si="68"/>
        <v>0</v>
      </c>
      <c r="X110">
        <f t="shared" si="69"/>
        <v>0</v>
      </c>
      <c r="Y110">
        <f t="shared" si="70"/>
        <v>0</v>
      </c>
      <c r="Z110">
        <f t="shared" si="71"/>
        <v>0</v>
      </c>
      <c r="AA110">
        <f t="shared" si="72"/>
        <v>0</v>
      </c>
      <c r="AB110">
        <f t="shared" si="73"/>
        <v>0</v>
      </c>
      <c r="AC110">
        <f t="shared" si="74"/>
        <v>0</v>
      </c>
      <c r="AD110">
        <f t="shared" si="75"/>
        <v>0</v>
      </c>
      <c r="AE110">
        <f t="shared" si="76"/>
        <v>0</v>
      </c>
      <c r="AF110">
        <f t="shared" si="77"/>
        <v>0</v>
      </c>
      <c r="AG110">
        <f t="shared" si="78"/>
        <v>0</v>
      </c>
      <c r="AH110">
        <f t="shared" si="79"/>
        <v>0</v>
      </c>
      <c r="AI110">
        <f t="shared" si="80"/>
        <v>0</v>
      </c>
      <c r="AJ110">
        <f t="shared" si="81"/>
        <v>0</v>
      </c>
      <c r="AK110">
        <f t="shared" si="82"/>
        <v>0</v>
      </c>
      <c r="AL110">
        <f t="shared" si="83"/>
        <v>0</v>
      </c>
      <c r="AM110">
        <f t="shared" si="84"/>
        <v>0</v>
      </c>
      <c r="AN110">
        <f t="shared" si="85"/>
        <v>0</v>
      </c>
      <c r="AO110">
        <f t="shared" si="86"/>
        <v>0</v>
      </c>
      <c r="AP110">
        <f t="shared" si="87"/>
        <v>0</v>
      </c>
      <c r="AQ110">
        <f t="shared" si="88"/>
        <v>0</v>
      </c>
      <c r="AR110">
        <f t="shared" si="89"/>
        <v>0</v>
      </c>
      <c r="AS110">
        <f t="shared" si="90"/>
        <v>0</v>
      </c>
      <c r="AT110">
        <f t="shared" si="91"/>
        <v>0</v>
      </c>
      <c r="AU110">
        <f t="shared" si="92"/>
        <v>0</v>
      </c>
      <c r="AV110">
        <f t="shared" si="93"/>
        <v>0</v>
      </c>
      <c r="AW110">
        <f t="shared" si="48"/>
        <v>0</v>
      </c>
      <c r="AX110">
        <f t="shared" si="94"/>
        <v>0</v>
      </c>
      <c r="AY110">
        <f t="shared" si="95"/>
        <v>0</v>
      </c>
    </row>
    <row r="111" spans="1:51" x14ac:dyDescent="0.35">
      <c r="A111">
        <v>105</v>
      </c>
      <c r="C111">
        <f>MAX(0,Calc!$C$7-SUM(D111:R111))</f>
        <v>750</v>
      </c>
      <c r="D111">
        <f t="shared" si="49"/>
        <v>0</v>
      </c>
      <c r="E111">
        <f t="shared" si="50"/>
        <v>0</v>
      </c>
      <c r="F111">
        <f t="shared" si="51"/>
        <v>0</v>
      </c>
      <c r="G111">
        <f t="shared" si="52"/>
        <v>0</v>
      </c>
      <c r="H111">
        <f t="shared" si="53"/>
        <v>0</v>
      </c>
      <c r="I111">
        <f t="shared" si="54"/>
        <v>0</v>
      </c>
      <c r="J111">
        <f t="shared" si="55"/>
        <v>0</v>
      </c>
      <c r="K111">
        <f t="shared" si="56"/>
        <v>0</v>
      </c>
      <c r="L111">
        <f t="shared" si="57"/>
        <v>0</v>
      </c>
      <c r="M111">
        <f t="shared" si="58"/>
        <v>0</v>
      </c>
      <c r="N111">
        <f t="shared" si="59"/>
        <v>0</v>
      </c>
      <c r="O111">
        <f t="shared" si="60"/>
        <v>0</v>
      </c>
      <c r="P111">
        <f t="shared" si="61"/>
        <v>0</v>
      </c>
      <c r="Q111">
        <f t="shared" si="62"/>
        <v>0</v>
      </c>
      <c r="R111">
        <f t="shared" si="63"/>
        <v>0</v>
      </c>
      <c r="S111">
        <f t="shared" si="64"/>
        <v>0</v>
      </c>
      <c r="T111">
        <f t="shared" si="65"/>
        <v>0</v>
      </c>
      <c r="U111">
        <f t="shared" si="66"/>
        <v>0</v>
      </c>
      <c r="V111">
        <f t="shared" si="67"/>
        <v>0</v>
      </c>
      <c r="W111">
        <f t="shared" si="68"/>
        <v>0</v>
      </c>
      <c r="X111">
        <f t="shared" si="69"/>
        <v>0</v>
      </c>
      <c r="Y111">
        <f t="shared" si="70"/>
        <v>0</v>
      </c>
      <c r="Z111">
        <f t="shared" si="71"/>
        <v>0</v>
      </c>
      <c r="AA111">
        <f t="shared" si="72"/>
        <v>0</v>
      </c>
      <c r="AB111">
        <f t="shared" si="73"/>
        <v>0</v>
      </c>
      <c r="AC111">
        <f t="shared" si="74"/>
        <v>0</v>
      </c>
      <c r="AD111">
        <f t="shared" si="75"/>
        <v>0</v>
      </c>
      <c r="AE111">
        <f t="shared" si="76"/>
        <v>0</v>
      </c>
      <c r="AF111">
        <f t="shared" si="77"/>
        <v>0</v>
      </c>
      <c r="AG111">
        <f t="shared" si="78"/>
        <v>0</v>
      </c>
      <c r="AH111">
        <f t="shared" si="79"/>
        <v>0</v>
      </c>
      <c r="AI111">
        <f t="shared" si="80"/>
        <v>0</v>
      </c>
      <c r="AJ111">
        <f t="shared" si="81"/>
        <v>0</v>
      </c>
      <c r="AK111">
        <f t="shared" si="82"/>
        <v>0</v>
      </c>
      <c r="AL111">
        <f t="shared" si="83"/>
        <v>0</v>
      </c>
      <c r="AM111">
        <f t="shared" si="84"/>
        <v>0</v>
      </c>
      <c r="AN111">
        <f t="shared" si="85"/>
        <v>0</v>
      </c>
      <c r="AO111">
        <f t="shared" si="86"/>
        <v>0</v>
      </c>
      <c r="AP111">
        <f t="shared" si="87"/>
        <v>0</v>
      </c>
      <c r="AQ111">
        <f t="shared" si="88"/>
        <v>0</v>
      </c>
      <c r="AR111">
        <f t="shared" si="89"/>
        <v>0</v>
      </c>
      <c r="AS111">
        <f t="shared" si="90"/>
        <v>0</v>
      </c>
      <c r="AT111">
        <f t="shared" si="91"/>
        <v>0</v>
      </c>
      <c r="AU111">
        <f t="shared" si="92"/>
        <v>0</v>
      </c>
      <c r="AV111">
        <f t="shared" si="93"/>
        <v>0</v>
      </c>
      <c r="AW111">
        <f t="shared" si="48"/>
        <v>0</v>
      </c>
      <c r="AX111">
        <f t="shared" si="94"/>
        <v>0</v>
      </c>
      <c r="AY111">
        <f t="shared" si="95"/>
        <v>0</v>
      </c>
    </row>
    <row r="112" spans="1:51" x14ac:dyDescent="0.35">
      <c r="A112">
        <v>106</v>
      </c>
      <c r="C112">
        <f>MAX(0,Calc!$C$7-SUM(D112:R112))</f>
        <v>750</v>
      </c>
      <c r="D112">
        <f t="shared" si="49"/>
        <v>0</v>
      </c>
      <c r="E112">
        <f t="shared" si="50"/>
        <v>0</v>
      </c>
      <c r="F112">
        <f t="shared" si="51"/>
        <v>0</v>
      </c>
      <c r="G112">
        <f t="shared" si="52"/>
        <v>0</v>
      </c>
      <c r="H112">
        <f t="shared" si="53"/>
        <v>0</v>
      </c>
      <c r="I112">
        <f t="shared" si="54"/>
        <v>0</v>
      </c>
      <c r="J112">
        <f t="shared" si="55"/>
        <v>0</v>
      </c>
      <c r="K112">
        <f t="shared" si="56"/>
        <v>0</v>
      </c>
      <c r="L112">
        <f t="shared" si="57"/>
        <v>0</v>
      </c>
      <c r="M112">
        <f t="shared" si="58"/>
        <v>0</v>
      </c>
      <c r="N112">
        <f t="shared" si="59"/>
        <v>0</v>
      </c>
      <c r="O112">
        <f t="shared" si="60"/>
        <v>0</v>
      </c>
      <c r="P112">
        <f t="shared" si="61"/>
        <v>0</v>
      </c>
      <c r="Q112">
        <f t="shared" si="62"/>
        <v>0</v>
      </c>
      <c r="R112">
        <f t="shared" si="63"/>
        <v>0</v>
      </c>
      <c r="S112">
        <f t="shared" si="64"/>
        <v>0</v>
      </c>
      <c r="T112">
        <f t="shared" si="65"/>
        <v>0</v>
      </c>
      <c r="U112">
        <f t="shared" si="66"/>
        <v>0</v>
      </c>
      <c r="V112">
        <f t="shared" si="67"/>
        <v>0</v>
      </c>
      <c r="W112">
        <f t="shared" si="68"/>
        <v>0</v>
      </c>
      <c r="X112">
        <f t="shared" si="69"/>
        <v>0</v>
      </c>
      <c r="Y112">
        <f t="shared" si="70"/>
        <v>0</v>
      </c>
      <c r="Z112">
        <f t="shared" si="71"/>
        <v>0</v>
      </c>
      <c r="AA112">
        <f t="shared" si="72"/>
        <v>0</v>
      </c>
      <c r="AB112">
        <f t="shared" si="73"/>
        <v>0</v>
      </c>
      <c r="AC112">
        <f t="shared" si="74"/>
        <v>0</v>
      </c>
      <c r="AD112">
        <f t="shared" si="75"/>
        <v>0</v>
      </c>
      <c r="AE112">
        <f t="shared" si="76"/>
        <v>0</v>
      </c>
      <c r="AF112">
        <f t="shared" si="77"/>
        <v>0</v>
      </c>
      <c r="AG112">
        <f t="shared" si="78"/>
        <v>0</v>
      </c>
      <c r="AH112">
        <f t="shared" si="79"/>
        <v>0</v>
      </c>
      <c r="AI112">
        <f t="shared" si="80"/>
        <v>0</v>
      </c>
      <c r="AJ112">
        <f t="shared" si="81"/>
        <v>0</v>
      </c>
      <c r="AK112">
        <f t="shared" si="82"/>
        <v>0</v>
      </c>
      <c r="AL112">
        <f t="shared" si="83"/>
        <v>0</v>
      </c>
      <c r="AM112">
        <f t="shared" si="84"/>
        <v>0</v>
      </c>
      <c r="AN112">
        <f t="shared" si="85"/>
        <v>0</v>
      </c>
      <c r="AO112">
        <f t="shared" si="86"/>
        <v>0</v>
      </c>
      <c r="AP112">
        <f t="shared" si="87"/>
        <v>0</v>
      </c>
      <c r="AQ112">
        <f t="shared" si="88"/>
        <v>0</v>
      </c>
      <c r="AR112">
        <f t="shared" si="89"/>
        <v>0</v>
      </c>
      <c r="AS112">
        <f t="shared" si="90"/>
        <v>0</v>
      </c>
      <c r="AT112">
        <f t="shared" si="91"/>
        <v>0</v>
      </c>
      <c r="AU112">
        <f t="shared" si="92"/>
        <v>0</v>
      </c>
      <c r="AV112">
        <f t="shared" si="93"/>
        <v>0</v>
      </c>
      <c r="AW112">
        <f t="shared" si="48"/>
        <v>0</v>
      </c>
      <c r="AX112">
        <f t="shared" si="94"/>
        <v>0</v>
      </c>
      <c r="AY112">
        <f t="shared" si="95"/>
        <v>0</v>
      </c>
    </row>
    <row r="113" spans="1:51" x14ac:dyDescent="0.35">
      <c r="A113">
        <v>107</v>
      </c>
      <c r="C113">
        <f>MAX(0,Calc!$C$7-SUM(D113:R113))</f>
        <v>750</v>
      </c>
      <c r="D113">
        <f t="shared" si="49"/>
        <v>0</v>
      </c>
      <c r="E113">
        <f t="shared" si="50"/>
        <v>0</v>
      </c>
      <c r="F113">
        <f t="shared" si="51"/>
        <v>0</v>
      </c>
      <c r="G113">
        <f t="shared" si="52"/>
        <v>0</v>
      </c>
      <c r="H113">
        <f t="shared" si="53"/>
        <v>0</v>
      </c>
      <c r="I113">
        <f t="shared" si="54"/>
        <v>0</v>
      </c>
      <c r="J113">
        <f t="shared" si="55"/>
        <v>0</v>
      </c>
      <c r="K113">
        <f t="shared" si="56"/>
        <v>0</v>
      </c>
      <c r="L113">
        <f t="shared" si="57"/>
        <v>0</v>
      </c>
      <c r="M113">
        <f t="shared" si="58"/>
        <v>0</v>
      </c>
      <c r="N113">
        <f t="shared" si="59"/>
        <v>0</v>
      </c>
      <c r="O113">
        <f t="shared" si="60"/>
        <v>0</v>
      </c>
      <c r="P113">
        <f t="shared" si="61"/>
        <v>0</v>
      </c>
      <c r="Q113">
        <f t="shared" si="62"/>
        <v>0</v>
      </c>
      <c r="R113">
        <f t="shared" si="63"/>
        <v>0</v>
      </c>
      <c r="S113">
        <f t="shared" si="64"/>
        <v>0</v>
      </c>
      <c r="T113">
        <f t="shared" si="65"/>
        <v>0</v>
      </c>
      <c r="U113">
        <f t="shared" si="66"/>
        <v>0</v>
      </c>
      <c r="V113">
        <f t="shared" si="67"/>
        <v>0</v>
      </c>
      <c r="W113">
        <f t="shared" si="68"/>
        <v>0</v>
      </c>
      <c r="X113">
        <f t="shared" si="69"/>
        <v>0</v>
      </c>
      <c r="Y113">
        <f t="shared" si="70"/>
        <v>0</v>
      </c>
      <c r="Z113">
        <f t="shared" si="71"/>
        <v>0</v>
      </c>
      <c r="AA113">
        <f t="shared" si="72"/>
        <v>0</v>
      </c>
      <c r="AB113">
        <f t="shared" si="73"/>
        <v>0</v>
      </c>
      <c r="AC113">
        <f t="shared" si="74"/>
        <v>0</v>
      </c>
      <c r="AD113">
        <f t="shared" si="75"/>
        <v>0</v>
      </c>
      <c r="AE113">
        <f t="shared" si="76"/>
        <v>0</v>
      </c>
      <c r="AF113">
        <f t="shared" si="77"/>
        <v>0</v>
      </c>
      <c r="AG113">
        <f t="shared" si="78"/>
        <v>0</v>
      </c>
      <c r="AH113">
        <f t="shared" si="79"/>
        <v>0</v>
      </c>
      <c r="AI113">
        <f t="shared" si="80"/>
        <v>0</v>
      </c>
      <c r="AJ113">
        <f t="shared" si="81"/>
        <v>0</v>
      </c>
      <c r="AK113">
        <f t="shared" si="82"/>
        <v>0</v>
      </c>
      <c r="AL113">
        <f t="shared" si="83"/>
        <v>0</v>
      </c>
      <c r="AM113">
        <f t="shared" si="84"/>
        <v>0</v>
      </c>
      <c r="AN113">
        <f t="shared" si="85"/>
        <v>0</v>
      </c>
      <c r="AO113">
        <f t="shared" si="86"/>
        <v>0</v>
      </c>
      <c r="AP113">
        <f t="shared" si="87"/>
        <v>0</v>
      </c>
      <c r="AQ113">
        <f t="shared" si="88"/>
        <v>0</v>
      </c>
      <c r="AR113">
        <f t="shared" si="89"/>
        <v>0</v>
      </c>
      <c r="AS113">
        <f t="shared" si="90"/>
        <v>0</v>
      </c>
      <c r="AT113">
        <f t="shared" si="91"/>
        <v>0</v>
      </c>
      <c r="AU113">
        <f t="shared" si="92"/>
        <v>0</v>
      </c>
      <c r="AV113">
        <f t="shared" si="93"/>
        <v>0</v>
      </c>
      <c r="AW113">
        <f t="shared" si="48"/>
        <v>0</v>
      </c>
      <c r="AX113">
        <f t="shared" si="94"/>
        <v>0</v>
      </c>
      <c r="AY113">
        <f t="shared" si="95"/>
        <v>0</v>
      </c>
    </row>
    <row r="114" spans="1:51" x14ac:dyDescent="0.35">
      <c r="A114">
        <v>108</v>
      </c>
      <c r="C114">
        <f>MAX(0,Calc!$C$7-SUM(D114:R114))</f>
        <v>750</v>
      </c>
      <c r="D114">
        <f t="shared" si="49"/>
        <v>0</v>
      </c>
      <c r="E114">
        <f t="shared" si="50"/>
        <v>0</v>
      </c>
      <c r="F114">
        <f t="shared" si="51"/>
        <v>0</v>
      </c>
      <c r="G114">
        <f t="shared" si="52"/>
        <v>0</v>
      </c>
      <c r="H114">
        <f t="shared" si="53"/>
        <v>0</v>
      </c>
      <c r="I114">
        <f t="shared" si="54"/>
        <v>0</v>
      </c>
      <c r="J114">
        <f t="shared" si="55"/>
        <v>0</v>
      </c>
      <c r="K114">
        <f t="shared" si="56"/>
        <v>0</v>
      </c>
      <c r="L114">
        <f t="shared" si="57"/>
        <v>0</v>
      </c>
      <c r="M114">
        <f t="shared" si="58"/>
        <v>0</v>
      </c>
      <c r="N114">
        <f t="shared" si="59"/>
        <v>0</v>
      </c>
      <c r="O114">
        <f t="shared" si="60"/>
        <v>0</v>
      </c>
      <c r="P114">
        <f t="shared" si="61"/>
        <v>0</v>
      </c>
      <c r="Q114">
        <f t="shared" si="62"/>
        <v>0</v>
      </c>
      <c r="R114">
        <f t="shared" si="63"/>
        <v>0</v>
      </c>
      <c r="S114">
        <f t="shared" si="64"/>
        <v>0</v>
      </c>
      <c r="T114">
        <f t="shared" si="65"/>
        <v>0</v>
      </c>
      <c r="U114">
        <f t="shared" si="66"/>
        <v>0</v>
      </c>
      <c r="V114">
        <f t="shared" si="67"/>
        <v>0</v>
      </c>
      <c r="W114">
        <f t="shared" si="68"/>
        <v>0</v>
      </c>
      <c r="X114">
        <f t="shared" si="69"/>
        <v>0</v>
      </c>
      <c r="Y114">
        <f t="shared" si="70"/>
        <v>0</v>
      </c>
      <c r="Z114">
        <f t="shared" si="71"/>
        <v>0</v>
      </c>
      <c r="AA114">
        <f t="shared" si="72"/>
        <v>0</v>
      </c>
      <c r="AB114">
        <f t="shared" si="73"/>
        <v>0</v>
      </c>
      <c r="AC114">
        <f t="shared" si="74"/>
        <v>0</v>
      </c>
      <c r="AD114">
        <f t="shared" si="75"/>
        <v>0</v>
      </c>
      <c r="AE114">
        <f t="shared" si="76"/>
        <v>0</v>
      </c>
      <c r="AF114">
        <f t="shared" si="77"/>
        <v>0</v>
      </c>
      <c r="AG114">
        <f t="shared" si="78"/>
        <v>0</v>
      </c>
      <c r="AH114">
        <f t="shared" si="79"/>
        <v>0</v>
      </c>
      <c r="AI114">
        <f t="shared" si="80"/>
        <v>0</v>
      </c>
      <c r="AJ114">
        <f t="shared" si="81"/>
        <v>0</v>
      </c>
      <c r="AK114">
        <f t="shared" si="82"/>
        <v>0</v>
      </c>
      <c r="AL114">
        <f t="shared" si="83"/>
        <v>0</v>
      </c>
      <c r="AM114">
        <f t="shared" si="84"/>
        <v>0</v>
      </c>
      <c r="AN114">
        <f t="shared" si="85"/>
        <v>0</v>
      </c>
      <c r="AO114">
        <f t="shared" si="86"/>
        <v>0</v>
      </c>
      <c r="AP114">
        <f t="shared" si="87"/>
        <v>0</v>
      </c>
      <c r="AQ114">
        <f t="shared" si="88"/>
        <v>0</v>
      </c>
      <c r="AR114">
        <f t="shared" si="89"/>
        <v>0</v>
      </c>
      <c r="AS114">
        <f t="shared" si="90"/>
        <v>0</v>
      </c>
      <c r="AT114">
        <f t="shared" si="91"/>
        <v>0</v>
      </c>
      <c r="AU114">
        <f t="shared" si="92"/>
        <v>0</v>
      </c>
      <c r="AV114">
        <f t="shared" si="93"/>
        <v>0</v>
      </c>
      <c r="AW114">
        <f t="shared" si="48"/>
        <v>0</v>
      </c>
      <c r="AX114">
        <f t="shared" si="94"/>
        <v>0</v>
      </c>
      <c r="AY114">
        <f t="shared" si="95"/>
        <v>0</v>
      </c>
    </row>
    <row r="115" spans="1:51" x14ac:dyDescent="0.35">
      <c r="A115">
        <v>109</v>
      </c>
      <c r="C115">
        <f>MAX(0,Calc!$C$7-SUM(D115:R115))</f>
        <v>750</v>
      </c>
      <c r="D115">
        <f t="shared" si="49"/>
        <v>0</v>
      </c>
      <c r="E115">
        <f t="shared" si="50"/>
        <v>0</v>
      </c>
      <c r="F115">
        <f t="shared" si="51"/>
        <v>0</v>
      </c>
      <c r="G115">
        <f t="shared" si="52"/>
        <v>0</v>
      </c>
      <c r="H115">
        <f t="shared" si="53"/>
        <v>0</v>
      </c>
      <c r="I115">
        <f t="shared" si="54"/>
        <v>0</v>
      </c>
      <c r="J115">
        <f t="shared" si="55"/>
        <v>0</v>
      </c>
      <c r="K115">
        <f t="shared" si="56"/>
        <v>0</v>
      </c>
      <c r="L115">
        <f t="shared" si="57"/>
        <v>0</v>
      </c>
      <c r="M115">
        <f t="shared" si="58"/>
        <v>0</v>
      </c>
      <c r="N115">
        <f t="shared" si="59"/>
        <v>0</v>
      </c>
      <c r="O115">
        <f t="shared" si="60"/>
        <v>0</v>
      </c>
      <c r="P115">
        <f t="shared" si="61"/>
        <v>0</v>
      </c>
      <c r="Q115">
        <f t="shared" si="62"/>
        <v>0</v>
      </c>
      <c r="R115">
        <f t="shared" si="63"/>
        <v>0</v>
      </c>
      <c r="S115">
        <f t="shared" si="64"/>
        <v>0</v>
      </c>
      <c r="T115">
        <f t="shared" si="65"/>
        <v>0</v>
      </c>
      <c r="U115">
        <f t="shared" si="66"/>
        <v>0</v>
      </c>
      <c r="V115">
        <f t="shared" si="67"/>
        <v>0</v>
      </c>
      <c r="W115">
        <f t="shared" si="68"/>
        <v>0</v>
      </c>
      <c r="X115">
        <f t="shared" si="69"/>
        <v>0</v>
      </c>
      <c r="Y115">
        <f t="shared" si="70"/>
        <v>0</v>
      </c>
      <c r="Z115">
        <f t="shared" si="71"/>
        <v>0</v>
      </c>
      <c r="AA115">
        <f t="shared" si="72"/>
        <v>0</v>
      </c>
      <c r="AB115">
        <f t="shared" si="73"/>
        <v>0</v>
      </c>
      <c r="AC115">
        <f t="shared" si="74"/>
        <v>0</v>
      </c>
      <c r="AD115">
        <f t="shared" si="75"/>
        <v>0</v>
      </c>
      <c r="AE115">
        <f t="shared" si="76"/>
        <v>0</v>
      </c>
      <c r="AF115">
        <f t="shared" si="77"/>
        <v>0</v>
      </c>
      <c r="AG115">
        <f t="shared" si="78"/>
        <v>0</v>
      </c>
      <c r="AH115">
        <f t="shared" si="79"/>
        <v>0</v>
      </c>
      <c r="AI115">
        <f t="shared" si="80"/>
        <v>0</v>
      </c>
      <c r="AJ115">
        <f t="shared" si="81"/>
        <v>0</v>
      </c>
      <c r="AK115">
        <f t="shared" si="82"/>
        <v>0</v>
      </c>
      <c r="AL115">
        <f t="shared" si="83"/>
        <v>0</v>
      </c>
      <c r="AM115">
        <f t="shared" si="84"/>
        <v>0</v>
      </c>
      <c r="AN115">
        <f t="shared" si="85"/>
        <v>0</v>
      </c>
      <c r="AO115">
        <f t="shared" si="86"/>
        <v>0</v>
      </c>
      <c r="AP115">
        <f t="shared" si="87"/>
        <v>0</v>
      </c>
      <c r="AQ115">
        <f t="shared" si="88"/>
        <v>0</v>
      </c>
      <c r="AR115">
        <f t="shared" si="89"/>
        <v>0</v>
      </c>
      <c r="AS115">
        <f t="shared" si="90"/>
        <v>0</v>
      </c>
      <c r="AT115">
        <f t="shared" si="91"/>
        <v>0</v>
      </c>
      <c r="AU115">
        <f t="shared" si="92"/>
        <v>0</v>
      </c>
      <c r="AV115">
        <f t="shared" si="93"/>
        <v>0</v>
      </c>
      <c r="AW115">
        <f t="shared" si="48"/>
        <v>0</v>
      </c>
      <c r="AX115">
        <f t="shared" si="94"/>
        <v>0</v>
      </c>
      <c r="AY115">
        <f t="shared" si="95"/>
        <v>0</v>
      </c>
    </row>
    <row r="116" spans="1:51" x14ac:dyDescent="0.35">
      <c r="A116">
        <v>110</v>
      </c>
      <c r="C116">
        <f>MAX(0,Calc!$C$7-SUM(D116:R116))</f>
        <v>750</v>
      </c>
      <c r="D116">
        <f t="shared" si="49"/>
        <v>0</v>
      </c>
      <c r="E116">
        <f t="shared" si="50"/>
        <v>0</v>
      </c>
      <c r="F116">
        <f t="shared" si="51"/>
        <v>0</v>
      </c>
      <c r="G116">
        <f t="shared" si="52"/>
        <v>0</v>
      </c>
      <c r="H116">
        <f t="shared" si="53"/>
        <v>0</v>
      </c>
      <c r="I116">
        <f t="shared" si="54"/>
        <v>0</v>
      </c>
      <c r="J116">
        <f t="shared" si="55"/>
        <v>0</v>
      </c>
      <c r="K116">
        <f t="shared" si="56"/>
        <v>0</v>
      </c>
      <c r="L116">
        <f t="shared" si="57"/>
        <v>0</v>
      </c>
      <c r="M116">
        <f t="shared" si="58"/>
        <v>0</v>
      </c>
      <c r="N116">
        <f t="shared" si="59"/>
        <v>0</v>
      </c>
      <c r="O116">
        <f t="shared" si="60"/>
        <v>0</v>
      </c>
      <c r="P116">
        <f t="shared" si="61"/>
        <v>0</v>
      </c>
      <c r="Q116">
        <f t="shared" si="62"/>
        <v>0</v>
      </c>
      <c r="R116">
        <f t="shared" si="63"/>
        <v>0</v>
      </c>
      <c r="S116">
        <f t="shared" si="64"/>
        <v>0</v>
      </c>
      <c r="T116">
        <f t="shared" si="65"/>
        <v>0</v>
      </c>
      <c r="U116">
        <f t="shared" si="66"/>
        <v>0</v>
      </c>
      <c r="V116">
        <f t="shared" si="67"/>
        <v>0</v>
      </c>
      <c r="W116">
        <f t="shared" si="68"/>
        <v>0</v>
      </c>
      <c r="X116">
        <f t="shared" si="69"/>
        <v>0</v>
      </c>
      <c r="Y116">
        <f t="shared" si="70"/>
        <v>0</v>
      </c>
      <c r="Z116">
        <f t="shared" si="71"/>
        <v>0</v>
      </c>
      <c r="AA116">
        <f t="shared" si="72"/>
        <v>0</v>
      </c>
      <c r="AB116">
        <f t="shared" si="73"/>
        <v>0</v>
      </c>
      <c r="AC116">
        <f t="shared" si="74"/>
        <v>0</v>
      </c>
      <c r="AD116">
        <f t="shared" si="75"/>
        <v>0</v>
      </c>
      <c r="AE116">
        <f t="shared" si="76"/>
        <v>0</v>
      </c>
      <c r="AF116">
        <f t="shared" si="77"/>
        <v>0</v>
      </c>
      <c r="AG116">
        <f t="shared" si="78"/>
        <v>0</v>
      </c>
      <c r="AH116">
        <f t="shared" si="79"/>
        <v>0</v>
      </c>
      <c r="AI116">
        <f t="shared" si="80"/>
        <v>0</v>
      </c>
      <c r="AJ116">
        <f t="shared" si="81"/>
        <v>0</v>
      </c>
      <c r="AK116">
        <f t="shared" si="82"/>
        <v>0</v>
      </c>
      <c r="AL116">
        <f t="shared" si="83"/>
        <v>0</v>
      </c>
      <c r="AM116">
        <f t="shared" si="84"/>
        <v>0</v>
      </c>
      <c r="AN116">
        <f t="shared" si="85"/>
        <v>0</v>
      </c>
      <c r="AO116">
        <f t="shared" si="86"/>
        <v>0</v>
      </c>
      <c r="AP116">
        <f t="shared" si="87"/>
        <v>0</v>
      </c>
      <c r="AQ116">
        <f t="shared" si="88"/>
        <v>0</v>
      </c>
      <c r="AR116">
        <f t="shared" si="89"/>
        <v>0</v>
      </c>
      <c r="AS116">
        <f t="shared" si="90"/>
        <v>0</v>
      </c>
      <c r="AT116">
        <f t="shared" si="91"/>
        <v>0</v>
      </c>
      <c r="AU116">
        <f t="shared" si="92"/>
        <v>0</v>
      </c>
      <c r="AV116">
        <f t="shared" si="93"/>
        <v>0</v>
      </c>
      <c r="AW116">
        <f t="shared" si="48"/>
        <v>0</v>
      </c>
      <c r="AX116">
        <f t="shared" si="94"/>
        <v>0</v>
      </c>
      <c r="AY116">
        <f t="shared" si="95"/>
        <v>0</v>
      </c>
    </row>
    <row r="117" spans="1:51" x14ac:dyDescent="0.35">
      <c r="A117">
        <v>111</v>
      </c>
      <c r="C117">
        <f>MAX(0,Calc!$C$7-SUM(D117:R117))</f>
        <v>750</v>
      </c>
      <c r="D117">
        <f t="shared" si="49"/>
        <v>0</v>
      </c>
      <c r="E117">
        <f t="shared" si="50"/>
        <v>0</v>
      </c>
      <c r="F117">
        <f t="shared" si="51"/>
        <v>0</v>
      </c>
      <c r="G117">
        <f t="shared" si="52"/>
        <v>0</v>
      </c>
      <c r="H117">
        <f t="shared" si="53"/>
        <v>0</v>
      </c>
      <c r="I117">
        <f t="shared" si="54"/>
        <v>0</v>
      </c>
      <c r="J117">
        <f t="shared" si="55"/>
        <v>0</v>
      </c>
      <c r="K117">
        <f t="shared" si="56"/>
        <v>0</v>
      </c>
      <c r="L117">
        <f t="shared" si="57"/>
        <v>0</v>
      </c>
      <c r="M117">
        <f t="shared" si="58"/>
        <v>0</v>
      </c>
      <c r="N117">
        <f t="shared" si="59"/>
        <v>0</v>
      </c>
      <c r="O117">
        <f t="shared" si="60"/>
        <v>0</v>
      </c>
      <c r="P117">
        <f t="shared" si="61"/>
        <v>0</v>
      </c>
      <c r="Q117">
        <f t="shared" si="62"/>
        <v>0</v>
      </c>
      <c r="R117">
        <f t="shared" si="63"/>
        <v>0</v>
      </c>
      <c r="S117">
        <f t="shared" si="64"/>
        <v>0</v>
      </c>
      <c r="T117">
        <f t="shared" si="65"/>
        <v>0</v>
      </c>
      <c r="U117">
        <f t="shared" si="66"/>
        <v>0</v>
      </c>
      <c r="V117">
        <f t="shared" si="67"/>
        <v>0</v>
      </c>
      <c r="W117">
        <f t="shared" si="68"/>
        <v>0</v>
      </c>
      <c r="X117">
        <f t="shared" si="69"/>
        <v>0</v>
      </c>
      <c r="Y117">
        <f t="shared" si="70"/>
        <v>0</v>
      </c>
      <c r="Z117">
        <f t="shared" si="71"/>
        <v>0</v>
      </c>
      <c r="AA117">
        <f t="shared" si="72"/>
        <v>0</v>
      </c>
      <c r="AB117">
        <f t="shared" si="73"/>
        <v>0</v>
      </c>
      <c r="AC117">
        <f t="shared" si="74"/>
        <v>0</v>
      </c>
      <c r="AD117">
        <f t="shared" si="75"/>
        <v>0</v>
      </c>
      <c r="AE117">
        <f t="shared" si="76"/>
        <v>0</v>
      </c>
      <c r="AF117">
        <f t="shared" si="77"/>
        <v>0</v>
      </c>
      <c r="AG117">
        <f t="shared" si="78"/>
        <v>0</v>
      </c>
      <c r="AH117">
        <f t="shared" si="79"/>
        <v>0</v>
      </c>
      <c r="AI117">
        <f t="shared" si="80"/>
        <v>0</v>
      </c>
      <c r="AJ117">
        <f t="shared" si="81"/>
        <v>0</v>
      </c>
      <c r="AK117">
        <f t="shared" si="82"/>
        <v>0</v>
      </c>
      <c r="AL117">
        <f t="shared" si="83"/>
        <v>0</v>
      </c>
      <c r="AM117">
        <f t="shared" si="84"/>
        <v>0</v>
      </c>
      <c r="AN117">
        <f t="shared" si="85"/>
        <v>0</v>
      </c>
      <c r="AO117">
        <f t="shared" si="86"/>
        <v>0</v>
      </c>
      <c r="AP117">
        <f t="shared" si="87"/>
        <v>0</v>
      </c>
      <c r="AQ117">
        <f t="shared" si="88"/>
        <v>0</v>
      </c>
      <c r="AR117">
        <f t="shared" si="89"/>
        <v>0</v>
      </c>
      <c r="AS117">
        <f t="shared" si="90"/>
        <v>0</v>
      </c>
      <c r="AT117">
        <f t="shared" si="91"/>
        <v>0</v>
      </c>
      <c r="AU117">
        <f t="shared" si="92"/>
        <v>0</v>
      </c>
      <c r="AV117">
        <f t="shared" si="93"/>
        <v>0</v>
      </c>
      <c r="AW117">
        <f t="shared" si="48"/>
        <v>0</v>
      </c>
      <c r="AX117">
        <f t="shared" si="94"/>
        <v>0</v>
      </c>
      <c r="AY117">
        <f t="shared" si="95"/>
        <v>0</v>
      </c>
    </row>
    <row r="118" spans="1:51" x14ac:dyDescent="0.35">
      <c r="A118">
        <v>112</v>
      </c>
      <c r="C118">
        <f>MAX(0,Calc!$C$7-SUM(D118:R118))</f>
        <v>750</v>
      </c>
      <c r="D118">
        <f t="shared" si="49"/>
        <v>0</v>
      </c>
      <c r="E118">
        <f t="shared" si="50"/>
        <v>0</v>
      </c>
      <c r="F118">
        <f t="shared" si="51"/>
        <v>0</v>
      </c>
      <c r="G118">
        <f t="shared" si="52"/>
        <v>0</v>
      </c>
      <c r="H118">
        <f t="shared" si="53"/>
        <v>0</v>
      </c>
      <c r="I118">
        <f t="shared" si="54"/>
        <v>0</v>
      </c>
      <c r="J118">
        <f t="shared" si="55"/>
        <v>0</v>
      </c>
      <c r="K118">
        <f t="shared" si="56"/>
        <v>0</v>
      </c>
      <c r="L118">
        <f t="shared" si="57"/>
        <v>0</v>
      </c>
      <c r="M118">
        <f t="shared" si="58"/>
        <v>0</v>
      </c>
      <c r="N118">
        <f t="shared" si="59"/>
        <v>0</v>
      </c>
      <c r="O118">
        <f t="shared" si="60"/>
        <v>0</v>
      </c>
      <c r="P118">
        <f t="shared" si="61"/>
        <v>0</v>
      </c>
      <c r="Q118">
        <f t="shared" si="62"/>
        <v>0</v>
      </c>
      <c r="R118">
        <f t="shared" si="63"/>
        <v>0</v>
      </c>
      <c r="S118">
        <f t="shared" si="64"/>
        <v>0</v>
      </c>
      <c r="T118">
        <f t="shared" si="65"/>
        <v>0</v>
      </c>
      <c r="U118">
        <f t="shared" si="66"/>
        <v>0</v>
      </c>
      <c r="V118">
        <f t="shared" si="67"/>
        <v>0</v>
      </c>
      <c r="W118">
        <f t="shared" si="68"/>
        <v>0</v>
      </c>
      <c r="X118">
        <f t="shared" si="69"/>
        <v>0</v>
      </c>
      <c r="Y118">
        <f t="shared" si="70"/>
        <v>0</v>
      </c>
      <c r="Z118">
        <f t="shared" si="71"/>
        <v>0</v>
      </c>
      <c r="AA118">
        <f t="shared" si="72"/>
        <v>0</v>
      </c>
      <c r="AB118">
        <f t="shared" si="73"/>
        <v>0</v>
      </c>
      <c r="AC118">
        <f t="shared" si="74"/>
        <v>0</v>
      </c>
      <c r="AD118">
        <f t="shared" si="75"/>
        <v>0</v>
      </c>
      <c r="AE118">
        <f t="shared" si="76"/>
        <v>0</v>
      </c>
      <c r="AF118">
        <f t="shared" si="77"/>
        <v>0</v>
      </c>
      <c r="AG118">
        <f t="shared" si="78"/>
        <v>0</v>
      </c>
      <c r="AH118">
        <f t="shared" si="79"/>
        <v>0</v>
      </c>
      <c r="AI118">
        <f t="shared" si="80"/>
        <v>0</v>
      </c>
      <c r="AJ118">
        <f t="shared" si="81"/>
        <v>0</v>
      </c>
      <c r="AK118">
        <f t="shared" si="82"/>
        <v>0</v>
      </c>
      <c r="AL118">
        <f t="shared" si="83"/>
        <v>0</v>
      </c>
      <c r="AM118">
        <f t="shared" si="84"/>
        <v>0</v>
      </c>
      <c r="AN118">
        <f t="shared" si="85"/>
        <v>0</v>
      </c>
      <c r="AO118">
        <f t="shared" si="86"/>
        <v>0</v>
      </c>
      <c r="AP118">
        <f t="shared" si="87"/>
        <v>0</v>
      </c>
      <c r="AQ118">
        <f t="shared" si="88"/>
        <v>0</v>
      </c>
      <c r="AR118">
        <f t="shared" si="89"/>
        <v>0</v>
      </c>
      <c r="AS118">
        <f t="shared" si="90"/>
        <v>0</v>
      </c>
      <c r="AT118">
        <f t="shared" si="91"/>
        <v>0</v>
      </c>
      <c r="AU118">
        <f t="shared" si="92"/>
        <v>0</v>
      </c>
      <c r="AV118">
        <f t="shared" si="93"/>
        <v>0</v>
      </c>
      <c r="AW118">
        <f t="shared" si="48"/>
        <v>0</v>
      </c>
      <c r="AX118">
        <f t="shared" si="94"/>
        <v>0</v>
      </c>
      <c r="AY118">
        <f t="shared" si="95"/>
        <v>0</v>
      </c>
    </row>
    <row r="119" spans="1:51" x14ac:dyDescent="0.35">
      <c r="A119">
        <v>113</v>
      </c>
      <c r="C119">
        <f>MAX(0,Calc!$C$7-SUM(D119:R119))</f>
        <v>750</v>
      </c>
      <c r="D119">
        <f t="shared" si="49"/>
        <v>0</v>
      </c>
      <c r="E119">
        <f t="shared" si="50"/>
        <v>0</v>
      </c>
      <c r="F119">
        <f t="shared" si="51"/>
        <v>0</v>
      </c>
      <c r="G119">
        <f t="shared" si="52"/>
        <v>0</v>
      </c>
      <c r="H119">
        <f t="shared" si="53"/>
        <v>0</v>
      </c>
      <c r="I119">
        <f t="shared" si="54"/>
        <v>0</v>
      </c>
      <c r="J119">
        <f t="shared" si="55"/>
        <v>0</v>
      </c>
      <c r="K119">
        <f t="shared" si="56"/>
        <v>0</v>
      </c>
      <c r="L119">
        <f t="shared" si="57"/>
        <v>0</v>
      </c>
      <c r="M119">
        <f t="shared" si="58"/>
        <v>0</v>
      </c>
      <c r="N119">
        <f t="shared" si="59"/>
        <v>0</v>
      </c>
      <c r="O119">
        <f t="shared" si="60"/>
        <v>0</v>
      </c>
      <c r="P119">
        <f t="shared" si="61"/>
        <v>0</v>
      </c>
      <c r="Q119">
        <f t="shared" si="62"/>
        <v>0</v>
      </c>
      <c r="R119">
        <f t="shared" si="63"/>
        <v>0</v>
      </c>
      <c r="S119">
        <f t="shared" si="64"/>
        <v>0</v>
      </c>
      <c r="T119">
        <f t="shared" si="65"/>
        <v>0</v>
      </c>
      <c r="U119">
        <f t="shared" si="66"/>
        <v>0</v>
      </c>
      <c r="V119">
        <f t="shared" si="67"/>
        <v>0</v>
      </c>
      <c r="W119">
        <f t="shared" si="68"/>
        <v>0</v>
      </c>
      <c r="X119">
        <f t="shared" si="69"/>
        <v>0</v>
      </c>
      <c r="Y119">
        <f t="shared" si="70"/>
        <v>0</v>
      </c>
      <c r="Z119">
        <f t="shared" si="71"/>
        <v>0</v>
      </c>
      <c r="AA119">
        <f t="shared" si="72"/>
        <v>0</v>
      </c>
      <c r="AB119">
        <f t="shared" si="73"/>
        <v>0</v>
      </c>
      <c r="AC119">
        <f t="shared" si="74"/>
        <v>0</v>
      </c>
      <c r="AD119">
        <f t="shared" si="75"/>
        <v>0</v>
      </c>
      <c r="AE119">
        <f t="shared" si="76"/>
        <v>0</v>
      </c>
      <c r="AF119">
        <f t="shared" si="77"/>
        <v>0</v>
      </c>
      <c r="AG119">
        <f t="shared" si="78"/>
        <v>0</v>
      </c>
      <c r="AH119">
        <f t="shared" si="79"/>
        <v>0</v>
      </c>
      <c r="AI119">
        <f t="shared" si="80"/>
        <v>0</v>
      </c>
      <c r="AJ119">
        <f t="shared" si="81"/>
        <v>0</v>
      </c>
      <c r="AK119">
        <f t="shared" si="82"/>
        <v>0</v>
      </c>
      <c r="AL119">
        <f t="shared" si="83"/>
        <v>0</v>
      </c>
      <c r="AM119">
        <f t="shared" si="84"/>
        <v>0</v>
      </c>
      <c r="AN119">
        <f t="shared" si="85"/>
        <v>0</v>
      </c>
      <c r="AO119">
        <f t="shared" si="86"/>
        <v>0</v>
      </c>
      <c r="AP119">
        <f t="shared" si="87"/>
        <v>0</v>
      </c>
      <c r="AQ119">
        <f t="shared" si="88"/>
        <v>0</v>
      </c>
      <c r="AR119">
        <f t="shared" si="89"/>
        <v>0</v>
      </c>
      <c r="AS119">
        <f t="shared" si="90"/>
        <v>0</v>
      </c>
      <c r="AT119">
        <f t="shared" si="91"/>
        <v>0</v>
      </c>
      <c r="AU119">
        <f t="shared" si="92"/>
        <v>0</v>
      </c>
      <c r="AV119">
        <f t="shared" si="93"/>
        <v>0</v>
      </c>
      <c r="AW119">
        <f t="shared" si="48"/>
        <v>0</v>
      </c>
      <c r="AX119">
        <f t="shared" si="94"/>
        <v>0</v>
      </c>
      <c r="AY119">
        <f t="shared" si="95"/>
        <v>0</v>
      </c>
    </row>
    <row r="120" spans="1:51" x14ac:dyDescent="0.35">
      <c r="A120">
        <v>114</v>
      </c>
      <c r="C120">
        <f>MAX(0,Calc!$C$7-SUM(D120:R120))</f>
        <v>750</v>
      </c>
      <c r="D120">
        <f t="shared" si="49"/>
        <v>0</v>
      </c>
      <c r="E120">
        <f t="shared" si="50"/>
        <v>0</v>
      </c>
      <c r="F120">
        <f t="shared" si="51"/>
        <v>0</v>
      </c>
      <c r="G120">
        <f t="shared" si="52"/>
        <v>0</v>
      </c>
      <c r="H120">
        <f t="shared" si="53"/>
        <v>0</v>
      </c>
      <c r="I120">
        <f t="shared" si="54"/>
        <v>0</v>
      </c>
      <c r="J120">
        <f t="shared" si="55"/>
        <v>0</v>
      </c>
      <c r="K120">
        <f t="shared" si="56"/>
        <v>0</v>
      </c>
      <c r="L120">
        <f t="shared" si="57"/>
        <v>0</v>
      </c>
      <c r="M120">
        <f t="shared" si="58"/>
        <v>0</v>
      </c>
      <c r="N120">
        <f t="shared" si="59"/>
        <v>0</v>
      </c>
      <c r="O120">
        <f t="shared" si="60"/>
        <v>0</v>
      </c>
      <c r="P120">
        <f t="shared" si="61"/>
        <v>0</v>
      </c>
      <c r="Q120">
        <f t="shared" si="62"/>
        <v>0</v>
      </c>
      <c r="R120">
        <f t="shared" si="63"/>
        <v>0</v>
      </c>
      <c r="S120">
        <f t="shared" si="64"/>
        <v>0</v>
      </c>
      <c r="T120">
        <f t="shared" si="65"/>
        <v>0</v>
      </c>
      <c r="U120">
        <f t="shared" si="66"/>
        <v>0</v>
      </c>
      <c r="V120">
        <f t="shared" si="67"/>
        <v>0</v>
      </c>
      <c r="W120">
        <f t="shared" si="68"/>
        <v>0</v>
      </c>
      <c r="X120">
        <f t="shared" si="69"/>
        <v>0</v>
      </c>
      <c r="Y120">
        <f t="shared" si="70"/>
        <v>0</v>
      </c>
      <c r="Z120">
        <f t="shared" si="71"/>
        <v>0</v>
      </c>
      <c r="AA120">
        <f t="shared" si="72"/>
        <v>0</v>
      </c>
      <c r="AB120">
        <f t="shared" si="73"/>
        <v>0</v>
      </c>
      <c r="AC120">
        <f t="shared" si="74"/>
        <v>0</v>
      </c>
      <c r="AD120">
        <f t="shared" si="75"/>
        <v>0</v>
      </c>
      <c r="AE120">
        <f t="shared" si="76"/>
        <v>0</v>
      </c>
      <c r="AF120">
        <f t="shared" si="77"/>
        <v>0</v>
      </c>
      <c r="AG120">
        <f t="shared" si="78"/>
        <v>0</v>
      </c>
      <c r="AH120">
        <f t="shared" si="79"/>
        <v>0</v>
      </c>
      <c r="AI120">
        <f t="shared" si="80"/>
        <v>0</v>
      </c>
      <c r="AJ120">
        <f t="shared" si="81"/>
        <v>0</v>
      </c>
      <c r="AK120">
        <f t="shared" si="82"/>
        <v>0</v>
      </c>
      <c r="AL120">
        <f t="shared" si="83"/>
        <v>0</v>
      </c>
      <c r="AM120">
        <f t="shared" si="84"/>
        <v>0</v>
      </c>
      <c r="AN120">
        <f t="shared" si="85"/>
        <v>0</v>
      </c>
      <c r="AO120">
        <f t="shared" si="86"/>
        <v>0</v>
      </c>
      <c r="AP120">
        <f t="shared" si="87"/>
        <v>0</v>
      </c>
      <c r="AQ120">
        <f t="shared" si="88"/>
        <v>0</v>
      </c>
      <c r="AR120">
        <f t="shared" si="89"/>
        <v>0</v>
      </c>
      <c r="AS120">
        <f t="shared" si="90"/>
        <v>0</v>
      </c>
      <c r="AT120">
        <f t="shared" si="91"/>
        <v>0</v>
      </c>
      <c r="AU120">
        <f t="shared" si="92"/>
        <v>0</v>
      </c>
      <c r="AV120">
        <f t="shared" si="93"/>
        <v>0</v>
      </c>
      <c r="AW120">
        <f t="shared" si="48"/>
        <v>0</v>
      </c>
      <c r="AX120">
        <f t="shared" si="94"/>
        <v>0</v>
      </c>
      <c r="AY120">
        <f t="shared" si="95"/>
        <v>0</v>
      </c>
    </row>
    <row r="121" spans="1:51" x14ac:dyDescent="0.35">
      <c r="A121">
        <v>115</v>
      </c>
      <c r="C121">
        <f>MAX(0,Calc!$C$7-SUM(D121:R121))</f>
        <v>750</v>
      </c>
      <c r="D121">
        <f t="shared" si="49"/>
        <v>0</v>
      </c>
      <c r="E121">
        <f t="shared" si="50"/>
        <v>0</v>
      </c>
      <c r="F121">
        <f t="shared" si="51"/>
        <v>0</v>
      </c>
      <c r="G121">
        <f t="shared" si="52"/>
        <v>0</v>
      </c>
      <c r="H121">
        <f t="shared" si="53"/>
        <v>0</v>
      </c>
      <c r="I121">
        <f t="shared" si="54"/>
        <v>0</v>
      </c>
      <c r="J121">
        <f t="shared" si="55"/>
        <v>0</v>
      </c>
      <c r="K121">
        <f t="shared" si="56"/>
        <v>0</v>
      </c>
      <c r="L121">
        <f t="shared" si="57"/>
        <v>0</v>
      </c>
      <c r="M121">
        <f t="shared" si="58"/>
        <v>0</v>
      </c>
      <c r="N121">
        <f t="shared" si="59"/>
        <v>0</v>
      </c>
      <c r="O121">
        <f t="shared" si="60"/>
        <v>0</v>
      </c>
      <c r="P121">
        <f t="shared" si="61"/>
        <v>0</v>
      </c>
      <c r="Q121">
        <f t="shared" si="62"/>
        <v>0</v>
      </c>
      <c r="R121">
        <f t="shared" si="63"/>
        <v>0</v>
      </c>
      <c r="S121">
        <f t="shared" si="64"/>
        <v>0</v>
      </c>
      <c r="T121">
        <f t="shared" si="65"/>
        <v>0</v>
      </c>
      <c r="U121">
        <f t="shared" si="66"/>
        <v>0</v>
      </c>
      <c r="V121">
        <f t="shared" si="67"/>
        <v>0</v>
      </c>
      <c r="W121">
        <f t="shared" si="68"/>
        <v>0</v>
      </c>
      <c r="X121">
        <f t="shared" si="69"/>
        <v>0</v>
      </c>
      <c r="Y121">
        <f t="shared" si="70"/>
        <v>0</v>
      </c>
      <c r="Z121">
        <f t="shared" si="71"/>
        <v>0</v>
      </c>
      <c r="AA121">
        <f t="shared" si="72"/>
        <v>0</v>
      </c>
      <c r="AB121">
        <f t="shared" si="73"/>
        <v>0</v>
      </c>
      <c r="AC121">
        <f t="shared" si="74"/>
        <v>0</v>
      </c>
      <c r="AD121">
        <f t="shared" si="75"/>
        <v>0</v>
      </c>
      <c r="AE121">
        <f t="shared" si="76"/>
        <v>0</v>
      </c>
      <c r="AF121">
        <f t="shared" si="77"/>
        <v>0</v>
      </c>
      <c r="AG121">
        <f t="shared" si="78"/>
        <v>0</v>
      </c>
      <c r="AH121">
        <f t="shared" si="79"/>
        <v>0</v>
      </c>
      <c r="AI121">
        <f t="shared" si="80"/>
        <v>0</v>
      </c>
      <c r="AJ121">
        <f t="shared" si="81"/>
        <v>0</v>
      </c>
      <c r="AK121">
        <f t="shared" si="82"/>
        <v>0</v>
      </c>
      <c r="AL121">
        <f t="shared" si="83"/>
        <v>0</v>
      </c>
      <c r="AM121">
        <f t="shared" si="84"/>
        <v>0</v>
      </c>
      <c r="AN121">
        <f t="shared" si="85"/>
        <v>0</v>
      </c>
      <c r="AO121">
        <f t="shared" si="86"/>
        <v>0</v>
      </c>
      <c r="AP121">
        <f t="shared" si="87"/>
        <v>0</v>
      </c>
      <c r="AQ121">
        <f t="shared" si="88"/>
        <v>0</v>
      </c>
      <c r="AR121">
        <f t="shared" si="89"/>
        <v>0</v>
      </c>
      <c r="AS121">
        <f t="shared" si="90"/>
        <v>0</v>
      </c>
      <c r="AT121">
        <f t="shared" si="91"/>
        <v>0</v>
      </c>
      <c r="AU121">
        <f t="shared" si="92"/>
        <v>0</v>
      </c>
      <c r="AV121">
        <f t="shared" si="93"/>
        <v>0</v>
      </c>
      <c r="AW121">
        <f t="shared" si="48"/>
        <v>0</v>
      </c>
      <c r="AX121">
        <f t="shared" si="94"/>
        <v>0</v>
      </c>
      <c r="AY121">
        <f t="shared" si="95"/>
        <v>0</v>
      </c>
    </row>
    <row r="122" spans="1:51" x14ac:dyDescent="0.35">
      <c r="A122">
        <v>116</v>
      </c>
      <c r="C122">
        <f>MAX(0,Calc!$C$7-SUM(D122:R122))</f>
        <v>750</v>
      </c>
      <c r="D122">
        <f t="shared" si="49"/>
        <v>0</v>
      </c>
      <c r="E122">
        <f t="shared" si="50"/>
        <v>0</v>
      </c>
      <c r="F122">
        <f t="shared" si="51"/>
        <v>0</v>
      </c>
      <c r="G122">
        <f t="shared" si="52"/>
        <v>0</v>
      </c>
      <c r="H122">
        <f t="shared" si="53"/>
        <v>0</v>
      </c>
      <c r="I122">
        <f t="shared" si="54"/>
        <v>0</v>
      </c>
      <c r="J122">
        <f t="shared" si="55"/>
        <v>0</v>
      </c>
      <c r="K122">
        <f t="shared" si="56"/>
        <v>0</v>
      </c>
      <c r="L122">
        <f t="shared" si="57"/>
        <v>0</v>
      </c>
      <c r="M122">
        <f t="shared" si="58"/>
        <v>0</v>
      </c>
      <c r="N122">
        <f t="shared" si="59"/>
        <v>0</v>
      </c>
      <c r="O122">
        <f t="shared" si="60"/>
        <v>0</v>
      </c>
      <c r="P122">
        <f t="shared" si="61"/>
        <v>0</v>
      </c>
      <c r="Q122">
        <f t="shared" si="62"/>
        <v>0</v>
      </c>
      <c r="R122">
        <f t="shared" si="63"/>
        <v>0</v>
      </c>
      <c r="S122">
        <f t="shared" si="64"/>
        <v>0</v>
      </c>
      <c r="T122">
        <f t="shared" si="65"/>
        <v>0</v>
      </c>
      <c r="U122">
        <f t="shared" si="66"/>
        <v>0</v>
      </c>
      <c r="V122">
        <f t="shared" si="67"/>
        <v>0</v>
      </c>
      <c r="W122">
        <f t="shared" si="68"/>
        <v>0</v>
      </c>
      <c r="X122">
        <f t="shared" si="69"/>
        <v>0</v>
      </c>
      <c r="Y122">
        <f t="shared" si="70"/>
        <v>0</v>
      </c>
      <c r="Z122">
        <f t="shared" si="71"/>
        <v>0</v>
      </c>
      <c r="AA122">
        <f t="shared" si="72"/>
        <v>0</v>
      </c>
      <c r="AB122">
        <f t="shared" si="73"/>
        <v>0</v>
      </c>
      <c r="AC122">
        <f t="shared" si="74"/>
        <v>0</v>
      </c>
      <c r="AD122">
        <f t="shared" si="75"/>
        <v>0</v>
      </c>
      <c r="AE122">
        <f t="shared" si="76"/>
        <v>0</v>
      </c>
      <c r="AF122">
        <f t="shared" si="77"/>
        <v>0</v>
      </c>
      <c r="AG122">
        <f t="shared" si="78"/>
        <v>0</v>
      </c>
      <c r="AH122">
        <f t="shared" si="79"/>
        <v>0</v>
      </c>
      <c r="AI122">
        <f t="shared" si="80"/>
        <v>0</v>
      </c>
      <c r="AJ122">
        <f t="shared" si="81"/>
        <v>0</v>
      </c>
      <c r="AK122">
        <f t="shared" si="82"/>
        <v>0</v>
      </c>
      <c r="AL122">
        <f t="shared" si="83"/>
        <v>0</v>
      </c>
      <c r="AM122">
        <f t="shared" si="84"/>
        <v>0</v>
      </c>
      <c r="AN122">
        <f t="shared" si="85"/>
        <v>0</v>
      </c>
      <c r="AO122">
        <f t="shared" si="86"/>
        <v>0</v>
      </c>
      <c r="AP122">
        <f t="shared" si="87"/>
        <v>0</v>
      </c>
      <c r="AQ122">
        <f t="shared" si="88"/>
        <v>0</v>
      </c>
      <c r="AR122">
        <f t="shared" si="89"/>
        <v>0</v>
      </c>
      <c r="AS122">
        <f t="shared" si="90"/>
        <v>0</v>
      </c>
      <c r="AT122">
        <f t="shared" si="91"/>
        <v>0</v>
      </c>
      <c r="AU122">
        <f t="shared" si="92"/>
        <v>0</v>
      </c>
      <c r="AV122">
        <f t="shared" si="93"/>
        <v>0</v>
      </c>
      <c r="AW122">
        <f t="shared" si="48"/>
        <v>0</v>
      </c>
      <c r="AX122">
        <f t="shared" si="94"/>
        <v>0</v>
      </c>
      <c r="AY122">
        <f t="shared" si="95"/>
        <v>0</v>
      </c>
    </row>
    <row r="123" spans="1:51" x14ac:dyDescent="0.35">
      <c r="A123">
        <v>117</v>
      </c>
      <c r="C123">
        <f>MAX(0,Calc!$C$7-SUM(D123:R123))</f>
        <v>750</v>
      </c>
      <c r="D123">
        <f t="shared" si="49"/>
        <v>0</v>
      </c>
      <c r="E123">
        <f t="shared" si="50"/>
        <v>0</v>
      </c>
      <c r="F123">
        <f t="shared" si="51"/>
        <v>0</v>
      </c>
      <c r="G123">
        <f t="shared" si="52"/>
        <v>0</v>
      </c>
      <c r="H123">
        <f t="shared" si="53"/>
        <v>0</v>
      </c>
      <c r="I123">
        <f t="shared" si="54"/>
        <v>0</v>
      </c>
      <c r="J123">
        <f t="shared" si="55"/>
        <v>0</v>
      </c>
      <c r="K123">
        <f t="shared" si="56"/>
        <v>0</v>
      </c>
      <c r="L123">
        <f t="shared" si="57"/>
        <v>0</v>
      </c>
      <c r="M123">
        <f t="shared" si="58"/>
        <v>0</v>
      </c>
      <c r="N123">
        <f t="shared" si="59"/>
        <v>0</v>
      </c>
      <c r="O123">
        <f t="shared" si="60"/>
        <v>0</v>
      </c>
      <c r="P123">
        <f t="shared" si="61"/>
        <v>0</v>
      </c>
      <c r="Q123">
        <f t="shared" si="62"/>
        <v>0</v>
      </c>
      <c r="R123">
        <f t="shared" si="63"/>
        <v>0</v>
      </c>
      <c r="S123">
        <f t="shared" si="64"/>
        <v>0</v>
      </c>
      <c r="T123">
        <f t="shared" si="65"/>
        <v>0</v>
      </c>
      <c r="U123">
        <f t="shared" si="66"/>
        <v>0</v>
      </c>
      <c r="V123">
        <f t="shared" si="67"/>
        <v>0</v>
      </c>
      <c r="W123">
        <f t="shared" si="68"/>
        <v>0</v>
      </c>
      <c r="X123">
        <f t="shared" si="69"/>
        <v>0</v>
      </c>
      <c r="Y123">
        <f t="shared" si="70"/>
        <v>0</v>
      </c>
      <c r="Z123">
        <f t="shared" si="71"/>
        <v>0</v>
      </c>
      <c r="AA123">
        <f t="shared" si="72"/>
        <v>0</v>
      </c>
      <c r="AB123">
        <f t="shared" si="73"/>
        <v>0</v>
      </c>
      <c r="AC123">
        <f t="shared" si="74"/>
        <v>0</v>
      </c>
      <c r="AD123">
        <f t="shared" si="75"/>
        <v>0</v>
      </c>
      <c r="AE123">
        <f t="shared" si="76"/>
        <v>0</v>
      </c>
      <c r="AF123">
        <f t="shared" si="77"/>
        <v>0</v>
      </c>
      <c r="AG123">
        <f t="shared" si="78"/>
        <v>0</v>
      </c>
      <c r="AH123">
        <f t="shared" si="79"/>
        <v>0</v>
      </c>
      <c r="AI123">
        <f t="shared" si="80"/>
        <v>0</v>
      </c>
      <c r="AJ123">
        <f t="shared" si="81"/>
        <v>0</v>
      </c>
      <c r="AK123">
        <f t="shared" si="82"/>
        <v>0</v>
      </c>
      <c r="AL123">
        <f t="shared" si="83"/>
        <v>0</v>
      </c>
      <c r="AM123">
        <f t="shared" si="84"/>
        <v>0</v>
      </c>
      <c r="AN123">
        <f t="shared" si="85"/>
        <v>0</v>
      </c>
      <c r="AO123">
        <f t="shared" si="86"/>
        <v>0</v>
      </c>
      <c r="AP123">
        <f t="shared" si="87"/>
        <v>0</v>
      </c>
      <c r="AQ123">
        <f t="shared" si="88"/>
        <v>0</v>
      </c>
      <c r="AR123">
        <f t="shared" si="89"/>
        <v>0</v>
      </c>
      <c r="AS123">
        <f t="shared" si="90"/>
        <v>0</v>
      </c>
      <c r="AT123">
        <f t="shared" si="91"/>
        <v>0</v>
      </c>
      <c r="AU123">
        <f t="shared" si="92"/>
        <v>0</v>
      </c>
      <c r="AV123">
        <f t="shared" si="93"/>
        <v>0</v>
      </c>
      <c r="AW123">
        <f t="shared" si="48"/>
        <v>0</v>
      </c>
      <c r="AX123">
        <f t="shared" si="94"/>
        <v>0</v>
      </c>
      <c r="AY123">
        <f t="shared" si="95"/>
        <v>0</v>
      </c>
    </row>
    <row r="124" spans="1:51" x14ac:dyDescent="0.35">
      <c r="A124">
        <v>118</v>
      </c>
      <c r="C124">
        <f>MAX(0,Calc!$C$7-SUM(D124:R124))</f>
        <v>750</v>
      </c>
      <c r="D124">
        <f t="shared" si="49"/>
        <v>0</v>
      </c>
      <c r="E124">
        <f t="shared" si="50"/>
        <v>0</v>
      </c>
      <c r="F124">
        <f t="shared" si="51"/>
        <v>0</v>
      </c>
      <c r="G124">
        <f t="shared" si="52"/>
        <v>0</v>
      </c>
      <c r="H124">
        <f t="shared" si="53"/>
        <v>0</v>
      </c>
      <c r="I124">
        <f t="shared" si="54"/>
        <v>0</v>
      </c>
      <c r="J124">
        <f t="shared" si="55"/>
        <v>0</v>
      </c>
      <c r="K124">
        <f t="shared" si="56"/>
        <v>0</v>
      </c>
      <c r="L124">
        <f t="shared" si="57"/>
        <v>0</v>
      </c>
      <c r="M124">
        <f t="shared" si="58"/>
        <v>0</v>
      </c>
      <c r="N124">
        <f t="shared" si="59"/>
        <v>0</v>
      </c>
      <c r="O124">
        <f t="shared" si="60"/>
        <v>0</v>
      </c>
      <c r="P124">
        <f t="shared" si="61"/>
        <v>0</v>
      </c>
      <c r="Q124">
        <f t="shared" si="62"/>
        <v>0</v>
      </c>
      <c r="R124">
        <f t="shared" si="63"/>
        <v>0</v>
      </c>
      <c r="S124">
        <f t="shared" si="64"/>
        <v>0</v>
      </c>
      <c r="T124">
        <f t="shared" si="65"/>
        <v>0</v>
      </c>
      <c r="U124">
        <f t="shared" si="66"/>
        <v>0</v>
      </c>
      <c r="V124">
        <f t="shared" si="67"/>
        <v>0</v>
      </c>
      <c r="W124">
        <f t="shared" si="68"/>
        <v>0</v>
      </c>
      <c r="X124">
        <f t="shared" si="69"/>
        <v>0</v>
      </c>
      <c r="Y124">
        <f t="shared" si="70"/>
        <v>0</v>
      </c>
      <c r="Z124">
        <f t="shared" si="71"/>
        <v>0</v>
      </c>
      <c r="AA124">
        <f t="shared" si="72"/>
        <v>0</v>
      </c>
      <c r="AB124">
        <f t="shared" si="73"/>
        <v>0</v>
      </c>
      <c r="AC124">
        <f t="shared" si="74"/>
        <v>0</v>
      </c>
      <c r="AD124">
        <f t="shared" si="75"/>
        <v>0</v>
      </c>
      <c r="AE124">
        <f t="shared" si="76"/>
        <v>0</v>
      </c>
      <c r="AF124">
        <f t="shared" si="77"/>
        <v>0</v>
      </c>
      <c r="AG124">
        <f t="shared" si="78"/>
        <v>0</v>
      </c>
      <c r="AH124">
        <f t="shared" si="79"/>
        <v>0</v>
      </c>
      <c r="AI124">
        <f t="shared" si="80"/>
        <v>0</v>
      </c>
      <c r="AJ124">
        <f t="shared" si="81"/>
        <v>0</v>
      </c>
      <c r="AK124">
        <f t="shared" si="82"/>
        <v>0</v>
      </c>
      <c r="AL124">
        <f t="shared" si="83"/>
        <v>0</v>
      </c>
      <c r="AM124">
        <f t="shared" si="84"/>
        <v>0</v>
      </c>
      <c r="AN124">
        <f t="shared" si="85"/>
        <v>0</v>
      </c>
      <c r="AO124">
        <f t="shared" si="86"/>
        <v>0</v>
      </c>
      <c r="AP124">
        <f t="shared" si="87"/>
        <v>0</v>
      </c>
      <c r="AQ124">
        <f t="shared" si="88"/>
        <v>0</v>
      </c>
      <c r="AR124">
        <f t="shared" si="89"/>
        <v>0</v>
      </c>
      <c r="AS124">
        <f t="shared" si="90"/>
        <v>0</v>
      </c>
      <c r="AT124">
        <f t="shared" si="91"/>
        <v>0</v>
      </c>
      <c r="AU124">
        <f t="shared" si="92"/>
        <v>0</v>
      </c>
      <c r="AV124">
        <f t="shared" si="93"/>
        <v>0</v>
      </c>
      <c r="AW124">
        <f t="shared" si="48"/>
        <v>0</v>
      </c>
      <c r="AX124">
        <f t="shared" si="94"/>
        <v>0</v>
      </c>
      <c r="AY124">
        <f t="shared" si="95"/>
        <v>0</v>
      </c>
    </row>
    <row r="125" spans="1:51" x14ac:dyDescent="0.35">
      <c r="A125">
        <v>119</v>
      </c>
      <c r="C125">
        <f>MAX(0,Calc!$C$7-SUM(D125:R125))</f>
        <v>750</v>
      </c>
      <c r="D125">
        <f t="shared" si="49"/>
        <v>0</v>
      </c>
      <c r="E125">
        <f t="shared" si="50"/>
        <v>0</v>
      </c>
      <c r="F125">
        <f t="shared" si="51"/>
        <v>0</v>
      </c>
      <c r="G125">
        <f t="shared" si="52"/>
        <v>0</v>
      </c>
      <c r="H125">
        <f t="shared" si="53"/>
        <v>0</v>
      </c>
      <c r="I125">
        <f t="shared" si="54"/>
        <v>0</v>
      </c>
      <c r="J125">
        <f t="shared" si="55"/>
        <v>0</v>
      </c>
      <c r="K125">
        <f t="shared" si="56"/>
        <v>0</v>
      </c>
      <c r="L125">
        <f t="shared" si="57"/>
        <v>0</v>
      </c>
      <c r="M125">
        <f t="shared" si="58"/>
        <v>0</v>
      </c>
      <c r="N125">
        <f t="shared" si="59"/>
        <v>0</v>
      </c>
      <c r="O125">
        <f t="shared" si="60"/>
        <v>0</v>
      </c>
      <c r="P125">
        <f t="shared" si="61"/>
        <v>0</v>
      </c>
      <c r="Q125">
        <f t="shared" si="62"/>
        <v>0</v>
      </c>
      <c r="R125">
        <f t="shared" si="63"/>
        <v>0</v>
      </c>
      <c r="S125">
        <f t="shared" si="64"/>
        <v>0</v>
      </c>
      <c r="T125">
        <f t="shared" si="65"/>
        <v>0</v>
      </c>
      <c r="U125">
        <f t="shared" si="66"/>
        <v>0</v>
      </c>
      <c r="V125">
        <f t="shared" si="67"/>
        <v>0</v>
      </c>
      <c r="W125">
        <f t="shared" si="68"/>
        <v>0</v>
      </c>
      <c r="X125">
        <f t="shared" si="69"/>
        <v>0</v>
      </c>
      <c r="Y125">
        <f t="shared" si="70"/>
        <v>0</v>
      </c>
      <c r="Z125">
        <f t="shared" si="71"/>
        <v>0</v>
      </c>
      <c r="AA125">
        <f t="shared" si="72"/>
        <v>0</v>
      </c>
      <c r="AB125">
        <f t="shared" si="73"/>
        <v>0</v>
      </c>
      <c r="AC125">
        <f t="shared" si="74"/>
        <v>0</v>
      </c>
      <c r="AD125">
        <f t="shared" si="75"/>
        <v>0</v>
      </c>
      <c r="AE125">
        <f t="shared" si="76"/>
        <v>0</v>
      </c>
      <c r="AF125">
        <f t="shared" si="77"/>
        <v>0</v>
      </c>
      <c r="AG125">
        <f t="shared" si="78"/>
        <v>0</v>
      </c>
      <c r="AH125">
        <f t="shared" si="79"/>
        <v>0</v>
      </c>
      <c r="AI125">
        <f t="shared" si="80"/>
        <v>0</v>
      </c>
      <c r="AJ125">
        <f t="shared" si="81"/>
        <v>0</v>
      </c>
      <c r="AK125">
        <f t="shared" si="82"/>
        <v>0</v>
      </c>
      <c r="AL125">
        <f t="shared" si="83"/>
        <v>0</v>
      </c>
      <c r="AM125">
        <f t="shared" si="84"/>
        <v>0</v>
      </c>
      <c r="AN125">
        <f t="shared" si="85"/>
        <v>0</v>
      </c>
      <c r="AO125">
        <f t="shared" si="86"/>
        <v>0</v>
      </c>
      <c r="AP125">
        <f t="shared" si="87"/>
        <v>0</v>
      </c>
      <c r="AQ125">
        <f t="shared" si="88"/>
        <v>0</v>
      </c>
      <c r="AR125">
        <f t="shared" si="89"/>
        <v>0</v>
      </c>
      <c r="AS125">
        <f t="shared" si="90"/>
        <v>0</v>
      </c>
      <c r="AT125">
        <f t="shared" si="91"/>
        <v>0</v>
      </c>
      <c r="AU125">
        <f t="shared" si="92"/>
        <v>0</v>
      </c>
      <c r="AV125">
        <f t="shared" si="93"/>
        <v>0</v>
      </c>
      <c r="AW125">
        <f t="shared" si="48"/>
        <v>0</v>
      </c>
      <c r="AX125">
        <f t="shared" si="94"/>
        <v>0</v>
      </c>
      <c r="AY125">
        <f t="shared" si="95"/>
        <v>0</v>
      </c>
    </row>
    <row r="126" spans="1:51" x14ac:dyDescent="0.35">
      <c r="A126">
        <v>120</v>
      </c>
      <c r="C126">
        <f>MAX(0,Calc!$C$7-SUM(D126:R126))</f>
        <v>750</v>
      </c>
      <c r="D126">
        <f t="shared" si="49"/>
        <v>0</v>
      </c>
      <c r="E126">
        <f t="shared" si="50"/>
        <v>0</v>
      </c>
      <c r="F126">
        <f t="shared" si="51"/>
        <v>0</v>
      </c>
      <c r="G126">
        <f t="shared" si="52"/>
        <v>0</v>
      </c>
      <c r="H126">
        <f t="shared" si="53"/>
        <v>0</v>
      </c>
      <c r="I126">
        <f t="shared" si="54"/>
        <v>0</v>
      </c>
      <c r="J126">
        <f t="shared" si="55"/>
        <v>0</v>
      </c>
      <c r="K126">
        <f t="shared" si="56"/>
        <v>0</v>
      </c>
      <c r="L126">
        <f t="shared" si="57"/>
        <v>0</v>
      </c>
      <c r="M126">
        <f t="shared" si="58"/>
        <v>0</v>
      </c>
      <c r="N126">
        <f t="shared" si="59"/>
        <v>0</v>
      </c>
      <c r="O126">
        <f t="shared" si="60"/>
        <v>0</v>
      </c>
      <c r="P126">
        <f t="shared" si="61"/>
        <v>0</v>
      </c>
      <c r="Q126">
        <f t="shared" si="62"/>
        <v>0</v>
      </c>
      <c r="R126">
        <f t="shared" si="63"/>
        <v>0</v>
      </c>
      <c r="S126">
        <f t="shared" si="64"/>
        <v>0</v>
      </c>
      <c r="T126">
        <f t="shared" si="65"/>
        <v>0</v>
      </c>
      <c r="U126">
        <f t="shared" si="66"/>
        <v>0</v>
      </c>
      <c r="V126">
        <f t="shared" si="67"/>
        <v>0</v>
      </c>
      <c r="W126">
        <f t="shared" si="68"/>
        <v>0</v>
      </c>
      <c r="X126">
        <f t="shared" si="69"/>
        <v>0</v>
      </c>
      <c r="Y126">
        <f t="shared" si="70"/>
        <v>0</v>
      </c>
      <c r="Z126">
        <f t="shared" si="71"/>
        <v>0</v>
      </c>
      <c r="AA126">
        <f t="shared" si="72"/>
        <v>0</v>
      </c>
      <c r="AB126">
        <f t="shared" si="73"/>
        <v>0</v>
      </c>
      <c r="AC126">
        <f t="shared" si="74"/>
        <v>0</v>
      </c>
      <c r="AD126">
        <f t="shared" si="75"/>
        <v>0</v>
      </c>
      <c r="AE126">
        <f t="shared" si="76"/>
        <v>0</v>
      </c>
      <c r="AF126">
        <f t="shared" si="77"/>
        <v>0</v>
      </c>
      <c r="AG126">
        <f t="shared" si="78"/>
        <v>0</v>
      </c>
      <c r="AH126">
        <f t="shared" si="79"/>
        <v>0</v>
      </c>
      <c r="AI126">
        <f t="shared" si="80"/>
        <v>0</v>
      </c>
      <c r="AJ126">
        <f t="shared" si="81"/>
        <v>0</v>
      </c>
      <c r="AK126">
        <f t="shared" si="82"/>
        <v>0</v>
      </c>
      <c r="AL126">
        <f t="shared" si="83"/>
        <v>0</v>
      </c>
      <c r="AM126">
        <f t="shared" si="84"/>
        <v>0</v>
      </c>
      <c r="AN126">
        <f t="shared" si="85"/>
        <v>0</v>
      </c>
      <c r="AO126">
        <f t="shared" si="86"/>
        <v>0</v>
      </c>
      <c r="AP126">
        <f t="shared" si="87"/>
        <v>0</v>
      </c>
      <c r="AQ126">
        <f t="shared" si="88"/>
        <v>0</v>
      </c>
      <c r="AR126">
        <f t="shared" si="89"/>
        <v>0</v>
      </c>
      <c r="AS126">
        <f t="shared" si="90"/>
        <v>0</v>
      </c>
      <c r="AT126">
        <f t="shared" si="91"/>
        <v>0</v>
      </c>
      <c r="AU126">
        <f t="shared" si="92"/>
        <v>0</v>
      </c>
      <c r="AV126">
        <f t="shared" si="93"/>
        <v>0</v>
      </c>
      <c r="AW126">
        <f t="shared" si="48"/>
        <v>0</v>
      </c>
      <c r="AX126">
        <f t="shared" si="94"/>
        <v>0</v>
      </c>
      <c r="AY126">
        <f t="shared" si="95"/>
        <v>0</v>
      </c>
    </row>
    <row r="127" spans="1:51" x14ac:dyDescent="0.35">
      <c r="A127">
        <v>121</v>
      </c>
      <c r="C127">
        <f>MAX(0,Calc!$C$7-SUM(D127:R127))</f>
        <v>750</v>
      </c>
      <c r="D127">
        <f t="shared" si="49"/>
        <v>0</v>
      </c>
      <c r="E127">
        <f t="shared" si="50"/>
        <v>0</v>
      </c>
      <c r="F127">
        <f t="shared" si="51"/>
        <v>0</v>
      </c>
      <c r="G127">
        <f t="shared" si="52"/>
        <v>0</v>
      </c>
      <c r="H127">
        <f t="shared" si="53"/>
        <v>0</v>
      </c>
      <c r="I127">
        <f t="shared" si="54"/>
        <v>0</v>
      </c>
      <c r="J127">
        <f t="shared" si="55"/>
        <v>0</v>
      </c>
      <c r="K127">
        <f t="shared" si="56"/>
        <v>0</v>
      </c>
      <c r="L127">
        <f t="shared" si="57"/>
        <v>0</v>
      </c>
      <c r="M127">
        <f t="shared" si="58"/>
        <v>0</v>
      </c>
      <c r="N127">
        <f t="shared" si="59"/>
        <v>0</v>
      </c>
      <c r="O127">
        <f t="shared" si="60"/>
        <v>0</v>
      </c>
      <c r="P127">
        <f t="shared" si="61"/>
        <v>0</v>
      </c>
      <c r="Q127">
        <f t="shared" si="62"/>
        <v>0</v>
      </c>
      <c r="R127">
        <f t="shared" si="63"/>
        <v>0</v>
      </c>
      <c r="S127">
        <f t="shared" si="64"/>
        <v>0</v>
      </c>
      <c r="T127">
        <f t="shared" si="65"/>
        <v>0</v>
      </c>
      <c r="U127">
        <f t="shared" si="66"/>
        <v>0</v>
      </c>
      <c r="V127">
        <f t="shared" si="67"/>
        <v>0</v>
      </c>
      <c r="W127">
        <f t="shared" si="68"/>
        <v>0</v>
      </c>
      <c r="X127">
        <f t="shared" si="69"/>
        <v>0</v>
      </c>
      <c r="Y127">
        <f t="shared" si="70"/>
        <v>0</v>
      </c>
      <c r="Z127">
        <f t="shared" si="71"/>
        <v>0</v>
      </c>
      <c r="AA127">
        <f t="shared" si="72"/>
        <v>0</v>
      </c>
      <c r="AB127">
        <f t="shared" si="73"/>
        <v>0</v>
      </c>
      <c r="AC127">
        <f t="shared" si="74"/>
        <v>0</v>
      </c>
      <c r="AD127">
        <f t="shared" si="75"/>
        <v>0</v>
      </c>
      <c r="AE127">
        <f t="shared" si="76"/>
        <v>0</v>
      </c>
      <c r="AF127">
        <f t="shared" si="77"/>
        <v>0</v>
      </c>
      <c r="AG127">
        <f t="shared" si="78"/>
        <v>0</v>
      </c>
      <c r="AH127">
        <f t="shared" si="79"/>
        <v>0</v>
      </c>
      <c r="AI127">
        <f t="shared" si="80"/>
        <v>0</v>
      </c>
      <c r="AJ127">
        <f t="shared" si="81"/>
        <v>0</v>
      </c>
      <c r="AK127">
        <f t="shared" si="82"/>
        <v>0</v>
      </c>
      <c r="AL127">
        <f t="shared" si="83"/>
        <v>0</v>
      </c>
      <c r="AM127">
        <f t="shared" si="84"/>
        <v>0</v>
      </c>
      <c r="AN127">
        <f t="shared" si="85"/>
        <v>0</v>
      </c>
      <c r="AO127">
        <f t="shared" si="86"/>
        <v>0</v>
      </c>
      <c r="AP127">
        <f t="shared" si="87"/>
        <v>0</v>
      </c>
      <c r="AQ127">
        <f t="shared" si="88"/>
        <v>0</v>
      </c>
      <c r="AR127">
        <f t="shared" si="89"/>
        <v>0</v>
      </c>
      <c r="AS127">
        <f t="shared" si="90"/>
        <v>0</v>
      </c>
      <c r="AT127">
        <f t="shared" si="91"/>
        <v>0</v>
      </c>
      <c r="AU127">
        <f t="shared" si="92"/>
        <v>0</v>
      </c>
      <c r="AV127">
        <f t="shared" si="93"/>
        <v>0</v>
      </c>
      <c r="AW127">
        <f t="shared" si="48"/>
        <v>0</v>
      </c>
      <c r="AX127">
        <f t="shared" si="94"/>
        <v>0</v>
      </c>
      <c r="AY127">
        <f t="shared" si="95"/>
        <v>0</v>
      </c>
    </row>
    <row r="128" spans="1:51" x14ac:dyDescent="0.35">
      <c r="A128">
        <v>122</v>
      </c>
      <c r="C128">
        <f>MAX(0,Calc!$C$7-SUM(D128:R128))</f>
        <v>750</v>
      </c>
      <c r="D128">
        <f t="shared" si="49"/>
        <v>0</v>
      </c>
      <c r="E128">
        <f t="shared" si="50"/>
        <v>0</v>
      </c>
      <c r="F128">
        <f t="shared" si="51"/>
        <v>0</v>
      </c>
      <c r="G128">
        <f t="shared" si="52"/>
        <v>0</v>
      </c>
      <c r="H128">
        <f t="shared" si="53"/>
        <v>0</v>
      </c>
      <c r="I128">
        <f t="shared" si="54"/>
        <v>0</v>
      </c>
      <c r="J128">
        <f t="shared" si="55"/>
        <v>0</v>
      </c>
      <c r="K128">
        <f t="shared" si="56"/>
        <v>0</v>
      </c>
      <c r="L128">
        <f t="shared" si="57"/>
        <v>0</v>
      </c>
      <c r="M128">
        <f t="shared" si="58"/>
        <v>0</v>
      </c>
      <c r="N128">
        <f t="shared" si="59"/>
        <v>0</v>
      </c>
      <c r="O128">
        <f t="shared" si="60"/>
        <v>0</v>
      </c>
      <c r="P128">
        <f t="shared" si="61"/>
        <v>0</v>
      </c>
      <c r="Q128">
        <f t="shared" si="62"/>
        <v>0</v>
      </c>
      <c r="R128">
        <f t="shared" si="63"/>
        <v>0</v>
      </c>
      <c r="S128">
        <f t="shared" si="64"/>
        <v>0</v>
      </c>
      <c r="T128">
        <f t="shared" si="65"/>
        <v>0</v>
      </c>
      <c r="U128">
        <f t="shared" si="66"/>
        <v>0</v>
      </c>
      <c r="V128">
        <f t="shared" si="67"/>
        <v>0</v>
      </c>
      <c r="W128">
        <f t="shared" si="68"/>
        <v>0</v>
      </c>
      <c r="X128">
        <f t="shared" si="69"/>
        <v>0</v>
      </c>
      <c r="Y128">
        <f t="shared" si="70"/>
        <v>0</v>
      </c>
      <c r="Z128">
        <f t="shared" si="71"/>
        <v>0</v>
      </c>
      <c r="AA128">
        <f t="shared" si="72"/>
        <v>0</v>
      </c>
      <c r="AB128">
        <f t="shared" si="73"/>
        <v>0</v>
      </c>
      <c r="AC128">
        <f t="shared" si="74"/>
        <v>0</v>
      </c>
      <c r="AD128">
        <f t="shared" si="75"/>
        <v>0</v>
      </c>
      <c r="AE128">
        <f t="shared" si="76"/>
        <v>0</v>
      </c>
      <c r="AF128">
        <f t="shared" si="77"/>
        <v>0</v>
      </c>
      <c r="AG128">
        <f t="shared" si="78"/>
        <v>0</v>
      </c>
      <c r="AH128">
        <f t="shared" si="79"/>
        <v>0</v>
      </c>
      <c r="AI128">
        <f t="shared" si="80"/>
        <v>0</v>
      </c>
      <c r="AJ128">
        <f t="shared" si="81"/>
        <v>0</v>
      </c>
      <c r="AK128">
        <f t="shared" si="82"/>
        <v>0</v>
      </c>
      <c r="AL128">
        <f t="shared" si="83"/>
        <v>0</v>
      </c>
      <c r="AM128">
        <f t="shared" si="84"/>
        <v>0</v>
      </c>
      <c r="AN128">
        <f t="shared" si="85"/>
        <v>0</v>
      </c>
      <c r="AO128">
        <f t="shared" si="86"/>
        <v>0</v>
      </c>
      <c r="AP128">
        <f t="shared" si="87"/>
        <v>0</v>
      </c>
      <c r="AQ128">
        <f t="shared" si="88"/>
        <v>0</v>
      </c>
      <c r="AR128">
        <f t="shared" si="89"/>
        <v>0</v>
      </c>
      <c r="AS128">
        <f t="shared" si="90"/>
        <v>0</v>
      </c>
      <c r="AT128">
        <f t="shared" si="91"/>
        <v>0</v>
      </c>
      <c r="AU128">
        <f t="shared" si="92"/>
        <v>0</v>
      </c>
      <c r="AV128">
        <f t="shared" si="93"/>
        <v>0</v>
      </c>
      <c r="AW128">
        <f t="shared" si="48"/>
        <v>0</v>
      </c>
      <c r="AX128">
        <f t="shared" si="94"/>
        <v>0</v>
      </c>
      <c r="AY128">
        <f t="shared" si="95"/>
        <v>0</v>
      </c>
    </row>
    <row r="129" spans="1:51" x14ac:dyDescent="0.35">
      <c r="A129">
        <v>123</v>
      </c>
      <c r="C129">
        <f>MAX(0,Calc!$C$7-SUM(D129:R129))</f>
        <v>750</v>
      </c>
      <c r="D129">
        <f t="shared" si="49"/>
        <v>0</v>
      </c>
      <c r="E129">
        <f t="shared" si="50"/>
        <v>0</v>
      </c>
      <c r="F129">
        <f t="shared" si="51"/>
        <v>0</v>
      </c>
      <c r="G129">
        <f t="shared" si="52"/>
        <v>0</v>
      </c>
      <c r="H129">
        <f t="shared" si="53"/>
        <v>0</v>
      </c>
      <c r="I129">
        <f t="shared" si="54"/>
        <v>0</v>
      </c>
      <c r="J129">
        <f t="shared" si="55"/>
        <v>0</v>
      </c>
      <c r="K129">
        <f t="shared" si="56"/>
        <v>0</v>
      </c>
      <c r="L129">
        <f t="shared" si="57"/>
        <v>0</v>
      </c>
      <c r="M129">
        <f t="shared" si="58"/>
        <v>0</v>
      </c>
      <c r="N129">
        <f t="shared" si="59"/>
        <v>0</v>
      </c>
      <c r="O129">
        <f t="shared" si="60"/>
        <v>0</v>
      </c>
      <c r="P129">
        <f t="shared" si="61"/>
        <v>0</v>
      </c>
      <c r="Q129">
        <f t="shared" si="62"/>
        <v>0</v>
      </c>
      <c r="R129">
        <f t="shared" si="63"/>
        <v>0</v>
      </c>
      <c r="S129">
        <f t="shared" si="64"/>
        <v>0</v>
      </c>
      <c r="T129">
        <f t="shared" si="65"/>
        <v>0</v>
      </c>
      <c r="U129">
        <f t="shared" si="66"/>
        <v>0</v>
      </c>
      <c r="V129">
        <f t="shared" si="67"/>
        <v>0</v>
      </c>
      <c r="W129">
        <f t="shared" si="68"/>
        <v>0</v>
      </c>
      <c r="X129">
        <f t="shared" si="69"/>
        <v>0</v>
      </c>
      <c r="Y129">
        <f t="shared" si="70"/>
        <v>0</v>
      </c>
      <c r="Z129">
        <f t="shared" si="71"/>
        <v>0</v>
      </c>
      <c r="AA129">
        <f t="shared" si="72"/>
        <v>0</v>
      </c>
      <c r="AB129">
        <f t="shared" si="73"/>
        <v>0</v>
      </c>
      <c r="AC129">
        <f t="shared" si="74"/>
        <v>0</v>
      </c>
      <c r="AD129">
        <f t="shared" si="75"/>
        <v>0</v>
      </c>
      <c r="AE129">
        <f t="shared" si="76"/>
        <v>0</v>
      </c>
      <c r="AF129">
        <f t="shared" si="77"/>
        <v>0</v>
      </c>
      <c r="AG129">
        <f t="shared" si="78"/>
        <v>0</v>
      </c>
      <c r="AH129">
        <f t="shared" si="79"/>
        <v>0</v>
      </c>
      <c r="AI129">
        <f t="shared" si="80"/>
        <v>0</v>
      </c>
      <c r="AJ129">
        <f t="shared" si="81"/>
        <v>0</v>
      </c>
      <c r="AK129">
        <f t="shared" si="82"/>
        <v>0</v>
      </c>
      <c r="AL129">
        <f t="shared" si="83"/>
        <v>0</v>
      </c>
      <c r="AM129">
        <f t="shared" si="84"/>
        <v>0</v>
      </c>
      <c r="AN129">
        <f t="shared" si="85"/>
        <v>0</v>
      </c>
      <c r="AO129">
        <f t="shared" si="86"/>
        <v>0</v>
      </c>
      <c r="AP129">
        <f t="shared" si="87"/>
        <v>0</v>
      </c>
      <c r="AQ129">
        <f t="shared" si="88"/>
        <v>0</v>
      </c>
      <c r="AR129">
        <f t="shared" si="89"/>
        <v>0</v>
      </c>
      <c r="AS129">
        <f t="shared" si="90"/>
        <v>0</v>
      </c>
      <c r="AT129">
        <f t="shared" si="91"/>
        <v>0</v>
      </c>
      <c r="AU129">
        <f t="shared" si="92"/>
        <v>0</v>
      </c>
      <c r="AV129">
        <f t="shared" si="93"/>
        <v>0</v>
      </c>
      <c r="AW129">
        <f t="shared" si="48"/>
        <v>0</v>
      </c>
      <c r="AX129">
        <f t="shared" si="94"/>
        <v>0</v>
      </c>
      <c r="AY129">
        <f t="shared" si="95"/>
        <v>0</v>
      </c>
    </row>
    <row r="130" spans="1:51" x14ac:dyDescent="0.35">
      <c r="A130">
        <v>124</v>
      </c>
      <c r="C130">
        <f>MAX(0,Calc!$C$7-SUM(D130:R130))</f>
        <v>750</v>
      </c>
      <c r="D130">
        <f t="shared" si="49"/>
        <v>0</v>
      </c>
      <c r="E130">
        <f t="shared" si="50"/>
        <v>0</v>
      </c>
      <c r="F130">
        <f t="shared" si="51"/>
        <v>0</v>
      </c>
      <c r="G130">
        <f t="shared" si="52"/>
        <v>0</v>
      </c>
      <c r="H130">
        <f t="shared" si="53"/>
        <v>0</v>
      </c>
      <c r="I130">
        <f t="shared" si="54"/>
        <v>0</v>
      </c>
      <c r="J130">
        <f t="shared" si="55"/>
        <v>0</v>
      </c>
      <c r="K130">
        <f t="shared" si="56"/>
        <v>0</v>
      </c>
      <c r="L130">
        <f t="shared" si="57"/>
        <v>0</v>
      </c>
      <c r="M130">
        <f t="shared" si="58"/>
        <v>0</v>
      </c>
      <c r="N130">
        <f t="shared" si="59"/>
        <v>0</v>
      </c>
      <c r="O130">
        <f t="shared" si="60"/>
        <v>0</v>
      </c>
      <c r="P130">
        <f t="shared" si="61"/>
        <v>0</v>
      </c>
      <c r="Q130">
        <f t="shared" si="62"/>
        <v>0</v>
      </c>
      <c r="R130">
        <f t="shared" si="63"/>
        <v>0</v>
      </c>
      <c r="S130">
        <f t="shared" si="64"/>
        <v>0</v>
      </c>
      <c r="T130">
        <f t="shared" si="65"/>
        <v>0</v>
      </c>
      <c r="U130">
        <f t="shared" si="66"/>
        <v>0</v>
      </c>
      <c r="V130">
        <f t="shared" si="67"/>
        <v>0</v>
      </c>
      <c r="W130">
        <f t="shared" si="68"/>
        <v>0</v>
      </c>
      <c r="X130">
        <f t="shared" si="69"/>
        <v>0</v>
      </c>
      <c r="Y130">
        <f t="shared" si="70"/>
        <v>0</v>
      </c>
      <c r="Z130">
        <f t="shared" si="71"/>
        <v>0</v>
      </c>
      <c r="AA130">
        <f t="shared" si="72"/>
        <v>0</v>
      </c>
      <c r="AB130">
        <f t="shared" si="73"/>
        <v>0</v>
      </c>
      <c r="AC130">
        <f t="shared" si="74"/>
        <v>0</v>
      </c>
      <c r="AD130">
        <f t="shared" si="75"/>
        <v>0</v>
      </c>
      <c r="AE130">
        <f t="shared" si="76"/>
        <v>0</v>
      </c>
      <c r="AF130">
        <f t="shared" si="77"/>
        <v>0</v>
      </c>
      <c r="AG130">
        <f t="shared" si="78"/>
        <v>0</v>
      </c>
      <c r="AH130">
        <f t="shared" si="79"/>
        <v>0</v>
      </c>
      <c r="AI130">
        <f t="shared" si="80"/>
        <v>0</v>
      </c>
      <c r="AJ130">
        <f t="shared" si="81"/>
        <v>0</v>
      </c>
      <c r="AK130">
        <f t="shared" si="82"/>
        <v>0</v>
      </c>
      <c r="AL130">
        <f t="shared" si="83"/>
        <v>0</v>
      </c>
      <c r="AM130">
        <f t="shared" si="84"/>
        <v>0</v>
      </c>
      <c r="AN130">
        <f t="shared" si="85"/>
        <v>0</v>
      </c>
      <c r="AO130">
        <f t="shared" si="86"/>
        <v>0</v>
      </c>
      <c r="AP130">
        <f t="shared" si="87"/>
        <v>0</v>
      </c>
      <c r="AQ130">
        <f t="shared" si="88"/>
        <v>0</v>
      </c>
      <c r="AR130">
        <f t="shared" si="89"/>
        <v>0</v>
      </c>
      <c r="AS130">
        <f t="shared" si="90"/>
        <v>0</v>
      </c>
      <c r="AT130">
        <f t="shared" si="91"/>
        <v>0</v>
      </c>
      <c r="AU130">
        <f t="shared" si="92"/>
        <v>0</v>
      </c>
      <c r="AV130">
        <f t="shared" si="93"/>
        <v>0</v>
      </c>
      <c r="AW130">
        <f t="shared" si="48"/>
        <v>0</v>
      </c>
      <c r="AX130">
        <f t="shared" si="94"/>
        <v>0</v>
      </c>
      <c r="AY130">
        <f t="shared" si="95"/>
        <v>0</v>
      </c>
    </row>
    <row r="131" spans="1:51" x14ac:dyDescent="0.35">
      <c r="A131">
        <v>125</v>
      </c>
      <c r="C131">
        <f>MAX(0,Calc!$C$7-SUM(D131:R131))</f>
        <v>750</v>
      </c>
      <c r="D131">
        <f t="shared" si="49"/>
        <v>0</v>
      </c>
      <c r="E131">
        <f t="shared" si="50"/>
        <v>0</v>
      </c>
      <c r="F131">
        <f t="shared" si="51"/>
        <v>0</v>
      </c>
      <c r="G131">
        <f t="shared" si="52"/>
        <v>0</v>
      </c>
      <c r="H131">
        <f t="shared" si="53"/>
        <v>0</v>
      </c>
      <c r="I131">
        <f t="shared" si="54"/>
        <v>0</v>
      </c>
      <c r="J131">
        <f t="shared" si="55"/>
        <v>0</v>
      </c>
      <c r="K131">
        <f t="shared" si="56"/>
        <v>0</v>
      </c>
      <c r="L131">
        <f t="shared" si="57"/>
        <v>0</v>
      </c>
      <c r="M131">
        <f t="shared" si="58"/>
        <v>0</v>
      </c>
      <c r="N131">
        <f t="shared" si="59"/>
        <v>0</v>
      </c>
      <c r="O131">
        <f t="shared" si="60"/>
        <v>0</v>
      </c>
      <c r="P131">
        <f t="shared" si="61"/>
        <v>0</v>
      </c>
      <c r="Q131">
        <f t="shared" si="62"/>
        <v>0</v>
      </c>
      <c r="R131">
        <f t="shared" si="63"/>
        <v>0</v>
      </c>
      <c r="S131">
        <f t="shared" si="64"/>
        <v>0</v>
      </c>
      <c r="T131">
        <f t="shared" si="65"/>
        <v>0</v>
      </c>
      <c r="U131">
        <f t="shared" si="66"/>
        <v>0</v>
      </c>
      <c r="V131">
        <f t="shared" si="67"/>
        <v>0</v>
      </c>
      <c r="W131">
        <f t="shared" si="68"/>
        <v>0</v>
      </c>
      <c r="X131">
        <f t="shared" si="69"/>
        <v>0</v>
      </c>
      <c r="Y131">
        <f t="shared" si="70"/>
        <v>0</v>
      </c>
      <c r="Z131">
        <f t="shared" si="71"/>
        <v>0</v>
      </c>
      <c r="AA131">
        <f t="shared" si="72"/>
        <v>0</v>
      </c>
      <c r="AB131">
        <f t="shared" si="73"/>
        <v>0</v>
      </c>
      <c r="AC131">
        <f t="shared" si="74"/>
        <v>0</v>
      </c>
      <c r="AD131">
        <f t="shared" si="75"/>
        <v>0</v>
      </c>
      <c r="AE131">
        <f t="shared" si="76"/>
        <v>0</v>
      </c>
      <c r="AF131">
        <f t="shared" si="77"/>
        <v>0</v>
      </c>
      <c r="AG131">
        <f t="shared" si="78"/>
        <v>0</v>
      </c>
      <c r="AH131">
        <f t="shared" si="79"/>
        <v>0</v>
      </c>
      <c r="AI131">
        <f t="shared" si="80"/>
        <v>0</v>
      </c>
      <c r="AJ131">
        <f t="shared" si="81"/>
        <v>0</v>
      </c>
      <c r="AK131">
        <f t="shared" si="82"/>
        <v>0</v>
      </c>
      <c r="AL131">
        <f t="shared" si="83"/>
        <v>0</v>
      </c>
      <c r="AM131">
        <f t="shared" si="84"/>
        <v>0</v>
      </c>
      <c r="AN131">
        <f t="shared" si="85"/>
        <v>0</v>
      </c>
      <c r="AO131">
        <f t="shared" si="86"/>
        <v>0</v>
      </c>
      <c r="AP131">
        <f t="shared" si="87"/>
        <v>0</v>
      </c>
      <c r="AQ131">
        <f t="shared" si="88"/>
        <v>0</v>
      </c>
      <c r="AR131">
        <f t="shared" si="89"/>
        <v>0</v>
      </c>
      <c r="AS131">
        <f t="shared" si="90"/>
        <v>0</v>
      </c>
      <c r="AT131">
        <f t="shared" si="91"/>
        <v>0</v>
      </c>
      <c r="AU131">
        <f t="shared" si="92"/>
        <v>0</v>
      </c>
      <c r="AV131">
        <f t="shared" si="93"/>
        <v>0</v>
      </c>
      <c r="AW131">
        <f t="shared" si="48"/>
        <v>0</v>
      </c>
      <c r="AX131">
        <f t="shared" si="94"/>
        <v>0</v>
      </c>
      <c r="AY131">
        <f t="shared" si="95"/>
        <v>0</v>
      </c>
    </row>
    <row r="132" spans="1:51" x14ac:dyDescent="0.35">
      <c r="A132">
        <v>126</v>
      </c>
      <c r="C132">
        <f>MAX(0,Calc!$C$7-SUM(D132:R132))</f>
        <v>750</v>
      </c>
      <c r="D132">
        <f t="shared" si="49"/>
        <v>0</v>
      </c>
      <c r="E132">
        <f t="shared" si="50"/>
        <v>0</v>
      </c>
      <c r="F132">
        <f t="shared" si="51"/>
        <v>0</v>
      </c>
      <c r="G132">
        <f t="shared" si="52"/>
        <v>0</v>
      </c>
      <c r="H132">
        <f t="shared" si="53"/>
        <v>0</v>
      </c>
      <c r="I132">
        <f t="shared" si="54"/>
        <v>0</v>
      </c>
      <c r="J132">
        <f t="shared" si="55"/>
        <v>0</v>
      </c>
      <c r="K132">
        <f t="shared" si="56"/>
        <v>0</v>
      </c>
      <c r="L132">
        <f t="shared" si="57"/>
        <v>0</v>
      </c>
      <c r="M132">
        <f t="shared" si="58"/>
        <v>0</v>
      </c>
      <c r="N132">
        <f t="shared" si="59"/>
        <v>0</v>
      </c>
      <c r="O132">
        <f t="shared" si="60"/>
        <v>0</v>
      </c>
      <c r="P132">
        <f t="shared" si="61"/>
        <v>0</v>
      </c>
      <c r="Q132">
        <f t="shared" si="62"/>
        <v>0</v>
      </c>
      <c r="R132">
        <f t="shared" si="63"/>
        <v>0</v>
      </c>
      <c r="S132">
        <f t="shared" si="64"/>
        <v>0</v>
      </c>
      <c r="T132">
        <f t="shared" si="65"/>
        <v>0</v>
      </c>
      <c r="U132">
        <f t="shared" si="66"/>
        <v>0</v>
      </c>
      <c r="V132">
        <f t="shared" si="67"/>
        <v>0</v>
      </c>
      <c r="W132">
        <f t="shared" si="68"/>
        <v>0</v>
      </c>
      <c r="X132">
        <f t="shared" si="69"/>
        <v>0</v>
      </c>
      <c r="Y132">
        <f t="shared" si="70"/>
        <v>0</v>
      </c>
      <c r="Z132">
        <f t="shared" si="71"/>
        <v>0</v>
      </c>
      <c r="AA132">
        <f t="shared" si="72"/>
        <v>0</v>
      </c>
      <c r="AB132">
        <f t="shared" si="73"/>
        <v>0</v>
      </c>
      <c r="AC132">
        <f t="shared" si="74"/>
        <v>0</v>
      </c>
      <c r="AD132">
        <f t="shared" si="75"/>
        <v>0</v>
      </c>
      <c r="AE132">
        <f t="shared" si="76"/>
        <v>0</v>
      </c>
      <c r="AF132">
        <f t="shared" si="77"/>
        <v>0</v>
      </c>
      <c r="AG132">
        <f t="shared" si="78"/>
        <v>0</v>
      </c>
      <c r="AH132">
        <f t="shared" si="79"/>
        <v>0</v>
      </c>
      <c r="AI132">
        <f t="shared" si="80"/>
        <v>0</v>
      </c>
      <c r="AJ132">
        <f t="shared" si="81"/>
        <v>0</v>
      </c>
      <c r="AK132">
        <f t="shared" si="82"/>
        <v>0</v>
      </c>
      <c r="AL132">
        <f t="shared" si="83"/>
        <v>0</v>
      </c>
      <c r="AM132">
        <f t="shared" si="84"/>
        <v>0</v>
      </c>
      <c r="AN132">
        <f t="shared" si="85"/>
        <v>0</v>
      </c>
      <c r="AO132">
        <f t="shared" si="86"/>
        <v>0</v>
      </c>
      <c r="AP132">
        <f t="shared" si="87"/>
        <v>0</v>
      </c>
      <c r="AQ132">
        <f t="shared" si="88"/>
        <v>0</v>
      </c>
      <c r="AR132">
        <f t="shared" si="89"/>
        <v>0</v>
      </c>
      <c r="AS132">
        <f t="shared" si="90"/>
        <v>0</v>
      </c>
      <c r="AT132">
        <f t="shared" si="91"/>
        <v>0</v>
      </c>
      <c r="AU132">
        <f t="shared" si="92"/>
        <v>0</v>
      </c>
      <c r="AV132">
        <f t="shared" si="93"/>
        <v>0</v>
      </c>
      <c r="AW132">
        <f t="shared" si="48"/>
        <v>0</v>
      </c>
      <c r="AX132">
        <f t="shared" si="94"/>
        <v>0</v>
      </c>
      <c r="AY132">
        <f t="shared" si="95"/>
        <v>0</v>
      </c>
    </row>
    <row r="133" spans="1:51" x14ac:dyDescent="0.35">
      <c r="A133">
        <v>127</v>
      </c>
      <c r="C133">
        <f>MAX(0,Calc!$C$7-SUM(D133:R133))</f>
        <v>750</v>
      </c>
      <c r="D133">
        <f t="shared" si="49"/>
        <v>0</v>
      </c>
      <c r="E133">
        <f t="shared" si="50"/>
        <v>0</v>
      </c>
      <c r="F133">
        <f t="shared" si="51"/>
        <v>0</v>
      </c>
      <c r="G133">
        <f t="shared" si="52"/>
        <v>0</v>
      </c>
      <c r="H133">
        <f t="shared" si="53"/>
        <v>0</v>
      </c>
      <c r="I133">
        <f t="shared" si="54"/>
        <v>0</v>
      </c>
      <c r="J133">
        <f t="shared" si="55"/>
        <v>0</v>
      </c>
      <c r="K133">
        <f t="shared" si="56"/>
        <v>0</v>
      </c>
      <c r="L133">
        <f t="shared" si="57"/>
        <v>0</v>
      </c>
      <c r="M133">
        <f t="shared" si="58"/>
        <v>0</v>
      </c>
      <c r="N133">
        <f t="shared" si="59"/>
        <v>0</v>
      </c>
      <c r="O133">
        <f t="shared" si="60"/>
        <v>0</v>
      </c>
      <c r="P133">
        <f t="shared" si="61"/>
        <v>0</v>
      </c>
      <c r="Q133">
        <f t="shared" si="62"/>
        <v>0</v>
      </c>
      <c r="R133">
        <f t="shared" si="63"/>
        <v>0</v>
      </c>
      <c r="S133">
        <f t="shared" si="64"/>
        <v>0</v>
      </c>
      <c r="T133">
        <f t="shared" si="65"/>
        <v>0</v>
      </c>
      <c r="U133">
        <f t="shared" si="66"/>
        <v>0</v>
      </c>
      <c r="V133">
        <f t="shared" si="67"/>
        <v>0</v>
      </c>
      <c r="W133">
        <f t="shared" si="68"/>
        <v>0</v>
      </c>
      <c r="X133">
        <f t="shared" si="69"/>
        <v>0</v>
      </c>
      <c r="Y133">
        <f t="shared" si="70"/>
        <v>0</v>
      </c>
      <c r="Z133">
        <f t="shared" si="71"/>
        <v>0</v>
      </c>
      <c r="AA133">
        <f t="shared" si="72"/>
        <v>0</v>
      </c>
      <c r="AB133">
        <f t="shared" si="73"/>
        <v>0</v>
      </c>
      <c r="AC133">
        <f t="shared" si="74"/>
        <v>0</v>
      </c>
      <c r="AD133">
        <f t="shared" si="75"/>
        <v>0</v>
      </c>
      <c r="AE133">
        <f t="shared" si="76"/>
        <v>0</v>
      </c>
      <c r="AF133">
        <f t="shared" si="77"/>
        <v>0</v>
      </c>
      <c r="AG133">
        <f t="shared" si="78"/>
        <v>0</v>
      </c>
      <c r="AH133">
        <f t="shared" si="79"/>
        <v>0</v>
      </c>
      <c r="AI133">
        <f t="shared" si="80"/>
        <v>0</v>
      </c>
      <c r="AJ133">
        <f t="shared" si="81"/>
        <v>0</v>
      </c>
      <c r="AK133">
        <f t="shared" si="82"/>
        <v>0</v>
      </c>
      <c r="AL133">
        <f t="shared" si="83"/>
        <v>0</v>
      </c>
      <c r="AM133">
        <f t="shared" si="84"/>
        <v>0</v>
      </c>
      <c r="AN133">
        <f t="shared" si="85"/>
        <v>0</v>
      </c>
      <c r="AO133">
        <f t="shared" si="86"/>
        <v>0</v>
      </c>
      <c r="AP133">
        <f t="shared" si="87"/>
        <v>0</v>
      </c>
      <c r="AQ133">
        <f t="shared" si="88"/>
        <v>0</v>
      </c>
      <c r="AR133">
        <f t="shared" si="89"/>
        <v>0</v>
      </c>
      <c r="AS133">
        <f t="shared" si="90"/>
        <v>0</v>
      </c>
      <c r="AT133">
        <f t="shared" si="91"/>
        <v>0</v>
      </c>
      <c r="AU133">
        <f t="shared" si="92"/>
        <v>0</v>
      </c>
      <c r="AV133">
        <f t="shared" si="93"/>
        <v>0</v>
      </c>
      <c r="AW133">
        <f t="shared" si="48"/>
        <v>0</v>
      </c>
      <c r="AX133">
        <f t="shared" si="94"/>
        <v>0</v>
      </c>
      <c r="AY133">
        <f t="shared" si="95"/>
        <v>0</v>
      </c>
    </row>
    <row r="134" spans="1:51" x14ac:dyDescent="0.35">
      <c r="A134">
        <v>128</v>
      </c>
      <c r="C134">
        <f>MAX(0,Calc!$C$7-SUM(D134:R134))</f>
        <v>750</v>
      </c>
      <c r="D134">
        <f t="shared" si="49"/>
        <v>0</v>
      </c>
      <c r="E134">
        <f t="shared" si="50"/>
        <v>0</v>
      </c>
      <c r="F134">
        <f t="shared" si="51"/>
        <v>0</v>
      </c>
      <c r="G134">
        <f t="shared" si="52"/>
        <v>0</v>
      </c>
      <c r="H134">
        <f t="shared" si="53"/>
        <v>0</v>
      </c>
      <c r="I134">
        <f t="shared" si="54"/>
        <v>0</v>
      </c>
      <c r="J134">
        <f t="shared" si="55"/>
        <v>0</v>
      </c>
      <c r="K134">
        <f t="shared" si="56"/>
        <v>0</v>
      </c>
      <c r="L134">
        <f t="shared" si="57"/>
        <v>0</v>
      </c>
      <c r="M134">
        <f t="shared" si="58"/>
        <v>0</v>
      </c>
      <c r="N134">
        <f t="shared" si="59"/>
        <v>0</v>
      </c>
      <c r="O134">
        <f t="shared" si="60"/>
        <v>0</v>
      </c>
      <c r="P134">
        <f t="shared" si="61"/>
        <v>0</v>
      </c>
      <c r="Q134">
        <f t="shared" si="62"/>
        <v>0</v>
      </c>
      <c r="R134">
        <f t="shared" si="63"/>
        <v>0</v>
      </c>
      <c r="S134">
        <f t="shared" si="64"/>
        <v>0</v>
      </c>
      <c r="T134">
        <f t="shared" si="65"/>
        <v>0</v>
      </c>
      <c r="U134">
        <f t="shared" si="66"/>
        <v>0</v>
      </c>
      <c r="V134">
        <f t="shared" si="67"/>
        <v>0</v>
      </c>
      <c r="W134">
        <f t="shared" si="68"/>
        <v>0</v>
      </c>
      <c r="X134">
        <f t="shared" si="69"/>
        <v>0</v>
      </c>
      <c r="Y134">
        <f t="shared" si="70"/>
        <v>0</v>
      </c>
      <c r="Z134">
        <f t="shared" si="71"/>
        <v>0</v>
      </c>
      <c r="AA134">
        <f t="shared" si="72"/>
        <v>0</v>
      </c>
      <c r="AB134">
        <f t="shared" si="73"/>
        <v>0</v>
      </c>
      <c r="AC134">
        <f t="shared" si="74"/>
        <v>0</v>
      </c>
      <c r="AD134">
        <f t="shared" si="75"/>
        <v>0</v>
      </c>
      <c r="AE134">
        <f t="shared" si="76"/>
        <v>0</v>
      </c>
      <c r="AF134">
        <f t="shared" si="77"/>
        <v>0</v>
      </c>
      <c r="AG134">
        <f t="shared" si="78"/>
        <v>0</v>
      </c>
      <c r="AH134">
        <f t="shared" si="79"/>
        <v>0</v>
      </c>
      <c r="AI134">
        <f t="shared" si="80"/>
        <v>0</v>
      </c>
      <c r="AJ134">
        <f t="shared" si="81"/>
        <v>0</v>
      </c>
      <c r="AK134">
        <f t="shared" si="82"/>
        <v>0</v>
      </c>
      <c r="AL134">
        <f t="shared" si="83"/>
        <v>0</v>
      </c>
      <c r="AM134">
        <f t="shared" si="84"/>
        <v>0</v>
      </c>
      <c r="AN134">
        <f t="shared" si="85"/>
        <v>0</v>
      </c>
      <c r="AO134">
        <f t="shared" si="86"/>
        <v>0</v>
      </c>
      <c r="AP134">
        <f t="shared" si="87"/>
        <v>0</v>
      </c>
      <c r="AQ134">
        <f t="shared" si="88"/>
        <v>0</v>
      </c>
      <c r="AR134">
        <f t="shared" si="89"/>
        <v>0</v>
      </c>
      <c r="AS134">
        <f t="shared" si="90"/>
        <v>0</v>
      </c>
      <c r="AT134">
        <f t="shared" si="91"/>
        <v>0</v>
      </c>
      <c r="AU134">
        <f t="shared" si="92"/>
        <v>0</v>
      </c>
      <c r="AV134">
        <f t="shared" si="93"/>
        <v>0</v>
      </c>
      <c r="AW134">
        <f t="shared" ref="AW134:AW197" si="96">SUM(AH134:AV134)</f>
        <v>0</v>
      </c>
      <c r="AX134">
        <f t="shared" si="94"/>
        <v>0</v>
      </c>
      <c r="AY134">
        <f t="shared" si="95"/>
        <v>0</v>
      </c>
    </row>
    <row r="135" spans="1:51" x14ac:dyDescent="0.35">
      <c r="A135">
        <v>129</v>
      </c>
      <c r="C135">
        <f>MAX(0,Calc!$C$7-SUM(D135:R135))</f>
        <v>750</v>
      </c>
      <c r="D135">
        <f t="shared" ref="D135:D198" si="97">IF(AH134&lt;0.005,0,MIN((AH134+ROUND(AH134*AH$3,2)),AH$4))</f>
        <v>0</v>
      </c>
      <c r="E135">
        <f t="shared" ref="E135:E198" si="98">IF(AI134&lt;0.005,0,MIN((AI134+ROUND(AI134*AI$3,2)),AI$4))</f>
        <v>0</v>
      </c>
      <c r="F135">
        <f t="shared" ref="F135:F198" si="99">IF(AJ134&lt;0.005,0,MIN((AJ134+ROUND(AJ134*AJ$3,2)),AJ$4))</f>
        <v>0</v>
      </c>
      <c r="G135">
        <f t="shared" ref="G135:G198" si="100">IF(AK134&lt;0.005,0,MIN((AK134+ROUND(AK134*AK$3,2)),AK$4))</f>
        <v>0</v>
      </c>
      <c r="H135">
        <f t="shared" ref="H135:H198" si="101">IF(AL134&lt;0.005,0,MIN((AL134+ROUND(AL134*AL$3,2)),AL$4))</f>
        <v>0</v>
      </c>
      <c r="I135">
        <f t="shared" ref="I135:I198" si="102">IF(AM134&lt;0.005,0,MIN((AM134+ROUND(AM134*AM$3,2)),AM$4))</f>
        <v>0</v>
      </c>
      <c r="J135">
        <f t="shared" ref="J135:J198" si="103">IF(AN134&lt;0.005,0,MIN((AN134+ROUND(AN134*AN$3,2)),AN$4))</f>
        <v>0</v>
      </c>
      <c r="K135">
        <f t="shared" ref="K135:K198" si="104">IF(AO134&lt;0.005,0,MIN((AO134+ROUND(AO134*AO$3,2)),AO$4))</f>
        <v>0</v>
      </c>
      <c r="L135">
        <f t="shared" ref="L135:L198" si="105">IF(AP134&lt;0.005,0,MIN((AP134+ROUND(AP134*AP$3,2)),AP$4))</f>
        <v>0</v>
      </c>
      <c r="M135">
        <f t="shared" ref="M135:M198" si="106">IF(AQ134&lt;0.005,0,MIN((AQ134+ROUND(AQ134*AQ$3,2)),AQ$4))</f>
        <v>0</v>
      </c>
      <c r="N135">
        <f t="shared" ref="N135:N198" si="107">IF(AR134&lt;0.005,0,MIN((AR134+ROUND(AR134*AR$3,2)),AR$4))</f>
        <v>0</v>
      </c>
      <c r="O135">
        <f t="shared" ref="O135:O198" si="108">IF(AS134&lt;0.005,0,MIN((AS134+ROUND(AS134*AS$3,2)),AS$4))</f>
        <v>0</v>
      </c>
      <c r="P135">
        <f t="shared" ref="P135:P198" si="109">IF(AT134&lt;0.005,0,MIN((AT134+ROUND(AT134*AT$3,2)),AT$4))</f>
        <v>0</v>
      </c>
      <c r="Q135">
        <f t="shared" ref="Q135:Q198" si="110">IF(AU134&lt;0.005,0,MIN((AU134+ROUND(AU134*AU$3,2)),AU$4))</f>
        <v>0</v>
      </c>
      <c r="R135">
        <f t="shared" ref="R135:R198" si="111">IF(AV134&lt;0.005,0,MIN((AV134+ROUND(AV134*AV$3,2)),AV$4))</f>
        <v>0</v>
      </c>
      <c r="S135">
        <f t="shared" ref="S135:S198" si="112">IF(AH134&lt;0.005,0,MIN((AH134+ROUND(AH134*AH$3,2))-D135,MAX(0,$C135)))</f>
        <v>0</v>
      </c>
      <c r="T135">
        <f t="shared" ref="T135:T198" si="113">IF(AI134&lt;0.005,0,MIN((AI134+ROUND(AI134*AI$3,2))-E135,MAX(0,$C135-SUM(S135:S135))))</f>
        <v>0</v>
      </c>
      <c r="U135">
        <f t="shared" ref="U135:U198" si="114">IF(AJ134&lt;0.005,0,MIN((AJ134+ROUND(AJ134*AJ$3,2))-F135,MAX(0,$C135-SUM(S135:T135))))</f>
        <v>0</v>
      </c>
      <c r="V135">
        <f t="shared" ref="V135:V198" si="115">IF(AK134&lt;0.005,0,MIN((AK134+ROUND(AK134*AK$3,2))-G135,MAX(0,$C135-SUM(S135:U135))))</f>
        <v>0</v>
      </c>
      <c r="W135">
        <f t="shared" ref="W135:W198" si="116">IF(AL134&lt;0.005,0,MIN((AL134+ROUND(AL134*AL$3,2))-H135,MAX(0,$C135-SUM(S135:V135))))</f>
        <v>0</v>
      </c>
      <c r="X135">
        <f t="shared" ref="X135:X198" si="117">IF(AM134&lt;0.005,0,MIN((AM134+ROUND(AM134*AM$3,2))-I135,MAX(0,$C135-SUM(S135:W135))))</f>
        <v>0</v>
      </c>
      <c r="Y135">
        <f t="shared" ref="Y135:Y198" si="118">IF(AN134&lt;0.005,0,MIN((AN134+ROUND(AN134*AN$3,2))-J135,MAX(0,$C135-SUM(S135:X135))))</f>
        <v>0</v>
      </c>
      <c r="Z135">
        <f t="shared" ref="Z135:Z198" si="119">IF(AO134&lt;0.005,0,MIN((AO134+ROUND(AO134*AO$3,2))-K135,MAX(0,$C135-SUM(S135:Y135))))</f>
        <v>0</v>
      </c>
      <c r="AA135">
        <f t="shared" ref="AA135:AA198" si="120">IF(AP134&lt;0.005,0,MIN((AP134+ROUND(AP134*AP$3,2))-L135,MAX(0,$C135-SUM(S135:Z135))))</f>
        <v>0</v>
      </c>
      <c r="AB135">
        <f t="shared" ref="AB135:AB198" si="121">IF(AQ134&lt;0.005,0,MIN((AQ134+ROUND(AQ134*AQ$3,2))-M135,MAX(0,$C135-SUM(S135:AA135))))</f>
        <v>0</v>
      </c>
      <c r="AC135">
        <f t="shared" ref="AC135:AC198" si="122">IF(AR134&lt;0.005,0,MIN((AR134+ROUND(AR134*AR$3,2))-N135,MAX(0,$C135-SUM(S135:AB135))))</f>
        <v>0</v>
      </c>
      <c r="AD135">
        <f t="shared" ref="AD135:AD198" si="123">IF(AS134&lt;0.005,0,MIN((AS134+ROUND(AS134*AS$3,2))-O135,MAX(0,$C135-SUM(S135:AC135))))</f>
        <v>0</v>
      </c>
      <c r="AE135">
        <f t="shared" ref="AE135:AE198" si="124">IF(AT134&lt;0.005,0,MIN((AT134+ROUND(AT134*AT$3,2))-P135,MAX(0,$C135-SUM(S135:AD135))))</f>
        <v>0</v>
      </c>
      <c r="AF135">
        <f t="shared" ref="AF135:AF198" si="125">IF(AU134&lt;0.005,0,MIN((AU134+ROUND(AU134*AU$3,2))-Q135,MAX(0,$C135-SUM(S135:AE135))))</f>
        <v>0</v>
      </c>
      <c r="AG135">
        <f t="shared" ref="AG135:AG198" si="126">IF(AV134&lt;0.005,0,MIN((AV134+ROUND(AV134*AV$3,2))-R135,MAX(0,$C135-SUM(S135:AF135))))</f>
        <v>0</v>
      </c>
      <c r="AH135">
        <f t="shared" ref="AH135:AH198" si="127">IF(AH134&lt;0.005,0,ROUND((AH134+ROUND(AH134*AH$3,2))-D135-S135,2))</f>
        <v>0</v>
      </c>
      <c r="AI135">
        <f t="shared" ref="AI135:AI198" si="128">IF(AI134&lt;0.005,0,ROUND((AI134+ROUND(AI134*AI$3,2))-E135-T135,2))</f>
        <v>0</v>
      </c>
      <c r="AJ135">
        <f t="shared" ref="AJ135:AJ198" si="129">IF(AJ134&lt;0.005,0,ROUND((AJ134+ROUND(AJ134*AJ$3,2))-F135-U135,2))</f>
        <v>0</v>
      </c>
      <c r="AK135">
        <f t="shared" ref="AK135:AK198" si="130">IF(AK134&lt;0.005,0,ROUND((AK134+ROUND(AK134*AK$3,2))-G135-V135,2))</f>
        <v>0</v>
      </c>
      <c r="AL135">
        <f t="shared" ref="AL135:AL198" si="131">IF(AL134&lt;0.005,0,ROUND((AL134+ROUND(AL134*AL$3,2))-H135-W135,2))</f>
        <v>0</v>
      </c>
      <c r="AM135">
        <f t="shared" ref="AM135:AM198" si="132">IF(AM134&lt;0.005,0,ROUND((AM134+ROUND(AM134*AM$3,2))-I135-X135,2))</f>
        <v>0</v>
      </c>
      <c r="AN135">
        <f t="shared" ref="AN135:AN198" si="133">IF(AN134&lt;0.005,0,ROUND((AN134+ROUND(AN134*AN$3,2))-J135-Y135,2))</f>
        <v>0</v>
      </c>
      <c r="AO135">
        <f t="shared" ref="AO135:AO198" si="134">IF(AO134&lt;0.005,0,ROUND((AO134+ROUND(AO134*AO$3,2))-K135-Z135,2))</f>
        <v>0</v>
      </c>
      <c r="AP135">
        <f t="shared" ref="AP135:AP198" si="135">IF(AP134&lt;0.005,0,ROUND((AP134+ROUND(AP134*AP$3,2))-L135-AA135,2))</f>
        <v>0</v>
      </c>
      <c r="AQ135">
        <f t="shared" ref="AQ135:AQ198" si="136">IF(AQ134&lt;0.005,0,ROUND((AQ134+ROUND(AQ134*AQ$3,2))-M135-AB135,2))</f>
        <v>0</v>
      </c>
      <c r="AR135">
        <f t="shared" ref="AR135:AR198" si="137">IF(AR134&lt;0.005,0,ROUND((AR134+ROUND(AR134*AR$3,2))-N135-AC135,2))</f>
        <v>0</v>
      </c>
      <c r="AS135">
        <f t="shared" ref="AS135:AS198" si="138">IF(AS134&lt;0.005,0,ROUND((AS134+ROUND(AS134*AS$3,2))-O135-AD135,2))</f>
        <v>0</v>
      </c>
      <c r="AT135">
        <f t="shared" ref="AT135:AT198" si="139">IF(AT134&lt;0.005,0,ROUND((AT134+ROUND(AT134*AT$3,2))-P135-AE135,2))</f>
        <v>0</v>
      </c>
      <c r="AU135">
        <f t="shared" ref="AU135:AU198" si="140">IF(AU134&lt;0.005,0,ROUND((AU134+ROUND(AU134*AU$3,2))-Q135-AF135,2))</f>
        <v>0</v>
      </c>
      <c r="AV135">
        <f t="shared" ref="AV135:AV198" si="141">IF(AV134&lt;0.005,0,ROUND((AV134+ROUND(AV134*AV$3,2))-R135-AG135,2))</f>
        <v>0</v>
      </c>
      <c r="AW135">
        <f t="shared" si="96"/>
        <v>0</v>
      </c>
      <c r="AX135">
        <f t="shared" ref="AX135:AX198" si="142">SUMPRODUCT(ROUND(AH134:AV134*AH$3:AV$3,2))</f>
        <v>0</v>
      </c>
      <c r="AY135">
        <f t="shared" ref="AY135:AY198" si="143">SUM(D135:AG135)</f>
        <v>0</v>
      </c>
    </row>
    <row r="136" spans="1:51" x14ac:dyDescent="0.35">
      <c r="A136">
        <v>130</v>
      </c>
      <c r="C136">
        <f>MAX(0,Calc!$C$7-SUM(D136:R136))</f>
        <v>750</v>
      </c>
      <c r="D136">
        <f t="shared" si="97"/>
        <v>0</v>
      </c>
      <c r="E136">
        <f t="shared" si="98"/>
        <v>0</v>
      </c>
      <c r="F136">
        <f t="shared" si="99"/>
        <v>0</v>
      </c>
      <c r="G136">
        <f t="shared" si="100"/>
        <v>0</v>
      </c>
      <c r="H136">
        <f t="shared" si="101"/>
        <v>0</v>
      </c>
      <c r="I136">
        <f t="shared" si="102"/>
        <v>0</v>
      </c>
      <c r="J136">
        <f t="shared" si="103"/>
        <v>0</v>
      </c>
      <c r="K136">
        <f t="shared" si="104"/>
        <v>0</v>
      </c>
      <c r="L136">
        <f t="shared" si="105"/>
        <v>0</v>
      </c>
      <c r="M136">
        <f t="shared" si="106"/>
        <v>0</v>
      </c>
      <c r="N136">
        <f t="shared" si="107"/>
        <v>0</v>
      </c>
      <c r="O136">
        <f t="shared" si="108"/>
        <v>0</v>
      </c>
      <c r="P136">
        <f t="shared" si="109"/>
        <v>0</v>
      </c>
      <c r="Q136">
        <f t="shared" si="110"/>
        <v>0</v>
      </c>
      <c r="R136">
        <f t="shared" si="111"/>
        <v>0</v>
      </c>
      <c r="S136">
        <f t="shared" si="112"/>
        <v>0</v>
      </c>
      <c r="T136">
        <f t="shared" si="113"/>
        <v>0</v>
      </c>
      <c r="U136">
        <f t="shared" si="114"/>
        <v>0</v>
      </c>
      <c r="V136">
        <f t="shared" si="115"/>
        <v>0</v>
      </c>
      <c r="W136">
        <f t="shared" si="116"/>
        <v>0</v>
      </c>
      <c r="X136">
        <f t="shared" si="117"/>
        <v>0</v>
      </c>
      <c r="Y136">
        <f t="shared" si="118"/>
        <v>0</v>
      </c>
      <c r="Z136">
        <f t="shared" si="119"/>
        <v>0</v>
      </c>
      <c r="AA136">
        <f t="shared" si="120"/>
        <v>0</v>
      </c>
      <c r="AB136">
        <f t="shared" si="121"/>
        <v>0</v>
      </c>
      <c r="AC136">
        <f t="shared" si="122"/>
        <v>0</v>
      </c>
      <c r="AD136">
        <f t="shared" si="123"/>
        <v>0</v>
      </c>
      <c r="AE136">
        <f t="shared" si="124"/>
        <v>0</v>
      </c>
      <c r="AF136">
        <f t="shared" si="125"/>
        <v>0</v>
      </c>
      <c r="AG136">
        <f t="shared" si="126"/>
        <v>0</v>
      </c>
      <c r="AH136">
        <f t="shared" si="127"/>
        <v>0</v>
      </c>
      <c r="AI136">
        <f t="shared" si="128"/>
        <v>0</v>
      </c>
      <c r="AJ136">
        <f t="shared" si="129"/>
        <v>0</v>
      </c>
      <c r="AK136">
        <f t="shared" si="130"/>
        <v>0</v>
      </c>
      <c r="AL136">
        <f t="shared" si="131"/>
        <v>0</v>
      </c>
      <c r="AM136">
        <f t="shared" si="132"/>
        <v>0</v>
      </c>
      <c r="AN136">
        <f t="shared" si="133"/>
        <v>0</v>
      </c>
      <c r="AO136">
        <f t="shared" si="134"/>
        <v>0</v>
      </c>
      <c r="AP136">
        <f t="shared" si="135"/>
        <v>0</v>
      </c>
      <c r="AQ136">
        <f t="shared" si="136"/>
        <v>0</v>
      </c>
      <c r="AR136">
        <f t="shared" si="137"/>
        <v>0</v>
      </c>
      <c r="AS136">
        <f t="shared" si="138"/>
        <v>0</v>
      </c>
      <c r="AT136">
        <f t="shared" si="139"/>
        <v>0</v>
      </c>
      <c r="AU136">
        <f t="shared" si="140"/>
        <v>0</v>
      </c>
      <c r="AV136">
        <f t="shared" si="141"/>
        <v>0</v>
      </c>
      <c r="AW136">
        <f t="shared" si="96"/>
        <v>0</v>
      </c>
      <c r="AX136">
        <f t="shared" si="142"/>
        <v>0</v>
      </c>
      <c r="AY136">
        <f t="shared" si="143"/>
        <v>0</v>
      </c>
    </row>
    <row r="137" spans="1:51" x14ac:dyDescent="0.35">
      <c r="A137">
        <v>131</v>
      </c>
      <c r="C137">
        <f>MAX(0,Calc!$C$7-SUM(D137:R137))</f>
        <v>750</v>
      </c>
      <c r="D137">
        <f t="shared" si="97"/>
        <v>0</v>
      </c>
      <c r="E137">
        <f t="shared" si="98"/>
        <v>0</v>
      </c>
      <c r="F137">
        <f t="shared" si="99"/>
        <v>0</v>
      </c>
      <c r="G137">
        <f t="shared" si="100"/>
        <v>0</v>
      </c>
      <c r="H137">
        <f t="shared" si="101"/>
        <v>0</v>
      </c>
      <c r="I137">
        <f t="shared" si="102"/>
        <v>0</v>
      </c>
      <c r="J137">
        <f t="shared" si="103"/>
        <v>0</v>
      </c>
      <c r="K137">
        <f t="shared" si="104"/>
        <v>0</v>
      </c>
      <c r="L137">
        <f t="shared" si="105"/>
        <v>0</v>
      </c>
      <c r="M137">
        <f t="shared" si="106"/>
        <v>0</v>
      </c>
      <c r="N137">
        <f t="shared" si="107"/>
        <v>0</v>
      </c>
      <c r="O137">
        <f t="shared" si="108"/>
        <v>0</v>
      </c>
      <c r="P137">
        <f t="shared" si="109"/>
        <v>0</v>
      </c>
      <c r="Q137">
        <f t="shared" si="110"/>
        <v>0</v>
      </c>
      <c r="R137">
        <f t="shared" si="111"/>
        <v>0</v>
      </c>
      <c r="S137">
        <f t="shared" si="112"/>
        <v>0</v>
      </c>
      <c r="T137">
        <f t="shared" si="113"/>
        <v>0</v>
      </c>
      <c r="U137">
        <f t="shared" si="114"/>
        <v>0</v>
      </c>
      <c r="V137">
        <f t="shared" si="115"/>
        <v>0</v>
      </c>
      <c r="W137">
        <f t="shared" si="116"/>
        <v>0</v>
      </c>
      <c r="X137">
        <f t="shared" si="117"/>
        <v>0</v>
      </c>
      <c r="Y137">
        <f t="shared" si="118"/>
        <v>0</v>
      </c>
      <c r="Z137">
        <f t="shared" si="119"/>
        <v>0</v>
      </c>
      <c r="AA137">
        <f t="shared" si="120"/>
        <v>0</v>
      </c>
      <c r="AB137">
        <f t="shared" si="121"/>
        <v>0</v>
      </c>
      <c r="AC137">
        <f t="shared" si="122"/>
        <v>0</v>
      </c>
      <c r="AD137">
        <f t="shared" si="123"/>
        <v>0</v>
      </c>
      <c r="AE137">
        <f t="shared" si="124"/>
        <v>0</v>
      </c>
      <c r="AF137">
        <f t="shared" si="125"/>
        <v>0</v>
      </c>
      <c r="AG137">
        <f t="shared" si="126"/>
        <v>0</v>
      </c>
      <c r="AH137">
        <f t="shared" si="127"/>
        <v>0</v>
      </c>
      <c r="AI137">
        <f t="shared" si="128"/>
        <v>0</v>
      </c>
      <c r="AJ137">
        <f t="shared" si="129"/>
        <v>0</v>
      </c>
      <c r="AK137">
        <f t="shared" si="130"/>
        <v>0</v>
      </c>
      <c r="AL137">
        <f t="shared" si="131"/>
        <v>0</v>
      </c>
      <c r="AM137">
        <f t="shared" si="132"/>
        <v>0</v>
      </c>
      <c r="AN137">
        <f t="shared" si="133"/>
        <v>0</v>
      </c>
      <c r="AO137">
        <f t="shared" si="134"/>
        <v>0</v>
      </c>
      <c r="AP137">
        <f t="shared" si="135"/>
        <v>0</v>
      </c>
      <c r="AQ137">
        <f t="shared" si="136"/>
        <v>0</v>
      </c>
      <c r="AR137">
        <f t="shared" si="137"/>
        <v>0</v>
      </c>
      <c r="AS137">
        <f t="shared" si="138"/>
        <v>0</v>
      </c>
      <c r="AT137">
        <f t="shared" si="139"/>
        <v>0</v>
      </c>
      <c r="AU137">
        <f t="shared" si="140"/>
        <v>0</v>
      </c>
      <c r="AV137">
        <f t="shared" si="141"/>
        <v>0</v>
      </c>
      <c r="AW137">
        <f t="shared" si="96"/>
        <v>0</v>
      </c>
      <c r="AX137">
        <f t="shared" si="142"/>
        <v>0</v>
      </c>
      <c r="AY137">
        <f t="shared" si="143"/>
        <v>0</v>
      </c>
    </row>
    <row r="138" spans="1:51" x14ac:dyDescent="0.35">
      <c r="A138">
        <v>132</v>
      </c>
      <c r="C138">
        <f>MAX(0,Calc!$C$7-SUM(D138:R138))</f>
        <v>750</v>
      </c>
      <c r="D138">
        <f t="shared" si="97"/>
        <v>0</v>
      </c>
      <c r="E138">
        <f t="shared" si="98"/>
        <v>0</v>
      </c>
      <c r="F138">
        <f t="shared" si="99"/>
        <v>0</v>
      </c>
      <c r="G138">
        <f t="shared" si="100"/>
        <v>0</v>
      </c>
      <c r="H138">
        <f t="shared" si="101"/>
        <v>0</v>
      </c>
      <c r="I138">
        <f t="shared" si="102"/>
        <v>0</v>
      </c>
      <c r="J138">
        <f t="shared" si="103"/>
        <v>0</v>
      </c>
      <c r="K138">
        <f t="shared" si="104"/>
        <v>0</v>
      </c>
      <c r="L138">
        <f t="shared" si="105"/>
        <v>0</v>
      </c>
      <c r="M138">
        <f t="shared" si="106"/>
        <v>0</v>
      </c>
      <c r="N138">
        <f t="shared" si="107"/>
        <v>0</v>
      </c>
      <c r="O138">
        <f t="shared" si="108"/>
        <v>0</v>
      </c>
      <c r="P138">
        <f t="shared" si="109"/>
        <v>0</v>
      </c>
      <c r="Q138">
        <f t="shared" si="110"/>
        <v>0</v>
      </c>
      <c r="R138">
        <f t="shared" si="111"/>
        <v>0</v>
      </c>
      <c r="S138">
        <f t="shared" si="112"/>
        <v>0</v>
      </c>
      <c r="T138">
        <f t="shared" si="113"/>
        <v>0</v>
      </c>
      <c r="U138">
        <f t="shared" si="114"/>
        <v>0</v>
      </c>
      <c r="V138">
        <f t="shared" si="115"/>
        <v>0</v>
      </c>
      <c r="W138">
        <f t="shared" si="116"/>
        <v>0</v>
      </c>
      <c r="X138">
        <f t="shared" si="117"/>
        <v>0</v>
      </c>
      <c r="Y138">
        <f t="shared" si="118"/>
        <v>0</v>
      </c>
      <c r="Z138">
        <f t="shared" si="119"/>
        <v>0</v>
      </c>
      <c r="AA138">
        <f t="shared" si="120"/>
        <v>0</v>
      </c>
      <c r="AB138">
        <f t="shared" si="121"/>
        <v>0</v>
      </c>
      <c r="AC138">
        <f t="shared" si="122"/>
        <v>0</v>
      </c>
      <c r="AD138">
        <f t="shared" si="123"/>
        <v>0</v>
      </c>
      <c r="AE138">
        <f t="shared" si="124"/>
        <v>0</v>
      </c>
      <c r="AF138">
        <f t="shared" si="125"/>
        <v>0</v>
      </c>
      <c r="AG138">
        <f t="shared" si="126"/>
        <v>0</v>
      </c>
      <c r="AH138">
        <f t="shared" si="127"/>
        <v>0</v>
      </c>
      <c r="AI138">
        <f t="shared" si="128"/>
        <v>0</v>
      </c>
      <c r="AJ138">
        <f t="shared" si="129"/>
        <v>0</v>
      </c>
      <c r="AK138">
        <f t="shared" si="130"/>
        <v>0</v>
      </c>
      <c r="AL138">
        <f t="shared" si="131"/>
        <v>0</v>
      </c>
      <c r="AM138">
        <f t="shared" si="132"/>
        <v>0</v>
      </c>
      <c r="AN138">
        <f t="shared" si="133"/>
        <v>0</v>
      </c>
      <c r="AO138">
        <f t="shared" si="134"/>
        <v>0</v>
      </c>
      <c r="AP138">
        <f t="shared" si="135"/>
        <v>0</v>
      </c>
      <c r="AQ138">
        <f t="shared" si="136"/>
        <v>0</v>
      </c>
      <c r="AR138">
        <f t="shared" si="137"/>
        <v>0</v>
      </c>
      <c r="AS138">
        <f t="shared" si="138"/>
        <v>0</v>
      </c>
      <c r="AT138">
        <f t="shared" si="139"/>
        <v>0</v>
      </c>
      <c r="AU138">
        <f t="shared" si="140"/>
        <v>0</v>
      </c>
      <c r="AV138">
        <f t="shared" si="141"/>
        <v>0</v>
      </c>
      <c r="AW138">
        <f t="shared" si="96"/>
        <v>0</v>
      </c>
      <c r="AX138">
        <f t="shared" si="142"/>
        <v>0</v>
      </c>
      <c r="AY138">
        <f t="shared" si="143"/>
        <v>0</v>
      </c>
    </row>
    <row r="139" spans="1:51" x14ac:dyDescent="0.35">
      <c r="A139">
        <v>133</v>
      </c>
      <c r="C139">
        <f>MAX(0,Calc!$C$7-SUM(D139:R139))</f>
        <v>750</v>
      </c>
      <c r="D139">
        <f t="shared" si="97"/>
        <v>0</v>
      </c>
      <c r="E139">
        <f t="shared" si="98"/>
        <v>0</v>
      </c>
      <c r="F139">
        <f t="shared" si="99"/>
        <v>0</v>
      </c>
      <c r="G139">
        <f t="shared" si="100"/>
        <v>0</v>
      </c>
      <c r="H139">
        <f t="shared" si="101"/>
        <v>0</v>
      </c>
      <c r="I139">
        <f t="shared" si="102"/>
        <v>0</v>
      </c>
      <c r="J139">
        <f t="shared" si="103"/>
        <v>0</v>
      </c>
      <c r="K139">
        <f t="shared" si="104"/>
        <v>0</v>
      </c>
      <c r="L139">
        <f t="shared" si="105"/>
        <v>0</v>
      </c>
      <c r="M139">
        <f t="shared" si="106"/>
        <v>0</v>
      </c>
      <c r="N139">
        <f t="shared" si="107"/>
        <v>0</v>
      </c>
      <c r="O139">
        <f t="shared" si="108"/>
        <v>0</v>
      </c>
      <c r="P139">
        <f t="shared" si="109"/>
        <v>0</v>
      </c>
      <c r="Q139">
        <f t="shared" si="110"/>
        <v>0</v>
      </c>
      <c r="R139">
        <f t="shared" si="111"/>
        <v>0</v>
      </c>
      <c r="S139">
        <f t="shared" si="112"/>
        <v>0</v>
      </c>
      <c r="T139">
        <f t="shared" si="113"/>
        <v>0</v>
      </c>
      <c r="U139">
        <f t="shared" si="114"/>
        <v>0</v>
      </c>
      <c r="V139">
        <f t="shared" si="115"/>
        <v>0</v>
      </c>
      <c r="W139">
        <f t="shared" si="116"/>
        <v>0</v>
      </c>
      <c r="X139">
        <f t="shared" si="117"/>
        <v>0</v>
      </c>
      <c r="Y139">
        <f t="shared" si="118"/>
        <v>0</v>
      </c>
      <c r="Z139">
        <f t="shared" si="119"/>
        <v>0</v>
      </c>
      <c r="AA139">
        <f t="shared" si="120"/>
        <v>0</v>
      </c>
      <c r="AB139">
        <f t="shared" si="121"/>
        <v>0</v>
      </c>
      <c r="AC139">
        <f t="shared" si="122"/>
        <v>0</v>
      </c>
      <c r="AD139">
        <f t="shared" si="123"/>
        <v>0</v>
      </c>
      <c r="AE139">
        <f t="shared" si="124"/>
        <v>0</v>
      </c>
      <c r="AF139">
        <f t="shared" si="125"/>
        <v>0</v>
      </c>
      <c r="AG139">
        <f t="shared" si="126"/>
        <v>0</v>
      </c>
      <c r="AH139">
        <f t="shared" si="127"/>
        <v>0</v>
      </c>
      <c r="AI139">
        <f t="shared" si="128"/>
        <v>0</v>
      </c>
      <c r="AJ139">
        <f t="shared" si="129"/>
        <v>0</v>
      </c>
      <c r="AK139">
        <f t="shared" si="130"/>
        <v>0</v>
      </c>
      <c r="AL139">
        <f t="shared" si="131"/>
        <v>0</v>
      </c>
      <c r="AM139">
        <f t="shared" si="132"/>
        <v>0</v>
      </c>
      <c r="AN139">
        <f t="shared" si="133"/>
        <v>0</v>
      </c>
      <c r="AO139">
        <f t="shared" si="134"/>
        <v>0</v>
      </c>
      <c r="AP139">
        <f t="shared" si="135"/>
        <v>0</v>
      </c>
      <c r="AQ139">
        <f t="shared" si="136"/>
        <v>0</v>
      </c>
      <c r="AR139">
        <f t="shared" si="137"/>
        <v>0</v>
      </c>
      <c r="AS139">
        <f t="shared" si="138"/>
        <v>0</v>
      </c>
      <c r="AT139">
        <f t="shared" si="139"/>
        <v>0</v>
      </c>
      <c r="AU139">
        <f t="shared" si="140"/>
        <v>0</v>
      </c>
      <c r="AV139">
        <f t="shared" si="141"/>
        <v>0</v>
      </c>
      <c r="AW139">
        <f t="shared" si="96"/>
        <v>0</v>
      </c>
      <c r="AX139">
        <f t="shared" si="142"/>
        <v>0</v>
      </c>
      <c r="AY139">
        <f t="shared" si="143"/>
        <v>0</v>
      </c>
    </row>
    <row r="140" spans="1:51" x14ac:dyDescent="0.35">
      <c r="A140">
        <v>134</v>
      </c>
      <c r="C140">
        <f>MAX(0,Calc!$C$7-SUM(D140:R140))</f>
        <v>750</v>
      </c>
      <c r="D140">
        <f t="shared" si="97"/>
        <v>0</v>
      </c>
      <c r="E140">
        <f t="shared" si="98"/>
        <v>0</v>
      </c>
      <c r="F140">
        <f t="shared" si="99"/>
        <v>0</v>
      </c>
      <c r="G140">
        <f t="shared" si="100"/>
        <v>0</v>
      </c>
      <c r="H140">
        <f t="shared" si="101"/>
        <v>0</v>
      </c>
      <c r="I140">
        <f t="shared" si="102"/>
        <v>0</v>
      </c>
      <c r="J140">
        <f t="shared" si="103"/>
        <v>0</v>
      </c>
      <c r="K140">
        <f t="shared" si="104"/>
        <v>0</v>
      </c>
      <c r="L140">
        <f t="shared" si="105"/>
        <v>0</v>
      </c>
      <c r="M140">
        <f t="shared" si="106"/>
        <v>0</v>
      </c>
      <c r="N140">
        <f t="shared" si="107"/>
        <v>0</v>
      </c>
      <c r="O140">
        <f t="shared" si="108"/>
        <v>0</v>
      </c>
      <c r="P140">
        <f t="shared" si="109"/>
        <v>0</v>
      </c>
      <c r="Q140">
        <f t="shared" si="110"/>
        <v>0</v>
      </c>
      <c r="R140">
        <f t="shared" si="111"/>
        <v>0</v>
      </c>
      <c r="S140">
        <f t="shared" si="112"/>
        <v>0</v>
      </c>
      <c r="T140">
        <f t="shared" si="113"/>
        <v>0</v>
      </c>
      <c r="U140">
        <f t="shared" si="114"/>
        <v>0</v>
      </c>
      <c r="V140">
        <f t="shared" si="115"/>
        <v>0</v>
      </c>
      <c r="W140">
        <f t="shared" si="116"/>
        <v>0</v>
      </c>
      <c r="X140">
        <f t="shared" si="117"/>
        <v>0</v>
      </c>
      <c r="Y140">
        <f t="shared" si="118"/>
        <v>0</v>
      </c>
      <c r="Z140">
        <f t="shared" si="119"/>
        <v>0</v>
      </c>
      <c r="AA140">
        <f t="shared" si="120"/>
        <v>0</v>
      </c>
      <c r="AB140">
        <f t="shared" si="121"/>
        <v>0</v>
      </c>
      <c r="AC140">
        <f t="shared" si="122"/>
        <v>0</v>
      </c>
      <c r="AD140">
        <f t="shared" si="123"/>
        <v>0</v>
      </c>
      <c r="AE140">
        <f t="shared" si="124"/>
        <v>0</v>
      </c>
      <c r="AF140">
        <f t="shared" si="125"/>
        <v>0</v>
      </c>
      <c r="AG140">
        <f t="shared" si="126"/>
        <v>0</v>
      </c>
      <c r="AH140">
        <f t="shared" si="127"/>
        <v>0</v>
      </c>
      <c r="AI140">
        <f t="shared" si="128"/>
        <v>0</v>
      </c>
      <c r="AJ140">
        <f t="shared" si="129"/>
        <v>0</v>
      </c>
      <c r="AK140">
        <f t="shared" si="130"/>
        <v>0</v>
      </c>
      <c r="AL140">
        <f t="shared" si="131"/>
        <v>0</v>
      </c>
      <c r="AM140">
        <f t="shared" si="132"/>
        <v>0</v>
      </c>
      <c r="AN140">
        <f t="shared" si="133"/>
        <v>0</v>
      </c>
      <c r="AO140">
        <f t="shared" si="134"/>
        <v>0</v>
      </c>
      <c r="AP140">
        <f t="shared" si="135"/>
        <v>0</v>
      </c>
      <c r="AQ140">
        <f t="shared" si="136"/>
        <v>0</v>
      </c>
      <c r="AR140">
        <f t="shared" si="137"/>
        <v>0</v>
      </c>
      <c r="AS140">
        <f t="shared" si="138"/>
        <v>0</v>
      </c>
      <c r="AT140">
        <f t="shared" si="139"/>
        <v>0</v>
      </c>
      <c r="AU140">
        <f t="shared" si="140"/>
        <v>0</v>
      </c>
      <c r="AV140">
        <f t="shared" si="141"/>
        <v>0</v>
      </c>
      <c r="AW140">
        <f t="shared" si="96"/>
        <v>0</v>
      </c>
      <c r="AX140">
        <f t="shared" si="142"/>
        <v>0</v>
      </c>
      <c r="AY140">
        <f t="shared" si="143"/>
        <v>0</v>
      </c>
    </row>
    <row r="141" spans="1:51" x14ac:dyDescent="0.35">
      <c r="A141">
        <v>135</v>
      </c>
      <c r="C141">
        <f>MAX(0,Calc!$C$7-SUM(D141:R141))</f>
        <v>750</v>
      </c>
      <c r="D141">
        <f t="shared" si="97"/>
        <v>0</v>
      </c>
      <c r="E141">
        <f t="shared" si="98"/>
        <v>0</v>
      </c>
      <c r="F141">
        <f t="shared" si="99"/>
        <v>0</v>
      </c>
      <c r="G141">
        <f t="shared" si="100"/>
        <v>0</v>
      </c>
      <c r="H141">
        <f t="shared" si="101"/>
        <v>0</v>
      </c>
      <c r="I141">
        <f t="shared" si="102"/>
        <v>0</v>
      </c>
      <c r="J141">
        <f t="shared" si="103"/>
        <v>0</v>
      </c>
      <c r="K141">
        <f t="shared" si="104"/>
        <v>0</v>
      </c>
      <c r="L141">
        <f t="shared" si="105"/>
        <v>0</v>
      </c>
      <c r="M141">
        <f t="shared" si="106"/>
        <v>0</v>
      </c>
      <c r="N141">
        <f t="shared" si="107"/>
        <v>0</v>
      </c>
      <c r="O141">
        <f t="shared" si="108"/>
        <v>0</v>
      </c>
      <c r="P141">
        <f t="shared" si="109"/>
        <v>0</v>
      </c>
      <c r="Q141">
        <f t="shared" si="110"/>
        <v>0</v>
      </c>
      <c r="R141">
        <f t="shared" si="111"/>
        <v>0</v>
      </c>
      <c r="S141">
        <f t="shared" si="112"/>
        <v>0</v>
      </c>
      <c r="T141">
        <f t="shared" si="113"/>
        <v>0</v>
      </c>
      <c r="U141">
        <f t="shared" si="114"/>
        <v>0</v>
      </c>
      <c r="V141">
        <f t="shared" si="115"/>
        <v>0</v>
      </c>
      <c r="W141">
        <f t="shared" si="116"/>
        <v>0</v>
      </c>
      <c r="X141">
        <f t="shared" si="117"/>
        <v>0</v>
      </c>
      <c r="Y141">
        <f t="shared" si="118"/>
        <v>0</v>
      </c>
      <c r="Z141">
        <f t="shared" si="119"/>
        <v>0</v>
      </c>
      <c r="AA141">
        <f t="shared" si="120"/>
        <v>0</v>
      </c>
      <c r="AB141">
        <f t="shared" si="121"/>
        <v>0</v>
      </c>
      <c r="AC141">
        <f t="shared" si="122"/>
        <v>0</v>
      </c>
      <c r="AD141">
        <f t="shared" si="123"/>
        <v>0</v>
      </c>
      <c r="AE141">
        <f t="shared" si="124"/>
        <v>0</v>
      </c>
      <c r="AF141">
        <f t="shared" si="125"/>
        <v>0</v>
      </c>
      <c r="AG141">
        <f t="shared" si="126"/>
        <v>0</v>
      </c>
      <c r="AH141">
        <f t="shared" si="127"/>
        <v>0</v>
      </c>
      <c r="AI141">
        <f t="shared" si="128"/>
        <v>0</v>
      </c>
      <c r="AJ141">
        <f t="shared" si="129"/>
        <v>0</v>
      </c>
      <c r="AK141">
        <f t="shared" si="130"/>
        <v>0</v>
      </c>
      <c r="AL141">
        <f t="shared" si="131"/>
        <v>0</v>
      </c>
      <c r="AM141">
        <f t="shared" si="132"/>
        <v>0</v>
      </c>
      <c r="AN141">
        <f t="shared" si="133"/>
        <v>0</v>
      </c>
      <c r="AO141">
        <f t="shared" si="134"/>
        <v>0</v>
      </c>
      <c r="AP141">
        <f t="shared" si="135"/>
        <v>0</v>
      </c>
      <c r="AQ141">
        <f t="shared" si="136"/>
        <v>0</v>
      </c>
      <c r="AR141">
        <f t="shared" si="137"/>
        <v>0</v>
      </c>
      <c r="AS141">
        <f t="shared" si="138"/>
        <v>0</v>
      </c>
      <c r="AT141">
        <f t="shared" si="139"/>
        <v>0</v>
      </c>
      <c r="AU141">
        <f t="shared" si="140"/>
        <v>0</v>
      </c>
      <c r="AV141">
        <f t="shared" si="141"/>
        <v>0</v>
      </c>
      <c r="AW141">
        <f t="shared" si="96"/>
        <v>0</v>
      </c>
      <c r="AX141">
        <f t="shared" si="142"/>
        <v>0</v>
      </c>
      <c r="AY141">
        <f t="shared" si="143"/>
        <v>0</v>
      </c>
    </row>
    <row r="142" spans="1:51" x14ac:dyDescent="0.35">
      <c r="A142">
        <v>136</v>
      </c>
      <c r="C142">
        <f>MAX(0,Calc!$C$7-SUM(D142:R142))</f>
        <v>750</v>
      </c>
      <c r="D142">
        <f t="shared" si="97"/>
        <v>0</v>
      </c>
      <c r="E142">
        <f t="shared" si="98"/>
        <v>0</v>
      </c>
      <c r="F142">
        <f t="shared" si="99"/>
        <v>0</v>
      </c>
      <c r="G142">
        <f t="shared" si="100"/>
        <v>0</v>
      </c>
      <c r="H142">
        <f t="shared" si="101"/>
        <v>0</v>
      </c>
      <c r="I142">
        <f t="shared" si="102"/>
        <v>0</v>
      </c>
      <c r="J142">
        <f t="shared" si="103"/>
        <v>0</v>
      </c>
      <c r="K142">
        <f t="shared" si="104"/>
        <v>0</v>
      </c>
      <c r="L142">
        <f t="shared" si="105"/>
        <v>0</v>
      </c>
      <c r="M142">
        <f t="shared" si="106"/>
        <v>0</v>
      </c>
      <c r="N142">
        <f t="shared" si="107"/>
        <v>0</v>
      </c>
      <c r="O142">
        <f t="shared" si="108"/>
        <v>0</v>
      </c>
      <c r="P142">
        <f t="shared" si="109"/>
        <v>0</v>
      </c>
      <c r="Q142">
        <f t="shared" si="110"/>
        <v>0</v>
      </c>
      <c r="R142">
        <f t="shared" si="111"/>
        <v>0</v>
      </c>
      <c r="S142">
        <f t="shared" si="112"/>
        <v>0</v>
      </c>
      <c r="T142">
        <f t="shared" si="113"/>
        <v>0</v>
      </c>
      <c r="U142">
        <f t="shared" si="114"/>
        <v>0</v>
      </c>
      <c r="V142">
        <f t="shared" si="115"/>
        <v>0</v>
      </c>
      <c r="W142">
        <f t="shared" si="116"/>
        <v>0</v>
      </c>
      <c r="X142">
        <f t="shared" si="117"/>
        <v>0</v>
      </c>
      <c r="Y142">
        <f t="shared" si="118"/>
        <v>0</v>
      </c>
      <c r="Z142">
        <f t="shared" si="119"/>
        <v>0</v>
      </c>
      <c r="AA142">
        <f t="shared" si="120"/>
        <v>0</v>
      </c>
      <c r="AB142">
        <f t="shared" si="121"/>
        <v>0</v>
      </c>
      <c r="AC142">
        <f t="shared" si="122"/>
        <v>0</v>
      </c>
      <c r="AD142">
        <f t="shared" si="123"/>
        <v>0</v>
      </c>
      <c r="AE142">
        <f t="shared" si="124"/>
        <v>0</v>
      </c>
      <c r="AF142">
        <f t="shared" si="125"/>
        <v>0</v>
      </c>
      <c r="AG142">
        <f t="shared" si="126"/>
        <v>0</v>
      </c>
      <c r="AH142">
        <f t="shared" si="127"/>
        <v>0</v>
      </c>
      <c r="AI142">
        <f t="shared" si="128"/>
        <v>0</v>
      </c>
      <c r="AJ142">
        <f t="shared" si="129"/>
        <v>0</v>
      </c>
      <c r="AK142">
        <f t="shared" si="130"/>
        <v>0</v>
      </c>
      <c r="AL142">
        <f t="shared" si="131"/>
        <v>0</v>
      </c>
      <c r="AM142">
        <f t="shared" si="132"/>
        <v>0</v>
      </c>
      <c r="AN142">
        <f t="shared" si="133"/>
        <v>0</v>
      </c>
      <c r="AO142">
        <f t="shared" si="134"/>
        <v>0</v>
      </c>
      <c r="AP142">
        <f t="shared" si="135"/>
        <v>0</v>
      </c>
      <c r="AQ142">
        <f t="shared" si="136"/>
        <v>0</v>
      </c>
      <c r="AR142">
        <f t="shared" si="137"/>
        <v>0</v>
      </c>
      <c r="AS142">
        <f t="shared" si="138"/>
        <v>0</v>
      </c>
      <c r="AT142">
        <f t="shared" si="139"/>
        <v>0</v>
      </c>
      <c r="AU142">
        <f t="shared" si="140"/>
        <v>0</v>
      </c>
      <c r="AV142">
        <f t="shared" si="141"/>
        <v>0</v>
      </c>
      <c r="AW142">
        <f t="shared" si="96"/>
        <v>0</v>
      </c>
      <c r="AX142">
        <f t="shared" si="142"/>
        <v>0</v>
      </c>
      <c r="AY142">
        <f t="shared" si="143"/>
        <v>0</v>
      </c>
    </row>
    <row r="143" spans="1:51" x14ac:dyDescent="0.35">
      <c r="A143">
        <v>137</v>
      </c>
      <c r="C143">
        <f>MAX(0,Calc!$C$7-SUM(D143:R143))</f>
        <v>750</v>
      </c>
      <c r="D143">
        <f t="shared" si="97"/>
        <v>0</v>
      </c>
      <c r="E143">
        <f t="shared" si="98"/>
        <v>0</v>
      </c>
      <c r="F143">
        <f t="shared" si="99"/>
        <v>0</v>
      </c>
      <c r="G143">
        <f t="shared" si="100"/>
        <v>0</v>
      </c>
      <c r="H143">
        <f t="shared" si="101"/>
        <v>0</v>
      </c>
      <c r="I143">
        <f t="shared" si="102"/>
        <v>0</v>
      </c>
      <c r="J143">
        <f t="shared" si="103"/>
        <v>0</v>
      </c>
      <c r="K143">
        <f t="shared" si="104"/>
        <v>0</v>
      </c>
      <c r="L143">
        <f t="shared" si="105"/>
        <v>0</v>
      </c>
      <c r="M143">
        <f t="shared" si="106"/>
        <v>0</v>
      </c>
      <c r="N143">
        <f t="shared" si="107"/>
        <v>0</v>
      </c>
      <c r="O143">
        <f t="shared" si="108"/>
        <v>0</v>
      </c>
      <c r="P143">
        <f t="shared" si="109"/>
        <v>0</v>
      </c>
      <c r="Q143">
        <f t="shared" si="110"/>
        <v>0</v>
      </c>
      <c r="R143">
        <f t="shared" si="111"/>
        <v>0</v>
      </c>
      <c r="S143">
        <f t="shared" si="112"/>
        <v>0</v>
      </c>
      <c r="T143">
        <f t="shared" si="113"/>
        <v>0</v>
      </c>
      <c r="U143">
        <f t="shared" si="114"/>
        <v>0</v>
      </c>
      <c r="V143">
        <f t="shared" si="115"/>
        <v>0</v>
      </c>
      <c r="W143">
        <f t="shared" si="116"/>
        <v>0</v>
      </c>
      <c r="X143">
        <f t="shared" si="117"/>
        <v>0</v>
      </c>
      <c r="Y143">
        <f t="shared" si="118"/>
        <v>0</v>
      </c>
      <c r="Z143">
        <f t="shared" si="119"/>
        <v>0</v>
      </c>
      <c r="AA143">
        <f t="shared" si="120"/>
        <v>0</v>
      </c>
      <c r="AB143">
        <f t="shared" si="121"/>
        <v>0</v>
      </c>
      <c r="AC143">
        <f t="shared" si="122"/>
        <v>0</v>
      </c>
      <c r="AD143">
        <f t="shared" si="123"/>
        <v>0</v>
      </c>
      <c r="AE143">
        <f t="shared" si="124"/>
        <v>0</v>
      </c>
      <c r="AF143">
        <f t="shared" si="125"/>
        <v>0</v>
      </c>
      <c r="AG143">
        <f t="shared" si="126"/>
        <v>0</v>
      </c>
      <c r="AH143">
        <f t="shared" si="127"/>
        <v>0</v>
      </c>
      <c r="AI143">
        <f t="shared" si="128"/>
        <v>0</v>
      </c>
      <c r="AJ143">
        <f t="shared" si="129"/>
        <v>0</v>
      </c>
      <c r="AK143">
        <f t="shared" si="130"/>
        <v>0</v>
      </c>
      <c r="AL143">
        <f t="shared" si="131"/>
        <v>0</v>
      </c>
      <c r="AM143">
        <f t="shared" si="132"/>
        <v>0</v>
      </c>
      <c r="AN143">
        <f t="shared" si="133"/>
        <v>0</v>
      </c>
      <c r="AO143">
        <f t="shared" si="134"/>
        <v>0</v>
      </c>
      <c r="AP143">
        <f t="shared" si="135"/>
        <v>0</v>
      </c>
      <c r="AQ143">
        <f t="shared" si="136"/>
        <v>0</v>
      </c>
      <c r="AR143">
        <f t="shared" si="137"/>
        <v>0</v>
      </c>
      <c r="AS143">
        <f t="shared" si="138"/>
        <v>0</v>
      </c>
      <c r="AT143">
        <f t="shared" si="139"/>
        <v>0</v>
      </c>
      <c r="AU143">
        <f t="shared" si="140"/>
        <v>0</v>
      </c>
      <c r="AV143">
        <f t="shared" si="141"/>
        <v>0</v>
      </c>
      <c r="AW143">
        <f t="shared" si="96"/>
        <v>0</v>
      </c>
      <c r="AX143">
        <f t="shared" si="142"/>
        <v>0</v>
      </c>
      <c r="AY143">
        <f t="shared" si="143"/>
        <v>0</v>
      </c>
    </row>
    <row r="144" spans="1:51" x14ac:dyDescent="0.35">
      <c r="A144">
        <v>138</v>
      </c>
      <c r="C144">
        <f>MAX(0,Calc!$C$7-SUM(D144:R144))</f>
        <v>750</v>
      </c>
      <c r="D144">
        <f t="shared" si="97"/>
        <v>0</v>
      </c>
      <c r="E144">
        <f t="shared" si="98"/>
        <v>0</v>
      </c>
      <c r="F144">
        <f t="shared" si="99"/>
        <v>0</v>
      </c>
      <c r="G144">
        <f t="shared" si="100"/>
        <v>0</v>
      </c>
      <c r="H144">
        <f t="shared" si="101"/>
        <v>0</v>
      </c>
      <c r="I144">
        <f t="shared" si="102"/>
        <v>0</v>
      </c>
      <c r="J144">
        <f t="shared" si="103"/>
        <v>0</v>
      </c>
      <c r="K144">
        <f t="shared" si="104"/>
        <v>0</v>
      </c>
      <c r="L144">
        <f t="shared" si="105"/>
        <v>0</v>
      </c>
      <c r="M144">
        <f t="shared" si="106"/>
        <v>0</v>
      </c>
      <c r="N144">
        <f t="shared" si="107"/>
        <v>0</v>
      </c>
      <c r="O144">
        <f t="shared" si="108"/>
        <v>0</v>
      </c>
      <c r="P144">
        <f t="shared" si="109"/>
        <v>0</v>
      </c>
      <c r="Q144">
        <f t="shared" si="110"/>
        <v>0</v>
      </c>
      <c r="R144">
        <f t="shared" si="111"/>
        <v>0</v>
      </c>
      <c r="S144">
        <f t="shared" si="112"/>
        <v>0</v>
      </c>
      <c r="T144">
        <f t="shared" si="113"/>
        <v>0</v>
      </c>
      <c r="U144">
        <f t="shared" si="114"/>
        <v>0</v>
      </c>
      <c r="V144">
        <f t="shared" si="115"/>
        <v>0</v>
      </c>
      <c r="W144">
        <f t="shared" si="116"/>
        <v>0</v>
      </c>
      <c r="X144">
        <f t="shared" si="117"/>
        <v>0</v>
      </c>
      <c r="Y144">
        <f t="shared" si="118"/>
        <v>0</v>
      </c>
      <c r="Z144">
        <f t="shared" si="119"/>
        <v>0</v>
      </c>
      <c r="AA144">
        <f t="shared" si="120"/>
        <v>0</v>
      </c>
      <c r="AB144">
        <f t="shared" si="121"/>
        <v>0</v>
      </c>
      <c r="AC144">
        <f t="shared" si="122"/>
        <v>0</v>
      </c>
      <c r="AD144">
        <f t="shared" si="123"/>
        <v>0</v>
      </c>
      <c r="AE144">
        <f t="shared" si="124"/>
        <v>0</v>
      </c>
      <c r="AF144">
        <f t="shared" si="125"/>
        <v>0</v>
      </c>
      <c r="AG144">
        <f t="shared" si="126"/>
        <v>0</v>
      </c>
      <c r="AH144">
        <f t="shared" si="127"/>
        <v>0</v>
      </c>
      <c r="AI144">
        <f t="shared" si="128"/>
        <v>0</v>
      </c>
      <c r="AJ144">
        <f t="shared" si="129"/>
        <v>0</v>
      </c>
      <c r="AK144">
        <f t="shared" si="130"/>
        <v>0</v>
      </c>
      <c r="AL144">
        <f t="shared" si="131"/>
        <v>0</v>
      </c>
      <c r="AM144">
        <f t="shared" si="132"/>
        <v>0</v>
      </c>
      <c r="AN144">
        <f t="shared" si="133"/>
        <v>0</v>
      </c>
      <c r="AO144">
        <f t="shared" si="134"/>
        <v>0</v>
      </c>
      <c r="AP144">
        <f t="shared" si="135"/>
        <v>0</v>
      </c>
      <c r="AQ144">
        <f t="shared" si="136"/>
        <v>0</v>
      </c>
      <c r="AR144">
        <f t="shared" si="137"/>
        <v>0</v>
      </c>
      <c r="AS144">
        <f t="shared" si="138"/>
        <v>0</v>
      </c>
      <c r="AT144">
        <f t="shared" si="139"/>
        <v>0</v>
      </c>
      <c r="AU144">
        <f t="shared" si="140"/>
        <v>0</v>
      </c>
      <c r="AV144">
        <f t="shared" si="141"/>
        <v>0</v>
      </c>
      <c r="AW144">
        <f t="shared" si="96"/>
        <v>0</v>
      </c>
      <c r="AX144">
        <f t="shared" si="142"/>
        <v>0</v>
      </c>
      <c r="AY144">
        <f t="shared" si="143"/>
        <v>0</v>
      </c>
    </row>
    <row r="145" spans="1:51" x14ac:dyDescent="0.35">
      <c r="A145">
        <v>139</v>
      </c>
      <c r="C145">
        <f>MAX(0,Calc!$C$7-SUM(D145:R145))</f>
        <v>750</v>
      </c>
      <c r="D145">
        <f t="shared" si="97"/>
        <v>0</v>
      </c>
      <c r="E145">
        <f t="shared" si="98"/>
        <v>0</v>
      </c>
      <c r="F145">
        <f t="shared" si="99"/>
        <v>0</v>
      </c>
      <c r="G145">
        <f t="shared" si="100"/>
        <v>0</v>
      </c>
      <c r="H145">
        <f t="shared" si="101"/>
        <v>0</v>
      </c>
      <c r="I145">
        <f t="shared" si="102"/>
        <v>0</v>
      </c>
      <c r="J145">
        <f t="shared" si="103"/>
        <v>0</v>
      </c>
      <c r="K145">
        <f t="shared" si="104"/>
        <v>0</v>
      </c>
      <c r="L145">
        <f t="shared" si="105"/>
        <v>0</v>
      </c>
      <c r="M145">
        <f t="shared" si="106"/>
        <v>0</v>
      </c>
      <c r="N145">
        <f t="shared" si="107"/>
        <v>0</v>
      </c>
      <c r="O145">
        <f t="shared" si="108"/>
        <v>0</v>
      </c>
      <c r="P145">
        <f t="shared" si="109"/>
        <v>0</v>
      </c>
      <c r="Q145">
        <f t="shared" si="110"/>
        <v>0</v>
      </c>
      <c r="R145">
        <f t="shared" si="111"/>
        <v>0</v>
      </c>
      <c r="S145">
        <f t="shared" si="112"/>
        <v>0</v>
      </c>
      <c r="T145">
        <f t="shared" si="113"/>
        <v>0</v>
      </c>
      <c r="U145">
        <f t="shared" si="114"/>
        <v>0</v>
      </c>
      <c r="V145">
        <f t="shared" si="115"/>
        <v>0</v>
      </c>
      <c r="W145">
        <f t="shared" si="116"/>
        <v>0</v>
      </c>
      <c r="X145">
        <f t="shared" si="117"/>
        <v>0</v>
      </c>
      <c r="Y145">
        <f t="shared" si="118"/>
        <v>0</v>
      </c>
      <c r="Z145">
        <f t="shared" si="119"/>
        <v>0</v>
      </c>
      <c r="AA145">
        <f t="shared" si="120"/>
        <v>0</v>
      </c>
      <c r="AB145">
        <f t="shared" si="121"/>
        <v>0</v>
      </c>
      <c r="AC145">
        <f t="shared" si="122"/>
        <v>0</v>
      </c>
      <c r="AD145">
        <f t="shared" si="123"/>
        <v>0</v>
      </c>
      <c r="AE145">
        <f t="shared" si="124"/>
        <v>0</v>
      </c>
      <c r="AF145">
        <f t="shared" si="125"/>
        <v>0</v>
      </c>
      <c r="AG145">
        <f t="shared" si="126"/>
        <v>0</v>
      </c>
      <c r="AH145">
        <f t="shared" si="127"/>
        <v>0</v>
      </c>
      <c r="AI145">
        <f t="shared" si="128"/>
        <v>0</v>
      </c>
      <c r="AJ145">
        <f t="shared" si="129"/>
        <v>0</v>
      </c>
      <c r="AK145">
        <f t="shared" si="130"/>
        <v>0</v>
      </c>
      <c r="AL145">
        <f t="shared" si="131"/>
        <v>0</v>
      </c>
      <c r="AM145">
        <f t="shared" si="132"/>
        <v>0</v>
      </c>
      <c r="AN145">
        <f t="shared" si="133"/>
        <v>0</v>
      </c>
      <c r="AO145">
        <f t="shared" si="134"/>
        <v>0</v>
      </c>
      <c r="AP145">
        <f t="shared" si="135"/>
        <v>0</v>
      </c>
      <c r="AQ145">
        <f t="shared" si="136"/>
        <v>0</v>
      </c>
      <c r="AR145">
        <f t="shared" si="137"/>
        <v>0</v>
      </c>
      <c r="AS145">
        <f t="shared" si="138"/>
        <v>0</v>
      </c>
      <c r="AT145">
        <f t="shared" si="139"/>
        <v>0</v>
      </c>
      <c r="AU145">
        <f t="shared" si="140"/>
        <v>0</v>
      </c>
      <c r="AV145">
        <f t="shared" si="141"/>
        <v>0</v>
      </c>
      <c r="AW145">
        <f t="shared" si="96"/>
        <v>0</v>
      </c>
      <c r="AX145">
        <f t="shared" si="142"/>
        <v>0</v>
      </c>
      <c r="AY145">
        <f t="shared" si="143"/>
        <v>0</v>
      </c>
    </row>
    <row r="146" spans="1:51" x14ac:dyDescent="0.35">
      <c r="A146">
        <v>140</v>
      </c>
      <c r="C146">
        <f>MAX(0,Calc!$C$7-SUM(D146:R146))</f>
        <v>750</v>
      </c>
      <c r="D146">
        <f t="shared" si="97"/>
        <v>0</v>
      </c>
      <c r="E146">
        <f t="shared" si="98"/>
        <v>0</v>
      </c>
      <c r="F146">
        <f t="shared" si="99"/>
        <v>0</v>
      </c>
      <c r="G146">
        <f t="shared" si="100"/>
        <v>0</v>
      </c>
      <c r="H146">
        <f t="shared" si="101"/>
        <v>0</v>
      </c>
      <c r="I146">
        <f t="shared" si="102"/>
        <v>0</v>
      </c>
      <c r="J146">
        <f t="shared" si="103"/>
        <v>0</v>
      </c>
      <c r="K146">
        <f t="shared" si="104"/>
        <v>0</v>
      </c>
      <c r="L146">
        <f t="shared" si="105"/>
        <v>0</v>
      </c>
      <c r="M146">
        <f t="shared" si="106"/>
        <v>0</v>
      </c>
      <c r="N146">
        <f t="shared" si="107"/>
        <v>0</v>
      </c>
      <c r="O146">
        <f t="shared" si="108"/>
        <v>0</v>
      </c>
      <c r="P146">
        <f t="shared" si="109"/>
        <v>0</v>
      </c>
      <c r="Q146">
        <f t="shared" si="110"/>
        <v>0</v>
      </c>
      <c r="R146">
        <f t="shared" si="111"/>
        <v>0</v>
      </c>
      <c r="S146">
        <f t="shared" si="112"/>
        <v>0</v>
      </c>
      <c r="T146">
        <f t="shared" si="113"/>
        <v>0</v>
      </c>
      <c r="U146">
        <f t="shared" si="114"/>
        <v>0</v>
      </c>
      <c r="V146">
        <f t="shared" si="115"/>
        <v>0</v>
      </c>
      <c r="W146">
        <f t="shared" si="116"/>
        <v>0</v>
      </c>
      <c r="X146">
        <f t="shared" si="117"/>
        <v>0</v>
      </c>
      <c r="Y146">
        <f t="shared" si="118"/>
        <v>0</v>
      </c>
      <c r="Z146">
        <f t="shared" si="119"/>
        <v>0</v>
      </c>
      <c r="AA146">
        <f t="shared" si="120"/>
        <v>0</v>
      </c>
      <c r="AB146">
        <f t="shared" si="121"/>
        <v>0</v>
      </c>
      <c r="AC146">
        <f t="shared" si="122"/>
        <v>0</v>
      </c>
      <c r="AD146">
        <f t="shared" si="123"/>
        <v>0</v>
      </c>
      <c r="AE146">
        <f t="shared" si="124"/>
        <v>0</v>
      </c>
      <c r="AF146">
        <f t="shared" si="125"/>
        <v>0</v>
      </c>
      <c r="AG146">
        <f t="shared" si="126"/>
        <v>0</v>
      </c>
      <c r="AH146">
        <f t="shared" si="127"/>
        <v>0</v>
      </c>
      <c r="AI146">
        <f t="shared" si="128"/>
        <v>0</v>
      </c>
      <c r="AJ146">
        <f t="shared" si="129"/>
        <v>0</v>
      </c>
      <c r="AK146">
        <f t="shared" si="130"/>
        <v>0</v>
      </c>
      <c r="AL146">
        <f t="shared" si="131"/>
        <v>0</v>
      </c>
      <c r="AM146">
        <f t="shared" si="132"/>
        <v>0</v>
      </c>
      <c r="AN146">
        <f t="shared" si="133"/>
        <v>0</v>
      </c>
      <c r="AO146">
        <f t="shared" si="134"/>
        <v>0</v>
      </c>
      <c r="AP146">
        <f t="shared" si="135"/>
        <v>0</v>
      </c>
      <c r="AQ146">
        <f t="shared" si="136"/>
        <v>0</v>
      </c>
      <c r="AR146">
        <f t="shared" si="137"/>
        <v>0</v>
      </c>
      <c r="AS146">
        <f t="shared" si="138"/>
        <v>0</v>
      </c>
      <c r="AT146">
        <f t="shared" si="139"/>
        <v>0</v>
      </c>
      <c r="AU146">
        <f t="shared" si="140"/>
        <v>0</v>
      </c>
      <c r="AV146">
        <f t="shared" si="141"/>
        <v>0</v>
      </c>
      <c r="AW146">
        <f t="shared" si="96"/>
        <v>0</v>
      </c>
      <c r="AX146">
        <f t="shared" si="142"/>
        <v>0</v>
      </c>
      <c r="AY146">
        <f t="shared" si="143"/>
        <v>0</v>
      </c>
    </row>
    <row r="147" spans="1:51" x14ac:dyDescent="0.35">
      <c r="A147">
        <v>141</v>
      </c>
      <c r="C147">
        <f>MAX(0,Calc!$C$7-SUM(D147:R147))</f>
        <v>750</v>
      </c>
      <c r="D147">
        <f t="shared" si="97"/>
        <v>0</v>
      </c>
      <c r="E147">
        <f t="shared" si="98"/>
        <v>0</v>
      </c>
      <c r="F147">
        <f t="shared" si="99"/>
        <v>0</v>
      </c>
      <c r="G147">
        <f t="shared" si="100"/>
        <v>0</v>
      </c>
      <c r="H147">
        <f t="shared" si="101"/>
        <v>0</v>
      </c>
      <c r="I147">
        <f t="shared" si="102"/>
        <v>0</v>
      </c>
      <c r="J147">
        <f t="shared" si="103"/>
        <v>0</v>
      </c>
      <c r="K147">
        <f t="shared" si="104"/>
        <v>0</v>
      </c>
      <c r="L147">
        <f t="shared" si="105"/>
        <v>0</v>
      </c>
      <c r="M147">
        <f t="shared" si="106"/>
        <v>0</v>
      </c>
      <c r="N147">
        <f t="shared" si="107"/>
        <v>0</v>
      </c>
      <c r="O147">
        <f t="shared" si="108"/>
        <v>0</v>
      </c>
      <c r="P147">
        <f t="shared" si="109"/>
        <v>0</v>
      </c>
      <c r="Q147">
        <f t="shared" si="110"/>
        <v>0</v>
      </c>
      <c r="R147">
        <f t="shared" si="111"/>
        <v>0</v>
      </c>
      <c r="S147">
        <f t="shared" si="112"/>
        <v>0</v>
      </c>
      <c r="T147">
        <f t="shared" si="113"/>
        <v>0</v>
      </c>
      <c r="U147">
        <f t="shared" si="114"/>
        <v>0</v>
      </c>
      <c r="V147">
        <f t="shared" si="115"/>
        <v>0</v>
      </c>
      <c r="W147">
        <f t="shared" si="116"/>
        <v>0</v>
      </c>
      <c r="X147">
        <f t="shared" si="117"/>
        <v>0</v>
      </c>
      <c r="Y147">
        <f t="shared" si="118"/>
        <v>0</v>
      </c>
      <c r="Z147">
        <f t="shared" si="119"/>
        <v>0</v>
      </c>
      <c r="AA147">
        <f t="shared" si="120"/>
        <v>0</v>
      </c>
      <c r="AB147">
        <f t="shared" si="121"/>
        <v>0</v>
      </c>
      <c r="AC147">
        <f t="shared" si="122"/>
        <v>0</v>
      </c>
      <c r="AD147">
        <f t="shared" si="123"/>
        <v>0</v>
      </c>
      <c r="AE147">
        <f t="shared" si="124"/>
        <v>0</v>
      </c>
      <c r="AF147">
        <f t="shared" si="125"/>
        <v>0</v>
      </c>
      <c r="AG147">
        <f t="shared" si="126"/>
        <v>0</v>
      </c>
      <c r="AH147">
        <f t="shared" si="127"/>
        <v>0</v>
      </c>
      <c r="AI147">
        <f t="shared" si="128"/>
        <v>0</v>
      </c>
      <c r="AJ147">
        <f t="shared" si="129"/>
        <v>0</v>
      </c>
      <c r="AK147">
        <f t="shared" si="130"/>
        <v>0</v>
      </c>
      <c r="AL147">
        <f t="shared" si="131"/>
        <v>0</v>
      </c>
      <c r="AM147">
        <f t="shared" si="132"/>
        <v>0</v>
      </c>
      <c r="AN147">
        <f t="shared" si="133"/>
        <v>0</v>
      </c>
      <c r="AO147">
        <f t="shared" si="134"/>
        <v>0</v>
      </c>
      <c r="AP147">
        <f t="shared" si="135"/>
        <v>0</v>
      </c>
      <c r="AQ147">
        <f t="shared" si="136"/>
        <v>0</v>
      </c>
      <c r="AR147">
        <f t="shared" si="137"/>
        <v>0</v>
      </c>
      <c r="AS147">
        <f t="shared" si="138"/>
        <v>0</v>
      </c>
      <c r="AT147">
        <f t="shared" si="139"/>
        <v>0</v>
      </c>
      <c r="AU147">
        <f t="shared" si="140"/>
        <v>0</v>
      </c>
      <c r="AV147">
        <f t="shared" si="141"/>
        <v>0</v>
      </c>
      <c r="AW147">
        <f t="shared" si="96"/>
        <v>0</v>
      </c>
      <c r="AX147">
        <f t="shared" si="142"/>
        <v>0</v>
      </c>
      <c r="AY147">
        <f t="shared" si="143"/>
        <v>0</v>
      </c>
    </row>
    <row r="148" spans="1:51" x14ac:dyDescent="0.35">
      <c r="A148">
        <v>142</v>
      </c>
      <c r="C148">
        <f>MAX(0,Calc!$C$7-SUM(D148:R148))</f>
        <v>750</v>
      </c>
      <c r="D148">
        <f t="shared" si="97"/>
        <v>0</v>
      </c>
      <c r="E148">
        <f t="shared" si="98"/>
        <v>0</v>
      </c>
      <c r="F148">
        <f t="shared" si="99"/>
        <v>0</v>
      </c>
      <c r="G148">
        <f t="shared" si="100"/>
        <v>0</v>
      </c>
      <c r="H148">
        <f t="shared" si="101"/>
        <v>0</v>
      </c>
      <c r="I148">
        <f t="shared" si="102"/>
        <v>0</v>
      </c>
      <c r="J148">
        <f t="shared" si="103"/>
        <v>0</v>
      </c>
      <c r="K148">
        <f t="shared" si="104"/>
        <v>0</v>
      </c>
      <c r="L148">
        <f t="shared" si="105"/>
        <v>0</v>
      </c>
      <c r="M148">
        <f t="shared" si="106"/>
        <v>0</v>
      </c>
      <c r="N148">
        <f t="shared" si="107"/>
        <v>0</v>
      </c>
      <c r="O148">
        <f t="shared" si="108"/>
        <v>0</v>
      </c>
      <c r="P148">
        <f t="shared" si="109"/>
        <v>0</v>
      </c>
      <c r="Q148">
        <f t="shared" si="110"/>
        <v>0</v>
      </c>
      <c r="R148">
        <f t="shared" si="111"/>
        <v>0</v>
      </c>
      <c r="S148">
        <f t="shared" si="112"/>
        <v>0</v>
      </c>
      <c r="T148">
        <f t="shared" si="113"/>
        <v>0</v>
      </c>
      <c r="U148">
        <f t="shared" si="114"/>
        <v>0</v>
      </c>
      <c r="V148">
        <f t="shared" si="115"/>
        <v>0</v>
      </c>
      <c r="W148">
        <f t="shared" si="116"/>
        <v>0</v>
      </c>
      <c r="X148">
        <f t="shared" si="117"/>
        <v>0</v>
      </c>
      <c r="Y148">
        <f t="shared" si="118"/>
        <v>0</v>
      </c>
      <c r="Z148">
        <f t="shared" si="119"/>
        <v>0</v>
      </c>
      <c r="AA148">
        <f t="shared" si="120"/>
        <v>0</v>
      </c>
      <c r="AB148">
        <f t="shared" si="121"/>
        <v>0</v>
      </c>
      <c r="AC148">
        <f t="shared" si="122"/>
        <v>0</v>
      </c>
      <c r="AD148">
        <f t="shared" si="123"/>
        <v>0</v>
      </c>
      <c r="AE148">
        <f t="shared" si="124"/>
        <v>0</v>
      </c>
      <c r="AF148">
        <f t="shared" si="125"/>
        <v>0</v>
      </c>
      <c r="AG148">
        <f t="shared" si="126"/>
        <v>0</v>
      </c>
      <c r="AH148">
        <f t="shared" si="127"/>
        <v>0</v>
      </c>
      <c r="AI148">
        <f t="shared" si="128"/>
        <v>0</v>
      </c>
      <c r="AJ148">
        <f t="shared" si="129"/>
        <v>0</v>
      </c>
      <c r="AK148">
        <f t="shared" si="130"/>
        <v>0</v>
      </c>
      <c r="AL148">
        <f t="shared" si="131"/>
        <v>0</v>
      </c>
      <c r="AM148">
        <f t="shared" si="132"/>
        <v>0</v>
      </c>
      <c r="AN148">
        <f t="shared" si="133"/>
        <v>0</v>
      </c>
      <c r="AO148">
        <f t="shared" si="134"/>
        <v>0</v>
      </c>
      <c r="AP148">
        <f t="shared" si="135"/>
        <v>0</v>
      </c>
      <c r="AQ148">
        <f t="shared" si="136"/>
        <v>0</v>
      </c>
      <c r="AR148">
        <f t="shared" si="137"/>
        <v>0</v>
      </c>
      <c r="AS148">
        <f t="shared" si="138"/>
        <v>0</v>
      </c>
      <c r="AT148">
        <f t="shared" si="139"/>
        <v>0</v>
      </c>
      <c r="AU148">
        <f t="shared" si="140"/>
        <v>0</v>
      </c>
      <c r="AV148">
        <f t="shared" si="141"/>
        <v>0</v>
      </c>
      <c r="AW148">
        <f t="shared" si="96"/>
        <v>0</v>
      </c>
      <c r="AX148">
        <f t="shared" si="142"/>
        <v>0</v>
      </c>
      <c r="AY148">
        <f t="shared" si="143"/>
        <v>0</v>
      </c>
    </row>
    <row r="149" spans="1:51" x14ac:dyDescent="0.35">
      <c r="A149">
        <v>143</v>
      </c>
      <c r="C149">
        <f>MAX(0,Calc!$C$7-SUM(D149:R149))</f>
        <v>750</v>
      </c>
      <c r="D149">
        <f t="shared" si="97"/>
        <v>0</v>
      </c>
      <c r="E149">
        <f t="shared" si="98"/>
        <v>0</v>
      </c>
      <c r="F149">
        <f t="shared" si="99"/>
        <v>0</v>
      </c>
      <c r="G149">
        <f t="shared" si="100"/>
        <v>0</v>
      </c>
      <c r="H149">
        <f t="shared" si="101"/>
        <v>0</v>
      </c>
      <c r="I149">
        <f t="shared" si="102"/>
        <v>0</v>
      </c>
      <c r="J149">
        <f t="shared" si="103"/>
        <v>0</v>
      </c>
      <c r="K149">
        <f t="shared" si="104"/>
        <v>0</v>
      </c>
      <c r="L149">
        <f t="shared" si="105"/>
        <v>0</v>
      </c>
      <c r="M149">
        <f t="shared" si="106"/>
        <v>0</v>
      </c>
      <c r="N149">
        <f t="shared" si="107"/>
        <v>0</v>
      </c>
      <c r="O149">
        <f t="shared" si="108"/>
        <v>0</v>
      </c>
      <c r="P149">
        <f t="shared" si="109"/>
        <v>0</v>
      </c>
      <c r="Q149">
        <f t="shared" si="110"/>
        <v>0</v>
      </c>
      <c r="R149">
        <f t="shared" si="111"/>
        <v>0</v>
      </c>
      <c r="S149">
        <f t="shared" si="112"/>
        <v>0</v>
      </c>
      <c r="T149">
        <f t="shared" si="113"/>
        <v>0</v>
      </c>
      <c r="U149">
        <f t="shared" si="114"/>
        <v>0</v>
      </c>
      <c r="V149">
        <f t="shared" si="115"/>
        <v>0</v>
      </c>
      <c r="W149">
        <f t="shared" si="116"/>
        <v>0</v>
      </c>
      <c r="X149">
        <f t="shared" si="117"/>
        <v>0</v>
      </c>
      <c r="Y149">
        <f t="shared" si="118"/>
        <v>0</v>
      </c>
      <c r="Z149">
        <f t="shared" si="119"/>
        <v>0</v>
      </c>
      <c r="AA149">
        <f t="shared" si="120"/>
        <v>0</v>
      </c>
      <c r="AB149">
        <f t="shared" si="121"/>
        <v>0</v>
      </c>
      <c r="AC149">
        <f t="shared" si="122"/>
        <v>0</v>
      </c>
      <c r="AD149">
        <f t="shared" si="123"/>
        <v>0</v>
      </c>
      <c r="AE149">
        <f t="shared" si="124"/>
        <v>0</v>
      </c>
      <c r="AF149">
        <f t="shared" si="125"/>
        <v>0</v>
      </c>
      <c r="AG149">
        <f t="shared" si="126"/>
        <v>0</v>
      </c>
      <c r="AH149">
        <f t="shared" si="127"/>
        <v>0</v>
      </c>
      <c r="AI149">
        <f t="shared" si="128"/>
        <v>0</v>
      </c>
      <c r="AJ149">
        <f t="shared" si="129"/>
        <v>0</v>
      </c>
      <c r="AK149">
        <f t="shared" si="130"/>
        <v>0</v>
      </c>
      <c r="AL149">
        <f t="shared" si="131"/>
        <v>0</v>
      </c>
      <c r="AM149">
        <f t="shared" si="132"/>
        <v>0</v>
      </c>
      <c r="AN149">
        <f t="shared" si="133"/>
        <v>0</v>
      </c>
      <c r="AO149">
        <f t="shared" si="134"/>
        <v>0</v>
      </c>
      <c r="AP149">
        <f t="shared" si="135"/>
        <v>0</v>
      </c>
      <c r="AQ149">
        <f t="shared" si="136"/>
        <v>0</v>
      </c>
      <c r="AR149">
        <f t="shared" si="137"/>
        <v>0</v>
      </c>
      <c r="AS149">
        <f t="shared" si="138"/>
        <v>0</v>
      </c>
      <c r="AT149">
        <f t="shared" si="139"/>
        <v>0</v>
      </c>
      <c r="AU149">
        <f t="shared" si="140"/>
        <v>0</v>
      </c>
      <c r="AV149">
        <f t="shared" si="141"/>
        <v>0</v>
      </c>
      <c r="AW149">
        <f t="shared" si="96"/>
        <v>0</v>
      </c>
      <c r="AX149">
        <f t="shared" si="142"/>
        <v>0</v>
      </c>
      <c r="AY149">
        <f t="shared" si="143"/>
        <v>0</v>
      </c>
    </row>
    <row r="150" spans="1:51" x14ac:dyDescent="0.35">
      <c r="A150">
        <v>144</v>
      </c>
      <c r="C150">
        <f>MAX(0,Calc!$C$7-SUM(D150:R150))</f>
        <v>750</v>
      </c>
      <c r="D150">
        <f t="shared" si="97"/>
        <v>0</v>
      </c>
      <c r="E150">
        <f t="shared" si="98"/>
        <v>0</v>
      </c>
      <c r="F150">
        <f t="shared" si="99"/>
        <v>0</v>
      </c>
      <c r="G150">
        <f t="shared" si="100"/>
        <v>0</v>
      </c>
      <c r="H150">
        <f t="shared" si="101"/>
        <v>0</v>
      </c>
      <c r="I150">
        <f t="shared" si="102"/>
        <v>0</v>
      </c>
      <c r="J150">
        <f t="shared" si="103"/>
        <v>0</v>
      </c>
      <c r="K150">
        <f t="shared" si="104"/>
        <v>0</v>
      </c>
      <c r="L150">
        <f t="shared" si="105"/>
        <v>0</v>
      </c>
      <c r="M150">
        <f t="shared" si="106"/>
        <v>0</v>
      </c>
      <c r="N150">
        <f t="shared" si="107"/>
        <v>0</v>
      </c>
      <c r="O150">
        <f t="shared" si="108"/>
        <v>0</v>
      </c>
      <c r="P150">
        <f t="shared" si="109"/>
        <v>0</v>
      </c>
      <c r="Q150">
        <f t="shared" si="110"/>
        <v>0</v>
      </c>
      <c r="R150">
        <f t="shared" si="111"/>
        <v>0</v>
      </c>
      <c r="S150">
        <f t="shared" si="112"/>
        <v>0</v>
      </c>
      <c r="T150">
        <f t="shared" si="113"/>
        <v>0</v>
      </c>
      <c r="U150">
        <f t="shared" si="114"/>
        <v>0</v>
      </c>
      <c r="V150">
        <f t="shared" si="115"/>
        <v>0</v>
      </c>
      <c r="W150">
        <f t="shared" si="116"/>
        <v>0</v>
      </c>
      <c r="X150">
        <f t="shared" si="117"/>
        <v>0</v>
      </c>
      <c r="Y150">
        <f t="shared" si="118"/>
        <v>0</v>
      </c>
      <c r="Z150">
        <f t="shared" si="119"/>
        <v>0</v>
      </c>
      <c r="AA150">
        <f t="shared" si="120"/>
        <v>0</v>
      </c>
      <c r="AB150">
        <f t="shared" si="121"/>
        <v>0</v>
      </c>
      <c r="AC150">
        <f t="shared" si="122"/>
        <v>0</v>
      </c>
      <c r="AD150">
        <f t="shared" si="123"/>
        <v>0</v>
      </c>
      <c r="AE150">
        <f t="shared" si="124"/>
        <v>0</v>
      </c>
      <c r="AF150">
        <f t="shared" si="125"/>
        <v>0</v>
      </c>
      <c r="AG150">
        <f t="shared" si="126"/>
        <v>0</v>
      </c>
      <c r="AH150">
        <f t="shared" si="127"/>
        <v>0</v>
      </c>
      <c r="AI150">
        <f t="shared" si="128"/>
        <v>0</v>
      </c>
      <c r="AJ150">
        <f t="shared" si="129"/>
        <v>0</v>
      </c>
      <c r="AK150">
        <f t="shared" si="130"/>
        <v>0</v>
      </c>
      <c r="AL150">
        <f t="shared" si="131"/>
        <v>0</v>
      </c>
      <c r="AM150">
        <f t="shared" si="132"/>
        <v>0</v>
      </c>
      <c r="AN150">
        <f t="shared" si="133"/>
        <v>0</v>
      </c>
      <c r="AO150">
        <f t="shared" si="134"/>
        <v>0</v>
      </c>
      <c r="AP150">
        <f t="shared" si="135"/>
        <v>0</v>
      </c>
      <c r="AQ150">
        <f t="shared" si="136"/>
        <v>0</v>
      </c>
      <c r="AR150">
        <f t="shared" si="137"/>
        <v>0</v>
      </c>
      <c r="AS150">
        <f t="shared" si="138"/>
        <v>0</v>
      </c>
      <c r="AT150">
        <f t="shared" si="139"/>
        <v>0</v>
      </c>
      <c r="AU150">
        <f t="shared" si="140"/>
        <v>0</v>
      </c>
      <c r="AV150">
        <f t="shared" si="141"/>
        <v>0</v>
      </c>
      <c r="AW150">
        <f t="shared" si="96"/>
        <v>0</v>
      </c>
      <c r="AX150">
        <f t="shared" si="142"/>
        <v>0</v>
      </c>
      <c r="AY150">
        <f t="shared" si="143"/>
        <v>0</v>
      </c>
    </row>
    <row r="151" spans="1:51" x14ac:dyDescent="0.35">
      <c r="A151">
        <v>145</v>
      </c>
      <c r="C151">
        <f>MAX(0,Calc!$C$7-SUM(D151:R151))</f>
        <v>750</v>
      </c>
      <c r="D151">
        <f t="shared" si="97"/>
        <v>0</v>
      </c>
      <c r="E151">
        <f t="shared" si="98"/>
        <v>0</v>
      </c>
      <c r="F151">
        <f t="shared" si="99"/>
        <v>0</v>
      </c>
      <c r="G151">
        <f t="shared" si="100"/>
        <v>0</v>
      </c>
      <c r="H151">
        <f t="shared" si="101"/>
        <v>0</v>
      </c>
      <c r="I151">
        <f t="shared" si="102"/>
        <v>0</v>
      </c>
      <c r="J151">
        <f t="shared" si="103"/>
        <v>0</v>
      </c>
      <c r="K151">
        <f t="shared" si="104"/>
        <v>0</v>
      </c>
      <c r="L151">
        <f t="shared" si="105"/>
        <v>0</v>
      </c>
      <c r="M151">
        <f t="shared" si="106"/>
        <v>0</v>
      </c>
      <c r="N151">
        <f t="shared" si="107"/>
        <v>0</v>
      </c>
      <c r="O151">
        <f t="shared" si="108"/>
        <v>0</v>
      </c>
      <c r="P151">
        <f t="shared" si="109"/>
        <v>0</v>
      </c>
      <c r="Q151">
        <f t="shared" si="110"/>
        <v>0</v>
      </c>
      <c r="R151">
        <f t="shared" si="111"/>
        <v>0</v>
      </c>
      <c r="S151">
        <f t="shared" si="112"/>
        <v>0</v>
      </c>
      <c r="T151">
        <f t="shared" si="113"/>
        <v>0</v>
      </c>
      <c r="U151">
        <f t="shared" si="114"/>
        <v>0</v>
      </c>
      <c r="V151">
        <f t="shared" si="115"/>
        <v>0</v>
      </c>
      <c r="W151">
        <f t="shared" si="116"/>
        <v>0</v>
      </c>
      <c r="X151">
        <f t="shared" si="117"/>
        <v>0</v>
      </c>
      <c r="Y151">
        <f t="shared" si="118"/>
        <v>0</v>
      </c>
      <c r="Z151">
        <f t="shared" si="119"/>
        <v>0</v>
      </c>
      <c r="AA151">
        <f t="shared" si="120"/>
        <v>0</v>
      </c>
      <c r="AB151">
        <f t="shared" si="121"/>
        <v>0</v>
      </c>
      <c r="AC151">
        <f t="shared" si="122"/>
        <v>0</v>
      </c>
      <c r="AD151">
        <f t="shared" si="123"/>
        <v>0</v>
      </c>
      <c r="AE151">
        <f t="shared" si="124"/>
        <v>0</v>
      </c>
      <c r="AF151">
        <f t="shared" si="125"/>
        <v>0</v>
      </c>
      <c r="AG151">
        <f t="shared" si="126"/>
        <v>0</v>
      </c>
      <c r="AH151">
        <f t="shared" si="127"/>
        <v>0</v>
      </c>
      <c r="AI151">
        <f t="shared" si="128"/>
        <v>0</v>
      </c>
      <c r="AJ151">
        <f t="shared" si="129"/>
        <v>0</v>
      </c>
      <c r="AK151">
        <f t="shared" si="130"/>
        <v>0</v>
      </c>
      <c r="AL151">
        <f t="shared" si="131"/>
        <v>0</v>
      </c>
      <c r="AM151">
        <f t="shared" si="132"/>
        <v>0</v>
      </c>
      <c r="AN151">
        <f t="shared" si="133"/>
        <v>0</v>
      </c>
      <c r="AO151">
        <f t="shared" si="134"/>
        <v>0</v>
      </c>
      <c r="AP151">
        <f t="shared" si="135"/>
        <v>0</v>
      </c>
      <c r="AQ151">
        <f t="shared" si="136"/>
        <v>0</v>
      </c>
      <c r="AR151">
        <f t="shared" si="137"/>
        <v>0</v>
      </c>
      <c r="AS151">
        <f t="shared" si="138"/>
        <v>0</v>
      </c>
      <c r="AT151">
        <f t="shared" si="139"/>
        <v>0</v>
      </c>
      <c r="AU151">
        <f t="shared" si="140"/>
        <v>0</v>
      </c>
      <c r="AV151">
        <f t="shared" si="141"/>
        <v>0</v>
      </c>
      <c r="AW151">
        <f t="shared" si="96"/>
        <v>0</v>
      </c>
      <c r="AX151">
        <f t="shared" si="142"/>
        <v>0</v>
      </c>
      <c r="AY151">
        <f t="shared" si="143"/>
        <v>0</v>
      </c>
    </row>
    <row r="152" spans="1:51" x14ac:dyDescent="0.35">
      <c r="A152">
        <v>146</v>
      </c>
      <c r="C152">
        <f>MAX(0,Calc!$C$7-SUM(D152:R152))</f>
        <v>750</v>
      </c>
      <c r="D152">
        <f t="shared" si="97"/>
        <v>0</v>
      </c>
      <c r="E152">
        <f t="shared" si="98"/>
        <v>0</v>
      </c>
      <c r="F152">
        <f t="shared" si="99"/>
        <v>0</v>
      </c>
      <c r="G152">
        <f t="shared" si="100"/>
        <v>0</v>
      </c>
      <c r="H152">
        <f t="shared" si="101"/>
        <v>0</v>
      </c>
      <c r="I152">
        <f t="shared" si="102"/>
        <v>0</v>
      </c>
      <c r="J152">
        <f t="shared" si="103"/>
        <v>0</v>
      </c>
      <c r="K152">
        <f t="shared" si="104"/>
        <v>0</v>
      </c>
      <c r="L152">
        <f t="shared" si="105"/>
        <v>0</v>
      </c>
      <c r="M152">
        <f t="shared" si="106"/>
        <v>0</v>
      </c>
      <c r="N152">
        <f t="shared" si="107"/>
        <v>0</v>
      </c>
      <c r="O152">
        <f t="shared" si="108"/>
        <v>0</v>
      </c>
      <c r="P152">
        <f t="shared" si="109"/>
        <v>0</v>
      </c>
      <c r="Q152">
        <f t="shared" si="110"/>
        <v>0</v>
      </c>
      <c r="R152">
        <f t="shared" si="111"/>
        <v>0</v>
      </c>
      <c r="S152">
        <f t="shared" si="112"/>
        <v>0</v>
      </c>
      <c r="T152">
        <f t="shared" si="113"/>
        <v>0</v>
      </c>
      <c r="U152">
        <f t="shared" si="114"/>
        <v>0</v>
      </c>
      <c r="V152">
        <f t="shared" si="115"/>
        <v>0</v>
      </c>
      <c r="W152">
        <f t="shared" si="116"/>
        <v>0</v>
      </c>
      <c r="X152">
        <f t="shared" si="117"/>
        <v>0</v>
      </c>
      <c r="Y152">
        <f t="shared" si="118"/>
        <v>0</v>
      </c>
      <c r="Z152">
        <f t="shared" si="119"/>
        <v>0</v>
      </c>
      <c r="AA152">
        <f t="shared" si="120"/>
        <v>0</v>
      </c>
      <c r="AB152">
        <f t="shared" si="121"/>
        <v>0</v>
      </c>
      <c r="AC152">
        <f t="shared" si="122"/>
        <v>0</v>
      </c>
      <c r="AD152">
        <f t="shared" si="123"/>
        <v>0</v>
      </c>
      <c r="AE152">
        <f t="shared" si="124"/>
        <v>0</v>
      </c>
      <c r="AF152">
        <f t="shared" si="125"/>
        <v>0</v>
      </c>
      <c r="AG152">
        <f t="shared" si="126"/>
        <v>0</v>
      </c>
      <c r="AH152">
        <f t="shared" si="127"/>
        <v>0</v>
      </c>
      <c r="AI152">
        <f t="shared" si="128"/>
        <v>0</v>
      </c>
      <c r="AJ152">
        <f t="shared" si="129"/>
        <v>0</v>
      </c>
      <c r="AK152">
        <f t="shared" si="130"/>
        <v>0</v>
      </c>
      <c r="AL152">
        <f t="shared" si="131"/>
        <v>0</v>
      </c>
      <c r="AM152">
        <f t="shared" si="132"/>
        <v>0</v>
      </c>
      <c r="AN152">
        <f t="shared" si="133"/>
        <v>0</v>
      </c>
      <c r="AO152">
        <f t="shared" si="134"/>
        <v>0</v>
      </c>
      <c r="AP152">
        <f t="shared" si="135"/>
        <v>0</v>
      </c>
      <c r="AQ152">
        <f t="shared" si="136"/>
        <v>0</v>
      </c>
      <c r="AR152">
        <f t="shared" si="137"/>
        <v>0</v>
      </c>
      <c r="AS152">
        <f t="shared" si="138"/>
        <v>0</v>
      </c>
      <c r="AT152">
        <f t="shared" si="139"/>
        <v>0</v>
      </c>
      <c r="AU152">
        <f t="shared" si="140"/>
        <v>0</v>
      </c>
      <c r="AV152">
        <f t="shared" si="141"/>
        <v>0</v>
      </c>
      <c r="AW152">
        <f t="shared" si="96"/>
        <v>0</v>
      </c>
      <c r="AX152">
        <f t="shared" si="142"/>
        <v>0</v>
      </c>
      <c r="AY152">
        <f t="shared" si="143"/>
        <v>0</v>
      </c>
    </row>
    <row r="153" spans="1:51" x14ac:dyDescent="0.35">
      <c r="A153">
        <v>147</v>
      </c>
      <c r="C153">
        <f>MAX(0,Calc!$C$7-SUM(D153:R153))</f>
        <v>750</v>
      </c>
      <c r="D153">
        <f t="shared" si="97"/>
        <v>0</v>
      </c>
      <c r="E153">
        <f t="shared" si="98"/>
        <v>0</v>
      </c>
      <c r="F153">
        <f t="shared" si="99"/>
        <v>0</v>
      </c>
      <c r="G153">
        <f t="shared" si="100"/>
        <v>0</v>
      </c>
      <c r="H153">
        <f t="shared" si="101"/>
        <v>0</v>
      </c>
      <c r="I153">
        <f t="shared" si="102"/>
        <v>0</v>
      </c>
      <c r="J153">
        <f t="shared" si="103"/>
        <v>0</v>
      </c>
      <c r="K153">
        <f t="shared" si="104"/>
        <v>0</v>
      </c>
      <c r="L153">
        <f t="shared" si="105"/>
        <v>0</v>
      </c>
      <c r="M153">
        <f t="shared" si="106"/>
        <v>0</v>
      </c>
      <c r="N153">
        <f t="shared" si="107"/>
        <v>0</v>
      </c>
      <c r="O153">
        <f t="shared" si="108"/>
        <v>0</v>
      </c>
      <c r="P153">
        <f t="shared" si="109"/>
        <v>0</v>
      </c>
      <c r="Q153">
        <f t="shared" si="110"/>
        <v>0</v>
      </c>
      <c r="R153">
        <f t="shared" si="111"/>
        <v>0</v>
      </c>
      <c r="S153">
        <f t="shared" si="112"/>
        <v>0</v>
      </c>
      <c r="T153">
        <f t="shared" si="113"/>
        <v>0</v>
      </c>
      <c r="U153">
        <f t="shared" si="114"/>
        <v>0</v>
      </c>
      <c r="V153">
        <f t="shared" si="115"/>
        <v>0</v>
      </c>
      <c r="W153">
        <f t="shared" si="116"/>
        <v>0</v>
      </c>
      <c r="X153">
        <f t="shared" si="117"/>
        <v>0</v>
      </c>
      <c r="Y153">
        <f t="shared" si="118"/>
        <v>0</v>
      </c>
      <c r="Z153">
        <f t="shared" si="119"/>
        <v>0</v>
      </c>
      <c r="AA153">
        <f t="shared" si="120"/>
        <v>0</v>
      </c>
      <c r="AB153">
        <f t="shared" si="121"/>
        <v>0</v>
      </c>
      <c r="AC153">
        <f t="shared" si="122"/>
        <v>0</v>
      </c>
      <c r="AD153">
        <f t="shared" si="123"/>
        <v>0</v>
      </c>
      <c r="AE153">
        <f t="shared" si="124"/>
        <v>0</v>
      </c>
      <c r="AF153">
        <f t="shared" si="125"/>
        <v>0</v>
      </c>
      <c r="AG153">
        <f t="shared" si="126"/>
        <v>0</v>
      </c>
      <c r="AH153">
        <f t="shared" si="127"/>
        <v>0</v>
      </c>
      <c r="AI153">
        <f t="shared" si="128"/>
        <v>0</v>
      </c>
      <c r="AJ153">
        <f t="shared" si="129"/>
        <v>0</v>
      </c>
      <c r="AK153">
        <f t="shared" si="130"/>
        <v>0</v>
      </c>
      <c r="AL153">
        <f t="shared" si="131"/>
        <v>0</v>
      </c>
      <c r="AM153">
        <f t="shared" si="132"/>
        <v>0</v>
      </c>
      <c r="AN153">
        <f t="shared" si="133"/>
        <v>0</v>
      </c>
      <c r="AO153">
        <f t="shared" si="134"/>
        <v>0</v>
      </c>
      <c r="AP153">
        <f t="shared" si="135"/>
        <v>0</v>
      </c>
      <c r="AQ153">
        <f t="shared" si="136"/>
        <v>0</v>
      </c>
      <c r="AR153">
        <f t="shared" si="137"/>
        <v>0</v>
      </c>
      <c r="AS153">
        <f t="shared" si="138"/>
        <v>0</v>
      </c>
      <c r="AT153">
        <f t="shared" si="139"/>
        <v>0</v>
      </c>
      <c r="AU153">
        <f t="shared" si="140"/>
        <v>0</v>
      </c>
      <c r="AV153">
        <f t="shared" si="141"/>
        <v>0</v>
      </c>
      <c r="AW153">
        <f t="shared" si="96"/>
        <v>0</v>
      </c>
      <c r="AX153">
        <f t="shared" si="142"/>
        <v>0</v>
      </c>
      <c r="AY153">
        <f t="shared" si="143"/>
        <v>0</v>
      </c>
    </row>
    <row r="154" spans="1:51" x14ac:dyDescent="0.35">
      <c r="A154">
        <v>148</v>
      </c>
      <c r="C154">
        <f>MAX(0,Calc!$C$7-SUM(D154:R154))</f>
        <v>750</v>
      </c>
      <c r="D154">
        <f t="shared" si="97"/>
        <v>0</v>
      </c>
      <c r="E154">
        <f t="shared" si="98"/>
        <v>0</v>
      </c>
      <c r="F154">
        <f t="shared" si="99"/>
        <v>0</v>
      </c>
      <c r="G154">
        <f t="shared" si="100"/>
        <v>0</v>
      </c>
      <c r="H154">
        <f t="shared" si="101"/>
        <v>0</v>
      </c>
      <c r="I154">
        <f t="shared" si="102"/>
        <v>0</v>
      </c>
      <c r="J154">
        <f t="shared" si="103"/>
        <v>0</v>
      </c>
      <c r="K154">
        <f t="shared" si="104"/>
        <v>0</v>
      </c>
      <c r="L154">
        <f t="shared" si="105"/>
        <v>0</v>
      </c>
      <c r="M154">
        <f t="shared" si="106"/>
        <v>0</v>
      </c>
      <c r="N154">
        <f t="shared" si="107"/>
        <v>0</v>
      </c>
      <c r="O154">
        <f t="shared" si="108"/>
        <v>0</v>
      </c>
      <c r="P154">
        <f t="shared" si="109"/>
        <v>0</v>
      </c>
      <c r="Q154">
        <f t="shared" si="110"/>
        <v>0</v>
      </c>
      <c r="R154">
        <f t="shared" si="111"/>
        <v>0</v>
      </c>
      <c r="S154">
        <f t="shared" si="112"/>
        <v>0</v>
      </c>
      <c r="T154">
        <f t="shared" si="113"/>
        <v>0</v>
      </c>
      <c r="U154">
        <f t="shared" si="114"/>
        <v>0</v>
      </c>
      <c r="V154">
        <f t="shared" si="115"/>
        <v>0</v>
      </c>
      <c r="W154">
        <f t="shared" si="116"/>
        <v>0</v>
      </c>
      <c r="X154">
        <f t="shared" si="117"/>
        <v>0</v>
      </c>
      <c r="Y154">
        <f t="shared" si="118"/>
        <v>0</v>
      </c>
      <c r="Z154">
        <f t="shared" si="119"/>
        <v>0</v>
      </c>
      <c r="AA154">
        <f t="shared" si="120"/>
        <v>0</v>
      </c>
      <c r="AB154">
        <f t="shared" si="121"/>
        <v>0</v>
      </c>
      <c r="AC154">
        <f t="shared" si="122"/>
        <v>0</v>
      </c>
      <c r="AD154">
        <f t="shared" si="123"/>
        <v>0</v>
      </c>
      <c r="AE154">
        <f t="shared" si="124"/>
        <v>0</v>
      </c>
      <c r="AF154">
        <f t="shared" si="125"/>
        <v>0</v>
      </c>
      <c r="AG154">
        <f t="shared" si="126"/>
        <v>0</v>
      </c>
      <c r="AH154">
        <f t="shared" si="127"/>
        <v>0</v>
      </c>
      <c r="AI154">
        <f t="shared" si="128"/>
        <v>0</v>
      </c>
      <c r="AJ154">
        <f t="shared" si="129"/>
        <v>0</v>
      </c>
      <c r="AK154">
        <f t="shared" si="130"/>
        <v>0</v>
      </c>
      <c r="AL154">
        <f t="shared" si="131"/>
        <v>0</v>
      </c>
      <c r="AM154">
        <f t="shared" si="132"/>
        <v>0</v>
      </c>
      <c r="AN154">
        <f t="shared" si="133"/>
        <v>0</v>
      </c>
      <c r="AO154">
        <f t="shared" si="134"/>
        <v>0</v>
      </c>
      <c r="AP154">
        <f t="shared" si="135"/>
        <v>0</v>
      </c>
      <c r="AQ154">
        <f t="shared" si="136"/>
        <v>0</v>
      </c>
      <c r="AR154">
        <f t="shared" si="137"/>
        <v>0</v>
      </c>
      <c r="AS154">
        <f t="shared" si="138"/>
        <v>0</v>
      </c>
      <c r="AT154">
        <f t="shared" si="139"/>
        <v>0</v>
      </c>
      <c r="AU154">
        <f t="shared" si="140"/>
        <v>0</v>
      </c>
      <c r="AV154">
        <f t="shared" si="141"/>
        <v>0</v>
      </c>
      <c r="AW154">
        <f t="shared" si="96"/>
        <v>0</v>
      </c>
      <c r="AX154">
        <f t="shared" si="142"/>
        <v>0</v>
      </c>
      <c r="AY154">
        <f t="shared" si="143"/>
        <v>0</v>
      </c>
    </row>
    <row r="155" spans="1:51" x14ac:dyDescent="0.35">
      <c r="A155">
        <v>149</v>
      </c>
      <c r="C155">
        <f>MAX(0,Calc!$C$7-SUM(D155:R155))</f>
        <v>750</v>
      </c>
      <c r="D155">
        <f t="shared" si="97"/>
        <v>0</v>
      </c>
      <c r="E155">
        <f t="shared" si="98"/>
        <v>0</v>
      </c>
      <c r="F155">
        <f t="shared" si="99"/>
        <v>0</v>
      </c>
      <c r="G155">
        <f t="shared" si="100"/>
        <v>0</v>
      </c>
      <c r="H155">
        <f t="shared" si="101"/>
        <v>0</v>
      </c>
      <c r="I155">
        <f t="shared" si="102"/>
        <v>0</v>
      </c>
      <c r="J155">
        <f t="shared" si="103"/>
        <v>0</v>
      </c>
      <c r="K155">
        <f t="shared" si="104"/>
        <v>0</v>
      </c>
      <c r="L155">
        <f t="shared" si="105"/>
        <v>0</v>
      </c>
      <c r="M155">
        <f t="shared" si="106"/>
        <v>0</v>
      </c>
      <c r="N155">
        <f t="shared" si="107"/>
        <v>0</v>
      </c>
      <c r="O155">
        <f t="shared" si="108"/>
        <v>0</v>
      </c>
      <c r="P155">
        <f t="shared" si="109"/>
        <v>0</v>
      </c>
      <c r="Q155">
        <f t="shared" si="110"/>
        <v>0</v>
      </c>
      <c r="R155">
        <f t="shared" si="111"/>
        <v>0</v>
      </c>
      <c r="S155">
        <f t="shared" si="112"/>
        <v>0</v>
      </c>
      <c r="T155">
        <f t="shared" si="113"/>
        <v>0</v>
      </c>
      <c r="U155">
        <f t="shared" si="114"/>
        <v>0</v>
      </c>
      <c r="V155">
        <f t="shared" si="115"/>
        <v>0</v>
      </c>
      <c r="W155">
        <f t="shared" si="116"/>
        <v>0</v>
      </c>
      <c r="X155">
        <f t="shared" si="117"/>
        <v>0</v>
      </c>
      <c r="Y155">
        <f t="shared" si="118"/>
        <v>0</v>
      </c>
      <c r="Z155">
        <f t="shared" si="119"/>
        <v>0</v>
      </c>
      <c r="AA155">
        <f t="shared" si="120"/>
        <v>0</v>
      </c>
      <c r="AB155">
        <f t="shared" si="121"/>
        <v>0</v>
      </c>
      <c r="AC155">
        <f t="shared" si="122"/>
        <v>0</v>
      </c>
      <c r="AD155">
        <f t="shared" si="123"/>
        <v>0</v>
      </c>
      <c r="AE155">
        <f t="shared" si="124"/>
        <v>0</v>
      </c>
      <c r="AF155">
        <f t="shared" si="125"/>
        <v>0</v>
      </c>
      <c r="AG155">
        <f t="shared" si="126"/>
        <v>0</v>
      </c>
      <c r="AH155">
        <f t="shared" si="127"/>
        <v>0</v>
      </c>
      <c r="AI155">
        <f t="shared" si="128"/>
        <v>0</v>
      </c>
      <c r="AJ155">
        <f t="shared" si="129"/>
        <v>0</v>
      </c>
      <c r="AK155">
        <f t="shared" si="130"/>
        <v>0</v>
      </c>
      <c r="AL155">
        <f t="shared" si="131"/>
        <v>0</v>
      </c>
      <c r="AM155">
        <f t="shared" si="132"/>
        <v>0</v>
      </c>
      <c r="AN155">
        <f t="shared" si="133"/>
        <v>0</v>
      </c>
      <c r="AO155">
        <f t="shared" si="134"/>
        <v>0</v>
      </c>
      <c r="AP155">
        <f t="shared" si="135"/>
        <v>0</v>
      </c>
      <c r="AQ155">
        <f t="shared" si="136"/>
        <v>0</v>
      </c>
      <c r="AR155">
        <f t="shared" si="137"/>
        <v>0</v>
      </c>
      <c r="AS155">
        <f t="shared" si="138"/>
        <v>0</v>
      </c>
      <c r="AT155">
        <f t="shared" si="139"/>
        <v>0</v>
      </c>
      <c r="AU155">
        <f t="shared" si="140"/>
        <v>0</v>
      </c>
      <c r="AV155">
        <f t="shared" si="141"/>
        <v>0</v>
      </c>
      <c r="AW155">
        <f t="shared" si="96"/>
        <v>0</v>
      </c>
      <c r="AX155">
        <f t="shared" si="142"/>
        <v>0</v>
      </c>
      <c r="AY155">
        <f t="shared" si="143"/>
        <v>0</v>
      </c>
    </row>
    <row r="156" spans="1:51" x14ac:dyDescent="0.35">
      <c r="A156">
        <v>150</v>
      </c>
      <c r="C156">
        <f>MAX(0,Calc!$C$7-SUM(D156:R156))</f>
        <v>750</v>
      </c>
      <c r="D156">
        <f t="shared" si="97"/>
        <v>0</v>
      </c>
      <c r="E156">
        <f t="shared" si="98"/>
        <v>0</v>
      </c>
      <c r="F156">
        <f t="shared" si="99"/>
        <v>0</v>
      </c>
      <c r="G156">
        <f t="shared" si="100"/>
        <v>0</v>
      </c>
      <c r="H156">
        <f t="shared" si="101"/>
        <v>0</v>
      </c>
      <c r="I156">
        <f t="shared" si="102"/>
        <v>0</v>
      </c>
      <c r="J156">
        <f t="shared" si="103"/>
        <v>0</v>
      </c>
      <c r="K156">
        <f t="shared" si="104"/>
        <v>0</v>
      </c>
      <c r="L156">
        <f t="shared" si="105"/>
        <v>0</v>
      </c>
      <c r="M156">
        <f t="shared" si="106"/>
        <v>0</v>
      </c>
      <c r="N156">
        <f t="shared" si="107"/>
        <v>0</v>
      </c>
      <c r="O156">
        <f t="shared" si="108"/>
        <v>0</v>
      </c>
      <c r="P156">
        <f t="shared" si="109"/>
        <v>0</v>
      </c>
      <c r="Q156">
        <f t="shared" si="110"/>
        <v>0</v>
      </c>
      <c r="R156">
        <f t="shared" si="111"/>
        <v>0</v>
      </c>
      <c r="S156">
        <f t="shared" si="112"/>
        <v>0</v>
      </c>
      <c r="T156">
        <f t="shared" si="113"/>
        <v>0</v>
      </c>
      <c r="U156">
        <f t="shared" si="114"/>
        <v>0</v>
      </c>
      <c r="V156">
        <f t="shared" si="115"/>
        <v>0</v>
      </c>
      <c r="W156">
        <f t="shared" si="116"/>
        <v>0</v>
      </c>
      <c r="X156">
        <f t="shared" si="117"/>
        <v>0</v>
      </c>
      <c r="Y156">
        <f t="shared" si="118"/>
        <v>0</v>
      </c>
      <c r="Z156">
        <f t="shared" si="119"/>
        <v>0</v>
      </c>
      <c r="AA156">
        <f t="shared" si="120"/>
        <v>0</v>
      </c>
      <c r="AB156">
        <f t="shared" si="121"/>
        <v>0</v>
      </c>
      <c r="AC156">
        <f t="shared" si="122"/>
        <v>0</v>
      </c>
      <c r="AD156">
        <f t="shared" si="123"/>
        <v>0</v>
      </c>
      <c r="AE156">
        <f t="shared" si="124"/>
        <v>0</v>
      </c>
      <c r="AF156">
        <f t="shared" si="125"/>
        <v>0</v>
      </c>
      <c r="AG156">
        <f t="shared" si="126"/>
        <v>0</v>
      </c>
      <c r="AH156">
        <f t="shared" si="127"/>
        <v>0</v>
      </c>
      <c r="AI156">
        <f t="shared" si="128"/>
        <v>0</v>
      </c>
      <c r="AJ156">
        <f t="shared" si="129"/>
        <v>0</v>
      </c>
      <c r="AK156">
        <f t="shared" si="130"/>
        <v>0</v>
      </c>
      <c r="AL156">
        <f t="shared" si="131"/>
        <v>0</v>
      </c>
      <c r="AM156">
        <f t="shared" si="132"/>
        <v>0</v>
      </c>
      <c r="AN156">
        <f t="shared" si="133"/>
        <v>0</v>
      </c>
      <c r="AO156">
        <f t="shared" si="134"/>
        <v>0</v>
      </c>
      <c r="AP156">
        <f t="shared" si="135"/>
        <v>0</v>
      </c>
      <c r="AQ156">
        <f t="shared" si="136"/>
        <v>0</v>
      </c>
      <c r="AR156">
        <f t="shared" si="137"/>
        <v>0</v>
      </c>
      <c r="AS156">
        <f t="shared" si="138"/>
        <v>0</v>
      </c>
      <c r="AT156">
        <f t="shared" si="139"/>
        <v>0</v>
      </c>
      <c r="AU156">
        <f t="shared" si="140"/>
        <v>0</v>
      </c>
      <c r="AV156">
        <f t="shared" si="141"/>
        <v>0</v>
      </c>
      <c r="AW156">
        <f t="shared" si="96"/>
        <v>0</v>
      </c>
      <c r="AX156">
        <f t="shared" si="142"/>
        <v>0</v>
      </c>
      <c r="AY156">
        <f t="shared" si="143"/>
        <v>0</v>
      </c>
    </row>
    <row r="157" spans="1:51" x14ac:dyDescent="0.35">
      <c r="A157">
        <v>151</v>
      </c>
      <c r="C157">
        <f>MAX(0,Calc!$C$7-SUM(D157:R157))</f>
        <v>750</v>
      </c>
      <c r="D157">
        <f t="shared" si="97"/>
        <v>0</v>
      </c>
      <c r="E157">
        <f t="shared" si="98"/>
        <v>0</v>
      </c>
      <c r="F157">
        <f t="shared" si="99"/>
        <v>0</v>
      </c>
      <c r="G157">
        <f t="shared" si="100"/>
        <v>0</v>
      </c>
      <c r="H157">
        <f t="shared" si="101"/>
        <v>0</v>
      </c>
      <c r="I157">
        <f t="shared" si="102"/>
        <v>0</v>
      </c>
      <c r="J157">
        <f t="shared" si="103"/>
        <v>0</v>
      </c>
      <c r="K157">
        <f t="shared" si="104"/>
        <v>0</v>
      </c>
      <c r="L157">
        <f t="shared" si="105"/>
        <v>0</v>
      </c>
      <c r="M157">
        <f t="shared" si="106"/>
        <v>0</v>
      </c>
      <c r="N157">
        <f t="shared" si="107"/>
        <v>0</v>
      </c>
      <c r="O157">
        <f t="shared" si="108"/>
        <v>0</v>
      </c>
      <c r="P157">
        <f t="shared" si="109"/>
        <v>0</v>
      </c>
      <c r="Q157">
        <f t="shared" si="110"/>
        <v>0</v>
      </c>
      <c r="R157">
        <f t="shared" si="111"/>
        <v>0</v>
      </c>
      <c r="S157">
        <f t="shared" si="112"/>
        <v>0</v>
      </c>
      <c r="T157">
        <f t="shared" si="113"/>
        <v>0</v>
      </c>
      <c r="U157">
        <f t="shared" si="114"/>
        <v>0</v>
      </c>
      <c r="V157">
        <f t="shared" si="115"/>
        <v>0</v>
      </c>
      <c r="W157">
        <f t="shared" si="116"/>
        <v>0</v>
      </c>
      <c r="X157">
        <f t="shared" si="117"/>
        <v>0</v>
      </c>
      <c r="Y157">
        <f t="shared" si="118"/>
        <v>0</v>
      </c>
      <c r="Z157">
        <f t="shared" si="119"/>
        <v>0</v>
      </c>
      <c r="AA157">
        <f t="shared" si="120"/>
        <v>0</v>
      </c>
      <c r="AB157">
        <f t="shared" si="121"/>
        <v>0</v>
      </c>
      <c r="AC157">
        <f t="shared" si="122"/>
        <v>0</v>
      </c>
      <c r="AD157">
        <f t="shared" si="123"/>
        <v>0</v>
      </c>
      <c r="AE157">
        <f t="shared" si="124"/>
        <v>0</v>
      </c>
      <c r="AF157">
        <f t="shared" si="125"/>
        <v>0</v>
      </c>
      <c r="AG157">
        <f t="shared" si="126"/>
        <v>0</v>
      </c>
      <c r="AH157">
        <f t="shared" si="127"/>
        <v>0</v>
      </c>
      <c r="AI157">
        <f t="shared" si="128"/>
        <v>0</v>
      </c>
      <c r="AJ157">
        <f t="shared" si="129"/>
        <v>0</v>
      </c>
      <c r="AK157">
        <f t="shared" si="130"/>
        <v>0</v>
      </c>
      <c r="AL157">
        <f t="shared" si="131"/>
        <v>0</v>
      </c>
      <c r="AM157">
        <f t="shared" si="132"/>
        <v>0</v>
      </c>
      <c r="AN157">
        <f t="shared" si="133"/>
        <v>0</v>
      </c>
      <c r="AO157">
        <f t="shared" si="134"/>
        <v>0</v>
      </c>
      <c r="AP157">
        <f t="shared" si="135"/>
        <v>0</v>
      </c>
      <c r="AQ157">
        <f t="shared" si="136"/>
        <v>0</v>
      </c>
      <c r="AR157">
        <f t="shared" si="137"/>
        <v>0</v>
      </c>
      <c r="AS157">
        <f t="shared" si="138"/>
        <v>0</v>
      </c>
      <c r="AT157">
        <f t="shared" si="139"/>
        <v>0</v>
      </c>
      <c r="AU157">
        <f t="shared" si="140"/>
        <v>0</v>
      </c>
      <c r="AV157">
        <f t="shared" si="141"/>
        <v>0</v>
      </c>
      <c r="AW157">
        <f t="shared" si="96"/>
        <v>0</v>
      </c>
      <c r="AX157">
        <f t="shared" si="142"/>
        <v>0</v>
      </c>
      <c r="AY157">
        <f t="shared" si="143"/>
        <v>0</v>
      </c>
    </row>
    <row r="158" spans="1:51" x14ac:dyDescent="0.35">
      <c r="A158">
        <v>152</v>
      </c>
      <c r="C158">
        <f>MAX(0,Calc!$C$7-SUM(D158:R158))</f>
        <v>750</v>
      </c>
      <c r="D158">
        <f t="shared" si="97"/>
        <v>0</v>
      </c>
      <c r="E158">
        <f t="shared" si="98"/>
        <v>0</v>
      </c>
      <c r="F158">
        <f t="shared" si="99"/>
        <v>0</v>
      </c>
      <c r="G158">
        <f t="shared" si="100"/>
        <v>0</v>
      </c>
      <c r="H158">
        <f t="shared" si="101"/>
        <v>0</v>
      </c>
      <c r="I158">
        <f t="shared" si="102"/>
        <v>0</v>
      </c>
      <c r="J158">
        <f t="shared" si="103"/>
        <v>0</v>
      </c>
      <c r="K158">
        <f t="shared" si="104"/>
        <v>0</v>
      </c>
      <c r="L158">
        <f t="shared" si="105"/>
        <v>0</v>
      </c>
      <c r="M158">
        <f t="shared" si="106"/>
        <v>0</v>
      </c>
      <c r="N158">
        <f t="shared" si="107"/>
        <v>0</v>
      </c>
      <c r="O158">
        <f t="shared" si="108"/>
        <v>0</v>
      </c>
      <c r="P158">
        <f t="shared" si="109"/>
        <v>0</v>
      </c>
      <c r="Q158">
        <f t="shared" si="110"/>
        <v>0</v>
      </c>
      <c r="R158">
        <f t="shared" si="111"/>
        <v>0</v>
      </c>
      <c r="S158">
        <f t="shared" si="112"/>
        <v>0</v>
      </c>
      <c r="T158">
        <f t="shared" si="113"/>
        <v>0</v>
      </c>
      <c r="U158">
        <f t="shared" si="114"/>
        <v>0</v>
      </c>
      <c r="V158">
        <f t="shared" si="115"/>
        <v>0</v>
      </c>
      <c r="W158">
        <f t="shared" si="116"/>
        <v>0</v>
      </c>
      <c r="X158">
        <f t="shared" si="117"/>
        <v>0</v>
      </c>
      <c r="Y158">
        <f t="shared" si="118"/>
        <v>0</v>
      </c>
      <c r="Z158">
        <f t="shared" si="119"/>
        <v>0</v>
      </c>
      <c r="AA158">
        <f t="shared" si="120"/>
        <v>0</v>
      </c>
      <c r="AB158">
        <f t="shared" si="121"/>
        <v>0</v>
      </c>
      <c r="AC158">
        <f t="shared" si="122"/>
        <v>0</v>
      </c>
      <c r="AD158">
        <f t="shared" si="123"/>
        <v>0</v>
      </c>
      <c r="AE158">
        <f t="shared" si="124"/>
        <v>0</v>
      </c>
      <c r="AF158">
        <f t="shared" si="125"/>
        <v>0</v>
      </c>
      <c r="AG158">
        <f t="shared" si="126"/>
        <v>0</v>
      </c>
      <c r="AH158">
        <f t="shared" si="127"/>
        <v>0</v>
      </c>
      <c r="AI158">
        <f t="shared" si="128"/>
        <v>0</v>
      </c>
      <c r="AJ158">
        <f t="shared" si="129"/>
        <v>0</v>
      </c>
      <c r="AK158">
        <f t="shared" si="130"/>
        <v>0</v>
      </c>
      <c r="AL158">
        <f t="shared" si="131"/>
        <v>0</v>
      </c>
      <c r="AM158">
        <f t="shared" si="132"/>
        <v>0</v>
      </c>
      <c r="AN158">
        <f t="shared" si="133"/>
        <v>0</v>
      </c>
      <c r="AO158">
        <f t="shared" si="134"/>
        <v>0</v>
      </c>
      <c r="AP158">
        <f t="shared" si="135"/>
        <v>0</v>
      </c>
      <c r="AQ158">
        <f t="shared" si="136"/>
        <v>0</v>
      </c>
      <c r="AR158">
        <f t="shared" si="137"/>
        <v>0</v>
      </c>
      <c r="AS158">
        <f t="shared" si="138"/>
        <v>0</v>
      </c>
      <c r="AT158">
        <f t="shared" si="139"/>
        <v>0</v>
      </c>
      <c r="AU158">
        <f t="shared" si="140"/>
        <v>0</v>
      </c>
      <c r="AV158">
        <f t="shared" si="141"/>
        <v>0</v>
      </c>
      <c r="AW158">
        <f t="shared" si="96"/>
        <v>0</v>
      </c>
      <c r="AX158">
        <f t="shared" si="142"/>
        <v>0</v>
      </c>
      <c r="AY158">
        <f t="shared" si="143"/>
        <v>0</v>
      </c>
    </row>
    <row r="159" spans="1:51" x14ac:dyDescent="0.35">
      <c r="A159">
        <v>153</v>
      </c>
      <c r="C159">
        <f>MAX(0,Calc!$C$7-SUM(D159:R159))</f>
        <v>750</v>
      </c>
      <c r="D159">
        <f t="shared" si="97"/>
        <v>0</v>
      </c>
      <c r="E159">
        <f t="shared" si="98"/>
        <v>0</v>
      </c>
      <c r="F159">
        <f t="shared" si="99"/>
        <v>0</v>
      </c>
      <c r="G159">
        <f t="shared" si="100"/>
        <v>0</v>
      </c>
      <c r="H159">
        <f t="shared" si="101"/>
        <v>0</v>
      </c>
      <c r="I159">
        <f t="shared" si="102"/>
        <v>0</v>
      </c>
      <c r="J159">
        <f t="shared" si="103"/>
        <v>0</v>
      </c>
      <c r="K159">
        <f t="shared" si="104"/>
        <v>0</v>
      </c>
      <c r="L159">
        <f t="shared" si="105"/>
        <v>0</v>
      </c>
      <c r="M159">
        <f t="shared" si="106"/>
        <v>0</v>
      </c>
      <c r="N159">
        <f t="shared" si="107"/>
        <v>0</v>
      </c>
      <c r="O159">
        <f t="shared" si="108"/>
        <v>0</v>
      </c>
      <c r="P159">
        <f t="shared" si="109"/>
        <v>0</v>
      </c>
      <c r="Q159">
        <f t="shared" si="110"/>
        <v>0</v>
      </c>
      <c r="R159">
        <f t="shared" si="111"/>
        <v>0</v>
      </c>
      <c r="S159">
        <f t="shared" si="112"/>
        <v>0</v>
      </c>
      <c r="T159">
        <f t="shared" si="113"/>
        <v>0</v>
      </c>
      <c r="U159">
        <f t="shared" si="114"/>
        <v>0</v>
      </c>
      <c r="V159">
        <f t="shared" si="115"/>
        <v>0</v>
      </c>
      <c r="W159">
        <f t="shared" si="116"/>
        <v>0</v>
      </c>
      <c r="X159">
        <f t="shared" si="117"/>
        <v>0</v>
      </c>
      <c r="Y159">
        <f t="shared" si="118"/>
        <v>0</v>
      </c>
      <c r="Z159">
        <f t="shared" si="119"/>
        <v>0</v>
      </c>
      <c r="AA159">
        <f t="shared" si="120"/>
        <v>0</v>
      </c>
      <c r="AB159">
        <f t="shared" si="121"/>
        <v>0</v>
      </c>
      <c r="AC159">
        <f t="shared" si="122"/>
        <v>0</v>
      </c>
      <c r="AD159">
        <f t="shared" si="123"/>
        <v>0</v>
      </c>
      <c r="AE159">
        <f t="shared" si="124"/>
        <v>0</v>
      </c>
      <c r="AF159">
        <f t="shared" si="125"/>
        <v>0</v>
      </c>
      <c r="AG159">
        <f t="shared" si="126"/>
        <v>0</v>
      </c>
      <c r="AH159">
        <f t="shared" si="127"/>
        <v>0</v>
      </c>
      <c r="AI159">
        <f t="shared" si="128"/>
        <v>0</v>
      </c>
      <c r="AJ159">
        <f t="shared" si="129"/>
        <v>0</v>
      </c>
      <c r="AK159">
        <f t="shared" si="130"/>
        <v>0</v>
      </c>
      <c r="AL159">
        <f t="shared" si="131"/>
        <v>0</v>
      </c>
      <c r="AM159">
        <f t="shared" si="132"/>
        <v>0</v>
      </c>
      <c r="AN159">
        <f t="shared" si="133"/>
        <v>0</v>
      </c>
      <c r="AO159">
        <f t="shared" si="134"/>
        <v>0</v>
      </c>
      <c r="AP159">
        <f t="shared" si="135"/>
        <v>0</v>
      </c>
      <c r="AQ159">
        <f t="shared" si="136"/>
        <v>0</v>
      </c>
      <c r="AR159">
        <f t="shared" si="137"/>
        <v>0</v>
      </c>
      <c r="AS159">
        <f t="shared" si="138"/>
        <v>0</v>
      </c>
      <c r="AT159">
        <f t="shared" si="139"/>
        <v>0</v>
      </c>
      <c r="AU159">
        <f t="shared" si="140"/>
        <v>0</v>
      </c>
      <c r="AV159">
        <f t="shared" si="141"/>
        <v>0</v>
      </c>
      <c r="AW159">
        <f t="shared" si="96"/>
        <v>0</v>
      </c>
      <c r="AX159">
        <f t="shared" si="142"/>
        <v>0</v>
      </c>
      <c r="AY159">
        <f t="shared" si="143"/>
        <v>0</v>
      </c>
    </row>
    <row r="160" spans="1:51" x14ac:dyDescent="0.35">
      <c r="A160">
        <v>154</v>
      </c>
      <c r="C160">
        <f>MAX(0,Calc!$C$7-SUM(D160:R160))</f>
        <v>750</v>
      </c>
      <c r="D160">
        <f t="shared" si="97"/>
        <v>0</v>
      </c>
      <c r="E160">
        <f t="shared" si="98"/>
        <v>0</v>
      </c>
      <c r="F160">
        <f t="shared" si="99"/>
        <v>0</v>
      </c>
      <c r="G160">
        <f t="shared" si="100"/>
        <v>0</v>
      </c>
      <c r="H160">
        <f t="shared" si="101"/>
        <v>0</v>
      </c>
      <c r="I160">
        <f t="shared" si="102"/>
        <v>0</v>
      </c>
      <c r="J160">
        <f t="shared" si="103"/>
        <v>0</v>
      </c>
      <c r="K160">
        <f t="shared" si="104"/>
        <v>0</v>
      </c>
      <c r="L160">
        <f t="shared" si="105"/>
        <v>0</v>
      </c>
      <c r="M160">
        <f t="shared" si="106"/>
        <v>0</v>
      </c>
      <c r="N160">
        <f t="shared" si="107"/>
        <v>0</v>
      </c>
      <c r="O160">
        <f t="shared" si="108"/>
        <v>0</v>
      </c>
      <c r="P160">
        <f t="shared" si="109"/>
        <v>0</v>
      </c>
      <c r="Q160">
        <f t="shared" si="110"/>
        <v>0</v>
      </c>
      <c r="R160">
        <f t="shared" si="111"/>
        <v>0</v>
      </c>
      <c r="S160">
        <f t="shared" si="112"/>
        <v>0</v>
      </c>
      <c r="T160">
        <f t="shared" si="113"/>
        <v>0</v>
      </c>
      <c r="U160">
        <f t="shared" si="114"/>
        <v>0</v>
      </c>
      <c r="V160">
        <f t="shared" si="115"/>
        <v>0</v>
      </c>
      <c r="W160">
        <f t="shared" si="116"/>
        <v>0</v>
      </c>
      <c r="X160">
        <f t="shared" si="117"/>
        <v>0</v>
      </c>
      <c r="Y160">
        <f t="shared" si="118"/>
        <v>0</v>
      </c>
      <c r="Z160">
        <f t="shared" si="119"/>
        <v>0</v>
      </c>
      <c r="AA160">
        <f t="shared" si="120"/>
        <v>0</v>
      </c>
      <c r="AB160">
        <f t="shared" si="121"/>
        <v>0</v>
      </c>
      <c r="AC160">
        <f t="shared" si="122"/>
        <v>0</v>
      </c>
      <c r="AD160">
        <f t="shared" si="123"/>
        <v>0</v>
      </c>
      <c r="AE160">
        <f t="shared" si="124"/>
        <v>0</v>
      </c>
      <c r="AF160">
        <f t="shared" si="125"/>
        <v>0</v>
      </c>
      <c r="AG160">
        <f t="shared" si="126"/>
        <v>0</v>
      </c>
      <c r="AH160">
        <f t="shared" si="127"/>
        <v>0</v>
      </c>
      <c r="AI160">
        <f t="shared" si="128"/>
        <v>0</v>
      </c>
      <c r="AJ160">
        <f t="shared" si="129"/>
        <v>0</v>
      </c>
      <c r="AK160">
        <f t="shared" si="130"/>
        <v>0</v>
      </c>
      <c r="AL160">
        <f t="shared" si="131"/>
        <v>0</v>
      </c>
      <c r="AM160">
        <f t="shared" si="132"/>
        <v>0</v>
      </c>
      <c r="AN160">
        <f t="shared" si="133"/>
        <v>0</v>
      </c>
      <c r="AO160">
        <f t="shared" si="134"/>
        <v>0</v>
      </c>
      <c r="AP160">
        <f t="shared" si="135"/>
        <v>0</v>
      </c>
      <c r="AQ160">
        <f t="shared" si="136"/>
        <v>0</v>
      </c>
      <c r="AR160">
        <f t="shared" si="137"/>
        <v>0</v>
      </c>
      <c r="AS160">
        <f t="shared" si="138"/>
        <v>0</v>
      </c>
      <c r="AT160">
        <f t="shared" si="139"/>
        <v>0</v>
      </c>
      <c r="AU160">
        <f t="shared" si="140"/>
        <v>0</v>
      </c>
      <c r="AV160">
        <f t="shared" si="141"/>
        <v>0</v>
      </c>
      <c r="AW160">
        <f t="shared" si="96"/>
        <v>0</v>
      </c>
      <c r="AX160">
        <f t="shared" si="142"/>
        <v>0</v>
      </c>
      <c r="AY160">
        <f t="shared" si="143"/>
        <v>0</v>
      </c>
    </row>
    <row r="161" spans="1:51" x14ac:dyDescent="0.35">
      <c r="A161">
        <v>155</v>
      </c>
      <c r="C161">
        <f>MAX(0,Calc!$C$7-SUM(D161:R161))</f>
        <v>750</v>
      </c>
      <c r="D161">
        <f t="shared" si="97"/>
        <v>0</v>
      </c>
      <c r="E161">
        <f t="shared" si="98"/>
        <v>0</v>
      </c>
      <c r="F161">
        <f t="shared" si="99"/>
        <v>0</v>
      </c>
      <c r="G161">
        <f t="shared" si="100"/>
        <v>0</v>
      </c>
      <c r="H161">
        <f t="shared" si="101"/>
        <v>0</v>
      </c>
      <c r="I161">
        <f t="shared" si="102"/>
        <v>0</v>
      </c>
      <c r="J161">
        <f t="shared" si="103"/>
        <v>0</v>
      </c>
      <c r="K161">
        <f t="shared" si="104"/>
        <v>0</v>
      </c>
      <c r="L161">
        <f t="shared" si="105"/>
        <v>0</v>
      </c>
      <c r="M161">
        <f t="shared" si="106"/>
        <v>0</v>
      </c>
      <c r="N161">
        <f t="shared" si="107"/>
        <v>0</v>
      </c>
      <c r="O161">
        <f t="shared" si="108"/>
        <v>0</v>
      </c>
      <c r="P161">
        <f t="shared" si="109"/>
        <v>0</v>
      </c>
      <c r="Q161">
        <f t="shared" si="110"/>
        <v>0</v>
      </c>
      <c r="R161">
        <f t="shared" si="111"/>
        <v>0</v>
      </c>
      <c r="S161">
        <f t="shared" si="112"/>
        <v>0</v>
      </c>
      <c r="T161">
        <f t="shared" si="113"/>
        <v>0</v>
      </c>
      <c r="U161">
        <f t="shared" si="114"/>
        <v>0</v>
      </c>
      <c r="V161">
        <f t="shared" si="115"/>
        <v>0</v>
      </c>
      <c r="W161">
        <f t="shared" si="116"/>
        <v>0</v>
      </c>
      <c r="X161">
        <f t="shared" si="117"/>
        <v>0</v>
      </c>
      <c r="Y161">
        <f t="shared" si="118"/>
        <v>0</v>
      </c>
      <c r="Z161">
        <f t="shared" si="119"/>
        <v>0</v>
      </c>
      <c r="AA161">
        <f t="shared" si="120"/>
        <v>0</v>
      </c>
      <c r="AB161">
        <f t="shared" si="121"/>
        <v>0</v>
      </c>
      <c r="AC161">
        <f t="shared" si="122"/>
        <v>0</v>
      </c>
      <c r="AD161">
        <f t="shared" si="123"/>
        <v>0</v>
      </c>
      <c r="AE161">
        <f t="shared" si="124"/>
        <v>0</v>
      </c>
      <c r="AF161">
        <f t="shared" si="125"/>
        <v>0</v>
      </c>
      <c r="AG161">
        <f t="shared" si="126"/>
        <v>0</v>
      </c>
      <c r="AH161">
        <f t="shared" si="127"/>
        <v>0</v>
      </c>
      <c r="AI161">
        <f t="shared" si="128"/>
        <v>0</v>
      </c>
      <c r="AJ161">
        <f t="shared" si="129"/>
        <v>0</v>
      </c>
      <c r="AK161">
        <f t="shared" si="130"/>
        <v>0</v>
      </c>
      <c r="AL161">
        <f t="shared" si="131"/>
        <v>0</v>
      </c>
      <c r="AM161">
        <f t="shared" si="132"/>
        <v>0</v>
      </c>
      <c r="AN161">
        <f t="shared" si="133"/>
        <v>0</v>
      </c>
      <c r="AO161">
        <f t="shared" si="134"/>
        <v>0</v>
      </c>
      <c r="AP161">
        <f t="shared" si="135"/>
        <v>0</v>
      </c>
      <c r="AQ161">
        <f t="shared" si="136"/>
        <v>0</v>
      </c>
      <c r="AR161">
        <f t="shared" si="137"/>
        <v>0</v>
      </c>
      <c r="AS161">
        <f t="shared" si="138"/>
        <v>0</v>
      </c>
      <c r="AT161">
        <f t="shared" si="139"/>
        <v>0</v>
      </c>
      <c r="AU161">
        <f t="shared" si="140"/>
        <v>0</v>
      </c>
      <c r="AV161">
        <f t="shared" si="141"/>
        <v>0</v>
      </c>
      <c r="AW161">
        <f t="shared" si="96"/>
        <v>0</v>
      </c>
      <c r="AX161">
        <f t="shared" si="142"/>
        <v>0</v>
      </c>
      <c r="AY161">
        <f t="shared" si="143"/>
        <v>0</v>
      </c>
    </row>
    <row r="162" spans="1:51" x14ac:dyDescent="0.35">
      <c r="A162">
        <v>156</v>
      </c>
      <c r="C162">
        <f>MAX(0,Calc!$C$7-SUM(D162:R162))</f>
        <v>750</v>
      </c>
      <c r="D162">
        <f t="shared" si="97"/>
        <v>0</v>
      </c>
      <c r="E162">
        <f t="shared" si="98"/>
        <v>0</v>
      </c>
      <c r="F162">
        <f t="shared" si="99"/>
        <v>0</v>
      </c>
      <c r="G162">
        <f t="shared" si="100"/>
        <v>0</v>
      </c>
      <c r="H162">
        <f t="shared" si="101"/>
        <v>0</v>
      </c>
      <c r="I162">
        <f t="shared" si="102"/>
        <v>0</v>
      </c>
      <c r="J162">
        <f t="shared" si="103"/>
        <v>0</v>
      </c>
      <c r="K162">
        <f t="shared" si="104"/>
        <v>0</v>
      </c>
      <c r="L162">
        <f t="shared" si="105"/>
        <v>0</v>
      </c>
      <c r="M162">
        <f t="shared" si="106"/>
        <v>0</v>
      </c>
      <c r="N162">
        <f t="shared" si="107"/>
        <v>0</v>
      </c>
      <c r="O162">
        <f t="shared" si="108"/>
        <v>0</v>
      </c>
      <c r="P162">
        <f t="shared" si="109"/>
        <v>0</v>
      </c>
      <c r="Q162">
        <f t="shared" si="110"/>
        <v>0</v>
      </c>
      <c r="R162">
        <f t="shared" si="111"/>
        <v>0</v>
      </c>
      <c r="S162">
        <f t="shared" si="112"/>
        <v>0</v>
      </c>
      <c r="T162">
        <f t="shared" si="113"/>
        <v>0</v>
      </c>
      <c r="U162">
        <f t="shared" si="114"/>
        <v>0</v>
      </c>
      <c r="V162">
        <f t="shared" si="115"/>
        <v>0</v>
      </c>
      <c r="W162">
        <f t="shared" si="116"/>
        <v>0</v>
      </c>
      <c r="X162">
        <f t="shared" si="117"/>
        <v>0</v>
      </c>
      <c r="Y162">
        <f t="shared" si="118"/>
        <v>0</v>
      </c>
      <c r="Z162">
        <f t="shared" si="119"/>
        <v>0</v>
      </c>
      <c r="AA162">
        <f t="shared" si="120"/>
        <v>0</v>
      </c>
      <c r="AB162">
        <f t="shared" si="121"/>
        <v>0</v>
      </c>
      <c r="AC162">
        <f t="shared" si="122"/>
        <v>0</v>
      </c>
      <c r="AD162">
        <f t="shared" si="123"/>
        <v>0</v>
      </c>
      <c r="AE162">
        <f t="shared" si="124"/>
        <v>0</v>
      </c>
      <c r="AF162">
        <f t="shared" si="125"/>
        <v>0</v>
      </c>
      <c r="AG162">
        <f t="shared" si="126"/>
        <v>0</v>
      </c>
      <c r="AH162">
        <f t="shared" si="127"/>
        <v>0</v>
      </c>
      <c r="AI162">
        <f t="shared" si="128"/>
        <v>0</v>
      </c>
      <c r="AJ162">
        <f t="shared" si="129"/>
        <v>0</v>
      </c>
      <c r="AK162">
        <f t="shared" si="130"/>
        <v>0</v>
      </c>
      <c r="AL162">
        <f t="shared" si="131"/>
        <v>0</v>
      </c>
      <c r="AM162">
        <f t="shared" si="132"/>
        <v>0</v>
      </c>
      <c r="AN162">
        <f t="shared" si="133"/>
        <v>0</v>
      </c>
      <c r="AO162">
        <f t="shared" si="134"/>
        <v>0</v>
      </c>
      <c r="AP162">
        <f t="shared" si="135"/>
        <v>0</v>
      </c>
      <c r="AQ162">
        <f t="shared" si="136"/>
        <v>0</v>
      </c>
      <c r="AR162">
        <f t="shared" si="137"/>
        <v>0</v>
      </c>
      <c r="AS162">
        <f t="shared" si="138"/>
        <v>0</v>
      </c>
      <c r="AT162">
        <f t="shared" si="139"/>
        <v>0</v>
      </c>
      <c r="AU162">
        <f t="shared" si="140"/>
        <v>0</v>
      </c>
      <c r="AV162">
        <f t="shared" si="141"/>
        <v>0</v>
      </c>
      <c r="AW162">
        <f t="shared" si="96"/>
        <v>0</v>
      </c>
      <c r="AX162">
        <f t="shared" si="142"/>
        <v>0</v>
      </c>
      <c r="AY162">
        <f t="shared" si="143"/>
        <v>0</v>
      </c>
    </row>
    <row r="163" spans="1:51" x14ac:dyDescent="0.35">
      <c r="A163">
        <v>157</v>
      </c>
      <c r="C163">
        <f>MAX(0,Calc!$C$7-SUM(D163:R163))</f>
        <v>750</v>
      </c>
      <c r="D163">
        <f t="shared" si="97"/>
        <v>0</v>
      </c>
      <c r="E163">
        <f t="shared" si="98"/>
        <v>0</v>
      </c>
      <c r="F163">
        <f t="shared" si="99"/>
        <v>0</v>
      </c>
      <c r="G163">
        <f t="shared" si="100"/>
        <v>0</v>
      </c>
      <c r="H163">
        <f t="shared" si="101"/>
        <v>0</v>
      </c>
      <c r="I163">
        <f t="shared" si="102"/>
        <v>0</v>
      </c>
      <c r="J163">
        <f t="shared" si="103"/>
        <v>0</v>
      </c>
      <c r="K163">
        <f t="shared" si="104"/>
        <v>0</v>
      </c>
      <c r="L163">
        <f t="shared" si="105"/>
        <v>0</v>
      </c>
      <c r="M163">
        <f t="shared" si="106"/>
        <v>0</v>
      </c>
      <c r="N163">
        <f t="shared" si="107"/>
        <v>0</v>
      </c>
      <c r="O163">
        <f t="shared" si="108"/>
        <v>0</v>
      </c>
      <c r="P163">
        <f t="shared" si="109"/>
        <v>0</v>
      </c>
      <c r="Q163">
        <f t="shared" si="110"/>
        <v>0</v>
      </c>
      <c r="R163">
        <f t="shared" si="111"/>
        <v>0</v>
      </c>
      <c r="S163">
        <f t="shared" si="112"/>
        <v>0</v>
      </c>
      <c r="T163">
        <f t="shared" si="113"/>
        <v>0</v>
      </c>
      <c r="U163">
        <f t="shared" si="114"/>
        <v>0</v>
      </c>
      <c r="V163">
        <f t="shared" si="115"/>
        <v>0</v>
      </c>
      <c r="W163">
        <f t="shared" si="116"/>
        <v>0</v>
      </c>
      <c r="X163">
        <f t="shared" si="117"/>
        <v>0</v>
      </c>
      <c r="Y163">
        <f t="shared" si="118"/>
        <v>0</v>
      </c>
      <c r="Z163">
        <f t="shared" si="119"/>
        <v>0</v>
      </c>
      <c r="AA163">
        <f t="shared" si="120"/>
        <v>0</v>
      </c>
      <c r="AB163">
        <f t="shared" si="121"/>
        <v>0</v>
      </c>
      <c r="AC163">
        <f t="shared" si="122"/>
        <v>0</v>
      </c>
      <c r="AD163">
        <f t="shared" si="123"/>
        <v>0</v>
      </c>
      <c r="AE163">
        <f t="shared" si="124"/>
        <v>0</v>
      </c>
      <c r="AF163">
        <f t="shared" si="125"/>
        <v>0</v>
      </c>
      <c r="AG163">
        <f t="shared" si="126"/>
        <v>0</v>
      </c>
      <c r="AH163">
        <f t="shared" si="127"/>
        <v>0</v>
      </c>
      <c r="AI163">
        <f t="shared" si="128"/>
        <v>0</v>
      </c>
      <c r="AJ163">
        <f t="shared" si="129"/>
        <v>0</v>
      </c>
      <c r="AK163">
        <f t="shared" si="130"/>
        <v>0</v>
      </c>
      <c r="AL163">
        <f t="shared" si="131"/>
        <v>0</v>
      </c>
      <c r="AM163">
        <f t="shared" si="132"/>
        <v>0</v>
      </c>
      <c r="AN163">
        <f t="shared" si="133"/>
        <v>0</v>
      </c>
      <c r="AO163">
        <f t="shared" si="134"/>
        <v>0</v>
      </c>
      <c r="AP163">
        <f t="shared" si="135"/>
        <v>0</v>
      </c>
      <c r="AQ163">
        <f t="shared" si="136"/>
        <v>0</v>
      </c>
      <c r="AR163">
        <f t="shared" si="137"/>
        <v>0</v>
      </c>
      <c r="AS163">
        <f t="shared" si="138"/>
        <v>0</v>
      </c>
      <c r="AT163">
        <f t="shared" si="139"/>
        <v>0</v>
      </c>
      <c r="AU163">
        <f t="shared" si="140"/>
        <v>0</v>
      </c>
      <c r="AV163">
        <f t="shared" si="141"/>
        <v>0</v>
      </c>
      <c r="AW163">
        <f t="shared" si="96"/>
        <v>0</v>
      </c>
      <c r="AX163">
        <f t="shared" si="142"/>
        <v>0</v>
      </c>
      <c r="AY163">
        <f t="shared" si="143"/>
        <v>0</v>
      </c>
    </row>
    <row r="164" spans="1:51" x14ac:dyDescent="0.35">
      <c r="A164">
        <v>158</v>
      </c>
      <c r="C164">
        <f>MAX(0,Calc!$C$7-SUM(D164:R164))</f>
        <v>750</v>
      </c>
      <c r="D164">
        <f t="shared" si="97"/>
        <v>0</v>
      </c>
      <c r="E164">
        <f t="shared" si="98"/>
        <v>0</v>
      </c>
      <c r="F164">
        <f t="shared" si="99"/>
        <v>0</v>
      </c>
      <c r="G164">
        <f t="shared" si="100"/>
        <v>0</v>
      </c>
      <c r="H164">
        <f t="shared" si="101"/>
        <v>0</v>
      </c>
      <c r="I164">
        <f t="shared" si="102"/>
        <v>0</v>
      </c>
      <c r="J164">
        <f t="shared" si="103"/>
        <v>0</v>
      </c>
      <c r="K164">
        <f t="shared" si="104"/>
        <v>0</v>
      </c>
      <c r="L164">
        <f t="shared" si="105"/>
        <v>0</v>
      </c>
      <c r="M164">
        <f t="shared" si="106"/>
        <v>0</v>
      </c>
      <c r="N164">
        <f t="shared" si="107"/>
        <v>0</v>
      </c>
      <c r="O164">
        <f t="shared" si="108"/>
        <v>0</v>
      </c>
      <c r="P164">
        <f t="shared" si="109"/>
        <v>0</v>
      </c>
      <c r="Q164">
        <f t="shared" si="110"/>
        <v>0</v>
      </c>
      <c r="R164">
        <f t="shared" si="111"/>
        <v>0</v>
      </c>
      <c r="S164">
        <f t="shared" si="112"/>
        <v>0</v>
      </c>
      <c r="T164">
        <f t="shared" si="113"/>
        <v>0</v>
      </c>
      <c r="U164">
        <f t="shared" si="114"/>
        <v>0</v>
      </c>
      <c r="V164">
        <f t="shared" si="115"/>
        <v>0</v>
      </c>
      <c r="W164">
        <f t="shared" si="116"/>
        <v>0</v>
      </c>
      <c r="X164">
        <f t="shared" si="117"/>
        <v>0</v>
      </c>
      <c r="Y164">
        <f t="shared" si="118"/>
        <v>0</v>
      </c>
      <c r="Z164">
        <f t="shared" si="119"/>
        <v>0</v>
      </c>
      <c r="AA164">
        <f t="shared" si="120"/>
        <v>0</v>
      </c>
      <c r="AB164">
        <f t="shared" si="121"/>
        <v>0</v>
      </c>
      <c r="AC164">
        <f t="shared" si="122"/>
        <v>0</v>
      </c>
      <c r="AD164">
        <f t="shared" si="123"/>
        <v>0</v>
      </c>
      <c r="AE164">
        <f t="shared" si="124"/>
        <v>0</v>
      </c>
      <c r="AF164">
        <f t="shared" si="125"/>
        <v>0</v>
      </c>
      <c r="AG164">
        <f t="shared" si="126"/>
        <v>0</v>
      </c>
      <c r="AH164">
        <f t="shared" si="127"/>
        <v>0</v>
      </c>
      <c r="AI164">
        <f t="shared" si="128"/>
        <v>0</v>
      </c>
      <c r="AJ164">
        <f t="shared" si="129"/>
        <v>0</v>
      </c>
      <c r="AK164">
        <f t="shared" si="130"/>
        <v>0</v>
      </c>
      <c r="AL164">
        <f t="shared" si="131"/>
        <v>0</v>
      </c>
      <c r="AM164">
        <f t="shared" si="132"/>
        <v>0</v>
      </c>
      <c r="AN164">
        <f t="shared" si="133"/>
        <v>0</v>
      </c>
      <c r="AO164">
        <f t="shared" si="134"/>
        <v>0</v>
      </c>
      <c r="AP164">
        <f t="shared" si="135"/>
        <v>0</v>
      </c>
      <c r="AQ164">
        <f t="shared" si="136"/>
        <v>0</v>
      </c>
      <c r="AR164">
        <f t="shared" si="137"/>
        <v>0</v>
      </c>
      <c r="AS164">
        <f t="shared" si="138"/>
        <v>0</v>
      </c>
      <c r="AT164">
        <f t="shared" si="139"/>
        <v>0</v>
      </c>
      <c r="AU164">
        <f t="shared" si="140"/>
        <v>0</v>
      </c>
      <c r="AV164">
        <f t="shared" si="141"/>
        <v>0</v>
      </c>
      <c r="AW164">
        <f t="shared" si="96"/>
        <v>0</v>
      </c>
      <c r="AX164">
        <f t="shared" si="142"/>
        <v>0</v>
      </c>
      <c r="AY164">
        <f t="shared" si="143"/>
        <v>0</v>
      </c>
    </row>
    <row r="165" spans="1:51" x14ac:dyDescent="0.35">
      <c r="A165">
        <v>159</v>
      </c>
      <c r="C165">
        <f>MAX(0,Calc!$C$7-SUM(D165:R165))</f>
        <v>750</v>
      </c>
      <c r="D165">
        <f t="shared" si="97"/>
        <v>0</v>
      </c>
      <c r="E165">
        <f t="shared" si="98"/>
        <v>0</v>
      </c>
      <c r="F165">
        <f t="shared" si="99"/>
        <v>0</v>
      </c>
      <c r="G165">
        <f t="shared" si="100"/>
        <v>0</v>
      </c>
      <c r="H165">
        <f t="shared" si="101"/>
        <v>0</v>
      </c>
      <c r="I165">
        <f t="shared" si="102"/>
        <v>0</v>
      </c>
      <c r="J165">
        <f t="shared" si="103"/>
        <v>0</v>
      </c>
      <c r="K165">
        <f t="shared" si="104"/>
        <v>0</v>
      </c>
      <c r="L165">
        <f t="shared" si="105"/>
        <v>0</v>
      </c>
      <c r="M165">
        <f t="shared" si="106"/>
        <v>0</v>
      </c>
      <c r="N165">
        <f t="shared" si="107"/>
        <v>0</v>
      </c>
      <c r="O165">
        <f t="shared" si="108"/>
        <v>0</v>
      </c>
      <c r="P165">
        <f t="shared" si="109"/>
        <v>0</v>
      </c>
      <c r="Q165">
        <f t="shared" si="110"/>
        <v>0</v>
      </c>
      <c r="R165">
        <f t="shared" si="111"/>
        <v>0</v>
      </c>
      <c r="S165">
        <f t="shared" si="112"/>
        <v>0</v>
      </c>
      <c r="T165">
        <f t="shared" si="113"/>
        <v>0</v>
      </c>
      <c r="U165">
        <f t="shared" si="114"/>
        <v>0</v>
      </c>
      <c r="V165">
        <f t="shared" si="115"/>
        <v>0</v>
      </c>
      <c r="W165">
        <f t="shared" si="116"/>
        <v>0</v>
      </c>
      <c r="X165">
        <f t="shared" si="117"/>
        <v>0</v>
      </c>
      <c r="Y165">
        <f t="shared" si="118"/>
        <v>0</v>
      </c>
      <c r="Z165">
        <f t="shared" si="119"/>
        <v>0</v>
      </c>
      <c r="AA165">
        <f t="shared" si="120"/>
        <v>0</v>
      </c>
      <c r="AB165">
        <f t="shared" si="121"/>
        <v>0</v>
      </c>
      <c r="AC165">
        <f t="shared" si="122"/>
        <v>0</v>
      </c>
      <c r="AD165">
        <f t="shared" si="123"/>
        <v>0</v>
      </c>
      <c r="AE165">
        <f t="shared" si="124"/>
        <v>0</v>
      </c>
      <c r="AF165">
        <f t="shared" si="125"/>
        <v>0</v>
      </c>
      <c r="AG165">
        <f t="shared" si="126"/>
        <v>0</v>
      </c>
      <c r="AH165">
        <f t="shared" si="127"/>
        <v>0</v>
      </c>
      <c r="AI165">
        <f t="shared" si="128"/>
        <v>0</v>
      </c>
      <c r="AJ165">
        <f t="shared" si="129"/>
        <v>0</v>
      </c>
      <c r="AK165">
        <f t="shared" si="130"/>
        <v>0</v>
      </c>
      <c r="AL165">
        <f t="shared" si="131"/>
        <v>0</v>
      </c>
      <c r="AM165">
        <f t="shared" si="132"/>
        <v>0</v>
      </c>
      <c r="AN165">
        <f t="shared" si="133"/>
        <v>0</v>
      </c>
      <c r="AO165">
        <f t="shared" si="134"/>
        <v>0</v>
      </c>
      <c r="AP165">
        <f t="shared" si="135"/>
        <v>0</v>
      </c>
      <c r="AQ165">
        <f t="shared" si="136"/>
        <v>0</v>
      </c>
      <c r="AR165">
        <f t="shared" si="137"/>
        <v>0</v>
      </c>
      <c r="AS165">
        <f t="shared" si="138"/>
        <v>0</v>
      </c>
      <c r="AT165">
        <f t="shared" si="139"/>
        <v>0</v>
      </c>
      <c r="AU165">
        <f t="shared" si="140"/>
        <v>0</v>
      </c>
      <c r="AV165">
        <f t="shared" si="141"/>
        <v>0</v>
      </c>
      <c r="AW165">
        <f t="shared" si="96"/>
        <v>0</v>
      </c>
      <c r="AX165">
        <f t="shared" si="142"/>
        <v>0</v>
      </c>
      <c r="AY165">
        <f t="shared" si="143"/>
        <v>0</v>
      </c>
    </row>
    <row r="166" spans="1:51" x14ac:dyDescent="0.35">
      <c r="A166">
        <v>160</v>
      </c>
      <c r="C166">
        <f>MAX(0,Calc!$C$7-SUM(D166:R166))</f>
        <v>750</v>
      </c>
      <c r="D166">
        <f t="shared" si="97"/>
        <v>0</v>
      </c>
      <c r="E166">
        <f t="shared" si="98"/>
        <v>0</v>
      </c>
      <c r="F166">
        <f t="shared" si="99"/>
        <v>0</v>
      </c>
      <c r="G166">
        <f t="shared" si="100"/>
        <v>0</v>
      </c>
      <c r="H166">
        <f t="shared" si="101"/>
        <v>0</v>
      </c>
      <c r="I166">
        <f t="shared" si="102"/>
        <v>0</v>
      </c>
      <c r="J166">
        <f t="shared" si="103"/>
        <v>0</v>
      </c>
      <c r="K166">
        <f t="shared" si="104"/>
        <v>0</v>
      </c>
      <c r="L166">
        <f t="shared" si="105"/>
        <v>0</v>
      </c>
      <c r="M166">
        <f t="shared" si="106"/>
        <v>0</v>
      </c>
      <c r="N166">
        <f t="shared" si="107"/>
        <v>0</v>
      </c>
      <c r="O166">
        <f t="shared" si="108"/>
        <v>0</v>
      </c>
      <c r="P166">
        <f t="shared" si="109"/>
        <v>0</v>
      </c>
      <c r="Q166">
        <f t="shared" si="110"/>
        <v>0</v>
      </c>
      <c r="R166">
        <f t="shared" si="111"/>
        <v>0</v>
      </c>
      <c r="S166">
        <f t="shared" si="112"/>
        <v>0</v>
      </c>
      <c r="T166">
        <f t="shared" si="113"/>
        <v>0</v>
      </c>
      <c r="U166">
        <f t="shared" si="114"/>
        <v>0</v>
      </c>
      <c r="V166">
        <f t="shared" si="115"/>
        <v>0</v>
      </c>
      <c r="W166">
        <f t="shared" si="116"/>
        <v>0</v>
      </c>
      <c r="X166">
        <f t="shared" si="117"/>
        <v>0</v>
      </c>
      <c r="Y166">
        <f t="shared" si="118"/>
        <v>0</v>
      </c>
      <c r="Z166">
        <f t="shared" si="119"/>
        <v>0</v>
      </c>
      <c r="AA166">
        <f t="shared" si="120"/>
        <v>0</v>
      </c>
      <c r="AB166">
        <f t="shared" si="121"/>
        <v>0</v>
      </c>
      <c r="AC166">
        <f t="shared" si="122"/>
        <v>0</v>
      </c>
      <c r="AD166">
        <f t="shared" si="123"/>
        <v>0</v>
      </c>
      <c r="AE166">
        <f t="shared" si="124"/>
        <v>0</v>
      </c>
      <c r="AF166">
        <f t="shared" si="125"/>
        <v>0</v>
      </c>
      <c r="AG166">
        <f t="shared" si="126"/>
        <v>0</v>
      </c>
      <c r="AH166">
        <f t="shared" si="127"/>
        <v>0</v>
      </c>
      <c r="AI166">
        <f t="shared" si="128"/>
        <v>0</v>
      </c>
      <c r="AJ166">
        <f t="shared" si="129"/>
        <v>0</v>
      </c>
      <c r="AK166">
        <f t="shared" si="130"/>
        <v>0</v>
      </c>
      <c r="AL166">
        <f t="shared" si="131"/>
        <v>0</v>
      </c>
      <c r="AM166">
        <f t="shared" si="132"/>
        <v>0</v>
      </c>
      <c r="AN166">
        <f t="shared" si="133"/>
        <v>0</v>
      </c>
      <c r="AO166">
        <f t="shared" si="134"/>
        <v>0</v>
      </c>
      <c r="AP166">
        <f t="shared" si="135"/>
        <v>0</v>
      </c>
      <c r="AQ166">
        <f t="shared" si="136"/>
        <v>0</v>
      </c>
      <c r="AR166">
        <f t="shared" si="137"/>
        <v>0</v>
      </c>
      <c r="AS166">
        <f t="shared" si="138"/>
        <v>0</v>
      </c>
      <c r="AT166">
        <f t="shared" si="139"/>
        <v>0</v>
      </c>
      <c r="AU166">
        <f t="shared" si="140"/>
        <v>0</v>
      </c>
      <c r="AV166">
        <f t="shared" si="141"/>
        <v>0</v>
      </c>
      <c r="AW166">
        <f t="shared" si="96"/>
        <v>0</v>
      </c>
      <c r="AX166">
        <f t="shared" si="142"/>
        <v>0</v>
      </c>
      <c r="AY166">
        <f t="shared" si="143"/>
        <v>0</v>
      </c>
    </row>
    <row r="167" spans="1:51" x14ac:dyDescent="0.35">
      <c r="A167">
        <v>161</v>
      </c>
      <c r="C167">
        <f>MAX(0,Calc!$C$7-SUM(D167:R167))</f>
        <v>750</v>
      </c>
      <c r="D167">
        <f t="shared" si="97"/>
        <v>0</v>
      </c>
      <c r="E167">
        <f t="shared" si="98"/>
        <v>0</v>
      </c>
      <c r="F167">
        <f t="shared" si="99"/>
        <v>0</v>
      </c>
      <c r="G167">
        <f t="shared" si="100"/>
        <v>0</v>
      </c>
      <c r="H167">
        <f t="shared" si="101"/>
        <v>0</v>
      </c>
      <c r="I167">
        <f t="shared" si="102"/>
        <v>0</v>
      </c>
      <c r="J167">
        <f t="shared" si="103"/>
        <v>0</v>
      </c>
      <c r="K167">
        <f t="shared" si="104"/>
        <v>0</v>
      </c>
      <c r="L167">
        <f t="shared" si="105"/>
        <v>0</v>
      </c>
      <c r="M167">
        <f t="shared" si="106"/>
        <v>0</v>
      </c>
      <c r="N167">
        <f t="shared" si="107"/>
        <v>0</v>
      </c>
      <c r="O167">
        <f t="shared" si="108"/>
        <v>0</v>
      </c>
      <c r="P167">
        <f t="shared" si="109"/>
        <v>0</v>
      </c>
      <c r="Q167">
        <f t="shared" si="110"/>
        <v>0</v>
      </c>
      <c r="R167">
        <f t="shared" si="111"/>
        <v>0</v>
      </c>
      <c r="S167">
        <f t="shared" si="112"/>
        <v>0</v>
      </c>
      <c r="T167">
        <f t="shared" si="113"/>
        <v>0</v>
      </c>
      <c r="U167">
        <f t="shared" si="114"/>
        <v>0</v>
      </c>
      <c r="V167">
        <f t="shared" si="115"/>
        <v>0</v>
      </c>
      <c r="W167">
        <f t="shared" si="116"/>
        <v>0</v>
      </c>
      <c r="X167">
        <f t="shared" si="117"/>
        <v>0</v>
      </c>
      <c r="Y167">
        <f t="shared" si="118"/>
        <v>0</v>
      </c>
      <c r="Z167">
        <f t="shared" si="119"/>
        <v>0</v>
      </c>
      <c r="AA167">
        <f t="shared" si="120"/>
        <v>0</v>
      </c>
      <c r="AB167">
        <f t="shared" si="121"/>
        <v>0</v>
      </c>
      <c r="AC167">
        <f t="shared" si="122"/>
        <v>0</v>
      </c>
      <c r="AD167">
        <f t="shared" si="123"/>
        <v>0</v>
      </c>
      <c r="AE167">
        <f t="shared" si="124"/>
        <v>0</v>
      </c>
      <c r="AF167">
        <f t="shared" si="125"/>
        <v>0</v>
      </c>
      <c r="AG167">
        <f t="shared" si="126"/>
        <v>0</v>
      </c>
      <c r="AH167">
        <f t="shared" si="127"/>
        <v>0</v>
      </c>
      <c r="AI167">
        <f t="shared" si="128"/>
        <v>0</v>
      </c>
      <c r="AJ167">
        <f t="shared" si="129"/>
        <v>0</v>
      </c>
      <c r="AK167">
        <f t="shared" si="130"/>
        <v>0</v>
      </c>
      <c r="AL167">
        <f t="shared" si="131"/>
        <v>0</v>
      </c>
      <c r="AM167">
        <f t="shared" si="132"/>
        <v>0</v>
      </c>
      <c r="AN167">
        <f t="shared" si="133"/>
        <v>0</v>
      </c>
      <c r="AO167">
        <f t="shared" si="134"/>
        <v>0</v>
      </c>
      <c r="AP167">
        <f t="shared" si="135"/>
        <v>0</v>
      </c>
      <c r="AQ167">
        <f t="shared" si="136"/>
        <v>0</v>
      </c>
      <c r="AR167">
        <f t="shared" si="137"/>
        <v>0</v>
      </c>
      <c r="AS167">
        <f t="shared" si="138"/>
        <v>0</v>
      </c>
      <c r="AT167">
        <f t="shared" si="139"/>
        <v>0</v>
      </c>
      <c r="AU167">
        <f t="shared" si="140"/>
        <v>0</v>
      </c>
      <c r="AV167">
        <f t="shared" si="141"/>
        <v>0</v>
      </c>
      <c r="AW167">
        <f t="shared" si="96"/>
        <v>0</v>
      </c>
      <c r="AX167">
        <f t="shared" si="142"/>
        <v>0</v>
      </c>
      <c r="AY167">
        <f t="shared" si="143"/>
        <v>0</v>
      </c>
    </row>
    <row r="168" spans="1:51" x14ac:dyDescent="0.35">
      <c r="A168">
        <v>162</v>
      </c>
      <c r="C168">
        <f>MAX(0,Calc!$C$7-SUM(D168:R168))</f>
        <v>750</v>
      </c>
      <c r="D168">
        <f t="shared" si="97"/>
        <v>0</v>
      </c>
      <c r="E168">
        <f t="shared" si="98"/>
        <v>0</v>
      </c>
      <c r="F168">
        <f t="shared" si="99"/>
        <v>0</v>
      </c>
      <c r="G168">
        <f t="shared" si="100"/>
        <v>0</v>
      </c>
      <c r="H168">
        <f t="shared" si="101"/>
        <v>0</v>
      </c>
      <c r="I168">
        <f t="shared" si="102"/>
        <v>0</v>
      </c>
      <c r="J168">
        <f t="shared" si="103"/>
        <v>0</v>
      </c>
      <c r="K168">
        <f t="shared" si="104"/>
        <v>0</v>
      </c>
      <c r="L168">
        <f t="shared" si="105"/>
        <v>0</v>
      </c>
      <c r="M168">
        <f t="shared" si="106"/>
        <v>0</v>
      </c>
      <c r="N168">
        <f t="shared" si="107"/>
        <v>0</v>
      </c>
      <c r="O168">
        <f t="shared" si="108"/>
        <v>0</v>
      </c>
      <c r="P168">
        <f t="shared" si="109"/>
        <v>0</v>
      </c>
      <c r="Q168">
        <f t="shared" si="110"/>
        <v>0</v>
      </c>
      <c r="R168">
        <f t="shared" si="111"/>
        <v>0</v>
      </c>
      <c r="S168">
        <f t="shared" si="112"/>
        <v>0</v>
      </c>
      <c r="T168">
        <f t="shared" si="113"/>
        <v>0</v>
      </c>
      <c r="U168">
        <f t="shared" si="114"/>
        <v>0</v>
      </c>
      <c r="V168">
        <f t="shared" si="115"/>
        <v>0</v>
      </c>
      <c r="W168">
        <f t="shared" si="116"/>
        <v>0</v>
      </c>
      <c r="X168">
        <f t="shared" si="117"/>
        <v>0</v>
      </c>
      <c r="Y168">
        <f t="shared" si="118"/>
        <v>0</v>
      </c>
      <c r="Z168">
        <f t="shared" si="119"/>
        <v>0</v>
      </c>
      <c r="AA168">
        <f t="shared" si="120"/>
        <v>0</v>
      </c>
      <c r="AB168">
        <f t="shared" si="121"/>
        <v>0</v>
      </c>
      <c r="AC168">
        <f t="shared" si="122"/>
        <v>0</v>
      </c>
      <c r="AD168">
        <f t="shared" si="123"/>
        <v>0</v>
      </c>
      <c r="AE168">
        <f t="shared" si="124"/>
        <v>0</v>
      </c>
      <c r="AF168">
        <f t="shared" si="125"/>
        <v>0</v>
      </c>
      <c r="AG168">
        <f t="shared" si="126"/>
        <v>0</v>
      </c>
      <c r="AH168">
        <f t="shared" si="127"/>
        <v>0</v>
      </c>
      <c r="AI168">
        <f t="shared" si="128"/>
        <v>0</v>
      </c>
      <c r="AJ168">
        <f t="shared" si="129"/>
        <v>0</v>
      </c>
      <c r="AK168">
        <f t="shared" si="130"/>
        <v>0</v>
      </c>
      <c r="AL168">
        <f t="shared" si="131"/>
        <v>0</v>
      </c>
      <c r="AM168">
        <f t="shared" si="132"/>
        <v>0</v>
      </c>
      <c r="AN168">
        <f t="shared" si="133"/>
        <v>0</v>
      </c>
      <c r="AO168">
        <f t="shared" si="134"/>
        <v>0</v>
      </c>
      <c r="AP168">
        <f t="shared" si="135"/>
        <v>0</v>
      </c>
      <c r="AQ168">
        <f t="shared" si="136"/>
        <v>0</v>
      </c>
      <c r="AR168">
        <f t="shared" si="137"/>
        <v>0</v>
      </c>
      <c r="AS168">
        <f t="shared" si="138"/>
        <v>0</v>
      </c>
      <c r="AT168">
        <f t="shared" si="139"/>
        <v>0</v>
      </c>
      <c r="AU168">
        <f t="shared" si="140"/>
        <v>0</v>
      </c>
      <c r="AV168">
        <f t="shared" si="141"/>
        <v>0</v>
      </c>
      <c r="AW168">
        <f t="shared" si="96"/>
        <v>0</v>
      </c>
      <c r="AX168">
        <f t="shared" si="142"/>
        <v>0</v>
      </c>
      <c r="AY168">
        <f t="shared" si="143"/>
        <v>0</v>
      </c>
    </row>
    <row r="169" spans="1:51" x14ac:dyDescent="0.35">
      <c r="A169">
        <v>163</v>
      </c>
      <c r="C169">
        <f>MAX(0,Calc!$C$7-SUM(D169:R169))</f>
        <v>750</v>
      </c>
      <c r="D169">
        <f t="shared" si="97"/>
        <v>0</v>
      </c>
      <c r="E169">
        <f t="shared" si="98"/>
        <v>0</v>
      </c>
      <c r="F169">
        <f t="shared" si="99"/>
        <v>0</v>
      </c>
      <c r="G169">
        <f t="shared" si="100"/>
        <v>0</v>
      </c>
      <c r="H169">
        <f t="shared" si="101"/>
        <v>0</v>
      </c>
      <c r="I169">
        <f t="shared" si="102"/>
        <v>0</v>
      </c>
      <c r="J169">
        <f t="shared" si="103"/>
        <v>0</v>
      </c>
      <c r="K169">
        <f t="shared" si="104"/>
        <v>0</v>
      </c>
      <c r="L169">
        <f t="shared" si="105"/>
        <v>0</v>
      </c>
      <c r="M169">
        <f t="shared" si="106"/>
        <v>0</v>
      </c>
      <c r="N169">
        <f t="shared" si="107"/>
        <v>0</v>
      </c>
      <c r="O169">
        <f t="shared" si="108"/>
        <v>0</v>
      </c>
      <c r="P169">
        <f t="shared" si="109"/>
        <v>0</v>
      </c>
      <c r="Q169">
        <f t="shared" si="110"/>
        <v>0</v>
      </c>
      <c r="R169">
        <f t="shared" si="111"/>
        <v>0</v>
      </c>
      <c r="S169">
        <f t="shared" si="112"/>
        <v>0</v>
      </c>
      <c r="T169">
        <f t="shared" si="113"/>
        <v>0</v>
      </c>
      <c r="U169">
        <f t="shared" si="114"/>
        <v>0</v>
      </c>
      <c r="V169">
        <f t="shared" si="115"/>
        <v>0</v>
      </c>
      <c r="W169">
        <f t="shared" si="116"/>
        <v>0</v>
      </c>
      <c r="X169">
        <f t="shared" si="117"/>
        <v>0</v>
      </c>
      <c r="Y169">
        <f t="shared" si="118"/>
        <v>0</v>
      </c>
      <c r="Z169">
        <f t="shared" si="119"/>
        <v>0</v>
      </c>
      <c r="AA169">
        <f t="shared" si="120"/>
        <v>0</v>
      </c>
      <c r="AB169">
        <f t="shared" si="121"/>
        <v>0</v>
      </c>
      <c r="AC169">
        <f t="shared" si="122"/>
        <v>0</v>
      </c>
      <c r="AD169">
        <f t="shared" si="123"/>
        <v>0</v>
      </c>
      <c r="AE169">
        <f t="shared" si="124"/>
        <v>0</v>
      </c>
      <c r="AF169">
        <f t="shared" si="125"/>
        <v>0</v>
      </c>
      <c r="AG169">
        <f t="shared" si="126"/>
        <v>0</v>
      </c>
      <c r="AH169">
        <f t="shared" si="127"/>
        <v>0</v>
      </c>
      <c r="AI169">
        <f t="shared" si="128"/>
        <v>0</v>
      </c>
      <c r="AJ169">
        <f t="shared" si="129"/>
        <v>0</v>
      </c>
      <c r="AK169">
        <f t="shared" si="130"/>
        <v>0</v>
      </c>
      <c r="AL169">
        <f t="shared" si="131"/>
        <v>0</v>
      </c>
      <c r="AM169">
        <f t="shared" si="132"/>
        <v>0</v>
      </c>
      <c r="AN169">
        <f t="shared" si="133"/>
        <v>0</v>
      </c>
      <c r="AO169">
        <f t="shared" si="134"/>
        <v>0</v>
      </c>
      <c r="AP169">
        <f t="shared" si="135"/>
        <v>0</v>
      </c>
      <c r="AQ169">
        <f t="shared" si="136"/>
        <v>0</v>
      </c>
      <c r="AR169">
        <f t="shared" si="137"/>
        <v>0</v>
      </c>
      <c r="AS169">
        <f t="shared" si="138"/>
        <v>0</v>
      </c>
      <c r="AT169">
        <f t="shared" si="139"/>
        <v>0</v>
      </c>
      <c r="AU169">
        <f t="shared" si="140"/>
        <v>0</v>
      </c>
      <c r="AV169">
        <f t="shared" si="141"/>
        <v>0</v>
      </c>
      <c r="AW169">
        <f t="shared" si="96"/>
        <v>0</v>
      </c>
      <c r="AX169">
        <f t="shared" si="142"/>
        <v>0</v>
      </c>
      <c r="AY169">
        <f t="shared" si="143"/>
        <v>0</v>
      </c>
    </row>
    <row r="170" spans="1:51" x14ac:dyDescent="0.35">
      <c r="A170">
        <v>164</v>
      </c>
      <c r="C170">
        <f>MAX(0,Calc!$C$7-SUM(D170:R170))</f>
        <v>750</v>
      </c>
      <c r="D170">
        <f t="shared" si="97"/>
        <v>0</v>
      </c>
      <c r="E170">
        <f t="shared" si="98"/>
        <v>0</v>
      </c>
      <c r="F170">
        <f t="shared" si="99"/>
        <v>0</v>
      </c>
      <c r="G170">
        <f t="shared" si="100"/>
        <v>0</v>
      </c>
      <c r="H170">
        <f t="shared" si="101"/>
        <v>0</v>
      </c>
      <c r="I170">
        <f t="shared" si="102"/>
        <v>0</v>
      </c>
      <c r="J170">
        <f t="shared" si="103"/>
        <v>0</v>
      </c>
      <c r="K170">
        <f t="shared" si="104"/>
        <v>0</v>
      </c>
      <c r="L170">
        <f t="shared" si="105"/>
        <v>0</v>
      </c>
      <c r="M170">
        <f t="shared" si="106"/>
        <v>0</v>
      </c>
      <c r="N170">
        <f t="shared" si="107"/>
        <v>0</v>
      </c>
      <c r="O170">
        <f t="shared" si="108"/>
        <v>0</v>
      </c>
      <c r="P170">
        <f t="shared" si="109"/>
        <v>0</v>
      </c>
      <c r="Q170">
        <f t="shared" si="110"/>
        <v>0</v>
      </c>
      <c r="R170">
        <f t="shared" si="111"/>
        <v>0</v>
      </c>
      <c r="S170">
        <f t="shared" si="112"/>
        <v>0</v>
      </c>
      <c r="T170">
        <f t="shared" si="113"/>
        <v>0</v>
      </c>
      <c r="U170">
        <f t="shared" si="114"/>
        <v>0</v>
      </c>
      <c r="V170">
        <f t="shared" si="115"/>
        <v>0</v>
      </c>
      <c r="W170">
        <f t="shared" si="116"/>
        <v>0</v>
      </c>
      <c r="X170">
        <f t="shared" si="117"/>
        <v>0</v>
      </c>
      <c r="Y170">
        <f t="shared" si="118"/>
        <v>0</v>
      </c>
      <c r="Z170">
        <f t="shared" si="119"/>
        <v>0</v>
      </c>
      <c r="AA170">
        <f t="shared" si="120"/>
        <v>0</v>
      </c>
      <c r="AB170">
        <f t="shared" si="121"/>
        <v>0</v>
      </c>
      <c r="AC170">
        <f t="shared" si="122"/>
        <v>0</v>
      </c>
      <c r="AD170">
        <f t="shared" si="123"/>
        <v>0</v>
      </c>
      <c r="AE170">
        <f t="shared" si="124"/>
        <v>0</v>
      </c>
      <c r="AF170">
        <f t="shared" si="125"/>
        <v>0</v>
      </c>
      <c r="AG170">
        <f t="shared" si="126"/>
        <v>0</v>
      </c>
      <c r="AH170">
        <f t="shared" si="127"/>
        <v>0</v>
      </c>
      <c r="AI170">
        <f t="shared" si="128"/>
        <v>0</v>
      </c>
      <c r="AJ170">
        <f t="shared" si="129"/>
        <v>0</v>
      </c>
      <c r="AK170">
        <f t="shared" si="130"/>
        <v>0</v>
      </c>
      <c r="AL170">
        <f t="shared" si="131"/>
        <v>0</v>
      </c>
      <c r="AM170">
        <f t="shared" si="132"/>
        <v>0</v>
      </c>
      <c r="AN170">
        <f t="shared" si="133"/>
        <v>0</v>
      </c>
      <c r="AO170">
        <f t="shared" si="134"/>
        <v>0</v>
      </c>
      <c r="AP170">
        <f t="shared" si="135"/>
        <v>0</v>
      </c>
      <c r="AQ170">
        <f t="shared" si="136"/>
        <v>0</v>
      </c>
      <c r="AR170">
        <f t="shared" si="137"/>
        <v>0</v>
      </c>
      <c r="AS170">
        <f t="shared" si="138"/>
        <v>0</v>
      </c>
      <c r="AT170">
        <f t="shared" si="139"/>
        <v>0</v>
      </c>
      <c r="AU170">
        <f t="shared" si="140"/>
        <v>0</v>
      </c>
      <c r="AV170">
        <f t="shared" si="141"/>
        <v>0</v>
      </c>
      <c r="AW170">
        <f t="shared" si="96"/>
        <v>0</v>
      </c>
      <c r="AX170">
        <f t="shared" si="142"/>
        <v>0</v>
      </c>
      <c r="AY170">
        <f t="shared" si="143"/>
        <v>0</v>
      </c>
    </row>
    <row r="171" spans="1:51" x14ac:dyDescent="0.35">
      <c r="A171">
        <v>165</v>
      </c>
      <c r="C171">
        <f>MAX(0,Calc!$C$7-SUM(D171:R171))</f>
        <v>750</v>
      </c>
      <c r="D171">
        <f t="shared" si="97"/>
        <v>0</v>
      </c>
      <c r="E171">
        <f t="shared" si="98"/>
        <v>0</v>
      </c>
      <c r="F171">
        <f t="shared" si="99"/>
        <v>0</v>
      </c>
      <c r="G171">
        <f t="shared" si="100"/>
        <v>0</v>
      </c>
      <c r="H171">
        <f t="shared" si="101"/>
        <v>0</v>
      </c>
      <c r="I171">
        <f t="shared" si="102"/>
        <v>0</v>
      </c>
      <c r="J171">
        <f t="shared" si="103"/>
        <v>0</v>
      </c>
      <c r="K171">
        <f t="shared" si="104"/>
        <v>0</v>
      </c>
      <c r="L171">
        <f t="shared" si="105"/>
        <v>0</v>
      </c>
      <c r="M171">
        <f t="shared" si="106"/>
        <v>0</v>
      </c>
      <c r="N171">
        <f t="shared" si="107"/>
        <v>0</v>
      </c>
      <c r="O171">
        <f t="shared" si="108"/>
        <v>0</v>
      </c>
      <c r="P171">
        <f t="shared" si="109"/>
        <v>0</v>
      </c>
      <c r="Q171">
        <f t="shared" si="110"/>
        <v>0</v>
      </c>
      <c r="R171">
        <f t="shared" si="111"/>
        <v>0</v>
      </c>
      <c r="S171">
        <f t="shared" si="112"/>
        <v>0</v>
      </c>
      <c r="T171">
        <f t="shared" si="113"/>
        <v>0</v>
      </c>
      <c r="U171">
        <f t="shared" si="114"/>
        <v>0</v>
      </c>
      <c r="V171">
        <f t="shared" si="115"/>
        <v>0</v>
      </c>
      <c r="W171">
        <f t="shared" si="116"/>
        <v>0</v>
      </c>
      <c r="X171">
        <f t="shared" si="117"/>
        <v>0</v>
      </c>
      <c r="Y171">
        <f t="shared" si="118"/>
        <v>0</v>
      </c>
      <c r="Z171">
        <f t="shared" si="119"/>
        <v>0</v>
      </c>
      <c r="AA171">
        <f t="shared" si="120"/>
        <v>0</v>
      </c>
      <c r="AB171">
        <f t="shared" si="121"/>
        <v>0</v>
      </c>
      <c r="AC171">
        <f t="shared" si="122"/>
        <v>0</v>
      </c>
      <c r="AD171">
        <f t="shared" si="123"/>
        <v>0</v>
      </c>
      <c r="AE171">
        <f t="shared" si="124"/>
        <v>0</v>
      </c>
      <c r="AF171">
        <f t="shared" si="125"/>
        <v>0</v>
      </c>
      <c r="AG171">
        <f t="shared" si="126"/>
        <v>0</v>
      </c>
      <c r="AH171">
        <f t="shared" si="127"/>
        <v>0</v>
      </c>
      <c r="AI171">
        <f t="shared" si="128"/>
        <v>0</v>
      </c>
      <c r="AJ171">
        <f t="shared" si="129"/>
        <v>0</v>
      </c>
      <c r="AK171">
        <f t="shared" si="130"/>
        <v>0</v>
      </c>
      <c r="AL171">
        <f t="shared" si="131"/>
        <v>0</v>
      </c>
      <c r="AM171">
        <f t="shared" si="132"/>
        <v>0</v>
      </c>
      <c r="AN171">
        <f t="shared" si="133"/>
        <v>0</v>
      </c>
      <c r="AO171">
        <f t="shared" si="134"/>
        <v>0</v>
      </c>
      <c r="AP171">
        <f t="shared" si="135"/>
        <v>0</v>
      </c>
      <c r="AQ171">
        <f t="shared" si="136"/>
        <v>0</v>
      </c>
      <c r="AR171">
        <f t="shared" si="137"/>
        <v>0</v>
      </c>
      <c r="AS171">
        <f t="shared" si="138"/>
        <v>0</v>
      </c>
      <c r="AT171">
        <f t="shared" si="139"/>
        <v>0</v>
      </c>
      <c r="AU171">
        <f t="shared" si="140"/>
        <v>0</v>
      </c>
      <c r="AV171">
        <f t="shared" si="141"/>
        <v>0</v>
      </c>
      <c r="AW171">
        <f t="shared" si="96"/>
        <v>0</v>
      </c>
      <c r="AX171">
        <f t="shared" si="142"/>
        <v>0</v>
      </c>
      <c r="AY171">
        <f t="shared" si="143"/>
        <v>0</v>
      </c>
    </row>
    <row r="172" spans="1:51" x14ac:dyDescent="0.35">
      <c r="A172">
        <v>166</v>
      </c>
      <c r="C172">
        <f>MAX(0,Calc!$C$7-SUM(D172:R172))</f>
        <v>750</v>
      </c>
      <c r="D172">
        <f t="shared" si="97"/>
        <v>0</v>
      </c>
      <c r="E172">
        <f t="shared" si="98"/>
        <v>0</v>
      </c>
      <c r="F172">
        <f t="shared" si="99"/>
        <v>0</v>
      </c>
      <c r="G172">
        <f t="shared" si="100"/>
        <v>0</v>
      </c>
      <c r="H172">
        <f t="shared" si="101"/>
        <v>0</v>
      </c>
      <c r="I172">
        <f t="shared" si="102"/>
        <v>0</v>
      </c>
      <c r="J172">
        <f t="shared" si="103"/>
        <v>0</v>
      </c>
      <c r="K172">
        <f t="shared" si="104"/>
        <v>0</v>
      </c>
      <c r="L172">
        <f t="shared" si="105"/>
        <v>0</v>
      </c>
      <c r="M172">
        <f t="shared" si="106"/>
        <v>0</v>
      </c>
      <c r="N172">
        <f t="shared" si="107"/>
        <v>0</v>
      </c>
      <c r="O172">
        <f t="shared" si="108"/>
        <v>0</v>
      </c>
      <c r="P172">
        <f t="shared" si="109"/>
        <v>0</v>
      </c>
      <c r="Q172">
        <f t="shared" si="110"/>
        <v>0</v>
      </c>
      <c r="R172">
        <f t="shared" si="111"/>
        <v>0</v>
      </c>
      <c r="S172">
        <f t="shared" si="112"/>
        <v>0</v>
      </c>
      <c r="T172">
        <f t="shared" si="113"/>
        <v>0</v>
      </c>
      <c r="U172">
        <f t="shared" si="114"/>
        <v>0</v>
      </c>
      <c r="V172">
        <f t="shared" si="115"/>
        <v>0</v>
      </c>
      <c r="W172">
        <f t="shared" si="116"/>
        <v>0</v>
      </c>
      <c r="X172">
        <f t="shared" si="117"/>
        <v>0</v>
      </c>
      <c r="Y172">
        <f t="shared" si="118"/>
        <v>0</v>
      </c>
      <c r="Z172">
        <f t="shared" si="119"/>
        <v>0</v>
      </c>
      <c r="AA172">
        <f t="shared" si="120"/>
        <v>0</v>
      </c>
      <c r="AB172">
        <f t="shared" si="121"/>
        <v>0</v>
      </c>
      <c r="AC172">
        <f t="shared" si="122"/>
        <v>0</v>
      </c>
      <c r="AD172">
        <f t="shared" si="123"/>
        <v>0</v>
      </c>
      <c r="AE172">
        <f t="shared" si="124"/>
        <v>0</v>
      </c>
      <c r="AF172">
        <f t="shared" si="125"/>
        <v>0</v>
      </c>
      <c r="AG172">
        <f t="shared" si="126"/>
        <v>0</v>
      </c>
      <c r="AH172">
        <f t="shared" si="127"/>
        <v>0</v>
      </c>
      <c r="AI172">
        <f t="shared" si="128"/>
        <v>0</v>
      </c>
      <c r="AJ172">
        <f t="shared" si="129"/>
        <v>0</v>
      </c>
      <c r="AK172">
        <f t="shared" si="130"/>
        <v>0</v>
      </c>
      <c r="AL172">
        <f t="shared" si="131"/>
        <v>0</v>
      </c>
      <c r="AM172">
        <f t="shared" si="132"/>
        <v>0</v>
      </c>
      <c r="AN172">
        <f t="shared" si="133"/>
        <v>0</v>
      </c>
      <c r="AO172">
        <f t="shared" si="134"/>
        <v>0</v>
      </c>
      <c r="AP172">
        <f t="shared" si="135"/>
        <v>0</v>
      </c>
      <c r="AQ172">
        <f t="shared" si="136"/>
        <v>0</v>
      </c>
      <c r="AR172">
        <f t="shared" si="137"/>
        <v>0</v>
      </c>
      <c r="AS172">
        <f t="shared" si="138"/>
        <v>0</v>
      </c>
      <c r="AT172">
        <f t="shared" si="139"/>
        <v>0</v>
      </c>
      <c r="AU172">
        <f t="shared" si="140"/>
        <v>0</v>
      </c>
      <c r="AV172">
        <f t="shared" si="141"/>
        <v>0</v>
      </c>
      <c r="AW172">
        <f t="shared" si="96"/>
        <v>0</v>
      </c>
      <c r="AX172">
        <f t="shared" si="142"/>
        <v>0</v>
      </c>
      <c r="AY172">
        <f t="shared" si="143"/>
        <v>0</v>
      </c>
    </row>
    <row r="173" spans="1:51" x14ac:dyDescent="0.35">
      <c r="A173">
        <v>167</v>
      </c>
      <c r="C173">
        <f>MAX(0,Calc!$C$7-SUM(D173:R173))</f>
        <v>750</v>
      </c>
      <c r="D173">
        <f t="shared" si="97"/>
        <v>0</v>
      </c>
      <c r="E173">
        <f t="shared" si="98"/>
        <v>0</v>
      </c>
      <c r="F173">
        <f t="shared" si="99"/>
        <v>0</v>
      </c>
      <c r="G173">
        <f t="shared" si="100"/>
        <v>0</v>
      </c>
      <c r="H173">
        <f t="shared" si="101"/>
        <v>0</v>
      </c>
      <c r="I173">
        <f t="shared" si="102"/>
        <v>0</v>
      </c>
      <c r="J173">
        <f t="shared" si="103"/>
        <v>0</v>
      </c>
      <c r="K173">
        <f t="shared" si="104"/>
        <v>0</v>
      </c>
      <c r="L173">
        <f t="shared" si="105"/>
        <v>0</v>
      </c>
      <c r="M173">
        <f t="shared" si="106"/>
        <v>0</v>
      </c>
      <c r="N173">
        <f t="shared" si="107"/>
        <v>0</v>
      </c>
      <c r="O173">
        <f t="shared" si="108"/>
        <v>0</v>
      </c>
      <c r="P173">
        <f t="shared" si="109"/>
        <v>0</v>
      </c>
      <c r="Q173">
        <f t="shared" si="110"/>
        <v>0</v>
      </c>
      <c r="R173">
        <f t="shared" si="111"/>
        <v>0</v>
      </c>
      <c r="S173">
        <f t="shared" si="112"/>
        <v>0</v>
      </c>
      <c r="T173">
        <f t="shared" si="113"/>
        <v>0</v>
      </c>
      <c r="U173">
        <f t="shared" si="114"/>
        <v>0</v>
      </c>
      <c r="V173">
        <f t="shared" si="115"/>
        <v>0</v>
      </c>
      <c r="W173">
        <f t="shared" si="116"/>
        <v>0</v>
      </c>
      <c r="X173">
        <f t="shared" si="117"/>
        <v>0</v>
      </c>
      <c r="Y173">
        <f t="shared" si="118"/>
        <v>0</v>
      </c>
      <c r="Z173">
        <f t="shared" si="119"/>
        <v>0</v>
      </c>
      <c r="AA173">
        <f t="shared" si="120"/>
        <v>0</v>
      </c>
      <c r="AB173">
        <f t="shared" si="121"/>
        <v>0</v>
      </c>
      <c r="AC173">
        <f t="shared" si="122"/>
        <v>0</v>
      </c>
      <c r="AD173">
        <f t="shared" si="123"/>
        <v>0</v>
      </c>
      <c r="AE173">
        <f t="shared" si="124"/>
        <v>0</v>
      </c>
      <c r="AF173">
        <f t="shared" si="125"/>
        <v>0</v>
      </c>
      <c r="AG173">
        <f t="shared" si="126"/>
        <v>0</v>
      </c>
      <c r="AH173">
        <f t="shared" si="127"/>
        <v>0</v>
      </c>
      <c r="AI173">
        <f t="shared" si="128"/>
        <v>0</v>
      </c>
      <c r="AJ173">
        <f t="shared" si="129"/>
        <v>0</v>
      </c>
      <c r="AK173">
        <f t="shared" si="130"/>
        <v>0</v>
      </c>
      <c r="AL173">
        <f t="shared" si="131"/>
        <v>0</v>
      </c>
      <c r="AM173">
        <f t="shared" si="132"/>
        <v>0</v>
      </c>
      <c r="AN173">
        <f t="shared" si="133"/>
        <v>0</v>
      </c>
      <c r="AO173">
        <f t="shared" si="134"/>
        <v>0</v>
      </c>
      <c r="AP173">
        <f t="shared" si="135"/>
        <v>0</v>
      </c>
      <c r="AQ173">
        <f t="shared" si="136"/>
        <v>0</v>
      </c>
      <c r="AR173">
        <f t="shared" si="137"/>
        <v>0</v>
      </c>
      <c r="AS173">
        <f t="shared" si="138"/>
        <v>0</v>
      </c>
      <c r="AT173">
        <f t="shared" si="139"/>
        <v>0</v>
      </c>
      <c r="AU173">
        <f t="shared" si="140"/>
        <v>0</v>
      </c>
      <c r="AV173">
        <f t="shared" si="141"/>
        <v>0</v>
      </c>
      <c r="AW173">
        <f t="shared" si="96"/>
        <v>0</v>
      </c>
      <c r="AX173">
        <f t="shared" si="142"/>
        <v>0</v>
      </c>
      <c r="AY173">
        <f t="shared" si="143"/>
        <v>0</v>
      </c>
    </row>
    <row r="174" spans="1:51" x14ac:dyDescent="0.35">
      <c r="A174">
        <v>168</v>
      </c>
      <c r="C174">
        <f>MAX(0,Calc!$C$7-SUM(D174:R174))</f>
        <v>750</v>
      </c>
      <c r="D174">
        <f t="shared" si="97"/>
        <v>0</v>
      </c>
      <c r="E174">
        <f t="shared" si="98"/>
        <v>0</v>
      </c>
      <c r="F174">
        <f t="shared" si="99"/>
        <v>0</v>
      </c>
      <c r="G174">
        <f t="shared" si="100"/>
        <v>0</v>
      </c>
      <c r="H174">
        <f t="shared" si="101"/>
        <v>0</v>
      </c>
      <c r="I174">
        <f t="shared" si="102"/>
        <v>0</v>
      </c>
      <c r="J174">
        <f t="shared" si="103"/>
        <v>0</v>
      </c>
      <c r="K174">
        <f t="shared" si="104"/>
        <v>0</v>
      </c>
      <c r="L174">
        <f t="shared" si="105"/>
        <v>0</v>
      </c>
      <c r="M174">
        <f t="shared" si="106"/>
        <v>0</v>
      </c>
      <c r="N174">
        <f t="shared" si="107"/>
        <v>0</v>
      </c>
      <c r="O174">
        <f t="shared" si="108"/>
        <v>0</v>
      </c>
      <c r="P174">
        <f t="shared" si="109"/>
        <v>0</v>
      </c>
      <c r="Q174">
        <f t="shared" si="110"/>
        <v>0</v>
      </c>
      <c r="R174">
        <f t="shared" si="111"/>
        <v>0</v>
      </c>
      <c r="S174">
        <f t="shared" si="112"/>
        <v>0</v>
      </c>
      <c r="T174">
        <f t="shared" si="113"/>
        <v>0</v>
      </c>
      <c r="U174">
        <f t="shared" si="114"/>
        <v>0</v>
      </c>
      <c r="V174">
        <f t="shared" si="115"/>
        <v>0</v>
      </c>
      <c r="W174">
        <f t="shared" si="116"/>
        <v>0</v>
      </c>
      <c r="X174">
        <f t="shared" si="117"/>
        <v>0</v>
      </c>
      <c r="Y174">
        <f t="shared" si="118"/>
        <v>0</v>
      </c>
      <c r="Z174">
        <f t="shared" si="119"/>
        <v>0</v>
      </c>
      <c r="AA174">
        <f t="shared" si="120"/>
        <v>0</v>
      </c>
      <c r="AB174">
        <f t="shared" si="121"/>
        <v>0</v>
      </c>
      <c r="AC174">
        <f t="shared" si="122"/>
        <v>0</v>
      </c>
      <c r="AD174">
        <f t="shared" si="123"/>
        <v>0</v>
      </c>
      <c r="AE174">
        <f t="shared" si="124"/>
        <v>0</v>
      </c>
      <c r="AF174">
        <f t="shared" si="125"/>
        <v>0</v>
      </c>
      <c r="AG174">
        <f t="shared" si="126"/>
        <v>0</v>
      </c>
      <c r="AH174">
        <f t="shared" si="127"/>
        <v>0</v>
      </c>
      <c r="AI174">
        <f t="shared" si="128"/>
        <v>0</v>
      </c>
      <c r="AJ174">
        <f t="shared" si="129"/>
        <v>0</v>
      </c>
      <c r="AK174">
        <f t="shared" si="130"/>
        <v>0</v>
      </c>
      <c r="AL174">
        <f t="shared" si="131"/>
        <v>0</v>
      </c>
      <c r="AM174">
        <f t="shared" si="132"/>
        <v>0</v>
      </c>
      <c r="AN174">
        <f t="shared" si="133"/>
        <v>0</v>
      </c>
      <c r="AO174">
        <f t="shared" si="134"/>
        <v>0</v>
      </c>
      <c r="AP174">
        <f t="shared" si="135"/>
        <v>0</v>
      </c>
      <c r="AQ174">
        <f t="shared" si="136"/>
        <v>0</v>
      </c>
      <c r="AR174">
        <f t="shared" si="137"/>
        <v>0</v>
      </c>
      <c r="AS174">
        <f t="shared" si="138"/>
        <v>0</v>
      </c>
      <c r="AT174">
        <f t="shared" si="139"/>
        <v>0</v>
      </c>
      <c r="AU174">
        <f t="shared" si="140"/>
        <v>0</v>
      </c>
      <c r="AV174">
        <f t="shared" si="141"/>
        <v>0</v>
      </c>
      <c r="AW174">
        <f t="shared" si="96"/>
        <v>0</v>
      </c>
      <c r="AX174">
        <f t="shared" si="142"/>
        <v>0</v>
      </c>
      <c r="AY174">
        <f t="shared" si="143"/>
        <v>0</v>
      </c>
    </row>
    <row r="175" spans="1:51" x14ac:dyDescent="0.35">
      <c r="A175">
        <v>169</v>
      </c>
      <c r="C175">
        <f>MAX(0,Calc!$C$7-SUM(D175:R175))</f>
        <v>750</v>
      </c>
      <c r="D175">
        <f t="shared" si="97"/>
        <v>0</v>
      </c>
      <c r="E175">
        <f t="shared" si="98"/>
        <v>0</v>
      </c>
      <c r="F175">
        <f t="shared" si="99"/>
        <v>0</v>
      </c>
      <c r="G175">
        <f t="shared" si="100"/>
        <v>0</v>
      </c>
      <c r="H175">
        <f t="shared" si="101"/>
        <v>0</v>
      </c>
      <c r="I175">
        <f t="shared" si="102"/>
        <v>0</v>
      </c>
      <c r="J175">
        <f t="shared" si="103"/>
        <v>0</v>
      </c>
      <c r="K175">
        <f t="shared" si="104"/>
        <v>0</v>
      </c>
      <c r="L175">
        <f t="shared" si="105"/>
        <v>0</v>
      </c>
      <c r="M175">
        <f t="shared" si="106"/>
        <v>0</v>
      </c>
      <c r="N175">
        <f t="shared" si="107"/>
        <v>0</v>
      </c>
      <c r="O175">
        <f t="shared" si="108"/>
        <v>0</v>
      </c>
      <c r="P175">
        <f t="shared" si="109"/>
        <v>0</v>
      </c>
      <c r="Q175">
        <f t="shared" si="110"/>
        <v>0</v>
      </c>
      <c r="R175">
        <f t="shared" si="111"/>
        <v>0</v>
      </c>
      <c r="S175">
        <f t="shared" si="112"/>
        <v>0</v>
      </c>
      <c r="T175">
        <f t="shared" si="113"/>
        <v>0</v>
      </c>
      <c r="U175">
        <f t="shared" si="114"/>
        <v>0</v>
      </c>
      <c r="V175">
        <f t="shared" si="115"/>
        <v>0</v>
      </c>
      <c r="W175">
        <f t="shared" si="116"/>
        <v>0</v>
      </c>
      <c r="X175">
        <f t="shared" si="117"/>
        <v>0</v>
      </c>
      <c r="Y175">
        <f t="shared" si="118"/>
        <v>0</v>
      </c>
      <c r="Z175">
        <f t="shared" si="119"/>
        <v>0</v>
      </c>
      <c r="AA175">
        <f t="shared" si="120"/>
        <v>0</v>
      </c>
      <c r="AB175">
        <f t="shared" si="121"/>
        <v>0</v>
      </c>
      <c r="AC175">
        <f t="shared" si="122"/>
        <v>0</v>
      </c>
      <c r="AD175">
        <f t="shared" si="123"/>
        <v>0</v>
      </c>
      <c r="AE175">
        <f t="shared" si="124"/>
        <v>0</v>
      </c>
      <c r="AF175">
        <f t="shared" si="125"/>
        <v>0</v>
      </c>
      <c r="AG175">
        <f t="shared" si="126"/>
        <v>0</v>
      </c>
      <c r="AH175">
        <f t="shared" si="127"/>
        <v>0</v>
      </c>
      <c r="AI175">
        <f t="shared" si="128"/>
        <v>0</v>
      </c>
      <c r="AJ175">
        <f t="shared" si="129"/>
        <v>0</v>
      </c>
      <c r="AK175">
        <f t="shared" si="130"/>
        <v>0</v>
      </c>
      <c r="AL175">
        <f t="shared" si="131"/>
        <v>0</v>
      </c>
      <c r="AM175">
        <f t="shared" si="132"/>
        <v>0</v>
      </c>
      <c r="AN175">
        <f t="shared" si="133"/>
        <v>0</v>
      </c>
      <c r="AO175">
        <f t="shared" si="134"/>
        <v>0</v>
      </c>
      <c r="AP175">
        <f t="shared" si="135"/>
        <v>0</v>
      </c>
      <c r="AQ175">
        <f t="shared" si="136"/>
        <v>0</v>
      </c>
      <c r="AR175">
        <f t="shared" si="137"/>
        <v>0</v>
      </c>
      <c r="AS175">
        <f t="shared" si="138"/>
        <v>0</v>
      </c>
      <c r="AT175">
        <f t="shared" si="139"/>
        <v>0</v>
      </c>
      <c r="AU175">
        <f t="shared" si="140"/>
        <v>0</v>
      </c>
      <c r="AV175">
        <f t="shared" si="141"/>
        <v>0</v>
      </c>
      <c r="AW175">
        <f t="shared" si="96"/>
        <v>0</v>
      </c>
      <c r="AX175">
        <f t="shared" si="142"/>
        <v>0</v>
      </c>
      <c r="AY175">
        <f t="shared" si="143"/>
        <v>0</v>
      </c>
    </row>
    <row r="176" spans="1:51" x14ac:dyDescent="0.35">
      <c r="A176">
        <v>170</v>
      </c>
      <c r="C176">
        <f>MAX(0,Calc!$C$7-SUM(D176:R176))</f>
        <v>750</v>
      </c>
      <c r="D176">
        <f t="shared" si="97"/>
        <v>0</v>
      </c>
      <c r="E176">
        <f t="shared" si="98"/>
        <v>0</v>
      </c>
      <c r="F176">
        <f t="shared" si="99"/>
        <v>0</v>
      </c>
      <c r="G176">
        <f t="shared" si="100"/>
        <v>0</v>
      </c>
      <c r="H176">
        <f t="shared" si="101"/>
        <v>0</v>
      </c>
      <c r="I176">
        <f t="shared" si="102"/>
        <v>0</v>
      </c>
      <c r="J176">
        <f t="shared" si="103"/>
        <v>0</v>
      </c>
      <c r="K176">
        <f t="shared" si="104"/>
        <v>0</v>
      </c>
      <c r="L176">
        <f t="shared" si="105"/>
        <v>0</v>
      </c>
      <c r="M176">
        <f t="shared" si="106"/>
        <v>0</v>
      </c>
      <c r="N176">
        <f t="shared" si="107"/>
        <v>0</v>
      </c>
      <c r="O176">
        <f t="shared" si="108"/>
        <v>0</v>
      </c>
      <c r="P176">
        <f t="shared" si="109"/>
        <v>0</v>
      </c>
      <c r="Q176">
        <f t="shared" si="110"/>
        <v>0</v>
      </c>
      <c r="R176">
        <f t="shared" si="111"/>
        <v>0</v>
      </c>
      <c r="S176">
        <f t="shared" si="112"/>
        <v>0</v>
      </c>
      <c r="T176">
        <f t="shared" si="113"/>
        <v>0</v>
      </c>
      <c r="U176">
        <f t="shared" si="114"/>
        <v>0</v>
      </c>
      <c r="V176">
        <f t="shared" si="115"/>
        <v>0</v>
      </c>
      <c r="W176">
        <f t="shared" si="116"/>
        <v>0</v>
      </c>
      <c r="X176">
        <f t="shared" si="117"/>
        <v>0</v>
      </c>
      <c r="Y176">
        <f t="shared" si="118"/>
        <v>0</v>
      </c>
      <c r="Z176">
        <f t="shared" si="119"/>
        <v>0</v>
      </c>
      <c r="AA176">
        <f t="shared" si="120"/>
        <v>0</v>
      </c>
      <c r="AB176">
        <f t="shared" si="121"/>
        <v>0</v>
      </c>
      <c r="AC176">
        <f t="shared" si="122"/>
        <v>0</v>
      </c>
      <c r="AD176">
        <f t="shared" si="123"/>
        <v>0</v>
      </c>
      <c r="AE176">
        <f t="shared" si="124"/>
        <v>0</v>
      </c>
      <c r="AF176">
        <f t="shared" si="125"/>
        <v>0</v>
      </c>
      <c r="AG176">
        <f t="shared" si="126"/>
        <v>0</v>
      </c>
      <c r="AH176">
        <f t="shared" si="127"/>
        <v>0</v>
      </c>
      <c r="AI176">
        <f t="shared" si="128"/>
        <v>0</v>
      </c>
      <c r="AJ176">
        <f t="shared" si="129"/>
        <v>0</v>
      </c>
      <c r="AK176">
        <f t="shared" si="130"/>
        <v>0</v>
      </c>
      <c r="AL176">
        <f t="shared" si="131"/>
        <v>0</v>
      </c>
      <c r="AM176">
        <f t="shared" si="132"/>
        <v>0</v>
      </c>
      <c r="AN176">
        <f t="shared" si="133"/>
        <v>0</v>
      </c>
      <c r="AO176">
        <f t="shared" si="134"/>
        <v>0</v>
      </c>
      <c r="AP176">
        <f t="shared" si="135"/>
        <v>0</v>
      </c>
      <c r="AQ176">
        <f t="shared" si="136"/>
        <v>0</v>
      </c>
      <c r="AR176">
        <f t="shared" si="137"/>
        <v>0</v>
      </c>
      <c r="AS176">
        <f t="shared" si="138"/>
        <v>0</v>
      </c>
      <c r="AT176">
        <f t="shared" si="139"/>
        <v>0</v>
      </c>
      <c r="AU176">
        <f t="shared" si="140"/>
        <v>0</v>
      </c>
      <c r="AV176">
        <f t="shared" si="141"/>
        <v>0</v>
      </c>
      <c r="AW176">
        <f t="shared" si="96"/>
        <v>0</v>
      </c>
      <c r="AX176">
        <f t="shared" si="142"/>
        <v>0</v>
      </c>
      <c r="AY176">
        <f t="shared" si="143"/>
        <v>0</v>
      </c>
    </row>
    <row r="177" spans="1:51" x14ac:dyDescent="0.35">
      <c r="A177">
        <v>171</v>
      </c>
      <c r="C177">
        <f>MAX(0,Calc!$C$7-SUM(D177:R177))</f>
        <v>750</v>
      </c>
      <c r="D177">
        <f t="shared" si="97"/>
        <v>0</v>
      </c>
      <c r="E177">
        <f t="shared" si="98"/>
        <v>0</v>
      </c>
      <c r="F177">
        <f t="shared" si="99"/>
        <v>0</v>
      </c>
      <c r="G177">
        <f t="shared" si="100"/>
        <v>0</v>
      </c>
      <c r="H177">
        <f t="shared" si="101"/>
        <v>0</v>
      </c>
      <c r="I177">
        <f t="shared" si="102"/>
        <v>0</v>
      </c>
      <c r="J177">
        <f t="shared" si="103"/>
        <v>0</v>
      </c>
      <c r="K177">
        <f t="shared" si="104"/>
        <v>0</v>
      </c>
      <c r="L177">
        <f t="shared" si="105"/>
        <v>0</v>
      </c>
      <c r="M177">
        <f t="shared" si="106"/>
        <v>0</v>
      </c>
      <c r="N177">
        <f t="shared" si="107"/>
        <v>0</v>
      </c>
      <c r="O177">
        <f t="shared" si="108"/>
        <v>0</v>
      </c>
      <c r="P177">
        <f t="shared" si="109"/>
        <v>0</v>
      </c>
      <c r="Q177">
        <f t="shared" si="110"/>
        <v>0</v>
      </c>
      <c r="R177">
        <f t="shared" si="111"/>
        <v>0</v>
      </c>
      <c r="S177">
        <f t="shared" si="112"/>
        <v>0</v>
      </c>
      <c r="T177">
        <f t="shared" si="113"/>
        <v>0</v>
      </c>
      <c r="U177">
        <f t="shared" si="114"/>
        <v>0</v>
      </c>
      <c r="V177">
        <f t="shared" si="115"/>
        <v>0</v>
      </c>
      <c r="W177">
        <f t="shared" si="116"/>
        <v>0</v>
      </c>
      <c r="X177">
        <f t="shared" si="117"/>
        <v>0</v>
      </c>
      <c r="Y177">
        <f t="shared" si="118"/>
        <v>0</v>
      </c>
      <c r="Z177">
        <f t="shared" si="119"/>
        <v>0</v>
      </c>
      <c r="AA177">
        <f t="shared" si="120"/>
        <v>0</v>
      </c>
      <c r="AB177">
        <f t="shared" si="121"/>
        <v>0</v>
      </c>
      <c r="AC177">
        <f t="shared" si="122"/>
        <v>0</v>
      </c>
      <c r="AD177">
        <f t="shared" si="123"/>
        <v>0</v>
      </c>
      <c r="AE177">
        <f t="shared" si="124"/>
        <v>0</v>
      </c>
      <c r="AF177">
        <f t="shared" si="125"/>
        <v>0</v>
      </c>
      <c r="AG177">
        <f t="shared" si="126"/>
        <v>0</v>
      </c>
      <c r="AH177">
        <f t="shared" si="127"/>
        <v>0</v>
      </c>
      <c r="AI177">
        <f t="shared" si="128"/>
        <v>0</v>
      </c>
      <c r="AJ177">
        <f t="shared" si="129"/>
        <v>0</v>
      </c>
      <c r="AK177">
        <f t="shared" si="130"/>
        <v>0</v>
      </c>
      <c r="AL177">
        <f t="shared" si="131"/>
        <v>0</v>
      </c>
      <c r="AM177">
        <f t="shared" si="132"/>
        <v>0</v>
      </c>
      <c r="AN177">
        <f t="shared" si="133"/>
        <v>0</v>
      </c>
      <c r="AO177">
        <f t="shared" si="134"/>
        <v>0</v>
      </c>
      <c r="AP177">
        <f t="shared" si="135"/>
        <v>0</v>
      </c>
      <c r="AQ177">
        <f t="shared" si="136"/>
        <v>0</v>
      </c>
      <c r="AR177">
        <f t="shared" si="137"/>
        <v>0</v>
      </c>
      <c r="AS177">
        <f t="shared" si="138"/>
        <v>0</v>
      </c>
      <c r="AT177">
        <f t="shared" si="139"/>
        <v>0</v>
      </c>
      <c r="AU177">
        <f t="shared" si="140"/>
        <v>0</v>
      </c>
      <c r="AV177">
        <f t="shared" si="141"/>
        <v>0</v>
      </c>
      <c r="AW177">
        <f t="shared" si="96"/>
        <v>0</v>
      </c>
      <c r="AX177">
        <f t="shared" si="142"/>
        <v>0</v>
      </c>
      <c r="AY177">
        <f t="shared" si="143"/>
        <v>0</v>
      </c>
    </row>
    <row r="178" spans="1:51" x14ac:dyDescent="0.35">
      <c r="A178">
        <v>172</v>
      </c>
      <c r="C178">
        <f>MAX(0,Calc!$C$7-SUM(D178:R178))</f>
        <v>750</v>
      </c>
      <c r="D178">
        <f t="shared" si="97"/>
        <v>0</v>
      </c>
      <c r="E178">
        <f t="shared" si="98"/>
        <v>0</v>
      </c>
      <c r="F178">
        <f t="shared" si="99"/>
        <v>0</v>
      </c>
      <c r="G178">
        <f t="shared" si="100"/>
        <v>0</v>
      </c>
      <c r="H178">
        <f t="shared" si="101"/>
        <v>0</v>
      </c>
      <c r="I178">
        <f t="shared" si="102"/>
        <v>0</v>
      </c>
      <c r="J178">
        <f t="shared" si="103"/>
        <v>0</v>
      </c>
      <c r="K178">
        <f t="shared" si="104"/>
        <v>0</v>
      </c>
      <c r="L178">
        <f t="shared" si="105"/>
        <v>0</v>
      </c>
      <c r="M178">
        <f t="shared" si="106"/>
        <v>0</v>
      </c>
      <c r="N178">
        <f t="shared" si="107"/>
        <v>0</v>
      </c>
      <c r="O178">
        <f t="shared" si="108"/>
        <v>0</v>
      </c>
      <c r="P178">
        <f t="shared" si="109"/>
        <v>0</v>
      </c>
      <c r="Q178">
        <f t="shared" si="110"/>
        <v>0</v>
      </c>
      <c r="R178">
        <f t="shared" si="111"/>
        <v>0</v>
      </c>
      <c r="S178">
        <f t="shared" si="112"/>
        <v>0</v>
      </c>
      <c r="T178">
        <f t="shared" si="113"/>
        <v>0</v>
      </c>
      <c r="U178">
        <f t="shared" si="114"/>
        <v>0</v>
      </c>
      <c r="V178">
        <f t="shared" si="115"/>
        <v>0</v>
      </c>
      <c r="W178">
        <f t="shared" si="116"/>
        <v>0</v>
      </c>
      <c r="X178">
        <f t="shared" si="117"/>
        <v>0</v>
      </c>
      <c r="Y178">
        <f t="shared" si="118"/>
        <v>0</v>
      </c>
      <c r="Z178">
        <f t="shared" si="119"/>
        <v>0</v>
      </c>
      <c r="AA178">
        <f t="shared" si="120"/>
        <v>0</v>
      </c>
      <c r="AB178">
        <f t="shared" si="121"/>
        <v>0</v>
      </c>
      <c r="AC178">
        <f t="shared" si="122"/>
        <v>0</v>
      </c>
      <c r="AD178">
        <f t="shared" si="123"/>
        <v>0</v>
      </c>
      <c r="AE178">
        <f t="shared" si="124"/>
        <v>0</v>
      </c>
      <c r="AF178">
        <f t="shared" si="125"/>
        <v>0</v>
      </c>
      <c r="AG178">
        <f t="shared" si="126"/>
        <v>0</v>
      </c>
      <c r="AH178">
        <f t="shared" si="127"/>
        <v>0</v>
      </c>
      <c r="AI178">
        <f t="shared" si="128"/>
        <v>0</v>
      </c>
      <c r="AJ178">
        <f t="shared" si="129"/>
        <v>0</v>
      </c>
      <c r="AK178">
        <f t="shared" si="130"/>
        <v>0</v>
      </c>
      <c r="AL178">
        <f t="shared" si="131"/>
        <v>0</v>
      </c>
      <c r="AM178">
        <f t="shared" si="132"/>
        <v>0</v>
      </c>
      <c r="AN178">
        <f t="shared" si="133"/>
        <v>0</v>
      </c>
      <c r="AO178">
        <f t="shared" si="134"/>
        <v>0</v>
      </c>
      <c r="AP178">
        <f t="shared" si="135"/>
        <v>0</v>
      </c>
      <c r="AQ178">
        <f t="shared" si="136"/>
        <v>0</v>
      </c>
      <c r="AR178">
        <f t="shared" si="137"/>
        <v>0</v>
      </c>
      <c r="AS178">
        <f t="shared" si="138"/>
        <v>0</v>
      </c>
      <c r="AT178">
        <f t="shared" si="139"/>
        <v>0</v>
      </c>
      <c r="AU178">
        <f t="shared" si="140"/>
        <v>0</v>
      </c>
      <c r="AV178">
        <f t="shared" si="141"/>
        <v>0</v>
      </c>
      <c r="AW178">
        <f t="shared" si="96"/>
        <v>0</v>
      </c>
      <c r="AX178">
        <f t="shared" si="142"/>
        <v>0</v>
      </c>
      <c r="AY178">
        <f t="shared" si="143"/>
        <v>0</v>
      </c>
    </row>
    <row r="179" spans="1:51" x14ac:dyDescent="0.35">
      <c r="A179">
        <v>173</v>
      </c>
      <c r="C179">
        <f>MAX(0,Calc!$C$7-SUM(D179:R179))</f>
        <v>750</v>
      </c>
      <c r="D179">
        <f t="shared" si="97"/>
        <v>0</v>
      </c>
      <c r="E179">
        <f t="shared" si="98"/>
        <v>0</v>
      </c>
      <c r="F179">
        <f t="shared" si="99"/>
        <v>0</v>
      </c>
      <c r="G179">
        <f t="shared" si="100"/>
        <v>0</v>
      </c>
      <c r="H179">
        <f t="shared" si="101"/>
        <v>0</v>
      </c>
      <c r="I179">
        <f t="shared" si="102"/>
        <v>0</v>
      </c>
      <c r="J179">
        <f t="shared" si="103"/>
        <v>0</v>
      </c>
      <c r="K179">
        <f t="shared" si="104"/>
        <v>0</v>
      </c>
      <c r="L179">
        <f t="shared" si="105"/>
        <v>0</v>
      </c>
      <c r="M179">
        <f t="shared" si="106"/>
        <v>0</v>
      </c>
      <c r="N179">
        <f t="shared" si="107"/>
        <v>0</v>
      </c>
      <c r="O179">
        <f t="shared" si="108"/>
        <v>0</v>
      </c>
      <c r="P179">
        <f t="shared" si="109"/>
        <v>0</v>
      </c>
      <c r="Q179">
        <f t="shared" si="110"/>
        <v>0</v>
      </c>
      <c r="R179">
        <f t="shared" si="111"/>
        <v>0</v>
      </c>
      <c r="S179">
        <f t="shared" si="112"/>
        <v>0</v>
      </c>
      <c r="T179">
        <f t="shared" si="113"/>
        <v>0</v>
      </c>
      <c r="U179">
        <f t="shared" si="114"/>
        <v>0</v>
      </c>
      <c r="V179">
        <f t="shared" si="115"/>
        <v>0</v>
      </c>
      <c r="W179">
        <f t="shared" si="116"/>
        <v>0</v>
      </c>
      <c r="X179">
        <f t="shared" si="117"/>
        <v>0</v>
      </c>
      <c r="Y179">
        <f t="shared" si="118"/>
        <v>0</v>
      </c>
      <c r="Z179">
        <f t="shared" si="119"/>
        <v>0</v>
      </c>
      <c r="AA179">
        <f t="shared" si="120"/>
        <v>0</v>
      </c>
      <c r="AB179">
        <f t="shared" si="121"/>
        <v>0</v>
      </c>
      <c r="AC179">
        <f t="shared" si="122"/>
        <v>0</v>
      </c>
      <c r="AD179">
        <f t="shared" si="123"/>
        <v>0</v>
      </c>
      <c r="AE179">
        <f t="shared" si="124"/>
        <v>0</v>
      </c>
      <c r="AF179">
        <f t="shared" si="125"/>
        <v>0</v>
      </c>
      <c r="AG179">
        <f t="shared" si="126"/>
        <v>0</v>
      </c>
      <c r="AH179">
        <f t="shared" si="127"/>
        <v>0</v>
      </c>
      <c r="AI179">
        <f t="shared" si="128"/>
        <v>0</v>
      </c>
      <c r="AJ179">
        <f t="shared" si="129"/>
        <v>0</v>
      </c>
      <c r="AK179">
        <f t="shared" si="130"/>
        <v>0</v>
      </c>
      <c r="AL179">
        <f t="shared" si="131"/>
        <v>0</v>
      </c>
      <c r="AM179">
        <f t="shared" si="132"/>
        <v>0</v>
      </c>
      <c r="AN179">
        <f t="shared" si="133"/>
        <v>0</v>
      </c>
      <c r="AO179">
        <f t="shared" si="134"/>
        <v>0</v>
      </c>
      <c r="AP179">
        <f t="shared" si="135"/>
        <v>0</v>
      </c>
      <c r="AQ179">
        <f t="shared" si="136"/>
        <v>0</v>
      </c>
      <c r="AR179">
        <f t="shared" si="137"/>
        <v>0</v>
      </c>
      <c r="AS179">
        <f t="shared" si="138"/>
        <v>0</v>
      </c>
      <c r="AT179">
        <f t="shared" si="139"/>
        <v>0</v>
      </c>
      <c r="AU179">
        <f t="shared" si="140"/>
        <v>0</v>
      </c>
      <c r="AV179">
        <f t="shared" si="141"/>
        <v>0</v>
      </c>
      <c r="AW179">
        <f t="shared" si="96"/>
        <v>0</v>
      </c>
      <c r="AX179">
        <f t="shared" si="142"/>
        <v>0</v>
      </c>
      <c r="AY179">
        <f t="shared" si="143"/>
        <v>0</v>
      </c>
    </row>
    <row r="180" spans="1:51" x14ac:dyDescent="0.35">
      <c r="A180">
        <v>174</v>
      </c>
      <c r="C180">
        <f>MAX(0,Calc!$C$7-SUM(D180:R180))</f>
        <v>750</v>
      </c>
      <c r="D180">
        <f t="shared" si="97"/>
        <v>0</v>
      </c>
      <c r="E180">
        <f t="shared" si="98"/>
        <v>0</v>
      </c>
      <c r="F180">
        <f t="shared" si="99"/>
        <v>0</v>
      </c>
      <c r="G180">
        <f t="shared" si="100"/>
        <v>0</v>
      </c>
      <c r="H180">
        <f t="shared" si="101"/>
        <v>0</v>
      </c>
      <c r="I180">
        <f t="shared" si="102"/>
        <v>0</v>
      </c>
      <c r="J180">
        <f t="shared" si="103"/>
        <v>0</v>
      </c>
      <c r="K180">
        <f t="shared" si="104"/>
        <v>0</v>
      </c>
      <c r="L180">
        <f t="shared" si="105"/>
        <v>0</v>
      </c>
      <c r="M180">
        <f t="shared" si="106"/>
        <v>0</v>
      </c>
      <c r="N180">
        <f t="shared" si="107"/>
        <v>0</v>
      </c>
      <c r="O180">
        <f t="shared" si="108"/>
        <v>0</v>
      </c>
      <c r="P180">
        <f t="shared" si="109"/>
        <v>0</v>
      </c>
      <c r="Q180">
        <f t="shared" si="110"/>
        <v>0</v>
      </c>
      <c r="R180">
        <f t="shared" si="111"/>
        <v>0</v>
      </c>
      <c r="S180">
        <f t="shared" si="112"/>
        <v>0</v>
      </c>
      <c r="T180">
        <f t="shared" si="113"/>
        <v>0</v>
      </c>
      <c r="U180">
        <f t="shared" si="114"/>
        <v>0</v>
      </c>
      <c r="V180">
        <f t="shared" si="115"/>
        <v>0</v>
      </c>
      <c r="W180">
        <f t="shared" si="116"/>
        <v>0</v>
      </c>
      <c r="X180">
        <f t="shared" si="117"/>
        <v>0</v>
      </c>
      <c r="Y180">
        <f t="shared" si="118"/>
        <v>0</v>
      </c>
      <c r="Z180">
        <f t="shared" si="119"/>
        <v>0</v>
      </c>
      <c r="AA180">
        <f t="shared" si="120"/>
        <v>0</v>
      </c>
      <c r="AB180">
        <f t="shared" si="121"/>
        <v>0</v>
      </c>
      <c r="AC180">
        <f t="shared" si="122"/>
        <v>0</v>
      </c>
      <c r="AD180">
        <f t="shared" si="123"/>
        <v>0</v>
      </c>
      <c r="AE180">
        <f t="shared" si="124"/>
        <v>0</v>
      </c>
      <c r="AF180">
        <f t="shared" si="125"/>
        <v>0</v>
      </c>
      <c r="AG180">
        <f t="shared" si="126"/>
        <v>0</v>
      </c>
      <c r="AH180">
        <f t="shared" si="127"/>
        <v>0</v>
      </c>
      <c r="AI180">
        <f t="shared" si="128"/>
        <v>0</v>
      </c>
      <c r="AJ180">
        <f t="shared" si="129"/>
        <v>0</v>
      </c>
      <c r="AK180">
        <f t="shared" si="130"/>
        <v>0</v>
      </c>
      <c r="AL180">
        <f t="shared" si="131"/>
        <v>0</v>
      </c>
      <c r="AM180">
        <f t="shared" si="132"/>
        <v>0</v>
      </c>
      <c r="AN180">
        <f t="shared" si="133"/>
        <v>0</v>
      </c>
      <c r="AO180">
        <f t="shared" si="134"/>
        <v>0</v>
      </c>
      <c r="AP180">
        <f t="shared" si="135"/>
        <v>0</v>
      </c>
      <c r="AQ180">
        <f t="shared" si="136"/>
        <v>0</v>
      </c>
      <c r="AR180">
        <f t="shared" si="137"/>
        <v>0</v>
      </c>
      <c r="AS180">
        <f t="shared" si="138"/>
        <v>0</v>
      </c>
      <c r="AT180">
        <f t="shared" si="139"/>
        <v>0</v>
      </c>
      <c r="AU180">
        <f t="shared" si="140"/>
        <v>0</v>
      </c>
      <c r="AV180">
        <f t="shared" si="141"/>
        <v>0</v>
      </c>
      <c r="AW180">
        <f t="shared" si="96"/>
        <v>0</v>
      </c>
      <c r="AX180">
        <f t="shared" si="142"/>
        <v>0</v>
      </c>
      <c r="AY180">
        <f t="shared" si="143"/>
        <v>0</v>
      </c>
    </row>
    <row r="181" spans="1:51" x14ac:dyDescent="0.35">
      <c r="A181">
        <v>175</v>
      </c>
      <c r="C181">
        <f>MAX(0,Calc!$C$7-SUM(D181:R181))</f>
        <v>750</v>
      </c>
      <c r="D181">
        <f t="shared" si="97"/>
        <v>0</v>
      </c>
      <c r="E181">
        <f t="shared" si="98"/>
        <v>0</v>
      </c>
      <c r="F181">
        <f t="shared" si="99"/>
        <v>0</v>
      </c>
      <c r="G181">
        <f t="shared" si="100"/>
        <v>0</v>
      </c>
      <c r="H181">
        <f t="shared" si="101"/>
        <v>0</v>
      </c>
      <c r="I181">
        <f t="shared" si="102"/>
        <v>0</v>
      </c>
      <c r="J181">
        <f t="shared" si="103"/>
        <v>0</v>
      </c>
      <c r="K181">
        <f t="shared" si="104"/>
        <v>0</v>
      </c>
      <c r="L181">
        <f t="shared" si="105"/>
        <v>0</v>
      </c>
      <c r="M181">
        <f t="shared" si="106"/>
        <v>0</v>
      </c>
      <c r="N181">
        <f t="shared" si="107"/>
        <v>0</v>
      </c>
      <c r="O181">
        <f t="shared" si="108"/>
        <v>0</v>
      </c>
      <c r="P181">
        <f t="shared" si="109"/>
        <v>0</v>
      </c>
      <c r="Q181">
        <f t="shared" si="110"/>
        <v>0</v>
      </c>
      <c r="R181">
        <f t="shared" si="111"/>
        <v>0</v>
      </c>
      <c r="S181">
        <f t="shared" si="112"/>
        <v>0</v>
      </c>
      <c r="T181">
        <f t="shared" si="113"/>
        <v>0</v>
      </c>
      <c r="U181">
        <f t="shared" si="114"/>
        <v>0</v>
      </c>
      <c r="V181">
        <f t="shared" si="115"/>
        <v>0</v>
      </c>
      <c r="W181">
        <f t="shared" si="116"/>
        <v>0</v>
      </c>
      <c r="X181">
        <f t="shared" si="117"/>
        <v>0</v>
      </c>
      <c r="Y181">
        <f t="shared" si="118"/>
        <v>0</v>
      </c>
      <c r="Z181">
        <f t="shared" si="119"/>
        <v>0</v>
      </c>
      <c r="AA181">
        <f t="shared" si="120"/>
        <v>0</v>
      </c>
      <c r="AB181">
        <f t="shared" si="121"/>
        <v>0</v>
      </c>
      <c r="AC181">
        <f t="shared" si="122"/>
        <v>0</v>
      </c>
      <c r="AD181">
        <f t="shared" si="123"/>
        <v>0</v>
      </c>
      <c r="AE181">
        <f t="shared" si="124"/>
        <v>0</v>
      </c>
      <c r="AF181">
        <f t="shared" si="125"/>
        <v>0</v>
      </c>
      <c r="AG181">
        <f t="shared" si="126"/>
        <v>0</v>
      </c>
      <c r="AH181">
        <f t="shared" si="127"/>
        <v>0</v>
      </c>
      <c r="AI181">
        <f t="shared" si="128"/>
        <v>0</v>
      </c>
      <c r="AJ181">
        <f t="shared" si="129"/>
        <v>0</v>
      </c>
      <c r="AK181">
        <f t="shared" si="130"/>
        <v>0</v>
      </c>
      <c r="AL181">
        <f t="shared" si="131"/>
        <v>0</v>
      </c>
      <c r="AM181">
        <f t="shared" si="132"/>
        <v>0</v>
      </c>
      <c r="AN181">
        <f t="shared" si="133"/>
        <v>0</v>
      </c>
      <c r="AO181">
        <f t="shared" si="134"/>
        <v>0</v>
      </c>
      <c r="AP181">
        <f t="shared" si="135"/>
        <v>0</v>
      </c>
      <c r="AQ181">
        <f t="shared" si="136"/>
        <v>0</v>
      </c>
      <c r="AR181">
        <f t="shared" si="137"/>
        <v>0</v>
      </c>
      <c r="AS181">
        <f t="shared" si="138"/>
        <v>0</v>
      </c>
      <c r="AT181">
        <f t="shared" si="139"/>
        <v>0</v>
      </c>
      <c r="AU181">
        <f t="shared" si="140"/>
        <v>0</v>
      </c>
      <c r="AV181">
        <f t="shared" si="141"/>
        <v>0</v>
      </c>
      <c r="AW181">
        <f t="shared" si="96"/>
        <v>0</v>
      </c>
      <c r="AX181">
        <f t="shared" si="142"/>
        <v>0</v>
      </c>
      <c r="AY181">
        <f t="shared" si="143"/>
        <v>0</v>
      </c>
    </row>
    <row r="182" spans="1:51" x14ac:dyDescent="0.35">
      <c r="A182">
        <v>176</v>
      </c>
      <c r="C182">
        <f>MAX(0,Calc!$C$7-SUM(D182:R182))</f>
        <v>750</v>
      </c>
      <c r="D182">
        <f t="shared" si="97"/>
        <v>0</v>
      </c>
      <c r="E182">
        <f t="shared" si="98"/>
        <v>0</v>
      </c>
      <c r="F182">
        <f t="shared" si="99"/>
        <v>0</v>
      </c>
      <c r="G182">
        <f t="shared" si="100"/>
        <v>0</v>
      </c>
      <c r="H182">
        <f t="shared" si="101"/>
        <v>0</v>
      </c>
      <c r="I182">
        <f t="shared" si="102"/>
        <v>0</v>
      </c>
      <c r="J182">
        <f t="shared" si="103"/>
        <v>0</v>
      </c>
      <c r="K182">
        <f t="shared" si="104"/>
        <v>0</v>
      </c>
      <c r="L182">
        <f t="shared" si="105"/>
        <v>0</v>
      </c>
      <c r="M182">
        <f t="shared" si="106"/>
        <v>0</v>
      </c>
      <c r="N182">
        <f t="shared" si="107"/>
        <v>0</v>
      </c>
      <c r="O182">
        <f t="shared" si="108"/>
        <v>0</v>
      </c>
      <c r="P182">
        <f t="shared" si="109"/>
        <v>0</v>
      </c>
      <c r="Q182">
        <f t="shared" si="110"/>
        <v>0</v>
      </c>
      <c r="R182">
        <f t="shared" si="111"/>
        <v>0</v>
      </c>
      <c r="S182">
        <f t="shared" si="112"/>
        <v>0</v>
      </c>
      <c r="T182">
        <f t="shared" si="113"/>
        <v>0</v>
      </c>
      <c r="U182">
        <f t="shared" si="114"/>
        <v>0</v>
      </c>
      <c r="V182">
        <f t="shared" si="115"/>
        <v>0</v>
      </c>
      <c r="W182">
        <f t="shared" si="116"/>
        <v>0</v>
      </c>
      <c r="X182">
        <f t="shared" si="117"/>
        <v>0</v>
      </c>
      <c r="Y182">
        <f t="shared" si="118"/>
        <v>0</v>
      </c>
      <c r="Z182">
        <f t="shared" si="119"/>
        <v>0</v>
      </c>
      <c r="AA182">
        <f t="shared" si="120"/>
        <v>0</v>
      </c>
      <c r="AB182">
        <f t="shared" si="121"/>
        <v>0</v>
      </c>
      <c r="AC182">
        <f t="shared" si="122"/>
        <v>0</v>
      </c>
      <c r="AD182">
        <f t="shared" si="123"/>
        <v>0</v>
      </c>
      <c r="AE182">
        <f t="shared" si="124"/>
        <v>0</v>
      </c>
      <c r="AF182">
        <f t="shared" si="125"/>
        <v>0</v>
      </c>
      <c r="AG182">
        <f t="shared" si="126"/>
        <v>0</v>
      </c>
      <c r="AH182">
        <f t="shared" si="127"/>
        <v>0</v>
      </c>
      <c r="AI182">
        <f t="shared" si="128"/>
        <v>0</v>
      </c>
      <c r="AJ182">
        <f t="shared" si="129"/>
        <v>0</v>
      </c>
      <c r="AK182">
        <f t="shared" si="130"/>
        <v>0</v>
      </c>
      <c r="AL182">
        <f t="shared" si="131"/>
        <v>0</v>
      </c>
      <c r="AM182">
        <f t="shared" si="132"/>
        <v>0</v>
      </c>
      <c r="AN182">
        <f t="shared" si="133"/>
        <v>0</v>
      </c>
      <c r="AO182">
        <f t="shared" si="134"/>
        <v>0</v>
      </c>
      <c r="AP182">
        <f t="shared" si="135"/>
        <v>0</v>
      </c>
      <c r="AQ182">
        <f t="shared" si="136"/>
        <v>0</v>
      </c>
      <c r="AR182">
        <f t="shared" si="137"/>
        <v>0</v>
      </c>
      <c r="AS182">
        <f t="shared" si="138"/>
        <v>0</v>
      </c>
      <c r="AT182">
        <f t="shared" si="139"/>
        <v>0</v>
      </c>
      <c r="AU182">
        <f t="shared" si="140"/>
        <v>0</v>
      </c>
      <c r="AV182">
        <f t="shared" si="141"/>
        <v>0</v>
      </c>
      <c r="AW182">
        <f t="shared" si="96"/>
        <v>0</v>
      </c>
      <c r="AX182">
        <f t="shared" si="142"/>
        <v>0</v>
      </c>
      <c r="AY182">
        <f t="shared" si="143"/>
        <v>0</v>
      </c>
    </row>
    <row r="183" spans="1:51" x14ac:dyDescent="0.35">
      <c r="A183">
        <v>177</v>
      </c>
      <c r="C183">
        <f>MAX(0,Calc!$C$7-SUM(D183:R183))</f>
        <v>750</v>
      </c>
      <c r="D183">
        <f t="shared" si="97"/>
        <v>0</v>
      </c>
      <c r="E183">
        <f t="shared" si="98"/>
        <v>0</v>
      </c>
      <c r="F183">
        <f t="shared" si="99"/>
        <v>0</v>
      </c>
      <c r="G183">
        <f t="shared" si="100"/>
        <v>0</v>
      </c>
      <c r="H183">
        <f t="shared" si="101"/>
        <v>0</v>
      </c>
      <c r="I183">
        <f t="shared" si="102"/>
        <v>0</v>
      </c>
      <c r="J183">
        <f t="shared" si="103"/>
        <v>0</v>
      </c>
      <c r="K183">
        <f t="shared" si="104"/>
        <v>0</v>
      </c>
      <c r="L183">
        <f t="shared" si="105"/>
        <v>0</v>
      </c>
      <c r="M183">
        <f t="shared" si="106"/>
        <v>0</v>
      </c>
      <c r="N183">
        <f t="shared" si="107"/>
        <v>0</v>
      </c>
      <c r="O183">
        <f t="shared" si="108"/>
        <v>0</v>
      </c>
      <c r="P183">
        <f t="shared" si="109"/>
        <v>0</v>
      </c>
      <c r="Q183">
        <f t="shared" si="110"/>
        <v>0</v>
      </c>
      <c r="R183">
        <f t="shared" si="111"/>
        <v>0</v>
      </c>
      <c r="S183">
        <f t="shared" si="112"/>
        <v>0</v>
      </c>
      <c r="T183">
        <f t="shared" si="113"/>
        <v>0</v>
      </c>
      <c r="U183">
        <f t="shared" si="114"/>
        <v>0</v>
      </c>
      <c r="V183">
        <f t="shared" si="115"/>
        <v>0</v>
      </c>
      <c r="W183">
        <f t="shared" si="116"/>
        <v>0</v>
      </c>
      <c r="X183">
        <f t="shared" si="117"/>
        <v>0</v>
      </c>
      <c r="Y183">
        <f t="shared" si="118"/>
        <v>0</v>
      </c>
      <c r="Z183">
        <f t="shared" si="119"/>
        <v>0</v>
      </c>
      <c r="AA183">
        <f t="shared" si="120"/>
        <v>0</v>
      </c>
      <c r="AB183">
        <f t="shared" si="121"/>
        <v>0</v>
      </c>
      <c r="AC183">
        <f t="shared" si="122"/>
        <v>0</v>
      </c>
      <c r="AD183">
        <f t="shared" si="123"/>
        <v>0</v>
      </c>
      <c r="AE183">
        <f t="shared" si="124"/>
        <v>0</v>
      </c>
      <c r="AF183">
        <f t="shared" si="125"/>
        <v>0</v>
      </c>
      <c r="AG183">
        <f t="shared" si="126"/>
        <v>0</v>
      </c>
      <c r="AH183">
        <f t="shared" si="127"/>
        <v>0</v>
      </c>
      <c r="AI183">
        <f t="shared" si="128"/>
        <v>0</v>
      </c>
      <c r="AJ183">
        <f t="shared" si="129"/>
        <v>0</v>
      </c>
      <c r="AK183">
        <f t="shared" si="130"/>
        <v>0</v>
      </c>
      <c r="AL183">
        <f t="shared" si="131"/>
        <v>0</v>
      </c>
      <c r="AM183">
        <f t="shared" si="132"/>
        <v>0</v>
      </c>
      <c r="AN183">
        <f t="shared" si="133"/>
        <v>0</v>
      </c>
      <c r="AO183">
        <f t="shared" si="134"/>
        <v>0</v>
      </c>
      <c r="AP183">
        <f t="shared" si="135"/>
        <v>0</v>
      </c>
      <c r="AQ183">
        <f t="shared" si="136"/>
        <v>0</v>
      </c>
      <c r="AR183">
        <f t="shared" si="137"/>
        <v>0</v>
      </c>
      <c r="AS183">
        <f t="shared" si="138"/>
        <v>0</v>
      </c>
      <c r="AT183">
        <f t="shared" si="139"/>
        <v>0</v>
      </c>
      <c r="AU183">
        <f t="shared" si="140"/>
        <v>0</v>
      </c>
      <c r="AV183">
        <f t="shared" si="141"/>
        <v>0</v>
      </c>
      <c r="AW183">
        <f t="shared" si="96"/>
        <v>0</v>
      </c>
      <c r="AX183">
        <f t="shared" si="142"/>
        <v>0</v>
      </c>
      <c r="AY183">
        <f t="shared" si="143"/>
        <v>0</v>
      </c>
    </row>
    <row r="184" spans="1:51" x14ac:dyDescent="0.35">
      <c r="A184">
        <v>178</v>
      </c>
      <c r="C184">
        <f>MAX(0,Calc!$C$7-SUM(D184:R184))</f>
        <v>750</v>
      </c>
      <c r="D184">
        <f t="shared" si="97"/>
        <v>0</v>
      </c>
      <c r="E184">
        <f t="shared" si="98"/>
        <v>0</v>
      </c>
      <c r="F184">
        <f t="shared" si="99"/>
        <v>0</v>
      </c>
      <c r="G184">
        <f t="shared" si="100"/>
        <v>0</v>
      </c>
      <c r="H184">
        <f t="shared" si="101"/>
        <v>0</v>
      </c>
      <c r="I184">
        <f t="shared" si="102"/>
        <v>0</v>
      </c>
      <c r="J184">
        <f t="shared" si="103"/>
        <v>0</v>
      </c>
      <c r="K184">
        <f t="shared" si="104"/>
        <v>0</v>
      </c>
      <c r="L184">
        <f t="shared" si="105"/>
        <v>0</v>
      </c>
      <c r="M184">
        <f t="shared" si="106"/>
        <v>0</v>
      </c>
      <c r="N184">
        <f t="shared" si="107"/>
        <v>0</v>
      </c>
      <c r="O184">
        <f t="shared" si="108"/>
        <v>0</v>
      </c>
      <c r="P184">
        <f t="shared" si="109"/>
        <v>0</v>
      </c>
      <c r="Q184">
        <f t="shared" si="110"/>
        <v>0</v>
      </c>
      <c r="R184">
        <f t="shared" si="111"/>
        <v>0</v>
      </c>
      <c r="S184">
        <f t="shared" si="112"/>
        <v>0</v>
      </c>
      <c r="T184">
        <f t="shared" si="113"/>
        <v>0</v>
      </c>
      <c r="U184">
        <f t="shared" si="114"/>
        <v>0</v>
      </c>
      <c r="V184">
        <f t="shared" si="115"/>
        <v>0</v>
      </c>
      <c r="W184">
        <f t="shared" si="116"/>
        <v>0</v>
      </c>
      <c r="X184">
        <f t="shared" si="117"/>
        <v>0</v>
      </c>
      <c r="Y184">
        <f t="shared" si="118"/>
        <v>0</v>
      </c>
      <c r="Z184">
        <f t="shared" si="119"/>
        <v>0</v>
      </c>
      <c r="AA184">
        <f t="shared" si="120"/>
        <v>0</v>
      </c>
      <c r="AB184">
        <f t="shared" si="121"/>
        <v>0</v>
      </c>
      <c r="AC184">
        <f t="shared" si="122"/>
        <v>0</v>
      </c>
      <c r="AD184">
        <f t="shared" si="123"/>
        <v>0</v>
      </c>
      <c r="AE184">
        <f t="shared" si="124"/>
        <v>0</v>
      </c>
      <c r="AF184">
        <f t="shared" si="125"/>
        <v>0</v>
      </c>
      <c r="AG184">
        <f t="shared" si="126"/>
        <v>0</v>
      </c>
      <c r="AH184">
        <f t="shared" si="127"/>
        <v>0</v>
      </c>
      <c r="AI184">
        <f t="shared" si="128"/>
        <v>0</v>
      </c>
      <c r="AJ184">
        <f t="shared" si="129"/>
        <v>0</v>
      </c>
      <c r="AK184">
        <f t="shared" si="130"/>
        <v>0</v>
      </c>
      <c r="AL184">
        <f t="shared" si="131"/>
        <v>0</v>
      </c>
      <c r="AM184">
        <f t="shared" si="132"/>
        <v>0</v>
      </c>
      <c r="AN184">
        <f t="shared" si="133"/>
        <v>0</v>
      </c>
      <c r="AO184">
        <f t="shared" si="134"/>
        <v>0</v>
      </c>
      <c r="AP184">
        <f t="shared" si="135"/>
        <v>0</v>
      </c>
      <c r="AQ184">
        <f t="shared" si="136"/>
        <v>0</v>
      </c>
      <c r="AR184">
        <f t="shared" si="137"/>
        <v>0</v>
      </c>
      <c r="AS184">
        <f t="shared" si="138"/>
        <v>0</v>
      </c>
      <c r="AT184">
        <f t="shared" si="139"/>
        <v>0</v>
      </c>
      <c r="AU184">
        <f t="shared" si="140"/>
        <v>0</v>
      </c>
      <c r="AV184">
        <f t="shared" si="141"/>
        <v>0</v>
      </c>
      <c r="AW184">
        <f t="shared" si="96"/>
        <v>0</v>
      </c>
      <c r="AX184">
        <f t="shared" si="142"/>
        <v>0</v>
      </c>
      <c r="AY184">
        <f t="shared" si="143"/>
        <v>0</v>
      </c>
    </row>
    <row r="185" spans="1:51" x14ac:dyDescent="0.35">
      <c r="A185">
        <v>179</v>
      </c>
      <c r="C185">
        <f>MAX(0,Calc!$C$7-SUM(D185:R185))</f>
        <v>750</v>
      </c>
      <c r="D185">
        <f t="shared" si="97"/>
        <v>0</v>
      </c>
      <c r="E185">
        <f t="shared" si="98"/>
        <v>0</v>
      </c>
      <c r="F185">
        <f t="shared" si="99"/>
        <v>0</v>
      </c>
      <c r="G185">
        <f t="shared" si="100"/>
        <v>0</v>
      </c>
      <c r="H185">
        <f t="shared" si="101"/>
        <v>0</v>
      </c>
      <c r="I185">
        <f t="shared" si="102"/>
        <v>0</v>
      </c>
      <c r="J185">
        <f t="shared" si="103"/>
        <v>0</v>
      </c>
      <c r="K185">
        <f t="shared" si="104"/>
        <v>0</v>
      </c>
      <c r="L185">
        <f t="shared" si="105"/>
        <v>0</v>
      </c>
      <c r="M185">
        <f t="shared" si="106"/>
        <v>0</v>
      </c>
      <c r="N185">
        <f t="shared" si="107"/>
        <v>0</v>
      </c>
      <c r="O185">
        <f t="shared" si="108"/>
        <v>0</v>
      </c>
      <c r="P185">
        <f t="shared" si="109"/>
        <v>0</v>
      </c>
      <c r="Q185">
        <f t="shared" si="110"/>
        <v>0</v>
      </c>
      <c r="R185">
        <f t="shared" si="111"/>
        <v>0</v>
      </c>
      <c r="S185">
        <f t="shared" si="112"/>
        <v>0</v>
      </c>
      <c r="T185">
        <f t="shared" si="113"/>
        <v>0</v>
      </c>
      <c r="U185">
        <f t="shared" si="114"/>
        <v>0</v>
      </c>
      <c r="V185">
        <f t="shared" si="115"/>
        <v>0</v>
      </c>
      <c r="W185">
        <f t="shared" si="116"/>
        <v>0</v>
      </c>
      <c r="X185">
        <f t="shared" si="117"/>
        <v>0</v>
      </c>
      <c r="Y185">
        <f t="shared" si="118"/>
        <v>0</v>
      </c>
      <c r="Z185">
        <f t="shared" si="119"/>
        <v>0</v>
      </c>
      <c r="AA185">
        <f t="shared" si="120"/>
        <v>0</v>
      </c>
      <c r="AB185">
        <f t="shared" si="121"/>
        <v>0</v>
      </c>
      <c r="AC185">
        <f t="shared" si="122"/>
        <v>0</v>
      </c>
      <c r="AD185">
        <f t="shared" si="123"/>
        <v>0</v>
      </c>
      <c r="AE185">
        <f t="shared" si="124"/>
        <v>0</v>
      </c>
      <c r="AF185">
        <f t="shared" si="125"/>
        <v>0</v>
      </c>
      <c r="AG185">
        <f t="shared" si="126"/>
        <v>0</v>
      </c>
      <c r="AH185">
        <f t="shared" si="127"/>
        <v>0</v>
      </c>
      <c r="AI185">
        <f t="shared" si="128"/>
        <v>0</v>
      </c>
      <c r="AJ185">
        <f t="shared" si="129"/>
        <v>0</v>
      </c>
      <c r="AK185">
        <f t="shared" si="130"/>
        <v>0</v>
      </c>
      <c r="AL185">
        <f t="shared" si="131"/>
        <v>0</v>
      </c>
      <c r="AM185">
        <f t="shared" si="132"/>
        <v>0</v>
      </c>
      <c r="AN185">
        <f t="shared" si="133"/>
        <v>0</v>
      </c>
      <c r="AO185">
        <f t="shared" si="134"/>
        <v>0</v>
      </c>
      <c r="AP185">
        <f t="shared" si="135"/>
        <v>0</v>
      </c>
      <c r="AQ185">
        <f t="shared" si="136"/>
        <v>0</v>
      </c>
      <c r="AR185">
        <f t="shared" si="137"/>
        <v>0</v>
      </c>
      <c r="AS185">
        <f t="shared" si="138"/>
        <v>0</v>
      </c>
      <c r="AT185">
        <f t="shared" si="139"/>
        <v>0</v>
      </c>
      <c r="AU185">
        <f t="shared" si="140"/>
        <v>0</v>
      </c>
      <c r="AV185">
        <f t="shared" si="141"/>
        <v>0</v>
      </c>
      <c r="AW185">
        <f t="shared" si="96"/>
        <v>0</v>
      </c>
      <c r="AX185">
        <f t="shared" si="142"/>
        <v>0</v>
      </c>
      <c r="AY185">
        <f t="shared" si="143"/>
        <v>0</v>
      </c>
    </row>
    <row r="186" spans="1:51" x14ac:dyDescent="0.35">
      <c r="A186">
        <v>180</v>
      </c>
      <c r="C186">
        <f>MAX(0,Calc!$C$7-SUM(D186:R186))</f>
        <v>750</v>
      </c>
      <c r="D186">
        <f t="shared" si="97"/>
        <v>0</v>
      </c>
      <c r="E186">
        <f t="shared" si="98"/>
        <v>0</v>
      </c>
      <c r="F186">
        <f t="shared" si="99"/>
        <v>0</v>
      </c>
      <c r="G186">
        <f t="shared" si="100"/>
        <v>0</v>
      </c>
      <c r="H186">
        <f t="shared" si="101"/>
        <v>0</v>
      </c>
      <c r="I186">
        <f t="shared" si="102"/>
        <v>0</v>
      </c>
      <c r="J186">
        <f t="shared" si="103"/>
        <v>0</v>
      </c>
      <c r="K186">
        <f t="shared" si="104"/>
        <v>0</v>
      </c>
      <c r="L186">
        <f t="shared" si="105"/>
        <v>0</v>
      </c>
      <c r="M186">
        <f t="shared" si="106"/>
        <v>0</v>
      </c>
      <c r="N186">
        <f t="shared" si="107"/>
        <v>0</v>
      </c>
      <c r="O186">
        <f t="shared" si="108"/>
        <v>0</v>
      </c>
      <c r="P186">
        <f t="shared" si="109"/>
        <v>0</v>
      </c>
      <c r="Q186">
        <f t="shared" si="110"/>
        <v>0</v>
      </c>
      <c r="R186">
        <f t="shared" si="111"/>
        <v>0</v>
      </c>
      <c r="S186">
        <f t="shared" si="112"/>
        <v>0</v>
      </c>
      <c r="T186">
        <f t="shared" si="113"/>
        <v>0</v>
      </c>
      <c r="U186">
        <f t="shared" si="114"/>
        <v>0</v>
      </c>
      <c r="V186">
        <f t="shared" si="115"/>
        <v>0</v>
      </c>
      <c r="W186">
        <f t="shared" si="116"/>
        <v>0</v>
      </c>
      <c r="X186">
        <f t="shared" si="117"/>
        <v>0</v>
      </c>
      <c r="Y186">
        <f t="shared" si="118"/>
        <v>0</v>
      </c>
      <c r="Z186">
        <f t="shared" si="119"/>
        <v>0</v>
      </c>
      <c r="AA186">
        <f t="shared" si="120"/>
        <v>0</v>
      </c>
      <c r="AB186">
        <f t="shared" si="121"/>
        <v>0</v>
      </c>
      <c r="AC186">
        <f t="shared" si="122"/>
        <v>0</v>
      </c>
      <c r="AD186">
        <f t="shared" si="123"/>
        <v>0</v>
      </c>
      <c r="AE186">
        <f t="shared" si="124"/>
        <v>0</v>
      </c>
      <c r="AF186">
        <f t="shared" si="125"/>
        <v>0</v>
      </c>
      <c r="AG186">
        <f t="shared" si="126"/>
        <v>0</v>
      </c>
      <c r="AH186">
        <f t="shared" si="127"/>
        <v>0</v>
      </c>
      <c r="AI186">
        <f t="shared" si="128"/>
        <v>0</v>
      </c>
      <c r="AJ186">
        <f t="shared" si="129"/>
        <v>0</v>
      </c>
      <c r="AK186">
        <f t="shared" si="130"/>
        <v>0</v>
      </c>
      <c r="AL186">
        <f t="shared" si="131"/>
        <v>0</v>
      </c>
      <c r="AM186">
        <f t="shared" si="132"/>
        <v>0</v>
      </c>
      <c r="AN186">
        <f t="shared" si="133"/>
        <v>0</v>
      </c>
      <c r="AO186">
        <f t="shared" si="134"/>
        <v>0</v>
      </c>
      <c r="AP186">
        <f t="shared" si="135"/>
        <v>0</v>
      </c>
      <c r="AQ186">
        <f t="shared" si="136"/>
        <v>0</v>
      </c>
      <c r="AR186">
        <f t="shared" si="137"/>
        <v>0</v>
      </c>
      <c r="AS186">
        <f t="shared" si="138"/>
        <v>0</v>
      </c>
      <c r="AT186">
        <f t="shared" si="139"/>
        <v>0</v>
      </c>
      <c r="AU186">
        <f t="shared" si="140"/>
        <v>0</v>
      </c>
      <c r="AV186">
        <f t="shared" si="141"/>
        <v>0</v>
      </c>
      <c r="AW186">
        <f t="shared" si="96"/>
        <v>0</v>
      </c>
      <c r="AX186">
        <f t="shared" si="142"/>
        <v>0</v>
      </c>
      <c r="AY186">
        <f t="shared" si="143"/>
        <v>0</v>
      </c>
    </row>
    <row r="187" spans="1:51" x14ac:dyDescent="0.35">
      <c r="A187">
        <v>181</v>
      </c>
      <c r="C187">
        <f>MAX(0,Calc!$C$7-SUM(D187:R187))</f>
        <v>750</v>
      </c>
      <c r="D187">
        <f t="shared" si="97"/>
        <v>0</v>
      </c>
      <c r="E187">
        <f t="shared" si="98"/>
        <v>0</v>
      </c>
      <c r="F187">
        <f t="shared" si="99"/>
        <v>0</v>
      </c>
      <c r="G187">
        <f t="shared" si="100"/>
        <v>0</v>
      </c>
      <c r="H187">
        <f t="shared" si="101"/>
        <v>0</v>
      </c>
      <c r="I187">
        <f t="shared" si="102"/>
        <v>0</v>
      </c>
      <c r="J187">
        <f t="shared" si="103"/>
        <v>0</v>
      </c>
      <c r="K187">
        <f t="shared" si="104"/>
        <v>0</v>
      </c>
      <c r="L187">
        <f t="shared" si="105"/>
        <v>0</v>
      </c>
      <c r="M187">
        <f t="shared" si="106"/>
        <v>0</v>
      </c>
      <c r="N187">
        <f t="shared" si="107"/>
        <v>0</v>
      </c>
      <c r="O187">
        <f t="shared" si="108"/>
        <v>0</v>
      </c>
      <c r="P187">
        <f t="shared" si="109"/>
        <v>0</v>
      </c>
      <c r="Q187">
        <f t="shared" si="110"/>
        <v>0</v>
      </c>
      <c r="R187">
        <f t="shared" si="111"/>
        <v>0</v>
      </c>
      <c r="S187">
        <f t="shared" si="112"/>
        <v>0</v>
      </c>
      <c r="T187">
        <f t="shared" si="113"/>
        <v>0</v>
      </c>
      <c r="U187">
        <f t="shared" si="114"/>
        <v>0</v>
      </c>
      <c r="V187">
        <f t="shared" si="115"/>
        <v>0</v>
      </c>
      <c r="W187">
        <f t="shared" si="116"/>
        <v>0</v>
      </c>
      <c r="X187">
        <f t="shared" si="117"/>
        <v>0</v>
      </c>
      <c r="Y187">
        <f t="shared" si="118"/>
        <v>0</v>
      </c>
      <c r="Z187">
        <f t="shared" si="119"/>
        <v>0</v>
      </c>
      <c r="AA187">
        <f t="shared" si="120"/>
        <v>0</v>
      </c>
      <c r="AB187">
        <f t="shared" si="121"/>
        <v>0</v>
      </c>
      <c r="AC187">
        <f t="shared" si="122"/>
        <v>0</v>
      </c>
      <c r="AD187">
        <f t="shared" si="123"/>
        <v>0</v>
      </c>
      <c r="AE187">
        <f t="shared" si="124"/>
        <v>0</v>
      </c>
      <c r="AF187">
        <f t="shared" si="125"/>
        <v>0</v>
      </c>
      <c r="AG187">
        <f t="shared" si="126"/>
        <v>0</v>
      </c>
      <c r="AH187">
        <f t="shared" si="127"/>
        <v>0</v>
      </c>
      <c r="AI187">
        <f t="shared" si="128"/>
        <v>0</v>
      </c>
      <c r="AJ187">
        <f t="shared" si="129"/>
        <v>0</v>
      </c>
      <c r="AK187">
        <f t="shared" si="130"/>
        <v>0</v>
      </c>
      <c r="AL187">
        <f t="shared" si="131"/>
        <v>0</v>
      </c>
      <c r="AM187">
        <f t="shared" si="132"/>
        <v>0</v>
      </c>
      <c r="AN187">
        <f t="shared" si="133"/>
        <v>0</v>
      </c>
      <c r="AO187">
        <f t="shared" si="134"/>
        <v>0</v>
      </c>
      <c r="AP187">
        <f t="shared" si="135"/>
        <v>0</v>
      </c>
      <c r="AQ187">
        <f t="shared" si="136"/>
        <v>0</v>
      </c>
      <c r="AR187">
        <f t="shared" si="137"/>
        <v>0</v>
      </c>
      <c r="AS187">
        <f t="shared" si="138"/>
        <v>0</v>
      </c>
      <c r="AT187">
        <f t="shared" si="139"/>
        <v>0</v>
      </c>
      <c r="AU187">
        <f t="shared" si="140"/>
        <v>0</v>
      </c>
      <c r="AV187">
        <f t="shared" si="141"/>
        <v>0</v>
      </c>
      <c r="AW187">
        <f t="shared" si="96"/>
        <v>0</v>
      </c>
      <c r="AX187">
        <f t="shared" si="142"/>
        <v>0</v>
      </c>
      <c r="AY187">
        <f t="shared" si="143"/>
        <v>0</v>
      </c>
    </row>
    <row r="188" spans="1:51" x14ac:dyDescent="0.35">
      <c r="A188">
        <v>182</v>
      </c>
      <c r="C188">
        <f>MAX(0,Calc!$C$7-SUM(D188:R188))</f>
        <v>750</v>
      </c>
      <c r="D188">
        <f t="shared" si="97"/>
        <v>0</v>
      </c>
      <c r="E188">
        <f t="shared" si="98"/>
        <v>0</v>
      </c>
      <c r="F188">
        <f t="shared" si="99"/>
        <v>0</v>
      </c>
      <c r="G188">
        <f t="shared" si="100"/>
        <v>0</v>
      </c>
      <c r="H188">
        <f t="shared" si="101"/>
        <v>0</v>
      </c>
      <c r="I188">
        <f t="shared" si="102"/>
        <v>0</v>
      </c>
      <c r="J188">
        <f t="shared" si="103"/>
        <v>0</v>
      </c>
      <c r="K188">
        <f t="shared" si="104"/>
        <v>0</v>
      </c>
      <c r="L188">
        <f t="shared" si="105"/>
        <v>0</v>
      </c>
      <c r="M188">
        <f t="shared" si="106"/>
        <v>0</v>
      </c>
      <c r="N188">
        <f t="shared" si="107"/>
        <v>0</v>
      </c>
      <c r="O188">
        <f t="shared" si="108"/>
        <v>0</v>
      </c>
      <c r="P188">
        <f t="shared" si="109"/>
        <v>0</v>
      </c>
      <c r="Q188">
        <f t="shared" si="110"/>
        <v>0</v>
      </c>
      <c r="R188">
        <f t="shared" si="111"/>
        <v>0</v>
      </c>
      <c r="S188">
        <f t="shared" si="112"/>
        <v>0</v>
      </c>
      <c r="T188">
        <f t="shared" si="113"/>
        <v>0</v>
      </c>
      <c r="U188">
        <f t="shared" si="114"/>
        <v>0</v>
      </c>
      <c r="V188">
        <f t="shared" si="115"/>
        <v>0</v>
      </c>
      <c r="W188">
        <f t="shared" si="116"/>
        <v>0</v>
      </c>
      <c r="X188">
        <f t="shared" si="117"/>
        <v>0</v>
      </c>
      <c r="Y188">
        <f t="shared" si="118"/>
        <v>0</v>
      </c>
      <c r="Z188">
        <f t="shared" si="119"/>
        <v>0</v>
      </c>
      <c r="AA188">
        <f t="shared" si="120"/>
        <v>0</v>
      </c>
      <c r="AB188">
        <f t="shared" si="121"/>
        <v>0</v>
      </c>
      <c r="AC188">
        <f t="shared" si="122"/>
        <v>0</v>
      </c>
      <c r="AD188">
        <f t="shared" si="123"/>
        <v>0</v>
      </c>
      <c r="AE188">
        <f t="shared" si="124"/>
        <v>0</v>
      </c>
      <c r="AF188">
        <f t="shared" si="125"/>
        <v>0</v>
      </c>
      <c r="AG188">
        <f t="shared" si="126"/>
        <v>0</v>
      </c>
      <c r="AH188">
        <f t="shared" si="127"/>
        <v>0</v>
      </c>
      <c r="AI188">
        <f t="shared" si="128"/>
        <v>0</v>
      </c>
      <c r="AJ188">
        <f t="shared" si="129"/>
        <v>0</v>
      </c>
      <c r="AK188">
        <f t="shared" si="130"/>
        <v>0</v>
      </c>
      <c r="AL188">
        <f t="shared" si="131"/>
        <v>0</v>
      </c>
      <c r="AM188">
        <f t="shared" si="132"/>
        <v>0</v>
      </c>
      <c r="AN188">
        <f t="shared" si="133"/>
        <v>0</v>
      </c>
      <c r="AO188">
        <f t="shared" si="134"/>
        <v>0</v>
      </c>
      <c r="AP188">
        <f t="shared" si="135"/>
        <v>0</v>
      </c>
      <c r="AQ188">
        <f t="shared" si="136"/>
        <v>0</v>
      </c>
      <c r="AR188">
        <f t="shared" si="137"/>
        <v>0</v>
      </c>
      <c r="AS188">
        <f t="shared" si="138"/>
        <v>0</v>
      </c>
      <c r="AT188">
        <f t="shared" si="139"/>
        <v>0</v>
      </c>
      <c r="AU188">
        <f t="shared" si="140"/>
        <v>0</v>
      </c>
      <c r="AV188">
        <f t="shared" si="141"/>
        <v>0</v>
      </c>
      <c r="AW188">
        <f t="shared" si="96"/>
        <v>0</v>
      </c>
      <c r="AX188">
        <f t="shared" si="142"/>
        <v>0</v>
      </c>
      <c r="AY188">
        <f t="shared" si="143"/>
        <v>0</v>
      </c>
    </row>
    <row r="189" spans="1:51" x14ac:dyDescent="0.35">
      <c r="A189">
        <v>183</v>
      </c>
      <c r="C189">
        <f>MAX(0,Calc!$C$7-SUM(D189:R189))</f>
        <v>750</v>
      </c>
      <c r="D189">
        <f t="shared" si="97"/>
        <v>0</v>
      </c>
      <c r="E189">
        <f t="shared" si="98"/>
        <v>0</v>
      </c>
      <c r="F189">
        <f t="shared" si="99"/>
        <v>0</v>
      </c>
      <c r="G189">
        <f t="shared" si="100"/>
        <v>0</v>
      </c>
      <c r="H189">
        <f t="shared" si="101"/>
        <v>0</v>
      </c>
      <c r="I189">
        <f t="shared" si="102"/>
        <v>0</v>
      </c>
      <c r="J189">
        <f t="shared" si="103"/>
        <v>0</v>
      </c>
      <c r="K189">
        <f t="shared" si="104"/>
        <v>0</v>
      </c>
      <c r="L189">
        <f t="shared" si="105"/>
        <v>0</v>
      </c>
      <c r="M189">
        <f t="shared" si="106"/>
        <v>0</v>
      </c>
      <c r="N189">
        <f t="shared" si="107"/>
        <v>0</v>
      </c>
      <c r="O189">
        <f t="shared" si="108"/>
        <v>0</v>
      </c>
      <c r="P189">
        <f t="shared" si="109"/>
        <v>0</v>
      </c>
      <c r="Q189">
        <f t="shared" si="110"/>
        <v>0</v>
      </c>
      <c r="R189">
        <f t="shared" si="111"/>
        <v>0</v>
      </c>
      <c r="S189">
        <f t="shared" si="112"/>
        <v>0</v>
      </c>
      <c r="T189">
        <f t="shared" si="113"/>
        <v>0</v>
      </c>
      <c r="U189">
        <f t="shared" si="114"/>
        <v>0</v>
      </c>
      <c r="V189">
        <f t="shared" si="115"/>
        <v>0</v>
      </c>
      <c r="W189">
        <f t="shared" si="116"/>
        <v>0</v>
      </c>
      <c r="X189">
        <f t="shared" si="117"/>
        <v>0</v>
      </c>
      <c r="Y189">
        <f t="shared" si="118"/>
        <v>0</v>
      </c>
      <c r="Z189">
        <f t="shared" si="119"/>
        <v>0</v>
      </c>
      <c r="AA189">
        <f t="shared" si="120"/>
        <v>0</v>
      </c>
      <c r="AB189">
        <f t="shared" si="121"/>
        <v>0</v>
      </c>
      <c r="AC189">
        <f t="shared" si="122"/>
        <v>0</v>
      </c>
      <c r="AD189">
        <f t="shared" si="123"/>
        <v>0</v>
      </c>
      <c r="AE189">
        <f t="shared" si="124"/>
        <v>0</v>
      </c>
      <c r="AF189">
        <f t="shared" si="125"/>
        <v>0</v>
      </c>
      <c r="AG189">
        <f t="shared" si="126"/>
        <v>0</v>
      </c>
      <c r="AH189">
        <f t="shared" si="127"/>
        <v>0</v>
      </c>
      <c r="AI189">
        <f t="shared" si="128"/>
        <v>0</v>
      </c>
      <c r="AJ189">
        <f t="shared" si="129"/>
        <v>0</v>
      </c>
      <c r="AK189">
        <f t="shared" si="130"/>
        <v>0</v>
      </c>
      <c r="AL189">
        <f t="shared" si="131"/>
        <v>0</v>
      </c>
      <c r="AM189">
        <f t="shared" si="132"/>
        <v>0</v>
      </c>
      <c r="AN189">
        <f t="shared" si="133"/>
        <v>0</v>
      </c>
      <c r="AO189">
        <f t="shared" si="134"/>
        <v>0</v>
      </c>
      <c r="AP189">
        <f t="shared" si="135"/>
        <v>0</v>
      </c>
      <c r="AQ189">
        <f t="shared" si="136"/>
        <v>0</v>
      </c>
      <c r="AR189">
        <f t="shared" si="137"/>
        <v>0</v>
      </c>
      <c r="AS189">
        <f t="shared" si="138"/>
        <v>0</v>
      </c>
      <c r="AT189">
        <f t="shared" si="139"/>
        <v>0</v>
      </c>
      <c r="AU189">
        <f t="shared" si="140"/>
        <v>0</v>
      </c>
      <c r="AV189">
        <f t="shared" si="141"/>
        <v>0</v>
      </c>
      <c r="AW189">
        <f t="shared" si="96"/>
        <v>0</v>
      </c>
      <c r="AX189">
        <f t="shared" si="142"/>
        <v>0</v>
      </c>
      <c r="AY189">
        <f t="shared" si="143"/>
        <v>0</v>
      </c>
    </row>
    <row r="190" spans="1:51" x14ac:dyDescent="0.35">
      <c r="A190">
        <v>184</v>
      </c>
      <c r="C190">
        <f>MAX(0,Calc!$C$7-SUM(D190:R190))</f>
        <v>750</v>
      </c>
      <c r="D190">
        <f t="shared" si="97"/>
        <v>0</v>
      </c>
      <c r="E190">
        <f t="shared" si="98"/>
        <v>0</v>
      </c>
      <c r="F190">
        <f t="shared" si="99"/>
        <v>0</v>
      </c>
      <c r="G190">
        <f t="shared" si="100"/>
        <v>0</v>
      </c>
      <c r="H190">
        <f t="shared" si="101"/>
        <v>0</v>
      </c>
      <c r="I190">
        <f t="shared" si="102"/>
        <v>0</v>
      </c>
      <c r="J190">
        <f t="shared" si="103"/>
        <v>0</v>
      </c>
      <c r="K190">
        <f t="shared" si="104"/>
        <v>0</v>
      </c>
      <c r="L190">
        <f t="shared" si="105"/>
        <v>0</v>
      </c>
      <c r="M190">
        <f t="shared" si="106"/>
        <v>0</v>
      </c>
      <c r="N190">
        <f t="shared" si="107"/>
        <v>0</v>
      </c>
      <c r="O190">
        <f t="shared" si="108"/>
        <v>0</v>
      </c>
      <c r="P190">
        <f t="shared" si="109"/>
        <v>0</v>
      </c>
      <c r="Q190">
        <f t="shared" si="110"/>
        <v>0</v>
      </c>
      <c r="R190">
        <f t="shared" si="111"/>
        <v>0</v>
      </c>
      <c r="S190">
        <f t="shared" si="112"/>
        <v>0</v>
      </c>
      <c r="T190">
        <f t="shared" si="113"/>
        <v>0</v>
      </c>
      <c r="U190">
        <f t="shared" si="114"/>
        <v>0</v>
      </c>
      <c r="V190">
        <f t="shared" si="115"/>
        <v>0</v>
      </c>
      <c r="W190">
        <f t="shared" si="116"/>
        <v>0</v>
      </c>
      <c r="X190">
        <f t="shared" si="117"/>
        <v>0</v>
      </c>
      <c r="Y190">
        <f t="shared" si="118"/>
        <v>0</v>
      </c>
      <c r="Z190">
        <f t="shared" si="119"/>
        <v>0</v>
      </c>
      <c r="AA190">
        <f t="shared" si="120"/>
        <v>0</v>
      </c>
      <c r="AB190">
        <f t="shared" si="121"/>
        <v>0</v>
      </c>
      <c r="AC190">
        <f t="shared" si="122"/>
        <v>0</v>
      </c>
      <c r="AD190">
        <f t="shared" si="123"/>
        <v>0</v>
      </c>
      <c r="AE190">
        <f t="shared" si="124"/>
        <v>0</v>
      </c>
      <c r="AF190">
        <f t="shared" si="125"/>
        <v>0</v>
      </c>
      <c r="AG190">
        <f t="shared" si="126"/>
        <v>0</v>
      </c>
      <c r="AH190">
        <f t="shared" si="127"/>
        <v>0</v>
      </c>
      <c r="AI190">
        <f t="shared" si="128"/>
        <v>0</v>
      </c>
      <c r="AJ190">
        <f t="shared" si="129"/>
        <v>0</v>
      </c>
      <c r="AK190">
        <f t="shared" si="130"/>
        <v>0</v>
      </c>
      <c r="AL190">
        <f t="shared" si="131"/>
        <v>0</v>
      </c>
      <c r="AM190">
        <f t="shared" si="132"/>
        <v>0</v>
      </c>
      <c r="AN190">
        <f t="shared" si="133"/>
        <v>0</v>
      </c>
      <c r="AO190">
        <f t="shared" si="134"/>
        <v>0</v>
      </c>
      <c r="AP190">
        <f t="shared" si="135"/>
        <v>0</v>
      </c>
      <c r="AQ190">
        <f t="shared" si="136"/>
        <v>0</v>
      </c>
      <c r="AR190">
        <f t="shared" si="137"/>
        <v>0</v>
      </c>
      <c r="AS190">
        <f t="shared" si="138"/>
        <v>0</v>
      </c>
      <c r="AT190">
        <f t="shared" si="139"/>
        <v>0</v>
      </c>
      <c r="AU190">
        <f t="shared" si="140"/>
        <v>0</v>
      </c>
      <c r="AV190">
        <f t="shared" si="141"/>
        <v>0</v>
      </c>
      <c r="AW190">
        <f t="shared" si="96"/>
        <v>0</v>
      </c>
      <c r="AX190">
        <f t="shared" si="142"/>
        <v>0</v>
      </c>
      <c r="AY190">
        <f t="shared" si="143"/>
        <v>0</v>
      </c>
    </row>
    <row r="191" spans="1:51" x14ac:dyDescent="0.35">
      <c r="A191">
        <v>185</v>
      </c>
      <c r="C191">
        <f>MAX(0,Calc!$C$7-SUM(D191:R191))</f>
        <v>750</v>
      </c>
      <c r="D191">
        <f t="shared" si="97"/>
        <v>0</v>
      </c>
      <c r="E191">
        <f t="shared" si="98"/>
        <v>0</v>
      </c>
      <c r="F191">
        <f t="shared" si="99"/>
        <v>0</v>
      </c>
      <c r="G191">
        <f t="shared" si="100"/>
        <v>0</v>
      </c>
      <c r="H191">
        <f t="shared" si="101"/>
        <v>0</v>
      </c>
      <c r="I191">
        <f t="shared" si="102"/>
        <v>0</v>
      </c>
      <c r="J191">
        <f t="shared" si="103"/>
        <v>0</v>
      </c>
      <c r="K191">
        <f t="shared" si="104"/>
        <v>0</v>
      </c>
      <c r="L191">
        <f t="shared" si="105"/>
        <v>0</v>
      </c>
      <c r="M191">
        <f t="shared" si="106"/>
        <v>0</v>
      </c>
      <c r="N191">
        <f t="shared" si="107"/>
        <v>0</v>
      </c>
      <c r="O191">
        <f t="shared" si="108"/>
        <v>0</v>
      </c>
      <c r="P191">
        <f t="shared" si="109"/>
        <v>0</v>
      </c>
      <c r="Q191">
        <f t="shared" si="110"/>
        <v>0</v>
      </c>
      <c r="R191">
        <f t="shared" si="111"/>
        <v>0</v>
      </c>
      <c r="S191">
        <f t="shared" si="112"/>
        <v>0</v>
      </c>
      <c r="T191">
        <f t="shared" si="113"/>
        <v>0</v>
      </c>
      <c r="U191">
        <f t="shared" si="114"/>
        <v>0</v>
      </c>
      <c r="V191">
        <f t="shared" si="115"/>
        <v>0</v>
      </c>
      <c r="W191">
        <f t="shared" si="116"/>
        <v>0</v>
      </c>
      <c r="X191">
        <f t="shared" si="117"/>
        <v>0</v>
      </c>
      <c r="Y191">
        <f t="shared" si="118"/>
        <v>0</v>
      </c>
      <c r="Z191">
        <f t="shared" si="119"/>
        <v>0</v>
      </c>
      <c r="AA191">
        <f t="shared" si="120"/>
        <v>0</v>
      </c>
      <c r="AB191">
        <f t="shared" si="121"/>
        <v>0</v>
      </c>
      <c r="AC191">
        <f t="shared" si="122"/>
        <v>0</v>
      </c>
      <c r="AD191">
        <f t="shared" si="123"/>
        <v>0</v>
      </c>
      <c r="AE191">
        <f t="shared" si="124"/>
        <v>0</v>
      </c>
      <c r="AF191">
        <f t="shared" si="125"/>
        <v>0</v>
      </c>
      <c r="AG191">
        <f t="shared" si="126"/>
        <v>0</v>
      </c>
      <c r="AH191">
        <f t="shared" si="127"/>
        <v>0</v>
      </c>
      <c r="AI191">
        <f t="shared" si="128"/>
        <v>0</v>
      </c>
      <c r="AJ191">
        <f t="shared" si="129"/>
        <v>0</v>
      </c>
      <c r="AK191">
        <f t="shared" si="130"/>
        <v>0</v>
      </c>
      <c r="AL191">
        <f t="shared" si="131"/>
        <v>0</v>
      </c>
      <c r="AM191">
        <f t="shared" si="132"/>
        <v>0</v>
      </c>
      <c r="AN191">
        <f t="shared" si="133"/>
        <v>0</v>
      </c>
      <c r="AO191">
        <f t="shared" si="134"/>
        <v>0</v>
      </c>
      <c r="AP191">
        <f t="shared" si="135"/>
        <v>0</v>
      </c>
      <c r="AQ191">
        <f t="shared" si="136"/>
        <v>0</v>
      </c>
      <c r="AR191">
        <f t="shared" si="137"/>
        <v>0</v>
      </c>
      <c r="AS191">
        <f t="shared" si="138"/>
        <v>0</v>
      </c>
      <c r="AT191">
        <f t="shared" si="139"/>
        <v>0</v>
      </c>
      <c r="AU191">
        <f t="shared" si="140"/>
        <v>0</v>
      </c>
      <c r="AV191">
        <f t="shared" si="141"/>
        <v>0</v>
      </c>
      <c r="AW191">
        <f t="shared" si="96"/>
        <v>0</v>
      </c>
      <c r="AX191">
        <f t="shared" si="142"/>
        <v>0</v>
      </c>
      <c r="AY191">
        <f t="shared" si="143"/>
        <v>0</v>
      </c>
    </row>
    <row r="192" spans="1:51" x14ac:dyDescent="0.35">
      <c r="A192">
        <v>186</v>
      </c>
      <c r="C192">
        <f>MAX(0,Calc!$C$7-SUM(D192:R192))</f>
        <v>750</v>
      </c>
      <c r="D192">
        <f t="shared" si="97"/>
        <v>0</v>
      </c>
      <c r="E192">
        <f t="shared" si="98"/>
        <v>0</v>
      </c>
      <c r="F192">
        <f t="shared" si="99"/>
        <v>0</v>
      </c>
      <c r="G192">
        <f t="shared" si="100"/>
        <v>0</v>
      </c>
      <c r="H192">
        <f t="shared" si="101"/>
        <v>0</v>
      </c>
      <c r="I192">
        <f t="shared" si="102"/>
        <v>0</v>
      </c>
      <c r="J192">
        <f t="shared" si="103"/>
        <v>0</v>
      </c>
      <c r="K192">
        <f t="shared" si="104"/>
        <v>0</v>
      </c>
      <c r="L192">
        <f t="shared" si="105"/>
        <v>0</v>
      </c>
      <c r="M192">
        <f t="shared" si="106"/>
        <v>0</v>
      </c>
      <c r="N192">
        <f t="shared" si="107"/>
        <v>0</v>
      </c>
      <c r="O192">
        <f t="shared" si="108"/>
        <v>0</v>
      </c>
      <c r="P192">
        <f t="shared" si="109"/>
        <v>0</v>
      </c>
      <c r="Q192">
        <f t="shared" si="110"/>
        <v>0</v>
      </c>
      <c r="R192">
        <f t="shared" si="111"/>
        <v>0</v>
      </c>
      <c r="S192">
        <f t="shared" si="112"/>
        <v>0</v>
      </c>
      <c r="T192">
        <f t="shared" si="113"/>
        <v>0</v>
      </c>
      <c r="U192">
        <f t="shared" si="114"/>
        <v>0</v>
      </c>
      <c r="V192">
        <f t="shared" si="115"/>
        <v>0</v>
      </c>
      <c r="W192">
        <f t="shared" si="116"/>
        <v>0</v>
      </c>
      <c r="X192">
        <f t="shared" si="117"/>
        <v>0</v>
      </c>
      <c r="Y192">
        <f t="shared" si="118"/>
        <v>0</v>
      </c>
      <c r="Z192">
        <f t="shared" si="119"/>
        <v>0</v>
      </c>
      <c r="AA192">
        <f t="shared" si="120"/>
        <v>0</v>
      </c>
      <c r="AB192">
        <f t="shared" si="121"/>
        <v>0</v>
      </c>
      <c r="AC192">
        <f t="shared" si="122"/>
        <v>0</v>
      </c>
      <c r="AD192">
        <f t="shared" si="123"/>
        <v>0</v>
      </c>
      <c r="AE192">
        <f t="shared" si="124"/>
        <v>0</v>
      </c>
      <c r="AF192">
        <f t="shared" si="125"/>
        <v>0</v>
      </c>
      <c r="AG192">
        <f t="shared" si="126"/>
        <v>0</v>
      </c>
      <c r="AH192">
        <f t="shared" si="127"/>
        <v>0</v>
      </c>
      <c r="AI192">
        <f t="shared" si="128"/>
        <v>0</v>
      </c>
      <c r="AJ192">
        <f t="shared" si="129"/>
        <v>0</v>
      </c>
      <c r="AK192">
        <f t="shared" si="130"/>
        <v>0</v>
      </c>
      <c r="AL192">
        <f t="shared" si="131"/>
        <v>0</v>
      </c>
      <c r="AM192">
        <f t="shared" si="132"/>
        <v>0</v>
      </c>
      <c r="AN192">
        <f t="shared" si="133"/>
        <v>0</v>
      </c>
      <c r="AO192">
        <f t="shared" si="134"/>
        <v>0</v>
      </c>
      <c r="AP192">
        <f t="shared" si="135"/>
        <v>0</v>
      </c>
      <c r="AQ192">
        <f t="shared" si="136"/>
        <v>0</v>
      </c>
      <c r="AR192">
        <f t="shared" si="137"/>
        <v>0</v>
      </c>
      <c r="AS192">
        <f t="shared" si="138"/>
        <v>0</v>
      </c>
      <c r="AT192">
        <f t="shared" si="139"/>
        <v>0</v>
      </c>
      <c r="AU192">
        <f t="shared" si="140"/>
        <v>0</v>
      </c>
      <c r="AV192">
        <f t="shared" si="141"/>
        <v>0</v>
      </c>
      <c r="AW192">
        <f t="shared" si="96"/>
        <v>0</v>
      </c>
      <c r="AX192">
        <f t="shared" si="142"/>
        <v>0</v>
      </c>
      <c r="AY192">
        <f t="shared" si="143"/>
        <v>0</v>
      </c>
    </row>
    <row r="193" spans="1:51" x14ac:dyDescent="0.35">
      <c r="A193">
        <v>187</v>
      </c>
      <c r="C193">
        <f>MAX(0,Calc!$C$7-SUM(D193:R193))</f>
        <v>750</v>
      </c>
      <c r="D193">
        <f t="shared" si="97"/>
        <v>0</v>
      </c>
      <c r="E193">
        <f t="shared" si="98"/>
        <v>0</v>
      </c>
      <c r="F193">
        <f t="shared" si="99"/>
        <v>0</v>
      </c>
      <c r="G193">
        <f t="shared" si="100"/>
        <v>0</v>
      </c>
      <c r="H193">
        <f t="shared" si="101"/>
        <v>0</v>
      </c>
      <c r="I193">
        <f t="shared" si="102"/>
        <v>0</v>
      </c>
      <c r="J193">
        <f t="shared" si="103"/>
        <v>0</v>
      </c>
      <c r="K193">
        <f t="shared" si="104"/>
        <v>0</v>
      </c>
      <c r="L193">
        <f t="shared" si="105"/>
        <v>0</v>
      </c>
      <c r="M193">
        <f t="shared" si="106"/>
        <v>0</v>
      </c>
      <c r="N193">
        <f t="shared" si="107"/>
        <v>0</v>
      </c>
      <c r="O193">
        <f t="shared" si="108"/>
        <v>0</v>
      </c>
      <c r="P193">
        <f t="shared" si="109"/>
        <v>0</v>
      </c>
      <c r="Q193">
        <f t="shared" si="110"/>
        <v>0</v>
      </c>
      <c r="R193">
        <f t="shared" si="111"/>
        <v>0</v>
      </c>
      <c r="S193">
        <f t="shared" si="112"/>
        <v>0</v>
      </c>
      <c r="T193">
        <f t="shared" si="113"/>
        <v>0</v>
      </c>
      <c r="U193">
        <f t="shared" si="114"/>
        <v>0</v>
      </c>
      <c r="V193">
        <f t="shared" si="115"/>
        <v>0</v>
      </c>
      <c r="W193">
        <f t="shared" si="116"/>
        <v>0</v>
      </c>
      <c r="X193">
        <f t="shared" si="117"/>
        <v>0</v>
      </c>
      <c r="Y193">
        <f t="shared" si="118"/>
        <v>0</v>
      </c>
      <c r="Z193">
        <f t="shared" si="119"/>
        <v>0</v>
      </c>
      <c r="AA193">
        <f t="shared" si="120"/>
        <v>0</v>
      </c>
      <c r="AB193">
        <f t="shared" si="121"/>
        <v>0</v>
      </c>
      <c r="AC193">
        <f t="shared" si="122"/>
        <v>0</v>
      </c>
      <c r="AD193">
        <f t="shared" si="123"/>
        <v>0</v>
      </c>
      <c r="AE193">
        <f t="shared" si="124"/>
        <v>0</v>
      </c>
      <c r="AF193">
        <f t="shared" si="125"/>
        <v>0</v>
      </c>
      <c r="AG193">
        <f t="shared" si="126"/>
        <v>0</v>
      </c>
      <c r="AH193">
        <f t="shared" si="127"/>
        <v>0</v>
      </c>
      <c r="AI193">
        <f t="shared" si="128"/>
        <v>0</v>
      </c>
      <c r="AJ193">
        <f t="shared" si="129"/>
        <v>0</v>
      </c>
      <c r="AK193">
        <f t="shared" si="130"/>
        <v>0</v>
      </c>
      <c r="AL193">
        <f t="shared" si="131"/>
        <v>0</v>
      </c>
      <c r="AM193">
        <f t="shared" si="132"/>
        <v>0</v>
      </c>
      <c r="AN193">
        <f t="shared" si="133"/>
        <v>0</v>
      </c>
      <c r="AO193">
        <f t="shared" si="134"/>
        <v>0</v>
      </c>
      <c r="AP193">
        <f t="shared" si="135"/>
        <v>0</v>
      </c>
      <c r="AQ193">
        <f t="shared" si="136"/>
        <v>0</v>
      </c>
      <c r="AR193">
        <f t="shared" si="137"/>
        <v>0</v>
      </c>
      <c r="AS193">
        <f t="shared" si="138"/>
        <v>0</v>
      </c>
      <c r="AT193">
        <f t="shared" si="139"/>
        <v>0</v>
      </c>
      <c r="AU193">
        <f t="shared" si="140"/>
        <v>0</v>
      </c>
      <c r="AV193">
        <f t="shared" si="141"/>
        <v>0</v>
      </c>
      <c r="AW193">
        <f t="shared" si="96"/>
        <v>0</v>
      </c>
      <c r="AX193">
        <f t="shared" si="142"/>
        <v>0</v>
      </c>
      <c r="AY193">
        <f t="shared" si="143"/>
        <v>0</v>
      </c>
    </row>
    <row r="194" spans="1:51" x14ac:dyDescent="0.35">
      <c r="A194">
        <v>188</v>
      </c>
      <c r="C194">
        <f>MAX(0,Calc!$C$7-SUM(D194:R194))</f>
        <v>750</v>
      </c>
      <c r="D194">
        <f t="shared" si="97"/>
        <v>0</v>
      </c>
      <c r="E194">
        <f t="shared" si="98"/>
        <v>0</v>
      </c>
      <c r="F194">
        <f t="shared" si="99"/>
        <v>0</v>
      </c>
      <c r="G194">
        <f t="shared" si="100"/>
        <v>0</v>
      </c>
      <c r="H194">
        <f t="shared" si="101"/>
        <v>0</v>
      </c>
      <c r="I194">
        <f t="shared" si="102"/>
        <v>0</v>
      </c>
      <c r="J194">
        <f t="shared" si="103"/>
        <v>0</v>
      </c>
      <c r="K194">
        <f t="shared" si="104"/>
        <v>0</v>
      </c>
      <c r="L194">
        <f t="shared" si="105"/>
        <v>0</v>
      </c>
      <c r="M194">
        <f t="shared" si="106"/>
        <v>0</v>
      </c>
      <c r="N194">
        <f t="shared" si="107"/>
        <v>0</v>
      </c>
      <c r="O194">
        <f t="shared" si="108"/>
        <v>0</v>
      </c>
      <c r="P194">
        <f t="shared" si="109"/>
        <v>0</v>
      </c>
      <c r="Q194">
        <f t="shared" si="110"/>
        <v>0</v>
      </c>
      <c r="R194">
        <f t="shared" si="111"/>
        <v>0</v>
      </c>
      <c r="S194">
        <f t="shared" si="112"/>
        <v>0</v>
      </c>
      <c r="T194">
        <f t="shared" si="113"/>
        <v>0</v>
      </c>
      <c r="U194">
        <f t="shared" si="114"/>
        <v>0</v>
      </c>
      <c r="V194">
        <f t="shared" si="115"/>
        <v>0</v>
      </c>
      <c r="W194">
        <f t="shared" si="116"/>
        <v>0</v>
      </c>
      <c r="X194">
        <f t="shared" si="117"/>
        <v>0</v>
      </c>
      <c r="Y194">
        <f t="shared" si="118"/>
        <v>0</v>
      </c>
      <c r="Z194">
        <f t="shared" si="119"/>
        <v>0</v>
      </c>
      <c r="AA194">
        <f t="shared" si="120"/>
        <v>0</v>
      </c>
      <c r="AB194">
        <f t="shared" si="121"/>
        <v>0</v>
      </c>
      <c r="AC194">
        <f t="shared" si="122"/>
        <v>0</v>
      </c>
      <c r="AD194">
        <f t="shared" si="123"/>
        <v>0</v>
      </c>
      <c r="AE194">
        <f t="shared" si="124"/>
        <v>0</v>
      </c>
      <c r="AF194">
        <f t="shared" si="125"/>
        <v>0</v>
      </c>
      <c r="AG194">
        <f t="shared" si="126"/>
        <v>0</v>
      </c>
      <c r="AH194">
        <f t="shared" si="127"/>
        <v>0</v>
      </c>
      <c r="AI194">
        <f t="shared" si="128"/>
        <v>0</v>
      </c>
      <c r="AJ194">
        <f t="shared" si="129"/>
        <v>0</v>
      </c>
      <c r="AK194">
        <f t="shared" si="130"/>
        <v>0</v>
      </c>
      <c r="AL194">
        <f t="shared" si="131"/>
        <v>0</v>
      </c>
      <c r="AM194">
        <f t="shared" si="132"/>
        <v>0</v>
      </c>
      <c r="AN194">
        <f t="shared" si="133"/>
        <v>0</v>
      </c>
      <c r="AO194">
        <f t="shared" si="134"/>
        <v>0</v>
      </c>
      <c r="AP194">
        <f t="shared" si="135"/>
        <v>0</v>
      </c>
      <c r="AQ194">
        <f t="shared" si="136"/>
        <v>0</v>
      </c>
      <c r="AR194">
        <f t="shared" si="137"/>
        <v>0</v>
      </c>
      <c r="AS194">
        <f t="shared" si="138"/>
        <v>0</v>
      </c>
      <c r="AT194">
        <f t="shared" si="139"/>
        <v>0</v>
      </c>
      <c r="AU194">
        <f t="shared" si="140"/>
        <v>0</v>
      </c>
      <c r="AV194">
        <f t="shared" si="141"/>
        <v>0</v>
      </c>
      <c r="AW194">
        <f t="shared" si="96"/>
        <v>0</v>
      </c>
      <c r="AX194">
        <f t="shared" si="142"/>
        <v>0</v>
      </c>
      <c r="AY194">
        <f t="shared" si="143"/>
        <v>0</v>
      </c>
    </row>
    <row r="195" spans="1:51" x14ac:dyDescent="0.35">
      <c r="A195">
        <v>189</v>
      </c>
      <c r="C195">
        <f>MAX(0,Calc!$C$7-SUM(D195:R195))</f>
        <v>750</v>
      </c>
      <c r="D195">
        <f t="shared" si="97"/>
        <v>0</v>
      </c>
      <c r="E195">
        <f t="shared" si="98"/>
        <v>0</v>
      </c>
      <c r="F195">
        <f t="shared" si="99"/>
        <v>0</v>
      </c>
      <c r="G195">
        <f t="shared" si="100"/>
        <v>0</v>
      </c>
      <c r="H195">
        <f t="shared" si="101"/>
        <v>0</v>
      </c>
      <c r="I195">
        <f t="shared" si="102"/>
        <v>0</v>
      </c>
      <c r="J195">
        <f t="shared" si="103"/>
        <v>0</v>
      </c>
      <c r="K195">
        <f t="shared" si="104"/>
        <v>0</v>
      </c>
      <c r="L195">
        <f t="shared" si="105"/>
        <v>0</v>
      </c>
      <c r="M195">
        <f t="shared" si="106"/>
        <v>0</v>
      </c>
      <c r="N195">
        <f t="shared" si="107"/>
        <v>0</v>
      </c>
      <c r="O195">
        <f t="shared" si="108"/>
        <v>0</v>
      </c>
      <c r="P195">
        <f t="shared" si="109"/>
        <v>0</v>
      </c>
      <c r="Q195">
        <f t="shared" si="110"/>
        <v>0</v>
      </c>
      <c r="R195">
        <f t="shared" si="111"/>
        <v>0</v>
      </c>
      <c r="S195">
        <f t="shared" si="112"/>
        <v>0</v>
      </c>
      <c r="T195">
        <f t="shared" si="113"/>
        <v>0</v>
      </c>
      <c r="U195">
        <f t="shared" si="114"/>
        <v>0</v>
      </c>
      <c r="V195">
        <f t="shared" si="115"/>
        <v>0</v>
      </c>
      <c r="W195">
        <f t="shared" si="116"/>
        <v>0</v>
      </c>
      <c r="X195">
        <f t="shared" si="117"/>
        <v>0</v>
      </c>
      <c r="Y195">
        <f t="shared" si="118"/>
        <v>0</v>
      </c>
      <c r="Z195">
        <f t="shared" si="119"/>
        <v>0</v>
      </c>
      <c r="AA195">
        <f t="shared" si="120"/>
        <v>0</v>
      </c>
      <c r="AB195">
        <f t="shared" si="121"/>
        <v>0</v>
      </c>
      <c r="AC195">
        <f t="shared" si="122"/>
        <v>0</v>
      </c>
      <c r="AD195">
        <f t="shared" si="123"/>
        <v>0</v>
      </c>
      <c r="AE195">
        <f t="shared" si="124"/>
        <v>0</v>
      </c>
      <c r="AF195">
        <f t="shared" si="125"/>
        <v>0</v>
      </c>
      <c r="AG195">
        <f t="shared" si="126"/>
        <v>0</v>
      </c>
      <c r="AH195">
        <f t="shared" si="127"/>
        <v>0</v>
      </c>
      <c r="AI195">
        <f t="shared" si="128"/>
        <v>0</v>
      </c>
      <c r="AJ195">
        <f t="shared" si="129"/>
        <v>0</v>
      </c>
      <c r="AK195">
        <f t="shared" si="130"/>
        <v>0</v>
      </c>
      <c r="AL195">
        <f t="shared" si="131"/>
        <v>0</v>
      </c>
      <c r="AM195">
        <f t="shared" si="132"/>
        <v>0</v>
      </c>
      <c r="AN195">
        <f t="shared" si="133"/>
        <v>0</v>
      </c>
      <c r="AO195">
        <f t="shared" si="134"/>
        <v>0</v>
      </c>
      <c r="AP195">
        <f t="shared" si="135"/>
        <v>0</v>
      </c>
      <c r="AQ195">
        <f t="shared" si="136"/>
        <v>0</v>
      </c>
      <c r="AR195">
        <f t="shared" si="137"/>
        <v>0</v>
      </c>
      <c r="AS195">
        <f t="shared" si="138"/>
        <v>0</v>
      </c>
      <c r="AT195">
        <f t="shared" si="139"/>
        <v>0</v>
      </c>
      <c r="AU195">
        <f t="shared" si="140"/>
        <v>0</v>
      </c>
      <c r="AV195">
        <f t="shared" si="141"/>
        <v>0</v>
      </c>
      <c r="AW195">
        <f t="shared" si="96"/>
        <v>0</v>
      </c>
      <c r="AX195">
        <f t="shared" si="142"/>
        <v>0</v>
      </c>
      <c r="AY195">
        <f t="shared" si="143"/>
        <v>0</v>
      </c>
    </row>
    <row r="196" spans="1:51" x14ac:dyDescent="0.35">
      <c r="A196">
        <v>190</v>
      </c>
      <c r="C196">
        <f>MAX(0,Calc!$C$7-SUM(D196:R196))</f>
        <v>750</v>
      </c>
      <c r="D196">
        <f t="shared" si="97"/>
        <v>0</v>
      </c>
      <c r="E196">
        <f t="shared" si="98"/>
        <v>0</v>
      </c>
      <c r="F196">
        <f t="shared" si="99"/>
        <v>0</v>
      </c>
      <c r="G196">
        <f t="shared" si="100"/>
        <v>0</v>
      </c>
      <c r="H196">
        <f t="shared" si="101"/>
        <v>0</v>
      </c>
      <c r="I196">
        <f t="shared" si="102"/>
        <v>0</v>
      </c>
      <c r="J196">
        <f t="shared" si="103"/>
        <v>0</v>
      </c>
      <c r="K196">
        <f t="shared" si="104"/>
        <v>0</v>
      </c>
      <c r="L196">
        <f t="shared" si="105"/>
        <v>0</v>
      </c>
      <c r="M196">
        <f t="shared" si="106"/>
        <v>0</v>
      </c>
      <c r="N196">
        <f t="shared" si="107"/>
        <v>0</v>
      </c>
      <c r="O196">
        <f t="shared" si="108"/>
        <v>0</v>
      </c>
      <c r="P196">
        <f t="shared" si="109"/>
        <v>0</v>
      </c>
      <c r="Q196">
        <f t="shared" si="110"/>
        <v>0</v>
      </c>
      <c r="R196">
        <f t="shared" si="111"/>
        <v>0</v>
      </c>
      <c r="S196">
        <f t="shared" si="112"/>
        <v>0</v>
      </c>
      <c r="T196">
        <f t="shared" si="113"/>
        <v>0</v>
      </c>
      <c r="U196">
        <f t="shared" si="114"/>
        <v>0</v>
      </c>
      <c r="V196">
        <f t="shared" si="115"/>
        <v>0</v>
      </c>
      <c r="W196">
        <f t="shared" si="116"/>
        <v>0</v>
      </c>
      <c r="X196">
        <f t="shared" si="117"/>
        <v>0</v>
      </c>
      <c r="Y196">
        <f t="shared" si="118"/>
        <v>0</v>
      </c>
      <c r="Z196">
        <f t="shared" si="119"/>
        <v>0</v>
      </c>
      <c r="AA196">
        <f t="shared" si="120"/>
        <v>0</v>
      </c>
      <c r="AB196">
        <f t="shared" si="121"/>
        <v>0</v>
      </c>
      <c r="AC196">
        <f t="shared" si="122"/>
        <v>0</v>
      </c>
      <c r="AD196">
        <f t="shared" si="123"/>
        <v>0</v>
      </c>
      <c r="AE196">
        <f t="shared" si="124"/>
        <v>0</v>
      </c>
      <c r="AF196">
        <f t="shared" si="125"/>
        <v>0</v>
      </c>
      <c r="AG196">
        <f t="shared" si="126"/>
        <v>0</v>
      </c>
      <c r="AH196">
        <f t="shared" si="127"/>
        <v>0</v>
      </c>
      <c r="AI196">
        <f t="shared" si="128"/>
        <v>0</v>
      </c>
      <c r="AJ196">
        <f t="shared" si="129"/>
        <v>0</v>
      </c>
      <c r="AK196">
        <f t="shared" si="130"/>
        <v>0</v>
      </c>
      <c r="AL196">
        <f t="shared" si="131"/>
        <v>0</v>
      </c>
      <c r="AM196">
        <f t="shared" si="132"/>
        <v>0</v>
      </c>
      <c r="AN196">
        <f t="shared" si="133"/>
        <v>0</v>
      </c>
      <c r="AO196">
        <f t="shared" si="134"/>
        <v>0</v>
      </c>
      <c r="AP196">
        <f t="shared" si="135"/>
        <v>0</v>
      </c>
      <c r="AQ196">
        <f t="shared" si="136"/>
        <v>0</v>
      </c>
      <c r="AR196">
        <f t="shared" si="137"/>
        <v>0</v>
      </c>
      <c r="AS196">
        <f t="shared" si="138"/>
        <v>0</v>
      </c>
      <c r="AT196">
        <f t="shared" si="139"/>
        <v>0</v>
      </c>
      <c r="AU196">
        <f t="shared" si="140"/>
        <v>0</v>
      </c>
      <c r="AV196">
        <f t="shared" si="141"/>
        <v>0</v>
      </c>
      <c r="AW196">
        <f t="shared" si="96"/>
        <v>0</v>
      </c>
      <c r="AX196">
        <f t="shared" si="142"/>
        <v>0</v>
      </c>
      <c r="AY196">
        <f t="shared" si="143"/>
        <v>0</v>
      </c>
    </row>
    <row r="197" spans="1:51" x14ac:dyDescent="0.35">
      <c r="A197">
        <v>191</v>
      </c>
      <c r="C197">
        <f>MAX(0,Calc!$C$7-SUM(D197:R197))</f>
        <v>750</v>
      </c>
      <c r="D197">
        <f t="shared" si="97"/>
        <v>0</v>
      </c>
      <c r="E197">
        <f t="shared" si="98"/>
        <v>0</v>
      </c>
      <c r="F197">
        <f t="shared" si="99"/>
        <v>0</v>
      </c>
      <c r="G197">
        <f t="shared" si="100"/>
        <v>0</v>
      </c>
      <c r="H197">
        <f t="shared" si="101"/>
        <v>0</v>
      </c>
      <c r="I197">
        <f t="shared" si="102"/>
        <v>0</v>
      </c>
      <c r="J197">
        <f t="shared" si="103"/>
        <v>0</v>
      </c>
      <c r="K197">
        <f t="shared" si="104"/>
        <v>0</v>
      </c>
      <c r="L197">
        <f t="shared" si="105"/>
        <v>0</v>
      </c>
      <c r="M197">
        <f t="shared" si="106"/>
        <v>0</v>
      </c>
      <c r="N197">
        <f t="shared" si="107"/>
        <v>0</v>
      </c>
      <c r="O197">
        <f t="shared" si="108"/>
        <v>0</v>
      </c>
      <c r="P197">
        <f t="shared" si="109"/>
        <v>0</v>
      </c>
      <c r="Q197">
        <f t="shared" si="110"/>
        <v>0</v>
      </c>
      <c r="R197">
        <f t="shared" si="111"/>
        <v>0</v>
      </c>
      <c r="S197">
        <f t="shared" si="112"/>
        <v>0</v>
      </c>
      <c r="T197">
        <f t="shared" si="113"/>
        <v>0</v>
      </c>
      <c r="U197">
        <f t="shared" si="114"/>
        <v>0</v>
      </c>
      <c r="V197">
        <f t="shared" si="115"/>
        <v>0</v>
      </c>
      <c r="W197">
        <f t="shared" si="116"/>
        <v>0</v>
      </c>
      <c r="X197">
        <f t="shared" si="117"/>
        <v>0</v>
      </c>
      <c r="Y197">
        <f t="shared" si="118"/>
        <v>0</v>
      </c>
      <c r="Z197">
        <f t="shared" si="119"/>
        <v>0</v>
      </c>
      <c r="AA197">
        <f t="shared" si="120"/>
        <v>0</v>
      </c>
      <c r="AB197">
        <f t="shared" si="121"/>
        <v>0</v>
      </c>
      <c r="AC197">
        <f t="shared" si="122"/>
        <v>0</v>
      </c>
      <c r="AD197">
        <f t="shared" si="123"/>
        <v>0</v>
      </c>
      <c r="AE197">
        <f t="shared" si="124"/>
        <v>0</v>
      </c>
      <c r="AF197">
        <f t="shared" si="125"/>
        <v>0</v>
      </c>
      <c r="AG197">
        <f t="shared" si="126"/>
        <v>0</v>
      </c>
      <c r="AH197">
        <f t="shared" si="127"/>
        <v>0</v>
      </c>
      <c r="AI197">
        <f t="shared" si="128"/>
        <v>0</v>
      </c>
      <c r="AJ197">
        <f t="shared" si="129"/>
        <v>0</v>
      </c>
      <c r="AK197">
        <f t="shared" si="130"/>
        <v>0</v>
      </c>
      <c r="AL197">
        <f t="shared" si="131"/>
        <v>0</v>
      </c>
      <c r="AM197">
        <f t="shared" si="132"/>
        <v>0</v>
      </c>
      <c r="AN197">
        <f t="shared" si="133"/>
        <v>0</v>
      </c>
      <c r="AO197">
        <f t="shared" si="134"/>
        <v>0</v>
      </c>
      <c r="AP197">
        <f t="shared" si="135"/>
        <v>0</v>
      </c>
      <c r="AQ197">
        <f t="shared" si="136"/>
        <v>0</v>
      </c>
      <c r="AR197">
        <f t="shared" si="137"/>
        <v>0</v>
      </c>
      <c r="AS197">
        <f t="shared" si="138"/>
        <v>0</v>
      </c>
      <c r="AT197">
        <f t="shared" si="139"/>
        <v>0</v>
      </c>
      <c r="AU197">
        <f t="shared" si="140"/>
        <v>0</v>
      </c>
      <c r="AV197">
        <f t="shared" si="141"/>
        <v>0</v>
      </c>
      <c r="AW197">
        <f t="shared" si="96"/>
        <v>0</v>
      </c>
      <c r="AX197">
        <f t="shared" si="142"/>
        <v>0</v>
      </c>
      <c r="AY197">
        <f t="shared" si="143"/>
        <v>0</v>
      </c>
    </row>
    <row r="198" spans="1:51" x14ac:dyDescent="0.35">
      <c r="A198">
        <v>192</v>
      </c>
      <c r="C198">
        <f>MAX(0,Calc!$C$7-SUM(D198:R198))</f>
        <v>750</v>
      </c>
      <c r="D198">
        <f t="shared" si="97"/>
        <v>0</v>
      </c>
      <c r="E198">
        <f t="shared" si="98"/>
        <v>0</v>
      </c>
      <c r="F198">
        <f t="shared" si="99"/>
        <v>0</v>
      </c>
      <c r="G198">
        <f t="shared" si="100"/>
        <v>0</v>
      </c>
      <c r="H198">
        <f t="shared" si="101"/>
        <v>0</v>
      </c>
      <c r="I198">
        <f t="shared" si="102"/>
        <v>0</v>
      </c>
      <c r="J198">
        <f t="shared" si="103"/>
        <v>0</v>
      </c>
      <c r="K198">
        <f t="shared" si="104"/>
        <v>0</v>
      </c>
      <c r="L198">
        <f t="shared" si="105"/>
        <v>0</v>
      </c>
      <c r="M198">
        <f t="shared" si="106"/>
        <v>0</v>
      </c>
      <c r="N198">
        <f t="shared" si="107"/>
        <v>0</v>
      </c>
      <c r="O198">
        <f t="shared" si="108"/>
        <v>0</v>
      </c>
      <c r="P198">
        <f t="shared" si="109"/>
        <v>0</v>
      </c>
      <c r="Q198">
        <f t="shared" si="110"/>
        <v>0</v>
      </c>
      <c r="R198">
        <f t="shared" si="111"/>
        <v>0</v>
      </c>
      <c r="S198">
        <f t="shared" si="112"/>
        <v>0</v>
      </c>
      <c r="T198">
        <f t="shared" si="113"/>
        <v>0</v>
      </c>
      <c r="U198">
        <f t="shared" si="114"/>
        <v>0</v>
      </c>
      <c r="V198">
        <f t="shared" si="115"/>
        <v>0</v>
      </c>
      <c r="W198">
        <f t="shared" si="116"/>
        <v>0</v>
      </c>
      <c r="X198">
        <f t="shared" si="117"/>
        <v>0</v>
      </c>
      <c r="Y198">
        <f t="shared" si="118"/>
        <v>0</v>
      </c>
      <c r="Z198">
        <f t="shared" si="119"/>
        <v>0</v>
      </c>
      <c r="AA198">
        <f t="shared" si="120"/>
        <v>0</v>
      </c>
      <c r="AB198">
        <f t="shared" si="121"/>
        <v>0</v>
      </c>
      <c r="AC198">
        <f t="shared" si="122"/>
        <v>0</v>
      </c>
      <c r="AD198">
        <f t="shared" si="123"/>
        <v>0</v>
      </c>
      <c r="AE198">
        <f t="shared" si="124"/>
        <v>0</v>
      </c>
      <c r="AF198">
        <f t="shared" si="125"/>
        <v>0</v>
      </c>
      <c r="AG198">
        <f t="shared" si="126"/>
        <v>0</v>
      </c>
      <c r="AH198">
        <f t="shared" si="127"/>
        <v>0</v>
      </c>
      <c r="AI198">
        <f t="shared" si="128"/>
        <v>0</v>
      </c>
      <c r="AJ198">
        <f t="shared" si="129"/>
        <v>0</v>
      </c>
      <c r="AK198">
        <f t="shared" si="130"/>
        <v>0</v>
      </c>
      <c r="AL198">
        <f t="shared" si="131"/>
        <v>0</v>
      </c>
      <c r="AM198">
        <f t="shared" si="132"/>
        <v>0</v>
      </c>
      <c r="AN198">
        <f t="shared" si="133"/>
        <v>0</v>
      </c>
      <c r="AO198">
        <f t="shared" si="134"/>
        <v>0</v>
      </c>
      <c r="AP198">
        <f t="shared" si="135"/>
        <v>0</v>
      </c>
      <c r="AQ198">
        <f t="shared" si="136"/>
        <v>0</v>
      </c>
      <c r="AR198">
        <f t="shared" si="137"/>
        <v>0</v>
      </c>
      <c r="AS198">
        <f t="shared" si="138"/>
        <v>0</v>
      </c>
      <c r="AT198">
        <f t="shared" si="139"/>
        <v>0</v>
      </c>
      <c r="AU198">
        <f t="shared" si="140"/>
        <v>0</v>
      </c>
      <c r="AV198">
        <f t="shared" si="141"/>
        <v>0</v>
      </c>
      <c r="AW198">
        <f t="shared" ref="AW198:AW261" si="144">SUM(AH198:AV198)</f>
        <v>0</v>
      </c>
      <c r="AX198">
        <f t="shared" si="142"/>
        <v>0</v>
      </c>
      <c r="AY198">
        <f t="shared" si="143"/>
        <v>0</v>
      </c>
    </row>
    <row r="199" spans="1:51" x14ac:dyDescent="0.35">
      <c r="A199">
        <v>193</v>
      </c>
      <c r="C199">
        <f>MAX(0,Calc!$C$7-SUM(D199:R199))</f>
        <v>750</v>
      </c>
      <c r="D199">
        <f t="shared" ref="D199:D262" si="145">IF(AH198&lt;0.005,0,MIN((AH198+ROUND(AH198*AH$3,2)),AH$4))</f>
        <v>0</v>
      </c>
      <c r="E199">
        <f t="shared" ref="E199:E262" si="146">IF(AI198&lt;0.005,0,MIN((AI198+ROUND(AI198*AI$3,2)),AI$4))</f>
        <v>0</v>
      </c>
      <c r="F199">
        <f t="shared" ref="F199:F262" si="147">IF(AJ198&lt;0.005,0,MIN((AJ198+ROUND(AJ198*AJ$3,2)),AJ$4))</f>
        <v>0</v>
      </c>
      <c r="G199">
        <f t="shared" ref="G199:G262" si="148">IF(AK198&lt;0.005,0,MIN((AK198+ROUND(AK198*AK$3,2)),AK$4))</f>
        <v>0</v>
      </c>
      <c r="H199">
        <f t="shared" ref="H199:H262" si="149">IF(AL198&lt;0.005,0,MIN((AL198+ROUND(AL198*AL$3,2)),AL$4))</f>
        <v>0</v>
      </c>
      <c r="I199">
        <f t="shared" ref="I199:I262" si="150">IF(AM198&lt;0.005,0,MIN((AM198+ROUND(AM198*AM$3,2)),AM$4))</f>
        <v>0</v>
      </c>
      <c r="J199">
        <f t="shared" ref="J199:J262" si="151">IF(AN198&lt;0.005,0,MIN((AN198+ROUND(AN198*AN$3,2)),AN$4))</f>
        <v>0</v>
      </c>
      <c r="K199">
        <f t="shared" ref="K199:K262" si="152">IF(AO198&lt;0.005,0,MIN((AO198+ROUND(AO198*AO$3,2)),AO$4))</f>
        <v>0</v>
      </c>
      <c r="L199">
        <f t="shared" ref="L199:L262" si="153">IF(AP198&lt;0.005,0,MIN((AP198+ROUND(AP198*AP$3,2)),AP$4))</f>
        <v>0</v>
      </c>
      <c r="M199">
        <f t="shared" ref="M199:M262" si="154">IF(AQ198&lt;0.005,0,MIN((AQ198+ROUND(AQ198*AQ$3,2)),AQ$4))</f>
        <v>0</v>
      </c>
      <c r="N199">
        <f t="shared" ref="N199:N262" si="155">IF(AR198&lt;0.005,0,MIN((AR198+ROUND(AR198*AR$3,2)),AR$4))</f>
        <v>0</v>
      </c>
      <c r="O199">
        <f t="shared" ref="O199:O262" si="156">IF(AS198&lt;0.005,0,MIN((AS198+ROUND(AS198*AS$3,2)),AS$4))</f>
        <v>0</v>
      </c>
      <c r="P199">
        <f t="shared" ref="P199:P262" si="157">IF(AT198&lt;0.005,0,MIN((AT198+ROUND(AT198*AT$3,2)),AT$4))</f>
        <v>0</v>
      </c>
      <c r="Q199">
        <f t="shared" ref="Q199:Q262" si="158">IF(AU198&lt;0.005,0,MIN((AU198+ROUND(AU198*AU$3,2)),AU$4))</f>
        <v>0</v>
      </c>
      <c r="R199">
        <f t="shared" ref="R199:R262" si="159">IF(AV198&lt;0.005,0,MIN((AV198+ROUND(AV198*AV$3,2)),AV$4))</f>
        <v>0</v>
      </c>
      <c r="S199">
        <f t="shared" ref="S199:S262" si="160">IF(AH198&lt;0.005,0,MIN((AH198+ROUND(AH198*AH$3,2))-D199,MAX(0,$C199)))</f>
        <v>0</v>
      </c>
      <c r="T199">
        <f t="shared" ref="T199:T262" si="161">IF(AI198&lt;0.005,0,MIN((AI198+ROUND(AI198*AI$3,2))-E199,MAX(0,$C199-SUM(S199:S199))))</f>
        <v>0</v>
      </c>
      <c r="U199">
        <f t="shared" ref="U199:U262" si="162">IF(AJ198&lt;0.005,0,MIN((AJ198+ROUND(AJ198*AJ$3,2))-F199,MAX(0,$C199-SUM(S199:T199))))</f>
        <v>0</v>
      </c>
      <c r="V199">
        <f t="shared" ref="V199:V262" si="163">IF(AK198&lt;0.005,0,MIN((AK198+ROUND(AK198*AK$3,2))-G199,MAX(0,$C199-SUM(S199:U199))))</f>
        <v>0</v>
      </c>
      <c r="W199">
        <f t="shared" ref="W199:W262" si="164">IF(AL198&lt;0.005,0,MIN((AL198+ROUND(AL198*AL$3,2))-H199,MAX(0,$C199-SUM(S199:V199))))</f>
        <v>0</v>
      </c>
      <c r="X199">
        <f t="shared" ref="X199:X262" si="165">IF(AM198&lt;0.005,0,MIN((AM198+ROUND(AM198*AM$3,2))-I199,MAX(0,$C199-SUM(S199:W199))))</f>
        <v>0</v>
      </c>
      <c r="Y199">
        <f t="shared" ref="Y199:Y262" si="166">IF(AN198&lt;0.005,0,MIN((AN198+ROUND(AN198*AN$3,2))-J199,MAX(0,$C199-SUM(S199:X199))))</f>
        <v>0</v>
      </c>
      <c r="Z199">
        <f t="shared" ref="Z199:Z262" si="167">IF(AO198&lt;0.005,0,MIN((AO198+ROUND(AO198*AO$3,2))-K199,MAX(0,$C199-SUM(S199:Y199))))</f>
        <v>0</v>
      </c>
      <c r="AA199">
        <f t="shared" ref="AA199:AA262" si="168">IF(AP198&lt;0.005,0,MIN((AP198+ROUND(AP198*AP$3,2))-L199,MAX(0,$C199-SUM(S199:Z199))))</f>
        <v>0</v>
      </c>
      <c r="AB199">
        <f t="shared" ref="AB199:AB262" si="169">IF(AQ198&lt;0.005,0,MIN((AQ198+ROUND(AQ198*AQ$3,2))-M199,MAX(0,$C199-SUM(S199:AA199))))</f>
        <v>0</v>
      </c>
      <c r="AC199">
        <f t="shared" ref="AC199:AC262" si="170">IF(AR198&lt;0.005,0,MIN((AR198+ROUND(AR198*AR$3,2))-N199,MAX(0,$C199-SUM(S199:AB199))))</f>
        <v>0</v>
      </c>
      <c r="AD199">
        <f t="shared" ref="AD199:AD262" si="171">IF(AS198&lt;0.005,0,MIN((AS198+ROUND(AS198*AS$3,2))-O199,MAX(0,$C199-SUM(S199:AC199))))</f>
        <v>0</v>
      </c>
      <c r="AE199">
        <f t="shared" ref="AE199:AE262" si="172">IF(AT198&lt;0.005,0,MIN((AT198+ROUND(AT198*AT$3,2))-P199,MAX(0,$C199-SUM(S199:AD199))))</f>
        <v>0</v>
      </c>
      <c r="AF199">
        <f t="shared" ref="AF199:AF262" si="173">IF(AU198&lt;0.005,0,MIN((AU198+ROUND(AU198*AU$3,2))-Q199,MAX(0,$C199-SUM(S199:AE199))))</f>
        <v>0</v>
      </c>
      <c r="AG199">
        <f t="shared" ref="AG199:AG262" si="174">IF(AV198&lt;0.005,0,MIN((AV198+ROUND(AV198*AV$3,2))-R199,MAX(0,$C199-SUM(S199:AF199))))</f>
        <v>0</v>
      </c>
      <c r="AH199">
        <f t="shared" ref="AH199:AH262" si="175">IF(AH198&lt;0.005,0,ROUND((AH198+ROUND(AH198*AH$3,2))-D199-S199,2))</f>
        <v>0</v>
      </c>
      <c r="AI199">
        <f t="shared" ref="AI199:AI262" si="176">IF(AI198&lt;0.005,0,ROUND((AI198+ROUND(AI198*AI$3,2))-E199-T199,2))</f>
        <v>0</v>
      </c>
      <c r="AJ199">
        <f t="shared" ref="AJ199:AJ262" si="177">IF(AJ198&lt;0.005,0,ROUND((AJ198+ROUND(AJ198*AJ$3,2))-F199-U199,2))</f>
        <v>0</v>
      </c>
      <c r="AK199">
        <f t="shared" ref="AK199:AK262" si="178">IF(AK198&lt;0.005,0,ROUND((AK198+ROUND(AK198*AK$3,2))-G199-V199,2))</f>
        <v>0</v>
      </c>
      <c r="AL199">
        <f t="shared" ref="AL199:AL262" si="179">IF(AL198&lt;0.005,0,ROUND((AL198+ROUND(AL198*AL$3,2))-H199-W199,2))</f>
        <v>0</v>
      </c>
      <c r="AM199">
        <f t="shared" ref="AM199:AM262" si="180">IF(AM198&lt;0.005,0,ROUND((AM198+ROUND(AM198*AM$3,2))-I199-X199,2))</f>
        <v>0</v>
      </c>
      <c r="AN199">
        <f t="shared" ref="AN199:AN262" si="181">IF(AN198&lt;0.005,0,ROUND((AN198+ROUND(AN198*AN$3,2))-J199-Y199,2))</f>
        <v>0</v>
      </c>
      <c r="AO199">
        <f t="shared" ref="AO199:AO262" si="182">IF(AO198&lt;0.005,0,ROUND((AO198+ROUND(AO198*AO$3,2))-K199-Z199,2))</f>
        <v>0</v>
      </c>
      <c r="AP199">
        <f t="shared" ref="AP199:AP262" si="183">IF(AP198&lt;0.005,0,ROUND((AP198+ROUND(AP198*AP$3,2))-L199-AA199,2))</f>
        <v>0</v>
      </c>
      <c r="AQ199">
        <f t="shared" ref="AQ199:AQ262" si="184">IF(AQ198&lt;0.005,0,ROUND((AQ198+ROUND(AQ198*AQ$3,2))-M199-AB199,2))</f>
        <v>0</v>
      </c>
      <c r="AR199">
        <f t="shared" ref="AR199:AR262" si="185">IF(AR198&lt;0.005,0,ROUND((AR198+ROUND(AR198*AR$3,2))-N199-AC199,2))</f>
        <v>0</v>
      </c>
      <c r="AS199">
        <f t="shared" ref="AS199:AS262" si="186">IF(AS198&lt;0.005,0,ROUND((AS198+ROUND(AS198*AS$3,2))-O199-AD199,2))</f>
        <v>0</v>
      </c>
      <c r="AT199">
        <f t="shared" ref="AT199:AT262" si="187">IF(AT198&lt;0.005,0,ROUND((AT198+ROUND(AT198*AT$3,2))-P199-AE199,2))</f>
        <v>0</v>
      </c>
      <c r="AU199">
        <f t="shared" ref="AU199:AU262" si="188">IF(AU198&lt;0.005,0,ROUND((AU198+ROUND(AU198*AU$3,2))-Q199-AF199,2))</f>
        <v>0</v>
      </c>
      <c r="AV199">
        <f t="shared" ref="AV199:AV262" si="189">IF(AV198&lt;0.005,0,ROUND((AV198+ROUND(AV198*AV$3,2))-R199-AG199,2))</f>
        <v>0</v>
      </c>
      <c r="AW199">
        <f t="shared" si="144"/>
        <v>0</v>
      </c>
      <c r="AX199">
        <f t="shared" ref="AX199:AX262" si="190">SUMPRODUCT(ROUND(AH198:AV198*AH$3:AV$3,2))</f>
        <v>0</v>
      </c>
      <c r="AY199">
        <f t="shared" ref="AY199:AY262" si="191">SUM(D199:AG199)</f>
        <v>0</v>
      </c>
    </row>
    <row r="200" spans="1:51" x14ac:dyDescent="0.35">
      <c r="A200">
        <v>194</v>
      </c>
      <c r="C200">
        <f>MAX(0,Calc!$C$7-SUM(D200:R200))</f>
        <v>750</v>
      </c>
      <c r="D200">
        <f t="shared" si="145"/>
        <v>0</v>
      </c>
      <c r="E200">
        <f t="shared" si="146"/>
        <v>0</v>
      </c>
      <c r="F200">
        <f t="shared" si="147"/>
        <v>0</v>
      </c>
      <c r="G200">
        <f t="shared" si="148"/>
        <v>0</v>
      </c>
      <c r="H200">
        <f t="shared" si="149"/>
        <v>0</v>
      </c>
      <c r="I200">
        <f t="shared" si="150"/>
        <v>0</v>
      </c>
      <c r="J200">
        <f t="shared" si="151"/>
        <v>0</v>
      </c>
      <c r="K200">
        <f t="shared" si="152"/>
        <v>0</v>
      </c>
      <c r="L200">
        <f t="shared" si="153"/>
        <v>0</v>
      </c>
      <c r="M200">
        <f t="shared" si="154"/>
        <v>0</v>
      </c>
      <c r="N200">
        <f t="shared" si="155"/>
        <v>0</v>
      </c>
      <c r="O200">
        <f t="shared" si="156"/>
        <v>0</v>
      </c>
      <c r="P200">
        <f t="shared" si="157"/>
        <v>0</v>
      </c>
      <c r="Q200">
        <f t="shared" si="158"/>
        <v>0</v>
      </c>
      <c r="R200">
        <f t="shared" si="159"/>
        <v>0</v>
      </c>
      <c r="S200">
        <f t="shared" si="160"/>
        <v>0</v>
      </c>
      <c r="T200">
        <f t="shared" si="161"/>
        <v>0</v>
      </c>
      <c r="U200">
        <f t="shared" si="162"/>
        <v>0</v>
      </c>
      <c r="V200">
        <f t="shared" si="163"/>
        <v>0</v>
      </c>
      <c r="W200">
        <f t="shared" si="164"/>
        <v>0</v>
      </c>
      <c r="X200">
        <f t="shared" si="165"/>
        <v>0</v>
      </c>
      <c r="Y200">
        <f t="shared" si="166"/>
        <v>0</v>
      </c>
      <c r="Z200">
        <f t="shared" si="167"/>
        <v>0</v>
      </c>
      <c r="AA200">
        <f t="shared" si="168"/>
        <v>0</v>
      </c>
      <c r="AB200">
        <f t="shared" si="169"/>
        <v>0</v>
      </c>
      <c r="AC200">
        <f t="shared" si="170"/>
        <v>0</v>
      </c>
      <c r="AD200">
        <f t="shared" si="171"/>
        <v>0</v>
      </c>
      <c r="AE200">
        <f t="shared" si="172"/>
        <v>0</v>
      </c>
      <c r="AF200">
        <f t="shared" si="173"/>
        <v>0</v>
      </c>
      <c r="AG200">
        <f t="shared" si="174"/>
        <v>0</v>
      </c>
      <c r="AH200">
        <f t="shared" si="175"/>
        <v>0</v>
      </c>
      <c r="AI200">
        <f t="shared" si="176"/>
        <v>0</v>
      </c>
      <c r="AJ200">
        <f t="shared" si="177"/>
        <v>0</v>
      </c>
      <c r="AK200">
        <f t="shared" si="178"/>
        <v>0</v>
      </c>
      <c r="AL200">
        <f t="shared" si="179"/>
        <v>0</v>
      </c>
      <c r="AM200">
        <f t="shared" si="180"/>
        <v>0</v>
      </c>
      <c r="AN200">
        <f t="shared" si="181"/>
        <v>0</v>
      </c>
      <c r="AO200">
        <f t="shared" si="182"/>
        <v>0</v>
      </c>
      <c r="AP200">
        <f t="shared" si="183"/>
        <v>0</v>
      </c>
      <c r="AQ200">
        <f t="shared" si="184"/>
        <v>0</v>
      </c>
      <c r="AR200">
        <f t="shared" si="185"/>
        <v>0</v>
      </c>
      <c r="AS200">
        <f t="shared" si="186"/>
        <v>0</v>
      </c>
      <c r="AT200">
        <f t="shared" si="187"/>
        <v>0</v>
      </c>
      <c r="AU200">
        <f t="shared" si="188"/>
        <v>0</v>
      </c>
      <c r="AV200">
        <f t="shared" si="189"/>
        <v>0</v>
      </c>
      <c r="AW200">
        <f t="shared" si="144"/>
        <v>0</v>
      </c>
      <c r="AX200">
        <f t="shared" si="190"/>
        <v>0</v>
      </c>
      <c r="AY200">
        <f t="shared" si="191"/>
        <v>0</v>
      </c>
    </row>
    <row r="201" spans="1:51" x14ac:dyDescent="0.35">
      <c r="A201">
        <v>195</v>
      </c>
      <c r="C201">
        <f>MAX(0,Calc!$C$7-SUM(D201:R201))</f>
        <v>750</v>
      </c>
      <c r="D201">
        <f t="shared" si="145"/>
        <v>0</v>
      </c>
      <c r="E201">
        <f t="shared" si="146"/>
        <v>0</v>
      </c>
      <c r="F201">
        <f t="shared" si="147"/>
        <v>0</v>
      </c>
      <c r="G201">
        <f t="shared" si="148"/>
        <v>0</v>
      </c>
      <c r="H201">
        <f t="shared" si="149"/>
        <v>0</v>
      </c>
      <c r="I201">
        <f t="shared" si="150"/>
        <v>0</v>
      </c>
      <c r="J201">
        <f t="shared" si="151"/>
        <v>0</v>
      </c>
      <c r="K201">
        <f t="shared" si="152"/>
        <v>0</v>
      </c>
      <c r="L201">
        <f t="shared" si="153"/>
        <v>0</v>
      </c>
      <c r="M201">
        <f t="shared" si="154"/>
        <v>0</v>
      </c>
      <c r="N201">
        <f t="shared" si="155"/>
        <v>0</v>
      </c>
      <c r="O201">
        <f t="shared" si="156"/>
        <v>0</v>
      </c>
      <c r="P201">
        <f t="shared" si="157"/>
        <v>0</v>
      </c>
      <c r="Q201">
        <f t="shared" si="158"/>
        <v>0</v>
      </c>
      <c r="R201">
        <f t="shared" si="159"/>
        <v>0</v>
      </c>
      <c r="S201">
        <f t="shared" si="160"/>
        <v>0</v>
      </c>
      <c r="T201">
        <f t="shared" si="161"/>
        <v>0</v>
      </c>
      <c r="U201">
        <f t="shared" si="162"/>
        <v>0</v>
      </c>
      <c r="V201">
        <f t="shared" si="163"/>
        <v>0</v>
      </c>
      <c r="W201">
        <f t="shared" si="164"/>
        <v>0</v>
      </c>
      <c r="X201">
        <f t="shared" si="165"/>
        <v>0</v>
      </c>
      <c r="Y201">
        <f t="shared" si="166"/>
        <v>0</v>
      </c>
      <c r="Z201">
        <f t="shared" si="167"/>
        <v>0</v>
      </c>
      <c r="AA201">
        <f t="shared" si="168"/>
        <v>0</v>
      </c>
      <c r="AB201">
        <f t="shared" si="169"/>
        <v>0</v>
      </c>
      <c r="AC201">
        <f t="shared" si="170"/>
        <v>0</v>
      </c>
      <c r="AD201">
        <f t="shared" si="171"/>
        <v>0</v>
      </c>
      <c r="AE201">
        <f t="shared" si="172"/>
        <v>0</v>
      </c>
      <c r="AF201">
        <f t="shared" si="173"/>
        <v>0</v>
      </c>
      <c r="AG201">
        <f t="shared" si="174"/>
        <v>0</v>
      </c>
      <c r="AH201">
        <f t="shared" si="175"/>
        <v>0</v>
      </c>
      <c r="AI201">
        <f t="shared" si="176"/>
        <v>0</v>
      </c>
      <c r="AJ201">
        <f t="shared" si="177"/>
        <v>0</v>
      </c>
      <c r="AK201">
        <f t="shared" si="178"/>
        <v>0</v>
      </c>
      <c r="AL201">
        <f t="shared" si="179"/>
        <v>0</v>
      </c>
      <c r="AM201">
        <f t="shared" si="180"/>
        <v>0</v>
      </c>
      <c r="AN201">
        <f t="shared" si="181"/>
        <v>0</v>
      </c>
      <c r="AO201">
        <f t="shared" si="182"/>
        <v>0</v>
      </c>
      <c r="AP201">
        <f t="shared" si="183"/>
        <v>0</v>
      </c>
      <c r="AQ201">
        <f t="shared" si="184"/>
        <v>0</v>
      </c>
      <c r="AR201">
        <f t="shared" si="185"/>
        <v>0</v>
      </c>
      <c r="AS201">
        <f t="shared" si="186"/>
        <v>0</v>
      </c>
      <c r="AT201">
        <f t="shared" si="187"/>
        <v>0</v>
      </c>
      <c r="AU201">
        <f t="shared" si="188"/>
        <v>0</v>
      </c>
      <c r="AV201">
        <f t="shared" si="189"/>
        <v>0</v>
      </c>
      <c r="AW201">
        <f t="shared" si="144"/>
        <v>0</v>
      </c>
      <c r="AX201">
        <f t="shared" si="190"/>
        <v>0</v>
      </c>
      <c r="AY201">
        <f t="shared" si="191"/>
        <v>0</v>
      </c>
    </row>
    <row r="202" spans="1:51" x14ac:dyDescent="0.35">
      <c r="A202">
        <v>196</v>
      </c>
      <c r="C202">
        <f>MAX(0,Calc!$C$7-SUM(D202:R202))</f>
        <v>750</v>
      </c>
      <c r="D202">
        <f t="shared" si="145"/>
        <v>0</v>
      </c>
      <c r="E202">
        <f t="shared" si="146"/>
        <v>0</v>
      </c>
      <c r="F202">
        <f t="shared" si="147"/>
        <v>0</v>
      </c>
      <c r="G202">
        <f t="shared" si="148"/>
        <v>0</v>
      </c>
      <c r="H202">
        <f t="shared" si="149"/>
        <v>0</v>
      </c>
      <c r="I202">
        <f t="shared" si="150"/>
        <v>0</v>
      </c>
      <c r="J202">
        <f t="shared" si="151"/>
        <v>0</v>
      </c>
      <c r="K202">
        <f t="shared" si="152"/>
        <v>0</v>
      </c>
      <c r="L202">
        <f t="shared" si="153"/>
        <v>0</v>
      </c>
      <c r="M202">
        <f t="shared" si="154"/>
        <v>0</v>
      </c>
      <c r="N202">
        <f t="shared" si="155"/>
        <v>0</v>
      </c>
      <c r="O202">
        <f t="shared" si="156"/>
        <v>0</v>
      </c>
      <c r="P202">
        <f t="shared" si="157"/>
        <v>0</v>
      </c>
      <c r="Q202">
        <f t="shared" si="158"/>
        <v>0</v>
      </c>
      <c r="R202">
        <f t="shared" si="159"/>
        <v>0</v>
      </c>
      <c r="S202">
        <f t="shared" si="160"/>
        <v>0</v>
      </c>
      <c r="T202">
        <f t="shared" si="161"/>
        <v>0</v>
      </c>
      <c r="U202">
        <f t="shared" si="162"/>
        <v>0</v>
      </c>
      <c r="V202">
        <f t="shared" si="163"/>
        <v>0</v>
      </c>
      <c r="W202">
        <f t="shared" si="164"/>
        <v>0</v>
      </c>
      <c r="X202">
        <f t="shared" si="165"/>
        <v>0</v>
      </c>
      <c r="Y202">
        <f t="shared" si="166"/>
        <v>0</v>
      </c>
      <c r="Z202">
        <f t="shared" si="167"/>
        <v>0</v>
      </c>
      <c r="AA202">
        <f t="shared" si="168"/>
        <v>0</v>
      </c>
      <c r="AB202">
        <f t="shared" si="169"/>
        <v>0</v>
      </c>
      <c r="AC202">
        <f t="shared" si="170"/>
        <v>0</v>
      </c>
      <c r="AD202">
        <f t="shared" si="171"/>
        <v>0</v>
      </c>
      <c r="AE202">
        <f t="shared" si="172"/>
        <v>0</v>
      </c>
      <c r="AF202">
        <f t="shared" si="173"/>
        <v>0</v>
      </c>
      <c r="AG202">
        <f t="shared" si="174"/>
        <v>0</v>
      </c>
      <c r="AH202">
        <f t="shared" si="175"/>
        <v>0</v>
      </c>
      <c r="AI202">
        <f t="shared" si="176"/>
        <v>0</v>
      </c>
      <c r="AJ202">
        <f t="shared" si="177"/>
        <v>0</v>
      </c>
      <c r="AK202">
        <f t="shared" si="178"/>
        <v>0</v>
      </c>
      <c r="AL202">
        <f t="shared" si="179"/>
        <v>0</v>
      </c>
      <c r="AM202">
        <f t="shared" si="180"/>
        <v>0</v>
      </c>
      <c r="AN202">
        <f t="shared" si="181"/>
        <v>0</v>
      </c>
      <c r="AO202">
        <f t="shared" si="182"/>
        <v>0</v>
      </c>
      <c r="AP202">
        <f t="shared" si="183"/>
        <v>0</v>
      </c>
      <c r="AQ202">
        <f t="shared" si="184"/>
        <v>0</v>
      </c>
      <c r="AR202">
        <f t="shared" si="185"/>
        <v>0</v>
      </c>
      <c r="AS202">
        <f t="shared" si="186"/>
        <v>0</v>
      </c>
      <c r="AT202">
        <f t="shared" si="187"/>
        <v>0</v>
      </c>
      <c r="AU202">
        <f t="shared" si="188"/>
        <v>0</v>
      </c>
      <c r="AV202">
        <f t="shared" si="189"/>
        <v>0</v>
      </c>
      <c r="AW202">
        <f t="shared" si="144"/>
        <v>0</v>
      </c>
      <c r="AX202">
        <f t="shared" si="190"/>
        <v>0</v>
      </c>
      <c r="AY202">
        <f t="shared" si="191"/>
        <v>0</v>
      </c>
    </row>
    <row r="203" spans="1:51" x14ac:dyDescent="0.35">
      <c r="A203">
        <v>197</v>
      </c>
      <c r="C203">
        <f>MAX(0,Calc!$C$7-SUM(D203:R203))</f>
        <v>750</v>
      </c>
      <c r="D203">
        <f t="shared" si="145"/>
        <v>0</v>
      </c>
      <c r="E203">
        <f t="shared" si="146"/>
        <v>0</v>
      </c>
      <c r="F203">
        <f t="shared" si="147"/>
        <v>0</v>
      </c>
      <c r="G203">
        <f t="shared" si="148"/>
        <v>0</v>
      </c>
      <c r="H203">
        <f t="shared" si="149"/>
        <v>0</v>
      </c>
      <c r="I203">
        <f t="shared" si="150"/>
        <v>0</v>
      </c>
      <c r="J203">
        <f t="shared" si="151"/>
        <v>0</v>
      </c>
      <c r="K203">
        <f t="shared" si="152"/>
        <v>0</v>
      </c>
      <c r="L203">
        <f t="shared" si="153"/>
        <v>0</v>
      </c>
      <c r="M203">
        <f t="shared" si="154"/>
        <v>0</v>
      </c>
      <c r="N203">
        <f t="shared" si="155"/>
        <v>0</v>
      </c>
      <c r="O203">
        <f t="shared" si="156"/>
        <v>0</v>
      </c>
      <c r="P203">
        <f t="shared" si="157"/>
        <v>0</v>
      </c>
      <c r="Q203">
        <f t="shared" si="158"/>
        <v>0</v>
      </c>
      <c r="R203">
        <f t="shared" si="159"/>
        <v>0</v>
      </c>
      <c r="S203">
        <f t="shared" si="160"/>
        <v>0</v>
      </c>
      <c r="T203">
        <f t="shared" si="161"/>
        <v>0</v>
      </c>
      <c r="U203">
        <f t="shared" si="162"/>
        <v>0</v>
      </c>
      <c r="V203">
        <f t="shared" si="163"/>
        <v>0</v>
      </c>
      <c r="W203">
        <f t="shared" si="164"/>
        <v>0</v>
      </c>
      <c r="X203">
        <f t="shared" si="165"/>
        <v>0</v>
      </c>
      <c r="Y203">
        <f t="shared" si="166"/>
        <v>0</v>
      </c>
      <c r="Z203">
        <f t="shared" si="167"/>
        <v>0</v>
      </c>
      <c r="AA203">
        <f t="shared" si="168"/>
        <v>0</v>
      </c>
      <c r="AB203">
        <f t="shared" si="169"/>
        <v>0</v>
      </c>
      <c r="AC203">
        <f t="shared" si="170"/>
        <v>0</v>
      </c>
      <c r="AD203">
        <f t="shared" si="171"/>
        <v>0</v>
      </c>
      <c r="AE203">
        <f t="shared" si="172"/>
        <v>0</v>
      </c>
      <c r="AF203">
        <f t="shared" si="173"/>
        <v>0</v>
      </c>
      <c r="AG203">
        <f t="shared" si="174"/>
        <v>0</v>
      </c>
      <c r="AH203">
        <f t="shared" si="175"/>
        <v>0</v>
      </c>
      <c r="AI203">
        <f t="shared" si="176"/>
        <v>0</v>
      </c>
      <c r="AJ203">
        <f t="shared" si="177"/>
        <v>0</v>
      </c>
      <c r="AK203">
        <f t="shared" si="178"/>
        <v>0</v>
      </c>
      <c r="AL203">
        <f t="shared" si="179"/>
        <v>0</v>
      </c>
      <c r="AM203">
        <f t="shared" si="180"/>
        <v>0</v>
      </c>
      <c r="AN203">
        <f t="shared" si="181"/>
        <v>0</v>
      </c>
      <c r="AO203">
        <f t="shared" si="182"/>
        <v>0</v>
      </c>
      <c r="AP203">
        <f t="shared" si="183"/>
        <v>0</v>
      </c>
      <c r="AQ203">
        <f t="shared" si="184"/>
        <v>0</v>
      </c>
      <c r="AR203">
        <f t="shared" si="185"/>
        <v>0</v>
      </c>
      <c r="AS203">
        <f t="shared" si="186"/>
        <v>0</v>
      </c>
      <c r="AT203">
        <f t="shared" si="187"/>
        <v>0</v>
      </c>
      <c r="AU203">
        <f t="shared" si="188"/>
        <v>0</v>
      </c>
      <c r="AV203">
        <f t="shared" si="189"/>
        <v>0</v>
      </c>
      <c r="AW203">
        <f t="shared" si="144"/>
        <v>0</v>
      </c>
      <c r="AX203">
        <f t="shared" si="190"/>
        <v>0</v>
      </c>
      <c r="AY203">
        <f t="shared" si="191"/>
        <v>0</v>
      </c>
    </row>
    <row r="204" spans="1:51" x14ac:dyDescent="0.35">
      <c r="A204">
        <v>198</v>
      </c>
      <c r="C204">
        <f>MAX(0,Calc!$C$7-SUM(D204:R204))</f>
        <v>750</v>
      </c>
      <c r="D204">
        <f t="shared" si="145"/>
        <v>0</v>
      </c>
      <c r="E204">
        <f t="shared" si="146"/>
        <v>0</v>
      </c>
      <c r="F204">
        <f t="shared" si="147"/>
        <v>0</v>
      </c>
      <c r="G204">
        <f t="shared" si="148"/>
        <v>0</v>
      </c>
      <c r="H204">
        <f t="shared" si="149"/>
        <v>0</v>
      </c>
      <c r="I204">
        <f t="shared" si="150"/>
        <v>0</v>
      </c>
      <c r="J204">
        <f t="shared" si="151"/>
        <v>0</v>
      </c>
      <c r="K204">
        <f t="shared" si="152"/>
        <v>0</v>
      </c>
      <c r="L204">
        <f t="shared" si="153"/>
        <v>0</v>
      </c>
      <c r="M204">
        <f t="shared" si="154"/>
        <v>0</v>
      </c>
      <c r="N204">
        <f t="shared" si="155"/>
        <v>0</v>
      </c>
      <c r="O204">
        <f t="shared" si="156"/>
        <v>0</v>
      </c>
      <c r="P204">
        <f t="shared" si="157"/>
        <v>0</v>
      </c>
      <c r="Q204">
        <f t="shared" si="158"/>
        <v>0</v>
      </c>
      <c r="R204">
        <f t="shared" si="159"/>
        <v>0</v>
      </c>
      <c r="S204">
        <f t="shared" si="160"/>
        <v>0</v>
      </c>
      <c r="T204">
        <f t="shared" si="161"/>
        <v>0</v>
      </c>
      <c r="U204">
        <f t="shared" si="162"/>
        <v>0</v>
      </c>
      <c r="V204">
        <f t="shared" si="163"/>
        <v>0</v>
      </c>
      <c r="W204">
        <f t="shared" si="164"/>
        <v>0</v>
      </c>
      <c r="X204">
        <f t="shared" si="165"/>
        <v>0</v>
      </c>
      <c r="Y204">
        <f t="shared" si="166"/>
        <v>0</v>
      </c>
      <c r="Z204">
        <f t="shared" si="167"/>
        <v>0</v>
      </c>
      <c r="AA204">
        <f t="shared" si="168"/>
        <v>0</v>
      </c>
      <c r="AB204">
        <f t="shared" si="169"/>
        <v>0</v>
      </c>
      <c r="AC204">
        <f t="shared" si="170"/>
        <v>0</v>
      </c>
      <c r="AD204">
        <f t="shared" si="171"/>
        <v>0</v>
      </c>
      <c r="AE204">
        <f t="shared" si="172"/>
        <v>0</v>
      </c>
      <c r="AF204">
        <f t="shared" si="173"/>
        <v>0</v>
      </c>
      <c r="AG204">
        <f t="shared" si="174"/>
        <v>0</v>
      </c>
      <c r="AH204">
        <f t="shared" si="175"/>
        <v>0</v>
      </c>
      <c r="AI204">
        <f t="shared" si="176"/>
        <v>0</v>
      </c>
      <c r="AJ204">
        <f t="shared" si="177"/>
        <v>0</v>
      </c>
      <c r="AK204">
        <f t="shared" si="178"/>
        <v>0</v>
      </c>
      <c r="AL204">
        <f t="shared" si="179"/>
        <v>0</v>
      </c>
      <c r="AM204">
        <f t="shared" si="180"/>
        <v>0</v>
      </c>
      <c r="AN204">
        <f t="shared" si="181"/>
        <v>0</v>
      </c>
      <c r="AO204">
        <f t="shared" si="182"/>
        <v>0</v>
      </c>
      <c r="AP204">
        <f t="shared" si="183"/>
        <v>0</v>
      </c>
      <c r="AQ204">
        <f t="shared" si="184"/>
        <v>0</v>
      </c>
      <c r="AR204">
        <f t="shared" si="185"/>
        <v>0</v>
      </c>
      <c r="AS204">
        <f t="shared" si="186"/>
        <v>0</v>
      </c>
      <c r="AT204">
        <f t="shared" si="187"/>
        <v>0</v>
      </c>
      <c r="AU204">
        <f t="shared" si="188"/>
        <v>0</v>
      </c>
      <c r="AV204">
        <f t="shared" si="189"/>
        <v>0</v>
      </c>
      <c r="AW204">
        <f t="shared" si="144"/>
        <v>0</v>
      </c>
      <c r="AX204">
        <f t="shared" si="190"/>
        <v>0</v>
      </c>
      <c r="AY204">
        <f t="shared" si="191"/>
        <v>0</v>
      </c>
    </row>
    <row r="205" spans="1:51" x14ac:dyDescent="0.35">
      <c r="A205">
        <v>199</v>
      </c>
      <c r="C205">
        <f>MAX(0,Calc!$C$7-SUM(D205:R205))</f>
        <v>750</v>
      </c>
      <c r="D205">
        <f t="shared" si="145"/>
        <v>0</v>
      </c>
      <c r="E205">
        <f t="shared" si="146"/>
        <v>0</v>
      </c>
      <c r="F205">
        <f t="shared" si="147"/>
        <v>0</v>
      </c>
      <c r="G205">
        <f t="shared" si="148"/>
        <v>0</v>
      </c>
      <c r="H205">
        <f t="shared" si="149"/>
        <v>0</v>
      </c>
      <c r="I205">
        <f t="shared" si="150"/>
        <v>0</v>
      </c>
      <c r="J205">
        <f t="shared" si="151"/>
        <v>0</v>
      </c>
      <c r="K205">
        <f t="shared" si="152"/>
        <v>0</v>
      </c>
      <c r="L205">
        <f t="shared" si="153"/>
        <v>0</v>
      </c>
      <c r="M205">
        <f t="shared" si="154"/>
        <v>0</v>
      </c>
      <c r="N205">
        <f t="shared" si="155"/>
        <v>0</v>
      </c>
      <c r="O205">
        <f t="shared" si="156"/>
        <v>0</v>
      </c>
      <c r="P205">
        <f t="shared" si="157"/>
        <v>0</v>
      </c>
      <c r="Q205">
        <f t="shared" si="158"/>
        <v>0</v>
      </c>
      <c r="R205">
        <f t="shared" si="159"/>
        <v>0</v>
      </c>
      <c r="S205">
        <f t="shared" si="160"/>
        <v>0</v>
      </c>
      <c r="T205">
        <f t="shared" si="161"/>
        <v>0</v>
      </c>
      <c r="U205">
        <f t="shared" si="162"/>
        <v>0</v>
      </c>
      <c r="V205">
        <f t="shared" si="163"/>
        <v>0</v>
      </c>
      <c r="W205">
        <f t="shared" si="164"/>
        <v>0</v>
      </c>
      <c r="X205">
        <f t="shared" si="165"/>
        <v>0</v>
      </c>
      <c r="Y205">
        <f t="shared" si="166"/>
        <v>0</v>
      </c>
      <c r="Z205">
        <f t="shared" si="167"/>
        <v>0</v>
      </c>
      <c r="AA205">
        <f t="shared" si="168"/>
        <v>0</v>
      </c>
      <c r="AB205">
        <f t="shared" si="169"/>
        <v>0</v>
      </c>
      <c r="AC205">
        <f t="shared" si="170"/>
        <v>0</v>
      </c>
      <c r="AD205">
        <f t="shared" si="171"/>
        <v>0</v>
      </c>
      <c r="AE205">
        <f t="shared" si="172"/>
        <v>0</v>
      </c>
      <c r="AF205">
        <f t="shared" si="173"/>
        <v>0</v>
      </c>
      <c r="AG205">
        <f t="shared" si="174"/>
        <v>0</v>
      </c>
      <c r="AH205">
        <f t="shared" si="175"/>
        <v>0</v>
      </c>
      <c r="AI205">
        <f t="shared" si="176"/>
        <v>0</v>
      </c>
      <c r="AJ205">
        <f t="shared" si="177"/>
        <v>0</v>
      </c>
      <c r="AK205">
        <f t="shared" si="178"/>
        <v>0</v>
      </c>
      <c r="AL205">
        <f t="shared" si="179"/>
        <v>0</v>
      </c>
      <c r="AM205">
        <f t="shared" si="180"/>
        <v>0</v>
      </c>
      <c r="AN205">
        <f t="shared" si="181"/>
        <v>0</v>
      </c>
      <c r="AO205">
        <f t="shared" si="182"/>
        <v>0</v>
      </c>
      <c r="AP205">
        <f t="shared" si="183"/>
        <v>0</v>
      </c>
      <c r="AQ205">
        <f t="shared" si="184"/>
        <v>0</v>
      </c>
      <c r="AR205">
        <f t="shared" si="185"/>
        <v>0</v>
      </c>
      <c r="AS205">
        <f t="shared" si="186"/>
        <v>0</v>
      </c>
      <c r="AT205">
        <f t="shared" si="187"/>
        <v>0</v>
      </c>
      <c r="AU205">
        <f t="shared" si="188"/>
        <v>0</v>
      </c>
      <c r="AV205">
        <f t="shared" si="189"/>
        <v>0</v>
      </c>
      <c r="AW205">
        <f t="shared" si="144"/>
        <v>0</v>
      </c>
      <c r="AX205">
        <f t="shared" si="190"/>
        <v>0</v>
      </c>
      <c r="AY205">
        <f t="shared" si="191"/>
        <v>0</v>
      </c>
    </row>
    <row r="206" spans="1:51" x14ac:dyDescent="0.35">
      <c r="A206">
        <v>200</v>
      </c>
      <c r="C206">
        <f>MAX(0,Calc!$C$7-SUM(D206:R206))</f>
        <v>750</v>
      </c>
      <c r="D206">
        <f t="shared" si="145"/>
        <v>0</v>
      </c>
      <c r="E206">
        <f t="shared" si="146"/>
        <v>0</v>
      </c>
      <c r="F206">
        <f t="shared" si="147"/>
        <v>0</v>
      </c>
      <c r="G206">
        <f t="shared" si="148"/>
        <v>0</v>
      </c>
      <c r="H206">
        <f t="shared" si="149"/>
        <v>0</v>
      </c>
      <c r="I206">
        <f t="shared" si="150"/>
        <v>0</v>
      </c>
      <c r="J206">
        <f t="shared" si="151"/>
        <v>0</v>
      </c>
      <c r="K206">
        <f t="shared" si="152"/>
        <v>0</v>
      </c>
      <c r="L206">
        <f t="shared" si="153"/>
        <v>0</v>
      </c>
      <c r="M206">
        <f t="shared" si="154"/>
        <v>0</v>
      </c>
      <c r="N206">
        <f t="shared" si="155"/>
        <v>0</v>
      </c>
      <c r="O206">
        <f t="shared" si="156"/>
        <v>0</v>
      </c>
      <c r="P206">
        <f t="shared" si="157"/>
        <v>0</v>
      </c>
      <c r="Q206">
        <f t="shared" si="158"/>
        <v>0</v>
      </c>
      <c r="R206">
        <f t="shared" si="159"/>
        <v>0</v>
      </c>
      <c r="S206">
        <f t="shared" si="160"/>
        <v>0</v>
      </c>
      <c r="T206">
        <f t="shared" si="161"/>
        <v>0</v>
      </c>
      <c r="U206">
        <f t="shared" si="162"/>
        <v>0</v>
      </c>
      <c r="V206">
        <f t="shared" si="163"/>
        <v>0</v>
      </c>
      <c r="W206">
        <f t="shared" si="164"/>
        <v>0</v>
      </c>
      <c r="X206">
        <f t="shared" si="165"/>
        <v>0</v>
      </c>
      <c r="Y206">
        <f t="shared" si="166"/>
        <v>0</v>
      </c>
      <c r="Z206">
        <f t="shared" si="167"/>
        <v>0</v>
      </c>
      <c r="AA206">
        <f t="shared" si="168"/>
        <v>0</v>
      </c>
      <c r="AB206">
        <f t="shared" si="169"/>
        <v>0</v>
      </c>
      <c r="AC206">
        <f t="shared" si="170"/>
        <v>0</v>
      </c>
      <c r="AD206">
        <f t="shared" si="171"/>
        <v>0</v>
      </c>
      <c r="AE206">
        <f t="shared" si="172"/>
        <v>0</v>
      </c>
      <c r="AF206">
        <f t="shared" si="173"/>
        <v>0</v>
      </c>
      <c r="AG206">
        <f t="shared" si="174"/>
        <v>0</v>
      </c>
      <c r="AH206">
        <f t="shared" si="175"/>
        <v>0</v>
      </c>
      <c r="AI206">
        <f t="shared" si="176"/>
        <v>0</v>
      </c>
      <c r="AJ206">
        <f t="shared" si="177"/>
        <v>0</v>
      </c>
      <c r="AK206">
        <f t="shared" si="178"/>
        <v>0</v>
      </c>
      <c r="AL206">
        <f t="shared" si="179"/>
        <v>0</v>
      </c>
      <c r="AM206">
        <f t="shared" si="180"/>
        <v>0</v>
      </c>
      <c r="AN206">
        <f t="shared" si="181"/>
        <v>0</v>
      </c>
      <c r="AO206">
        <f t="shared" si="182"/>
        <v>0</v>
      </c>
      <c r="AP206">
        <f t="shared" si="183"/>
        <v>0</v>
      </c>
      <c r="AQ206">
        <f t="shared" si="184"/>
        <v>0</v>
      </c>
      <c r="AR206">
        <f t="shared" si="185"/>
        <v>0</v>
      </c>
      <c r="AS206">
        <f t="shared" si="186"/>
        <v>0</v>
      </c>
      <c r="AT206">
        <f t="shared" si="187"/>
        <v>0</v>
      </c>
      <c r="AU206">
        <f t="shared" si="188"/>
        <v>0</v>
      </c>
      <c r="AV206">
        <f t="shared" si="189"/>
        <v>0</v>
      </c>
      <c r="AW206">
        <f t="shared" si="144"/>
        <v>0</v>
      </c>
      <c r="AX206">
        <f t="shared" si="190"/>
        <v>0</v>
      </c>
      <c r="AY206">
        <f t="shared" si="191"/>
        <v>0</v>
      </c>
    </row>
    <row r="207" spans="1:51" x14ac:dyDescent="0.35">
      <c r="A207">
        <v>201</v>
      </c>
      <c r="C207">
        <f>MAX(0,Calc!$C$7-SUM(D207:R207))</f>
        <v>750</v>
      </c>
      <c r="D207">
        <f t="shared" si="145"/>
        <v>0</v>
      </c>
      <c r="E207">
        <f t="shared" si="146"/>
        <v>0</v>
      </c>
      <c r="F207">
        <f t="shared" si="147"/>
        <v>0</v>
      </c>
      <c r="G207">
        <f t="shared" si="148"/>
        <v>0</v>
      </c>
      <c r="H207">
        <f t="shared" si="149"/>
        <v>0</v>
      </c>
      <c r="I207">
        <f t="shared" si="150"/>
        <v>0</v>
      </c>
      <c r="J207">
        <f t="shared" si="151"/>
        <v>0</v>
      </c>
      <c r="K207">
        <f t="shared" si="152"/>
        <v>0</v>
      </c>
      <c r="L207">
        <f t="shared" si="153"/>
        <v>0</v>
      </c>
      <c r="M207">
        <f t="shared" si="154"/>
        <v>0</v>
      </c>
      <c r="N207">
        <f t="shared" si="155"/>
        <v>0</v>
      </c>
      <c r="O207">
        <f t="shared" si="156"/>
        <v>0</v>
      </c>
      <c r="P207">
        <f t="shared" si="157"/>
        <v>0</v>
      </c>
      <c r="Q207">
        <f t="shared" si="158"/>
        <v>0</v>
      </c>
      <c r="R207">
        <f t="shared" si="159"/>
        <v>0</v>
      </c>
      <c r="S207">
        <f t="shared" si="160"/>
        <v>0</v>
      </c>
      <c r="T207">
        <f t="shared" si="161"/>
        <v>0</v>
      </c>
      <c r="U207">
        <f t="shared" si="162"/>
        <v>0</v>
      </c>
      <c r="V207">
        <f t="shared" si="163"/>
        <v>0</v>
      </c>
      <c r="W207">
        <f t="shared" si="164"/>
        <v>0</v>
      </c>
      <c r="X207">
        <f t="shared" si="165"/>
        <v>0</v>
      </c>
      <c r="Y207">
        <f t="shared" si="166"/>
        <v>0</v>
      </c>
      <c r="Z207">
        <f t="shared" si="167"/>
        <v>0</v>
      </c>
      <c r="AA207">
        <f t="shared" si="168"/>
        <v>0</v>
      </c>
      <c r="AB207">
        <f t="shared" si="169"/>
        <v>0</v>
      </c>
      <c r="AC207">
        <f t="shared" si="170"/>
        <v>0</v>
      </c>
      <c r="AD207">
        <f t="shared" si="171"/>
        <v>0</v>
      </c>
      <c r="AE207">
        <f t="shared" si="172"/>
        <v>0</v>
      </c>
      <c r="AF207">
        <f t="shared" si="173"/>
        <v>0</v>
      </c>
      <c r="AG207">
        <f t="shared" si="174"/>
        <v>0</v>
      </c>
      <c r="AH207">
        <f t="shared" si="175"/>
        <v>0</v>
      </c>
      <c r="AI207">
        <f t="shared" si="176"/>
        <v>0</v>
      </c>
      <c r="AJ207">
        <f t="shared" si="177"/>
        <v>0</v>
      </c>
      <c r="AK207">
        <f t="shared" si="178"/>
        <v>0</v>
      </c>
      <c r="AL207">
        <f t="shared" si="179"/>
        <v>0</v>
      </c>
      <c r="AM207">
        <f t="shared" si="180"/>
        <v>0</v>
      </c>
      <c r="AN207">
        <f t="shared" si="181"/>
        <v>0</v>
      </c>
      <c r="AO207">
        <f t="shared" si="182"/>
        <v>0</v>
      </c>
      <c r="AP207">
        <f t="shared" si="183"/>
        <v>0</v>
      </c>
      <c r="AQ207">
        <f t="shared" si="184"/>
        <v>0</v>
      </c>
      <c r="AR207">
        <f t="shared" si="185"/>
        <v>0</v>
      </c>
      <c r="AS207">
        <f t="shared" si="186"/>
        <v>0</v>
      </c>
      <c r="AT207">
        <f t="shared" si="187"/>
        <v>0</v>
      </c>
      <c r="AU207">
        <f t="shared" si="188"/>
        <v>0</v>
      </c>
      <c r="AV207">
        <f t="shared" si="189"/>
        <v>0</v>
      </c>
      <c r="AW207">
        <f t="shared" si="144"/>
        <v>0</v>
      </c>
      <c r="AX207">
        <f t="shared" si="190"/>
        <v>0</v>
      </c>
      <c r="AY207">
        <f t="shared" si="191"/>
        <v>0</v>
      </c>
    </row>
    <row r="208" spans="1:51" x14ac:dyDescent="0.35">
      <c r="A208">
        <v>202</v>
      </c>
      <c r="C208">
        <f>MAX(0,Calc!$C$7-SUM(D208:R208))</f>
        <v>750</v>
      </c>
      <c r="D208">
        <f t="shared" si="145"/>
        <v>0</v>
      </c>
      <c r="E208">
        <f t="shared" si="146"/>
        <v>0</v>
      </c>
      <c r="F208">
        <f t="shared" si="147"/>
        <v>0</v>
      </c>
      <c r="G208">
        <f t="shared" si="148"/>
        <v>0</v>
      </c>
      <c r="H208">
        <f t="shared" si="149"/>
        <v>0</v>
      </c>
      <c r="I208">
        <f t="shared" si="150"/>
        <v>0</v>
      </c>
      <c r="J208">
        <f t="shared" si="151"/>
        <v>0</v>
      </c>
      <c r="K208">
        <f t="shared" si="152"/>
        <v>0</v>
      </c>
      <c r="L208">
        <f t="shared" si="153"/>
        <v>0</v>
      </c>
      <c r="M208">
        <f t="shared" si="154"/>
        <v>0</v>
      </c>
      <c r="N208">
        <f t="shared" si="155"/>
        <v>0</v>
      </c>
      <c r="O208">
        <f t="shared" si="156"/>
        <v>0</v>
      </c>
      <c r="P208">
        <f t="shared" si="157"/>
        <v>0</v>
      </c>
      <c r="Q208">
        <f t="shared" si="158"/>
        <v>0</v>
      </c>
      <c r="R208">
        <f t="shared" si="159"/>
        <v>0</v>
      </c>
      <c r="S208">
        <f t="shared" si="160"/>
        <v>0</v>
      </c>
      <c r="T208">
        <f t="shared" si="161"/>
        <v>0</v>
      </c>
      <c r="U208">
        <f t="shared" si="162"/>
        <v>0</v>
      </c>
      <c r="V208">
        <f t="shared" si="163"/>
        <v>0</v>
      </c>
      <c r="W208">
        <f t="shared" si="164"/>
        <v>0</v>
      </c>
      <c r="X208">
        <f t="shared" si="165"/>
        <v>0</v>
      </c>
      <c r="Y208">
        <f t="shared" si="166"/>
        <v>0</v>
      </c>
      <c r="Z208">
        <f t="shared" si="167"/>
        <v>0</v>
      </c>
      <c r="AA208">
        <f t="shared" si="168"/>
        <v>0</v>
      </c>
      <c r="AB208">
        <f t="shared" si="169"/>
        <v>0</v>
      </c>
      <c r="AC208">
        <f t="shared" si="170"/>
        <v>0</v>
      </c>
      <c r="AD208">
        <f t="shared" si="171"/>
        <v>0</v>
      </c>
      <c r="AE208">
        <f t="shared" si="172"/>
        <v>0</v>
      </c>
      <c r="AF208">
        <f t="shared" si="173"/>
        <v>0</v>
      </c>
      <c r="AG208">
        <f t="shared" si="174"/>
        <v>0</v>
      </c>
      <c r="AH208">
        <f t="shared" si="175"/>
        <v>0</v>
      </c>
      <c r="AI208">
        <f t="shared" si="176"/>
        <v>0</v>
      </c>
      <c r="AJ208">
        <f t="shared" si="177"/>
        <v>0</v>
      </c>
      <c r="AK208">
        <f t="shared" si="178"/>
        <v>0</v>
      </c>
      <c r="AL208">
        <f t="shared" si="179"/>
        <v>0</v>
      </c>
      <c r="AM208">
        <f t="shared" si="180"/>
        <v>0</v>
      </c>
      <c r="AN208">
        <f t="shared" si="181"/>
        <v>0</v>
      </c>
      <c r="AO208">
        <f t="shared" si="182"/>
        <v>0</v>
      </c>
      <c r="AP208">
        <f t="shared" si="183"/>
        <v>0</v>
      </c>
      <c r="AQ208">
        <f t="shared" si="184"/>
        <v>0</v>
      </c>
      <c r="AR208">
        <f t="shared" si="185"/>
        <v>0</v>
      </c>
      <c r="AS208">
        <f t="shared" si="186"/>
        <v>0</v>
      </c>
      <c r="AT208">
        <f t="shared" si="187"/>
        <v>0</v>
      </c>
      <c r="AU208">
        <f t="shared" si="188"/>
        <v>0</v>
      </c>
      <c r="AV208">
        <f t="shared" si="189"/>
        <v>0</v>
      </c>
      <c r="AW208">
        <f t="shared" si="144"/>
        <v>0</v>
      </c>
      <c r="AX208">
        <f t="shared" si="190"/>
        <v>0</v>
      </c>
      <c r="AY208">
        <f t="shared" si="191"/>
        <v>0</v>
      </c>
    </row>
    <row r="209" spans="1:51" x14ac:dyDescent="0.35">
      <c r="A209">
        <v>203</v>
      </c>
      <c r="C209">
        <f>MAX(0,Calc!$C$7-SUM(D209:R209))</f>
        <v>750</v>
      </c>
      <c r="D209">
        <f t="shared" si="145"/>
        <v>0</v>
      </c>
      <c r="E209">
        <f t="shared" si="146"/>
        <v>0</v>
      </c>
      <c r="F209">
        <f t="shared" si="147"/>
        <v>0</v>
      </c>
      <c r="G209">
        <f t="shared" si="148"/>
        <v>0</v>
      </c>
      <c r="H209">
        <f t="shared" si="149"/>
        <v>0</v>
      </c>
      <c r="I209">
        <f t="shared" si="150"/>
        <v>0</v>
      </c>
      <c r="J209">
        <f t="shared" si="151"/>
        <v>0</v>
      </c>
      <c r="K209">
        <f t="shared" si="152"/>
        <v>0</v>
      </c>
      <c r="L209">
        <f t="shared" si="153"/>
        <v>0</v>
      </c>
      <c r="M209">
        <f t="shared" si="154"/>
        <v>0</v>
      </c>
      <c r="N209">
        <f t="shared" si="155"/>
        <v>0</v>
      </c>
      <c r="O209">
        <f t="shared" si="156"/>
        <v>0</v>
      </c>
      <c r="P209">
        <f t="shared" si="157"/>
        <v>0</v>
      </c>
      <c r="Q209">
        <f t="shared" si="158"/>
        <v>0</v>
      </c>
      <c r="R209">
        <f t="shared" si="159"/>
        <v>0</v>
      </c>
      <c r="S209">
        <f t="shared" si="160"/>
        <v>0</v>
      </c>
      <c r="T209">
        <f t="shared" si="161"/>
        <v>0</v>
      </c>
      <c r="U209">
        <f t="shared" si="162"/>
        <v>0</v>
      </c>
      <c r="V209">
        <f t="shared" si="163"/>
        <v>0</v>
      </c>
      <c r="W209">
        <f t="shared" si="164"/>
        <v>0</v>
      </c>
      <c r="X209">
        <f t="shared" si="165"/>
        <v>0</v>
      </c>
      <c r="Y209">
        <f t="shared" si="166"/>
        <v>0</v>
      </c>
      <c r="Z209">
        <f t="shared" si="167"/>
        <v>0</v>
      </c>
      <c r="AA209">
        <f t="shared" si="168"/>
        <v>0</v>
      </c>
      <c r="AB209">
        <f t="shared" si="169"/>
        <v>0</v>
      </c>
      <c r="AC209">
        <f t="shared" si="170"/>
        <v>0</v>
      </c>
      <c r="AD209">
        <f t="shared" si="171"/>
        <v>0</v>
      </c>
      <c r="AE209">
        <f t="shared" si="172"/>
        <v>0</v>
      </c>
      <c r="AF209">
        <f t="shared" si="173"/>
        <v>0</v>
      </c>
      <c r="AG209">
        <f t="shared" si="174"/>
        <v>0</v>
      </c>
      <c r="AH209">
        <f t="shared" si="175"/>
        <v>0</v>
      </c>
      <c r="AI209">
        <f t="shared" si="176"/>
        <v>0</v>
      </c>
      <c r="AJ209">
        <f t="shared" si="177"/>
        <v>0</v>
      </c>
      <c r="AK209">
        <f t="shared" si="178"/>
        <v>0</v>
      </c>
      <c r="AL209">
        <f t="shared" si="179"/>
        <v>0</v>
      </c>
      <c r="AM209">
        <f t="shared" si="180"/>
        <v>0</v>
      </c>
      <c r="AN209">
        <f t="shared" si="181"/>
        <v>0</v>
      </c>
      <c r="AO209">
        <f t="shared" si="182"/>
        <v>0</v>
      </c>
      <c r="AP209">
        <f t="shared" si="183"/>
        <v>0</v>
      </c>
      <c r="AQ209">
        <f t="shared" si="184"/>
        <v>0</v>
      </c>
      <c r="AR209">
        <f t="shared" si="185"/>
        <v>0</v>
      </c>
      <c r="AS209">
        <f t="shared" si="186"/>
        <v>0</v>
      </c>
      <c r="AT209">
        <f t="shared" si="187"/>
        <v>0</v>
      </c>
      <c r="AU209">
        <f t="shared" si="188"/>
        <v>0</v>
      </c>
      <c r="AV209">
        <f t="shared" si="189"/>
        <v>0</v>
      </c>
      <c r="AW209">
        <f t="shared" si="144"/>
        <v>0</v>
      </c>
      <c r="AX209">
        <f t="shared" si="190"/>
        <v>0</v>
      </c>
      <c r="AY209">
        <f t="shared" si="191"/>
        <v>0</v>
      </c>
    </row>
    <row r="210" spans="1:51" x14ac:dyDescent="0.35">
      <c r="A210">
        <v>204</v>
      </c>
      <c r="C210">
        <f>MAX(0,Calc!$C$7-SUM(D210:R210))</f>
        <v>750</v>
      </c>
      <c r="D210">
        <f t="shared" si="145"/>
        <v>0</v>
      </c>
      <c r="E210">
        <f t="shared" si="146"/>
        <v>0</v>
      </c>
      <c r="F210">
        <f t="shared" si="147"/>
        <v>0</v>
      </c>
      <c r="G210">
        <f t="shared" si="148"/>
        <v>0</v>
      </c>
      <c r="H210">
        <f t="shared" si="149"/>
        <v>0</v>
      </c>
      <c r="I210">
        <f t="shared" si="150"/>
        <v>0</v>
      </c>
      <c r="J210">
        <f t="shared" si="151"/>
        <v>0</v>
      </c>
      <c r="K210">
        <f t="shared" si="152"/>
        <v>0</v>
      </c>
      <c r="L210">
        <f t="shared" si="153"/>
        <v>0</v>
      </c>
      <c r="M210">
        <f t="shared" si="154"/>
        <v>0</v>
      </c>
      <c r="N210">
        <f t="shared" si="155"/>
        <v>0</v>
      </c>
      <c r="O210">
        <f t="shared" si="156"/>
        <v>0</v>
      </c>
      <c r="P210">
        <f t="shared" si="157"/>
        <v>0</v>
      </c>
      <c r="Q210">
        <f t="shared" si="158"/>
        <v>0</v>
      </c>
      <c r="R210">
        <f t="shared" si="159"/>
        <v>0</v>
      </c>
      <c r="S210">
        <f t="shared" si="160"/>
        <v>0</v>
      </c>
      <c r="T210">
        <f t="shared" si="161"/>
        <v>0</v>
      </c>
      <c r="U210">
        <f t="shared" si="162"/>
        <v>0</v>
      </c>
      <c r="V210">
        <f t="shared" si="163"/>
        <v>0</v>
      </c>
      <c r="W210">
        <f t="shared" si="164"/>
        <v>0</v>
      </c>
      <c r="X210">
        <f t="shared" si="165"/>
        <v>0</v>
      </c>
      <c r="Y210">
        <f t="shared" si="166"/>
        <v>0</v>
      </c>
      <c r="Z210">
        <f t="shared" si="167"/>
        <v>0</v>
      </c>
      <c r="AA210">
        <f t="shared" si="168"/>
        <v>0</v>
      </c>
      <c r="AB210">
        <f t="shared" si="169"/>
        <v>0</v>
      </c>
      <c r="AC210">
        <f t="shared" si="170"/>
        <v>0</v>
      </c>
      <c r="AD210">
        <f t="shared" si="171"/>
        <v>0</v>
      </c>
      <c r="AE210">
        <f t="shared" si="172"/>
        <v>0</v>
      </c>
      <c r="AF210">
        <f t="shared" si="173"/>
        <v>0</v>
      </c>
      <c r="AG210">
        <f t="shared" si="174"/>
        <v>0</v>
      </c>
      <c r="AH210">
        <f t="shared" si="175"/>
        <v>0</v>
      </c>
      <c r="AI210">
        <f t="shared" si="176"/>
        <v>0</v>
      </c>
      <c r="AJ210">
        <f t="shared" si="177"/>
        <v>0</v>
      </c>
      <c r="AK210">
        <f t="shared" si="178"/>
        <v>0</v>
      </c>
      <c r="AL210">
        <f t="shared" si="179"/>
        <v>0</v>
      </c>
      <c r="AM210">
        <f t="shared" si="180"/>
        <v>0</v>
      </c>
      <c r="AN210">
        <f t="shared" si="181"/>
        <v>0</v>
      </c>
      <c r="AO210">
        <f t="shared" si="182"/>
        <v>0</v>
      </c>
      <c r="AP210">
        <f t="shared" si="183"/>
        <v>0</v>
      </c>
      <c r="AQ210">
        <f t="shared" si="184"/>
        <v>0</v>
      </c>
      <c r="AR210">
        <f t="shared" si="185"/>
        <v>0</v>
      </c>
      <c r="AS210">
        <f t="shared" si="186"/>
        <v>0</v>
      </c>
      <c r="AT210">
        <f t="shared" si="187"/>
        <v>0</v>
      </c>
      <c r="AU210">
        <f t="shared" si="188"/>
        <v>0</v>
      </c>
      <c r="AV210">
        <f t="shared" si="189"/>
        <v>0</v>
      </c>
      <c r="AW210">
        <f t="shared" si="144"/>
        <v>0</v>
      </c>
      <c r="AX210">
        <f t="shared" si="190"/>
        <v>0</v>
      </c>
      <c r="AY210">
        <f t="shared" si="191"/>
        <v>0</v>
      </c>
    </row>
    <row r="211" spans="1:51" x14ac:dyDescent="0.35">
      <c r="A211">
        <v>205</v>
      </c>
      <c r="C211">
        <f>MAX(0,Calc!$C$7-SUM(D211:R211))</f>
        <v>750</v>
      </c>
      <c r="D211">
        <f t="shared" si="145"/>
        <v>0</v>
      </c>
      <c r="E211">
        <f t="shared" si="146"/>
        <v>0</v>
      </c>
      <c r="F211">
        <f t="shared" si="147"/>
        <v>0</v>
      </c>
      <c r="G211">
        <f t="shared" si="148"/>
        <v>0</v>
      </c>
      <c r="H211">
        <f t="shared" si="149"/>
        <v>0</v>
      </c>
      <c r="I211">
        <f t="shared" si="150"/>
        <v>0</v>
      </c>
      <c r="J211">
        <f t="shared" si="151"/>
        <v>0</v>
      </c>
      <c r="K211">
        <f t="shared" si="152"/>
        <v>0</v>
      </c>
      <c r="L211">
        <f t="shared" si="153"/>
        <v>0</v>
      </c>
      <c r="M211">
        <f t="shared" si="154"/>
        <v>0</v>
      </c>
      <c r="N211">
        <f t="shared" si="155"/>
        <v>0</v>
      </c>
      <c r="O211">
        <f t="shared" si="156"/>
        <v>0</v>
      </c>
      <c r="P211">
        <f t="shared" si="157"/>
        <v>0</v>
      </c>
      <c r="Q211">
        <f t="shared" si="158"/>
        <v>0</v>
      </c>
      <c r="R211">
        <f t="shared" si="159"/>
        <v>0</v>
      </c>
      <c r="S211">
        <f t="shared" si="160"/>
        <v>0</v>
      </c>
      <c r="T211">
        <f t="shared" si="161"/>
        <v>0</v>
      </c>
      <c r="U211">
        <f t="shared" si="162"/>
        <v>0</v>
      </c>
      <c r="V211">
        <f t="shared" si="163"/>
        <v>0</v>
      </c>
      <c r="W211">
        <f t="shared" si="164"/>
        <v>0</v>
      </c>
      <c r="X211">
        <f t="shared" si="165"/>
        <v>0</v>
      </c>
      <c r="Y211">
        <f t="shared" si="166"/>
        <v>0</v>
      </c>
      <c r="Z211">
        <f t="shared" si="167"/>
        <v>0</v>
      </c>
      <c r="AA211">
        <f t="shared" si="168"/>
        <v>0</v>
      </c>
      <c r="AB211">
        <f t="shared" si="169"/>
        <v>0</v>
      </c>
      <c r="AC211">
        <f t="shared" si="170"/>
        <v>0</v>
      </c>
      <c r="AD211">
        <f t="shared" si="171"/>
        <v>0</v>
      </c>
      <c r="AE211">
        <f t="shared" si="172"/>
        <v>0</v>
      </c>
      <c r="AF211">
        <f t="shared" si="173"/>
        <v>0</v>
      </c>
      <c r="AG211">
        <f t="shared" si="174"/>
        <v>0</v>
      </c>
      <c r="AH211">
        <f t="shared" si="175"/>
        <v>0</v>
      </c>
      <c r="AI211">
        <f t="shared" si="176"/>
        <v>0</v>
      </c>
      <c r="AJ211">
        <f t="shared" si="177"/>
        <v>0</v>
      </c>
      <c r="AK211">
        <f t="shared" si="178"/>
        <v>0</v>
      </c>
      <c r="AL211">
        <f t="shared" si="179"/>
        <v>0</v>
      </c>
      <c r="AM211">
        <f t="shared" si="180"/>
        <v>0</v>
      </c>
      <c r="AN211">
        <f t="shared" si="181"/>
        <v>0</v>
      </c>
      <c r="AO211">
        <f t="shared" si="182"/>
        <v>0</v>
      </c>
      <c r="AP211">
        <f t="shared" si="183"/>
        <v>0</v>
      </c>
      <c r="AQ211">
        <f t="shared" si="184"/>
        <v>0</v>
      </c>
      <c r="AR211">
        <f t="shared" si="185"/>
        <v>0</v>
      </c>
      <c r="AS211">
        <f t="shared" si="186"/>
        <v>0</v>
      </c>
      <c r="AT211">
        <f t="shared" si="187"/>
        <v>0</v>
      </c>
      <c r="AU211">
        <f t="shared" si="188"/>
        <v>0</v>
      </c>
      <c r="AV211">
        <f t="shared" si="189"/>
        <v>0</v>
      </c>
      <c r="AW211">
        <f t="shared" si="144"/>
        <v>0</v>
      </c>
      <c r="AX211">
        <f t="shared" si="190"/>
        <v>0</v>
      </c>
      <c r="AY211">
        <f t="shared" si="191"/>
        <v>0</v>
      </c>
    </row>
    <row r="212" spans="1:51" x14ac:dyDescent="0.35">
      <c r="A212">
        <v>206</v>
      </c>
      <c r="C212">
        <f>MAX(0,Calc!$C$7-SUM(D212:R212))</f>
        <v>750</v>
      </c>
      <c r="D212">
        <f t="shared" si="145"/>
        <v>0</v>
      </c>
      <c r="E212">
        <f t="shared" si="146"/>
        <v>0</v>
      </c>
      <c r="F212">
        <f t="shared" si="147"/>
        <v>0</v>
      </c>
      <c r="G212">
        <f t="shared" si="148"/>
        <v>0</v>
      </c>
      <c r="H212">
        <f t="shared" si="149"/>
        <v>0</v>
      </c>
      <c r="I212">
        <f t="shared" si="150"/>
        <v>0</v>
      </c>
      <c r="J212">
        <f t="shared" si="151"/>
        <v>0</v>
      </c>
      <c r="K212">
        <f t="shared" si="152"/>
        <v>0</v>
      </c>
      <c r="L212">
        <f t="shared" si="153"/>
        <v>0</v>
      </c>
      <c r="M212">
        <f t="shared" si="154"/>
        <v>0</v>
      </c>
      <c r="N212">
        <f t="shared" si="155"/>
        <v>0</v>
      </c>
      <c r="O212">
        <f t="shared" si="156"/>
        <v>0</v>
      </c>
      <c r="P212">
        <f t="shared" si="157"/>
        <v>0</v>
      </c>
      <c r="Q212">
        <f t="shared" si="158"/>
        <v>0</v>
      </c>
      <c r="R212">
        <f t="shared" si="159"/>
        <v>0</v>
      </c>
      <c r="S212">
        <f t="shared" si="160"/>
        <v>0</v>
      </c>
      <c r="T212">
        <f t="shared" si="161"/>
        <v>0</v>
      </c>
      <c r="U212">
        <f t="shared" si="162"/>
        <v>0</v>
      </c>
      <c r="V212">
        <f t="shared" si="163"/>
        <v>0</v>
      </c>
      <c r="W212">
        <f t="shared" si="164"/>
        <v>0</v>
      </c>
      <c r="X212">
        <f t="shared" si="165"/>
        <v>0</v>
      </c>
      <c r="Y212">
        <f t="shared" si="166"/>
        <v>0</v>
      </c>
      <c r="Z212">
        <f t="shared" si="167"/>
        <v>0</v>
      </c>
      <c r="AA212">
        <f t="shared" si="168"/>
        <v>0</v>
      </c>
      <c r="AB212">
        <f t="shared" si="169"/>
        <v>0</v>
      </c>
      <c r="AC212">
        <f t="shared" si="170"/>
        <v>0</v>
      </c>
      <c r="AD212">
        <f t="shared" si="171"/>
        <v>0</v>
      </c>
      <c r="AE212">
        <f t="shared" si="172"/>
        <v>0</v>
      </c>
      <c r="AF212">
        <f t="shared" si="173"/>
        <v>0</v>
      </c>
      <c r="AG212">
        <f t="shared" si="174"/>
        <v>0</v>
      </c>
      <c r="AH212">
        <f t="shared" si="175"/>
        <v>0</v>
      </c>
      <c r="AI212">
        <f t="shared" si="176"/>
        <v>0</v>
      </c>
      <c r="AJ212">
        <f t="shared" si="177"/>
        <v>0</v>
      </c>
      <c r="AK212">
        <f t="shared" si="178"/>
        <v>0</v>
      </c>
      <c r="AL212">
        <f t="shared" si="179"/>
        <v>0</v>
      </c>
      <c r="AM212">
        <f t="shared" si="180"/>
        <v>0</v>
      </c>
      <c r="AN212">
        <f t="shared" si="181"/>
        <v>0</v>
      </c>
      <c r="AO212">
        <f t="shared" si="182"/>
        <v>0</v>
      </c>
      <c r="AP212">
        <f t="shared" si="183"/>
        <v>0</v>
      </c>
      <c r="AQ212">
        <f t="shared" si="184"/>
        <v>0</v>
      </c>
      <c r="AR212">
        <f t="shared" si="185"/>
        <v>0</v>
      </c>
      <c r="AS212">
        <f t="shared" si="186"/>
        <v>0</v>
      </c>
      <c r="AT212">
        <f t="shared" si="187"/>
        <v>0</v>
      </c>
      <c r="AU212">
        <f t="shared" si="188"/>
        <v>0</v>
      </c>
      <c r="AV212">
        <f t="shared" si="189"/>
        <v>0</v>
      </c>
      <c r="AW212">
        <f t="shared" si="144"/>
        <v>0</v>
      </c>
      <c r="AX212">
        <f t="shared" si="190"/>
        <v>0</v>
      </c>
      <c r="AY212">
        <f t="shared" si="191"/>
        <v>0</v>
      </c>
    </row>
    <row r="213" spans="1:51" x14ac:dyDescent="0.35">
      <c r="A213">
        <v>207</v>
      </c>
      <c r="C213">
        <f>MAX(0,Calc!$C$7-SUM(D213:R213))</f>
        <v>750</v>
      </c>
      <c r="D213">
        <f t="shared" si="145"/>
        <v>0</v>
      </c>
      <c r="E213">
        <f t="shared" si="146"/>
        <v>0</v>
      </c>
      <c r="F213">
        <f t="shared" si="147"/>
        <v>0</v>
      </c>
      <c r="G213">
        <f t="shared" si="148"/>
        <v>0</v>
      </c>
      <c r="H213">
        <f t="shared" si="149"/>
        <v>0</v>
      </c>
      <c r="I213">
        <f t="shared" si="150"/>
        <v>0</v>
      </c>
      <c r="J213">
        <f t="shared" si="151"/>
        <v>0</v>
      </c>
      <c r="K213">
        <f t="shared" si="152"/>
        <v>0</v>
      </c>
      <c r="L213">
        <f t="shared" si="153"/>
        <v>0</v>
      </c>
      <c r="M213">
        <f t="shared" si="154"/>
        <v>0</v>
      </c>
      <c r="N213">
        <f t="shared" si="155"/>
        <v>0</v>
      </c>
      <c r="O213">
        <f t="shared" si="156"/>
        <v>0</v>
      </c>
      <c r="P213">
        <f t="shared" si="157"/>
        <v>0</v>
      </c>
      <c r="Q213">
        <f t="shared" si="158"/>
        <v>0</v>
      </c>
      <c r="R213">
        <f t="shared" si="159"/>
        <v>0</v>
      </c>
      <c r="S213">
        <f t="shared" si="160"/>
        <v>0</v>
      </c>
      <c r="T213">
        <f t="shared" si="161"/>
        <v>0</v>
      </c>
      <c r="U213">
        <f t="shared" si="162"/>
        <v>0</v>
      </c>
      <c r="V213">
        <f t="shared" si="163"/>
        <v>0</v>
      </c>
      <c r="W213">
        <f t="shared" si="164"/>
        <v>0</v>
      </c>
      <c r="X213">
        <f t="shared" si="165"/>
        <v>0</v>
      </c>
      <c r="Y213">
        <f t="shared" si="166"/>
        <v>0</v>
      </c>
      <c r="Z213">
        <f t="shared" si="167"/>
        <v>0</v>
      </c>
      <c r="AA213">
        <f t="shared" si="168"/>
        <v>0</v>
      </c>
      <c r="AB213">
        <f t="shared" si="169"/>
        <v>0</v>
      </c>
      <c r="AC213">
        <f t="shared" si="170"/>
        <v>0</v>
      </c>
      <c r="AD213">
        <f t="shared" si="171"/>
        <v>0</v>
      </c>
      <c r="AE213">
        <f t="shared" si="172"/>
        <v>0</v>
      </c>
      <c r="AF213">
        <f t="shared" si="173"/>
        <v>0</v>
      </c>
      <c r="AG213">
        <f t="shared" si="174"/>
        <v>0</v>
      </c>
      <c r="AH213">
        <f t="shared" si="175"/>
        <v>0</v>
      </c>
      <c r="AI213">
        <f t="shared" si="176"/>
        <v>0</v>
      </c>
      <c r="AJ213">
        <f t="shared" si="177"/>
        <v>0</v>
      </c>
      <c r="AK213">
        <f t="shared" si="178"/>
        <v>0</v>
      </c>
      <c r="AL213">
        <f t="shared" si="179"/>
        <v>0</v>
      </c>
      <c r="AM213">
        <f t="shared" si="180"/>
        <v>0</v>
      </c>
      <c r="AN213">
        <f t="shared" si="181"/>
        <v>0</v>
      </c>
      <c r="AO213">
        <f t="shared" si="182"/>
        <v>0</v>
      </c>
      <c r="AP213">
        <f t="shared" si="183"/>
        <v>0</v>
      </c>
      <c r="AQ213">
        <f t="shared" si="184"/>
        <v>0</v>
      </c>
      <c r="AR213">
        <f t="shared" si="185"/>
        <v>0</v>
      </c>
      <c r="AS213">
        <f t="shared" si="186"/>
        <v>0</v>
      </c>
      <c r="AT213">
        <f t="shared" si="187"/>
        <v>0</v>
      </c>
      <c r="AU213">
        <f t="shared" si="188"/>
        <v>0</v>
      </c>
      <c r="AV213">
        <f t="shared" si="189"/>
        <v>0</v>
      </c>
      <c r="AW213">
        <f t="shared" si="144"/>
        <v>0</v>
      </c>
      <c r="AX213">
        <f t="shared" si="190"/>
        <v>0</v>
      </c>
      <c r="AY213">
        <f t="shared" si="191"/>
        <v>0</v>
      </c>
    </row>
    <row r="214" spans="1:51" x14ac:dyDescent="0.35">
      <c r="A214">
        <v>208</v>
      </c>
      <c r="C214">
        <f>MAX(0,Calc!$C$7-SUM(D214:R214))</f>
        <v>750</v>
      </c>
      <c r="D214">
        <f t="shared" si="145"/>
        <v>0</v>
      </c>
      <c r="E214">
        <f t="shared" si="146"/>
        <v>0</v>
      </c>
      <c r="F214">
        <f t="shared" si="147"/>
        <v>0</v>
      </c>
      <c r="G214">
        <f t="shared" si="148"/>
        <v>0</v>
      </c>
      <c r="H214">
        <f t="shared" si="149"/>
        <v>0</v>
      </c>
      <c r="I214">
        <f t="shared" si="150"/>
        <v>0</v>
      </c>
      <c r="J214">
        <f t="shared" si="151"/>
        <v>0</v>
      </c>
      <c r="K214">
        <f t="shared" si="152"/>
        <v>0</v>
      </c>
      <c r="L214">
        <f t="shared" si="153"/>
        <v>0</v>
      </c>
      <c r="M214">
        <f t="shared" si="154"/>
        <v>0</v>
      </c>
      <c r="N214">
        <f t="shared" si="155"/>
        <v>0</v>
      </c>
      <c r="O214">
        <f t="shared" si="156"/>
        <v>0</v>
      </c>
      <c r="P214">
        <f t="shared" si="157"/>
        <v>0</v>
      </c>
      <c r="Q214">
        <f t="shared" si="158"/>
        <v>0</v>
      </c>
      <c r="R214">
        <f t="shared" si="159"/>
        <v>0</v>
      </c>
      <c r="S214">
        <f t="shared" si="160"/>
        <v>0</v>
      </c>
      <c r="T214">
        <f t="shared" si="161"/>
        <v>0</v>
      </c>
      <c r="U214">
        <f t="shared" si="162"/>
        <v>0</v>
      </c>
      <c r="V214">
        <f t="shared" si="163"/>
        <v>0</v>
      </c>
      <c r="W214">
        <f t="shared" si="164"/>
        <v>0</v>
      </c>
      <c r="X214">
        <f t="shared" si="165"/>
        <v>0</v>
      </c>
      <c r="Y214">
        <f t="shared" si="166"/>
        <v>0</v>
      </c>
      <c r="Z214">
        <f t="shared" si="167"/>
        <v>0</v>
      </c>
      <c r="AA214">
        <f t="shared" si="168"/>
        <v>0</v>
      </c>
      <c r="AB214">
        <f t="shared" si="169"/>
        <v>0</v>
      </c>
      <c r="AC214">
        <f t="shared" si="170"/>
        <v>0</v>
      </c>
      <c r="AD214">
        <f t="shared" si="171"/>
        <v>0</v>
      </c>
      <c r="AE214">
        <f t="shared" si="172"/>
        <v>0</v>
      </c>
      <c r="AF214">
        <f t="shared" si="173"/>
        <v>0</v>
      </c>
      <c r="AG214">
        <f t="shared" si="174"/>
        <v>0</v>
      </c>
      <c r="AH214">
        <f t="shared" si="175"/>
        <v>0</v>
      </c>
      <c r="AI214">
        <f t="shared" si="176"/>
        <v>0</v>
      </c>
      <c r="AJ214">
        <f t="shared" si="177"/>
        <v>0</v>
      </c>
      <c r="AK214">
        <f t="shared" si="178"/>
        <v>0</v>
      </c>
      <c r="AL214">
        <f t="shared" si="179"/>
        <v>0</v>
      </c>
      <c r="AM214">
        <f t="shared" si="180"/>
        <v>0</v>
      </c>
      <c r="AN214">
        <f t="shared" si="181"/>
        <v>0</v>
      </c>
      <c r="AO214">
        <f t="shared" si="182"/>
        <v>0</v>
      </c>
      <c r="AP214">
        <f t="shared" si="183"/>
        <v>0</v>
      </c>
      <c r="AQ214">
        <f t="shared" si="184"/>
        <v>0</v>
      </c>
      <c r="AR214">
        <f t="shared" si="185"/>
        <v>0</v>
      </c>
      <c r="AS214">
        <f t="shared" si="186"/>
        <v>0</v>
      </c>
      <c r="AT214">
        <f t="shared" si="187"/>
        <v>0</v>
      </c>
      <c r="AU214">
        <f t="shared" si="188"/>
        <v>0</v>
      </c>
      <c r="AV214">
        <f t="shared" si="189"/>
        <v>0</v>
      </c>
      <c r="AW214">
        <f t="shared" si="144"/>
        <v>0</v>
      </c>
      <c r="AX214">
        <f t="shared" si="190"/>
        <v>0</v>
      </c>
      <c r="AY214">
        <f t="shared" si="191"/>
        <v>0</v>
      </c>
    </row>
    <row r="215" spans="1:51" x14ac:dyDescent="0.35">
      <c r="A215">
        <v>209</v>
      </c>
      <c r="C215">
        <f>MAX(0,Calc!$C$7-SUM(D215:R215))</f>
        <v>750</v>
      </c>
      <c r="D215">
        <f t="shared" si="145"/>
        <v>0</v>
      </c>
      <c r="E215">
        <f t="shared" si="146"/>
        <v>0</v>
      </c>
      <c r="F215">
        <f t="shared" si="147"/>
        <v>0</v>
      </c>
      <c r="G215">
        <f t="shared" si="148"/>
        <v>0</v>
      </c>
      <c r="H215">
        <f t="shared" si="149"/>
        <v>0</v>
      </c>
      <c r="I215">
        <f t="shared" si="150"/>
        <v>0</v>
      </c>
      <c r="J215">
        <f t="shared" si="151"/>
        <v>0</v>
      </c>
      <c r="K215">
        <f t="shared" si="152"/>
        <v>0</v>
      </c>
      <c r="L215">
        <f t="shared" si="153"/>
        <v>0</v>
      </c>
      <c r="M215">
        <f t="shared" si="154"/>
        <v>0</v>
      </c>
      <c r="N215">
        <f t="shared" si="155"/>
        <v>0</v>
      </c>
      <c r="O215">
        <f t="shared" si="156"/>
        <v>0</v>
      </c>
      <c r="P215">
        <f t="shared" si="157"/>
        <v>0</v>
      </c>
      <c r="Q215">
        <f t="shared" si="158"/>
        <v>0</v>
      </c>
      <c r="R215">
        <f t="shared" si="159"/>
        <v>0</v>
      </c>
      <c r="S215">
        <f t="shared" si="160"/>
        <v>0</v>
      </c>
      <c r="T215">
        <f t="shared" si="161"/>
        <v>0</v>
      </c>
      <c r="U215">
        <f t="shared" si="162"/>
        <v>0</v>
      </c>
      <c r="V215">
        <f t="shared" si="163"/>
        <v>0</v>
      </c>
      <c r="W215">
        <f t="shared" si="164"/>
        <v>0</v>
      </c>
      <c r="X215">
        <f t="shared" si="165"/>
        <v>0</v>
      </c>
      <c r="Y215">
        <f t="shared" si="166"/>
        <v>0</v>
      </c>
      <c r="Z215">
        <f t="shared" si="167"/>
        <v>0</v>
      </c>
      <c r="AA215">
        <f t="shared" si="168"/>
        <v>0</v>
      </c>
      <c r="AB215">
        <f t="shared" si="169"/>
        <v>0</v>
      </c>
      <c r="AC215">
        <f t="shared" si="170"/>
        <v>0</v>
      </c>
      <c r="AD215">
        <f t="shared" si="171"/>
        <v>0</v>
      </c>
      <c r="AE215">
        <f t="shared" si="172"/>
        <v>0</v>
      </c>
      <c r="AF215">
        <f t="shared" si="173"/>
        <v>0</v>
      </c>
      <c r="AG215">
        <f t="shared" si="174"/>
        <v>0</v>
      </c>
      <c r="AH215">
        <f t="shared" si="175"/>
        <v>0</v>
      </c>
      <c r="AI215">
        <f t="shared" si="176"/>
        <v>0</v>
      </c>
      <c r="AJ215">
        <f t="shared" si="177"/>
        <v>0</v>
      </c>
      <c r="AK215">
        <f t="shared" si="178"/>
        <v>0</v>
      </c>
      <c r="AL215">
        <f t="shared" si="179"/>
        <v>0</v>
      </c>
      <c r="AM215">
        <f t="shared" si="180"/>
        <v>0</v>
      </c>
      <c r="AN215">
        <f t="shared" si="181"/>
        <v>0</v>
      </c>
      <c r="AO215">
        <f t="shared" si="182"/>
        <v>0</v>
      </c>
      <c r="AP215">
        <f t="shared" si="183"/>
        <v>0</v>
      </c>
      <c r="AQ215">
        <f t="shared" si="184"/>
        <v>0</v>
      </c>
      <c r="AR215">
        <f t="shared" si="185"/>
        <v>0</v>
      </c>
      <c r="AS215">
        <f t="shared" si="186"/>
        <v>0</v>
      </c>
      <c r="AT215">
        <f t="shared" si="187"/>
        <v>0</v>
      </c>
      <c r="AU215">
        <f t="shared" si="188"/>
        <v>0</v>
      </c>
      <c r="AV215">
        <f t="shared" si="189"/>
        <v>0</v>
      </c>
      <c r="AW215">
        <f t="shared" si="144"/>
        <v>0</v>
      </c>
      <c r="AX215">
        <f t="shared" si="190"/>
        <v>0</v>
      </c>
      <c r="AY215">
        <f t="shared" si="191"/>
        <v>0</v>
      </c>
    </row>
    <row r="216" spans="1:51" x14ac:dyDescent="0.35">
      <c r="A216">
        <v>210</v>
      </c>
      <c r="C216">
        <f>MAX(0,Calc!$C$7-SUM(D216:R216))</f>
        <v>750</v>
      </c>
      <c r="D216">
        <f t="shared" si="145"/>
        <v>0</v>
      </c>
      <c r="E216">
        <f t="shared" si="146"/>
        <v>0</v>
      </c>
      <c r="F216">
        <f t="shared" si="147"/>
        <v>0</v>
      </c>
      <c r="G216">
        <f t="shared" si="148"/>
        <v>0</v>
      </c>
      <c r="H216">
        <f t="shared" si="149"/>
        <v>0</v>
      </c>
      <c r="I216">
        <f t="shared" si="150"/>
        <v>0</v>
      </c>
      <c r="J216">
        <f t="shared" si="151"/>
        <v>0</v>
      </c>
      <c r="K216">
        <f t="shared" si="152"/>
        <v>0</v>
      </c>
      <c r="L216">
        <f t="shared" si="153"/>
        <v>0</v>
      </c>
      <c r="M216">
        <f t="shared" si="154"/>
        <v>0</v>
      </c>
      <c r="N216">
        <f t="shared" si="155"/>
        <v>0</v>
      </c>
      <c r="O216">
        <f t="shared" si="156"/>
        <v>0</v>
      </c>
      <c r="P216">
        <f t="shared" si="157"/>
        <v>0</v>
      </c>
      <c r="Q216">
        <f t="shared" si="158"/>
        <v>0</v>
      </c>
      <c r="R216">
        <f t="shared" si="159"/>
        <v>0</v>
      </c>
      <c r="S216">
        <f t="shared" si="160"/>
        <v>0</v>
      </c>
      <c r="T216">
        <f t="shared" si="161"/>
        <v>0</v>
      </c>
      <c r="U216">
        <f t="shared" si="162"/>
        <v>0</v>
      </c>
      <c r="V216">
        <f t="shared" si="163"/>
        <v>0</v>
      </c>
      <c r="W216">
        <f t="shared" si="164"/>
        <v>0</v>
      </c>
      <c r="X216">
        <f t="shared" si="165"/>
        <v>0</v>
      </c>
      <c r="Y216">
        <f t="shared" si="166"/>
        <v>0</v>
      </c>
      <c r="Z216">
        <f t="shared" si="167"/>
        <v>0</v>
      </c>
      <c r="AA216">
        <f t="shared" si="168"/>
        <v>0</v>
      </c>
      <c r="AB216">
        <f t="shared" si="169"/>
        <v>0</v>
      </c>
      <c r="AC216">
        <f t="shared" si="170"/>
        <v>0</v>
      </c>
      <c r="AD216">
        <f t="shared" si="171"/>
        <v>0</v>
      </c>
      <c r="AE216">
        <f t="shared" si="172"/>
        <v>0</v>
      </c>
      <c r="AF216">
        <f t="shared" si="173"/>
        <v>0</v>
      </c>
      <c r="AG216">
        <f t="shared" si="174"/>
        <v>0</v>
      </c>
      <c r="AH216">
        <f t="shared" si="175"/>
        <v>0</v>
      </c>
      <c r="AI216">
        <f t="shared" si="176"/>
        <v>0</v>
      </c>
      <c r="AJ216">
        <f t="shared" si="177"/>
        <v>0</v>
      </c>
      <c r="AK216">
        <f t="shared" si="178"/>
        <v>0</v>
      </c>
      <c r="AL216">
        <f t="shared" si="179"/>
        <v>0</v>
      </c>
      <c r="AM216">
        <f t="shared" si="180"/>
        <v>0</v>
      </c>
      <c r="AN216">
        <f t="shared" si="181"/>
        <v>0</v>
      </c>
      <c r="AO216">
        <f t="shared" si="182"/>
        <v>0</v>
      </c>
      <c r="AP216">
        <f t="shared" si="183"/>
        <v>0</v>
      </c>
      <c r="AQ216">
        <f t="shared" si="184"/>
        <v>0</v>
      </c>
      <c r="AR216">
        <f t="shared" si="185"/>
        <v>0</v>
      </c>
      <c r="AS216">
        <f t="shared" si="186"/>
        <v>0</v>
      </c>
      <c r="AT216">
        <f t="shared" si="187"/>
        <v>0</v>
      </c>
      <c r="AU216">
        <f t="shared" si="188"/>
        <v>0</v>
      </c>
      <c r="AV216">
        <f t="shared" si="189"/>
        <v>0</v>
      </c>
      <c r="AW216">
        <f t="shared" si="144"/>
        <v>0</v>
      </c>
      <c r="AX216">
        <f t="shared" si="190"/>
        <v>0</v>
      </c>
      <c r="AY216">
        <f t="shared" si="191"/>
        <v>0</v>
      </c>
    </row>
    <row r="217" spans="1:51" x14ac:dyDescent="0.35">
      <c r="A217">
        <v>211</v>
      </c>
      <c r="C217">
        <f>MAX(0,Calc!$C$7-SUM(D217:R217))</f>
        <v>750</v>
      </c>
      <c r="D217">
        <f t="shared" si="145"/>
        <v>0</v>
      </c>
      <c r="E217">
        <f t="shared" si="146"/>
        <v>0</v>
      </c>
      <c r="F217">
        <f t="shared" si="147"/>
        <v>0</v>
      </c>
      <c r="G217">
        <f t="shared" si="148"/>
        <v>0</v>
      </c>
      <c r="H217">
        <f t="shared" si="149"/>
        <v>0</v>
      </c>
      <c r="I217">
        <f t="shared" si="150"/>
        <v>0</v>
      </c>
      <c r="J217">
        <f t="shared" si="151"/>
        <v>0</v>
      </c>
      <c r="K217">
        <f t="shared" si="152"/>
        <v>0</v>
      </c>
      <c r="L217">
        <f t="shared" si="153"/>
        <v>0</v>
      </c>
      <c r="M217">
        <f t="shared" si="154"/>
        <v>0</v>
      </c>
      <c r="N217">
        <f t="shared" si="155"/>
        <v>0</v>
      </c>
      <c r="O217">
        <f t="shared" si="156"/>
        <v>0</v>
      </c>
      <c r="P217">
        <f t="shared" si="157"/>
        <v>0</v>
      </c>
      <c r="Q217">
        <f t="shared" si="158"/>
        <v>0</v>
      </c>
      <c r="R217">
        <f t="shared" si="159"/>
        <v>0</v>
      </c>
      <c r="S217">
        <f t="shared" si="160"/>
        <v>0</v>
      </c>
      <c r="T217">
        <f t="shared" si="161"/>
        <v>0</v>
      </c>
      <c r="U217">
        <f t="shared" si="162"/>
        <v>0</v>
      </c>
      <c r="V217">
        <f t="shared" si="163"/>
        <v>0</v>
      </c>
      <c r="W217">
        <f t="shared" si="164"/>
        <v>0</v>
      </c>
      <c r="X217">
        <f t="shared" si="165"/>
        <v>0</v>
      </c>
      <c r="Y217">
        <f t="shared" si="166"/>
        <v>0</v>
      </c>
      <c r="Z217">
        <f t="shared" si="167"/>
        <v>0</v>
      </c>
      <c r="AA217">
        <f t="shared" si="168"/>
        <v>0</v>
      </c>
      <c r="AB217">
        <f t="shared" si="169"/>
        <v>0</v>
      </c>
      <c r="AC217">
        <f t="shared" si="170"/>
        <v>0</v>
      </c>
      <c r="AD217">
        <f t="shared" si="171"/>
        <v>0</v>
      </c>
      <c r="AE217">
        <f t="shared" si="172"/>
        <v>0</v>
      </c>
      <c r="AF217">
        <f t="shared" si="173"/>
        <v>0</v>
      </c>
      <c r="AG217">
        <f t="shared" si="174"/>
        <v>0</v>
      </c>
      <c r="AH217">
        <f t="shared" si="175"/>
        <v>0</v>
      </c>
      <c r="AI217">
        <f t="shared" si="176"/>
        <v>0</v>
      </c>
      <c r="AJ217">
        <f t="shared" si="177"/>
        <v>0</v>
      </c>
      <c r="AK217">
        <f t="shared" si="178"/>
        <v>0</v>
      </c>
      <c r="AL217">
        <f t="shared" si="179"/>
        <v>0</v>
      </c>
      <c r="AM217">
        <f t="shared" si="180"/>
        <v>0</v>
      </c>
      <c r="AN217">
        <f t="shared" si="181"/>
        <v>0</v>
      </c>
      <c r="AO217">
        <f t="shared" si="182"/>
        <v>0</v>
      </c>
      <c r="AP217">
        <f t="shared" si="183"/>
        <v>0</v>
      </c>
      <c r="AQ217">
        <f t="shared" si="184"/>
        <v>0</v>
      </c>
      <c r="AR217">
        <f t="shared" si="185"/>
        <v>0</v>
      </c>
      <c r="AS217">
        <f t="shared" si="186"/>
        <v>0</v>
      </c>
      <c r="AT217">
        <f t="shared" si="187"/>
        <v>0</v>
      </c>
      <c r="AU217">
        <f t="shared" si="188"/>
        <v>0</v>
      </c>
      <c r="AV217">
        <f t="shared" si="189"/>
        <v>0</v>
      </c>
      <c r="AW217">
        <f t="shared" si="144"/>
        <v>0</v>
      </c>
      <c r="AX217">
        <f t="shared" si="190"/>
        <v>0</v>
      </c>
      <c r="AY217">
        <f t="shared" si="191"/>
        <v>0</v>
      </c>
    </row>
    <row r="218" spans="1:51" x14ac:dyDescent="0.35">
      <c r="A218">
        <v>212</v>
      </c>
      <c r="C218">
        <f>MAX(0,Calc!$C$7-SUM(D218:R218))</f>
        <v>750</v>
      </c>
      <c r="D218">
        <f t="shared" si="145"/>
        <v>0</v>
      </c>
      <c r="E218">
        <f t="shared" si="146"/>
        <v>0</v>
      </c>
      <c r="F218">
        <f t="shared" si="147"/>
        <v>0</v>
      </c>
      <c r="G218">
        <f t="shared" si="148"/>
        <v>0</v>
      </c>
      <c r="H218">
        <f t="shared" si="149"/>
        <v>0</v>
      </c>
      <c r="I218">
        <f t="shared" si="150"/>
        <v>0</v>
      </c>
      <c r="J218">
        <f t="shared" si="151"/>
        <v>0</v>
      </c>
      <c r="K218">
        <f t="shared" si="152"/>
        <v>0</v>
      </c>
      <c r="L218">
        <f t="shared" si="153"/>
        <v>0</v>
      </c>
      <c r="M218">
        <f t="shared" si="154"/>
        <v>0</v>
      </c>
      <c r="N218">
        <f t="shared" si="155"/>
        <v>0</v>
      </c>
      <c r="O218">
        <f t="shared" si="156"/>
        <v>0</v>
      </c>
      <c r="P218">
        <f t="shared" si="157"/>
        <v>0</v>
      </c>
      <c r="Q218">
        <f t="shared" si="158"/>
        <v>0</v>
      </c>
      <c r="R218">
        <f t="shared" si="159"/>
        <v>0</v>
      </c>
      <c r="S218">
        <f t="shared" si="160"/>
        <v>0</v>
      </c>
      <c r="T218">
        <f t="shared" si="161"/>
        <v>0</v>
      </c>
      <c r="U218">
        <f t="shared" si="162"/>
        <v>0</v>
      </c>
      <c r="V218">
        <f t="shared" si="163"/>
        <v>0</v>
      </c>
      <c r="W218">
        <f t="shared" si="164"/>
        <v>0</v>
      </c>
      <c r="X218">
        <f t="shared" si="165"/>
        <v>0</v>
      </c>
      <c r="Y218">
        <f t="shared" si="166"/>
        <v>0</v>
      </c>
      <c r="Z218">
        <f t="shared" si="167"/>
        <v>0</v>
      </c>
      <c r="AA218">
        <f t="shared" si="168"/>
        <v>0</v>
      </c>
      <c r="AB218">
        <f t="shared" si="169"/>
        <v>0</v>
      </c>
      <c r="AC218">
        <f t="shared" si="170"/>
        <v>0</v>
      </c>
      <c r="AD218">
        <f t="shared" si="171"/>
        <v>0</v>
      </c>
      <c r="AE218">
        <f t="shared" si="172"/>
        <v>0</v>
      </c>
      <c r="AF218">
        <f t="shared" si="173"/>
        <v>0</v>
      </c>
      <c r="AG218">
        <f t="shared" si="174"/>
        <v>0</v>
      </c>
      <c r="AH218">
        <f t="shared" si="175"/>
        <v>0</v>
      </c>
      <c r="AI218">
        <f t="shared" si="176"/>
        <v>0</v>
      </c>
      <c r="AJ218">
        <f t="shared" si="177"/>
        <v>0</v>
      </c>
      <c r="AK218">
        <f t="shared" si="178"/>
        <v>0</v>
      </c>
      <c r="AL218">
        <f t="shared" si="179"/>
        <v>0</v>
      </c>
      <c r="AM218">
        <f t="shared" si="180"/>
        <v>0</v>
      </c>
      <c r="AN218">
        <f t="shared" si="181"/>
        <v>0</v>
      </c>
      <c r="AO218">
        <f t="shared" si="182"/>
        <v>0</v>
      </c>
      <c r="AP218">
        <f t="shared" si="183"/>
        <v>0</v>
      </c>
      <c r="AQ218">
        <f t="shared" si="184"/>
        <v>0</v>
      </c>
      <c r="AR218">
        <f t="shared" si="185"/>
        <v>0</v>
      </c>
      <c r="AS218">
        <f t="shared" si="186"/>
        <v>0</v>
      </c>
      <c r="AT218">
        <f t="shared" si="187"/>
        <v>0</v>
      </c>
      <c r="AU218">
        <f t="shared" si="188"/>
        <v>0</v>
      </c>
      <c r="AV218">
        <f t="shared" si="189"/>
        <v>0</v>
      </c>
      <c r="AW218">
        <f t="shared" si="144"/>
        <v>0</v>
      </c>
      <c r="AX218">
        <f t="shared" si="190"/>
        <v>0</v>
      </c>
      <c r="AY218">
        <f t="shared" si="191"/>
        <v>0</v>
      </c>
    </row>
    <row r="219" spans="1:51" x14ac:dyDescent="0.35">
      <c r="A219">
        <v>213</v>
      </c>
      <c r="C219">
        <f>MAX(0,Calc!$C$7-SUM(D219:R219))</f>
        <v>750</v>
      </c>
      <c r="D219">
        <f t="shared" si="145"/>
        <v>0</v>
      </c>
      <c r="E219">
        <f t="shared" si="146"/>
        <v>0</v>
      </c>
      <c r="F219">
        <f t="shared" si="147"/>
        <v>0</v>
      </c>
      <c r="G219">
        <f t="shared" si="148"/>
        <v>0</v>
      </c>
      <c r="H219">
        <f t="shared" si="149"/>
        <v>0</v>
      </c>
      <c r="I219">
        <f t="shared" si="150"/>
        <v>0</v>
      </c>
      <c r="J219">
        <f t="shared" si="151"/>
        <v>0</v>
      </c>
      <c r="K219">
        <f t="shared" si="152"/>
        <v>0</v>
      </c>
      <c r="L219">
        <f t="shared" si="153"/>
        <v>0</v>
      </c>
      <c r="M219">
        <f t="shared" si="154"/>
        <v>0</v>
      </c>
      <c r="N219">
        <f t="shared" si="155"/>
        <v>0</v>
      </c>
      <c r="O219">
        <f t="shared" si="156"/>
        <v>0</v>
      </c>
      <c r="P219">
        <f t="shared" si="157"/>
        <v>0</v>
      </c>
      <c r="Q219">
        <f t="shared" si="158"/>
        <v>0</v>
      </c>
      <c r="R219">
        <f t="shared" si="159"/>
        <v>0</v>
      </c>
      <c r="S219">
        <f t="shared" si="160"/>
        <v>0</v>
      </c>
      <c r="T219">
        <f t="shared" si="161"/>
        <v>0</v>
      </c>
      <c r="U219">
        <f t="shared" si="162"/>
        <v>0</v>
      </c>
      <c r="V219">
        <f t="shared" si="163"/>
        <v>0</v>
      </c>
      <c r="W219">
        <f t="shared" si="164"/>
        <v>0</v>
      </c>
      <c r="X219">
        <f t="shared" si="165"/>
        <v>0</v>
      </c>
      <c r="Y219">
        <f t="shared" si="166"/>
        <v>0</v>
      </c>
      <c r="Z219">
        <f t="shared" si="167"/>
        <v>0</v>
      </c>
      <c r="AA219">
        <f t="shared" si="168"/>
        <v>0</v>
      </c>
      <c r="AB219">
        <f t="shared" si="169"/>
        <v>0</v>
      </c>
      <c r="AC219">
        <f t="shared" si="170"/>
        <v>0</v>
      </c>
      <c r="AD219">
        <f t="shared" si="171"/>
        <v>0</v>
      </c>
      <c r="AE219">
        <f t="shared" si="172"/>
        <v>0</v>
      </c>
      <c r="AF219">
        <f t="shared" si="173"/>
        <v>0</v>
      </c>
      <c r="AG219">
        <f t="shared" si="174"/>
        <v>0</v>
      </c>
      <c r="AH219">
        <f t="shared" si="175"/>
        <v>0</v>
      </c>
      <c r="AI219">
        <f t="shared" si="176"/>
        <v>0</v>
      </c>
      <c r="AJ219">
        <f t="shared" si="177"/>
        <v>0</v>
      </c>
      <c r="AK219">
        <f t="shared" si="178"/>
        <v>0</v>
      </c>
      <c r="AL219">
        <f t="shared" si="179"/>
        <v>0</v>
      </c>
      <c r="AM219">
        <f t="shared" si="180"/>
        <v>0</v>
      </c>
      <c r="AN219">
        <f t="shared" si="181"/>
        <v>0</v>
      </c>
      <c r="AO219">
        <f t="shared" si="182"/>
        <v>0</v>
      </c>
      <c r="AP219">
        <f t="shared" si="183"/>
        <v>0</v>
      </c>
      <c r="AQ219">
        <f t="shared" si="184"/>
        <v>0</v>
      </c>
      <c r="AR219">
        <f t="shared" si="185"/>
        <v>0</v>
      </c>
      <c r="AS219">
        <f t="shared" si="186"/>
        <v>0</v>
      </c>
      <c r="AT219">
        <f t="shared" si="187"/>
        <v>0</v>
      </c>
      <c r="AU219">
        <f t="shared" si="188"/>
        <v>0</v>
      </c>
      <c r="AV219">
        <f t="shared" si="189"/>
        <v>0</v>
      </c>
      <c r="AW219">
        <f t="shared" si="144"/>
        <v>0</v>
      </c>
      <c r="AX219">
        <f t="shared" si="190"/>
        <v>0</v>
      </c>
      <c r="AY219">
        <f t="shared" si="191"/>
        <v>0</v>
      </c>
    </row>
    <row r="220" spans="1:51" x14ac:dyDescent="0.35">
      <c r="A220">
        <v>214</v>
      </c>
      <c r="C220">
        <f>MAX(0,Calc!$C$7-SUM(D220:R220))</f>
        <v>750</v>
      </c>
      <c r="D220">
        <f t="shared" si="145"/>
        <v>0</v>
      </c>
      <c r="E220">
        <f t="shared" si="146"/>
        <v>0</v>
      </c>
      <c r="F220">
        <f t="shared" si="147"/>
        <v>0</v>
      </c>
      <c r="G220">
        <f t="shared" si="148"/>
        <v>0</v>
      </c>
      <c r="H220">
        <f t="shared" si="149"/>
        <v>0</v>
      </c>
      <c r="I220">
        <f t="shared" si="150"/>
        <v>0</v>
      </c>
      <c r="J220">
        <f t="shared" si="151"/>
        <v>0</v>
      </c>
      <c r="K220">
        <f t="shared" si="152"/>
        <v>0</v>
      </c>
      <c r="L220">
        <f t="shared" si="153"/>
        <v>0</v>
      </c>
      <c r="M220">
        <f t="shared" si="154"/>
        <v>0</v>
      </c>
      <c r="N220">
        <f t="shared" si="155"/>
        <v>0</v>
      </c>
      <c r="O220">
        <f t="shared" si="156"/>
        <v>0</v>
      </c>
      <c r="P220">
        <f t="shared" si="157"/>
        <v>0</v>
      </c>
      <c r="Q220">
        <f t="shared" si="158"/>
        <v>0</v>
      </c>
      <c r="R220">
        <f t="shared" si="159"/>
        <v>0</v>
      </c>
      <c r="S220">
        <f t="shared" si="160"/>
        <v>0</v>
      </c>
      <c r="T220">
        <f t="shared" si="161"/>
        <v>0</v>
      </c>
      <c r="U220">
        <f t="shared" si="162"/>
        <v>0</v>
      </c>
      <c r="V220">
        <f t="shared" si="163"/>
        <v>0</v>
      </c>
      <c r="W220">
        <f t="shared" si="164"/>
        <v>0</v>
      </c>
      <c r="X220">
        <f t="shared" si="165"/>
        <v>0</v>
      </c>
      <c r="Y220">
        <f t="shared" si="166"/>
        <v>0</v>
      </c>
      <c r="Z220">
        <f t="shared" si="167"/>
        <v>0</v>
      </c>
      <c r="AA220">
        <f t="shared" si="168"/>
        <v>0</v>
      </c>
      <c r="AB220">
        <f t="shared" si="169"/>
        <v>0</v>
      </c>
      <c r="AC220">
        <f t="shared" si="170"/>
        <v>0</v>
      </c>
      <c r="AD220">
        <f t="shared" si="171"/>
        <v>0</v>
      </c>
      <c r="AE220">
        <f t="shared" si="172"/>
        <v>0</v>
      </c>
      <c r="AF220">
        <f t="shared" si="173"/>
        <v>0</v>
      </c>
      <c r="AG220">
        <f t="shared" si="174"/>
        <v>0</v>
      </c>
      <c r="AH220">
        <f t="shared" si="175"/>
        <v>0</v>
      </c>
      <c r="AI220">
        <f t="shared" si="176"/>
        <v>0</v>
      </c>
      <c r="AJ220">
        <f t="shared" si="177"/>
        <v>0</v>
      </c>
      <c r="AK220">
        <f t="shared" si="178"/>
        <v>0</v>
      </c>
      <c r="AL220">
        <f t="shared" si="179"/>
        <v>0</v>
      </c>
      <c r="AM220">
        <f t="shared" si="180"/>
        <v>0</v>
      </c>
      <c r="AN220">
        <f t="shared" si="181"/>
        <v>0</v>
      </c>
      <c r="AO220">
        <f t="shared" si="182"/>
        <v>0</v>
      </c>
      <c r="AP220">
        <f t="shared" si="183"/>
        <v>0</v>
      </c>
      <c r="AQ220">
        <f t="shared" si="184"/>
        <v>0</v>
      </c>
      <c r="AR220">
        <f t="shared" si="185"/>
        <v>0</v>
      </c>
      <c r="AS220">
        <f t="shared" si="186"/>
        <v>0</v>
      </c>
      <c r="AT220">
        <f t="shared" si="187"/>
        <v>0</v>
      </c>
      <c r="AU220">
        <f t="shared" si="188"/>
        <v>0</v>
      </c>
      <c r="AV220">
        <f t="shared" si="189"/>
        <v>0</v>
      </c>
      <c r="AW220">
        <f t="shared" si="144"/>
        <v>0</v>
      </c>
      <c r="AX220">
        <f t="shared" si="190"/>
        <v>0</v>
      </c>
      <c r="AY220">
        <f t="shared" si="191"/>
        <v>0</v>
      </c>
    </row>
    <row r="221" spans="1:51" x14ac:dyDescent="0.35">
      <c r="A221">
        <v>215</v>
      </c>
      <c r="C221">
        <f>MAX(0,Calc!$C$7-SUM(D221:R221))</f>
        <v>750</v>
      </c>
      <c r="D221">
        <f t="shared" si="145"/>
        <v>0</v>
      </c>
      <c r="E221">
        <f t="shared" si="146"/>
        <v>0</v>
      </c>
      <c r="F221">
        <f t="shared" si="147"/>
        <v>0</v>
      </c>
      <c r="G221">
        <f t="shared" si="148"/>
        <v>0</v>
      </c>
      <c r="H221">
        <f t="shared" si="149"/>
        <v>0</v>
      </c>
      <c r="I221">
        <f t="shared" si="150"/>
        <v>0</v>
      </c>
      <c r="J221">
        <f t="shared" si="151"/>
        <v>0</v>
      </c>
      <c r="K221">
        <f t="shared" si="152"/>
        <v>0</v>
      </c>
      <c r="L221">
        <f t="shared" si="153"/>
        <v>0</v>
      </c>
      <c r="M221">
        <f t="shared" si="154"/>
        <v>0</v>
      </c>
      <c r="N221">
        <f t="shared" si="155"/>
        <v>0</v>
      </c>
      <c r="O221">
        <f t="shared" si="156"/>
        <v>0</v>
      </c>
      <c r="P221">
        <f t="shared" si="157"/>
        <v>0</v>
      </c>
      <c r="Q221">
        <f t="shared" si="158"/>
        <v>0</v>
      </c>
      <c r="R221">
        <f t="shared" si="159"/>
        <v>0</v>
      </c>
      <c r="S221">
        <f t="shared" si="160"/>
        <v>0</v>
      </c>
      <c r="T221">
        <f t="shared" si="161"/>
        <v>0</v>
      </c>
      <c r="U221">
        <f t="shared" si="162"/>
        <v>0</v>
      </c>
      <c r="V221">
        <f t="shared" si="163"/>
        <v>0</v>
      </c>
      <c r="W221">
        <f t="shared" si="164"/>
        <v>0</v>
      </c>
      <c r="X221">
        <f t="shared" si="165"/>
        <v>0</v>
      </c>
      <c r="Y221">
        <f t="shared" si="166"/>
        <v>0</v>
      </c>
      <c r="Z221">
        <f t="shared" si="167"/>
        <v>0</v>
      </c>
      <c r="AA221">
        <f t="shared" si="168"/>
        <v>0</v>
      </c>
      <c r="AB221">
        <f t="shared" si="169"/>
        <v>0</v>
      </c>
      <c r="AC221">
        <f t="shared" si="170"/>
        <v>0</v>
      </c>
      <c r="AD221">
        <f t="shared" si="171"/>
        <v>0</v>
      </c>
      <c r="AE221">
        <f t="shared" si="172"/>
        <v>0</v>
      </c>
      <c r="AF221">
        <f t="shared" si="173"/>
        <v>0</v>
      </c>
      <c r="AG221">
        <f t="shared" si="174"/>
        <v>0</v>
      </c>
      <c r="AH221">
        <f t="shared" si="175"/>
        <v>0</v>
      </c>
      <c r="AI221">
        <f t="shared" si="176"/>
        <v>0</v>
      </c>
      <c r="AJ221">
        <f t="shared" si="177"/>
        <v>0</v>
      </c>
      <c r="AK221">
        <f t="shared" si="178"/>
        <v>0</v>
      </c>
      <c r="AL221">
        <f t="shared" si="179"/>
        <v>0</v>
      </c>
      <c r="AM221">
        <f t="shared" si="180"/>
        <v>0</v>
      </c>
      <c r="AN221">
        <f t="shared" si="181"/>
        <v>0</v>
      </c>
      <c r="AO221">
        <f t="shared" si="182"/>
        <v>0</v>
      </c>
      <c r="AP221">
        <f t="shared" si="183"/>
        <v>0</v>
      </c>
      <c r="AQ221">
        <f t="shared" si="184"/>
        <v>0</v>
      </c>
      <c r="AR221">
        <f t="shared" si="185"/>
        <v>0</v>
      </c>
      <c r="AS221">
        <f t="shared" si="186"/>
        <v>0</v>
      </c>
      <c r="AT221">
        <f t="shared" si="187"/>
        <v>0</v>
      </c>
      <c r="AU221">
        <f t="shared" si="188"/>
        <v>0</v>
      </c>
      <c r="AV221">
        <f t="shared" si="189"/>
        <v>0</v>
      </c>
      <c r="AW221">
        <f t="shared" si="144"/>
        <v>0</v>
      </c>
      <c r="AX221">
        <f t="shared" si="190"/>
        <v>0</v>
      </c>
      <c r="AY221">
        <f t="shared" si="191"/>
        <v>0</v>
      </c>
    </row>
    <row r="222" spans="1:51" x14ac:dyDescent="0.35">
      <c r="A222">
        <v>216</v>
      </c>
      <c r="C222">
        <f>MAX(0,Calc!$C$7-SUM(D222:R222))</f>
        <v>750</v>
      </c>
      <c r="D222">
        <f t="shared" si="145"/>
        <v>0</v>
      </c>
      <c r="E222">
        <f t="shared" si="146"/>
        <v>0</v>
      </c>
      <c r="F222">
        <f t="shared" si="147"/>
        <v>0</v>
      </c>
      <c r="G222">
        <f t="shared" si="148"/>
        <v>0</v>
      </c>
      <c r="H222">
        <f t="shared" si="149"/>
        <v>0</v>
      </c>
      <c r="I222">
        <f t="shared" si="150"/>
        <v>0</v>
      </c>
      <c r="J222">
        <f t="shared" si="151"/>
        <v>0</v>
      </c>
      <c r="K222">
        <f t="shared" si="152"/>
        <v>0</v>
      </c>
      <c r="L222">
        <f t="shared" si="153"/>
        <v>0</v>
      </c>
      <c r="M222">
        <f t="shared" si="154"/>
        <v>0</v>
      </c>
      <c r="N222">
        <f t="shared" si="155"/>
        <v>0</v>
      </c>
      <c r="O222">
        <f t="shared" si="156"/>
        <v>0</v>
      </c>
      <c r="P222">
        <f t="shared" si="157"/>
        <v>0</v>
      </c>
      <c r="Q222">
        <f t="shared" si="158"/>
        <v>0</v>
      </c>
      <c r="R222">
        <f t="shared" si="159"/>
        <v>0</v>
      </c>
      <c r="S222">
        <f t="shared" si="160"/>
        <v>0</v>
      </c>
      <c r="T222">
        <f t="shared" si="161"/>
        <v>0</v>
      </c>
      <c r="U222">
        <f t="shared" si="162"/>
        <v>0</v>
      </c>
      <c r="V222">
        <f t="shared" si="163"/>
        <v>0</v>
      </c>
      <c r="W222">
        <f t="shared" si="164"/>
        <v>0</v>
      </c>
      <c r="X222">
        <f t="shared" si="165"/>
        <v>0</v>
      </c>
      <c r="Y222">
        <f t="shared" si="166"/>
        <v>0</v>
      </c>
      <c r="Z222">
        <f t="shared" si="167"/>
        <v>0</v>
      </c>
      <c r="AA222">
        <f t="shared" si="168"/>
        <v>0</v>
      </c>
      <c r="AB222">
        <f t="shared" si="169"/>
        <v>0</v>
      </c>
      <c r="AC222">
        <f t="shared" si="170"/>
        <v>0</v>
      </c>
      <c r="AD222">
        <f t="shared" si="171"/>
        <v>0</v>
      </c>
      <c r="AE222">
        <f t="shared" si="172"/>
        <v>0</v>
      </c>
      <c r="AF222">
        <f t="shared" si="173"/>
        <v>0</v>
      </c>
      <c r="AG222">
        <f t="shared" si="174"/>
        <v>0</v>
      </c>
      <c r="AH222">
        <f t="shared" si="175"/>
        <v>0</v>
      </c>
      <c r="AI222">
        <f t="shared" si="176"/>
        <v>0</v>
      </c>
      <c r="AJ222">
        <f t="shared" si="177"/>
        <v>0</v>
      </c>
      <c r="AK222">
        <f t="shared" si="178"/>
        <v>0</v>
      </c>
      <c r="AL222">
        <f t="shared" si="179"/>
        <v>0</v>
      </c>
      <c r="AM222">
        <f t="shared" si="180"/>
        <v>0</v>
      </c>
      <c r="AN222">
        <f t="shared" si="181"/>
        <v>0</v>
      </c>
      <c r="AO222">
        <f t="shared" si="182"/>
        <v>0</v>
      </c>
      <c r="AP222">
        <f t="shared" si="183"/>
        <v>0</v>
      </c>
      <c r="AQ222">
        <f t="shared" si="184"/>
        <v>0</v>
      </c>
      <c r="AR222">
        <f t="shared" si="185"/>
        <v>0</v>
      </c>
      <c r="AS222">
        <f t="shared" si="186"/>
        <v>0</v>
      </c>
      <c r="AT222">
        <f t="shared" si="187"/>
        <v>0</v>
      </c>
      <c r="AU222">
        <f t="shared" si="188"/>
        <v>0</v>
      </c>
      <c r="AV222">
        <f t="shared" si="189"/>
        <v>0</v>
      </c>
      <c r="AW222">
        <f t="shared" si="144"/>
        <v>0</v>
      </c>
      <c r="AX222">
        <f t="shared" si="190"/>
        <v>0</v>
      </c>
      <c r="AY222">
        <f t="shared" si="191"/>
        <v>0</v>
      </c>
    </row>
    <row r="223" spans="1:51" x14ac:dyDescent="0.35">
      <c r="A223">
        <v>217</v>
      </c>
      <c r="C223">
        <f>MAX(0,Calc!$C$7-SUM(D223:R223))</f>
        <v>750</v>
      </c>
      <c r="D223">
        <f t="shared" si="145"/>
        <v>0</v>
      </c>
      <c r="E223">
        <f t="shared" si="146"/>
        <v>0</v>
      </c>
      <c r="F223">
        <f t="shared" si="147"/>
        <v>0</v>
      </c>
      <c r="G223">
        <f t="shared" si="148"/>
        <v>0</v>
      </c>
      <c r="H223">
        <f t="shared" si="149"/>
        <v>0</v>
      </c>
      <c r="I223">
        <f t="shared" si="150"/>
        <v>0</v>
      </c>
      <c r="J223">
        <f t="shared" si="151"/>
        <v>0</v>
      </c>
      <c r="K223">
        <f t="shared" si="152"/>
        <v>0</v>
      </c>
      <c r="L223">
        <f t="shared" si="153"/>
        <v>0</v>
      </c>
      <c r="M223">
        <f t="shared" si="154"/>
        <v>0</v>
      </c>
      <c r="N223">
        <f t="shared" si="155"/>
        <v>0</v>
      </c>
      <c r="O223">
        <f t="shared" si="156"/>
        <v>0</v>
      </c>
      <c r="P223">
        <f t="shared" si="157"/>
        <v>0</v>
      </c>
      <c r="Q223">
        <f t="shared" si="158"/>
        <v>0</v>
      </c>
      <c r="R223">
        <f t="shared" si="159"/>
        <v>0</v>
      </c>
      <c r="S223">
        <f t="shared" si="160"/>
        <v>0</v>
      </c>
      <c r="T223">
        <f t="shared" si="161"/>
        <v>0</v>
      </c>
      <c r="U223">
        <f t="shared" si="162"/>
        <v>0</v>
      </c>
      <c r="V223">
        <f t="shared" si="163"/>
        <v>0</v>
      </c>
      <c r="W223">
        <f t="shared" si="164"/>
        <v>0</v>
      </c>
      <c r="X223">
        <f t="shared" si="165"/>
        <v>0</v>
      </c>
      <c r="Y223">
        <f t="shared" si="166"/>
        <v>0</v>
      </c>
      <c r="Z223">
        <f t="shared" si="167"/>
        <v>0</v>
      </c>
      <c r="AA223">
        <f t="shared" si="168"/>
        <v>0</v>
      </c>
      <c r="AB223">
        <f t="shared" si="169"/>
        <v>0</v>
      </c>
      <c r="AC223">
        <f t="shared" si="170"/>
        <v>0</v>
      </c>
      <c r="AD223">
        <f t="shared" si="171"/>
        <v>0</v>
      </c>
      <c r="AE223">
        <f t="shared" si="172"/>
        <v>0</v>
      </c>
      <c r="AF223">
        <f t="shared" si="173"/>
        <v>0</v>
      </c>
      <c r="AG223">
        <f t="shared" si="174"/>
        <v>0</v>
      </c>
      <c r="AH223">
        <f t="shared" si="175"/>
        <v>0</v>
      </c>
      <c r="AI223">
        <f t="shared" si="176"/>
        <v>0</v>
      </c>
      <c r="AJ223">
        <f t="shared" si="177"/>
        <v>0</v>
      </c>
      <c r="AK223">
        <f t="shared" si="178"/>
        <v>0</v>
      </c>
      <c r="AL223">
        <f t="shared" si="179"/>
        <v>0</v>
      </c>
      <c r="AM223">
        <f t="shared" si="180"/>
        <v>0</v>
      </c>
      <c r="AN223">
        <f t="shared" si="181"/>
        <v>0</v>
      </c>
      <c r="AO223">
        <f t="shared" si="182"/>
        <v>0</v>
      </c>
      <c r="AP223">
        <f t="shared" si="183"/>
        <v>0</v>
      </c>
      <c r="AQ223">
        <f t="shared" si="184"/>
        <v>0</v>
      </c>
      <c r="AR223">
        <f t="shared" si="185"/>
        <v>0</v>
      </c>
      <c r="AS223">
        <f t="shared" si="186"/>
        <v>0</v>
      </c>
      <c r="AT223">
        <f t="shared" si="187"/>
        <v>0</v>
      </c>
      <c r="AU223">
        <f t="shared" si="188"/>
        <v>0</v>
      </c>
      <c r="AV223">
        <f t="shared" si="189"/>
        <v>0</v>
      </c>
      <c r="AW223">
        <f t="shared" si="144"/>
        <v>0</v>
      </c>
      <c r="AX223">
        <f t="shared" si="190"/>
        <v>0</v>
      </c>
      <c r="AY223">
        <f t="shared" si="191"/>
        <v>0</v>
      </c>
    </row>
    <row r="224" spans="1:51" x14ac:dyDescent="0.35">
      <c r="A224">
        <v>218</v>
      </c>
      <c r="C224">
        <f>MAX(0,Calc!$C$7-SUM(D224:R224))</f>
        <v>750</v>
      </c>
      <c r="D224">
        <f t="shared" si="145"/>
        <v>0</v>
      </c>
      <c r="E224">
        <f t="shared" si="146"/>
        <v>0</v>
      </c>
      <c r="F224">
        <f t="shared" si="147"/>
        <v>0</v>
      </c>
      <c r="G224">
        <f t="shared" si="148"/>
        <v>0</v>
      </c>
      <c r="H224">
        <f t="shared" si="149"/>
        <v>0</v>
      </c>
      <c r="I224">
        <f t="shared" si="150"/>
        <v>0</v>
      </c>
      <c r="J224">
        <f t="shared" si="151"/>
        <v>0</v>
      </c>
      <c r="K224">
        <f t="shared" si="152"/>
        <v>0</v>
      </c>
      <c r="L224">
        <f t="shared" si="153"/>
        <v>0</v>
      </c>
      <c r="M224">
        <f t="shared" si="154"/>
        <v>0</v>
      </c>
      <c r="N224">
        <f t="shared" si="155"/>
        <v>0</v>
      </c>
      <c r="O224">
        <f t="shared" si="156"/>
        <v>0</v>
      </c>
      <c r="P224">
        <f t="shared" si="157"/>
        <v>0</v>
      </c>
      <c r="Q224">
        <f t="shared" si="158"/>
        <v>0</v>
      </c>
      <c r="R224">
        <f t="shared" si="159"/>
        <v>0</v>
      </c>
      <c r="S224">
        <f t="shared" si="160"/>
        <v>0</v>
      </c>
      <c r="T224">
        <f t="shared" si="161"/>
        <v>0</v>
      </c>
      <c r="U224">
        <f t="shared" si="162"/>
        <v>0</v>
      </c>
      <c r="V224">
        <f t="shared" si="163"/>
        <v>0</v>
      </c>
      <c r="W224">
        <f t="shared" si="164"/>
        <v>0</v>
      </c>
      <c r="X224">
        <f t="shared" si="165"/>
        <v>0</v>
      </c>
      <c r="Y224">
        <f t="shared" si="166"/>
        <v>0</v>
      </c>
      <c r="Z224">
        <f t="shared" si="167"/>
        <v>0</v>
      </c>
      <c r="AA224">
        <f t="shared" si="168"/>
        <v>0</v>
      </c>
      <c r="AB224">
        <f t="shared" si="169"/>
        <v>0</v>
      </c>
      <c r="AC224">
        <f t="shared" si="170"/>
        <v>0</v>
      </c>
      <c r="AD224">
        <f t="shared" si="171"/>
        <v>0</v>
      </c>
      <c r="AE224">
        <f t="shared" si="172"/>
        <v>0</v>
      </c>
      <c r="AF224">
        <f t="shared" si="173"/>
        <v>0</v>
      </c>
      <c r="AG224">
        <f t="shared" si="174"/>
        <v>0</v>
      </c>
      <c r="AH224">
        <f t="shared" si="175"/>
        <v>0</v>
      </c>
      <c r="AI224">
        <f t="shared" si="176"/>
        <v>0</v>
      </c>
      <c r="AJ224">
        <f t="shared" si="177"/>
        <v>0</v>
      </c>
      <c r="AK224">
        <f t="shared" si="178"/>
        <v>0</v>
      </c>
      <c r="AL224">
        <f t="shared" si="179"/>
        <v>0</v>
      </c>
      <c r="AM224">
        <f t="shared" si="180"/>
        <v>0</v>
      </c>
      <c r="AN224">
        <f t="shared" si="181"/>
        <v>0</v>
      </c>
      <c r="AO224">
        <f t="shared" si="182"/>
        <v>0</v>
      </c>
      <c r="AP224">
        <f t="shared" si="183"/>
        <v>0</v>
      </c>
      <c r="AQ224">
        <f t="shared" si="184"/>
        <v>0</v>
      </c>
      <c r="AR224">
        <f t="shared" si="185"/>
        <v>0</v>
      </c>
      <c r="AS224">
        <f t="shared" si="186"/>
        <v>0</v>
      </c>
      <c r="AT224">
        <f t="shared" si="187"/>
        <v>0</v>
      </c>
      <c r="AU224">
        <f t="shared" si="188"/>
        <v>0</v>
      </c>
      <c r="AV224">
        <f t="shared" si="189"/>
        <v>0</v>
      </c>
      <c r="AW224">
        <f t="shared" si="144"/>
        <v>0</v>
      </c>
      <c r="AX224">
        <f t="shared" si="190"/>
        <v>0</v>
      </c>
      <c r="AY224">
        <f t="shared" si="191"/>
        <v>0</v>
      </c>
    </row>
    <row r="225" spans="1:51" x14ac:dyDescent="0.35">
      <c r="A225">
        <v>219</v>
      </c>
      <c r="C225">
        <f>MAX(0,Calc!$C$7-SUM(D225:R225))</f>
        <v>750</v>
      </c>
      <c r="D225">
        <f t="shared" si="145"/>
        <v>0</v>
      </c>
      <c r="E225">
        <f t="shared" si="146"/>
        <v>0</v>
      </c>
      <c r="F225">
        <f t="shared" si="147"/>
        <v>0</v>
      </c>
      <c r="G225">
        <f t="shared" si="148"/>
        <v>0</v>
      </c>
      <c r="H225">
        <f t="shared" si="149"/>
        <v>0</v>
      </c>
      <c r="I225">
        <f t="shared" si="150"/>
        <v>0</v>
      </c>
      <c r="J225">
        <f t="shared" si="151"/>
        <v>0</v>
      </c>
      <c r="K225">
        <f t="shared" si="152"/>
        <v>0</v>
      </c>
      <c r="L225">
        <f t="shared" si="153"/>
        <v>0</v>
      </c>
      <c r="M225">
        <f t="shared" si="154"/>
        <v>0</v>
      </c>
      <c r="N225">
        <f t="shared" si="155"/>
        <v>0</v>
      </c>
      <c r="O225">
        <f t="shared" si="156"/>
        <v>0</v>
      </c>
      <c r="P225">
        <f t="shared" si="157"/>
        <v>0</v>
      </c>
      <c r="Q225">
        <f t="shared" si="158"/>
        <v>0</v>
      </c>
      <c r="R225">
        <f t="shared" si="159"/>
        <v>0</v>
      </c>
      <c r="S225">
        <f t="shared" si="160"/>
        <v>0</v>
      </c>
      <c r="T225">
        <f t="shared" si="161"/>
        <v>0</v>
      </c>
      <c r="U225">
        <f t="shared" si="162"/>
        <v>0</v>
      </c>
      <c r="V225">
        <f t="shared" si="163"/>
        <v>0</v>
      </c>
      <c r="W225">
        <f t="shared" si="164"/>
        <v>0</v>
      </c>
      <c r="X225">
        <f t="shared" si="165"/>
        <v>0</v>
      </c>
      <c r="Y225">
        <f t="shared" si="166"/>
        <v>0</v>
      </c>
      <c r="Z225">
        <f t="shared" si="167"/>
        <v>0</v>
      </c>
      <c r="AA225">
        <f t="shared" si="168"/>
        <v>0</v>
      </c>
      <c r="AB225">
        <f t="shared" si="169"/>
        <v>0</v>
      </c>
      <c r="AC225">
        <f t="shared" si="170"/>
        <v>0</v>
      </c>
      <c r="AD225">
        <f t="shared" si="171"/>
        <v>0</v>
      </c>
      <c r="AE225">
        <f t="shared" si="172"/>
        <v>0</v>
      </c>
      <c r="AF225">
        <f t="shared" si="173"/>
        <v>0</v>
      </c>
      <c r="AG225">
        <f t="shared" si="174"/>
        <v>0</v>
      </c>
      <c r="AH225">
        <f t="shared" si="175"/>
        <v>0</v>
      </c>
      <c r="AI225">
        <f t="shared" si="176"/>
        <v>0</v>
      </c>
      <c r="AJ225">
        <f t="shared" si="177"/>
        <v>0</v>
      </c>
      <c r="AK225">
        <f t="shared" si="178"/>
        <v>0</v>
      </c>
      <c r="AL225">
        <f t="shared" si="179"/>
        <v>0</v>
      </c>
      <c r="AM225">
        <f t="shared" si="180"/>
        <v>0</v>
      </c>
      <c r="AN225">
        <f t="shared" si="181"/>
        <v>0</v>
      </c>
      <c r="AO225">
        <f t="shared" si="182"/>
        <v>0</v>
      </c>
      <c r="AP225">
        <f t="shared" si="183"/>
        <v>0</v>
      </c>
      <c r="AQ225">
        <f t="shared" si="184"/>
        <v>0</v>
      </c>
      <c r="AR225">
        <f t="shared" si="185"/>
        <v>0</v>
      </c>
      <c r="AS225">
        <f t="shared" si="186"/>
        <v>0</v>
      </c>
      <c r="AT225">
        <f t="shared" si="187"/>
        <v>0</v>
      </c>
      <c r="AU225">
        <f t="shared" si="188"/>
        <v>0</v>
      </c>
      <c r="AV225">
        <f t="shared" si="189"/>
        <v>0</v>
      </c>
      <c r="AW225">
        <f t="shared" si="144"/>
        <v>0</v>
      </c>
      <c r="AX225">
        <f t="shared" si="190"/>
        <v>0</v>
      </c>
      <c r="AY225">
        <f t="shared" si="191"/>
        <v>0</v>
      </c>
    </row>
    <row r="226" spans="1:51" x14ac:dyDescent="0.35">
      <c r="A226">
        <v>220</v>
      </c>
      <c r="C226">
        <f>MAX(0,Calc!$C$7-SUM(D226:R226))</f>
        <v>750</v>
      </c>
      <c r="D226">
        <f t="shared" si="145"/>
        <v>0</v>
      </c>
      <c r="E226">
        <f t="shared" si="146"/>
        <v>0</v>
      </c>
      <c r="F226">
        <f t="shared" si="147"/>
        <v>0</v>
      </c>
      <c r="G226">
        <f t="shared" si="148"/>
        <v>0</v>
      </c>
      <c r="H226">
        <f t="shared" si="149"/>
        <v>0</v>
      </c>
      <c r="I226">
        <f t="shared" si="150"/>
        <v>0</v>
      </c>
      <c r="J226">
        <f t="shared" si="151"/>
        <v>0</v>
      </c>
      <c r="K226">
        <f t="shared" si="152"/>
        <v>0</v>
      </c>
      <c r="L226">
        <f t="shared" si="153"/>
        <v>0</v>
      </c>
      <c r="M226">
        <f t="shared" si="154"/>
        <v>0</v>
      </c>
      <c r="N226">
        <f t="shared" si="155"/>
        <v>0</v>
      </c>
      <c r="O226">
        <f t="shared" si="156"/>
        <v>0</v>
      </c>
      <c r="P226">
        <f t="shared" si="157"/>
        <v>0</v>
      </c>
      <c r="Q226">
        <f t="shared" si="158"/>
        <v>0</v>
      </c>
      <c r="R226">
        <f t="shared" si="159"/>
        <v>0</v>
      </c>
      <c r="S226">
        <f t="shared" si="160"/>
        <v>0</v>
      </c>
      <c r="T226">
        <f t="shared" si="161"/>
        <v>0</v>
      </c>
      <c r="U226">
        <f t="shared" si="162"/>
        <v>0</v>
      </c>
      <c r="V226">
        <f t="shared" si="163"/>
        <v>0</v>
      </c>
      <c r="W226">
        <f t="shared" si="164"/>
        <v>0</v>
      </c>
      <c r="X226">
        <f t="shared" si="165"/>
        <v>0</v>
      </c>
      <c r="Y226">
        <f t="shared" si="166"/>
        <v>0</v>
      </c>
      <c r="Z226">
        <f t="shared" si="167"/>
        <v>0</v>
      </c>
      <c r="AA226">
        <f t="shared" si="168"/>
        <v>0</v>
      </c>
      <c r="AB226">
        <f t="shared" si="169"/>
        <v>0</v>
      </c>
      <c r="AC226">
        <f t="shared" si="170"/>
        <v>0</v>
      </c>
      <c r="AD226">
        <f t="shared" si="171"/>
        <v>0</v>
      </c>
      <c r="AE226">
        <f t="shared" si="172"/>
        <v>0</v>
      </c>
      <c r="AF226">
        <f t="shared" si="173"/>
        <v>0</v>
      </c>
      <c r="AG226">
        <f t="shared" si="174"/>
        <v>0</v>
      </c>
      <c r="AH226">
        <f t="shared" si="175"/>
        <v>0</v>
      </c>
      <c r="AI226">
        <f t="shared" si="176"/>
        <v>0</v>
      </c>
      <c r="AJ226">
        <f t="shared" si="177"/>
        <v>0</v>
      </c>
      <c r="AK226">
        <f t="shared" si="178"/>
        <v>0</v>
      </c>
      <c r="AL226">
        <f t="shared" si="179"/>
        <v>0</v>
      </c>
      <c r="AM226">
        <f t="shared" si="180"/>
        <v>0</v>
      </c>
      <c r="AN226">
        <f t="shared" si="181"/>
        <v>0</v>
      </c>
      <c r="AO226">
        <f t="shared" si="182"/>
        <v>0</v>
      </c>
      <c r="AP226">
        <f t="shared" si="183"/>
        <v>0</v>
      </c>
      <c r="AQ226">
        <f t="shared" si="184"/>
        <v>0</v>
      </c>
      <c r="AR226">
        <f t="shared" si="185"/>
        <v>0</v>
      </c>
      <c r="AS226">
        <f t="shared" si="186"/>
        <v>0</v>
      </c>
      <c r="AT226">
        <f t="shared" si="187"/>
        <v>0</v>
      </c>
      <c r="AU226">
        <f t="shared" si="188"/>
        <v>0</v>
      </c>
      <c r="AV226">
        <f t="shared" si="189"/>
        <v>0</v>
      </c>
      <c r="AW226">
        <f t="shared" si="144"/>
        <v>0</v>
      </c>
      <c r="AX226">
        <f t="shared" si="190"/>
        <v>0</v>
      </c>
      <c r="AY226">
        <f t="shared" si="191"/>
        <v>0</v>
      </c>
    </row>
    <row r="227" spans="1:51" x14ac:dyDescent="0.35">
      <c r="A227">
        <v>221</v>
      </c>
      <c r="C227">
        <f>MAX(0,Calc!$C$7-SUM(D227:R227))</f>
        <v>750</v>
      </c>
      <c r="D227">
        <f t="shared" si="145"/>
        <v>0</v>
      </c>
      <c r="E227">
        <f t="shared" si="146"/>
        <v>0</v>
      </c>
      <c r="F227">
        <f t="shared" si="147"/>
        <v>0</v>
      </c>
      <c r="G227">
        <f t="shared" si="148"/>
        <v>0</v>
      </c>
      <c r="H227">
        <f t="shared" si="149"/>
        <v>0</v>
      </c>
      <c r="I227">
        <f t="shared" si="150"/>
        <v>0</v>
      </c>
      <c r="J227">
        <f t="shared" si="151"/>
        <v>0</v>
      </c>
      <c r="K227">
        <f t="shared" si="152"/>
        <v>0</v>
      </c>
      <c r="L227">
        <f t="shared" si="153"/>
        <v>0</v>
      </c>
      <c r="M227">
        <f t="shared" si="154"/>
        <v>0</v>
      </c>
      <c r="N227">
        <f t="shared" si="155"/>
        <v>0</v>
      </c>
      <c r="O227">
        <f t="shared" si="156"/>
        <v>0</v>
      </c>
      <c r="P227">
        <f t="shared" si="157"/>
        <v>0</v>
      </c>
      <c r="Q227">
        <f t="shared" si="158"/>
        <v>0</v>
      </c>
      <c r="R227">
        <f t="shared" si="159"/>
        <v>0</v>
      </c>
      <c r="S227">
        <f t="shared" si="160"/>
        <v>0</v>
      </c>
      <c r="T227">
        <f t="shared" si="161"/>
        <v>0</v>
      </c>
      <c r="U227">
        <f t="shared" si="162"/>
        <v>0</v>
      </c>
      <c r="V227">
        <f t="shared" si="163"/>
        <v>0</v>
      </c>
      <c r="W227">
        <f t="shared" si="164"/>
        <v>0</v>
      </c>
      <c r="X227">
        <f t="shared" si="165"/>
        <v>0</v>
      </c>
      <c r="Y227">
        <f t="shared" si="166"/>
        <v>0</v>
      </c>
      <c r="Z227">
        <f t="shared" si="167"/>
        <v>0</v>
      </c>
      <c r="AA227">
        <f t="shared" si="168"/>
        <v>0</v>
      </c>
      <c r="AB227">
        <f t="shared" si="169"/>
        <v>0</v>
      </c>
      <c r="AC227">
        <f t="shared" si="170"/>
        <v>0</v>
      </c>
      <c r="AD227">
        <f t="shared" si="171"/>
        <v>0</v>
      </c>
      <c r="AE227">
        <f t="shared" si="172"/>
        <v>0</v>
      </c>
      <c r="AF227">
        <f t="shared" si="173"/>
        <v>0</v>
      </c>
      <c r="AG227">
        <f t="shared" si="174"/>
        <v>0</v>
      </c>
      <c r="AH227">
        <f t="shared" si="175"/>
        <v>0</v>
      </c>
      <c r="AI227">
        <f t="shared" si="176"/>
        <v>0</v>
      </c>
      <c r="AJ227">
        <f t="shared" si="177"/>
        <v>0</v>
      </c>
      <c r="AK227">
        <f t="shared" si="178"/>
        <v>0</v>
      </c>
      <c r="AL227">
        <f t="shared" si="179"/>
        <v>0</v>
      </c>
      <c r="AM227">
        <f t="shared" si="180"/>
        <v>0</v>
      </c>
      <c r="AN227">
        <f t="shared" si="181"/>
        <v>0</v>
      </c>
      <c r="AO227">
        <f t="shared" si="182"/>
        <v>0</v>
      </c>
      <c r="AP227">
        <f t="shared" si="183"/>
        <v>0</v>
      </c>
      <c r="AQ227">
        <f t="shared" si="184"/>
        <v>0</v>
      </c>
      <c r="AR227">
        <f t="shared" si="185"/>
        <v>0</v>
      </c>
      <c r="AS227">
        <f t="shared" si="186"/>
        <v>0</v>
      </c>
      <c r="AT227">
        <f t="shared" si="187"/>
        <v>0</v>
      </c>
      <c r="AU227">
        <f t="shared" si="188"/>
        <v>0</v>
      </c>
      <c r="AV227">
        <f t="shared" si="189"/>
        <v>0</v>
      </c>
      <c r="AW227">
        <f t="shared" si="144"/>
        <v>0</v>
      </c>
      <c r="AX227">
        <f t="shared" si="190"/>
        <v>0</v>
      </c>
      <c r="AY227">
        <f t="shared" si="191"/>
        <v>0</v>
      </c>
    </row>
    <row r="228" spans="1:51" x14ac:dyDescent="0.35">
      <c r="A228">
        <v>222</v>
      </c>
      <c r="C228">
        <f>MAX(0,Calc!$C$7-SUM(D228:R228))</f>
        <v>750</v>
      </c>
      <c r="D228">
        <f t="shared" si="145"/>
        <v>0</v>
      </c>
      <c r="E228">
        <f t="shared" si="146"/>
        <v>0</v>
      </c>
      <c r="F228">
        <f t="shared" si="147"/>
        <v>0</v>
      </c>
      <c r="G228">
        <f t="shared" si="148"/>
        <v>0</v>
      </c>
      <c r="H228">
        <f t="shared" si="149"/>
        <v>0</v>
      </c>
      <c r="I228">
        <f t="shared" si="150"/>
        <v>0</v>
      </c>
      <c r="J228">
        <f t="shared" si="151"/>
        <v>0</v>
      </c>
      <c r="K228">
        <f t="shared" si="152"/>
        <v>0</v>
      </c>
      <c r="L228">
        <f t="shared" si="153"/>
        <v>0</v>
      </c>
      <c r="M228">
        <f t="shared" si="154"/>
        <v>0</v>
      </c>
      <c r="N228">
        <f t="shared" si="155"/>
        <v>0</v>
      </c>
      <c r="O228">
        <f t="shared" si="156"/>
        <v>0</v>
      </c>
      <c r="P228">
        <f t="shared" si="157"/>
        <v>0</v>
      </c>
      <c r="Q228">
        <f t="shared" si="158"/>
        <v>0</v>
      </c>
      <c r="R228">
        <f t="shared" si="159"/>
        <v>0</v>
      </c>
      <c r="S228">
        <f t="shared" si="160"/>
        <v>0</v>
      </c>
      <c r="T228">
        <f t="shared" si="161"/>
        <v>0</v>
      </c>
      <c r="U228">
        <f t="shared" si="162"/>
        <v>0</v>
      </c>
      <c r="V228">
        <f t="shared" si="163"/>
        <v>0</v>
      </c>
      <c r="W228">
        <f t="shared" si="164"/>
        <v>0</v>
      </c>
      <c r="X228">
        <f t="shared" si="165"/>
        <v>0</v>
      </c>
      <c r="Y228">
        <f t="shared" si="166"/>
        <v>0</v>
      </c>
      <c r="Z228">
        <f t="shared" si="167"/>
        <v>0</v>
      </c>
      <c r="AA228">
        <f t="shared" si="168"/>
        <v>0</v>
      </c>
      <c r="AB228">
        <f t="shared" si="169"/>
        <v>0</v>
      </c>
      <c r="AC228">
        <f t="shared" si="170"/>
        <v>0</v>
      </c>
      <c r="AD228">
        <f t="shared" si="171"/>
        <v>0</v>
      </c>
      <c r="AE228">
        <f t="shared" si="172"/>
        <v>0</v>
      </c>
      <c r="AF228">
        <f t="shared" si="173"/>
        <v>0</v>
      </c>
      <c r="AG228">
        <f t="shared" si="174"/>
        <v>0</v>
      </c>
      <c r="AH228">
        <f t="shared" si="175"/>
        <v>0</v>
      </c>
      <c r="AI228">
        <f t="shared" si="176"/>
        <v>0</v>
      </c>
      <c r="AJ228">
        <f t="shared" si="177"/>
        <v>0</v>
      </c>
      <c r="AK228">
        <f t="shared" si="178"/>
        <v>0</v>
      </c>
      <c r="AL228">
        <f t="shared" si="179"/>
        <v>0</v>
      </c>
      <c r="AM228">
        <f t="shared" si="180"/>
        <v>0</v>
      </c>
      <c r="AN228">
        <f t="shared" si="181"/>
        <v>0</v>
      </c>
      <c r="AO228">
        <f t="shared" si="182"/>
        <v>0</v>
      </c>
      <c r="AP228">
        <f t="shared" si="183"/>
        <v>0</v>
      </c>
      <c r="AQ228">
        <f t="shared" si="184"/>
        <v>0</v>
      </c>
      <c r="AR228">
        <f t="shared" si="185"/>
        <v>0</v>
      </c>
      <c r="AS228">
        <f t="shared" si="186"/>
        <v>0</v>
      </c>
      <c r="AT228">
        <f t="shared" si="187"/>
        <v>0</v>
      </c>
      <c r="AU228">
        <f t="shared" si="188"/>
        <v>0</v>
      </c>
      <c r="AV228">
        <f t="shared" si="189"/>
        <v>0</v>
      </c>
      <c r="AW228">
        <f t="shared" si="144"/>
        <v>0</v>
      </c>
      <c r="AX228">
        <f t="shared" si="190"/>
        <v>0</v>
      </c>
      <c r="AY228">
        <f t="shared" si="191"/>
        <v>0</v>
      </c>
    </row>
    <row r="229" spans="1:51" x14ac:dyDescent="0.35">
      <c r="A229">
        <v>223</v>
      </c>
      <c r="C229">
        <f>MAX(0,Calc!$C$7-SUM(D229:R229))</f>
        <v>750</v>
      </c>
      <c r="D229">
        <f t="shared" si="145"/>
        <v>0</v>
      </c>
      <c r="E229">
        <f t="shared" si="146"/>
        <v>0</v>
      </c>
      <c r="F229">
        <f t="shared" si="147"/>
        <v>0</v>
      </c>
      <c r="G229">
        <f t="shared" si="148"/>
        <v>0</v>
      </c>
      <c r="H229">
        <f t="shared" si="149"/>
        <v>0</v>
      </c>
      <c r="I229">
        <f t="shared" si="150"/>
        <v>0</v>
      </c>
      <c r="J229">
        <f t="shared" si="151"/>
        <v>0</v>
      </c>
      <c r="K229">
        <f t="shared" si="152"/>
        <v>0</v>
      </c>
      <c r="L229">
        <f t="shared" si="153"/>
        <v>0</v>
      </c>
      <c r="M229">
        <f t="shared" si="154"/>
        <v>0</v>
      </c>
      <c r="N229">
        <f t="shared" si="155"/>
        <v>0</v>
      </c>
      <c r="O229">
        <f t="shared" si="156"/>
        <v>0</v>
      </c>
      <c r="P229">
        <f t="shared" si="157"/>
        <v>0</v>
      </c>
      <c r="Q229">
        <f t="shared" si="158"/>
        <v>0</v>
      </c>
      <c r="R229">
        <f t="shared" si="159"/>
        <v>0</v>
      </c>
      <c r="S229">
        <f t="shared" si="160"/>
        <v>0</v>
      </c>
      <c r="T229">
        <f t="shared" si="161"/>
        <v>0</v>
      </c>
      <c r="U229">
        <f t="shared" si="162"/>
        <v>0</v>
      </c>
      <c r="V229">
        <f t="shared" si="163"/>
        <v>0</v>
      </c>
      <c r="W229">
        <f t="shared" si="164"/>
        <v>0</v>
      </c>
      <c r="X229">
        <f t="shared" si="165"/>
        <v>0</v>
      </c>
      <c r="Y229">
        <f t="shared" si="166"/>
        <v>0</v>
      </c>
      <c r="Z229">
        <f t="shared" si="167"/>
        <v>0</v>
      </c>
      <c r="AA229">
        <f t="shared" si="168"/>
        <v>0</v>
      </c>
      <c r="AB229">
        <f t="shared" si="169"/>
        <v>0</v>
      </c>
      <c r="AC229">
        <f t="shared" si="170"/>
        <v>0</v>
      </c>
      <c r="AD229">
        <f t="shared" si="171"/>
        <v>0</v>
      </c>
      <c r="AE229">
        <f t="shared" si="172"/>
        <v>0</v>
      </c>
      <c r="AF229">
        <f t="shared" si="173"/>
        <v>0</v>
      </c>
      <c r="AG229">
        <f t="shared" si="174"/>
        <v>0</v>
      </c>
      <c r="AH229">
        <f t="shared" si="175"/>
        <v>0</v>
      </c>
      <c r="AI229">
        <f t="shared" si="176"/>
        <v>0</v>
      </c>
      <c r="AJ229">
        <f t="shared" si="177"/>
        <v>0</v>
      </c>
      <c r="AK229">
        <f t="shared" si="178"/>
        <v>0</v>
      </c>
      <c r="AL229">
        <f t="shared" si="179"/>
        <v>0</v>
      </c>
      <c r="AM229">
        <f t="shared" si="180"/>
        <v>0</v>
      </c>
      <c r="AN229">
        <f t="shared" si="181"/>
        <v>0</v>
      </c>
      <c r="AO229">
        <f t="shared" si="182"/>
        <v>0</v>
      </c>
      <c r="AP229">
        <f t="shared" si="183"/>
        <v>0</v>
      </c>
      <c r="AQ229">
        <f t="shared" si="184"/>
        <v>0</v>
      </c>
      <c r="AR229">
        <f t="shared" si="185"/>
        <v>0</v>
      </c>
      <c r="AS229">
        <f t="shared" si="186"/>
        <v>0</v>
      </c>
      <c r="AT229">
        <f t="shared" si="187"/>
        <v>0</v>
      </c>
      <c r="AU229">
        <f t="shared" si="188"/>
        <v>0</v>
      </c>
      <c r="AV229">
        <f t="shared" si="189"/>
        <v>0</v>
      </c>
      <c r="AW229">
        <f t="shared" si="144"/>
        <v>0</v>
      </c>
      <c r="AX229">
        <f t="shared" si="190"/>
        <v>0</v>
      </c>
      <c r="AY229">
        <f t="shared" si="191"/>
        <v>0</v>
      </c>
    </row>
    <row r="230" spans="1:51" x14ac:dyDescent="0.35">
      <c r="A230">
        <v>224</v>
      </c>
      <c r="C230">
        <f>MAX(0,Calc!$C$7-SUM(D230:R230))</f>
        <v>750</v>
      </c>
      <c r="D230">
        <f t="shared" si="145"/>
        <v>0</v>
      </c>
      <c r="E230">
        <f t="shared" si="146"/>
        <v>0</v>
      </c>
      <c r="F230">
        <f t="shared" si="147"/>
        <v>0</v>
      </c>
      <c r="G230">
        <f t="shared" si="148"/>
        <v>0</v>
      </c>
      <c r="H230">
        <f t="shared" si="149"/>
        <v>0</v>
      </c>
      <c r="I230">
        <f t="shared" si="150"/>
        <v>0</v>
      </c>
      <c r="J230">
        <f t="shared" si="151"/>
        <v>0</v>
      </c>
      <c r="K230">
        <f t="shared" si="152"/>
        <v>0</v>
      </c>
      <c r="L230">
        <f t="shared" si="153"/>
        <v>0</v>
      </c>
      <c r="M230">
        <f t="shared" si="154"/>
        <v>0</v>
      </c>
      <c r="N230">
        <f t="shared" si="155"/>
        <v>0</v>
      </c>
      <c r="O230">
        <f t="shared" si="156"/>
        <v>0</v>
      </c>
      <c r="P230">
        <f t="shared" si="157"/>
        <v>0</v>
      </c>
      <c r="Q230">
        <f t="shared" si="158"/>
        <v>0</v>
      </c>
      <c r="R230">
        <f t="shared" si="159"/>
        <v>0</v>
      </c>
      <c r="S230">
        <f t="shared" si="160"/>
        <v>0</v>
      </c>
      <c r="T230">
        <f t="shared" si="161"/>
        <v>0</v>
      </c>
      <c r="U230">
        <f t="shared" si="162"/>
        <v>0</v>
      </c>
      <c r="V230">
        <f t="shared" si="163"/>
        <v>0</v>
      </c>
      <c r="W230">
        <f t="shared" si="164"/>
        <v>0</v>
      </c>
      <c r="X230">
        <f t="shared" si="165"/>
        <v>0</v>
      </c>
      <c r="Y230">
        <f t="shared" si="166"/>
        <v>0</v>
      </c>
      <c r="Z230">
        <f t="shared" si="167"/>
        <v>0</v>
      </c>
      <c r="AA230">
        <f t="shared" si="168"/>
        <v>0</v>
      </c>
      <c r="AB230">
        <f t="shared" si="169"/>
        <v>0</v>
      </c>
      <c r="AC230">
        <f t="shared" si="170"/>
        <v>0</v>
      </c>
      <c r="AD230">
        <f t="shared" si="171"/>
        <v>0</v>
      </c>
      <c r="AE230">
        <f t="shared" si="172"/>
        <v>0</v>
      </c>
      <c r="AF230">
        <f t="shared" si="173"/>
        <v>0</v>
      </c>
      <c r="AG230">
        <f t="shared" si="174"/>
        <v>0</v>
      </c>
      <c r="AH230">
        <f t="shared" si="175"/>
        <v>0</v>
      </c>
      <c r="AI230">
        <f t="shared" si="176"/>
        <v>0</v>
      </c>
      <c r="AJ230">
        <f t="shared" si="177"/>
        <v>0</v>
      </c>
      <c r="AK230">
        <f t="shared" si="178"/>
        <v>0</v>
      </c>
      <c r="AL230">
        <f t="shared" si="179"/>
        <v>0</v>
      </c>
      <c r="AM230">
        <f t="shared" si="180"/>
        <v>0</v>
      </c>
      <c r="AN230">
        <f t="shared" si="181"/>
        <v>0</v>
      </c>
      <c r="AO230">
        <f t="shared" si="182"/>
        <v>0</v>
      </c>
      <c r="AP230">
        <f t="shared" si="183"/>
        <v>0</v>
      </c>
      <c r="AQ230">
        <f t="shared" si="184"/>
        <v>0</v>
      </c>
      <c r="AR230">
        <f t="shared" si="185"/>
        <v>0</v>
      </c>
      <c r="AS230">
        <f t="shared" si="186"/>
        <v>0</v>
      </c>
      <c r="AT230">
        <f t="shared" si="187"/>
        <v>0</v>
      </c>
      <c r="AU230">
        <f t="shared" si="188"/>
        <v>0</v>
      </c>
      <c r="AV230">
        <f t="shared" si="189"/>
        <v>0</v>
      </c>
      <c r="AW230">
        <f t="shared" si="144"/>
        <v>0</v>
      </c>
      <c r="AX230">
        <f t="shared" si="190"/>
        <v>0</v>
      </c>
      <c r="AY230">
        <f t="shared" si="191"/>
        <v>0</v>
      </c>
    </row>
    <row r="231" spans="1:51" x14ac:dyDescent="0.35">
      <c r="A231">
        <v>225</v>
      </c>
      <c r="C231">
        <f>MAX(0,Calc!$C$7-SUM(D231:R231))</f>
        <v>750</v>
      </c>
      <c r="D231">
        <f t="shared" si="145"/>
        <v>0</v>
      </c>
      <c r="E231">
        <f t="shared" si="146"/>
        <v>0</v>
      </c>
      <c r="F231">
        <f t="shared" si="147"/>
        <v>0</v>
      </c>
      <c r="G231">
        <f t="shared" si="148"/>
        <v>0</v>
      </c>
      <c r="H231">
        <f t="shared" si="149"/>
        <v>0</v>
      </c>
      <c r="I231">
        <f t="shared" si="150"/>
        <v>0</v>
      </c>
      <c r="J231">
        <f t="shared" si="151"/>
        <v>0</v>
      </c>
      <c r="K231">
        <f t="shared" si="152"/>
        <v>0</v>
      </c>
      <c r="L231">
        <f t="shared" si="153"/>
        <v>0</v>
      </c>
      <c r="M231">
        <f t="shared" si="154"/>
        <v>0</v>
      </c>
      <c r="N231">
        <f t="shared" si="155"/>
        <v>0</v>
      </c>
      <c r="O231">
        <f t="shared" si="156"/>
        <v>0</v>
      </c>
      <c r="P231">
        <f t="shared" si="157"/>
        <v>0</v>
      </c>
      <c r="Q231">
        <f t="shared" si="158"/>
        <v>0</v>
      </c>
      <c r="R231">
        <f t="shared" si="159"/>
        <v>0</v>
      </c>
      <c r="S231">
        <f t="shared" si="160"/>
        <v>0</v>
      </c>
      <c r="T231">
        <f t="shared" si="161"/>
        <v>0</v>
      </c>
      <c r="U231">
        <f t="shared" si="162"/>
        <v>0</v>
      </c>
      <c r="V231">
        <f t="shared" si="163"/>
        <v>0</v>
      </c>
      <c r="W231">
        <f t="shared" si="164"/>
        <v>0</v>
      </c>
      <c r="X231">
        <f t="shared" si="165"/>
        <v>0</v>
      </c>
      <c r="Y231">
        <f t="shared" si="166"/>
        <v>0</v>
      </c>
      <c r="Z231">
        <f t="shared" si="167"/>
        <v>0</v>
      </c>
      <c r="AA231">
        <f t="shared" si="168"/>
        <v>0</v>
      </c>
      <c r="AB231">
        <f t="shared" si="169"/>
        <v>0</v>
      </c>
      <c r="AC231">
        <f t="shared" si="170"/>
        <v>0</v>
      </c>
      <c r="AD231">
        <f t="shared" si="171"/>
        <v>0</v>
      </c>
      <c r="AE231">
        <f t="shared" si="172"/>
        <v>0</v>
      </c>
      <c r="AF231">
        <f t="shared" si="173"/>
        <v>0</v>
      </c>
      <c r="AG231">
        <f t="shared" si="174"/>
        <v>0</v>
      </c>
      <c r="AH231">
        <f t="shared" si="175"/>
        <v>0</v>
      </c>
      <c r="AI231">
        <f t="shared" si="176"/>
        <v>0</v>
      </c>
      <c r="AJ231">
        <f t="shared" si="177"/>
        <v>0</v>
      </c>
      <c r="AK231">
        <f t="shared" si="178"/>
        <v>0</v>
      </c>
      <c r="AL231">
        <f t="shared" si="179"/>
        <v>0</v>
      </c>
      <c r="AM231">
        <f t="shared" si="180"/>
        <v>0</v>
      </c>
      <c r="AN231">
        <f t="shared" si="181"/>
        <v>0</v>
      </c>
      <c r="AO231">
        <f t="shared" si="182"/>
        <v>0</v>
      </c>
      <c r="AP231">
        <f t="shared" si="183"/>
        <v>0</v>
      </c>
      <c r="AQ231">
        <f t="shared" si="184"/>
        <v>0</v>
      </c>
      <c r="AR231">
        <f t="shared" si="185"/>
        <v>0</v>
      </c>
      <c r="AS231">
        <f t="shared" si="186"/>
        <v>0</v>
      </c>
      <c r="AT231">
        <f t="shared" si="187"/>
        <v>0</v>
      </c>
      <c r="AU231">
        <f t="shared" si="188"/>
        <v>0</v>
      </c>
      <c r="AV231">
        <f t="shared" si="189"/>
        <v>0</v>
      </c>
      <c r="AW231">
        <f t="shared" si="144"/>
        <v>0</v>
      </c>
      <c r="AX231">
        <f t="shared" si="190"/>
        <v>0</v>
      </c>
      <c r="AY231">
        <f t="shared" si="191"/>
        <v>0</v>
      </c>
    </row>
    <row r="232" spans="1:51" x14ac:dyDescent="0.35">
      <c r="A232">
        <v>226</v>
      </c>
      <c r="C232">
        <f>MAX(0,Calc!$C$7-SUM(D232:R232))</f>
        <v>750</v>
      </c>
      <c r="D232">
        <f t="shared" si="145"/>
        <v>0</v>
      </c>
      <c r="E232">
        <f t="shared" si="146"/>
        <v>0</v>
      </c>
      <c r="F232">
        <f t="shared" si="147"/>
        <v>0</v>
      </c>
      <c r="G232">
        <f t="shared" si="148"/>
        <v>0</v>
      </c>
      <c r="H232">
        <f t="shared" si="149"/>
        <v>0</v>
      </c>
      <c r="I232">
        <f t="shared" si="150"/>
        <v>0</v>
      </c>
      <c r="J232">
        <f t="shared" si="151"/>
        <v>0</v>
      </c>
      <c r="K232">
        <f t="shared" si="152"/>
        <v>0</v>
      </c>
      <c r="L232">
        <f t="shared" si="153"/>
        <v>0</v>
      </c>
      <c r="M232">
        <f t="shared" si="154"/>
        <v>0</v>
      </c>
      <c r="N232">
        <f t="shared" si="155"/>
        <v>0</v>
      </c>
      <c r="O232">
        <f t="shared" si="156"/>
        <v>0</v>
      </c>
      <c r="P232">
        <f t="shared" si="157"/>
        <v>0</v>
      </c>
      <c r="Q232">
        <f t="shared" si="158"/>
        <v>0</v>
      </c>
      <c r="R232">
        <f t="shared" si="159"/>
        <v>0</v>
      </c>
      <c r="S232">
        <f t="shared" si="160"/>
        <v>0</v>
      </c>
      <c r="T232">
        <f t="shared" si="161"/>
        <v>0</v>
      </c>
      <c r="U232">
        <f t="shared" si="162"/>
        <v>0</v>
      </c>
      <c r="V232">
        <f t="shared" si="163"/>
        <v>0</v>
      </c>
      <c r="W232">
        <f t="shared" si="164"/>
        <v>0</v>
      </c>
      <c r="X232">
        <f t="shared" si="165"/>
        <v>0</v>
      </c>
      <c r="Y232">
        <f t="shared" si="166"/>
        <v>0</v>
      </c>
      <c r="Z232">
        <f t="shared" si="167"/>
        <v>0</v>
      </c>
      <c r="AA232">
        <f t="shared" si="168"/>
        <v>0</v>
      </c>
      <c r="AB232">
        <f t="shared" si="169"/>
        <v>0</v>
      </c>
      <c r="AC232">
        <f t="shared" si="170"/>
        <v>0</v>
      </c>
      <c r="AD232">
        <f t="shared" si="171"/>
        <v>0</v>
      </c>
      <c r="AE232">
        <f t="shared" si="172"/>
        <v>0</v>
      </c>
      <c r="AF232">
        <f t="shared" si="173"/>
        <v>0</v>
      </c>
      <c r="AG232">
        <f t="shared" si="174"/>
        <v>0</v>
      </c>
      <c r="AH232">
        <f t="shared" si="175"/>
        <v>0</v>
      </c>
      <c r="AI232">
        <f t="shared" si="176"/>
        <v>0</v>
      </c>
      <c r="AJ232">
        <f t="shared" si="177"/>
        <v>0</v>
      </c>
      <c r="AK232">
        <f t="shared" si="178"/>
        <v>0</v>
      </c>
      <c r="AL232">
        <f t="shared" si="179"/>
        <v>0</v>
      </c>
      <c r="AM232">
        <f t="shared" si="180"/>
        <v>0</v>
      </c>
      <c r="AN232">
        <f t="shared" si="181"/>
        <v>0</v>
      </c>
      <c r="AO232">
        <f t="shared" si="182"/>
        <v>0</v>
      </c>
      <c r="AP232">
        <f t="shared" si="183"/>
        <v>0</v>
      </c>
      <c r="AQ232">
        <f t="shared" si="184"/>
        <v>0</v>
      </c>
      <c r="AR232">
        <f t="shared" si="185"/>
        <v>0</v>
      </c>
      <c r="AS232">
        <f t="shared" si="186"/>
        <v>0</v>
      </c>
      <c r="AT232">
        <f t="shared" si="187"/>
        <v>0</v>
      </c>
      <c r="AU232">
        <f t="shared" si="188"/>
        <v>0</v>
      </c>
      <c r="AV232">
        <f t="shared" si="189"/>
        <v>0</v>
      </c>
      <c r="AW232">
        <f t="shared" si="144"/>
        <v>0</v>
      </c>
      <c r="AX232">
        <f t="shared" si="190"/>
        <v>0</v>
      </c>
      <c r="AY232">
        <f t="shared" si="191"/>
        <v>0</v>
      </c>
    </row>
    <row r="233" spans="1:51" x14ac:dyDescent="0.35">
      <c r="A233">
        <v>227</v>
      </c>
      <c r="C233">
        <f>MAX(0,Calc!$C$7-SUM(D233:R233))</f>
        <v>750</v>
      </c>
      <c r="D233">
        <f t="shared" si="145"/>
        <v>0</v>
      </c>
      <c r="E233">
        <f t="shared" si="146"/>
        <v>0</v>
      </c>
      <c r="F233">
        <f t="shared" si="147"/>
        <v>0</v>
      </c>
      <c r="G233">
        <f t="shared" si="148"/>
        <v>0</v>
      </c>
      <c r="H233">
        <f t="shared" si="149"/>
        <v>0</v>
      </c>
      <c r="I233">
        <f t="shared" si="150"/>
        <v>0</v>
      </c>
      <c r="J233">
        <f t="shared" si="151"/>
        <v>0</v>
      </c>
      <c r="K233">
        <f t="shared" si="152"/>
        <v>0</v>
      </c>
      <c r="L233">
        <f t="shared" si="153"/>
        <v>0</v>
      </c>
      <c r="M233">
        <f t="shared" si="154"/>
        <v>0</v>
      </c>
      <c r="N233">
        <f t="shared" si="155"/>
        <v>0</v>
      </c>
      <c r="O233">
        <f t="shared" si="156"/>
        <v>0</v>
      </c>
      <c r="P233">
        <f t="shared" si="157"/>
        <v>0</v>
      </c>
      <c r="Q233">
        <f t="shared" si="158"/>
        <v>0</v>
      </c>
      <c r="R233">
        <f t="shared" si="159"/>
        <v>0</v>
      </c>
      <c r="S233">
        <f t="shared" si="160"/>
        <v>0</v>
      </c>
      <c r="T233">
        <f t="shared" si="161"/>
        <v>0</v>
      </c>
      <c r="U233">
        <f t="shared" si="162"/>
        <v>0</v>
      </c>
      <c r="V233">
        <f t="shared" si="163"/>
        <v>0</v>
      </c>
      <c r="W233">
        <f t="shared" si="164"/>
        <v>0</v>
      </c>
      <c r="X233">
        <f t="shared" si="165"/>
        <v>0</v>
      </c>
      <c r="Y233">
        <f t="shared" si="166"/>
        <v>0</v>
      </c>
      <c r="Z233">
        <f t="shared" si="167"/>
        <v>0</v>
      </c>
      <c r="AA233">
        <f t="shared" si="168"/>
        <v>0</v>
      </c>
      <c r="AB233">
        <f t="shared" si="169"/>
        <v>0</v>
      </c>
      <c r="AC233">
        <f t="shared" si="170"/>
        <v>0</v>
      </c>
      <c r="AD233">
        <f t="shared" si="171"/>
        <v>0</v>
      </c>
      <c r="AE233">
        <f t="shared" si="172"/>
        <v>0</v>
      </c>
      <c r="AF233">
        <f t="shared" si="173"/>
        <v>0</v>
      </c>
      <c r="AG233">
        <f t="shared" si="174"/>
        <v>0</v>
      </c>
      <c r="AH233">
        <f t="shared" si="175"/>
        <v>0</v>
      </c>
      <c r="AI233">
        <f t="shared" si="176"/>
        <v>0</v>
      </c>
      <c r="AJ233">
        <f t="shared" si="177"/>
        <v>0</v>
      </c>
      <c r="AK233">
        <f t="shared" si="178"/>
        <v>0</v>
      </c>
      <c r="AL233">
        <f t="shared" si="179"/>
        <v>0</v>
      </c>
      <c r="AM233">
        <f t="shared" si="180"/>
        <v>0</v>
      </c>
      <c r="AN233">
        <f t="shared" si="181"/>
        <v>0</v>
      </c>
      <c r="AO233">
        <f t="shared" si="182"/>
        <v>0</v>
      </c>
      <c r="AP233">
        <f t="shared" si="183"/>
        <v>0</v>
      </c>
      <c r="AQ233">
        <f t="shared" si="184"/>
        <v>0</v>
      </c>
      <c r="AR233">
        <f t="shared" si="185"/>
        <v>0</v>
      </c>
      <c r="AS233">
        <f t="shared" si="186"/>
        <v>0</v>
      </c>
      <c r="AT233">
        <f t="shared" si="187"/>
        <v>0</v>
      </c>
      <c r="AU233">
        <f t="shared" si="188"/>
        <v>0</v>
      </c>
      <c r="AV233">
        <f t="shared" si="189"/>
        <v>0</v>
      </c>
      <c r="AW233">
        <f t="shared" si="144"/>
        <v>0</v>
      </c>
      <c r="AX233">
        <f t="shared" si="190"/>
        <v>0</v>
      </c>
      <c r="AY233">
        <f t="shared" si="191"/>
        <v>0</v>
      </c>
    </row>
    <row r="234" spans="1:51" x14ac:dyDescent="0.35">
      <c r="A234">
        <v>228</v>
      </c>
      <c r="C234">
        <f>MAX(0,Calc!$C$7-SUM(D234:R234))</f>
        <v>750</v>
      </c>
      <c r="D234">
        <f t="shared" si="145"/>
        <v>0</v>
      </c>
      <c r="E234">
        <f t="shared" si="146"/>
        <v>0</v>
      </c>
      <c r="F234">
        <f t="shared" si="147"/>
        <v>0</v>
      </c>
      <c r="G234">
        <f t="shared" si="148"/>
        <v>0</v>
      </c>
      <c r="H234">
        <f t="shared" si="149"/>
        <v>0</v>
      </c>
      <c r="I234">
        <f t="shared" si="150"/>
        <v>0</v>
      </c>
      <c r="J234">
        <f t="shared" si="151"/>
        <v>0</v>
      </c>
      <c r="K234">
        <f t="shared" si="152"/>
        <v>0</v>
      </c>
      <c r="L234">
        <f t="shared" si="153"/>
        <v>0</v>
      </c>
      <c r="M234">
        <f t="shared" si="154"/>
        <v>0</v>
      </c>
      <c r="N234">
        <f t="shared" si="155"/>
        <v>0</v>
      </c>
      <c r="O234">
        <f t="shared" si="156"/>
        <v>0</v>
      </c>
      <c r="P234">
        <f t="shared" si="157"/>
        <v>0</v>
      </c>
      <c r="Q234">
        <f t="shared" si="158"/>
        <v>0</v>
      </c>
      <c r="R234">
        <f t="shared" si="159"/>
        <v>0</v>
      </c>
      <c r="S234">
        <f t="shared" si="160"/>
        <v>0</v>
      </c>
      <c r="T234">
        <f t="shared" si="161"/>
        <v>0</v>
      </c>
      <c r="U234">
        <f t="shared" si="162"/>
        <v>0</v>
      </c>
      <c r="V234">
        <f t="shared" si="163"/>
        <v>0</v>
      </c>
      <c r="W234">
        <f t="shared" si="164"/>
        <v>0</v>
      </c>
      <c r="X234">
        <f t="shared" si="165"/>
        <v>0</v>
      </c>
      <c r="Y234">
        <f t="shared" si="166"/>
        <v>0</v>
      </c>
      <c r="Z234">
        <f t="shared" si="167"/>
        <v>0</v>
      </c>
      <c r="AA234">
        <f t="shared" si="168"/>
        <v>0</v>
      </c>
      <c r="AB234">
        <f t="shared" si="169"/>
        <v>0</v>
      </c>
      <c r="AC234">
        <f t="shared" si="170"/>
        <v>0</v>
      </c>
      <c r="AD234">
        <f t="shared" si="171"/>
        <v>0</v>
      </c>
      <c r="AE234">
        <f t="shared" si="172"/>
        <v>0</v>
      </c>
      <c r="AF234">
        <f t="shared" si="173"/>
        <v>0</v>
      </c>
      <c r="AG234">
        <f t="shared" si="174"/>
        <v>0</v>
      </c>
      <c r="AH234">
        <f t="shared" si="175"/>
        <v>0</v>
      </c>
      <c r="AI234">
        <f t="shared" si="176"/>
        <v>0</v>
      </c>
      <c r="AJ234">
        <f t="shared" si="177"/>
        <v>0</v>
      </c>
      <c r="AK234">
        <f t="shared" si="178"/>
        <v>0</v>
      </c>
      <c r="AL234">
        <f t="shared" si="179"/>
        <v>0</v>
      </c>
      <c r="AM234">
        <f t="shared" si="180"/>
        <v>0</v>
      </c>
      <c r="AN234">
        <f t="shared" si="181"/>
        <v>0</v>
      </c>
      <c r="AO234">
        <f t="shared" si="182"/>
        <v>0</v>
      </c>
      <c r="AP234">
        <f t="shared" si="183"/>
        <v>0</v>
      </c>
      <c r="AQ234">
        <f t="shared" si="184"/>
        <v>0</v>
      </c>
      <c r="AR234">
        <f t="shared" si="185"/>
        <v>0</v>
      </c>
      <c r="AS234">
        <f t="shared" si="186"/>
        <v>0</v>
      </c>
      <c r="AT234">
        <f t="shared" si="187"/>
        <v>0</v>
      </c>
      <c r="AU234">
        <f t="shared" si="188"/>
        <v>0</v>
      </c>
      <c r="AV234">
        <f t="shared" si="189"/>
        <v>0</v>
      </c>
      <c r="AW234">
        <f t="shared" si="144"/>
        <v>0</v>
      </c>
      <c r="AX234">
        <f t="shared" si="190"/>
        <v>0</v>
      </c>
      <c r="AY234">
        <f t="shared" si="191"/>
        <v>0</v>
      </c>
    </row>
    <row r="235" spans="1:51" x14ac:dyDescent="0.35">
      <c r="A235">
        <v>229</v>
      </c>
      <c r="C235">
        <f>MAX(0,Calc!$C$7-SUM(D235:R235))</f>
        <v>750</v>
      </c>
      <c r="D235">
        <f t="shared" si="145"/>
        <v>0</v>
      </c>
      <c r="E235">
        <f t="shared" si="146"/>
        <v>0</v>
      </c>
      <c r="F235">
        <f t="shared" si="147"/>
        <v>0</v>
      </c>
      <c r="G235">
        <f t="shared" si="148"/>
        <v>0</v>
      </c>
      <c r="H235">
        <f t="shared" si="149"/>
        <v>0</v>
      </c>
      <c r="I235">
        <f t="shared" si="150"/>
        <v>0</v>
      </c>
      <c r="J235">
        <f t="shared" si="151"/>
        <v>0</v>
      </c>
      <c r="K235">
        <f t="shared" si="152"/>
        <v>0</v>
      </c>
      <c r="L235">
        <f t="shared" si="153"/>
        <v>0</v>
      </c>
      <c r="M235">
        <f t="shared" si="154"/>
        <v>0</v>
      </c>
      <c r="N235">
        <f t="shared" si="155"/>
        <v>0</v>
      </c>
      <c r="O235">
        <f t="shared" si="156"/>
        <v>0</v>
      </c>
      <c r="P235">
        <f t="shared" si="157"/>
        <v>0</v>
      </c>
      <c r="Q235">
        <f t="shared" si="158"/>
        <v>0</v>
      </c>
      <c r="R235">
        <f t="shared" si="159"/>
        <v>0</v>
      </c>
      <c r="S235">
        <f t="shared" si="160"/>
        <v>0</v>
      </c>
      <c r="T235">
        <f t="shared" si="161"/>
        <v>0</v>
      </c>
      <c r="U235">
        <f t="shared" si="162"/>
        <v>0</v>
      </c>
      <c r="V235">
        <f t="shared" si="163"/>
        <v>0</v>
      </c>
      <c r="W235">
        <f t="shared" si="164"/>
        <v>0</v>
      </c>
      <c r="X235">
        <f t="shared" si="165"/>
        <v>0</v>
      </c>
      <c r="Y235">
        <f t="shared" si="166"/>
        <v>0</v>
      </c>
      <c r="Z235">
        <f t="shared" si="167"/>
        <v>0</v>
      </c>
      <c r="AA235">
        <f t="shared" si="168"/>
        <v>0</v>
      </c>
      <c r="AB235">
        <f t="shared" si="169"/>
        <v>0</v>
      </c>
      <c r="AC235">
        <f t="shared" si="170"/>
        <v>0</v>
      </c>
      <c r="AD235">
        <f t="shared" si="171"/>
        <v>0</v>
      </c>
      <c r="AE235">
        <f t="shared" si="172"/>
        <v>0</v>
      </c>
      <c r="AF235">
        <f t="shared" si="173"/>
        <v>0</v>
      </c>
      <c r="AG235">
        <f t="shared" si="174"/>
        <v>0</v>
      </c>
      <c r="AH235">
        <f t="shared" si="175"/>
        <v>0</v>
      </c>
      <c r="AI235">
        <f t="shared" si="176"/>
        <v>0</v>
      </c>
      <c r="AJ235">
        <f t="shared" si="177"/>
        <v>0</v>
      </c>
      <c r="AK235">
        <f t="shared" si="178"/>
        <v>0</v>
      </c>
      <c r="AL235">
        <f t="shared" si="179"/>
        <v>0</v>
      </c>
      <c r="AM235">
        <f t="shared" si="180"/>
        <v>0</v>
      </c>
      <c r="AN235">
        <f t="shared" si="181"/>
        <v>0</v>
      </c>
      <c r="AO235">
        <f t="shared" si="182"/>
        <v>0</v>
      </c>
      <c r="AP235">
        <f t="shared" si="183"/>
        <v>0</v>
      </c>
      <c r="AQ235">
        <f t="shared" si="184"/>
        <v>0</v>
      </c>
      <c r="AR235">
        <f t="shared" si="185"/>
        <v>0</v>
      </c>
      <c r="AS235">
        <f t="shared" si="186"/>
        <v>0</v>
      </c>
      <c r="AT235">
        <f t="shared" si="187"/>
        <v>0</v>
      </c>
      <c r="AU235">
        <f t="shared" si="188"/>
        <v>0</v>
      </c>
      <c r="AV235">
        <f t="shared" si="189"/>
        <v>0</v>
      </c>
      <c r="AW235">
        <f t="shared" si="144"/>
        <v>0</v>
      </c>
      <c r="AX235">
        <f t="shared" si="190"/>
        <v>0</v>
      </c>
      <c r="AY235">
        <f t="shared" si="191"/>
        <v>0</v>
      </c>
    </row>
    <row r="236" spans="1:51" x14ac:dyDescent="0.35">
      <c r="A236">
        <v>230</v>
      </c>
      <c r="C236">
        <f>MAX(0,Calc!$C$7-SUM(D236:R236))</f>
        <v>750</v>
      </c>
      <c r="D236">
        <f t="shared" si="145"/>
        <v>0</v>
      </c>
      <c r="E236">
        <f t="shared" si="146"/>
        <v>0</v>
      </c>
      <c r="F236">
        <f t="shared" si="147"/>
        <v>0</v>
      </c>
      <c r="G236">
        <f t="shared" si="148"/>
        <v>0</v>
      </c>
      <c r="H236">
        <f t="shared" si="149"/>
        <v>0</v>
      </c>
      <c r="I236">
        <f t="shared" si="150"/>
        <v>0</v>
      </c>
      <c r="J236">
        <f t="shared" si="151"/>
        <v>0</v>
      </c>
      <c r="K236">
        <f t="shared" si="152"/>
        <v>0</v>
      </c>
      <c r="L236">
        <f t="shared" si="153"/>
        <v>0</v>
      </c>
      <c r="M236">
        <f t="shared" si="154"/>
        <v>0</v>
      </c>
      <c r="N236">
        <f t="shared" si="155"/>
        <v>0</v>
      </c>
      <c r="O236">
        <f t="shared" si="156"/>
        <v>0</v>
      </c>
      <c r="P236">
        <f t="shared" si="157"/>
        <v>0</v>
      </c>
      <c r="Q236">
        <f t="shared" si="158"/>
        <v>0</v>
      </c>
      <c r="R236">
        <f t="shared" si="159"/>
        <v>0</v>
      </c>
      <c r="S236">
        <f t="shared" si="160"/>
        <v>0</v>
      </c>
      <c r="T236">
        <f t="shared" si="161"/>
        <v>0</v>
      </c>
      <c r="U236">
        <f t="shared" si="162"/>
        <v>0</v>
      </c>
      <c r="V236">
        <f t="shared" si="163"/>
        <v>0</v>
      </c>
      <c r="W236">
        <f t="shared" si="164"/>
        <v>0</v>
      </c>
      <c r="X236">
        <f t="shared" si="165"/>
        <v>0</v>
      </c>
      <c r="Y236">
        <f t="shared" si="166"/>
        <v>0</v>
      </c>
      <c r="Z236">
        <f t="shared" si="167"/>
        <v>0</v>
      </c>
      <c r="AA236">
        <f t="shared" si="168"/>
        <v>0</v>
      </c>
      <c r="AB236">
        <f t="shared" si="169"/>
        <v>0</v>
      </c>
      <c r="AC236">
        <f t="shared" si="170"/>
        <v>0</v>
      </c>
      <c r="AD236">
        <f t="shared" si="171"/>
        <v>0</v>
      </c>
      <c r="AE236">
        <f t="shared" si="172"/>
        <v>0</v>
      </c>
      <c r="AF236">
        <f t="shared" si="173"/>
        <v>0</v>
      </c>
      <c r="AG236">
        <f t="shared" si="174"/>
        <v>0</v>
      </c>
      <c r="AH236">
        <f t="shared" si="175"/>
        <v>0</v>
      </c>
      <c r="AI236">
        <f t="shared" si="176"/>
        <v>0</v>
      </c>
      <c r="AJ236">
        <f t="shared" si="177"/>
        <v>0</v>
      </c>
      <c r="AK236">
        <f t="shared" si="178"/>
        <v>0</v>
      </c>
      <c r="AL236">
        <f t="shared" si="179"/>
        <v>0</v>
      </c>
      <c r="AM236">
        <f t="shared" si="180"/>
        <v>0</v>
      </c>
      <c r="AN236">
        <f t="shared" si="181"/>
        <v>0</v>
      </c>
      <c r="AO236">
        <f t="shared" si="182"/>
        <v>0</v>
      </c>
      <c r="AP236">
        <f t="shared" si="183"/>
        <v>0</v>
      </c>
      <c r="AQ236">
        <f t="shared" si="184"/>
        <v>0</v>
      </c>
      <c r="AR236">
        <f t="shared" si="185"/>
        <v>0</v>
      </c>
      <c r="AS236">
        <f t="shared" si="186"/>
        <v>0</v>
      </c>
      <c r="AT236">
        <f t="shared" si="187"/>
        <v>0</v>
      </c>
      <c r="AU236">
        <f t="shared" si="188"/>
        <v>0</v>
      </c>
      <c r="AV236">
        <f t="shared" si="189"/>
        <v>0</v>
      </c>
      <c r="AW236">
        <f t="shared" si="144"/>
        <v>0</v>
      </c>
      <c r="AX236">
        <f t="shared" si="190"/>
        <v>0</v>
      </c>
      <c r="AY236">
        <f t="shared" si="191"/>
        <v>0</v>
      </c>
    </row>
    <row r="237" spans="1:51" x14ac:dyDescent="0.35">
      <c r="A237">
        <v>231</v>
      </c>
      <c r="C237">
        <f>MAX(0,Calc!$C$7-SUM(D237:R237))</f>
        <v>750</v>
      </c>
      <c r="D237">
        <f t="shared" si="145"/>
        <v>0</v>
      </c>
      <c r="E237">
        <f t="shared" si="146"/>
        <v>0</v>
      </c>
      <c r="F237">
        <f t="shared" si="147"/>
        <v>0</v>
      </c>
      <c r="G237">
        <f t="shared" si="148"/>
        <v>0</v>
      </c>
      <c r="H237">
        <f t="shared" si="149"/>
        <v>0</v>
      </c>
      <c r="I237">
        <f t="shared" si="150"/>
        <v>0</v>
      </c>
      <c r="J237">
        <f t="shared" si="151"/>
        <v>0</v>
      </c>
      <c r="K237">
        <f t="shared" si="152"/>
        <v>0</v>
      </c>
      <c r="L237">
        <f t="shared" si="153"/>
        <v>0</v>
      </c>
      <c r="M237">
        <f t="shared" si="154"/>
        <v>0</v>
      </c>
      <c r="N237">
        <f t="shared" si="155"/>
        <v>0</v>
      </c>
      <c r="O237">
        <f t="shared" si="156"/>
        <v>0</v>
      </c>
      <c r="P237">
        <f t="shared" si="157"/>
        <v>0</v>
      </c>
      <c r="Q237">
        <f t="shared" si="158"/>
        <v>0</v>
      </c>
      <c r="R237">
        <f t="shared" si="159"/>
        <v>0</v>
      </c>
      <c r="S237">
        <f t="shared" si="160"/>
        <v>0</v>
      </c>
      <c r="T237">
        <f t="shared" si="161"/>
        <v>0</v>
      </c>
      <c r="U237">
        <f t="shared" si="162"/>
        <v>0</v>
      </c>
      <c r="V237">
        <f t="shared" si="163"/>
        <v>0</v>
      </c>
      <c r="W237">
        <f t="shared" si="164"/>
        <v>0</v>
      </c>
      <c r="X237">
        <f t="shared" si="165"/>
        <v>0</v>
      </c>
      <c r="Y237">
        <f t="shared" si="166"/>
        <v>0</v>
      </c>
      <c r="Z237">
        <f t="shared" si="167"/>
        <v>0</v>
      </c>
      <c r="AA237">
        <f t="shared" si="168"/>
        <v>0</v>
      </c>
      <c r="AB237">
        <f t="shared" si="169"/>
        <v>0</v>
      </c>
      <c r="AC237">
        <f t="shared" si="170"/>
        <v>0</v>
      </c>
      <c r="AD237">
        <f t="shared" si="171"/>
        <v>0</v>
      </c>
      <c r="AE237">
        <f t="shared" si="172"/>
        <v>0</v>
      </c>
      <c r="AF237">
        <f t="shared" si="173"/>
        <v>0</v>
      </c>
      <c r="AG237">
        <f t="shared" si="174"/>
        <v>0</v>
      </c>
      <c r="AH237">
        <f t="shared" si="175"/>
        <v>0</v>
      </c>
      <c r="AI237">
        <f t="shared" si="176"/>
        <v>0</v>
      </c>
      <c r="AJ237">
        <f t="shared" si="177"/>
        <v>0</v>
      </c>
      <c r="AK237">
        <f t="shared" si="178"/>
        <v>0</v>
      </c>
      <c r="AL237">
        <f t="shared" si="179"/>
        <v>0</v>
      </c>
      <c r="AM237">
        <f t="shared" si="180"/>
        <v>0</v>
      </c>
      <c r="AN237">
        <f t="shared" si="181"/>
        <v>0</v>
      </c>
      <c r="AO237">
        <f t="shared" si="182"/>
        <v>0</v>
      </c>
      <c r="AP237">
        <f t="shared" si="183"/>
        <v>0</v>
      </c>
      <c r="AQ237">
        <f t="shared" si="184"/>
        <v>0</v>
      </c>
      <c r="AR237">
        <f t="shared" si="185"/>
        <v>0</v>
      </c>
      <c r="AS237">
        <f t="shared" si="186"/>
        <v>0</v>
      </c>
      <c r="AT237">
        <f t="shared" si="187"/>
        <v>0</v>
      </c>
      <c r="AU237">
        <f t="shared" si="188"/>
        <v>0</v>
      </c>
      <c r="AV237">
        <f t="shared" si="189"/>
        <v>0</v>
      </c>
      <c r="AW237">
        <f t="shared" si="144"/>
        <v>0</v>
      </c>
      <c r="AX237">
        <f t="shared" si="190"/>
        <v>0</v>
      </c>
      <c r="AY237">
        <f t="shared" si="191"/>
        <v>0</v>
      </c>
    </row>
    <row r="238" spans="1:51" x14ac:dyDescent="0.35">
      <c r="A238">
        <v>232</v>
      </c>
      <c r="C238">
        <f>MAX(0,Calc!$C$7-SUM(D238:R238))</f>
        <v>750</v>
      </c>
      <c r="D238">
        <f t="shared" si="145"/>
        <v>0</v>
      </c>
      <c r="E238">
        <f t="shared" si="146"/>
        <v>0</v>
      </c>
      <c r="F238">
        <f t="shared" si="147"/>
        <v>0</v>
      </c>
      <c r="G238">
        <f t="shared" si="148"/>
        <v>0</v>
      </c>
      <c r="H238">
        <f t="shared" si="149"/>
        <v>0</v>
      </c>
      <c r="I238">
        <f t="shared" si="150"/>
        <v>0</v>
      </c>
      <c r="J238">
        <f t="shared" si="151"/>
        <v>0</v>
      </c>
      <c r="K238">
        <f t="shared" si="152"/>
        <v>0</v>
      </c>
      <c r="L238">
        <f t="shared" si="153"/>
        <v>0</v>
      </c>
      <c r="M238">
        <f t="shared" si="154"/>
        <v>0</v>
      </c>
      <c r="N238">
        <f t="shared" si="155"/>
        <v>0</v>
      </c>
      <c r="O238">
        <f t="shared" si="156"/>
        <v>0</v>
      </c>
      <c r="P238">
        <f t="shared" si="157"/>
        <v>0</v>
      </c>
      <c r="Q238">
        <f t="shared" si="158"/>
        <v>0</v>
      </c>
      <c r="R238">
        <f t="shared" si="159"/>
        <v>0</v>
      </c>
      <c r="S238">
        <f t="shared" si="160"/>
        <v>0</v>
      </c>
      <c r="T238">
        <f t="shared" si="161"/>
        <v>0</v>
      </c>
      <c r="U238">
        <f t="shared" si="162"/>
        <v>0</v>
      </c>
      <c r="V238">
        <f t="shared" si="163"/>
        <v>0</v>
      </c>
      <c r="W238">
        <f t="shared" si="164"/>
        <v>0</v>
      </c>
      <c r="X238">
        <f t="shared" si="165"/>
        <v>0</v>
      </c>
      <c r="Y238">
        <f t="shared" si="166"/>
        <v>0</v>
      </c>
      <c r="Z238">
        <f t="shared" si="167"/>
        <v>0</v>
      </c>
      <c r="AA238">
        <f t="shared" si="168"/>
        <v>0</v>
      </c>
      <c r="AB238">
        <f t="shared" si="169"/>
        <v>0</v>
      </c>
      <c r="AC238">
        <f t="shared" si="170"/>
        <v>0</v>
      </c>
      <c r="AD238">
        <f t="shared" si="171"/>
        <v>0</v>
      </c>
      <c r="AE238">
        <f t="shared" si="172"/>
        <v>0</v>
      </c>
      <c r="AF238">
        <f t="shared" si="173"/>
        <v>0</v>
      </c>
      <c r="AG238">
        <f t="shared" si="174"/>
        <v>0</v>
      </c>
      <c r="AH238">
        <f t="shared" si="175"/>
        <v>0</v>
      </c>
      <c r="AI238">
        <f t="shared" si="176"/>
        <v>0</v>
      </c>
      <c r="AJ238">
        <f t="shared" si="177"/>
        <v>0</v>
      </c>
      <c r="AK238">
        <f t="shared" si="178"/>
        <v>0</v>
      </c>
      <c r="AL238">
        <f t="shared" si="179"/>
        <v>0</v>
      </c>
      <c r="AM238">
        <f t="shared" si="180"/>
        <v>0</v>
      </c>
      <c r="AN238">
        <f t="shared" si="181"/>
        <v>0</v>
      </c>
      <c r="AO238">
        <f t="shared" si="182"/>
        <v>0</v>
      </c>
      <c r="AP238">
        <f t="shared" si="183"/>
        <v>0</v>
      </c>
      <c r="AQ238">
        <f t="shared" si="184"/>
        <v>0</v>
      </c>
      <c r="AR238">
        <f t="shared" si="185"/>
        <v>0</v>
      </c>
      <c r="AS238">
        <f t="shared" si="186"/>
        <v>0</v>
      </c>
      <c r="AT238">
        <f t="shared" si="187"/>
        <v>0</v>
      </c>
      <c r="AU238">
        <f t="shared" si="188"/>
        <v>0</v>
      </c>
      <c r="AV238">
        <f t="shared" si="189"/>
        <v>0</v>
      </c>
      <c r="AW238">
        <f t="shared" si="144"/>
        <v>0</v>
      </c>
      <c r="AX238">
        <f t="shared" si="190"/>
        <v>0</v>
      </c>
      <c r="AY238">
        <f t="shared" si="191"/>
        <v>0</v>
      </c>
    </row>
    <row r="239" spans="1:51" x14ac:dyDescent="0.35">
      <c r="A239">
        <v>233</v>
      </c>
      <c r="C239">
        <f>MAX(0,Calc!$C$7-SUM(D239:R239))</f>
        <v>750</v>
      </c>
      <c r="D239">
        <f t="shared" si="145"/>
        <v>0</v>
      </c>
      <c r="E239">
        <f t="shared" si="146"/>
        <v>0</v>
      </c>
      <c r="F239">
        <f t="shared" si="147"/>
        <v>0</v>
      </c>
      <c r="G239">
        <f t="shared" si="148"/>
        <v>0</v>
      </c>
      <c r="H239">
        <f t="shared" si="149"/>
        <v>0</v>
      </c>
      <c r="I239">
        <f t="shared" si="150"/>
        <v>0</v>
      </c>
      <c r="J239">
        <f t="shared" si="151"/>
        <v>0</v>
      </c>
      <c r="K239">
        <f t="shared" si="152"/>
        <v>0</v>
      </c>
      <c r="L239">
        <f t="shared" si="153"/>
        <v>0</v>
      </c>
      <c r="M239">
        <f t="shared" si="154"/>
        <v>0</v>
      </c>
      <c r="N239">
        <f t="shared" si="155"/>
        <v>0</v>
      </c>
      <c r="O239">
        <f t="shared" si="156"/>
        <v>0</v>
      </c>
      <c r="P239">
        <f t="shared" si="157"/>
        <v>0</v>
      </c>
      <c r="Q239">
        <f t="shared" si="158"/>
        <v>0</v>
      </c>
      <c r="R239">
        <f t="shared" si="159"/>
        <v>0</v>
      </c>
      <c r="S239">
        <f t="shared" si="160"/>
        <v>0</v>
      </c>
      <c r="T239">
        <f t="shared" si="161"/>
        <v>0</v>
      </c>
      <c r="U239">
        <f t="shared" si="162"/>
        <v>0</v>
      </c>
      <c r="V239">
        <f t="shared" si="163"/>
        <v>0</v>
      </c>
      <c r="W239">
        <f t="shared" si="164"/>
        <v>0</v>
      </c>
      <c r="X239">
        <f t="shared" si="165"/>
        <v>0</v>
      </c>
      <c r="Y239">
        <f t="shared" si="166"/>
        <v>0</v>
      </c>
      <c r="Z239">
        <f t="shared" si="167"/>
        <v>0</v>
      </c>
      <c r="AA239">
        <f t="shared" si="168"/>
        <v>0</v>
      </c>
      <c r="AB239">
        <f t="shared" si="169"/>
        <v>0</v>
      </c>
      <c r="AC239">
        <f t="shared" si="170"/>
        <v>0</v>
      </c>
      <c r="AD239">
        <f t="shared" si="171"/>
        <v>0</v>
      </c>
      <c r="AE239">
        <f t="shared" si="172"/>
        <v>0</v>
      </c>
      <c r="AF239">
        <f t="shared" si="173"/>
        <v>0</v>
      </c>
      <c r="AG239">
        <f t="shared" si="174"/>
        <v>0</v>
      </c>
      <c r="AH239">
        <f t="shared" si="175"/>
        <v>0</v>
      </c>
      <c r="AI239">
        <f t="shared" si="176"/>
        <v>0</v>
      </c>
      <c r="AJ239">
        <f t="shared" si="177"/>
        <v>0</v>
      </c>
      <c r="AK239">
        <f t="shared" si="178"/>
        <v>0</v>
      </c>
      <c r="AL239">
        <f t="shared" si="179"/>
        <v>0</v>
      </c>
      <c r="AM239">
        <f t="shared" si="180"/>
        <v>0</v>
      </c>
      <c r="AN239">
        <f t="shared" si="181"/>
        <v>0</v>
      </c>
      <c r="AO239">
        <f t="shared" si="182"/>
        <v>0</v>
      </c>
      <c r="AP239">
        <f t="shared" si="183"/>
        <v>0</v>
      </c>
      <c r="AQ239">
        <f t="shared" si="184"/>
        <v>0</v>
      </c>
      <c r="AR239">
        <f t="shared" si="185"/>
        <v>0</v>
      </c>
      <c r="AS239">
        <f t="shared" si="186"/>
        <v>0</v>
      </c>
      <c r="AT239">
        <f t="shared" si="187"/>
        <v>0</v>
      </c>
      <c r="AU239">
        <f t="shared" si="188"/>
        <v>0</v>
      </c>
      <c r="AV239">
        <f t="shared" si="189"/>
        <v>0</v>
      </c>
      <c r="AW239">
        <f t="shared" si="144"/>
        <v>0</v>
      </c>
      <c r="AX239">
        <f t="shared" si="190"/>
        <v>0</v>
      </c>
      <c r="AY239">
        <f t="shared" si="191"/>
        <v>0</v>
      </c>
    </row>
    <row r="240" spans="1:51" x14ac:dyDescent="0.35">
      <c r="A240">
        <v>234</v>
      </c>
      <c r="C240">
        <f>MAX(0,Calc!$C$7-SUM(D240:R240))</f>
        <v>750</v>
      </c>
      <c r="D240">
        <f t="shared" si="145"/>
        <v>0</v>
      </c>
      <c r="E240">
        <f t="shared" si="146"/>
        <v>0</v>
      </c>
      <c r="F240">
        <f t="shared" si="147"/>
        <v>0</v>
      </c>
      <c r="G240">
        <f t="shared" si="148"/>
        <v>0</v>
      </c>
      <c r="H240">
        <f t="shared" si="149"/>
        <v>0</v>
      </c>
      <c r="I240">
        <f t="shared" si="150"/>
        <v>0</v>
      </c>
      <c r="J240">
        <f t="shared" si="151"/>
        <v>0</v>
      </c>
      <c r="K240">
        <f t="shared" si="152"/>
        <v>0</v>
      </c>
      <c r="L240">
        <f t="shared" si="153"/>
        <v>0</v>
      </c>
      <c r="M240">
        <f t="shared" si="154"/>
        <v>0</v>
      </c>
      <c r="N240">
        <f t="shared" si="155"/>
        <v>0</v>
      </c>
      <c r="O240">
        <f t="shared" si="156"/>
        <v>0</v>
      </c>
      <c r="P240">
        <f t="shared" si="157"/>
        <v>0</v>
      </c>
      <c r="Q240">
        <f t="shared" si="158"/>
        <v>0</v>
      </c>
      <c r="R240">
        <f t="shared" si="159"/>
        <v>0</v>
      </c>
      <c r="S240">
        <f t="shared" si="160"/>
        <v>0</v>
      </c>
      <c r="T240">
        <f t="shared" si="161"/>
        <v>0</v>
      </c>
      <c r="U240">
        <f t="shared" si="162"/>
        <v>0</v>
      </c>
      <c r="V240">
        <f t="shared" si="163"/>
        <v>0</v>
      </c>
      <c r="W240">
        <f t="shared" si="164"/>
        <v>0</v>
      </c>
      <c r="X240">
        <f t="shared" si="165"/>
        <v>0</v>
      </c>
      <c r="Y240">
        <f t="shared" si="166"/>
        <v>0</v>
      </c>
      <c r="Z240">
        <f t="shared" si="167"/>
        <v>0</v>
      </c>
      <c r="AA240">
        <f t="shared" si="168"/>
        <v>0</v>
      </c>
      <c r="AB240">
        <f t="shared" si="169"/>
        <v>0</v>
      </c>
      <c r="AC240">
        <f t="shared" si="170"/>
        <v>0</v>
      </c>
      <c r="AD240">
        <f t="shared" si="171"/>
        <v>0</v>
      </c>
      <c r="AE240">
        <f t="shared" si="172"/>
        <v>0</v>
      </c>
      <c r="AF240">
        <f t="shared" si="173"/>
        <v>0</v>
      </c>
      <c r="AG240">
        <f t="shared" si="174"/>
        <v>0</v>
      </c>
      <c r="AH240">
        <f t="shared" si="175"/>
        <v>0</v>
      </c>
      <c r="AI240">
        <f t="shared" si="176"/>
        <v>0</v>
      </c>
      <c r="AJ240">
        <f t="shared" si="177"/>
        <v>0</v>
      </c>
      <c r="AK240">
        <f t="shared" si="178"/>
        <v>0</v>
      </c>
      <c r="AL240">
        <f t="shared" si="179"/>
        <v>0</v>
      </c>
      <c r="AM240">
        <f t="shared" si="180"/>
        <v>0</v>
      </c>
      <c r="AN240">
        <f t="shared" si="181"/>
        <v>0</v>
      </c>
      <c r="AO240">
        <f t="shared" si="182"/>
        <v>0</v>
      </c>
      <c r="AP240">
        <f t="shared" si="183"/>
        <v>0</v>
      </c>
      <c r="AQ240">
        <f t="shared" si="184"/>
        <v>0</v>
      </c>
      <c r="AR240">
        <f t="shared" si="185"/>
        <v>0</v>
      </c>
      <c r="AS240">
        <f t="shared" si="186"/>
        <v>0</v>
      </c>
      <c r="AT240">
        <f t="shared" si="187"/>
        <v>0</v>
      </c>
      <c r="AU240">
        <f t="shared" si="188"/>
        <v>0</v>
      </c>
      <c r="AV240">
        <f t="shared" si="189"/>
        <v>0</v>
      </c>
      <c r="AW240">
        <f t="shared" si="144"/>
        <v>0</v>
      </c>
      <c r="AX240">
        <f t="shared" si="190"/>
        <v>0</v>
      </c>
      <c r="AY240">
        <f t="shared" si="191"/>
        <v>0</v>
      </c>
    </row>
    <row r="241" spans="1:51" x14ac:dyDescent="0.35">
      <c r="A241">
        <v>235</v>
      </c>
      <c r="C241">
        <f>MAX(0,Calc!$C$7-SUM(D241:R241))</f>
        <v>750</v>
      </c>
      <c r="D241">
        <f t="shared" si="145"/>
        <v>0</v>
      </c>
      <c r="E241">
        <f t="shared" si="146"/>
        <v>0</v>
      </c>
      <c r="F241">
        <f t="shared" si="147"/>
        <v>0</v>
      </c>
      <c r="G241">
        <f t="shared" si="148"/>
        <v>0</v>
      </c>
      <c r="H241">
        <f t="shared" si="149"/>
        <v>0</v>
      </c>
      <c r="I241">
        <f t="shared" si="150"/>
        <v>0</v>
      </c>
      <c r="J241">
        <f t="shared" si="151"/>
        <v>0</v>
      </c>
      <c r="K241">
        <f t="shared" si="152"/>
        <v>0</v>
      </c>
      <c r="L241">
        <f t="shared" si="153"/>
        <v>0</v>
      </c>
      <c r="M241">
        <f t="shared" si="154"/>
        <v>0</v>
      </c>
      <c r="N241">
        <f t="shared" si="155"/>
        <v>0</v>
      </c>
      <c r="O241">
        <f t="shared" si="156"/>
        <v>0</v>
      </c>
      <c r="P241">
        <f t="shared" si="157"/>
        <v>0</v>
      </c>
      <c r="Q241">
        <f t="shared" si="158"/>
        <v>0</v>
      </c>
      <c r="R241">
        <f t="shared" si="159"/>
        <v>0</v>
      </c>
      <c r="S241">
        <f t="shared" si="160"/>
        <v>0</v>
      </c>
      <c r="T241">
        <f t="shared" si="161"/>
        <v>0</v>
      </c>
      <c r="U241">
        <f t="shared" si="162"/>
        <v>0</v>
      </c>
      <c r="V241">
        <f t="shared" si="163"/>
        <v>0</v>
      </c>
      <c r="W241">
        <f t="shared" si="164"/>
        <v>0</v>
      </c>
      <c r="X241">
        <f t="shared" si="165"/>
        <v>0</v>
      </c>
      <c r="Y241">
        <f t="shared" si="166"/>
        <v>0</v>
      </c>
      <c r="Z241">
        <f t="shared" si="167"/>
        <v>0</v>
      </c>
      <c r="AA241">
        <f t="shared" si="168"/>
        <v>0</v>
      </c>
      <c r="AB241">
        <f t="shared" si="169"/>
        <v>0</v>
      </c>
      <c r="AC241">
        <f t="shared" si="170"/>
        <v>0</v>
      </c>
      <c r="AD241">
        <f t="shared" si="171"/>
        <v>0</v>
      </c>
      <c r="AE241">
        <f t="shared" si="172"/>
        <v>0</v>
      </c>
      <c r="AF241">
        <f t="shared" si="173"/>
        <v>0</v>
      </c>
      <c r="AG241">
        <f t="shared" si="174"/>
        <v>0</v>
      </c>
      <c r="AH241">
        <f t="shared" si="175"/>
        <v>0</v>
      </c>
      <c r="AI241">
        <f t="shared" si="176"/>
        <v>0</v>
      </c>
      <c r="AJ241">
        <f t="shared" si="177"/>
        <v>0</v>
      </c>
      <c r="AK241">
        <f t="shared" si="178"/>
        <v>0</v>
      </c>
      <c r="AL241">
        <f t="shared" si="179"/>
        <v>0</v>
      </c>
      <c r="AM241">
        <f t="shared" si="180"/>
        <v>0</v>
      </c>
      <c r="AN241">
        <f t="shared" si="181"/>
        <v>0</v>
      </c>
      <c r="AO241">
        <f t="shared" si="182"/>
        <v>0</v>
      </c>
      <c r="AP241">
        <f t="shared" si="183"/>
        <v>0</v>
      </c>
      <c r="AQ241">
        <f t="shared" si="184"/>
        <v>0</v>
      </c>
      <c r="AR241">
        <f t="shared" si="185"/>
        <v>0</v>
      </c>
      <c r="AS241">
        <f t="shared" si="186"/>
        <v>0</v>
      </c>
      <c r="AT241">
        <f t="shared" si="187"/>
        <v>0</v>
      </c>
      <c r="AU241">
        <f t="shared" si="188"/>
        <v>0</v>
      </c>
      <c r="AV241">
        <f t="shared" si="189"/>
        <v>0</v>
      </c>
      <c r="AW241">
        <f t="shared" si="144"/>
        <v>0</v>
      </c>
      <c r="AX241">
        <f t="shared" si="190"/>
        <v>0</v>
      </c>
      <c r="AY241">
        <f t="shared" si="191"/>
        <v>0</v>
      </c>
    </row>
    <row r="242" spans="1:51" x14ac:dyDescent="0.35">
      <c r="A242">
        <v>236</v>
      </c>
      <c r="C242">
        <f>MAX(0,Calc!$C$7-SUM(D242:R242))</f>
        <v>750</v>
      </c>
      <c r="D242">
        <f t="shared" si="145"/>
        <v>0</v>
      </c>
      <c r="E242">
        <f t="shared" si="146"/>
        <v>0</v>
      </c>
      <c r="F242">
        <f t="shared" si="147"/>
        <v>0</v>
      </c>
      <c r="G242">
        <f t="shared" si="148"/>
        <v>0</v>
      </c>
      <c r="H242">
        <f t="shared" si="149"/>
        <v>0</v>
      </c>
      <c r="I242">
        <f t="shared" si="150"/>
        <v>0</v>
      </c>
      <c r="J242">
        <f t="shared" si="151"/>
        <v>0</v>
      </c>
      <c r="K242">
        <f t="shared" si="152"/>
        <v>0</v>
      </c>
      <c r="L242">
        <f t="shared" si="153"/>
        <v>0</v>
      </c>
      <c r="M242">
        <f t="shared" si="154"/>
        <v>0</v>
      </c>
      <c r="N242">
        <f t="shared" si="155"/>
        <v>0</v>
      </c>
      <c r="O242">
        <f t="shared" si="156"/>
        <v>0</v>
      </c>
      <c r="P242">
        <f t="shared" si="157"/>
        <v>0</v>
      </c>
      <c r="Q242">
        <f t="shared" si="158"/>
        <v>0</v>
      </c>
      <c r="R242">
        <f t="shared" si="159"/>
        <v>0</v>
      </c>
      <c r="S242">
        <f t="shared" si="160"/>
        <v>0</v>
      </c>
      <c r="T242">
        <f t="shared" si="161"/>
        <v>0</v>
      </c>
      <c r="U242">
        <f t="shared" si="162"/>
        <v>0</v>
      </c>
      <c r="V242">
        <f t="shared" si="163"/>
        <v>0</v>
      </c>
      <c r="W242">
        <f t="shared" si="164"/>
        <v>0</v>
      </c>
      <c r="X242">
        <f t="shared" si="165"/>
        <v>0</v>
      </c>
      <c r="Y242">
        <f t="shared" si="166"/>
        <v>0</v>
      </c>
      <c r="Z242">
        <f t="shared" si="167"/>
        <v>0</v>
      </c>
      <c r="AA242">
        <f t="shared" si="168"/>
        <v>0</v>
      </c>
      <c r="AB242">
        <f t="shared" si="169"/>
        <v>0</v>
      </c>
      <c r="AC242">
        <f t="shared" si="170"/>
        <v>0</v>
      </c>
      <c r="AD242">
        <f t="shared" si="171"/>
        <v>0</v>
      </c>
      <c r="AE242">
        <f t="shared" si="172"/>
        <v>0</v>
      </c>
      <c r="AF242">
        <f t="shared" si="173"/>
        <v>0</v>
      </c>
      <c r="AG242">
        <f t="shared" si="174"/>
        <v>0</v>
      </c>
      <c r="AH242">
        <f t="shared" si="175"/>
        <v>0</v>
      </c>
      <c r="AI242">
        <f t="shared" si="176"/>
        <v>0</v>
      </c>
      <c r="AJ242">
        <f t="shared" si="177"/>
        <v>0</v>
      </c>
      <c r="AK242">
        <f t="shared" si="178"/>
        <v>0</v>
      </c>
      <c r="AL242">
        <f t="shared" si="179"/>
        <v>0</v>
      </c>
      <c r="AM242">
        <f t="shared" si="180"/>
        <v>0</v>
      </c>
      <c r="AN242">
        <f t="shared" si="181"/>
        <v>0</v>
      </c>
      <c r="AO242">
        <f t="shared" si="182"/>
        <v>0</v>
      </c>
      <c r="AP242">
        <f t="shared" si="183"/>
        <v>0</v>
      </c>
      <c r="AQ242">
        <f t="shared" si="184"/>
        <v>0</v>
      </c>
      <c r="AR242">
        <f t="shared" si="185"/>
        <v>0</v>
      </c>
      <c r="AS242">
        <f t="shared" si="186"/>
        <v>0</v>
      </c>
      <c r="AT242">
        <f t="shared" si="187"/>
        <v>0</v>
      </c>
      <c r="AU242">
        <f t="shared" si="188"/>
        <v>0</v>
      </c>
      <c r="AV242">
        <f t="shared" si="189"/>
        <v>0</v>
      </c>
      <c r="AW242">
        <f t="shared" si="144"/>
        <v>0</v>
      </c>
      <c r="AX242">
        <f t="shared" si="190"/>
        <v>0</v>
      </c>
      <c r="AY242">
        <f t="shared" si="191"/>
        <v>0</v>
      </c>
    </row>
    <row r="243" spans="1:51" x14ac:dyDescent="0.35">
      <c r="A243">
        <v>237</v>
      </c>
      <c r="C243">
        <f>MAX(0,Calc!$C$7-SUM(D243:R243))</f>
        <v>750</v>
      </c>
      <c r="D243">
        <f t="shared" si="145"/>
        <v>0</v>
      </c>
      <c r="E243">
        <f t="shared" si="146"/>
        <v>0</v>
      </c>
      <c r="F243">
        <f t="shared" si="147"/>
        <v>0</v>
      </c>
      <c r="G243">
        <f t="shared" si="148"/>
        <v>0</v>
      </c>
      <c r="H243">
        <f t="shared" si="149"/>
        <v>0</v>
      </c>
      <c r="I243">
        <f t="shared" si="150"/>
        <v>0</v>
      </c>
      <c r="J243">
        <f t="shared" si="151"/>
        <v>0</v>
      </c>
      <c r="K243">
        <f t="shared" si="152"/>
        <v>0</v>
      </c>
      <c r="L243">
        <f t="shared" si="153"/>
        <v>0</v>
      </c>
      <c r="M243">
        <f t="shared" si="154"/>
        <v>0</v>
      </c>
      <c r="N243">
        <f t="shared" si="155"/>
        <v>0</v>
      </c>
      <c r="O243">
        <f t="shared" si="156"/>
        <v>0</v>
      </c>
      <c r="P243">
        <f t="shared" si="157"/>
        <v>0</v>
      </c>
      <c r="Q243">
        <f t="shared" si="158"/>
        <v>0</v>
      </c>
      <c r="R243">
        <f t="shared" si="159"/>
        <v>0</v>
      </c>
      <c r="S243">
        <f t="shared" si="160"/>
        <v>0</v>
      </c>
      <c r="T243">
        <f t="shared" si="161"/>
        <v>0</v>
      </c>
      <c r="U243">
        <f t="shared" si="162"/>
        <v>0</v>
      </c>
      <c r="V243">
        <f t="shared" si="163"/>
        <v>0</v>
      </c>
      <c r="W243">
        <f t="shared" si="164"/>
        <v>0</v>
      </c>
      <c r="X243">
        <f t="shared" si="165"/>
        <v>0</v>
      </c>
      <c r="Y243">
        <f t="shared" si="166"/>
        <v>0</v>
      </c>
      <c r="Z243">
        <f t="shared" si="167"/>
        <v>0</v>
      </c>
      <c r="AA243">
        <f t="shared" si="168"/>
        <v>0</v>
      </c>
      <c r="AB243">
        <f t="shared" si="169"/>
        <v>0</v>
      </c>
      <c r="AC243">
        <f t="shared" si="170"/>
        <v>0</v>
      </c>
      <c r="AD243">
        <f t="shared" si="171"/>
        <v>0</v>
      </c>
      <c r="AE243">
        <f t="shared" si="172"/>
        <v>0</v>
      </c>
      <c r="AF243">
        <f t="shared" si="173"/>
        <v>0</v>
      </c>
      <c r="AG243">
        <f t="shared" si="174"/>
        <v>0</v>
      </c>
      <c r="AH243">
        <f t="shared" si="175"/>
        <v>0</v>
      </c>
      <c r="AI243">
        <f t="shared" si="176"/>
        <v>0</v>
      </c>
      <c r="AJ243">
        <f t="shared" si="177"/>
        <v>0</v>
      </c>
      <c r="AK243">
        <f t="shared" si="178"/>
        <v>0</v>
      </c>
      <c r="AL243">
        <f t="shared" si="179"/>
        <v>0</v>
      </c>
      <c r="AM243">
        <f t="shared" si="180"/>
        <v>0</v>
      </c>
      <c r="AN243">
        <f t="shared" si="181"/>
        <v>0</v>
      </c>
      <c r="AO243">
        <f t="shared" si="182"/>
        <v>0</v>
      </c>
      <c r="AP243">
        <f t="shared" si="183"/>
        <v>0</v>
      </c>
      <c r="AQ243">
        <f t="shared" si="184"/>
        <v>0</v>
      </c>
      <c r="AR243">
        <f t="shared" si="185"/>
        <v>0</v>
      </c>
      <c r="AS243">
        <f t="shared" si="186"/>
        <v>0</v>
      </c>
      <c r="AT243">
        <f t="shared" si="187"/>
        <v>0</v>
      </c>
      <c r="AU243">
        <f t="shared" si="188"/>
        <v>0</v>
      </c>
      <c r="AV243">
        <f t="shared" si="189"/>
        <v>0</v>
      </c>
      <c r="AW243">
        <f t="shared" si="144"/>
        <v>0</v>
      </c>
      <c r="AX243">
        <f t="shared" si="190"/>
        <v>0</v>
      </c>
      <c r="AY243">
        <f t="shared" si="191"/>
        <v>0</v>
      </c>
    </row>
    <row r="244" spans="1:51" x14ac:dyDescent="0.35">
      <c r="A244">
        <v>238</v>
      </c>
      <c r="C244">
        <f>MAX(0,Calc!$C$7-SUM(D244:R244))</f>
        <v>750</v>
      </c>
      <c r="D244">
        <f t="shared" si="145"/>
        <v>0</v>
      </c>
      <c r="E244">
        <f t="shared" si="146"/>
        <v>0</v>
      </c>
      <c r="F244">
        <f t="shared" si="147"/>
        <v>0</v>
      </c>
      <c r="G244">
        <f t="shared" si="148"/>
        <v>0</v>
      </c>
      <c r="H244">
        <f t="shared" si="149"/>
        <v>0</v>
      </c>
      <c r="I244">
        <f t="shared" si="150"/>
        <v>0</v>
      </c>
      <c r="J244">
        <f t="shared" si="151"/>
        <v>0</v>
      </c>
      <c r="K244">
        <f t="shared" si="152"/>
        <v>0</v>
      </c>
      <c r="L244">
        <f t="shared" si="153"/>
        <v>0</v>
      </c>
      <c r="M244">
        <f t="shared" si="154"/>
        <v>0</v>
      </c>
      <c r="N244">
        <f t="shared" si="155"/>
        <v>0</v>
      </c>
      <c r="O244">
        <f t="shared" si="156"/>
        <v>0</v>
      </c>
      <c r="P244">
        <f t="shared" si="157"/>
        <v>0</v>
      </c>
      <c r="Q244">
        <f t="shared" si="158"/>
        <v>0</v>
      </c>
      <c r="R244">
        <f t="shared" si="159"/>
        <v>0</v>
      </c>
      <c r="S244">
        <f t="shared" si="160"/>
        <v>0</v>
      </c>
      <c r="T244">
        <f t="shared" si="161"/>
        <v>0</v>
      </c>
      <c r="U244">
        <f t="shared" si="162"/>
        <v>0</v>
      </c>
      <c r="V244">
        <f t="shared" si="163"/>
        <v>0</v>
      </c>
      <c r="W244">
        <f t="shared" si="164"/>
        <v>0</v>
      </c>
      <c r="X244">
        <f t="shared" si="165"/>
        <v>0</v>
      </c>
      <c r="Y244">
        <f t="shared" si="166"/>
        <v>0</v>
      </c>
      <c r="Z244">
        <f t="shared" si="167"/>
        <v>0</v>
      </c>
      <c r="AA244">
        <f t="shared" si="168"/>
        <v>0</v>
      </c>
      <c r="AB244">
        <f t="shared" si="169"/>
        <v>0</v>
      </c>
      <c r="AC244">
        <f t="shared" si="170"/>
        <v>0</v>
      </c>
      <c r="AD244">
        <f t="shared" si="171"/>
        <v>0</v>
      </c>
      <c r="AE244">
        <f t="shared" si="172"/>
        <v>0</v>
      </c>
      <c r="AF244">
        <f t="shared" si="173"/>
        <v>0</v>
      </c>
      <c r="AG244">
        <f t="shared" si="174"/>
        <v>0</v>
      </c>
      <c r="AH244">
        <f t="shared" si="175"/>
        <v>0</v>
      </c>
      <c r="AI244">
        <f t="shared" si="176"/>
        <v>0</v>
      </c>
      <c r="AJ244">
        <f t="shared" si="177"/>
        <v>0</v>
      </c>
      <c r="AK244">
        <f t="shared" si="178"/>
        <v>0</v>
      </c>
      <c r="AL244">
        <f t="shared" si="179"/>
        <v>0</v>
      </c>
      <c r="AM244">
        <f t="shared" si="180"/>
        <v>0</v>
      </c>
      <c r="AN244">
        <f t="shared" si="181"/>
        <v>0</v>
      </c>
      <c r="AO244">
        <f t="shared" si="182"/>
        <v>0</v>
      </c>
      <c r="AP244">
        <f t="shared" si="183"/>
        <v>0</v>
      </c>
      <c r="AQ244">
        <f t="shared" si="184"/>
        <v>0</v>
      </c>
      <c r="AR244">
        <f t="shared" si="185"/>
        <v>0</v>
      </c>
      <c r="AS244">
        <f t="shared" si="186"/>
        <v>0</v>
      </c>
      <c r="AT244">
        <f t="shared" si="187"/>
        <v>0</v>
      </c>
      <c r="AU244">
        <f t="shared" si="188"/>
        <v>0</v>
      </c>
      <c r="AV244">
        <f t="shared" si="189"/>
        <v>0</v>
      </c>
      <c r="AW244">
        <f t="shared" si="144"/>
        <v>0</v>
      </c>
      <c r="AX244">
        <f t="shared" si="190"/>
        <v>0</v>
      </c>
      <c r="AY244">
        <f t="shared" si="191"/>
        <v>0</v>
      </c>
    </row>
    <row r="245" spans="1:51" x14ac:dyDescent="0.35">
      <c r="A245">
        <v>239</v>
      </c>
      <c r="C245">
        <f>MAX(0,Calc!$C$7-SUM(D245:R245))</f>
        <v>750</v>
      </c>
      <c r="D245">
        <f t="shared" si="145"/>
        <v>0</v>
      </c>
      <c r="E245">
        <f t="shared" si="146"/>
        <v>0</v>
      </c>
      <c r="F245">
        <f t="shared" si="147"/>
        <v>0</v>
      </c>
      <c r="G245">
        <f t="shared" si="148"/>
        <v>0</v>
      </c>
      <c r="H245">
        <f t="shared" si="149"/>
        <v>0</v>
      </c>
      <c r="I245">
        <f t="shared" si="150"/>
        <v>0</v>
      </c>
      <c r="J245">
        <f t="shared" si="151"/>
        <v>0</v>
      </c>
      <c r="K245">
        <f t="shared" si="152"/>
        <v>0</v>
      </c>
      <c r="L245">
        <f t="shared" si="153"/>
        <v>0</v>
      </c>
      <c r="M245">
        <f t="shared" si="154"/>
        <v>0</v>
      </c>
      <c r="N245">
        <f t="shared" si="155"/>
        <v>0</v>
      </c>
      <c r="O245">
        <f t="shared" si="156"/>
        <v>0</v>
      </c>
      <c r="P245">
        <f t="shared" si="157"/>
        <v>0</v>
      </c>
      <c r="Q245">
        <f t="shared" si="158"/>
        <v>0</v>
      </c>
      <c r="R245">
        <f t="shared" si="159"/>
        <v>0</v>
      </c>
      <c r="S245">
        <f t="shared" si="160"/>
        <v>0</v>
      </c>
      <c r="T245">
        <f t="shared" si="161"/>
        <v>0</v>
      </c>
      <c r="U245">
        <f t="shared" si="162"/>
        <v>0</v>
      </c>
      <c r="V245">
        <f t="shared" si="163"/>
        <v>0</v>
      </c>
      <c r="W245">
        <f t="shared" si="164"/>
        <v>0</v>
      </c>
      <c r="X245">
        <f t="shared" si="165"/>
        <v>0</v>
      </c>
      <c r="Y245">
        <f t="shared" si="166"/>
        <v>0</v>
      </c>
      <c r="Z245">
        <f t="shared" si="167"/>
        <v>0</v>
      </c>
      <c r="AA245">
        <f t="shared" si="168"/>
        <v>0</v>
      </c>
      <c r="AB245">
        <f t="shared" si="169"/>
        <v>0</v>
      </c>
      <c r="AC245">
        <f t="shared" si="170"/>
        <v>0</v>
      </c>
      <c r="AD245">
        <f t="shared" si="171"/>
        <v>0</v>
      </c>
      <c r="AE245">
        <f t="shared" si="172"/>
        <v>0</v>
      </c>
      <c r="AF245">
        <f t="shared" si="173"/>
        <v>0</v>
      </c>
      <c r="AG245">
        <f t="shared" si="174"/>
        <v>0</v>
      </c>
      <c r="AH245">
        <f t="shared" si="175"/>
        <v>0</v>
      </c>
      <c r="AI245">
        <f t="shared" si="176"/>
        <v>0</v>
      </c>
      <c r="AJ245">
        <f t="shared" si="177"/>
        <v>0</v>
      </c>
      <c r="AK245">
        <f t="shared" si="178"/>
        <v>0</v>
      </c>
      <c r="AL245">
        <f t="shared" si="179"/>
        <v>0</v>
      </c>
      <c r="AM245">
        <f t="shared" si="180"/>
        <v>0</v>
      </c>
      <c r="AN245">
        <f t="shared" si="181"/>
        <v>0</v>
      </c>
      <c r="AO245">
        <f t="shared" si="182"/>
        <v>0</v>
      </c>
      <c r="AP245">
        <f t="shared" si="183"/>
        <v>0</v>
      </c>
      <c r="AQ245">
        <f t="shared" si="184"/>
        <v>0</v>
      </c>
      <c r="AR245">
        <f t="shared" si="185"/>
        <v>0</v>
      </c>
      <c r="AS245">
        <f t="shared" si="186"/>
        <v>0</v>
      </c>
      <c r="AT245">
        <f t="shared" si="187"/>
        <v>0</v>
      </c>
      <c r="AU245">
        <f t="shared" si="188"/>
        <v>0</v>
      </c>
      <c r="AV245">
        <f t="shared" si="189"/>
        <v>0</v>
      </c>
      <c r="AW245">
        <f t="shared" si="144"/>
        <v>0</v>
      </c>
      <c r="AX245">
        <f t="shared" si="190"/>
        <v>0</v>
      </c>
      <c r="AY245">
        <f t="shared" si="191"/>
        <v>0</v>
      </c>
    </row>
    <row r="246" spans="1:51" x14ac:dyDescent="0.35">
      <c r="A246">
        <v>240</v>
      </c>
      <c r="C246">
        <f>MAX(0,Calc!$C$7-SUM(D246:R246))</f>
        <v>750</v>
      </c>
      <c r="D246">
        <f t="shared" si="145"/>
        <v>0</v>
      </c>
      <c r="E246">
        <f t="shared" si="146"/>
        <v>0</v>
      </c>
      <c r="F246">
        <f t="shared" si="147"/>
        <v>0</v>
      </c>
      <c r="G246">
        <f t="shared" si="148"/>
        <v>0</v>
      </c>
      <c r="H246">
        <f t="shared" si="149"/>
        <v>0</v>
      </c>
      <c r="I246">
        <f t="shared" si="150"/>
        <v>0</v>
      </c>
      <c r="J246">
        <f t="shared" si="151"/>
        <v>0</v>
      </c>
      <c r="K246">
        <f t="shared" si="152"/>
        <v>0</v>
      </c>
      <c r="L246">
        <f t="shared" si="153"/>
        <v>0</v>
      </c>
      <c r="M246">
        <f t="shared" si="154"/>
        <v>0</v>
      </c>
      <c r="N246">
        <f t="shared" si="155"/>
        <v>0</v>
      </c>
      <c r="O246">
        <f t="shared" si="156"/>
        <v>0</v>
      </c>
      <c r="P246">
        <f t="shared" si="157"/>
        <v>0</v>
      </c>
      <c r="Q246">
        <f t="shared" si="158"/>
        <v>0</v>
      </c>
      <c r="R246">
        <f t="shared" si="159"/>
        <v>0</v>
      </c>
      <c r="S246">
        <f t="shared" si="160"/>
        <v>0</v>
      </c>
      <c r="T246">
        <f t="shared" si="161"/>
        <v>0</v>
      </c>
      <c r="U246">
        <f t="shared" si="162"/>
        <v>0</v>
      </c>
      <c r="V246">
        <f t="shared" si="163"/>
        <v>0</v>
      </c>
      <c r="W246">
        <f t="shared" si="164"/>
        <v>0</v>
      </c>
      <c r="X246">
        <f t="shared" si="165"/>
        <v>0</v>
      </c>
      <c r="Y246">
        <f t="shared" si="166"/>
        <v>0</v>
      </c>
      <c r="Z246">
        <f t="shared" si="167"/>
        <v>0</v>
      </c>
      <c r="AA246">
        <f t="shared" si="168"/>
        <v>0</v>
      </c>
      <c r="AB246">
        <f t="shared" si="169"/>
        <v>0</v>
      </c>
      <c r="AC246">
        <f t="shared" si="170"/>
        <v>0</v>
      </c>
      <c r="AD246">
        <f t="shared" si="171"/>
        <v>0</v>
      </c>
      <c r="AE246">
        <f t="shared" si="172"/>
        <v>0</v>
      </c>
      <c r="AF246">
        <f t="shared" si="173"/>
        <v>0</v>
      </c>
      <c r="AG246">
        <f t="shared" si="174"/>
        <v>0</v>
      </c>
      <c r="AH246">
        <f t="shared" si="175"/>
        <v>0</v>
      </c>
      <c r="AI246">
        <f t="shared" si="176"/>
        <v>0</v>
      </c>
      <c r="AJ246">
        <f t="shared" si="177"/>
        <v>0</v>
      </c>
      <c r="AK246">
        <f t="shared" si="178"/>
        <v>0</v>
      </c>
      <c r="AL246">
        <f t="shared" si="179"/>
        <v>0</v>
      </c>
      <c r="AM246">
        <f t="shared" si="180"/>
        <v>0</v>
      </c>
      <c r="AN246">
        <f t="shared" si="181"/>
        <v>0</v>
      </c>
      <c r="AO246">
        <f t="shared" si="182"/>
        <v>0</v>
      </c>
      <c r="AP246">
        <f t="shared" si="183"/>
        <v>0</v>
      </c>
      <c r="AQ246">
        <f t="shared" si="184"/>
        <v>0</v>
      </c>
      <c r="AR246">
        <f t="shared" si="185"/>
        <v>0</v>
      </c>
      <c r="AS246">
        <f t="shared" si="186"/>
        <v>0</v>
      </c>
      <c r="AT246">
        <f t="shared" si="187"/>
        <v>0</v>
      </c>
      <c r="AU246">
        <f t="shared" si="188"/>
        <v>0</v>
      </c>
      <c r="AV246">
        <f t="shared" si="189"/>
        <v>0</v>
      </c>
      <c r="AW246">
        <f t="shared" si="144"/>
        <v>0</v>
      </c>
      <c r="AX246">
        <f t="shared" si="190"/>
        <v>0</v>
      </c>
      <c r="AY246">
        <f t="shared" si="191"/>
        <v>0</v>
      </c>
    </row>
    <row r="247" spans="1:51" x14ac:dyDescent="0.35">
      <c r="A247">
        <v>241</v>
      </c>
      <c r="C247">
        <f>MAX(0,Calc!$C$7-SUM(D247:R247))</f>
        <v>750</v>
      </c>
      <c r="D247">
        <f t="shared" si="145"/>
        <v>0</v>
      </c>
      <c r="E247">
        <f t="shared" si="146"/>
        <v>0</v>
      </c>
      <c r="F247">
        <f t="shared" si="147"/>
        <v>0</v>
      </c>
      <c r="G247">
        <f t="shared" si="148"/>
        <v>0</v>
      </c>
      <c r="H247">
        <f t="shared" si="149"/>
        <v>0</v>
      </c>
      <c r="I247">
        <f t="shared" si="150"/>
        <v>0</v>
      </c>
      <c r="J247">
        <f t="shared" si="151"/>
        <v>0</v>
      </c>
      <c r="K247">
        <f t="shared" si="152"/>
        <v>0</v>
      </c>
      <c r="L247">
        <f t="shared" si="153"/>
        <v>0</v>
      </c>
      <c r="M247">
        <f t="shared" si="154"/>
        <v>0</v>
      </c>
      <c r="N247">
        <f t="shared" si="155"/>
        <v>0</v>
      </c>
      <c r="O247">
        <f t="shared" si="156"/>
        <v>0</v>
      </c>
      <c r="P247">
        <f t="shared" si="157"/>
        <v>0</v>
      </c>
      <c r="Q247">
        <f t="shared" si="158"/>
        <v>0</v>
      </c>
      <c r="R247">
        <f t="shared" si="159"/>
        <v>0</v>
      </c>
      <c r="S247">
        <f t="shared" si="160"/>
        <v>0</v>
      </c>
      <c r="T247">
        <f t="shared" si="161"/>
        <v>0</v>
      </c>
      <c r="U247">
        <f t="shared" si="162"/>
        <v>0</v>
      </c>
      <c r="V247">
        <f t="shared" si="163"/>
        <v>0</v>
      </c>
      <c r="W247">
        <f t="shared" si="164"/>
        <v>0</v>
      </c>
      <c r="X247">
        <f t="shared" si="165"/>
        <v>0</v>
      </c>
      <c r="Y247">
        <f t="shared" si="166"/>
        <v>0</v>
      </c>
      <c r="Z247">
        <f t="shared" si="167"/>
        <v>0</v>
      </c>
      <c r="AA247">
        <f t="shared" si="168"/>
        <v>0</v>
      </c>
      <c r="AB247">
        <f t="shared" si="169"/>
        <v>0</v>
      </c>
      <c r="AC247">
        <f t="shared" si="170"/>
        <v>0</v>
      </c>
      <c r="AD247">
        <f t="shared" si="171"/>
        <v>0</v>
      </c>
      <c r="AE247">
        <f t="shared" si="172"/>
        <v>0</v>
      </c>
      <c r="AF247">
        <f t="shared" si="173"/>
        <v>0</v>
      </c>
      <c r="AG247">
        <f t="shared" si="174"/>
        <v>0</v>
      </c>
      <c r="AH247">
        <f t="shared" si="175"/>
        <v>0</v>
      </c>
      <c r="AI247">
        <f t="shared" si="176"/>
        <v>0</v>
      </c>
      <c r="AJ247">
        <f t="shared" si="177"/>
        <v>0</v>
      </c>
      <c r="AK247">
        <f t="shared" si="178"/>
        <v>0</v>
      </c>
      <c r="AL247">
        <f t="shared" si="179"/>
        <v>0</v>
      </c>
      <c r="AM247">
        <f t="shared" si="180"/>
        <v>0</v>
      </c>
      <c r="AN247">
        <f t="shared" si="181"/>
        <v>0</v>
      </c>
      <c r="AO247">
        <f t="shared" si="182"/>
        <v>0</v>
      </c>
      <c r="AP247">
        <f t="shared" si="183"/>
        <v>0</v>
      </c>
      <c r="AQ247">
        <f t="shared" si="184"/>
        <v>0</v>
      </c>
      <c r="AR247">
        <f t="shared" si="185"/>
        <v>0</v>
      </c>
      <c r="AS247">
        <f t="shared" si="186"/>
        <v>0</v>
      </c>
      <c r="AT247">
        <f t="shared" si="187"/>
        <v>0</v>
      </c>
      <c r="AU247">
        <f t="shared" si="188"/>
        <v>0</v>
      </c>
      <c r="AV247">
        <f t="shared" si="189"/>
        <v>0</v>
      </c>
      <c r="AW247">
        <f t="shared" si="144"/>
        <v>0</v>
      </c>
      <c r="AX247">
        <f t="shared" si="190"/>
        <v>0</v>
      </c>
      <c r="AY247">
        <f t="shared" si="191"/>
        <v>0</v>
      </c>
    </row>
    <row r="248" spans="1:51" x14ac:dyDescent="0.35">
      <c r="A248">
        <v>242</v>
      </c>
      <c r="C248">
        <f>MAX(0,Calc!$C$7-SUM(D248:R248))</f>
        <v>750</v>
      </c>
      <c r="D248">
        <f t="shared" si="145"/>
        <v>0</v>
      </c>
      <c r="E248">
        <f t="shared" si="146"/>
        <v>0</v>
      </c>
      <c r="F248">
        <f t="shared" si="147"/>
        <v>0</v>
      </c>
      <c r="G248">
        <f t="shared" si="148"/>
        <v>0</v>
      </c>
      <c r="H248">
        <f t="shared" si="149"/>
        <v>0</v>
      </c>
      <c r="I248">
        <f t="shared" si="150"/>
        <v>0</v>
      </c>
      <c r="J248">
        <f t="shared" si="151"/>
        <v>0</v>
      </c>
      <c r="K248">
        <f t="shared" si="152"/>
        <v>0</v>
      </c>
      <c r="L248">
        <f t="shared" si="153"/>
        <v>0</v>
      </c>
      <c r="M248">
        <f t="shared" si="154"/>
        <v>0</v>
      </c>
      <c r="N248">
        <f t="shared" si="155"/>
        <v>0</v>
      </c>
      <c r="O248">
        <f t="shared" si="156"/>
        <v>0</v>
      </c>
      <c r="P248">
        <f t="shared" si="157"/>
        <v>0</v>
      </c>
      <c r="Q248">
        <f t="shared" si="158"/>
        <v>0</v>
      </c>
      <c r="R248">
        <f t="shared" si="159"/>
        <v>0</v>
      </c>
      <c r="S248">
        <f t="shared" si="160"/>
        <v>0</v>
      </c>
      <c r="T248">
        <f t="shared" si="161"/>
        <v>0</v>
      </c>
      <c r="U248">
        <f t="shared" si="162"/>
        <v>0</v>
      </c>
      <c r="V248">
        <f t="shared" si="163"/>
        <v>0</v>
      </c>
      <c r="W248">
        <f t="shared" si="164"/>
        <v>0</v>
      </c>
      <c r="X248">
        <f t="shared" si="165"/>
        <v>0</v>
      </c>
      <c r="Y248">
        <f t="shared" si="166"/>
        <v>0</v>
      </c>
      <c r="Z248">
        <f t="shared" si="167"/>
        <v>0</v>
      </c>
      <c r="AA248">
        <f t="shared" si="168"/>
        <v>0</v>
      </c>
      <c r="AB248">
        <f t="shared" si="169"/>
        <v>0</v>
      </c>
      <c r="AC248">
        <f t="shared" si="170"/>
        <v>0</v>
      </c>
      <c r="AD248">
        <f t="shared" si="171"/>
        <v>0</v>
      </c>
      <c r="AE248">
        <f t="shared" si="172"/>
        <v>0</v>
      </c>
      <c r="AF248">
        <f t="shared" si="173"/>
        <v>0</v>
      </c>
      <c r="AG248">
        <f t="shared" si="174"/>
        <v>0</v>
      </c>
      <c r="AH248">
        <f t="shared" si="175"/>
        <v>0</v>
      </c>
      <c r="AI248">
        <f t="shared" si="176"/>
        <v>0</v>
      </c>
      <c r="AJ248">
        <f t="shared" si="177"/>
        <v>0</v>
      </c>
      <c r="AK248">
        <f t="shared" si="178"/>
        <v>0</v>
      </c>
      <c r="AL248">
        <f t="shared" si="179"/>
        <v>0</v>
      </c>
      <c r="AM248">
        <f t="shared" si="180"/>
        <v>0</v>
      </c>
      <c r="AN248">
        <f t="shared" si="181"/>
        <v>0</v>
      </c>
      <c r="AO248">
        <f t="shared" si="182"/>
        <v>0</v>
      </c>
      <c r="AP248">
        <f t="shared" si="183"/>
        <v>0</v>
      </c>
      <c r="AQ248">
        <f t="shared" si="184"/>
        <v>0</v>
      </c>
      <c r="AR248">
        <f t="shared" si="185"/>
        <v>0</v>
      </c>
      <c r="AS248">
        <f t="shared" si="186"/>
        <v>0</v>
      </c>
      <c r="AT248">
        <f t="shared" si="187"/>
        <v>0</v>
      </c>
      <c r="AU248">
        <f t="shared" si="188"/>
        <v>0</v>
      </c>
      <c r="AV248">
        <f t="shared" si="189"/>
        <v>0</v>
      </c>
      <c r="AW248">
        <f t="shared" si="144"/>
        <v>0</v>
      </c>
      <c r="AX248">
        <f t="shared" si="190"/>
        <v>0</v>
      </c>
      <c r="AY248">
        <f t="shared" si="191"/>
        <v>0</v>
      </c>
    </row>
    <row r="249" spans="1:51" x14ac:dyDescent="0.35">
      <c r="A249">
        <v>243</v>
      </c>
      <c r="C249">
        <f>MAX(0,Calc!$C$7-SUM(D249:R249))</f>
        <v>750</v>
      </c>
      <c r="D249">
        <f t="shared" si="145"/>
        <v>0</v>
      </c>
      <c r="E249">
        <f t="shared" si="146"/>
        <v>0</v>
      </c>
      <c r="F249">
        <f t="shared" si="147"/>
        <v>0</v>
      </c>
      <c r="G249">
        <f t="shared" si="148"/>
        <v>0</v>
      </c>
      <c r="H249">
        <f t="shared" si="149"/>
        <v>0</v>
      </c>
      <c r="I249">
        <f t="shared" si="150"/>
        <v>0</v>
      </c>
      <c r="J249">
        <f t="shared" si="151"/>
        <v>0</v>
      </c>
      <c r="K249">
        <f t="shared" si="152"/>
        <v>0</v>
      </c>
      <c r="L249">
        <f t="shared" si="153"/>
        <v>0</v>
      </c>
      <c r="M249">
        <f t="shared" si="154"/>
        <v>0</v>
      </c>
      <c r="N249">
        <f t="shared" si="155"/>
        <v>0</v>
      </c>
      <c r="O249">
        <f t="shared" si="156"/>
        <v>0</v>
      </c>
      <c r="P249">
        <f t="shared" si="157"/>
        <v>0</v>
      </c>
      <c r="Q249">
        <f t="shared" si="158"/>
        <v>0</v>
      </c>
      <c r="R249">
        <f t="shared" si="159"/>
        <v>0</v>
      </c>
      <c r="S249">
        <f t="shared" si="160"/>
        <v>0</v>
      </c>
      <c r="T249">
        <f t="shared" si="161"/>
        <v>0</v>
      </c>
      <c r="U249">
        <f t="shared" si="162"/>
        <v>0</v>
      </c>
      <c r="V249">
        <f t="shared" si="163"/>
        <v>0</v>
      </c>
      <c r="W249">
        <f t="shared" si="164"/>
        <v>0</v>
      </c>
      <c r="X249">
        <f t="shared" si="165"/>
        <v>0</v>
      </c>
      <c r="Y249">
        <f t="shared" si="166"/>
        <v>0</v>
      </c>
      <c r="Z249">
        <f t="shared" si="167"/>
        <v>0</v>
      </c>
      <c r="AA249">
        <f t="shared" si="168"/>
        <v>0</v>
      </c>
      <c r="AB249">
        <f t="shared" si="169"/>
        <v>0</v>
      </c>
      <c r="AC249">
        <f t="shared" si="170"/>
        <v>0</v>
      </c>
      <c r="AD249">
        <f t="shared" si="171"/>
        <v>0</v>
      </c>
      <c r="AE249">
        <f t="shared" si="172"/>
        <v>0</v>
      </c>
      <c r="AF249">
        <f t="shared" si="173"/>
        <v>0</v>
      </c>
      <c r="AG249">
        <f t="shared" si="174"/>
        <v>0</v>
      </c>
      <c r="AH249">
        <f t="shared" si="175"/>
        <v>0</v>
      </c>
      <c r="AI249">
        <f t="shared" si="176"/>
        <v>0</v>
      </c>
      <c r="AJ249">
        <f t="shared" si="177"/>
        <v>0</v>
      </c>
      <c r="AK249">
        <f t="shared" si="178"/>
        <v>0</v>
      </c>
      <c r="AL249">
        <f t="shared" si="179"/>
        <v>0</v>
      </c>
      <c r="AM249">
        <f t="shared" si="180"/>
        <v>0</v>
      </c>
      <c r="AN249">
        <f t="shared" si="181"/>
        <v>0</v>
      </c>
      <c r="AO249">
        <f t="shared" si="182"/>
        <v>0</v>
      </c>
      <c r="AP249">
        <f t="shared" si="183"/>
        <v>0</v>
      </c>
      <c r="AQ249">
        <f t="shared" si="184"/>
        <v>0</v>
      </c>
      <c r="AR249">
        <f t="shared" si="185"/>
        <v>0</v>
      </c>
      <c r="AS249">
        <f t="shared" si="186"/>
        <v>0</v>
      </c>
      <c r="AT249">
        <f t="shared" si="187"/>
        <v>0</v>
      </c>
      <c r="AU249">
        <f t="shared" si="188"/>
        <v>0</v>
      </c>
      <c r="AV249">
        <f t="shared" si="189"/>
        <v>0</v>
      </c>
      <c r="AW249">
        <f t="shared" si="144"/>
        <v>0</v>
      </c>
      <c r="AX249">
        <f t="shared" si="190"/>
        <v>0</v>
      </c>
      <c r="AY249">
        <f t="shared" si="191"/>
        <v>0</v>
      </c>
    </row>
    <row r="250" spans="1:51" x14ac:dyDescent="0.35">
      <c r="A250">
        <v>244</v>
      </c>
      <c r="C250">
        <f>MAX(0,Calc!$C$7-SUM(D250:R250))</f>
        <v>750</v>
      </c>
      <c r="D250">
        <f t="shared" si="145"/>
        <v>0</v>
      </c>
      <c r="E250">
        <f t="shared" si="146"/>
        <v>0</v>
      </c>
      <c r="F250">
        <f t="shared" si="147"/>
        <v>0</v>
      </c>
      <c r="G250">
        <f t="shared" si="148"/>
        <v>0</v>
      </c>
      <c r="H250">
        <f t="shared" si="149"/>
        <v>0</v>
      </c>
      <c r="I250">
        <f t="shared" si="150"/>
        <v>0</v>
      </c>
      <c r="J250">
        <f t="shared" si="151"/>
        <v>0</v>
      </c>
      <c r="K250">
        <f t="shared" si="152"/>
        <v>0</v>
      </c>
      <c r="L250">
        <f t="shared" si="153"/>
        <v>0</v>
      </c>
      <c r="M250">
        <f t="shared" si="154"/>
        <v>0</v>
      </c>
      <c r="N250">
        <f t="shared" si="155"/>
        <v>0</v>
      </c>
      <c r="O250">
        <f t="shared" si="156"/>
        <v>0</v>
      </c>
      <c r="P250">
        <f t="shared" si="157"/>
        <v>0</v>
      </c>
      <c r="Q250">
        <f t="shared" si="158"/>
        <v>0</v>
      </c>
      <c r="R250">
        <f t="shared" si="159"/>
        <v>0</v>
      </c>
      <c r="S250">
        <f t="shared" si="160"/>
        <v>0</v>
      </c>
      <c r="T250">
        <f t="shared" si="161"/>
        <v>0</v>
      </c>
      <c r="U250">
        <f t="shared" si="162"/>
        <v>0</v>
      </c>
      <c r="V250">
        <f t="shared" si="163"/>
        <v>0</v>
      </c>
      <c r="W250">
        <f t="shared" si="164"/>
        <v>0</v>
      </c>
      <c r="X250">
        <f t="shared" si="165"/>
        <v>0</v>
      </c>
      <c r="Y250">
        <f t="shared" si="166"/>
        <v>0</v>
      </c>
      <c r="Z250">
        <f t="shared" si="167"/>
        <v>0</v>
      </c>
      <c r="AA250">
        <f t="shared" si="168"/>
        <v>0</v>
      </c>
      <c r="AB250">
        <f t="shared" si="169"/>
        <v>0</v>
      </c>
      <c r="AC250">
        <f t="shared" si="170"/>
        <v>0</v>
      </c>
      <c r="AD250">
        <f t="shared" si="171"/>
        <v>0</v>
      </c>
      <c r="AE250">
        <f t="shared" si="172"/>
        <v>0</v>
      </c>
      <c r="AF250">
        <f t="shared" si="173"/>
        <v>0</v>
      </c>
      <c r="AG250">
        <f t="shared" si="174"/>
        <v>0</v>
      </c>
      <c r="AH250">
        <f t="shared" si="175"/>
        <v>0</v>
      </c>
      <c r="AI250">
        <f t="shared" si="176"/>
        <v>0</v>
      </c>
      <c r="AJ250">
        <f t="shared" si="177"/>
        <v>0</v>
      </c>
      <c r="AK250">
        <f t="shared" si="178"/>
        <v>0</v>
      </c>
      <c r="AL250">
        <f t="shared" si="179"/>
        <v>0</v>
      </c>
      <c r="AM250">
        <f t="shared" si="180"/>
        <v>0</v>
      </c>
      <c r="AN250">
        <f t="shared" si="181"/>
        <v>0</v>
      </c>
      <c r="AO250">
        <f t="shared" si="182"/>
        <v>0</v>
      </c>
      <c r="AP250">
        <f t="shared" si="183"/>
        <v>0</v>
      </c>
      <c r="AQ250">
        <f t="shared" si="184"/>
        <v>0</v>
      </c>
      <c r="AR250">
        <f t="shared" si="185"/>
        <v>0</v>
      </c>
      <c r="AS250">
        <f t="shared" si="186"/>
        <v>0</v>
      </c>
      <c r="AT250">
        <f t="shared" si="187"/>
        <v>0</v>
      </c>
      <c r="AU250">
        <f t="shared" si="188"/>
        <v>0</v>
      </c>
      <c r="AV250">
        <f t="shared" si="189"/>
        <v>0</v>
      </c>
      <c r="AW250">
        <f t="shared" si="144"/>
        <v>0</v>
      </c>
      <c r="AX250">
        <f t="shared" si="190"/>
        <v>0</v>
      </c>
      <c r="AY250">
        <f t="shared" si="191"/>
        <v>0</v>
      </c>
    </row>
    <row r="251" spans="1:51" x14ac:dyDescent="0.35">
      <c r="A251">
        <v>245</v>
      </c>
      <c r="C251">
        <f>MAX(0,Calc!$C$7-SUM(D251:R251))</f>
        <v>750</v>
      </c>
      <c r="D251">
        <f t="shared" si="145"/>
        <v>0</v>
      </c>
      <c r="E251">
        <f t="shared" si="146"/>
        <v>0</v>
      </c>
      <c r="F251">
        <f t="shared" si="147"/>
        <v>0</v>
      </c>
      <c r="G251">
        <f t="shared" si="148"/>
        <v>0</v>
      </c>
      <c r="H251">
        <f t="shared" si="149"/>
        <v>0</v>
      </c>
      <c r="I251">
        <f t="shared" si="150"/>
        <v>0</v>
      </c>
      <c r="J251">
        <f t="shared" si="151"/>
        <v>0</v>
      </c>
      <c r="K251">
        <f t="shared" si="152"/>
        <v>0</v>
      </c>
      <c r="L251">
        <f t="shared" si="153"/>
        <v>0</v>
      </c>
      <c r="M251">
        <f t="shared" si="154"/>
        <v>0</v>
      </c>
      <c r="N251">
        <f t="shared" si="155"/>
        <v>0</v>
      </c>
      <c r="O251">
        <f t="shared" si="156"/>
        <v>0</v>
      </c>
      <c r="P251">
        <f t="shared" si="157"/>
        <v>0</v>
      </c>
      <c r="Q251">
        <f t="shared" si="158"/>
        <v>0</v>
      </c>
      <c r="R251">
        <f t="shared" si="159"/>
        <v>0</v>
      </c>
      <c r="S251">
        <f t="shared" si="160"/>
        <v>0</v>
      </c>
      <c r="T251">
        <f t="shared" si="161"/>
        <v>0</v>
      </c>
      <c r="U251">
        <f t="shared" si="162"/>
        <v>0</v>
      </c>
      <c r="V251">
        <f t="shared" si="163"/>
        <v>0</v>
      </c>
      <c r="W251">
        <f t="shared" si="164"/>
        <v>0</v>
      </c>
      <c r="X251">
        <f t="shared" si="165"/>
        <v>0</v>
      </c>
      <c r="Y251">
        <f t="shared" si="166"/>
        <v>0</v>
      </c>
      <c r="Z251">
        <f t="shared" si="167"/>
        <v>0</v>
      </c>
      <c r="AA251">
        <f t="shared" si="168"/>
        <v>0</v>
      </c>
      <c r="AB251">
        <f t="shared" si="169"/>
        <v>0</v>
      </c>
      <c r="AC251">
        <f t="shared" si="170"/>
        <v>0</v>
      </c>
      <c r="AD251">
        <f t="shared" si="171"/>
        <v>0</v>
      </c>
      <c r="AE251">
        <f t="shared" si="172"/>
        <v>0</v>
      </c>
      <c r="AF251">
        <f t="shared" si="173"/>
        <v>0</v>
      </c>
      <c r="AG251">
        <f t="shared" si="174"/>
        <v>0</v>
      </c>
      <c r="AH251">
        <f t="shared" si="175"/>
        <v>0</v>
      </c>
      <c r="AI251">
        <f t="shared" si="176"/>
        <v>0</v>
      </c>
      <c r="AJ251">
        <f t="shared" si="177"/>
        <v>0</v>
      </c>
      <c r="AK251">
        <f t="shared" si="178"/>
        <v>0</v>
      </c>
      <c r="AL251">
        <f t="shared" si="179"/>
        <v>0</v>
      </c>
      <c r="AM251">
        <f t="shared" si="180"/>
        <v>0</v>
      </c>
      <c r="AN251">
        <f t="shared" si="181"/>
        <v>0</v>
      </c>
      <c r="AO251">
        <f t="shared" si="182"/>
        <v>0</v>
      </c>
      <c r="AP251">
        <f t="shared" si="183"/>
        <v>0</v>
      </c>
      <c r="AQ251">
        <f t="shared" si="184"/>
        <v>0</v>
      </c>
      <c r="AR251">
        <f t="shared" si="185"/>
        <v>0</v>
      </c>
      <c r="AS251">
        <f t="shared" si="186"/>
        <v>0</v>
      </c>
      <c r="AT251">
        <f t="shared" si="187"/>
        <v>0</v>
      </c>
      <c r="AU251">
        <f t="shared" si="188"/>
        <v>0</v>
      </c>
      <c r="AV251">
        <f t="shared" si="189"/>
        <v>0</v>
      </c>
      <c r="AW251">
        <f t="shared" si="144"/>
        <v>0</v>
      </c>
      <c r="AX251">
        <f t="shared" si="190"/>
        <v>0</v>
      </c>
      <c r="AY251">
        <f t="shared" si="191"/>
        <v>0</v>
      </c>
    </row>
    <row r="252" spans="1:51" x14ac:dyDescent="0.35">
      <c r="A252">
        <v>246</v>
      </c>
      <c r="C252">
        <f>MAX(0,Calc!$C$7-SUM(D252:R252))</f>
        <v>750</v>
      </c>
      <c r="D252">
        <f t="shared" si="145"/>
        <v>0</v>
      </c>
      <c r="E252">
        <f t="shared" si="146"/>
        <v>0</v>
      </c>
      <c r="F252">
        <f t="shared" si="147"/>
        <v>0</v>
      </c>
      <c r="G252">
        <f t="shared" si="148"/>
        <v>0</v>
      </c>
      <c r="H252">
        <f t="shared" si="149"/>
        <v>0</v>
      </c>
      <c r="I252">
        <f t="shared" si="150"/>
        <v>0</v>
      </c>
      <c r="J252">
        <f t="shared" si="151"/>
        <v>0</v>
      </c>
      <c r="K252">
        <f t="shared" si="152"/>
        <v>0</v>
      </c>
      <c r="L252">
        <f t="shared" si="153"/>
        <v>0</v>
      </c>
      <c r="M252">
        <f t="shared" si="154"/>
        <v>0</v>
      </c>
      <c r="N252">
        <f t="shared" si="155"/>
        <v>0</v>
      </c>
      <c r="O252">
        <f t="shared" si="156"/>
        <v>0</v>
      </c>
      <c r="P252">
        <f t="shared" si="157"/>
        <v>0</v>
      </c>
      <c r="Q252">
        <f t="shared" si="158"/>
        <v>0</v>
      </c>
      <c r="R252">
        <f t="shared" si="159"/>
        <v>0</v>
      </c>
      <c r="S252">
        <f t="shared" si="160"/>
        <v>0</v>
      </c>
      <c r="T252">
        <f t="shared" si="161"/>
        <v>0</v>
      </c>
      <c r="U252">
        <f t="shared" si="162"/>
        <v>0</v>
      </c>
      <c r="V252">
        <f t="shared" si="163"/>
        <v>0</v>
      </c>
      <c r="W252">
        <f t="shared" si="164"/>
        <v>0</v>
      </c>
      <c r="X252">
        <f t="shared" si="165"/>
        <v>0</v>
      </c>
      <c r="Y252">
        <f t="shared" si="166"/>
        <v>0</v>
      </c>
      <c r="Z252">
        <f t="shared" si="167"/>
        <v>0</v>
      </c>
      <c r="AA252">
        <f t="shared" si="168"/>
        <v>0</v>
      </c>
      <c r="AB252">
        <f t="shared" si="169"/>
        <v>0</v>
      </c>
      <c r="AC252">
        <f t="shared" si="170"/>
        <v>0</v>
      </c>
      <c r="AD252">
        <f t="shared" si="171"/>
        <v>0</v>
      </c>
      <c r="AE252">
        <f t="shared" si="172"/>
        <v>0</v>
      </c>
      <c r="AF252">
        <f t="shared" si="173"/>
        <v>0</v>
      </c>
      <c r="AG252">
        <f t="shared" si="174"/>
        <v>0</v>
      </c>
      <c r="AH252">
        <f t="shared" si="175"/>
        <v>0</v>
      </c>
      <c r="AI252">
        <f t="shared" si="176"/>
        <v>0</v>
      </c>
      <c r="AJ252">
        <f t="shared" si="177"/>
        <v>0</v>
      </c>
      <c r="AK252">
        <f t="shared" si="178"/>
        <v>0</v>
      </c>
      <c r="AL252">
        <f t="shared" si="179"/>
        <v>0</v>
      </c>
      <c r="AM252">
        <f t="shared" si="180"/>
        <v>0</v>
      </c>
      <c r="AN252">
        <f t="shared" si="181"/>
        <v>0</v>
      </c>
      <c r="AO252">
        <f t="shared" si="182"/>
        <v>0</v>
      </c>
      <c r="AP252">
        <f t="shared" si="183"/>
        <v>0</v>
      </c>
      <c r="AQ252">
        <f t="shared" si="184"/>
        <v>0</v>
      </c>
      <c r="AR252">
        <f t="shared" si="185"/>
        <v>0</v>
      </c>
      <c r="AS252">
        <f t="shared" si="186"/>
        <v>0</v>
      </c>
      <c r="AT252">
        <f t="shared" si="187"/>
        <v>0</v>
      </c>
      <c r="AU252">
        <f t="shared" si="188"/>
        <v>0</v>
      </c>
      <c r="AV252">
        <f t="shared" si="189"/>
        <v>0</v>
      </c>
      <c r="AW252">
        <f t="shared" si="144"/>
        <v>0</v>
      </c>
      <c r="AX252">
        <f t="shared" si="190"/>
        <v>0</v>
      </c>
      <c r="AY252">
        <f t="shared" si="191"/>
        <v>0</v>
      </c>
    </row>
    <row r="253" spans="1:51" x14ac:dyDescent="0.35">
      <c r="A253">
        <v>247</v>
      </c>
      <c r="C253">
        <f>MAX(0,Calc!$C$7-SUM(D253:R253))</f>
        <v>750</v>
      </c>
      <c r="D253">
        <f t="shared" si="145"/>
        <v>0</v>
      </c>
      <c r="E253">
        <f t="shared" si="146"/>
        <v>0</v>
      </c>
      <c r="F253">
        <f t="shared" si="147"/>
        <v>0</v>
      </c>
      <c r="G253">
        <f t="shared" si="148"/>
        <v>0</v>
      </c>
      <c r="H253">
        <f t="shared" si="149"/>
        <v>0</v>
      </c>
      <c r="I253">
        <f t="shared" si="150"/>
        <v>0</v>
      </c>
      <c r="J253">
        <f t="shared" si="151"/>
        <v>0</v>
      </c>
      <c r="K253">
        <f t="shared" si="152"/>
        <v>0</v>
      </c>
      <c r="L253">
        <f t="shared" si="153"/>
        <v>0</v>
      </c>
      <c r="M253">
        <f t="shared" si="154"/>
        <v>0</v>
      </c>
      <c r="N253">
        <f t="shared" si="155"/>
        <v>0</v>
      </c>
      <c r="O253">
        <f t="shared" si="156"/>
        <v>0</v>
      </c>
      <c r="P253">
        <f t="shared" si="157"/>
        <v>0</v>
      </c>
      <c r="Q253">
        <f t="shared" si="158"/>
        <v>0</v>
      </c>
      <c r="R253">
        <f t="shared" si="159"/>
        <v>0</v>
      </c>
      <c r="S253">
        <f t="shared" si="160"/>
        <v>0</v>
      </c>
      <c r="T253">
        <f t="shared" si="161"/>
        <v>0</v>
      </c>
      <c r="U253">
        <f t="shared" si="162"/>
        <v>0</v>
      </c>
      <c r="V253">
        <f t="shared" si="163"/>
        <v>0</v>
      </c>
      <c r="W253">
        <f t="shared" si="164"/>
        <v>0</v>
      </c>
      <c r="X253">
        <f t="shared" si="165"/>
        <v>0</v>
      </c>
      <c r="Y253">
        <f t="shared" si="166"/>
        <v>0</v>
      </c>
      <c r="Z253">
        <f t="shared" si="167"/>
        <v>0</v>
      </c>
      <c r="AA253">
        <f t="shared" si="168"/>
        <v>0</v>
      </c>
      <c r="AB253">
        <f t="shared" si="169"/>
        <v>0</v>
      </c>
      <c r="AC253">
        <f t="shared" si="170"/>
        <v>0</v>
      </c>
      <c r="AD253">
        <f t="shared" si="171"/>
        <v>0</v>
      </c>
      <c r="AE253">
        <f t="shared" si="172"/>
        <v>0</v>
      </c>
      <c r="AF253">
        <f t="shared" si="173"/>
        <v>0</v>
      </c>
      <c r="AG253">
        <f t="shared" si="174"/>
        <v>0</v>
      </c>
      <c r="AH253">
        <f t="shared" si="175"/>
        <v>0</v>
      </c>
      <c r="AI253">
        <f t="shared" si="176"/>
        <v>0</v>
      </c>
      <c r="AJ253">
        <f t="shared" si="177"/>
        <v>0</v>
      </c>
      <c r="AK253">
        <f t="shared" si="178"/>
        <v>0</v>
      </c>
      <c r="AL253">
        <f t="shared" si="179"/>
        <v>0</v>
      </c>
      <c r="AM253">
        <f t="shared" si="180"/>
        <v>0</v>
      </c>
      <c r="AN253">
        <f t="shared" si="181"/>
        <v>0</v>
      </c>
      <c r="AO253">
        <f t="shared" si="182"/>
        <v>0</v>
      </c>
      <c r="AP253">
        <f t="shared" si="183"/>
        <v>0</v>
      </c>
      <c r="AQ253">
        <f t="shared" si="184"/>
        <v>0</v>
      </c>
      <c r="AR253">
        <f t="shared" si="185"/>
        <v>0</v>
      </c>
      <c r="AS253">
        <f t="shared" si="186"/>
        <v>0</v>
      </c>
      <c r="AT253">
        <f t="shared" si="187"/>
        <v>0</v>
      </c>
      <c r="AU253">
        <f t="shared" si="188"/>
        <v>0</v>
      </c>
      <c r="AV253">
        <f t="shared" si="189"/>
        <v>0</v>
      </c>
      <c r="AW253">
        <f t="shared" si="144"/>
        <v>0</v>
      </c>
      <c r="AX253">
        <f t="shared" si="190"/>
        <v>0</v>
      </c>
      <c r="AY253">
        <f t="shared" si="191"/>
        <v>0</v>
      </c>
    </row>
    <row r="254" spans="1:51" x14ac:dyDescent="0.35">
      <c r="A254">
        <v>248</v>
      </c>
      <c r="C254">
        <f>MAX(0,Calc!$C$7-SUM(D254:R254))</f>
        <v>750</v>
      </c>
      <c r="D254">
        <f t="shared" si="145"/>
        <v>0</v>
      </c>
      <c r="E254">
        <f t="shared" si="146"/>
        <v>0</v>
      </c>
      <c r="F254">
        <f t="shared" si="147"/>
        <v>0</v>
      </c>
      <c r="G254">
        <f t="shared" si="148"/>
        <v>0</v>
      </c>
      <c r="H254">
        <f t="shared" si="149"/>
        <v>0</v>
      </c>
      <c r="I254">
        <f t="shared" si="150"/>
        <v>0</v>
      </c>
      <c r="J254">
        <f t="shared" si="151"/>
        <v>0</v>
      </c>
      <c r="K254">
        <f t="shared" si="152"/>
        <v>0</v>
      </c>
      <c r="L254">
        <f t="shared" si="153"/>
        <v>0</v>
      </c>
      <c r="M254">
        <f t="shared" si="154"/>
        <v>0</v>
      </c>
      <c r="N254">
        <f t="shared" si="155"/>
        <v>0</v>
      </c>
      <c r="O254">
        <f t="shared" si="156"/>
        <v>0</v>
      </c>
      <c r="P254">
        <f t="shared" si="157"/>
        <v>0</v>
      </c>
      <c r="Q254">
        <f t="shared" si="158"/>
        <v>0</v>
      </c>
      <c r="R254">
        <f t="shared" si="159"/>
        <v>0</v>
      </c>
      <c r="S254">
        <f t="shared" si="160"/>
        <v>0</v>
      </c>
      <c r="T254">
        <f t="shared" si="161"/>
        <v>0</v>
      </c>
      <c r="U254">
        <f t="shared" si="162"/>
        <v>0</v>
      </c>
      <c r="V254">
        <f t="shared" si="163"/>
        <v>0</v>
      </c>
      <c r="W254">
        <f t="shared" si="164"/>
        <v>0</v>
      </c>
      <c r="X254">
        <f t="shared" si="165"/>
        <v>0</v>
      </c>
      <c r="Y254">
        <f t="shared" si="166"/>
        <v>0</v>
      </c>
      <c r="Z254">
        <f t="shared" si="167"/>
        <v>0</v>
      </c>
      <c r="AA254">
        <f t="shared" si="168"/>
        <v>0</v>
      </c>
      <c r="AB254">
        <f t="shared" si="169"/>
        <v>0</v>
      </c>
      <c r="AC254">
        <f t="shared" si="170"/>
        <v>0</v>
      </c>
      <c r="AD254">
        <f t="shared" si="171"/>
        <v>0</v>
      </c>
      <c r="AE254">
        <f t="shared" si="172"/>
        <v>0</v>
      </c>
      <c r="AF254">
        <f t="shared" si="173"/>
        <v>0</v>
      </c>
      <c r="AG254">
        <f t="shared" si="174"/>
        <v>0</v>
      </c>
      <c r="AH254">
        <f t="shared" si="175"/>
        <v>0</v>
      </c>
      <c r="AI254">
        <f t="shared" si="176"/>
        <v>0</v>
      </c>
      <c r="AJ254">
        <f t="shared" si="177"/>
        <v>0</v>
      </c>
      <c r="AK254">
        <f t="shared" si="178"/>
        <v>0</v>
      </c>
      <c r="AL254">
        <f t="shared" si="179"/>
        <v>0</v>
      </c>
      <c r="AM254">
        <f t="shared" si="180"/>
        <v>0</v>
      </c>
      <c r="AN254">
        <f t="shared" si="181"/>
        <v>0</v>
      </c>
      <c r="AO254">
        <f t="shared" si="182"/>
        <v>0</v>
      </c>
      <c r="AP254">
        <f t="shared" si="183"/>
        <v>0</v>
      </c>
      <c r="AQ254">
        <f t="shared" si="184"/>
        <v>0</v>
      </c>
      <c r="AR254">
        <f t="shared" si="185"/>
        <v>0</v>
      </c>
      <c r="AS254">
        <f t="shared" si="186"/>
        <v>0</v>
      </c>
      <c r="AT254">
        <f t="shared" si="187"/>
        <v>0</v>
      </c>
      <c r="AU254">
        <f t="shared" si="188"/>
        <v>0</v>
      </c>
      <c r="AV254">
        <f t="shared" si="189"/>
        <v>0</v>
      </c>
      <c r="AW254">
        <f t="shared" si="144"/>
        <v>0</v>
      </c>
      <c r="AX254">
        <f t="shared" si="190"/>
        <v>0</v>
      </c>
      <c r="AY254">
        <f t="shared" si="191"/>
        <v>0</v>
      </c>
    </row>
    <row r="255" spans="1:51" x14ac:dyDescent="0.35">
      <c r="A255">
        <v>249</v>
      </c>
      <c r="C255">
        <f>MAX(0,Calc!$C$7-SUM(D255:R255))</f>
        <v>750</v>
      </c>
      <c r="D255">
        <f t="shared" si="145"/>
        <v>0</v>
      </c>
      <c r="E255">
        <f t="shared" si="146"/>
        <v>0</v>
      </c>
      <c r="F255">
        <f t="shared" si="147"/>
        <v>0</v>
      </c>
      <c r="G255">
        <f t="shared" si="148"/>
        <v>0</v>
      </c>
      <c r="H255">
        <f t="shared" si="149"/>
        <v>0</v>
      </c>
      <c r="I255">
        <f t="shared" si="150"/>
        <v>0</v>
      </c>
      <c r="J255">
        <f t="shared" si="151"/>
        <v>0</v>
      </c>
      <c r="K255">
        <f t="shared" si="152"/>
        <v>0</v>
      </c>
      <c r="L255">
        <f t="shared" si="153"/>
        <v>0</v>
      </c>
      <c r="M255">
        <f t="shared" si="154"/>
        <v>0</v>
      </c>
      <c r="N255">
        <f t="shared" si="155"/>
        <v>0</v>
      </c>
      <c r="O255">
        <f t="shared" si="156"/>
        <v>0</v>
      </c>
      <c r="P255">
        <f t="shared" si="157"/>
        <v>0</v>
      </c>
      <c r="Q255">
        <f t="shared" si="158"/>
        <v>0</v>
      </c>
      <c r="R255">
        <f t="shared" si="159"/>
        <v>0</v>
      </c>
      <c r="S255">
        <f t="shared" si="160"/>
        <v>0</v>
      </c>
      <c r="T255">
        <f t="shared" si="161"/>
        <v>0</v>
      </c>
      <c r="U255">
        <f t="shared" si="162"/>
        <v>0</v>
      </c>
      <c r="V255">
        <f t="shared" si="163"/>
        <v>0</v>
      </c>
      <c r="W255">
        <f t="shared" si="164"/>
        <v>0</v>
      </c>
      <c r="X255">
        <f t="shared" si="165"/>
        <v>0</v>
      </c>
      <c r="Y255">
        <f t="shared" si="166"/>
        <v>0</v>
      </c>
      <c r="Z255">
        <f t="shared" si="167"/>
        <v>0</v>
      </c>
      <c r="AA255">
        <f t="shared" si="168"/>
        <v>0</v>
      </c>
      <c r="AB255">
        <f t="shared" si="169"/>
        <v>0</v>
      </c>
      <c r="AC255">
        <f t="shared" si="170"/>
        <v>0</v>
      </c>
      <c r="AD255">
        <f t="shared" si="171"/>
        <v>0</v>
      </c>
      <c r="AE255">
        <f t="shared" si="172"/>
        <v>0</v>
      </c>
      <c r="AF255">
        <f t="shared" si="173"/>
        <v>0</v>
      </c>
      <c r="AG255">
        <f t="shared" si="174"/>
        <v>0</v>
      </c>
      <c r="AH255">
        <f t="shared" si="175"/>
        <v>0</v>
      </c>
      <c r="AI255">
        <f t="shared" si="176"/>
        <v>0</v>
      </c>
      <c r="AJ255">
        <f t="shared" si="177"/>
        <v>0</v>
      </c>
      <c r="AK255">
        <f t="shared" si="178"/>
        <v>0</v>
      </c>
      <c r="AL255">
        <f t="shared" si="179"/>
        <v>0</v>
      </c>
      <c r="AM255">
        <f t="shared" si="180"/>
        <v>0</v>
      </c>
      <c r="AN255">
        <f t="shared" si="181"/>
        <v>0</v>
      </c>
      <c r="AO255">
        <f t="shared" si="182"/>
        <v>0</v>
      </c>
      <c r="AP255">
        <f t="shared" si="183"/>
        <v>0</v>
      </c>
      <c r="AQ255">
        <f t="shared" si="184"/>
        <v>0</v>
      </c>
      <c r="AR255">
        <f t="shared" si="185"/>
        <v>0</v>
      </c>
      <c r="AS255">
        <f t="shared" si="186"/>
        <v>0</v>
      </c>
      <c r="AT255">
        <f t="shared" si="187"/>
        <v>0</v>
      </c>
      <c r="AU255">
        <f t="shared" si="188"/>
        <v>0</v>
      </c>
      <c r="AV255">
        <f t="shared" si="189"/>
        <v>0</v>
      </c>
      <c r="AW255">
        <f t="shared" si="144"/>
        <v>0</v>
      </c>
      <c r="AX255">
        <f t="shared" si="190"/>
        <v>0</v>
      </c>
      <c r="AY255">
        <f t="shared" si="191"/>
        <v>0</v>
      </c>
    </row>
    <row r="256" spans="1:51" x14ac:dyDescent="0.35">
      <c r="A256">
        <v>250</v>
      </c>
      <c r="C256">
        <f>MAX(0,Calc!$C$7-SUM(D256:R256))</f>
        <v>750</v>
      </c>
      <c r="D256">
        <f t="shared" si="145"/>
        <v>0</v>
      </c>
      <c r="E256">
        <f t="shared" si="146"/>
        <v>0</v>
      </c>
      <c r="F256">
        <f t="shared" si="147"/>
        <v>0</v>
      </c>
      <c r="G256">
        <f t="shared" si="148"/>
        <v>0</v>
      </c>
      <c r="H256">
        <f t="shared" si="149"/>
        <v>0</v>
      </c>
      <c r="I256">
        <f t="shared" si="150"/>
        <v>0</v>
      </c>
      <c r="J256">
        <f t="shared" si="151"/>
        <v>0</v>
      </c>
      <c r="K256">
        <f t="shared" si="152"/>
        <v>0</v>
      </c>
      <c r="L256">
        <f t="shared" si="153"/>
        <v>0</v>
      </c>
      <c r="M256">
        <f t="shared" si="154"/>
        <v>0</v>
      </c>
      <c r="N256">
        <f t="shared" si="155"/>
        <v>0</v>
      </c>
      <c r="O256">
        <f t="shared" si="156"/>
        <v>0</v>
      </c>
      <c r="P256">
        <f t="shared" si="157"/>
        <v>0</v>
      </c>
      <c r="Q256">
        <f t="shared" si="158"/>
        <v>0</v>
      </c>
      <c r="R256">
        <f t="shared" si="159"/>
        <v>0</v>
      </c>
      <c r="S256">
        <f t="shared" si="160"/>
        <v>0</v>
      </c>
      <c r="T256">
        <f t="shared" si="161"/>
        <v>0</v>
      </c>
      <c r="U256">
        <f t="shared" si="162"/>
        <v>0</v>
      </c>
      <c r="V256">
        <f t="shared" si="163"/>
        <v>0</v>
      </c>
      <c r="W256">
        <f t="shared" si="164"/>
        <v>0</v>
      </c>
      <c r="X256">
        <f t="shared" si="165"/>
        <v>0</v>
      </c>
      <c r="Y256">
        <f t="shared" si="166"/>
        <v>0</v>
      </c>
      <c r="Z256">
        <f t="shared" si="167"/>
        <v>0</v>
      </c>
      <c r="AA256">
        <f t="shared" si="168"/>
        <v>0</v>
      </c>
      <c r="AB256">
        <f t="shared" si="169"/>
        <v>0</v>
      </c>
      <c r="AC256">
        <f t="shared" si="170"/>
        <v>0</v>
      </c>
      <c r="AD256">
        <f t="shared" si="171"/>
        <v>0</v>
      </c>
      <c r="AE256">
        <f t="shared" si="172"/>
        <v>0</v>
      </c>
      <c r="AF256">
        <f t="shared" si="173"/>
        <v>0</v>
      </c>
      <c r="AG256">
        <f t="shared" si="174"/>
        <v>0</v>
      </c>
      <c r="AH256">
        <f t="shared" si="175"/>
        <v>0</v>
      </c>
      <c r="AI256">
        <f t="shared" si="176"/>
        <v>0</v>
      </c>
      <c r="AJ256">
        <f t="shared" si="177"/>
        <v>0</v>
      </c>
      <c r="AK256">
        <f t="shared" si="178"/>
        <v>0</v>
      </c>
      <c r="AL256">
        <f t="shared" si="179"/>
        <v>0</v>
      </c>
      <c r="AM256">
        <f t="shared" si="180"/>
        <v>0</v>
      </c>
      <c r="AN256">
        <f t="shared" si="181"/>
        <v>0</v>
      </c>
      <c r="AO256">
        <f t="shared" si="182"/>
        <v>0</v>
      </c>
      <c r="AP256">
        <f t="shared" si="183"/>
        <v>0</v>
      </c>
      <c r="AQ256">
        <f t="shared" si="184"/>
        <v>0</v>
      </c>
      <c r="AR256">
        <f t="shared" si="185"/>
        <v>0</v>
      </c>
      <c r="AS256">
        <f t="shared" si="186"/>
        <v>0</v>
      </c>
      <c r="AT256">
        <f t="shared" si="187"/>
        <v>0</v>
      </c>
      <c r="AU256">
        <f t="shared" si="188"/>
        <v>0</v>
      </c>
      <c r="AV256">
        <f t="shared" si="189"/>
        <v>0</v>
      </c>
      <c r="AW256">
        <f t="shared" si="144"/>
        <v>0</v>
      </c>
      <c r="AX256">
        <f t="shared" si="190"/>
        <v>0</v>
      </c>
      <c r="AY256">
        <f t="shared" si="191"/>
        <v>0</v>
      </c>
    </row>
    <row r="257" spans="1:51" x14ac:dyDescent="0.35">
      <c r="A257">
        <v>251</v>
      </c>
      <c r="C257">
        <f>MAX(0,Calc!$C$7-SUM(D257:R257))</f>
        <v>750</v>
      </c>
      <c r="D257">
        <f t="shared" si="145"/>
        <v>0</v>
      </c>
      <c r="E257">
        <f t="shared" si="146"/>
        <v>0</v>
      </c>
      <c r="F257">
        <f t="shared" si="147"/>
        <v>0</v>
      </c>
      <c r="G257">
        <f t="shared" si="148"/>
        <v>0</v>
      </c>
      <c r="H257">
        <f t="shared" si="149"/>
        <v>0</v>
      </c>
      <c r="I257">
        <f t="shared" si="150"/>
        <v>0</v>
      </c>
      <c r="J257">
        <f t="shared" si="151"/>
        <v>0</v>
      </c>
      <c r="K257">
        <f t="shared" si="152"/>
        <v>0</v>
      </c>
      <c r="L257">
        <f t="shared" si="153"/>
        <v>0</v>
      </c>
      <c r="M257">
        <f t="shared" si="154"/>
        <v>0</v>
      </c>
      <c r="N257">
        <f t="shared" si="155"/>
        <v>0</v>
      </c>
      <c r="O257">
        <f t="shared" si="156"/>
        <v>0</v>
      </c>
      <c r="P257">
        <f t="shared" si="157"/>
        <v>0</v>
      </c>
      <c r="Q257">
        <f t="shared" si="158"/>
        <v>0</v>
      </c>
      <c r="R257">
        <f t="shared" si="159"/>
        <v>0</v>
      </c>
      <c r="S257">
        <f t="shared" si="160"/>
        <v>0</v>
      </c>
      <c r="T257">
        <f t="shared" si="161"/>
        <v>0</v>
      </c>
      <c r="U257">
        <f t="shared" si="162"/>
        <v>0</v>
      </c>
      <c r="V257">
        <f t="shared" si="163"/>
        <v>0</v>
      </c>
      <c r="W257">
        <f t="shared" si="164"/>
        <v>0</v>
      </c>
      <c r="X257">
        <f t="shared" si="165"/>
        <v>0</v>
      </c>
      <c r="Y257">
        <f t="shared" si="166"/>
        <v>0</v>
      </c>
      <c r="Z257">
        <f t="shared" si="167"/>
        <v>0</v>
      </c>
      <c r="AA257">
        <f t="shared" si="168"/>
        <v>0</v>
      </c>
      <c r="AB257">
        <f t="shared" si="169"/>
        <v>0</v>
      </c>
      <c r="AC257">
        <f t="shared" si="170"/>
        <v>0</v>
      </c>
      <c r="AD257">
        <f t="shared" si="171"/>
        <v>0</v>
      </c>
      <c r="AE257">
        <f t="shared" si="172"/>
        <v>0</v>
      </c>
      <c r="AF257">
        <f t="shared" si="173"/>
        <v>0</v>
      </c>
      <c r="AG257">
        <f t="shared" si="174"/>
        <v>0</v>
      </c>
      <c r="AH257">
        <f t="shared" si="175"/>
        <v>0</v>
      </c>
      <c r="AI257">
        <f t="shared" si="176"/>
        <v>0</v>
      </c>
      <c r="AJ257">
        <f t="shared" si="177"/>
        <v>0</v>
      </c>
      <c r="AK257">
        <f t="shared" si="178"/>
        <v>0</v>
      </c>
      <c r="AL257">
        <f t="shared" si="179"/>
        <v>0</v>
      </c>
      <c r="AM257">
        <f t="shared" si="180"/>
        <v>0</v>
      </c>
      <c r="AN257">
        <f t="shared" si="181"/>
        <v>0</v>
      </c>
      <c r="AO257">
        <f t="shared" si="182"/>
        <v>0</v>
      </c>
      <c r="AP257">
        <f t="shared" si="183"/>
        <v>0</v>
      </c>
      <c r="AQ257">
        <f t="shared" si="184"/>
        <v>0</v>
      </c>
      <c r="AR257">
        <f t="shared" si="185"/>
        <v>0</v>
      </c>
      <c r="AS257">
        <f t="shared" si="186"/>
        <v>0</v>
      </c>
      <c r="AT257">
        <f t="shared" si="187"/>
        <v>0</v>
      </c>
      <c r="AU257">
        <f t="shared" si="188"/>
        <v>0</v>
      </c>
      <c r="AV257">
        <f t="shared" si="189"/>
        <v>0</v>
      </c>
      <c r="AW257">
        <f t="shared" si="144"/>
        <v>0</v>
      </c>
      <c r="AX257">
        <f t="shared" si="190"/>
        <v>0</v>
      </c>
      <c r="AY257">
        <f t="shared" si="191"/>
        <v>0</v>
      </c>
    </row>
    <row r="258" spans="1:51" x14ac:dyDescent="0.35">
      <c r="A258">
        <v>252</v>
      </c>
      <c r="C258">
        <f>MAX(0,Calc!$C$7-SUM(D258:R258))</f>
        <v>750</v>
      </c>
      <c r="D258">
        <f t="shared" si="145"/>
        <v>0</v>
      </c>
      <c r="E258">
        <f t="shared" si="146"/>
        <v>0</v>
      </c>
      <c r="F258">
        <f t="shared" si="147"/>
        <v>0</v>
      </c>
      <c r="G258">
        <f t="shared" si="148"/>
        <v>0</v>
      </c>
      <c r="H258">
        <f t="shared" si="149"/>
        <v>0</v>
      </c>
      <c r="I258">
        <f t="shared" si="150"/>
        <v>0</v>
      </c>
      <c r="J258">
        <f t="shared" si="151"/>
        <v>0</v>
      </c>
      <c r="K258">
        <f t="shared" si="152"/>
        <v>0</v>
      </c>
      <c r="L258">
        <f t="shared" si="153"/>
        <v>0</v>
      </c>
      <c r="M258">
        <f t="shared" si="154"/>
        <v>0</v>
      </c>
      <c r="N258">
        <f t="shared" si="155"/>
        <v>0</v>
      </c>
      <c r="O258">
        <f t="shared" si="156"/>
        <v>0</v>
      </c>
      <c r="P258">
        <f t="shared" si="157"/>
        <v>0</v>
      </c>
      <c r="Q258">
        <f t="shared" si="158"/>
        <v>0</v>
      </c>
      <c r="R258">
        <f t="shared" si="159"/>
        <v>0</v>
      </c>
      <c r="S258">
        <f t="shared" si="160"/>
        <v>0</v>
      </c>
      <c r="T258">
        <f t="shared" si="161"/>
        <v>0</v>
      </c>
      <c r="U258">
        <f t="shared" si="162"/>
        <v>0</v>
      </c>
      <c r="V258">
        <f t="shared" si="163"/>
        <v>0</v>
      </c>
      <c r="W258">
        <f t="shared" si="164"/>
        <v>0</v>
      </c>
      <c r="X258">
        <f t="shared" si="165"/>
        <v>0</v>
      </c>
      <c r="Y258">
        <f t="shared" si="166"/>
        <v>0</v>
      </c>
      <c r="Z258">
        <f t="shared" si="167"/>
        <v>0</v>
      </c>
      <c r="AA258">
        <f t="shared" si="168"/>
        <v>0</v>
      </c>
      <c r="AB258">
        <f t="shared" si="169"/>
        <v>0</v>
      </c>
      <c r="AC258">
        <f t="shared" si="170"/>
        <v>0</v>
      </c>
      <c r="AD258">
        <f t="shared" si="171"/>
        <v>0</v>
      </c>
      <c r="AE258">
        <f t="shared" si="172"/>
        <v>0</v>
      </c>
      <c r="AF258">
        <f t="shared" si="173"/>
        <v>0</v>
      </c>
      <c r="AG258">
        <f t="shared" si="174"/>
        <v>0</v>
      </c>
      <c r="AH258">
        <f t="shared" si="175"/>
        <v>0</v>
      </c>
      <c r="AI258">
        <f t="shared" si="176"/>
        <v>0</v>
      </c>
      <c r="AJ258">
        <f t="shared" si="177"/>
        <v>0</v>
      </c>
      <c r="AK258">
        <f t="shared" si="178"/>
        <v>0</v>
      </c>
      <c r="AL258">
        <f t="shared" si="179"/>
        <v>0</v>
      </c>
      <c r="AM258">
        <f t="shared" si="180"/>
        <v>0</v>
      </c>
      <c r="AN258">
        <f t="shared" si="181"/>
        <v>0</v>
      </c>
      <c r="AO258">
        <f t="shared" si="182"/>
        <v>0</v>
      </c>
      <c r="AP258">
        <f t="shared" si="183"/>
        <v>0</v>
      </c>
      <c r="AQ258">
        <f t="shared" si="184"/>
        <v>0</v>
      </c>
      <c r="AR258">
        <f t="shared" si="185"/>
        <v>0</v>
      </c>
      <c r="AS258">
        <f t="shared" si="186"/>
        <v>0</v>
      </c>
      <c r="AT258">
        <f t="shared" si="187"/>
        <v>0</v>
      </c>
      <c r="AU258">
        <f t="shared" si="188"/>
        <v>0</v>
      </c>
      <c r="AV258">
        <f t="shared" si="189"/>
        <v>0</v>
      </c>
      <c r="AW258">
        <f t="shared" si="144"/>
        <v>0</v>
      </c>
      <c r="AX258">
        <f t="shared" si="190"/>
        <v>0</v>
      </c>
      <c r="AY258">
        <f t="shared" si="191"/>
        <v>0</v>
      </c>
    </row>
    <row r="259" spans="1:51" x14ac:dyDescent="0.35">
      <c r="A259">
        <v>253</v>
      </c>
      <c r="C259">
        <f>MAX(0,Calc!$C$7-SUM(D259:R259))</f>
        <v>750</v>
      </c>
      <c r="D259">
        <f t="shared" si="145"/>
        <v>0</v>
      </c>
      <c r="E259">
        <f t="shared" si="146"/>
        <v>0</v>
      </c>
      <c r="F259">
        <f t="shared" si="147"/>
        <v>0</v>
      </c>
      <c r="G259">
        <f t="shared" si="148"/>
        <v>0</v>
      </c>
      <c r="H259">
        <f t="shared" si="149"/>
        <v>0</v>
      </c>
      <c r="I259">
        <f t="shared" si="150"/>
        <v>0</v>
      </c>
      <c r="J259">
        <f t="shared" si="151"/>
        <v>0</v>
      </c>
      <c r="K259">
        <f t="shared" si="152"/>
        <v>0</v>
      </c>
      <c r="L259">
        <f t="shared" si="153"/>
        <v>0</v>
      </c>
      <c r="M259">
        <f t="shared" si="154"/>
        <v>0</v>
      </c>
      <c r="N259">
        <f t="shared" si="155"/>
        <v>0</v>
      </c>
      <c r="O259">
        <f t="shared" si="156"/>
        <v>0</v>
      </c>
      <c r="P259">
        <f t="shared" si="157"/>
        <v>0</v>
      </c>
      <c r="Q259">
        <f t="shared" si="158"/>
        <v>0</v>
      </c>
      <c r="R259">
        <f t="shared" si="159"/>
        <v>0</v>
      </c>
      <c r="S259">
        <f t="shared" si="160"/>
        <v>0</v>
      </c>
      <c r="T259">
        <f t="shared" si="161"/>
        <v>0</v>
      </c>
      <c r="U259">
        <f t="shared" si="162"/>
        <v>0</v>
      </c>
      <c r="V259">
        <f t="shared" si="163"/>
        <v>0</v>
      </c>
      <c r="W259">
        <f t="shared" si="164"/>
        <v>0</v>
      </c>
      <c r="X259">
        <f t="shared" si="165"/>
        <v>0</v>
      </c>
      <c r="Y259">
        <f t="shared" si="166"/>
        <v>0</v>
      </c>
      <c r="Z259">
        <f t="shared" si="167"/>
        <v>0</v>
      </c>
      <c r="AA259">
        <f t="shared" si="168"/>
        <v>0</v>
      </c>
      <c r="AB259">
        <f t="shared" si="169"/>
        <v>0</v>
      </c>
      <c r="AC259">
        <f t="shared" si="170"/>
        <v>0</v>
      </c>
      <c r="AD259">
        <f t="shared" si="171"/>
        <v>0</v>
      </c>
      <c r="AE259">
        <f t="shared" si="172"/>
        <v>0</v>
      </c>
      <c r="AF259">
        <f t="shared" si="173"/>
        <v>0</v>
      </c>
      <c r="AG259">
        <f t="shared" si="174"/>
        <v>0</v>
      </c>
      <c r="AH259">
        <f t="shared" si="175"/>
        <v>0</v>
      </c>
      <c r="AI259">
        <f t="shared" si="176"/>
        <v>0</v>
      </c>
      <c r="AJ259">
        <f t="shared" si="177"/>
        <v>0</v>
      </c>
      <c r="AK259">
        <f t="shared" si="178"/>
        <v>0</v>
      </c>
      <c r="AL259">
        <f t="shared" si="179"/>
        <v>0</v>
      </c>
      <c r="AM259">
        <f t="shared" si="180"/>
        <v>0</v>
      </c>
      <c r="AN259">
        <f t="shared" si="181"/>
        <v>0</v>
      </c>
      <c r="AO259">
        <f t="shared" si="182"/>
        <v>0</v>
      </c>
      <c r="AP259">
        <f t="shared" si="183"/>
        <v>0</v>
      </c>
      <c r="AQ259">
        <f t="shared" si="184"/>
        <v>0</v>
      </c>
      <c r="AR259">
        <f t="shared" si="185"/>
        <v>0</v>
      </c>
      <c r="AS259">
        <f t="shared" si="186"/>
        <v>0</v>
      </c>
      <c r="AT259">
        <f t="shared" si="187"/>
        <v>0</v>
      </c>
      <c r="AU259">
        <f t="shared" si="188"/>
        <v>0</v>
      </c>
      <c r="AV259">
        <f t="shared" si="189"/>
        <v>0</v>
      </c>
      <c r="AW259">
        <f t="shared" si="144"/>
        <v>0</v>
      </c>
      <c r="AX259">
        <f t="shared" si="190"/>
        <v>0</v>
      </c>
      <c r="AY259">
        <f t="shared" si="191"/>
        <v>0</v>
      </c>
    </row>
    <row r="260" spans="1:51" x14ac:dyDescent="0.35">
      <c r="A260">
        <v>254</v>
      </c>
      <c r="C260">
        <f>MAX(0,Calc!$C$7-SUM(D260:R260))</f>
        <v>750</v>
      </c>
      <c r="D260">
        <f t="shared" si="145"/>
        <v>0</v>
      </c>
      <c r="E260">
        <f t="shared" si="146"/>
        <v>0</v>
      </c>
      <c r="F260">
        <f t="shared" si="147"/>
        <v>0</v>
      </c>
      <c r="G260">
        <f t="shared" si="148"/>
        <v>0</v>
      </c>
      <c r="H260">
        <f t="shared" si="149"/>
        <v>0</v>
      </c>
      <c r="I260">
        <f t="shared" si="150"/>
        <v>0</v>
      </c>
      <c r="J260">
        <f t="shared" si="151"/>
        <v>0</v>
      </c>
      <c r="K260">
        <f t="shared" si="152"/>
        <v>0</v>
      </c>
      <c r="L260">
        <f t="shared" si="153"/>
        <v>0</v>
      </c>
      <c r="M260">
        <f t="shared" si="154"/>
        <v>0</v>
      </c>
      <c r="N260">
        <f t="shared" si="155"/>
        <v>0</v>
      </c>
      <c r="O260">
        <f t="shared" si="156"/>
        <v>0</v>
      </c>
      <c r="P260">
        <f t="shared" si="157"/>
        <v>0</v>
      </c>
      <c r="Q260">
        <f t="shared" si="158"/>
        <v>0</v>
      </c>
      <c r="R260">
        <f t="shared" si="159"/>
        <v>0</v>
      </c>
      <c r="S260">
        <f t="shared" si="160"/>
        <v>0</v>
      </c>
      <c r="T260">
        <f t="shared" si="161"/>
        <v>0</v>
      </c>
      <c r="U260">
        <f t="shared" si="162"/>
        <v>0</v>
      </c>
      <c r="V260">
        <f t="shared" si="163"/>
        <v>0</v>
      </c>
      <c r="W260">
        <f t="shared" si="164"/>
        <v>0</v>
      </c>
      <c r="X260">
        <f t="shared" si="165"/>
        <v>0</v>
      </c>
      <c r="Y260">
        <f t="shared" si="166"/>
        <v>0</v>
      </c>
      <c r="Z260">
        <f t="shared" si="167"/>
        <v>0</v>
      </c>
      <c r="AA260">
        <f t="shared" si="168"/>
        <v>0</v>
      </c>
      <c r="AB260">
        <f t="shared" si="169"/>
        <v>0</v>
      </c>
      <c r="AC260">
        <f t="shared" si="170"/>
        <v>0</v>
      </c>
      <c r="AD260">
        <f t="shared" si="171"/>
        <v>0</v>
      </c>
      <c r="AE260">
        <f t="shared" si="172"/>
        <v>0</v>
      </c>
      <c r="AF260">
        <f t="shared" si="173"/>
        <v>0</v>
      </c>
      <c r="AG260">
        <f t="shared" si="174"/>
        <v>0</v>
      </c>
      <c r="AH260">
        <f t="shared" si="175"/>
        <v>0</v>
      </c>
      <c r="AI260">
        <f t="shared" si="176"/>
        <v>0</v>
      </c>
      <c r="AJ260">
        <f t="shared" si="177"/>
        <v>0</v>
      </c>
      <c r="AK260">
        <f t="shared" si="178"/>
        <v>0</v>
      </c>
      <c r="AL260">
        <f t="shared" si="179"/>
        <v>0</v>
      </c>
      <c r="AM260">
        <f t="shared" si="180"/>
        <v>0</v>
      </c>
      <c r="AN260">
        <f t="shared" si="181"/>
        <v>0</v>
      </c>
      <c r="AO260">
        <f t="shared" si="182"/>
        <v>0</v>
      </c>
      <c r="AP260">
        <f t="shared" si="183"/>
        <v>0</v>
      </c>
      <c r="AQ260">
        <f t="shared" si="184"/>
        <v>0</v>
      </c>
      <c r="AR260">
        <f t="shared" si="185"/>
        <v>0</v>
      </c>
      <c r="AS260">
        <f t="shared" si="186"/>
        <v>0</v>
      </c>
      <c r="AT260">
        <f t="shared" si="187"/>
        <v>0</v>
      </c>
      <c r="AU260">
        <f t="shared" si="188"/>
        <v>0</v>
      </c>
      <c r="AV260">
        <f t="shared" si="189"/>
        <v>0</v>
      </c>
      <c r="AW260">
        <f t="shared" si="144"/>
        <v>0</v>
      </c>
      <c r="AX260">
        <f t="shared" si="190"/>
        <v>0</v>
      </c>
      <c r="AY260">
        <f t="shared" si="191"/>
        <v>0</v>
      </c>
    </row>
    <row r="261" spans="1:51" x14ac:dyDescent="0.35">
      <c r="A261">
        <v>255</v>
      </c>
      <c r="C261">
        <f>MAX(0,Calc!$C$7-SUM(D261:R261))</f>
        <v>750</v>
      </c>
      <c r="D261">
        <f t="shared" si="145"/>
        <v>0</v>
      </c>
      <c r="E261">
        <f t="shared" si="146"/>
        <v>0</v>
      </c>
      <c r="F261">
        <f t="shared" si="147"/>
        <v>0</v>
      </c>
      <c r="G261">
        <f t="shared" si="148"/>
        <v>0</v>
      </c>
      <c r="H261">
        <f t="shared" si="149"/>
        <v>0</v>
      </c>
      <c r="I261">
        <f t="shared" si="150"/>
        <v>0</v>
      </c>
      <c r="J261">
        <f t="shared" si="151"/>
        <v>0</v>
      </c>
      <c r="K261">
        <f t="shared" si="152"/>
        <v>0</v>
      </c>
      <c r="L261">
        <f t="shared" si="153"/>
        <v>0</v>
      </c>
      <c r="M261">
        <f t="shared" si="154"/>
        <v>0</v>
      </c>
      <c r="N261">
        <f t="shared" si="155"/>
        <v>0</v>
      </c>
      <c r="O261">
        <f t="shared" si="156"/>
        <v>0</v>
      </c>
      <c r="P261">
        <f t="shared" si="157"/>
        <v>0</v>
      </c>
      <c r="Q261">
        <f t="shared" si="158"/>
        <v>0</v>
      </c>
      <c r="R261">
        <f t="shared" si="159"/>
        <v>0</v>
      </c>
      <c r="S261">
        <f t="shared" si="160"/>
        <v>0</v>
      </c>
      <c r="T261">
        <f t="shared" si="161"/>
        <v>0</v>
      </c>
      <c r="U261">
        <f t="shared" si="162"/>
        <v>0</v>
      </c>
      <c r="V261">
        <f t="shared" si="163"/>
        <v>0</v>
      </c>
      <c r="W261">
        <f t="shared" si="164"/>
        <v>0</v>
      </c>
      <c r="X261">
        <f t="shared" si="165"/>
        <v>0</v>
      </c>
      <c r="Y261">
        <f t="shared" si="166"/>
        <v>0</v>
      </c>
      <c r="Z261">
        <f t="shared" si="167"/>
        <v>0</v>
      </c>
      <c r="AA261">
        <f t="shared" si="168"/>
        <v>0</v>
      </c>
      <c r="AB261">
        <f t="shared" si="169"/>
        <v>0</v>
      </c>
      <c r="AC261">
        <f t="shared" si="170"/>
        <v>0</v>
      </c>
      <c r="AD261">
        <f t="shared" si="171"/>
        <v>0</v>
      </c>
      <c r="AE261">
        <f t="shared" si="172"/>
        <v>0</v>
      </c>
      <c r="AF261">
        <f t="shared" si="173"/>
        <v>0</v>
      </c>
      <c r="AG261">
        <f t="shared" si="174"/>
        <v>0</v>
      </c>
      <c r="AH261">
        <f t="shared" si="175"/>
        <v>0</v>
      </c>
      <c r="AI261">
        <f t="shared" si="176"/>
        <v>0</v>
      </c>
      <c r="AJ261">
        <f t="shared" si="177"/>
        <v>0</v>
      </c>
      <c r="AK261">
        <f t="shared" si="178"/>
        <v>0</v>
      </c>
      <c r="AL261">
        <f t="shared" si="179"/>
        <v>0</v>
      </c>
      <c r="AM261">
        <f t="shared" si="180"/>
        <v>0</v>
      </c>
      <c r="AN261">
        <f t="shared" si="181"/>
        <v>0</v>
      </c>
      <c r="AO261">
        <f t="shared" si="182"/>
        <v>0</v>
      </c>
      <c r="AP261">
        <f t="shared" si="183"/>
        <v>0</v>
      </c>
      <c r="AQ261">
        <f t="shared" si="184"/>
        <v>0</v>
      </c>
      <c r="AR261">
        <f t="shared" si="185"/>
        <v>0</v>
      </c>
      <c r="AS261">
        <f t="shared" si="186"/>
        <v>0</v>
      </c>
      <c r="AT261">
        <f t="shared" si="187"/>
        <v>0</v>
      </c>
      <c r="AU261">
        <f t="shared" si="188"/>
        <v>0</v>
      </c>
      <c r="AV261">
        <f t="shared" si="189"/>
        <v>0</v>
      </c>
      <c r="AW261">
        <f t="shared" si="144"/>
        <v>0</v>
      </c>
      <c r="AX261">
        <f t="shared" si="190"/>
        <v>0</v>
      </c>
      <c r="AY261">
        <f t="shared" si="191"/>
        <v>0</v>
      </c>
    </row>
    <row r="262" spans="1:51" x14ac:dyDescent="0.35">
      <c r="A262">
        <v>256</v>
      </c>
      <c r="C262">
        <f>MAX(0,Calc!$C$7-SUM(D262:R262))</f>
        <v>750</v>
      </c>
      <c r="D262">
        <f t="shared" si="145"/>
        <v>0</v>
      </c>
      <c r="E262">
        <f t="shared" si="146"/>
        <v>0</v>
      </c>
      <c r="F262">
        <f t="shared" si="147"/>
        <v>0</v>
      </c>
      <c r="G262">
        <f t="shared" si="148"/>
        <v>0</v>
      </c>
      <c r="H262">
        <f t="shared" si="149"/>
        <v>0</v>
      </c>
      <c r="I262">
        <f t="shared" si="150"/>
        <v>0</v>
      </c>
      <c r="J262">
        <f t="shared" si="151"/>
        <v>0</v>
      </c>
      <c r="K262">
        <f t="shared" si="152"/>
        <v>0</v>
      </c>
      <c r="L262">
        <f t="shared" si="153"/>
        <v>0</v>
      </c>
      <c r="M262">
        <f t="shared" si="154"/>
        <v>0</v>
      </c>
      <c r="N262">
        <f t="shared" si="155"/>
        <v>0</v>
      </c>
      <c r="O262">
        <f t="shared" si="156"/>
        <v>0</v>
      </c>
      <c r="P262">
        <f t="shared" si="157"/>
        <v>0</v>
      </c>
      <c r="Q262">
        <f t="shared" si="158"/>
        <v>0</v>
      </c>
      <c r="R262">
        <f t="shared" si="159"/>
        <v>0</v>
      </c>
      <c r="S262">
        <f t="shared" si="160"/>
        <v>0</v>
      </c>
      <c r="T262">
        <f t="shared" si="161"/>
        <v>0</v>
      </c>
      <c r="U262">
        <f t="shared" si="162"/>
        <v>0</v>
      </c>
      <c r="V262">
        <f t="shared" si="163"/>
        <v>0</v>
      </c>
      <c r="W262">
        <f t="shared" si="164"/>
        <v>0</v>
      </c>
      <c r="X262">
        <f t="shared" si="165"/>
        <v>0</v>
      </c>
      <c r="Y262">
        <f t="shared" si="166"/>
        <v>0</v>
      </c>
      <c r="Z262">
        <f t="shared" si="167"/>
        <v>0</v>
      </c>
      <c r="AA262">
        <f t="shared" si="168"/>
        <v>0</v>
      </c>
      <c r="AB262">
        <f t="shared" si="169"/>
        <v>0</v>
      </c>
      <c r="AC262">
        <f t="shared" si="170"/>
        <v>0</v>
      </c>
      <c r="AD262">
        <f t="shared" si="171"/>
        <v>0</v>
      </c>
      <c r="AE262">
        <f t="shared" si="172"/>
        <v>0</v>
      </c>
      <c r="AF262">
        <f t="shared" si="173"/>
        <v>0</v>
      </c>
      <c r="AG262">
        <f t="shared" si="174"/>
        <v>0</v>
      </c>
      <c r="AH262">
        <f t="shared" si="175"/>
        <v>0</v>
      </c>
      <c r="AI262">
        <f t="shared" si="176"/>
        <v>0</v>
      </c>
      <c r="AJ262">
        <f t="shared" si="177"/>
        <v>0</v>
      </c>
      <c r="AK262">
        <f t="shared" si="178"/>
        <v>0</v>
      </c>
      <c r="AL262">
        <f t="shared" si="179"/>
        <v>0</v>
      </c>
      <c r="AM262">
        <f t="shared" si="180"/>
        <v>0</v>
      </c>
      <c r="AN262">
        <f t="shared" si="181"/>
        <v>0</v>
      </c>
      <c r="AO262">
        <f t="shared" si="182"/>
        <v>0</v>
      </c>
      <c r="AP262">
        <f t="shared" si="183"/>
        <v>0</v>
      </c>
      <c r="AQ262">
        <f t="shared" si="184"/>
        <v>0</v>
      </c>
      <c r="AR262">
        <f t="shared" si="185"/>
        <v>0</v>
      </c>
      <c r="AS262">
        <f t="shared" si="186"/>
        <v>0</v>
      </c>
      <c r="AT262">
        <f t="shared" si="187"/>
        <v>0</v>
      </c>
      <c r="AU262">
        <f t="shared" si="188"/>
        <v>0</v>
      </c>
      <c r="AV262">
        <f t="shared" si="189"/>
        <v>0</v>
      </c>
      <c r="AW262">
        <f t="shared" ref="AW262:AW325" si="192">SUM(AH262:AV262)</f>
        <v>0</v>
      </c>
      <c r="AX262">
        <f t="shared" si="190"/>
        <v>0</v>
      </c>
      <c r="AY262">
        <f t="shared" si="191"/>
        <v>0</v>
      </c>
    </row>
    <row r="263" spans="1:51" x14ac:dyDescent="0.35">
      <c r="A263">
        <v>257</v>
      </c>
      <c r="C263">
        <f>MAX(0,Calc!$C$7-SUM(D263:R263))</f>
        <v>750</v>
      </c>
      <c r="D263">
        <f t="shared" ref="D263:D326" si="193">IF(AH262&lt;0.005,0,MIN((AH262+ROUND(AH262*AH$3,2)),AH$4))</f>
        <v>0</v>
      </c>
      <c r="E263">
        <f t="shared" ref="E263:E326" si="194">IF(AI262&lt;0.005,0,MIN((AI262+ROUND(AI262*AI$3,2)),AI$4))</f>
        <v>0</v>
      </c>
      <c r="F263">
        <f t="shared" ref="F263:F326" si="195">IF(AJ262&lt;0.005,0,MIN((AJ262+ROUND(AJ262*AJ$3,2)),AJ$4))</f>
        <v>0</v>
      </c>
      <c r="G263">
        <f t="shared" ref="G263:G326" si="196">IF(AK262&lt;0.005,0,MIN((AK262+ROUND(AK262*AK$3,2)),AK$4))</f>
        <v>0</v>
      </c>
      <c r="H263">
        <f t="shared" ref="H263:H326" si="197">IF(AL262&lt;0.005,0,MIN((AL262+ROUND(AL262*AL$3,2)),AL$4))</f>
        <v>0</v>
      </c>
      <c r="I263">
        <f t="shared" ref="I263:I326" si="198">IF(AM262&lt;0.005,0,MIN((AM262+ROUND(AM262*AM$3,2)),AM$4))</f>
        <v>0</v>
      </c>
      <c r="J263">
        <f t="shared" ref="J263:J326" si="199">IF(AN262&lt;0.005,0,MIN((AN262+ROUND(AN262*AN$3,2)),AN$4))</f>
        <v>0</v>
      </c>
      <c r="K263">
        <f t="shared" ref="K263:K326" si="200">IF(AO262&lt;0.005,0,MIN((AO262+ROUND(AO262*AO$3,2)),AO$4))</f>
        <v>0</v>
      </c>
      <c r="L263">
        <f t="shared" ref="L263:L326" si="201">IF(AP262&lt;0.005,0,MIN((AP262+ROUND(AP262*AP$3,2)),AP$4))</f>
        <v>0</v>
      </c>
      <c r="M263">
        <f t="shared" ref="M263:M326" si="202">IF(AQ262&lt;0.005,0,MIN((AQ262+ROUND(AQ262*AQ$3,2)),AQ$4))</f>
        <v>0</v>
      </c>
      <c r="N263">
        <f t="shared" ref="N263:N326" si="203">IF(AR262&lt;0.005,0,MIN((AR262+ROUND(AR262*AR$3,2)),AR$4))</f>
        <v>0</v>
      </c>
      <c r="O263">
        <f t="shared" ref="O263:O326" si="204">IF(AS262&lt;0.005,0,MIN((AS262+ROUND(AS262*AS$3,2)),AS$4))</f>
        <v>0</v>
      </c>
      <c r="P263">
        <f t="shared" ref="P263:P326" si="205">IF(AT262&lt;0.005,0,MIN((AT262+ROUND(AT262*AT$3,2)),AT$4))</f>
        <v>0</v>
      </c>
      <c r="Q263">
        <f t="shared" ref="Q263:Q326" si="206">IF(AU262&lt;0.005,0,MIN((AU262+ROUND(AU262*AU$3,2)),AU$4))</f>
        <v>0</v>
      </c>
      <c r="R263">
        <f t="shared" ref="R263:R326" si="207">IF(AV262&lt;0.005,0,MIN((AV262+ROUND(AV262*AV$3,2)),AV$4))</f>
        <v>0</v>
      </c>
      <c r="S263">
        <f t="shared" ref="S263:S326" si="208">IF(AH262&lt;0.005,0,MIN((AH262+ROUND(AH262*AH$3,2))-D263,MAX(0,$C263)))</f>
        <v>0</v>
      </c>
      <c r="T263">
        <f t="shared" ref="T263:T326" si="209">IF(AI262&lt;0.005,0,MIN((AI262+ROUND(AI262*AI$3,2))-E263,MAX(0,$C263-SUM(S263:S263))))</f>
        <v>0</v>
      </c>
      <c r="U263">
        <f t="shared" ref="U263:U326" si="210">IF(AJ262&lt;0.005,0,MIN((AJ262+ROUND(AJ262*AJ$3,2))-F263,MAX(0,$C263-SUM(S263:T263))))</f>
        <v>0</v>
      </c>
      <c r="V263">
        <f t="shared" ref="V263:V326" si="211">IF(AK262&lt;0.005,0,MIN((AK262+ROUND(AK262*AK$3,2))-G263,MAX(0,$C263-SUM(S263:U263))))</f>
        <v>0</v>
      </c>
      <c r="W263">
        <f t="shared" ref="W263:W326" si="212">IF(AL262&lt;0.005,0,MIN((AL262+ROUND(AL262*AL$3,2))-H263,MAX(0,$C263-SUM(S263:V263))))</f>
        <v>0</v>
      </c>
      <c r="X263">
        <f t="shared" ref="X263:X326" si="213">IF(AM262&lt;0.005,0,MIN((AM262+ROUND(AM262*AM$3,2))-I263,MAX(0,$C263-SUM(S263:W263))))</f>
        <v>0</v>
      </c>
      <c r="Y263">
        <f t="shared" ref="Y263:Y326" si="214">IF(AN262&lt;0.005,0,MIN((AN262+ROUND(AN262*AN$3,2))-J263,MAX(0,$C263-SUM(S263:X263))))</f>
        <v>0</v>
      </c>
      <c r="Z263">
        <f t="shared" ref="Z263:Z326" si="215">IF(AO262&lt;0.005,0,MIN((AO262+ROUND(AO262*AO$3,2))-K263,MAX(0,$C263-SUM(S263:Y263))))</f>
        <v>0</v>
      </c>
      <c r="AA263">
        <f t="shared" ref="AA263:AA326" si="216">IF(AP262&lt;0.005,0,MIN((AP262+ROUND(AP262*AP$3,2))-L263,MAX(0,$C263-SUM(S263:Z263))))</f>
        <v>0</v>
      </c>
      <c r="AB263">
        <f t="shared" ref="AB263:AB326" si="217">IF(AQ262&lt;0.005,0,MIN((AQ262+ROUND(AQ262*AQ$3,2))-M263,MAX(0,$C263-SUM(S263:AA263))))</f>
        <v>0</v>
      </c>
      <c r="AC263">
        <f t="shared" ref="AC263:AC326" si="218">IF(AR262&lt;0.005,0,MIN((AR262+ROUND(AR262*AR$3,2))-N263,MAX(0,$C263-SUM(S263:AB263))))</f>
        <v>0</v>
      </c>
      <c r="AD263">
        <f t="shared" ref="AD263:AD326" si="219">IF(AS262&lt;0.005,0,MIN((AS262+ROUND(AS262*AS$3,2))-O263,MAX(0,$C263-SUM(S263:AC263))))</f>
        <v>0</v>
      </c>
      <c r="AE263">
        <f t="shared" ref="AE263:AE326" si="220">IF(AT262&lt;0.005,0,MIN((AT262+ROUND(AT262*AT$3,2))-P263,MAX(0,$C263-SUM(S263:AD263))))</f>
        <v>0</v>
      </c>
      <c r="AF263">
        <f t="shared" ref="AF263:AF326" si="221">IF(AU262&lt;0.005,0,MIN((AU262+ROUND(AU262*AU$3,2))-Q263,MAX(0,$C263-SUM(S263:AE263))))</f>
        <v>0</v>
      </c>
      <c r="AG263">
        <f t="shared" ref="AG263:AG326" si="222">IF(AV262&lt;0.005,0,MIN((AV262+ROUND(AV262*AV$3,2))-R263,MAX(0,$C263-SUM(S263:AF263))))</f>
        <v>0</v>
      </c>
      <c r="AH263">
        <f t="shared" ref="AH263:AH326" si="223">IF(AH262&lt;0.005,0,ROUND((AH262+ROUND(AH262*AH$3,2))-D263-S263,2))</f>
        <v>0</v>
      </c>
      <c r="AI263">
        <f t="shared" ref="AI263:AI326" si="224">IF(AI262&lt;0.005,0,ROUND((AI262+ROUND(AI262*AI$3,2))-E263-T263,2))</f>
        <v>0</v>
      </c>
      <c r="AJ263">
        <f t="shared" ref="AJ263:AJ326" si="225">IF(AJ262&lt;0.005,0,ROUND((AJ262+ROUND(AJ262*AJ$3,2))-F263-U263,2))</f>
        <v>0</v>
      </c>
      <c r="AK263">
        <f t="shared" ref="AK263:AK326" si="226">IF(AK262&lt;0.005,0,ROUND((AK262+ROUND(AK262*AK$3,2))-G263-V263,2))</f>
        <v>0</v>
      </c>
      <c r="AL263">
        <f t="shared" ref="AL263:AL326" si="227">IF(AL262&lt;0.005,0,ROUND((AL262+ROUND(AL262*AL$3,2))-H263-W263,2))</f>
        <v>0</v>
      </c>
      <c r="AM263">
        <f t="shared" ref="AM263:AM326" si="228">IF(AM262&lt;0.005,0,ROUND((AM262+ROUND(AM262*AM$3,2))-I263-X263,2))</f>
        <v>0</v>
      </c>
      <c r="AN263">
        <f t="shared" ref="AN263:AN326" si="229">IF(AN262&lt;0.005,0,ROUND((AN262+ROUND(AN262*AN$3,2))-J263-Y263,2))</f>
        <v>0</v>
      </c>
      <c r="AO263">
        <f t="shared" ref="AO263:AO326" si="230">IF(AO262&lt;0.005,0,ROUND((AO262+ROUND(AO262*AO$3,2))-K263-Z263,2))</f>
        <v>0</v>
      </c>
      <c r="AP263">
        <f t="shared" ref="AP263:AP326" si="231">IF(AP262&lt;0.005,0,ROUND((AP262+ROUND(AP262*AP$3,2))-L263-AA263,2))</f>
        <v>0</v>
      </c>
      <c r="AQ263">
        <f t="shared" ref="AQ263:AQ326" si="232">IF(AQ262&lt;0.005,0,ROUND((AQ262+ROUND(AQ262*AQ$3,2))-M263-AB263,2))</f>
        <v>0</v>
      </c>
      <c r="AR263">
        <f t="shared" ref="AR263:AR326" si="233">IF(AR262&lt;0.005,0,ROUND((AR262+ROUND(AR262*AR$3,2))-N263-AC263,2))</f>
        <v>0</v>
      </c>
      <c r="AS263">
        <f t="shared" ref="AS263:AS326" si="234">IF(AS262&lt;0.005,0,ROUND((AS262+ROUND(AS262*AS$3,2))-O263-AD263,2))</f>
        <v>0</v>
      </c>
      <c r="AT263">
        <f t="shared" ref="AT263:AT326" si="235">IF(AT262&lt;0.005,0,ROUND((AT262+ROUND(AT262*AT$3,2))-P263-AE263,2))</f>
        <v>0</v>
      </c>
      <c r="AU263">
        <f t="shared" ref="AU263:AU326" si="236">IF(AU262&lt;0.005,0,ROUND((AU262+ROUND(AU262*AU$3,2))-Q263-AF263,2))</f>
        <v>0</v>
      </c>
      <c r="AV263">
        <f t="shared" ref="AV263:AV326" si="237">IF(AV262&lt;0.005,0,ROUND((AV262+ROUND(AV262*AV$3,2))-R263-AG263,2))</f>
        <v>0</v>
      </c>
      <c r="AW263">
        <f t="shared" si="192"/>
        <v>0</v>
      </c>
      <c r="AX263">
        <f t="shared" ref="AX263:AX326" si="238">SUMPRODUCT(ROUND(AH262:AV262*AH$3:AV$3,2))</f>
        <v>0</v>
      </c>
      <c r="AY263">
        <f t="shared" ref="AY263:AY326" si="239">SUM(D263:AG263)</f>
        <v>0</v>
      </c>
    </row>
    <row r="264" spans="1:51" x14ac:dyDescent="0.35">
      <c r="A264">
        <v>258</v>
      </c>
      <c r="C264">
        <f>MAX(0,Calc!$C$7-SUM(D264:R264))</f>
        <v>750</v>
      </c>
      <c r="D264">
        <f t="shared" si="193"/>
        <v>0</v>
      </c>
      <c r="E264">
        <f t="shared" si="194"/>
        <v>0</v>
      </c>
      <c r="F264">
        <f t="shared" si="195"/>
        <v>0</v>
      </c>
      <c r="G264">
        <f t="shared" si="196"/>
        <v>0</v>
      </c>
      <c r="H264">
        <f t="shared" si="197"/>
        <v>0</v>
      </c>
      <c r="I264">
        <f t="shared" si="198"/>
        <v>0</v>
      </c>
      <c r="J264">
        <f t="shared" si="199"/>
        <v>0</v>
      </c>
      <c r="K264">
        <f t="shared" si="200"/>
        <v>0</v>
      </c>
      <c r="L264">
        <f t="shared" si="201"/>
        <v>0</v>
      </c>
      <c r="M264">
        <f t="shared" si="202"/>
        <v>0</v>
      </c>
      <c r="N264">
        <f t="shared" si="203"/>
        <v>0</v>
      </c>
      <c r="O264">
        <f t="shared" si="204"/>
        <v>0</v>
      </c>
      <c r="P264">
        <f t="shared" si="205"/>
        <v>0</v>
      </c>
      <c r="Q264">
        <f t="shared" si="206"/>
        <v>0</v>
      </c>
      <c r="R264">
        <f t="shared" si="207"/>
        <v>0</v>
      </c>
      <c r="S264">
        <f t="shared" si="208"/>
        <v>0</v>
      </c>
      <c r="T264">
        <f t="shared" si="209"/>
        <v>0</v>
      </c>
      <c r="U264">
        <f t="shared" si="210"/>
        <v>0</v>
      </c>
      <c r="V264">
        <f t="shared" si="211"/>
        <v>0</v>
      </c>
      <c r="W264">
        <f t="shared" si="212"/>
        <v>0</v>
      </c>
      <c r="X264">
        <f t="shared" si="213"/>
        <v>0</v>
      </c>
      <c r="Y264">
        <f t="shared" si="214"/>
        <v>0</v>
      </c>
      <c r="Z264">
        <f t="shared" si="215"/>
        <v>0</v>
      </c>
      <c r="AA264">
        <f t="shared" si="216"/>
        <v>0</v>
      </c>
      <c r="AB264">
        <f t="shared" si="217"/>
        <v>0</v>
      </c>
      <c r="AC264">
        <f t="shared" si="218"/>
        <v>0</v>
      </c>
      <c r="AD264">
        <f t="shared" si="219"/>
        <v>0</v>
      </c>
      <c r="AE264">
        <f t="shared" si="220"/>
        <v>0</v>
      </c>
      <c r="AF264">
        <f t="shared" si="221"/>
        <v>0</v>
      </c>
      <c r="AG264">
        <f t="shared" si="222"/>
        <v>0</v>
      </c>
      <c r="AH264">
        <f t="shared" si="223"/>
        <v>0</v>
      </c>
      <c r="AI264">
        <f t="shared" si="224"/>
        <v>0</v>
      </c>
      <c r="AJ264">
        <f t="shared" si="225"/>
        <v>0</v>
      </c>
      <c r="AK264">
        <f t="shared" si="226"/>
        <v>0</v>
      </c>
      <c r="AL264">
        <f t="shared" si="227"/>
        <v>0</v>
      </c>
      <c r="AM264">
        <f t="shared" si="228"/>
        <v>0</v>
      </c>
      <c r="AN264">
        <f t="shared" si="229"/>
        <v>0</v>
      </c>
      <c r="AO264">
        <f t="shared" si="230"/>
        <v>0</v>
      </c>
      <c r="AP264">
        <f t="shared" si="231"/>
        <v>0</v>
      </c>
      <c r="AQ264">
        <f t="shared" si="232"/>
        <v>0</v>
      </c>
      <c r="AR264">
        <f t="shared" si="233"/>
        <v>0</v>
      </c>
      <c r="AS264">
        <f t="shared" si="234"/>
        <v>0</v>
      </c>
      <c r="AT264">
        <f t="shared" si="235"/>
        <v>0</v>
      </c>
      <c r="AU264">
        <f t="shared" si="236"/>
        <v>0</v>
      </c>
      <c r="AV264">
        <f t="shared" si="237"/>
        <v>0</v>
      </c>
      <c r="AW264">
        <f t="shared" si="192"/>
        <v>0</v>
      </c>
      <c r="AX264">
        <f t="shared" si="238"/>
        <v>0</v>
      </c>
      <c r="AY264">
        <f t="shared" si="239"/>
        <v>0</v>
      </c>
    </row>
    <row r="265" spans="1:51" x14ac:dyDescent="0.35">
      <c r="A265">
        <v>259</v>
      </c>
      <c r="C265">
        <f>MAX(0,Calc!$C$7-SUM(D265:R265))</f>
        <v>750</v>
      </c>
      <c r="D265">
        <f t="shared" si="193"/>
        <v>0</v>
      </c>
      <c r="E265">
        <f t="shared" si="194"/>
        <v>0</v>
      </c>
      <c r="F265">
        <f t="shared" si="195"/>
        <v>0</v>
      </c>
      <c r="G265">
        <f t="shared" si="196"/>
        <v>0</v>
      </c>
      <c r="H265">
        <f t="shared" si="197"/>
        <v>0</v>
      </c>
      <c r="I265">
        <f t="shared" si="198"/>
        <v>0</v>
      </c>
      <c r="J265">
        <f t="shared" si="199"/>
        <v>0</v>
      </c>
      <c r="K265">
        <f t="shared" si="200"/>
        <v>0</v>
      </c>
      <c r="L265">
        <f t="shared" si="201"/>
        <v>0</v>
      </c>
      <c r="M265">
        <f t="shared" si="202"/>
        <v>0</v>
      </c>
      <c r="N265">
        <f t="shared" si="203"/>
        <v>0</v>
      </c>
      <c r="O265">
        <f t="shared" si="204"/>
        <v>0</v>
      </c>
      <c r="P265">
        <f t="shared" si="205"/>
        <v>0</v>
      </c>
      <c r="Q265">
        <f t="shared" si="206"/>
        <v>0</v>
      </c>
      <c r="R265">
        <f t="shared" si="207"/>
        <v>0</v>
      </c>
      <c r="S265">
        <f t="shared" si="208"/>
        <v>0</v>
      </c>
      <c r="T265">
        <f t="shared" si="209"/>
        <v>0</v>
      </c>
      <c r="U265">
        <f t="shared" si="210"/>
        <v>0</v>
      </c>
      <c r="V265">
        <f t="shared" si="211"/>
        <v>0</v>
      </c>
      <c r="W265">
        <f t="shared" si="212"/>
        <v>0</v>
      </c>
      <c r="X265">
        <f t="shared" si="213"/>
        <v>0</v>
      </c>
      <c r="Y265">
        <f t="shared" si="214"/>
        <v>0</v>
      </c>
      <c r="Z265">
        <f t="shared" si="215"/>
        <v>0</v>
      </c>
      <c r="AA265">
        <f t="shared" si="216"/>
        <v>0</v>
      </c>
      <c r="AB265">
        <f t="shared" si="217"/>
        <v>0</v>
      </c>
      <c r="AC265">
        <f t="shared" si="218"/>
        <v>0</v>
      </c>
      <c r="AD265">
        <f t="shared" si="219"/>
        <v>0</v>
      </c>
      <c r="AE265">
        <f t="shared" si="220"/>
        <v>0</v>
      </c>
      <c r="AF265">
        <f t="shared" si="221"/>
        <v>0</v>
      </c>
      <c r="AG265">
        <f t="shared" si="222"/>
        <v>0</v>
      </c>
      <c r="AH265">
        <f t="shared" si="223"/>
        <v>0</v>
      </c>
      <c r="AI265">
        <f t="shared" si="224"/>
        <v>0</v>
      </c>
      <c r="AJ265">
        <f t="shared" si="225"/>
        <v>0</v>
      </c>
      <c r="AK265">
        <f t="shared" si="226"/>
        <v>0</v>
      </c>
      <c r="AL265">
        <f t="shared" si="227"/>
        <v>0</v>
      </c>
      <c r="AM265">
        <f t="shared" si="228"/>
        <v>0</v>
      </c>
      <c r="AN265">
        <f t="shared" si="229"/>
        <v>0</v>
      </c>
      <c r="AO265">
        <f t="shared" si="230"/>
        <v>0</v>
      </c>
      <c r="AP265">
        <f t="shared" si="231"/>
        <v>0</v>
      </c>
      <c r="AQ265">
        <f t="shared" si="232"/>
        <v>0</v>
      </c>
      <c r="AR265">
        <f t="shared" si="233"/>
        <v>0</v>
      </c>
      <c r="AS265">
        <f t="shared" si="234"/>
        <v>0</v>
      </c>
      <c r="AT265">
        <f t="shared" si="235"/>
        <v>0</v>
      </c>
      <c r="AU265">
        <f t="shared" si="236"/>
        <v>0</v>
      </c>
      <c r="AV265">
        <f t="shared" si="237"/>
        <v>0</v>
      </c>
      <c r="AW265">
        <f t="shared" si="192"/>
        <v>0</v>
      </c>
      <c r="AX265">
        <f t="shared" si="238"/>
        <v>0</v>
      </c>
      <c r="AY265">
        <f t="shared" si="239"/>
        <v>0</v>
      </c>
    </row>
    <row r="266" spans="1:51" x14ac:dyDescent="0.35">
      <c r="A266">
        <v>260</v>
      </c>
      <c r="C266">
        <f>MAX(0,Calc!$C$7-SUM(D266:R266))</f>
        <v>750</v>
      </c>
      <c r="D266">
        <f t="shared" si="193"/>
        <v>0</v>
      </c>
      <c r="E266">
        <f t="shared" si="194"/>
        <v>0</v>
      </c>
      <c r="F266">
        <f t="shared" si="195"/>
        <v>0</v>
      </c>
      <c r="G266">
        <f t="shared" si="196"/>
        <v>0</v>
      </c>
      <c r="H266">
        <f t="shared" si="197"/>
        <v>0</v>
      </c>
      <c r="I266">
        <f t="shared" si="198"/>
        <v>0</v>
      </c>
      <c r="J266">
        <f t="shared" si="199"/>
        <v>0</v>
      </c>
      <c r="K266">
        <f t="shared" si="200"/>
        <v>0</v>
      </c>
      <c r="L266">
        <f t="shared" si="201"/>
        <v>0</v>
      </c>
      <c r="M266">
        <f t="shared" si="202"/>
        <v>0</v>
      </c>
      <c r="N266">
        <f t="shared" si="203"/>
        <v>0</v>
      </c>
      <c r="O266">
        <f t="shared" si="204"/>
        <v>0</v>
      </c>
      <c r="P266">
        <f t="shared" si="205"/>
        <v>0</v>
      </c>
      <c r="Q266">
        <f t="shared" si="206"/>
        <v>0</v>
      </c>
      <c r="R266">
        <f t="shared" si="207"/>
        <v>0</v>
      </c>
      <c r="S266">
        <f t="shared" si="208"/>
        <v>0</v>
      </c>
      <c r="T266">
        <f t="shared" si="209"/>
        <v>0</v>
      </c>
      <c r="U266">
        <f t="shared" si="210"/>
        <v>0</v>
      </c>
      <c r="V266">
        <f t="shared" si="211"/>
        <v>0</v>
      </c>
      <c r="W266">
        <f t="shared" si="212"/>
        <v>0</v>
      </c>
      <c r="X266">
        <f t="shared" si="213"/>
        <v>0</v>
      </c>
      <c r="Y266">
        <f t="shared" si="214"/>
        <v>0</v>
      </c>
      <c r="Z266">
        <f t="shared" si="215"/>
        <v>0</v>
      </c>
      <c r="AA266">
        <f t="shared" si="216"/>
        <v>0</v>
      </c>
      <c r="AB266">
        <f t="shared" si="217"/>
        <v>0</v>
      </c>
      <c r="AC266">
        <f t="shared" si="218"/>
        <v>0</v>
      </c>
      <c r="AD266">
        <f t="shared" si="219"/>
        <v>0</v>
      </c>
      <c r="AE266">
        <f t="shared" si="220"/>
        <v>0</v>
      </c>
      <c r="AF266">
        <f t="shared" si="221"/>
        <v>0</v>
      </c>
      <c r="AG266">
        <f t="shared" si="222"/>
        <v>0</v>
      </c>
      <c r="AH266">
        <f t="shared" si="223"/>
        <v>0</v>
      </c>
      <c r="AI266">
        <f t="shared" si="224"/>
        <v>0</v>
      </c>
      <c r="AJ266">
        <f t="shared" si="225"/>
        <v>0</v>
      </c>
      <c r="AK266">
        <f t="shared" si="226"/>
        <v>0</v>
      </c>
      <c r="AL266">
        <f t="shared" si="227"/>
        <v>0</v>
      </c>
      <c r="AM266">
        <f t="shared" si="228"/>
        <v>0</v>
      </c>
      <c r="AN266">
        <f t="shared" si="229"/>
        <v>0</v>
      </c>
      <c r="AO266">
        <f t="shared" si="230"/>
        <v>0</v>
      </c>
      <c r="AP266">
        <f t="shared" si="231"/>
        <v>0</v>
      </c>
      <c r="AQ266">
        <f t="shared" si="232"/>
        <v>0</v>
      </c>
      <c r="AR266">
        <f t="shared" si="233"/>
        <v>0</v>
      </c>
      <c r="AS266">
        <f t="shared" si="234"/>
        <v>0</v>
      </c>
      <c r="AT266">
        <f t="shared" si="235"/>
        <v>0</v>
      </c>
      <c r="AU266">
        <f t="shared" si="236"/>
        <v>0</v>
      </c>
      <c r="AV266">
        <f t="shared" si="237"/>
        <v>0</v>
      </c>
      <c r="AW266">
        <f t="shared" si="192"/>
        <v>0</v>
      </c>
      <c r="AX266">
        <f t="shared" si="238"/>
        <v>0</v>
      </c>
      <c r="AY266">
        <f t="shared" si="239"/>
        <v>0</v>
      </c>
    </row>
    <row r="267" spans="1:51" x14ac:dyDescent="0.35">
      <c r="A267">
        <v>261</v>
      </c>
      <c r="C267">
        <f>MAX(0,Calc!$C$7-SUM(D267:R267))</f>
        <v>750</v>
      </c>
      <c r="D267">
        <f t="shared" si="193"/>
        <v>0</v>
      </c>
      <c r="E267">
        <f t="shared" si="194"/>
        <v>0</v>
      </c>
      <c r="F267">
        <f t="shared" si="195"/>
        <v>0</v>
      </c>
      <c r="G267">
        <f t="shared" si="196"/>
        <v>0</v>
      </c>
      <c r="H267">
        <f t="shared" si="197"/>
        <v>0</v>
      </c>
      <c r="I267">
        <f t="shared" si="198"/>
        <v>0</v>
      </c>
      <c r="J267">
        <f t="shared" si="199"/>
        <v>0</v>
      </c>
      <c r="K267">
        <f t="shared" si="200"/>
        <v>0</v>
      </c>
      <c r="L267">
        <f t="shared" si="201"/>
        <v>0</v>
      </c>
      <c r="M267">
        <f t="shared" si="202"/>
        <v>0</v>
      </c>
      <c r="N267">
        <f t="shared" si="203"/>
        <v>0</v>
      </c>
      <c r="O267">
        <f t="shared" si="204"/>
        <v>0</v>
      </c>
      <c r="P267">
        <f t="shared" si="205"/>
        <v>0</v>
      </c>
      <c r="Q267">
        <f t="shared" si="206"/>
        <v>0</v>
      </c>
      <c r="R267">
        <f t="shared" si="207"/>
        <v>0</v>
      </c>
      <c r="S267">
        <f t="shared" si="208"/>
        <v>0</v>
      </c>
      <c r="T267">
        <f t="shared" si="209"/>
        <v>0</v>
      </c>
      <c r="U267">
        <f t="shared" si="210"/>
        <v>0</v>
      </c>
      <c r="V267">
        <f t="shared" si="211"/>
        <v>0</v>
      </c>
      <c r="W267">
        <f t="shared" si="212"/>
        <v>0</v>
      </c>
      <c r="X267">
        <f t="shared" si="213"/>
        <v>0</v>
      </c>
      <c r="Y267">
        <f t="shared" si="214"/>
        <v>0</v>
      </c>
      <c r="Z267">
        <f t="shared" si="215"/>
        <v>0</v>
      </c>
      <c r="AA267">
        <f t="shared" si="216"/>
        <v>0</v>
      </c>
      <c r="AB267">
        <f t="shared" si="217"/>
        <v>0</v>
      </c>
      <c r="AC267">
        <f t="shared" si="218"/>
        <v>0</v>
      </c>
      <c r="AD267">
        <f t="shared" si="219"/>
        <v>0</v>
      </c>
      <c r="AE267">
        <f t="shared" si="220"/>
        <v>0</v>
      </c>
      <c r="AF267">
        <f t="shared" si="221"/>
        <v>0</v>
      </c>
      <c r="AG267">
        <f t="shared" si="222"/>
        <v>0</v>
      </c>
      <c r="AH267">
        <f t="shared" si="223"/>
        <v>0</v>
      </c>
      <c r="AI267">
        <f t="shared" si="224"/>
        <v>0</v>
      </c>
      <c r="AJ267">
        <f t="shared" si="225"/>
        <v>0</v>
      </c>
      <c r="AK267">
        <f t="shared" si="226"/>
        <v>0</v>
      </c>
      <c r="AL267">
        <f t="shared" si="227"/>
        <v>0</v>
      </c>
      <c r="AM267">
        <f t="shared" si="228"/>
        <v>0</v>
      </c>
      <c r="AN267">
        <f t="shared" si="229"/>
        <v>0</v>
      </c>
      <c r="AO267">
        <f t="shared" si="230"/>
        <v>0</v>
      </c>
      <c r="AP267">
        <f t="shared" si="231"/>
        <v>0</v>
      </c>
      <c r="AQ267">
        <f t="shared" si="232"/>
        <v>0</v>
      </c>
      <c r="AR267">
        <f t="shared" si="233"/>
        <v>0</v>
      </c>
      <c r="AS267">
        <f t="shared" si="234"/>
        <v>0</v>
      </c>
      <c r="AT267">
        <f t="shared" si="235"/>
        <v>0</v>
      </c>
      <c r="AU267">
        <f t="shared" si="236"/>
        <v>0</v>
      </c>
      <c r="AV267">
        <f t="shared" si="237"/>
        <v>0</v>
      </c>
      <c r="AW267">
        <f t="shared" si="192"/>
        <v>0</v>
      </c>
      <c r="AX267">
        <f t="shared" si="238"/>
        <v>0</v>
      </c>
      <c r="AY267">
        <f t="shared" si="239"/>
        <v>0</v>
      </c>
    </row>
    <row r="268" spans="1:51" x14ac:dyDescent="0.35">
      <c r="A268">
        <v>262</v>
      </c>
      <c r="C268">
        <f>MAX(0,Calc!$C$7-SUM(D268:R268))</f>
        <v>750</v>
      </c>
      <c r="D268">
        <f t="shared" si="193"/>
        <v>0</v>
      </c>
      <c r="E268">
        <f t="shared" si="194"/>
        <v>0</v>
      </c>
      <c r="F268">
        <f t="shared" si="195"/>
        <v>0</v>
      </c>
      <c r="G268">
        <f t="shared" si="196"/>
        <v>0</v>
      </c>
      <c r="H268">
        <f t="shared" si="197"/>
        <v>0</v>
      </c>
      <c r="I268">
        <f t="shared" si="198"/>
        <v>0</v>
      </c>
      <c r="J268">
        <f t="shared" si="199"/>
        <v>0</v>
      </c>
      <c r="K268">
        <f t="shared" si="200"/>
        <v>0</v>
      </c>
      <c r="L268">
        <f t="shared" si="201"/>
        <v>0</v>
      </c>
      <c r="M268">
        <f t="shared" si="202"/>
        <v>0</v>
      </c>
      <c r="N268">
        <f t="shared" si="203"/>
        <v>0</v>
      </c>
      <c r="O268">
        <f t="shared" si="204"/>
        <v>0</v>
      </c>
      <c r="P268">
        <f t="shared" si="205"/>
        <v>0</v>
      </c>
      <c r="Q268">
        <f t="shared" si="206"/>
        <v>0</v>
      </c>
      <c r="R268">
        <f t="shared" si="207"/>
        <v>0</v>
      </c>
      <c r="S268">
        <f t="shared" si="208"/>
        <v>0</v>
      </c>
      <c r="T268">
        <f t="shared" si="209"/>
        <v>0</v>
      </c>
      <c r="U268">
        <f t="shared" si="210"/>
        <v>0</v>
      </c>
      <c r="V268">
        <f t="shared" si="211"/>
        <v>0</v>
      </c>
      <c r="W268">
        <f t="shared" si="212"/>
        <v>0</v>
      </c>
      <c r="X268">
        <f t="shared" si="213"/>
        <v>0</v>
      </c>
      <c r="Y268">
        <f t="shared" si="214"/>
        <v>0</v>
      </c>
      <c r="Z268">
        <f t="shared" si="215"/>
        <v>0</v>
      </c>
      <c r="AA268">
        <f t="shared" si="216"/>
        <v>0</v>
      </c>
      <c r="AB268">
        <f t="shared" si="217"/>
        <v>0</v>
      </c>
      <c r="AC268">
        <f t="shared" si="218"/>
        <v>0</v>
      </c>
      <c r="AD268">
        <f t="shared" si="219"/>
        <v>0</v>
      </c>
      <c r="AE268">
        <f t="shared" si="220"/>
        <v>0</v>
      </c>
      <c r="AF268">
        <f t="shared" si="221"/>
        <v>0</v>
      </c>
      <c r="AG268">
        <f t="shared" si="222"/>
        <v>0</v>
      </c>
      <c r="AH268">
        <f t="shared" si="223"/>
        <v>0</v>
      </c>
      <c r="AI268">
        <f t="shared" si="224"/>
        <v>0</v>
      </c>
      <c r="AJ268">
        <f t="shared" si="225"/>
        <v>0</v>
      </c>
      <c r="AK268">
        <f t="shared" si="226"/>
        <v>0</v>
      </c>
      <c r="AL268">
        <f t="shared" si="227"/>
        <v>0</v>
      </c>
      <c r="AM268">
        <f t="shared" si="228"/>
        <v>0</v>
      </c>
      <c r="AN268">
        <f t="shared" si="229"/>
        <v>0</v>
      </c>
      <c r="AO268">
        <f t="shared" si="230"/>
        <v>0</v>
      </c>
      <c r="AP268">
        <f t="shared" si="231"/>
        <v>0</v>
      </c>
      <c r="AQ268">
        <f t="shared" si="232"/>
        <v>0</v>
      </c>
      <c r="AR268">
        <f t="shared" si="233"/>
        <v>0</v>
      </c>
      <c r="AS268">
        <f t="shared" si="234"/>
        <v>0</v>
      </c>
      <c r="AT268">
        <f t="shared" si="235"/>
        <v>0</v>
      </c>
      <c r="AU268">
        <f t="shared" si="236"/>
        <v>0</v>
      </c>
      <c r="AV268">
        <f t="shared" si="237"/>
        <v>0</v>
      </c>
      <c r="AW268">
        <f t="shared" si="192"/>
        <v>0</v>
      </c>
      <c r="AX268">
        <f t="shared" si="238"/>
        <v>0</v>
      </c>
      <c r="AY268">
        <f t="shared" si="239"/>
        <v>0</v>
      </c>
    </row>
    <row r="269" spans="1:51" x14ac:dyDescent="0.35">
      <c r="A269">
        <v>263</v>
      </c>
      <c r="C269">
        <f>MAX(0,Calc!$C$7-SUM(D269:R269))</f>
        <v>750</v>
      </c>
      <c r="D269">
        <f t="shared" si="193"/>
        <v>0</v>
      </c>
      <c r="E269">
        <f t="shared" si="194"/>
        <v>0</v>
      </c>
      <c r="F269">
        <f t="shared" si="195"/>
        <v>0</v>
      </c>
      <c r="G269">
        <f t="shared" si="196"/>
        <v>0</v>
      </c>
      <c r="H269">
        <f t="shared" si="197"/>
        <v>0</v>
      </c>
      <c r="I269">
        <f t="shared" si="198"/>
        <v>0</v>
      </c>
      <c r="J269">
        <f t="shared" si="199"/>
        <v>0</v>
      </c>
      <c r="K269">
        <f t="shared" si="200"/>
        <v>0</v>
      </c>
      <c r="L269">
        <f t="shared" si="201"/>
        <v>0</v>
      </c>
      <c r="M269">
        <f t="shared" si="202"/>
        <v>0</v>
      </c>
      <c r="N269">
        <f t="shared" si="203"/>
        <v>0</v>
      </c>
      <c r="O269">
        <f t="shared" si="204"/>
        <v>0</v>
      </c>
      <c r="P269">
        <f t="shared" si="205"/>
        <v>0</v>
      </c>
      <c r="Q269">
        <f t="shared" si="206"/>
        <v>0</v>
      </c>
      <c r="R269">
        <f t="shared" si="207"/>
        <v>0</v>
      </c>
      <c r="S269">
        <f t="shared" si="208"/>
        <v>0</v>
      </c>
      <c r="T269">
        <f t="shared" si="209"/>
        <v>0</v>
      </c>
      <c r="U269">
        <f t="shared" si="210"/>
        <v>0</v>
      </c>
      <c r="V269">
        <f t="shared" si="211"/>
        <v>0</v>
      </c>
      <c r="W269">
        <f t="shared" si="212"/>
        <v>0</v>
      </c>
      <c r="X269">
        <f t="shared" si="213"/>
        <v>0</v>
      </c>
      <c r="Y269">
        <f t="shared" si="214"/>
        <v>0</v>
      </c>
      <c r="Z269">
        <f t="shared" si="215"/>
        <v>0</v>
      </c>
      <c r="AA269">
        <f t="shared" si="216"/>
        <v>0</v>
      </c>
      <c r="AB269">
        <f t="shared" si="217"/>
        <v>0</v>
      </c>
      <c r="AC269">
        <f t="shared" si="218"/>
        <v>0</v>
      </c>
      <c r="AD269">
        <f t="shared" si="219"/>
        <v>0</v>
      </c>
      <c r="AE269">
        <f t="shared" si="220"/>
        <v>0</v>
      </c>
      <c r="AF269">
        <f t="shared" si="221"/>
        <v>0</v>
      </c>
      <c r="AG269">
        <f t="shared" si="222"/>
        <v>0</v>
      </c>
      <c r="AH269">
        <f t="shared" si="223"/>
        <v>0</v>
      </c>
      <c r="AI269">
        <f t="shared" si="224"/>
        <v>0</v>
      </c>
      <c r="AJ269">
        <f t="shared" si="225"/>
        <v>0</v>
      </c>
      <c r="AK269">
        <f t="shared" si="226"/>
        <v>0</v>
      </c>
      <c r="AL269">
        <f t="shared" si="227"/>
        <v>0</v>
      </c>
      <c r="AM269">
        <f t="shared" si="228"/>
        <v>0</v>
      </c>
      <c r="AN269">
        <f t="shared" si="229"/>
        <v>0</v>
      </c>
      <c r="AO269">
        <f t="shared" si="230"/>
        <v>0</v>
      </c>
      <c r="AP269">
        <f t="shared" si="231"/>
        <v>0</v>
      </c>
      <c r="AQ269">
        <f t="shared" si="232"/>
        <v>0</v>
      </c>
      <c r="AR269">
        <f t="shared" si="233"/>
        <v>0</v>
      </c>
      <c r="AS269">
        <f t="shared" si="234"/>
        <v>0</v>
      </c>
      <c r="AT269">
        <f t="shared" si="235"/>
        <v>0</v>
      </c>
      <c r="AU269">
        <f t="shared" si="236"/>
        <v>0</v>
      </c>
      <c r="AV269">
        <f t="shared" si="237"/>
        <v>0</v>
      </c>
      <c r="AW269">
        <f t="shared" si="192"/>
        <v>0</v>
      </c>
      <c r="AX269">
        <f t="shared" si="238"/>
        <v>0</v>
      </c>
      <c r="AY269">
        <f t="shared" si="239"/>
        <v>0</v>
      </c>
    </row>
    <row r="270" spans="1:51" x14ac:dyDescent="0.35">
      <c r="A270">
        <v>264</v>
      </c>
      <c r="C270">
        <f>MAX(0,Calc!$C$7-SUM(D270:R270))</f>
        <v>750</v>
      </c>
      <c r="D270">
        <f t="shared" si="193"/>
        <v>0</v>
      </c>
      <c r="E270">
        <f t="shared" si="194"/>
        <v>0</v>
      </c>
      <c r="F270">
        <f t="shared" si="195"/>
        <v>0</v>
      </c>
      <c r="G270">
        <f t="shared" si="196"/>
        <v>0</v>
      </c>
      <c r="H270">
        <f t="shared" si="197"/>
        <v>0</v>
      </c>
      <c r="I270">
        <f t="shared" si="198"/>
        <v>0</v>
      </c>
      <c r="J270">
        <f t="shared" si="199"/>
        <v>0</v>
      </c>
      <c r="K270">
        <f t="shared" si="200"/>
        <v>0</v>
      </c>
      <c r="L270">
        <f t="shared" si="201"/>
        <v>0</v>
      </c>
      <c r="M270">
        <f t="shared" si="202"/>
        <v>0</v>
      </c>
      <c r="N270">
        <f t="shared" si="203"/>
        <v>0</v>
      </c>
      <c r="O270">
        <f t="shared" si="204"/>
        <v>0</v>
      </c>
      <c r="P270">
        <f t="shared" si="205"/>
        <v>0</v>
      </c>
      <c r="Q270">
        <f t="shared" si="206"/>
        <v>0</v>
      </c>
      <c r="R270">
        <f t="shared" si="207"/>
        <v>0</v>
      </c>
      <c r="S270">
        <f t="shared" si="208"/>
        <v>0</v>
      </c>
      <c r="T270">
        <f t="shared" si="209"/>
        <v>0</v>
      </c>
      <c r="U270">
        <f t="shared" si="210"/>
        <v>0</v>
      </c>
      <c r="V270">
        <f t="shared" si="211"/>
        <v>0</v>
      </c>
      <c r="W270">
        <f t="shared" si="212"/>
        <v>0</v>
      </c>
      <c r="X270">
        <f t="shared" si="213"/>
        <v>0</v>
      </c>
      <c r="Y270">
        <f t="shared" si="214"/>
        <v>0</v>
      </c>
      <c r="Z270">
        <f t="shared" si="215"/>
        <v>0</v>
      </c>
      <c r="AA270">
        <f t="shared" si="216"/>
        <v>0</v>
      </c>
      <c r="AB270">
        <f t="shared" si="217"/>
        <v>0</v>
      </c>
      <c r="AC270">
        <f t="shared" si="218"/>
        <v>0</v>
      </c>
      <c r="AD270">
        <f t="shared" si="219"/>
        <v>0</v>
      </c>
      <c r="AE270">
        <f t="shared" si="220"/>
        <v>0</v>
      </c>
      <c r="AF270">
        <f t="shared" si="221"/>
        <v>0</v>
      </c>
      <c r="AG270">
        <f t="shared" si="222"/>
        <v>0</v>
      </c>
      <c r="AH270">
        <f t="shared" si="223"/>
        <v>0</v>
      </c>
      <c r="AI270">
        <f t="shared" si="224"/>
        <v>0</v>
      </c>
      <c r="AJ270">
        <f t="shared" si="225"/>
        <v>0</v>
      </c>
      <c r="AK270">
        <f t="shared" si="226"/>
        <v>0</v>
      </c>
      <c r="AL270">
        <f t="shared" si="227"/>
        <v>0</v>
      </c>
      <c r="AM270">
        <f t="shared" si="228"/>
        <v>0</v>
      </c>
      <c r="AN270">
        <f t="shared" si="229"/>
        <v>0</v>
      </c>
      <c r="AO270">
        <f t="shared" si="230"/>
        <v>0</v>
      </c>
      <c r="AP270">
        <f t="shared" si="231"/>
        <v>0</v>
      </c>
      <c r="AQ270">
        <f t="shared" si="232"/>
        <v>0</v>
      </c>
      <c r="AR270">
        <f t="shared" si="233"/>
        <v>0</v>
      </c>
      <c r="AS270">
        <f t="shared" si="234"/>
        <v>0</v>
      </c>
      <c r="AT270">
        <f t="shared" si="235"/>
        <v>0</v>
      </c>
      <c r="AU270">
        <f t="shared" si="236"/>
        <v>0</v>
      </c>
      <c r="AV270">
        <f t="shared" si="237"/>
        <v>0</v>
      </c>
      <c r="AW270">
        <f t="shared" si="192"/>
        <v>0</v>
      </c>
      <c r="AX270">
        <f t="shared" si="238"/>
        <v>0</v>
      </c>
      <c r="AY270">
        <f t="shared" si="239"/>
        <v>0</v>
      </c>
    </row>
    <row r="271" spans="1:51" x14ac:dyDescent="0.35">
      <c r="A271">
        <v>265</v>
      </c>
      <c r="C271">
        <f>MAX(0,Calc!$C$7-SUM(D271:R271))</f>
        <v>750</v>
      </c>
      <c r="D271">
        <f t="shared" si="193"/>
        <v>0</v>
      </c>
      <c r="E271">
        <f t="shared" si="194"/>
        <v>0</v>
      </c>
      <c r="F271">
        <f t="shared" si="195"/>
        <v>0</v>
      </c>
      <c r="G271">
        <f t="shared" si="196"/>
        <v>0</v>
      </c>
      <c r="H271">
        <f t="shared" si="197"/>
        <v>0</v>
      </c>
      <c r="I271">
        <f t="shared" si="198"/>
        <v>0</v>
      </c>
      <c r="J271">
        <f t="shared" si="199"/>
        <v>0</v>
      </c>
      <c r="K271">
        <f t="shared" si="200"/>
        <v>0</v>
      </c>
      <c r="L271">
        <f t="shared" si="201"/>
        <v>0</v>
      </c>
      <c r="M271">
        <f t="shared" si="202"/>
        <v>0</v>
      </c>
      <c r="N271">
        <f t="shared" si="203"/>
        <v>0</v>
      </c>
      <c r="O271">
        <f t="shared" si="204"/>
        <v>0</v>
      </c>
      <c r="P271">
        <f t="shared" si="205"/>
        <v>0</v>
      </c>
      <c r="Q271">
        <f t="shared" si="206"/>
        <v>0</v>
      </c>
      <c r="R271">
        <f t="shared" si="207"/>
        <v>0</v>
      </c>
      <c r="S271">
        <f t="shared" si="208"/>
        <v>0</v>
      </c>
      <c r="T271">
        <f t="shared" si="209"/>
        <v>0</v>
      </c>
      <c r="U271">
        <f t="shared" si="210"/>
        <v>0</v>
      </c>
      <c r="V271">
        <f t="shared" si="211"/>
        <v>0</v>
      </c>
      <c r="W271">
        <f t="shared" si="212"/>
        <v>0</v>
      </c>
      <c r="X271">
        <f t="shared" si="213"/>
        <v>0</v>
      </c>
      <c r="Y271">
        <f t="shared" si="214"/>
        <v>0</v>
      </c>
      <c r="Z271">
        <f t="shared" si="215"/>
        <v>0</v>
      </c>
      <c r="AA271">
        <f t="shared" si="216"/>
        <v>0</v>
      </c>
      <c r="AB271">
        <f t="shared" si="217"/>
        <v>0</v>
      </c>
      <c r="AC271">
        <f t="shared" si="218"/>
        <v>0</v>
      </c>
      <c r="AD271">
        <f t="shared" si="219"/>
        <v>0</v>
      </c>
      <c r="AE271">
        <f t="shared" si="220"/>
        <v>0</v>
      </c>
      <c r="AF271">
        <f t="shared" si="221"/>
        <v>0</v>
      </c>
      <c r="AG271">
        <f t="shared" si="222"/>
        <v>0</v>
      </c>
      <c r="AH271">
        <f t="shared" si="223"/>
        <v>0</v>
      </c>
      <c r="AI271">
        <f t="shared" si="224"/>
        <v>0</v>
      </c>
      <c r="AJ271">
        <f t="shared" si="225"/>
        <v>0</v>
      </c>
      <c r="AK271">
        <f t="shared" si="226"/>
        <v>0</v>
      </c>
      <c r="AL271">
        <f t="shared" si="227"/>
        <v>0</v>
      </c>
      <c r="AM271">
        <f t="shared" si="228"/>
        <v>0</v>
      </c>
      <c r="AN271">
        <f t="shared" si="229"/>
        <v>0</v>
      </c>
      <c r="AO271">
        <f t="shared" si="230"/>
        <v>0</v>
      </c>
      <c r="AP271">
        <f t="shared" si="231"/>
        <v>0</v>
      </c>
      <c r="AQ271">
        <f t="shared" si="232"/>
        <v>0</v>
      </c>
      <c r="AR271">
        <f t="shared" si="233"/>
        <v>0</v>
      </c>
      <c r="AS271">
        <f t="shared" si="234"/>
        <v>0</v>
      </c>
      <c r="AT271">
        <f t="shared" si="235"/>
        <v>0</v>
      </c>
      <c r="AU271">
        <f t="shared" si="236"/>
        <v>0</v>
      </c>
      <c r="AV271">
        <f t="shared" si="237"/>
        <v>0</v>
      </c>
      <c r="AW271">
        <f t="shared" si="192"/>
        <v>0</v>
      </c>
      <c r="AX271">
        <f t="shared" si="238"/>
        <v>0</v>
      </c>
      <c r="AY271">
        <f t="shared" si="239"/>
        <v>0</v>
      </c>
    </row>
    <row r="272" spans="1:51" x14ac:dyDescent="0.35">
      <c r="A272">
        <v>266</v>
      </c>
      <c r="C272">
        <f>MAX(0,Calc!$C$7-SUM(D272:R272))</f>
        <v>750</v>
      </c>
      <c r="D272">
        <f t="shared" si="193"/>
        <v>0</v>
      </c>
      <c r="E272">
        <f t="shared" si="194"/>
        <v>0</v>
      </c>
      <c r="F272">
        <f t="shared" si="195"/>
        <v>0</v>
      </c>
      <c r="G272">
        <f t="shared" si="196"/>
        <v>0</v>
      </c>
      <c r="H272">
        <f t="shared" si="197"/>
        <v>0</v>
      </c>
      <c r="I272">
        <f t="shared" si="198"/>
        <v>0</v>
      </c>
      <c r="J272">
        <f t="shared" si="199"/>
        <v>0</v>
      </c>
      <c r="K272">
        <f t="shared" si="200"/>
        <v>0</v>
      </c>
      <c r="L272">
        <f t="shared" si="201"/>
        <v>0</v>
      </c>
      <c r="M272">
        <f t="shared" si="202"/>
        <v>0</v>
      </c>
      <c r="N272">
        <f t="shared" si="203"/>
        <v>0</v>
      </c>
      <c r="O272">
        <f t="shared" si="204"/>
        <v>0</v>
      </c>
      <c r="P272">
        <f t="shared" si="205"/>
        <v>0</v>
      </c>
      <c r="Q272">
        <f t="shared" si="206"/>
        <v>0</v>
      </c>
      <c r="R272">
        <f t="shared" si="207"/>
        <v>0</v>
      </c>
      <c r="S272">
        <f t="shared" si="208"/>
        <v>0</v>
      </c>
      <c r="T272">
        <f t="shared" si="209"/>
        <v>0</v>
      </c>
      <c r="U272">
        <f t="shared" si="210"/>
        <v>0</v>
      </c>
      <c r="V272">
        <f t="shared" si="211"/>
        <v>0</v>
      </c>
      <c r="W272">
        <f t="shared" si="212"/>
        <v>0</v>
      </c>
      <c r="X272">
        <f t="shared" si="213"/>
        <v>0</v>
      </c>
      <c r="Y272">
        <f t="shared" si="214"/>
        <v>0</v>
      </c>
      <c r="Z272">
        <f t="shared" si="215"/>
        <v>0</v>
      </c>
      <c r="AA272">
        <f t="shared" si="216"/>
        <v>0</v>
      </c>
      <c r="AB272">
        <f t="shared" si="217"/>
        <v>0</v>
      </c>
      <c r="AC272">
        <f t="shared" si="218"/>
        <v>0</v>
      </c>
      <c r="AD272">
        <f t="shared" si="219"/>
        <v>0</v>
      </c>
      <c r="AE272">
        <f t="shared" si="220"/>
        <v>0</v>
      </c>
      <c r="AF272">
        <f t="shared" si="221"/>
        <v>0</v>
      </c>
      <c r="AG272">
        <f t="shared" si="222"/>
        <v>0</v>
      </c>
      <c r="AH272">
        <f t="shared" si="223"/>
        <v>0</v>
      </c>
      <c r="AI272">
        <f t="shared" si="224"/>
        <v>0</v>
      </c>
      <c r="AJ272">
        <f t="shared" si="225"/>
        <v>0</v>
      </c>
      <c r="AK272">
        <f t="shared" si="226"/>
        <v>0</v>
      </c>
      <c r="AL272">
        <f t="shared" si="227"/>
        <v>0</v>
      </c>
      <c r="AM272">
        <f t="shared" si="228"/>
        <v>0</v>
      </c>
      <c r="AN272">
        <f t="shared" si="229"/>
        <v>0</v>
      </c>
      <c r="AO272">
        <f t="shared" si="230"/>
        <v>0</v>
      </c>
      <c r="AP272">
        <f t="shared" si="231"/>
        <v>0</v>
      </c>
      <c r="AQ272">
        <f t="shared" si="232"/>
        <v>0</v>
      </c>
      <c r="AR272">
        <f t="shared" si="233"/>
        <v>0</v>
      </c>
      <c r="AS272">
        <f t="shared" si="234"/>
        <v>0</v>
      </c>
      <c r="AT272">
        <f t="shared" si="235"/>
        <v>0</v>
      </c>
      <c r="AU272">
        <f t="shared" si="236"/>
        <v>0</v>
      </c>
      <c r="AV272">
        <f t="shared" si="237"/>
        <v>0</v>
      </c>
      <c r="AW272">
        <f t="shared" si="192"/>
        <v>0</v>
      </c>
      <c r="AX272">
        <f t="shared" si="238"/>
        <v>0</v>
      </c>
      <c r="AY272">
        <f t="shared" si="239"/>
        <v>0</v>
      </c>
    </row>
    <row r="273" spans="1:51" x14ac:dyDescent="0.35">
      <c r="A273">
        <v>267</v>
      </c>
      <c r="C273">
        <f>MAX(0,Calc!$C$7-SUM(D273:R273))</f>
        <v>750</v>
      </c>
      <c r="D273">
        <f t="shared" si="193"/>
        <v>0</v>
      </c>
      <c r="E273">
        <f t="shared" si="194"/>
        <v>0</v>
      </c>
      <c r="F273">
        <f t="shared" si="195"/>
        <v>0</v>
      </c>
      <c r="G273">
        <f t="shared" si="196"/>
        <v>0</v>
      </c>
      <c r="H273">
        <f t="shared" si="197"/>
        <v>0</v>
      </c>
      <c r="I273">
        <f t="shared" si="198"/>
        <v>0</v>
      </c>
      <c r="J273">
        <f t="shared" si="199"/>
        <v>0</v>
      </c>
      <c r="K273">
        <f t="shared" si="200"/>
        <v>0</v>
      </c>
      <c r="L273">
        <f t="shared" si="201"/>
        <v>0</v>
      </c>
      <c r="M273">
        <f t="shared" si="202"/>
        <v>0</v>
      </c>
      <c r="N273">
        <f t="shared" si="203"/>
        <v>0</v>
      </c>
      <c r="O273">
        <f t="shared" si="204"/>
        <v>0</v>
      </c>
      <c r="P273">
        <f t="shared" si="205"/>
        <v>0</v>
      </c>
      <c r="Q273">
        <f t="shared" si="206"/>
        <v>0</v>
      </c>
      <c r="R273">
        <f t="shared" si="207"/>
        <v>0</v>
      </c>
      <c r="S273">
        <f t="shared" si="208"/>
        <v>0</v>
      </c>
      <c r="T273">
        <f t="shared" si="209"/>
        <v>0</v>
      </c>
      <c r="U273">
        <f t="shared" si="210"/>
        <v>0</v>
      </c>
      <c r="V273">
        <f t="shared" si="211"/>
        <v>0</v>
      </c>
      <c r="W273">
        <f t="shared" si="212"/>
        <v>0</v>
      </c>
      <c r="X273">
        <f t="shared" si="213"/>
        <v>0</v>
      </c>
      <c r="Y273">
        <f t="shared" si="214"/>
        <v>0</v>
      </c>
      <c r="Z273">
        <f t="shared" si="215"/>
        <v>0</v>
      </c>
      <c r="AA273">
        <f t="shared" si="216"/>
        <v>0</v>
      </c>
      <c r="AB273">
        <f t="shared" si="217"/>
        <v>0</v>
      </c>
      <c r="AC273">
        <f t="shared" si="218"/>
        <v>0</v>
      </c>
      <c r="AD273">
        <f t="shared" si="219"/>
        <v>0</v>
      </c>
      <c r="AE273">
        <f t="shared" si="220"/>
        <v>0</v>
      </c>
      <c r="AF273">
        <f t="shared" si="221"/>
        <v>0</v>
      </c>
      <c r="AG273">
        <f t="shared" si="222"/>
        <v>0</v>
      </c>
      <c r="AH273">
        <f t="shared" si="223"/>
        <v>0</v>
      </c>
      <c r="AI273">
        <f t="shared" si="224"/>
        <v>0</v>
      </c>
      <c r="AJ273">
        <f t="shared" si="225"/>
        <v>0</v>
      </c>
      <c r="AK273">
        <f t="shared" si="226"/>
        <v>0</v>
      </c>
      <c r="AL273">
        <f t="shared" si="227"/>
        <v>0</v>
      </c>
      <c r="AM273">
        <f t="shared" si="228"/>
        <v>0</v>
      </c>
      <c r="AN273">
        <f t="shared" si="229"/>
        <v>0</v>
      </c>
      <c r="AO273">
        <f t="shared" si="230"/>
        <v>0</v>
      </c>
      <c r="AP273">
        <f t="shared" si="231"/>
        <v>0</v>
      </c>
      <c r="AQ273">
        <f t="shared" si="232"/>
        <v>0</v>
      </c>
      <c r="AR273">
        <f t="shared" si="233"/>
        <v>0</v>
      </c>
      <c r="AS273">
        <f t="shared" si="234"/>
        <v>0</v>
      </c>
      <c r="AT273">
        <f t="shared" si="235"/>
        <v>0</v>
      </c>
      <c r="AU273">
        <f t="shared" si="236"/>
        <v>0</v>
      </c>
      <c r="AV273">
        <f t="shared" si="237"/>
        <v>0</v>
      </c>
      <c r="AW273">
        <f t="shared" si="192"/>
        <v>0</v>
      </c>
      <c r="AX273">
        <f t="shared" si="238"/>
        <v>0</v>
      </c>
      <c r="AY273">
        <f t="shared" si="239"/>
        <v>0</v>
      </c>
    </row>
    <row r="274" spans="1:51" x14ac:dyDescent="0.35">
      <c r="A274">
        <v>268</v>
      </c>
      <c r="C274">
        <f>MAX(0,Calc!$C$7-SUM(D274:R274))</f>
        <v>750</v>
      </c>
      <c r="D274">
        <f t="shared" si="193"/>
        <v>0</v>
      </c>
      <c r="E274">
        <f t="shared" si="194"/>
        <v>0</v>
      </c>
      <c r="F274">
        <f t="shared" si="195"/>
        <v>0</v>
      </c>
      <c r="G274">
        <f t="shared" si="196"/>
        <v>0</v>
      </c>
      <c r="H274">
        <f t="shared" si="197"/>
        <v>0</v>
      </c>
      <c r="I274">
        <f t="shared" si="198"/>
        <v>0</v>
      </c>
      <c r="J274">
        <f t="shared" si="199"/>
        <v>0</v>
      </c>
      <c r="K274">
        <f t="shared" si="200"/>
        <v>0</v>
      </c>
      <c r="L274">
        <f t="shared" si="201"/>
        <v>0</v>
      </c>
      <c r="M274">
        <f t="shared" si="202"/>
        <v>0</v>
      </c>
      <c r="N274">
        <f t="shared" si="203"/>
        <v>0</v>
      </c>
      <c r="O274">
        <f t="shared" si="204"/>
        <v>0</v>
      </c>
      <c r="P274">
        <f t="shared" si="205"/>
        <v>0</v>
      </c>
      <c r="Q274">
        <f t="shared" si="206"/>
        <v>0</v>
      </c>
      <c r="R274">
        <f t="shared" si="207"/>
        <v>0</v>
      </c>
      <c r="S274">
        <f t="shared" si="208"/>
        <v>0</v>
      </c>
      <c r="T274">
        <f t="shared" si="209"/>
        <v>0</v>
      </c>
      <c r="U274">
        <f t="shared" si="210"/>
        <v>0</v>
      </c>
      <c r="V274">
        <f t="shared" si="211"/>
        <v>0</v>
      </c>
      <c r="W274">
        <f t="shared" si="212"/>
        <v>0</v>
      </c>
      <c r="X274">
        <f t="shared" si="213"/>
        <v>0</v>
      </c>
      <c r="Y274">
        <f t="shared" si="214"/>
        <v>0</v>
      </c>
      <c r="Z274">
        <f t="shared" si="215"/>
        <v>0</v>
      </c>
      <c r="AA274">
        <f t="shared" si="216"/>
        <v>0</v>
      </c>
      <c r="AB274">
        <f t="shared" si="217"/>
        <v>0</v>
      </c>
      <c r="AC274">
        <f t="shared" si="218"/>
        <v>0</v>
      </c>
      <c r="AD274">
        <f t="shared" si="219"/>
        <v>0</v>
      </c>
      <c r="AE274">
        <f t="shared" si="220"/>
        <v>0</v>
      </c>
      <c r="AF274">
        <f t="shared" si="221"/>
        <v>0</v>
      </c>
      <c r="AG274">
        <f t="shared" si="222"/>
        <v>0</v>
      </c>
      <c r="AH274">
        <f t="shared" si="223"/>
        <v>0</v>
      </c>
      <c r="AI274">
        <f t="shared" si="224"/>
        <v>0</v>
      </c>
      <c r="AJ274">
        <f t="shared" si="225"/>
        <v>0</v>
      </c>
      <c r="AK274">
        <f t="shared" si="226"/>
        <v>0</v>
      </c>
      <c r="AL274">
        <f t="shared" si="227"/>
        <v>0</v>
      </c>
      <c r="AM274">
        <f t="shared" si="228"/>
        <v>0</v>
      </c>
      <c r="AN274">
        <f t="shared" si="229"/>
        <v>0</v>
      </c>
      <c r="AO274">
        <f t="shared" si="230"/>
        <v>0</v>
      </c>
      <c r="AP274">
        <f t="shared" si="231"/>
        <v>0</v>
      </c>
      <c r="AQ274">
        <f t="shared" si="232"/>
        <v>0</v>
      </c>
      <c r="AR274">
        <f t="shared" si="233"/>
        <v>0</v>
      </c>
      <c r="AS274">
        <f t="shared" si="234"/>
        <v>0</v>
      </c>
      <c r="AT274">
        <f t="shared" si="235"/>
        <v>0</v>
      </c>
      <c r="AU274">
        <f t="shared" si="236"/>
        <v>0</v>
      </c>
      <c r="AV274">
        <f t="shared" si="237"/>
        <v>0</v>
      </c>
      <c r="AW274">
        <f t="shared" si="192"/>
        <v>0</v>
      </c>
      <c r="AX274">
        <f t="shared" si="238"/>
        <v>0</v>
      </c>
      <c r="AY274">
        <f t="shared" si="239"/>
        <v>0</v>
      </c>
    </row>
    <row r="275" spans="1:51" x14ac:dyDescent="0.35">
      <c r="A275">
        <v>269</v>
      </c>
      <c r="C275">
        <f>MAX(0,Calc!$C$7-SUM(D275:R275))</f>
        <v>750</v>
      </c>
      <c r="D275">
        <f t="shared" si="193"/>
        <v>0</v>
      </c>
      <c r="E275">
        <f t="shared" si="194"/>
        <v>0</v>
      </c>
      <c r="F275">
        <f t="shared" si="195"/>
        <v>0</v>
      </c>
      <c r="G275">
        <f t="shared" si="196"/>
        <v>0</v>
      </c>
      <c r="H275">
        <f t="shared" si="197"/>
        <v>0</v>
      </c>
      <c r="I275">
        <f t="shared" si="198"/>
        <v>0</v>
      </c>
      <c r="J275">
        <f t="shared" si="199"/>
        <v>0</v>
      </c>
      <c r="K275">
        <f t="shared" si="200"/>
        <v>0</v>
      </c>
      <c r="L275">
        <f t="shared" si="201"/>
        <v>0</v>
      </c>
      <c r="M275">
        <f t="shared" si="202"/>
        <v>0</v>
      </c>
      <c r="N275">
        <f t="shared" si="203"/>
        <v>0</v>
      </c>
      <c r="O275">
        <f t="shared" si="204"/>
        <v>0</v>
      </c>
      <c r="P275">
        <f t="shared" si="205"/>
        <v>0</v>
      </c>
      <c r="Q275">
        <f t="shared" si="206"/>
        <v>0</v>
      </c>
      <c r="R275">
        <f t="shared" si="207"/>
        <v>0</v>
      </c>
      <c r="S275">
        <f t="shared" si="208"/>
        <v>0</v>
      </c>
      <c r="T275">
        <f t="shared" si="209"/>
        <v>0</v>
      </c>
      <c r="U275">
        <f t="shared" si="210"/>
        <v>0</v>
      </c>
      <c r="V275">
        <f t="shared" si="211"/>
        <v>0</v>
      </c>
      <c r="W275">
        <f t="shared" si="212"/>
        <v>0</v>
      </c>
      <c r="X275">
        <f t="shared" si="213"/>
        <v>0</v>
      </c>
      <c r="Y275">
        <f t="shared" si="214"/>
        <v>0</v>
      </c>
      <c r="Z275">
        <f t="shared" si="215"/>
        <v>0</v>
      </c>
      <c r="AA275">
        <f t="shared" si="216"/>
        <v>0</v>
      </c>
      <c r="AB275">
        <f t="shared" si="217"/>
        <v>0</v>
      </c>
      <c r="AC275">
        <f t="shared" si="218"/>
        <v>0</v>
      </c>
      <c r="AD275">
        <f t="shared" si="219"/>
        <v>0</v>
      </c>
      <c r="AE275">
        <f t="shared" si="220"/>
        <v>0</v>
      </c>
      <c r="AF275">
        <f t="shared" si="221"/>
        <v>0</v>
      </c>
      <c r="AG275">
        <f t="shared" si="222"/>
        <v>0</v>
      </c>
      <c r="AH275">
        <f t="shared" si="223"/>
        <v>0</v>
      </c>
      <c r="AI275">
        <f t="shared" si="224"/>
        <v>0</v>
      </c>
      <c r="AJ275">
        <f t="shared" si="225"/>
        <v>0</v>
      </c>
      <c r="AK275">
        <f t="shared" si="226"/>
        <v>0</v>
      </c>
      <c r="AL275">
        <f t="shared" si="227"/>
        <v>0</v>
      </c>
      <c r="AM275">
        <f t="shared" si="228"/>
        <v>0</v>
      </c>
      <c r="AN275">
        <f t="shared" si="229"/>
        <v>0</v>
      </c>
      <c r="AO275">
        <f t="shared" si="230"/>
        <v>0</v>
      </c>
      <c r="AP275">
        <f t="shared" si="231"/>
        <v>0</v>
      </c>
      <c r="AQ275">
        <f t="shared" si="232"/>
        <v>0</v>
      </c>
      <c r="AR275">
        <f t="shared" si="233"/>
        <v>0</v>
      </c>
      <c r="AS275">
        <f t="shared" si="234"/>
        <v>0</v>
      </c>
      <c r="AT275">
        <f t="shared" si="235"/>
        <v>0</v>
      </c>
      <c r="AU275">
        <f t="shared" si="236"/>
        <v>0</v>
      </c>
      <c r="AV275">
        <f t="shared" si="237"/>
        <v>0</v>
      </c>
      <c r="AW275">
        <f t="shared" si="192"/>
        <v>0</v>
      </c>
      <c r="AX275">
        <f t="shared" si="238"/>
        <v>0</v>
      </c>
      <c r="AY275">
        <f t="shared" si="239"/>
        <v>0</v>
      </c>
    </row>
    <row r="276" spans="1:51" x14ac:dyDescent="0.35">
      <c r="A276">
        <v>270</v>
      </c>
      <c r="C276">
        <f>MAX(0,Calc!$C$7-SUM(D276:R276))</f>
        <v>750</v>
      </c>
      <c r="D276">
        <f t="shared" si="193"/>
        <v>0</v>
      </c>
      <c r="E276">
        <f t="shared" si="194"/>
        <v>0</v>
      </c>
      <c r="F276">
        <f t="shared" si="195"/>
        <v>0</v>
      </c>
      <c r="G276">
        <f t="shared" si="196"/>
        <v>0</v>
      </c>
      <c r="H276">
        <f t="shared" si="197"/>
        <v>0</v>
      </c>
      <c r="I276">
        <f t="shared" si="198"/>
        <v>0</v>
      </c>
      <c r="J276">
        <f t="shared" si="199"/>
        <v>0</v>
      </c>
      <c r="K276">
        <f t="shared" si="200"/>
        <v>0</v>
      </c>
      <c r="L276">
        <f t="shared" si="201"/>
        <v>0</v>
      </c>
      <c r="M276">
        <f t="shared" si="202"/>
        <v>0</v>
      </c>
      <c r="N276">
        <f t="shared" si="203"/>
        <v>0</v>
      </c>
      <c r="O276">
        <f t="shared" si="204"/>
        <v>0</v>
      </c>
      <c r="P276">
        <f t="shared" si="205"/>
        <v>0</v>
      </c>
      <c r="Q276">
        <f t="shared" si="206"/>
        <v>0</v>
      </c>
      <c r="R276">
        <f t="shared" si="207"/>
        <v>0</v>
      </c>
      <c r="S276">
        <f t="shared" si="208"/>
        <v>0</v>
      </c>
      <c r="T276">
        <f t="shared" si="209"/>
        <v>0</v>
      </c>
      <c r="U276">
        <f t="shared" si="210"/>
        <v>0</v>
      </c>
      <c r="V276">
        <f t="shared" si="211"/>
        <v>0</v>
      </c>
      <c r="W276">
        <f t="shared" si="212"/>
        <v>0</v>
      </c>
      <c r="X276">
        <f t="shared" si="213"/>
        <v>0</v>
      </c>
      <c r="Y276">
        <f t="shared" si="214"/>
        <v>0</v>
      </c>
      <c r="Z276">
        <f t="shared" si="215"/>
        <v>0</v>
      </c>
      <c r="AA276">
        <f t="shared" si="216"/>
        <v>0</v>
      </c>
      <c r="AB276">
        <f t="shared" si="217"/>
        <v>0</v>
      </c>
      <c r="AC276">
        <f t="shared" si="218"/>
        <v>0</v>
      </c>
      <c r="AD276">
        <f t="shared" si="219"/>
        <v>0</v>
      </c>
      <c r="AE276">
        <f t="shared" si="220"/>
        <v>0</v>
      </c>
      <c r="AF276">
        <f t="shared" si="221"/>
        <v>0</v>
      </c>
      <c r="AG276">
        <f t="shared" si="222"/>
        <v>0</v>
      </c>
      <c r="AH276">
        <f t="shared" si="223"/>
        <v>0</v>
      </c>
      <c r="AI276">
        <f t="shared" si="224"/>
        <v>0</v>
      </c>
      <c r="AJ276">
        <f t="shared" si="225"/>
        <v>0</v>
      </c>
      <c r="AK276">
        <f t="shared" si="226"/>
        <v>0</v>
      </c>
      <c r="AL276">
        <f t="shared" si="227"/>
        <v>0</v>
      </c>
      <c r="AM276">
        <f t="shared" si="228"/>
        <v>0</v>
      </c>
      <c r="AN276">
        <f t="shared" si="229"/>
        <v>0</v>
      </c>
      <c r="AO276">
        <f t="shared" si="230"/>
        <v>0</v>
      </c>
      <c r="AP276">
        <f t="shared" si="231"/>
        <v>0</v>
      </c>
      <c r="AQ276">
        <f t="shared" si="232"/>
        <v>0</v>
      </c>
      <c r="AR276">
        <f t="shared" si="233"/>
        <v>0</v>
      </c>
      <c r="AS276">
        <f t="shared" si="234"/>
        <v>0</v>
      </c>
      <c r="AT276">
        <f t="shared" si="235"/>
        <v>0</v>
      </c>
      <c r="AU276">
        <f t="shared" si="236"/>
        <v>0</v>
      </c>
      <c r="AV276">
        <f t="shared" si="237"/>
        <v>0</v>
      </c>
      <c r="AW276">
        <f t="shared" si="192"/>
        <v>0</v>
      </c>
      <c r="AX276">
        <f t="shared" si="238"/>
        <v>0</v>
      </c>
      <c r="AY276">
        <f t="shared" si="239"/>
        <v>0</v>
      </c>
    </row>
    <row r="277" spans="1:51" x14ac:dyDescent="0.35">
      <c r="A277">
        <v>271</v>
      </c>
      <c r="C277">
        <f>MAX(0,Calc!$C$7-SUM(D277:R277))</f>
        <v>750</v>
      </c>
      <c r="D277">
        <f t="shared" si="193"/>
        <v>0</v>
      </c>
      <c r="E277">
        <f t="shared" si="194"/>
        <v>0</v>
      </c>
      <c r="F277">
        <f t="shared" si="195"/>
        <v>0</v>
      </c>
      <c r="G277">
        <f t="shared" si="196"/>
        <v>0</v>
      </c>
      <c r="H277">
        <f t="shared" si="197"/>
        <v>0</v>
      </c>
      <c r="I277">
        <f t="shared" si="198"/>
        <v>0</v>
      </c>
      <c r="J277">
        <f t="shared" si="199"/>
        <v>0</v>
      </c>
      <c r="K277">
        <f t="shared" si="200"/>
        <v>0</v>
      </c>
      <c r="L277">
        <f t="shared" si="201"/>
        <v>0</v>
      </c>
      <c r="M277">
        <f t="shared" si="202"/>
        <v>0</v>
      </c>
      <c r="N277">
        <f t="shared" si="203"/>
        <v>0</v>
      </c>
      <c r="O277">
        <f t="shared" si="204"/>
        <v>0</v>
      </c>
      <c r="P277">
        <f t="shared" si="205"/>
        <v>0</v>
      </c>
      <c r="Q277">
        <f t="shared" si="206"/>
        <v>0</v>
      </c>
      <c r="R277">
        <f t="shared" si="207"/>
        <v>0</v>
      </c>
      <c r="S277">
        <f t="shared" si="208"/>
        <v>0</v>
      </c>
      <c r="T277">
        <f t="shared" si="209"/>
        <v>0</v>
      </c>
      <c r="U277">
        <f t="shared" si="210"/>
        <v>0</v>
      </c>
      <c r="V277">
        <f t="shared" si="211"/>
        <v>0</v>
      </c>
      <c r="W277">
        <f t="shared" si="212"/>
        <v>0</v>
      </c>
      <c r="X277">
        <f t="shared" si="213"/>
        <v>0</v>
      </c>
      <c r="Y277">
        <f t="shared" si="214"/>
        <v>0</v>
      </c>
      <c r="Z277">
        <f t="shared" si="215"/>
        <v>0</v>
      </c>
      <c r="AA277">
        <f t="shared" si="216"/>
        <v>0</v>
      </c>
      <c r="AB277">
        <f t="shared" si="217"/>
        <v>0</v>
      </c>
      <c r="AC277">
        <f t="shared" si="218"/>
        <v>0</v>
      </c>
      <c r="AD277">
        <f t="shared" si="219"/>
        <v>0</v>
      </c>
      <c r="AE277">
        <f t="shared" si="220"/>
        <v>0</v>
      </c>
      <c r="AF277">
        <f t="shared" si="221"/>
        <v>0</v>
      </c>
      <c r="AG277">
        <f t="shared" si="222"/>
        <v>0</v>
      </c>
      <c r="AH277">
        <f t="shared" si="223"/>
        <v>0</v>
      </c>
      <c r="AI277">
        <f t="shared" si="224"/>
        <v>0</v>
      </c>
      <c r="AJ277">
        <f t="shared" si="225"/>
        <v>0</v>
      </c>
      <c r="AK277">
        <f t="shared" si="226"/>
        <v>0</v>
      </c>
      <c r="AL277">
        <f t="shared" si="227"/>
        <v>0</v>
      </c>
      <c r="AM277">
        <f t="shared" si="228"/>
        <v>0</v>
      </c>
      <c r="AN277">
        <f t="shared" si="229"/>
        <v>0</v>
      </c>
      <c r="AO277">
        <f t="shared" si="230"/>
        <v>0</v>
      </c>
      <c r="AP277">
        <f t="shared" si="231"/>
        <v>0</v>
      </c>
      <c r="AQ277">
        <f t="shared" si="232"/>
        <v>0</v>
      </c>
      <c r="AR277">
        <f t="shared" si="233"/>
        <v>0</v>
      </c>
      <c r="AS277">
        <f t="shared" si="234"/>
        <v>0</v>
      </c>
      <c r="AT277">
        <f t="shared" si="235"/>
        <v>0</v>
      </c>
      <c r="AU277">
        <f t="shared" si="236"/>
        <v>0</v>
      </c>
      <c r="AV277">
        <f t="shared" si="237"/>
        <v>0</v>
      </c>
      <c r="AW277">
        <f t="shared" si="192"/>
        <v>0</v>
      </c>
      <c r="AX277">
        <f t="shared" si="238"/>
        <v>0</v>
      </c>
      <c r="AY277">
        <f t="shared" si="239"/>
        <v>0</v>
      </c>
    </row>
    <row r="278" spans="1:51" x14ac:dyDescent="0.35">
      <c r="A278">
        <v>272</v>
      </c>
      <c r="C278">
        <f>MAX(0,Calc!$C$7-SUM(D278:R278))</f>
        <v>750</v>
      </c>
      <c r="D278">
        <f t="shared" si="193"/>
        <v>0</v>
      </c>
      <c r="E278">
        <f t="shared" si="194"/>
        <v>0</v>
      </c>
      <c r="F278">
        <f t="shared" si="195"/>
        <v>0</v>
      </c>
      <c r="G278">
        <f t="shared" si="196"/>
        <v>0</v>
      </c>
      <c r="H278">
        <f t="shared" si="197"/>
        <v>0</v>
      </c>
      <c r="I278">
        <f t="shared" si="198"/>
        <v>0</v>
      </c>
      <c r="J278">
        <f t="shared" si="199"/>
        <v>0</v>
      </c>
      <c r="K278">
        <f t="shared" si="200"/>
        <v>0</v>
      </c>
      <c r="L278">
        <f t="shared" si="201"/>
        <v>0</v>
      </c>
      <c r="M278">
        <f t="shared" si="202"/>
        <v>0</v>
      </c>
      <c r="N278">
        <f t="shared" si="203"/>
        <v>0</v>
      </c>
      <c r="O278">
        <f t="shared" si="204"/>
        <v>0</v>
      </c>
      <c r="P278">
        <f t="shared" si="205"/>
        <v>0</v>
      </c>
      <c r="Q278">
        <f t="shared" si="206"/>
        <v>0</v>
      </c>
      <c r="R278">
        <f t="shared" si="207"/>
        <v>0</v>
      </c>
      <c r="S278">
        <f t="shared" si="208"/>
        <v>0</v>
      </c>
      <c r="T278">
        <f t="shared" si="209"/>
        <v>0</v>
      </c>
      <c r="U278">
        <f t="shared" si="210"/>
        <v>0</v>
      </c>
      <c r="V278">
        <f t="shared" si="211"/>
        <v>0</v>
      </c>
      <c r="W278">
        <f t="shared" si="212"/>
        <v>0</v>
      </c>
      <c r="X278">
        <f t="shared" si="213"/>
        <v>0</v>
      </c>
      <c r="Y278">
        <f t="shared" si="214"/>
        <v>0</v>
      </c>
      <c r="Z278">
        <f t="shared" si="215"/>
        <v>0</v>
      </c>
      <c r="AA278">
        <f t="shared" si="216"/>
        <v>0</v>
      </c>
      <c r="AB278">
        <f t="shared" si="217"/>
        <v>0</v>
      </c>
      <c r="AC278">
        <f t="shared" si="218"/>
        <v>0</v>
      </c>
      <c r="AD278">
        <f t="shared" si="219"/>
        <v>0</v>
      </c>
      <c r="AE278">
        <f t="shared" si="220"/>
        <v>0</v>
      </c>
      <c r="AF278">
        <f t="shared" si="221"/>
        <v>0</v>
      </c>
      <c r="AG278">
        <f t="shared" si="222"/>
        <v>0</v>
      </c>
      <c r="AH278">
        <f t="shared" si="223"/>
        <v>0</v>
      </c>
      <c r="AI278">
        <f t="shared" si="224"/>
        <v>0</v>
      </c>
      <c r="AJ278">
        <f t="shared" si="225"/>
        <v>0</v>
      </c>
      <c r="AK278">
        <f t="shared" si="226"/>
        <v>0</v>
      </c>
      <c r="AL278">
        <f t="shared" si="227"/>
        <v>0</v>
      </c>
      <c r="AM278">
        <f t="shared" si="228"/>
        <v>0</v>
      </c>
      <c r="AN278">
        <f t="shared" si="229"/>
        <v>0</v>
      </c>
      <c r="AO278">
        <f t="shared" si="230"/>
        <v>0</v>
      </c>
      <c r="AP278">
        <f t="shared" si="231"/>
        <v>0</v>
      </c>
      <c r="AQ278">
        <f t="shared" si="232"/>
        <v>0</v>
      </c>
      <c r="AR278">
        <f t="shared" si="233"/>
        <v>0</v>
      </c>
      <c r="AS278">
        <f t="shared" si="234"/>
        <v>0</v>
      </c>
      <c r="AT278">
        <f t="shared" si="235"/>
        <v>0</v>
      </c>
      <c r="AU278">
        <f t="shared" si="236"/>
        <v>0</v>
      </c>
      <c r="AV278">
        <f t="shared" si="237"/>
        <v>0</v>
      </c>
      <c r="AW278">
        <f t="shared" si="192"/>
        <v>0</v>
      </c>
      <c r="AX278">
        <f t="shared" si="238"/>
        <v>0</v>
      </c>
      <c r="AY278">
        <f t="shared" si="239"/>
        <v>0</v>
      </c>
    </row>
    <row r="279" spans="1:51" x14ac:dyDescent="0.35">
      <c r="A279">
        <v>273</v>
      </c>
      <c r="C279">
        <f>MAX(0,Calc!$C$7-SUM(D279:R279))</f>
        <v>750</v>
      </c>
      <c r="D279">
        <f t="shared" si="193"/>
        <v>0</v>
      </c>
      <c r="E279">
        <f t="shared" si="194"/>
        <v>0</v>
      </c>
      <c r="F279">
        <f t="shared" si="195"/>
        <v>0</v>
      </c>
      <c r="G279">
        <f t="shared" si="196"/>
        <v>0</v>
      </c>
      <c r="H279">
        <f t="shared" si="197"/>
        <v>0</v>
      </c>
      <c r="I279">
        <f t="shared" si="198"/>
        <v>0</v>
      </c>
      <c r="J279">
        <f t="shared" si="199"/>
        <v>0</v>
      </c>
      <c r="K279">
        <f t="shared" si="200"/>
        <v>0</v>
      </c>
      <c r="L279">
        <f t="shared" si="201"/>
        <v>0</v>
      </c>
      <c r="M279">
        <f t="shared" si="202"/>
        <v>0</v>
      </c>
      <c r="N279">
        <f t="shared" si="203"/>
        <v>0</v>
      </c>
      <c r="O279">
        <f t="shared" si="204"/>
        <v>0</v>
      </c>
      <c r="P279">
        <f t="shared" si="205"/>
        <v>0</v>
      </c>
      <c r="Q279">
        <f t="shared" si="206"/>
        <v>0</v>
      </c>
      <c r="R279">
        <f t="shared" si="207"/>
        <v>0</v>
      </c>
      <c r="S279">
        <f t="shared" si="208"/>
        <v>0</v>
      </c>
      <c r="T279">
        <f t="shared" si="209"/>
        <v>0</v>
      </c>
      <c r="U279">
        <f t="shared" si="210"/>
        <v>0</v>
      </c>
      <c r="V279">
        <f t="shared" si="211"/>
        <v>0</v>
      </c>
      <c r="W279">
        <f t="shared" si="212"/>
        <v>0</v>
      </c>
      <c r="X279">
        <f t="shared" si="213"/>
        <v>0</v>
      </c>
      <c r="Y279">
        <f t="shared" si="214"/>
        <v>0</v>
      </c>
      <c r="Z279">
        <f t="shared" si="215"/>
        <v>0</v>
      </c>
      <c r="AA279">
        <f t="shared" si="216"/>
        <v>0</v>
      </c>
      <c r="AB279">
        <f t="shared" si="217"/>
        <v>0</v>
      </c>
      <c r="AC279">
        <f t="shared" si="218"/>
        <v>0</v>
      </c>
      <c r="AD279">
        <f t="shared" si="219"/>
        <v>0</v>
      </c>
      <c r="AE279">
        <f t="shared" si="220"/>
        <v>0</v>
      </c>
      <c r="AF279">
        <f t="shared" si="221"/>
        <v>0</v>
      </c>
      <c r="AG279">
        <f t="shared" si="222"/>
        <v>0</v>
      </c>
      <c r="AH279">
        <f t="shared" si="223"/>
        <v>0</v>
      </c>
      <c r="AI279">
        <f t="shared" si="224"/>
        <v>0</v>
      </c>
      <c r="AJ279">
        <f t="shared" si="225"/>
        <v>0</v>
      </c>
      <c r="AK279">
        <f t="shared" si="226"/>
        <v>0</v>
      </c>
      <c r="AL279">
        <f t="shared" si="227"/>
        <v>0</v>
      </c>
      <c r="AM279">
        <f t="shared" si="228"/>
        <v>0</v>
      </c>
      <c r="AN279">
        <f t="shared" si="229"/>
        <v>0</v>
      </c>
      <c r="AO279">
        <f t="shared" si="230"/>
        <v>0</v>
      </c>
      <c r="AP279">
        <f t="shared" si="231"/>
        <v>0</v>
      </c>
      <c r="AQ279">
        <f t="shared" si="232"/>
        <v>0</v>
      </c>
      <c r="AR279">
        <f t="shared" si="233"/>
        <v>0</v>
      </c>
      <c r="AS279">
        <f t="shared" si="234"/>
        <v>0</v>
      </c>
      <c r="AT279">
        <f t="shared" si="235"/>
        <v>0</v>
      </c>
      <c r="AU279">
        <f t="shared" si="236"/>
        <v>0</v>
      </c>
      <c r="AV279">
        <f t="shared" si="237"/>
        <v>0</v>
      </c>
      <c r="AW279">
        <f t="shared" si="192"/>
        <v>0</v>
      </c>
      <c r="AX279">
        <f t="shared" si="238"/>
        <v>0</v>
      </c>
      <c r="AY279">
        <f t="shared" si="239"/>
        <v>0</v>
      </c>
    </row>
    <row r="280" spans="1:51" x14ac:dyDescent="0.35">
      <c r="A280">
        <v>274</v>
      </c>
      <c r="C280">
        <f>MAX(0,Calc!$C$7-SUM(D280:R280))</f>
        <v>750</v>
      </c>
      <c r="D280">
        <f t="shared" si="193"/>
        <v>0</v>
      </c>
      <c r="E280">
        <f t="shared" si="194"/>
        <v>0</v>
      </c>
      <c r="F280">
        <f t="shared" si="195"/>
        <v>0</v>
      </c>
      <c r="G280">
        <f t="shared" si="196"/>
        <v>0</v>
      </c>
      <c r="H280">
        <f t="shared" si="197"/>
        <v>0</v>
      </c>
      <c r="I280">
        <f t="shared" si="198"/>
        <v>0</v>
      </c>
      <c r="J280">
        <f t="shared" si="199"/>
        <v>0</v>
      </c>
      <c r="K280">
        <f t="shared" si="200"/>
        <v>0</v>
      </c>
      <c r="L280">
        <f t="shared" si="201"/>
        <v>0</v>
      </c>
      <c r="M280">
        <f t="shared" si="202"/>
        <v>0</v>
      </c>
      <c r="N280">
        <f t="shared" si="203"/>
        <v>0</v>
      </c>
      <c r="O280">
        <f t="shared" si="204"/>
        <v>0</v>
      </c>
      <c r="P280">
        <f t="shared" si="205"/>
        <v>0</v>
      </c>
      <c r="Q280">
        <f t="shared" si="206"/>
        <v>0</v>
      </c>
      <c r="R280">
        <f t="shared" si="207"/>
        <v>0</v>
      </c>
      <c r="S280">
        <f t="shared" si="208"/>
        <v>0</v>
      </c>
      <c r="T280">
        <f t="shared" si="209"/>
        <v>0</v>
      </c>
      <c r="U280">
        <f t="shared" si="210"/>
        <v>0</v>
      </c>
      <c r="V280">
        <f t="shared" si="211"/>
        <v>0</v>
      </c>
      <c r="W280">
        <f t="shared" si="212"/>
        <v>0</v>
      </c>
      <c r="X280">
        <f t="shared" si="213"/>
        <v>0</v>
      </c>
      <c r="Y280">
        <f t="shared" si="214"/>
        <v>0</v>
      </c>
      <c r="Z280">
        <f t="shared" si="215"/>
        <v>0</v>
      </c>
      <c r="AA280">
        <f t="shared" si="216"/>
        <v>0</v>
      </c>
      <c r="AB280">
        <f t="shared" si="217"/>
        <v>0</v>
      </c>
      <c r="AC280">
        <f t="shared" si="218"/>
        <v>0</v>
      </c>
      <c r="AD280">
        <f t="shared" si="219"/>
        <v>0</v>
      </c>
      <c r="AE280">
        <f t="shared" si="220"/>
        <v>0</v>
      </c>
      <c r="AF280">
        <f t="shared" si="221"/>
        <v>0</v>
      </c>
      <c r="AG280">
        <f t="shared" si="222"/>
        <v>0</v>
      </c>
      <c r="AH280">
        <f t="shared" si="223"/>
        <v>0</v>
      </c>
      <c r="AI280">
        <f t="shared" si="224"/>
        <v>0</v>
      </c>
      <c r="AJ280">
        <f t="shared" si="225"/>
        <v>0</v>
      </c>
      <c r="AK280">
        <f t="shared" si="226"/>
        <v>0</v>
      </c>
      <c r="AL280">
        <f t="shared" si="227"/>
        <v>0</v>
      </c>
      <c r="AM280">
        <f t="shared" si="228"/>
        <v>0</v>
      </c>
      <c r="AN280">
        <f t="shared" si="229"/>
        <v>0</v>
      </c>
      <c r="AO280">
        <f t="shared" si="230"/>
        <v>0</v>
      </c>
      <c r="AP280">
        <f t="shared" si="231"/>
        <v>0</v>
      </c>
      <c r="AQ280">
        <f t="shared" si="232"/>
        <v>0</v>
      </c>
      <c r="AR280">
        <f t="shared" si="233"/>
        <v>0</v>
      </c>
      <c r="AS280">
        <f t="shared" si="234"/>
        <v>0</v>
      </c>
      <c r="AT280">
        <f t="shared" si="235"/>
        <v>0</v>
      </c>
      <c r="AU280">
        <f t="shared" si="236"/>
        <v>0</v>
      </c>
      <c r="AV280">
        <f t="shared" si="237"/>
        <v>0</v>
      </c>
      <c r="AW280">
        <f t="shared" si="192"/>
        <v>0</v>
      </c>
      <c r="AX280">
        <f t="shared" si="238"/>
        <v>0</v>
      </c>
      <c r="AY280">
        <f t="shared" si="239"/>
        <v>0</v>
      </c>
    </row>
    <row r="281" spans="1:51" x14ac:dyDescent="0.35">
      <c r="A281">
        <v>275</v>
      </c>
      <c r="C281">
        <f>MAX(0,Calc!$C$7-SUM(D281:R281))</f>
        <v>750</v>
      </c>
      <c r="D281">
        <f t="shared" si="193"/>
        <v>0</v>
      </c>
      <c r="E281">
        <f t="shared" si="194"/>
        <v>0</v>
      </c>
      <c r="F281">
        <f t="shared" si="195"/>
        <v>0</v>
      </c>
      <c r="G281">
        <f t="shared" si="196"/>
        <v>0</v>
      </c>
      <c r="H281">
        <f t="shared" si="197"/>
        <v>0</v>
      </c>
      <c r="I281">
        <f t="shared" si="198"/>
        <v>0</v>
      </c>
      <c r="J281">
        <f t="shared" si="199"/>
        <v>0</v>
      </c>
      <c r="K281">
        <f t="shared" si="200"/>
        <v>0</v>
      </c>
      <c r="L281">
        <f t="shared" si="201"/>
        <v>0</v>
      </c>
      <c r="M281">
        <f t="shared" si="202"/>
        <v>0</v>
      </c>
      <c r="N281">
        <f t="shared" si="203"/>
        <v>0</v>
      </c>
      <c r="O281">
        <f t="shared" si="204"/>
        <v>0</v>
      </c>
      <c r="P281">
        <f t="shared" si="205"/>
        <v>0</v>
      </c>
      <c r="Q281">
        <f t="shared" si="206"/>
        <v>0</v>
      </c>
      <c r="R281">
        <f t="shared" si="207"/>
        <v>0</v>
      </c>
      <c r="S281">
        <f t="shared" si="208"/>
        <v>0</v>
      </c>
      <c r="T281">
        <f t="shared" si="209"/>
        <v>0</v>
      </c>
      <c r="U281">
        <f t="shared" si="210"/>
        <v>0</v>
      </c>
      <c r="V281">
        <f t="shared" si="211"/>
        <v>0</v>
      </c>
      <c r="W281">
        <f t="shared" si="212"/>
        <v>0</v>
      </c>
      <c r="X281">
        <f t="shared" si="213"/>
        <v>0</v>
      </c>
      <c r="Y281">
        <f t="shared" si="214"/>
        <v>0</v>
      </c>
      <c r="Z281">
        <f t="shared" si="215"/>
        <v>0</v>
      </c>
      <c r="AA281">
        <f t="shared" si="216"/>
        <v>0</v>
      </c>
      <c r="AB281">
        <f t="shared" si="217"/>
        <v>0</v>
      </c>
      <c r="AC281">
        <f t="shared" si="218"/>
        <v>0</v>
      </c>
      <c r="AD281">
        <f t="shared" si="219"/>
        <v>0</v>
      </c>
      <c r="AE281">
        <f t="shared" si="220"/>
        <v>0</v>
      </c>
      <c r="AF281">
        <f t="shared" si="221"/>
        <v>0</v>
      </c>
      <c r="AG281">
        <f t="shared" si="222"/>
        <v>0</v>
      </c>
      <c r="AH281">
        <f t="shared" si="223"/>
        <v>0</v>
      </c>
      <c r="AI281">
        <f t="shared" si="224"/>
        <v>0</v>
      </c>
      <c r="AJ281">
        <f t="shared" si="225"/>
        <v>0</v>
      </c>
      <c r="AK281">
        <f t="shared" si="226"/>
        <v>0</v>
      </c>
      <c r="AL281">
        <f t="shared" si="227"/>
        <v>0</v>
      </c>
      <c r="AM281">
        <f t="shared" si="228"/>
        <v>0</v>
      </c>
      <c r="AN281">
        <f t="shared" si="229"/>
        <v>0</v>
      </c>
      <c r="AO281">
        <f t="shared" si="230"/>
        <v>0</v>
      </c>
      <c r="AP281">
        <f t="shared" si="231"/>
        <v>0</v>
      </c>
      <c r="AQ281">
        <f t="shared" si="232"/>
        <v>0</v>
      </c>
      <c r="AR281">
        <f t="shared" si="233"/>
        <v>0</v>
      </c>
      <c r="AS281">
        <f t="shared" si="234"/>
        <v>0</v>
      </c>
      <c r="AT281">
        <f t="shared" si="235"/>
        <v>0</v>
      </c>
      <c r="AU281">
        <f t="shared" si="236"/>
        <v>0</v>
      </c>
      <c r="AV281">
        <f t="shared" si="237"/>
        <v>0</v>
      </c>
      <c r="AW281">
        <f t="shared" si="192"/>
        <v>0</v>
      </c>
      <c r="AX281">
        <f t="shared" si="238"/>
        <v>0</v>
      </c>
      <c r="AY281">
        <f t="shared" si="239"/>
        <v>0</v>
      </c>
    </row>
    <row r="282" spans="1:51" x14ac:dyDescent="0.35">
      <c r="A282">
        <v>276</v>
      </c>
      <c r="C282">
        <f>MAX(0,Calc!$C$7-SUM(D282:R282))</f>
        <v>750</v>
      </c>
      <c r="D282">
        <f t="shared" si="193"/>
        <v>0</v>
      </c>
      <c r="E282">
        <f t="shared" si="194"/>
        <v>0</v>
      </c>
      <c r="F282">
        <f t="shared" si="195"/>
        <v>0</v>
      </c>
      <c r="G282">
        <f t="shared" si="196"/>
        <v>0</v>
      </c>
      <c r="H282">
        <f t="shared" si="197"/>
        <v>0</v>
      </c>
      <c r="I282">
        <f t="shared" si="198"/>
        <v>0</v>
      </c>
      <c r="J282">
        <f t="shared" si="199"/>
        <v>0</v>
      </c>
      <c r="K282">
        <f t="shared" si="200"/>
        <v>0</v>
      </c>
      <c r="L282">
        <f t="shared" si="201"/>
        <v>0</v>
      </c>
      <c r="M282">
        <f t="shared" si="202"/>
        <v>0</v>
      </c>
      <c r="N282">
        <f t="shared" si="203"/>
        <v>0</v>
      </c>
      <c r="O282">
        <f t="shared" si="204"/>
        <v>0</v>
      </c>
      <c r="P282">
        <f t="shared" si="205"/>
        <v>0</v>
      </c>
      <c r="Q282">
        <f t="shared" si="206"/>
        <v>0</v>
      </c>
      <c r="R282">
        <f t="shared" si="207"/>
        <v>0</v>
      </c>
      <c r="S282">
        <f t="shared" si="208"/>
        <v>0</v>
      </c>
      <c r="T282">
        <f t="shared" si="209"/>
        <v>0</v>
      </c>
      <c r="U282">
        <f t="shared" si="210"/>
        <v>0</v>
      </c>
      <c r="V282">
        <f t="shared" si="211"/>
        <v>0</v>
      </c>
      <c r="W282">
        <f t="shared" si="212"/>
        <v>0</v>
      </c>
      <c r="X282">
        <f t="shared" si="213"/>
        <v>0</v>
      </c>
      <c r="Y282">
        <f t="shared" si="214"/>
        <v>0</v>
      </c>
      <c r="Z282">
        <f t="shared" si="215"/>
        <v>0</v>
      </c>
      <c r="AA282">
        <f t="shared" si="216"/>
        <v>0</v>
      </c>
      <c r="AB282">
        <f t="shared" si="217"/>
        <v>0</v>
      </c>
      <c r="AC282">
        <f t="shared" si="218"/>
        <v>0</v>
      </c>
      <c r="AD282">
        <f t="shared" si="219"/>
        <v>0</v>
      </c>
      <c r="AE282">
        <f t="shared" si="220"/>
        <v>0</v>
      </c>
      <c r="AF282">
        <f t="shared" si="221"/>
        <v>0</v>
      </c>
      <c r="AG282">
        <f t="shared" si="222"/>
        <v>0</v>
      </c>
      <c r="AH282">
        <f t="shared" si="223"/>
        <v>0</v>
      </c>
      <c r="AI282">
        <f t="shared" si="224"/>
        <v>0</v>
      </c>
      <c r="AJ282">
        <f t="shared" si="225"/>
        <v>0</v>
      </c>
      <c r="AK282">
        <f t="shared" si="226"/>
        <v>0</v>
      </c>
      <c r="AL282">
        <f t="shared" si="227"/>
        <v>0</v>
      </c>
      <c r="AM282">
        <f t="shared" si="228"/>
        <v>0</v>
      </c>
      <c r="AN282">
        <f t="shared" si="229"/>
        <v>0</v>
      </c>
      <c r="AO282">
        <f t="shared" si="230"/>
        <v>0</v>
      </c>
      <c r="AP282">
        <f t="shared" si="231"/>
        <v>0</v>
      </c>
      <c r="AQ282">
        <f t="shared" si="232"/>
        <v>0</v>
      </c>
      <c r="AR282">
        <f t="shared" si="233"/>
        <v>0</v>
      </c>
      <c r="AS282">
        <f t="shared" si="234"/>
        <v>0</v>
      </c>
      <c r="AT282">
        <f t="shared" si="235"/>
        <v>0</v>
      </c>
      <c r="AU282">
        <f t="shared" si="236"/>
        <v>0</v>
      </c>
      <c r="AV282">
        <f t="shared" si="237"/>
        <v>0</v>
      </c>
      <c r="AW282">
        <f t="shared" si="192"/>
        <v>0</v>
      </c>
      <c r="AX282">
        <f t="shared" si="238"/>
        <v>0</v>
      </c>
      <c r="AY282">
        <f t="shared" si="239"/>
        <v>0</v>
      </c>
    </row>
    <row r="283" spans="1:51" x14ac:dyDescent="0.35">
      <c r="A283">
        <v>277</v>
      </c>
      <c r="C283">
        <f>MAX(0,Calc!$C$7-SUM(D283:R283))</f>
        <v>750</v>
      </c>
      <c r="D283">
        <f t="shared" si="193"/>
        <v>0</v>
      </c>
      <c r="E283">
        <f t="shared" si="194"/>
        <v>0</v>
      </c>
      <c r="F283">
        <f t="shared" si="195"/>
        <v>0</v>
      </c>
      <c r="G283">
        <f t="shared" si="196"/>
        <v>0</v>
      </c>
      <c r="H283">
        <f t="shared" si="197"/>
        <v>0</v>
      </c>
      <c r="I283">
        <f t="shared" si="198"/>
        <v>0</v>
      </c>
      <c r="J283">
        <f t="shared" si="199"/>
        <v>0</v>
      </c>
      <c r="K283">
        <f t="shared" si="200"/>
        <v>0</v>
      </c>
      <c r="L283">
        <f t="shared" si="201"/>
        <v>0</v>
      </c>
      <c r="M283">
        <f t="shared" si="202"/>
        <v>0</v>
      </c>
      <c r="N283">
        <f t="shared" si="203"/>
        <v>0</v>
      </c>
      <c r="O283">
        <f t="shared" si="204"/>
        <v>0</v>
      </c>
      <c r="P283">
        <f t="shared" si="205"/>
        <v>0</v>
      </c>
      <c r="Q283">
        <f t="shared" si="206"/>
        <v>0</v>
      </c>
      <c r="R283">
        <f t="shared" si="207"/>
        <v>0</v>
      </c>
      <c r="S283">
        <f t="shared" si="208"/>
        <v>0</v>
      </c>
      <c r="T283">
        <f t="shared" si="209"/>
        <v>0</v>
      </c>
      <c r="U283">
        <f t="shared" si="210"/>
        <v>0</v>
      </c>
      <c r="V283">
        <f t="shared" si="211"/>
        <v>0</v>
      </c>
      <c r="W283">
        <f t="shared" si="212"/>
        <v>0</v>
      </c>
      <c r="X283">
        <f t="shared" si="213"/>
        <v>0</v>
      </c>
      <c r="Y283">
        <f t="shared" si="214"/>
        <v>0</v>
      </c>
      <c r="Z283">
        <f t="shared" si="215"/>
        <v>0</v>
      </c>
      <c r="AA283">
        <f t="shared" si="216"/>
        <v>0</v>
      </c>
      <c r="AB283">
        <f t="shared" si="217"/>
        <v>0</v>
      </c>
      <c r="AC283">
        <f t="shared" si="218"/>
        <v>0</v>
      </c>
      <c r="AD283">
        <f t="shared" si="219"/>
        <v>0</v>
      </c>
      <c r="AE283">
        <f t="shared" si="220"/>
        <v>0</v>
      </c>
      <c r="AF283">
        <f t="shared" si="221"/>
        <v>0</v>
      </c>
      <c r="AG283">
        <f t="shared" si="222"/>
        <v>0</v>
      </c>
      <c r="AH283">
        <f t="shared" si="223"/>
        <v>0</v>
      </c>
      <c r="AI283">
        <f t="shared" si="224"/>
        <v>0</v>
      </c>
      <c r="AJ283">
        <f t="shared" si="225"/>
        <v>0</v>
      </c>
      <c r="AK283">
        <f t="shared" si="226"/>
        <v>0</v>
      </c>
      <c r="AL283">
        <f t="shared" si="227"/>
        <v>0</v>
      </c>
      <c r="AM283">
        <f t="shared" si="228"/>
        <v>0</v>
      </c>
      <c r="AN283">
        <f t="shared" si="229"/>
        <v>0</v>
      </c>
      <c r="AO283">
        <f t="shared" si="230"/>
        <v>0</v>
      </c>
      <c r="AP283">
        <f t="shared" si="231"/>
        <v>0</v>
      </c>
      <c r="AQ283">
        <f t="shared" si="232"/>
        <v>0</v>
      </c>
      <c r="AR283">
        <f t="shared" si="233"/>
        <v>0</v>
      </c>
      <c r="AS283">
        <f t="shared" si="234"/>
        <v>0</v>
      </c>
      <c r="AT283">
        <f t="shared" si="235"/>
        <v>0</v>
      </c>
      <c r="AU283">
        <f t="shared" si="236"/>
        <v>0</v>
      </c>
      <c r="AV283">
        <f t="shared" si="237"/>
        <v>0</v>
      </c>
      <c r="AW283">
        <f t="shared" si="192"/>
        <v>0</v>
      </c>
      <c r="AX283">
        <f t="shared" si="238"/>
        <v>0</v>
      </c>
      <c r="AY283">
        <f t="shared" si="239"/>
        <v>0</v>
      </c>
    </row>
    <row r="284" spans="1:51" x14ac:dyDescent="0.35">
      <c r="A284">
        <v>278</v>
      </c>
      <c r="C284">
        <f>MAX(0,Calc!$C$7-SUM(D284:R284))</f>
        <v>750</v>
      </c>
      <c r="D284">
        <f t="shared" si="193"/>
        <v>0</v>
      </c>
      <c r="E284">
        <f t="shared" si="194"/>
        <v>0</v>
      </c>
      <c r="F284">
        <f t="shared" si="195"/>
        <v>0</v>
      </c>
      <c r="G284">
        <f t="shared" si="196"/>
        <v>0</v>
      </c>
      <c r="H284">
        <f t="shared" si="197"/>
        <v>0</v>
      </c>
      <c r="I284">
        <f t="shared" si="198"/>
        <v>0</v>
      </c>
      <c r="J284">
        <f t="shared" si="199"/>
        <v>0</v>
      </c>
      <c r="K284">
        <f t="shared" si="200"/>
        <v>0</v>
      </c>
      <c r="L284">
        <f t="shared" si="201"/>
        <v>0</v>
      </c>
      <c r="M284">
        <f t="shared" si="202"/>
        <v>0</v>
      </c>
      <c r="N284">
        <f t="shared" si="203"/>
        <v>0</v>
      </c>
      <c r="O284">
        <f t="shared" si="204"/>
        <v>0</v>
      </c>
      <c r="P284">
        <f t="shared" si="205"/>
        <v>0</v>
      </c>
      <c r="Q284">
        <f t="shared" si="206"/>
        <v>0</v>
      </c>
      <c r="R284">
        <f t="shared" si="207"/>
        <v>0</v>
      </c>
      <c r="S284">
        <f t="shared" si="208"/>
        <v>0</v>
      </c>
      <c r="T284">
        <f t="shared" si="209"/>
        <v>0</v>
      </c>
      <c r="U284">
        <f t="shared" si="210"/>
        <v>0</v>
      </c>
      <c r="V284">
        <f t="shared" si="211"/>
        <v>0</v>
      </c>
      <c r="W284">
        <f t="shared" si="212"/>
        <v>0</v>
      </c>
      <c r="X284">
        <f t="shared" si="213"/>
        <v>0</v>
      </c>
      <c r="Y284">
        <f t="shared" si="214"/>
        <v>0</v>
      </c>
      <c r="Z284">
        <f t="shared" si="215"/>
        <v>0</v>
      </c>
      <c r="AA284">
        <f t="shared" si="216"/>
        <v>0</v>
      </c>
      <c r="AB284">
        <f t="shared" si="217"/>
        <v>0</v>
      </c>
      <c r="AC284">
        <f t="shared" si="218"/>
        <v>0</v>
      </c>
      <c r="AD284">
        <f t="shared" si="219"/>
        <v>0</v>
      </c>
      <c r="AE284">
        <f t="shared" si="220"/>
        <v>0</v>
      </c>
      <c r="AF284">
        <f t="shared" si="221"/>
        <v>0</v>
      </c>
      <c r="AG284">
        <f t="shared" si="222"/>
        <v>0</v>
      </c>
      <c r="AH284">
        <f t="shared" si="223"/>
        <v>0</v>
      </c>
      <c r="AI284">
        <f t="shared" si="224"/>
        <v>0</v>
      </c>
      <c r="AJ284">
        <f t="shared" si="225"/>
        <v>0</v>
      </c>
      <c r="AK284">
        <f t="shared" si="226"/>
        <v>0</v>
      </c>
      <c r="AL284">
        <f t="shared" si="227"/>
        <v>0</v>
      </c>
      <c r="AM284">
        <f t="shared" si="228"/>
        <v>0</v>
      </c>
      <c r="AN284">
        <f t="shared" si="229"/>
        <v>0</v>
      </c>
      <c r="AO284">
        <f t="shared" si="230"/>
        <v>0</v>
      </c>
      <c r="AP284">
        <f t="shared" si="231"/>
        <v>0</v>
      </c>
      <c r="AQ284">
        <f t="shared" si="232"/>
        <v>0</v>
      </c>
      <c r="AR284">
        <f t="shared" si="233"/>
        <v>0</v>
      </c>
      <c r="AS284">
        <f t="shared" si="234"/>
        <v>0</v>
      </c>
      <c r="AT284">
        <f t="shared" si="235"/>
        <v>0</v>
      </c>
      <c r="AU284">
        <f t="shared" si="236"/>
        <v>0</v>
      </c>
      <c r="AV284">
        <f t="shared" si="237"/>
        <v>0</v>
      </c>
      <c r="AW284">
        <f t="shared" si="192"/>
        <v>0</v>
      </c>
      <c r="AX284">
        <f t="shared" si="238"/>
        <v>0</v>
      </c>
      <c r="AY284">
        <f t="shared" si="239"/>
        <v>0</v>
      </c>
    </row>
    <row r="285" spans="1:51" x14ac:dyDescent="0.35">
      <c r="A285">
        <v>279</v>
      </c>
      <c r="C285">
        <f>MAX(0,Calc!$C$7-SUM(D285:R285))</f>
        <v>750</v>
      </c>
      <c r="D285">
        <f t="shared" si="193"/>
        <v>0</v>
      </c>
      <c r="E285">
        <f t="shared" si="194"/>
        <v>0</v>
      </c>
      <c r="F285">
        <f t="shared" si="195"/>
        <v>0</v>
      </c>
      <c r="G285">
        <f t="shared" si="196"/>
        <v>0</v>
      </c>
      <c r="H285">
        <f t="shared" si="197"/>
        <v>0</v>
      </c>
      <c r="I285">
        <f t="shared" si="198"/>
        <v>0</v>
      </c>
      <c r="J285">
        <f t="shared" si="199"/>
        <v>0</v>
      </c>
      <c r="K285">
        <f t="shared" si="200"/>
        <v>0</v>
      </c>
      <c r="L285">
        <f t="shared" si="201"/>
        <v>0</v>
      </c>
      <c r="M285">
        <f t="shared" si="202"/>
        <v>0</v>
      </c>
      <c r="N285">
        <f t="shared" si="203"/>
        <v>0</v>
      </c>
      <c r="O285">
        <f t="shared" si="204"/>
        <v>0</v>
      </c>
      <c r="P285">
        <f t="shared" si="205"/>
        <v>0</v>
      </c>
      <c r="Q285">
        <f t="shared" si="206"/>
        <v>0</v>
      </c>
      <c r="R285">
        <f t="shared" si="207"/>
        <v>0</v>
      </c>
      <c r="S285">
        <f t="shared" si="208"/>
        <v>0</v>
      </c>
      <c r="T285">
        <f t="shared" si="209"/>
        <v>0</v>
      </c>
      <c r="U285">
        <f t="shared" si="210"/>
        <v>0</v>
      </c>
      <c r="V285">
        <f t="shared" si="211"/>
        <v>0</v>
      </c>
      <c r="W285">
        <f t="shared" si="212"/>
        <v>0</v>
      </c>
      <c r="X285">
        <f t="shared" si="213"/>
        <v>0</v>
      </c>
      <c r="Y285">
        <f t="shared" si="214"/>
        <v>0</v>
      </c>
      <c r="Z285">
        <f t="shared" si="215"/>
        <v>0</v>
      </c>
      <c r="AA285">
        <f t="shared" si="216"/>
        <v>0</v>
      </c>
      <c r="AB285">
        <f t="shared" si="217"/>
        <v>0</v>
      </c>
      <c r="AC285">
        <f t="shared" si="218"/>
        <v>0</v>
      </c>
      <c r="AD285">
        <f t="shared" si="219"/>
        <v>0</v>
      </c>
      <c r="AE285">
        <f t="shared" si="220"/>
        <v>0</v>
      </c>
      <c r="AF285">
        <f t="shared" si="221"/>
        <v>0</v>
      </c>
      <c r="AG285">
        <f t="shared" si="222"/>
        <v>0</v>
      </c>
      <c r="AH285">
        <f t="shared" si="223"/>
        <v>0</v>
      </c>
      <c r="AI285">
        <f t="shared" si="224"/>
        <v>0</v>
      </c>
      <c r="AJ285">
        <f t="shared" si="225"/>
        <v>0</v>
      </c>
      <c r="AK285">
        <f t="shared" si="226"/>
        <v>0</v>
      </c>
      <c r="AL285">
        <f t="shared" si="227"/>
        <v>0</v>
      </c>
      <c r="AM285">
        <f t="shared" si="228"/>
        <v>0</v>
      </c>
      <c r="AN285">
        <f t="shared" si="229"/>
        <v>0</v>
      </c>
      <c r="AO285">
        <f t="shared" si="230"/>
        <v>0</v>
      </c>
      <c r="AP285">
        <f t="shared" si="231"/>
        <v>0</v>
      </c>
      <c r="AQ285">
        <f t="shared" si="232"/>
        <v>0</v>
      </c>
      <c r="AR285">
        <f t="shared" si="233"/>
        <v>0</v>
      </c>
      <c r="AS285">
        <f t="shared" si="234"/>
        <v>0</v>
      </c>
      <c r="AT285">
        <f t="shared" si="235"/>
        <v>0</v>
      </c>
      <c r="AU285">
        <f t="shared" si="236"/>
        <v>0</v>
      </c>
      <c r="AV285">
        <f t="shared" si="237"/>
        <v>0</v>
      </c>
      <c r="AW285">
        <f t="shared" si="192"/>
        <v>0</v>
      </c>
      <c r="AX285">
        <f t="shared" si="238"/>
        <v>0</v>
      </c>
      <c r="AY285">
        <f t="shared" si="239"/>
        <v>0</v>
      </c>
    </row>
    <row r="286" spans="1:51" x14ac:dyDescent="0.35">
      <c r="A286">
        <v>280</v>
      </c>
      <c r="C286">
        <f>MAX(0,Calc!$C$7-SUM(D286:R286))</f>
        <v>750</v>
      </c>
      <c r="D286">
        <f t="shared" si="193"/>
        <v>0</v>
      </c>
      <c r="E286">
        <f t="shared" si="194"/>
        <v>0</v>
      </c>
      <c r="F286">
        <f t="shared" si="195"/>
        <v>0</v>
      </c>
      <c r="G286">
        <f t="shared" si="196"/>
        <v>0</v>
      </c>
      <c r="H286">
        <f t="shared" si="197"/>
        <v>0</v>
      </c>
      <c r="I286">
        <f t="shared" si="198"/>
        <v>0</v>
      </c>
      <c r="J286">
        <f t="shared" si="199"/>
        <v>0</v>
      </c>
      <c r="K286">
        <f t="shared" si="200"/>
        <v>0</v>
      </c>
      <c r="L286">
        <f t="shared" si="201"/>
        <v>0</v>
      </c>
      <c r="M286">
        <f t="shared" si="202"/>
        <v>0</v>
      </c>
      <c r="N286">
        <f t="shared" si="203"/>
        <v>0</v>
      </c>
      <c r="O286">
        <f t="shared" si="204"/>
        <v>0</v>
      </c>
      <c r="P286">
        <f t="shared" si="205"/>
        <v>0</v>
      </c>
      <c r="Q286">
        <f t="shared" si="206"/>
        <v>0</v>
      </c>
      <c r="R286">
        <f t="shared" si="207"/>
        <v>0</v>
      </c>
      <c r="S286">
        <f t="shared" si="208"/>
        <v>0</v>
      </c>
      <c r="T286">
        <f t="shared" si="209"/>
        <v>0</v>
      </c>
      <c r="U286">
        <f t="shared" si="210"/>
        <v>0</v>
      </c>
      <c r="V286">
        <f t="shared" si="211"/>
        <v>0</v>
      </c>
      <c r="W286">
        <f t="shared" si="212"/>
        <v>0</v>
      </c>
      <c r="X286">
        <f t="shared" si="213"/>
        <v>0</v>
      </c>
      <c r="Y286">
        <f t="shared" si="214"/>
        <v>0</v>
      </c>
      <c r="Z286">
        <f t="shared" si="215"/>
        <v>0</v>
      </c>
      <c r="AA286">
        <f t="shared" si="216"/>
        <v>0</v>
      </c>
      <c r="AB286">
        <f t="shared" si="217"/>
        <v>0</v>
      </c>
      <c r="AC286">
        <f t="shared" si="218"/>
        <v>0</v>
      </c>
      <c r="AD286">
        <f t="shared" si="219"/>
        <v>0</v>
      </c>
      <c r="AE286">
        <f t="shared" si="220"/>
        <v>0</v>
      </c>
      <c r="AF286">
        <f t="shared" si="221"/>
        <v>0</v>
      </c>
      <c r="AG286">
        <f t="shared" si="222"/>
        <v>0</v>
      </c>
      <c r="AH286">
        <f t="shared" si="223"/>
        <v>0</v>
      </c>
      <c r="AI286">
        <f t="shared" si="224"/>
        <v>0</v>
      </c>
      <c r="AJ286">
        <f t="shared" si="225"/>
        <v>0</v>
      </c>
      <c r="AK286">
        <f t="shared" si="226"/>
        <v>0</v>
      </c>
      <c r="AL286">
        <f t="shared" si="227"/>
        <v>0</v>
      </c>
      <c r="AM286">
        <f t="shared" si="228"/>
        <v>0</v>
      </c>
      <c r="AN286">
        <f t="shared" si="229"/>
        <v>0</v>
      </c>
      <c r="AO286">
        <f t="shared" si="230"/>
        <v>0</v>
      </c>
      <c r="AP286">
        <f t="shared" si="231"/>
        <v>0</v>
      </c>
      <c r="AQ286">
        <f t="shared" si="232"/>
        <v>0</v>
      </c>
      <c r="AR286">
        <f t="shared" si="233"/>
        <v>0</v>
      </c>
      <c r="AS286">
        <f t="shared" si="234"/>
        <v>0</v>
      </c>
      <c r="AT286">
        <f t="shared" si="235"/>
        <v>0</v>
      </c>
      <c r="AU286">
        <f t="shared" si="236"/>
        <v>0</v>
      </c>
      <c r="AV286">
        <f t="shared" si="237"/>
        <v>0</v>
      </c>
      <c r="AW286">
        <f t="shared" si="192"/>
        <v>0</v>
      </c>
      <c r="AX286">
        <f t="shared" si="238"/>
        <v>0</v>
      </c>
      <c r="AY286">
        <f t="shared" si="239"/>
        <v>0</v>
      </c>
    </row>
    <row r="287" spans="1:51" x14ac:dyDescent="0.35">
      <c r="A287">
        <v>281</v>
      </c>
      <c r="C287">
        <f>MAX(0,Calc!$C$7-SUM(D287:R287))</f>
        <v>750</v>
      </c>
      <c r="D287">
        <f t="shared" si="193"/>
        <v>0</v>
      </c>
      <c r="E287">
        <f t="shared" si="194"/>
        <v>0</v>
      </c>
      <c r="F287">
        <f t="shared" si="195"/>
        <v>0</v>
      </c>
      <c r="G287">
        <f t="shared" si="196"/>
        <v>0</v>
      </c>
      <c r="H287">
        <f t="shared" si="197"/>
        <v>0</v>
      </c>
      <c r="I287">
        <f t="shared" si="198"/>
        <v>0</v>
      </c>
      <c r="J287">
        <f t="shared" si="199"/>
        <v>0</v>
      </c>
      <c r="K287">
        <f t="shared" si="200"/>
        <v>0</v>
      </c>
      <c r="L287">
        <f t="shared" si="201"/>
        <v>0</v>
      </c>
      <c r="M287">
        <f t="shared" si="202"/>
        <v>0</v>
      </c>
      <c r="N287">
        <f t="shared" si="203"/>
        <v>0</v>
      </c>
      <c r="O287">
        <f t="shared" si="204"/>
        <v>0</v>
      </c>
      <c r="P287">
        <f t="shared" si="205"/>
        <v>0</v>
      </c>
      <c r="Q287">
        <f t="shared" si="206"/>
        <v>0</v>
      </c>
      <c r="R287">
        <f t="shared" si="207"/>
        <v>0</v>
      </c>
      <c r="S287">
        <f t="shared" si="208"/>
        <v>0</v>
      </c>
      <c r="T287">
        <f t="shared" si="209"/>
        <v>0</v>
      </c>
      <c r="U287">
        <f t="shared" si="210"/>
        <v>0</v>
      </c>
      <c r="V287">
        <f t="shared" si="211"/>
        <v>0</v>
      </c>
      <c r="W287">
        <f t="shared" si="212"/>
        <v>0</v>
      </c>
      <c r="X287">
        <f t="shared" si="213"/>
        <v>0</v>
      </c>
      <c r="Y287">
        <f t="shared" si="214"/>
        <v>0</v>
      </c>
      <c r="Z287">
        <f t="shared" si="215"/>
        <v>0</v>
      </c>
      <c r="AA287">
        <f t="shared" si="216"/>
        <v>0</v>
      </c>
      <c r="AB287">
        <f t="shared" si="217"/>
        <v>0</v>
      </c>
      <c r="AC287">
        <f t="shared" si="218"/>
        <v>0</v>
      </c>
      <c r="AD287">
        <f t="shared" si="219"/>
        <v>0</v>
      </c>
      <c r="AE287">
        <f t="shared" si="220"/>
        <v>0</v>
      </c>
      <c r="AF287">
        <f t="shared" si="221"/>
        <v>0</v>
      </c>
      <c r="AG287">
        <f t="shared" si="222"/>
        <v>0</v>
      </c>
      <c r="AH287">
        <f t="shared" si="223"/>
        <v>0</v>
      </c>
      <c r="AI287">
        <f t="shared" si="224"/>
        <v>0</v>
      </c>
      <c r="AJ287">
        <f t="shared" si="225"/>
        <v>0</v>
      </c>
      <c r="AK287">
        <f t="shared" si="226"/>
        <v>0</v>
      </c>
      <c r="AL287">
        <f t="shared" si="227"/>
        <v>0</v>
      </c>
      <c r="AM287">
        <f t="shared" si="228"/>
        <v>0</v>
      </c>
      <c r="AN287">
        <f t="shared" si="229"/>
        <v>0</v>
      </c>
      <c r="AO287">
        <f t="shared" si="230"/>
        <v>0</v>
      </c>
      <c r="AP287">
        <f t="shared" si="231"/>
        <v>0</v>
      </c>
      <c r="AQ287">
        <f t="shared" si="232"/>
        <v>0</v>
      </c>
      <c r="AR287">
        <f t="shared" si="233"/>
        <v>0</v>
      </c>
      <c r="AS287">
        <f t="shared" si="234"/>
        <v>0</v>
      </c>
      <c r="AT287">
        <f t="shared" si="235"/>
        <v>0</v>
      </c>
      <c r="AU287">
        <f t="shared" si="236"/>
        <v>0</v>
      </c>
      <c r="AV287">
        <f t="shared" si="237"/>
        <v>0</v>
      </c>
      <c r="AW287">
        <f t="shared" si="192"/>
        <v>0</v>
      </c>
      <c r="AX287">
        <f t="shared" si="238"/>
        <v>0</v>
      </c>
      <c r="AY287">
        <f t="shared" si="239"/>
        <v>0</v>
      </c>
    </row>
    <row r="288" spans="1:51" x14ac:dyDescent="0.35">
      <c r="A288">
        <v>282</v>
      </c>
      <c r="C288">
        <f>MAX(0,Calc!$C$7-SUM(D288:R288))</f>
        <v>750</v>
      </c>
      <c r="D288">
        <f t="shared" si="193"/>
        <v>0</v>
      </c>
      <c r="E288">
        <f t="shared" si="194"/>
        <v>0</v>
      </c>
      <c r="F288">
        <f t="shared" si="195"/>
        <v>0</v>
      </c>
      <c r="G288">
        <f t="shared" si="196"/>
        <v>0</v>
      </c>
      <c r="H288">
        <f t="shared" si="197"/>
        <v>0</v>
      </c>
      <c r="I288">
        <f t="shared" si="198"/>
        <v>0</v>
      </c>
      <c r="J288">
        <f t="shared" si="199"/>
        <v>0</v>
      </c>
      <c r="K288">
        <f t="shared" si="200"/>
        <v>0</v>
      </c>
      <c r="L288">
        <f t="shared" si="201"/>
        <v>0</v>
      </c>
      <c r="M288">
        <f t="shared" si="202"/>
        <v>0</v>
      </c>
      <c r="N288">
        <f t="shared" si="203"/>
        <v>0</v>
      </c>
      <c r="O288">
        <f t="shared" si="204"/>
        <v>0</v>
      </c>
      <c r="P288">
        <f t="shared" si="205"/>
        <v>0</v>
      </c>
      <c r="Q288">
        <f t="shared" si="206"/>
        <v>0</v>
      </c>
      <c r="R288">
        <f t="shared" si="207"/>
        <v>0</v>
      </c>
      <c r="S288">
        <f t="shared" si="208"/>
        <v>0</v>
      </c>
      <c r="T288">
        <f t="shared" si="209"/>
        <v>0</v>
      </c>
      <c r="U288">
        <f t="shared" si="210"/>
        <v>0</v>
      </c>
      <c r="V288">
        <f t="shared" si="211"/>
        <v>0</v>
      </c>
      <c r="W288">
        <f t="shared" si="212"/>
        <v>0</v>
      </c>
      <c r="X288">
        <f t="shared" si="213"/>
        <v>0</v>
      </c>
      <c r="Y288">
        <f t="shared" si="214"/>
        <v>0</v>
      </c>
      <c r="Z288">
        <f t="shared" si="215"/>
        <v>0</v>
      </c>
      <c r="AA288">
        <f t="shared" si="216"/>
        <v>0</v>
      </c>
      <c r="AB288">
        <f t="shared" si="217"/>
        <v>0</v>
      </c>
      <c r="AC288">
        <f t="shared" si="218"/>
        <v>0</v>
      </c>
      <c r="AD288">
        <f t="shared" si="219"/>
        <v>0</v>
      </c>
      <c r="AE288">
        <f t="shared" si="220"/>
        <v>0</v>
      </c>
      <c r="AF288">
        <f t="shared" si="221"/>
        <v>0</v>
      </c>
      <c r="AG288">
        <f t="shared" si="222"/>
        <v>0</v>
      </c>
      <c r="AH288">
        <f t="shared" si="223"/>
        <v>0</v>
      </c>
      <c r="AI288">
        <f t="shared" si="224"/>
        <v>0</v>
      </c>
      <c r="AJ288">
        <f t="shared" si="225"/>
        <v>0</v>
      </c>
      <c r="AK288">
        <f t="shared" si="226"/>
        <v>0</v>
      </c>
      <c r="AL288">
        <f t="shared" si="227"/>
        <v>0</v>
      </c>
      <c r="AM288">
        <f t="shared" si="228"/>
        <v>0</v>
      </c>
      <c r="AN288">
        <f t="shared" si="229"/>
        <v>0</v>
      </c>
      <c r="AO288">
        <f t="shared" si="230"/>
        <v>0</v>
      </c>
      <c r="AP288">
        <f t="shared" si="231"/>
        <v>0</v>
      </c>
      <c r="AQ288">
        <f t="shared" si="232"/>
        <v>0</v>
      </c>
      <c r="AR288">
        <f t="shared" si="233"/>
        <v>0</v>
      </c>
      <c r="AS288">
        <f t="shared" si="234"/>
        <v>0</v>
      </c>
      <c r="AT288">
        <f t="shared" si="235"/>
        <v>0</v>
      </c>
      <c r="AU288">
        <f t="shared" si="236"/>
        <v>0</v>
      </c>
      <c r="AV288">
        <f t="shared" si="237"/>
        <v>0</v>
      </c>
      <c r="AW288">
        <f t="shared" si="192"/>
        <v>0</v>
      </c>
      <c r="AX288">
        <f t="shared" si="238"/>
        <v>0</v>
      </c>
      <c r="AY288">
        <f t="shared" si="239"/>
        <v>0</v>
      </c>
    </row>
    <row r="289" spans="1:51" x14ac:dyDescent="0.35">
      <c r="A289">
        <v>283</v>
      </c>
      <c r="C289">
        <f>MAX(0,Calc!$C$7-SUM(D289:R289))</f>
        <v>750</v>
      </c>
      <c r="D289">
        <f t="shared" si="193"/>
        <v>0</v>
      </c>
      <c r="E289">
        <f t="shared" si="194"/>
        <v>0</v>
      </c>
      <c r="F289">
        <f t="shared" si="195"/>
        <v>0</v>
      </c>
      <c r="G289">
        <f t="shared" si="196"/>
        <v>0</v>
      </c>
      <c r="H289">
        <f t="shared" si="197"/>
        <v>0</v>
      </c>
      <c r="I289">
        <f t="shared" si="198"/>
        <v>0</v>
      </c>
      <c r="J289">
        <f t="shared" si="199"/>
        <v>0</v>
      </c>
      <c r="K289">
        <f t="shared" si="200"/>
        <v>0</v>
      </c>
      <c r="L289">
        <f t="shared" si="201"/>
        <v>0</v>
      </c>
      <c r="M289">
        <f t="shared" si="202"/>
        <v>0</v>
      </c>
      <c r="N289">
        <f t="shared" si="203"/>
        <v>0</v>
      </c>
      <c r="O289">
        <f t="shared" si="204"/>
        <v>0</v>
      </c>
      <c r="P289">
        <f t="shared" si="205"/>
        <v>0</v>
      </c>
      <c r="Q289">
        <f t="shared" si="206"/>
        <v>0</v>
      </c>
      <c r="R289">
        <f t="shared" si="207"/>
        <v>0</v>
      </c>
      <c r="S289">
        <f t="shared" si="208"/>
        <v>0</v>
      </c>
      <c r="T289">
        <f t="shared" si="209"/>
        <v>0</v>
      </c>
      <c r="U289">
        <f t="shared" si="210"/>
        <v>0</v>
      </c>
      <c r="V289">
        <f t="shared" si="211"/>
        <v>0</v>
      </c>
      <c r="W289">
        <f t="shared" si="212"/>
        <v>0</v>
      </c>
      <c r="X289">
        <f t="shared" si="213"/>
        <v>0</v>
      </c>
      <c r="Y289">
        <f t="shared" si="214"/>
        <v>0</v>
      </c>
      <c r="Z289">
        <f t="shared" si="215"/>
        <v>0</v>
      </c>
      <c r="AA289">
        <f t="shared" si="216"/>
        <v>0</v>
      </c>
      <c r="AB289">
        <f t="shared" si="217"/>
        <v>0</v>
      </c>
      <c r="AC289">
        <f t="shared" si="218"/>
        <v>0</v>
      </c>
      <c r="AD289">
        <f t="shared" si="219"/>
        <v>0</v>
      </c>
      <c r="AE289">
        <f t="shared" si="220"/>
        <v>0</v>
      </c>
      <c r="AF289">
        <f t="shared" si="221"/>
        <v>0</v>
      </c>
      <c r="AG289">
        <f t="shared" si="222"/>
        <v>0</v>
      </c>
      <c r="AH289">
        <f t="shared" si="223"/>
        <v>0</v>
      </c>
      <c r="AI289">
        <f t="shared" si="224"/>
        <v>0</v>
      </c>
      <c r="AJ289">
        <f t="shared" si="225"/>
        <v>0</v>
      </c>
      <c r="AK289">
        <f t="shared" si="226"/>
        <v>0</v>
      </c>
      <c r="AL289">
        <f t="shared" si="227"/>
        <v>0</v>
      </c>
      <c r="AM289">
        <f t="shared" si="228"/>
        <v>0</v>
      </c>
      <c r="AN289">
        <f t="shared" si="229"/>
        <v>0</v>
      </c>
      <c r="AO289">
        <f t="shared" si="230"/>
        <v>0</v>
      </c>
      <c r="AP289">
        <f t="shared" si="231"/>
        <v>0</v>
      </c>
      <c r="AQ289">
        <f t="shared" si="232"/>
        <v>0</v>
      </c>
      <c r="AR289">
        <f t="shared" si="233"/>
        <v>0</v>
      </c>
      <c r="AS289">
        <f t="shared" si="234"/>
        <v>0</v>
      </c>
      <c r="AT289">
        <f t="shared" si="235"/>
        <v>0</v>
      </c>
      <c r="AU289">
        <f t="shared" si="236"/>
        <v>0</v>
      </c>
      <c r="AV289">
        <f t="shared" si="237"/>
        <v>0</v>
      </c>
      <c r="AW289">
        <f t="shared" si="192"/>
        <v>0</v>
      </c>
      <c r="AX289">
        <f t="shared" si="238"/>
        <v>0</v>
      </c>
      <c r="AY289">
        <f t="shared" si="239"/>
        <v>0</v>
      </c>
    </row>
    <row r="290" spans="1:51" x14ac:dyDescent="0.35">
      <c r="A290">
        <v>284</v>
      </c>
      <c r="C290">
        <f>MAX(0,Calc!$C$7-SUM(D290:R290))</f>
        <v>750</v>
      </c>
      <c r="D290">
        <f t="shared" si="193"/>
        <v>0</v>
      </c>
      <c r="E290">
        <f t="shared" si="194"/>
        <v>0</v>
      </c>
      <c r="F290">
        <f t="shared" si="195"/>
        <v>0</v>
      </c>
      <c r="G290">
        <f t="shared" si="196"/>
        <v>0</v>
      </c>
      <c r="H290">
        <f t="shared" si="197"/>
        <v>0</v>
      </c>
      <c r="I290">
        <f t="shared" si="198"/>
        <v>0</v>
      </c>
      <c r="J290">
        <f t="shared" si="199"/>
        <v>0</v>
      </c>
      <c r="K290">
        <f t="shared" si="200"/>
        <v>0</v>
      </c>
      <c r="L290">
        <f t="shared" si="201"/>
        <v>0</v>
      </c>
      <c r="M290">
        <f t="shared" si="202"/>
        <v>0</v>
      </c>
      <c r="N290">
        <f t="shared" si="203"/>
        <v>0</v>
      </c>
      <c r="O290">
        <f t="shared" si="204"/>
        <v>0</v>
      </c>
      <c r="P290">
        <f t="shared" si="205"/>
        <v>0</v>
      </c>
      <c r="Q290">
        <f t="shared" si="206"/>
        <v>0</v>
      </c>
      <c r="R290">
        <f t="shared" si="207"/>
        <v>0</v>
      </c>
      <c r="S290">
        <f t="shared" si="208"/>
        <v>0</v>
      </c>
      <c r="T290">
        <f t="shared" si="209"/>
        <v>0</v>
      </c>
      <c r="U290">
        <f t="shared" si="210"/>
        <v>0</v>
      </c>
      <c r="V290">
        <f t="shared" si="211"/>
        <v>0</v>
      </c>
      <c r="W290">
        <f t="shared" si="212"/>
        <v>0</v>
      </c>
      <c r="X290">
        <f t="shared" si="213"/>
        <v>0</v>
      </c>
      <c r="Y290">
        <f t="shared" si="214"/>
        <v>0</v>
      </c>
      <c r="Z290">
        <f t="shared" si="215"/>
        <v>0</v>
      </c>
      <c r="AA290">
        <f t="shared" si="216"/>
        <v>0</v>
      </c>
      <c r="AB290">
        <f t="shared" si="217"/>
        <v>0</v>
      </c>
      <c r="AC290">
        <f t="shared" si="218"/>
        <v>0</v>
      </c>
      <c r="AD290">
        <f t="shared" si="219"/>
        <v>0</v>
      </c>
      <c r="AE290">
        <f t="shared" si="220"/>
        <v>0</v>
      </c>
      <c r="AF290">
        <f t="shared" si="221"/>
        <v>0</v>
      </c>
      <c r="AG290">
        <f t="shared" si="222"/>
        <v>0</v>
      </c>
      <c r="AH290">
        <f t="shared" si="223"/>
        <v>0</v>
      </c>
      <c r="AI290">
        <f t="shared" si="224"/>
        <v>0</v>
      </c>
      <c r="AJ290">
        <f t="shared" si="225"/>
        <v>0</v>
      </c>
      <c r="AK290">
        <f t="shared" si="226"/>
        <v>0</v>
      </c>
      <c r="AL290">
        <f t="shared" si="227"/>
        <v>0</v>
      </c>
      <c r="AM290">
        <f t="shared" si="228"/>
        <v>0</v>
      </c>
      <c r="AN290">
        <f t="shared" si="229"/>
        <v>0</v>
      </c>
      <c r="AO290">
        <f t="shared" si="230"/>
        <v>0</v>
      </c>
      <c r="AP290">
        <f t="shared" si="231"/>
        <v>0</v>
      </c>
      <c r="AQ290">
        <f t="shared" si="232"/>
        <v>0</v>
      </c>
      <c r="AR290">
        <f t="shared" si="233"/>
        <v>0</v>
      </c>
      <c r="AS290">
        <f t="shared" si="234"/>
        <v>0</v>
      </c>
      <c r="AT290">
        <f t="shared" si="235"/>
        <v>0</v>
      </c>
      <c r="AU290">
        <f t="shared" si="236"/>
        <v>0</v>
      </c>
      <c r="AV290">
        <f t="shared" si="237"/>
        <v>0</v>
      </c>
      <c r="AW290">
        <f t="shared" si="192"/>
        <v>0</v>
      </c>
      <c r="AX290">
        <f t="shared" si="238"/>
        <v>0</v>
      </c>
      <c r="AY290">
        <f t="shared" si="239"/>
        <v>0</v>
      </c>
    </row>
    <row r="291" spans="1:51" x14ac:dyDescent="0.35">
      <c r="A291">
        <v>285</v>
      </c>
      <c r="C291">
        <f>MAX(0,Calc!$C$7-SUM(D291:R291))</f>
        <v>750</v>
      </c>
      <c r="D291">
        <f t="shared" si="193"/>
        <v>0</v>
      </c>
      <c r="E291">
        <f t="shared" si="194"/>
        <v>0</v>
      </c>
      <c r="F291">
        <f t="shared" si="195"/>
        <v>0</v>
      </c>
      <c r="G291">
        <f t="shared" si="196"/>
        <v>0</v>
      </c>
      <c r="H291">
        <f t="shared" si="197"/>
        <v>0</v>
      </c>
      <c r="I291">
        <f t="shared" si="198"/>
        <v>0</v>
      </c>
      <c r="J291">
        <f t="shared" si="199"/>
        <v>0</v>
      </c>
      <c r="K291">
        <f t="shared" si="200"/>
        <v>0</v>
      </c>
      <c r="L291">
        <f t="shared" si="201"/>
        <v>0</v>
      </c>
      <c r="M291">
        <f t="shared" si="202"/>
        <v>0</v>
      </c>
      <c r="N291">
        <f t="shared" si="203"/>
        <v>0</v>
      </c>
      <c r="O291">
        <f t="shared" si="204"/>
        <v>0</v>
      </c>
      <c r="P291">
        <f t="shared" si="205"/>
        <v>0</v>
      </c>
      <c r="Q291">
        <f t="shared" si="206"/>
        <v>0</v>
      </c>
      <c r="R291">
        <f t="shared" si="207"/>
        <v>0</v>
      </c>
      <c r="S291">
        <f t="shared" si="208"/>
        <v>0</v>
      </c>
      <c r="T291">
        <f t="shared" si="209"/>
        <v>0</v>
      </c>
      <c r="U291">
        <f t="shared" si="210"/>
        <v>0</v>
      </c>
      <c r="V291">
        <f t="shared" si="211"/>
        <v>0</v>
      </c>
      <c r="W291">
        <f t="shared" si="212"/>
        <v>0</v>
      </c>
      <c r="X291">
        <f t="shared" si="213"/>
        <v>0</v>
      </c>
      <c r="Y291">
        <f t="shared" si="214"/>
        <v>0</v>
      </c>
      <c r="Z291">
        <f t="shared" si="215"/>
        <v>0</v>
      </c>
      <c r="AA291">
        <f t="shared" si="216"/>
        <v>0</v>
      </c>
      <c r="AB291">
        <f t="shared" si="217"/>
        <v>0</v>
      </c>
      <c r="AC291">
        <f t="shared" si="218"/>
        <v>0</v>
      </c>
      <c r="AD291">
        <f t="shared" si="219"/>
        <v>0</v>
      </c>
      <c r="AE291">
        <f t="shared" si="220"/>
        <v>0</v>
      </c>
      <c r="AF291">
        <f t="shared" si="221"/>
        <v>0</v>
      </c>
      <c r="AG291">
        <f t="shared" si="222"/>
        <v>0</v>
      </c>
      <c r="AH291">
        <f t="shared" si="223"/>
        <v>0</v>
      </c>
      <c r="AI291">
        <f t="shared" si="224"/>
        <v>0</v>
      </c>
      <c r="AJ291">
        <f t="shared" si="225"/>
        <v>0</v>
      </c>
      <c r="AK291">
        <f t="shared" si="226"/>
        <v>0</v>
      </c>
      <c r="AL291">
        <f t="shared" si="227"/>
        <v>0</v>
      </c>
      <c r="AM291">
        <f t="shared" si="228"/>
        <v>0</v>
      </c>
      <c r="AN291">
        <f t="shared" si="229"/>
        <v>0</v>
      </c>
      <c r="AO291">
        <f t="shared" si="230"/>
        <v>0</v>
      </c>
      <c r="AP291">
        <f t="shared" si="231"/>
        <v>0</v>
      </c>
      <c r="AQ291">
        <f t="shared" si="232"/>
        <v>0</v>
      </c>
      <c r="AR291">
        <f t="shared" si="233"/>
        <v>0</v>
      </c>
      <c r="AS291">
        <f t="shared" si="234"/>
        <v>0</v>
      </c>
      <c r="AT291">
        <f t="shared" si="235"/>
        <v>0</v>
      </c>
      <c r="AU291">
        <f t="shared" si="236"/>
        <v>0</v>
      </c>
      <c r="AV291">
        <f t="shared" si="237"/>
        <v>0</v>
      </c>
      <c r="AW291">
        <f t="shared" si="192"/>
        <v>0</v>
      </c>
      <c r="AX291">
        <f t="shared" si="238"/>
        <v>0</v>
      </c>
      <c r="AY291">
        <f t="shared" si="239"/>
        <v>0</v>
      </c>
    </row>
    <row r="292" spans="1:51" x14ac:dyDescent="0.35">
      <c r="A292">
        <v>286</v>
      </c>
      <c r="C292">
        <f>MAX(0,Calc!$C$7-SUM(D292:R292))</f>
        <v>750</v>
      </c>
      <c r="D292">
        <f t="shared" si="193"/>
        <v>0</v>
      </c>
      <c r="E292">
        <f t="shared" si="194"/>
        <v>0</v>
      </c>
      <c r="F292">
        <f t="shared" si="195"/>
        <v>0</v>
      </c>
      <c r="G292">
        <f t="shared" si="196"/>
        <v>0</v>
      </c>
      <c r="H292">
        <f t="shared" si="197"/>
        <v>0</v>
      </c>
      <c r="I292">
        <f t="shared" si="198"/>
        <v>0</v>
      </c>
      <c r="J292">
        <f t="shared" si="199"/>
        <v>0</v>
      </c>
      <c r="K292">
        <f t="shared" si="200"/>
        <v>0</v>
      </c>
      <c r="L292">
        <f t="shared" si="201"/>
        <v>0</v>
      </c>
      <c r="M292">
        <f t="shared" si="202"/>
        <v>0</v>
      </c>
      <c r="N292">
        <f t="shared" si="203"/>
        <v>0</v>
      </c>
      <c r="O292">
        <f t="shared" si="204"/>
        <v>0</v>
      </c>
      <c r="P292">
        <f t="shared" si="205"/>
        <v>0</v>
      </c>
      <c r="Q292">
        <f t="shared" si="206"/>
        <v>0</v>
      </c>
      <c r="R292">
        <f t="shared" si="207"/>
        <v>0</v>
      </c>
      <c r="S292">
        <f t="shared" si="208"/>
        <v>0</v>
      </c>
      <c r="T292">
        <f t="shared" si="209"/>
        <v>0</v>
      </c>
      <c r="U292">
        <f t="shared" si="210"/>
        <v>0</v>
      </c>
      <c r="V292">
        <f t="shared" si="211"/>
        <v>0</v>
      </c>
      <c r="W292">
        <f t="shared" si="212"/>
        <v>0</v>
      </c>
      <c r="X292">
        <f t="shared" si="213"/>
        <v>0</v>
      </c>
      <c r="Y292">
        <f t="shared" si="214"/>
        <v>0</v>
      </c>
      <c r="Z292">
        <f t="shared" si="215"/>
        <v>0</v>
      </c>
      <c r="AA292">
        <f t="shared" si="216"/>
        <v>0</v>
      </c>
      <c r="AB292">
        <f t="shared" si="217"/>
        <v>0</v>
      </c>
      <c r="AC292">
        <f t="shared" si="218"/>
        <v>0</v>
      </c>
      <c r="AD292">
        <f t="shared" si="219"/>
        <v>0</v>
      </c>
      <c r="AE292">
        <f t="shared" si="220"/>
        <v>0</v>
      </c>
      <c r="AF292">
        <f t="shared" si="221"/>
        <v>0</v>
      </c>
      <c r="AG292">
        <f t="shared" si="222"/>
        <v>0</v>
      </c>
      <c r="AH292">
        <f t="shared" si="223"/>
        <v>0</v>
      </c>
      <c r="AI292">
        <f t="shared" si="224"/>
        <v>0</v>
      </c>
      <c r="AJ292">
        <f t="shared" si="225"/>
        <v>0</v>
      </c>
      <c r="AK292">
        <f t="shared" si="226"/>
        <v>0</v>
      </c>
      <c r="AL292">
        <f t="shared" si="227"/>
        <v>0</v>
      </c>
      <c r="AM292">
        <f t="shared" si="228"/>
        <v>0</v>
      </c>
      <c r="AN292">
        <f t="shared" si="229"/>
        <v>0</v>
      </c>
      <c r="AO292">
        <f t="shared" si="230"/>
        <v>0</v>
      </c>
      <c r="AP292">
        <f t="shared" si="231"/>
        <v>0</v>
      </c>
      <c r="AQ292">
        <f t="shared" si="232"/>
        <v>0</v>
      </c>
      <c r="AR292">
        <f t="shared" si="233"/>
        <v>0</v>
      </c>
      <c r="AS292">
        <f t="shared" si="234"/>
        <v>0</v>
      </c>
      <c r="AT292">
        <f t="shared" si="235"/>
        <v>0</v>
      </c>
      <c r="AU292">
        <f t="shared" si="236"/>
        <v>0</v>
      </c>
      <c r="AV292">
        <f t="shared" si="237"/>
        <v>0</v>
      </c>
      <c r="AW292">
        <f t="shared" si="192"/>
        <v>0</v>
      </c>
      <c r="AX292">
        <f t="shared" si="238"/>
        <v>0</v>
      </c>
      <c r="AY292">
        <f t="shared" si="239"/>
        <v>0</v>
      </c>
    </row>
    <row r="293" spans="1:51" x14ac:dyDescent="0.35">
      <c r="A293">
        <v>287</v>
      </c>
      <c r="C293">
        <f>MAX(0,Calc!$C$7-SUM(D293:R293))</f>
        <v>750</v>
      </c>
      <c r="D293">
        <f t="shared" si="193"/>
        <v>0</v>
      </c>
      <c r="E293">
        <f t="shared" si="194"/>
        <v>0</v>
      </c>
      <c r="F293">
        <f t="shared" si="195"/>
        <v>0</v>
      </c>
      <c r="G293">
        <f t="shared" si="196"/>
        <v>0</v>
      </c>
      <c r="H293">
        <f t="shared" si="197"/>
        <v>0</v>
      </c>
      <c r="I293">
        <f t="shared" si="198"/>
        <v>0</v>
      </c>
      <c r="J293">
        <f t="shared" si="199"/>
        <v>0</v>
      </c>
      <c r="K293">
        <f t="shared" si="200"/>
        <v>0</v>
      </c>
      <c r="L293">
        <f t="shared" si="201"/>
        <v>0</v>
      </c>
      <c r="M293">
        <f t="shared" si="202"/>
        <v>0</v>
      </c>
      <c r="N293">
        <f t="shared" si="203"/>
        <v>0</v>
      </c>
      <c r="O293">
        <f t="shared" si="204"/>
        <v>0</v>
      </c>
      <c r="P293">
        <f t="shared" si="205"/>
        <v>0</v>
      </c>
      <c r="Q293">
        <f t="shared" si="206"/>
        <v>0</v>
      </c>
      <c r="R293">
        <f t="shared" si="207"/>
        <v>0</v>
      </c>
      <c r="S293">
        <f t="shared" si="208"/>
        <v>0</v>
      </c>
      <c r="T293">
        <f t="shared" si="209"/>
        <v>0</v>
      </c>
      <c r="U293">
        <f t="shared" si="210"/>
        <v>0</v>
      </c>
      <c r="V293">
        <f t="shared" si="211"/>
        <v>0</v>
      </c>
      <c r="W293">
        <f t="shared" si="212"/>
        <v>0</v>
      </c>
      <c r="X293">
        <f t="shared" si="213"/>
        <v>0</v>
      </c>
      <c r="Y293">
        <f t="shared" si="214"/>
        <v>0</v>
      </c>
      <c r="Z293">
        <f t="shared" si="215"/>
        <v>0</v>
      </c>
      <c r="AA293">
        <f t="shared" si="216"/>
        <v>0</v>
      </c>
      <c r="AB293">
        <f t="shared" si="217"/>
        <v>0</v>
      </c>
      <c r="AC293">
        <f t="shared" si="218"/>
        <v>0</v>
      </c>
      <c r="AD293">
        <f t="shared" si="219"/>
        <v>0</v>
      </c>
      <c r="AE293">
        <f t="shared" si="220"/>
        <v>0</v>
      </c>
      <c r="AF293">
        <f t="shared" si="221"/>
        <v>0</v>
      </c>
      <c r="AG293">
        <f t="shared" si="222"/>
        <v>0</v>
      </c>
      <c r="AH293">
        <f t="shared" si="223"/>
        <v>0</v>
      </c>
      <c r="AI293">
        <f t="shared" si="224"/>
        <v>0</v>
      </c>
      <c r="AJ293">
        <f t="shared" si="225"/>
        <v>0</v>
      </c>
      <c r="AK293">
        <f t="shared" si="226"/>
        <v>0</v>
      </c>
      <c r="AL293">
        <f t="shared" si="227"/>
        <v>0</v>
      </c>
      <c r="AM293">
        <f t="shared" si="228"/>
        <v>0</v>
      </c>
      <c r="AN293">
        <f t="shared" si="229"/>
        <v>0</v>
      </c>
      <c r="AO293">
        <f t="shared" si="230"/>
        <v>0</v>
      </c>
      <c r="AP293">
        <f t="shared" si="231"/>
        <v>0</v>
      </c>
      <c r="AQ293">
        <f t="shared" si="232"/>
        <v>0</v>
      </c>
      <c r="AR293">
        <f t="shared" si="233"/>
        <v>0</v>
      </c>
      <c r="AS293">
        <f t="shared" si="234"/>
        <v>0</v>
      </c>
      <c r="AT293">
        <f t="shared" si="235"/>
        <v>0</v>
      </c>
      <c r="AU293">
        <f t="shared" si="236"/>
        <v>0</v>
      </c>
      <c r="AV293">
        <f t="shared" si="237"/>
        <v>0</v>
      </c>
      <c r="AW293">
        <f t="shared" si="192"/>
        <v>0</v>
      </c>
      <c r="AX293">
        <f t="shared" si="238"/>
        <v>0</v>
      </c>
      <c r="AY293">
        <f t="shared" si="239"/>
        <v>0</v>
      </c>
    </row>
    <row r="294" spans="1:51" x14ac:dyDescent="0.35">
      <c r="A294">
        <v>288</v>
      </c>
      <c r="C294">
        <f>MAX(0,Calc!$C$7-SUM(D294:R294))</f>
        <v>750</v>
      </c>
      <c r="D294">
        <f t="shared" si="193"/>
        <v>0</v>
      </c>
      <c r="E294">
        <f t="shared" si="194"/>
        <v>0</v>
      </c>
      <c r="F294">
        <f t="shared" si="195"/>
        <v>0</v>
      </c>
      <c r="G294">
        <f t="shared" si="196"/>
        <v>0</v>
      </c>
      <c r="H294">
        <f t="shared" si="197"/>
        <v>0</v>
      </c>
      <c r="I294">
        <f t="shared" si="198"/>
        <v>0</v>
      </c>
      <c r="J294">
        <f t="shared" si="199"/>
        <v>0</v>
      </c>
      <c r="K294">
        <f t="shared" si="200"/>
        <v>0</v>
      </c>
      <c r="L294">
        <f t="shared" si="201"/>
        <v>0</v>
      </c>
      <c r="M294">
        <f t="shared" si="202"/>
        <v>0</v>
      </c>
      <c r="N294">
        <f t="shared" si="203"/>
        <v>0</v>
      </c>
      <c r="O294">
        <f t="shared" si="204"/>
        <v>0</v>
      </c>
      <c r="P294">
        <f t="shared" si="205"/>
        <v>0</v>
      </c>
      <c r="Q294">
        <f t="shared" si="206"/>
        <v>0</v>
      </c>
      <c r="R294">
        <f t="shared" si="207"/>
        <v>0</v>
      </c>
      <c r="S294">
        <f t="shared" si="208"/>
        <v>0</v>
      </c>
      <c r="T294">
        <f t="shared" si="209"/>
        <v>0</v>
      </c>
      <c r="U294">
        <f t="shared" si="210"/>
        <v>0</v>
      </c>
      <c r="V294">
        <f t="shared" si="211"/>
        <v>0</v>
      </c>
      <c r="W294">
        <f t="shared" si="212"/>
        <v>0</v>
      </c>
      <c r="X294">
        <f t="shared" si="213"/>
        <v>0</v>
      </c>
      <c r="Y294">
        <f t="shared" si="214"/>
        <v>0</v>
      </c>
      <c r="Z294">
        <f t="shared" si="215"/>
        <v>0</v>
      </c>
      <c r="AA294">
        <f t="shared" si="216"/>
        <v>0</v>
      </c>
      <c r="AB294">
        <f t="shared" si="217"/>
        <v>0</v>
      </c>
      <c r="AC294">
        <f t="shared" si="218"/>
        <v>0</v>
      </c>
      <c r="AD294">
        <f t="shared" si="219"/>
        <v>0</v>
      </c>
      <c r="AE294">
        <f t="shared" si="220"/>
        <v>0</v>
      </c>
      <c r="AF294">
        <f t="shared" si="221"/>
        <v>0</v>
      </c>
      <c r="AG294">
        <f t="shared" si="222"/>
        <v>0</v>
      </c>
      <c r="AH294">
        <f t="shared" si="223"/>
        <v>0</v>
      </c>
      <c r="AI294">
        <f t="shared" si="224"/>
        <v>0</v>
      </c>
      <c r="AJ294">
        <f t="shared" si="225"/>
        <v>0</v>
      </c>
      <c r="AK294">
        <f t="shared" si="226"/>
        <v>0</v>
      </c>
      <c r="AL294">
        <f t="shared" si="227"/>
        <v>0</v>
      </c>
      <c r="AM294">
        <f t="shared" si="228"/>
        <v>0</v>
      </c>
      <c r="AN294">
        <f t="shared" si="229"/>
        <v>0</v>
      </c>
      <c r="AO294">
        <f t="shared" si="230"/>
        <v>0</v>
      </c>
      <c r="AP294">
        <f t="shared" si="231"/>
        <v>0</v>
      </c>
      <c r="AQ294">
        <f t="shared" si="232"/>
        <v>0</v>
      </c>
      <c r="AR294">
        <f t="shared" si="233"/>
        <v>0</v>
      </c>
      <c r="AS294">
        <f t="shared" si="234"/>
        <v>0</v>
      </c>
      <c r="AT294">
        <f t="shared" si="235"/>
        <v>0</v>
      </c>
      <c r="AU294">
        <f t="shared" si="236"/>
        <v>0</v>
      </c>
      <c r="AV294">
        <f t="shared" si="237"/>
        <v>0</v>
      </c>
      <c r="AW294">
        <f t="shared" si="192"/>
        <v>0</v>
      </c>
      <c r="AX294">
        <f t="shared" si="238"/>
        <v>0</v>
      </c>
      <c r="AY294">
        <f t="shared" si="239"/>
        <v>0</v>
      </c>
    </row>
    <row r="295" spans="1:51" x14ac:dyDescent="0.35">
      <c r="A295">
        <v>289</v>
      </c>
      <c r="C295">
        <f>MAX(0,Calc!$C$7-SUM(D295:R295))</f>
        <v>750</v>
      </c>
      <c r="D295">
        <f t="shared" si="193"/>
        <v>0</v>
      </c>
      <c r="E295">
        <f t="shared" si="194"/>
        <v>0</v>
      </c>
      <c r="F295">
        <f t="shared" si="195"/>
        <v>0</v>
      </c>
      <c r="G295">
        <f t="shared" si="196"/>
        <v>0</v>
      </c>
      <c r="H295">
        <f t="shared" si="197"/>
        <v>0</v>
      </c>
      <c r="I295">
        <f t="shared" si="198"/>
        <v>0</v>
      </c>
      <c r="J295">
        <f t="shared" si="199"/>
        <v>0</v>
      </c>
      <c r="K295">
        <f t="shared" si="200"/>
        <v>0</v>
      </c>
      <c r="L295">
        <f t="shared" si="201"/>
        <v>0</v>
      </c>
      <c r="M295">
        <f t="shared" si="202"/>
        <v>0</v>
      </c>
      <c r="N295">
        <f t="shared" si="203"/>
        <v>0</v>
      </c>
      <c r="O295">
        <f t="shared" si="204"/>
        <v>0</v>
      </c>
      <c r="P295">
        <f t="shared" si="205"/>
        <v>0</v>
      </c>
      <c r="Q295">
        <f t="shared" si="206"/>
        <v>0</v>
      </c>
      <c r="R295">
        <f t="shared" si="207"/>
        <v>0</v>
      </c>
      <c r="S295">
        <f t="shared" si="208"/>
        <v>0</v>
      </c>
      <c r="T295">
        <f t="shared" si="209"/>
        <v>0</v>
      </c>
      <c r="U295">
        <f t="shared" si="210"/>
        <v>0</v>
      </c>
      <c r="V295">
        <f t="shared" si="211"/>
        <v>0</v>
      </c>
      <c r="W295">
        <f t="shared" si="212"/>
        <v>0</v>
      </c>
      <c r="X295">
        <f t="shared" si="213"/>
        <v>0</v>
      </c>
      <c r="Y295">
        <f t="shared" si="214"/>
        <v>0</v>
      </c>
      <c r="Z295">
        <f t="shared" si="215"/>
        <v>0</v>
      </c>
      <c r="AA295">
        <f t="shared" si="216"/>
        <v>0</v>
      </c>
      <c r="AB295">
        <f t="shared" si="217"/>
        <v>0</v>
      </c>
      <c r="AC295">
        <f t="shared" si="218"/>
        <v>0</v>
      </c>
      <c r="AD295">
        <f t="shared" si="219"/>
        <v>0</v>
      </c>
      <c r="AE295">
        <f t="shared" si="220"/>
        <v>0</v>
      </c>
      <c r="AF295">
        <f t="shared" si="221"/>
        <v>0</v>
      </c>
      <c r="AG295">
        <f t="shared" si="222"/>
        <v>0</v>
      </c>
      <c r="AH295">
        <f t="shared" si="223"/>
        <v>0</v>
      </c>
      <c r="AI295">
        <f t="shared" si="224"/>
        <v>0</v>
      </c>
      <c r="AJ295">
        <f t="shared" si="225"/>
        <v>0</v>
      </c>
      <c r="AK295">
        <f t="shared" si="226"/>
        <v>0</v>
      </c>
      <c r="AL295">
        <f t="shared" si="227"/>
        <v>0</v>
      </c>
      <c r="AM295">
        <f t="shared" si="228"/>
        <v>0</v>
      </c>
      <c r="AN295">
        <f t="shared" si="229"/>
        <v>0</v>
      </c>
      <c r="AO295">
        <f t="shared" si="230"/>
        <v>0</v>
      </c>
      <c r="AP295">
        <f t="shared" si="231"/>
        <v>0</v>
      </c>
      <c r="AQ295">
        <f t="shared" si="232"/>
        <v>0</v>
      </c>
      <c r="AR295">
        <f t="shared" si="233"/>
        <v>0</v>
      </c>
      <c r="AS295">
        <f t="shared" si="234"/>
        <v>0</v>
      </c>
      <c r="AT295">
        <f t="shared" si="235"/>
        <v>0</v>
      </c>
      <c r="AU295">
        <f t="shared" si="236"/>
        <v>0</v>
      </c>
      <c r="AV295">
        <f t="shared" si="237"/>
        <v>0</v>
      </c>
      <c r="AW295">
        <f t="shared" si="192"/>
        <v>0</v>
      </c>
      <c r="AX295">
        <f t="shared" si="238"/>
        <v>0</v>
      </c>
      <c r="AY295">
        <f t="shared" si="239"/>
        <v>0</v>
      </c>
    </row>
    <row r="296" spans="1:51" x14ac:dyDescent="0.35">
      <c r="A296">
        <v>290</v>
      </c>
      <c r="C296">
        <f>MAX(0,Calc!$C$7-SUM(D296:R296))</f>
        <v>750</v>
      </c>
      <c r="D296">
        <f t="shared" si="193"/>
        <v>0</v>
      </c>
      <c r="E296">
        <f t="shared" si="194"/>
        <v>0</v>
      </c>
      <c r="F296">
        <f t="shared" si="195"/>
        <v>0</v>
      </c>
      <c r="G296">
        <f t="shared" si="196"/>
        <v>0</v>
      </c>
      <c r="H296">
        <f t="shared" si="197"/>
        <v>0</v>
      </c>
      <c r="I296">
        <f t="shared" si="198"/>
        <v>0</v>
      </c>
      <c r="J296">
        <f t="shared" si="199"/>
        <v>0</v>
      </c>
      <c r="K296">
        <f t="shared" si="200"/>
        <v>0</v>
      </c>
      <c r="L296">
        <f t="shared" si="201"/>
        <v>0</v>
      </c>
      <c r="M296">
        <f t="shared" si="202"/>
        <v>0</v>
      </c>
      <c r="N296">
        <f t="shared" si="203"/>
        <v>0</v>
      </c>
      <c r="O296">
        <f t="shared" si="204"/>
        <v>0</v>
      </c>
      <c r="P296">
        <f t="shared" si="205"/>
        <v>0</v>
      </c>
      <c r="Q296">
        <f t="shared" si="206"/>
        <v>0</v>
      </c>
      <c r="R296">
        <f t="shared" si="207"/>
        <v>0</v>
      </c>
      <c r="S296">
        <f t="shared" si="208"/>
        <v>0</v>
      </c>
      <c r="T296">
        <f t="shared" si="209"/>
        <v>0</v>
      </c>
      <c r="U296">
        <f t="shared" si="210"/>
        <v>0</v>
      </c>
      <c r="V296">
        <f t="shared" si="211"/>
        <v>0</v>
      </c>
      <c r="W296">
        <f t="shared" si="212"/>
        <v>0</v>
      </c>
      <c r="X296">
        <f t="shared" si="213"/>
        <v>0</v>
      </c>
      <c r="Y296">
        <f t="shared" si="214"/>
        <v>0</v>
      </c>
      <c r="Z296">
        <f t="shared" si="215"/>
        <v>0</v>
      </c>
      <c r="AA296">
        <f t="shared" si="216"/>
        <v>0</v>
      </c>
      <c r="AB296">
        <f t="shared" si="217"/>
        <v>0</v>
      </c>
      <c r="AC296">
        <f t="shared" si="218"/>
        <v>0</v>
      </c>
      <c r="AD296">
        <f t="shared" si="219"/>
        <v>0</v>
      </c>
      <c r="AE296">
        <f t="shared" si="220"/>
        <v>0</v>
      </c>
      <c r="AF296">
        <f t="shared" si="221"/>
        <v>0</v>
      </c>
      <c r="AG296">
        <f t="shared" si="222"/>
        <v>0</v>
      </c>
      <c r="AH296">
        <f t="shared" si="223"/>
        <v>0</v>
      </c>
      <c r="AI296">
        <f t="shared" si="224"/>
        <v>0</v>
      </c>
      <c r="AJ296">
        <f t="shared" si="225"/>
        <v>0</v>
      </c>
      <c r="AK296">
        <f t="shared" si="226"/>
        <v>0</v>
      </c>
      <c r="AL296">
        <f t="shared" si="227"/>
        <v>0</v>
      </c>
      <c r="AM296">
        <f t="shared" si="228"/>
        <v>0</v>
      </c>
      <c r="AN296">
        <f t="shared" si="229"/>
        <v>0</v>
      </c>
      <c r="AO296">
        <f t="shared" si="230"/>
        <v>0</v>
      </c>
      <c r="AP296">
        <f t="shared" si="231"/>
        <v>0</v>
      </c>
      <c r="AQ296">
        <f t="shared" si="232"/>
        <v>0</v>
      </c>
      <c r="AR296">
        <f t="shared" si="233"/>
        <v>0</v>
      </c>
      <c r="AS296">
        <f t="shared" si="234"/>
        <v>0</v>
      </c>
      <c r="AT296">
        <f t="shared" si="235"/>
        <v>0</v>
      </c>
      <c r="AU296">
        <f t="shared" si="236"/>
        <v>0</v>
      </c>
      <c r="AV296">
        <f t="shared" si="237"/>
        <v>0</v>
      </c>
      <c r="AW296">
        <f t="shared" si="192"/>
        <v>0</v>
      </c>
      <c r="AX296">
        <f t="shared" si="238"/>
        <v>0</v>
      </c>
      <c r="AY296">
        <f t="shared" si="239"/>
        <v>0</v>
      </c>
    </row>
    <row r="297" spans="1:51" x14ac:dyDescent="0.35">
      <c r="A297">
        <v>291</v>
      </c>
      <c r="C297">
        <f>MAX(0,Calc!$C$7-SUM(D297:R297))</f>
        <v>750</v>
      </c>
      <c r="D297">
        <f t="shared" si="193"/>
        <v>0</v>
      </c>
      <c r="E297">
        <f t="shared" si="194"/>
        <v>0</v>
      </c>
      <c r="F297">
        <f t="shared" si="195"/>
        <v>0</v>
      </c>
      <c r="G297">
        <f t="shared" si="196"/>
        <v>0</v>
      </c>
      <c r="H297">
        <f t="shared" si="197"/>
        <v>0</v>
      </c>
      <c r="I297">
        <f t="shared" si="198"/>
        <v>0</v>
      </c>
      <c r="J297">
        <f t="shared" si="199"/>
        <v>0</v>
      </c>
      <c r="K297">
        <f t="shared" si="200"/>
        <v>0</v>
      </c>
      <c r="L297">
        <f t="shared" si="201"/>
        <v>0</v>
      </c>
      <c r="M297">
        <f t="shared" si="202"/>
        <v>0</v>
      </c>
      <c r="N297">
        <f t="shared" si="203"/>
        <v>0</v>
      </c>
      <c r="O297">
        <f t="shared" si="204"/>
        <v>0</v>
      </c>
      <c r="P297">
        <f t="shared" si="205"/>
        <v>0</v>
      </c>
      <c r="Q297">
        <f t="shared" si="206"/>
        <v>0</v>
      </c>
      <c r="R297">
        <f t="shared" si="207"/>
        <v>0</v>
      </c>
      <c r="S297">
        <f t="shared" si="208"/>
        <v>0</v>
      </c>
      <c r="T297">
        <f t="shared" si="209"/>
        <v>0</v>
      </c>
      <c r="U297">
        <f t="shared" si="210"/>
        <v>0</v>
      </c>
      <c r="V297">
        <f t="shared" si="211"/>
        <v>0</v>
      </c>
      <c r="W297">
        <f t="shared" si="212"/>
        <v>0</v>
      </c>
      <c r="X297">
        <f t="shared" si="213"/>
        <v>0</v>
      </c>
      <c r="Y297">
        <f t="shared" si="214"/>
        <v>0</v>
      </c>
      <c r="Z297">
        <f t="shared" si="215"/>
        <v>0</v>
      </c>
      <c r="AA297">
        <f t="shared" si="216"/>
        <v>0</v>
      </c>
      <c r="AB297">
        <f t="shared" si="217"/>
        <v>0</v>
      </c>
      <c r="AC297">
        <f t="shared" si="218"/>
        <v>0</v>
      </c>
      <c r="AD297">
        <f t="shared" si="219"/>
        <v>0</v>
      </c>
      <c r="AE297">
        <f t="shared" si="220"/>
        <v>0</v>
      </c>
      <c r="AF297">
        <f t="shared" si="221"/>
        <v>0</v>
      </c>
      <c r="AG297">
        <f t="shared" si="222"/>
        <v>0</v>
      </c>
      <c r="AH297">
        <f t="shared" si="223"/>
        <v>0</v>
      </c>
      <c r="AI297">
        <f t="shared" si="224"/>
        <v>0</v>
      </c>
      <c r="AJ297">
        <f t="shared" si="225"/>
        <v>0</v>
      </c>
      <c r="AK297">
        <f t="shared" si="226"/>
        <v>0</v>
      </c>
      <c r="AL297">
        <f t="shared" si="227"/>
        <v>0</v>
      </c>
      <c r="AM297">
        <f t="shared" si="228"/>
        <v>0</v>
      </c>
      <c r="AN297">
        <f t="shared" si="229"/>
        <v>0</v>
      </c>
      <c r="AO297">
        <f t="shared" si="230"/>
        <v>0</v>
      </c>
      <c r="AP297">
        <f t="shared" si="231"/>
        <v>0</v>
      </c>
      <c r="AQ297">
        <f t="shared" si="232"/>
        <v>0</v>
      </c>
      <c r="AR297">
        <f t="shared" si="233"/>
        <v>0</v>
      </c>
      <c r="AS297">
        <f t="shared" si="234"/>
        <v>0</v>
      </c>
      <c r="AT297">
        <f t="shared" si="235"/>
        <v>0</v>
      </c>
      <c r="AU297">
        <f t="shared" si="236"/>
        <v>0</v>
      </c>
      <c r="AV297">
        <f t="shared" si="237"/>
        <v>0</v>
      </c>
      <c r="AW297">
        <f t="shared" si="192"/>
        <v>0</v>
      </c>
      <c r="AX297">
        <f t="shared" si="238"/>
        <v>0</v>
      </c>
      <c r="AY297">
        <f t="shared" si="239"/>
        <v>0</v>
      </c>
    </row>
    <row r="298" spans="1:51" x14ac:dyDescent="0.35">
      <c r="A298">
        <v>292</v>
      </c>
      <c r="C298">
        <f>MAX(0,Calc!$C$7-SUM(D298:R298))</f>
        <v>750</v>
      </c>
      <c r="D298">
        <f t="shared" si="193"/>
        <v>0</v>
      </c>
      <c r="E298">
        <f t="shared" si="194"/>
        <v>0</v>
      </c>
      <c r="F298">
        <f t="shared" si="195"/>
        <v>0</v>
      </c>
      <c r="G298">
        <f t="shared" si="196"/>
        <v>0</v>
      </c>
      <c r="H298">
        <f t="shared" si="197"/>
        <v>0</v>
      </c>
      <c r="I298">
        <f t="shared" si="198"/>
        <v>0</v>
      </c>
      <c r="J298">
        <f t="shared" si="199"/>
        <v>0</v>
      </c>
      <c r="K298">
        <f t="shared" si="200"/>
        <v>0</v>
      </c>
      <c r="L298">
        <f t="shared" si="201"/>
        <v>0</v>
      </c>
      <c r="M298">
        <f t="shared" si="202"/>
        <v>0</v>
      </c>
      <c r="N298">
        <f t="shared" si="203"/>
        <v>0</v>
      </c>
      <c r="O298">
        <f t="shared" si="204"/>
        <v>0</v>
      </c>
      <c r="P298">
        <f t="shared" si="205"/>
        <v>0</v>
      </c>
      <c r="Q298">
        <f t="shared" si="206"/>
        <v>0</v>
      </c>
      <c r="R298">
        <f t="shared" si="207"/>
        <v>0</v>
      </c>
      <c r="S298">
        <f t="shared" si="208"/>
        <v>0</v>
      </c>
      <c r="T298">
        <f t="shared" si="209"/>
        <v>0</v>
      </c>
      <c r="U298">
        <f t="shared" si="210"/>
        <v>0</v>
      </c>
      <c r="V298">
        <f t="shared" si="211"/>
        <v>0</v>
      </c>
      <c r="W298">
        <f t="shared" si="212"/>
        <v>0</v>
      </c>
      <c r="X298">
        <f t="shared" si="213"/>
        <v>0</v>
      </c>
      <c r="Y298">
        <f t="shared" si="214"/>
        <v>0</v>
      </c>
      <c r="Z298">
        <f t="shared" si="215"/>
        <v>0</v>
      </c>
      <c r="AA298">
        <f t="shared" si="216"/>
        <v>0</v>
      </c>
      <c r="AB298">
        <f t="shared" si="217"/>
        <v>0</v>
      </c>
      <c r="AC298">
        <f t="shared" si="218"/>
        <v>0</v>
      </c>
      <c r="AD298">
        <f t="shared" si="219"/>
        <v>0</v>
      </c>
      <c r="AE298">
        <f t="shared" si="220"/>
        <v>0</v>
      </c>
      <c r="AF298">
        <f t="shared" si="221"/>
        <v>0</v>
      </c>
      <c r="AG298">
        <f t="shared" si="222"/>
        <v>0</v>
      </c>
      <c r="AH298">
        <f t="shared" si="223"/>
        <v>0</v>
      </c>
      <c r="AI298">
        <f t="shared" si="224"/>
        <v>0</v>
      </c>
      <c r="AJ298">
        <f t="shared" si="225"/>
        <v>0</v>
      </c>
      <c r="AK298">
        <f t="shared" si="226"/>
        <v>0</v>
      </c>
      <c r="AL298">
        <f t="shared" si="227"/>
        <v>0</v>
      </c>
      <c r="AM298">
        <f t="shared" si="228"/>
        <v>0</v>
      </c>
      <c r="AN298">
        <f t="shared" si="229"/>
        <v>0</v>
      </c>
      <c r="AO298">
        <f t="shared" si="230"/>
        <v>0</v>
      </c>
      <c r="AP298">
        <f t="shared" si="231"/>
        <v>0</v>
      </c>
      <c r="AQ298">
        <f t="shared" si="232"/>
        <v>0</v>
      </c>
      <c r="AR298">
        <f t="shared" si="233"/>
        <v>0</v>
      </c>
      <c r="AS298">
        <f t="shared" si="234"/>
        <v>0</v>
      </c>
      <c r="AT298">
        <f t="shared" si="235"/>
        <v>0</v>
      </c>
      <c r="AU298">
        <f t="shared" si="236"/>
        <v>0</v>
      </c>
      <c r="AV298">
        <f t="shared" si="237"/>
        <v>0</v>
      </c>
      <c r="AW298">
        <f t="shared" si="192"/>
        <v>0</v>
      </c>
      <c r="AX298">
        <f t="shared" si="238"/>
        <v>0</v>
      </c>
      <c r="AY298">
        <f t="shared" si="239"/>
        <v>0</v>
      </c>
    </row>
    <row r="299" spans="1:51" x14ac:dyDescent="0.35">
      <c r="A299">
        <v>293</v>
      </c>
      <c r="C299">
        <f>MAX(0,Calc!$C$7-SUM(D299:R299))</f>
        <v>750</v>
      </c>
      <c r="D299">
        <f t="shared" si="193"/>
        <v>0</v>
      </c>
      <c r="E299">
        <f t="shared" si="194"/>
        <v>0</v>
      </c>
      <c r="F299">
        <f t="shared" si="195"/>
        <v>0</v>
      </c>
      <c r="G299">
        <f t="shared" si="196"/>
        <v>0</v>
      </c>
      <c r="H299">
        <f t="shared" si="197"/>
        <v>0</v>
      </c>
      <c r="I299">
        <f t="shared" si="198"/>
        <v>0</v>
      </c>
      <c r="J299">
        <f t="shared" si="199"/>
        <v>0</v>
      </c>
      <c r="K299">
        <f t="shared" si="200"/>
        <v>0</v>
      </c>
      <c r="L299">
        <f t="shared" si="201"/>
        <v>0</v>
      </c>
      <c r="M299">
        <f t="shared" si="202"/>
        <v>0</v>
      </c>
      <c r="N299">
        <f t="shared" si="203"/>
        <v>0</v>
      </c>
      <c r="O299">
        <f t="shared" si="204"/>
        <v>0</v>
      </c>
      <c r="P299">
        <f t="shared" si="205"/>
        <v>0</v>
      </c>
      <c r="Q299">
        <f t="shared" si="206"/>
        <v>0</v>
      </c>
      <c r="R299">
        <f t="shared" si="207"/>
        <v>0</v>
      </c>
      <c r="S299">
        <f t="shared" si="208"/>
        <v>0</v>
      </c>
      <c r="T299">
        <f t="shared" si="209"/>
        <v>0</v>
      </c>
      <c r="U299">
        <f t="shared" si="210"/>
        <v>0</v>
      </c>
      <c r="V299">
        <f t="shared" si="211"/>
        <v>0</v>
      </c>
      <c r="W299">
        <f t="shared" si="212"/>
        <v>0</v>
      </c>
      <c r="X299">
        <f t="shared" si="213"/>
        <v>0</v>
      </c>
      <c r="Y299">
        <f t="shared" si="214"/>
        <v>0</v>
      </c>
      <c r="Z299">
        <f t="shared" si="215"/>
        <v>0</v>
      </c>
      <c r="AA299">
        <f t="shared" si="216"/>
        <v>0</v>
      </c>
      <c r="AB299">
        <f t="shared" si="217"/>
        <v>0</v>
      </c>
      <c r="AC299">
        <f t="shared" si="218"/>
        <v>0</v>
      </c>
      <c r="AD299">
        <f t="shared" si="219"/>
        <v>0</v>
      </c>
      <c r="AE299">
        <f t="shared" si="220"/>
        <v>0</v>
      </c>
      <c r="AF299">
        <f t="shared" si="221"/>
        <v>0</v>
      </c>
      <c r="AG299">
        <f t="shared" si="222"/>
        <v>0</v>
      </c>
      <c r="AH299">
        <f t="shared" si="223"/>
        <v>0</v>
      </c>
      <c r="AI299">
        <f t="shared" si="224"/>
        <v>0</v>
      </c>
      <c r="AJ299">
        <f t="shared" si="225"/>
        <v>0</v>
      </c>
      <c r="AK299">
        <f t="shared" si="226"/>
        <v>0</v>
      </c>
      <c r="AL299">
        <f t="shared" si="227"/>
        <v>0</v>
      </c>
      <c r="AM299">
        <f t="shared" si="228"/>
        <v>0</v>
      </c>
      <c r="AN299">
        <f t="shared" si="229"/>
        <v>0</v>
      </c>
      <c r="AO299">
        <f t="shared" si="230"/>
        <v>0</v>
      </c>
      <c r="AP299">
        <f t="shared" si="231"/>
        <v>0</v>
      </c>
      <c r="AQ299">
        <f t="shared" si="232"/>
        <v>0</v>
      </c>
      <c r="AR299">
        <f t="shared" si="233"/>
        <v>0</v>
      </c>
      <c r="AS299">
        <f t="shared" si="234"/>
        <v>0</v>
      </c>
      <c r="AT299">
        <f t="shared" si="235"/>
        <v>0</v>
      </c>
      <c r="AU299">
        <f t="shared" si="236"/>
        <v>0</v>
      </c>
      <c r="AV299">
        <f t="shared" si="237"/>
        <v>0</v>
      </c>
      <c r="AW299">
        <f t="shared" si="192"/>
        <v>0</v>
      </c>
      <c r="AX299">
        <f t="shared" si="238"/>
        <v>0</v>
      </c>
      <c r="AY299">
        <f t="shared" si="239"/>
        <v>0</v>
      </c>
    </row>
    <row r="300" spans="1:51" x14ac:dyDescent="0.35">
      <c r="A300">
        <v>294</v>
      </c>
      <c r="C300">
        <f>MAX(0,Calc!$C$7-SUM(D300:R300))</f>
        <v>750</v>
      </c>
      <c r="D300">
        <f t="shared" si="193"/>
        <v>0</v>
      </c>
      <c r="E300">
        <f t="shared" si="194"/>
        <v>0</v>
      </c>
      <c r="F300">
        <f t="shared" si="195"/>
        <v>0</v>
      </c>
      <c r="G300">
        <f t="shared" si="196"/>
        <v>0</v>
      </c>
      <c r="H300">
        <f t="shared" si="197"/>
        <v>0</v>
      </c>
      <c r="I300">
        <f t="shared" si="198"/>
        <v>0</v>
      </c>
      <c r="J300">
        <f t="shared" si="199"/>
        <v>0</v>
      </c>
      <c r="K300">
        <f t="shared" si="200"/>
        <v>0</v>
      </c>
      <c r="L300">
        <f t="shared" si="201"/>
        <v>0</v>
      </c>
      <c r="M300">
        <f t="shared" si="202"/>
        <v>0</v>
      </c>
      <c r="N300">
        <f t="shared" si="203"/>
        <v>0</v>
      </c>
      <c r="O300">
        <f t="shared" si="204"/>
        <v>0</v>
      </c>
      <c r="P300">
        <f t="shared" si="205"/>
        <v>0</v>
      </c>
      <c r="Q300">
        <f t="shared" si="206"/>
        <v>0</v>
      </c>
      <c r="R300">
        <f t="shared" si="207"/>
        <v>0</v>
      </c>
      <c r="S300">
        <f t="shared" si="208"/>
        <v>0</v>
      </c>
      <c r="T300">
        <f t="shared" si="209"/>
        <v>0</v>
      </c>
      <c r="U300">
        <f t="shared" si="210"/>
        <v>0</v>
      </c>
      <c r="V300">
        <f t="shared" si="211"/>
        <v>0</v>
      </c>
      <c r="W300">
        <f t="shared" si="212"/>
        <v>0</v>
      </c>
      <c r="X300">
        <f t="shared" si="213"/>
        <v>0</v>
      </c>
      <c r="Y300">
        <f t="shared" si="214"/>
        <v>0</v>
      </c>
      <c r="Z300">
        <f t="shared" si="215"/>
        <v>0</v>
      </c>
      <c r="AA300">
        <f t="shared" si="216"/>
        <v>0</v>
      </c>
      <c r="AB300">
        <f t="shared" si="217"/>
        <v>0</v>
      </c>
      <c r="AC300">
        <f t="shared" si="218"/>
        <v>0</v>
      </c>
      <c r="AD300">
        <f t="shared" si="219"/>
        <v>0</v>
      </c>
      <c r="AE300">
        <f t="shared" si="220"/>
        <v>0</v>
      </c>
      <c r="AF300">
        <f t="shared" si="221"/>
        <v>0</v>
      </c>
      <c r="AG300">
        <f t="shared" si="222"/>
        <v>0</v>
      </c>
      <c r="AH300">
        <f t="shared" si="223"/>
        <v>0</v>
      </c>
      <c r="AI300">
        <f t="shared" si="224"/>
        <v>0</v>
      </c>
      <c r="AJ300">
        <f t="shared" si="225"/>
        <v>0</v>
      </c>
      <c r="AK300">
        <f t="shared" si="226"/>
        <v>0</v>
      </c>
      <c r="AL300">
        <f t="shared" si="227"/>
        <v>0</v>
      </c>
      <c r="AM300">
        <f t="shared" si="228"/>
        <v>0</v>
      </c>
      <c r="AN300">
        <f t="shared" si="229"/>
        <v>0</v>
      </c>
      <c r="AO300">
        <f t="shared" si="230"/>
        <v>0</v>
      </c>
      <c r="AP300">
        <f t="shared" si="231"/>
        <v>0</v>
      </c>
      <c r="AQ300">
        <f t="shared" si="232"/>
        <v>0</v>
      </c>
      <c r="AR300">
        <f t="shared" si="233"/>
        <v>0</v>
      </c>
      <c r="AS300">
        <f t="shared" si="234"/>
        <v>0</v>
      </c>
      <c r="AT300">
        <f t="shared" si="235"/>
        <v>0</v>
      </c>
      <c r="AU300">
        <f t="shared" si="236"/>
        <v>0</v>
      </c>
      <c r="AV300">
        <f t="shared" si="237"/>
        <v>0</v>
      </c>
      <c r="AW300">
        <f t="shared" si="192"/>
        <v>0</v>
      </c>
      <c r="AX300">
        <f t="shared" si="238"/>
        <v>0</v>
      </c>
      <c r="AY300">
        <f t="shared" si="239"/>
        <v>0</v>
      </c>
    </row>
    <row r="301" spans="1:51" x14ac:dyDescent="0.35">
      <c r="A301">
        <v>295</v>
      </c>
      <c r="C301">
        <f>MAX(0,Calc!$C$7-SUM(D301:R301))</f>
        <v>750</v>
      </c>
      <c r="D301">
        <f t="shared" si="193"/>
        <v>0</v>
      </c>
      <c r="E301">
        <f t="shared" si="194"/>
        <v>0</v>
      </c>
      <c r="F301">
        <f t="shared" si="195"/>
        <v>0</v>
      </c>
      <c r="G301">
        <f t="shared" si="196"/>
        <v>0</v>
      </c>
      <c r="H301">
        <f t="shared" si="197"/>
        <v>0</v>
      </c>
      <c r="I301">
        <f t="shared" si="198"/>
        <v>0</v>
      </c>
      <c r="J301">
        <f t="shared" si="199"/>
        <v>0</v>
      </c>
      <c r="K301">
        <f t="shared" si="200"/>
        <v>0</v>
      </c>
      <c r="L301">
        <f t="shared" si="201"/>
        <v>0</v>
      </c>
      <c r="M301">
        <f t="shared" si="202"/>
        <v>0</v>
      </c>
      <c r="N301">
        <f t="shared" si="203"/>
        <v>0</v>
      </c>
      <c r="O301">
        <f t="shared" si="204"/>
        <v>0</v>
      </c>
      <c r="P301">
        <f t="shared" si="205"/>
        <v>0</v>
      </c>
      <c r="Q301">
        <f t="shared" si="206"/>
        <v>0</v>
      </c>
      <c r="R301">
        <f t="shared" si="207"/>
        <v>0</v>
      </c>
      <c r="S301">
        <f t="shared" si="208"/>
        <v>0</v>
      </c>
      <c r="T301">
        <f t="shared" si="209"/>
        <v>0</v>
      </c>
      <c r="U301">
        <f t="shared" si="210"/>
        <v>0</v>
      </c>
      <c r="V301">
        <f t="shared" si="211"/>
        <v>0</v>
      </c>
      <c r="W301">
        <f t="shared" si="212"/>
        <v>0</v>
      </c>
      <c r="X301">
        <f t="shared" si="213"/>
        <v>0</v>
      </c>
      <c r="Y301">
        <f t="shared" si="214"/>
        <v>0</v>
      </c>
      <c r="Z301">
        <f t="shared" si="215"/>
        <v>0</v>
      </c>
      <c r="AA301">
        <f t="shared" si="216"/>
        <v>0</v>
      </c>
      <c r="AB301">
        <f t="shared" si="217"/>
        <v>0</v>
      </c>
      <c r="AC301">
        <f t="shared" si="218"/>
        <v>0</v>
      </c>
      <c r="AD301">
        <f t="shared" si="219"/>
        <v>0</v>
      </c>
      <c r="AE301">
        <f t="shared" si="220"/>
        <v>0</v>
      </c>
      <c r="AF301">
        <f t="shared" si="221"/>
        <v>0</v>
      </c>
      <c r="AG301">
        <f t="shared" si="222"/>
        <v>0</v>
      </c>
      <c r="AH301">
        <f t="shared" si="223"/>
        <v>0</v>
      </c>
      <c r="AI301">
        <f t="shared" si="224"/>
        <v>0</v>
      </c>
      <c r="AJ301">
        <f t="shared" si="225"/>
        <v>0</v>
      </c>
      <c r="AK301">
        <f t="shared" si="226"/>
        <v>0</v>
      </c>
      <c r="AL301">
        <f t="shared" si="227"/>
        <v>0</v>
      </c>
      <c r="AM301">
        <f t="shared" si="228"/>
        <v>0</v>
      </c>
      <c r="AN301">
        <f t="shared" si="229"/>
        <v>0</v>
      </c>
      <c r="AO301">
        <f t="shared" si="230"/>
        <v>0</v>
      </c>
      <c r="AP301">
        <f t="shared" si="231"/>
        <v>0</v>
      </c>
      <c r="AQ301">
        <f t="shared" si="232"/>
        <v>0</v>
      </c>
      <c r="AR301">
        <f t="shared" si="233"/>
        <v>0</v>
      </c>
      <c r="AS301">
        <f t="shared" si="234"/>
        <v>0</v>
      </c>
      <c r="AT301">
        <f t="shared" si="235"/>
        <v>0</v>
      </c>
      <c r="AU301">
        <f t="shared" si="236"/>
        <v>0</v>
      </c>
      <c r="AV301">
        <f t="shared" si="237"/>
        <v>0</v>
      </c>
      <c r="AW301">
        <f t="shared" si="192"/>
        <v>0</v>
      </c>
      <c r="AX301">
        <f t="shared" si="238"/>
        <v>0</v>
      </c>
      <c r="AY301">
        <f t="shared" si="239"/>
        <v>0</v>
      </c>
    </row>
    <row r="302" spans="1:51" x14ac:dyDescent="0.35">
      <c r="A302">
        <v>296</v>
      </c>
      <c r="C302">
        <f>MAX(0,Calc!$C$7-SUM(D302:R302))</f>
        <v>750</v>
      </c>
      <c r="D302">
        <f t="shared" si="193"/>
        <v>0</v>
      </c>
      <c r="E302">
        <f t="shared" si="194"/>
        <v>0</v>
      </c>
      <c r="F302">
        <f t="shared" si="195"/>
        <v>0</v>
      </c>
      <c r="G302">
        <f t="shared" si="196"/>
        <v>0</v>
      </c>
      <c r="H302">
        <f t="shared" si="197"/>
        <v>0</v>
      </c>
      <c r="I302">
        <f t="shared" si="198"/>
        <v>0</v>
      </c>
      <c r="J302">
        <f t="shared" si="199"/>
        <v>0</v>
      </c>
      <c r="K302">
        <f t="shared" si="200"/>
        <v>0</v>
      </c>
      <c r="L302">
        <f t="shared" si="201"/>
        <v>0</v>
      </c>
      <c r="M302">
        <f t="shared" si="202"/>
        <v>0</v>
      </c>
      <c r="N302">
        <f t="shared" si="203"/>
        <v>0</v>
      </c>
      <c r="O302">
        <f t="shared" si="204"/>
        <v>0</v>
      </c>
      <c r="P302">
        <f t="shared" si="205"/>
        <v>0</v>
      </c>
      <c r="Q302">
        <f t="shared" si="206"/>
        <v>0</v>
      </c>
      <c r="R302">
        <f t="shared" si="207"/>
        <v>0</v>
      </c>
      <c r="S302">
        <f t="shared" si="208"/>
        <v>0</v>
      </c>
      <c r="T302">
        <f t="shared" si="209"/>
        <v>0</v>
      </c>
      <c r="U302">
        <f t="shared" si="210"/>
        <v>0</v>
      </c>
      <c r="V302">
        <f t="shared" si="211"/>
        <v>0</v>
      </c>
      <c r="W302">
        <f t="shared" si="212"/>
        <v>0</v>
      </c>
      <c r="X302">
        <f t="shared" si="213"/>
        <v>0</v>
      </c>
      <c r="Y302">
        <f t="shared" si="214"/>
        <v>0</v>
      </c>
      <c r="Z302">
        <f t="shared" si="215"/>
        <v>0</v>
      </c>
      <c r="AA302">
        <f t="shared" si="216"/>
        <v>0</v>
      </c>
      <c r="AB302">
        <f t="shared" si="217"/>
        <v>0</v>
      </c>
      <c r="AC302">
        <f t="shared" si="218"/>
        <v>0</v>
      </c>
      <c r="AD302">
        <f t="shared" si="219"/>
        <v>0</v>
      </c>
      <c r="AE302">
        <f t="shared" si="220"/>
        <v>0</v>
      </c>
      <c r="AF302">
        <f t="shared" si="221"/>
        <v>0</v>
      </c>
      <c r="AG302">
        <f t="shared" si="222"/>
        <v>0</v>
      </c>
      <c r="AH302">
        <f t="shared" si="223"/>
        <v>0</v>
      </c>
      <c r="AI302">
        <f t="shared" si="224"/>
        <v>0</v>
      </c>
      <c r="AJ302">
        <f t="shared" si="225"/>
        <v>0</v>
      </c>
      <c r="AK302">
        <f t="shared" si="226"/>
        <v>0</v>
      </c>
      <c r="AL302">
        <f t="shared" si="227"/>
        <v>0</v>
      </c>
      <c r="AM302">
        <f t="shared" si="228"/>
        <v>0</v>
      </c>
      <c r="AN302">
        <f t="shared" si="229"/>
        <v>0</v>
      </c>
      <c r="AO302">
        <f t="shared" si="230"/>
        <v>0</v>
      </c>
      <c r="AP302">
        <f t="shared" si="231"/>
        <v>0</v>
      </c>
      <c r="AQ302">
        <f t="shared" si="232"/>
        <v>0</v>
      </c>
      <c r="AR302">
        <f t="shared" si="233"/>
        <v>0</v>
      </c>
      <c r="AS302">
        <f t="shared" si="234"/>
        <v>0</v>
      </c>
      <c r="AT302">
        <f t="shared" si="235"/>
        <v>0</v>
      </c>
      <c r="AU302">
        <f t="shared" si="236"/>
        <v>0</v>
      </c>
      <c r="AV302">
        <f t="shared" si="237"/>
        <v>0</v>
      </c>
      <c r="AW302">
        <f t="shared" si="192"/>
        <v>0</v>
      </c>
      <c r="AX302">
        <f t="shared" si="238"/>
        <v>0</v>
      </c>
      <c r="AY302">
        <f t="shared" si="239"/>
        <v>0</v>
      </c>
    </row>
    <row r="303" spans="1:51" x14ac:dyDescent="0.35">
      <c r="A303">
        <v>297</v>
      </c>
      <c r="C303">
        <f>MAX(0,Calc!$C$7-SUM(D303:R303))</f>
        <v>750</v>
      </c>
      <c r="D303">
        <f t="shared" si="193"/>
        <v>0</v>
      </c>
      <c r="E303">
        <f t="shared" si="194"/>
        <v>0</v>
      </c>
      <c r="F303">
        <f t="shared" si="195"/>
        <v>0</v>
      </c>
      <c r="G303">
        <f t="shared" si="196"/>
        <v>0</v>
      </c>
      <c r="H303">
        <f t="shared" si="197"/>
        <v>0</v>
      </c>
      <c r="I303">
        <f t="shared" si="198"/>
        <v>0</v>
      </c>
      <c r="J303">
        <f t="shared" si="199"/>
        <v>0</v>
      </c>
      <c r="K303">
        <f t="shared" si="200"/>
        <v>0</v>
      </c>
      <c r="L303">
        <f t="shared" si="201"/>
        <v>0</v>
      </c>
      <c r="M303">
        <f t="shared" si="202"/>
        <v>0</v>
      </c>
      <c r="N303">
        <f t="shared" si="203"/>
        <v>0</v>
      </c>
      <c r="O303">
        <f t="shared" si="204"/>
        <v>0</v>
      </c>
      <c r="P303">
        <f t="shared" si="205"/>
        <v>0</v>
      </c>
      <c r="Q303">
        <f t="shared" si="206"/>
        <v>0</v>
      </c>
      <c r="R303">
        <f t="shared" si="207"/>
        <v>0</v>
      </c>
      <c r="S303">
        <f t="shared" si="208"/>
        <v>0</v>
      </c>
      <c r="T303">
        <f t="shared" si="209"/>
        <v>0</v>
      </c>
      <c r="U303">
        <f t="shared" si="210"/>
        <v>0</v>
      </c>
      <c r="V303">
        <f t="shared" si="211"/>
        <v>0</v>
      </c>
      <c r="W303">
        <f t="shared" si="212"/>
        <v>0</v>
      </c>
      <c r="X303">
        <f t="shared" si="213"/>
        <v>0</v>
      </c>
      <c r="Y303">
        <f t="shared" si="214"/>
        <v>0</v>
      </c>
      <c r="Z303">
        <f t="shared" si="215"/>
        <v>0</v>
      </c>
      <c r="AA303">
        <f t="shared" si="216"/>
        <v>0</v>
      </c>
      <c r="AB303">
        <f t="shared" si="217"/>
        <v>0</v>
      </c>
      <c r="AC303">
        <f t="shared" si="218"/>
        <v>0</v>
      </c>
      <c r="AD303">
        <f t="shared" si="219"/>
        <v>0</v>
      </c>
      <c r="AE303">
        <f t="shared" si="220"/>
        <v>0</v>
      </c>
      <c r="AF303">
        <f t="shared" si="221"/>
        <v>0</v>
      </c>
      <c r="AG303">
        <f t="shared" si="222"/>
        <v>0</v>
      </c>
      <c r="AH303">
        <f t="shared" si="223"/>
        <v>0</v>
      </c>
      <c r="AI303">
        <f t="shared" si="224"/>
        <v>0</v>
      </c>
      <c r="AJ303">
        <f t="shared" si="225"/>
        <v>0</v>
      </c>
      <c r="AK303">
        <f t="shared" si="226"/>
        <v>0</v>
      </c>
      <c r="AL303">
        <f t="shared" si="227"/>
        <v>0</v>
      </c>
      <c r="AM303">
        <f t="shared" si="228"/>
        <v>0</v>
      </c>
      <c r="AN303">
        <f t="shared" si="229"/>
        <v>0</v>
      </c>
      <c r="AO303">
        <f t="shared" si="230"/>
        <v>0</v>
      </c>
      <c r="AP303">
        <f t="shared" si="231"/>
        <v>0</v>
      </c>
      <c r="AQ303">
        <f t="shared" si="232"/>
        <v>0</v>
      </c>
      <c r="AR303">
        <f t="shared" si="233"/>
        <v>0</v>
      </c>
      <c r="AS303">
        <f t="shared" si="234"/>
        <v>0</v>
      </c>
      <c r="AT303">
        <f t="shared" si="235"/>
        <v>0</v>
      </c>
      <c r="AU303">
        <f t="shared" si="236"/>
        <v>0</v>
      </c>
      <c r="AV303">
        <f t="shared" si="237"/>
        <v>0</v>
      </c>
      <c r="AW303">
        <f t="shared" si="192"/>
        <v>0</v>
      </c>
      <c r="AX303">
        <f t="shared" si="238"/>
        <v>0</v>
      </c>
      <c r="AY303">
        <f t="shared" si="239"/>
        <v>0</v>
      </c>
    </row>
    <row r="304" spans="1:51" x14ac:dyDescent="0.35">
      <c r="A304">
        <v>298</v>
      </c>
      <c r="C304">
        <f>MAX(0,Calc!$C$7-SUM(D304:R304))</f>
        <v>750</v>
      </c>
      <c r="D304">
        <f t="shared" si="193"/>
        <v>0</v>
      </c>
      <c r="E304">
        <f t="shared" si="194"/>
        <v>0</v>
      </c>
      <c r="F304">
        <f t="shared" si="195"/>
        <v>0</v>
      </c>
      <c r="G304">
        <f t="shared" si="196"/>
        <v>0</v>
      </c>
      <c r="H304">
        <f t="shared" si="197"/>
        <v>0</v>
      </c>
      <c r="I304">
        <f t="shared" si="198"/>
        <v>0</v>
      </c>
      <c r="J304">
        <f t="shared" si="199"/>
        <v>0</v>
      </c>
      <c r="K304">
        <f t="shared" si="200"/>
        <v>0</v>
      </c>
      <c r="L304">
        <f t="shared" si="201"/>
        <v>0</v>
      </c>
      <c r="M304">
        <f t="shared" si="202"/>
        <v>0</v>
      </c>
      <c r="N304">
        <f t="shared" si="203"/>
        <v>0</v>
      </c>
      <c r="O304">
        <f t="shared" si="204"/>
        <v>0</v>
      </c>
      <c r="P304">
        <f t="shared" si="205"/>
        <v>0</v>
      </c>
      <c r="Q304">
        <f t="shared" si="206"/>
        <v>0</v>
      </c>
      <c r="R304">
        <f t="shared" si="207"/>
        <v>0</v>
      </c>
      <c r="S304">
        <f t="shared" si="208"/>
        <v>0</v>
      </c>
      <c r="T304">
        <f t="shared" si="209"/>
        <v>0</v>
      </c>
      <c r="U304">
        <f t="shared" si="210"/>
        <v>0</v>
      </c>
      <c r="V304">
        <f t="shared" si="211"/>
        <v>0</v>
      </c>
      <c r="W304">
        <f t="shared" si="212"/>
        <v>0</v>
      </c>
      <c r="X304">
        <f t="shared" si="213"/>
        <v>0</v>
      </c>
      <c r="Y304">
        <f t="shared" si="214"/>
        <v>0</v>
      </c>
      <c r="Z304">
        <f t="shared" si="215"/>
        <v>0</v>
      </c>
      <c r="AA304">
        <f t="shared" si="216"/>
        <v>0</v>
      </c>
      <c r="AB304">
        <f t="shared" si="217"/>
        <v>0</v>
      </c>
      <c r="AC304">
        <f t="shared" si="218"/>
        <v>0</v>
      </c>
      <c r="AD304">
        <f t="shared" si="219"/>
        <v>0</v>
      </c>
      <c r="AE304">
        <f t="shared" si="220"/>
        <v>0</v>
      </c>
      <c r="AF304">
        <f t="shared" si="221"/>
        <v>0</v>
      </c>
      <c r="AG304">
        <f t="shared" si="222"/>
        <v>0</v>
      </c>
      <c r="AH304">
        <f t="shared" si="223"/>
        <v>0</v>
      </c>
      <c r="AI304">
        <f t="shared" si="224"/>
        <v>0</v>
      </c>
      <c r="AJ304">
        <f t="shared" si="225"/>
        <v>0</v>
      </c>
      <c r="AK304">
        <f t="shared" si="226"/>
        <v>0</v>
      </c>
      <c r="AL304">
        <f t="shared" si="227"/>
        <v>0</v>
      </c>
      <c r="AM304">
        <f t="shared" si="228"/>
        <v>0</v>
      </c>
      <c r="AN304">
        <f t="shared" si="229"/>
        <v>0</v>
      </c>
      <c r="AO304">
        <f t="shared" si="230"/>
        <v>0</v>
      </c>
      <c r="AP304">
        <f t="shared" si="231"/>
        <v>0</v>
      </c>
      <c r="AQ304">
        <f t="shared" si="232"/>
        <v>0</v>
      </c>
      <c r="AR304">
        <f t="shared" si="233"/>
        <v>0</v>
      </c>
      <c r="AS304">
        <f t="shared" si="234"/>
        <v>0</v>
      </c>
      <c r="AT304">
        <f t="shared" si="235"/>
        <v>0</v>
      </c>
      <c r="AU304">
        <f t="shared" si="236"/>
        <v>0</v>
      </c>
      <c r="AV304">
        <f t="shared" si="237"/>
        <v>0</v>
      </c>
      <c r="AW304">
        <f t="shared" si="192"/>
        <v>0</v>
      </c>
      <c r="AX304">
        <f t="shared" si="238"/>
        <v>0</v>
      </c>
      <c r="AY304">
        <f t="shared" si="239"/>
        <v>0</v>
      </c>
    </row>
    <row r="305" spans="1:51" x14ac:dyDescent="0.35">
      <c r="A305">
        <v>299</v>
      </c>
      <c r="C305">
        <f>MAX(0,Calc!$C$7-SUM(D305:R305))</f>
        <v>750</v>
      </c>
      <c r="D305">
        <f t="shared" si="193"/>
        <v>0</v>
      </c>
      <c r="E305">
        <f t="shared" si="194"/>
        <v>0</v>
      </c>
      <c r="F305">
        <f t="shared" si="195"/>
        <v>0</v>
      </c>
      <c r="G305">
        <f t="shared" si="196"/>
        <v>0</v>
      </c>
      <c r="H305">
        <f t="shared" si="197"/>
        <v>0</v>
      </c>
      <c r="I305">
        <f t="shared" si="198"/>
        <v>0</v>
      </c>
      <c r="J305">
        <f t="shared" si="199"/>
        <v>0</v>
      </c>
      <c r="K305">
        <f t="shared" si="200"/>
        <v>0</v>
      </c>
      <c r="L305">
        <f t="shared" si="201"/>
        <v>0</v>
      </c>
      <c r="M305">
        <f t="shared" si="202"/>
        <v>0</v>
      </c>
      <c r="N305">
        <f t="shared" si="203"/>
        <v>0</v>
      </c>
      <c r="O305">
        <f t="shared" si="204"/>
        <v>0</v>
      </c>
      <c r="P305">
        <f t="shared" si="205"/>
        <v>0</v>
      </c>
      <c r="Q305">
        <f t="shared" si="206"/>
        <v>0</v>
      </c>
      <c r="R305">
        <f t="shared" si="207"/>
        <v>0</v>
      </c>
      <c r="S305">
        <f t="shared" si="208"/>
        <v>0</v>
      </c>
      <c r="T305">
        <f t="shared" si="209"/>
        <v>0</v>
      </c>
      <c r="U305">
        <f t="shared" si="210"/>
        <v>0</v>
      </c>
      <c r="V305">
        <f t="shared" si="211"/>
        <v>0</v>
      </c>
      <c r="W305">
        <f t="shared" si="212"/>
        <v>0</v>
      </c>
      <c r="X305">
        <f t="shared" si="213"/>
        <v>0</v>
      </c>
      <c r="Y305">
        <f t="shared" si="214"/>
        <v>0</v>
      </c>
      <c r="Z305">
        <f t="shared" si="215"/>
        <v>0</v>
      </c>
      <c r="AA305">
        <f t="shared" si="216"/>
        <v>0</v>
      </c>
      <c r="AB305">
        <f t="shared" si="217"/>
        <v>0</v>
      </c>
      <c r="AC305">
        <f t="shared" si="218"/>
        <v>0</v>
      </c>
      <c r="AD305">
        <f t="shared" si="219"/>
        <v>0</v>
      </c>
      <c r="AE305">
        <f t="shared" si="220"/>
        <v>0</v>
      </c>
      <c r="AF305">
        <f t="shared" si="221"/>
        <v>0</v>
      </c>
      <c r="AG305">
        <f t="shared" si="222"/>
        <v>0</v>
      </c>
      <c r="AH305">
        <f t="shared" si="223"/>
        <v>0</v>
      </c>
      <c r="AI305">
        <f t="shared" si="224"/>
        <v>0</v>
      </c>
      <c r="AJ305">
        <f t="shared" si="225"/>
        <v>0</v>
      </c>
      <c r="AK305">
        <f t="shared" si="226"/>
        <v>0</v>
      </c>
      <c r="AL305">
        <f t="shared" si="227"/>
        <v>0</v>
      </c>
      <c r="AM305">
        <f t="shared" si="228"/>
        <v>0</v>
      </c>
      <c r="AN305">
        <f t="shared" si="229"/>
        <v>0</v>
      </c>
      <c r="AO305">
        <f t="shared" si="230"/>
        <v>0</v>
      </c>
      <c r="AP305">
        <f t="shared" si="231"/>
        <v>0</v>
      </c>
      <c r="AQ305">
        <f t="shared" si="232"/>
        <v>0</v>
      </c>
      <c r="AR305">
        <f t="shared" si="233"/>
        <v>0</v>
      </c>
      <c r="AS305">
        <f t="shared" si="234"/>
        <v>0</v>
      </c>
      <c r="AT305">
        <f t="shared" si="235"/>
        <v>0</v>
      </c>
      <c r="AU305">
        <f t="shared" si="236"/>
        <v>0</v>
      </c>
      <c r="AV305">
        <f t="shared" si="237"/>
        <v>0</v>
      </c>
      <c r="AW305">
        <f t="shared" si="192"/>
        <v>0</v>
      </c>
      <c r="AX305">
        <f t="shared" si="238"/>
        <v>0</v>
      </c>
      <c r="AY305">
        <f t="shared" si="239"/>
        <v>0</v>
      </c>
    </row>
    <row r="306" spans="1:51" x14ac:dyDescent="0.35">
      <c r="A306">
        <v>300</v>
      </c>
      <c r="C306">
        <f>MAX(0,Calc!$C$7-SUM(D306:R306))</f>
        <v>750</v>
      </c>
      <c r="D306">
        <f t="shared" si="193"/>
        <v>0</v>
      </c>
      <c r="E306">
        <f t="shared" si="194"/>
        <v>0</v>
      </c>
      <c r="F306">
        <f t="shared" si="195"/>
        <v>0</v>
      </c>
      <c r="G306">
        <f t="shared" si="196"/>
        <v>0</v>
      </c>
      <c r="H306">
        <f t="shared" si="197"/>
        <v>0</v>
      </c>
      <c r="I306">
        <f t="shared" si="198"/>
        <v>0</v>
      </c>
      <c r="J306">
        <f t="shared" si="199"/>
        <v>0</v>
      </c>
      <c r="K306">
        <f t="shared" si="200"/>
        <v>0</v>
      </c>
      <c r="L306">
        <f t="shared" si="201"/>
        <v>0</v>
      </c>
      <c r="M306">
        <f t="shared" si="202"/>
        <v>0</v>
      </c>
      <c r="N306">
        <f t="shared" si="203"/>
        <v>0</v>
      </c>
      <c r="O306">
        <f t="shared" si="204"/>
        <v>0</v>
      </c>
      <c r="P306">
        <f t="shared" si="205"/>
        <v>0</v>
      </c>
      <c r="Q306">
        <f t="shared" si="206"/>
        <v>0</v>
      </c>
      <c r="R306">
        <f t="shared" si="207"/>
        <v>0</v>
      </c>
      <c r="S306">
        <f t="shared" si="208"/>
        <v>0</v>
      </c>
      <c r="T306">
        <f t="shared" si="209"/>
        <v>0</v>
      </c>
      <c r="U306">
        <f t="shared" si="210"/>
        <v>0</v>
      </c>
      <c r="V306">
        <f t="shared" si="211"/>
        <v>0</v>
      </c>
      <c r="W306">
        <f t="shared" si="212"/>
        <v>0</v>
      </c>
      <c r="X306">
        <f t="shared" si="213"/>
        <v>0</v>
      </c>
      <c r="Y306">
        <f t="shared" si="214"/>
        <v>0</v>
      </c>
      <c r="Z306">
        <f t="shared" si="215"/>
        <v>0</v>
      </c>
      <c r="AA306">
        <f t="shared" si="216"/>
        <v>0</v>
      </c>
      <c r="AB306">
        <f t="shared" si="217"/>
        <v>0</v>
      </c>
      <c r="AC306">
        <f t="shared" si="218"/>
        <v>0</v>
      </c>
      <c r="AD306">
        <f t="shared" si="219"/>
        <v>0</v>
      </c>
      <c r="AE306">
        <f t="shared" si="220"/>
        <v>0</v>
      </c>
      <c r="AF306">
        <f t="shared" si="221"/>
        <v>0</v>
      </c>
      <c r="AG306">
        <f t="shared" si="222"/>
        <v>0</v>
      </c>
      <c r="AH306">
        <f t="shared" si="223"/>
        <v>0</v>
      </c>
      <c r="AI306">
        <f t="shared" si="224"/>
        <v>0</v>
      </c>
      <c r="AJ306">
        <f t="shared" si="225"/>
        <v>0</v>
      </c>
      <c r="AK306">
        <f t="shared" si="226"/>
        <v>0</v>
      </c>
      <c r="AL306">
        <f t="shared" si="227"/>
        <v>0</v>
      </c>
      <c r="AM306">
        <f t="shared" si="228"/>
        <v>0</v>
      </c>
      <c r="AN306">
        <f t="shared" si="229"/>
        <v>0</v>
      </c>
      <c r="AO306">
        <f t="shared" si="230"/>
        <v>0</v>
      </c>
      <c r="AP306">
        <f t="shared" si="231"/>
        <v>0</v>
      </c>
      <c r="AQ306">
        <f t="shared" si="232"/>
        <v>0</v>
      </c>
      <c r="AR306">
        <f t="shared" si="233"/>
        <v>0</v>
      </c>
      <c r="AS306">
        <f t="shared" si="234"/>
        <v>0</v>
      </c>
      <c r="AT306">
        <f t="shared" si="235"/>
        <v>0</v>
      </c>
      <c r="AU306">
        <f t="shared" si="236"/>
        <v>0</v>
      </c>
      <c r="AV306">
        <f t="shared" si="237"/>
        <v>0</v>
      </c>
      <c r="AW306">
        <f t="shared" si="192"/>
        <v>0</v>
      </c>
      <c r="AX306">
        <f t="shared" si="238"/>
        <v>0</v>
      </c>
      <c r="AY306">
        <f t="shared" si="239"/>
        <v>0</v>
      </c>
    </row>
    <row r="307" spans="1:51" x14ac:dyDescent="0.35">
      <c r="A307">
        <v>301</v>
      </c>
      <c r="C307">
        <f>MAX(0,Calc!$C$7-SUM(D307:R307))</f>
        <v>750</v>
      </c>
      <c r="D307">
        <f t="shared" si="193"/>
        <v>0</v>
      </c>
      <c r="E307">
        <f t="shared" si="194"/>
        <v>0</v>
      </c>
      <c r="F307">
        <f t="shared" si="195"/>
        <v>0</v>
      </c>
      <c r="G307">
        <f t="shared" si="196"/>
        <v>0</v>
      </c>
      <c r="H307">
        <f t="shared" si="197"/>
        <v>0</v>
      </c>
      <c r="I307">
        <f t="shared" si="198"/>
        <v>0</v>
      </c>
      <c r="J307">
        <f t="shared" si="199"/>
        <v>0</v>
      </c>
      <c r="K307">
        <f t="shared" si="200"/>
        <v>0</v>
      </c>
      <c r="L307">
        <f t="shared" si="201"/>
        <v>0</v>
      </c>
      <c r="M307">
        <f t="shared" si="202"/>
        <v>0</v>
      </c>
      <c r="N307">
        <f t="shared" si="203"/>
        <v>0</v>
      </c>
      <c r="O307">
        <f t="shared" si="204"/>
        <v>0</v>
      </c>
      <c r="P307">
        <f t="shared" si="205"/>
        <v>0</v>
      </c>
      <c r="Q307">
        <f t="shared" si="206"/>
        <v>0</v>
      </c>
      <c r="R307">
        <f t="shared" si="207"/>
        <v>0</v>
      </c>
      <c r="S307">
        <f t="shared" si="208"/>
        <v>0</v>
      </c>
      <c r="T307">
        <f t="shared" si="209"/>
        <v>0</v>
      </c>
      <c r="U307">
        <f t="shared" si="210"/>
        <v>0</v>
      </c>
      <c r="V307">
        <f t="shared" si="211"/>
        <v>0</v>
      </c>
      <c r="W307">
        <f t="shared" si="212"/>
        <v>0</v>
      </c>
      <c r="X307">
        <f t="shared" si="213"/>
        <v>0</v>
      </c>
      <c r="Y307">
        <f t="shared" si="214"/>
        <v>0</v>
      </c>
      <c r="Z307">
        <f t="shared" si="215"/>
        <v>0</v>
      </c>
      <c r="AA307">
        <f t="shared" si="216"/>
        <v>0</v>
      </c>
      <c r="AB307">
        <f t="shared" si="217"/>
        <v>0</v>
      </c>
      <c r="AC307">
        <f t="shared" si="218"/>
        <v>0</v>
      </c>
      <c r="AD307">
        <f t="shared" si="219"/>
        <v>0</v>
      </c>
      <c r="AE307">
        <f t="shared" si="220"/>
        <v>0</v>
      </c>
      <c r="AF307">
        <f t="shared" si="221"/>
        <v>0</v>
      </c>
      <c r="AG307">
        <f t="shared" si="222"/>
        <v>0</v>
      </c>
      <c r="AH307">
        <f t="shared" si="223"/>
        <v>0</v>
      </c>
      <c r="AI307">
        <f t="shared" si="224"/>
        <v>0</v>
      </c>
      <c r="AJ307">
        <f t="shared" si="225"/>
        <v>0</v>
      </c>
      <c r="AK307">
        <f t="shared" si="226"/>
        <v>0</v>
      </c>
      <c r="AL307">
        <f t="shared" si="227"/>
        <v>0</v>
      </c>
      <c r="AM307">
        <f t="shared" si="228"/>
        <v>0</v>
      </c>
      <c r="AN307">
        <f t="shared" si="229"/>
        <v>0</v>
      </c>
      <c r="AO307">
        <f t="shared" si="230"/>
        <v>0</v>
      </c>
      <c r="AP307">
        <f t="shared" si="231"/>
        <v>0</v>
      </c>
      <c r="AQ307">
        <f t="shared" si="232"/>
        <v>0</v>
      </c>
      <c r="AR307">
        <f t="shared" si="233"/>
        <v>0</v>
      </c>
      <c r="AS307">
        <f t="shared" si="234"/>
        <v>0</v>
      </c>
      <c r="AT307">
        <f t="shared" si="235"/>
        <v>0</v>
      </c>
      <c r="AU307">
        <f t="shared" si="236"/>
        <v>0</v>
      </c>
      <c r="AV307">
        <f t="shared" si="237"/>
        <v>0</v>
      </c>
      <c r="AW307">
        <f t="shared" si="192"/>
        <v>0</v>
      </c>
      <c r="AX307">
        <f t="shared" si="238"/>
        <v>0</v>
      </c>
      <c r="AY307">
        <f t="shared" si="239"/>
        <v>0</v>
      </c>
    </row>
    <row r="308" spans="1:51" x14ac:dyDescent="0.35">
      <c r="A308">
        <v>302</v>
      </c>
      <c r="C308">
        <f>MAX(0,Calc!$C$7-SUM(D308:R308))</f>
        <v>750</v>
      </c>
      <c r="D308">
        <f t="shared" si="193"/>
        <v>0</v>
      </c>
      <c r="E308">
        <f t="shared" si="194"/>
        <v>0</v>
      </c>
      <c r="F308">
        <f t="shared" si="195"/>
        <v>0</v>
      </c>
      <c r="G308">
        <f t="shared" si="196"/>
        <v>0</v>
      </c>
      <c r="H308">
        <f t="shared" si="197"/>
        <v>0</v>
      </c>
      <c r="I308">
        <f t="shared" si="198"/>
        <v>0</v>
      </c>
      <c r="J308">
        <f t="shared" si="199"/>
        <v>0</v>
      </c>
      <c r="K308">
        <f t="shared" si="200"/>
        <v>0</v>
      </c>
      <c r="L308">
        <f t="shared" si="201"/>
        <v>0</v>
      </c>
      <c r="M308">
        <f t="shared" si="202"/>
        <v>0</v>
      </c>
      <c r="N308">
        <f t="shared" si="203"/>
        <v>0</v>
      </c>
      <c r="O308">
        <f t="shared" si="204"/>
        <v>0</v>
      </c>
      <c r="P308">
        <f t="shared" si="205"/>
        <v>0</v>
      </c>
      <c r="Q308">
        <f t="shared" si="206"/>
        <v>0</v>
      </c>
      <c r="R308">
        <f t="shared" si="207"/>
        <v>0</v>
      </c>
      <c r="S308">
        <f t="shared" si="208"/>
        <v>0</v>
      </c>
      <c r="T308">
        <f t="shared" si="209"/>
        <v>0</v>
      </c>
      <c r="U308">
        <f t="shared" si="210"/>
        <v>0</v>
      </c>
      <c r="V308">
        <f t="shared" si="211"/>
        <v>0</v>
      </c>
      <c r="W308">
        <f t="shared" si="212"/>
        <v>0</v>
      </c>
      <c r="X308">
        <f t="shared" si="213"/>
        <v>0</v>
      </c>
      <c r="Y308">
        <f t="shared" si="214"/>
        <v>0</v>
      </c>
      <c r="Z308">
        <f t="shared" si="215"/>
        <v>0</v>
      </c>
      <c r="AA308">
        <f t="shared" si="216"/>
        <v>0</v>
      </c>
      <c r="AB308">
        <f t="shared" si="217"/>
        <v>0</v>
      </c>
      <c r="AC308">
        <f t="shared" si="218"/>
        <v>0</v>
      </c>
      <c r="AD308">
        <f t="shared" si="219"/>
        <v>0</v>
      </c>
      <c r="AE308">
        <f t="shared" si="220"/>
        <v>0</v>
      </c>
      <c r="AF308">
        <f t="shared" si="221"/>
        <v>0</v>
      </c>
      <c r="AG308">
        <f t="shared" si="222"/>
        <v>0</v>
      </c>
      <c r="AH308">
        <f t="shared" si="223"/>
        <v>0</v>
      </c>
      <c r="AI308">
        <f t="shared" si="224"/>
        <v>0</v>
      </c>
      <c r="AJ308">
        <f t="shared" si="225"/>
        <v>0</v>
      </c>
      <c r="AK308">
        <f t="shared" si="226"/>
        <v>0</v>
      </c>
      <c r="AL308">
        <f t="shared" si="227"/>
        <v>0</v>
      </c>
      <c r="AM308">
        <f t="shared" si="228"/>
        <v>0</v>
      </c>
      <c r="AN308">
        <f t="shared" si="229"/>
        <v>0</v>
      </c>
      <c r="AO308">
        <f t="shared" si="230"/>
        <v>0</v>
      </c>
      <c r="AP308">
        <f t="shared" si="231"/>
        <v>0</v>
      </c>
      <c r="AQ308">
        <f t="shared" si="232"/>
        <v>0</v>
      </c>
      <c r="AR308">
        <f t="shared" si="233"/>
        <v>0</v>
      </c>
      <c r="AS308">
        <f t="shared" si="234"/>
        <v>0</v>
      </c>
      <c r="AT308">
        <f t="shared" si="235"/>
        <v>0</v>
      </c>
      <c r="AU308">
        <f t="shared" si="236"/>
        <v>0</v>
      </c>
      <c r="AV308">
        <f t="shared" si="237"/>
        <v>0</v>
      </c>
      <c r="AW308">
        <f t="shared" si="192"/>
        <v>0</v>
      </c>
      <c r="AX308">
        <f t="shared" si="238"/>
        <v>0</v>
      </c>
      <c r="AY308">
        <f t="shared" si="239"/>
        <v>0</v>
      </c>
    </row>
    <row r="309" spans="1:51" x14ac:dyDescent="0.35">
      <c r="A309">
        <v>303</v>
      </c>
      <c r="C309">
        <f>MAX(0,Calc!$C$7-SUM(D309:R309))</f>
        <v>750</v>
      </c>
      <c r="D309">
        <f t="shared" si="193"/>
        <v>0</v>
      </c>
      <c r="E309">
        <f t="shared" si="194"/>
        <v>0</v>
      </c>
      <c r="F309">
        <f t="shared" si="195"/>
        <v>0</v>
      </c>
      <c r="G309">
        <f t="shared" si="196"/>
        <v>0</v>
      </c>
      <c r="H309">
        <f t="shared" si="197"/>
        <v>0</v>
      </c>
      <c r="I309">
        <f t="shared" si="198"/>
        <v>0</v>
      </c>
      <c r="J309">
        <f t="shared" si="199"/>
        <v>0</v>
      </c>
      <c r="K309">
        <f t="shared" si="200"/>
        <v>0</v>
      </c>
      <c r="L309">
        <f t="shared" si="201"/>
        <v>0</v>
      </c>
      <c r="M309">
        <f t="shared" si="202"/>
        <v>0</v>
      </c>
      <c r="N309">
        <f t="shared" si="203"/>
        <v>0</v>
      </c>
      <c r="O309">
        <f t="shared" si="204"/>
        <v>0</v>
      </c>
      <c r="P309">
        <f t="shared" si="205"/>
        <v>0</v>
      </c>
      <c r="Q309">
        <f t="shared" si="206"/>
        <v>0</v>
      </c>
      <c r="R309">
        <f t="shared" si="207"/>
        <v>0</v>
      </c>
      <c r="S309">
        <f t="shared" si="208"/>
        <v>0</v>
      </c>
      <c r="T309">
        <f t="shared" si="209"/>
        <v>0</v>
      </c>
      <c r="U309">
        <f t="shared" si="210"/>
        <v>0</v>
      </c>
      <c r="V309">
        <f t="shared" si="211"/>
        <v>0</v>
      </c>
      <c r="W309">
        <f t="shared" si="212"/>
        <v>0</v>
      </c>
      <c r="X309">
        <f t="shared" si="213"/>
        <v>0</v>
      </c>
      <c r="Y309">
        <f t="shared" si="214"/>
        <v>0</v>
      </c>
      <c r="Z309">
        <f t="shared" si="215"/>
        <v>0</v>
      </c>
      <c r="AA309">
        <f t="shared" si="216"/>
        <v>0</v>
      </c>
      <c r="AB309">
        <f t="shared" si="217"/>
        <v>0</v>
      </c>
      <c r="AC309">
        <f t="shared" si="218"/>
        <v>0</v>
      </c>
      <c r="AD309">
        <f t="shared" si="219"/>
        <v>0</v>
      </c>
      <c r="AE309">
        <f t="shared" si="220"/>
        <v>0</v>
      </c>
      <c r="AF309">
        <f t="shared" si="221"/>
        <v>0</v>
      </c>
      <c r="AG309">
        <f t="shared" si="222"/>
        <v>0</v>
      </c>
      <c r="AH309">
        <f t="shared" si="223"/>
        <v>0</v>
      </c>
      <c r="AI309">
        <f t="shared" si="224"/>
        <v>0</v>
      </c>
      <c r="AJ309">
        <f t="shared" si="225"/>
        <v>0</v>
      </c>
      <c r="AK309">
        <f t="shared" si="226"/>
        <v>0</v>
      </c>
      <c r="AL309">
        <f t="shared" si="227"/>
        <v>0</v>
      </c>
      <c r="AM309">
        <f t="shared" si="228"/>
        <v>0</v>
      </c>
      <c r="AN309">
        <f t="shared" si="229"/>
        <v>0</v>
      </c>
      <c r="AO309">
        <f t="shared" si="230"/>
        <v>0</v>
      </c>
      <c r="AP309">
        <f t="shared" si="231"/>
        <v>0</v>
      </c>
      <c r="AQ309">
        <f t="shared" si="232"/>
        <v>0</v>
      </c>
      <c r="AR309">
        <f t="shared" si="233"/>
        <v>0</v>
      </c>
      <c r="AS309">
        <f t="shared" si="234"/>
        <v>0</v>
      </c>
      <c r="AT309">
        <f t="shared" si="235"/>
        <v>0</v>
      </c>
      <c r="AU309">
        <f t="shared" si="236"/>
        <v>0</v>
      </c>
      <c r="AV309">
        <f t="shared" si="237"/>
        <v>0</v>
      </c>
      <c r="AW309">
        <f t="shared" si="192"/>
        <v>0</v>
      </c>
      <c r="AX309">
        <f t="shared" si="238"/>
        <v>0</v>
      </c>
      <c r="AY309">
        <f t="shared" si="239"/>
        <v>0</v>
      </c>
    </row>
    <row r="310" spans="1:51" x14ac:dyDescent="0.35">
      <c r="A310">
        <v>304</v>
      </c>
      <c r="C310">
        <f>MAX(0,Calc!$C$7-SUM(D310:R310))</f>
        <v>750</v>
      </c>
      <c r="D310">
        <f t="shared" si="193"/>
        <v>0</v>
      </c>
      <c r="E310">
        <f t="shared" si="194"/>
        <v>0</v>
      </c>
      <c r="F310">
        <f t="shared" si="195"/>
        <v>0</v>
      </c>
      <c r="G310">
        <f t="shared" si="196"/>
        <v>0</v>
      </c>
      <c r="H310">
        <f t="shared" si="197"/>
        <v>0</v>
      </c>
      <c r="I310">
        <f t="shared" si="198"/>
        <v>0</v>
      </c>
      <c r="J310">
        <f t="shared" si="199"/>
        <v>0</v>
      </c>
      <c r="K310">
        <f t="shared" si="200"/>
        <v>0</v>
      </c>
      <c r="L310">
        <f t="shared" si="201"/>
        <v>0</v>
      </c>
      <c r="M310">
        <f t="shared" si="202"/>
        <v>0</v>
      </c>
      <c r="N310">
        <f t="shared" si="203"/>
        <v>0</v>
      </c>
      <c r="O310">
        <f t="shared" si="204"/>
        <v>0</v>
      </c>
      <c r="P310">
        <f t="shared" si="205"/>
        <v>0</v>
      </c>
      <c r="Q310">
        <f t="shared" si="206"/>
        <v>0</v>
      </c>
      <c r="R310">
        <f t="shared" si="207"/>
        <v>0</v>
      </c>
      <c r="S310">
        <f t="shared" si="208"/>
        <v>0</v>
      </c>
      <c r="T310">
        <f t="shared" si="209"/>
        <v>0</v>
      </c>
      <c r="U310">
        <f t="shared" si="210"/>
        <v>0</v>
      </c>
      <c r="V310">
        <f t="shared" si="211"/>
        <v>0</v>
      </c>
      <c r="W310">
        <f t="shared" si="212"/>
        <v>0</v>
      </c>
      <c r="X310">
        <f t="shared" si="213"/>
        <v>0</v>
      </c>
      <c r="Y310">
        <f t="shared" si="214"/>
        <v>0</v>
      </c>
      <c r="Z310">
        <f t="shared" si="215"/>
        <v>0</v>
      </c>
      <c r="AA310">
        <f t="shared" si="216"/>
        <v>0</v>
      </c>
      <c r="AB310">
        <f t="shared" si="217"/>
        <v>0</v>
      </c>
      <c r="AC310">
        <f t="shared" si="218"/>
        <v>0</v>
      </c>
      <c r="AD310">
        <f t="shared" si="219"/>
        <v>0</v>
      </c>
      <c r="AE310">
        <f t="shared" si="220"/>
        <v>0</v>
      </c>
      <c r="AF310">
        <f t="shared" si="221"/>
        <v>0</v>
      </c>
      <c r="AG310">
        <f t="shared" si="222"/>
        <v>0</v>
      </c>
      <c r="AH310">
        <f t="shared" si="223"/>
        <v>0</v>
      </c>
      <c r="AI310">
        <f t="shared" si="224"/>
        <v>0</v>
      </c>
      <c r="AJ310">
        <f t="shared" si="225"/>
        <v>0</v>
      </c>
      <c r="AK310">
        <f t="shared" si="226"/>
        <v>0</v>
      </c>
      <c r="AL310">
        <f t="shared" si="227"/>
        <v>0</v>
      </c>
      <c r="AM310">
        <f t="shared" si="228"/>
        <v>0</v>
      </c>
      <c r="AN310">
        <f t="shared" si="229"/>
        <v>0</v>
      </c>
      <c r="AO310">
        <f t="shared" si="230"/>
        <v>0</v>
      </c>
      <c r="AP310">
        <f t="shared" si="231"/>
        <v>0</v>
      </c>
      <c r="AQ310">
        <f t="shared" si="232"/>
        <v>0</v>
      </c>
      <c r="AR310">
        <f t="shared" si="233"/>
        <v>0</v>
      </c>
      <c r="AS310">
        <f t="shared" si="234"/>
        <v>0</v>
      </c>
      <c r="AT310">
        <f t="shared" si="235"/>
        <v>0</v>
      </c>
      <c r="AU310">
        <f t="shared" si="236"/>
        <v>0</v>
      </c>
      <c r="AV310">
        <f t="shared" si="237"/>
        <v>0</v>
      </c>
      <c r="AW310">
        <f t="shared" si="192"/>
        <v>0</v>
      </c>
      <c r="AX310">
        <f t="shared" si="238"/>
        <v>0</v>
      </c>
      <c r="AY310">
        <f t="shared" si="239"/>
        <v>0</v>
      </c>
    </row>
    <row r="311" spans="1:51" x14ac:dyDescent="0.35">
      <c r="A311">
        <v>305</v>
      </c>
      <c r="C311">
        <f>MAX(0,Calc!$C$7-SUM(D311:R311))</f>
        <v>750</v>
      </c>
      <c r="D311">
        <f t="shared" si="193"/>
        <v>0</v>
      </c>
      <c r="E311">
        <f t="shared" si="194"/>
        <v>0</v>
      </c>
      <c r="F311">
        <f t="shared" si="195"/>
        <v>0</v>
      </c>
      <c r="G311">
        <f t="shared" si="196"/>
        <v>0</v>
      </c>
      <c r="H311">
        <f t="shared" si="197"/>
        <v>0</v>
      </c>
      <c r="I311">
        <f t="shared" si="198"/>
        <v>0</v>
      </c>
      <c r="J311">
        <f t="shared" si="199"/>
        <v>0</v>
      </c>
      <c r="K311">
        <f t="shared" si="200"/>
        <v>0</v>
      </c>
      <c r="L311">
        <f t="shared" si="201"/>
        <v>0</v>
      </c>
      <c r="M311">
        <f t="shared" si="202"/>
        <v>0</v>
      </c>
      <c r="N311">
        <f t="shared" si="203"/>
        <v>0</v>
      </c>
      <c r="O311">
        <f t="shared" si="204"/>
        <v>0</v>
      </c>
      <c r="P311">
        <f t="shared" si="205"/>
        <v>0</v>
      </c>
      <c r="Q311">
        <f t="shared" si="206"/>
        <v>0</v>
      </c>
      <c r="R311">
        <f t="shared" si="207"/>
        <v>0</v>
      </c>
      <c r="S311">
        <f t="shared" si="208"/>
        <v>0</v>
      </c>
      <c r="T311">
        <f t="shared" si="209"/>
        <v>0</v>
      </c>
      <c r="U311">
        <f t="shared" si="210"/>
        <v>0</v>
      </c>
      <c r="V311">
        <f t="shared" si="211"/>
        <v>0</v>
      </c>
      <c r="W311">
        <f t="shared" si="212"/>
        <v>0</v>
      </c>
      <c r="X311">
        <f t="shared" si="213"/>
        <v>0</v>
      </c>
      <c r="Y311">
        <f t="shared" si="214"/>
        <v>0</v>
      </c>
      <c r="Z311">
        <f t="shared" si="215"/>
        <v>0</v>
      </c>
      <c r="AA311">
        <f t="shared" si="216"/>
        <v>0</v>
      </c>
      <c r="AB311">
        <f t="shared" si="217"/>
        <v>0</v>
      </c>
      <c r="AC311">
        <f t="shared" si="218"/>
        <v>0</v>
      </c>
      <c r="AD311">
        <f t="shared" si="219"/>
        <v>0</v>
      </c>
      <c r="AE311">
        <f t="shared" si="220"/>
        <v>0</v>
      </c>
      <c r="AF311">
        <f t="shared" si="221"/>
        <v>0</v>
      </c>
      <c r="AG311">
        <f t="shared" si="222"/>
        <v>0</v>
      </c>
      <c r="AH311">
        <f t="shared" si="223"/>
        <v>0</v>
      </c>
      <c r="AI311">
        <f t="shared" si="224"/>
        <v>0</v>
      </c>
      <c r="AJ311">
        <f t="shared" si="225"/>
        <v>0</v>
      </c>
      <c r="AK311">
        <f t="shared" si="226"/>
        <v>0</v>
      </c>
      <c r="AL311">
        <f t="shared" si="227"/>
        <v>0</v>
      </c>
      <c r="AM311">
        <f t="shared" si="228"/>
        <v>0</v>
      </c>
      <c r="AN311">
        <f t="shared" si="229"/>
        <v>0</v>
      </c>
      <c r="AO311">
        <f t="shared" si="230"/>
        <v>0</v>
      </c>
      <c r="AP311">
        <f t="shared" si="231"/>
        <v>0</v>
      </c>
      <c r="AQ311">
        <f t="shared" si="232"/>
        <v>0</v>
      </c>
      <c r="AR311">
        <f t="shared" si="233"/>
        <v>0</v>
      </c>
      <c r="AS311">
        <f t="shared" si="234"/>
        <v>0</v>
      </c>
      <c r="AT311">
        <f t="shared" si="235"/>
        <v>0</v>
      </c>
      <c r="AU311">
        <f t="shared" si="236"/>
        <v>0</v>
      </c>
      <c r="AV311">
        <f t="shared" si="237"/>
        <v>0</v>
      </c>
      <c r="AW311">
        <f t="shared" si="192"/>
        <v>0</v>
      </c>
      <c r="AX311">
        <f t="shared" si="238"/>
        <v>0</v>
      </c>
      <c r="AY311">
        <f t="shared" si="239"/>
        <v>0</v>
      </c>
    </row>
    <row r="312" spans="1:51" x14ac:dyDescent="0.35">
      <c r="A312">
        <v>306</v>
      </c>
      <c r="C312">
        <f>MAX(0,Calc!$C$7-SUM(D312:R312))</f>
        <v>750</v>
      </c>
      <c r="D312">
        <f t="shared" si="193"/>
        <v>0</v>
      </c>
      <c r="E312">
        <f t="shared" si="194"/>
        <v>0</v>
      </c>
      <c r="F312">
        <f t="shared" si="195"/>
        <v>0</v>
      </c>
      <c r="G312">
        <f t="shared" si="196"/>
        <v>0</v>
      </c>
      <c r="H312">
        <f t="shared" si="197"/>
        <v>0</v>
      </c>
      <c r="I312">
        <f t="shared" si="198"/>
        <v>0</v>
      </c>
      <c r="J312">
        <f t="shared" si="199"/>
        <v>0</v>
      </c>
      <c r="K312">
        <f t="shared" si="200"/>
        <v>0</v>
      </c>
      <c r="L312">
        <f t="shared" si="201"/>
        <v>0</v>
      </c>
      <c r="M312">
        <f t="shared" si="202"/>
        <v>0</v>
      </c>
      <c r="N312">
        <f t="shared" si="203"/>
        <v>0</v>
      </c>
      <c r="O312">
        <f t="shared" si="204"/>
        <v>0</v>
      </c>
      <c r="P312">
        <f t="shared" si="205"/>
        <v>0</v>
      </c>
      <c r="Q312">
        <f t="shared" si="206"/>
        <v>0</v>
      </c>
      <c r="R312">
        <f t="shared" si="207"/>
        <v>0</v>
      </c>
      <c r="S312">
        <f t="shared" si="208"/>
        <v>0</v>
      </c>
      <c r="T312">
        <f t="shared" si="209"/>
        <v>0</v>
      </c>
      <c r="U312">
        <f t="shared" si="210"/>
        <v>0</v>
      </c>
      <c r="V312">
        <f t="shared" si="211"/>
        <v>0</v>
      </c>
      <c r="W312">
        <f t="shared" si="212"/>
        <v>0</v>
      </c>
      <c r="X312">
        <f t="shared" si="213"/>
        <v>0</v>
      </c>
      <c r="Y312">
        <f t="shared" si="214"/>
        <v>0</v>
      </c>
      <c r="Z312">
        <f t="shared" si="215"/>
        <v>0</v>
      </c>
      <c r="AA312">
        <f t="shared" si="216"/>
        <v>0</v>
      </c>
      <c r="AB312">
        <f t="shared" si="217"/>
        <v>0</v>
      </c>
      <c r="AC312">
        <f t="shared" si="218"/>
        <v>0</v>
      </c>
      <c r="AD312">
        <f t="shared" si="219"/>
        <v>0</v>
      </c>
      <c r="AE312">
        <f t="shared" si="220"/>
        <v>0</v>
      </c>
      <c r="AF312">
        <f t="shared" si="221"/>
        <v>0</v>
      </c>
      <c r="AG312">
        <f t="shared" si="222"/>
        <v>0</v>
      </c>
      <c r="AH312">
        <f t="shared" si="223"/>
        <v>0</v>
      </c>
      <c r="AI312">
        <f t="shared" si="224"/>
        <v>0</v>
      </c>
      <c r="AJ312">
        <f t="shared" si="225"/>
        <v>0</v>
      </c>
      <c r="AK312">
        <f t="shared" si="226"/>
        <v>0</v>
      </c>
      <c r="AL312">
        <f t="shared" si="227"/>
        <v>0</v>
      </c>
      <c r="AM312">
        <f t="shared" si="228"/>
        <v>0</v>
      </c>
      <c r="AN312">
        <f t="shared" si="229"/>
        <v>0</v>
      </c>
      <c r="AO312">
        <f t="shared" si="230"/>
        <v>0</v>
      </c>
      <c r="AP312">
        <f t="shared" si="231"/>
        <v>0</v>
      </c>
      <c r="AQ312">
        <f t="shared" si="232"/>
        <v>0</v>
      </c>
      <c r="AR312">
        <f t="shared" si="233"/>
        <v>0</v>
      </c>
      <c r="AS312">
        <f t="shared" si="234"/>
        <v>0</v>
      </c>
      <c r="AT312">
        <f t="shared" si="235"/>
        <v>0</v>
      </c>
      <c r="AU312">
        <f t="shared" si="236"/>
        <v>0</v>
      </c>
      <c r="AV312">
        <f t="shared" si="237"/>
        <v>0</v>
      </c>
      <c r="AW312">
        <f t="shared" si="192"/>
        <v>0</v>
      </c>
      <c r="AX312">
        <f t="shared" si="238"/>
        <v>0</v>
      </c>
      <c r="AY312">
        <f t="shared" si="239"/>
        <v>0</v>
      </c>
    </row>
    <row r="313" spans="1:51" x14ac:dyDescent="0.35">
      <c r="A313">
        <v>307</v>
      </c>
      <c r="C313">
        <f>MAX(0,Calc!$C$7-SUM(D313:R313))</f>
        <v>750</v>
      </c>
      <c r="D313">
        <f t="shared" si="193"/>
        <v>0</v>
      </c>
      <c r="E313">
        <f t="shared" si="194"/>
        <v>0</v>
      </c>
      <c r="F313">
        <f t="shared" si="195"/>
        <v>0</v>
      </c>
      <c r="G313">
        <f t="shared" si="196"/>
        <v>0</v>
      </c>
      <c r="H313">
        <f t="shared" si="197"/>
        <v>0</v>
      </c>
      <c r="I313">
        <f t="shared" si="198"/>
        <v>0</v>
      </c>
      <c r="J313">
        <f t="shared" si="199"/>
        <v>0</v>
      </c>
      <c r="K313">
        <f t="shared" si="200"/>
        <v>0</v>
      </c>
      <c r="L313">
        <f t="shared" si="201"/>
        <v>0</v>
      </c>
      <c r="M313">
        <f t="shared" si="202"/>
        <v>0</v>
      </c>
      <c r="N313">
        <f t="shared" si="203"/>
        <v>0</v>
      </c>
      <c r="O313">
        <f t="shared" si="204"/>
        <v>0</v>
      </c>
      <c r="P313">
        <f t="shared" si="205"/>
        <v>0</v>
      </c>
      <c r="Q313">
        <f t="shared" si="206"/>
        <v>0</v>
      </c>
      <c r="R313">
        <f t="shared" si="207"/>
        <v>0</v>
      </c>
      <c r="S313">
        <f t="shared" si="208"/>
        <v>0</v>
      </c>
      <c r="T313">
        <f t="shared" si="209"/>
        <v>0</v>
      </c>
      <c r="U313">
        <f t="shared" si="210"/>
        <v>0</v>
      </c>
      <c r="V313">
        <f t="shared" si="211"/>
        <v>0</v>
      </c>
      <c r="W313">
        <f t="shared" si="212"/>
        <v>0</v>
      </c>
      <c r="X313">
        <f t="shared" si="213"/>
        <v>0</v>
      </c>
      <c r="Y313">
        <f t="shared" si="214"/>
        <v>0</v>
      </c>
      <c r="Z313">
        <f t="shared" si="215"/>
        <v>0</v>
      </c>
      <c r="AA313">
        <f t="shared" si="216"/>
        <v>0</v>
      </c>
      <c r="AB313">
        <f t="shared" si="217"/>
        <v>0</v>
      </c>
      <c r="AC313">
        <f t="shared" si="218"/>
        <v>0</v>
      </c>
      <c r="AD313">
        <f t="shared" si="219"/>
        <v>0</v>
      </c>
      <c r="AE313">
        <f t="shared" si="220"/>
        <v>0</v>
      </c>
      <c r="AF313">
        <f t="shared" si="221"/>
        <v>0</v>
      </c>
      <c r="AG313">
        <f t="shared" si="222"/>
        <v>0</v>
      </c>
      <c r="AH313">
        <f t="shared" si="223"/>
        <v>0</v>
      </c>
      <c r="AI313">
        <f t="shared" si="224"/>
        <v>0</v>
      </c>
      <c r="AJ313">
        <f t="shared" si="225"/>
        <v>0</v>
      </c>
      <c r="AK313">
        <f t="shared" si="226"/>
        <v>0</v>
      </c>
      <c r="AL313">
        <f t="shared" si="227"/>
        <v>0</v>
      </c>
      <c r="AM313">
        <f t="shared" si="228"/>
        <v>0</v>
      </c>
      <c r="AN313">
        <f t="shared" si="229"/>
        <v>0</v>
      </c>
      <c r="AO313">
        <f t="shared" si="230"/>
        <v>0</v>
      </c>
      <c r="AP313">
        <f t="shared" si="231"/>
        <v>0</v>
      </c>
      <c r="AQ313">
        <f t="shared" si="232"/>
        <v>0</v>
      </c>
      <c r="AR313">
        <f t="shared" si="233"/>
        <v>0</v>
      </c>
      <c r="AS313">
        <f t="shared" si="234"/>
        <v>0</v>
      </c>
      <c r="AT313">
        <f t="shared" si="235"/>
        <v>0</v>
      </c>
      <c r="AU313">
        <f t="shared" si="236"/>
        <v>0</v>
      </c>
      <c r="AV313">
        <f t="shared" si="237"/>
        <v>0</v>
      </c>
      <c r="AW313">
        <f t="shared" si="192"/>
        <v>0</v>
      </c>
      <c r="AX313">
        <f t="shared" si="238"/>
        <v>0</v>
      </c>
      <c r="AY313">
        <f t="shared" si="239"/>
        <v>0</v>
      </c>
    </row>
    <row r="314" spans="1:51" x14ac:dyDescent="0.35">
      <c r="A314">
        <v>308</v>
      </c>
      <c r="C314">
        <f>MAX(0,Calc!$C$7-SUM(D314:R314))</f>
        <v>750</v>
      </c>
      <c r="D314">
        <f t="shared" si="193"/>
        <v>0</v>
      </c>
      <c r="E314">
        <f t="shared" si="194"/>
        <v>0</v>
      </c>
      <c r="F314">
        <f t="shared" si="195"/>
        <v>0</v>
      </c>
      <c r="G314">
        <f t="shared" si="196"/>
        <v>0</v>
      </c>
      <c r="H314">
        <f t="shared" si="197"/>
        <v>0</v>
      </c>
      <c r="I314">
        <f t="shared" si="198"/>
        <v>0</v>
      </c>
      <c r="J314">
        <f t="shared" si="199"/>
        <v>0</v>
      </c>
      <c r="K314">
        <f t="shared" si="200"/>
        <v>0</v>
      </c>
      <c r="L314">
        <f t="shared" si="201"/>
        <v>0</v>
      </c>
      <c r="M314">
        <f t="shared" si="202"/>
        <v>0</v>
      </c>
      <c r="N314">
        <f t="shared" si="203"/>
        <v>0</v>
      </c>
      <c r="O314">
        <f t="shared" si="204"/>
        <v>0</v>
      </c>
      <c r="P314">
        <f t="shared" si="205"/>
        <v>0</v>
      </c>
      <c r="Q314">
        <f t="shared" si="206"/>
        <v>0</v>
      </c>
      <c r="R314">
        <f t="shared" si="207"/>
        <v>0</v>
      </c>
      <c r="S314">
        <f t="shared" si="208"/>
        <v>0</v>
      </c>
      <c r="T314">
        <f t="shared" si="209"/>
        <v>0</v>
      </c>
      <c r="U314">
        <f t="shared" si="210"/>
        <v>0</v>
      </c>
      <c r="V314">
        <f t="shared" si="211"/>
        <v>0</v>
      </c>
      <c r="W314">
        <f t="shared" si="212"/>
        <v>0</v>
      </c>
      <c r="X314">
        <f t="shared" si="213"/>
        <v>0</v>
      </c>
      <c r="Y314">
        <f t="shared" si="214"/>
        <v>0</v>
      </c>
      <c r="Z314">
        <f t="shared" si="215"/>
        <v>0</v>
      </c>
      <c r="AA314">
        <f t="shared" si="216"/>
        <v>0</v>
      </c>
      <c r="AB314">
        <f t="shared" si="217"/>
        <v>0</v>
      </c>
      <c r="AC314">
        <f t="shared" si="218"/>
        <v>0</v>
      </c>
      <c r="AD314">
        <f t="shared" si="219"/>
        <v>0</v>
      </c>
      <c r="AE314">
        <f t="shared" si="220"/>
        <v>0</v>
      </c>
      <c r="AF314">
        <f t="shared" si="221"/>
        <v>0</v>
      </c>
      <c r="AG314">
        <f t="shared" si="222"/>
        <v>0</v>
      </c>
      <c r="AH314">
        <f t="shared" si="223"/>
        <v>0</v>
      </c>
      <c r="AI314">
        <f t="shared" si="224"/>
        <v>0</v>
      </c>
      <c r="AJ314">
        <f t="shared" si="225"/>
        <v>0</v>
      </c>
      <c r="AK314">
        <f t="shared" si="226"/>
        <v>0</v>
      </c>
      <c r="AL314">
        <f t="shared" si="227"/>
        <v>0</v>
      </c>
      <c r="AM314">
        <f t="shared" si="228"/>
        <v>0</v>
      </c>
      <c r="AN314">
        <f t="shared" si="229"/>
        <v>0</v>
      </c>
      <c r="AO314">
        <f t="shared" si="230"/>
        <v>0</v>
      </c>
      <c r="AP314">
        <f t="shared" si="231"/>
        <v>0</v>
      </c>
      <c r="AQ314">
        <f t="shared" si="232"/>
        <v>0</v>
      </c>
      <c r="AR314">
        <f t="shared" si="233"/>
        <v>0</v>
      </c>
      <c r="AS314">
        <f t="shared" si="234"/>
        <v>0</v>
      </c>
      <c r="AT314">
        <f t="shared" si="235"/>
        <v>0</v>
      </c>
      <c r="AU314">
        <f t="shared" si="236"/>
        <v>0</v>
      </c>
      <c r="AV314">
        <f t="shared" si="237"/>
        <v>0</v>
      </c>
      <c r="AW314">
        <f t="shared" si="192"/>
        <v>0</v>
      </c>
      <c r="AX314">
        <f t="shared" si="238"/>
        <v>0</v>
      </c>
      <c r="AY314">
        <f t="shared" si="239"/>
        <v>0</v>
      </c>
    </row>
    <row r="315" spans="1:51" x14ac:dyDescent="0.35">
      <c r="A315">
        <v>309</v>
      </c>
      <c r="C315">
        <f>MAX(0,Calc!$C$7-SUM(D315:R315))</f>
        <v>750</v>
      </c>
      <c r="D315">
        <f t="shared" si="193"/>
        <v>0</v>
      </c>
      <c r="E315">
        <f t="shared" si="194"/>
        <v>0</v>
      </c>
      <c r="F315">
        <f t="shared" si="195"/>
        <v>0</v>
      </c>
      <c r="G315">
        <f t="shared" si="196"/>
        <v>0</v>
      </c>
      <c r="H315">
        <f t="shared" si="197"/>
        <v>0</v>
      </c>
      <c r="I315">
        <f t="shared" si="198"/>
        <v>0</v>
      </c>
      <c r="J315">
        <f t="shared" si="199"/>
        <v>0</v>
      </c>
      <c r="K315">
        <f t="shared" si="200"/>
        <v>0</v>
      </c>
      <c r="L315">
        <f t="shared" si="201"/>
        <v>0</v>
      </c>
      <c r="M315">
        <f t="shared" si="202"/>
        <v>0</v>
      </c>
      <c r="N315">
        <f t="shared" si="203"/>
        <v>0</v>
      </c>
      <c r="O315">
        <f t="shared" si="204"/>
        <v>0</v>
      </c>
      <c r="P315">
        <f t="shared" si="205"/>
        <v>0</v>
      </c>
      <c r="Q315">
        <f t="shared" si="206"/>
        <v>0</v>
      </c>
      <c r="R315">
        <f t="shared" si="207"/>
        <v>0</v>
      </c>
      <c r="S315">
        <f t="shared" si="208"/>
        <v>0</v>
      </c>
      <c r="T315">
        <f t="shared" si="209"/>
        <v>0</v>
      </c>
      <c r="U315">
        <f t="shared" si="210"/>
        <v>0</v>
      </c>
      <c r="V315">
        <f t="shared" si="211"/>
        <v>0</v>
      </c>
      <c r="W315">
        <f t="shared" si="212"/>
        <v>0</v>
      </c>
      <c r="X315">
        <f t="shared" si="213"/>
        <v>0</v>
      </c>
      <c r="Y315">
        <f t="shared" si="214"/>
        <v>0</v>
      </c>
      <c r="Z315">
        <f t="shared" si="215"/>
        <v>0</v>
      </c>
      <c r="AA315">
        <f t="shared" si="216"/>
        <v>0</v>
      </c>
      <c r="AB315">
        <f t="shared" si="217"/>
        <v>0</v>
      </c>
      <c r="AC315">
        <f t="shared" si="218"/>
        <v>0</v>
      </c>
      <c r="AD315">
        <f t="shared" si="219"/>
        <v>0</v>
      </c>
      <c r="AE315">
        <f t="shared" si="220"/>
        <v>0</v>
      </c>
      <c r="AF315">
        <f t="shared" si="221"/>
        <v>0</v>
      </c>
      <c r="AG315">
        <f t="shared" si="222"/>
        <v>0</v>
      </c>
      <c r="AH315">
        <f t="shared" si="223"/>
        <v>0</v>
      </c>
      <c r="AI315">
        <f t="shared" si="224"/>
        <v>0</v>
      </c>
      <c r="AJ315">
        <f t="shared" si="225"/>
        <v>0</v>
      </c>
      <c r="AK315">
        <f t="shared" si="226"/>
        <v>0</v>
      </c>
      <c r="AL315">
        <f t="shared" si="227"/>
        <v>0</v>
      </c>
      <c r="AM315">
        <f t="shared" si="228"/>
        <v>0</v>
      </c>
      <c r="AN315">
        <f t="shared" si="229"/>
        <v>0</v>
      </c>
      <c r="AO315">
        <f t="shared" si="230"/>
        <v>0</v>
      </c>
      <c r="AP315">
        <f t="shared" si="231"/>
        <v>0</v>
      </c>
      <c r="AQ315">
        <f t="shared" si="232"/>
        <v>0</v>
      </c>
      <c r="AR315">
        <f t="shared" si="233"/>
        <v>0</v>
      </c>
      <c r="AS315">
        <f t="shared" si="234"/>
        <v>0</v>
      </c>
      <c r="AT315">
        <f t="shared" si="235"/>
        <v>0</v>
      </c>
      <c r="AU315">
        <f t="shared" si="236"/>
        <v>0</v>
      </c>
      <c r="AV315">
        <f t="shared" si="237"/>
        <v>0</v>
      </c>
      <c r="AW315">
        <f t="shared" si="192"/>
        <v>0</v>
      </c>
      <c r="AX315">
        <f t="shared" si="238"/>
        <v>0</v>
      </c>
      <c r="AY315">
        <f t="shared" si="239"/>
        <v>0</v>
      </c>
    </row>
    <row r="316" spans="1:51" x14ac:dyDescent="0.35">
      <c r="A316">
        <v>310</v>
      </c>
      <c r="C316">
        <f>MAX(0,Calc!$C$7-SUM(D316:R316))</f>
        <v>750</v>
      </c>
      <c r="D316">
        <f t="shared" si="193"/>
        <v>0</v>
      </c>
      <c r="E316">
        <f t="shared" si="194"/>
        <v>0</v>
      </c>
      <c r="F316">
        <f t="shared" si="195"/>
        <v>0</v>
      </c>
      <c r="G316">
        <f t="shared" si="196"/>
        <v>0</v>
      </c>
      <c r="H316">
        <f t="shared" si="197"/>
        <v>0</v>
      </c>
      <c r="I316">
        <f t="shared" si="198"/>
        <v>0</v>
      </c>
      <c r="J316">
        <f t="shared" si="199"/>
        <v>0</v>
      </c>
      <c r="K316">
        <f t="shared" si="200"/>
        <v>0</v>
      </c>
      <c r="L316">
        <f t="shared" si="201"/>
        <v>0</v>
      </c>
      <c r="M316">
        <f t="shared" si="202"/>
        <v>0</v>
      </c>
      <c r="N316">
        <f t="shared" si="203"/>
        <v>0</v>
      </c>
      <c r="O316">
        <f t="shared" si="204"/>
        <v>0</v>
      </c>
      <c r="P316">
        <f t="shared" si="205"/>
        <v>0</v>
      </c>
      <c r="Q316">
        <f t="shared" si="206"/>
        <v>0</v>
      </c>
      <c r="R316">
        <f t="shared" si="207"/>
        <v>0</v>
      </c>
      <c r="S316">
        <f t="shared" si="208"/>
        <v>0</v>
      </c>
      <c r="T316">
        <f t="shared" si="209"/>
        <v>0</v>
      </c>
      <c r="U316">
        <f t="shared" si="210"/>
        <v>0</v>
      </c>
      <c r="V316">
        <f t="shared" si="211"/>
        <v>0</v>
      </c>
      <c r="W316">
        <f t="shared" si="212"/>
        <v>0</v>
      </c>
      <c r="X316">
        <f t="shared" si="213"/>
        <v>0</v>
      </c>
      <c r="Y316">
        <f t="shared" si="214"/>
        <v>0</v>
      </c>
      <c r="Z316">
        <f t="shared" si="215"/>
        <v>0</v>
      </c>
      <c r="AA316">
        <f t="shared" si="216"/>
        <v>0</v>
      </c>
      <c r="AB316">
        <f t="shared" si="217"/>
        <v>0</v>
      </c>
      <c r="AC316">
        <f t="shared" si="218"/>
        <v>0</v>
      </c>
      <c r="AD316">
        <f t="shared" si="219"/>
        <v>0</v>
      </c>
      <c r="AE316">
        <f t="shared" si="220"/>
        <v>0</v>
      </c>
      <c r="AF316">
        <f t="shared" si="221"/>
        <v>0</v>
      </c>
      <c r="AG316">
        <f t="shared" si="222"/>
        <v>0</v>
      </c>
      <c r="AH316">
        <f t="shared" si="223"/>
        <v>0</v>
      </c>
      <c r="AI316">
        <f t="shared" si="224"/>
        <v>0</v>
      </c>
      <c r="AJ316">
        <f t="shared" si="225"/>
        <v>0</v>
      </c>
      <c r="AK316">
        <f t="shared" si="226"/>
        <v>0</v>
      </c>
      <c r="AL316">
        <f t="shared" si="227"/>
        <v>0</v>
      </c>
      <c r="AM316">
        <f t="shared" si="228"/>
        <v>0</v>
      </c>
      <c r="AN316">
        <f t="shared" si="229"/>
        <v>0</v>
      </c>
      <c r="AO316">
        <f t="shared" si="230"/>
        <v>0</v>
      </c>
      <c r="AP316">
        <f t="shared" si="231"/>
        <v>0</v>
      </c>
      <c r="AQ316">
        <f t="shared" si="232"/>
        <v>0</v>
      </c>
      <c r="AR316">
        <f t="shared" si="233"/>
        <v>0</v>
      </c>
      <c r="AS316">
        <f t="shared" si="234"/>
        <v>0</v>
      </c>
      <c r="AT316">
        <f t="shared" si="235"/>
        <v>0</v>
      </c>
      <c r="AU316">
        <f t="shared" si="236"/>
        <v>0</v>
      </c>
      <c r="AV316">
        <f t="shared" si="237"/>
        <v>0</v>
      </c>
      <c r="AW316">
        <f t="shared" si="192"/>
        <v>0</v>
      </c>
      <c r="AX316">
        <f t="shared" si="238"/>
        <v>0</v>
      </c>
      <c r="AY316">
        <f t="shared" si="239"/>
        <v>0</v>
      </c>
    </row>
    <row r="317" spans="1:51" x14ac:dyDescent="0.35">
      <c r="A317">
        <v>311</v>
      </c>
      <c r="C317">
        <f>MAX(0,Calc!$C$7-SUM(D317:R317))</f>
        <v>750</v>
      </c>
      <c r="D317">
        <f t="shared" si="193"/>
        <v>0</v>
      </c>
      <c r="E317">
        <f t="shared" si="194"/>
        <v>0</v>
      </c>
      <c r="F317">
        <f t="shared" si="195"/>
        <v>0</v>
      </c>
      <c r="G317">
        <f t="shared" si="196"/>
        <v>0</v>
      </c>
      <c r="H317">
        <f t="shared" si="197"/>
        <v>0</v>
      </c>
      <c r="I317">
        <f t="shared" si="198"/>
        <v>0</v>
      </c>
      <c r="J317">
        <f t="shared" si="199"/>
        <v>0</v>
      </c>
      <c r="K317">
        <f t="shared" si="200"/>
        <v>0</v>
      </c>
      <c r="L317">
        <f t="shared" si="201"/>
        <v>0</v>
      </c>
      <c r="M317">
        <f t="shared" si="202"/>
        <v>0</v>
      </c>
      <c r="N317">
        <f t="shared" si="203"/>
        <v>0</v>
      </c>
      <c r="O317">
        <f t="shared" si="204"/>
        <v>0</v>
      </c>
      <c r="P317">
        <f t="shared" si="205"/>
        <v>0</v>
      </c>
      <c r="Q317">
        <f t="shared" si="206"/>
        <v>0</v>
      </c>
      <c r="R317">
        <f t="shared" si="207"/>
        <v>0</v>
      </c>
      <c r="S317">
        <f t="shared" si="208"/>
        <v>0</v>
      </c>
      <c r="T317">
        <f t="shared" si="209"/>
        <v>0</v>
      </c>
      <c r="U317">
        <f t="shared" si="210"/>
        <v>0</v>
      </c>
      <c r="V317">
        <f t="shared" si="211"/>
        <v>0</v>
      </c>
      <c r="W317">
        <f t="shared" si="212"/>
        <v>0</v>
      </c>
      <c r="X317">
        <f t="shared" si="213"/>
        <v>0</v>
      </c>
      <c r="Y317">
        <f t="shared" si="214"/>
        <v>0</v>
      </c>
      <c r="Z317">
        <f t="shared" si="215"/>
        <v>0</v>
      </c>
      <c r="AA317">
        <f t="shared" si="216"/>
        <v>0</v>
      </c>
      <c r="AB317">
        <f t="shared" si="217"/>
        <v>0</v>
      </c>
      <c r="AC317">
        <f t="shared" si="218"/>
        <v>0</v>
      </c>
      <c r="AD317">
        <f t="shared" si="219"/>
        <v>0</v>
      </c>
      <c r="AE317">
        <f t="shared" si="220"/>
        <v>0</v>
      </c>
      <c r="AF317">
        <f t="shared" si="221"/>
        <v>0</v>
      </c>
      <c r="AG317">
        <f t="shared" si="222"/>
        <v>0</v>
      </c>
      <c r="AH317">
        <f t="shared" si="223"/>
        <v>0</v>
      </c>
      <c r="AI317">
        <f t="shared" si="224"/>
        <v>0</v>
      </c>
      <c r="AJ317">
        <f t="shared" si="225"/>
        <v>0</v>
      </c>
      <c r="AK317">
        <f t="shared" si="226"/>
        <v>0</v>
      </c>
      <c r="AL317">
        <f t="shared" si="227"/>
        <v>0</v>
      </c>
      <c r="AM317">
        <f t="shared" si="228"/>
        <v>0</v>
      </c>
      <c r="AN317">
        <f t="shared" si="229"/>
        <v>0</v>
      </c>
      <c r="AO317">
        <f t="shared" si="230"/>
        <v>0</v>
      </c>
      <c r="AP317">
        <f t="shared" si="231"/>
        <v>0</v>
      </c>
      <c r="AQ317">
        <f t="shared" si="232"/>
        <v>0</v>
      </c>
      <c r="AR317">
        <f t="shared" si="233"/>
        <v>0</v>
      </c>
      <c r="AS317">
        <f t="shared" si="234"/>
        <v>0</v>
      </c>
      <c r="AT317">
        <f t="shared" si="235"/>
        <v>0</v>
      </c>
      <c r="AU317">
        <f t="shared" si="236"/>
        <v>0</v>
      </c>
      <c r="AV317">
        <f t="shared" si="237"/>
        <v>0</v>
      </c>
      <c r="AW317">
        <f t="shared" si="192"/>
        <v>0</v>
      </c>
      <c r="AX317">
        <f t="shared" si="238"/>
        <v>0</v>
      </c>
      <c r="AY317">
        <f t="shared" si="239"/>
        <v>0</v>
      </c>
    </row>
    <row r="318" spans="1:51" x14ac:dyDescent="0.35">
      <c r="A318">
        <v>312</v>
      </c>
      <c r="C318">
        <f>MAX(0,Calc!$C$7-SUM(D318:R318))</f>
        <v>750</v>
      </c>
      <c r="D318">
        <f t="shared" si="193"/>
        <v>0</v>
      </c>
      <c r="E318">
        <f t="shared" si="194"/>
        <v>0</v>
      </c>
      <c r="F318">
        <f t="shared" si="195"/>
        <v>0</v>
      </c>
      <c r="G318">
        <f t="shared" si="196"/>
        <v>0</v>
      </c>
      <c r="H318">
        <f t="shared" si="197"/>
        <v>0</v>
      </c>
      <c r="I318">
        <f t="shared" si="198"/>
        <v>0</v>
      </c>
      <c r="J318">
        <f t="shared" si="199"/>
        <v>0</v>
      </c>
      <c r="K318">
        <f t="shared" si="200"/>
        <v>0</v>
      </c>
      <c r="L318">
        <f t="shared" si="201"/>
        <v>0</v>
      </c>
      <c r="M318">
        <f t="shared" si="202"/>
        <v>0</v>
      </c>
      <c r="N318">
        <f t="shared" si="203"/>
        <v>0</v>
      </c>
      <c r="O318">
        <f t="shared" si="204"/>
        <v>0</v>
      </c>
      <c r="P318">
        <f t="shared" si="205"/>
        <v>0</v>
      </c>
      <c r="Q318">
        <f t="shared" si="206"/>
        <v>0</v>
      </c>
      <c r="R318">
        <f t="shared" si="207"/>
        <v>0</v>
      </c>
      <c r="S318">
        <f t="shared" si="208"/>
        <v>0</v>
      </c>
      <c r="T318">
        <f t="shared" si="209"/>
        <v>0</v>
      </c>
      <c r="U318">
        <f t="shared" si="210"/>
        <v>0</v>
      </c>
      <c r="V318">
        <f t="shared" si="211"/>
        <v>0</v>
      </c>
      <c r="W318">
        <f t="shared" si="212"/>
        <v>0</v>
      </c>
      <c r="X318">
        <f t="shared" si="213"/>
        <v>0</v>
      </c>
      <c r="Y318">
        <f t="shared" si="214"/>
        <v>0</v>
      </c>
      <c r="Z318">
        <f t="shared" si="215"/>
        <v>0</v>
      </c>
      <c r="AA318">
        <f t="shared" si="216"/>
        <v>0</v>
      </c>
      <c r="AB318">
        <f t="shared" si="217"/>
        <v>0</v>
      </c>
      <c r="AC318">
        <f t="shared" si="218"/>
        <v>0</v>
      </c>
      <c r="AD318">
        <f t="shared" si="219"/>
        <v>0</v>
      </c>
      <c r="AE318">
        <f t="shared" si="220"/>
        <v>0</v>
      </c>
      <c r="AF318">
        <f t="shared" si="221"/>
        <v>0</v>
      </c>
      <c r="AG318">
        <f t="shared" si="222"/>
        <v>0</v>
      </c>
      <c r="AH318">
        <f t="shared" si="223"/>
        <v>0</v>
      </c>
      <c r="AI318">
        <f t="shared" si="224"/>
        <v>0</v>
      </c>
      <c r="AJ318">
        <f t="shared" si="225"/>
        <v>0</v>
      </c>
      <c r="AK318">
        <f t="shared" si="226"/>
        <v>0</v>
      </c>
      <c r="AL318">
        <f t="shared" si="227"/>
        <v>0</v>
      </c>
      <c r="AM318">
        <f t="shared" si="228"/>
        <v>0</v>
      </c>
      <c r="AN318">
        <f t="shared" si="229"/>
        <v>0</v>
      </c>
      <c r="AO318">
        <f t="shared" si="230"/>
        <v>0</v>
      </c>
      <c r="AP318">
        <f t="shared" si="231"/>
        <v>0</v>
      </c>
      <c r="AQ318">
        <f t="shared" si="232"/>
        <v>0</v>
      </c>
      <c r="AR318">
        <f t="shared" si="233"/>
        <v>0</v>
      </c>
      <c r="AS318">
        <f t="shared" si="234"/>
        <v>0</v>
      </c>
      <c r="AT318">
        <f t="shared" si="235"/>
        <v>0</v>
      </c>
      <c r="AU318">
        <f t="shared" si="236"/>
        <v>0</v>
      </c>
      <c r="AV318">
        <f t="shared" si="237"/>
        <v>0</v>
      </c>
      <c r="AW318">
        <f t="shared" si="192"/>
        <v>0</v>
      </c>
      <c r="AX318">
        <f t="shared" si="238"/>
        <v>0</v>
      </c>
      <c r="AY318">
        <f t="shared" si="239"/>
        <v>0</v>
      </c>
    </row>
    <row r="319" spans="1:51" x14ac:dyDescent="0.35">
      <c r="A319">
        <v>313</v>
      </c>
      <c r="C319">
        <f>MAX(0,Calc!$C$7-SUM(D319:R319))</f>
        <v>750</v>
      </c>
      <c r="D319">
        <f t="shared" si="193"/>
        <v>0</v>
      </c>
      <c r="E319">
        <f t="shared" si="194"/>
        <v>0</v>
      </c>
      <c r="F319">
        <f t="shared" si="195"/>
        <v>0</v>
      </c>
      <c r="G319">
        <f t="shared" si="196"/>
        <v>0</v>
      </c>
      <c r="H319">
        <f t="shared" si="197"/>
        <v>0</v>
      </c>
      <c r="I319">
        <f t="shared" si="198"/>
        <v>0</v>
      </c>
      <c r="J319">
        <f t="shared" si="199"/>
        <v>0</v>
      </c>
      <c r="K319">
        <f t="shared" si="200"/>
        <v>0</v>
      </c>
      <c r="L319">
        <f t="shared" si="201"/>
        <v>0</v>
      </c>
      <c r="M319">
        <f t="shared" si="202"/>
        <v>0</v>
      </c>
      <c r="N319">
        <f t="shared" si="203"/>
        <v>0</v>
      </c>
      <c r="O319">
        <f t="shared" si="204"/>
        <v>0</v>
      </c>
      <c r="P319">
        <f t="shared" si="205"/>
        <v>0</v>
      </c>
      <c r="Q319">
        <f t="shared" si="206"/>
        <v>0</v>
      </c>
      <c r="R319">
        <f t="shared" si="207"/>
        <v>0</v>
      </c>
      <c r="S319">
        <f t="shared" si="208"/>
        <v>0</v>
      </c>
      <c r="T319">
        <f t="shared" si="209"/>
        <v>0</v>
      </c>
      <c r="U319">
        <f t="shared" si="210"/>
        <v>0</v>
      </c>
      <c r="V319">
        <f t="shared" si="211"/>
        <v>0</v>
      </c>
      <c r="W319">
        <f t="shared" si="212"/>
        <v>0</v>
      </c>
      <c r="X319">
        <f t="shared" si="213"/>
        <v>0</v>
      </c>
      <c r="Y319">
        <f t="shared" si="214"/>
        <v>0</v>
      </c>
      <c r="Z319">
        <f t="shared" si="215"/>
        <v>0</v>
      </c>
      <c r="AA319">
        <f t="shared" si="216"/>
        <v>0</v>
      </c>
      <c r="AB319">
        <f t="shared" si="217"/>
        <v>0</v>
      </c>
      <c r="AC319">
        <f t="shared" si="218"/>
        <v>0</v>
      </c>
      <c r="AD319">
        <f t="shared" si="219"/>
        <v>0</v>
      </c>
      <c r="AE319">
        <f t="shared" si="220"/>
        <v>0</v>
      </c>
      <c r="AF319">
        <f t="shared" si="221"/>
        <v>0</v>
      </c>
      <c r="AG319">
        <f t="shared" si="222"/>
        <v>0</v>
      </c>
      <c r="AH319">
        <f t="shared" si="223"/>
        <v>0</v>
      </c>
      <c r="AI319">
        <f t="shared" si="224"/>
        <v>0</v>
      </c>
      <c r="AJ319">
        <f t="shared" si="225"/>
        <v>0</v>
      </c>
      <c r="AK319">
        <f t="shared" si="226"/>
        <v>0</v>
      </c>
      <c r="AL319">
        <f t="shared" si="227"/>
        <v>0</v>
      </c>
      <c r="AM319">
        <f t="shared" si="228"/>
        <v>0</v>
      </c>
      <c r="AN319">
        <f t="shared" si="229"/>
        <v>0</v>
      </c>
      <c r="AO319">
        <f t="shared" si="230"/>
        <v>0</v>
      </c>
      <c r="AP319">
        <f t="shared" si="231"/>
        <v>0</v>
      </c>
      <c r="AQ319">
        <f t="shared" si="232"/>
        <v>0</v>
      </c>
      <c r="AR319">
        <f t="shared" si="233"/>
        <v>0</v>
      </c>
      <c r="AS319">
        <f t="shared" si="234"/>
        <v>0</v>
      </c>
      <c r="AT319">
        <f t="shared" si="235"/>
        <v>0</v>
      </c>
      <c r="AU319">
        <f t="shared" si="236"/>
        <v>0</v>
      </c>
      <c r="AV319">
        <f t="shared" si="237"/>
        <v>0</v>
      </c>
      <c r="AW319">
        <f t="shared" si="192"/>
        <v>0</v>
      </c>
      <c r="AX319">
        <f t="shared" si="238"/>
        <v>0</v>
      </c>
      <c r="AY319">
        <f t="shared" si="239"/>
        <v>0</v>
      </c>
    </row>
    <row r="320" spans="1:51" x14ac:dyDescent="0.35">
      <c r="A320">
        <v>314</v>
      </c>
      <c r="C320">
        <f>MAX(0,Calc!$C$7-SUM(D320:R320))</f>
        <v>750</v>
      </c>
      <c r="D320">
        <f t="shared" si="193"/>
        <v>0</v>
      </c>
      <c r="E320">
        <f t="shared" si="194"/>
        <v>0</v>
      </c>
      <c r="F320">
        <f t="shared" si="195"/>
        <v>0</v>
      </c>
      <c r="G320">
        <f t="shared" si="196"/>
        <v>0</v>
      </c>
      <c r="H320">
        <f t="shared" si="197"/>
        <v>0</v>
      </c>
      <c r="I320">
        <f t="shared" si="198"/>
        <v>0</v>
      </c>
      <c r="J320">
        <f t="shared" si="199"/>
        <v>0</v>
      </c>
      <c r="K320">
        <f t="shared" si="200"/>
        <v>0</v>
      </c>
      <c r="L320">
        <f t="shared" si="201"/>
        <v>0</v>
      </c>
      <c r="M320">
        <f t="shared" si="202"/>
        <v>0</v>
      </c>
      <c r="N320">
        <f t="shared" si="203"/>
        <v>0</v>
      </c>
      <c r="O320">
        <f t="shared" si="204"/>
        <v>0</v>
      </c>
      <c r="P320">
        <f t="shared" si="205"/>
        <v>0</v>
      </c>
      <c r="Q320">
        <f t="shared" si="206"/>
        <v>0</v>
      </c>
      <c r="R320">
        <f t="shared" si="207"/>
        <v>0</v>
      </c>
      <c r="S320">
        <f t="shared" si="208"/>
        <v>0</v>
      </c>
      <c r="T320">
        <f t="shared" si="209"/>
        <v>0</v>
      </c>
      <c r="U320">
        <f t="shared" si="210"/>
        <v>0</v>
      </c>
      <c r="V320">
        <f t="shared" si="211"/>
        <v>0</v>
      </c>
      <c r="W320">
        <f t="shared" si="212"/>
        <v>0</v>
      </c>
      <c r="X320">
        <f t="shared" si="213"/>
        <v>0</v>
      </c>
      <c r="Y320">
        <f t="shared" si="214"/>
        <v>0</v>
      </c>
      <c r="Z320">
        <f t="shared" si="215"/>
        <v>0</v>
      </c>
      <c r="AA320">
        <f t="shared" si="216"/>
        <v>0</v>
      </c>
      <c r="AB320">
        <f t="shared" si="217"/>
        <v>0</v>
      </c>
      <c r="AC320">
        <f t="shared" si="218"/>
        <v>0</v>
      </c>
      <c r="AD320">
        <f t="shared" si="219"/>
        <v>0</v>
      </c>
      <c r="AE320">
        <f t="shared" si="220"/>
        <v>0</v>
      </c>
      <c r="AF320">
        <f t="shared" si="221"/>
        <v>0</v>
      </c>
      <c r="AG320">
        <f t="shared" si="222"/>
        <v>0</v>
      </c>
      <c r="AH320">
        <f t="shared" si="223"/>
        <v>0</v>
      </c>
      <c r="AI320">
        <f t="shared" si="224"/>
        <v>0</v>
      </c>
      <c r="AJ320">
        <f t="shared" si="225"/>
        <v>0</v>
      </c>
      <c r="AK320">
        <f t="shared" si="226"/>
        <v>0</v>
      </c>
      <c r="AL320">
        <f t="shared" si="227"/>
        <v>0</v>
      </c>
      <c r="AM320">
        <f t="shared" si="228"/>
        <v>0</v>
      </c>
      <c r="AN320">
        <f t="shared" si="229"/>
        <v>0</v>
      </c>
      <c r="AO320">
        <f t="shared" si="230"/>
        <v>0</v>
      </c>
      <c r="AP320">
        <f t="shared" si="231"/>
        <v>0</v>
      </c>
      <c r="AQ320">
        <f t="shared" si="232"/>
        <v>0</v>
      </c>
      <c r="AR320">
        <f t="shared" si="233"/>
        <v>0</v>
      </c>
      <c r="AS320">
        <f t="shared" si="234"/>
        <v>0</v>
      </c>
      <c r="AT320">
        <f t="shared" si="235"/>
        <v>0</v>
      </c>
      <c r="AU320">
        <f t="shared" si="236"/>
        <v>0</v>
      </c>
      <c r="AV320">
        <f t="shared" si="237"/>
        <v>0</v>
      </c>
      <c r="AW320">
        <f t="shared" si="192"/>
        <v>0</v>
      </c>
      <c r="AX320">
        <f t="shared" si="238"/>
        <v>0</v>
      </c>
      <c r="AY320">
        <f t="shared" si="239"/>
        <v>0</v>
      </c>
    </row>
    <row r="321" spans="1:51" x14ac:dyDescent="0.35">
      <c r="A321">
        <v>315</v>
      </c>
      <c r="C321">
        <f>MAX(0,Calc!$C$7-SUM(D321:R321))</f>
        <v>750</v>
      </c>
      <c r="D321">
        <f t="shared" si="193"/>
        <v>0</v>
      </c>
      <c r="E321">
        <f t="shared" si="194"/>
        <v>0</v>
      </c>
      <c r="F321">
        <f t="shared" si="195"/>
        <v>0</v>
      </c>
      <c r="G321">
        <f t="shared" si="196"/>
        <v>0</v>
      </c>
      <c r="H321">
        <f t="shared" si="197"/>
        <v>0</v>
      </c>
      <c r="I321">
        <f t="shared" si="198"/>
        <v>0</v>
      </c>
      <c r="J321">
        <f t="shared" si="199"/>
        <v>0</v>
      </c>
      <c r="K321">
        <f t="shared" si="200"/>
        <v>0</v>
      </c>
      <c r="L321">
        <f t="shared" si="201"/>
        <v>0</v>
      </c>
      <c r="M321">
        <f t="shared" si="202"/>
        <v>0</v>
      </c>
      <c r="N321">
        <f t="shared" si="203"/>
        <v>0</v>
      </c>
      <c r="O321">
        <f t="shared" si="204"/>
        <v>0</v>
      </c>
      <c r="P321">
        <f t="shared" si="205"/>
        <v>0</v>
      </c>
      <c r="Q321">
        <f t="shared" si="206"/>
        <v>0</v>
      </c>
      <c r="R321">
        <f t="shared" si="207"/>
        <v>0</v>
      </c>
      <c r="S321">
        <f t="shared" si="208"/>
        <v>0</v>
      </c>
      <c r="T321">
        <f t="shared" si="209"/>
        <v>0</v>
      </c>
      <c r="U321">
        <f t="shared" si="210"/>
        <v>0</v>
      </c>
      <c r="V321">
        <f t="shared" si="211"/>
        <v>0</v>
      </c>
      <c r="W321">
        <f t="shared" si="212"/>
        <v>0</v>
      </c>
      <c r="X321">
        <f t="shared" si="213"/>
        <v>0</v>
      </c>
      <c r="Y321">
        <f t="shared" si="214"/>
        <v>0</v>
      </c>
      <c r="Z321">
        <f t="shared" si="215"/>
        <v>0</v>
      </c>
      <c r="AA321">
        <f t="shared" si="216"/>
        <v>0</v>
      </c>
      <c r="AB321">
        <f t="shared" si="217"/>
        <v>0</v>
      </c>
      <c r="AC321">
        <f t="shared" si="218"/>
        <v>0</v>
      </c>
      <c r="AD321">
        <f t="shared" si="219"/>
        <v>0</v>
      </c>
      <c r="AE321">
        <f t="shared" si="220"/>
        <v>0</v>
      </c>
      <c r="AF321">
        <f t="shared" si="221"/>
        <v>0</v>
      </c>
      <c r="AG321">
        <f t="shared" si="222"/>
        <v>0</v>
      </c>
      <c r="AH321">
        <f t="shared" si="223"/>
        <v>0</v>
      </c>
      <c r="AI321">
        <f t="shared" si="224"/>
        <v>0</v>
      </c>
      <c r="AJ321">
        <f t="shared" si="225"/>
        <v>0</v>
      </c>
      <c r="AK321">
        <f t="shared" si="226"/>
        <v>0</v>
      </c>
      <c r="AL321">
        <f t="shared" si="227"/>
        <v>0</v>
      </c>
      <c r="AM321">
        <f t="shared" si="228"/>
        <v>0</v>
      </c>
      <c r="AN321">
        <f t="shared" si="229"/>
        <v>0</v>
      </c>
      <c r="AO321">
        <f t="shared" si="230"/>
        <v>0</v>
      </c>
      <c r="AP321">
        <f t="shared" si="231"/>
        <v>0</v>
      </c>
      <c r="AQ321">
        <f t="shared" si="232"/>
        <v>0</v>
      </c>
      <c r="AR321">
        <f t="shared" si="233"/>
        <v>0</v>
      </c>
      <c r="AS321">
        <f t="shared" si="234"/>
        <v>0</v>
      </c>
      <c r="AT321">
        <f t="shared" si="235"/>
        <v>0</v>
      </c>
      <c r="AU321">
        <f t="shared" si="236"/>
        <v>0</v>
      </c>
      <c r="AV321">
        <f t="shared" si="237"/>
        <v>0</v>
      </c>
      <c r="AW321">
        <f t="shared" si="192"/>
        <v>0</v>
      </c>
      <c r="AX321">
        <f t="shared" si="238"/>
        <v>0</v>
      </c>
      <c r="AY321">
        <f t="shared" si="239"/>
        <v>0</v>
      </c>
    </row>
    <row r="322" spans="1:51" x14ac:dyDescent="0.35">
      <c r="A322">
        <v>316</v>
      </c>
      <c r="C322">
        <f>MAX(0,Calc!$C$7-SUM(D322:R322))</f>
        <v>750</v>
      </c>
      <c r="D322">
        <f t="shared" si="193"/>
        <v>0</v>
      </c>
      <c r="E322">
        <f t="shared" si="194"/>
        <v>0</v>
      </c>
      <c r="F322">
        <f t="shared" si="195"/>
        <v>0</v>
      </c>
      <c r="G322">
        <f t="shared" si="196"/>
        <v>0</v>
      </c>
      <c r="H322">
        <f t="shared" si="197"/>
        <v>0</v>
      </c>
      <c r="I322">
        <f t="shared" si="198"/>
        <v>0</v>
      </c>
      <c r="J322">
        <f t="shared" si="199"/>
        <v>0</v>
      </c>
      <c r="K322">
        <f t="shared" si="200"/>
        <v>0</v>
      </c>
      <c r="L322">
        <f t="shared" si="201"/>
        <v>0</v>
      </c>
      <c r="M322">
        <f t="shared" si="202"/>
        <v>0</v>
      </c>
      <c r="N322">
        <f t="shared" si="203"/>
        <v>0</v>
      </c>
      <c r="O322">
        <f t="shared" si="204"/>
        <v>0</v>
      </c>
      <c r="P322">
        <f t="shared" si="205"/>
        <v>0</v>
      </c>
      <c r="Q322">
        <f t="shared" si="206"/>
        <v>0</v>
      </c>
      <c r="R322">
        <f t="shared" si="207"/>
        <v>0</v>
      </c>
      <c r="S322">
        <f t="shared" si="208"/>
        <v>0</v>
      </c>
      <c r="T322">
        <f t="shared" si="209"/>
        <v>0</v>
      </c>
      <c r="U322">
        <f t="shared" si="210"/>
        <v>0</v>
      </c>
      <c r="V322">
        <f t="shared" si="211"/>
        <v>0</v>
      </c>
      <c r="W322">
        <f t="shared" si="212"/>
        <v>0</v>
      </c>
      <c r="X322">
        <f t="shared" si="213"/>
        <v>0</v>
      </c>
      <c r="Y322">
        <f t="shared" si="214"/>
        <v>0</v>
      </c>
      <c r="Z322">
        <f t="shared" si="215"/>
        <v>0</v>
      </c>
      <c r="AA322">
        <f t="shared" si="216"/>
        <v>0</v>
      </c>
      <c r="AB322">
        <f t="shared" si="217"/>
        <v>0</v>
      </c>
      <c r="AC322">
        <f t="shared" si="218"/>
        <v>0</v>
      </c>
      <c r="AD322">
        <f t="shared" si="219"/>
        <v>0</v>
      </c>
      <c r="AE322">
        <f t="shared" si="220"/>
        <v>0</v>
      </c>
      <c r="AF322">
        <f t="shared" si="221"/>
        <v>0</v>
      </c>
      <c r="AG322">
        <f t="shared" si="222"/>
        <v>0</v>
      </c>
      <c r="AH322">
        <f t="shared" si="223"/>
        <v>0</v>
      </c>
      <c r="AI322">
        <f t="shared" si="224"/>
        <v>0</v>
      </c>
      <c r="AJ322">
        <f t="shared" si="225"/>
        <v>0</v>
      </c>
      <c r="AK322">
        <f t="shared" si="226"/>
        <v>0</v>
      </c>
      <c r="AL322">
        <f t="shared" si="227"/>
        <v>0</v>
      </c>
      <c r="AM322">
        <f t="shared" si="228"/>
        <v>0</v>
      </c>
      <c r="AN322">
        <f t="shared" si="229"/>
        <v>0</v>
      </c>
      <c r="AO322">
        <f t="shared" si="230"/>
        <v>0</v>
      </c>
      <c r="AP322">
        <f t="shared" si="231"/>
        <v>0</v>
      </c>
      <c r="AQ322">
        <f t="shared" si="232"/>
        <v>0</v>
      </c>
      <c r="AR322">
        <f t="shared" si="233"/>
        <v>0</v>
      </c>
      <c r="AS322">
        <f t="shared" si="234"/>
        <v>0</v>
      </c>
      <c r="AT322">
        <f t="shared" si="235"/>
        <v>0</v>
      </c>
      <c r="AU322">
        <f t="shared" si="236"/>
        <v>0</v>
      </c>
      <c r="AV322">
        <f t="shared" si="237"/>
        <v>0</v>
      </c>
      <c r="AW322">
        <f t="shared" si="192"/>
        <v>0</v>
      </c>
      <c r="AX322">
        <f t="shared" si="238"/>
        <v>0</v>
      </c>
      <c r="AY322">
        <f t="shared" si="239"/>
        <v>0</v>
      </c>
    </row>
    <row r="323" spans="1:51" x14ac:dyDescent="0.35">
      <c r="A323">
        <v>317</v>
      </c>
      <c r="C323">
        <f>MAX(0,Calc!$C$7-SUM(D323:R323))</f>
        <v>750</v>
      </c>
      <c r="D323">
        <f t="shared" si="193"/>
        <v>0</v>
      </c>
      <c r="E323">
        <f t="shared" si="194"/>
        <v>0</v>
      </c>
      <c r="F323">
        <f t="shared" si="195"/>
        <v>0</v>
      </c>
      <c r="G323">
        <f t="shared" si="196"/>
        <v>0</v>
      </c>
      <c r="H323">
        <f t="shared" si="197"/>
        <v>0</v>
      </c>
      <c r="I323">
        <f t="shared" si="198"/>
        <v>0</v>
      </c>
      <c r="J323">
        <f t="shared" si="199"/>
        <v>0</v>
      </c>
      <c r="K323">
        <f t="shared" si="200"/>
        <v>0</v>
      </c>
      <c r="L323">
        <f t="shared" si="201"/>
        <v>0</v>
      </c>
      <c r="M323">
        <f t="shared" si="202"/>
        <v>0</v>
      </c>
      <c r="N323">
        <f t="shared" si="203"/>
        <v>0</v>
      </c>
      <c r="O323">
        <f t="shared" si="204"/>
        <v>0</v>
      </c>
      <c r="P323">
        <f t="shared" si="205"/>
        <v>0</v>
      </c>
      <c r="Q323">
        <f t="shared" si="206"/>
        <v>0</v>
      </c>
      <c r="R323">
        <f t="shared" si="207"/>
        <v>0</v>
      </c>
      <c r="S323">
        <f t="shared" si="208"/>
        <v>0</v>
      </c>
      <c r="T323">
        <f t="shared" si="209"/>
        <v>0</v>
      </c>
      <c r="U323">
        <f t="shared" si="210"/>
        <v>0</v>
      </c>
      <c r="V323">
        <f t="shared" si="211"/>
        <v>0</v>
      </c>
      <c r="W323">
        <f t="shared" si="212"/>
        <v>0</v>
      </c>
      <c r="X323">
        <f t="shared" si="213"/>
        <v>0</v>
      </c>
      <c r="Y323">
        <f t="shared" si="214"/>
        <v>0</v>
      </c>
      <c r="Z323">
        <f t="shared" si="215"/>
        <v>0</v>
      </c>
      <c r="AA323">
        <f t="shared" si="216"/>
        <v>0</v>
      </c>
      <c r="AB323">
        <f t="shared" si="217"/>
        <v>0</v>
      </c>
      <c r="AC323">
        <f t="shared" si="218"/>
        <v>0</v>
      </c>
      <c r="AD323">
        <f t="shared" si="219"/>
        <v>0</v>
      </c>
      <c r="AE323">
        <f t="shared" si="220"/>
        <v>0</v>
      </c>
      <c r="AF323">
        <f t="shared" si="221"/>
        <v>0</v>
      </c>
      <c r="AG323">
        <f t="shared" si="222"/>
        <v>0</v>
      </c>
      <c r="AH323">
        <f t="shared" si="223"/>
        <v>0</v>
      </c>
      <c r="AI323">
        <f t="shared" si="224"/>
        <v>0</v>
      </c>
      <c r="AJ323">
        <f t="shared" si="225"/>
        <v>0</v>
      </c>
      <c r="AK323">
        <f t="shared" si="226"/>
        <v>0</v>
      </c>
      <c r="AL323">
        <f t="shared" si="227"/>
        <v>0</v>
      </c>
      <c r="AM323">
        <f t="shared" si="228"/>
        <v>0</v>
      </c>
      <c r="AN323">
        <f t="shared" si="229"/>
        <v>0</v>
      </c>
      <c r="AO323">
        <f t="shared" si="230"/>
        <v>0</v>
      </c>
      <c r="AP323">
        <f t="shared" si="231"/>
        <v>0</v>
      </c>
      <c r="AQ323">
        <f t="shared" si="232"/>
        <v>0</v>
      </c>
      <c r="AR323">
        <f t="shared" si="233"/>
        <v>0</v>
      </c>
      <c r="AS323">
        <f t="shared" si="234"/>
        <v>0</v>
      </c>
      <c r="AT323">
        <f t="shared" si="235"/>
        <v>0</v>
      </c>
      <c r="AU323">
        <f t="shared" si="236"/>
        <v>0</v>
      </c>
      <c r="AV323">
        <f t="shared" si="237"/>
        <v>0</v>
      </c>
      <c r="AW323">
        <f t="shared" si="192"/>
        <v>0</v>
      </c>
      <c r="AX323">
        <f t="shared" si="238"/>
        <v>0</v>
      </c>
      <c r="AY323">
        <f t="shared" si="239"/>
        <v>0</v>
      </c>
    </row>
    <row r="324" spans="1:51" x14ac:dyDescent="0.35">
      <c r="A324">
        <v>318</v>
      </c>
      <c r="C324">
        <f>MAX(0,Calc!$C$7-SUM(D324:R324))</f>
        <v>750</v>
      </c>
      <c r="D324">
        <f t="shared" si="193"/>
        <v>0</v>
      </c>
      <c r="E324">
        <f t="shared" si="194"/>
        <v>0</v>
      </c>
      <c r="F324">
        <f t="shared" si="195"/>
        <v>0</v>
      </c>
      <c r="G324">
        <f t="shared" si="196"/>
        <v>0</v>
      </c>
      <c r="H324">
        <f t="shared" si="197"/>
        <v>0</v>
      </c>
      <c r="I324">
        <f t="shared" si="198"/>
        <v>0</v>
      </c>
      <c r="J324">
        <f t="shared" si="199"/>
        <v>0</v>
      </c>
      <c r="K324">
        <f t="shared" si="200"/>
        <v>0</v>
      </c>
      <c r="L324">
        <f t="shared" si="201"/>
        <v>0</v>
      </c>
      <c r="M324">
        <f t="shared" si="202"/>
        <v>0</v>
      </c>
      <c r="N324">
        <f t="shared" si="203"/>
        <v>0</v>
      </c>
      <c r="O324">
        <f t="shared" si="204"/>
        <v>0</v>
      </c>
      <c r="P324">
        <f t="shared" si="205"/>
        <v>0</v>
      </c>
      <c r="Q324">
        <f t="shared" si="206"/>
        <v>0</v>
      </c>
      <c r="R324">
        <f t="shared" si="207"/>
        <v>0</v>
      </c>
      <c r="S324">
        <f t="shared" si="208"/>
        <v>0</v>
      </c>
      <c r="T324">
        <f t="shared" si="209"/>
        <v>0</v>
      </c>
      <c r="U324">
        <f t="shared" si="210"/>
        <v>0</v>
      </c>
      <c r="V324">
        <f t="shared" si="211"/>
        <v>0</v>
      </c>
      <c r="W324">
        <f t="shared" si="212"/>
        <v>0</v>
      </c>
      <c r="X324">
        <f t="shared" si="213"/>
        <v>0</v>
      </c>
      <c r="Y324">
        <f t="shared" si="214"/>
        <v>0</v>
      </c>
      <c r="Z324">
        <f t="shared" si="215"/>
        <v>0</v>
      </c>
      <c r="AA324">
        <f t="shared" si="216"/>
        <v>0</v>
      </c>
      <c r="AB324">
        <f t="shared" si="217"/>
        <v>0</v>
      </c>
      <c r="AC324">
        <f t="shared" si="218"/>
        <v>0</v>
      </c>
      <c r="AD324">
        <f t="shared" si="219"/>
        <v>0</v>
      </c>
      <c r="AE324">
        <f t="shared" si="220"/>
        <v>0</v>
      </c>
      <c r="AF324">
        <f t="shared" si="221"/>
        <v>0</v>
      </c>
      <c r="AG324">
        <f t="shared" si="222"/>
        <v>0</v>
      </c>
      <c r="AH324">
        <f t="shared" si="223"/>
        <v>0</v>
      </c>
      <c r="AI324">
        <f t="shared" si="224"/>
        <v>0</v>
      </c>
      <c r="AJ324">
        <f t="shared" si="225"/>
        <v>0</v>
      </c>
      <c r="AK324">
        <f t="shared" si="226"/>
        <v>0</v>
      </c>
      <c r="AL324">
        <f t="shared" si="227"/>
        <v>0</v>
      </c>
      <c r="AM324">
        <f t="shared" si="228"/>
        <v>0</v>
      </c>
      <c r="AN324">
        <f t="shared" si="229"/>
        <v>0</v>
      </c>
      <c r="AO324">
        <f t="shared" si="230"/>
        <v>0</v>
      </c>
      <c r="AP324">
        <f t="shared" si="231"/>
        <v>0</v>
      </c>
      <c r="AQ324">
        <f t="shared" si="232"/>
        <v>0</v>
      </c>
      <c r="AR324">
        <f t="shared" si="233"/>
        <v>0</v>
      </c>
      <c r="AS324">
        <f t="shared" si="234"/>
        <v>0</v>
      </c>
      <c r="AT324">
        <f t="shared" si="235"/>
        <v>0</v>
      </c>
      <c r="AU324">
        <f t="shared" si="236"/>
        <v>0</v>
      </c>
      <c r="AV324">
        <f t="shared" si="237"/>
        <v>0</v>
      </c>
      <c r="AW324">
        <f t="shared" si="192"/>
        <v>0</v>
      </c>
      <c r="AX324">
        <f t="shared" si="238"/>
        <v>0</v>
      </c>
      <c r="AY324">
        <f t="shared" si="239"/>
        <v>0</v>
      </c>
    </row>
    <row r="325" spans="1:51" x14ac:dyDescent="0.35">
      <c r="A325">
        <v>319</v>
      </c>
      <c r="C325">
        <f>MAX(0,Calc!$C$7-SUM(D325:R325))</f>
        <v>750</v>
      </c>
      <c r="D325">
        <f t="shared" si="193"/>
        <v>0</v>
      </c>
      <c r="E325">
        <f t="shared" si="194"/>
        <v>0</v>
      </c>
      <c r="F325">
        <f t="shared" si="195"/>
        <v>0</v>
      </c>
      <c r="G325">
        <f t="shared" si="196"/>
        <v>0</v>
      </c>
      <c r="H325">
        <f t="shared" si="197"/>
        <v>0</v>
      </c>
      <c r="I325">
        <f t="shared" si="198"/>
        <v>0</v>
      </c>
      <c r="J325">
        <f t="shared" si="199"/>
        <v>0</v>
      </c>
      <c r="K325">
        <f t="shared" si="200"/>
        <v>0</v>
      </c>
      <c r="L325">
        <f t="shared" si="201"/>
        <v>0</v>
      </c>
      <c r="M325">
        <f t="shared" si="202"/>
        <v>0</v>
      </c>
      <c r="N325">
        <f t="shared" si="203"/>
        <v>0</v>
      </c>
      <c r="O325">
        <f t="shared" si="204"/>
        <v>0</v>
      </c>
      <c r="P325">
        <f t="shared" si="205"/>
        <v>0</v>
      </c>
      <c r="Q325">
        <f t="shared" si="206"/>
        <v>0</v>
      </c>
      <c r="R325">
        <f t="shared" si="207"/>
        <v>0</v>
      </c>
      <c r="S325">
        <f t="shared" si="208"/>
        <v>0</v>
      </c>
      <c r="T325">
        <f t="shared" si="209"/>
        <v>0</v>
      </c>
      <c r="U325">
        <f t="shared" si="210"/>
        <v>0</v>
      </c>
      <c r="V325">
        <f t="shared" si="211"/>
        <v>0</v>
      </c>
      <c r="W325">
        <f t="shared" si="212"/>
        <v>0</v>
      </c>
      <c r="X325">
        <f t="shared" si="213"/>
        <v>0</v>
      </c>
      <c r="Y325">
        <f t="shared" si="214"/>
        <v>0</v>
      </c>
      <c r="Z325">
        <f t="shared" si="215"/>
        <v>0</v>
      </c>
      <c r="AA325">
        <f t="shared" si="216"/>
        <v>0</v>
      </c>
      <c r="AB325">
        <f t="shared" si="217"/>
        <v>0</v>
      </c>
      <c r="AC325">
        <f t="shared" si="218"/>
        <v>0</v>
      </c>
      <c r="AD325">
        <f t="shared" si="219"/>
        <v>0</v>
      </c>
      <c r="AE325">
        <f t="shared" si="220"/>
        <v>0</v>
      </c>
      <c r="AF325">
        <f t="shared" si="221"/>
        <v>0</v>
      </c>
      <c r="AG325">
        <f t="shared" si="222"/>
        <v>0</v>
      </c>
      <c r="AH325">
        <f t="shared" si="223"/>
        <v>0</v>
      </c>
      <c r="AI325">
        <f t="shared" si="224"/>
        <v>0</v>
      </c>
      <c r="AJ325">
        <f t="shared" si="225"/>
        <v>0</v>
      </c>
      <c r="AK325">
        <f t="shared" si="226"/>
        <v>0</v>
      </c>
      <c r="AL325">
        <f t="shared" si="227"/>
        <v>0</v>
      </c>
      <c r="AM325">
        <f t="shared" si="228"/>
        <v>0</v>
      </c>
      <c r="AN325">
        <f t="shared" si="229"/>
        <v>0</v>
      </c>
      <c r="AO325">
        <f t="shared" si="230"/>
        <v>0</v>
      </c>
      <c r="AP325">
        <f t="shared" si="231"/>
        <v>0</v>
      </c>
      <c r="AQ325">
        <f t="shared" si="232"/>
        <v>0</v>
      </c>
      <c r="AR325">
        <f t="shared" si="233"/>
        <v>0</v>
      </c>
      <c r="AS325">
        <f t="shared" si="234"/>
        <v>0</v>
      </c>
      <c r="AT325">
        <f t="shared" si="235"/>
        <v>0</v>
      </c>
      <c r="AU325">
        <f t="shared" si="236"/>
        <v>0</v>
      </c>
      <c r="AV325">
        <f t="shared" si="237"/>
        <v>0</v>
      </c>
      <c r="AW325">
        <f t="shared" si="192"/>
        <v>0</v>
      </c>
      <c r="AX325">
        <f t="shared" si="238"/>
        <v>0</v>
      </c>
      <c r="AY325">
        <f t="shared" si="239"/>
        <v>0</v>
      </c>
    </row>
    <row r="326" spans="1:51" x14ac:dyDescent="0.35">
      <c r="A326">
        <v>320</v>
      </c>
      <c r="C326">
        <f>MAX(0,Calc!$C$7-SUM(D326:R326))</f>
        <v>750</v>
      </c>
      <c r="D326">
        <f t="shared" si="193"/>
        <v>0</v>
      </c>
      <c r="E326">
        <f t="shared" si="194"/>
        <v>0</v>
      </c>
      <c r="F326">
        <f t="shared" si="195"/>
        <v>0</v>
      </c>
      <c r="G326">
        <f t="shared" si="196"/>
        <v>0</v>
      </c>
      <c r="H326">
        <f t="shared" si="197"/>
        <v>0</v>
      </c>
      <c r="I326">
        <f t="shared" si="198"/>
        <v>0</v>
      </c>
      <c r="J326">
        <f t="shared" si="199"/>
        <v>0</v>
      </c>
      <c r="K326">
        <f t="shared" si="200"/>
        <v>0</v>
      </c>
      <c r="L326">
        <f t="shared" si="201"/>
        <v>0</v>
      </c>
      <c r="M326">
        <f t="shared" si="202"/>
        <v>0</v>
      </c>
      <c r="N326">
        <f t="shared" si="203"/>
        <v>0</v>
      </c>
      <c r="O326">
        <f t="shared" si="204"/>
        <v>0</v>
      </c>
      <c r="P326">
        <f t="shared" si="205"/>
        <v>0</v>
      </c>
      <c r="Q326">
        <f t="shared" si="206"/>
        <v>0</v>
      </c>
      <c r="R326">
        <f t="shared" si="207"/>
        <v>0</v>
      </c>
      <c r="S326">
        <f t="shared" si="208"/>
        <v>0</v>
      </c>
      <c r="T326">
        <f t="shared" si="209"/>
        <v>0</v>
      </c>
      <c r="U326">
        <f t="shared" si="210"/>
        <v>0</v>
      </c>
      <c r="V326">
        <f t="shared" si="211"/>
        <v>0</v>
      </c>
      <c r="W326">
        <f t="shared" si="212"/>
        <v>0</v>
      </c>
      <c r="X326">
        <f t="shared" si="213"/>
        <v>0</v>
      </c>
      <c r="Y326">
        <f t="shared" si="214"/>
        <v>0</v>
      </c>
      <c r="Z326">
        <f t="shared" si="215"/>
        <v>0</v>
      </c>
      <c r="AA326">
        <f t="shared" si="216"/>
        <v>0</v>
      </c>
      <c r="AB326">
        <f t="shared" si="217"/>
        <v>0</v>
      </c>
      <c r="AC326">
        <f t="shared" si="218"/>
        <v>0</v>
      </c>
      <c r="AD326">
        <f t="shared" si="219"/>
        <v>0</v>
      </c>
      <c r="AE326">
        <f t="shared" si="220"/>
        <v>0</v>
      </c>
      <c r="AF326">
        <f t="shared" si="221"/>
        <v>0</v>
      </c>
      <c r="AG326">
        <f t="shared" si="222"/>
        <v>0</v>
      </c>
      <c r="AH326">
        <f t="shared" si="223"/>
        <v>0</v>
      </c>
      <c r="AI326">
        <f t="shared" si="224"/>
        <v>0</v>
      </c>
      <c r="AJ326">
        <f t="shared" si="225"/>
        <v>0</v>
      </c>
      <c r="AK326">
        <f t="shared" si="226"/>
        <v>0</v>
      </c>
      <c r="AL326">
        <f t="shared" si="227"/>
        <v>0</v>
      </c>
      <c r="AM326">
        <f t="shared" si="228"/>
        <v>0</v>
      </c>
      <c r="AN326">
        <f t="shared" si="229"/>
        <v>0</v>
      </c>
      <c r="AO326">
        <f t="shared" si="230"/>
        <v>0</v>
      </c>
      <c r="AP326">
        <f t="shared" si="231"/>
        <v>0</v>
      </c>
      <c r="AQ326">
        <f t="shared" si="232"/>
        <v>0</v>
      </c>
      <c r="AR326">
        <f t="shared" si="233"/>
        <v>0</v>
      </c>
      <c r="AS326">
        <f t="shared" si="234"/>
        <v>0</v>
      </c>
      <c r="AT326">
        <f t="shared" si="235"/>
        <v>0</v>
      </c>
      <c r="AU326">
        <f t="shared" si="236"/>
        <v>0</v>
      </c>
      <c r="AV326">
        <f t="shared" si="237"/>
        <v>0</v>
      </c>
      <c r="AW326">
        <f t="shared" ref="AW326:AW389" si="240">SUM(AH326:AV326)</f>
        <v>0</v>
      </c>
      <c r="AX326">
        <f t="shared" si="238"/>
        <v>0</v>
      </c>
      <c r="AY326">
        <f t="shared" si="239"/>
        <v>0</v>
      </c>
    </row>
    <row r="327" spans="1:51" x14ac:dyDescent="0.35">
      <c r="A327">
        <v>321</v>
      </c>
      <c r="C327">
        <f>MAX(0,Calc!$C$7-SUM(D327:R327))</f>
        <v>750</v>
      </c>
      <c r="D327">
        <f t="shared" ref="D327:D366" si="241">IF(AH326&lt;0.005,0,MIN((AH326+ROUND(AH326*AH$3,2)),AH$4))</f>
        <v>0</v>
      </c>
      <c r="E327">
        <f t="shared" ref="E327:E366" si="242">IF(AI326&lt;0.005,0,MIN((AI326+ROUND(AI326*AI$3,2)),AI$4))</f>
        <v>0</v>
      </c>
      <c r="F327">
        <f t="shared" ref="F327:F366" si="243">IF(AJ326&lt;0.005,0,MIN((AJ326+ROUND(AJ326*AJ$3,2)),AJ$4))</f>
        <v>0</v>
      </c>
      <c r="G327">
        <f t="shared" ref="G327:G366" si="244">IF(AK326&lt;0.005,0,MIN((AK326+ROUND(AK326*AK$3,2)),AK$4))</f>
        <v>0</v>
      </c>
      <c r="H327">
        <f t="shared" ref="H327:H366" si="245">IF(AL326&lt;0.005,0,MIN((AL326+ROUND(AL326*AL$3,2)),AL$4))</f>
        <v>0</v>
      </c>
      <c r="I327">
        <f t="shared" ref="I327:I366" si="246">IF(AM326&lt;0.005,0,MIN((AM326+ROUND(AM326*AM$3,2)),AM$4))</f>
        <v>0</v>
      </c>
      <c r="J327">
        <f t="shared" ref="J327:J366" si="247">IF(AN326&lt;0.005,0,MIN((AN326+ROUND(AN326*AN$3,2)),AN$4))</f>
        <v>0</v>
      </c>
      <c r="K327">
        <f t="shared" ref="K327:K366" si="248">IF(AO326&lt;0.005,0,MIN((AO326+ROUND(AO326*AO$3,2)),AO$4))</f>
        <v>0</v>
      </c>
      <c r="L327">
        <f t="shared" ref="L327:L366" si="249">IF(AP326&lt;0.005,0,MIN((AP326+ROUND(AP326*AP$3,2)),AP$4))</f>
        <v>0</v>
      </c>
      <c r="M327">
        <f t="shared" ref="M327:M366" si="250">IF(AQ326&lt;0.005,0,MIN((AQ326+ROUND(AQ326*AQ$3,2)),AQ$4))</f>
        <v>0</v>
      </c>
      <c r="N327">
        <f t="shared" ref="N327:N366" si="251">IF(AR326&lt;0.005,0,MIN((AR326+ROUND(AR326*AR$3,2)),AR$4))</f>
        <v>0</v>
      </c>
      <c r="O327">
        <f t="shared" ref="O327:O366" si="252">IF(AS326&lt;0.005,0,MIN((AS326+ROUND(AS326*AS$3,2)),AS$4))</f>
        <v>0</v>
      </c>
      <c r="P327">
        <f t="shared" ref="P327:P366" si="253">IF(AT326&lt;0.005,0,MIN((AT326+ROUND(AT326*AT$3,2)),AT$4))</f>
        <v>0</v>
      </c>
      <c r="Q327">
        <f t="shared" ref="Q327:Q366" si="254">IF(AU326&lt;0.005,0,MIN((AU326+ROUND(AU326*AU$3,2)),AU$4))</f>
        <v>0</v>
      </c>
      <c r="R327">
        <f t="shared" ref="R327:R366" si="255">IF(AV326&lt;0.005,0,MIN((AV326+ROUND(AV326*AV$3,2)),AV$4))</f>
        <v>0</v>
      </c>
      <c r="S327">
        <f t="shared" ref="S327:S366" si="256">IF(AH326&lt;0.005,0,MIN((AH326+ROUND(AH326*AH$3,2))-D327,MAX(0,$C327)))</f>
        <v>0</v>
      </c>
      <c r="T327">
        <f t="shared" ref="T327:T390" si="257">IF(AI326&lt;0.005,0,MIN((AI326+ROUND(AI326*AI$3,2))-E327,MAX(0,$C327-SUM(S327:S327))))</f>
        <v>0</v>
      </c>
      <c r="U327">
        <f t="shared" ref="U327:U390" si="258">IF(AJ326&lt;0.005,0,MIN((AJ326+ROUND(AJ326*AJ$3,2))-F327,MAX(0,$C327-SUM(S327:T327))))</f>
        <v>0</v>
      </c>
      <c r="V327">
        <f t="shared" ref="V327:V390" si="259">IF(AK326&lt;0.005,0,MIN((AK326+ROUND(AK326*AK$3,2))-G327,MAX(0,$C327-SUM(S327:U327))))</f>
        <v>0</v>
      </c>
      <c r="W327">
        <f t="shared" ref="W327:W390" si="260">IF(AL326&lt;0.005,0,MIN((AL326+ROUND(AL326*AL$3,2))-H327,MAX(0,$C327-SUM(S327:V327))))</f>
        <v>0</v>
      </c>
      <c r="X327">
        <f t="shared" ref="X327:X390" si="261">IF(AM326&lt;0.005,0,MIN((AM326+ROUND(AM326*AM$3,2))-I327,MAX(0,$C327-SUM(S327:W327))))</f>
        <v>0</v>
      </c>
      <c r="Y327">
        <f t="shared" ref="Y327:Y390" si="262">IF(AN326&lt;0.005,0,MIN((AN326+ROUND(AN326*AN$3,2))-J327,MAX(0,$C327-SUM(S327:X327))))</f>
        <v>0</v>
      </c>
      <c r="Z327">
        <f t="shared" ref="Z327:Z390" si="263">IF(AO326&lt;0.005,0,MIN((AO326+ROUND(AO326*AO$3,2))-K327,MAX(0,$C327-SUM(S327:Y327))))</f>
        <v>0</v>
      </c>
      <c r="AA327">
        <f t="shared" ref="AA327:AA390" si="264">IF(AP326&lt;0.005,0,MIN((AP326+ROUND(AP326*AP$3,2))-L327,MAX(0,$C327-SUM(S327:Z327))))</f>
        <v>0</v>
      </c>
      <c r="AB327">
        <f t="shared" ref="AB327:AB390" si="265">IF(AQ326&lt;0.005,0,MIN((AQ326+ROUND(AQ326*AQ$3,2))-M327,MAX(0,$C327-SUM(S327:AA327))))</f>
        <v>0</v>
      </c>
      <c r="AC327">
        <f t="shared" ref="AC327:AC390" si="266">IF(AR326&lt;0.005,0,MIN((AR326+ROUND(AR326*AR$3,2))-N327,MAX(0,$C327-SUM(S327:AB327))))</f>
        <v>0</v>
      </c>
      <c r="AD327">
        <f t="shared" ref="AD327:AD390" si="267">IF(AS326&lt;0.005,0,MIN((AS326+ROUND(AS326*AS$3,2))-O327,MAX(0,$C327-SUM(S327:AC327))))</f>
        <v>0</v>
      </c>
      <c r="AE327">
        <f t="shared" ref="AE327:AE390" si="268">IF(AT326&lt;0.005,0,MIN((AT326+ROUND(AT326*AT$3,2))-P327,MAX(0,$C327-SUM(S327:AD327))))</f>
        <v>0</v>
      </c>
      <c r="AF327">
        <f t="shared" ref="AF327:AF390" si="269">IF(AU326&lt;0.005,0,MIN((AU326+ROUND(AU326*AU$3,2))-Q327,MAX(0,$C327-SUM(S327:AE327))))</f>
        <v>0</v>
      </c>
      <c r="AG327">
        <f t="shared" ref="AG327:AG390" si="270">IF(AV326&lt;0.005,0,MIN((AV326+ROUND(AV326*AV$3,2))-R327,MAX(0,$C327-SUM(S327:AF327))))</f>
        <v>0</v>
      </c>
      <c r="AH327">
        <f t="shared" ref="AH327:AH366" si="271">IF(AH326&lt;0.005,0,ROUND((AH326+ROUND(AH326*AH$3,2))-D327-S327,2))</f>
        <v>0</v>
      </c>
      <c r="AI327">
        <f t="shared" ref="AI327:AI366" si="272">IF(AI326&lt;0.005,0,ROUND((AI326+ROUND(AI326*AI$3,2))-E327-T327,2))</f>
        <v>0</v>
      </c>
      <c r="AJ327">
        <f t="shared" ref="AJ327:AJ366" si="273">IF(AJ326&lt;0.005,0,ROUND((AJ326+ROUND(AJ326*AJ$3,2))-F327-U327,2))</f>
        <v>0</v>
      </c>
      <c r="AK327">
        <f t="shared" ref="AK327:AK366" si="274">IF(AK326&lt;0.005,0,ROUND((AK326+ROUND(AK326*AK$3,2))-G327-V327,2))</f>
        <v>0</v>
      </c>
      <c r="AL327">
        <f t="shared" ref="AL327:AL366" si="275">IF(AL326&lt;0.005,0,ROUND((AL326+ROUND(AL326*AL$3,2))-H327-W327,2))</f>
        <v>0</v>
      </c>
      <c r="AM327">
        <f t="shared" ref="AM327:AM366" si="276">IF(AM326&lt;0.005,0,ROUND((AM326+ROUND(AM326*AM$3,2))-I327-X327,2))</f>
        <v>0</v>
      </c>
      <c r="AN327">
        <f t="shared" ref="AN327:AN366" si="277">IF(AN326&lt;0.005,0,ROUND((AN326+ROUND(AN326*AN$3,2))-J327-Y327,2))</f>
        <v>0</v>
      </c>
      <c r="AO327">
        <f t="shared" ref="AO327:AO366" si="278">IF(AO326&lt;0.005,0,ROUND((AO326+ROUND(AO326*AO$3,2))-K327-Z327,2))</f>
        <v>0</v>
      </c>
      <c r="AP327">
        <f t="shared" ref="AP327:AP366" si="279">IF(AP326&lt;0.005,0,ROUND((AP326+ROUND(AP326*AP$3,2))-L327-AA327,2))</f>
        <v>0</v>
      </c>
      <c r="AQ327">
        <f t="shared" ref="AQ327:AQ366" si="280">IF(AQ326&lt;0.005,0,ROUND((AQ326+ROUND(AQ326*AQ$3,2))-M327-AB327,2))</f>
        <v>0</v>
      </c>
      <c r="AR327">
        <f t="shared" ref="AR327:AR366" si="281">IF(AR326&lt;0.005,0,ROUND((AR326+ROUND(AR326*AR$3,2))-N327-AC327,2))</f>
        <v>0</v>
      </c>
      <c r="AS327">
        <f t="shared" ref="AS327:AS366" si="282">IF(AS326&lt;0.005,0,ROUND((AS326+ROUND(AS326*AS$3,2))-O327-AD327,2))</f>
        <v>0</v>
      </c>
      <c r="AT327">
        <f t="shared" ref="AT327:AT366" si="283">IF(AT326&lt;0.005,0,ROUND((AT326+ROUND(AT326*AT$3,2))-P327-AE327,2))</f>
        <v>0</v>
      </c>
      <c r="AU327">
        <f t="shared" ref="AU327:AU366" si="284">IF(AU326&lt;0.005,0,ROUND((AU326+ROUND(AU326*AU$3,2))-Q327-AF327,2))</f>
        <v>0</v>
      </c>
      <c r="AV327">
        <f t="shared" ref="AV327:AV366" si="285">IF(AV326&lt;0.005,0,ROUND((AV326+ROUND(AV326*AV$3,2))-R327-AG327,2))</f>
        <v>0</v>
      </c>
      <c r="AW327">
        <f t="shared" si="240"/>
        <v>0</v>
      </c>
      <c r="AX327">
        <f t="shared" ref="AX327:AX366" si="286">SUMPRODUCT(ROUND(AH326:AV326*AH$3:AV$3,2))</f>
        <v>0</v>
      </c>
      <c r="AY327">
        <f t="shared" ref="AY327:AY366" si="287">SUM(D327:AG327)</f>
        <v>0</v>
      </c>
    </row>
    <row r="328" spans="1:51" x14ac:dyDescent="0.35">
      <c r="A328">
        <v>322</v>
      </c>
      <c r="C328">
        <f>MAX(0,Calc!$C$7-SUM(D328:R328))</f>
        <v>750</v>
      </c>
      <c r="D328">
        <f t="shared" si="241"/>
        <v>0</v>
      </c>
      <c r="E328">
        <f t="shared" si="242"/>
        <v>0</v>
      </c>
      <c r="F328">
        <f t="shared" si="243"/>
        <v>0</v>
      </c>
      <c r="G328">
        <f t="shared" si="244"/>
        <v>0</v>
      </c>
      <c r="H328">
        <f t="shared" si="245"/>
        <v>0</v>
      </c>
      <c r="I328">
        <f t="shared" si="246"/>
        <v>0</v>
      </c>
      <c r="J328">
        <f t="shared" si="247"/>
        <v>0</v>
      </c>
      <c r="K328">
        <f t="shared" si="248"/>
        <v>0</v>
      </c>
      <c r="L328">
        <f t="shared" si="249"/>
        <v>0</v>
      </c>
      <c r="M328">
        <f t="shared" si="250"/>
        <v>0</v>
      </c>
      <c r="N328">
        <f t="shared" si="251"/>
        <v>0</v>
      </c>
      <c r="O328">
        <f t="shared" si="252"/>
        <v>0</v>
      </c>
      <c r="P328">
        <f t="shared" si="253"/>
        <v>0</v>
      </c>
      <c r="Q328">
        <f t="shared" si="254"/>
        <v>0</v>
      </c>
      <c r="R328">
        <f t="shared" si="255"/>
        <v>0</v>
      </c>
      <c r="S328">
        <f t="shared" si="256"/>
        <v>0</v>
      </c>
      <c r="T328">
        <f t="shared" si="257"/>
        <v>0</v>
      </c>
      <c r="U328">
        <f t="shared" si="258"/>
        <v>0</v>
      </c>
      <c r="V328">
        <f t="shared" si="259"/>
        <v>0</v>
      </c>
      <c r="W328">
        <f t="shared" si="260"/>
        <v>0</v>
      </c>
      <c r="X328">
        <f t="shared" si="261"/>
        <v>0</v>
      </c>
      <c r="Y328">
        <f t="shared" si="262"/>
        <v>0</v>
      </c>
      <c r="Z328">
        <f t="shared" si="263"/>
        <v>0</v>
      </c>
      <c r="AA328">
        <f t="shared" si="264"/>
        <v>0</v>
      </c>
      <c r="AB328">
        <f t="shared" si="265"/>
        <v>0</v>
      </c>
      <c r="AC328">
        <f t="shared" si="266"/>
        <v>0</v>
      </c>
      <c r="AD328">
        <f t="shared" si="267"/>
        <v>0</v>
      </c>
      <c r="AE328">
        <f t="shared" si="268"/>
        <v>0</v>
      </c>
      <c r="AF328">
        <f t="shared" si="269"/>
        <v>0</v>
      </c>
      <c r="AG328">
        <f t="shared" si="270"/>
        <v>0</v>
      </c>
      <c r="AH328">
        <f t="shared" si="271"/>
        <v>0</v>
      </c>
      <c r="AI328">
        <f t="shared" si="272"/>
        <v>0</v>
      </c>
      <c r="AJ328">
        <f t="shared" si="273"/>
        <v>0</v>
      </c>
      <c r="AK328">
        <f t="shared" si="274"/>
        <v>0</v>
      </c>
      <c r="AL328">
        <f t="shared" si="275"/>
        <v>0</v>
      </c>
      <c r="AM328">
        <f t="shared" si="276"/>
        <v>0</v>
      </c>
      <c r="AN328">
        <f t="shared" si="277"/>
        <v>0</v>
      </c>
      <c r="AO328">
        <f t="shared" si="278"/>
        <v>0</v>
      </c>
      <c r="AP328">
        <f t="shared" si="279"/>
        <v>0</v>
      </c>
      <c r="AQ328">
        <f t="shared" si="280"/>
        <v>0</v>
      </c>
      <c r="AR328">
        <f t="shared" si="281"/>
        <v>0</v>
      </c>
      <c r="AS328">
        <f t="shared" si="282"/>
        <v>0</v>
      </c>
      <c r="AT328">
        <f t="shared" si="283"/>
        <v>0</v>
      </c>
      <c r="AU328">
        <f t="shared" si="284"/>
        <v>0</v>
      </c>
      <c r="AV328">
        <f t="shared" si="285"/>
        <v>0</v>
      </c>
      <c r="AW328">
        <f t="shared" si="240"/>
        <v>0</v>
      </c>
      <c r="AX328">
        <f t="shared" si="286"/>
        <v>0</v>
      </c>
      <c r="AY328">
        <f t="shared" si="287"/>
        <v>0</v>
      </c>
    </row>
    <row r="329" spans="1:51" x14ac:dyDescent="0.35">
      <c r="A329">
        <v>323</v>
      </c>
      <c r="C329">
        <f>MAX(0,Calc!$C$7-SUM(D329:R329))</f>
        <v>750</v>
      </c>
      <c r="D329">
        <f t="shared" si="241"/>
        <v>0</v>
      </c>
      <c r="E329">
        <f t="shared" si="242"/>
        <v>0</v>
      </c>
      <c r="F329">
        <f t="shared" si="243"/>
        <v>0</v>
      </c>
      <c r="G329">
        <f t="shared" si="244"/>
        <v>0</v>
      </c>
      <c r="H329">
        <f t="shared" si="245"/>
        <v>0</v>
      </c>
      <c r="I329">
        <f t="shared" si="246"/>
        <v>0</v>
      </c>
      <c r="J329">
        <f t="shared" si="247"/>
        <v>0</v>
      </c>
      <c r="K329">
        <f t="shared" si="248"/>
        <v>0</v>
      </c>
      <c r="L329">
        <f t="shared" si="249"/>
        <v>0</v>
      </c>
      <c r="M329">
        <f t="shared" si="250"/>
        <v>0</v>
      </c>
      <c r="N329">
        <f t="shared" si="251"/>
        <v>0</v>
      </c>
      <c r="O329">
        <f t="shared" si="252"/>
        <v>0</v>
      </c>
      <c r="P329">
        <f t="shared" si="253"/>
        <v>0</v>
      </c>
      <c r="Q329">
        <f t="shared" si="254"/>
        <v>0</v>
      </c>
      <c r="R329">
        <f t="shared" si="255"/>
        <v>0</v>
      </c>
      <c r="S329">
        <f t="shared" si="256"/>
        <v>0</v>
      </c>
      <c r="T329">
        <f t="shared" si="257"/>
        <v>0</v>
      </c>
      <c r="U329">
        <f t="shared" si="258"/>
        <v>0</v>
      </c>
      <c r="V329">
        <f t="shared" si="259"/>
        <v>0</v>
      </c>
      <c r="W329">
        <f t="shared" si="260"/>
        <v>0</v>
      </c>
      <c r="X329">
        <f t="shared" si="261"/>
        <v>0</v>
      </c>
      <c r="Y329">
        <f t="shared" si="262"/>
        <v>0</v>
      </c>
      <c r="Z329">
        <f t="shared" si="263"/>
        <v>0</v>
      </c>
      <c r="AA329">
        <f t="shared" si="264"/>
        <v>0</v>
      </c>
      <c r="AB329">
        <f t="shared" si="265"/>
        <v>0</v>
      </c>
      <c r="AC329">
        <f t="shared" si="266"/>
        <v>0</v>
      </c>
      <c r="AD329">
        <f t="shared" si="267"/>
        <v>0</v>
      </c>
      <c r="AE329">
        <f t="shared" si="268"/>
        <v>0</v>
      </c>
      <c r="AF329">
        <f t="shared" si="269"/>
        <v>0</v>
      </c>
      <c r="AG329">
        <f t="shared" si="270"/>
        <v>0</v>
      </c>
      <c r="AH329">
        <f t="shared" si="271"/>
        <v>0</v>
      </c>
      <c r="AI329">
        <f t="shared" si="272"/>
        <v>0</v>
      </c>
      <c r="AJ329">
        <f t="shared" si="273"/>
        <v>0</v>
      </c>
      <c r="AK329">
        <f t="shared" si="274"/>
        <v>0</v>
      </c>
      <c r="AL329">
        <f t="shared" si="275"/>
        <v>0</v>
      </c>
      <c r="AM329">
        <f t="shared" si="276"/>
        <v>0</v>
      </c>
      <c r="AN329">
        <f t="shared" si="277"/>
        <v>0</v>
      </c>
      <c r="AO329">
        <f t="shared" si="278"/>
        <v>0</v>
      </c>
      <c r="AP329">
        <f t="shared" si="279"/>
        <v>0</v>
      </c>
      <c r="AQ329">
        <f t="shared" si="280"/>
        <v>0</v>
      </c>
      <c r="AR329">
        <f t="shared" si="281"/>
        <v>0</v>
      </c>
      <c r="AS329">
        <f t="shared" si="282"/>
        <v>0</v>
      </c>
      <c r="AT329">
        <f t="shared" si="283"/>
        <v>0</v>
      </c>
      <c r="AU329">
        <f t="shared" si="284"/>
        <v>0</v>
      </c>
      <c r="AV329">
        <f t="shared" si="285"/>
        <v>0</v>
      </c>
      <c r="AW329">
        <f t="shared" si="240"/>
        <v>0</v>
      </c>
      <c r="AX329">
        <f t="shared" si="286"/>
        <v>0</v>
      </c>
      <c r="AY329">
        <f t="shared" si="287"/>
        <v>0</v>
      </c>
    </row>
    <row r="330" spans="1:51" x14ac:dyDescent="0.35">
      <c r="A330">
        <v>324</v>
      </c>
      <c r="C330">
        <f>MAX(0,Calc!$C$7-SUM(D330:R330))</f>
        <v>750</v>
      </c>
      <c r="D330">
        <f t="shared" si="241"/>
        <v>0</v>
      </c>
      <c r="E330">
        <f t="shared" si="242"/>
        <v>0</v>
      </c>
      <c r="F330">
        <f t="shared" si="243"/>
        <v>0</v>
      </c>
      <c r="G330">
        <f t="shared" si="244"/>
        <v>0</v>
      </c>
      <c r="H330">
        <f t="shared" si="245"/>
        <v>0</v>
      </c>
      <c r="I330">
        <f t="shared" si="246"/>
        <v>0</v>
      </c>
      <c r="J330">
        <f t="shared" si="247"/>
        <v>0</v>
      </c>
      <c r="K330">
        <f t="shared" si="248"/>
        <v>0</v>
      </c>
      <c r="L330">
        <f t="shared" si="249"/>
        <v>0</v>
      </c>
      <c r="M330">
        <f t="shared" si="250"/>
        <v>0</v>
      </c>
      <c r="N330">
        <f t="shared" si="251"/>
        <v>0</v>
      </c>
      <c r="O330">
        <f t="shared" si="252"/>
        <v>0</v>
      </c>
      <c r="P330">
        <f t="shared" si="253"/>
        <v>0</v>
      </c>
      <c r="Q330">
        <f t="shared" si="254"/>
        <v>0</v>
      </c>
      <c r="R330">
        <f t="shared" si="255"/>
        <v>0</v>
      </c>
      <c r="S330">
        <f t="shared" si="256"/>
        <v>0</v>
      </c>
      <c r="T330">
        <f t="shared" si="257"/>
        <v>0</v>
      </c>
      <c r="U330">
        <f t="shared" si="258"/>
        <v>0</v>
      </c>
      <c r="V330">
        <f t="shared" si="259"/>
        <v>0</v>
      </c>
      <c r="W330">
        <f t="shared" si="260"/>
        <v>0</v>
      </c>
      <c r="X330">
        <f t="shared" si="261"/>
        <v>0</v>
      </c>
      <c r="Y330">
        <f t="shared" si="262"/>
        <v>0</v>
      </c>
      <c r="Z330">
        <f t="shared" si="263"/>
        <v>0</v>
      </c>
      <c r="AA330">
        <f t="shared" si="264"/>
        <v>0</v>
      </c>
      <c r="AB330">
        <f t="shared" si="265"/>
        <v>0</v>
      </c>
      <c r="AC330">
        <f t="shared" si="266"/>
        <v>0</v>
      </c>
      <c r="AD330">
        <f t="shared" si="267"/>
        <v>0</v>
      </c>
      <c r="AE330">
        <f t="shared" si="268"/>
        <v>0</v>
      </c>
      <c r="AF330">
        <f t="shared" si="269"/>
        <v>0</v>
      </c>
      <c r="AG330">
        <f t="shared" si="270"/>
        <v>0</v>
      </c>
      <c r="AH330">
        <f t="shared" si="271"/>
        <v>0</v>
      </c>
      <c r="AI330">
        <f t="shared" si="272"/>
        <v>0</v>
      </c>
      <c r="AJ330">
        <f t="shared" si="273"/>
        <v>0</v>
      </c>
      <c r="AK330">
        <f t="shared" si="274"/>
        <v>0</v>
      </c>
      <c r="AL330">
        <f t="shared" si="275"/>
        <v>0</v>
      </c>
      <c r="AM330">
        <f t="shared" si="276"/>
        <v>0</v>
      </c>
      <c r="AN330">
        <f t="shared" si="277"/>
        <v>0</v>
      </c>
      <c r="AO330">
        <f t="shared" si="278"/>
        <v>0</v>
      </c>
      <c r="AP330">
        <f t="shared" si="279"/>
        <v>0</v>
      </c>
      <c r="AQ330">
        <f t="shared" si="280"/>
        <v>0</v>
      </c>
      <c r="AR330">
        <f t="shared" si="281"/>
        <v>0</v>
      </c>
      <c r="AS330">
        <f t="shared" si="282"/>
        <v>0</v>
      </c>
      <c r="AT330">
        <f t="shared" si="283"/>
        <v>0</v>
      </c>
      <c r="AU330">
        <f t="shared" si="284"/>
        <v>0</v>
      </c>
      <c r="AV330">
        <f t="shared" si="285"/>
        <v>0</v>
      </c>
      <c r="AW330">
        <f t="shared" si="240"/>
        <v>0</v>
      </c>
      <c r="AX330">
        <f t="shared" si="286"/>
        <v>0</v>
      </c>
      <c r="AY330">
        <f t="shared" si="287"/>
        <v>0</v>
      </c>
    </row>
    <row r="331" spans="1:51" x14ac:dyDescent="0.35">
      <c r="A331">
        <v>325</v>
      </c>
      <c r="C331">
        <f>MAX(0,Calc!$C$7-SUM(D331:R331))</f>
        <v>750</v>
      </c>
      <c r="D331">
        <f t="shared" si="241"/>
        <v>0</v>
      </c>
      <c r="E331">
        <f t="shared" si="242"/>
        <v>0</v>
      </c>
      <c r="F331">
        <f t="shared" si="243"/>
        <v>0</v>
      </c>
      <c r="G331">
        <f t="shared" si="244"/>
        <v>0</v>
      </c>
      <c r="H331">
        <f t="shared" si="245"/>
        <v>0</v>
      </c>
      <c r="I331">
        <f t="shared" si="246"/>
        <v>0</v>
      </c>
      <c r="J331">
        <f t="shared" si="247"/>
        <v>0</v>
      </c>
      <c r="K331">
        <f t="shared" si="248"/>
        <v>0</v>
      </c>
      <c r="L331">
        <f t="shared" si="249"/>
        <v>0</v>
      </c>
      <c r="M331">
        <f t="shared" si="250"/>
        <v>0</v>
      </c>
      <c r="N331">
        <f t="shared" si="251"/>
        <v>0</v>
      </c>
      <c r="O331">
        <f t="shared" si="252"/>
        <v>0</v>
      </c>
      <c r="P331">
        <f t="shared" si="253"/>
        <v>0</v>
      </c>
      <c r="Q331">
        <f t="shared" si="254"/>
        <v>0</v>
      </c>
      <c r="R331">
        <f t="shared" si="255"/>
        <v>0</v>
      </c>
      <c r="S331">
        <f t="shared" si="256"/>
        <v>0</v>
      </c>
      <c r="T331">
        <f t="shared" si="257"/>
        <v>0</v>
      </c>
      <c r="U331">
        <f t="shared" si="258"/>
        <v>0</v>
      </c>
      <c r="V331">
        <f t="shared" si="259"/>
        <v>0</v>
      </c>
      <c r="W331">
        <f t="shared" si="260"/>
        <v>0</v>
      </c>
      <c r="X331">
        <f t="shared" si="261"/>
        <v>0</v>
      </c>
      <c r="Y331">
        <f t="shared" si="262"/>
        <v>0</v>
      </c>
      <c r="Z331">
        <f t="shared" si="263"/>
        <v>0</v>
      </c>
      <c r="AA331">
        <f t="shared" si="264"/>
        <v>0</v>
      </c>
      <c r="AB331">
        <f t="shared" si="265"/>
        <v>0</v>
      </c>
      <c r="AC331">
        <f t="shared" si="266"/>
        <v>0</v>
      </c>
      <c r="AD331">
        <f t="shared" si="267"/>
        <v>0</v>
      </c>
      <c r="AE331">
        <f t="shared" si="268"/>
        <v>0</v>
      </c>
      <c r="AF331">
        <f t="shared" si="269"/>
        <v>0</v>
      </c>
      <c r="AG331">
        <f t="shared" si="270"/>
        <v>0</v>
      </c>
      <c r="AH331">
        <f t="shared" si="271"/>
        <v>0</v>
      </c>
      <c r="AI331">
        <f t="shared" si="272"/>
        <v>0</v>
      </c>
      <c r="AJ331">
        <f t="shared" si="273"/>
        <v>0</v>
      </c>
      <c r="AK331">
        <f t="shared" si="274"/>
        <v>0</v>
      </c>
      <c r="AL331">
        <f t="shared" si="275"/>
        <v>0</v>
      </c>
      <c r="AM331">
        <f t="shared" si="276"/>
        <v>0</v>
      </c>
      <c r="AN331">
        <f t="shared" si="277"/>
        <v>0</v>
      </c>
      <c r="AO331">
        <f t="shared" si="278"/>
        <v>0</v>
      </c>
      <c r="AP331">
        <f t="shared" si="279"/>
        <v>0</v>
      </c>
      <c r="AQ331">
        <f t="shared" si="280"/>
        <v>0</v>
      </c>
      <c r="AR331">
        <f t="shared" si="281"/>
        <v>0</v>
      </c>
      <c r="AS331">
        <f t="shared" si="282"/>
        <v>0</v>
      </c>
      <c r="AT331">
        <f t="shared" si="283"/>
        <v>0</v>
      </c>
      <c r="AU331">
        <f t="shared" si="284"/>
        <v>0</v>
      </c>
      <c r="AV331">
        <f t="shared" si="285"/>
        <v>0</v>
      </c>
      <c r="AW331">
        <f t="shared" si="240"/>
        <v>0</v>
      </c>
      <c r="AX331">
        <f t="shared" si="286"/>
        <v>0</v>
      </c>
      <c r="AY331">
        <f t="shared" si="287"/>
        <v>0</v>
      </c>
    </row>
    <row r="332" spans="1:51" x14ac:dyDescent="0.35">
      <c r="A332">
        <v>326</v>
      </c>
      <c r="C332">
        <f>MAX(0,Calc!$C$7-SUM(D332:R332))</f>
        <v>750</v>
      </c>
      <c r="D332">
        <f t="shared" si="241"/>
        <v>0</v>
      </c>
      <c r="E332">
        <f t="shared" si="242"/>
        <v>0</v>
      </c>
      <c r="F332">
        <f t="shared" si="243"/>
        <v>0</v>
      </c>
      <c r="G332">
        <f t="shared" si="244"/>
        <v>0</v>
      </c>
      <c r="H332">
        <f t="shared" si="245"/>
        <v>0</v>
      </c>
      <c r="I332">
        <f t="shared" si="246"/>
        <v>0</v>
      </c>
      <c r="J332">
        <f t="shared" si="247"/>
        <v>0</v>
      </c>
      <c r="K332">
        <f t="shared" si="248"/>
        <v>0</v>
      </c>
      <c r="L332">
        <f t="shared" si="249"/>
        <v>0</v>
      </c>
      <c r="M332">
        <f t="shared" si="250"/>
        <v>0</v>
      </c>
      <c r="N332">
        <f t="shared" si="251"/>
        <v>0</v>
      </c>
      <c r="O332">
        <f t="shared" si="252"/>
        <v>0</v>
      </c>
      <c r="P332">
        <f t="shared" si="253"/>
        <v>0</v>
      </c>
      <c r="Q332">
        <f t="shared" si="254"/>
        <v>0</v>
      </c>
      <c r="R332">
        <f t="shared" si="255"/>
        <v>0</v>
      </c>
      <c r="S332">
        <f t="shared" si="256"/>
        <v>0</v>
      </c>
      <c r="T332">
        <f t="shared" si="257"/>
        <v>0</v>
      </c>
      <c r="U332">
        <f t="shared" si="258"/>
        <v>0</v>
      </c>
      <c r="V332">
        <f t="shared" si="259"/>
        <v>0</v>
      </c>
      <c r="W332">
        <f t="shared" si="260"/>
        <v>0</v>
      </c>
      <c r="X332">
        <f t="shared" si="261"/>
        <v>0</v>
      </c>
      <c r="Y332">
        <f t="shared" si="262"/>
        <v>0</v>
      </c>
      <c r="Z332">
        <f t="shared" si="263"/>
        <v>0</v>
      </c>
      <c r="AA332">
        <f t="shared" si="264"/>
        <v>0</v>
      </c>
      <c r="AB332">
        <f t="shared" si="265"/>
        <v>0</v>
      </c>
      <c r="AC332">
        <f t="shared" si="266"/>
        <v>0</v>
      </c>
      <c r="AD332">
        <f t="shared" si="267"/>
        <v>0</v>
      </c>
      <c r="AE332">
        <f t="shared" si="268"/>
        <v>0</v>
      </c>
      <c r="AF332">
        <f t="shared" si="269"/>
        <v>0</v>
      </c>
      <c r="AG332">
        <f t="shared" si="270"/>
        <v>0</v>
      </c>
      <c r="AH332">
        <f t="shared" si="271"/>
        <v>0</v>
      </c>
      <c r="AI332">
        <f t="shared" si="272"/>
        <v>0</v>
      </c>
      <c r="AJ332">
        <f t="shared" si="273"/>
        <v>0</v>
      </c>
      <c r="AK332">
        <f t="shared" si="274"/>
        <v>0</v>
      </c>
      <c r="AL332">
        <f t="shared" si="275"/>
        <v>0</v>
      </c>
      <c r="AM332">
        <f t="shared" si="276"/>
        <v>0</v>
      </c>
      <c r="AN332">
        <f t="shared" si="277"/>
        <v>0</v>
      </c>
      <c r="AO332">
        <f t="shared" si="278"/>
        <v>0</v>
      </c>
      <c r="AP332">
        <f t="shared" si="279"/>
        <v>0</v>
      </c>
      <c r="AQ332">
        <f t="shared" si="280"/>
        <v>0</v>
      </c>
      <c r="AR332">
        <f t="shared" si="281"/>
        <v>0</v>
      </c>
      <c r="AS332">
        <f t="shared" si="282"/>
        <v>0</v>
      </c>
      <c r="AT332">
        <f t="shared" si="283"/>
        <v>0</v>
      </c>
      <c r="AU332">
        <f t="shared" si="284"/>
        <v>0</v>
      </c>
      <c r="AV332">
        <f t="shared" si="285"/>
        <v>0</v>
      </c>
      <c r="AW332">
        <f t="shared" si="240"/>
        <v>0</v>
      </c>
      <c r="AX332">
        <f t="shared" si="286"/>
        <v>0</v>
      </c>
      <c r="AY332">
        <f t="shared" si="287"/>
        <v>0</v>
      </c>
    </row>
    <row r="333" spans="1:51" x14ac:dyDescent="0.35">
      <c r="A333">
        <v>327</v>
      </c>
      <c r="C333">
        <f>MAX(0,Calc!$C$7-SUM(D333:R333))</f>
        <v>750</v>
      </c>
      <c r="D333">
        <f t="shared" si="241"/>
        <v>0</v>
      </c>
      <c r="E333">
        <f t="shared" si="242"/>
        <v>0</v>
      </c>
      <c r="F333">
        <f t="shared" si="243"/>
        <v>0</v>
      </c>
      <c r="G333">
        <f t="shared" si="244"/>
        <v>0</v>
      </c>
      <c r="H333">
        <f t="shared" si="245"/>
        <v>0</v>
      </c>
      <c r="I333">
        <f t="shared" si="246"/>
        <v>0</v>
      </c>
      <c r="J333">
        <f t="shared" si="247"/>
        <v>0</v>
      </c>
      <c r="K333">
        <f t="shared" si="248"/>
        <v>0</v>
      </c>
      <c r="L333">
        <f t="shared" si="249"/>
        <v>0</v>
      </c>
      <c r="M333">
        <f t="shared" si="250"/>
        <v>0</v>
      </c>
      <c r="N333">
        <f t="shared" si="251"/>
        <v>0</v>
      </c>
      <c r="O333">
        <f t="shared" si="252"/>
        <v>0</v>
      </c>
      <c r="P333">
        <f t="shared" si="253"/>
        <v>0</v>
      </c>
      <c r="Q333">
        <f t="shared" si="254"/>
        <v>0</v>
      </c>
      <c r="R333">
        <f t="shared" si="255"/>
        <v>0</v>
      </c>
      <c r="S333">
        <f t="shared" si="256"/>
        <v>0</v>
      </c>
      <c r="T333">
        <f t="shared" si="257"/>
        <v>0</v>
      </c>
      <c r="U333">
        <f t="shared" si="258"/>
        <v>0</v>
      </c>
      <c r="V333">
        <f t="shared" si="259"/>
        <v>0</v>
      </c>
      <c r="W333">
        <f t="shared" si="260"/>
        <v>0</v>
      </c>
      <c r="X333">
        <f t="shared" si="261"/>
        <v>0</v>
      </c>
      <c r="Y333">
        <f t="shared" si="262"/>
        <v>0</v>
      </c>
      <c r="Z333">
        <f t="shared" si="263"/>
        <v>0</v>
      </c>
      <c r="AA333">
        <f t="shared" si="264"/>
        <v>0</v>
      </c>
      <c r="AB333">
        <f t="shared" si="265"/>
        <v>0</v>
      </c>
      <c r="AC333">
        <f t="shared" si="266"/>
        <v>0</v>
      </c>
      <c r="AD333">
        <f t="shared" si="267"/>
        <v>0</v>
      </c>
      <c r="AE333">
        <f t="shared" si="268"/>
        <v>0</v>
      </c>
      <c r="AF333">
        <f t="shared" si="269"/>
        <v>0</v>
      </c>
      <c r="AG333">
        <f t="shared" si="270"/>
        <v>0</v>
      </c>
      <c r="AH333">
        <f t="shared" si="271"/>
        <v>0</v>
      </c>
      <c r="AI333">
        <f t="shared" si="272"/>
        <v>0</v>
      </c>
      <c r="AJ333">
        <f t="shared" si="273"/>
        <v>0</v>
      </c>
      <c r="AK333">
        <f t="shared" si="274"/>
        <v>0</v>
      </c>
      <c r="AL333">
        <f t="shared" si="275"/>
        <v>0</v>
      </c>
      <c r="AM333">
        <f t="shared" si="276"/>
        <v>0</v>
      </c>
      <c r="AN333">
        <f t="shared" si="277"/>
        <v>0</v>
      </c>
      <c r="AO333">
        <f t="shared" si="278"/>
        <v>0</v>
      </c>
      <c r="AP333">
        <f t="shared" si="279"/>
        <v>0</v>
      </c>
      <c r="AQ333">
        <f t="shared" si="280"/>
        <v>0</v>
      </c>
      <c r="AR333">
        <f t="shared" si="281"/>
        <v>0</v>
      </c>
      <c r="AS333">
        <f t="shared" si="282"/>
        <v>0</v>
      </c>
      <c r="AT333">
        <f t="shared" si="283"/>
        <v>0</v>
      </c>
      <c r="AU333">
        <f t="shared" si="284"/>
        <v>0</v>
      </c>
      <c r="AV333">
        <f t="shared" si="285"/>
        <v>0</v>
      </c>
      <c r="AW333">
        <f t="shared" si="240"/>
        <v>0</v>
      </c>
      <c r="AX333">
        <f t="shared" si="286"/>
        <v>0</v>
      </c>
      <c r="AY333">
        <f t="shared" si="287"/>
        <v>0</v>
      </c>
    </row>
    <row r="334" spans="1:51" x14ac:dyDescent="0.35">
      <c r="A334">
        <v>328</v>
      </c>
      <c r="C334">
        <f>MAX(0,Calc!$C$7-SUM(D334:R334))</f>
        <v>750</v>
      </c>
      <c r="D334">
        <f t="shared" si="241"/>
        <v>0</v>
      </c>
      <c r="E334">
        <f t="shared" si="242"/>
        <v>0</v>
      </c>
      <c r="F334">
        <f t="shared" si="243"/>
        <v>0</v>
      </c>
      <c r="G334">
        <f t="shared" si="244"/>
        <v>0</v>
      </c>
      <c r="H334">
        <f t="shared" si="245"/>
        <v>0</v>
      </c>
      <c r="I334">
        <f t="shared" si="246"/>
        <v>0</v>
      </c>
      <c r="J334">
        <f t="shared" si="247"/>
        <v>0</v>
      </c>
      <c r="K334">
        <f t="shared" si="248"/>
        <v>0</v>
      </c>
      <c r="L334">
        <f t="shared" si="249"/>
        <v>0</v>
      </c>
      <c r="M334">
        <f t="shared" si="250"/>
        <v>0</v>
      </c>
      <c r="N334">
        <f t="shared" si="251"/>
        <v>0</v>
      </c>
      <c r="O334">
        <f t="shared" si="252"/>
        <v>0</v>
      </c>
      <c r="P334">
        <f t="shared" si="253"/>
        <v>0</v>
      </c>
      <c r="Q334">
        <f t="shared" si="254"/>
        <v>0</v>
      </c>
      <c r="R334">
        <f t="shared" si="255"/>
        <v>0</v>
      </c>
      <c r="S334">
        <f t="shared" si="256"/>
        <v>0</v>
      </c>
      <c r="T334">
        <f t="shared" si="257"/>
        <v>0</v>
      </c>
      <c r="U334">
        <f t="shared" si="258"/>
        <v>0</v>
      </c>
      <c r="V334">
        <f t="shared" si="259"/>
        <v>0</v>
      </c>
      <c r="W334">
        <f t="shared" si="260"/>
        <v>0</v>
      </c>
      <c r="X334">
        <f t="shared" si="261"/>
        <v>0</v>
      </c>
      <c r="Y334">
        <f t="shared" si="262"/>
        <v>0</v>
      </c>
      <c r="Z334">
        <f t="shared" si="263"/>
        <v>0</v>
      </c>
      <c r="AA334">
        <f t="shared" si="264"/>
        <v>0</v>
      </c>
      <c r="AB334">
        <f t="shared" si="265"/>
        <v>0</v>
      </c>
      <c r="AC334">
        <f t="shared" si="266"/>
        <v>0</v>
      </c>
      <c r="AD334">
        <f t="shared" si="267"/>
        <v>0</v>
      </c>
      <c r="AE334">
        <f t="shared" si="268"/>
        <v>0</v>
      </c>
      <c r="AF334">
        <f t="shared" si="269"/>
        <v>0</v>
      </c>
      <c r="AG334">
        <f t="shared" si="270"/>
        <v>0</v>
      </c>
      <c r="AH334">
        <f t="shared" si="271"/>
        <v>0</v>
      </c>
      <c r="AI334">
        <f t="shared" si="272"/>
        <v>0</v>
      </c>
      <c r="AJ334">
        <f t="shared" si="273"/>
        <v>0</v>
      </c>
      <c r="AK334">
        <f t="shared" si="274"/>
        <v>0</v>
      </c>
      <c r="AL334">
        <f t="shared" si="275"/>
        <v>0</v>
      </c>
      <c r="AM334">
        <f t="shared" si="276"/>
        <v>0</v>
      </c>
      <c r="AN334">
        <f t="shared" si="277"/>
        <v>0</v>
      </c>
      <c r="AO334">
        <f t="shared" si="278"/>
        <v>0</v>
      </c>
      <c r="AP334">
        <f t="shared" si="279"/>
        <v>0</v>
      </c>
      <c r="AQ334">
        <f t="shared" si="280"/>
        <v>0</v>
      </c>
      <c r="AR334">
        <f t="shared" si="281"/>
        <v>0</v>
      </c>
      <c r="AS334">
        <f t="shared" si="282"/>
        <v>0</v>
      </c>
      <c r="AT334">
        <f t="shared" si="283"/>
        <v>0</v>
      </c>
      <c r="AU334">
        <f t="shared" si="284"/>
        <v>0</v>
      </c>
      <c r="AV334">
        <f t="shared" si="285"/>
        <v>0</v>
      </c>
      <c r="AW334">
        <f t="shared" si="240"/>
        <v>0</v>
      </c>
      <c r="AX334">
        <f t="shared" si="286"/>
        <v>0</v>
      </c>
      <c r="AY334">
        <f t="shared" si="287"/>
        <v>0</v>
      </c>
    </row>
    <row r="335" spans="1:51" x14ac:dyDescent="0.35">
      <c r="A335">
        <v>329</v>
      </c>
      <c r="C335">
        <f>MAX(0,Calc!$C$7-SUM(D335:R335))</f>
        <v>750</v>
      </c>
      <c r="D335">
        <f t="shared" si="241"/>
        <v>0</v>
      </c>
      <c r="E335">
        <f t="shared" si="242"/>
        <v>0</v>
      </c>
      <c r="F335">
        <f t="shared" si="243"/>
        <v>0</v>
      </c>
      <c r="G335">
        <f t="shared" si="244"/>
        <v>0</v>
      </c>
      <c r="H335">
        <f t="shared" si="245"/>
        <v>0</v>
      </c>
      <c r="I335">
        <f t="shared" si="246"/>
        <v>0</v>
      </c>
      <c r="J335">
        <f t="shared" si="247"/>
        <v>0</v>
      </c>
      <c r="K335">
        <f t="shared" si="248"/>
        <v>0</v>
      </c>
      <c r="L335">
        <f t="shared" si="249"/>
        <v>0</v>
      </c>
      <c r="M335">
        <f t="shared" si="250"/>
        <v>0</v>
      </c>
      <c r="N335">
        <f t="shared" si="251"/>
        <v>0</v>
      </c>
      <c r="O335">
        <f t="shared" si="252"/>
        <v>0</v>
      </c>
      <c r="P335">
        <f t="shared" si="253"/>
        <v>0</v>
      </c>
      <c r="Q335">
        <f t="shared" si="254"/>
        <v>0</v>
      </c>
      <c r="R335">
        <f t="shared" si="255"/>
        <v>0</v>
      </c>
      <c r="S335">
        <f t="shared" si="256"/>
        <v>0</v>
      </c>
      <c r="T335">
        <f t="shared" si="257"/>
        <v>0</v>
      </c>
      <c r="U335">
        <f t="shared" si="258"/>
        <v>0</v>
      </c>
      <c r="V335">
        <f t="shared" si="259"/>
        <v>0</v>
      </c>
      <c r="W335">
        <f t="shared" si="260"/>
        <v>0</v>
      </c>
      <c r="X335">
        <f t="shared" si="261"/>
        <v>0</v>
      </c>
      <c r="Y335">
        <f t="shared" si="262"/>
        <v>0</v>
      </c>
      <c r="Z335">
        <f t="shared" si="263"/>
        <v>0</v>
      </c>
      <c r="AA335">
        <f t="shared" si="264"/>
        <v>0</v>
      </c>
      <c r="AB335">
        <f t="shared" si="265"/>
        <v>0</v>
      </c>
      <c r="AC335">
        <f t="shared" si="266"/>
        <v>0</v>
      </c>
      <c r="AD335">
        <f t="shared" si="267"/>
        <v>0</v>
      </c>
      <c r="AE335">
        <f t="shared" si="268"/>
        <v>0</v>
      </c>
      <c r="AF335">
        <f t="shared" si="269"/>
        <v>0</v>
      </c>
      <c r="AG335">
        <f t="shared" si="270"/>
        <v>0</v>
      </c>
      <c r="AH335">
        <f t="shared" si="271"/>
        <v>0</v>
      </c>
      <c r="AI335">
        <f t="shared" si="272"/>
        <v>0</v>
      </c>
      <c r="AJ335">
        <f t="shared" si="273"/>
        <v>0</v>
      </c>
      <c r="AK335">
        <f t="shared" si="274"/>
        <v>0</v>
      </c>
      <c r="AL335">
        <f t="shared" si="275"/>
        <v>0</v>
      </c>
      <c r="AM335">
        <f t="shared" si="276"/>
        <v>0</v>
      </c>
      <c r="AN335">
        <f t="shared" si="277"/>
        <v>0</v>
      </c>
      <c r="AO335">
        <f t="shared" si="278"/>
        <v>0</v>
      </c>
      <c r="AP335">
        <f t="shared" si="279"/>
        <v>0</v>
      </c>
      <c r="AQ335">
        <f t="shared" si="280"/>
        <v>0</v>
      </c>
      <c r="AR335">
        <f t="shared" si="281"/>
        <v>0</v>
      </c>
      <c r="AS335">
        <f t="shared" si="282"/>
        <v>0</v>
      </c>
      <c r="AT335">
        <f t="shared" si="283"/>
        <v>0</v>
      </c>
      <c r="AU335">
        <f t="shared" si="284"/>
        <v>0</v>
      </c>
      <c r="AV335">
        <f t="shared" si="285"/>
        <v>0</v>
      </c>
      <c r="AW335">
        <f t="shared" si="240"/>
        <v>0</v>
      </c>
      <c r="AX335">
        <f t="shared" si="286"/>
        <v>0</v>
      </c>
      <c r="AY335">
        <f t="shared" si="287"/>
        <v>0</v>
      </c>
    </row>
    <row r="336" spans="1:51" x14ac:dyDescent="0.35">
      <c r="A336">
        <v>330</v>
      </c>
      <c r="C336">
        <f>MAX(0,Calc!$C$7-SUM(D336:R336))</f>
        <v>750</v>
      </c>
      <c r="D336">
        <f t="shared" si="241"/>
        <v>0</v>
      </c>
      <c r="E336">
        <f t="shared" si="242"/>
        <v>0</v>
      </c>
      <c r="F336">
        <f t="shared" si="243"/>
        <v>0</v>
      </c>
      <c r="G336">
        <f t="shared" si="244"/>
        <v>0</v>
      </c>
      <c r="H336">
        <f t="shared" si="245"/>
        <v>0</v>
      </c>
      <c r="I336">
        <f t="shared" si="246"/>
        <v>0</v>
      </c>
      <c r="J336">
        <f t="shared" si="247"/>
        <v>0</v>
      </c>
      <c r="K336">
        <f t="shared" si="248"/>
        <v>0</v>
      </c>
      <c r="L336">
        <f t="shared" si="249"/>
        <v>0</v>
      </c>
      <c r="M336">
        <f t="shared" si="250"/>
        <v>0</v>
      </c>
      <c r="N336">
        <f t="shared" si="251"/>
        <v>0</v>
      </c>
      <c r="O336">
        <f t="shared" si="252"/>
        <v>0</v>
      </c>
      <c r="P336">
        <f t="shared" si="253"/>
        <v>0</v>
      </c>
      <c r="Q336">
        <f t="shared" si="254"/>
        <v>0</v>
      </c>
      <c r="R336">
        <f t="shared" si="255"/>
        <v>0</v>
      </c>
      <c r="S336">
        <f t="shared" si="256"/>
        <v>0</v>
      </c>
      <c r="T336">
        <f t="shared" si="257"/>
        <v>0</v>
      </c>
      <c r="U336">
        <f t="shared" si="258"/>
        <v>0</v>
      </c>
      <c r="V336">
        <f t="shared" si="259"/>
        <v>0</v>
      </c>
      <c r="W336">
        <f t="shared" si="260"/>
        <v>0</v>
      </c>
      <c r="X336">
        <f t="shared" si="261"/>
        <v>0</v>
      </c>
      <c r="Y336">
        <f t="shared" si="262"/>
        <v>0</v>
      </c>
      <c r="Z336">
        <f t="shared" si="263"/>
        <v>0</v>
      </c>
      <c r="AA336">
        <f t="shared" si="264"/>
        <v>0</v>
      </c>
      <c r="AB336">
        <f t="shared" si="265"/>
        <v>0</v>
      </c>
      <c r="AC336">
        <f t="shared" si="266"/>
        <v>0</v>
      </c>
      <c r="AD336">
        <f t="shared" si="267"/>
        <v>0</v>
      </c>
      <c r="AE336">
        <f t="shared" si="268"/>
        <v>0</v>
      </c>
      <c r="AF336">
        <f t="shared" si="269"/>
        <v>0</v>
      </c>
      <c r="AG336">
        <f t="shared" si="270"/>
        <v>0</v>
      </c>
      <c r="AH336">
        <f t="shared" si="271"/>
        <v>0</v>
      </c>
      <c r="AI336">
        <f t="shared" si="272"/>
        <v>0</v>
      </c>
      <c r="AJ336">
        <f t="shared" si="273"/>
        <v>0</v>
      </c>
      <c r="AK336">
        <f t="shared" si="274"/>
        <v>0</v>
      </c>
      <c r="AL336">
        <f t="shared" si="275"/>
        <v>0</v>
      </c>
      <c r="AM336">
        <f t="shared" si="276"/>
        <v>0</v>
      </c>
      <c r="AN336">
        <f t="shared" si="277"/>
        <v>0</v>
      </c>
      <c r="AO336">
        <f t="shared" si="278"/>
        <v>0</v>
      </c>
      <c r="AP336">
        <f t="shared" si="279"/>
        <v>0</v>
      </c>
      <c r="AQ336">
        <f t="shared" si="280"/>
        <v>0</v>
      </c>
      <c r="AR336">
        <f t="shared" si="281"/>
        <v>0</v>
      </c>
      <c r="AS336">
        <f t="shared" si="282"/>
        <v>0</v>
      </c>
      <c r="AT336">
        <f t="shared" si="283"/>
        <v>0</v>
      </c>
      <c r="AU336">
        <f t="shared" si="284"/>
        <v>0</v>
      </c>
      <c r="AV336">
        <f t="shared" si="285"/>
        <v>0</v>
      </c>
      <c r="AW336">
        <f t="shared" si="240"/>
        <v>0</v>
      </c>
      <c r="AX336">
        <f t="shared" si="286"/>
        <v>0</v>
      </c>
      <c r="AY336">
        <f t="shared" si="287"/>
        <v>0</v>
      </c>
    </row>
    <row r="337" spans="1:51" x14ac:dyDescent="0.35">
      <c r="A337">
        <v>331</v>
      </c>
      <c r="C337">
        <f>MAX(0,Calc!$C$7-SUM(D337:R337))</f>
        <v>750</v>
      </c>
      <c r="D337">
        <f t="shared" si="241"/>
        <v>0</v>
      </c>
      <c r="E337">
        <f t="shared" si="242"/>
        <v>0</v>
      </c>
      <c r="F337">
        <f t="shared" si="243"/>
        <v>0</v>
      </c>
      <c r="G337">
        <f t="shared" si="244"/>
        <v>0</v>
      </c>
      <c r="H337">
        <f t="shared" si="245"/>
        <v>0</v>
      </c>
      <c r="I337">
        <f t="shared" si="246"/>
        <v>0</v>
      </c>
      <c r="J337">
        <f t="shared" si="247"/>
        <v>0</v>
      </c>
      <c r="K337">
        <f t="shared" si="248"/>
        <v>0</v>
      </c>
      <c r="L337">
        <f t="shared" si="249"/>
        <v>0</v>
      </c>
      <c r="M337">
        <f t="shared" si="250"/>
        <v>0</v>
      </c>
      <c r="N337">
        <f t="shared" si="251"/>
        <v>0</v>
      </c>
      <c r="O337">
        <f t="shared" si="252"/>
        <v>0</v>
      </c>
      <c r="P337">
        <f t="shared" si="253"/>
        <v>0</v>
      </c>
      <c r="Q337">
        <f t="shared" si="254"/>
        <v>0</v>
      </c>
      <c r="R337">
        <f t="shared" si="255"/>
        <v>0</v>
      </c>
      <c r="S337">
        <f t="shared" si="256"/>
        <v>0</v>
      </c>
      <c r="T337">
        <f t="shared" si="257"/>
        <v>0</v>
      </c>
      <c r="U337">
        <f t="shared" si="258"/>
        <v>0</v>
      </c>
      <c r="V337">
        <f t="shared" si="259"/>
        <v>0</v>
      </c>
      <c r="W337">
        <f t="shared" si="260"/>
        <v>0</v>
      </c>
      <c r="X337">
        <f t="shared" si="261"/>
        <v>0</v>
      </c>
      <c r="Y337">
        <f t="shared" si="262"/>
        <v>0</v>
      </c>
      <c r="Z337">
        <f t="shared" si="263"/>
        <v>0</v>
      </c>
      <c r="AA337">
        <f t="shared" si="264"/>
        <v>0</v>
      </c>
      <c r="AB337">
        <f t="shared" si="265"/>
        <v>0</v>
      </c>
      <c r="AC337">
        <f t="shared" si="266"/>
        <v>0</v>
      </c>
      <c r="AD337">
        <f t="shared" si="267"/>
        <v>0</v>
      </c>
      <c r="AE337">
        <f t="shared" si="268"/>
        <v>0</v>
      </c>
      <c r="AF337">
        <f t="shared" si="269"/>
        <v>0</v>
      </c>
      <c r="AG337">
        <f t="shared" si="270"/>
        <v>0</v>
      </c>
      <c r="AH337">
        <f t="shared" si="271"/>
        <v>0</v>
      </c>
      <c r="AI337">
        <f t="shared" si="272"/>
        <v>0</v>
      </c>
      <c r="AJ337">
        <f t="shared" si="273"/>
        <v>0</v>
      </c>
      <c r="AK337">
        <f t="shared" si="274"/>
        <v>0</v>
      </c>
      <c r="AL337">
        <f t="shared" si="275"/>
        <v>0</v>
      </c>
      <c r="AM337">
        <f t="shared" si="276"/>
        <v>0</v>
      </c>
      <c r="AN337">
        <f t="shared" si="277"/>
        <v>0</v>
      </c>
      <c r="AO337">
        <f t="shared" si="278"/>
        <v>0</v>
      </c>
      <c r="AP337">
        <f t="shared" si="279"/>
        <v>0</v>
      </c>
      <c r="AQ337">
        <f t="shared" si="280"/>
        <v>0</v>
      </c>
      <c r="AR337">
        <f t="shared" si="281"/>
        <v>0</v>
      </c>
      <c r="AS337">
        <f t="shared" si="282"/>
        <v>0</v>
      </c>
      <c r="AT337">
        <f t="shared" si="283"/>
        <v>0</v>
      </c>
      <c r="AU337">
        <f t="shared" si="284"/>
        <v>0</v>
      </c>
      <c r="AV337">
        <f t="shared" si="285"/>
        <v>0</v>
      </c>
      <c r="AW337">
        <f t="shared" si="240"/>
        <v>0</v>
      </c>
      <c r="AX337">
        <f t="shared" si="286"/>
        <v>0</v>
      </c>
      <c r="AY337">
        <f t="shared" si="287"/>
        <v>0</v>
      </c>
    </row>
    <row r="338" spans="1:51" x14ac:dyDescent="0.35">
      <c r="A338">
        <v>332</v>
      </c>
      <c r="C338">
        <f>MAX(0,Calc!$C$7-SUM(D338:R338))</f>
        <v>750</v>
      </c>
      <c r="D338">
        <f t="shared" si="241"/>
        <v>0</v>
      </c>
      <c r="E338">
        <f t="shared" si="242"/>
        <v>0</v>
      </c>
      <c r="F338">
        <f t="shared" si="243"/>
        <v>0</v>
      </c>
      <c r="G338">
        <f t="shared" si="244"/>
        <v>0</v>
      </c>
      <c r="H338">
        <f t="shared" si="245"/>
        <v>0</v>
      </c>
      <c r="I338">
        <f t="shared" si="246"/>
        <v>0</v>
      </c>
      <c r="J338">
        <f t="shared" si="247"/>
        <v>0</v>
      </c>
      <c r="K338">
        <f t="shared" si="248"/>
        <v>0</v>
      </c>
      <c r="L338">
        <f t="shared" si="249"/>
        <v>0</v>
      </c>
      <c r="M338">
        <f t="shared" si="250"/>
        <v>0</v>
      </c>
      <c r="N338">
        <f t="shared" si="251"/>
        <v>0</v>
      </c>
      <c r="O338">
        <f t="shared" si="252"/>
        <v>0</v>
      </c>
      <c r="P338">
        <f t="shared" si="253"/>
        <v>0</v>
      </c>
      <c r="Q338">
        <f t="shared" si="254"/>
        <v>0</v>
      </c>
      <c r="R338">
        <f t="shared" si="255"/>
        <v>0</v>
      </c>
      <c r="S338">
        <f t="shared" si="256"/>
        <v>0</v>
      </c>
      <c r="T338">
        <f t="shared" si="257"/>
        <v>0</v>
      </c>
      <c r="U338">
        <f t="shared" si="258"/>
        <v>0</v>
      </c>
      <c r="V338">
        <f t="shared" si="259"/>
        <v>0</v>
      </c>
      <c r="W338">
        <f t="shared" si="260"/>
        <v>0</v>
      </c>
      <c r="X338">
        <f t="shared" si="261"/>
        <v>0</v>
      </c>
      <c r="Y338">
        <f t="shared" si="262"/>
        <v>0</v>
      </c>
      <c r="Z338">
        <f t="shared" si="263"/>
        <v>0</v>
      </c>
      <c r="AA338">
        <f t="shared" si="264"/>
        <v>0</v>
      </c>
      <c r="AB338">
        <f t="shared" si="265"/>
        <v>0</v>
      </c>
      <c r="AC338">
        <f t="shared" si="266"/>
        <v>0</v>
      </c>
      <c r="AD338">
        <f t="shared" si="267"/>
        <v>0</v>
      </c>
      <c r="AE338">
        <f t="shared" si="268"/>
        <v>0</v>
      </c>
      <c r="AF338">
        <f t="shared" si="269"/>
        <v>0</v>
      </c>
      <c r="AG338">
        <f t="shared" si="270"/>
        <v>0</v>
      </c>
      <c r="AH338">
        <f t="shared" si="271"/>
        <v>0</v>
      </c>
      <c r="AI338">
        <f t="shared" si="272"/>
        <v>0</v>
      </c>
      <c r="AJ338">
        <f t="shared" si="273"/>
        <v>0</v>
      </c>
      <c r="AK338">
        <f t="shared" si="274"/>
        <v>0</v>
      </c>
      <c r="AL338">
        <f t="shared" si="275"/>
        <v>0</v>
      </c>
      <c r="AM338">
        <f t="shared" si="276"/>
        <v>0</v>
      </c>
      <c r="AN338">
        <f t="shared" si="277"/>
        <v>0</v>
      </c>
      <c r="AO338">
        <f t="shared" si="278"/>
        <v>0</v>
      </c>
      <c r="AP338">
        <f t="shared" si="279"/>
        <v>0</v>
      </c>
      <c r="AQ338">
        <f t="shared" si="280"/>
        <v>0</v>
      </c>
      <c r="AR338">
        <f t="shared" si="281"/>
        <v>0</v>
      </c>
      <c r="AS338">
        <f t="shared" si="282"/>
        <v>0</v>
      </c>
      <c r="AT338">
        <f t="shared" si="283"/>
        <v>0</v>
      </c>
      <c r="AU338">
        <f t="shared" si="284"/>
        <v>0</v>
      </c>
      <c r="AV338">
        <f t="shared" si="285"/>
        <v>0</v>
      </c>
      <c r="AW338">
        <f t="shared" si="240"/>
        <v>0</v>
      </c>
      <c r="AX338">
        <f t="shared" si="286"/>
        <v>0</v>
      </c>
      <c r="AY338">
        <f t="shared" si="287"/>
        <v>0</v>
      </c>
    </row>
    <row r="339" spans="1:51" x14ac:dyDescent="0.35">
      <c r="A339">
        <v>333</v>
      </c>
      <c r="C339">
        <f>MAX(0,Calc!$C$7-SUM(D339:R339))</f>
        <v>750</v>
      </c>
      <c r="D339">
        <f t="shared" si="241"/>
        <v>0</v>
      </c>
      <c r="E339">
        <f t="shared" si="242"/>
        <v>0</v>
      </c>
      <c r="F339">
        <f t="shared" si="243"/>
        <v>0</v>
      </c>
      <c r="G339">
        <f t="shared" si="244"/>
        <v>0</v>
      </c>
      <c r="H339">
        <f t="shared" si="245"/>
        <v>0</v>
      </c>
      <c r="I339">
        <f t="shared" si="246"/>
        <v>0</v>
      </c>
      <c r="J339">
        <f t="shared" si="247"/>
        <v>0</v>
      </c>
      <c r="K339">
        <f t="shared" si="248"/>
        <v>0</v>
      </c>
      <c r="L339">
        <f t="shared" si="249"/>
        <v>0</v>
      </c>
      <c r="M339">
        <f t="shared" si="250"/>
        <v>0</v>
      </c>
      <c r="N339">
        <f t="shared" si="251"/>
        <v>0</v>
      </c>
      <c r="O339">
        <f t="shared" si="252"/>
        <v>0</v>
      </c>
      <c r="P339">
        <f t="shared" si="253"/>
        <v>0</v>
      </c>
      <c r="Q339">
        <f t="shared" si="254"/>
        <v>0</v>
      </c>
      <c r="R339">
        <f t="shared" si="255"/>
        <v>0</v>
      </c>
      <c r="S339">
        <f t="shared" si="256"/>
        <v>0</v>
      </c>
      <c r="T339">
        <f t="shared" si="257"/>
        <v>0</v>
      </c>
      <c r="U339">
        <f t="shared" si="258"/>
        <v>0</v>
      </c>
      <c r="V339">
        <f t="shared" si="259"/>
        <v>0</v>
      </c>
      <c r="W339">
        <f t="shared" si="260"/>
        <v>0</v>
      </c>
      <c r="X339">
        <f t="shared" si="261"/>
        <v>0</v>
      </c>
      <c r="Y339">
        <f t="shared" si="262"/>
        <v>0</v>
      </c>
      <c r="Z339">
        <f t="shared" si="263"/>
        <v>0</v>
      </c>
      <c r="AA339">
        <f t="shared" si="264"/>
        <v>0</v>
      </c>
      <c r="AB339">
        <f t="shared" si="265"/>
        <v>0</v>
      </c>
      <c r="AC339">
        <f t="shared" si="266"/>
        <v>0</v>
      </c>
      <c r="AD339">
        <f t="shared" si="267"/>
        <v>0</v>
      </c>
      <c r="AE339">
        <f t="shared" si="268"/>
        <v>0</v>
      </c>
      <c r="AF339">
        <f t="shared" si="269"/>
        <v>0</v>
      </c>
      <c r="AG339">
        <f t="shared" si="270"/>
        <v>0</v>
      </c>
      <c r="AH339">
        <f t="shared" si="271"/>
        <v>0</v>
      </c>
      <c r="AI339">
        <f t="shared" si="272"/>
        <v>0</v>
      </c>
      <c r="AJ339">
        <f t="shared" si="273"/>
        <v>0</v>
      </c>
      <c r="AK339">
        <f t="shared" si="274"/>
        <v>0</v>
      </c>
      <c r="AL339">
        <f t="shared" si="275"/>
        <v>0</v>
      </c>
      <c r="AM339">
        <f t="shared" si="276"/>
        <v>0</v>
      </c>
      <c r="AN339">
        <f t="shared" si="277"/>
        <v>0</v>
      </c>
      <c r="AO339">
        <f t="shared" si="278"/>
        <v>0</v>
      </c>
      <c r="AP339">
        <f t="shared" si="279"/>
        <v>0</v>
      </c>
      <c r="AQ339">
        <f t="shared" si="280"/>
        <v>0</v>
      </c>
      <c r="AR339">
        <f t="shared" si="281"/>
        <v>0</v>
      </c>
      <c r="AS339">
        <f t="shared" si="282"/>
        <v>0</v>
      </c>
      <c r="AT339">
        <f t="shared" si="283"/>
        <v>0</v>
      </c>
      <c r="AU339">
        <f t="shared" si="284"/>
        <v>0</v>
      </c>
      <c r="AV339">
        <f t="shared" si="285"/>
        <v>0</v>
      </c>
      <c r="AW339">
        <f t="shared" si="240"/>
        <v>0</v>
      </c>
      <c r="AX339">
        <f t="shared" si="286"/>
        <v>0</v>
      </c>
      <c r="AY339">
        <f t="shared" si="287"/>
        <v>0</v>
      </c>
    </row>
    <row r="340" spans="1:51" x14ac:dyDescent="0.35">
      <c r="A340">
        <v>334</v>
      </c>
      <c r="C340">
        <f>MAX(0,Calc!$C$7-SUM(D340:R340))</f>
        <v>750</v>
      </c>
      <c r="D340">
        <f t="shared" si="241"/>
        <v>0</v>
      </c>
      <c r="E340">
        <f t="shared" si="242"/>
        <v>0</v>
      </c>
      <c r="F340">
        <f t="shared" si="243"/>
        <v>0</v>
      </c>
      <c r="G340">
        <f t="shared" si="244"/>
        <v>0</v>
      </c>
      <c r="H340">
        <f t="shared" si="245"/>
        <v>0</v>
      </c>
      <c r="I340">
        <f t="shared" si="246"/>
        <v>0</v>
      </c>
      <c r="J340">
        <f t="shared" si="247"/>
        <v>0</v>
      </c>
      <c r="K340">
        <f t="shared" si="248"/>
        <v>0</v>
      </c>
      <c r="L340">
        <f t="shared" si="249"/>
        <v>0</v>
      </c>
      <c r="M340">
        <f t="shared" si="250"/>
        <v>0</v>
      </c>
      <c r="N340">
        <f t="shared" si="251"/>
        <v>0</v>
      </c>
      <c r="O340">
        <f t="shared" si="252"/>
        <v>0</v>
      </c>
      <c r="P340">
        <f t="shared" si="253"/>
        <v>0</v>
      </c>
      <c r="Q340">
        <f t="shared" si="254"/>
        <v>0</v>
      </c>
      <c r="R340">
        <f t="shared" si="255"/>
        <v>0</v>
      </c>
      <c r="S340">
        <f t="shared" si="256"/>
        <v>0</v>
      </c>
      <c r="T340">
        <f t="shared" si="257"/>
        <v>0</v>
      </c>
      <c r="U340">
        <f t="shared" si="258"/>
        <v>0</v>
      </c>
      <c r="V340">
        <f t="shared" si="259"/>
        <v>0</v>
      </c>
      <c r="W340">
        <f t="shared" si="260"/>
        <v>0</v>
      </c>
      <c r="X340">
        <f t="shared" si="261"/>
        <v>0</v>
      </c>
      <c r="Y340">
        <f t="shared" si="262"/>
        <v>0</v>
      </c>
      <c r="Z340">
        <f t="shared" si="263"/>
        <v>0</v>
      </c>
      <c r="AA340">
        <f t="shared" si="264"/>
        <v>0</v>
      </c>
      <c r="AB340">
        <f t="shared" si="265"/>
        <v>0</v>
      </c>
      <c r="AC340">
        <f t="shared" si="266"/>
        <v>0</v>
      </c>
      <c r="AD340">
        <f t="shared" si="267"/>
        <v>0</v>
      </c>
      <c r="AE340">
        <f t="shared" si="268"/>
        <v>0</v>
      </c>
      <c r="AF340">
        <f t="shared" si="269"/>
        <v>0</v>
      </c>
      <c r="AG340">
        <f t="shared" si="270"/>
        <v>0</v>
      </c>
      <c r="AH340">
        <f t="shared" si="271"/>
        <v>0</v>
      </c>
      <c r="AI340">
        <f t="shared" si="272"/>
        <v>0</v>
      </c>
      <c r="AJ340">
        <f t="shared" si="273"/>
        <v>0</v>
      </c>
      <c r="AK340">
        <f t="shared" si="274"/>
        <v>0</v>
      </c>
      <c r="AL340">
        <f t="shared" si="275"/>
        <v>0</v>
      </c>
      <c r="AM340">
        <f t="shared" si="276"/>
        <v>0</v>
      </c>
      <c r="AN340">
        <f t="shared" si="277"/>
        <v>0</v>
      </c>
      <c r="AO340">
        <f t="shared" si="278"/>
        <v>0</v>
      </c>
      <c r="AP340">
        <f t="shared" si="279"/>
        <v>0</v>
      </c>
      <c r="AQ340">
        <f t="shared" si="280"/>
        <v>0</v>
      </c>
      <c r="AR340">
        <f t="shared" si="281"/>
        <v>0</v>
      </c>
      <c r="AS340">
        <f t="shared" si="282"/>
        <v>0</v>
      </c>
      <c r="AT340">
        <f t="shared" si="283"/>
        <v>0</v>
      </c>
      <c r="AU340">
        <f t="shared" si="284"/>
        <v>0</v>
      </c>
      <c r="AV340">
        <f t="shared" si="285"/>
        <v>0</v>
      </c>
      <c r="AW340">
        <f t="shared" si="240"/>
        <v>0</v>
      </c>
      <c r="AX340">
        <f t="shared" si="286"/>
        <v>0</v>
      </c>
      <c r="AY340">
        <f t="shared" si="287"/>
        <v>0</v>
      </c>
    </row>
    <row r="341" spans="1:51" x14ac:dyDescent="0.35">
      <c r="A341">
        <v>335</v>
      </c>
      <c r="C341">
        <f>MAX(0,Calc!$C$7-SUM(D341:R341))</f>
        <v>750</v>
      </c>
      <c r="D341">
        <f t="shared" si="241"/>
        <v>0</v>
      </c>
      <c r="E341">
        <f t="shared" si="242"/>
        <v>0</v>
      </c>
      <c r="F341">
        <f t="shared" si="243"/>
        <v>0</v>
      </c>
      <c r="G341">
        <f t="shared" si="244"/>
        <v>0</v>
      </c>
      <c r="H341">
        <f t="shared" si="245"/>
        <v>0</v>
      </c>
      <c r="I341">
        <f t="shared" si="246"/>
        <v>0</v>
      </c>
      <c r="J341">
        <f t="shared" si="247"/>
        <v>0</v>
      </c>
      <c r="K341">
        <f t="shared" si="248"/>
        <v>0</v>
      </c>
      <c r="L341">
        <f t="shared" si="249"/>
        <v>0</v>
      </c>
      <c r="M341">
        <f t="shared" si="250"/>
        <v>0</v>
      </c>
      <c r="N341">
        <f t="shared" si="251"/>
        <v>0</v>
      </c>
      <c r="O341">
        <f t="shared" si="252"/>
        <v>0</v>
      </c>
      <c r="P341">
        <f t="shared" si="253"/>
        <v>0</v>
      </c>
      <c r="Q341">
        <f t="shared" si="254"/>
        <v>0</v>
      </c>
      <c r="R341">
        <f t="shared" si="255"/>
        <v>0</v>
      </c>
      <c r="S341">
        <f t="shared" si="256"/>
        <v>0</v>
      </c>
      <c r="T341">
        <f t="shared" si="257"/>
        <v>0</v>
      </c>
      <c r="U341">
        <f t="shared" si="258"/>
        <v>0</v>
      </c>
      <c r="V341">
        <f t="shared" si="259"/>
        <v>0</v>
      </c>
      <c r="W341">
        <f t="shared" si="260"/>
        <v>0</v>
      </c>
      <c r="X341">
        <f t="shared" si="261"/>
        <v>0</v>
      </c>
      <c r="Y341">
        <f t="shared" si="262"/>
        <v>0</v>
      </c>
      <c r="Z341">
        <f t="shared" si="263"/>
        <v>0</v>
      </c>
      <c r="AA341">
        <f t="shared" si="264"/>
        <v>0</v>
      </c>
      <c r="AB341">
        <f t="shared" si="265"/>
        <v>0</v>
      </c>
      <c r="AC341">
        <f t="shared" si="266"/>
        <v>0</v>
      </c>
      <c r="AD341">
        <f t="shared" si="267"/>
        <v>0</v>
      </c>
      <c r="AE341">
        <f t="shared" si="268"/>
        <v>0</v>
      </c>
      <c r="AF341">
        <f t="shared" si="269"/>
        <v>0</v>
      </c>
      <c r="AG341">
        <f t="shared" si="270"/>
        <v>0</v>
      </c>
      <c r="AH341">
        <f t="shared" si="271"/>
        <v>0</v>
      </c>
      <c r="AI341">
        <f t="shared" si="272"/>
        <v>0</v>
      </c>
      <c r="AJ341">
        <f t="shared" si="273"/>
        <v>0</v>
      </c>
      <c r="AK341">
        <f t="shared" si="274"/>
        <v>0</v>
      </c>
      <c r="AL341">
        <f t="shared" si="275"/>
        <v>0</v>
      </c>
      <c r="AM341">
        <f t="shared" si="276"/>
        <v>0</v>
      </c>
      <c r="AN341">
        <f t="shared" si="277"/>
        <v>0</v>
      </c>
      <c r="AO341">
        <f t="shared" si="278"/>
        <v>0</v>
      </c>
      <c r="AP341">
        <f t="shared" si="279"/>
        <v>0</v>
      </c>
      <c r="AQ341">
        <f t="shared" si="280"/>
        <v>0</v>
      </c>
      <c r="AR341">
        <f t="shared" si="281"/>
        <v>0</v>
      </c>
      <c r="AS341">
        <f t="shared" si="282"/>
        <v>0</v>
      </c>
      <c r="AT341">
        <f t="shared" si="283"/>
        <v>0</v>
      </c>
      <c r="AU341">
        <f t="shared" si="284"/>
        <v>0</v>
      </c>
      <c r="AV341">
        <f t="shared" si="285"/>
        <v>0</v>
      </c>
      <c r="AW341">
        <f t="shared" si="240"/>
        <v>0</v>
      </c>
      <c r="AX341">
        <f t="shared" si="286"/>
        <v>0</v>
      </c>
      <c r="AY341">
        <f t="shared" si="287"/>
        <v>0</v>
      </c>
    </row>
    <row r="342" spans="1:51" x14ac:dyDescent="0.35">
      <c r="A342">
        <v>336</v>
      </c>
      <c r="C342">
        <f>MAX(0,Calc!$C$7-SUM(D342:R342))</f>
        <v>750</v>
      </c>
      <c r="D342">
        <f t="shared" si="241"/>
        <v>0</v>
      </c>
      <c r="E342">
        <f t="shared" si="242"/>
        <v>0</v>
      </c>
      <c r="F342">
        <f t="shared" si="243"/>
        <v>0</v>
      </c>
      <c r="G342">
        <f t="shared" si="244"/>
        <v>0</v>
      </c>
      <c r="H342">
        <f t="shared" si="245"/>
        <v>0</v>
      </c>
      <c r="I342">
        <f t="shared" si="246"/>
        <v>0</v>
      </c>
      <c r="J342">
        <f t="shared" si="247"/>
        <v>0</v>
      </c>
      <c r="K342">
        <f t="shared" si="248"/>
        <v>0</v>
      </c>
      <c r="L342">
        <f t="shared" si="249"/>
        <v>0</v>
      </c>
      <c r="M342">
        <f t="shared" si="250"/>
        <v>0</v>
      </c>
      <c r="N342">
        <f t="shared" si="251"/>
        <v>0</v>
      </c>
      <c r="O342">
        <f t="shared" si="252"/>
        <v>0</v>
      </c>
      <c r="P342">
        <f t="shared" si="253"/>
        <v>0</v>
      </c>
      <c r="Q342">
        <f t="shared" si="254"/>
        <v>0</v>
      </c>
      <c r="R342">
        <f t="shared" si="255"/>
        <v>0</v>
      </c>
      <c r="S342">
        <f t="shared" si="256"/>
        <v>0</v>
      </c>
      <c r="T342">
        <f t="shared" si="257"/>
        <v>0</v>
      </c>
      <c r="U342">
        <f t="shared" si="258"/>
        <v>0</v>
      </c>
      <c r="V342">
        <f t="shared" si="259"/>
        <v>0</v>
      </c>
      <c r="W342">
        <f t="shared" si="260"/>
        <v>0</v>
      </c>
      <c r="X342">
        <f t="shared" si="261"/>
        <v>0</v>
      </c>
      <c r="Y342">
        <f t="shared" si="262"/>
        <v>0</v>
      </c>
      <c r="Z342">
        <f t="shared" si="263"/>
        <v>0</v>
      </c>
      <c r="AA342">
        <f t="shared" si="264"/>
        <v>0</v>
      </c>
      <c r="AB342">
        <f t="shared" si="265"/>
        <v>0</v>
      </c>
      <c r="AC342">
        <f t="shared" si="266"/>
        <v>0</v>
      </c>
      <c r="AD342">
        <f t="shared" si="267"/>
        <v>0</v>
      </c>
      <c r="AE342">
        <f t="shared" si="268"/>
        <v>0</v>
      </c>
      <c r="AF342">
        <f t="shared" si="269"/>
        <v>0</v>
      </c>
      <c r="AG342">
        <f t="shared" si="270"/>
        <v>0</v>
      </c>
      <c r="AH342">
        <f t="shared" si="271"/>
        <v>0</v>
      </c>
      <c r="AI342">
        <f t="shared" si="272"/>
        <v>0</v>
      </c>
      <c r="AJ342">
        <f t="shared" si="273"/>
        <v>0</v>
      </c>
      <c r="AK342">
        <f t="shared" si="274"/>
        <v>0</v>
      </c>
      <c r="AL342">
        <f t="shared" si="275"/>
        <v>0</v>
      </c>
      <c r="AM342">
        <f t="shared" si="276"/>
        <v>0</v>
      </c>
      <c r="AN342">
        <f t="shared" si="277"/>
        <v>0</v>
      </c>
      <c r="AO342">
        <f t="shared" si="278"/>
        <v>0</v>
      </c>
      <c r="AP342">
        <f t="shared" si="279"/>
        <v>0</v>
      </c>
      <c r="AQ342">
        <f t="shared" si="280"/>
        <v>0</v>
      </c>
      <c r="AR342">
        <f t="shared" si="281"/>
        <v>0</v>
      </c>
      <c r="AS342">
        <f t="shared" si="282"/>
        <v>0</v>
      </c>
      <c r="AT342">
        <f t="shared" si="283"/>
        <v>0</v>
      </c>
      <c r="AU342">
        <f t="shared" si="284"/>
        <v>0</v>
      </c>
      <c r="AV342">
        <f t="shared" si="285"/>
        <v>0</v>
      </c>
      <c r="AW342">
        <f t="shared" si="240"/>
        <v>0</v>
      </c>
      <c r="AX342">
        <f t="shared" si="286"/>
        <v>0</v>
      </c>
      <c r="AY342">
        <f t="shared" si="287"/>
        <v>0</v>
      </c>
    </row>
    <row r="343" spans="1:51" x14ac:dyDescent="0.35">
      <c r="A343">
        <v>337</v>
      </c>
      <c r="C343">
        <f>MAX(0,Calc!$C$7-SUM(D343:R343))</f>
        <v>750</v>
      </c>
      <c r="D343">
        <f t="shared" si="241"/>
        <v>0</v>
      </c>
      <c r="E343">
        <f t="shared" si="242"/>
        <v>0</v>
      </c>
      <c r="F343">
        <f t="shared" si="243"/>
        <v>0</v>
      </c>
      <c r="G343">
        <f t="shared" si="244"/>
        <v>0</v>
      </c>
      <c r="H343">
        <f t="shared" si="245"/>
        <v>0</v>
      </c>
      <c r="I343">
        <f t="shared" si="246"/>
        <v>0</v>
      </c>
      <c r="J343">
        <f t="shared" si="247"/>
        <v>0</v>
      </c>
      <c r="K343">
        <f t="shared" si="248"/>
        <v>0</v>
      </c>
      <c r="L343">
        <f t="shared" si="249"/>
        <v>0</v>
      </c>
      <c r="M343">
        <f t="shared" si="250"/>
        <v>0</v>
      </c>
      <c r="N343">
        <f t="shared" si="251"/>
        <v>0</v>
      </c>
      <c r="O343">
        <f t="shared" si="252"/>
        <v>0</v>
      </c>
      <c r="P343">
        <f t="shared" si="253"/>
        <v>0</v>
      </c>
      <c r="Q343">
        <f t="shared" si="254"/>
        <v>0</v>
      </c>
      <c r="R343">
        <f t="shared" si="255"/>
        <v>0</v>
      </c>
      <c r="S343">
        <f t="shared" si="256"/>
        <v>0</v>
      </c>
      <c r="T343">
        <f t="shared" si="257"/>
        <v>0</v>
      </c>
      <c r="U343">
        <f t="shared" si="258"/>
        <v>0</v>
      </c>
      <c r="V343">
        <f t="shared" si="259"/>
        <v>0</v>
      </c>
      <c r="W343">
        <f t="shared" si="260"/>
        <v>0</v>
      </c>
      <c r="X343">
        <f t="shared" si="261"/>
        <v>0</v>
      </c>
      <c r="Y343">
        <f t="shared" si="262"/>
        <v>0</v>
      </c>
      <c r="Z343">
        <f t="shared" si="263"/>
        <v>0</v>
      </c>
      <c r="AA343">
        <f t="shared" si="264"/>
        <v>0</v>
      </c>
      <c r="AB343">
        <f t="shared" si="265"/>
        <v>0</v>
      </c>
      <c r="AC343">
        <f t="shared" si="266"/>
        <v>0</v>
      </c>
      <c r="AD343">
        <f t="shared" si="267"/>
        <v>0</v>
      </c>
      <c r="AE343">
        <f t="shared" si="268"/>
        <v>0</v>
      </c>
      <c r="AF343">
        <f t="shared" si="269"/>
        <v>0</v>
      </c>
      <c r="AG343">
        <f t="shared" si="270"/>
        <v>0</v>
      </c>
      <c r="AH343">
        <f t="shared" si="271"/>
        <v>0</v>
      </c>
      <c r="AI343">
        <f t="shared" si="272"/>
        <v>0</v>
      </c>
      <c r="AJ343">
        <f t="shared" si="273"/>
        <v>0</v>
      </c>
      <c r="AK343">
        <f t="shared" si="274"/>
        <v>0</v>
      </c>
      <c r="AL343">
        <f t="shared" si="275"/>
        <v>0</v>
      </c>
      <c r="AM343">
        <f t="shared" si="276"/>
        <v>0</v>
      </c>
      <c r="AN343">
        <f t="shared" si="277"/>
        <v>0</v>
      </c>
      <c r="AO343">
        <f t="shared" si="278"/>
        <v>0</v>
      </c>
      <c r="AP343">
        <f t="shared" si="279"/>
        <v>0</v>
      </c>
      <c r="AQ343">
        <f t="shared" si="280"/>
        <v>0</v>
      </c>
      <c r="AR343">
        <f t="shared" si="281"/>
        <v>0</v>
      </c>
      <c r="AS343">
        <f t="shared" si="282"/>
        <v>0</v>
      </c>
      <c r="AT343">
        <f t="shared" si="283"/>
        <v>0</v>
      </c>
      <c r="AU343">
        <f t="shared" si="284"/>
        <v>0</v>
      </c>
      <c r="AV343">
        <f t="shared" si="285"/>
        <v>0</v>
      </c>
      <c r="AW343">
        <f t="shared" si="240"/>
        <v>0</v>
      </c>
      <c r="AX343">
        <f t="shared" si="286"/>
        <v>0</v>
      </c>
      <c r="AY343">
        <f t="shared" si="287"/>
        <v>0</v>
      </c>
    </row>
    <row r="344" spans="1:51" x14ac:dyDescent="0.35">
      <c r="A344">
        <v>338</v>
      </c>
      <c r="C344">
        <f>MAX(0,Calc!$C$7-SUM(D344:R344))</f>
        <v>750</v>
      </c>
      <c r="D344">
        <f t="shared" si="241"/>
        <v>0</v>
      </c>
      <c r="E344">
        <f t="shared" si="242"/>
        <v>0</v>
      </c>
      <c r="F344">
        <f t="shared" si="243"/>
        <v>0</v>
      </c>
      <c r="G344">
        <f t="shared" si="244"/>
        <v>0</v>
      </c>
      <c r="H344">
        <f t="shared" si="245"/>
        <v>0</v>
      </c>
      <c r="I344">
        <f t="shared" si="246"/>
        <v>0</v>
      </c>
      <c r="J344">
        <f t="shared" si="247"/>
        <v>0</v>
      </c>
      <c r="K344">
        <f t="shared" si="248"/>
        <v>0</v>
      </c>
      <c r="L344">
        <f t="shared" si="249"/>
        <v>0</v>
      </c>
      <c r="M344">
        <f t="shared" si="250"/>
        <v>0</v>
      </c>
      <c r="N344">
        <f t="shared" si="251"/>
        <v>0</v>
      </c>
      <c r="O344">
        <f t="shared" si="252"/>
        <v>0</v>
      </c>
      <c r="P344">
        <f t="shared" si="253"/>
        <v>0</v>
      </c>
      <c r="Q344">
        <f t="shared" si="254"/>
        <v>0</v>
      </c>
      <c r="R344">
        <f t="shared" si="255"/>
        <v>0</v>
      </c>
      <c r="S344">
        <f t="shared" si="256"/>
        <v>0</v>
      </c>
      <c r="T344">
        <f t="shared" si="257"/>
        <v>0</v>
      </c>
      <c r="U344">
        <f t="shared" si="258"/>
        <v>0</v>
      </c>
      <c r="V344">
        <f t="shared" si="259"/>
        <v>0</v>
      </c>
      <c r="W344">
        <f t="shared" si="260"/>
        <v>0</v>
      </c>
      <c r="X344">
        <f t="shared" si="261"/>
        <v>0</v>
      </c>
      <c r="Y344">
        <f t="shared" si="262"/>
        <v>0</v>
      </c>
      <c r="Z344">
        <f t="shared" si="263"/>
        <v>0</v>
      </c>
      <c r="AA344">
        <f t="shared" si="264"/>
        <v>0</v>
      </c>
      <c r="AB344">
        <f t="shared" si="265"/>
        <v>0</v>
      </c>
      <c r="AC344">
        <f t="shared" si="266"/>
        <v>0</v>
      </c>
      <c r="AD344">
        <f t="shared" si="267"/>
        <v>0</v>
      </c>
      <c r="AE344">
        <f t="shared" si="268"/>
        <v>0</v>
      </c>
      <c r="AF344">
        <f t="shared" si="269"/>
        <v>0</v>
      </c>
      <c r="AG344">
        <f t="shared" si="270"/>
        <v>0</v>
      </c>
      <c r="AH344">
        <f t="shared" si="271"/>
        <v>0</v>
      </c>
      <c r="AI344">
        <f t="shared" si="272"/>
        <v>0</v>
      </c>
      <c r="AJ344">
        <f t="shared" si="273"/>
        <v>0</v>
      </c>
      <c r="AK344">
        <f t="shared" si="274"/>
        <v>0</v>
      </c>
      <c r="AL344">
        <f t="shared" si="275"/>
        <v>0</v>
      </c>
      <c r="AM344">
        <f t="shared" si="276"/>
        <v>0</v>
      </c>
      <c r="AN344">
        <f t="shared" si="277"/>
        <v>0</v>
      </c>
      <c r="AO344">
        <f t="shared" si="278"/>
        <v>0</v>
      </c>
      <c r="AP344">
        <f t="shared" si="279"/>
        <v>0</v>
      </c>
      <c r="AQ344">
        <f t="shared" si="280"/>
        <v>0</v>
      </c>
      <c r="AR344">
        <f t="shared" si="281"/>
        <v>0</v>
      </c>
      <c r="AS344">
        <f t="shared" si="282"/>
        <v>0</v>
      </c>
      <c r="AT344">
        <f t="shared" si="283"/>
        <v>0</v>
      </c>
      <c r="AU344">
        <f t="shared" si="284"/>
        <v>0</v>
      </c>
      <c r="AV344">
        <f t="shared" si="285"/>
        <v>0</v>
      </c>
      <c r="AW344">
        <f t="shared" si="240"/>
        <v>0</v>
      </c>
      <c r="AX344">
        <f t="shared" si="286"/>
        <v>0</v>
      </c>
      <c r="AY344">
        <f t="shared" si="287"/>
        <v>0</v>
      </c>
    </row>
    <row r="345" spans="1:51" x14ac:dyDescent="0.35">
      <c r="A345">
        <v>339</v>
      </c>
      <c r="C345">
        <f>MAX(0,Calc!$C$7-SUM(D345:R345))</f>
        <v>750</v>
      </c>
      <c r="D345">
        <f t="shared" si="241"/>
        <v>0</v>
      </c>
      <c r="E345">
        <f t="shared" si="242"/>
        <v>0</v>
      </c>
      <c r="F345">
        <f t="shared" si="243"/>
        <v>0</v>
      </c>
      <c r="G345">
        <f t="shared" si="244"/>
        <v>0</v>
      </c>
      <c r="H345">
        <f t="shared" si="245"/>
        <v>0</v>
      </c>
      <c r="I345">
        <f t="shared" si="246"/>
        <v>0</v>
      </c>
      <c r="J345">
        <f t="shared" si="247"/>
        <v>0</v>
      </c>
      <c r="K345">
        <f t="shared" si="248"/>
        <v>0</v>
      </c>
      <c r="L345">
        <f t="shared" si="249"/>
        <v>0</v>
      </c>
      <c r="M345">
        <f t="shared" si="250"/>
        <v>0</v>
      </c>
      <c r="N345">
        <f t="shared" si="251"/>
        <v>0</v>
      </c>
      <c r="O345">
        <f t="shared" si="252"/>
        <v>0</v>
      </c>
      <c r="P345">
        <f t="shared" si="253"/>
        <v>0</v>
      </c>
      <c r="Q345">
        <f t="shared" si="254"/>
        <v>0</v>
      </c>
      <c r="R345">
        <f t="shared" si="255"/>
        <v>0</v>
      </c>
      <c r="S345">
        <f t="shared" si="256"/>
        <v>0</v>
      </c>
      <c r="T345">
        <f t="shared" si="257"/>
        <v>0</v>
      </c>
      <c r="U345">
        <f t="shared" si="258"/>
        <v>0</v>
      </c>
      <c r="V345">
        <f t="shared" si="259"/>
        <v>0</v>
      </c>
      <c r="W345">
        <f t="shared" si="260"/>
        <v>0</v>
      </c>
      <c r="X345">
        <f t="shared" si="261"/>
        <v>0</v>
      </c>
      <c r="Y345">
        <f t="shared" si="262"/>
        <v>0</v>
      </c>
      <c r="Z345">
        <f t="shared" si="263"/>
        <v>0</v>
      </c>
      <c r="AA345">
        <f t="shared" si="264"/>
        <v>0</v>
      </c>
      <c r="AB345">
        <f t="shared" si="265"/>
        <v>0</v>
      </c>
      <c r="AC345">
        <f t="shared" si="266"/>
        <v>0</v>
      </c>
      <c r="AD345">
        <f t="shared" si="267"/>
        <v>0</v>
      </c>
      <c r="AE345">
        <f t="shared" si="268"/>
        <v>0</v>
      </c>
      <c r="AF345">
        <f t="shared" si="269"/>
        <v>0</v>
      </c>
      <c r="AG345">
        <f t="shared" si="270"/>
        <v>0</v>
      </c>
      <c r="AH345">
        <f t="shared" si="271"/>
        <v>0</v>
      </c>
      <c r="AI345">
        <f t="shared" si="272"/>
        <v>0</v>
      </c>
      <c r="AJ345">
        <f t="shared" si="273"/>
        <v>0</v>
      </c>
      <c r="AK345">
        <f t="shared" si="274"/>
        <v>0</v>
      </c>
      <c r="AL345">
        <f t="shared" si="275"/>
        <v>0</v>
      </c>
      <c r="AM345">
        <f t="shared" si="276"/>
        <v>0</v>
      </c>
      <c r="AN345">
        <f t="shared" si="277"/>
        <v>0</v>
      </c>
      <c r="AO345">
        <f t="shared" si="278"/>
        <v>0</v>
      </c>
      <c r="AP345">
        <f t="shared" si="279"/>
        <v>0</v>
      </c>
      <c r="AQ345">
        <f t="shared" si="280"/>
        <v>0</v>
      </c>
      <c r="AR345">
        <f t="shared" si="281"/>
        <v>0</v>
      </c>
      <c r="AS345">
        <f t="shared" si="282"/>
        <v>0</v>
      </c>
      <c r="AT345">
        <f t="shared" si="283"/>
        <v>0</v>
      </c>
      <c r="AU345">
        <f t="shared" si="284"/>
        <v>0</v>
      </c>
      <c r="AV345">
        <f t="shared" si="285"/>
        <v>0</v>
      </c>
      <c r="AW345">
        <f t="shared" si="240"/>
        <v>0</v>
      </c>
      <c r="AX345">
        <f t="shared" si="286"/>
        <v>0</v>
      </c>
      <c r="AY345">
        <f t="shared" si="287"/>
        <v>0</v>
      </c>
    </row>
    <row r="346" spans="1:51" x14ac:dyDescent="0.35">
      <c r="A346">
        <v>340</v>
      </c>
      <c r="C346">
        <f>MAX(0,Calc!$C$7-SUM(D346:R346))</f>
        <v>750</v>
      </c>
      <c r="D346">
        <f t="shared" si="241"/>
        <v>0</v>
      </c>
      <c r="E346">
        <f t="shared" si="242"/>
        <v>0</v>
      </c>
      <c r="F346">
        <f t="shared" si="243"/>
        <v>0</v>
      </c>
      <c r="G346">
        <f t="shared" si="244"/>
        <v>0</v>
      </c>
      <c r="H346">
        <f t="shared" si="245"/>
        <v>0</v>
      </c>
      <c r="I346">
        <f t="shared" si="246"/>
        <v>0</v>
      </c>
      <c r="J346">
        <f t="shared" si="247"/>
        <v>0</v>
      </c>
      <c r="K346">
        <f t="shared" si="248"/>
        <v>0</v>
      </c>
      <c r="L346">
        <f t="shared" si="249"/>
        <v>0</v>
      </c>
      <c r="M346">
        <f t="shared" si="250"/>
        <v>0</v>
      </c>
      <c r="N346">
        <f t="shared" si="251"/>
        <v>0</v>
      </c>
      <c r="O346">
        <f t="shared" si="252"/>
        <v>0</v>
      </c>
      <c r="P346">
        <f t="shared" si="253"/>
        <v>0</v>
      </c>
      <c r="Q346">
        <f t="shared" si="254"/>
        <v>0</v>
      </c>
      <c r="R346">
        <f t="shared" si="255"/>
        <v>0</v>
      </c>
      <c r="S346">
        <f t="shared" si="256"/>
        <v>0</v>
      </c>
      <c r="T346">
        <f t="shared" si="257"/>
        <v>0</v>
      </c>
      <c r="U346">
        <f t="shared" si="258"/>
        <v>0</v>
      </c>
      <c r="V346">
        <f t="shared" si="259"/>
        <v>0</v>
      </c>
      <c r="W346">
        <f t="shared" si="260"/>
        <v>0</v>
      </c>
      <c r="X346">
        <f t="shared" si="261"/>
        <v>0</v>
      </c>
      <c r="Y346">
        <f t="shared" si="262"/>
        <v>0</v>
      </c>
      <c r="Z346">
        <f t="shared" si="263"/>
        <v>0</v>
      </c>
      <c r="AA346">
        <f t="shared" si="264"/>
        <v>0</v>
      </c>
      <c r="AB346">
        <f t="shared" si="265"/>
        <v>0</v>
      </c>
      <c r="AC346">
        <f t="shared" si="266"/>
        <v>0</v>
      </c>
      <c r="AD346">
        <f t="shared" si="267"/>
        <v>0</v>
      </c>
      <c r="AE346">
        <f t="shared" si="268"/>
        <v>0</v>
      </c>
      <c r="AF346">
        <f t="shared" si="269"/>
        <v>0</v>
      </c>
      <c r="AG346">
        <f t="shared" si="270"/>
        <v>0</v>
      </c>
      <c r="AH346">
        <f t="shared" si="271"/>
        <v>0</v>
      </c>
      <c r="AI346">
        <f t="shared" si="272"/>
        <v>0</v>
      </c>
      <c r="AJ346">
        <f t="shared" si="273"/>
        <v>0</v>
      </c>
      <c r="AK346">
        <f t="shared" si="274"/>
        <v>0</v>
      </c>
      <c r="AL346">
        <f t="shared" si="275"/>
        <v>0</v>
      </c>
      <c r="AM346">
        <f t="shared" si="276"/>
        <v>0</v>
      </c>
      <c r="AN346">
        <f t="shared" si="277"/>
        <v>0</v>
      </c>
      <c r="AO346">
        <f t="shared" si="278"/>
        <v>0</v>
      </c>
      <c r="AP346">
        <f t="shared" si="279"/>
        <v>0</v>
      </c>
      <c r="AQ346">
        <f t="shared" si="280"/>
        <v>0</v>
      </c>
      <c r="AR346">
        <f t="shared" si="281"/>
        <v>0</v>
      </c>
      <c r="AS346">
        <f t="shared" si="282"/>
        <v>0</v>
      </c>
      <c r="AT346">
        <f t="shared" si="283"/>
        <v>0</v>
      </c>
      <c r="AU346">
        <f t="shared" si="284"/>
        <v>0</v>
      </c>
      <c r="AV346">
        <f t="shared" si="285"/>
        <v>0</v>
      </c>
      <c r="AW346">
        <f t="shared" si="240"/>
        <v>0</v>
      </c>
      <c r="AX346">
        <f t="shared" si="286"/>
        <v>0</v>
      </c>
      <c r="AY346">
        <f t="shared" si="287"/>
        <v>0</v>
      </c>
    </row>
    <row r="347" spans="1:51" x14ac:dyDescent="0.35">
      <c r="A347">
        <v>341</v>
      </c>
      <c r="C347">
        <f>MAX(0,Calc!$C$7-SUM(D347:R347))</f>
        <v>750</v>
      </c>
      <c r="D347">
        <f t="shared" si="241"/>
        <v>0</v>
      </c>
      <c r="E347">
        <f t="shared" si="242"/>
        <v>0</v>
      </c>
      <c r="F347">
        <f t="shared" si="243"/>
        <v>0</v>
      </c>
      <c r="G347">
        <f t="shared" si="244"/>
        <v>0</v>
      </c>
      <c r="H347">
        <f t="shared" si="245"/>
        <v>0</v>
      </c>
      <c r="I347">
        <f t="shared" si="246"/>
        <v>0</v>
      </c>
      <c r="J347">
        <f t="shared" si="247"/>
        <v>0</v>
      </c>
      <c r="K347">
        <f t="shared" si="248"/>
        <v>0</v>
      </c>
      <c r="L347">
        <f t="shared" si="249"/>
        <v>0</v>
      </c>
      <c r="M347">
        <f t="shared" si="250"/>
        <v>0</v>
      </c>
      <c r="N347">
        <f t="shared" si="251"/>
        <v>0</v>
      </c>
      <c r="O347">
        <f t="shared" si="252"/>
        <v>0</v>
      </c>
      <c r="P347">
        <f t="shared" si="253"/>
        <v>0</v>
      </c>
      <c r="Q347">
        <f t="shared" si="254"/>
        <v>0</v>
      </c>
      <c r="R347">
        <f t="shared" si="255"/>
        <v>0</v>
      </c>
      <c r="S347">
        <f t="shared" si="256"/>
        <v>0</v>
      </c>
      <c r="T347">
        <f t="shared" si="257"/>
        <v>0</v>
      </c>
      <c r="U347">
        <f t="shared" si="258"/>
        <v>0</v>
      </c>
      <c r="V347">
        <f t="shared" si="259"/>
        <v>0</v>
      </c>
      <c r="W347">
        <f t="shared" si="260"/>
        <v>0</v>
      </c>
      <c r="X347">
        <f t="shared" si="261"/>
        <v>0</v>
      </c>
      <c r="Y347">
        <f t="shared" si="262"/>
        <v>0</v>
      </c>
      <c r="Z347">
        <f t="shared" si="263"/>
        <v>0</v>
      </c>
      <c r="AA347">
        <f t="shared" si="264"/>
        <v>0</v>
      </c>
      <c r="AB347">
        <f t="shared" si="265"/>
        <v>0</v>
      </c>
      <c r="AC347">
        <f t="shared" si="266"/>
        <v>0</v>
      </c>
      <c r="AD347">
        <f t="shared" si="267"/>
        <v>0</v>
      </c>
      <c r="AE347">
        <f t="shared" si="268"/>
        <v>0</v>
      </c>
      <c r="AF347">
        <f t="shared" si="269"/>
        <v>0</v>
      </c>
      <c r="AG347">
        <f t="shared" si="270"/>
        <v>0</v>
      </c>
      <c r="AH347">
        <f t="shared" si="271"/>
        <v>0</v>
      </c>
      <c r="AI347">
        <f t="shared" si="272"/>
        <v>0</v>
      </c>
      <c r="AJ347">
        <f t="shared" si="273"/>
        <v>0</v>
      </c>
      <c r="AK347">
        <f t="shared" si="274"/>
        <v>0</v>
      </c>
      <c r="AL347">
        <f t="shared" si="275"/>
        <v>0</v>
      </c>
      <c r="AM347">
        <f t="shared" si="276"/>
        <v>0</v>
      </c>
      <c r="AN347">
        <f t="shared" si="277"/>
        <v>0</v>
      </c>
      <c r="AO347">
        <f t="shared" si="278"/>
        <v>0</v>
      </c>
      <c r="AP347">
        <f t="shared" si="279"/>
        <v>0</v>
      </c>
      <c r="AQ347">
        <f t="shared" si="280"/>
        <v>0</v>
      </c>
      <c r="AR347">
        <f t="shared" si="281"/>
        <v>0</v>
      </c>
      <c r="AS347">
        <f t="shared" si="282"/>
        <v>0</v>
      </c>
      <c r="AT347">
        <f t="shared" si="283"/>
        <v>0</v>
      </c>
      <c r="AU347">
        <f t="shared" si="284"/>
        <v>0</v>
      </c>
      <c r="AV347">
        <f t="shared" si="285"/>
        <v>0</v>
      </c>
      <c r="AW347">
        <f t="shared" si="240"/>
        <v>0</v>
      </c>
      <c r="AX347">
        <f t="shared" si="286"/>
        <v>0</v>
      </c>
      <c r="AY347">
        <f t="shared" si="287"/>
        <v>0</v>
      </c>
    </row>
    <row r="348" spans="1:51" x14ac:dyDescent="0.35">
      <c r="A348">
        <v>342</v>
      </c>
      <c r="C348">
        <f>MAX(0,Calc!$C$7-SUM(D348:R348))</f>
        <v>750</v>
      </c>
      <c r="D348">
        <f t="shared" si="241"/>
        <v>0</v>
      </c>
      <c r="E348">
        <f t="shared" si="242"/>
        <v>0</v>
      </c>
      <c r="F348">
        <f t="shared" si="243"/>
        <v>0</v>
      </c>
      <c r="G348">
        <f t="shared" si="244"/>
        <v>0</v>
      </c>
      <c r="H348">
        <f t="shared" si="245"/>
        <v>0</v>
      </c>
      <c r="I348">
        <f t="shared" si="246"/>
        <v>0</v>
      </c>
      <c r="J348">
        <f t="shared" si="247"/>
        <v>0</v>
      </c>
      <c r="K348">
        <f t="shared" si="248"/>
        <v>0</v>
      </c>
      <c r="L348">
        <f t="shared" si="249"/>
        <v>0</v>
      </c>
      <c r="M348">
        <f t="shared" si="250"/>
        <v>0</v>
      </c>
      <c r="N348">
        <f t="shared" si="251"/>
        <v>0</v>
      </c>
      <c r="O348">
        <f t="shared" si="252"/>
        <v>0</v>
      </c>
      <c r="P348">
        <f t="shared" si="253"/>
        <v>0</v>
      </c>
      <c r="Q348">
        <f t="shared" si="254"/>
        <v>0</v>
      </c>
      <c r="R348">
        <f t="shared" si="255"/>
        <v>0</v>
      </c>
      <c r="S348">
        <f t="shared" si="256"/>
        <v>0</v>
      </c>
      <c r="T348">
        <f t="shared" si="257"/>
        <v>0</v>
      </c>
      <c r="U348">
        <f t="shared" si="258"/>
        <v>0</v>
      </c>
      <c r="V348">
        <f t="shared" si="259"/>
        <v>0</v>
      </c>
      <c r="W348">
        <f t="shared" si="260"/>
        <v>0</v>
      </c>
      <c r="X348">
        <f t="shared" si="261"/>
        <v>0</v>
      </c>
      <c r="Y348">
        <f t="shared" si="262"/>
        <v>0</v>
      </c>
      <c r="Z348">
        <f t="shared" si="263"/>
        <v>0</v>
      </c>
      <c r="AA348">
        <f t="shared" si="264"/>
        <v>0</v>
      </c>
      <c r="AB348">
        <f t="shared" si="265"/>
        <v>0</v>
      </c>
      <c r="AC348">
        <f t="shared" si="266"/>
        <v>0</v>
      </c>
      <c r="AD348">
        <f t="shared" si="267"/>
        <v>0</v>
      </c>
      <c r="AE348">
        <f t="shared" si="268"/>
        <v>0</v>
      </c>
      <c r="AF348">
        <f t="shared" si="269"/>
        <v>0</v>
      </c>
      <c r="AG348">
        <f t="shared" si="270"/>
        <v>0</v>
      </c>
      <c r="AH348">
        <f t="shared" si="271"/>
        <v>0</v>
      </c>
      <c r="AI348">
        <f t="shared" si="272"/>
        <v>0</v>
      </c>
      <c r="AJ348">
        <f t="shared" si="273"/>
        <v>0</v>
      </c>
      <c r="AK348">
        <f t="shared" si="274"/>
        <v>0</v>
      </c>
      <c r="AL348">
        <f t="shared" si="275"/>
        <v>0</v>
      </c>
      <c r="AM348">
        <f t="shared" si="276"/>
        <v>0</v>
      </c>
      <c r="AN348">
        <f t="shared" si="277"/>
        <v>0</v>
      </c>
      <c r="AO348">
        <f t="shared" si="278"/>
        <v>0</v>
      </c>
      <c r="AP348">
        <f t="shared" si="279"/>
        <v>0</v>
      </c>
      <c r="AQ348">
        <f t="shared" si="280"/>
        <v>0</v>
      </c>
      <c r="AR348">
        <f t="shared" si="281"/>
        <v>0</v>
      </c>
      <c r="AS348">
        <f t="shared" si="282"/>
        <v>0</v>
      </c>
      <c r="AT348">
        <f t="shared" si="283"/>
        <v>0</v>
      </c>
      <c r="AU348">
        <f t="shared" si="284"/>
        <v>0</v>
      </c>
      <c r="AV348">
        <f t="shared" si="285"/>
        <v>0</v>
      </c>
      <c r="AW348">
        <f t="shared" si="240"/>
        <v>0</v>
      </c>
      <c r="AX348">
        <f t="shared" si="286"/>
        <v>0</v>
      </c>
      <c r="AY348">
        <f t="shared" si="287"/>
        <v>0</v>
      </c>
    </row>
    <row r="349" spans="1:51" x14ac:dyDescent="0.35">
      <c r="A349">
        <v>343</v>
      </c>
      <c r="C349">
        <f>MAX(0,Calc!$C$7-SUM(D349:R349))</f>
        <v>750</v>
      </c>
      <c r="D349">
        <f t="shared" si="241"/>
        <v>0</v>
      </c>
      <c r="E349">
        <f t="shared" si="242"/>
        <v>0</v>
      </c>
      <c r="F349">
        <f t="shared" si="243"/>
        <v>0</v>
      </c>
      <c r="G349">
        <f t="shared" si="244"/>
        <v>0</v>
      </c>
      <c r="H349">
        <f t="shared" si="245"/>
        <v>0</v>
      </c>
      <c r="I349">
        <f t="shared" si="246"/>
        <v>0</v>
      </c>
      <c r="J349">
        <f t="shared" si="247"/>
        <v>0</v>
      </c>
      <c r="K349">
        <f t="shared" si="248"/>
        <v>0</v>
      </c>
      <c r="L349">
        <f t="shared" si="249"/>
        <v>0</v>
      </c>
      <c r="M349">
        <f t="shared" si="250"/>
        <v>0</v>
      </c>
      <c r="N349">
        <f t="shared" si="251"/>
        <v>0</v>
      </c>
      <c r="O349">
        <f t="shared" si="252"/>
        <v>0</v>
      </c>
      <c r="P349">
        <f t="shared" si="253"/>
        <v>0</v>
      </c>
      <c r="Q349">
        <f t="shared" si="254"/>
        <v>0</v>
      </c>
      <c r="R349">
        <f t="shared" si="255"/>
        <v>0</v>
      </c>
      <c r="S349">
        <f t="shared" si="256"/>
        <v>0</v>
      </c>
      <c r="T349">
        <f t="shared" si="257"/>
        <v>0</v>
      </c>
      <c r="U349">
        <f t="shared" si="258"/>
        <v>0</v>
      </c>
      <c r="V349">
        <f t="shared" si="259"/>
        <v>0</v>
      </c>
      <c r="W349">
        <f t="shared" si="260"/>
        <v>0</v>
      </c>
      <c r="X349">
        <f t="shared" si="261"/>
        <v>0</v>
      </c>
      <c r="Y349">
        <f t="shared" si="262"/>
        <v>0</v>
      </c>
      <c r="Z349">
        <f t="shared" si="263"/>
        <v>0</v>
      </c>
      <c r="AA349">
        <f t="shared" si="264"/>
        <v>0</v>
      </c>
      <c r="AB349">
        <f t="shared" si="265"/>
        <v>0</v>
      </c>
      <c r="AC349">
        <f t="shared" si="266"/>
        <v>0</v>
      </c>
      <c r="AD349">
        <f t="shared" si="267"/>
        <v>0</v>
      </c>
      <c r="AE349">
        <f t="shared" si="268"/>
        <v>0</v>
      </c>
      <c r="AF349">
        <f t="shared" si="269"/>
        <v>0</v>
      </c>
      <c r="AG349">
        <f t="shared" si="270"/>
        <v>0</v>
      </c>
      <c r="AH349">
        <f t="shared" si="271"/>
        <v>0</v>
      </c>
      <c r="AI349">
        <f t="shared" si="272"/>
        <v>0</v>
      </c>
      <c r="AJ349">
        <f t="shared" si="273"/>
        <v>0</v>
      </c>
      <c r="AK349">
        <f t="shared" si="274"/>
        <v>0</v>
      </c>
      <c r="AL349">
        <f t="shared" si="275"/>
        <v>0</v>
      </c>
      <c r="AM349">
        <f t="shared" si="276"/>
        <v>0</v>
      </c>
      <c r="AN349">
        <f t="shared" si="277"/>
        <v>0</v>
      </c>
      <c r="AO349">
        <f t="shared" si="278"/>
        <v>0</v>
      </c>
      <c r="AP349">
        <f t="shared" si="279"/>
        <v>0</v>
      </c>
      <c r="AQ349">
        <f t="shared" si="280"/>
        <v>0</v>
      </c>
      <c r="AR349">
        <f t="shared" si="281"/>
        <v>0</v>
      </c>
      <c r="AS349">
        <f t="shared" si="282"/>
        <v>0</v>
      </c>
      <c r="AT349">
        <f t="shared" si="283"/>
        <v>0</v>
      </c>
      <c r="AU349">
        <f t="shared" si="284"/>
        <v>0</v>
      </c>
      <c r="AV349">
        <f t="shared" si="285"/>
        <v>0</v>
      </c>
      <c r="AW349">
        <f t="shared" si="240"/>
        <v>0</v>
      </c>
      <c r="AX349">
        <f t="shared" si="286"/>
        <v>0</v>
      </c>
      <c r="AY349">
        <f t="shared" si="287"/>
        <v>0</v>
      </c>
    </row>
    <row r="350" spans="1:51" x14ac:dyDescent="0.35">
      <c r="A350">
        <v>344</v>
      </c>
      <c r="C350">
        <f>MAX(0,Calc!$C$7-SUM(D350:R350))</f>
        <v>750</v>
      </c>
      <c r="D350">
        <f t="shared" si="241"/>
        <v>0</v>
      </c>
      <c r="E350">
        <f t="shared" si="242"/>
        <v>0</v>
      </c>
      <c r="F350">
        <f t="shared" si="243"/>
        <v>0</v>
      </c>
      <c r="G350">
        <f t="shared" si="244"/>
        <v>0</v>
      </c>
      <c r="H350">
        <f t="shared" si="245"/>
        <v>0</v>
      </c>
      <c r="I350">
        <f t="shared" si="246"/>
        <v>0</v>
      </c>
      <c r="J350">
        <f t="shared" si="247"/>
        <v>0</v>
      </c>
      <c r="K350">
        <f t="shared" si="248"/>
        <v>0</v>
      </c>
      <c r="L350">
        <f t="shared" si="249"/>
        <v>0</v>
      </c>
      <c r="M350">
        <f t="shared" si="250"/>
        <v>0</v>
      </c>
      <c r="N350">
        <f t="shared" si="251"/>
        <v>0</v>
      </c>
      <c r="O350">
        <f t="shared" si="252"/>
        <v>0</v>
      </c>
      <c r="P350">
        <f t="shared" si="253"/>
        <v>0</v>
      </c>
      <c r="Q350">
        <f t="shared" si="254"/>
        <v>0</v>
      </c>
      <c r="R350">
        <f t="shared" si="255"/>
        <v>0</v>
      </c>
      <c r="S350">
        <f t="shared" si="256"/>
        <v>0</v>
      </c>
      <c r="T350">
        <f t="shared" si="257"/>
        <v>0</v>
      </c>
      <c r="U350">
        <f t="shared" si="258"/>
        <v>0</v>
      </c>
      <c r="V350">
        <f t="shared" si="259"/>
        <v>0</v>
      </c>
      <c r="W350">
        <f t="shared" si="260"/>
        <v>0</v>
      </c>
      <c r="X350">
        <f t="shared" si="261"/>
        <v>0</v>
      </c>
      <c r="Y350">
        <f t="shared" si="262"/>
        <v>0</v>
      </c>
      <c r="Z350">
        <f t="shared" si="263"/>
        <v>0</v>
      </c>
      <c r="AA350">
        <f t="shared" si="264"/>
        <v>0</v>
      </c>
      <c r="AB350">
        <f t="shared" si="265"/>
        <v>0</v>
      </c>
      <c r="AC350">
        <f t="shared" si="266"/>
        <v>0</v>
      </c>
      <c r="AD350">
        <f t="shared" si="267"/>
        <v>0</v>
      </c>
      <c r="AE350">
        <f t="shared" si="268"/>
        <v>0</v>
      </c>
      <c r="AF350">
        <f t="shared" si="269"/>
        <v>0</v>
      </c>
      <c r="AG350">
        <f t="shared" si="270"/>
        <v>0</v>
      </c>
      <c r="AH350">
        <f t="shared" si="271"/>
        <v>0</v>
      </c>
      <c r="AI350">
        <f t="shared" si="272"/>
        <v>0</v>
      </c>
      <c r="AJ350">
        <f t="shared" si="273"/>
        <v>0</v>
      </c>
      <c r="AK350">
        <f t="shared" si="274"/>
        <v>0</v>
      </c>
      <c r="AL350">
        <f t="shared" si="275"/>
        <v>0</v>
      </c>
      <c r="AM350">
        <f t="shared" si="276"/>
        <v>0</v>
      </c>
      <c r="AN350">
        <f t="shared" si="277"/>
        <v>0</v>
      </c>
      <c r="AO350">
        <f t="shared" si="278"/>
        <v>0</v>
      </c>
      <c r="AP350">
        <f t="shared" si="279"/>
        <v>0</v>
      </c>
      <c r="AQ350">
        <f t="shared" si="280"/>
        <v>0</v>
      </c>
      <c r="AR350">
        <f t="shared" si="281"/>
        <v>0</v>
      </c>
      <c r="AS350">
        <f t="shared" si="282"/>
        <v>0</v>
      </c>
      <c r="AT350">
        <f t="shared" si="283"/>
        <v>0</v>
      </c>
      <c r="AU350">
        <f t="shared" si="284"/>
        <v>0</v>
      </c>
      <c r="AV350">
        <f t="shared" si="285"/>
        <v>0</v>
      </c>
      <c r="AW350">
        <f t="shared" si="240"/>
        <v>0</v>
      </c>
      <c r="AX350">
        <f t="shared" si="286"/>
        <v>0</v>
      </c>
      <c r="AY350">
        <f t="shared" si="287"/>
        <v>0</v>
      </c>
    </row>
    <row r="351" spans="1:51" x14ac:dyDescent="0.35">
      <c r="A351">
        <v>345</v>
      </c>
      <c r="C351">
        <f>MAX(0,Calc!$C$7-SUM(D351:R351))</f>
        <v>750</v>
      </c>
      <c r="D351">
        <f t="shared" si="241"/>
        <v>0</v>
      </c>
      <c r="E351">
        <f t="shared" si="242"/>
        <v>0</v>
      </c>
      <c r="F351">
        <f t="shared" si="243"/>
        <v>0</v>
      </c>
      <c r="G351">
        <f t="shared" si="244"/>
        <v>0</v>
      </c>
      <c r="H351">
        <f t="shared" si="245"/>
        <v>0</v>
      </c>
      <c r="I351">
        <f t="shared" si="246"/>
        <v>0</v>
      </c>
      <c r="J351">
        <f t="shared" si="247"/>
        <v>0</v>
      </c>
      <c r="K351">
        <f t="shared" si="248"/>
        <v>0</v>
      </c>
      <c r="L351">
        <f t="shared" si="249"/>
        <v>0</v>
      </c>
      <c r="M351">
        <f t="shared" si="250"/>
        <v>0</v>
      </c>
      <c r="N351">
        <f t="shared" si="251"/>
        <v>0</v>
      </c>
      <c r="O351">
        <f t="shared" si="252"/>
        <v>0</v>
      </c>
      <c r="P351">
        <f t="shared" si="253"/>
        <v>0</v>
      </c>
      <c r="Q351">
        <f t="shared" si="254"/>
        <v>0</v>
      </c>
      <c r="R351">
        <f t="shared" si="255"/>
        <v>0</v>
      </c>
      <c r="S351">
        <f t="shared" si="256"/>
        <v>0</v>
      </c>
      <c r="T351">
        <f t="shared" si="257"/>
        <v>0</v>
      </c>
      <c r="U351">
        <f t="shared" si="258"/>
        <v>0</v>
      </c>
      <c r="V351">
        <f t="shared" si="259"/>
        <v>0</v>
      </c>
      <c r="W351">
        <f t="shared" si="260"/>
        <v>0</v>
      </c>
      <c r="X351">
        <f t="shared" si="261"/>
        <v>0</v>
      </c>
      <c r="Y351">
        <f t="shared" si="262"/>
        <v>0</v>
      </c>
      <c r="Z351">
        <f t="shared" si="263"/>
        <v>0</v>
      </c>
      <c r="AA351">
        <f t="shared" si="264"/>
        <v>0</v>
      </c>
      <c r="AB351">
        <f t="shared" si="265"/>
        <v>0</v>
      </c>
      <c r="AC351">
        <f t="shared" si="266"/>
        <v>0</v>
      </c>
      <c r="AD351">
        <f t="shared" si="267"/>
        <v>0</v>
      </c>
      <c r="AE351">
        <f t="shared" si="268"/>
        <v>0</v>
      </c>
      <c r="AF351">
        <f t="shared" si="269"/>
        <v>0</v>
      </c>
      <c r="AG351">
        <f t="shared" si="270"/>
        <v>0</v>
      </c>
      <c r="AH351">
        <f t="shared" si="271"/>
        <v>0</v>
      </c>
      <c r="AI351">
        <f t="shared" si="272"/>
        <v>0</v>
      </c>
      <c r="AJ351">
        <f t="shared" si="273"/>
        <v>0</v>
      </c>
      <c r="AK351">
        <f t="shared" si="274"/>
        <v>0</v>
      </c>
      <c r="AL351">
        <f t="shared" si="275"/>
        <v>0</v>
      </c>
      <c r="AM351">
        <f t="shared" si="276"/>
        <v>0</v>
      </c>
      <c r="AN351">
        <f t="shared" si="277"/>
        <v>0</v>
      </c>
      <c r="AO351">
        <f t="shared" si="278"/>
        <v>0</v>
      </c>
      <c r="AP351">
        <f t="shared" si="279"/>
        <v>0</v>
      </c>
      <c r="AQ351">
        <f t="shared" si="280"/>
        <v>0</v>
      </c>
      <c r="AR351">
        <f t="shared" si="281"/>
        <v>0</v>
      </c>
      <c r="AS351">
        <f t="shared" si="282"/>
        <v>0</v>
      </c>
      <c r="AT351">
        <f t="shared" si="283"/>
        <v>0</v>
      </c>
      <c r="AU351">
        <f t="shared" si="284"/>
        <v>0</v>
      </c>
      <c r="AV351">
        <f t="shared" si="285"/>
        <v>0</v>
      </c>
      <c r="AW351">
        <f t="shared" si="240"/>
        <v>0</v>
      </c>
      <c r="AX351">
        <f t="shared" si="286"/>
        <v>0</v>
      </c>
      <c r="AY351">
        <f t="shared" si="287"/>
        <v>0</v>
      </c>
    </row>
    <row r="352" spans="1:51" x14ac:dyDescent="0.35">
      <c r="A352">
        <v>346</v>
      </c>
      <c r="C352">
        <f>MAX(0,Calc!$C$7-SUM(D352:R352))</f>
        <v>750</v>
      </c>
      <c r="D352">
        <f t="shared" si="241"/>
        <v>0</v>
      </c>
      <c r="E352">
        <f t="shared" si="242"/>
        <v>0</v>
      </c>
      <c r="F352">
        <f t="shared" si="243"/>
        <v>0</v>
      </c>
      <c r="G352">
        <f t="shared" si="244"/>
        <v>0</v>
      </c>
      <c r="H352">
        <f t="shared" si="245"/>
        <v>0</v>
      </c>
      <c r="I352">
        <f t="shared" si="246"/>
        <v>0</v>
      </c>
      <c r="J352">
        <f t="shared" si="247"/>
        <v>0</v>
      </c>
      <c r="K352">
        <f t="shared" si="248"/>
        <v>0</v>
      </c>
      <c r="L352">
        <f t="shared" si="249"/>
        <v>0</v>
      </c>
      <c r="M352">
        <f t="shared" si="250"/>
        <v>0</v>
      </c>
      <c r="N352">
        <f t="shared" si="251"/>
        <v>0</v>
      </c>
      <c r="O352">
        <f t="shared" si="252"/>
        <v>0</v>
      </c>
      <c r="P352">
        <f t="shared" si="253"/>
        <v>0</v>
      </c>
      <c r="Q352">
        <f t="shared" si="254"/>
        <v>0</v>
      </c>
      <c r="R352">
        <f t="shared" si="255"/>
        <v>0</v>
      </c>
      <c r="S352">
        <f t="shared" si="256"/>
        <v>0</v>
      </c>
      <c r="T352">
        <f t="shared" si="257"/>
        <v>0</v>
      </c>
      <c r="U352">
        <f t="shared" si="258"/>
        <v>0</v>
      </c>
      <c r="V352">
        <f t="shared" si="259"/>
        <v>0</v>
      </c>
      <c r="W352">
        <f t="shared" si="260"/>
        <v>0</v>
      </c>
      <c r="X352">
        <f t="shared" si="261"/>
        <v>0</v>
      </c>
      <c r="Y352">
        <f t="shared" si="262"/>
        <v>0</v>
      </c>
      <c r="Z352">
        <f t="shared" si="263"/>
        <v>0</v>
      </c>
      <c r="AA352">
        <f t="shared" si="264"/>
        <v>0</v>
      </c>
      <c r="AB352">
        <f t="shared" si="265"/>
        <v>0</v>
      </c>
      <c r="AC352">
        <f t="shared" si="266"/>
        <v>0</v>
      </c>
      <c r="AD352">
        <f t="shared" si="267"/>
        <v>0</v>
      </c>
      <c r="AE352">
        <f t="shared" si="268"/>
        <v>0</v>
      </c>
      <c r="AF352">
        <f t="shared" si="269"/>
        <v>0</v>
      </c>
      <c r="AG352">
        <f t="shared" si="270"/>
        <v>0</v>
      </c>
      <c r="AH352">
        <f t="shared" si="271"/>
        <v>0</v>
      </c>
      <c r="AI352">
        <f t="shared" si="272"/>
        <v>0</v>
      </c>
      <c r="AJ352">
        <f t="shared" si="273"/>
        <v>0</v>
      </c>
      <c r="AK352">
        <f t="shared" si="274"/>
        <v>0</v>
      </c>
      <c r="AL352">
        <f t="shared" si="275"/>
        <v>0</v>
      </c>
      <c r="AM352">
        <f t="shared" si="276"/>
        <v>0</v>
      </c>
      <c r="AN352">
        <f t="shared" si="277"/>
        <v>0</v>
      </c>
      <c r="AO352">
        <f t="shared" si="278"/>
        <v>0</v>
      </c>
      <c r="AP352">
        <f t="shared" si="279"/>
        <v>0</v>
      </c>
      <c r="AQ352">
        <f t="shared" si="280"/>
        <v>0</v>
      </c>
      <c r="AR352">
        <f t="shared" si="281"/>
        <v>0</v>
      </c>
      <c r="AS352">
        <f t="shared" si="282"/>
        <v>0</v>
      </c>
      <c r="AT352">
        <f t="shared" si="283"/>
        <v>0</v>
      </c>
      <c r="AU352">
        <f t="shared" si="284"/>
        <v>0</v>
      </c>
      <c r="AV352">
        <f t="shared" si="285"/>
        <v>0</v>
      </c>
      <c r="AW352">
        <f t="shared" si="240"/>
        <v>0</v>
      </c>
      <c r="AX352">
        <f t="shared" si="286"/>
        <v>0</v>
      </c>
      <c r="AY352">
        <f t="shared" si="287"/>
        <v>0</v>
      </c>
    </row>
    <row r="353" spans="1:51" x14ac:dyDescent="0.35">
      <c r="A353">
        <v>347</v>
      </c>
      <c r="C353">
        <f>MAX(0,Calc!$C$7-SUM(D353:R353))</f>
        <v>750</v>
      </c>
      <c r="D353">
        <f t="shared" si="241"/>
        <v>0</v>
      </c>
      <c r="E353">
        <f t="shared" si="242"/>
        <v>0</v>
      </c>
      <c r="F353">
        <f t="shared" si="243"/>
        <v>0</v>
      </c>
      <c r="G353">
        <f t="shared" si="244"/>
        <v>0</v>
      </c>
      <c r="H353">
        <f t="shared" si="245"/>
        <v>0</v>
      </c>
      <c r="I353">
        <f t="shared" si="246"/>
        <v>0</v>
      </c>
      <c r="J353">
        <f t="shared" si="247"/>
        <v>0</v>
      </c>
      <c r="K353">
        <f t="shared" si="248"/>
        <v>0</v>
      </c>
      <c r="L353">
        <f t="shared" si="249"/>
        <v>0</v>
      </c>
      <c r="M353">
        <f t="shared" si="250"/>
        <v>0</v>
      </c>
      <c r="N353">
        <f t="shared" si="251"/>
        <v>0</v>
      </c>
      <c r="O353">
        <f t="shared" si="252"/>
        <v>0</v>
      </c>
      <c r="P353">
        <f t="shared" si="253"/>
        <v>0</v>
      </c>
      <c r="Q353">
        <f t="shared" si="254"/>
        <v>0</v>
      </c>
      <c r="R353">
        <f t="shared" si="255"/>
        <v>0</v>
      </c>
      <c r="S353">
        <f t="shared" si="256"/>
        <v>0</v>
      </c>
      <c r="T353">
        <f t="shared" si="257"/>
        <v>0</v>
      </c>
      <c r="U353">
        <f t="shared" si="258"/>
        <v>0</v>
      </c>
      <c r="V353">
        <f t="shared" si="259"/>
        <v>0</v>
      </c>
      <c r="W353">
        <f t="shared" si="260"/>
        <v>0</v>
      </c>
      <c r="X353">
        <f t="shared" si="261"/>
        <v>0</v>
      </c>
      <c r="Y353">
        <f t="shared" si="262"/>
        <v>0</v>
      </c>
      <c r="Z353">
        <f t="shared" si="263"/>
        <v>0</v>
      </c>
      <c r="AA353">
        <f t="shared" si="264"/>
        <v>0</v>
      </c>
      <c r="AB353">
        <f t="shared" si="265"/>
        <v>0</v>
      </c>
      <c r="AC353">
        <f t="shared" si="266"/>
        <v>0</v>
      </c>
      <c r="AD353">
        <f t="shared" si="267"/>
        <v>0</v>
      </c>
      <c r="AE353">
        <f t="shared" si="268"/>
        <v>0</v>
      </c>
      <c r="AF353">
        <f t="shared" si="269"/>
        <v>0</v>
      </c>
      <c r="AG353">
        <f t="shared" si="270"/>
        <v>0</v>
      </c>
      <c r="AH353">
        <f t="shared" si="271"/>
        <v>0</v>
      </c>
      <c r="AI353">
        <f t="shared" si="272"/>
        <v>0</v>
      </c>
      <c r="AJ353">
        <f t="shared" si="273"/>
        <v>0</v>
      </c>
      <c r="AK353">
        <f t="shared" si="274"/>
        <v>0</v>
      </c>
      <c r="AL353">
        <f t="shared" si="275"/>
        <v>0</v>
      </c>
      <c r="AM353">
        <f t="shared" si="276"/>
        <v>0</v>
      </c>
      <c r="AN353">
        <f t="shared" si="277"/>
        <v>0</v>
      </c>
      <c r="AO353">
        <f t="shared" si="278"/>
        <v>0</v>
      </c>
      <c r="AP353">
        <f t="shared" si="279"/>
        <v>0</v>
      </c>
      <c r="AQ353">
        <f t="shared" si="280"/>
        <v>0</v>
      </c>
      <c r="AR353">
        <f t="shared" si="281"/>
        <v>0</v>
      </c>
      <c r="AS353">
        <f t="shared" si="282"/>
        <v>0</v>
      </c>
      <c r="AT353">
        <f t="shared" si="283"/>
        <v>0</v>
      </c>
      <c r="AU353">
        <f t="shared" si="284"/>
        <v>0</v>
      </c>
      <c r="AV353">
        <f t="shared" si="285"/>
        <v>0</v>
      </c>
      <c r="AW353">
        <f t="shared" si="240"/>
        <v>0</v>
      </c>
      <c r="AX353">
        <f t="shared" si="286"/>
        <v>0</v>
      </c>
      <c r="AY353">
        <f t="shared" si="287"/>
        <v>0</v>
      </c>
    </row>
    <row r="354" spans="1:51" x14ac:dyDescent="0.35">
      <c r="A354">
        <v>348</v>
      </c>
      <c r="C354">
        <f>MAX(0,Calc!$C$7-SUM(D354:R354))</f>
        <v>750</v>
      </c>
      <c r="D354">
        <f t="shared" si="241"/>
        <v>0</v>
      </c>
      <c r="E354">
        <f t="shared" si="242"/>
        <v>0</v>
      </c>
      <c r="F354">
        <f t="shared" si="243"/>
        <v>0</v>
      </c>
      <c r="G354">
        <f t="shared" si="244"/>
        <v>0</v>
      </c>
      <c r="H354">
        <f t="shared" si="245"/>
        <v>0</v>
      </c>
      <c r="I354">
        <f t="shared" si="246"/>
        <v>0</v>
      </c>
      <c r="J354">
        <f t="shared" si="247"/>
        <v>0</v>
      </c>
      <c r="K354">
        <f t="shared" si="248"/>
        <v>0</v>
      </c>
      <c r="L354">
        <f t="shared" si="249"/>
        <v>0</v>
      </c>
      <c r="M354">
        <f t="shared" si="250"/>
        <v>0</v>
      </c>
      <c r="N354">
        <f t="shared" si="251"/>
        <v>0</v>
      </c>
      <c r="O354">
        <f t="shared" si="252"/>
        <v>0</v>
      </c>
      <c r="P354">
        <f t="shared" si="253"/>
        <v>0</v>
      </c>
      <c r="Q354">
        <f t="shared" si="254"/>
        <v>0</v>
      </c>
      <c r="R354">
        <f t="shared" si="255"/>
        <v>0</v>
      </c>
      <c r="S354">
        <f t="shared" si="256"/>
        <v>0</v>
      </c>
      <c r="T354">
        <f t="shared" si="257"/>
        <v>0</v>
      </c>
      <c r="U354">
        <f t="shared" si="258"/>
        <v>0</v>
      </c>
      <c r="V354">
        <f t="shared" si="259"/>
        <v>0</v>
      </c>
      <c r="W354">
        <f t="shared" si="260"/>
        <v>0</v>
      </c>
      <c r="X354">
        <f t="shared" si="261"/>
        <v>0</v>
      </c>
      <c r="Y354">
        <f t="shared" si="262"/>
        <v>0</v>
      </c>
      <c r="Z354">
        <f t="shared" si="263"/>
        <v>0</v>
      </c>
      <c r="AA354">
        <f t="shared" si="264"/>
        <v>0</v>
      </c>
      <c r="AB354">
        <f t="shared" si="265"/>
        <v>0</v>
      </c>
      <c r="AC354">
        <f t="shared" si="266"/>
        <v>0</v>
      </c>
      <c r="AD354">
        <f t="shared" si="267"/>
        <v>0</v>
      </c>
      <c r="AE354">
        <f t="shared" si="268"/>
        <v>0</v>
      </c>
      <c r="AF354">
        <f t="shared" si="269"/>
        <v>0</v>
      </c>
      <c r="AG354">
        <f t="shared" si="270"/>
        <v>0</v>
      </c>
      <c r="AH354">
        <f t="shared" si="271"/>
        <v>0</v>
      </c>
      <c r="AI354">
        <f t="shared" si="272"/>
        <v>0</v>
      </c>
      <c r="AJ354">
        <f t="shared" si="273"/>
        <v>0</v>
      </c>
      <c r="AK354">
        <f t="shared" si="274"/>
        <v>0</v>
      </c>
      <c r="AL354">
        <f t="shared" si="275"/>
        <v>0</v>
      </c>
      <c r="AM354">
        <f t="shared" si="276"/>
        <v>0</v>
      </c>
      <c r="AN354">
        <f t="shared" si="277"/>
        <v>0</v>
      </c>
      <c r="AO354">
        <f t="shared" si="278"/>
        <v>0</v>
      </c>
      <c r="AP354">
        <f t="shared" si="279"/>
        <v>0</v>
      </c>
      <c r="AQ354">
        <f t="shared" si="280"/>
        <v>0</v>
      </c>
      <c r="AR354">
        <f t="shared" si="281"/>
        <v>0</v>
      </c>
      <c r="AS354">
        <f t="shared" si="282"/>
        <v>0</v>
      </c>
      <c r="AT354">
        <f t="shared" si="283"/>
        <v>0</v>
      </c>
      <c r="AU354">
        <f t="shared" si="284"/>
        <v>0</v>
      </c>
      <c r="AV354">
        <f t="shared" si="285"/>
        <v>0</v>
      </c>
      <c r="AW354">
        <f t="shared" si="240"/>
        <v>0</v>
      </c>
      <c r="AX354">
        <f t="shared" si="286"/>
        <v>0</v>
      </c>
      <c r="AY354">
        <f t="shared" si="287"/>
        <v>0</v>
      </c>
    </row>
    <row r="355" spans="1:51" x14ac:dyDescent="0.35">
      <c r="A355">
        <v>349</v>
      </c>
      <c r="C355">
        <f>MAX(0,Calc!$C$7-SUM(D355:R355))</f>
        <v>750</v>
      </c>
      <c r="D355">
        <f t="shared" si="241"/>
        <v>0</v>
      </c>
      <c r="E355">
        <f t="shared" si="242"/>
        <v>0</v>
      </c>
      <c r="F355">
        <f t="shared" si="243"/>
        <v>0</v>
      </c>
      <c r="G355">
        <f t="shared" si="244"/>
        <v>0</v>
      </c>
      <c r="H355">
        <f t="shared" si="245"/>
        <v>0</v>
      </c>
      <c r="I355">
        <f t="shared" si="246"/>
        <v>0</v>
      </c>
      <c r="J355">
        <f t="shared" si="247"/>
        <v>0</v>
      </c>
      <c r="K355">
        <f t="shared" si="248"/>
        <v>0</v>
      </c>
      <c r="L355">
        <f t="shared" si="249"/>
        <v>0</v>
      </c>
      <c r="M355">
        <f t="shared" si="250"/>
        <v>0</v>
      </c>
      <c r="N355">
        <f t="shared" si="251"/>
        <v>0</v>
      </c>
      <c r="O355">
        <f t="shared" si="252"/>
        <v>0</v>
      </c>
      <c r="P355">
        <f t="shared" si="253"/>
        <v>0</v>
      </c>
      <c r="Q355">
        <f t="shared" si="254"/>
        <v>0</v>
      </c>
      <c r="R355">
        <f t="shared" si="255"/>
        <v>0</v>
      </c>
      <c r="S355">
        <f t="shared" si="256"/>
        <v>0</v>
      </c>
      <c r="T355">
        <f t="shared" si="257"/>
        <v>0</v>
      </c>
      <c r="U355">
        <f t="shared" si="258"/>
        <v>0</v>
      </c>
      <c r="V355">
        <f t="shared" si="259"/>
        <v>0</v>
      </c>
      <c r="W355">
        <f t="shared" si="260"/>
        <v>0</v>
      </c>
      <c r="X355">
        <f t="shared" si="261"/>
        <v>0</v>
      </c>
      <c r="Y355">
        <f t="shared" si="262"/>
        <v>0</v>
      </c>
      <c r="Z355">
        <f t="shared" si="263"/>
        <v>0</v>
      </c>
      <c r="AA355">
        <f t="shared" si="264"/>
        <v>0</v>
      </c>
      <c r="AB355">
        <f t="shared" si="265"/>
        <v>0</v>
      </c>
      <c r="AC355">
        <f t="shared" si="266"/>
        <v>0</v>
      </c>
      <c r="AD355">
        <f t="shared" si="267"/>
        <v>0</v>
      </c>
      <c r="AE355">
        <f t="shared" si="268"/>
        <v>0</v>
      </c>
      <c r="AF355">
        <f t="shared" si="269"/>
        <v>0</v>
      </c>
      <c r="AG355">
        <f t="shared" si="270"/>
        <v>0</v>
      </c>
      <c r="AH355">
        <f t="shared" si="271"/>
        <v>0</v>
      </c>
      <c r="AI355">
        <f t="shared" si="272"/>
        <v>0</v>
      </c>
      <c r="AJ355">
        <f t="shared" si="273"/>
        <v>0</v>
      </c>
      <c r="AK355">
        <f t="shared" si="274"/>
        <v>0</v>
      </c>
      <c r="AL355">
        <f t="shared" si="275"/>
        <v>0</v>
      </c>
      <c r="AM355">
        <f t="shared" si="276"/>
        <v>0</v>
      </c>
      <c r="AN355">
        <f t="shared" si="277"/>
        <v>0</v>
      </c>
      <c r="AO355">
        <f t="shared" si="278"/>
        <v>0</v>
      </c>
      <c r="AP355">
        <f t="shared" si="279"/>
        <v>0</v>
      </c>
      <c r="AQ355">
        <f t="shared" si="280"/>
        <v>0</v>
      </c>
      <c r="AR355">
        <f t="shared" si="281"/>
        <v>0</v>
      </c>
      <c r="AS355">
        <f t="shared" si="282"/>
        <v>0</v>
      </c>
      <c r="AT355">
        <f t="shared" si="283"/>
        <v>0</v>
      </c>
      <c r="AU355">
        <f t="shared" si="284"/>
        <v>0</v>
      </c>
      <c r="AV355">
        <f t="shared" si="285"/>
        <v>0</v>
      </c>
      <c r="AW355">
        <f t="shared" si="240"/>
        <v>0</v>
      </c>
      <c r="AX355">
        <f t="shared" si="286"/>
        <v>0</v>
      </c>
      <c r="AY355">
        <f t="shared" si="287"/>
        <v>0</v>
      </c>
    </row>
    <row r="356" spans="1:51" x14ac:dyDescent="0.35">
      <c r="A356">
        <v>350</v>
      </c>
      <c r="C356">
        <f>MAX(0,Calc!$C$7-SUM(D356:R356))</f>
        <v>750</v>
      </c>
      <c r="D356">
        <f t="shared" si="241"/>
        <v>0</v>
      </c>
      <c r="E356">
        <f t="shared" si="242"/>
        <v>0</v>
      </c>
      <c r="F356">
        <f t="shared" si="243"/>
        <v>0</v>
      </c>
      <c r="G356">
        <f t="shared" si="244"/>
        <v>0</v>
      </c>
      <c r="H356">
        <f t="shared" si="245"/>
        <v>0</v>
      </c>
      <c r="I356">
        <f t="shared" si="246"/>
        <v>0</v>
      </c>
      <c r="J356">
        <f t="shared" si="247"/>
        <v>0</v>
      </c>
      <c r="K356">
        <f t="shared" si="248"/>
        <v>0</v>
      </c>
      <c r="L356">
        <f t="shared" si="249"/>
        <v>0</v>
      </c>
      <c r="M356">
        <f t="shared" si="250"/>
        <v>0</v>
      </c>
      <c r="N356">
        <f t="shared" si="251"/>
        <v>0</v>
      </c>
      <c r="O356">
        <f t="shared" si="252"/>
        <v>0</v>
      </c>
      <c r="P356">
        <f t="shared" si="253"/>
        <v>0</v>
      </c>
      <c r="Q356">
        <f t="shared" si="254"/>
        <v>0</v>
      </c>
      <c r="R356">
        <f t="shared" si="255"/>
        <v>0</v>
      </c>
      <c r="S356">
        <f t="shared" si="256"/>
        <v>0</v>
      </c>
      <c r="T356">
        <f t="shared" si="257"/>
        <v>0</v>
      </c>
      <c r="U356">
        <f t="shared" si="258"/>
        <v>0</v>
      </c>
      <c r="V356">
        <f t="shared" si="259"/>
        <v>0</v>
      </c>
      <c r="W356">
        <f t="shared" si="260"/>
        <v>0</v>
      </c>
      <c r="X356">
        <f t="shared" si="261"/>
        <v>0</v>
      </c>
      <c r="Y356">
        <f t="shared" si="262"/>
        <v>0</v>
      </c>
      <c r="Z356">
        <f t="shared" si="263"/>
        <v>0</v>
      </c>
      <c r="AA356">
        <f t="shared" si="264"/>
        <v>0</v>
      </c>
      <c r="AB356">
        <f t="shared" si="265"/>
        <v>0</v>
      </c>
      <c r="AC356">
        <f t="shared" si="266"/>
        <v>0</v>
      </c>
      <c r="AD356">
        <f t="shared" si="267"/>
        <v>0</v>
      </c>
      <c r="AE356">
        <f t="shared" si="268"/>
        <v>0</v>
      </c>
      <c r="AF356">
        <f t="shared" si="269"/>
        <v>0</v>
      </c>
      <c r="AG356">
        <f t="shared" si="270"/>
        <v>0</v>
      </c>
      <c r="AH356">
        <f t="shared" si="271"/>
        <v>0</v>
      </c>
      <c r="AI356">
        <f t="shared" si="272"/>
        <v>0</v>
      </c>
      <c r="AJ356">
        <f t="shared" si="273"/>
        <v>0</v>
      </c>
      <c r="AK356">
        <f t="shared" si="274"/>
        <v>0</v>
      </c>
      <c r="AL356">
        <f t="shared" si="275"/>
        <v>0</v>
      </c>
      <c r="AM356">
        <f t="shared" si="276"/>
        <v>0</v>
      </c>
      <c r="AN356">
        <f t="shared" si="277"/>
        <v>0</v>
      </c>
      <c r="AO356">
        <f t="shared" si="278"/>
        <v>0</v>
      </c>
      <c r="AP356">
        <f t="shared" si="279"/>
        <v>0</v>
      </c>
      <c r="AQ356">
        <f t="shared" si="280"/>
        <v>0</v>
      </c>
      <c r="AR356">
        <f t="shared" si="281"/>
        <v>0</v>
      </c>
      <c r="AS356">
        <f t="shared" si="282"/>
        <v>0</v>
      </c>
      <c r="AT356">
        <f t="shared" si="283"/>
        <v>0</v>
      </c>
      <c r="AU356">
        <f t="shared" si="284"/>
        <v>0</v>
      </c>
      <c r="AV356">
        <f t="shared" si="285"/>
        <v>0</v>
      </c>
      <c r="AW356">
        <f t="shared" si="240"/>
        <v>0</v>
      </c>
      <c r="AX356">
        <f t="shared" si="286"/>
        <v>0</v>
      </c>
      <c r="AY356">
        <f t="shared" si="287"/>
        <v>0</v>
      </c>
    </row>
    <row r="357" spans="1:51" x14ac:dyDescent="0.35">
      <c r="A357">
        <v>351</v>
      </c>
      <c r="C357">
        <f>MAX(0,Calc!$C$7-SUM(D357:R357))</f>
        <v>750</v>
      </c>
      <c r="D357">
        <f t="shared" si="241"/>
        <v>0</v>
      </c>
      <c r="E357">
        <f t="shared" si="242"/>
        <v>0</v>
      </c>
      <c r="F357">
        <f t="shared" si="243"/>
        <v>0</v>
      </c>
      <c r="G357">
        <f t="shared" si="244"/>
        <v>0</v>
      </c>
      <c r="H357">
        <f t="shared" si="245"/>
        <v>0</v>
      </c>
      <c r="I357">
        <f t="shared" si="246"/>
        <v>0</v>
      </c>
      <c r="J357">
        <f t="shared" si="247"/>
        <v>0</v>
      </c>
      <c r="K357">
        <f t="shared" si="248"/>
        <v>0</v>
      </c>
      <c r="L357">
        <f t="shared" si="249"/>
        <v>0</v>
      </c>
      <c r="M357">
        <f t="shared" si="250"/>
        <v>0</v>
      </c>
      <c r="N357">
        <f t="shared" si="251"/>
        <v>0</v>
      </c>
      <c r="O357">
        <f t="shared" si="252"/>
        <v>0</v>
      </c>
      <c r="P357">
        <f t="shared" si="253"/>
        <v>0</v>
      </c>
      <c r="Q357">
        <f t="shared" si="254"/>
        <v>0</v>
      </c>
      <c r="R357">
        <f t="shared" si="255"/>
        <v>0</v>
      </c>
      <c r="S357">
        <f t="shared" si="256"/>
        <v>0</v>
      </c>
      <c r="T357">
        <f t="shared" si="257"/>
        <v>0</v>
      </c>
      <c r="U357">
        <f t="shared" si="258"/>
        <v>0</v>
      </c>
      <c r="V357">
        <f t="shared" si="259"/>
        <v>0</v>
      </c>
      <c r="W357">
        <f t="shared" si="260"/>
        <v>0</v>
      </c>
      <c r="X357">
        <f t="shared" si="261"/>
        <v>0</v>
      </c>
      <c r="Y357">
        <f t="shared" si="262"/>
        <v>0</v>
      </c>
      <c r="Z357">
        <f t="shared" si="263"/>
        <v>0</v>
      </c>
      <c r="AA357">
        <f t="shared" si="264"/>
        <v>0</v>
      </c>
      <c r="AB357">
        <f t="shared" si="265"/>
        <v>0</v>
      </c>
      <c r="AC357">
        <f t="shared" si="266"/>
        <v>0</v>
      </c>
      <c r="AD357">
        <f t="shared" si="267"/>
        <v>0</v>
      </c>
      <c r="AE357">
        <f t="shared" si="268"/>
        <v>0</v>
      </c>
      <c r="AF357">
        <f t="shared" si="269"/>
        <v>0</v>
      </c>
      <c r="AG357">
        <f t="shared" si="270"/>
        <v>0</v>
      </c>
      <c r="AH357">
        <f t="shared" si="271"/>
        <v>0</v>
      </c>
      <c r="AI357">
        <f t="shared" si="272"/>
        <v>0</v>
      </c>
      <c r="AJ357">
        <f t="shared" si="273"/>
        <v>0</v>
      </c>
      <c r="AK357">
        <f t="shared" si="274"/>
        <v>0</v>
      </c>
      <c r="AL357">
        <f t="shared" si="275"/>
        <v>0</v>
      </c>
      <c r="AM357">
        <f t="shared" si="276"/>
        <v>0</v>
      </c>
      <c r="AN357">
        <f t="shared" si="277"/>
        <v>0</v>
      </c>
      <c r="AO357">
        <f t="shared" si="278"/>
        <v>0</v>
      </c>
      <c r="AP357">
        <f t="shared" si="279"/>
        <v>0</v>
      </c>
      <c r="AQ357">
        <f t="shared" si="280"/>
        <v>0</v>
      </c>
      <c r="AR357">
        <f t="shared" si="281"/>
        <v>0</v>
      </c>
      <c r="AS357">
        <f t="shared" si="282"/>
        <v>0</v>
      </c>
      <c r="AT357">
        <f t="shared" si="283"/>
        <v>0</v>
      </c>
      <c r="AU357">
        <f t="shared" si="284"/>
        <v>0</v>
      </c>
      <c r="AV357">
        <f t="shared" si="285"/>
        <v>0</v>
      </c>
      <c r="AW357">
        <f t="shared" si="240"/>
        <v>0</v>
      </c>
      <c r="AX357">
        <f t="shared" si="286"/>
        <v>0</v>
      </c>
      <c r="AY357">
        <f t="shared" si="287"/>
        <v>0</v>
      </c>
    </row>
    <row r="358" spans="1:51" x14ac:dyDescent="0.35">
      <c r="A358">
        <v>352</v>
      </c>
      <c r="C358">
        <f>MAX(0,Calc!$C$7-SUM(D358:R358))</f>
        <v>750</v>
      </c>
      <c r="D358">
        <f t="shared" si="241"/>
        <v>0</v>
      </c>
      <c r="E358">
        <f t="shared" si="242"/>
        <v>0</v>
      </c>
      <c r="F358">
        <f t="shared" si="243"/>
        <v>0</v>
      </c>
      <c r="G358">
        <f t="shared" si="244"/>
        <v>0</v>
      </c>
      <c r="H358">
        <f t="shared" si="245"/>
        <v>0</v>
      </c>
      <c r="I358">
        <f t="shared" si="246"/>
        <v>0</v>
      </c>
      <c r="J358">
        <f t="shared" si="247"/>
        <v>0</v>
      </c>
      <c r="K358">
        <f t="shared" si="248"/>
        <v>0</v>
      </c>
      <c r="L358">
        <f t="shared" si="249"/>
        <v>0</v>
      </c>
      <c r="M358">
        <f t="shared" si="250"/>
        <v>0</v>
      </c>
      <c r="N358">
        <f t="shared" si="251"/>
        <v>0</v>
      </c>
      <c r="O358">
        <f t="shared" si="252"/>
        <v>0</v>
      </c>
      <c r="P358">
        <f t="shared" si="253"/>
        <v>0</v>
      </c>
      <c r="Q358">
        <f t="shared" si="254"/>
        <v>0</v>
      </c>
      <c r="R358">
        <f t="shared" si="255"/>
        <v>0</v>
      </c>
      <c r="S358">
        <f t="shared" si="256"/>
        <v>0</v>
      </c>
      <c r="T358">
        <f t="shared" si="257"/>
        <v>0</v>
      </c>
      <c r="U358">
        <f t="shared" si="258"/>
        <v>0</v>
      </c>
      <c r="V358">
        <f t="shared" si="259"/>
        <v>0</v>
      </c>
      <c r="W358">
        <f t="shared" si="260"/>
        <v>0</v>
      </c>
      <c r="X358">
        <f t="shared" si="261"/>
        <v>0</v>
      </c>
      <c r="Y358">
        <f t="shared" si="262"/>
        <v>0</v>
      </c>
      <c r="Z358">
        <f t="shared" si="263"/>
        <v>0</v>
      </c>
      <c r="AA358">
        <f t="shared" si="264"/>
        <v>0</v>
      </c>
      <c r="AB358">
        <f t="shared" si="265"/>
        <v>0</v>
      </c>
      <c r="AC358">
        <f t="shared" si="266"/>
        <v>0</v>
      </c>
      <c r="AD358">
        <f t="shared" si="267"/>
        <v>0</v>
      </c>
      <c r="AE358">
        <f t="shared" si="268"/>
        <v>0</v>
      </c>
      <c r="AF358">
        <f t="shared" si="269"/>
        <v>0</v>
      </c>
      <c r="AG358">
        <f t="shared" si="270"/>
        <v>0</v>
      </c>
      <c r="AH358">
        <f t="shared" si="271"/>
        <v>0</v>
      </c>
      <c r="AI358">
        <f t="shared" si="272"/>
        <v>0</v>
      </c>
      <c r="AJ358">
        <f t="shared" si="273"/>
        <v>0</v>
      </c>
      <c r="AK358">
        <f t="shared" si="274"/>
        <v>0</v>
      </c>
      <c r="AL358">
        <f t="shared" si="275"/>
        <v>0</v>
      </c>
      <c r="AM358">
        <f t="shared" si="276"/>
        <v>0</v>
      </c>
      <c r="AN358">
        <f t="shared" si="277"/>
        <v>0</v>
      </c>
      <c r="AO358">
        <f t="shared" si="278"/>
        <v>0</v>
      </c>
      <c r="AP358">
        <f t="shared" si="279"/>
        <v>0</v>
      </c>
      <c r="AQ358">
        <f t="shared" si="280"/>
        <v>0</v>
      </c>
      <c r="AR358">
        <f t="shared" si="281"/>
        <v>0</v>
      </c>
      <c r="AS358">
        <f t="shared" si="282"/>
        <v>0</v>
      </c>
      <c r="AT358">
        <f t="shared" si="283"/>
        <v>0</v>
      </c>
      <c r="AU358">
        <f t="shared" si="284"/>
        <v>0</v>
      </c>
      <c r="AV358">
        <f t="shared" si="285"/>
        <v>0</v>
      </c>
      <c r="AW358">
        <f t="shared" si="240"/>
        <v>0</v>
      </c>
      <c r="AX358">
        <f t="shared" si="286"/>
        <v>0</v>
      </c>
      <c r="AY358">
        <f t="shared" si="287"/>
        <v>0</v>
      </c>
    </row>
    <row r="359" spans="1:51" x14ac:dyDescent="0.35">
      <c r="A359">
        <v>353</v>
      </c>
      <c r="C359">
        <f>MAX(0,Calc!$C$7-SUM(D359:R359))</f>
        <v>750</v>
      </c>
      <c r="D359">
        <f t="shared" si="241"/>
        <v>0</v>
      </c>
      <c r="E359">
        <f t="shared" si="242"/>
        <v>0</v>
      </c>
      <c r="F359">
        <f t="shared" si="243"/>
        <v>0</v>
      </c>
      <c r="G359">
        <f t="shared" si="244"/>
        <v>0</v>
      </c>
      <c r="H359">
        <f t="shared" si="245"/>
        <v>0</v>
      </c>
      <c r="I359">
        <f t="shared" si="246"/>
        <v>0</v>
      </c>
      <c r="J359">
        <f t="shared" si="247"/>
        <v>0</v>
      </c>
      <c r="K359">
        <f t="shared" si="248"/>
        <v>0</v>
      </c>
      <c r="L359">
        <f t="shared" si="249"/>
        <v>0</v>
      </c>
      <c r="M359">
        <f t="shared" si="250"/>
        <v>0</v>
      </c>
      <c r="N359">
        <f t="shared" si="251"/>
        <v>0</v>
      </c>
      <c r="O359">
        <f t="shared" si="252"/>
        <v>0</v>
      </c>
      <c r="P359">
        <f t="shared" si="253"/>
        <v>0</v>
      </c>
      <c r="Q359">
        <f t="shared" si="254"/>
        <v>0</v>
      </c>
      <c r="R359">
        <f t="shared" si="255"/>
        <v>0</v>
      </c>
      <c r="S359">
        <f t="shared" si="256"/>
        <v>0</v>
      </c>
      <c r="T359">
        <f t="shared" si="257"/>
        <v>0</v>
      </c>
      <c r="U359">
        <f t="shared" si="258"/>
        <v>0</v>
      </c>
      <c r="V359">
        <f t="shared" si="259"/>
        <v>0</v>
      </c>
      <c r="W359">
        <f t="shared" si="260"/>
        <v>0</v>
      </c>
      <c r="X359">
        <f t="shared" si="261"/>
        <v>0</v>
      </c>
      <c r="Y359">
        <f t="shared" si="262"/>
        <v>0</v>
      </c>
      <c r="Z359">
        <f t="shared" si="263"/>
        <v>0</v>
      </c>
      <c r="AA359">
        <f t="shared" si="264"/>
        <v>0</v>
      </c>
      <c r="AB359">
        <f t="shared" si="265"/>
        <v>0</v>
      </c>
      <c r="AC359">
        <f t="shared" si="266"/>
        <v>0</v>
      </c>
      <c r="AD359">
        <f t="shared" si="267"/>
        <v>0</v>
      </c>
      <c r="AE359">
        <f t="shared" si="268"/>
        <v>0</v>
      </c>
      <c r="AF359">
        <f t="shared" si="269"/>
        <v>0</v>
      </c>
      <c r="AG359">
        <f t="shared" si="270"/>
        <v>0</v>
      </c>
      <c r="AH359">
        <f t="shared" si="271"/>
        <v>0</v>
      </c>
      <c r="AI359">
        <f t="shared" si="272"/>
        <v>0</v>
      </c>
      <c r="AJ359">
        <f t="shared" si="273"/>
        <v>0</v>
      </c>
      <c r="AK359">
        <f t="shared" si="274"/>
        <v>0</v>
      </c>
      <c r="AL359">
        <f t="shared" si="275"/>
        <v>0</v>
      </c>
      <c r="AM359">
        <f t="shared" si="276"/>
        <v>0</v>
      </c>
      <c r="AN359">
        <f t="shared" si="277"/>
        <v>0</v>
      </c>
      <c r="AO359">
        <f t="shared" si="278"/>
        <v>0</v>
      </c>
      <c r="AP359">
        <f t="shared" si="279"/>
        <v>0</v>
      </c>
      <c r="AQ359">
        <f t="shared" si="280"/>
        <v>0</v>
      </c>
      <c r="AR359">
        <f t="shared" si="281"/>
        <v>0</v>
      </c>
      <c r="AS359">
        <f t="shared" si="282"/>
        <v>0</v>
      </c>
      <c r="AT359">
        <f t="shared" si="283"/>
        <v>0</v>
      </c>
      <c r="AU359">
        <f t="shared" si="284"/>
        <v>0</v>
      </c>
      <c r="AV359">
        <f t="shared" si="285"/>
        <v>0</v>
      </c>
      <c r="AW359">
        <f t="shared" si="240"/>
        <v>0</v>
      </c>
      <c r="AX359">
        <f t="shared" si="286"/>
        <v>0</v>
      </c>
      <c r="AY359">
        <f t="shared" si="287"/>
        <v>0</v>
      </c>
    </row>
    <row r="360" spans="1:51" x14ac:dyDescent="0.35">
      <c r="A360">
        <v>354</v>
      </c>
      <c r="C360">
        <f>MAX(0,Calc!$C$7-SUM(D360:R360))</f>
        <v>750</v>
      </c>
      <c r="D360">
        <f t="shared" si="241"/>
        <v>0</v>
      </c>
      <c r="E360">
        <f t="shared" si="242"/>
        <v>0</v>
      </c>
      <c r="F360">
        <f t="shared" si="243"/>
        <v>0</v>
      </c>
      <c r="G360">
        <f t="shared" si="244"/>
        <v>0</v>
      </c>
      <c r="H360">
        <f t="shared" si="245"/>
        <v>0</v>
      </c>
      <c r="I360">
        <f t="shared" si="246"/>
        <v>0</v>
      </c>
      <c r="J360">
        <f t="shared" si="247"/>
        <v>0</v>
      </c>
      <c r="K360">
        <f t="shared" si="248"/>
        <v>0</v>
      </c>
      <c r="L360">
        <f t="shared" si="249"/>
        <v>0</v>
      </c>
      <c r="M360">
        <f t="shared" si="250"/>
        <v>0</v>
      </c>
      <c r="N360">
        <f t="shared" si="251"/>
        <v>0</v>
      </c>
      <c r="O360">
        <f t="shared" si="252"/>
        <v>0</v>
      </c>
      <c r="P360">
        <f t="shared" si="253"/>
        <v>0</v>
      </c>
      <c r="Q360">
        <f t="shared" si="254"/>
        <v>0</v>
      </c>
      <c r="R360">
        <f t="shared" si="255"/>
        <v>0</v>
      </c>
      <c r="S360">
        <f t="shared" si="256"/>
        <v>0</v>
      </c>
      <c r="T360">
        <f t="shared" si="257"/>
        <v>0</v>
      </c>
      <c r="U360">
        <f t="shared" si="258"/>
        <v>0</v>
      </c>
      <c r="V360">
        <f t="shared" si="259"/>
        <v>0</v>
      </c>
      <c r="W360">
        <f t="shared" si="260"/>
        <v>0</v>
      </c>
      <c r="X360">
        <f t="shared" si="261"/>
        <v>0</v>
      </c>
      <c r="Y360">
        <f t="shared" si="262"/>
        <v>0</v>
      </c>
      <c r="Z360">
        <f t="shared" si="263"/>
        <v>0</v>
      </c>
      <c r="AA360">
        <f t="shared" si="264"/>
        <v>0</v>
      </c>
      <c r="AB360">
        <f t="shared" si="265"/>
        <v>0</v>
      </c>
      <c r="AC360">
        <f t="shared" si="266"/>
        <v>0</v>
      </c>
      <c r="AD360">
        <f t="shared" si="267"/>
        <v>0</v>
      </c>
      <c r="AE360">
        <f t="shared" si="268"/>
        <v>0</v>
      </c>
      <c r="AF360">
        <f t="shared" si="269"/>
        <v>0</v>
      </c>
      <c r="AG360">
        <f t="shared" si="270"/>
        <v>0</v>
      </c>
      <c r="AH360">
        <f t="shared" si="271"/>
        <v>0</v>
      </c>
      <c r="AI360">
        <f t="shared" si="272"/>
        <v>0</v>
      </c>
      <c r="AJ360">
        <f t="shared" si="273"/>
        <v>0</v>
      </c>
      <c r="AK360">
        <f t="shared" si="274"/>
        <v>0</v>
      </c>
      <c r="AL360">
        <f t="shared" si="275"/>
        <v>0</v>
      </c>
      <c r="AM360">
        <f t="shared" si="276"/>
        <v>0</v>
      </c>
      <c r="AN360">
        <f t="shared" si="277"/>
        <v>0</v>
      </c>
      <c r="AO360">
        <f t="shared" si="278"/>
        <v>0</v>
      </c>
      <c r="AP360">
        <f t="shared" si="279"/>
        <v>0</v>
      </c>
      <c r="AQ360">
        <f t="shared" si="280"/>
        <v>0</v>
      </c>
      <c r="AR360">
        <f t="shared" si="281"/>
        <v>0</v>
      </c>
      <c r="AS360">
        <f t="shared" si="282"/>
        <v>0</v>
      </c>
      <c r="AT360">
        <f t="shared" si="283"/>
        <v>0</v>
      </c>
      <c r="AU360">
        <f t="shared" si="284"/>
        <v>0</v>
      </c>
      <c r="AV360">
        <f t="shared" si="285"/>
        <v>0</v>
      </c>
      <c r="AW360">
        <f t="shared" si="240"/>
        <v>0</v>
      </c>
      <c r="AX360">
        <f t="shared" si="286"/>
        <v>0</v>
      </c>
      <c r="AY360">
        <f t="shared" si="287"/>
        <v>0</v>
      </c>
    </row>
    <row r="361" spans="1:51" x14ac:dyDescent="0.35">
      <c r="A361">
        <v>355</v>
      </c>
      <c r="C361">
        <f>MAX(0,Calc!$C$7-SUM(D361:R361))</f>
        <v>750</v>
      </c>
      <c r="D361">
        <f t="shared" si="241"/>
        <v>0</v>
      </c>
      <c r="E361">
        <f t="shared" si="242"/>
        <v>0</v>
      </c>
      <c r="F361">
        <f t="shared" si="243"/>
        <v>0</v>
      </c>
      <c r="G361">
        <f t="shared" si="244"/>
        <v>0</v>
      </c>
      <c r="H361">
        <f t="shared" si="245"/>
        <v>0</v>
      </c>
      <c r="I361">
        <f t="shared" si="246"/>
        <v>0</v>
      </c>
      <c r="J361">
        <f t="shared" si="247"/>
        <v>0</v>
      </c>
      <c r="K361">
        <f t="shared" si="248"/>
        <v>0</v>
      </c>
      <c r="L361">
        <f t="shared" si="249"/>
        <v>0</v>
      </c>
      <c r="M361">
        <f t="shared" si="250"/>
        <v>0</v>
      </c>
      <c r="N361">
        <f t="shared" si="251"/>
        <v>0</v>
      </c>
      <c r="O361">
        <f t="shared" si="252"/>
        <v>0</v>
      </c>
      <c r="P361">
        <f t="shared" si="253"/>
        <v>0</v>
      </c>
      <c r="Q361">
        <f t="shared" si="254"/>
        <v>0</v>
      </c>
      <c r="R361">
        <f t="shared" si="255"/>
        <v>0</v>
      </c>
      <c r="S361">
        <f t="shared" si="256"/>
        <v>0</v>
      </c>
      <c r="T361">
        <f t="shared" si="257"/>
        <v>0</v>
      </c>
      <c r="U361">
        <f t="shared" si="258"/>
        <v>0</v>
      </c>
      <c r="V361">
        <f t="shared" si="259"/>
        <v>0</v>
      </c>
      <c r="W361">
        <f t="shared" si="260"/>
        <v>0</v>
      </c>
      <c r="X361">
        <f t="shared" si="261"/>
        <v>0</v>
      </c>
      <c r="Y361">
        <f t="shared" si="262"/>
        <v>0</v>
      </c>
      <c r="Z361">
        <f t="shared" si="263"/>
        <v>0</v>
      </c>
      <c r="AA361">
        <f t="shared" si="264"/>
        <v>0</v>
      </c>
      <c r="AB361">
        <f t="shared" si="265"/>
        <v>0</v>
      </c>
      <c r="AC361">
        <f t="shared" si="266"/>
        <v>0</v>
      </c>
      <c r="AD361">
        <f t="shared" si="267"/>
        <v>0</v>
      </c>
      <c r="AE361">
        <f t="shared" si="268"/>
        <v>0</v>
      </c>
      <c r="AF361">
        <f t="shared" si="269"/>
        <v>0</v>
      </c>
      <c r="AG361">
        <f t="shared" si="270"/>
        <v>0</v>
      </c>
      <c r="AH361">
        <f t="shared" si="271"/>
        <v>0</v>
      </c>
      <c r="AI361">
        <f t="shared" si="272"/>
        <v>0</v>
      </c>
      <c r="AJ361">
        <f t="shared" si="273"/>
        <v>0</v>
      </c>
      <c r="AK361">
        <f t="shared" si="274"/>
        <v>0</v>
      </c>
      <c r="AL361">
        <f t="shared" si="275"/>
        <v>0</v>
      </c>
      <c r="AM361">
        <f t="shared" si="276"/>
        <v>0</v>
      </c>
      <c r="AN361">
        <f t="shared" si="277"/>
        <v>0</v>
      </c>
      <c r="AO361">
        <f t="shared" si="278"/>
        <v>0</v>
      </c>
      <c r="AP361">
        <f t="shared" si="279"/>
        <v>0</v>
      </c>
      <c r="AQ361">
        <f t="shared" si="280"/>
        <v>0</v>
      </c>
      <c r="AR361">
        <f t="shared" si="281"/>
        <v>0</v>
      </c>
      <c r="AS361">
        <f t="shared" si="282"/>
        <v>0</v>
      </c>
      <c r="AT361">
        <f t="shared" si="283"/>
        <v>0</v>
      </c>
      <c r="AU361">
        <f t="shared" si="284"/>
        <v>0</v>
      </c>
      <c r="AV361">
        <f t="shared" si="285"/>
        <v>0</v>
      </c>
      <c r="AW361">
        <f t="shared" si="240"/>
        <v>0</v>
      </c>
      <c r="AX361">
        <f t="shared" si="286"/>
        <v>0</v>
      </c>
      <c r="AY361">
        <f t="shared" si="287"/>
        <v>0</v>
      </c>
    </row>
    <row r="362" spans="1:51" x14ac:dyDescent="0.35">
      <c r="A362">
        <v>356</v>
      </c>
      <c r="C362">
        <f>MAX(0,Calc!$C$7-SUM(D362:R362))</f>
        <v>750</v>
      </c>
      <c r="D362">
        <f t="shared" si="241"/>
        <v>0</v>
      </c>
      <c r="E362">
        <f t="shared" si="242"/>
        <v>0</v>
      </c>
      <c r="F362">
        <f t="shared" si="243"/>
        <v>0</v>
      </c>
      <c r="G362">
        <f t="shared" si="244"/>
        <v>0</v>
      </c>
      <c r="H362">
        <f t="shared" si="245"/>
        <v>0</v>
      </c>
      <c r="I362">
        <f t="shared" si="246"/>
        <v>0</v>
      </c>
      <c r="J362">
        <f t="shared" si="247"/>
        <v>0</v>
      </c>
      <c r="K362">
        <f t="shared" si="248"/>
        <v>0</v>
      </c>
      <c r="L362">
        <f t="shared" si="249"/>
        <v>0</v>
      </c>
      <c r="M362">
        <f t="shared" si="250"/>
        <v>0</v>
      </c>
      <c r="N362">
        <f t="shared" si="251"/>
        <v>0</v>
      </c>
      <c r="O362">
        <f t="shared" si="252"/>
        <v>0</v>
      </c>
      <c r="P362">
        <f t="shared" si="253"/>
        <v>0</v>
      </c>
      <c r="Q362">
        <f t="shared" si="254"/>
        <v>0</v>
      </c>
      <c r="R362">
        <f t="shared" si="255"/>
        <v>0</v>
      </c>
      <c r="S362">
        <f t="shared" si="256"/>
        <v>0</v>
      </c>
      <c r="T362">
        <f t="shared" si="257"/>
        <v>0</v>
      </c>
      <c r="U362">
        <f t="shared" si="258"/>
        <v>0</v>
      </c>
      <c r="V362">
        <f t="shared" si="259"/>
        <v>0</v>
      </c>
      <c r="W362">
        <f t="shared" si="260"/>
        <v>0</v>
      </c>
      <c r="X362">
        <f t="shared" si="261"/>
        <v>0</v>
      </c>
      <c r="Y362">
        <f t="shared" si="262"/>
        <v>0</v>
      </c>
      <c r="Z362">
        <f t="shared" si="263"/>
        <v>0</v>
      </c>
      <c r="AA362">
        <f t="shared" si="264"/>
        <v>0</v>
      </c>
      <c r="AB362">
        <f t="shared" si="265"/>
        <v>0</v>
      </c>
      <c r="AC362">
        <f t="shared" si="266"/>
        <v>0</v>
      </c>
      <c r="AD362">
        <f t="shared" si="267"/>
        <v>0</v>
      </c>
      <c r="AE362">
        <f t="shared" si="268"/>
        <v>0</v>
      </c>
      <c r="AF362">
        <f t="shared" si="269"/>
        <v>0</v>
      </c>
      <c r="AG362">
        <f t="shared" si="270"/>
        <v>0</v>
      </c>
      <c r="AH362">
        <f t="shared" si="271"/>
        <v>0</v>
      </c>
      <c r="AI362">
        <f t="shared" si="272"/>
        <v>0</v>
      </c>
      <c r="AJ362">
        <f t="shared" si="273"/>
        <v>0</v>
      </c>
      <c r="AK362">
        <f t="shared" si="274"/>
        <v>0</v>
      </c>
      <c r="AL362">
        <f t="shared" si="275"/>
        <v>0</v>
      </c>
      <c r="AM362">
        <f t="shared" si="276"/>
        <v>0</v>
      </c>
      <c r="AN362">
        <f t="shared" si="277"/>
        <v>0</v>
      </c>
      <c r="AO362">
        <f t="shared" si="278"/>
        <v>0</v>
      </c>
      <c r="AP362">
        <f t="shared" si="279"/>
        <v>0</v>
      </c>
      <c r="AQ362">
        <f t="shared" si="280"/>
        <v>0</v>
      </c>
      <c r="AR362">
        <f t="shared" si="281"/>
        <v>0</v>
      </c>
      <c r="AS362">
        <f t="shared" si="282"/>
        <v>0</v>
      </c>
      <c r="AT362">
        <f t="shared" si="283"/>
        <v>0</v>
      </c>
      <c r="AU362">
        <f t="shared" si="284"/>
        <v>0</v>
      </c>
      <c r="AV362">
        <f t="shared" si="285"/>
        <v>0</v>
      </c>
      <c r="AW362">
        <f t="shared" si="240"/>
        <v>0</v>
      </c>
      <c r="AX362">
        <f t="shared" si="286"/>
        <v>0</v>
      </c>
      <c r="AY362">
        <f t="shared" si="287"/>
        <v>0</v>
      </c>
    </row>
    <row r="363" spans="1:51" x14ac:dyDescent="0.35">
      <c r="A363">
        <v>357</v>
      </c>
      <c r="C363">
        <f>MAX(0,Calc!$C$7-SUM(D363:R363))</f>
        <v>750</v>
      </c>
      <c r="D363">
        <f t="shared" si="241"/>
        <v>0</v>
      </c>
      <c r="E363">
        <f t="shared" si="242"/>
        <v>0</v>
      </c>
      <c r="F363">
        <f t="shared" si="243"/>
        <v>0</v>
      </c>
      <c r="G363">
        <f t="shared" si="244"/>
        <v>0</v>
      </c>
      <c r="H363">
        <f t="shared" si="245"/>
        <v>0</v>
      </c>
      <c r="I363">
        <f t="shared" si="246"/>
        <v>0</v>
      </c>
      <c r="J363">
        <f t="shared" si="247"/>
        <v>0</v>
      </c>
      <c r="K363">
        <f t="shared" si="248"/>
        <v>0</v>
      </c>
      <c r="L363">
        <f t="shared" si="249"/>
        <v>0</v>
      </c>
      <c r="M363">
        <f t="shared" si="250"/>
        <v>0</v>
      </c>
      <c r="N363">
        <f t="shared" si="251"/>
        <v>0</v>
      </c>
      <c r="O363">
        <f t="shared" si="252"/>
        <v>0</v>
      </c>
      <c r="P363">
        <f t="shared" si="253"/>
        <v>0</v>
      </c>
      <c r="Q363">
        <f t="shared" si="254"/>
        <v>0</v>
      </c>
      <c r="R363">
        <f t="shared" si="255"/>
        <v>0</v>
      </c>
      <c r="S363">
        <f t="shared" si="256"/>
        <v>0</v>
      </c>
      <c r="T363">
        <f t="shared" si="257"/>
        <v>0</v>
      </c>
      <c r="U363">
        <f t="shared" si="258"/>
        <v>0</v>
      </c>
      <c r="V363">
        <f t="shared" si="259"/>
        <v>0</v>
      </c>
      <c r="W363">
        <f t="shared" si="260"/>
        <v>0</v>
      </c>
      <c r="X363">
        <f t="shared" si="261"/>
        <v>0</v>
      </c>
      <c r="Y363">
        <f t="shared" si="262"/>
        <v>0</v>
      </c>
      <c r="Z363">
        <f t="shared" si="263"/>
        <v>0</v>
      </c>
      <c r="AA363">
        <f t="shared" si="264"/>
        <v>0</v>
      </c>
      <c r="AB363">
        <f t="shared" si="265"/>
        <v>0</v>
      </c>
      <c r="AC363">
        <f t="shared" si="266"/>
        <v>0</v>
      </c>
      <c r="AD363">
        <f t="shared" si="267"/>
        <v>0</v>
      </c>
      <c r="AE363">
        <f t="shared" si="268"/>
        <v>0</v>
      </c>
      <c r="AF363">
        <f t="shared" si="269"/>
        <v>0</v>
      </c>
      <c r="AG363">
        <f t="shared" si="270"/>
        <v>0</v>
      </c>
      <c r="AH363">
        <f t="shared" si="271"/>
        <v>0</v>
      </c>
      <c r="AI363">
        <f t="shared" si="272"/>
        <v>0</v>
      </c>
      <c r="AJ363">
        <f t="shared" si="273"/>
        <v>0</v>
      </c>
      <c r="AK363">
        <f t="shared" si="274"/>
        <v>0</v>
      </c>
      <c r="AL363">
        <f t="shared" si="275"/>
        <v>0</v>
      </c>
      <c r="AM363">
        <f t="shared" si="276"/>
        <v>0</v>
      </c>
      <c r="AN363">
        <f t="shared" si="277"/>
        <v>0</v>
      </c>
      <c r="AO363">
        <f t="shared" si="278"/>
        <v>0</v>
      </c>
      <c r="AP363">
        <f t="shared" si="279"/>
        <v>0</v>
      </c>
      <c r="AQ363">
        <f t="shared" si="280"/>
        <v>0</v>
      </c>
      <c r="AR363">
        <f t="shared" si="281"/>
        <v>0</v>
      </c>
      <c r="AS363">
        <f t="shared" si="282"/>
        <v>0</v>
      </c>
      <c r="AT363">
        <f t="shared" si="283"/>
        <v>0</v>
      </c>
      <c r="AU363">
        <f t="shared" si="284"/>
        <v>0</v>
      </c>
      <c r="AV363">
        <f t="shared" si="285"/>
        <v>0</v>
      </c>
      <c r="AW363">
        <f t="shared" si="240"/>
        <v>0</v>
      </c>
      <c r="AX363">
        <f t="shared" si="286"/>
        <v>0</v>
      </c>
      <c r="AY363">
        <f t="shared" si="287"/>
        <v>0</v>
      </c>
    </row>
    <row r="364" spans="1:51" x14ac:dyDescent="0.35">
      <c r="A364">
        <v>358</v>
      </c>
      <c r="C364">
        <f>MAX(0,Calc!$C$7-SUM(D364:R364))</f>
        <v>750</v>
      </c>
      <c r="D364">
        <f t="shared" si="241"/>
        <v>0</v>
      </c>
      <c r="E364">
        <f t="shared" si="242"/>
        <v>0</v>
      </c>
      <c r="F364">
        <f t="shared" si="243"/>
        <v>0</v>
      </c>
      <c r="G364">
        <f t="shared" si="244"/>
        <v>0</v>
      </c>
      <c r="H364">
        <f t="shared" si="245"/>
        <v>0</v>
      </c>
      <c r="I364">
        <f t="shared" si="246"/>
        <v>0</v>
      </c>
      <c r="J364">
        <f t="shared" si="247"/>
        <v>0</v>
      </c>
      <c r="K364">
        <f t="shared" si="248"/>
        <v>0</v>
      </c>
      <c r="L364">
        <f t="shared" si="249"/>
        <v>0</v>
      </c>
      <c r="M364">
        <f t="shared" si="250"/>
        <v>0</v>
      </c>
      <c r="N364">
        <f t="shared" si="251"/>
        <v>0</v>
      </c>
      <c r="O364">
        <f t="shared" si="252"/>
        <v>0</v>
      </c>
      <c r="P364">
        <f t="shared" si="253"/>
        <v>0</v>
      </c>
      <c r="Q364">
        <f t="shared" si="254"/>
        <v>0</v>
      </c>
      <c r="R364">
        <f t="shared" si="255"/>
        <v>0</v>
      </c>
      <c r="S364">
        <f t="shared" si="256"/>
        <v>0</v>
      </c>
      <c r="T364">
        <f t="shared" si="257"/>
        <v>0</v>
      </c>
      <c r="U364">
        <f t="shared" si="258"/>
        <v>0</v>
      </c>
      <c r="V364">
        <f t="shared" si="259"/>
        <v>0</v>
      </c>
      <c r="W364">
        <f t="shared" si="260"/>
        <v>0</v>
      </c>
      <c r="X364">
        <f t="shared" si="261"/>
        <v>0</v>
      </c>
      <c r="Y364">
        <f t="shared" si="262"/>
        <v>0</v>
      </c>
      <c r="Z364">
        <f t="shared" si="263"/>
        <v>0</v>
      </c>
      <c r="AA364">
        <f t="shared" si="264"/>
        <v>0</v>
      </c>
      <c r="AB364">
        <f t="shared" si="265"/>
        <v>0</v>
      </c>
      <c r="AC364">
        <f t="shared" si="266"/>
        <v>0</v>
      </c>
      <c r="AD364">
        <f t="shared" si="267"/>
        <v>0</v>
      </c>
      <c r="AE364">
        <f t="shared" si="268"/>
        <v>0</v>
      </c>
      <c r="AF364">
        <f t="shared" si="269"/>
        <v>0</v>
      </c>
      <c r="AG364">
        <f t="shared" si="270"/>
        <v>0</v>
      </c>
      <c r="AH364">
        <f t="shared" si="271"/>
        <v>0</v>
      </c>
      <c r="AI364">
        <f t="shared" si="272"/>
        <v>0</v>
      </c>
      <c r="AJ364">
        <f t="shared" si="273"/>
        <v>0</v>
      </c>
      <c r="AK364">
        <f t="shared" si="274"/>
        <v>0</v>
      </c>
      <c r="AL364">
        <f t="shared" si="275"/>
        <v>0</v>
      </c>
      <c r="AM364">
        <f t="shared" si="276"/>
        <v>0</v>
      </c>
      <c r="AN364">
        <f t="shared" si="277"/>
        <v>0</v>
      </c>
      <c r="AO364">
        <f t="shared" si="278"/>
        <v>0</v>
      </c>
      <c r="AP364">
        <f t="shared" si="279"/>
        <v>0</v>
      </c>
      <c r="AQ364">
        <f t="shared" si="280"/>
        <v>0</v>
      </c>
      <c r="AR364">
        <f t="shared" si="281"/>
        <v>0</v>
      </c>
      <c r="AS364">
        <f t="shared" si="282"/>
        <v>0</v>
      </c>
      <c r="AT364">
        <f t="shared" si="283"/>
        <v>0</v>
      </c>
      <c r="AU364">
        <f t="shared" si="284"/>
        <v>0</v>
      </c>
      <c r="AV364">
        <f t="shared" si="285"/>
        <v>0</v>
      </c>
      <c r="AW364">
        <f t="shared" si="240"/>
        <v>0</v>
      </c>
      <c r="AX364">
        <f t="shared" si="286"/>
        <v>0</v>
      </c>
      <c r="AY364">
        <f t="shared" si="287"/>
        <v>0</v>
      </c>
    </row>
    <row r="365" spans="1:51" x14ac:dyDescent="0.35">
      <c r="A365">
        <v>359</v>
      </c>
      <c r="C365">
        <f>MAX(0,Calc!$C$7-SUM(D365:R365))</f>
        <v>750</v>
      </c>
      <c r="D365">
        <f t="shared" si="241"/>
        <v>0</v>
      </c>
      <c r="E365">
        <f t="shared" si="242"/>
        <v>0</v>
      </c>
      <c r="F365">
        <f t="shared" si="243"/>
        <v>0</v>
      </c>
      <c r="G365">
        <f t="shared" si="244"/>
        <v>0</v>
      </c>
      <c r="H365">
        <f t="shared" si="245"/>
        <v>0</v>
      </c>
      <c r="I365">
        <f t="shared" si="246"/>
        <v>0</v>
      </c>
      <c r="J365">
        <f t="shared" si="247"/>
        <v>0</v>
      </c>
      <c r="K365">
        <f t="shared" si="248"/>
        <v>0</v>
      </c>
      <c r="L365">
        <f t="shared" si="249"/>
        <v>0</v>
      </c>
      <c r="M365">
        <f t="shared" si="250"/>
        <v>0</v>
      </c>
      <c r="N365">
        <f t="shared" si="251"/>
        <v>0</v>
      </c>
      <c r="O365">
        <f t="shared" si="252"/>
        <v>0</v>
      </c>
      <c r="P365">
        <f t="shared" si="253"/>
        <v>0</v>
      </c>
      <c r="Q365">
        <f t="shared" si="254"/>
        <v>0</v>
      </c>
      <c r="R365">
        <f t="shared" si="255"/>
        <v>0</v>
      </c>
      <c r="S365">
        <f t="shared" si="256"/>
        <v>0</v>
      </c>
      <c r="T365">
        <f t="shared" si="257"/>
        <v>0</v>
      </c>
      <c r="U365">
        <f t="shared" si="258"/>
        <v>0</v>
      </c>
      <c r="V365">
        <f t="shared" si="259"/>
        <v>0</v>
      </c>
      <c r="W365">
        <f t="shared" si="260"/>
        <v>0</v>
      </c>
      <c r="X365">
        <f t="shared" si="261"/>
        <v>0</v>
      </c>
      <c r="Y365">
        <f t="shared" si="262"/>
        <v>0</v>
      </c>
      <c r="Z365">
        <f t="shared" si="263"/>
        <v>0</v>
      </c>
      <c r="AA365">
        <f t="shared" si="264"/>
        <v>0</v>
      </c>
      <c r="AB365">
        <f t="shared" si="265"/>
        <v>0</v>
      </c>
      <c r="AC365">
        <f t="shared" si="266"/>
        <v>0</v>
      </c>
      <c r="AD365">
        <f t="shared" si="267"/>
        <v>0</v>
      </c>
      <c r="AE365">
        <f t="shared" si="268"/>
        <v>0</v>
      </c>
      <c r="AF365">
        <f t="shared" si="269"/>
        <v>0</v>
      </c>
      <c r="AG365">
        <f t="shared" si="270"/>
        <v>0</v>
      </c>
      <c r="AH365">
        <f t="shared" si="271"/>
        <v>0</v>
      </c>
      <c r="AI365">
        <f t="shared" si="272"/>
        <v>0</v>
      </c>
      <c r="AJ365">
        <f t="shared" si="273"/>
        <v>0</v>
      </c>
      <c r="AK365">
        <f t="shared" si="274"/>
        <v>0</v>
      </c>
      <c r="AL365">
        <f t="shared" si="275"/>
        <v>0</v>
      </c>
      <c r="AM365">
        <f t="shared" si="276"/>
        <v>0</v>
      </c>
      <c r="AN365">
        <f t="shared" si="277"/>
        <v>0</v>
      </c>
      <c r="AO365">
        <f t="shared" si="278"/>
        <v>0</v>
      </c>
      <c r="AP365">
        <f t="shared" si="279"/>
        <v>0</v>
      </c>
      <c r="AQ365">
        <f t="shared" si="280"/>
        <v>0</v>
      </c>
      <c r="AR365">
        <f t="shared" si="281"/>
        <v>0</v>
      </c>
      <c r="AS365">
        <f t="shared" si="282"/>
        <v>0</v>
      </c>
      <c r="AT365">
        <f t="shared" si="283"/>
        <v>0</v>
      </c>
      <c r="AU365">
        <f t="shared" si="284"/>
        <v>0</v>
      </c>
      <c r="AV365">
        <f t="shared" si="285"/>
        <v>0</v>
      </c>
      <c r="AW365">
        <f t="shared" si="240"/>
        <v>0</v>
      </c>
      <c r="AX365">
        <f t="shared" si="286"/>
        <v>0</v>
      </c>
      <c r="AY365">
        <f t="shared" si="287"/>
        <v>0</v>
      </c>
    </row>
    <row r="366" spans="1:51" x14ac:dyDescent="0.35">
      <c r="A366">
        <v>360</v>
      </c>
      <c r="C366">
        <f>MAX(0,Calc!$C$7-SUM(D366:R366))</f>
        <v>750</v>
      </c>
      <c r="D366">
        <f t="shared" si="241"/>
        <v>0</v>
      </c>
      <c r="E366">
        <f t="shared" si="242"/>
        <v>0</v>
      </c>
      <c r="F366">
        <f t="shared" si="243"/>
        <v>0</v>
      </c>
      <c r="G366">
        <f t="shared" si="244"/>
        <v>0</v>
      </c>
      <c r="H366">
        <f t="shared" si="245"/>
        <v>0</v>
      </c>
      <c r="I366">
        <f t="shared" si="246"/>
        <v>0</v>
      </c>
      <c r="J366">
        <f t="shared" si="247"/>
        <v>0</v>
      </c>
      <c r="K366">
        <f t="shared" si="248"/>
        <v>0</v>
      </c>
      <c r="L366">
        <f t="shared" si="249"/>
        <v>0</v>
      </c>
      <c r="M366">
        <f t="shared" si="250"/>
        <v>0</v>
      </c>
      <c r="N366">
        <f t="shared" si="251"/>
        <v>0</v>
      </c>
      <c r="O366">
        <f t="shared" si="252"/>
        <v>0</v>
      </c>
      <c r="P366">
        <f t="shared" si="253"/>
        <v>0</v>
      </c>
      <c r="Q366">
        <f t="shared" si="254"/>
        <v>0</v>
      </c>
      <c r="R366">
        <f t="shared" si="255"/>
        <v>0</v>
      </c>
      <c r="S366">
        <f t="shared" si="256"/>
        <v>0</v>
      </c>
      <c r="T366">
        <f t="shared" si="257"/>
        <v>0</v>
      </c>
      <c r="U366">
        <f t="shared" si="258"/>
        <v>0</v>
      </c>
      <c r="V366">
        <f t="shared" si="259"/>
        <v>0</v>
      </c>
      <c r="W366">
        <f t="shared" si="260"/>
        <v>0</v>
      </c>
      <c r="X366">
        <f t="shared" si="261"/>
        <v>0</v>
      </c>
      <c r="Y366">
        <f t="shared" si="262"/>
        <v>0</v>
      </c>
      <c r="Z366">
        <f t="shared" si="263"/>
        <v>0</v>
      </c>
      <c r="AA366">
        <f t="shared" si="264"/>
        <v>0</v>
      </c>
      <c r="AB366">
        <f t="shared" si="265"/>
        <v>0</v>
      </c>
      <c r="AC366">
        <f t="shared" si="266"/>
        <v>0</v>
      </c>
      <c r="AD366">
        <f t="shared" si="267"/>
        <v>0</v>
      </c>
      <c r="AE366">
        <f t="shared" si="268"/>
        <v>0</v>
      </c>
      <c r="AF366">
        <f t="shared" si="269"/>
        <v>0</v>
      </c>
      <c r="AG366">
        <f t="shared" si="270"/>
        <v>0</v>
      </c>
      <c r="AH366">
        <f t="shared" si="271"/>
        <v>0</v>
      </c>
      <c r="AI366">
        <f t="shared" si="272"/>
        <v>0</v>
      </c>
      <c r="AJ366">
        <f t="shared" si="273"/>
        <v>0</v>
      </c>
      <c r="AK366">
        <f t="shared" si="274"/>
        <v>0</v>
      </c>
      <c r="AL366">
        <f t="shared" si="275"/>
        <v>0</v>
      </c>
      <c r="AM366">
        <f t="shared" si="276"/>
        <v>0</v>
      </c>
      <c r="AN366">
        <f t="shared" si="277"/>
        <v>0</v>
      </c>
      <c r="AO366">
        <f t="shared" si="278"/>
        <v>0</v>
      </c>
      <c r="AP366">
        <f t="shared" si="279"/>
        <v>0</v>
      </c>
      <c r="AQ366">
        <f t="shared" si="280"/>
        <v>0</v>
      </c>
      <c r="AR366">
        <f t="shared" si="281"/>
        <v>0</v>
      </c>
      <c r="AS366">
        <f t="shared" si="282"/>
        <v>0</v>
      </c>
      <c r="AT366">
        <f t="shared" si="283"/>
        <v>0</v>
      </c>
      <c r="AU366">
        <f t="shared" si="284"/>
        <v>0</v>
      </c>
      <c r="AV366">
        <f t="shared" si="285"/>
        <v>0</v>
      </c>
      <c r="AW366">
        <f t="shared" si="240"/>
        <v>0</v>
      </c>
      <c r="AX366">
        <f t="shared" si="286"/>
        <v>0</v>
      </c>
      <c r="AY366">
        <f t="shared" si="287"/>
        <v>0</v>
      </c>
    </row>
    <row r="368" spans="1:51" x14ac:dyDescent="0.35">
      <c r="A368" t="s">
        <v>201</v>
      </c>
      <c r="AH368">
        <f t="shared" ref="AH368:AV368" si="288">SUM(D7:D366)+SUM(S7:S366)</f>
        <v>650</v>
      </c>
      <c r="AI368">
        <f t="shared" si="288"/>
        <v>1350.27</v>
      </c>
      <c r="AJ368">
        <f t="shared" si="288"/>
        <v>6156.24</v>
      </c>
      <c r="AK368">
        <f t="shared" si="288"/>
        <v>12681.13</v>
      </c>
      <c r="AL368">
        <f t="shared" si="288"/>
        <v>0</v>
      </c>
      <c r="AM368">
        <f t="shared" si="288"/>
        <v>0</v>
      </c>
      <c r="AN368">
        <f t="shared" si="288"/>
        <v>0</v>
      </c>
      <c r="AO368">
        <f t="shared" si="288"/>
        <v>0</v>
      </c>
      <c r="AP368">
        <f t="shared" si="288"/>
        <v>0</v>
      </c>
      <c r="AQ368">
        <f t="shared" si="288"/>
        <v>0</v>
      </c>
      <c r="AR368">
        <f t="shared" si="288"/>
        <v>0</v>
      </c>
      <c r="AS368">
        <f t="shared" si="288"/>
        <v>0</v>
      </c>
      <c r="AT368">
        <f t="shared" si="288"/>
        <v>0</v>
      </c>
      <c r="AU368">
        <f t="shared" si="288"/>
        <v>0</v>
      </c>
      <c r="AV368">
        <f t="shared" si="288"/>
        <v>0</v>
      </c>
    </row>
    <row r="369" spans="1:48" x14ac:dyDescent="0.35">
      <c r="A369" t="s">
        <v>202</v>
      </c>
      <c r="AH369">
        <f t="shared" ref="AH369:AV369" si="289">IF(AH2=0,0,IF(AH366&gt;0.005,999,COUNTIF(AH7:AH366,"&gt;0.005")+1))</f>
        <v>3</v>
      </c>
      <c r="AI369">
        <f t="shared" si="289"/>
        <v>7</v>
      </c>
      <c r="AJ369">
        <f t="shared" si="289"/>
        <v>19</v>
      </c>
      <c r="AK369">
        <f t="shared" si="289"/>
        <v>28</v>
      </c>
      <c r="AL369">
        <f t="shared" si="289"/>
        <v>0</v>
      </c>
      <c r="AM369">
        <f t="shared" si="289"/>
        <v>0</v>
      </c>
      <c r="AN369">
        <f t="shared" si="289"/>
        <v>0</v>
      </c>
      <c r="AO369">
        <f t="shared" si="289"/>
        <v>0</v>
      </c>
      <c r="AP369">
        <f t="shared" si="289"/>
        <v>0</v>
      </c>
      <c r="AQ369">
        <f t="shared" si="289"/>
        <v>0</v>
      </c>
      <c r="AR369">
        <f t="shared" si="289"/>
        <v>0</v>
      </c>
      <c r="AS369">
        <f t="shared" si="289"/>
        <v>0</v>
      </c>
      <c r="AT369">
        <f t="shared" si="289"/>
        <v>0</v>
      </c>
      <c r="AU369">
        <f t="shared" si="289"/>
        <v>0</v>
      </c>
      <c r="AV369">
        <f t="shared" si="289"/>
        <v>0</v>
      </c>
    </row>
    <row r="370" spans="1:48" x14ac:dyDescent="0.35">
      <c r="A370" t="s">
        <v>61</v>
      </c>
      <c r="AH370">
        <f t="shared" ref="AH370:AV370" si="290">IF(AH2=0,0,ROUND(AH368-AH6+AH366,2))</f>
        <v>0</v>
      </c>
      <c r="AI370">
        <f t="shared" si="290"/>
        <v>150.27000000000001</v>
      </c>
      <c r="AJ370">
        <f t="shared" si="290"/>
        <v>1306.24</v>
      </c>
      <c r="AK370">
        <f t="shared" si="290"/>
        <v>1281.1300000000001</v>
      </c>
      <c r="AL370">
        <f t="shared" si="290"/>
        <v>0</v>
      </c>
      <c r="AM370">
        <f t="shared" si="290"/>
        <v>0</v>
      </c>
      <c r="AN370">
        <f t="shared" si="290"/>
        <v>0</v>
      </c>
      <c r="AO370">
        <f t="shared" si="290"/>
        <v>0</v>
      </c>
      <c r="AP370">
        <f t="shared" si="290"/>
        <v>0</v>
      </c>
      <c r="AQ370">
        <f t="shared" si="290"/>
        <v>0</v>
      </c>
      <c r="AR370">
        <f t="shared" si="290"/>
        <v>0</v>
      </c>
      <c r="AS370">
        <f t="shared" si="290"/>
        <v>0</v>
      </c>
      <c r="AT370">
        <f t="shared" si="290"/>
        <v>0</v>
      </c>
      <c r="AU370">
        <f t="shared" si="290"/>
        <v>0</v>
      </c>
      <c r="AV370">
        <f t="shared" si="290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A3B4F"/>
  </sheetPr>
  <dimension ref="A1:AY370"/>
  <sheetViews>
    <sheetView workbookViewId="0"/>
  </sheetViews>
  <sheetFormatPr defaultRowHeight="14.5" x14ac:dyDescent="0.35"/>
  <sheetData>
    <row r="1" spans="1:51" x14ac:dyDescent="0.35">
      <c r="A1" t="s">
        <v>204</v>
      </c>
    </row>
    <row r="2" spans="1:51" x14ac:dyDescent="0.35">
      <c r="A2" t="s">
        <v>151</v>
      </c>
      <c r="AH2">
        <f>IFERROR(MATCH(1,Calc!$J$10:$J$24,0),0)</f>
        <v>2</v>
      </c>
      <c r="AI2">
        <f>IFERROR(MATCH(2,Calc!$J$10:$J$24,0),0)</f>
        <v>1</v>
      </c>
      <c r="AJ2">
        <f>IFERROR(MATCH(3,Calc!$J$10:$J$24,0),0)</f>
        <v>3</v>
      </c>
      <c r="AK2">
        <f>IFERROR(MATCH(4,Calc!$J$10:$J$24,0),0)</f>
        <v>4</v>
      </c>
      <c r="AL2">
        <f>IFERROR(MATCH(5,Calc!$J$10:$J$24,0),0)</f>
        <v>0</v>
      </c>
      <c r="AM2">
        <f>IFERROR(MATCH(6,Calc!$J$10:$J$24,0),0)</f>
        <v>0</v>
      </c>
      <c r="AN2">
        <f>IFERROR(MATCH(7,Calc!$J$10:$J$24,0),0)</f>
        <v>0</v>
      </c>
      <c r="AO2">
        <f>IFERROR(MATCH(8,Calc!$J$10:$J$24,0),0)</f>
        <v>0</v>
      </c>
      <c r="AP2">
        <f>IFERROR(MATCH(9,Calc!$J$10:$J$24,0),0)</f>
        <v>0</v>
      </c>
      <c r="AQ2">
        <f>IFERROR(MATCH(10,Calc!$J$10:$J$24,0),0)</f>
        <v>0</v>
      </c>
      <c r="AR2">
        <f>IFERROR(MATCH(11,Calc!$J$10:$J$24,0),0)</f>
        <v>0</v>
      </c>
      <c r="AS2">
        <f>IFERROR(MATCH(12,Calc!$J$10:$J$24,0),0)</f>
        <v>0</v>
      </c>
      <c r="AT2">
        <f>IFERROR(MATCH(13,Calc!$J$10:$J$24,0),0)</f>
        <v>0</v>
      </c>
      <c r="AU2">
        <f>IFERROR(MATCH(14,Calc!$J$10:$J$24,0),0)</f>
        <v>0</v>
      </c>
      <c r="AV2">
        <f>IFERROR(MATCH(15,Calc!$J$10:$J$24,0),0)</f>
        <v>0</v>
      </c>
    </row>
    <row r="3" spans="1:51" x14ac:dyDescent="0.35">
      <c r="A3" t="s">
        <v>152</v>
      </c>
      <c r="AH3">
        <f>IF(AH2=0,0,INDEX(Calc!$E$10:$E$24,AH2)/1200)</f>
        <v>2.4158333333333334E-2</v>
      </c>
      <c r="AI3">
        <f>IF(AI2=0,0,INDEX(Calc!$E$10:$E$24,AI2)/1200)</f>
        <v>2.0825E-2</v>
      </c>
      <c r="AJ3">
        <f>IF(AJ2=0,0,INDEX(Calc!$E$10:$E$24,AJ2)/1200)</f>
        <v>6.2500000000000003E-3</v>
      </c>
      <c r="AK3">
        <f>IF(AK2=0,0,INDEX(Calc!$E$10:$E$24,AK2)/1200)</f>
        <v>0</v>
      </c>
      <c r="AL3">
        <f>IF(AL2=0,0,INDEX(Calc!$E$10:$E$24,AL2)/1200)</f>
        <v>0</v>
      </c>
      <c r="AM3">
        <f>IF(AM2=0,0,INDEX(Calc!$E$10:$E$24,AM2)/1200)</f>
        <v>0</v>
      </c>
      <c r="AN3">
        <f>IF(AN2=0,0,INDEX(Calc!$E$10:$E$24,AN2)/1200)</f>
        <v>0</v>
      </c>
      <c r="AO3">
        <f>IF(AO2=0,0,INDEX(Calc!$E$10:$E$24,AO2)/1200)</f>
        <v>0</v>
      </c>
      <c r="AP3">
        <f>IF(AP2=0,0,INDEX(Calc!$E$10:$E$24,AP2)/1200)</f>
        <v>0</v>
      </c>
      <c r="AQ3">
        <f>IF(AQ2=0,0,INDEX(Calc!$E$10:$E$24,AQ2)/1200)</f>
        <v>0</v>
      </c>
      <c r="AR3">
        <f>IF(AR2=0,0,INDEX(Calc!$E$10:$E$24,AR2)/1200)</f>
        <v>0</v>
      </c>
      <c r="AS3">
        <f>IF(AS2=0,0,INDEX(Calc!$E$10:$E$24,AS2)/1200)</f>
        <v>0</v>
      </c>
      <c r="AT3">
        <f>IF(AT2=0,0,INDEX(Calc!$E$10:$E$24,AT2)/1200)</f>
        <v>0</v>
      </c>
      <c r="AU3">
        <f>IF(AU2=0,0,INDEX(Calc!$E$10:$E$24,AU2)/1200)</f>
        <v>0</v>
      </c>
      <c r="AV3">
        <f>IF(AV2=0,0,INDEX(Calc!$E$10:$E$24,AV2)/1200)</f>
        <v>0</v>
      </c>
    </row>
    <row r="4" spans="1:51" x14ac:dyDescent="0.35">
      <c r="A4" t="s">
        <v>153</v>
      </c>
      <c r="AH4">
        <f>IF(AH2=0,0,INDEX(Calc!$F$10:$F$24,AH2))</f>
        <v>40</v>
      </c>
      <c r="AI4">
        <f>IF(AI2=0,0,INDEX(Calc!$F$10:$F$24,AI2))</f>
        <v>145</v>
      </c>
      <c r="AJ4">
        <f>IF(AJ2=0,0,INDEX(Calc!$F$10:$F$24,AJ2))</f>
        <v>315</v>
      </c>
      <c r="AK4">
        <f>IF(AK2=0,0,INDEX(Calc!$F$10:$F$24,AK2))</f>
        <v>50</v>
      </c>
      <c r="AL4">
        <f>IF(AL2=0,0,INDEX(Calc!$F$10:$F$24,AL2))</f>
        <v>0</v>
      </c>
      <c r="AM4">
        <f>IF(AM2=0,0,INDEX(Calc!$F$10:$F$24,AM2))</f>
        <v>0</v>
      </c>
      <c r="AN4">
        <f>IF(AN2=0,0,INDEX(Calc!$F$10:$F$24,AN2))</f>
        <v>0</v>
      </c>
      <c r="AO4">
        <f>IF(AO2=0,0,INDEX(Calc!$F$10:$F$24,AO2))</f>
        <v>0</v>
      </c>
      <c r="AP4">
        <f>IF(AP2=0,0,INDEX(Calc!$F$10:$F$24,AP2))</f>
        <v>0</v>
      </c>
      <c r="AQ4">
        <f>IF(AQ2=0,0,INDEX(Calc!$F$10:$F$24,AQ2))</f>
        <v>0</v>
      </c>
      <c r="AR4">
        <f>IF(AR2=0,0,INDEX(Calc!$F$10:$F$24,AR2))</f>
        <v>0</v>
      </c>
      <c r="AS4">
        <f>IF(AS2=0,0,INDEX(Calc!$F$10:$F$24,AS2))</f>
        <v>0</v>
      </c>
      <c r="AT4">
        <f>IF(AT2=0,0,INDEX(Calc!$F$10:$F$24,AT2))</f>
        <v>0</v>
      </c>
      <c r="AU4">
        <f>IF(AU2=0,0,INDEX(Calc!$F$10:$F$24,AU2))</f>
        <v>0</v>
      </c>
      <c r="AV4">
        <f>IF(AV2=0,0,INDEX(Calc!$F$10:$F$24,AV2))</f>
        <v>0</v>
      </c>
    </row>
    <row r="5" spans="1:51" x14ac:dyDescent="0.35">
      <c r="A5" t="s">
        <v>112</v>
      </c>
      <c r="C5" t="s">
        <v>154</v>
      </c>
      <c r="D5" t="s">
        <v>155</v>
      </c>
      <c r="E5" t="s">
        <v>156</v>
      </c>
      <c r="F5" t="s">
        <v>157</v>
      </c>
      <c r="G5" t="s">
        <v>158</v>
      </c>
      <c r="H5" t="s">
        <v>159</v>
      </c>
      <c r="I5" t="s">
        <v>160</v>
      </c>
      <c r="J5" t="s">
        <v>161</v>
      </c>
      <c r="K5" t="s">
        <v>162</v>
      </c>
      <c r="L5" t="s">
        <v>163</v>
      </c>
      <c r="M5" t="s">
        <v>164</v>
      </c>
      <c r="N5" t="s">
        <v>165</v>
      </c>
      <c r="O5" t="s">
        <v>166</v>
      </c>
      <c r="P5" t="s">
        <v>167</v>
      </c>
      <c r="Q5" t="s">
        <v>168</v>
      </c>
      <c r="R5" t="s">
        <v>169</v>
      </c>
      <c r="S5" t="s">
        <v>170</v>
      </c>
      <c r="T5" t="s">
        <v>171</v>
      </c>
      <c r="U5" t="s">
        <v>172</v>
      </c>
      <c r="V5" t="s">
        <v>173</v>
      </c>
      <c r="W5" t="s">
        <v>174</v>
      </c>
      <c r="X5" t="s">
        <v>175</v>
      </c>
      <c r="Y5" t="s">
        <v>176</v>
      </c>
      <c r="Z5" t="s">
        <v>177</v>
      </c>
      <c r="AA5" t="s">
        <v>178</v>
      </c>
      <c r="AB5" t="s">
        <v>179</v>
      </c>
      <c r="AC5" t="s">
        <v>180</v>
      </c>
      <c r="AD5" t="s">
        <v>181</v>
      </c>
      <c r="AE5" t="s">
        <v>182</v>
      </c>
      <c r="AF5" t="s">
        <v>183</v>
      </c>
      <c r="AG5" t="s">
        <v>184</v>
      </c>
      <c r="AH5" t="s">
        <v>185</v>
      </c>
      <c r="AI5" t="s">
        <v>186</v>
      </c>
      <c r="AJ5" t="s">
        <v>187</v>
      </c>
      <c r="AK5" t="s">
        <v>188</v>
      </c>
      <c r="AL5" t="s">
        <v>189</v>
      </c>
      <c r="AM5" t="s">
        <v>190</v>
      </c>
      <c r="AN5" t="s">
        <v>191</v>
      </c>
      <c r="AO5" t="s">
        <v>192</v>
      </c>
      <c r="AP5" t="s">
        <v>193</v>
      </c>
      <c r="AQ5" t="s">
        <v>194</v>
      </c>
      <c r="AR5" t="s">
        <v>195</v>
      </c>
      <c r="AS5" t="s">
        <v>196</v>
      </c>
      <c r="AT5" t="s">
        <v>197</v>
      </c>
      <c r="AU5" t="s">
        <v>198</v>
      </c>
      <c r="AV5" t="s">
        <v>199</v>
      </c>
      <c r="AW5" t="s">
        <v>200</v>
      </c>
      <c r="AX5" t="s">
        <v>61</v>
      </c>
      <c r="AY5" t="s">
        <v>114</v>
      </c>
    </row>
    <row r="6" spans="1:51" x14ac:dyDescent="0.35">
      <c r="A6">
        <v>0</v>
      </c>
      <c r="AH6">
        <f>IF(AH2=0,0,INDEX(Calc!$D$10:$D$24,AH2))</f>
        <v>1200</v>
      </c>
      <c r="AI6">
        <f>IF(AI2=0,0,INDEX(Calc!$D$10:$D$24,AI2))</f>
        <v>4850</v>
      </c>
      <c r="AJ6">
        <f>IF(AJ2=0,0,INDEX(Calc!$D$10:$D$24,AJ2))</f>
        <v>11400</v>
      </c>
      <c r="AK6">
        <f>IF(AK2=0,0,INDEX(Calc!$D$10:$D$24,AK2))</f>
        <v>650</v>
      </c>
      <c r="AL6">
        <f>IF(AL2=0,0,INDEX(Calc!$D$10:$D$24,AL2))</f>
        <v>0</v>
      </c>
      <c r="AM6">
        <f>IF(AM2=0,0,INDEX(Calc!$D$10:$D$24,AM2))</f>
        <v>0</v>
      </c>
      <c r="AN6">
        <f>IF(AN2=0,0,INDEX(Calc!$D$10:$D$24,AN2))</f>
        <v>0</v>
      </c>
      <c r="AO6">
        <f>IF(AO2=0,0,INDEX(Calc!$D$10:$D$24,AO2))</f>
        <v>0</v>
      </c>
      <c r="AP6">
        <f>IF(AP2=0,0,INDEX(Calc!$D$10:$D$24,AP2))</f>
        <v>0</v>
      </c>
      <c r="AQ6">
        <f>IF(AQ2=0,0,INDEX(Calc!$D$10:$D$24,AQ2))</f>
        <v>0</v>
      </c>
      <c r="AR6">
        <f>IF(AR2=0,0,INDEX(Calc!$D$10:$D$24,AR2))</f>
        <v>0</v>
      </c>
      <c r="AS6">
        <f>IF(AS2=0,0,INDEX(Calc!$D$10:$D$24,AS2))</f>
        <v>0</v>
      </c>
      <c r="AT6">
        <f>IF(AT2=0,0,INDEX(Calc!$D$10:$D$24,AT2))</f>
        <v>0</v>
      </c>
      <c r="AU6">
        <f>IF(AU2=0,0,INDEX(Calc!$D$10:$D$24,AU2))</f>
        <v>0</v>
      </c>
      <c r="AV6">
        <f>IF(AV2=0,0,INDEX(Calc!$D$10:$D$24,AV2))</f>
        <v>0</v>
      </c>
      <c r="AW6">
        <f t="shared" ref="AW6:AW69" si="0">SUM(AH6:AV6)</f>
        <v>18100</v>
      </c>
    </row>
    <row r="7" spans="1:51" x14ac:dyDescent="0.35">
      <c r="A7">
        <v>1</v>
      </c>
      <c r="C7">
        <f>MAX(0,Calc!$C$7-SUM(D7:R7))</f>
        <v>200</v>
      </c>
      <c r="D7">
        <f t="shared" ref="D7:D70" si="1">IF(AH6&lt;0.005,0,MIN((AH6+ROUND(AH6*AH$3,2)),AH$4))</f>
        <v>40</v>
      </c>
      <c r="E7">
        <f t="shared" ref="E7:E70" si="2">IF(AI6&lt;0.005,0,MIN((AI6+ROUND(AI6*AI$3,2)),AI$4))</f>
        <v>145</v>
      </c>
      <c r="F7">
        <f t="shared" ref="F7:F70" si="3">IF(AJ6&lt;0.005,0,MIN((AJ6+ROUND(AJ6*AJ$3,2)),AJ$4))</f>
        <v>315</v>
      </c>
      <c r="G7">
        <f t="shared" ref="G7:G70" si="4">IF(AK6&lt;0.005,0,MIN((AK6+ROUND(AK6*AK$3,2)),AK$4))</f>
        <v>50</v>
      </c>
      <c r="H7">
        <f t="shared" ref="H7:H70" si="5">IF(AL6&lt;0.005,0,MIN((AL6+ROUND(AL6*AL$3,2)),AL$4))</f>
        <v>0</v>
      </c>
      <c r="I7">
        <f t="shared" ref="I7:I70" si="6">IF(AM6&lt;0.005,0,MIN((AM6+ROUND(AM6*AM$3,2)),AM$4))</f>
        <v>0</v>
      </c>
      <c r="J7">
        <f t="shared" ref="J7:J70" si="7">IF(AN6&lt;0.005,0,MIN((AN6+ROUND(AN6*AN$3,2)),AN$4))</f>
        <v>0</v>
      </c>
      <c r="K7">
        <f t="shared" ref="K7:K70" si="8">IF(AO6&lt;0.005,0,MIN((AO6+ROUND(AO6*AO$3,2)),AO$4))</f>
        <v>0</v>
      </c>
      <c r="L7">
        <f t="shared" ref="L7:L70" si="9">IF(AP6&lt;0.005,0,MIN((AP6+ROUND(AP6*AP$3,2)),AP$4))</f>
        <v>0</v>
      </c>
      <c r="M7">
        <f t="shared" ref="M7:M70" si="10">IF(AQ6&lt;0.005,0,MIN((AQ6+ROUND(AQ6*AQ$3,2)),AQ$4))</f>
        <v>0</v>
      </c>
      <c r="N7">
        <f t="shared" ref="N7:N70" si="11">IF(AR6&lt;0.005,0,MIN((AR6+ROUND(AR6*AR$3,2)),AR$4))</f>
        <v>0</v>
      </c>
      <c r="O7">
        <f t="shared" ref="O7:O70" si="12">IF(AS6&lt;0.005,0,MIN((AS6+ROUND(AS6*AS$3,2)),AS$4))</f>
        <v>0</v>
      </c>
      <c r="P7">
        <f t="shared" ref="P7:P70" si="13">IF(AT6&lt;0.005,0,MIN((AT6+ROUND(AT6*AT$3,2)),AT$4))</f>
        <v>0</v>
      </c>
      <c r="Q7">
        <f t="shared" ref="Q7:Q70" si="14">IF(AU6&lt;0.005,0,MIN((AU6+ROUND(AU6*AU$3,2)),AU$4))</f>
        <v>0</v>
      </c>
      <c r="R7">
        <f t="shared" ref="R7:R70" si="15">IF(AV6&lt;0.005,0,MIN((AV6+ROUND(AV6*AV$3,2)),AV$4))</f>
        <v>0</v>
      </c>
      <c r="S7">
        <f t="shared" ref="S7:S70" si="16">IF(AH6&lt;0.005,0,MIN((AH6+ROUND(AH6*AH$3,2))-D7,MAX(0,$C7)))</f>
        <v>200</v>
      </c>
      <c r="T7">
        <f t="shared" ref="T7:T70" si="17">IF(AI6&lt;0.005,0,MIN((AI6+ROUND(AI6*AI$3,2))-E7,MAX(0,$C7-SUM(S7:S7))))</f>
        <v>0</v>
      </c>
      <c r="U7">
        <f t="shared" ref="U7:U70" si="18">IF(AJ6&lt;0.005,0,MIN((AJ6+ROUND(AJ6*AJ$3,2))-F7,MAX(0,$C7-SUM(S7:T7))))</f>
        <v>0</v>
      </c>
      <c r="V7">
        <f t="shared" ref="V7:V70" si="19">IF(AK6&lt;0.005,0,MIN((AK6+ROUND(AK6*AK$3,2))-G7,MAX(0,$C7-SUM(S7:U7))))</f>
        <v>0</v>
      </c>
      <c r="W7">
        <f t="shared" ref="W7:W70" si="20">IF(AL6&lt;0.005,0,MIN((AL6+ROUND(AL6*AL$3,2))-H7,MAX(0,$C7-SUM(S7:V7))))</f>
        <v>0</v>
      </c>
      <c r="X7">
        <f t="shared" ref="X7:X70" si="21">IF(AM6&lt;0.005,0,MIN((AM6+ROUND(AM6*AM$3,2))-I7,MAX(0,$C7-SUM(S7:W7))))</f>
        <v>0</v>
      </c>
      <c r="Y7">
        <f t="shared" ref="Y7:Y70" si="22">IF(AN6&lt;0.005,0,MIN((AN6+ROUND(AN6*AN$3,2))-J7,MAX(0,$C7-SUM(S7:X7))))</f>
        <v>0</v>
      </c>
      <c r="Z7">
        <f t="shared" ref="Z7:Z70" si="23">IF(AO6&lt;0.005,0,MIN((AO6+ROUND(AO6*AO$3,2))-K7,MAX(0,$C7-SUM(S7:Y7))))</f>
        <v>0</v>
      </c>
      <c r="AA7">
        <f t="shared" ref="AA7:AA70" si="24">IF(AP6&lt;0.005,0,MIN((AP6+ROUND(AP6*AP$3,2))-L7,MAX(0,$C7-SUM(S7:Z7))))</f>
        <v>0</v>
      </c>
      <c r="AB7">
        <f t="shared" ref="AB7:AB70" si="25">IF(AQ6&lt;0.005,0,MIN((AQ6+ROUND(AQ6*AQ$3,2))-M7,MAX(0,$C7-SUM(S7:AA7))))</f>
        <v>0</v>
      </c>
      <c r="AC7">
        <f t="shared" ref="AC7:AC70" si="26">IF(AR6&lt;0.005,0,MIN((AR6+ROUND(AR6*AR$3,2))-N7,MAX(0,$C7-SUM(S7:AB7))))</f>
        <v>0</v>
      </c>
      <c r="AD7">
        <f t="shared" ref="AD7:AD70" si="27">IF(AS6&lt;0.005,0,MIN((AS6+ROUND(AS6*AS$3,2))-O7,MAX(0,$C7-SUM(S7:AC7))))</f>
        <v>0</v>
      </c>
      <c r="AE7">
        <f t="shared" ref="AE7:AE70" si="28">IF(AT6&lt;0.005,0,MIN((AT6+ROUND(AT6*AT$3,2))-P7,MAX(0,$C7-SUM(S7:AD7))))</f>
        <v>0</v>
      </c>
      <c r="AF7">
        <f t="shared" ref="AF7:AF70" si="29">IF(AU6&lt;0.005,0,MIN((AU6+ROUND(AU6*AU$3,2))-Q7,MAX(0,$C7-SUM(S7:AE7))))</f>
        <v>0</v>
      </c>
      <c r="AG7">
        <f t="shared" ref="AG7:AG70" si="30">IF(AV6&lt;0.005,0,MIN((AV6+ROUND(AV6*AV$3,2))-R7,MAX(0,$C7-SUM(S7:AF7))))</f>
        <v>0</v>
      </c>
      <c r="AH7">
        <f t="shared" ref="AH7:AH70" si="31">IF(AH6&lt;0.005,0,ROUND((AH6+ROUND(AH6*AH$3,2))-D7-S7,2))</f>
        <v>988.99</v>
      </c>
      <c r="AI7">
        <f t="shared" ref="AI7:AI70" si="32">IF(AI6&lt;0.005,0,ROUND((AI6+ROUND(AI6*AI$3,2))-E7-T7,2))</f>
        <v>4806</v>
      </c>
      <c r="AJ7">
        <f t="shared" ref="AJ7:AJ70" si="33">IF(AJ6&lt;0.005,0,ROUND((AJ6+ROUND(AJ6*AJ$3,2))-F7-U7,2))</f>
        <v>11156.25</v>
      </c>
      <c r="AK7">
        <f t="shared" ref="AK7:AK70" si="34">IF(AK6&lt;0.005,0,ROUND((AK6+ROUND(AK6*AK$3,2))-G7-V7,2))</f>
        <v>600</v>
      </c>
      <c r="AL7">
        <f t="shared" ref="AL7:AL70" si="35">IF(AL6&lt;0.005,0,ROUND((AL6+ROUND(AL6*AL$3,2))-H7-W7,2))</f>
        <v>0</v>
      </c>
      <c r="AM7">
        <f t="shared" ref="AM7:AM70" si="36">IF(AM6&lt;0.005,0,ROUND((AM6+ROUND(AM6*AM$3,2))-I7-X7,2))</f>
        <v>0</v>
      </c>
      <c r="AN7">
        <f t="shared" ref="AN7:AN70" si="37">IF(AN6&lt;0.005,0,ROUND((AN6+ROUND(AN6*AN$3,2))-J7-Y7,2))</f>
        <v>0</v>
      </c>
      <c r="AO7">
        <f t="shared" ref="AO7:AO70" si="38">IF(AO6&lt;0.005,0,ROUND((AO6+ROUND(AO6*AO$3,2))-K7-Z7,2))</f>
        <v>0</v>
      </c>
      <c r="AP7">
        <f t="shared" ref="AP7:AP70" si="39">IF(AP6&lt;0.005,0,ROUND((AP6+ROUND(AP6*AP$3,2))-L7-AA7,2))</f>
        <v>0</v>
      </c>
      <c r="AQ7">
        <f t="shared" ref="AQ7:AQ70" si="40">IF(AQ6&lt;0.005,0,ROUND((AQ6+ROUND(AQ6*AQ$3,2))-M7-AB7,2))</f>
        <v>0</v>
      </c>
      <c r="AR7">
        <f t="shared" ref="AR7:AR70" si="41">IF(AR6&lt;0.005,0,ROUND((AR6+ROUND(AR6*AR$3,2))-N7-AC7,2))</f>
        <v>0</v>
      </c>
      <c r="AS7">
        <f t="shared" ref="AS7:AS70" si="42">IF(AS6&lt;0.005,0,ROUND((AS6+ROUND(AS6*AS$3,2))-O7-AD7,2))</f>
        <v>0</v>
      </c>
      <c r="AT7">
        <f t="shared" ref="AT7:AT70" si="43">IF(AT6&lt;0.005,0,ROUND((AT6+ROUND(AT6*AT$3,2))-P7-AE7,2))</f>
        <v>0</v>
      </c>
      <c r="AU7">
        <f t="shared" ref="AU7:AU70" si="44">IF(AU6&lt;0.005,0,ROUND((AU6+ROUND(AU6*AU$3,2))-Q7-AF7,2))</f>
        <v>0</v>
      </c>
      <c r="AV7">
        <f t="shared" ref="AV7:AV70" si="45">IF(AV6&lt;0.005,0,ROUND((AV6+ROUND(AV6*AV$3,2))-R7-AG7,2))</f>
        <v>0</v>
      </c>
      <c r="AW7">
        <f t="shared" si="0"/>
        <v>17551.239999999998</v>
      </c>
      <c r="AX7">
        <f t="shared" ref="AX7:AX70" si="46">SUMPRODUCT(ROUND(AH6:AV6*AH$3:AV$3,2))</f>
        <v>201.24</v>
      </c>
      <c r="AY7">
        <f t="shared" ref="AY7:AY70" si="47">SUM(D7:AG7)</f>
        <v>750</v>
      </c>
    </row>
    <row r="8" spans="1:51" x14ac:dyDescent="0.35">
      <c r="A8">
        <v>2</v>
      </c>
      <c r="C8">
        <f>MAX(0,Calc!$C$7-SUM(D8:R8))</f>
        <v>200</v>
      </c>
      <c r="D8">
        <f t="shared" si="1"/>
        <v>40</v>
      </c>
      <c r="E8">
        <f t="shared" si="2"/>
        <v>145</v>
      </c>
      <c r="F8">
        <f t="shared" si="3"/>
        <v>315</v>
      </c>
      <c r="G8">
        <f t="shared" si="4"/>
        <v>50</v>
      </c>
      <c r="H8">
        <f t="shared" si="5"/>
        <v>0</v>
      </c>
      <c r="I8">
        <f t="shared" si="6"/>
        <v>0</v>
      </c>
      <c r="J8">
        <f t="shared" si="7"/>
        <v>0</v>
      </c>
      <c r="K8">
        <f t="shared" si="8"/>
        <v>0</v>
      </c>
      <c r="L8">
        <f t="shared" si="9"/>
        <v>0</v>
      </c>
      <c r="M8">
        <f t="shared" si="10"/>
        <v>0</v>
      </c>
      <c r="N8">
        <f t="shared" si="11"/>
        <v>0</v>
      </c>
      <c r="O8">
        <f t="shared" si="12"/>
        <v>0</v>
      </c>
      <c r="P8">
        <f t="shared" si="13"/>
        <v>0</v>
      </c>
      <c r="Q8">
        <f t="shared" si="14"/>
        <v>0</v>
      </c>
      <c r="R8">
        <f t="shared" si="15"/>
        <v>0</v>
      </c>
      <c r="S8">
        <f t="shared" si="16"/>
        <v>200</v>
      </c>
      <c r="T8">
        <f t="shared" si="17"/>
        <v>0</v>
      </c>
      <c r="U8">
        <f t="shared" si="18"/>
        <v>0</v>
      </c>
      <c r="V8">
        <f t="shared" si="19"/>
        <v>0</v>
      </c>
      <c r="W8">
        <f t="shared" si="20"/>
        <v>0</v>
      </c>
      <c r="X8">
        <f t="shared" si="21"/>
        <v>0</v>
      </c>
      <c r="Y8">
        <f t="shared" si="22"/>
        <v>0</v>
      </c>
      <c r="Z8">
        <f t="shared" si="23"/>
        <v>0</v>
      </c>
      <c r="AA8">
        <f t="shared" si="24"/>
        <v>0</v>
      </c>
      <c r="AB8">
        <f t="shared" si="25"/>
        <v>0</v>
      </c>
      <c r="AC8">
        <f t="shared" si="26"/>
        <v>0</v>
      </c>
      <c r="AD8">
        <f t="shared" si="27"/>
        <v>0</v>
      </c>
      <c r="AE8">
        <f t="shared" si="28"/>
        <v>0</v>
      </c>
      <c r="AF8">
        <f t="shared" si="29"/>
        <v>0</v>
      </c>
      <c r="AG8">
        <f t="shared" si="30"/>
        <v>0</v>
      </c>
      <c r="AH8">
        <f t="shared" si="31"/>
        <v>772.88</v>
      </c>
      <c r="AI8">
        <f t="shared" si="32"/>
        <v>4761.08</v>
      </c>
      <c r="AJ8">
        <f t="shared" si="33"/>
        <v>10910.98</v>
      </c>
      <c r="AK8">
        <f t="shared" si="34"/>
        <v>550</v>
      </c>
      <c r="AL8">
        <f t="shared" si="35"/>
        <v>0</v>
      </c>
      <c r="AM8">
        <f t="shared" si="36"/>
        <v>0</v>
      </c>
      <c r="AN8">
        <f t="shared" si="37"/>
        <v>0</v>
      </c>
      <c r="AO8">
        <f t="shared" si="38"/>
        <v>0</v>
      </c>
      <c r="AP8">
        <f t="shared" si="39"/>
        <v>0</v>
      </c>
      <c r="AQ8">
        <f t="shared" si="40"/>
        <v>0</v>
      </c>
      <c r="AR8">
        <f t="shared" si="41"/>
        <v>0</v>
      </c>
      <c r="AS8">
        <f t="shared" si="42"/>
        <v>0</v>
      </c>
      <c r="AT8">
        <f t="shared" si="43"/>
        <v>0</v>
      </c>
      <c r="AU8">
        <f t="shared" si="44"/>
        <v>0</v>
      </c>
      <c r="AV8">
        <f t="shared" si="45"/>
        <v>0</v>
      </c>
      <c r="AW8">
        <f t="shared" si="0"/>
        <v>16994.939999999999</v>
      </c>
      <c r="AX8">
        <f t="shared" si="46"/>
        <v>193.7</v>
      </c>
      <c r="AY8">
        <f t="shared" si="47"/>
        <v>750</v>
      </c>
    </row>
    <row r="9" spans="1:51" x14ac:dyDescent="0.35">
      <c r="A9">
        <v>3</v>
      </c>
      <c r="C9">
        <f>MAX(0,Calc!$C$7-SUM(D9:R9))</f>
        <v>200</v>
      </c>
      <c r="D9">
        <f t="shared" si="1"/>
        <v>40</v>
      </c>
      <c r="E9">
        <f t="shared" si="2"/>
        <v>145</v>
      </c>
      <c r="F9">
        <f t="shared" si="3"/>
        <v>315</v>
      </c>
      <c r="G9">
        <f t="shared" si="4"/>
        <v>50</v>
      </c>
      <c r="H9">
        <f t="shared" si="5"/>
        <v>0</v>
      </c>
      <c r="I9">
        <f t="shared" si="6"/>
        <v>0</v>
      </c>
      <c r="J9">
        <f t="shared" si="7"/>
        <v>0</v>
      </c>
      <c r="K9">
        <f t="shared" si="8"/>
        <v>0</v>
      </c>
      <c r="L9">
        <f t="shared" si="9"/>
        <v>0</v>
      </c>
      <c r="M9">
        <f t="shared" si="10"/>
        <v>0</v>
      </c>
      <c r="N9">
        <f t="shared" si="11"/>
        <v>0</v>
      </c>
      <c r="O9">
        <f t="shared" si="12"/>
        <v>0</v>
      </c>
      <c r="P9">
        <f t="shared" si="13"/>
        <v>0</v>
      </c>
      <c r="Q9">
        <f t="shared" si="14"/>
        <v>0</v>
      </c>
      <c r="R9">
        <f t="shared" si="15"/>
        <v>0</v>
      </c>
      <c r="S9">
        <f t="shared" si="16"/>
        <v>200</v>
      </c>
      <c r="T9">
        <f t="shared" si="17"/>
        <v>0</v>
      </c>
      <c r="U9">
        <f t="shared" si="18"/>
        <v>0</v>
      </c>
      <c r="V9">
        <f t="shared" si="19"/>
        <v>0</v>
      </c>
      <c r="W9">
        <f t="shared" si="20"/>
        <v>0</v>
      </c>
      <c r="X9">
        <f t="shared" si="21"/>
        <v>0</v>
      </c>
      <c r="Y9">
        <f t="shared" si="22"/>
        <v>0</v>
      </c>
      <c r="Z9">
        <f t="shared" si="23"/>
        <v>0</v>
      </c>
      <c r="AA9">
        <f t="shared" si="24"/>
        <v>0</v>
      </c>
      <c r="AB9">
        <f t="shared" si="25"/>
        <v>0</v>
      </c>
      <c r="AC9">
        <f t="shared" si="26"/>
        <v>0</v>
      </c>
      <c r="AD9">
        <f t="shared" si="27"/>
        <v>0</v>
      </c>
      <c r="AE9">
        <f t="shared" si="28"/>
        <v>0</v>
      </c>
      <c r="AF9">
        <f t="shared" si="29"/>
        <v>0</v>
      </c>
      <c r="AG9">
        <f t="shared" si="30"/>
        <v>0</v>
      </c>
      <c r="AH9">
        <f t="shared" si="31"/>
        <v>551.54999999999995</v>
      </c>
      <c r="AI9">
        <f t="shared" si="32"/>
        <v>4715.2299999999996</v>
      </c>
      <c r="AJ9">
        <f t="shared" si="33"/>
        <v>10664.17</v>
      </c>
      <c r="AK9">
        <f t="shared" si="34"/>
        <v>500</v>
      </c>
      <c r="AL9">
        <f t="shared" si="35"/>
        <v>0</v>
      </c>
      <c r="AM9">
        <f t="shared" si="36"/>
        <v>0</v>
      </c>
      <c r="AN9">
        <f t="shared" si="37"/>
        <v>0</v>
      </c>
      <c r="AO9">
        <f t="shared" si="38"/>
        <v>0</v>
      </c>
      <c r="AP9">
        <f t="shared" si="39"/>
        <v>0</v>
      </c>
      <c r="AQ9">
        <f t="shared" si="40"/>
        <v>0</v>
      </c>
      <c r="AR9">
        <f t="shared" si="41"/>
        <v>0</v>
      </c>
      <c r="AS9">
        <f t="shared" si="42"/>
        <v>0</v>
      </c>
      <c r="AT9">
        <f t="shared" si="43"/>
        <v>0</v>
      </c>
      <c r="AU9">
        <f t="shared" si="44"/>
        <v>0</v>
      </c>
      <c r="AV9">
        <f t="shared" si="45"/>
        <v>0</v>
      </c>
      <c r="AW9">
        <f t="shared" si="0"/>
        <v>16430.95</v>
      </c>
      <c r="AX9">
        <f t="shared" si="46"/>
        <v>186.01</v>
      </c>
      <c r="AY9">
        <f t="shared" si="47"/>
        <v>750</v>
      </c>
    </row>
    <row r="10" spans="1:51" x14ac:dyDescent="0.35">
      <c r="A10">
        <v>4</v>
      </c>
      <c r="C10">
        <f>MAX(0,Calc!$C$7-SUM(D10:R10))</f>
        <v>200</v>
      </c>
      <c r="D10">
        <f t="shared" si="1"/>
        <v>40</v>
      </c>
      <c r="E10">
        <f t="shared" si="2"/>
        <v>145</v>
      </c>
      <c r="F10">
        <f t="shared" si="3"/>
        <v>315</v>
      </c>
      <c r="G10">
        <f t="shared" si="4"/>
        <v>50</v>
      </c>
      <c r="H10">
        <f t="shared" si="5"/>
        <v>0</v>
      </c>
      <c r="I10">
        <f t="shared" si="6"/>
        <v>0</v>
      </c>
      <c r="J10">
        <f t="shared" si="7"/>
        <v>0</v>
      </c>
      <c r="K10">
        <f t="shared" si="8"/>
        <v>0</v>
      </c>
      <c r="L10">
        <f t="shared" si="9"/>
        <v>0</v>
      </c>
      <c r="M10">
        <f t="shared" si="10"/>
        <v>0</v>
      </c>
      <c r="N10">
        <f t="shared" si="11"/>
        <v>0</v>
      </c>
      <c r="O10">
        <f t="shared" si="12"/>
        <v>0</v>
      </c>
      <c r="P10">
        <f t="shared" si="13"/>
        <v>0</v>
      </c>
      <c r="Q10">
        <f t="shared" si="14"/>
        <v>0</v>
      </c>
      <c r="R10">
        <f t="shared" si="15"/>
        <v>0</v>
      </c>
      <c r="S10">
        <f t="shared" si="16"/>
        <v>200</v>
      </c>
      <c r="T10">
        <f t="shared" si="17"/>
        <v>0</v>
      </c>
      <c r="U10">
        <f t="shared" si="18"/>
        <v>0</v>
      </c>
      <c r="V10">
        <f t="shared" si="19"/>
        <v>0</v>
      </c>
      <c r="W10">
        <f t="shared" si="20"/>
        <v>0</v>
      </c>
      <c r="X10">
        <f t="shared" si="21"/>
        <v>0</v>
      </c>
      <c r="Y10">
        <f t="shared" si="22"/>
        <v>0</v>
      </c>
      <c r="Z10">
        <f t="shared" si="23"/>
        <v>0</v>
      </c>
      <c r="AA10">
        <f t="shared" si="24"/>
        <v>0</v>
      </c>
      <c r="AB10">
        <f t="shared" si="25"/>
        <v>0</v>
      </c>
      <c r="AC10">
        <f t="shared" si="26"/>
        <v>0</v>
      </c>
      <c r="AD10">
        <f t="shared" si="27"/>
        <v>0</v>
      </c>
      <c r="AE10">
        <f t="shared" si="28"/>
        <v>0</v>
      </c>
      <c r="AF10">
        <f t="shared" si="29"/>
        <v>0</v>
      </c>
      <c r="AG10">
        <f t="shared" si="30"/>
        <v>0</v>
      </c>
      <c r="AH10">
        <f t="shared" si="31"/>
        <v>324.87</v>
      </c>
      <c r="AI10">
        <f t="shared" si="32"/>
        <v>4668.42</v>
      </c>
      <c r="AJ10">
        <f t="shared" si="33"/>
        <v>10415.82</v>
      </c>
      <c r="AK10">
        <f t="shared" si="34"/>
        <v>450</v>
      </c>
      <c r="AL10">
        <f t="shared" si="35"/>
        <v>0</v>
      </c>
      <c r="AM10">
        <f t="shared" si="36"/>
        <v>0</v>
      </c>
      <c r="AN10">
        <f t="shared" si="37"/>
        <v>0</v>
      </c>
      <c r="AO10">
        <f t="shared" si="38"/>
        <v>0</v>
      </c>
      <c r="AP10">
        <f t="shared" si="39"/>
        <v>0</v>
      </c>
      <c r="AQ10">
        <f t="shared" si="40"/>
        <v>0</v>
      </c>
      <c r="AR10">
        <f t="shared" si="41"/>
        <v>0</v>
      </c>
      <c r="AS10">
        <f t="shared" si="42"/>
        <v>0</v>
      </c>
      <c r="AT10">
        <f t="shared" si="43"/>
        <v>0</v>
      </c>
      <c r="AU10">
        <f t="shared" si="44"/>
        <v>0</v>
      </c>
      <c r="AV10">
        <f t="shared" si="45"/>
        <v>0</v>
      </c>
      <c r="AW10">
        <f t="shared" si="0"/>
        <v>15859.11</v>
      </c>
      <c r="AX10">
        <f t="shared" si="46"/>
        <v>178.16</v>
      </c>
      <c r="AY10">
        <f t="shared" si="47"/>
        <v>750</v>
      </c>
    </row>
    <row r="11" spans="1:51" x14ac:dyDescent="0.35">
      <c r="A11">
        <v>5</v>
      </c>
      <c r="C11">
        <f>MAX(0,Calc!$C$7-SUM(D11:R11))</f>
        <v>200</v>
      </c>
      <c r="D11">
        <f t="shared" si="1"/>
        <v>40</v>
      </c>
      <c r="E11">
        <f t="shared" si="2"/>
        <v>145</v>
      </c>
      <c r="F11">
        <f t="shared" si="3"/>
        <v>315</v>
      </c>
      <c r="G11">
        <f t="shared" si="4"/>
        <v>50</v>
      </c>
      <c r="H11">
        <f t="shared" si="5"/>
        <v>0</v>
      </c>
      <c r="I11">
        <f t="shared" si="6"/>
        <v>0</v>
      </c>
      <c r="J11">
        <f t="shared" si="7"/>
        <v>0</v>
      </c>
      <c r="K11">
        <f t="shared" si="8"/>
        <v>0</v>
      </c>
      <c r="L11">
        <f t="shared" si="9"/>
        <v>0</v>
      </c>
      <c r="M11">
        <f t="shared" si="10"/>
        <v>0</v>
      </c>
      <c r="N11">
        <f t="shared" si="11"/>
        <v>0</v>
      </c>
      <c r="O11">
        <f t="shared" si="12"/>
        <v>0</v>
      </c>
      <c r="P11">
        <f t="shared" si="13"/>
        <v>0</v>
      </c>
      <c r="Q11">
        <f t="shared" si="14"/>
        <v>0</v>
      </c>
      <c r="R11">
        <f t="shared" si="15"/>
        <v>0</v>
      </c>
      <c r="S11">
        <f t="shared" si="16"/>
        <v>200</v>
      </c>
      <c r="T11">
        <f t="shared" si="17"/>
        <v>0</v>
      </c>
      <c r="U11">
        <f t="shared" si="18"/>
        <v>0</v>
      </c>
      <c r="V11">
        <f t="shared" si="19"/>
        <v>0</v>
      </c>
      <c r="W11">
        <f t="shared" si="20"/>
        <v>0</v>
      </c>
      <c r="X11">
        <f t="shared" si="21"/>
        <v>0</v>
      </c>
      <c r="Y11">
        <f t="shared" si="22"/>
        <v>0</v>
      </c>
      <c r="Z11">
        <f t="shared" si="23"/>
        <v>0</v>
      </c>
      <c r="AA11">
        <f t="shared" si="24"/>
        <v>0</v>
      </c>
      <c r="AB11">
        <f t="shared" si="25"/>
        <v>0</v>
      </c>
      <c r="AC11">
        <f t="shared" si="26"/>
        <v>0</v>
      </c>
      <c r="AD11">
        <f t="shared" si="27"/>
        <v>0</v>
      </c>
      <c r="AE11">
        <f t="shared" si="28"/>
        <v>0</v>
      </c>
      <c r="AF11">
        <f t="shared" si="29"/>
        <v>0</v>
      </c>
      <c r="AG11">
        <f t="shared" si="30"/>
        <v>0</v>
      </c>
      <c r="AH11">
        <f t="shared" si="31"/>
        <v>92.72</v>
      </c>
      <c r="AI11">
        <f t="shared" si="32"/>
        <v>4620.6400000000003</v>
      </c>
      <c r="AJ11">
        <f t="shared" si="33"/>
        <v>10165.92</v>
      </c>
      <c r="AK11">
        <f t="shared" si="34"/>
        <v>400</v>
      </c>
      <c r="AL11">
        <f t="shared" si="35"/>
        <v>0</v>
      </c>
      <c r="AM11">
        <f t="shared" si="36"/>
        <v>0</v>
      </c>
      <c r="AN11">
        <f t="shared" si="37"/>
        <v>0</v>
      </c>
      <c r="AO11">
        <f t="shared" si="38"/>
        <v>0</v>
      </c>
      <c r="AP11">
        <f t="shared" si="39"/>
        <v>0</v>
      </c>
      <c r="AQ11">
        <f t="shared" si="40"/>
        <v>0</v>
      </c>
      <c r="AR11">
        <f t="shared" si="41"/>
        <v>0</v>
      </c>
      <c r="AS11">
        <f t="shared" si="42"/>
        <v>0</v>
      </c>
      <c r="AT11">
        <f t="shared" si="43"/>
        <v>0</v>
      </c>
      <c r="AU11">
        <f t="shared" si="44"/>
        <v>0</v>
      </c>
      <c r="AV11">
        <f t="shared" si="45"/>
        <v>0</v>
      </c>
      <c r="AW11">
        <f t="shared" si="0"/>
        <v>15279.28</v>
      </c>
      <c r="AX11">
        <f t="shared" si="46"/>
        <v>170.17</v>
      </c>
      <c r="AY11">
        <f t="shared" si="47"/>
        <v>750</v>
      </c>
    </row>
    <row r="12" spans="1:51" x14ac:dyDescent="0.35">
      <c r="A12">
        <v>6</v>
      </c>
      <c r="C12">
        <f>MAX(0,Calc!$C$7-SUM(D12:R12))</f>
        <v>200</v>
      </c>
      <c r="D12">
        <f t="shared" si="1"/>
        <v>40</v>
      </c>
      <c r="E12">
        <f t="shared" si="2"/>
        <v>145</v>
      </c>
      <c r="F12">
        <f t="shared" si="3"/>
        <v>315</v>
      </c>
      <c r="G12">
        <f t="shared" si="4"/>
        <v>50</v>
      </c>
      <c r="H12">
        <f t="shared" si="5"/>
        <v>0</v>
      </c>
      <c r="I12">
        <f t="shared" si="6"/>
        <v>0</v>
      </c>
      <c r="J12">
        <f t="shared" si="7"/>
        <v>0</v>
      </c>
      <c r="K12">
        <f t="shared" si="8"/>
        <v>0</v>
      </c>
      <c r="L12">
        <f t="shared" si="9"/>
        <v>0</v>
      </c>
      <c r="M12">
        <f t="shared" si="10"/>
        <v>0</v>
      </c>
      <c r="N12">
        <f t="shared" si="11"/>
        <v>0</v>
      </c>
      <c r="O12">
        <f t="shared" si="12"/>
        <v>0</v>
      </c>
      <c r="P12">
        <f t="shared" si="13"/>
        <v>0</v>
      </c>
      <c r="Q12">
        <f t="shared" si="14"/>
        <v>0</v>
      </c>
      <c r="R12">
        <f t="shared" si="15"/>
        <v>0</v>
      </c>
      <c r="S12">
        <f t="shared" si="16"/>
        <v>54.959999999999994</v>
      </c>
      <c r="T12">
        <f t="shared" si="17"/>
        <v>145.04000000000002</v>
      </c>
      <c r="U12">
        <f t="shared" si="18"/>
        <v>0</v>
      </c>
      <c r="V12">
        <f t="shared" si="19"/>
        <v>0</v>
      </c>
      <c r="W12">
        <f t="shared" si="20"/>
        <v>0</v>
      </c>
      <c r="X12">
        <f t="shared" si="21"/>
        <v>0</v>
      </c>
      <c r="Y12">
        <f t="shared" si="22"/>
        <v>0</v>
      </c>
      <c r="Z12">
        <f t="shared" si="23"/>
        <v>0</v>
      </c>
      <c r="AA12">
        <f t="shared" si="24"/>
        <v>0</v>
      </c>
      <c r="AB12">
        <f t="shared" si="25"/>
        <v>0</v>
      </c>
      <c r="AC12">
        <f t="shared" si="26"/>
        <v>0</v>
      </c>
      <c r="AD12">
        <f t="shared" si="27"/>
        <v>0</v>
      </c>
      <c r="AE12">
        <f t="shared" si="28"/>
        <v>0</v>
      </c>
      <c r="AF12">
        <f t="shared" si="29"/>
        <v>0</v>
      </c>
      <c r="AG12">
        <f t="shared" si="30"/>
        <v>0</v>
      </c>
      <c r="AH12">
        <f t="shared" si="31"/>
        <v>0</v>
      </c>
      <c r="AI12">
        <f t="shared" si="32"/>
        <v>4426.82</v>
      </c>
      <c r="AJ12">
        <f t="shared" si="33"/>
        <v>9914.4599999999991</v>
      </c>
      <c r="AK12">
        <f t="shared" si="34"/>
        <v>350</v>
      </c>
      <c r="AL12">
        <f t="shared" si="35"/>
        <v>0</v>
      </c>
      <c r="AM12">
        <f t="shared" si="36"/>
        <v>0</v>
      </c>
      <c r="AN12">
        <f t="shared" si="37"/>
        <v>0</v>
      </c>
      <c r="AO12">
        <f t="shared" si="38"/>
        <v>0</v>
      </c>
      <c r="AP12">
        <f t="shared" si="39"/>
        <v>0</v>
      </c>
      <c r="AQ12">
        <f t="shared" si="40"/>
        <v>0</v>
      </c>
      <c r="AR12">
        <f t="shared" si="41"/>
        <v>0</v>
      </c>
      <c r="AS12">
        <f t="shared" si="42"/>
        <v>0</v>
      </c>
      <c r="AT12">
        <f t="shared" si="43"/>
        <v>0</v>
      </c>
      <c r="AU12">
        <f t="shared" si="44"/>
        <v>0</v>
      </c>
      <c r="AV12">
        <f t="shared" si="45"/>
        <v>0</v>
      </c>
      <c r="AW12">
        <f t="shared" si="0"/>
        <v>14691.279999999999</v>
      </c>
      <c r="AX12">
        <f t="shared" si="46"/>
        <v>162</v>
      </c>
      <c r="AY12">
        <f t="shared" si="47"/>
        <v>750</v>
      </c>
    </row>
    <row r="13" spans="1:51" x14ac:dyDescent="0.35">
      <c r="A13">
        <v>7</v>
      </c>
      <c r="C13">
        <f>MAX(0,Calc!$C$7-SUM(D13:R13))</f>
        <v>240</v>
      </c>
      <c r="D13">
        <f t="shared" si="1"/>
        <v>0</v>
      </c>
      <c r="E13">
        <f t="shared" si="2"/>
        <v>145</v>
      </c>
      <c r="F13">
        <f t="shared" si="3"/>
        <v>315</v>
      </c>
      <c r="G13">
        <f t="shared" si="4"/>
        <v>50</v>
      </c>
      <c r="H13">
        <f t="shared" si="5"/>
        <v>0</v>
      </c>
      <c r="I13">
        <f t="shared" si="6"/>
        <v>0</v>
      </c>
      <c r="J13">
        <f t="shared" si="7"/>
        <v>0</v>
      </c>
      <c r="K13">
        <f t="shared" si="8"/>
        <v>0</v>
      </c>
      <c r="L13">
        <f t="shared" si="9"/>
        <v>0</v>
      </c>
      <c r="M13">
        <f t="shared" si="10"/>
        <v>0</v>
      </c>
      <c r="N13">
        <f t="shared" si="11"/>
        <v>0</v>
      </c>
      <c r="O13">
        <f t="shared" si="12"/>
        <v>0</v>
      </c>
      <c r="P13">
        <f t="shared" si="13"/>
        <v>0</v>
      </c>
      <c r="Q13">
        <f t="shared" si="14"/>
        <v>0</v>
      </c>
      <c r="R13">
        <f t="shared" si="15"/>
        <v>0</v>
      </c>
      <c r="S13">
        <f t="shared" si="16"/>
        <v>0</v>
      </c>
      <c r="T13">
        <f t="shared" si="17"/>
        <v>240</v>
      </c>
      <c r="U13">
        <f t="shared" si="18"/>
        <v>0</v>
      </c>
      <c r="V13">
        <f t="shared" si="19"/>
        <v>0</v>
      </c>
      <c r="W13">
        <f t="shared" si="20"/>
        <v>0</v>
      </c>
      <c r="X13">
        <f t="shared" si="21"/>
        <v>0</v>
      </c>
      <c r="Y13">
        <f t="shared" si="22"/>
        <v>0</v>
      </c>
      <c r="Z13">
        <f t="shared" si="23"/>
        <v>0</v>
      </c>
      <c r="AA13">
        <f t="shared" si="24"/>
        <v>0</v>
      </c>
      <c r="AB13">
        <f t="shared" si="25"/>
        <v>0</v>
      </c>
      <c r="AC13">
        <f t="shared" si="26"/>
        <v>0</v>
      </c>
      <c r="AD13">
        <f t="shared" si="27"/>
        <v>0</v>
      </c>
      <c r="AE13">
        <f t="shared" si="28"/>
        <v>0</v>
      </c>
      <c r="AF13">
        <f t="shared" si="29"/>
        <v>0</v>
      </c>
      <c r="AG13">
        <f t="shared" si="30"/>
        <v>0</v>
      </c>
      <c r="AH13">
        <f t="shared" si="31"/>
        <v>0</v>
      </c>
      <c r="AI13">
        <f t="shared" si="32"/>
        <v>4134.01</v>
      </c>
      <c r="AJ13">
        <f t="shared" si="33"/>
        <v>9661.43</v>
      </c>
      <c r="AK13">
        <f t="shared" si="34"/>
        <v>300</v>
      </c>
      <c r="AL13">
        <f t="shared" si="35"/>
        <v>0</v>
      </c>
      <c r="AM13">
        <f t="shared" si="36"/>
        <v>0</v>
      </c>
      <c r="AN13">
        <f t="shared" si="37"/>
        <v>0</v>
      </c>
      <c r="AO13">
        <f t="shared" si="38"/>
        <v>0</v>
      </c>
      <c r="AP13">
        <f t="shared" si="39"/>
        <v>0</v>
      </c>
      <c r="AQ13">
        <f t="shared" si="40"/>
        <v>0</v>
      </c>
      <c r="AR13">
        <f t="shared" si="41"/>
        <v>0</v>
      </c>
      <c r="AS13">
        <f t="shared" si="42"/>
        <v>0</v>
      </c>
      <c r="AT13">
        <f t="shared" si="43"/>
        <v>0</v>
      </c>
      <c r="AU13">
        <f t="shared" si="44"/>
        <v>0</v>
      </c>
      <c r="AV13">
        <f t="shared" si="45"/>
        <v>0</v>
      </c>
      <c r="AW13">
        <f t="shared" si="0"/>
        <v>14095.44</v>
      </c>
      <c r="AX13">
        <f t="shared" si="46"/>
        <v>154.16</v>
      </c>
      <c r="AY13">
        <f t="shared" si="47"/>
        <v>750</v>
      </c>
    </row>
    <row r="14" spans="1:51" x14ac:dyDescent="0.35">
      <c r="A14">
        <v>8</v>
      </c>
      <c r="C14">
        <f>MAX(0,Calc!$C$7-SUM(D14:R14))</f>
        <v>240</v>
      </c>
      <c r="D14">
        <f t="shared" si="1"/>
        <v>0</v>
      </c>
      <c r="E14">
        <f t="shared" si="2"/>
        <v>145</v>
      </c>
      <c r="F14">
        <f t="shared" si="3"/>
        <v>315</v>
      </c>
      <c r="G14">
        <f t="shared" si="4"/>
        <v>50</v>
      </c>
      <c r="H14">
        <f t="shared" si="5"/>
        <v>0</v>
      </c>
      <c r="I14">
        <f t="shared" si="6"/>
        <v>0</v>
      </c>
      <c r="J14">
        <f t="shared" si="7"/>
        <v>0</v>
      </c>
      <c r="K14">
        <f t="shared" si="8"/>
        <v>0</v>
      </c>
      <c r="L14">
        <f t="shared" si="9"/>
        <v>0</v>
      </c>
      <c r="M14">
        <f t="shared" si="10"/>
        <v>0</v>
      </c>
      <c r="N14">
        <f t="shared" si="11"/>
        <v>0</v>
      </c>
      <c r="O14">
        <f t="shared" si="12"/>
        <v>0</v>
      </c>
      <c r="P14">
        <f t="shared" si="13"/>
        <v>0</v>
      </c>
      <c r="Q14">
        <f t="shared" si="14"/>
        <v>0</v>
      </c>
      <c r="R14">
        <f t="shared" si="15"/>
        <v>0</v>
      </c>
      <c r="S14">
        <f t="shared" si="16"/>
        <v>0</v>
      </c>
      <c r="T14">
        <f t="shared" si="17"/>
        <v>240</v>
      </c>
      <c r="U14">
        <f t="shared" si="18"/>
        <v>0</v>
      </c>
      <c r="V14">
        <f t="shared" si="19"/>
        <v>0</v>
      </c>
      <c r="W14">
        <f t="shared" si="20"/>
        <v>0</v>
      </c>
      <c r="X14">
        <f t="shared" si="21"/>
        <v>0</v>
      </c>
      <c r="Y14">
        <f t="shared" si="22"/>
        <v>0</v>
      </c>
      <c r="Z14">
        <f t="shared" si="23"/>
        <v>0</v>
      </c>
      <c r="AA14">
        <f t="shared" si="24"/>
        <v>0</v>
      </c>
      <c r="AB14">
        <f t="shared" si="25"/>
        <v>0</v>
      </c>
      <c r="AC14">
        <f t="shared" si="26"/>
        <v>0</v>
      </c>
      <c r="AD14">
        <f t="shared" si="27"/>
        <v>0</v>
      </c>
      <c r="AE14">
        <f t="shared" si="28"/>
        <v>0</v>
      </c>
      <c r="AF14">
        <f t="shared" si="29"/>
        <v>0</v>
      </c>
      <c r="AG14">
        <f t="shared" si="30"/>
        <v>0</v>
      </c>
      <c r="AH14">
        <f t="shared" si="31"/>
        <v>0</v>
      </c>
      <c r="AI14">
        <f t="shared" si="32"/>
        <v>3835.1</v>
      </c>
      <c r="AJ14">
        <f t="shared" si="33"/>
        <v>9406.81</v>
      </c>
      <c r="AK14">
        <f t="shared" si="34"/>
        <v>250</v>
      </c>
      <c r="AL14">
        <f t="shared" si="35"/>
        <v>0</v>
      </c>
      <c r="AM14">
        <f t="shared" si="36"/>
        <v>0</v>
      </c>
      <c r="AN14">
        <f t="shared" si="37"/>
        <v>0</v>
      </c>
      <c r="AO14">
        <f t="shared" si="38"/>
        <v>0</v>
      </c>
      <c r="AP14">
        <f t="shared" si="39"/>
        <v>0</v>
      </c>
      <c r="AQ14">
        <f t="shared" si="40"/>
        <v>0</v>
      </c>
      <c r="AR14">
        <f t="shared" si="41"/>
        <v>0</v>
      </c>
      <c r="AS14">
        <f t="shared" si="42"/>
        <v>0</v>
      </c>
      <c r="AT14">
        <f t="shared" si="43"/>
        <v>0</v>
      </c>
      <c r="AU14">
        <f t="shared" si="44"/>
        <v>0</v>
      </c>
      <c r="AV14">
        <f t="shared" si="45"/>
        <v>0</v>
      </c>
      <c r="AW14">
        <f t="shared" si="0"/>
        <v>13491.91</v>
      </c>
      <c r="AX14">
        <f t="shared" si="46"/>
        <v>146.47</v>
      </c>
      <c r="AY14">
        <f t="shared" si="47"/>
        <v>750</v>
      </c>
    </row>
    <row r="15" spans="1:51" x14ac:dyDescent="0.35">
      <c r="A15">
        <v>9</v>
      </c>
      <c r="C15">
        <f>MAX(0,Calc!$C$7-SUM(D15:R15))</f>
        <v>240</v>
      </c>
      <c r="D15">
        <f t="shared" si="1"/>
        <v>0</v>
      </c>
      <c r="E15">
        <f t="shared" si="2"/>
        <v>145</v>
      </c>
      <c r="F15">
        <f t="shared" si="3"/>
        <v>315</v>
      </c>
      <c r="G15">
        <f t="shared" si="4"/>
        <v>50</v>
      </c>
      <c r="H15">
        <f t="shared" si="5"/>
        <v>0</v>
      </c>
      <c r="I15">
        <f t="shared" si="6"/>
        <v>0</v>
      </c>
      <c r="J15">
        <f t="shared" si="7"/>
        <v>0</v>
      </c>
      <c r="K15">
        <f t="shared" si="8"/>
        <v>0</v>
      </c>
      <c r="L15">
        <f t="shared" si="9"/>
        <v>0</v>
      </c>
      <c r="M15">
        <f t="shared" si="10"/>
        <v>0</v>
      </c>
      <c r="N15">
        <f t="shared" si="11"/>
        <v>0</v>
      </c>
      <c r="O15">
        <f t="shared" si="12"/>
        <v>0</v>
      </c>
      <c r="P15">
        <f t="shared" si="13"/>
        <v>0</v>
      </c>
      <c r="Q15">
        <f t="shared" si="14"/>
        <v>0</v>
      </c>
      <c r="R15">
        <f t="shared" si="15"/>
        <v>0</v>
      </c>
      <c r="S15">
        <f t="shared" si="16"/>
        <v>0</v>
      </c>
      <c r="T15">
        <f t="shared" si="17"/>
        <v>240</v>
      </c>
      <c r="U15">
        <f t="shared" si="18"/>
        <v>0</v>
      </c>
      <c r="V15">
        <f t="shared" si="19"/>
        <v>0</v>
      </c>
      <c r="W15">
        <f t="shared" si="20"/>
        <v>0</v>
      </c>
      <c r="X15">
        <f t="shared" si="21"/>
        <v>0</v>
      </c>
      <c r="Y15">
        <f t="shared" si="22"/>
        <v>0</v>
      </c>
      <c r="Z15">
        <f t="shared" si="23"/>
        <v>0</v>
      </c>
      <c r="AA15">
        <f t="shared" si="24"/>
        <v>0</v>
      </c>
      <c r="AB15">
        <f t="shared" si="25"/>
        <v>0</v>
      </c>
      <c r="AC15">
        <f t="shared" si="26"/>
        <v>0</v>
      </c>
      <c r="AD15">
        <f t="shared" si="27"/>
        <v>0</v>
      </c>
      <c r="AE15">
        <f t="shared" si="28"/>
        <v>0</v>
      </c>
      <c r="AF15">
        <f t="shared" si="29"/>
        <v>0</v>
      </c>
      <c r="AG15">
        <f t="shared" si="30"/>
        <v>0</v>
      </c>
      <c r="AH15">
        <f t="shared" si="31"/>
        <v>0</v>
      </c>
      <c r="AI15">
        <f t="shared" si="32"/>
        <v>3529.97</v>
      </c>
      <c r="AJ15">
        <f t="shared" si="33"/>
        <v>9150.6</v>
      </c>
      <c r="AK15">
        <f t="shared" si="34"/>
        <v>200</v>
      </c>
      <c r="AL15">
        <f t="shared" si="35"/>
        <v>0</v>
      </c>
      <c r="AM15">
        <f t="shared" si="36"/>
        <v>0</v>
      </c>
      <c r="AN15">
        <f t="shared" si="37"/>
        <v>0</v>
      </c>
      <c r="AO15">
        <f t="shared" si="38"/>
        <v>0</v>
      </c>
      <c r="AP15">
        <f t="shared" si="39"/>
        <v>0</v>
      </c>
      <c r="AQ15">
        <f t="shared" si="40"/>
        <v>0</v>
      </c>
      <c r="AR15">
        <f t="shared" si="41"/>
        <v>0</v>
      </c>
      <c r="AS15">
        <f t="shared" si="42"/>
        <v>0</v>
      </c>
      <c r="AT15">
        <f t="shared" si="43"/>
        <v>0</v>
      </c>
      <c r="AU15">
        <f t="shared" si="44"/>
        <v>0</v>
      </c>
      <c r="AV15">
        <f t="shared" si="45"/>
        <v>0</v>
      </c>
      <c r="AW15">
        <f t="shared" si="0"/>
        <v>12880.57</v>
      </c>
      <c r="AX15">
        <f t="shared" si="46"/>
        <v>138.66</v>
      </c>
      <c r="AY15">
        <f t="shared" si="47"/>
        <v>750</v>
      </c>
    </row>
    <row r="16" spans="1:51" x14ac:dyDescent="0.35">
      <c r="A16">
        <v>10</v>
      </c>
      <c r="C16">
        <f>MAX(0,Calc!$C$7-SUM(D16:R16))</f>
        <v>240</v>
      </c>
      <c r="D16">
        <f t="shared" si="1"/>
        <v>0</v>
      </c>
      <c r="E16">
        <f t="shared" si="2"/>
        <v>145</v>
      </c>
      <c r="F16">
        <f t="shared" si="3"/>
        <v>315</v>
      </c>
      <c r="G16">
        <f t="shared" si="4"/>
        <v>50</v>
      </c>
      <c r="H16">
        <f t="shared" si="5"/>
        <v>0</v>
      </c>
      <c r="I16">
        <f t="shared" si="6"/>
        <v>0</v>
      </c>
      <c r="J16">
        <f t="shared" si="7"/>
        <v>0</v>
      </c>
      <c r="K16">
        <f t="shared" si="8"/>
        <v>0</v>
      </c>
      <c r="L16">
        <f t="shared" si="9"/>
        <v>0</v>
      </c>
      <c r="M16">
        <f t="shared" si="10"/>
        <v>0</v>
      </c>
      <c r="N16">
        <f t="shared" si="11"/>
        <v>0</v>
      </c>
      <c r="O16">
        <f t="shared" si="12"/>
        <v>0</v>
      </c>
      <c r="P16">
        <f t="shared" si="13"/>
        <v>0</v>
      </c>
      <c r="Q16">
        <f t="shared" si="14"/>
        <v>0</v>
      </c>
      <c r="R16">
        <f t="shared" si="15"/>
        <v>0</v>
      </c>
      <c r="S16">
        <f t="shared" si="16"/>
        <v>0</v>
      </c>
      <c r="T16">
        <f t="shared" si="17"/>
        <v>240</v>
      </c>
      <c r="U16">
        <f t="shared" si="18"/>
        <v>0</v>
      </c>
      <c r="V16">
        <f t="shared" si="19"/>
        <v>0</v>
      </c>
      <c r="W16">
        <f t="shared" si="20"/>
        <v>0</v>
      </c>
      <c r="X16">
        <f t="shared" si="21"/>
        <v>0</v>
      </c>
      <c r="Y16">
        <f t="shared" si="22"/>
        <v>0</v>
      </c>
      <c r="Z16">
        <f t="shared" si="23"/>
        <v>0</v>
      </c>
      <c r="AA16">
        <f t="shared" si="24"/>
        <v>0</v>
      </c>
      <c r="AB16">
        <f t="shared" si="25"/>
        <v>0</v>
      </c>
      <c r="AC16">
        <f t="shared" si="26"/>
        <v>0</v>
      </c>
      <c r="AD16">
        <f t="shared" si="27"/>
        <v>0</v>
      </c>
      <c r="AE16">
        <f t="shared" si="28"/>
        <v>0</v>
      </c>
      <c r="AF16">
        <f t="shared" si="29"/>
        <v>0</v>
      </c>
      <c r="AG16">
        <f t="shared" si="30"/>
        <v>0</v>
      </c>
      <c r="AH16">
        <f t="shared" si="31"/>
        <v>0</v>
      </c>
      <c r="AI16">
        <f t="shared" si="32"/>
        <v>3218.48</v>
      </c>
      <c r="AJ16">
        <f t="shared" si="33"/>
        <v>8892.7900000000009</v>
      </c>
      <c r="AK16">
        <f t="shared" si="34"/>
        <v>150</v>
      </c>
      <c r="AL16">
        <f t="shared" si="35"/>
        <v>0</v>
      </c>
      <c r="AM16">
        <f t="shared" si="36"/>
        <v>0</v>
      </c>
      <c r="AN16">
        <f t="shared" si="37"/>
        <v>0</v>
      </c>
      <c r="AO16">
        <f t="shared" si="38"/>
        <v>0</v>
      </c>
      <c r="AP16">
        <f t="shared" si="39"/>
        <v>0</v>
      </c>
      <c r="AQ16">
        <f t="shared" si="40"/>
        <v>0</v>
      </c>
      <c r="AR16">
        <f t="shared" si="41"/>
        <v>0</v>
      </c>
      <c r="AS16">
        <f t="shared" si="42"/>
        <v>0</v>
      </c>
      <c r="AT16">
        <f t="shared" si="43"/>
        <v>0</v>
      </c>
      <c r="AU16">
        <f t="shared" si="44"/>
        <v>0</v>
      </c>
      <c r="AV16">
        <f t="shared" si="45"/>
        <v>0</v>
      </c>
      <c r="AW16">
        <f t="shared" si="0"/>
        <v>12261.27</v>
      </c>
      <c r="AX16">
        <f t="shared" si="46"/>
        <v>130.69999999999999</v>
      </c>
      <c r="AY16">
        <f t="shared" si="47"/>
        <v>750</v>
      </c>
    </row>
    <row r="17" spans="1:51" x14ac:dyDescent="0.35">
      <c r="A17">
        <v>11</v>
      </c>
      <c r="C17">
        <f>MAX(0,Calc!$C$7-SUM(D17:R17))</f>
        <v>240</v>
      </c>
      <c r="D17">
        <f t="shared" si="1"/>
        <v>0</v>
      </c>
      <c r="E17">
        <f t="shared" si="2"/>
        <v>145</v>
      </c>
      <c r="F17">
        <f t="shared" si="3"/>
        <v>315</v>
      </c>
      <c r="G17">
        <f t="shared" si="4"/>
        <v>50</v>
      </c>
      <c r="H17">
        <f t="shared" si="5"/>
        <v>0</v>
      </c>
      <c r="I17">
        <f t="shared" si="6"/>
        <v>0</v>
      </c>
      <c r="J17">
        <f t="shared" si="7"/>
        <v>0</v>
      </c>
      <c r="K17">
        <f t="shared" si="8"/>
        <v>0</v>
      </c>
      <c r="L17">
        <f t="shared" si="9"/>
        <v>0</v>
      </c>
      <c r="M17">
        <f t="shared" si="10"/>
        <v>0</v>
      </c>
      <c r="N17">
        <f t="shared" si="11"/>
        <v>0</v>
      </c>
      <c r="O17">
        <f t="shared" si="12"/>
        <v>0</v>
      </c>
      <c r="P17">
        <f t="shared" si="13"/>
        <v>0</v>
      </c>
      <c r="Q17">
        <f t="shared" si="14"/>
        <v>0</v>
      </c>
      <c r="R17">
        <f t="shared" si="15"/>
        <v>0</v>
      </c>
      <c r="S17">
        <f t="shared" si="16"/>
        <v>0</v>
      </c>
      <c r="T17">
        <f t="shared" si="17"/>
        <v>240</v>
      </c>
      <c r="U17">
        <f t="shared" si="18"/>
        <v>0</v>
      </c>
      <c r="V17">
        <f t="shared" si="19"/>
        <v>0</v>
      </c>
      <c r="W17">
        <f t="shared" si="20"/>
        <v>0</v>
      </c>
      <c r="X17">
        <f t="shared" si="21"/>
        <v>0</v>
      </c>
      <c r="Y17">
        <f t="shared" si="22"/>
        <v>0</v>
      </c>
      <c r="Z17">
        <f t="shared" si="23"/>
        <v>0</v>
      </c>
      <c r="AA17">
        <f t="shared" si="24"/>
        <v>0</v>
      </c>
      <c r="AB17">
        <f t="shared" si="25"/>
        <v>0</v>
      </c>
      <c r="AC17">
        <f t="shared" si="26"/>
        <v>0</v>
      </c>
      <c r="AD17">
        <f t="shared" si="27"/>
        <v>0</v>
      </c>
      <c r="AE17">
        <f t="shared" si="28"/>
        <v>0</v>
      </c>
      <c r="AF17">
        <f t="shared" si="29"/>
        <v>0</v>
      </c>
      <c r="AG17">
        <f t="shared" si="30"/>
        <v>0</v>
      </c>
      <c r="AH17">
        <f t="shared" si="31"/>
        <v>0</v>
      </c>
      <c r="AI17">
        <f t="shared" si="32"/>
        <v>2900.5</v>
      </c>
      <c r="AJ17">
        <f t="shared" si="33"/>
        <v>8633.3700000000008</v>
      </c>
      <c r="AK17">
        <f t="shared" si="34"/>
        <v>100</v>
      </c>
      <c r="AL17">
        <f t="shared" si="35"/>
        <v>0</v>
      </c>
      <c r="AM17">
        <f t="shared" si="36"/>
        <v>0</v>
      </c>
      <c r="AN17">
        <f t="shared" si="37"/>
        <v>0</v>
      </c>
      <c r="AO17">
        <f t="shared" si="38"/>
        <v>0</v>
      </c>
      <c r="AP17">
        <f t="shared" si="39"/>
        <v>0</v>
      </c>
      <c r="AQ17">
        <f t="shared" si="40"/>
        <v>0</v>
      </c>
      <c r="AR17">
        <f t="shared" si="41"/>
        <v>0</v>
      </c>
      <c r="AS17">
        <f t="shared" si="42"/>
        <v>0</v>
      </c>
      <c r="AT17">
        <f t="shared" si="43"/>
        <v>0</v>
      </c>
      <c r="AU17">
        <f t="shared" si="44"/>
        <v>0</v>
      </c>
      <c r="AV17">
        <f t="shared" si="45"/>
        <v>0</v>
      </c>
      <c r="AW17">
        <f t="shared" si="0"/>
        <v>11633.87</v>
      </c>
      <c r="AX17">
        <f t="shared" si="46"/>
        <v>122.6</v>
      </c>
      <c r="AY17">
        <f t="shared" si="47"/>
        <v>750</v>
      </c>
    </row>
    <row r="18" spans="1:51" x14ac:dyDescent="0.35">
      <c r="A18">
        <v>12</v>
      </c>
      <c r="C18">
        <f>MAX(0,Calc!$C$7-SUM(D18:R18))</f>
        <v>240</v>
      </c>
      <c r="D18">
        <f t="shared" si="1"/>
        <v>0</v>
      </c>
      <c r="E18">
        <f t="shared" si="2"/>
        <v>145</v>
      </c>
      <c r="F18">
        <f t="shared" si="3"/>
        <v>315</v>
      </c>
      <c r="G18">
        <f t="shared" si="4"/>
        <v>50</v>
      </c>
      <c r="H18">
        <f t="shared" si="5"/>
        <v>0</v>
      </c>
      <c r="I18">
        <f t="shared" si="6"/>
        <v>0</v>
      </c>
      <c r="J18">
        <f t="shared" si="7"/>
        <v>0</v>
      </c>
      <c r="K18">
        <f t="shared" si="8"/>
        <v>0</v>
      </c>
      <c r="L18">
        <f t="shared" si="9"/>
        <v>0</v>
      </c>
      <c r="M18">
        <f t="shared" si="10"/>
        <v>0</v>
      </c>
      <c r="N18">
        <f t="shared" si="11"/>
        <v>0</v>
      </c>
      <c r="O18">
        <f t="shared" si="12"/>
        <v>0</v>
      </c>
      <c r="P18">
        <f t="shared" si="13"/>
        <v>0</v>
      </c>
      <c r="Q18">
        <f t="shared" si="14"/>
        <v>0</v>
      </c>
      <c r="R18">
        <f t="shared" si="15"/>
        <v>0</v>
      </c>
      <c r="S18">
        <f t="shared" si="16"/>
        <v>0</v>
      </c>
      <c r="T18">
        <f t="shared" si="17"/>
        <v>240</v>
      </c>
      <c r="U18">
        <f t="shared" si="18"/>
        <v>0</v>
      </c>
      <c r="V18">
        <f t="shared" si="19"/>
        <v>0</v>
      </c>
      <c r="W18">
        <f t="shared" si="20"/>
        <v>0</v>
      </c>
      <c r="X18">
        <f t="shared" si="21"/>
        <v>0</v>
      </c>
      <c r="Y18">
        <f t="shared" si="22"/>
        <v>0</v>
      </c>
      <c r="Z18">
        <f t="shared" si="23"/>
        <v>0</v>
      </c>
      <c r="AA18">
        <f t="shared" si="24"/>
        <v>0</v>
      </c>
      <c r="AB18">
        <f t="shared" si="25"/>
        <v>0</v>
      </c>
      <c r="AC18">
        <f t="shared" si="26"/>
        <v>0</v>
      </c>
      <c r="AD18">
        <f t="shared" si="27"/>
        <v>0</v>
      </c>
      <c r="AE18">
        <f t="shared" si="28"/>
        <v>0</v>
      </c>
      <c r="AF18">
        <f t="shared" si="29"/>
        <v>0</v>
      </c>
      <c r="AG18">
        <f t="shared" si="30"/>
        <v>0</v>
      </c>
      <c r="AH18">
        <f t="shared" si="31"/>
        <v>0</v>
      </c>
      <c r="AI18">
        <f t="shared" si="32"/>
        <v>2575.9</v>
      </c>
      <c r="AJ18">
        <f t="shared" si="33"/>
        <v>8372.33</v>
      </c>
      <c r="AK18">
        <f t="shared" si="34"/>
        <v>50</v>
      </c>
      <c r="AL18">
        <f t="shared" si="35"/>
        <v>0</v>
      </c>
      <c r="AM18">
        <f t="shared" si="36"/>
        <v>0</v>
      </c>
      <c r="AN18">
        <f t="shared" si="37"/>
        <v>0</v>
      </c>
      <c r="AO18">
        <f t="shared" si="38"/>
        <v>0</v>
      </c>
      <c r="AP18">
        <f t="shared" si="39"/>
        <v>0</v>
      </c>
      <c r="AQ18">
        <f t="shared" si="40"/>
        <v>0</v>
      </c>
      <c r="AR18">
        <f t="shared" si="41"/>
        <v>0</v>
      </c>
      <c r="AS18">
        <f t="shared" si="42"/>
        <v>0</v>
      </c>
      <c r="AT18">
        <f t="shared" si="43"/>
        <v>0</v>
      </c>
      <c r="AU18">
        <f t="shared" si="44"/>
        <v>0</v>
      </c>
      <c r="AV18">
        <f t="shared" si="45"/>
        <v>0</v>
      </c>
      <c r="AW18">
        <f t="shared" si="0"/>
        <v>10998.23</v>
      </c>
      <c r="AX18">
        <f t="shared" si="46"/>
        <v>114.36</v>
      </c>
      <c r="AY18">
        <f t="shared" si="47"/>
        <v>750</v>
      </c>
    </row>
    <row r="19" spans="1:51" x14ac:dyDescent="0.35">
      <c r="A19">
        <v>13</v>
      </c>
      <c r="C19">
        <f>MAX(0,Calc!$C$7-SUM(D19:R19))</f>
        <v>240</v>
      </c>
      <c r="D19">
        <f t="shared" si="1"/>
        <v>0</v>
      </c>
      <c r="E19">
        <f t="shared" si="2"/>
        <v>145</v>
      </c>
      <c r="F19">
        <f t="shared" si="3"/>
        <v>315</v>
      </c>
      <c r="G19">
        <f t="shared" si="4"/>
        <v>50</v>
      </c>
      <c r="H19">
        <f t="shared" si="5"/>
        <v>0</v>
      </c>
      <c r="I19">
        <f t="shared" si="6"/>
        <v>0</v>
      </c>
      <c r="J19">
        <f t="shared" si="7"/>
        <v>0</v>
      </c>
      <c r="K19">
        <f t="shared" si="8"/>
        <v>0</v>
      </c>
      <c r="L19">
        <f t="shared" si="9"/>
        <v>0</v>
      </c>
      <c r="M19">
        <f t="shared" si="10"/>
        <v>0</v>
      </c>
      <c r="N19">
        <f t="shared" si="11"/>
        <v>0</v>
      </c>
      <c r="O19">
        <f t="shared" si="12"/>
        <v>0</v>
      </c>
      <c r="P19">
        <f t="shared" si="13"/>
        <v>0</v>
      </c>
      <c r="Q19">
        <f t="shared" si="14"/>
        <v>0</v>
      </c>
      <c r="R19">
        <f t="shared" si="15"/>
        <v>0</v>
      </c>
      <c r="S19">
        <f t="shared" si="16"/>
        <v>0</v>
      </c>
      <c r="T19">
        <f t="shared" si="17"/>
        <v>240</v>
      </c>
      <c r="U19">
        <f t="shared" si="18"/>
        <v>0</v>
      </c>
      <c r="V19">
        <f t="shared" si="19"/>
        <v>0</v>
      </c>
      <c r="W19">
        <f t="shared" si="20"/>
        <v>0</v>
      </c>
      <c r="X19">
        <f t="shared" si="21"/>
        <v>0</v>
      </c>
      <c r="Y19">
        <f t="shared" si="22"/>
        <v>0</v>
      </c>
      <c r="Z19">
        <f t="shared" si="23"/>
        <v>0</v>
      </c>
      <c r="AA19">
        <f t="shared" si="24"/>
        <v>0</v>
      </c>
      <c r="AB19">
        <f t="shared" si="25"/>
        <v>0</v>
      </c>
      <c r="AC19">
        <f t="shared" si="26"/>
        <v>0</v>
      </c>
      <c r="AD19">
        <f t="shared" si="27"/>
        <v>0</v>
      </c>
      <c r="AE19">
        <f t="shared" si="28"/>
        <v>0</v>
      </c>
      <c r="AF19">
        <f t="shared" si="29"/>
        <v>0</v>
      </c>
      <c r="AG19">
        <f t="shared" si="30"/>
        <v>0</v>
      </c>
      <c r="AH19">
        <f t="shared" si="31"/>
        <v>0</v>
      </c>
      <c r="AI19">
        <f t="shared" si="32"/>
        <v>2244.54</v>
      </c>
      <c r="AJ19">
        <f t="shared" si="33"/>
        <v>8109.66</v>
      </c>
      <c r="AK19">
        <f t="shared" si="34"/>
        <v>0</v>
      </c>
      <c r="AL19">
        <f t="shared" si="35"/>
        <v>0</v>
      </c>
      <c r="AM19">
        <f t="shared" si="36"/>
        <v>0</v>
      </c>
      <c r="AN19">
        <f t="shared" si="37"/>
        <v>0</v>
      </c>
      <c r="AO19">
        <f t="shared" si="38"/>
        <v>0</v>
      </c>
      <c r="AP19">
        <f t="shared" si="39"/>
        <v>0</v>
      </c>
      <c r="AQ19">
        <f t="shared" si="40"/>
        <v>0</v>
      </c>
      <c r="AR19">
        <f t="shared" si="41"/>
        <v>0</v>
      </c>
      <c r="AS19">
        <f t="shared" si="42"/>
        <v>0</v>
      </c>
      <c r="AT19">
        <f t="shared" si="43"/>
        <v>0</v>
      </c>
      <c r="AU19">
        <f t="shared" si="44"/>
        <v>0</v>
      </c>
      <c r="AV19">
        <f t="shared" si="45"/>
        <v>0</v>
      </c>
      <c r="AW19">
        <f t="shared" si="0"/>
        <v>10354.200000000001</v>
      </c>
      <c r="AX19">
        <f t="shared" si="46"/>
        <v>105.97</v>
      </c>
      <c r="AY19">
        <f t="shared" si="47"/>
        <v>750</v>
      </c>
    </row>
    <row r="20" spans="1:51" x14ac:dyDescent="0.35">
      <c r="A20">
        <v>14</v>
      </c>
      <c r="C20">
        <f>MAX(0,Calc!$C$7-SUM(D20:R20))</f>
        <v>290</v>
      </c>
      <c r="D20">
        <f t="shared" si="1"/>
        <v>0</v>
      </c>
      <c r="E20">
        <f t="shared" si="2"/>
        <v>145</v>
      </c>
      <c r="F20">
        <f t="shared" si="3"/>
        <v>315</v>
      </c>
      <c r="G20">
        <f t="shared" si="4"/>
        <v>0</v>
      </c>
      <c r="H20">
        <f t="shared" si="5"/>
        <v>0</v>
      </c>
      <c r="I20">
        <f t="shared" si="6"/>
        <v>0</v>
      </c>
      <c r="J20">
        <f t="shared" si="7"/>
        <v>0</v>
      </c>
      <c r="K20">
        <f t="shared" si="8"/>
        <v>0</v>
      </c>
      <c r="L20">
        <f t="shared" si="9"/>
        <v>0</v>
      </c>
      <c r="M20">
        <f t="shared" si="10"/>
        <v>0</v>
      </c>
      <c r="N20">
        <f t="shared" si="11"/>
        <v>0</v>
      </c>
      <c r="O20">
        <f t="shared" si="12"/>
        <v>0</v>
      </c>
      <c r="P20">
        <f t="shared" si="13"/>
        <v>0</v>
      </c>
      <c r="Q20">
        <f t="shared" si="14"/>
        <v>0</v>
      </c>
      <c r="R20">
        <f t="shared" si="15"/>
        <v>0</v>
      </c>
      <c r="S20">
        <f t="shared" si="16"/>
        <v>0</v>
      </c>
      <c r="T20">
        <f t="shared" si="17"/>
        <v>290</v>
      </c>
      <c r="U20">
        <f t="shared" si="18"/>
        <v>0</v>
      </c>
      <c r="V20">
        <f t="shared" si="19"/>
        <v>0</v>
      </c>
      <c r="W20">
        <f t="shared" si="20"/>
        <v>0</v>
      </c>
      <c r="X20">
        <f t="shared" si="21"/>
        <v>0</v>
      </c>
      <c r="Y20">
        <f t="shared" si="22"/>
        <v>0</v>
      </c>
      <c r="Z20">
        <f t="shared" si="23"/>
        <v>0</v>
      </c>
      <c r="AA20">
        <f t="shared" si="24"/>
        <v>0</v>
      </c>
      <c r="AB20">
        <f t="shared" si="25"/>
        <v>0</v>
      </c>
      <c r="AC20">
        <f t="shared" si="26"/>
        <v>0</v>
      </c>
      <c r="AD20">
        <f t="shared" si="27"/>
        <v>0</v>
      </c>
      <c r="AE20">
        <f t="shared" si="28"/>
        <v>0</v>
      </c>
      <c r="AF20">
        <f t="shared" si="29"/>
        <v>0</v>
      </c>
      <c r="AG20">
        <f t="shared" si="30"/>
        <v>0</v>
      </c>
      <c r="AH20">
        <f t="shared" si="31"/>
        <v>0</v>
      </c>
      <c r="AI20">
        <f t="shared" si="32"/>
        <v>1856.28</v>
      </c>
      <c r="AJ20">
        <f t="shared" si="33"/>
        <v>7845.35</v>
      </c>
      <c r="AK20">
        <f t="shared" si="34"/>
        <v>0</v>
      </c>
      <c r="AL20">
        <f t="shared" si="35"/>
        <v>0</v>
      </c>
      <c r="AM20">
        <f t="shared" si="36"/>
        <v>0</v>
      </c>
      <c r="AN20">
        <f t="shared" si="37"/>
        <v>0</v>
      </c>
      <c r="AO20">
        <f t="shared" si="38"/>
        <v>0</v>
      </c>
      <c r="AP20">
        <f t="shared" si="39"/>
        <v>0</v>
      </c>
      <c r="AQ20">
        <f t="shared" si="40"/>
        <v>0</v>
      </c>
      <c r="AR20">
        <f t="shared" si="41"/>
        <v>0</v>
      </c>
      <c r="AS20">
        <f t="shared" si="42"/>
        <v>0</v>
      </c>
      <c r="AT20">
        <f t="shared" si="43"/>
        <v>0</v>
      </c>
      <c r="AU20">
        <f t="shared" si="44"/>
        <v>0</v>
      </c>
      <c r="AV20">
        <f t="shared" si="45"/>
        <v>0</v>
      </c>
      <c r="AW20">
        <f t="shared" si="0"/>
        <v>9701.630000000001</v>
      </c>
      <c r="AX20">
        <f t="shared" si="46"/>
        <v>97.43</v>
      </c>
      <c r="AY20">
        <f t="shared" si="47"/>
        <v>750</v>
      </c>
    </row>
    <row r="21" spans="1:51" x14ac:dyDescent="0.35">
      <c r="A21">
        <v>15</v>
      </c>
      <c r="C21">
        <f>MAX(0,Calc!$C$7-SUM(D21:R21))</f>
        <v>290</v>
      </c>
      <c r="D21">
        <f t="shared" si="1"/>
        <v>0</v>
      </c>
      <c r="E21">
        <f t="shared" si="2"/>
        <v>145</v>
      </c>
      <c r="F21">
        <f t="shared" si="3"/>
        <v>315</v>
      </c>
      <c r="G21">
        <f t="shared" si="4"/>
        <v>0</v>
      </c>
      <c r="H21">
        <f t="shared" si="5"/>
        <v>0</v>
      </c>
      <c r="I21">
        <f t="shared" si="6"/>
        <v>0</v>
      </c>
      <c r="J21">
        <f t="shared" si="7"/>
        <v>0</v>
      </c>
      <c r="K21">
        <f t="shared" si="8"/>
        <v>0</v>
      </c>
      <c r="L21">
        <f t="shared" si="9"/>
        <v>0</v>
      </c>
      <c r="M21">
        <f t="shared" si="10"/>
        <v>0</v>
      </c>
      <c r="N21">
        <f t="shared" si="11"/>
        <v>0</v>
      </c>
      <c r="O21">
        <f t="shared" si="12"/>
        <v>0</v>
      </c>
      <c r="P21">
        <f t="shared" si="13"/>
        <v>0</v>
      </c>
      <c r="Q21">
        <f t="shared" si="14"/>
        <v>0</v>
      </c>
      <c r="R21">
        <f t="shared" si="15"/>
        <v>0</v>
      </c>
      <c r="S21">
        <f t="shared" si="16"/>
        <v>0</v>
      </c>
      <c r="T21">
        <f t="shared" si="17"/>
        <v>290</v>
      </c>
      <c r="U21">
        <f t="shared" si="18"/>
        <v>0</v>
      </c>
      <c r="V21">
        <f t="shared" si="19"/>
        <v>0</v>
      </c>
      <c r="W21">
        <f t="shared" si="20"/>
        <v>0</v>
      </c>
      <c r="X21">
        <f t="shared" si="21"/>
        <v>0</v>
      </c>
      <c r="Y21">
        <f t="shared" si="22"/>
        <v>0</v>
      </c>
      <c r="Z21">
        <f t="shared" si="23"/>
        <v>0</v>
      </c>
      <c r="AA21">
        <f t="shared" si="24"/>
        <v>0</v>
      </c>
      <c r="AB21">
        <f t="shared" si="25"/>
        <v>0</v>
      </c>
      <c r="AC21">
        <f t="shared" si="26"/>
        <v>0</v>
      </c>
      <c r="AD21">
        <f t="shared" si="27"/>
        <v>0</v>
      </c>
      <c r="AE21">
        <f t="shared" si="28"/>
        <v>0</v>
      </c>
      <c r="AF21">
        <f t="shared" si="29"/>
        <v>0</v>
      </c>
      <c r="AG21">
        <f t="shared" si="30"/>
        <v>0</v>
      </c>
      <c r="AH21">
        <f t="shared" si="31"/>
        <v>0</v>
      </c>
      <c r="AI21">
        <f t="shared" si="32"/>
        <v>1459.94</v>
      </c>
      <c r="AJ21">
        <f t="shared" si="33"/>
        <v>7579.38</v>
      </c>
      <c r="AK21">
        <f t="shared" si="34"/>
        <v>0</v>
      </c>
      <c r="AL21">
        <f t="shared" si="35"/>
        <v>0</v>
      </c>
      <c r="AM21">
        <f t="shared" si="36"/>
        <v>0</v>
      </c>
      <c r="AN21">
        <f t="shared" si="37"/>
        <v>0</v>
      </c>
      <c r="AO21">
        <f t="shared" si="38"/>
        <v>0</v>
      </c>
      <c r="AP21">
        <f t="shared" si="39"/>
        <v>0</v>
      </c>
      <c r="AQ21">
        <f t="shared" si="40"/>
        <v>0</v>
      </c>
      <c r="AR21">
        <f t="shared" si="41"/>
        <v>0</v>
      </c>
      <c r="AS21">
        <f t="shared" si="42"/>
        <v>0</v>
      </c>
      <c r="AT21">
        <f t="shared" si="43"/>
        <v>0</v>
      </c>
      <c r="AU21">
        <f t="shared" si="44"/>
        <v>0</v>
      </c>
      <c r="AV21">
        <f t="shared" si="45"/>
        <v>0</v>
      </c>
      <c r="AW21">
        <f t="shared" si="0"/>
        <v>9039.32</v>
      </c>
      <c r="AX21">
        <f t="shared" si="46"/>
        <v>87.69</v>
      </c>
      <c r="AY21">
        <f t="shared" si="47"/>
        <v>750</v>
      </c>
    </row>
    <row r="22" spans="1:51" x14ac:dyDescent="0.35">
      <c r="A22">
        <v>16</v>
      </c>
      <c r="C22">
        <f>MAX(0,Calc!$C$7-SUM(D22:R22))</f>
        <v>290</v>
      </c>
      <c r="D22">
        <f t="shared" si="1"/>
        <v>0</v>
      </c>
      <c r="E22">
        <f t="shared" si="2"/>
        <v>145</v>
      </c>
      <c r="F22">
        <f t="shared" si="3"/>
        <v>315</v>
      </c>
      <c r="G22">
        <f t="shared" si="4"/>
        <v>0</v>
      </c>
      <c r="H22">
        <f t="shared" si="5"/>
        <v>0</v>
      </c>
      <c r="I22">
        <f t="shared" si="6"/>
        <v>0</v>
      </c>
      <c r="J22">
        <f t="shared" si="7"/>
        <v>0</v>
      </c>
      <c r="K22">
        <f t="shared" si="8"/>
        <v>0</v>
      </c>
      <c r="L22">
        <f t="shared" si="9"/>
        <v>0</v>
      </c>
      <c r="M22">
        <f t="shared" si="10"/>
        <v>0</v>
      </c>
      <c r="N22">
        <f t="shared" si="11"/>
        <v>0</v>
      </c>
      <c r="O22">
        <f t="shared" si="12"/>
        <v>0</v>
      </c>
      <c r="P22">
        <f t="shared" si="13"/>
        <v>0</v>
      </c>
      <c r="Q22">
        <f t="shared" si="14"/>
        <v>0</v>
      </c>
      <c r="R22">
        <f t="shared" si="15"/>
        <v>0</v>
      </c>
      <c r="S22">
        <f t="shared" si="16"/>
        <v>0</v>
      </c>
      <c r="T22">
        <f t="shared" si="17"/>
        <v>290</v>
      </c>
      <c r="U22">
        <f t="shared" si="18"/>
        <v>0</v>
      </c>
      <c r="V22">
        <f t="shared" si="19"/>
        <v>0</v>
      </c>
      <c r="W22">
        <f t="shared" si="20"/>
        <v>0</v>
      </c>
      <c r="X22">
        <f t="shared" si="21"/>
        <v>0</v>
      </c>
      <c r="Y22">
        <f t="shared" si="22"/>
        <v>0</v>
      </c>
      <c r="Z22">
        <f t="shared" si="23"/>
        <v>0</v>
      </c>
      <c r="AA22">
        <f t="shared" si="24"/>
        <v>0</v>
      </c>
      <c r="AB22">
        <f t="shared" si="25"/>
        <v>0</v>
      </c>
      <c r="AC22">
        <f t="shared" si="26"/>
        <v>0</v>
      </c>
      <c r="AD22">
        <f t="shared" si="27"/>
        <v>0</v>
      </c>
      <c r="AE22">
        <f t="shared" si="28"/>
        <v>0</v>
      </c>
      <c r="AF22">
        <f t="shared" si="29"/>
        <v>0</v>
      </c>
      <c r="AG22">
        <f t="shared" si="30"/>
        <v>0</v>
      </c>
      <c r="AH22">
        <f t="shared" si="31"/>
        <v>0</v>
      </c>
      <c r="AI22">
        <f t="shared" si="32"/>
        <v>1055.3399999999999</v>
      </c>
      <c r="AJ22">
        <f t="shared" si="33"/>
        <v>7311.75</v>
      </c>
      <c r="AK22">
        <f t="shared" si="34"/>
        <v>0</v>
      </c>
      <c r="AL22">
        <f t="shared" si="35"/>
        <v>0</v>
      </c>
      <c r="AM22">
        <f t="shared" si="36"/>
        <v>0</v>
      </c>
      <c r="AN22">
        <f t="shared" si="37"/>
        <v>0</v>
      </c>
      <c r="AO22">
        <f t="shared" si="38"/>
        <v>0</v>
      </c>
      <c r="AP22">
        <f t="shared" si="39"/>
        <v>0</v>
      </c>
      <c r="AQ22">
        <f t="shared" si="40"/>
        <v>0</v>
      </c>
      <c r="AR22">
        <f t="shared" si="41"/>
        <v>0</v>
      </c>
      <c r="AS22">
        <f t="shared" si="42"/>
        <v>0</v>
      </c>
      <c r="AT22">
        <f t="shared" si="43"/>
        <v>0</v>
      </c>
      <c r="AU22">
        <f t="shared" si="44"/>
        <v>0</v>
      </c>
      <c r="AV22">
        <f t="shared" si="45"/>
        <v>0</v>
      </c>
      <c r="AW22">
        <f t="shared" si="0"/>
        <v>8367.09</v>
      </c>
      <c r="AX22">
        <f t="shared" si="46"/>
        <v>77.77</v>
      </c>
      <c r="AY22">
        <f t="shared" si="47"/>
        <v>750</v>
      </c>
    </row>
    <row r="23" spans="1:51" x14ac:dyDescent="0.35">
      <c r="A23">
        <v>17</v>
      </c>
      <c r="C23">
        <f>MAX(0,Calc!$C$7-SUM(D23:R23))</f>
        <v>290</v>
      </c>
      <c r="D23">
        <f t="shared" si="1"/>
        <v>0</v>
      </c>
      <c r="E23">
        <f t="shared" si="2"/>
        <v>145</v>
      </c>
      <c r="F23">
        <f t="shared" si="3"/>
        <v>315</v>
      </c>
      <c r="G23">
        <f t="shared" si="4"/>
        <v>0</v>
      </c>
      <c r="H23">
        <f t="shared" si="5"/>
        <v>0</v>
      </c>
      <c r="I23">
        <f t="shared" si="6"/>
        <v>0</v>
      </c>
      <c r="J23">
        <f t="shared" si="7"/>
        <v>0</v>
      </c>
      <c r="K23">
        <f t="shared" si="8"/>
        <v>0</v>
      </c>
      <c r="L23">
        <f t="shared" si="9"/>
        <v>0</v>
      </c>
      <c r="M23">
        <f t="shared" si="10"/>
        <v>0</v>
      </c>
      <c r="N23">
        <f t="shared" si="11"/>
        <v>0</v>
      </c>
      <c r="O23">
        <f t="shared" si="12"/>
        <v>0</v>
      </c>
      <c r="P23">
        <f t="shared" si="13"/>
        <v>0</v>
      </c>
      <c r="Q23">
        <f t="shared" si="14"/>
        <v>0</v>
      </c>
      <c r="R23">
        <f t="shared" si="15"/>
        <v>0</v>
      </c>
      <c r="S23">
        <f t="shared" si="16"/>
        <v>0</v>
      </c>
      <c r="T23">
        <f t="shared" si="17"/>
        <v>290</v>
      </c>
      <c r="U23">
        <f t="shared" si="18"/>
        <v>0</v>
      </c>
      <c r="V23">
        <f t="shared" si="19"/>
        <v>0</v>
      </c>
      <c r="W23">
        <f t="shared" si="20"/>
        <v>0</v>
      </c>
      <c r="X23">
        <f t="shared" si="21"/>
        <v>0</v>
      </c>
      <c r="Y23">
        <f t="shared" si="22"/>
        <v>0</v>
      </c>
      <c r="Z23">
        <f t="shared" si="23"/>
        <v>0</v>
      </c>
      <c r="AA23">
        <f t="shared" si="24"/>
        <v>0</v>
      </c>
      <c r="AB23">
        <f t="shared" si="25"/>
        <v>0</v>
      </c>
      <c r="AC23">
        <f t="shared" si="26"/>
        <v>0</v>
      </c>
      <c r="AD23">
        <f t="shared" si="27"/>
        <v>0</v>
      </c>
      <c r="AE23">
        <f t="shared" si="28"/>
        <v>0</v>
      </c>
      <c r="AF23">
        <f t="shared" si="29"/>
        <v>0</v>
      </c>
      <c r="AG23">
        <f t="shared" si="30"/>
        <v>0</v>
      </c>
      <c r="AH23">
        <f t="shared" si="31"/>
        <v>0</v>
      </c>
      <c r="AI23">
        <f t="shared" si="32"/>
        <v>642.32000000000005</v>
      </c>
      <c r="AJ23">
        <f t="shared" si="33"/>
        <v>7042.45</v>
      </c>
      <c r="AK23">
        <f t="shared" si="34"/>
        <v>0</v>
      </c>
      <c r="AL23">
        <f t="shared" si="35"/>
        <v>0</v>
      </c>
      <c r="AM23">
        <f t="shared" si="36"/>
        <v>0</v>
      </c>
      <c r="AN23">
        <f t="shared" si="37"/>
        <v>0</v>
      </c>
      <c r="AO23">
        <f t="shared" si="38"/>
        <v>0</v>
      </c>
      <c r="AP23">
        <f t="shared" si="39"/>
        <v>0</v>
      </c>
      <c r="AQ23">
        <f t="shared" si="40"/>
        <v>0</v>
      </c>
      <c r="AR23">
        <f t="shared" si="41"/>
        <v>0</v>
      </c>
      <c r="AS23">
        <f t="shared" si="42"/>
        <v>0</v>
      </c>
      <c r="AT23">
        <f t="shared" si="43"/>
        <v>0</v>
      </c>
      <c r="AU23">
        <f t="shared" si="44"/>
        <v>0</v>
      </c>
      <c r="AV23">
        <f t="shared" si="45"/>
        <v>0</v>
      </c>
      <c r="AW23">
        <f t="shared" si="0"/>
        <v>7684.7699999999995</v>
      </c>
      <c r="AX23">
        <f t="shared" si="46"/>
        <v>67.680000000000007</v>
      </c>
      <c r="AY23">
        <f t="shared" si="47"/>
        <v>750</v>
      </c>
    </row>
    <row r="24" spans="1:51" x14ac:dyDescent="0.35">
      <c r="A24">
        <v>18</v>
      </c>
      <c r="C24">
        <f>MAX(0,Calc!$C$7-SUM(D24:R24))</f>
        <v>290</v>
      </c>
      <c r="D24">
        <f t="shared" si="1"/>
        <v>0</v>
      </c>
      <c r="E24">
        <f t="shared" si="2"/>
        <v>145</v>
      </c>
      <c r="F24">
        <f t="shared" si="3"/>
        <v>315</v>
      </c>
      <c r="G24">
        <f t="shared" si="4"/>
        <v>0</v>
      </c>
      <c r="H24">
        <f t="shared" si="5"/>
        <v>0</v>
      </c>
      <c r="I24">
        <f t="shared" si="6"/>
        <v>0</v>
      </c>
      <c r="J24">
        <f t="shared" si="7"/>
        <v>0</v>
      </c>
      <c r="K24">
        <f t="shared" si="8"/>
        <v>0</v>
      </c>
      <c r="L24">
        <f t="shared" si="9"/>
        <v>0</v>
      </c>
      <c r="M24">
        <f t="shared" si="10"/>
        <v>0</v>
      </c>
      <c r="N24">
        <f t="shared" si="11"/>
        <v>0</v>
      </c>
      <c r="O24">
        <f t="shared" si="12"/>
        <v>0</v>
      </c>
      <c r="P24">
        <f t="shared" si="13"/>
        <v>0</v>
      </c>
      <c r="Q24">
        <f t="shared" si="14"/>
        <v>0</v>
      </c>
      <c r="R24">
        <f t="shared" si="15"/>
        <v>0</v>
      </c>
      <c r="S24">
        <f t="shared" si="16"/>
        <v>0</v>
      </c>
      <c r="T24">
        <f t="shared" si="17"/>
        <v>290</v>
      </c>
      <c r="U24">
        <f t="shared" si="18"/>
        <v>0</v>
      </c>
      <c r="V24">
        <f t="shared" si="19"/>
        <v>0</v>
      </c>
      <c r="W24">
        <f t="shared" si="20"/>
        <v>0</v>
      </c>
      <c r="X24">
        <f t="shared" si="21"/>
        <v>0</v>
      </c>
      <c r="Y24">
        <f t="shared" si="22"/>
        <v>0</v>
      </c>
      <c r="Z24">
        <f t="shared" si="23"/>
        <v>0</v>
      </c>
      <c r="AA24">
        <f t="shared" si="24"/>
        <v>0</v>
      </c>
      <c r="AB24">
        <f t="shared" si="25"/>
        <v>0</v>
      </c>
      <c r="AC24">
        <f t="shared" si="26"/>
        <v>0</v>
      </c>
      <c r="AD24">
        <f t="shared" si="27"/>
        <v>0</v>
      </c>
      <c r="AE24">
        <f t="shared" si="28"/>
        <v>0</v>
      </c>
      <c r="AF24">
        <f t="shared" si="29"/>
        <v>0</v>
      </c>
      <c r="AG24">
        <f t="shared" si="30"/>
        <v>0</v>
      </c>
      <c r="AH24">
        <f t="shared" si="31"/>
        <v>0</v>
      </c>
      <c r="AI24">
        <f t="shared" si="32"/>
        <v>220.7</v>
      </c>
      <c r="AJ24">
        <f t="shared" si="33"/>
        <v>6771.47</v>
      </c>
      <c r="AK24">
        <f t="shared" si="34"/>
        <v>0</v>
      </c>
      <c r="AL24">
        <f t="shared" si="35"/>
        <v>0</v>
      </c>
      <c r="AM24">
        <f t="shared" si="36"/>
        <v>0</v>
      </c>
      <c r="AN24">
        <f t="shared" si="37"/>
        <v>0</v>
      </c>
      <c r="AO24">
        <f t="shared" si="38"/>
        <v>0</v>
      </c>
      <c r="AP24">
        <f t="shared" si="39"/>
        <v>0</v>
      </c>
      <c r="AQ24">
        <f t="shared" si="40"/>
        <v>0</v>
      </c>
      <c r="AR24">
        <f t="shared" si="41"/>
        <v>0</v>
      </c>
      <c r="AS24">
        <f t="shared" si="42"/>
        <v>0</v>
      </c>
      <c r="AT24">
        <f t="shared" si="43"/>
        <v>0</v>
      </c>
      <c r="AU24">
        <f t="shared" si="44"/>
        <v>0</v>
      </c>
      <c r="AV24">
        <f t="shared" si="45"/>
        <v>0</v>
      </c>
      <c r="AW24">
        <f t="shared" si="0"/>
        <v>6992.17</v>
      </c>
      <c r="AX24">
        <f t="shared" si="46"/>
        <v>57.400000000000006</v>
      </c>
      <c r="AY24">
        <f t="shared" si="47"/>
        <v>750</v>
      </c>
    </row>
    <row r="25" spans="1:51" x14ac:dyDescent="0.35">
      <c r="A25">
        <v>19</v>
      </c>
      <c r="C25">
        <f>MAX(0,Calc!$C$7-SUM(D25:R25))</f>
        <v>290</v>
      </c>
      <c r="D25">
        <f t="shared" si="1"/>
        <v>0</v>
      </c>
      <c r="E25">
        <f t="shared" si="2"/>
        <v>145</v>
      </c>
      <c r="F25">
        <f t="shared" si="3"/>
        <v>315</v>
      </c>
      <c r="G25">
        <f t="shared" si="4"/>
        <v>0</v>
      </c>
      <c r="H25">
        <f t="shared" si="5"/>
        <v>0</v>
      </c>
      <c r="I25">
        <f t="shared" si="6"/>
        <v>0</v>
      </c>
      <c r="J25">
        <f t="shared" si="7"/>
        <v>0</v>
      </c>
      <c r="K25">
        <f t="shared" si="8"/>
        <v>0</v>
      </c>
      <c r="L25">
        <f t="shared" si="9"/>
        <v>0</v>
      </c>
      <c r="M25">
        <f t="shared" si="10"/>
        <v>0</v>
      </c>
      <c r="N25">
        <f t="shared" si="11"/>
        <v>0</v>
      </c>
      <c r="O25">
        <f t="shared" si="12"/>
        <v>0</v>
      </c>
      <c r="P25">
        <f t="shared" si="13"/>
        <v>0</v>
      </c>
      <c r="Q25">
        <f t="shared" si="14"/>
        <v>0</v>
      </c>
      <c r="R25">
        <f t="shared" si="15"/>
        <v>0</v>
      </c>
      <c r="S25">
        <f t="shared" si="16"/>
        <v>0</v>
      </c>
      <c r="T25">
        <f t="shared" si="17"/>
        <v>80.299999999999983</v>
      </c>
      <c r="U25">
        <f t="shared" si="18"/>
        <v>209.70000000000002</v>
      </c>
      <c r="V25">
        <f t="shared" si="19"/>
        <v>0</v>
      </c>
      <c r="W25">
        <f t="shared" si="20"/>
        <v>0</v>
      </c>
      <c r="X25">
        <f t="shared" si="21"/>
        <v>0</v>
      </c>
      <c r="Y25">
        <f t="shared" si="22"/>
        <v>0</v>
      </c>
      <c r="Z25">
        <f t="shared" si="23"/>
        <v>0</v>
      </c>
      <c r="AA25">
        <f t="shared" si="24"/>
        <v>0</v>
      </c>
      <c r="AB25">
        <f t="shared" si="25"/>
        <v>0</v>
      </c>
      <c r="AC25">
        <f t="shared" si="26"/>
        <v>0</v>
      </c>
      <c r="AD25">
        <f t="shared" si="27"/>
        <v>0</v>
      </c>
      <c r="AE25">
        <f t="shared" si="28"/>
        <v>0</v>
      </c>
      <c r="AF25">
        <f t="shared" si="29"/>
        <v>0</v>
      </c>
      <c r="AG25">
        <f t="shared" si="30"/>
        <v>0</v>
      </c>
      <c r="AH25">
        <f t="shared" si="31"/>
        <v>0</v>
      </c>
      <c r="AI25">
        <f t="shared" si="32"/>
        <v>0</v>
      </c>
      <c r="AJ25">
        <f t="shared" si="33"/>
        <v>6289.09</v>
      </c>
      <c r="AK25">
        <f t="shared" si="34"/>
        <v>0</v>
      </c>
      <c r="AL25">
        <f t="shared" si="35"/>
        <v>0</v>
      </c>
      <c r="AM25">
        <f t="shared" si="36"/>
        <v>0</v>
      </c>
      <c r="AN25">
        <f t="shared" si="37"/>
        <v>0</v>
      </c>
      <c r="AO25">
        <f t="shared" si="38"/>
        <v>0</v>
      </c>
      <c r="AP25">
        <f t="shared" si="39"/>
        <v>0</v>
      </c>
      <c r="AQ25">
        <f t="shared" si="40"/>
        <v>0</v>
      </c>
      <c r="AR25">
        <f t="shared" si="41"/>
        <v>0</v>
      </c>
      <c r="AS25">
        <f t="shared" si="42"/>
        <v>0</v>
      </c>
      <c r="AT25">
        <f t="shared" si="43"/>
        <v>0</v>
      </c>
      <c r="AU25">
        <f t="shared" si="44"/>
        <v>0</v>
      </c>
      <c r="AV25">
        <f t="shared" si="45"/>
        <v>0</v>
      </c>
      <c r="AW25">
        <f t="shared" si="0"/>
        <v>6289.09</v>
      </c>
      <c r="AX25">
        <f t="shared" si="46"/>
        <v>46.92</v>
      </c>
      <c r="AY25">
        <f t="shared" si="47"/>
        <v>750</v>
      </c>
    </row>
    <row r="26" spans="1:51" x14ac:dyDescent="0.35">
      <c r="A26">
        <v>20</v>
      </c>
      <c r="C26">
        <f>MAX(0,Calc!$C$7-SUM(D26:R26))</f>
        <v>435</v>
      </c>
      <c r="D26">
        <f t="shared" si="1"/>
        <v>0</v>
      </c>
      <c r="E26">
        <f t="shared" si="2"/>
        <v>0</v>
      </c>
      <c r="F26">
        <f t="shared" si="3"/>
        <v>315</v>
      </c>
      <c r="G26">
        <f t="shared" si="4"/>
        <v>0</v>
      </c>
      <c r="H26">
        <f t="shared" si="5"/>
        <v>0</v>
      </c>
      <c r="I26">
        <f t="shared" si="6"/>
        <v>0</v>
      </c>
      <c r="J26">
        <f t="shared" si="7"/>
        <v>0</v>
      </c>
      <c r="K26">
        <f t="shared" si="8"/>
        <v>0</v>
      </c>
      <c r="L26">
        <f t="shared" si="9"/>
        <v>0</v>
      </c>
      <c r="M26">
        <f t="shared" si="10"/>
        <v>0</v>
      </c>
      <c r="N26">
        <f t="shared" si="11"/>
        <v>0</v>
      </c>
      <c r="O26">
        <f t="shared" si="12"/>
        <v>0</v>
      </c>
      <c r="P26">
        <f t="shared" si="13"/>
        <v>0</v>
      </c>
      <c r="Q26">
        <f t="shared" si="14"/>
        <v>0</v>
      </c>
      <c r="R26">
        <f t="shared" si="15"/>
        <v>0</v>
      </c>
      <c r="S26">
        <f t="shared" si="16"/>
        <v>0</v>
      </c>
      <c r="T26">
        <f t="shared" si="17"/>
        <v>0</v>
      </c>
      <c r="U26">
        <f t="shared" si="18"/>
        <v>435</v>
      </c>
      <c r="V26">
        <f t="shared" si="19"/>
        <v>0</v>
      </c>
      <c r="W26">
        <f t="shared" si="20"/>
        <v>0</v>
      </c>
      <c r="X26">
        <f t="shared" si="21"/>
        <v>0</v>
      </c>
      <c r="Y26">
        <f t="shared" si="22"/>
        <v>0</v>
      </c>
      <c r="Z26">
        <f t="shared" si="23"/>
        <v>0</v>
      </c>
      <c r="AA26">
        <f t="shared" si="24"/>
        <v>0</v>
      </c>
      <c r="AB26">
        <f t="shared" si="25"/>
        <v>0</v>
      </c>
      <c r="AC26">
        <f t="shared" si="26"/>
        <v>0</v>
      </c>
      <c r="AD26">
        <f t="shared" si="27"/>
        <v>0</v>
      </c>
      <c r="AE26">
        <f t="shared" si="28"/>
        <v>0</v>
      </c>
      <c r="AF26">
        <f t="shared" si="29"/>
        <v>0</v>
      </c>
      <c r="AG26">
        <f t="shared" si="30"/>
        <v>0</v>
      </c>
      <c r="AH26">
        <f t="shared" si="31"/>
        <v>0</v>
      </c>
      <c r="AI26">
        <f t="shared" si="32"/>
        <v>0</v>
      </c>
      <c r="AJ26">
        <f t="shared" si="33"/>
        <v>5578.4</v>
      </c>
      <c r="AK26">
        <f t="shared" si="34"/>
        <v>0</v>
      </c>
      <c r="AL26">
        <f t="shared" si="35"/>
        <v>0</v>
      </c>
      <c r="AM26">
        <f t="shared" si="36"/>
        <v>0</v>
      </c>
      <c r="AN26">
        <f t="shared" si="37"/>
        <v>0</v>
      </c>
      <c r="AO26">
        <f t="shared" si="38"/>
        <v>0</v>
      </c>
      <c r="AP26">
        <f t="shared" si="39"/>
        <v>0</v>
      </c>
      <c r="AQ26">
        <f t="shared" si="40"/>
        <v>0</v>
      </c>
      <c r="AR26">
        <f t="shared" si="41"/>
        <v>0</v>
      </c>
      <c r="AS26">
        <f t="shared" si="42"/>
        <v>0</v>
      </c>
      <c r="AT26">
        <f t="shared" si="43"/>
        <v>0</v>
      </c>
      <c r="AU26">
        <f t="shared" si="44"/>
        <v>0</v>
      </c>
      <c r="AV26">
        <f t="shared" si="45"/>
        <v>0</v>
      </c>
      <c r="AW26">
        <f t="shared" si="0"/>
        <v>5578.4</v>
      </c>
      <c r="AX26">
        <f t="shared" si="46"/>
        <v>39.31</v>
      </c>
      <c r="AY26">
        <f t="shared" si="47"/>
        <v>750</v>
      </c>
    </row>
    <row r="27" spans="1:51" x14ac:dyDescent="0.35">
      <c r="A27">
        <v>21</v>
      </c>
      <c r="C27">
        <f>MAX(0,Calc!$C$7-SUM(D27:R27))</f>
        <v>435</v>
      </c>
      <c r="D27">
        <f t="shared" si="1"/>
        <v>0</v>
      </c>
      <c r="E27">
        <f t="shared" si="2"/>
        <v>0</v>
      </c>
      <c r="F27">
        <f t="shared" si="3"/>
        <v>315</v>
      </c>
      <c r="G27">
        <f t="shared" si="4"/>
        <v>0</v>
      </c>
      <c r="H27">
        <f t="shared" si="5"/>
        <v>0</v>
      </c>
      <c r="I27">
        <f t="shared" si="6"/>
        <v>0</v>
      </c>
      <c r="J27">
        <f t="shared" si="7"/>
        <v>0</v>
      </c>
      <c r="K27">
        <f t="shared" si="8"/>
        <v>0</v>
      </c>
      <c r="L27">
        <f t="shared" si="9"/>
        <v>0</v>
      </c>
      <c r="M27">
        <f t="shared" si="10"/>
        <v>0</v>
      </c>
      <c r="N27">
        <f t="shared" si="11"/>
        <v>0</v>
      </c>
      <c r="O27">
        <f t="shared" si="12"/>
        <v>0</v>
      </c>
      <c r="P27">
        <f t="shared" si="13"/>
        <v>0</v>
      </c>
      <c r="Q27">
        <f t="shared" si="14"/>
        <v>0</v>
      </c>
      <c r="R27">
        <f t="shared" si="15"/>
        <v>0</v>
      </c>
      <c r="S27">
        <f t="shared" si="16"/>
        <v>0</v>
      </c>
      <c r="T27">
        <f t="shared" si="17"/>
        <v>0</v>
      </c>
      <c r="U27">
        <f t="shared" si="18"/>
        <v>435</v>
      </c>
      <c r="V27">
        <f t="shared" si="19"/>
        <v>0</v>
      </c>
      <c r="W27">
        <f t="shared" si="20"/>
        <v>0</v>
      </c>
      <c r="X27">
        <f t="shared" si="21"/>
        <v>0</v>
      </c>
      <c r="Y27">
        <f t="shared" si="22"/>
        <v>0</v>
      </c>
      <c r="Z27">
        <f t="shared" si="23"/>
        <v>0</v>
      </c>
      <c r="AA27">
        <f t="shared" si="24"/>
        <v>0</v>
      </c>
      <c r="AB27">
        <f t="shared" si="25"/>
        <v>0</v>
      </c>
      <c r="AC27">
        <f t="shared" si="26"/>
        <v>0</v>
      </c>
      <c r="AD27">
        <f t="shared" si="27"/>
        <v>0</v>
      </c>
      <c r="AE27">
        <f t="shared" si="28"/>
        <v>0</v>
      </c>
      <c r="AF27">
        <f t="shared" si="29"/>
        <v>0</v>
      </c>
      <c r="AG27">
        <f t="shared" si="30"/>
        <v>0</v>
      </c>
      <c r="AH27">
        <f t="shared" si="31"/>
        <v>0</v>
      </c>
      <c r="AI27">
        <f t="shared" si="32"/>
        <v>0</v>
      </c>
      <c r="AJ27">
        <f t="shared" si="33"/>
        <v>4863.2700000000004</v>
      </c>
      <c r="AK27">
        <f t="shared" si="34"/>
        <v>0</v>
      </c>
      <c r="AL27">
        <f t="shared" si="35"/>
        <v>0</v>
      </c>
      <c r="AM27">
        <f t="shared" si="36"/>
        <v>0</v>
      </c>
      <c r="AN27">
        <f t="shared" si="37"/>
        <v>0</v>
      </c>
      <c r="AO27">
        <f t="shared" si="38"/>
        <v>0</v>
      </c>
      <c r="AP27">
        <f t="shared" si="39"/>
        <v>0</v>
      </c>
      <c r="AQ27">
        <f t="shared" si="40"/>
        <v>0</v>
      </c>
      <c r="AR27">
        <f t="shared" si="41"/>
        <v>0</v>
      </c>
      <c r="AS27">
        <f t="shared" si="42"/>
        <v>0</v>
      </c>
      <c r="AT27">
        <f t="shared" si="43"/>
        <v>0</v>
      </c>
      <c r="AU27">
        <f t="shared" si="44"/>
        <v>0</v>
      </c>
      <c r="AV27">
        <f t="shared" si="45"/>
        <v>0</v>
      </c>
      <c r="AW27">
        <f t="shared" si="0"/>
        <v>4863.2700000000004</v>
      </c>
      <c r="AX27">
        <f t="shared" si="46"/>
        <v>34.869999999999997</v>
      </c>
      <c r="AY27">
        <f t="shared" si="47"/>
        <v>750</v>
      </c>
    </row>
    <row r="28" spans="1:51" x14ac:dyDescent="0.35">
      <c r="A28">
        <v>22</v>
      </c>
      <c r="C28">
        <f>MAX(0,Calc!$C$7-SUM(D28:R28))</f>
        <v>435</v>
      </c>
      <c r="D28">
        <f t="shared" si="1"/>
        <v>0</v>
      </c>
      <c r="E28">
        <f t="shared" si="2"/>
        <v>0</v>
      </c>
      <c r="F28">
        <f t="shared" si="3"/>
        <v>315</v>
      </c>
      <c r="G28">
        <f t="shared" si="4"/>
        <v>0</v>
      </c>
      <c r="H28">
        <f t="shared" si="5"/>
        <v>0</v>
      </c>
      <c r="I28">
        <f t="shared" si="6"/>
        <v>0</v>
      </c>
      <c r="J28">
        <f t="shared" si="7"/>
        <v>0</v>
      </c>
      <c r="K28">
        <f t="shared" si="8"/>
        <v>0</v>
      </c>
      <c r="L28">
        <f t="shared" si="9"/>
        <v>0</v>
      </c>
      <c r="M28">
        <f t="shared" si="10"/>
        <v>0</v>
      </c>
      <c r="N28">
        <f t="shared" si="11"/>
        <v>0</v>
      </c>
      <c r="O28">
        <f t="shared" si="12"/>
        <v>0</v>
      </c>
      <c r="P28">
        <f t="shared" si="13"/>
        <v>0</v>
      </c>
      <c r="Q28">
        <f t="shared" si="14"/>
        <v>0</v>
      </c>
      <c r="R28">
        <f t="shared" si="15"/>
        <v>0</v>
      </c>
      <c r="S28">
        <f t="shared" si="16"/>
        <v>0</v>
      </c>
      <c r="T28">
        <f t="shared" si="17"/>
        <v>0</v>
      </c>
      <c r="U28">
        <f t="shared" si="18"/>
        <v>435</v>
      </c>
      <c r="V28">
        <f t="shared" si="19"/>
        <v>0</v>
      </c>
      <c r="W28">
        <f t="shared" si="20"/>
        <v>0</v>
      </c>
      <c r="X28">
        <f t="shared" si="21"/>
        <v>0</v>
      </c>
      <c r="Y28">
        <f t="shared" si="22"/>
        <v>0</v>
      </c>
      <c r="Z28">
        <f t="shared" si="23"/>
        <v>0</v>
      </c>
      <c r="AA28">
        <f t="shared" si="24"/>
        <v>0</v>
      </c>
      <c r="AB28">
        <f t="shared" si="25"/>
        <v>0</v>
      </c>
      <c r="AC28">
        <f t="shared" si="26"/>
        <v>0</v>
      </c>
      <c r="AD28">
        <f t="shared" si="27"/>
        <v>0</v>
      </c>
      <c r="AE28">
        <f t="shared" si="28"/>
        <v>0</v>
      </c>
      <c r="AF28">
        <f t="shared" si="29"/>
        <v>0</v>
      </c>
      <c r="AG28">
        <f t="shared" si="30"/>
        <v>0</v>
      </c>
      <c r="AH28">
        <f t="shared" si="31"/>
        <v>0</v>
      </c>
      <c r="AI28">
        <f t="shared" si="32"/>
        <v>0</v>
      </c>
      <c r="AJ28">
        <f t="shared" si="33"/>
        <v>4143.67</v>
      </c>
      <c r="AK28">
        <f t="shared" si="34"/>
        <v>0</v>
      </c>
      <c r="AL28">
        <f t="shared" si="35"/>
        <v>0</v>
      </c>
      <c r="AM28">
        <f t="shared" si="36"/>
        <v>0</v>
      </c>
      <c r="AN28">
        <f t="shared" si="37"/>
        <v>0</v>
      </c>
      <c r="AO28">
        <f t="shared" si="38"/>
        <v>0</v>
      </c>
      <c r="AP28">
        <f t="shared" si="39"/>
        <v>0</v>
      </c>
      <c r="AQ28">
        <f t="shared" si="40"/>
        <v>0</v>
      </c>
      <c r="AR28">
        <f t="shared" si="41"/>
        <v>0</v>
      </c>
      <c r="AS28">
        <f t="shared" si="42"/>
        <v>0</v>
      </c>
      <c r="AT28">
        <f t="shared" si="43"/>
        <v>0</v>
      </c>
      <c r="AU28">
        <f t="shared" si="44"/>
        <v>0</v>
      </c>
      <c r="AV28">
        <f t="shared" si="45"/>
        <v>0</v>
      </c>
      <c r="AW28">
        <f t="shared" si="0"/>
        <v>4143.67</v>
      </c>
      <c r="AX28">
        <f t="shared" si="46"/>
        <v>30.4</v>
      </c>
      <c r="AY28">
        <f t="shared" si="47"/>
        <v>750</v>
      </c>
    </row>
    <row r="29" spans="1:51" x14ac:dyDescent="0.35">
      <c r="A29">
        <v>23</v>
      </c>
      <c r="C29">
        <f>MAX(0,Calc!$C$7-SUM(D29:R29))</f>
        <v>435</v>
      </c>
      <c r="D29">
        <f t="shared" si="1"/>
        <v>0</v>
      </c>
      <c r="E29">
        <f t="shared" si="2"/>
        <v>0</v>
      </c>
      <c r="F29">
        <f t="shared" si="3"/>
        <v>315</v>
      </c>
      <c r="G29">
        <f t="shared" si="4"/>
        <v>0</v>
      </c>
      <c r="H29">
        <f t="shared" si="5"/>
        <v>0</v>
      </c>
      <c r="I29">
        <f t="shared" si="6"/>
        <v>0</v>
      </c>
      <c r="J29">
        <f t="shared" si="7"/>
        <v>0</v>
      </c>
      <c r="K29">
        <f t="shared" si="8"/>
        <v>0</v>
      </c>
      <c r="L29">
        <f t="shared" si="9"/>
        <v>0</v>
      </c>
      <c r="M29">
        <f t="shared" si="10"/>
        <v>0</v>
      </c>
      <c r="N29">
        <f t="shared" si="11"/>
        <v>0</v>
      </c>
      <c r="O29">
        <f t="shared" si="12"/>
        <v>0</v>
      </c>
      <c r="P29">
        <f t="shared" si="13"/>
        <v>0</v>
      </c>
      <c r="Q29">
        <f t="shared" si="14"/>
        <v>0</v>
      </c>
      <c r="R29">
        <f t="shared" si="15"/>
        <v>0</v>
      </c>
      <c r="S29">
        <f t="shared" si="16"/>
        <v>0</v>
      </c>
      <c r="T29">
        <f t="shared" si="17"/>
        <v>0</v>
      </c>
      <c r="U29">
        <f t="shared" si="18"/>
        <v>435</v>
      </c>
      <c r="V29">
        <f t="shared" si="19"/>
        <v>0</v>
      </c>
      <c r="W29">
        <f t="shared" si="20"/>
        <v>0</v>
      </c>
      <c r="X29">
        <f t="shared" si="21"/>
        <v>0</v>
      </c>
      <c r="Y29">
        <f t="shared" si="22"/>
        <v>0</v>
      </c>
      <c r="Z29">
        <f t="shared" si="23"/>
        <v>0</v>
      </c>
      <c r="AA29">
        <f t="shared" si="24"/>
        <v>0</v>
      </c>
      <c r="AB29">
        <f t="shared" si="25"/>
        <v>0</v>
      </c>
      <c r="AC29">
        <f t="shared" si="26"/>
        <v>0</v>
      </c>
      <c r="AD29">
        <f t="shared" si="27"/>
        <v>0</v>
      </c>
      <c r="AE29">
        <f t="shared" si="28"/>
        <v>0</v>
      </c>
      <c r="AF29">
        <f t="shared" si="29"/>
        <v>0</v>
      </c>
      <c r="AG29">
        <f t="shared" si="30"/>
        <v>0</v>
      </c>
      <c r="AH29">
        <f t="shared" si="31"/>
        <v>0</v>
      </c>
      <c r="AI29">
        <f t="shared" si="32"/>
        <v>0</v>
      </c>
      <c r="AJ29">
        <f t="shared" si="33"/>
        <v>3419.57</v>
      </c>
      <c r="AK29">
        <f t="shared" si="34"/>
        <v>0</v>
      </c>
      <c r="AL29">
        <f t="shared" si="35"/>
        <v>0</v>
      </c>
      <c r="AM29">
        <f t="shared" si="36"/>
        <v>0</v>
      </c>
      <c r="AN29">
        <f t="shared" si="37"/>
        <v>0</v>
      </c>
      <c r="AO29">
        <f t="shared" si="38"/>
        <v>0</v>
      </c>
      <c r="AP29">
        <f t="shared" si="39"/>
        <v>0</v>
      </c>
      <c r="AQ29">
        <f t="shared" si="40"/>
        <v>0</v>
      </c>
      <c r="AR29">
        <f t="shared" si="41"/>
        <v>0</v>
      </c>
      <c r="AS29">
        <f t="shared" si="42"/>
        <v>0</v>
      </c>
      <c r="AT29">
        <f t="shared" si="43"/>
        <v>0</v>
      </c>
      <c r="AU29">
        <f t="shared" si="44"/>
        <v>0</v>
      </c>
      <c r="AV29">
        <f t="shared" si="45"/>
        <v>0</v>
      </c>
      <c r="AW29">
        <f t="shared" si="0"/>
        <v>3419.57</v>
      </c>
      <c r="AX29">
        <f t="shared" si="46"/>
        <v>25.9</v>
      </c>
      <c r="AY29">
        <f t="shared" si="47"/>
        <v>750</v>
      </c>
    </row>
    <row r="30" spans="1:51" x14ac:dyDescent="0.35">
      <c r="A30">
        <v>24</v>
      </c>
      <c r="C30">
        <f>MAX(0,Calc!$C$7-SUM(D30:R30))</f>
        <v>435</v>
      </c>
      <c r="D30">
        <f t="shared" si="1"/>
        <v>0</v>
      </c>
      <c r="E30">
        <f t="shared" si="2"/>
        <v>0</v>
      </c>
      <c r="F30">
        <f t="shared" si="3"/>
        <v>315</v>
      </c>
      <c r="G30">
        <f t="shared" si="4"/>
        <v>0</v>
      </c>
      <c r="H30">
        <f t="shared" si="5"/>
        <v>0</v>
      </c>
      <c r="I30">
        <f t="shared" si="6"/>
        <v>0</v>
      </c>
      <c r="J30">
        <f t="shared" si="7"/>
        <v>0</v>
      </c>
      <c r="K30">
        <f t="shared" si="8"/>
        <v>0</v>
      </c>
      <c r="L30">
        <f t="shared" si="9"/>
        <v>0</v>
      </c>
      <c r="M30">
        <f t="shared" si="10"/>
        <v>0</v>
      </c>
      <c r="N30">
        <f t="shared" si="11"/>
        <v>0</v>
      </c>
      <c r="O30">
        <f t="shared" si="12"/>
        <v>0</v>
      </c>
      <c r="P30">
        <f t="shared" si="13"/>
        <v>0</v>
      </c>
      <c r="Q30">
        <f t="shared" si="14"/>
        <v>0</v>
      </c>
      <c r="R30">
        <f t="shared" si="15"/>
        <v>0</v>
      </c>
      <c r="S30">
        <f t="shared" si="16"/>
        <v>0</v>
      </c>
      <c r="T30">
        <f t="shared" si="17"/>
        <v>0</v>
      </c>
      <c r="U30">
        <f t="shared" si="18"/>
        <v>435</v>
      </c>
      <c r="V30">
        <f t="shared" si="19"/>
        <v>0</v>
      </c>
      <c r="W30">
        <f t="shared" si="20"/>
        <v>0</v>
      </c>
      <c r="X30">
        <f t="shared" si="21"/>
        <v>0</v>
      </c>
      <c r="Y30">
        <f t="shared" si="22"/>
        <v>0</v>
      </c>
      <c r="Z30">
        <f t="shared" si="23"/>
        <v>0</v>
      </c>
      <c r="AA30">
        <f t="shared" si="24"/>
        <v>0</v>
      </c>
      <c r="AB30">
        <f t="shared" si="25"/>
        <v>0</v>
      </c>
      <c r="AC30">
        <f t="shared" si="26"/>
        <v>0</v>
      </c>
      <c r="AD30">
        <f t="shared" si="27"/>
        <v>0</v>
      </c>
      <c r="AE30">
        <f t="shared" si="28"/>
        <v>0</v>
      </c>
      <c r="AF30">
        <f t="shared" si="29"/>
        <v>0</v>
      </c>
      <c r="AG30">
        <f t="shared" si="30"/>
        <v>0</v>
      </c>
      <c r="AH30">
        <f t="shared" si="31"/>
        <v>0</v>
      </c>
      <c r="AI30">
        <f t="shared" si="32"/>
        <v>0</v>
      </c>
      <c r="AJ30">
        <f t="shared" si="33"/>
        <v>2690.94</v>
      </c>
      <c r="AK30">
        <f t="shared" si="34"/>
        <v>0</v>
      </c>
      <c r="AL30">
        <f t="shared" si="35"/>
        <v>0</v>
      </c>
      <c r="AM30">
        <f t="shared" si="36"/>
        <v>0</v>
      </c>
      <c r="AN30">
        <f t="shared" si="37"/>
        <v>0</v>
      </c>
      <c r="AO30">
        <f t="shared" si="38"/>
        <v>0</v>
      </c>
      <c r="AP30">
        <f t="shared" si="39"/>
        <v>0</v>
      </c>
      <c r="AQ30">
        <f t="shared" si="40"/>
        <v>0</v>
      </c>
      <c r="AR30">
        <f t="shared" si="41"/>
        <v>0</v>
      </c>
      <c r="AS30">
        <f t="shared" si="42"/>
        <v>0</v>
      </c>
      <c r="AT30">
        <f t="shared" si="43"/>
        <v>0</v>
      </c>
      <c r="AU30">
        <f t="shared" si="44"/>
        <v>0</v>
      </c>
      <c r="AV30">
        <f t="shared" si="45"/>
        <v>0</v>
      </c>
      <c r="AW30">
        <f t="shared" si="0"/>
        <v>2690.94</v>
      </c>
      <c r="AX30">
        <f t="shared" si="46"/>
        <v>21.37</v>
      </c>
      <c r="AY30">
        <f t="shared" si="47"/>
        <v>750</v>
      </c>
    </row>
    <row r="31" spans="1:51" x14ac:dyDescent="0.35">
      <c r="A31">
        <v>25</v>
      </c>
      <c r="C31">
        <f>MAX(0,Calc!$C$7-SUM(D31:R31))</f>
        <v>435</v>
      </c>
      <c r="D31">
        <f t="shared" si="1"/>
        <v>0</v>
      </c>
      <c r="E31">
        <f t="shared" si="2"/>
        <v>0</v>
      </c>
      <c r="F31">
        <f t="shared" si="3"/>
        <v>315</v>
      </c>
      <c r="G31">
        <f t="shared" si="4"/>
        <v>0</v>
      </c>
      <c r="H31">
        <f t="shared" si="5"/>
        <v>0</v>
      </c>
      <c r="I31">
        <f t="shared" si="6"/>
        <v>0</v>
      </c>
      <c r="J31">
        <f t="shared" si="7"/>
        <v>0</v>
      </c>
      <c r="K31">
        <f t="shared" si="8"/>
        <v>0</v>
      </c>
      <c r="L31">
        <f t="shared" si="9"/>
        <v>0</v>
      </c>
      <c r="M31">
        <f t="shared" si="10"/>
        <v>0</v>
      </c>
      <c r="N31">
        <f t="shared" si="11"/>
        <v>0</v>
      </c>
      <c r="O31">
        <f t="shared" si="12"/>
        <v>0</v>
      </c>
      <c r="P31">
        <f t="shared" si="13"/>
        <v>0</v>
      </c>
      <c r="Q31">
        <f t="shared" si="14"/>
        <v>0</v>
      </c>
      <c r="R31">
        <f t="shared" si="15"/>
        <v>0</v>
      </c>
      <c r="S31">
        <f t="shared" si="16"/>
        <v>0</v>
      </c>
      <c r="T31">
        <f t="shared" si="17"/>
        <v>0</v>
      </c>
      <c r="U31">
        <f t="shared" si="18"/>
        <v>435</v>
      </c>
      <c r="V31">
        <f t="shared" si="19"/>
        <v>0</v>
      </c>
      <c r="W31">
        <f t="shared" si="20"/>
        <v>0</v>
      </c>
      <c r="X31">
        <f t="shared" si="21"/>
        <v>0</v>
      </c>
      <c r="Y31">
        <f t="shared" si="22"/>
        <v>0</v>
      </c>
      <c r="Z31">
        <f t="shared" si="23"/>
        <v>0</v>
      </c>
      <c r="AA31">
        <f t="shared" si="24"/>
        <v>0</v>
      </c>
      <c r="AB31">
        <f t="shared" si="25"/>
        <v>0</v>
      </c>
      <c r="AC31">
        <f t="shared" si="26"/>
        <v>0</v>
      </c>
      <c r="AD31">
        <f t="shared" si="27"/>
        <v>0</v>
      </c>
      <c r="AE31">
        <f t="shared" si="28"/>
        <v>0</v>
      </c>
      <c r="AF31">
        <f t="shared" si="29"/>
        <v>0</v>
      </c>
      <c r="AG31">
        <f t="shared" si="30"/>
        <v>0</v>
      </c>
      <c r="AH31">
        <f t="shared" si="31"/>
        <v>0</v>
      </c>
      <c r="AI31">
        <f t="shared" si="32"/>
        <v>0</v>
      </c>
      <c r="AJ31">
        <f t="shared" si="33"/>
        <v>1957.76</v>
      </c>
      <c r="AK31">
        <f t="shared" si="34"/>
        <v>0</v>
      </c>
      <c r="AL31">
        <f t="shared" si="35"/>
        <v>0</v>
      </c>
      <c r="AM31">
        <f t="shared" si="36"/>
        <v>0</v>
      </c>
      <c r="AN31">
        <f t="shared" si="37"/>
        <v>0</v>
      </c>
      <c r="AO31">
        <f t="shared" si="38"/>
        <v>0</v>
      </c>
      <c r="AP31">
        <f t="shared" si="39"/>
        <v>0</v>
      </c>
      <c r="AQ31">
        <f t="shared" si="40"/>
        <v>0</v>
      </c>
      <c r="AR31">
        <f t="shared" si="41"/>
        <v>0</v>
      </c>
      <c r="AS31">
        <f t="shared" si="42"/>
        <v>0</v>
      </c>
      <c r="AT31">
        <f t="shared" si="43"/>
        <v>0</v>
      </c>
      <c r="AU31">
        <f t="shared" si="44"/>
        <v>0</v>
      </c>
      <c r="AV31">
        <f t="shared" si="45"/>
        <v>0</v>
      </c>
      <c r="AW31">
        <f t="shared" si="0"/>
        <v>1957.76</v>
      </c>
      <c r="AX31">
        <f t="shared" si="46"/>
        <v>16.82</v>
      </c>
      <c r="AY31">
        <f t="shared" si="47"/>
        <v>750</v>
      </c>
    </row>
    <row r="32" spans="1:51" x14ac:dyDescent="0.35">
      <c r="A32">
        <v>26</v>
      </c>
      <c r="C32">
        <f>MAX(0,Calc!$C$7-SUM(D32:R32))</f>
        <v>435</v>
      </c>
      <c r="D32">
        <f t="shared" si="1"/>
        <v>0</v>
      </c>
      <c r="E32">
        <f t="shared" si="2"/>
        <v>0</v>
      </c>
      <c r="F32">
        <f t="shared" si="3"/>
        <v>315</v>
      </c>
      <c r="G32">
        <f t="shared" si="4"/>
        <v>0</v>
      </c>
      <c r="H32">
        <f t="shared" si="5"/>
        <v>0</v>
      </c>
      <c r="I32">
        <f t="shared" si="6"/>
        <v>0</v>
      </c>
      <c r="J32">
        <f t="shared" si="7"/>
        <v>0</v>
      </c>
      <c r="K32">
        <f t="shared" si="8"/>
        <v>0</v>
      </c>
      <c r="L32">
        <f t="shared" si="9"/>
        <v>0</v>
      </c>
      <c r="M32">
        <f t="shared" si="10"/>
        <v>0</v>
      </c>
      <c r="N32">
        <f t="shared" si="11"/>
        <v>0</v>
      </c>
      <c r="O32">
        <f t="shared" si="12"/>
        <v>0</v>
      </c>
      <c r="P32">
        <f t="shared" si="13"/>
        <v>0</v>
      </c>
      <c r="Q32">
        <f t="shared" si="14"/>
        <v>0</v>
      </c>
      <c r="R32">
        <f t="shared" si="15"/>
        <v>0</v>
      </c>
      <c r="S32">
        <f t="shared" si="16"/>
        <v>0</v>
      </c>
      <c r="T32">
        <f t="shared" si="17"/>
        <v>0</v>
      </c>
      <c r="U32">
        <f t="shared" si="18"/>
        <v>435</v>
      </c>
      <c r="V32">
        <f t="shared" si="19"/>
        <v>0</v>
      </c>
      <c r="W32">
        <f t="shared" si="20"/>
        <v>0</v>
      </c>
      <c r="X32">
        <f t="shared" si="21"/>
        <v>0</v>
      </c>
      <c r="Y32">
        <f t="shared" si="22"/>
        <v>0</v>
      </c>
      <c r="Z32">
        <f t="shared" si="23"/>
        <v>0</v>
      </c>
      <c r="AA32">
        <f t="shared" si="24"/>
        <v>0</v>
      </c>
      <c r="AB32">
        <f t="shared" si="25"/>
        <v>0</v>
      </c>
      <c r="AC32">
        <f t="shared" si="26"/>
        <v>0</v>
      </c>
      <c r="AD32">
        <f t="shared" si="27"/>
        <v>0</v>
      </c>
      <c r="AE32">
        <f t="shared" si="28"/>
        <v>0</v>
      </c>
      <c r="AF32">
        <f t="shared" si="29"/>
        <v>0</v>
      </c>
      <c r="AG32">
        <f t="shared" si="30"/>
        <v>0</v>
      </c>
      <c r="AH32">
        <f t="shared" si="31"/>
        <v>0</v>
      </c>
      <c r="AI32">
        <f t="shared" si="32"/>
        <v>0</v>
      </c>
      <c r="AJ32">
        <f t="shared" si="33"/>
        <v>1220</v>
      </c>
      <c r="AK32">
        <f t="shared" si="34"/>
        <v>0</v>
      </c>
      <c r="AL32">
        <f t="shared" si="35"/>
        <v>0</v>
      </c>
      <c r="AM32">
        <f t="shared" si="36"/>
        <v>0</v>
      </c>
      <c r="AN32">
        <f t="shared" si="37"/>
        <v>0</v>
      </c>
      <c r="AO32">
        <f t="shared" si="38"/>
        <v>0</v>
      </c>
      <c r="AP32">
        <f t="shared" si="39"/>
        <v>0</v>
      </c>
      <c r="AQ32">
        <f t="shared" si="40"/>
        <v>0</v>
      </c>
      <c r="AR32">
        <f t="shared" si="41"/>
        <v>0</v>
      </c>
      <c r="AS32">
        <f t="shared" si="42"/>
        <v>0</v>
      </c>
      <c r="AT32">
        <f t="shared" si="43"/>
        <v>0</v>
      </c>
      <c r="AU32">
        <f t="shared" si="44"/>
        <v>0</v>
      </c>
      <c r="AV32">
        <f t="shared" si="45"/>
        <v>0</v>
      </c>
      <c r="AW32">
        <f t="shared" si="0"/>
        <v>1220</v>
      </c>
      <c r="AX32">
        <f t="shared" si="46"/>
        <v>12.24</v>
      </c>
      <c r="AY32">
        <f t="shared" si="47"/>
        <v>750</v>
      </c>
    </row>
    <row r="33" spans="1:51" x14ac:dyDescent="0.35">
      <c r="A33">
        <v>27</v>
      </c>
      <c r="C33">
        <f>MAX(0,Calc!$C$7-SUM(D33:R33))</f>
        <v>435</v>
      </c>
      <c r="D33">
        <f t="shared" si="1"/>
        <v>0</v>
      </c>
      <c r="E33">
        <f t="shared" si="2"/>
        <v>0</v>
      </c>
      <c r="F33">
        <f t="shared" si="3"/>
        <v>315</v>
      </c>
      <c r="G33">
        <f t="shared" si="4"/>
        <v>0</v>
      </c>
      <c r="H33">
        <f t="shared" si="5"/>
        <v>0</v>
      </c>
      <c r="I33">
        <f t="shared" si="6"/>
        <v>0</v>
      </c>
      <c r="J33">
        <f t="shared" si="7"/>
        <v>0</v>
      </c>
      <c r="K33">
        <f t="shared" si="8"/>
        <v>0</v>
      </c>
      <c r="L33">
        <f t="shared" si="9"/>
        <v>0</v>
      </c>
      <c r="M33">
        <f t="shared" si="10"/>
        <v>0</v>
      </c>
      <c r="N33">
        <f t="shared" si="11"/>
        <v>0</v>
      </c>
      <c r="O33">
        <f t="shared" si="12"/>
        <v>0</v>
      </c>
      <c r="P33">
        <f t="shared" si="13"/>
        <v>0</v>
      </c>
      <c r="Q33">
        <f t="shared" si="14"/>
        <v>0</v>
      </c>
      <c r="R33">
        <f t="shared" si="15"/>
        <v>0</v>
      </c>
      <c r="S33">
        <f t="shared" si="16"/>
        <v>0</v>
      </c>
      <c r="T33">
        <f t="shared" si="17"/>
        <v>0</v>
      </c>
      <c r="U33">
        <f t="shared" si="18"/>
        <v>435</v>
      </c>
      <c r="V33">
        <f t="shared" si="19"/>
        <v>0</v>
      </c>
      <c r="W33">
        <f t="shared" si="20"/>
        <v>0</v>
      </c>
      <c r="X33">
        <f t="shared" si="21"/>
        <v>0</v>
      </c>
      <c r="Y33">
        <f t="shared" si="22"/>
        <v>0</v>
      </c>
      <c r="Z33">
        <f t="shared" si="23"/>
        <v>0</v>
      </c>
      <c r="AA33">
        <f t="shared" si="24"/>
        <v>0</v>
      </c>
      <c r="AB33">
        <f t="shared" si="25"/>
        <v>0</v>
      </c>
      <c r="AC33">
        <f t="shared" si="26"/>
        <v>0</v>
      </c>
      <c r="AD33">
        <f t="shared" si="27"/>
        <v>0</v>
      </c>
      <c r="AE33">
        <f t="shared" si="28"/>
        <v>0</v>
      </c>
      <c r="AF33">
        <f t="shared" si="29"/>
        <v>0</v>
      </c>
      <c r="AG33">
        <f t="shared" si="30"/>
        <v>0</v>
      </c>
      <c r="AH33">
        <f t="shared" si="31"/>
        <v>0</v>
      </c>
      <c r="AI33">
        <f t="shared" si="32"/>
        <v>0</v>
      </c>
      <c r="AJ33">
        <f t="shared" si="33"/>
        <v>477.63</v>
      </c>
      <c r="AK33">
        <f t="shared" si="34"/>
        <v>0</v>
      </c>
      <c r="AL33">
        <f t="shared" si="35"/>
        <v>0</v>
      </c>
      <c r="AM33">
        <f t="shared" si="36"/>
        <v>0</v>
      </c>
      <c r="AN33">
        <f t="shared" si="37"/>
        <v>0</v>
      </c>
      <c r="AO33">
        <f t="shared" si="38"/>
        <v>0</v>
      </c>
      <c r="AP33">
        <f t="shared" si="39"/>
        <v>0</v>
      </c>
      <c r="AQ33">
        <f t="shared" si="40"/>
        <v>0</v>
      </c>
      <c r="AR33">
        <f t="shared" si="41"/>
        <v>0</v>
      </c>
      <c r="AS33">
        <f t="shared" si="42"/>
        <v>0</v>
      </c>
      <c r="AT33">
        <f t="shared" si="43"/>
        <v>0</v>
      </c>
      <c r="AU33">
        <f t="shared" si="44"/>
        <v>0</v>
      </c>
      <c r="AV33">
        <f t="shared" si="45"/>
        <v>0</v>
      </c>
      <c r="AW33">
        <f t="shared" si="0"/>
        <v>477.63</v>
      </c>
      <c r="AX33">
        <f t="shared" si="46"/>
        <v>7.63</v>
      </c>
      <c r="AY33">
        <f t="shared" si="47"/>
        <v>750</v>
      </c>
    </row>
    <row r="34" spans="1:51" x14ac:dyDescent="0.35">
      <c r="A34">
        <v>28</v>
      </c>
      <c r="C34">
        <f>MAX(0,Calc!$C$7-SUM(D34:R34))</f>
        <v>435</v>
      </c>
      <c r="D34">
        <f t="shared" si="1"/>
        <v>0</v>
      </c>
      <c r="E34">
        <f t="shared" si="2"/>
        <v>0</v>
      </c>
      <c r="F34">
        <f t="shared" si="3"/>
        <v>315</v>
      </c>
      <c r="G34">
        <f t="shared" si="4"/>
        <v>0</v>
      </c>
      <c r="H34">
        <f t="shared" si="5"/>
        <v>0</v>
      </c>
      <c r="I34">
        <f t="shared" si="6"/>
        <v>0</v>
      </c>
      <c r="J34">
        <f t="shared" si="7"/>
        <v>0</v>
      </c>
      <c r="K34">
        <f t="shared" si="8"/>
        <v>0</v>
      </c>
      <c r="L34">
        <f t="shared" si="9"/>
        <v>0</v>
      </c>
      <c r="M34">
        <f t="shared" si="10"/>
        <v>0</v>
      </c>
      <c r="N34">
        <f t="shared" si="11"/>
        <v>0</v>
      </c>
      <c r="O34">
        <f t="shared" si="12"/>
        <v>0</v>
      </c>
      <c r="P34">
        <f t="shared" si="13"/>
        <v>0</v>
      </c>
      <c r="Q34">
        <f t="shared" si="14"/>
        <v>0</v>
      </c>
      <c r="R34">
        <f t="shared" si="15"/>
        <v>0</v>
      </c>
      <c r="S34">
        <f t="shared" si="16"/>
        <v>0</v>
      </c>
      <c r="T34">
        <f t="shared" si="17"/>
        <v>0</v>
      </c>
      <c r="U34">
        <f t="shared" si="18"/>
        <v>165.62</v>
      </c>
      <c r="V34">
        <f t="shared" si="19"/>
        <v>0</v>
      </c>
      <c r="W34">
        <f t="shared" si="20"/>
        <v>0</v>
      </c>
      <c r="X34">
        <f t="shared" si="21"/>
        <v>0</v>
      </c>
      <c r="Y34">
        <f t="shared" si="22"/>
        <v>0</v>
      </c>
      <c r="Z34">
        <f t="shared" si="23"/>
        <v>0</v>
      </c>
      <c r="AA34">
        <f t="shared" si="24"/>
        <v>0</v>
      </c>
      <c r="AB34">
        <f t="shared" si="25"/>
        <v>0</v>
      </c>
      <c r="AC34">
        <f t="shared" si="26"/>
        <v>0</v>
      </c>
      <c r="AD34">
        <f t="shared" si="27"/>
        <v>0</v>
      </c>
      <c r="AE34">
        <f t="shared" si="28"/>
        <v>0</v>
      </c>
      <c r="AF34">
        <f t="shared" si="29"/>
        <v>0</v>
      </c>
      <c r="AG34">
        <f t="shared" si="30"/>
        <v>0</v>
      </c>
      <c r="AH34">
        <f t="shared" si="31"/>
        <v>0</v>
      </c>
      <c r="AI34">
        <f t="shared" si="32"/>
        <v>0</v>
      </c>
      <c r="AJ34">
        <f t="shared" si="33"/>
        <v>0</v>
      </c>
      <c r="AK34">
        <f t="shared" si="34"/>
        <v>0</v>
      </c>
      <c r="AL34">
        <f t="shared" si="35"/>
        <v>0</v>
      </c>
      <c r="AM34">
        <f t="shared" si="36"/>
        <v>0</v>
      </c>
      <c r="AN34">
        <f t="shared" si="37"/>
        <v>0</v>
      </c>
      <c r="AO34">
        <f t="shared" si="38"/>
        <v>0</v>
      </c>
      <c r="AP34">
        <f t="shared" si="39"/>
        <v>0</v>
      </c>
      <c r="AQ34">
        <f t="shared" si="40"/>
        <v>0</v>
      </c>
      <c r="AR34">
        <f t="shared" si="41"/>
        <v>0</v>
      </c>
      <c r="AS34">
        <f t="shared" si="42"/>
        <v>0</v>
      </c>
      <c r="AT34">
        <f t="shared" si="43"/>
        <v>0</v>
      </c>
      <c r="AU34">
        <f t="shared" si="44"/>
        <v>0</v>
      </c>
      <c r="AV34">
        <f t="shared" si="45"/>
        <v>0</v>
      </c>
      <c r="AW34">
        <f t="shared" si="0"/>
        <v>0</v>
      </c>
      <c r="AX34">
        <f t="shared" si="46"/>
        <v>2.99</v>
      </c>
      <c r="AY34">
        <f t="shared" si="47"/>
        <v>480.62</v>
      </c>
    </row>
    <row r="35" spans="1:51" x14ac:dyDescent="0.35">
      <c r="A35">
        <v>29</v>
      </c>
      <c r="C35">
        <f>MAX(0,Calc!$C$7-SUM(D35:R35))</f>
        <v>750</v>
      </c>
      <c r="D35">
        <f t="shared" si="1"/>
        <v>0</v>
      </c>
      <c r="E35">
        <f t="shared" si="2"/>
        <v>0</v>
      </c>
      <c r="F35">
        <f t="shared" si="3"/>
        <v>0</v>
      </c>
      <c r="G35">
        <f t="shared" si="4"/>
        <v>0</v>
      </c>
      <c r="H35">
        <f t="shared" si="5"/>
        <v>0</v>
      </c>
      <c r="I35">
        <f t="shared" si="6"/>
        <v>0</v>
      </c>
      <c r="J35">
        <f t="shared" si="7"/>
        <v>0</v>
      </c>
      <c r="K35">
        <f t="shared" si="8"/>
        <v>0</v>
      </c>
      <c r="L35">
        <f t="shared" si="9"/>
        <v>0</v>
      </c>
      <c r="M35">
        <f t="shared" si="10"/>
        <v>0</v>
      </c>
      <c r="N35">
        <f t="shared" si="11"/>
        <v>0</v>
      </c>
      <c r="O35">
        <f t="shared" si="12"/>
        <v>0</v>
      </c>
      <c r="P35">
        <f t="shared" si="13"/>
        <v>0</v>
      </c>
      <c r="Q35">
        <f t="shared" si="14"/>
        <v>0</v>
      </c>
      <c r="R35">
        <f t="shared" si="15"/>
        <v>0</v>
      </c>
      <c r="S35">
        <f t="shared" si="16"/>
        <v>0</v>
      </c>
      <c r="T35">
        <f t="shared" si="17"/>
        <v>0</v>
      </c>
      <c r="U35">
        <f t="shared" si="18"/>
        <v>0</v>
      </c>
      <c r="V35">
        <f t="shared" si="19"/>
        <v>0</v>
      </c>
      <c r="W35">
        <f t="shared" si="20"/>
        <v>0</v>
      </c>
      <c r="X35">
        <f t="shared" si="21"/>
        <v>0</v>
      </c>
      <c r="Y35">
        <f t="shared" si="22"/>
        <v>0</v>
      </c>
      <c r="Z35">
        <f t="shared" si="23"/>
        <v>0</v>
      </c>
      <c r="AA35">
        <f t="shared" si="24"/>
        <v>0</v>
      </c>
      <c r="AB35">
        <f t="shared" si="25"/>
        <v>0</v>
      </c>
      <c r="AC35">
        <f t="shared" si="26"/>
        <v>0</v>
      </c>
      <c r="AD35">
        <f t="shared" si="27"/>
        <v>0</v>
      </c>
      <c r="AE35">
        <f t="shared" si="28"/>
        <v>0</v>
      </c>
      <c r="AF35">
        <f t="shared" si="29"/>
        <v>0</v>
      </c>
      <c r="AG35">
        <f t="shared" si="30"/>
        <v>0</v>
      </c>
      <c r="AH35">
        <f t="shared" si="31"/>
        <v>0</v>
      </c>
      <c r="AI35">
        <f t="shared" si="32"/>
        <v>0</v>
      </c>
      <c r="AJ35">
        <f t="shared" si="33"/>
        <v>0</v>
      </c>
      <c r="AK35">
        <f t="shared" si="34"/>
        <v>0</v>
      </c>
      <c r="AL35">
        <f t="shared" si="35"/>
        <v>0</v>
      </c>
      <c r="AM35">
        <f t="shared" si="36"/>
        <v>0</v>
      </c>
      <c r="AN35">
        <f t="shared" si="37"/>
        <v>0</v>
      </c>
      <c r="AO35">
        <f t="shared" si="38"/>
        <v>0</v>
      </c>
      <c r="AP35">
        <f t="shared" si="39"/>
        <v>0</v>
      </c>
      <c r="AQ35">
        <f t="shared" si="40"/>
        <v>0</v>
      </c>
      <c r="AR35">
        <f t="shared" si="41"/>
        <v>0</v>
      </c>
      <c r="AS35">
        <f t="shared" si="42"/>
        <v>0</v>
      </c>
      <c r="AT35">
        <f t="shared" si="43"/>
        <v>0</v>
      </c>
      <c r="AU35">
        <f t="shared" si="44"/>
        <v>0</v>
      </c>
      <c r="AV35">
        <f t="shared" si="45"/>
        <v>0</v>
      </c>
      <c r="AW35">
        <f t="shared" si="0"/>
        <v>0</v>
      </c>
      <c r="AX35">
        <f t="shared" si="46"/>
        <v>0</v>
      </c>
      <c r="AY35">
        <f t="shared" si="47"/>
        <v>0</v>
      </c>
    </row>
    <row r="36" spans="1:51" x14ac:dyDescent="0.35">
      <c r="A36">
        <v>30</v>
      </c>
      <c r="C36">
        <f>MAX(0,Calc!$C$7-SUM(D36:R36))</f>
        <v>750</v>
      </c>
      <c r="D36">
        <f t="shared" si="1"/>
        <v>0</v>
      </c>
      <c r="E36">
        <f t="shared" si="2"/>
        <v>0</v>
      </c>
      <c r="F36">
        <f t="shared" si="3"/>
        <v>0</v>
      </c>
      <c r="G36">
        <f t="shared" si="4"/>
        <v>0</v>
      </c>
      <c r="H36">
        <f t="shared" si="5"/>
        <v>0</v>
      </c>
      <c r="I36">
        <f t="shared" si="6"/>
        <v>0</v>
      </c>
      <c r="J36">
        <f t="shared" si="7"/>
        <v>0</v>
      </c>
      <c r="K36">
        <f t="shared" si="8"/>
        <v>0</v>
      </c>
      <c r="L36">
        <f t="shared" si="9"/>
        <v>0</v>
      </c>
      <c r="M36">
        <f t="shared" si="10"/>
        <v>0</v>
      </c>
      <c r="N36">
        <f t="shared" si="11"/>
        <v>0</v>
      </c>
      <c r="O36">
        <f t="shared" si="12"/>
        <v>0</v>
      </c>
      <c r="P36">
        <f t="shared" si="13"/>
        <v>0</v>
      </c>
      <c r="Q36">
        <f t="shared" si="14"/>
        <v>0</v>
      </c>
      <c r="R36">
        <f t="shared" si="15"/>
        <v>0</v>
      </c>
      <c r="S36">
        <f t="shared" si="16"/>
        <v>0</v>
      </c>
      <c r="T36">
        <f t="shared" si="17"/>
        <v>0</v>
      </c>
      <c r="U36">
        <f t="shared" si="18"/>
        <v>0</v>
      </c>
      <c r="V36">
        <f t="shared" si="19"/>
        <v>0</v>
      </c>
      <c r="W36">
        <f t="shared" si="20"/>
        <v>0</v>
      </c>
      <c r="X36">
        <f t="shared" si="21"/>
        <v>0</v>
      </c>
      <c r="Y36">
        <f t="shared" si="22"/>
        <v>0</v>
      </c>
      <c r="Z36">
        <f t="shared" si="23"/>
        <v>0</v>
      </c>
      <c r="AA36">
        <f t="shared" si="24"/>
        <v>0</v>
      </c>
      <c r="AB36">
        <f t="shared" si="25"/>
        <v>0</v>
      </c>
      <c r="AC36">
        <f t="shared" si="26"/>
        <v>0</v>
      </c>
      <c r="AD36">
        <f t="shared" si="27"/>
        <v>0</v>
      </c>
      <c r="AE36">
        <f t="shared" si="28"/>
        <v>0</v>
      </c>
      <c r="AF36">
        <f t="shared" si="29"/>
        <v>0</v>
      </c>
      <c r="AG36">
        <f t="shared" si="30"/>
        <v>0</v>
      </c>
      <c r="AH36">
        <f t="shared" si="31"/>
        <v>0</v>
      </c>
      <c r="AI36">
        <f t="shared" si="32"/>
        <v>0</v>
      </c>
      <c r="AJ36">
        <f t="shared" si="33"/>
        <v>0</v>
      </c>
      <c r="AK36">
        <f t="shared" si="34"/>
        <v>0</v>
      </c>
      <c r="AL36">
        <f t="shared" si="35"/>
        <v>0</v>
      </c>
      <c r="AM36">
        <f t="shared" si="36"/>
        <v>0</v>
      </c>
      <c r="AN36">
        <f t="shared" si="37"/>
        <v>0</v>
      </c>
      <c r="AO36">
        <f t="shared" si="38"/>
        <v>0</v>
      </c>
      <c r="AP36">
        <f t="shared" si="39"/>
        <v>0</v>
      </c>
      <c r="AQ36">
        <f t="shared" si="40"/>
        <v>0</v>
      </c>
      <c r="AR36">
        <f t="shared" si="41"/>
        <v>0</v>
      </c>
      <c r="AS36">
        <f t="shared" si="42"/>
        <v>0</v>
      </c>
      <c r="AT36">
        <f t="shared" si="43"/>
        <v>0</v>
      </c>
      <c r="AU36">
        <f t="shared" si="44"/>
        <v>0</v>
      </c>
      <c r="AV36">
        <f t="shared" si="45"/>
        <v>0</v>
      </c>
      <c r="AW36">
        <f t="shared" si="0"/>
        <v>0</v>
      </c>
      <c r="AX36">
        <f t="shared" si="46"/>
        <v>0</v>
      </c>
      <c r="AY36">
        <f t="shared" si="47"/>
        <v>0</v>
      </c>
    </row>
    <row r="37" spans="1:51" x14ac:dyDescent="0.35">
      <c r="A37">
        <v>31</v>
      </c>
      <c r="C37">
        <f>MAX(0,Calc!$C$7-SUM(D37:R37))</f>
        <v>750</v>
      </c>
      <c r="D37">
        <f t="shared" si="1"/>
        <v>0</v>
      </c>
      <c r="E37">
        <f t="shared" si="2"/>
        <v>0</v>
      </c>
      <c r="F37">
        <f t="shared" si="3"/>
        <v>0</v>
      </c>
      <c r="G37">
        <f t="shared" si="4"/>
        <v>0</v>
      </c>
      <c r="H37">
        <f t="shared" si="5"/>
        <v>0</v>
      </c>
      <c r="I37">
        <f t="shared" si="6"/>
        <v>0</v>
      </c>
      <c r="J37">
        <f t="shared" si="7"/>
        <v>0</v>
      </c>
      <c r="K37">
        <f t="shared" si="8"/>
        <v>0</v>
      </c>
      <c r="L37">
        <f t="shared" si="9"/>
        <v>0</v>
      </c>
      <c r="M37">
        <f t="shared" si="10"/>
        <v>0</v>
      </c>
      <c r="N37">
        <f t="shared" si="11"/>
        <v>0</v>
      </c>
      <c r="O37">
        <f t="shared" si="12"/>
        <v>0</v>
      </c>
      <c r="P37">
        <f t="shared" si="13"/>
        <v>0</v>
      </c>
      <c r="Q37">
        <f t="shared" si="14"/>
        <v>0</v>
      </c>
      <c r="R37">
        <f t="shared" si="15"/>
        <v>0</v>
      </c>
      <c r="S37">
        <f t="shared" si="16"/>
        <v>0</v>
      </c>
      <c r="T37">
        <f t="shared" si="17"/>
        <v>0</v>
      </c>
      <c r="U37">
        <f t="shared" si="18"/>
        <v>0</v>
      </c>
      <c r="V37">
        <f t="shared" si="19"/>
        <v>0</v>
      </c>
      <c r="W37">
        <f t="shared" si="20"/>
        <v>0</v>
      </c>
      <c r="X37">
        <f t="shared" si="21"/>
        <v>0</v>
      </c>
      <c r="Y37">
        <f t="shared" si="22"/>
        <v>0</v>
      </c>
      <c r="Z37">
        <f t="shared" si="23"/>
        <v>0</v>
      </c>
      <c r="AA37">
        <f t="shared" si="24"/>
        <v>0</v>
      </c>
      <c r="AB37">
        <f t="shared" si="25"/>
        <v>0</v>
      </c>
      <c r="AC37">
        <f t="shared" si="26"/>
        <v>0</v>
      </c>
      <c r="AD37">
        <f t="shared" si="27"/>
        <v>0</v>
      </c>
      <c r="AE37">
        <f t="shared" si="28"/>
        <v>0</v>
      </c>
      <c r="AF37">
        <f t="shared" si="29"/>
        <v>0</v>
      </c>
      <c r="AG37">
        <f t="shared" si="30"/>
        <v>0</v>
      </c>
      <c r="AH37">
        <f t="shared" si="31"/>
        <v>0</v>
      </c>
      <c r="AI37">
        <f t="shared" si="32"/>
        <v>0</v>
      </c>
      <c r="AJ37">
        <f t="shared" si="33"/>
        <v>0</v>
      </c>
      <c r="AK37">
        <f t="shared" si="34"/>
        <v>0</v>
      </c>
      <c r="AL37">
        <f t="shared" si="35"/>
        <v>0</v>
      </c>
      <c r="AM37">
        <f t="shared" si="36"/>
        <v>0</v>
      </c>
      <c r="AN37">
        <f t="shared" si="37"/>
        <v>0</v>
      </c>
      <c r="AO37">
        <f t="shared" si="38"/>
        <v>0</v>
      </c>
      <c r="AP37">
        <f t="shared" si="39"/>
        <v>0</v>
      </c>
      <c r="AQ37">
        <f t="shared" si="40"/>
        <v>0</v>
      </c>
      <c r="AR37">
        <f t="shared" si="41"/>
        <v>0</v>
      </c>
      <c r="AS37">
        <f t="shared" si="42"/>
        <v>0</v>
      </c>
      <c r="AT37">
        <f t="shared" si="43"/>
        <v>0</v>
      </c>
      <c r="AU37">
        <f t="shared" si="44"/>
        <v>0</v>
      </c>
      <c r="AV37">
        <f t="shared" si="45"/>
        <v>0</v>
      </c>
      <c r="AW37">
        <f t="shared" si="0"/>
        <v>0</v>
      </c>
      <c r="AX37">
        <f t="shared" si="46"/>
        <v>0</v>
      </c>
      <c r="AY37">
        <f t="shared" si="47"/>
        <v>0</v>
      </c>
    </row>
    <row r="38" spans="1:51" x14ac:dyDescent="0.35">
      <c r="A38">
        <v>32</v>
      </c>
      <c r="C38">
        <f>MAX(0,Calc!$C$7-SUM(D38:R38))</f>
        <v>750</v>
      </c>
      <c r="D38">
        <f t="shared" si="1"/>
        <v>0</v>
      </c>
      <c r="E38">
        <f t="shared" si="2"/>
        <v>0</v>
      </c>
      <c r="F38">
        <f t="shared" si="3"/>
        <v>0</v>
      </c>
      <c r="G38">
        <f t="shared" si="4"/>
        <v>0</v>
      </c>
      <c r="H38">
        <f t="shared" si="5"/>
        <v>0</v>
      </c>
      <c r="I38">
        <f t="shared" si="6"/>
        <v>0</v>
      </c>
      <c r="J38">
        <f t="shared" si="7"/>
        <v>0</v>
      </c>
      <c r="K38">
        <f t="shared" si="8"/>
        <v>0</v>
      </c>
      <c r="L38">
        <f t="shared" si="9"/>
        <v>0</v>
      </c>
      <c r="M38">
        <f t="shared" si="10"/>
        <v>0</v>
      </c>
      <c r="N38">
        <f t="shared" si="11"/>
        <v>0</v>
      </c>
      <c r="O38">
        <f t="shared" si="12"/>
        <v>0</v>
      </c>
      <c r="P38">
        <f t="shared" si="13"/>
        <v>0</v>
      </c>
      <c r="Q38">
        <f t="shared" si="14"/>
        <v>0</v>
      </c>
      <c r="R38">
        <f t="shared" si="15"/>
        <v>0</v>
      </c>
      <c r="S38">
        <f t="shared" si="16"/>
        <v>0</v>
      </c>
      <c r="T38">
        <f t="shared" si="17"/>
        <v>0</v>
      </c>
      <c r="U38">
        <f t="shared" si="18"/>
        <v>0</v>
      </c>
      <c r="V38">
        <f t="shared" si="19"/>
        <v>0</v>
      </c>
      <c r="W38">
        <f t="shared" si="20"/>
        <v>0</v>
      </c>
      <c r="X38">
        <f t="shared" si="21"/>
        <v>0</v>
      </c>
      <c r="Y38">
        <f t="shared" si="22"/>
        <v>0</v>
      </c>
      <c r="Z38">
        <f t="shared" si="23"/>
        <v>0</v>
      </c>
      <c r="AA38">
        <f t="shared" si="24"/>
        <v>0</v>
      </c>
      <c r="AB38">
        <f t="shared" si="25"/>
        <v>0</v>
      </c>
      <c r="AC38">
        <f t="shared" si="26"/>
        <v>0</v>
      </c>
      <c r="AD38">
        <f t="shared" si="27"/>
        <v>0</v>
      </c>
      <c r="AE38">
        <f t="shared" si="28"/>
        <v>0</v>
      </c>
      <c r="AF38">
        <f t="shared" si="29"/>
        <v>0</v>
      </c>
      <c r="AG38">
        <f t="shared" si="30"/>
        <v>0</v>
      </c>
      <c r="AH38">
        <f t="shared" si="31"/>
        <v>0</v>
      </c>
      <c r="AI38">
        <f t="shared" si="32"/>
        <v>0</v>
      </c>
      <c r="AJ38">
        <f t="shared" si="33"/>
        <v>0</v>
      </c>
      <c r="AK38">
        <f t="shared" si="34"/>
        <v>0</v>
      </c>
      <c r="AL38">
        <f t="shared" si="35"/>
        <v>0</v>
      </c>
      <c r="AM38">
        <f t="shared" si="36"/>
        <v>0</v>
      </c>
      <c r="AN38">
        <f t="shared" si="37"/>
        <v>0</v>
      </c>
      <c r="AO38">
        <f t="shared" si="38"/>
        <v>0</v>
      </c>
      <c r="AP38">
        <f t="shared" si="39"/>
        <v>0</v>
      </c>
      <c r="AQ38">
        <f t="shared" si="40"/>
        <v>0</v>
      </c>
      <c r="AR38">
        <f t="shared" si="41"/>
        <v>0</v>
      </c>
      <c r="AS38">
        <f t="shared" si="42"/>
        <v>0</v>
      </c>
      <c r="AT38">
        <f t="shared" si="43"/>
        <v>0</v>
      </c>
      <c r="AU38">
        <f t="shared" si="44"/>
        <v>0</v>
      </c>
      <c r="AV38">
        <f t="shared" si="45"/>
        <v>0</v>
      </c>
      <c r="AW38">
        <f t="shared" si="0"/>
        <v>0</v>
      </c>
      <c r="AX38">
        <f t="shared" si="46"/>
        <v>0</v>
      </c>
      <c r="AY38">
        <f t="shared" si="47"/>
        <v>0</v>
      </c>
    </row>
    <row r="39" spans="1:51" x14ac:dyDescent="0.35">
      <c r="A39">
        <v>33</v>
      </c>
      <c r="C39">
        <f>MAX(0,Calc!$C$7-SUM(D39:R39))</f>
        <v>750</v>
      </c>
      <c r="D39">
        <f t="shared" si="1"/>
        <v>0</v>
      </c>
      <c r="E39">
        <f t="shared" si="2"/>
        <v>0</v>
      </c>
      <c r="F39">
        <f t="shared" si="3"/>
        <v>0</v>
      </c>
      <c r="G39">
        <f t="shared" si="4"/>
        <v>0</v>
      </c>
      <c r="H39">
        <f t="shared" si="5"/>
        <v>0</v>
      </c>
      <c r="I39">
        <f t="shared" si="6"/>
        <v>0</v>
      </c>
      <c r="J39">
        <f t="shared" si="7"/>
        <v>0</v>
      </c>
      <c r="K39">
        <f t="shared" si="8"/>
        <v>0</v>
      </c>
      <c r="L39">
        <f t="shared" si="9"/>
        <v>0</v>
      </c>
      <c r="M39">
        <f t="shared" si="10"/>
        <v>0</v>
      </c>
      <c r="N39">
        <f t="shared" si="11"/>
        <v>0</v>
      </c>
      <c r="O39">
        <f t="shared" si="12"/>
        <v>0</v>
      </c>
      <c r="P39">
        <f t="shared" si="13"/>
        <v>0</v>
      </c>
      <c r="Q39">
        <f t="shared" si="14"/>
        <v>0</v>
      </c>
      <c r="R39">
        <f t="shared" si="15"/>
        <v>0</v>
      </c>
      <c r="S39">
        <f t="shared" si="16"/>
        <v>0</v>
      </c>
      <c r="T39">
        <f t="shared" si="17"/>
        <v>0</v>
      </c>
      <c r="U39">
        <f t="shared" si="18"/>
        <v>0</v>
      </c>
      <c r="V39">
        <f t="shared" si="19"/>
        <v>0</v>
      </c>
      <c r="W39">
        <f t="shared" si="20"/>
        <v>0</v>
      </c>
      <c r="X39">
        <f t="shared" si="21"/>
        <v>0</v>
      </c>
      <c r="Y39">
        <f t="shared" si="22"/>
        <v>0</v>
      </c>
      <c r="Z39">
        <f t="shared" si="23"/>
        <v>0</v>
      </c>
      <c r="AA39">
        <f t="shared" si="24"/>
        <v>0</v>
      </c>
      <c r="AB39">
        <f t="shared" si="25"/>
        <v>0</v>
      </c>
      <c r="AC39">
        <f t="shared" si="26"/>
        <v>0</v>
      </c>
      <c r="AD39">
        <f t="shared" si="27"/>
        <v>0</v>
      </c>
      <c r="AE39">
        <f t="shared" si="28"/>
        <v>0</v>
      </c>
      <c r="AF39">
        <f t="shared" si="29"/>
        <v>0</v>
      </c>
      <c r="AG39">
        <f t="shared" si="30"/>
        <v>0</v>
      </c>
      <c r="AH39">
        <f t="shared" si="31"/>
        <v>0</v>
      </c>
      <c r="AI39">
        <f t="shared" si="32"/>
        <v>0</v>
      </c>
      <c r="AJ39">
        <f t="shared" si="33"/>
        <v>0</v>
      </c>
      <c r="AK39">
        <f t="shared" si="34"/>
        <v>0</v>
      </c>
      <c r="AL39">
        <f t="shared" si="35"/>
        <v>0</v>
      </c>
      <c r="AM39">
        <f t="shared" si="36"/>
        <v>0</v>
      </c>
      <c r="AN39">
        <f t="shared" si="37"/>
        <v>0</v>
      </c>
      <c r="AO39">
        <f t="shared" si="38"/>
        <v>0</v>
      </c>
      <c r="AP39">
        <f t="shared" si="39"/>
        <v>0</v>
      </c>
      <c r="AQ39">
        <f t="shared" si="40"/>
        <v>0</v>
      </c>
      <c r="AR39">
        <f t="shared" si="41"/>
        <v>0</v>
      </c>
      <c r="AS39">
        <f t="shared" si="42"/>
        <v>0</v>
      </c>
      <c r="AT39">
        <f t="shared" si="43"/>
        <v>0</v>
      </c>
      <c r="AU39">
        <f t="shared" si="44"/>
        <v>0</v>
      </c>
      <c r="AV39">
        <f t="shared" si="45"/>
        <v>0</v>
      </c>
      <c r="AW39">
        <f t="shared" si="0"/>
        <v>0</v>
      </c>
      <c r="AX39">
        <f t="shared" si="46"/>
        <v>0</v>
      </c>
      <c r="AY39">
        <f t="shared" si="47"/>
        <v>0</v>
      </c>
    </row>
    <row r="40" spans="1:51" x14ac:dyDescent="0.35">
      <c r="A40">
        <v>34</v>
      </c>
      <c r="C40">
        <f>MAX(0,Calc!$C$7-SUM(D40:R40))</f>
        <v>750</v>
      </c>
      <c r="D40">
        <f t="shared" si="1"/>
        <v>0</v>
      </c>
      <c r="E40">
        <f t="shared" si="2"/>
        <v>0</v>
      </c>
      <c r="F40">
        <f t="shared" si="3"/>
        <v>0</v>
      </c>
      <c r="G40">
        <f t="shared" si="4"/>
        <v>0</v>
      </c>
      <c r="H40">
        <f t="shared" si="5"/>
        <v>0</v>
      </c>
      <c r="I40">
        <f t="shared" si="6"/>
        <v>0</v>
      </c>
      <c r="J40">
        <f t="shared" si="7"/>
        <v>0</v>
      </c>
      <c r="K40">
        <f t="shared" si="8"/>
        <v>0</v>
      </c>
      <c r="L40">
        <f t="shared" si="9"/>
        <v>0</v>
      </c>
      <c r="M40">
        <f t="shared" si="10"/>
        <v>0</v>
      </c>
      <c r="N40">
        <f t="shared" si="11"/>
        <v>0</v>
      </c>
      <c r="O40">
        <f t="shared" si="12"/>
        <v>0</v>
      </c>
      <c r="P40">
        <f t="shared" si="13"/>
        <v>0</v>
      </c>
      <c r="Q40">
        <f t="shared" si="14"/>
        <v>0</v>
      </c>
      <c r="R40">
        <f t="shared" si="15"/>
        <v>0</v>
      </c>
      <c r="S40">
        <f t="shared" si="16"/>
        <v>0</v>
      </c>
      <c r="T40">
        <f t="shared" si="17"/>
        <v>0</v>
      </c>
      <c r="U40">
        <f t="shared" si="18"/>
        <v>0</v>
      </c>
      <c r="V40">
        <f t="shared" si="19"/>
        <v>0</v>
      </c>
      <c r="W40">
        <f t="shared" si="20"/>
        <v>0</v>
      </c>
      <c r="X40">
        <f t="shared" si="21"/>
        <v>0</v>
      </c>
      <c r="Y40">
        <f t="shared" si="22"/>
        <v>0</v>
      </c>
      <c r="Z40">
        <f t="shared" si="23"/>
        <v>0</v>
      </c>
      <c r="AA40">
        <f t="shared" si="24"/>
        <v>0</v>
      </c>
      <c r="AB40">
        <f t="shared" si="25"/>
        <v>0</v>
      </c>
      <c r="AC40">
        <f t="shared" si="26"/>
        <v>0</v>
      </c>
      <c r="AD40">
        <f t="shared" si="27"/>
        <v>0</v>
      </c>
      <c r="AE40">
        <f t="shared" si="28"/>
        <v>0</v>
      </c>
      <c r="AF40">
        <f t="shared" si="29"/>
        <v>0</v>
      </c>
      <c r="AG40">
        <f t="shared" si="30"/>
        <v>0</v>
      </c>
      <c r="AH40">
        <f t="shared" si="31"/>
        <v>0</v>
      </c>
      <c r="AI40">
        <f t="shared" si="32"/>
        <v>0</v>
      </c>
      <c r="AJ40">
        <f t="shared" si="33"/>
        <v>0</v>
      </c>
      <c r="AK40">
        <f t="shared" si="34"/>
        <v>0</v>
      </c>
      <c r="AL40">
        <f t="shared" si="35"/>
        <v>0</v>
      </c>
      <c r="AM40">
        <f t="shared" si="36"/>
        <v>0</v>
      </c>
      <c r="AN40">
        <f t="shared" si="37"/>
        <v>0</v>
      </c>
      <c r="AO40">
        <f t="shared" si="38"/>
        <v>0</v>
      </c>
      <c r="AP40">
        <f t="shared" si="39"/>
        <v>0</v>
      </c>
      <c r="AQ40">
        <f t="shared" si="40"/>
        <v>0</v>
      </c>
      <c r="AR40">
        <f t="shared" si="41"/>
        <v>0</v>
      </c>
      <c r="AS40">
        <f t="shared" si="42"/>
        <v>0</v>
      </c>
      <c r="AT40">
        <f t="shared" si="43"/>
        <v>0</v>
      </c>
      <c r="AU40">
        <f t="shared" si="44"/>
        <v>0</v>
      </c>
      <c r="AV40">
        <f t="shared" si="45"/>
        <v>0</v>
      </c>
      <c r="AW40">
        <f t="shared" si="0"/>
        <v>0</v>
      </c>
      <c r="AX40">
        <f t="shared" si="46"/>
        <v>0</v>
      </c>
      <c r="AY40">
        <f t="shared" si="47"/>
        <v>0</v>
      </c>
    </row>
    <row r="41" spans="1:51" x14ac:dyDescent="0.35">
      <c r="A41">
        <v>35</v>
      </c>
      <c r="C41">
        <f>MAX(0,Calc!$C$7-SUM(D41:R41))</f>
        <v>750</v>
      </c>
      <c r="D41">
        <f t="shared" si="1"/>
        <v>0</v>
      </c>
      <c r="E41">
        <f t="shared" si="2"/>
        <v>0</v>
      </c>
      <c r="F41">
        <f t="shared" si="3"/>
        <v>0</v>
      </c>
      <c r="G41">
        <f t="shared" si="4"/>
        <v>0</v>
      </c>
      <c r="H41">
        <f t="shared" si="5"/>
        <v>0</v>
      </c>
      <c r="I41">
        <f t="shared" si="6"/>
        <v>0</v>
      </c>
      <c r="J41">
        <f t="shared" si="7"/>
        <v>0</v>
      </c>
      <c r="K41">
        <f t="shared" si="8"/>
        <v>0</v>
      </c>
      <c r="L41">
        <f t="shared" si="9"/>
        <v>0</v>
      </c>
      <c r="M41">
        <f t="shared" si="10"/>
        <v>0</v>
      </c>
      <c r="N41">
        <f t="shared" si="11"/>
        <v>0</v>
      </c>
      <c r="O41">
        <f t="shared" si="12"/>
        <v>0</v>
      </c>
      <c r="P41">
        <f t="shared" si="13"/>
        <v>0</v>
      </c>
      <c r="Q41">
        <f t="shared" si="14"/>
        <v>0</v>
      </c>
      <c r="R41">
        <f t="shared" si="15"/>
        <v>0</v>
      </c>
      <c r="S41">
        <f t="shared" si="16"/>
        <v>0</v>
      </c>
      <c r="T41">
        <f t="shared" si="17"/>
        <v>0</v>
      </c>
      <c r="U41">
        <f t="shared" si="18"/>
        <v>0</v>
      </c>
      <c r="V41">
        <f t="shared" si="19"/>
        <v>0</v>
      </c>
      <c r="W41">
        <f t="shared" si="20"/>
        <v>0</v>
      </c>
      <c r="X41">
        <f t="shared" si="21"/>
        <v>0</v>
      </c>
      <c r="Y41">
        <f t="shared" si="22"/>
        <v>0</v>
      </c>
      <c r="Z41">
        <f t="shared" si="23"/>
        <v>0</v>
      </c>
      <c r="AA41">
        <f t="shared" si="24"/>
        <v>0</v>
      </c>
      <c r="AB41">
        <f t="shared" si="25"/>
        <v>0</v>
      </c>
      <c r="AC41">
        <f t="shared" si="26"/>
        <v>0</v>
      </c>
      <c r="AD41">
        <f t="shared" si="27"/>
        <v>0</v>
      </c>
      <c r="AE41">
        <f t="shared" si="28"/>
        <v>0</v>
      </c>
      <c r="AF41">
        <f t="shared" si="29"/>
        <v>0</v>
      </c>
      <c r="AG41">
        <f t="shared" si="30"/>
        <v>0</v>
      </c>
      <c r="AH41">
        <f t="shared" si="31"/>
        <v>0</v>
      </c>
      <c r="AI41">
        <f t="shared" si="32"/>
        <v>0</v>
      </c>
      <c r="AJ41">
        <f t="shared" si="33"/>
        <v>0</v>
      </c>
      <c r="AK41">
        <f t="shared" si="34"/>
        <v>0</v>
      </c>
      <c r="AL41">
        <f t="shared" si="35"/>
        <v>0</v>
      </c>
      <c r="AM41">
        <f t="shared" si="36"/>
        <v>0</v>
      </c>
      <c r="AN41">
        <f t="shared" si="37"/>
        <v>0</v>
      </c>
      <c r="AO41">
        <f t="shared" si="38"/>
        <v>0</v>
      </c>
      <c r="AP41">
        <f t="shared" si="39"/>
        <v>0</v>
      </c>
      <c r="AQ41">
        <f t="shared" si="40"/>
        <v>0</v>
      </c>
      <c r="AR41">
        <f t="shared" si="41"/>
        <v>0</v>
      </c>
      <c r="AS41">
        <f t="shared" si="42"/>
        <v>0</v>
      </c>
      <c r="AT41">
        <f t="shared" si="43"/>
        <v>0</v>
      </c>
      <c r="AU41">
        <f t="shared" si="44"/>
        <v>0</v>
      </c>
      <c r="AV41">
        <f t="shared" si="45"/>
        <v>0</v>
      </c>
      <c r="AW41">
        <f t="shared" si="0"/>
        <v>0</v>
      </c>
      <c r="AX41">
        <f t="shared" si="46"/>
        <v>0</v>
      </c>
      <c r="AY41">
        <f t="shared" si="47"/>
        <v>0</v>
      </c>
    </row>
    <row r="42" spans="1:51" x14ac:dyDescent="0.35">
      <c r="A42">
        <v>36</v>
      </c>
      <c r="C42">
        <f>MAX(0,Calc!$C$7-SUM(D42:R42))</f>
        <v>750</v>
      </c>
      <c r="D42">
        <f t="shared" si="1"/>
        <v>0</v>
      </c>
      <c r="E42">
        <f t="shared" si="2"/>
        <v>0</v>
      </c>
      <c r="F42">
        <f t="shared" si="3"/>
        <v>0</v>
      </c>
      <c r="G42">
        <f t="shared" si="4"/>
        <v>0</v>
      </c>
      <c r="H42">
        <f t="shared" si="5"/>
        <v>0</v>
      </c>
      <c r="I42">
        <f t="shared" si="6"/>
        <v>0</v>
      </c>
      <c r="J42">
        <f t="shared" si="7"/>
        <v>0</v>
      </c>
      <c r="K42">
        <f t="shared" si="8"/>
        <v>0</v>
      </c>
      <c r="L42">
        <f t="shared" si="9"/>
        <v>0</v>
      </c>
      <c r="M42">
        <f t="shared" si="10"/>
        <v>0</v>
      </c>
      <c r="N42">
        <f t="shared" si="11"/>
        <v>0</v>
      </c>
      <c r="O42">
        <f t="shared" si="12"/>
        <v>0</v>
      </c>
      <c r="P42">
        <f t="shared" si="13"/>
        <v>0</v>
      </c>
      <c r="Q42">
        <f t="shared" si="14"/>
        <v>0</v>
      </c>
      <c r="R42">
        <f t="shared" si="15"/>
        <v>0</v>
      </c>
      <c r="S42">
        <f t="shared" si="16"/>
        <v>0</v>
      </c>
      <c r="T42">
        <f t="shared" si="17"/>
        <v>0</v>
      </c>
      <c r="U42">
        <f t="shared" si="18"/>
        <v>0</v>
      </c>
      <c r="V42">
        <f t="shared" si="19"/>
        <v>0</v>
      </c>
      <c r="W42">
        <f t="shared" si="20"/>
        <v>0</v>
      </c>
      <c r="X42">
        <f t="shared" si="21"/>
        <v>0</v>
      </c>
      <c r="Y42">
        <f t="shared" si="22"/>
        <v>0</v>
      </c>
      <c r="Z42">
        <f t="shared" si="23"/>
        <v>0</v>
      </c>
      <c r="AA42">
        <f t="shared" si="24"/>
        <v>0</v>
      </c>
      <c r="AB42">
        <f t="shared" si="25"/>
        <v>0</v>
      </c>
      <c r="AC42">
        <f t="shared" si="26"/>
        <v>0</v>
      </c>
      <c r="AD42">
        <f t="shared" si="27"/>
        <v>0</v>
      </c>
      <c r="AE42">
        <f t="shared" si="28"/>
        <v>0</v>
      </c>
      <c r="AF42">
        <f t="shared" si="29"/>
        <v>0</v>
      </c>
      <c r="AG42">
        <f t="shared" si="30"/>
        <v>0</v>
      </c>
      <c r="AH42">
        <f t="shared" si="31"/>
        <v>0</v>
      </c>
      <c r="AI42">
        <f t="shared" si="32"/>
        <v>0</v>
      </c>
      <c r="AJ42">
        <f t="shared" si="33"/>
        <v>0</v>
      </c>
      <c r="AK42">
        <f t="shared" si="34"/>
        <v>0</v>
      </c>
      <c r="AL42">
        <f t="shared" si="35"/>
        <v>0</v>
      </c>
      <c r="AM42">
        <f t="shared" si="36"/>
        <v>0</v>
      </c>
      <c r="AN42">
        <f t="shared" si="37"/>
        <v>0</v>
      </c>
      <c r="AO42">
        <f t="shared" si="38"/>
        <v>0</v>
      </c>
      <c r="AP42">
        <f t="shared" si="39"/>
        <v>0</v>
      </c>
      <c r="AQ42">
        <f t="shared" si="40"/>
        <v>0</v>
      </c>
      <c r="AR42">
        <f t="shared" si="41"/>
        <v>0</v>
      </c>
      <c r="AS42">
        <f t="shared" si="42"/>
        <v>0</v>
      </c>
      <c r="AT42">
        <f t="shared" si="43"/>
        <v>0</v>
      </c>
      <c r="AU42">
        <f t="shared" si="44"/>
        <v>0</v>
      </c>
      <c r="AV42">
        <f t="shared" si="45"/>
        <v>0</v>
      </c>
      <c r="AW42">
        <f t="shared" si="0"/>
        <v>0</v>
      </c>
      <c r="AX42">
        <f t="shared" si="46"/>
        <v>0</v>
      </c>
      <c r="AY42">
        <f t="shared" si="47"/>
        <v>0</v>
      </c>
    </row>
    <row r="43" spans="1:51" x14ac:dyDescent="0.35">
      <c r="A43">
        <v>37</v>
      </c>
      <c r="C43">
        <f>MAX(0,Calc!$C$7-SUM(D43:R43))</f>
        <v>750</v>
      </c>
      <c r="D43">
        <f t="shared" si="1"/>
        <v>0</v>
      </c>
      <c r="E43">
        <f t="shared" si="2"/>
        <v>0</v>
      </c>
      <c r="F43">
        <f t="shared" si="3"/>
        <v>0</v>
      </c>
      <c r="G43">
        <f t="shared" si="4"/>
        <v>0</v>
      </c>
      <c r="H43">
        <f t="shared" si="5"/>
        <v>0</v>
      </c>
      <c r="I43">
        <f t="shared" si="6"/>
        <v>0</v>
      </c>
      <c r="J43">
        <f t="shared" si="7"/>
        <v>0</v>
      </c>
      <c r="K43">
        <f t="shared" si="8"/>
        <v>0</v>
      </c>
      <c r="L43">
        <f t="shared" si="9"/>
        <v>0</v>
      </c>
      <c r="M43">
        <f t="shared" si="10"/>
        <v>0</v>
      </c>
      <c r="N43">
        <f t="shared" si="11"/>
        <v>0</v>
      </c>
      <c r="O43">
        <f t="shared" si="12"/>
        <v>0</v>
      </c>
      <c r="P43">
        <f t="shared" si="13"/>
        <v>0</v>
      </c>
      <c r="Q43">
        <f t="shared" si="14"/>
        <v>0</v>
      </c>
      <c r="R43">
        <f t="shared" si="15"/>
        <v>0</v>
      </c>
      <c r="S43">
        <f t="shared" si="16"/>
        <v>0</v>
      </c>
      <c r="T43">
        <f t="shared" si="17"/>
        <v>0</v>
      </c>
      <c r="U43">
        <f t="shared" si="18"/>
        <v>0</v>
      </c>
      <c r="V43">
        <f t="shared" si="19"/>
        <v>0</v>
      </c>
      <c r="W43">
        <f t="shared" si="20"/>
        <v>0</v>
      </c>
      <c r="X43">
        <f t="shared" si="21"/>
        <v>0</v>
      </c>
      <c r="Y43">
        <f t="shared" si="22"/>
        <v>0</v>
      </c>
      <c r="Z43">
        <f t="shared" si="23"/>
        <v>0</v>
      </c>
      <c r="AA43">
        <f t="shared" si="24"/>
        <v>0</v>
      </c>
      <c r="AB43">
        <f t="shared" si="25"/>
        <v>0</v>
      </c>
      <c r="AC43">
        <f t="shared" si="26"/>
        <v>0</v>
      </c>
      <c r="AD43">
        <f t="shared" si="27"/>
        <v>0</v>
      </c>
      <c r="AE43">
        <f t="shared" si="28"/>
        <v>0</v>
      </c>
      <c r="AF43">
        <f t="shared" si="29"/>
        <v>0</v>
      </c>
      <c r="AG43">
        <f t="shared" si="30"/>
        <v>0</v>
      </c>
      <c r="AH43">
        <f t="shared" si="31"/>
        <v>0</v>
      </c>
      <c r="AI43">
        <f t="shared" si="32"/>
        <v>0</v>
      </c>
      <c r="AJ43">
        <f t="shared" si="33"/>
        <v>0</v>
      </c>
      <c r="AK43">
        <f t="shared" si="34"/>
        <v>0</v>
      </c>
      <c r="AL43">
        <f t="shared" si="35"/>
        <v>0</v>
      </c>
      <c r="AM43">
        <f t="shared" si="36"/>
        <v>0</v>
      </c>
      <c r="AN43">
        <f t="shared" si="37"/>
        <v>0</v>
      </c>
      <c r="AO43">
        <f t="shared" si="38"/>
        <v>0</v>
      </c>
      <c r="AP43">
        <f t="shared" si="39"/>
        <v>0</v>
      </c>
      <c r="AQ43">
        <f t="shared" si="40"/>
        <v>0</v>
      </c>
      <c r="AR43">
        <f t="shared" si="41"/>
        <v>0</v>
      </c>
      <c r="AS43">
        <f t="shared" si="42"/>
        <v>0</v>
      </c>
      <c r="AT43">
        <f t="shared" si="43"/>
        <v>0</v>
      </c>
      <c r="AU43">
        <f t="shared" si="44"/>
        <v>0</v>
      </c>
      <c r="AV43">
        <f t="shared" si="45"/>
        <v>0</v>
      </c>
      <c r="AW43">
        <f t="shared" si="0"/>
        <v>0</v>
      </c>
      <c r="AX43">
        <f t="shared" si="46"/>
        <v>0</v>
      </c>
      <c r="AY43">
        <f t="shared" si="47"/>
        <v>0</v>
      </c>
    </row>
    <row r="44" spans="1:51" x14ac:dyDescent="0.35">
      <c r="A44">
        <v>38</v>
      </c>
      <c r="C44">
        <f>MAX(0,Calc!$C$7-SUM(D44:R44))</f>
        <v>750</v>
      </c>
      <c r="D44">
        <f t="shared" si="1"/>
        <v>0</v>
      </c>
      <c r="E44">
        <f t="shared" si="2"/>
        <v>0</v>
      </c>
      <c r="F44">
        <f t="shared" si="3"/>
        <v>0</v>
      </c>
      <c r="G44">
        <f t="shared" si="4"/>
        <v>0</v>
      </c>
      <c r="H44">
        <f t="shared" si="5"/>
        <v>0</v>
      </c>
      <c r="I44">
        <f t="shared" si="6"/>
        <v>0</v>
      </c>
      <c r="J44">
        <f t="shared" si="7"/>
        <v>0</v>
      </c>
      <c r="K44">
        <f t="shared" si="8"/>
        <v>0</v>
      </c>
      <c r="L44">
        <f t="shared" si="9"/>
        <v>0</v>
      </c>
      <c r="M44">
        <f t="shared" si="10"/>
        <v>0</v>
      </c>
      <c r="N44">
        <f t="shared" si="11"/>
        <v>0</v>
      </c>
      <c r="O44">
        <f t="shared" si="12"/>
        <v>0</v>
      </c>
      <c r="P44">
        <f t="shared" si="13"/>
        <v>0</v>
      </c>
      <c r="Q44">
        <f t="shared" si="14"/>
        <v>0</v>
      </c>
      <c r="R44">
        <f t="shared" si="15"/>
        <v>0</v>
      </c>
      <c r="S44">
        <f t="shared" si="16"/>
        <v>0</v>
      </c>
      <c r="T44">
        <f t="shared" si="17"/>
        <v>0</v>
      </c>
      <c r="U44">
        <f t="shared" si="18"/>
        <v>0</v>
      </c>
      <c r="V44">
        <f t="shared" si="19"/>
        <v>0</v>
      </c>
      <c r="W44">
        <f t="shared" si="20"/>
        <v>0</v>
      </c>
      <c r="X44">
        <f t="shared" si="21"/>
        <v>0</v>
      </c>
      <c r="Y44">
        <f t="shared" si="22"/>
        <v>0</v>
      </c>
      <c r="Z44">
        <f t="shared" si="23"/>
        <v>0</v>
      </c>
      <c r="AA44">
        <f t="shared" si="24"/>
        <v>0</v>
      </c>
      <c r="AB44">
        <f t="shared" si="25"/>
        <v>0</v>
      </c>
      <c r="AC44">
        <f t="shared" si="26"/>
        <v>0</v>
      </c>
      <c r="AD44">
        <f t="shared" si="27"/>
        <v>0</v>
      </c>
      <c r="AE44">
        <f t="shared" si="28"/>
        <v>0</v>
      </c>
      <c r="AF44">
        <f t="shared" si="29"/>
        <v>0</v>
      </c>
      <c r="AG44">
        <f t="shared" si="30"/>
        <v>0</v>
      </c>
      <c r="AH44">
        <f t="shared" si="31"/>
        <v>0</v>
      </c>
      <c r="AI44">
        <f t="shared" si="32"/>
        <v>0</v>
      </c>
      <c r="AJ44">
        <f t="shared" si="33"/>
        <v>0</v>
      </c>
      <c r="AK44">
        <f t="shared" si="34"/>
        <v>0</v>
      </c>
      <c r="AL44">
        <f t="shared" si="35"/>
        <v>0</v>
      </c>
      <c r="AM44">
        <f t="shared" si="36"/>
        <v>0</v>
      </c>
      <c r="AN44">
        <f t="shared" si="37"/>
        <v>0</v>
      </c>
      <c r="AO44">
        <f t="shared" si="38"/>
        <v>0</v>
      </c>
      <c r="AP44">
        <f t="shared" si="39"/>
        <v>0</v>
      </c>
      <c r="AQ44">
        <f t="shared" si="40"/>
        <v>0</v>
      </c>
      <c r="AR44">
        <f t="shared" si="41"/>
        <v>0</v>
      </c>
      <c r="AS44">
        <f t="shared" si="42"/>
        <v>0</v>
      </c>
      <c r="AT44">
        <f t="shared" si="43"/>
        <v>0</v>
      </c>
      <c r="AU44">
        <f t="shared" si="44"/>
        <v>0</v>
      </c>
      <c r="AV44">
        <f t="shared" si="45"/>
        <v>0</v>
      </c>
      <c r="AW44">
        <f t="shared" si="0"/>
        <v>0</v>
      </c>
      <c r="AX44">
        <f t="shared" si="46"/>
        <v>0</v>
      </c>
      <c r="AY44">
        <f t="shared" si="47"/>
        <v>0</v>
      </c>
    </row>
    <row r="45" spans="1:51" x14ac:dyDescent="0.35">
      <c r="A45">
        <v>39</v>
      </c>
      <c r="C45">
        <f>MAX(0,Calc!$C$7-SUM(D45:R45))</f>
        <v>750</v>
      </c>
      <c r="D45">
        <f t="shared" si="1"/>
        <v>0</v>
      </c>
      <c r="E45">
        <f t="shared" si="2"/>
        <v>0</v>
      </c>
      <c r="F45">
        <f t="shared" si="3"/>
        <v>0</v>
      </c>
      <c r="G45">
        <f t="shared" si="4"/>
        <v>0</v>
      </c>
      <c r="H45">
        <f t="shared" si="5"/>
        <v>0</v>
      </c>
      <c r="I45">
        <f t="shared" si="6"/>
        <v>0</v>
      </c>
      <c r="J45">
        <f t="shared" si="7"/>
        <v>0</v>
      </c>
      <c r="K45">
        <f t="shared" si="8"/>
        <v>0</v>
      </c>
      <c r="L45">
        <f t="shared" si="9"/>
        <v>0</v>
      </c>
      <c r="M45">
        <f t="shared" si="10"/>
        <v>0</v>
      </c>
      <c r="N45">
        <f t="shared" si="11"/>
        <v>0</v>
      </c>
      <c r="O45">
        <f t="shared" si="12"/>
        <v>0</v>
      </c>
      <c r="P45">
        <f t="shared" si="13"/>
        <v>0</v>
      </c>
      <c r="Q45">
        <f t="shared" si="14"/>
        <v>0</v>
      </c>
      <c r="R45">
        <f t="shared" si="15"/>
        <v>0</v>
      </c>
      <c r="S45">
        <f t="shared" si="16"/>
        <v>0</v>
      </c>
      <c r="T45">
        <f t="shared" si="17"/>
        <v>0</v>
      </c>
      <c r="U45">
        <f t="shared" si="18"/>
        <v>0</v>
      </c>
      <c r="V45">
        <f t="shared" si="19"/>
        <v>0</v>
      </c>
      <c r="W45">
        <f t="shared" si="20"/>
        <v>0</v>
      </c>
      <c r="X45">
        <f t="shared" si="21"/>
        <v>0</v>
      </c>
      <c r="Y45">
        <f t="shared" si="22"/>
        <v>0</v>
      </c>
      <c r="Z45">
        <f t="shared" si="23"/>
        <v>0</v>
      </c>
      <c r="AA45">
        <f t="shared" si="24"/>
        <v>0</v>
      </c>
      <c r="AB45">
        <f t="shared" si="25"/>
        <v>0</v>
      </c>
      <c r="AC45">
        <f t="shared" si="26"/>
        <v>0</v>
      </c>
      <c r="AD45">
        <f t="shared" si="27"/>
        <v>0</v>
      </c>
      <c r="AE45">
        <f t="shared" si="28"/>
        <v>0</v>
      </c>
      <c r="AF45">
        <f t="shared" si="29"/>
        <v>0</v>
      </c>
      <c r="AG45">
        <f t="shared" si="30"/>
        <v>0</v>
      </c>
      <c r="AH45">
        <f t="shared" si="31"/>
        <v>0</v>
      </c>
      <c r="AI45">
        <f t="shared" si="32"/>
        <v>0</v>
      </c>
      <c r="AJ45">
        <f t="shared" si="33"/>
        <v>0</v>
      </c>
      <c r="AK45">
        <f t="shared" si="34"/>
        <v>0</v>
      </c>
      <c r="AL45">
        <f t="shared" si="35"/>
        <v>0</v>
      </c>
      <c r="AM45">
        <f t="shared" si="36"/>
        <v>0</v>
      </c>
      <c r="AN45">
        <f t="shared" si="37"/>
        <v>0</v>
      </c>
      <c r="AO45">
        <f t="shared" si="38"/>
        <v>0</v>
      </c>
      <c r="AP45">
        <f t="shared" si="39"/>
        <v>0</v>
      </c>
      <c r="AQ45">
        <f t="shared" si="40"/>
        <v>0</v>
      </c>
      <c r="AR45">
        <f t="shared" si="41"/>
        <v>0</v>
      </c>
      <c r="AS45">
        <f t="shared" si="42"/>
        <v>0</v>
      </c>
      <c r="AT45">
        <f t="shared" si="43"/>
        <v>0</v>
      </c>
      <c r="AU45">
        <f t="shared" si="44"/>
        <v>0</v>
      </c>
      <c r="AV45">
        <f t="shared" si="45"/>
        <v>0</v>
      </c>
      <c r="AW45">
        <f t="shared" si="0"/>
        <v>0</v>
      </c>
      <c r="AX45">
        <f t="shared" si="46"/>
        <v>0</v>
      </c>
      <c r="AY45">
        <f t="shared" si="47"/>
        <v>0</v>
      </c>
    </row>
    <row r="46" spans="1:51" x14ac:dyDescent="0.35">
      <c r="A46">
        <v>40</v>
      </c>
      <c r="C46">
        <f>MAX(0,Calc!$C$7-SUM(D46:R46))</f>
        <v>750</v>
      </c>
      <c r="D46">
        <f t="shared" si="1"/>
        <v>0</v>
      </c>
      <c r="E46">
        <f t="shared" si="2"/>
        <v>0</v>
      </c>
      <c r="F46">
        <f t="shared" si="3"/>
        <v>0</v>
      </c>
      <c r="G46">
        <f t="shared" si="4"/>
        <v>0</v>
      </c>
      <c r="H46">
        <f t="shared" si="5"/>
        <v>0</v>
      </c>
      <c r="I46">
        <f t="shared" si="6"/>
        <v>0</v>
      </c>
      <c r="J46">
        <f t="shared" si="7"/>
        <v>0</v>
      </c>
      <c r="K46">
        <f t="shared" si="8"/>
        <v>0</v>
      </c>
      <c r="L46">
        <f t="shared" si="9"/>
        <v>0</v>
      </c>
      <c r="M46">
        <f t="shared" si="10"/>
        <v>0</v>
      </c>
      <c r="N46">
        <f t="shared" si="11"/>
        <v>0</v>
      </c>
      <c r="O46">
        <f t="shared" si="12"/>
        <v>0</v>
      </c>
      <c r="P46">
        <f t="shared" si="13"/>
        <v>0</v>
      </c>
      <c r="Q46">
        <f t="shared" si="14"/>
        <v>0</v>
      </c>
      <c r="R46">
        <f t="shared" si="15"/>
        <v>0</v>
      </c>
      <c r="S46">
        <f t="shared" si="16"/>
        <v>0</v>
      </c>
      <c r="T46">
        <f t="shared" si="17"/>
        <v>0</v>
      </c>
      <c r="U46">
        <f t="shared" si="18"/>
        <v>0</v>
      </c>
      <c r="V46">
        <f t="shared" si="19"/>
        <v>0</v>
      </c>
      <c r="W46">
        <f t="shared" si="20"/>
        <v>0</v>
      </c>
      <c r="X46">
        <f t="shared" si="21"/>
        <v>0</v>
      </c>
      <c r="Y46">
        <f t="shared" si="22"/>
        <v>0</v>
      </c>
      <c r="Z46">
        <f t="shared" si="23"/>
        <v>0</v>
      </c>
      <c r="AA46">
        <f t="shared" si="24"/>
        <v>0</v>
      </c>
      <c r="AB46">
        <f t="shared" si="25"/>
        <v>0</v>
      </c>
      <c r="AC46">
        <f t="shared" si="26"/>
        <v>0</v>
      </c>
      <c r="AD46">
        <f t="shared" si="27"/>
        <v>0</v>
      </c>
      <c r="AE46">
        <f t="shared" si="28"/>
        <v>0</v>
      </c>
      <c r="AF46">
        <f t="shared" si="29"/>
        <v>0</v>
      </c>
      <c r="AG46">
        <f t="shared" si="30"/>
        <v>0</v>
      </c>
      <c r="AH46">
        <f t="shared" si="31"/>
        <v>0</v>
      </c>
      <c r="AI46">
        <f t="shared" si="32"/>
        <v>0</v>
      </c>
      <c r="AJ46">
        <f t="shared" si="33"/>
        <v>0</v>
      </c>
      <c r="AK46">
        <f t="shared" si="34"/>
        <v>0</v>
      </c>
      <c r="AL46">
        <f t="shared" si="35"/>
        <v>0</v>
      </c>
      <c r="AM46">
        <f t="shared" si="36"/>
        <v>0</v>
      </c>
      <c r="AN46">
        <f t="shared" si="37"/>
        <v>0</v>
      </c>
      <c r="AO46">
        <f t="shared" si="38"/>
        <v>0</v>
      </c>
      <c r="AP46">
        <f t="shared" si="39"/>
        <v>0</v>
      </c>
      <c r="AQ46">
        <f t="shared" si="40"/>
        <v>0</v>
      </c>
      <c r="AR46">
        <f t="shared" si="41"/>
        <v>0</v>
      </c>
      <c r="AS46">
        <f t="shared" si="42"/>
        <v>0</v>
      </c>
      <c r="AT46">
        <f t="shared" si="43"/>
        <v>0</v>
      </c>
      <c r="AU46">
        <f t="shared" si="44"/>
        <v>0</v>
      </c>
      <c r="AV46">
        <f t="shared" si="45"/>
        <v>0</v>
      </c>
      <c r="AW46">
        <f t="shared" si="0"/>
        <v>0</v>
      </c>
      <c r="AX46">
        <f t="shared" si="46"/>
        <v>0</v>
      </c>
      <c r="AY46">
        <f t="shared" si="47"/>
        <v>0</v>
      </c>
    </row>
    <row r="47" spans="1:51" x14ac:dyDescent="0.35">
      <c r="A47">
        <v>41</v>
      </c>
      <c r="C47">
        <f>MAX(0,Calc!$C$7-SUM(D47:R47))</f>
        <v>750</v>
      </c>
      <c r="D47">
        <f t="shared" si="1"/>
        <v>0</v>
      </c>
      <c r="E47">
        <f t="shared" si="2"/>
        <v>0</v>
      </c>
      <c r="F47">
        <f t="shared" si="3"/>
        <v>0</v>
      </c>
      <c r="G47">
        <f t="shared" si="4"/>
        <v>0</v>
      </c>
      <c r="H47">
        <f t="shared" si="5"/>
        <v>0</v>
      </c>
      <c r="I47">
        <f t="shared" si="6"/>
        <v>0</v>
      </c>
      <c r="J47">
        <f t="shared" si="7"/>
        <v>0</v>
      </c>
      <c r="K47">
        <f t="shared" si="8"/>
        <v>0</v>
      </c>
      <c r="L47">
        <f t="shared" si="9"/>
        <v>0</v>
      </c>
      <c r="M47">
        <f t="shared" si="10"/>
        <v>0</v>
      </c>
      <c r="N47">
        <f t="shared" si="11"/>
        <v>0</v>
      </c>
      <c r="O47">
        <f t="shared" si="12"/>
        <v>0</v>
      </c>
      <c r="P47">
        <f t="shared" si="13"/>
        <v>0</v>
      </c>
      <c r="Q47">
        <f t="shared" si="14"/>
        <v>0</v>
      </c>
      <c r="R47">
        <f t="shared" si="15"/>
        <v>0</v>
      </c>
      <c r="S47">
        <f t="shared" si="16"/>
        <v>0</v>
      </c>
      <c r="T47">
        <f t="shared" si="17"/>
        <v>0</v>
      </c>
      <c r="U47">
        <f t="shared" si="18"/>
        <v>0</v>
      </c>
      <c r="V47">
        <f t="shared" si="19"/>
        <v>0</v>
      </c>
      <c r="W47">
        <f t="shared" si="20"/>
        <v>0</v>
      </c>
      <c r="X47">
        <f t="shared" si="21"/>
        <v>0</v>
      </c>
      <c r="Y47">
        <f t="shared" si="22"/>
        <v>0</v>
      </c>
      <c r="Z47">
        <f t="shared" si="23"/>
        <v>0</v>
      </c>
      <c r="AA47">
        <f t="shared" si="24"/>
        <v>0</v>
      </c>
      <c r="AB47">
        <f t="shared" si="25"/>
        <v>0</v>
      </c>
      <c r="AC47">
        <f t="shared" si="26"/>
        <v>0</v>
      </c>
      <c r="AD47">
        <f t="shared" si="27"/>
        <v>0</v>
      </c>
      <c r="AE47">
        <f t="shared" si="28"/>
        <v>0</v>
      </c>
      <c r="AF47">
        <f t="shared" si="29"/>
        <v>0</v>
      </c>
      <c r="AG47">
        <f t="shared" si="30"/>
        <v>0</v>
      </c>
      <c r="AH47">
        <f t="shared" si="31"/>
        <v>0</v>
      </c>
      <c r="AI47">
        <f t="shared" si="32"/>
        <v>0</v>
      </c>
      <c r="AJ47">
        <f t="shared" si="33"/>
        <v>0</v>
      </c>
      <c r="AK47">
        <f t="shared" si="34"/>
        <v>0</v>
      </c>
      <c r="AL47">
        <f t="shared" si="35"/>
        <v>0</v>
      </c>
      <c r="AM47">
        <f t="shared" si="36"/>
        <v>0</v>
      </c>
      <c r="AN47">
        <f t="shared" si="37"/>
        <v>0</v>
      </c>
      <c r="AO47">
        <f t="shared" si="38"/>
        <v>0</v>
      </c>
      <c r="AP47">
        <f t="shared" si="39"/>
        <v>0</v>
      </c>
      <c r="AQ47">
        <f t="shared" si="40"/>
        <v>0</v>
      </c>
      <c r="AR47">
        <f t="shared" si="41"/>
        <v>0</v>
      </c>
      <c r="AS47">
        <f t="shared" si="42"/>
        <v>0</v>
      </c>
      <c r="AT47">
        <f t="shared" si="43"/>
        <v>0</v>
      </c>
      <c r="AU47">
        <f t="shared" si="44"/>
        <v>0</v>
      </c>
      <c r="AV47">
        <f t="shared" si="45"/>
        <v>0</v>
      </c>
      <c r="AW47">
        <f t="shared" si="0"/>
        <v>0</v>
      </c>
      <c r="AX47">
        <f t="shared" si="46"/>
        <v>0</v>
      </c>
      <c r="AY47">
        <f t="shared" si="47"/>
        <v>0</v>
      </c>
    </row>
    <row r="48" spans="1:51" x14ac:dyDescent="0.35">
      <c r="A48">
        <v>42</v>
      </c>
      <c r="C48">
        <f>MAX(0,Calc!$C$7-SUM(D48:R48))</f>
        <v>750</v>
      </c>
      <c r="D48">
        <f t="shared" si="1"/>
        <v>0</v>
      </c>
      <c r="E48">
        <f t="shared" si="2"/>
        <v>0</v>
      </c>
      <c r="F48">
        <f t="shared" si="3"/>
        <v>0</v>
      </c>
      <c r="G48">
        <f t="shared" si="4"/>
        <v>0</v>
      </c>
      <c r="H48">
        <f t="shared" si="5"/>
        <v>0</v>
      </c>
      <c r="I48">
        <f t="shared" si="6"/>
        <v>0</v>
      </c>
      <c r="J48">
        <f t="shared" si="7"/>
        <v>0</v>
      </c>
      <c r="K48">
        <f t="shared" si="8"/>
        <v>0</v>
      </c>
      <c r="L48">
        <f t="shared" si="9"/>
        <v>0</v>
      </c>
      <c r="M48">
        <f t="shared" si="10"/>
        <v>0</v>
      </c>
      <c r="N48">
        <f t="shared" si="11"/>
        <v>0</v>
      </c>
      <c r="O48">
        <f t="shared" si="12"/>
        <v>0</v>
      </c>
      <c r="P48">
        <f t="shared" si="13"/>
        <v>0</v>
      </c>
      <c r="Q48">
        <f t="shared" si="14"/>
        <v>0</v>
      </c>
      <c r="R48">
        <f t="shared" si="15"/>
        <v>0</v>
      </c>
      <c r="S48">
        <f t="shared" si="16"/>
        <v>0</v>
      </c>
      <c r="T48">
        <f t="shared" si="17"/>
        <v>0</v>
      </c>
      <c r="U48">
        <f t="shared" si="18"/>
        <v>0</v>
      </c>
      <c r="V48">
        <f t="shared" si="19"/>
        <v>0</v>
      </c>
      <c r="W48">
        <f t="shared" si="20"/>
        <v>0</v>
      </c>
      <c r="X48">
        <f t="shared" si="21"/>
        <v>0</v>
      </c>
      <c r="Y48">
        <f t="shared" si="22"/>
        <v>0</v>
      </c>
      <c r="Z48">
        <f t="shared" si="23"/>
        <v>0</v>
      </c>
      <c r="AA48">
        <f t="shared" si="24"/>
        <v>0</v>
      </c>
      <c r="AB48">
        <f t="shared" si="25"/>
        <v>0</v>
      </c>
      <c r="AC48">
        <f t="shared" si="26"/>
        <v>0</v>
      </c>
      <c r="AD48">
        <f t="shared" si="27"/>
        <v>0</v>
      </c>
      <c r="AE48">
        <f t="shared" si="28"/>
        <v>0</v>
      </c>
      <c r="AF48">
        <f t="shared" si="29"/>
        <v>0</v>
      </c>
      <c r="AG48">
        <f t="shared" si="30"/>
        <v>0</v>
      </c>
      <c r="AH48">
        <f t="shared" si="31"/>
        <v>0</v>
      </c>
      <c r="AI48">
        <f t="shared" si="32"/>
        <v>0</v>
      </c>
      <c r="AJ48">
        <f t="shared" si="33"/>
        <v>0</v>
      </c>
      <c r="AK48">
        <f t="shared" si="34"/>
        <v>0</v>
      </c>
      <c r="AL48">
        <f t="shared" si="35"/>
        <v>0</v>
      </c>
      <c r="AM48">
        <f t="shared" si="36"/>
        <v>0</v>
      </c>
      <c r="AN48">
        <f t="shared" si="37"/>
        <v>0</v>
      </c>
      <c r="AO48">
        <f t="shared" si="38"/>
        <v>0</v>
      </c>
      <c r="AP48">
        <f t="shared" si="39"/>
        <v>0</v>
      </c>
      <c r="AQ48">
        <f t="shared" si="40"/>
        <v>0</v>
      </c>
      <c r="AR48">
        <f t="shared" si="41"/>
        <v>0</v>
      </c>
      <c r="AS48">
        <f t="shared" si="42"/>
        <v>0</v>
      </c>
      <c r="AT48">
        <f t="shared" si="43"/>
        <v>0</v>
      </c>
      <c r="AU48">
        <f t="shared" si="44"/>
        <v>0</v>
      </c>
      <c r="AV48">
        <f t="shared" si="45"/>
        <v>0</v>
      </c>
      <c r="AW48">
        <f t="shared" si="0"/>
        <v>0</v>
      </c>
      <c r="AX48">
        <f t="shared" si="46"/>
        <v>0</v>
      </c>
      <c r="AY48">
        <f t="shared" si="47"/>
        <v>0</v>
      </c>
    </row>
    <row r="49" spans="1:51" x14ac:dyDescent="0.35">
      <c r="A49">
        <v>43</v>
      </c>
      <c r="C49">
        <f>MAX(0,Calc!$C$7-SUM(D49:R49))</f>
        <v>750</v>
      </c>
      <c r="D49">
        <f t="shared" si="1"/>
        <v>0</v>
      </c>
      <c r="E49">
        <f t="shared" si="2"/>
        <v>0</v>
      </c>
      <c r="F49">
        <f t="shared" si="3"/>
        <v>0</v>
      </c>
      <c r="G49">
        <f t="shared" si="4"/>
        <v>0</v>
      </c>
      <c r="H49">
        <f t="shared" si="5"/>
        <v>0</v>
      </c>
      <c r="I49">
        <f t="shared" si="6"/>
        <v>0</v>
      </c>
      <c r="J49">
        <f t="shared" si="7"/>
        <v>0</v>
      </c>
      <c r="K49">
        <f t="shared" si="8"/>
        <v>0</v>
      </c>
      <c r="L49">
        <f t="shared" si="9"/>
        <v>0</v>
      </c>
      <c r="M49">
        <f t="shared" si="10"/>
        <v>0</v>
      </c>
      <c r="N49">
        <f t="shared" si="11"/>
        <v>0</v>
      </c>
      <c r="O49">
        <f t="shared" si="12"/>
        <v>0</v>
      </c>
      <c r="P49">
        <f t="shared" si="13"/>
        <v>0</v>
      </c>
      <c r="Q49">
        <f t="shared" si="14"/>
        <v>0</v>
      </c>
      <c r="R49">
        <f t="shared" si="15"/>
        <v>0</v>
      </c>
      <c r="S49">
        <f t="shared" si="16"/>
        <v>0</v>
      </c>
      <c r="T49">
        <f t="shared" si="17"/>
        <v>0</v>
      </c>
      <c r="U49">
        <f t="shared" si="18"/>
        <v>0</v>
      </c>
      <c r="V49">
        <f t="shared" si="19"/>
        <v>0</v>
      </c>
      <c r="W49">
        <f t="shared" si="20"/>
        <v>0</v>
      </c>
      <c r="X49">
        <f t="shared" si="21"/>
        <v>0</v>
      </c>
      <c r="Y49">
        <f t="shared" si="22"/>
        <v>0</v>
      </c>
      <c r="Z49">
        <f t="shared" si="23"/>
        <v>0</v>
      </c>
      <c r="AA49">
        <f t="shared" si="24"/>
        <v>0</v>
      </c>
      <c r="AB49">
        <f t="shared" si="25"/>
        <v>0</v>
      </c>
      <c r="AC49">
        <f t="shared" si="26"/>
        <v>0</v>
      </c>
      <c r="AD49">
        <f t="shared" si="27"/>
        <v>0</v>
      </c>
      <c r="AE49">
        <f t="shared" si="28"/>
        <v>0</v>
      </c>
      <c r="AF49">
        <f t="shared" si="29"/>
        <v>0</v>
      </c>
      <c r="AG49">
        <f t="shared" si="30"/>
        <v>0</v>
      </c>
      <c r="AH49">
        <f t="shared" si="31"/>
        <v>0</v>
      </c>
      <c r="AI49">
        <f t="shared" si="32"/>
        <v>0</v>
      </c>
      <c r="AJ49">
        <f t="shared" si="33"/>
        <v>0</v>
      </c>
      <c r="AK49">
        <f t="shared" si="34"/>
        <v>0</v>
      </c>
      <c r="AL49">
        <f t="shared" si="35"/>
        <v>0</v>
      </c>
      <c r="AM49">
        <f t="shared" si="36"/>
        <v>0</v>
      </c>
      <c r="AN49">
        <f t="shared" si="37"/>
        <v>0</v>
      </c>
      <c r="AO49">
        <f t="shared" si="38"/>
        <v>0</v>
      </c>
      <c r="AP49">
        <f t="shared" si="39"/>
        <v>0</v>
      </c>
      <c r="AQ49">
        <f t="shared" si="40"/>
        <v>0</v>
      </c>
      <c r="AR49">
        <f t="shared" si="41"/>
        <v>0</v>
      </c>
      <c r="AS49">
        <f t="shared" si="42"/>
        <v>0</v>
      </c>
      <c r="AT49">
        <f t="shared" si="43"/>
        <v>0</v>
      </c>
      <c r="AU49">
        <f t="shared" si="44"/>
        <v>0</v>
      </c>
      <c r="AV49">
        <f t="shared" si="45"/>
        <v>0</v>
      </c>
      <c r="AW49">
        <f t="shared" si="0"/>
        <v>0</v>
      </c>
      <c r="AX49">
        <f t="shared" si="46"/>
        <v>0</v>
      </c>
      <c r="AY49">
        <f t="shared" si="47"/>
        <v>0</v>
      </c>
    </row>
    <row r="50" spans="1:51" x14ac:dyDescent="0.35">
      <c r="A50">
        <v>44</v>
      </c>
      <c r="C50">
        <f>MAX(0,Calc!$C$7-SUM(D50:R50))</f>
        <v>750</v>
      </c>
      <c r="D50">
        <f t="shared" si="1"/>
        <v>0</v>
      </c>
      <c r="E50">
        <f t="shared" si="2"/>
        <v>0</v>
      </c>
      <c r="F50">
        <f t="shared" si="3"/>
        <v>0</v>
      </c>
      <c r="G50">
        <f t="shared" si="4"/>
        <v>0</v>
      </c>
      <c r="H50">
        <f t="shared" si="5"/>
        <v>0</v>
      </c>
      <c r="I50">
        <f t="shared" si="6"/>
        <v>0</v>
      </c>
      <c r="J50">
        <f t="shared" si="7"/>
        <v>0</v>
      </c>
      <c r="K50">
        <f t="shared" si="8"/>
        <v>0</v>
      </c>
      <c r="L50">
        <f t="shared" si="9"/>
        <v>0</v>
      </c>
      <c r="M50">
        <f t="shared" si="10"/>
        <v>0</v>
      </c>
      <c r="N50">
        <f t="shared" si="11"/>
        <v>0</v>
      </c>
      <c r="O50">
        <f t="shared" si="12"/>
        <v>0</v>
      </c>
      <c r="P50">
        <f t="shared" si="13"/>
        <v>0</v>
      </c>
      <c r="Q50">
        <f t="shared" si="14"/>
        <v>0</v>
      </c>
      <c r="R50">
        <f t="shared" si="15"/>
        <v>0</v>
      </c>
      <c r="S50">
        <f t="shared" si="16"/>
        <v>0</v>
      </c>
      <c r="T50">
        <f t="shared" si="17"/>
        <v>0</v>
      </c>
      <c r="U50">
        <f t="shared" si="18"/>
        <v>0</v>
      </c>
      <c r="V50">
        <f t="shared" si="19"/>
        <v>0</v>
      </c>
      <c r="W50">
        <f t="shared" si="20"/>
        <v>0</v>
      </c>
      <c r="X50">
        <f t="shared" si="21"/>
        <v>0</v>
      </c>
      <c r="Y50">
        <f t="shared" si="22"/>
        <v>0</v>
      </c>
      <c r="Z50">
        <f t="shared" si="23"/>
        <v>0</v>
      </c>
      <c r="AA50">
        <f t="shared" si="24"/>
        <v>0</v>
      </c>
      <c r="AB50">
        <f t="shared" si="25"/>
        <v>0</v>
      </c>
      <c r="AC50">
        <f t="shared" si="26"/>
        <v>0</v>
      </c>
      <c r="AD50">
        <f t="shared" si="27"/>
        <v>0</v>
      </c>
      <c r="AE50">
        <f t="shared" si="28"/>
        <v>0</v>
      </c>
      <c r="AF50">
        <f t="shared" si="29"/>
        <v>0</v>
      </c>
      <c r="AG50">
        <f t="shared" si="30"/>
        <v>0</v>
      </c>
      <c r="AH50">
        <f t="shared" si="31"/>
        <v>0</v>
      </c>
      <c r="AI50">
        <f t="shared" si="32"/>
        <v>0</v>
      </c>
      <c r="AJ50">
        <f t="shared" si="33"/>
        <v>0</v>
      </c>
      <c r="AK50">
        <f t="shared" si="34"/>
        <v>0</v>
      </c>
      <c r="AL50">
        <f t="shared" si="35"/>
        <v>0</v>
      </c>
      <c r="AM50">
        <f t="shared" si="36"/>
        <v>0</v>
      </c>
      <c r="AN50">
        <f t="shared" si="37"/>
        <v>0</v>
      </c>
      <c r="AO50">
        <f t="shared" si="38"/>
        <v>0</v>
      </c>
      <c r="AP50">
        <f t="shared" si="39"/>
        <v>0</v>
      </c>
      <c r="AQ50">
        <f t="shared" si="40"/>
        <v>0</v>
      </c>
      <c r="AR50">
        <f t="shared" si="41"/>
        <v>0</v>
      </c>
      <c r="AS50">
        <f t="shared" si="42"/>
        <v>0</v>
      </c>
      <c r="AT50">
        <f t="shared" si="43"/>
        <v>0</v>
      </c>
      <c r="AU50">
        <f t="shared" si="44"/>
        <v>0</v>
      </c>
      <c r="AV50">
        <f t="shared" si="45"/>
        <v>0</v>
      </c>
      <c r="AW50">
        <f t="shared" si="0"/>
        <v>0</v>
      </c>
      <c r="AX50">
        <f t="shared" si="46"/>
        <v>0</v>
      </c>
      <c r="AY50">
        <f t="shared" si="47"/>
        <v>0</v>
      </c>
    </row>
    <row r="51" spans="1:51" x14ac:dyDescent="0.35">
      <c r="A51">
        <v>45</v>
      </c>
      <c r="C51">
        <f>MAX(0,Calc!$C$7-SUM(D51:R51))</f>
        <v>750</v>
      </c>
      <c r="D51">
        <f t="shared" si="1"/>
        <v>0</v>
      </c>
      <c r="E51">
        <f t="shared" si="2"/>
        <v>0</v>
      </c>
      <c r="F51">
        <f t="shared" si="3"/>
        <v>0</v>
      </c>
      <c r="G51">
        <f t="shared" si="4"/>
        <v>0</v>
      </c>
      <c r="H51">
        <f t="shared" si="5"/>
        <v>0</v>
      </c>
      <c r="I51">
        <f t="shared" si="6"/>
        <v>0</v>
      </c>
      <c r="J51">
        <f t="shared" si="7"/>
        <v>0</v>
      </c>
      <c r="K51">
        <f t="shared" si="8"/>
        <v>0</v>
      </c>
      <c r="L51">
        <f t="shared" si="9"/>
        <v>0</v>
      </c>
      <c r="M51">
        <f t="shared" si="10"/>
        <v>0</v>
      </c>
      <c r="N51">
        <f t="shared" si="11"/>
        <v>0</v>
      </c>
      <c r="O51">
        <f t="shared" si="12"/>
        <v>0</v>
      </c>
      <c r="P51">
        <f t="shared" si="13"/>
        <v>0</v>
      </c>
      <c r="Q51">
        <f t="shared" si="14"/>
        <v>0</v>
      </c>
      <c r="R51">
        <f t="shared" si="15"/>
        <v>0</v>
      </c>
      <c r="S51">
        <f t="shared" si="16"/>
        <v>0</v>
      </c>
      <c r="T51">
        <f t="shared" si="17"/>
        <v>0</v>
      </c>
      <c r="U51">
        <f t="shared" si="18"/>
        <v>0</v>
      </c>
      <c r="V51">
        <f t="shared" si="19"/>
        <v>0</v>
      </c>
      <c r="W51">
        <f t="shared" si="20"/>
        <v>0</v>
      </c>
      <c r="X51">
        <f t="shared" si="21"/>
        <v>0</v>
      </c>
      <c r="Y51">
        <f t="shared" si="22"/>
        <v>0</v>
      </c>
      <c r="Z51">
        <f t="shared" si="23"/>
        <v>0</v>
      </c>
      <c r="AA51">
        <f t="shared" si="24"/>
        <v>0</v>
      </c>
      <c r="AB51">
        <f t="shared" si="25"/>
        <v>0</v>
      </c>
      <c r="AC51">
        <f t="shared" si="26"/>
        <v>0</v>
      </c>
      <c r="AD51">
        <f t="shared" si="27"/>
        <v>0</v>
      </c>
      <c r="AE51">
        <f t="shared" si="28"/>
        <v>0</v>
      </c>
      <c r="AF51">
        <f t="shared" si="29"/>
        <v>0</v>
      </c>
      <c r="AG51">
        <f t="shared" si="30"/>
        <v>0</v>
      </c>
      <c r="AH51">
        <f t="shared" si="31"/>
        <v>0</v>
      </c>
      <c r="AI51">
        <f t="shared" si="32"/>
        <v>0</v>
      </c>
      <c r="AJ51">
        <f t="shared" si="33"/>
        <v>0</v>
      </c>
      <c r="AK51">
        <f t="shared" si="34"/>
        <v>0</v>
      </c>
      <c r="AL51">
        <f t="shared" si="35"/>
        <v>0</v>
      </c>
      <c r="AM51">
        <f t="shared" si="36"/>
        <v>0</v>
      </c>
      <c r="AN51">
        <f t="shared" si="37"/>
        <v>0</v>
      </c>
      <c r="AO51">
        <f t="shared" si="38"/>
        <v>0</v>
      </c>
      <c r="AP51">
        <f t="shared" si="39"/>
        <v>0</v>
      </c>
      <c r="AQ51">
        <f t="shared" si="40"/>
        <v>0</v>
      </c>
      <c r="AR51">
        <f t="shared" si="41"/>
        <v>0</v>
      </c>
      <c r="AS51">
        <f t="shared" si="42"/>
        <v>0</v>
      </c>
      <c r="AT51">
        <f t="shared" si="43"/>
        <v>0</v>
      </c>
      <c r="AU51">
        <f t="shared" si="44"/>
        <v>0</v>
      </c>
      <c r="AV51">
        <f t="shared" si="45"/>
        <v>0</v>
      </c>
      <c r="AW51">
        <f t="shared" si="0"/>
        <v>0</v>
      </c>
      <c r="AX51">
        <f t="shared" si="46"/>
        <v>0</v>
      </c>
      <c r="AY51">
        <f t="shared" si="47"/>
        <v>0</v>
      </c>
    </row>
    <row r="52" spans="1:51" x14ac:dyDescent="0.35">
      <c r="A52">
        <v>46</v>
      </c>
      <c r="C52">
        <f>MAX(0,Calc!$C$7-SUM(D52:R52))</f>
        <v>750</v>
      </c>
      <c r="D52">
        <f t="shared" si="1"/>
        <v>0</v>
      </c>
      <c r="E52">
        <f t="shared" si="2"/>
        <v>0</v>
      </c>
      <c r="F52">
        <f t="shared" si="3"/>
        <v>0</v>
      </c>
      <c r="G52">
        <f t="shared" si="4"/>
        <v>0</v>
      </c>
      <c r="H52">
        <f t="shared" si="5"/>
        <v>0</v>
      </c>
      <c r="I52">
        <f t="shared" si="6"/>
        <v>0</v>
      </c>
      <c r="J52">
        <f t="shared" si="7"/>
        <v>0</v>
      </c>
      <c r="K52">
        <f t="shared" si="8"/>
        <v>0</v>
      </c>
      <c r="L52">
        <f t="shared" si="9"/>
        <v>0</v>
      </c>
      <c r="M52">
        <f t="shared" si="10"/>
        <v>0</v>
      </c>
      <c r="N52">
        <f t="shared" si="11"/>
        <v>0</v>
      </c>
      <c r="O52">
        <f t="shared" si="12"/>
        <v>0</v>
      </c>
      <c r="P52">
        <f t="shared" si="13"/>
        <v>0</v>
      </c>
      <c r="Q52">
        <f t="shared" si="14"/>
        <v>0</v>
      </c>
      <c r="R52">
        <f t="shared" si="15"/>
        <v>0</v>
      </c>
      <c r="S52">
        <f t="shared" si="16"/>
        <v>0</v>
      </c>
      <c r="T52">
        <f t="shared" si="17"/>
        <v>0</v>
      </c>
      <c r="U52">
        <f t="shared" si="18"/>
        <v>0</v>
      </c>
      <c r="V52">
        <f t="shared" si="19"/>
        <v>0</v>
      </c>
      <c r="W52">
        <f t="shared" si="20"/>
        <v>0</v>
      </c>
      <c r="X52">
        <f t="shared" si="21"/>
        <v>0</v>
      </c>
      <c r="Y52">
        <f t="shared" si="22"/>
        <v>0</v>
      </c>
      <c r="Z52">
        <f t="shared" si="23"/>
        <v>0</v>
      </c>
      <c r="AA52">
        <f t="shared" si="24"/>
        <v>0</v>
      </c>
      <c r="AB52">
        <f t="shared" si="25"/>
        <v>0</v>
      </c>
      <c r="AC52">
        <f t="shared" si="26"/>
        <v>0</v>
      </c>
      <c r="AD52">
        <f t="shared" si="27"/>
        <v>0</v>
      </c>
      <c r="AE52">
        <f t="shared" si="28"/>
        <v>0</v>
      </c>
      <c r="AF52">
        <f t="shared" si="29"/>
        <v>0</v>
      </c>
      <c r="AG52">
        <f t="shared" si="30"/>
        <v>0</v>
      </c>
      <c r="AH52">
        <f t="shared" si="31"/>
        <v>0</v>
      </c>
      <c r="AI52">
        <f t="shared" si="32"/>
        <v>0</v>
      </c>
      <c r="AJ52">
        <f t="shared" si="33"/>
        <v>0</v>
      </c>
      <c r="AK52">
        <f t="shared" si="34"/>
        <v>0</v>
      </c>
      <c r="AL52">
        <f t="shared" si="35"/>
        <v>0</v>
      </c>
      <c r="AM52">
        <f t="shared" si="36"/>
        <v>0</v>
      </c>
      <c r="AN52">
        <f t="shared" si="37"/>
        <v>0</v>
      </c>
      <c r="AO52">
        <f t="shared" si="38"/>
        <v>0</v>
      </c>
      <c r="AP52">
        <f t="shared" si="39"/>
        <v>0</v>
      </c>
      <c r="AQ52">
        <f t="shared" si="40"/>
        <v>0</v>
      </c>
      <c r="AR52">
        <f t="shared" si="41"/>
        <v>0</v>
      </c>
      <c r="AS52">
        <f t="shared" si="42"/>
        <v>0</v>
      </c>
      <c r="AT52">
        <f t="shared" si="43"/>
        <v>0</v>
      </c>
      <c r="AU52">
        <f t="shared" si="44"/>
        <v>0</v>
      </c>
      <c r="AV52">
        <f t="shared" si="45"/>
        <v>0</v>
      </c>
      <c r="AW52">
        <f t="shared" si="0"/>
        <v>0</v>
      </c>
      <c r="AX52">
        <f t="shared" si="46"/>
        <v>0</v>
      </c>
      <c r="AY52">
        <f t="shared" si="47"/>
        <v>0</v>
      </c>
    </row>
    <row r="53" spans="1:51" x14ac:dyDescent="0.35">
      <c r="A53">
        <v>47</v>
      </c>
      <c r="C53">
        <f>MAX(0,Calc!$C$7-SUM(D53:R53))</f>
        <v>750</v>
      </c>
      <c r="D53">
        <f t="shared" si="1"/>
        <v>0</v>
      </c>
      <c r="E53">
        <f t="shared" si="2"/>
        <v>0</v>
      </c>
      <c r="F53">
        <f t="shared" si="3"/>
        <v>0</v>
      </c>
      <c r="G53">
        <f t="shared" si="4"/>
        <v>0</v>
      </c>
      <c r="H53">
        <f t="shared" si="5"/>
        <v>0</v>
      </c>
      <c r="I53">
        <f t="shared" si="6"/>
        <v>0</v>
      </c>
      <c r="J53">
        <f t="shared" si="7"/>
        <v>0</v>
      </c>
      <c r="K53">
        <f t="shared" si="8"/>
        <v>0</v>
      </c>
      <c r="L53">
        <f t="shared" si="9"/>
        <v>0</v>
      </c>
      <c r="M53">
        <f t="shared" si="10"/>
        <v>0</v>
      </c>
      <c r="N53">
        <f t="shared" si="11"/>
        <v>0</v>
      </c>
      <c r="O53">
        <f t="shared" si="12"/>
        <v>0</v>
      </c>
      <c r="P53">
        <f t="shared" si="13"/>
        <v>0</v>
      </c>
      <c r="Q53">
        <f t="shared" si="14"/>
        <v>0</v>
      </c>
      <c r="R53">
        <f t="shared" si="15"/>
        <v>0</v>
      </c>
      <c r="S53">
        <f t="shared" si="16"/>
        <v>0</v>
      </c>
      <c r="T53">
        <f t="shared" si="17"/>
        <v>0</v>
      </c>
      <c r="U53">
        <f t="shared" si="18"/>
        <v>0</v>
      </c>
      <c r="V53">
        <f t="shared" si="19"/>
        <v>0</v>
      </c>
      <c r="W53">
        <f t="shared" si="20"/>
        <v>0</v>
      </c>
      <c r="X53">
        <f t="shared" si="21"/>
        <v>0</v>
      </c>
      <c r="Y53">
        <f t="shared" si="22"/>
        <v>0</v>
      </c>
      <c r="Z53">
        <f t="shared" si="23"/>
        <v>0</v>
      </c>
      <c r="AA53">
        <f t="shared" si="24"/>
        <v>0</v>
      </c>
      <c r="AB53">
        <f t="shared" si="25"/>
        <v>0</v>
      </c>
      <c r="AC53">
        <f t="shared" si="26"/>
        <v>0</v>
      </c>
      <c r="AD53">
        <f t="shared" si="27"/>
        <v>0</v>
      </c>
      <c r="AE53">
        <f t="shared" si="28"/>
        <v>0</v>
      </c>
      <c r="AF53">
        <f t="shared" si="29"/>
        <v>0</v>
      </c>
      <c r="AG53">
        <f t="shared" si="30"/>
        <v>0</v>
      </c>
      <c r="AH53">
        <f t="shared" si="31"/>
        <v>0</v>
      </c>
      <c r="AI53">
        <f t="shared" si="32"/>
        <v>0</v>
      </c>
      <c r="AJ53">
        <f t="shared" si="33"/>
        <v>0</v>
      </c>
      <c r="AK53">
        <f t="shared" si="34"/>
        <v>0</v>
      </c>
      <c r="AL53">
        <f t="shared" si="35"/>
        <v>0</v>
      </c>
      <c r="AM53">
        <f t="shared" si="36"/>
        <v>0</v>
      </c>
      <c r="AN53">
        <f t="shared" si="37"/>
        <v>0</v>
      </c>
      <c r="AO53">
        <f t="shared" si="38"/>
        <v>0</v>
      </c>
      <c r="AP53">
        <f t="shared" si="39"/>
        <v>0</v>
      </c>
      <c r="AQ53">
        <f t="shared" si="40"/>
        <v>0</v>
      </c>
      <c r="AR53">
        <f t="shared" si="41"/>
        <v>0</v>
      </c>
      <c r="AS53">
        <f t="shared" si="42"/>
        <v>0</v>
      </c>
      <c r="AT53">
        <f t="shared" si="43"/>
        <v>0</v>
      </c>
      <c r="AU53">
        <f t="shared" si="44"/>
        <v>0</v>
      </c>
      <c r="AV53">
        <f t="shared" si="45"/>
        <v>0</v>
      </c>
      <c r="AW53">
        <f t="shared" si="0"/>
        <v>0</v>
      </c>
      <c r="AX53">
        <f t="shared" si="46"/>
        <v>0</v>
      </c>
      <c r="AY53">
        <f t="shared" si="47"/>
        <v>0</v>
      </c>
    </row>
    <row r="54" spans="1:51" x14ac:dyDescent="0.35">
      <c r="A54">
        <v>48</v>
      </c>
      <c r="C54">
        <f>MAX(0,Calc!$C$7-SUM(D54:R54))</f>
        <v>750</v>
      </c>
      <c r="D54">
        <f t="shared" si="1"/>
        <v>0</v>
      </c>
      <c r="E54">
        <f t="shared" si="2"/>
        <v>0</v>
      </c>
      <c r="F54">
        <f t="shared" si="3"/>
        <v>0</v>
      </c>
      <c r="G54">
        <f t="shared" si="4"/>
        <v>0</v>
      </c>
      <c r="H54">
        <f t="shared" si="5"/>
        <v>0</v>
      </c>
      <c r="I54">
        <f t="shared" si="6"/>
        <v>0</v>
      </c>
      <c r="J54">
        <f t="shared" si="7"/>
        <v>0</v>
      </c>
      <c r="K54">
        <f t="shared" si="8"/>
        <v>0</v>
      </c>
      <c r="L54">
        <f t="shared" si="9"/>
        <v>0</v>
      </c>
      <c r="M54">
        <f t="shared" si="10"/>
        <v>0</v>
      </c>
      <c r="N54">
        <f t="shared" si="11"/>
        <v>0</v>
      </c>
      <c r="O54">
        <f t="shared" si="12"/>
        <v>0</v>
      </c>
      <c r="P54">
        <f t="shared" si="13"/>
        <v>0</v>
      </c>
      <c r="Q54">
        <f t="shared" si="14"/>
        <v>0</v>
      </c>
      <c r="R54">
        <f t="shared" si="15"/>
        <v>0</v>
      </c>
      <c r="S54">
        <f t="shared" si="16"/>
        <v>0</v>
      </c>
      <c r="T54">
        <f t="shared" si="17"/>
        <v>0</v>
      </c>
      <c r="U54">
        <f t="shared" si="18"/>
        <v>0</v>
      </c>
      <c r="V54">
        <f t="shared" si="19"/>
        <v>0</v>
      </c>
      <c r="W54">
        <f t="shared" si="20"/>
        <v>0</v>
      </c>
      <c r="X54">
        <f t="shared" si="21"/>
        <v>0</v>
      </c>
      <c r="Y54">
        <f t="shared" si="22"/>
        <v>0</v>
      </c>
      <c r="Z54">
        <f t="shared" si="23"/>
        <v>0</v>
      </c>
      <c r="AA54">
        <f t="shared" si="24"/>
        <v>0</v>
      </c>
      <c r="AB54">
        <f t="shared" si="25"/>
        <v>0</v>
      </c>
      <c r="AC54">
        <f t="shared" si="26"/>
        <v>0</v>
      </c>
      <c r="AD54">
        <f t="shared" si="27"/>
        <v>0</v>
      </c>
      <c r="AE54">
        <f t="shared" si="28"/>
        <v>0</v>
      </c>
      <c r="AF54">
        <f t="shared" si="29"/>
        <v>0</v>
      </c>
      <c r="AG54">
        <f t="shared" si="30"/>
        <v>0</v>
      </c>
      <c r="AH54">
        <f t="shared" si="31"/>
        <v>0</v>
      </c>
      <c r="AI54">
        <f t="shared" si="32"/>
        <v>0</v>
      </c>
      <c r="AJ54">
        <f t="shared" si="33"/>
        <v>0</v>
      </c>
      <c r="AK54">
        <f t="shared" si="34"/>
        <v>0</v>
      </c>
      <c r="AL54">
        <f t="shared" si="35"/>
        <v>0</v>
      </c>
      <c r="AM54">
        <f t="shared" si="36"/>
        <v>0</v>
      </c>
      <c r="AN54">
        <f t="shared" si="37"/>
        <v>0</v>
      </c>
      <c r="AO54">
        <f t="shared" si="38"/>
        <v>0</v>
      </c>
      <c r="AP54">
        <f t="shared" si="39"/>
        <v>0</v>
      </c>
      <c r="AQ54">
        <f t="shared" si="40"/>
        <v>0</v>
      </c>
      <c r="AR54">
        <f t="shared" si="41"/>
        <v>0</v>
      </c>
      <c r="AS54">
        <f t="shared" si="42"/>
        <v>0</v>
      </c>
      <c r="AT54">
        <f t="shared" si="43"/>
        <v>0</v>
      </c>
      <c r="AU54">
        <f t="shared" si="44"/>
        <v>0</v>
      </c>
      <c r="AV54">
        <f t="shared" si="45"/>
        <v>0</v>
      </c>
      <c r="AW54">
        <f t="shared" si="0"/>
        <v>0</v>
      </c>
      <c r="AX54">
        <f t="shared" si="46"/>
        <v>0</v>
      </c>
      <c r="AY54">
        <f t="shared" si="47"/>
        <v>0</v>
      </c>
    </row>
    <row r="55" spans="1:51" x14ac:dyDescent="0.35">
      <c r="A55">
        <v>49</v>
      </c>
      <c r="C55">
        <f>MAX(0,Calc!$C$7-SUM(D55:R55))</f>
        <v>750</v>
      </c>
      <c r="D55">
        <f t="shared" si="1"/>
        <v>0</v>
      </c>
      <c r="E55">
        <f t="shared" si="2"/>
        <v>0</v>
      </c>
      <c r="F55">
        <f t="shared" si="3"/>
        <v>0</v>
      </c>
      <c r="G55">
        <f t="shared" si="4"/>
        <v>0</v>
      </c>
      <c r="H55">
        <f t="shared" si="5"/>
        <v>0</v>
      </c>
      <c r="I55">
        <f t="shared" si="6"/>
        <v>0</v>
      </c>
      <c r="J55">
        <f t="shared" si="7"/>
        <v>0</v>
      </c>
      <c r="K55">
        <f t="shared" si="8"/>
        <v>0</v>
      </c>
      <c r="L55">
        <f t="shared" si="9"/>
        <v>0</v>
      </c>
      <c r="M55">
        <f t="shared" si="10"/>
        <v>0</v>
      </c>
      <c r="N55">
        <f t="shared" si="11"/>
        <v>0</v>
      </c>
      <c r="O55">
        <f t="shared" si="12"/>
        <v>0</v>
      </c>
      <c r="P55">
        <f t="shared" si="13"/>
        <v>0</v>
      </c>
      <c r="Q55">
        <f t="shared" si="14"/>
        <v>0</v>
      </c>
      <c r="R55">
        <f t="shared" si="15"/>
        <v>0</v>
      </c>
      <c r="S55">
        <f t="shared" si="16"/>
        <v>0</v>
      </c>
      <c r="T55">
        <f t="shared" si="17"/>
        <v>0</v>
      </c>
      <c r="U55">
        <f t="shared" si="18"/>
        <v>0</v>
      </c>
      <c r="V55">
        <f t="shared" si="19"/>
        <v>0</v>
      </c>
      <c r="W55">
        <f t="shared" si="20"/>
        <v>0</v>
      </c>
      <c r="X55">
        <f t="shared" si="21"/>
        <v>0</v>
      </c>
      <c r="Y55">
        <f t="shared" si="22"/>
        <v>0</v>
      </c>
      <c r="Z55">
        <f t="shared" si="23"/>
        <v>0</v>
      </c>
      <c r="AA55">
        <f t="shared" si="24"/>
        <v>0</v>
      </c>
      <c r="AB55">
        <f t="shared" si="25"/>
        <v>0</v>
      </c>
      <c r="AC55">
        <f t="shared" si="26"/>
        <v>0</v>
      </c>
      <c r="AD55">
        <f t="shared" si="27"/>
        <v>0</v>
      </c>
      <c r="AE55">
        <f t="shared" si="28"/>
        <v>0</v>
      </c>
      <c r="AF55">
        <f t="shared" si="29"/>
        <v>0</v>
      </c>
      <c r="AG55">
        <f t="shared" si="30"/>
        <v>0</v>
      </c>
      <c r="AH55">
        <f t="shared" si="31"/>
        <v>0</v>
      </c>
      <c r="AI55">
        <f t="shared" si="32"/>
        <v>0</v>
      </c>
      <c r="AJ55">
        <f t="shared" si="33"/>
        <v>0</v>
      </c>
      <c r="AK55">
        <f t="shared" si="34"/>
        <v>0</v>
      </c>
      <c r="AL55">
        <f t="shared" si="35"/>
        <v>0</v>
      </c>
      <c r="AM55">
        <f t="shared" si="36"/>
        <v>0</v>
      </c>
      <c r="AN55">
        <f t="shared" si="37"/>
        <v>0</v>
      </c>
      <c r="AO55">
        <f t="shared" si="38"/>
        <v>0</v>
      </c>
      <c r="AP55">
        <f t="shared" si="39"/>
        <v>0</v>
      </c>
      <c r="AQ55">
        <f t="shared" si="40"/>
        <v>0</v>
      </c>
      <c r="AR55">
        <f t="shared" si="41"/>
        <v>0</v>
      </c>
      <c r="AS55">
        <f t="shared" si="42"/>
        <v>0</v>
      </c>
      <c r="AT55">
        <f t="shared" si="43"/>
        <v>0</v>
      </c>
      <c r="AU55">
        <f t="shared" si="44"/>
        <v>0</v>
      </c>
      <c r="AV55">
        <f t="shared" si="45"/>
        <v>0</v>
      </c>
      <c r="AW55">
        <f t="shared" si="0"/>
        <v>0</v>
      </c>
      <c r="AX55">
        <f t="shared" si="46"/>
        <v>0</v>
      </c>
      <c r="AY55">
        <f t="shared" si="47"/>
        <v>0</v>
      </c>
    </row>
    <row r="56" spans="1:51" x14ac:dyDescent="0.35">
      <c r="A56">
        <v>50</v>
      </c>
      <c r="C56">
        <f>MAX(0,Calc!$C$7-SUM(D56:R56))</f>
        <v>750</v>
      </c>
      <c r="D56">
        <f t="shared" si="1"/>
        <v>0</v>
      </c>
      <c r="E56">
        <f t="shared" si="2"/>
        <v>0</v>
      </c>
      <c r="F56">
        <f t="shared" si="3"/>
        <v>0</v>
      </c>
      <c r="G56">
        <f t="shared" si="4"/>
        <v>0</v>
      </c>
      <c r="H56">
        <f t="shared" si="5"/>
        <v>0</v>
      </c>
      <c r="I56">
        <f t="shared" si="6"/>
        <v>0</v>
      </c>
      <c r="J56">
        <f t="shared" si="7"/>
        <v>0</v>
      </c>
      <c r="K56">
        <f t="shared" si="8"/>
        <v>0</v>
      </c>
      <c r="L56">
        <f t="shared" si="9"/>
        <v>0</v>
      </c>
      <c r="M56">
        <f t="shared" si="10"/>
        <v>0</v>
      </c>
      <c r="N56">
        <f t="shared" si="11"/>
        <v>0</v>
      </c>
      <c r="O56">
        <f t="shared" si="12"/>
        <v>0</v>
      </c>
      <c r="P56">
        <f t="shared" si="13"/>
        <v>0</v>
      </c>
      <c r="Q56">
        <f t="shared" si="14"/>
        <v>0</v>
      </c>
      <c r="R56">
        <f t="shared" si="15"/>
        <v>0</v>
      </c>
      <c r="S56">
        <f t="shared" si="16"/>
        <v>0</v>
      </c>
      <c r="T56">
        <f t="shared" si="17"/>
        <v>0</v>
      </c>
      <c r="U56">
        <f t="shared" si="18"/>
        <v>0</v>
      </c>
      <c r="V56">
        <f t="shared" si="19"/>
        <v>0</v>
      </c>
      <c r="W56">
        <f t="shared" si="20"/>
        <v>0</v>
      </c>
      <c r="X56">
        <f t="shared" si="21"/>
        <v>0</v>
      </c>
      <c r="Y56">
        <f t="shared" si="22"/>
        <v>0</v>
      </c>
      <c r="Z56">
        <f t="shared" si="23"/>
        <v>0</v>
      </c>
      <c r="AA56">
        <f t="shared" si="24"/>
        <v>0</v>
      </c>
      <c r="AB56">
        <f t="shared" si="25"/>
        <v>0</v>
      </c>
      <c r="AC56">
        <f t="shared" si="26"/>
        <v>0</v>
      </c>
      <c r="AD56">
        <f t="shared" si="27"/>
        <v>0</v>
      </c>
      <c r="AE56">
        <f t="shared" si="28"/>
        <v>0</v>
      </c>
      <c r="AF56">
        <f t="shared" si="29"/>
        <v>0</v>
      </c>
      <c r="AG56">
        <f t="shared" si="30"/>
        <v>0</v>
      </c>
      <c r="AH56">
        <f t="shared" si="31"/>
        <v>0</v>
      </c>
      <c r="AI56">
        <f t="shared" si="32"/>
        <v>0</v>
      </c>
      <c r="AJ56">
        <f t="shared" si="33"/>
        <v>0</v>
      </c>
      <c r="AK56">
        <f t="shared" si="34"/>
        <v>0</v>
      </c>
      <c r="AL56">
        <f t="shared" si="35"/>
        <v>0</v>
      </c>
      <c r="AM56">
        <f t="shared" si="36"/>
        <v>0</v>
      </c>
      <c r="AN56">
        <f t="shared" si="37"/>
        <v>0</v>
      </c>
      <c r="AO56">
        <f t="shared" si="38"/>
        <v>0</v>
      </c>
      <c r="AP56">
        <f t="shared" si="39"/>
        <v>0</v>
      </c>
      <c r="AQ56">
        <f t="shared" si="40"/>
        <v>0</v>
      </c>
      <c r="AR56">
        <f t="shared" si="41"/>
        <v>0</v>
      </c>
      <c r="AS56">
        <f t="shared" si="42"/>
        <v>0</v>
      </c>
      <c r="AT56">
        <f t="shared" si="43"/>
        <v>0</v>
      </c>
      <c r="AU56">
        <f t="shared" si="44"/>
        <v>0</v>
      </c>
      <c r="AV56">
        <f t="shared" si="45"/>
        <v>0</v>
      </c>
      <c r="AW56">
        <f t="shared" si="0"/>
        <v>0</v>
      </c>
      <c r="AX56">
        <f t="shared" si="46"/>
        <v>0</v>
      </c>
      <c r="AY56">
        <f t="shared" si="47"/>
        <v>0</v>
      </c>
    </row>
    <row r="57" spans="1:51" x14ac:dyDescent="0.35">
      <c r="A57">
        <v>51</v>
      </c>
      <c r="C57">
        <f>MAX(0,Calc!$C$7-SUM(D57:R57))</f>
        <v>750</v>
      </c>
      <c r="D57">
        <f t="shared" si="1"/>
        <v>0</v>
      </c>
      <c r="E57">
        <f t="shared" si="2"/>
        <v>0</v>
      </c>
      <c r="F57">
        <f t="shared" si="3"/>
        <v>0</v>
      </c>
      <c r="G57">
        <f t="shared" si="4"/>
        <v>0</v>
      </c>
      <c r="H57">
        <f t="shared" si="5"/>
        <v>0</v>
      </c>
      <c r="I57">
        <f t="shared" si="6"/>
        <v>0</v>
      </c>
      <c r="J57">
        <f t="shared" si="7"/>
        <v>0</v>
      </c>
      <c r="K57">
        <f t="shared" si="8"/>
        <v>0</v>
      </c>
      <c r="L57">
        <f t="shared" si="9"/>
        <v>0</v>
      </c>
      <c r="M57">
        <f t="shared" si="10"/>
        <v>0</v>
      </c>
      <c r="N57">
        <f t="shared" si="11"/>
        <v>0</v>
      </c>
      <c r="O57">
        <f t="shared" si="12"/>
        <v>0</v>
      </c>
      <c r="P57">
        <f t="shared" si="13"/>
        <v>0</v>
      </c>
      <c r="Q57">
        <f t="shared" si="14"/>
        <v>0</v>
      </c>
      <c r="R57">
        <f t="shared" si="15"/>
        <v>0</v>
      </c>
      <c r="S57">
        <f t="shared" si="16"/>
        <v>0</v>
      </c>
      <c r="T57">
        <f t="shared" si="17"/>
        <v>0</v>
      </c>
      <c r="U57">
        <f t="shared" si="18"/>
        <v>0</v>
      </c>
      <c r="V57">
        <f t="shared" si="19"/>
        <v>0</v>
      </c>
      <c r="W57">
        <f t="shared" si="20"/>
        <v>0</v>
      </c>
      <c r="X57">
        <f t="shared" si="21"/>
        <v>0</v>
      </c>
      <c r="Y57">
        <f t="shared" si="22"/>
        <v>0</v>
      </c>
      <c r="Z57">
        <f t="shared" si="23"/>
        <v>0</v>
      </c>
      <c r="AA57">
        <f t="shared" si="24"/>
        <v>0</v>
      </c>
      <c r="AB57">
        <f t="shared" si="25"/>
        <v>0</v>
      </c>
      <c r="AC57">
        <f t="shared" si="26"/>
        <v>0</v>
      </c>
      <c r="AD57">
        <f t="shared" si="27"/>
        <v>0</v>
      </c>
      <c r="AE57">
        <f t="shared" si="28"/>
        <v>0</v>
      </c>
      <c r="AF57">
        <f t="shared" si="29"/>
        <v>0</v>
      </c>
      <c r="AG57">
        <f t="shared" si="30"/>
        <v>0</v>
      </c>
      <c r="AH57">
        <f t="shared" si="31"/>
        <v>0</v>
      </c>
      <c r="AI57">
        <f t="shared" si="32"/>
        <v>0</v>
      </c>
      <c r="AJ57">
        <f t="shared" si="33"/>
        <v>0</v>
      </c>
      <c r="AK57">
        <f t="shared" si="34"/>
        <v>0</v>
      </c>
      <c r="AL57">
        <f t="shared" si="35"/>
        <v>0</v>
      </c>
      <c r="AM57">
        <f t="shared" si="36"/>
        <v>0</v>
      </c>
      <c r="AN57">
        <f t="shared" si="37"/>
        <v>0</v>
      </c>
      <c r="AO57">
        <f t="shared" si="38"/>
        <v>0</v>
      </c>
      <c r="AP57">
        <f t="shared" si="39"/>
        <v>0</v>
      </c>
      <c r="AQ57">
        <f t="shared" si="40"/>
        <v>0</v>
      </c>
      <c r="AR57">
        <f t="shared" si="41"/>
        <v>0</v>
      </c>
      <c r="AS57">
        <f t="shared" si="42"/>
        <v>0</v>
      </c>
      <c r="AT57">
        <f t="shared" si="43"/>
        <v>0</v>
      </c>
      <c r="AU57">
        <f t="shared" si="44"/>
        <v>0</v>
      </c>
      <c r="AV57">
        <f t="shared" si="45"/>
        <v>0</v>
      </c>
      <c r="AW57">
        <f t="shared" si="0"/>
        <v>0</v>
      </c>
      <c r="AX57">
        <f t="shared" si="46"/>
        <v>0</v>
      </c>
      <c r="AY57">
        <f t="shared" si="47"/>
        <v>0</v>
      </c>
    </row>
    <row r="58" spans="1:51" x14ac:dyDescent="0.35">
      <c r="A58">
        <v>52</v>
      </c>
      <c r="C58">
        <f>MAX(0,Calc!$C$7-SUM(D58:R58))</f>
        <v>750</v>
      </c>
      <c r="D58">
        <f t="shared" si="1"/>
        <v>0</v>
      </c>
      <c r="E58">
        <f t="shared" si="2"/>
        <v>0</v>
      </c>
      <c r="F58">
        <f t="shared" si="3"/>
        <v>0</v>
      </c>
      <c r="G58">
        <f t="shared" si="4"/>
        <v>0</v>
      </c>
      <c r="H58">
        <f t="shared" si="5"/>
        <v>0</v>
      </c>
      <c r="I58">
        <f t="shared" si="6"/>
        <v>0</v>
      </c>
      <c r="J58">
        <f t="shared" si="7"/>
        <v>0</v>
      </c>
      <c r="K58">
        <f t="shared" si="8"/>
        <v>0</v>
      </c>
      <c r="L58">
        <f t="shared" si="9"/>
        <v>0</v>
      </c>
      <c r="M58">
        <f t="shared" si="10"/>
        <v>0</v>
      </c>
      <c r="N58">
        <f t="shared" si="11"/>
        <v>0</v>
      </c>
      <c r="O58">
        <f t="shared" si="12"/>
        <v>0</v>
      </c>
      <c r="P58">
        <f t="shared" si="13"/>
        <v>0</v>
      </c>
      <c r="Q58">
        <f t="shared" si="14"/>
        <v>0</v>
      </c>
      <c r="R58">
        <f t="shared" si="15"/>
        <v>0</v>
      </c>
      <c r="S58">
        <f t="shared" si="16"/>
        <v>0</v>
      </c>
      <c r="T58">
        <f t="shared" si="17"/>
        <v>0</v>
      </c>
      <c r="U58">
        <f t="shared" si="18"/>
        <v>0</v>
      </c>
      <c r="V58">
        <f t="shared" si="19"/>
        <v>0</v>
      </c>
      <c r="W58">
        <f t="shared" si="20"/>
        <v>0</v>
      </c>
      <c r="X58">
        <f t="shared" si="21"/>
        <v>0</v>
      </c>
      <c r="Y58">
        <f t="shared" si="22"/>
        <v>0</v>
      </c>
      <c r="Z58">
        <f t="shared" si="23"/>
        <v>0</v>
      </c>
      <c r="AA58">
        <f t="shared" si="24"/>
        <v>0</v>
      </c>
      <c r="AB58">
        <f t="shared" si="25"/>
        <v>0</v>
      </c>
      <c r="AC58">
        <f t="shared" si="26"/>
        <v>0</v>
      </c>
      <c r="AD58">
        <f t="shared" si="27"/>
        <v>0</v>
      </c>
      <c r="AE58">
        <f t="shared" si="28"/>
        <v>0</v>
      </c>
      <c r="AF58">
        <f t="shared" si="29"/>
        <v>0</v>
      </c>
      <c r="AG58">
        <f t="shared" si="30"/>
        <v>0</v>
      </c>
      <c r="AH58">
        <f t="shared" si="31"/>
        <v>0</v>
      </c>
      <c r="AI58">
        <f t="shared" si="32"/>
        <v>0</v>
      </c>
      <c r="AJ58">
        <f t="shared" si="33"/>
        <v>0</v>
      </c>
      <c r="AK58">
        <f t="shared" si="34"/>
        <v>0</v>
      </c>
      <c r="AL58">
        <f t="shared" si="35"/>
        <v>0</v>
      </c>
      <c r="AM58">
        <f t="shared" si="36"/>
        <v>0</v>
      </c>
      <c r="AN58">
        <f t="shared" si="37"/>
        <v>0</v>
      </c>
      <c r="AO58">
        <f t="shared" si="38"/>
        <v>0</v>
      </c>
      <c r="AP58">
        <f t="shared" si="39"/>
        <v>0</v>
      </c>
      <c r="AQ58">
        <f t="shared" si="40"/>
        <v>0</v>
      </c>
      <c r="AR58">
        <f t="shared" si="41"/>
        <v>0</v>
      </c>
      <c r="AS58">
        <f t="shared" si="42"/>
        <v>0</v>
      </c>
      <c r="AT58">
        <f t="shared" si="43"/>
        <v>0</v>
      </c>
      <c r="AU58">
        <f t="shared" si="44"/>
        <v>0</v>
      </c>
      <c r="AV58">
        <f t="shared" si="45"/>
        <v>0</v>
      </c>
      <c r="AW58">
        <f t="shared" si="0"/>
        <v>0</v>
      </c>
      <c r="AX58">
        <f t="shared" si="46"/>
        <v>0</v>
      </c>
      <c r="AY58">
        <f t="shared" si="47"/>
        <v>0</v>
      </c>
    </row>
    <row r="59" spans="1:51" x14ac:dyDescent="0.35">
      <c r="A59">
        <v>53</v>
      </c>
      <c r="C59">
        <f>MAX(0,Calc!$C$7-SUM(D59:R59))</f>
        <v>750</v>
      </c>
      <c r="D59">
        <f t="shared" si="1"/>
        <v>0</v>
      </c>
      <c r="E59">
        <f t="shared" si="2"/>
        <v>0</v>
      </c>
      <c r="F59">
        <f t="shared" si="3"/>
        <v>0</v>
      </c>
      <c r="G59">
        <f t="shared" si="4"/>
        <v>0</v>
      </c>
      <c r="H59">
        <f t="shared" si="5"/>
        <v>0</v>
      </c>
      <c r="I59">
        <f t="shared" si="6"/>
        <v>0</v>
      </c>
      <c r="J59">
        <f t="shared" si="7"/>
        <v>0</v>
      </c>
      <c r="K59">
        <f t="shared" si="8"/>
        <v>0</v>
      </c>
      <c r="L59">
        <f t="shared" si="9"/>
        <v>0</v>
      </c>
      <c r="M59">
        <f t="shared" si="10"/>
        <v>0</v>
      </c>
      <c r="N59">
        <f t="shared" si="11"/>
        <v>0</v>
      </c>
      <c r="O59">
        <f t="shared" si="12"/>
        <v>0</v>
      </c>
      <c r="P59">
        <f t="shared" si="13"/>
        <v>0</v>
      </c>
      <c r="Q59">
        <f t="shared" si="14"/>
        <v>0</v>
      </c>
      <c r="R59">
        <f t="shared" si="15"/>
        <v>0</v>
      </c>
      <c r="S59">
        <f t="shared" si="16"/>
        <v>0</v>
      </c>
      <c r="T59">
        <f t="shared" si="17"/>
        <v>0</v>
      </c>
      <c r="U59">
        <f t="shared" si="18"/>
        <v>0</v>
      </c>
      <c r="V59">
        <f t="shared" si="19"/>
        <v>0</v>
      </c>
      <c r="W59">
        <f t="shared" si="20"/>
        <v>0</v>
      </c>
      <c r="X59">
        <f t="shared" si="21"/>
        <v>0</v>
      </c>
      <c r="Y59">
        <f t="shared" si="22"/>
        <v>0</v>
      </c>
      <c r="Z59">
        <f t="shared" si="23"/>
        <v>0</v>
      </c>
      <c r="AA59">
        <f t="shared" si="24"/>
        <v>0</v>
      </c>
      <c r="AB59">
        <f t="shared" si="25"/>
        <v>0</v>
      </c>
      <c r="AC59">
        <f t="shared" si="26"/>
        <v>0</v>
      </c>
      <c r="AD59">
        <f t="shared" si="27"/>
        <v>0</v>
      </c>
      <c r="AE59">
        <f t="shared" si="28"/>
        <v>0</v>
      </c>
      <c r="AF59">
        <f t="shared" si="29"/>
        <v>0</v>
      </c>
      <c r="AG59">
        <f t="shared" si="30"/>
        <v>0</v>
      </c>
      <c r="AH59">
        <f t="shared" si="31"/>
        <v>0</v>
      </c>
      <c r="AI59">
        <f t="shared" si="32"/>
        <v>0</v>
      </c>
      <c r="AJ59">
        <f t="shared" si="33"/>
        <v>0</v>
      </c>
      <c r="AK59">
        <f t="shared" si="34"/>
        <v>0</v>
      </c>
      <c r="AL59">
        <f t="shared" si="35"/>
        <v>0</v>
      </c>
      <c r="AM59">
        <f t="shared" si="36"/>
        <v>0</v>
      </c>
      <c r="AN59">
        <f t="shared" si="37"/>
        <v>0</v>
      </c>
      <c r="AO59">
        <f t="shared" si="38"/>
        <v>0</v>
      </c>
      <c r="AP59">
        <f t="shared" si="39"/>
        <v>0</v>
      </c>
      <c r="AQ59">
        <f t="shared" si="40"/>
        <v>0</v>
      </c>
      <c r="AR59">
        <f t="shared" si="41"/>
        <v>0</v>
      </c>
      <c r="AS59">
        <f t="shared" si="42"/>
        <v>0</v>
      </c>
      <c r="AT59">
        <f t="shared" si="43"/>
        <v>0</v>
      </c>
      <c r="AU59">
        <f t="shared" si="44"/>
        <v>0</v>
      </c>
      <c r="AV59">
        <f t="shared" si="45"/>
        <v>0</v>
      </c>
      <c r="AW59">
        <f t="shared" si="0"/>
        <v>0</v>
      </c>
      <c r="AX59">
        <f t="shared" si="46"/>
        <v>0</v>
      </c>
      <c r="AY59">
        <f t="shared" si="47"/>
        <v>0</v>
      </c>
    </row>
    <row r="60" spans="1:51" x14ac:dyDescent="0.35">
      <c r="A60">
        <v>54</v>
      </c>
      <c r="C60">
        <f>MAX(0,Calc!$C$7-SUM(D60:R60))</f>
        <v>750</v>
      </c>
      <c r="D60">
        <f t="shared" si="1"/>
        <v>0</v>
      </c>
      <c r="E60">
        <f t="shared" si="2"/>
        <v>0</v>
      </c>
      <c r="F60">
        <f t="shared" si="3"/>
        <v>0</v>
      </c>
      <c r="G60">
        <f t="shared" si="4"/>
        <v>0</v>
      </c>
      <c r="H60">
        <f t="shared" si="5"/>
        <v>0</v>
      </c>
      <c r="I60">
        <f t="shared" si="6"/>
        <v>0</v>
      </c>
      <c r="J60">
        <f t="shared" si="7"/>
        <v>0</v>
      </c>
      <c r="K60">
        <f t="shared" si="8"/>
        <v>0</v>
      </c>
      <c r="L60">
        <f t="shared" si="9"/>
        <v>0</v>
      </c>
      <c r="M60">
        <f t="shared" si="10"/>
        <v>0</v>
      </c>
      <c r="N60">
        <f t="shared" si="11"/>
        <v>0</v>
      </c>
      <c r="O60">
        <f t="shared" si="12"/>
        <v>0</v>
      </c>
      <c r="P60">
        <f t="shared" si="13"/>
        <v>0</v>
      </c>
      <c r="Q60">
        <f t="shared" si="14"/>
        <v>0</v>
      </c>
      <c r="R60">
        <f t="shared" si="15"/>
        <v>0</v>
      </c>
      <c r="S60">
        <f t="shared" si="16"/>
        <v>0</v>
      </c>
      <c r="T60">
        <f t="shared" si="17"/>
        <v>0</v>
      </c>
      <c r="U60">
        <f t="shared" si="18"/>
        <v>0</v>
      </c>
      <c r="V60">
        <f t="shared" si="19"/>
        <v>0</v>
      </c>
      <c r="W60">
        <f t="shared" si="20"/>
        <v>0</v>
      </c>
      <c r="X60">
        <f t="shared" si="21"/>
        <v>0</v>
      </c>
      <c r="Y60">
        <f t="shared" si="22"/>
        <v>0</v>
      </c>
      <c r="Z60">
        <f t="shared" si="23"/>
        <v>0</v>
      </c>
      <c r="AA60">
        <f t="shared" si="24"/>
        <v>0</v>
      </c>
      <c r="AB60">
        <f t="shared" si="25"/>
        <v>0</v>
      </c>
      <c r="AC60">
        <f t="shared" si="26"/>
        <v>0</v>
      </c>
      <c r="AD60">
        <f t="shared" si="27"/>
        <v>0</v>
      </c>
      <c r="AE60">
        <f t="shared" si="28"/>
        <v>0</v>
      </c>
      <c r="AF60">
        <f t="shared" si="29"/>
        <v>0</v>
      </c>
      <c r="AG60">
        <f t="shared" si="30"/>
        <v>0</v>
      </c>
      <c r="AH60">
        <f t="shared" si="31"/>
        <v>0</v>
      </c>
      <c r="AI60">
        <f t="shared" si="32"/>
        <v>0</v>
      </c>
      <c r="AJ60">
        <f t="shared" si="33"/>
        <v>0</v>
      </c>
      <c r="AK60">
        <f t="shared" si="34"/>
        <v>0</v>
      </c>
      <c r="AL60">
        <f t="shared" si="35"/>
        <v>0</v>
      </c>
      <c r="AM60">
        <f t="shared" si="36"/>
        <v>0</v>
      </c>
      <c r="AN60">
        <f t="shared" si="37"/>
        <v>0</v>
      </c>
      <c r="AO60">
        <f t="shared" si="38"/>
        <v>0</v>
      </c>
      <c r="AP60">
        <f t="shared" si="39"/>
        <v>0</v>
      </c>
      <c r="AQ60">
        <f t="shared" si="40"/>
        <v>0</v>
      </c>
      <c r="AR60">
        <f t="shared" si="41"/>
        <v>0</v>
      </c>
      <c r="AS60">
        <f t="shared" si="42"/>
        <v>0</v>
      </c>
      <c r="AT60">
        <f t="shared" si="43"/>
        <v>0</v>
      </c>
      <c r="AU60">
        <f t="shared" si="44"/>
        <v>0</v>
      </c>
      <c r="AV60">
        <f t="shared" si="45"/>
        <v>0</v>
      </c>
      <c r="AW60">
        <f t="shared" si="0"/>
        <v>0</v>
      </c>
      <c r="AX60">
        <f t="shared" si="46"/>
        <v>0</v>
      </c>
      <c r="AY60">
        <f t="shared" si="47"/>
        <v>0</v>
      </c>
    </row>
    <row r="61" spans="1:51" x14ac:dyDescent="0.35">
      <c r="A61">
        <v>55</v>
      </c>
      <c r="C61">
        <f>MAX(0,Calc!$C$7-SUM(D61:R61))</f>
        <v>750</v>
      </c>
      <c r="D61">
        <f t="shared" si="1"/>
        <v>0</v>
      </c>
      <c r="E61">
        <f t="shared" si="2"/>
        <v>0</v>
      </c>
      <c r="F61">
        <f t="shared" si="3"/>
        <v>0</v>
      </c>
      <c r="G61">
        <f t="shared" si="4"/>
        <v>0</v>
      </c>
      <c r="H61">
        <f t="shared" si="5"/>
        <v>0</v>
      </c>
      <c r="I61">
        <f t="shared" si="6"/>
        <v>0</v>
      </c>
      <c r="J61">
        <f t="shared" si="7"/>
        <v>0</v>
      </c>
      <c r="K61">
        <f t="shared" si="8"/>
        <v>0</v>
      </c>
      <c r="L61">
        <f t="shared" si="9"/>
        <v>0</v>
      </c>
      <c r="M61">
        <f t="shared" si="10"/>
        <v>0</v>
      </c>
      <c r="N61">
        <f t="shared" si="11"/>
        <v>0</v>
      </c>
      <c r="O61">
        <f t="shared" si="12"/>
        <v>0</v>
      </c>
      <c r="P61">
        <f t="shared" si="13"/>
        <v>0</v>
      </c>
      <c r="Q61">
        <f t="shared" si="14"/>
        <v>0</v>
      </c>
      <c r="R61">
        <f t="shared" si="15"/>
        <v>0</v>
      </c>
      <c r="S61">
        <f t="shared" si="16"/>
        <v>0</v>
      </c>
      <c r="T61">
        <f t="shared" si="17"/>
        <v>0</v>
      </c>
      <c r="U61">
        <f t="shared" si="18"/>
        <v>0</v>
      </c>
      <c r="V61">
        <f t="shared" si="19"/>
        <v>0</v>
      </c>
      <c r="W61">
        <f t="shared" si="20"/>
        <v>0</v>
      </c>
      <c r="X61">
        <f t="shared" si="21"/>
        <v>0</v>
      </c>
      <c r="Y61">
        <f t="shared" si="22"/>
        <v>0</v>
      </c>
      <c r="Z61">
        <f t="shared" si="23"/>
        <v>0</v>
      </c>
      <c r="AA61">
        <f t="shared" si="24"/>
        <v>0</v>
      </c>
      <c r="AB61">
        <f t="shared" si="25"/>
        <v>0</v>
      </c>
      <c r="AC61">
        <f t="shared" si="26"/>
        <v>0</v>
      </c>
      <c r="AD61">
        <f t="shared" si="27"/>
        <v>0</v>
      </c>
      <c r="AE61">
        <f t="shared" si="28"/>
        <v>0</v>
      </c>
      <c r="AF61">
        <f t="shared" si="29"/>
        <v>0</v>
      </c>
      <c r="AG61">
        <f t="shared" si="30"/>
        <v>0</v>
      </c>
      <c r="AH61">
        <f t="shared" si="31"/>
        <v>0</v>
      </c>
      <c r="AI61">
        <f t="shared" si="32"/>
        <v>0</v>
      </c>
      <c r="AJ61">
        <f t="shared" si="33"/>
        <v>0</v>
      </c>
      <c r="AK61">
        <f t="shared" si="34"/>
        <v>0</v>
      </c>
      <c r="AL61">
        <f t="shared" si="35"/>
        <v>0</v>
      </c>
      <c r="AM61">
        <f t="shared" si="36"/>
        <v>0</v>
      </c>
      <c r="AN61">
        <f t="shared" si="37"/>
        <v>0</v>
      </c>
      <c r="AO61">
        <f t="shared" si="38"/>
        <v>0</v>
      </c>
      <c r="AP61">
        <f t="shared" si="39"/>
        <v>0</v>
      </c>
      <c r="AQ61">
        <f t="shared" si="40"/>
        <v>0</v>
      </c>
      <c r="AR61">
        <f t="shared" si="41"/>
        <v>0</v>
      </c>
      <c r="AS61">
        <f t="shared" si="42"/>
        <v>0</v>
      </c>
      <c r="AT61">
        <f t="shared" si="43"/>
        <v>0</v>
      </c>
      <c r="AU61">
        <f t="shared" si="44"/>
        <v>0</v>
      </c>
      <c r="AV61">
        <f t="shared" si="45"/>
        <v>0</v>
      </c>
      <c r="AW61">
        <f t="shared" si="0"/>
        <v>0</v>
      </c>
      <c r="AX61">
        <f t="shared" si="46"/>
        <v>0</v>
      </c>
      <c r="AY61">
        <f t="shared" si="47"/>
        <v>0</v>
      </c>
    </row>
    <row r="62" spans="1:51" x14ac:dyDescent="0.35">
      <c r="A62">
        <v>56</v>
      </c>
      <c r="C62">
        <f>MAX(0,Calc!$C$7-SUM(D62:R62))</f>
        <v>750</v>
      </c>
      <c r="D62">
        <f t="shared" si="1"/>
        <v>0</v>
      </c>
      <c r="E62">
        <f t="shared" si="2"/>
        <v>0</v>
      </c>
      <c r="F62">
        <f t="shared" si="3"/>
        <v>0</v>
      </c>
      <c r="G62">
        <f t="shared" si="4"/>
        <v>0</v>
      </c>
      <c r="H62">
        <f t="shared" si="5"/>
        <v>0</v>
      </c>
      <c r="I62">
        <f t="shared" si="6"/>
        <v>0</v>
      </c>
      <c r="J62">
        <f t="shared" si="7"/>
        <v>0</v>
      </c>
      <c r="K62">
        <f t="shared" si="8"/>
        <v>0</v>
      </c>
      <c r="L62">
        <f t="shared" si="9"/>
        <v>0</v>
      </c>
      <c r="M62">
        <f t="shared" si="10"/>
        <v>0</v>
      </c>
      <c r="N62">
        <f t="shared" si="11"/>
        <v>0</v>
      </c>
      <c r="O62">
        <f t="shared" si="12"/>
        <v>0</v>
      </c>
      <c r="P62">
        <f t="shared" si="13"/>
        <v>0</v>
      </c>
      <c r="Q62">
        <f t="shared" si="14"/>
        <v>0</v>
      </c>
      <c r="R62">
        <f t="shared" si="15"/>
        <v>0</v>
      </c>
      <c r="S62">
        <f t="shared" si="16"/>
        <v>0</v>
      </c>
      <c r="T62">
        <f t="shared" si="17"/>
        <v>0</v>
      </c>
      <c r="U62">
        <f t="shared" si="18"/>
        <v>0</v>
      </c>
      <c r="V62">
        <f t="shared" si="19"/>
        <v>0</v>
      </c>
      <c r="W62">
        <f t="shared" si="20"/>
        <v>0</v>
      </c>
      <c r="X62">
        <f t="shared" si="21"/>
        <v>0</v>
      </c>
      <c r="Y62">
        <f t="shared" si="22"/>
        <v>0</v>
      </c>
      <c r="Z62">
        <f t="shared" si="23"/>
        <v>0</v>
      </c>
      <c r="AA62">
        <f t="shared" si="24"/>
        <v>0</v>
      </c>
      <c r="AB62">
        <f t="shared" si="25"/>
        <v>0</v>
      </c>
      <c r="AC62">
        <f t="shared" si="26"/>
        <v>0</v>
      </c>
      <c r="AD62">
        <f t="shared" si="27"/>
        <v>0</v>
      </c>
      <c r="AE62">
        <f t="shared" si="28"/>
        <v>0</v>
      </c>
      <c r="AF62">
        <f t="shared" si="29"/>
        <v>0</v>
      </c>
      <c r="AG62">
        <f t="shared" si="30"/>
        <v>0</v>
      </c>
      <c r="AH62">
        <f t="shared" si="31"/>
        <v>0</v>
      </c>
      <c r="AI62">
        <f t="shared" si="32"/>
        <v>0</v>
      </c>
      <c r="AJ62">
        <f t="shared" si="33"/>
        <v>0</v>
      </c>
      <c r="AK62">
        <f t="shared" si="34"/>
        <v>0</v>
      </c>
      <c r="AL62">
        <f t="shared" si="35"/>
        <v>0</v>
      </c>
      <c r="AM62">
        <f t="shared" si="36"/>
        <v>0</v>
      </c>
      <c r="AN62">
        <f t="shared" si="37"/>
        <v>0</v>
      </c>
      <c r="AO62">
        <f t="shared" si="38"/>
        <v>0</v>
      </c>
      <c r="AP62">
        <f t="shared" si="39"/>
        <v>0</v>
      </c>
      <c r="AQ62">
        <f t="shared" si="40"/>
        <v>0</v>
      </c>
      <c r="AR62">
        <f t="shared" si="41"/>
        <v>0</v>
      </c>
      <c r="AS62">
        <f t="shared" si="42"/>
        <v>0</v>
      </c>
      <c r="AT62">
        <f t="shared" si="43"/>
        <v>0</v>
      </c>
      <c r="AU62">
        <f t="shared" si="44"/>
        <v>0</v>
      </c>
      <c r="AV62">
        <f t="shared" si="45"/>
        <v>0</v>
      </c>
      <c r="AW62">
        <f t="shared" si="0"/>
        <v>0</v>
      </c>
      <c r="AX62">
        <f t="shared" si="46"/>
        <v>0</v>
      </c>
      <c r="AY62">
        <f t="shared" si="47"/>
        <v>0</v>
      </c>
    </row>
    <row r="63" spans="1:51" x14ac:dyDescent="0.35">
      <c r="A63">
        <v>57</v>
      </c>
      <c r="C63">
        <f>MAX(0,Calc!$C$7-SUM(D63:R63))</f>
        <v>750</v>
      </c>
      <c r="D63">
        <f t="shared" si="1"/>
        <v>0</v>
      </c>
      <c r="E63">
        <f t="shared" si="2"/>
        <v>0</v>
      </c>
      <c r="F63">
        <f t="shared" si="3"/>
        <v>0</v>
      </c>
      <c r="G63">
        <f t="shared" si="4"/>
        <v>0</v>
      </c>
      <c r="H63">
        <f t="shared" si="5"/>
        <v>0</v>
      </c>
      <c r="I63">
        <f t="shared" si="6"/>
        <v>0</v>
      </c>
      <c r="J63">
        <f t="shared" si="7"/>
        <v>0</v>
      </c>
      <c r="K63">
        <f t="shared" si="8"/>
        <v>0</v>
      </c>
      <c r="L63">
        <f t="shared" si="9"/>
        <v>0</v>
      </c>
      <c r="M63">
        <f t="shared" si="10"/>
        <v>0</v>
      </c>
      <c r="N63">
        <f t="shared" si="11"/>
        <v>0</v>
      </c>
      <c r="O63">
        <f t="shared" si="12"/>
        <v>0</v>
      </c>
      <c r="P63">
        <f t="shared" si="13"/>
        <v>0</v>
      </c>
      <c r="Q63">
        <f t="shared" si="14"/>
        <v>0</v>
      </c>
      <c r="R63">
        <f t="shared" si="15"/>
        <v>0</v>
      </c>
      <c r="S63">
        <f t="shared" si="16"/>
        <v>0</v>
      </c>
      <c r="T63">
        <f t="shared" si="17"/>
        <v>0</v>
      </c>
      <c r="U63">
        <f t="shared" si="18"/>
        <v>0</v>
      </c>
      <c r="V63">
        <f t="shared" si="19"/>
        <v>0</v>
      </c>
      <c r="W63">
        <f t="shared" si="20"/>
        <v>0</v>
      </c>
      <c r="X63">
        <f t="shared" si="21"/>
        <v>0</v>
      </c>
      <c r="Y63">
        <f t="shared" si="22"/>
        <v>0</v>
      </c>
      <c r="Z63">
        <f t="shared" si="23"/>
        <v>0</v>
      </c>
      <c r="AA63">
        <f t="shared" si="24"/>
        <v>0</v>
      </c>
      <c r="AB63">
        <f t="shared" si="25"/>
        <v>0</v>
      </c>
      <c r="AC63">
        <f t="shared" si="26"/>
        <v>0</v>
      </c>
      <c r="AD63">
        <f t="shared" si="27"/>
        <v>0</v>
      </c>
      <c r="AE63">
        <f t="shared" si="28"/>
        <v>0</v>
      </c>
      <c r="AF63">
        <f t="shared" si="29"/>
        <v>0</v>
      </c>
      <c r="AG63">
        <f t="shared" si="30"/>
        <v>0</v>
      </c>
      <c r="AH63">
        <f t="shared" si="31"/>
        <v>0</v>
      </c>
      <c r="AI63">
        <f t="shared" si="32"/>
        <v>0</v>
      </c>
      <c r="AJ63">
        <f t="shared" si="33"/>
        <v>0</v>
      </c>
      <c r="AK63">
        <f t="shared" si="34"/>
        <v>0</v>
      </c>
      <c r="AL63">
        <f t="shared" si="35"/>
        <v>0</v>
      </c>
      <c r="AM63">
        <f t="shared" si="36"/>
        <v>0</v>
      </c>
      <c r="AN63">
        <f t="shared" si="37"/>
        <v>0</v>
      </c>
      <c r="AO63">
        <f t="shared" si="38"/>
        <v>0</v>
      </c>
      <c r="AP63">
        <f t="shared" si="39"/>
        <v>0</v>
      </c>
      <c r="AQ63">
        <f t="shared" si="40"/>
        <v>0</v>
      </c>
      <c r="AR63">
        <f t="shared" si="41"/>
        <v>0</v>
      </c>
      <c r="AS63">
        <f t="shared" si="42"/>
        <v>0</v>
      </c>
      <c r="AT63">
        <f t="shared" si="43"/>
        <v>0</v>
      </c>
      <c r="AU63">
        <f t="shared" si="44"/>
        <v>0</v>
      </c>
      <c r="AV63">
        <f t="shared" si="45"/>
        <v>0</v>
      </c>
      <c r="AW63">
        <f t="shared" si="0"/>
        <v>0</v>
      </c>
      <c r="AX63">
        <f t="shared" si="46"/>
        <v>0</v>
      </c>
      <c r="AY63">
        <f t="shared" si="47"/>
        <v>0</v>
      </c>
    </row>
    <row r="64" spans="1:51" x14ac:dyDescent="0.35">
      <c r="A64">
        <v>58</v>
      </c>
      <c r="C64">
        <f>MAX(0,Calc!$C$7-SUM(D64:R64))</f>
        <v>750</v>
      </c>
      <c r="D64">
        <f t="shared" si="1"/>
        <v>0</v>
      </c>
      <c r="E64">
        <f t="shared" si="2"/>
        <v>0</v>
      </c>
      <c r="F64">
        <f t="shared" si="3"/>
        <v>0</v>
      </c>
      <c r="G64">
        <f t="shared" si="4"/>
        <v>0</v>
      </c>
      <c r="H64">
        <f t="shared" si="5"/>
        <v>0</v>
      </c>
      <c r="I64">
        <f t="shared" si="6"/>
        <v>0</v>
      </c>
      <c r="J64">
        <f t="shared" si="7"/>
        <v>0</v>
      </c>
      <c r="K64">
        <f t="shared" si="8"/>
        <v>0</v>
      </c>
      <c r="L64">
        <f t="shared" si="9"/>
        <v>0</v>
      </c>
      <c r="M64">
        <f t="shared" si="10"/>
        <v>0</v>
      </c>
      <c r="N64">
        <f t="shared" si="11"/>
        <v>0</v>
      </c>
      <c r="O64">
        <f t="shared" si="12"/>
        <v>0</v>
      </c>
      <c r="P64">
        <f t="shared" si="13"/>
        <v>0</v>
      </c>
      <c r="Q64">
        <f t="shared" si="14"/>
        <v>0</v>
      </c>
      <c r="R64">
        <f t="shared" si="15"/>
        <v>0</v>
      </c>
      <c r="S64">
        <f t="shared" si="16"/>
        <v>0</v>
      </c>
      <c r="T64">
        <f t="shared" si="17"/>
        <v>0</v>
      </c>
      <c r="U64">
        <f t="shared" si="18"/>
        <v>0</v>
      </c>
      <c r="V64">
        <f t="shared" si="19"/>
        <v>0</v>
      </c>
      <c r="W64">
        <f t="shared" si="20"/>
        <v>0</v>
      </c>
      <c r="X64">
        <f t="shared" si="21"/>
        <v>0</v>
      </c>
      <c r="Y64">
        <f t="shared" si="22"/>
        <v>0</v>
      </c>
      <c r="Z64">
        <f t="shared" si="23"/>
        <v>0</v>
      </c>
      <c r="AA64">
        <f t="shared" si="24"/>
        <v>0</v>
      </c>
      <c r="AB64">
        <f t="shared" si="25"/>
        <v>0</v>
      </c>
      <c r="AC64">
        <f t="shared" si="26"/>
        <v>0</v>
      </c>
      <c r="AD64">
        <f t="shared" si="27"/>
        <v>0</v>
      </c>
      <c r="AE64">
        <f t="shared" si="28"/>
        <v>0</v>
      </c>
      <c r="AF64">
        <f t="shared" si="29"/>
        <v>0</v>
      </c>
      <c r="AG64">
        <f t="shared" si="30"/>
        <v>0</v>
      </c>
      <c r="AH64">
        <f t="shared" si="31"/>
        <v>0</v>
      </c>
      <c r="AI64">
        <f t="shared" si="32"/>
        <v>0</v>
      </c>
      <c r="AJ64">
        <f t="shared" si="33"/>
        <v>0</v>
      </c>
      <c r="AK64">
        <f t="shared" si="34"/>
        <v>0</v>
      </c>
      <c r="AL64">
        <f t="shared" si="35"/>
        <v>0</v>
      </c>
      <c r="AM64">
        <f t="shared" si="36"/>
        <v>0</v>
      </c>
      <c r="AN64">
        <f t="shared" si="37"/>
        <v>0</v>
      </c>
      <c r="AO64">
        <f t="shared" si="38"/>
        <v>0</v>
      </c>
      <c r="AP64">
        <f t="shared" si="39"/>
        <v>0</v>
      </c>
      <c r="AQ64">
        <f t="shared" si="40"/>
        <v>0</v>
      </c>
      <c r="AR64">
        <f t="shared" si="41"/>
        <v>0</v>
      </c>
      <c r="AS64">
        <f t="shared" si="42"/>
        <v>0</v>
      </c>
      <c r="AT64">
        <f t="shared" si="43"/>
        <v>0</v>
      </c>
      <c r="AU64">
        <f t="shared" si="44"/>
        <v>0</v>
      </c>
      <c r="AV64">
        <f t="shared" si="45"/>
        <v>0</v>
      </c>
      <c r="AW64">
        <f t="shared" si="0"/>
        <v>0</v>
      </c>
      <c r="AX64">
        <f t="shared" si="46"/>
        <v>0</v>
      </c>
      <c r="AY64">
        <f t="shared" si="47"/>
        <v>0</v>
      </c>
    </row>
    <row r="65" spans="1:51" x14ac:dyDescent="0.35">
      <c r="A65">
        <v>59</v>
      </c>
      <c r="C65">
        <f>MAX(0,Calc!$C$7-SUM(D65:R65))</f>
        <v>750</v>
      </c>
      <c r="D65">
        <f t="shared" si="1"/>
        <v>0</v>
      </c>
      <c r="E65">
        <f t="shared" si="2"/>
        <v>0</v>
      </c>
      <c r="F65">
        <f t="shared" si="3"/>
        <v>0</v>
      </c>
      <c r="G65">
        <f t="shared" si="4"/>
        <v>0</v>
      </c>
      <c r="H65">
        <f t="shared" si="5"/>
        <v>0</v>
      </c>
      <c r="I65">
        <f t="shared" si="6"/>
        <v>0</v>
      </c>
      <c r="J65">
        <f t="shared" si="7"/>
        <v>0</v>
      </c>
      <c r="K65">
        <f t="shared" si="8"/>
        <v>0</v>
      </c>
      <c r="L65">
        <f t="shared" si="9"/>
        <v>0</v>
      </c>
      <c r="M65">
        <f t="shared" si="10"/>
        <v>0</v>
      </c>
      <c r="N65">
        <f t="shared" si="11"/>
        <v>0</v>
      </c>
      <c r="O65">
        <f t="shared" si="12"/>
        <v>0</v>
      </c>
      <c r="P65">
        <f t="shared" si="13"/>
        <v>0</v>
      </c>
      <c r="Q65">
        <f t="shared" si="14"/>
        <v>0</v>
      </c>
      <c r="R65">
        <f t="shared" si="15"/>
        <v>0</v>
      </c>
      <c r="S65">
        <f t="shared" si="16"/>
        <v>0</v>
      </c>
      <c r="T65">
        <f t="shared" si="17"/>
        <v>0</v>
      </c>
      <c r="U65">
        <f t="shared" si="18"/>
        <v>0</v>
      </c>
      <c r="V65">
        <f t="shared" si="19"/>
        <v>0</v>
      </c>
      <c r="W65">
        <f t="shared" si="20"/>
        <v>0</v>
      </c>
      <c r="X65">
        <f t="shared" si="21"/>
        <v>0</v>
      </c>
      <c r="Y65">
        <f t="shared" si="22"/>
        <v>0</v>
      </c>
      <c r="Z65">
        <f t="shared" si="23"/>
        <v>0</v>
      </c>
      <c r="AA65">
        <f t="shared" si="24"/>
        <v>0</v>
      </c>
      <c r="AB65">
        <f t="shared" si="25"/>
        <v>0</v>
      </c>
      <c r="AC65">
        <f t="shared" si="26"/>
        <v>0</v>
      </c>
      <c r="AD65">
        <f t="shared" si="27"/>
        <v>0</v>
      </c>
      <c r="AE65">
        <f t="shared" si="28"/>
        <v>0</v>
      </c>
      <c r="AF65">
        <f t="shared" si="29"/>
        <v>0</v>
      </c>
      <c r="AG65">
        <f t="shared" si="30"/>
        <v>0</v>
      </c>
      <c r="AH65">
        <f t="shared" si="31"/>
        <v>0</v>
      </c>
      <c r="AI65">
        <f t="shared" si="32"/>
        <v>0</v>
      </c>
      <c r="AJ65">
        <f t="shared" si="33"/>
        <v>0</v>
      </c>
      <c r="AK65">
        <f t="shared" si="34"/>
        <v>0</v>
      </c>
      <c r="AL65">
        <f t="shared" si="35"/>
        <v>0</v>
      </c>
      <c r="AM65">
        <f t="shared" si="36"/>
        <v>0</v>
      </c>
      <c r="AN65">
        <f t="shared" si="37"/>
        <v>0</v>
      </c>
      <c r="AO65">
        <f t="shared" si="38"/>
        <v>0</v>
      </c>
      <c r="AP65">
        <f t="shared" si="39"/>
        <v>0</v>
      </c>
      <c r="AQ65">
        <f t="shared" si="40"/>
        <v>0</v>
      </c>
      <c r="AR65">
        <f t="shared" si="41"/>
        <v>0</v>
      </c>
      <c r="AS65">
        <f t="shared" si="42"/>
        <v>0</v>
      </c>
      <c r="AT65">
        <f t="shared" si="43"/>
        <v>0</v>
      </c>
      <c r="AU65">
        <f t="shared" si="44"/>
        <v>0</v>
      </c>
      <c r="AV65">
        <f t="shared" si="45"/>
        <v>0</v>
      </c>
      <c r="AW65">
        <f t="shared" si="0"/>
        <v>0</v>
      </c>
      <c r="AX65">
        <f t="shared" si="46"/>
        <v>0</v>
      </c>
      <c r="AY65">
        <f t="shared" si="47"/>
        <v>0</v>
      </c>
    </row>
    <row r="66" spans="1:51" x14ac:dyDescent="0.35">
      <c r="A66">
        <v>60</v>
      </c>
      <c r="C66">
        <f>MAX(0,Calc!$C$7-SUM(D66:R66))</f>
        <v>750</v>
      </c>
      <c r="D66">
        <f t="shared" si="1"/>
        <v>0</v>
      </c>
      <c r="E66">
        <f t="shared" si="2"/>
        <v>0</v>
      </c>
      <c r="F66">
        <f t="shared" si="3"/>
        <v>0</v>
      </c>
      <c r="G66">
        <f t="shared" si="4"/>
        <v>0</v>
      </c>
      <c r="H66">
        <f t="shared" si="5"/>
        <v>0</v>
      </c>
      <c r="I66">
        <f t="shared" si="6"/>
        <v>0</v>
      </c>
      <c r="J66">
        <f t="shared" si="7"/>
        <v>0</v>
      </c>
      <c r="K66">
        <f t="shared" si="8"/>
        <v>0</v>
      </c>
      <c r="L66">
        <f t="shared" si="9"/>
        <v>0</v>
      </c>
      <c r="M66">
        <f t="shared" si="10"/>
        <v>0</v>
      </c>
      <c r="N66">
        <f t="shared" si="11"/>
        <v>0</v>
      </c>
      <c r="O66">
        <f t="shared" si="12"/>
        <v>0</v>
      </c>
      <c r="P66">
        <f t="shared" si="13"/>
        <v>0</v>
      </c>
      <c r="Q66">
        <f t="shared" si="14"/>
        <v>0</v>
      </c>
      <c r="R66">
        <f t="shared" si="15"/>
        <v>0</v>
      </c>
      <c r="S66">
        <f t="shared" si="16"/>
        <v>0</v>
      </c>
      <c r="T66">
        <f t="shared" si="17"/>
        <v>0</v>
      </c>
      <c r="U66">
        <f t="shared" si="18"/>
        <v>0</v>
      </c>
      <c r="V66">
        <f t="shared" si="19"/>
        <v>0</v>
      </c>
      <c r="W66">
        <f t="shared" si="20"/>
        <v>0</v>
      </c>
      <c r="X66">
        <f t="shared" si="21"/>
        <v>0</v>
      </c>
      <c r="Y66">
        <f t="shared" si="22"/>
        <v>0</v>
      </c>
      <c r="Z66">
        <f t="shared" si="23"/>
        <v>0</v>
      </c>
      <c r="AA66">
        <f t="shared" si="24"/>
        <v>0</v>
      </c>
      <c r="AB66">
        <f t="shared" si="25"/>
        <v>0</v>
      </c>
      <c r="AC66">
        <f t="shared" si="26"/>
        <v>0</v>
      </c>
      <c r="AD66">
        <f t="shared" si="27"/>
        <v>0</v>
      </c>
      <c r="AE66">
        <f t="shared" si="28"/>
        <v>0</v>
      </c>
      <c r="AF66">
        <f t="shared" si="29"/>
        <v>0</v>
      </c>
      <c r="AG66">
        <f t="shared" si="30"/>
        <v>0</v>
      </c>
      <c r="AH66">
        <f t="shared" si="31"/>
        <v>0</v>
      </c>
      <c r="AI66">
        <f t="shared" si="32"/>
        <v>0</v>
      </c>
      <c r="AJ66">
        <f t="shared" si="33"/>
        <v>0</v>
      </c>
      <c r="AK66">
        <f t="shared" si="34"/>
        <v>0</v>
      </c>
      <c r="AL66">
        <f t="shared" si="35"/>
        <v>0</v>
      </c>
      <c r="AM66">
        <f t="shared" si="36"/>
        <v>0</v>
      </c>
      <c r="AN66">
        <f t="shared" si="37"/>
        <v>0</v>
      </c>
      <c r="AO66">
        <f t="shared" si="38"/>
        <v>0</v>
      </c>
      <c r="AP66">
        <f t="shared" si="39"/>
        <v>0</v>
      </c>
      <c r="AQ66">
        <f t="shared" si="40"/>
        <v>0</v>
      </c>
      <c r="AR66">
        <f t="shared" si="41"/>
        <v>0</v>
      </c>
      <c r="AS66">
        <f t="shared" si="42"/>
        <v>0</v>
      </c>
      <c r="AT66">
        <f t="shared" si="43"/>
        <v>0</v>
      </c>
      <c r="AU66">
        <f t="shared" si="44"/>
        <v>0</v>
      </c>
      <c r="AV66">
        <f t="shared" si="45"/>
        <v>0</v>
      </c>
      <c r="AW66">
        <f t="shared" si="0"/>
        <v>0</v>
      </c>
      <c r="AX66">
        <f t="shared" si="46"/>
        <v>0</v>
      </c>
      <c r="AY66">
        <f t="shared" si="47"/>
        <v>0</v>
      </c>
    </row>
    <row r="67" spans="1:51" x14ac:dyDescent="0.35">
      <c r="A67">
        <v>61</v>
      </c>
      <c r="C67">
        <f>MAX(0,Calc!$C$7-SUM(D67:R67))</f>
        <v>750</v>
      </c>
      <c r="D67">
        <f t="shared" si="1"/>
        <v>0</v>
      </c>
      <c r="E67">
        <f t="shared" si="2"/>
        <v>0</v>
      </c>
      <c r="F67">
        <f t="shared" si="3"/>
        <v>0</v>
      </c>
      <c r="G67">
        <f t="shared" si="4"/>
        <v>0</v>
      </c>
      <c r="H67">
        <f t="shared" si="5"/>
        <v>0</v>
      </c>
      <c r="I67">
        <f t="shared" si="6"/>
        <v>0</v>
      </c>
      <c r="J67">
        <f t="shared" si="7"/>
        <v>0</v>
      </c>
      <c r="K67">
        <f t="shared" si="8"/>
        <v>0</v>
      </c>
      <c r="L67">
        <f t="shared" si="9"/>
        <v>0</v>
      </c>
      <c r="M67">
        <f t="shared" si="10"/>
        <v>0</v>
      </c>
      <c r="N67">
        <f t="shared" si="11"/>
        <v>0</v>
      </c>
      <c r="O67">
        <f t="shared" si="12"/>
        <v>0</v>
      </c>
      <c r="P67">
        <f t="shared" si="13"/>
        <v>0</v>
      </c>
      <c r="Q67">
        <f t="shared" si="14"/>
        <v>0</v>
      </c>
      <c r="R67">
        <f t="shared" si="15"/>
        <v>0</v>
      </c>
      <c r="S67">
        <f t="shared" si="16"/>
        <v>0</v>
      </c>
      <c r="T67">
        <f t="shared" si="17"/>
        <v>0</v>
      </c>
      <c r="U67">
        <f t="shared" si="18"/>
        <v>0</v>
      </c>
      <c r="V67">
        <f t="shared" si="19"/>
        <v>0</v>
      </c>
      <c r="W67">
        <f t="shared" si="20"/>
        <v>0</v>
      </c>
      <c r="X67">
        <f t="shared" si="21"/>
        <v>0</v>
      </c>
      <c r="Y67">
        <f t="shared" si="22"/>
        <v>0</v>
      </c>
      <c r="Z67">
        <f t="shared" si="23"/>
        <v>0</v>
      </c>
      <c r="AA67">
        <f t="shared" si="24"/>
        <v>0</v>
      </c>
      <c r="AB67">
        <f t="shared" si="25"/>
        <v>0</v>
      </c>
      <c r="AC67">
        <f t="shared" si="26"/>
        <v>0</v>
      </c>
      <c r="AD67">
        <f t="shared" si="27"/>
        <v>0</v>
      </c>
      <c r="AE67">
        <f t="shared" si="28"/>
        <v>0</v>
      </c>
      <c r="AF67">
        <f t="shared" si="29"/>
        <v>0</v>
      </c>
      <c r="AG67">
        <f t="shared" si="30"/>
        <v>0</v>
      </c>
      <c r="AH67">
        <f t="shared" si="31"/>
        <v>0</v>
      </c>
      <c r="AI67">
        <f t="shared" si="32"/>
        <v>0</v>
      </c>
      <c r="AJ67">
        <f t="shared" si="33"/>
        <v>0</v>
      </c>
      <c r="AK67">
        <f t="shared" si="34"/>
        <v>0</v>
      </c>
      <c r="AL67">
        <f t="shared" si="35"/>
        <v>0</v>
      </c>
      <c r="AM67">
        <f t="shared" si="36"/>
        <v>0</v>
      </c>
      <c r="AN67">
        <f t="shared" si="37"/>
        <v>0</v>
      </c>
      <c r="AO67">
        <f t="shared" si="38"/>
        <v>0</v>
      </c>
      <c r="AP67">
        <f t="shared" si="39"/>
        <v>0</v>
      </c>
      <c r="AQ67">
        <f t="shared" si="40"/>
        <v>0</v>
      </c>
      <c r="AR67">
        <f t="shared" si="41"/>
        <v>0</v>
      </c>
      <c r="AS67">
        <f t="shared" si="42"/>
        <v>0</v>
      </c>
      <c r="AT67">
        <f t="shared" si="43"/>
        <v>0</v>
      </c>
      <c r="AU67">
        <f t="shared" si="44"/>
        <v>0</v>
      </c>
      <c r="AV67">
        <f t="shared" si="45"/>
        <v>0</v>
      </c>
      <c r="AW67">
        <f t="shared" si="0"/>
        <v>0</v>
      </c>
      <c r="AX67">
        <f t="shared" si="46"/>
        <v>0</v>
      </c>
      <c r="AY67">
        <f t="shared" si="47"/>
        <v>0</v>
      </c>
    </row>
    <row r="68" spans="1:51" x14ac:dyDescent="0.35">
      <c r="A68">
        <v>62</v>
      </c>
      <c r="C68">
        <f>MAX(0,Calc!$C$7-SUM(D68:R68))</f>
        <v>750</v>
      </c>
      <c r="D68">
        <f t="shared" si="1"/>
        <v>0</v>
      </c>
      <c r="E68">
        <f t="shared" si="2"/>
        <v>0</v>
      </c>
      <c r="F68">
        <f t="shared" si="3"/>
        <v>0</v>
      </c>
      <c r="G68">
        <f t="shared" si="4"/>
        <v>0</v>
      </c>
      <c r="H68">
        <f t="shared" si="5"/>
        <v>0</v>
      </c>
      <c r="I68">
        <f t="shared" si="6"/>
        <v>0</v>
      </c>
      <c r="J68">
        <f t="shared" si="7"/>
        <v>0</v>
      </c>
      <c r="K68">
        <f t="shared" si="8"/>
        <v>0</v>
      </c>
      <c r="L68">
        <f t="shared" si="9"/>
        <v>0</v>
      </c>
      <c r="M68">
        <f t="shared" si="10"/>
        <v>0</v>
      </c>
      <c r="N68">
        <f t="shared" si="11"/>
        <v>0</v>
      </c>
      <c r="O68">
        <f t="shared" si="12"/>
        <v>0</v>
      </c>
      <c r="P68">
        <f t="shared" si="13"/>
        <v>0</v>
      </c>
      <c r="Q68">
        <f t="shared" si="14"/>
        <v>0</v>
      </c>
      <c r="R68">
        <f t="shared" si="15"/>
        <v>0</v>
      </c>
      <c r="S68">
        <f t="shared" si="16"/>
        <v>0</v>
      </c>
      <c r="T68">
        <f t="shared" si="17"/>
        <v>0</v>
      </c>
      <c r="U68">
        <f t="shared" si="18"/>
        <v>0</v>
      </c>
      <c r="V68">
        <f t="shared" si="19"/>
        <v>0</v>
      </c>
      <c r="W68">
        <f t="shared" si="20"/>
        <v>0</v>
      </c>
      <c r="X68">
        <f t="shared" si="21"/>
        <v>0</v>
      </c>
      <c r="Y68">
        <f t="shared" si="22"/>
        <v>0</v>
      </c>
      <c r="Z68">
        <f t="shared" si="23"/>
        <v>0</v>
      </c>
      <c r="AA68">
        <f t="shared" si="24"/>
        <v>0</v>
      </c>
      <c r="AB68">
        <f t="shared" si="25"/>
        <v>0</v>
      </c>
      <c r="AC68">
        <f t="shared" si="26"/>
        <v>0</v>
      </c>
      <c r="AD68">
        <f t="shared" si="27"/>
        <v>0</v>
      </c>
      <c r="AE68">
        <f t="shared" si="28"/>
        <v>0</v>
      </c>
      <c r="AF68">
        <f t="shared" si="29"/>
        <v>0</v>
      </c>
      <c r="AG68">
        <f t="shared" si="30"/>
        <v>0</v>
      </c>
      <c r="AH68">
        <f t="shared" si="31"/>
        <v>0</v>
      </c>
      <c r="AI68">
        <f t="shared" si="32"/>
        <v>0</v>
      </c>
      <c r="AJ68">
        <f t="shared" si="33"/>
        <v>0</v>
      </c>
      <c r="AK68">
        <f t="shared" si="34"/>
        <v>0</v>
      </c>
      <c r="AL68">
        <f t="shared" si="35"/>
        <v>0</v>
      </c>
      <c r="AM68">
        <f t="shared" si="36"/>
        <v>0</v>
      </c>
      <c r="AN68">
        <f t="shared" si="37"/>
        <v>0</v>
      </c>
      <c r="AO68">
        <f t="shared" si="38"/>
        <v>0</v>
      </c>
      <c r="AP68">
        <f t="shared" si="39"/>
        <v>0</v>
      </c>
      <c r="AQ68">
        <f t="shared" si="40"/>
        <v>0</v>
      </c>
      <c r="AR68">
        <f t="shared" si="41"/>
        <v>0</v>
      </c>
      <c r="AS68">
        <f t="shared" si="42"/>
        <v>0</v>
      </c>
      <c r="AT68">
        <f t="shared" si="43"/>
        <v>0</v>
      </c>
      <c r="AU68">
        <f t="shared" si="44"/>
        <v>0</v>
      </c>
      <c r="AV68">
        <f t="shared" si="45"/>
        <v>0</v>
      </c>
      <c r="AW68">
        <f t="shared" si="0"/>
        <v>0</v>
      </c>
      <c r="AX68">
        <f t="shared" si="46"/>
        <v>0</v>
      </c>
      <c r="AY68">
        <f t="shared" si="47"/>
        <v>0</v>
      </c>
    </row>
    <row r="69" spans="1:51" x14ac:dyDescent="0.35">
      <c r="A69">
        <v>63</v>
      </c>
      <c r="C69">
        <f>MAX(0,Calc!$C$7-SUM(D69:R69))</f>
        <v>750</v>
      </c>
      <c r="D69">
        <f t="shared" si="1"/>
        <v>0</v>
      </c>
      <c r="E69">
        <f t="shared" si="2"/>
        <v>0</v>
      </c>
      <c r="F69">
        <f t="shared" si="3"/>
        <v>0</v>
      </c>
      <c r="G69">
        <f t="shared" si="4"/>
        <v>0</v>
      </c>
      <c r="H69">
        <f t="shared" si="5"/>
        <v>0</v>
      </c>
      <c r="I69">
        <f t="shared" si="6"/>
        <v>0</v>
      </c>
      <c r="J69">
        <f t="shared" si="7"/>
        <v>0</v>
      </c>
      <c r="K69">
        <f t="shared" si="8"/>
        <v>0</v>
      </c>
      <c r="L69">
        <f t="shared" si="9"/>
        <v>0</v>
      </c>
      <c r="M69">
        <f t="shared" si="10"/>
        <v>0</v>
      </c>
      <c r="N69">
        <f t="shared" si="11"/>
        <v>0</v>
      </c>
      <c r="O69">
        <f t="shared" si="12"/>
        <v>0</v>
      </c>
      <c r="P69">
        <f t="shared" si="13"/>
        <v>0</v>
      </c>
      <c r="Q69">
        <f t="shared" si="14"/>
        <v>0</v>
      </c>
      <c r="R69">
        <f t="shared" si="15"/>
        <v>0</v>
      </c>
      <c r="S69">
        <f t="shared" si="16"/>
        <v>0</v>
      </c>
      <c r="T69">
        <f t="shared" si="17"/>
        <v>0</v>
      </c>
      <c r="U69">
        <f t="shared" si="18"/>
        <v>0</v>
      </c>
      <c r="V69">
        <f t="shared" si="19"/>
        <v>0</v>
      </c>
      <c r="W69">
        <f t="shared" si="20"/>
        <v>0</v>
      </c>
      <c r="X69">
        <f t="shared" si="21"/>
        <v>0</v>
      </c>
      <c r="Y69">
        <f t="shared" si="22"/>
        <v>0</v>
      </c>
      <c r="Z69">
        <f t="shared" si="23"/>
        <v>0</v>
      </c>
      <c r="AA69">
        <f t="shared" si="24"/>
        <v>0</v>
      </c>
      <c r="AB69">
        <f t="shared" si="25"/>
        <v>0</v>
      </c>
      <c r="AC69">
        <f t="shared" si="26"/>
        <v>0</v>
      </c>
      <c r="AD69">
        <f t="shared" si="27"/>
        <v>0</v>
      </c>
      <c r="AE69">
        <f t="shared" si="28"/>
        <v>0</v>
      </c>
      <c r="AF69">
        <f t="shared" si="29"/>
        <v>0</v>
      </c>
      <c r="AG69">
        <f t="shared" si="30"/>
        <v>0</v>
      </c>
      <c r="AH69">
        <f t="shared" si="31"/>
        <v>0</v>
      </c>
      <c r="AI69">
        <f t="shared" si="32"/>
        <v>0</v>
      </c>
      <c r="AJ69">
        <f t="shared" si="33"/>
        <v>0</v>
      </c>
      <c r="AK69">
        <f t="shared" si="34"/>
        <v>0</v>
      </c>
      <c r="AL69">
        <f t="shared" si="35"/>
        <v>0</v>
      </c>
      <c r="AM69">
        <f t="shared" si="36"/>
        <v>0</v>
      </c>
      <c r="AN69">
        <f t="shared" si="37"/>
        <v>0</v>
      </c>
      <c r="AO69">
        <f t="shared" si="38"/>
        <v>0</v>
      </c>
      <c r="AP69">
        <f t="shared" si="39"/>
        <v>0</v>
      </c>
      <c r="AQ69">
        <f t="shared" si="40"/>
        <v>0</v>
      </c>
      <c r="AR69">
        <f t="shared" si="41"/>
        <v>0</v>
      </c>
      <c r="AS69">
        <f t="shared" si="42"/>
        <v>0</v>
      </c>
      <c r="AT69">
        <f t="shared" si="43"/>
        <v>0</v>
      </c>
      <c r="AU69">
        <f t="shared" si="44"/>
        <v>0</v>
      </c>
      <c r="AV69">
        <f t="shared" si="45"/>
        <v>0</v>
      </c>
      <c r="AW69">
        <f t="shared" si="0"/>
        <v>0</v>
      </c>
      <c r="AX69">
        <f t="shared" si="46"/>
        <v>0</v>
      </c>
      <c r="AY69">
        <f t="shared" si="47"/>
        <v>0</v>
      </c>
    </row>
    <row r="70" spans="1:51" x14ac:dyDescent="0.35">
      <c r="A70">
        <v>64</v>
      </c>
      <c r="C70">
        <f>MAX(0,Calc!$C$7-SUM(D70:R70))</f>
        <v>750</v>
      </c>
      <c r="D70">
        <f t="shared" si="1"/>
        <v>0</v>
      </c>
      <c r="E70">
        <f t="shared" si="2"/>
        <v>0</v>
      </c>
      <c r="F70">
        <f t="shared" si="3"/>
        <v>0</v>
      </c>
      <c r="G70">
        <f t="shared" si="4"/>
        <v>0</v>
      </c>
      <c r="H70">
        <f t="shared" si="5"/>
        <v>0</v>
      </c>
      <c r="I70">
        <f t="shared" si="6"/>
        <v>0</v>
      </c>
      <c r="J70">
        <f t="shared" si="7"/>
        <v>0</v>
      </c>
      <c r="K70">
        <f t="shared" si="8"/>
        <v>0</v>
      </c>
      <c r="L70">
        <f t="shared" si="9"/>
        <v>0</v>
      </c>
      <c r="M70">
        <f t="shared" si="10"/>
        <v>0</v>
      </c>
      <c r="N70">
        <f t="shared" si="11"/>
        <v>0</v>
      </c>
      <c r="O70">
        <f t="shared" si="12"/>
        <v>0</v>
      </c>
      <c r="P70">
        <f t="shared" si="13"/>
        <v>0</v>
      </c>
      <c r="Q70">
        <f t="shared" si="14"/>
        <v>0</v>
      </c>
      <c r="R70">
        <f t="shared" si="15"/>
        <v>0</v>
      </c>
      <c r="S70">
        <f t="shared" si="16"/>
        <v>0</v>
      </c>
      <c r="T70">
        <f t="shared" si="17"/>
        <v>0</v>
      </c>
      <c r="U70">
        <f t="shared" si="18"/>
        <v>0</v>
      </c>
      <c r="V70">
        <f t="shared" si="19"/>
        <v>0</v>
      </c>
      <c r="W70">
        <f t="shared" si="20"/>
        <v>0</v>
      </c>
      <c r="X70">
        <f t="shared" si="21"/>
        <v>0</v>
      </c>
      <c r="Y70">
        <f t="shared" si="22"/>
        <v>0</v>
      </c>
      <c r="Z70">
        <f t="shared" si="23"/>
        <v>0</v>
      </c>
      <c r="AA70">
        <f t="shared" si="24"/>
        <v>0</v>
      </c>
      <c r="AB70">
        <f t="shared" si="25"/>
        <v>0</v>
      </c>
      <c r="AC70">
        <f t="shared" si="26"/>
        <v>0</v>
      </c>
      <c r="AD70">
        <f t="shared" si="27"/>
        <v>0</v>
      </c>
      <c r="AE70">
        <f t="shared" si="28"/>
        <v>0</v>
      </c>
      <c r="AF70">
        <f t="shared" si="29"/>
        <v>0</v>
      </c>
      <c r="AG70">
        <f t="shared" si="30"/>
        <v>0</v>
      </c>
      <c r="AH70">
        <f t="shared" si="31"/>
        <v>0</v>
      </c>
      <c r="AI70">
        <f t="shared" si="32"/>
        <v>0</v>
      </c>
      <c r="AJ70">
        <f t="shared" si="33"/>
        <v>0</v>
      </c>
      <c r="AK70">
        <f t="shared" si="34"/>
        <v>0</v>
      </c>
      <c r="AL70">
        <f t="shared" si="35"/>
        <v>0</v>
      </c>
      <c r="AM70">
        <f t="shared" si="36"/>
        <v>0</v>
      </c>
      <c r="AN70">
        <f t="shared" si="37"/>
        <v>0</v>
      </c>
      <c r="AO70">
        <f t="shared" si="38"/>
        <v>0</v>
      </c>
      <c r="AP70">
        <f t="shared" si="39"/>
        <v>0</v>
      </c>
      <c r="AQ70">
        <f t="shared" si="40"/>
        <v>0</v>
      </c>
      <c r="AR70">
        <f t="shared" si="41"/>
        <v>0</v>
      </c>
      <c r="AS70">
        <f t="shared" si="42"/>
        <v>0</v>
      </c>
      <c r="AT70">
        <f t="shared" si="43"/>
        <v>0</v>
      </c>
      <c r="AU70">
        <f t="shared" si="44"/>
        <v>0</v>
      </c>
      <c r="AV70">
        <f t="shared" si="45"/>
        <v>0</v>
      </c>
      <c r="AW70">
        <f t="shared" ref="AW70:AW133" si="48">SUM(AH70:AV70)</f>
        <v>0</v>
      </c>
      <c r="AX70">
        <f t="shared" si="46"/>
        <v>0</v>
      </c>
      <c r="AY70">
        <f t="shared" si="47"/>
        <v>0</v>
      </c>
    </row>
    <row r="71" spans="1:51" x14ac:dyDescent="0.35">
      <c r="A71">
        <v>65</v>
      </c>
      <c r="C71">
        <f>MAX(0,Calc!$C$7-SUM(D71:R71))</f>
        <v>750</v>
      </c>
      <c r="D71">
        <f t="shared" ref="D71:D134" si="49">IF(AH70&lt;0.005,0,MIN((AH70+ROUND(AH70*AH$3,2)),AH$4))</f>
        <v>0</v>
      </c>
      <c r="E71">
        <f t="shared" ref="E71:E134" si="50">IF(AI70&lt;0.005,0,MIN((AI70+ROUND(AI70*AI$3,2)),AI$4))</f>
        <v>0</v>
      </c>
      <c r="F71">
        <f t="shared" ref="F71:F134" si="51">IF(AJ70&lt;0.005,0,MIN((AJ70+ROUND(AJ70*AJ$3,2)),AJ$4))</f>
        <v>0</v>
      </c>
      <c r="G71">
        <f t="shared" ref="G71:G134" si="52">IF(AK70&lt;0.005,0,MIN((AK70+ROUND(AK70*AK$3,2)),AK$4))</f>
        <v>0</v>
      </c>
      <c r="H71">
        <f t="shared" ref="H71:H134" si="53">IF(AL70&lt;0.005,0,MIN((AL70+ROUND(AL70*AL$3,2)),AL$4))</f>
        <v>0</v>
      </c>
      <c r="I71">
        <f t="shared" ref="I71:I134" si="54">IF(AM70&lt;0.005,0,MIN((AM70+ROUND(AM70*AM$3,2)),AM$4))</f>
        <v>0</v>
      </c>
      <c r="J71">
        <f t="shared" ref="J71:J134" si="55">IF(AN70&lt;0.005,0,MIN((AN70+ROUND(AN70*AN$3,2)),AN$4))</f>
        <v>0</v>
      </c>
      <c r="K71">
        <f t="shared" ref="K71:K134" si="56">IF(AO70&lt;0.005,0,MIN((AO70+ROUND(AO70*AO$3,2)),AO$4))</f>
        <v>0</v>
      </c>
      <c r="L71">
        <f t="shared" ref="L71:L134" si="57">IF(AP70&lt;0.005,0,MIN((AP70+ROUND(AP70*AP$3,2)),AP$4))</f>
        <v>0</v>
      </c>
      <c r="M71">
        <f t="shared" ref="M71:M134" si="58">IF(AQ70&lt;0.005,0,MIN((AQ70+ROUND(AQ70*AQ$3,2)),AQ$4))</f>
        <v>0</v>
      </c>
      <c r="N71">
        <f t="shared" ref="N71:N134" si="59">IF(AR70&lt;0.005,0,MIN((AR70+ROUND(AR70*AR$3,2)),AR$4))</f>
        <v>0</v>
      </c>
      <c r="O71">
        <f t="shared" ref="O71:O134" si="60">IF(AS70&lt;0.005,0,MIN((AS70+ROUND(AS70*AS$3,2)),AS$4))</f>
        <v>0</v>
      </c>
      <c r="P71">
        <f t="shared" ref="P71:P134" si="61">IF(AT70&lt;0.005,0,MIN((AT70+ROUND(AT70*AT$3,2)),AT$4))</f>
        <v>0</v>
      </c>
      <c r="Q71">
        <f t="shared" ref="Q71:Q134" si="62">IF(AU70&lt;0.005,0,MIN((AU70+ROUND(AU70*AU$3,2)),AU$4))</f>
        <v>0</v>
      </c>
      <c r="R71">
        <f t="shared" ref="R71:R134" si="63">IF(AV70&lt;0.005,0,MIN((AV70+ROUND(AV70*AV$3,2)),AV$4))</f>
        <v>0</v>
      </c>
      <c r="S71">
        <f t="shared" ref="S71:S134" si="64">IF(AH70&lt;0.005,0,MIN((AH70+ROUND(AH70*AH$3,2))-D71,MAX(0,$C71)))</f>
        <v>0</v>
      </c>
      <c r="T71">
        <f t="shared" ref="T71:T134" si="65">IF(AI70&lt;0.005,0,MIN((AI70+ROUND(AI70*AI$3,2))-E71,MAX(0,$C71-SUM(S71:S71))))</f>
        <v>0</v>
      </c>
      <c r="U71">
        <f t="shared" ref="U71:U134" si="66">IF(AJ70&lt;0.005,0,MIN((AJ70+ROUND(AJ70*AJ$3,2))-F71,MAX(0,$C71-SUM(S71:T71))))</f>
        <v>0</v>
      </c>
      <c r="V71">
        <f t="shared" ref="V71:V134" si="67">IF(AK70&lt;0.005,0,MIN((AK70+ROUND(AK70*AK$3,2))-G71,MAX(0,$C71-SUM(S71:U71))))</f>
        <v>0</v>
      </c>
      <c r="W71">
        <f t="shared" ref="W71:W134" si="68">IF(AL70&lt;0.005,0,MIN((AL70+ROUND(AL70*AL$3,2))-H71,MAX(0,$C71-SUM(S71:V71))))</f>
        <v>0</v>
      </c>
      <c r="X71">
        <f t="shared" ref="X71:X134" si="69">IF(AM70&lt;0.005,0,MIN((AM70+ROUND(AM70*AM$3,2))-I71,MAX(0,$C71-SUM(S71:W71))))</f>
        <v>0</v>
      </c>
      <c r="Y71">
        <f t="shared" ref="Y71:Y134" si="70">IF(AN70&lt;0.005,0,MIN((AN70+ROUND(AN70*AN$3,2))-J71,MAX(0,$C71-SUM(S71:X71))))</f>
        <v>0</v>
      </c>
      <c r="Z71">
        <f t="shared" ref="Z71:Z134" si="71">IF(AO70&lt;0.005,0,MIN((AO70+ROUND(AO70*AO$3,2))-K71,MAX(0,$C71-SUM(S71:Y71))))</f>
        <v>0</v>
      </c>
      <c r="AA71">
        <f t="shared" ref="AA71:AA134" si="72">IF(AP70&lt;0.005,0,MIN((AP70+ROUND(AP70*AP$3,2))-L71,MAX(0,$C71-SUM(S71:Z71))))</f>
        <v>0</v>
      </c>
      <c r="AB71">
        <f t="shared" ref="AB71:AB134" si="73">IF(AQ70&lt;0.005,0,MIN((AQ70+ROUND(AQ70*AQ$3,2))-M71,MAX(0,$C71-SUM(S71:AA71))))</f>
        <v>0</v>
      </c>
      <c r="AC71">
        <f t="shared" ref="AC71:AC134" si="74">IF(AR70&lt;0.005,0,MIN((AR70+ROUND(AR70*AR$3,2))-N71,MAX(0,$C71-SUM(S71:AB71))))</f>
        <v>0</v>
      </c>
      <c r="AD71">
        <f t="shared" ref="AD71:AD134" si="75">IF(AS70&lt;0.005,0,MIN((AS70+ROUND(AS70*AS$3,2))-O71,MAX(0,$C71-SUM(S71:AC71))))</f>
        <v>0</v>
      </c>
      <c r="AE71">
        <f t="shared" ref="AE71:AE134" si="76">IF(AT70&lt;0.005,0,MIN((AT70+ROUND(AT70*AT$3,2))-P71,MAX(0,$C71-SUM(S71:AD71))))</f>
        <v>0</v>
      </c>
      <c r="AF71">
        <f t="shared" ref="AF71:AF134" si="77">IF(AU70&lt;0.005,0,MIN((AU70+ROUND(AU70*AU$3,2))-Q71,MAX(0,$C71-SUM(S71:AE71))))</f>
        <v>0</v>
      </c>
      <c r="AG71">
        <f t="shared" ref="AG71:AG134" si="78">IF(AV70&lt;0.005,0,MIN((AV70+ROUND(AV70*AV$3,2))-R71,MAX(0,$C71-SUM(S71:AF71))))</f>
        <v>0</v>
      </c>
      <c r="AH71">
        <f t="shared" ref="AH71:AH134" si="79">IF(AH70&lt;0.005,0,ROUND((AH70+ROUND(AH70*AH$3,2))-D71-S71,2))</f>
        <v>0</v>
      </c>
      <c r="AI71">
        <f t="shared" ref="AI71:AI134" si="80">IF(AI70&lt;0.005,0,ROUND((AI70+ROUND(AI70*AI$3,2))-E71-T71,2))</f>
        <v>0</v>
      </c>
      <c r="AJ71">
        <f t="shared" ref="AJ71:AJ134" si="81">IF(AJ70&lt;0.005,0,ROUND((AJ70+ROUND(AJ70*AJ$3,2))-F71-U71,2))</f>
        <v>0</v>
      </c>
      <c r="AK71">
        <f t="shared" ref="AK71:AK134" si="82">IF(AK70&lt;0.005,0,ROUND((AK70+ROUND(AK70*AK$3,2))-G71-V71,2))</f>
        <v>0</v>
      </c>
      <c r="AL71">
        <f t="shared" ref="AL71:AL134" si="83">IF(AL70&lt;0.005,0,ROUND((AL70+ROUND(AL70*AL$3,2))-H71-W71,2))</f>
        <v>0</v>
      </c>
      <c r="AM71">
        <f t="shared" ref="AM71:AM134" si="84">IF(AM70&lt;0.005,0,ROUND((AM70+ROUND(AM70*AM$3,2))-I71-X71,2))</f>
        <v>0</v>
      </c>
      <c r="AN71">
        <f t="shared" ref="AN71:AN134" si="85">IF(AN70&lt;0.005,0,ROUND((AN70+ROUND(AN70*AN$3,2))-J71-Y71,2))</f>
        <v>0</v>
      </c>
      <c r="AO71">
        <f t="shared" ref="AO71:AO134" si="86">IF(AO70&lt;0.005,0,ROUND((AO70+ROUND(AO70*AO$3,2))-K71-Z71,2))</f>
        <v>0</v>
      </c>
      <c r="AP71">
        <f t="shared" ref="AP71:AP134" si="87">IF(AP70&lt;0.005,0,ROUND((AP70+ROUND(AP70*AP$3,2))-L71-AA71,2))</f>
        <v>0</v>
      </c>
      <c r="AQ71">
        <f t="shared" ref="AQ71:AQ134" si="88">IF(AQ70&lt;0.005,0,ROUND((AQ70+ROUND(AQ70*AQ$3,2))-M71-AB71,2))</f>
        <v>0</v>
      </c>
      <c r="AR71">
        <f t="shared" ref="AR71:AR134" si="89">IF(AR70&lt;0.005,0,ROUND((AR70+ROUND(AR70*AR$3,2))-N71-AC71,2))</f>
        <v>0</v>
      </c>
      <c r="AS71">
        <f t="shared" ref="AS71:AS134" si="90">IF(AS70&lt;0.005,0,ROUND((AS70+ROUND(AS70*AS$3,2))-O71-AD71,2))</f>
        <v>0</v>
      </c>
      <c r="AT71">
        <f t="shared" ref="AT71:AT134" si="91">IF(AT70&lt;0.005,0,ROUND((AT70+ROUND(AT70*AT$3,2))-P71-AE71,2))</f>
        <v>0</v>
      </c>
      <c r="AU71">
        <f t="shared" ref="AU71:AU134" si="92">IF(AU70&lt;0.005,0,ROUND((AU70+ROUND(AU70*AU$3,2))-Q71-AF71,2))</f>
        <v>0</v>
      </c>
      <c r="AV71">
        <f t="shared" ref="AV71:AV134" si="93">IF(AV70&lt;0.005,0,ROUND((AV70+ROUND(AV70*AV$3,2))-R71-AG71,2))</f>
        <v>0</v>
      </c>
      <c r="AW71">
        <f t="shared" si="48"/>
        <v>0</v>
      </c>
      <c r="AX71">
        <f t="shared" ref="AX71:AX134" si="94">SUMPRODUCT(ROUND(AH70:AV70*AH$3:AV$3,2))</f>
        <v>0</v>
      </c>
      <c r="AY71">
        <f t="shared" ref="AY71:AY134" si="95">SUM(D71:AG71)</f>
        <v>0</v>
      </c>
    </row>
    <row r="72" spans="1:51" x14ac:dyDescent="0.35">
      <c r="A72">
        <v>66</v>
      </c>
      <c r="C72">
        <f>MAX(0,Calc!$C$7-SUM(D72:R72))</f>
        <v>750</v>
      </c>
      <c r="D72">
        <f t="shared" si="49"/>
        <v>0</v>
      </c>
      <c r="E72">
        <f t="shared" si="50"/>
        <v>0</v>
      </c>
      <c r="F72">
        <f t="shared" si="51"/>
        <v>0</v>
      </c>
      <c r="G72">
        <f t="shared" si="52"/>
        <v>0</v>
      </c>
      <c r="H72">
        <f t="shared" si="53"/>
        <v>0</v>
      </c>
      <c r="I72">
        <f t="shared" si="54"/>
        <v>0</v>
      </c>
      <c r="J72">
        <f t="shared" si="55"/>
        <v>0</v>
      </c>
      <c r="K72">
        <f t="shared" si="56"/>
        <v>0</v>
      </c>
      <c r="L72">
        <f t="shared" si="57"/>
        <v>0</v>
      </c>
      <c r="M72">
        <f t="shared" si="58"/>
        <v>0</v>
      </c>
      <c r="N72">
        <f t="shared" si="59"/>
        <v>0</v>
      </c>
      <c r="O72">
        <f t="shared" si="60"/>
        <v>0</v>
      </c>
      <c r="P72">
        <f t="shared" si="61"/>
        <v>0</v>
      </c>
      <c r="Q72">
        <f t="shared" si="62"/>
        <v>0</v>
      </c>
      <c r="R72">
        <f t="shared" si="63"/>
        <v>0</v>
      </c>
      <c r="S72">
        <f t="shared" si="64"/>
        <v>0</v>
      </c>
      <c r="T72">
        <f t="shared" si="65"/>
        <v>0</v>
      </c>
      <c r="U72">
        <f t="shared" si="66"/>
        <v>0</v>
      </c>
      <c r="V72">
        <f t="shared" si="67"/>
        <v>0</v>
      </c>
      <c r="W72">
        <f t="shared" si="68"/>
        <v>0</v>
      </c>
      <c r="X72">
        <f t="shared" si="69"/>
        <v>0</v>
      </c>
      <c r="Y72">
        <f t="shared" si="70"/>
        <v>0</v>
      </c>
      <c r="Z72">
        <f t="shared" si="71"/>
        <v>0</v>
      </c>
      <c r="AA72">
        <f t="shared" si="72"/>
        <v>0</v>
      </c>
      <c r="AB72">
        <f t="shared" si="73"/>
        <v>0</v>
      </c>
      <c r="AC72">
        <f t="shared" si="74"/>
        <v>0</v>
      </c>
      <c r="AD72">
        <f t="shared" si="75"/>
        <v>0</v>
      </c>
      <c r="AE72">
        <f t="shared" si="76"/>
        <v>0</v>
      </c>
      <c r="AF72">
        <f t="shared" si="77"/>
        <v>0</v>
      </c>
      <c r="AG72">
        <f t="shared" si="78"/>
        <v>0</v>
      </c>
      <c r="AH72">
        <f t="shared" si="79"/>
        <v>0</v>
      </c>
      <c r="AI72">
        <f t="shared" si="80"/>
        <v>0</v>
      </c>
      <c r="AJ72">
        <f t="shared" si="81"/>
        <v>0</v>
      </c>
      <c r="AK72">
        <f t="shared" si="82"/>
        <v>0</v>
      </c>
      <c r="AL72">
        <f t="shared" si="83"/>
        <v>0</v>
      </c>
      <c r="AM72">
        <f t="shared" si="84"/>
        <v>0</v>
      </c>
      <c r="AN72">
        <f t="shared" si="85"/>
        <v>0</v>
      </c>
      <c r="AO72">
        <f t="shared" si="86"/>
        <v>0</v>
      </c>
      <c r="AP72">
        <f t="shared" si="87"/>
        <v>0</v>
      </c>
      <c r="AQ72">
        <f t="shared" si="88"/>
        <v>0</v>
      </c>
      <c r="AR72">
        <f t="shared" si="89"/>
        <v>0</v>
      </c>
      <c r="AS72">
        <f t="shared" si="90"/>
        <v>0</v>
      </c>
      <c r="AT72">
        <f t="shared" si="91"/>
        <v>0</v>
      </c>
      <c r="AU72">
        <f t="shared" si="92"/>
        <v>0</v>
      </c>
      <c r="AV72">
        <f t="shared" si="93"/>
        <v>0</v>
      </c>
      <c r="AW72">
        <f t="shared" si="48"/>
        <v>0</v>
      </c>
      <c r="AX72">
        <f t="shared" si="94"/>
        <v>0</v>
      </c>
      <c r="AY72">
        <f t="shared" si="95"/>
        <v>0</v>
      </c>
    </row>
    <row r="73" spans="1:51" x14ac:dyDescent="0.35">
      <c r="A73">
        <v>67</v>
      </c>
      <c r="C73">
        <f>MAX(0,Calc!$C$7-SUM(D73:R73))</f>
        <v>750</v>
      </c>
      <c r="D73">
        <f t="shared" si="49"/>
        <v>0</v>
      </c>
      <c r="E73">
        <f t="shared" si="50"/>
        <v>0</v>
      </c>
      <c r="F73">
        <f t="shared" si="51"/>
        <v>0</v>
      </c>
      <c r="G73">
        <f t="shared" si="52"/>
        <v>0</v>
      </c>
      <c r="H73">
        <f t="shared" si="53"/>
        <v>0</v>
      </c>
      <c r="I73">
        <f t="shared" si="54"/>
        <v>0</v>
      </c>
      <c r="J73">
        <f t="shared" si="55"/>
        <v>0</v>
      </c>
      <c r="K73">
        <f t="shared" si="56"/>
        <v>0</v>
      </c>
      <c r="L73">
        <f t="shared" si="57"/>
        <v>0</v>
      </c>
      <c r="M73">
        <f t="shared" si="58"/>
        <v>0</v>
      </c>
      <c r="N73">
        <f t="shared" si="59"/>
        <v>0</v>
      </c>
      <c r="O73">
        <f t="shared" si="60"/>
        <v>0</v>
      </c>
      <c r="P73">
        <f t="shared" si="61"/>
        <v>0</v>
      </c>
      <c r="Q73">
        <f t="shared" si="62"/>
        <v>0</v>
      </c>
      <c r="R73">
        <f t="shared" si="63"/>
        <v>0</v>
      </c>
      <c r="S73">
        <f t="shared" si="64"/>
        <v>0</v>
      </c>
      <c r="T73">
        <f t="shared" si="65"/>
        <v>0</v>
      </c>
      <c r="U73">
        <f t="shared" si="66"/>
        <v>0</v>
      </c>
      <c r="V73">
        <f t="shared" si="67"/>
        <v>0</v>
      </c>
      <c r="W73">
        <f t="shared" si="68"/>
        <v>0</v>
      </c>
      <c r="X73">
        <f t="shared" si="69"/>
        <v>0</v>
      </c>
      <c r="Y73">
        <f t="shared" si="70"/>
        <v>0</v>
      </c>
      <c r="Z73">
        <f t="shared" si="71"/>
        <v>0</v>
      </c>
      <c r="AA73">
        <f t="shared" si="72"/>
        <v>0</v>
      </c>
      <c r="AB73">
        <f t="shared" si="73"/>
        <v>0</v>
      </c>
      <c r="AC73">
        <f t="shared" si="74"/>
        <v>0</v>
      </c>
      <c r="AD73">
        <f t="shared" si="75"/>
        <v>0</v>
      </c>
      <c r="AE73">
        <f t="shared" si="76"/>
        <v>0</v>
      </c>
      <c r="AF73">
        <f t="shared" si="77"/>
        <v>0</v>
      </c>
      <c r="AG73">
        <f t="shared" si="78"/>
        <v>0</v>
      </c>
      <c r="AH73">
        <f t="shared" si="79"/>
        <v>0</v>
      </c>
      <c r="AI73">
        <f t="shared" si="80"/>
        <v>0</v>
      </c>
      <c r="AJ73">
        <f t="shared" si="81"/>
        <v>0</v>
      </c>
      <c r="AK73">
        <f t="shared" si="82"/>
        <v>0</v>
      </c>
      <c r="AL73">
        <f t="shared" si="83"/>
        <v>0</v>
      </c>
      <c r="AM73">
        <f t="shared" si="84"/>
        <v>0</v>
      </c>
      <c r="AN73">
        <f t="shared" si="85"/>
        <v>0</v>
      </c>
      <c r="AO73">
        <f t="shared" si="86"/>
        <v>0</v>
      </c>
      <c r="AP73">
        <f t="shared" si="87"/>
        <v>0</v>
      </c>
      <c r="AQ73">
        <f t="shared" si="88"/>
        <v>0</v>
      </c>
      <c r="AR73">
        <f t="shared" si="89"/>
        <v>0</v>
      </c>
      <c r="AS73">
        <f t="shared" si="90"/>
        <v>0</v>
      </c>
      <c r="AT73">
        <f t="shared" si="91"/>
        <v>0</v>
      </c>
      <c r="AU73">
        <f t="shared" si="92"/>
        <v>0</v>
      </c>
      <c r="AV73">
        <f t="shared" si="93"/>
        <v>0</v>
      </c>
      <c r="AW73">
        <f t="shared" si="48"/>
        <v>0</v>
      </c>
      <c r="AX73">
        <f t="shared" si="94"/>
        <v>0</v>
      </c>
      <c r="AY73">
        <f t="shared" si="95"/>
        <v>0</v>
      </c>
    </row>
    <row r="74" spans="1:51" x14ac:dyDescent="0.35">
      <c r="A74">
        <v>68</v>
      </c>
      <c r="C74">
        <f>MAX(0,Calc!$C$7-SUM(D74:R74))</f>
        <v>750</v>
      </c>
      <c r="D74">
        <f t="shared" si="49"/>
        <v>0</v>
      </c>
      <c r="E74">
        <f t="shared" si="50"/>
        <v>0</v>
      </c>
      <c r="F74">
        <f t="shared" si="51"/>
        <v>0</v>
      </c>
      <c r="G74">
        <f t="shared" si="52"/>
        <v>0</v>
      </c>
      <c r="H74">
        <f t="shared" si="53"/>
        <v>0</v>
      </c>
      <c r="I74">
        <f t="shared" si="54"/>
        <v>0</v>
      </c>
      <c r="J74">
        <f t="shared" si="55"/>
        <v>0</v>
      </c>
      <c r="K74">
        <f t="shared" si="56"/>
        <v>0</v>
      </c>
      <c r="L74">
        <f t="shared" si="57"/>
        <v>0</v>
      </c>
      <c r="M74">
        <f t="shared" si="58"/>
        <v>0</v>
      </c>
      <c r="N74">
        <f t="shared" si="59"/>
        <v>0</v>
      </c>
      <c r="O74">
        <f t="shared" si="60"/>
        <v>0</v>
      </c>
      <c r="P74">
        <f t="shared" si="61"/>
        <v>0</v>
      </c>
      <c r="Q74">
        <f t="shared" si="62"/>
        <v>0</v>
      </c>
      <c r="R74">
        <f t="shared" si="63"/>
        <v>0</v>
      </c>
      <c r="S74">
        <f t="shared" si="64"/>
        <v>0</v>
      </c>
      <c r="T74">
        <f t="shared" si="65"/>
        <v>0</v>
      </c>
      <c r="U74">
        <f t="shared" si="66"/>
        <v>0</v>
      </c>
      <c r="V74">
        <f t="shared" si="67"/>
        <v>0</v>
      </c>
      <c r="W74">
        <f t="shared" si="68"/>
        <v>0</v>
      </c>
      <c r="X74">
        <f t="shared" si="69"/>
        <v>0</v>
      </c>
      <c r="Y74">
        <f t="shared" si="70"/>
        <v>0</v>
      </c>
      <c r="Z74">
        <f t="shared" si="71"/>
        <v>0</v>
      </c>
      <c r="AA74">
        <f t="shared" si="72"/>
        <v>0</v>
      </c>
      <c r="AB74">
        <f t="shared" si="73"/>
        <v>0</v>
      </c>
      <c r="AC74">
        <f t="shared" si="74"/>
        <v>0</v>
      </c>
      <c r="AD74">
        <f t="shared" si="75"/>
        <v>0</v>
      </c>
      <c r="AE74">
        <f t="shared" si="76"/>
        <v>0</v>
      </c>
      <c r="AF74">
        <f t="shared" si="77"/>
        <v>0</v>
      </c>
      <c r="AG74">
        <f t="shared" si="78"/>
        <v>0</v>
      </c>
      <c r="AH74">
        <f t="shared" si="79"/>
        <v>0</v>
      </c>
      <c r="AI74">
        <f t="shared" si="80"/>
        <v>0</v>
      </c>
      <c r="AJ74">
        <f t="shared" si="81"/>
        <v>0</v>
      </c>
      <c r="AK74">
        <f t="shared" si="82"/>
        <v>0</v>
      </c>
      <c r="AL74">
        <f t="shared" si="83"/>
        <v>0</v>
      </c>
      <c r="AM74">
        <f t="shared" si="84"/>
        <v>0</v>
      </c>
      <c r="AN74">
        <f t="shared" si="85"/>
        <v>0</v>
      </c>
      <c r="AO74">
        <f t="shared" si="86"/>
        <v>0</v>
      </c>
      <c r="AP74">
        <f t="shared" si="87"/>
        <v>0</v>
      </c>
      <c r="AQ74">
        <f t="shared" si="88"/>
        <v>0</v>
      </c>
      <c r="AR74">
        <f t="shared" si="89"/>
        <v>0</v>
      </c>
      <c r="AS74">
        <f t="shared" si="90"/>
        <v>0</v>
      </c>
      <c r="AT74">
        <f t="shared" si="91"/>
        <v>0</v>
      </c>
      <c r="AU74">
        <f t="shared" si="92"/>
        <v>0</v>
      </c>
      <c r="AV74">
        <f t="shared" si="93"/>
        <v>0</v>
      </c>
      <c r="AW74">
        <f t="shared" si="48"/>
        <v>0</v>
      </c>
      <c r="AX74">
        <f t="shared" si="94"/>
        <v>0</v>
      </c>
      <c r="AY74">
        <f t="shared" si="95"/>
        <v>0</v>
      </c>
    </row>
    <row r="75" spans="1:51" x14ac:dyDescent="0.35">
      <c r="A75">
        <v>69</v>
      </c>
      <c r="C75">
        <f>MAX(0,Calc!$C$7-SUM(D75:R75))</f>
        <v>750</v>
      </c>
      <c r="D75">
        <f t="shared" si="49"/>
        <v>0</v>
      </c>
      <c r="E75">
        <f t="shared" si="50"/>
        <v>0</v>
      </c>
      <c r="F75">
        <f t="shared" si="51"/>
        <v>0</v>
      </c>
      <c r="G75">
        <f t="shared" si="52"/>
        <v>0</v>
      </c>
      <c r="H75">
        <f t="shared" si="53"/>
        <v>0</v>
      </c>
      <c r="I75">
        <f t="shared" si="54"/>
        <v>0</v>
      </c>
      <c r="J75">
        <f t="shared" si="55"/>
        <v>0</v>
      </c>
      <c r="K75">
        <f t="shared" si="56"/>
        <v>0</v>
      </c>
      <c r="L75">
        <f t="shared" si="57"/>
        <v>0</v>
      </c>
      <c r="M75">
        <f t="shared" si="58"/>
        <v>0</v>
      </c>
      <c r="N75">
        <f t="shared" si="59"/>
        <v>0</v>
      </c>
      <c r="O75">
        <f t="shared" si="60"/>
        <v>0</v>
      </c>
      <c r="P75">
        <f t="shared" si="61"/>
        <v>0</v>
      </c>
      <c r="Q75">
        <f t="shared" si="62"/>
        <v>0</v>
      </c>
      <c r="R75">
        <f t="shared" si="63"/>
        <v>0</v>
      </c>
      <c r="S75">
        <f t="shared" si="64"/>
        <v>0</v>
      </c>
      <c r="T75">
        <f t="shared" si="65"/>
        <v>0</v>
      </c>
      <c r="U75">
        <f t="shared" si="66"/>
        <v>0</v>
      </c>
      <c r="V75">
        <f t="shared" si="67"/>
        <v>0</v>
      </c>
      <c r="W75">
        <f t="shared" si="68"/>
        <v>0</v>
      </c>
      <c r="X75">
        <f t="shared" si="69"/>
        <v>0</v>
      </c>
      <c r="Y75">
        <f t="shared" si="70"/>
        <v>0</v>
      </c>
      <c r="Z75">
        <f t="shared" si="71"/>
        <v>0</v>
      </c>
      <c r="AA75">
        <f t="shared" si="72"/>
        <v>0</v>
      </c>
      <c r="AB75">
        <f t="shared" si="73"/>
        <v>0</v>
      </c>
      <c r="AC75">
        <f t="shared" si="74"/>
        <v>0</v>
      </c>
      <c r="AD75">
        <f t="shared" si="75"/>
        <v>0</v>
      </c>
      <c r="AE75">
        <f t="shared" si="76"/>
        <v>0</v>
      </c>
      <c r="AF75">
        <f t="shared" si="77"/>
        <v>0</v>
      </c>
      <c r="AG75">
        <f t="shared" si="78"/>
        <v>0</v>
      </c>
      <c r="AH75">
        <f t="shared" si="79"/>
        <v>0</v>
      </c>
      <c r="AI75">
        <f t="shared" si="80"/>
        <v>0</v>
      </c>
      <c r="AJ75">
        <f t="shared" si="81"/>
        <v>0</v>
      </c>
      <c r="AK75">
        <f t="shared" si="82"/>
        <v>0</v>
      </c>
      <c r="AL75">
        <f t="shared" si="83"/>
        <v>0</v>
      </c>
      <c r="AM75">
        <f t="shared" si="84"/>
        <v>0</v>
      </c>
      <c r="AN75">
        <f t="shared" si="85"/>
        <v>0</v>
      </c>
      <c r="AO75">
        <f t="shared" si="86"/>
        <v>0</v>
      </c>
      <c r="AP75">
        <f t="shared" si="87"/>
        <v>0</v>
      </c>
      <c r="AQ75">
        <f t="shared" si="88"/>
        <v>0</v>
      </c>
      <c r="AR75">
        <f t="shared" si="89"/>
        <v>0</v>
      </c>
      <c r="AS75">
        <f t="shared" si="90"/>
        <v>0</v>
      </c>
      <c r="AT75">
        <f t="shared" si="91"/>
        <v>0</v>
      </c>
      <c r="AU75">
        <f t="shared" si="92"/>
        <v>0</v>
      </c>
      <c r="AV75">
        <f t="shared" si="93"/>
        <v>0</v>
      </c>
      <c r="AW75">
        <f t="shared" si="48"/>
        <v>0</v>
      </c>
      <c r="AX75">
        <f t="shared" si="94"/>
        <v>0</v>
      </c>
      <c r="AY75">
        <f t="shared" si="95"/>
        <v>0</v>
      </c>
    </row>
    <row r="76" spans="1:51" x14ac:dyDescent="0.35">
      <c r="A76">
        <v>70</v>
      </c>
      <c r="C76">
        <f>MAX(0,Calc!$C$7-SUM(D76:R76))</f>
        <v>750</v>
      </c>
      <c r="D76">
        <f t="shared" si="49"/>
        <v>0</v>
      </c>
      <c r="E76">
        <f t="shared" si="50"/>
        <v>0</v>
      </c>
      <c r="F76">
        <f t="shared" si="51"/>
        <v>0</v>
      </c>
      <c r="G76">
        <f t="shared" si="52"/>
        <v>0</v>
      </c>
      <c r="H76">
        <f t="shared" si="53"/>
        <v>0</v>
      </c>
      <c r="I76">
        <f t="shared" si="54"/>
        <v>0</v>
      </c>
      <c r="J76">
        <f t="shared" si="55"/>
        <v>0</v>
      </c>
      <c r="K76">
        <f t="shared" si="56"/>
        <v>0</v>
      </c>
      <c r="L76">
        <f t="shared" si="57"/>
        <v>0</v>
      </c>
      <c r="M76">
        <f t="shared" si="58"/>
        <v>0</v>
      </c>
      <c r="N76">
        <f t="shared" si="59"/>
        <v>0</v>
      </c>
      <c r="O76">
        <f t="shared" si="60"/>
        <v>0</v>
      </c>
      <c r="P76">
        <f t="shared" si="61"/>
        <v>0</v>
      </c>
      <c r="Q76">
        <f t="shared" si="62"/>
        <v>0</v>
      </c>
      <c r="R76">
        <f t="shared" si="63"/>
        <v>0</v>
      </c>
      <c r="S76">
        <f t="shared" si="64"/>
        <v>0</v>
      </c>
      <c r="T76">
        <f t="shared" si="65"/>
        <v>0</v>
      </c>
      <c r="U76">
        <f t="shared" si="66"/>
        <v>0</v>
      </c>
      <c r="V76">
        <f t="shared" si="67"/>
        <v>0</v>
      </c>
      <c r="W76">
        <f t="shared" si="68"/>
        <v>0</v>
      </c>
      <c r="X76">
        <f t="shared" si="69"/>
        <v>0</v>
      </c>
      <c r="Y76">
        <f t="shared" si="70"/>
        <v>0</v>
      </c>
      <c r="Z76">
        <f t="shared" si="71"/>
        <v>0</v>
      </c>
      <c r="AA76">
        <f t="shared" si="72"/>
        <v>0</v>
      </c>
      <c r="AB76">
        <f t="shared" si="73"/>
        <v>0</v>
      </c>
      <c r="AC76">
        <f t="shared" si="74"/>
        <v>0</v>
      </c>
      <c r="AD76">
        <f t="shared" si="75"/>
        <v>0</v>
      </c>
      <c r="AE76">
        <f t="shared" si="76"/>
        <v>0</v>
      </c>
      <c r="AF76">
        <f t="shared" si="77"/>
        <v>0</v>
      </c>
      <c r="AG76">
        <f t="shared" si="78"/>
        <v>0</v>
      </c>
      <c r="AH76">
        <f t="shared" si="79"/>
        <v>0</v>
      </c>
      <c r="AI76">
        <f t="shared" si="80"/>
        <v>0</v>
      </c>
      <c r="AJ76">
        <f t="shared" si="81"/>
        <v>0</v>
      </c>
      <c r="AK76">
        <f t="shared" si="82"/>
        <v>0</v>
      </c>
      <c r="AL76">
        <f t="shared" si="83"/>
        <v>0</v>
      </c>
      <c r="AM76">
        <f t="shared" si="84"/>
        <v>0</v>
      </c>
      <c r="AN76">
        <f t="shared" si="85"/>
        <v>0</v>
      </c>
      <c r="AO76">
        <f t="shared" si="86"/>
        <v>0</v>
      </c>
      <c r="AP76">
        <f t="shared" si="87"/>
        <v>0</v>
      </c>
      <c r="AQ76">
        <f t="shared" si="88"/>
        <v>0</v>
      </c>
      <c r="AR76">
        <f t="shared" si="89"/>
        <v>0</v>
      </c>
      <c r="AS76">
        <f t="shared" si="90"/>
        <v>0</v>
      </c>
      <c r="AT76">
        <f t="shared" si="91"/>
        <v>0</v>
      </c>
      <c r="AU76">
        <f t="shared" si="92"/>
        <v>0</v>
      </c>
      <c r="AV76">
        <f t="shared" si="93"/>
        <v>0</v>
      </c>
      <c r="AW76">
        <f t="shared" si="48"/>
        <v>0</v>
      </c>
      <c r="AX76">
        <f t="shared" si="94"/>
        <v>0</v>
      </c>
      <c r="AY76">
        <f t="shared" si="95"/>
        <v>0</v>
      </c>
    </row>
    <row r="77" spans="1:51" x14ac:dyDescent="0.35">
      <c r="A77">
        <v>71</v>
      </c>
      <c r="C77">
        <f>MAX(0,Calc!$C$7-SUM(D77:R77))</f>
        <v>750</v>
      </c>
      <c r="D77">
        <f t="shared" si="49"/>
        <v>0</v>
      </c>
      <c r="E77">
        <f t="shared" si="50"/>
        <v>0</v>
      </c>
      <c r="F77">
        <f t="shared" si="51"/>
        <v>0</v>
      </c>
      <c r="G77">
        <f t="shared" si="52"/>
        <v>0</v>
      </c>
      <c r="H77">
        <f t="shared" si="53"/>
        <v>0</v>
      </c>
      <c r="I77">
        <f t="shared" si="54"/>
        <v>0</v>
      </c>
      <c r="J77">
        <f t="shared" si="55"/>
        <v>0</v>
      </c>
      <c r="K77">
        <f t="shared" si="56"/>
        <v>0</v>
      </c>
      <c r="L77">
        <f t="shared" si="57"/>
        <v>0</v>
      </c>
      <c r="M77">
        <f t="shared" si="58"/>
        <v>0</v>
      </c>
      <c r="N77">
        <f t="shared" si="59"/>
        <v>0</v>
      </c>
      <c r="O77">
        <f t="shared" si="60"/>
        <v>0</v>
      </c>
      <c r="P77">
        <f t="shared" si="61"/>
        <v>0</v>
      </c>
      <c r="Q77">
        <f t="shared" si="62"/>
        <v>0</v>
      </c>
      <c r="R77">
        <f t="shared" si="63"/>
        <v>0</v>
      </c>
      <c r="S77">
        <f t="shared" si="64"/>
        <v>0</v>
      </c>
      <c r="T77">
        <f t="shared" si="65"/>
        <v>0</v>
      </c>
      <c r="U77">
        <f t="shared" si="66"/>
        <v>0</v>
      </c>
      <c r="V77">
        <f t="shared" si="67"/>
        <v>0</v>
      </c>
      <c r="W77">
        <f t="shared" si="68"/>
        <v>0</v>
      </c>
      <c r="X77">
        <f t="shared" si="69"/>
        <v>0</v>
      </c>
      <c r="Y77">
        <f t="shared" si="70"/>
        <v>0</v>
      </c>
      <c r="Z77">
        <f t="shared" si="71"/>
        <v>0</v>
      </c>
      <c r="AA77">
        <f t="shared" si="72"/>
        <v>0</v>
      </c>
      <c r="AB77">
        <f t="shared" si="73"/>
        <v>0</v>
      </c>
      <c r="AC77">
        <f t="shared" si="74"/>
        <v>0</v>
      </c>
      <c r="AD77">
        <f t="shared" si="75"/>
        <v>0</v>
      </c>
      <c r="AE77">
        <f t="shared" si="76"/>
        <v>0</v>
      </c>
      <c r="AF77">
        <f t="shared" si="77"/>
        <v>0</v>
      </c>
      <c r="AG77">
        <f t="shared" si="78"/>
        <v>0</v>
      </c>
      <c r="AH77">
        <f t="shared" si="79"/>
        <v>0</v>
      </c>
      <c r="AI77">
        <f t="shared" si="80"/>
        <v>0</v>
      </c>
      <c r="AJ77">
        <f t="shared" si="81"/>
        <v>0</v>
      </c>
      <c r="AK77">
        <f t="shared" si="82"/>
        <v>0</v>
      </c>
      <c r="AL77">
        <f t="shared" si="83"/>
        <v>0</v>
      </c>
      <c r="AM77">
        <f t="shared" si="84"/>
        <v>0</v>
      </c>
      <c r="AN77">
        <f t="shared" si="85"/>
        <v>0</v>
      </c>
      <c r="AO77">
        <f t="shared" si="86"/>
        <v>0</v>
      </c>
      <c r="AP77">
        <f t="shared" si="87"/>
        <v>0</v>
      </c>
      <c r="AQ77">
        <f t="shared" si="88"/>
        <v>0</v>
      </c>
      <c r="AR77">
        <f t="shared" si="89"/>
        <v>0</v>
      </c>
      <c r="AS77">
        <f t="shared" si="90"/>
        <v>0</v>
      </c>
      <c r="AT77">
        <f t="shared" si="91"/>
        <v>0</v>
      </c>
      <c r="AU77">
        <f t="shared" si="92"/>
        <v>0</v>
      </c>
      <c r="AV77">
        <f t="shared" si="93"/>
        <v>0</v>
      </c>
      <c r="AW77">
        <f t="shared" si="48"/>
        <v>0</v>
      </c>
      <c r="AX77">
        <f t="shared" si="94"/>
        <v>0</v>
      </c>
      <c r="AY77">
        <f t="shared" si="95"/>
        <v>0</v>
      </c>
    </row>
    <row r="78" spans="1:51" x14ac:dyDescent="0.35">
      <c r="A78">
        <v>72</v>
      </c>
      <c r="C78">
        <f>MAX(0,Calc!$C$7-SUM(D78:R78))</f>
        <v>750</v>
      </c>
      <c r="D78">
        <f t="shared" si="49"/>
        <v>0</v>
      </c>
      <c r="E78">
        <f t="shared" si="50"/>
        <v>0</v>
      </c>
      <c r="F78">
        <f t="shared" si="51"/>
        <v>0</v>
      </c>
      <c r="G78">
        <f t="shared" si="52"/>
        <v>0</v>
      </c>
      <c r="H78">
        <f t="shared" si="53"/>
        <v>0</v>
      </c>
      <c r="I78">
        <f t="shared" si="54"/>
        <v>0</v>
      </c>
      <c r="J78">
        <f t="shared" si="55"/>
        <v>0</v>
      </c>
      <c r="K78">
        <f t="shared" si="56"/>
        <v>0</v>
      </c>
      <c r="L78">
        <f t="shared" si="57"/>
        <v>0</v>
      </c>
      <c r="M78">
        <f t="shared" si="58"/>
        <v>0</v>
      </c>
      <c r="N78">
        <f t="shared" si="59"/>
        <v>0</v>
      </c>
      <c r="O78">
        <f t="shared" si="60"/>
        <v>0</v>
      </c>
      <c r="P78">
        <f t="shared" si="61"/>
        <v>0</v>
      </c>
      <c r="Q78">
        <f t="shared" si="62"/>
        <v>0</v>
      </c>
      <c r="R78">
        <f t="shared" si="63"/>
        <v>0</v>
      </c>
      <c r="S78">
        <f t="shared" si="64"/>
        <v>0</v>
      </c>
      <c r="T78">
        <f t="shared" si="65"/>
        <v>0</v>
      </c>
      <c r="U78">
        <f t="shared" si="66"/>
        <v>0</v>
      </c>
      <c r="V78">
        <f t="shared" si="67"/>
        <v>0</v>
      </c>
      <c r="W78">
        <f t="shared" si="68"/>
        <v>0</v>
      </c>
      <c r="X78">
        <f t="shared" si="69"/>
        <v>0</v>
      </c>
      <c r="Y78">
        <f t="shared" si="70"/>
        <v>0</v>
      </c>
      <c r="Z78">
        <f t="shared" si="71"/>
        <v>0</v>
      </c>
      <c r="AA78">
        <f t="shared" si="72"/>
        <v>0</v>
      </c>
      <c r="AB78">
        <f t="shared" si="73"/>
        <v>0</v>
      </c>
      <c r="AC78">
        <f t="shared" si="74"/>
        <v>0</v>
      </c>
      <c r="AD78">
        <f t="shared" si="75"/>
        <v>0</v>
      </c>
      <c r="AE78">
        <f t="shared" si="76"/>
        <v>0</v>
      </c>
      <c r="AF78">
        <f t="shared" si="77"/>
        <v>0</v>
      </c>
      <c r="AG78">
        <f t="shared" si="78"/>
        <v>0</v>
      </c>
      <c r="AH78">
        <f t="shared" si="79"/>
        <v>0</v>
      </c>
      <c r="AI78">
        <f t="shared" si="80"/>
        <v>0</v>
      </c>
      <c r="AJ78">
        <f t="shared" si="81"/>
        <v>0</v>
      </c>
      <c r="AK78">
        <f t="shared" si="82"/>
        <v>0</v>
      </c>
      <c r="AL78">
        <f t="shared" si="83"/>
        <v>0</v>
      </c>
      <c r="AM78">
        <f t="shared" si="84"/>
        <v>0</v>
      </c>
      <c r="AN78">
        <f t="shared" si="85"/>
        <v>0</v>
      </c>
      <c r="AO78">
        <f t="shared" si="86"/>
        <v>0</v>
      </c>
      <c r="AP78">
        <f t="shared" si="87"/>
        <v>0</v>
      </c>
      <c r="AQ78">
        <f t="shared" si="88"/>
        <v>0</v>
      </c>
      <c r="AR78">
        <f t="shared" si="89"/>
        <v>0</v>
      </c>
      <c r="AS78">
        <f t="shared" si="90"/>
        <v>0</v>
      </c>
      <c r="AT78">
        <f t="shared" si="91"/>
        <v>0</v>
      </c>
      <c r="AU78">
        <f t="shared" si="92"/>
        <v>0</v>
      </c>
      <c r="AV78">
        <f t="shared" si="93"/>
        <v>0</v>
      </c>
      <c r="AW78">
        <f t="shared" si="48"/>
        <v>0</v>
      </c>
      <c r="AX78">
        <f t="shared" si="94"/>
        <v>0</v>
      </c>
      <c r="AY78">
        <f t="shared" si="95"/>
        <v>0</v>
      </c>
    </row>
    <row r="79" spans="1:51" x14ac:dyDescent="0.35">
      <c r="A79">
        <v>73</v>
      </c>
      <c r="C79">
        <f>MAX(0,Calc!$C$7-SUM(D79:R79))</f>
        <v>750</v>
      </c>
      <c r="D79">
        <f t="shared" si="49"/>
        <v>0</v>
      </c>
      <c r="E79">
        <f t="shared" si="50"/>
        <v>0</v>
      </c>
      <c r="F79">
        <f t="shared" si="51"/>
        <v>0</v>
      </c>
      <c r="G79">
        <f t="shared" si="52"/>
        <v>0</v>
      </c>
      <c r="H79">
        <f t="shared" si="53"/>
        <v>0</v>
      </c>
      <c r="I79">
        <f t="shared" si="54"/>
        <v>0</v>
      </c>
      <c r="J79">
        <f t="shared" si="55"/>
        <v>0</v>
      </c>
      <c r="K79">
        <f t="shared" si="56"/>
        <v>0</v>
      </c>
      <c r="L79">
        <f t="shared" si="57"/>
        <v>0</v>
      </c>
      <c r="M79">
        <f t="shared" si="58"/>
        <v>0</v>
      </c>
      <c r="N79">
        <f t="shared" si="59"/>
        <v>0</v>
      </c>
      <c r="O79">
        <f t="shared" si="60"/>
        <v>0</v>
      </c>
      <c r="P79">
        <f t="shared" si="61"/>
        <v>0</v>
      </c>
      <c r="Q79">
        <f t="shared" si="62"/>
        <v>0</v>
      </c>
      <c r="R79">
        <f t="shared" si="63"/>
        <v>0</v>
      </c>
      <c r="S79">
        <f t="shared" si="64"/>
        <v>0</v>
      </c>
      <c r="T79">
        <f t="shared" si="65"/>
        <v>0</v>
      </c>
      <c r="U79">
        <f t="shared" si="66"/>
        <v>0</v>
      </c>
      <c r="V79">
        <f t="shared" si="67"/>
        <v>0</v>
      </c>
      <c r="W79">
        <f t="shared" si="68"/>
        <v>0</v>
      </c>
      <c r="X79">
        <f t="shared" si="69"/>
        <v>0</v>
      </c>
      <c r="Y79">
        <f t="shared" si="70"/>
        <v>0</v>
      </c>
      <c r="Z79">
        <f t="shared" si="71"/>
        <v>0</v>
      </c>
      <c r="AA79">
        <f t="shared" si="72"/>
        <v>0</v>
      </c>
      <c r="AB79">
        <f t="shared" si="73"/>
        <v>0</v>
      </c>
      <c r="AC79">
        <f t="shared" si="74"/>
        <v>0</v>
      </c>
      <c r="AD79">
        <f t="shared" si="75"/>
        <v>0</v>
      </c>
      <c r="AE79">
        <f t="shared" si="76"/>
        <v>0</v>
      </c>
      <c r="AF79">
        <f t="shared" si="77"/>
        <v>0</v>
      </c>
      <c r="AG79">
        <f t="shared" si="78"/>
        <v>0</v>
      </c>
      <c r="AH79">
        <f t="shared" si="79"/>
        <v>0</v>
      </c>
      <c r="AI79">
        <f t="shared" si="80"/>
        <v>0</v>
      </c>
      <c r="AJ79">
        <f t="shared" si="81"/>
        <v>0</v>
      </c>
      <c r="AK79">
        <f t="shared" si="82"/>
        <v>0</v>
      </c>
      <c r="AL79">
        <f t="shared" si="83"/>
        <v>0</v>
      </c>
      <c r="AM79">
        <f t="shared" si="84"/>
        <v>0</v>
      </c>
      <c r="AN79">
        <f t="shared" si="85"/>
        <v>0</v>
      </c>
      <c r="AO79">
        <f t="shared" si="86"/>
        <v>0</v>
      </c>
      <c r="AP79">
        <f t="shared" si="87"/>
        <v>0</v>
      </c>
      <c r="AQ79">
        <f t="shared" si="88"/>
        <v>0</v>
      </c>
      <c r="AR79">
        <f t="shared" si="89"/>
        <v>0</v>
      </c>
      <c r="AS79">
        <f t="shared" si="90"/>
        <v>0</v>
      </c>
      <c r="AT79">
        <f t="shared" si="91"/>
        <v>0</v>
      </c>
      <c r="AU79">
        <f t="shared" si="92"/>
        <v>0</v>
      </c>
      <c r="AV79">
        <f t="shared" si="93"/>
        <v>0</v>
      </c>
      <c r="AW79">
        <f t="shared" si="48"/>
        <v>0</v>
      </c>
      <c r="AX79">
        <f t="shared" si="94"/>
        <v>0</v>
      </c>
      <c r="AY79">
        <f t="shared" si="95"/>
        <v>0</v>
      </c>
    </row>
    <row r="80" spans="1:51" x14ac:dyDescent="0.35">
      <c r="A80">
        <v>74</v>
      </c>
      <c r="C80">
        <f>MAX(0,Calc!$C$7-SUM(D80:R80))</f>
        <v>750</v>
      </c>
      <c r="D80">
        <f t="shared" si="49"/>
        <v>0</v>
      </c>
      <c r="E80">
        <f t="shared" si="50"/>
        <v>0</v>
      </c>
      <c r="F80">
        <f t="shared" si="51"/>
        <v>0</v>
      </c>
      <c r="G80">
        <f t="shared" si="52"/>
        <v>0</v>
      </c>
      <c r="H80">
        <f t="shared" si="53"/>
        <v>0</v>
      </c>
      <c r="I80">
        <f t="shared" si="54"/>
        <v>0</v>
      </c>
      <c r="J80">
        <f t="shared" si="55"/>
        <v>0</v>
      </c>
      <c r="K80">
        <f t="shared" si="56"/>
        <v>0</v>
      </c>
      <c r="L80">
        <f t="shared" si="57"/>
        <v>0</v>
      </c>
      <c r="M80">
        <f t="shared" si="58"/>
        <v>0</v>
      </c>
      <c r="N80">
        <f t="shared" si="59"/>
        <v>0</v>
      </c>
      <c r="O80">
        <f t="shared" si="60"/>
        <v>0</v>
      </c>
      <c r="P80">
        <f t="shared" si="61"/>
        <v>0</v>
      </c>
      <c r="Q80">
        <f t="shared" si="62"/>
        <v>0</v>
      </c>
      <c r="R80">
        <f t="shared" si="63"/>
        <v>0</v>
      </c>
      <c r="S80">
        <f t="shared" si="64"/>
        <v>0</v>
      </c>
      <c r="T80">
        <f t="shared" si="65"/>
        <v>0</v>
      </c>
      <c r="U80">
        <f t="shared" si="66"/>
        <v>0</v>
      </c>
      <c r="V80">
        <f t="shared" si="67"/>
        <v>0</v>
      </c>
      <c r="W80">
        <f t="shared" si="68"/>
        <v>0</v>
      </c>
      <c r="X80">
        <f t="shared" si="69"/>
        <v>0</v>
      </c>
      <c r="Y80">
        <f t="shared" si="70"/>
        <v>0</v>
      </c>
      <c r="Z80">
        <f t="shared" si="71"/>
        <v>0</v>
      </c>
      <c r="AA80">
        <f t="shared" si="72"/>
        <v>0</v>
      </c>
      <c r="AB80">
        <f t="shared" si="73"/>
        <v>0</v>
      </c>
      <c r="AC80">
        <f t="shared" si="74"/>
        <v>0</v>
      </c>
      <c r="AD80">
        <f t="shared" si="75"/>
        <v>0</v>
      </c>
      <c r="AE80">
        <f t="shared" si="76"/>
        <v>0</v>
      </c>
      <c r="AF80">
        <f t="shared" si="77"/>
        <v>0</v>
      </c>
      <c r="AG80">
        <f t="shared" si="78"/>
        <v>0</v>
      </c>
      <c r="AH80">
        <f t="shared" si="79"/>
        <v>0</v>
      </c>
      <c r="AI80">
        <f t="shared" si="80"/>
        <v>0</v>
      </c>
      <c r="AJ80">
        <f t="shared" si="81"/>
        <v>0</v>
      </c>
      <c r="AK80">
        <f t="shared" si="82"/>
        <v>0</v>
      </c>
      <c r="AL80">
        <f t="shared" si="83"/>
        <v>0</v>
      </c>
      <c r="AM80">
        <f t="shared" si="84"/>
        <v>0</v>
      </c>
      <c r="AN80">
        <f t="shared" si="85"/>
        <v>0</v>
      </c>
      <c r="AO80">
        <f t="shared" si="86"/>
        <v>0</v>
      </c>
      <c r="AP80">
        <f t="shared" si="87"/>
        <v>0</v>
      </c>
      <c r="AQ80">
        <f t="shared" si="88"/>
        <v>0</v>
      </c>
      <c r="AR80">
        <f t="shared" si="89"/>
        <v>0</v>
      </c>
      <c r="AS80">
        <f t="shared" si="90"/>
        <v>0</v>
      </c>
      <c r="AT80">
        <f t="shared" si="91"/>
        <v>0</v>
      </c>
      <c r="AU80">
        <f t="shared" si="92"/>
        <v>0</v>
      </c>
      <c r="AV80">
        <f t="shared" si="93"/>
        <v>0</v>
      </c>
      <c r="AW80">
        <f t="shared" si="48"/>
        <v>0</v>
      </c>
      <c r="AX80">
        <f t="shared" si="94"/>
        <v>0</v>
      </c>
      <c r="AY80">
        <f t="shared" si="95"/>
        <v>0</v>
      </c>
    </row>
    <row r="81" spans="1:51" x14ac:dyDescent="0.35">
      <c r="A81">
        <v>75</v>
      </c>
      <c r="C81">
        <f>MAX(0,Calc!$C$7-SUM(D81:R81))</f>
        <v>750</v>
      </c>
      <c r="D81">
        <f t="shared" si="49"/>
        <v>0</v>
      </c>
      <c r="E81">
        <f t="shared" si="50"/>
        <v>0</v>
      </c>
      <c r="F81">
        <f t="shared" si="51"/>
        <v>0</v>
      </c>
      <c r="G81">
        <f t="shared" si="52"/>
        <v>0</v>
      </c>
      <c r="H81">
        <f t="shared" si="53"/>
        <v>0</v>
      </c>
      <c r="I81">
        <f t="shared" si="54"/>
        <v>0</v>
      </c>
      <c r="J81">
        <f t="shared" si="55"/>
        <v>0</v>
      </c>
      <c r="K81">
        <f t="shared" si="56"/>
        <v>0</v>
      </c>
      <c r="L81">
        <f t="shared" si="57"/>
        <v>0</v>
      </c>
      <c r="M81">
        <f t="shared" si="58"/>
        <v>0</v>
      </c>
      <c r="N81">
        <f t="shared" si="59"/>
        <v>0</v>
      </c>
      <c r="O81">
        <f t="shared" si="60"/>
        <v>0</v>
      </c>
      <c r="P81">
        <f t="shared" si="61"/>
        <v>0</v>
      </c>
      <c r="Q81">
        <f t="shared" si="62"/>
        <v>0</v>
      </c>
      <c r="R81">
        <f t="shared" si="63"/>
        <v>0</v>
      </c>
      <c r="S81">
        <f t="shared" si="64"/>
        <v>0</v>
      </c>
      <c r="T81">
        <f t="shared" si="65"/>
        <v>0</v>
      </c>
      <c r="U81">
        <f t="shared" si="66"/>
        <v>0</v>
      </c>
      <c r="V81">
        <f t="shared" si="67"/>
        <v>0</v>
      </c>
      <c r="W81">
        <f t="shared" si="68"/>
        <v>0</v>
      </c>
      <c r="X81">
        <f t="shared" si="69"/>
        <v>0</v>
      </c>
      <c r="Y81">
        <f t="shared" si="70"/>
        <v>0</v>
      </c>
      <c r="Z81">
        <f t="shared" si="71"/>
        <v>0</v>
      </c>
      <c r="AA81">
        <f t="shared" si="72"/>
        <v>0</v>
      </c>
      <c r="AB81">
        <f t="shared" si="73"/>
        <v>0</v>
      </c>
      <c r="AC81">
        <f t="shared" si="74"/>
        <v>0</v>
      </c>
      <c r="AD81">
        <f t="shared" si="75"/>
        <v>0</v>
      </c>
      <c r="AE81">
        <f t="shared" si="76"/>
        <v>0</v>
      </c>
      <c r="AF81">
        <f t="shared" si="77"/>
        <v>0</v>
      </c>
      <c r="AG81">
        <f t="shared" si="78"/>
        <v>0</v>
      </c>
      <c r="AH81">
        <f t="shared" si="79"/>
        <v>0</v>
      </c>
      <c r="AI81">
        <f t="shared" si="80"/>
        <v>0</v>
      </c>
      <c r="AJ81">
        <f t="shared" si="81"/>
        <v>0</v>
      </c>
      <c r="AK81">
        <f t="shared" si="82"/>
        <v>0</v>
      </c>
      <c r="AL81">
        <f t="shared" si="83"/>
        <v>0</v>
      </c>
      <c r="AM81">
        <f t="shared" si="84"/>
        <v>0</v>
      </c>
      <c r="AN81">
        <f t="shared" si="85"/>
        <v>0</v>
      </c>
      <c r="AO81">
        <f t="shared" si="86"/>
        <v>0</v>
      </c>
      <c r="AP81">
        <f t="shared" si="87"/>
        <v>0</v>
      </c>
      <c r="AQ81">
        <f t="shared" si="88"/>
        <v>0</v>
      </c>
      <c r="AR81">
        <f t="shared" si="89"/>
        <v>0</v>
      </c>
      <c r="AS81">
        <f t="shared" si="90"/>
        <v>0</v>
      </c>
      <c r="AT81">
        <f t="shared" si="91"/>
        <v>0</v>
      </c>
      <c r="AU81">
        <f t="shared" si="92"/>
        <v>0</v>
      </c>
      <c r="AV81">
        <f t="shared" si="93"/>
        <v>0</v>
      </c>
      <c r="AW81">
        <f t="shared" si="48"/>
        <v>0</v>
      </c>
      <c r="AX81">
        <f t="shared" si="94"/>
        <v>0</v>
      </c>
      <c r="AY81">
        <f t="shared" si="95"/>
        <v>0</v>
      </c>
    </row>
    <row r="82" spans="1:51" x14ac:dyDescent="0.35">
      <c r="A82">
        <v>76</v>
      </c>
      <c r="C82">
        <f>MAX(0,Calc!$C$7-SUM(D82:R82))</f>
        <v>750</v>
      </c>
      <c r="D82">
        <f t="shared" si="49"/>
        <v>0</v>
      </c>
      <c r="E82">
        <f t="shared" si="50"/>
        <v>0</v>
      </c>
      <c r="F82">
        <f t="shared" si="51"/>
        <v>0</v>
      </c>
      <c r="G82">
        <f t="shared" si="52"/>
        <v>0</v>
      </c>
      <c r="H82">
        <f t="shared" si="53"/>
        <v>0</v>
      </c>
      <c r="I82">
        <f t="shared" si="54"/>
        <v>0</v>
      </c>
      <c r="J82">
        <f t="shared" si="55"/>
        <v>0</v>
      </c>
      <c r="K82">
        <f t="shared" si="56"/>
        <v>0</v>
      </c>
      <c r="L82">
        <f t="shared" si="57"/>
        <v>0</v>
      </c>
      <c r="M82">
        <f t="shared" si="58"/>
        <v>0</v>
      </c>
      <c r="N82">
        <f t="shared" si="59"/>
        <v>0</v>
      </c>
      <c r="O82">
        <f t="shared" si="60"/>
        <v>0</v>
      </c>
      <c r="P82">
        <f t="shared" si="61"/>
        <v>0</v>
      </c>
      <c r="Q82">
        <f t="shared" si="62"/>
        <v>0</v>
      </c>
      <c r="R82">
        <f t="shared" si="63"/>
        <v>0</v>
      </c>
      <c r="S82">
        <f t="shared" si="64"/>
        <v>0</v>
      </c>
      <c r="T82">
        <f t="shared" si="65"/>
        <v>0</v>
      </c>
      <c r="U82">
        <f t="shared" si="66"/>
        <v>0</v>
      </c>
      <c r="V82">
        <f t="shared" si="67"/>
        <v>0</v>
      </c>
      <c r="W82">
        <f t="shared" si="68"/>
        <v>0</v>
      </c>
      <c r="X82">
        <f t="shared" si="69"/>
        <v>0</v>
      </c>
      <c r="Y82">
        <f t="shared" si="70"/>
        <v>0</v>
      </c>
      <c r="Z82">
        <f t="shared" si="71"/>
        <v>0</v>
      </c>
      <c r="AA82">
        <f t="shared" si="72"/>
        <v>0</v>
      </c>
      <c r="AB82">
        <f t="shared" si="73"/>
        <v>0</v>
      </c>
      <c r="AC82">
        <f t="shared" si="74"/>
        <v>0</v>
      </c>
      <c r="AD82">
        <f t="shared" si="75"/>
        <v>0</v>
      </c>
      <c r="AE82">
        <f t="shared" si="76"/>
        <v>0</v>
      </c>
      <c r="AF82">
        <f t="shared" si="77"/>
        <v>0</v>
      </c>
      <c r="AG82">
        <f t="shared" si="78"/>
        <v>0</v>
      </c>
      <c r="AH82">
        <f t="shared" si="79"/>
        <v>0</v>
      </c>
      <c r="AI82">
        <f t="shared" si="80"/>
        <v>0</v>
      </c>
      <c r="AJ82">
        <f t="shared" si="81"/>
        <v>0</v>
      </c>
      <c r="AK82">
        <f t="shared" si="82"/>
        <v>0</v>
      </c>
      <c r="AL82">
        <f t="shared" si="83"/>
        <v>0</v>
      </c>
      <c r="AM82">
        <f t="shared" si="84"/>
        <v>0</v>
      </c>
      <c r="AN82">
        <f t="shared" si="85"/>
        <v>0</v>
      </c>
      <c r="AO82">
        <f t="shared" si="86"/>
        <v>0</v>
      </c>
      <c r="AP82">
        <f t="shared" si="87"/>
        <v>0</v>
      </c>
      <c r="AQ82">
        <f t="shared" si="88"/>
        <v>0</v>
      </c>
      <c r="AR82">
        <f t="shared" si="89"/>
        <v>0</v>
      </c>
      <c r="AS82">
        <f t="shared" si="90"/>
        <v>0</v>
      </c>
      <c r="AT82">
        <f t="shared" si="91"/>
        <v>0</v>
      </c>
      <c r="AU82">
        <f t="shared" si="92"/>
        <v>0</v>
      </c>
      <c r="AV82">
        <f t="shared" si="93"/>
        <v>0</v>
      </c>
      <c r="AW82">
        <f t="shared" si="48"/>
        <v>0</v>
      </c>
      <c r="AX82">
        <f t="shared" si="94"/>
        <v>0</v>
      </c>
      <c r="AY82">
        <f t="shared" si="95"/>
        <v>0</v>
      </c>
    </row>
    <row r="83" spans="1:51" x14ac:dyDescent="0.35">
      <c r="A83">
        <v>77</v>
      </c>
      <c r="C83">
        <f>MAX(0,Calc!$C$7-SUM(D83:R83))</f>
        <v>750</v>
      </c>
      <c r="D83">
        <f t="shared" si="49"/>
        <v>0</v>
      </c>
      <c r="E83">
        <f t="shared" si="50"/>
        <v>0</v>
      </c>
      <c r="F83">
        <f t="shared" si="51"/>
        <v>0</v>
      </c>
      <c r="G83">
        <f t="shared" si="52"/>
        <v>0</v>
      </c>
      <c r="H83">
        <f t="shared" si="53"/>
        <v>0</v>
      </c>
      <c r="I83">
        <f t="shared" si="54"/>
        <v>0</v>
      </c>
      <c r="J83">
        <f t="shared" si="55"/>
        <v>0</v>
      </c>
      <c r="K83">
        <f t="shared" si="56"/>
        <v>0</v>
      </c>
      <c r="L83">
        <f t="shared" si="57"/>
        <v>0</v>
      </c>
      <c r="M83">
        <f t="shared" si="58"/>
        <v>0</v>
      </c>
      <c r="N83">
        <f t="shared" si="59"/>
        <v>0</v>
      </c>
      <c r="O83">
        <f t="shared" si="60"/>
        <v>0</v>
      </c>
      <c r="P83">
        <f t="shared" si="61"/>
        <v>0</v>
      </c>
      <c r="Q83">
        <f t="shared" si="62"/>
        <v>0</v>
      </c>
      <c r="R83">
        <f t="shared" si="63"/>
        <v>0</v>
      </c>
      <c r="S83">
        <f t="shared" si="64"/>
        <v>0</v>
      </c>
      <c r="T83">
        <f t="shared" si="65"/>
        <v>0</v>
      </c>
      <c r="U83">
        <f t="shared" si="66"/>
        <v>0</v>
      </c>
      <c r="V83">
        <f t="shared" si="67"/>
        <v>0</v>
      </c>
      <c r="W83">
        <f t="shared" si="68"/>
        <v>0</v>
      </c>
      <c r="X83">
        <f t="shared" si="69"/>
        <v>0</v>
      </c>
      <c r="Y83">
        <f t="shared" si="70"/>
        <v>0</v>
      </c>
      <c r="Z83">
        <f t="shared" si="71"/>
        <v>0</v>
      </c>
      <c r="AA83">
        <f t="shared" si="72"/>
        <v>0</v>
      </c>
      <c r="AB83">
        <f t="shared" si="73"/>
        <v>0</v>
      </c>
      <c r="AC83">
        <f t="shared" si="74"/>
        <v>0</v>
      </c>
      <c r="AD83">
        <f t="shared" si="75"/>
        <v>0</v>
      </c>
      <c r="AE83">
        <f t="shared" si="76"/>
        <v>0</v>
      </c>
      <c r="AF83">
        <f t="shared" si="77"/>
        <v>0</v>
      </c>
      <c r="AG83">
        <f t="shared" si="78"/>
        <v>0</v>
      </c>
      <c r="AH83">
        <f t="shared" si="79"/>
        <v>0</v>
      </c>
      <c r="AI83">
        <f t="shared" si="80"/>
        <v>0</v>
      </c>
      <c r="AJ83">
        <f t="shared" si="81"/>
        <v>0</v>
      </c>
      <c r="AK83">
        <f t="shared" si="82"/>
        <v>0</v>
      </c>
      <c r="AL83">
        <f t="shared" si="83"/>
        <v>0</v>
      </c>
      <c r="AM83">
        <f t="shared" si="84"/>
        <v>0</v>
      </c>
      <c r="AN83">
        <f t="shared" si="85"/>
        <v>0</v>
      </c>
      <c r="AO83">
        <f t="shared" si="86"/>
        <v>0</v>
      </c>
      <c r="AP83">
        <f t="shared" si="87"/>
        <v>0</v>
      </c>
      <c r="AQ83">
        <f t="shared" si="88"/>
        <v>0</v>
      </c>
      <c r="AR83">
        <f t="shared" si="89"/>
        <v>0</v>
      </c>
      <c r="AS83">
        <f t="shared" si="90"/>
        <v>0</v>
      </c>
      <c r="AT83">
        <f t="shared" si="91"/>
        <v>0</v>
      </c>
      <c r="AU83">
        <f t="shared" si="92"/>
        <v>0</v>
      </c>
      <c r="AV83">
        <f t="shared" si="93"/>
        <v>0</v>
      </c>
      <c r="AW83">
        <f t="shared" si="48"/>
        <v>0</v>
      </c>
      <c r="AX83">
        <f t="shared" si="94"/>
        <v>0</v>
      </c>
      <c r="AY83">
        <f t="shared" si="95"/>
        <v>0</v>
      </c>
    </row>
    <row r="84" spans="1:51" x14ac:dyDescent="0.35">
      <c r="A84">
        <v>78</v>
      </c>
      <c r="C84">
        <f>MAX(0,Calc!$C$7-SUM(D84:R84))</f>
        <v>750</v>
      </c>
      <c r="D84">
        <f t="shared" si="49"/>
        <v>0</v>
      </c>
      <c r="E84">
        <f t="shared" si="50"/>
        <v>0</v>
      </c>
      <c r="F84">
        <f t="shared" si="51"/>
        <v>0</v>
      </c>
      <c r="G84">
        <f t="shared" si="52"/>
        <v>0</v>
      </c>
      <c r="H84">
        <f t="shared" si="53"/>
        <v>0</v>
      </c>
      <c r="I84">
        <f t="shared" si="54"/>
        <v>0</v>
      </c>
      <c r="J84">
        <f t="shared" si="55"/>
        <v>0</v>
      </c>
      <c r="K84">
        <f t="shared" si="56"/>
        <v>0</v>
      </c>
      <c r="L84">
        <f t="shared" si="57"/>
        <v>0</v>
      </c>
      <c r="M84">
        <f t="shared" si="58"/>
        <v>0</v>
      </c>
      <c r="N84">
        <f t="shared" si="59"/>
        <v>0</v>
      </c>
      <c r="O84">
        <f t="shared" si="60"/>
        <v>0</v>
      </c>
      <c r="P84">
        <f t="shared" si="61"/>
        <v>0</v>
      </c>
      <c r="Q84">
        <f t="shared" si="62"/>
        <v>0</v>
      </c>
      <c r="R84">
        <f t="shared" si="63"/>
        <v>0</v>
      </c>
      <c r="S84">
        <f t="shared" si="64"/>
        <v>0</v>
      </c>
      <c r="T84">
        <f t="shared" si="65"/>
        <v>0</v>
      </c>
      <c r="U84">
        <f t="shared" si="66"/>
        <v>0</v>
      </c>
      <c r="V84">
        <f t="shared" si="67"/>
        <v>0</v>
      </c>
      <c r="W84">
        <f t="shared" si="68"/>
        <v>0</v>
      </c>
      <c r="X84">
        <f t="shared" si="69"/>
        <v>0</v>
      </c>
      <c r="Y84">
        <f t="shared" si="70"/>
        <v>0</v>
      </c>
      <c r="Z84">
        <f t="shared" si="71"/>
        <v>0</v>
      </c>
      <c r="AA84">
        <f t="shared" si="72"/>
        <v>0</v>
      </c>
      <c r="AB84">
        <f t="shared" si="73"/>
        <v>0</v>
      </c>
      <c r="AC84">
        <f t="shared" si="74"/>
        <v>0</v>
      </c>
      <c r="AD84">
        <f t="shared" si="75"/>
        <v>0</v>
      </c>
      <c r="AE84">
        <f t="shared" si="76"/>
        <v>0</v>
      </c>
      <c r="AF84">
        <f t="shared" si="77"/>
        <v>0</v>
      </c>
      <c r="AG84">
        <f t="shared" si="78"/>
        <v>0</v>
      </c>
      <c r="AH84">
        <f t="shared" si="79"/>
        <v>0</v>
      </c>
      <c r="AI84">
        <f t="shared" si="80"/>
        <v>0</v>
      </c>
      <c r="AJ84">
        <f t="shared" si="81"/>
        <v>0</v>
      </c>
      <c r="AK84">
        <f t="shared" si="82"/>
        <v>0</v>
      </c>
      <c r="AL84">
        <f t="shared" si="83"/>
        <v>0</v>
      </c>
      <c r="AM84">
        <f t="shared" si="84"/>
        <v>0</v>
      </c>
      <c r="AN84">
        <f t="shared" si="85"/>
        <v>0</v>
      </c>
      <c r="AO84">
        <f t="shared" si="86"/>
        <v>0</v>
      </c>
      <c r="AP84">
        <f t="shared" si="87"/>
        <v>0</v>
      </c>
      <c r="AQ84">
        <f t="shared" si="88"/>
        <v>0</v>
      </c>
      <c r="AR84">
        <f t="shared" si="89"/>
        <v>0</v>
      </c>
      <c r="AS84">
        <f t="shared" si="90"/>
        <v>0</v>
      </c>
      <c r="AT84">
        <f t="shared" si="91"/>
        <v>0</v>
      </c>
      <c r="AU84">
        <f t="shared" si="92"/>
        <v>0</v>
      </c>
      <c r="AV84">
        <f t="shared" si="93"/>
        <v>0</v>
      </c>
      <c r="AW84">
        <f t="shared" si="48"/>
        <v>0</v>
      </c>
      <c r="AX84">
        <f t="shared" si="94"/>
        <v>0</v>
      </c>
      <c r="AY84">
        <f t="shared" si="95"/>
        <v>0</v>
      </c>
    </row>
    <row r="85" spans="1:51" x14ac:dyDescent="0.35">
      <c r="A85">
        <v>79</v>
      </c>
      <c r="C85">
        <f>MAX(0,Calc!$C$7-SUM(D85:R85))</f>
        <v>750</v>
      </c>
      <c r="D85">
        <f t="shared" si="49"/>
        <v>0</v>
      </c>
      <c r="E85">
        <f t="shared" si="50"/>
        <v>0</v>
      </c>
      <c r="F85">
        <f t="shared" si="51"/>
        <v>0</v>
      </c>
      <c r="G85">
        <f t="shared" si="52"/>
        <v>0</v>
      </c>
      <c r="H85">
        <f t="shared" si="53"/>
        <v>0</v>
      </c>
      <c r="I85">
        <f t="shared" si="54"/>
        <v>0</v>
      </c>
      <c r="J85">
        <f t="shared" si="55"/>
        <v>0</v>
      </c>
      <c r="K85">
        <f t="shared" si="56"/>
        <v>0</v>
      </c>
      <c r="L85">
        <f t="shared" si="57"/>
        <v>0</v>
      </c>
      <c r="M85">
        <f t="shared" si="58"/>
        <v>0</v>
      </c>
      <c r="N85">
        <f t="shared" si="59"/>
        <v>0</v>
      </c>
      <c r="O85">
        <f t="shared" si="60"/>
        <v>0</v>
      </c>
      <c r="P85">
        <f t="shared" si="61"/>
        <v>0</v>
      </c>
      <c r="Q85">
        <f t="shared" si="62"/>
        <v>0</v>
      </c>
      <c r="R85">
        <f t="shared" si="63"/>
        <v>0</v>
      </c>
      <c r="S85">
        <f t="shared" si="64"/>
        <v>0</v>
      </c>
      <c r="T85">
        <f t="shared" si="65"/>
        <v>0</v>
      </c>
      <c r="U85">
        <f t="shared" si="66"/>
        <v>0</v>
      </c>
      <c r="V85">
        <f t="shared" si="67"/>
        <v>0</v>
      </c>
      <c r="W85">
        <f t="shared" si="68"/>
        <v>0</v>
      </c>
      <c r="X85">
        <f t="shared" si="69"/>
        <v>0</v>
      </c>
      <c r="Y85">
        <f t="shared" si="70"/>
        <v>0</v>
      </c>
      <c r="Z85">
        <f t="shared" si="71"/>
        <v>0</v>
      </c>
      <c r="AA85">
        <f t="shared" si="72"/>
        <v>0</v>
      </c>
      <c r="AB85">
        <f t="shared" si="73"/>
        <v>0</v>
      </c>
      <c r="AC85">
        <f t="shared" si="74"/>
        <v>0</v>
      </c>
      <c r="AD85">
        <f t="shared" si="75"/>
        <v>0</v>
      </c>
      <c r="AE85">
        <f t="shared" si="76"/>
        <v>0</v>
      </c>
      <c r="AF85">
        <f t="shared" si="77"/>
        <v>0</v>
      </c>
      <c r="AG85">
        <f t="shared" si="78"/>
        <v>0</v>
      </c>
      <c r="AH85">
        <f t="shared" si="79"/>
        <v>0</v>
      </c>
      <c r="AI85">
        <f t="shared" si="80"/>
        <v>0</v>
      </c>
      <c r="AJ85">
        <f t="shared" si="81"/>
        <v>0</v>
      </c>
      <c r="AK85">
        <f t="shared" si="82"/>
        <v>0</v>
      </c>
      <c r="AL85">
        <f t="shared" si="83"/>
        <v>0</v>
      </c>
      <c r="AM85">
        <f t="shared" si="84"/>
        <v>0</v>
      </c>
      <c r="AN85">
        <f t="shared" si="85"/>
        <v>0</v>
      </c>
      <c r="AO85">
        <f t="shared" si="86"/>
        <v>0</v>
      </c>
      <c r="AP85">
        <f t="shared" si="87"/>
        <v>0</v>
      </c>
      <c r="AQ85">
        <f t="shared" si="88"/>
        <v>0</v>
      </c>
      <c r="AR85">
        <f t="shared" si="89"/>
        <v>0</v>
      </c>
      <c r="AS85">
        <f t="shared" si="90"/>
        <v>0</v>
      </c>
      <c r="AT85">
        <f t="shared" si="91"/>
        <v>0</v>
      </c>
      <c r="AU85">
        <f t="shared" si="92"/>
        <v>0</v>
      </c>
      <c r="AV85">
        <f t="shared" si="93"/>
        <v>0</v>
      </c>
      <c r="AW85">
        <f t="shared" si="48"/>
        <v>0</v>
      </c>
      <c r="AX85">
        <f t="shared" si="94"/>
        <v>0</v>
      </c>
      <c r="AY85">
        <f t="shared" si="95"/>
        <v>0</v>
      </c>
    </row>
    <row r="86" spans="1:51" x14ac:dyDescent="0.35">
      <c r="A86">
        <v>80</v>
      </c>
      <c r="C86">
        <f>MAX(0,Calc!$C$7-SUM(D86:R86))</f>
        <v>750</v>
      </c>
      <c r="D86">
        <f t="shared" si="49"/>
        <v>0</v>
      </c>
      <c r="E86">
        <f t="shared" si="50"/>
        <v>0</v>
      </c>
      <c r="F86">
        <f t="shared" si="51"/>
        <v>0</v>
      </c>
      <c r="G86">
        <f t="shared" si="52"/>
        <v>0</v>
      </c>
      <c r="H86">
        <f t="shared" si="53"/>
        <v>0</v>
      </c>
      <c r="I86">
        <f t="shared" si="54"/>
        <v>0</v>
      </c>
      <c r="J86">
        <f t="shared" si="55"/>
        <v>0</v>
      </c>
      <c r="K86">
        <f t="shared" si="56"/>
        <v>0</v>
      </c>
      <c r="L86">
        <f t="shared" si="57"/>
        <v>0</v>
      </c>
      <c r="M86">
        <f t="shared" si="58"/>
        <v>0</v>
      </c>
      <c r="N86">
        <f t="shared" si="59"/>
        <v>0</v>
      </c>
      <c r="O86">
        <f t="shared" si="60"/>
        <v>0</v>
      </c>
      <c r="P86">
        <f t="shared" si="61"/>
        <v>0</v>
      </c>
      <c r="Q86">
        <f t="shared" si="62"/>
        <v>0</v>
      </c>
      <c r="R86">
        <f t="shared" si="63"/>
        <v>0</v>
      </c>
      <c r="S86">
        <f t="shared" si="64"/>
        <v>0</v>
      </c>
      <c r="T86">
        <f t="shared" si="65"/>
        <v>0</v>
      </c>
      <c r="U86">
        <f t="shared" si="66"/>
        <v>0</v>
      </c>
      <c r="V86">
        <f t="shared" si="67"/>
        <v>0</v>
      </c>
      <c r="W86">
        <f t="shared" si="68"/>
        <v>0</v>
      </c>
      <c r="X86">
        <f t="shared" si="69"/>
        <v>0</v>
      </c>
      <c r="Y86">
        <f t="shared" si="70"/>
        <v>0</v>
      </c>
      <c r="Z86">
        <f t="shared" si="71"/>
        <v>0</v>
      </c>
      <c r="AA86">
        <f t="shared" si="72"/>
        <v>0</v>
      </c>
      <c r="AB86">
        <f t="shared" si="73"/>
        <v>0</v>
      </c>
      <c r="AC86">
        <f t="shared" si="74"/>
        <v>0</v>
      </c>
      <c r="AD86">
        <f t="shared" si="75"/>
        <v>0</v>
      </c>
      <c r="AE86">
        <f t="shared" si="76"/>
        <v>0</v>
      </c>
      <c r="AF86">
        <f t="shared" si="77"/>
        <v>0</v>
      </c>
      <c r="AG86">
        <f t="shared" si="78"/>
        <v>0</v>
      </c>
      <c r="AH86">
        <f t="shared" si="79"/>
        <v>0</v>
      </c>
      <c r="AI86">
        <f t="shared" si="80"/>
        <v>0</v>
      </c>
      <c r="AJ86">
        <f t="shared" si="81"/>
        <v>0</v>
      </c>
      <c r="AK86">
        <f t="shared" si="82"/>
        <v>0</v>
      </c>
      <c r="AL86">
        <f t="shared" si="83"/>
        <v>0</v>
      </c>
      <c r="AM86">
        <f t="shared" si="84"/>
        <v>0</v>
      </c>
      <c r="AN86">
        <f t="shared" si="85"/>
        <v>0</v>
      </c>
      <c r="AO86">
        <f t="shared" si="86"/>
        <v>0</v>
      </c>
      <c r="AP86">
        <f t="shared" si="87"/>
        <v>0</v>
      </c>
      <c r="AQ86">
        <f t="shared" si="88"/>
        <v>0</v>
      </c>
      <c r="AR86">
        <f t="shared" si="89"/>
        <v>0</v>
      </c>
      <c r="AS86">
        <f t="shared" si="90"/>
        <v>0</v>
      </c>
      <c r="AT86">
        <f t="shared" si="91"/>
        <v>0</v>
      </c>
      <c r="AU86">
        <f t="shared" si="92"/>
        <v>0</v>
      </c>
      <c r="AV86">
        <f t="shared" si="93"/>
        <v>0</v>
      </c>
      <c r="AW86">
        <f t="shared" si="48"/>
        <v>0</v>
      </c>
      <c r="AX86">
        <f t="shared" si="94"/>
        <v>0</v>
      </c>
      <c r="AY86">
        <f t="shared" si="95"/>
        <v>0</v>
      </c>
    </row>
    <row r="87" spans="1:51" x14ac:dyDescent="0.35">
      <c r="A87">
        <v>81</v>
      </c>
      <c r="C87">
        <f>MAX(0,Calc!$C$7-SUM(D87:R87))</f>
        <v>750</v>
      </c>
      <c r="D87">
        <f t="shared" si="49"/>
        <v>0</v>
      </c>
      <c r="E87">
        <f t="shared" si="50"/>
        <v>0</v>
      </c>
      <c r="F87">
        <f t="shared" si="51"/>
        <v>0</v>
      </c>
      <c r="G87">
        <f t="shared" si="52"/>
        <v>0</v>
      </c>
      <c r="H87">
        <f t="shared" si="53"/>
        <v>0</v>
      </c>
      <c r="I87">
        <f t="shared" si="54"/>
        <v>0</v>
      </c>
      <c r="J87">
        <f t="shared" si="55"/>
        <v>0</v>
      </c>
      <c r="K87">
        <f t="shared" si="56"/>
        <v>0</v>
      </c>
      <c r="L87">
        <f t="shared" si="57"/>
        <v>0</v>
      </c>
      <c r="M87">
        <f t="shared" si="58"/>
        <v>0</v>
      </c>
      <c r="N87">
        <f t="shared" si="59"/>
        <v>0</v>
      </c>
      <c r="O87">
        <f t="shared" si="60"/>
        <v>0</v>
      </c>
      <c r="P87">
        <f t="shared" si="61"/>
        <v>0</v>
      </c>
      <c r="Q87">
        <f t="shared" si="62"/>
        <v>0</v>
      </c>
      <c r="R87">
        <f t="shared" si="63"/>
        <v>0</v>
      </c>
      <c r="S87">
        <f t="shared" si="64"/>
        <v>0</v>
      </c>
      <c r="T87">
        <f t="shared" si="65"/>
        <v>0</v>
      </c>
      <c r="U87">
        <f t="shared" si="66"/>
        <v>0</v>
      </c>
      <c r="V87">
        <f t="shared" si="67"/>
        <v>0</v>
      </c>
      <c r="W87">
        <f t="shared" si="68"/>
        <v>0</v>
      </c>
      <c r="X87">
        <f t="shared" si="69"/>
        <v>0</v>
      </c>
      <c r="Y87">
        <f t="shared" si="70"/>
        <v>0</v>
      </c>
      <c r="Z87">
        <f t="shared" si="71"/>
        <v>0</v>
      </c>
      <c r="AA87">
        <f t="shared" si="72"/>
        <v>0</v>
      </c>
      <c r="AB87">
        <f t="shared" si="73"/>
        <v>0</v>
      </c>
      <c r="AC87">
        <f t="shared" si="74"/>
        <v>0</v>
      </c>
      <c r="AD87">
        <f t="shared" si="75"/>
        <v>0</v>
      </c>
      <c r="AE87">
        <f t="shared" si="76"/>
        <v>0</v>
      </c>
      <c r="AF87">
        <f t="shared" si="77"/>
        <v>0</v>
      </c>
      <c r="AG87">
        <f t="shared" si="78"/>
        <v>0</v>
      </c>
      <c r="AH87">
        <f t="shared" si="79"/>
        <v>0</v>
      </c>
      <c r="AI87">
        <f t="shared" si="80"/>
        <v>0</v>
      </c>
      <c r="AJ87">
        <f t="shared" si="81"/>
        <v>0</v>
      </c>
      <c r="AK87">
        <f t="shared" si="82"/>
        <v>0</v>
      </c>
      <c r="AL87">
        <f t="shared" si="83"/>
        <v>0</v>
      </c>
      <c r="AM87">
        <f t="shared" si="84"/>
        <v>0</v>
      </c>
      <c r="AN87">
        <f t="shared" si="85"/>
        <v>0</v>
      </c>
      <c r="AO87">
        <f t="shared" si="86"/>
        <v>0</v>
      </c>
      <c r="AP87">
        <f t="shared" si="87"/>
        <v>0</v>
      </c>
      <c r="AQ87">
        <f t="shared" si="88"/>
        <v>0</v>
      </c>
      <c r="AR87">
        <f t="shared" si="89"/>
        <v>0</v>
      </c>
      <c r="AS87">
        <f t="shared" si="90"/>
        <v>0</v>
      </c>
      <c r="AT87">
        <f t="shared" si="91"/>
        <v>0</v>
      </c>
      <c r="AU87">
        <f t="shared" si="92"/>
        <v>0</v>
      </c>
      <c r="AV87">
        <f t="shared" si="93"/>
        <v>0</v>
      </c>
      <c r="AW87">
        <f t="shared" si="48"/>
        <v>0</v>
      </c>
      <c r="AX87">
        <f t="shared" si="94"/>
        <v>0</v>
      </c>
      <c r="AY87">
        <f t="shared" si="95"/>
        <v>0</v>
      </c>
    </row>
    <row r="88" spans="1:51" x14ac:dyDescent="0.35">
      <c r="A88">
        <v>82</v>
      </c>
      <c r="C88">
        <f>MAX(0,Calc!$C$7-SUM(D88:R88))</f>
        <v>750</v>
      </c>
      <c r="D88">
        <f t="shared" si="49"/>
        <v>0</v>
      </c>
      <c r="E88">
        <f t="shared" si="50"/>
        <v>0</v>
      </c>
      <c r="F88">
        <f t="shared" si="51"/>
        <v>0</v>
      </c>
      <c r="G88">
        <f t="shared" si="52"/>
        <v>0</v>
      </c>
      <c r="H88">
        <f t="shared" si="53"/>
        <v>0</v>
      </c>
      <c r="I88">
        <f t="shared" si="54"/>
        <v>0</v>
      </c>
      <c r="J88">
        <f t="shared" si="55"/>
        <v>0</v>
      </c>
      <c r="K88">
        <f t="shared" si="56"/>
        <v>0</v>
      </c>
      <c r="L88">
        <f t="shared" si="57"/>
        <v>0</v>
      </c>
      <c r="M88">
        <f t="shared" si="58"/>
        <v>0</v>
      </c>
      <c r="N88">
        <f t="shared" si="59"/>
        <v>0</v>
      </c>
      <c r="O88">
        <f t="shared" si="60"/>
        <v>0</v>
      </c>
      <c r="P88">
        <f t="shared" si="61"/>
        <v>0</v>
      </c>
      <c r="Q88">
        <f t="shared" si="62"/>
        <v>0</v>
      </c>
      <c r="R88">
        <f t="shared" si="63"/>
        <v>0</v>
      </c>
      <c r="S88">
        <f t="shared" si="64"/>
        <v>0</v>
      </c>
      <c r="T88">
        <f t="shared" si="65"/>
        <v>0</v>
      </c>
      <c r="U88">
        <f t="shared" si="66"/>
        <v>0</v>
      </c>
      <c r="V88">
        <f t="shared" si="67"/>
        <v>0</v>
      </c>
      <c r="W88">
        <f t="shared" si="68"/>
        <v>0</v>
      </c>
      <c r="X88">
        <f t="shared" si="69"/>
        <v>0</v>
      </c>
      <c r="Y88">
        <f t="shared" si="70"/>
        <v>0</v>
      </c>
      <c r="Z88">
        <f t="shared" si="71"/>
        <v>0</v>
      </c>
      <c r="AA88">
        <f t="shared" si="72"/>
        <v>0</v>
      </c>
      <c r="AB88">
        <f t="shared" si="73"/>
        <v>0</v>
      </c>
      <c r="AC88">
        <f t="shared" si="74"/>
        <v>0</v>
      </c>
      <c r="AD88">
        <f t="shared" si="75"/>
        <v>0</v>
      </c>
      <c r="AE88">
        <f t="shared" si="76"/>
        <v>0</v>
      </c>
      <c r="AF88">
        <f t="shared" si="77"/>
        <v>0</v>
      </c>
      <c r="AG88">
        <f t="shared" si="78"/>
        <v>0</v>
      </c>
      <c r="AH88">
        <f t="shared" si="79"/>
        <v>0</v>
      </c>
      <c r="AI88">
        <f t="shared" si="80"/>
        <v>0</v>
      </c>
      <c r="AJ88">
        <f t="shared" si="81"/>
        <v>0</v>
      </c>
      <c r="AK88">
        <f t="shared" si="82"/>
        <v>0</v>
      </c>
      <c r="AL88">
        <f t="shared" si="83"/>
        <v>0</v>
      </c>
      <c r="AM88">
        <f t="shared" si="84"/>
        <v>0</v>
      </c>
      <c r="AN88">
        <f t="shared" si="85"/>
        <v>0</v>
      </c>
      <c r="AO88">
        <f t="shared" si="86"/>
        <v>0</v>
      </c>
      <c r="AP88">
        <f t="shared" si="87"/>
        <v>0</v>
      </c>
      <c r="AQ88">
        <f t="shared" si="88"/>
        <v>0</v>
      </c>
      <c r="AR88">
        <f t="shared" si="89"/>
        <v>0</v>
      </c>
      <c r="AS88">
        <f t="shared" si="90"/>
        <v>0</v>
      </c>
      <c r="AT88">
        <f t="shared" si="91"/>
        <v>0</v>
      </c>
      <c r="AU88">
        <f t="shared" si="92"/>
        <v>0</v>
      </c>
      <c r="AV88">
        <f t="shared" si="93"/>
        <v>0</v>
      </c>
      <c r="AW88">
        <f t="shared" si="48"/>
        <v>0</v>
      </c>
      <c r="AX88">
        <f t="shared" si="94"/>
        <v>0</v>
      </c>
      <c r="AY88">
        <f t="shared" si="95"/>
        <v>0</v>
      </c>
    </row>
    <row r="89" spans="1:51" x14ac:dyDescent="0.35">
      <c r="A89">
        <v>83</v>
      </c>
      <c r="C89">
        <f>MAX(0,Calc!$C$7-SUM(D89:R89))</f>
        <v>750</v>
      </c>
      <c r="D89">
        <f t="shared" si="49"/>
        <v>0</v>
      </c>
      <c r="E89">
        <f t="shared" si="50"/>
        <v>0</v>
      </c>
      <c r="F89">
        <f t="shared" si="51"/>
        <v>0</v>
      </c>
      <c r="G89">
        <f t="shared" si="52"/>
        <v>0</v>
      </c>
      <c r="H89">
        <f t="shared" si="53"/>
        <v>0</v>
      </c>
      <c r="I89">
        <f t="shared" si="54"/>
        <v>0</v>
      </c>
      <c r="J89">
        <f t="shared" si="55"/>
        <v>0</v>
      </c>
      <c r="K89">
        <f t="shared" si="56"/>
        <v>0</v>
      </c>
      <c r="L89">
        <f t="shared" si="57"/>
        <v>0</v>
      </c>
      <c r="M89">
        <f t="shared" si="58"/>
        <v>0</v>
      </c>
      <c r="N89">
        <f t="shared" si="59"/>
        <v>0</v>
      </c>
      <c r="O89">
        <f t="shared" si="60"/>
        <v>0</v>
      </c>
      <c r="P89">
        <f t="shared" si="61"/>
        <v>0</v>
      </c>
      <c r="Q89">
        <f t="shared" si="62"/>
        <v>0</v>
      </c>
      <c r="R89">
        <f t="shared" si="63"/>
        <v>0</v>
      </c>
      <c r="S89">
        <f t="shared" si="64"/>
        <v>0</v>
      </c>
      <c r="T89">
        <f t="shared" si="65"/>
        <v>0</v>
      </c>
      <c r="U89">
        <f t="shared" si="66"/>
        <v>0</v>
      </c>
      <c r="V89">
        <f t="shared" si="67"/>
        <v>0</v>
      </c>
      <c r="W89">
        <f t="shared" si="68"/>
        <v>0</v>
      </c>
      <c r="X89">
        <f t="shared" si="69"/>
        <v>0</v>
      </c>
      <c r="Y89">
        <f t="shared" si="70"/>
        <v>0</v>
      </c>
      <c r="Z89">
        <f t="shared" si="71"/>
        <v>0</v>
      </c>
      <c r="AA89">
        <f t="shared" si="72"/>
        <v>0</v>
      </c>
      <c r="AB89">
        <f t="shared" si="73"/>
        <v>0</v>
      </c>
      <c r="AC89">
        <f t="shared" si="74"/>
        <v>0</v>
      </c>
      <c r="AD89">
        <f t="shared" si="75"/>
        <v>0</v>
      </c>
      <c r="AE89">
        <f t="shared" si="76"/>
        <v>0</v>
      </c>
      <c r="AF89">
        <f t="shared" si="77"/>
        <v>0</v>
      </c>
      <c r="AG89">
        <f t="shared" si="78"/>
        <v>0</v>
      </c>
      <c r="AH89">
        <f t="shared" si="79"/>
        <v>0</v>
      </c>
      <c r="AI89">
        <f t="shared" si="80"/>
        <v>0</v>
      </c>
      <c r="AJ89">
        <f t="shared" si="81"/>
        <v>0</v>
      </c>
      <c r="AK89">
        <f t="shared" si="82"/>
        <v>0</v>
      </c>
      <c r="AL89">
        <f t="shared" si="83"/>
        <v>0</v>
      </c>
      <c r="AM89">
        <f t="shared" si="84"/>
        <v>0</v>
      </c>
      <c r="AN89">
        <f t="shared" si="85"/>
        <v>0</v>
      </c>
      <c r="AO89">
        <f t="shared" si="86"/>
        <v>0</v>
      </c>
      <c r="AP89">
        <f t="shared" si="87"/>
        <v>0</v>
      </c>
      <c r="AQ89">
        <f t="shared" si="88"/>
        <v>0</v>
      </c>
      <c r="AR89">
        <f t="shared" si="89"/>
        <v>0</v>
      </c>
      <c r="AS89">
        <f t="shared" si="90"/>
        <v>0</v>
      </c>
      <c r="AT89">
        <f t="shared" si="91"/>
        <v>0</v>
      </c>
      <c r="AU89">
        <f t="shared" si="92"/>
        <v>0</v>
      </c>
      <c r="AV89">
        <f t="shared" si="93"/>
        <v>0</v>
      </c>
      <c r="AW89">
        <f t="shared" si="48"/>
        <v>0</v>
      </c>
      <c r="AX89">
        <f t="shared" si="94"/>
        <v>0</v>
      </c>
      <c r="AY89">
        <f t="shared" si="95"/>
        <v>0</v>
      </c>
    </row>
    <row r="90" spans="1:51" x14ac:dyDescent="0.35">
      <c r="A90">
        <v>84</v>
      </c>
      <c r="C90">
        <f>MAX(0,Calc!$C$7-SUM(D90:R90))</f>
        <v>750</v>
      </c>
      <c r="D90">
        <f t="shared" si="49"/>
        <v>0</v>
      </c>
      <c r="E90">
        <f t="shared" si="50"/>
        <v>0</v>
      </c>
      <c r="F90">
        <f t="shared" si="51"/>
        <v>0</v>
      </c>
      <c r="G90">
        <f t="shared" si="52"/>
        <v>0</v>
      </c>
      <c r="H90">
        <f t="shared" si="53"/>
        <v>0</v>
      </c>
      <c r="I90">
        <f t="shared" si="54"/>
        <v>0</v>
      </c>
      <c r="J90">
        <f t="shared" si="55"/>
        <v>0</v>
      </c>
      <c r="K90">
        <f t="shared" si="56"/>
        <v>0</v>
      </c>
      <c r="L90">
        <f t="shared" si="57"/>
        <v>0</v>
      </c>
      <c r="M90">
        <f t="shared" si="58"/>
        <v>0</v>
      </c>
      <c r="N90">
        <f t="shared" si="59"/>
        <v>0</v>
      </c>
      <c r="O90">
        <f t="shared" si="60"/>
        <v>0</v>
      </c>
      <c r="P90">
        <f t="shared" si="61"/>
        <v>0</v>
      </c>
      <c r="Q90">
        <f t="shared" si="62"/>
        <v>0</v>
      </c>
      <c r="R90">
        <f t="shared" si="63"/>
        <v>0</v>
      </c>
      <c r="S90">
        <f t="shared" si="64"/>
        <v>0</v>
      </c>
      <c r="T90">
        <f t="shared" si="65"/>
        <v>0</v>
      </c>
      <c r="U90">
        <f t="shared" si="66"/>
        <v>0</v>
      </c>
      <c r="V90">
        <f t="shared" si="67"/>
        <v>0</v>
      </c>
      <c r="W90">
        <f t="shared" si="68"/>
        <v>0</v>
      </c>
      <c r="X90">
        <f t="shared" si="69"/>
        <v>0</v>
      </c>
      <c r="Y90">
        <f t="shared" si="70"/>
        <v>0</v>
      </c>
      <c r="Z90">
        <f t="shared" si="71"/>
        <v>0</v>
      </c>
      <c r="AA90">
        <f t="shared" si="72"/>
        <v>0</v>
      </c>
      <c r="AB90">
        <f t="shared" si="73"/>
        <v>0</v>
      </c>
      <c r="AC90">
        <f t="shared" si="74"/>
        <v>0</v>
      </c>
      <c r="AD90">
        <f t="shared" si="75"/>
        <v>0</v>
      </c>
      <c r="AE90">
        <f t="shared" si="76"/>
        <v>0</v>
      </c>
      <c r="AF90">
        <f t="shared" si="77"/>
        <v>0</v>
      </c>
      <c r="AG90">
        <f t="shared" si="78"/>
        <v>0</v>
      </c>
      <c r="AH90">
        <f t="shared" si="79"/>
        <v>0</v>
      </c>
      <c r="AI90">
        <f t="shared" si="80"/>
        <v>0</v>
      </c>
      <c r="AJ90">
        <f t="shared" si="81"/>
        <v>0</v>
      </c>
      <c r="AK90">
        <f t="shared" si="82"/>
        <v>0</v>
      </c>
      <c r="AL90">
        <f t="shared" si="83"/>
        <v>0</v>
      </c>
      <c r="AM90">
        <f t="shared" si="84"/>
        <v>0</v>
      </c>
      <c r="AN90">
        <f t="shared" si="85"/>
        <v>0</v>
      </c>
      <c r="AO90">
        <f t="shared" si="86"/>
        <v>0</v>
      </c>
      <c r="AP90">
        <f t="shared" si="87"/>
        <v>0</v>
      </c>
      <c r="AQ90">
        <f t="shared" si="88"/>
        <v>0</v>
      </c>
      <c r="AR90">
        <f t="shared" si="89"/>
        <v>0</v>
      </c>
      <c r="AS90">
        <f t="shared" si="90"/>
        <v>0</v>
      </c>
      <c r="AT90">
        <f t="shared" si="91"/>
        <v>0</v>
      </c>
      <c r="AU90">
        <f t="shared" si="92"/>
        <v>0</v>
      </c>
      <c r="AV90">
        <f t="shared" si="93"/>
        <v>0</v>
      </c>
      <c r="AW90">
        <f t="shared" si="48"/>
        <v>0</v>
      </c>
      <c r="AX90">
        <f t="shared" si="94"/>
        <v>0</v>
      </c>
      <c r="AY90">
        <f t="shared" si="95"/>
        <v>0</v>
      </c>
    </row>
    <row r="91" spans="1:51" x14ac:dyDescent="0.35">
      <c r="A91">
        <v>85</v>
      </c>
      <c r="C91">
        <f>MAX(0,Calc!$C$7-SUM(D91:R91))</f>
        <v>750</v>
      </c>
      <c r="D91">
        <f t="shared" si="49"/>
        <v>0</v>
      </c>
      <c r="E91">
        <f t="shared" si="50"/>
        <v>0</v>
      </c>
      <c r="F91">
        <f t="shared" si="51"/>
        <v>0</v>
      </c>
      <c r="G91">
        <f t="shared" si="52"/>
        <v>0</v>
      </c>
      <c r="H91">
        <f t="shared" si="53"/>
        <v>0</v>
      </c>
      <c r="I91">
        <f t="shared" si="54"/>
        <v>0</v>
      </c>
      <c r="J91">
        <f t="shared" si="55"/>
        <v>0</v>
      </c>
      <c r="K91">
        <f t="shared" si="56"/>
        <v>0</v>
      </c>
      <c r="L91">
        <f t="shared" si="57"/>
        <v>0</v>
      </c>
      <c r="M91">
        <f t="shared" si="58"/>
        <v>0</v>
      </c>
      <c r="N91">
        <f t="shared" si="59"/>
        <v>0</v>
      </c>
      <c r="O91">
        <f t="shared" si="60"/>
        <v>0</v>
      </c>
      <c r="P91">
        <f t="shared" si="61"/>
        <v>0</v>
      </c>
      <c r="Q91">
        <f t="shared" si="62"/>
        <v>0</v>
      </c>
      <c r="R91">
        <f t="shared" si="63"/>
        <v>0</v>
      </c>
      <c r="S91">
        <f t="shared" si="64"/>
        <v>0</v>
      </c>
      <c r="T91">
        <f t="shared" si="65"/>
        <v>0</v>
      </c>
      <c r="U91">
        <f t="shared" si="66"/>
        <v>0</v>
      </c>
      <c r="V91">
        <f t="shared" si="67"/>
        <v>0</v>
      </c>
      <c r="W91">
        <f t="shared" si="68"/>
        <v>0</v>
      </c>
      <c r="X91">
        <f t="shared" si="69"/>
        <v>0</v>
      </c>
      <c r="Y91">
        <f t="shared" si="70"/>
        <v>0</v>
      </c>
      <c r="Z91">
        <f t="shared" si="71"/>
        <v>0</v>
      </c>
      <c r="AA91">
        <f t="shared" si="72"/>
        <v>0</v>
      </c>
      <c r="AB91">
        <f t="shared" si="73"/>
        <v>0</v>
      </c>
      <c r="AC91">
        <f t="shared" si="74"/>
        <v>0</v>
      </c>
      <c r="AD91">
        <f t="shared" si="75"/>
        <v>0</v>
      </c>
      <c r="AE91">
        <f t="shared" si="76"/>
        <v>0</v>
      </c>
      <c r="AF91">
        <f t="shared" si="77"/>
        <v>0</v>
      </c>
      <c r="AG91">
        <f t="shared" si="78"/>
        <v>0</v>
      </c>
      <c r="AH91">
        <f t="shared" si="79"/>
        <v>0</v>
      </c>
      <c r="AI91">
        <f t="shared" si="80"/>
        <v>0</v>
      </c>
      <c r="AJ91">
        <f t="shared" si="81"/>
        <v>0</v>
      </c>
      <c r="AK91">
        <f t="shared" si="82"/>
        <v>0</v>
      </c>
      <c r="AL91">
        <f t="shared" si="83"/>
        <v>0</v>
      </c>
      <c r="AM91">
        <f t="shared" si="84"/>
        <v>0</v>
      </c>
      <c r="AN91">
        <f t="shared" si="85"/>
        <v>0</v>
      </c>
      <c r="AO91">
        <f t="shared" si="86"/>
        <v>0</v>
      </c>
      <c r="AP91">
        <f t="shared" si="87"/>
        <v>0</v>
      </c>
      <c r="AQ91">
        <f t="shared" si="88"/>
        <v>0</v>
      </c>
      <c r="AR91">
        <f t="shared" si="89"/>
        <v>0</v>
      </c>
      <c r="AS91">
        <f t="shared" si="90"/>
        <v>0</v>
      </c>
      <c r="AT91">
        <f t="shared" si="91"/>
        <v>0</v>
      </c>
      <c r="AU91">
        <f t="shared" si="92"/>
        <v>0</v>
      </c>
      <c r="AV91">
        <f t="shared" si="93"/>
        <v>0</v>
      </c>
      <c r="AW91">
        <f t="shared" si="48"/>
        <v>0</v>
      </c>
      <c r="AX91">
        <f t="shared" si="94"/>
        <v>0</v>
      </c>
      <c r="AY91">
        <f t="shared" si="95"/>
        <v>0</v>
      </c>
    </row>
    <row r="92" spans="1:51" x14ac:dyDescent="0.35">
      <c r="A92">
        <v>86</v>
      </c>
      <c r="C92">
        <f>MAX(0,Calc!$C$7-SUM(D92:R92))</f>
        <v>750</v>
      </c>
      <c r="D92">
        <f t="shared" si="49"/>
        <v>0</v>
      </c>
      <c r="E92">
        <f t="shared" si="50"/>
        <v>0</v>
      </c>
      <c r="F92">
        <f t="shared" si="51"/>
        <v>0</v>
      </c>
      <c r="G92">
        <f t="shared" si="52"/>
        <v>0</v>
      </c>
      <c r="H92">
        <f t="shared" si="53"/>
        <v>0</v>
      </c>
      <c r="I92">
        <f t="shared" si="54"/>
        <v>0</v>
      </c>
      <c r="J92">
        <f t="shared" si="55"/>
        <v>0</v>
      </c>
      <c r="K92">
        <f t="shared" si="56"/>
        <v>0</v>
      </c>
      <c r="L92">
        <f t="shared" si="57"/>
        <v>0</v>
      </c>
      <c r="M92">
        <f t="shared" si="58"/>
        <v>0</v>
      </c>
      <c r="N92">
        <f t="shared" si="59"/>
        <v>0</v>
      </c>
      <c r="O92">
        <f t="shared" si="60"/>
        <v>0</v>
      </c>
      <c r="P92">
        <f t="shared" si="61"/>
        <v>0</v>
      </c>
      <c r="Q92">
        <f t="shared" si="62"/>
        <v>0</v>
      </c>
      <c r="R92">
        <f t="shared" si="63"/>
        <v>0</v>
      </c>
      <c r="S92">
        <f t="shared" si="64"/>
        <v>0</v>
      </c>
      <c r="T92">
        <f t="shared" si="65"/>
        <v>0</v>
      </c>
      <c r="U92">
        <f t="shared" si="66"/>
        <v>0</v>
      </c>
      <c r="V92">
        <f t="shared" si="67"/>
        <v>0</v>
      </c>
      <c r="W92">
        <f t="shared" si="68"/>
        <v>0</v>
      </c>
      <c r="X92">
        <f t="shared" si="69"/>
        <v>0</v>
      </c>
      <c r="Y92">
        <f t="shared" si="70"/>
        <v>0</v>
      </c>
      <c r="Z92">
        <f t="shared" si="71"/>
        <v>0</v>
      </c>
      <c r="AA92">
        <f t="shared" si="72"/>
        <v>0</v>
      </c>
      <c r="AB92">
        <f t="shared" si="73"/>
        <v>0</v>
      </c>
      <c r="AC92">
        <f t="shared" si="74"/>
        <v>0</v>
      </c>
      <c r="AD92">
        <f t="shared" si="75"/>
        <v>0</v>
      </c>
      <c r="AE92">
        <f t="shared" si="76"/>
        <v>0</v>
      </c>
      <c r="AF92">
        <f t="shared" si="77"/>
        <v>0</v>
      </c>
      <c r="AG92">
        <f t="shared" si="78"/>
        <v>0</v>
      </c>
      <c r="AH92">
        <f t="shared" si="79"/>
        <v>0</v>
      </c>
      <c r="AI92">
        <f t="shared" si="80"/>
        <v>0</v>
      </c>
      <c r="AJ92">
        <f t="shared" si="81"/>
        <v>0</v>
      </c>
      <c r="AK92">
        <f t="shared" si="82"/>
        <v>0</v>
      </c>
      <c r="AL92">
        <f t="shared" si="83"/>
        <v>0</v>
      </c>
      <c r="AM92">
        <f t="shared" si="84"/>
        <v>0</v>
      </c>
      <c r="AN92">
        <f t="shared" si="85"/>
        <v>0</v>
      </c>
      <c r="AO92">
        <f t="shared" si="86"/>
        <v>0</v>
      </c>
      <c r="AP92">
        <f t="shared" si="87"/>
        <v>0</v>
      </c>
      <c r="AQ92">
        <f t="shared" si="88"/>
        <v>0</v>
      </c>
      <c r="AR92">
        <f t="shared" si="89"/>
        <v>0</v>
      </c>
      <c r="AS92">
        <f t="shared" si="90"/>
        <v>0</v>
      </c>
      <c r="AT92">
        <f t="shared" si="91"/>
        <v>0</v>
      </c>
      <c r="AU92">
        <f t="shared" si="92"/>
        <v>0</v>
      </c>
      <c r="AV92">
        <f t="shared" si="93"/>
        <v>0</v>
      </c>
      <c r="AW92">
        <f t="shared" si="48"/>
        <v>0</v>
      </c>
      <c r="AX92">
        <f t="shared" si="94"/>
        <v>0</v>
      </c>
      <c r="AY92">
        <f t="shared" si="95"/>
        <v>0</v>
      </c>
    </row>
    <row r="93" spans="1:51" x14ac:dyDescent="0.35">
      <c r="A93">
        <v>87</v>
      </c>
      <c r="C93">
        <f>MAX(0,Calc!$C$7-SUM(D93:R93))</f>
        <v>750</v>
      </c>
      <c r="D93">
        <f t="shared" si="49"/>
        <v>0</v>
      </c>
      <c r="E93">
        <f t="shared" si="50"/>
        <v>0</v>
      </c>
      <c r="F93">
        <f t="shared" si="51"/>
        <v>0</v>
      </c>
      <c r="G93">
        <f t="shared" si="52"/>
        <v>0</v>
      </c>
      <c r="H93">
        <f t="shared" si="53"/>
        <v>0</v>
      </c>
      <c r="I93">
        <f t="shared" si="54"/>
        <v>0</v>
      </c>
      <c r="J93">
        <f t="shared" si="55"/>
        <v>0</v>
      </c>
      <c r="K93">
        <f t="shared" si="56"/>
        <v>0</v>
      </c>
      <c r="L93">
        <f t="shared" si="57"/>
        <v>0</v>
      </c>
      <c r="M93">
        <f t="shared" si="58"/>
        <v>0</v>
      </c>
      <c r="N93">
        <f t="shared" si="59"/>
        <v>0</v>
      </c>
      <c r="O93">
        <f t="shared" si="60"/>
        <v>0</v>
      </c>
      <c r="P93">
        <f t="shared" si="61"/>
        <v>0</v>
      </c>
      <c r="Q93">
        <f t="shared" si="62"/>
        <v>0</v>
      </c>
      <c r="R93">
        <f t="shared" si="63"/>
        <v>0</v>
      </c>
      <c r="S93">
        <f t="shared" si="64"/>
        <v>0</v>
      </c>
      <c r="T93">
        <f t="shared" si="65"/>
        <v>0</v>
      </c>
      <c r="U93">
        <f t="shared" si="66"/>
        <v>0</v>
      </c>
      <c r="V93">
        <f t="shared" si="67"/>
        <v>0</v>
      </c>
      <c r="W93">
        <f t="shared" si="68"/>
        <v>0</v>
      </c>
      <c r="X93">
        <f t="shared" si="69"/>
        <v>0</v>
      </c>
      <c r="Y93">
        <f t="shared" si="70"/>
        <v>0</v>
      </c>
      <c r="Z93">
        <f t="shared" si="71"/>
        <v>0</v>
      </c>
      <c r="AA93">
        <f t="shared" si="72"/>
        <v>0</v>
      </c>
      <c r="AB93">
        <f t="shared" si="73"/>
        <v>0</v>
      </c>
      <c r="AC93">
        <f t="shared" si="74"/>
        <v>0</v>
      </c>
      <c r="AD93">
        <f t="shared" si="75"/>
        <v>0</v>
      </c>
      <c r="AE93">
        <f t="shared" si="76"/>
        <v>0</v>
      </c>
      <c r="AF93">
        <f t="shared" si="77"/>
        <v>0</v>
      </c>
      <c r="AG93">
        <f t="shared" si="78"/>
        <v>0</v>
      </c>
      <c r="AH93">
        <f t="shared" si="79"/>
        <v>0</v>
      </c>
      <c r="AI93">
        <f t="shared" si="80"/>
        <v>0</v>
      </c>
      <c r="AJ93">
        <f t="shared" si="81"/>
        <v>0</v>
      </c>
      <c r="AK93">
        <f t="shared" si="82"/>
        <v>0</v>
      </c>
      <c r="AL93">
        <f t="shared" si="83"/>
        <v>0</v>
      </c>
      <c r="AM93">
        <f t="shared" si="84"/>
        <v>0</v>
      </c>
      <c r="AN93">
        <f t="shared" si="85"/>
        <v>0</v>
      </c>
      <c r="AO93">
        <f t="shared" si="86"/>
        <v>0</v>
      </c>
      <c r="AP93">
        <f t="shared" si="87"/>
        <v>0</v>
      </c>
      <c r="AQ93">
        <f t="shared" si="88"/>
        <v>0</v>
      </c>
      <c r="AR93">
        <f t="shared" si="89"/>
        <v>0</v>
      </c>
      <c r="AS93">
        <f t="shared" si="90"/>
        <v>0</v>
      </c>
      <c r="AT93">
        <f t="shared" si="91"/>
        <v>0</v>
      </c>
      <c r="AU93">
        <f t="shared" si="92"/>
        <v>0</v>
      </c>
      <c r="AV93">
        <f t="shared" si="93"/>
        <v>0</v>
      </c>
      <c r="AW93">
        <f t="shared" si="48"/>
        <v>0</v>
      </c>
      <c r="AX93">
        <f t="shared" si="94"/>
        <v>0</v>
      </c>
      <c r="AY93">
        <f t="shared" si="95"/>
        <v>0</v>
      </c>
    </row>
    <row r="94" spans="1:51" x14ac:dyDescent="0.35">
      <c r="A94">
        <v>88</v>
      </c>
      <c r="C94">
        <f>MAX(0,Calc!$C$7-SUM(D94:R94))</f>
        <v>750</v>
      </c>
      <c r="D94">
        <f t="shared" si="49"/>
        <v>0</v>
      </c>
      <c r="E94">
        <f t="shared" si="50"/>
        <v>0</v>
      </c>
      <c r="F94">
        <f t="shared" si="51"/>
        <v>0</v>
      </c>
      <c r="G94">
        <f t="shared" si="52"/>
        <v>0</v>
      </c>
      <c r="H94">
        <f t="shared" si="53"/>
        <v>0</v>
      </c>
      <c r="I94">
        <f t="shared" si="54"/>
        <v>0</v>
      </c>
      <c r="J94">
        <f t="shared" si="55"/>
        <v>0</v>
      </c>
      <c r="K94">
        <f t="shared" si="56"/>
        <v>0</v>
      </c>
      <c r="L94">
        <f t="shared" si="57"/>
        <v>0</v>
      </c>
      <c r="M94">
        <f t="shared" si="58"/>
        <v>0</v>
      </c>
      <c r="N94">
        <f t="shared" si="59"/>
        <v>0</v>
      </c>
      <c r="O94">
        <f t="shared" si="60"/>
        <v>0</v>
      </c>
      <c r="P94">
        <f t="shared" si="61"/>
        <v>0</v>
      </c>
      <c r="Q94">
        <f t="shared" si="62"/>
        <v>0</v>
      </c>
      <c r="R94">
        <f t="shared" si="63"/>
        <v>0</v>
      </c>
      <c r="S94">
        <f t="shared" si="64"/>
        <v>0</v>
      </c>
      <c r="T94">
        <f t="shared" si="65"/>
        <v>0</v>
      </c>
      <c r="U94">
        <f t="shared" si="66"/>
        <v>0</v>
      </c>
      <c r="V94">
        <f t="shared" si="67"/>
        <v>0</v>
      </c>
      <c r="W94">
        <f t="shared" si="68"/>
        <v>0</v>
      </c>
      <c r="X94">
        <f t="shared" si="69"/>
        <v>0</v>
      </c>
      <c r="Y94">
        <f t="shared" si="70"/>
        <v>0</v>
      </c>
      <c r="Z94">
        <f t="shared" si="71"/>
        <v>0</v>
      </c>
      <c r="AA94">
        <f t="shared" si="72"/>
        <v>0</v>
      </c>
      <c r="AB94">
        <f t="shared" si="73"/>
        <v>0</v>
      </c>
      <c r="AC94">
        <f t="shared" si="74"/>
        <v>0</v>
      </c>
      <c r="AD94">
        <f t="shared" si="75"/>
        <v>0</v>
      </c>
      <c r="AE94">
        <f t="shared" si="76"/>
        <v>0</v>
      </c>
      <c r="AF94">
        <f t="shared" si="77"/>
        <v>0</v>
      </c>
      <c r="AG94">
        <f t="shared" si="78"/>
        <v>0</v>
      </c>
      <c r="AH94">
        <f t="shared" si="79"/>
        <v>0</v>
      </c>
      <c r="AI94">
        <f t="shared" si="80"/>
        <v>0</v>
      </c>
      <c r="AJ94">
        <f t="shared" si="81"/>
        <v>0</v>
      </c>
      <c r="AK94">
        <f t="shared" si="82"/>
        <v>0</v>
      </c>
      <c r="AL94">
        <f t="shared" si="83"/>
        <v>0</v>
      </c>
      <c r="AM94">
        <f t="shared" si="84"/>
        <v>0</v>
      </c>
      <c r="AN94">
        <f t="shared" si="85"/>
        <v>0</v>
      </c>
      <c r="AO94">
        <f t="shared" si="86"/>
        <v>0</v>
      </c>
      <c r="AP94">
        <f t="shared" si="87"/>
        <v>0</v>
      </c>
      <c r="AQ94">
        <f t="shared" si="88"/>
        <v>0</v>
      </c>
      <c r="AR94">
        <f t="shared" si="89"/>
        <v>0</v>
      </c>
      <c r="AS94">
        <f t="shared" si="90"/>
        <v>0</v>
      </c>
      <c r="AT94">
        <f t="shared" si="91"/>
        <v>0</v>
      </c>
      <c r="AU94">
        <f t="shared" si="92"/>
        <v>0</v>
      </c>
      <c r="AV94">
        <f t="shared" si="93"/>
        <v>0</v>
      </c>
      <c r="AW94">
        <f t="shared" si="48"/>
        <v>0</v>
      </c>
      <c r="AX94">
        <f t="shared" si="94"/>
        <v>0</v>
      </c>
      <c r="AY94">
        <f t="shared" si="95"/>
        <v>0</v>
      </c>
    </row>
    <row r="95" spans="1:51" x14ac:dyDescent="0.35">
      <c r="A95">
        <v>89</v>
      </c>
      <c r="C95">
        <f>MAX(0,Calc!$C$7-SUM(D95:R95))</f>
        <v>750</v>
      </c>
      <c r="D95">
        <f t="shared" si="49"/>
        <v>0</v>
      </c>
      <c r="E95">
        <f t="shared" si="50"/>
        <v>0</v>
      </c>
      <c r="F95">
        <f t="shared" si="51"/>
        <v>0</v>
      </c>
      <c r="G95">
        <f t="shared" si="52"/>
        <v>0</v>
      </c>
      <c r="H95">
        <f t="shared" si="53"/>
        <v>0</v>
      </c>
      <c r="I95">
        <f t="shared" si="54"/>
        <v>0</v>
      </c>
      <c r="J95">
        <f t="shared" si="55"/>
        <v>0</v>
      </c>
      <c r="K95">
        <f t="shared" si="56"/>
        <v>0</v>
      </c>
      <c r="L95">
        <f t="shared" si="57"/>
        <v>0</v>
      </c>
      <c r="M95">
        <f t="shared" si="58"/>
        <v>0</v>
      </c>
      <c r="N95">
        <f t="shared" si="59"/>
        <v>0</v>
      </c>
      <c r="O95">
        <f t="shared" si="60"/>
        <v>0</v>
      </c>
      <c r="P95">
        <f t="shared" si="61"/>
        <v>0</v>
      </c>
      <c r="Q95">
        <f t="shared" si="62"/>
        <v>0</v>
      </c>
      <c r="R95">
        <f t="shared" si="63"/>
        <v>0</v>
      </c>
      <c r="S95">
        <f t="shared" si="64"/>
        <v>0</v>
      </c>
      <c r="T95">
        <f t="shared" si="65"/>
        <v>0</v>
      </c>
      <c r="U95">
        <f t="shared" si="66"/>
        <v>0</v>
      </c>
      <c r="V95">
        <f t="shared" si="67"/>
        <v>0</v>
      </c>
      <c r="W95">
        <f t="shared" si="68"/>
        <v>0</v>
      </c>
      <c r="X95">
        <f t="shared" si="69"/>
        <v>0</v>
      </c>
      <c r="Y95">
        <f t="shared" si="70"/>
        <v>0</v>
      </c>
      <c r="Z95">
        <f t="shared" si="71"/>
        <v>0</v>
      </c>
      <c r="AA95">
        <f t="shared" si="72"/>
        <v>0</v>
      </c>
      <c r="AB95">
        <f t="shared" si="73"/>
        <v>0</v>
      </c>
      <c r="AC95">
        <f t="shared" si="74"/>
        <v>0</v>
      </c>
      <c r="AD95">
        <f t="shared" si="75"/>
        <v>0</v>
      </c>
      <c r="AE95">
        <f t="shared" si="76"/>
        <v>0</v>
      </c>
      <c r="AF95">
        <f t="shared" si="77"/>
        <v>0</v>
      </c>
      <c r="AG95">
        <f t="shared" si="78"/>
        <v>0</v>
      </c>
      <c r="AH95">
        <f t="shared" si="79"/>
        <v>0</v>
      </c>
      <c r="AI95">
        <f t="shared" si="80"/>
        <v>0</v>
      </c>
      <c r="AJ95">
        <f t="shared" si="81"/>
        <v>0</v>
      </c>
      <c r="AK95">
        <f t="shared" si="82"/>
        <v>0</v>
      </c>
      <c r="AL95">
        <f t="shared" si="83"/>
        <v>0</v>
      </c>
      <c r="AM95">
        <f t="shared" si="84"/>
        <v>0</v>
      </c>
      <c r="AN95">
        <f t="shared" si="85"/>
        <v>0</v>
      </c>
      <c r="AO95">
        <f t="shared" si="86"/>
        <v>0</v>
      </c>
      <c r="AP95">
        <f t="shared" si="87"/>
        <v>0</v>
      </c>
      <c r="AQ95">
        <f t="shared" si="88"/>
        <v>0</v>
      </c>
      <c r="AR95">
        <f t="shared" si="89"/>
        <v>0</v>
      </c>
      <c r="AS95">
        <f t="shared" si="90"/>
        <v>0</v>
      </c>
      <c r="AT95">
        <f t="shared" si="91"/>
        <v>0</v>
      </c>
      <c r="AU95">
        <f t="shared" si="92"/>
        <v>0</v>
      </c>
      <c r="AV95">
        <f t="shared" si="93"/>
        <v>0</v>
      </c>
      <c r="AW95">
        <f t="shared" si="48"/>
        <v>0</v>
      </c>
      <c r="AX95">
        <f t="shared" si="94"/>
        <v>0</v>
      </c>
      <c r="AY95">
        <f t="shared" si="95"/>
        <v>0</v>
      </c>
    </row>
    <row r="96" spans="1:51" x14ac:dyDescent="0.35">
      <c r="A96">
        <v>90</v>
      </c>
      <c r="C96">
        <f>MAX(0,Calc!$C$7-SUM(D96:R96))</f>
        <v>750</v>
      </c>
      <c r="D96">
        <f t="shared" si="49"/>
        <v>0</v>
      </c>
      <c r="E96">
        <f t="shared" si="50"/>
        <v>0</v>
      </c>
      <c r="F96">
        <f t="shared" si="51"/>
        <v>0</v>
      </c>
      <c r="G96">
        <f t="shared" si="52"/>
        <v>0</v>
      </c>
      <c r="H96">
        <f t="shared" si="53"/>
        <v>0</v>
      </c>
      <c r="I96">
        <f t="shared" si="54"/>
        <v>0</v>
      </c>
      <c r="J96">
        <f t="shared" si="55"/>
        <v>0</v>
      </c>
      <c r="K96">
        <f t="shared" si="56"/>
        <v>0</v>
      </c>
      <c r="L96">
        <f t="shared" si="57"/>
        <v>0</v>
      </c>
      <c r="M96">
        <f t="shared" si="58"/>
        <v>0</v>
      </c>
      <c r="N96">
        <f t="shared" si="59"/>
        <v>0</v>
      </c>
      <c r="O96">
        <f t="shared" si="60"/>
        <v>0</v>
      </c>
      <c r="P96">
        <f t="shared" si="61"/>
        <v>0</v>
      </c>
      <c r="Q96">
        <f t="shared" si="62"/>
        <v>0</v>
      </c>
      <c r="R96">
        <f t="shared" si="63"/>
        <v>0</v>
      </c>
      <c r="S96">
        <f t="shared" si="64"/>
        <v>0</v>
      </c>
      <c r="T96">
        <f t="shared" si="65"/>
        <v>0</v>
      </c>
      <c r="U96">
        <f t="shared" si="66"/>
        <v>0</v>
      </c>
      <c r="V96">
        <f t="shared" si="67"/>
        <v>0</v>
      </c>
      <c r="W96">
        <f t="shared" si="68"/>
        <v>0</v>
      </c>
      <c r="X96">
        <f t="shared" si="69"/>
        <v>0</v>
      </c>
      <c r="Y96">
        <f t="shared" si="70"/>
        <v>0</v>
      </c>
      <c r="Z96">
        <f t="shared" si="71"/>
        <v>0</v>
      </c>
      <c r="AA96">
        <f t="shared" si="72"/>
        <v>0</v>
      </c>
      <c r="AB96">
        <f t="shared" si="73"/>
        <v>0</v>
      </c>
      <c r="AC96">
        <f t="shared" si="74"/>
        <v>0</v>
      </c>
      <c r="AD96">
        <f t="shared" si="75"/>
        <v>0</v>
      </c>
      <c r="AE96">
        <f t="shared" si="76"/>
        <v>0</v>
      </c>
      <c r="AF96">
        <f t="shared" si="77"/>
        <v>0</v>
      </c>
      <c r="AG96">
        <f t="shared" si="78"/>
        <v>0</v>
      </c>
      <c r="AH96">
        <f t="shared" si="79"/>
        <v>0</v>
      </c>
      <c r="AI96">
        <f t="shared" si="80"/>
        <v>0</v>
      </c>
      <c r="AJ96">
        <f t="shared" si="81"/>
        <v>0</v>
      </c>
      <c r="AK96">
        <f t="shared" si="82"/>
        <v>0</v>
      </c>
      <c r="AL96">
        <f t="shared" si="83"/>
        <v>0</v>
      </c>
      <c r="AM96">
        <f t="shared" si="84"/>
        <v>0</v>
      </c>
      <c r="AN96">
        <f t="shared" si="85"/>
        <v>0</v>
      </c>
      <c r="AO96">
        <f t="shared" si="86"/>
        <v>0</v>
      </c>
      <c r="AP96">
        <f t="shared" si="87"/>
        <v>0</v>
      </c>
      <c r="AQ96">
        <f t="shared" si="88"/>
        <v>0</v>
      </c>
      <c r="AR96">
        <f t="shared" si="89"/>
        <v>0</v>
      </c>
      <c r="AS96">
        <f t="shared" si="90"/>
        <v>0</v>
      </c>
      <c r="AT96">
        <f t="shared" si="91"/>
        <v>0</v>
      </c>
      <c r="AU96">
        <f t="shared" si="92"/>
        <v>0</v>
      </c>
      <c r="AV96">
        <f t="shared" si="93"/>
        <v>0</v>
      </c>
      <c r="AW96">
        <f t="shared" si="48"/>
        <v>0</v>
      </c>
      <c r="AX96">
        <f t="shared" si="94"/>
        <v>0</v>
      </c>
      <c r="AY96">
        <f t="shared" si="95"/>
        <v>0</v>
      </c>
    </row>
    <row r="97" spans="1:51" x14ac:dyDescent="0.35">
      <c r="A97">
        <v>91</v>
      </c>
      <c r="C97">
        <f>MAX(0,Calc!$C$7-SUM(D97:R97))</f>
        <v>750</v>
      </c>
      <c r="D97">
        <f t="shared" si="49"/>
        <v>0</v>
      </c>
      <c r="E97">
        <f t="shared" si="50"/>
        <v>0</v>
      </c>
      <c r="F97">
        <f t="shared" si="51"/>
        <v>0</v>
      </c>
      <c r="G97">
        <f t="shared" si="52"/>
        <v>0</v>
      </c>
      <c r="H97">
        <f t="shared" si="53"/>
        <v>0</v>
      </c>
      <c r="I97">
        <f t="shared" si="54"/>
        <v>0</v>
      </c>
      <c r="J97">
        <f t="shared" si="55"/>
        <v>0</v>
      </c>
      <c r="K97">
        <f t="shared" si="56"/>
        <v>0</v>
      </c>
      <c r="L97">
        <f t="shared" si="57"/>
        <v>0</v>
      </c>
      <c r="M97">
        <f t="shared" si="58"/>
        <v>0</v>
      </c>
      <c r="N97">
        <f t="shared" si="59"/>
        <v>0</v>
      </c>
      <c r="O97">
        <f t="shared" si="60"/>
        <v>0</v>
      </c>
      <c r="P97">
        <f t="shared" si="61"/>
        <v>0</v>
      </c>
      <c r="Q97">
        <f t="shared" si="62"/>
        <v>0</v>
      </c>
      <c r="R97">
        <f t="shared" si="63"/>
        <v>0</v>
      </c>
      <c r="S97">
        <f t="shared" si="64"/>
        <v>0</v>
      </c>
      <c r="T97">
        <f t="shared" si="65"/>
        <v>0</v>
      </c>
      <c r="U97">
        <f t="shared" si="66"/>
        <v>0</v>
      </c>
      <c r="V97">
        <f t="shared" si="67"/>
        <v>0</v>
      </c>
      <c r="W97">
        <f t="shared" si="68"/>
        <v>0</v>
      </c>
      <c r="X97">
        <f t="shared" si="69"/>
        <v>0</v>
      </c>
      <c r="Y97">
        <f t="shared" si="70"/>
        <v>0</v>
      </c>
      <c r="Z97">
        <f t="shared" si="71"/>
        <v>0</v>
      </c>
      <c r="AA97">
        <f t="shared" si="72"/>
        <v>0</v>
      </c>
      <c r="AB97">
        <f t="shared" si="73"/>
        <v>0</v>
      </c>
      <c r="AC97">
        <f t="shared" si="74"/>
        <v>0</v>
      </c>
      <c r="AD97">
        <f t="shared" si="75"/>
        <v>0</v>
      </c>
      <c r="AE97">
        <f t="shared" si="76"/>
        <v>0</v>
      </c>
      <c r="AF97">
        <f t="shared" si="77"/>
        <v>0</v>
      </c>
      <c r="AG97">
        <f t="shared" si="78"/>
        <v>0</v>
      </c>
      <c r="AH97">
        <f t="shared" si="79"/>
        <v>0</v>
      </c>
      <c r="AI97">
        <f t="shared" si="80"/>
        <v>0</v>
      </c>
      <c r="AJ97">
        <f t="shared" si="81"/>
        <v>0</v>
      </c>
      <c r="AK97">
        <f t="shared" si="82"/>
        <v>0</v>
      </c>
      <c r="AL97">
        <f t="shared" si="83"/>
        <v>0</v>
      </c>
      <c r="AM97">
        <f t="shared" si="84"/>
        <v>0</v>
      </c>
      <c r="AN97">
        <f t="shared" si="85"/>
        <v>0</v>
      </c>
      <c r="AO97">
        <f t="shared" si="86"/>
        <v>0</v>
      </c>
      <c r="AP97">
        <f t="shared" si="87"/>
        <v>0</v>
      </c>
      <c r="AQ97">
        <f t="shared" si="88"/>
        <v>0</v>
      </c>
      <c r="AR97">
        <f t="shared" si="89"/>
        <v>0</v>
      </c>
      <c r="AS97">
        <f t="shared" si="90"/>
        <v>0</v>
      </c>
      <c r="AT97">
        <f t="shared" si="91"/>
        <v>0</v>
      </c>
      <c r="AU97">
        <f t="shared" si="92"/>
        <v>0</v>
      </c>
      <c r="AV97">
        <f t="shared" si="93"/>
        <v>0</v>
      </c>
      <c r="AW97">
        <f t="shared" si="48"/>
        <v>0</v>
      </c>
      <c r="AX97">
        <f t="shared" si="94"/>
        <v>0</v>
      </c>
      <c r="AY97">
        <f t="shared" si="95"/>
        <v>0</v>
      </c>
    </row>
    <row r="98" spans="1:51" x14ac:dyDescent="0.35">
      <c r="A98">
        <v>92</v>
      </c>
      <c r="C98">
        <f>MAX(0,Calc!$C$7-SUM(D98:R98))</f>
        <v>750</v>
      </c>
      <c r="D98">
        <f t="shared" si="49"/>
        <v>0</v>
      </c>
      <c r="E98">
        <f t="shared" si="50"/>
        <v>0</v>
      </c>
      <c r="F98">
        <f t="shared" si="51"/>
        <v>0</v>
      </c>
      <c r="G98">
        <f t="shared" si="52"/>
        <v>0</v>
      </c>
      <c r="H98">
        <f t="shared" si="53"/>
        <v>0</v>
      </c>
      <c r="I98">
        <f t="shared" si="54"/>
        <v>0</v>
      </c>
      <c r="J98">
        <f t="shared" si="55"/>
        <v>0</v>
      </c>
      <c r="K98">
        <f t="shared" si="56"/>
        <v>0</v>
      </c>
      <c r="L98">
        <f t="shared" si="57"/>
        <v>0</v>
      </c>
      <c r="M98">
        <f t="shared" si="58"/>
        <v>0</v>
      </c>
      <c r="N98">
        <f t="shared" si="59"/>
        <v>0</v>
      </c>
      <c r="O98">
        <f t="shared" si="60"/>
        <v>0</v>
      </c>
      <c r="P98">
        <f t="shared" si="61"/>
        <v>0</v>
      </c>
      <c r="Q98">
        <f t="shared" si="62"/>
        <v>0</v>
      </c>
      <c r="R98">
        <f t="shared" si="63"/>
        <v>0</v>
      </c>
      <c r="S98">
        <f t="shared" si="64"/>
        <v>0</v>
      </c>
      <c r="T98">
        <f t="shared" si="65"/>
        <v>0</v>
      </c>
      <c r="U98">
        <f t="shared" si="66"/>
        <v>0</v>
      </c>
      <c r="V98">
        <f t="shared" si="67"/>
        <v>0</v>
      </c>
      <c r="W98">
        <f t="shared" si="68"/>
        <v>0</v>
      </c>
      <c r="X98">
        <f t="shared" si="69"/>
        <v>0</v>
      </c>
      <c r="Y98">
        <f t="shared" si="70"/>
        <v>0</v>
      </c>
      <c r="Z98">
        <f t="shared" si="71"/>
        <v>0</v>
      </c>
      <c r="AA98">
        <f t="shared" si="72"/>
        <v>0</v>
      </c>
      <c r="AB98">
        <f t="shared" si="73"/>
        <v>0</v>
      </c>
      <c r="AC98">
        <f t="shared" si="74"/>
        <v>0</v>
      </c>
      <c r="AD98">
        <f t="shared" si="75"/>
        <v>0</v>
      </c>
      <c r="AE98">
        <f t="shared" si="76"/>
        <v>0</v>
      </c>
      <c r="AF98">
        <f t="shared" si="77"/>
        <v>0</v>
      </c>
      <c r="AG98">
        <f t="shared" si="78"/>
        <v>0</v>
      </c>
      <c r="AH98">
        <f t="shared" si="79"/>
        <v>0</v>
      </c>
      <c r="AI98">
        <f t="shared" si="80"/>
        <v>0</v>
      </c>
      <c r="AJ98">
        <f t="shared" si="81"/>
        <v>0</v>
      </c>
      <c r="AK98">
        <f t="shared" si="82"/>
        <v>0</v>
      </c>
      <c r="AL98">
        <f t="shared" si="83"/>
        <v>0</v>
      </c>
      <c r="AM98">
        <f t="shared" si="84"/>
        <v>0</v>
      </c>
      <c r="AN98">
        <f t="shared" si="85"/>
        <v>0</v>
      </c>
      <c r="AO98">
        <f t="shared" si="86"/>
        <v>0</v>
      </c>
      <c r="AP98">
        <f t="shared" si="87"/>
        <v>0</v>
      </c>
      <c r="AQ98">
        <f t="shared" si="88"/>
        <v>0</v>
      </c>
      <c r="AR98">
        <f t="shared" si="89"/>
        <v>0</v>
      </c>
      <c r="AS98">
        <f t="shared" si="90"/>
        <v>0</v>
      </c>
      <c r="AT98">
        <f t="shared" si="91"/>
        <v>0</v>
      </c>
      <c r="AU98">
        <f t="shared" si="92"/>
        <v>0</v>
      </c>
      <c r="AV98">
        <f t="shared" si="93"/>
        <v>0</v>
      </c>
      <c r="AW98">
        <f t="shared" si="48"/>
        <v>0</v>
      </c>
      <c r="AX98">
        <f t="shared" si="94"/>
        <v>0</v>
      </c>
      <c r="AY98">
        <f t="shared" si="95"/>
        <v>0</v>
      </c>
    </row>
    <row r="99" spans="1:51" x14ac:dyDescent="0.35">
      <c r="A99">
        <v>93</v>
      </c>
      <c r="C99">
        <f>MAX(0,Calc!$C$7-SUM(D99:R99))</f>
        <v>750</v>
      </c>
      <c r="D99">
        <f t="shared" si="49"/>
        <v>0</v>
      </c>
      <c r="E99">
        <f t="shared" si="50"/>
        <v>0</v>
      </c>
      <c r="F99">
        <f t="shared" si="51"/>
        <v>0</v>
      </c>
      <c r="G99">
        <f t="shared" si="52"/>
        <v>0</v>
      </c>
      <c r="H99">
        <f t="shared" si="53"/>
        <v>0</v>
      </c>
      <c r="I99">
        <f t="shared" si="54"/>
        <v>0</v>
      </c>
      <c r="J99">
        <f t="shared" si="55"/>
        <v>0</v>
      </c>
      <c r="K99">
        <f t="shared" si="56"/>
        <v>0</v>
      </c>
      <c r="L99">
        <f t="shared" si="57"/>
        <v>0</v>
      </c>
      <c r="M99">
        <f t="shared" si="58"/>
        <v>0</v>
      </c>
      <c r="N99">
        <f t="shared" si="59"/>
        <v>0</v>
      </c>
      <c r="O99">
        <f t="shared" si="60"/>
        <v>0</v>
      </c>
      <c r="P99">
        <f t="shared" si="61"/>
        <v>0</v>
      </c>
      <c r="Q99">
        <f t="shared" si="62"/>
        <v>0</v>
      </c>
      <c r="R99">
        <f t="shared" si="63"/>
        <v>0</v>
      </c>
      <c r="S99">
        <f t="shared" si="64"/>
        <v>0</v>
      </c>
      <c r="T99">
        <f t="shared" si="65"/>
        <v>0</v>
      </c>
      <c r="U99">
        <f t="shared" si="66"/>
        <v>0</v>
      </c>
      <c r="V99">
        <f t="shared" si="67"/>
        <v>0</v>
      </c>
      <c r="W99">
        <f t="shared" si="68"/>
        <v>0</v>
      </c>
      <c r="X99">
        <f t="shared" si="69"/>
        <v>0</v>
      </c>
      <c r="Y99">
        <f t="shared" si="70"/>
        <v>0</v>
      </c>
      <c r="Z99">
        <f t="shared" si="71"/>
        <v>0</v>
      </c>
      <c r="AA99">
        <f t="shared" si="72"/>
        <v>0</v>
      </c>
      <c r="AB99">
        <f t="shared" si="73"/>
        <v>0</v>
      </c>
      <c r="AC99">
        <f t="shared" si="74"/>
        <v>0</v>
      </c>
      <c r="AD99">
        <f t="shared" si="75"/>
        <v>0</v>
      </c>
      <c r="AE99">
        <f t="shared" si="76"/>
        <v>0</v>
      </c>
      <c r="AF99">
        <f t="shared" si="77"/>
        <v>0</v>
      </c>
      <c r="AG99">
        <f t="shared" si="78"/>
        <v>0</v>
      </c>
      <c r="AH99">
        <f t="shared" si="79"/>
        <v>0</v>
      </c>
      <c r="AI99">
        <f t="shared" si="80"/>
        <v>0</v>
      </c>
      <c r="AJ99">
        <f t="shared" si="81"/>
        <v>0</v>
      </c>
      <c r="AK99">
        <f t="shared" si="82"/>
        <v>0</v>
      </c>
      <c r="AL99">
        <f t="shared" si="83"/>
        <v>0</v>
      </c>
      <c r="AM99">
        <f t="shared" si="84"/>
        <v>0</v>
      </c>
      <c r="AN99">
        <f t="shared" si="85"/>
        <v>0</v>
      </c>
      <c r="AO99">
        <f t="shared" si="86"/>
        <v>0</v>
      </c>
      <c r="AP99">
        <f t="shared" si="87"/>
        <v>0</v>
      </c>
      <c r="AQ99">
        <f t="shared" si="88"/>
        <v>0</v>
      </c>
      <c r="AR99">
        <f t="shared" si="89"/>
        <v>0</v>
      </c>
      <c r="AS99">
        <f t="shared" si="90"/>
        <v>0</v>
      </c>
      <c r="AT99">
        <f t="shared" si="91"/>
        <v>0</v>
      </c>
      <c r="AU99">
        <f t="shared" si="92"/>
        <v>0</v>
      </c>
      <c r="AV99">
        <f t="shared" si="93"/>
        <v>0</v>
      </c>
      <c r="AW99">
        <f t="shared" si="48"/>
        <v>0</v>
      </c>
      <c r="AX99">
        <f t="shared" si="94"/>
        <v>0</v>
      </c>
      <c r="AY99">
        <f t="shared" si="95"/>
        <v>0</v>
      </c>
    </row>
    <row r="100" spans="1:51" x14ac:dyDescent="0.35">
      <c r="A100">
        <v>94</v>
      </c>
      <c r="C100">
        <f>MAX(0,Calc!$C$7-SUM(D100:R100))</f>
        <v>750</v>
      </c>
      <c r="D100">
        <f t="shared" si="49"/>
        <v>0</v>
      </c>
      <c r="E100">
        <f t="shared" si="50"/>
        <v>0</v>
      </c>
      <c r="F100">
        <f t="shared" si="51"/>
        <v>0</v>
      </c>
      <c r="G100">
        <f t="shared" si="52"/>
        <v>0</v>
      </c>
      <c r="H100">
        <f t="shared" si="53"/>
        <v>0</v>
      </c>
      <c r="I100">
        <f t="shared" si="54"/>
        <v>0</v>
      </c>
      <c r="J100">
        <f t="shared" si="55"/>
        <v>0</v>
      </c>
      <c r="K100">
        <f t="shared" si="56"/>
        <v>0</v>
      </c>
      <c r="L100">
        <f t="shared" si="57"/>
        <v>0</v>
      </c>
      <c r="M100">
        <f t="shared" si="58"/>
        <v>0</v>
      </c>
      <c r="N100">
        <f t="shared" si="59"/>
        <v>0</v>
      </c>
      <c r="O100">
        <f t="shared" si="60"/>
        <v>0</v>
      </c>
      <c r="P100">
        <f t="shared" si="61"/>
        <v>0</v>
      </c>
      <c r="Q100">
        <f t="shared" si="62"/>
        <v>0</v>
      </c>
      <c r="R100">
        <f t="shared" si="63"/>
        <v>0</v>
      </c>
      <c r="S100">
        <f t="shared" si="64"/>
        <v>0</v>
      </c>
      <c r="T100">
        <f t="shared" si="65"/>
        <v>0</v>
      </c>
      <c r="U100">
        <f t="shared" si="66"/>
        <v>0</v>
      </c>
      <c r="V100">
        <f t="shared" si="67"/>
        <v>0</v>
      </c>
      <c r="W100">
        <f t="shared" si="68"/>
        <v>0</v>
      </c>
      <c r="X100">
        <f t="shared" si="69"/>
        <v>0</v>
      </c>
      <c r="Y100">
        <f t="shared" si="70"/>
        <v>0</v>
      </c>
      <c r="Z100">
        <f t="shared" si="71"/>
        <v>0</v>
      </c>
      <c r="AA100">
        <f t="shared" si="72"/>
        <v>0</v>
      </c>
      <c r="AB100">
        <f t="shared" si="73"/>
        <v>0</v>
      </c>
      <c r="AC100">
        <f t="shared" si="74"/>
        <v>0</v>
      </c>
      <c r="AD100">
        <f t="shared" si="75"/>
        <v>0</v>
      </c>
      <c r="AE100">
        <f t="shared" si="76"/>
        <v>0</v>
      </c>
      <c r="AF100">
        <f t="shared" si="77"/>
        <v>0</v>
      </c>
      <c r="AG100">
        <f t="shared" si="78"/>
        <v>0</v>
      </c>
      <c r="AH100">
        <f t="shared" si="79"/>
        <v>0</v>
      </c>
      <c r="AI100">
        <f t="shared" si="80"/>
        <v>0</v>
      </c>
      <c r="AJ100">
        <f t="shared" si="81"/>
        <v>0</v>
      </c>
      <c r="AK100">
        <f t="shared" si="82"/>
        <v>0</v>
      </c>
      <c r="AL100">
        <f t="shared" si="83"/>
        <v>0</v>
      </c>
      <c r="AM100">
        <f t="shared" si="84"/>
        <v>0</v>
      </c>
      <c r="AN100">
        <f t="shared" si="85"/>
        <v>0</v>
      </c>
      <c r="AO100">
        <f t="shared" si="86"/>
        <v>0</v>
      </c>
      <c r="AP100">
        <f t="shared" si="87"/>
        <v>0</v>
      </c>
      <c r="AQ100">
        <f t="shared" si="88"/>
        <v>0</v>
      </c>
      <c r="AR100">
        <f t="shared" si="89"/>
        <v>0</v>
      </c>
      <c r="AS100">
        <f t="shared" si="90"/>
        <v>0</v>
      </c>
      <c r="AT100">
        <f t="shared" si="91"/>
        <v>0</v>
      </c>
      <c r="AU100">
        <f t="shared" si="92"/>
        <v>0</v>
      </c>
      <c r="AV100">
        <f t="shared" si="93"/>
        <v>0</v>
      </c>
      <c r="AW100">
        <f t="shared" si="48"/>
        <v>0</v>
      </c>
      <c r="AX100">
        <f t="shared" si="94"/>
        <v>0</v>
      </c>
      <c r="AY100">
        <f t="shared" si="95"/>
        <v>0</v>
      </c>
    </row>
    <row r="101" spans="1:51" x14ac:dyDescent="0.35">
      <c r="A101">
        <v>95</v>
      </c>
      <c r="C101">
        <f>MAX(0,Calc!$C$7-SUM(D101:R101))</f>
        <v>750</v>
      </c>
      <c r="D101">
        <f t="shared" si="49"/>
        <v>0</v>
      </c>
      <c r="E101">
        <f t="shared" si="50"/>
        <v>0</v>
      </c>
      <c r="F101">
        <f t="shared" si="51"/>
        <v>0</v>
      </c>
      <c r="G101">
        <f t="shared" si="52"/>
        <v>0</v>
      </c>
      <c r="H101">
        <f t="shared" si="53"/>
        <v>0</v>
      </c>
      <c r="I101">
        <f t="shared" si="54"/>
        <v>0</v>
      </c>
      <c r="J101">
        <f t="shared" si="55"/>
        <v>0</v>
      </c>
      <c r="K101">
        <f t="shared" si="56"/>
        <v>0</v>
      </c>
      <c r="L101">
        <f t="shared" si="57"/>
        <v>0</v>
      </c>
      <c r="M101">
        <f t="shared" si="58"/>
        <v>0</v>
      </c>
      <c r="N101">
        <f t="shared" si="59"/>
        <v>0</v>
      </c>
      <c r="O101">
        <f t="shared" si="60"/>
        <v>0</v>
      </c>
      <c r="P101">
        <f t="shared" si="61"/>
        <v>0</v>
      </c>
      <c r="Q101">
        <f t="shared" si="62"/>
        <v>0</v>
      </c>
      <c r="R101">
        <f t="shared" si="63"/>
        <v>0</v>
      </c>
      <c r="S101">
        <f t="shared" si="64"/>
        <v>0</v>
      </c>
      <c r="T101">
        <f t="shared" si="65"/>
        <v>0</v>
      </c>
      <c r="U101">
        <f t="shared" si="66"/>
        <v>0</v>
      </c>
      <c r="V101">
        <f t="shared" si="67"/>
        <v>0</v>
      </c>
      <c r="W101">
        <f t="shared" si="68"/>
        <v>0</v>
      </c>
      <c r="X101">
        <f t="shared" si="69"/>
        <v>0</v>
      </c>
      <c r="Y101">
        <f t="shared" si="70"/>
        <v>0</v>
      </c>
      <c r="Z101">
        <f t="shared" si="71"/>
        <v>0</v>
      </c>
      <c r="AA101">
        <f t="shared" si="72"/>
        <v>0</v>
      </c>
      <c r="AB101">
        <f t="shared" si="73"/>
        <v>0</v>
      </c>
      <c r="AC101">
        <f t="shared" si="74"/>
        <v>0</v>
      </c>
      <c r="AD101">
        <f t="shared" si="75"/>
        <v>0</v>
      </c>
      <c r="AE101">
        <f t="shared" si="76"/>
        <v>0</v>
      </c>
      <c r="AF101">
        <f t="shared" si="77"/>
        <v>0</v>
      </c>
      <c r="AG101">
        <f t="shared" si="78"/>
        <v>0</v>
      </c>
      <c r="AH101">
        <f t="shared" si="79"/>
        <v>0</v>
      </c>
      <c r="AI101">
        <f t="shared" si="80"/>
        <v>0</v>
      </c>
      <c r="AJ101">
        <f t="shared" si="81"/>
        <v>0</v>
      </c>
      <c r="AK101">
        <f t="shared" si="82"/>
        <v>0</v>
      </c>
      <c r="AL101">
        <f t="shared" si="83"/>
        <v>0</v>
      </c>
      <c r="AM101">
        <f t="shared" si="84"/>
        <v>0</v>
      </c>
      <c r="AN101">
        <f t="shared" si="85"/>
        <v>0</v>
      </c>
      <c r="AO101">
        <f t="shared" si="86"/>
        <v>0</v>
      </c>
      <c r="AP101">
        <f t="shared" si="87"/>
        <v>0</v>
      </c>
      <c r="AQ101">
        <f t="shared" si="88"/>
        <v>0</v>
      </c>
      <c r="AR101">
        <f t="shared" si="89"/>
        <v>0</v>
      </c>
      <c r="AS101">
        <f t="shared" si="90"/>
        <v>0</v>
      </c>
      <c r="AT101">
        <f t="shared" si="91"/>
        <v>0</v>
      </c>
      <c r="AU101">
        <f t="shared" si="92"/>
        <v>0</v>
      </c>
      <c r="AV101">
        <f t="shared" si="93"/>
        <v>0</v>
      </c>
      <c r="AW101">
        <f t="shared" si="48"/>
        <v>0</v>
      </c>
      <c r="AX101">
        <f t="shared" si="94"/>
        <v>0</v>
      </c>
      <c r="AY101">
        <f t="shared" si="95"/>
        <v>0</v>
      </c>
    </row>
    <row r="102" spans="1:51" x14ac:dyDescent="0.35">
      <c r="A102">
        <v>96</v>
      </c>
      <c r="C102">
        <f>MAX(0,Calc!$C$7-SUM(D102:R102))</f>
        <v>750</v>
      </c>
      <c r="D102">
        <f t="shared" si="49"/>
        <v>0</v>
      </c>
      <c r="E102">
        <f t="shared" si="50"/>
        <v>0</v>
      </c>
      <c r="F102">
        <f t="shared" si="51"/>
        <v>0</v>
      </c>
      <c r="G102">
        <f t="shared" si="52"/>
        <v>0</v>
      </c>
      <c r="H102">
        <f t="shared" si="53"/>
        <v>0</v>
      </c>
      <c r="I102">
        <f t="shared" si="54"/>
        <v>0</v>
      </c>
      <c r="J102">
        <f t="shared" si="55"/>
        <v>0</v>
      </c>
      <c r="K102">
        <f t="shared" si="56"/>
        <v>0</v>
      </c>
      <c r="L102">
        <f t="shared" si="57"/>
        <v>0</v>
      </c>
      <c r="M102">
        <f t="shared" si="58"/>
        <v>0</v>
      </c>
      <c r="N102">
        <f t="shared" si="59"/>
        <v>0</v>
      </c>
      <c r="O102">
        <f t="shared" si="60"/>
        <v>0</v>
      </c>
      <c r="P102">
        <f t="shared" si="61"/>
        <v>0</v>
      </c>
      <c r="Q102">
        <f t="shared" si="62"/>
        <v>0</v>
      </c>
      <c r="R102">
        <f t="shared" si="63"/>
        <v>0</v>
      </c>
      <c r="S102">
        <f t="shared" si="64"/>
        <v>0</v>
      </c>
      <c r="T102">
        <f t="shared" si="65"/>
        <v>0</v>
      </c>
      <c r="U102">
        <f t="shared" si="66"/>
        <v>0</v>
      </c>
      <c r="V102">
        <f t="shared" si="67"/>
        <v>0</v>
      </c>
      <c r="W102">
        <f t="shared" si="68"/>
        <v>0</v>
      </c>
      <c r="X102">
        <f t="shared" si="69"/>
        <v>0</v>
      </c>
      <c r="Y102">
        <f t="shared" si="70"/>
        <v>0</v>
      </c>
      <c r="Z102">
        <f t="shared" si="71"/>
        <v>0</v>
      </c>
      <c r="AA102">
        <f t="shared" si="72"/>
        <v>0</v>
      </c>
      <c r="AB102">
        <f t="shared" si="73"/>
        <v>0</v>
      </c>
      <c r="AC102">
        <f t="shared" si="74"/>
        <v>0</v>
      </c>
      <c r="AD102">
        <f t="shared" si="75"/>
        <v>0</v>
      </c>
      <c r="AE102">
        <f t="shared" si="76"/>
        <v>0</v>
      </c>
      <c r="AF102">
        <f t="shared" si="77"/>
        <v>0</v>
      </c>
      <c r="AG102">
        <f t="shared" si="78"/>
        <v>0</v>
      </c>
      <c r="AH102">
        <f t="shared" si="79"/>
        <v>0</v>
      </c>
      <c r="AI102">
        <f t="shared" si="80"/>
        <v>0</v>
      </c>
      <c r="AJ102">
        <f t="shared" si="81"/>
        <v>0</v>
      </c>
      <c r="AK102">
        <f t="shared" si="82"/>
        <v>0</v>
      </c>
      <c r="AL102">
        <f t="shared" si="83"/>
        <v>0</v>
      </c>
      <c r="AM102">
        <f t="shared" si="84"/>
        <v>0</v>
      </c>
      <c r="AN102">
        <f t="shared" si="85"/>
        <v>0</v>
      </c>
      <c r="AO102">
        <f t="shared" si="86"/>
        <v>0</v>
      </c>
      <c r="AP102">
        <f t="shared" si="87"/>
        <v>0</v>
      </c>
      <c r="AQ102">
        <f t="shared" si="88"/>
        <v>0</v>
      </c>
      <c r="AR102">
        <f t="shared" si="89"/>
        <v>0</v>
      </c>
      <c r="AS102">
        <f t="shared" si="90"/>
        <v>0</v>
      </c>
      <c r="AT102">
        <f t="shared" si="91"/>
        <v>0</v>
      </c>
      <c r="AU102">
        <f t="shared" si="92"/>
        <v>0</v>
      </c>
      <c r="AV102">
        <f t="shared" si="93"/>
        <v>0</v>
      </c>
      <c r="AW102">
        <f t="shared" si="48"/>
        <v>0</v>
      </c>
      <c r="AX102">
        <f t="shared" si="94"/>
        <v>0</v>
      </c>
      <c r="AY102">
        <f t="shared" si="95"/>
        <v>0</v>
      </c>
    </row>
    <row r="103" spans="1:51" x14ac:dyDescent="0.35">
      <c r="A103">
        <v>97</v>
      </c>
      <c r="C103">
        <f>MAX(0,Calc!$C$7-SUM(D103:R103))</f>
        <v>750</v>
      </c>
      <c r="D103">
        <f t="shared" si="49"/>
        <v>0</v>
      </c>
      <c r="E103">
        <f t="shared" si="50"/>
        <v>0</v>
      </c>
      <c r="F103">
        <f t="shared" si="51"/>
        <v>0</v>
      </c>
      <c r="G103">
        <f t="shared" si="52"/>
        <v>0</v>
      </c>
      <c r="H103">
        <f t="shared" si="53"/>
        <v>0</v>
      </c>
      <c r="I103">
        <f t="shared" si="54"/>
        <v>0</v>
      </c>
      <c r="J103">
        <f t="shared" si="55"/>
        <v>0</v>
      </c>
      <c r="K103">
        <f t="shared" si="56"/>
        <v>0</v>
      </c>
      <c r="L103">
        <f t="shared" si="57"/>
        <v>0</v>
      </c>
      <c r="M103">
        <f t="shared" si="58"/>
        <v>0</v>
      </c>
      <c r="N103">
        <f t="shared" si="59"/>
        <v>0</v>
      </c>
      <c r="O103">
        <f t="shared" si="60"/>
        <v>0</v>
      </c>
      <c r="P103">
        <f t="shared" si="61"/>
        <v>0</v>
      </c>
      <c r="Q103">
        <f t="shared" si="62"/>
        <v>0</v>
      </c>
      <c r="R103">
        <f t="shared" si="63"/>
        <v>0</v>
      </c>
      <c r="S103">
        <f t="shared" si="64"/>
        <v>0</v>
      </c>
      <c r="T103">
        <f t="shared" si="65"/>
        <v>0</v>
      </c>
      <c r="U103">
        <f t="shared" si="66"/>
        <v>0</v>
      </c>
      <c r="V103">
        <f t="shared" si="67"/>
        <v>0</v>
      </c>
      <c r="W103">
        <f t="shared" si="68"/>
        <v>0</v>
      </c>
      <c r="X103">
        <f t="shared" si="69"/>
        <v>0</v>
      </c>
      <c r="Y103">
        <f t="shared" si="70"/>
        <v>0</v>
      </c>
      <c r="Z103">
        <f t="shared" si="71"/>
        <v>0</v>
      </c>
      <c r="AA103">
        <f t="shared" si="72"/>
        <v>0</v>
      </c>
      <c r="AB103">
        <f t="shared" si="73"/>
        <v>0</v>
      </c>
      <c r="AC103">
        <f t="shared" si="74"/>
        <v>0</v>
      </c>
      <c r="AD103">
        <f t="shared" si="75"/>
        <v>0</v>
      </c>
      <c r="AE103">
        <f t="shared" si="76"/>
        <v>0</v>
      </c>
      <c r="AF103">
        <f t="shared" si="77"/>
        <v>0</v>
      </c>
      <c r="AG103">
        <f t="shared" si="78"/>
        <v>0</v>
      </c>
      <c r="AH103">
        <f t="shared" si="79"/>
        <v>0</v>
      </c>
      <c r="AI103">
        <f t="shared" si="80"/>
        <v>0</v>
      </c>
      <c r="AJ103">
        <f t="shared" si="81"/>
        <v>0</v>
      </c>
      <c r="AK103">
        <f t="shared" si="82"/>
        <v>0</v>
      </c>
      <c r="AL103">
        <f t="shared" si="83"/>
        <v>0</v>
      </c>
      <c r="AM103">
        <f t="shared" si="84"/>
        <v>0</v>
      </c>
      <c r="AN103">
        <f t="shared" si="85"/>
        <v>0</v>
      </c>
      <c r="AO103">
        <f t="shared" si="86"/>
        <v>0</v>
      </c>
      <c r="AP103">
        <f t="shared" si="87"/>
        <v>0</v>
      </c>
      <c r="AQ103">
        <f t="shared" si="88"/>
        <v>0</v>
      </c>
      <c r="AR103">
        <f t="shared" si="89"/>
        <v>0</v>
      </c>
      <c r="AS103">
        <f t="shared" si="90"/>
        <v>0</v>
      </c>
      <c r="AT103">
        <f t="shared" si="91"/>
        <v>0</v>
      </c>
      <c r="AU103">
        <f t="shared" si="92"/>
        <v>0</v>
      </c>
      <c r="AV103">
        <f t="shared" si="93"/>
        <v>0</v>
      </c>
      <c r="AW103">
        <f t="shared" si="48"/>
        <v>0</v>
      </c>
      <c r="AX103">
        <f t="shared" si="94"/>
        <v>0</v>
      </c>
      <c r="AY103">
        <f t="shared" si="95"/>
        <v>0</v>
      </c>
    </row>
    <row r="104" spans="1:51" x14ac:dyDescent="0.35">
      <c r="A104">
        <v>98</v>
      </c>
      <c r="C104">
        <f>MAX(0,Calc!$C$7-SUM(D104:R104))</f>
        <v>750</v>
      </c>
      <c r="D104">
        <f t="shared" si="49"/>
        <v>0</v>
      </c>
      <c r="E104">
        <f t="shared" si="50"/>
        <v>0</v>
      </c>
      <c r="F104">
        <f t="shared" si="51"/>
        <v>0</v>
      </c>
      <c r="G104">
        <f t="shared" si="52"/>
        <v>0</v>
      </c>
      <c r="H104">
        <f t="shared" si="53"/>
        <v>0</v>
      </c>
      <c r="I104">
        <f t="shared" si="54"/>
        <v>0</v>
      </c>
      <c r="J104">
        <f t="shared" si="55"/>
        <v>0</v>
      </c>
      <c r="K104">
        <f t="shared" si="56"/>
        <v>0</v>
      </c>
      <c r="L104">
        <f t="shared" si="57"/>
        <v>0</v>
      </c>
      <c r="M104">
        <f t="shared" si="58"/>
        <v>0</v>
      </c>
      <c r="N104">
        <f t="shared" si="59"/>
        <v>0</v>
      </c>
      <c r="O104">
        <f t="shared" si="60"/>
        <v>0</v>
      </c>
      <c r="P104">
        <f t="shared" si="61"/>
        <v>0</v>
      </c>
      <c r="Q104">
        <f t="shared" si="62"/>
        <v>0</v>
      </c>
      <c r="R104">
        <f t="shared" si="63"/>
        <v>0</v>
      </c>
      <c r="S104">
        <f t="shared" si="64"/>
        <v>0</v>
      </c>
      <c r="T104">
        <f t="shared" si="65"/>
        <v>0</v>
      </c>
      <c r="U104">
        <f t="shared" si="66"/>
        <v>0</v>
      </c>
      <c r="V104">
        <f t="shared" si="67"/>
        <v>0</v>
      </c>
      <c r="W104">
        <f t="shared" si="68"/>
        <v>0</v>
      </c>
      <c r="X104">
        <f t="shared" si="69"/>
        <v>0</v>
      </c>
      <c r="Y104">
        <f t="shared" si="70"/>
        <v>0</v>
      </c>
      <c r="Z104">
        <f t="shared" si="71"/>
        <v>0</v>
      </c>
      <c r="AA104">
        <f t="shared" si="72"/>
        <v>0</v>
      </c>
      <c r="AB104">
        <f t="shared" si="73"/>
        <v>0</v>
      </c>
      <c r="AC104">
        <f t="shared" si="74"/>
        <v>0</v>
      </c>
      <c r="AD104">
        <f t="shared" si="75"/>
        <v>0</v>
      </c>
      <c r="AE104">
        <f t="shared" si="76"/>
        <v>0</v>
      </c>
      <c r="AF104">
        <f t="shared" si="77"/>
        <v>0</v>
      </c>
      <c r="AG104">
        <f t="shared" si="78"/>
        <v>0</v>
      </c>
      <c r="AH104">
        <f t="shared" si="79"/>
        <v>0</v>
      </c>
      <c r="AI104">
        <f t="shared" si="80"/>
        <v>0</v>
      </c>
      <c r="AJ104">
        <f t="shared" si="81"/>
        <v>0</v>
      </c>
      <c r="AK104">
        <f t="shared" si="82"/>
        <v>0</v>
      </c>
      <c r="AL104">
        <f t="shared" si="83"/>
        <v>0</v>
      </c>
      <c r="AM104">
        <f t="shared" si="84"/>
        <v>0</v>
      </c>
      <c r="AN104">
        <f t="shared" si="85"/>
        <v>0</v>
      </c>
      <c r="AO104">
        <f t="shared" si="86"/>
        <v>0</v>
      </c>
      <c r="AP104">
        <f t="shared" si="87"/>
        <v>0</v>
      </c>
      <c r="AQ104">
        <f t="shared" si="88"/>
        <v>0</v>
      </c>
      <c r="AR104">
        <f t="shared" si="89"/>
        <v>0</v>
      </c>
      <c r="AS104">
        <f t="shared" si="90"/>
        <v>0</v>
      </c>
      <c r="AT104">
        <f t="shared" si="91"/>
        <v>0</v>
      </c>
      <c r="AU104">
        <f t="shared" si="92"/>
        <v>0</v>
      </c>
      <c r="AV104">
        <f t="shared" si="93"/>
        <v>0</v>
      </c>
      <c r="AW104">
        <f t="shared" si="48"/>
        <v>0</v>
      </c>
      <c r="AX104">
        <f t="shared" si="94"/>
        <v>0</v>
      </c>
      <c r="AY104">
        <f t="shared" si="95"/>
        <v>0</v>
      </c>
    </row>
    <row r="105" spans="1:51" x14ac:dyDescent="0.35">
      <c r="A105">
        <v>99</v>
      </c>
      <c r="C105">
        <f>MAX(0,Calc!$C$7-SUM(D105:R105))</f>
        <v>750</v>
      </c>
      <c r="D105">
        <f t="shared" si="49"/>
        <v>0</v>
      </c>
      <c r="E105">
        <f t="shared" si="50"/>
        <v>0</v>
      </c>
      <c r="F105">
        <f t="shared" si="51"/>
        <v>0</v>
      </c>
      <c r="G105">
        <f t="shared" si="52"/>
        <v>0</v>
      </c>
      <c r="H105">
        <f t="shared" si="53"/>
        <v>0</v>
      </c>
      <c r="I105">
        <f t="shared" si="54"/>
        <v>0</v>
      </c>
      <c r="J105">
        <f t="shared" si="55"/>
        <v>0</v>
      </c>
      <c r="K105">
        <f t="shared" si="56"/>
        <v>0</v>
      </c>
      <c r="L105">
        <f t="shared" si="57"/>
        <v>0</v>
      </c>
      <c r="M105">
        <f t="shared" si="58"/>
        <v>0</v>
      </c>
      <c r="N105">
        <f t="shared" si="59"/>
        <v>0</v>
      </c>
      <c r="O105">
        <f t="shared" si="60"/>
        <v>0</v>
      </c>
      <c r="P105">
        <f t="shared" si="61"/>
        <v>0</v>
      </c>
      <c r="Q105">
        <f t="shared" si="62"/>
        <v>0</v>
      </c>
      <c r="R105">
        <f t="shared" si="63"/>
        <v>0</v>
      </c>
      <c r="S105">
        <f t="shared" si="64"/>
        <v>0</v>
      </c>
      <c r="T105">
        <f t="shared" si="65"/>
        <v>0</v>
      </c>
      <c r="U105">
        <f t="shared" si="66"/>
        <v>0</v>
      </c>
      <c r="V105">
        <f t="shared" si="67"/>
        <v>0</v>
      </c>
      <c r="W105">
        <f t="shared" si="68"/>
        <v>0</v>
      </c>
      <c r="X105">
        <f t="shared" si="69"/>
        <v>0</v>
      </c>
      <c r="Y105">
        <f t="shared" si="70"/>
        <v>0</v>
      </c>
      <c r="Z105">
        <f t="shared" si="71"/>
        <v>0</v>
      </c>
      <c r="AA105">
        <f t="shared" si="72"/>
        <v>0</v>
      </c>
      <c r="AB105">
        <f t="shared" si="73"/>
        <v>0</v>
      </c>
      <c r="AC105">
        <f t="shared" si="74"/>
        <v>0</v>
      </c>
      <c r="AD105">
        <f t="shared" si="75"/>
        <v>0</v>
      </c>
      <c r="AE105">
        <f t="shared" si="76"/>
        <v>0</v>
      </c>
      <c r="AF105">
        <f t="shared" si="77"/>
        <v>0</v>
      </c>
      <c r="AG105">
        <f t="shared" si="78"/>
        <v>0</v>
      </c>
      <c r="AH105">
        <f t="shared" si="79"/>
        <v>0</v>
      </c>
      <c r="AI105">
        <f t="shared" si="80"/>
        <v>0</v>
      </c>
      <c r="AJ105">
        <f t="shared" si="81"/>
        <v>0</v>
      </c>
      <c r="AK105">
        <f t="shared" si="82"/>
        <v>0</v>
      </c>
      <c r="AL105">
        <f t="shared" si="83"/>
        <v>0</v>
      </c>
      <c r="AM105">
        <f t="shared" si="84"/>
        <v>0</v>
      </c>
      <c r="AN105">
        <f t="shared" si="85"/>
        <v>0</v>
      </c>
      <c r="AO105">
        <f t="shared" si="86"/>
        <v>0</v>
      </c>
      <c r="AP105">
        <f t="shared" si="87"/>
        <v>0</v>
      </c>
      <c r="AQ105">
        <f t="shared" si="88"/>
        <v>0</v>
      </c>
      <c r="AR105">
        <f t="shared" si="89"/>
        <v>0</v>
      </c>
      <c r="AS105">
        <f t="shared" si="90"/>
        <v>0</v>
      </c>
      <c r="AT105">
        <f t="shared" si="91"/>
        <v>0</v>
      </c>
      <c r="AU105">
        <f t="shared" si="92"/>
        <v>0</v>
      </c>
      <c r="AV105">
        <f t="shared" si="93"/>
        <v>0</v>
      </c>
      <c r="AW105">
        <f t="shared" si="48"/>
        <v>0</v>
      </c>
      <c r="AX105">
        <f t="shared" si="94"/>
        <v>0</v>
      </c>
      <c r="AY105">
        <f t="shared" si="95"/>
        <v>0</v>
      </c>
    </row>
    <row r="106" spans="1:51" x14ac:dyDescent="0.35">
      <c r="A106">
        <v>100</v>
      </c>
      <c r="C106">
        <f>MAX(0,Calc!$C$7-SUM(D106:R106))</f>
        <v>750</v>
      </c>
      <c r="D106">
        <f t="shared" si="49"/>
        <v>0</v>
      </c>
      <c r="E106">
        <f t="shared" si="50"/>
        <v>0</v>
      </c>
      <c r="F106">
        <f t="shared" si="51"/>
        <v>0</v>
      </c>
      <c r="G106">
        <f t="shared" si="52"/>
        <v>0</v>
      </c>
      <c r="H106">
        <f t="shared" si="53"/>
        <v>0</v>
      </c>
      <c r="I106">
        <f t="shared" si="54"/>
        <v>0</v>
      </c>
      <c r="J106">
        <f t="shared" si="55"/>
        <v>0</v>
      </c>
      <c r="K106">
        <f t="shared" si="56"/>
        <v>0</v>
      </c>
      <c r="L106">
        <f t="shared" si="57"/>
        <v>0</v>
      </c>
      <c r="M106">
        <f t="shared" si="58"/>
        <v>0</v>
      </c>
      <c r="N106">
        <f t="shared" si="59"/>
        <v>0</v>
      </c>
      <c r="O106">
        <f t="shared" si="60"/>
        <v>0</v>
      </c>
      <c r="P106">
        <f t="shared" si="61"/>
        <v>0</v>
      </c>
      <c r="Q106">
        <f t="shared" si="62"/>
        <v>0</v>
      </c>
      <c r="R106">
        <f t="shared" si="63"/>
        <v>0</v>
      </c>
      <c r="S106">
        <f t="shared" si="64"/>
        <v>0</v>
      </c>
      <c r="T106">
        <f t="shared" si="65"/>
        <v>0</v>
      </c>
      <c r="U106">
        <f t="shared" si="66"/>
        <v>0</v>
      </c>
      <c r="V106">
        <f t="shared" si="67"/>
        <v>0</v>
      </c>
      <c r="W106">
        <f t="shared" si="68"/>
        <v>0</v>
      </c>
      <c r="X106">
        <f t="shared" si="69"/>
        <v>0</v>
      </c>
      <c r="Y106">
        <f t="shared" si="70"/>
        <v>0</v>
      </c>
      <c r="Z106">
        <f t="shared" si="71"/>
        <v>0</v>
      </c>
      <c r="AA106">
        <f t="shared" si="72"/>
        <v>0</v>
      </c>
      <c r="AB106">
        <f t="shared" si="73"/>
        <v>0</v>
      </c>
      <c r="AC106">
        <f t="shared" si="74"/>
        <v>0</v>
      </c>
      <c r="AD106">
        <f t="shared" si="75"/>
        <v>0</v>
      </c>
      <c r="AE106">
        <f t="shared" si="76"/>
        <v>0</v>
      </c>
      <c r="AF106">
        <f t="shared" si="77"/>
        <v>0</v>
      </c>
      <c r="AG106">
        <f t="shared" si="78"/>
        <v>0</v>
      </c>
      <c r="AH106">
        <f t="shared" si="79"/>
        <v>0</v>
      </c>
      <c r="AI106">
        <f t="shared" si="80"/>
        <v>0</v>
      </c>
      <c r="AJ106">
        <f t="shared" si="81"/>
        <v>0</v>
      </c>
      <c r="AK106">
        <f t="shared" si="82"/>
        <v>0</v>
      </c>
      <c r="AL106">
        <f t="shared" si="83"/>
        <v>0</v>
      </c>
      <c r="AM106">
        <f t="shared" si="84"/>
        <v>0</v>
      </c>
      <c r="AN106">
        <f t="shared" si="85"/>
        <v>0</v>
      </c>
      <c r="AO106">
        <f t="shared" si="86"/>
        <v>0</v>
      </c>
      <c r="AP106">
        <f t="shared" si="87"/>
        <v>0</v>
      </c>
      <c r="AQ106">
        <f t="shared" si="88"/>
        <v>0</v>
      </c>
      <c r="AR106">
        <f t="shared" si="89"/>
        <v>0</v>
      </c>
      <c r="AS106">
        <f t="shared" si="90"/>
        <v>0</v>
      </c>
      <c r="AT106">
        <f t="shared" si="91"/>
        <v>0</v>
      </c>
      <c r="AU106">
        <f t="shared" si="92"/>
        <v>0</v>
      </c>
      <c r="AV106">
        <f t="shared" si="93"/>
        <v>0</v>
      </c>
      <c r="AW106">
        <f t="shared" si="48"/>
        <v>0</v>
      </c>
      <c r="AX106">
        <f t="shared" si="94"/>
        <v>0</v>
      </c>
      <c r="AY106">
        <f t="shared" si="95"/>
        <v>0</v>
      </c>
    </row>
    <row r="107" spans="1:51" x14ac:dyDescent="0.35">
      <c r="A107">
        <v>101</v>
      </c>
      <c r="C107">
        <f>MAX(0,Calc!$C$7-SUM(D107:R107))</f>
        <v>750</v>
      </c>
      <c r="D107">
        <f t="shared" si="49"/>
        <v>0</v>
      </c>
      <c r="E107">
        <f t="shared" si="50"/>
        <v>0</v>
      </c>
      <c r="F107">
        <f t="shared" si="51"/>
        <v>0</v>
      </c>
      <c r="G107">
        <f t="shared" si="52"/>
        <v>0</v>
      </c>
      <c r="H107">
        <f t="shared" si="53"/>
        <v>0</v>
      </c>
      <c r="I107">
        <f t="shared" si="54"/>
        <v>0</v>
      </c>
      <c r="J107">
        <f t="shared" si="55"/>
        <v>0</v>
      </c>
      <c r="K107">
        <f t="shared" si="56"/>
        <v>0</v>
      </c>
      <c r="L107">
        <f t="shared" si="57"/>
        <v>0</v>
      </c>
      <c r="M107">
        <f t="shared" si="58"/>
        <v>0</v>
      </c>
      <c r="N107">
        <f t="shared" si="59"/>
        <v>0</v>
      </c>
      <c r="O107">
        <f t="shared" si="60"/>
        <v>0</v>
      </c>
      <c r="P107">
        <f t="shared" si="61"/>
        <v>0</v>
      </c>
      <c r="Q107">
        <f t="shared" si="62"/>
        <v>0</v>
      </c>
      <c r="R107">
        <f t="shared" si="63"/>
        <v>0</v>
      </c>
      <c r="S107">
        <f t="shared" si="64"/>
        <v>0</v>
      </c>
      <c r="T107">
        <f t="shared" si="65"/>
        <v>0</v>
      </c>
      <c r="U107">
        <f t="shared" si="66"/>
        <v>0</v>
      </c>
      <c r="V107">
        <f t="shared" si="67"/>
        <v>0</v>
      </c>
      <c r="W107">
        <f t="shared" si="68"/>
        <v>0</v>
      </c>
      <c r="X107">
        <f t="shared" si="69"/>
        <v>0</v>
      </c>
      <c r="Y107">
        <f t="shared" si="70"/>
        <v>0</v>
      </c>
      <c r="Z107">
        <f t="shared" si="71"/>
        <v>0</v>
      </c>
      <c r="AA107">
        <f t="shared" si="72"/>
        <v>0</v>
      </c>
      <c r="AB107">
        <f t="shared" si="73"/>
        <v>0</v>
      </c>
      <c r="AC107">
        <f t="shared" si="74"/>
        <v>0</v>
      </c>
      <c r="AD107">
        <f t="shared" si="75"/>
        <v>0</v>
      </c>
      <c r="AE107">
        <f t="shared" si="76"/>
        <v>0</v>
      </c>
      <c r="AF107">
        <f t="shared" si="77"/>
        <v>0</v>
      </c>
      <c r="AG107">
        <f t="shared" si="78"/>
        <v>0</v>
      </c>
      <c r="AH107">
        <f t="shared" si="79"/>
        <v>0</v>
      </c>
      <c r="AI107">
        <f t="shared" si="80"/>
        <v>0</v>
      </c>
      <c r="AJ107">
        <f t="shared" si="81"/>
        <v>0</v>
      </c>
      <c r="AK107">
        <f t="shared" si="82"/>
        <v>0</v>
      </c>
      <c r="AL107">
        <f t="shared" si="83"/>
        <v>0</v>
      </c>
      <c r="AM107">
        <f t="shared" si="84"/>
        <v>0</v>
      </c>
      <c r="AN107">
        <f t="shared" si="85"/>
        <v>0</v>
      </c>
      <c r="AO107">
        <f t="shared" si="86"/>
        <v>0</v>
      </c>
      <c r="AP107">
        <f t="shared" si="87"/>
        <v>0</v>
      </c>
      <c r="AQ107">
        <f t="shared" si="88"/>
        <v>0</v>
      </c>
      <c r="AR107">
        <f t="shared" si="89"/>
        <v>0</v>
      </c>
      <c r="AS107">
        <f t="shared" si="90"/>
        <v>0</v>
      </c>
      <c r="AT107">
        <f t="shared" si="91"/>
        <v>0</v>
      </c>
      <c r="AU107">
        <f t="shared" si="92"/>
        <v>0</v>
      </c>
      <c r="AV107">
        <f t="shared" si="93"/>
        <v>0</v>
      </c>
      <c r="AW107">
        <f t="shared" si="48"/>
        <v>0</v>
      </c>
      <c r="AX107">
        <f t="shared" si="94"/>
        <v>0</v>
      </c>
      <c r="AY107">
        <f t="shared" si="95"/>
        <v>0</v>
      </c>
    </row>
    <row r="108" spans="1:51" x14ac:dyDescent="0.35">
      <c r="A108">
        <v>102</v>
      </c>
      <c r="C108">
        <f>MAX(0,Calc!$C$7-SUM(D108:R108))</f>
        <v>750</v>
      </c>
      <c r="D108">
        <f t="shared" si="49"/>
        <v>0</v>
      </c>
      <c r="E108">
        <f t="shared" si="50"/>
        <v>0</v>
      </c>
      <c r="F108">
        <f t="shared" si="51"/>
        <v>0</v>
      </c>
      <c r="G108">
        <f t="shared" si="52"/>
        <v>0</v>
      </c>
      <c r="H108">
        <f t="shared" si="53"/>
        <v>0</v>
      </c>
      <c r="I108">
        <f t="shared" si="54"/>
        <v>0</v>
      </c>
      <c r="J108">
        <f t="shared" si="55"/>
        <v>0</v>
      </c>
      <c r="K108">
        <f t="shared" si="56"/>
        <v>0</v>
      </c>
      <c r="L108">
        <f t="shared" si="57"/>
        <v>0</v>
      </c>
      <c r="M108">
        <f t="shared" si="58"/>
        <v>0</v>
      </c>
      <c r="N108">
        <f t="shared" si="59"/>
        <v>0</v>
      </c>
      <c r="O108">
        <f t="shared" si="60"/>
        <v>0</v>
      </c>
      <c r="P108">
        <f t="shared" si="61"/>
        <v>0</v>
      </c>
      <c r="Q108">
        <f t="shared" si="62"/>
        <v>0</v>
      </c>
      <c r="R108">
        <f t="shared" si="63"/>
        <v>0</v>
      </c>
      <c r="S108">
        <f t="shared" si="64"/>
        <v>0</v>
      </c>
      <c r="T108">
        <f t="shared" si="65"/>
        <v>0</v>
      </c>
      <c r="U108">
        <f t="shared" si="66"/>
        <v>0</v>
      </c>
      <c r="V108">
        <f t="shared" si="67"/>
        <v>0</v>
      </c>
      <c r="W108">
        <f t="shared" si="68"/>
        <v>0</v>
      </c>
      <c r="X108">
        <f t="shared" si="69"/>
        <v>0</v>
      </c>
      <c r="Y108">
        <f t="shared" si="70"/>
        <v>0</v>
      </c>
      <c r="Z108">
        <f t="shared" si="71"/>
        <v>0</v>
      </c>
      <c r="AA108">
        <f t="shared" si="72"/>
        <v>0</v>
      </c>
      <c r="AB108">
        <f t="shared" si="73"/>
        <v>0</v>
      </c>
      <c r="AC108">
        <f t="shared" si="74"/>
        <v>0</v>
      </c>
      <c r="AD108">
        <f t="shared" si="75"/>
        <v>0</v>
      </c>
      <c r="AE108">
        <f t="shared" si="76"/>
        <v>0</v>
      </c>
      <c r="AF108">
        <f t="shared" si="77"/>
        <v>0</v>
      </c>
      <c r="AG108">
        <f t="shared" si="78"/>
        <v>0</v>
      </c>
      <c r="AH108">
        <f t="shared" si="79"/>
        <v>0</v>
      </c>
      <c r="AI108">
        <f t="shared" si="80"/>
        <v>0</v>
      </c>
      <c r="AJ108">
        <f t="shared" si="81"/>
        <v>0</v>
      </c>
      <c r="AK108">
        <f t="shared" si="82"/>
        <v>0</v>
      </c>
      <c r="AL108">
        <f t="shared" si="83"/>
        <v>0</v>
      </c>
      <c r="AM108">
        <f t="shared" si="84"/>
        <v>0</v>
      </c>
      <c r="AN108">
        <f t="shared" si="85"/>
        <v>0</v>
      </c>
      <c r="AO108">
        <f t="shared" si="86"/>
        <v>0</v>
      </c>
      <c r="AP108">
        <f t="shared" si="87"/>
        <v>0</v>
      </c>
      <c r="AQ108">
        <f t="shared" si="88"/>
        <v>0</v>
      </c>
      <c r="AR108">
        <f t="shared" si="89"/>
        <v>0</v>
      </c>
      <c r="AS108">
        <f t="shared" si="90"/>
        <v>0</v>
      </c>
      <c r="AT108">
        <f t="shared" si="91"/>
        <v>0</v>
      </c>
      <c r="AU108">
        <f t="shared" si="92"/>
        <v>0</v>
      </c>
      <c r="AV108">
        <f t="shared" si="93"/>
        <v>0</v>
      </c>
      <c r="AW108">
        <f t="shared" si="48"/>
        <v>0</v>
      </c>
      <c r="AX108">
        <f t="shared" si="94"/>
        <v>0</v>
      </c>
      <c r="AY108">
        <f t="shared" si="95"/>
        <v>0</v>
      </c>
    </row>
    <row r="109" spans="1:51" x14ac:dyDescent="0.35">
      <c r="A109">
        <v>103</v>
      </c>
      <c r="C109">
        <f>MAX(0,Calc!$C$7-SUM(D109:R109))</f>
        <v>750</v>
      </c>
      <c r="D109">
        <f t="shared" si="49"/>
        <v>0</v>
      </c>
      <c r="E109">
        <f t="shared" si="50"/>
        <v>0</v>
      </c>
      <c r="F109">
        <f t="shared" si="51"/>
        <v>0</v>
      </c>
      <c r="G109">
        <f t="shared" si="52"/>
        <v>0</v>
      </c>
      <c r="H109">
        <f t="shared" si="53"/>
        <v>0</v>
      </c>
      <c r="I109">
        <f t="shared" si="54"/>
        <v>0</v>
      </c>
      <c r="J109">
        <f t="shared" si="55"/>
        <v>0</v>
      </c>
      <c r="K109">
        <f t="shared" si="56"/>
        <v>0</v>
      </c>
      <c r="L109">
        <f t="shared" si="57"/>
        <v>0</v>
      </c>
      <c r="M109">
        <f t="shared" si="58"/>
        <v>0</v>
      </c>
      <c r="N109">
        <f t="shared" si="59"/>
        <v>0</v>
      </c>
      <c r="O109">
        <f t="shared" si="60"/>
        <v>0</v>
      </c>
      <c r="P109">
        <f t="shared" si="61"/>
        <v>0</v>
      </c>
      <c r="Q109">
        <f t="shared" si="62"/>
        <v>0</v>
      </c>
      <c r="R109">
        <f t="shared" si="63"/>
        <v>0</v>
      </c>
      <c r="S109">
        <f t="shared" si="64"/>
        <v>0</v>
      </c>
      <c r="T109">
        <f t="shared" si="65"/>
        <v>0</v>
      </c>
      <c r="U109">
        <f t="shared" si="66"/>
        <v>0</v>
      </c>
      <c r="V109">
        <f t="shared" si="67"/>
        <v>0</v>
      </c>
      <c r="W109">
        <f t="shared" si="68"/>
        <v>0</v>
      </c>
      <c r="X109">
        <f t="shared" si="69"/>
        <v>0</v>
      </c>
      <c r="Y109">
        <f t="shared" si="70"/>
        <v>0</v>
      </c>
      <c r="Z109">
        <f t="shared" si="71"/>
        <v>0</v>
      </c>
      <c r="AA109">
        <f t="shared" si="72"/>
        <v>0</v>
      </c>
      <c r="AB109">
        <f t="shared" si="73"/>
        <v>0</v>
      </c>
      <c r="AC109">
        <f t="shared" si="74"/>
        <v>0</v>
      </c>
      <c r="AD109">
        <f t="shared" si="75"/>
        <v>0</v>
      </c>
      <c r="AE109">
        <f t="shared" si="76"/>
        <v>0</v>
      </c>
      <c r="AF109">
        <f t="shared" si="77"/>
        <v>0</v>
      </c>
      <c r="AG109">
        <f t="shared" si="78"/>
        <v>0</v>
      </c>
      <c r="AH109">
        <f t="shared" si="79"/>
        <v>0</v>
      </c>
      <c r="AI109">
        <f t="shared" si="80"/>
        <v>0</v>
      </c>
      <c r="AJ109">
        <f t="shared" si="81"/>
        <v>0</v>
      </c>
      <c r="AK109">
        <f t="shared" si="82"/>
        <v>0</v>
      </c>
      <c r="AL109">
        <f t="shared" si="83"/>
        <v>0</v>
      </c>
      <c r="AM109">
        <f t="shared" si="84"/>
        <v>0</v>
      </c>
      <c r="AN109">
        <f t="shared" si="85"/>
        <v>0</v>
      </c>
      <c r="AO109">
        <f t="shared" si="86"/>
        <v>0</v>
      </c>
      <c r="AP109">
        <f t="shared" si="87"/>
        <v>0</v>
      </c>
      <c r="AQ109">
        <f t="shared" si="88"/>
        <v>0</v>
      </c>
      <c r="AR109">
        <f t="shared" si="89"/>
        <v>0</v>
      </c>
      <c r="AS109">
        <f t="shared" si="90"/>
        <v>0</v>
      </c>
      <c r="AT109">
        <f t="shared" si="91"/>
        <v>0</v>
      </c>
      <c r="AU109">
        <f t="shared" si="92"/>
        <v>0</v>
      </c>
      <c r="AV109">
        <f t="shared" si="93"/>
        <v>0</v>
      </c>
      <c r="AW109">
        <f t="shared" si="48"/>
        <v>0</v>
      </c>
      <c r="AX109">
        <f t="shared" si="94"/>
        <v>0</v>
      </c>
      <c r="AY109">
        <f t="shared" si="95"/>
        <v>0</v>
      </c>
    </row>
    <row r="110" spans="1:51" x14ac:dyDescent="0.35">
      <c r="A110">
        <v>104</v>
      </c>
      <c r="C110">
        <f>MAX(0,Calc!$C$7-SUM(D110:R110))</f>
        <v>750</v>
      </c>
      <c r="D110">
        <f t="shared" si="49"/>
        <v>0</v>
      </c>
      <c r="E110">
        <f t="shared" si="50"/>
        <v>0</v>
      </c>
      <c r="F110">
        <f t="shared" si="51"/>
        <v>0</v>
      </c>
      <c r="G110">
        <f t="shared" si="52"/>
        <v>0</v>
      </c>
      <c r="H110">
        <f t="shared" si="53"/>
        <v>0</v>
      </c>
      <c r="I110">
        <f t="shared" si="54"/>
        <v>0</v>
      </c>
      <c r="J110">
        <f t="shared" si="55"/>
        <v>0</v>
      </c>
      <c r="K110">
        <f t="shared" si="56"/>
        <v>0</v>
      </c>
      <c r="L110">
        <f t="shared" si="57"/>
        <v>0</v>
      </c>
      <c r="M110">
        <f t="shared" si="58"/>
        <v>0</v>
      </c>
      <c r="N110">
        <f t="shared" si="59"/>
        <v>0</v>
      </c>
      <c r="O110">
        <f t="shared" si="60"/>
        <v>0</v>
      </c>
      <c r="P110">
        <f t="shared" si="61"/>
        <v>0</v>
      </c>
      <c r="Q110">
        <f t="shared" si="62"/>
        <v>0</v>
      </c>
      <c r="R110">
        <f t="shared" si="63"/>
        <v>0</v>
      </c>
      <c r="S110">
        <f t="shared" si="64"/>
        <v>0</v>
      </c>
      <c r="T110">
        <f t="shared" si="65"/>
        <v>0</v>
      </c>
      <c r="U110">
        <f t="shared" si="66"/>
        <v>0</v>
      </c>
      <c r="V110">
        <f t="shared" si="67"/>
        <v>0</v>
      </c>
      <c r="W110">
        <f t="shared" si="68"/>
        <v>0</v>
      </c>
      <c r="X110">
        <f t="shared" si="69"/>
        <v>0</v>
      </c>
      <c r="Y110">
        <f t="shared" si="70"/>
        <v>0</v>
      </c>
      <c r="Z110">
        <f t="shared" si="71"/>
        <v>0</v>
      </c>
      <c r="AA110">
        <f t="shared" si="72"/>
        <v>0</v>
      </c>
      <c r="AB110">
        <f t="shared" si="73"/>
        <v>0</v>
      </c>
      <c r="AC110">
        <f t="shared" si="74"/>
        <v>0</v>
      </c>
      <c r="AD110">
        <f t="shared" si="75"/>
        <v>0</v>
      </c>
      <c r="AE110">
        <f t="shared" si="76"/>
        <v>0</v>
      </c>
      <c r="AF110">
        <f t="shared" si="77"/>
        <v>0</v>
      </c>
      <c r="AG110">
        <f t="shared" si="78"/>
        <v>0</v>
      </c>
      <c r="AH110">
        <f t="shared" si="79"/>
        <v>0</v>
      </c>
      <c r="AI110">
        <f t="shared" si="80"/>
        <v>0</v>
      </c>
      <c r="AJ110">
        <f t="shared" si="81"/>
        <v>0</v>
      </c>
      <c r="AK110">
        <f t="shared" si="82"/>
        <v>0</v>
      </c>
      <c r="AL110">
        <f t="shared" si="83"/>
        <v>0</v>
      </c>
      <c r="AM110">
        <f t="shared" si="84"/>
        <v>0</v>
      </c>
      <c r="AN110">
        <f t="shared" si="85"/>
        <v>0</v>
      </c>
      <c r="AO110">
        <f t="shared" si="86"/>
        <v>0</v>
      </c>
      <c r="AP110">
        <f t="shared" si="87"/>
        <v>0</v>
      </c>
      <c r="AQ110">
        <f t="shared" si="88"/>
        <v>0</v>
      </c>
      <c r="AR110">
        <f t="shared" si="89"/>
        <v>0</v>
      </c>
      <c r="AS110">
        <f t="shared" si="90"/>
        <v>0</v>
      </c>
      <c r="AT110">
        <f t="shared" si="91"/>
        <v>0</v>
      </c>
      <c r="AU110">
        <f t="shared" si="92"/>
        <v>0</v>
      </c>
      <c r="AV110">
        <f t="shared" si="93"/>
        <v>0</v>
      </c>
      <c r="AW110">
        <f t="shared" si="48"/>
        <v>0</v>
      </c>
      <c r="AX110">
        <f t="shared" si="94"/>
        <v>0</v>
      </c>
      <c r="AY110">
        <f t="shared" si="95"/>
        <v>0</v>
      </c>
    </row>
    <row r="111" spans="1:51" x14ac:dyDescent="0.35">
      <c r="A111">
        <v>105</v>
      </c>
      <c r="C111">
        <f>MAX(0,Calc!$C$7-SUM(D111:R111))</f>
        <v>750</v>
      </c>
      <c r="D111">
        <f t="shared" si="49"/>
        <v>0</v>
      </c>
      <c r="E111">
        <f t="shared" si="50"/>
        <v>0</v>
      </c>
      <c r="F111">
        <f t="shared" si="51"/>
        <v>0</v>
      </c>
      <c r="G111">
        <f t="shared" si="52"/>
        <v>0</v>
      </c>
      <c r="H111">
        <f t="shared" si="53"/>
        <v>0</v>
      </c>
      <c r="I111">
        <f t="shared" si="54"/>
        <v>0</v>
      </c>
      <c r="J111">
        <f t="shared" si="55"/>
        <v>0</v>
      </c>
      <c r="K111">
        <f t="shared" si="56"/>
        <v>0</v>
      </c>
      <c r="L111">
        <f t="shared" si="57"/>
        <v>0</v>
      </c>
      <c r="M111">
        <f t="shared" si="58"/>
        <v>0</v>
      </c>
      <c r="N111">
        <f t="shared" si="59"/>
        <v>0</v>
      </c>
      <c r="O111">
        <f t="shared" si="60"/>
        <v>0</v>
      </c>
      <c r="P111">
        <f t="shared" si="61"/>
        <v>0</v>
      </c>
      <c r="Q111">
        <f t="shared" si="62"/>
        <v>0</v>
      </c>
      <c r="R111">
        <f t="shared" si="63"/>
        <v>0</v>
      </c>
      <c r="S111">
        <f t="shared" si="64"/>
        <v>0</v>
      </c>
      <c r="T111">
        <f t="shared" si="65"/>
        <v>0</v>
      </c>
      <c r="U111">
        <f t="shared" si="66"/>
        <v>0</v>
      </c>
      <c r="V111">
        <f t="shared" si="67"/>
        <v>0</v>
      </c>
      <c r="W111">
        <f t="shared" si="68"/>
        <v>0</v>
      </c>
      <c r="X111">
        <f t="shared" si="69"/>
        <v>0</v>
      </c>
      <c r="Y111">
        <f t="shared" si="70"/>
        <v>0</v>
      </c>
      <c r="Z111">
        <f t="shared" si="71"/>
        <v>0</v>
      </c>
      <c r="AA111">
        <f t="shared" si="72"/>
        <v>0</v>
      </c>
      <c r="AB111">
        <f t="shared" si="73"/>
        <v>0</v>
      </c>
      <c r="AC111">
        <f t="shared" si="74"/>
        <v>0</v>
      </c>
      <c r="AD111">
        <f t="shared" si="75"/>
        <v>0</v>
      </c>
      <c r="AE111">
        <f t="shared" si="76"/>
        <v>0</v>
      </c>
      <c r="AF111">
        <f t="shared" si="77"/>
        <v>0</v>
      </c>
      <c r="AG111">
        <f t="shared" si="78"/>
        <v>0</v>
      </c>
      <c r="AH111">
        <f t="shared" si="79"/>
        <v>0</v>
      </c>
      <c r="AI111">
        <f t="shared" si="80"/>
        <v>0</v>
      </c>
      <c r="AJ111">
        <f t="shared" si="81"/>
        <v>0</v>
      </c>
      <c r="AK111">
        <f t="shared" si="82"/>
        <v>0</v>
      </c>
      <c r="AL111">
        <f t="shared" si="83"/>
        <v>0</v>
      </c>
      <c r="AM111">
        <f t="shared" si="84"/>
        <v>0</v>
      </c>
      <c r="AN111">
        <f t="shared" si="85"/>
        <v>0</v>
      </c>
      <c r="AO111">
        <f t="shared" si="86"/>
        <v>0</v>
      </c>
      <c r="AP111">
        <f t="shared" si="87"/>
        <v>0</v>
      </c>
      <c r="AQ111">
        <f t="shared" si="88"/>
        <v>0</v>
      </c>
      <c r="AR111">
        <f t="shared" si="89"/>
        <v>0</v>
      </c>
      <c r="AS111">
        <f t="shared" si="90"/>
        <v>0</v>
      </c>
      <c r="AT111">
        <f t="shared" si="91"/>
        <v>0</v>
      </c>
      <c r="AU111">
        <f t="shared" si="92"/>
        <v>0</v>
      </c>
      <c r="AV111">
        <f t="shared" si="93"/>
        <v>0</v>
      </c>
      <c r="AW111">
        <f t="shared" si="48"/>
        <v>0</v>
      </c>
      <c r="AX111">
        <f t="shared" si="94"/>
        <v>0</v>
      </c>
      <c r="AY111">
        <f t="shared" si="95"/>
        <v>0</v>
      </c>
    </row>
    <row r="112" spans="1:51" x14ac:dyDescent="0.35">
      <c r="A112">
        <v>106</v>
      </c>
      <c r="C112">
        <f>MAX(0,Calc!$C$7-SUM(D112:R112))</f>
        <v>750</v>
      </c>
      <c r="D112">
        <f t="shared" si="49"/>
        <v>0</v>
      </c>
      <c r="E112">
        <f t="shared" si="50"/>
        <v>0</v>
      </c>
      <c r="F112">
        <f t="shared" si="51"/>
        <v>0</v>
      </c>
      <c r="G112">
        <f t="shared" si="52"/>
        <v>0</v>
      </c>
      <c r="H112">
        <f t="shared" si="53"/>
        <v>0</v>
      </c>
      <c r="I112">
        <f t="shared" si="54"/>
        <v>0</v>
      </c>
      <c r="J112">
        <f t="shared" si="55"/>
        <v>0</v>
      </c>
      <c r="K112">
        <f t="shared" si="56"/>
        <v>0</v>
      </c>
      <c r="L112">
        <f t="shared" si="57"/>
        <v>0</v>
      </c>
      <c r="M112">
        <f t="shared" si="58"/>
        <v>0</v>
      </c>
      <c r="N112">
        <f t="shared" si="59"/>
        <v>0</v>
      </c>
      <c r="O112">
        <f t="shared" si="60"/>
        <v>0</v>
      </c>
      <c r="P112">
        <f t="shared" si="61"/>
        <v>0</v>
      </c>
      <c r="Q112">
        <f t="shared" si="62"/>
        <v>0</v>
      </c>
      <c r="R112">
        <f t="shared" si="63"/>
        <v>0</v>
      </c>
      <c r="S112">
        <f t="shared" si="64"/>
        <v>0</v>
      </c>
      <c r="T112">
        <f t="shared" si="65"/>
        <v>0</v>
      </c>
      <c r="U112">
        <f t="shared" si="66"/>
        <v>0</v>
      </c>
      <c r="V112">
        <f t="shared" si="67"/>
        <v>0</v>
      </c>
      <c r="W112">
        <f t="shared" si="68"/>
        <v>0</v>
      </c>
      <c r="X112">
        <f t="shared" si="69"/>
        <v>0</v>
      </c>
      <c r="Y112">
        <f t="shared" si="70"/>
        <v>0</v>
      </c>
      <c r="Z112">
        <f t="shared" si="71"/>
        <v>0</v>
      </c>
      <c r="AA112">
        <f t="shared" si="72"/>
        <v>0</v>
      </c>
      <c r="AB112">
        <f t="shared" si="73"/>
        <v>0</v>
      </c>
      <c r="AC112">
        <f t="shared" si="74"/>
        <v>0</v>
      </c>
      <c r="AD112">
        <f t="shared" si="75"/>
        <v>0</v>
      </c>
      <c r="AE112">
        <f t="shared" si="76"/>
        <v>0</v>
      </c>
      <c r="AF112">
        <f t="shared" si="77"/>
        <v>0</v>
      </c>
      <c r="AG112">
        <f t="shared" si="78"/>
        <v>0</v>
      </c>
      <c r="AH112">
        <f t="shared" si="79"/>
        <v>0</v>
      </c>
      <c r="AI112">
        <f t="shared" si="80"/>
        <v>0</v>
      </c>
      <c r="AJ112">
        <f t="shared" si="81"/>
        <v>0</v>
      </c>
      <c r="AK112">
        <f t="shared" si="82"/>
        <v>0</v>
      </c>
      <c r="AL112">
        <f t="shared" si="83"/>
        <v>0</v>
      </c>
      <c r="AM112">
        <f t="shared" si="84"/>
        <v>0</v>
      </c>
      <c r="AN112">
        <f t="shared" si="85"/>
        <v>0</v>
      </c>
      <c r="AO112">
        <f t="shared" si="86"/>
        <v>0</v>
      </c>
      <c r="AP112">
        <f t="shared" si="87"/>
        <v>0</v>
      </c>
      <c r="AQ112">
        <f t="shared" si="88"/>
        <v>0</v>
      </c>
      <c r="AR112">
        <f t="shared" si="89"/>
        <v>0</v>
      </c>
      <c r="AS112">
        <f t="shared" si="90"/>
        <v>0</v>
      </c>
      <c r="AT112">
        <f t="shared" si="91"/>
        <v>0</v>
      </c>
      <c r="AU112">
        <f t="shared" si="92"/>
        <v>0</v>
      </c>
      <c r="AV112">
        <f t="shared" si="93"/>
        <v>0</v>
      </c>
      <c r="AW112">
        <f t="shared" si="48"/>
        <v>0</v>
      </c>
      <c r="AX112">
        <f t="shared" si="94"/>
        <v>0</v>
      </c>
      <c r="AY112">
        <f t="shared" si="95"/>
        <v>0</v>
      </c>
    </row>
    <row r="113" spans="1:51" x14ac:dyDescent="0.35">
      <c r="A113">
        <v>107</v>
      </c>
      <c r="C113">
        <f>MAX(0,Calc!$C$7-SUM(D113:R113))</f>
        <v>750</v>
      </c>
      <c r="D113">
        <f t="shared" si="49"/>
        <v>0</v>
      </c>
      <c r="E113">
        <f t="shared" si="50"/>
        <v>0</v>
      </c>
      <c r="F113">
        <f t="shared" si="51"/>
        <v>0</v>
      </c>
      <c r="G113">
        <f t="shared" si="52"/>
        <v>0</v>
      </c>
      <c r="H113">
        <f t="shared" si="53"/>
        <v>0</v>
      </c>
      <c r="I113">
        <f t="shared" si="54"/>
        <v>0</v>
      </c>
      <c r="J113">
        <f t="shared" si="55"/>
        <v>0</v>
      </c>
      <c r="K113">
        <f t="shared" si="56"/>
        <v>0</v>
      </c>
      <c r="L113">
        <f t="shared" si="57"/>
        <v>0</v>
      </c>
      <c r="M113">
        <f t="shared" si="58"/>
        <v>0</v>
      </c>
      <c r="N113">
        <f t="shared" si="59"/>
        <v>0</v>
      </c>
      <c r="O113">
        <f t="shared" si="60"/>
        <v>0</v>
      </c>
      <c r="P113">
        <f t="shared" si="61"/>
        <v>0</v>
      </c>
      <c r="Q113">
        <f t="shared" si="62"/>
        <v>0</v>
      </c>
      <c r="R113">
        <f t="shared" si="63"/>
        <v>0</v>
      </c>
      <c r="S113">
        <f t="shared" si="64"/>
        <v>0</v>
      </c>
      <c r="T113">
        <f t="shared" si="65"/>
        <v>0</v>
      </c>
      <c r="U113">
        <f t="shared" si="66"/>
        <v>0</v>
      </c>
      <c r="V113">
        <f t="shared" si="67"/>
        <v>0</v>
      </c>
      <c r="W113">
        <f t="shared" si="68"/>
        <v>0</v>
      </c>
      <c r="X113">
        <f t="shared" si="69"/>
        <v>0</v>
      </c>
      <c r="Y113">
        <f t="shared" si="70"/>
        <v>0</v>
      </c>
      <c r="Z113">
        <f t="shared" si="71"/>
        <v>0</v>
      </c>
      <c r="AA113">
        <f t="shared" si="72"/>
        <v>0</v>
      </c>
      <c r="AB113">
        <f t="shared" si="73"/>
        <v>0</v>
      </c>
      <c r="AC113">
        <f t="shared" si="74"/>
        <v>0</v>
      </c>
      <c r="AD113">
        <f t="shared" si="75"/>
        <v>0</v>
      </c>
      <c r="AE113">
        <f t="shared" si="76"/>
        <v>0</v>
      </c>
      <c r="AF113">
        <f t="shared" si="77"/>
        <v>0</v>
      </c>
      <c r="AG113">
        <f t="shared" si="78"/>
        <v>0</v>
      </c>
      <c r="AH113">
        <f t="shared" si="79"/>
        <v>0</v>
      </c>
      <c r="AI113">
        <f t="shared" si="80"/>
        <v>0</v>
      </c>
      <c r="AJ113">
        <f t="shared" si="81"/>
        <v>0</v>
      </c>
      <c r="AK113">
        <f t="shared" si="82"/>
        <v>0</v>
      </c>
      <c r="AL113">
        <f t="shared" si="83"/>
        <v>0</v>
      </c>
      <c r="AM113">
        <f t="shared" si="84"/>
        <v>0</v>
      </c>
      <c r="AN113">
        <f t="shared" si="85"/>
        <v>0</v>
      </c>
      <c r="AO113">
        <f t="shared" si="86"/>
        <v>0</v>
      </c>
      <c r="AP113">
        <f t="shared" si="87"/>
        <v>0</v>
      </c>
      <c r="AQ113">
        <f t="shared" si="88"/>
        <v>0</v>
      </c>
      <c r="AR113">
        <f t="shared" si="89"/>
        <v>0</v>
      </c>
      <c r="AS113">
        <f t="shared" si="90"/>
        <v>0</v>
      </c>
      <c r="AT113">
        <f t="shared" si="91"/>
        <v>0</v>
      </c>
      <c r="AU113">
        <f t="shared" si="92"/>
        <v>0</v>
      </c>
      <c r="AV113">
        <f t="shared" si="93"/>
        <v>0</v>
      </c>
      <c r="AW113">
        <f t="shared" si="48"/>
        <v>0</v>
      </c>
      <c r="AX113">
        <f t="shared" si="94"/>
        <v>0</v>
      </c>
      <c r="AY113">
        <f t="shared" si="95"/>
        <v>0</v>
      </c>
    </row>
    <row r="114" spans="1:51" x14ac:dyDescent="0.35">
      <c r="A114">
        <v>108</v>
      </c>
      <c r="C114">
        <f>MAX(0,Calc!$C$7-SUM(D114:R114))</f>
        <v>750</v>
      </c>
      <c r="D114">
        <f t="shared" si="49"/>
        <v>0</v>
      </c>
      <c r="E114">
        <f t="shared" si="50"/>
        <v>0</v>
      </c>
      <c r="F114">
        <f t="shared" si="51"/>
        <v>0</v>
      </c>
      <c r="G114">
        <f t="shared" si="52"/>
        <v>0</v>
      </c>
      <c r="H114">
        <f t="shared" si="53"/>
        <v>0</v>
      </c>
      <c r="I114">
        <f t="shared" si="54"/>
        <v>0</v>
      </c>
      <c r="J114">
        <f t="shared" si="55"/>
        <v>0</v>
      </c>
      <c r="K114">
        <f t="shared" si="56"/>
        <v>0</v>
      </c>
      <c r="L114">
        <f t="shared" si="57"/>
        <v>0</v>
      </c>
      <c r="M114">
        <f t="shared" si="58"/>
        <v>0</v>
      </c>
      <c r="N114">
        <f t="shared" si="59"/>
        <v>0</v>
      </c>
      <c r="O114">
        <f t="shared" si="60"/>
        <v>0</v>
      </c>
      <c r="P114">
        <f t="shared" si="61"/>
        <v>0</v>
      </c>
      <c r="Q114">
        <f t="shared" si="62"/>
        <v>0</v>
      </c>
      <c r="R114">
        <f t="shared" si="63"/>
        <v>0</v>
      </c>
      <c r="S114">
        <f t="shared" si="64"/>
        <v>0</v>
      </c>
      <c r="T114">
        <f t="shared" si="65"/>
        <v>0</v>
      </c>
      <c r="U114">
        <f t="shared" si="66"/>
        <v>0</v>
      </c>
      <c r="V114">
        <f t="shared" si="67"/>
        <v>0</v>
      </c>
      <c r="W114">
        <f t="shared" si="68"/>
        <v>0</v>
      </c>
      <c r="X114">
        <f t="shared" si="69"/>
        <v>0</v>
      </c>
      <c r="Y114">
        <f t="shared" si="70"/>
        <v>0</v>
      </c>
      <c r="Z114">
        <f t="shared" si="71"/>
        <v>0</v>
      </c>
      <c r="AA114">
        <f t="shared" si="72"/>
        <v>0</v>
      </c>
      <c r="AB114">
        <f t="shared" si="73"/>
        <v>0</v>
      </c>
      <c r="AC114">
        <f t="shared" si="74"/>
        <v>0</v>
      </c>
      <c r="AD114">
        <f t="shared" si="75"/>
        <v>0</v>
      </c>
      <c r="AE114">
        <f t="shared" si="76"/>
        <v>0</v>
      </c>
      <c r="AF114">
        <f t="shared" si="77"/>
        <v>0</v>
      </c>
      <c r="AG114">
        <f t="shared" si="78"/>
        <v>0</v>
      </c>
      <c r="AH114">
        <f t="shared" si="79"/>
        <v>0</v>
      </c>
      <c r="AI114">
        <f t="shared" si="80"/>
        <v>0</v>
      </c>
      <c r="AJ114">
        <f t="shared" si="81"/>
        <v>0</v>
      </c>
      <c r="AK114">
        <f t="shared" si="82"/>
        <v>0</v>
      </c>
      <c r="AL114">
        <f t="shared" si="83"/>
        <v>0</v>
      </c>
      <c r="AM114">
        <f t="shared" si="84"/>
        <v>0</v>
      </c>
      <c r="AN114">
        <f t="shared" si="85"/>
        <v>0</v>
      </c>
      <c r="AO114">
        <f t="shared" si="86"/>
        <v>0</v>
      </c>
      <c r="AP114">
        <f t="shared" si="87"/>
        <v>0</v>
      </c>
      <c r="AQ114">
        <f t="shared" si="88"/>
        <v>0</v>
      </c>
      <c r="AR114">
        <f t="shared" si="89"/>
        <v>0</v>
      </c>
      <c r="AS114">
        <f t="shared" si="90"/>
        <v>0</v>
      </c>
      <c r="AT114">
        <f t="shared" si="91"/>
        <v>0</v>
      </c>
      <c r="AU114">
        <f t="shared" si="92"/>
        <v>0</v>
      </c>
      <c r="AV114">
        <f t="shared" si="93"/>
        <v>0</v>
      </c>
      <c r="AW114">
        <f t="shared" si="48"/>
        <v>0</v>
      </c>
      <c r="AX114">
        <f t="shared" si="94"/>
        <v>0</v>
      </c>
      <c r="AY114">
        <f t="shared" si="95"/>
        <v>0</v>
      </c>
    </row>
    <row r="115" spans="1:51" x14ac:dyDescent="0.35">
      <c r="A115">
        <v>109</v>
      </c>
      <c r="C115">
        <f>MAX(0,Calc!$C$7-SUM(D115:R115))</f>
        <v>750</v>
      </c>
      <c r="D115">
        <f t="shared" si="49"/>
        <v>0</v>
      </c>
      <c r="E115">
        <f t="shared" si="50"/>
        <v>0</v>
      </c>
      <c r="F115">
        <f t="shared" si="51"/>
        <v>0</v>
      </c>
      <c r="G115">
        <f t="shared" si="52"/>
        <v>0</v>
      </c>
      <c r="H115">
        <f t="shared" si="53"/>
        <v>0</v>
      </c>
      <c r="I115">
        <f t="shared" si="54"/>
        <v>0</v>
      </c>
      <c r="J115">
        <f t="shared" si="55"/>
        <v>0</v>
      </c>
      <c r="K115">
        <f t="shared" si="56"/>
        <v>0</v>
      </c>
      <c r="L115">
        <f t="shared" si="57"/>
        <v>0</v>
      </c>
      <c r="M115">
        <f t="shared" si="58"/>
        <v>0</v>
      </c>
      <c r="N115">
        <f t="shared" si="59"/>
        <v>0</v>
      </c>
      <c r="O115">
        <f t="shared" si="60"/>
        <v>0</v>
      </c>
      <c r="P115">
        <f t="shared" si="61"/>
        <v>0</v>
      </c>
      <c r="Q115">
        <f t="shared" si="62"/>
        <v>0</v>
      </c>
      <c r="R115">
        <f t="shared" si="63"/>
        <v>0</v>
      </c>
      <c r="S115">
        <f t="shared" si="64"/>
        <v>0</v>
      </c>
      <c r="T115">
        <f t="shared" si="65"/>
        <v>0</v>
      </c>
      <c r="U115">
        <f t="shared" si="66"/>
        <v>0</v>
      </c>
      <c r="V115">
        <f t="shared" si="67"/>
        <v>0</v>
      </c>
      <c r="W115">
        <f t="shared" si="68"/>
        <v>0</v>
      </c>
      <c r="X115">
        <f t="shared" si="69"/>
        <v>0</v>
      </c>
      <c r="Y115">
        <f t="shared" si="70"/>
        <v>0</v>
      </c>
      <c r="Z115">
        <f t="shared" si="71"/>
        <v>0</v>
      </c>
      <c r="AA115">
        <f t="shared" si="72"/>
        <v>0</v>
      </c>
      <c r="AB115">
        <f t="shared" si="73"/>
        <v>0</v>
      </c>
      <c r="AC115">
        <f t="shared" si="74"/>
        <v>0</v>
      </c>
      <c r="AD115">
        <f t="shared" si="75"/>
        <v>0</v>
      </c>
      <c r="AE115">
        <f t="shared" si="76"/>
        <v>0</v>
      </c>
      <c r="AF115">
        <f t="shared" si="77"/>
        <v>0</v>
      </c>
      <c r="AG115">
        <f t="shared" si="78"/>
        <v>0</v>
      </c>
      <c r="AH115">
        <f t="shared" si="79"/>
        <v>0</v>
      </c>
      <c r="AI115">
        <f t="shared" si="80"/>
        <v>0</v>
      </c>
      <c r="AJ115">
        <f t="shared" si="81"/>
        <v>0</v>
      </c>
      <c r="AK115">
        <f t="shared" si="82"/>
        <v>0</v>
      </c>
      <c r="AL115">
        <f t="shared" si="83"/>
        <v>0</v>
      </c>
      <c r="AM115">
        <f t="shared" si="84"/>
        <v>0</v>
      </c>
      <c r="AN115">
        <f t="shared" si="85"/>
        <v>0</v>
      </c>
      <c r="AO115">
        <f t="shared" si="86"/>
        <v>0</v>
      </c>
      <c r="AP115">
        <f t="shared" si="87"/>
        <v>0</v>
      </c>
      <c r="AQ115">
        <f t="shared" si="88"/>
        <v>0</v>
      </c>
      <c r="AR115">
        <f t="shared" si="89"/>
        <v>0</v>
      </c>
      <c r="AS115">
        <f t="shared" si="90"/>
        <v>0</v>
      </c>
      <c r="AT115">
        <f t="shared" si="91"/>
        <v>0</v>
      </c>
      <c r="AU115">
        <f t="shared" si="92"/>
        <v>0</v>
      </c>
      <c r="AV115">
        <f t="shared" si="93"/>
        <v>0</v>
      </c>
      <c r="AW115">
        <f t="shared" si="48"/>
        <v>0</v>
      </c>
      <c r="AX115">
        <f t="shared" si="94"/>
        <v>0</v>
      </c>
      <c r="AY115">
        <f t="shared" si="95"/>
        <v>0</v>
      </c>
    </row>
    <row r="116" spans="1:51" x14ac:dyDescent="0.35">
      <c r="A116">
        <v>110</v>
      </c>
      <c r="C116">
        <f>MAX(0,Calc!$C$7-SUM(D116:R116))</f>
        <v>750</v>
      </c>
      <c r="D116">
        <f t="shared" si="49"/>
        <v>0</v>
      </c>
      <c r="E116">
        <f t="shared" si="50"/>
        <v>0</v>
      </c>
      <c r="F116">
        <f t="shared" si="51"/>
        <v>0</v>
      </c>
      <c r="G116">
        <f t="shared" si="52"/>
        <v>0</v>
      </c>
      <c r="H116">
        <f t="shared" si="53"/>
        <v>0</v>
      </c>
      <c r="I116">
        <f t="shared" si="54"/>
        <v>0</v>
      </c>
      <c r="J116">
        <f t="shared" si="55"/>
        <v>0</v>
      </c>
      <c r="K116">
        <f t="shared" si="56"/>
        <v>0</v>
      </c>
      <c r="L116">
        <f t="shared" si="57"/>
        <v>0</v>
      </c>
      <c r="M116">
        <f t="shared" si="58"/>
        <v>0</v>
      </c>
      <c r="N116">
        <f t="shared" si="59"/>
        <v>0</v>
      </c>
      <c r="O116">
        <f t="shared" si="60"/>
        <v>0</v>
      </c>
      <c r="P116">
        <f t="shared" si="61"/>
        <v>0</v>
      </c>
      <c r="Q116">
        <f t="shared" si="62"/>
        <v>0</v>
      </c>
      <c r="R116">
        <f t="shared" si="63"/>
        <v>0</v>
      </c>
      <c r="S116">
        <f t="shared" si="64"/>
        <v>0</v>
      </c>
      <c r="T116">
        <f t="shared" si="65"/>
        <v>0</v>
      </c>
      <c r="U116">
        <f t="shared" si="66"/>
        <v>0</v>
      </c>
      <c r="V116">
        <f t="shared" si="67"/>
        <v>0</v>
      </c>
      <c r="W116">
        <f t="shared" si="68"/>
        <v>0</v>
      </c>
      <c r="X116">
        <f t="shared" si="69"/>
        <v>0</v>
      </c>
      <c r="Y116">
        <f t="shared" si="70"/>
        <v>0</v>
      </c>
      <c r="Z116">
        <f t="shared" si="71"/>
        <v>0</v>
      </c>
      <c r="AA116">
        <f t="shared" si="72"/>
        <v>0</v>
      </c>
      <c r="AB116">
        <f t="shared" si="73"/>
        <v>0</v>
      </c>
      <c r="AC116">
        <f t="shared" si="74"/>
        <v>0</v>
      </c>
      <c r="AD116">
        <f t="shared" si="75"/>
        <v>0</v>
      </c>
      <c r="AE116">
        <f t="shared" si="76"/>
        <v>0</v>
      </c>
      <c r="AF116">
        <f t="shared" si="77"/>
        <v>0</v>
      </c>
      <c r="AG116">
        <f t="shared" si="78"/>
        <v>0</v>
      </c>
      <c r="AH116">
        <f t="shared" si="79"/>
        <v>0</v>
      </c>
      <c r="AI116">
        <f t="shared" si="80"/>
        <v>0</v>
      </c>
      <c r="AJ116">
        <f t="shared" si="81"/>
        <v>0</v>
      </c>
      <c r="AK116">
        <f t="shared" si="82"/>
        <v>0</v>
      </c>
      <c r="AL116">
        <f t="shared" si="83"/>
        <v>0</v>
      </c>
      <c r="AM116">
        <f t="shared" si="84"/>
        <v>0</v>
      </c>
      <c r="AN116">
        <f t="shared" si="85"/>
        <v>0</v>
      </c>
      <c r="AO116">
        <f t="shared" si="86"/>
        <v>0</v>
      </c>
      <c r="AP116">
        <f t="shared" si="87"/>
        <v>0</v>
      </c>
      <c r="AQ116">
        <f t="shared" si="88"/>
        <v>0</v>
      </c>
      <c r="AR116">
        <f t="shared" si="89"/>
        <v>0</v>
      </c>
      <c r="AS116">
        <f t="shared" si="90"/>
        <v>0</v>
      </c>
      <c r="AT116">
        <f t="shared" si="91"/>
        <v>0</v>
      </c>
      <c r="AU116">
        <f t="shared" si="92"/>
        <v>0</v>
      </c>
      <c r="AV116">
        <f t="shared" si="93"/>
        <v>0</v>
      </c>
      <c r="AW116">
        <f t="shared" si="48"/>
        <v>0</v>
      </c>
      <c r="AX116">
        <f t="shared" si="94"/>
        <v>0</v>
      </c>
      <c r="AY116">
        <f t="shared" si="95"/>
        <v>0</v>
      </c>
    </row>
    <row r="117" spans="1:51" x14ac:dyDescent="0.35">
      <c r="A117">
        <v>111</v>
      </c>
      <c r="C117">
        <f>MAX(0,Calc!$C$7-SUM(D117:R117))</f>
        <v>750</v>
      </c>
      <c r="D117">
        <f t="shared" si="49"/>
        <v>0</v>
      </c>
      <c r="E117">
        <f t="shared" si="50"/>
        <v>0</v>
      </c>
      <c r="F117">
        <f t="shared" si="51"/>
        <v>0</v>
      </c>
      <c r="G117">
        <f t="shared" si="52"/>
        <v>0</v>
      </c>
      <c r="H117">
        <f t="shared" si="53"/>
        <v>0</v>
      </c>
      <c r="I117">
        <f t="shared" si="54"/>
        <v>0</v>
      </c>
      <c r="J117">
        <f t="shared" si="55"/>
        <v>0</v>
      </c>
      <c r="K117">
        <f t="shared" si="56"/>
        <v>0</v>
      </c>
      <c r="L117">
        <f t="shared" si="57"/>
        <v>0</v>
      </c>
      <c r="M117">
        <f t="shared" si="58"/>
        <v>0</v>
      </c>
      <c r="N117">
        <f t="shared" si="59"/>
        <v>0</v>
      </c>
      <c r="O117">
        <f t="shared" si="60"/>
        <v>0</v>
      </c>
      <c r="P117">
        <f t="shared" si="61"/>
        <v>0</v>
      </c>
      <c r="Q117">
        <f t="shared" si="62"/>
        <v>0</v>
      </c>
      <c r="R117">
        <f t="shared" si="63"/>
        <v>0</v>
      </c>
      <c r="S117">
        <f t="shared" si="64"/>
        <v>0</v>
      </c>
      <c r="T117">
        <f t="shared" si="65"/>
        <v>0</v>
      </c>
      <c r="U117">
        <f t="shared" si="66"/>
        <v>0</v>
      </c>
      <c r="V117">
        <f t="shared" si="67"/>
        <v>0</v>
      </c>
      <c r="W117">
        <f t="shared" si="68"/>
        <v>0</v>
      </c>
      <c r="X117">
        <f t="shared" si="69"/>
        <v>0</v>
      </c>
      <c r="Y117">
        <f t="shared" si="70"/>
        <v>0</v>
      </c>
      <c r="Z117">
        <f t="shared" si="71"/>
        <v>0</v>
      </c>
      <c r="AA117">
        <f t="shared" si="72"/>
        <v>0</v>
      </c>
      <c r="AB117">
        <f t="shared" si="73"/>
        <v>0</v>
      </c>
      <c r="AC117">
        <f t="shared" si="74"/>
        <v>0</v>
      </c>
      <c r="AD117">
        <f t="shared" si="75"/>
        <v>0</v>
      </c>
      <c r="AE117">
        <f t="shared" si="76"/>
        <v>0</v>
      </c>
      <c r="AF117">
        <f t="shared" si="77"/>
        <v>0</v>
      </c>
      <c r="AG117">
        <f t="shared" si="78"/>
        <v>0</v>
      </c>
      <c r="AH117">
        <f t="shared" si="79"/>
        <v>0</v>
      </c>
      <c r="AI117">
        <f t="shared" si="80"/>
        <v>0</v>
      </c>
      <c r="AJ117">
        <f t="shared" si="81"/>
        <v>0</v>
      </c>
      <c r="AK117">
        <f t="shared" si="82"/>
        <v>0</v>
      </c>
      <c r="AL117">
        <f t="shared" si="83"/>
        <v>0</v>
      </c>
      <c r="AM117">
        <f t="shared" si="84"/>
        <v>0</v>
      </c>
      <c r="AN117">
        <f t="shared" si="85"/>
        <v>0</v>
      </c>
      <c r="AO117">
        <f t="shared" si="86"/>
        <v>0</v>
      </c>
      <c r="AP117">
        <f t="shared" si="87"/>
        <v>0</v>
      </c>
      <c r="AQ117">
        <f t="shared" si="88"/>
        <v>0</v>
      </c>
      <c r="AR117">
        <f t="shared" si="89"/>
        <v>0</v>
      </c>
      <c r="AS117">
        <f t="shared" si="90"/>
        <v>0</v>
      </c>
      <c r="AT117">
        <f t="shared" si="91"/>
        <v>0</v>
      </c>
      <c r="AU117">
        <f t="shared" si="92"/>
        <v>0</v>
      </c>
      <c r="AV117">
        <f t="shared" si="93"/>
        <v>0</v>
      </c>
      <c r="AW117">
        <f t="shared" si="48"/>
        <v>0</v>
      </c>
      <c r="AX117">
        <f t="shared" si="94"/>
        <v>0</v>
      </c>
      <c r="AY117">
        <f t="shared" si="95"/>
        <v>0</v>
      </c>
    </row>
    <row r="118" spans="1:51" x14ac:dyDescent="0.35">
      <c r="A118">
        <v>112</v>
      </c>
      <c r="C118">
        <f>MAX(0,Calc!$C$7-SUM(D118:R118))</f>
        <v>750</v>
      </c>
      <c r="D118">
        <f t="shared" si="49"/>
        <v>0</v>
      </c>
      <c r="E118">
        <f t="shared" si="50"/>
        <v>0</v>
      </c>
      <c r="F118">
        <f t="shared" si="51"/>
        <v>0</v>
      </c>
      <c r="G118">
        <f t="shared" si="52"/>
        <v>0</v>
      </c>
      <c r="H118">
        <f t="shared" si="53"/>
        <v>0</v>
      </c>
      <c r="I118">
        <f t="shared" si="54"/>
        <v>0</v>
      </c>
      <c r="J118">
        <f t="shared" si="55"/>
        <v>0</v>
      </c>
      <c r="K118">
        <f t="shared" si="56"/>
        <v>0</v>
      </c>
      <c r="L118">
        <f t="shared" si="57"/>
        <v>0</v>
      </c>
      <c r="M118">
        <f t="shared" si="58"/>
        <v>0</v>
      </c>
      <c r="N118">
        <f t="shared" si="59"/>
        <v>0</v>
      </c>
      <c r="O118">
        <f t="shared" si="60"/>
        <v>0</v>
      </c>
      <c r="P118">
        <f t="shared" si="61"/>
        <v>0</v>
      </c>
      <c r="Q118">
        <f t="shared" si="62"/>
        <v>0</v>
      </c>
      <c r="R118">
        <f t="shared" si="63"/>
        <v>0</v>
      </c>
      <c r="S118">
        <f t="shared" si="64"/>
        <v>0</v>
      </c>
      <c r="T118">
        <f t="shared" si="65"/>
        <v>0</v>
      </c>
      <c r="U118">
        <f t="shared" si="66"/>
        <v>0</v>
      </c>
      <c r="V118">
        <f t="shared" si="67"/>
        <v>0</v>
      </c>
      <c r="W118">
        <f t="shared" si="68"/>
        <v>0</v>
      </c>
      <c r="X118">
        <f t="shared" si="69"/>
        <v>0</v>
      </c>
      <c r="Y118">
        <f t="shared" si="70"/>
        <v>0</v>
      </c>
      <c r="Z118">
        <f t="shared" si="71"/>
        <v>0</v>
      </c>
      <c r="AA118">
        <f t="shared" si="72"/>
        <v>0</v>
      </c>
      <c r="AB118">
        <f t="shared" si="73"/>
        <v>0</v>
      </c>
      <c r="AC118">
        <f t="shared" si="74"/>
        <v>0</v>
      </c>
      <c r="AD118">
        <f t="shared" si="75"/>
        <v>0</v>
      </c>
      <c r="AE118">
        <f t="shared" si="76"/>
        <v>0</v>
      </c>
      <c r="AF118">
        <f t="shared" si="77"/>
        <v>0</v>
      </c>
      <c r="AG118">
        <f t="shared" si="78"/>
        <v>0</v>
      </c>
      <c r="AH118">
        <f t="shared" si="79"/>
        <v>0</v>
      </c>
      <c r="AI118">
        <f t="shared" si="80"/>
        <v>0</v>
      </c>
      <c r="AJ118">
        <f t="shared" si="81"/>
        <v>0</v>
      </c>
      <c r="AK118">
        <f t="shared" si="82"/>
        <v>0</v>
      </c>
      <c r="AL118">
        <f t="shared" si="83"/>
        <v>0</v>
      </c>
      <c r="AM118">
        <f t="shared" si="84"/>
        <v>0</v>
      </c>
      <c r="AN118">
        <f t="shared" si="85"/>
        <v>0</v>
      </c>
      <c r="AO118">
        <f t="shared" si="86"/>
        <v>0</v>
      </c>
      <c r="AP118">
        <f t="shared" si="87"/>
        <v>0</v>
      </c>
      <c r="AQ118">
        <f t="shared" si="88"/>
        <v>0</v>
      </c>
      <c r="AR118">
        <f t="shared" si="89"/>
        <v>0</v>
      </c>
      <c r="AS118">
        <f t="shared" si="90"/>
        <v>0</v>
      </c>
      <c r="AT118">
        <f t="shared" si="91"/>
        <v>0</v>
      </c>
      <c r="AU118">
        <f t="shared" si="92"/>
        <v>0</v>
      </c>
      <c r="AV118">
        <f t="shared" si="93"/>
        <v>0</v>
      </c>
      <c r="AW118">
        <f t="shared" si="48"/>
        <v>0</v>
      </c>
      <c r="AX118">
        <f t="shared" si="94"/>
        <v>0</v>
      </c>
      <c r="AY118">
        <f t="shared" si="95"/>
        <v>0</v>
      </c>
    </row>
    <row r="119" spans="1:51" x14ac:dyDescent="0.35">
      <c r="A119">
        <v>113</v>
      </c>
      <c r="C119">
        <f>MAX(0,Calc!$C$7-SUM(D119:R119))</f>
        <v>750</v>
      </c>
      <c r="D119">
        <f t="shared" si="49"/>
        <v>0</v>
      </c>
      <c r="E119">
        <f t="shared" si="50"/>
        <v>0</v>
      </c>
      <c r="F119">
        <f t="shared" si="51"/>
        <v>0</v>
      </c>
      <c r="G119">
        <f t="shared" si="52"/>
        <v>0</v>
      </c>
      <c r="H119">
        <f t="shared" si="53"/>
        <v>0</v>
      </c>
      <c r="I119">
        <f t="shared" si="54"/>
        <v>0</v>
      </c>
      <c r="J119">
        <f t="shared" si="55"/>
        <v>0</v>
      </c>
      <c r="K119">
        <f t="shared" si="56"/>
        <v>0</v>
      </c>
      <c r="L119">
        <f t="shared" si="57"/>
        <v>0</v>
      </c>
      <c r="M119">
        <f t="shared" si="58"/>
        <v>0</v>
      </c>
      <c r="N119">
        <f t="shared" si="59"/>
        <v>0</v>
      </c>
      <c r="O119">
        <f t="shared" si="60"/>
        <v>0</v>
      </c>
      <c r="P119">
        <f t="shared" si="61"/>
        <v>0</v>
      </c>
      <c r="Q119">
        <f t="shared" si="62"/>
        <v>0</v>
      </c>
      <c r="R119">
        <f t="shared" si="63"/>
        <v>0</v>
      </c>
      <c r="S119">
        <f t="shared" si="64"/>
        <v>0</v>
      </c>
      <c r="T119">
        <f t="shared" si="65"/>
        <v>0</v>
      </c>
      <c r="U119">
        <f t="shared" si="66"/>
        <v>0</v>
      </c>
      <c r="V119">
        <f t="shared" si="67"/>
        <v>0</v>
      </c>
      <c r="W119">
        <f t="shared" si="68"/>
        <v>0</v>
      </c>
      <c r="X119">
        <f t="shared" si="69"/>
        <v>0</v>
      </c>
      <c r="Y119">
        <f t="shared" si="70"/>
        <v>0</v>
      </c>
      <c r="Z119">
        <f t="shared" si="71"/>
        <v>0</v>
      </c>
      <c r="AA119">
        <f t="shared" si="72"/>
        <v>0</v>
      </c>
      <c r="AB119">
        <f t="shared" si="73"/>
        <v>0</v>
      </c>
      <c r="AC119">
        <f t="shared" si="74"/>
        <v>0</v>
      </c>
      <c r="AD119">
        <f t="shared" si="75"/>
        <v>0</v>
      </c>
      <c r="AE119">
        <f t="shared" si="76"/>
        <v>0</v>
      </c>
      <c r="AF119">
        <f t="shared" si="77"/>
        <v>0</v>
      </c>
      <c r="AG119">
        <f t="shared" si="78"/>
        <v>0</v>
      </c>
      <c r="AH119">
        <f t="shared" si="79"/>
        <v>0</v>
      </c>
      <c r="AI119">
        <f t="shared" si="80"/>
        <v>0</v>
      </c>
      <c r="AJ119">
        <f t="shared" si="81"/>
        <v>0</v>
      </c>
      <c r="AK119">
        <f t="shared" si="82"/>
        <v>0</v>
      </c>
      <c r="AL119">
        <f t="shared" si="83"/>
        <v>0</v>
      </c>
      <c r="AM119">
        <f t="shared" si="84"/>
        <v>0</v>
      </c>
      <c r="AN119">
        <f t="shared" si="85"/>
        <v>0</v>
      </c>
      <c r="AO119">
        <f t="shared" si="86"/>
        <v>0</v>
      </c>
      <c r="AP119">
        <f t="shared" si="87"/>
        <v>0</v>
      </c>
      <c r="AQ119">
        <f t="shared" si="88"/>
        <v>0</v>
      </c>
      <c r="AR119">
        <f t="shared" si="89"/>
        <v>0</v>
      </c>
      <c r="AS119">
        <f t="shared" si="90"/>
        <v>0</v>
      </c>
      <c r="AT119">
        <f t="shared" si="91"/>
        <v>0</v>
      </c>
      <c r="AU119">
        <f t="shared" si="92"/>
        <v>0</v>
      </c>
      <c r="AV119">
        <f t="shared" si="93"/>
        <v>0</v>
      </c>
      <c r="AW119">
        <f t="shared" si="48"/>
        <v>0</v>
      </c>
      <c r="AX119">
        <f t="shared" si="94"/>
        <v>0</v>
      </c>
      <c r="AY119">
        <f t="shared" si="95"/>
        <v>0</v>
      </c>
    </row>
    <row r="120" spans="1:51" x14ac:dyDescent="0.35">
      <c r="A120">
        <v>114</v>
      </c>
      <c r="C120">
        <f>MAX(0,Calc!$C$7-SUM(D120:R120))</f>
        <v>750</v>
      </c>
      <c r="D120">
        <f t="shared" si="49"/>
        <v>0</v>
      </c>
      <c r="E120">
        <f t="shared" si="50"/>
        <v>0</v>
      </c>
      <c r="F120">
        <f t="shared" si="51"/>
        <v>0</v>
      </c>
      <c r="G120">
        <f t="shared" si="52"/>
        <v>0</v>
      </c>
      <c r="H120">
        <f t="shared" si="53"/>
        <v>0</v>
      </c>
      <c r="I120">
        <f t="shared" si="54"/>
        <v>0</v>
      </c>
      <c r="J120">
        <f t="shared" si="55"/>
        <v>0</v>
      </c>
      <c r="K120">
        <f t="shared" si="56"/>
        <v>0</v>
      </c>
      <c r="L120">
        <f t="shared" si="57"/>
        <v>0</v>
      </c>
      <c r="M120">
        <f t="shared" si="58"/>
        <v>0</v>
      </c>
      <c r="N120">
        <f t="shared" si="59"/>
        <v>0</v>
      </c>
      <c r="O120">
        <f t="shared" si="60"/>
        <v>0</v>
      </c>
      <c r="P120">
        <f t="shared" si="61"/>
        <v>0</v>
      </c>
      <c r="Q120">
        <f t="shared" si="62"/>
        <v>0</v>
      </c>
      <c r="R120">
        <f t="shared" si="63"/>
        <v>0</v>
      </c>
      <c r="S120">
        <f t="shared" si="64"/>
        <v>0</v>
      </c>
      <c r="T120">
        <f t="shared" si="65"/>
        <v>0</v>
      </c>
      <c r="U120">
        <f t="shared" si="66"/>
        <v>0</v>
      </c>
      <c r="V120">
        <f t="shared" si="67"/>
        <v>0</v>
      </c>
      <c r="W120">
        <f t="shared" si="68"/>
        <v>0</v>
      </c>
      <c r="X120">
        <f t="shared" si="69"/>
        <v>0</v>
      </c>
      <c r="Y120">
        <f t="shared" si="70"/>
        <v>0</v>
      </c>
      <c r="Z120">
        <f t="shared" si="71"/>
        <v>0</v>
      </c>
      <c r="AA120">
        <f t="shared" si="72"/>
        <v>0</v>
      </c>
      <c r="AB120">
        <f t="shared" si="73"/>
        <v>0</v>
      </c>
      <c r="AC120">
        <f t="shared" si="74"/>
        <v>0</v>
      </c>
      <c r="AD120">
        <f t="shared" si="75"/>
        <v>0</v>
      </c>
      <c r="AE120">
        <f t="shared" si="76"/>
        <v>0</v>
      </c>
      <c r="AF120">
        <f t="shared" si="77"/>
        <v>0</v>
      </c>
      <c r="AG120">
        <f t="shared" si="78"/>
        <v>0</v>
      </c>
      <c r="AH120">
        <f t="shared" si="79"/>
        <v>0</v>
      </c>
      <c r="AI120">
        <f t="shared" si="80"/>
        <v>0</v>
      </c>
      <c r="AJ120">
        <f t="shared" si="81"/>
        <v>0</v>
      </c>
      <c r="AK120">
        <f t="shared" si="82"/>
        <v>0</v>
      </c>
      <c r="AL120">
        <f t="shared" si="83"/>
        <v>0</v>
      </c>
      <c r="AM120">
        <f t="shared" si="84"/>
        <v>0</v>
      </c>
      <c r="AN120">
        <f t="shared" si="85"/>
        <v>0</v>
      </c>
      <c r="AO120">
        <f t="shared" si="86"/>
        <v>0</v>
      </c>
      <c r="AP120">
        <f t="shared" si="87"/>
        <v>0</v>
      </c>
      <c r="AQ120">
        <f t="shared" si="88"/>
        <v>0</v>
      </c>
      <c r="AR120">
        <f t="shared" si="89"/>
        <v>0</v>
      </c>
      <c r="AS120">
        <f t="shared" si="90"/>
        <v>0</v>
      </c>
      <c r="AT120">
        <f t="shared" si="91"/>
        <v>0</v>
      </c>
      <c r="AU120">
        <f t="shared" si="92"/>
        <v>0</v>
      </c>
      <c r="AV120">
        <f t="shared" si="93"/>
        <v>0</v>
      </c>
      <c r="AW120">
        <f t="shared" si="48"/>
        <v>0</v>
      </c>
      <c r="AX120">
        <f t="shared" si="94"/>
        <v>0</v>
      </c>
      <c r="AY120">
        <f t="shared" si="95"/>
        <v>0</v>
      </c>
    </row>
    <row r="121" spans="1:51" x14ac:dyDescent="0.35">
      <c r="A121">
        <v>115</v>
      </c>
      <c r="C121">
        <f>MAX(0,Calc!$C$7-SUM(D121:R121))</f>
        <v>750</v>
      </c>
      <c r="D121">
        <f t="shared" si="49"/>
        <v>0</v>
      </c>
      <c r="E121">
        <f t="shared" si="50"/>
        <v>0</v>
      </c>
      <c r="F121">
        <f t="shared" si="51"/>
        <v>0</v>
      </c>
      <c r="G121">
        <f t="shared" si="52"/>
        <v>0</v>
      </c>
      <c r="H121">
        <f t="shared" si="53"/>
        <v>0</v>
      </c>
      <c r="I121">
        <f t="shared" si="54"/>
        <v>0</v>
      </c>
      <c r="J121">
        <f t="shared" si="55"/>
        <v>0</v>
      </c>
      <c r="K121">
        <f t="shared" si="56"/>
        <v>0</v>
      </c>
      <c r="L121">
        <f t="shared" si="57"/>
        <v>0</v>
      </c>
      <c r="M121">
        <f t="shared" si="58"/>
        <v>0</v>
      </c>
      <c r="N121">
        <f t="shared" si="59"/>
        <v>0</v>
      </c>
      <c r="O121">
        <f t="shared" si="60"/>
        <v>0</v>
      </c>
      <c r="P121">
        <f t="shared" si="61"/>
        <v>0</v>
      </c>
      <c r="Q121">
        <f t="shared" si="62"/>
        <v>0</v>
      </c>
      <c r="R121">
        <f t="shared" si="63"/>
        <v>0</v>
      </c>
      <c r="S121">
        <f t="shared" si="64"/>
        <v>0</v>
      </c>
      <c r="T121">
        <f t="shared" si="65"/>
        <v>0</v>
      </c>
      <c r="U121">
        <f t="shared" si="66"/>
        <v>0</v>
      </c>
      <c r="V121">
        <f t="shared" si="67"/>
        <v>0</v>
      </c>
      <c r="W121">
        <f t="shared" si="68"/>
        <v>0</v>
      </c>
      <c r="X121">
        <f t="shared" si="69"/>
        <v>0</v>
      </c>
      <c r="Y121">
        <f t="shared" si="70"/>
        <v>0</v>
      </c>
      <c r="Z121">
        <f t="shared" si="71"/>
        <v>0</v>
      </c>
      <c r="AA121">
        <f t="shared" si="72"/>
        <v>0</v>
      </c>
      <c r="AB121">
        <f t="shared" si="73"/>
        <v>0</v>
      </c>
      <c r="AC121">
        <f t="shared" si="74"/>
        <v>0</v>
      </c>
      <c r="AD121">
        <f t="shared" si="75"/>
        <v>0</v>
      </c>
      <c r="AE121">
        <f t="shared" si="76"/>
        <v>0</v>
      </c>
      <c r="AF121">
        <f t="shared" si="77"/>
        <v>0</v>
      </c>
      <c r="AG121">
        <f t="shared" si="78"/>
        <v>0</v>
      </c>
      <c r="AH121">
        <f t="shared" si="79"/>
        <v>0</v>
      </c>
      <c r="AI121">
        <f t="shared" si="80"/>
        <v>0</v>
      </c>
      <c r="AJ121">
        <f t="shared" si="81"/>
        <v>0</v>
      </c>
      <c r="AK121">
        <f t="shared" si="82"/>
        <v>0</v>
      </c>
      <c r="AL121">
        <f t="shared" si="83"/>
        <v>0</v>
      </c>
      <c r="AM121">
        <f t="shared" si="84"/>
        <v>0</v>
      </c>
      <c r="AN121">
        <f t="shared" si="85"/>
        <v>0</v>
      </c>
      <c r="AO121">
        <f t="shared" si="86"/>
        <v>0</v>
      </c>
      <c r="AP121">
        <f t="shared" si="87"/>
        <v>0</v>
      </c>
      <c r="AQ121">
        <f t="shared" si="88"/>
        <v>0</v>
      </c>
      <c r="AR121">
        <f t="shared" si="89"/>
        <v>0</v>
      </c>
      <c r="AS121">
        <f t="shared" si="90"/>
        <v>0</v>
      </c>
      <c r="AT121">
        <f t="shared" si="91"/>
        <v>0</v>
      </c>
      <c r="AU121">
        <f t="shared" si="92"/>
        <v>0</v>
      </c>
      <c r="AV121">
        <f t="shared" si="93"/>
        <v>0</v>
      </c>
      <c r="AW121">
        <f t="shared" si="48"/>
        <v>0</v>
      </c>
      <c r="AX121">
        <f t="shared" si="94"/>
        <v>0</v>
      </c>
      <c r="AY121">
        <f t="shared" si="95"/>
        <v>0</v>
      </c>
    </row>
    <row r="122" spans="1:51" x14ac:dyDescent="0.35">
      <c r="A122">
        <v>116</v>
      </c>
      <c r="C122">
        <f>MAX(0,Calc!$C$7-SUM(D122:R122))</f>
        <v>750</v>
      </c>
      <c r="D122">
        <f t="shared" si="49"/>
        <v>0</v>
      </c>
      <c r="E122">
        <f t="shared" si="50"/>
        <v>0</v>
      </c>
      <c r="F122">
        <f t="shared" si="51"/>
        <v>0</v>
      </c>
      <c r="G122">
        <f t="shared" si="52"/>
        <v>0</v>
      </c>
      <c r="H122">
        <f t="shared" si="53"/>
        <v>0</v>
      </c>
      <c r="I122">
        <f t="shared" si="54"/>
        <v>0</v>
      </c>
      <c r="J122">
        <f t="shared" si="55"/>
        <v>0</v>
      </c>
      <c r="K122">
        <f t="shared" si="56"/>
        <v>0</v>
      </c>
      <c r="L122">
        <f t="shared" si="57"/>
        <v>0</v>
      </c>
      <c r="M122">
        <f t="shared" si="58"/>
        <v>0</v>
      </c>
      <c r="N122">
        <f t="shared" si="59"/>
        <v>0</v>
      </c>
      <c r="O122">
        <f t="shared" si="60"/>
        <v>0</v>
      </c>
      <c r="P122">
        <f t="shared" si="61"/>
        <v>0</v>
      </c>
      <c r="Q122">
        <f t="shared" si="62"/>
        <v>0</v>
      </c>
      <c r="R122">
        <f t="shared" si="63"/>
        <v>0</v>
      </c>
      <c r="S122">
        <f t="shared" si="64"/>
        <v>0</v>
      </c>
      <c r="T122">
        <f t="shared" si="65"/>
        <v>0</v>
      </c>
      <c r="U122">
        <f t="shared" si="66"/>
        <v>0</v>
      </c>
      <c r="V122">
        <f t="shared" si="67"/>
        <v>0</v>
      </c>
      <c r="W122">
        <f t="shared" si="68"/>
        <v>0</v>
      </c>
      <c r="X122">
        <f t="shared" si="69"/>
        <v>0</v>
      </c>
      <c r="Y122">
        <f t="shared" si="70"/>
        <v>0</v>
      </c>
      <c r="Z122">
        <f t="shared" si="71"/>
        <v>0</v>
      </c>
      <c r="AA122">
        <f t="shared" si="72"/>
        <v>0</v>
      </c>
      <c r="AB122">
        <f t="shared" si="73"/>
        <v>0</v>
      </c>
      <c r="AC122">
        <f t="shared" si="74"/>
        <v>0</v>
      </c>
      <c r="AD122">
        <f t="shared" si="75"/>
        <v>0</v>
      </c>
      <c r="AE122">
        <f t="shared" si="76"/>
        <v>0</v>
      </c>
      <c r="AF122">
        <f t="shared" si="77"/>
        <v>0</v>
      </c>
      <c r="AG122">
        <f t="shared" si="78"/>
        <v>0</v>
      </c>
      <c r="AH122">
        <f t="shared" si="79"/>
        <v>0</v>
      </c>
      <c r="AI122">
        <f t="shared" si="80"/>
        <v>0</v>
      </c>
      <c r="AJ122">
        <f t="shared" si="81"/>
        <v>0</v>
      </c>
      <c r="AK122">
        <f t="shared" si="82"/>
        <v>0</v>
      </c>
      <c r="AL122">
        <f t="shared" si="83"/>
        <v>0</v>
      </c>
      <c r="AM122">
        <f t="shared" si="84"/>
        <v>0</v>
      </c>
      <c r="AN122">
        <f t="shared" si="85"/>
        <v>0</v>
      </c>
      <c r="AO122">
        <f t="shared" si="86"/>
        <v>0</v>
      </c>
      <c r="AP122">
        <f t="shared" si="87"/>
        <v>0</v>
      </c>
      <c r="AQ122">
        <f t="shared" si="88"/>
        <v>0</v>
      </c>
      <c r="AR122">
        <f t="shared" si="89"/>
        <v>0</v>
      </c>
      <c r="AS122">
        <f t="shared" si="90"/>
        <v>0</v>
      </c>
      <c r="AT122">
        <f t="shared" si="91"/>
        <v>0</v>
      </c>
      <c r="AU122">
        <f t="shared" si="92"/>
        <v>0</v>
      </c>
      <c r="AV122">
        <f t="shared" si="93"/>
        <v>0</v>
      </c>
      <c r="AW122">
        <f t="shared" si="48"/>
        <v>0</v>
      </c>
      <c r="AX122">
        <f t="shared" si="94"/>
        <v>0</v>
      </c>
      <c r="AY122">
        <f t="shared" si="95"/>
        <v>0</v>
      </c>
    </row>
    <row r="123" spans="1:51" x14ac:dyDescent="0.35">
      <c r="A123">
        <v>117</v>
      </c>
      <c r="C123">
        <f>MAX(0,Calc!$C$7-SUM(D123:R123))</f>
        <v>750</v>
      </c>
      <c r="D123">
        <f t="shared" si="49"/>
        <v>0</v>
      </c>
      <c r="E123">
        <f t="shared" si="50"/>
        <v>0</v>
      </c>
      <c r="F123">
        <f t="shared" si="51"/>
        <v>0</v>
      </c>
      <c r="G123">
        <f t="shared" si="52"/>
        <v>0</v>
      </c>
      <c r="H123">
        <f t="shared" si="53"/>
        <v>0</v>
      </c>
      <c r="I123">
        <f t="shared" si="54"/>
        <v>0</v>
      </c>
      <c r="J123">
        <f t="shared" si="55"/>
        <v>0</v>
      </c>
      <c r="K123">
        <f t="shared" si="56"/>
        <v>0</v>
      </c>
      <c r="L123">
        <f t="shared" si="57"/>
        <v>0</v>
      </c>
      <c r="M123">
        <f t="shared" si="58"/>
        <v>0</v>
      </c>
      <c r="N123">
        <f t="shared" si="59"/>
        <v>0</v>
      </c>
      <c r="O123">
        <f t="shared" si="60"/>
        <v>0</v>
      </c>
      <c r="P123">
        <f t="shared" si="61"/>
        <v>0</v>
      </c>
      <c r="Q123">
        <f t="shared" si="62"/>
        <v>0</v>
      </c>
      <c r="R123">
        <f t="shared" si="63"/>
        <v>0</v>
      </c>
      <c r="S123">
        <f t="shared" si="64"/>
        <v>0</v>
      </c>
      <c r="T123">
        <f t="shared" si="65"/>
        <v>0</v>
      </c>
      <c r="U123">
        <f t="shared" si="66"/>
        <v>0</v>
      </c>
      <c r="V123">
        <f t="shared" si="67"/>
        <v>0</v>
      </c>
      <c r="W123">
        <f t="shared" si="68"/>
        <v>0</v>
      </c>
      <c r="X123">
        <f t="shared" si="69"/>
        <v>0</v>
      </c>
      <c r="Y123">
        <f t="shared" si="70"/>
        <v>0</v>
      </c>
      <c r="Z123">
        <f t="shared" si="71"/>
        <v>0</v>
      </c>
      <c r="AA123">
        <f t="shared" si="72"/>
        <v>0</v>
      </c>
      <c r="AB123">
        <f t="shared" si="73"/>
        <v>0</v>
      </c>
      <c r="AC123">
        <f t="shared" si="74"/>
        <v>0</v>
      </c>
      <c r="AD123">
        <f t="shared" si="75"/>
        <v>0</v>
      </c>
      <c r="AE123">
        <f t="shared" si="76"/>
        <v>0</v>
      </c>
      <c r="AF123">
        <f t="shared" si="77"/>
        <v>0</v>
      </c>
      <c r="AG123">
        <f t="shared" si="78"/>
        <v>0</v>
      </c>
      <c r="AH123">
        <f t="shared" si="79"/>
        <v>0</v>
      </c>
      <c r="AI123">
        <f t="shared" si="80"/>
        <v>0</v>
      </c>
      <c r="AJ123">
        <f t="shared" si="81"/>
        <v>0</v>
      </c>
      <c r="AK123">
        <f t="shared" si="82"/>
        <v>0</v>
      </c>
      <c r="AL123">
        <f t="shared" si="83"/>
        <v>0</v>
      </c>
      <c r="AM123">
        <f t="shared" si="84"/>
        <v>0</v>
      </c>
      <c r="AN123">
        <f t="shared" si="85"/>
        <v>0</v>
      </c>
      <c r="AO123">
        <f t="shared" si="86"/>
        <v>0</v>
      </c>
      <c r="AP123">
        <f t="shared" si="87"/>
        <v>0</v>
      </c>
      <c r="AQ123">
        <f t="shared" si="88"/>
        <v>0</v>
      </c>
      <c r="AR123">
        <f t="shared" si="89"/>
        <v>0</v>
      </c>
      <c r="AS123">
        <f t="shared" si="90"/>
        <v>0</v>
      </c>
      <c r="AT123">
        <f t="shared" si="91"/>
        <v>0</v>
      </c>
      <c r="AU123">
        <f t="shared" si="92"/>
        <v>0</v>
      </c>
      <c r="AV123">
        <f t="shared" si="93"/>
        <v>0</v>
      </c>
      <c r="AW123">
        <f t="shared" si="48"/>
        <v>0</v>
      </c>
      <c r="AX123">
        <f t="shared" si="94"/>
        <v>0</v>
      </c>
      <c r="AY123">
        <f t="shared" si="95"/>
        <v>0</v>
      </c>
    </row>
    <row r="124" spans="1:51" x14ac:dyDescent="0.35">
      <c r="A124">
        <v>118</v>
      </c>
      <c r="C124">
        <f>MAX(0,Calc!$C$7-SUM(D124:R124))</f>
        <v>750</v>
      </c>
      <c r="D124">
        <f t="shared" si="49"/>
        <v>0</v>
      </c>
      <c r="E124">
        <f t="shared" si="50"/>
        <v>0</v>
      </c>
      <c r="F124">
        <f t="shared" si="51"/>
        <v>0</v>
      </c>
      <c r="G124">
        <f t="shared" si="52"/>
        <v>0</v>
      </c>
      <c r="H124">
        <f t="shared" si="53"/>
        <v>0</v>
      </c>
      <c r="I124">
        <f t="shared" si="54"/>
        <v>0</v>
      </c>
      <c r="J124">
        <f t="shared" si="55"/>
        <v>0</v>
      </c>
      <c r="K124">
        <f t="shared" si="56"/>
        <v>0</v>
      </c>
      <c r="L124">
        <f t="shared" si="57"/>
        <v>0</v>
      </c>
      <c r="M124">
        <f t="shared" si="58"/>
        <v>0</v>
      </c>
      <c r="N124">
        <f t="shared" si="59"/>
        <v>0</v>
      </c>
      <c r="O124">
        <f t="shared" si="60"/>
        <v>0</v>
      </c>
      <c r="P124">
        <f t="shared" si="61"/>
        <v>0</v>
      </c>
      <c r="Q124">
        <f t="shared" si="62"/>
        <v>0</v>
      </c>
      <c r="R124">
        <f t="shared" si="63"/>
        <v>0</v>
      </c>
      <c r="S124">
        <f t="shared" si="64"/>
        <v>0</v>
      </c>
      <c r="T124">
        <f t="shared" si="65"/>
        <v>0</v>
      </c>
      <c r="U124">
        <f t="shared" si="66"/>
        <v>0</v>
      </c>
      <c r="V124">
        <f t="shared" si="67"/>
        <v>0</v>
      </c>
      <c r="W124">
        <f t="shared" si="68"/>
        <v>0</v>
      </c>
      <c r="X124">
        <f t="shared" si="69"/>
        <v>0</v>
      </c>
      <c r="Y124">
        <f t="shared" si="70"/>
        <v>0</v>
      </c>
      <c r="Z124">
        <f t="shared" si="71"/>
        <v>0</v>
      </c>
      <c r="AA124">
        <f t="shared" si="72"/>
        <v>0</v>
      </c>
      <c r="AB124">
        <f t="shared" si="73"/>
        <v>0</v>
      </c>
      <c r="AC124">
        <f t="shared" si="74"/>
        <v>0</v>
      </c>
      <c r="AD124">
        <f t="shared" si="75"/>
        <v>0</v>
      </c>
      <c r="AE124">
        <f t="shared" si="76"/>
        <v>0</v>
      </c>
      <c r="AF124">
        <f t="shared" si="77"/>
        <v>0</v>
      </c>
      <c r="AG124">
        <f t="shared" si="78"/>
        <v>0</v>
      </c>
      <c r="AH124">
        <f t="shared" si="79"/>
        <v>0</v>
      </c>
      <c r="AI124">
        <f t="shared" si="80"/>
        <v>0</v>
      </c>
      <c r="AJ124">
        <f t="shared" si="81"/>
        <v>0</v>
      </c>
      <c r="AK124">
        <f t="shared" si="82"/>
        <v>0</v>
      </c>
      <c r="AL124">
        <f t="shared" si="83"/>
        <v>0</v>
      </c>
      <c r="AM124">
        <f t="shared" si="84"/>
        <v>0</v>
      </c>
      <c r="AN124">
        <f t="shared" si="85"/>
        <v>0</v>
      </c>
      <c r="AO124">
        <f t="shared" si="86"/>
        <v>0</v>
      </c>
      <c r="AP124">
        <f t="shared" si="87"/>
        <v>0</v>
      </c>
      <c r="AQ124">
        <f t="shared" si="88"/>
        <v>0</v>
      </c>
      <c r="AR124">
        <f t="shared" si="89"/>
        <v>0</v>
      </c>
      <c r="AS124">
        <f t="shared" si="90"/>
        <v>0</v>
      </c>
      <c r="AT124">
        <f t="shared" si="91"/>
        <v>0</v>
      </c>
      <c r="AU124">
        <f t="shared" si="92"/>
        <v>0</v>
      </c>
      <c r="AV124">
        <f t="shared" si="93"/>
        <v>0</v>
      </c>
      <c r="AW124">
        <f t="shared" si="48"/>
        <v>0</v>
      </c>
      <c r="AX124">
        <f t="shared" si="94"/>
        <v>0</v>
      </c>
      <c r="AY124">
        <f t="shared" si="95"/>
        <v>0</v>
      </c>
    </row>
    <row r="125" spans="1:51" x14ac:dyDescent="0.35">
      <c r="A125">
        <v>119</v>
      </c>
      <c r="C125">
        <f>MAX(0,Calc!$C$7-SUM(D125:R125))</f>
        <v>750</v>
      </c>
      <c r="D125">
        <f t="shared" si="49"/>
        <v>0</v>
      </c>
      <c r="E125">
        <f t="shared" si="50"/>
        <v>0</v>
      </c>
      <c r="F125">
        <f t="shared" si="51"/>
        <v>0</v>
      </c>
      <c r="G125">
        <f t="shared" si="52"/>
        <v>0</v>
      </c>
      <c r="H125">
        <f t="shared" si="53"/>
        <v>0</v>
      </c>
      <c r="I125">
        <f t="shared" si="54"/>
        <v>0</v>
      </c>
      <c r="J125">
        <f t="shared" si="55"/>
        <v>0</v>
      </c>
      <c r="K125">
        <f t="shared" si="56"/>
        <v>0</v>
      </c>
      <c r="L125">
        <f t="shared" si="57"/>
        <v>0</v>
      </c>
      <c r="M125">
        <f t="shared" si="58"/>
        <v>0</v>
      </c>
      <c r="N125">
        <f t="shared" si="59"/>
        <v>0</v>
      </c>
      <c r="O125">
        <f t="shared" si="60"/>
        <v>0</v>
      </c>
      <c r="P125">
        <f t="shared" si="61"/>
        <v>0</v>
      </c>
      <c r="Q125">
        <f t="shared" si="62"/>
        <v>0</v>
      </c>
      <c r="R125">
        <f t="shared" si="63"/>
        <v>0</v>
      </c>
      <c r="S125">
        <f t="shared" si="64"/>
        <v>0</v>
      </c>
      <c r="T125">
        <f t="shared" si="65"/>
        <v>0</v>
      </c>
      <c r="U125">
        <f t="shared" si="66"/>
        <v>0</v>
      </c>
      <c r="V125">
        <f t="shared" si="67"/>
        <v>0</v>
      </c>
      <c r="W125">
        <f t="shared" si="68"/>
        <v>0</v>
      </c>
      <c r="X125">
        <f t="shared" si="69"/>
        <v>0</v>
      </c>
      <c r="Y125">
        <f t="shared" si="70"/>
        <v>0</v>
      </c>
      <c r="Z125">
        <f t="shared" si="71"/>
        <v>0</v>
      </c>
      <c r="AA125">
        <f t="shared" si="72"/>
        <v>0</v>
      </c>
      <c r="AB125">
        <f t="shared" si="73"/>
        <v>0</v>
      </c>
      <c r="AC125">
        <f t="shared" si="74"/>
        <v>0</v>
      </c>
      <c r="AD125">
        <f t="shared" si="75"/>
        <v>0</v>
      </c>
      <c r="AE125">
        <f t="shared" si="76"/>
        <v>0</v>
      </c>
      <c r="AF125">
        <f t="shared" si="77"/>
        <v>0</v>
      </c>
      <c r="AG125">
        <f t="shared" si="78"/>
        <v>0</v>
      </c>
      <c r="AH125">
        <f t="shared" si="79"/>
        <v>0</v>
      </c>
      <c r="AI125">
        <f t="shared" si="80"/>
        <v>0</v>
      </c>
      <c r="AJ125">
        <f t="shared" si="81"/>
        <v>0</v>
      </c>
      <c r="AK125">
        <f t="shared" si="82"/>
        <v>0</v>
      </c>
      <c r="AL125">
        <f t="shared" si="83"/>
        <v>0</v>
      </c>
      <c r="AM125">
        <f t="shared" si="84"/>
        <v>0</v>
      </c>
      <c r="AN125">
        <f t="shared" si="85"/>
        <v>0</v>
      </c>
      <c r="AO125">
        <f t="shared" si="86"/>
        <v>0</v>
      </c>
      <c r="AP125">
        <f t="shared" si="87"/>
        <v>0</v>
      </c>
      <c r="AQ125">
        <f t="shared" si="88"/>
        <v>0</v>
      </c>
      <c r="AR125">
        <f t="shared" si="89"/>
        <v>0</v>
      </c>
      <c r="AS125">
        <f t="shared" si="90"/>
        <v>0</v>
      </c>
      <c r="AT125">
        <f t="shared" si="91"/>
        <v>0</v>
      </c>
      <c r="AU125">
        <f t="shared" si="92"/>
        <v>0</v>
      </c>
      <c r="AV125">
        <f t="shared" si="93"/>
        <v>0</v>
      </c>
      <c r="AW125">
        <f t="shared" si="48"/>
        <v>0</v>
      </c>
      <c r="AX125">
        <f t="shared" si="94"/>
        <v>0</v>
      </c>
      <c r="AY125">
        <f t="shared" si="95"/>
        <v>0</v>
      </c>
    </row>
    <row r="126" spans="1:51" x14ac:dyDescent="0.35">
      <c r="A126">
        <v>120</v>
      </c>
      <c r="C126">
        <f>MAX(0,Calc!$C$7-SUM(D126:R126))</f>
        <v>750</v>
      </c>
      <c r="D126">
        <f t="shared" si="49"/>
        <v>0</v>
      </c>
      <c r="E126">
        <f t="shared" si="50"/>
        <v>0</v>
      </c>
      <c r="F126">
        <f t="shared" si="51"/>
        <v>0</v>
      </c>
      <c r="G126">
        <f t="shared" si="52"/>
        <v>0</v>
      </c>
      <c r="H126">
        <f t="shared" si="53"/>
        <v>0</v>
      </c>
      <c r="I126">
        <f t="shared" si="54"/>
        <v>0</v>
      </c>
      <c r="J126">
        <f t="shared" si="55"/>
        <v>0</v>
      </c>
      <c r="K126">
        <f t="shared" si="56"/>
        <v>0</v>
      </c>
      <c r="L126">
        <f t="shared" si="57"/>
        <v>0</v>
      </c>
      <c r="M126">
        <f t="shared" si="58"/>
        <v>0</v>
      </c>
      <c r="N126">
        <f t="shared" si="59"/>
        <v>0</v>
      </c>
      <c r="O126">
        <f t="shared" si="60"/>
        <v>0</v>
      </c>
      <c r="P126">
        <f t="shared" si="61"/>
        <v>0</v>
      </c>
      <c r="Q126">
        <f t="shared" si="62"/>
        <v>0</v>
      </c>
      <c r="R126">
        <f t="shared" si="63"/>
        <v>0</v>
      </c>
      <c r="S126">
        <f t="shared" si="64"/>
        <v>0</v>
      </c>
      <c r="T126">
        <f t="shared" si="65"/>
        <v>0</v>
      </c>
      <c r="U126">
        <f t="shared" si="66"/>
        <v>0</v>
      </c>
      <c r="V126">
        <f t="shared" si="67"/>
        <v>0</v>
      </c>
      <c r="W126">
        <f t="shared" si="68"/>
        <v>0</v>
      </c>
      <c r="X126">
        <f t="shared" si="69"/>
        <v>0</v>
      </c>
      <c r="Y126">
        <f t="shared" si="70"/>
        <v>0</v>
      </c>
      <c r="Z126">
        <f t="shared" si="71"/>
        <v>0</v>
      </c>
      <c r="AA126">
        <f t="shared" si="72"/>
        <v>0</v>
      </c>
      <c r="AB126">
        <f t="shared" si="73"/>
        <v>0</v>
      </c>
      <c r="AC126">
        <f t="shared" si="74"/>
        <v>0</v>
      </c>
      <c r="AD126">
        <f t="shared" si="75"/>
        <v>0</v>
      </c>
      <c r="AE126">
        <f t="shared" si="76"/>
        <v>0</v>
      </c>
      <c r="AF126">
        <f t="shared" si="77"/>
        <v>0</v>
      </c>
      <c r="AG126">
        <f t="shared" si="78"/>
        <v>0</v>
      </c>
      <c r="AH126">
        <f t="shared" si="79"/>
        <v>0</v>
      </c>
      <c r="AI126">
        <f t="shared" si="80"/>
        <v>0</v>
      </c>
      <c r="AJ126">
        <f t="shared" si="81"/>
        <v>0</v>
      </c>
      <c r="AK126">
        <f t="shared" si="82"/>
        <v>0</v>
      </c>
      <c r="AL126">
        <f t="shared" si="83"/>
        <v>0</v>
      </c>
      <c r="AM126">
        <f t="shared" si="84"/>
        <v>0</v>
      </c>
      <c r="AN126">
        <f t="shared" si="85"/>
        <v>0</v>
      </c>
      <c r="AO126">
        <f t="shared" si="86"/>
        <v>0</v>
      </c>
      <c r="AP126">
        <f t="shared" si="87"/>
        <v>0</v>
      </c>
      <c r="AQ126">
        <f t="shared" si="88"/>
        <v>0</v>
      </c>
      <c r="AR126">
        <f t="shared" si="89"/>
        <v>0</v>
      </c>
      <c r="AS126">
        <f t="shared" si="90"/>
        <v>0</v>
      </c>
      <c r="AT126">
        <f t="shared" si="91"/>
        <v>0</v>
      </c>
      <c r="AU126">
        <f t="shared" si="92"/>
        <v>0</v>
      </c>
      <c r="AV126">
        <f t="shared" si="93"/>
        <v>0</v>
      </c>
      <c r="AW126">
        <f t="shared" si="48"/>
        <v>0</v>
      </c>
      <c r="AX126">
        <f t="shared" si="94"/>
        <v>0</v>
      </c>
      <c r="AY126">
        <f t="shared" si="95"/>
        <v>0</v>
      </c>
    </row>
    <row r="127" spans="1:51" x14ac:dyDescent="0.35">
      <c r="A127">
        <v>121</v>
      </c>
      <c r="C127">
        <f>MAX(0,Calc!$C$7-SUM(D127:R127))</f>
        <v>750</v>
      </c>
      <c r="D127">
        <f t="shared" si="49"/>
        <v>0</v>
      </c>
      <c r="E127">
        <f t="shared" si="50"/>
        <v>0</v>
      </c>
      <c r="F127">
        <f t="shared" si="51"/>
        <v>0</v>
      </c>
      <c r="G127">
        <f t="shared" si="52"/>
        <v>0</v>
      </c>
      <c r="H127">
        <f t="shared" si="53"/>
        <v>0</v>
      </c>
      <c r="I127">
        <f t="shared" si="54"/>
        <v>0</v>
      </c>
      <c r="J127">
        <f t="shared" si="55"/>
        <v>0</v>
      </c>
      <c r="K127">
        <f t="shared" si="56"/>
        <v>0</v>
      </c>
      <c r="L127">
        <f t="shared" si="57"/>
        <v>0</v>
      </c>
      <c r="M127">
        <f t="shared" si="58"/>
        <v>0</v>
      </c>
      <c r="N127">
        <f t="shared" si="59"/>
        <v>0</v>
      </c>
      <c r="O127">
        <f t="shared" si="60"/>
        <v>0</v>
      </c>
      <c r="P127">
        <f t="shared" si="61"/>
        <v>0</v>
      </c>
      <c r="Q127">
        <f t="shared" si="62"/>
        <v>0</v>
      </c>
      <c r="R127">
        <f t="shared" si="63"/>
        <v>0</v>
      </c>
      <c r="S127">
        <f t="shared" si="64"/>
        <v>0</v>
      </c>
      <c r="T127">
        <f t="shared" si="65"/>
        <v>0</v>
      </c>
      <c r="U127">
        <f t="shared" si="66"/>
        <v>0</v>
      </c>
      <c r="V127">
        <f t="shared" si="67"/>
        <v>0</v>
      </c>
      <c r="W127">
        <f t="shared" si="68"/>
        <v>0</v>
      </c>
      <c r="X127">
        <f t="shared" si="69"/>
        <v>0</v>
      </c>
      <c r="Y127">
        <f t="shared" si="70"/>
        <v>0</v>
      </c>
      <c r="Z127">
        <f t="shared" si="71"/>
        <v>0</v>
      </c>
      <c r="AA127">
        <f t="shared" si="72"/>
        <v>0</v>
      </c>
      <c r="AB127">
        <f t="shared" si="73"/>
        <v>0</v>
      </c>
      <c r="AC127">
        <f t="shared" si="74"/>
        <v>0</v>
      </c>
      <c r="AD127">
        <f t="shared" si="75"/>
        <v>0</v>
      </c>
      <c r="AE127">
        <f t="shared" si="76"/>
        <v>0</v>
      </c>
      <c r="AF127">
        <f t="shared" si="77"/>
        <v>0</v>
      </c>
      <c r="AG127">
        <f t="shared" si="78"/>
        <v>0</v>
      </c>
      <c r="AH127">
        <f t="shared" si="79"/>
        <v>0</v>
      </c>
      <c r="AI127">
        <f t="shared" si="80"/>
        <v>0</v>
      </c>
      <c r="AJ127">
        <f t="shared" si="81"/>
        <v>0</v>
      </c>
      <c r="AK127">
        <f t="shared" si="82"/>
        <v>0</v>
      </c>
      <c r="AL127">
        <f t="shared" si="83"/>
        <v>0</v>
      </c>
      <c r="AM127">
        <f t="shared" si="84"/>
        <v>0</v>
      </c>
      <c r="AN127">
        <f t="shared" si="85"/>
        <v>0</v>
      </c>
      <c r="AO127">
        <f t="shared" si="86"/>
        <v>0</v>
      </c>
      <c r="AP127">
        <f t="shared" si="87"/>
        <v>0</v>
      </c>
      <c r="AQ127">
        <f t="shared" si="88"/>
        <v>0</v>
      </c>
      <c r="AR127">
        <f t="shared" si="89"/>
        <v>0</v>
      </c>
      <c r="AS127">
        <f t="shared" si="90"/>
        <v>0</v>
      </c>
      <c r="AT127">
        <f t="shared" si="91"/>
        <v>0</v>
      </c>
      <c r="AU127">
        <f t="shared" si="92"/>
        <v>0</v>
      </c>
      <c r="AV127">
        <f t="shared" si="93"/>
        <v>0</v>
      </c>
      <c r="AW127">
        <f t="shared" si="48"/>
        <v>0</v>
      </c>
      <c r="AX127">
        <f t="shared" si="94"/>
        <v>0</v>
      </c>
      <c r="AY127">
        <f t="shared" si="95"/>
        <v>0</v>
      </c>
    </row>
    <row r="128" spans="1:51" x14ac:dyDescent="0.35">
      <c r="A128">
        <v>122</v>
      </c>
      <c r="C128">
        <f>MAX(0,Calc!$C$7-SUM(D128:R128))</f>
        <v>750</v>
      </c>
      <c r="D128">
        <f t="shared" si="49"/>
        <v>0</v>
      </c>
      <c r="E128">
        <f t="shared" si="50"/>
        <v>0</v>
      </c>
      <c r="F128">
        <f t="shared" si="51"/>
        <v>0</v>
      </c>
      <c r="G128">
        <f t="shared" si="52"/>
        <v>0</v>
      </c>
      <c r="H128">
        <f t="shared" si="53"/>
        <v>0</v>
      </c>
      <c r="I128">
        <f t="shared" si="54"/>
        <v>0</v>
      </c>
      <c r="J128">
        <f t="shared" si="55"/>
        <v>0</v>
      </c>
      <c r="K128">
        <f t="shared" si="56"/>
        <v>0</v>
      </c>
      <c r="L128">
        <f t="shared" si="57"/>
        <v>0</v>
      </c>
      <c r="M128">
        <f t="shared" si="58"/>
        <v>0</v>
      </c>
      <c r="N128">
        <f t="shared" si="59"/>
        <v>0</v>
      </c>
      <c r="O128">
        <f t="shared" si="60"/>
        <v>0</v>
      </c>
      <c r="P128">
        <f t="shared" si="61"/>
        <v>0</v>
      </c>
      <c r="Q128">
        <f t="shared" si="62"/>
        <v>0</v>
      </c>
      <c r="R128">
        <f t="shared" si="63"/>
        <v>0</v>
      </c>
      <c r="S128">
        <f t="shared" si="64"/>
        <v>0</v>
      </c>
      <c r="T128">
        <f t="shared" si="65"/>
        <v>0</v>
      </c>
      <c r="U128">
        <f t="shared" si="66"/>
        <v>0</v>
      </c>
      <c r="V128">
        <f t="shared" si="67"/>
        <v>0</v>
      </c>
      <c r="W128">
        <f t="shared" si="68"/>
        <v>0</v>
      </c>
      <c r="X128">
        <f t="shared" si="69"/>
        <v>0</v>
      </c>
      <c r="Y128">
        <f t="shared" si="70"/>
        <v>0</v>
      </c>
      <c r="Z128">
        <f t="shared" si="71"/>
        <v>0</v>
      </c>
      <c r="AA128">
        <f t="shared" si="72"/>
        <v>0</v>
      </c>
      <c r="AB128">
        <f t="shared" si="73"/>
        <v>0</v>
      </c>
      <c r="AC128">
        <f t="shared" si="74"/>
        <v>0</v>
      </c>
      <c r="AD128">
        <f t="shared" si="75"/>
        <v>0</v>
      </c>
      <c r="AE128">
        <f t="shared" si="76"/>
        <v>0</v>
      </c>
      <c r="AF128">
        <f t="shared" si="77"/>
        <v>0</v>
      </c>
      <c r="AG128">
        <f t="shared" si="78"/>
        <v>0</v>
      </c>
      <c r="AH128">
        <f t="shared" si="79"/>
        <v>0</v>
      </c>
      <c r="AI128">
        <f t="shared" si="80"/>
        <v>0</v>
      </c>
      <c r="AJ128">
        <f t="shared" si="81"/>
        <v>0</v>
      </c>
      <c r="AK128">
        <f t="shared" si="82"/>
        <v>0</v>
      </c>
      <c r="AL128">
        <f t="shared" si="83"/>
        <v>0</v>
      </c>
      <c r="AM128">
        <f t="shared" si="84"/>
        <v>0</v>
      </c>
      <c r="AN128">
        <f t="shared" si="85"/>
        <v>0</v>
      </c>
      <c r="AO128">
        <f t="shared" si="86"/>
        <v>0</v>
      </c>
      <c r="AP128">
        <f t="shared" si="87"/>
        <v>0</v>
      </c>
      <c r="AQ128">
        <f t="shared" si="88"/>
        <v>0</v>
      </c>
      <c r="AR128">
        <f t="shared" si="89"/>
        <v>0</v>
      </c>
      <c r="AS128">
        <f t="shared" si="90"/>
        <v>0</v>
      </c>
      <c r="AT128">
        <f t="shared" si="91"/>
        <v>0</v>
      </c>
      <c r="AU128">
        <f t="shared" si="92"/>
        <v>0</v>
      </c>
      <c r="AV128">
        <f t="shared" si="93"/>
        <v>0</v>
      </c>
      <c r="AW128">
        <f t="shared" si="48"/>
        <v>0</v>
      </c>
      <c r="AX128">
        <f t="shared" si="94"/>
        <v>0</v>
      </c>
      <c r="AY128">
        <f t="shared" si="95"/>
        <v>0</v>
      </c>
    </row>
    <row r="129" spans="1:51" x14ac:dyDescent="0.35">
      <c r="A129">
        <v>123</v>
      </c>
      <c r="C129">
        <f>MAX(0,Calc!$C$7-SUM(D129:R129))</f>
        <v>750</v>
      </c>
      <c r="D129">
        <f t="shared" si="49"/>
        <v>0</v>
      </c>
      <c r="E129">
        <f t="shared" si="50"/>
        <v>0</v>
      </c>
      <c r="F129">
        <f t="shared" si="51"/>
        <v>0</v>
      </c>
      <c r="G129">
        <f t="shared" si="52"/>
        <v>0</v>
      </c>
      <c r="H129">
        <f t="shared" si="53"/>
        <v>0</v>
      </c>
      <c r="I129">
        <f t="shared" si="54"/>
        <v>0</v>
      </c>
      <c r="J129">
        <f t="shared" si="55"/>
        <v>0</v>
      </c>
      <c r="K129">
        <f t="shared" si="56"/>
        <v>0</v>
      </c>
      <c r="L129">
        <f t="shared" si="57"/>
        <v>0</v>
      </c>
      <c r="M129">
        <f t="shared" si="58"/>
        <v>0</v>
      </c>
      <c r="N129">
        <f t="shared" si="59"/>
        <v>0</v>
      </c>
      <c r="O129">
        <f t="shared" si="60"/>
        <v>0</v>
      </c>
      <c r="P129">
        <f t="shared" si="61"/>
        <v>0</v>
      </c>
      <c r="Q129">
        <f t="shared" si="62"/>
        <v>0</v>
      </c>
      <c r="R129">
        <f t="shared" si="63"/>
        <v>0</v>
      </c>
      <c r="S129">
        <f t="shared" si="64"/>
        <v>0</v>
      </c>
      <c r="T129">
        <f t="shared" si="65"/>
        <v>0</v>
      </c>
      <c r="U129">
        <f t="shared" si="66"/>
        <v>0</v>
      </c>
      <c r="V129">
        <f t="shared" si="67"/>
        <v>0</v>
      </c>
      <c r="W129">
        <f t="shared" si="68"/>
        <v>0</v>
      </c>
      <c r="X129">
        <f t="shared" si="69"/>
        <v>0</v>
      </c>
      <c r="Y129">
        <f t="shared" si="70"/>
        <v>0</v>
      </c>
      <c r="Z129">
        <f t="shared" si="71"/>
        <v>0</v>
      </c>
      <c r="AA129">
        <f t="shared" si="72"/>
        <v>0</v>
      </c>
      <c r="AB129">
        <f t="shared" si="73"/>
        <v>0</v>
      </c>
      <c r="AC129">
        <f t="shared" si="74"/>
        <v>0</v>
      </c>
      <c r="AD129">
        <f t="shared" si="75"/>
        <v>0</v>
      </c>
      <c r="AE129">
        <f t="shared" si="76"/>
        <v>0</v>
      </c>
      <c r="AF129">
        <f t="shared" si="77"/>
        <v>0</v>
      </c>
      <c r="AG129">
        <f t="shared" si="78"/>
        <v>0</v>
      </c>
      <c r="AH129">
        <f t="shared" si="79"/>
        <v>0</v>
      </c>
      <c r="AI129">
        <f t="shared" si="80"/>
        <v>0</v>
      </c>
      <c r="AJ129">
        <f t="shared" si="81"/>
        <v>0</v>
      </c>
      <c r="AK129">
        <f t="shared" si="82"/>
        <v>0</v>
      </c>
      <c r="AL129">
        <f t="shared" si="83"/>
        <v>0</v>
      </c>
      <c r="AM129">
        <f t="shared" si="84"/>
        <v>0</v>
      </c>
      <c r="AN129">
        <f t="shared" si="85"/>
        <v>0</v>
      </c>
      <c r="AO129">
        <f t="shared" si="86"/>
        <v>0</v>
      </c>
      <c r="AP129">
        <f t="shared" si="87"/>
        <v>0</v>
      </c>
      <c r="AQ129">
        <f t="shared" si="88"/>
        <v>0</v>
      </c>
      <c r="AR129">
        <f t="shared" si="89"/>
        <v>0</v>
      </c>
      <c r="AS129">
        <f t="shared" si="90"/>
        <v>0</v>
      </c>
      <c r="AT129">
        <f t="shared" si="91"/>
        <v>0</v>
      </c>
      <c r="AU129">
        <f t="shared" si="92"/>
        <v>0</v>
      </c>
      <c r="AV129">
        <f t="shared" si="93"/>
        <v>0</v>
      </c>
      <c r="AW129">
        <f t="shared" si="48"/>
        <v>0</v>
      </c>
      <c r="AX129">
        <f t="shared" si="94"/>
        <v>0</v>
      </c>
      <c r="AY129">
        <f t="shared" si="95"/>
        <v>0</v>
      </c>
    </row>
    <row r="130" spans="1:51" x14ac:dyDescent="0.35">
      <c r="A130">
        <v>124</v>
      </c>
      <c r="C130">
        <f>MAX(0,Calc!$C$7-SUM(D130:R130))</f>
        <v>750</v>
      </c>
      <c r="D130">
        <f t="shared" si="49"/>
        <v>0</v>
      </c>
      <c r="E130">
        <f t="shared" si="50"/>
        <v>0</v>
      </c>
      <c r="F130">
        <f t="shared" si="51"/>
        <v>0</v>
      </c>
      <c r="G130">
        <f t="shared" si="52"/>
        <v>0</v>
      </c>
      <c r="H130">
        <f t="shared" si="53"/>
        <v>0</v>
      </c>
      <c r="I130">
        <f t="shared" si="54"/>
        <v>0</v>
      </c>
      <c r="J130">
        <f t="shared" si="55"/>
        <v>0</v>
      </c>
      <c r="K130">
        <f t="shared" si="56"/>
        <v>0</v>
      </c>
      <c r="L130">
        <f t="shared" si="57"/>
        <v>0</v>
      </c>
      <c r="M130">
        <f t="shared" si="58"/>
        <v>0</v>
      </c>
      <c r="N130">
        <f t="shared" si="59"/>
        <v>0</v>
      </c>
      <c r="O130">
        <f t="shared" si="60"/>
        <v>0</v>
      </c>
      <c r="P130">
        <f t="shared" si="61"/>
        <v>0</v>
      </c>
      <c r="Q130">
        <f t="shared" si="62"/>
        <v>0</v>
      </c>
      <c r="R130">
        <f t="shared" si="63"/>
        <v>0</v>
      </c>
      <c r="S130">
        <f t="shared" si="64"/>
        <v>0</v>
      </c>
      <c r="T130">
        <f t="shared" si="65"/>
        <v>0</v>
      </c>
      <c r="U130">
        <f t="shared" si="66"/>
        <v>0</v>
      </c>
      <c r="V130">
        <f t="shared" si="67"/>
        <v>0</v>
      </c>
      <c r="W130">
        <f t="shared" si="68"/>
        <v>0</v>
      </c>
      <c r="X130">
        <f t="shared" si="69"/>
        <v>0</v>
      </c>
      <c r="Y130">
        <f t="shared" si="70"/>
        <v>0</v>
      </c>
      <c r="Z130">
        <f t="shared" si="71"/>
        <v>0</v>
      </c>
      <c r="AA130">
        <f t="shared" si="72"/>
        <v>0</v>
      </c>
      <c r="AB130">
        <f t="shared" si="73"/>
        <v>0</v>
      </c>
      <c r="AC130">
        <f t="shared" si="74"/>
        <v>0</v>
      </c>
      <c r="AD130">
        <f t="shared" si="75"/>
        <v>0</v>
      </c>
      <c r="AE130">
        <f t="shared" si="76"/>
        <v>0</v>
      </c>
      <c r="AF130">
        <f t="shared" si="77"/>
        <v>0</v>
      </c>
      <c r="AG130">
        <f t="shared" si="78"/>
        <v>0</v>
      </c>
      <c r="AH130">
        <f t="shared" si="79"/>
        <v>0</v>
      </c>
      <c r="AI130">
        <f t="shared" si="80"/>
        <v>0</v>
      </c>
      <c r="AJ130">
        <f t="shared" si="81"/>
        <v>0</v>
      </c>
      <c r="AK130">
        <f t="shared" si="82"/>
        <v>0</v>
      </c>
      <c r="AL130">
        <f t="shared" si="83"/>
        <v>0</v>
      </c>
      <c r="AM130">
        <f t="shared" si="84"/>
        <v>0</v>
      </c>
      <c r="AN130">
        <f t="shared" si="85"/>
        <v>0</v>
      </c>
      <c r="AO130">
        <f t="shared" si="86"/>
        <v>0</v>
      </c>
      <c r="AP130">
        <f t="shared" si="87"/>
        <v>0</v>
      </c>
      <c r="AQ130">
        <f t="shared" si="88"/>
        <v>0</v>
      </c>
      <c r="AR130">
        <f t="shared" si="89"/>
        <v>0</v>
      </c>
      <c r="AS130">
        <f t="shared" si="90"/>
        <v>0</v>
      </c>
      <c r="AT130">
        <f t="shared" si="91"/>
        <v>0</v>
      </c>
      <c r="AU130">
        <f t="shared" si="92"/>
        <v>0</v>
      </c>
      <c r="AV130">
        <f t="shared" si="93"/>
        <v>0</v>
      </c>
      <c r="AW130">
        <f t="shared" si="48"/>
        <v>0</v>
      </c>
      <c r="AX130">
        <f t="shared" si="94"/>
        <v>0</v>
      </c>
      <c r="AY130">
        <f t="shared" si="95"/>
        <v>0</v>
      </c>
    </row>
    <row r="131" spans="1:51" x14ac:dyDescent="0.35">
      <c r="A131">
        <v>125</v>
      </c>
      <c r="C131">
        <f>MAX(0,Calc!$C$7-SUM(D131:R131))</f>
        <v>750</v>
      </c>
      <c r="D131">
        <f t="shared" si="49"/>
        <v>0</v>
      </c>
      <c r="E131">
        <f t="shared" si="50"/>
        <v>0</v>
      </c>
      <c r="F131">
        <f t="shared" si="51"/>
        <v>0</v>
      </c>
      <c r="G131">
        <f t="shared" si="52"/>
        <v>0</v>
      </c>
      <c r="H131">
        <f t="shared" si="53"/>
        <v>0</v>
      </c>
      <c r="I131">
        <f t="shared" si="54"/>
        <v>0</v>
      </c>
      <c r="J131">
        <f t="shared" si="55"/>
        <v>0</v>
      </c>
      <c r="K131">
        <f t="shared" si="56"/>
        <v>0</v>
      </c>
      <c r="L131">
        <f t="shared" si="57"/>
        <v>0</v>
      </c>
      <c r="M131">
        <f t="shared" si="58"/>
        <v>0</v>
      </c>
      <c r="N131">
        <f t="shared" si="59"/>
        <v>0</v>
      </c>
      <c r="O131">
        <f t="shared" si="60"/>
        <v>0</v>
      </c>
      <c r="P131">
        <f t="shared" si="61"/>
        <v>0</v>
      </c>
      <c r="Q131">
        <f t="shared" si="62"/>
        <v>0</v>
      </c>
      <c r="R131">
        <f t="shared" si="63"/>
        <v>0</v>
      </c>
      <c r="S131">
        <f t="shared" si="64"/>
        <v>0</v>
      </c>
      <c r="T131">
        <f t="shared" si="65"/>
        <v>0</v>
      </c>
      <c r="U131">
        <f t="shared" si="66"/>
        <v>0</v>
      </c>
      <c r="V131">
        <f t="shared" si="67"/>
        <v>0</v>
      </c>
      <c r="W131">
        <f t="shared" si="68"/>
        <v>0</v>
      </c>
      <c r="X131">
        <f t="shared" si="69"/>
        <v>0</v>
      </c>
      <c r="Y131">
        <f t="shared" si="70"/>
        <v>0</v>
      </c>
      <c r="Z131">
        <f t="shared" si="71"/>
        <v>0</v>
      </c>
      <c r="AA131">
        <f t="shared" si="72"/>
        <v>0</v>
      </c>
      <c r="AB131">
        <f t="shared" si="73"/>
        <v>0</v>
      </c>
      <c r="AC131">
        <f t="shared" si="74"/>
        <v>0</v>
      </c>
      <c r="AD131">
        <f t="shared" si="75"/>
        <v>0</v>
      </c>
      <c r="AE131">
        <f t="shared" si="76"/>
        <v>0</v>
      </c>
      <c r="AF131">
        <f t="shared" si="77"/>
        <v>0</v>
      </c>
      <c r="AG131">
        <f t="shared" si="78"/>
        <v>0</v>
      </c>
      <c r="AH131">
        <f t="shared" si="79"/>
        <v>0</v>
      </c>
      <c r="AI131">
        <f t="shared" si="80"/>
        <v>0</v>
      </c>
      <c r="AJ131">
        <f t="shared" si="81"/>
        <v>0</v>
      </c>
      <c r="AK131">
        <f t="shared" si="82"/>
        <v>0</v>
      </c>
      <c r="AL131">
        <f t="shared" si="83"/>
        <v>0</v>
      </c>
      <c r="AM131">
        <f t="shared" si="84"/>
        <v>0</v>
      </c>
      <c r="AN131">
        <f t="shared" si="85"/>
        <v>0</v>
      </c>
      <c r="AO131">
        <f t="shared" si="86"/>
        <v>0</v>
      </c>
      <c r="AP131">
        <f t="shared" si="87"/>
        <v>0</v>
      </c>
      <c r="AQ131">
        <f t="shared" si="88"/>
        <v>0</v>
      </c>
      <c r="AR131">
        <f t="shared" si="89"/>
        <v>0</v>
      </c>
      <c r="AS131">
        <f t="shared" si="90"/>
        <v>0</v>
      </c>
      <c r="AT131">
        <f t="shared" si="91"/>
        <v>0</v>
      </c>
      <c r="AU131">
        <f t="shared" si="92"/>
        <v>0</v>
      </c>
      <c r="AV131">
        <f t="shared" si="93"/>
        <v>0</v>
      </c>
      <c r="AW131">
        <f t="shared" si="48"/>
        <v>0</v>
      </c>
      <c r="AX131">
        <f t="shared" si="94"/>
        <v>0</v>
      </c>
      <c r="AY131">
        <f t="shared" si="95"/>
        <v>0</v>
      </c>
    </row>
    <row r="132" spans="1:51" x14ac:dyDescent="0.35">
      <c r="A132">
        <v>126</v>
      </c>
      <c r="C132">
        <f>MAX(0,Calc!$C$7-SUM(D132:R132))</f>
        <v>750</v>
      </c>
      <c r="D132">
        <f t="shared" si="49"/>
        <v>0</v>
      </c>
      <c r="E132">
        <f t="shared" si="50"/>
        <v>0</v>
      </c>
      <c r="F132">
        <f t="shared" si="51"/>
        <v>0</v>
      </c>
      <c r="G132">
        <f t="shared" si="52"/>
        <v>0</v>
      </c>
      <c r="H132">
        <f t="shared" si="53"/>
        <v>0</v>
      </c>
      <c r="I132">
        <f t="shared" si="54"/>
        <v>0</v>
      </c>
      <c r="J132">
        <f t="shared" si="55"/>
        <v>0</v>
      </c>
      <c r="K132">
        <f t="shared" si="56"/>
        <v>0</v>
      </c>
      <c r="L132">
        <f t="shared" si="57"/>
        <v>0</v>
      </c>
      <c r="M132">
        <f t="shared" si="58"/>
        <v>0</v>
      </c>
      <c r="N132">
        <f t="shared" si="59"/>
        <v>0</v>
      </c>
      <c r="O132">
        <f t="shared" si="60"/>
        <v>0</v>
      </c>
      <c r="P132">
        <f t="shared" si="61"/>
        <v>0</v>
      </c>
      <c r="Q132">
        <f t="shared" si="62"/>
        <v>0</v>
      </c>
      <c r="R132">
        <f t="shared" si="63"/>
        <v>0</v>
      </c>
      <c r="S132">
        <f t="shared" si="64"/>
        <v>0</v>
      </c>
      <c r="T132">
        <f t="shared" si="65"/>
        <v>0</v>
      </c>
      <c r="U132">
        <f t="shared" si="66"/>
        <v>0</v>
      </c>
      <c r="V132">
        <f t="shared" si="67"/>
        <v>0</v>
      </c>
      <c r="W132">
        <f t="shared" si="68"/>
        <v>0</v>
      </c>
      <c r="X132">
        <f t="shared" si="69"/>
        <v>0</v>
      </c>
      <c r="Y132">
        <f t="shared" si="70"/>
        <v>0</v>
      </c>
      <c r="Z132">
        <f t="shared" si="71"/>
        <v>0</v>
      </c>
      <c r="AA132">
        <f t="shared" si="72"/>
        <v>0</v>
      </c>
      <c r="AB132">
        <f t="shared" si="73"/>
        <v>0</v>
      </c>
      <c r="AC132">
        <f t="shared" si="74"/>
        <v>0</v>
      </c>
      <c r="AD132">
        <f t="shared" si="75"/>
        <v>0</v>
      </c>
      <c r="AE132">
        <f t="shared" si="76"/>
        <v>0</v>
      </c>
      <c r="AF132">
        <f t="shared" si="77"/>
        <v>0</v>
      </c>
      <c r="AG132">
        <f t="shared" si="78"/>
        <v>0</v>
      </c>
      <c r="AH132">
        <f t="shared" si="79"/>
        <v>0</v>
      </c>
      <c r="AI132">
        <f t="shared" si="80"/>
        <v>0</v>
      </c>
      <c r="AJ132">
        <f t="shared" si="81"/>
        <v>0</v>
      </c>
      <c r="AK132">
        <f t="shared" si="82"/>
        <v>0</v>
      </c>
      <c r="AL132">
        <f t="shared" si="83"/>
        <v>0</v>
      </c>
      <c r="AM132">
        <f t="shared" si="84"/>
        <v>0</v>
      </c>
      <c r="AN132">
        <f t="shared" si="85"/>
        <v>0</v>
      </c>
      <c r="AO132">
        <f t="shared" si="86"/>
        <v>0</v>
      </c>
      <c r="AP132">
        <f t="shared" si="87"/>
        <v>0</v>
      </c>
      <c r="AQ132">
        <f t="shared" si="88"/>
        <v>0</v>
      </c>
      <c r="AR132">
        <f t="shared" si="89"/>
        <v>0</v>
      </c>
      <c r="AS132">
        <f t="shared" si="90"/>
        <v>0</v>
      </c>
      <c r="AT132">
        <f t="shared" si="91"/>
        <v>0</v>
      </c>
      <c r="AU132">
        <f t="shared" si="92"/>
        <v>0</v>
      </c>
      <c r="AV132">
        <f t="shared" si="93"/>
        <v>0</v>
      </c>
      <c r="AW132">
        <f t="shared" si="48"/>
        <v>0</v>
      </c>
      <c r="AX132">
        <f t="shared" si="94"/>
        <v>0</v>
      </c>
      <c r="AY132">
        <f t="shared" si="95"/>
        <v>0</v>
      </c>
    </row>
    <row r="133" spans="1:51" x14ac:dyDescent="0.35">
      <c r="A133">
        <v>127</v>
      </c>
      <c r="C133">
        <f>MAX(0,Calc!$C$7-SUM(D133:R133))</f>
        <v>750</v>
      </c>
      <c r="D133">
        <f t="shared" si="49"/>
        <v>0</v>
      </c>
      <c r="E133">
        <f t="shared" si="50"/>
        <v>0</v>
      </c>
      <c r="F133">
        <f t="shared" si="51"/>
        <v>0</v>
      </c>
      <c r="G133">
        <f t="shared" si="52"/>
        <v>0</v>
      </c>
      <c r="H133">
        <f t="shared" si="53"/>
        <v>0</v>
      </c>
      <c r="I133">
        <f t="shared" si="54"/>
        <v>0</v>
      </c>
      <c r="J133">
        <f t="shared" si="55"/>
        <v>0</v>
      </c>
      <c r="K133">
        <f t="shared" si="56"/>
        <v>0</v>
      </c>
      <c r="L133">
        <f t="shared" si="57"/>
        <v>0</v>
      </c>
      <c r="M133">
        <f t="shared" si="58"/>
        <v>0</v>
      </c>
      <c r="N133">
        <f t="shared" si="59"/>
        <v>0</v>
      </c>
      <c r="O133">
        <f t="shared" si="60"/>
        <v>0</v>
      </c>
      <c r="P133">
        <f t="shared" si="61"/>
        <v>0</v>
      </c>
      <c r="Q133">
        <f t="shared" si="62"/>
        <v>0</v>
      </c>
      <c r="R133">
        <f t="shared" si="63"/>
        <v>0</v>
      </c>
      <c r="S133">
        <f t="shared" si="64"/>
        <v>0</v>
      </c>
      <c r="T133">
        <f t="shared" si="65"/>
        <v>0</v>
      </c>
      <c r="U133">
        <f t="shared" si="66"/>
        <v>0</v>
      </c>
      <c r="V133">
        <f t="shared" si="67"/>
        <v>0</v>
      </c>
      <c r="W133">
        <f t="shared" si="68"/>
        <v>0</v>
      </c>
      <c r="X133">
        <f t="shared" si="69"/>
        <v>0</v>
      </c>
      <c r="Y133">
        <f t="shared" si="70"/>
        <v>0</v>
      </c>
      <c r="Z133">
        <f t="shared" si="71"/>
        <v>0</v>
      </c>
      <c r="AA133">
        <f t="shared" si="72"/>
        <v>0</v>
      </c>
      <c r="AB133">
        <f t="shared" si="73"/>
        <v>0</v>
      </c>
      <c r="AC133">
        <f t="shared" si="74"/>
        <v>0</v>
      </c>
      <c r="AD133">
        <f t="shared" si="75"/>
        <v>0</v>
      </c>
      <c r="AE133">
        <f t="shared" si="76"/>
        <v>0</v>
      </c>
      <c r="AF133">
        <f t="shared" si="77"/>
        <v>0</v>
      </c>
      <c r="AG133">
        <f t="shared" si="78"/>
        <v>0</v>
      </c>
      <c r="AH133">
        <f t="shared" si="79"/>
        <v>0</v>
      </c>
      <c r="AI133">
        <f t="shared" si="80"/>
        <v>0</v>
      </c>
      <c r="AJ133">
        <f t="shared" si="81"/>
        <v>0</v>
      </c>
      <c r="AK133">
        <f t="shared" si="82"/>
        <v>0</v>
      </c>
      <c r="AL133">
        <f t="shared" si="83"/>
        <v>0</v>
      </c>
      <c r="AM133">
        <f t="shared" si="84"/>
        <v>0</v>
      </c>
      <c r="AN133">
        <f t="shared" si="85"/>
        <v>0</v>
      </c>
      <c r="AO133">
        <f t="shared" si="86"/>
        <v>0</v>
      </c>
      <c r="AP133">
        <f t="shared" si="87"/>
        <v>0</v>
      </c>
      <c r="AQ133">
        <f t="shared" si="88"/>
        <v>0</v>
      </c>
      <c r="AR133">
        <f t="shared" si="89"/>
        <v>0</v>
      </c>
      <c r="AS133">
        <f t="shared" si="90"/>
        <v>0</v>
      </c>
      <c r="AT133">
        <f t="shared" si="91"/>
        <v>0</v>
      </c>
      <c r="AU133">
        <f t="shared" si="92"/>
        <v>0</v>
      </c>
      <c r="AV133">
        <f t="shared" si="93"/>
        <v>0</v>
      </c>
      <c r="AW133">
        <f t="shared" si="48"/>
        <v>0</v>
      </c>
      <c r="AX133">
        <f t="shared" si="94"/>
        <v>0</v>
      </c>
      <c r="AY133">
        <f t="shared" si="95"/>
        <v>0</v>
      </c>
    </row>
    <row r="134" spans="1:51" x14ac:dyDescent="0.35">
      <c r="A134">
        <v>128</v>
      </c>
      <c r="C134">
        <f>MAX(0,Calc!$C$7-SUM(D134:R134))</f>
        <v>750</v>
      </c>
      <c r="D134">
        <f t="shared" si="49"/>
        <v>0</v>
      </c>
      <c r="E134">
        <f t="shared" si="50"/>
        <v>0</v>
      </c>
      <c r="F134">
        <f t="shared" si="51"/>
        <v>0</v>
      </c>
      <c r="G134">
        <f t="shared" si="52"/>
        <v>0</v>
      </c>
      <c r="H134">
        <f t="shared" si="53"/>
        <v>0</v>
      </c>
      <c r="I134">
        <f t="shared" si="54"/>
        <v>0</v>
      </c>
      <c r="J134">
        <f t="shared" si="55"/>
        <v>0</v>
      </c>
      <c r="K134">
        <f t="shared" si="56"/>
        <v>0</v>
      </c>
      <c r="L134">
        <f t="shared" si="57"/>
        <v>0</v>
      </c>
      <c r="M134">
        <f t="shared" si="58"/>
        <v>0</v>
      </c>
      <c r="N134">
        <f t="shared" si="59"/>
        <v>0</v>
      </c>
      <c r="O134">
        <f t="shared" si="60"/>
        <v>0</v>
      </c>
      <c r="P134">
        <f t="shared" si="61"/>
        <v>0</v>
      </c>
      <c r="Q134">
        <f t="shared" si="62"/>
        <v>0</v>
      </c>
      <c r="R134">
        <f t="shared" si="63"/>
        <v>0</v>
      </c>
      <c r="S134">
        <f t="shared" si="64"/>
        <v>0</v>
      </c>
      <c r="T134">
        <f t="shared" si="65"/>
        <v>0</v>
      </c>
      <c r="U134">
        <f t="shared" si="66"/>
        <v>0</v>
      </c>
      <c r="V134">
        <f t="shared" si="67"/>
        <v>0</v>
      </c>
      <c r="W134">
        <f t="shared" si="68"/>
        <v>0</v>
      </c>
      <c r="X134">
        <f t="shared" si="69"/>
        <v>0</v>
      </c>
      <c r="Y134">
        <f t="shared" si="70"/>
        <v>0</v>
      </c>
      <c r="Z134">
        <f t="shared" si="71"/>
        <v>0</v>
      </c>
      <c r="AA134">
        <f t="shared" si="72"/>
        <v>0</v>
      </c>
      <c r="AB134">
        <f t="shared" si="73"/>
        <v>0</v>
      </c>
      <c r="AC134">
        <f t="shared" si="74"/>
        <v>0</v>
      </c>
      <c r="AD134">
        <f t="shared" si="75"/>
        <v>0</v>
      </c>
      <c r="AE134">
        <f t="shared" si="76"/>
        <v>0</v>
      </c>
      <c r="AF134">
        <f t="shared" si="77"/>
        <v>0</v>
      </c>
      <c r="AG134">
        <f t="shared" si="78"/>
        <v>0</v>
      </c>
      <c r="AH134">
        <f t="shared" si="79"/>
        <v>0</v>
      </c>
      <c r="AI134">
        <f t="shared" si="80"/>
        <v>0</v>
      </c>
      <c r="AJ134">
        <f t="shared" si="81"/>
        <v>0</v>
      </c>
      <c r="AK134">
        <f t="shared" si="82"/>
        <v>0</v>
      </c>
      <c r="AL134">
        <f t="shared" si="83"/>
        <v>0</v>
      </c>
      <c r="AM134">
        <f t="shared" si="84"/>
        <v>0</v>
      </c>
      <c r="AN134">
        <f t="shared" si="85"/>
        <v>0</v>
      </c>
      <c r="AO134">
        <f t="shared" si="86"/>
        <v>0</v>
      </c>
      <c r="AP134">
        <f t="shared" si="87"/>
        <v>0</v>
      </c>
      <c r="AQ134">
        <f t="shared" si="88"/>
        <v>0</v>
      </c>
      <c r="AR134">
        <f t="shared" si="89"/>
        <v>0</v>
      </c>
      <c r="AS134">
        <f t="shared" si="90"/>
        <v>0</v>
      </c>
      <c r="AT134">
        <f t="shared" si="91"/>
        <v>0</v>
      </c>
      <c r="AU134">
        <f t="shared" si="92"/>
        <v>0</v>
      </c>
      <c r="AV134">
        <f t="shared" si="93"/>
        <v>0</v>
      </c>
      <c r="AW134">
        <f t="shared" ref="AW134:AW197" si="96">SUM(AH134:AV134)</f>
        <v>0</v>
      </c>
      <c r="AX134">
        <f t="shared" si="94"/>
        <v>0</v>
      </c>
      <c r="AY134">
        <f t="shared" si="95"/>
        <v>0</v>
      </c>
    </row>
    <row r="135" spans="1:51" x14ac:dyDescent="0.35">
      <c r="A135">
        <v>129</v>
      </c>
      <c r="C135">
        <f>MAX(0,Calc!$C$7-SUM(D135:R135))</f>
        <v>750</v>
      </c>
      <c r="D135">
        <f t="shared" ref="D135:D198" si="97">IF(AH134&lt;0.005,0,MIN((AH134+ROUND(AH134*AH$3,2)),AH$4))</f>
        <v>0</v>
      </c>
      <c r="E135">
        <f t="shared" ref="E135:E198" si="98">IF(AI134&lt;0.005,0,MIN((AI134+ROUND(AI134*AI$3,2)),AI$4))</f>
        <v>0</v>
      </c>
      <c r="F135">
        <f t="shared" ref="F135:F198" si="99">IF(AJ134&lt;0.005,0,MIN((AJ134+ROUND(AJ134*AJ$3,2)),AJ$4))</f>
        <v>0</v>
      </c>
      <c r="G135">
        <f t="shared" ref="G135:G198" si="100">IF(AK134&lt;0.005,0,MIN((AK134+ROUND(AK134*AK$3,2)),AK$4))</f>
        <v>0</v>
      </c>
      <c r="H135">
        <f t="shared" ref="H135:H198" si="101">IF(AL134&lt;0.005,0,MIN((AL134+ROUND(AL134*AL$3,2)),AL$4))</f>
        <v>0</v>
      </c>
      <c r="I135">
        <f t="shared" ref="I135:I198" si="102">IF(AM134&lt;0.005,0,MIN((AM134+ROUND(AM134*AM$3,2)),AM$4))</f>
        <v>0</v>
      </c>
      <c r="J135">
        <f t="shared" ref="J135:J198" si="103">IF(AN134&lt;0.005,0,MIN((AN134+ROUND(AN134*AN$3,2)),AN$4))</f>
        <v>0</v>
      </c>
      <c r="K135">
        <f t="shared" ref="K135:K198" si="104">IF(AO134&lt;0.005,0,MIN((AO134+ROUND(AO134*AO$3,2)),AO$4))</f>
        <v>0</v>
      </c>
      <c r="L135">
        <f t="shared" ref="L135:L198" si="105">IF(AP134&lt;0.005,0,MIN((AP134+ROUND(AP134*AP$3,2)),AP$4))</f>
        <v>0</v>
      </c>
      <c r="M135">
        <f t="shared" ref="M135:M198" si="106">IF(AQ134&lt;0.005,0,MIN((AQ134+ROUND(AQ134*AQ$3,2)),AQ$4))</f>
        <v>0</v>
      </c>
      <c r="N135">
        <f t="shared" ref="N135:N198" si="107">IF(AR134&lt;0.005,0,MIN((AR134+ROUND(AR134*AR$3,2)),AR$4))</f>
        <v>0</v>
      </c>
      <c r="O135">
        <f t="shared" ref="O135:O198" si="108">IF(AS134&lt;0.005,0,MIN((AS134+ROUND(AS134*AS$3,2)),AS$4))</f>
        <v>0</v>
      </c>
      <c r="P135">
        <f t="shared" ref="P135:P198" si="109">IF(AT134&lt;0.005,0,MIN((AT134+ROUND(AT134*AT$3,2)),AT$4))</f>
        <v>0</v>
      </c>
      <c r="Q135">
        <f t="shared" ref="Q135:Q198" si="110">IF(AU134&lt;0.005,0,MIN((AU134+ROUND(AU134*AU$3,2)),AU$4))</f>
        <v>0</v>
      </c>
      <c r="R135">
        <f t="shared" ref="R135:R198" si="111">IF(AV134&lt;0.005,0,MIN((AV134+ROUND(AV134*AV$3,2)),AV$4))</f>
        <v>0</v>
      </c>
      <c r="S135">
        <f t="shared" ref="S135:S198" si="112">IF(AH134&lt;0.005,0,MIN((AH134+ROUND(AH134*AH$3,2))-D135,MAX(0,$C135)))</f>
        <v>0</v>
      </c>
      <c r="T135">
        <f t="shared" ref="T135:T198" si="113">IF(AI134&lt;0.005,0,MIN((AI134+ROUND(AI134*AI$3,2))-E135,MAX(0,$C135-SUM(S135:S135))))</f>
        <v>0</v>
      </c>
      <c r="U135">
        <f t="shared" ref="U135:U198" si="114">IF(AJ134&lt;0.005,0,MIN((AJ134+ROUND(AJ134*AJ$3,2))-F135,MAX(0,$C135-SUM(S135:T135))))</f>
        <v>0</v>
      </c>
      <c r="V135">
        <f t="shared" ref="V135:V198" si="115">IF(AK134&lt;0.005,0,MIN((AK134+ROUND(AK134*AK$3,2))-G135,MAX(0,$C135-SUM(S135:U135))))</f>
        <v>0</v>
      </c>
      <c r="W135">
        <f t="shared" ref="W135:W198" si="116">IF(AL134&lt;0.005,0,MIN((AL134+ROUND(AL134*AL$3,2))-H135,MAX(0,$C135-SUM(S135:V135))))</f>
        <v>0</v>
      </c>
      <c r="X135">
        <f t="shared" ref="X135:X198" si="117">IF(AM134&lt;0.005,0,MIN((AM134+ROUND(AM134*AM$3,2))-I135,MAX(0,$C135-SUM(S135:W135))))</f>
        <v>0</v>
      </c>
      <c r="Y135">
        <f t="shared" ref="Y135:Y198" si="118">IF(AN134&lt;0.005,0,MIN((AN134+ROUND(AN134*AN$3,2))-J135,MAX(0,$C135-SUM(S135:X135))))</f>
        <v>0</v>
      </c>
      <c r="Z135">
        <f t="shared" ref="Z135:Z198" si="119">IF(AO134&lt;0.005,0,MIN((AO134+ROUND(AO134*AO$3,2))-K135,MAX(0,$C135-SUM(S135:Y135))))</f>
        <v>0</v>
      </c>
      <c r="AA135">
        <f t="shared" ref="AA135:AA198" si="120">IF(AP134&lt;0.005,0,MIN((AP134+ROUND(AP134*AP$3,2))-L135,MAX(0,$C135-SUM(S135:Z135))))</f>
        <v>0</v>
      </c>
      <c r="AB135">
        <f t="shared" ref="AB135:AB198" si="121">IF(AQ134&lt;0.005,0,MIN((AQ134+ROUND(AQ134*AQ$3,2))-M135,MAX(0,$C135-SUM(S135:AA135))))</f>
        <v>0</v>
      </c>
      <c r="AC135">
        <f t="shared" ref="AC135:AC198" si="122">IF(AR134&lt;0.005,0,MIN((AR134+ROUND(AR134*AR$3,2))-N135,MAX(0,$C135-SUM(S135:AB135))))</f>
        <v>0</v>
      </c>
      <c r="AD135">
        <f t="shared" ref="AD135:AD198" si="123">IF(AS134&lt;0.005,0,MIN((AS134+ROUND(AS134*AS$3,2))-O135,MAX(0,$C135-SUM(S135:AC135))))</f>
        <v>0</v>
      </c>
      <c r="AE135">
        <f t="shared" ref="AE135:AE198" si="124">IF(AT134&lt;0.005,0,MIN((AT134+ROUND(AT134*AT$3,2))-P135,MAX(0,$C135-SUM(S135:AD135))))</f>
        <v>0</v>
      </c>
      <c r="AF135">
        <f t="shared" ref="AF135:AF198" si="125">IF(AU134&lt;0.005,0,MIN((AU134+ROUND(AU134*AU$3,2))-Q135,MAX(0,$C135-SUM(S135:AE135))))</f>
        <v>0</v>
      </c>
      <c r="AG135">
        <f t="shared" ref="AG135:AG198" si="126">IF(AV134&lt;0.005,0,MIN((AV134+ROUND(AV134*AV$3,2))-R135,MAX(0,$C135-SUM(S135:AF135))))</f>
        <v>0</v>
      </c>
      <c r="AH135">
        <f t="shared" ref="AH135:AH198" si="127">IF(AH134&lt;0.005,0,ROUND((AH134+ROUND(AH134*AH$3,2))-D135-S135,2))</f>
        <v>0</v>
      </c>
      <c r="AI135">
        <f t="shared" ref="AI135:AI198" si="128">IF(AI134&lt;0.005,0,ROUND((AI134+ROUND(AI134*AI$3,2))-E135-T135,2))</f>
        <v>0</v>
      </c>
      <c r="AJ135">
        <f t="shared" ref="AJ135:AJ198" si="129">IF(AJ134&lt;0.005,0,ROUND((AJ134+ROUND(AJ134*AJ$3,2))-F135-U135,2))</f>
        <v>0</v>
      </c>
      <c r="AK135">
        <f t="shared" ref="AK135:AK198" si="130">IF(AK134&lt;0.005,0,ROUND((AK134+ROUND(AK134*AK$3,2))-G135-V135,2))</f>
        <v>0</v>
      </c>
      <c r="AL135">
        <f t="shared" ref="AL135:AL198" si="131">IF(AL134&lt;0.005,0,ROUND((AL134+ROUND(AL134*AL$3,2))-H135-W135,2))</f>
        <v>0</v>
      </c>
      <c r="AM135">
        <f t="shared" ref="AM135:AM198" si="132">IF(AM134&lt;0.005,0,ROUND((AM134+ROUND(AM134*AM$3,2))-I135-X135,2))</f>
        <v>0</v>
      </c>
      <c r="AN135">
        <f t="shared" ref="AN135:AN198" si="133">IF(AN134&lt;0.005,0,ROUND((AN134+ROUND(AN134*AN$3,2))-J135-Y135,2))</f>
        <v>0</v>
      </c>
      <c r="AO135">
        <f t="shared" ref="AO135:AO198" si="134">IF(AO134&lt;0.005,0,ROUND((AO134+ROUND(AO134*AO$3,2))-K135-Z135,2))</f>
        <v>0</v>
      </c>
      <c r="AP135">
        <f t="shared" ref="AP135:AP198" si="135">IF(AP134&lt;0.005,0,ROUND((AP134+ROUND(AP134*AP$3,2))-L135-AA135,2))</f>
        <v>0</v>
      </c>
      <c r="AQ135">
        <f t="shared" ref="AQ135:AQ198" si="136">IF(AQ134&lt;0.005,0,ROUND((AQ134+ROUND(AQ134*AQ$3,2))-M135-AB135,2))</f>
        <v>0</v>
      </c>
      <c r="AR135">
        <f t="shared" ref="AR135:AR198" si="137">IF(AR134&lt;0.005,0,ROUND((AR134+ROUND(AR134*AR$3,2))-N135-AC135,2))</f>
        <v>0</v>
      </c>
      <c r="AS135">
        <f t="shared" ref="AS135:AS198" si="138">IF(AS134&lt;0.005,0,ROUND((AS134+ROUND(AS134*AS$3,2))-O135-AD135,2))</f>
        <v>0</v>
      </c>
      <c r="AT135">
        <f t="shared" ref="AT135:AT198" si="139">IF(AT134&lt;0.005,0,ROUND((AT134+ROUND(AT134*AT$3,2))-P135-AE135,2))</f>
        <v>0</v>
      </c>
      <c r="AU135">
        <f t="shared" ref="AU135:AU198" si="140">IF(AU134&lt;0.005,0,ROUND((AU134+ROUND(AU134*AU$3,2))-Q135-AF135,2))</f>
        <v>0</v>
      </c>
      <c r="AV135">
        <f t="shared" ref="AV135:AV198" si="141">IF(AV134&lt;0.005,0,ROUND((AV134+ROUND(AV134*AV$3,2))-R135-AG135,2))</f>
        <v>0</v>
      </c>
      <c r="AW135">
        <f t="shared" si="96"/>
        <v>0</v>
      </c>
      <c r="AX135">
        <f t="shared" ref="AX135:AX198" si="142">SUMPRODUCT(ROUND(AH134:AV134*AH$3:AV$3,2))</f>
        <v>0</v>
      </c>
      <c r="AY135">
        <f t="shared" ref="AY135:AY198" si="143">SUM(D135:AG135)</f>
        <v>0</v>
      </c>
    </row>
    <row r="136" spans="1:51" x14ac:dyDescent="0.35">
      <c r="A136">
        <v>130</v>
      </c>
      <c r="C136">
        <f>MAX(0,Calc!$C$7-SUM(D136:R136))</f>
        <v>750</v>
      </c>
      <c r="D136">
        <f t="shared" si="97"/>
        <v>0</v>
      </c>
      <c r="E136">
        <f t="shared" si="98"/>
        <v>0</v>
      </c>
      <c r="F136">
        <f t="shared" si="99"/>
        <v>0</v>
      </c>
      <c r="G136">
        <f t="shared" si="100"/>
        <v>0</v>
      </c>
      <c r="H136">
        <f t="shared" si="101"/>
        <v>0</v>
      </c>
      <c r="I136">
        <f t="shared" si="102"/>
        <v>0</v>
      </c>
      <c r="J136">
        <f t="shared" si="103"/>
        <v>0</v>
      </c>
      <c r="K136">
        <f t="shared" si="104"/>
        <v>0</v>
      </c>
      <c r="L136">
        <f t="shared" si="105"/>
        <v>0</v>
      </c>
      <c r="M136">
        <f t="shared" si="106"/>
        <v>0</v>
      </c>
      <c r="N136">
        <f t="shared" si="107"/>
        <v>0</v>
      </c>
      <c r="O136">
        <f t="shared" si="108"/>
        <v>0</v>
      </c>
      <c r="P136">
        <f t="shared" si="109"/>
        <v>0</v>
      </c>
      <c r="Q136">
        <f t="shared" si="110"/>
        <v>0</v>
      </c>
      <c r="R136">
        <f t="shared" si="111"/>
        <v>0</v>
      </c>
      <c r="S136">
        <f t="shared" si="112"/>
        <v>0</v>
      </c>
      <c r="T136">
        <f t="shared" si="113"/>
        <v>0</v>
      </c>
      <c r="U136">
        <f t="shared" si="114"/>
        <v>0</v>
      </c>
      <c r="V136">
        <f t="shared" si="115"/>
        <v>0</v>
      </c>
      <c r="W136">
        <f t="shared" si="116"/>
        <v>0</v>
      </c>
      <c r="X136">
        <f t="shared" si="117"/>
        <v>0</v>
      </c>
      <c r="Y136">
        <f t="shared" si="118"/>
        <v>0</v>
      </c>
      <c r="Z136">
        <f t="shared" si="119"/>
        <v>0</v>
      </c>
      <c r="AA136">
        <f t="shared" si="120"/>
        <v>0</v>
      </c>
      <c r="AB136">
        <f t="shared" si="121"/>
        <v>0</v>
      </c>
      <c r="AC136">
        <f t="shared" si="122"/>
        <v>0</v>
      </c>
      <c r="AD136">
        <f t="shared" si="123"/>
        <v>0</v>
      </c>
      <c r="AE136">
        <f t="shared" si="124"/>
        <v>0</v>
      </c>
      <c r="AF136">
        <f t="shared" si="125"/>
        <v>0</v>
      </c>
      <c r="AG136">
        <f t="shared" si="126"/>
        <v>0</v>
      </c>
      <c r="AH136">
        <f t="shared" si="127"/>
        <v>0</v>
      </c>
      <c r="AI136">
        <f t="shared" si="128"/>
        <v>0</v>
      </c>
      <c r="AJ136">
        <f t="shared" si="129"/>
        <v>0</v>
      </c>
      <c r="AK136">
        <f t="shared" si="130"/>
        <v>0</v>
      </c>
      <c r="AL136">
        <f t="shared" si="131"/>
        <v>0</v>
      </c>
      <c r="AM136">
        <f t="shared" si="132"/>
        <v>0</v>
      </c>
      <c r="AN136">
        <f t="shared" si="133"/>
        <v>0</v>
      </c>
      <c r="AO136">
        <f t="shared" si="134"/>
        <v>0</v>
      </c>
      <c r="AP136">
        <f t="shared" si="135"/>
        <v>0</v>
      </c>
      <c r="AQ136">
        <f t="shared" si="136"/>
        <v>0</v>
      </c>
      <c r="AR136">
        <f t="shared" si="137"/>
        <v>0</v>
      </c>
      <c r="AS136">
        <f t="shared" si="138"/>
        <v>0</v>
      </c>
      <c r="AT136">
        <f t="shared" si="139"/>
        <v>0</v>
      </c>
      <c r="AU136">
        <f t="shared" si="140"/>
        <v>0</v>
      </c>
      <c r="AV136">
        <f t="shared" si="141"/>
        <v>0</v>
      </c>
      <c r="AW136">
        <f t="shared" si="96"/>
        <v>0</v>
      </c>
      <c r="AX136">
        <f t="shared" si="142"/>
        <v>0</v>
      </c>
      <c r="AY136">
        <f t="shared" si="143"/>
        <v>0</v>
      </c>
    </row>
    <row r="137" spans="1:51" x14ac:dyDescent="0.35">
      <c r="A137">
        <v>131</v>
      </c>
      <c r="C137">
        <f>MAX(0,Calc!$C$7-SUM(D137:R137))</f>
        <v>750</v>
      </c>
      <c r="D137">
        <f t="shared" si="97"/>
        <v>0</v>
      </c>
      <c r="E137">
        <f t="shared" si="98"/>
        <v>0</v>
      </c>
      <c r="F137">
        <f t="shared" si="99"/>
        <v>0</v>
      </c>
      <c r="G137">
        <f t="shared" si="100"/>
        <v>0</v>
      </c>
      <c r="H137">
        <f t="shared" si="101"/>
        <v>0</v>
      </c>
      <c r="I137">
        <f t="shared" si="102"/>
        <v>0</v>
      </c>
      <c r="J137">
        <f t="shared" si="103"/>
        <v>0</v>
      </c>
      <c r="K137">
        <f t="shared" si="104"/>
        <v>0</v>
      </c>
      <c r="L137">
        <f t="shared" si="105"/>
        <v>0</v>
      </c>
      <c r="M137">
        <f t="shared" si="106"/>
        <v>0</v>
      </c>
      <c r="N137">
        <f t="shared" si="107"/>
        <v>0</v>
      </c>
      <c r="O137">
        <f t="shared" si="108"/>
        <v>0</v>
      </c>
      <c r="P137">
        <f t="shared" si="109"/>
        <v>0</v>
      </c>
      <c r="Q137">
        <f t="shared" si="110"/>
        <v>0</v>
      </c>
      <c r="R137">
        <f t="shared" si="111"/>
        <v>0</v>
      </c>
      <c r="S137">
        <f t="shared" si="112"/>
        <v>0</v>
      </c>
      <c r="T137">
        <f t="shared" si="113"/>
        <v>0</v>
      </c>
      <c r="U137">
        <f t="shared" si="114"/>
        <v>0</v>
      </c>
      <c r="V137">
        <f t="shared" si="115"/>
        <v>0</v>
      </c>
      <c r="W137">
        <f t="shared" si="116"/>
        <v>0</v>
      </c>
      <c r="X137">
        <f t="shared" si="117"/>
        <v>0</v>
      </c>
      <c r="Y137">
        <f t="shared" si="118"/>
        <v>0</v>
      </c>
      <c r="Z137">
        <f t="shared" si="119"/>
        <v>0</v>
      </c>
      <c r="AA137">
        <f t="shared" si="120"/>
        <v>0</v>
      </c>
      <c r="AB137">
        <f t="shared" si="121"/>
        <v>0</v>
      </c>
      <c r="AC137">
        <f t="shared" si="122"/>
        <v>0</v>
      </c>
      <c r="AD137">
        <f t="shared" si="123"/>
        <v>0</v>
      </c>
      <c r="AE137">
        <f t="shared" si="124"/>
        <v>0</v>
      </c>
      <c r="AF137">
        <f t="shared" si="125"/>
        <v>0</v>
      </c>
      <c r="AG137">
        <f t="shared" si="126"/>
        <v>0</v>
      </c>
      <c r="AH137">
        <f t="shared" si="127"/>
        <v>0</v>
      </c>
      <c r="AI137">
        <f t="shared" si="128"/>
        <v>0</v>
      </c>
      <c r="AJ137">
        <f t="shared" si="129"/>
        <v>0</v>
      </c>
      <c r="AK137">
        <f t="shared" si="130"/>
        <v>0</v>
      </c>
      <c r="AL137">
        <f t="shared" si="131"/>
        <v>0</v>
      </c>
      <c r="AM137">
        <f t="shared" si="132"/>
        <v>0</v>
      </c>
      <c r="AN137">
        <f t="shared" si="133"/>
        <v>0</v>
      </c>
      <c r="AO137">
        <f t="shared" si="134"/>
        <v>0</v>
      </c>
      <c r="AP137">
        <f t="shared" si="135"/>
        <v>0</v>
      </c>
      <c r="AQ137">
        <f t="shared" si="136"/>
        <v>0</v>
      </c>
      <c r="AR137">
        <f t="shared" si="137"/>
        <v>0</v>
      </c>
      <c r="AS137">
        <f t="shared" si="138"/>
        <v>0</v>
      </c>
      <c r="AT137">
        <f t="shared" si="139"/>
        <v>0</v>
      </c>
      <c r="AU137">
        <f t="shared" si="140"/>
        <v>0</v>
      </c>
      <c r="AV137">
        <f t="shared" si="141"/>
        <v>0</v>
      </c>
      <c r="AW137">
        <f t="shared" si="96"/>
        <v>0</v>
      </c>
      <c r="AX137">
        <f t="shared" si="142"/>
        <v>0</v>
      </c>
      <c r="AY137">
        <f t="shared" si="143"/>
        <v>0</v>
      </c>
    </row>
    <row r="138" spans="1:51" x14ac:dyDescent="0.35">
      <c r="A138">
        <v>132</v>
      </c>
      <c r="C138">
        <f>MAX(0,Calc!$C$7-SUM(D138:R138))</f>
        <v>750</v>
      </c>
      <c r="D138">
        <f t="shared" si="97"/>
        <v>0</v>
      </c>
      <c r="E138">
        <f t="shared" si="98"/>
        <v>0</v>
      </c>
      <c r="F138">
        <f t="shared" si="99"/>
        <v>0</v>
      </c>
      <c r="G138">
        <f t="shared" si="100"/>
        <v>0</v>
      </c>
      <c r="H138">
        <f t="shared" si="101"/>
        <v>0</v>
      </c>
      <c r="I138">
        <f t="shared" si="102"/>
        <v>0</v>
      </c>
      <c r="J138">
        <f t="shared" si="103"/>
        <v>0</v>
      </c>
      <c r="K138">
        <f t="shared" si="104"/>
        <v>0</v>
      </c>
      <c r="L138">
        <f t="shared" si="105"/>
        <v>0</v>
      </c>
      <c r="M138">
        <f t="shared" si="106"/>
        <v>0</v>
      </c>
      <c r="N138">
        <f t="shared" si="107"/>
        <v>0</v>
      </c>
      <c r="O138">
        <f t="shared" si="108"/>
        <v>0</v>
      </c>
      <c r="P138">
        <f t="shared" si="109"/>
        <v>0</v>
      </c>
      <c r="Q138">
        <f t="shared" si="110"/>
        <v>0</v>
      </c>
      <c r="R138">
        <f t="shared" si="111"/>
        <v>0</v>
      </c>
      <c r="S138">
        <f t="shared" si="112"/>
        <v>0</v>
      </c>
      <c r="T138">
        <f t="shared" si="113"/>
        <v>0</v>
      </c>
      <c r="U138">
        <f t="shared" si="114"/>
        <v>0</v>
      </c>
      <c r="V138">
        <f t="shared" si="115"/>
        <v>0</v>
      </c>
      <c r="W138">
        <f t="shared" si="116"/>
        <v>0</v>
      </c>
      <c r="X138">
        <f t="shared" si="117"/>
        <v>0</v>
      </c>
      <c r="Y138">
        <f t="shared" si="118"/>
        <v>0</v>
      </c>
      <c r="Z138">
        <f t="shared" si="119"/>
        <v>0</v>
      </c>
      <c r="AA138">
        <f t="shared" si="120"/>
        <v>0</v>
      </c>
      <c r="AB138">
        <f t="shared" si="121"/>
        <v>0</v>
      </c>
      <c r="AC138">
        <f t="shared" si="122"/>
        <v>0</v>
      </c>
      <c r="AD138">
        <f t="shared" si="123"/>
        <v>0</v>
      </c>
      <c r="AE138">
        <f t="shared" si="124"/>
        <v>0</v>
      </c>
      <c r="AF138">
        <f t="shared" si="125"/>
        <v>0</v>
      </c>
      <c r="AG138">
        <f t="shared" si="126"/>
        <v>0</v>
      </c>
      <c r="AH138">
        <f t="shared" si="127"/>
        <v>0</v>
      </c>
      <c r="AI138">
        <f t="shared" si="128"/>
        <v>0</v>
      </c>
      <c r="AJ138">
        <f t="shared" si="129"/>
        <v>0</v>
      </c>
      <c r="AK138">
        <f t="shared" si="130"/>
        <v>0</v>
      </c>
      <c r="AL138">
        <f t="shared" si="131"/>
        <v>0</v>
      </c>
      <c r="AM138">
        <f t="shared" si="132"/>
        <v>0</v>
      </c>
      <c r="AN138">
        <f t="shared" si="133"/>
        <v>0</v>
      </c>
      <c r="AO138">
        <f t="shared" si="134"/>
        <v>0</v>
      </c>
      <c r="AP138">
        <f t="shared" si="135"/>
        <v>0</v>
      </c>
      <c r="AQ138">
        <f t="shared" si="136"/>
        <v>0</v>
      </c>
      <c r="AR138">
        <f t="shared" si="137"/>
        <v>0</v>
      </c>
      <c r="AS138">
        <f t="shared" si="138"/>
        <v>0</v>
      </c>
      <c r="AT138">
        <f t="shared" si="139"/>
        <v>0</v>
      </c>
      <c r="AU138">
        <f t="shared" si="140"/>
        <v>0</v>
      </c>
      <c r="AV138">
        <f t="shared" si="141"/>
        <v>0</v>
      </c>
      <c r="AW138">
        <f t="shared" si="96"/>
        <v>0</v>
      </c>
      <c r="AX138">
        <f t="shared" si="142"/>
        <v>0</v>
      </c>
      <c r="AY138">
        <f t="shared" si="143"/>
        <v>0</v>
      </c>
    </row>
    <row r="139" spans="1:51" x14ac:dyDescent="0.35">
      <c r="A139">
        <v>133</v>
      </c>
      <c r="C139">
        <f>MAX(0,Calc!$C$7-SUM(D139:R139))</f>
        <v>750</v>
      </c>
      <c r="D139">
        <f t="shared" si="97"/>
        <v>0</v>
      </c>
      <c r="E139">
        <f t="shared" si="98"/>
        <v>0</v>
      </c>
      <c r="F139">
        <f t="shared" si="99"/>
        <v>0</v>
      </c>
      <c r="G139">
        <f t="shared" si="100"/>
        <v>0</v>
      </c>
      <c r="H139">
        <f t="shared" si="101"/>
        <v>0</v>
      </c>
      <c r="I139">
        <f t="shared" si="102"/>
        <v>0</v>
      </c>
      <c r="J139">
        <f t="shared" si="103"/>
        <v>0</v>
      </c>
      <c r="K139">
        <f t="shared" si="104"/>
        <v>0</v>
      </c>
      <c r="L139">
        <f t="shared" si="105"/>
        <v>0</v>
      </c>
      <c r="M139">
        <f t="shared" si="106"/>
        <v>0</v>
      </c>
      <c r="N139">
        <f t="shared" si="107"/>
        <v>0</v>
      </c>
      <c r="O139">
        <f t="shared" si="108"/>
        <v>0</v>
      </c>
      <c r="P139">
        <f t="shared" si="109"/>
        <v>0</v>
      </c>
      <c r="Q139">
        <f t="shared" si="110"/>
        <v>0</v>
      </c>
      <c r="R139">
        <f t="shared" si="111"/>
        <v>0</v>
      </c>
      <c r="S139">
        <f t="shared" si="112"/>
        <v>0</v>
      </c>
      <c r="T139">
        <f t="shared" si="113"/>
        <v>0</v>
      </c>
      <c r="U139">
        <f t="shared" si="114"/>
        <v>0</v>
      </c>
      <c r="V139">
        <f t="shared" si="115"/>
        <v>0</v>
      </c>
      <c r="W139">
        <f t="shared" si="116"/>
        <v>0</v>
      </c>
      <c r="X139">
        <f t="shared" si="117"/>
        <v>0</v>
      </c>
      <c r="Y139">
        <f t="shared" si="118"/>
        <v>0</v>
      </c>
      <c r="Z139">
        <f t="shared" si="119"/>
        <v>0</v>
      </c>
      <c r="AA139">
        <f t="shared" si="120"/>
        <v>0</v>
      </c>
      <c r="AB139">
        <f t="shared" si="121"/>
        <v>0</v>
      </c>
      <c r="AC139">
        <f t="shared" si="122"/>
        <v>0</v>
      </c>
      <c r="AD139">
        <f t="shared" si="123"/>
        <v>0</v>
      </c>
      <c r="AE139">
        <f t="shared" si="124"/>
        <v>0</v>
      </c>
      <c r="AF139">
        <f t="shared" si="125"/>
        <v>0</v>
      </c>
      <c r="AG139">
        <f t="shared" si="126"/>
        <v>0</v>
      </c>
      <c r="AH139">
        <f t="shared" si="127"/>
        <v>0</v>
      </c>
      <c r="AI139">
        <f t="shared" si="128"/>
        <v>0</v>
      </c>
      <c r="AJ139">
        <f t="shared" si="129"/>
        <v>0</v>
      </c>
      <c r="AK139">
        <f t="shared" si="130"/>
        <v>0</v>
      </c>
      <c r="AL139">
        <f t="shared" si="131"/>
        <v>0</v>
      </c>
      <c r="AM139">
        <f t="shared" si="132"/>
        <v>0</v>
      </c>
      <c r="AN139">
        <f t="shared" si="133"/>
        <v>0</v>
      </c>
      <c r="AO139">
        <f t="shared" si="134"/>
        <v>0</v>
      </c>
      <c r="AP139">
        <f t="shared" si="135"/>
        <v>0</v>
      </c>
      <c r="AQ139">
        <f t="shared" si="136"/>
        <v>0</v>
      </c>
      <c r="AR139">
        <f t="shared" si="137"/>
        <v>0</v>
      </c>
      <c r="AS139">
        <f t="shared" si="138"/>
        <v>0</v>
      </c>
      <c r="AT139">
        <f t="shared" si="139"/>
        <v>0</v>
      </c>
      <c r="AU139">
        <f t="shared" si="140"/>
        <v>0</v>
      </c>
      <c r="AV139">
        <f t="shared" si="141"/>
        <v>0</v>
      </c>
      <c r="AW139">
        <f t="shared" si="96"/>
        <v>0</v>
      </c>
      <c r="AX139">
        <f t="shared" si="142"/>
        <v>0</v>
      </c>
      <c r="AY139">
        <f t="shared" si="143"/>
        <v>0</v>
      </c>
    </row>
    <row r="140" spans="1:51" x14ac:dyDescent="0.35">
      <c r="A140">
        <v>134</v>
      </c>
      <c r="C140">
        <f>MAX(0,Calc!$C$7-SUM(D140:R140))</f>
        <v>750</v>
      </c>
      <c r="D140">
        <f t="shared" si="97"/>
        <v>0</v>
      </c>
      <c r="E140">
        <f t="shared" si="98"/>
        <v>0</v>
      </c>
      <c r="F140">
        <f t="shared" si="99"/>
        <v>0</v>
      </c>
      <c r="G140">
        <f t="shared" si="100"/>
        <v>0</v>
      </c>
      <c r="H140">
        <f t="shared" si="101"/>
        <v>0</v>
      </c>
      <c r="I140">
        <f t="shared" si="102"/>
        <v>0</v>
      </c>
      <c r="J140">
        <f t="shared" si="103"/>
        <v>0</v>
      </c>
      <c r="K140">
        <f t="shared" si="104"/>
        <v>0</v>
      </c>
      <c r="L140">
        <f t="shared" si="105"/>
        <v>0</v>
      </c>
      <c r="M140">
        <f t="shared" si="106"/>
        <v>0</v>
      </c>
      <c r="N140">
        <f t="shared" si="107"/>
        <v>0</v>
      </c>
      <c r="O140">
        <f t="shared" si="108"/>
        <v>0</v>
      </c>
      <c r="P140">
        <f t="shared" si="109"/>
        <v>0</v>
      </c>
      <c r="Q140">
        <f t="shared" si="110"/>
        <v>0</v>
      </c>
      <c r="R140">
        <f t="shared" si="111"/>
        <v>0</v>
      </c>
      <c r="S140">
        <f t="shared" si="112"/>
        <v>0</v>
      </c>
      <c r="T140">
        <f t="shared" si="113"/>
        <v>0</v>
      </c>
      <c r="U140">
        <f t="shared" si="114"/>
        <v>0</v>
      </c>
      <c r="V140">
        <f t="shared" si="115"/>
        <v>0</v>
      </c>
      <c r="W140">
        <f t="shared" si="116"/>
        <v>0</v>
      </c>
      <c r="X140">
        <f t="shared" si="117"/>
        <v>0</v>
      </c>
      <c r="Y140">
        <f t="shared" si="118"/>
        <v>0</v>
      </c>
      <c r="Z140">
        <f t="shared" si="119"/>
        <v>0</v>
      </c>
      <c r="AA140">
        <f t="shared" si="120"/>
        <v>0</v>
      </c>
      <c r="AB140">
        <f t="shared" si="121"/>
        <v>0</v>
      </c>
      <c r="AC140">
        <f t="shared" si="122"/>
        <v>0</v>
      </c>
      <c r="AD140">
        <f t="shared" si="123"/>
        <v>0</v>
      </c>
      <c r="AE140">
        <f t="shared" si="124"/>
        <v>0</v>
      </c>
      <c r="AF140">
        <f t="shared" si="125"/>
        <v>0</v>
      </c>
      <c r="AG140">
        <f t="shared" si="126"/>
        <v>0</v>
      </c>
      <c r="AH140">
        <f t="shared" si="127"/>
        <v>0</v>
      </c>
      <c r="AI140">
        <f t="shared" si="128"/>
        <v>0</v>
      </c>
      <c r="AJ140">
        <f t="shared" si="129"/>
        <v>0</v>
      </c>
      <c r="AK140">
        <f t="shared" si="130"/>
        <v>0</v>
      </c>
      <c r="AL140">
        <f t="shared" si="131"/>
        <v>0</v>
      </c>
      <c r="AM140">
        <f t="shared" si="132"/>
        <v>0</v>
      </c>
      <c r="AN140">
        <f t="shared" si="133"/>
        <v>0</v>
      </c>
      <c r="AO140">
        <f t="shared" si="134"/>
        <v>0</v>
      </c>
      <c r="AP140">
        <f t="shared" si="135"/>
        <v>0</v>
      </c>
      <c r="AQ140">
        <f t="shared" si="136"/>
        <v>0</v>
      </c>
      <c r="AR140">
        <f t="shared" si="137"/>
        <v>0</v>
      </c>
      <c r="AS140">
        <f t="shared" si="138"/>
        <v>0</v>
      </c>
      <c r="AT140">
        <f t="shared" si="139"/>
        <v>0</v>
      </c>
      <c r="AU140">
        <f t="shared" si="140"/>
        <v>0</v>
      </c>
      <c r="AV140">
        <f t="shared" si="141"/>
        <v>0</v>
      </c>
      <c r="AW140">
        <f t="shared" si="96"/>
        <v>0</v>
      </c>
      <c r="AX140">
        <f t="shared" si="142"/>
        <v>0</v>
      </c>
      <c r="AY140">
        <f t="shared" si="143"/>
        <v>0</v>
      </c>
    </row>
    <row r="141" spans="1:51" x14ac:dyDescent="0.35">
      <c r="A141">
        <v>135</v>
      </c>
      <c r="C141">
        <f>MAX(0,Calc!$C$7-SUM(D141:R141))</f>
        <v>750</v>
      </c>
      <c r="D141">
        <f t="shared" si="97"/>
        <v>0</v>
      </c>
      <c r="E141">
        <f t="shared" si="98"/>
        <v>0</v>
      </c>
      <c r="F141">
        <f t="shared" si="99"/>
        <v>0</v>
      </c>
      <c r="G141">
        <f t="shared" si="100"/>
        <v>0</v>
      </c>
      <c r="H141">
        <f t="shared" si="101"/>
        <v>0</v>
      </c>
      <c r="I141">
        <f t="shared" si="102"/>
        <v>0</v>
      </c>
      <c r="J141">
        <f t="shared" si="103"/>
        <v>0</v>
      </c>
      <c r="K141">
        <f t="shared" si="104"/>
        <v>0</v>
      </c>
      <c r="L141">
        <f t="shared" si="105"/>
        <v>0</v>
      </c>
      <c r="M141">
        <f t="shared" si="106"/>
        <v>0</v>
      </c>
      <c r="N141">
        <f t="shared" si="107"/>
        <v>0</v>
      </c>
      <c r="O141">
        <f t="shared" si="108"/>
        <v>0</v>
      </c>
      <c r="P141">
        <f t="shared" si="109"/>
        <v>0</v>
      </c>
      <c r="Q141">
        <f t="shared" si="110"/>
        <v>0</v>
      </c>
      <c r="R141">
        <f t="shared" si="111"/>
        <v>0</v>
      </c>
      <c r="S141">
        <f t="shared" si="112"/>
        <v>0</v>
      </c>
      <c r="T141">
        <f t="shared" si="113"/>
        <v>0</v>
      </c>
      <c r="U141">
        <f t="shared" si="114"/>
        <v>0</v>
      </c>
      <c r="V141">
        <f t="shared" si="115"/>
        <v>0</v>
      </c>
      <c r="W141">
        <f t="shared" si="116"/>
        <v>0</v>
      </c>
      <c r="X141">
        <f t="shared" si="117"/>
        <v>0</v>
      </c>
      <c r="Y141">
        <f t="shared" si="118"/>
        <v>0</v>
      </c>
      <c r="Z141">
        <f t="shared" si="119"/>
        <v>0</v>
      </c>
      <c r="AA141">
        <f t="shared" si="120"/>
        <v>0</v>
      </c>
      <c r="AB141">
        <f t="shared" si="121"/>
        <v>0</v>
      </c>
      <c r="AC141">
        <f t="shared" si="122"/>
        <v>0</v>
      </c>
      <c r="AD141">
        <f t="shared" si="123"/>
        <v>0</v>
      </c>
      <c r="AE141">
        <f t="shared" si="124"/>
        <v>0</v>
      </c>
      <c r="AF141">
        <f t="shared" si="125"/>
        <v>0</v>
      </c>
      <c r="AG141">
        <f t="shared" si="126"/>
        <v>0</v>
      </c>
      <c r="AH141">
        <f t="shared" si="127"/>
        <v>0</v>
      </c>
      <c r="AI141">
        <f t="shared" si="128"/>
        <v>0</v>
      </c>
      <c r="AJ141">
        <f t="shared" si="129"/>
        <v>0</v>
      </c>
      <c r="AK141">
        <f t="shared" si="130"/>
        <v>0</v>
      </c>
      <c r="AL141">
        <f t="shared" si="131"/>
        <v>0</v>
      </c>
      <c r="AM141">
        <f t="shared" si="132"/>
        <v>0</v>
      </c>
      <c r="AN141">
        <f t="shared" si="133"/>
        <v>0</v>
      </c>
      <c r="AO141">
        <f t="shared" si="134"/>
        <v>0</v>
      </c>
      <c r="AP141">
        <f t="shared" si="135"/>
        <v>0</v>
      </c>
      <c r="AQ141">
        <f t="shared" si="136"/>
        <v>0</v>
      </c>
      <c r="AR141">
        <f t="shared" si="137"/>
        <v>0</v>
      </c>
      <c r="AS141">
        <f t="shared" si="138"/>
        <v>0</v>
      </c>
      <c r="AT141">
        <f t="shared" si="139"/>
        <v>0</v>
      </c>
      <c r="AU141">
        <f t="shared" si="140"/>
        <v>0</v>
      </c>
      <c r="AV141">
        <f t="shared" si="141"/>
        <v>0</v>
      </c>
      <c r="AW141">
        <f t="shared" si="96"/>
        <v>0</v>
      </c>
      <c r="AX141">
        <f t="shared" si="142"/>
        <v>0</v>
      </c>
      <c r="AY141">
        <f t="shared" si="143"/>
        <v>0</v>
      </c>
    </row>
    <row r="142" spans="1:51" x14ac:dyDescent="0.35">
      <c r="A142">
        <v>136</v>
      </c>
      <c r="C142">
        <f>MAX(0,Calc!$C$7-SUM(D142:R142))</f>
        <v>750</v>
      </c>
      <c r="D142">
        <f t="shared" si="97"/>
        <v>0</v>
      </c>
      <c r="E142">
        <f t="shared" si="98"/>
        <v>0</v>
      </c>
      <c r="F142">
        <f t="shared" si="99"/>
        <v>0</v>
      </c>
      <c r="G142">
        <f t="shared" si="100"/>
        <v>0</v>
      </c>
      <c r="H142">
        <f t="shared" si="101"/>
        <v>0</v>
      </c>
      <c r="I142">
        <f t="shared" si="102"/>
        <v>0</v>
      </c>
      <c r="J142">
        <f t="shared" si="103"/>
        <v>0</v>
      </c>
      <c r="K142">
        <f t="shared" si="104"/>
        <v>0</v>
      </c>
      <c r="L142">
        <f t="shared" si="105"/>
        <v>0</v>
      </c>
      <c r="M142">
        <f t="shared" si="106"/>
        <v>0</v>
      </c>
      <c r="N142">
        <f t="shared" si="107"/>
        <v>0</v>
      </c>
      <c r="O142">
        <f t="shared" si="108"/>
        <v>0</v>
      </c>
      <c r="P142">
        <f t="shared" si="109"/>
        <v>0</v>
      </c>
      <c r="Q142">
        <f t="shared" si="110"/>
        <v>0</v>
      </c>
      <c r="R142">
        <f t="shared" si="111"/>
        <v>0</v>
      </c>
      <c r="S142">
        <f t="shared" si="112"/>
        <v>0</v>
      </c>
      <c r="T142">
        <f t="shared" si="113"/>
        <v>0</v>
      </c>
      <c r="U142">
        <f t="shared" si="114"/>
        <v>0</v>
      </c>
      <c r="V142">
        <f t="shared" si="115"/>
        <v>0</v>
      </c>
      <c r="W142">
        <f t="shared" si="116"/>
        <v>0</v>
      </c>
      <c r="X142">
        <f t="shared" si="117"/>
        <v>0</v>
      </c>
      <c r="Y142">
        <f t="shared" si="118"/>
        <v>0</v>
      </c>
      <c r="Z142">
        <f t="shared" si="119"/>
        <v>0</v>
      </c>
      <c r="AA142">
        <f t="shared" si="120"/>
        <v>0</v>
      </c>
      <c r="AB142">
        <f t="shared" si="121"/>
        <v>0</v>
      </c>
      <c r="AC142">
        <f t="shared" si="122"/>
        <v>0</v>
      </c>
      <c r="AD142">
        <f t="shared" si="123"/>
        <v>0</v>
      </c>
      <c r="AE142">
        <f t="shared" si="124"/>
        <v>0</v>
      </c>
      <c r="AF142">
        <f t="shared" si="125"/>
        <v>0</v>
      </c>
      <c r="AG142">
        <f t="shared" si="126"/>
        <v>0</v>
      </c>
      <c r="AH142">
        <f t="shared" si="127"/>
        <v>0</v>
      </c>
      <c r="AI142">
        <f t="shared" si="128"/>
        <v>0</v>
      </c>
      <c r="AJ142">
        <f t="shared" si="129"/>
        <v>0</v>
      </c>
      <c r="AK142">
        <f t="shared" si="130"/>
        <v>0</v>
      </c>
      <c r="AL142">
        <f t="shared" si="131"/>
        <v>0</v>
      </c>
      <c r="AM142">
        <f t="shared" si="132"/>
        <v>0</v>
      </c>
      <c r="AN142">
        <f t="shared" si="133"/>
        <v>0</v>
      </c>
      <c r="AO142">
        <f t="shared" si="134"/>
        <v>0</v>
      </c>
      <c r="AP142">
        <f t="shared" si="135"/>
        <v>0</v>
      </c>
      <c r="AQ142">
        <f t="shared" si="136"/>
        <v>0</v>
      </c>
      <c r="AR142">
        <f t="shared" si="137"/>
        <v>0</v>
      </c>
      <c r="AS142">
        <f t="shared" si="138"/>
        <v>0</v>
      </c>
      <c r="AT142">
        <f t="shared" si="139"/>
        <v>0</v>
      </c>
      <c r="AU142">
        <f t="shared" si="140"/>
        <v>0</v>
      </c>
      <c r="AV142">
        <f t="shared" si="141"/>
        <v>0</v>
      </c>
      <c r="AW142">
        <f t="shared" si="96"/>
        <v>0</v>
      </c>
      <c r="AX142">
        <f t="shared" si="142"/>
        <v>0</v>
      </c>
      <c r="AY142">
        <f t="shared" si="143"/>
        <v>0</v>
      </c>
    </row>
    <row r="143" spans="1:51" x14ac:dyDescent="0.35">
      <c r="A143">
        <v>137</v>
      </c>
      <c r="C143">
        <f>MAX(0,Calc!$C$7-SUM(D143:R143))</f>
        <v>750</v>
      </c>
      <c r="D143">
        <f t="shared" si="97"/>
        <v>0</v>
      </c>
      <c r="E143">
        <f t="shared" si="98"/>
        <v>0</v>
      </c>
      <c r="F143">
        <f t="shared" si="99"/>
        <v>0</v>
      </c>
      <c r="G143">
        <f t="shared" si="100"/>
        <v>0</v>
      </c>
      <c r="H143">
        <f t="shared" si="101"/>
        <v>0</v>
      </c>
      <c r="I143">
        <f t="shared" si="102"/>
        <v>0</v>
      </c>
      <c r="J143">
        <f t="shared" si="103"/>
        <v>0</v>
      </c>
      <c r="K143">
        <f t="shared" si="104"/>
        <v>0</v>
      </c>
      <c r="L143">
        <f t="shared" si="105"/>
        <v>0</v>
      </c>
      <c r="M143">
        <f t="shared" si="106"/>
        <v>0</v>
      </c>
      <c r="N143">
        <f t="shared" si="107"/>
        <v>0</v>
      </c>
      <c r="O143">
        <f t="shared" si="108"/>
        <v>0</v>
      </c>
      <c r="P143">
        <f t="shared" si="109"/>
        <v>0</v>
      </c>
      <c r="Q143">
        <f t="shared" si="110"/>
        <v>0</v>
      </c>
      <c r="R143">
        <f t="shared" si="111"/>
        <v>0</v>
      </c>
      <c r="S143">
        <f t="shared" si="112"/>
        <v>0</v>
      </c>
      <c r="T143">
        <f t="shared" si="113"/>
        <v>0</v>
      </c>
      <c r="U143">
        <f t="shared" si="114"/>
        <v>0</v>
      </c>
      <c r="V143">
        <f t="shared" si="115"/>
        <v>0</v>
      </c>
      <c r="W143">
        <f t="shared" si="116"/>
        <v>0</v>
      </c>
      <c r="X143">
        <f t="shared" si="117"/>
        <v>0</v>
      </c>
      <c r="Y143">
        <f t="shared" si="118"/>
        <v>0</v>
      </c>
      <c r="Z143">
        <f t="shared" si="119"/>
        <v>0</v>
      </c>
      <c r="AA143">
        <f t="shared" si="120"/>
        <v>0</v>
      </c>
      <c r="AB143">
        <f t="shared" si="121"/>
        <v>0</v>
      </c>
      <c r="AC143">
        <f t="shared" si="122"/>
        <v>0</v>
      </c>
      <c r="AD143">
        <f t="shared" si="123"/>
        <v>0</v>
      </c>
      <c r="AE143">
        <f t="shared" si="124"/>
        <v>0</v>
      </c>
      <c r="AF143">
        <f t="shared" si="125"/>
        <v>0</v>
      </c>
      <c r="AG143">
        <f t="shared" si="126"/>
        <v>0</v>
      </c>
      <c r="AH143">
        <f t="shared" si="127"/>
        <v>0</v>
      </c>
      <c r="AI143">
        <f t="shared" si="128"/>
        <v>0</v>
      </c>
      <c r="AJ143">
        <f t="shared" si="129"/>
        <v>0</v>
      </c>
      <c r="AK143">
        <f t="shared" si="130"/>
        <v>0</v>
      </c>
      <c r="AL143">
        <f t="shared" si="131"/>
        <v>0</v>
      </c>
      <c r="AM143">
        <f t="shared" si="132"/>
        <v>0</v>
      </c>
      <c r="AN143">
        <f t="shared" si="133"/>
        <v>0</v>
      </c>
      <c r="AO143">
        <f t="shared" si="134"/>
        <v>0</v>
      </c>
      <c r="AP143">
        <f t="shared" si="135"/>
        <v>0</v>
      </c>
      <c r="AQ143">
        <f t="shared" si="136"/>
        <v>0</v>
      </c>
      <c r="AR143">
        <f t="shared" si="137"/>
        <v>0</v>
      </c>
      <c r="AS143">
        <f t="shared" si="138"/>
        <v>0</v>
      </c>
      <c r="AT143">
        <f t="shared" si="139"/>
        <v>0</v>
      </c>
      <c r="AU143">
        <f t="shared" si="140"/>
        <v>0</v>
      </c>
      <c r="AV143">
        <f t="shared" si="141"/>
        <v>0</v>
      </c>
      <c r="AW143">
        <f t="shared" si="96"/>
        <v>0</v>
      </c>
      <c r="AX143">
        <f t="shared" si="142"/>
        <v>0</v>
      </c>
      <c r="AY143">
        <f t="shared" si="143"/>
        <v>0</v>
      </c>
    </row>
    <row r="144" spans="1:51" x14ac:dyDescent="0.35">
      <c r="A144">
        <v>138</v>
      </c>
      <c r="C144">
        <f>MAX(0,Calc!$C$7-SUM(D144:R144))</f>
        <v>750</v>
      </c>
      <c r="D144">
        <f t="shared" si="97"/>
        <v>0</v>
      </c>
      <c r="E144">
        <f t="shared" si="98"/>
        <v>0</v>
      </c>
      <c r="F144">
        <f t="shared" si="99"/>
        <v>0</v>
      </c>
      <c r="G144">
        <f t="shared" si="100"/>
        <v>0</v>
      </c>
      <c r="H144">
        <f t="shared" si="101"/>
        <v>0</v>
      </c>
      <c r="I144">
        <f t="shared" si="102"/>
        <v>0</v>
      </c>
      <c r="J144">
        <f t="shared" si="103"/>
        <v>0</v>
      </c>
      <c r="K144">
        <f t="shared" si="104"/>
        <v>0</v>
      </c>
      <c r="L144">
        <f t="shared" si="105"/>
        <v>0</v>
      </c>
      <c r="M144">
        <f t="shared" si="106"/>
        <v>0</v>
      </c>
      <c r="N144">
        <f t="shared" si="107"/>
        <v>0</v>
      </c>
      <c r="O144">
        <f t="shared" si="108"/>
        <v>0</v>
      </c>
      <c r="P144">
        <f t="shared" si="109"/>
        <v>0</v>
      </c>
      <c r="Q144">
        <f t="shared" si="110"/>
        <v>0</v>
      </c>
      <c r="R144">
        <f t="shared" si="111"/>
        <v>0</v>
      </c>
      <c r="S144">
        <f t="shared" si="112"/>
        <v>0</v>
      </c>
      <c r="T144">
        <f t="shared" si="113"/>
        <v>0</v>
      </c>
      <c r="U144">
        <f t="shared" si="114"/>
        <v>0</v>
      </c>
      <c r="V144">
        <f t="shared" si="115"/>
        <v>0</v>
      </c>
      <c r="W144">
        <f t="shared" si="116"/>
        <v>0</v>
      </c>
      <c r="X144">
        <f t="shared" si="117"/>
        <v>0</v>
      </c>
      <c r="Y144">
        <f t="shared" si="118"/>
        <v>0</v>
      </c>
      <c r="Z144">
        <f t="shared" si="119"/>
        <v>0</v>
      </c>
      <c r="AA144">
        <f t="shared" si="120"/>
        <v>0</v>
      </c>
      <c r="AB144">
        <f t="shared" si="121"/>
        <v>0</v>
      </c>
      <c r="AC144">
        <f t="shared" si="122"/>
        <v>0</v>
      </c>
      <c r="AD144">
        <f t="shared" si="123"/>
        <v>0</v>
      </c>
      <c r="AE144">
        <f t="shared" si="124"/>
        <v>0</v>
      </c>
      <c r="AF144">
        <f t="shared" si="125"/>
        <v>0</v>
      </c>
      <c r="AG144">
        <f t="shared" si="126"/>
        <v>0</v>
      </c>
      <c r="AH144">
        <f t="shared" si="127"/>
        <v>0</v>
      </c>
      <c r="AI144">
        <f t="shared" si="128"/>
        <v>0</v>
      </c>
      <c r="AJ144">
        <f t="shared" si="129"/>
        <v>0</v>
      </c>
      <c r="AK144">
        <f t="shared" si="130"/>
        <v>0</v>
      </c>
      <c r="AL144">
        <f t="shared" si="131"/>
        <v>0</v>
      </c>
      <c r="AM144">
        <f t="shared" si="132"/>
        <v>0</v>
      </c>
      <c r="AN144">
        <f t="shared" si="133"/>
        <v>0</v>
      </c>
      <c r="AO144">
        <f t="shared" si="134"/>
        <v>0</v>
      </c>
      <c r="AP144">
        <f t="shared" si="135"/>
        <v>0</v>
      </c>
      <c r="AQ144">
        <f t="shared" si="136"/>
        <v>0</v>
      </c>
      <c r="AR144">
        <f t="shared" si="137"/>
        <v>0</v>
      </c>
      <c r="AS144">
        <f t="shared" si="138"/>
        <v>0</v>
      </c>
      <c r="AT144">
        <f t="shared" si="139"/>
        <v>0</v>
      </c>
      <c r="AU144">
        <f t="shared" si="140"/>
        <v>0</v>
      </c>
      <c r="AV144">
        <f t="shared" si="141"/>
        <v>0</v>
      </c>
      <c r="AW144">
        <f t="shared" si="96"/>
        <v>0</v>
      </c>
      <c r="AX144">
        <f t="shared" si="142"/>
        <v>0</v>
      </c>
      <c r="AY144">
        <f t="shared" si="143"/>
        <v>0</v>
      </c>
    </row>
    <row r="145" spans="1:51" x14ac:dyDescent="0.35">
      <c r="A145">
        <v>139</v>
      </c>
      <c r="C145">
        <f>MAX(0,Calc!$C$7-SUM(D145:R145))</f>
        <v>750</v>
      </c>
      <c r="D145">
        <f t="shared" si="97"/>
        <v>0</v>
      </c>
      <c r="E145">
        <f t="shared" si="98"/>
        <v>0</v>
      </c>
      <c r="F145">
        <f t="shared" si="99"/>
        <v>0</v>
      </c>
      <c r="G145">
        <f t="shared" si="100"/>
        <v>0</v>
      </c>
      <c r="H145">
        <f t="shared" si="101"/>
        <v>0</v>
      </c>
      <c r="I145">
        <f t="shared" si="102"/>
        <v>0</v>
      </c>
      <c r="J145">
        <f t="shared" si="103"/>
        <v>0</v>
      </c>
      <c r="K145">
        <f t="shared" si="104"/>
        <v>0</v>
      </c>
      <c r="L145">
        <f t="shared" si="105"/>
        <v>0</v>
      </c>
      <c r="M145">
        <f t="shared" si="106"/>
        <v>0</v>
      </c>
      <c r="N145">
        <f t="shared" si="107"/>
        <v>0</v>
      </c>
      <c r="O145">
        <f t="shared" si="108"/>
        <v>0</v>
      </c>
      <c r="P145">
        <f t="shared" si="109"/>
        <v>0</v>
      </c>
      <c r="Q145">
        <f t="shared" si="110"/>
        <v>0</v>
      </c>
      <c r="R145">
        <f t="shared" si="111"/>
        <v>0</v>
      </c>
      <c r="S145">
        <f t="shared" si="112"/>
        <v>0</v>
      </c>
      <c r="T145">
        <f t="shared" si="113"/>
        <v>0</v>
      </c>
      <c r="U145">
        <f t="shared" si="114"/>
        <v>0</v>
      </c>
      <c r="V145">
        <f t="shared" si="115"/>
        <v>0</v>
      </c>
      <c r="W145">
        <f t="shared" si="116"/>
        <v>0</v>
      </c>
      <c r="X145">
        <f t="shared" si="117"/>
        <v>0</v>
      </c>
      <c r="Y145">
        <f t="shared" si="118"/>
        <v>0</v>
      </c>
      <c r="Z145">
        <f t="shared" si="119"/>
        <v>0</v>
      </c>
      <c r="AA145">
        <f t="shared" si="120"/>
        <v>0</v>
      </c>
      <c r="AB145">
        <f t="shared" si="121"/>
        <v>0</v>
      </c>
      <c r="AC145">
        <f t="shared" si="122"/>
        <v>0</v>
      </c>
      <c r="AD145">
        <f t="shared" si="123"/>
        <v>0</v>
      </c>
      <c r="AE145">
        <f t="shared" si="124"/>
        <v>0</v>
      </c>
      <c r="AF145">
        <f t="shared" si="125"/>
        <v>0</v>
      </c>
      <c r="AG145">
        <f t="shared" si="126"/>
        <v>0</v>
      </c>
      <c r="AH145">
        <f t="shared" si="127"/>
        <v>0</v>
      </c>
      <c r="AI145">
        <f t="shared" si="128"/>
        <v>0</v>
      </c>
      <c r="AJ145">
        <f t="shared" si="129"/>
        <v>0</v>
      </c>
      <c r="AK145">
        <f t="shared" si="130"/>
        <v>0</v>
      </c>
      <c r="AL145">
        <f t="shared" si="131"/>
        <v>0</v>
      </c>
      <c r="AM145">
        <f t="shared" si="132"/>
        <v>0</v>
      </c>
      <c r="AN145">
        <f t="shared" si="133"/>
        <v>0</v>
      </c>
      <c r="AO145">
        <f t="shared" si="134"/>
        <v>0</v>
      </c>
      <c r="AP145">
        <f t="shared" si="135"/>
        <v>0</v>
      </c>
      <c r="AQ145">
        <f t="shared" si="136"/>
        <v>0</v>
      </c>
      <c r="AR145">
        <f t="shared" si="137"/>
        <v>0</v>
      </c>
      <c r="AS145">
        <f t="shared" si="138"/>
        <v>0</v>
      </c>
      <c r="AT145">
        <f t="shared" si="139"/>
        <v>0</v>
      </c>
      <c r="AU145">
        <f t="shared" si="140"/>
        <v>0</v>
      </c>
      <c r="AV145">
        <f t="shared" si="141"/>
        <v>0</v>
      </c>
      <c r="AW145">
        <f t="shared" si="96"/>
        <v>0</v>
      </c>
      <c r="AX145">
        <f t="shared" si="142"/>
        <v>0</v>
      </c>
      <c r="AY145">
        <f t="shared" si="143"/>
        <v>0</v>
      </c>
    </row>
    <row r="146" spans="1:51" x14ac:dyDescent="0.35">
      <c r="A146">
        <v>140</v>
      </c>
      <c r="C146">
        <f>MAX(0,Calc!$C$7-SUM(D146:R146))</f>
        <v>750</v>
      </c>
      <c r="D146">
        <f t="shared" si="97"/>
        <v>0</v>
      </c>
      <c r="E146">
        <f t="shared" si="98"/>
        <v>0</v>
      </c>
      <c r="F146">
        <f t="shared" si="99"/>
        <v>0</v>
      </c>
      <c r="G146">
        <f t="shared" si="100"/>
        <v>0</v>
      </c>
      <c r="H146">
        <f t="shared" si="101"/>
        <v>0</v>
      </c>
      <c r="I146">
        <f t="shared" si="102"/>
        <v>0</v>
      </c>
      <c r="J146">
        <f t="shared" si="103"/>
        <v>0</v>
      </c>
      <c r="K146">
        <f t="shared" si="104"/>
        <v>0</v>
      </c>
      <c r="L146">
        <f t="shared" si="105"/>
        <v>0</v>
      </c>
      <c r="M146">
        <f t="shared" si="106"/>
        <v>0</v>
      </c>
      <c r="N146">
        <f t="shared" si="107"/>
        <v>0</v>
      </c>
      <c r="O146">
        <f t="shared" si="108"/>
        <v>0</v>
      </c>
      <c r="P146">
        <f t="shared" si="109"/>
        <v>0</v>
      </c>
      <c r="Q146">
        <f t="shared" si="110"/>
        <v>0</v>
      </c>
      <c r="R146">
        <f t="shared" si="111"/>
        <v>0</v>
      </c>
      <c r="S146">
        <f t="shared" si="112"/>
        <v>0</v>
      </c>
      <c r="T146">
        <f t="shared" si="113"/>
        <v>0</v>
      </c>
      <c r="U146">
        <f t="shared" si="114"/>
        <v>0</v>
      </c>
      <c r="V146">
        <f t="shared" si="115"/>
        <v>0</v>
      </c>
      <c r="W146">
        <f t="shared" si="116"/>
        <v>0</v>
      </c>
      <c r="X146">
        <f t="shared" si="117"/>
        <v>0</v>
      </c>
      <c r="Y146">
        <f t="shared" si="118"/>
        <v>0</v>
      </c>
      <c r="Z146">
        <f t="shared" si="119"/>
        <v>0</v>
      </c>
      <c r="AA146">
        <f t="shared" si="120"/>
        <v>0</v>
      </c>
      <c r="AB146">
        <f t="shared" si="121"/>
        <v>0</v>
      </c>
      <c r="AC146">
        <f t="shared" si="122"/>
        <v>0</v>
      </c>
      <c r="AD146">
        <f t="shared" si="123"/>
        <v>0</v>
      </c>
      <c r="AE146">
        <f t="shared" si="124"/>
        <v>0</v>
      </c>
      <c r="AF146">
        <f t="shared" si="125"/>
        <v>0</v>
      </c>
      <c r="AG146">
        <f t="shared" si="126"/>
        <v>0</v>
      </c>
      <c r="AH146">
        <f t="shared" si="127"/>
        <v>0</v>
      </c>
      <c r="AI146">
        <f t="shared" si="128"/>
        <v>0</v>
      </c>
      <c r="AJ146">
        <f t="shared" si="129"/>
        <v>0</v>
      </c>
      <c r="AK146">
        <f t="shared" si="130"/>
        <v>0</v>
      </c>
      <c r="AL146">
        <f t="shared" si="131"/>
        <v>0</v>
      </c>
      <c r="AM146">
        <f t="shared" si="132"/>
        <v>0</v>
      </c>
      <c r="AN146">
        <f t="shared" si="133"/>
        <v>0</v>
      </c>
      <c r="AO146">
        <f t="shared" si="134"/>
        <v>0</v>
      </c>
      <c r="AP146">
        <f t="shared" si="135"/>
        <v>0</v>
      </c>
      <c r="AQ146">
        <f t="shared" si="136"/>
        <v>0</v>
      </c>
      <c r="AR146">
        <f t="shared" si="137"/>
        <v>0</v>
      </c>
      <c r="AS146">
        <f t="shared" si="138"/>
        <v>0</v>
      </c>
      <c r="AT146">
        <f t="shared" si="139"/>
        <v>0</v>
      </c>
      <c r="AU146">
        <f t="shared" si="140"/>
        <v>0</v>
      </c>
      <c r="AV146">
        <f t="shared" si="141"/>
        <v>0</v>
      </c>
      <c r="AW146">
        <f t="shared" si="96"/>
        <v>0</v>
      </c>
      <c r="AX146">
        <f t="shared" si="142"/>
        <v>0</v>
      </c>
      <c r="AY146">
        <f t="shared" si="143"/>
        <v>0</v>
      </c>
    </row>
    <row r="147" spans="1:51" x14ac:dyDescent="0.35">
      <c r="A147">
        <v>141</v>
      </c>
      <c r="C147">
        <f>MAX(0,Calc!$C$7-SUM(D147:R147))</f>
        <v>750</v>
      </c>
      <c r="D147">
        <f t="shared" si="97"/>
        <v>0</v>
      </c>
      <c r="E147">
        <f t="shared" si="98"/>
        <v>0</v>
      </c>
      <c r="F147">
        <f t="shared" si="99"/>
        <v>0</v>
      </c>
      <c r="G147">
        <f t="shared" si="100"/>
        <v>0</v>
      </c>
      <c r="H147">
        <f t="shared" si="101"/>
        <v>0</v>
      </c>
      <c r="I147">
        <f t="shared" si="102"/>
        <v>0</v>
      </c>
      <c r="J147">
        <f t="shared" si="103"/>
        <v>0</v>
      </c>
      <c r="K147">
        <f t="shared" si="104"/>
        <v>0</v>
      </c>
      <c r="L147">
        <f t="shared" si="105"/>
        <v>0</v>
      </c>
      <c r="M147">
        <f t="shared" si="106"/>
        <v>0</v>
      </c>
      <c r="N147">
        <f t="shared" si="107"/>
        <v>0</v>
      </c>
      <c r="O147">
        <f t="shared" si="108"/>
        <v>0</v>
      </c>
      <c r="P147">
        <f t="shared" si="109"/>
        <v>0</v>
      </c>
      <c r="Q147">
        <f t="shared" si="110"/>
        <v>0</v>
      </c>
      <c r="R147">
        <f t="shared" si="111"/>
        <v>0</v>
      </c>
      <c r="S147">
        <f t="shared" si="112"/>
        <v>0</v>
      </c>
      <c r="T147">
        <f t="shared" si="113"/>
        <v>0</v>
      </c>
      <c r="U147">
        <f t="shared" si="114"/>
        <v>0</v>
      </c>
      <c r="V147">
        <f t="shared" si="115"/>
        <v>0</v>
      </c>
      <c r="W147">
        <f t="shared" si="116"/>
        <v>0</v>
      </c>
      <c r="X147">
        <f t="shared" si="117"/>
        <v>0</v>
      </c>
      <c r="Y147">
        <f t="shared" si="118"/>
        <v>0</v>
      </c>
      <c r="Z147">
        <f t="shared" si="119"/>
        <v>0</v>
      </c>
      <c r="AA147">
        <f t="shared" si="120"/>
        <v>0</v>
      </c>
      <c r="AB147">
        <f t="shared" si="121"/>
        <v>0</v>
      </c>
      <c r="AC147">
        <f t="shared" si="122"/>
        <v>0</v>
      </c>
      <c r="AD147">
        <f t="shared" si="123"/>
        <v>0</v>
      </c>
      <c r="AE147">
        <f t="shared" si="124"/>
        <v>0</v>
      </c>
      <c r="AF147">
        <f t="shared" si="125"/>
        <v>0</v>
      </c>
      <c r="AG147">
        <f t="shared" si="126"/>
        <v>0</v>
      </c>
      <c r="AH147">
        <f t="shared" si="127"/>
        <v>0</v>
      </c>
      <c r="AI147">
        <f t="shared" si="128"/>
        <v>0</v>
      </c>
      <c r="AJ147">
        <f t="shared" si="129"/>
        <v>0</v>
      </c>
      <c r="AK147">
        <f t="shared" si="130"/>
        <v>0</v>
      </c>
      <c r="AL147">
        <f t="shared" si="131"/>
        <v>0</v>
      </c>
      <c r="AM147">
        <f t="shared" si="132"/>
        <v>0</v>
      </c>
      <c r="AN147">
        <f t="shared" si="133"/>
        <v>0</v>
      </c>
      <c r="AO147">
        <f t="shared" si="134"/>
        <v>0</v>
      </c>
      <c r="AP147">
        <f t="shared" si="135"/>
        <v>0</v>
      </c>
      <c r="AQ147">
        <f t="shared" si="136"/>
        <v>0</v>
      </c>
      <c r="AR147">
        <f t="shared" si="137"/>
        <v>0</v>
      </c>
      <c r="AS147">
        <f t="shared" si="138"/>
        <v>0</v>
      </c>
      <c r="AT147">
        <f t="shared" si="139"/>
        <v>0</v>
      </c>
      <c r="AU147">
        <f t="shared" si="140"/>
        <v>0</v>
      </c>
      <c r="AV147">
        <f t="shared" si="141"/>
        <v>0</v>
      </c>
      <c r="AW147">
        <f t="shared" si="96"/>
        <v>0</v>
      </c>
      <c r="AX147">
        <f t="shared" si="142"/>
        <v>0</v>
      </c>
      <c r="AY147">
        <f t="shared" si="143"/>
        <v>0</v>
      </c>
    </row>
    <row r="148" spans="1:51" x14ac:dyDescent="0.35">
      <c r="A148">
        <v>142</v>
      </c>
      <c r="C148">
        <f>MAX(0,Calc!$C$7-SUM(D148:R148))</f>
        <v>750</v>
      </c>
      <c r="D148">
        <f t="shared" si="97"/>
        <v>0</v>
      </c>
      <c r="E148">
        <f t="shared" si="98"/>
        <v>0</v>
      </c>
      <c r="F148">
        <f t="shared" si="99"/>
        <v>0</v>
      </c>
      <c r="G148">
        <f t="shared" si="100"/>
        <v>0</v>
      </c>
      <c r="H148">
        <f t="shared" si="101"/>
        <v>0</v>
      </c>
      <c r="I148">
        <f t="shared" si="102"/>
        <v>0</v>
      </c>
      <c r="J148">
        <f t="shared" si="103"/>
        <v>0</v>
      </c>
      <c r="K148">
        <f t="shared" si="104"/>
        <v>0</v>
      </c>
      <c r="L148">
        <f t="shared" si="105"/>
        <v>0</v>
      </c>
      <c r="M148">
        <f t="shared" si="106"/>
        <v>0</v>
      </c>
      <c r="N148">
        <f t="shared" si="107"/>
        <v>0</v>
      </c>
      <c r="O148">
        <f t="shared" si="108"/>
        <v>0</v>
      </c>
      <c r="P148">
        <f t="shared" si="109"/>
        <v>0</v>
      </c>
      <c r="Q148">
        <f t="shared" si="110"/>
        <v>0</v>
      </c>
      <c r="R148">
        <f t="shared" si="111"/>
        <v>0</v>
      </c>
      <c r="S148">
        <f t="shared" si="112"/>
        <v>0</v>
      </c>
      <c r="T148">
        <f t="shared" si="113"/>
        <v>0</v>
      </c>
      <c r="U148">
        <f t="shared" si="114"/>
        <v>0</v>
      </c>
      <c r="V148">
        <f t="shared" si="115"/>
        <v>0</v>
      </c>
      <c r="W148">
        <f t="shared" si="116"/>
        <v>0</v>
      </c>
      <c r="X148">
        <f t="shared" si="117"/>
        <v>0</v>
      </c>
      <c r="Y148">
        <f t="shared" si="118"/>
        <v>0</v>
      </c>
      <c r="Z148">
        <f t="shared" si="119"/>
        <v>0</v>
      </c>
      <c r="AA148">
        <f t="shared" si="120"/>
        <v>0</v>
      </c>
      <c r="AB148">
        <f t="shared" si="121"/>
        <v>0</v>
      </c>
      <c r="AC148">
        <f t="shared" si="122"/>
        <v>0</v>
      </c>
      <c r="AD148">
        <f t="shared" si="123"/>
        <v>0</v>
      </c>
      <c r="AE148">
        <f t="shared" si="124"/>
        <v>0</v>
      </c>
      <c r="AF148">
        <f t="shared" si="125"/>
        <v>0</v>
      </c>
      <c r="AG148">
        <f t="shared" si="126"/>
        <v>0</v>
      </c>
      <c r="AH148">
        <f t="shared" si="127"/>
        <v>0</v>
      </c>
      <c r="AI148">
        <f t="shared" si="128"/>
        <v>0</v>
      </c>
      <c r="AJ148">
        <f t="shared" si="129"/>
        <v>0</v>
      </c>
      <c r="AK148">
        <f t="shared" si="130"/>
        <v>0</v>
      </c>
      <c r="AL148">
        <f t="shared" si="131"/>
        <v>0</v>
      </c>
      <c r="AM148">
        <f t="shared" si="132"/>
        <v>0</v>
      </c>
      <c r="AN148">
        <f t="shared" si="133"/>
        <v>0</v>
      </c>
      <c r="AO148">
        <f t="shared" si="134"/>
        <v>0</v>
      </c>
      <c r="AP148">
        <f t="shared" si="135"/>
        <v>0</v>
      </c>
      <c r="AQ148">
        <f t="shared" si="136"/>
        <v>0</v>
      </c>
      <c r="AR148">
        <f t="shared" si="137"/>
        <v>0</v>
      </c>
      <c r="AS148">
        <f t="shared" si="138"/>
        <v>0</v>
      </c>
      <c r="AT148">
        <f t="shared" si="139"/>
        <v>0</v>
      </c>
      <c r="AU148">
        <f t="shared" si="140"/>
        <v>0</v>
      </c>
      <c r="AV148">
        <f t="shared" si="141"/>
        <v>0</v>
      </c>
      <c r="AW148">
        <f t="shared" si="96"/>
        <v>0</v>
      </c>
      <c r="AX148">
        <f t="shared" si="142"/>
        <v>0</v>
      </c>
      <c r="AY148">
        <f t="shared" si="143"/>
        <v>0</v>
      </c>
    </row>
    <row r="149" spans="1:51" x14ac:dyDescent="0.35">
      <c r="A149">
        <v>143</v>
      </c>
      <c r="C149">
        <f>MAX(0,Calc!$C$7-SUM(D149:R149))</f>
        <v>750</v>
      </c>
      <c r="D149">
        <f t="shared" si="97"/>
        <v>0</v>
      </c>
      <c r="E149">
        <f t="shared" si="98"/>
        <v>0</v>
      </c>
      <c r="F149">
        <f t="shared" si="99"/>
        <v>0</v>
      </c>
      <c r="G149">
        <f t="shared" si="100"/>
        <v>0</v>
      </c>
      <c r="H149">
        <f t="shared" si="101"/>
        <v>0</v>
      </c>
      <c r="I149">
        <f t="shared" si="102"/>
        <v>0</v>
      </c>
      <c r="J149">
        <f t="shared" si="103"/>
        <v>0</v>
      </c>
      <c r="K149">
        <f t="shared" si="104"/>
        <v>0</v>
      </c>
      <c r="L149">
        <f t="shared" si="105"/>
        <v>0</v>
      </c>
      <c r="M149">
        <f t="shared" si="106"/>
        <v>0</v>
      </c>
      <c r="N149">
        <f t="shared" si="107"/>
        <v>0</v>
      </c>
      <c r="O149">
        <f t="shared" si="108"/>
        <v>0</v>
      </c>
      <c r="P149">
        <f t="shared" si="109"/>
        <v>0</v>
      </c>
      <c r="Q149">
        <f t="shared" si="110"/>
        <v>0</v>
      </c>
      <c r="R149">
        <f t="shared" si="111"/>
        <v>0</v>
      </c>
      <c r="S149">
        <f t="shared" si="112"/>
        <v>0</v>
      </c>
      <c r="T149">
        <f t="shared" si="113"/>
        <v>0</v>
      </c>
      <c r="U149">
        <f t="shared" si="114"/>
        <v>0</v>
      </c>
      <c r="V149">
        <f t="shared" si="115"/>
        <v>0</v>
      </c>
      <c r="W149">
        <f t="shared" si="116"/>
        <v>0</v>
      </c>
      <c r="X149">
        <f t="shared" si="117"/>
        <v>0</v>
      </c>
      <c r="Y149">
        <f t="shared" si="118"/>
        <v>0</v>
      </c>
      <c r="Z149">
        <f t="shared" si="119"/>
        <v>0</v>
      </c>
      <c r="AA149">
        <f t="shared" si="120"/>
        <v>0</v>
      </c>
      <c r="AB149">
        <f t="shared" si="121"/>
        <v>0</v>
      </c>
      <c r="AC149">
        <f t="shared" si="122"/>
        <v>0</v>
      </c>
      <c r="AD149">
        <f t="shared" si="123"/>
        <v>0</v>
      </c>
      <c r="AE149">
        <f t="shared" si="124"/>
        <v>0</v>
      </c>
      <c r="AF149">
        <f t="shared" si="125"/>
        <v>0</v>
      </c>
      <c r="AG149">
        <f t="shared" si="126"/>
        <v>0</v>
      </c>
      <c r="AH149">
        <f t="shared" si="127"/>
        <v>0</v>
      </c>
      <c r="AI149">
        <f t="shared" si="128"/>
        <v>0</v>
      </c>
      <c r="AJ149">
        <f t="shared" si="129"/>
        <v>0</v>
      </c>
      <c r="AK149">
        <f t="shared" si="130"/>
        <v>0</v>
      </c>
      <c r="AL149">
        <f t="shared" si="131"/>
        <v>0</v>
      </c>
      <c r="AM149">
        <f t="shared" si="132"/>
        <v>0</v>
      </c>
      <c r="AN149">
        <f t="shared" si="133"/>
        <v>0</v>
      </c>
      <c r="AO149">
        <f t="shared" si="134"/>
        <v>0</v>
      </c>
      <c r="AP149">
        <f t="shared" si="135"/>
        <v>0</v>
      </c>
      <c r="AQ149">
        <f t="shared" si="136"/>
        <v>0</v>
      </c>
      <c r="AR149">
        <f t="shared" si="137"/>
        <v>0</v>
      </c>
      <c r="AS149">
        <f t="shared" si="138"/>
        <v>0</v>
      </c>
      <c r="AT149">
        <f t="shared" si="139"/>
        <v>0</v>
      </c>
      <c r="AU149">
        <f t="shared" si="140"/>
        <v>0</v>
      </c>
      <c r="AV149">
        <f t="shared" si="141"/>
        <v>0</v>
      </c>
      <c r="AW149">
        <f t="shared" si="96"/>
        <v>0</v>
      </c>
      <c r="AX149">
        <f t="shared" si="142"/>
        <v>0</v>
      </c>
      <c r="AY149">
        <f t="shared" si="143"/>
        <v>0</v>
      </c>
    </row>
    <row r="150" spans="1:51" x14ac:dyDescent="0.35">
      <c r="A150">
        <v>144</v>
      </c>
      <c r="C150">
        <f>MAX(0,Calc!$C$7-SUM(D150:R150))</f>
        <v>750</v>
      </c>
      <c r="D150">
        <f t="shared" si="97"/>
        <v>0</v>
      </c>
      <c r="E150">
        <f t="shared" si="98"/>
        <v>0</v>
      </c>
      <c r="F150">
        <f t="shared" si="99"/>
        <v>0</v>
      </c>
      <c r="G150">
        <f t="shared" si="100"/>
        <v>0</v>
      </c>
      <c r="H150">
        <f t="shared" si="101"/>
        <v>0</v>
      </c>
      <c r="I150">
        <f t="shared" si="102"/>
        <v>0</v>
      </c>
      <c r="J150">
        <f t="shared" si="103"/>
        <v>0</v>
      </c>
      <c r="K150">
        <f t="shared" si="104"/>
        <v>0</v>
      </c>
      <c r="L150">
        <f t="shared" si="105"/>
        <v>0</v>
      </c>
      <c r="M150">
        <f t="shared" si="106"/>
        <v>0</v>
      </c>
      <c r="N150">
        <f t="shared" si="107"/>
        <v>0</v>
      </c>
      <c r="O150">
        <f t="shared" si="108"/>
        <v>0</v>
      </c>
      <c r="P150">
        <f t="shared" si="109"/>
        <v>0</v>
      </c>
      <c r="Q150">
        <f t="shared" si="110"/>
        <v>0</v>
      </c>
      <c r="R150">
        <f t="shared" si="111"/>
        <v>0</v>
      </c>
      <c r="S150">
        <f t="shared" si="112"/>
        <v>0</v>
      </c>
      <c r="T150">
        <f t="shared" si="113"/>
        <v>0</v>
      </c>
      <c r="U150">
        <f t="shared" si="114"/>
        <v>0</v>
      </c>
      <c r="V150">
        <f t="shared" si="115"/>
        <v>0</v>
      </c>
      <c r="W150">
        <f t="shared" si="116"/>
        <v>0</v>
      </c>
      <c r="X150">
        <f t="shared" si="117"/>
        <v>0</v>
      </c>
      <c r="Y150">
        <f t="shared" si="118"/>
        <v>0</v>
      </c>
      <c r="Z150">
        <f t="shared" si="119"/>
        <v>0</v>
      </c>
      <c r="AA150">
        <f t="shared" si="120"/>
        <v>0</v>
      </c>
      <c r="AB150">
        <f t="shared" si="121"/>
        <v>0</v>
      </c>
      <c r="AC150">
        <f t="shared" si="122"/>
        <v>0</v>
      </c>
      <c r="AD150">
        <f t="shared" si="123"/>
        <v>0</v>
      </c>
      <c r="AE150">
        <f t="shared" si="124"/>
        <v>0</v>
      </c>
      <c r="AF150">
        <f t="shared" si="125"/>
        <v>0</v>
      </c>
      <c r="AG150">
        <f t="shared" si="126"/>
        <v>0</v>
      </c>
      <c r="AH150">
        <f t="shared" si="127"/>
        <v>0</v>
      </c>
      <c r="AI150">
        <f t="shared" si="128"/>
        <v>0</v>
      </c>
      <c r="AJ150">
        <f t="shared" si="129"/>
        <v>0</v>
      </c>
      <c r="AK150">
        <f t="shared" si="130"/>
        <v>0</v>
      </c>
      <c r="AL150">
        <f t="shared" si="131"/>
        <v>0</v>
      </c>
      <c r="AM150">
        <f t="shared" si="132"/>
        <v>0</v>
      </c>
      <c r="AN150">
        <f t="shared" si="133"/>
        <v>0</v>
      </c>
      <c r="AO150">
        <f t="shared" si="134"/>
        <v>0</v>
      </c>
      <c r="AP150">
        <f t="shared" si="135"/>
        <v>0</v>
      </c>
      <c r="AQ150">
        <f t="shared" si="136"/>
        <v>0</v>
      </c>
      <c r="AR150">
        <f t="shared" si="137"/>
        <v>0</v>
      </c>
      <c r="AS150">
        <f t="shared" si="138"/>
        <v>0</v>
      </c>
      <c r="AT150">
        <f t="shared" si="139"/>
        <v>0</v>
      </c>
      <c r="AU150">
        <f t="shared" si="140"/>
        <v>0</v>
      </c>
      <c r="AV150">
        <f t="shared" si="141"/>
        <v>0</v>
      </c>
      <c r="AW150">
        <f t="shared" si="96"/>
        <v>0</v>
      </c>
      <c r="AX150">
        <f t="shared" si="142"/>
        <v>0</v>
      </c>
      <c r="AY150">
        <f t="shared" si="143"/>
        <v>0</v>
      </c>
    </row>
    <row r="151" spans="1:51" x14ac:dyDescent="0.35">
      <c r="A151">
        <v>145</v>
      </c>
      <c r="C151">
        <f>MAX(0,Calc!$C$7-SUM(D151:R151))</f>
        <v>750</v>
      </c>
      <c r="D151">
        <f t="shared" si="97"/>
        <v>0</v>
      </c>
      <c r="E151">
        <f t="shared" si="98"/>
        <v>0</v>
      </c>
      <c r="F151">
        <f t="shared" si="99"/>
        <v>0</v>
      </c>
      <c r="G151">
        <f t="shared" si="100"/>
        <v>0</v>
      </c>
      <c r="H151">
        <f t="shared" si="101"/>
        <v>0</v>
      </c>
      <c r="I151">
        <f t="shared" si="102"/>
        <v>0</v>
      </c>
      <c r="J151">
        <f t="shared" si="103"/>
        <v>0</v>
      </c>
      <c r="K151">
        <f t="shared" si="104"/>
        <v>0</v>
      </c>
      <c r="L151">
        <f t="shared" si="105"/>
        <v>0</v>
      </c>
      <c r="M151">
        <f t="shared" si="106"/>
        <v>0</v>
      </c>
      <c r="N151">
        <f t="shared" si="107"/>
        <v>0</v>
      </c>
      <c r="O151">
        <f t="shared" si="108"/>
        <v>0</v>
      </c>
      <c r="P151">
        <f t="shared" si="109"/>
        <v>0</v>
      </c>
      <c r="Q151">
        <f t="shared" si="110"/>
        <v>0</v>
      </c>
      <c r="R151">
        <f t="shared" si="111"/>
        <v>0</v>
      </c>
      <c r="S151">
        <f t="shared" si="112"/>
        <v>0</v>
      </c>
      <c r="T151">
        <f t="shared" si="113"/>
        <v>0</v>
      </c>
      <c r="U151">
        <f t="shared" si="114"/>
        <v>0</v>
      </c>
      <c r="V151">
        <f t="shared" si="115"/>
        <v>0</v>
      </c>
      <c r="W151">
        <f t="shared" si="116"/>
        <v>0</v>
      </c>
      <c r="X151">
        <f t="shared" si="117"/>
        <v>0</v>
      </c>
      <c r="Y151">
        <f t="shared" si="118"/>
        <v>0</v>
      </c>
      <c r="Z151">
        <f t="shared" si="119"/>
        <v>0</v>
      </c>
      <c r="AA151">
        <f t="shared" si="120"/>
        <v>0</v>
      </c>
      <c r="AB151">
        <f t="shared" si="121"/>
        <v>0</v>
      </c>
      <c r="AC151">
        <f t="shared" si="122"/>
        <v>0</v>
      </c>
      <c r="AD151">
        <f t="shared" si="123"/>
        <v>0</v>
      </c>
      <c r="AE151">
        <f t="shared" si="124"/>
        <v>0</v>
      </c>
      <c r="AF151">
        <f t="shared" si="125"/>
        <v>0</v>
      </c>
      <c r="AG151">
        <f t="shared" si="126"/>
        <v>0</v>
      </c>
      <c r="AH151">
        <f t="shared" si="127"/>
        <v>0</v>
      </c>
      <c r="AI151">
        <f t="shared" si="128"/>
        <v>0</v>
      </c>
      <c r="AJ151">
        <f t="shared" si="129"/>
        <v>0</v>
      </c>
      <c r="AK151">
        <f t="shared" si="130"/>
        <v>0</v>
      </c>
      <c r="AL151">
        <f t="shared" si="131"/>
        <v>0</v>
      </c>
      <c r="AM151">
        <f t="shared" si="132"/>
        <v>0</v>
      </c>
      <c r="AN151">
        <f t="shared" si="133"/>
        <v>0</v>
      </c>
      <c r="AO151">
        <f t="shared" si="134"/>
        <v>0</v>
      </c>
      <c r="AP151">
        <f t="shared" si="135"/>
        <v>0</v>
      </c>
      <c r="AQ151">
        <f t="shared" si="136"/>
        <v>0</v>
      </c>
      <c r="AR151">
        <f t="shared" si="137"/>
        <v>0</v>
      </c>
      <c r="AS151">
        <f t="shared" si="138"/>
        <v>0</v>
      </c>
      <c r="AT151">
        <f t="shared" si="139"/>
        <v>0</v>
      </c>
      <c r="AU151">
        <f t="shared" si="140"/>
        <v>0</v>
      </c>
      <c r="AV151">
        <f t="shared" si="141"/>
        <v>0</v>
      </c>
      <c r="AW151">
        <f t="shared" si="96"/>
        <v>0</v>
      </c>
      <c r="AX151">
        <f t="shared" si="142"/>
        <v>0</v>
      </c>
      <c r="AY151">
        <f t="shared" si="143"/>
        <v>0</v>
      </c>
    </row>
    <row r="152" spans="1:51" x14ac:dyDescent="0.35">
      <c r="A152">
        <v>146</v>
      </c>
      <c r="C152">
        <f>MAX(0,Calc!$C$7-SUM(D152:R152))</f>
        <v>750</v>
      </c>
      <c r="D152">
        <f t="shared" si="97"/>
        <v>0</v>
      </c>
      <c r="E152">
        <f t="shared" si="98"/>
        <v>0</v>
      </c>
      <c r="F152">
        <f t="shared" si="99"/>
        <v>0</v>
      </c>
      <c r="G152">
        <f t="shared" si="100"/>
        <v>0</v>
      </c>
      <c r="H152">
        <f t="shared" si="101"/>
        <v>0</v>
      </c>
      <c r="I152">
        <f t="shared" si="102"/>
        <v>0</v>
      </c>
      <c r="J152">
        <f t="shared" si="103"/>
        <v>0</v>
      </c>
      <c r="K152">
        <f t="shared" si="104"/>
        <v>0</v>
      </c>
      <c r="L152">
        <f t="shared" si="105"/>
        <v>0</v>
      </c>
      <c r="M152">
        <f t="shared" si="106"/>
        <v>0</v>
      </c>
      <c r="N152">
        <f t="shared" si="107"/>
        <v>0</v>
      </c>
      <c r="O152">
        <f t="shared" si="108"/>
        <v>0</v>
      </c>
      <c r="P152">
        <f t="shared" si="109"/>
        <v>0</v>
      </c>
      <c r="Q152">
        <f t="shared" si="110"/>
        <v>0</v>
      </c>
      <c r="R152">
        <f t="shared" si="111"/>
        <v>0</v>
      </c>
      <c r="S152">
        <f t="shared" si="112"/>
        <v>0</v>
      </c>
      <c r="T152">
        <f t="shared" si="113"/>
        <v>0</v>
      </c>
      <c r="U152">
        <f t="shared" si="114"/>
        <v>0</v>
      </c>
      <c r="V152">
        <f t="shared" si="115"/>
        <v>0</v>
      </c>
      <c r="W152">
        <f t="shared" si="116"/>
        <v>0</v>
      </c>
      <c r="X152">
        <f t="shared" si="117"/>
        <v>0</v>
      </c>
      <c r="Y152">
        <f t="shared" si="118"/>
        <v>0</v>
      </c>
      <c r="Z152">
        <f t="shared" si="119"/>
        <v>0</v>
      </c>
      <c r="AA152">
        <f t="shared" si="120"/>
        <v>0</v>
      </c>
      <c r="AB152">
        <f t="shared" si="121"/>
        <v>0</v>
      </c>
      <c r="AC152">
        <f t="shared" si="122"/>
        <v>0</v>
      </c>
      <c r="AD152">
        <f t="shared" si="123"/>
        <v>0</v>
      </c>
      <c r="AE152">
        <f t="shared" si="124"/>
        <v>0</v>
      </c>
      <c r="AF152">
        <f t="shared" si="125"/>
        <v>0</v>
      </c>
      <c r="AG152">
        <f t="shared" si="126"/>
        <v>0</v>
      </c>
      <c r="AH152">
        <f t="shared" si="127"/>
        <v>0</v>
      </c>
      <c r="AI152">
        <f t="shared" si="128"/>
        <v>0</v>
      </c>
      <c r="AJ152">
        <f t="shared" si="129"/>
        <v>0</v>
      </c>
      <c r="AK152">
        <f t="shared" si="130"/>
        <v>0</v>
      </c>
      <c r="AL152">
        <f t="shared" si="131"/>
        <v>0</v>
      </c>
      <c r="AM152">
        <f t="shared" si="132"/>
        <v>0</v>
      </c>
      <c r="AN152">
        <f t="shared" si="133"/>
        <v>0</v>
      </c>
      <c r="AO152">
        <f t="shared" si="134"/>
        <v>0</v>
      </c>
      <c r="AP152">
        <f t="shared" si="135"/>
        <v>0</v>
      </c>
      <c r="AQ152">
        <f t="shared" si="136"/>
        <v>0</v>
      </c>
      <c r="AR152">
        <f t="shared" si="137"/>
        <v>0</v>
      </c>
      <c r="AS152">
        <f t="shared" si="138"/>
        <v>0</v>
      </c>
      <c r="AT152">
        <f t="shared" si="139"/>
        <v>0</v>
      </c>
      <c r="AU152">
        <f t="shared" si="140"/>
        <v>0</v>
      </c>
      <c r="AV152">
        <f t="shared" si="141"/>
        <v>0</v>
      </c>
      <c r="AW152">
        <f t="shared" si="96"/>
        <v>0</v>
      </c>
      <c r="AX152">
        <f t="shared" si="142"/>
        <v>0</v>
      </c>
      <c r="AY152">
        <f t="shared" si="143"/>
        <v>0</v>
      </c>
    </row>
    <row r="153" spans="1:51" x14ac:dyDescent="0.35">
      <c r="A153">
        <v>147</v>
      </c>
      <c r="C153">
        <f>MAX(0,Calc!$C$7-SUM(D153:R153))</f>
        <v>750</v>
      </c>
      <c r="D153">
        <f t="shared" si="97"/>
        <v>0</v>
      </c>
      <c r="E153">
        <f t="shared" si="98"/>
        <v>0</v>
      </c>
      <c r="F153">
        <f t="shared" si="99"/>
        <v>0</v>
      </c>
      <c r="G153">
        <f t="shared" si="100"/>
        <v>0</v>
      </c>
      <c r="H153">
        <f t="shared" si="101"/>
        <v>0</v>
      </c>
      <c r="I153">
        <f t="shared" si="102"/>
        <v>0</v>
      </c>
      <c r="J153">
        <f t="shared" si="103"/>
        <v>0</v>
      </c>
      <c r="K153">
        <f t="shared" si="104"/>
        <v>0</v>
      </c>
      <c r="L153">
        <f t="shared" si="105"/>
        <v>0</v>
      </c>
      <c r="M153">
        <f t="shared" si="106"/>
        <v>0</v>
      </c>
      <c r="N153">
        <f t="shared" si="107"/>
        <v>0</v>
      </c>
      <c r="O153">
        <f t="shared" si="108"/>
        <v>0</v>
      </c>
      <c r="P153">
        <f t="shared" si="109"/>
        <v>0</v>
      </c>
      <c r="Q153">
        <f t="shared" si="110"/>
        <v>0</v>
      </c>
      <c r="R153">
        <f t="shared" si="111"/>
        <v>0</v>
      </c>
      <c r="S153">
        <f t="shared" si="112"/>
        <v>0</v>
      </c>
      <c r="T153">
        <f t="shared" si="113"/>
        <v>0</v>
      </c>
      <c r="U153">
        <f t="shared" si="114"/>
        <v>0</v>
      </c>
      <c r="V153">
        <f t="shared" si="115"/>
        <v>0</v>
      </c>
      <c r="W153">
        <f t="shared" si="116"/>
        <v>0</v>
      </c>
      <c r="X153">
        <f t="shared" si="117"/>
        <v>0</v>
      </c>
      <c r="Y153">
        <f t="shared" si="118"/>
        <v>0</v>
      </c>
      <c r="Z153">
        <f t="shared" si="119"/>
        <v>0</v>
      </c>
      <c r="AA153">
        <f t="shared" si="120"/>
        <v>0</v>
      </c>
      <c r="AB153">
        <f t="shared" si="121"/>
        <v>0</v>
      </c>
      <c r="AC153">
        <f t="shared" si="122"/>
        <v>0</v>
      </c>
      <c r="AD153">
        <f t="shared" si="123"/>
        <v>0</v>
      </c>
      <c r="AE153">
        <f t="shared" si="124"/>
        <v>0</v>
      </c>
      <c r="AF153">
        <f t="shared" si="125"/>
        <v>0</v>
      </c>
      <c r="AG153">
        <f t="shared" si="126"/>
        <v>0</v>
      </c>
      <c r="AH153">
        <f t="shared" si="127"/>
        <v>0</v>
      </c>
      <c r="AI153">
        <f t="shared" si="128"/>
        <v>0</v>
      </c>
      <c r="AJ153">
        <f t="shared" si="129"/>
        <v>0</v>
      </c>
      <c r="AK153">
        <f t="shared" si="130"/>
        <v>0</v>
      </c>
      <c r="AL153">
        <f t="shared" si="131"/>
        <v>0</v>
      </c>
      <c r="AM153">
        <f t="shared" si="132"/>
        <v>0</v>
      </c>
      <c r="AN153">
        <f t="shared" si="133"/>
        <v>0</v>
      </c>
      <c r="AO153">
        <f t="shared" si="134"/>
        <v>0</v>
      </c>
      <c r="AP153">
        <f t="shared" si="135"/>
        <v>0</v>
      </c>
      <c r="AQ153">
        <f t="shared" si="136"/>
        <v>0</v>
      </c>
      <c r="AR153">
        <f t="shared" si="137"/>
        <v>0</v>
      </c>
      <c r="AS153">
        <f t="shared" si="138"/>
        <v>0</v>
      </c>
      <c r="AT153">
        <f t="shared" si="139"/>
        <v>0</v>
      </c>
      <c r="AU153">
        <f t="shared" si="140"/>
        <v>0</v>
      </c>
      <c r="AV153">
        <f t="shared" si="141"/>
        <v>0</v>
      </c>
      <c r="AW153">
        <f t="shared" si="96"/>
        <v>0</v>
      </c>
      <c r="AX153">
        <f t="shared" si="142"/>
        <v>0</v>
      </c>
      <c r="AY153">
        <f t="shared" si="143"/>
        <v>0</v>
      </c>
    </row>
    <row r="154" spans="1:51" x14ac:dyDescent="0.35">
      <c r="A154">
        <v>148</v>
      </c>
      <c r="C154">
        <f>MAX(0,Calc!$C$7-SUM(D154:R154))</f>
        <v>750</v>
      </c>
      <c r="D154">
        <f t="shared" si="97"/>
        <v>0</v>
      </c>
      <c r="E154">
        <f t="shared" si="98"/>
        <v>0</v>
      </c>
      <c r="F154">
        <f t="shared" si="99"/>
        <v>0</v>
      </c>
      <c r="G154">
        <f t="shared" si="100"/>
        <v>0</v>
      </c>
      <c r="H154">
        <f t="shared" si="101"/>
        <v>0</v>
      </c>
      <c r="I154">
        <f t="shared" si="102"/>
        <v>0</v>
      </c>
      <c r="J154">
        <f t="shared" si="103"/>
        <v>0</v>
      </c>
      <c r="K154">
        <f t="shared" si="104"/>
        <v>0</v>
      </c>
      <c r="L154">
        <f t="shared" si="105"/>
        <v>0</v>
      </c>
      <c r="M154">
        <f t="shared" si="106"/>
        <v>0</v>
      </c>
      <c r="N154">
        <f t="shared" si="107"/>
        <v>0</v>
      </c>
      <c r="O154">
        <f t="shared" si="108"/>
        <v>0</v>
      </c>
      <c r="P154">
        <f t="shared" si="109"/>
        <v>0</v>
      </c>
      <c r="Q154">
        <f t="shared" si="110"/>
        <v>0</v>
      </c>
      <c r="R154">
        <f t="shared" si="111"/>
        <v>0</v>
      </c>
      <c r="S154">
        <f t="shared" si="112"/>
        <v>0</v>
      </c>
      <c r="T154">
        <f t="shared" si="113"/>
        <v>0</v>
      </c>
      <c r="U154">
        <f t="shared" si="114"/>
        <v>0</v>
      </c>
      <c r="V154">
        <f t="shared" si="115"/>
        <v>0</v>
      </c>
      <c r="W154">
        <f t="shared" si="116"/>
        <v>0</v>
      </c>
      <c r="X154">
        <f t="shared" si="117"/>
        <v>0</v>
      </c>
      <c r="Y154">
        <f t="shared" si="118"/>
        <v>0</v>
      </c>
      <c r="Z154">
        <f t="shared" si="119"/>
        <v>0</v>
      </c>
      <c r="AA154">
        <f t="shared" si="120"/>
        <v>0</v>
      </c>
      <c r="AB154">
        <f t="shared" si="121"/>
        <v>0</v>
      </c>
      <c r="AC154">
        <f t="shared" si="122"/>
        <v>0</v>
      </c>
      <c r="AD154">
        <f t="shared" si="123"/>
        <v>0</v>
      </c>
      <c r="AE154">
        <f t="shared" si="124"/>
        <v>0</v>
      </c>
      <c r="AF154">
        <f t="shared" si="125"/>
        <v>0</v>
      </c>
      <c r="AG154">
        <f t="shared" si="126"/>
        <v>0</v>
      </c>
      <c r="AH154">
        <f t="shared" si="127"/>
        <v>0</v>
      </c>
      <c r="AI154">
        <f t="shared" si="128"/>
        <v>0</v>
      </c>
      <c r="AJ154">
        <f t="shared" si="129"/>
        <v>0</v>
      </c>
      <c r="AK154">
        <f t="shared" si="130"/>
        <v>0</v>
      </c>
      <c r="AL154">
        <f t="shared" si="131"/>
        <v>0</v>
      </c>
      <c r="AM154">
        <f t="shared" si="132"/>
        <v>0</v>
      </c>
      <c r="AN154">
        <f t="shared" si="133"/>
        <v>0</v>
      </c>
      <c r="AO154">
        <f t="shared" si="134"/>
        <v>0</v>
      </c>
      <c r="AP154">
        <f t="shared" si="135"/>
        <v>0</v>
      </c>
      <c r="AQ154">
        <f t="shared" si="136"/>
        <v>0</v>
      </c>
      <c r="AR154">
        <f t="shared" si="137"/>
        <v>0</v>
      </c>
      <c r="AS154">
        <f t="shared" si="138"/>
        <v>0</v>
      </c>
      <c r="AT154">
        <f t="shared" si="139"/>
        <v>0</v>
      </c>
      <c r="AU154">
        <f t="shared" si="140"/>
        <v>0</v>
      </c>
      <c r="AV154">
        <f t="shared" si="141"/>
        <v>0</v>
      </c>
      <c r="AW154">
        <f t="shared" si="96"/>
        <v>0</v>
      </c>
      <c r="AX154">
        <f t="shared" si="142"/>
        <v>0</v>
      </c>
      <c r="AY154">
        <f t="shared" si="143"/>
        <v>0</v>
      </c>
    </row>
    <row r="155" spans="1:51" x14ac:dyDescent="0.35">
      <c r="A155">
        <v>149</v>
      </c>
      <c r="C155">
        <f>MAX(0,Calc!$C$7-SUM(D155:R155))</f>
        <v>750</v>
      </c>
      <c r="D155">
        <f t="shared" si="97"/>
        <v>0</v>
      </c>
      <c r="E155">
        <f t="shared" si="98"/>
        <v>0</v>
      </c>
      <c r="F155">
        <f t="shared" si="99"/>
        <v>0</v>
      </c>
      <c r="G155">
        <f t="shared" si="100"/>
        <v>0</v>
      </c>
      <c r="H155">
        <f t="shared" si="101"/>
        <v>0</v>
      </c>
      <c r="I155">
        <f t="shared" si="102"/>
        <v>0</v>
      </c>
      <c r="J155">
        <f t="shared" si="103"/>
        <v>0</v>
      </c>
      <c r="K155">
        <f t="shared" si="104"/>
        <v>0</v>
      </c>
      <c r="L155">
        <f t="shared" si="105"/>
        <v>0</v>
      </c>
      <c r="M155">
        <f t="shared" si="106"/>
        <v>0</v>
      </c>
      <c r="N155">
        <f t="shared" si="107"/>
        <v>0</v>
      </c>
      <c r="O155">
        <f t="shared" si="108"/>
        <v>0</v>
      </c>
      <c r="P155">
        <f t="shared" si="109"/>
        <v>0</v>
      </c>
      <c r="Q155">
        <f t="shared" si="110"/>
        <v>0</v>
      </c>
      <c r="R155">
        <f t="shared" si="111"/>
        <v>0</v>
      </c>
      <c r="S155">
        <f t="shared" si="112"/>
        <v>0</v>
      </c>
      <c r="T155">
        <f t="shared" si="113"/>
        <v>0</v>
      </c>
      <c r="U155">
        <f t="shared" si="114"/>
        <v>0</v>
      </c>
      <c r="V155">
        <f t="shared" si="115"/>
        <v>0</v>
      </c>
      <c r="W155">
        <f t="shared" si="116"/>
        <v>0</v>
      </c>
      <c r="X155">
        <f t="shared" si="117"/>
        <v>0</v>
      </c>
      <c r="Y155">
        <f t="shared" si="118"/>
        <v>0</v>
      </c>
      <c r="Z155">
        <f t="shared" si="119"/>
        <v>0</v>
      </c>
      <c r="AA155">
        <f t="shared" si="120"/>
        <v>0</v>
      </c>
      <c r="AB155">
        <f t="shared" si="121"/>
        <v>0</v>
      </c>
      <c r="AC155">
        <f t="shared" si="122"/>
        <v>0</v>
      </c>
      <c r="AD155">
        <f t="shared" si="123"/>
        <v>0</v>
      </c>
      <c r="AE155">
        <f t="shared" si="124"/>
        <v>0</v>
      </c>
      <c r="AF155">
        <f t="shared" si="125"/>
        <v>0</v>
      </c>
      <c r="AG155">
        <f t="shared" si="126"/>
        <v>0</v>
      </c>
      <c r="AH155">
        <f t="shared" si="127"/>
        <v>0</v>
      </c>
      <c r="AI155">
        <f t="shared" si="128"/>
        <v>0</v>
      </c>
      <c r="AJ155">
        <f t="shared" si="129"/>
        <v>0</v>
      </c>
      <c r="AK155">
        <f t="shared" si="130"/>
        <v>0</v>
      </c>
      <c r="AL155">
        <f t="shared" si="131"/>
        <v>0</v>
      </c>
      <c r="AM155">
        <f t="shared" si="132"/>
        <v>0</v>
      </c>
      <c r="AN155">
        <f t="shared" si="133"/>
        <v>0</v>
      </c>
      <c r="AO155">
        <f t="shared" si="134"/>
        <v>0</v>
      </c>
      <c r="AP155">
        <f t="shared" si="135"/>
        <v>0</v>
      </c>
      <c r="AQ155">
        <f t="shared" si="136"/>
        <v>0</v>
      </c>
      <c r="AR155">
        <f t="shared" si="137"/>
        <v>0</v>
      </c>
      <c r="AS155">
        <f t="shared" si="138"/>
        <v>0</v>
      </c>
      <c r="AT155">
        <f t="shared" si="139"/>
        <v>0</v>
      </c>
      <c r="AU155">
        <f t="shared" si="140"/>
        <v>0</v>
      </c>
      <c r="AV155">
        <f t="shared" si="141"/>
        <v>0</v>
      </c>
      <c r="AW155">
        <f t="shared" si="96"/>
        <v>0</v>
      </c>
      <c r="AX155">
        <f t="shared" si="142"/>
        <v>0</v>
      </c>
      <c r="AY155">
        <f t="shared" si="143"/>
        <v>0</v>
      </c>
    </row>
    <row r="156" spans="1:51" x14ac:dyDescent="0.35">
      <c r="A156">
        <v>150</v>
      </c>
      <c r="C156">
        <f>MAX(0,Calc!$C$7-SUM(D156:R156))</f>
        <v>750</v>
      </c>
      <c r="D156">
        <f t="shared" si="97"/>
        <v>0</v>
      </c>
      <c r="E156">
        <f t="shared" si="98"/>
        <v>0</v>
      </c>
      <c r="F156">
        <f t="shared" si="99"/>
        <v>0</v>
      </c>
      <c r="G156">
        <f t="shared" si="100"/>
        <v>0</v>
      </c>
      <c r="H156">
        <f t="shared" si="101"/>
        <v>0</v>
      </c>
      <c r="I156">
        <f t="shared" si="102"/>
        <v>0</v>
      </c>
      <c r="J156">
        <f t="shared" si="103"/>
        <v>0</v>
      </c>
      <c r="K156">
        <f t="shared" si="104"/>
        <v>0</v>
      </c>
      <c r="L156">
        <f t="shared" si="105"/>
        <v>0</v>
      </c>
      <c r="M156">
        <f t="shared" si="106"/>
        <v>0</v>
      </c>
      <c r="N156">
        <f t="shared" si="107"/>
        <v>0</v>
      </c>
      <c r="O156">
        <f t="shared" si="108"/>
        <v>0</v>
      </c>
      <c r="P156">
        <f t="shared" si="109"/>
        <v>0</v>
      </c>
      <c r="Q156">
        <f t="shared" si="110"/>
        <v>0</v>
      </c>
      <c r="R156">
        <f t="shared" si="111"/>
        <v>0</v>
      </c>
      <c r="S156">
        <f t="shared" si="112"/>
        <v>0</v>
      </c>
      <c r="T156">
        <f t="shared" si="113"/>
        <v>0</v>
      </c>
      <c r="U156">
        <f t="shared" si="114"/>
        <v>0</v>
      </c>
      <c r="V156">
        <f t="shared" si="115"/>
        <v>0</v>
      </c>
      <c r="W156">
        <f t="shared" si="116"/>
        <v>0</v>
      </c>
      <c r="X156">
        <f t="shared" si="117"/>
        <v>0</v>
      </c>
      <c r="Y156">
        <f t="shared" si="118"/>
        <v>0</v>
      </c>
      <c r="Z156">
        <f t="shared" si="119"/>
        <v>0</v>
      </c>
      <c r="AA156">
        <f t="shared" si="120"/>
        <v>0</v>
      </c>
      <c r="AB156">
        <f t="shared" si="121"/>
        <v>0</v>
      </c>
      <c r="AC156">
        <f t="shared" si="122"/>
        <v>0</v>
      </c>
      <c r="AD156">
        <f t="shared" si="123"/>
        <v>0</v>
      </c>
      <c r="AE156">
        <f t="shared" si="124"/>
        <v>0</v>
      </c>
      <c r="AF156">
        <f t="shared" si="125"/>
        <v>0</v>
      </c>
      <c r="AG156">
        <f t="shared" si="126"/>
        <v>0</v>
      </c>
      <c r="AH156">
        <f t="shared" si="127"/>
        <v>0</v>
      </c>
      <c r="AI156">
        <f t="shared" si="128"/>
        <v>0</v>
      </c>
      <c r="AJ156">
        <f t="shared" si="129"/>
        <v>0</v>
      </c>
      <c r="AK156">
        <f t="shared" si="130"/>
        <v>0</v>
      </c>
      <c r="AL156">
        <f t="shared" si="131"/>
        <v>0</v>
      </c>
      <c r="AM156">
        <f t="shared" si="132"/>
        <v>0</v>
      </c>
      <c r="AN156">
        <f t="shared" si="133"/>
        <v>0</v>
      </c>
      <c r="AO156">
        <f t="shared" si="134"/>
        <v>0</v>
      </c>
      <c r="AP156">
        <f t="shared" si="135"/>
        <v>0</v>
      </c>
      <c r="AQ156">
        <f t="shared" si="136"/>
        <v>0</v>
      </c>
      <c r="AR156">
        <f t="shared" si="137"/>
        <v>0</v>
      </c>
      <c r="AS156">
        <f t="shared" si="138"/>
        <v>0</v>
      </c>
      <c r="AT156">
        <f t="shared" si="139"/>
        <v>0</v>
      </c>
      <c r="AU156">
        <f t="shared" si="140"/>
        <v>0</v>
      </c>
      <c r="AV156">
        <f t="shared" si="141"/>
        <v>0</v>
      </c>
      <c r="AW156">
        <f t="shared" si="96"/>
        <v>0</v>
      </c>
      <c r="AX156">
        <f t="shared" si="142"/>
        <v>0</v>
      </c>
      <c r="AY156">
        <f t="shared" si="143"/>
        <v>0</v>
      </c>
    </row>
    <row r="157" spans="1:51" x14ac:dyDescent="0.35">
      <c r="A157">
        <v>151</v>
      </c>
      <c r="C157">
        <f>MAX(0,Calc!$C$7-SUM(D157:R157))</f>
        <v>750</v>
      </c>
      <c r="D157">
        <f t="shared" si="97"/>
        <v>0</v>
      </c>
      <c r="E157">
        <f t="shared" si="98"/>
        <v>0</v>
      </c>
      <c r="F157">
        <f t="shared" si="99"/>
        <v>0</v>
      </c>
      <c r="G157">
        <f t="shared" si="100"/>
        <v>0</v>
      </c>
      <c r="H157">
        <f t="shared" si="101"/>
        <v>0</v>
      </c>
      <c r="I157">
        <f t="shared" si="102"/>
        <v>0</v>
      </c>
      <c r="J157">
        <f t="shared" si="103"/>
        <v>0</v>
      </c>
      <c r="K157">
        <f t="shared" si="104"/>
        <v>0</v>
      </c>
      <c r="L157">
        <f t="shared" si="105"/>
        <v>0</v>
      </c>
      <c r="M157">
        <f t="shared" si="106"/>
        <v>0</v>
      </c>
      <c r="N157">
        <f t="shared" si="107"/>
        <v>0</v>
      </c>
      <c r="O157">
        <f t="shared" si="108"/>
        <v>0</v>
      </c>
      <c r="P157">
        <f t="shared" si="109"/>
        <v>0</v>
      </c>
      <c r="Q157">
        <f t="shared" si="110"/>
        <v>0</v>
      </c>
      <c r="R157">
        <f t="shared" si="111"/>
        <v>0</v>
      </c>
      <c r="S157">
        <f t="shared" si="112"/>
        <v>0</v>
      </c>
      <c r="T157">
        <f t="shared" si="113"/>
        <v>0</v>
      </c>
      <c r="U157">
        <f t="shared" si="114"/>
        <v>0</v>
      </c>
      <c r="V157">
        <f t="shared" si="115"/>
        <v>0</v>
      </c>
      <c r="W157">
        <f t="shared" si="116"/>
        <v>0</v>
      </c>
      <c r="X157">
        <f t="shared" si="117"/>
        <v>0</v>
      </c>
      <c r="Y157">
        <f t="shared" si="118"/>
        <v>0</v>
      </c>
      <c r="Z157">
        <f t="shared" si="119"/>
        <v>0</v>
      </c>
      <c r="AA157">
        <f t="shared" si="120"/>
        <v>0</v>
      </c>
      <c r="AB157">
        <f t="shared" si="121"/>
        <v>0</v>
      </c>
      <c r="AC157">
        <f t="shared" si="122"/>
        <v>0</v>
      </c>
      <c r="AD157">
        <f t="shared" si="123"/>
        <v>0</v>
      </c>
      <c r="AE157">
        <f t="shared" si="124"/>
        <v>0</v>
      </c>
      <c r="AF157">
        <f t="shared" si="125"/>
        <v>0</v>
      </c>
      <c r="AG157">
        <f t="shared" si="126"/>
        <v>0</v>
      </c>
      <c r="AH157">
        <f t="shared" si="127"/>
        <v>0</v>
      </c>
      <c r="AI157">
        <f t="shared" si="128"/>
        <v>0</v>
      </c>
      <c r="AJ157">
        <f t="shared" si="129"/>
        <v>0</v>
      </c>
      <c r="AK157">
        <f t="shared" si="130"/>
        <v>0</v>
      </c>
      <c r="AL157">
        <f t="shared" si="131"/>
        <v>0</v>
      </c>
      <c r="AM157">
        <f t="shared" si="132"/>
        <v>0</v>
      </c>
      <c r="AN157">
        <f t="shared" si="133"/>
        <v>0</v>
      </c>
      <c r="AO157">
        <f t="shared" si="134"/>
        <v>0</v>
      </c>
      <c r="AP157">
        <f t="shared" si="135"/>
        <v>0</v>
      </c>
      <c r="AQ157">
        <f t="shared" si="136"/>
        <v>0</v>
      </c>
      <c r="AR157">
        <f t="shared" si="137"/>
        <v>0</v>
      </c>
      <c r="AS157">
        <f t="shared" si="138"/>
        <v>0</v>
      </c>
      <c r="AT157">
        <f t="shared" si="139"/>
        <v>0</v>
      </c>
      <c r="AU157">
        <f t="shared" si="140"/>
        <v>0</v>
      </c>
      <c r="AV157">
        <f t="shared" si="141"/>
        <v>0</v>
      </c>
      <c r="AW157">
        <f t="shared" si="96"/>
        <v>0</v>
      </c>
      <c r="AX157">
        <f t="shared" si="142"/>
        <v>0</v>
      </c>
      <c r="AY157">
        <f t="shared" si="143"/>
        <v>0</v>
      </c>
    </row>
    <row r="158" spans="1:51" x14ac:dyDescent="0.35">
      <c r="A158">
        <v>152</v>
      </c>
      <c r="C158">
        <f>MAX(0,Calc!$C$7-SUM(D158:R158))</f>
        <v>750</v>
      </c>
      <c r="D158">
        <f t="shared" si="97"/>
        <v>0</v>
      </c>
      <c r="E158">
        <f t="shared" si="98"/>
        <v>0</v>
      </c>
      <c r="F158">
        <f t="shared" si="99"/>
        <v>0</v>
      </c>
      <c r="G158">
        <f t="shared" si="100"/>
        <v>0</v>
      </c>
      <c r="H158">
        <f t="shared" si="101"/>
        <v>0</v>
      </c>
      <c r="I158">
        <f t="shared" si="102"/>
        <v>0</v>
      </c>
      <c r="J158">
        <f t="shared" si="103"/>
        <v>0</v>
      </c>
      <c r="K158">
        <f t="shared" si="104"/>
        <v>0</v>
      </c>
      <c r="L158">
        <f t="shared" si="105"/>
        <v>0</v>
      </c>
      <c r="M158">
        <f t="shared" si="106"/>
        <v>0</v>
      </c>
      <c r="N158">
        <f t="shared" si="107"/>
        <v>0</v>
      </c>
      <c r="O158">
        <f t="shared" si="108"/>
        <v>0</v>
      </c>
      <c r="P158">
        <f t="shared" si="109"/>
        <v>0</v>
      </c>
      <c r="Q158">
        <f t="shared" si="110"/>
        <v>0</v>
      </c>
      <c r="R158">
        <f t="shared" si="111"/>
        <v>0</v>
      </c>
      <c r="S158">
        <f t="shared" si="112"/>
        <v>0</v>
      </c>
      <c r="T158">
        <f t="shared" si="113"/>
        <v>0</v>
      </c>
      <c r="U158">
        <f t="shared" si="114"/>
        <v>0</v>
      </c>
      <c r="V158">
        <f t="shared" si="115"/>
        <v>0</v>
      </c>
      <c r="W158">
        <f t="shared" si="116"/>
        <v>0</v>
      </c>
      <c r="X158">
        <f t="shared" si="117"/>
        <v>0</v>
      </c>
      <c r="Y158">
        <f t="shared" si="118"/>
        <v>0</v>
      </c>
      <c r="Z158">
        <f t="shared" si="119"/>
        <v>0</v>
      </c>
      <c r="AA158">
        <f t="shared" si="120"/>
        <v>0</v>
      </c>
      <c r="AB158">
        <f t="shared" si="121"/>
        <v>0</v>
      </c>
      <c r="AC158">
        <f t="shared" si="122"/>
        <v>0</v>
      </c>
      <c r="AD158">
        <f t="shared" si="123"/>
        <v>0</v>
      </c>
      <c r="AE158">
        <f t="shared" si="124"/>
        <v>0</v>
      </c>
      <c r="AF158">
        <f t="shared" si="125"/>
        <v>0</v>
      </c>
      <c r="AG158">
        <f t="shared" si="126"/>
        <v>0</v>
      </c>
      <c r="AH158">
        <f t="shared" si="127"/>
        <v>0</v>
      </c>
      <c r="AI158">
        <f t="shared" si="128"/>
        <v>0</v>
      </c>
      <c r="AJ158">
        <f t="shared" si="129"/>
        <v>0</v>
      </c>
      <c r="AK158">
        <f t="shared" si="130"/>
        <v>0</v>
      </c>
      <c r="AL158">
        <f t="shared" si="131"/>
        <v>0</v>
      </c>
      <c r="AM158">
        <f t="shared" si="132"/>
        <v>0</v>
      </c>
      <c r="AN158">
        <f t="shared" si="133"/>
        <v>0</v>
      </c>
      <c r="AO158">
        <f t="shared" si="134"/>
        <v>0</v>
      </c>
      <c r="AP158">
        <f t="shared" si="135"/>
        <v>0</v>
      </c>
      <c r="AQ158">
        <f t="shared" si="136"/>
        <v>0</v>
      </c>
      <c r="AR158">
        <f t="shared" si="137"/>
        <v>0</v>
      </c>
      <c r="AS158">
        <f t="shared" si="138"/>
        <v>0</v>
      </c>
      <c r="AT158">
        <f t="shared" si="139"/>
        <v>0</v>
      </c>
      <c r="AU158">
        <f t="shared" si="140"/>
        <v>0</v>
      </c>
      <c r="AV158">
        <f t="shared" si="141"/>
        <v>0</v>
      </c>
      <c r="AW158">
        <f t="shared" si="96"/>
        <v>0</v>
      </c>
      <c r="AX158">
        <f t="shared" si="142"/>
        <v>0</v>
      </c>
      <c r="AY158">
        <f t="shared" si="143"/>
        <v>0</v>
      </c>
    </row>
    <row r="159" spans="1:51" x14ac:dyDescent="0.35">
      <c r="A159">
        <v>153</v>
      </c>
      <c r="C159">
        <f>MAX(0,Calc!$C$7-SUM(D159:R159))</f>
        <v>750</v>
      </c>
      <c r="D159">
        <f t="shared" si="97"/>
        <v>0</v>
      </c>
      <c r="E159">
        <f t="shared" si="98"/>
        <v>0</v>
      </c>
      <c r="F159">
        <f t="shared" si="99"/>
        <v>0</v>
      </c>
      <c r="G159">
        <f t="shared" si="100"/>
        <v>0</v>
      </c>
      <c r="H159">
        <f t="shared" si="101"/>
        <v>0</v>
      </c>
      <c r="I159">
        <f t="shared" si="102"/>
        <v>0</v>
      </c>
      <c r="J159">
        <f t="shared" si="103"/>
        <v>0</v>
      </c>
      <c r="K159">
        <f t="shared" si="104"/>
        <v>0</v>
      </c>
      <c r="L159">
        <f t="shared" si="105"/>
        <v>0</v>
      </c>
      <c r="M159">
        <f t="shared" si="106"/>
        <v>0</v>
      </c>
      <c r="N159">
        <f t="shared" si="107"/>
        <v>0</v>
      </c>
      <c r="O159">
        <f t="shared" si="108"/>
        <v>0</v>
      </c>
      <c r="P159">
        <f t="shared" si="109"/>
        <v>0</v>
      </c>
      <c r="Q159">
        <f t="shared" si="110"/>
        <v>0</v>
      </c>
      <c r="R159">
        <f t="shared" si="111"/>
        <v>0</v>
      </c>
      <c r="S159">
        <f t="shared" si="112"/>
        <v>0</v>
      </c>
      <c r="T159">
        <f t="shared" si="113"/>
        <v>0</v>
      </c>
      <c r="U159">
        <f t="shared" si="114"/>
        <v>0</v>
      </c>
      <c r="V159">
        <f t="shared" si="115"/>
        <v>0</v>
      </c>
      <c r="W159">
        <f t="shared" si="116"/>
        <v>0</v>
      </c>
      <c r="X159">
        <f t="shared" si="117"/>
        <v>0</v>
      </c>
      <c r="Y159">
        <f t="shared" si="118"/>
        <v>0</v>
      </c>
      <c r="Z159">
        <f t="shared" si="119"/>
        <v>0</v>
      </c>
      <c r="AA159">
        <f t="shared" si="120"/>
        <v>0</v>
      </c>
      <c r="AB159">
        <f t="shared" si="121"/>
        <v>0</v>
      </c>
      <c r="AC159">
        <f t="shared" si="122"/>
        <v>0</v>
      </c>
      <c r="AD159">
        <f t="shared" si="123"/>
        <v>0</v>
      </c>
      <c r="AE159">
        <f t="shared" si="124"/>
        <v>0</v>
      </c>
      <c r="AF159">
        <f t="shared" si="125"/>
        <v>0</v>
      </c>
      <c r="AG159">
        <f t="shared" si="126"/>
        <v>0</v>
      </c>
      <c r="AH159">
        <f t="shared" si="127"/>
        <v>0</v>
      </c>
      <c r="AI159">
        <f t="shared" si="128"/>
        <v>0</v>
      </c>
      <c r="AJ159">
        <f t="shared" si="129"/>
        <v>0</v>
      </c>
      <c r="AK159">
        <f t="shared" si="130"/>
        <v>0</v>
      </c>
      <c r="AL159">
        <f t="shared" si="131"/>
        <v>0</v>
      </c>
      <c r="AM159">
        <f t="shared" si="132"/>
        <v>0</v>
      </c>
      <c r="AN159">
        <f t="shared" si="133"/>
        <v>0</v>
      </c>
      <c r="AO159">
        <f t="shared" si="134"/>
        <v>0</v>
      </c>
      <c r="AP159">
        <f t="shared" si="135"/>
        <v>0</v>
      </c>
      <c r="AQ159">
        <f t="shared" si="136"/>
        <v>0</v>
      </c>
      <c r="AR159">
        <f t="shared" si="137"/>
        <v>0</v>
      </c>
      <c r="AS159">
        <f t="shared" si="138"/>
        <v>0</v>
      </c>
      <c r="AT159">
        <f t="shared" si="139"/>
        <v>0</v>
      </c>
      <c r="AU159">
        <f t="shared" si="140"/>
        <v>0</v>
      </c>
      <c r="AV159">
        <f t="shared" si="141"/>
        <v>0</v>
      </c>
      <c r="AW159">
        <f t="shared" si="96"/>
        <v>0</v>
      </c>
      <c r="AX159">
        <f t="shared" si="142"/>
        <v>0</v>
      </c>
      <c r="AY159">
        <f t="shared" si="143"/>
        <v>0</v>
      </c>
    </row>
    <row r="160" spans="1:51" x14ac:dyDescent="0.35">
      <c r="A160">
        <v>154</v>
      </c>
      <c r="C160">
        <f>MAX(0,Calc!$C$7-SUM(D160:R160))</f>
        <v>750</v>
      </c>
      <c r="D160">
        <f t="shared" si="97"/>
        <v>0</v>
      </c>
      <c r="E160">
        <f t="shared" si="98"/>
        <v>0</v>
      </c>
      <c r="F160">
        <f t="shared" si="99"/>
        <v>0</v>
      </c>
      <c r="G160">
        <f t="shared" si="100"/>
        <v>0</v>
      </c>
      <c r="H160">
        <f t="shared" si="101"/>
        <v>0</v>
      </c>
      <c r="I160">
        <f t="shared" si="102"/>
        <v>0</v>
      </c>
      <c r="J160">
        <f t="shared" si="103"/>
        <v>0</v>
      </c>
      <c r="K160">
        <f t="shared" si="104"/>
        <v>0</v>
      </c>
      <c r="L160">
        <f t="shared" si="105"/>
        <v>0</v>
      </c>
      <c r="M160">
        <f t="shared" si="106"/>
        <v>0</v>
      </c>
      <c r="N160">
        <f t="shared" si="107"/>
        <v>0</v>
      </c>
      <c r="O160">
        <f t="shared" si="108"/>
        <v>0</v>
      </c>
      <c r="P160">
        <f t="shared" si="109"/>
        <v>0</v>
      </c>
      <c r="Q160">
        <f t="shared" si="110"/>
        <v>0</v>
      </c>
      <c r="R160">
        <f t="shared" si="111"/>
        <v>0</v>
      </c>
      <c r="S160">
        <f t="shared" si="112"/>
        <v>0</v>
      </c>
      <c r="T160">
        <f t="shared" si="113"/>
        <v>0</v>
      </c>
      <c r="U160">
        <f t="shared" si="114"/>
        <v>0</v>
      </c>
      <c r="V160">
        <f t="shared" si="115"/>
        <v>0</v>
      </c>
      <c r="W160">
        <f t="shared" si="116"/>
        <v>0</v>
      </c>
      <c r="X160">
        <f t="shared" si="117"/>
        <v>0</v>
      </c>
      <c r="Y160">
        <f t="shared" si="118"/>
        <v>0</v>
      </c>
      <c r="Z160">
        <f t="shared" si="119"/>
        <v>0</v>
      </c>
      <c r="AA160">
        <f t="shared" si="120"/>
        <v>0</v>
      </c>
      <c r="AB160">
        <f t="shared" si="121"/>
        <v>0</v>
      </c>
      <c r="AC160">
        <f t="shared" si="122"/>
        <v>0</v>
      </c>
      <c r="AD160">
        <f t="shared" si="123"/>
        <v>0</v>
      </c>
      <c r="AE160">
        <f t="shared" si="124"/>
        <v>0</v>
      </c>
      <c r="AF160">
        <f t="shared" si="125"/>
        <v>0</v>
      </c>
      <c r="AG160">
        <f t="shared" si="126"/>
        <v>0</v>
      </c>
      <c r="AH160">
        <f t="shared" si="127"/>
        <v>0</v>
      </c>
      <c r="AI160">
        <f t="shared" si="128"/>
        <v>0</v>
      </c>
      <c r="AJ160">
        <f t="shared" si="129"/>
        <v>0</v>
      </c>
      <c r="AK160">
        <f t="shared" si="130"/>
        <v>0</v>
      </c>
      <c r="AL160">
        <f t="shared" si="131"/>
        <v>0</v>
      </c>
      <c r="AM160">
        <f t="shared" si="132"/>
        <v>0</v>
      </c>
      <c r="AN160">
        <f t="shared" si="133"/>
        <v>0</v>
      </c>
      <c r="AO160">
        <f t="shared" si="134"/>
        <v>0</v>
      </c>
      <c r="AP160">
        <f t="shared" si="135"/>
        <v>0</v>
      </c>
      <c r="AQ160">
        <f t="shared" si="136"/>
        <v>0</v>
      </c>
      <c r="AR160">
        <f t="shared" si="137"/>
        <v>0</v>
      </c>
      <c r="AS160">
        <f t="shared" si="138"/>
        <v>0</v>
      </c>
      <c r="AT160">
        <f t="shared" si="139"/>
        <v>0</v>
      </c>
      <c r="AU160">
        <f t="shared" si="140"/>
        <v>0</v>
      </c>
      <c r="AV160">
        <f t="shared" si="141"/>
        <v>0</v>
      </c>
      <c r="AW160">
        <f t="shared" si="96"/>
        <v>0</v>
      </c>
      <c r="AX160">
        <f t="shared" si="142"/>
        <v>0</v>
      </c>
      <c r="AY160">
        <f t="shared" si="143"/>
        <v>0</v>
      </c>
    </row>
    <row r="161" spans="1:51" x14ac:dyDescent="0.35">
      <c r="A161">
        <v>155</v>
      </c>
      <c r="C161">
        <f>MAX(0,Calc!$C$7-SUM(D161:R161))</f>
        <v>750</v>
      </c>
      <c r="D161">
        <f t="shared" si="97"/>
        <v>0</v>
      </c>
      <c r="E161">
        <f t="shared" si="98"/>
        <v>0</v>
      </c>
      <c r="F161">
        <f t="shared" si="99"/>
        <v>0</v>
      </c>
      <c r="G161">
        <f t="shared" si="100"/>
        <v>0</v>
      </c>
      <c r="H161">
        <f t="shared" si="101"/>
        <v>0</v>
      </c>
      <c r="I161">
        <f t="shared" si="102"/>
        <v>0</v>
      </c>
      <c r="J161">
        <f t="shared" si="103"/>
        <v>0</v>
      </c>
      <c r="K161">
        <f t="shared" si="104"/>
        <v>0</v>
      </c>
      <c r="L161">
        <f t="shared" si="105"/>
        <v>0</v>
      </c>
      <c r="M161">
        <f t="shared" si="106"/>
        <v>0</v>
      </c>
      <c r="N161">
        <f t="shared" si="107"/>
        <v>0</v>
      </c>
      <c r="O161">
        <f t="shared" si="108"/>
        <v>0</v>
      </c>
      <c r="P161">
        <f t="shared" si="109"/>
        <v>0</v>
      </c>
      <c r="Q161">
        <f t="shared" si="110"/>
        <v>0</v>
      </c>
      <c r="R161">
        <f t="shared" si="111"/>
        <v>0</v>
      </c>
      <c r="S161">
        <f t="shared" si="112"/>
        <v>0</v>
      </c>
      <c r="T161">
        <f t="shared" si="113"/>
        <v>0</v>
      </c>
      <c r="U161">
        <f t="shared" si="114"/>
        <v>0</v>
      </c>
      <c r="V161">
        <f t="shared" si="115"/>
        <v>0</v>
      </c>
      <c r="W161">
        <f t="shared" si="116"/>
        <v>0</v>
      </c>
      <c r="X161">
        <f t="shared" si="117"/>
        <v>0</v>
      </c>
      <c r="Y161">
        <f t="shared" si="118"/>
        <v>0</v>
      </c>
      <c r="Z161">
        <f t="shared" si="119"/>
        <v>0</v>
      </c>
      <c r="AA161">
        <f t="shared" si="120"/>
        <v>0</v>
      </c>
      <c r="AB161">
        <f t="shared" si="121"/>
        <v>0</v>
      </c>
      <c r="AC161">
        <f t="shared" si="122"/>
        <v>0</v>
      </c>
      <c r="AD161">
        <f t="shared" si="123"/>
        <v>0</v>
      </c>
      <c r="AE161">
        <f t="shared" si="124"/>
        <v>0</v>
      </c>
      <c r="AF161">
        <f t="shared" si="125"/>
        <v>0</v>
      </c>
      <c r="AG161">
        <f t="shared" si="126"/>
        <v>0</v>
      </c>
      <c r="AH161">
        <f t="shared" si="127"/>
        <v>0</v>
      </c>
      <c r="AI161">
        <f t="shared" si="128"/>
        <v>0</v>
      </c>
      <c r="AJ161">
        <f t="shared" si="129"/>
        <v>0</v>
      </c>
      <c r="AK161">
        <f t="shared" si="130"/>
        <v>0</v>
      </c>
      <c r="AL161">
        <f t="shared" si="131"/>
        <v>0</v>
      </c>
      <c r="AM161">
        <f t="shared" si="132"/>
        <v>0</v>
      </c>
      <c r="AN161">
        <f t="shared" si="133"/>
        <v>0</v>
      </c>
      <c r="AO161">
        <f t="shared" si="134"/>
        <v>0</v>
      </c>
      <c r="AP161">
        <f t="shared" si="135"/>
        <v>0</v>
      </c>
      <c r="AQ161">
        <f t="shared" si="136"/>
        <v>0</v>
      </c>
      <c r="AR161">
        <f t="shared" si="137"/>
        <v>0</v>
      </c>
      <c r="AS161">
        <f t="shared" si="138"/>
        <v>0</v>
      </c>
      <c r="AT161">
        <f t="shared" si="139"/>
        <v>0</v>
      </c>
      <c r="AU161">
        <f t="shared" si="140"/>
        <v>0</v>
      </c>
      <c r="AV161">
        <f t="shared" si="141"/>
        <v>0</v>
      </c>
      <c r="AW161">
        <f t="shared" si="96"/>
        <v>0</v>
      </c>
      <c r="AX161">
        <f t="shared" si="142"/>
        <v>0</v>
      </c>
      <c r="AY161">
        <f t="shared" si="143"/>
        <v>0</v>
      </c>
    </row>
    <row r="162" spans="1:51" x14ac:dyDescent="0.35">
      <c r="A162">
        <v>156</v>
      </c>
      <c r="C162">
        <f>MAX(0,Calc!$C$7-SUM(D162:R162))</f>
        <v>750</v>
      </c>
      <c r="D162">
        <f t="shared" si="97"/>
        <v>0</v>
      </c>
      <c r="E162">
        <f t="shared" si="98"/>
        <v>0</v>
      </c>
      <c r="F162">
        <f t="shared" si="99"/>
        <v>0</v>
      </c>
      <c r="G162">
        <f t="shared" si="100"/>
        <v>0</v>
      </c>
      <c r="H162">
        <f t="shared" si="101"/>
        <v>0</v>
      </c>
      <c r="I162">
        <f t="shared" si="102"/>
        <v>0</v>
      </c>
      <c r="J162">
        <f t="shared" si="103"/>
        <v>0</v>
      </c>
      <c r="K162">
        <f t="shared" si="104"/>
        <v>0</v>
      </c>
      <c r="L162">
        <f t="shared" si="105"/>
        <v>0</v>
      </c>
      <c r="M162">
        <f t="shared" si="106"/>
        <v>0</v>
      </c>
      <c r="N162">
        <f t="shared" si="107"/>
        <v>0</v>
      </c>
      <c r="O162">
        <f t="shared" si="108"/>
        <v>0</v>
      </c>
      <c r="P162">
        <f t="shared" si="109"/>
        <v>0</v>
      </c>
      <c r="Q162">
        <f t="shared" si="110"/>
        <v>0</v>
      </c>
      <c r="R162">
        <f t="shared" si="111"/>
        <v>0</v>
      </c>
      <c r="S162">
        <f t="shared" si="112"/>
        <v>0</v>
      </c>
      <c r="T162">
        <f t="shared" si="113"/>
        <v>0</v>
      </c>
      <c r="U162">
        <f t="shared" si="114"/>
        <v>0</v>
      </c>
      <c r="V162">
        <f t="shared" si="115"/>
        <v>0</v>
      </c>
      <c r="W162">
        <f t="shared" si="116"/>
        <v>0</v>
      </c>
      <c r="X162">
        <f t="shared" si="117"/>
        <v>0</v>
      </c>
      <c r="Y162">
        <f t="shared" si="118"/>
        <v>0</v>
      </c>
      <c r="Z162">
        <f t="shared" si="119"/>
        <v>0</v>
      </c>
      <c r="AA162">
        <f t="shared" si="120"/>
        <v>0</v>
      </c>
      <c r="AB162">
        <f t="shared" si="121"/>
        <v>0</v>
      </c>
      <c r="AC162">
        <f t="shared" si="122"/>
        <v>0</v>
      </c>
      <c r="AD162">
        <f t="shared" si="123"/>
        <v>0</v>
      </c>
      <c r="AE162">
        <f t="shared" si="124"/>
        <v>0</v>
      </c>
      <c r="AF162">
        <f t="shared" si="125"/>
        <v>0</v>
      </c>
      <c r="AG162">
        <f t="shared" si="126"/>
        <v>0</v>
      </c>
      <c r="AH162">
        <f t="shared" si="127"/>
        <v>0</v>
      </c>
      <c r="AI162">
        <f t="shared" si="128"/>
        <v>0</v>
      </c>
      <c r="AJ162">
        <f t="shared" si="129"/>
        <v>0</v>
      </c>
      <c r="AK162">
        <f t="shared" si="130"/>
        <v>0</v>
      </c>
      <c r="AL162">
        <f t="shared" si="131"/>
        <v>0</v>
      </c>
      <c r="AM162">
        <f t="shared" si="132"/>
        <v>0</v>
      </c>
      <c r="AN162">
        <f t="shared" si="133"/>
        <v>0</v>
      </c>
      <c r="AO162">
        <f t="shared" si="134"/>
        <v>0</v>
      </c>
      <c r="AP162">
        <f t="shared" si="135"/>
        <v>0</v>
      </c>
      <c r="AQ162">
        <f t="shared" si="136"/>
        <v>0</v>
      </c>
      <c r="AR162">
        <f t="shared" si="137"/>
        <v>0</v>
      </c>
      <c r="AS162">
        <f t="shared" si="138"/>
        <v>0</v>
      </c>
      <c r="AT162">
        <f t="shared" si="139"/>
        <v>0</v>
      </c>
      <c r="AU162">
        <f t="shared" si="140"/>
        <v>0</v>
      </c>
      <c r="AV162">
        <f t="shared" si="141"/>
        <v>0</v>
      </c>
      <c r="AW162">
        <f t="shared" si="96"/>
        <v>0</v>
      </c>
      <c r="AX162">
        <f t="shared" si="142"/>
        <v>0</v>
      </c>
      <c r="AY162">
        <f t="shared" si="143"/>
        <v>0</v>
      </c>
    </row>
    <row r="163" spans="1:51" x14ac:dyDescent="0.35">
      <c r="A163">
        <v>157</v>
      </c>
      <c r="C163">
        <f>MAX(0,Calc!$C$7-SUM(D163:R163))</f>
        <v>750</v>
      </c>
      <c r="D163">
        <f t="shared" si="97"/>
        <v>0</v>
      </c>
      <c r="E163">
        <f t="shared" si="98"/>
        <v>0</v>
      </c>
      <c r="F163">
        <f t="shared" si="99"/>
        <v>0</v>
      </c>
      <c r="G163">
        <f t="shared" si="100"/>
        <v>0</v>
      </c>
      <c r="H163">
        <f t="shared" si="101"/>
        <v>0</v>
      </c>
      <c r="I163">
        <f t="shared" si="102"/>
        <v>0</v>
      </c>
      <c r="J163">
        <f t="shared" si="103"/>
        <v>0</v>
      </c>
      <c r="K163">
        <f t="shared" si="104"/>
        <v>0</v>
      </c>
      <c r="L163">
        <f t="shared" si="105"/>
        <v>0</v>
      </c>
      <c r="M163">
        <f t="shared" si="106"/>
        <v>0</v>
      </c>
      <c r="N163">
        <f t="shared" si="107"/>
        <v>0</v>
      </c>
      <c r="O163">
        <f t="shared" si="108"/>
        <v>0</v>
      </c>
      <c r="P163">
        <f t="shared" si="109"/>
        <v>0</v>
      </c>
      <c r="Q163">
        <f t="shared" si="110"/>
        <v>0</v>
      </c>
      <c r="R163">
        <f t="shared" si="111"/>
        <v>0</v>
      </c>
      <c r="S163">
        <f t="shared" si="112"/>
        <v>0</v>
      </c>
      <c r="T163">
        <f t="shared" si="113"/>
        <v>0</v>
      </c>
      <c r="U163">
        <f t="shared" si="114"/>
        <v>0</v>
      </c>
      <c r="V163">
        <f t="shared" si="115"/>
        <v>0</v>
      </c>
      <c r="W163">
        <f t="shared" si="116"/>
        <v>0</v>
      </c>
      <c r="X163">
        <f t="shared" si="117"/>
        <v>0</v>
      </c>
      <c r="Y163">
        <f t="shared" si="118"/>
        <v>0</v>
      </c>
      <c r="Z163">
        <f t="shared" si="119"/>
        <v>0</v>
      </c>
      <c r="AA163">
        <f t="shared" si="120"/>
        <v>0</v>
      </c>
      <c r="AB163">
        <f t="shared" si="121"/>
        <v>0</v>
      </c>
      <c r="AC163">
        <f t="shared" si="122"/>
        <v>0</v>
      </c>
      <c r="AD163">
        <f t="shared" si="123"/>
        <v>0</v>
      </c>
      <c r="AE163">
        <f t="shared" si="124"/>
        <v>0</v>
      </c>
      <c r="AF163">
        <f t="shared" si="125"/>
        <v>0</v>
      </c>
      <c r="AG163">
        <f t="shared" si="126"/>
        <v>0</v>
      </c>
      <c r="AH163">
        <f t="shared" si="127"/>
        <v>0</v>
      </c>
      <c r="AI163">
        <f t="shared" si="128"/>
        <v>0</v>
      </c>
      <c r="AJ163">
        <f t="shared" si="129"/>
        <v>0</v>
      </c>
      <c r="AK163">
        <f t="shared" si="130"/>
        <v>0</v>
      </c>
      <c r="AL163">
        <f t="shared" si="131"/>
        <v>0</v>
      </c>
      <c r="AM163">
        <f t="shared" si="132"/>
        <v>0</v>
      </c>
      <c r="AN163">
        <f t="shared" si="133"/>
        <v>0</v>
      </c>
      <c r="AO163">
        <f t="shared" si="134"/>
        <v>0</v>
      </c>
      <c r="AP163">
        <f t="shared" si="135"/>
        <v>0</v>
      </c>
      <c r="AQ163">
        <f t="shared" si="136"/>
        <v>0</v>
      </c>
      <c r="AR163">
        <f t="shared" si="137"/>
        <v>0</v>
      </c>
      <c r="AS163">
        <f t="shared" si="138"/>
        <v>0</v>
      </c>
      <c r="AT163">
        <f t="shared" si="139"/>
        <v>0</v>
      </c>
      <c r="AU163">
        <f t="shared" si="140"/>
        <v>0</v>
      </c>
      <c r="AV163">
        <f t="shared" si="141"/>
        <v>0</v>
      </c>
      <c r="AW163">
        <f t="shared" si="96"/>
        <v>0</v>
      </c>
      <c r="AX163">
        <f t="shared" si="142"/>
        <v>0</v>
      </c>
      <c r="AY163">
        <f t="shared" si="143"/>
        <v>0</v>
      </c>
    </row>
    <row r="164" spans="1:51" x14ac:dyDescent="0.35">
      <c r="A164">
        <v>158</v>
      </c>
      <c r="C164">
        <f>MAX(0,Calc!$C$7-SUM(D164:R164))</f>
        <v>750</v>
      </c>
      <c r="D164">
        <f t="shared" si="97"/>
        <v>0</v>
      </c>
      <c r="E164">
        <f t="shared" si="98"/>
        <v>0</v>
      </c>
      <c r="F164">
        <f t="shared" si="99"/>
        <v>0</v>
      </c>
      <c r="G164">
        <f t="shared" si="100"/>
        <v>0</v>
      </c>
      <c r="H164">
        <f t="shared" si="101"/>
        <v>0</v>
      </c>
      <c r="I164">
        <f t="shared" si="102"/>
        <v>0</v>
      </c>
      <c r="J164">
        <f t="shared" si="103"/>
        <v>0</v>
      </c>
      <c r="K164">
        <f t="shared" si="104"/>
        <v>0</v>
      </c>
      <c r="L164">
        <f t="shared" si="105"/>
        <v>0</v>
      </c>
      <c r="M164">
        <f t="shared" si="106"/>
        <v>0</v>
      </c>
      <c r="N164">
        <f t="shared" si="107"/>
        <v>0</v>
      </c>
      <c r="O164">
        <f t="shared" si="108"/>
        <v>0</v>
      </c>
      <c r="P164">
        <f t="shared" si="109"/>
        <v>0</v>
      </c>
      <c r="Q164">
        <f t="shared" si="110"/>
        <v>0</v>
      </c>
      <c r="R164">
        <f t="shared" si="111"/>
        <v>0</v>
      </c>
      <c r="S164">
        <f t="shared" si="112"/>
        <v>0</v>
      </c>
      <c r="T164">
        <f t="shared" si="113"/>
        <v>0</v>
      </c>
      <c r="U164">
        <f t="shared" si="114"/>
        <v>0</v>
      </c>
      <c r="V164">
        <f t="shared" si="115"/>
        <v>0</v>
      </c>
      <c r="W164">
        <f t="shared" si="116"/>
        <v>0</v>
      </c>
      <c r="X164">
        <f t="shared" si="117"/>
        <v>0</v>
      </c>
      <c r="Y164">
        <f t="shared" si="118"/>
        <v>0</v>
      </c>
      <c r="Z164">
        <f t="shared" si="119"/>
        <v>0</v>
      </c>
      <c r="AA164">
        <f t="shared" si="120"/>
        <v>0</v>
      </c>
      <c r="AB164">
        <f t="shared" si="121"/>
        <v>0</v>
      </c>
      <c r="AC164">
        <f t="shared" si="122"/>
        <v>0</v>
      </c>
      <c r="AD164">
        <f t="shared" si="123"/>
        <v>0</v>
      </c>
      <c r="AE164">
        <f t="shared" si="124"/>
        <v>0</v>
      </c>
      <c r="AF164">
        <f t="shared" si="125"/>
        <v>0</v>
      </c>
      <c r="AG164">
        <f t="shared" si="126"/>
        <v>0</v>
      </c>
      <c r="AH164">
        <f t="shared" si="127"/>
        <v>0</v>
      </c>
      <c r="AI164">
        <f t="shared" si="128"/>
        <v>0</v>
      </c>
      <c r="AJ164">
        <f t="shared" si="129"/>
        <v>0</v>
      </c>
      <c r="AK164">
        <f t="shared" si="130"/>
        <v>0</v>
      </c>
      <c r="AL164">
        <f t="shared" si="131"/>
        <v>0</v>
      </c>
      <c r="AM164">
        <f t="shared" si="132"/>
        <v>0</v>
      </c>
      <c r="AN164">
        <f t="shared" si="133"/>
        <v>0</v>
      </c>
      <c r="AO164">
        <f t="shared" si="134"/>
        <v>0</v>
      </c>
      <c r="AP164">
        <f t="shared" si="135"/>
        <v>0</v>
      </c>
      <c r="AQ164">
        <f t="shared" si="136"/>
        <v>0</v>
      </c>
      <c r="AR164">
        <f t="shared" si="137"/>
        <v>0</v>
      </c>
      <c r="AS164">
        <f t="shared" si="138"/>
        <v>0</v>
      </c>
      <c r="AT164">
        <f t="shared" si="139"/>
        <v>0</v>
      </c>
      <c r="AU164">
        <f t="shared" si="140"/>
        <v>0</v>
      </c>
      <c r="AV164">
        <f t="shared" si="141"/>
        <v>0</v>
      </c>
      <c r="AW164">
        <f t="shared" si="96"/>
        <v>0</v>
      </c>
      <c r="AX164">
        <f t="shared" si="142"/>
        <v>0</v>
      </c>
      <c r="AY164">
        <f t="shared" si="143"/>
        <v>0</v>
      </c>
    </row>
    <row r="165" spans="1:51" x14ac:dyDescent="0.35">
      <c r="A165">
        <v>159</v>
      </c>
      <c r="C165">
        <f>MAX(0,Calc!$C$7-SUM(D165:R165))</f>
        <v>750</v>
      </c>
      <c r="D165">
        <f t="shared" si="97"/>
        <v>0</v>
      </c>
      <c r="E165">
        <f t="shared" si="98"/>
        <v>0</v>
      </c>
      <c r="F165">
        <f t="shared" si="99"/>
        <v>0</v>
      </c>
      <c r="G165">
        <f t="shared" si="100"/>
        <v>0</v>
      </c>
      <c r="H165">
        <f t="shared" si="101"/>
        <v>0</v>
      </c>
      <c r="I165">
        <f t="shared" si="102"/>
        <v>0</v>
      </c>
      <c r="J165">
        <f t="shared" si="103"/>
        <v>0</v>
      </c>
      <c r="K165">
        <f t="shared" si="104"/>
        <v>0</v>
      </c>
      <c r="L165">
        <f t="shared" si="105"/>
        <v>0</v>
      </c>
      <c r="M165">
        <f t="shared" si="106"/>
        <v>0</v>
      </c>
      <c r="N165">
        <f t="shared" si="107"/>
        <v>0</v>
      </c>
      <c r="O165">
        <f t="shared" si="108"/>
        <v>0</v>
      </c>
      <c r="P165">
        <f t="shared" si="109"/>
        <v>0</v>
      </c>
      <c r="Q165">
        <f t="shared" si="110"/>
        <v>0</v>
      </c>
      <c r="R165">
        <f t="shared" si="111"/>
        <v>0</v>
      </c>
      <c r="S165">
        <f t="shared" si="112"/>
        <v>0</v>
      </c>
      <c r="T165">
        <f t="shared" si="113"/>
        <v>0</v>
      </c>
      <c r="U165">
        <f t="shared" si="114"/>
        <v>0</v>
      </c>
      <c r="V165">
        <f t="shared" si="115"/>
        <v>0</v>
      </c>
      <c r="W165">
        <f t="shared" si="116"/>
        <v>0</v>
      </c>
      <c r="X165">
        <f t="shared" si="117"/>
        <v>0</v>
      </c>
      <c r="Y165">
        <f t="shared" si="118"/>
        <v>0</v>
      </c>
      <c r="Z165">
        <f t="shared" si="119"/>
        <v>0</v>
      </c>
      <c r="AA165">
        <f t="shared" si="120"/>
        <v>0</v>
      </c>
      <c r="AB165">
        <f t="shared" si="121"/>
        <v>0</v>
      </c>
      <c r="AC165">
        <f t="shared" si="122"/>
        <v>0</v>
      </c>
      <c r="AD165">
        <f t="shared" si="123"/>
        <v>0</v>
      </c>
      <c r="AE165">
        <f t="shared" si="124"/>
        <v>0</v>
      </c>
      <c r="AF165">
        <f t="shared" si="125"/>
        <v>0</v>
      </c>
      <c r="AG165">
        <f t="shared" si="126"/>
        <v>0</v>
      </c>
      <c r="AH165">
        <f t="shared" si="127"/>
        <v>0</v>
      </c>
      <c r="AI165">
        <f t="shared" si="128"/>
        <v>0</v>
      </c>
      <c r="AJ165">
        <f t="shared" si="129"/>
        <v>0</v>
      </c>
      <c r="AK165">
        <f t="shared" si="130"/>
        <v>0</v>
      </c>
      <c r="AL165">
        <f t="shared" si="131"/>
        <v>0</v>
      </c>
      <c r="AM165">
        <f t="shared" si="132"/>
        <v>0</v>
      </c>
      <c r="AN165">
        <f t="shared" si="133"/>
        <v>0</v>
      </c>
      <c r="AO165">
        <f t="shared" si="134"/>
        <v>0</v>
      </c>
      <c r="AP165">
        <f t="shared" si="135"/>
        <v>0</v>
      </c>
      <c r="AQ165">
        <f t="shared" si="136"/>
        <v>0</v>
      </c>
      <c r="AR165">
        <f t="shared" si="137"/>
        <v>0</v>
      </c>
      <c r="AS165">
        <f t="shared" si="138"/>
        <v>0</v>
      </c>
      <c r="AT165">
        <f t="shared" si="139"/>
        <v>0</v>
      </c>
      <c r="AU165">
        <f t="shared" si="140"/>
        <v>0</v>
      </c>
      <c r="AV165">
        <f t="shared" si="141"/>
        <v>0</v>
      </c>
      <c r="AW165">
        <f t="shared" si="96"/>
        <v>0</v>
      </c>
      <c r="AX165">
        <f t="shared" si="142"/>
        <v>0</v>
      </c>
      <c r="AY165">
        <f t="shared" si="143"/>
        <v>0</v>
      </c>
    </row>
    <row r="166" spans="1:51" x14ac:dyDescent="0.35">
      <c r="A166">
        <v>160</v>
      </c>
      <c r="C166">
        <f>MAX(0,Calc!$C$7-SUM(D166:R166))</f>
        <v>750</v>
      </c>
      <c r="D166">
        <f t="shared" si="97"/>
        <v>0</v>
      </c>
      <c r="E166">
        <f t="shared" si="98"/>
        <v>0</v>
      </c>
      <c r="F166">
        <f t="shared" si="99"/>
        <v>0</v>
      </c>
      <c r="G166">
        <f t="shared" si="100"/>
        <v>0</v>
      </c>
      <c r="H166">
        <f t="shared" si="101"/>
        <v>0</v>
      </c>
      <c r="I166">
        <f t="shared" si="102"/>
        <v>0</v>
      </c>
      <c r="J166">
        <f t="shared" si="103"/>
        <v>0</v>
      </c>
      <c r="K166">
        <f t="shared" si="104"/>
        <v>0</v>
      </c>
      <c r="L166">
        <f t="shared" si="105"/>
        <v>0</v>
      </c>
      <c r="M166">
        <f t="shared" si="106"/>
        <v>0</v>
      </c>
      <c r="N166">
        <f t="shared" si="107"/>
        <v>0</v>
      </c>
      <c r="O166">
        <f t="shared" si="108"/>
        <v>0</v>
      </c>
      <c r="P166">
        <f t="shared" si="109"/>
        <v>0</v>
      </c>
      <c r="Q166">
        <f t="shared" si="110"/>
        <v>0</v>
      </c>
      <c r="R166">
        <f t="shared" si="111"/>
        <v>0</v>
      </c>
      <c r="S166">
        <f t="shared" si="112"/>
        <v>0</v>
      </c>
      <c r="T166">
        <f t="shared" si="113"/>
        <v>0</v>
      </c>
      <c r="U166">
        <f t="shared" si="114"/>
        <v>0</v>
      </c>
      <c r="V166">
        <f t="shared" si="115"/>
        <v>0</v>
      </c>
      <c r="W166">
        <f t="shared" si="116"/>
        <v>0</v>
      </c>
      <c r="X166">
        <f t="shared" si="117"/>
        <v>0</v>
      </c>
      <c r="Y166">
        <f t="shared" si="118"/>
        <v>0</v>
      </c>
      <c r="Z166">
        <f t="shared" si="119"/>
        <v>0</v>
      </c>
      <c r="AA166">
        <f t="shared" si="120"/>
        <v>0</v>
      </c>
      <c r="AB166">
        <f t="shared" si="121"/>
        <v>0</v>
      </c>
      <c r="AC166">
        <f t="shared" si="122"/>
        <v>0</v>
      </c>
      <c r="AD166">
        <f t="shared" si="123"/>
        <v>0</v>
      </c>
      <c r="AE166">
        <f t="shared" si="124"/>
        <v>0</v>
      </c>
      <c r="AF166">
        <f t="shared" si="125"/>
        <v>0</v>
      </c>
      <c r="AG166">
        <f t="shared" si="126"/>
        <v>0</v>
      </c>
      <c r="AH166">
        <f t="shared" si="127"/>
        <v>0</v>
      </c>
      <c r="AI166">
        <f t="shared" si="128"/>
        <v>0</v>
      </c>
      <c r="AJ166">
        <f t="shared" si="129"/>
        <v>0</v>
      </c>
      <c r="AK166">
        <f t="shared" si="130"/>
        <v>0</v>
      </c>
      <c r="AL166">
        <f t="shared" si="131"/>
        <v>0</v>
      </c>
      <c r="AM166">
        <f t="shared" si="132"/>
        <v>0</v>
      </c>
      <c r="AN166">
        <f t="shared" si="133"/>
        <v>0</v>
      </c>
      <c r="AO166">
        <f t="shared" si="134"/>
        <v>0</v>
      </c>
      <c r="AP166">
        <f t="shared" si="135"/>
        <v>0</v>
      </c>
      <c r="AQ166">
        <f t="shared" si="136"/>
        <v>0</v>
      </c>
      <c r="AR166">
        <f t="shared" si="137"/>
        <v>0</v>
      </c>
      <c r="AS166">
        <f t="shared" si="138"/>
        <v>0</v>
      </c>
      <c r="AT166">
        <f t="shared" si="139"/>
        <v>0</v>
      </c>
      <c r="AU166">
        <f t="shared" si="140"/>
        <v>0</v>
      </c>
      <c r="AV166">
        <f t="shared" si="141"/>
        <v>0</v>
      </c>
      <c r="AW166">
        <f t="shared" si="96"/>
        <v>0</v>
      </c>
      <c r="AX166">
        <f t="shared" si="142"/>
        <v>0</v>
      </c>
      <c r="AY166">
        <f t="shared" si="143"/>
        <v>0</v>
      </c>
    </row>
    <row r="167" spans="1:51" x14ac:dyDescent="0.35">
      <c r="A167">
        <v>161</v>
      </c>
      <c r="C167">
        <f>MAX(0,Calc!$C$7-SUM(D167:R167))</f>
        <v>750</v>
      </c>
      <c r="D167">
        <f t="shared" si="97"/>
        <v>0</v>
      </c>
      <c r="E167">
        <f t="shared" si="98"/>
        <v>0</v>
      </c>
      <c r="F167">
        <f t="shared" si="99"/>
        <v>0</v>
      </c>
      <c r="G167">
        <f t="shared" si="100"/>
        <v>0</v>
      </c>
      <c r="H167">
        <f t="shared" si="101"/>
        <v>0</v>
      </c>
      <c r="I167">
        <f t="shared" si="102"/>
        <v>0</v>
      </c>
      <c r="J167">
        <f t="shared" si="103"/>
        <v>0</v>
      </c>
      <c r="K167">
        <f t="shared" si="104"/>
        <v>0</v>
      </c>
      <c r="L167">
        <f t="shared" si="105"/>
        <v>0</v>
      </c>
      <c r="M167">
        <f t="shared" si="106"/>
        <v>0</v>
      </c>
      <c r="N167">
        <f t="shared" si="107"/>
        <v>0</v>
      </c>
      <c r="O167">
        <f t="shared" si="108"/>
        <v>0</v>
      </c>
      <c r="P167">
        <f t="shared" si="109"/>
        <v>0</v>
      </c>
      <c r="Q167">
        <f t="shared" si="110"/>
        <v>0</v>
      </c>
      <c r="R167">
        <f t="shared" si="111"/>
        <v>0</v>
      </c>
      <c r="S167">
        <f t="shared" si="112"/>
        <v>0</v>
      </c>
      <c r="T167">
        <f t="shared" si="113"/>
        <v>0</v>
      </c>
      <c r="U167">
        <f t="shared" si="114"/>
        <v>0</v>
      </c>
      <c r="V167">
        <f t="shared" si="115"/>
        <v>0</v>
      </c>
      <c r="W167">
        <f t="shared" si="116"/>
        <v>0</v>
      </c>
      <c r="X167">
        <f t="shared" si="117"/>
        <v>0</v>
      </c>
      <c r="Y167">
        <f t="shared" si="118"/>
        <v>0</v>
      </c>
      <c r="Z167">
        <f t="shared" si="119"/>
        <v>0</v>
      </c>
      <c r="AA167">
        <f t="shared" si="120"/>
        <v>0</v>
      </c>
      <c r="AB167">
        <f t="shared" si="121"/>
        <v>0</v>
      </c>
      <c r="AC167">
        <f t="shared" si="122"/>
        <v>0</v>
      </c>
      <c r="AD167">
        <f t="shared" si="123"/>
        <v>0</v>
      </c>
      <c r="AE167">
        <f t="shared" si="124"/>
        <v>0</v>
      </c>
      <c r="AF167">
        <f t="shared" si="125"/>
        <v>0</v>
      </c>
      <c r="AG167">
        <f t="shared" si="126"/>
        <v>0</v>
      </c>
      <c r="AH167">
        <f t="shared" si="127"/>
        <v>0</v>
      </c>
      <c r="AI167">
        <f t="shared" si="128"/>
        <v>0</v>
      </c>
      <c r="AJ167">
        <f t="shared" si="129"/>
        <v>0</v>
      </c>
      <c r="AK167">
        <f t="shared" si="130"/>
        <v>0</v>
      </c>
      <c r="AL167">
        <f t="shared" si="131"/>
        <v>0</v>
      </c>
      <c r="AM167">
        <f t="shared" si="132"/>
        <v>0</v>
      </c>
      <c r="AN167">
        <f t="shared" si="133"/>
        <v>0</v>
      </c>
      <c r="AO167">
        <f t="shared" si="134"/>
        <v>0</v>
      </c>
      <c r="AP167">
        <f t="shared" si="135"/>
        <v>0</v>
      </c>
      <c r="AQ167">
        <f t="shared" si="136"/>
        <v>0</v>
      </c>
      <c r="AR167">
        <f t="shared" si="137"/>
        <v>0</v>
      </c>
      <c r="AS167">
        <f t="shared" si="138"/>
        <v>0</v>
      </c>
      <c r="AT167">
        <f t="shared" si="139"/>
        <v>0</v>
      </c>
      <c r="AU167">
        <f t="shared" si="140"/>
        <v>0</v>
      </c>
      <c r="AV167">
        <f t="shared" si="141"/>
        <v>0</v>
      </c>
      <c r="AW167">
        <f t="shared" si="96"/>
        <v>0</v>
      </c>
      <c r="AX167">
        <f t="shared" si="142"/>
        <v>0</v>
      </c>
      <c r="AY167">
        <f t="shared" si="143"/>
        <v>0</v>
      </c>
    </row>
    <row r="168" spans="1:51" x14ac:dyDescent="0.35">
      <c r="A168">
        <v>162</v>
      </c>
      <c r="C168">
        <f>MAX(0,Calc!$C$7-SUM(D168:R168))</f>
        <v>750</v>
      </c>
      <c r="D168">
        <f t="shared" si="97"/>
        <v>0</v>
      </c>
      <c r="E168">
        <f t="shared" si="98"/>
        <v>0</v>
      </c>
      <c r="F168">
        <f t="shared" si="99"/>
        <v>0</v>
      </c>
      <c r="G168">
        <f t="shared" si="100"/>
        <v>0</v>
      </c>
      <c r="H168">
        <f t="shared" si="101"/>
        <v>0</v>
      </c>
      <c r="I168">
        <f t="shared" si="102"/>
        <v>0</v>
      </c>
      <c r="J168">
        <f t="shared" si="103"/>
        <v>0</v>
      </c>
      <c r="K168">
        <f t="shared" si="104"/>
        <v>0</v>
      </c>
      <c r="L168">
        <f t="shared" si="105"/>
        <v>0</v>
      </c>
      <c r="M168">
        <f t="shared" si="106"/>
        <v>0</v>
      </c>
      <c r="N168">
        <f t="shared" si="107"/>
        <v>0</v>
      </c>
      <c r="O168">
        <f t="shared" si="108"/>
        <v>0</v>
      </c>
      <c r="P168">
        <f t="shared" si="109"/>
        <v>0</v>
      </c>
      <c r="Q168">
        <f t="shared" si="110"/>
        <v>0</v>
      </c>
      <c r="R168">
        <f t="shared" si="111"/>
        <v>0</v>
      </c>
      <c r="S168">
        <f t="shared" si="112"/>
        <v>0</v>
      </c>
      <c r="T168">
        <f t="shared" si="113"/>
        <v>0</v>
      </c>
      <c r="U168">
        <f t="shared" si="114"/>
        <v>0</v>
      </c>
      <c r="V168">
        <f t="shared" si="115"/>
        <v>0</v>
      </c>
      <c r="W168">
        <f t="shared" si="116"/>
        <v>0</v>
      </c>
      <c r="X168">
        <f t="shared" si="117"/>
        <v>0</v>
      </c>
      <c r="Y168">
        <f t="shared" si="118"/>
        <v>0</v>
      </c>
      <c r="Z168">
        <f t="shared" si="119"/>
        <v>0</v>
      </c>
      <c r="AA168">
        <f t="shared" si="120"/>
        <v>0</v>
      </c>
      <c r="AB168">
        <f t="shared" si="121"/>
        <v>0</v>
      </c>
      <c r="AC168">
        <f t="shared" si="122"/>
        <v>0</v>
      </c>
      <c r="AD168">
        <f t="shared" si="123"/>
        <v>0</v>
      </c>
      <c r="AE168">
        <f t="shared" si="124"/>
        <v>0</v>
      </c>
      <c r="AF168">
        <f t="shared" si="125"/>
        <v>0</v>
      </c>
      <c r="AG168">
        <f t="shared" si="126"/>
        <v>0</v>
      </c>
      <c r="AH168">
        <f t="shared" si="127"/>
        <v>0</v>
      </c>
      <c r="AI168">
        <f t="shared" si="128"/>
        <v>0</v>
      </c>
      <c r="AJ168">
        <f t="shared" si="129"/>
        <v>0</v>
      </c>
      <c r="AK168">
        <f t="shared" si="130"/>
        <v>0</v>
      </c>
      <c r="AL168">
        <f t="shared" si="131"/>
        <v>0</v>
      </c>
      <c r="AM168">
        <f t="shared" si="132"/>
        <v>0</v>
      </c>
      <c r="AN168">
        <f t="shared" si="133"/>
        <v>0</v>
      </c>
      <c r="AO168">
        <f t="shared" si="134"/>
        <v>0</v>
      </c>
      <c r="AP168">
        <f t="shared" si="135"/>
        <v>0</v>
      </c>
      <c r="AQ168">
        <f t="shared" si="136"/>
        <v>0</v>
      </c>
      <c r="AR168">
        <f t="shared" si="137"/>
        <v>0</v>
      </c>
      <c r="AS168">
        <f t="shared" si="138"/>
        <v>0</v>
      </c>
      <c r="AT168">
        <f t="shared" si="139"/>
        <v>0</v>
      </c>
      <c r="AU168">
        <f t="shared" si="140"/>
        <v>0</v>
      </c>
      <c r="AV168">
        <f t="shared" si="141"/>
        <v>0</v>
      </c>
      <c r="AW168">
        <f t="shared" si="96"/>
        <v>0</v>
      </c>
      <c r="AX168">
        <f t="shared" si="142"/>
        <v>0</v>
      </c>
      <c r="AY168">
        <f t="shared" si="143"/>
        <v>0</v>
      </c>
    </row>
    <row r="169" spans="1:51" x14ac:dyDescent="0.35">
      <c r="A169">
        <v>163</v>
      </c>
      <c r="C169">
        <f>MAX(0,Calc!$C$7-SUM(D169:R169))</f>
        <v>750</v>
      </c>
      <c r="D169">
        <f t="shared" si="97"/>
        <v>0</v>
      </c>
      <c r="E169">
        <f t="shared" si="98"/>
        <v>0</v>
      </c>
      <c r="F169">
        <f t="shared" si="99"/>
        <v>0</v>
      </c>
      <c r="G169">
        <f t="shared" si="100"/>
        <v>0</v>
      </c>
      <c r="H169">
        <f t="shared" si="101"/>
        <v>0</v>
      </c>
      <c r="I169">
        <f t="shared" si="102"/>
        <v>0</v>
      </c>
      <c r="J169">
        <f t="shared" si="103"/>
        <v>0</v>
      </c>
      <c r="K169">
        <f t="shared" si="104"/>
        <v>0</v>
      </c>
      <c r="L169">
        <f t="shared" si="105"/>
        <v>0</v>
      </c>
      <c r="M169">
        <f t="shared" si="106"/>
        <v>0</v>
      </c>
      <c r="N169">
        <f t="shared" si="107"/>
        <v>0</v>
      </c>
      <c r="O169">
        <f t="shared" si="108"/>
        <v>0</v>
      </c>
      <c r="P169">
        <f t="shared" si="109"/>
        <v>0</v>
      </c>
      <c r="Q169">
        <f t="shared" si="110"/>
        <v>0</v>
      </c>
      <c r="R169">
        <f t="shared" si="111"/>
        <v>0</v>
      </c>
      <c r="S169">
        <f t="shared" si="112"/>
        <v>0</v>
      </c>
      <c r="T169">
        <f t="shared" si="113"/>
        <v>0</v>
      </c>
      <c r="U169">
        <f t="shared" si="114"/>
        <v>0</v>
      </c>
      <c r="V169">
        <f t="shared" si="115"/>
        <v>0</v>
      </c>
      <c r="W169">
        <f t="shared" si="116"/>
        <v>0</v>
      </c>
      <c r="X169">
        <f t="shared" si="117"/>
        <v>0</v>
      </c>
      <c r="Y169">
        <f t="shared" si="118"/>
        <v>0</v>
      </c>
      <c r="Z169">
        <f t="shared" si="119"/>
        <v>0</v>
      </c>
      <c r="AA169">
        <f t="shared" si="120"/>
        <v>0</v>
      </c>
      <c r="AB169">
        <f t="shared" si="121"/>
        <v>0</v>
      </c>
      <c r="AC169">
        <f t="shared" si="122"/>
        <v>0</v>
      </c>
      <c r="AD169">
        <f t="shared" si="123"/>
        <v>0</v>
      </c>
      <c r="AE169">
        <f t="shared" si="124"/>
        <v>0</v>
      </c>
      <c r="AF169">
        <f t="shared" si="125"/>
        <v>0</v>
      </c>
      <c r="AG169">
        <f t="shared" si="126"/>
        <v>0</v>
      </c>
      <c r="AH169">
        <f t="shared" si="127"/>
        <v>0</v>
      </c>
      <c r="AI169">
        <f t="shared" si="128"/>
        <v>0</v>
      </c>
      <c r="AJ169">
        <f t="shared" si="129"/>
        <v>0</v>
      </c>
      <c r="AK169">
        <f t="shared" si="130"/>
        <v>0</v>
      </c>
      <c r="AL169">
        <f t="shared" si="131"/>
        <v>0</v>
      </c>
      <c r="AM169">
        <f t="shared" si="132"/>
        <v>0</v>
      </c>
      <c r="AN169">
        <f t="shared" si="133"/>
        <v>0</v>
      </c>
      <c r="AO169">
        <f t="shared" si="134"/>
        <v>0</v>
      </c>
      <c r="AP169">
        <f t="shared" si="135"/>
        <v>0</v>
      </c>
      <c r="AQ169">
        <f t="shared" si="136"/>
        <v>0</v>
      </c>
      <c r="AR169">
        <f t="shared" si="137"/>
        <v>0</v>
      </c>
      <c r="AS169">
        <f t="shared" si="138"/>
        <v>0</v>
      </c>
      <c r="AT169">
        <f t="shared" si="139"/>
        <v>0</v>
      </c>
      <c r="AU169">
        <f t="shared" si="140"/>
        <v>0</v>
      </c>
      <c r="AV169">
        <f t="shared" si="141"/>
        <v>0</v>
      </c>
      <c r="AW169">
        <f t="shared" si="96"/>
        <v>0</v>
      </c>
      <c r="AX169">
        <f t="shared" si="142"/>
        <v>0</v>
      </c>
      <c r="AY169">
        <f t="shared" si="143"/>
        <v>0</v>
      </c>
    </row>
    <row r="170" spans="1:51" x14ac:dyDescent="0.35">
      <c r="A170">
        <v>164</v>
      </c>
      <c r="C170">
        <f>MAX(0,Calc!$C$7-SUM(D170:R170))</f>
        <v>750</v>
      </c>
      <c r="D170">
        <f t="shared" si="97"/>
        <v>0</v>
      </c>
      <c r="E170">
        <f t="shared" si="98"/>
        <v>0</v>
      </c>
      <c r="F170">
        <f t="shared" si="99"/>
        <v>0</v>
      </c>
      <c r="G170">
        <f t="shared" si="100"/>
        <v>0</v>
      </c>
      <c r="H170">
        <f t="shared" si="101"/>
        <v>0</v>
      </c>
      <c r="I170">
        <f t="shared" si="102"/>
        <v>0</v>
      </c>
      <c r="J170">
        <f t="shared" si="103"/>
        <v>0</v>
      </c>
      <c r="K170">
        <f t="shared" si="104"/>
        <v>0</v>
      </c>
      <c r="L170">
        <f t="shared" si="105"/>
        <v>0</v>
      </c>
      <c r="M170">
        <f t="shared" si="106"/>
        <v>0</v>
      </c>
      <c r="N170">
        <f t="shared" si="107"/>
        <v>0</v>
      </c>
      <c r="O170">
        <f t="shared" si="108"/>
        <v>0</v>
      </c>
      <c r="P170">
        <f t="shared" si="109"/>
        <v>0</v>
      </c>
      <c r="Q170">
        <f t="shared" si="110"/>
        <v>0</v>
      </c>
      <c r="R170">
        <f t="shared" si="111"/>
        <v>0</v>
      </c>
      <c r="S170">
        <f t="shared" si="112"/>
        <v>0</v>
      </c>
      <c r="T170">
        <f t="shared" si="113"/>
        <v>0</v>
      </c>
      <c r="U170">
        <f t="shared" si="114"/>
        <v>0</v>
      </c>
      <c r="V170">
        <f t="shared" si="115"/>
        <v>0</v>
      </c>
      <c r="W170">
        <f t="shared" si="116"/>
        <v>0</v>
      </c>
      <c r="X170">
        <f t="shared" si="117"/>
        <v>0</v>
      </c>
      <c r="Y170">
        <f t="shared" si="118"/>
        <v>0</v>
      </c>
      <c r="Z170">
        <f t="shared" si="119"/>
        <v>0</v>
      </c>
      <c r="AA170">
        <f t="shared" si="120"/>
        <v>0</v>
      </c>
      <c r="AB170">
        <f t="shared" si="121"/>
        <v>0</v>
      </c>
      <c r="AC170">
        <f t="shared" si="122"/>
        <v>0</v>
      </c>
      <c r="AD170">
        <f t="shared" si="123"/>
        <v>0</v>
      </c>
      <c r="AE170">
        <f t="shared" si="124"/>
        <v>0</v>
      </c>
      <c r="AF170">
        <f t="shared" si="125"/>
        <v>0</v>
      </c>
      <c r="AG170">
        <f t="shared" si="126"/>
        <v>0</v>
      </c>
      <c r="AH170">
        <f t="shared" si="127"/>
        <v>0</v>
      </c>
      <c r="AI170">
        <f t="shared" si="128"/>
        <v>0</v>
      </c>
      <c r="AJ170">
        <f t="shared" si="129"/>
        <v>0</v>
      </c>
      <c r="AK170">
        <f t="shared" si="130"/>
        <v>0</v>
      </c>
      <c r="AL170">
        <f t="shared" si="131"/>
        <v>0</v>
      </c>
      <c r="AM170">
        <f t="shared" si="132"/>
        <v>0</v>
      </c>
      <c r="AN170">
        <f t="shared" si="133"/>
        <v>0</v>
      </c>
      <c r="AO170">
        <f t="shared" si="134"/>
        <v>0</v>
      </c>
      <c r="AP170">
        <f t="shared" si="135"/>
        <v>0</v>
      </c>
      <c r="AQ170">
        <f t="shared" si="136"/>
        <v>0</v>
      </c>
      <c r="AR170">
        <f t="shared" si="137"/>
        <v>0</v>
      </c>
      <c r="AS170">
        <f t="shared" si="138"/>
        <v>0</v>
      </c>
      <c r="AT170">
        <f t="shared" si="139"/>
        <v>0</v>
      </c>
      <c r="AU170">
        <f t="shared" si="140"/>
        <v>0</v>
      </c>
      <c r="AV170">
        <f t="shared" si="141"/>
        <v>0</v>
      </c>
      <c r="AW170">
        <f t="shared" si="96"/>
        <v>0</v>
      </c>
      <c r="AX170">
        <f t="shared" si="142"/>
        <v>0</v>
      </c>
      <c r="AY170">
        <f t="shared" si="143"/>
        <v>0</v>
      </c>
    </row>
    <row r="171" spans="1:51" x14ac:dyDescent="0.35">
      <c r="A171">
        <v>165</v>
      </c>
      <c r="C171">
        <f>MAX(0,Calc!$C$7-SUM(D171:R171))</f>
        <v>750</v>
      </c>
      <c r="D171">
        <f t="shared" si="97"/>
        <v>0</v>
      </c>
      <c r="E171">
        <f t="shared" si="98"/>
        <v>0</v>
      </c>
      <c r="F171">
        <f t="shared" si="99"/>
        <v>0</v>
      </c>
      <c r="G171">
        <f t="shared" si="100"/>
        <v>0</v>
      </c>
      <c r="H171">
        <f t="shared" si="101"/>
        <v>0</v>
      </c>
      <c r="I171">
        <f t="shared" si="102"/>
        <v>0</v>
      </c>
      <c r="J171">
        <f t="shared" si="103"/>
        <v>0</v>
      </c>
      <c r="K171">
        <f t="shared" si="104"/>
        <v>0</v>
      </c>
      <c r="L171">
        <f t="shared" si="105"/>
        <v>0</v>
      </c>
      <c r="M171">
        <f t="shared" si="106"/>
        <v>0</v>
      </c>
      <c r="N171">
        <f t="shared" si="107"/>
        <v>0</v>
      </c>
      <c r="O171">
        <f t="shared" si="108"/>
        <v>0</v>
      </c>
      <c r="P171">
        <f t="shared" si="109"/>
        <v>0</v>
      </c>
      <c r="Q171">
        <f t="shared" si="110"/>
        <v>0</v>
      </c>
      <c r="R171">
        <f t="shared" si="111"/>
        <v>0</v>
      </c>
      <c r="S171">
        <f t="shared" si="112"/>
        <v>0</v>
      </c>
      <c r="T171">
        <f t="shared" si="113"/>
        <v>0</v>
      </c>
      <c r="U171">
        <f t="shared" si="114"/>
        <v>0</v>
      </c>
      <c r="V171">
        <f t="shared" si="115"/>
        <v>0</v>
      </c>
      <c r="W171">
        <f t="shared" si="116"/>
        <v>0</v>
      </c>
      <c r="X171">
        <f t="shared" si="117"/>
        <v>0</v>
      </c>
      <c r="Y171">
        <f t="shared" si="118"/>
        <v>0</v>
      </c>
      <c r="Z171">
        <f t="shared" si="119"/>
        <v>0</v>
      </c>
      <c r="AA171">
        <f t="shared" si="120"/>
        <v>0</v>
      </c>
      <c r="AB171">
        <f t="shared" si="121"/>
        <v>0</v>
      </c>
      <c r="AC171">
        <f t="shared" si="122"/>
        <v>0</v>
      </c>
      <c r="AD171">
        <f t="shared" si="123"/>
        <v>0</v>
      </c>
      <c r="AE171">
        <f t="shared" si="124"/>
        <v>0</v>
      </c>
      <c r="AF171">
        <f t="shared" si="125"/>
        <v>0</v>
      </c>
      <c r="AG171">
        <f t="shared" si="126"/>
        <v>0</v>
      </c>
      <c r="AH171">
        <f t="shared" si="127"/>
        <v>0</v>
      </c>
      <c r="AI171">
        <f t="shared" si="128"/>
        <v>0</v>
      </c>
      <c r="AJ171">
        <f t="shared" si="129"/>
        <v>0</v>
      </c>
      <c r="AK171">
        <f t="shared" si="130"/>
        <v>0</v>
      </c>
      <c r="AL171">
        <f t="shared" si="131"/>
        <v>0</v>
      </c>
      <c r="AM171">
        <f t="shared" si="132"/>
        <v>0</v>
      </c>
      <c r="AN171">
        <f t="shared" si="133"/>
        <v>0</v>
      </c>
      <c r="AO171">
        <f t="shared" si="134"/>
        <v>0</v>
      </c>
      <c r="AP171">
        <f t="shared" si="135"/>
        <v>0</v>
      </c>
      <c r="AQ171">
        <f t="shared" si="136"/>
        <v>0</v>
      </c>
      <c r="AR171">
        <f t="shared" si="137"/>
        <v>0</v>
      </c>
      <c r="AS171">
        <f t="shared" si="138"/>
        <v>0</v>
      </c>
      <c r="AT171">
        <f t="shared" si="139"/>
        <v>0</v>
      </c>
      <c r="AU171">
        <f t="shared" si="140"/>
        <v>0</v>
      </c>
      <c r="AV171">
        <f t="shared" si="141"/>
        <v>0</v>
      </c>
      <c r="AW171">
        <f t="shared" si="96"/>
        <v>0</v>
      </c>
      <c r="AX171">
        <f t="shared" si="142"/>
        <v>0</v>
      </c>
      <c r="AY171">
        <f t="shared" si="143"/>
        <v>0</v>
      </c>
    </row>
    <row r="172" spans="1:51" x14ac:dyDescent="0.35">
      <c r="A172">
        <v>166</v>
      </c>
      <c r="C172">
        <f>MAX(0,Calc!$C$7-SUM(D172:R172))</f>
        <v>750</v>
      </c>
      <c r="D172">
        <f t="shared" si="97"/>
        <v>0</v>
      </c>
      <c r="E172">
        <f t="shared" si="98"/>
        <v>0</v>
      </c>
      <c r="F172">
        <f t="shared" si="99"/>
        <v>0</v>
      </c>
      <c r="G172">
        <f t="shared" si="100"/>
        <v>0</v>
      </c>
      <c r="H172">
        <f t="shared" si="101"/>
        <v>0</v>
      </c>
      <c r="I172">
        <f t="shared" si="102"/>
        <v>0</v>
      </c>
      <c r="J172">
        <f t="shared" si="103"/>
        <v>0</v>
      </c>
      <c r="K172">
        <f t="shared" si="104"/>
        <v>0</v>
      </c>
      <c r="L172">
        <f t="shared" si="105"/>
        <v>0</v>
      </c>
      <c r="M172">
        <f t="shared" si="106"/>
        <v>0</v>
      </c>
      <c r="N172">
        <f t="shared" si="107"/>
        <v>0</v>
      </c>
      <c r="O172">
        <f t="shared" si="108"/>
        <v>0</v>
      </c>
      <c r="P172">
        <f t="shared" si="109"/>
        <v>0</v>
      </c>
      <c r="Q172">
        <f t="shared" si="110"/>
        <v>0</v>
      </c>
      <c r="R172">
        <f t="shared" si="111"/>
        <v>0</v>
      </c>
      <c r="S172">
        <f t="shared" si="112"/>
        <v>0</v>
      </c>
      <c r="T172">
        <f t="shared" si="113"/>
        <v>0</v>
      </c>
      <c r="U172">
        <f t="shared" si="114"/>
        <v>0</v>
      </c>
      <c r="V172">
        <f t="shared" si="115"/>
        <v>0</v>
      </c>
      <c r="W172">
        <f t="shared" si="116"/>
        <v>0</v>
      </c>
      <c r="X172">
        <f t="shared" si="117"/>
        <v>0</v>
      </c>
      <c r="Y172">
        <f t="shared" si="118"/>
        <v>0</v>
      </c>
      <c r="Z172">
        <f t="shared" si="119"/>
        <v>0</v>
      </c>
      <c r="AA172">
        <f t="shared" si="120"/>
        <v>0</v>
      </c>
      <c r="AB172">
        <f t="shared" si="121"/>
        <v>0</v>
      </c>
      <c r="AC172">
        <f t="shared" si="122"/>
        <v>0</v>
      </c>
      <c r="AD172">
        <f t="shared" si="123"/>
        <v>0</v>
      </c>
      <c r="AE172">
        <f t="shared" si="124"/>
        <v>0</v>
      </c>
      <c r="AF172">
        <f t="shared" si="125"/>
        <v>0</v>
      </c>
      <c r="AG172">
        <f t="shared" si="126"/>
        <v>0</v>
      </c>
      <c r="AH172">
        <f t="shared" si="127"/>
        <v>0</v>
      </c>
      <c r="AI172">
        <f t="shared" si="128"/>
        <v>0</v>
      </c>
      <c r="AJ172">
        <f t="shared" si="129"/>
        <v>0</v>
      </c>
      <c r="AK172">
        <f t="shared" si="130"/>
        <v>0</v>
      </c>
      <c r="AL172">
        <f t="shared" si="131"/>
        <v>0</v>
      </c>
      <c r="AM172">
        <f t="shared" si="132"/>
        <v>0</v>
      </c>
      <c r="AN172">
        <f t="shared" si="133"/>
        <v>0</v>
      </c>
      <c r="AO172">
        <f t="shared" si="134"/>
        <v>0</v>
      </c>
      <c r="AP172">
        <f t="shared" si="135"/>
        <v>0</v>
      </c>
      <c r="AQ172">
        <f t="shared" si="136"/>
        <v>0</v>
      </c>
      <c r="AR172">
        <f t="shared" si="137"/>
        <v>0</v>
      </c>
      <c r="AS172">
        <f t="shared" si="138"/>
        <v>0</v>
      </c>
      <c r="AT172">
        <f t="shared" si="139"/>
        <v>0</v>
      </c>
      <c r="AU172">
        <f t="shared" si="140"/>
        <v>0</v>
      </c>
      <c r="AV172">
        <f t="shared" si="141"/>
        <v>0</v>
      </c>
      <c r="AW172">
        <f t="shared" si="96"/>
        <v>0</v>
      </c>
      <c r="AX172">
        <f t="shared" si="142"/>
        <v>0</v>
      </c>
      <c r="AY172">
        <f t="shared" si="143"/>
        <v>0</v>
      </c>
    </row>
    <row r="173" spans="1:51" x14ac:dyDescent="0.35">
      <c r="A173">
        <v>167</v>
      </c>
      <c r="C173">
        <f>MAX(0,Calc!$C$7-SUM(D173:R173))</f>
        <v>750</v>
      </c>
      <c r="D173">
        <f t="shared" si="97"/>
        <v>0</v>
      </c>
      <c r="E173">
        <f t="shared" si="98"/>
        <v>0</v>
      </c>
      <c r="F173">
        <f t="shared" si="99"/>
        <v>0</v>
      </c>
      <c r="G173">
        <f t="shared" si="100"/>
        <v>0</v>
      </c>
      <c r="H173">
        <f t="shared" si="101"/>
        <v>0</v>
      </c>
      <c r="I173">
        <f t="shared" si="102"/>
        <v>0</v>
      </c>
      <c r="J173">
        <f t="shared" si="103"/>
        <v>0</v>
      </c>
      <c r="K173">
        <f t="shared" si="104"/>
        <v>0</v>
      </c>
      <c r="L173">
        <f t="shared" si="105"/>
        <v>0</v>
      </c>
      <c r="M173">
        <f t="shared" si="106"/>
        <v>0</v>
      </c>
      <c r="N173">
        <f t="shared" si="107"/>
        <v>0</v>
      </c>
      <c r="O173">
        <f t="shared" si="108"/>
        <v>0</v>
      </c>
      <c r="P173">
        <f t="shared" si="109"/>
        <v>0</v>
      </c>
      <c r="Q173">
        <f t="shared" si="110"/>
        <v>0</v>
      </c>
      <c r="R173">
        <f t="shared" si="111"/>
        <v>0</v>
      </c>
      <c r="S173">
        <f t="shared" si="112"/>
        <v>0</v>
      </c>
      <c r="T173">
        <f t="shared" si="113"/>
        <v>0</v>
      </c>
      <c r="U173">
        <f t="shared" si="114"/>
        <v>0</v>
      </c>
      <c r="V173">
        <f t="shared" si="115"/>
        <v>0</v>
      </c>
      <c r="W173">
        <f t="shared" si="116"/>
        <v>0</v>
      </c>
      <c r="X173">
        <f t="shared" si="117"/>
        <v>0</v>
      </c>
      <c r="Y173">
        <f t="shared" si="118"/>
        <v>0</v>
      </c>
      <c r="Z173">
        <f t="shared" si="119"/>
        <v>0</v>
      </c>
      <c r="AA173">
        <f t="shared" si="120"/>
        <v>0</v>
      </c>
      <c r="AB173">
        <f t="shared" si="121"/>
        <v>0</v>
      </c>
      <c r="AC173">
        <f t="shared" si="122"/>
        <v>0</v>
      </c>
      <c r="AD173">
        <f t="shared" si="123"/>
        <v>0</v>
      </c>
      <c r="AE173">
        <f t="shared" si="124"/>
        <v>0</v>
      </c>
      <c r="AF173">
        <f t="shared" si="125"/>
        <v>0</v>
      </c>
      <c r="AG173">
        <f t="shared" si="126"/>
        <v>0</v>
      </c>
      <c r="AH173">
        <f t="shared" si="127"/>
        <v>0</v>
      </c>
      <c r="AI173">
        <f t="shared" si="128"/>
        <v>0</v>
      </c>
      <c r="AJ173">
        <f t="shared" si="129"/>
        <v>0</v>
      </c>
      <c r="AK173">
        <f t="shared" si="130"/>
        <v>0</v>
      </c>
      <c r="AL173">
        <f t="shared" si="131"/>
        <v>0</v>
      </c>
      <c r="AM173">
        <f t="shared" si="132"/>
        <v>0</v>
      </c>
      <c r="AN173">
        <f t="shared" si="133"/>
        <v>0</v>
      </c>
      <c r="AO173">
        <f t="shared" si="134"/>
        <v>0</v>
      </c>
      <c r="AP173">
        <f t="shared" si="135"/>
        <v>0</v>
      </c>
      <c r="AQ173">
        <f t="shared" si="136"/>
        <v>0</v>
      </c>
      <c r="AR173">
        <f t="shared" si="137"/>
        <v>0</v>
      </c>
      <c r="AS173">
        <f t="shared" si="138"/>
        <v>0</v>
      </c>
      <c r="AT173">
        <f t="shared" si="139"/>
        <v>0</v>
      </c>
      <c r="AU173">
        <f t="shared" si="140"/>
        <v>0</v>
      </c>
      <c r="AV173">
        <f t="shared" si="141"/>
        <v>0</v>
      </c>
      <c r="AW173">
        <f t="shared" si="96"/>
        <v>0</v>
      </c>
      <c r="AX173">
        <f t="shared" si="142"/>
        <v>0</v>
      </c>
      <c r="AY173">
        <f t="shared" si="143"/>
        <v>0</v>
      </c>
    </row>
    <row r="174" spans="1:51" x14ac:dyDescent="0.35">
      <c r="A174">
        <v>168</v>
      </c>
      <c r="C174">
        <f>MAX(0,Calc!$C$7-SUM(D174:R174))</f>
        <v>750</v>
      </c>
      <c r="D174">
        <f t="shared" si="97"/>
        <v>0</v>
      </c>
      <c r="E174">
        <f t="shared" si="98"/>
        <v>0</v>
      </c>
      <c r="F174">
        <f t="shared" si="99"/>
        <v>0</v>
      </c>
      <c r="G174">
        <f t="shared" si="100"/>
        <v>0</v>
      </c>
      <c r="H174">
        <f t="shared" si="101"/>
        <v>0</v>
      </c>
      <c r="I174">
        <f t="shared" si="102"/>
        <v>0</v>
      </c>
      <c r="J174">
        <f t="shared" si="103"/>
        <v>0</v>
      </c>
      <c r="K174">
        <f t="shared" si="104"/>
        <v>0</v>
      </c>
      <c r="L174">
        <f t="shared" si="105"/>
        <v>0</v>
      </c>
      <c r="M174">
        <f t="shared" si="106"/>
        <v>0</v>
      </c>
      <c r="N174">
        <f t="shared" si="107"/>
        <v>0</v>
      </c>
      <c r="O174">
        <f t="shared" si="108"/>
        <v>0</v>
      </c>
      <c r="P174">
        <f t="shared" si="109"/>
        <v>0</v>
      </c>
      <c r="Q174">
        <f t="shared" si="110"/>
        <v>0</v>
      </c>
      <c r="R174">
        <f t="shared" si="111"/>
        <v>0</v>
      </c>
      <c r="S174">
        <f t="shared" si="112"/>
        <v>0</v>
      </c>
      <c r="T174">
        <f t="shared" si="113"/>
        <v>0</v>
      </c>
      <c r="U174">
        <f t="shared" si="114"/>
        <v>0</v>
      </c>
      <c r="V174">
        <f t="shared" si="115"/>
        <v>0</v>
      </c>
      <c r="W174">
        <f t="shared" si="116"/>
        <v>0</v>
      </c>
      <c r="X174">
        <f t="shared" si="117"/>
        <v>0</v>
      </c>
      <c r="Y174">
        <f t="shared" si="118"/>
        <v>0</v>
      </c>
      <c r="Z174">
        <f t="shared" si="119"/>
        <v>0</v>
      </c>
      <c r="AA174">
        <f t="shared" si="120"/>
        <v>0</v>
      </c>
      <c r="AB174">
        <f t="shared" si="121"/>
        <v>0</v>
      </c>
      <c r="AC174">
        <f t="shared" si="122"/>
        <v>0</v>
      </c>
      <c r="AD174">
        <f t="shared" si="123"/>
        <v>0</v>
      </c>
      <c r="AE174">
        <f t="shared" si="124"/>
        <v>0</v>
      </c>
      <c r="AF174">
        <f t="shared" si="125"/>
        <v>0</v>
      </c>
      <c r="AG174">
        <f t="shared" si="126"/>
        <v>0</v>
      </c>
      <c r="AH174">
        <f t="shared" si="127"/>
        <v>0</v>
      </c>
      <c r="AI174">
        <f t="shared" si="128"/>
        <v>0</v>
      </c>
      <c r="AJ174">
        <f t="shared" si="129"/>
        <v>0</v>
      </c>
      <c r="AK174">
        <f t="shared" si="130"/>
        <v>0</v>
      </c>
      <c r="AL174">
        <f t="shared" si="131"/>
        <v>0</v>
      </c>
      <c r="AM174">
        <f t="shared" si="132"/>
        <v>0</v>
      </c>
      <c r="AN174">
        <f t="shared" si="133"/>
        <v>0</v>
      </c>
      <c r="AO174">
        <f t="shared" si="134"/>
        <v>0</v>
      </c>
      <c r="AP174">
        <f t="shared" si="135"/>
        <v>0</v>
      </c>
      <c r="AQ174">
        <f t="shared" si="136"/>
        <v>0</v>
      </c>
      <c r="AR174">
        <f t="shared" si="137"/>
        <v>0</v>
      </c>
      <c r="AS174">
        <f t="shared" si="138"/>
        <v>0</v>
      </c>
      <c r="AT174">
        <f t="shared" si="139"/>
        <v>0</v>
      </c>
      <c r="AU174">
        <f t="shared" si="140"/>
        <v>0</v>
      </c>
      <c r="AV174">
        <f t="shared" si="141"/>
        <v>0</v>
      </c>
      <c r="AW174">
        <f t="shared" si="96"/>
        <v>0</v>
      </c>
      <c r="AX174">
        <f t="shared" si="142"/>
        <v>0</v>
      </c>
      <c r="AY174">
        <f t="shared" si="143"/>
        <v>0</v>
      </c>
    </row>
    <row r="175" spans="1:51" x14ac:dyDescent="0.35">
      <c r="A175">
        <v>169</v>
      </c>
      <c r="C175">
        <f>MAX(0,Calc!$C$7-SUM(D175:R175))</f>
        <v>750</v>
      </c>
      <c r="D175">
        <f t="shared" si="97"/>
        <v>0</v>
      </c>
      <c r="E175">
        <f t="shared" si="98"/>
        <v>0</v>
      </c>
      <c r="F175">
        <f t="shared" si="99"/>
        <v>0</v>
      </c>
      <c r="G175">
        <f t="shared" si="100"/>
        <v>0</v>
      </c>
      <c r="H175">
        <f t="shared" si="101"/>
        <v>0</v>
      </c>
      <c r="I175">
        <f t="shared" si="102"/>
        <v>0</v>
      </c>
      <c r="J175">
        <f t="shared" si="103"/>
        <v>0</v>
      </c>
      <c r="K175">
        <f t="shared" si="104"/>
        <v>0</v>
      </c>
      <c r="L175">
        <f t="shared" si="105"/>
        <v>0</v>
      </c>
      <c r="M175">
        <f t="shared" si="106"/>
        <v>0</v>
      </c>
      <c r="N175">
        <f t="shared" si="107"/>
        <v>0</v>
      </c>
      <c r="O175">
        <f t="shared" si="108"/>
        <v>0</v>
      </c>
      <c r="P175">
        <f t="shared" si="109"/>
        <v>0</v>
      </c>
      <c r="Q175">
        <f t="shared" si="110"/>
        <v>0</v>
      </c>
      <c r="R175">
        <f t="shared" si="111"/>
        <v>0</v>
      </c>
      <c r="S175">
        <f t="shared" si="112"/>
        <v>0</v>
      </c>
      <c r="T175">
        <f t="shared" si="113"/>
        <v>0</v>
      </c>
      <c r="U175">
        <f t="shared" si="114"/>
        <v>0</v>
      </c>
      <c r="V175">
        <f t="shared" si="115"/>
        <v>0</v>
      </c>
      <c r="W175">
        <f t="shared" si="116"/>
        <v>0</v>
      </c>
      <c r="X175">
        <f t="shared" si="117"/>
        <v>0</v>
      </c>
      <c r="Y175">
        <f t="shared" si="118"/>
        <v>0</v>
      </c>
      <c r="Z175">
        <f t="shared" si="119"/>
        <v>0</v>
      </c>
      <c r="AA175">
        <f t="shared" si="120"/>
        <v>0</v>
      </c>
      <c r="AB175">
        <f t="shared" si="121"/>
        <v>0</v>
      </c>
      <c r="AC175">
        <f t="shared" si="122"/>
        <v>0</v>
      </c>
      <c r="AD175">
        <f t="shared" si="123"/>
        <v>0</v>
      </c>
      <c r="AE175">
        <f t="shared" si="124"/>
        <v>0</v>
      </c>
      <c r="AF175">
        <f t="shared" si="125"/>
        <v>0</v>
      </c>
      <c r="AG175">
        <f t="shared" si="126"/>
        <v>0</v>
      </c>
      <c r="AH175">
        <f t="shared" si="127"/>
        <v>0</v>
      </c>
      <c r="AI175">
        <f t="shared" si="128"/>
        <v>0</v>
      </c>
      <c r="AJ175">
        <f t="shared" si="129"/>
        <v>0</v>
      </c>
      <c r="AK175">
        <f t="shared" si="130"/>
        <v>0</v>
      </c>
      <c r="AL175">
        <f t="shared" si="131"/>
        <v>0</v>
      </c>
      <c r="AM175">
        <f t="shared" si="132"/>
        <v>0</v>
      </c>
      <c r="AN175">
        <f t="shared" si="133"/>
        <v>0</v>
      </c>
      <c r="AO175">
        <f t="shared" si="134"/>
        <v>0</v>
      </c>
      <c r="AP175">
        <f t="shared" si="135"/>
        <v>0</v>
      </c>
      <c r="AQ175">
        <f t="shared" si="136"/>
        <v>0</v>
      </c>
      <c r="AR175">
        <f t="shared" si="137"/>
        <v>0</v>
      </c>
      <c r="AS175">
        <f t="shared" si="138"/>
        <v>0</v>
      </c>
      <c r="AT175">
        <f t="shared" si="139"/>
        <v>0</v>
      </c>
      <c r="AU175">
        <f t="shared" si="140"/>
        <v>0</v>
      </c>
      <c r="AV175">
        <f t="shared" si="141"/>
        <v>0</v>
      </c>
      <c r="AW175">
        <f t="shared" si="96"/>
        <v>0</v>
      </c>
      <c r="AX175">
        <f t="shared" si="142"/>
        <v>0</v>
      </c>
      <c r="AY175">
        <f t="shared" si="143"/>
        <v>0</v>
      </c>
    </row>
    <row r="176" spans="1:51" x14ac:dyDescent="0.35">
      <c r="A176">
        <v>170</v>
      </c>
      <c r="C176">
        <f>MAX(0,Calc!$C$7-SUM(D176:R176))</f>
        <v>750</v>
      </c>
      <c r="D176">
        <f t="shared" si="97"/>
        <v>0</v>
      </c>
      <c r="E176">
        <f t="shared" si="98"/>
        <v>0</v>
      </c>
      <c r="F176">
        <f t="shared" si="99"/>
        <v>0</v>
      </c>
      <c r="G176">
        <f t="shared" si="100"/>
        <v>0</v>
      </c>
      <c r="H176">
        <f t="shared" si="101"/>
        <v>0</v>
      </c>
      <c r="I176">
        <f t="shared" si="102"/>
        <v>0</v>
      </c>
      <c r="J176">
        <f t="shared" si="103"/>
        <v>0</v>
      </c>
      <c r="K176">
        <f t="shared" si="104"/>
        <v>0</v>
      </c>
      <c r="L176">
        <f t="shared" si="105"/>
        <v>0</v>
      </c>
      <c r="M176">
        <f t="shared" si="106"/>
        <v>0</v>
      </c>
      <c r="N176">
        <f t="shared" si="107"/>
        <v>0</v>
      </c>
      <c r="O176">
        <f t="shared" si="108"/>
        <v>0</v>
      </c>
      <c r="P176">
        <f t="shared" si="109"/>
        <v>0</v>
      </c>
      <c r="Q176">
        <f t="shared" si="110"/>
        <v>0</v>
      </c>
      <c r="R176">
        <f t="shared" si="111"/>
        <v>0</v>
      </c>
      <c r="S176">
        <f t="shared" si="112"/>
        <v>0</v>
      </c>
      <c r="T176">
        <f t="shared" si="113"/>
        <v>0</v>
      </c>
      <c r="U176">
        <f t="shared" si="114"/>
        <v>0</v>
      </c>
      <c r="V176">
        <f t="shared" si="115"/>
        <v>0</v>
      </c>
      <c r="W176">
        <f t="shared" si="116"/>
        <v>0</v>
      </c>
      <c r="X176">
        <f t="shared" si="117"/>
        <v>0</v>
      </c>
      <c r="Y176">
        <f t="shared" si="118"/>
        <v>0</v>
      </c>
      <c r="Z176">
        <f t="shared" si="119"/>
        <v>0</v>
      </c>
      <c r="AA176">
        <f t="shared" si="120"/>
        <v>0</v>
      </c>
      <c r="AB176">
        <f t="shared" si="121"/>
        <v>0</v>
      </c>
      <c r="AC176">
        <f t="shared" si="122"/>
        <v>0</v>
      </c>
      <c r="AD176">
        <f t="shared" si="123"/>
        <v>0</v>
      </c>
      <c r="AE176">
        <f t="shared" si="124"/>
        <v>0</v>
      </c>
      <c r="AF176">
        <f t="shared" si="125"/>
        <v>0</v>
      </c>
      <c r="AG176">
        <f t="shared" si="126"/>
        <v>0</v>
      </c>
      <c r="AH176">
        <f t="shared" si="127"/>
        <v>0</v>
      </c>
      <c r="AI176">
        <f t="shared" si="128"/>
        <v>0</v>
      </c>
      <c r="AJ176">
        <f t="shared" si="129"/>
        <v>0</v>
      </c>
      <c r="AK176">
        <f t="shared" si="130"/>
        <v>0</v>
      </c>
      <c r="AL176">
        <f t="shared" si="131"/>
        <v>0</v>
      </c>
      <c r="AM176">
        <f t="shared" si="132"/>
        <v>0</v>
      </c>
      <c r="AN176">
        <f t="shared" si="133"/>
        <v>0</v>
      </c>
      <c r="AO176">
        <f t="shared" si="134"/>
        <v>0</v>
      </c>
      <c r="AP176">
        <f t="shared" si="135"/>
        <v>0</v>
      </c>
      <c r="AQ176">
        <f t="shared" si="136"/>
        <v>0</v>
      </c>
      <c r="AR176">
        <f t="shared" si="137"/>
        <v>0</v>
      </c>
      <c r="AS176">
        <f t="shared" si="138"/>
        <v>0</v>
      </c>
      <c r="AT176">
        <f t="shared" si="139"/>
        <v>0</v>
      </c>
      <c r="AU176">
        <f t="shared" si="140"/>
        <v>0</v>
      </c>
      <c r="AV176">
        <f t="shared" si="141"/>
        <v>0</v>
      </c>
      <c r="AW176">
        <f t="shared" si="96"/>
        <v>0</v>
      </c>
      <c r="AX176">
        <f t="shared" si="142"/>
        <v>0</v>
      </c>
      <c r="AY176">
        <f t="shared" si="143"/>
        <v>0</v>
      </c>
    </row>
    <row r="177" spans="1:51" x14ac:dyDescent="0.35">
      <c r="A177">
        <v>171</v>
      </c>
      <c r="C177">
        <f>MAX(0,Calc!$C$7-SUM(D177:R177))</f>
        <v>750</v>
      </c>
      <c r="D177">
        <f t="shared" si="97"/>
        <v>0</v>
      </c>
      <c r="E177">
        <f t="shared" si="98"/>
        <v>0</v>
      </c>
      <c r="F177">
        <f t="shared" si="99"/>
        <v>0</v>
      </c>
      <c r="G177">
        <f t="shared" si="100"/>
        <v>0</v>
      </c>
      <c r="H177">
        <f t="shared" si="101"/>
        <v>0</v>
      </c>
      <c r="I177">
        <f t="shared" si="102"/>
        <v>0</v>
      </c>
      <c r="J177">
        <f t="shared" si="103"/>
        <v>0</v>
      </c>
      <c r="K177">
        <f t="shared" si="104"/>
        <v>0</v>
      </c>
      <c r="L177">
        <f t="shared" si="105"/>
        <v>0</v>
      </c>
      <c r="M177">
        <f t="shared" si="106"/>
        <v>0</v>
      </c>
      <c r="N177">
        <f t="shared" si="107"/>
        <v>0</v>
      </c>
      <c r="O177">
        <f t="shared" si="108"/>
        <v>0</v>
      </c>
      <c r="P177">
        <f t="shared" si="109"/>
        <v>0</v>
      </c>
      <c r="Q177">
        <f t="shared" si="110"/>
        <v>0</v>
      </c>
      <c r="R177">
        <f t="shared" si="111"/>
        <v>0</v>
      </c>
      <c r="S177">
        <f t="shared" si="112"/>
        <v>0</v>
      </c>
      <c r="T177">
        <f t="shared" si="113"/>
        <v>0</v>
      </c>
      <c r="U177">
        <f t="shared" si="114"/>
        <v>0</v>
      </c>
      <c r="V177">
        <f t="shared" si="115"/>
        <v>0</v>
      </c>
      <c r="W177">
        <f t="shared" si="116"/>
        <v>0</v>
      </c>
      <c r="X177">
        <f t="shared" si="117"/>
        <v>0</v>
      </c>
      <c r="Y177">
        <f t="shared" si="118"/>
        <v>0</v>
      </c>
      <c r="Z177">
        <f t="shared" si="119"/>
        <v>0</v>
      </c>
      <c r="AA177">
        <f t="shared" si="120"/>
        <v>0</v>
      </c>
      <c r="AB177">
        <f t="shared" si="121"/>
        <v>0</v>
      </c>
      <c r="AC177">
        <f t="shared" si="122"/>
        <v>0</v>
      </c>
      <c r="AD177">
        <f t="shared" si="123"/>
        <v>0</v>
      </c>
      <c r="AE177">
        <f t="shared" si="124"/>
        <v>0</v>
      </c>
      <c r="AF177">
        <f t="shared" si="125"/>
        <v>0</v>
      </c>
      <c r="AG177">
        <f t="shared" si="126"/>
        <v>0</v>
      </c>
      <c r="AH177">
        <f t="shared" si="127"/>
        <v>0</v>
      </c>
      <c r="AI177">
        <f t="shared" si="128"/>
        <v>0</v>
      </c>
      <c r="AJ177">
        <f t="shared" si="129"/>
        <v>0</v>
      </c>
      <c r="AK177">
        <f t="shared" si="130"/>
        <v>0</v>
      </c>
      <c r="AL177">
        <f t="shared" si="131"/>
        <v>0</v>
      </c>
      <c r="AM177">
        <f t="shared" si="132"/>
        <v>0</v>
      </c>
      <c r="AN177">
        <f t="shared" si="133"/>
        <v>0</v>
      </c>
      <c r="AO177">
        <f t="shared" si="134"/>
        <v>0</v>
      </c>
      <c r="AP177">
        <f t="shared" si="135"/>
        <v>0</v>
      </c>
      <c r="AQ177">
        <f t="shared" si="136"/>
        <v>0</v>
      </c>
      <c r="AR177">
        <f t="shared" si="137"/>
        <v>0</v>
      </c>
      <c r="AS177">
        <f t="shared" si="138"/>
        <v>0</v>
      </c>
      <c r="AT177">
        <f t="shared" si="139"/>
        <v>0</v>
      </c>
      <c r="AU177">
        <f t="shared" si="140"/>
        <v>0</v>
      </c>
      <c r="AV177">
        <f t="shared" si="141"/>
        <v>0</v>
      </c>
      <c r="AW177">
        <f t="shared" si="96"/>
        <v>0</v>
      </c>
      <c r="AX177">
        <f t="shared" si="142"/>
        <v>0</v>
      </c>
      <c r="AY177">
        <f t="shared" si="143"/>
        <v>0</v>
      </c>
    </row>
    <row r="178" spans="1:51" x14ac:dyDescent="0.35">
      <c r="A178">
        <v>172</v>
      </c>
      <c r="C178">
        <f>MAX(0,Calc!$C$7-SUM(D178:R178))</f>
        <v>750</v>
      </c>
      <c r="D178">
        <f t="shared" si="97"/>
        <v>0</v>
      </c>
      <c r="E178">
        <f t="shared" si="98"/>
        <v>0</v>
      </c>
      <c r="F178">
        <f t="shared" si="99"/>
        <v>0</v>
      </c>
      <c r="G178">
        <f t="shared" si="100"/>
        <v>0</v>
      </c>
      <c r="H178">
        <f t="shared" si="101"/>
        <v>0</v>
      </c>
      <c r="I178">
        <f t="shared" si="102"/>
        <v>0</v>
      </c>
      <c r="J178">
        <f t="shared" si="103"/>
        <v>0</v>
      </c>
      <c r="K178">
        <f t="shared" si="104"/>
        <v>0</v>
      </c>
      <c r="L178">
        <f t="shared" si="105"/>
        <v>0</v>
      </c>
      <c r="M178">
        <f t="shared" si="106"/>
        <v>0</v>
      </c>
      <c r="N178">
        <f t="shared" si="107"/>
        <v>0</v>
      </c>
      <c r="O178">
        <f t="shared" si="108"/>
        <v>0</v>
      </c>
      <c r="P178">
        <f t="shared" si="109"/>
        <v>0</v>
      </c>
      <c r="Q178">
        <f t="shared" si="110"/>
        <v>0</v>
      </c>
      <c r="R178">
        <f t="shared" si="111"/>
        <v>0</v>
      </c>
      <c r="S178">
        <f t="shared" si="112"/>
        <v>0</v>
      </c>
      <c r="T178">
        <f t="shared" si="113"/>
        <v>0</v>
      </c>
      <c r="U178">
        <f t="shared" si="114"/>
        <v>0</v>
      </c>
      <c r="V178">
        <f t="shared" si="115"/>
        <v>0</v>
      </c>
      <c r="W178">
        <f t="shared" si="116"/>
        <v>0</v>
      </c>
      <c r="X178">
        <f t="shared" si="117"/>
        <v>0</v>
      </c>
      <c r="Y178">
        <f t="shared" si="118"/>
        <v>0</v>
      </c>
      <c r="Z178">
        <f t="shared" si="119"/>
        <v>0</v>
      </c>
      <c r="AA178">
        <f t="shared" si="120"/>
        <v>0</v>
      </c>
      <c r="AB178">
        <f t="shared" si="121"/>
        <v>0</v>
      </c>
      <c r="AC178">
        <f t="shared" si="122"/>
        <v>0</v>
      </c>
      <c r="AD178">
        <f t="shared" si="123"/>
        <v>0</v>
      </c>
      <c r="AE178">
        <f t="shared" si="124"/>
        <v>0</v>
      </c>
      <c r="AF178">
        <f t="shared" si="125"/>
        <v>0</v>
      </c>
      <c r="AG178">
        <f t="shared" si="126"/>
        <v>0</v>
      </c>
      <c r="AH178">
        <f t="shared" si="127"/>
        <v>0</v>
      </c>
      <c r="AI178">
        <f t="shared" si="128"/>
        <v>0</v>
      </c>
      <c r="AJ178">
        <f t="shared" si="129"/>
        <v>0</v>
      </c>
      <c r="AK178">
        <f t="shared" si="130"/>
        <v>0</v>
      </c>
      <c r="AL178">
        <f t="shared" si="131"/>
        <v>0</v>
      </c>
      <c r="AM178">
        <f t="shared" si="132"/>
        <v>0</v>
      </c>
      <c r="AN178">
        <f t="shared" si="133"/>
        <v>0</v>
      </c>
      <c r="AO178">
        <f t="shared" si="134"/>
        <v>0</v>
      </c>
      <c r="AP178">
        <f t="shared" si="135"/>
        <v>0</v>
      </c>
      <c r="AQ178">
        <f t="shared" si="136"/>
        <v>0</v>
      </c>
      <c r="AR178">
        <f t="shared" si="137"/>
        <v>0</v>
      </c>
      <c r="AS178">
        <f t="shared" si="138"/>
        <v>0</v>
      </c>
      <c r="AT178">
        <f t="shared" si="139"/>
        <v>0</v>
      </c>
      <c r="AU178">
        <f t="shared" si="140"/>
        <v>0</v>
      </c>
      <c r="AV178">
        <f t="shared" si="141"/>
        <v>0</v>
      </c>
      <c r="AW178">
        <f t="shared" si="96"/>
        <v>0</v>
      </c>
      <c r="AX178">
        <f t="shared" si="142"/>
        <v>0</v>
      </c>
      <c r="AY178">
        <f t="shared" si="143"/>
        <v>0</v>
      </c>
    </row>
    <row r="179" spans="1:51" x14ac:dyDescent="0.35">
      <c r="A179">
        <v>173</v>
      </c>
      <c r="C179">
        <f>MAX(0,Calc!$C$7-SUM(D179:R179))</f>
        <v>750</v>
      </c>
      <c r="D179">
        <f t="shared" si="97"/>
        <v>0</v>
      </c>
      <c r="E179">
        <f t="shared" si="98"/>
        <v>0</v>
      </c>
      <c r="F179">
        <f t="shared" si="99"/>
        <v>0</v>
      </c>
      <c r="G179">
        <f t="shared" si="100"/>
        <v>0</v>
      </c>
      <c r="H179">
        <f t="shared" si="101"/>
        <v>0</v>
      </c>
      <c r="I179">
        <f t="shared" si="102"/>
        <v>0</v>
      </c>
      <c r="J179">
        <f t="shared" si="103"/>
        <v>0</v>
      </c>
      <c r="K179">
        <f t="shared" si="104"/>
        <v>0</v>
      </c>
      <c r="L179">
        <f t="shared" si="105"/>
        <v>0</v>
      </c>
      <c r="M179">
        <f t="shared" si="106"/>
        <v>0</v>
      </c>
      <c r="N179">
        <f t="shared" si="107"/>
        <v>0</v>
      </c>
      <c r="O179">
        <f t="shared" si="108"/>
        <v>0</v>
      </c>
      <c r="P179">
        <f t="shared" si="109"/>
        <v>0</v>
      </c>
      <c r="Q179">
        <f t="shared" si="110"/>
        <v>0</v>
      </c>
      <c r="R179">
        <f t="shared" si="111"/>
        <v>0</v>
      </c>
      <c r="S179">
        <f t="shared" si="112"/>
        <v>0</v>
      </c>
      <c r="T179">
        <f t="shared" si="113"/>
        <v>0</v>
      </c>
      <c r="U179">
        <f t="shared" si="114"/>
        <v>0</v>
      </c>
      <c r="V179">
        <f t="shared" si="115"/>
        <v>0</v>
      </c>
      <c r="W179">
        <f t="shared" si="116"/>
        <v>0</v>
      </c>
      <c r="X179">
        <f t="shared" si="117"/>
        <v>0</v>
      </c>
      <c r="Y179">
        <f t="shared" si="118"/>
        <v>0</v>
      </c>
      <c r="Z179">
        <f t="shared" si="119"/>
        <v>0</v>
      </c>
      <c r="AA179">
        <f t="shared" si="120"/>
        <v>0</v>
      </c>
      <c r="AB179">
        <f t="shared" si="121"/>
        <v>0</v>
      </c>
      <c r="AC179">
        <f t="shared" si="122"/>
        <v>0</v>
      </c>
      <c r="AD179">
        <f t="shared" si="123"/>
        <v>0</v>
      </c>
      <c r="AE179">
        <f t="shared" si="124"/>
        <v>0</v>
      </c>
      <c r="AF179">
        <f t="shared" si="125"/>
        <v>0</v>
      </c>
      <c r="AG179">
        <f t="shared" si="126"/>
        <v>0</v>
      </c>
      <c r="AH179">
        <f t="shared" si="127"/>
        <v>0</v>
      </c>
      <c r="AI179">
        <f t="shared" si="128"/>
        <v>0</v>
      </c>
      <c r="AJ179">
        <f t="shared" si="129"/>
        <v>0</v>
      </c>
      <c r="AK179">
        <f t="shared" si="130"/>
        <v>0</v>
      </c>
      <c r="AL179">
        <f t="shared" si="131"/>
        <v>0</v>
      </c>
      <c r="AM179">
        <f t="shared" si="132"/>
        <v>0</v>
      </c>
      <c r="AN179">
        <f t="shared" si="133"/>
        <v>0</v>
      </c>
      <c r="AO179">
        <f t="shared" si="134"/>
        <v>0</v>
      </c>
      <c r="AP179">
        <f t="shared" si="135"/>
        <v>0</v>
      </c>
      <c r="AQ179">
        <f t="shared" si="136"/>
        <v>0</v>
      </c>
      <c r="AR179">
        <f t="shared" si="137"/>
        <v>0</v>
      </c>
      <c r="AS179">
        <f t="shared" si="138"/>
        <v>0</v>
      </c>
      <c r="AT179">
        <f t="shared" si="139"/>
        <v>0</v>
      </c>
      <c r="AU179">
        <f t="shared" si="140"/>
        <v>0</v>
      </c>
      <c r="AV179">
        <f t="shared" si="141"/>
        <v>0</v>
      </c>
      <c r="AW179">
        <f t="shared" si="96"/>
        <v>0</v>
      </c>
      <c r="AX179">
        <f t="shared" si="142"/>
        <v>0</v>
      </c>
      <c r="AY179">
        <f t="shared" si="143"/>
        <v>0</v>
      </c>
    </row>
    <row r="180" spans="1:51" x14ac:dyDescent="0.35">
      <c r="A180">
        <v>174</v>
      </c>
      <c r="C180">
        <f>MAX(0,Calc!$C$7-SUM(D180:R180))</f>
        <v>750</v>
      </c>
      <c r="D180">
        <f t="shared" si="97"/>
        <v>0</v>
      </c>
      <c r="E180">
        <f t="shared" si="98"/>
        <v>0</v>
      </c>
      <c r="F180">
        <f t="shared" si="99"/>
        <v>0</v>
      </c>
      <c r="G180">
        <f t="shared" si="100"/>
        <v>0</v>
      </c>
      <c r="H180">
        <f t="shared" si="101"/>
        <v>0</v>
      </c>
      <c r="I180">
        <f t="shared" si="102"/>
        <v>0</v>
      </c>
      <c r="J180">
        <f t="shared" si="103"/>
        <v>0</v>
      </c>
      <c r="K180">
        <f t="shared" si="104"/>
        <v>0</v>
      </c>
      <c r="L180">
        <f t="shared" si="105"/>
        <v>0</v>
      </c>
      <c r="M180">
        <f t="shared" si="106"/>
        <v>0</v>
      </c>
      <c r="N180">
        <f t="shared" si="107"/>
        <v>0</v>
      </c>
      <c r="O180">
        <f t="shared" si="108"/>
        <v>0</v>
      </c>
      <c r="P180">
        <f t="shared" si="109"/>
        <v>0</v>
      </c>
      <c r="Q180">
        <f t="shared" si="110"/>
        <v>0</v>
      </c>
      <c r="R180">
        <f t="shared" si="111"/>
        <v>0</v>
      </c>
      <c r="S180">
        <f t="shared" si="112"/>
        <v>0</v>
      </c>
      <c r="T180">
        <f t="shared" si="113"/>
        <v>0</v>
      </c>
      <c r="U180">
        <f t="shared" si="114"/>
        <v>0</v>
      </c>
      <c r="V180">
        <f t="shared" si="115"/>
        <v>0</v>
      </c>
      <c r="W180">
        <f t="shared" si="116"/>
        <v>0</v>
      </c>
      <c r="X180">
        <f t="shared" si="117"/>
        <v>0</v>
      </c>
      <c r="Y180">
        <f t="shared" si="118"/>
        <v>0</v>
      </c>
      <c r="Z180">
        <f t="shared" si="119"/>
        <v>0</v>
      </c>
      <c r="AA180">
        <f t="shared" si="120"/>
        <v>0</v>
      </c>
      <c r="AB180">
        <f t="shared" si="121"/>
        <v>0</v>
      </c>
      <c r="AC180">
        <f t="shared" si="122"/>
        <v>0</v>
      </c>
      <c r="AD180">
        <f t="shared" si="123"/>
        <v>0</v>
      </c>
      <c r="AE180">
        <f t="shared" si="124"/>
        <v>0</v>
      </c>
      <c r="AF180">
        <f t="shared" si="125"/>
        <v>0</v>
      </c>
      <c r="AG180">
        <f t="shared" si="126"/>
        <v>0</v>
      </c>
      <c r="AH180">
        <f t="shared" si="127"/>
        <v>0</v>
      </c>
      <c r="AI180">
        <f t="shared" si="128"/>
        <v>0</v>
      </c>
      <c r="AJ180">
        <f t="shared" si="129"/>
        <v>0</v>
      </c>
      <c r="AK180">
        <f t="shared" si="130"/>
        <v>0</v>
      </c>
      <c r="AL180">
        <f t="shared" si="131"/>
        <v>0</v>
      </c>
      <c r="AM180">
        <f t="shared" si="132"/>
        <v>0</v>
      </c>
      <c r="AN180">
        <f t="shared" si="133"/>
        <v>0</v>
      </c>
      <c r="AO180">
        <f t="shared" si="134"/>
        <v>0</v>
      </c>
      <c r="AP180">
        <f t="shared" si="135"/>
        <v>0</v>
      </c>
      <c r="AQ180">
        <f t="shared" si="136"/>
        <v>0</v>
      </c>
      <c r="AR180">
        <f t="shared" si="137"/>
        <v>0</v>
      </c>
      <c r="AS180">
        <f t="shared" si="138"/>
        <v>0</v>
      </c>
      <c r="AT180">
        <f t="shared" si="139"/>
        <v>0</v>
      </c>
      <c r="AU180">
        <f t="shared" si="140"/>
        <v>0</v>
      </c>
      <c r="AV180">
        <f t="shared" si="141"/>
        <v>0</v>
      </c>
      <c r="AW180">
        <f t="shared" si="96"/>
        <v>0</v>
      </c>
      <c r="AX180">
        <f t="shared" si="142"/>
        <v>0</v>
      </c>
      <c r="AY180">
        <f t="shared" si="143"/>
        <v>0</v>
      </c>
    </row>
    <row r="181" spans="1:51" x14ac:dyDescent="0.35">
      <c r="A181">
        <v>175</v>
      </c>
      <c r="C181">
        <f>MAX(0,Calc!$C$7-SUM(D181:R181))</f>
        <v>750</v>
      </c>
      <c r="D181">
        <f t="shared" si="97"/>
        <v>0</v>
      </c>
      <c r="E181">
        <f t="shared" si="98"/>
        <v>0</v>
      </c>
      <c r="F181">
        <f t="shared" si="99"/>
        <v>0</v>
      </c>
      <c r="G181">
        <f t="shared" si="100"/>
        <v>0</v>
      </c>
      <c r="H181">
        <f t="shared" si="101"/>
        <v>0</v>
      </c>
      <c r="I181">
        <f t="shared" si="102"/>
        <v>0</v>
      </c>
      <c r="J181">
        <f t="shared" si="103"/>
        <v>0</v>
      </c>
      <c r="K181">
        <f t="shared" si="104"/>
        <v>0</v>
      </c>
      <c r="L181">
        <f t="shared" si="105"/>
        <v>0</v>
      </c>
      <c r="M181">
        <f t="shared" si="106"/>
        <v>0</v>
      </c>
      <c r="N181">
        <f t="shared" si="107"/>
        <v>0</v>
      </c>
      <c r="O181">
        <f t="shared" si="108"/>
        <v>0</v>
      </c>
      <c r="P181">
        <f t="shared" si="109"/>
        <v>0</v>
      </c>
      <c r="Q181">
        <f t="shared" si="110"/>
        <v>0</v>
      </c>
      <c r="R181">
        <f t="shared" si="111"/>
        <v>0</v>
      </c>
      <c r="S181">
        <f t="shared" si="112"/>
        <v>0</v>
      </c>
      <c r="T181">
        <f t="shared" si="113"/>
        <v>0</v>
      </c>
      <c r="U181">
        <f t="shared" si="114"/>
        <v>0</v>
      </c>
      <c r="V181">
        <f t="shared" si="115"/>
        <v>0</v>
      </c>
      <c r="W181">
        <f t="shared" si="116"/>
        <v>0</v>
      </c>
      <c r="X181">
        <f t="shared" si="117"/>
        <v>0</v>
      </c>
      <c r="Y181">
        <f t="shared" si="118"/>
        <v>0</v>
      </c>
      <c r="Z181">
        <f t="shared" si="119"/>
        <v>0</v>
      </c>
      <c r="AA181">
        <f t="shared" si="120"/>
        <v>0</v>
      </c>
      <c r="AB181">
        <f t="shared" si="121"/>
        <v>0</v>
      </c>
      <c r="AC181">
        <f t="shared" si="122"/>
        <v>0</v>
      </c>
      <c r="AD181">
        <f t="shared" si="123"/>
        <v>0</v>
      </c>
      <c r="AE181">
        <f t="shared" si="124"/>
        <v>0</v>
      </c>
      <c r="AF181">
        <f t="shared" si="125"/>
        <v>0</v>
      </c>
      <c r="AG181">
        <f t="shared" si="126"/>
        <v>0</v>
      </c>
      <c r="AH181">
        <f t="shared" si="127"/>
        <v>0</v>
      </c>
      <c r="AI181">
        <f t="shared" si="128"/>
        <v>0</v>
      </c>
      <c r="AJ181">
        <f t="shared" si="129"/>
        <v>0</v>
      </c>
      <c r="AK181">
        <f t="shared" si="130"/>
        <v>0</v>
      </c>
      <c r="AL181">
        <f t="shared" si="131"/>
        <v>0</v>
      </c>
      <c r="AM181">
        <f t="shared" si="132"/>
        <v>0</v>
      </c>
      <c r="AN181">
        <f t="shared" si="133"/>
        <v>0</v>
      </c>
      <c r="AO181">
        <f t="shared" si="134"/>
        <v>0</v>
      </c>
      <c r="AP181">
        <f t="shared" si="135"/>
        <v>0</v>
      </c>
      <c r="AQ181">
        <f t="shared" si="136"/>
        <v>0</v>
      </c>
      <c r="AR181">
        <f t="shared" si="137"/>
        <v>0</v>
      </c>
      <c r="AS181">
        <f t="shared" si="138"/>
        <v>0</v>
      </c>
      <c r="AT181">
        <f t="shared" si="139"/>
        <v>0</v>
      </c>
      <c r="AU181">
        <f t="shared" si="140"/>
        <v>0</v>
      </c>
      <c r="AV181">
        <f t="shared" si="141"/>
        <v>0</v>
      </c>
      <c r="AW181">
        <f t="shared" si="96"/>
        <v>0</v>
      </c>
      <c r="AX181">
        <f t="shared" si="142"/>
        <v>0</v>
      </c>
      <c r="AY181">
        <f t="shared" si="143"/>
        <v>0</v>
      </c>
    </row>
    <row r="182" spans="1:51" x14ac:dyDescent="0.35">
      <c r="A182">
        <v>176</v>
      </c>
      <c r="C182">
        <f>MAX(0,Calc!$C$7-SUM(D182:R182))</f>
        <v>750</v>
      </c>
      <c r="D182">
        <f t="shared" si="97"/>
        <v>0</v>
      </c>
      <c r="E182">
        <f t="shared" si="98"/>
        <v>0</v>
      </c>
      <c r="F182">
        <f t="shared" si="99"/>
        <v>0</v>
      </c>
      <c r="G182">
        <f t="shared" si="100"/>
        <v>0</v>
      </c>
      <c r="H182">
        <f t="shared" si="101"/>
        <v>0</v>
      </c>
      <c r="I182">
        <f t="shared" si="102"/>
        <v>0</v>
      </c>
      <c r="J182">
        <f t="shared" si="103"/>
        <v>0</v>
      </c>
      <c r="K182">
        <f t="shared" si="104"/>
        <v>0</v>
      </c>
      <c r="L182">
        <f t="shared" si="105"/>
        <v>0</v>
      </c>
      <c r="M182">
        <f t="shared" si="106"/>
        <v>0</v>
      </c>
      <c r="N182">
        <f t="shared" si="107"/>
        <v>0</v>
      </c>
      <c r="O182">
        <f t="shared" si="108"/>
        <v>0</v>
      </c>
      <c r="P182">
        <f t="shared" si="109"/>
        <v>0</v>
      </c>
      <c r="Q182">
        <f t="shared" si="110"/>
        <v>0</v>
      </c>
      <c r="R182">
        <f t="shared" si="111"/>
        <v>0</v>
      </c>
      <c r="S182">
        <f t="shared" si="112"/>
        <v>0</v>
      </c>
      <c r="T182">
        <f t="shared" si="113"/>
        <v>0</v>
      </c>
      <c r="U182">
        <f t="shared" si="114"/>
        <v>0</v>
      </c>
      <c r="V182">
        <f t="shared" si="115"/>
        <v>0</v>
      </c>
      <c r="W182">
        <f t="shared" si="116"/>
        <v>0</v>
      </c>
      <c r="X182">
        <f t="shared" si="117"/>
        <v>0</v>
      </c>
      <c r="Y182">
        <f t="shared" si="118"/>
        <v>0</v>
      </c>
      <c r="Z182">
        <f t="shared" si="119"/>
        <v>0</v>
      </c>
      <c r="AA182">
        <f t="shared" si="120"/>
        <v>0</v>
      </c>
      <c r="AB182">
        <f t="shared" si="121"/>
        <v>0</v>
      </c>
      <c r="AC182">
        <f t="shared" si="122"/>
        <v>0</v>
      </c>
      <c r="AD182">
        <f t="shared" si="123"/>
        <v>0</v>
      </c>
      <c r="AE182">
        <f t="shared" si="124"/>
        <v>0</v>
      </c>
      <c r="AF182">
        <f t="shared" si="125"/>
        <v>0</v>
      </c>
      <c r="AG182">
        <f t="shared" si="126"/>
        <v>0</v>
      </c>
      <c r="AH182">
        <f t="shared" si="127"/>
        <v>0</v>
      </c>
      <c r="AI182">
        <f t="shared" si="128"/>
        <v>0</v>
      </c>
      <c r="AJ182">
        <f t="shared" si="129"/>
        <v>0</v>
      </c>
      <c r="AK182">
        <f t="shared" si="130"/>
        <v>0</v>
      </c>
      <c r="AL182">
        <f t="shared" si="131"/>
        <v>0</v>
      </c>
      <c r="AM182">
        <f t="shared" si="132"/>
        <v>0</v>
      </c>
      <c r="AN182">
        <f t="shared" si="133"/>
        <v>0</v>
      </c>
      <c r="AO182">
        <f t="shared" si="134"/>
        <v>0</v>
      </c>
      <c r="AP182">
        <f t="shared" si="135"/>
        <v>0</v>
      </c>
      <c r="AQ182">
        <f t="shared" si="136"/>
        <v>0</v>
      </c>
      <c r="AR182">
        <f t="shared" si="137"/>
        <v>0</v>
      </c>
      <c r="AS182">
        <f t="shared" si="138"/>
        <v>0</v>
      </c>
      <c r="AT182">
        <f t="shared" si="139"/>
        <v>0</v>
      </c>
      <c r="AU182">
        <f t="shared" si="140"/>
        <v>0</v>
      </c>
      <c r="AV182">
        <f t="shared" si="141"/>
        <v>0</v>
      </c>
      <c r="AW182">
        <f t="shared" si="96"/>
        <v>0</v>
      </c>
      <c r="AX182">
        <f t="shared" si="142"/>
        <v>0</v>
      </c>
      <c r="AY182">
        <f t="shared" si="143"/>
        <v>0</v>
      </c>
    </row>
    <row r="183" spans="1:51" x14ac:dyDescent="0.35">
      <c r="A183">
        <v>177</v>
      </c>
      <c r="C183">
        <f>MAX(0,Calc!$C$7-SUM(D183:R183))</f>
        <v>750</v>
      </c>
      <c r="D183">
        <f t="shared" si="97"/>
        <v>0</v>
      </c>
      <c r="E183">
        <f t="shared" si="98"/>
        <v>0</v>
      </c>
      <c r="F183">
        <f t="shared" si="99"/>
        <v>0</v>
      </c>
      <c r="G183">
        <f t="shared" si="100"/>
        <v>0</v>
      </c>
      <c r="H183">
        <f t="shared" si="101"/>
        <v>0</v>
      </c>
      <c r="I183">
        <f t="shared" si="102"/>
        <v>0</v>
      </c>
      <c r="J183">
        <f t="shared" si="103"/>
        <v>0</v>
      </c>
      <c r="K183">
        <f t="shared" si="104"/>
        <v>0</v>
      </c>
      <c r="L183">
        <f t="shared" si="105"/>
        <v>0</v>
      </c>
      <c r="M183">
        <f t="shared" si="106"/>
        <v>0</v>
      </c>
      <c r="N183">
        <f t="shared" si="107"/>
        <v>0</v>
      </c>
      <c r="O183">
        <f t="shared" si="108"/>
        <v>0</v>
      </c>
      <c r="P183">
        <f t="shared" si="109"/>
        <v>0</v>
      </c>
      <c r="Q183">
        <f t="shared" si="110"/>
        <v>0</v>
      </c>
      <c r="R183">
        <f t="shared" si="111"/>
        <v>0</v>
      </c>
      <c r="S183">
        <f t="shared" si="112"/>
        <v>0</v>
      </c>
      <c r="T183">
        <f t="shared" si="113"/>
        <v>0</v>
      </c>
      <c r="U183">
        <f t="shared" si="114"/>
        <v>0</v>
      </c>
      <c r="V183">
        <f t="shared" si="115"/>
        <v>0</v>
      </c>
      <c r="W183">
        <f t="shared" si="116"/>
        <v>0</v>
      </c>
      <c r="X183">
        <f t="shared" si="117"/>
        <v>0</v>
      </c>
      <c r="Y183">
        <f t="shared" si="118"/>
        <v>0</v>
      </c>
      <c r="Z183">
        <f t="shared" si="119"/>
        <v>0</v>
      </c>
      <c r="AA183">
        <f t="shared" si="120"/>
        <v>0</v>
      </c>
      <c r="AB183">
        <f t="shared" si="121"/>
        <v>0</v>
      </c>
      <c r="AC183">
        <f t="shared" si="122"/>
        <v>0</v>
      </c>
      <c r="AD183">
        <f t="shared" si="123"/>
        <v>0</v>
      </c>
      <c r="AE183">
        <f t="shared" si="124"/>
        <v>0</v>
      </c>
      <c r="AF183">
        <f t="shared" si="125"/>
        <v>0</v>
      </c>
      <c r="AG183">
        <f t="shared" si="126"/>
        <v>0</v>
      </c>
      <c r="AH183">
        <f t="shared" si="127"/>
        <v>0</v>
      </c>
      <c r="AI183">
        <f t="shared" si="128"/>
        <v>0</v>
      </c>
      <c r="AJ183">
        <f t="shared" si="129"/>
        <v>0</v>
      </c>
      <c r="AK183">
        <f t="shared" si="130"/>
        <v>0</v>
      </c>
      <c r="AL183">
        <f t="shared" si="131"/>
        <v>0</v>
      </c>
      <c r="AM183">
        <f t="shared" si="132"/>
        <v>0</v>
      </c>
      <c r="AN183">
        <f t="shared" si="133"/>
        <v>0</v>
      </c>
      <c r="AO183">
        <f t="shared" si="134"/>
        <v>0</v>
      </c>
      <c r="AP183">
        <f t="shared" si="135"/>
        <v>0</v>
      </c>
      <c r="AQ183">
        <f t="shared" si="136"/>
        <v>0</v>
      </c>
      <c r="AR183">
        <f t="shared" si="137"/>
        <v>0</v>
      </c>
      <c r="AS183">
        <f t="shared" si="138"/>
        <v>0</v>
      </c>
      <c r="AT183">
        <f t="shared" si="139"/>
        <v>0</v>
      </c>
      <c r="AU183">
        <f t="shared" si="140"/>
        <v>0</v>
      </c>
      <c r="AV183">
        <f t="shared" si="141"/>
        <v>0</v>
      </c>
      <c r="AW183">
        <f t="shared" si="96"/>
        <v>0</v>
      </c>
      <c r="AX183">
        <f t="shared" si="142"/>
        <v>0</v>
      </c>
      <c r="AY183">
        <f t="shared" si="143"/>
        <v>0</v>
      </c>
    </row>
    <row r="184" spans="1:51" x14ac:dyDescent="0.35">
      <c r="A184">
        <v>178</v>
      </c>
      <c r="C184">
        <f>MAX(0,Calc!$C$7-SUM(D184:R184))</f>
        <v>750</v>
      </c>
      <c r="D184">
        <f t="shared" si="97"/>
        <v>0</v>
      </c>
      <c r="E184">
        <f t="shared" si="98"/>
        <v>0</v>
      </c>
      <c r="F184">
        <f t="shared" si="99"/>
        <v>0</v>
      </c>
      <c r="G184">
        <f t="shared" si="100"/>
        <v>0</v>
      </c>
      <c r="H184">
        <f t="shared" si="101"/>
        <v>0</v>
      </c>
      <c r="I184">
        <f t="shared" si="102"/>
        <v>0</v>
      </c>
      <c r="J184">
        <f t="shared" si="103"/>
        <v>0</v>
      </c>
      <c r="K184">
        <f t="shared" si="104"/>
        <v>0</v>
      </c>
      <c r="L184">
        <f t="shared" si="105"/>
        <v>0</v>
      </c>
      <c r="M184">
        <f t="shared" si="106"/>
        <v>0</v>
      </c>
      <c r="N184">
        <f t="shared" si="107"/>
        <v>0</v>
      </c>
      <c r="O184">
        <f t="shared" si="108"/>
        <v>0</v>
      </c>
      <c r="P184">
        <f t="shared" si="109"/>
        <v>0</v>
      </c>
      <c r="Q184">
        <f t="shared" si="110"/>
        <v>0</v>
      </c>
      <c r="R184">
        <f t="shared" si="111"/>
        <v>0</v>
      </c>
      <c r="S184">
        <f t="shared" si="112"/>
        <v>0</v>
      </c>
      <c r="T184">
        <f t="shared" si="113"/>
        <v>0</v>
      </c>
      <c r="U184">
        <f t="shared" si="114"/>
        <v>0</v>
      </c>
      <c r="V184">
        <f t="shared" si="115"/>
        <v>0</v>
      </c>
      <c r="W184">
        <f t="shared" si="116"/>
        <v>0</v>
      </c>
      <c r="X184">
        <f t="shared" si="117"/>
        <v>0</v>
      </c>
      <c r="Y184">
        <f t="shared" si="118"/>
        <v>0</v>
      </c>
      <c r="Z184">
        <f t="shared" si="119"/>
        <v>0</v>
      </c>
      <c r="AA184">
        <f t="shared" si="120"/>
        <v>0</v>
      </c>
      <c r="AB184">
        <f t="shared" si="121"/>
        <v>0</v>
      </c>
      <c r="AC184">
        <f t="shared" si="122"/>
        <v>0</v>
      </c>
      <c r="AD184">
        <f t="shared" si="123"/>
        <v>0</v>
      </c>
      <c r="AE184">
        <f t="shared" si="124"/>
        <v>0</v>
      </c>
      <c r="AF184">
        <f t="shared" si="125"/>
        <v>0</v>
      </c>
      <c r="AG184">
        <f t="shared" si="126"/>
        <v>0</v>
      </c>
      <c r="AH184">
        <f t="shared" si="127"/>
        <v>0</v>
      </c>
      <c r="AI184">
        <f t="shared" si="128"/>
        <v>0</v>
      </c>
      <c r="AJ184">
        <f t="shared" si="129"/>
        <v>0</v>
      </c>
      <c r="AK184">
        <f t="shared" si="130"/>
        <v>0</v>
      </c>
      <c r="AL184">
        <f t="shared" si="131"/>
        <v>0</v>
      </c>
      <c r="AM184">
        <f t="shared" si="132"/>
        <v>0</v>
      </c>
      <c r="AN184">
        <f t="shared" si="133"/>
        <v>0</v>
      </c>
      <c r="AO184">
        <f t="shared" si="134"/>
        <v>0</v>
      </c>
      <c r="AP184">
        <f t="shared" si="135"/>
        <v>0</v>
      </c>
      <c r="AQ184">
        <f t="shared" si="136"/>
        <v>0</v>
      </c>
      <c r="AR184">
        <f t="shared" si="137"/>
        <v>0</v>
      </c>
      <c r="AS184">
        <f t="shared" si="138"/>
        <v>0</v>
      </c>
      <c r="AT184">
        <f t="shared" si="139"/>
        <v>0</v>
      </c>
      <c r="AU184">
        <f t="shared" si="140"/>
        <v>0</v>
      </c>
      <c r="AV184">
        <f t="shared" si="141"/>
        <v>0</v>
      </c>
      <c r="AW184">
        <f t="shared" si="96"/>
        <v>0</v>
      </c>
      <c r="AX184">
        <f t="shared" si="142"/>
        <v>0</v>
      </c>
      <c r="AY184">
        <f t="shared" si="143"/>
        <v>0</v>
      </c>
    </row>
    <row r="185" spans="1:51" x14ac:dyDescent="0.35">
      <c r="A185">
        <v>179</v>
      </c>
      <c r="C185">
        <f>MAX(0,Calc!$C$7-SUM(D185:R185))</f>
        <v>750</v>
      </c>
      <c r="D185">
        <f t="shared" si="97"/>
        <v>0</v>
      </c>
      <c r="E185">
        <f t="shared" si="98"/>
        <v>0</v>
      </c>
      <c r="F185">
        <f t="shared" si="99"/>
        <v>0</v>
      </c>
      <c r="G185">
        <f t="shared" si="100"/>
        <v>0</v>
      </c>
      <c r="H185">
        <f t="shared" si="101"/>
        <v>0</v>
      </c>
      <c r="I185">
        <f t="shared" si="102"/>
        <v>0</v>
      </c>
      <c r="J185">
        <f t="shared" si="103"/>
        <v>0</v>
      </c>
      <c r="K185">
        <f t="shared" si="104"/>
        <v>0</v>
      </c>
      <c r="L185">
        <f t="shared" si="105"/>
        <v>0</v>
      </c>
      <c r="M185">
        <f t="shared" si="106"/>
        <v>0</v>
      </c>
      <c r="N185">
        <f t="shared" si="107"/>
        <v>0</v>
      </c>
      <c r="O185">
        <f t="shared" si="108"/>
        <v>0</v>
      </c>
      <c r="P185">
        <f t="shared" si="109"/>
        <v>0</v>
      </c>
      <c r="Q185">
        <f t="shared" si="110"/>
        <v>0</v>
      </c>
      <c r="R185">
        <f t="shared" si="111"/>
        <v>0</v>
      </c>
      <c r="S185">
        <f t="shared" si="112"/>
        <v>0</v>
      </c>
      <c r="T185">
        <f t="shared" si="113"/>
        <v>0</v>
      </c>
      <c r="U185">
        <f t="shared" si="114"/>
        <v>0</v>
      </c>
      <c r="V185">
        <f t="shared" si="115"/>
        <v>0</v>
      </c>
      <c r="W185">
        <f t="shared" si="116"/>
        <v>0</v>
      </c>
      <c r="X185">
        <f t="shared" si="117"/>
        <v>0</v>
      </c>
      <c r="Y185">
        <f t="shared" si="118"/>
        <v>0</v>
      </c>
      <c r="Z185">
        <f t="shared" si="119"/>
        <v>0</v>
      </c>
      <c r="AA185">
        <f t="shared" si="120"/>
        <v>0</v>
      </c>
      <c r="AB185">
        <f t="shared" si="121"/>
        <v>0</v>
      </c>
      <c r="AC185">
        <f t="shared" si="122"/>
        <v>0</v>
      </c>
      <c r="AD185">
        <f t="shared" si="123"/>
        <v>0</v>
      </c>
      <c r="AE185">
        <f t="shared" si="124"/>
        <v>0</v>
      </c>
      <c r="AF185">
        <f t="shared" si="125"/>
        <v>0</v>
      </c>
      <c r="AG185">
        <f t="shared" si="126"/>
        <v>0</v>
      </c>
      <c r="AH185">
        <f t="shared" si="127"/>
        <v>0</v>
      </c>
      <c r="AI185">
        <f t="shared" si="128"/>
        <v>0</v>
      </c>
      <c r="AJ185">
        <f t="shared" si="129"/>
        <v>0</v>
      </c>
      <c r="AK185">
        <f t="shared" si="130"/>
        <v>0</v>
      </c>
      <c r="AL185">
        <f t="shared" si="131"/>
        <v>0</v>
      </c>
      <c r="AM185">
        <f t="shared" si="132"/>
        <v>0</v>
      </c>
      <c r="AN185">
        <f t="shared" si="133"/>
        <v>0</v>
      </c>
      <c r="AO185">
        <f t="shared" si="134"/>
        <v>0</v>
      </c>
      <c r="AP185">
        <f t="shared" si="135"/>
        <v>0</v>
      </c>
      <c r="AQ185">
        <f t="shared" si="136"/>
        <v>0</v>
      </c>
      <c r="AR185">
        <f t="shared" si="137"/>
        <v>0</v>
      </c>
      <c r="AS185">
        <f t="shared" si="138"/>
        <v>0</v>
      </c>
      <c r="AT185">
        <f t="shared" si="139"/>
        <v>0</v>
      </c>
      <c r="AU185">
        <f t="shared" si="140"/>
        <v>0</v>
      </c>
      <c r="AV185">
        <f t="shared" si="141"/>
        <v>0</v>
      </c>
      <c r="AW185">
        <f t="shared" si="96"/>
        <v>0</v>
      </c>
      <c r="AX185">
        <f t="shared" si="142"/>
        <v>0</v>
      </c>
      <c r="AY185">
        <f t="shared" si="143"/>
        <v>0</v>
      </c>
    </row>
    <row r="186" spans="1:51" x14ac:dyDescent="0.35">
      <c r="A186">
        <v>180</v>
      </c>
      <c r="C186">
        <f>MAX(0,Calc!$C$7-SUM(D186:R186))</f>
        <v>750</v>
      </c>
      <c r="D186">
        <f t="shared" si="97"/>
        <v>0</v>
      </c>
      <c r="E186">
        <f t="shared" si="98"/>
        <v>0</v>
      </c>
      <c r="F186">
        <f t="shared" si="99"/>
        <v>0</v>
      </c>
      <c r="G186">
        <f t="shared" si="100"/>
        <v>0</v>
      </c>
      <c r="H186">
        <f t="shared" si="101"/>
        <v>0</v>
      </c>
      <c r="I186">
        <f t="shared" si="102"/>
        <v>0</v>
      </c>
      <c r="J186">
        <f t="shared" si="103"/>
        <v>0</v>
      </c>
      <c r="K186">
        <f t="shared" si="104"/>
        <v>0</v>
      </c>
      <c r="L186">
        <f t="shared" si="105"/>
        <v>0</v>
      </c>
      <c r="M186">
        <f t="shared" si="106"/>
        <v>0</v>
      </c>
      <c r="N186">
        <f t="shared" si="107"/>
        <v>0</v>
      </c>
      <c r="O186">
        <f t="shared" si="108"/>
        <v>0</v>
      </c>
      <c r="P186">
        <f t="shared" si="109"/>
        <v>0</v>
      </c>
      <c r="Q186">
        <f t="shared" si="110"/>
        <v>0</v>
      </c>
      <c r="R186">
        <f t="shared" si="111"/>
        <v>0</v>
      </c>
      <c r="S186">
        <f t="shared" si="112"/>
        <v>0</v>
      </c>
      <c r="T186">
        <f t="shared" si="113"/>
        <v>0</v>
      </c>
      <c r="U186">
        <f t="shared" si="114"/>
        <v>0</v>
      </c>
      <c r="V186">
        <f t="shared" si="115"/>
        <v>0</v>
      </c>
      <c r="W186">
        <f t="shared" si="116"/>
        <v>0</v>
      </c>
      <c r="X186">
        <f t="shared" si="117"/>
        <v>0</v>
      </c>
      <c r="Y186">
        <f t="shared" si="118"/>
        <v>0</v>
      </c>
      <c r="Z186">
        <f t="shared" si="119"/>
        <v>0</v>
      </c>
      <c r="AA186">
        <f t="shared" si="120"/>
        <v>0</v>
      </c>
      <c r="AB186">
        <f t="shared" si="121"/>
        <v>0</v>
      </c>
      <c r="AC186">
        <f t="shared" si="122"/>
        <v>0</v>
      </c>
      <c r="AD186">
        <f t="shared" si="123"/>
        <v>0</v>
      </c>
      <c r="AE186">
        <f t="shared" si="124"/>
        <v>0</v>
      </c>
      <c r="AF186">
        <f t="shared" si="125"/>
        <v>0</v>
      </c>
      <c r="AG186">
        <f t="shared" si="126"/>
        <v>0</v>
      </c>
      <c r="AH186">
        <f t="shared" si="127"/>
        <v>0</v>
      </c>
      <c r="AI186">
        <f t="shared" si="128"/>
        <v>0</v>
      </c>
      <c r="AJ186">
        <f t="shared" si="129"/>
        <v>0</v>
      </c>
      <c r="AK186">
        <f t="shared" si="130"/>
        <v>0</v>
      </c>
      <c r="AL186">
        <f t="shared" si="131"/>
        <v>0</v>
      </c>
      <c r="AM186">
        <f t="shared" si="132"/>
        <v>0</v>
      </c>
      <c r="AN186">
        <f t="shared" si="133"/>
        <v>0</v>
      </c>
      <c r="AO186">
        <f t="shared" si="134"/>
        <v>0</v>
      </c>
      <c r="AP186">
        <f t="shared" si="135"/>
        <v>0</v>
      </c>
      <c r="AQ186">
        <f t="shared" si="136"/>
        <v>0</v>
      </c>
      <c r="AR186">
        <f t="shared" si="137"/>
        <v>0</v>
      </c>
      <c r="AS186">
        <f t="shared" si="138"/>
        <v>0</v>
      </c>
      <c r="AT186">
        <f t="shared" si="139"/>
        <v>0</v>
      </c>
      <c r="AU186">
        <f t="shared" si="140"/>
        <v>0</v>
      </c>
      <c r="AV186">
        <f t="shared" si="141"/>
        <v>0</v>
      </c>
      <c r="AW186">
        <f t="shared" si="96"/>
        <v>0</v>
      </c>
      <c r="AX186">
        <f t="shared" si="142"/>
        <v>0</v>
      </c>
      <c r="AY186">
        <f t="shared" si="143"/>
        <v>0</v>
      </c>
    </row>
    <row r="187" spans="1:51" x14ac:dyDescent="0.35">
      <c r="A187">
        <v>181</v>
      </c>
      <c r="C187">
        <f>MAX(0,Calc!$C$7-SUM(D187:R187))</f>
        <v>750</v>
      </c>
      <c r="D187">
        <f t="shared" si="97"/>
        <v>0</v>
      </c>
      <c r="E187">
        <f t="shared" si="98"/>
        <v>0</v>
      </c>
      <c r="F187">
        <f t="shared" si="99"/>
        <v>0</v>
      </c>
      <c r="G187">
        <f t="shared" si="100"/>
        <v>0</v>
      </c>
      <c r="H187">
        <f t="shared" si="101"/>
        <v>0</v>
      </c>
      <c r="I187">
        <f t="shared" si="102"/>
        <v>0</v>
      </c>
      <c r="J187">
        <f t="shared" si="103"/>
        <v>0</v>
      </c>
      <c r="K187">
        <f t="shared" si="104"/>
        <v>0</v>
      </c>
      <c r="L187">
        <f t="shared" si="105"/>
        <v>0</v>
      </c>
      <c r="M187">
        <f t="shared" si="106"/>
        <v>0</v>
      </c>
      <c r="N187">
        <f t="shared" si="107"/>
        <v>0</v>
      </c>
      <c r="O187">
        <f t="shared" si="108"/>
        <v>0</v>
      </c>
      <c r="P187">
        <f t="shared" si="109"/>
        <v>0</v>
      </c>
      <c r="Q187">
        <f t="shared" si="110"/>
        <v>0</v>
      </c>
      <c r="R187">
        <f t="shared" si="111"/>
        <v>0</v>
      </c>
      <c r="S187">
        <f t="shared" si="112"/>
        <v>0</v>
      </c>
      <c r="T187">
        <f t="shared" si="113"/>
        <v>0</v>
      </c>
      <c r="U187">
        <f t="shared" si="114"/>
        <v>0</v>
      </c>
      <c r="V187">
        <f t="shared" si="115"/>
        <v>0</v>
      </c>
      <c r="W187">
        <f t="shared" si="116"/>
        <v>0</v>
      </c>
      <c r="X187">
        <f t="shared" si="117"/>
        <v>0</v>
      </c>
      <c r="Y187">
        <f t="shared" si="118"/>
        <v>0</v>
      </c>
      <c r="Z187">
        <f t="shared" si="119"/>
        <v>0</v>
      </c>
      <c r="AA187">
        <f t="shared" si="120"/>
        <v>0</v>
      </c>
      <c r="AB187">
        <f t="shared" si="121"/>
        <v>0</v>
      </c>
      <c r="AC187">
        <f t="shared" si="122"/>
        <v>0</v>
      </c>
      <c r="AD187">
        <f t="shared" si="123"/>
        <v>0</v>
      </c>
      <c r="AE187">
        <f t="shared" si="124"/>
        <v>0</v>
      </c>
      <c r="AF187">
        <f t="shared" si="125"/>
        <v>0</v>
      </c>
      <c r="AG187">
        <f t="shared" si="126"/>
        <v>0</v>
      </c>
      <c r="AH187">
        <f t="shared" si="127"/>
        <v>0</v>
      </c>
      <c r="AI187">
        <f t="shared" si="128"/>
        <v>0</v>
      </c>
      <c r="AJ187">
        <f t="shared" si="129"/>
        <v>0</v>
      </c>
      <c r="AK187">
        <f t="shared" si="130"/>
        <v>0</v>
      </c>
      <c r="AL187">
        <f t="shared" si="131"/>
        <v>0</v>
      </c>
      <c r="AM187">
        <f t="shared" si="132"/>
        <v>0</v>
      </c>
      <c r="AN187">
        <f t="shared" si="133"/>
        <v>0</v>
      </c>
      <c r="AO187">
        <f t="shared" si="134"/>
        <v>0</v>
      </c>
      <c r="AP187">
        <f t="shared" si="135"/>
        <v>0</v>
      </c>
      <c r="AQ187">
        <f t="shared" si="136"/>
        <v>0</v>
      </c>
      <c r="AR187">
        <f t="shared" si="137"/>
        <v>0</v>
      </c>
      <c r="AS187">
        <f t="shared" si="138"/>
        <v>0</v>
      </c>
      <c r="AT187">
        <f t="shared" si="139"/>
        <v>0</v>
      </c>
      <c r="AU187">
        <f t="shared" si="140"/>
        <v>0</v>
      </c>
      <c r="AV187">
        <f t="shared" si="141"/>
        <v>0</v>
      </c>
      <c r="AW187">
        <f t="shared" si="96"/>
        <v>0</v>
      </c>
      <c r="AX187">
        <f t="shared" si="142"/>
        <v>0</v>
      </c>
      <c r="AY187">
        <f t="shared" si="143"/>
        <v>0</v>
      </c>
    </row>
    <row r="188" spans="1:51" x14ac:dyDescent="0.35">
      <c r="A188">
        <v>182</v>
      </c>
      <c r="C188">
        <f>MAX(0,Calc!$C$7-SUM(D188:R188))</f>
        <v>750</v>
      </c>
      <c r="D188">
        <f t="shared" si="97"/>
        <v>0</v>
      </c>
      <c r="E188">
        <f t="shared" si="98"/>
        <v>0</v>
      </c>
      <c r="F188">
        <f t="shared" si="99"/>
        <v>0</v>
      </c>
      <c r="G188">
        <f t="shared" si="100"/>
        <v>0</v>
      </c>
      <c r="H188">
        <f t="shared" si="101"/>
        <v>0</v>
      </c>
      <c r="I188">
        <f t="shared" si="102"/>
        <v>0</v>
      </c>
      <c r="J188">
        <f t="shared" si="103"/>
        <v>0</v>
      </c>
      <c r="K188">
        <f t="shared" si="104"/>
        <v>0</v>
      </c>
      <c r="L188">
        <f t="shared" si="105"/>
        <v>0</v>
      </c>
      <c r="M188">
        <f t="shared" si="106"/>
        <v>0</v>
      </c>
      <c r="N188">
        <f t="shared" si="107"/>
        <v>0</v>
      </c>
      <c r="O188">
        <f t="shared" si="108"/>
        <v>0</v>
      </c>
      <c r="P188">
        <f t="shared" si="109"/>
        <v>0</v>
      </c>
      <c r="Q188">
        <f t="shared" si="110"/>
        <v>0</v>
      </c>
      <c r="R188">
        <f t="shared" si="111"/>
        <v>0</v>
      </c>
      <c r="S188">
        <f t="shared" si="112"/>
        <v>0</v>
      </c>
      <c r="T188">
        <f t="shared" si="113"/>
        <v>0</v>
      </c>
      <c r="U188">
        <f t="shared" si="114"/>
        <v>0</v>
      </c>
      <c r="V188">
        <f t="shared" si="115"/>
        <v>0</v>
      </c>
      <c r="W188">
        <f t="shared" si="116"/>
        <v>0</v>
      </c>
      <c r="X188">
        <f t="shared" si="117"/>
        <v>0</v>
      </c>
      <c r="Y188">
        <f t="shared" si="118"/>
        <v>0</v>
      </c>
      <c r="Z188">
        <f t="shared" si="119"/>
        <v>0</v>
      </c>
      <c r="AA188">
        <f t="shared" si="120"/>
        <v>0</v>
      </c>
      <c r="AB188">
        <f t="shared" si="121"/>
        <v>0</v>
      </c>
      <c r="AC188">
        <f t="shared" si="122"/>
        <v>0</v>
      </c>
      <c r="AD188">
        <f t="shared" si="123"/>
        <v>0</v>
      </c>
      <c r="AE188">
        <f t="shared" si="124"/>
        <v>0</v>
      </c>
      <c r="AF188">
        <f t="shared" si="125"/>
        <v>0</v>
      </c>
      <c r="AG188">
        <f t="shared" si="126"/>
        <v>0</v>
      </c>
      <c r="AH188">
        <f t="shared" si="127"/>
        <v>0</v>
      </c>
      <c r="AI188">
        <f t="shared" si="128"/>
        <v>0</v>
      </c>
      <c r="AJ188">
        <f t="shared" si="129"/>
        <v>0</v>
      </c>
      <c r="AK188">
        <f t="shared" si="130"/>
        <v>0</v>
      </c>
      <c r="AL188">
        <f t="shared" si="131"/>
        <v>0</v>
      </c>
      <c r="AM188">
        <f t="shared" si="132"/>
        <v>0</v>
      </c>
      <c r="AN188">
        <f t="shared" si="133"/>
        <v>0</v>
      </c>
      <c r="AO188">
        <f t="shared" si="134"/>
        <v>0</v>
      </c>
      <c r="AP188">
        <f t="shared" si="135"/>
        <v>0</v>
      </c>
      <c r="AQ188">
        <f t="shared" si="136"/>
        <v>0</v>
      </c>
      <c r="AR188">
        <f t="shared" si="137"/>
        <v>0</v>
      </c>
      <c r="AS188">
        <f t="shared" si="138"/>
        <v>0</v>
      </c>
      <c r="AT188">
        <f t="shared" si="139"/>
        <v>0</v>
      </c>
      <c r="AU188">
        <f t="shared" si="140"/>
        <v>0</v>
      </c>
      <c r="AV188">
        <f t="shared" si="141"/>
        <v>0</v>
      </c>
      <c r="AW188">
        <f t="shared" si="96"/>
        <v>0</v>
      </c>
      <c r="AX188">
        <f t="shared" si="142"/>
        <v>0</v>
      </c>
      <c r="AY188">
        <f t="shared" si="143"/>
        <v>0</v>
      </c>
    </row>
    <row r="189" spans="1:51" x14ac:dyDescent="0.35">
      <c r="A189">
        <v>183</v>
      </c>
      <c r="C189">
        <f>MAX(0,Calc!$C$7-SUM(D189:R189))</f>
        <v>750</v>
      </c>
      <c r="D189">
        <f t="shared" si="97"/>
        <v>0</v>
      </c>
      <c r="E189">
        <f t="shared" si="98"/>
        <v>0</v>
      </c>
      <c r="F189">
        <f t="shared" si="99"/>
        <v>0</v>
      </c>
      <c r="G189">
        <f t="shared" si="100"/>
        <v>0</v>
      </c>
      <c r="H189">
        <f t="shared" si="101"/>
        <v>0</v>
      </c>
      <c r="I189">
        <f t="shared" si="102"/>
        <v>0</v>
      </c>
      <c r="J189">
        <f t="shared" si="103"/>
        <v>0</v>
      </c>
      <c r="K189">
        <f t="shared" si="104"/>
        <v>0</v>
      </c>
      <c r="L189">
        <f t="shared" si="105"/>
        <v>0</v>
      </c>
      <c r="M189">
        <f t="shared" si="106"/>
        <v>0</v>
      </c>
      <c r="N189">
        <f t="shared" si="107"/>
        <v>0</v>
      </c>
      <c r="O189">
        <f t="shared" si="108"/>
        <v>0</v>
      </c>
      <c r="P189">
        <f t="shared" si="109"/>
        <v>0</v>
      </c>
      <c r="Q189">
        <f t="shared" si="110"/>
        <v>0</v>
      </c>
      <c r="R189">
        <f t="shared" si="111"/>
        <v>0</v>
      </c>
      <c r="S189">
        <f t="shared" si="112"/>
        <v>0</v>
      </c>
      <c r="T189">
        <f t="shared" si="113"/>
        <v>0</v>
      </c>
      <c r="U189">
        <f t="shared" si="114"/>
        <v>0</v>
      </c>
      <c r="V189">
        <f t="shared" si="115"/>
        <v>0</v>
      </c>
      <c r="W189">
        <f t="shared" si="116"/>
        <v>0</v>
      </c>
      <c r="X189">
        <f t="shared" si="117"/>
        <v>0</v>
      </c>
      <c r="Y189">
        <f t="shared" si="118"/>
        <v>0</v>
      </c>
      <c r="Z189">
        <f t="shared" si="119"/>
        <v>0</v>
      </c>
      <c r="AA189">
        <f t="shared" si="120"/>
        <v>0</v>
      </c>
      <c r="AB189">
        <f t="shared" si="121"/>
        <v>0</v>
      </c>
      <c r="AC189">
        <f t="shared" si="122"/>
        <v>0</v>
      </c>
      <c r="AD189">
        <f t="shared" si="123"/>
        <v>0</v>
      </c>
      <c r="AE189">
        <f t="shared" si="124"/>
        <v>0</v>
      </c>
      <c r="AF189">
        <f t="shared" si="125"/>
        <v>0</v>
      </c>
      <c r="AG189">
        <f t="shared" si="126"/>
        <v>0</v>
      </c>
      <c r="AH189">
        <f t="shared" si="127"/>
        <v>0</v>
      </c>
      <c r="AI189">
        <f t="shared" si="128"/>
        <v>0</v>
      </c>
      <c r="AJ189">
        <f t="shared" si="129"/>
        <v>0</v>
      </c>
      <c r="AK189">
        <f t="shared" si="130"/>
        <v>0</v>
      </c>
      <c r="AL189">
        <f t="shared" si="131"/>
        <v>0</v>
      </c>
      <c r="AM189">
        <f t="shared" si="132"/>
        <v>0</v>
      </c>
      <c r="AN189">
        <f t="shared" si="133"/>
        <v>0</v>
      </c>
      <c r="AO189">
        <f t="shared" si="134"/>
        <v>0</v>
      </c>
      <c r="AP189">
        <f t="shared" si="135"/>
        <v>0</v>
      </c>
      <c r="AQ189">
        <f t="shared" si="136"/>
        <v>0</v>
      </c>
      <c r="AR189">
        <f t="shared" si="137"/>
        <v>0</v>
      </c>
      <c r="AS189">
        <f t="shared" si="138"/>
        <v>0</v>
      </c>
      <c r="AT189">
        <f t="shared" si="139"/>
        <v>0</v>
      </c>
      <c r="AU189">
        <f t="shared" si="140"/>
        <v>0</v>
      </c>
      <c r="AV189">
        <f t="shared" si="141"/>
        <v>0</v>
      </c>
      <c r="AW189">
        <f t="shared" si="96"/>
        <v>0</v>
      </c>
      <c r="AX189">
        <f t="shared" si="142"/>
        <v>0</v>
      </c>
      <c r="AY189">
        <f t="shared" si="143"/>
        <v>0</v>
      </c>
    </row>
    <row r="190" spans="1:51" x14ac:dyDescent="0.35">
      <c r="A190">
        <v>184</v>
      </c>
      <c r="C190">
        <f>MAX(0,Calc!$C$7-SUM(D190:R190))</f>
        <v>750</v>
      </c>
      <c r="D190">
        <f t="shared" si="97"/>
        <v>0</v>
      </c>
      <c r="E190">
        <f t="shared" si="98"/>
        <v>0</v>
      </c>
      <c r="F190">
        <f t="shared" si="99"/>
        <v>0</v>
      </c>
      <c r="G190">
        <f t="shared" si="100"/>
        <v>0</v>
      </c>
      <c r="H190">
        <f t="shared" si="101"/>
        <v>0</v>
      </c>
      <c r="I190">
        <f t="shared" si="102"/>
        <v>0</v>
      </c>
      <c r="J190">
        <f t="shared" si="103"/>
        <v>0</v>
      </c>
      <c r="K190">
        <f t="shared" si="104"/>
        <v>0</v>
      </c>
      <c r="L190">
        <f t="shared" si="105"/>
        <v>0</v>
      </c>
      <c r="M190">
        <f t="shared" si="106"/>
        <v>0</v>
      </c>
      <c r="N190">
        <f t="shared" si="107"/>
        <v>0</v>
      </c>
      <c r="O190">
        <f t="shared" si="108"/>
        <v>0</v>
      </c>
      <c r="P190">
        <f t="shared" si="109"/>
        <v>0</v>
      </c>
      <c r="Q190">
        <f t="shared" si="110"/>
        <v>0</v>
      </c>
      <c r="R190">
        <f t="shared" si="111"/>
        <v>0</v>
      </c>
      <c r="S190">
        <f t="shared" si="112"/>
        <v>0</v>
      </c>
      <c r="T190">
        <f t="shared" si="113"/>
        <v>0</v>
      </c>
      <c r="U190">
        <f t="shared" si="114"/>
        <v>0</v>
      </c>
      <c r="V190">
        <f t="shared" si="115"/>
        <v>0</v>
      </c>
      <c r="W190">
        <f t="shared" si="116"/>
        <v>0</v>
      </c>
      <c r="X190">
        <f t="shared" si="117"/>
        <v>0</v>
      </c>
      <c r="Y190">
        <f t="shared" si="118"/>
        <v>0</v>
      </c>
      <c r="Z190">
        <f t="shared" si="119"/>
        <v>0</v>
      </c>
      <c r="AA190">
        <f t="shared" si="120"/>
        <v>0</v>
      </c>
      <c r="AB190">
        <f t="shared" si="121"/>
        <v>0</v>
      </c>
      <c r="AC190">
        <f t="shared" si="122"/>
        <v>0</v>
      </c>
      <c r="AD190">
        <f t="shared" si="123"/>
        <v>0</v>
      </c>
      <c r="AE190">
        <f t="shared" si="124"/>
        <v>0</v>
      </c>
      <c r="AF190">
        <f t="shared" si="125"/>
        <v>0</v>
      </c>
      <c r="AG190">
        <f t="shared" si="126"/>
        <v>0</v>
      </c>
      <c r="AH190">
        <f t="shared" si="127"/>
        <v>0</v>
      </c>
      <c r="AI190">
        <f t="shared" si="128"/>
        <v>0</v>
      </c>
      <c r="AJ190">
        <f t="shared" si="129"/>
        <v>0</v>
      </c>
      <c r="AK190">
        <f t="shared" si="130"/>
        <v>0</v>
      </c>
      <c r="AL190">
        <f t="shared" si="131"/>
        <v>0</v>
      </c>
      <c r="AM190">
        <f t="shared" si="132"/>
        <v>0</v>
      </c>
      <c r="AN190">
        <f t="shared" si="133"/>
        <v>0</v>
      </c>
      <c r="AO190">
        <f t="shared" si="134"/>
        <v>0</v>
      </c>
      <c r="AP190">
        <f t="shared" si="135"/>
        <v>0</v>
      </c>
      <c r="AQ190">
        <f t="shared" si="136"/>
        <v>0</v>
      </c>
      <c r="AR190">
        <f t="shared" si="137"/>
        <v>0</v>
      </c>
      <c r="AS190">
        <f t="shared" si="138"/>
        <v>0</v>
      </c>
      <c r="AT190">
        <f t="shared" si="139"/>
        <v>0</v>
      </c>
      <c r="AU190">
        <f t="shared" si="140"/>
        <v>0</v>
      </c>
      <c r="AV190">
        <f t="shared" si="141"/>
        <v>0</v>
      </c>
      <c r="AW190">
        <f t="shared" si="96"/>
        <v>0</v>
      </c>
      <c r="AX190">
        <f t="shared" si="142"/>
        <v>0</v>
      </c>
      <c r="AY190">
        <f t="shared" si="143"/>
        <v>0</v>
      </c>
    </row>
    <row r="191" spans="1:51" x14ac:dyDescent="0.35">
      <c r="A191">
        <v>185</v>
      </c>
      <c r="C191">
        <f>MAX(0,Calc!$C$7-SUM(D191:R191))</f>
        <v>750</v>
      </c>
      <c r="D191">
        <f t="shared" si="97"/>
        <v>0</v>
      </c>
      <c r="E191">
        <f t="shared" si="98"/>
        <v>0</v>
      </c>
      <c r="F191">
        <f t="shared" si="99"/>
        <v>0</v>
      </c>
      <c r="G191">
        <f t="shared" si="100"/>
        <v>0</v>
      </c>
      <c r="H191">
        <f t="shared" si="101"/>
        <v>0</v>
      </c>
      <c r="I191">
        <f t="shared" si="102"/>
        <v>0</v>
      </c>
      <c r="J191">
        <f t="shared" si="103"/>
        <v>0</v>
      </c>
      <c r="K191">
        <f t="shared" si="104"/>
        <v>0</v>
      </c>
      <c r="L191">
        <f t="shared" si="105"/>
        <v>0</v>
      </c>
      <c r="M191">
        <f t="shared" si="106"/>
        <v>0</v>
      </c>
      <c r="N191">
        <f t="shared" si="107"/>
        <v>0</v>
      </c>
      <c r="O191">
        <f t="shared" si="108"/>
        <v>0</v>
      </c>
      <c r="P191">
        <f t="shared" si="109"/>
        <v>0</v>
      </c>
      <c r="Q191">
        <f t="shared" si="110"/>
        <v>0</v>
      </c>
      <c r="R191">
        <f t="shared" si="111"/>
        <v>0</v>
      </c>
      <c r="S191">
        <f t="shared" si="112"/>
        <v>0</v>
      </c>
      <c r="T191">
        <f t="shared" si="113"/>
        <v>0</v>
      </c>
      <c r="U191">
        <f t="shared" si="114"/>
        <v>0</v>
      </c>
      <c r="V191">
        <f t="shared" si="115"/>
        <v>0</v>
      </c>
      <c r="W191">
        <f t="shared" si="116"/>
        <v>0</v>
      </c>
      <c r="X191">
        <f t="shared" si="117"/>
        <v>0</v>
      </c>
      <c r="Y191">
        <f t="shared" si="118"/>
        <v>0</v>
      </c>
      <c r="Z191">
        <f t="shared" si="119"/>
        <v>0</v>
      </c>
      <c r="AA191">
        <f t="shared" si="120"/>
        <v>0</v>
      </c>
      <c r="AB191">
        <f t="shared" si="121"/>
        <v>0</v>
      </c>
      <c r="AC191">
        <f t="shared" si="122"/>
        <v>0</v>
      </c>
      <c r="AD191">
        <f t="shared" si="123"/>
        <v>0</v>
      </c>
      <c r="AE191">
        <f t="shared" si="124"/>
        <v>0</v>
      </c>
      <c r="AF191">
        <f t="shared" si="125"/>
        <v>0</v>
      </c>
      <c r="AG191">
        <f t="shared" si="126"/>
        <v>0</v>
      </c>
      <c r="AH191">
        <f t="shared" si="127"/>
        <v>0</v>
      </c>
      <c r="AI191">
        <f t="shared" si="128"/>
        <v>0</v>
      </c>
      <c r="AJ191">
        <f t="shared" si="129"/>
        <v>0</v>
      </c>
      <c r="AK191">
        <f t="shared" si="130"/>
        <v>0</v>
      </c>
      <c r="AL191">
        <f t="shared" si="131"/>
        <v>0</v>
      </c>
      <c r="AM191">
        <f t="shared" si="132"/>
        <v>0</v>
      </c>
      <c r="AN191">
        <f t="shared" si="133"/>
        <v>0</v>
      </c>
      <c r="AO191">
        <f t="shared" si="134"/>
        <v>0</v>
      </c>
      <c r="AP191">
        <f t="shared" si="135"/>
        <v>0</v>
      </c>
      <c r="AQ191">
        <f t="shared" si="136"/>
        <v>0</v>
      </c>
      <c r="AR191">
        <f t="shared" si="137"/>
        <v>0</v>
      </c>
      <c r="AS191">
        <f t="shared" si="138"/>
        <v>0</v>
      </c>
      <c r="AT191">
        <f t="shared" si="139"/>
        <v>0</v>
      </c>
      <c r="AU191">
        <f t="shared" si="140"/>
        <v>0</v>
      </c>
      <c r="AV191">
        <f t="shared" si="141"/>
        <v>0</v>
      </c>
      <c r="AW191">
        <f t="shared" si="96"/>
        <v>0</v>
      </c>
      <c r="AX191">
        <f t="shared" si="142"/>
        <v>0</v>
      </c>
      <c r="AY191">
        <f t="shared" si="143"/>
        <v>0</v>
      </c>
    </row>
    <row r="192" spans="1:51" x14ac:dyDescent="0.35">
      <c r="A192">
        <v>186</v>
      </c>
      <c r="C192">
        <f>MAX(0,Calc!$C$7-SUM(D192:R192))</f>
        <v>750</v>
      </c>
      <c r="D192">
        <f t="shared" si="97"/>
        <v>0</v>
      </c>
      <c r="E192">
        <f t="shared" si="98"/>
        <v>0</v>
      </c>
      <c r="F192">
        <f t="shared" si="99"/>
        <v>0</v>
      </c>
      <c r="G192">
        <f t="shared" si="100"/>
        <v>0</v>
      </c>
      <c r="H192">
        <f t="shared" si="101"/>
        <v>0</v>
      </c>
      <c r="I192">
        <f t="shared" si="102"/>
        <v>0</v>
      </c>
      <c r="J192">
        <f t="shared" si="103"/>
        <v>0</v>
      </c>
      <c r="K192">
        <f t="shared" si="104"/>
        <v>0</v>
      </c>
      <c r="L192">
        <f t="shared" si="105"/>
        <v>0</v>
      </c>
      <c r="M192">
        <f t="shared" si="106"/>
        <v>0</v>
      </c>
      <c r="N192">
        <f t="shared" si="107"/>
        <v>0</v>
      </c>
      <c r="O192">
        <f t="shared" si="108"/>
        <v>0</v>
      </c>
      <c r="P192">
        <f t="shared" si="109"/>
        <v>0</v>
      </c>
      <c r="Q192">
        <f t="shared" si="110"/>
        <v>0</v>
      </c>
      <c r="R192">
        <f t="shared" si="111"/>
        <v>0</v>
      </c>
      <c r="S192">
        <f t="shared" si="112"/>
        <v>0</v>
      </c>
      <c r="T192">
        <f t="shared" si="113"/>
        <v>0</v>
      </c>
      <c r="U192">
        <f t="shared" si="114"/>
        <v>0</v>
      </c>
      <c r="V192">
        <f t="shared" si="115"/>
        <v>0</v>
      </c>
      <c r="W192">
        <f t="shared" si="116"/>
        <v>0</v>
      </c>
      <c r="X192">
        <f t="shared" si="117"/>
        <v>0</v>
      </c>
      <c r="Y192">
        <f t="shared" si="118"/>
        <v>0</v>
      </c>
      <c r="Z192">
        <f t="shared" si="119"/>
        <v>0</v>
      </c>
      <c r="AA192">
        <f t="shared" si="120"/>
        <v>0</v>
      </c>
      <c r="AB192">
        <f t="shared" si="121"/>
        <v>0</v>
      </c>
      <c r="AC192">
        <f t="shared" si="122"/>
        <v>0</v>
      </c>
      <c r="AD192">
        <f t="shared" si="123"/>
        <v>0</v>
      </c>
      <c r="AE192">
        <f t="shared" si="124"/>
        <v>0</v>
      </c>
      <c r="AF192">
        <f t="shared" si="125"/>
        <v>0</v>
      </c>
      <c r="AG192">
        <f t="shared" si="126"/>
        <v>0</v>
      </c>
      <c r="AH192">
        <f t="shared" si="127"/>
        <v>0</v>
      </c>
      <c r="AI192">
        <f t="shared" si="128"/>
        <v>0</v>
      </c>
      <c r="AJ192">
        <f t="shared" si="129"/>
        <v>0</v>
      </c>
      <c r="AK192">
        <f t="shared" si="130"/>
        <v>0</v>
      </c>
      <c r="AL192">
        <f t="shared" si="131"/>
        <v>0</v>
      </c>
      <c r="AM192">
        <f t="shared" si="132"/>
        <v>0</v>
      </c>
      <c r="AN192">
        <f t="shared" si="133"/>
        <v>0</v>
      </c>
      <c r="AO192">
        <f t="shared" si="134"/>
        <v>0</v>
      </c>
      <c r="AP192">
        <f t="shared" si="135"/>
        <v>0</v>
      </c>
      <c r="AQ192">
        <f t="shared" si="136"/>
        <v>0</v>
      </c>
      <c r="AR192">
        <f t="shared" si="137"/>
        <v>0</v>
      </c>
      <c r="AS192">
        <f t="shared" si="138"/>
        <v>0</v>
      </c>
      <c r="AT192">
        <f t="shared" si="139"/>
        <v>0</v>
      </c>
      <c r="AU192">
        <f t="shared" si="140"/>
        <v>0</v>
      </c>
      <c r="AV192">
        <f t="shared" si="141"/>
        <v>0</v>
      </c>
      <c r="AW192">
        <f t="shared" si="96"/>
        <v>0</v>
      </c>
      <c r="AX192">
        <f t="shared" si="142"/>
        <v>0</v>
      </c>
      <c r="AY192">
        <f t="shared" si="143"/>
        <v>0</v>
      </c>
    </row>
    <row r="193" spans="1:51" x14ac:dyDescent="0.35">
      <c r="A193">
        <v>187</v>
      </c>
      <c r="C193">
        <f>MAX(0,Calc!$C$7-SUM(D193:R193))</f>
        <v>750</v>
      </c>
      <c r="D193">
        <f t="shared" si="97"/>
        <v>0</v>
      </c>
      <c r="E193">
        <f t="shared" si="98"/>
        <v>0</v>
      </c>
      <c r="F193">
        <f t="shared" si="99"/>
        <v>0</v>
      </c>
      <c r="G193">
        <f t="shared" si="100"/>
        <v>0</v>
      </c>
      <c r="H193">
        <f t="shared" si="101"/>
        <v>0</v>
      </c>
      <c r="I193">
        <f t="shared" si="102"/>
        <v>0</v>
      </c>
      <c r="J193">
        <f t="shared" si="103"/>
        <v>0</v>
      </c>
      <c r="K193">
        <f t="shared" si="104"/>
        <v>0</v>
      </c>
      <c r="L193">
        <f t="shared" si="105"/>
        <v>0</v>
      </c>
      <c r="M193">
        <f t="shared" si="106"/>
        <v>0</v>
      </c>
      <c r="N193">
        <f t="shared" si="107"/>
        <v>0</v>
      </c>
      <c r="O193">
        <f t="shared" si="108"/>
        <v>0</v>
      </c>
      <c r="P193">
        <f t="shared" si="109"/>
        <v>0</v>
      </c>
      <c r="Q193">
        <f t="shared" si="110"/>
        <v>0</v>
      </c>
      <c r="R193">
        <f t="shared" si="111"/>
        <v>0</v>
      </c>
      <c r="S193">
        <f t="shared" si="112"/>
        <v>0</v>
      </c>
      <c r="T193">
        <f t="shared" si="113"/>
        <v>0</v>
      </c>
      <c r="U193">
        <f t="shared" si="114"/>
        <v>0</v>
      </c>
      <c r="V193">
        <f t="shared" si="115"/>
        <v>0</v>
      </c>
      <c r="W193">
        <f t="shared" si="116"/>
        <v>0</v>
      </c>
      <c r="X193">
        <f t="shared" si="117"/>
        <v>0</v>
      </c>
      <c r="Y193">
        <f t="shared" si="118"/>
        <v>0</v>
      </c>
      <c r="Z193">
        <f t="shared" si="119"/>
        <v>0</v>
      </c>
      <c r="AA193">
        <f t="shared" si="120"/>
        <v>0</v>
      </c>
      <c r="AB193">
        <f t="shared" si="121"/>
        <v>0</v>
      </c>
      <c r="AC193">
        <f t="shared" si="122"/>
        <v>0</v>
      </c>
      <c r="AD193">
        <f t="shared" si="123"/>
        <v>0</v>
      </c>
      <c r="AE193">
        <f t="shared" si="124"/>
        <v>0</v>
      </c>
      <c r="AF193">
        <f t="shared" si="125"/>
        <v>0</v>
      </c>
      <c r="AG193">
        <f t="shared" si="126"/>
        <v>0</v>
      </c>
      <c r="AH193">
        <f t="shared" si="127"/>
        <v>0</v>
      </c>
      <c r="AI193">
        <f t="shared" si="128"/>
        <v>0</v>
      </c>
      <c r="AJ193">
        <f t="shared" si="129"/>
        <v>0</v>
      </c>
      <c r="AK193">
        <f t="shared" si="130"/>
        <v>0</v>
      </c>
      <c r="AL193">
        <f t="shared" si="131"/>
        <v>0</v>
      </c>
      <c r="AM193">
        <f t="shared" si="132"/>
        <v>0</v>
      </c>
      <c r="AN193">
        <f t="shared" si="133"/>
        <v>0</v>
      </c>
      <c r="AO193">
        <f t="shared" si="134"/>
        <v>0</v>
      </c>
      <c r="AP193">
        <f t="shared" si="135"/>
        <v>0</v>
      </c>
      <c r="AQ193">
        <f t="shared" si="136"/>
        <v>0</v>
      </c>
      <c r="AR193">
        <f t="shared" si="137"/>
        <v>0</v>
      </c>
      <c r="AS193">
        <f t="shared" si="138"/>
        <v>0</v>
      </c>
      <c r="AT193">
        <f t="shared" si="139"/>
        <v>0</v>
      </c>
      <c r="AU193">
        <f t="shared" si="140"/>
        <v>0</v>
      </c>
      <c r="AV193">
        <f t="shared" si="141"/>
        <v>0</v>
      </c>
      <c r="AW193">
        <f t="shared" si="96"/>
        <v>0</v>
      </c>
      <c r="AX193">
        <f t="shared" si="142"/>
        <v>0</v>
      </c>
      <c r="AY193">
        <f t="shared" si="143"/>
        <v>0</v>
      </c>
    </row>
    <row r="194" spans="1:51" x14ac:dyDescent="0.35">
      <c r="A194">
        <v>188</v>
      </c>
      <c r="C194">
        <f>MAX(0,Calc!$C$7-SUM(D194:R194))</f>
        <v>750</v>
      </c>
      <c r="D194">
        <f t="shared" si="97"/>
        <v>0</v>
      </c>
      <c r="E194">
        <f t="shared" si="98"/>
        <v>0</v>
      </c>
      <c r="F194">
        <f t="shared" si="99"/>
        <v>0</v>
      </c>
      <c r="G194">
        <f t="shared" si="100"/>
        <v>0</v>
      </c>
      <c r="H194">
        <f t="shared" si="101"/>
        <v>0</v>
      </c>
      <c r="I194">
        <f t="shared" si="102"/>
        <v>0</v>
      </c>
      <c r="J194">
        <f t="shared" si="103"/>
        <v>0</v>
      </c>
      <c r="K194">
        <f t="shared" si="104"/>
        <v>0</v>
      </c>
      <c r="L194">
        <f t="shared" si="105"/>
        <v>0</v>
      </c>
      <c r="M194">
        <f t="shared" si="106"/>
        <v>0</v>
      </c>
      <c r="N194">
        <f t="shared" si="107"/>
        <v>0</v>
      </c>
      <c r="O194">
        <f t="shared" si="108"/>
        <v>0</v>
      </c>
      <c r="P194">
        <f t="shared" si="109"/>
        <v>0</v>
      </c>
      <c r="Q194">
        <f t="shared" si="110"/>
        <v>0</v>
      </c>
      <c r="R194">
        <f t="shared" si="111"/>
        <v>0</v>
      </c>
      <c r="S194">
        <f t="shared" si="112"/>
        <v>0</v>
      </c>
      <c r="T194">
        <f t="shared" si="113"/>
        <v>0</v>
      </c>
      <c r="U194">
        <f t="shared" si="114"/>
        <v>0</v>
      </c>
      <c r="V194">
        <f t="shared" si="115"/>
        <v>0</v>
      </c>
      <c r="W194">
        <f t="shared" si="116"/>
        <v>0</v>
      </c>
      <c r="X194">
        <f t="shared" si="117"/>
        <v>0</v>
      </c>
      <c r="Y194">
        <f t="shared" si="118"/>
        <v>0</v>
      </c>
      <c r="Z194">
        <f t="shared" si="119"/>
        <v>0</v>
      </c>
      <c r="AA194">
        <f t="shared" si="120"/>
        <v>0</v>
      </c>
      <c r="AB194">
        <f t="shared" si="121"/>
        <v>0</v>
      </c>
      <c r="AC194">
        <f t="shared" si="122"/>
        <v>0</v>
      </c>
      <c r="AD194">
        <f t="shared" si="123"/>
        <v>0</v>
      </c>
      <c r="AE194">
        <f t="shared" si="124"/>
        <v>0</v>
      </c>
      <c r="AF194">
        <f t="shared" si="125"/>
        <v>0</v>
      </c>
      <c r="AG194">
        <f t="shared" si="126"/>
        <v>0</v>
      </c>
      <c r="AH194">
        <f t="shared" si="127"/>
        <v>0</v>
      </c>
      <c r="AI194">
        <f t="shared" si="128"/>
        <v>0</v>
      </c>
      <c r="AJ194">
        <f t="shared" si="129"/>
        <v>0</v>
      </c>
      <c r="AK194">
        <f t="shared" si="130"/>
        <v>0</v>
      </c>
      <c r="AL194">
        <f t="shared" si="131"/>
        <v>0</v>
      </c>
      <c r="AM194">
        <f t="shared" si="132"/>
        <v>0</v>
      </c>
      <c r="AN194">
        <f t="shared" si="133"/>
        <v>0</v>
      </c>
      <c r="AO194">
        <f t="shared" si="134"/>
        <v>0</v>
      </c>
      <c r="AP194">
        <f t="shared" si="135"/>
        <v>0</v>
      </c>
      <c r="AQ194">
        <f t="shared" si="136"/>
        <v>0</v>
      </c>
      <c r="AR194">
        <f t="shared" si="137"/>
        <v>0</v>
      </c>
      <c r="AS194">
        <f t="shared" si="138"/>
        <v>0</v>
      </c>
      <c r="AT194">
        <f t="shared" si="139"/>
        <v>0</v>
      </c>
      <c r="AU194">
        <f t="shared" si="140"/>
        <v>0</v>
      </c>
      <c r="AV194">
        <f t="shared" si="141"/>
        <v>0</v>
      </c>
      <c r="AW194">
        <f t="shared" si="96"/>
        <v>0</v>
      </c>
      <c r="AX194">
        <f t="shared" si="142"/>
        <v>0</v>
      </c>
      <c r="AY194">
        <f t="shared" si="143"/>
        <v>0</v>
      </c>
    </row>
    <row r="195" spans="1:51" x14ac:dyDescent="0.35">
      <c r="A195">
        <v>189</v>
      </c>
      <c r="C195">
        <f>MAX(0,Calc!$C$7-SUM(D195:R195))</f>
        <v>750</v>
      </c>
      <c r="D195">
        <f t="shared" si="97"/>
        <v>0</v>
      </c>
      <c r="E195">
        <f t="shared" si="98"/>
        <v>0</v>
      </c>
      <c r="F195">
        <f t="shared" si="99"/>
        <v>0</v>
      </c>
      <c r="G195">
        <f t="shared" si="100"/>
        <v>0</v>
      </c>
      <c r="H195">
        <f t="shared" si="101"/>
        <v>0</v>
      </c>
      <c r="I195">
        <f t="shared" si="102"/>
        <v>0</v>
      </c>
      <c r="J195">
        <f t="shared" si="103"/>
        <v>0</v>
      </c>
      <c r="K195">
        <f t="shared" si="104"/>
        <v>0</v>
      </c>
      <c r="L195">
        <f t="shared" si="105"/>
        <v>0</v>
      </c>
      <c r="M195">
        <f t="shared" si="106"/>
        <v>0</v>
      </c>
      <c r="N195">
        <f t="shared" si="107"/>
        <v>0</v>
      </c>
      <c r="O195">
        <f t="shared" si="108"/>
        <v>0</v>
      </c>
      <c r="P195">
        <f t="shared" si="109"/>
        <v>0</v>
      </c>
      <c r="Q195">
        <f t="shared" si="110"/>
        <v>0</v>
      </c>
      <c r="R195">
        <f t="shared" si="111"/>
        <v>0</v>
      </c>
      <c r="S195">
        <f t="shared" si="112"/>
        <v>0</v>
      </c>
      <c r="T195">
        <f t="shared" si="113"/>
        <v>0</v>
      </c>
      <c r="U195">
        <f t="shared" si="114"/>
        <v>0</v>
      </c>
      <c r="V195">
        <f t="shared" si="115"/>
        <v>0</v>
      </c>
      <c r="W195">
        <f t="shared" si="116"/>
        <v>0</v>
      </c>
      <c r="X195">
        <f t="shared" si="117"/>
        <v>0</v>
      </c>
      <c r="Y195">
        <f t="shared" si="118"/>
        <v>0</v>
      </c>
      <c r="Z195">
        <f t="shared" si="119"/>
        <v>0</v>
      </c>
      <c r="AA195">
        <f t="shared" si="120"/>
        <v>0</v>
      </c>
      <c r="AB195">
        <f t="shared" si="121"/>
        <v>0</v>
      </c>
      <c r="AC195">
        <f t="shared" si="122"/>
        <v>0</v>
      </c>
      <c r="AD195">
        <f t="shared" si="123"/>
        <v>0</v>
      </c>
      <c r="AE195">
        <f t="shared" si="124"/>
        <v>0</v>
      </c>
      <c r="AF195">
        <f t="shared" si="125"/>
        <v>0</v>
      </c>
      <c r="AG195">
        <f t="shared" si="126"/>
        <v>0</v>
      </c>
      <c r="AH195">
        <f t="shared" si="127"/>
        <v>0</v>
      </c>
      <c r="AI195">
        <f t="shared" si="128"/>
        <v>0</v>
      </c>
      <c r="AJ195">
        <f t="shared" si="129"/>
        <v>0</v>
      </c>
      <c r="AK195">
        <f t="shared" si="130"/>
        <v>0</v>
      </c>
      <c r="AL195">
        <f t="shared" si="131"/>
        <v>0</v>
      </c>
      <c r="AM195">
        <f t="shared" si="132"/>
        <v>0</v>
      </c>
      <c r="AN195">
        <f t="shared" si="133"/>
        <v>0</v>
      </c>
      <c r="AO195">
        <f t="shared" si="134"/>
        <v>0</v>
      </c>
      <c r="AP195">
        <f t="shared" si="135"/>
        <v>0</v>
      </c>
      <c r="AQ195">
        <f t="shared" si="136"/>
        <v>0</v>
      </c>
      <c r="AR195">
        <f t="shared" si="137"/>
        <v>0</v>
      </c>
      <c r="AS195">
        <f t="shared" si="138"/>
        <v>0</v>
      </c>
      <c r="AT195">
        <f t="shared" si="139"/>
        <v>0</v>
      </c>
      <c r="AU195">
        <f t="shared" si="140"/>
        <v>0</v>
      </c>
      <c r="AV195">
        <f t="shared" si="141"/>
        <v>0</v>
      </c>
      <c r="AW195">
        <f t="shared" si="96"/>
        <v>0</v>
      </c>
      <c r="AX195">
        <f t="shared" si="142"/>
        <v>0</v>
      </c>
      <c r="AY195">
        <f t="shared" si="143"/>
        <v>0</v>
      </c>
    </row>
    <row r="196" spans="1:51" x14ac:dyDescent="0.35">
      <c r="A196">
        <v>190</v>
      </c>
      <c r="C196">
        <f>MAX(0,Calc!$C$7-SUM(D196:R196))</f>
        <v>750</v>
      </c>
      <c r="D196">
        <f t="shared" si="97"/>
        <v>0</v>
      </c>
      <c r="E196">
        <f t="shared" si="98"/>
        <v>0</v>
      </c>
      <c r="F196">
        <f t="shared" si="99"/>
        <v>0</v>
      </c>
      <c r="G196">
        <f t="shared" si="100"/>
        <v>0</v>
      </c>
      <c r="H196">
        <f t="shared" si="101"/>
        <v>0</v>
      </c>
      <c r="I196">
        <f t="shared" si="102"/>
        <v>0</v>
      </c>
      <c r="J196">
        <f t="shared" si="103"/>
        <v>0</v>
      </c>
      <c r="K196">
        <f t="shared" si="104"/>
        <v>0</v>
      </c>
      <c r="L196">
        <f t="shared" si="105"/>
        <v>0</v>
      </c>
      <c r="M196">
        <f t="shared" si="106"/>
        <v>0</v>
      </c>
      <c r="N196">
        <f t="shared" si="107"/>
        <v>0</v>
      </c>
      <c r="O196">
        <f t="shared" si="108"/>
        <v>0</v>
      </c>
      <c r="P196">
        <f t="shared" si="109"/>
        <v>0</v>
      </c>
      <c r="Q196">
        <f t="shared" si="110"/>
        <v>0</v>
      </c>
      <c r="R196">
        <f t="shared" si="111"/>
        <v>0</v>
      </c>
      <c r="S196">
        <f t="shared" si="112"/>
        <v>0</v>
      </c>
      <c r="T196">
        <f t="shared" si="113"/>
        <v>0</v>
      </c>
      <c r="U196">
        <f t="shared" si="114"/>
        <v>0</v>
      </c>
      <c r="V196">
        <f t="shared" si="115"/>
        <v>0</v>
      </c>
      <c r="W196">
        <f t="shared" si="116"/>
        <v>0</v>
      </c>
      <c r="X196">
        <f t="shared" si="117"/>
        <v>0</v>
      </c>
      <c r="Y196">
        <f t="shared" si="118"/>
        <v>0</v>
      </c>
      <c r="Z196">
        <f t="shared" si="119"/>
        <v>0</v>
      </c>
      <c r="AA196">
        <f t="shared" si="120"/>
        <v>0</v>
      </c>
      <c r="AB196">
        <f t="shared" si="121"/>
        <v>0</v>
      </c>
      <c r="AC196">
        <f t="shared" si="122"/>
        <v>0</v>
      </c>
      <c r="AD196">
        <f t="shared" si="123"/>
        <v>0</v>
      </c>
      <c r="AE196">
        <f t="shared" si="124"/>
        <v>0</v>
      </c>
      <c r="AF196">
        <f t="shared" si="125"/>
        <v>0</v>
      </c>
      <c r="AG196">
        <f t="shared" si="126"/>
        <v>0</v>
      </c>
      <c r="AH196">
        <f t="shared" si="127"/>
        <v>0</v>
      </c>
      <c r="AI196">
        <f t="shared" si="128"/>
        <v>0</v>
      </c>
      <c r="AJ196">
        <f t="shared" si="129"/>
        <v>0</v>
      </c>
      <c r="AK196">
        <f t="shared" si="130"/>
        <v>0</v>
      </c>
      <c r="AL196">
        <f t="shared" si="131"/>
        <v>0</v>
      </c>
      <c r="AM196">
        <f t="shared" si="132"/>
        <v>0</v>
      </c>
      <c r="AN196">
        <f t="shared" si="133"/>
        <v>0</v>
      </c>
      <c r="AO196">
        <f t="shared" si="134"/>
        <v>0</v>
      </c>
      <c r="AP196">
        <f t="shared" si="135"/>
        <v>0</v>
      </c>
      <c r="AQ196">
        <f t="shared" si="136"/>
        <v>0</v>
      </c>
      <c r="AR196">
        <f t="shared" si="137"/>
        <v>0</v>
      </c>
      <c r="AS196">
        <f t="shared" si="138"/>
        <v>0</v>
      </c>
      <c r="AT196">
        <f t="shared" si="139"/>
        <v>0</v>
      </c>
      <c r="AU196">
        <f t="shared" si="140"/>
        <v>0</v>
      </c>
      <c r="AV196">
        <f t="shared" si="141"/>
        <v>0</v>
      </c>
      <c r="AW196">
        <f t="shared" si="96"/>
        <v>0</v>
      </c>
      <c r="AX196">
        <f t="shared" si="142"/>
        <v>0</v>
      </c>
      <c r="AY196">
        <f t="shared" si="143"/>
        <v>0</v>
      </c>
    </row>
    <row r="197" spans="1:51" x14ac:dyDescent="0.35">
      <c r="A197">
        <v>191</v>
      </c>
      <c r="C197">
        <f>MAX(0,Calc!$C$7-SUM(D197:R197))</f>
        <v>750</v>
      </c>
      <c r="D197">
        <f t="shared" si="97"/>
        <v>0</v>
      </c>
      <c r="E197">
        <f t="shared" si="98"/>
        <v>0</v>
      </c>
      <c r="F197">
        <f t="shared" si="99"/>
        <v>0</v>
      </c>
      <c r="G197">
        <f t="shared" si="100"/>
        <v>0</v>
      </c>
      <c r="H197">
        <f t="shared" si="101"/>
        <v>0</v>
      </c>
      <c r="I197">
        <f t="shared" si="102"/>
        <v>0</v>
      </c>
      <c r="J197">
        <f t="shared" si="103"/>
        <v>0</v>
      </c>
      <c r="K197">
        <f t="shared" si="104"/>
        <v>0</v>
      </c>
      <c r="L197">
        <f t="shared" si="105"/>
        <v>0</v>
      </c>
      <c r="M197">
        <f t="shared" si="106"/>
        <v>0</v>
      </c>
      <c r="N197">
        <f t="shared" si="107"/>
        <v>0</v>
      </c>
      <c r="O197">
        <f t="shared" si="108"/>
        <v>0</v>
      </c>
      <c r="P197">
        <f t="shared" si="109"/>
        <v>0</v>
      </c>
      <c r="Q197">
        <f t="shared" si="110"/>
        <v>0</v>
      </c>
      <c r="R197">
        <f t="shared" si="111"/>
        <v>0</v>
      </c>
      <c r="S197">
        <f t="shared" si="112"/>
        <v>0</v>
      </c>
      <c r="T197">
        <f t="shared" si="113"/>
        <v>0</v>
      </c>
      <c r="U197">
        <f t="shared" si="114"/>
        <v>0</v>
      </c>
      <c r="V197">
        <f t="shared" si="115"/>
        <v>0</v>
      </c>
      <c r="W197">
        <f t="shared" si="116"/>
        <v>0</v>
      </c>
      <c r="X197">
        <f t="shared" si="117"/>
        <v>0</v>
      </c>
      <c r="Y197">
        <f t="shared" si="118"/>
        <v>0</v>
      </c>
      <c r="Z197">
        <f t="shared" si="119"/>
        <v>0</v>
      </c>
      <c r="AA197">
        <f t="shared" si="120"/>
        <v>0</v>
      </c>
      <c r="AB197">
        <f t="shared" si="121"/>
        <v>0</v>
      </c>
      <c r="AC197">
        <f t="shared" si="122"/>
        <v>0</v>
      </c>
      <c r="AD197">
        <f t="shared" si="123"/>
        <v>0</v>
      </c>
      <c r="AE197">
        <f t="shared" si="124"/>
        <v>0</v>
      </c>
      <c r="AF197">
        <f t="shared" si="125"/>
        <v>0</v>
      </c>
      <c r="AG197">
        <f t="shared" si="126"/>
        <v>0</v>
      </c>
      <c r="AH197">
        <f t="shared" si="127"/>
        <v>0</v>
      </c>
      <c r="AI197">
        <f t="shared" si="128"/>
        <v>0</v>
      </c>
      <c r="AJ197">
        <f t="shared" si="129"/>
        <v>0</v>
      </c>
      <c r="AK197">
        <f t="shared" si="130"/>
        <v>0</v>
      </c>
      <c r="AL197">
        <f t="shared" si="131"/>
        <v>0</v>
      </c>
      <c r="AM197">
        <f t="shared" si="132"/>
        <v>0</v>
      </c>
      <c r="AN197">
        <f t="shared" si="133"/>
        <v>0</v>
      </c>
      <c r="AO197">
        <f t="shared" si="134"/>
        <v>0</v>
      </c>
      <c r="AP197">
        <f t="shared" si="135"/>
        <v>0</v>
      </c>
      <c r="AQ197">
        <f t="shared" si="136"/>
        <v>0</v>
      </c>
      <c r="AR197">
        <f t="shared" si="137"/>
        <v>0</v>
      </c>
      <c r="AS197">
        <f t="shared" si="138"/>
        <v>0</v>
      </c>
      <c r="AT197">
        <f t="shared" si="139"/>
        <v>0</v>
      </c>
      <c r="AU197">
        <f t="shared" si="140"/>
        <v>0</v>
      </c>
      <c r="AV197">
        <f t="shared" si="141"/>
        <v>0</v>
      </c>
      <c r="AW197">
        <f t="shared" si="96"/>
        <v>0</v>
      </c>
      <c r="AX197">
        <f t="shared" si="142"/>
        <v>0</v>
      </c>
      <c r="AY197">
        <f t="shared" si="143"/>
        <v>0</v>
      </c>
    </row>
    <row r="198" spans="1:51" x14ac:dyDescent="0.35">
      <c r="A198">
        <v>192</v>
      </c>
      <c r="C198">
        <f>MAX(0,Calc!$C$7-SUM(D198:R198))</f>
        <v>750</v>
      </c>
      <c r="D198">
        <f t="shared" si="97"/>
        <v>0</v>
      </c>
      <c r="E198">
        <f t="shared" si="98"/>
        <v>0</v>
      </c>
      <c r="F198">
        <f t="shared" si="99"/>
        <v>0</v>
      </c>
      <c r="G198">
        <f t="shared" si="100"/>
        <v>0</v>
      </c>
      <c r="H198">
        <f t="shared" si="101"/>
        <v>0</v>
      </c>
      <c r="I198">
        <f t="shared" si="102"/>
        <v>0</v>
      </c>
      <c r="J198">
        <f t="shared" si="103"/>
        <v>0</v>
      </c>
      <c r="K198">
        <f t="shared" si="104"/>
        <v>0</v>
      </c>
      <c r="L198">
        <f t="shared" si="105"/>
        <v>0</v>
      </c>
      <c r="M198">
        <f t="shared" si="106"/>
        <v>0</v>
      </c>
      <c r="N198">
        <f t="shared" si="107"/>
        <v>0</v>
      </c>
      <c r="O198">
        <f t="shared" si="108"/>
        <v>0</v>
      </c>
      <c r="P198">
        <f t="shared" si="109"/>
        <v>0</v>
      </c>
      <c r="Q198">
        <f t="shared" si="110"/>
        <v>0</v>
      </c>
      <c r="R198">
        <f t="shared" si="111"/>
        <v>0</v>
      </c>
      <c r="S198">
        <f t="shared" si="112"/>
        <v>0</v>
      </c>
      <c r="T198">
        <f t="shared" si="113"/>
        <v>0</v>
      </c>
      <c r="U198">
        <f t="shared" si="114"/>
        <v>0</v>
      </c>
      <c r="V198">
        <f t="shared" si="115"/>
        <v>0</v>
      </c>
      <c r="W198">
        <f t="shared" si="116"/>
        <v>0</v>
      </c>
      <c r="X198">
        <f t="shared" si="117"/>
        <v>0</v>
      </c>
      <c r="Y198">
        <f t="shared" si="118"/>
        <v>0</v>
      </c>
      <c r="Z198">
        <f t="shared" si="119"/>
        <v>0</v>
      </c>
      <c r="AA198">
        <f t="shared" si="120"/>
        <v>0</v>
      </c>
      <c r="AB198">
        <f t="shared" si="121"/>
        <v>0</v>
      </c>
      <c r="AC198">
        <f t="shared" si="122"/>
        <v>0</v>
      </c>
      <c r="AD198">
        <f t="shared" si="123"/>
        <v>0</v>
      </c>
      <c r="AE198">
        <f t="shared" si="124"/>
        <v>0</v>
      </c>
      <c r="AF198">
        <f t="shared" si="125"/>
        <v>0</v>
      </c>
      <c r="AG198">
        <f t="shared" si="126"/>
        <v>0</v>
      </c>
      <c r="AH198">
        <f t="shared" si="127"/>
        <v>0</v>
      </c>
      <c r="AI198">
        <f t="shared" si="128"/>
        <v>0</v>
      </c>
      <c r="AJ198">
        <f t="shared" si="129"/>
        <v>0</v>
      </c>
      <c r="AK198">
        <f t="shared" si="130"/>
        <v>0</v>
      </c>
      <c r="AL198">
        <f t="shared" si="131"/>
        <v>0</v>
      </c>
      <c r="AM198">
        <f t="shared" si="132"/>
        <v>0</v>
      </c>
      <c r="AN198">
        <f t="shared" si="133"/>
        <v>0</v>
      </c>
      <c r="AO198">
        <f t="shared" si="134"/>
        <v>0</v>
      </c>
      <c r="AP198">
        <f t="shared" si="135"/>
        <v>0</v>
      </c>
      <c r="AQ198">
        <f t="shared" si="136"/>
        <v>0</v>
      </c>
      <c r="AR198">
        <f t="shared" si="137"/>
        <v>0</v>
      </c>
      <c r="AS198">
        <f t="shared" si="138"/>
        <v>0</v>
      </c>
      <c r="AT198">
        <f t="shared" si="139"/>
        <v>0</v>
      </c>
      <c r="AU198">
        <f t="shared" si="140"/>
        <v>0</v>
      </c>
      <c r="AV198">
        <f t="shared" si="141"/>
        <v>0</v>
      </c>
      <c r="AW198">
        <f t="shared" ref="AW198:AW261" si="144">SUM(AH198:AV198)</f>
        <v>0</v>
      </c>
      <c r="AX198">
        <f t="shared" si="142"/>
        <v>0</v>
      </c>
      <c r="AY198">
        <f t="shared" si="143"/>
        <v>0</v>
      </c>
    </row>
    <row r="199" spans="1:51" x14ac:dyDescent="0.35">
      <c r="A199">
        <v>193</v>
      </c>
      <c r="C199">
        <f>MAX(0,Calc!$C$7-SUM(D199:R199))</f>
        <v>750</v>
      </c>
      <c r="D199">
        <f t="shared" ref="D199:D262" si="145">IF(AH198&lt;0.005,0,MIN((AH198+ROUND(AH198*AH$3,2)),AH$4))</f>
        <v>0</v>
      </c>
      <c r="E199">
        <f t="shared" ref="E199:E262" si="146">IF(AI198&lt;0.005,0,MIN((AI198+ROUND(AI198*AI$3,2)),AI$4))</f>
        <v>0</v>
      </c>
      <c r="F199">
        <f t="shared" ref="F199:F262" si="147">IF(AJ198&lt;0.005,0,MIN((AJ198+ROUND(AJ198*AJ$3,2)),AJ$4))</f>
        <v>0</v>
      </c>
      <c r="G199">
        <f t="shared" ref="G199:G262" si="148">IF(AK198&lt;0.005,0,MIN((AK198+ROUND(AK198*AK$3,2)),AK$4))</f>
        <v>0</v>
      </c>
      <c r="H199">
        <f t="shared" ref="H199:H262" si="149">IF(AL198&lt;0.005,0,MIN((AL198+ROUND(AL198*AL$3,2)),AL$4))</f>
        <v>0</v>
      </c>
      <c r="I199">
        <f t="shared" ref="I199:I262" si="150">IF(AM198&lt;0.005,0,MIN((AM198+ROUND(AM198*AM$3,2)),AM$4))</f>
        <v>0</v>
      </c>
      <c r="J199">
        <f t="shared" ref="J199:J262" si="151">IF(AN198&lt;0.005,0,MIN((AN198+ROUND(AN198*AN$3,2)),AN$4))</f>
        <v>0</v>
      </c>
      <c r="K199">
        <f t="shared" ref="K199:K262" si="152">IF(AO198&lt;0.005,0,MIN((AO198+ROUND(AO198*AO$3,2)),AO$4))</f>
        <v>0</v>
      </c>
      <c r="L199">
        <f t="shared" ref="L199:L262" si="153">IF(AP198&lt;0.005,0,MIN((AP198+ROUND(AP198*AP$3,2)),AP$4))</f>
        <v>0</v>
      </c>
      <c r="M199">
        <f t="shared" ref="M199:M262" si="154">IF(AQ198&lt;0.005,0,MIN((AQ198+ROUND(AQ198*AQ$3,2)),AQ$4))</f>
        <v>0</v>
      </c>
      <c r="N199">
        <f t="shared" ref="N199:N262" si="155">IF(AR198&lt;0.005,0,MIN((AR198+ROUND(AR198*AR$3,2)),AR$4))</f>
        <v>0</v>
      </c>
      <c r="O199">
        <f t="shared" ref="O199:O262" si="156">IF(AS198&lt;0.005,0,MIN((AS198+ROUND(AS198*AS$3,2)),AS$4))</f>
        <v>0</v>
      </c>
      <c r="P199">
        <f t="shared" ref="P199:P262" si="157">IF(AT198&lt;0.005,0,MIN((AT198+ROUND(AT198*AT$3,2)),AT$4))</f>
        <v>0</v>
      </c>
      <c r="Q199">
        <f t="shared" ref="Q199:Q262" si="158">IF(AU198&lt;0.005,0,MIN((AU198+ROUND(AU198*AU$3,2)),AU$4))</f>
        <v>0</v>
      </c>
      <c r="R199">
        <f t="shared" ref="R199:R262" si="159">IF(AV198&lt;0.005,0,MIN((AV198+ROUND(AV198*AV$3,2)),AV$4))</f>
        <v>0</v>
      </c>
      <c r="S199">
        <f t="shared" ref="S199:S262" si="160">IF(AH198&lt;0.005,0,MIN((AH198+ROUND(AH198*AH$3,2))-D199,MAX(0,$C199)))</f>
        <v>0</v>
      </c>
      <c r="T199">
        <f t="shared" ref="T199:T262" si="161">IF(AI198&lt;0.005,0,MIN((AI198+ROUND(AI198*AI$3,2))-E199,MAX(0,$C199-SUM(S199:S199))))</f>
        <v>0</v>
      </c>
      <c r="U199">
        <f t="shared" ref="U199:U262" si="162">IF(AJ198&lt;0.005,0,MIN((AJ198+ROUND(AJ198*AJ$3,2))-F199,MAX(0,$C199-SUM(S199:T199))))</f>
        <v>0</v>
      </c>
      <c r="V199">
        <f t="shared" ref="V199:V262" si="163">IF(AK198&lt;0.005,0,MIN((AK198+ROUND(AK198*AK$3,2))-G199,MAX(0,$C199-SUM(S199:U199))))</f>
        <v>0</v>
      </c>
      <c r="W199">
        <f t="shared" ref="W199:W262" si="164">IF(AL198&lt;0.005,0,MIN((AL198+ROUND(AL198*AL$3,2))-H199,MAX(0,$C199-SUM(S199:V199))))</f>
        <v>0</v>
      </c>
      <c r="X199">
        <f t="shared" ref="X199:X262" si="165">IF(AM198&lt;0.005,0,MIN((AM198+ROUND(AM198*AM$3,2))-I199,MAX(0,$C199-SUM(S199:W199))))</f>
        <v>0</v>
      </c>
      <c r="Y199">
        <f t="shared" ref="Y199:Y262" si="166">IF(AN198&lt;0.005,0,MIN((AN198+ROUND(AN198*AN$3,2))-J199,MAX(0,$C199-SUM(S199:X199))))</f>
        <v>0</v>
      </c>
      <c r="Z199">
        <f t="shared" ref="Z199:Z262" si="167">IF(AO198&lt;0.005,0,MIN((AO198+ROUND(AO198*AO$3,2))-K199,MAX(0,$C199-SUM(S199:Y199))))</f>
        <v>0</v>
      </c>
      <c r="AA199">
        <f t="shared" ref="AA199:AA262" si="168">IF(AP198&lt;0.005,0,MIN((AP198+ROUND(AP198*AP$3,2))-L199,MAX(0,$C199-SUM(S199:Z199))))</f>
        <v>0</v>
      </c>
      <c r="AB199">
        <f t="shared" ref="AB199:AB262" si="169">IF(AQ198&lt;0.005,0,MIN((AQ198+ROUND(AQ198*AQ$3,2))-M199,MAX(0,$C199-SUM(S199:AA199))))</f>
        <v>0</v>
      </c>
      <c r="AC199">
        <f t="shared" ref="AC199:AC262" si="170">IF(AR198&lt;0.005,0,MIN((AR198+ROUND(AR198*AR$3,2))-N199,MAX(0,$C199-SUM(S199:AB199))))</f>
        <v>0</v>
      </c>
      <c r="AD199">
        <f t="shared" ref="AD199:AD262" si="171">IF(AS198&lt;0.005,0,MIN((AS198+ROUND(AS198*AS$3,2))-O199,MAX(0,$C199-SUM(S199:AC199))))</f>
        <v>0</v>
      </c>
      <c r="AE199">
        <f t="shared" ref="AE199:AE262" si="172">IF(AT198&lt;0.005,0,MIN((AT198+ROUND(AT198*AT$3,2))-P199,MAX(0,$C199-SUM(S199:AD199))))</f>
        <v>0</v>
      </c>
      <c r="AF199">
        <f t="shared" ref="AF199:AF262" si="173">IF(AU198&lt;0.005,0,MIN((AU198+ROUND(AU198*AU$3,2))-Q199,MAX(0,$C199-SUM(S199:AE199))))</f>
        <v>0</v>
      </c>
      <c r="AG199">
        <f t="shared" ref="AG199:AG262" si="174">IF(AV198&lt;0.005,0,MIN((AV198+ROUND(AV198*AV$3,2))-R199,MAX(0,$C199-SUM(S199:AF199))))</f>
        <v>0</v>
      </c>
      <c r="AH199">
        <f t="shared" ref="AH199:AH262" si="175">IF(AH198&lt;0.005,0,ROUND((AH198+ROUND(AH198*AH$3,2))-D199-S199,2))</f>
        <v>0</v>
      </c>
      <c r="AI199">
        <f t="shared" ref="AI199:AI262" si="176">IF(AI198&lt;0.005,0,ROUND((AI198+ROUND(AI198*AI$3,2))-E199-T199,2))</f>
        <v>0</v>
      </c>
      <c r="AJ199">
        <f t="shared" ref="AJ199:AJ262" si="177">IF(AJ198&lt;0.005,0,ROUND((AJ198+ROUND(AJ198*AJ$3,2))-F199-U199,2))</f>
        <v>0</v>
      </c>
      <c r="AK199">
        <f t="shared" ref="AK199:AK262" si="178">IF(AK198&lt;0.005,0,ROUND((AK198+ROUND(AK198*AK$3,2))-G199-V199,2))</f>
        <v>0</v>
      </c>
      <c r="AL199">
        <f t="shared" ref="AL199:AL262" si="179">IF(AL198&lt;0.005,0,ROUND((AL198+ROUND(AL198*AL$3,2))-H199-W199,2))</f>
        <v>0</v>
      </c>
      <c r="AM199">
        <f t="shared" ref="AM199:AM262" si="180">IF(AM198&lt;0.005,0,ROUND((AM198+ROUND(AM198*AM$3,2))-I199-X199,2))</f>
        <v>0</v>
      </c>
      <c r="AN199">
        <f t="shared" ref="AN199:AN262" si="181">IF(AN198&lt;0.005,0,ROUND((AN198+ROUND(AN198*AN$3,2))-J199-Y199,2))</f>
        <v>0</v>
      </c>
      <c r="AO199">
        <f t="shared" ref="AO199:AO262" si="182">IF(AO198&lt;0.005,0,ROUND((AO198+ROUND(AO198*AO$3,2))-K199-Z199,2))</f>
        <v>0</v>
      </c>
      <c r="AP199">
        <f t="shared" ref="AP199:AP262" si="183">IF(AP198&lt;0.005,0,ROUND((AP198+ROUND(AP198*AP$3,2))-L199-AA199,2))</f>
        <v>0</v>
      </c>
      <c r="AQ199">
        <f t="shared" ref="AQ199:AQ262" si="184">IF(AQ198&lt;0.005,0,ROUND((AQ198+ROUND(AQ198*AQ$3,2))-M199-AB199,2))</f>
        <v>0</v>
      </c>
      <c r="AR199">
        <f t="shared" ref="AR199:AR262" si="185">IF(AR198&lt;0.005,0,ROUND((AR198+ROUND(AR198*AR$3,2))-N199-AC199,2))</f>
        <v>0</v>
      </c>
      <c r="AS199">
        <f t="shared" ref="AS199:AS262" si="186">IF(AS198&lt;0.005,0,ROUND((AS198+ROUND(AS198*AS$3,2))-O199-AD199,2))</f>
        <v>0</v>
      </c>
      <c r="AT199">
        <f t="shared" ref="AT199:AT262" si="187">IF(AT198&lt;0.005,0,ROUND((AT198+ROUND(AT198*AT$3,2))-P199-AE199,2))</f>
        <v>0</v>
      </c>
      <c r="AU199">
        <f t="shared" ref="AU199:AU262" si="188">IF(AU198&lt;0.005,0,ROUND((AU198+ROUND(AU198*AU$3,2))-Q199-AF199,2))</f>
        <v>0</v>
      </c>
      <c r="AV199">
        <f t="shared" ref="AV199:AV262" si="189">IF(AV198&lt;0.005,0,ROUND((AV198+ROUND(AV198*AV$3,2))-R199-AG199,2))</f>
        <v>0</v>
      </c>
      <c r="AW199">
        <f t="shared" si="144"/>
        <v>0</v>
      </c>
      <c r="AX199">
        <f t="shared" ref="AX199:AX262" si="190">SUMPRODUCT(ROUND(AH198:AV198*AH$3:AV$3,2))</f>
        <v>0</v>
      </c>
      <c r="AY199">
        <f t="shared" ref="AY199:AY262" si="191">SUM(D199:AG199)</f>
        <v>0</v>
      </c>
    </row>
    <row r="200" spans="1:51" x14ac:dyDescent="0.35">
      <c r="A200">
        <v>194</v>
      </c>
      <c r="C200">
        <f>MAX(0,Calc!$C$7-SUM(D200:R200))</f>
        <v>750</v>
      </c>
      <c r="D200">
        <f t="shared" si="145"/>
        <v>0</v>
      </c>
      <c r="E200">
        <f t="shared" si="146"/>
        <v>0</v>
      </c>
      <c r="F200">
        <f t="shared" si="147"/>
        <v>0</v>
      </c>
      <c r="G200">
        <f t="shared" si="148"/>
        <v>0</v>
      </c>
      <c r="H200">
        <f t="shared" si="149"/>
        <v>0</v>
      </c>
      <c r="I200">
        <f t="shared" si="150"/>
        <v>0</v>
      </c>
      <c r="J200">
        <f t="shared" si="151"/>
        <v>0</v>
      </c>
      <c r="K200">
        <f t="shared" si="152"/>
        <v>0</v>
      </c>
      <c r="L200">
        <f t="shared" si="153"/>
        <v>0</v>
      </c>
      <c r="M200">
        <f t="shared" si="154"/>
        <v>0</v>
      </c>
      <c r="N200">
        <f t="shared" si="155"/>
        <v>0</v>
      </c>
      <c r="O200">
        <f t="shared" si="156"/>
        <v>0</v>
      </c>
      <c r="P200">
        <f t="shared" si="157"/>
        <v>0</v>
      </c>
      <c r="Q200">
        <f t="shared" si="158"/>
        <v>0</v>
      </c>
      <c r="R200">
        <f t="shared" si="159"/>
        <v>0</v>
      </c>
      <c r="S200">
        <f t="shared" si="160"/>
        <v>0</v>
      </c>
      <c r="T200">
        <f t="shared" si="161"/>
        <v>0</v>
      </c>
      <c r="U200">
        <f t="shared" si="162"/>
        <v>0</v>
      </c>
      <c r="V200">
        <f t="shared" si="163"/>
        <v>0</v>
      </c>
      <c r="W200">
        <f t="shared" si="164"/>
        <v>0</v>
      </c>
      <c r="X200">
        <f t="shared" si="165"/>
        <v>0</v>
      </c>
      <c r="Y200">
        <f t="shared" si="166"/>
        <v>0</v>
      </c>
      <c r="Z200">
        <f t="shared" si="167"/>
        <v>0</v>
      </c>
      <c r="AA200">
        <f t="shared" si="168"/>
        <v>0</v>
      </c>
      <c r="AB200">
        <f t="shared" si="169"/>
        <v>0</v>
      </c>
      <c r="AC200">
        <f t="shared" si="170"/>
        <v>0</v>
      </c>
      <c r="AD200">
        <f t="shared" si="171"/>
        <v>0</v>
      </c>
      <c r="AE200">
        <f t="shared" si="172"/>
        <v>0</v>
      </c>
      <c r="AF200">
        <f t="shared" si="173"/>
        <v>0</v>
      </c>
      <c r="AG200">
        <f t="shared" si="174"/>
        <v>0</v>
      </c>
      <c r="AH200">
        <f t="shared" si="175"/>
        <v>0</v>
      </c>
      <c r="AI200">
        <f t="shared" si="176"/>
        <v>0</v>
      </c>
      <c r="AJ200">
        <f t="shared" si="177"/>
        <v>0</v>
      </c>
      <c r="AK200">
        <f t="shared" si="178"/>
        <v>0</v>
      </c>
      <c r="AL200">
        <f t="shared" si="179"/>
        <v>0</v>
      </c>
      <c r="AM200">
        <f t="shared" si="180"/>
        <v>0</v>
      </c>
      <c r="AN200">
        <f t="shared" si="181"/>
        <v>0</v>
      </c>
      <c r="AO200">
        <f t="shared" si="182"/>
        <v>0</v>
      </c>
      <c r="AP200">
        <f t="shared" si="183"/>
        <v>0</v>
      </c>
      <c r="AQ200">
        <f t="shared" si="184"/>
        <v>0</v>
      </c>
      <c r="AR200">
        <f t="shared" si="185"/>
        <v>0</v>
      </c>
      <c r="AS200">
        <f t="shared" si="186"/>
        <v>0</v>
      </c>
      <c r="AT200">
        <f t="shared" si="187"/>
        <v>0</v>
      </c>
      <c r="AU200">
        <f t="shared" si="188"/>
        <v>0</v>
      </c>
      <c r="AV200">
        <f t="shared" si="189"/>
        <v>0</v>
      </c>
      <c r="AW200">
        <f t="shared" si="144"/>
        <v>0</v>
      </c>
      <c r="AX200">
        <f t="shared" si="190"/>
        <v>0</v>
      </c>
      <c r="AY200">
        <f t="shared" si="191"/>
        <v>0</v>
      </c>
    </row>
    <row r="201" spans="1:51" x14ac:dyDescent="0.35">
      <c r="A201">
        <v>195</v>
      </c>
      <c r="C201">
        <f>MAX(0,Calc!$C$7-SUM(D201:R201))</f>
        <v>750</v>
      </c>
      <c r="D201">
        <f t="shared" si="145"/>
        <v>0</v>
      </c>
      <c r="E201">
        <f t="shared" si="146"/>
        <v>0</v>
      </c>
      <c r="F201">
        <f t="shared" si="147"/>
        <v>0</v>
      </c>
      <c r="G201">
        <f t="shared" si="148"/>
        <v>0</v>
      </c>
      <c r="H201">
        <f t="shared" si="149"/>
        <v>0</v>
      </c>
      <c r="I201">
        <f t="shared" si="150"/>
        <v>0</v>
      </c>
      <c r="J201">
        <f t="shared" si="151"/>
        <v>0</v>
      </c>
      <c r="K201">
        <f t="shared" si="152"/>
        <v>0</v>
      </c>
      <c r="L201">
        <f t="shared" si="153"/>
        <v>0</v>
      </c>
      <c r="M201">
        <f t="shared" si="154"/>
        <v>0</v>
      </c>
      <c r="N201">
        <f t="shared" si="155"/>
        <v>0</v>
      </c>
      <c r="O201">
        <f t="shared" si="156"/>
        <v>0</v>
      </c>
      <c r="P201">
        <f t="shared" si="157"/>
        <v>0</v>
      </c>
      <c r="Q201">
        <f t="shared" si="158"/>
        <v>0</v>
      </c>
      <c r="R201">
        <f t="shared" si="159"/>
        <v>0</v>
      </c>
      <c r="S201">
        <f t="shared" si="160"/>
        <v>0</v>
      </c>
      <c r="T201">
        <f t="shared" si="161"/>
        <v>0</v>
      </c>
      <c r="U201">
        <f t="shared" si="162"/>
        <v>0</v>
      </c>
      <c r="V201">
        <f t="shared" si="163"/>
        <v>0</v>
      </c>
      <c r="W201">
        <f t="shared" si="164"/>
        <v>0</v>
      </c>
      <c r="X201">
        <f t="shared" si="165"/>
        <v>0</v>
      </c>
      <c r="Y201">
        <f t="shared" si="166"/>
        <v>0</v>
      </c>
      <c r="Z201">
        <f t="shared" si="167"/>
        <v>0</v>
      </c>
      <c r="AA201">
        <f t="shared" si="168"/>
        <v>0</v>
      </c>
      <c r="AB201">
        <f t="shared" si="169"/>
        <v>0</v>
      </c>
      <c r="AC201">
        <f t="shared" si="170"/>
        <v>0</v>
      </c>
      <c r="AD201">
        <f t="shared" si="171"/>
        <v>0</v>
      </c>
      <c r="AE201">
        <f t="shared" si="172"/>
        <v>0</v>
      </c>
      <c r="AF201">
        <f t="shared" si="173"/>
        <v>0</v>
      </c>
      <c r="AG201">
        <f t="shared" si="174"/>
        <v>0</v>
      </c>
      <c r="AH201">
        <f t="shared" si="175"/>
        <v>0</v>
      </c>
      <c r="AI201">
        <f t="shared" si="176"/>
        <v>0</v>
      </c>
      <c r="AJ201">
        <f t="shared" si="177"/>
        <v>0</v>
      </c>
      <c r="AK201">
        <f t="shared" si="178"/>
        <v>0</v>
      </c>
      <c r="AL201">
        <f t="shared" si="179"/>
        <v>0</v>
      </c>
      <c r="AM201">
        <f t="shared" si="180"/>
        <v>0</v>
      </c>
      <c r="AN201">
        <f t="shared" si="181"/>
        <v>0</v>
      </c>
      <c r="AO201">
        <f t="shared" si="182"/>
        <v>0</v>
      </c>
      <c r="AP201">
        <f t="shared" si="183"/>
        <v>0</v>
      </c>
      <c r="AQ201">
        <f t="shared" si="184"/>
        <v>0</v>
      </c>
      <c r="AR201">
        <f t="shared" si="185"/>
        <v>0</v>
      </c>
      <c r="AS201">
        <f t="shared" si="186"/>
        <v>0</v>
      </c>
      <c r="AT201">
        <f t="shared" si="187"/>
        <v>0</v>
      </c>
      <c r="AU201">
        <f t="shared" si="188"/>
        <v>0</v>
      </c>
      <c r="AV201">
        <f t="shared" si="189"/>
        <v>0</v>
      </c>
      <c r="AW201">
        <f t="shared" si="144"/>
        <v>0</v>
      </c>
      <c r="AX201">
        <f t="shared" si="190"/>
        <v>0</v>
      </c>
      <c r="AY201">
        <f t="shared" si="191"/>
        <v>0</v>
      </c>
    </row>
    <row r="202" spans="1:51" x14ac:dyDescent="0.35">
      <c r="A202">
        <v>196</v>
      </c>
      <c r="C202">
        <f>MAX(0,Calc!$C$7-SUM(D202:R202))</f>
        <v>750</v>
      </c>
      <c r="D202">
        <f t="shared" si="145"/>
        <v>0</v>
      </c>
      <c r="E202">
        <f t="shared" si="146"/>
        <v>0</v>
      </c>
      <c r="F202">
        <f t="shared" si="147"/>
        <v>0</v>
      </c>
      <c r="G202">
        <f t="shared" si="148"/>
        <v>0</v>
      </c>
      <c r="H202">
        <f t="shared" si="149"/>
        <v>0</v>
      </c>
      <c r="I202">
        <f t="shared" si="150"/>
        <v>0</v>
      </c>
      <c r="J202">
        <f t="shared" si="151"/>
        <v>0</v>
      </c>
      <c r="K202">
        <f t="shared" si="152"/>
        <v>0</v>
      </c>
      <c r="L202">
        <f t="shared" si="153"/>
        <v>0</v>
      </c>
      <c r="M202">
        <f t="shared" si="154"/>
        <v>0</v>
      </c>
      <c r="N202">
        <f t="shared" si="155"/>
        <v>0</v>
      </c>
      <c r="O202">
        <f t="shared" si="156"/>
        <v>0</v>
      </c>
      <c r="P202">
        <f t="shared" si="157"/>
        <v>0</v>
      </c>
      <c r="Q202">
        <f t="shared" si="158"/>
        <v>0</v>
      </c>
      <c r="R202">
        <f t="shared" si="159"/>
        <v>0</v>
      </c>
      <c r="S202">
        <f t="shared" si="160"/>
        <v>0</v>
      </c>
      <c r="T202">
        <f t="shared" si="161"/>
        <v>0</v>
      </c>
      <c r="U202">
        <f t="shared" si="162"/>
        <v>0</v>
      </c>
      <c r="V202">
        <f t="shared" si="163"/>
        <v>0</v>
      </c>
      <c r="W202">
        <f t="shared" si="164"/>
        <v>0</v>
      </c>
      <c r="X202">
        <f t="shared" si="165"/>
        <v>0</v>
      </c>
      <c r="Y202">
        <f t="shared" si="166"/>
        <v>0</v>
      </c>
      <c r="Z202">
        <f t="shared" si="167"/>
        <v>0</v>
      </c>
      <c r="AA202">
        <f t="shared" si="168"/>
        <v>0</v>
      </c>
      <c r="AB202">
        <f t="shared" si="169"/>
        <v>0</v>
      </c>
      <c r="AC202">
        <f t="shared" si="170"/>
        <v>0</v>
      </c>
      <c r="AD202">
        <f t="shared" si="171"/>
        <v>0</v>
      </c>
      <c r="AE202">
        <f t="shared" si="172"/>
        <v>0</v>
      </c>
      <c r="AF202">
        <f t="shared" si="173"/>
        <v>0</v>
      </c>
      <c r="AG202">
        <f t="shared" si="174"/>
        <v>0</v>
      </c>
      <c r="AH202">
        <f t="shared" si="175"/>
        <v>0</v>
      </c>
      <c r="AI202">
        <f t="shared" si="176"/>
        <v>0</v>
      </c>
      <c r="AJ202">
        <f t="shared" si="177"/>
        <v>0</v>
      </c>
      <c r="AK202">
        <f t="shared" si="178"/>
        <v>0</v>
      </c>
      <c r="AL202">
        <f t="shared" si="179"/>
        <v>0</v>
      </c>
      <c r="AM202">
        <f t="shared" si="180"/>
        <v>0</v>
      </c>
      <c r="AN202">
        <f t="shared" si="181"/>
        <v>0</v>
      </c>
      <c r="AO202">
        <f t="shared" si="182"/>
        <v>0</v>
      </c>
      <c r="AP202">
        <f t="shared" si="183"/>
        <v>0</v>
      </c>
      <c r="AQ202">
        <f t="shared" si="184"/>
        <v>0</v>
      </c>
      <c r="AR202">
        <f t="shared" si="185"/>
        <v>0</v>
      </c>
      <c r="AS202">
        <f t="shared" si="186"/>
        <v>0</v>
      </c>
      <c r="AT202">
        <f t="shared" si="187"/>
        <v>0</v>
      </c>
      <c r="AU202">
        <f t="shared" si="188"/>
        <v>0</v>
      </c>
      <c r="AV202">
        <f t="shared" si="189"/>
        <v>0</v>
      </c>
      <c r="AW202">
        <f t="shared" si="144"/>
        <v>0</v>
      </c>
      <c r="AX202">
        <f t="shared" si="190"/>
        <v>0</v>
      </c>
      <c r="AY202">
        <f t="shared" si="191"/>
        <v>0</v>
      </c>
    </row>
    <row r="203" spans="1:51" x14ac:dyDescent="0.35">
      <c r="A203">
        <v>197</v>
      </c>
      <c r="C203">
        <f>MAX(0,Calc!$C$7-SUM(D203:R203))</f>
        <v>750</v>
      </c>
      <c r="D203">
        <f t="shared" si="145"/>
        <v>0</v>
      </c>
      <c r="E203">
        <f t="shared" si="146"/>
        <v>0</v>
      </c>
      <c r="F203">
        <f t="shared" si="147"/>
        <v>0</v>
      </c>
      <c r="G203">
        <f t="shared" si="148"/>
        <v>0</v>
      </c>
      <c r="H203">
        <f t="shared" si="149"/>
        <v>0</v>
      </c>
      <c r="I203">
        <f t="shared" si="150"/>
        <v>0</v>
      </c>
      <c r="J203">
        <f t="shared" si="151"/>
        <v>0</v>
      </c>
      <c r="K203">
        <f t="shared" si="152"/>
        <v>0</v>
      </c>
      <c r="L203">
        <f t="shared" si="153"/>
        <v>0</v>
      </c>
      <c r="M203">
        <f t="shared" si="154"/>
        <v>0</v>
      </c>
      <c r="N203">
        <f t="shared" si="155"/>
        <v>0</v>
      </c>
      <c r="O203">
        <f t="shared" si="156"/>
        <v>0</v>
      </c>
      <c r="P203">
        <f t="shared" si="157"/>
        <v>0</v>
      </c>
      <c r="Q203">
        <f t="shared" si="158"/>
        <v>0</v>
      </c>
      <c r="R203">
        <f t="shared" si="159"/>
        <v>0</v>
      </c>
      <c r="S203">
        <f t="shared" si="160"/>
        <v>0</v>
      </c>
      <c r="T203">
        <f t="shared" si="161"/>
        <v>0</v>
      </c>
      <c r="U203">
        <f t="shared" si="162"/>
        <v>0</v>
      </c>
      <c r="V203">
        <f t="shared" si="163"/>
        <v>0</v>
      </c>
      <c r="W203">
        <f t="shared" si="164"/>
        <v>0</v>
      </c>
      <c r="X203">
        <f t="shared" si="165"/>
        <v>0</v>
      </c>
      <c r="Y203">
        <f t="shared" si="166"/>
        <v>0</v>
      </c>
      <c r="Z203">
        <f t="shared" si="167"/>
        <v>0</v>
      </c>
      <c r="AA203">
        <f t="shared" si="168"/>
        <v>0</v>
      </c>
      <c r="AB203">
        <f t="shared" si="169"/>
        <v>0</v>
      </c>
      <c r="AC203">
        <f t="shared" si="170"/>
        <v>0</v>
      </c>
      <c r="AD203">
        <f t="shared" si="171"/>
        <v>0</v>
      </c>
      <c r="AE203">
        <f t="shared" si="172"/>
        <v>0</v>
      </c>
      <c r="AF203">
        <f t="shared" si="173"/>
        <v>0</v>
      </c>
      <c r="AG203">
        <f t="shared" si="174"/>
        <v>0</v>
      </c>
      <c r="AH203">
        <f t="shared" si="175"/>
        <v>0</v>
      </c>
      <c r="AI203">
        <f t="shared" si="176"/>
        <v>0</v>
      </c>
      <c r="AJ203">
        <f t="shared" si="177"/>
        <v>0</v>
      </c>
      <c r="AK203">
        <f t="shared" si="178"/>
        <v>0</v>
      </c>
      <c r="AL203">
        <f t="shared" si="179"/>
        <v>0</v>
      </c>
      <c r="AM203">
        <f t="shared" si="180"/>
        <v>0</v>
      </c>
      <c r="AN203">
        <f t="shared" si="181"/>
        <v>0</v>
      </c>
      <c r="AO203">
        <f t="shared" si="182"/>
        <v>0</v>
      </c>
      <c r="AP203">
        <f t="shared" si="183"/>
        <v>0</v>
      </c>
      <c r="AQ203">
        <f t="shared" si="184"/>
        <v>0</v>
      </c>
      <c r="AR203">
        <f t="shared" si="185"/>
        <v>0</v>
      </c>
      <c r="AS203">
        <f t="shared" si="186"/>
        <v>0</v>
      </c>
      <c r="AT203">
        <f t="shared" si="187"/>
        <v>0</v>
      </c>
      <c r="AU203">
        <f t="shared" si="188"/>
        <v>0</v>
      </c>
      <c r="AV203">
        <f t="shared" si="189"/>
        <v>0</v>
      </c>
      <c r="AW203">
        <f t="shared" si="144"/>
        <v>0</v>
      </c>
      <c r="AX203">
        <f t="shared" si="190"/>
        <v>0</v>
      </c>
      <c r="AY203">
        <f t="shared" si="191"/>
        <v>0</v>
      </c>
    </row>
    <row r="204" spans="1:51" x14ac:dyDescent="0.35">
      <c r="A204">
        <v>198</v>
      </c>
      <c r="C204">
        <f>MAX(0,Calc!$C$7-SUM(D204:R204))</f>
        <v>750</v>
      </c>
      <c r="D204">
        <f t="shared" si="145"/>
        <v>0</v>
      </c>
      <c r="E204">
        <f t="shared" si="146"/>
        <v>0</v>
      </c>
      <c r="F204">
        <f t="shared" si="147"/>
        <v>0</v>
      </c>
      <c r="G204">
        <f t="shared" si="148"/>
        <v>0</v>
      </c>
      <c r="H204">
        <f t="shared" si="149"/>
        <v>0</v>
      </c>
      <c r="I204">
        <f t="shared" si="150"/>
        <v>0</v>
      </c>
      <c r="J204">
        <f t="shared" si="151"/>
        <v>0</v>
      </c>
      <c r="K204">
        <f t="shared" si="152"/>
        <v>0</v>
      </c>
      <c r="L204">
        <f t="shared" si="153"/>
        <v>0</v>
      </c>
      <c r="M204">
        <f t="shared" si="154"/>
        <v>0</v>
      </c>
      <c r="N204">
        <f t="shared" si="155"/>
        <v>0</v>
      </c>
      <c r="O204">
        <f t="shared" si="156"/>
        <v>0</v>
      </c>
      <c r="P204">
        <f t="shared" si="157"/>
        <v>0</v>
      </c>
      <c r="Q204">
        <f t="shared" si="158"/>
        <v>0</v>
      </c>
      <c r="R204">
        <f t="shared" si="159"/>
        <v>0</v>
      </c>
      <c r="S204">
        <f t="shared" si="160"/>
        <v>0</v>
      </c>
      <c r="T204">
        <f t="shared" si="161"/>
        <v>0</v>
      </c>
      <c r="U204">
        <f t="shared" si="162"/>
        <v>0</v>
      </c>
      <c r="V204">
        <f t="shared" si="163"/>
        <v>0</v>
      </c>
      <c r="W204">
        <f t="shared" si="164"/>
        <v>0</v>
      </c>
      <c r="X204">
        <f t="shared" si="165"/>
        <v>0</v>
      </c>
      <c r="Y204">
        <f t="shared" si="166"/>
        <v>0</v>
      </c>
      <c r="Z204">
        <f t="shared" si="167"/>
        <v>0</v>
      </c>
      <c r="AA204">
        <f t="shared" si="168"/>
        <v>0</v>
      </c>
      <c r="AB204">
        <f t="shared" si="169"/>
        <v>0</v>
      </c>
      <c r="AC204">
        <f t="shared" si="170"/>
        <v>0</v>
      </c>
      <c r="AD204">
        <f t="shared" si="171"/>
        <v>0</v>
      </c>
      <c r="AE204">
        <f t="shared" si="172"/>
        <v>0</v>
      </c>
      <c r="AF204">
        <f t="shared" si="173"/>
        <v>0</v>
      </c>
      <c r="AG204">
        <f t="shared" si="174"/>
        <v>0</v>
      </c>
      <c r="AH204">
        <f t="shared" si="175"/>
        <v>0</v>
      </c>
      <c r="AI204">
        <f t="shared" si="176"/>
        <v>0</v>
      </c>
      <c r="AJ204">
        <f t="shared" si="177"/>
        <v>0</v>
      </c>
      <c r="AK204">
        <f t="shared" si="178"/>
        <v>0</v>
      </c>
      <c r="AL204">
        <f t="shared" si="179"/>
        <v>0</v>
      </c>
      <c r="AM204">
        <f t="shared" si="180"/>
        <v>0</v>
      </c>
      <c r="AN204">
        <f t="shared" si="181"/>
        <v>0</v>
      </c>
      <c r="AO204">
        <f t="shared" si="182"/>
        <v>0</v>
      </c>
      <c r="AP204">
        <f t="shared" si="183"/>
        <v>0</v>
      </c>
      <c r="AQ204">
        <f t="shared" si="184"/>
        <v>0</v>
      </c>
      <c r="AR204">
        <f t="shared" si="185"/>
        <v>0</v>
      </c>
      <c r="AS204">
        <f t="shared" si="186"/>
        <v>0</v>
      </c>
      <c r="AT204">
        <f t="shared" si="187"/>
        <v>0</v>
      </c>
      <c r="AU204">
        <f t="shared" si="188"/>
        <v>0</v>
      </c>
      <c r="AV204">
        <f t="shared" si="189"/>
        <v>0</v>
      </c>
      <c r="AW204">
        <f t="shared" si="144"/>
        <v>0</v>
      </c>
      <c r="AX204">
        <f t="shared" si="190"/>
        <v>0</v>
      </c>
      <c r="AY204">
        <f t="shared" si="191"/>
        <v>0</v>
      </c>
    </row>
    <row r="205" spans="1:51" x14ac:dyDescent="0.35">
      <c r="A205">
        <v>199</v>
      </c>
      <c r="C205">
        <f>MAX(0,Calc!$C$7-SUM(D205:R205))</f>
        <v>750</v>
      </c>
      <c r="D205">
        <f t="shared" si="145"/>
        <v>0</v>
      </c>
      <c r="E205">
        <f t="shared" si="146"/>
        <v>0</v>
      </c>
      <c r="F205">
        <f t="shared" si="147"/>
        <v>0</v>
      </c>
      <c r="G205">
        <f t="shared" si="148"/>
        <v>0</v>
      </c>
      <c r="H205">
        <f t="shared" si="149"/>
        <v>0</v>
      </c>
      <c r="I205">
        <f t="shared" si="150"/>
        <v>0</v>
      </c>
      <c r="J205">
        <f t="shared" si="151"/>
        <v>0</v>
      </c>
      <c r="K205">
        <f t="shared" si="152"/>
        <v>0</v>
      </c>
      <c r="L205">
        <f t="shared" si="153"/>
        <v>0</v>
      </c>
      <c r="M205">
        <f t="shared" si="154"/>
        <v>0</v>
      </c>
      <c r="N205">
        <f t="shared" si="155"/>
        <v>0</v>
      </c>
      <c r="O205">
        <f t="shared" si="156"/>
        <v>0</v>
      </c>
      <c r="P205">
        <f t="shared" si="157"/>
        <v>0</v>
      </c>
      <c r="Q205">
        <f t="shared" si="158"/>
        <v>0</v>
      </c>
      <c r="R205">
        <f t="shared" si="159"/>
        <v>0</v>
      </c>
      <c r="S205">
        <f t="shared" si="160"/>
        <v>0</v>
      </c>
      <c r="T205">
        <f t="shared" si="161"/>
        <v>0</v>
      </c>
      <c r="U205">
        <f t="shared" si="162"/>
        <v>0</v>
      </c>
      <c r="V205">
        <f t="shared" si="163"/>
        <v>0</v>
      </c>
      <c r="W205">
        <f t="shared" si="164"/>
        <v>0</v>
      </c>
      <c r="X205">
        <f t="shared" si="165"/>
        <v>0</v>
      </c>
      <c r="Y205">
        <f t="shared" si="166"/>
        <v>0</v>
      </c>
      <c r="Z205">
        <f t="shared" si="167"/>
        <v>0</v>
      </c>
      <c r="AA205">
        <f t="shared" si="168"/>
        <v>0</v>
      </c>
      <c r="AB205">
        <f t="shared" si="169"/>
        <v>0</v>
      </c>
      <c r="AC205">
        <f t="shared" si="170"/>
        <v>0</v>
      </c>
      <c r="AD205">
        <f t="shared" si="171"/>
        <v>0</v>
      </c>
      <c r="AE205">
        <f t="shared" si="172"/>
        <v>0</v>
      </c>
      <c r="AF205">
        <f t="shared" si="173"/>
        <v>0</v>
      </c>
      <c r="AG205">
        <f t="shared" si="174"/>
        <v>0</v>
      </c>
      <c r="AH205">
        <f t="shared" si="175"/>
        <v>0</v>
      </c>
      <c r="AI205">
        <f t="shared" si="176"/>
        <v>0</v>
      </c>
      <c r="AJ205">
        <f t="shared" si="177"/>
        <v>0</v>
      </c>
      <c r="AK205">
        <f t="shared" si="178"/>
        <v>0</v>
      </c>
      <c r="AL205">
        <f t="shared" si="179"/>
        <v>0</v>
      </c>
      <c r="AM205">
        <f t="shared" si="180"/>
        <v>0</v>
      </c>
      <c r="AN205">
        <f t="shared" si="181"/>
        <v>0</v>
      </c>
      <c r="AO205">
        <f t="shared" si="182"/>
        <v>0</v>
      </c>
      <c r="AP205">
        <f t="shared" si="183"/>
        <v>0</v>
      </c>
      <c r="AQ205">
        <f t="shared" si="184"/>
        <v>0</v>
      </c>
      <c r="AR205">
        <f t="shared" si="185"/>
        <v>0</v>
      </c>
      <c r="AS205">
        <f t="shared" si="186"/>
        <v>0</v>
      </c>
      <c r="AT205">
        <f t="shared" si="187"/>
        <v>0</v>
      </c>
      <c r="AU205">
        <f t="shared" si="188"/>
        <v>0</v>
      </c>
      <c r="AV205">
        <f t="shared" si="189"/>
        <v>0</v>
      </c>
      <c r="AW205">
        <f t="shared" si="144"/>
        <v>0</v>
      </c>
      <c r="AX205">
        <f t="shared" si="190"/>
        <v>0</v>
      </c>
      <c r="AY205">
        <f t="shared" si="191"/>
        <v>0</v>
      </c>
    </row>
    <row r="206" spans="1:51" x14ac:dyDescent="0.35">
      <c r="A206">
        <v>200</v>
      </c>
      <c r="C206">
        <f>MAX(0,Calc!$C$7-SUM(D206:R206))</f>
        <v>750</v>
      </c>
      <c r="D206">
        <f t="shared" si="145"/>
        <v>0</v>
      </c>
      <c r="E206">
        <f t="shared" si="146"/>
        <v>0</v>
      </c>
      <c r="F206">
        <f t="shared" si="147"/>
        <v>0</v>
      </c>
      <c r="G206">
        <f t="shared" si="148"/>
        <v>0</v>
      </c>
      <c r="H206">
        <f t="shared" si="149"/>
        <v>0</v>
      </c>
      <c r="I206">
        <f t="shared" si="150"/>
        <v>0</v>
      </c>
      <c r="J206">
        <f t="shared" si="151"/>
        <v>0</v>
      </c>
      <c r="K206">
        <f t="shared" si="152"/>
        <v>0</v>
      </c>
      <c r="L206">
        <f t="shared" si="153"/>
        <v>0</v>
      </c>
      <c r="M206">
        <f t="shared" si="154"/>
        <v>0</v>
      </c>
      <c r="N206">
        <f t="shared" si="155"/>
        <v>0</v>
      </c>
      <c r="O206">
        <f t="shared" si="156"/>
        <v>0</v>
      </c>
      <c r="P206">
        <f t="shared" si="157"/>
        <v>0</v>
      </c>
      <c r="Q206">
        <f t="shared" si="158"/>
        <v>0</v>
      </c>
      <c r="R206">
        <f t="shared" si="159"/>
        <v>0</v>
      </c>
      <c r="S206">
        <f t="shared" si="160"/>
        <v>0</v>
      </c>
      <c r="T206">
        <f t="shared" si="161"/>
        <v>0</v>
      </c>
      <c r="U206">
        <f t="shared" si="162"/>
        <v>0</v>
      </c>
      <c r="V206">
        <f t="shared" si="163"/>
        <v>0</v>
      </c>
      <c r="W206">
        <f t="shared" si="164"/>
        <v>0</v>
      </c>
      <c r="X206">
        <f t="shared" si="165"/>
        <v>0</v>
      </c>
      <c r="Y206">
        <f t="shared" si="166"/>
        <v>0</v>
      </c>
      <c r="Z206">
        <f t="shared" si="167"/>
        <v>0</v>
      </c>
      <c r="AA206">
        <f t="shared" si="168"/>
        <v>0</v>
      </c>
      <c r="AB206">
        <f t="shared" si="169"/>
        <v>0</v>
      </c>
      <c r="AC206">
        <f t="shared" si="170"/>
        <v>0</v>
      </c>
      <c r="AD206">
        <f t="shared" si="171"/>
        <v>0</v>
      </c>
      <c r="AE206">
        <f t="shared" si="172"/>
        <v>0</v>
      </c>
      <c r="AF206">
        <f t="shared" si="173"/>
        <v>0</v>
      </c>
      <c r="AG206">
        <f t="shared" si="174"/>
        <v>0</v>
      </c>
      <c r="AH206">
        <f t="shared" si="175"/>
        <v>0</v>
      </c>
      <c r="AI206">
        <f t="shared" si="176"/>
        <v>0</v>
      </c>
      <c r="AJ206">
        <f t="shared" si="177"/>
        <v>0</v>
      </c>
      <c r="AK206">
        <f t="shared" si="178"/>
        <v>0</v>
      </c>
      <c r="AL206">
        <f t="shared" si="179"/>
        <v>0</v>
      </c>
      <c r="AM206">
        <f t="shared" si="180"/>
        <v>0</v>
      </c>
      <c r="AN206">
        <f t="shared" si="181"/>
        <v>0</v>
      </c>
      <c r="AO206">
        <f t="shared" si="182"/>
        <v>0</v>
      </c>
      <c r="AP206">
        <f t="shared" si="183"/>
        <v>0</v>
      </c>
      <c r="AQ206">
        <f t="shared" si="184"/>
        <v>0</v>
      </c>
      <c r="AR206">
        <f t="shared" si="185"/>
        <v>0</v>
      </c>
      <c r="AS206">
        <f t="shared" si="186"/>
        <v>0</v>
      </c>
      <c r="AT206">
        <f t="shared" si="187"/>
        <v>0</v>
      </c>
      <c r="AU206">
        <f t="shared" si="188"/>
        <v>0</v>
      </c>
      <c r="AV206">
        <f t="shared" si="189"/>
        <v>0</v>
      </c>
      <c r="AW206">
        <f t="shared" si="144"/>
        <v>0</v>
      </c>
      <c r="AX206">
        <f t="shared" si="190"/>
        <v>0</v>
      </c>
      <c r="AY206">
        <f t="shared" si="191"/>
        <v>0</v>
      </c>
    </row>
    <row r="207" spans="1:51" x14ac:dyDescent="0.35">
      <c r="A207">
        <v>201</v>
      </c>
      <c r="C207">
        <f>MAX(0,Calc!$C$7-SUM(D207:R207))</f>
        <v>750</v>
      </c>
      <c r="D207">
        <f t="shared" si="145"/>
        <v>0</v>
      </c>
      <c r="E207">
        <f t="shared" si="146"/>
        <v>0</v>
      </c>
      <c r="F207">
        <f t="shared" si="147"/>
        <v>0</v>
      </c>
      <c r="G207">
        <f t="shared" si="148"/>
        <v>0</v>
      </c>
      <c r="H207">
        <f t="shared" si="149"/>
        <v>0</v>
      </c>
      <c r="I207">
        <f t="shared" si="150"/>
        <v>0</v>
      </c>
      <c r="J207">
        <f t="shared" si="151"/>
        <v>0</v>
      </c>
      <c r="K207">
        <f t="shared" si="152"/>
        <v>0</v>
      </c>
      <c r="L207">
        <f t="shared" si="153"/>
        <v>0</v>
      </c>
      <c r="M207">
        <f t="shared" si="154"/>
        <v>0</v>
      </c>
      <c r="N207">
        <f t="shared" si="155"/>
        <v>0</v>
      </c>
      <c r="O207">
        <f t="shared" si="156"/>
        <v>0</v>
      </c>
      <c r="P207">
        <f t="shared" si="157"/>
        <v>0</v>
      </c>
      <c r="Q207">
        <f t="shared" si="158"/>
        <v>0</v>
      </c>
      <c r="R207">
        <f t="shared" si="159"/>
        <v>0</v>
      </c>
      <c r="S207">
        <f t="shared" si="160"/>
        <v>0</v>
      </c>
      <c r="T207">
        <f t="shared" si="161"/>
        <v>0</v>
      </c>
      <c r="U207">
        <f t="shared" si="162"/>
        <v>0</v>
      </c>
      <c r="V207">
        <f t="shared" si="163"/>
        <v>0</v>
      </c>
      <c r="W207">
        <f t="shared" si="164"/>
        <v>0</v>
      </c>
      <c r="X207">
        <f t="shared" si="165"/>
        <v>0</v>
      </c>
      <c r="Y207">
        <f t="shared" si="166"/>
        <v>0</v>
      </c>
      <c r="Z207">
        <f t="shared" si="167"/>
        <v>0</v>
      </c>
      <c r="AA207">
        <f t="shared" si="168"/>
        <v>0</v>
      </c>
      <c r="AB207">
        <f t="shared" si="169"/>
        <v>0</v>
      </c>
      <c r="AC207">
        <f t="shared" si="170"/>
        <v>0</v>
      </c>
      <c r="AD207">
        <f t="shared" si="171"/>
        <v>0</v>
      </c>
      <c r="AE207">
        <f t="shared" si="172"/>
        <v>0</v>
      </c>
      <c r="AF207">
        <f t="shared" si="173"/>
        <v>0</v>
      </c>
      <c r="AG207">
        <f t="shared" si="174"/>
        <v>0</v>
      </c>
      <c r="AH207">
        <f t="shared" si="175"/>
        <v>0</v>
      </c>
      <c r="AI207">
        <f t="shared" si="176"/>
        <v>0</v>
      </c>
      <c r="AJ207">
        <f t="shared" si="177"/>
        <v>0</v>
      </c>
      <c r="AK207">
        <f t="shared" si="178"/>
        <v>0</v>
      </c>
      <c r="AL207">
        <f t="shared" si="179"/>
        <v>0</v>
      </c>
      <c r="AM207">
        <f t="shared" si="180"/>
        <v>0</v>
      </c>
      <c r="AN207">
        <f t="shared" si="181"/>
        <v>0</v>
      </c>
      <c r="AO207">
        <f t="shared" si="182"/>
        <v>0</v>
      </c>
      <c r="AP207">
        <f t="shared" si="183"/>
        <v>0</v>
      </c>
      <c r="AQ207">
        <f t="shared" si="184"/>
        <v>0</v>
      </c>
      <c r="AR207">
        <f t="shared" si="185"/>
        <v>0</v>
      </c>
      <c r="AS207">
        <f t="shared" si="186"/>
        <v>0</v>
      </c>
      <c r="AT207">
        <f t="shared" si="187"/>
        <v>0</v>
      </c>
      <c r="AU207">
        <f t="shared" si="188"/>
        <v>0</v>
      </c>
      <c r="AV207">
        <f t="shared" si="189"/>
        <v>0</v>
      </c>
      <c r="AW207">
        <f t="shared" si="144"/>
        <v>0</v>
      </c>
      <c r="AX207">
        <f t="shared" si="190"/>
        <v>0</v>
      </c>
      <c r="AY207">
        <f t="shared" si="191"/>
        <v>0</v>
      </c>
    </row>
    <row r="208" spans="1:51" x14ac:dyDescent="0.35">
      <c r="A208">
        <v>202</v>
      </c>
      <c r="C208">
        <f>MAX(0,Calc!$C$7-SUM(D208:R208))</f>
        <v>750</v>
      </c>
      <c r="D208">
        <f t="shared" si="145"/>
        <v>0</v>
      </c>
      <c r="E208">
        <f t="shared" si="146"/>
        <v>0</v>
      </c>
      <c r="F208">
        <f t="shared" si="147"/>
        <v>0</v>
      </c>
      <c r="G208">
        <f t="shared" si="148"/>
        <v>0</v>
      </c>
      <c r="H208">
        <f t="shared" si="149"/>
        <v>0</v>
      </c>
      <c r="I208">
        <f t="shared" si="150"/>
        <v>0</v>
      </c>
      <c r="J208">
        <f t="shared" si="151"/>
        <v>0</v>
      </c>
      <c r="K208">
        <f t="shared" si="152"/>
        <v>0</v>
      </c>
      <c r="L208">
        <f t="shared" si="153"/>
        <v>0</v>
      </c>
      <c r="M208">
        <f t="shared" si="154"/>
        <v>0</v>
      </c>
      <c r="N208">
        <f t="shared" si="155"/>
        <v>0</v>
      </c>
      <c r="O208">
        <f t="shared" si="156"/>
        <v>0</v>
      </c>
      <c r="P208">
        <f t="shared" si="157"/>
        <v>0</v>
      </c>
      <c r="Q208">
        <f t="shared" si="158"/>
        <v>0</v>
      </c>
      <c r="R208">
        <f t="shared" si="159"/>
        <v>0</v>
      </c>
      <c r="S208">
        <f t="shared" si="160"/>
        <v>0</v>
      </c>
      <c r="T208">
        <f t="shared" si="161"/>
        <v>0</v>
      </c>
      <c r="U208">
        <f t="shared" si="162"/>
        <v>0</v>
      </c>
      <c r="V208">
        <f t="shared" si="163"/>
        <v>0</v>
      </c>
      <c r="W208">
        <f t="shared" si="164"/>
        <v>0</v>
      </c>
      <c r="X208">
        <f t="shared" si="165"/>
        <v>0</v>
      </c>
      <c r="Y208">
        <f t="shared" si="166"/>
        <v>0</v>
      </c>
      <c r="Z208">
        <f t="shared" si="167"/>
        <v>0</v>
      </c>
      <c r="AA208">
        <f t="shared" si="168"/>
        <v>0</v>
      </c>
      <c r="AB208">
        <f t="shared" si="169"/>
        <v>0</v>
      </c>
      <c r="AC208">
        <f t="shared" si="170"/>
        <v>0</v>
      </c>
      <c r="AD208">
        <f t="shared" si="171"/>
        <v>0</v>
      </c>
      <c r="AE208">
        <f t="shared" si="172"/>
        <v>0</v>
      </c>
      <c r="AF208">
        <f t="shared" si="173"/>
        <v>0</v>
      </c>
      <c r="AG208">
        <f t="shared" si="174"/>
        <v>0</v>
      </c>
      <c r="AH208">
        <f t="shared" si="175"/>
        <v>0</v>
      </c>
      <c r="AI208">
        <f t="shared" si="176"/>
        <v>0</v>
      </c>
      <c r="AJ208">
        <f t="shared" si="177"/>
        <v>0</v>
      </c>
      <c r="AK208">
        <f t="shared" si="178"/>
        <v>0</v>
      </c>
      <c r="AL208">
        <f t="shared" si="179"/>
        <v>0</v>
      </c>
      <c r="AM208">
        <f t="shared" si="180"/>
        <v>0</v>
      </c>
      <c r="AN208">
        <f t="shared" si="181"/>
        <v>0</v>
      </c>
      <c r="AO208">
        <f t="shared" si="182"/>
        <v>0</v>
      </c>
      <c r="AP208">
        <f t="shared" si="183"/>
        <v>0</v>
      </c>
      <c r="AQ208">
        <f t="shared" si="184"/>
        <v>0</v>
      </c>
      <c r="AR208">
        <f t="shared" si="185"/>
        <v>0</v>
      </c>
      <c r="AS208">
        <f t="shared" si="186"/>
        <v>0</v>
      </c>
      <c r="AT208">
        <f t="shared" si="187"/>
        <v>0</v>
      </c>
      <c r="AU208">
        <f t="shared" si="188"/>
        <v>0</v>
      </c>
      <c r="AV208">
        <f t="shared" si="189"/>
        <v>0</v>
      </c>
      <c r="AW208">
        <f t="shared" si="144"/>
        <v>0</v>
      </c>
      <c r="AX208">
        <f t="shared" si="190"/>
        <v>0</v>
      </c>
      <c r="AY208">
        <f t="shared" si="191"/>
        <v>0</v>
      </c>
    </row>
    <row r="209" spans="1:51" x14ac:dyDescent="0.35">
      <c r="A209">
        <v>203</v>
      </c>
      <c r="C209">
        <f>MAX(0,Calc!$C$7-SUM(D209:R209))</f>
        <v>750</v>
      </c>
      <c r="D209">
        <f t="shared" si="145"/>
        <v>0</v>
      </c>
      <c r="E209">
        <f t="shared" si="146"/>
        <v>0</v>
      </c>
      <c r="F209">
        <f t="shared" si="147"/>
        <v>0</v>
      </c>
      <c r="G209">
        <f t="shared" si="148"/>
        <v>0</v>
      </c>
      <c r="H209">
        <f t="shared" si="149"/>
        <v>0</v>
      </c>
      <c r="I209">
        <f t="shared" si="150"/>
        <v>0</v>
      </c>
      <c r="J209">
        <f t="shared" si="151"/>
        <v>0</v>
      </c>
      <c r="K209">
        <f t="shared" si="152"/>
        <v>0</v>
      </c>
      <c r="L209">
        <f t="shared" si="153"/>
        <v>0</v>
      </c>
      <c r="M209">
        <f t="shared" si="154"/>
        <v>0</v>
      </c>
      <c r="N209">
        <f t="shared" si="155"/>
        <v>0</v>
      </c>
      <c r="O209">
        <f t="shared" si="156"/>
        <v>0</v>
      </c>
      <c r="P209">
        <f t="shared" si="157"/>
        <v>0</v>
      </c>
      <c r="Q209">
        <f t="shared" si="158"/>
        <v>0</v>
      </c>
      <c r="R209">
        <f t="shared" si="159"/>
        <v>0</v>
      </c>
      <c r="S209">
        <f t="shared" si="160"/>
        <v>0</v>
      </c>
      <c r="T209">
        <f t="shared" si="161"/>
        <v>0</v>
      </c>
      <c r="U209">
        <f t="shared" si="162"/>
        <v>0</v>
      </c>
      <c r="V209">
        <f t="shared" si="163"/>
        <v>0</v>
      </c>
      <c r="W209">
        <f t="shared" si="164"/>
        <v>0</v>
      </c>
      <c r="X209">
        <f t="shared" si="165"/>
        <v>0</v>
      </c>
      <c r="Y209">
        <f t="shared" si="166"/>
        <v>0</v>
      </c>
      <c r="Z209">
        <f t="shared" si="167"/>
        <v>0</v>
      </c>
      <c r="AA209">
        <f t="shared" si="168"/>
        <v>0</v>
      </c>
      <c r="AB209">
        <f t="shared" si="169"/>
        <v>0</v>
      </c>
      <c r="AC209">
        <f t="shared" si="170"/>
        <v>0</v>
      </c>
      <c r="AD209">
        <f t="shared" si="171"/>
        <v>0</v>
      </c>
      <c r="AE209">
        <f t="shared" si="172"/>
        <v>0</v>
      </c>
      <c r="AF209">
        <f t="shared" si="173"/>
        <v>0</v>
      </c>
      <c r="AG209">
        <f t="shared" si="174"/>
        <v>0</v>
      </c>
      <c r="AH209">
        <f t="shared" si="175"/>
        <v>0</v>
      </c>
      <c r="AI209">
        <f t="shared" si="176"/>
        <v>0</v>
      </c>
      <c r="AJ209">
        <f t="shared" si="177"/>
        <v>0</v>
      </c>
      <c r="AK209">
        <f t="shared" si="178"/>
        <v>0</v>
      </c>
      <c r="AL209">
        <f t="shared" si="179"/>
        <v>0</v>
      </c>
      <c r="AM209">
        <f t="shared" si="180"/>
        <v>0</v>
      </c>
      <c r="AN209">
        <f t="shared" si="181"/>
        <v>0</v>
      </c>
      <c r="AO209">
        <f t="shared" si="182"/>
        <v>0</v>
      </c>
      <c r="AP209">
        <f t="shared" si="183"/>
        <v>0</v>
      </c>
      <c r="AQ209">
        <f t="shared" si="184"/>
        <v>0</v>
      </c>
      <c r="AR209">
        <f t="shared" si="185"/>
        <v>0</v>
      </c>
      <c r="AS209">
        <f t="shared" si="186"/>
        <v>0</v>
      </c>
      <c r="AT209">
        <f t="shared" si="187"/>
        <v>0</v>
      </c>
      <c r="AU209">
        <f t="shared" si="188"/>
        <v>0</v>
      </c>
      <c r="AV209">
        <f t="shared" si="189"/>
        <v>0</v>
      </c>
      <c r="AW209">
        <f t="shared" si="144"/>
        <v>0</v>
      </c>
      <c r="AX209">
        <f t="shared" si="190"/>
        <v>0</v>
      </c>
      <c r="AY209">
        <f t="shared" si="191"/>
        <v>0</v>
      </c>
    </row>
    <row r="210" spans="1:51" x14ac:dyDescent="0.35">
      <c r="A210">
        <v>204</v>
      </c>
      <c r="C210">
        <f>MAX(0,Calc!$C$7-SUM(D210:R210))</f>
        <v>750</v>
      </c>
      <c r="D210">
        <f t="shared" si="145"/>
        <v>0</v>
      </c>
      <c r="E210">
        <f t="shared" si="146"/>
        <v>0</v>
      </c>
      <c r="F210">
        <f t="shared" si="147"/>
        <v>0</v>
      </c>
      <c r="G210">
        <f t="shared" si="148"/>
        <v>0</v>
      </c>
      <c r="H210">
        <f t="shared" si="149"/>
        <v>0</v>
      </c>
      <c r="I210">
        <f t="shared" si="150"/>
        <v>0</v>
      </c>
      <c r="J210">
        <f t="shared" si="151"/>
        <v>0</v>
      </c>
      <c r="K210">
        <f t="shared" si="152"/>
        <v>0</v>
      </c>
      <c r="L210">
        <f t="shared" si="153"/>
        <v>0</v>
      </c>
      <c r="M210">
        <f t="shared" si="154"/>
        <v>0</v>
      </c>
      <c r="N210">
        <f t="shared" si="155"/>
        <v>0</v>
      </c>
      <c r="O210">
        <f t="shared" si="156"/>
        <v>0</v>
      </c>
      <c r="P210">
        <f t="shared" si="157"/>
        <v>0</v>
      </c>
      <c r="Q210">
        <f t="shared" si="158"/>
        <v>0</v>
      </c>
      <c r="R210">
        <f t="shared" si="159"/>
        <v>0</v>
      </c>
      <c r="S210">
        <f t="shared" si="160"/>
        <v>0</v>
      </c>
      <c r="T210">
        <f t="shared" si="161"/>
        <v>0</v>
      </c>
      <c r="U210">
        <f t="shared" si="162"/>
        <v>0</v>
      </c>
      <c r="V210">
        <f t="shared" si="163"/>
        <v>0</v>
      </c>
      <c r="W210">
        <f t="shared" si="164"/>
        <v>0</v>
      </c>
      <c r="X210">
        <f t="shared" si="165"/>
        <v>0</v>
      </c>
      <c r="Y210">
        <f t="shared" si="166"/>
        <v>0</v>
      </c>
      <c r="Z210">
        <f t="shared" si="167"/>
        <v>0</v>
      </c>
      <c r="AA210">
        <f t="shared" si="168"/>
        <v>0</v>
      </c>
      <c r="AB210">
        <f t="shared" si="169"/>
        <v>0</v>
      </c>
      <c r="AC210">
        <f t="shared" si="170"/>
        <v>0</v>
      </c>
      <c r="AD210">
        <f t="shared" si="171"/>
        <v>0</v>
      </c>
      <c r="AE210">
        <f t="shared" si="172"/>
        <v>0</v>
      </c>
      <c r="AF210">
        <f t="shared" si="173"/>
        <v>0</v>
      </c>
      <c r="AG210">
        <f t="shared" si="174"/>
        <v>0</v>
      </c>
      <c r="AH210">
        <f t="shared" si="175"/>
        <v>0</v>
      </c>
      <c r="AI210">
        <f t="shared" si="176"/>
        <v>0</v>
      </c>
      <c r="AJ210">
        <f t="shared" si="177"/>
        <v>0</v>
      </c>
      <c r="AK210">
        <f t="shared" si="178"/>
        <v>0</v>
      </c>
      <c r="AL210">
        <f t="shared" si="179"/>
        <v>0</v>
      </c>
      <c r="AM210">
        <f t="shared" si="180"/>
        <v>0</v>
      </c>
      <c r="AN210">
        <f t="shared" si="181"/>
        <v>0</v>
      </c>
      <c r="AO210">
        <f t="shared" si="182"/>
        <v>0</v>
      </c>
      <c r="AP210">
        <f t="shared" si="183"/>
        <v>0</v>
      </c>
      <c r="AQ210">
        <f t="shared" si="184"/>
        <v>0</v>
      </c>
      <c r="AR210">
        <f t="shared" si="185"/>
        <v>0</v>
      </c>
      <c r="AS210">
        <f t="shared" si="186"/>
        <v>0</v>
      </c>
      <c r="AT210">
        <f t="shared" si="187"/>
        <v>0</v>
      </c>
      <c r="AU210">
        <f t="shared" si="188"/>
        <v>0</v>
      </c>
      <c r="AV210">
        <f t="shared" si="189"/>
        <v>0</v>
      </c>
      <c r="AW210">
        <f t="shared" si="144"/>
        <v>0</v>
      </c>
      <c r="AX210">
        <f t="shared" si="190"/>
        <v>0</v>
      </c>
      <c r="AY210">
        <f t="shared" si="191"/>
        <v>0</v>
      </c>
    </row>
    <row r="211" spans="1:51" x14ac:dyDescent="0.35">
      <c r="A211">
        <v>205</v>
      </c>
      <c r="C211">
        <f>MAX(0,Calc!$C$7-SUM(D211:R211))</f>
        <v>750</v>
      </c>
      <c r="D211">
        <f t="shared" si="145"/>
        <v>0</v>
      </c>
      <c r="E211">
        <f t="shared" si="146"/>
        <v>0</v>
      </c>
      <c r="F211">
        <f t="shared" si="147"/>
        <v>0</v>
      </c>
      <c r="G211">
        <f t="shared" si="148"/>
        <v>0</v>
      </c>
      <c r="H211">
        <f t="shared" si="149"/>
        <v>0</v>
      </c>
      <c r="I211">
        <f t="shared" si="150"/>
        <v>0</v>
      </c>
      <c r="J211">
        <f t="shared" si="151"/>
        <v>0</v>
      </c>
      <c r="K211">
        <f t="shared" si="152"/>
        <v>0</v>
      </c>
      <c r="L211">
        <f t="shared" si="153"/>
        <v>0</v>
      </c>
      <c r="M211">
        <f t="shared" si="154"/>
        <v>0</v>
      </c>
      <c r="N211">
        <f t="shared" si="155"/>
        <v>0</v>
      </c>
      <c r="O211">
        <f t="shared" si="156"/>
        <v>0</v>
      </c>
      <c r="P211">
        <f t="shared" si="157"/>
        <v>0</v>
      </c>
      <c r="Q211">
        <f t="shared" si="158"/>
        <v>0</v>
      </c>
      <c r="R211">
        <f t="shared" si="159"/>
        <v>0</v>
      </c>
      <c r="S211">
        <f t="shared" si="160"/>
        <v>0</v>
      </c>
      <c r="T211">
        <f t="shared" si="161"/>
        <v>0</v>
      </c>
      <c r="U211">
        <f t="shared" si="162"/>
        <v>0</v>
      </c>
      <c r="V211">
        <f t="shared" si="163"/>
        <v>0</v>
      </c>
      <c r="W211">
        <f t="shared" si="164"/>
        <v>0</v>
      </c>
      <c r="X211">
        <f t="shared" si="165"/>
        <v>0</v>
      </c>
      <c r="Y211">
        <f t="shared" si="166"/>
        <v>0</v>
      </c>
      <c r="Z211">
        <f t="shared" si="167"/>
        <v>0</v>
      </c>
      <c r="AA211">
        <f t="shared" si="168"/>
        <v>0</v>
      </c>
      <c r="AB211">
        <f t="shared" si="169"/>
        <v>0</v>
      </c>
      <c r="AC211">
        <f t="shared" si="170"/>
        <v>0</v>
      </c>
      <c r="AD211">
        <f t="shared" si="171"/>
        <v>0</v>
      </c>
      <c r="AE211">
        <f t="shared" si="172"/>
        <v>0</v>
      </c>
      <c r="AF211">
        <f t="shared" si="173"/>
        <v>0</v>
      </c>
      <c r="AG211">
        <f t="shared" si="174"/>
        <v>0</v>
      </c>
      <c r="AH211">
        <f t="shared" si="175"/>
        <v>0</v>
      </c>
      <c r="AI211">
        <f t="shared" si="176"/>
        <v>0</v>
      </c>
      <c r="AJ211">
        <f t="shared" si="177"/>
        <v>0</v>
      </c>
      <c r="AK211">
        <f t="shared" si="178"/>
        <v>0</v>
      </c>
      <c r="AL211">
        <f t="shared" si="179"/>
        <v>0</v>
      </c>
      <c r="AM211">
        <f t="shared" si="180"/>
        <v>0</v>
      </c>
      <c r="AN211">
        <f t="shared" si="181"/>
        <v>0</v>
      </c>
      <c r="AO211">
        <f t="shared" si="182"/>
        <v>0</v>
      </c>
      <c r="AP211">
        <f t="shared" si="183"/>
        <v>0</v>
      </c>
      <c r="AQ211">
        <f t="shared" si="184"/>
        <v>0</v>
      </c>
      <c r="AR211">
        <f t="shared" si="185"/>
        <v>0</v>
      </c>
      <c r="AS211">
        <f t="shared" si="186"/>
        <v>0</v>
      </c>
      <c r="AT211">
        <f t="shared" si="187"/>
        <v>0</v>
      </c>
      <c r="AU211">
        <f t="shared" si="188"/>
        <v>0</v>
      </c>
      <c r="AV211">
        <f t="shared" si="189"/>
        <v>0</v>
      </c>
      <c r="AW211">
        <f t="shared" si="144"/>
        <v>0</v>
      </c>
      <c r="AX211">
        <f t="shared" si="190"/>
        <v>0</v>
      </c>
      <c r="AY211">
        <f t="shared" si="191"/>
        <v>0</v>
      </c>
    </row>
    <row r="212" spans="1:51" x14ac:dyDescent="0.35">
      <c r="A212">
        <v>206</v>
      </c>
      <c r="C212">
        <f>MAX(0,Calc!$C$7-SUM(D212:R212))</f>
        <v>750</v>
      </c>
      <c r="D212">
        <f t="shared" si="145"/>
        <v>0</v>
      </c>
      <c r="E212">
        <f t="shared" si="146"/>
        <v>0</v>
      </c>
      <c r="F212">
        <f t="shared" si="147"/>
        <v>0</v>
      </c>
      <c r="G212">
        <f t="shared" si="148"/>
        <v>0</v>
      </c>
      <c r="H212">
        <f t="shared" si="149"/>
        <v>0</v>
      </c>
      <c r="I212">
        <f t="shared" si="150"/>
        <v>0</v>
      </c>
      <c r="J212">
        <f t="shared" si="151"/>
        <v>0</v>
      </c>
      <c r="K212">
        <f t="shared" si="152"/>
        <v>0</v>
      </c>
      <c r="L212">
        <f t="shared" si="153"/>
        <v>0</v>
      </c>
      <c r="M212">
        <f t="shared" si="154"/>
        <v>0</v>
      </c>
      <c r="N212">
        <f t="shared" si="155"/>
        <v>0</v>
      </c>
      <c r="O212">
        <f t="shared" si="156"/>
        <v>0</v>
      </c>
      <c r="P212">
        <f t="shared" si="157"/>
        <v>0</v>
      </c>
      <c r="Q212">
        <f t="shared" si="158"/>
        <v>0</v>
      </c>
      <c r="R212">
        <f t="shared" si="159"/>
        <v>0</v>
      </c>
      <c r="S212">
        <f t="shared" si="160"/>
        <v>0</v>
      </c>
      <c r="T212">
        <f t="shared" si="161"/>
        <v>0</v>
      </c>
      <c r="U212">
        <f t="shared" si="162"/>
        <v>0</v>
      </c>
      <c r="V212">
        <f t="shared" si="163"/>
        <v>0</v>
      </c>
      <c r="W212">
        <f t="shared" si="164"/>
        <v>0</v>
      </c>
      <c r="X212">
        <f t="shared" si="165"/>
        <v>0</v>
      </c>
      <c r="Y212">
        <f t="shared" si="166"/>
        <v>0</v>
      </c>
      <c r="Z212">
        <f t="shared" si="167"/>
        <v>0</v>
      </c>
      <c r="AA212">
        <f t="shared" si="168"/>
        <v>0</v>
      </c>
      <c r="AB212">
        <f t="shared" si="169"/>
        <v>0</v>
      </c>
      <c r="AC212">
        <f t="shared" si="170"/>
        <v>0</v>
      </c>
      <c r="AD212">
        <f t="shared" si="171"/>
        <v>0</v>
      </c>
      <c r="AE212">
        <f t="shared" si="172"/>
        <v>0</v>
      </c>
      <c r="AF212">
        <f t="shared" si="173"/>
        <v>0</v>
      </c>
      <c r="AG212">
        <f t="shared" si="174"/>
        <v>0</v>
      </c>
      <c r="AH212">
        <f t="shared" si="175"/>
        <v>0</v>
      </c>
      <c r="AI212">
        <f t="shared" si="176"/>
        <v>0</v>
      </c>
      <c r="AJ212">
        <f t="shared" si="177"/>
        <v>0</v>
      </c>
      <c r="AK212">
        <f t="shared" si="178"/>
        <v>0</v>
      </c>
      <c r="AL212">
        <f t="shared" si="179"/>
        <v>0</v>
      </c>
      <c r="AM212">
        <f t="shared" si="180"/>
        <v>0</v>
      </c>
      <c r="AN212">
        <f t="shared" si="181"/>
        <v>0</v>
      </c>
      <c r="AO212">
        <f t="shared" si="182"/>
        <v>0</v>
      </c>
      <c r="AP212">
        <f t="shared" si="183"/>
        <v>0</v>
      </c>
      <c r="AQ212">
        <f t="shared" si="184"/>
        <v>0</v>
      </c>
      <c r="AR212">
        <f t="shared" si="185"/>
        <v>0</v>
      </c>
      <c r="AS212">
        <f t="shared" si="186"/>
        <v>0</v>
      </c>
      <c r="AT212">
        <f t="shared" si="187"/>
        <v>0</v>
      </c>
      <c r="AU212">
        <f t="shared" si="188"/>
        <v>0</v>
      </c>
      <c r="AV212">
        <f t="shared" si="189"/>
        <v>0</v>
      </c>
      <c r="AW212">
        <f t="shared" si="144"/>
        <v>0</v>
      </c>
      <c r="AX212">
        <f t="shared" si="190"/>
        <v>0</v>
      </c>
      <c r="AY212">
        <f t="shared" si="191"/>
        <v>0</v>
      </c>
    </row>
    <row r="213" spans="1:51" x14ac:dyDescent="0.35">
      <c r="A213">
        <v>207</v>
      </c>
      <c r="C213">
        <f>MAX(0,Calc!$C$7-SUM(D213:R213))</f>
        <v>750</v>
      </c>
      <c r="D213">
        <f t="shared" si="145"/>
        <v>0</v>
      </c>
      <c r="E213">
        <f t="shared" si="146"/>
        <v>0</v>
      </c>
      <c r="F213">
        <f t="shared" si="147"/>
        <v>0</v>
      </c>
      <c r="G213">
        <f t="shared" si="148"/>
        <v>0</v>
      </c>
      <c r="H213">
        <f t="shared" si="149"/>
        <v>0</v>
      </c>
      <c r="I213">
        <f t="shared" si="150"/>
        <v>0</v>
      </c>
      <c r="J213">
        <f t="shared" si="151"/>
        <v>0</v>
      </c>
      <c r="K213">
        <f t="shared" si="152"/>
        <v>0</v>
      </c>
      <c r="L213">
        <f t="shared" si="153"/>
        <v>0</v>
      </c>
      <c r="M213">
        <f t="shared" si="154"/>
        <v>0</v>
      </c>
      <c r="N213">
        <f t="shared" si="155"/>
        <v>0</v>
      </c>
      <c r="O213">
        <f t="shared" si="156"/>
        <v>0</v>
      </c>
      <c r="P213">
        <f t="shared" si="157"/>
        <v>0</v>
      </c>
      <c r="Q213">
        <f t="shared" si="158"/>
        <v>0</v>
      </c>
      <c r="R213">
        <f t="shared" si="159"/>
        <v>0</v>
      </c>
      <c r="S213">
        <f t="shared" si="160"/>
        <v>0</v>
      </c>
      <c r="T213">
        <f t="shared" si="161"/>
        <v>0</v>
      </c>
      <c r="U213">
        <f t="shared" si="162"/>
        <v>0</v>
      </c>
      <c r="V213">
        <f t="shared" si="163"/>
        <v>0</v>
      </c>
      <c r="W213">
        <f t="shared" si="164"/>
        <v>0</v>
      </c>
      <c r="X213">
        <f t="shared" si="165"/>
        <v>0</v>
      </c>
      <c r="Y213">
        <f t="shared" si="166"/>
        <v>0</v>
      </c>
      <c r="Z213">
        <f t="shared" si="167"/>
        <v>0</v>
      </c>
      <c r="AA213">
        <f t="shared" si="168"/>
        <v>0</v>
      </c>
      <c r="AB213">
        <f t="shared" si="169"/>
        <v>0</v>
      </c>
      <c r="AC213">
        <f t="shared" si="170"/>
        <v>0</v>
      </c>
      <c r="AD213">
        <f t="shared" si="171"/>
        <v>0</v>
      </c>
      <c r="AE213">
        <f t="shared" si="172"/>
        <v>0</v>
      </c>
      <c r="AF213">
        <f t="shared" si="173"/>
        <v>0</v>
      </c>
      <c r="AG213">
        <f t="shared" si="174"/>
        <v>0</v>
      </c>
      <c r="AH213">
        <f t="shared" si="175"/>
        <v>0</v>
      </c>
      <c r="AI213">
        <f t="shared" si="176"/>
        <v>0</v>
      </c>
      <c r="AJ213">
        <f t="shared" si="177"/>
        <v>0</v>
      </c>
      <c r="AK213">
        <f t="shared" si="178"/>
        <v>0</v>
      </c>
      <c r="AL213">
        <f t="shared" si="179"/>
        <v>0</v>
      </c>
      <c r="AM213">
        <f t="shared" si="180"/>
        <v>0</v>
      </c>
      <c r="AN213">
        <f t="shared" si="181"/>
        <v>0</v>
      </c>
      <c r="AO213">
        <f t="shared" si="182"/>
        <v>0</v>
      </c>
      <c r="AP213">
        <f t="shared" si="183"/>
        <v>0</v>
      </c>
      <c r="AQ213">
        <f t="shared" si="184"/>
        <v>0</v>
      </c>
      <c r="AR213">
        <f t="shared" si="185"/>
        <v>0</v>
      </c>
      <c r="AS213">
        <f t="shared" si="186"/>
        <v>0</v>
      </c>
      <c r="AT213">
        <f t="shared" si="187"/>
        <v>0</v>
      </c>
      <c r="AU213">
        <f t="shared" si="188"/>
        <v>0</v>
      </c>
      <c r="AV213">
        <f t="shared" si="189"/>
        <v>0</v>
      </c>
      <c r="AW213">
        <f t="shared" si="144"/>
        <v>0</v>
      </c>
      <c r="AX213">
        <f t="shared" si="190"/>
        <v>0</v>
      </c>
      <c r="AY213">
        <f t="shared" si="191"/>
        <v>0</v>
      </c>
    </row>
    <row r="214" spans="1:51" x14ac:dyDescent="0.35">
      <c r="A214">
        <v>208</v>
      </c>
      <c r="C214">
        <f>MAX(0,Calc!$C$7-SUM(D214:R214))</f>
        <v>750</v>
      </c>
      <c r="D214">
        <f t="shared" si="145"/>
        <v>0</v>
      </c>
      <c r="E214">
        <f t="shared" si="146"/>
        <v>0</v>
      </c>
      <c r="F214">
        <f t="shared" si="147"/>
        <v>0</v>
      </c>
      <c r="G214">
        <f t="shared" si="148"/>
        <v>0</v>
      </c>
      <c r="H214">
        <f t="shared" si="149"/>
        <v>0</v>
      </c>
      <c r="I214">
        <f t="shared" si="150"/>
        <v>0</v>
      </c>
      <c r="J214">
        <f t="shared" si="151"/>
        <v>0</v>
      </c>
      <c r="K214">
        <f t="shared" si="152"/>
        <v>0</v>
      </c>
      <c r="L214">
        <f t="shared" si="153"/>
        <v>0</v>
      </c>
      <c r="M214">
        <f t="shared" si="154"/>
        <v>0</v>
      </c>
      <c r="N214">
        <f t="shared" si="155"/>
        <v>0</v>
      </c>
      <c r="O214">
        <f t="shared" si="156"/>
        <v>0</v>
      </c>
      <c r="P214">
        <f t="shared" si="157"/>
        <v>0</v>
      </c>
      <c r="Q214">
        <f t="shared" si="158"/>
        <v>0</v>
      </c>
      <c r="R214">
        <f t="shared" si="159"/>
        <v>0</v>
      </c>
      <c r="S214">
        <f t="shared" si="160"/>
        <v>0</v>
      </c>
      <c r="T214">
        <f t="shared" si="161"/>
        <v>0</v>
      </c>
      <c r="U214">
        <f t="shared" si="162"/>
        <v>0</v>
      </c>
      <c r="V214">
        <f t="shared" si="163"/>
        <v>0</v>
      </c>
      <c r="W214">
        <f t="shared" si="164"/>
        <v>0</v>
      </c>
      <c r="X214">
        <f t="shared" si="165"/>
        <v>0</v>
      </c>
      <c r="Y214">
        <f t="shared" si="166"/>
        <v>0</v>
      </c>
      <c r="Z214">
        <f t="shared" si="167"/>
        <v>0</v>
      </c>
      <c r="AA214">
        <f t="shared" si="168"/>
        <v>0</v>
      </c>
      <c r="AB214">
        <f t="shared" si="169"/>
        <v>0</v>
      </c>
      <c r="AC214">
        <f t="shared" si="170"/>
        <v>0</v>
      </c>
      <c r="AD214">
        <f t="shared" si="171"/>
        <v>0</v>
      </c>
      <c r="AE214">
        <f t="shared" si="172"/>
        <v>0</v>
      </c>
      <c r="AF214">
        <f t="shared" si="173"/>
        <v>0</v>
      </c>
      <c r="AG214">
        <f t="shared" si="174"/>
        <v>0</v>
      </c>
      <c r="AH214">
        <f t="shared" si="175"/>
        <v>0</v>
      </c>
      <c r="AI214">
        <f t="shared" si="176"/>
        <v>0</v>
      </c>
      <c r="AJ214">
        <f t="shared" si="177"/>
        <v>0</v>
      </c>
      <c r="AK214">
        <f t="shared" si="178"/>
        <v>0</v>
      </c>
      <c r="AL214">
        <f t="shared" si="179"/>
        <v>0</v>
      </c>
      <c r="AM214">
        <f t="shared" si="180"/>
        <v>0</v>
      </c>
      <c r="AN214">
        <f t="shared" si="181"/>
        <v>0</v>
      </c>
      <c r="AO214">
        <f t="shared" si="182"/>
        <v>0</v>
      </c>
      <c r="AP214">
        <f t="shared" si="183"/>
        <v>0</v>
      </c>
      <c r="AQ214">
        <f t="shared" si="184"/>
        <v>0</v>
      </c>
      <c r="AR214">
        <f t="shared" si="185"/>
        <v>0</v>
      </c>
      <c r="AS214">
        <f t="shared" si="186"/>
        <v>0</v>
      </c>
      <c r="AT214">
        <f t="shared" si="187"/>
        <v>0</v>
      </c>
      <c r="AU214">
        <f t="shared" si="188"/>
        <v>0</v>
      </c>
      <c r="AV214">
        <f t="shared" si="189"/>
        <v>0</v>
      </c>
      <c r="AW214">
        <f t="shared" si="144"/>
        <v>0</v>
      </c>
      <c r="AX214">
        <f t="shared" si="190"/>
        <v>0</v>
      </c>
      <c r="AY214">
        <f t="shared" si="191"/>
        <v>0</v>
      </c>
    </row>
    <row r="215" spans="1:51" x14ac:dyDescent="0.35">
      <c r="A215">
        <v>209</v>
      </c>
      <c r="C215">
        <f>MAX(0,Calc!$C$7-SUM(D215:R215))</f>
        <v>750</v>
      </c>
      <c r="D215">
        <f t="shared" si="145"/>
        <v>0</v>
      </c>
      <c r="E215">
        <f t="shared" si="146"/>
        <v>0</v>
      </c>
      <c r="F215">
        <f t="shared" si="147"/>
        <v>0</v>
      </c>
      <c r="G215">
        <f t="shared" si="148"/>
        <v>0</v>
      </c>
      <c r="H215">
        <f t="shared" si="149"/>
        <v>0</v>
      </c>
      <c r="I215">
        <f t="shared" si="150"/>
        <v>0</v>
      </c>
      <c r="J215">
        <f t="shared" si="151"/>
        <v>0</v>
      </c>
      <c r="K215">
        <f t="shared" si="152"/>
        <v>0</v>
      </c>
      <c r="L215">
        <f t="shared" si="153"/>
        <v>0</v>
      </c>
      <c r="M215">
        <f t="shared" si="154"/>
        <v>0</v>
      </c>
      <c r="N215">
        <f t="shared" si="155"/>
        <v>0</v>
      </c>
      <c r="O215">
        <f t="shared" si="156"/>
        <v>0</v>
      </c>
      <c r="P215">
        <f t="shared" si="157"/>
        <v>0</v>
      </c>
      <c r="Q215">
        <f t="shared" si="158"/>
        <v>0</v>
      </c>
      <c r="R215">
        <f t="shared" si="159"/>
        <v>0</v>
      </c>
      <c r="S215">
        <f t="shared" si="160"/>
        <v>0</v>
      </c>
      <c r="T215">
        <f t="shared" si="161"/>
        <v>0</v>
      </c>
      <c r="U215">
        <f t="shared" si="162"/>
        <v>0</v>
      </c>
      <c r="V215">
        <f t="shared" si="163"/>
        <v>0</v>
      </c>
      <c r="W215">
        <f t="shared" si="164"/>
        <v>0</v>
      </c>
      <c r="X215">
        <f t="shared" si="165"/>
        <v>0</v>
      </c>
      <c r="Y215">
        <f t="shared" si="166"/>
        <v>0</v>
      </c>
      <c r="Z215">
        <f t="shared" si="167"/>
        <v>0</v>
      </c>
      <c r="AA215">
        <f t="shared" si="168"/>
        <v>0</v>
      </c>
      <c r="AB215">
        <f t="shared" si="169"/>
        <v>0</v>
      </c>
      <c r="AC215">
        <f t="shared" si="170"/>
        <v>0</v>
      </c>
      <c r="AD215">
        <f t="shared" si="171"/>
        <v>0</v>
      </c>
      <c r="AE215">
        <f t="shared" si="172"/>
        <v>0</v>
      </c>
      <c r="AF215">
        <f t="shared" si="173"/>
        <v>0</v>
      </c>
      <c r="AG215">
        <f t="shared" si="174"/>
        <v>0</v>
      </c>
      <c r="AH215">
        <f t="shared" si="175"/>
        <v>0</v>
      </c>
      <c r="AI215">
        <f t="shared" si="176"/>
        <v>0</v>
      </c>
      <c r="AJ215">
        <f t="shared" si="177"/>
        <v>0</v>
      </c>
      <c r="AK215">
        <f t="shared" si="178"/>
        <v>0</v>
      </c>
      <c r="AL215">
        <f t="shared" si="179"/>
        <v>0</v>
      </c>
      <c r="AM215">
        <f t="shared" si="180"/>
        <v>0</v>
      </c>
      <c r="AN215">
        <f t="shared" si="181"/>
        <v>0</v>
      </c>
      <c r="AO215">
        <f t="shared" si="182"/>
        <v>0</v>
      </c>
      <c r="AP215">
        <f t="shared" si="183"/>
        <v>0</v>
      </c>
      <c r="AQ215">
        <f t="shared" si="184"/>
        <v>0</v>
      </c>
      <c r="AR215">
        <f t="shared" si="185"/>
        <v>0</v>
      </c>
      <c r="AS215">
        <f t="shared" si="186"/>
        <v>0</v>
      </c>
      <c r="AT215">
        <f t="shared" si="187"/>
        <v>0</v>
      </c>
      <c r="AU215">
        <f t="shared" si="188"/>
        <v>0</v>
      </c>
      <c r="AV215">
        <f t="shared" si="189"/>
        <v>0</v>
      </c>
      <c r="AW215">
        <f t="shared" si="144"/>
        <v>0</v>
      </c>
      <c r="AX215">
        <f t="shared" si="190"/>
        <v>0</v>
      </c>
      <c r="AY215">
        <f t="shared" si="191"/>
        <v>0</v>
      </c>
    </row>
    <row r="216" spans="1:51" x14ac:dyDescent="0.35">
      <c r="A216">
        <v>210</v>
      </c>
      <c r="C216">
        <f>MAX(0,Calc!$C$7-SUM(D216:R216))</f>
        <v>750</v>
      </c>
      <c r="D216">
        <f t="shared" si="145"/>
        <v>0</v>
      </c>
      <c r="E216">
        <f t="shared" si="146"/>
        <v>0</v>
      </c>
      <c r="F216">
        <f t="shared" si="147"/>
        <v>0</v>
      </c>
      <c r="G216">
        <f t="shared" si="148"/>
        <v>0</v>
      </c>
      <c r="H216">
        <f t="shared" si="149"/>
        <v>0</v>
      </c>
      <c r="I216">
        <f t="shared" si="150"/>
        <v>0</v>
      </c>
      <c r="J216">
        <f t="shared" si="151"/>
        <v>0</v>
      </c>
      <c r="K216">
        <f t="shared" si="152"/>
        <v>0</v>
      </c>
      <c r="L216">
        <f t="shared" si="153"/>
        <v>0</v>
      </c>
      <c r="M216">
        <f t="shared" si="154"/>
        <v>0</v>
      </c>
      <c r="N216">
        <f t="shared" si="155"/>
        <v>0</v>
      </c>
      <c r="O216">
        <f t="shared" si="156"/>
        <v>0</v>
      </c>
      <c r="P216">
        <f t="shared" si="157"/>
        <v>0</v>
      </c>
      <c r="Q216">
        <f t="shared" si="158"/>
        <v>0</v>
      </c>
      <c r="R216">
        <f t="shared" si="159"/>
        <v>0</v>
      </c>
      <c r="S216">
        <f t="shared" si="160"/>
        <v>0</v>
      </c>
      <c r="T216">
        <f t="shared" si="161"/>
        <v>0</v>
      </c>
      <c r="U216">
        <f t="shared" si="162"/>
        <v>0</v>
      </c>
      <c r="V216">
        <f t="shared" si="163"/>
        <v>0</v>
      </c>
      <c r="W216">
        <f t="shared" si="164"/>
        <v>0</v>
      </c>
      <c r="X216">
        <f t="shared" si="165"/>
        <v>0</v>
      </c>
      <c r="Y216">
        <f t="shared" si="166"/>
        <v>0</v>
      </c>
      <c r="Z216">
        <f t="shared" si="167"/>
        <v>0</v>
      </c>
      <c r="AA216">
        <f t="shared" si="168"/>
        <v>0</v>
      </c>
      <c r="AB216">
        <f t="shared" si="169"/>
        <v>0</v>
      </c>
      <c r="AC216">
        <f t="shared" si="170"/>
        <v>0</v>
      </c>
      <c r="AD216">
        <f t="shared" si="171"/>
        <v>0</v>
      </c>
      <c r="AE216">
        <f t="shared" si="172"/>
        <v>0</v>
      </c>
      <c r="AF216">
        <f t="shared" si="173"/>
        <v>0</v>
      </c>
      <c r="AG216">
        <f t="shared" si="174"/>
        <v>0</v>
      </c>
      <c r="AH216">
        <f t="shared" si="175"/>
        <v>0</v>
      </c>
      <c r="AI216">
        <f t="shared" si="176"/>
        <v>0</v>
      </c>
      <c r="AJ216">
        <f t="shared" si="177"/>
        <v>0</v>
      </c>
      <c r="AK216">
        <f t="shared" si="178"/>
        <v>0</v>
      </c>
      <c r="AL216">
        <f t="shared" si="179"/>
        <v>0</v>
      </c>
      <c r="AM216">
        <f t="shared" si="180"/>
        <v>0</v>
      </c>
      <c r="AN216">
        <f t="shared" si="181"/>
        <v>0</v>
      </c>
      <c r="AO216">
        <f t="shared" si="182"/>
        <v>0</v>
      </c>
      <c r="AP216">
        <f t="shared" si="183"/>
        <v>0</v>
      </c>
      <c r="AQ216">
        <f t="shared" si="184"/>
        <v>0</v>
      </c>
      <c r="AR216">
        <f t="shared" si="185"/>
        <v>0</v>
      </c>
      <c r="AS216">
        <f t="shared" si="186"/>
        <v>0</v>
      </c>
      <c r="AT216">
        <f t="shared" si="187"/>
        <v>0</v>
      </c>
      <c r="AU216">
        <f t="shared" si="188"/>
        <v>0</v>
      </c>
      <c r="AV216">
        <f t="shared" si="189"/>
        <v>0</v>
      </c>
      <c r="AW216">
        <f t="shared" si="144"/>
        <v>0</v>
      </c>
      <c r="AX216">
        <f t="shared" si="190"/>
        <v>0</v>
      </c>
      <c r="AY216">
        <f t="shared" si="191"/>
        <v>0</v>
      </c>
    </row>
    <row r="217" spans="1:51" x14ac:dyDescent="0.35">
      <c r="A217">
        <v>211</v>
      </c>
      <c r="C217">
        <f>MAX(0,Calc!$C$7-SUM(D217:R217))</f>
        <v>750</v>
      </c>
      <c r="D217">
        <f t="shared" si="145"/>
        <v>0</v>
      </c>
      <c r="E217">
        <f t="shared" si="146"/>
        <v>0</v>
      </c>
      <c r="F217">
        <f t="shared" si="147"/>
        <v>0</v>
      </c>
      <c r="G217">
        <f t="shared" si="148"/>
        <v>0</v>
      </c>
      <c r="H217">
        <f t="shared" si="149"/>
        <v>0</v>
      </c>
      <c r="I217">
        <f t="shared" si="150"/>
        <v>0</v>
      </c>
      <c r="J217">
        <f t="shared" si="151"/>
        <v>0</v>
      </c>
      <c r="K217">
        <f t="shared" si="152"/>
        <v>0</v>
      </c>
      <c r="L217">
        <f t="shared" si="153"/>
        <v>0</v>
      </c>
      <c r="M217">
        <f t="shared" si="154"/>
        <v>0</v>
      </c>
      <c r="N217">
        <f t="shared" si="155"/>
        <v>0</v>
      </c>
      <c r="O217">
        <f t="shared" si="156"/>
        <v>0</v>
      </c>
      <c r="P217">
        <f t="shared" si="157"/>
        <v>0</v>
      </c>
      <c r="Q217">
        <f t="shared" si="158"/>
        <v>0</v>
      </c>
      <c r="R217">
        <f t="shared" si="159"/>
        <v>0</v>
      </c>
      <c r="S217">
        <f t="shared" si="160"/>
        <v>0</v>
      </c>
      <c r="T217">
        <f t="shared" si="161"/>
        <v>0</v>
      </c>
      <c r="U217">
        <f t="shared" si="162"/>
        <v>0</v>
      </c>
      <c r="V217">
        <f t="shared" si="163"/>
        <v>0</v>
      </c>
      <c r="W217">
        <f t="shared" si="164"/>
        <v>0</v>
      </c>
      <c r="X217">
        <f t="shared" si="165"/>
        <v>0</v>
      </c>
      <c r="Y217">
        <f t="shared" si="166"/>
        <v>0</v>
      </c>
      <c r="Z217">
        <f t="shared" si="167"/>
        <v>0</v>
      </c>
      <c r="AA217">
        <f t="shared" si="168"/>
        <v>0</v>
      </c>
      <c r="AB217">
        <f t="shared" si="169"/>
        <v>0</v>
      </c>
      <c r="AC217">
        <f t="shared" si="170"/>
        <v>0</v>
      </c>
      <c r="AD217">
        <f t="shared" si="171"/>
        <v>0</v>
      </c>
      <c r="AE217">
        <f t="shared" si="172"/>
        <v>0</v>
      </c>
      <c r="AF217">
        <f t="shared" si="173"/>
        <v>0</v>
      </c>
      <c r="AG217">
        <f t="shared" si="174"/>
        <v>0</v>
      </c>
      <c r="AH217">
        <f t="shared" si="175"/>
        <v>0</v>
      </c>
      <c r="AI217">
        <f t="shared" si="176"/>
        <v>0</v>
      </c>
      <c r="AJ217">
        <f t="shared" si="177"/>
        <v>0</v>
      </c>
      <c r="AK217">
        <f t="shared" si="178"/>
        <v>0</v>
      </c>
      <c r="AL217">
        <f t="shared" si="179"/>
        <v>0</v>
      </c>
      <c r="AM217">
        <f t="shared" si="180"/>
        <v>0</v>
      </c>
      <c r="AN217">
        <f t="shared" si="181"/>
        <v>0</v>
      </c>
      <c r="AO217">
        <f t="shared" si="182"/>
        <v>0</v>
      </c>
      <c r="AP217">
        <f t="shared" si="183"/>
        <v>0</v>
      </c>
      <c r="AQ217">
        <f t="shared" si="184"/>
        <v>0</v>
      </c>
      <c r="AR217">
        <f t="shared" si="185"/>
        <v>0</v>
      </c>
      <c r="AS217">
        <f t="shared" si="186"/>
        <v>0</v>
      </c>
      <c r="AT217">
        <f t="shared" si="187"/>
        <v>0</v>
      </c>
      <c r="AU217">
        <f t="shared" si="188"/>
        <v>0</v>
      </c>
      <c r="AV217">
        <f t="shared" si="189"/>
        <v>0</v>
      </c>
      <c r="AW217">
        <f t="shared" si="144"/>
        <v>0</v>
      </c>
      <c r="AX217">
        <f t="shared" si="190"/>
        <v>0</v>
      </c>
      <c r="AY217">
        <f t="shared" si="191"/>
        <v>0</v>
      </c>
    </row>
    <row r="218" spans="1:51" x14ac:dyDescent="0.35">
      <c r="A218">
        <v>212</v>
      </c>
      <c r="C218">
        <f>MAX(0,Calc!$C$7-SUM(D218:R218))</f>
        <v>750</v>
      </c>
      <c r="D218">
        <f t="shared" si="145"/>
        <v>0</v>
      </c>
      <c r="E218">
        <f t="shared" si="146"/>
        <v>0</v>
      </c>
      <c r="F218">
        <f t="shared" si="147"/>
        <v>0</v>
      </c>
      <c r="G218">
        <f t="shared" si="148"/>
        <v>0</v>
      </c>
      <c r="H218">
        <f t="shared" si="149"/>
        <v>0</v>
      </c>
      <c r="I218">
        <f t="shared" si="150"/>
        <v>0</v>
      </c>
      <c r="J218">
        <f t="shared" si="151"/>
        <v>0</v>
      </c>
      <c r="K218">
        <f t="shared" si="152"/>
        <v>0</v>
      </c>
      <c r="L218">
        <f t="shared" si="153"/>
        <v>0</v>
      </c>
      <c r="M218">
        <f t="shared" si="154"/>
        <v>0</v>
      </c>
      <c r="N218">
        <f t="shared" si="155"/>
        <v>0</v>
      </c>
      <c r="O218">
        <f t="shared" si="156"/>
        <v>0</v>
      </c>
      <c r="P218">
        <f t="shared" si="157"/>
        <v>0</v>
      </c>
      <c r="Q218">
        <f t="shared" si="158"/>
        <v>0</v>
      </c>
      <c r="R218">
        <f t="shared" si="159"/>
        <v>0</v>
      </c>
      <c r="S218">
        <f t="shared" si="160"/>
        <v>0</v>
      </c>
      <c r="T218">
        <f t="shared" si="161"/>
        <v>0</v>
      </c>
      <c r="U218">
        <f t="shared" si="162"/>
        <v>0</v>
      </c>
      <c r="V218">
        <f t="shared" si="163"/>
        <v>0</v>
      </c>
      <c r="W218">
        <f t="shared" si="164"/>
        <v>0</v>
      </c>
      <c r="X218">
        <f t="shared" si="165"/>
        <v>0</v>
      </c>
      <c r="Y218">
        <f t="shared" si="166"/>
        <v>0</v>
      </c>
      <c r="Z218">
        <f t="shared" si="167"/>
        <v>0</v>
      </c>
      <c r="AA218">
        <f t="shared" si="168"/>
        <v>0</v>
      </c>
      <c r="AB218">
        <f t="shared" si="169"/>
        <v>0</v>
      </c>
      <c r="AC218">
        <f t="shared" si="170"/>
        <v>0</v>
      </c>
      <c r="AD218">
        <f t="shared" si="171"/>
        <v>0</v>
      </c>
      <c r="AE218">
        <f t="shared" si="172"/>
        <v>0</v>
      </c>
      <c r="AF218">
        <f t="shared" si="173"/>
        <v>0</v>
      </c>
      <c r="AG218">
        <f t="shared" si="174"/>
        <v>0</v>
      </c>
      <c r="AH218">
        <f t="shared" si="175"/>
        <v>0</v>
      </c>
      <c r="AI218">
        <f t="shared" si="176"/>
        <v>0</v>
      </c>
      <c r="AJ218">
        <f t="shared" si="177"/>
        <v>0</v>
      </c>
      <c r="AK218">
        <f t="shared" si="178"/>
        <v>0</v>
      </c>
      <c r="AL218">
        <f t="shared" si="179"/>
        <v>0</v>
      </c>
      <c r="AM218">
        <f t="shared" si="180"/>
        <v>0</v>
      </c>
      <c r="AN218">
        <f t="shared" si="181"/>
        <v>0</v>
      </c>
      <c r="AO218">
        <f t="shared" si="182"/>
        <v>0</v>
      </c>
      <c r="AP218">
        <f t="shared" si="183"/>
        <v>0</v>
      </c>
      <c r="AQ218">
        <f t="shared" si="184"/>
        <v>0</v>
      </c>
      <c r="AR218">
        <f t="shared" si="185"/>
        <v>0</v>
      </c>
      <c r="AS218">
        <f t="shared" si="186"/>
        <v>0</v>
      </c>
      <c r="AT218">
        <f t="shared" si="187"/>
        <v>0</v>
      </c>
      <c r="AU218">
        <f t="shared" si="188"/>
        <v>0</v>
      </c>
      <c r="AV218">
        <f t="shared" si="189"/>
        <v>0</v>
      </c>
      <c r="AW218">
        <f t="shared" si="144"/>
        <v>0</v>
      </c>
      <c r="AX218">
        <f t="shared" si="190"/>
        <v>0</v>
      </c>
      <c r="AY218">
        <f t="shared" si="191"/>
        <v>0</v>
      </c>
    </row>
    <row r="219" spans="1:51" x14ac:dyDescent="0.35">
      <c r="A219">
        <v>213</v>
      </c>
      <c r="C219">
        <f>MAX(0,Calc!$C$7-SUM(D219:R219))</f>
        <v>750</v>
      </c>
      <c r="D219">
        <f t="shared" si="145"/>
        <v>0</v>
      </c>
      <c r="E219">
        <f t="shared" si="146"/>
        <v>0</v>
      </c>
      <c r="F219">
        <f t="shared" si="147"/>
        <v>0</v>
      </c>
      <c r="G219">
        <f t="shared" si="148"/>
        <v>0</v>
      </c>
      <c r="H219">
        <f t="shared" si="149"/>
        <v>0</v>
      </c>
      <c r="I219">
        <f t="shared" si="150"/>
        <v>0</v>
      </c>
      <c r="J219">
        <f t="shared" si="151"/>
        <v>0</v>
      </c>
      <c r="K219">
        <f t="shared" si="152"/>
        <v>0</v>
      </c>
      <c r="L219">
        <f t="shared" si="153"/>
        <v>0</v>
      </c>
      <c r="M219">
        <f t="shared" si="154"/>
        <v>0</v>
      </c>
      <c r="N219">
        <f t="shared" si="155"/>
        <v>0</v>
      </c>
      <c r="O219">
        <f t="shared" si="156"/>
        <v>0</v>
      </c>
      <c r="P219">
        <f t="shared" si="157"/>
        <v>0</v>
      </c>
      <c r="Q219">
        <f t="shared" si="158"/>
        <v>0</v>
      </c>
      <c r="R219">
        <f t="shared" si="159"/>
        <v>0</v>
      </c>
      <c r="S219">
        <f t="shared" si="160"/>
        <v>0</v>
      </c>
      <c r="T219">
        <f t="shared" si="161"/>
        <v>0</v>
      </c>
      <c r="U219">
        <f t="shared" si="162"/>
        <v>0</v>
      </c>
      <c r="V219">
        <f t="shared" si="163"/>
        <v>0</v>
      </c>
      <c r="W219">
        <f t="shared" si="164"/>
        <v>0</v>
      </c>
      <c r="X219">
        <f t="shared" si="165"/>
        <v>0</v>
      </c>
      <c r="Y219">
        <f t="shared" si="166"/>
        <v>0</v>
      </c>
      <c r="Z219">
        <f t="shared" si="167"/>
        <v>0</v>
      </c>
      <c r="AA219">
        <f t="shared" si="168"/>
        <v>0</v>
      </c>
      <c r="AB219">
        <f t="shared" si="169"/>
        <v>0</v>
      </c>
      <c r="AC219">
        <f t="shared" si="170"/>
        <v>0</v>
      </c>
      <c r="AD219">
        <f t="shared" si="171"/>
        <v>0</v>
      </c>
      <c r="AE219">
        <f t="shared" si="172"/>
        <v>0</v>
      </c>
      <c r="AF219">
        <f t="shared" si="173"/>
        <v>0</v>
      </c>
      <c r="AG219">
        <f t="shared" si="174"/>
        <v>0</v>
      </c>
      <c r="AH219">
        <f t="shared" si="175"/>
        <v>0</v>
      </c>
      <c r="AI219">
        <f t="shared" si="176"/>
        <v>0</v>
      </c>
      <c r="AJ219">
        <f t="shared" si="177"/>
        <v>0</v>
      </c>
      <c r="AK219">
        <f t="shared" si="178"/>
        <v>0</v>
      </c>
      <c r="AL219">
        <f t="shared" si="179"/>
        <v>0</v>
      </c>
      <c r="AM219">
        <f t="shared" si="180"/>
        <v>0</v>
      </c>
      <c r="AN219">
        <f t="shared" si="181"/>
        <v>0</v>
      </c>
      <c r="AO219">
        <f t="shared" si="182"/>
        <v>0</v>
      </c>
      <c r="AP219">
        <f t="shared" si="183"/>
        <v>0</v>
      </c>
      <c r="AQ219">
        <f t="shared" si="184"/>
        <v>0</v>
      </c>
      <c r="AR219">
        <f t="shared" si="185"/>
        <v>0</v>
      </c>
      <c r="AS219">
        <f t="shared" si="186"/>
        <v>0</v>
      </c>
      <c r="AT219">
        <f t="shared" si="187"/>
        <v>0</v>
      </c>
      <c r="AU219">
        <f t="shared" si="188"/>
        <v>0</v>
      </c>
      <c r="AV219">
        <f t="shared" si="189"/>
        <v>0</v>
      </c>
      <c r="AW219">
        <f t="shared" si="144"/>
        <v>0</v>
      </c>
      <c r="AX219">
        <f t="shared" si="190"/>
        <v>0</v>
      </c>
      <c r="AY219">
        <f t="shared" si="191"/>
        <v>0</v>
      </c>
    </row>
    <row r="220" spans="1:51" x14ac:dyDescent="0.35">
      <c r="A220">
        <v>214</v>
      </c>
      <c r="C220">
        <f>MAX(0,Calc!$C$7-SUM(D220:R220))</f>
        <v>750</v>
      </c>
      <c r="D220">
        <f t="shared" si="145"/>
        <v>0</v>
      </c>
      <c r="E220">
        <f t="shared" si="146"/>
        <v>0</v>
      </c>
      <c r="F220">
        <f t="shared" si="147"/>
        <v>0</v>
      </c>
      <c r="G220">
        <f t="shared" si="148"/>
        <v>0</v>
      </c>
      <c r="H220">
        <f t="shared" si="149"/>
        <v>0</v>
      </c>
      <c r="I220">
        <f t="shared" si="150"/>
        <v>0</v>
      </c>
      <c r="J220">
        <f t="shared" si="151"/>
        <v>0</v>
      </c>
      <c r="K220">
        <f t="shared" si="152"/>
        <v>0</v>
      </c>
      <c r="L220">
        <f t="shared" si="153"/>
        <v>0</v>
      </c>
      <c r="M220">
        <f t="shared" si="154"/>
        <v>0</v>
      </c>
      <c r="N220">
        <f t="shared" si="155"/>
        <v>0</v>
      </c>
      <c r="O220">
        <f t="shared" si="156"/>
        <v>0</v>
      </c>
      <c r="P220">
        <f t="shared" si="157"/>
        <v>0</v>
      </c>
      <c r="Q220">
        <f t="shared" si="158"/>
        <v>0</v>
      </c>
      <c r="R220">
        <f t="shared" si="159"/>
        <v>0</v>
      </c>
      <c r="S220">
        <f t="shared" si="160"/>
        <v>0</v>
      </c>
      <c r="T220">
        <f t="shared" si="161"/>
        <v>0</v>
      </c>
      <c r="U220">
        <f t="shared" si="162"/>
        <v>0</v>
      </c>
      <c r="V220">
        <f t="shared" si="163"/>
        <v>0</v>
      </c>
      <c r="W220">
        <f t="shared" si="164"/>
        <v>0</v>
      </c>
      <c r="X220">
        <f t="shared" si="165"/>
        <v>0</v>
      </c>
      <c r="Y220">
        <f t="shared" si="166"/>
        <v>0</v>
      </c>
      <c r="Z220">
        <f t="shared" si="167"/>
        <v>0</v>
      </c>
      <c r="AA220">
        <f t="shared" si="168"/>
        <v>0</v>
      </c>
      <c r="AB220">
        <f t="shared" si="169"/>
        <v>0</v>
      </c>
      <c r="AC220">
        <f t="shared" si="170"/>
        <v>0</v>
      </c>
      <c r="AD220">
        <f t="shared" si="171"/>
        <v>0</v>
      </c>
      <c r="AE220">
        <f t="shared" si="172"/>
        <v>0</v>
      </c>
      <c r="AF220">
        <f t="shared" si="173"/>
        <v>0</v>
      </c>
      <c r="AG220">
        <f t="shared" si="174"/>
        <v>0</v>
      </c>
      <c r="AH220">
        <f t="shared" si="175"/>
        <v>0</v>
      </c>
      <c r="AI220">
        <f t="shared" si="176"/>
        <v>0</v>
      </c>
      <c r="AJ220">
        <f t="shared" si="177"/>
        <v>0</v>
      </c>
      <c r="AK220">
        <f t="shared" si="178"/>
        <v>0</v>
      </c>
      <c r="AL220">
        <f t="shared" si="179"/>
        <v>0</v>
      </c>
      <c r="AM220">
        <f t="shared" si="180"/>
        <v>0</v>
      </c>
      <c r="AN220">
        <f t="shared" si="181"/>
        <v>0</v>
      </c>
      <c r="AO220">
        <f t="shared" si="182"/>
        <v>0</v>
      </c>
      <c r="AP220">
        <f t="shared" si="183"/>
        <v>0</v>
      </c>
      <c r="AQ220">
        <f t="shared" si="184"/>
        <v>0</v>
      </c>
      <c r="AR220">
        <f t="shared" si="185"/>
        <v>0</v>
      </c>
      <c r="AS220">
        <f t="shared" si="186"/>
        <v>0</v>
      </c>
      <c r="AT220">
        <f t="shared" si="187"/>
        <v>0</v>
      </c>
      <c r="AU220">
        <f t="shared" si="188"/>
        <v>0</v>
      </c>
      <c r="AV220">
        <f t="shared" si="189"/>
        <v>0</v>
      </c>
      <c r="AW220">
        <f t="shared" si="144"/>
        <v>0</v>
      </c>
      <c r="AX220">
        <f t="shared" si="190"/>
        <v>0</v>
      </c>
      <c r="AY220">
        <f t="shared" si="191"/>
        <v>0</v>
      </c>
    </row>
    <row r="221" spans="1:51" x14ac:dyDescent="0.35">
      <c r="A221">
        <v>215</v>
      </c>
      <c r="C221">
        <f>MAX(0,Calc!$C$7-SUM(D221:R221))</f>
        <v>750</v>
      </c>
      <c r="D221">
        <f t="shared" si="145"/>
        <v>0</v>
      </c>
      <c r="E221">
        <f t="shared" si="146"/>
        <v>0</v>
      </c>
      <c r="F221">
        <f t="shared" si="147"/>
        <v>0</v>
      </c>
      <c r="G221">
        <f t="shared" si="148"/>
        <v>0</v>
      </c>
      <c r="H221">
        <f t="shared" si="149"/>
        <v>0</v>
      </c>
      <c r="I221">
        <f t="shared" si="150"/>
        <v>0</v>
      </c>
      <c r="J221">
        <f t="shared" si="151"/>
        <v>0</v>
      </c>
      <c r="K221">
        <f t="shared" si="152"/>
        <v>0</v>
      </c>
      <c r="L221">
        <f t="shared" si="153"/>
        <v>0</v>
      </c>
      <c r="M221">
        <f t="shared" si="154"/>
        <v>0</v>
      </c>
      <c r="N221">
        <f t="shared" si="155"/>
        <v>0</v>
      </c>
      <c r="O221">
        <f t="shared" si="156"/>
        <v>0</v>
      </c>
      <c r="P221">
        <f t="shared" si="157"/>
        <v>0</v>
      </c>
      <c r="Q221">
        <f t="shared" si="158"/>
        <v>0</v>
      </c>
      <c r="R221">
        <f t="shared" si="159"/>
        <v>0</v>
      </c>
      <c r="S221">
        <f t="shared" si="160"/>
        <v>0</v>
      </c>
      <c r="T221">
        <f t="shared" si="161"/>
        <v>0</v>
      </c>
      <c r="U221">
        <f t="shared" si="162"/>
        <v>0</v>
      </c>
      <c r="V221">
        <f t="shared" si="163"/>
        <v>0</v>
      </c>
      <c r="W221">
        <f t="shared" si="164"/>
        <v>0</v>
      </c>
      <c r="X221">
        <f t="shared" si="165"/>
        <v>0</v>
      </c>
      <c r="Y221">
        <f t="shared" si="166"/>
        <v>0</v>
      </c>
      <c r="Z221">
        <f t="shared" si="167"/>
        <v>0</v>
      </c>
      <c r="AA221">
        <f t="shared" si="168"/>
        <v>0</v>
      </c>
      <c r="AB221">
        <f t="shared" si="169"/>
        <v>0</v>
      </c>
      <c r="AC221">
        <f t="shared" si="170"/>
        <v>0</v>
      </c>
      <c r="AD221">
        <f t="shared" si="171"/>
        <v>0</v>
      </c>
      <c r="AE221">
        <f t="shared" si="172"/>
        <v>0</v>
      </c>
      <c r="AF221">
        <f t="shared" si="173"/>
        <v>0</v>
      </c>
      <c r="AG221">
        <f t="shared" si="174"/>
        <v>0</v>
      </c>
      <c r="AH221">
        <f t="shared" si="175"/>
        <v>0</v>
      </c>
      <c r="AI221">
        <f t="shared" si="176"/>
        <v>0</v>
      </c>
      <c r="AJ221">
        <f t="shared" si="177"/>
        <v>0</v>
      </c>
      <c r="AK221">
        <f t="shared" si="178"/>
        <v>0</v>
      </c>
      <c r="AL221">
        <f t="shared" si="179"/>
        <v>0</v>
      </c>
      <c r="AM221">
        <f t="shared" si="180"/>
        <v>0</v>
      </c>
      <c r="AN221">
        <f t="shared" si="181"/>
        <v>0</v>
      </c>
      <c r="AO221">
        <f t="shared" si="182"/>
        <v>0</v>
      </c>
      <c r="AP221">
        <f t="shared" si="183"/>
        <v>0</v>
      </c>
      <c r="AQ221">
        <f t="shared" si="184"/>
        <v>0</v>
      </c>
      <c r="AR221">
        <f t="shared" si="185"/>
        <v>0</v>
      </c>
      <c r="AS221">
        <f t="shared" si="186"/>
        <v>0</v>
      </c>
      <c r="AT221">
        <f t="shared" si="187"/>
        <v>0</v>
      </c>
      <c r="AU221">
        <f t="shared" si="188"/>
        <v>0</v>
      </c>
      <c r="AV221">
        <f t="shared" si="189"/>
        <v>0</v>
      </c>
      <c r="AW221">
        <f t="shared" si="144"/>
        <v>0</v>
      </c>
      <c r="AX221">
        <f t="shared" si="190"/>
        <v>0</v>
      </c>
      <c r="AY221">
        <f t="shared" si="191"/>
        <v>0</v>
      </c>
    </row>
    <row r="222" spans="1:51" x14ac:dyDescent="0.35">
      <c r="A222">
        <v>216</v>
      </c>
      <c r="C222">
        <f>MAX(0,Calc!$C$7-SUM(D222:R222))</f>
        <v>750</v>
      </c>
      <c r="D222">
        <f t="shared" si="145"/>
        <v>0</v>
      </c>
      <c r="E222">
        <f t="shared" si="146"/>
        <v>0</v>
      </c>
      <c r="F222">
        <f t="shared" si="147"/>
        <v>0</v>
      </c>
      <c r="G222">
        <f t="shared" si="148"/>
        <v>0</v>
      </c>
      <c r="H222">
        <f t="shared" si="149"/>
        <v>0</v>
      </c>
      <c r="I222">
        <f t="shared" si="150"/>
        <v>0</v>
      </c>
      <c r="J222">
        <f t="shared" si="151"/>
        <v>0</v>
      </c>
      <c r="K222">
        <f t="shared" si="152"/>
        <v>0</v>
      </c>
      <c r="L222">
        <f t="shared" si="153"/>
        <v>0</v>
      </c>
      <c r="M222">
        <f t="shared" si="154"/>
        <v>0</v>
      </c>
      <c r="N222">
        <f t="shared" si="155"/>
        <v>0</v>
      </c>
      <c r="O222">
        <f t="shared" si="156"/>
        <v>0</v>
      </c>
      <c r="P222">
        <f t="shared" si="157"/>
        <v>0</v>
      </c>
      <c r="Q222">
        <f t="shared" si="158"/>
        <v>0</v>
      </c>
      <c r="R222">
        <f t="shared" si="159"/>
        <v>0</v>
      </c>
      <c r="S222">
        <f t="shared" si="160"/>
        <v>0</v>
      </c>
      <c r="T222">
        <f t="shared" si="161"/>
        <v>0</v>
      </c>
      <c r="U222">
        <f t="shared" si="162"/>
        <v>0</v>
      </c>
      <c r="V222">
        <f t="shared" si="163"/>
        <v>0</v>
      </c>
      <c r="W222">
        <f t="shared" si="164"/>
        <v>0</v>
      </c>
      <c r="X222">
        <f t="shared" si="165"/>
        <v>0</v>
      </c>
      <c r="Y222">
        <f t="shared" si="166"/>
        <v>0</v>
      </c>
      <c r="Z222">
        <f t="shared" si="167"/>
        <v>0</v>
      </c>
      <c r="AA222">
        <f t="shared" si="168"/>
        <v>0</v>
      </c>
      <c r="AB222">
        <f t="shared" si="169"/>
        <v>0</v>
      </c>
      <c r="AC222">
        <f t="shared" si="170"/>
        <v>0</v>
      </c>
      <c r="AD222">
        <f t="shared" si="171"/>
        <v>0</v>
      </c>
      <c r="AE222">
        <f t="shared" si="172"/>
        <v>0</v>
      </c>
      <c r="AF222">
        <f t="shared" si="173"/>
        <v>0</v>
      </c>
      <c r="AG222">
        <f t="shared" si="174"/>
        <v>0</v>
      </c>
      <c r="AH222">
        <f t="shared" si="175"/>
        <v>0</v>
      </c>
      <c r="AI222">
        <f t="shared" si="176"/>
        <v>0</v>
      </c>
      <c r="AJ222">
        <f t="shared" si="177"/>
        <v>0</v>
      </c>
      <c r="AK222">
        <f t="shared" si="178"/>
        <v>0</v>
      </c>
      <c r="AL222">
        <f t="shared" si="179"/>
        <v>0</v>
      </c>
      <c r="AM222">
        <f t="shared" si="180"/>
        <v>0</v>
      </c>
      <c r="AN222">
        <f t="shared" si="181"/>
        <v>0</v>
      </c>
      <c r="AO222">
        <f t="shared" si="182"/>
        <v>0</v>
      </c>
      <c r="AP222">
        <f t="shared" si="183"/>
        <v>0</v>
      </c>
      <c r="AQ222">
        <f t="shared" si="184"/>
        <v>0</v>
      </c>
      <c r="AR222">
        <f t="shared" si="185"/>
        <v>0</v>
      </c>
      <c r="AS222">
        <f t="shared" si="186"/>
        <v>0</v>
      </c>
      <c r="AT222">
        <f t="shared" si="187"/>
        <v>0</v>
      </c>
      <c r="AU222">
        <f t="shared" si="188"/>
        <v>0</v>
      </c>
      <c r="AV222">
        <f t="shared" si="189"/>
        <v>0</v>
      </c>
      <c r="AW222">
        <f t="shared" si="144"/>
        <v>0</v>
      </c>
      <c r="AX222">
        <f t="shared" si="190"/>
        <v>0</v>
      </c>
      <c r="AY222">
        <f t="shared" si="191"/>
        <v>0</v>
      </c>
    </row>
    <row r="223" spans="1:51" x14ac:dyDescent="0.35">
      <c r="A223">
        <v>217</v>
      </c>
      <c r="C223">
        <f>MAX(0,Calc!$C$7-SUM(D223:R223))</f>
        <v>750</v>
      </c>
      <c r="D223">
        <f t="shared" si="145"/>
        <v>0</v>
      </c>
      <c r="E223">
        <f t="shared" si="146"/>
        <v>0</v>
      </c>
      <c r="F223">
        <f t="shared" si="147"/>
        <v>0</v>
      </c>
      <c r="G223">
        <f t="shared" si="148"/>
        <v>0</v>
      </c>
      <c r="H223">
        <f t="shared" si="149"/>
        <v>0</v>
      </c>
      <c r="I223">
        <f t="shared" si="150"/>
        <v>0</v>
      </c>
      <c r="J223">
        <f t="shared" si="151"/>
        <v>0</v>
      </c>
      <c r="K223">
        <f t="shared" si="152"/>
        <v>0</v>
      </c>
      <c r="L223">
        <f t="shared" si="153"/>
        <v>0</v>
      </c>
      <c r="M223">
        <f t="shared" si="154"/>
        <v>0</v>
      </c>
      <c r="N223">
        <f t="shared" si="155"/>
        <v>0</v>
      </c>
      <c r="O223">
        <f t="shared" si="156"/>
        <v>0</v>
      </c>
      <c r="P223">
        <f t="shared" si="157"/>
        <v>0</v>
      </c>
      <c r="Q223">
        <f t="shared" si="158"/>
        <v>0</v>
      </c>
      <c r="R223">
        <f t="shared" si="159"/>
        <v>0</v>
      </c>
      <c r="S223">
        <f t="shared" si="160"/>
        <v>0</v>
      </c>
      <c r="T223">
        <f t="shared" si="161"/>
        <v>0</v>
      </c>
      <c r="U223">
        <f t="shared" si="162"/>
        <v>0</v>
      </c>
      <c r="V223">
        <f t="shared" si="163"/>
        <v>0</v>
      </c>
      <c r="W223">
        <f t="shared" si="164"/>
        <v>0</v>
      </c>
      <c r="X223">
        <f t="shared" si="165"/>
        <v>0</v>
      </c>
      <c r="Y223">
        <f t="shared" si="166"/>
        <v>0</v>
      </c>
      <c r="Z223">
        <f t="shared" si="167"/>
        <v>0</v>
      </c>
      <c r="AA223">
        <f t="shared" si="168"/>
        <v>0</v>
      </c>
      <c r="AB223">
        <f t="shared" si="169"/>
        <v>0</v>
      </c>
      <c r="AC223">
        <f t="shared" si="170"/>
        <v>0</v>
      </c>
      <c r="AD223">
        <f t="shared" si="171"/>
        <v>0</v>
      </c>
      <c r="AE223">
        <f t="shared" si="172"/>
        <v>0</v>
      </c>
      <c r="AF223">
        <f t="shared" si="173"/>
        <v>0</v>
      </c>
      <c r="AG223">
        <f t="shared" si="174"/>
        <v>0</v>
      </c>
      <c r="AH223">
        <f t="shared" si="175"/>
        <v>0</v>
      </c>
      <c r="AI223">
        <f t="shared" si="176"/>
        <v>0</v>
      </c>
      <c r="AJ223">
        <f t="shared" si="177"/>
        <v>0</v>
      </c>
      <c r="AK223">
        <f t="shared" si="178"/>
        <v>0</v>
      </c>
      <c r="AL223">
        <f t="shared" si="179"/>
        <v>0</v>
      </c>
      <c r="AM223">
        <f t="shared" si="180"/>
        <v>0</v>
      </c>
      <c r="AN223">
        <f t="shared" si="181"/>
        <v>0</v>
      </c>
      <c r="AO223">
        <f t="shared" si="182"/>
        <v>0</v>
      </c>
      <c r="AP223">
        <f t="shared" si="183"/>
        <v>0</v>
      </c>
      <c r="AQ223">
        <f t="shared" si="184"/>
        <v>0</v>
      </c>
      <c r="AR223">
        <f t="shared" si="185"/>
        <v>0</v>
      </c>
      <c r="AS223">
        <f t="shared" si="186"/>
        <v>0</v>
      </c>
      <c r="AT223">
        <f t="shared" si="187"/>
        <v>0</v>
      </c>
      <c r="AU223">
        <f t="shared" si="188"/>
        <v>0</v>
      </c>
      <c r="AV223">
        <f t="shared" si="189"/>
        <v>0</v>
      </c>
      <c r="AW223">
        <f t="shared" si="144"/>
        <v>0</v>
      </c>
      <c r="AX223">
        <f t="shared" si="190"/>
        <v>0</v>
      </c>
      <c r="AY223">
        <f t="shared" si="191"/>
        <v>0</v>
      </c>
    </row>
    <row r="224" spans="1:51" x14ac:dyDescent="0.35">
      <c r="A224">
        <v>218</v>
      </c>
      <c r="C224">
        <f>MAX(0,Calc!$C$7-SUM(D224:R224))</f>
        <v>750</v>
      </c>
      <c r="D224">
        <f t="shared" si="145"/>
        <v>0</v>
      </c>
      <c r="E224">
        <f t="shared" si="146"/>
        <v>0</v>
      </c>
      <c r="F224">
        <f t="shared" si="147"/>
        <v>0</v>
      </c>
      <c r="G224">
        <f t="shared" si="148"/>
        <v>0</v>
      </c>
      <c r="H224">
        <f t="shared" si="149"/>
        <v>0</v>
      </c>
      <c r="I224">
        <f t="shared" si="150"/>
        <v>0</v>
      </c>
      <c r="J224">
        <f t="shared" si="151"/>
        <v>0</v>
      </c>
      <c r="K224">
        <f t="shared" si="152"/>
        <v>0</v>
      </c>
      <c r="L224">
        <f t="shared" si="153"/>
        <v>0</v>
      </c>
      <c r="M224">
        <f t="shared" si="154"/>
        <v>0</v>
      </c>
      <c r="N224">
        <f t="shared" si="155"/>
        <v>0</v>
      </c>
      <c r="O224">
        <f t="shared" si="156"/>
        <v>0</v>
      </c>
      <c r="P224">
        <f t="shared" si="157"/>
        <v>0</v>
      </c>
      <c r="Q224">
        <f t="shared" si="158"/>
        <v>0</v>
      </c>
      <c r="R224">
        <f t="shared" si="159"/>
        <v>0</v>
      </c>
      <c r="S224">
        <f t="shared" si="160"/>
        <v>0</v>
      </c>
      <c r="T224">
        <f t="shared" si="161"/>
        <v>0</v>
      </c>
      <c r="U224">
        <f t="shared" si="162"/>
        <v>0</v>
      </c>
      <c r="V224">
        <f t="shared" si="163"/>
        <v>0</v>
      </c>
      <c r="W224">
        <f t="shared" si="164"/>
        <v>0</v>
      </c>
      <c r="X224">
        <f t="shared" si="165"/>
        <v>0</v>
      </c>
      <c r="Y224">
        <f t="shared" si="166"/>
        <v>0</v>
      </c>
      <c r="Z224">
        <f t="shared" si="167"/>
        <v>0</v>
      </c>
      <c r="AA224">
        <f t="shared" si="168"/>
        <v>0</v>
      </c>
      <c r="AB224">
        <f t="shared" si="169"/>
        <v>0</v>
      </c>
      <c r="AC224">
        <f t="shared" si="170"/>
        <v>0</v>
      </c>
      <c r="AD224">
        <f t="shared" si="171"/>
        <v>0</v>
      </c>
      <c r="AE224">
        <f t="shared" si="172"/>
        <v>0</v>
      </c>
      <c r="AF224">
        <f t="shared" si="173"/>
        <v>0</v>
      </c>
      <c r="AG224">
        <f t="shared" si="174"/>
        <v>0</v>
      </c>
      <c r="AH224">
        <f t="shared" si="175"/>
        <v>0</v>
      </c>
      <c r="AI224">
        <f t="shared" si="176"/>
        <v>0</v>
      </c>
      <c r="AJ224">
        <f t="shared" si="177"/>
        <v>0</v>
      </c>
      <c r="AK224">
        <f t="shared" si="178"/>
        <v>0</v>
      </c>
      <c r="AL224">
        <f t="shared" si="179"/>
        <v>0</v>
      </c>
      <c r="AM224">
        <f t="shared" si="180"/>
        <v>0</v>
      </c>
      <c r="AN224">
        <f t="shared" si="181"/>
        <v>0</v>
      </c>
      <c r="AO224">
        <f t="shared" si="182"/>
        <v>0</v>
      </c>
      <c r="AP224">
        <f t="shared" si="183"/>
        <v>0</v>
      </c>
      <c r="AQ224">
        <f t="shared" si="184"/>
        <v>0</v>
      </c>
      <c r="AR224">
        <f t="shared" si="185"/>
        <v>0</v>
      </c>
      <c r="AS224">
        <f t="shared" si="186"/>
        <v>0</v>
      </c>
      <c r="AT224">
        <f t="shared" si="187"/>
        <v>0</v>
      </c>
      <c r="AU224">
        <f t="shared" si="188"/>
        <v>0</v>
      </c>
      <c r="AV224">
        <f t="shared" si="189"/>
        <v>0</v>
      </c>
      <c r="AW224">
        <f t="shared" si="144"/>
        <v>0</v>
      </c>
      <c r="AX224">
        <f t="shared" si="190"/>
        <v>0</v>
      </c>
      <c r="AY224">
        <f t="shared" si="191"/>
        <v>0</v>
      </c>
    </row>
    <row r="225" spans="1:51" x14ac:dyDescent="0.35">
      <c r="A225">
        <v>219</v>
      </c>
      <c r="C225">
        <f>MAX(0,Calc!$C$7-SUM(D225:R225))</f>
        <v>750</v>
      </c>
      <c r="D225">
        <f t="shared" si="145"/>
        <v>0</v>
      </c>
      <c r="E225">
        <f t="shared" si="146"/>
        <v>0</v>
      </c>
      <c r="F225">
        <f t="shared" si="147"/>
        <v>0</v>
      </c>
      <c r="G225">
        <f t="shared" si="148"/>
        <v>0</v>
      </c>
      <c r="H225">
        <f t="shared" si="149"/>
        <v>0</v>
      </c>
      <c r="I225">
        <f t="shared" si="150"/>
        <v>0</v>
      </c>
      <c r="J225">
        <f t="shared" si="151"/>
        <v>0</v>
      </c>
      <c r="K225">
        <f t="shared" si="152"/>
        <v>0</v>
      </c>
      <c r="L225">
        <f t="shared" si="153"/>
        <v>0</v>
      </c>
      <c r="M225">
        <f t="shared" si="154"/>
        <v>0</v>
      </c>
      <c r="N225">
        <f t="shared" si="155"/>
        <v>0</v>
      </c>
      <c r="O225">
        <f t="shared" si="156"/>
        <v>0</v>
      </c>
      <c r="P225">
        <f t="shared" si="157"/>
        <v>0</v>
      </c>
      <c r="Q225">
        <f t="shared" si="158"/>
        <v>0</v>
      </c>
      <c r="R225">
        <f t="shared" si="159"/>
        <v>0</v>
      </c>
      <c r="S225">
        <f t="shared" si="160"/>
        <v>0</v>
      </c>
      <c r="T225">
        <f t="shared" si="161"/>
        <v>0</v>
      </c>
      <c r="U225">
        <f t="shared" si="162"/>
        <v>0</v>
      </c>
      <c r="V225">
        <f t="shared" si="163"/>
        <v>0</v>
      </c>
      <c r="W225">
        <f t="shared" si="164"/>
        <v>0</v>
      </c>
      <c r="X225">
        <f t="shared" si="165"/>
        <v>0</v>
      </c>
      <c r="Y225">
        <f t="shared" si="166"/>
        <v>0</v>
      </c>
      <c r="Z225">
        <f t="shared" si="167"/>
        <v>0</v>
      </c>
      <c r="AA225">
        <f t="shared" si="168"/>
        <v>0</v>
      </c>
      <c r="AB225">
        <f t="shared" si="169"/>
        <v>0</v>
      </c>
      <c r="AC225">
        <f t="shared" si="170"/>
        <v>0</v>
      </c>
      <c r="AD225">
        <f t="shared" si="171"/>
        <v>0</v>
      </c>
      <c r="AE225">
        <f t="shared" si="172"/>
        <v>0</v>
      </c>
      <c r="AF225">
        <f t="shared" si="173"/>
        <v>0</v>
      </c>
      <c r="AG225">
        <f t="shared" si="174"/>
        <v>0</v>
      </c>
      <c r="AH225">
        <f t="shared" si="175"/>
        <v>0</v>
      </c>
      <c r="AI225">
        <f t="shared" si="176"/>
        <v>0</v>
      </c>
      <c r="AJ225">
        <f t="shared" si="177"/>
        <v>0</v>
      </c>
      <c r="AK225">
        <f t="shared" si="178"/>
        <v>0</v>
      </c>
      <c r="AL225">
        <f t="shared" si="179"/>
        <v>0</v>
      </c>
      <c r="AM225">
        <f t="shared" si="180"/>
        <v>0</v>
      </c>
      <c r="AN225">
        <f t="shared" si="181"/>
        <v>0</v>
      </c>
      <c r="AO225">
        <f t="shared" si="182"/>
        <v>0</v>
      </c>
      <c r="AP225">
        <f t="shared" si="183"/>
        <v>0</v>
      </c>
      <c r="AQ225">
        <f t="shared" si="184"/>
        <v>0</v>
      </c>
      <c r="AR225">
        <f t="shared" si="185"/>
        <v>0</v>
      </c>
      <c r="AS225">
        <f t="shared" si="186"/>
        <v>0</v>
      </c>
      <c r="AT225">
        <f t="shared" si="187"/>
        <v>0</v>
      </c>
      <c r="AU225">
        <f t="shared" si="188"/>
        <v>0</v>
      </c>
      <c r="AV225">
        <f t="shared" si="189"/>
        <v>0</v>
      </c>
      <c r="AW225">
        <f t="shared" si="144"/>
        <v>0</v>
      </c>
      <c r="AX225">
        <f t="shared" si="190"/>
        <v>0</v>
      </c>
      <c r="AY225">
        <f t="shared" si="191"/>
        <v>0</v>
      </c>
    </row>
    <row r="226" spans="1:51" x14ac:dyDescent="0.35">
      <c r="A226">
        <v>220</v>
      </c>
      <c r="C226">
        <f>MAX(0,Calc!$C$7-SUM(D226:R226))</f>
        <v>750</v>
      </c>
      <c r="D226">
        <f t="shared" si="145"/>
        <v>0</v>
      </c>
      <c r="E226">
        <f t="shared" si="146"/>
        <v>0</v>
      </c>
      <c r="F226">
        <f t="shared" si="147"/>
        <v>0</v>
      </c>
      <c r="G226">
        <f t="shared" si="148"/>
        <v>0</v>
      </c>
      <c r="H226">
        <f t="shared" si="149"/>
        <v>0</v>
      </c>
      <c r="I226">
        <f t="shared" si="150"/>
        <v>0</v>
      </c>
      <c r="J226">
        <f t="shared" si="151"/>
        <v>0</v>
      </c>
      <c r="K226">
        <f t="shared" si="152"/>
        <v>0</v>
      </c>
      <c r="L226">
        <f t="shared" si="153"/>
        <v>0</v>
      </c>
      <c r="M226">
        <f t="shared" si="154"/>
        <v>0</v>
      </c>
      <c r="N226">
        <f t="shared" si="155"/>
        <v>0</v>
      </c>
      <c r="O226">
        <f t="shared" si="156"/>
        <v>0</v>
      </c>
      <c r="P226">
        <f t="shared" si="157"/>
        <v>0</v>
      </c>
      <c r="Q226">
        <f t="shared" si="158"/>
        <v>0</v>
      </c>
      <c r="R226">
        <f t="shared" si="159"/>
        <v>0</v>
      </c>
      <c r="S226">
        <f t="shared" si="160"/>
        <v>0</v>
      </c>
      <c r="T226">
        <f t="shared" si="161"/>
        <v>0</v>
      </c>
      <c r="U226">
        <f t="shared" si="162"/>
        <v>0</v>
      </c>
      <c r="V226">
        <f t="shared" si="163"/>
        <v>0</v>
      </c>
      <c r="W226">
        <f t="shared" si="164"/>
        <v>0</v>
      </c>
      <c r="X226">
        <f t="shared" si="165"/>
        <v>0</v>
      </c>
      <c r="Y226">
        <f t="shared" si="166"/>
        <v>0</v>
      </c>
      <c r="Z226">
        <f t="shared" si="167"/>
        <v>0</v>
      </c>
      <c r="AA226">
        <f t="shared" si="168"/>
        <v>0</v>
      </c>
      <c r="AB226">
        <f t="shared" si="169"/>
        <v>0</v>
      </c>
      <c r="AC226">
        <f t="shared" si="170"/>
        <v>0</v>
      </c>
      <c r="AD226">
        <f t="shared" si="171"/>
        <v>0</v>
      </c>
      <c r="AE226">
        <f t="shared" si="172"/>
        <v>0</v>
      </c>
      <c r="AF226">
        <f t="shared" si="173"/>
        <v>0</v>
      </c>
      <c r="AG226">
        <f t="shared" si="174"/>
        <v>0</v>
      </c>
      <c r="AH226">
        <f t="shared" si="175"/>
        <v>0</v>
      </c>
      <c r="AI226">
        <f t="shared" si="176"/>
        <v>0</v>
      </c>
      <c r="AJ226">
        <f t="shared" si="177"/>
        <v>0</v>
      </c>
      <c r="AK226">
        <f t="shared" si="178"/>
        <v>0</v>
      </c>
      <c r="AL226">
        <f t="shared" si="179"/>
        <v>0</v>
      </c>
      <c r="AM226">
        <f t="shared" si="180"/>
        <v>0</v>
      </c>
      <c r="AN226">
        <f t="shared" si="181"/>
        <v>0</v>
      </c>
      <c r="AO226">
        <f t="shared" si="182"/>
        <v>0</v>
      </c>
      <c r="AP226">
        <f t="shared" si="183"/>
        <v>0</v>
      </c>
      <c r="AQ226">
        <f t="shared" si="184"/>
        <v>0</v>
      </c>
      <c r="AR226">
        <f t="shared" si="185"/>
        <v>0</v>
      </c>
      <c r="AS226">
        <f t="shared" si="186"/>
        <v>0</v>
      </c>
      <c r="AT226">
        <f t="shared" si="187"/>
        <v>0</v>
      </c>
      <c r="AU226">
        <f t="shared" si="188"/>
        <v>0</v>
      </c>
      <c r="AV226">
        <f t="shared" si="189"/>
        <v>0</v>
      </c>
      <c r="AW226">
        <f t="shared" si="144"/>
        <v>0</v>
      </c>
      <c r="AX226">
        <f t="shared" si="190"/>
        <v>0</v>
      </c>
      <c r="AY226">
        <f t="shared" si="191"/>
        <v>0</v>
      </c>
    </row>
    <row r="227" spans="1:51" x14ac:dyDescent="0.35">
      <c r="A227">
        <v>221</v>
      </c>
      <c r="C227">
        <f>MAX(0,Calc!$C$7-SUM(D227:R227))</f>
        <v>750</v>
      </c>
      <c r="D227">
        <f t="shared" si="145"/>
        <v>0</v>
      </c>
      <c r="E227">
        <f t="shared" si="146"/>
        <v>0</v>
      </c>
      <c r="F227">
        <f t="shared" si="147"/>
        <v>0</v>
      </c>
      <c r="G227">
        <f t="shared" si="148"/>
        <v>0</v>
      </c>
      <c r="H227">
        <f t="shared" si="149"/>
        <v>0</v>
      </c>
      <c r="I227">
        <f t="shared" si="150"/>
        <v>0</v>
      </c>
      <c r="J227">
        <f t="shared" si="151"/>
        <v>0</v>
      </c>
      <c r="K227">
        <f t="shared" si="152"/>
        <v>0</v>
      </c>
      <c r="L227">
        <f t="shared" si="153"/>
        <v>0</v>
      </c>
      <c r="M227">
        <f t="shared" si="154"/>
        <v>0</v>
      </c>
      <c r="N227">
        <f t="shared" si="155"/>
        <v>0</v>
      </c>
      <c r="O227">
        <f t="shared" si="156"/>
        <v>0</v>
      </c>
      <c r="P227">
        <f t="shared" si="157"/>
        <v>0</v>
      </c>
      <c r="Q227">
        <f t="shared" si="158"/>
        <v>0</v>
      </c>
      <c r="R227">
        <f t="shared" si="159"/>
        <v>0</v>
      </c>
      <c r="S227">
        <f t="shared" si="160"/>
        <v>0</v>
      </c>
      <c r="T227">
        <f t="shared" si="161"/>
        <v>0</v>
      </c>
      <c r="U227">
        <f t="shared" si="162"/>
        <v>0</v>
      </c>
      <c r="V227">
        <f t="shared" si="163"/>
        <v>0</v>
      </c>
      <c r="W227">
        <f t="shared" si="164"/>
        <v>0</v>
      </c>
      <c r="X227">
        <f t="shared" si="165"/>
        <v>0</v>
      </c>
      <c r="Y227">
        <f t="shared" si="166"/>
        <v>0</v>
      </c>
      <c r="Z227">
        <f t="shared" si="167"/>
        <v>0</v>
      </c>
      <c r="AA227">
        <f t="shared" si="168"/>
        <v>0</v>
      </c>
      <c r="AB227">
        <f t="shared" si="169"/>
        <v>0</v>
      </c>
      <c r="AC227">
        <f t="shared" si="170"/>
        <v>0</v>
      </c>
      <c r="AD227">
        <f t="shared" si="171"/>
        <v>0</v>
      </c>
      <c r="AE227">
        <f t="shared" si="172"/>
        <v>0</v>
      </c>
      <c r="AF227">
        <f t="shared" si="173"/>
        <v>0</v>
      </c>
      <c r="AG227">
        <f t="shared" si="174"/>
        <v>0</v>
      </c>
      <c r="AH227">
        <f t="shared" si="175"/>
        <v>0</v>
      </c>
      <c r="AI227">
        <f t="shared" si="176"/>
        <v>0</v>
      </c>
      <c r="AJ227">
        <f t="shared" si="177"/>
        <v>0</v>
      </c>
      <c r="AK227">
        <f t="shared" si="178"/>
        <v>0</v>
      </c>
      <c r="AL227">
        <f t="shared" si="179"/>
        <v>0</v>
      </c>
      <c r="AM227">
        <f t="shared" si="180"/>
        <v>0</v>
      </c>
      <c r="AN227">
        <f t="shared" si="181"/>
        <v>0</v>
      </c>
      <c r="AO227">
        <f t="shared" si="182"/>
        <v>0</v>
      </c>
      <c r="AP227">
        <f t="shared" si="183"/>
        <v>0</v>
      </c>
      <c r="AQ227">
        <f t="shared" si="184"/>
        <v>0</v>
      </c>
      <c r="AR227">
        <f t="shared" si="185"/>
        <v>0</v>
      </c>
      <c r="AS227">
        <f t="shared" si="186"/>
        <v>0</v>
      </c>
      <c r="AT227">
        <f t="shared" si="187"/>
        <v>0</v>
      </c>
      <c r="AU227">
        <f t="shared" si="188"/>
        <v>0</v>
      </c>
      <c r="AV227">
        <f t="shared" si="189"/>
        <v>0</v>
      </c>
      <c r="AW227">
        <f t="shared" si="144"/>
        <v>0</v>
      </c>
      <c r="AX227">
        <f t="shared" si="190"/>
        <v>0</v>
      </c>
      <c r="AY227">
        <f t="shared" si="191"/>
        <v>0</v>
      </c>
    </row>
    <row r="228" spans="1:51" x14ac:dyDescent="0.35">
      <c r="A228">
        <v>222</v>
      </c>
      <c r="C228">
        <f>MAX(0,Calc!$C$7-SUM(D228:R228))</f>
        <v>750</v>
      </c>
      <c r="D228">
        <f t="shared" si="145"/>
        <v>0</v>
      </c>
      <c r="E228">
        <f t="shared" si="146"/>
        <v>0</v>
      </c>
      <c r="F228">
        <f t="shared" si="147"/>
        <v>0</v>
      </c>
      <c r="G228">
        <f t="shared" si="148"/>
        <v>0</v>
      </c>
      <c r="H228">
        <f t="shared" si="149"/>
        <v>0</v>
      </c>
      <c r="I228">
        <f t="shared" si="150"/>
        <v>0</v>
      </c>
      <c r="J228">
        <f t="shared" si="151"/>
        <v>0</v>
      </c>
      <c r="K228">
        <f t="shared" si="152"/>
        <v>0</v>
      </c>
      <c r="L228">
        <f t="shared" si="153"/>
        <v>0</v>
      </c>
      <c r="M228">
        <f t="shared" si="154"/>
        <v>0</v>
      </c>
      <c r="N228">
        <f t="shared" si="155"/>
        <v>0</v>
      </c>
      <c r="O228">
        <f t="shared" si="156"/>
        <v>0</v>
      </c>
      <c r="P228">
        <f t="shared" si="157"/>
        <v>0</v>
      </c>
      <c r="Q228">
        <f t="shared" si="158"/>
        <v>0</v>
      </c>
      <c r="R228">
        <f t="shared" si="159"/>
        <v>0</v>
      </c>
      <c r="S228">
        <f t="shared" si="160"/>
        <v>0</v>
      </c>
      <c r="T228">
        <f t="shared" si="161"/>
        <v>0</v>
      </c>
      <c r="U228">
        <f t="shared" si="162"/>
        <v>0</v>
      </c>
      <c r="V228">
        <f t="shared" si="163"/>
        <v>0</v>
      </c>
      <c r="W228">
        <f t="shared" si="164"/>
        <v>0</v>
      </c>
      <c r="X228">
        <f t="shared" si="165"/>
        <v>0</v>
      </c>
      <c r="Y228">
        <f t="shared" si="166"/>
        <v>0</v>
      </c>
      <c r="Z228">
        <f t="shared" si="167"/>
        <v>0</v>
      </c>
      <c r="AA228">
        <f t="shared" si="168"/>
        <v>0</v>
      </c>
      <c r="AB228">
        <f t="shared" si="169"/>
        <v>0</v>
      </c>
      <c r="AC228">
        <f t="shared" si="170"/>
        <v>0</v>
      </c>
      <c r="AD228">
        <f t="shared" si="171"/>
        <v>0</v>
      </c>
      <c r="AE228">
        <f t="shared" si="172"/>
        <v>0</v>
      </c>
      <c r="AF228">
        <f t="shared" si="173"/>
        <v>0</v>
      </c>
      <c r="AG228">
        <f t="shared" si="174"/>
        <v>0</v>
      </c>
      <c r="AH228">
        <f t="shared" si="175"/>
        <v>0</v>
      </c>
      <c r="AI228">
        <f t="shared" si="176"/>
        <v>0</v>
      </c>
      <c r="AJ228">
        <f t="shared" si="177"/>
        <v>0</v>
      </c>
      <c r="AK228">
        <f t="shared" si="178"/>
        <v>0</v>
      </c>
      <c r="AL228">
        <f t="shared" si="179"/>
        <v>0</v>
      </c>
      <c r="AM228">
        <f t="shared" si="180"/>
        <v>0</v>
      </c>
      <c r="AN228">
        <f t="shared" si="181"/>
        <v>0</v>
      </c>
      <c r="AO228">
        <f t="shared" si="182"/>
        <v>0</v>
      </c>
      <c r="AP228">
        <f t="shared" si="183"/>
        <v>0</v>
      </c>
      <c r="AQ228">
        <f t="shared" si="184"/>
        <v>0</v>
      </c>
      <c r="AR228">
        <f t="shared" si="185"/>
        <v>0</v>
      </c>
      <c r="AS228">
        <f t="shared" si="186"/>
        <v>0</v>
      </c>
      <c r="AT228">
        <f t="shared" si="187"/>
        <v>0</v>
      </c>
      <c r="AU228">
        <f t="shared" si="188"/>
        <v>0</v>
      </c>
      <c r="AV228">
        <f t="shared" si="189"/>
        <v>0</v>
      </c>
      <c r="AW228">
        <f t="shared" si="144"/>
        <v>0</v>
      </c>
      <c r="AX228">
        <f t="shared" si="190"/>
        <v>0</v>
      </c>
      <c r="AY228">
        <f t="shared" si="191"/>
        <v>0</v>
      </c>
    </row>
    <row r="229" spans="1:51" x14ac:dyDescent="0.35">
      <c r="A229">
        <v>223</v>
      </c>
      <c r="C229">
        <f>MAX(0,Calc!$C$7-SUM(D229:R229))</f>
        <v>750</v>
      </c>
      <c r="D229">
        <f t="shared" si="145"/>
        <v>0</v>
      </c>
      <c r="E229">
        <f t="shared" si="146"/>
        <v>0</v>
      </c>
      <c r="F229">
        <f t="shared" si="147"/>
        <v>0</v>
      </c>
      <c r="G229">
        <f t="shared" si="148"/>
        <v>0</v>
      </c>
      <c r="H229">
        <f t="shared" si="149"/>
        <v>0</v>
      </c>
      <c r="I229">
        <f t="shared" si="150"/>
        <v>0</v>
      </c>
      <c r="J229">
        <f t="shared" si="151"/>
        <v>0</v>
      </c>
      <c r="K229">
        <f t="shared" si="152"/>
        <v>0</v>
      </c>
      <c r="L229">
        <f t="shared" si="153"/>
        <v>0</v>
      </c>
      <c r="M229">
        <f t="shared" si="154"/>
        <v>0</v>
      </c>
      <c r="N229">
        <f t="shared" si="155"/>
        <v>0</v>
      </c>
      <c r="O229">
        <f t="shared" si="156"/>
        <v>0</v>
      </c>
      <c r="P229">
        <f t="shared" si="157"/>
        <v>0</v>
      </c>
      <c r="Q229">
        <f t="shared" si="158"/>
        <v>0</v>
      </c>
      <c r="R229">
        <f t="shared" si="159"/>
        <v>0</v>
      </c>
      <c r="S229">
        <f t="shared" si="160"/>
        <v>0</v>
      </c>
      <c r="T229">
        <f t="shared" si="161"/>
        <v>0</v>
      </c>
      <c r="U229">
        <f t="shared" si="162"/>
        <v>0</v>
      </c>
      <c r="V229">
        <f t="shared" si="163"/>
        <v>0</v>
      </c>
      <c r="W229">
        <f t="shared" si="164"/>
        <v>0</v>
      </c>
      <c r="X229">
        <f t="shared" si="165"/>
        <v>0</v>
      </c>
      <c r="Y229">
        <f t="shared" si="166"/>
        <v>0</v>
      </c>
      <c r="Z229">
        <f t="shared" si="167"/>
        <v>0</v>
      </c>
      <c r="AA229">
        <f t="shared" si="168"/>
        <v>0</v>
      </c>
      <c r="AB229">
        <f t="shared" si="169"/>
        <v>0</v>
      </c>
      <c r="AC229">
        <f t="shared" si="170"/>
        <v>0</v>
      </c>
      <c r="AD229">
        <f t="shared" si="171"/>
        <v>0</v>
      </c>
      <c r="AE229">
        <f t="shared" si="172"/>
        <v>0</v>
      </c>
      <c r="AF229">
        <f t="shared" si="173"/>
        <v>0</v>
      </c>
      <c r="AG229">
        <f t="shared" si="174"/>
        <v>0</v>
      </c>
      <c r="AH229">
        <f t="shared" si="175"/>
        <v>0</v>
      </c>
      <c r="AI229">
        <f t="shared" si="176"/>
        <v>0</v>
      </c>
      <c r="AJ229">
        <f t="shared" si="177"/>
        <v>0</v>
      </c>
      <c r="AK229">
        <f t="shared" si="178"/>
        <v>0</v>
      </c>
      <c r="AL229">
        <f t="shared" si="179"/>
        <v>0</v>
      </c>
      <c r="AM229">
        <f t="shared" si="180"/>
        <v>0</v>
      </c>
      <c r="AN229">
        <f t="shared" si="181"/>
        <v>0</v>
      </c>
      <c r="AO229">
        <f t="shared" si="182"/>
        <v>0</v>
      </c>
      <c r="AP229">
        <f t="shared" si="183"/>
        <v>0</v>
      </c>
      <c r="AQ229">
        <f t="shared" si="184"/>
        <v>0</v>
      </c>
      <c r="AR229">
        <f t="shared" si="185"/>
        <v>0</v>
      </c>
      <c r="AS229">
        <f t="shared" si="186"/>
        <v>0</v>
      </c>
      <c r="AT229">
        <f t="shared" si="187"/>
        <v>0</v>
      </c>
      <c r="AU229">
        <f t="shared" si="188"/>
        <v>0</v>
      </c>
      <c r="AV229">
        <f t="shared" si="189"/>
        <v>0</v>
      </c>
      <c r="AW229">
        <f t="shared" si="144"/>
        <v>0</v>
      </c>
      <c r="AX229">
        <f t="shared" si="190"/>
        <v>0</v>
      </c>
      <c r="AY229">
        <f t="shared" si="191"/>
        <v>0</v>
      </c>
    </row>
    <row r="230" spans="1:51" x14ac:dyDescent="0.35">
      <c r="A230">
        <v>224</v>
      </c>
      <c r="C230">
        <f>MAX(0,Calc!$C$7-SUM(D230:R230))</f>
        <v>750</v>
      </c>
      <c r="D230">
        <f t="shared" si="145"/>
        <v>0</v>
      </c>
      <c r="E230">
        <f t="shared" si="146"/>
        <v>0</v>
      </c>
      <c r="F230">
        <f t="shared" si="147"/>
        <v>0</v>
      </c>
      <c r="G230">
        <f t="shared" si="148"/>
        <v>0</v>
      </c>
      <c r="H230">
        <f t="shared" si="149"/>
        <v>0</v>
      </c>
      <c r="I230">
        <f t="shared" si="150"/>
        <v>0</v>
      </c>
      <c r="J230">
        <f t="shared" si="151"/>
        <v>0</v>
      </c>
      <c r="K230">
        <f t="shared" si="152"/>
        <v>0</v>
      </c>
      <c r="L230">
        <f t="shared" si="153"/>
        <v>0</v>
      </c>
      <c r="M230">
        <f t="shared" si="154"/>
        <v>0</v>
      </c>
      <c r="N230">
        <f t="shared" si="155"/>
        <v>0</v>
      </c>
      <c r="O230">
        <f t="shared" si="156"/>
        <v>0</v>
      </c>
      <c r="P230">
        <f t="shared" si="157"/>
        <v>0</v>
      </c>
      <c r="Q230">
        <f t="shared" si="158"/>
        <v>0</v>
      </c>
      <c r="R230">
        <f t="shared" si="159"/>
        <v>0</v>
      </c>
      <c r="S230">
        <f t="shared" si="160"/>
        <v>0</v>
      </c>
      <c r="T230">
        <f t="shared" si="161"/>
        <v>0</v>
      </c>
      <c r="U230">
        <f t="shared" si="162"/>
        <v>0</v>
      </c>
      <c r="V230">
        <f t="shared" si="163"/>
        <v>0</v>
      </c>
      <c r="W230">
        <f t="shared" si="164"/>
        <v>0</v>
      </c>
      <c r="X230">
        <f t="shared" si="165"/>
        <v>0</v>
      </c>
      <c r="Y230">
        <f t="shared" si="166"/>
        <v>0</v>
      </c>
      <c r="Z230">
        <f t="shared" si="167"/>
        <v>0</v>
      </c>
      <c r="AA230">
        <f t="shared" si="168"/>
        <v>0</v>
      </c>
      <c r="AB230">
        <f t="shared" si="169"/>
        <v>0</v>
      </c>
      <c r="AC230">
        <f t="shared" si="170"/>
        <v>0</v>
      </c>
      <c r="AD230">
        <f t="shared" si="171"/>
        <v>0</v>
      </c>
      <c r="AE230">
        <f t="shared" si="172"/>
        <v>0</v>
      </c>
      <c r="AF230">
        <f t="shared" si="173"/>
        <v>0</v>
      </c>
      <c r="AG230">
        <f t="shared" si="174"/>
        <v>0</v>
      </c>
      <c r="AH230">
        <f t="shared" si="175"/>
        <v>0</v>
      </c>
      <c r="AI230">
        <f t="shared" si="176"/>
        <v>0</v>
      </c>
      <c r="AJ230">
        <f t="shared" si="177"/>
        <v>0</v>
      </c>
      <c r="AK230">
        <f t="shared" si="178"/>
        <v>0</v>
      </c>
      <c r="AL230">
        <f t="shared" si="179"/>
        <v>0</v>
      </c>
      <c r="AM230">
        <f t="shared" si="180"/>
        <v>0</v>
      </c>
      <c r="AN230">
        <f t="shared" si="181"/>
        <v>0</v>
      </c>
      <c r="AO230">
        <f t="shared" si="182"/>
        <v>0</v>
      </c>
      <c r="AP230">
        <f t="shared" si="183"/>
        <v>0</v>
      </c>
      <c r="AQ230">
        <f t="shared" si="184"/>
        <v>0</v>
      </c>
      <c r="AR230">
        <f t="shared" si="185"/>
        <v>0</v>
      </c>
      <c r="AS230">
        <f t="shared" si="186"/>
        <v>0</v>
      </c>
      <c r="AT230">
        <f t="shared" si="187"/>
        <v>0</v>
      </c>
      <c r="AU230">
        <f t="shared" si="188"/>
        <v>0</v>
      </c>
      <c r="AV230">
        <f t="shared" si="189"/>
        <v>0</v>
      </c>
      <c r="AW230">
        <f t="shared" si="144"/>
        <v>0</v>
      </c>
      <c r="AX230">
        <f t="shared" si="190"/>
        <v>0</v>
      </c>
      <c r="AY230">
        <f t="shared" si="191"/>
        <v>0</v>
      </c>
    </row>
    <row r="231" spans="1:51" x14ac:dyDescent="0.35">
      <c r="A231">
        <v>225</v>
      </c>
      <c r="C231">
        <f>MAX(0,Calc!$C$7-SUM(D231:R231))</f>
        <v>750</v>
      </c>
      <c r="D231">
        <f t="shared" si="145"/>
        <v>0</v>
      </c>
      <c r="E231">
        <f t="shared" si="146"/>
        <v>0</v>
      </c>
      <c r="F231">
        <f t="shared" si="147"/>
        <v>0</v>
      </c>
      <c r="G231">
        <f t="shared" si="148"/>
        <v>0</v>
      </c>
      <c r="H231">
        <f t="shared" si="149"/>
        <v>0</v>
      </c>
      <c r="I231">
        <f t="shared" si="150"/>
        <v>0</v>
      </c>
      <c r="J231">
        <f t="shared" si="151"/>
        <v>0</v>
      </c>
      <c r="K231">
        <f t="shared" si="152"/>
        <v>0</v>
      </c>
      <c r="L231">
        <f t="shared" si="153"/>
        <v>0</v>
      </c>
      <c r="M231">
        <f t="shared" si="154"/>
        <v>0</v>
      </c>
      <c r="N231">
        <f t="shared" si="155"/>
        <v>0</v>
      </c>
      <c r="O231">
        <f t="shared" si="156"/>
        <v>0</v>
      </c>
      <c r="P231">
        <f t="shared" si="157"/>
        <v>0</v>
      </c>
      <c r="Q231">
        <f t="shared" si="158"/>
        <v>0</v>
      </c>
      <c r="R231">
        <f t="shared" si="159"/>
        <v>0</v>
      </c>
      <c r="S231">
        <f t="shared" si="160"/>
        <v>0</v>
      </c>
      <c r="T231">
        <f t="shared" si="161"/>
        <v>0</v>
      </c>
      <c r="U231">
        <f t="shared" si="162"/>
        <v>0</v>
      </c>
      <c r="V231">
        <f t="shared" si="163"/>
        <v>0</v>
      </c>
      <c r="W231">
        <f t="shared" si="164"/>
        <v>0</v>
      </c>
      <c r="X231">
        <f t="shared" si="165"/>
        <v>0</v>
      </c>
      <c r="Y231">
        <f t="shared" si="166"/>
        <v>0</v>
      </c>
      <c r="Z231">
        <f t="shared" si="167"/>
        <v>0</v>
      </c>
      <c r="AA231">
        <f t="shared" si="168"/>
        <v>0</v>
      </c>
      <c r="AB231">
        <f t="shared" si="169"/>
        <v>0</v>
      </c>
      <c r="AC231">
        <f t="shared" si="170"/>
        <v>0</v>
      </c>
      <c r="AD231">
        <f t="shared" si="171"/>
        <v>0</v>
      </c>
      <c r="AE231">
        <f t="shared" si="172"/>
        <v>0</v>
      </c>
      <c r="AF231">
        <f t="shared" si="173"/>
        <v>0</v>
      </c>
      <c r="AG231">
        <f t="shared" si="174"/>
        <v>0</v>
      </c>
      <c r="AH231">
        <f t="shared" si="175"/>
        <v>0</v>
      </c>
      <c r="AI231">
        <f t="shared" si="176"/>
        <v>0</v>
      </c>
      <c r="AJ231">
        <f t="shared" si="177"/>
        <v>0</v>
      </c>
      <c r="AK231">
        <f t="shared" si="178"/>
        <v>0</v>
      </c>
      <c r="AL231">
        <f t="shared" si="179"/>
        <v>0</v>
      </c>
      <c r="AM231">
        <f t="shared" si="180"/>
        <v>0</v>
      </c>
      <c r="AN231">
        <f t="shared" si="181"/>
        <v>0</v>
      </c>
      <c r="AO231">
        <f t="shared" si="182"/>
        <v>0</v>
      </c>
      <c r="AP231">
        <f t="shared" si="183"/>
        <v>0</v>
      </c>
      <c r="AQ231">
        <f t="shared" si="184"/>
        <v>0</v>
      </c>
      <c r="AR231">
        <f t="shared" si="185"/>
        <v>0</v>
      </c>
      <c r="AS231">
        <f t="shared" si="186"/>
        <v>0</v>
      </c>
      <c r="AT231">
        <f t="shared" si="187"/>
        <v>0</v>
      </c>
      <c r="AU231">
        <f t="shared" si="188"/>
        <v>0</v>
      </c>
      <c r="AV231">
        <f t="shared" si="189"/>
        <v>0</v>
      </c>
      <c r="AW231">
        <f t="shared" si="144"/>
        <v>0</v>
      </c>
      <c r="AX231">
        <f t="shared" si="190"/>
        <v>0</v>
      </c>
      <c r="AY231">
        <f t="shared" si="191"/>
        <v>0</v>
      </c>
    </row>
    <row r="232" spans="1:51" x14ac:dyDescent="0.35">
      <c r="A232">
        <v>226</v>
      </c>
      <c r="C232">
        <f>MAX(0,Calc!$C$7-SUM(D232:R232))</f>
        <v>750</v>
      </c>
      <c r="D232">
        <f t="shared" si="145"/>
        <v>0</v>
      </c>
      <c r="E232">
        <f t="shared" si="146"/>
        <v>0</v>
      </c>
      <c r="F232">
        <f t="shared" si="147"/>
        <v>0</v>
      </c>
      <c r="G232">
        <f t="shared" si="148"/>
        <v>0</v>
      </c>
      <c r="H232">
        <f t="shared" si="149"/>
        <v>0</v>
      </c>
      <c r="I232">
        <f t="shared" si="150"/>
        <v>0</v>
      </c>
      <c r="J232">
        <f t="shared" si="151"/>
        <v>0</v>
      </c>
      <c r="K232">
        <f t="shared" si="152"/>
        <v>0</v>
      </c>
      <c r="L232">
        <f t="shared" si="153"/>
        <v>0</v>
      </c>
      <c r="M232">
        <f t="shared" si="154"/>
        <v>0</v>
      </c>
      <c r="N232">
        <f t="shared" si="155"/>
        <v>0</v>
      </c>
      <c r="O232">
        <f t="shared" si="156"/>
        <v>0</v>
      </c>
      <c r="P232">
        <f t="shared" si="157"/>
        <v>0</v>
      </c>
      <c r="Q232">
        <f t="shared" si="158"/>
        <v>0</v>
      </c>
      <c r="R232">
        <f t="shared" si="159"/>
        <v>0</v>
      </c>
      <c r="S232">
        <f t="shared" si="160"/>
        <v>0</v>
      </c>
      <c r="T232">
        <f t="shared" si="161"/>
        <v>0</v>
      </c>
      <c r="U232">
        <f t="shared" si="162"/>
        <v>0</v>
      </c>
      <c r="V232">
        <f t="shared" si="163"/>
        <v>0</v>
      </c>
      <c r="W232">
        <f t="shared" si="164"/>
        <v>0</v>
      </c>
      <c r="X232">
        <f t="shared" si="165"/>
        <v>0</v>
      </c>
      <c r="Y232">
        <f t="shared" si="166"/>
        <v>0</v>
      </c>
      <c r="Z232">
        <f t="shared" si="167"/>
        <v>0</v>
      </c>
      <c r="AA232">
        <f t="shared" si="168"/>
        <v>0</v>
      </c>
      <c r="AB232">
        <f t="shared" si="169"/>
        <v>0</v>
      </c>
      <c r="AC232">
        <f t="shared" si="170"/>
        <v>0</v>
      </c>
      <c r="AD232">
        <f t="shared" si="171"/>
        <v>0</v>
      </c>
      <c r="AE232">
        <f t="shared" si="172"/>
        <v>0</v>
      </c>
      <c r="AF232">
        <f t="shared" si="173"/>
        <v>0</v>
      </c>
      <c r="AG232">
        <f t="shared" si="174"/>
        <v>0</v>
      </c>
      <c r="AH232">
        <f t="shared" si="175"/>
        <v>0</v>
      </c>
      <c r="AI232">
        <f t="shared" si="176"/>
        <v>0</v>
      </c>
      <c r="AJ232">
        <f t="shared" si="177"/>
        <v>0</v>
      </c>
      <c r="AK232">
        <f t="shared" si="178"/>
        <v>0</v>
      </c>
      <c r="AL232">
        <f t="shared" si="179"/>
        <v>0</v>
      </c>
      <c r="AM232">
        <f t="shared" si="180"/>
        <v>0</v>
      </c>
      <c r="AN232">
        <f t="shared" si="181"/>
        <v>0</v>
      </c>
      <c r="AO232">
        <f t="shared" si="182"/>
        <v>0</v>
      </c>
      <c r="AP232">
        <f t="shared" si="183"/>
        <v>0</v>
      </c>
      <c r="AQ232">
        <f t="shared" si="184"/>
        <v>0</v>
      </c>
      <c r="AR232">
        <f t="shared" si="185"/>
        <v>0</v>
      </c>
      <c r="AS232">
        <f t="shared" si="186"/>
        <v>0</v>
      </c>
      <c r="AT232">
        <f t="shared" si="187"/>
        <v>0</v>
      </c>
      <c r="AU232">
        <f t="shared" si="188"/>
        <v>0</v>
      </c>
      <c r="AV232">
        <f t="shared" si="189"/>
        <v>0</v>
      </c>
      <c r="AW232">
        <f t="shared" si="144"/>
        <v>0</v>
      </c>
      <c r="AX232">
        <f t="shared" si="190"/>
        <v>0</v>
      </c>
      <c r="AY232">
        <f t="shared" si="191"/>
        <v>0</v>
      </c>
    </row>
    <row r="233" spans="1:51" x14ac:dyDescent="0.35">
      <c r="A233">
        <v>227</v>
      </c>
      <c r="C233">
        <f>MAX(0,Calc!$C$7-SUM(D233:R233))</f>
        <v>750</v>
      </c>
      <c r="D233">
        <f t="shared" si="145"/>
        <v>0</v>
      </c>
      <c r="E233">
        <f t="shared" si="146"/>
        <v>0</v>
      </c>
      <c r="F233">
        <f t="shared" si="147"/>
        <v>0</v>
      </c>
      <c r="G233">
        <f t="shared" si="148"/>
        <v>0</v>
      </c>
      <c r="H233">
        <f t="shared" si="149"/>
        <v>0</v>
      </c>
      <c r="I233">
        <f t="shared" si="150"/>
        <v>0</v>
      </c>
      <c r="J233">
        <f t="shared" si="151"/>
        <v>0</v>
      </c>
      <c r="K233">
        <f t="shared" si="152"/>
        <v>0</v>
      </c>
      <c r="L233">
        <f t="shared" si="153"/>
        <v>0</v>
      </c>
      <c r="M233">
        <f t="shared" si="154"/>
        <v>0</v>
      </c>
      <c r="N233">
        <f t="shared" si="155"/>
        <v>0</v>
      </c>
      <c r="O233">
        <f t="shared" si="156"/>
        <v>0</v>
      </c>
      <c r="P233">
        <f t="shared" si="157"/>
        <v>0</v>
      </c>
      <c r="Q233">
        <f t="shared" si="158"/>
        <v>0</v>
      </c>
      <c r="R233">
        <f t="shared" si="159"/>
        <v>0</v>
      </c>
      <c r="S233">
        <f t="shared" si="160"/>
        <v>0</v>
      </c>
      <c r="T233">
        <f t="shared" si="161"/>
        <v>0</v>
      </c>
      <c r="U233">
        <f t="shared" si="162"/>
        <v>0</v>
      </c>
      <c r="V233">
        <f t="shared" si="163"/>
        <v>0</v>
      </c>
      <c r="W233">
        <f t="shared" si="164"/>
        <v>0</v>
      </c>
      <c r="X233">
        <f t="shared" si="165"/>
        <v>0</v>
      </c>
      <c r="Y233">
        <f t="shared" si="166"/>
        <v>0</v>
      </c>
      <c r="Z233">
        <f t="shared" si="167"/>
        <v>0</v>
      </c>
      <c r="AA233">
        <f t="shared" si="168"/>
        <v>0</v>
      </c>
      <c r="AB233">
        <f t="shared" si="169"/>
        <v>0</v>
      </c>
      <c r="AC233">
        <f t="shared" si="170"/>
        <v>0</v>
      </c>
      <c r="AD233">
        <f t="shared" si="171"/>
        <v>0</v>
      </c>
      <c r="AE233">
        <f t="shared" si="172"/>
        <v>0</v>
      </c>
      <c r="AF233">
        <f t="shared" si="173"/>
        <v>0</v>
      </c>
      <c r="AG233">
        <f t="shared" si="174"/>
        <v>0</v>
      </c>
      <c r="AH233">
        <f t="shared" si="175"/>
        <v>0</v>
      </c>
      <c r="AI233">
        <f t="shared" si="176"/>
        <v>0</v>
      </c>
      <c r="AJ233">
        <f t="shared" si="177"/>
        <v>0</v>
      </c>
      <c r="AK233">
        <f t="shared" si="178"/>
        <v>0</v>
      </c>
      <c r="AL233">
        <f t="shared" si="179"/>
        <v>0</v>
      </c>
      <c r="AM233">
        <f t="shared" si="180"/>
        <v>0</v>
      </c>
      <c r="AN233">
        <f t="shared" si="181"/>
        <v>0</v>
      </c>
      <c r="AO233">
        <f t="shared" si="182"/>
        <v>0</v>
      </c>
      <c r="AP233">
        <f t="shared" si="183"/>
        <v>0</v>
      </c>
      <c r="AQ233">
        <f t="shared" si="184"/>
        <v>0</v>
      </c>
      <c r="AR233">
        <f t="shared" si="185"/>
        <v>0</v>
      </c>
      <c r="AS233">
        <f t="shared" si="186"/>
        <v>0</v>
      </c>
      <c r="AT233">
        <f t="shared" si="187"/>
        <v>0</v>
      </c>
      <c r="AU233">
        <f t="shared" si="188"/>
        <v>0</v>
      </c>
      <c r="AV233">
        <f t="shared" si="189"/>
        <v>0</v>
      </c>
      <c r="AW233">
        <f t="shared" si="144"/>
        <v>0</v>
      </c>
      <c r="AX233">
        <f t="shared" si="190"/>
        <v>0</v>
      </c>
      <c r="AY233">
        <f t="shared" si="191"/>
        <v>0</v>
      </c>
    </row>
    <row r="234" spans="1:51" x14ac:dyDescent="0.35">
      <c r="A234">
        <v>228</v>
      </c>
      <c r="C234">
        <f>MAX(0,Calc!$C$7-SUM(D234:R234))</f>
        <v>750</v>
      </c>
      <c r="D234">
        <f t="shared" si="145"/>
        <v>0</v>
      </c>
      <c r="E234">
        <f t="shared" si="146"/>
        <v>0</v>
      </c>
      <c r="F234">
        <f t="shared" si="147"/>
        <v>0</v>
      </c>
      <c r="G234">
        <f t="shared" si="148"/>
        <v>0</v>
      </c>
      <c r="H234">
        <f t="shared" si="149"/>
        <v>0</v>
      </c>
      <c r="I234">
        <f t="shared" si="150"/>
        <v>0</v>
      </c>
      <c r="J234">
        <f t="shared" si="151"/>
        <v>0</v>
      </c>
      <c r="K234">
        <f t="shared" si="152"/>
        <v>0</v>
      </c>
      <c r="L234">
        <f t="shared" si="153"/>
        <v>0</v>
      </c>
      <c r="M234">
        <f t="shared" si="154"/>
        <v>0</v>
      </c>
      <c r="N234">
        <f t="shared" si="155"/>
        <v>0</v>
      </c>
      <c r="O234">
        <f t="shared" si="156"/>
        <v>0</v>
      </c>
      <c r="P234">
        <f t="shared" si="157"/>
        <v>0</v>
      </c>
      <c r="Q234">
        <f t="shared" si="158"/>
        <v>0</v>
      </c>
      <c r="R234">
        <f t="shared" si="159"/>
        <v>0</v>
      </c>
      <c r="S234">
        <f t="shared" si="160"/>
        <v>0</v>
      </c>
      <c r="T234">
        <f t="shared" si="161"/>
        <v>0</v>
      </c>
      <c r="U234">
        <f t="shared" si="162"/>
        <v>0</v>
      </c>
      <c r="V234">
        <f t="shared" si="163"/>
        <v>0</v>
      </c>
      <c r="W234">
        <f t="shared" si="164"/>
        <v>0</v>
      </c>
      <c r="X234">
        <f t="shared" si="165"/>
        <v>0</v>
      </c>
      <c r="Y234">
        <f t="shared" si="166"/>
        <v>0</v>
      </c>
      <c r="Z234">
        <f t="shared" si="167"/>
        <v>0</v>
      </c>
      <c r="AA234">
        <f t="shared" si="168"/>
        <v>0</v>
      </c>
      <c r="AB234">
        <f t="shared" si="169"/>
        <v>0</v>
      </c>
      <c r="AC234">
        <f t="shared" si="170"/>
        <v>0</v>
      </c>
      <c r="AD234">
        <f t="shared" si="171"/>
        <v>0</v>
      </c>
      <c r="AE234">
        <f t="shared" si="172"/>
        <v>0</v>
      </c>
      <c r="AF234">
        <f t="shared" si="173"/>
        <v>0</v>
      </c>
      <c r="AG234">
        <f t="shared" si="174"/>
        <v>0</v>
      </c>
      <c r="AH234">
        <f t="shared" si="175"/>
        <v>0</v>
      </c>
      <c r="AI234">
        <f t="shared" si="176"/>
        <v>0</v>
      </c>
      <c r="AJ234">
        <f t="shared" si="177"/>
        <v>0</v>
      </c>
      <c r="AK234">
        <f t="shared" si="178"/>
        <v>0</v>
      </c>
      <c r="AL234">
        <f t="shared" si="179"/>
        <v>0</v>
      </c>
      <c r="AM234">
        <f t="shared" si="180"/>
        <v>0</v>
      </c>
      <c r="AN234">
        <f t="shared" si="181"/>
        <v>0</v>
      </c>
      <c r="AO234">
        <f t="shared" si="182"/>
        <v>0</v>
      </c>
      <c r="AP234">
        <f t="shared" si="183"/>
        <v>0</v>
      </c>
      <c r="AQ234">
        <f t="shared" si="184"/>
        <v>0</v>
      </c>
      <c r="AR234">
        <f t="shared" si="185"/>
        <v>0</v>
      </c>
      <c r="AS234">
        <f t="shared" si="186"/>
        <v>0</v>
      </c>
      <c r="AT234">
        <f t="shared" si="187"/>
        <v>0</v>
      </c>
      <c r="AU234">
        <f t="shared" si="188"/>
        <v>0</v>
      </c>
      <c r="AV234">
        <f t="shared" si="189"/>
        <v>0</v>
      </c>
      <c r="AW234">
        <f t="shared" si="144"/>
        <v>0</v>
      </c>
      <c r="AX234">
        <f t="shared" si="190"/>
        <v>0</v>
      </c>
      <c r="AY234">
        <f t="shared" si="191"/>
        <v>0</v>
      </c>
    </row>
    <row r="235" spans="1:51" x14ac:dyDescent="0.35">
      <c r="A235">
        <v>229</v>
      </c>
      <c r="C235">
        <f>MAX(0,Calc!$C$7-SUM(D235:R235))</f>
        <v>750</v>
      </c>
      <c r="D235">
        <f t="shared" si="145"/>
        <v>0</v>
      </c>
      <c r="E235">
        <f t="shared" si="146"/>
        <v>0</v>
      </c>
      <c r="F235">
        <f t="shared" si="147"/>
        <v>0</v>
      </c>
      <c r="G235">
        <f t="shared" si="148"/>
        <v>0</v>
      </c>
      <c r="H235">
        <f t="shared" si="149"/>
        <v>0</v>
      </c>
      <c r="I235">
        <f t="shared" si="150"/>
        <v>0</v>
      </c>
      <c r="J235">
        <f t="shared" si="151"/>
        <v>0</v>
      </c>
      <c r="K235">
        <f t="shared" si="152"/>
        <v>0</v>
      </c>
      <c r="L235">
        <f t="shared" si="153"/>
        <v>0</v>
      </c>
      <c r="M235">
        <f t="shared" si="154"/>
        <v>0</v>
      </c>
      <c r="N235">
        <f t="shared" si="155"/>
        <v>0</v>
      </c>
      <c r="O235">
        <f t="shared" si="156"/>
        <v>0</v>
      </c>
      <c r="P235">
        <f t="shared" si="157"/>
        <v>0</v>
      </c>
      <c r="Q235">
        <f t="shared" si="158"/>
        <v>0</v>
      </c>
      <c r="R235">
        <f t="shared" si="159"/>
        <v>0</v>
      </c>
      <c r="S235">
        <f t="shared" si="160"/>
        <v>0</v>
      </c>
      <c r="T235">
        <f t="shared" si="161"/>
        <v>0</v>
      </c>
      <c r="U235">
        <f t="shared" si="162"/>
        <v>0</v>
      </c>
      <c r="V235">
        <f t="shared" si="163"/>
        <v>0</v>
      </c>
      <c r="W235">
        <f t="shared" si="164"/>
        <v>0</v>
      </c>
      <c r="X235">
        <f t="shared" si="165"/>
        <v>0</v>
      </c>
      <c r="Y235">
        <f t="shared" si="166"/>
        <v>0</v>
      </c>
      <c r="Z235">
        <f t="shared" si="167"/>
        <v>0</v>
      </c>
      <c r="AA235">
        <f t="shared" si="168"/>
        <v>0</v>
      </c>
      <c r="AB235">
        <f t="shared" si="169"/>
        <v>0</v>
      </c>
      <c r="AC235">
        <f t="shared" si="170"/>
        <v>0</v>
      </c>
      <c r="AD235">
        <f t="shared" si="171"/>
        <v>0</v>
      </c>
      <c r="AE235">
        <f t="shared" si="172"/>
        <v>0</v>
      </c>
      <c r="AF235">
        <f t="shared" si="173"/>
        <v>0</v>
      </c>
      <c r="AG235">
        <f t="shared" si="174"/>
        <v>0</v>
      </c>
      <c r="AH235">
        <f t="shared" si="175"/>
        <v>0</v>
      </c>
      <c r="AI235">
        <f t="shared" si="176"/>
        <v>0</v>
      </c>
      <c r="AJ235">
        <f t="shared" si="177"/>
        <v>0</v>
      </c>
      <c r="AK235">
        <f t="shared" si="178"/>
        <v>0</v>
      </c>
      <c r="AL235">
        <f t="shared" si="179"/>
        <v>0</v>
      </c>
      <c r="AM235">
        <f t="shared" si="180"/>
        <v>0</v>
      </c>
      <c r="AN235">
        <f t="shared" si="181"/>
        <v>0</v>
      </c>
      <c r="AO235">
        <f t="shared" si="182"/>
        <v>0</v>
      </c>
      <c r="AP235">
        <f t="shared" si="183"/>
        <v>0</v>
      </c>
      <c r="AQ235">
        <f t="shared" si="184"/>
        <v>0</v>
      </c>
      <c r="AR235">
        <f t="shared" si="185"/>
        <v>0</v>
      </c>
      <c r="AS235">
        <f t="shared" si="186"/>
        <v>0</v>
      </c>
      <c r="AT235">
        <f t="shared" si="187"/>
        <v>0</v>
      </c>
      <c r="AU235">
        <f t="shared" si="188"/>
        <v>0</v>
      </c>
      <c r="AV235">
        <f t="shared" si="189"/>
        <v>0</v>
      </c>
      <c r="AW235">
        <f t="shared" si="144"/>
        <v>0</v>
      </c>
      <c r="AX235">
        <f t="shared" si="190"/>
        <v>0</v>
      </c>
      <c r="AY235">
        <f t="shared" si="191"/>
        <v>0</v>
      </c>
    </row>
    <row r="236" spans="1:51" x14ac:dyDescent="0.35">
      <c r="A236">
        <v>230</v>
      </c>
      <c r="C236">
        <f>MAX(0,Calc!$C$7-SUM(D236:R236))</f>
        <v>750</v>
      </c>
      <c r="D236">
        <f t="shared" si="145"/>
        <v>0</v>
      </c>
      <c r="E236">
        <f t="shared" si="146"/>
        <v>0</v>
      </c>
      <c r="F236">
        <f t="shared" si="147"/>
        <v>0</v>
      </c>
      <c r="G236">
        <f t="shared" si="148"/>
        <v>0</v>
      </c>
      <c r="H236">
        <f t="shared" si="149"/>
        <v>0</v>
      </c>
      <c r="I236">
        <f t="shared" si="150"/>
        <v>0</v>
      </c>
      <c r="J236">
        <f t="shared" si="151"/>
        <v>0</v>
      </c>
      <c r="K236">
        <f t="shared" si="152"/>
        <v>0</v>
      </c>
      <c r="L236">
        <f t="shared" si="153"/>
        <v>0</v>
      </c>
      <c r="M236">
        <f t="shared" si="154"/>
        <v>0</v>
      </c>
      <c r="N236">
        <f t="shared" si="155"/>
        <v>0</v>
      </c>
      <c r="O236">
        <f t="shared" si="156"/>
        <v>0</v>
      </c>
      <c r="P236">
        <f t="shared" si="157"/>
        <v>0</v>
      </c>
      <c r="Q236">
        <f t="shared" si="158"/>
        <v>0</v>
      </c>
      <c r="R236">
        <f t="shared" si="159"/>
        <v>0</v>
      </c>
      <c r="S236">
        <f t="shared" si="160"/>
        <v>0</v>
      </c>
      <c r="T236">
        <f t="shared" si="161"/>
        <v>0</v>
      </c>
      <c r="U236">
        <f t="shared" si="162"/>
        <v>0</v>
      </c>
      <c r="V236">
        <f t="shared" si="163"/>
        <v>0</v>
      </c>
      <c r="W236">
        <f t="shared" si="164"/>
        <v>0</v>
      </c>
      <c r="X236">
        <f t="shared" si="165"/>
        <v>0</v>
      </c>
      <c r="Y236">
        <f t="shared" si="166"/>
        <v>0</v>
      </c>
      <c r="Z236">
        <f t="shared" si="167"/>
        <v>0</v>
      </c>
      <c r="AA236">
        <f t="shared" si="168"/>
        <v>0</v>
      </c>
      <c r="AB236">
        <f t="shared" si="169"/>
        <v>0</v>
      </c>
      <c r="AC236">
        <f t="shared" si="170"/>
        <v>0</v>
      </c>
      <c r="AD236">
        <f t="shared" si="171"/>
        <v>0</v>
      </c>
      <c r="AE236">
        <f t="shared" si="172"/>
        <v>0</v>
      </c>
      <c r="AF236">
        <f t="shared" si="173"/>
        <v>0</v>
      </c>
      <c r="AG236">
        <f t="shared" si="174"/>
        <v>0</v>
      </c>
      <c r="AH236">
        <f t="shared" si="175"/>
        <v>0</v>
      </c>
      <c r="AI236">
        <f t="shared" si="176"/>
        <v>0</v>
      </c>
      <c r="AJ236">
        <f t="shared" si="177"/>
        <v>0</v>
      </c>
      <c r="AK236">
        <f t="shared" si="178"/>
        <v>0</v>
      </c>
      <c r="AL236">
        <f t="shared" si="179"/>
        <v>0</v>
      </c>
      <c r="AM236">
        <f t="shared" si="180"/>
        <v>0</v>
      </c>
      <c r="AN236">
        <f t="shared" si="181"/>
        <v>0</v>
      </c>
      <c r="AO236">
        <f t="shared" si="182"/>
        <v>0</v>
      </c>
      <c r="AP236">
        <f t="shared" si="183"/>
        <v>0</v>
      </c>
      <c r="AQ236">
        <f t="shared" si="184"/>
        <v>0</v>
      </c>
      <c r="AR236">
        <f t="shared" si="185"/>
        <v>0</v>
      </c>
      <c r="AS236">
        <f t="shared" si="186"/>
        <v>0</v>
      </c>
      <c r="AT236">
        <f t="shared" si="187"/>
        <v>0</v>
      </c>
      <c r="AU236">
        <f t="shared" si="188"/>
        <v>0</v>
      </c>
      <c r="AV236">
        <f t="shared" si="189"/>
        <v>0</v>
      </c>
      <c r="AW236">
        <f t="shared" si="144"/>
        <v>0</v>
      </c>
      <c r="AX236">
        <f t="shared" si="190"/>
        <v>0</v>
      </c>
      <c r="AY236">
        <f t="shared" si="191"/>
        <v>0</v>
      </c>
    </row>
    <row r="237" spans="1:51" x14ac:dyDescent="0.35">
      <c r="A237">
        <v>231</v>
      </c>
      <c r="C237">
        <f>MAX(0,Calc!$C$7-SUM(D237:R237))</f>
        <v>750</v>
      </c>
      <c r="D237">
        <f t="shared" si="145"/>
        <v>0</v>
      </c>
      <c r="E237">
        <f t="shared" si="146"/>
        <v>0</v>
      </c>
      <c r="F237">
        <f t="shared" si="147"/>
        <v>0</v>
      </c>
      <c r="G237">
        <f t="shared" si="148"/>
        <v>0</v>
      </c>
      <c r="H237">
        <f t="shared" si="149"/>
        <v>0</v>
      </c>
      <c r="I237">
        <f t="shared" si="150"/>
        <v>0</v>
      </c>
      <c r="J237">
        <f t="shared" si="151"/>
        <v>0</v>
      </c>
      <c r="K237">
        <f t="shared" si="152"/>
        <v>0</v>
      </c>
      <c r="L237">
        <f t="shared" si="153"/>
        <v>0</v>
      </c>
      <c r="M237">
        <f t="shared" si="154"/>
        <v>0</v>
      </c>
      <c r="N237">
        <f t="shared" si="155"/>
        <v>0</v>
      </c>
      <c r="O237">
        <f t="shared" si="156"/>
        <v>0</v>
      </c>
      <c r="P237">
        <f t="shared" si="157"/>
        <v>0</v>
      </c>
      <c r="Q237">
        <f t="shared" si="158"/>
        <v>0</v>
      </c>
      <c r="R237">
        <f t="shared" si="159"/>
        <v>0</v>
      </c>
      <c r="S237">
        <f t="shared" si="160"/>
        <v>0</v>
      </c>
      <c r="T237">
        <f t="shared" si="161"/>
        <v>0</v>
      </c>
      <c r="U237">
        <f t="shared" si="162"/>
        <v>0</v>
      </c>
      <c r="V237">
        <f t="shared" si="163"/>
        <v>0</v>
      </c>
      <c r="W237">
        <f t="shared" si="164"/>
        <v>0</v>
      </c>
      <c r="X237">
        <f t="shared" si="165"/>
        <v>0</v>
      </c>
      <c r="Y237">
        <f t="shared" si="166"/>
        <v>0</v>
      </c>
      <c r="Z237">
        <f t="shared" si="167"/>
        <v>0</v>
      </c>
      <c r="AA237">
        <f t="shared" si="168"/>
        <v>0</v>
      </c>
      <c r="AB237">
        <f t="shared" si="169"/>
        <v>0</v>
      </c>
      <c r="AC237">
        <f t="shared" si="170"/>
        <v>0</v>
      </c>
      <c r="AD237">
        <f t="shared" si="171"/>
        <v>0</v>
      </c>
      <c r="AE237">
        <f t="shared" si="172"/>
        <v>0</v>
      </c>
      <c r="AF237">
        <f t="shared" si="173"/>
        <v>0</v>
      </c>
      <c r="AG237">
        <f t="shared" si="174"/>
        <v>0</v>
      </c>
      <c r="AH237">
        <f t="shared" si="175"/>
        <v>0</v>
      </c>
      <c r="AI237">
        <f t="shared" si="176"/>
        <v>0</v>
      </c>
      <c r="AJ237">
        <f t="shared" si="177"/>
        <v>0</v>
      </c>
      <c r="AK237">
        <f t="shared" si="178"/>
        <v>0</v>
      </c>
      <c r="AL237">
        <f t="shared" si="179"/>
        <v>0</v>
      </c>
      <c r="AM237">
        <f t="shared" si="180"/>
        <v>0</v>
      </c>
      <c r="AN237">
        <f t="shared" si="181"/>
        <v>0</v>
      </c>
      <c r="AO237">
        <f t="shared" si="182"/>
        <v>0</v>
      </c>
      <c r="AP237">
        <f t="shared" si="183"/>
        <v>0</v>
      </c>
      <c r="AQ237">
        <f t="shared" si="184"/>
        <v>0</v>
      </c>
      <c r="AR237">
        <f t="shared" si="185"/>
        <v>0</v>
      </c>
      <c r="AS237">
        <f t="shared" si="186"/>
        <v>0</v>
      </c>
      <c r="AT237">
        <f t="shared" si="187"/>
        <v>0</v>
      </c>
      <c r="AU237">
        <f t="shared" si="188"/>
        <v>0</v>
      </c>
      <c r="AV237">
        <f t="shared" si="189"/>
        <v>0</v>
      </c>
      <c r="AW237">
        <f t="shared" si="144"/>
        <v>0</v>
      </c>
      <c r="AX237">
        <f t="shared" si="190"/>
        <v>0</v>
      </c>
      <c r="AY237">
        <f t="shared" si="191"/>
        <v>0</v>
      </c>
    </row>
    <row r="238" spans="1:51" x14ac:dyDescent="0.35">
      <c r="A238">
        <v>232</v>
      </c>
      <c r="C238">
        <f>MAX(0,Calc!$C$7-SUM(D238:R238))</f>
        <v>750</v>
      </c>
      <c r="D238">
        <f t="shared" si="145"/>
        <v>0</v>
      </c>
      <c r="E238">
        <f t="shared" si="146"/>
        <v>0</v>
      </c>
      <c r="F238">
        <f t="shared" si="147"/>
        <v>0</v>
      </c>
      <c r="G238">
        <f t="shared" si="148"/>
        <v>0</v>
      </c>
      <c r="H238">
        <f t="shared" si="149"/>
        <v>0</v>
      </c>
      <c r="I238">
        <f t="shared" si="150"/>
        <v>0</v>
      </c>
      <c r="J238">
        <f t="shared" si="151"/>
        <v>0</v>
      </c>
      <c r="K238">
        <f t="shared" si="152"/>
        <v>0</v>
      </c>
      <c r="L238">
        <f t="shared" si="153"/>
        <v>0</v>
      </c>
      <c r="M238">
        <f t="shared" si="154"/>
        <v>0</v>
      </c>
      <c r="N238">
        <f t="shared" si="155"/>
        <v>0</v>
      </c>
      <c r="O238">
        <f t="shared" si="156"/>
        <v>0</v>
      </c>
      <c r="P238">
        <f t="shared" si="157"/>
        <v>0</v>
      </c>
      <c r="Q238">
        <f t="shared" si="158"/>
        <v>0</v>
      </c>
      <c r="R238">
        <f t="shared" si="159"/>
        <v>0</v>
      </c>
      <c r="S238">
        <f t="shared" si="160"/>
        <v>0</v>
      </c>
      <c r="T238">
        <f t="shared" si="161"/>
        <v>0</v>
      </c>
      <c r="U238">
        <f t="shared" si="162"/>
        <v>0</v>
      </c>
      <c r="V238">
        <f t="shared" si="163"/>
        <v>0</v>
      </c>
      <c r="W238">
        <f t="shared" si="164"/>
        <v>0</v>
      </c>
      <c r="X238">
        <f t="shared" si="165"/>
        <v>0</v>
      </c>
      <c r="Y238">
        <f t="shared" si="166"/>
        <v>0</v>
      </c>
      <c r="Z238">
        <f t="shared" si="167"/>
        <v>0</v>
      </c>
      <c r="AA238">
        <f t="shared" si="168"/>
        <v>0</v>
      </c>
      <c r="AB238">
        <f t="shared" si="169"/>
        <v>0</v>
      </c>
      <c r="AC238">
        <f t="shared" si="170"/>
        <v>0</v>
      </c>
      <c r="AD238">
        <f t="shared" si="171"/>
        <v>0</v>
      </c>
      <c r="AE238">
        <f t="shared" si="172"/>
        <v>0</v>
      </c>
      <c r="AF238">
        <f t="shared" si="173"/>
        <v>0</v>
      </c>
      <c r="AG238">
        <f t="shared" si="174"/>
        <v>0</v>
      </c>
      <c r="AH238">
        <f t="shared" si="175"/>
        <v>0</v>
      </c>
      <c r="AI238">
        <f t="shared" si="176"/>
        <v>0</v>
      </c>
      <c r="AJ238">
        <f t="shared" si="177"/>
        <v>0</v>
      </c>
      <c r="AK238">
        <f t="shared" si="178"/>
        <v>0</v>
      </c>
      <c r="AL238">
        <f t="shared" si="179"/>
        <v>0</v>
      </c>
      <c r="AM238">
        <f t="shared" si="180"/>
        <v>0</v>
      </c>
      <c r="AN238">
        <f t="shared" si="181"/>
        <v>0</v>
      </c>
      <c r="AO238">
        <f t="shared" si="182"/>
        <v>0</v>
      </c>
      <c r="AP238">
        <f t="shared" si="183"/>
        <v>0</v>
      </c>
      <c r="AQ238">
        <f t="shared" si="184"/>
        <v>0</v>
      </c>
      <c r="AR238">
        <f t="shared" si="185"/>
        <v>0</v>
      </c>
      <c r="AS238">
        <f t="shared" si="186"/>
        <v>0</v>
      </c>
      <c r="AT238">
        <f t="shared" si="187"/>
        <v>0</v>
      </c>
      <c r="AU238">
        <f t="shared" si="188"/>
        <v>0</v>
      </c>
      <c r="AV238">
        <f t="shared" si="189"/>
        <v>0</v>
      </c>
      <c r="AW238">
        <f t="shared" si="144"/>
        <v>0</v>
      </c>
      <c r="AX238">
        <f t="shared" si="190"/>
        <v>0</v>
      </c>
      <c r="AY238">
        <f t="shared" si="191"/>
        <v>0</v>
      </c>
    </row>
    <row r="239" spans="1:51" x14ac:dyDescent="0.35">
      <c r="A239">
        <v>233</v>
      </c>
      <c r="C239">
        <f>MAX(0,Calc!$C$7-SUM(D239:R239))</f>
        <v>750</v>
      </c>
      <c r="D239">
        <f t="shared" si="145"/>
        <v>0</v>
      </c>
      <c r="E239">
        <f t="shared" si="146"/>
        <v>0</v>
      </c>
      <c r="F239">
        <f t="shared" si="147"/>
        <v>0</v>
      </c>
      <c r="G239">
        <f t="shared" si="148"/>
        <v>0</v>
      </c>
      <c r="H239">
        <f t="shared" si="149"/>
        <v>0</v>
      </c>
      <c r="I239">
        <f t="shared" si="150"/>
        <v>0</v>
      </c>
      <c r="J239">
        <f t="shared" si="151"/>
        <v>0</v>
      </c>
      <c r="K239">
        <f t="shared" si="152"/>
        <v>0</v>
      </c>
      <c r="L239">
        <f t="shared" si="153"/>
        <v>0</v>
      </c>
      <c r="M239">
        <f t="shared" si="154"/>
        <v>0</v>
      </c>
      <c r="N239">
        <f t="shared" si="155"/>
        <v>0</v>
      </c>
      <c r="O239">
        <f t="shared" si="156"/>
        <v>0</v>
      </c>
      <c r="P239">
        <f t="shared" si="157"/>
        <v>0</v>
      </c>
      <c r="Q239">
        <f t="shared" si="158"/>
        <v>0</v>
      </c>
      <c r="R239">
        <f t="shared" si="159"/>
        <v>0</v>
      </c>
      <c r="S239">
        <f t="shared" si="160"/>
        <v>0</v>
      </c>
      <c r="T239">
        <f t="shared" si="161"/>
        <v>0</v>
      </c>
      <c r="U239">
        <f t="shared" si="162"/>
        <v>0</v>
      </c>
      <c r="V239">
        <f t="shared" si="163"/>
        <v>0</v>
      </c>
      <c r="W239">
        <f t="shared" si="164"/>
        <v>0</v>
      </c>
      <c r="X239">
        <f t="shared" si="165"/>
        <v>0</v>
      </c>
      <c r="Y239">
        <f t="shared" si="166"/>
        <v>0</v>
      </c>
      <c r="Z239">
        <f t="shared" si="167"/>
        <v>0</v>
      </c>
      <c r="AA239">
        <f t="shared" si="168"/>
        <v>0</v>
      </c>
      <c r="AB239">
        <f t="shared" si="169"/>
        <v>0</v>
      </c>
      <c r="AC239">
        <f t="shared" si="170"/>
        <v>0</v>
      </c>
      <c r="AD239">
        <f t="shared" si="171"/>
        <v>0</v>
      </c>
      <c r="AE239">
        <f t="shared" si="172"/>
        <v>0</v>
      </c>
      <c r="AF239">
        <f t="shared" si="173"/>
        <v>0</v>
      </c>
      <c r="AG239">
        <f t="shared" si="174"/>
        <v>0</v>
      </c>
      <c r="AH239">
        <f t="shared" si="175"/>
        <v>0</v>
      </c>
      <c r="AI239">
        <f t="shared" si="176"/>
        <v>0</v>
      </c>
      <c r="AJ239">
        <f t="shared" si="177"/>
        <v>0</v>
      </c>
      <c r="AK239">
        <f t="shared" si="178"/>
        <v>0</v>
      </c>
      <c r="AL239">
        <f t="shared" si="179"/>
        <v>0</v>
      </c>
      <c r="AM239">
        <f t="shared" si="180"/>
        <v>0</v>
      </c>
      <c r="AN239">
        <f t="shared" si="181"/>
        <v>0</v>
      </c>
      <c r="AO239">
        <f t="shared" si="182"/>
        <v>0</v>
      </c>
      <c r="AP239">
        <f t="shared" si="183"/>
        <v>0</v>
      </c>
      <c r="AQ239">
        <f t="shared" si="184"/>
        <v>0</v>
      </c>
      <c r="AR239">
        <f t="shared" si="185"/>
        <v>0</v>
      </c>
      <c r="AS239">
        <f t="shared" si="186"/>
        <v>0</v>
      </c>
      <c r="AT239">
        <f t="shared" si="187"/>
        <v>0</v>
      </c>
      <c r="AU239">
        <f t="shared" si="188"/>
        <v>0</v>
      </c>
      <c r="AV239">
        <f t="shared" si="189"/>
        <v>0</v>
      </c>
      <c r="AW239">
        <f t="shared" si="144"/>
        <v>0</v>
      </c>
      <c r="AX239">
        <f t="shared" si="190"/>
        <v>0</v>
      </c>
      <c r="AY239">
        <f t="shared" si="191"/>
        <v>0</v>
      </c>
    </row>
    <row r="240" spans="1:51" x14ac:dyDescent="0.35">
      <c r="A240">
        <v>234</v>
      </c>
      <c r="C240">
        <f>MAX(0,Calc!$C$7-SUM(D240:R240))</f>
        <v>750</v>
      </c>
      <c r="D240">
        <f t="shared" si="145"/>
        <v>0</v>
      </c>
      <c r="E240">
        <f t="shared" si="146"/>
        <v>0</v>
      </c>
      <c r="F240">
        <f t="shared" si="147"/>
        <v>0</v>
      </c>
      <c r="G240">
        <f t="shared" si="148"/>
        <v>0</v>
      </c>
      <c r="H240">
        <f t="shared" si="149"/>
        <v>0</v>
      </c>
      <c r="I240">
        <f t="shared" si="150"/>
        <v>0</v>
      </c>
      <c r="J240">
        <f t="shared" si="151"/>
        <v>0</v>
      </c>
      <c r="K240">
        <f t="shared" si="152"/>
        <v>0</v>
      </c>
      <c r="L240">
        <f t="shared" si="153"/>
        <v>0</v>
      </c>
      <c r="M240">
        <f t="shared" si="154"/>
        <v>0</v>
      </c>
      <c r="N240">
        <f t="shared" si="155"/>
        <v>0</v>
      </c>
      <c r="O240">
        <f t="shared" si="156"/>
        <v>0</v>
      </c>
      <c r="P240">
        <f t="shared" si="157"/>
        <v>0</v>
      </c>
      <c r="Q240">
        <f t="shared" si="158"/>
        <v>0</v>
      </c>
      <c r="R240">
        <f t="shared" si="159"/>
        <v>0</v>
      </c>
      <c r="S240">
        <f t="shared" si="160"/>
        <v>0</v>
      </c>
      <c r="T240">
        <f t="shared" si="161"/>
        <v>0</v>
      </c>
      <c r="U240">
        <f t="shared" si="162"/>
        <v>0</v>
      </c>
      <c r="V240">
        <f t="shared" si="163"/>
        <v>0</v>
      </c>
      <c r="W240">
        <f t="shared" si="164"/>
        <v>0</v>
      </c>
      <c r="X240">
        <f t="shared" si="165"/>
        <v>0</v>
      </c>
      <c r="Y240">
        <f t="shared" si="166"/>
        <v>0</v>
      </c>
      <c r="Z240">
        <f t="shared" si="167"/>
        <v>0</v>
      </c>
      <c r="AA240">
        <f t="shared" si="168"/>
        <v>0</v>
      </c>
      <c r="AB240">
        <f t="shared" si="169"/>
        <v>0</v>
      </c>
      <c r="AC240">
        <f t="shared" si="170"/>
        <v>0</v>
      </c>
      <c r="AD240">
        <f t="shared" si="171"/>
        <v>0</v>
      </c>
      <c r="AE240">
        <f t="shared" si="172"/>
        <v>0</v>
      </c>
      <c r="AF240">
        <f t="shared" si="173"/>
        <v>0</v>
      </c>
      <c r="AG240">
        <f t="shared" si="174"/>
        <v>0</v>
      </c>
      <c r="AH240">
        <f t="shared" si="175"/>
        <v>0</v>
      </c>
      <c r="AI240">
        <f t="shared" si="176"/>
        <v>0</v>
      </c>
      <c r="AJ240">
        <f t="shared" si="177"/>
        <v>0</v>
      </c>
      <c r="AK240">
        <f t="shared" si="178"/>
        <v>0</v>
      </c>
      <c r="AL240">
        <f t="shared" si="179"/>
        <v>0</v>
      </c>
      <c r="AM240">
        <f t="shared" si="180"/>
        <v>0</v>
      </c>
      <c r="AN240">
        <f t="shared" si="181"/>
        <v>0</v>
      </c>
      <c r="AO240">
        <f t="shared" si="182"/>
        <v>0</v>
      </c>
      <c r="AP240">
        <f t="shared" si="183"/>
        <v>0</v>
      </c>
      <c r="AQ240">
        <f t="shared" si="184"/>
        <v>0</v>
      </c>
      <c r="AR240">
        <f t="shared" si="185"/>
        <v>0</v>
      </c>
      <c r="AS240">
        <f t="shared" si="186"/>
        <v>0</v>
      </c>
      <c r="AT240">
        <f t="shared" si="187"/>
        <v>0</v>
      </c>
      <c r="AU240">
        <f t="shared" si="188"/>
        <v>0</v>
      </c>
      <c r="AV240">
        <f t="shared" si="189"/>
        <v>0</v>
      </c>
      <c r="AW240">
        <f t="shared" si="144"/>
        <v>0</v>
      </c>
      <c r="AX240">
        <f t="shared" si="190"/>
        <v>0</v>
      </c>
      <c r="AY240">
        <f t="shared" si="191"/>
        <v>0</v>
      </c>
    </row>
    <row r="241" spans="1:51" x14ac:dyDescent="0.35">
      <c r="A241">
        <v>235</v>
      </c>
      <c r="C241">
        <f>MAX(0,Calc!$C$7-SUM(D241:R241))</f>
        <v>750</v>
      </c>
      <c r="D241">
        <f t="shared" si="145"/>
        <v>0</v>
      </c>
      <c r="E241">
        <f t="shared" si="146"/>
        <v>0</v>
      </c>
      <c r="F241">
        <f t="shared" si="147"/>
        <v>0</v>
      </c>
      <c r="G241">
        <f t="shared" si="148"/>
        <v>0</v>
      </c>
      <c r="H241">
        <f t="shared" si="149"/>
        <v>0</v>
      </c>
      <c r="I241">
        <f t="shared" si="150"/>
        <v>0</v>
      </c>
      <c r="J241">
        <f t="shared" si="151"/>
        <v>0</v>
      </c>
      <c r="K241">
        <f t="shared" si="152"/>
        <v>0</v>
      </c>
      <c r="L241">
        <f t="shared" si="153"/>
        <v>0</v>
      </c>
      <c r="M241">
        <f t="shared" si="154"/>
        <v>0</v>
      </c>
      <c r="N241">
        <f t="shared" si="155"/>
        <v>0</v>
      </c>
      <c r="O241">
        <f t="shared" si="156"/>
        <v>0</v>
      </c>
      <c r="P241">
        <f t="shared" si="157"/>
        <v>0</v>
      </c>
      <c r="Q241">
        <f t="shared" si="158"/>
        <v>0</v>
      </c>
      <c r="R241">
        <f t="shared" si="159"/>
        <v>0</v>
      </c>
      <c r="S241">
        <f t="shared" si="160"/>
        <v>0</v>
      </c>
      <c r="T241">
        <f t="shared" si="161"/>
        <v>0</v>
      </c>
      <c r="U241">
        <f t="shared" si="162"/>
        <v>0</v>
      </c>
      <c r="V241">
        <f t="shared" si="163"/>
        <v>0</v>
      </c>
      <c r="W241">
        <f t="shared" si="164"/>
        <v>0</v>
      </c>
      <c r="X241">
        <f t="shared" si="165"/>
        <v>0</v>
      </c>
      <c r="Y241">
        <f t="shared" si="166"/>
        <v>0</v>
      </c>
      <c r="Z241">
        <f t="shared" si="167"/>
        <v>0</v>
      </c>
      <c r="AA241">
        <f t="shared" si="168"/>
        <v>0</v>
      </c>
      <c r="AB241">
        <f t="shared" si="169"/>
        <v>0</v>
      </c>
      <c r="AC241">
        <f t="shared" si="170"/>
        <v>0</v>
      </c>
      <c r="AD241">
        <f t="shared" si="171"/>
        <v>0</v>
      </c>
      <c r="AE241">
        <f t="shared" si="172"/>
        <v>0</v>
      </c>
      <c r="AF241">
        <f t="shared" si="173"/>
        <v>0</v>
      </c>
      <c r="AG241">
        <f t="shared" si="174"/>
        <v>0</v>
      </c>
      <c r="AH241">
        <f t="shared" si="175"/>
        <v>0</v>
      </c>
      <c r="AI241">
        <f t="shared" si="176"/>
        <v>0</v>
      </c>
      <c r="AJ241">
        <f t="shared" si="177"/>
        <v>0</v>
      </c>
      <c r="AK241">
        <f t="shared" si="178"/>
        <v>0</v>
      </c>
      <c r="AL241">
        <f t="shared" si="179"/>
        <v>0</v>
      </c>
      <c r="AM241">
        <f t="shared" si="180"/>
        <v>0</v>
      </c>
      <c r="AN241">
        <f t="shared" si="181"/>
        <v>0</v>
      </c>
      <c r="AO241">
        <f t="shared" si="182"/>
        <v>0</v>
      </c>
      <c r="AP241">
        <f t="shared" si="183"/>
        <v>0</v>
      </c>
      <c r="AQ241">
        <f t="shared" si="184"/>
        <v>0</v>
      </c>
      <c r="AR241">
        <f t="shared" si="185"/>
        <v>0</v>
      </c>
      <c r="AS241">
        <f t="shared" si="186"/>
        <v>0</v>
      </c>
      <c r="AT241">
        <f t="shared" si="187"/>
        <v>0</v>
      </c>
      <c r="AU241">
        <f t="shared" si="188"/>
        <v>0</v>
      </c>
      <c r="AV241">
        <f t="shared" si="189"/>
        <v>0</v>
      </c>
      <c r="AW241">
        <f t="shared" si="144"/>
        <v>0</v>
      </c>
      <c r="AX241">
        <f t="shared" si="190"/>
        <v>0</v>
      </c>
      <c r="AY241">
        <f t="shared" si="191"/>
        <v>0</v>
      </c>
    </row>
    <row r="242" spans="1:51" x14ac:dyDescent="0.35">
      <c r="A242">
        <v>236</v>
      </c>
      <c r="C242">
        <f>MAX(0,Calc!$C$7-SUM(D242:R242))</f>
        <v>750</v>
      </c>
      <c r="D242">
        <f t="shared" si="145"/>
        <v>0</v>
      </c>
      <c r="E242">
        <f t="shared" si="146"/>
        <v>0</v>
      </c>
      <c r="F242">
        <f t="shared" si="147"/>
        <v>0</v>
      </c>
      <c r="G242">
        <f t="shared" si="148"/>
        <v>0</v>
      </c>
      <c r="H242">
        <f t="shared" si="149"/>
        <v>0</v>
      </c>
      <c r="I242">
        <f t="shared" si="150"/>
        <v>0</v>
      </c>
      <c r="J242">
        <f t="shared" si="151"/>
        <v>0</v>
      </c>
      <c r="K242">
        <f t="shared" si="152"/>
        <v>0</v>
      </c>
      <c r="L242">
        <f t="shared" si="153"/>
        <v>0</v>
      </c>
      <c r="M242">
        <f t="shared" si="154"/>
        <v>0</v>
      </c>
      <c r="N242">
        <f t="shared" si="155"/>
        <v>0</v>
      </c>
      <c r="O242">
        <f t="shared" si="156"/>
        <v>0</v>
      </c>
      <c r="P242">
        <f t="shared" si="157"/>
        <v>0</v>
      </c>
      <c r="Q242">
        <f t="shared" si="158"/>
        <v>0</v>
      </c>
      <c r="R242">
        <f t="shared" si="159"/>
        <v>0</v>
      </c>
      <c r="S242">
        <f t="shared" si="160"/>
        <v>0</v>
      </c>
      <c r="T242">
        <f t="shared" si="161"/>
        <v>0</v>
      </c>
      <c r="U242">
        <f t="shared" si="162"/>
        <v>0</v>
      </c>
      <c r="V242">
        <f t="shared" si="163"/>
        <v>0</v>
      </c>
      <c r="W242">
        <f t="shared" si="164"/>
        <v>0</v>
      </c>
      <c r="X242">
        <f t="shared" si="165"/>
        <v>0</v>
      </c>
      <c r="Y242">
        <f t="shared" si="166"/>
        <v>0</v>
      </c>
      <c r="Z242">
        <f t="shared" si="167"/>
        <v>0</v>
      </c>
      <c r="AA242">
        <f t="shared" si="168"/>
        <v>0</v>
      </c>
      <c r="AB242">
        <f t="shared" si="169"/>
        <v>0</v>
      </c>
      <c r="AC242">
        <f t="shared" si="170"/>
        <v>0</v>
      </c>
      <c r="AD242">
        <f t="shared" si="171"/>
        <v>0</v>
      </c>
      <c r="AE242">
        <f t="shared" si="172"/>
        <v>0</v>
      </c>
      <c r="AF242">
        <f t="shared" si="173"/>
        <v>0</v>
      </c>
      <c r="AG242">
        <f t="shared" si="174"/>
        <v>0</v>
      </c>
      <c r="AH242">
        <f t="shared" si="175"/>
        <v>0</v>
      </c>
      <c r="AI242">
        <f t="shared" si="176"/>
        <v>0</v>
      </c>
      <c r="AJ242">
        <f t="shared" si="177"/>
        <v>0</v>
      </c>
      <c r="AK242">
        <f t="shared" si="178"/>
        <v>0</v>
      </c>
      <c r="AL242">
        <f t="shared" si="179"/>
        <v>0</v>
      </c>
      <c r="AM242">
        <f t="shared" si="180"/>
        <v>0</v>
      </c>
      <c r="AN242">
        <f t="shared" si="181"/>
        <v>0</v>
      </c>
      <c r="AO242">
        <f t="shared" si="182"/>
        <v>0</v>
      </c>
      <c r="AP242">
        <f t="shared" si="183"/>
        <v>0</v>
      </c>
      <c r="AQ242">
        <f t="shared" si="184"/>
        <v>0</v>
      </c>
      <c r="AR242">
        <f t="shared" si="185"/>
        <v>0</v>
      </c>
      <c r="AS242">
        <f t="shared" si="186"/>
        <v>0</v>
      </c>
      <c r="AT242">
        <f t="shared" si="187"/>
        <v>0</v>
      </c>
      <c r="AU242">
        <f t="shared" si="188"/>
        <v>0</v>
      </c>
      <c r="AV242">
        <f t="shared" si="189"/>
        <v>0</v>
      </c>
      <c r="AW242">
        <f t="shared" si="144"/>
        <v>0</v>
      </c>
      <c r="AX242">
        <f t="shared" si="190"/>
        <v>0</v>
      </c>
      <c r="AY242">
        <f t="shared" si="191"/>
        <v>0</v>
      </c>
    </row>
    <row r="243" spans="1:51" x14ac:dyDescent="0.35">
      <c r="A243">
        <v>237</v>
      </c>
      <c r="C243">
        <f>MAX(0,Calc!$C$7-SUM(D243:R243))</f>
        <v>750</v>
      </c>
      <c r="D243">
        <f t="shared" si="145"/>
        <v>0</v>
      </c>
      <c r="E243">
        <f t="shared" si="146"/>
        <v>0</v>
      </c>
      <c r="F243">
        <f t="shared" si="147"/>
        <v>0</v>
      </c>
      <c r="G243">
        <f t="shared" si="148"/>
        <v>0</v>
      </c>
      <c r="H243">
        <f t="shared" si="149"/>
        <v>0</v>
      </c>
      <c r="I243">
        <f t="shared" si="150"/>
        <v>0</v>
      </c>
      <c r="J243">
        <f t="shared" si="151"/>
        <v>0</v>
      </c>
      <c r="K243">
        <f t="shared" si="152"/>
        <v>0</v>
      </c>
      <c r="L243">
        <f t="shared" si="153"/>
        <v>0</v>
      </c>
      <c r="M243">
        <f t="shared" si="154"/>
        <v>0</v>
      </c>
      <c r="N243">
        <f t="shared" si="155"/>
        <v>0</v>
      </c>
      <c r="O243">
        <f t="shared" si="156"/>
        <v>0</v>
      </c>
      <c r="P243">
        <f t="shared" si="157"/>
        <v>0</v>
      </c>
      <c r="Q243">
        <f t="shared" si="158"/>
        <v>0</v>
      </c>
      <c r="R243">
        <f t="shared" si="159"/>
        <v>0</v>
      </c>
      <c r="S243">
        <f t="shared" si="160"/>
        <v>0</v>
      </c>
      <c r="T243">
        <f t="shared" si="161"/>
        <v>0</v>
      </c>
      <c r="U243">
        <f t="shared" si="162"/>
        <v>0</v>
      </c>
      <c r="V243">
        <f t="shared" si="163"/>
        <v>0</v>
      </c>
      <c r="W243">
        <f t="shared" si="164"/>
        <v>0</v>
      </c>
      <c r="X243">
        <f t="shared" si="165"/>
        <v>0</v>
      </c>
      <c r="Y243">
        <f t="shared" si="166"/>
        <v>0</v>
      </c>
      <c r="Z243">
        <f t="shared" si="167"/>
        <v>0</v>
      </c>
      <c r="AA243">
        <f t="shared" si="168"/>
        <v>0</v>
      </c>
      <c r="AB243">
        <f t="shared" si="169"/>
        <v>0</v>
      </c>
      <c r="AC243">
        <f t="shared" si="170"/>
        <v>0</v>
      </c>
      <c r="AD243">
        <f t="shared" si="171"/>
        <v>0</v>
      </c>
      <c r="AE243">
        <f t="shared" si="172"/>
        <v>0</v>
      </c>
      <c r="AF243">
        <f t="shared" si="173"/>
        <v>0</v>
      </c>
      <c r="AG243">
        <f t="shared" si="174"/>
        <v>0</v>
      </c>
      <c r="AH243">
        <f t="shared" si="175"/>
        <v>0</v>
      </c>
      <c r="AI243">
        <f t="shared" si="176"/>
        <v>0</v>
      </c>
      <c r="AJ243">
        <f t="shared" si="177"/>
        <v>0</v>
      </c>
      <c r="AK243">
        <f t="shared" si="178"/>
        <v>0</v>
      </c>
      <c r="AL243">
        <f t="shared" si="179"/>
        <v>0</v>
      </c>
      <c r="AM243">
        <f t="shared" si="180"/>
        <v>0</v>
      </c>
      <c r="AN243">
        <f t="shared" si="181"/>
        <v>0</v>
      </c>
      <c r="AO243">
        <f t="shared" si="182"/>
        <v>0</v>
      </c>
      <c r="AP243">
        <f t="shared" si="183"/>
        <v>0</v>
      </c>
      <c r="AQ243">
        <f t="shared" si="184"/>
        <v>0</v>
      </c>
      <c r="AR243">
        <f t="shared" si="185"/>
        <v>0</v>
      </c>
      <c r="AS243">
        <f t="shared" si="186"/>
        <v>0</v>
      </c>
      <c r="AT243">
        <f t="shared" si="187"/>
        <v>0</v>
      </c>
      <c r="AU243">
        <f t="shared" si="188"/>
        <v>0</v>
      </c>
      <c r="AV243">
        <f t="shared" si="189"/>
        <v>0</v>
      </c>
      <c r="AW243">
        <f t="shared" si="144"/>
        <v>0</v>
      </c>
      <c r="AX243">
        <f t="shared" si="190"/>
        <v>0</v>
      </c>
      <c r="AY243">
        <f t="shared" si="191"/>
        <v>0</v>
      </c>
    </row>
    <row r="244" spans="1:51" x14ac:dyDescent="0.35">
      <c r="A244">
        <v>238</v>
      </c>
      <c r="C244">
        <f>MAX(0,Calc!$C$7-SUM(D244:R244))</f>
        <v>750</v>
      </c>
      <c r="D244">
        <f t="shared" si="145"/>
        <v>0</v>
      </c>
      <c r="E244">
        <f t="shared" si="146"/>
        <v>0</v>
      </c>
      <c r="F244">
        <f t="shared" si="147"/>
        <v>0</v>
      </c>
      <c r="G244">
        <f t="shared" si="148"/>
        <v>0</v>
      </c>
      <c r="H244">
        <f t="shared" si="149"/>
        <v>0</v>
      </c>
      <c r="I244">
        <f t="shared" si="150"/>
        <v>0</v>
      </c>
      <c r="J244">
        <f t="shared" si="151"/>
        <v>0</v>
      </c>
      <c r="K244">
        <f t="shared" si="152"/>
        <v>0</v>
      </c>
      <c r="L244">
        <f t="shared" si="153"/>
        <v>0</v>
      </c>
      <c r="M244">
        <f t="shared" si="154"/>
        <v>0</v>
      </c>
      <c r="N244">
        <f t="shared" si="155"/>
        <v>0</v>
      </c>
      <c r="O244">
        <f t="shared" si="156"/>
        <v>0</v>
      </c>
      <c r="P244">
        <f t="shared" si="157"/>
        <v>0</v>
      </c>
      <c r="Q244">
        <f t="shared" si="158"/>
        <v>0</v>
      </c>
      <c r="R244">
        <f t="shared" si="159"/>
        <v>0</v>
      </c>
      <c r="S244">
        <f t="shared" si="160"/>
        <v>0</v>
      </c>
      <c r="T244">
        <f t="shared" si="161"/>
        <v>0</v>
      </c>
      <c r="U244">
        <f t="shared" si="162"/>
        <v>0</v>
      </c>
      <c r="V244">
        <f t="shared" si="163"/>
        <v>0</v>
      </c>
      <c r="W244">
        <f t="shared" si="164"/>
        <v>0</v>
      </c>
      <c r="X244">
        <f t="shared" si="165"/>
        <v>0</v>
      </c>
      <c r="Y244">
        <f t="shared" si="166"/>
        <v>0</v>
      </c>
      <c r="Z244">
        <f t="shared" si="167"/>
        <v>0</v>
      </c>
      <c r="AA244">
        <f t="shared" si="168"/>
        <v>0</v>
      </c>
      <c r="AB244">
        <f t="shared" si="169"/>
        <v>0</v>
      </c>
      <c r="AC244">
        <f t="shared" si="170"/>
        <v>0</v>
      </c>
      <c r="AD244">
        <f t="shared" si="171"/>
        <v>0</v>
      </c>
      <c r="AE244">
        <f t="shared" si="172"/>
        <v>0</v>
      </c>
      <c r="AF244">
        <f t="shared" si="173"/>
        <v>0</v>
      </c>
      <c r="AG244">
        <f t="shared" si="174"/>
        <v>0</v>
      </c>
      <c r="AH244">
        <f t="shared" si="175"/>
        <v>0</v>
      </c>
      <c r="AI244">
        <f t="shared" si="176"/>
        <v>0</v>
      </c>
      <c r="AJ244">
        <f t="shared" si="177"/>
        <v>0</v>
      </c>
      <c r="AK244">
        <f t="shared" si="178"/>
        <v>0</v>
      </c>
      <c r="AL244">
        <f t="shared" si="179"/>
        <v>0</v>
      </c>
      <c r="AM244">
        <f t="shared" si="180"/>
        <v>0</v>
      </c>
      <c r="AN244">
        <f t="shared" si="181"/>
        <v>0</v>
      </c>
      <c r="AO244">
        <f t="shared" si="182"/>
        <v>0</v>
      </c>
      <c r="AP244">
        <f t="shared" si="183"/>
        <v>0</v>
      </c>
      <c r="AQ244">
        <f t="shared" si="184"/>
        <v>0</v>
      </c>
      <c r="AR244">
        <f t="shared" si="185"/>
        <v>0</v>
      </c>
      <c r="AS244">
        <f t="shared" si="186"/>
        <v>0</v>
      </c>
      <c r="AT244">
        <f t="shared" si="187"/>
        <v>0</v>
      </c>
      <c r="AU244">
        <f t="shared" si="188"/>
        <v>0</v>
      </c>
      <c r="AV244">
        <f t="shared" si="189"/>
        <v>0</v>
      </c>
      <c r="AW244">
        <f t="shared" si="144"/>
        <v>0</v>
      </c>
      <c r="AX244">
        <f t="shared" si="190"/>
        <v>0</v>
      </c>
      <c r="AY244">
        <f t="shared" si="191"/>
        <v>0</v>
      </c>
    </row>
    <row r="245" spans="1:51" x14ac:dyDescent="0.35">
      <c r="A245">
        <v>239</v>
      </c>
      <c r="C245">
        <f>MAX(0,Calc!$C$7-SUM(D245:R245))</f>
        <v>750</v>
      </c>
      <c r="D245">
        <f t="shared" si="145"/>
        <v>0</v>
      </c>
      <c r="E245">
        <f t="shared" si="146"/>
        <v>0</v>
      </c>
      <c r="F245">
        <f t="shared" si="147"/>
        <v>0</v>
      </c>
      <c r="G245">
        <f t="shared" si="148"/>
        <v>0</v>
      </c>
      <c r="H245">
        <f t="shared" si="149"/>
        <v>0</v>
      </c>
      <c r="I245">
        <f t="shared" si="150"/>
        <v>0</v>
      </c>
      <c r="J245">
        <f t="shared" si="151"/>
        <v>0</v>
      </c>
      <c r="K245">
        <f t="shared" si="152"/>
        <v>0</v>
      </c>
      <c r="L245">
        <f t="shared" si="153"/>
        <v>0</v>
      </c>
      <c r="M245">
        <f t="shared" si="154"/>
        <v>0</v>
      </c>
      <c r="N245">
        <f t="shared" si="155"/>
        <v>0</v>
      </c>
      <c r="O245">
        <f t="shared" si="156"/>
        <v>0</v>
      </c>
      <c r="P245">
        <f t="shared" si="157"/>
        <v>0</v>
      </c>
      <c r="Q245">
        <f t="shared" si="158"/>
        <v>0</v>
      </c>
      <c r="R245">
        <f t="shared" si="159"/>
        <v>0</v>
      </c>
      <c r="S245">
        <f t="shared" si="160"/>
        <v>0</v>
      </c>
      <c r="T245">
        <f t="shared" si="161"/>
        <v>0</v>
      </c>
      <c r="U245">
        <f t="shared" si="162"/>
        <v>0</v>
      </c>
      <c r="V245">
        <f t="shared" si="163"/>
        <v>0</v>
      </c>
      <c r="W245">
        <f t="shared" si="164"/>
        <v>0</v>
      </c>
      <c r="X245">
        <f t="shared" si="165"/>
        <v>0</v>
      </c>
      <c r="Y245">
        <f t="shared" si="166"/>
        <v>0</v>
      </c>
      <c r="Z245">
        <f t="shared" si="167"/>
        <v>0</v>
      </c>
      <c r="AA245">
        <f t="shared" si="168"/>
        <v>0</v>
      </c>
      <c r="AB245">
        <f t="shared" si="169"/>
        <v>0</v>
      </c>
      <c r="AC245">
        <f t="shared" si="170"/>
        <v>0</v>
      </c>
      <c r="AD245">
        <f t="shared" si="171"/>
        <v>0</v>
      </c>
      <c r="AE245">
        <f t="shared" si="172"/>
        <v>0</v>
      </c>
      <c r="AF245">
        <f t="shared" si="173"/>
        <v>0</v>
      </c>
      <c r="AG245">
        <f t="shared" si="174"/>
        <v>0</v>
      </c>
      <c r="AH245">
        <f t="shared" si="175"/>
        <v>0</v>
      </c>
      <c r="AI245">
        <f t="shared" si="176"/>
        <v>0</v>
      </c>
      <c r="AJ245">
        <f t="shared" si="177"/>
        <v>0</v>
      </c>
      <c r="AK245">
        <f t="shared" si="178"/>
        <v>0</v>
      </c>
      <c r="AL245">
        <f t="shared" si="179"/>
        <v>0</v>
      </c>
      <c r="AM245">
        <f t="shared" si="180"/>
        <v>0</v>
      </c>
      <c r="AN245">
        <f t="shared" si="181"/>
        <v>0</v>
      </c>
      <c r="AO245">
        <f t="shared" si="182"/>
        <v>0</v>
      </c>
      <c r="AP245">
        <f t="shared" si="183"/>
        <v>0</v>
      </c>
      <c r="AQ245">
        <f t="shared" si="184"/>
        <v>0</v>
      </c>
      <c r="AR245">
        <f t="shared" si="185"/>
        <v>0</v>
      </c>
      <c r="AS245">
        <f t="shared" si="186"/>
        <v>0</v>
      </c>
      <c r="AT245">
        <f t="shared" si="187"/>
        <v>0</v>
      </c>
      <c r="AU245">
        <f t="shared" si="188"/>
        <v>0</v>
      </c>
      <c r="AV245">
        <f t="shared" si="189"/>
        <v>0</v>
      </c>
      <c r="AW245">
        <f t="shared" si="144"/>
        <v>0</v>
      </c>
      <c r="AX245">
        <f t="shared" si="190"/>
        <v>0</v>
      </c>
      <c r="AY245">
        <f t="shared" si="191"/>
        <v>0</v>
      </c>
    </row>
    <row r="246" spans="1:51" x14ac:dyDescent="0.35">
      <c r="A246">
        <v>240</v>
      </c>
      <c r="C246">
        <f>MAX(0,Calc!$C$7-SUM(D246:R246))</f>
        <v>750</v>
      </c>
      <c r="D246">
        <f t="shared" si="145"/>
        <v>0</v>
      </c>
      <c r="E246">
        <f t="shared" si="146"/>
        <v>0</v>
      </c>
      <c r="F246">
        <f t="shared" si="147"/>
        <v>0</v>
      </c>
      <c r="G246">
        <f t="shared" si="148"/>
        <v>0</v>
      </c>
      <c r="H246">
        <f t="shared" si="149"/>
        <v>0</v>
      </c>
      <c r="I246">
        <f t="shared" si="150"/>
        <v>0</v>
      </c>
      <c r="J246">
        <f t="shared" si="151"/>
        <v>0</v>
      </c>
      <c r="K246">
        <f t="shared" si="152"/>
        <v>0</v>
      </c>
      <c r="L246">
        <f t="shared" si="153"/>
        <v>0</v>
      </c>
      <c r="M246">
        <f t="shared" si="154"/>
        <v>0</v>
      </c>
      <c r="N246">
        <f t="shared" si="155"/>
        <v>0</v>
      </c>
      <c r="O246">
        <f t="shared" si="156"/>
        <v>0</v>
      </c>
      <c r="P246">
        <f t="shared" si="157"/>
        <v>0</v>
      </c>
      <c r="Q246">
        <f t="shared" si="158"/>
        <v>0</v>
      </c>
      <c r="R246">
        <f t="shared" si="159"/>
        <v>0</v>
      </c>
      <c r="S246">
        <f t="shared" si="160"/>
        <v>0</v>
      </c>
      <c r="T246">
        <f t="shared" si="161"/>
        <v>0</v>
      </c>
      <c r="U246">
        <f t="shared" si="162"/>
        <v>0</v>
      </c>
      <c r="V246">
        <f t="shared" si="163"/>
        <v>0</v>
      </c>
      <c r="W246">
        <f t="shared" si="164"/>
        <v>0</v>
      </c>
      <c r="X246">
        <f t="shared" si="165"/>
        <v>0</v>
      </c>
      <c r="Y246">
        <f t="shared" si="166"/>
        <v>0</v>
      </c>
      <c r="Z246">
        <f t="shared" si="167"/>
        <v>0</v>
      </c>
      <c r="AA246">
        <f t="shared" si="168"/>
        <v>0</v>
      </c>
      <c r="AB246">
        <f t="shared" si="169"/>
        <v>0</v>
      </c>
      <c r="AC246">
        <f t="shared" si="170"/>
        <v>0</v>
      </c>
      <c r="AD246">
        <f t="shared" si="171"/>
        <v>0</v>
      </c>
      <c r="AE246">
        <f t="shared" si="172"/>
        <v>0</v>
      </c>
      <c r="AF246">
        <f t="shared" si="173"/>
        <v>0</v>
      </c>
      <c r="AG246">
        <f t="shared" si="174"/>
        <v>0</v>
      </c>
      <c r="AH246">
        <f t="shared" si="175"/>
        <v>0</v>
      </c>
      <c r="AI246">
        <f t="shared" si="176"/>
        <v>0</v>
      </c>
      <c r="AJ246">
        <f t="shared" si="177"/>
        <v>0</v>
      </c>
      <c r="AK246">
        <f t="shared" si="178"/>
        <v>0</v>
      </c>
      <c r="AL246">
        <f t="shared" si="179"/>
        <v>0</v>
      </c>
      <c r="AM246">
        <f t="shared" si="180"/>
        <v>0</v>
      </c>
      <c r="AN246">
        <f t="shared" si="181"/>
        <v>0</v>
      </c>
      <c r="AO246">
        <f t="shared" si="182"/>
        <v>0</v>
      </c>
      <c r="AP246">
        <f t="shared" si="183"/>
        <v>0</v>
      </c>
      <c r="AQ246">
        <f t="shared" si="184"/>
        <v>0</v>
      </c>
      <c r="AR246">
        <f t="shared" si="185"/>
        <v>0</v>
      </c>
      <c r="AS246">
        <f t="shared" si="186"/>
        <v>0</v>
      </c>
      <c r="AT246">
        <f t="shared" si="187"/>
        <v>0</v>
      </c>
      <c r="AU246">
        <f t="shared" si="188"/>
        <v>0</v>
      </c>
      <c r="AV246">
        <f t="shared" si="189"/>
        <v>0</v>
      </c>
      <c r="AW246">
        <f t="shared" si="144"/>
        <v>0</v>
      </c>
      <c r="AX246">
        <f t="shared" si="190"/>
        <v>0</v>
      </c>
      <c r="AY246">
        <f t="shared" si="191"/>
        <v>0</v>
      </c>
    </row>
    <row r="247" spans="1:51" x14ac:dyDescent="0.35">
      <c r="A247">
        <v>241</v>
      </c>
      <c r="C247">
        <f>MAX(0,Calc!$C$7-SUM(D247:R247))</f>
        <v>750</v>
      </c>
      <c r="D247">
        <f t="shared" si="145"/>
        <v>0</v>
      </c>
      <c r="E247">
        <f t="shared" si="146"/>
        <v>0</v>
      </c>
      <c r="F247">
        <f t="shared" si="147"/>
        <v>0</v>
      </c>
      <c r="G247">
        <f t="shared" si="148"/>
        <v>0</v>
      </c>
      <c r="H247">
        <f t="shared" si="149"/>
        <v>0</v>
      </c>
      <c r="I247">
        <f t="shared" si="150"/>
        <v>0</v>
      </c>
      <c r="J247">
        <f t="shared" si="151"/>
        <v>0</v>
      </c>
      <c r="K247">
        <f t="shared" si="152"/>
        <v>0</v>
      </c>
      <c r="L247">
        <f t="shared" si="153"/>
        <v>0</v>
      </c>
      <c r="M247">
        <f t="shared" si="154"/>
        <v>0</v>
      </c>
      <c r="N247">
        <f t="shared" si="155"/>
        <v>0</v>
      </c>
      <c r="O247">
        <f t="shared" si="156"/>
        <v>0</v>
      </c>
      <c r="P247">
        <f t="shared" si="157"/>
        <v>0</v>
      </c>
      <c r="Q247">
        <f t="shared" si="158"/>
        <v>0</v>
      </c>
      <c r="R247">
        <f t="shared" si="159"/>
        <v>0</v>
      </c>
      <c r="S247">
        <f t="shared" si="160"/>
        <v>0</v>
      </c>
      <c r="T247">
        <f t="shared" si="161"/>
        <v>0</v>
      </c>
      <c r="U247">
        <f t="shared" si="162"/>
        <v>0</v>
      </c>
      <c r="V247">
        <f t="shared" si="163"/>
        <v>0</v>
      </c>
      <c r="W247">
        <f t="shared" si="164"/>
        <v>0</v>
      </c>
      <c r="X247">
        <f t="shared" si="165"/>
        <v>0</v>
      </c>
      <c r="Y247">
        <f t="shared" si="166"/>
        <v>0</v>
      </c>
      <c r="Z247">
        <f t="shared" si="167"/>
        <v>0</v>
      </c>
      <c r="AA247">
        <f t="shared" si="168"/>
        <v>0</v>
      </c>
      <c r="AB247">
        <f t="shared" si="169"/>
        <v>0</v>
      </c>
      <c r="AC247">
        <f t="shared" si="170"/>
        <v>0</v>
      </c>
      <c r="AD247">
        <f t="shared" si="171"/>
        <v>0</v>
      </c>
      <c r="AE247">
        <f t="shared" si="172"/>
        <v>0</v>
      </c>
      <c r="AF247">
        <f t="shared" si="173"/>
        <v>0</v>
      </c>
      <c r="AG247">
        <f t="shared" si="174"/>
        <v>0</v>
      </c>
      <c r="AH247">
        <f t="shared" si="175"/>
        <v>0</v>
      </c>
      <c r="AI247">
        <f t="shared" si="176"/>
        <v>0</v>
      </c>
      <c r="AJ247">
        <f t="shared" si="177"/>
        <v>0</v>
      </c>
      <c r="AK247">
        <f t="shared" si="178"/>
        <v>0</v>
      </c>
      <c r="AL247">
        <f t="shared" si="179"/>
        <v>0</v>
      </c>
      <c r="AM247">
        <f t="shared" si="180"/>
        <v>0</v>
      </c>
      <c r="AN247">
        <f t="shared" si="181"/>
        <v>0</v>
      </c>
      <c r="AO247">
        <f t="shared" si="182"/>
        <v>0</v>
      </c>
      <c r="AP247">
        <f t="shared" si="183"/>
        <v>0</v>
      </c>
      <c r="AQ247">
        <f t="shared" si="184"/>
        <v>0</v>
      </c>
      <c r="AR247">
        <f t="shared" si="185"/>
        <v>0</v>
      </c>
      <c r="AS247">
        <f t="shared" si="186"/>
        <v>0</v>
      </c>
      <c r="AT247">
        <f t="shared" si="187"/>
        <v>0</v>
      </c>
      <c r="AU247">
        <f t="shared" si="188"/>
        <v>0</v>
      </c>
      <c r="AV247">
        <f t="shared" si="189"/>
        <v>0</v>
      </c>
      <c r="AW247">
        <f t="shared" si="144"/>
        <v>0</v>
      </c>
      <c r="AX247">
        <f t="shared" si="190"/>
        <v>0</v>
      </c>
      <c r="AY247">
        <f t="shared" si="191"/>
        <v>0</v>
      </c>
    </row>
    <row r="248" spans="1:51" x14ac:dyDescent="0.35">
      <c r="A248">
        <v>242</v>
      </c>
      <c r="C248">
        <f>MAX(0,Calc!$C$7-SUM(D248:R248))</f>
        <v>750</v>
      </c>
      <c r="D248">
        <f t="shared" si="145"/>
        <v>0</v>
      </c>
      <c r="E248">
        <f t="shared" si="146"/>
        <v>0</v>
      </c>
      <c r="F248">
        <f t="shared" si="147"/>
        <v>0</v>
      </c>
      <c r="G248">
        <f t="shared" si="148"/>
        <v>0</v>
      </c>
      <c r="H248">
        <f t="shared" si="149"/>
        <v>0</v>
      </c>
      <c r="I248">
        <f t="shared" si="150"/>
        <v>0</v>
      </c>
      <c r="J248">
        <f t="shared" si="151"/>
        <v>0</v>
      </c>
      <c r="K248">
        <f t="shared" si="152"/>
        <v>0</v>
      </c>
      <c r="L248">
        <f t="shared" si="153"/>
        <v>0</v>
      </c>
      <c r="M248">
        <f t="shared" si="154"/>
        <v>0</v>
      </c>
      <c r="N248">
        <f t="shared" si="155"/>
        <v>0</v>
      </c>
      <c r="O248">
        <f t="shared" si="156"/>
        <v>0</v>
      </c>
      <c r="P248">
        <f t="shared" si="157"/>
        <v>0</v>
      </c>
      <c r="Q248">
        <f t="shared" si="158"/>
        <v>0</v>
      </c>
      <c r="R248">
        <f t="shared" si="159"/>
        <v>0</v>
      </c>
      <c r="S248">
        <f t="shared" si="160"/>
        <v>0</v>
      </c>
      <c r="T248">
        <f t="shared" si="161"/>
        <v>0</v>
      </c>
      <c r="U248">
        <f t="shared" si="162"/>
        <v>0</v>
      </c>
      <c r="V248">
        <f t="shared" si="163"/>
        <v>0</v>
      </c>
      <c r="W248">
        <f t="shared" si="164"/>
        <v>0</v>
      </c>
      <c r="X248">
        <f t="shared" si="165"/>
        <v>0</v>
      </c>
      <c r="Y248">
        <f t="shared" si="166"/>
        <v>0</v>
      </c>
      <c r="Z248">
        <f t="shared" si="167"/>
        <v>0</v>
      </c>
      <c r="AA248">
        <f t="shared" si="168"/>
        <v>0</v>
      </c>
      <c r="AB248">
        <f t="shared" si="169"/>
        <v>0</v>
      </c>
      <c r="AC248">
        <f t="shared" si="170"/>
        <v>0</v>
      </c>
      <c r="AD248">
        <f t="shared" si="171"/>
        <v>0</v>
      </c>
      <c r="AE248">
        <f t="shared" si="172"/>
        <v>0</v>
      </c>
      <c r="AF248">
        <f t="shared" si="173"/>
        <v>0</v>
      </c>
      <c r="AG248">
        <f t="shared" si="174"/>
        <v>0</v>
      </c>
      <c r="AH248">
        <f t="shared" si="175"/>
        <v>0</v>
      </c>
      <c r="AI248">
        <f t="shared" si="176"/>
        <v>0</v>
      </c>
      <c r="AJ248">
        <f t="shared" si="177"/>
        <v>0</v>
      </c>
      <c r="AK248">
        <f t="shared" si="178"/>
        <v>0</v>
      </c>
      <c r="AL248">
        <f t="shared" si="179"/>
        <v>0</v>
      </c>
      <c r="AM248">
        <f t="shared" si="180"/>
        <v>0</v>
      </c>
      <c r="AN248">
        <f t="shared" si="181"/>
        <v>0</v>
      </c>
      <c r="AO248">
        <f t="shared" si="182"/>
        <v>0</v>
      </c>
      <c r="AP248">
        <f t="shared" si="183"/>
        <v>0</v>
      </c>
      <c r="AQ248">
        <f t="shared" si="184"/>
        <v>0</v>
      </c>
      <c r="AR248">
        <f t="shared" si="185"/>
        <v>0</v>
      </c>
      <c r="AS248">
        <f t="shared" si="186"/>
        <v>0</v>
      </c>
      <c r="AT248">
        <f t="shared" si="187"/>
        <v>0</v>
      </c>
      <c r="AU248">
        <f t="shared" si="188"/>
        <v>0</v>
      </c>
      <c r="AV248">
        <f t="shared" si="189"/>
        <v>0</v>
      </c>
      <c r="AW248">
        <f t="shared" si="144"/>
        <v>0</v>
      </c>
      <c r="AX248">
        <f t="shared" si="190"/>
        <v>0</v>
      </c>
      <c r="AY248">
        <f t="shared" si="191"/>
        <v>0</v>
      </c>
    </row>
    <row r="249" spans="1:51" x14ac:dyDescent="0.35">
      <c r="A249">
        <v>243</v>
      </c>
      <c r="C249">
        <f>MAX(0,Calc!$C$7-SUM(D249:R249))</f>
        <v>750</v>
      </c>
      <c r="D249">
        <f t="shared" si="145"/>
        <v>0</v>
      </c>
      <c r="E249">
        <f t="shared" si="146"/>
        <v>0</v>
      </c>
      <c r="F249">
        <f t="shared" si="147"/>
        <v>0</v>
      </c>
      <c r="G249">
        <f t="shared" si="148"/>
        <v>0</v>
      </c>
      <c r="H249">
        <f t="shared" si="149"/>
        <v>0</v>
      </c>
      <c r="I249">
        <f t="shared" si="150"/>
        <v>0</v>
      </c>
      <c r="J249">
        <f t="shared" si="151"/>
        <v>0</v>
      </c>
      <c r="K249">
        <f t="shared" si="152"/>
        <v>0</v>
      </c>
      <c r="L249">
        <f t="shared" si="153"/>
        <v>0</v>
      </c>
      <c r="M249">
        <f t="shared" si="154"/>
        <v>0</v>
      </c>
      <c r="N249">
        <f t="shared" si="155"/>
        <v>0</v>
      </c>
      <c r="O249">
        <f t="shared" si="156"/>
        <v>0</v>
      </c>
      <c r="P249">
        <f t="shared" si="157"/>
        <v>0</v>
      </c>
      <c r="Q249">
        <f t="shared" si="158"/>
        <v>0</v>
      </c>
      <c r="R249">
        <f t="shared" si="159"/>
        <v>0</v>
      </c>
      <c r="S249">
        <f t="shared" si="160"/>
        <v>0</v>
      </c>
      <c r="T249">
        <f t="shared" si="161"/>
        <v>0</v>
      </c>
      <c r="U249">
        <f t="shared" si="162"/>
        <v>0</v>
      </c>
      <c r="V249">
        <f t="shared" si="163"/>
        <v>0</v>
      </c>
      <c r="W249">
        <f t="shared" si="164"/>
        <v>0</v>
      </c>
      <c r="X249">
        <f t="shared" si="165"/>
        <v>0</v>
      </c>
      <c r="Y249">
        <f t="shared" si="166"/>
        <v>0</v>
      </c>
      <c r="Z249">
        <f t="shared" si="167"/>
        <v>0</v>
      </c>
      <c r="AA249">
        <f t="shared" si="168"/>
        <v>0</v>
      </c>
      <c r="AB249">
        <f t="shared" si="169"/>
        <v>0</v>
      </c>
      <c r="AC249">
        <f t="shared" si="170"/>
        <v>0</v>
      </c>
      <c r="AD249">
        <f t="shared" si="171"/>
        <v>0</v>
      </c>
      <c r="AE249">
        <f t="shared" si="172"/>
        <v>0</v>
      </c>
      <c r="AF249">
        <f t="shared" si="173"/>
        <v>0</v>
      </c>
      <c r="AG249">
        <f t="shared" si="174"/>
        <v>0</v>
      </c>
      <c r="AH249">
        <f t="shared" si="175"/>
        <v>0</v>
      </c>
      <c r="AI249">
        <f t="shared" si="176"/>
        <v>0</v>
      </c>
      <c r="AJ249">
        <f t="shared" si="177"/>
        <v>0</v>
      </c>
      <c r="AK249">
        <f t="shared" si="178"/>
        <v>0</v>
      </c>
      <c r="AL249">
        <f t="shared" si="179"/>
        <v>0</v>
      </c>
      <c r="AM249">
        <f t="shared" si="180"/>
        <v>0</v>
      </c>
      <c r="AN249">
        <f t="shared" si="181"/>
        <v>0</v>
      </c>
      <c r="AO249">
        <f t="shared" si="182"/>
        <v>0</v>
      </c>
      <c r="AP249">
        <f t="shared" si="183"/>
        <v>0</v>
      </c>
      <c r="AQ249">
        <f t="shared" si="184"/>
        <v>0</v>
      </c>
      <c r="AR249">
        <f t="shared" si="185"/>
        <v>0</v>
      </c>
      <c r="AS249">
        <f t="shared" si="186"/>
        <v>0</v>
      </c>
      <c r="AT249">
        <f t="shared" si="187"/>
        <v>0</v>
      </c>
      <c r="AU249">
        <f t="shared" si="188"/>
        <v>0</v>
      </c>
      <c r="AV249">
        <f t="shared" si="189"/>
        <v>0</v>
      </c>
      <c r="AW249">
        <f t="shared" si="144"/>
        <v>0</v>
      </c>
      <c r="AX249">
        <f t="shared" si="190"/>
        <v>0</v>
      </c>
      <c r="AY249">
        <f t="shared" si="191"/>
        <v>0</v>
      </c>
    </row>
    <row r="250" spans="1:51" x14ac:dyDescent="0.35">
      <c r="A250">
        <v>244</v>
      </c>
      <c r="C250">
        <f>MAX(0,Calc!$C$7-SUM(D250:R250))</f>
        <v>750</v>
      </c>
      <c r="D250">
        <f t="shared" si="145"/>
        <v>0</v>
      </c>
      <c r="E250">
        <f t="shared" si="146"/>
        <v>0</v>
      </c>
      <c r="F250">
        <f t="shared" si="147"/>
        <v>0</v>
      </c>
      <c r="G250">
        <f t="shared" si="148"/>
        <v>0</v>
      </c>
      <c r="H250">
        <f t="shared" si="149"/>
        <v>0</v>
      </c>
      <c r="I250">
        <f t="shared" si="150"/>
        <v>0</v>
      </c>
      <c r="J250">
        <f t="shared" si="151"/>
        <v>0</v>
      </c>
      <c r="K250">
        <f t="shared" si="152"/>
        <v>0</v>
      </c>
      <c r="L250">
        <f t="shared" si="153"/>
        <v>0</v>
      </c>
      <c r="M250">
        <f t="shared" si="154"/>
        <v>0</v>
      </c>
      <c r="N250">
        <f t="shared" si="155"/>
        <v>0</v>
      </c>
      <c r="O250">
        <f t="shared" si="156"/>
        <v>0</v>
      </c>
      <c r="P250">
        <f t="shared" si="157"/>
        <v>0</v>
      </c>
      <c r="Q250">
        <f t="shared" si="158"/>
        <v>0</v>
      </c>
      <c r="R250">
        <f t="shared" si="159"/>
        <v>0</v>
      </c>
      <c r="S250">
        <f t="shared" si="160"/>
        <v>0</v>
      </c>
      <c r="T250">
        <f t="shared" si="161"/>
        <v>0</v>
      </c>
      <c r="U250">
        <f t="shared" si="162"/>
        <v>0</v>
      </c>
      <c r="V250">
        <f t="shared" si="163"/>
        <v>0</v>
      </c>
      <c r="W250">
        <f t="shared" si="164"/>
        <v>0</v>
      </c>
      <c r="X250">
        <f t="shared" si="165"/>
        <v>0</v>
      </c>
      <c r="Y250">
        <f t="shared" si="166"/>
        <v>0</v>
      </c>
      <c r="Z250">
        <f t="shared" si="167"/>
        <v>0</v>
      </c>
      <c r="AA250">
        <f t="shared" si="168"/>
        <v>0</v>
      </c>
      <c r="AB250">
        <f t="shared" si="169"/>
        <v>0</v>
      </c>
      <c r="AC250">
        <f t="shared" si="170"/>
        <v>0</v>
      </c>
      <c r="AD250">
        <f t="shared" si="171"/>
        <v>0</v>
      </c>
      <c r="AE250">
        <f t="shared" si="172"/>
        <v>0</v>
      </c>
      <c r="AF250">
        <f t="shared" si="173"/>
        <v>0</v>
      </c>
      <c r="AG250">
        <f t="shared" si="174"/>
        <v>0</v>
      </c>
      <c r="AH250">
        <f t="shared" si="175"/>
        <v>0</v>
      </c>
      <c r="AI250">
        <f t="shared" si="176"/>
        <v>0</v>
      </c>
      <c r="AJ250">
        <f t="shared" si="177"/>
        <v>0</v>
      </c>
      <c r="AK250">
        <f t="shared" si="178"/>
        <v>0</v>
      </c>
      <c r="AL250">
        <f t="shared" si="179"/>
        <v>0</v>
      </c>
      <c r="AM250">
        <f t="shared" si="180"/>
        <v>0</v>
      </c>
      <c r="AN250">
        <f t="shared" si="181"/>
        <v>0</v>
      </c>
      <c r="AO250">
        <f t="shared" si="182"/>
        <v>0</v>
      </c>
      <c r="AP250">
        <f t="shared" si="183"/>
        <v>0</v>
      </c>
      <c r="AQ250">
        <f t="shared" si="184"/>
        <v>0</v>
      </c>
      <c r="AR250">
        <f t="shared" si="185"/>
        <v>0</v>
      </c>
      <c r="AS250">
        <f t="shared" si="186"/>
        <v>0</v>
      </c>
      <c r="AT250">
        <f t="shared" si="187"/>
        <v>0</v>
      </c>
      <c r="AU250">
        <f t="shared" si="188"/>
        <v>0</v>
      </c>
      <c r="AV250">
        <f t="shared" si="189"/>
        <v>0</v>
      </c>
      <c r="AW250">
        <f t="shared" si="144"/>
        <v>0</v>
      </c>
      <c r="AX250">
        <f t="shared" si="190"/>
        <v>0</v>
      </c>
      <c r="AY250">
        <f t="shared" si="191"/>
        <v>0</v>
      </c>
    </row>
    <row r="251" spans="1:51" x14ac:dyDescent="0.35">
      <c r="A251">
        <v>245</v>
      </c>
      <c r="C251">
        <f>MAX(0,Calc!$C$7-SUM(D251:R251))</f>
        <v>750</v>
      </c>
      <c r="D251">
        <f t="shared" si="145"/>
        <v>0</v>
      </c>
      <c r="E251">
        <f t="shared" si="146"/>
        <v>0</v>
      </c>
      <c r="F251">
        <f t="shared" si="147"/>
        <v>0</v>
      </c>
      <c r="G251">
        <f t="shared" si="148"/>
        <v>0</v>
      </c>
      <c r="H251">
        <f t="shared" si="149"/>
        <v>0</v>
      </c>
      <c r="I251">
        <f t="shared" si="150"/>
        <v>0</v>
      </c>
      <c r="J251">
        <f t="shared" si="151"/>
        <v>0</v>
      </c>
      <c r="K251">
        <f t="shared" si="152"/>
        <v>0</v>
      </c>
      <c r="L251">
        <f t="shared" si="153"/>
        <v>0</v>
      </c>
      <c r="M251">
        <f t="shared" si="154"/>
        <v>0</v>
      </c>
      <c r="N251">
        <f t="shared" si="155"/>
        <v>0</v>
      </c>
      <c r="O251">
        <f t="shared" si="156"/>
        <v>0</v>
      </c>
      <c r="P251">
        <f t="shared" si="157"/>
        <v>0</v>
      </c>
      <c r="Q251">
        <f t="shared" si="158"/>
        <v>0</v>
      </c>
      <c r="R251">
        <f t="shared" si="159"/>
        <v>0</v>
      </c>
      <c r="S251">
        <f t="shared" si="160"/>
        <v>0</v>
      </c>
      <c r="T251">
        <f t="shared" si="161"/>
        <v>0</v>
      </c>
      <c r="U251">
        <f t="shared" si="162"/>
        <v>0</v>
      </c>
      <c r="V251">
        <f t="shared" si="163"/>
        <v>0</v>
      </c>
      <c r="W251">
        <f t="shared" si="164"/>
        <v>0</v>
      </c>
      <c r="X251">
        <f t="shared" si="165"/>
        <v>0</v>
      </c>
      <c r="Y251">
        <f t="shared" si="166"/>
        <v>0</v>
      </c>
      <c r="Z251">
        <f t="shared" si="167"/>
        <v>0</v>
      </c>
      <c r="AA251">
        <f t="shared" si="168"/>
        <v>0</v>
      </c>
      <c r="AB251">
        <f t="shared" si="169"/>
        <v>0</v>
      </c>
      <c r="AC251">
        <f t="shared" si="170"/>
        <v>0</v>
      </c>
      <c r="AD251">
        <f t="shared" si="171"/>
        <v>0</v>
      </c>
      <c r="AE251">
        <f t="shared" si="172"/>
        <v>0</v>
      </c>
      <c r="AF251">
        <f t="shared" si="173"/>
        <v>0</v>
      </c>
      <c r="AG251">
        <f t="shared" si="174"/>
        <v>0</v>
      </c>
      <c r="AH251">
        <f t="shared" si="175"/>
        <v>0</v>
      </c>
      <c r="AI251">
        <f t="shared" si="176"/>
        <v>0</v>
      </c>
      <c r="AJ251">
        <f t="shared" si="177"/>
        <v>0</v>
      </c>
      <c r="AK251">
        <f t="shared" si="178"/>
        <v>0</v>
      </c>
      <c r="AL251">
        <f t="shared" si="179"/>
        <v>0</v>
      </c>
      <c r="AM251">
        <f t="shared" si="180"/>
        <v>0</v>
      </c>
      <c r="AN251">
        <f t="shared" si="181"/>
        <v>0</v>
      </c>
      <c r="AO251">
        <f t="shared" si="182"/>
        <v>0</v>
      </c>
      <c r="AP251">
        <f t="shared" si="183"/>
        <v>0</v>
      </c>
      <c r="AQ251">
        <f t="shared" si="184"/>
        <v>0</v>
      </c>
      <c r="AR251">
        <f t="shared" si="185"/>
        <v>0</v>
      </c>
      <c r="AS251">
        <f t="shared" si="186"/>
        <v>0</v>
      </c>
      <c r="AT251">
        <f t="shared" si="187"/>
        <v>0</v>
      </c>
      <c r="AU251">
        <f t="shared" si="188"/>
        <v>0</v>
      </c>
      <c r="AV251">
        <f t="shared" si="189"/>
        <v>0</v>
      </c>
      <c r="AW251">
        <f t="shared" si="144"/>
        <v>0</v>
      </c>
      <c r="AX251">
        <f t="shared" si="190"/>
        <v>0</v>
      </c>
      <c r="AY251">
        <f t="shared" si="191"/>
        <v>0</v>
      </c>
    </row>
    <row r="252" spans="1:51" x14ac:dyDescent="0.35">
      <c r="A252">
        <v>246</v>
      </c>
      <c r="C252">
        <f>MAX(0,Calc!$C$7-SUM(D252:R252))</f>
        <v>750</v>
      </c>
      <c r="D252">
        <f t="shared" si="145"/>
        <v>0</v>
      </c>
      <c r="E252">
        <f t="shared" si="146"/>
        <v>0</v>
      </c>
      <c r="F252">
        <f t="shared" si="147"/>
        <v>0</v>
      </c>
      <c r="G252">
        <f t="shared" si="148"/>
        <v>0</v>
      </c>
      <c r="H252">
        <f t="shared" si="149"/>
        <v>0</v>
      </c>
      <c r="I252">
        <f t="shared" si="150"/>
        <v>0</v>
      </c>
      <c r="J252">
        <f t="shared" si="151"/>
        <v>0</v>
      </c>
      <c r="K252">
        <f t="shared" si="152"/>
        <v>0</v>
      </c>
      <c r="L252">
        <f t="shared" si="153"/>
        <v>0</v>
      </c>
      <c r="M252">
        <f t="shared" si="154"/>
        <v>0</v>
      </c>
      <c r="N252">
        <f t="shared" si="155"/>
        <v>0</v>
      </c>
      <c r="O252">
        <f t="shared" si="156"/>
        <v>0</v>
      </c>
      <c r="P252">
        <f t="shared" si="157"/>
        <v>0</v>
      </c>
      <c r="Q252">
        <f t="shared" si="158"/>
        <v>0</v>
      </c>
      <c r="R252">
        <f t="shared" si="159"/>
        <v>0</v>
      </c>
      <c r="S252">
        <f t="shared" si="160"/>
        <v>0</v>
      </c>
      <c r="T252">
        <f t="shared" si="161"/>
        <v>0</v>
      </c>
      <c r="U252">
        <f t="shared" si="162"/>
        <v>0</v>
      </c>
      <c r="V252">
        <f t="shared" si="163"/>
        <v>0</v>
      </c>
      <c r="W252">
        <f t="shared" si="164"/>
        <v>0</v>
      </c>
      <c r="X252">
        <f t="shared" si="165"/>
        <v>0</v>
      </c>
      <c r="Y252">
        <f t="shared" si="166"/>
        <v>0</v>
      </c>
      <c r="Z252">
        <f t="shared" si="167"/>
        <v>0</v>
      </c>
      <c r="AA252">
        <f t="shared" si="168"/>
        <v>0</v>
      </c>
      <c r="AB252">
        <f t="shared" si="169"/>
        <v>0</v>
      </c>
      <c r="AC252">
        <f t="shared" si="170"/>
        <v>0</v>
      </c>
      <c r="AD252">
        <f t="shared" si="171"/>
        <v>0</v>
      </c>
      <c r="AE252">
        <f t="shared" si="172"/>
        <v>0</v>
      </c>
      <c r="AF252">
        <f t="shared" si="173"/>
        <v>0</v>
      </c>
      <c r="AG252">
        <f t="shared" si="174"/>
        <v>0</v>
      </c>
      <c r="AH252">
        <f t="shared" si="175"/>
        <v>0</v>
      </c>
      <c r="AI252">
        <f t="shared" si="176"/>
        <v>0</v>
      </c>
      <c r="AJ252">
        <f t="shared" si="177"/>
        <v>0</v>
      </c>
      <c r="AK252">
        <f t="shared" si="178"/>
        <v>0</v>
      </c>
      <c r="AL252">
        <f t="shared" si="179"/>
        <v>0</v>
      </c>
      <c r="AM252">
        <f t="shared" si="180"/>
        <v>0</v>
      </c>
      <c r="AN252">
        <f t="shared" si="181"/>
        <v>0</v>
      </c>
      <c r="AO252">
        <f t="shared" si="182"/>
        <v>0</v>
      </c>
      <c r="AP252">
        <f t="shared" si="183"/>
        <v>0</v>
      </c>
      <c r="AQ252">
        <f t="shared" si="184"/>
        <v>0</v>
      </c>
      <c r="AR252">
        <f t="shared" si="185"/>
        <v>0</v>
      </c>
      <c r="AS252">
        <f t="shared" si="186"/>
        <v>0</v>
      </c>
      <c r="AT252">
        <f t="shared" si="187"/>
        <v>0</v>
      </c>
      <c r="AU252">
        <f t="shared" si="188"/>
        <v>0</v>
      </c>
      <c r="AV252">
        <f t="shared" si="189"/>
        <v>0</v>
      </c>
      <c r="AW252">
        <f t="shared" si="144"/>
        <v>0</v>
      </c>
      <c r="AX252">
        <f t="shared" si="190"/>
        <v>0</v>
      </c>
      <c r="AY252">
        <f t="shared" si="191"/>
        <v>0</v>
      </c>
    </row>
    <row r="253" spans="1:51" x14ac:dyDescent="0.35">
      <c r="A253">
        <v>247</v>
      </c>
      <c r="C253">
        <f>MAX(0,Calc!$C$7-SUM(D253:R253))</f>
        <v>750</v>
      </c>
      <c r="D253">
        <f t="shared" si="145"/>
        <v>0</v>
      </c>
      <c r="E253">
        <f t="shared" si="146"/>
        <v>0</v>
      </c>
      <c r="F253">
        <f t="shared" si="147"/>
        <v>0</v>
      </c>
      <c r="G253">
        <f t="shared" si="148"/>
        <v>0</v>
      </c>
      <c r="H253">
        <f t="shared" si="149"/>
        <v>0</v>
      </c>
      <c r="I253">
        <f t="shared" si="150"/>
        <v>0</v>
      </c>
      <c r="J253">
        <f t="shared" si="151"/>
        <v>0</v>
      </c>
      <c r="K253">
        <f t="shared" si="152"/>
        <v>0</v>
      </c>
      <c r="L253">
        <f t="shared" si="153"/>
        <v>0</v>
      </c>
      <c r="M253">
        <f t="shared" si="154"/>
        <v>0</v>
      </c>
      <c r="N253">
        <f t="shared" si="155"/>
        <v>0</v>
      </c>
      <c r="O253">
        <f t="shared" si="156"/>
        <v>0</v>
      </c>
      <c r="P253">
        <f t="shared" si="157"/>
        <v>0</v>
      </c>
      <c r="Q253">
        <f t="shared" si="158"/>
        <v>0</v>
      </c>
      <c r="R253">
        <f t="shared" si="159"/>
        <v>0</v>
      </c>
      <c r="S253">
        <f t="shared" si="160"/>
        <v>0</v>
      </c>
      <c r="T253">
        <f t="shared" si="161"/>
        <v>0</v>
      </c>
      <c r="U253">
        <f t="shared" si="162"/>
        <v>0</v>
      </c>
      <c r="V253">
        <f t="shared" si="163"/>
        <v>0</v>
      </c>
      <c r="W253">
        <f t="shared" si="164"/>
        <v>0</v>
      </c>
      <c r="X253">
        <f t="shared" si="165"/>
        <v>0</v>
      </c>
      <c r="Y253">
        <f t="shared" si="166"/>
        <v>0</v>
      </c>
      <c r="Z253">
        <f t="shared" si="167"/>
        <v>0</v>
      </c>
      <c r="AA253">
        <f t="shared" si="168"/>
        <v>0</v>
      </c>
      <c r="AB253">
        <f t="shared" si="169"/>
        <v>0</v>
      </c>
      <c r="AC253">
        <f t="shared" si="170"/>
        <v>0</v>
      </c>
      <c r="AD253">
        <f t="shared" si="171"/>
        <v>0</v>
      </c>
      <c r="AE253">
        <f t="shared" si="172"/>
        <v>0</v>
      </c>
      <c r="AF253">
        <f t="shared" si="173"/>
        <v>0</v>
      </c>
      <c r="AG253">
        <f t="shared" si="174"/>
        <v>0</v>
      </c>
      <c r="AH253">
        <f t="shared" si="175"/>
        <v>0</v>
      </c>
      <c r="AI253">
        <f t="shared" si="176"/>
        <v>0</v>
      </c>
      <c r="AJ253">
        <f t="shared" si="177"/>
        <v>0</v>
      </c>
      <c r="AK253">
        <f t="shared" si="178"/>
        <v>0</v>
      </c>
      <c r="AL253">
        <f t="shared" si="179"/>
        <v>0</v>
      </c>
      <c r="AM253">
        <f t="shared" si="180"/>
        <v>0</v>
      </c>
      <c r="AN253">
        <f t="shared" si="181"/>
        <v>0</v>
      </c>
      <c r="AO253">
        <f t="shared" si="182"/>
        <v>0</v>
      </c>
      <c r="AP253">
        <f t="shared" si="183"/>
        <v>0</v>
      </c>
      <c r="AQ253">
        <f t="shared" si="184"/>
        <v>0</v>
      </c>
      <c r="AR253">
        <f t="shared" si="185"/>
        <v>0</v>
      </c>
      <c r="AS253">
        <f t="shared" si="186"/>
        <v>0</v>
      </c>
      <c r="AT253">
        <f t="shared" si="187"/>
        <v>0</v>
      </c>
      <c r="AU253">
        <f t="shared" si="188"/>
        <v>0</v>
      </c>
      <c r="AV253">
        <f t="shared" si="189"/>
        <v>0</v>
      </c>
      <c r="AW253">
        <f t="shared" si="144"/>
        <v>0</v>
      </c>
      <c r="AX253">
        <f t="shared" si="190"/>
        <v>0</v>
      </c>
      <c r="AY253">
        <f t="shared" si="191"/>
        <v>0</v>
      </c>
    </row>
    <row r="254" spans="1:51" x14ac:dyDescent="0.35">
      <c r="A254">
        <v>248</v>
      </c>
      <c r="C254">
        <f>MAX(0,Calc!$C$7-SUM(D254:R254))</f>
        <v>750</v>
      </c>
      <c r="D254">
        <f t="shared" si="145"/>
        <v>0</v>
      </c>
      <c r="E254">
        <f t="shared" si="146"/>
        <v>0</v>
      </c>
      <c r="F254">
        <f t="shared" si="147"/>
        <v>0</v>
      </c>
      <c r="G254">
        <f t="shared" si="148"/>
        <v>0</v>
      </c>
      <c r="H254">
        <f t="shared" si="149"/>
        <v>0</v>
      </c>
      <c r="I254">
        <f t="shared" si="150"/>
        <v>0</v>
      </c>
      <c r="J254">
        <f t="shared" si="151"/>
        <v>0</v>
      </c>
      <c r="K254">
        <f t="shared" si="152"/>
        <v>0</v>
      </c>
      <c r="L254">
        <f t="shared" si="153"/>
        <v>0</v>
      </c>
      <c r="M254">
        <f t="shared" si="154"/>
        <v>0</v>
      </c>
      <c r="N254">
        <f t="shared" si="155"/>
        <v>0</v>
      </c>
      <c r="O254">
        <f t="shared" si="156"/>
        <v>0</v>
      </c>
      <c r="P254">
        <f t="shared" si="157"/>
        <v>0</v>
      </c>
      <c r="Q254">
        <f t="shared" si="158"/>
        <v>0</v>
      </c>
      <c r="R254">
        <f t="shared" si="159"/>
        <v>0</v>
      </c>
      <c r="S254">
        <f t="shared" si="160"/>
        <v>0</v>
      </c>
      <c r="T254">
        <f t="shared" si="161"/>
        <v>0</v>
      </c>
      <c r="U254">
        <f t="shared" si="162"/>
        <v>0</v>
      </c>
      <c r="V254">
        <f t="shared" si="163"/>
        <v>0</v>
      </c>
      <c r="W254">
        <f t="shared" si="164"/>
        <v>0</v>
      </c>
      <c r="X254">
        <f t="shared" si="165"/>
        <v>0</v>
      </c>
      <c r="Y254">
        <f t="shared" si="166"/>
        <v>0</v>
      </c>
      <c r="Z254">
        <f t="shared" si="167"/>
        <v>0</v>
      </c>
      <c r="AA254">
        <f t="shared" si="168"/>
        <v>0</v>
      </c>
      <c r="AB254">
        <f t="shared" si="169"/>
        <v>0</v>
      </c>
      <c r="AC254">
        <f t="shared" si="170"/>
        <v>0</v>
      </c>
      <c r="AD254">
        <f t="shared" si="171"/>
        <v>0</v>
      </c>
      <c r="AE254">
        <f t="shared" si="172"/>
        <v>0</v>
      </c>
      <c r="AF254">
        <f t="shared" si="173"/>
        <v>0</v>
      </c>
      <c r="AG254">
        <f t="shared" si="174"/>
        <v>0</v>
      </c>
      <c r="AH254">
        <f t="shared" si="175"/>
        <v>0</v>
      </c>
      <c r="AI254">
        <f t="shared" si="176"/>
        <v>0</v>
      </c>
      <c r="AJ254">
        <f t="shared" si="177"/>
        <v>0</v>
      </c>
      <c r="AK254">
        <f t="shared" si="178"/>
        <v>0</v>
      </c>
      <c r="AL254">
        <f t="shared" si="179"/>
        <v>0</v>
      </c>
      <c r="AM254">
        <f t="shared" si="180"/>
        <v>0</v>
      </c>
      <c r="AN254">
        <f t="shared" si="181"/>
        <v>0</v>
      </c>
      <c r="AO254">
        <f t="shared" si="182"/>
        <v>0</v>
      </c>
      <c r="AP254">
        <f t="shared" si="183"/>
        <v>0</v>
      </c>
      <c r="AQ254">
        <f t="shared" si="184"/>
        <v>0</v>
      </c>
      <c r="AR254">
        <f t="shared" si="185"/>
        <v>0</v>
      </c>
      <c r="AS254">
        <f t="shared" si="186"/>
        <v>0</v>
      </c>
      <c r="AT254">
        <f t="shared" si="187"/>
        <v>0</v>
      </c>
      <c r="AU254">
        <f t="shared" si="188"/>
        <v>0</v>
      </c>
      <c r="AV254">
        <f t="shared" si="189"/>
        <v>0</v>
      </c>
      <c r="AW254">
        <f t="shared" si="144"/>
        <v>0</v>
      </c>
      <c r="AX254">
        <f t="shared" si="190"/>
        <v>0</v>
      </c>
      <c r="AY254">
        <f t="shared" si="191"/>
        <v>0</v>
      </c>
    </row>
    <row r="255" spans="1:51" x14ac:dyDescent="0.35">
      <c r="A255">
        <v>249</v>
      </c>
      <c r="C255">
        <f>MAX(0,Calc!$C$7-SUM(D255:R255))</f>
        <v>750</v>
      </c>
      <c r="D255">
        <f t="shared" si="145"/>
        <v>0</v>
      </c>
      <c r="E255">
        <f t="shared" si="146"/>
        <v>0</v>
      </c>
      <c r="F255">
        <f t="shared" si="147"/>
        <v>0</v>
      </c>
      <c r="G255">
        <f t="shared" si="148"/>
        <v>0</v>
      </c>
      <c r="H255">
        <f t="shared" si="149"/>
        <v>0</v>
      </c>
      <c r="I255">
        <f t="shared" si="150"/>
        <v>0</v>
      </c>
      <c r="J255">
        <f t="shared" si="151"/>
        <v>0</v>
      </c>
      <c r="K255">
        <f t="shared" si="152"/>
        <v>0</v>
      </c>
      <c r="L255">
        <f t="shared" si="153"/>
        <v>0</v>
      </c>
      <c r="M255">
        <f t="shared" si="154"/>
        <v>0</v>
      </c>
      <c r="N255">
        <f t="shared" si="155"/>
        <v>0</v>
      </c>
      <c r="O255">
        <f t="shared" si="156"/>
        <v>0</v>
      </c>
      <c r="P255">
        <f t="shared" si="157"/>
        <v>0</v>
      </c>
      <c r="Q255">
        <f t="shared" si="158"/>
        <v>0</v>
      </c>
      <c r="R255">
        <f t="shared" si="159"/>
        <v>0</v>
      </c>
      <c r="S255">
        <f t="shared" si="160"/>
        <v>0</v>
      </c>
      <c r="T255">
        <f t="shared" si="161"/>
        <v>0</v>
      </c>
      <c r="U255">
        <f t="shared" si="162"/>
        <v>0</v>
      </c>
      <c r="V255">
        <f t="shared" si="163"/>
        <v>0</v>
      </c>
      <c r="W255">
        <f t="shared" si="164"/>
        <v>0</v>
      </c>
      <c r="X255">
        <f t="shared" si="165"/>
        <v>0</v>
      </c>
      <c r="Y255">
        <f t="shared" si="166"/>
        <v>0</v>
      </c>
      <c r="Z255">
        <f t="shared" si="167"/>
        <v>0</v>
      </c>
      <c r="AA255">
        <f t="shared" si="168"/>
        <v>0</v>
      </c>
      <c r="AB255">
        <f t="shared" si="169"/>
        <v>0</v>
      </c>
      <c r="AC255">
        <f t="shared" si="170"/>
        <v>0</v>
      </c>
      <c r="AD255">
        <f t="shared" si="171"/>
        <v>0</v>
      </c>
      <c r="AE255">
        <f t="shared" si="172"/>
        <v>0</v>
      </c>
      <c r="AF255">
        <f t="shared" si="173"/>
        <v>0</v>
      </c>
      <c r="AG255">
        <f t="shared" si="174"/>
        <v>0</v>
      </c>
      <c r="AH255">
        <f t="shared" si="175"/>
        <v>0</v>
      </c>
      <c r="AI255">
        <f t="shared" si="176"/>
        <v>0</v>
      </c>
      <c r="AJ255">
        <f t="shared" si="177"/>
        <v>0</v>
      </c>
      <c r="AK255">
        <f t="shared" si="178"/>
        <v>0</v>
      </c>
      <c r="AL255">
        <f t="shared" si="179"/>
        <v>0</v>
      </c>
      <c r="AM255">
        <f t="shared" si="180"/>
        <v>0</v>
      </c>
      <c r="AN255">
        <f t="shared" si="181"/>
        <v>0</v>
      </c>
      <c r="AO255">
        <f t="shared" si="182"/>
        <v>0</v>
      </c>
      <c r="AP255">
        <f t="shared" si="183"/>
        <v>0</v>
      </c>
      <c r="AQ255">
        <f t="shared" si="184"/>
        <v>0</v>
      </c>
      <c r="AR255">
        <f t="shared" si="185"/>
        <v>0</v>
      </c>
      <c r="AS255">
        <f t="shared" si="186"/>
        <v>0</v>
      </c>
      <c r="AT255">
        <f t="shared" si="187"/>
        <v>0</v>
      </c>
      <c r="AU255">
        <f t="shared" si="188"/>
        <v>0</v>
      </c>
      <c r="AV255">
        <f t="shared" si="189"/>
        <v>0</v>
      </c>
      <c r="AW255">
        <f t="shared" si="144"/>
        <v>0</v>
      </c>
      <c r="AX255">
        <f t="shared" si="190"/>
        <v>0</v>
      </c>
      <c r="AY255">
        <f t="shared" si="191"/>
        <v>0</v>
      </c>
    </row>
    <row r="256" spans="1:51" x14ac:dyDescent="0.35">
      <c r="A256">
        <v>250</v>
      </c>
      <c r="C256">
        <f>MAX(0,Calc!$C$7-SUM(D256:R256))</f>
        <v>750</v>
      </c>
      <c r="D256">
        <f t="shared" si="145"/>
        <v>0</v>
      </c>
      <c r="E256">
        <f t="shared" si="146"/>
        <v>0</v>
      </c>
      <c r="F256">
        <f t="shared" si="147"/>
        <v>0</v>
      </c>
      <c r="G256">
        <f t="shared" si="148"/>
        <v>0</v>
      </c>
      <c r="H256">
        <f t="shared" si="149"/>
        <v>0</v>
      </c>
      <c r="I256">
        <f t="shared" si="150"/>
        <v>0</v>
      </c>
      <c r="J256">
        <f t="shared" si="151"/>
        <v>0</v>
      </c>
      <c r="K256">
        <f t="shared" si="152"/>
        <v>0</v>
      </c>
      <c r="L256">
        <f t="shared" si="153"/>
        <v>0</v>
      </c>
      <c r="M256">
        <f t="shared" si="154"/>
        <v>0</v>
      </c>
      <c r="N256">
        <f t="shared" si="155"/>
        <v>0</v>
      </c>
      <c r="O256">
        <f t="shared" si="156"/>
        <v>0</v>
      </c>
      <c r="P256">
        <f t="shared" si="157"/>
        <v>0</v>
      </c>
      <c r="Q256">
        <f t="shared" si="158"/>
        <v>0</v>
      </c>
      <c r="R256">
        <f t="shared" si="159"/>
        <v>0</v>
      </c>
      <c r="S256">
        <f t="shared" si="160"/>
        <v>0</v>
      </c>
      <c r="T256">
        <f t="shared" si="161"/>
        <v>0</v>
      </c>
      <c r="U256">
        <f t="shared" si="162"/>
        <v>0</v>
      </c>
      <c r="V256">
        <f t="shared" si="163"/>
        <v>0</v>
      </c>
      <c r="W256">
        <f t="shared" si="164"/>
        <v>0</v>
      </c>
      <c r="X256">
        <f t="shared" si="165"/>
        <v>0</v>
      </c>
      <c r="Y256">
        <f t="shared" si="166"/>
        <v>0</v>
      </c>
      <c r="Z256">
        <f t="shared" si="167"/>
        <v>0</v>
      </c>
      <c r="AA256">
        <f t="shared" si="168"/>
        <v>0</v>
      </c>
      <c r="AB256">
        <f t="shared" si="169"/>
        <v>0</v>
      </c>
      <c r="AC256">
        <f t="shared" si="170"/>
        <v>0</v>
      </c>
      <c r="AD256">
        <f t="shared" si="171"/>
        <v>0</v>
      </c>
      <c r="AE256">
        <f t="shared" si="172"/>
        <v>0</v>
      </c>
      <c r="AF256">
        <f t="shared" si="173"/>
        <v>0</v>
      </c>
      <c r="AG256">
        <f t="shared" si="174"/>
        <v>0</v>
      </c>
      <c r="AH256">
        <f t="shared" si="175"/>
        <v>0</v>
      </c>
      <c r="AI256">
        <f t="shared" si="176"/>
        <v>0</v>
      </c>
      <c r="AJ256">
        <f t="shared" si="177"/>
        <v>0</v>
      </c>
      <c r="AK256">
        <f t="shared" si="178"/>
        <v>0</v>
      </c>
      <c r="AL256">
        <f t="shared" si="179"/>
        <v>0</v>
      </c>
      <c r="AM256">
        <f t="shared" si="180"/>
        <v>0</v>
      </c>
      <c r="AN256">
        <f t="shared" si="181"/>
        <v>0</v>
      </c>
      <c r="AO256">
        <f t="shared" si="182"/>
        <v>0</v>
      </c>
      <c r="AP256">
        <f t="shared" si="183"/>
        <v>0</v>
      </c>
      <c r="AQ256">
        <f t="shared" si="184"/>
        <v>0</v>
      </c>
      <c r="AR256">
        <f t="shared" si="185"/>
        <v>0</v>
      </c>
      <c r="AS256">
        <f t="shared" si="186"/>
        <v>0</v>
      </c>
      <c r="AT256">
        <f t="shared" si="187"/>
        <v>0</v>
      </c>
      <c r="AU256">
        <f t="shared" si="188"/>
        <v>0</v>
      </c>
      <c r="AV256">
        <f t="shared" si="189"/>
        <v>0</v>
      </c>
      <c r="AW256">
        <f t="shared" si="144"/>
        <v>0</v>
      </c>
      <c r="AX256">
        <f t="shared" si="190"/>
        <v>0</v>
      </c>
      <c r="AY256">
        <f t="shared" si="191"/>
        <v>0</v>
      </c>
    </row>
    <row r="257" spans="1:51" x14ac:dyDescent="0.35">
      <c r="A257">
        <v>251</v>
      </c>
      <c r="C257">
        <f>MAX(0,Calc!$C$7-SUM(D257:R257))</f>
        <v>750</v>
      </c>
      <c r="D257">
        <f t="shared" si="145"/>
        <v>0</v>
      </c>
      <c r="E257">
        <f t="shared" si="146"/>
        <v>0</v>
      </c>
      <c r="F257">
        <f t="shared" si="147"/>
        <v>0</v>
      </c>
      <c r="G257">
        <f t="shared" si="148"/>
        <v>0</v>
      </c>
      <c r="H257">
        <f t="shared" si="149"/>
        <v>0</v>
      </c>
      <c r="I257">
        <f t="shared" si="150"/>
        <v>0</v>
      </c>
      <c r="J257">
        <f t="shared" si="151"/>
        <v>0</v>
      </c>
      <c r="K257">
        <f t="shared" si="152"/>
        <v>0</v>
      </c>
      <c r="L257">
        <f t="shared" si="153"/>
        <v>0</v>
      </c>
      <c r="M257">
        <f t="shared" si="154"/>
        <v>0</v>
      </c>
      <c r="N257">
        <f t="shared" si="155"/>
        <v>0</v>
      </c>
      <c r="O257">
        <f t="shared" si="156"/>
        <v>0</v>
      </c>
      <c r="P257">
        <f t="shared" si="157"/>
        <v>0</v>
      </c>
      <c r="Q257">
        <f t="shared" si="158"/>
        <v>0</v>
      </c>
      <c r="R257">
        <f t="shared" si="159"/>
        <v>0</v>
      </c>
      <c r="S257">
        <f t="shared" si="160"/>
        <v>0</v>
      </c>
      <c r="T257">
        <f t="shared" si="161"/>
        <v>0</v>
      </c>
      <c r="U257">
        <f t="shared" si="162"/>
        <v>0</v>
      </c>
      <c r="V257">
        <f t="shared" si="163"/>
        <v>0</v>
      </c>
      <c r="W257">
        <f t="shared" si="164"/>
        <v>0</v>
      </c>
      <c r="X257">
        <f t="shared" si="165"/>
        <v>0</v>
      </c>
      <c r="Y257">
        <f t="shared" si="166"/>
        <v>0</v>
      </c>
      <c r="Z257">
        <f t="shared" si="167"/>
        <v>0</v>
      </c>
      <c r="AA257">
        <f t="shared" si="168"/>
        <v>0</v>
      </c>
      <c r="AB257">
        <f t="shared" si="169"/>
        <v>0</v>
      </c>
      <c r="AC257">
        <f t="shared" si="170"/>
        <v>0</v>
      </c>
      <c r="AD257">
        <f t="shared" si="171"/>
        <v>0</v>
      </c>
      <c r="AE257">
        <f t="shared" si="172"/>
        <v>0</v>
      </c>
      <c r="AF257">
        <f t="shared" si="173"/>
        <v>0</v>
      </c>
      <c r="AG257">
        <f t="shared" si="174"/>
        <v>0</v>
      </c>
      <c r="AH257">
        <f t="shared" si="175"/>
        <v>0</v>
      </c>
      <c r="AI257">
        <f t="shared" si="176"/>
        <v>0</v>
      </c>
      <c r="AJ257">
        <f t="shared" si="177"/>
        <v>0</v>
      </c>
      <c r="AK257">
        <f t="shared" si="178"/>
        <v>0</v>
      </c>
      <c r="AL257">
        <f t="shared" si="179"/>
        <v>0</v>
      </c>
      <c r="AM257">
        <f t="shared" si="180"/>
        <v>0</v>
      </c>
      <c r="AN257">
        <f t="shared" si="181"/>
        <v>0</v>
      </c>
      <c r="AO257">
        <f t="shared" si="182"/>
        <v>0</v>
      </c>
      <c r="AP257">
        <f t="shared" si="183"/>
        <v>0</v>
      </c>
      <c r="AQ257">
        <f t="shared" si="184"/>
        <v>0</v>
      </c>
      <c r="AR257">
        <f t="shared" si="185"/>
        <v>0</v>
      </c>
      <c r="AS257">
        <f t="shared" si="186"/>
        <v>0</v>
      </c>
      <c r="AT257">
        <f t="shared" si="187"/>
        <v>0</v>
      </c>
      <c r="AU257">
        <f t="shared" si="188"/>
        <v>0</v>
      </c>
      <c r="AV257">
        <f t="shared" si="189"/>
        <v>0</v>
      </c>
      <c r="AW257">
        <f t="shared" si="144"/>
        <v>0</v>
      </c>
      <c r="AX257">
        <f t="shared" si="190"/>
        <v>0</v>
      </c>
      <c r="AY257">
        <f t="shared" si="191"/>
        <v>0</v>
      </c>
    </row>
    <row r="258" spans="1:51" x14ac:dyDescent="0.35">
      <c r="A258">
        <v>252</v>
      </c>
      <c r="C258">
        <f>MAX(0,Calc!$C$7-SUM(D258:R258))</f>
        <v>750</v>
      </c>
      <c r="D258">
        <f t="shared" si="145"/>
        <v>0</v>
      </c>
      <c r="E258">
        <f t="shared" si="146"/>
        <v>0</v>
      </c>
      <c r="F258">
        <f t="shared" si="147"/>
        <v>0</v>
      </c>
      <c r="G258">
        <f t="shared" si="148"/>
        <v>0</v>
      </c>
      <c r="H258">
        <f t="shared" si="149"/>
        <v>0</v>
      </c>
      <c r="I258">
        <f t="shared" si="150"/>
        <v>0</v>
      </c>
      <c r="J258">
        <f t="shared" si="151"/>
        <v>0</v>
      </c>
      <c r="K258">
        <f t="shared" si="152"/>
        <v>0</v>
      </c>
      <c r="L258">
        <f t="shared" si="153"/>
        <v>0</v>
      </c>
      <c r="M258">
        <f t="shared" si="154"/>
        <v>0</v>
      </c>
      <c r="N258">
        <f t="shared" si="155"/>
        <v>0</v>
      </c>
      <c r="O258">
        <f t="shared" si="156"/>
        <v>0</v>
      </c>
      <c r="P258">
        <f t="shared" si="157"/>
        <v>0</v>
      </c>
      <c r="Q258">
        <f t="shared" si="158"/>
        <v>0</v>
      </c>
      <c r="R258">
        <f t="shared" si="159"/>
        <v>0</v>
      </c>
      <c r="S258">
        <f t="shared" si="160"/>
        <v>0</v>
      </c>
      <c r="T258">
        <f t="shared" si="161"/>
        <v>0</v>
      </c>
      <c r="U258">
        <f t="shared" si="162"/>
        <v>0</v>
      </c>
      <c r="V258">
        <f t="shared" si="163"/>
        <v>0</v>
      </c>
      <c r="W258">
        <f t="shared" si="164"/>
        <v>0</v>
      </c>
      <c r="X258">
        <f t="shared" si="165"/>
        <v>0</v>
      </c>
      <c r="Y258">
        <f t="shared" si="166"/>
        <v>0</v>
      </c>
      <c r="Z258">
        <f t="shared" si="167"/>
        <v>0</v>
      </c>
      <c r="AA258">
        <f t="shared" si="168"/>
        <v>0</v>
      </c>
      <c r="AB258">
        <f t="shared" si="169"/>
        <v>0</v>
      </c>
      <c r="AC258">
        <f t="shared" si="170"/>
        <v>0</v>
      </c>
      <c r="AD258">
        <f t="shared" si="171"/>
        <v>0</v>
      </c>
      <c r="AE258">
        <f t="shared" si="172"/>
        <v>0</v>
      </c>
      <c r="AF258">
        <f t="shared" si="173"/>
        <v>0</v>
      </c>
      <c r="AG258">
        <f t="shared" si="174"/>
        <v>0</v>
      </c>
      <c r="AH258">
        <f t="shared" si="175"/>
        <v>0</v>
      </c>
      <c r="AI258">
        <f t="shared" si="176"/>
        <v>0</v>
      </c>
      <c r="AJ258">
        <f t="shared" si="177"/>
        <v>0</v>
      </c>
      <c r="AK258">
        <f t="shared" si="178"/>
        <v>0</v>
      </c>
      <c r="AL258">
        <f t="shared" si="179"/>
        <v>0</v>
      </c>
      <c r="AM258">
        <f t="shared" si="180"/>
        <v>0</v>
      </c>
      <c r="AN258">
        <f t="shared" si="181"/>
        <v>0</v>
      </c>
      <c r="AO258">
        <f t="shared" si="182"/>
        <v>0</v>
      </c>
      <c r="AP258">
        <f t="shared" si="183"/>
        <v>0</v>
      </c>
      <c r="AQ258">
        <f t="shared" si="184"/>
        <v>0</v>
      </c>
      <c r="AR258">
        <f t="shared" si="185"/>
        <v>0</v>
      </c>
      <c r="AS258">
        <f t="shared" si="186"/>
        <v>0</v>
      </c>
      <c r="AT258">
        <f t="shared" si="187"/>
        <v>0</v>
      </c>
      <c r="AU258">
        <f t="shared" si="188"/>
        <v>0</v>
      </c>
      <c r="AV258">
        <f t="shared" si="189"/>
        <v>0</v>
      </c>
      <c r="AW258">
        <f t="shared" si="144"/>
        <v>0</v>
      </c>
      <c r="AX258">
        <f t="shared" si="190"/>
        <v>0</v>
      </c>
      <c r="AY258">
        <f t="shared" si="191"/>
        <v>0</v>
      </c>
    </row>
    <row r="259" spans="1:51" x14ac:dyDescent="0.35">
      <c r="A259">
        <v>253</v>
      </c>
      <c r="C259">
        <f>MAX(0,Calc!$C$7-SUM(D259:R259))</f>
        <v>750</v>
      </c>
      <c r="D259">
        <f t="shared" si="145"/>
        <v>0</v>
      </c>
      <c r="E259">
        <f t="shared" si="146"/>
        <v>0</v>
      </c>
      <c r="F259">
        <f t="shared" si="147"/>
        <v>0</v>
      </c>
      <c r="G259">
        <f t="shared" si="148"/>
        <v>0</v>
      </c>
      <c r="H259">
        <f t="shared" si="149"/>
        <v>0</v>
      </c>
      <c r="I259">
        <f t="shared" si="150"/>
        <v>0</v>
      </c>
      <c r="J259">
        <f t="shared" si="151"/>
        <v>0</v>
      </c>
      <c r="K259">
        <f t="shared" si="152"/>
        <v>0</v>
      </c>
      <c r="L259">
        <f t="shared" si="153"/>
        <v>0</v>
      </c>
      <c r="M259">
        <f t="shared" si="154"/>
        <v>0</v>
      </c>
      <c r="N259">
        <f t="shared" si="155"/>
        <v>0</v>
      </c>
      <c r="O259">
        <f t="shared" si="156"/>
        <v>0</v>
      </c>
      <c r="P259">
        <f t="shared" si="157"/>
        <v>0</v>
      </c>
      <c r="Q259">
        <f t="shared" si="158"/>
        <v>0</v>
      </c>
      <c r="R259">
        <f t="shared" si="159"/>
        <v>0</v>
      </c>
      <c r="S259">
        <f t="shared" si="160"/>
        <v>0</v>
      </c>
      <c r="T259">
        <f t="shared" si="161"/>
        <v>0</v>
      </c>
      <c r="U259">
        <f t="shared" si="162"/>
        <v>0</v>
      </c>
      <c r="V259">
        <f t="shared" si="163"/>
        <v>0</v>
      </c>
      <c r="W259">
        <f t="shared" si="164"/>
        <v>0</v>
      </c>
      <c r="X259">
        <f t="shared" si="165"/>
        <v>0</v>
      </c>
      <c r="Y259">
        <f t="shared" si="166"/>
        <v>0</v>
      </c>
      <c r="Z259">
        <f t="shared" si="167"/>
        <v>0</v>
      </c>
      <c r="AA259">
        <f t="shared" si="168"/>
        <v>0</v>
      </c>
      <c r="AB259">
        <f t="shared" si="169"/>
        <v>0</v>
      </c>
      <c r="AC259">
        <f t="shared" si="170"/>
        <v>0</v>
      </c>
      <c r="AD259">
        <f t="shared" si="171"/>
        <v>0</v>
      </c>
      <c r="AE259">
        <f t="shared" si="172"/>
        <v>0</v>
      </c>
      <c r="AF259">
        <f t="shared" si="173"/>
        <v>0</v>
      </c>
      <c r="AG259">
        <f t="shared" si="174"/>
        <v>0</v>
      </c>
      <c r="AH259">
        <f t="shared" si="175"/>
        <v>0</v>
      </c>
      <c r="AI259">
        <f t="shared" si="176"/>
        <v>0</v>
      </c>
      <c r="AJ259">
        <f t="shared" si="177"/>
        <v>0</v>
      </c>
      <c r="AK259">
        <f t="shared" si="178"/>
        <v>0</v>
      </c>
      <c r="AL259">
        <f t="shared" si="179"/>
        <v>0</v>
      </c>
      <c r="AM259">
        <f t="shared" si="180"/>
        <v>0</v>
      </c>
      <c r="AN259">
        <f t="shared" si="181"/>
        <v>0</v>
      </c>
      <c r="AO259">
        <f t="shared" si="182"/>
        <v>0</v>
      </c>
      <c r="AP259">
        <f t="shared" si="183"/>
        <v>0</v>
      </c>
      <c r="AQ259">
        <f t="shared" si="184"/>
        <v>0</v>
      </c>
      <c r="AR259">
        <f t="shared" si="185"/>
        <v>0</v>
      </c>
      <c r="AS259">
        <f t="shared" si="186"/>
        <v>0</v>
      </c>
      <c r="AT259">
        <f t="shared" si="187"/>
        <v>0</v>
      </c>
      <c r="AU259">
        <f t="shared" si="188"/>
        <v>0</v>
      </c>
      <c r="AV259">
        <f t="shared" si="189"/>
        <v>0</v>
      </c>
      <c r="AW259">
        <f t="shared" si="144"/>
        <v>0</v>
      </c>
      <c r="AX259">
        <f t="shared" si="190"/>
        <v>0</v>
      </c>
      <c r="AY259">
        <f t="shared" si="191"/>
        <v>0</v>
      </c>
    </row>
    <row r="260" spans="1:51" x14ac:dyDescent="0.35">
      <c r="A260">
        <v>254</v>
      </c>
      <c r="C260">
        <f>MAX(0,Calc!$C$7-SUM(D260:R260))</f>
        <v>750</v>
      </c>
      <c r="D260">
        <f t="shared" si="145"/>
        <v>0</v>
      </c>
      <c r="E260">
        <f t="shared" si="146"/>
        <v>0</v>
      </c>
      <c r="F260">
        <f t="shared" si="147"/>
        <v>0</v>
      </c>
      <c r="G260">
        <f t="shared" si="148"/>
        <v>0</v>
      </c>
      <c r="H260">
        <f t="shared" si="149"/>
        <v>0</v>
      </c>
      <c r="I260">
        <f t="shared" si="150"/>
        <v>0</v>
      </c>
      <c r="J260">
        <f t="shared" si="151"/>
        <v>0</v>
      </c>
      <c r="K260">
        <f t="shared" si="152"/>
        <v>0</v>
      </c>
      <c r="L260">
        <f t="shared" si="153"/>
        <v>0</v>
      </c>
      <c r="M260">
        <f t="shared" si="154"/>
        <v>0</v>
      </c>
      <c r="N260">
        <f t="shared" si="155"/>
        <v>0</v>
      </c>
      <c r="O260">
        <f t="shared" si="156"/>
        <v>0</v>
      </c>
      <c r="P260">
        <f t="shared" si="157"/>
        <v>0</v>
      </c>
      <c r="Q260">
        <f t="shared" si="158"/>
        <v>0</v>
      </c>
      <c r="R260">
        <f t="shared" si="159"/>
        <v>0</v>
      </c>
      <c r="S260">
        <f t="shared" si="160"/>
        <v>0</v>
      </c>
      <c r="T260">
        <f t="shared" si="161"/>
        <v>0</v>
      </c>
      <c r="U260">
        <f t="shared" si="162"/>
        <v>0</v>
      </c>
      <c r="V260">
        <f t="shared" si="163"/>
        <v>0</v>
      </c>
      <c r="W260">
        <f t="shared" si="164"/>
        <v>0</v>
      </c>
      <c r="X260">
        <f t="shared" si="165"/>
        <v>0</v>
      </c>
      <c r="Y260">
        <f t="shared" si="166"/>
        <v>0</v>
      </c>
      <c r="Z260">
        <f t="shared" si="167"/>
        <v>0</v>
      </c>
      <c r="AA260">
        <f t="shared" si="168"/>
        <v>0</v>
      </c>
      <c r="AB260">
        <f t="shared" si="169"/>
        <v>0</v>
      </c>
      <c r="AC260">
        <f t="shared" si="170"/>
        <v>0</v>
      </c>
      <c r="AD260">
        <f t="shared" si="171"/>
        <v>0</v>
      </c>
      <c r="AE260">
        <f t="shared" si="172"/>
        <v>0</v>
      </c>
      <c r="AF260">
        <f t="shared" si="173"/>
        <v>0</v>
      </c>
      <c r="AG260">
        <f t="shared" si="174"/>
        <v>0</v>
      </c>
      <c r="AH260">
        <f t="shared" si="175"/>
        <v>0</v>
      </c>
      <c r="AI260">
        <f t="shared" si="176"/>
        <v>0</v>
      </c>
      <c r="AJ260">
        <f t="shared" si="177"/>
        <v>0</v>
      </c>
      <c r="AK260">
        <f t="shared" si="178"/>
        <v>0</v>
      </c>
      <c r="AL260">
        <f t="shared" si="179"/>
        <v>0</v>
      </c>
      <c r="AM260">
        <f t="shared" si="180"/>
        <v>0</v>
      </c>
      <c r="AN260">
        <f t="shared" si="181"/>
        <v>0</v>
      </c>
      <c r="AO260">
        <f t="shared" si="182"/>
        <v>0</v>
      </c>
      <c r="AP260">
        <f t="shared" si="183"/>
        <v>0</v>
      </c>
      <c r="AQ260">
        <f t="shared" si="184"/>
        <v>0</v>
      </c>
      <c r="AR260">
        <f t="shared" si="185"/>
        <v>0</v>
      </c>
      <c r="AS260">
        <f t="shared" si="186"/>
        <v>0</v>
      </c>
      <c r="AT260">
        <f t="shared" si="187"/>
        <v>0</v>
      </c>
      <c r="AU260">
        <f t="shared" si="188"/>
        <v>0</v>
      </c>
      <c r="AV260">
        <f t="shared" si="189"/>
        <v>0</v>
      </c>
      <c r="AW260">
        <f t="shared" si="144"/>
        <v>0</v>
      </c>
      <c r="AX260">
        <f t="shared" si="190"/>
        <v>0</v>
      </c>
      <c r="AY260">
        <f t="shared" si="191"/>
        <v>0</v>
      </c>
    </row>
    <row r="261" spans="1:51" x14ac:dyDescent="0.35">
      <c r="A261">
        <v>255</v>
      </c>
      <c r="C261">
        <f>MAX(0,Calc!$C$7-SUM(D261:R261))</f>
        <v>750</v>
      </c>
      <c r="D261">
        <f t="shared" si="145"/>
        <v>0</v>
      </c>
      <c r="E261">
        <f t="shared" si="146"/>
        <v>0</v>
      </c>
      <c r="F261">
        <f t="shared" si="147"/>
        <v>0</v>
      </c>
      <c r="G261">
        <f t="shared" si="148"/>
        <v>0</v>
      </c>
      <c r="H261">
        <f t="shared" si="149"/>
        <v>0</v>
      </c>
      <c r="I261">
        <f t="shared" si="150"/>
        <v>0</v>
      </c>
      <c r="J261">
        <f t="shared" si="151"/>
        <v>0</v>
      </c>
      <c r="K261">
        <f t="shared" si="152"/>
        <v>0</v>
      </c>
      <c r="L261">
        <f t="shared" si="153"/>
        <v>0</v>
      </c>
      <c r="M261">
        <f t="shared" si="154"/>
        <v>0</v>
      </c>
      <c r="N261">
        <f t="shared" si="155"/>
        <v>0</v>
      </c>
      <c r="O261">
        <f t="shared" si="156"/>
        <v>0</v>
      </c>
      <c r="P261">
        <f t="shared" si="157"/>
        <v>0</v>
      </c>
      <c r="Q261">
        <f t="shared" si="158"/>
        <v>0</v>
      </c>
      <c r="R261">
        <f t="shared" si="159"/>
        <v>0</v>
      </c>
      <c r="S261">
        <f t="shared" si="160"/>
        <v>0</v>
      </c>
      <c r="T261">
        <f t="shared" si="161"/>
        <v>0</v>
      </c>
      <c r="U261">
        <f t="shared" si="162"/>
        <v>0</v>
      </c>
      <c r="V261">
        <f t="shared" si="163"/>
        <v>0</v>
      </c>
      <c r="W261">
        <f t="shared" si="164"/>
        <v>0</v>
      </c>
      <c r="X261">
        <f t="shared" si="165"/>
        <v>0</v>
      </c>
      <c r="Y261">
        <f t="shared" si="166"/>
        <v>0</v>
      </c>
      <c r="Z261">
        <f t="shared" si="167"/>
        <v>0</v>
      </c>
      <c r="AA261">
        <f t="shared" si="168"/>
        <v>0</v>
      </c>
      <c r="AB261">
        <f t="shared" si="169"/>
        <v>0</v>
      </c>
      <c r="AC261">
        <f t="shared" si="170"/>
        <v>0</v>
      </c>
      <c r="AD261">
        <f t="shared" si="171"/>
        <v>0</v>
      </c>
      <c r="AE261">
        <f t="shared" si="172"/>
        <v>0</v>
      </c>
      <c r="AF261">
        <f t="shared" si="173"/>
        <v>0</v>
      </c>
      <c r="AG261">
        <f t="shared" si="174"/>
        <v>0</v>
      </c>
      <c r="AH261">
        <f t="shared" si="175"/>
        <v>0</v>
      </c>
      <c r="AI261">
        <f t="shared" si="176"/>
        <v>0</v>
      </c>
      <c r="AJ261">
        <f t="shared" si="177"/>
        <v>0</v>
      </c>
      <c r="AK261">
        <f t="shared" si="178"/>
        <v>0</v>
      </c>
      <c r="AL261">
        <f t="shared" si="179"/>
        <v>0</v>
      </c>
      <c r="AM261">
        <f t="shared" si="180"/>
        <v>0</v>
      </c>
      <c r="AN261">
        <f t="shared" si="181"/>
        <v>0</v>
      </c>
      <c r="AO261">
        <f t="shared" si="182"/>
        <v>0</v>
      </c>
      <c r="AP261">
        <f t="shared" si="183"/>
        <v>0</v>
      </c>
      <c r="AQ261">
        <f t="shared" si="184"/>
        <v>0</v>
      </c>
      <c r="AR261">
        <f t="shared" si="185"/>
        <v>0</v>
      </c>
      <c r="AS261">
        <f t="shared" si="186"/>
        <v>0</v>
      </c>
      <c r="AT261">
        <f t="shared" si="187"/>
        <v>0</v>
      </c>
      <c r="AU261">
        <f t="shared" si="188"/>
        <v>0</v>
      </c>
      <c r="AV261">
        <f t="shared" si="189"/>
        <v>0</v>
      </c>
      <c r="AW261">
        <f t="shared" si="144"/>
        <v>0</v>
      </c>
      <c r="AX261">
        <f t="shared" si="190"/>
        <v>0</v>
      </c>
      <c r="AY261">
        <f t="shared" si="191"/>
        <v>0</v>
      </c>
    </row>
    <row r="262" spans="1:51" x14ac:dyDescent="0.35">
      <c r="A262">
        <v>256</v>
      </c>
      <c r="C262">
        <f>MAX(0,Calc!$C$7-SUM(D262:R262))</f>
        <v>750</v>
      </c>
      <c r="D262">
        <f t="shared" si="145"/>
        <v>0</v>
      </c>
      <c r="E262">
        <f t="shared" si="146"/>
        <v>0</v>
      </c>
      <c r="F262">
        <f t="shared" si="147"/>
        <v>0</v>
      </c>
      <c r="G262">
        <f t="shared" si="148"/>
        <v>0</v>
      </c>
      <c r="H262">
        <f t="shared" si="149"/>
        <v>0</v>
      </c>
      <c r="I262">
        <f t="shared" si="150"/>
        <v>0</v>
      </c>
      <c r="J262">
        <f t="shared" si="151"/>
        <v>0</v>
      </c>
      <c r="K262">
        <f t="shared" si="152"/>
        <v>0</v>
      </c>
      <c r="L262">
        <f t="shared" si="153"/>
        <v>0</v>
      </c>
      <c r="M262">
        <f t="shared" si="154"/>
        <v>0</v>
      </c>
      <c r="N262">
        <f t="shared" si="155"/>
        <v>0</v>
      </c>
      <c r="O262">
        <f t="shared" si="156"/>
        <v>0</v>
      </c>
      <c r="P262">
        <f t="shared" si="157"/>
        <v>0</v>
      </c>
      <c r="Q262">
        <f t="shared" si="158"/>
        <v>0</v>
      </c>
      <c r="R262">
        <f t="shared" si="159"/>
        <v>0</v>
      </c>
      <c r="S262">
        <f t="shared" si="160"/>
        <v>0</v>
      </c>
      <c r="T262">
        <f t="shared" si="161"/>
        <v>0</v>
      </c>
      <c r="U262">
        <f t="shared" si="162"/>
        <v>0</v>
      </c>
      <c r="V262">
        <f t="shared" si="163"/>
        <v>0</v>
      </c>
      <c r="W262">
        <f t="shared" si="164"/>
        <v>0</v>
      </c>
      <c r="X262">
        <f t="shared" si="165"/>
        <v>0</v>
      </c>
      <c r="Y262">
        <f t="shared" si="166"/>
        <v>0</v>
      </c>
      <c r="Z262">
        <f t="shared" si="167"/>
        <v>0</v>
      </c>
      <c r="AA262">
        <f t="shared" si="168"/>
        <v>0</v>
      </c>
      <c r="AB262">
        <f t="shared" si="169"/>
        <v>0</v>
      </c>
      <c r="AC262">
        <f t="shared" si="170"/>
        <v>0</v>
      </c>
      <c r="AD262">
        <f t="shared" si="171"/>
        <v>0</v>
      </c>
      <c r="AE262">
        <f t="shared" si="172"/>
        <v>0</v>
      </c>
      <c r="AF262">
        <f t="shared" si="173"/>
        <v>0</v>
      </c>
      <c r="AG262">
        <f t="shared" si="174"/>
        <v>0</v>
      </c>
      <c r="AH262">
        <f t="shared" si="175"/>
        <v>0</v>
      </c>
      <c r="AI262">
        <f t="shared" si="176"/>
        <v>0</v>
      </c>
      <c r="AJ262">
        <f t="shared" si="177"/>
        <v>0</v>
      </c>
      <c r="AK262">
        <f t="shared" si="178"/>
        <v>0</v>
      </c>
      <c r="AL262">
        <f t="shared" si="179"/>
        <v>0</v>
      </c>
      <c r="AM262">
        <f t="shared" si="180"/>
        <v>0</v>
      </c>
      <c r="AN262">
        <f t="shared" si="181"/>
        <v>0</v>
      </c>
      <c r="AO262">
        <f t="shared" si="182"/>
        <v>0</v>
      </c>
      <c r="AP262">
        <f t="shared" si="183"/>
        <v>0</v>
      </c>
      <c r="AQ262">
        <f t="shared" si="184"/>
        <v>0</v>
      </c>
      <c r="AR262">
        <f t="shared" si="185"/>
        <v>0</v>
      </c>
      <c r="AS262">
        <f t="shared" si="186"/>
        <v>0</v>
      </c>
      <c r="AT262">
        <f t="shared" si="187"/>
        <v>0</v>
      </c>
      <c r="AU262">
        <f t="shared" si="188"/>
        <v>0</v>
      </c>
      <c r="AV262">
        <f t="shared" si="189"/>
        <v>0</v>
      </c>
      <c r="AW262">
        <f t="shared" ref="AW262:AW325" si="192">SUM(AH262:AV262)</f>
        <v>0</v>
      </c>
      <c r="AX262">
        <f t="shared" si="190"/>
        <v>0</v>
      </c>
      <c r="AY262">
        <f t="shared" si="191"/>
        <v>0</v>
      </c>
    </row>
    <row r="263" spans="1:51" x14ac:dyDescent="0.35">
      <c r="A263">
        <v>257</v>
      </c>
      <c r="C263">
        <f>MAX(0,Calc!$C$7-SUM(D263:R263))</f>
        <v>750</v>
      </c>
      <c r="D263">
        <f t="shared" ref="D263:D326" si="193">IF(AH262&lt;0.005,0,MIN((AH262+ROUND(AH262*AH$3,2)),AH$4))</f>
        <v>0</v>
      </c>
      <c r="E263">
        <f t="shared" ref="E263:E326" si="194">IF(AI262&lt;0.005,0,MIN((AI262+ROUND(AI262*AI$3,2)),AI$4))</f>
        <v>0</v>
      </c>
      <c r="F263">
        <f t="shared" ref="F263:F326" si="195">IF(AJ262&lt;0.005,0,MIN((AJ262+ROUND(AJ262*AJ$3,2)),AJ$4))</f>
        <v>0</v>
      </c>
      <c r="G263">
        <f t="shared" ref="G263:G326" si="196">IF(AK262&lt;0.005,0,MIN((AK262+ROUND(AK262*AK$3,2)),AK$4))</f>
        <v>0</v>
      </c>
      <c r="H263">
        <f t="shared" ref="H263:H326" si="197">IF(AL262&lt;0.005,0,MIN((AL262+ROUND(AL262*AL$3,2)),AL$4))</f>
        <v>0</v>
      </c>
      <c r="I263">
        <f t="shared" ref="I263:I326" si="198">IF(AM262&lt;0.005,0,MIN((AM262+ROUND(AM262*AM$3,2)),AM$4))</f>
        <v>0</v>
      </c>
      <c r="J263">
        <f t="shared" ref="J263:J326" si="199">IF(AN262&lt;0.005,0,MIN((AN262+ROUND(AN262*AN$3,2)),AN$4))</f>
        <v>0</v>
      </c>
      <c r="K263">
        <f t="shared" ref="K263:K326" si="200">IF(AO262&lt;0.005,0,MIN((AO262+ROUND(AO262*AO$3,2)),AO$4))</f>
        <v>0</v>
      </c>
      <c r="L263">
        <f t="shared" ref="L263:L326" si="201">IF(AP262&lt;0.005,0,MIN((AP262+ROUND(AP262*AP$3,2)),AP$4))</f>
        <v>0</v>
      </c>
      <c r="M263">
        <f t="shared" ref="M263:M326" si="202">IF(AQ262&lt;0.005,0,MIN((AQ262+ROUND(AQ262*AQ$3,2)),AQ$4))</f>
        <v>0</v>
      </c>
      <c r="N263">
        <f t="shared" ref="N263:N326" si="203">IF(AR262&lt;0.005,0,MIN((AR262+ROUND(AR262*AR$3,2)),AR$4))</f>
        <v>0</v>
      </c>
      <c r="O263">
        <f t="shared" ref="O263:O326" si="204">IF(AS262&lt;0.005,0,MIN((AS262+ROUND(AS262*AS$3,2)),AS$4))</f>
        <v>0</v>
      </c>
      <c r="P263">
        <f t="shared" ref="P263:P326" si="205">IF(AT262&lt;0.005,0,MIN((AT262+ROUND(AT262*AT$3,2)),AT$4))</f>
        <v>0</v>
      </c>
      <c r="Q263">
        <f t="shared" ref="Q263:Q326" si="206">IF(AU262&lt;0.005,0,MIN((AU262+ROUND(AU262*AU$3,2)),AU$4))</f>
        <v>0</v>
      </c>
      <c r="R263">
        <f t="shared" ref="R263:R326" si="207">IF(AV262&lt;0.005,0,MIN((AV262+ROUND(AV262*AV$3,2)),AV$4))</f>
        <v>0</v>
      </c>
      <c r="S263">
        <f t="shared" ref="S263:S326" si="208">IF(AH262&lt;0.005,0,MIN((AH262+ROUND(AH262*AH$3,2))-D263,MAX(0,$C263)))</f>
        <v>0</v>
      </c>
      <c r="T263">
        <f t="shared" ref="T263:T326" si="209">IF(AI262&lt;0.005,0,MIN((AI262+ROUND(AI262*AI$3,2))-E263,MAX(0,$C263-SUM(S263:S263))))</f>
        <v>0</v>
      </c>
      <c r="U263">
        <f t="shared" ref="U263:U326" si="210">IF(AJ262&lt;0.005,0,MIN((AJ262+ROUND(AJ262*AJ$3,2))-F263,MAX(0,$C263-SUM(S263:T263))))</f>
        <v>0</v>
      </c>
      <c r="V263">
        <f t="shared" ref="V263:V326" si="211">IF(AK262&lt;0.005,0,MIN((AK262+ROUND(AK262*AK$3,2))-G263,MAX(0,$C263-SUM(S263:U263))))</f>
        <v>0</v>
      </c>
      <c r="W263">
        <f t="shared" ref="W263:W326" si="212">IF(AL262&lt;0.005,0,MIN((AL262+ROUND(AL262*AL$3,2))-H263,MAX(0,$C263-SUM(S263:V263))))</f>
        <v>0</v>
      </c>
      <c r="X263">
        <f t="shared" ref="X263:X326" si="213">IF(AM262&lt;0.005,0,MIN((AM262+ROUND(AM262*AM$3,2))-I263,MAX(0,$C263-SUM(S263:W263))))</f>
        <v>0</v>
      </c>
      <c r="Y263">
        <f t="shared" ref="Y263:Y326" si="214">IF(AN262&lt;0.005,0,MIN((AN262+ROUND(AN262*AN$3,2))-J263,MAX(0,$C263-SUM(S263:X263))))</f>
        <v>0</v>
      </c>
      <c r="Z263">
        <f t="shared" ref="Z263:Z326" si="215">IF(AO262&lt;0.005,0,MIN((AO262+ROUND(AO262*AO$3,2))-K263,MAX(0,$C263-SUM(S263:Y263))))</f>
        <v>0</v>
      </c>
      <c r="AA263">
        <f t="shared" ref="AA263:AA326" si="216">IF(AP262&lt;0.005,0,MIN((AP262+ROUND(AP262*AP$3,2))-L263,MAX(0,$C263-SUM(S263:Z263))))</f>
        <v>0</v>
      </c>
      <c r="AB263">
        <f t="shared" ref="AB263:AB326" si="217">IF(AQ262&lt;0.005,0,MIN((AQ262+ROUND(AQ262*AQ$3,2))-M263,MAX(0,$C263-SUM(S263:AA263))))</f>
        <v>0</v>
      </c>
      <c r="AC263">
        <f t="shared" ref="AC263:AC326" si="218">IF(AR262&lt;0.005,0,MIN((AR262+ROUND(AR262*AR$3,2))-N263,MAX(0,$C263-SUM(S263:AB263))))</f>
        <v>0</v>
      </c>
      <c r="AD263">
        <f t="shared" ref="AD263:AD326" si="219">IF(AS262&lt;0.005,0,MIN((AS262+ROUND(AS262*AS$3,2))-O263,MAX(0,$C263-SUM(S263:AC263))))</f>
        <v>0</v>
      </c>
      <c r="AE263">
        <f t="shared" ref="AE263:AE326" si="220">IF(AT262&lt;0.005,0,MIN((AT262+ROUND(AT262*AT$3,2))-P263,MAX(0,$C263-SUM(S263:AD263))))</f>
        <v>0</v>
      </c>
      <c r="AF263">
        <f t="shared" ref="AF263:AF326" si="221">IF(AU262&lt;0.005,0,MIN((AU262+ROUND(AU262*AU$3,2))-Q263,MAX(0,$C263-SUM(S263:AE263))))</f>
        <v>0</v>
      </c>
      <c r="AG263">
        <f t="shared" ref="AG263:AG326" si="222">IF(AV262&lt;0.005,0,MIN((AV262+ROUND(AV262*AV$3,2))-R263,MAX(0,$C263-SUM(S263:AF263))))</f>
        <v>0</v>
      </c>
      <c r="AH263">
        <f t="shared" ref="AH263:AH326" si="223">IF(AH262&lt;0.005,0,ROUND((AH262+ROUND(AH262*AH$3,2))-D263-S263,2))</f>
        <v>0</v>
      </c>
      <c r="AI263">
        <f t="shared" ref="AI263:AI326" si="224">IF(AI262&lt;0.005,0,ROUND((AI262+ROUND(AI262*AI$3,2))-E263-T263,2))</f>
        <v>0</v>
      </c>
      <c r="AJ263">
        <f t="shared" ref="AJ263:AJ326" si="225">IF(AJ262&lt;0.005,0,ROUND((AJ262+ROUND(AJ262*AJ$3,2))-F263-U263,2))</f>
        <v>0</v>
      </c>
      <c r="AK263">
        <f t="shared" ref="AK263:AK326" si="226">IF(AK262&lt;0.005,0,ROUND((AK262+ROUND(AK262*AK$3,2))-G263-V263,2))</f>
        <v>0</v>
      </c>
      <c r="AL263">
        <f t="shared" ref="AL263:AL326" si="227">IF(AL262&lt;0.005,0,ROUND((AL262+ROUND(AL262*AL$3,2))-H263-W263,2))</f>
        <v>0</v>
      </c>
      <c r="AM263">
        <f t="shared" ref="AM263:AM326" si="228">IF(AM262&lt;0.005,0,ROUND((AM262+ROUND(AM262*AM$3,2))-I263-X263,2))</f>
        <v>0</v>
      </c>
      <c r="AN263">
        <f t="shared" ref="AN263:AN326" si="229">IF(AN262&lt;0.005,0,ROUND((AN262+ROUND(AN262*AN$3,2))-J263-Y263,2))</f>
        <v>0</v>
      </c>
      <c r="AO263">
        <f t="shared" ref="AO263:AO326" si="230">IF(AO262&lt;0.005,0,ROUND((AO262+ROUND(AO262*AO$3,2))-K263-Z263,2))</f>
        <v>0</v>
      </c>
      <c r="AP263">
        <f t="shared" ref="AP263:AP326" si="231">IF(AP262&lt;0.005,0,ROUND((AP262+ROUND(AP262*AP$3,2))-L263-AA263,2))</f>
        <v>0</v>
      </c>
      <c r="AQ263">
        <f t="shared" ref="AQ263:AQ326" si="232">IF(AQ262&lt;0.005,0,ROUND((AQ262+ROUND(AQ262*AQ$3,2))-M263-AB263,2))</f>
        <v>0</v>
      </c>
      <c r="AR263">
        <f t="shared" ref="AR263:AR326" si="233">IF(AR262&lt;0.005,0,ROUND((AR262+ROUND(AR262*AR$3,2))-N263-AC263,2))</f>
        <v>0</v>
      </c>
      <c r="AS263">
        <f t="shared" ref="AS263:AS326" si="234">IF(AS262&lt;0.005,0,ROUND((AS262+ROUND(AS262*AS$3,2))-O263-AD263,2))</f>
        <v>0</v>
      </c>
      <c r="AT263">
        <f t="shared" ref="AT263:AT326" si="235">IF(AT262&lt;0.005,0,ROUND((AT262+ROUND(AT262*AT$3,2))-P263-AE263,2))</f>
        <v>0</v>
      </c>
      <c r="AU263">
        <f t="shared" ref="AU263:AU326" si="236">IF(AU262&lt;0.005,0,ROUND((AU262+ROUND(AU262*AU$3,2))-Q263-AF263,2))</f>
        <v>0</v>
      </c>
      <c r="AV263">
        <f t="shared" ref="AV263:AV326" si="237">IF(AV262&lt;0.005,0,ROUND((AV262+ROUND(AV262*AV$3,2))-R263-AG263,2))</f>
        <v>0</v>
      </c>
      <c r="AW263">
        <f t="shared" si="192"/>
        <v>0</v>
      </c>
      <c r="AX263">
        <f t="shared" ref="AX263:AX326" si="238">SUMPRODUCT(ROUND(AH262:AV262*AH$3:AV$3,2))</f>
        <v>0</v>
      </c>
      <c r="AY263">
        <f t="shared" ref="AY263:AY326" si="239">SUM(D263:AG263)</f>
        <v>0</v>
      </c>
    </row>
    <row r="264" spans="1:51" x14ac:dyDescent="0.35">
      <c r="A264">
        <v>258</v>
      </c>
      <c r="C264">
        <f>MAX(0,Calc!$C$7-SUM(D264:R264))</f>
        <v>750</v>
      </c>
      <c r="D264">
        <f t="shared" si="193"/>
        <v>0</v>
      </c>
      <c r="E264">
        <f t="shared" si="194"/>
        <v>0</v>
      </c>
      <c r="F264">
        <f t="shared" si="195"/>
        <v>0</v>
      </c>
      <c r="G264">
        <f t="shared" si="196"/>
        <v>0</v>
      </c>
      <c r="H264">
        <f t="shared" si="197"/>
        <v>0</v>
      </c>
      <c r="I264">
        <f t="shared" si="198"/>
        <v>0</v>
      </c>
      <c r="J264">
        <f t="shared" si="199"/>
        <v>0</v>
      </c>
      <c r="K264">
        <f t="shared" si="200"/>
        <v>0</v>
      </c>
      <c r="L264">
        <f t="shared" si="201"/>
        <v>0</v>
      </c>
      <c r="M264">
        <f t="shared" si="202"/>
        <v>0</v>
      </c>
      <c r="N264">
        <f t="shared" si="203"/>
        <v>0</v>
      </c>
      <c r="O264">
        <f t="shared" si="204"/>
        <v>0</v>
      </c>
      <c r="P264">
        <f t="shared" si="205"/>
        <v>0</v>
      </c>
      <c r="Q264">
        <f t="shared" si="206"/>
        <v>0</v>
      </c>
      <c r="R264">
        <f t="shared" si="207"/>
        <v>0</v>
      </c>
      <c r="S264">
        <f t="shared" si="208"/>
        <v>0</v>
      </c>
      <c r="T264">
        <f t="shared" si="209"/>
        <v>0</v>
      </c>
      <c r="U264">
        <f t="shared" si="210"/>
        <v>0</v>
      </c>
      <c r="V264">
        <f t="shared" si="211"/>
        <v>0</v>
      </c>
      <c r="W264">
        <f t="shared" si="212"/>
        <v>0</v>
      </c>
      <c r="X264">
        <f t="shared" si="213"/>
        <v>0</v>
      </c>
      <c r="Y264">
        <f t="shared" si="214"/>
        <v>0</v>
      </c>
      <c r="Z264">
        <f t="shared" si="215"/>
        <v>0</v>
      </c>
      <c r="AA264">
        <f t="shared" si="216"/>
        <v>0</v>
      </c>
      <c r="AB264">
        <f t="shared" si="217"/>
        <v>0</v>
      </c>
      <c r="AC264">
        <f t="shared" si="218"/>
        <v>0</v>
      </c>
      <c r="AD264">
        <f t="shared" si="219"/>
        <v>0</v>
      </c>
      <c r="AE264">
        <f t="shared" si="220"/>
        <v>0</v>
      </c>
      <c r="AF264">
        <f t="shared" si="221"/>
        <v>0</v>
      </c>
      <c r="AG264">
        <f t="shared" si="222"/>
        <v>0</v>
      </c>
      <c r="AH264">
        <f t="shared" si="223"/>
        <v>0</v>
      </c>
      <c r="AI264">
        <f t="shared" si="224"/>
        <v>0</v>
      </c>
      <c r="AJ264">
        <f t="shared" si="225"/>
        <v>0</v>
      </c>
      <c r="AK264">
        <f t="shared" si="226"/>
        <v>0</v>
      </c>
      <c r="AL264">
        <f t="shared" si="227"/>
        <v>0</v>
      </c>
      <c r="AM264">
        <f t="shared" si="228"/>
        <v>0</v>
      </c>
      <c r="AN264">
        <f t="shared" si="229"/>
        <v>0</v>
      </c>
      <c r="AO264">
        <f t="shared" si="230"/>
        <v>0</v>
      </c>
      <c r="AP264">
        <f t="shared" si="231"/>
        <v>0</v>
      </c>
      <c r="AQ264">
        <f t="shared" si="232"/>
        <v>0</v>
      </c>
      <c r="AR264">
        <f t="shared" si="233"/>
        <v>0</v>
      </c>
      <c r="AS264">
        <f t="shared" si="234"/>
        <v>0</v>
      </c>
      <c r="AT264">
        <f t="shared" si="235"/>
        <v>0</v>
      </c>
      <c r="AU264">
        <f t="shared" si="236"/>
        <v>0</v>
      </c>
      <c r="AV264">
        <f t="shared" si="237"/>
        <v>0</v>
      </c>
      <c r="AW264">
        <f t="shared" si="192"/>
        <v>0</v>
      </c>
      <c r="AX264">
        <f t="shared" si="238"/>
        <v>0</v>
      </c>
      <c r="AY264">
        <f t="shared" si="239"/>
        <v>0</v>
      </c>
    </row>
    <row r="265" spans="1:51" x14ac:dyDescent="0.35">
      <c r="A265">
        <v>259</v>
      </c>
      <c r="C265">
        <f>MAX(0,Calc!$C$7-SUM(D265:R265))</f>
        <v>750</v>
      </c>
      <c r="D265">
        <f t="shared" si="193"/>
        <v>0</v>
      </c>
      <c r="E265">
        <f t="shared" si="194"/>
        <v>0</v>
      </c>
      <c r="F265">
        <f t="shared" si="195"/>
        <v>0</v>
      </c>
      <c r="G265">
        <f t="shared" si="196"/>
        <v>0</v>
      </c>
      <c r="H265">
        <f t="shared" si="197"/>
        <v>0</v>
      </c>
      <c r="I265">
        <f t="shared" si="198"/>
        <v>0</v>
      </c>
      <c r="J265">
        <f t="shared" si="199"/>
        <v>0</v>
      </c>
      <c r="K265">
        <f t="shared" si="200"/>
        <v>0</v>
      </c>
      <c r="L265">
        <f t="shared" si="201"/>
        <v>0</v>
      </c>
      <c r="M265">
        <f t="shared" si="202"/>
        <v>0</v>
      </c>
      <c r="N265">
        <f t="shared" si="203"/>
        <v>0</v>
      </c>
      <c r="O265">
        <f t="shared" si="204"/>
        <v>0</v>
      </c>
      <c r="P265">
        <f t="shared" si="205"/>
        <v>0</v>
      </c>
      <c r="Q265">
        <f t="shared" si="206"/>
        <v>0</v>
      </c>
      <c r="R265">
        <f t="shared" si="207"/>
        <v>0</v>
      </c>
      <c r="S265">
        <f t="shared" si="208"/>
        <v>0</v>
      </c>
      <c r="T265">
        <f t="shared" si="209"/>
        <v>0</v>
      </c>
      <c r="U265">
        <f t="shared" si="210"/>
        <v>0</v>
      </c>
      <c r="V265">
        <f t="shared" si="211"/>
        <v>0</v>
      </c>
      <c r="W265">
        <f t="shared" si="212"/>
        <v>0</v>
      </c>
      <c r="X265">
        <f t="shared" si="213"/>
        <v>0</v>
      </c>
      <c r="Y265">
        <f t="shared" si="214"/>
        <v>0</v>
      </c>
      <c r="Z265">
        <f t="shared" si="215"/>
        <v>0</v>
      </c>
      <c r="AA265">
        <f t="shared" si="216"/>
        <v>0</v>
      </c>
      <c r="AB265">
        <f t="shared" si="217"/>
        <v>0</v>
      </c>
      <c r="AC265">
        <f t="shared" si="218"/>
        <v>0</v>
      </c>
      <c r="AD265">
        <f t="shared" si="219"/>
        <v>0</v>
      </c>
      <c r="AE265">
        <f t="shared" si="220"/>
        <v>0</v>
      </c>
      <c r="AF265">
        <f t="shared" si="221"/>
        <v>0</v>
      </c>
      <c r="AG265">
        <f t="shared" si="222"/>
        <v>0</v>
      </c>
      <c r="AH265">
        <f t="shared" si="223"/>
        <v>0</v>
      </c>
      <c r="AI265">
        <f t="shared" si="224"/>
        <v>0</v>
      </c>
      <c r="AJ265">
        <f t="shared" si="225"/>
        <v>0</v>
      </c>
      <c r="AK265">
        <f t="shared" si="226"/>
        <v>0</v>
      </c>
      <c r="AL265">
        <f t="shared" si="227"/>
        <v>0</v>
      </c>
      <c r="AM265">
        <f t="shared" si="228"/>
        <v>0</v>
      </c>
      <c r="AN265">
        <f t="shared" si="229"/>
        <v>0</v>
      </c>
      <c r="AO265">
        <f t="shared" si="230"/>
        <v>0</v>
      </c>
      <c r="AP265">
        <f t="shared" si="231"/>
        <v>0</v>
      </c>
      <c r="AQ265">
        <f t="shared" si="232"/>
        <v>0</v>
      </c>
      <c r="AR265">
        <f t="shared" si="233"/>
        <v>0</v>
      </c>
      <c r="AS265">
        <f t="shared" si="234"/>
        <v>0</v>
      </c>
      <c r="AT265">
        <f t="shared" si="235"/>
        <v>0</v>
      </c>
      <c r="AU265">
        <f t="shared" si="236"/>
        <v>0</v>
      </c>
      <c r="AV265">
        <f t="shared" si="237"/>
        <v>0</v>
      </c>
      <c r="AW265">
        <f t="shared" si="192"/>
        <v>0</v>
      </c>
      <c r="AX265">
        <f t="shared" si="238"/>
        <v>0</v>
      </c>
      <c r="AY265">
        <f t="shared" si="239"/>
        <v>0</v>
      </c>
    </row>
    <row r="266" spans="1:51" x14ac:dyDescent="0.35">
      <c r="A266">
        <v>260</v>
      </c>
      <c r="C266">
        <f>MAX(0,Calc!$C$7-SUM(D266:R266))</f>
        <v>750</v>
      </c>
      <c r="D266">
        <f t="shared" si="193"/>
        <v>0</v>
      </c>
      <c r="E266">
        <f t="shared" si="194"/>
        <v>0</v>
      </c>
      <c r="F266">
        <f t="shared" si="195"/>
        <v>0</v>
      </c>
      <c r="G266">
        <f t="shared" si="196"/>
        <v>0</v>
      </c>
      <c r="H266">
        <f t="shared" si="197"/>
        <v>0</v>
      </c>
      <c r="I266">
        <f t="shared" si="198"/>
        <v>0</v>
      </c>
      <c r="J266">
        <f t="shared" si="199"/>
        <v>0</v>
      </c>
      <c r="K266">
        <f t="shared" si="200"/>
        <v>0</v>
      </c>
      <c r="L266">
        <f t="shared" si="201"/>
        <v>0</v>
      </c>
      <c r="M266">
        <f t="shared" si="202"/>
        <v>0</v>
      </c>
      <c r="N266">
        <f t="shared" si="203"/>
        <v>0</v>
      </c>
      <c r="O266">
        <f t="shared" si="204"/>
        <v>0</v>
      </c>
      <c r="P266">
        <f t="shared" si="205"/>
        <v>0</v>
      </c>
      <c r="Q266">
        <f t="shared" si="206"/>
        <v>0</v>
      </c>
      <c r="R266">
        <f t="shared" si="207"/>
        <v>0</v>
      </c>
      <c r="S266">
        <f t="shared" si="208"/>
        <v>0</v>
      </c>
      <c r="T266">
        <f t="shared" si="209"/>
        <v>0</v>
      </c>
      <c r="U266">
        <f t="shared" si="210"/>
        <v>0</v>
      </c>
      <c r="V266">
        <f t="shared" si="211"/>
        <v>0</v>
      </c>
      <c r="W266">
        <f t="shared" si="212"/>
        <v>0</v>
      </c>
      <c r="X266">
        <f t="shared" si="213"/>
        <v>0</v>
      </c>
      <c r="Y266">
        <f t="shared" si="214"/>
        <v>0</v>
      </c>
      <c r="Z266">
        <f t="shared" si="215"/>
        <v>0</v>
      </c>
      <c r="AA266">
        <f t="shared" si="216"/>
        <v>0</v>
      </c>
      <c r="AB266">
        <f t="shared" si="217"/>
        <v>0</v>
      </c>
      <c r="AC266">
        <f t="shared" si="218"/>
        <v>0</v>
      </c>
      <c r="AD266">
        <f t="shared" si="219"/>
        <v>0</v>
      </c>
      <c r="AE266">
        <f t="shared" si="220"/>
        <v>0</v>
      </c>
      <c r="AF266">
        <f t="shared" si="221"/>
        <v>0</v>
      </c>
      <c r="AG266">
        <f t="shared" si="222"/>
        <v>0</v>
      </c>
      <c r="AH266">
        <f t="shared" si="223"/>
        <v>0</v>
      </c>
      <c r="AI266">
        <f t="shared" si="224"/>
        <v>0</v>
      </c>
      <c r="AJ266">
        <f t="shared" si="225"/>
        <v>0</v>
      </c>
      <c r="AK266">
        <f t="shared" si="226"/>
        <v>0</v>
      </c>
      <c r="AL266">
        <f t="shared" si="227"/>
        <v>0</v>
      </c>
      <c r="AM266">
        <f t="shared" si="228"/>
        <v>0</v>
      </c>
      <c r="AN266">
        <f t="shared" si="229"/>
        <v>0</v>
      </c>
      <c r="AO266">
        <f t="shared" si="230"/>
        <v>0</v>
      </c>
      <c r="AP266">
        <f t="shared" si="231"/>
        <v>0</v>
      </c>
      <c r="AQ266">
        <f t="shared" si="232"/>
        <v>0</v>
      </c>
      <c r="AR266">
        <f t="shared" si="233"/>
        <v>0</v>
      </c>
      <c r="AS266">
        <f t="shared" si="234"/>
        <v>0</v>
      </c>
      <c r="AT266">
        <f t="shared" si="235"/>
        <v>0</v>
      </c>
      <c r="AU266">
        <f t="shared" si="236"/>
        <v>0</v>
      </c>
      <c r="AV266">
        <f t="shared" si="237"/>
        <v>0</v>
      </c>
      <c r="AW266">
        <f t="shared" si="192"/>
        <v>0</v>
      </c>
      <c r="AX266">
        <f t="shared" si="238"/>
        <v>0</v>
      </c>
      <c r="AY266">
        <f t="shared" si="239"/>
        <v>0</v>
      </c>
    </row>
    <row r="267" spans="1:51" x14ac:dyDescent="0.35">
      <c r="A267">
        <v>261</v>
      </c>
      <c r="C267">
        <f>MAX(0,Calc!$C$7-SUM(D267:R267))</f>
        <v>750</v>
      </c>
      <c r="D267">
        <f t="shared" si="193"/>
        <v>0</v>
      </c>
      <c r="E267">
        <f t="shared" si="194"/>
        <v>0</v>
      </c>
      <c r="F267">
        <f t="shared" si="195"/>
        <v>0</v>
      </c>
      <c r="G267">
        <f t="shared" si="196"/>
        <v>0</v>
      </c>
      <c r="H267">
        <f t="shared" si="197"/>
        <v>0</v>
      </c>
      <c r="I267">
        <f t="shared" si="198"/>
        <v>0</v>
      </c>
      <c r="J267">
        <f t="shared" si="199"/>
        <v>0</v>
      </c>
      <c r="K267">
        <f t="shared" si="200"/>
        <v>0</v>
      </c>
      <c r="L267">
        <f t="shared" si="201"/>
        <v>0</v>
      </c>
      <c r="M267">
        <f t="shared" si="202"/>
        <v>0</v>
      </c>
      <c r="N267">
        <f t="shared" si="203"/>
        <v>0</v>
      </c>
      <c r="O267">
        <f t="shared" si="204"/>
        <v>0</v>
      </c>
      <c r="P267">
        <f t="shared" si="205"/>
        <v>0</v>
      </c>
      <c r="Q267">
        <f t="shared" si="206"/>
        <v>0</v>
      </c>
      <c r="R267">
        <f t="shared" si="207"/>
        <v>0</v>
      </c>
      <c r="S267">
        <f t="shared" si="208"/>
        <v>0</v>
      </c>
      <c r="T267">
        <f t="shared" si="209"/>
        <v>0</v>
      </c>
      <c r="U267">
        <f t="shared" si="210"/>
        <v>0</v>
      </c>
      <c r="V267">
        <f t="shared" si="211"/>
        <v>0</v>
      </c>
      <c r="W267">
        <f t="shared" si="212"/>
        <v>0</v>
      </c>
      <c r="X267">
        <f t="shared" si="213"/>
        <v>0</v>
      </c>
      <c r="Y267">
        <f t="shared" si="214"/>
        <v>0</v>
      </c>
      <c r="Z267">
        <f t="shared" si="215"/>
        <v>0</v>
      </c>
      <c r="AA267">
        <f t="shared" si="216"/>
        <v>0</v>
      </c>
      <c r="AB267">
        <f t="shared" si="217"/>
        <v>0</v>
      </c>
      <c r="AC267">
        <f t="shared" si="218"/>
        <v>0</v>
      </c>
      <c r="AD267">
        <f t="shared" si="219"/>
        <v>0</v>
      </c>
      <c r="AE267">
        <f t="shared" si="220"/>
        <v>0</v>
      </c>
      <c r="AF267">
        <f t="shared" si="221"/>
        <v>0</v>
      </c>
      <c r="AG267">
        <f t="shared" si="222"/>
        <v>0</v>
      </c>
      <c r="AH267">
        <f t="shared" si="223"/>
        <v>0</v>
      </c>
      <c r="AI267">
        <f t="shared" si="224"/>
        <v>0</v>
      </c>
      <c r="AJ267">
        <f t="shared" si="225"/>
        <v>0</v>
      </c>
      <c r="AK267">
        <f t="shared" si="226"/>
        <v>0</v>
      </c>
      <c r="AL267">
        <f t="shared" si="227"/>
        <v>0</v>
      </c>
      <c r="AM267">
        <f t="shared" si="228"/>
        <v>0</v>
      </c>
      <c r="AN267">
        <f t="shared" si="229"/>
        <v>0</v>
      </c>
      <c r="AO267">
        <f t="shared" si="230"/>
        <v>0</v>
      </c>
      <c r="AP267">
        <f t="shared" si="231"/>
        <v>0</v>
      </c>
      <c r="AQ267">
        <f t="shared" si="232"/>
        <v>0</v>
      </c>
      <c r="AR267">
        <f t="shared" si="233"/>
        <v>0</v>
      </c>
      <c r="AS267">
        <f t="shared" si="234"/>
        <v>0</v>
      </c>
      <c r="AT267">
        <f t="shared" si="235"/>
        <v>0</v>
      </c>
      <c r="AU267">
        <f t="shared" si="236"/>
        <v>0</v>
      </c>
      <c r="AV267">
        <f t="shared" si="237"/>
        <v>0</v>
      </c>
      <c r="AW267">
        <f t="shared" si="192"/>
        <v>0</v>
      </c>
      <c r="AX267">
        <f t="shared" si="238"/>
        <v>0</v>
      </c>
      <c r="AY267">
        <f t="shared" si="239"/>
        <v>0</v>
      </c>
    </row>
    <row r="268" spans="1:51" x14ac:dyDescent="0.35">
      <c r="A268">
        <v>262</v>
      </c>
      <c r="C268">
        <f>MAX(0,Calc!$C$7-SUM(D268:R268))</f>
        <v>750</v>
      </c>
      <c r="D268">
        <f t="shared" si="193"/>
        <v>0</v>
      </c>
      <c r="E268">
        <f t="shared" si="194"/>
        <v>0</v>
      </c>
      <c r="F268">
        <f t="shared" si="195"/>
        <v>0</v>
      </c>
      <c r="G268">
        <f t="shared" si="196"/>
        <v>0</v>
      </c>
      <c r="H268">
        <f t="shared" si="197"/>
        <v>0</v>
      </c>
      <c r="I268">
        <f t="shared" si="198"/>
        <v>0</v>
      </c>
      <c r="J268">
        <f t="shared" si="199"/>
        <v>0</v>
      </c>
      <c r="K268">
        <f t="shared" si="200"/>
        <v>0</v>
      </c>
      <c r="L268">
        <f t="shared" si="201"/>
        <v>0</v>
      </c>
      <c r="M268">
        <f t="shared" si="202"/>
        <v>0</v>
      </c>
      <c r="N268">
        <f t="shared" si="203"/>
        <v>0</v>
      </c>
      <c r="O268">
        <f t="shared" si="204"/>
        <v>0</v>
      </c>
      <c r="P268">
        <f t="shared" si="205"/>
        <v>0</v>
      </c>
      <c r="Q268">
        <f t="shared" si="206"/>
        <v>0</v>
      </c>
      <c r="R268">
        <f t="shared" si="207"/>
        <v>0</v>
      </c>
      <c r="S268">
        <f t="shared" si="208"/>
        <v>0</v>
      </c>
      <c r="T268">
        <f t="shared" si="209"/>
        <v>0</v>
      </c>
      <c r="U268">
        <f t="shared" si="210"/>
        <v>0</v>
      </c>
      <c r="V268">
        <f t="shared" si="211"/>
        <v>0</v>
      </c>
      <c r="W268">
        <f t="shared" si="212"/>
        <v>0</v>
      </c>
      <c r="X268">
        <f t="shared" si="213"/>
        <v>0</v>
      </c>
      <c r="Y268">
        <f t="shared" si="214"/>
        <v>0</v>
      </c>
      <c r="Z268">
        <f t="shared" si="215"/>
        <v>0</v>
      </c>
      <c r="AA268">
        <f t="shared" si="216"/>
        <v>0</v>
      </c>
      <c r="AB268">
        <f t="shared" si="217"/>
        <v>0</v>
      </c>
      <c r="AC268">
        <f t="shared" si="218"/>
        <v>0</v>
      </c>
      <c r="AD268">
        <f t="shared" si="219"/>
        <v>0</v>
      </c>
      <c r="AE268">
        <f t="shared" si="220"/>
        <v>0</v>
      </c>
      <c r="AF268">
        <f t="shared" si="221"/>
        <v>0</v>
      </c>
      <c r="AG268">
        <f t="shared" si="222"/>
        <v>0</v>
      </c>
      <c r="AH268">
        <f t="shared" si="223"/>
        <v>0</v>
      </c>
      <c r="AI268">
        <f t="shared" si="224"/>
        <v>0</v>
      </c>
      <c r="AJ268">
        <f t="shared" si="225"/>
        <v>0</v>
      </c>
      <c r="AK268">
        <f t="shared" si="226"/>
        <v>0</v>
      </c>
      <c r="AL268">
        <f t="shared" si="227"/>
        <v>0</v>
      </c>
      <c r="AM268">
        <f t="shared" si="228"/>
        <v>0</v>
      </c>
      <c r="AN268">
        <f t="shared" si="229"/>
        <v>0</v>
      </c>
      <c r="AO268">
        <f t="shared" si="230"/>
        <v>0</v>
      </c>
      <c r="AP268">
        <f t="shared" si="231"/>
        <v>0</v>
      </c>
      <c r="AQ268">
        <f t="shared" si="232"/>
        <v>0</v>
      </c>
      <c r="AR268">
        <f t="shared" si="233"/>
        <v>0</v>
      </c>
      <c r="AS268">
        <f t="shared" si="234"/>
        <v>0</v>
      </c>
      <c r="AT268">
        <f t="shared" si="235"/>
        <v>0</v>
      </c>
      <c r="AU268">
        <f t="shared" si="236"/>
        <v>0</v>
      </c>
      <c r="AV268">
        <f t="shared" si="237"/>
        <v>0</v>
      </c>
      <c r="AW268">
        <f t="shared" si="192"/>
        <v>0</v>
      </c>
      <c r="AX268">
        <f t="shared" si="238"/>
        <v>0</v>
      </c>
      <c r="AY268">
        <f t="shared" si="239"/>
        <v>0</v>
      </c>
    </row>
    <row r="269" spans="1:51" x14ac:dyDescent="0.35">
      <c r="A269">
        <v>263</v>
      </c>
      <c r="C269">
        <f>MAX(0,Calc!$C$7-SUM(D269:R269))</f>
        <v>750</v>
      </c>
      <c r="D269">
        <f t="shared" si="193"/>
        <v>0</v>
      </c>
      <c r="E269">
        <f t="shared" si="194"/>
        <v>0</v>
      </c>
      <c r="F269">
        <f t="shared" si="195"/>
        <v>0</v>
      </c>
      <c r="G269">
        <f t="shared" si="196"/>
        <v>0</v>
      </c>
      <c r="H269">
        <f t="shared" si="197"/>
        <v>0</v>
      </c>
      <c r="I269">
        <f t="shared" si="198"/>
        <v>0</v>
      </c>
      <c r="J269">
        <f t="shared" si="199"/>
        <v>0</v>
      </c>
      <c r="K269">
        <f t="shared" si="200"/>
        <v>0</v>
      </c>
      <c r="L269">
        <f t="shared" si="201"/>
        <v>0</v>
      </c>
      <c r="M269">
        <f t="shared" si="202"/>
        <v>0</v>
      </c>
      <c r="N269">
        <f t="shared" si="203"/>
        <v>0</v>
      </c>
      <c r="O269">
        <f t="shared" si="204"/>
        <v>0</v>
      </c>
      <c r="P269">
        <f t="shared" si="205"/>
        <v>0</v>
      </c>
      <c r="Q269">
        <f t="shared" si="206"/>
        <v>0</v>
      </c>
      <c r="R269">
        <f t="shared" si="207"/>
        <v>0</v>
      </c>
      <c r="S269">
        <f t="shared" si="208"/>
        <v>0</v>
      </c>
      <c r="T269">
        <f t="shared" si="209"/>
        <v>0</v>
      </c>
      <c r="U269">
        <f t="shared" si="210"/>
        <v>0</v>
      </c>
      <c r="V269">
        <f t="shared" si="211"/>
        <v>0</v>
      </c>
      <c r="W269">
        <f t="shared" si="212"/>
        <v>0</v>
      </c>
      <c r="X269">
        <f t="shared" si="213"/>
        <v>0</v>
      </c>
      <c r="Y269">
        <f t="shared" si="214"/>
        <v>0</v>
      </c>
      <c r="Z269">
        <f t="shared" si="215"/>
        <v>0</v>
      </c>
      <c r="AA269">
        <f t="shared" si="216"/>
        <v>0</v>
      </c>
      <c r="AB269">
        <f t="shared" si="217"/>
        <v>0</v>
      </c>
      <c r="AC269">
        <f t="shared" si="218"/>
        <v>0</v>
      </c>
      <c r="AD269">
        <f t="shared" si="219"/>
        <v>0</v>
      </c>
      <c r="AE269">
        <f t="shared" si="220"/>
        <v>0</v>
      </c>
      <c r="AF269">
        <f t="shared" si="221"/>
        <v>0</v>
      </c>
      <c r="AG269">
        <f t="shared" si="222"/>
        <v>0</v>
      </c>
      <c r="AH269">
        <f t="shared" si="223"/>
        <v>0</v>
      </c>
      <c r="AI269">
        <f t="shared" si="224"/>
        <v>0</v>
      </c>
      <c r="AJ269">
        <f t="shared" si="225"/>
        <v>0</v>
      </c>
      <c r="AK269">
        <f t="shared" si="226"/>
        <v>0</v>
      </c>
      <c r="AL269">
        <f t="shared" si="227"/>
        <v>0</v>
      </c>
      <c r="AM269">
        <f t="shared" si="228"/>
        <v>0</v>
      </c>
      <c r="AN269">
        <f t="shared" si="229"/>
        <v>0</v>
      </c>
      <c r="AO269">
        <f t="shared" si="230"/>
        <v>0</v>
      </c>
      <c r="AP269">
        <f t="shared" si="231"/>
        <v>0</v>
      </c>
      <c r="AQ269">
        <f t="shared" si="232"/>
        <v>0</v>
      </c>
      <c r="AR269">
        <f t="shared" si="233"/>
        <v>0</v>
      </c>
      <c r="AS269">
        <f t="shared" si="234"/>
        <v>0</v>
      </c>
      <c r="AT269">
        <f t="shared" si="235"/>
        <v>0</v>
      </c>
      <c r="AU269">
        <f t="shared" si="236"/>
        <v>0</v>
      </c>
      <c r="AV269">
        <f t="shared" si="237"/>
        <v>0</v>
      </c>
      <c r="AW269">
        <f t="shared" si="192"/>
        <v>0</v>
      </c>
      <c r="AX269">
        <f t="shared" si="238"/>
        <v>0</v>
      </c>
      <c r="AY269">
        <f t="shared" si="239"/>
        <v>0</v>
      </c>
    </row>
    <row r="270" spans="1:51" x14ac:dyDescent="0.35">
      <c r="A270">
        <v>264</v>
      </c>
      <c r="C270">
        <f>MAX(0,Calc!$C$7-SUM(D270:R270))</f>
        <v>750</v>
      </c>
      <c r="D270">
        <f t="shared" si="193"/>
        <v>0</v>
      </c>
      <c r="E270">
        <f t="shared" si="194"/>
        <v>0</v>
      </c>
      <c r="F270">
        <f t="shared" si="195"/>
        <v>0</v>
      </c>
      <c r="G270">
        <f t="shared" si="196"/>
        <v>0</v>
      </c>
      <c r="H270">
        <f t="shared" si="197"/>
        <v>0</v>
      </c>
      <c r="I270">
        <f t="shared" si="198"/>
        <v>0</v>
      </c>
      <c r="J270">
        <f t="shared" si="199"/>
        <v>0</v>
      </c>
      <c r="K270">
        <f t="shared" si="200"/>
        <v>0</v>
      </c>
      <c r="L270">
        <f t="shared" si="201"/>
        <v>0</v>
      </c>
      <c r="M270">
        <f t="shared" si="202"/>
        <v>0</v>
      </c>
      <c r="N270">
        <f t="shared" si="203"/>
        <v>0</v>
      </c>
      <c r="O270">
        <f t="shared" si="204"/>
        <v>0</v>
      </c>
      <c r="P270">
        <f t="shared" si="205"/>
        <v>0</v>
      </c>
      <c r="Q270">
        <f t="shared" si="206"/>
        <v>0</v>
      </c>
      <c r="R270">
        <f t="shared" si="207"/>
        <v>0</v>
      </c>
      <c r="S270">
        <f t="shared" si="208"/>
        <v>0</v>
      </c>
      <c r="T270">
        <f t="shared" si="209"/>
        <v>0</v>
      </c>
      <c r="U270">
        <f t="shared" si="210"/>
        <v>0</v>
      </c>
      <c r="V270">
        <f t="shared" si="211"/>
        <v>0</v>
      </c>
      <c r="W270">
        <f t="shared" si="212"/>
        <v>0</v>
      </c>
      <c r="X270">
        <f t="shared" si="213"/>
        <v>0</v>
      </c>
      <c r="Y270">
        <f t="shared" si="214"/>
        <v>0</v>
      </c>
      <c r="Z270">
        <f t="shared" si="215"/>
        <v>0</v>
      </c>
      <c r="AA270">
        <f t="shared" si="216"/>
        <v>0</v>
      </c>
      <c r="AB270">
        <f t="shared" si="217"/>
        <v>0</v>
      </c>
      <c r="AC270">
        <f t="shared" si="218"/>
        <v>0</v>
      </c>
      <c r="AD270">
        <f t="shared" si="219"/>
        <v>0</v>
      </c>
      <c r="AE270">
        <f t="shared" si="220"/>
        <v>0</v>
      </c>
      <c r="AF270">
        <f t="shared" si="221"/>
        <v>0</v>
      </c>
      <c r="AG270">
        <f t="shared" si="222"/>
        <v>0</v>
      </c>
      <c r="AH270">
        <f t="shared" si="223"/>
        <v>0</v>
      </c>
      <c r="AI270">
        <f t="shared" si="224"/>
        <v>0</v>
      </c>
      <c r="AJ270">
        <f t="shared" si="225"/>
        <v>0</v>
      </c>
      <c r="AK270">
        <f t="shared" si="226"/>
        <v>0</v>
      </c>
      <c r="AL270">
        <f t="shared" si="227"/>
        <v>0</v>
      </c>
      <c r="AM270">
        <f t="shared" si="228"/>
        <v>0</v>
      </c>
      <c r="AN270">
        <f t="shared" si="229"/>
        <v>0</v>
      </c>
      <c r="AO270">
        <f t="shared" si="230"/>
        <v>0</v>
      </c>
      <c r="AP270">
        <f t="shared" si="231"/>
        <v>0</v>
      </c>
      <c r="AQ270">
        <f t="shared" si="232"/>
        <v>0</v>
      </c>
      <c r="AR270">
        <f t="shared" si="233"/>
        <v>0</v>
      </c>
      <c r="AS270">
        <f t="shared" si="234"/>
        <v>0</v>
      </c>
      <c r="AT270">
        <f t="shared" si="235"/>
        <v>0</v>
      </c>
      <c r="AU270">
        <f t="shared" si="236"/>
        <v>0</v>
      </c>
      <c r="AV270">
        <f t="shared" si="237"/>
        <v>0</v>
      </c>
      <c r="AW270">
        <f t="shared" si="192"/>
        <v>0</v>
      </c>
      <c r="AX270">
        <f t="shared" si="238"/>
        <v>0</v>
      </c>
      <c r="AY270">
        <f t="shared" si="239"/>
        <v>0</v>
      </c>
    </row>
    <row r="271" spans="1:51" x14ac:dyDescent="0.35">
      <c r="A271">
        <v>265</v>
      </c>
      <c r="C271">
        <f>MAX(0,Calc!$C$7-SUM(D271:R271))</f>
        <v>750</v>
      </c>
      <c r="D271">
        <f t="shared" si="193"/>
        <v>0</v>
      </c>
      <c r="E271">
        <f t="shared" si="194"/>
        <v>0</v>
      </c>
      <c r="F271">
        <f t="shared" si="195"/>
        <v>0</v>
      </c>
      <c r="G271">
        <f t="shared" si="196"/>
        <v>0</v>
      </c>
      <c r="H271">
        <f t="shared" si="197"/>
        <v>0</v>
      </c>
      <c r="I271">
        <f t="shared" si="198"/>
        <v>0</v>
      </c>
      <c r="J271">
        <f t="shared" si="199"/>
        <v>0</v>
      </c>
      <c r="K271">
        <f t="shared" si="200"/>
        <v>0</v>
      </c>
      <c r="L271">
        <f t="shared" si="201"/>
        <v>0</v>
      </c>
      <c r="M271">
        <f t="shared" si="202"/>
        <v>0</v>
      </c>
      <c r="N271">
        <f t="shared" si="203"/>
        <v>0</v>
      </c>
      <c r="O271">
        <f t="shared" si="204"/>
        <v>0</v>
      </c>
      <c r="P271">
        <f t="shared" si="205"/>
        <v>0</v>
      </c>
      <c r="Q271">
        <f t="shared" si="206"/>
        <v>0</v>
      </c>
      <c r="R271">
        <f t="shared" si="207"/>
        <v>0</v>
      </c>
      <c r="S271">
        <f t="shared" si="208"/>
        <v>0</v>
      </c>
      <c r="T271">
        <f t="shared" si="209"/>
        <v>0</v>
      </c>
      <c r="U271">
        <f t="shared" si="210"/>
        <v>0</v>
      </c>
      <c r="V271">
        <f t="shared" si="211"/>
        <v>0</v>
      </c>
      <c r="W271">
        <f t="shared" si="212"/>
        <v>0</v>
      </c>
      <c r="X271">
        <f t="shared" si="213"/>
        <v>0</v>
      </c>
      <c r="Y271">
        <f t="shared" si="214"/>
        <v>0</v>
      </c>
      <c r="Z271">
        <f t="shared" si="215"/>
        <v>0</v>
      </c>
      <c r="AA271">
        <f t="shared" si="216"/>
        <v>0</v>
      </c>
      <c r="AB271">
        <f t="shared" si="217"/>
        <v>0</v>
      </c>
      <c r="AC271">
        <f t="shared" si="218"/>
        <v>0</v>
      </c>
      <c r="AD271">
        <f t="shared" si="219"/>
        <v>0</v>
      </c>
      <c r="AE271">
        <f t="shared" si="220"/>
        <v>0</v>
      </c>
      <c r="AF271">
        <f t="shared" si="221"/>
        <v>0</v>
      </c>
      <c r="AG271">
        <f t="shared" si="222"/>
        <v>0</v>
      </c>
      <c r="AH271">
        <f t="shared" si="223"/>
        <v>0</v>
      </c>
      <c r="AI271">
        <f t="shared" si="224"/>
        <v>0</v>
      </c>
      <c r="AJ271">
        <f t="shared" si="225"/>
        <v>0</v>
      </c>
      <c r="AK271">
        <f t="shared" si="226"/>
        <v>0</v>
      </c>
      <c r="AL271">
        <f t="shared" si="227"/>
        <v>0</v>
      </c>
      <c r="AM271">
        <f t="shared" si="228"/>
        <v>0</v>
      </c>
      <c r="AN271">
        <f t="shared" si="229"/>
        <v>0</v>
      </c>
      <c r="AO271">
        <f t="shared" si="230"/>
        <v>0</v>
      </c>
      <c r="AP271">
        <f t="shared" si="231"/>
        <v>0</v>
      </c>
      <c r="AQ271">
        <f t="shared" si="232"/>
        <v>0</v>
      </c>
      <c r="AR271">
        <f t="shared" si="233"/>
        <v>0</v>
      </c>
      <c r="AS271">
        <f t="shared" si="234"/>
        <v>0</v>
      </c>
      <c r="AT271">
        <f t="shared" si="235"/>
        <v>0</v>
      </c>
      <c r="AU271">
        <f t="shared" si="236"/>
        <v>0</v>
      </c>
      <c r="AV271">
        <f t="shared" si="237"/>
        <v>0</v>
      </c>
      <c r="AW271">
        <f t="shared" si="192"/>
        <v>0</v>
      </c>
      <c r="AX271">
        <f t="shared" si="238"/>
        <v>0</v>
      </c>
      <c r="AY271">
        <f t="shared" si="239"/>
        <v>0</v>
      </c>
    </row>
    <row r="272" spans="1:51" x14ac:dyDescent="0.35">
      <c r="A272">
        <v>266</v>
      </c>
      <c r="C272">
        <f>MAX(0,Calc!$C$7-SUM(D272:R272))</f>
        <v>750</v>
      </c>
      <c r="D272">
        <f t="shared" si="193"/>
        <v>0</v>
      </c>
      <c r="E272">
        <f t="shared" si="194"/>
        <v>0</v>
      </c>
      <c r="F272">
        <f t="shared" si="195"/>
        <v>0</v>
      </c>
      <c r="G272">
        <f t="shared" si="196"/>
        <v>0</v>
      </c>
      <c r="H272">
        <f t="shared" si="197"/>
        <v>0</v>
      </c>
      <c r="I272">
        <f t="shared" si="198"/>
        <v>0</v>
      </c>
      <c r="J272">
        <f t="shared" si="199"/>
        <v>0</v>
      </c>
      <c r="K272">
        <f t="shared" si="200"/>
        <v>0</v>
      </c>
      <c r="L272">
        <f t="shared" si="201"/>
        <v>0</v>
      </c>
      <c r="M272">
        <f t="shared" si="202"/>
        <v>0</v>
      </c>
      <c r="N272">
        <f t="shared" si="203"/>
        <v>0</v>
      </c>
      <c r="O272">
        <f t="shared" si="204"/>
        <v>0</v>
      </c>
      <c r="P272">
        <f t="shared" si="205"/>
        <v>0</v>
      </c>
      <c r="Q272">
        <f t="shared" si="206"/>
        <v>0</v>
      </c>
      <c r="R272">
        <f t="shared" si="207"/>
        <v>0</v>
      </c>
      <c r="S272">
        <f t="shared" si="208"/>
        <v>0</v>
      </c>
      <c r="T272">
        <f t="shared" si="209"/>
        <v>0</v>
      </c>
      <c r="U272">
        <f t="shared" si="210"/>
        <v>0</v>
      </c>
      <c r="V272">
        <f t="shared" si="211"/>
        <v>0</v>
      </c>
      <c r="W272">
        <f t="shared" si="212"/>
        <v>0</v>
      </c>
      <c r="X272">
        <f t="shared" si="213"/>
        <v>0</v>
      </c>
      <c r="Y272">
        <f t="shared" si="214"/>
        <v>0</v>
      </c>
      <c r="Z272">
        <f t="shared" si="215"/>
        <v>0</v>
      </c>
      <c r="AA272">
        <f t="shared" si="216"/>
        <v>0</v>
      </c>
      <c r="AB272">
        <f t="shared" si="217"/>
        <v>0</v>
      </c>
      <c r="AC272">
        <f t="shared" si="218"/>
        <v>0</v>
      </c>
      <c r="AD272">
        <f t="shared" si="219"/>
        <v>0</v>
      </c>
      <c r="AE272">
        <f t="shared" si="220"/>
        <v>0</v>
      </c>
      <c r="AF272">
        <f t="shared" si="221"/>
        <v>0</v>
      </c>
      <c r="AG272">
        <f t="shared" si="222"/>
        <v>0</v>
      </c>
      <c r="AH272">
        <f t="shared" si="223"/>
        <v>0</v>
      </c>
      <c r="AI272">
        <f t="shared" si="224"/>
        <v>0</v>
      </c>
      <c r="AJ272">
        <f t="shared" si="225"/>
        <v>0</v>
      </c>
      <c r="AK272">
        <f t="shared" si="226"/>
        <v>0</v>
      </c>
      <c r="AL272">
        <f t="shared" si="227"/>
        <v>0</v>
      </c>
      <c r="AM272">
        <f t="shared" si="228"/>
        <v>0</v>
      </c>
      <c r="AN272">
        <f t="shared" si="229"/>
        <v>0</v>
      </c>
      <c r="AO272">
        <f t="shared" si="230"/>
        <v>0</v>
      </c>
      <c r="AP272">
        <f t="shared" si="231"/>
        <v>0</v>
      </c>
      <c r="AQ272">
        <f t="shared" si="232"/>
        <v>0</v>
      </c>
      <c r="AR272">
        <f t="shared" si="233"/>
        <v>0</v>
      </c>
      <c r="AS272">
        <f t="shared" si="234"/>
        <v>0</v>
      </c>
      <c r="AT272">
        <f t="shared" si="235"/>
        <v>0</v>
      </c>
      <c r="AU272">
        <f t="shared" si="236"/>
        <v>0</v>
      </c>
      <c r="AV272">
        <f t="shared" si="237"/>
        <v>0</v>
      </c>
      <c r="AW272">
        <f t="shared" si="192"/>
        <v>0</v>
      </c>
      <c r="AX272">
        <f t="shared" si="238"/>
        <v>0</v>
      </c>
      <c r="AY272">
        <f t="shared" si="239"/>
        <v>0</v>
      </c>
    </row>
    <row r="273" spans="1:51" x14ac:dyDescent="0.35">
      <c r="A273">
        <v>267</v>
      </c>
      <c r="C273">
        <f>MAX(0,Calc!$C$7-SUM(D273:R273))</f>
        <v>750</v>
      </c>
      <c r="D273">
        <f t="shared" si="193"/>
        <v>0</v>
      </c>
      <c r="E273">
        <f t="shared" si="194"/>
        <v>0</v>
      </c>
      <c r="F273">
        <f t="shared" si="195"/>
        <v>0</v>
      </c>
      <c r="G273">
        <f t="shared" si="196"/>
        <v>0</v>
      </c>
      <c r="H273">
        <f t="shared" si="197"/>
        <v>0</v>
      </c>
      <c r="I273">
        <f t="shared" si="198"/>
        <v>0</v>
      </c>
      <c r="J273">
        <f t="shared" si="199"/>
        <v>0</v>
      </c>
      <c r="K273">
        <f t="shared" si="200"/>
        <v>0</v>
      </c>
      <c r="L273">
        <f t="shared" si="201"/>
        <v>0</v>
      </c>
      <c r="M273">
        <f t="shared" si="202"/>
        <v>0</v>
      </c>
      <c r="N273">
        <f t="shared" si="203"/>
        <v>0</v>
      </c>
      <c r="O273">
        <f t="shared" si="204"/>
        <v>0</v>
      </c>
      <c r="P273">
        <f t="shared" si="205"/>
        <v>0</v>
      </c>
      <c r="Q273">
        <f t="shared" si="206"/>
        <v>0</v>
      </c>
      <c r="R273">
        <f t="shared" si="207"/>
        <v>0</v>
      </c>
      <c r="S273">
        <f t="shared" si="208"/>
        <v>0</v>
      </c>
      <c r="T273">
        <f t="shared" si="209"/>
        <v>0</v>
      </c>
      <c r="U273">
        <f t="shared" si="210"/>
        <v>0</v>
      </c>
      <c r="V273">
        <f t="shared" si="211"/>
        <v>0</v>
      </c>
      <c r="W273">
        <f t="shared" si="212"/>
        <v>0</v>
      </c>
      <c r="X273">
        <f t="shared" si="213"/>
        <v>0</v>
      </c>
      <c r="Y273">
        <f t="shared" si="214"/>
        <v>0</v>
      </c>
      <c r="Z273">
        <f t="shared" si="215"/>
        <v>0</v>
      </c>
      <c r="AA273">
        <f t="shared" si="216"/>
        <v>0</v>
      </c>
      <c r="AB273">
        <f t="shared" si="217"/>
        <v>0</v>
      </c>
      <c r="AC273">
        <f t="shared" si="218"/>
        <v>0</v>
      </c>
      <c r="AD273">
        <f t="shared" si="219"/>
        <v>0</v>
      </c>
      <c r="AE273">
        <f t="shared" si="220"/>
        <v>0</v>
      </c>
      <c r="AF273">
        <f t="shared" si="221"/>
        <v>0</v>
      </c>
      <c r="AG273">
        <f t="shared" si="222"/>
        <v>0</v>
      </c>
      <c r="AH273">
        <f t="shared" si="223"/>
        <v>0</v>
      </c>
      <c r="AI273">
        <f t="shared" si="224"/>
        <v>0</v>
      </c>
      <c r="AJ273">
        <f t="shared" si="225"/>
        <v>0</v>
      </c>
      <c r="AK273">
        <f t="shared" si="226"/>
        <v>0</v>
      </c>
      <c r="AL273">
        <f t="shared" si="227"/>
        <v>0</v>
      </c>
      <c r="AM273">
        <f t="shared" si="228"/>
        <v>0</v>
      </c>
      <c r="AN273">
        <f t="shared" si="229"/>
        <v>0</v>
      </c>
      <c r="AO273">
        <f t="shared" si="230"/>
        <v>0</v>
      </c>
      <c r="AP273">
        <f t="shared" si="231"/>
        <v>0</v>
      </c>
      <c r="AQ273">
        <f t="shared" si="232"/>
        <v>0</v>
      </c>
      <c r="AR273">
        <f t="shared" si="233"/>
        <v>0</v>
      </c>
      <c r="AS273">
        <f t="shared" si="234"/>
        <v>0</v>
      </c>
      <c r="AT273">
        <f t="shared" si="235"/>
        <v>0</v>
      </c>
      <c r="AU273">
        <f t="shared" si="236"/>
        <v>0</v>
      </c>
      <c r="AV273">
        <f t="shared" si="237"/>
        <v>0</v>
      </c>
      <c r="AW273">
        <f t="shared" si="192"/>
        <v>0</v>
      </c>
      <c r="AX273">
        <f t="shared" si="238"/>
        <v>0</v>
      </c>
      <c r="AY273">
        <f t="shared" si="239"/>
        <v>0</v>
      </c>
    </row>
    <row r="274" spans="1:51" x14ac:dyDescent="0.35">
      <c r="A274">
        <v>268</v>
      </c>
      <c r="C274">
        <f>MAX(0,Calc!$C$7-SUM(D274:R274))</f>
        <v>750</v>
      </c>
      <c r="D274">
        <f t="shared" si="193"/>
        <v>0</v>
      </c>
      <c r="E274">
        <f t="shared" si="194"/>
        <v>0</v>
      </c>
      <c r="F274">
        <f t="shared" si="195"/>
        <v>0</v>
      </c>
      <c r="G274">
        <f t="shared" si="196"/>
        <v>0</v>
      </c>
      <c r="H274">
        <f t="shared" si="197"/>
        <v>0</v>
      </c>
      <c r="I274">
        <f t="shared" si="198"/>
        <v>0</v>
      </c>
      <c r="J274">
        <f t="shared" si="199"/>
        <v>0</v>
      </c>
      <c r="K274">
        <f t="shared" si="200"/>
        <v>0</v>
      </c>
      <c r="L274">
        <f t="shared" si="201"/>
        <v>0</v>
      </c>
      <c r="M274">
        <f t="shared" si="202"/>
        <v>0</v>
      </c>
      <c r="N274">
        <f t="shared" si="203"/>
        <v>0</v>
      </c>
      <c r="O274">
        <f t="shared" si="204"/>
        <v>0</v>
      </c>
      <c r="P274">
        <f t="shared" si="205"/>
        <v>0</v>
      </c>
      <c r="Q274">
        <f t="shared" si="206"/>
        <v>0</v>
      </c>
      <c r="R274">
        <f t="shared" si="207"/>
        <v>0</v>
      </c>
      <c r="S274">
        <f t="shared" si="208"/>
        <v>0</v>
      </c>
      <c r="T274">
        <f t="shared" si="209"/>
        <v>0</v>
      </c>
      <c r="U274">
        <f t="shared" si="210"/>
        <v>0</v>
      </c>
      <c r="V274">
        <f t="shared" si="211"/>
        <v>0</v>
      </c>
      <c r="W274">
        <f t="shared" si="212"/>
        <v>0</v>
      </c>
      <c r="X274">
        <f t="shared" si="213"/>
        <v>0</v>
      </c>
      <c r="Y274">
        <f t="shared" si="214"/>
        <v>0</v>
      </c>
      <c r="Z274">
        <f t="shared" si="215"/>
        <v>0</v>
      </c>
      <c r="AA274">
        <f t="shared" si="216"/>
        <v>0</v>
      </c>
      <c r="AB274">
        <f t="shared" si="217"/>
        <v>0</v>
      </c>
      <c r="AC274">
        <f t="shared" si="218"/>
        <v>0</v>
      </c>
      <c r="AD274">
        <f t="shared" si="219"/>
        <v>0</v>
      </c>
      <c r="AE274">
        <f t="shared" si="220"/>
        <v>0</v>
      </c>
      <c r="AF274">
        <f t="shared" si="221"/>
        <v>0</v>
      </c>
      <c r="AG274">
        <f t="shared" si="222"/>
        <v>0</v>
      </c>
      <c r="AH274">
        <f t="shared" si="223"/>
        <v>0</v>
      </c>
      <c r="AI274">
        <f t="shared" si="224"/>
        <v>0</v>
      </c>
      <c r="AJ274">
        <f t="shared" si="225"/>
        <v>0</v>
      </c>
      <c r="AK274">
        <f t="shared" si="226"/>
        <v>0</v>
      </c>
      <c r="AL274">
        <f t="shared" si="227"/>
        <v>0</v>
      </c>
      <c r="AM274">
        <f t="shared" si="228"/>
        <v>0</v>
      </c>
      <c r="AN274">
        <f t="shared" si="229"/>
        <v>0</v>
      </c>
      <c r="AO274">
        <f t="shared" si="230"/>
        <v>0</v>
      </c>
      <c r="AP274">
        <f t="shared" si="231"/>
        <v>0</v>
      </c>
      <c r="AQ274">
        <f t="shared" si="232"/>
        <v>0</v>
      </c>
      <c r="AR274">
        <f t="shared" si="233"/>
        <v>0</v>
      </c>
      <c r="AS274">
        <f t="shared" si="234"/>
        <v>0</v>
      </c>
      <c r="AT274">
        <f t="shared" si="235"/>
        <v>0</v>
      </c>
      <c r="AU274">
        <f t="shared" si="236"/>
        <v>0</v>
      </c>
      <c r="AV274">
        <f t="shared" si="237"/>
        <v>0</v>
      </c>
      <c r="AW274">
        <f t="shared" si="192"/>
        <v>0</v>
      </c>
      <c r="AX274">
        <f t="shared" si="238"/>
        <v>0</v>
      </c>
      <c r="AY274">
        <f t="shared" si="239"/>
        <v>0</v>
      </c>
    </row>
    <row r="275" spans="1:51" x14ac:dyDescent="0.35">
      <c r="A275">
        <v>269</v>
      </c>
      <c r="C275">
        <f>MAX(0,Calc!$C$7-SUM(D275:R275))</f>
        <v>750</v>
      </c>
      <c r="D275">
        <f t="shared" si="193"/>
        <v>0</v>
      </c>
      <c r="E275">
        <f t="shared" si="194"/>
        <v>0</v>
      </c>
      <c r="F275">
        <f t="shared" si="195"/>
        <v>0</v>
      </c>
      <c r="G275">
        <f t="shared" si="196"/>
        <v>0</v>
      </c>
      <c r="H275">
        <f t="shared" si="197"/>
        <v>0</v>
      </c>
      <c r="I275">
        <f t="shared" si="198"/>
        <v>0</v>
      </c>
      <c r="J275">
        <f t="shared" si="199"/>
        <v>0</v>
      </c>
      <c r="K275">
        <f t="shared" si="200"/>
        <v>0</v>
      </c>
      <c r="L275">
        <f t="shared" si="201"/>
        <v>0</v>
      </c>
      <c r="M275">
        <f t="shared" si="202"/>
        <v>0</v>
      </c>
      <c r="N275">
        <f t="shared" si="203"/>
        <v>0</v>
      </c>
      <c r="O275">
        <f t="shared" si="204"/>
        <v>0</v>
      </c>
      <c r="P275">
        <f t="shared" si="205"/>
        <v>0</v>
      </c>
      <c r="Q275">
        <f t="shared" si="206"/>
        <v>0</v>
      </c>
      <c r="R275">
        <f t="shared" si="207"/>
        <v>0</v>
      </c>
      <c r="S275">
        <f t="shared" si="208"/>
        <v>0</v>
      </c>
      <c r="T275">
        <f t="shared" si="209"/>
        <v>0</v>
      </c>
      <c r="U275">
        <f t="shared" si="210"/>
        <v>0</v>
      </c>
      <c r="V275">
        <f t="shared" si="211"/>
        <v>0</v>
      </c>
      <c r="W275">
        <f t="shared" si="212"/>
        <v>0</v>
      </c>
      <c r="X275">
        <f t="shared" si="213"/>
        <v>0</v>
      </c>
      <c r="Y275">
        <f t="shared" si="214"/>
        <v>0</v>
      </c>
      <c r="Z275">
        <f t="shared" si="215"/>
        <v>0</v>
      </c>
      <c r="AA275">
        <f t="shared" si="216"/>
        <v>0</v>
      </c>
      <c r="AB275">
        <f t="shared" si="217"/>
        <v>0</v>
      </c>
      <c r="AC275">
        <f t="shared" si="218"/>
        <v>0</v>
      </c>
      <c r="AD275">
        <f t="shared" si="219"/>
        <v>0</v>
      </c>
      <c r="AE275">
        <f t="shared" si="220"/>
        <v>0</v>
      </c>
      <c r="AF275">
        <f t="shared" si="221"/>
        <v>0</v>
      </c>
      <c r="AG275">
        <f t="shared" si="222"/>
        <v>0</v>
      </c>
      <c r="AH275">
        <f t="shared" si="223"/>
        <v>0</v>
      </c>
      <c r="AI275">
        <f t="shared" si="224"/>
        <v>0</v>
      </c>
      <c r="AJ275">
        <f t="shared" si="225"/>
        <v>0</v>
      </c>
      <c r="AK275">
        <f t="shared" si="226"/>
        <v>0</v>
      </c>
      <c r="AL275">
        <f t="shared" si="227"/>
        <v>0</v>
      </c>
      <c r="AM275">
        <f t="shared" si="228"/>
        <v>0</v>
      </c>
      <c r="AN275">
        <f t="shared" si="229"/>
        <v>0</v>
      </c>
      <c r="AO275">
        <f t="shared" si="230"/>
        <v>0</v>
      </c>
      <c r="AP275">
        <f t="shared" si="231"/>
        <v>0</v>
      </c>
      <c r="AQ275">
        <f t="shared" si="232"/>
        <v>0</v>
      </c>
      <c r="AR275">
        <f t="shared" si="233"/>
        <v>0</v>
      </c>
      <c r="AS275">
        <f t="shared" si="234"/>
        <v>0</v>
      </c>
      <c r="AT275">
        <f t="shared" si="235"/>
        <v>0</v>
      </c>
      <c r="AU275">
        <f t="shared" si="236"/>
        <v>0</v>
      </c>
      <c r="AV275">
        <f t="shared" si="237"/>
        <v>0</v>
      </c>
      <c r="AW275">
        <f t="shared" si="192"/>
        <v>0</v>
      </c>
      <c r="AX275">
        <f t="shared" si="238"/>
        <v>0</v>
      </c>
      <c r="AY275">
        <f t="shared" si="239"/>
        <v>0</v>
      </c>
    </row>
    <row r="276" spans="1:51" x14ac:dyDescent="0.35">
      <c r="A276">
        <v>270</v>
      </c>
      <c r="C276">
        <f>MAX(0,Calc!$C$7-SUM(D276:R276))</f>
        <v>750</v>
      </c>
      <c r="D276">
        <f t="shared" si="193"/>
        <v>0</v>
      </c>
      <c r="E276">
        <f t="shared" si="194"/>
        <v>0</v>
      </c>
      <c r="F276">
        <f t="shared" si="195"/>
        <v>0</v>
      </c>
      <c r="G276">
        <f t="shared" si="196"/>
        <v>0</v>
      </c>
      <c r="H276">
        <f t="shared" si="197"/>
        <v>0</v>
      </c>
      <c r="I276">
        <f t="shared" si="198"/>
        <v>0</v>
      </c>
      <c r="J276">
        <f t="shared" si="199"/>
        <v>0</v>
      </c>
      <c r="K276">
        <f t="shared" si="200"/>
        <v>0</v>
      </c>
      <c r="L276">
        <f t="shared" si="201"/>
        <v>0</v>
      </c>
      <c r="M276">
        <f t="shared" si="202"/>
        <v>0</v>
      </c>
      <c r="N276">
        <f t="shared" si="203"/>
        <v>0</v>
      </c>
      <c r="O276">
        <f t="shared" si="204"/>
        <v>0</v>
      </c>
      <c r="P276">
        <f t="shared" si="205"/>
        <v>0</v>
      </c>
      <c r="Q276">
        <f t="shared" si="206"/>
        <v>0</v>
      </c>
      <c r="R276">
        <f t="shared" si="207"/>
        <v>0</v>
      </c>
      <c r="S276">
        <f t="shared" si="208"/>
        <v>0</v>
      </c>
      <c r="T276">
        <f t="shared" si="209"/>
        <v>0</v>
      </c>
      <c r="U276">
        <f t="shared" si="210"/>
        <v>0</v>
      </c>
      <c r="V276">
        <f t="shared" si="211"/>
        <v>0</v>
      </c>
      <c r="W276">
        <f t="shared" si="212"/>
        <v>0</v>
      </c>
      <c r="X276">
        <f t="shared" si="213"/>
        <v>0</v>
      </c>
      <c r="Y276">
        <f t="shared" si="214"/>
        <v>0</v>
      </c>
      <c r="Z276">
        <f t="shared" si="215"/>
        <v>0</v>
      </c>
      <c r="AA276">
        <f t="shared" si="216"/>
        <v>0</v>
      </c>
      <c r="AB276">
        <f t="shared" si="217"/>
        <v>0</v>
      </c>
      <c r="AC276">
        <f t="shared" si="218"/>
        <v>0</v>
      </c>
      <c r="AD276">
        <f t="shared" si="219"/>
        <v>0</v>
      </c>
      <c r="AE276">
        <f t="shared" si="220"/>
        <v>0</v>
      </c>
      <c r="AF276">
        <f t="shared" si="221"/>
        <v>0</v>
      </c>
      <c r="AG276">
        <f t="shared" si="222"/>
        <v>0</v>
      </c>
      <c r="AH276">
        <f t="shared" si="223"/>
        <v>0</v>
      </c>
      <c r="AI276">
        <f t="shared" si="224"/>
        <v>0</v>
      </c>
      <c r="AJ276">
        <f t="shared" si="225"/>
        <v>0</v>
      </c>
      <c r="AK276">
        <f t="shared" si="226"/>
        <v>0</v>
      </c>
      <c r="AL276">
        <f t="shared" si="227"/>
        <v>0</v>
      </c>
      <c r="AM276">
        <f t="shared" si="228"/>
        <v>0</v>
      </c>
      <c r="AN276">
        <f t="shared" si="229"/>
        <v>0</v>
      </c>
      <c r="AO276">
        <f t="shared" si="230"/>
        <v>0</v>
      </c>
      <c r="AP276">
        <f t="shared" si="231"/>
        <v>0</v>
      </c>
      <c r="AQ276">
        <f t="shared" si="232"/>
        <v>0</v>
      </c>
      <c r="AR276">
        <f t="shared" si="233"/>
        <v>0</v>
      </c>
      <c r="AS276">
        <f t="shared" si="234"/>
        <v>0</v>
      </c>
      <c r="AT276">
        <f t="shared" si="235"/>
        <v>0</v>
      </c>
      <c r="AU276">
        <f t="shared" si="236"/>
        <v>0</v>
      </c>
      <c r="AV276">
        <f t="shared" si="237"/>
        <v>0</v>
      </c>
      <c r="AW276">
        <f t="shared" si="192"/>
        <v>0</v>
      </c>
      <c r="AX276">
        <f t="shared" si="238"/>
        <v>0</v>
      </c>
      <c r="AY276">
        <f t="shared" si="239"/>
        <v>0</v>
      </c>
    </row>
    <row r="277" spans="1:51" x14ac:dyDescent="0.35">
      <c r="A277">
        <v>271</v>
      </c>
      <c r="C277">
        <f>MAX(0,Calc!$C$7-SUM(D277:R277))</f>
        <v>750</v>
      </c>
      <c r="D277">
        <f t="shared" si="193"/>
        <v>0</v>
      </c>
      <c r="E277">
        <f t="shared" si="194"/>
        <v>0</v>
      </c>
      <c r="F277">
        <f t="shared" si="195"/>
        <v>0</v>
      </c>
      <c r="G277">
        <f t="shared" si="196"/>
        <v>0</v>
      </c>
      <c r="H277">
        <f t="shared" si="197"/>
        <v>0</v>
      </c>
      <c r="I277">
        <f t="shared" si="198"/>
        <v>0</v>
      </c>
      <c r="J277">
        <f t="shared" si="199"/>
        <v>0</v>
      </c>
      <c r="K277">
        <f t="shared" si="200"/>
        <v>0</v>
      </c>
      <c r="L277">
        <f t="shared" si="201"/>
        <v>0</v>
      </c>
      <c r="M277">
        <f t="shared" si="202"/>
        <v>0</v>
      </c>
      <c r="N277">
        <f t="shared" si="203"/>
        <v>0</v>
      </c>
      <c r="O277">
        <f t="shared" si="204"/>
        <v>0</v>
      </c>
      <c r="P277">
        <f t="shared" si="205"/>
        <v>0</v>
      </c>
      <c r="Q277">
        <f t="shared" si="206"/>
        <v>0</v>
      </c>
      <c r="R277">
        <f t="shared" si="207"/>
        <v>0</v>
      </c>
      <c r="S277">
        <f t="shared" si="208"/>
        <v>0</v>
      </c>
      <c r="T277">
        <f t="shared" si="209"/>
        <v>0</v>
      </c>
      <c r="U277">
        <f t="shared" si="210"/>
        <v>0</v>
      </c>
      <c r="V277">
        <f t="shared" si="211"/>
        <v>0</v>
      </c>
      <c r="W277">
        <f t="shared" si="212"/>
        <v>0</v>
      </c>
      <c r="X277">
        <f t="shared" si="213"/>
        <v>0</v>
      </c>
      <c r="Y277">
        <f t="shared" si="214"/>
        <v>0</v>
      </c>
      <c r="Z277">
        <f t="shared" si="215"/>
        <v>0</v>
      </c>
      <c r="AA277">
        <f t="shared" si="216"/>
        <v>0</v>
      </c>
      <c r="AB277">
        <f t="shared" si="217"/>
        <v>0</v>
      </c>
      <c r="AC277">
        <f t="shared" si="218"/>
        <v>0</v>
      </c>
      <c r="AD277">
        <f t="shared" si="219"/>
        <v>0</v>
      </c>
      <c r="AE277">
        <f t="shared" si="220"/>
        <v>0</v>
      </c>
      <c r="AF277">
        <f t="shared" si="221"/>
        <v>0</v>
      </c>
      <c r="AG277">
        <f t="shared" si="222"/>
        <v>0</v>
      </c>
      <c r="AH277">
        <f t="shared" si="223"/>
        <v>0</v>
      </c>
      <c r="AI277">
        <f t="shared" si="224"/>
        <v>0</v>
      </c>
      <c r="AJ277">
        <f t="shared" si="225"/>
        <v>0</v>
      </c>
      <c r="AK277">
        <f t="shared" si="226"/>
        <v>0</v>
      </c>
      <c r="AL277">
        <f t="shared" si="227"/>
        <v>0</v>
      </c>
      <c r="AM277">
        <f t="shared" si="228"/>
        <v>0</v>
      </c>
      <c r="AN277">
        <f t="shared" si="229"/>
        <v>0</v>
      </c>
      <c r="AO277">
        <f t="shared" si="230"/>
        <v>0</v>
      </c>
      <c r="AP277">
        <f t="shared" si="231"/>
        <v>0</v>
      </c>
      <c r="AQ277">
        <f t="shared" si="232"/>
        <v>0</v>
      </c>
      <c r="AR277">
        <f t="shared" si="233"/>
        <v>0</v>
      </c>
      <c r="AS277">
        <f t="shared" si="234"/>
        <v>0</v>
      </c>
      <c r="AT277">
        <f t="shared" si="235"/>
        <v>0</v>
      </c>
      <c r="AU277">
        <f t="shared" si="236"/>
        <v>0</v>
      </c>
      <c r="AV277">
        <f t="shared" si="237"/>
        <v>0</v>
      </c>
      <c r="AW277">
        <f t="shared" si="192"/>
        <v>0</v>
      </c>
      <c r="AX277">
        <f t="shared" si="238"/>
        <v>0</v>
      </c>
      <c r="AY277">
        <f t="shared" si="239"/>
        <v>0</v>
      </c>
    </row>
    <row r="278" spans="1:51" x14ac:dyDescent="0.35">
      <c r="A278">
        <v>272</v>
      </c>
      <c r="C278">
        <f>MAX(0,Calc!$C$7-SUM(D278:R278))</f>
        <v>750</v>
      </c>
      <c r="D278">
        <f t="shared" si="193"/>
        <v>0</v>
      </c>
      <c r="E278">
        <f t="shared" si="194"/>
        <v>0</v>
      </c>
      <c r="F278">
        <f t="shared" si="195"/>
        <v>0</v>
      </c>
      <c r="G278">
        <f t="shared" si="196"/>
        <v>0</v>
      </c>
      <c r="H278">
        <f t="shared" si="197"/>
        <v>0</v>
      </c>
      <c r="I278">
        <f t="shared" si="198"/>
        <v>0</v>
      </c>
      <c r="J278">
        <f t="shared" si="199"/>
        <v>0</v>
      </c>
      <c r="K278">
        <f t="shared" si="200"/>
        <v>0</v>
      </c>
      <c r="L278">
        <f t="shared" si="201"/>
        <v>0</v>
      </c>
      <c r="M278">
        <f t="shared" si="202"/>
        <v>0</v>
      </c>
      <c r="N278">
        <f t="shared" si="203"/>
        <v>0</v>
      </c>
      <c r="O278">
        <f t="shared" si="204"/>
        <v>0</v>
      </c>
      <c r="P278">
        <f t="shared" si="205"/>
        <v>0</v>
      </c>
      <c r="Q278">
        <f t="shared" si="206"/>
        <v>0</v>
      </c>
      <c r="R278">
        <f t="shared" si="207"/>
        <v>0</v>
      </c>
      <c r="S278">
        <f t="shared" si="208"/>
        <v>0</v>
      </c>
      <c r="T278">
        <f t="shared" si="209"/>
        <v>0</v>
      </c>
      <c r="U278">
        <f t="shared" si="210"/>
        <v>0</v>
      </c>
      <c r="V278">
        <f t="shared" si="211"/>
        <v>0</v>
      </c>
      <c r="W278">
        <f t="shared" si="212"/>
        <v>0</v>
      </c>
      <c r="X278">
        <f t="shared" si="213"/>
        <v>0</v>
      </c>
      <c r="Y278">
        <f t="shared" si="214"/>
        <v>0</v>
      </c>
      <c r="Z278">
        <f t="shared" si="215"/>
        <v>0</v>
      </c>
      <c r="AA278">
        <f t="shared" si="216"/>
        <v>0</v>
      </c>
      <c r="AB278">
        <f t="shared" si="217"/>
        <v>0</v>
      </c>
      <c r="AC278">
        <f t="shared" si="218"/>
        <v>0</v>
      </c>
      <c r="AD278">
        <f t="shared" si="219"/>
        <v>0</v>
      </c>
      <c r="AE278">
        <f t="shared" si="220"/>
        <v>0</v>
      </c>
      <c r="AF278">
        <f t="shared" si="221"/>
        <v>0</v>
      </c>
      <c r="AG278">
        <f t="shared" si="222"/>
        <v>0</v>
      </c>
      <c r="AH278">
        <f t="shared" si="223"/>
        <v>0</v>
      </c>
      <c r="AI278">
        <f t="shared" si="224"/>
        <v>0</v>
      </c>
      <c r="AJ278">
        <f t="shared" si="225"/>
        <v>0</v>
      </c>
      <c r="AK278">
        <f t="shared" si="226"/>
        <v>0</v>
      </c>
      <c r="AL278">
        <f t="shared" si="227"/>
        <v>0</v>
      </c>
      <c r="AM278">
        <f t="shared" si="228"/>
        <v>0</v>
      </c>
      <c r="AN278">
        <f t="shared" si="229"/>
        <v>0</v>
      </c>
      <c r="AO278">
        <f t="shared" si="230"/>
        <v>0</v>
      </c>
      <c r="AP278">
        <f t="shared" si="231"/>
        <v>0</v>
      </c>
      <c r="AQ278">
        <f t="shared" si="232"/>
        <v>0</v>
      </c>
      <c r="AR278">
        <f t="shared" si="233"/>
        <v>0</v>
      </c>
      <c r="AS278">
        <f t="shared" si="234"/>
        <v>0</v>
      </c>
      <c r="AT278">
        <f t="shared" si="235"/>
        <v>0</v>
      </c>
      <c r="AU278">
        <f t="shared" si="236"/>
        <v>0</v>
      </c>
      <c r="AV278">
        <f t="shared" si="237"/>
        <v>0</v>
      </c>
      <c r="AW278">
        <f t="shared" si="192"/>
        <v>0</v>
      </c>
      <c r="AX278">
        <f t="shared" si="238"/>
        <v>0</v>
      </c>
      <c r="AY278">
        <f t="shared" si="239"/>
        <v>0</v>
      </c>
    </row>
    <row r="279" spans="1:51" x14ac:dyDescent="0.35">
      <c r="A279">
        <v>273</v>
      </c>
      <c r="C279">
        <f>MAX(0,Calc!$C$7-SUM(D279:R279))</f>
        <v>750</v>
      </c>
      <c r="D279">
        <f t="shared" si="193"/>
        <v>0</v>
      </c>
      <c r="E279">
        <f t="shared" si="194"/>
        <v>0</v>
      </c>
      <c r="F279">
        <f t="shared" si="195"/>
        <v>0</v>
      </c>
      <c r="G279">
        <f t="shared" si="196"/>
        <v>0</v>
      </c>
      <c r="H279">
        <f t="shared" si="197"/>
        <v>0</v>
      </c>
      <c r="I279">
        <f t="shared" si="198"/>
        <v>0</v>
      </c>
      <c r="J279">
        <f t="shared" si="199"/>
        <v>0</v>
      </c>
      <c r="K279">
        <f t="shared" si="200"/>
        <v>0</v>
      </c>
      <c r="L279">
        <f t="shared" si="201"/>
        <v>0</v>
      </c>
      <c r="M279">
        <f t="shared" si="202"/>
        <v>0</v>
      </c>
      <c r="N279">
        <f t="shared" si="203"/>
        <v>0</v>
      </c>
      <c r="O279">
        <f t="shared" si="204"/>
        <v>0</v>
      </c>
      <c r="P279">
        <f t="shared" si="205"/>
        <v>0</v>
      </c>
      <c r="Q279">
        <f t="shared" si="206"/>
        <v>0</v>
      </c>
      <c r="R279">
        <f t="shared" si="207"/>
        <v>0</v>
      </c>
      <c r="S279">
        <f t="shared" si="208"/>
        <v>0</v>
      </c>
      <c r="T279">
        <f t="shared" si="209"/>
        <v>0</v>
      </c>
      <c r="U279">
        <f t="shared" si="210"/>
        <v>0</v>
      </c>
      <c r="V279">
        <f t="shared" si="211"/>
        <v>0</v>
      </c>
      <c r="W279">
        <f t="shared" si="212"/>
        <v>0</v>
      </c>
      <c r="X279">
        <f t="shared" si="213"/>
        <v>0</v>
      </c>
      <c r="Y279">
        <f t="shared" si="214"/>
        <v>0</v>
      </c>
      <c r="Z279">
        <f t="shared" si="215"/>
        <v>0</v>
      </c>
      <c r="AA279">
        <f t="shared" si="216"/>
        <v>0</v>
      </c>
      <c r="AB279">
        <f t="shared" si="217"/>
        <v>0</v>
      </c>
      <c r="AC279">
        <f t="shared" si="218"/>
        <v>0</v>
      </c>
      <c r="AD279">
        <f t="shared" si="219"/>
        <v>0</v>
      </c>
      <c r="AE279">
        <f t="shared" si="220"/>
        <v>0</v>
      </c>
      <c r="AF279">
        <f t="shared" si="221"/>
        <v>0</v>
      </c>
      <c r="AG279">
        <f t="shared" si="222"/>
        <v>0</v>
      </c>
      <c r="AH279">
        <f t="shared" si="223"/>
        <v>0</v>
      </c>
      <c r="AI279">
        <f t="shared" si="224"/>
        <v>0</v>
      </c>
      <c r="AJ279">
        <f t="shared" si="225"/>
        <v>0</v>
      </c>
      <c r="AK279">
        <f t="shared" si="226"/>
        <v>0</v>
      </c>
      <c r="AL279">
        <f t="shared" si="227"/>
        <v>0</v>
      </c>
      <c r="AM279">
        <f t="shared" si="228"/>
        <v>0</v>
      </c>
      <c r="AN279">
        <f t="shared" si="229"/>
        <v>0</v>
      </c>
      <c r="AO279">
        <f t="shared" si="230"/>
        <v>0</v>
      </c>
      <c r="AP279">
        <f t="shared" si="231"/>
        <v>0</v>
      </c>
      <c r="AQ279">
        <f t="shared" si="232"/>
        <v>0</v>
      </c>
      <c r="AR279">
        <f t="shared" si="233"/>
        <v>0</v>
      </c>
      <c r="AS279">
        <f t="shared" si="234"/>
        <v>0</v>
      </c>
      <c r="AT279">
        <f t="shared" si="235"/>
        <v>0</v>
      </c>
      <c r="AU279">
        <f t="shared" si="236"/>
        <v>0</v>
      </c>
      <c r="AV279">
        <f t="shared" si="237"/>
        <v>0</v>
      </c>
      <c r="AW279">
        <f t="shared" si="192"/>
        <v>0</v>
      </c>
      <c r="AX279">
        <f t="shared" si="238"/>
        <v>0</v>
      </c>
      <c r="AY279">
        <f t="shared" si="239"/>
        <v>0</v>
      </c>
    </row>
    <row r="280" spans="1:51" x14ac:dyDescent="0.35">
      <c r="A280">
        <v>274</v>
      </c>
      <c r="C280">
        <f>MAX(0,Calc!$C$7-SUM(D280:R280))</f>
        <v>750</v>
      </c>
      <c r="D280">
        <f t="shared" si="193"/>
        <v>0</v>
      </c>
      <c r="E280">
        <f t="shared" si="194"/>
        <v>0</v>
      </c>
      <c r="F280">
        <f t="shared" si="195"/>
        <v>0</v>
      </c>
      <c r="G280">
        <f t="shared" si="196"/>
        <v>0</v>
      </c>
      <c r="H280">
        <f t="shared" si="197"/>
        <v>0</v>
      </c>
      <c r="I280">
        <f t="shared" si="198"/>
        <v>0</v>
      </c>
      <c r="J280">
        <f t="shared" si="199"/>
        <v>0</v>
      </c>
      <c r="K280">
        <f t="shared" si="200"/>
        <v>0</v>
      </c>
      <c r="L280">
        <f t="shared" si="201"/>
        <v>0</v>
      </c>
      <c r="M280">
        <f t="shared" si="202"/>
        <v>0</v>
      </c>
      <c r="N280">
        <f t="shared" si="203"/>
        <v>0</v>
      </c>
      <c r="O280">
        <f t="shared" si="204"/>
        <v>0</v>
      </c>
      <c r="P280">
        <f t="shared" si="205"/>
        <v>0</v>
      </c>
      <c r="Q280">
        <f t="shared" si="206"/>
        <v>0</v>
      </c>
      <c r="R280">
        <f t="shared" si="207"/>
        <v>0</v>
      </c>
      <c r="S280">
        <f t="shared" si="208"/>
        <v>0</v>
      </c>
      <c r="T280">
        <f t="shared" si="209"/>
        <v>0</v>
      </c>
      <c r="U280">
        <f t="shared" si="210"/>
        <v>0</v>
      </c>
      <c r="V280">
        <f t="shared" si="211"/>
        <v>0</v>
      </c>
      <c r="W280">
        <f t="shared" si="212"/>
        <v>0</v>
      </c>
      <c r="X280">
        <f t="shared" si="213"/>
        <v>0</v>
      </c>
      <c r="Y280">
        <f t="shared" si="214"/>
        <v>0</v>
      </c>
      <c r="Z280">
        <f t="shared" si="215"/>
        <v>0</v>
      </c>
      <c r="AA280">
        <f t="shared" si="216"/>
        <v>0</v>
      </c>
      <c r="AB280">
        <f t="shared" si="217"/>
        <v>0</v>
      </c>
      <c r="AC280">
        <f t="shared" si="218"/>
        <v>0</v>
      </c>
      <c r="AD280">
        <f t="shared" si="219"/>
        <v>0</v>
      </c>
      <c r="AE280">
        <f t="shared" si="220"/>
        <v>0</v>
      </c>
      <c r="AF280">
        <f t="shared" si="221"/>
        <v>0</v>
      </c>
      <c r="AG280">
        <f t="shared" si="222"/>
        <v>0</v>
      </c>
      <c r="AH280">
        <f t="shared" si="223"/>
        <v>0</v>
      </c>
      <c r="AI280">
        <f t="shared" si="224"/>
        <v>0</v>
      </c>
      <c r="AJ280">
        <f t="shared" si="225"/>
        <v>0</v>
      </c>
      <c r="AK280">
        <f t="shared" si="226"/>
        <v>0</v>
      </c>
      <c r="AL280">
        <f t="shared" si="227"/>
        <v>0</v>
      </c>
      <c r="AM280">
        <f t="shared" si="228"/>
        <v>0</v>
      </c>
      <c r="AN280">
        <f t="shared" si="229"/>
        <v>0</v>
      </c>
      <c r="AO280">
        <f t="shared" si="230"/>
        <v>0</v>
      </c>
      <c r="AP280">
        <f t="shared" si="231"/>
        <v>0</v>
      </c>
      <c r="AQ280">
        <f t="shared" si="232"/>
        <v>0</v>
      </c>
      <c r="AR280">
        <f t="shared" si="233"/>
        <v>0</v>
      </c>
      <c r="AS280">
        <f t="shared" si="234"/>
        <v>0</v>
      </c>
      <c r="AT280">
        <f t="shared" si="235"/>
        <v>0</v>
      </c>
      <c r="AU280">
        <f t="shared" si="236"/>
        <v>0</v>
      </c>
      <c r="AV280">
        <f t="shared" si="237"/>
        <v>0</v>
      </c>
      <c r="AW280">
        <f t="shared" si="192"/>
        <v>0</v>
      </c>
      <c r="AX280">
        <f t="shared" si="238"/>
        <v>0</v>
      </c>
      <c r="AY280">
        <f t="shared" si="239"/>
        <v>0</v>
      </c>
    </row>
    <row r="281" spans="1:51" x14ac:dyDescent="0.35">
      <c r="A281">
        <v>275</v>
      </c>
      <c r="C281">
        <f>MAX(0,Calc!$C$7-SUM(D281:R281))</f>
        <v>750</v>
      </c>
      <c r="D281">
        <f t="shared" si="193"/>
        <v>0</v>
      </c>
      <c r="E281">
        <f t="shared" si="194"/>
        <v>0</v>
      </c>
      <c r="F281">
        <f t="shared" si="195"/>
        <v>0</v>
      </c>
      <c r="G281">
        <f t="shared" si="196"/>
        <v>0</v>
      </c>
      <c r="H281">
        <f t="shared" si="197"/>
        <v>0</v>
      </c>
      <c r="I281">
        <f t="shared" si="198"/>
        <v>0</v>
      </c>
      <c r="J281">
        <f t="shared" si="199"/>
        <v>0</v>
      </c>
      <c r="K281">
        <f t="shared" si="200"/>
        <v>0</v>
      </c>
      <c r="L281">
        <f t="shared" si="201"/>
        <v>0</v>
      </c>
      <c r="M281">
        <f t="shared" si="202"/>
        <v>0</v>
      </c>
      <c r="N281">
        <f t="shared" si="203"/>
        <v>0</v>
      </c>
      <c r="O281">
        <f t="shared" si="204"/>
        <v>0</v>
      </c>
      <c r="P281">
        <f t="shared" si="205"/>
        <v>0</v>
      </c>
      <c r="Q281">
        <f t="shared" si="206"/>
        <v>0</v>
      </c>
      <c r="R281">
        <f t="shared" si="207"/>
        <v>0</v>
      </c>
      <c r="S281">
        <f t="shared" si="208"/>
        <v>0</v>
      </c>
      <c r="T281">
        <f t="shared" si="209"/>
        <v>0</v>
      </c>
      <c r="U281">
        <f t="shared" si="210"/>
        <v>0</v>
      </c>
      <c r="V281">
        <f t="shared" si="211"/>
        <v>0</v>
      </c>
      <c r="W281">
        <f t="shared" si="212"/>
        <v>0</v>
      </c>
      <c r="X281">
        <f t="shared" si="213"/>
        <v>0</v>
      </c>
      <c r="Y281">
        <f t="shared" si="214"/>
        <v>0</v>
      </c>
      <c r="Z281">
        <f t="shared" si="215"/>
        <v>0</v>
      </c>
      <c r="AA281">
        <f t="shared" si="216"/>
        <v>0</v>
      </c>
      <c r="AB281">
        <f t="shared" si="217"/>
        <v>0</v>
      </c>
      <c r="AC281">
        <f t="shared" si="218"/>
        <v>0</v>
      </c>
      <c r="AD281">
        <f t="shared" si="219"/>
        <v>0</v>
      </c>
      <c r="AE281">
        <f t="shared" si="220"/>
        <v>0</v>
      </c>
      <c r="AF281">
        <f t="shared" si="221"/>
        <v>0</v>
      </c>
      <c r="AG281">
        <f t="shared" si="222"/>
        <v>0</v>
      </c>
      <c r="AH281">
        <f t="shared" si="223"/>
        <v>0</v>
      </c>
      <c r="AI281">
        <f t="shared" si="224"/>
        <v>0</v>
      </c>
      <c r="AJ281">
        <f t="shared" si="225"/>
        <v>0</v>
      </c>
      <c r="AK281">
        <f t="shared" si="226"/>
        <v>0</v>
      </c>
      <c r="AL281">
        <f t="shared" si="227"/>
        <v>0</v>
      </c>
      <c r="AM281">
        <f t="shared" si="228"/>
        <v>0</v>
      </c>
      <c r="AN281">
        <f t="shared" si="229"/>
        <v>0</v>
      </c>
      <c r="AO281">
        <f t="shared" si="230"/>
        <v>0</v>
      </c>
      <c r="AP281">
        <f t="shared" si="231"/>
        <v>0</v>
      </c>
      <c r="AQ281">
        <f t="shared" si="232"/>
        <v>0</v>
      </c>
      <c r="AR281">
        <f t="shared" si="233"/>
        <v>0</v>
      </c>
      <c r="AS281">
        <f t="shared" si="234"/>
        <v>0</v>
      </c>
      <c r="AT281">
        <f t="shared" si="235"/>
        <v>0</v>
      </c>
      <c r="AU281">
        <f t="shared" si="236"/>
        <v>0</v>
      </c>
      <c r="AV281">
        <f t="shared" si="237"/>
        <v>0</v>
      </c>
      <c r="AW281">
        <f t="shared" si="192"/>
        <v>0</v>
      </c>
      <c r="AX281">
        <f t="shared" si="238"/>
        <v>0</v>
      </c>
      <c r="AY281">
        <f t="shared" si="239"/>
        <v>0</v>
      </c>
    </row>
    <row r="282" spans="1:51" x14ac:dyDescent="0.35">
      <c r="A282">
        <v>276</v>
      </c>
      <c r="C282">
        <f>MAX(0,Calc!$C$7-SUM(D282:R282))</f>
        <v>750</v>
      </c>
      <c r="D282">
        <f t="shared" si="193"/>
        <v>0</v>
      </c>
      <c r="E282">
        <f t="shared" si="194"/>
        <v>0</v>
      </c>
      <c r="F282">
        <f t="shared" si="195"/>
        <v>0</v>
      </c>
      <c r="G282">
        <f t="shared" si="196"/>
        <v>0</v>
      </c>
      <c r="H282">
        <f t="shared" si="197"/>
        <v>0</v>
      </c>
      <c r="I282">
        <f t="shared" si="198"/>
        <v>0</v>
      </c>
      <c r="J282">
        <f t="shared" si="199"/>
        <v>0</v>
      </c>
      <c r="K282">
        <f t="shared" si="200"/>
        <v>0</v>
      </c>
      <c r="L282">
        <f t="shared" si="201"/>
        <v>0</v>
      </c>
      <c r="M282">
        <f t="shared" si="202"/>
        <v>0</v>
      </c>
      <c r="N282">
        <f t="shared" si="203"/>
        <v>0</v>
      </c>
      <c r="O282">
        <f t="shared" si="204"/>
        <v>0</v>
      </c>
      <c r="P282">
        <f t="shared" si="205"/>
        <v>0</v>
      </c>
      <c r="Q282">
        <f t="shared" si="206"/>
        <v>0</v>
      </c>
      <c r="R282">
        <f t="shared" si="207"/>
        <v>0</v>
      </c>
      <c r="S282">
        <f t="shared" si="208"/>
        <v>0</v>
      </c>
      <c r="T282">
        <f t="shared" si="209"/>
        <v>0</v>
      </c>
      <c r="U282">
        <f t="shared" si="210"/>
        <v>0</v>
      </c>
      <c r="V282">
        <f t="shared" si="211"/>
        <v>0</v>
      </c>
      <c r="W282">
        <f t="shared" si="212"/>
        <v>0</v>
      </c>
      <c r="X282">
        <f t="shared" si="213"/>
        <v>0</v>
      </c>
      <c r="Y282">
        <f t="shared" si="214"/>
        <v>0</v>
      </c>
      <c r="Z282">
        <f t="shared" si="215"/>
        <v>0</v>
      </c>
      <c r="AA282">
        <f t="shared" si="216"/>
        <v>0</v>
      </c>
      <c r="AB282">
        <f t="shared" si="217"/>
        <v>0</v>
      </c>
      <c r="AC282">
        <f t="shared" si="218"/>
        <v>0</v>
      </c>
      <c r="AD282">
        <f t="shared" si="219"/>
        <v>0</v>
      </c>
      <c r="AE282">
        <f t="shared" si="220"/>
        <v>0</v>
      </c>
      <c r="AF282">
        <f t="shared" si="221"/>
        <v>0</v>
      </c>
      <c r="AG282">
        <f t="shared" si="222"/>
        <v>0</v>
      </c>
      <c r="AH282">
        <f t="shared" si="223"/>
        <v>0</v>
      </c>
      <c r="AI282">
        <f t="shared" si="224"/>
        <v>0</v>
      </c>
      <c r="AJ282">
        <f t="shared" si="225"/>
        <v>0</v>
      </c>
      <c r="AK282">
        <f t="shared" si="226"/>
        <v>0</v>
      </c>
      <c r="AL282">
        <f t="shared" si="227"/>
        <v>0</v>
      </c>
      <c r="AM282">
        <f t="shared" si="228"/>
        <v>0</v>
      </c>
      <c r="AN282">
        <f t="shared" si="229"/>
        <v>0</v>
      </c>
      <c r="AO282">
        <f t="shared" si="230"/>
        <v>0</v>
      </c>
      <c r="AP282">
        <f t="shared" si="231"/>
        <v>0</v>
      </c>
      <c r="AQ282">
        <f t="shared" si="232"/>
        <v>0</v>
      </c>
      <c r="AR282">
        <f t="shared" si="233"/>
        <v>0</v>
      </c>
      <c r="AS282">
        <f t="shared" si="234"/>
        <v>0</v>
      </c>
      <c r="AT282">
        <f t="shared" si="235"/>
        <v>0</v>
      </c>
      <c r="AU282">
        <f t="shared" si="236"/>
        <v>0</v>
      </c>
      <c r="AV282">
        <f t="shared" si="237"/>
        <v>0</v>
      </c>
      <c r="AW282">
        <f t="shared" si="192"/>
        <v>0</v>
      </c>
      <c r="AX282">
        <f t="shared" si="238"/>
        <v>0</v>
      </c>
      <c r="AY282">
        <f t="shared" si="239"/>
        <v>0</v>
      </c>
    </row>
    <row r="283" spans="1:51" x14ac:dyDescent="0.35">
      <c r="A283">
        <v>277</v>
      </c>
      <c r="C283">
        <f>MAX(0,Calc!$C$7-SUM(D283:R283))</f>
        <v>750</v>
      </c>
      <c r="D283">
        <f t="shared" si="193"/>
        <v>0</v>
      </c>
      <c r="E283">
        <f t="shared" si="194"/>
        <v>0</v>
      </c>
      <c r="F283">
        <f t="shared" si="195"/>
        <v>0</v>
      </c>
      <c r="G283">
        <f t="shared" si="196"/>
        <v>0</v>
      </c>
      <c r="H283">
        <f t="shared" si="197"/>
        <v>0</v>
      </c>
      <c r="I283">
        <f t="shared" si="198"/>
        <v>0</v>
      </c>
      <c r="J283">
        <f t="shared" si="199"/>
        <v>0</v>
      </c>
      <c r="K283">
        <f t="shared" si="200"/>
        <v>0</v>
      </c>
      <c r="L283">
        <f t="shared" si="201"/>
        <v>0</v>
      </c>
      <c r="M283">
        <f t="shared" si="202"/>
        <v>0</v>
      </c>
      <c r="N283">
        <f t="shared" si="203"/>
        <v>0</v>
      </c>
      <c r="O283">
        <f t="shared" si="204"/>
        <v>0</v>
      </c>
      <c r="P283">
        <f t="shared" si="205"/>
        <v>0</v>
      </c>
      <c r="Q283">
        <f t="shared" si="206"/>
        <v>0</v>
      </c>
      <c r="R283">
        <f t="shared" si="207"/>
        <v>0</v>
      </c>
      <c r="S283">
        <f t="shared" si="208"/>
        <v>0</v>
      </c>
      <c r="T283">
        <f t="shared" si="209"/>
        <v>0</v>
      </c>
      <c r="U283">
        <f t="shared" si="210"/>
        <v>0</v>
      </c>
      <c r="V283">
        <f t="shared" si="211"/>
        <v>0</v>
      </c>
      <c r="W283">
        <f t="shared" si="212"/>
        <v>0</v>
      </c>
      <c r="X283">
        <f t="shared" si="213"/>
        <v>0</v>
      </c>
      <c r="Y283">
        <f t="shared" si="214"/>
        <v>0</v>
      </c>
      <c r="Z283">
        <f t="shared" si="215"/>
        <v>0</v>
      </c>
      <c r="AA283">
        <f t="shared" si="216"/>
        <v>0</v>
      </c>
      <c r="AB283">
        <f t="shared" si="217"/>
        <v>0</v>
      </c>
      <c r="AC283">
        <f t="shared" si="218"/>
        <v>0</v>
      </c>
      <c r="AD283">
        <f t="shared" si="219"/>
        <v>0</v>
      </c>
      <c r="AE283">
        <f t="shared" si="220"/>
        <v>0</v>
      </c>
      <c r="AF283">
        <f t="shared" si="221"/>
        <v>0</v>
      </c>
      <c r="AG283">
        <f t="shared" si="222"/>
        <v>0</v>
      </c>
      <c r="AH283">
        <f t="shared" si="223"/>
        <v>0</v>
      </c>
      <c r="AI283">
        <f t="shared" si="224"/>
        <v>0</v>
      </c>
      <c r="AJ283">
        <f t="shared" si="225"/>
        <v>0</v>
      </c>
      <c r="AK283">
        <f t="shared" si="226"/>
        <v>0</v>
      </c>
      <c r="AL283">
        <f t="shared" si="227"/>
        <v>0</v>
      </c>
      <c r="AM283">
        <f t="shared" si="228"/>
        <v>0</v>
      </c>
      <c r="AN283">
        <f t="shared" si="229"/>
        <v>0</v>
      </c>
      <c r="AO283">
        <f t="shared" si="230"/>
        <v>0</v>
      </c>
      <c r="AP283">
        <f t="shared" si="231"/>
        <v>0</v>
      </c>
      <c r="AQ283">
        <f t="shared" si="232"/>
        <v>0</v>
      </c>
      <c r="AR283">
        <f t="shared" si="233"/>
        <v>0</v>
      </c>
      <c r="AS283">
        <f t="shared" si="234"/>
        <v>0</v>
      </c>
      <c r="AT283">
        <f t="shared" si="235"/>
        <v>0</v>
      </c>
      <c r="AU283">
        <f t="shared" si="236"/>
        <v>0</v>
      </c>
      <c r="AV283">
        <f t="shared" si="237"/>
        <v>0</v>
      </c>
      <c r="AW283">
        <f t="shared" si="192"/>
        <v>0</v>
      </c>
      <c r="AX283">
        <f t="shared" si="238"/>
        <v>0</v>
      </c>
      <c r="AY283">
        <f t="shared" si="239"/>
        <v>0</v>
      </c>
    </row>
    <row r="284" spans="1:51" x14ac:dyDescent="0.35">
      <c r="A284">
        <v>278</v>
      </c>
      <c r="C284">
        <f>MAX(0,Calc!$C$7-SUM(D284:R284))</f>
        <v>750</v>
      </c>
      <c r="D284">
        <f t="shared" si="193"/>
        <v>0</v>
      </c>
      <c r="E284">
        <f t="shared" si="194"/>
        <v>0</v>
      </c>
      <c r="F284">
        <f t="shared" si="195"/>
        <v>0</v>
      </c>
      <c r="G284">
        <f t="shared" si="196"/>
        <v>0</v>
      </c>
      <c r="H284">
        <f t="shared" si="197"/>
        <v>0</v>
      </c>
      <c r="I284">
        <f t="shared" si="198"/>
        <v>0</v>
      </c>
      <c r="J284">
        <f t="shared" si="199"/>
        <v>0</v>
      </c>
      <c r="K284">
        <f t="shared" si="200"/>
        <v>0</v>
      </c>
      <c r="L284">
        <f t="shared" si="201"/>
        <v>0</v>
      </c>
      <c r="M284">
        <f t="shared" si="202"/>
        <v>0</v>
      </c>
      <c r="N284">
        <f t="shared" si="203"/>
        <v>0</v>
      </c>
      <c r="O284">
        <f t="shared" si="204"/>
        <v>0</v>
      </c>
      <c r="P284">
        <f t="shared" si="205"/>
        <v>0</v>
      </c>
      <c r="Q284">
        <f t="shared" si="206"/>
        <v>0</v>
      </c>
      <c r="R284">
        <f t="shared" si="207"/>
        <v>0</v>
      </c>
      <c r="S284">
        <f t="shared" si="208"/>
        <v>0</v>
      </c>
      <c r="T284">
        <f t="shared" si="209"/>
        <v>0</v>
      </c>
      <c r="U284">
        <f t="shared" si="210"/>
        <v>0</v>
      </c>
      <c r="V284">
        <f t="shared" si="211"/>
        <v>0</v>
      </c>
      <c r="W284">
        <f t="shared" si="212"/>
        <v>0</v>
      </c>
      <c r="X284">
        <f t="shared" si="213"/>
        <v>0</v>
      </c>
      <c r="Y284">
        <f t="shared" si="214"/>
        <v>0</v>
      </c>
      <c r="Z284">
        <f t="shared" si="215"/>
        <v>0</v>
      </c>
      <c r="AA284">
        <f t="shared" si="216"/>
        <v>0</v>
      </c>
      <c r="AB284">
        <f t="shared" si="217"/>
        <v>0</v>
      </c>
      <c r="AC284">
        <f t="shared" si="218"/>
        <v>0</v>
      </c>
      <c r="AD284">
        <f t="shared" si="219"/>
        <v>0</v>
      </c>
      <c r="AE284">
        <f t="shared" si="220"/>
        <v>0</v>
      </c>
      <c r="AF284">
        <f t="shared" si="221"/>
        <v>0</v>
      </c>
      <c r="AG284">
        <f t="shared" si="222"/>
        <v>0</v>
      </c>
      <c r="AH284">
        <f t="shared" si="223"/>
        <v>0</v>
      </c>
      <c r="AI284">
        <f t="shared" si="224"/>
        <v>0</v>
      </c>
      <c r="AJ284">
        <f t="shared" si="225"/>
        <v>0</v>
      </c>
      <c r="AK284">
        <f t="shared" si="226"/>
        <v>0</v>
      </c>
      <c r="AL284">
        <f t="shared" si="227"/>
        <v>0</v>
      </c>
      <c r="AM284">
        <f t="shared" si="228"/>
        <v>0</v>
      </c>
      <c r="AN284">
        <f t="shared" si="229"/>
        <v>0</v>
      </c>
      <c r="AO284">
        <f t="shared" si="230"/>
        <v>0</v>
      </c>
      <c r="AP284">
        <f t="shared" si="231"/>
        <v>0</v>
      </c>
      <c r="AQ284">
        <f t="shared" si="232"/>
        <v>0</v>
      </c>
      <c r="AR284">
        <f t="shared" si="233"/>
        <v>0</v>
      </c>
      <c r="AS284">
        <f t="shared" si="234"/>
        <v>0</v>
      </c>
      <c r="AT284">
        <f t="shared" si="235"/>
        <v>0</v>
      </c>
      <c r="AU284">
        <f t="shared" si="236"/>
        <v>0</v>
      </c>
      <c r="AV284">
        <f t="shared" si="237"/>
        <v>0</v>
      </c>
      <c r="AW284">
        <f t="shared" si="192"/>
        <v>0</v>
      </c>
      <c r="AX284">
        <f t="shared" si="238"/>
        <v>0</v>
      </c>
      <c r="AY284">
        <f t="shared" si="239"/>
        <v>0</v>
      </c>
    </row>
    <row r="285" spans="1:51" x14ac:dyDescent="0.35">
      <c r="A285">
        <v>279</v>
      </c>
      <c r="C285">
        <f>MAX(0,Calc!$C$7-SUM(D285:R285))</f>
        <v>750</v>
      </c>
      <c r="D285">
        <f t="shared" si="193"/>
        <v>0</v>
      </c>
      <c r="E285">
        <f t="shared" si="194"/>
        <v>0</v>
      </c>
      <c r="F285">
        <f t="shared" si="195"/>
        <v>0</v>
      </c>
      <c r="G285">
        <f t="shared" si="196"/>
        <v>0</v>
      </c>
      <c r="H285">
        <f t="shared" si="197"/>
        <v>0</v>
      </c>
      <c r="I285">
        <f t="shared" si="198"/>
        <v>0</v>
      </c>
      <c r="J285">
        <f t="shared" si="199"/>
        <v>0</v>
      </c>
      <c r="K285">
        <f t="shared" si="200"/>
        <v>0</v>
      </c>
      <c r="L285">
        <f t="shared" si="201"/>
        <v>0</v>
      </c>
      <c r="M285">
        <f t="shared" si="202"/>
        <v>0</v>
      </c>
      <c r="N285">
        <f t="shared" si="203"/>
        <v>0</v>
      </c>
      <c r="O285">
        <f t="shared" si="204"/>
        <v>0</v>
      </c>
      <c r="P285">
        <f t="shared" si="205"/>
        <v>0</v>
      </c>
      <c r="Q285">
        <f t="shared" si="206"/>
        <v>0</v>
      </c>
      <c r="R285">
        <f t="shared" si="207"/>
        <v>0</v>
      </c>
      <c r="S285">
        <f t="shared" si="208"/>
        <v>0</v>
      </c>
      <c r="T285">
        <f t="shared" si="209"/>
        <v>0</v>
      </c>
      <c r="U285">
        <f t="shared" si="210"/>
        <v>0</v>
      </c>
      <c r="V285">
        <f t="shared" si="211"/>
        <v>0</v>
      </c>
      <c r="W285">
        <f t="shared" si="212"/>
        <v>0</v>
      </c>
      <c r="X285">
        <f t="shared" si="213"/>
        <v>0</v>
      </c>
      <c r="Y285">
        <f t="shared" si="214"/>
        <v>0</v>
      </c>
      <c r="Z285">
        <f t="shared" si="215"/>
        <v>0</v>
      </c>
      <c r="AA285">
        <f t="shared" si="216"/>
        <v>0</v>
      </c>
      <c r="AB285">
        <f t="shared" si="217"/>
        <v>0</v>
      </c>
      <c r="AC285">
        <f t="shared" si="218"/>
        <v>0</v>
      </c>
      <c r="AD285">
        <f t="shared" si="219"/>
        <v>0</v>
      </c>
      <c r="AE285">
        <f t="shared" si="220"/>
        <v>0</v>
      </c>
      <c r="AF285">
        <f t="shared" si="221"/>
        <v>0</v>
      </c>
      <c r="AG285">
        <f t="shared" si="222"/>
        <v>0</v>
      </c>
      <c r="AH285">
        <f t="shared" si="223"/>
        <v>0</v>
      </c>
      <c r="AI285">
        <f t="shared" si="224"/>
        <v>0</v>
      </c>
      <c r="AJ285">
        <f t="shared" si="225"/>
        <v>0</v>
      </c>
      <c r="AK285">
        <f t="shared" si="226"/>
        <v>0</v>
      </c>
      <c r="AL285">
        <f t="shared" si="227"/>
        <v>0</v>
      </c>
      <c r="AM285">
        <f t="shared" si="228"/>
        <v>0</v>
      </c>
      <c r="AN285">
        <f t="shared" si="229"/>
        <v>0</v>
      </c>
      <c r="AO285">
        <f t="shared" si="230"/>
        <v>0</v>
      </c>
      <c r="AP285">
        <f t="shared" si="231"/>
        <v>0</v>
      </c>
      <c r="AQ285">
        <f t="shared" si="232"/>
        <v>0</v>
      </c>
      <c r="AR285">
        <f t="shared" si="233"/>
        <v>0</v>
      </c>
      <c r="AS285">
        <f t="shared" si="234"/>
        <v>0</v>
      </c>
      <c r="AT285">
        <f t="shared" si="235"/>
        <v>0</v>
      </c>
      <c r="AU285">
        <f t="shared" si="236"/>
        <v>0</v>
      </c>
      <c r="AV285">
        <f t="shared" si="237"/>
        <v>0</v>
      </c>
      <c r="AW285">
        <f t="shared" si="192"/>
        <v>0</v>
      </c>
      <c r="AX285">
        <f t="shared" si="238"/>
        <v>0</v>
      </c>
      <c r="AY285">
        <f t="shared" si="239"/>
        <v>0</v>
      </c>
    </row>
    <row r="286" spans="1:51" x14ac:dyDescent="0.35">
      <c r="A286">
        <v>280</v>
      </c>
      <c r="C286">
        <f>MAX(0,Calc!$C$7-SUM(D286:R286))</f>
        <v>750</v>
      </c>
      <c r="D286">
        <f t="shared" si="193"/>
        <v>0</v>
      </c>
      <c r="E286">
        <f t="shared" si="194"/>
        <v>0</v>
      </c>
      <c r="F286">
        <f t="shared" si="195"/>
        <v>0</v>
      </c>
      <c r="G286">
        <f t="shared" si="196"/>
        <v>0</v>
      </c>
      <c r="H286">
        <f t="shared" si="197"/>
        <v>0</v>
      </c>
      <c r="I286">
        <f t="shared" si="198"/>
        <v>0</v>
      </c>
      <c r="J286">
        <f t="shared" si="199"/>
        <v>0</v>
      </c>
      <c r="K286">
        <f t="shared" si="200"/>
        <v>0</v>
      </c>
      <c r="L286">
        <f t="shared" si="201"/>
        <v>0</v>
      </c>
      <c r="M286">
        <f t="shared" si="202"/>
        <v>0</v>
      </c>
      <c r="N286">
        <f t="shared" si="203"/>
        <v>0</v>
      </c>
      <c r="O286">
        <f t="shared" si="204"/>
        <v>0</v>
      </c>
      <c r="P286">
        <f t="shared" si="205"/>
        <v>0</v>
      </c>
      <c r="Q286">
        <f t="shared" si="206"/>
        <v>0</v>
      </c>
      <c r="R286">
        <f t="shared" si="207"/>
        <v>0</v>
      </c>
      <c r="S286">
        <f t="shared" si="208"/>
        <v>0</v>
      </c>
      <c r="T286">
        <f t="shared" si="209"/>
        <v>0</v>
      </c>
      <c r="U286">
        <f t="shared" si="210"/>
        <v>0</v>
      </c>
      <c r="V286">
        <f t="shared" si="211"/>
        <v>0</v>
      </c>
      <c r="W286">
        <f t="shared" si="212"/>
        <v>0</v>
      </c>
      <c r="X286">
        <f t="shared" si="213"/>
        <v>0</v>
      </c>
      <c r="Y286">
        <f t="shared" si="214"/>
        <v>0</v>
      </c>
      <c r="Z286">
        <f t="shared" si="215"/>
        <v>0</v>
      </c>
      <c r="AA286">
        <f t="shared" si="216"/>
        <v>0</v>
      </c>
      <c r="AB286">
        <f t="shared" si="217"/>
        <v>0</v>
      </c>
      <c r="AC286">
        <f t="shared" si="218"/>
        <v>0</v>
      </c>
      <c r="AD286">
        <f t="shared" si="219"/>
        <v>0</v>
      </c>
      <c r="AE286">
        <f t="shared" si="220"/>
        <v>0</v>
      </c>
      <c r="AF286">
        <f t="shared" si="221"/>
        <v>0</v>
      </c>
      <c r="AG286">
        <f t="shared" si="222"/>
        <v>0</v>
      </c>
      <c r="AH286">
        <f t="shared" si="223"/>
        <v>0</v>
      </c>
      <c r="AI286">
        <f t="shared" si="224"/>
        <v>0</v>
      </c>
      <c r="AJ286">
        <f t="shared" si="225"/>
        <v>0</v>
      </c>
      <c r="AK286">
        <f t="shared" si="226"/>
        <v>0</v>
      </c>
      <c r="AL286">
        <f t="shared" si="227"/>
        <v>0</v>
      </c>
      <c r="AM286">
        <f t="shared" si="228"/>
        <v>0</v>
      </c>
      <c r="AN286">
        <f t="shared" si="229"/>
        <v>0</v>
      </c>
      <c r="AO286">
        <f t="shared" si="230"/>
        <v>0</v>
      </c>
      <c r="AP286">
        <f t="shared" si="231"/>
        <v>0</v>
      </c>
      <c r="AQ286">
        <f t="shared" si="232"/>
        <v>0</v>
      </c>
      <c r="AR286">
        <f t="shared" si="233"/>
        <v>0</v>
      </c>
      <c r="AS286">
        <f t="shared" si="234"/>
        <v>0</v>
      </c>
      <c r="AT286">
        <f t="shared" si="235"/>
        <v>0</v>
      </c>
      <c r="AU286">
        <f t="shared" si="236"/>
        <v>0</v>
      </c>
      <c r="AV286">
        <f t="shared" si="237"/>
        <v>0</v>
      </c>
      <c r="AW286">
        <f t="shared" si="192"/>
        <v>0</v>
      </c>
      <c r="AX286">
        <f t="shared" si="238"/>
        <v>0</v>
      </c>
      <c r="AY286">
        <f t="shared" si="239"/>
        <v>0</v>
      </c>
    </row>
    <row r="287" spans="1:51" x14ac:dyDescent="0.35">
      <c r="A287">
        <v>281</v>
      </c>
      <c r="C287">
        <f>MAX(0,Calc!$C$7-SUM(D287:R287))</f>
        <v>750</v>
      </c>
      <c r="D287">
        <f t="shared" si="193"/>
        <v>0</v>
      </c>
      <c r="E287">
        <f t="shared" si="194"/>
        <v>0</v>
      </c>
      <c r="F287">
        <f t="shared" si="195"/>
        <v>0</v>
      </c>
      <c r="G287">
        <f t="shared" si="196"/>
        <v>0</v>
      </c>
      <c r="H287">
        <f t="shared" si="197"/>
        <v>0</v>
      </c>
      <c r="I287">
        <f t="shared" si="198"/>
        <v>0</v>
      </c>
      <c r="J287">
        <f t="shared" si="199"/>
        <v>0</v>
      </c>
      <c r="K287">
        <f t="shared" si="200"/>
        <v>0</v>
      </c>
      <c r="L287">
        <f t="shared" si="201"/>
        <v>0</v>
      </c>
      <c r="M287">
        <f t="shared" si="202"/>
        <v>0</v>
      </c>
      <c r="N287">
        <f t="shared" si="203"/>
        <v>0</v>
      </c>
      <c r="O287">
        <f t="shared" si="204"/>
        <v>0</v>
      </c>
      <c r="P287">
        <f t="shared" si="205"/>
        <v>0</v>
      </c>
      <c r="Q287">
        <f t="shared" si="206"/>
        <v>0</v>
      </c>
      <c r="R287">
        <f t="shared" si="207"/>
        <v>0</v>
      </c>
      <c r="S287">
        <f t="shared" si="208"/>
        <v>0</v>
      </c>
      <c r="T287">
        <f t="shared" si="209"/>
        <v>0</v>
      </c>
      <c r="U287">
        <f t="shared" si="210"/>
        <v>0</v>
      </c>
      <c r="V287">
        <f t="shared" si="211"/>
        <v>0</v>
      </c>
      <c r="W287">
        <f t="shared" si="212"/>
        <v>0</v>
      </c>
      <c r="X287">
        <f t="shared" si="213"/>
        <v>0</v>
      </c>
      <c r="Y287">
        <f t="shared" si="214"/>
        <v>0</v>
      </c>
      <c r="Z287">
        <f t="shared" si="215"/>
        <v>0</v>
      </c>
      <c r="AA287">
        <f t="shared" si="216"/>
        <v>0</v>
      </c>
      <c r="AB287">
        <f t="shared" si="217"/>
        <v>0</v>
      </c>
      <c r="AC287">
        <f t="shared" si="218"/>
        <v>0</v>
      </c>
      <c r="AD287">
        <f t="shared" si="219"/>
        <v>0</v>
      </c>
      <c r="AE287">
        <f t="shared" si="220"/>
        <v>0</v>
      </c>
      <c r="AF287">
        <f t="shared" si="221"/>
        <v>0</v>
      </c>
      <c r="AG287">
        <f t="shared" si="222"/>
        <v>0</v>
      </c>
      <c r="AH287">
        <f t="shared" si="223"/>
        <v>0</v>
      </c>
      <c r="AI287">
        <f t="shared" si="224"/>
        <v>0</v>
      </c>
      <c r="AJ287">
        <f t="shared" si="225"/>
        <v>0</v>
      </c>
      <c r="AK287">
        <f t="shared" si="226"/>
        <v>0</v>
      </c>
      <c r="AL287">
        <f t="shared" si="227"/>
        <v>0</v>
      </c>
      <c r="AM287">
        <f t="shared" si="228"/>
        <v>0</v>
      </c>
      <c r="AN287">
        <f t="shared" si="229"/>
        <v>0</v>
      </c>
      <c r="AO287">
        <f t="shared" si="230"/>
        <v>0</v>
      </c>
      <c r="AP287">
        <f t="shared" si="231"/>
        <v>0</v>
      </c>
      <c r="AQ287">
        <f t="shared" si="232"/>
        <v>0</v>
      </c>
      <c r="AR287">
        <f t="shared" si="233"/>
        <v>0</v>
      </c>
      <c r="AS287">
        <f t="shared" si="234"/>
        <v>0</v>
      </c>
      <c r="AT287">
        <f t="shared" si="235"/>
        <v>0</v>
      </c>
      <c r="AU287">
        <f t="shared" si="236"/>
        <v>0</v>
      </c>
      <c r="AV287">
        <f t="shared" si="237"/>
        <v>0</v>
      </c>
      <c r="AW287">
        <f t="shared" si="192"/>
        <v>0</v>
      </c>
      <c r="AX287">
        <f t="shared" si="238"/>
        <v>0</v>
      </c>
      <c r="AY287">
        <f t="shared" si="239"/>
        <v>0</v>
      </c>
    </row>
    <row r="288" spans="1:51" x14ac:dyDescent="0.35">
      <c r="A288">
        <v>282</v>
      </c>
      <c r="C288">
        <f>MAX(0,Calc!$C$7-SUM(D288:R288))</f>
        <v>750</v>
      </c>
      <c r="D288">
        <f t="shared" si="193"/>
        <v>0</v>
      </c>
      <c r="E288">
        <f t="shared" si="194"/>
        <v>0</v>
      </c>
      <c r="F288">
        <f t="shared" si="195"/>
        <v>0</v>
      </c>
      <c r="G288">
        <f t="shared" si="196"/>
        <v>0</v>
      </c>
      <c r="H288">
        <f t="shared" si="197"/>
        <v>0</v>
      </c>
      <c r="I288">
        <f t="shared" si="198"/>
        <v>0</v>
      </c>
      <c r="J288">
        <f t="shared" si="199"/>
        <v>0</v>
      </c>
      <c r="K288">
        <f t="shared" si="200"/>
        <v>0</v>
      </c>
      <c r="L288">
        <f t="shared" si="201"/>
        <v>0</v>
      </c>
      <c r="M288">
        <f t="shared" si="202"/>
        <v>0</v>
      </c>
      <c r="N288">
        <f t="shared" si="203"/>
        <v>0</v>
      </c>
      <c r="O288">
        <f t="shared" si="204"/>
        <v>0</v>
      </c>
      <c r="P288">
        <f t="shared" si="205"/>
        <v>0</v>
      </c>
      <c r="Q288">
        <f t="shared" si="206"/>
        <v>0</v>
      </c>
      <c r="R288">
        <f t="shared" si="207"/>
        <v>0</v>
      </c>
      <c r="S288">
        <f t="shared" si="208"/>
        <v>0</v>
      </c>
      <c r="T288">
        <f t="shared" si="209"/>
        <v>0</v>
      </c>
      <c r="U288">
        <f t="shared" si="210"/>
        <v>0</v>
      </c>
      <c r="V288">
        <f t="shared" si="211"/>
        <v>0</v>
      </c>
      <c r="W288">
        <f t="shared" si="212"/>
        <v>0</v>
      </c>
      <c r="X288">
        <f t="shared" si="213"/>
        <v>0</v>
      </c>
      <c r="Y288">
        <f t="shared" si="214"/>
        <v>0</v>
      </c>
      <c r="Z288">
        <f t="shared" si="215"/>
        <v>0</v>
      </c>
      <c r="AA288">
        <f t="shared" si="216"/>
        <v>0</v>
      </c>
      <c r="AB288">
        <f t="shared" si="217"/>
        <v>0</v>
      </c>
      <c r="AC288">
        <f t="shared" si="218"/>
        <v>0</v>
      </c>
      <c r="AD288">
        <f t="shared" si="219"/>
        <v>0</v>
      </c>
      <c r="AE288">
        <f t="shared" si="220"/>
        <v>0</v>
      </c>
      <c r="AF288">
        <f t="shared" si="221"/>
        <v>0</v>
      </c>
      <c r="AG288">
        <f t="shared" si="222"/>
        <v>0</v>
      </c>
      <c r="AH288">
        <f t="shared" si="223"/>
        <v>0</v>
      </c>
      <c r="AI288">
        <f t="shared" si="224"/>
        <v>0</v>
      </c>
      <c r="AJ288">
        <f t="shared" si="225"/>
        <v>0</v>
      </c>
      <c r="AK288">
        <f t="shared" si="226"/>
        <v>0</v>
      </c>
      <c r="AL288">
        <f t="shared" si="227"/>
        <v>0</v>
      </c>
      <c r="AM288">
        <f t="shared" si="228"/>
        <v>0</v>
      </c>
      <c r="AN288">
        <f t="shared" si="229"/>
        <v>0</v>
      </c>
      <c r="AO288">
        <f t="shared" si="230"/>
        <v>0</v>
      </c>
      <c r="AP288">
        <f t="shared" si="231"/>
        <v>0</v>
      </c>
      <c r="AQ288">
        <f t="shared" si="232"/>
        <v>0</v>
      </c>
      <c r="AR288">
        <f t="shared" si="233"/>
        <v>0</v>
      </c>
      <c r="AS288">
        <f t="shared" si="234"/>
        <v>0</v>
      </c>
      <c r="AT288">
        <f t="shared" si="235"/>
        <v>0</v>
      </c>
      <c r="AU288">
        <f t="shared" si="236"/>
        <v>0</v>
      </c>
      <c r="AV288">
        <f t="shared" si="237"/>
        <v>0</v>
      </c>
      <c r="AW288">
        <f t="shared" si="192"/>
        <v>0</v>
      </c>
      <c r="AX288">
        <f t="shared" si="238"/>
        <v>0</v>
      </c>
      <c r="AY288">
        <f t="shared" si="239"/>
        <v>0</v>
      </c>
    </row>
    <row r="289" spans="1:51" x14ac:dyDescent="0.35">
      <c r="A289">
        <v>283</v>
      </c>
      <c r="C289">
        <f>MAX(0,Calc!$C$7-SUM(D289:R289))</f>
        <v>750</v>
      </c>
      <c r="D289">
        <f t="shared" si="193"/>
        <v>0</v>
      </c>
      <c r="E289">
        <f t="shared" si="194"/>
        <v>0</v>
      </c>
      <c r="F289">
        <f t="shared" si="195"/>
        <v>0</v>
      </c>
      <c r="G289">
        <f t="shared" si="196"/>
        <v>0</v>
      </c>
      <c r="H289">
        <f t="shared" si="197"/>
        <v>0</v>
      </c>
      <c r="I289">
        <f t="shared" si="198"/>
        <v>0</v>
      </c>
      <c r="J289">
        <f t="shared" si="199"/>
        <v>0</v>
      </c>
      <c r="K289">
        <f t="shared" si="200"/>
        <v>0</v>
      </c>
      <c r="L289">
        <f t="shared" si="201"/>
        <v>0</v>
      </c>
      <c r="M289">
        <f t="shared" si="202"/>
        <v>0</v>
      </c>
      <c r="N289">
        <f t="shared" si="203"/>
        <v>0</v>
      </c>
      <c r="O289">
        <f t="shared" si="204"/>
        <v>0</v>
      </c>
      <c r="P289">
        <f t="shared" si="205"/>
        <v>0</v>
      </c>
      <c r="Q289">
        <f t="shared" si="206"/>
        <v>0</v>
      </c>
      <c r="R289">
        <f t="shared" si="207"/>
        <v>0</v>
      </c>
      <c r="S289">
        <f t="shared" si="208"/>
        <v>0</v>
      </c>
      <c r="T289">
        <f t="shared" si="209"/>
        <v>0</v>
      </c>
      <c r="U289">
        <f t="shared" si="210"/>
        <v>0</v>
      </c>
      <c r="V289">
        <f t="shared" si="211"/>
        <v>0</v>
      </c>
      <c r="W289">
        <f t="shared" si="212"/>
        <v>0</v>
      </c>
      <c r="X289">
        <f t="shared" si="213"/>
        <v>0</v>
      </c>
      <c r="Y289">
        <f t="shared" si="214"/>
        <v>0</v>
      </c>
      <c r="Z289">
        <f t="shared" si="215"/>
        <v>0</v>
      </c>
      <c r="AA289">
        <f t="shared" si="216"/>
        <v>0</v>
      </c>
      <c r="AB289">
        <f t="shared" si="217"/>
        <v>0</v>
      </c>
      <c r="AC289">
        <f t="shared" si="218"/>
        <v>0</v>
      </c>
      <c r="AD289">
        <f t="shared" si="219"/>
        <v>0</v>
      </c>
      <c r="AE289">
        <f t="shared" si="220"/>
        <v>0</v>
      </c>
      <c r="AF289">
        <f t="shared" si="221"/>
        <v>0</v>
      </c>
      <c r="AG289">
        <f t="shared" si="222"/>
        <v>0</v>
      </c>
      <c r="AH289">
        <f t="shared" si="223"/>
        <v>0</v>
      </c>
      <c r="AI289">
        <f t="shared" si="224"/>
        <v>0</v>
      </c>
      <c r="AJ289">
        <f t="shared" si="225"/>
        <v>0</v>
      </c>
      <c r="AK289">
        <f t="shared" si="226"/>
        <v>0</v>
      </c>
      <c r="AL289">
        <f t="shared" si="227"/>
        <v>0</v>
      </c>
      <c r="AM289">
        <f t="shared" si="228"/>
        <v>0</v>
      </c>
      <c r="AN289">
        <f t="shared" si="229"/>
        <v>0</v>
      </c>
      <c r="AO289">
        <f t="shared" si="230"/>
        <v>0</v>
      </c>
      <c r="AP289">
        <f t="shared" si="231"/>
        <v>0</v>
      </c>
      <c r="AQ289">
        <f t="shared" si="232"/>
        <v>0</v>
      </c>
      <c r="AR289">
        <f t="shared" si="233"/>
        <v>0</v>
      </c>
      <c r="AS289">
        <f t="shared" si="234"/>
        <v>0</v>
      </c>
      <c r="AT289">
        <f t="shared" si="235"/>
        <v>0</v>
      </c>
      <c r="AU289">
        <f t="shared" si="236"/>
        <v>0</v>
      </c>
      <c r="AV289">
        <f t="shared" si="237"/>
        <v>0</v>
      </c>
      <c r="AW289">
        <f t="shared" si="192"/>
        <v>0</v>
      </c>
      <c r="AX289">
        <f t="shared" si="238"/>
        <v>0</v>
      </c>
      <c r="AY289">
        <f t="shared" si="239"/>
        <v>0</v>
      </c>
    </row>
    <row r="290" spans="1:51" x14ac:dyDescent="0.35">
      <c r="A290">
        <v>284</v>
      </c>
      <c r="C290">
        <f>MAX(0,Calc!$C$7-SUM(D290:R290))</f>
        <v>750</v>
      </c>
      <c r="D290">
        <f t="shared" si="193"/>
        <v>0</v>
      </c>
      <c r="E290">
        <f t="shared" si="194"/>
        <v>0</v>
      </c>
      <c r="F290">
        <f t="shared" si="195"/>
        <v>0</v>
      </c>
      <c r="G290">
        <f t="shared" si="196"/>
        <v>0</v>
      </c>
      <c r="H290">
        <f t="shared" si="197"/>
        <v>0</v>
      </c>
      <c r="I290">
        <f t="shared" si="198"/>
        <v>0</v>
      </c>
      <c r="J290">
        <f t="shared" si="199"/>
        <v>0</v>
      </c>
      <c r="K290">
        <f t="shared" si="200"/>
        <v>0</v>
      </c>
      <c r="L290">
        <f t="shared" si="201"/>
        <v>0</v>
      </c>
      <c r="M290">
        <f t="shared" si="202"/>
        <v>0</v>
      </c>
      <c r="N290">
        <f t="shared" si="203"/>
        <v>0</v>
      </c>
      <c r="O290">
        <f t="shared" si="204"/>
        <v>0</v>
      </c>
      <c r="P290">
        <f t="shared" si="205"/>
        <v>0</v>
      </c>
      <c r="Q290">
        <f t="shared" si="206"/>
        <v>0</v>
      </c>
      <c r="R290">
        <f t="shared" si="207"/>
        <v>0</v>
      </c>
      <c r="S290">
        <f t="shared" si="208"/>
        <v>0</v>
      </c>
      <c r="T290">
        <f t="shared" si="209"/>
        <v>0</v>
      </c>
      <c r="U290">
        <f t="shared" si="210"/>
        <v>0</v>
      </c>
      <c r="V290">
        <f t="shared" si="211"/>
        <v>0</v>
      </c>
      <c r="W290">
        <f t="shared" si="212"/>
        <v>0</v>
      </c>
      <c r="X290">
        <f t="shared" si="213"/>
        <v>0</v>
      </c>
      <c r="Y290">
        <f t="shared" si="214"/>
        <v>0</v>
      </c>
      <c r="Z290">
        <f t="shared" si="215"/>
        <v>0</v>
      </c>
      <c r="AA290">
        <f t="shared" si="216"/>
        <v>0</v>
      </c>
      <c r="AB290">
        <f t="shared" si="217"/>
        <v>0</v>
      </c>
      <c r="AC290">
        <f t="shared" si="218"/>
        <v>0</v>
      </c>
      <c r="AD290">
        <f t="shared" si="219"/>
        <v>0</v>
      </c>
      <c r="AE290">
        <f t="shared" si="220"/>
        <v>0</v>
      </c>
      <c r="AF290">
        <f t="shared" si="221"/>
        <v>0</v>
      </c>
      <c r="AG290">
        <f t="shared" si="222"/>
        <v>0</v>
      </c>
      <c r="AH290">
        <f t="shared" si="223"/>
        <v>0</v>
      </c>
      <c r="AI290">
        <f t="shared" si="224"/>
        <v>0</v>
      </c>
      <c r="AJ290">
        <f t="shared" si="225"/>
        <v>0</v>
      </c>
      <c r="AK290">
        <f t="shared" si="226"/>
        <v>0</v>
      </c>
      <c r="AL290">
        <f t="shared" si="227"/>
        <v>0</v>
      </c>
      <c r="AM290">
        <f t="shared" si="228"/>
        <v>0</v>
      </c>
      <c r="AN290">
        <f t="shared" si="229"/>
        <v>0</v>
      </c>
      <c r="AO290">
        <f t="shared" si="230"/>
        <v>0</v>
      </c>
      <c r="AP290">
        <f t="shared" si="231"/>
        <v>0</v>
      </c>
      <c r="AQ290">
        <f t="shared" si="232"/>
        <v>0</v>
      </c>
      <c r="AR290">
        <f t="shared" si="233"/>
        <v>0</v>
      </c>
      <c r="AS290">
        <f t="shared" si="234"/>
        <v>0</v>
      </c>
      <c r="AT290">
        <f t="shared" si="235"/>
        <v>0</v>
      </c>
      <c r="AU290">
        <f t="shared" si="236"/>
        <v>0</v>
      </c>
      <c r="AV290">
        <f t="shared" si="237"/>
        <v>0</v>
      </c>
      <c r="AW290">
        <f t="shared" si="192"/>
        <v>0</v>
      </c>
      <c r="AX290">
        <f t="shared" si="238"/>
        <v>0</v>
      </c>
      <c r="AY290">
        <f t="shared" si="239"/>
        <v>0</v>
      </c>
    </row>
    <row r="291" spans="1:51" x14ac:dyDescent="0.35">
      <c r="A291">
        <v>285</v>
      </c>
      <c r="C291">
        <f>MAX(0,Calc!$C$7-SUM(D291:R291))</f>
        <v>750</v>
      </c>
      <c r="D291">
        <f t="shared" si="193"/>
        <v>0</v>
      </c>
      <c r="E291">
        <f t="shared" si="194"/>
        <v>0</v>
      </c>
      <c r="F291">
        <f t="shared" si="195"/>
        <v>0</v>
      </c>
      <c r="G291">
        <f t="shared" si="196"/>
        <v>0</v>
      </c>
      <c r="H291">
        <f t="shared" si="197"/>
        <v>0</v>
      </c>
      <c r="I291">
        <f t="shared" si="198"/>
        <v>0</v>
      </c>
      <c r="J291">
        <f t="shared" si="199"/>
        <v>0</v>
      </c>
      <c r="K291">
        <f t="shared" si="200"/>
        <v>0</v>
      </c>
      <c r="L291">
        <f t="shared" si="201"/>
        <v>0</v>
      </c>
      <c r="M291">
        <f t="shared" si="202"/>
        <v>0</v>
      </c>
      <c r="N291">
        <f t="shared" si="203"/>
        <v>0</v>
      </c>
      <c r="O291">
        <f t="shared" si="204"/>
        <v>0</v>
      </c>
      <c r="P291">
        <f t="shared" si="205"/>
        <v>0</v>
      </c>
      <c r="Q291">
        <f t="shared" si="206"/>
        <v>0</v>
      </c>
      <c r="R291">
        <f t="shared" si="207"/>
        <v>0</v>
      </c>
      <c r="S291">
        <f t="shared" si="208"/>
        <v>0</v>
      </c>
      <c r="T291">
        <f t="shared" si="209"/>
        <v>0</v>
      </c>
      <c r="U291">
        <f t="shared" si="210"/>
        <v>0</v>
      </c>
      <c r="V291">
        <f t="shared" si="211"/>
        <v>0</v>
      </c>
      <c r="W291">
        <f t="shared" si="212"/>
        <v>0</v>
      </c>
      <c r="X291">
        <f t="shared" si="213"/>
        <v>0</v>
      </c>
      <c r="Y291">
        <f t="shared" si="214"/>
        <v>0</v>
      </c>
      <c r="Z291">
        <f t="shared" si="215"/>
        <v>0</v>
      </c>
      <c r="AA291">
        <f t="shared" si="216"/>
        <v>0</v>
      </c>
      <c r="AB291">
        <f t="shared" si="217"/>
        <v>0</v>
      </c>
      <c r="AC291">
        <f t="shared" si="218"/>
        <v>0</v>
      </c>
      <c r="AD291">
        <f t="shared" si="219"/>
        <v>0</v>
      </c>
      <c r="AE291">
        <f t="shared" si="220"/>
        <v>0</v>
      </c>
      <c r="AF291">
        <f t="shared" si="221"/>
        <v>0</v>
      </c>
      <c r="AG291">
        <f t="shared" si="222"/>
        <v>0</v>
      </c>
      <c r="AH291">
        <f t="shared" si="223"/>
        <v>0</v>
      </c>
      <c r="AI291">
        <f t="shared" si="224"/>
        <v>0</v>
      </c>
      <c r="AJ291">
        <f t="shared" si="225"/>
        <v>0</v>
      </c>
      <c r="AK291">
        <f t="shared" si="226"/>
        <v>0</v>
      </c>
      <c r="AL291">
        <f t="shared" si="227"/>
        <v>0</v>
      </c>
      <c r="AM291">
        <f t="shared" si="228"/>
        <v>0</v>
      </c>
      <c r="AN291">
        <f t="shared" si="229"/>
        <v>0</v>
      </c>
      <c r="AO291">
        <f t="shared" si="230"/>
        <v>0</v>
      </c>
      <c r="AP291">
        <f t="shared" si="231"/>
        <v>0</v>
      </c>
      <c r="AQ291">
        <f t="shared" si="232"/>
        <v>0</v>
      </c>
      <c r="AR291">
        <f t="shared" si="233"/>
        <v>0</v>
      </c>
      <c r="AS291">
        <f t="shared" si="234"/>
        <v>0</v>
      </c>
      <c r="AT291">
        <f t="shared" si="235"/>
        <v>0</v>
      </c>
      <c r="AU291">
        <f t="shared" si="236"/>
        <v>0</v>
      </c>
      <c r="AV291">
        <f t="shared" si="237"/>
        <v>0</v>
      </c>
      <c r="AW291">
        <f t="shared" si="192"/>
        <v>0</v>
      </c>
      <c r="AX291">
        <f t="shared" si="238"/>
        <v>0</v>
      </c>
      <c r="AY291">
        <f t="shared" si="239"/>
        <v>0</v>
      </c>
    </row>
    <row r="292" spans="1:51" x14ac:dyDescent="0.35">
      <c r="A292">
        <v>286</v>
      </c>
      <c r="C292">
        <f>MAX(0,Calc!$C$7-SUM(D292:R292))</f>
        <v>750</v>
      </c>
      <c r="D292">
        <f t="shared" si="193"/>
        <v>0</v>
      </c>
      <c r="E292">
        <f t="shared" si="194"/>
        <v>0</v>
      </c>
      <c r="F292">
        <f t="shared" si="195"/>
        <v>0</v>
      </c>
      <c r="G292">
        <f t="shared" si="196"/>
        <v>0</v>
      </c>
      <c r="H292">
        <f t="shared" si="197"/>
        <v>0</v>
      </c>
      <c r="I292">
        <f t="shared" si="198"/>
        <v>0</v>
      </c>
      <c r="J292">
        <f t="shared" si="199"/>
        <v>0</v>
      </c>
      <c r="K292">
        <f t="shared" si="200"/>
        <v>0</v>
      </c>
      <c r="L292">
        <f t="shared" si="201"/>
        <v>0</v>
      </c>
      <c r="M292">
        <f t="shared" si="202"/>
        <v>0</v>
      </c>
      <c r="N292">
        <f t="shared" si="203"/>
        <v>0</v>
      </c>
      <c r="O292">
        <f t="shared" si="204"/>
        <v>0</v>
      </c>
      <c r="P292">
        <f t="shared" si="205"/>
        <v>0</v>
      </c>
      <c r="Q292">
        <f t="shared" si="206"/>
        <v>0</v>
      </c>
      <c r="R292">
        <f t="shared" si="207"/>
        <v>0</v>
      </c>
      <c r="S292">
        <f t="shared" si="208"/>
        <v>0</v>
      </c>
      <c r="T292">
        <f t="shared" si="209"/>
        <v>0</v>
      </c>
      <c r="U292">
        <f t="shared" si="210"/>
        <v>0</v>
      </c>
      <c r="V292">
        <f t="shared" si="211"/>
        <v>0</v>
      </c>
      <c r="W292">
        <f t="shared" si="212"/>
        <v>0</v>
      </c>
      <c r="X292">
        <f t="shared" si="213"/>
        <v>0</v>
      </c>
      <c r="Y292">
        <f t="shared" si="214"/>
        <v>0</v>
      </c>
      <c r="Z292">
        <f t="shared" si="215"/>
        <v>0</v>
      </c>
      <c r="AA292">
        <f t="shared" si="216"/>
        <v>0</v>
      </c>
      <c r="AB292">
        <f t="shared" si="217"/>
        <v>0</v>
      </c>
      <c r="AC292">
        <f t="shared" si="218"/>
        <v>0</v>
      </c>
      <c r="AD292">
        <f t="shared" si="219"/>
        <v>0</v>
      </c>
      <c r="AE292">
        <f t="shared" si="220"/>
        <v>0</v>
      </c>
      <c r="AF292">
        <f t="shared" si="221"/>
        <v>0</v>
      </c>
      <c r="AG292">
        <f t="shared" si="222"/>
        <v>0</v>
      </c>
      <c r="AH292">
        <f t="shared" si="223"/>
        <v>0</v>
      </c>
      <c r="AI292">
        <f t="shared" si="224"/>
        <v>0</v>
      </c>
      <c r="AJ292">
        <f t="shared" si="225"/>
        <v>0</v>
      </c>
      <c r="AK292">
        <f t="shared" si="226"/>
        <v>0</v>
      </c>
      <c r="AL292">
        <f t="shared" si="227"/>
        <v>0</v>
      </c>
      <c r="AM292">
        <f t="shared" si="228"/>
        <v>0</v>
      </c>
      <c r="AN292">
        <f t="shared" si="229"/>
        <v>0</v>
      </c>
      <c r="AO292">
        <f t="shared" si="230"/>
        <v>0</v>
      </c>
      <c r="AP292">
        <f t="shared" si="231"/>
        <v>0</v>
      </c>
      <c r="AQ292">
        <f t="shared" si="232"/>
        <v>0</v>
      </c>
      <c r="AR292">
        <f t="shared" si="233"/>
        <v>0</v>
      </c>
      <c r="AS292">
        <f t="shared" si="234"/>
        <v>0</v>
      </c>
      <c r="AT292">
        <f t="shared" si="235"/>
        <v>0</v>
      </c>
      <c r="AU292">
        <f t="shared" si="236"/>
        <v>0</v>
      </c>
      <c r="AV292">
        <f t="shared" si="237"/>
        <v>0</v>
      </c>
      <c r="AW292">
        <f t="shared" si="192"/>
        <v>0</v>
      </c>
      <c r="AX292">
        <f t="shared" si="238"/>
        <v>0</v>
      </c>
      <c r="AY292">
        <f t="shared" si="239"/>
        <v>0</v>
      </c>
    </row>
    <row r="293" spans="1:51" x14ac:dyDescent="0.35">
      <c r="A293">
        <v>287</v>
      </c>
      <c r="C293">
        <f>MAX(0,Calc!$C$7-SUM(D293:R293))</f>
        <v>750</v>
      </c>
      <c r="D293">
        <f t="shared" si="193"/>
        <v>0</v>
      </c>
      <c r="E293">
        <f t="shared" si="194"/>
        <v>0</v>
      </c>
      <c r="F293">
        <f t="shared" si="195"/>
        <v>0</v>
      </c>
      <c r="G293">
        <f t="shared" si="196"/>
        <v>0</v>
      </c>
      <c r="H293">
        <f t="shared" si="197"/>
        <v>0</v>
      </c>
      <c r="I293">
        <f t="shared" si="198"/>
        <v>0</v>
      </c>
      <c r="J293">
        <f t="shared" si="199"/>
        <v>0</v>
      </c>
      <c r="K293">
        <f t="shared" si="200"/>
        <v>0</v>
      </c>
      <c r="L293">
        <f t="shared" si="201"/>
        <v>0</v>
      </c>
      <c r="M293">
        <f t="shared" si="202"/>
        <v>0</v>
      </c>
      <c r="N293">
        <f t="shared" si="203"/>
        <v>0</v>
      </c>
      <c r="O293">
        <f t="shared" si="204"/>
        <v>0</v>
      </c>
      <c r="P293">
        <f t="shared" si="205"/>
        <v>0</v>
      </c>
      <c r="Q293">
        <f t="shared" si="206"/>
        <v>0</v>
      </c>
      <c r="R293">
        <f t="shared" si="207"/>
        <v>0</v>
      </c>
      <c r="S293">
        <f t="shared" si="208"/>
        <v>0</v>
      </c>
      <c r="T293">
        <f t="shared" si="209"/>
        <v>0</v>
      </c>
      <c r="U293">
        <f t="shared" si="210"/>
        <v>0</v>
      </c>
      <c r="V293">
        <f t="shared" si="211"/>
        <v>0</v>
      </c>
      <c r="W293">
        <f t="shared" si="212"/>
        <v>0</v>
      </c>
      <c r="X293">
        <f t="shared" si="213"/>
        <v>0</v>
      </c>
      <c r="Y293">
        <f t="shared" si="214"/>
        <v>0</v>
      </c>
      <c r="Z293">
        <f t="shared" si="215"/>
        <v>0</v>
      </c>
      <c r="AA293">
        <f t="shared" si="216"/>
        <v>0</v>
      </c>
      <c r="AB293">
        <f t="shared" si="217"/>
        <v>0</v>
      </c>
      <c r="AC293">
        <f t="shared" si="218"/>
        <v>0</v>
      </c>
      <c r="AD293">
        <f t="shared" si="219"/>
        <v>0</v>
      </c>
      <c r="AE293">
        <f t="shared" si="220"/>
        <v>0</v>
      </c>
      <c r="AF293">
        <f t="shared" si="221"/>
        <v>0</v>
      </c>
      <c r="AG293">
        <f t="shared" si="222"/>
        <v>0</v>
      </c>
      <c r="AH293">
        <f t="shared" si="223"/>
        <v>0</v>
      </c>
      <c r="AI293">
        <f t="shared" si="224"/>
        <v>0</v>
      </c>
      <c r="AJ293">
        <f t="shared" si="225"/>
        <v>0</v>
      </c>
      <c r="AK293">
        <f t="shared" si="226"/>
        <v>0</v>
      </c>
      <c r="AL293">
        <f t="shared" si="227"/>
        <v>0</v>
      </c>
      <c r="AM293">
        <f t="shared" si="228"/>
        <v>0</v>
      </c>
      <c r="AN293">
        <f t="shared" si="229"/>
        <v>0</v>
      </c>
      <c r="AO293">
        <f t="shared" si="230"/>
        <v>0</v>
      </c>
      <c r="AP293">
        <f t="shared" si="231"/>
        <v>0</v>
      </c>
      <c r="AQ293">
        <f t="shared" si="232"/>
        <v>0</v>
      </c>
      <c r="AR293">
        <f t="shared" si="233"/>
        <v>0</v>
      </c>
      <c r="AS293">
        <f t="shared" si="234"/>
        <v>0</v>
      </c>
      <c r="AT293">
        <f t="shared" si="235"/>
        <v>0</v>
      </c>
      <c r="AU293">
        <f t="shared" si="236"/>
        <v>0</v>
      </c>
      <c r="AV293">
        <f t="shared" si="237"/>
        <v>0</v>
      </c>
      <c r="AW293">
        <f t="shared" si="192"/>
        <v>0</v>
      </c>
      <c r="AX293">
        <f t="shared" si="238"/>
        <v>0</v>
      </c>
      <c r="AY293">
        <f t="shared" si="239"/>
        <v>0</v>
      </c>
    </row>
    <row r="294" spans="1:51" x14ac:dyDescent="0.35">
      <c r="A294">
        <v>288</v>
      </c>
      <c r="C294">
        <f>MAX(0,Calc!$C$7-SUM(D294:R294))</f>
        <v>750</v>
      </c>
      <c r="D294">
        <f t="shared" si="193"/>
        <v>0</v>
      </c>
      <c r="E294">
        <f t="shared" si="194"/>
        <v>0</v>
      </c>
      <c r="F294">
        <f t="shared" si="195"/>
        <v>0</v>
      </c>
      <c r="G294">
        <f t="shared" si="196"/>
        <v>0</v>
      </c>
      <c r="H294">
        <f t="shared" si="197"/>
        <v>0</v>
      </c>
      <c r="I294">
        <f t="shared" si="198"/>
        <v>0</v>
      </c>
      <c r="J294">
        <f t="shared" si="199"/>
        <v>0</v>
      </c>
      <c r="K294">
        <f t="shared" si="200"/>
        <v>0</v>
      </c>
      <c r="L294">
        <f t="shared" si="201"/>
        <v>0</v>
      </c>
      <c r="M294">
        <f t="shared" si="202"/>
        <v>0</v>
      </c>
      <c r="N294">
        <f t="shared" si="203"/>
        <v>0</v>
      </c>
      <c r="O294">
        <f t="shared" si="204"/>
        <v>0</v>
      </c>
      <c r="P294">
        <f t="shared" si="205"/>
        <v>0</v>
      </c>
      <c r="Q294">
        <f t="shared" si="206"/>
        <v>0</v>
      </c>
      <c r="R294">
        <f t="shared" si="207"/>
        <v>0</v>
      </c>
      <c r="S294">
        <f t="shared" si="208"/>
        <v>0</v>
      </c>
      <c r="T294">
        <f t="shared" si="209"/>
        <v>0</v>
      </c>
      <c r="U294">
        <f t="shared" si="210"/>
        <v>0</v>
      </c>
      <c r="V294">
        <f t="shared" si="211"/>
        <v>0</v>
      </c>
      <c r="W294">
        <f t="shared" si="212"/>
        <v>0</v>
      </c>
      <c r="X294">
        <f t="shared" si="213"/>
        <v>0</v>
      </c>
      <c r="Y294">
        <f t="shared" si="214"/>
        <v>0</v>
      </c>
      <c r="Z294">
        <f t="shared" si="215"/>
        <v>0</v>
      </c>
      <c r="AA294">
        <f t="shared" si="216"/>
        <v>0</v>
      </c>
      <c r="AB294">
        <f t="shared" si="217"/>
        <v>0</v>
      </c>
      <c r="AC294">
        <f t="shared" si="218"/>
        <v>0</v>
      </c>
      <c r="AD294">
        <f t="shared" si="219"/>
        <v>0</v>
      </c>
      <c r="AE294">
        <f t="shared" si="220"/>
        <v>0</v>
      </c>
      <c r="AF294">
        <f t="shared" si="221"/>
        <v>0</v>
      </c>
      <c r="AG294">
        <f t="shared" si="222"/>
        <v>0</v>
      </c>
      <c r="AH294">
        <f t="shared" si="223"/>
        <v>0</v>
      </c>
      <c r="AI294">
        <f t="shared" si="224"/>
        <v>0</v>
      </c>
      <c r="AJ294">
        <f t="shared" si="225"/>
        <v>0</v>
      </c>
      <c r="AK294">
        <f t="shared" si="226"/>
        <v>0</v>
      </c>
      <c r="AL294">
        <f t="shared" si="227"/>
        <v>0</v>
      </c>
      <c r="AM294">
        <f t="shared" si="228"/>
        <v>0</v>
      </c>
      <c r="AN294">
        <f t="shared" si="229"/>
        <v>0</v>
      </c>
      <c r="AO294">
        <f t="shared" si="230"/>
        <v>0</v>
      </c>
      <c r="AP294">
        <f t="shared" si="231"/>
        <v>0</v>
      </c>
      <c r="AQ294">
        <f t="shared" si="232"/>
        <v>0</v>
      </c>
      <c r="AR294">
        <f t="shared" si="233"/>
        <v>0</v>
      </c>
      <c r="AS294">
        <f t="shared" si="234"/>
        <v>0</v>
      </c>
      <c r="AT294">
        <f t="shared" si="235"/>
        <v>0</v>
      </c>
      <c r="AU294">
        <f t="shared" si="236"/>
        <v>0</v>
      </c>
      <c r="AV294">
        <f t="shared" si="237"/>
        <v>0</v>
      </c>
      <c r="AW294">
        <f t="shared" si="192"/>
        <v>0</v>
      </c>
      <c r="AX294">
        <f t="shared" si="238"/>
        <v>0</v>
      </c>
      <c r="AY294">
        <f t="shared" si="239"/>
        <v>0</v>
      </c>
    </row>
    <row r="295" spans="1:51" x14ac:dyDescent="0.35">
      <c r="A295">
        <v>289</v>
      </c>
      <c r="C295">
        <f>MAX(0,Calc!$C$7-SUM(D295:R295))</f>
        <v>750</v>
      </c>
      <c r="D295">
        <f t="shared" si="193"/>
        <v>0</v>
      </c>
      <c r="E295">
        <f t="shared" si="194"/>
        <v>0</v>
      </c>
      <c r="F295">
        <f t="shared" si="195"/>
        <v>0</v>
      </c>
      <c r="G295">
        <f t="shared" si="196"/>
        <v>0</v>
      </c>
      <c r="H295">
        <f t="shared" si="197"/>
        <v>0</v>
      </c>
      <c r="I295">
        <f t="shared" si="198"/>
        <v>0</v>
      </c>
      <c r="J295">
        <f t="shared" si="199"/>
        <v>0</v>
      </c>
      <c r="K295">
        <f t="shared" si="200"/>
        <v>0</v>
      </c>
      <c r="L295">
        <f t="shared" si="201"/>
        <v>0</v>
      </c>
      <c r="M295">
        <f t="shared" si="202"/>
        <v>0</v>
      </c>
      <c r="N295">
        <f t="shared" si="203"/>
        <v>0</v>
      </c>
      <c r="O295">
        <f t="shared" si="204"/>
        <v>0</v>
      </c>
      <c r="P295">
        <f t="shared" si="205"/>
        <v>0</v>
      </c>
      <c r="Q295">
        <f t="shared" si="206"/>
        <v>0</v>
      </c>
      <c r="R295">
        <f t="shared" si="207"/>
        <v>0</v>
      </c>
      <c r="S295">
        <f t="shared" si="208"/>
        <v>0</v>
      </c>
      <c r="T295">
        <f t="shared" si="209"/>
        <v>0</v>
      </c>
      <c r="U295">
        <f t="shared" si="210"/>
        <v>0</v>
      </c>
      <c r="V295">
        <f t="shared" si="211"/>
        <v>0</v>
      </c>
      <c r="W295">
        <f t="shared" si="212"/>
        <v>0</v>
      </c>
      <c r="X295">
        <f t="shared" si="213"/>
        <v>0</v>
      </c>
      <c r="Y295">
        <f t="shared" si="214"/>
        <v>0</v>
      </c>
      <c r="Z295">
        <f t="shared" si="215"/>
        <v>0</v>
      </c>
      <c r="AA295">
        <f t="shared" si="216"/>
        <v>0</v>
      </c>
      <c r="AB295">
        <f t="shared" si="217"/>
        <v>0</v>
      </c>
      <c r="AC295">
        <f t="shared" si="218"/>
        <v>0</v>
      </c>
      <c r="AD295">
        <f t="shared" si="219"/>
        <v>0</v>
      </c>
      <c r="AE295">
        <f t="shared" si="220"/>
        <v>0</v>
      </c>
      <c r="AF295">
        <f t="shared" si="221"/>
        <v>0</v>
      </c>
      <c r="AG295">
        <f t="shared" si="222"/>
        <v>0</v>
      </c>
      <c r="AH295">
        <f t="shared" si="223"/>
        <v>0</v>
      </c>
      <c r="AI295">
        <f t="shared" si="224"/>
        <v>0</v>
      </c>
      <c r="AJ295">
        <f t="shared" si="225"/>
        <v>0</v>
      </c>
      <c r="AK295">
        <f t="shared" si="226"/>
        <v>0</v>
      </c>
      <c r="AL295">
        <f t="shared" si="227"/>
        <v>0</v>
      </c>
      <c r="AM295">
        <f t="shared" si="228"/>
        <v>0</v>
      </c>
      <c r="AN295">
        <f t="shared" si="229"/>
        <v>0</v>
      </c>
      <c r="AO295">
        <f t="shared" si="230"/>
        <v>0</v>
      </c>
      <c r="AP295">
        <f t="shared" si="231"/>
        <v>0</v>
      </c>
      <c r="AQ295">
        <f t="shared" si="232"/>
        <v>0</v>
      </c>
      <c r="AR295">
        <f t="shared" si="233"/>
        <v>0</v>
      </c>
      <c r="AS295">
        <f t="shared" si="234"/>
        <v>0</v>
      </c>
      <c r="AT295">
        <f t="shared" si="235"/>
        <v>0</v>
      </c>
      <c r="AU295">
        <f t="shared" si="236"/>
        <v>0</v>
      </c>
      <c r="AV295">
        <f t="shared" si="237"/>
        <v>0</v>
      </c>
      <c r="AW295">
        <f t="shared" si="192"/>
        <v>0</v>
      </c>
      <c r="AX295">
        <f t="shared" si="238"/>
        <v>0</v>
      </c>
      <c r="AY295">
        <f t="shared" si="239"/>
        <v>0</v>
      </c>
    </row>
    <row r="296" spans="1:51" x14ac:dyDescent="0.35">
      <c r="A296">
        <v>290</v>
      </c>
      <c r="C296">
        <f>MAX(0,Calc!$C$7-SUM(D296:R296))</f>
        <v>750</v>
      </c>
      <c r="D296">
        <f t="shared" si="193"/>
        <v>0</v>
      </c>
      <c r="E296">
        <f t="shared" si="194"/>
        <v>0</v>
      </c>
      <c r="F296">
        <f t="shared" si="195"/>
        <v>0</v>
      </c>
      <c r="G296">
        <f t="shared" si="196"/>
        <v>0</v>
      </c>
      <c r="H296">
        <f t="shared" si="197"/>
        <v>0</v>
      </c>
      <c r="I296">
        <f t="shared" si="198"/>
        <v>0</v>
      </c>
      <c r="J296">
        <f t="shared" si="199"/>
        <v>0</v>
      </c>
      <c r="K296">
        <f t="shared" si="200"/>
        <v>0</v>
      </c>
      <c r="L296">
        <f t="shared" si="201"/>
        <v>0</v>
      </c>
      <c r="M296">
        <f t="shared" si="202"/>
        <v>0</v>
      </c>
      <c r="N296">
        <f t="shared" si="203"/>
        <v>0</v>
      </c>
      <c r="O296">
        <f t="shared" si="204"/>
        <v>0</v>
      </c>
      <c r="P296">
        <f t="shared" si="205"/>
        <v>0</v>
      </c>
      <c r="Q296">
        <f t="shared" si="206"/>
        <v>0</v>
      </c>
      <c r="R296">
        <f t="shared" si="207"/>
        <v>0</v>
      </c>
      <c r="S296">
        <f t="shared" si="208"/>
        <v>0</v>
      </c>
      <c r="T296">
        <f t="shared" si="209"/>
        <v>0</v>
      </c>
      <c r="U296">
        <f t="shared" si="210"/>
        <v>0</v>
      </c>
      <c r="V296">
        <f t="shared" si="211"/>
        <v>0</v>
      </c>
      <c r="W296">
        <f t="shared" si="212"/>
        <v>0</v>
      </c>
      <c r="X296">
        <f t="shared" si="213"/>
        <v>0</v>
      </c>
      <c r="Y296">
        <f t="shared" si="214"/>
        <v>0</v>
      </c>
      <c r="Z296">
        <f t="shared" si="215"/>
        <v>0</v>
      </c>
      <c r="AA296">
        <f t="shared" si="216"/>
        <v>0</v>
      </c>
      <c r="AB296">
        <f t="shared" si="217"/>
        <v>0</v>
      </c>
      <c r="AC296">
        <f t="shared" si="218"/>
        <v>0</v>
      </c>
      <c r="AD296">
        <f t="shared" si="219"/>
        <v>0</v>
      </c>
      <c r="AE296">
        <f t="shared" si="220"/>
        <v>0</v>
      </c>
      <c r="AF296">
        <f t="shared" si="221"/>
        <v>0</v>
      </c>
      <c r="AG296">
        <f t="shared" si="222"/>
        <v>0</v>
      </c>
      <c r="AH296">
        <f t="shared" si="223"/>
        <v>0</v>
      </c>
      <c r="AI296">
        <f t="shared" si="224"/>
        <v>0</v>
      </c>
      <c r="AJ296">
        <f t="shared" si="225"/>
        <v>0</v>
      </c>
      <c r="AK296">
        <f t="shared" si="226"/>
        <v>0</v>
      </c>
      <c r="AL296">
        <f t="shared" si="227"/>
        <v>0</v>
      </c>
      <c r="AM296">
        <f t="shared" si="228"/>
        <v>0</v>
      </c>
      <c r="AN296">
        <f t="shared" si="229"/>
        <v>0</v>
      </c>
      <c r="AO296">
        <f t="shared" si="230"/>
        <v>0</v>
      </c>
      <c r="AP296">
        <f t="shared" si="231"/>
        <v>0</v>
      </c>
      <c r="AQ296">
        <f t="shared" si="232"/>
        <v>0</v>
      </c>
      <c r="AR296">
        <f t="shared" si="233"/>
        <v>0</v>
      </c>
      <c r="AS296">
        <f t="shared" si="234"/>
        <v>0</v>
      </c>
      <c r="AT296">
        <f t="shared" si="235"/>
        <v>0</v>
      </c>
      <c r="AU296">
        <f t="shared" si="236"/>
        <v>0</v>
      </c>
      <c r="AV296">
        <f t="shared" si="237"/>
        <v>0</v>
      </c>
      <c r="AW296">
        <f t="shared" si="192"/>
        <v>0</v>
      </c>
      <c r="AX296">
        <f t="shared" si="238"/>
        <v>0</v>
      </c>
      <c r="AY296">
        <f t="shared" si="239"/>
        <v>0</v>
      </c>
    </row>
    <row r="297" spans="1:51" x14ac:dyDescent="0.35">
      <c r="A297">
        <v>291</v>
      </c>
      <c r="C297">
        <f>MAX(0,Calc!$C$7-SUM(D297:R297))</f>
        <v>750</v>
      </c>
      <c r="D297">
        <f t="shared" si="193"/>
        <v>0</v>
      </c>
      <c r="E297">
        <f t="shared" si="194"/>
        <v>0</v>
      </c>
      <c r="F297">
        <f t="shared" si="195"/>
        <v>0</v>
      </c>
      <c r="G297">
        <f t="shared" si="196"/>
        <v>0</v>
      </c>
      <c r="H297">
        <f t="shared" si="197"/>
        <v>0</v>
      </c>
      <c r="I297">
        <f t="shared" si="198"/>
        <v>0</v>
      </c>
      <c r="J297">
        <f t="shared" si="199"/>
        <v>0</v>
      </c>
      <c r="K297">
        <f t="shared" si="200"/>
        <v>0</v>
      </c>
      <c r="L297">
        <f t="shared" si="201"/>
        <v>0</v>
      </c>
      <c r="M297">
        <f t="shared" si="202"/>
        <v>0</v>
      </c>
      <c r="N297">
        <f t="shared" si="203"/>
        <v>0</v>
      </c>
      <c r="O297">
        <f t="shared" si="204"/>
        <v>0</v>
      </c>
      <c r="P297">
        <f t="shared" si="205"/>
        <v>0</v>
      </c>
      <c r="Q297">
        <f t="shared" si="206"/>
        <v>0</v>
      </c>
      <c r="R297">
        <f t="shared" si="207"/>
        <v>0</v>
      </c>
      <c r="S297">
        <f t="shared" si="208"/>
        <v>0</v>
      </c>
      <c r="T297">
        <f t="shared" si="209"/>
        <v>0</v>
      </c>
      <c r="U297">
        <f t="shared" si="210"/>
        <v>0</v>
      </c>
      <c r="V297">
        <f t="shared" si="211"/>
        <v>0</v>
      </c>
      <c r="W297">
        <f t="shared" si="212"/>
        <v>0</v>
      </c>
      <c r="X297">
        <f t="shared" si="213"/>
        <v>0</v>
      </c>
      <c r="Y297">
        <f t="shared" si="214"/>
        <v>0</v>
      </c>
      <c r="Z297">
        <f t="shared" si="215"/>
        <v>0</v>
      </c>
      <c r="AA297">
        <f t="shared" si="216"/>
        <v>0</v>
      </c>
      <c r="AB297">
        <f t="shared" si="217"/>
        <v>0</v>
      </c>
      <c r="AC297">
        <f t="shared" si="218"/>
        <v>0</v>
      </c>
      <c r="AD297">
        <f t="shared" si="219"/>
        <v>0</v>
      </c>
      <c r="AE297">
        <f t="shared" si="220"/>
        <v>0</v>
      </c>
      <c r="AF297">
        <f t="shared" si="221"/>
        <v>0</v>
      </c>
      <c r="AG297">
        <f t="shared" si="222"/>
        <v>0</v>
      </c>
      <c r="AH297">
        <f t="shared" si="223"/>
        <v>0</v>
      </c>
      <c r="AI297">
        <f t="shared" si="224"/>
        <v>0</v>
      </c>
      <c r="AJ297">
        <f t="shared" si="225"/>
        <v>0</v>
      </c>
      <c r="AK297">
        <f t="shared" si="226"/>
        <v>0</v>
      </c>
      <c r="AL297">
        <f t="shared" si="227"/>
        <v>0</v>
      </c>
      <c r="AM297">
        <f t="shared" si="228"/>
        <v>0</v>
      </c>
      <c r="AN297">
        <f t="shared" si="229"/>
        <v>0</v>
      </c>
      <c r="AO297">
        <f t="shared" si="230"/>
        <v>0</v>
      </c>
      <c r="AP297">
        <f t="shared" si="231"/>
        <v>0</v>
      </c>
      <c r="AQ297">
        <f t="shared" si="232"/>
        <v>0</v>
      </c>
      <c r="AR297">
        <f t="shared" si="233"/>
        <v>0</v>
      </c>
      <c r="AS297">
        <f t="shared" si="234"/>
        <v>0</v>
      </c>
      <c r="AT297">
        <f t="shared" si="235"/>
        <v>0</v>
      </c>
      <c r="AU297">
        <f t="shared" si="236"/>
        <v>0</v>
      </c>
      <c r="AV297">
        <f t="shared" si="237"/>
        <v>0</v>
      </c>
      <c r="AW297">
        <f t="shared" si="192"/>
        <v>0</v>
      </c>
      <c r="AX297">
        <f t="shared" si="238"/>
        <v>0</v>
      </c>
      <c r="AY297">
        <f t="shared" si="239"/>
        <v>0</v>
      </c>
    </row>
    <row r="298" spans="1:51" x14ac:dyDescent="0.35">
      <c r="A298">
        <v>292</v>
      </c>
      <c r="C298">
        <f>MAX(0,Calc!$C$7-SUM(D298:R298))</f>
        <v>750</v>
      </c>
      <c r="D298">
        <f t="shared" si="193"/>
        <v>0</v>
      </c>
      <c r="E298">
        <f t="shared" si="194"/>
        <v>0</v>
      </c>
      <c r="F298">
        <f t="shared" si="195"/>
        <v>0</v>
      </c>
      <c r="G298">
        <f t="shared" si="196"/>
        <v>0</v>
      </c>
      <c r="H298">
        <f t="shared" si="197"/>
        <v>0</v>
      </c>
      <c r="I298">
        <f t="shared" si="198"/>
        <v>0</v>
      </c>
      <c r="J298">
        <f t="shared" si="199"/>
        <v>0</v>
      </c>
      <c r="K298">
        <f t="shared" si="200"/>
        <v>0</v>
      </c>
      <c r="L298">
        <f t="shared" si="201"/>
        <v>0</v>
      </c>
      <c r="M298">
        <f t="shared" si="202"/>
        <v>0</v>
      </c>
      <c r="N298">
        <f t="shared" si="203"/>
        <v>0</v>
      </c>
      <c r="O298">
        <f t="shared" si="204"/>
        <v>0</v>
      </c>
      <c r="P298">
        <f t="shared" si="205"/>
        <v>0</v>
      </c>
      <c r="Q298">
        <f t="shared" si="206"/>
        <v>0</v>
      </c>
      <c r="R298">
        <f t="shared" si="207"/>
        <v>0</v>
      </c>
      <c r="S298">
        <f t="shared" si="208"/>
        <v>0</v>
      </c>
      <c r="T298">
        <f t="shared" si="209"/>
        <v>0</v>
      </c>
      <c r="U298">
        <f t="shared" si="210"/>
        <v>0</v>
      </c>
      <c r="V298">
        <f t="shared" si="211"/>
        <v>0</v>
      </c>
      <c r="W298">
        <f t="shared" si="212"/>
        <v>0</v>
      </c>
      <c r="X298">
        <f t="shared" si="213"/>
        <v>0</v>
      </c>
      <c r="Y298">
        <f t="shared" si="214"/>
        <v>0</v>
      </c>
      <c r="Z298">
        <f t="shared" si="215"/>
        <v>0</v>
      </c>
      <c r="AA298">
        <f t="shared" si="216"/>
        <v>0</v>
      </c>
      <c r="AB298">
        <f t="shared" si="217"/>
        <v>0</v>
      </c>
      <c r="AC298">
        <f t="shared" si="218"/>
        <v>0</v>
      </c>
      <c r="AD298">
        <f t="shared" si="219"/>
        <v>0</v>
      </c>
      <c r="AE298">
        <f t="shared" si="220"/>
        <v>0</v>
      </c>
      <c r="AF298">
        <f t="shared" si="221"/>
        <v>0</v>
      </c>
      <c r="AG298">
        <f t="shared" si="222"/>
        <v>0</v>
      </c>
      <c r="AH298">
        <f t="shared" si="223"/>
        <v>0</v>
      </c>
      <c r="AI298">
        <f t="shared" si="224"/>
        <v>0</v>
      </c>
      <c r="AJ298">
        <f t="shared" si="225"/>
        <v>0</v>
      </c>
      <c r="AK298">
        <f t="shared" si="226"/>
        <v>0</v>
      </c>
      <c r="AL298">
        <f t="shared" si="227"/>
        <v>0</v>
      </c>
      <c r="AM298">
        <f t="shared" si="228"/>
        <v>0</v>
      </c>
      <c r="AN298">
        <f t="shared" si="229"/>
        <v>0</v>
      </c>
      <c r="AO298">
        <f t="shared" si="230"/>
        <v>0</v>
      </c>
      <c r="AP298">
        <f t="shared" si="231"/>
        <v>0</v>
      </c>
      <c r="AQ298">
        <f t="shared" si="232"/>
        <v>0</v>
      </c>
      <c r="AR298">
        <f t="shared" si="233"/>
        <v>0</v>
      </c>
      <c r="AS298">
        <f t="shared" si="234"/>
        <v>0</v>
      </c>
      <c r="AT298">
        <f t="shared" si="235"/>
        <v>0</v>
      </c>
      <c r="AU298">
        <f t="shared" si="236"/>
        <v>0</v>
      </c>
      <c r="AV298">
        <f t="shared" si="237"/>
        <v>0</v>
      </c>
      <c r="AW298">
        <f t="shared" si="192"/>
        <v>0</v>
      </c>
      <c r="AX298">
        <f t="shared" si="238"/>
        <v>0</v>
      </c>
      <c r="AY298">
        <f t="shared" si="239"/>
        <v>0</v>
      </c>
    </row>
    <row r="299" spans="1:51" x14ac:dyDescent="0.35">
      <c r="A299">
        <v>293</v>
      </c>
      <c r="C299">
        <f>MAX(0,Calc!$C$7-SUM(D299:R299))</f>
        <v>750</v>
      </c>
      <c r="D299">
        <f t="shared" si="193"/>
        <v>0</v>
      </c>
      <c r="E299">
        <f t="shared" si="194"/>
        <v>0</v>
      </c>
      <c r="F299">
        <f t="shared" si="195"/>
        <v>0</v>
      </c>
      <c r="G299">
        <f t="shared" si="196"/>
        <v>0</v>
      </c>
      <c r="H299">
        <f t="shared" si="197"/>
        <v>0</v>
      </c>
      <c r="I299">
        <f t="shared" si="198"/>
        <v>0</v>
      </c>
      <c r="J299">
        <f t="shared" si="199"/>
        <v>0</v>
      </c>
      <c r="K299">
        <f t="shared" si="200"/>
        <v>0</v>
      </c>
      <c r="L299">
        <f t="shared" si="201"/>
        <v>0</v>
      </c>
      <c r="M299">
        <f t="shared" si="202"/>
        <v>0</v>
      </c>
      <c r="N299">
        <f t="shared" si="203"/>
        <v>0</v>
      </c>
      <c r="O299">
        <f t="shared" si="204"/>
        <v>0</v>
      </c>
      <c r="P299">
        <f t="shared" si="205"/>
        <v>0</v>
      </c>
      <c r="Q299">
        <f t="shared" si="206"/>
        <v>0</v>
      </c>
      <c r="R299">
        <f t="shared" si="207"/>
        <v>0</v>
      </c>
      <c r="S299">
        <f t="shared" si="208"/>
        <v>0</v>
      </c>
      <c r="T299">
        <f t="shared" si="209"/>
        <v>0</v>
      </c>
      <c r="U299">
        <f t="shared" si="210"/>
        <v>0</v>
      </c>
      <c r="V299">
        <f t="shared" si="211"/>
        <v>0</v>
      </c>
      <c r="W299">
        <f t="shared" si="212"/>
        <v>0</v>
      </c>
      <c r="X299">
        <f t="shared" si="213"/>
        <v>0</v>
      </c>
      <c r="Y299">
        <f t="shared" si="214"/>
        <v>0</v>
      </c>
      <c r="Z299">
        <f t="shared" si="215"/>
        <v>0</v>
      </c>
      <c r="AA299">
        <f t="shared" si="216"/>
        <v>0</v>
      </c>
      <c r="AB299">
        <f t="shared" si="217"/>
        <v>0</v>
      </c>
      <c r="AC299">
        <f t="shared" si="218"/>
        <v>0</v>
      </c>
      <c r="AD299">
        <f t="shared" si="219"/>
        <v>0</v>
      </c>
      <c r="AE299">
        <f t="shared" si="220"/>
        <v>0</v>
      </c>
      <c r="AF299">
        <f t="shared" si="221"/>
        <v>0</v>
      </c>
      <c r="AG299">
        <f t="shared" si="222"/>
        <v>0</v>
      </c>
      <c r="AH299">
        <f t="shared" si="223"/>
        <v>0</v>
      </c>
      <c r="AI299">
        <f t="shared" si="224"/>
        <v>0</v>
      </c>
      <c r="AJ299">
        <f t="shared" si="225"/>
        <v>0</v>
      </c>
      <c r="AK299">
        <f t="shared" si="226"/>
        <v>0</v>
      </c>
      <c r="AL299">
        <f t="shared" si="227"/>
        <v>0</v>
      </c>
      <c r="AM299">
        <f t="shared" si="228"/>
        <v>0</v>
      </c>
      <c r="AN299">
        <f t="shared" si="229"/>
        <v>0</v>
      </c>
      <c r="AO299">
        <f t="shared" si="230"/>
        <v>0</v>
      </c>
      <c r="AP299">
        <f t="shared" si="231"/>
        <v>0</v>
      </c>
      <c r="AQ299">
        <f t="shared" si="232"/>
        <v>0</v>
      </c>
      <c r="AR299">
        <f t="shared" si="233"/>
        <v>0</v>
      </c>
      <c r="AS299">
        <f t="shared" si="234"/>
        <v>0</v>
      </c>
      <c r="AT299">
        <f t="shared" si="235"/>
        <v>0</v>
      </c>
      <c r="AU299">
        <f t="shared" si="236"/>
        <v>0</v>
      </c>
      <c r="AV299">
        <f t="shared" si="237"/>
        <v>0</v>
      </c>
      <c r="AW299">
        <f t="shared" si="192"/>
        <v>0</v>
      </c>
      <c r="AX299">
        <f t="shared" si="238"/>
        <v>0</v>
      </c>
      <c r="AY299">
        <f t="shared" si="239"/>
        <v>0</v>
      </c>
    </row>
    <row r="300" spans="1:51" x14ac:dyDescent="0.35">
      <c r="A300">
        <v>294</v>
      </c>
      <c r="C300">
        <f>MAX(0,Calc!$C$7-SUM(D300:R300))</f>
        <v>750</v>
      </c>
      <c r="D300">
        <f t="shared" si="193"/>
        <v>0</v>
      </c>
      <c r="E300">
        <f t="shared" si="194"/>
        <v>0</v>
      </c>
      <c r="F300">
        <f t="shared" si="195"/>
        <v>0</v>
      </c>
      <c r="G300">
        <f t="shared" si="196"/>
        <v>0</v>
      </c>
      <c r="H300">
        <f t="shared" si="197"/>
        <v>0</v>
      </c>
      <c r="I300">
        <f t="shared" si="198"/>
        <v>0</v>
      </c>
      <c r="J300">
        <f t="shared" si="199"/>
        <v>0</v>
      </c>
      <c r="K300">
        <f t="shared" si="200"/>
        <v>0</v>
      </c>
      <c r="L300">
        <f t="shared" si="201"/>
        <v>0</v>
      </c>
      <c r="M300">
        <f t="shared" si="202"/>
        <v>0</v>
      </c>
      <c r="N300">
        <f t="shared" si="203"/>
        <v>0</v>
      </c>
      <c r="O300">
        <f t="shared" si="204"/>
        <v>0</v>
      </c>
      <c r="P300">
        <f t="shared" si="205"/>
        <v>0</v>
      </c>
      <c r="Q300">
        <f t="shared" si="206"/>
        <v>0</v>
      </c>
      <c r="R300">
        <f t="shared" si="207"/>
        <v>0</v>
      </c>
      <c r="S300">
        <f t="shared" si="208"/>
        <v>0</v>
      </c>
      <c r="T300">
        <f t="shared" si="209"/>
        <v>0</v>
      </c>
      <c r="U300">
        <f t="shared" si="210"/>
        <v>0</v>
      </c>
      <c r="V300">
        <f t="shared" si="211"/>
        <v>0</v>
      </c>
      <c r="W300">
        <f t="shared" si="212"/>
        <v>0</v>
      </c>
      <c r="X300">
        <f t="shared" si="213"/>
        <v>0</v>
      </c>
      <c r="Y300">
        <f t="shared" si="214"/>
        <v>0</v>
      </c>
      <c r="Z300">
        <f t="shared" si="215"/>
        <v>0</v>
      </c>
      <c r="AA300">
        <f t="shared" si="216"/>
        <v>0</v>
      </c>
      <c r="AB300">
        <f t="shared" si="217"/>
        <v>0</v>
      </c>
      <c r="AC300">
        <f t="shared" si="218"/>
        <v>0</v>
      </c>
      <c r="AD300">
        <f t="shared" si="219"/>
        <v>0</v>
      </c>
      <c r="AE300">
        <f t="shared" si="220"/>
        <v>0</v>
      </c>
      <c r="AF300">
        <f t="shared" si="221"/>
        <v>0</v>
      </c>
      <c r="AG300">
        <f t="shared" si="222"/>
        <v>0</v>
      </c>
      <c r="AH300">
        <f t="shared" si="223"/>
        <v>0</v>
      </c>
      <c r="AI300">
        <f t="shared" si="224"/>
        <v>0</v>
      </c>
      <c r="AJ300">
        <f t="shared" si="225"/>
        <v>0</v>
      </c>
      <c r="AK300">
        <f t="shared" si="226"/>
        <v>0</v>
      </c>
      <c r="AL300">
        <f t="shared" si="227"/>
        <v>0</v>
      </c>
      <c r="AM300">
        <f t="shared" si="228"/>
        <v>0</v>
      </c>
      <c r="AN300">
        <f t="shared" si="229"/>
        <v>0</v>
      </c>
      <c r="AO300">
        <f t="shared" si="230"/>
        <v>0</v>
      </c>
      <c r="AP300">
        <f t="shared" si="231"/>
        <v>0</v>
      </c>
      <c r="AQ300">
        <f t="shared" si="232"/>
        <v>0</v>
      </c>
      <c r="AR300">
        <f t="shared" si="233"/>
        <v>0</v>
      </c>
      <c r="AS300">
        <f t="shared" si="234"/>
        <v>0</v>
      </c>
      <c r="AT300">
        <f t="shared" si="235"/>
        <v>0</v>
      </c>
      <c r="AU300">
        <f t="shared" si="236"/>
        <v>0</v>
      </c>
      <c r="AV300">
        <f t="shared" si="237"/>
        <v>0</v>
      </c>
      <c r="AW300">
        <f t="shared" si="192"/>
        <v>0</v>
      </c>
      <c r="AX300">
        <f t="shared" si="238"/>
        <v>0</v>
      </c>
      <c r="AY300">
        <f t="shared" si="239"/>
        <v>0</v>
      </c>
    </row>
    <row r="301" spans="1:51" x14ac:dyDescent="0.35">
      <c r="A301">
        <v>295</v>
      </c>
      <c r="C301">
        <f>MAX(0,Calc!$C$7-SUM(D301:R301))</f>
        <v>750</v>
      </c>
      <c r="D301">
        <f t="shared" si="193"/>
        <v>0</v>
      </c>
      <c r="E301">
        <f t="shared" si="194"/>
        <v>0</v>
      </c>
      <c r="F301">
        <f t="shared" si="195"/>
        <v>0</v>
      </c>
      <c r="G301">
        <f t="shared" si="196"/>
        <v>0</v>
      </c>
      <c r="H301">
        <f t="shared" si="197"/>
        <v>0</v>
      </c>
      <c r="I301">
        <f t="shared" si="198"/>
        <v>0</v>
      </c>
      <c r="J301">
        <f t="shared" si="199"/>
        <v>0</v>
      </c>
      <c r="K301">
        <f t="shared" si="200"/>
        <v>0</v>
      </c>
      <c r="L301">
        <f t="shared" si="201"/>
        <v>0</v>
      </c>
      <c r="M301">
        <f t="shared" si="202"/>
        <v>0</v>
      </c>
      <c r="N301">
        <f t="shared" si="203"/>
        <v>0</v>
      </c>
      <c r="O301">
        <f t="shared" si="204"/>
        <v>0</v>
      </c>
      <c r="P301">
        <f t="shared" si="205"/>
        <v>0</v>
      </c>
      <c r="Q301">
        <f t="shared" si="206"/>
        <v>0</v>
      </c>
      <c r="R301">
        <f t="shared" si="207"/>
        <v>0</v>
      </c>
      <c r="S301">
        <f t="shared" si="208"/>
        <v>0</v>
      </c>
      <c r="T301">
        <f t="shared" si="209"/>
        <v>0</v>
      </c>
      <c r="U301">
        <f t="shared" si="210"/>
        <v>0</v>
      </c>
      <c r="V301">
        <f t="shared" si="211"/>
        <v>0</v>
      </c>
      <c r="W301">
        <f t="shared" si="212"/>
        <v>0</v>
      </c>
      <c r="X301">
        <f t="shared" si="213"/>
        <v>0</v>
      </c>
      <c r="Y301">
        <f t="shared" si="214"/>
        <v>0</v>
      </c>
      <c r="Z301">
        <f t="shared" si="215"/>
        <v>0</v>
      </c>
      <c r="AA301">
        <f t="shared" si="216"/>
        <v>0</v>
      </c>
      <c r="AB301">
        <f t="shared" si="217"/>
        <v>0</v>
      </c>
      <c r="AC301">
        <f t="shared" si="218"/>
        <v>0</v>
      </c>
      <c r="AD301">
        <f t="shared" si="219"/>
        <v>0</v>
      </c>
      <c r="AE301">
        <f t="shared" si="220"/>
        <v>0</v>
      </c>
      <c r="AF301">
        <f t="shared" si="221"/>
        <v>0</v>
      </c>
      <c r="AG301">
        <f t="shared" si="222"/>
        <v>0</v>
      </c>
      <c r="AH301">
        <f t="shared" si="223"/>
        <v>0</v>
      </c>
      <c r="AI301">
        <f t="shared" si="224"/>
        <v>0</v>
      </c>
      <c r="AJ301">
        <f t="shared" si="225"/>
        <v>0</v>
      </c>
      <c r="AK301">
        <f t="shared" si="226"/>
        <v>0</v>
      </c>
      <c r="AL301">
        <f t="shared" si="227"/>
        <v>0</v>
      </c>
      <c r="AM301">
        <f t="shared" si="228"/>
        <v>0</v>
      </c>
      <c r="AN301">
        <f t="shared" si="229"/>
        <v>0</v>
      </c>
      <c r="AO301">
        <f t="shared" si="230"/>
        <v>0</v>
      </c>
      <c r="AP301">
        <f t="shared" si="231"/>
        <v>0</v>
      </c>
      <c r="AQ301">
        <f t="shared" si="232"/>
        <v>0</v>
      </c>
      <c r="AR301">
        <f t="shared" si="233"/>
        <v>0</v>
      </c>
      <c r="AS301">
        <f t="shared" si="234"/>
        <v>0</v>
      </c>
      <c r="AT301">
        <f t="shared" si="235"/>
        <v>0</v>
      </c>
      <c r="AU301">
        <f t="shared" si="236"/>
        <v>0</v>
      </c>
      <c r="AV301">
        <f t="shared" si="237"/>
        <v>0</v>
      </c>
      <c r="AW301">
        <f t="shared" si="192"/>
        <v>0</v>
      </c>
      <c r="AX301">
        <f t="shared" si="238"/>
        <v>0</v>
      </c>
      <c r="AY301">
        <f t="shared" si="239"/>
        <v>0</v>
      </c>
    </row>
    <row r="302" spans="1:51" x14ac:dyDescent="0.35">
      <c r="A302">
        <v>296</v>
      </c>
      <c r="C302">
        <f>MAX(0,Calc!$C$7-SUM(D302:R302))</f>
        <v>750</v>
      </c>
      <c r="D302">
        <f t="shared" si="193"/>
        <v>0</v>
      </c>
      <c r="E302">
        <f t="shared" si="194"/>
        <v>0</v>
      </c>
      <c r="F302">
        <f t="shared" si="195"/>
        <v>0</v>
      </c>
      <c r="G302">
        <f t="shared" si="196"/>
        <v>0</v>
      </c>
      <c r="H302">
        <f t="shared" si="197"/>
        <v>0</v>
      </c>
      <c r="I302">
        <f t="shared" si="198"/>
        <v>0</v>
      </c>
      <c r="J302">
        <f t="shared" si="199"/>
        <v>0</v>
      </c>
      <c r="K302">
        <f t="shared" si="200"/>
        <v>0</v>
      </c>
      <c r="L302">
        <f t="shared" si="201"/>
        <v>0</v>
      </c>
      <c r="M302">
        <f t="shared" si="202"/>
        <v>0</v>
      </c>
      <c r="N302">
        <f t="shared" si="203"/>
        <v>0</v>
      </c>
      <c r="O302">
        <f t="shared" si="204"/>
        <v>0</v>
      </c>
      <c r="P302">
        <f t="shared" si="205"/>
        <v>0</v>
      </c>
      <c r="Q302">
        <f t="shared" si="206"/>
        <v>0</v>
      </c>
      <c r="R302">
        <f t="shared" si="207"/>
        <v>0</v>
      </c>
      <c r="S302">
        <f t="shared" si="208"/>
        <v>0</v>
      </c>
      <c r="T302">
        <f t="shared" si="209"/>
        <v>0</v>
      </c>
      <c r="U302">
        <f t="shared" si="210"/>
        <v>0</v>
      </c>
      <c r="V302">
        <f t="shared" si="211"/>
        <v>0</v>
      </c>
      <c r="W302">
        <f t="shared" si="212"/>
        <v>0</v>
      </c>
      <c r="X302">
        <f t="shared" si="213"/>
        <v>0</v>
      </c>
      <c r="Y302">
        <f t="shared" si="214"/>
        <v>0</v>
      </c>
      <c r="Z302">
        <f t="shared" si="215"/>
        <v>0</v>
      </c>
      <c r="AA302">
        <f t="shared" si="216"/>
        <v>0</v>
      </c>
      <c r="AB302">
        <f t="shared" si="217"/>
        <v>0</v>
      </c>
      <c r="AC302">
        <f t="shared" si="218"/>
        <v>0</v>
      </c>
      <c r="AD302">
        <f t="shared" si="219"/>
        <v>0</v>
      </c>
      <c r="AE302">
        <f t="shared" si="220"/>
        <v>0</v>
      </c>
      <c r="AF302">
        <f t="shared" si="221"/>
        <v>0</v>
      </c>
      <c r="AG302">
        <f t="shared" si="222"/>
        <v>0</v>
      </c>
      <c r="AH302">
        <f t="shared" si="223"/>
        <v>0</v>
      </c>
      <c r="AI302">
        <f t="shared" si="224"/>
        <v>0</v>
      </c>
      <c r="AJ302">
        <f t="shared" si="225"/>
        <v>0</v>
      </c>
      <c r="AK302">
        <f t="shared" si="226"/>
        <v>0</v>
      </c>
      <c r="AL302">
        <f t="shared" si="227"/>
        <v>0</v>
      </c>
      <c r="AM302">
        <f t="shared" si="228"/>
        <v>0</v>
      </c>
      <c r="AN302">
        <f t="shared" si="229"/>
        <v>0</v>
      </c>
      <c r="AO302">
        <f t="shared" si="230"/>
        <v>0</v>
      </c>
      <c r="AP302">
        <f t="shared" si="231"/>
        <v>0</v>
      </c>
      <c r="AQ302">
        <f t="shared" si="232"/>
        <v>0</v>
      </c>
      <c r="AR302">
        <f t="shared" si="233"/>
        <v>0</v>
      </c>
      <c r="AS302">
        <f t="shared" si="234"/>
        <v>0</v>
      </c>
      <c r="AT302">
        <f t="shared" si="235"/>
        <v>0</v>
      </c>
      <c r="AU302">
        <f t="shared" si="236"/>
        <v>0</v>
      </c>
      <c r="AV302">
        <f t="shared" si="237"/>
        <v>0</v>
      </c>
      <c r="AW302">
        <f t="shared" si="192"/>
        <v>0</v>
      </c>
      <c r="AX302">
        <f t="shared" si="238"/>
        <v>0</v>
      </c>
      <c r="AY302">
        <f t="shared" si="239"/>
        <v>0</v>
      </c>
    </row>
    <row r="303" spans="1:51" x14ac:dyDescent="0.35">
      <c r="A303">
        <v>297</v>
      </c>
      <c r="C303">
        <f>MAX(0,Calc!$C$7-SUM(D303:R303))</f>
        <v>750</v>
      </c>
      <c r="D303">
        <f t="shared" si="193"/>
        <v>0</v>
      </c>
      <c r="E303">
        <f t="shared" si="194"/>
        <v>0</v>
      </c>
      <c r="F303">
        <f t="shared" si="195"/>
        <v>0</v>
      </c>
      <c r="G303">
        <f t="shared" si="196"/>
        <v>0</v>
      </c>
      <c r="H303">
        <f t="shared" si="197"/>
        <v>0</v>
      </c>
      <c r="I303">
        <f t="shared" si="198"/>
        <v>0</v>
      </c>
      <c r="J303">
        <f t="shared" si="199"/>
        <v>0</v>
      </c>
      <c r="K303">
        <f t="shared" si="200"/>
        <v>0</v>
      </c>
      <c r="L303">
        <f t="shared" si="201"/>
        <v>0</v>
      </c>
      <c r="M303">
        <f t="shared" si="202"/>
        <v>0</v>
      </c>
      <c r="N303">
        <f t="shared" si="203"/>
        <v>0</v>
      </c>
      <c r="O303">
        <f t="shared" si="204"/>
        <v>0</v>
      </c>
      <c r="P303">
        <f t="shared" si="205"/>
        <v>0</v>
      </c>
      <c r="Q303">
        <f t="shared" si="206"/>
        <v>0</v>
      </c>
      <c r="R303">
        <f t="shared" si="207"/>
        <v>0</v>
      </c>
      <c r="S303">
        <f t="shared" si="208"/>
        <v>0</v>
      </c>
      <c r="T303">
        <f t="shared" si="209"/>
        <v>0</v>
      </c>
      <c r="U303">
        <f t="shared" si="210"/>
        <v>0</v>
      </c>
      <c r="V303">
        <f t="shared" si="211"/>
        <v>0</v>
      </c>
      <c r="W303">
        <f t="shared" si="212"/>
        <v>0</v>
      </c>
      <c r="X303">
        <f t="shared" si="213"/>
        <v>0</v>
      </c>
      <c r="Y303">
        <f t="shared" si="214"/>
        <v>0</v>
      </c>
      <c r="Z303">
        <f t="shared" si="215"/>
        <v>0</v>
      </c>
      <c r="AA303">
        <f t="shared" si="216"/>
        <v>0</v>
      </c>
      <c r="AB303">
        <f t="shared" si="217"/>
        <v>0</v>
      </c>
      <c r="AC303">
        <f t="shared" si="218"/>
        <v>0</v>
      </c>
      <c r="AD303">
        <f t="shared" si="219"/>
        <v>0</v>
      </c>
      <c r="AE303">
        <f t="shared" si="220"/>
        <v>0</v>
      </c>
      <c r="AF303">
        <f t="shared" si="221"/>
        <v>0</v>
      </c>
      <c r="AG303">
        <f t="shared" si="222"/>
        <v>0</v>
      </c>
      <c r="AH303">
        <f t="shared" si="223"/>
        <v>0</v>
      </c>
      <c r="AI303">
        <f t="shared" si="224"/>
        <v>0</v>
      </c>
      <c r="AJ303">
        <f t="shared" si="225"/>
        <v>0</v>
      </c>
      <c r="AK303">
        <f t="shared" si="226"/>
        <v>0</v>
      </c>
      <c r="AL303">
        <f t="shared" si="227"/>
        <v>0</v>
      </c>
      <c r="AM303">
        <f t="shared" si="228"/>
        <v>0</v>
      </c>
      <c r="AN303">
        <f t="shared" si="229"/>
        <v>0</v>
      </c>
      <c r="AO303">
        <f t="shared" si="230"/>
        <v>0</v>
      </c>
      <c r="AP303">
        <f t="shared" si="231"/>
        <v>0</v>
      </c>
      <c r="AQ303">
        <f t="shared" si="232"/>
        <v>0</v>
      </c>
      <c r="AR303">
        <f t="shared" si="233"/>
        <v>0</v>
      </c>
      <c r="AS303">
        <f t="shared" si="234"/>
        <v>0</v>
      </c>
      <c r="AT303">
        <f t="shared" si="235"/>
        <v>0</v>
      </c>
      <c r="AU303">
        <f t="shared" si="236"/>
        <v>0</v>
      </c>
      <c r="AV303">
        <f t="shared" si="237"/>
        <v>0</v>
      </c>
      <c r="AW303">
        <f t="shared" si="192"/>
        <v>0</v>
      </c>
      <c r="AX303">
        <f t="shared" si="238"/>
        <v>0</v>
      </c>
      <c r="AY303">
        <f t="shared" si="239"/>
        <v>0</v>
      </c>
    </row>
    <row r="304" spans="1:51" x14ac:dyDescent="0.35">
      <c r="A304">
        <v>298</v>
      </c>
      <c r="C304">
        <f>MAX(0,Calc!$C$7-SUM(D304:R304))</f>
        <v>750</v>
      </c>
      <c r="D304">
        <f t="shared" si="193"/>
        <v>0</v>
      </c>
      <c r="E304">
        <f t="shared" si="194"/>
        <v>0</v>
      </c>
      <c r="F304">
        <f t="shared" si="195"/>
        <v>0</v>
      </c>
      <c r="G304">
        <f t="shared" si="196"/>
        <v>0</v>
      </c>
      <c r="H304">
        <f t="shared" si="197"/>
        <v>0</v>
      </c>
      <c r="I304">
        <f t="shared" si="198"/>
        <v>0</v>
      </c>
      <c r="J304">
        <f t="shared" si="199"/>
        <v>0</v>
      </c>
      <c r="K304">
        <f t="shared" si="200"/>
        <v>0</v>
      </c>
      <c r="L304">
        <f t="shared" si="201"/>
        <v>0</v>
      </c>
      <c r="M304">
        <f t="shared" si="202"/>
        <v>0</v>
      </c>
      <c r="N304">
        <f t="shared" si="203"/>
        <v>0</v>
      </c>
      <c r="O304">
        <f t="shared" si="204"/>
        <v>0</v>
      </c>
      <c r="P304">
        <f t="shared" si="205"/>
        <v>0</v>
      </c>
      <c r="Q304">
        <f t="shared" si="206"/>
        <v>0</v>
      </c>
      <c r="R304">
        <f t="shared" si="207"/>
        <v>0</v>
      </c>
      <c r="S304">
        <f t="shared" si="208"/>
        <v>0</v>
      </c>
      <c r="T304">
        <f t="shared" si="209"/>
        <v>0</v>
      </c>
      <c r="U304">
        <f t="shared" si="210"/>
        <v>0</v>
      </c>
      <c r="V304">
        <f t="shared" si="211"/>
        <v>0</v>
      </c>
      <c r="W304">
        <f t="shared" si="212"/>
        <v>0</v>
      </c>
      <c r="X304">
        <f t="shared" si="213"/>
        <v>0</v>
      </c>
      <c r="Y304">
        <f t="shared" si="214"/>
        <v>0</v>
      </c>
      <c r="Z304">
        <f t="shared" si="215"/>
        <v>0</v>
      </c>
      <c r="AA304">
        <f t="shared" si="216"/>
        <v>0</v>
      </c>
      <c r="AB304">
        <f t="shared" si="217"/>
        <v>0</v>
      </c>
      <c r="AC304">
        <f t="shared" si="218"/>
        <v>0</v>
      </c>
      <c r="AD304">
        <f t="shared" si="219"/>
        <v>0</v>
      </c>
      <c r="AE304">
        <f t="shared" si="220"/>
        <v>0</v>
      </c>
      <c r="AF304">
        <f t="shared" si="221"/>
        <v>0</v>
      </c>
      <c r="AG304">
        <f t="shared" si="222"/>
        <v>0</v>
      </c>
      <c r="AH304">
        <f t="shared" si="223"/>
        <v>0</v>
      </c>
      <c r="AI304">
        <f t="shared" si="224"/>
        <v>0</v>
      </c>
      <c r="AJ304">
        <f t="shared" si="225"/>
        <v>0</v>
      </c>
      <c r="AK304">
        <f t="shared" si="226"/>
        <v>0</v>
      </c>
      <c r="AL304">
        <f t="shared" si="227"/>
        <v>0</v>
      </c>
      <c r="AM304">
        <f t="shared" si="228"/>
        <v>0</v>
      </c>
      <c r="AN304">
        <f t="shared" si="229"/>
        <v>0</v>
      </c>
      <c r="AO304">
        <f t="shared" si="230"/>
        <v>0</v>
      </c>
      <c r="AP304">
        <f t="shared" si="231"/>
        <v>0</v>
      </c>
      <c r="AQ304">
        <f t="shared" si="232"/>
        <v>0</v>
      </c>
      <c r="AR304">
        <f t="shared" si="233"/>
        <v>0</v>
      </c>
      <c r="AS304">
        <f t="shared" si="234"/>
        <v>0</v>
      </c>
      <c r="AT304">
        <f t="shared" si="235"/>
        <v>0</v>
      </c>
      <c r="AU304">
        <f t="shared" si="236"/>
        <v>0</v>
      </c>
      <c r="AV304">
        <f t="shared" si="237"/>
        <v>0</v>
      </c>
      <c r="AW304">
        <f t="shared" si="192"/>
        <v>0</v>
      </c>
      <c r="AX304">
        <f t="shared" si="238"/>
        <v>0</v>
      </c>
      <c r="AY304">
        <f t="shared" si="239"/>
        <v>0</v>
      </c>
    </row>
    <row r="305" spans="1:51" x14ac:dyDescent="0.35">
      <c r="A305">
        <v>299</v>
      </c>
      <c r="C305">
        <f>MAX(0,Calc!$C$7-SUM(D305:R305))</f>
        <v>750</v>
      </c>
      <c r="D305">
        <f t="shared" si="193"/>
        <v>0</v>
      </c>
      <c r="E305">
        <f t="shared" si="194"/>
        <v>0</v>
      </c>
      <c r="F305">
        <f t="shared" si="195"/>
        <v>0</v>
      </c>
      <c r="G305">
        <f t="shared" si="196"/>
        <v>0</v>
      </c>
      <c r="H305">
        <f t="shared" si="197"/>
        <v>0</v>
      </c>
      <c r="I305">
        <f t="shared" si="198"/>
        <v>0</v>
      </c>
      <c r="J305">
        <f t="shared" si="199"/>
        <v>0</v>
      </c>
      <c r="K305">
        <f t="shared" si="200"/>
        <v>0</v>
      </c>
      <c r="L305">
        <f t="shared" si="201"/>
        <v>0</v>
      </c>
      <c r="M305">
        <f t="shared" si="202"/>
        <v>0</v>
      </c>
      <c r="N305">
        <f t="shared" si="203"/>
        <v>0</v>
      </c>
      <c r="O305">
        <f t="shared" si="204"/>
        <v>0</v>
      </c>
      <c r="P305">
        <f t="shared" si="205"/>
        <v>0</v>
      </c>
      <c r="Q305">
        <f t="shared" si="206"/>
        <v>0</v>
      </c>
      <c r="R305">
        <f t="shared" si="207"/>
        <v>0</v>
      </c>
      <c r="S305">
        <f t="shared" si="208"/>
        <v>0</v>
      </c>
      <c r="T305">
        <f t="shared" si="209"/>
        <v>0</v>
      </c>
      <c r="U305">
        <f t="shared" si="210"/>
        <v>0</v>
      </c>
      <c r="V305">
        <f t="shared" si="211"/>
        <v>0</v>
      </c>
      <c r="W305">
        <f t="shared" si="212"/>
        <v>0</v>
      </c>
      <c r="X305">
        <f t="shared" si="213"/>
        <v>0</v>
      </c>
      <c r="Y305">
        <f t="shared" si="214"/>
        <v>0</v>
      </c>
      <c r="Z305">
        <f t="shared" si="215"/>
        <v>0</v>
      </c>
      <c r="AA305">
        <f t="shared" si="216"/>
        <v>0</v>
      </c>
      <c r="AB305">
        <f t="shared" si="217"/>
        <v>0</v>
      </c>
      <c r="AC305">
        <f t="shared" si="218"/>
        <v>0</v>
      </c>
      <c r="AD305">
        <f t="shared" si="219"/>
        <v>0</v>
      </c>
      <c r="AE305">
        <f t="shared" si="220"/>
        <v>0</v>
      </c>
      <c r="AF305">
        <f t="shared" si="221"/>
        <v>0</v>
      </c>
      <c r="AG305">
        <f t="shared" si="222"/>
        <v>0</v>
      </c>
      <c r="AH305">
        <f t="shared" si="223"/>
        <v>0</v>
      </c>
      <c r="AI305">
        <f t="shared" si="224"/>
        <v>0</v>
      </c>
      <c r="AJ305">
        <f t="shared" si="225"/>
        <v>0</v>
      </c>
      <c r="AK305">
        <f t="shared" si="226"/>
        <v>0</v>
      </c>
      <c r="AL305">
        <f t="shared" si="227"/>
        <v>0</v>
      </c>
      <c r="AM305">
        <f t="shared" si="228"/>
        <v>0</v>
      </c>
      <c r="AN305">
        <f t="shared" si="229"/>
        <v>0</v>
      </c>
      <c r="AO305">
        <f t="shared" si="230"/>
        <v>0</v>
      </c>
      <c r="AP305">
        <f t="shared" si="231"/>
        <v>0</v>
      </c>
      <c r="AQ305">
        <f t="shared" si="232"/>
        <v>0</v>
      </c>
      <c r="AR305">
        <f t="shared" si="233"/>
        <v>0</v>
      </c>
      <c r="AS305">
        <f t="shared" si="234"/>
        <v>0</v>
      </c>
      <c r="AT305">
        <f t="shared" si="235"/>
        <v>0</v>
      </c>
      <c r="AU305">
        <f t="shared" si="236"/>
        <v>0</v>
      </c>
      <c r="AV305">
        <f t="shared" si="237"/>
        <v>0</v>
      </c>
      <c r="AW305">
        <f t="shared" si="192"/>
        <v>0</v>
      </c>
      <c r="AX305">
        <f t="shared" si="238"/>
        <v>0</v>
      </c>
      <c r="AY305">
        <f t="shared" si="239"/>
        <v>0</v>
      </c>
    </row>
    <row r="306" spans="1:51" x14ac:dyDescent="0.35">
      <c r="A306">
        <v>300</v>
      </c>
      <c r="C306">
        <f>MAX(0,Calc!$C$7-SUM(D306:R306))</f>
        <v>750</v>
      </c>
      <c r="D306">
        <f t="shared" si="193"/>
        <v>0</v>
      </c>
      <c r="E306">
        <f t="shared" si="194"/>
        <v>0</v>
      </c>
      <c r="F306">
        <f t="shared" si="195"/>
        <v>0</v>
      </c>
      <c r="G306">
        <f t="shared" si="196"/>
        <v>0</v>
      </c>
      <c r="H306">
        <f t="shared" si="197"/>
        <v>0</v>
      </c>
      <c r="I306">
        <f t="shared" si="198"/>
        <v>0</v>
      </c>
      <c r="J306">
        <f t="shared" si="199"/>
        <v>0</v>
      </c>
      <c r="K306">
        <f t="shared" si="200"/>
        <v>0</v>
      </c>
      <c r="L306">
        <f t="shared" si="201"/>
        <v>0</v>
      </c>
      <c r="M306">
        <f t="shared" si="202"/>
        <v>0</v>
      </c>
      <c r="N306">
        <f t="shared" si="203"/>
        <v>0</v>
      </c>
      <c r="O306">
        <f t="shared" si="204"/>
        <v>0</v>
      </c>
      <c r="P306">
        <f t="shared" si="205"/>
        <v>0</v>
      </c>
      <c r="Q306">
        <f t="shared" si="206"/>
        <v>0</v>
      </c>
      <c r="R306">
        <f t="shared" si="207"/>
        <v>0</v>
      </c>
      <c r="S306">
        <f t="shared" si="208"/>
        <v>0</v>
      </c>
      <c r="T306">
        <f t="shared" si="209"/>
        <v>0</v>
      </c>
      <c r="U306">
        <f t="shared" si="210"/>
        <v>0</v>
      </c>
      <c r="V306">
        <f t="shared" si="211"/>
        <v>0</v>
      </c>
      <c r="W306">
        <f t="shared" si="212"/>
        <v>0</v>
      </c>
      <c r="X306">
        <f t="shared" si="213"/>
        <v>0</v>
      </c>
      <c r="Y306">
        <f t="shared" si="214"/>
        <v>0</v>
      </c>
      <c r="Z306">
        <f t="shared" si="215"/>
        <v>0</v>
      </c>
      <c r="AA306">
        <f t="shared" si="216"/>
        <v>0</v>
      </c>
      <c r="AB306">
        <f t="shared" si="217"/>
        <v>0</v>
      </c>
      <c r="AC306">
        <f t="shared" si="218"/>
        <v>0</v>
      </c>
      <c r="AD306">
        <f t="shared" si="219"/>
        <v>0</v>
      </c>
      <c r="AE306">
        <f t="shared" si="220"/>
        <v>0</v>
      </c>
      <c r="AF306">
        <f t="shared" si="221"/>
        <v>0</v>
      </c>
      <c r="AG306">
        <f t="shared" si="222"/>
        <v>0</v>
      </c>
      <c r="AH306">
        <f t="shared" si="223"/>
        <v>0</v>
      </c>
      <c r="AI306">
        <f t="shared" si="224"/>
        <v>0</v>
      </c>
      <c r="AJ306">
        <f t="shared" si="225"/>
        <v>0</v>
      </c>
      <c r="AK306">
        <f t="shared" si="226"/>
        <v>0</v>
      </c>
      <c r="AL306">
        <f t="shared" si="227"/>
        <v>0</v>
      </c>
      <c r="AM306">
        <f t="shared" si="228"/>
        <v>0</v>
      </c>
      <c r="AN306">
        <f t="shared" si="229"/>
        <v>0</v>
      </c>
      <c r="AO306">
        <f t="shared" si="230"/>
        <v>0</v>
      </c>
      <c r="AP306">
        <f t="shared" si="231"/>
        <v>0</v>
      </c>
      <c r="AQ306">
        <f t="shared" si="232"/>
        <v>0</v>
      </c>
      <c r="AR306">
        <f t="shared" si="233"/>
        <v>0</v>
      </c>
      <c r="AS306">
        <f t="shared" si="234"/>
        <v>0</v>
      </c>
      <c r="AT306">
        <f t="shared" si="235"/>
        <v>0</v>
      </c>
      <c r="AU306">
        <f t="shared" si="236"/>
        <v>0</v>
      </c>
      <c r="AV306">
        <f t="shared" si="237"/>
        <v>0</v>
      </c>
      <c r="AW306">
        <f t="shared" si="192"/>
        <v>0</v>
      </c>
      <c r="AX306">
        <f t="shared" si="238"/>
        <v>0</v>
      </c>
      <c r="AY306">
        <f t="shared" si="239"/>
        <v>0</v>
      </c>
    </row>
    <row r="307" spans="1:51" x14ac:dyDescent="0.35">
      <c r="A307">
        <v>301</v>
      </c>
      <c r="C307">
        <f>MAX(0,Calc!$C$7-SUM(D307:R307))</f>
        <v>750</v>
      </c>
      <c r="D307">
        <f t="shared" si="193"/>
        <v>0</v>
      </c>
      <c r="E307">
        <f t="shared" si="194"/>
        <v>0</v>
      </c>
      <c r="F307">
        <f t="shared" si="195"/>
        <v>0</v>
      </c>
      <c r="G307">
        <f t="shared" si="196"/>
        <v>0</v>
      </c>
      <c r="H307">
        <f t="shared" si="197"/>
        <v>0</v>
      </c>
      <c r="I307">
        <f t="shared" si="198"/>
        <v>0</v>
      </c>
      <c r="J307">
        <f t="shared" si="199"/>
        <v>0</v>
      </c>
      <c r="K307">
        <f t="shared" si="200"/>
        <v>0</v>
      </c>
      <c r="L307">
        <f t="shared" si="201"/>
        <v>0</v>
      </c>
      <c r="M307">
        <f t="shared" si="202"/>
        <v>0</v>
      </c>
      <c r="N307">
        <f t="shared" si="203"/>
        <v>0</v>
      </c>
      <c r="O307">
        <f t="shared" si="204"/>
        <v>0</v>
      </c>
      <c r="P307">
        <f t="shared" si="205"/>
        <v>0</v>
      </c>
      <c r="Q307">
        <f t="shared" si="206"/>
        <v>0</v>
      </c>
      <c r="R307">
        <f t="shared" si="207"/>
        <v>0</v>
      </c>
      <c r="S307">
        <f t="shared" si="208"/>
        <v>0</v>
      </c>
      <c r="T307">
        <f t="shared" si="209"/>
        <v>0</v>
      </c>
      <c r="U307">
        <f t="shared" si="210"/>
        <v>0</v>
      </c>
      <c r="V307">
        <f t="shared" si="211"/>
        <v>0</v>
      </c>
      <c r="W307">
        <f t="shared" si="212"/>
        <v>0</v>
      </c>
      <c r="X307">
        <f t="shared" si="213"/>
        <v>0</v>
      </c>
      <c r="Y307">
        <f t="shared" si="214"/>
        <v>0</v>
      </c>
      <c r="Z307">
        <f t="shared" si="215"/>
        <v>0</v>
      </c>
      <c r="AA307">
        <f t="shared" si="216"/>
        <v>0</v>
      </c>
      <c r="AB307">
        <f t="shared" si="217"/>
        <v>0</v>
      </c>
      <c r="AC307">
        <f t="shared" si="218"/>
        <v>0</v>
      </c>
      <c r="AD307">
        <f t="shared" si="219"/>
        <v>0</v>
      </c>
      <c r="AE307">
        <f t="shared" si="220"/>
        <v>0</v>
      </c>
      <c r="AF307">
        <f t="shared" si="221"/>
        <v>0</v>
      </c>
      <c r="AG307">
        <f t="shared" si="222"/>
        <v>0</v>
      </c>
      <c r="AH307">
        <f t="shared" si="223"/>
        <v>0</v>
      </c>
      <c r="AI307">
        <f t="shared" si="224"/>
        <v>0</v>
      </c>
      <c r="AJ307">
        <f t="shared" si="225"/>
        <v>0</v>
      </c>
      <c r="AK307">
        <f t="shared" si="226"/>
        <v>0</v>
      </c>
      <c r="AL307">
        <f t="shared" si="227"/>
        <v>0</v>
      </c>
      <c r="AM307">
        <f t="shared" si="228"/>
        <v>0</v>
      </c>
      <c r="AN307">
        <f t="shared" si="229"/>
        <v>0</v>
      </c>
      <c r="AO307">
        <f t="shared" si="230"/>
        <v>0</v>
      </c>
      <c r="AP307">
        <f t="shared" si="231"/>
        <v>0</v>
      </c>
      <c r="AQ307">
        <f t="shared" si="232"/>
        <v>0</v>
      </c>
      <c r="AR307">
        <f t="shared" si="233"/>
        <v>0</v>
      </c>
      <c r="AS307">
        <f t="shared" si="234"/>
        <v>0</v>
      </c>
      <c r="AT307">
        <f t="shared" si="235"/>
        <v>0</v>
      </c>
      <c r="AU307">
        <f t="shared" si="236"/>
        <v>0</v>
      </c>
      <c r="AV307">
        <f t="shared" si="237"/>
        <v>0</v>
      </c>
      <c r="AW307">
        <f t="shared" si="192"/>
        <v>0</v>
      </c>
      <c r="AX307">
        <f t="shared" si="238"/>
        <v>0</v>
      </c>
      <c r="AY307">
        <f t="shared" si="239"/>
        <v>0</v>
      </c>
    </row>
    <row r="308" spans="1:51" x14ac:dyDescent="0.35">
      <c r="A308">
        <v>302</v>
      </c>
      <c r="C308">
        <f>MAX(0,Calc!$C$7-SUM(D308:R308))</f>
        <v>750</v>
      </c>
      <c r="D308">
        <f t="shared" si="193"/>
        <v>0</v>
      </c>
      <c r="E308">
        <f t="shared" si="194"/>
        <v>0</v>
      </c>
      <c r="F308">
        <f t="shared" si="195"/>
        <v>0</v>
      </c>
      <c r="G308">
        <f t="shared" si="196"/>
        <v>0</v>
      </c>
      <c r="H308">
        <f t="shared" si="197"/>
        <v>0</v>
      </c>
      <c r="I308">
        <f t="shared" si="198"/>
        <v>0</v>
      </c>
      <c r="J308">
        <f t="shared" si="199"/>
        <v>0</v>
      </c>
      <c r="K308">
        <f t="shared" si="200"/>
        <v>0</v>
      </c>
      <c r="L308">
        <f t="shared" si="201"/>
        <v>0</v>
      </c>
      <c r="M308">
        <f t="shared" si="202"/>
        <v>0</v>
      </c>
      <c r="N308">
        <f t="shared" si="203"/>
        <v>0</v>
      </c>
      <c r="O308">
        <f t="shared" si="204"/>
        <v>0</v>
      </c>
      <c r="P308">
        <f t="shared" si="205"/>
        <v>0</v>
      </c>
      <c r="Q308">
        <f t="shared" si="206"/>
        <v>0</v>
      </c>
      <c r="R308">
        <f t="shared" si="207"/>
        <v>0</v>
      </c>
      <c r="S308">
        <f t="shared" si="208"/>
        <v>0</v>
      </c>
      <c r="T308">
        <f t="shared" si="209"/>
        <v>0</v>
      </c>
      <c r="U308">
        <f t="shared" si="210"/>
        <v>0</v>
      </c>
      <c r="V308">
        <f t="shared" si="211"/>
        <v>0</v>
      </c>
      <c r="W308">
        <f t="shared" si="212"/>
        <v>0</v>
      </c>
      <c r="X308">
        <f t="shared" si="213"/>
        <v>0</v>
      </c>
      <c r="Y308">
        <f t="shared" si="214"/>
        <v>0</v>
      </c>
      <c r="Z308">
        <f t="shared" si="215"/>
        <v>0</v>
      </c>
      <c r="AA308">
        <f t="shared" si="216"/>
        <v>0</v>
      </c>
      <c r="AB308">
        <f t="shared" si="217"/>
        <v>0</v>
      </c>
      <c r="AC308">
        <f t="shared" si="218"/>
        <v>0</v>
      </c>
      <c r="AD308">
        <f t="shared" si="219"/>
        <v>0</v>
      </c>
      <c r="AE308">
        <f t="shared" si="220"/>
        <v>0</v>
      </c>
      <c r="AF308">
        <f t="shared" si="221"/>
        <v>0</v>
      </c>
      <c r="AG308">
        <f t="shared" si="222"/>
        <v>0</v>
      </c>
      <c r="AH308">
        <f t="shared" si="223"/>
        <v>0</v>
      </c>
      <c r="AI308">
        <f t="shared" si="224"/>
        <v>0</v>
      </c>
      <c r="AJ308">
        <f t="shared" si="225"/>
        <v>0</v>
      </c>
      <c r="AK308">
        <f t="shared" si="226"/>
        <v>0</v>
      </c>
      <c r="AL308">
        <f t="shared" si="227"/>
        <v>0</v>
      </c>
      <c r="AM308">
        <f t="shared" si="228"/>
        <v>0</v>
      </c>
      <c r="AN308">
        <f t="shared" si="229"/>
        <v>0</v>
      </c>
      <c r="AO308">
        <f t="shared" si="230"/>
        <v>0</v>
      </c>
      <c r="AP308">
        <f t="shared" si="231"/>
        <v>0</v>
      </c>
      <c r="AQ308">
        <f t="shared" si="232"/>
        <v>0</v>
      </c>
      <c r="AR308">
        <f t="shared" si="233"/>
        <v>0</v>
      </c>
      <c r="AS308">
        <f t="shared" si="234"/>
        <v>0</v>
      </c>
      <c r="AT308">
        <f t="shared" si="235"/>
        <v>0</v>
      </c>
      <c r="AU308">
        <f t="shared" si="236"/>
        <v>0</v>
      </c>
      <c r="AV308">
        <f t="shared" si="237"/>
        <v>0</v>
      </c>
      <c r="AW308">
        <f t="shared" si="192"/>
        <v>0</v>
      </c>
      <c r="AX308">
        <f t="shared" si="238"/>
        <v>0</v>
      </c>
      <c r="AY308">
        <f t="shared" si="239"/>
        <v>0</v>
      </c>
    </row>
    <row r="309" spans="1:51" x14ac:dyDescent="0.35">
      <c r="A309">
        <v>303</v>
      </c>
      <c r="C309">
        <f>MAX(0,Calc!$C$7-SUM(D309:R309))</f>
        <v>750</v>
      </c>
      <c r="D309">
        <f t="shared" si="193"/>
        <v>0</v>
      </c>
      <c r="E309">
        <f t="shared" si="194"/>
        <v>0</v>
      </c>
      <c r="F309">
        <f t="shared" si="195"/>
        <v>0</v>
      </c>
      <c r="G309">
        <f t="shared" si="196"/>
        <v>0</v>
      </c>
      <c r="H309">
        <f t="shared" si="197"/>
        <v>0</v>
      </c>
      <c r="I309">
        <f t="shared" si="198"/>
        <v>0</v>
      </c>
      <c r="J309">
        <f t="shared" si="199"/>
        <v>0</v>
      </c>
      <c r="K309">
        <f t="shared" si="200"/>
        <v>0</v>
      </c>
      <c r="L309">
        <f t="shared" si="201"/>
        <v>0</v>
      </c>
      <c r="M309">
        <f t="shared" si="202"/>
        <v>0</v>
      </c>
      <c r="N309">
        <f t="shared" si="203"/>
        <v>0</v>
      </c>
      <c r="O309">
        <f t="shared" si="204"/>
        <v>0</v>
      </c>
      <c r="P309">
        <f t="shared" si="205"/>
        <v>0</v>
      </c>
      <c r="Q309">
        <f t="shared" si="206"/>
        <v>0</v>
      </c>
      <c r="R309">
        <f t="shared" si="207"/>
        <v>0</v>
      </c>
      <c r="S309">
        <f t="shared" si="208"/>
        <v>0</v>
      </c>
      <c r="T309">
        <f t="shared" si="209"/>
        <v>0</v>
      </c>
      <c r="U309">
        <f t="shared" si="210"/>
        <v>0</v>
      </c>
      <c r="V309">
        <f t="shared" si="211"/>
        <v>0</v>
      </c>
      <c r="W309">
        <f t="shared" si="212"/>
        <v>0</v>
      </c>
      <c r="X309">
        <f t="shared" si="213"/>
        <v>0</v>
      </c>
      <c r="Y309">
        <f t="shared" si="214"/>
        <v>0</v>
      </c>
      <c r="Z309">
        <f t="shared" si="215"/>
        <v>0</v>
      </c>
      <c r="AA309">
        <f t="shared" si="216"/>
        <v>0</v>
      </c>
      <c r="AB309">
        <f t="shared" si="217"/>
        <v>0</v>
      </c>
      <c r="AC309">
        <f t="shared" si="218"/>
        <v>0</v>
      </c>
      <c r="AD309">
        <f t="shared" si="219"/>
        <v>0</v>
      </c>
      <c r="AE309">
        <f t="shared" si="220"/>
        <v>0</v>
      </c>
      <c r="AF309">
        <f t="shared" si="221"/>
        <v>0</v>
      </c>
      <c r="AG309">
        <f t="shared" si="222"/>
        <v>0</v>
      </c>
      <c r="AH309">
        <f t="shared" si="223"/>
        <v>0</v>
      </c>
      <c r="AI309">
        <f t="shared" si="224"/>
        <v>0</v>
      </c>
      <c r="AJ309">
        <f t="shared" si="225"/>
        <v>0</v>
      </c>
      <c r="AK309">
        <f t="shared" si="226"/>
        <v>0</v>
      </c>
      <c r="AL309">
        <f t="shared" si="227"/>
        <v>0</v>
      </c>
      <c r="AM309">
        <f t="shared" si="228"/>
        <v>0</v>
      </c>
      <c r="AN309">
        <f t="shared" si="229"/>
        <v>0</v>
      </c>
      <c r="AO309">
        <f t="shared" si="230"/>
        <v>0</v>
      </c>
      <c r="AP309">
        <f t="shared" si="231"/>
        <v>0</v>
      </c>
      <c r="AQ309">
        <f t="shared" si="232"/>
        <v>0</v>
      </c>
      <c r="AR309">
        <f t="shared" si="233"/>
        <v>0</v>
      </c>
      <c r="AS309">
        <f t="shared" si="234"/>
        <v>0</v>
      </c>
      <c r="AT309">
        <f t="shared" si="235"/>
        <v>0</v>
      </c>
      <c r="AU309">
        <f t="shared" si="236"/>
        <v>0</v>
      </c>
      <c r="AV309">
        <f t="shared" si="237"/>
        <v>0</v>
      </c>
      <c r="AW309">
        <f t="shared" si="192"/>
        <v>0</v>
      </c>
      <c r="AX309">
        <f t="shared" si="238"/>
        <v>0</v>
      </c>
      <c r="AY309">
        <f t="shared" si="239"/>
        <v>0</v>
      </c>
    </row>
    <row r="310" spans="1:51" x14ac:dyDescent="0.35">
      <c r="A310">
        <v>304</v>
      </c>
      <c r="C310">
        <f>MAX(0,Calc!$C$7-SUM(D310:R310))</f>
        <v>750</v>
      </c>
      <c r="D310">
        <f t="shared" si="193"/>
        <v>0</v>
      </c>
      <c r="E310">
        <f t="shared" si="194"/>
        <v>0</v>
      </c>
      <c r="F310">
        <f t="shared" si="195"/>
        <v>0</v>
      </c>
      <c r="G310">
        <f t="shared" si="196"/>
        <v>0</v>
      </c>
      <c r="H310">
        <f t="shared" si="197"/>
        <v>0</v>
      </c>
      <c r="I310">
        <f t="shared" si="198"/>
        <v>0</v>
      </c>
      <c r="J310">
        <f t="shared" si="199"/>
        <v>0</v>
      </c>
      <c r="K310">
        <f t="shared" si="200"/>
        <v>0</v>
      </c>
      <c r="L310">
        <f t="shared" si="201"/>
        <v>0</v>
      </c>
      <c r="M310">
        <f t="shared" si="202"/>
        <v>0</v>
      </c>
      <c r="N310">
        <f t="shared" si="203"/>
        <v>0</v>
      </c>
      <c r="O310">
        <f t="shared" si="204"/>
        <v>0</v>
      </c>
      <c r="P310">
        <f t="shared" si="205"/>
        <v>0</v>
      </c>
      <c r="Q310">
        <f t="shared" si="206"/>
        <v>0</v>
      </c>
      <c r="R310">
        <f t="shared" si="207"/>
        <v>0</v>
      </c>
      <c r="S310">
        <f t="shared" si="208"/>
        <v>0</v>
      </c>
      <c r="T310">
        <f t="shared" si="209"/>
        <v>0</v>
      </c>
      <c r="U310">
        <f t="shared" si="210"/>
        <v>0</v>
      </c>
      <c r="V310">
        <f t="shared" si="211"/>
        <v>0</v>
      </c>
      <c r="W310">
        <f t="shared" si="212"/>
        <v>0</v>
      </c>
      <c r="X310">
        <f t="shared" si="213"/>
        <v>0</v>
      </c>
      <c r="Y310">
        <f t="shared" si="214"/>
        <v>0</v>
      </c>
      <c r="Z310">
        <f t="shared" si="215"/>
        <v>0</v>
      </c>
      <c r="AA310">
        <f t="shared" si="216"/>
        <v>0</v>
      </c>
      <c r="AB310">
        <f t="shared" si="217"/>
        <v>0</v>
      </c>
      <c r="AC310">
        <f t="shared" si="218"/>
        <v>0</v>
      </c>
      <c r="AD310">
        <f t="shared" si="219"/>
        <v>0</v>
      </c>
      <c r="AE310">
        <f t="shared" si="220"/>
        <v>0</v>
      </c>
      <c r="AF310">
        <f t="shared" si="221"/>
        <v>0</v>
      </c>
      <c r="AG310">
        <f t="shared" si="222"/>
        <v>0</v>
      </c>
      <c r="AH310">
        <f t="shared" si="223"/>
        <v>0</v>
      </c>
      <c r="AI310">
        <f t="shared" si="224"/>
        <v>0</v>
      </c>
      <c r="AJ310">
        <f t="shared" si="225"/>
        <v>0</v>
      </c>
      <c r="AK310">
        <f t="shared" si="226"/>
        <v>0</v>
      </c>
      <c r="AL310">
        <f t="shared" si="227"/>
        <v>0</v>
      </c>
      <c r="AM310">
        <f t="shared" si="228"/>
        <v>0</v>
      </c>
      <c r="AN310">
        <f t="shared" si="229"/>
        <v>0</v>
      </c>
      <c r="AO310">
        <f t="shared" si="230"/>
        <v>0</v>
      </c>
      <c r="AP310">
        <f t="shared" si="231"/>
        <v>0</v>
      </c>
      <c r="AQ310">
        <f t="shared" si="232"/>
        <v>0</v>
      </c>
      <c r="AR310">
        <f t="shared" si="233"/>
        <v>0</v>
      </c>
      <c r="AS310">
        <f t="shared" si="234"/>
        <v>0</v>
      </c>
      <c r="AT310">
        <f t="shared" si="235"/>
        <v>0</v>
      </c>
      <c r="AU310">
        <f t="shared" si="236"/>
        <v>0</v>
      </c>
      <c r="AV310">
        <f t="shared" si="237"/>
        <v>0</v>
      </c>
      <c r="AW310">
        <f t="shared" si="192"/>
        <v>0</v>
      </c>
      <c r="AX310">
        <f t="shared" si="238"/>
        <v>0</v>
      </c>
      <c r="AY310">
        <f t="shared" si="239"/>
        <v>0</v>
      </c>
    </row>
    <row r="311" spans="1:51" x14ac:dyDescent="0.35">
      <c r="A311">
        <v>305</v>
      </c>
      <c r="C311">
        <f>MAX(0,Calc!$C$7-SUM(D311:R311))</f>
        <v>750</v>
      </c>
      <c r="D311">
        <f t="shared" si="193"/>
        <v>0</v>
      </c>
      <c r="E311">
        <f t="shared" si="194"/>
        <v>0</v>
      </c>
      <c r="F311">
        <f t="shared" si="195"/>
        <v>0</v>
      </c>
      <c r="G311">
        <f t="shared" si="196"/>
        <v>0</v>
      </c>
      <c r="H311">
        <f t="shared" si="197"/>
        <v>0</v>
      </c>
      <c r="I311">
        <f t="shared" si="198"/>
        <v>0</v>
      </c>
      <c r="J311">
        <f t="shared" si="199"/>
        <v>0</v>
      </c>
      <c r="K311">
        <f t="shared" si="200"/>
        <v>0</v>
      </c>
      <c r="L311">
        <f t="shared" si="201"/>
        <v>0</v>
      </c>
      <c r="M311">
        <f t="shared" si="202"/>
        <v>0</v>
      </c>
      <c r="N311">
        <f t="shared" si="203"/>
        <v>0</v>
      </c>
      <c r="O311">
        <f t="shared" si="204"/>
        <v>0</v>
      </c>
      <c r="P311">
        <f t="shared" si="205"/>
        <v>0</v>
      </c>
      <c r="Q311">
        <f t="shared" si="206"/>
        <v>0</v>
      </c>
      <c r="R311">
        <f t="shared" si="207"/>
        <v>0</v>
      </c>
      <c r="S311">
        <f t="shared" si="208"/>
        <v>0</v>
      </c>
      <c r="T311">
        <f t="shared" si="209"/>
        <v>0</v>
      </c>
      <c r="U311">
        <f t="shared" si="210"/>
        <v>0</v>
      </c>
      <c r="V311">
        <f t="shared" si="211"/>
        <v>0</v>
      </c>
      <c r="W311">
        <f t="shared" si="212"/>
        <v>0</v>
      </c>
      <c r="X311">
        <f t="shared" si="213"/>
        <v>0</v>
      </c>
      <c r="Y311">
        <f t="shared" si="214"/>
        <v>0</v>
      </c>
      <c r="Z311">
        <f t="shared" si="215"/>
        <v>0</v>
      </c>
      <c r="AA311">
        <f t="shared" si="216"/>
        <v>0</v>
      </c>
      <c r="AB311">
        <f t="shared" si="217"/>
        <v>0</v>
      </c>
      <c r="AC311">
        <f t="shared" si="218"/>
        <v>0</v>
      </c>
      <c r="AD311">
        <f t="shared" si="219"/>
        <v>0</v>
      </c>
      <c r="AE311">
        <f t="shared" si="220"/>
        <v>0</v>
      </c>
      <c r="AF311">
        <f t="shared" si="221"/>
        <v>0</v>
      </c>
      <c r="AG311">
        <f t="shared" si="222"/>
        <v>0</v>
      </c>
      <c r="AH311">
        <f t="shared" si="223"/>
        <v>0</v>
      </c>
      <c r="AI311">
        <f t="shared" si="224"/>
        <v>0</v>
      </c>
      <c r="AJ311">
        <f t="shared" si="225"/>
        <v>0</v>
      </c>
      <c r="AK311">
        <f t="shared" si="226"/>
        <v>0</v>
      </c>
      <c r="AL311">
        <f t="shared" si="227"/>
        <v>0</v>
      </c>
      <c r="AM311">
        <f t="shared" si="228"/>
        <v>0</v>
      </c>
      <c r="AN311">
        <f t="shared" si="229"/>
        <v>0</v>
      </c>
      <c r="AO311">
        <f t="shared" si="230"/>
        <v>0</v>
      </c>
      <c r="AP311">
        <f t="shared" si="231"/>
        <v>0</v>
      </c>
      <c r="AQ311">
        <f t="shared" si="232"/>
        <v>0</v>
      </c>
      <c r="AR311">
        <f t="shared" si="233"/>
        <v>0</v>
      </c>
      <c r="AS311">
        <f t="shared" si="234"/>
        <v>0</v>
      </c>
      <c r="AT311">
        <f t="shared" si="235"/>
        <v>0</v>
      </c>
      <c r="AU311">
        <f t="shared" si="236"/>
        <v>0</v>
      </c>
      <c r="AV311">
        <f t="shared" si="237"/>
        <v>0</v>
      </c>
      <c r="AW311">
        <f t="shared" si="192"/>
        <v>0</v>
      </c>
      <c r="AX311">
        <f t="shared" si="238"/>
        <v>0</v>
      </c>
      <c r="AY311">
        <f t="shared" si="239"/>
        <v>0</v>
      </c>
    </row>
    <row r="312" spans="1:51" x14ac:dyDescent="0.35">
      <c r="A312">
        <v>306</v>
      </c>
      <c r="C312">
        <f>MAX(0,Calc!$C$7-SUM(D312:R312))</f>
        <v>750</v>
      </c>
      <c r="D312">
        <f t="shared" si="193"/>
        <v>0</v>
      </c>
      <c r="E312">
        <f t="shared" si="194"/>
        <v>0</v>
      </c>
      <c r="F312">
        <f t="shared" si="195"/>
        <v>0</v>
      </c>
      <c r="G312">
        <f t="shared" si="196"/>
        <v>0</v>
      </c>
      <c r="H312">
        <f t="shared" si="197"/>
        <v>0</v>
      </c>
      <c r="I312">
        <f t="shared" si="198"/>
        <v>0</v>
      </c>
      <c r="J312">
        <f t="shared" si="199"/>
        <v>0</v>
      </c>
      <c r="K312">
        <f t="shared" si="200"/>
        <v>0</v>
      </c>
      <c r="L312">
        <f t="shared" si="201"/>
        <v>0</v>
      </c>
      <c r="M312">
        <f t="shared" si="202"/>
        <v>0</v>
      </c>
      <c r="N312">
        <f t="shared" si="203"/>
        <v>0</v>
      </c>
      <c r="O312">
        <f t="shared" si="204"/>
        <v>0</v>
      </c>
      <c r="P312">
        <f t="shared" si="205"/>
        <v>0</v>
      </c>
      <c r="Q312">
        <f t="shared" si="206"/>
        <v>0</v>
      </c>
      <c r="R312">
        <f t="shared" si="207"/>
        <v>0</v>
      </c>
      <c r="S312">
        <f t="shared" si="208"/>
        <v>0</v>
      </c>
      <c r="T312">
        <f t="shared" si="209"/>
        <v>0</v>
      </c>
      <c r="U312">
        <f t="shared" si="210"/>
        <v>0</v>
      </c>
      <c r="V312">
        <f t="shared" si="211"/>
        <v>0</v>
      </c>
      <c r="W312">
        <f t="shared" si="212"/>
        <v>0</v>
      </c>
      <c r="X312">
        <f t="shared" si="213"/>
        <v>0</v>
      </c>
      <c r="Y312">
        <f t="shared" si="214"/>
        <v>0</v>
      </c>
      <c r="Z312">
        <f t="shared" si="215"/>
        <v>0</v>
      </c>
      <c r="AA312">
        <f t="shared" si="216"/>
        <v>0</v>
      </c>
      <c r="AB312">
        <f t="shared" si="217"/>
        <v>0</v>
      </c>
      <c r="AC312">
        <f t="shared" si="218"/>
        <v>0</v>
      </c>
      <c r="AD312">
        <f t="shared" si="219"/>
        <v>0</v>
      </c>
      <c r="AE312">
        <f t="shared" si="220"/>
        <v>0</v>
      </c>
      <c r="AF312">
        <f t="shared" si="221"/>
        <v>0</v>
      </c>
      <c r="AG312">
        <f t="shared" si="222"/>
        <v>0</v>
      </c>
      <c r="AH312">
        <f t="shared" si="223"/>
        <v>0</v>
      </c>
      <c r="AI312">
        <f t="shared" si="224"/>
        <v>0</v>
      </c>
      <c r="AJ312">
        <f t="shared" si="225"/>
        <v>0</v>
      </c>
      <c r="AK312">
        <f t="shared" si="226"/>
        <v>0</v>
      </c>
      <c r="AL312">
        <f t="shared" si="227"/>
        <v>0</v>
      </c>
      <c r="AM312">
        <f t="shared" si="228"/>
        <v>0</v>
      </c>
      <c r="AN312">
        <f t="shared" si="229"/>
        <v>0</v>
      </c>
      <c r="AO312">
        <f t="shared" si="230"/>
        <v>0</v>
      </c>
      <c r="AP312">
        <f t="shared" si="231"/>
        <v>0</v>
      </c>
      <c r="AQ312">
        <f t="shared" si="232"/>
        <v>0</v>
      </c>
      <c r="AR312">
        <f t="shared" si="233"/>
        <v>0</v>
      </c>
      <c r="AS312">
        <f t="shared" si="234"/>
        <v>0</v>
      </c>
      <c r="AT312">
        <f t="shared" si="235"/>
        <v>0</v>
      </c>
      <c r="AU312">
        <f t="shared" si="236"/>
        <v>0</v>
      </c>
      <c r="AV312">
        <f t="shared" si="237"/>
        <v>0</v>
      </c>
      <c r="AW312">
        <f t="shared" si="192"/>
        <v>0</v>
      </c>
      <c r="AX312">
        <f t="shared" si="238"/>
        <v>0</v>
      </c>
      <c r="AY312">
        <f t="shared" si="239"/>
        <v>0</v>
      </c>
    </row>
    <row r="313" spans="1:51" x14ac:dyDescent="0.35">
      <c r="A313">
        <v>307</v>
      </c>
      <c r="C313">
        <f>MAX(0,Calc!$C$7-SUM(D313:R313))</f>
        <v>750</v>
      </c>
      <c r="D313">
        <f t="shared" si="193"/>
        <v>0</v>
      </c>
      <c r="E313">
        <f t="shared" si="194"/>
        <v>0</v>
      </c>
      <c r="F313">
        <f t="shared" si="195"/>
        <v>0</v>
      </c>
      <c r="G313">
        <f t="shared" si="196"/>
        <v>0</v>
      </c>
      <c r="H313">
        <f t="shared" si="197"/>
        <v>0</v>
      </c>
      <c r="I313">
        <f t="shared" si="198"/>
        <v>0</v>
      </c>
      <c r="J313">
        <f t="shared" si="199"/>
        <v>0</v>
      </c>
      <c r="K313">
        <f t="shared" si="200"/>
        <v>0</v>
      </c>
      <c r="L313">
        <f t="shared" si="201"/>
        <v>0</v>
      </c>
      <c r="M313">
        <f t="shared" si="202"/>
        <v>0</v>
      </c>
      <c r="N313">
        <f t="shared" si="203"/>
        <v>0</v>
      </c>
      <c r="O313">
        <f t="shared" si="204"/>
        <v>0</v>
      </c>
      <c r="P313">
        <f t="shared" si="205"/>
        <v>0</v>
      </c>
      <c r="Q313">
        <f t="shared" si="206"/>
        <v>0</v>
      </c>
      <c r="R313">
        <f t="shared" si="207"/>
        <v>0</v>
      </c>
      <c r="S313">
        <f t="shared" si="208"/>
        <v>0</v>
      </c>
      <c r="T313">
        <f t="shared" si="209"/>
        <v>0</v>
      </c>
      <c r="U313">
        <f t="shared" si="210"/>
        <v>0</v>
      </c>
      <c r="V313">
        <f t="shared" si="211"/>
        <v>0</v>
      </c>
      <c r="W313">
        <f t="shared" si="212"/>
        <v>0</v>
      </c>
      <c r="X313">
        <f t="shared" si="213"/>
        <v>0</v>
      </c>
      <c r="Y313">
        <f t="shared" si="214"/>
        <v>0</v>
      </c>
      <c r="Z313">
        <f t="shared" si="215"/>
        <v>0</v>
      </c>
      <c r="AA313">
        <f t="shared" si="216"/>
        <v>0</v>
      </c>
      <c r="AB313">
        <f t="shared" si="217"/>
        <v>0</v>
      </c>
      <c r="AC313">
        <f t="shared" si="218"/>
        <v>0</v>
      </c>
      <c r="AD313">
        <f t="shared" si="219"/>
        <v>0</v>
      </c>
      <c r="AE313">
        <f t="shared" si="220"/>
        <v>0</v>
      </c>
      <c r="AF313">
        <f t="shared" si="221"/>
        <v>0</v>
      </c>
      <c r="AG313">
        <f t="shared" si="222"/>
        <v>0</v>
      </c>
      <c r="AH313">
        <f t="shared" si="223"/>
        <v>0</v>
      </c>
      <c r="AI313">
        <f t="shared" si="224"/>
        <v>0</v>
      </c>
      <c r="AJ313">
        <f t="shared" si="225"/>
        <v>0</v>
      </c>
      <c r="AK313">
        <f t="shared" si="226"/>
        <v>0</v>
      </c>
      <c r="AL313">
        <f t="shared" si="227"/>
        <v>0</v>
      </c>
      <c r="AM313">
        <f t="shared" si="228"/>
        <v>0</v>
      </c>
      <c r="AN313">
        <f t="shared" si="229"/>
        <v>0</v>
      </c>
      <c r="AO313">
        <f t="shared" si="230"/>
        <v>0</v>
      </c>
      <c r="AP313">
        <f t="shared" si="231"/>
        <v>0</v>
      </c>
      <c r="AQ313">
        <f t="shared" si="232"/>
        <v>0</v>
      </c>
      <c r="AR313">
        <f t="shared" si="233"/>
        <v>0</v>
      </c>
      <c r="AS313">
        <f t="shared" si="234"/>
        <v>0</v>
      </c>
      <c r="AT313">
        <f t="shared" si="235"/>
        <v>0</v>
      </c>
      <c r="AU313">
        <f t="shared" si="236"/>
        <v>0</v>
      </c>
      <c r="AV313">
        <f t="shared" si="237"/>
        <v>0</v>
      </c>
      <c r="AW313">
        <f t="shared" si="192"/>
        <v>0</v>
      </c>
      <c r="AX313">
        <f t="shared" si="238"/>
        <v>0</v>
      </c>
      <c r="AY313">
        <f t="shared" si="239"/>
        <v>0</v>
      </c>
    </row>
    <row r="314" spans="1:51" x14ac:dyDescent="0.35">
      <c r="A314">
        <v>308</v>
      </c>
      <c r="C314">
        <f>MAX(0,Calc!$C$7-SUM(D314:R314))</f>
        <v>750</v>
      </c>
      <c r="D314">
        <f t="shared" si="193"/>
        <v>0</v>
      </c>
      <c r="E314">
        <f t="shared" si="194"/>
        <v>0</v>
      </c>
      <c r="F314">
        <f t="shared" si="195"/>
        <v>0</v>
      </c>
      <c r="G314">
        <f t="shared" si="196"/>
        <v>0</v>
      </c>
      <c r="H314">
        <f t="shared" si="197"/>
        <v>0</v>
      </c>
      <c r="I314">
        <f t="shared" si="198"/>
        <v>0</v>
      </c>
      <c r="J314">
        <f t="shared" si="199"/>
        <v>0</v>
      </c>
      <c r="K314">
        <f t="shared" si="200"/>
        <v>0</v>
      </c>
      <c r="L314">
        <f t="shared" si="201"/>
        <v>0</v>
      </c>
      <c r="M314">
        <f t="shared" si="202"/>
        <v>0</v>
      </c>
      <c r="N314">
        <f t="shared" si="203"/>
        <v>0</v>
      </c>
      <c r="O314">
        <f t="shared" si="204"/>
        <v>0</v>
      </c>
      <c r="P314">
        <f t="shared" si="205"/>
        <v>0</v>
      </c>
      <c r="Q314">
        <f t="shared" si="206"/>
        <v>0</v>
      </c>
      <c r="R314">
        <f t="shared" si="207"/>
        <v>0</v>
      </c>
      <c r="S314">
        <f t="shared" si="208"/>
        <v>0</v>
      </c>
      <c r="T314">
        <f t="shared" si="209"/>
        <v>0</v>
      </c>
      <c r="U314">
        <f t="shared" si="210"/>
        <v>0</v>
      </c>
      <c r="V314">
        <f t="shared" si="211"/>
        <v>0</v>
      </c>
      <c r="W314">
        <f t="shared" si="212"/>
        <v>0</v>
      </c>
      <c r="X314">
        <f t="shared" si="213"/>
        <v>0</v>
      </c>
      <c r="Y314">
        <f t="shared" si="214"/>
        <v>0</v>
      </c>
      <c r="Z314">
        <f t="shared" si="215"/>
        <v>0</v>
      </c>
      <c r="AA314">
        <f t="shared" si="216"/>
        <v>0</v>
      </c>
      <c r="AB314">
        <f t="shared" si="217"/>
        <v>0</v>
      </c>
      <c r="AC314">
        <f t="shared" si="218"/>
        <v>0</v>
      </c>
      <c r="AD314">
        <f t="shared" si="219"/>
        <v>0</v>
      </c>
      <c r="AE314">
        <f t="shared" si="220"/>
        <v>0</v>
      </c>
      <c r="AF314">
        <f t="shared" si="221"/>
        <v>0</v>
      </c>
      <c r="AG314">
        <f t="shared" si="222"/>
        <v>0</v>
      </c>
      <c r="AH314">
        <f t="shared" si="223"/>
        <v>0</v>
      </c>
      <c r="AI314">
        <f t="shared" si="224"/>
        <v>0</v>
      </c>
      <c r="AJ314">
        <f t="shared" si="225"/>
        <v>0</v>
      </c>
      <c r="AK314">
        <f t="shared" si="226"/>
        <v>0</v>
      </c>
      <c r="AL314">
        <f t="shared" si="227"/>
        <v>0</v>
      </c>
      <c r="AM314">
        <f t="shared" si="228"/>
        <v>0</v>
      </c>
      <c r="AN314">
        <f t="shared" si="229"/>
        <v>0</v>
      </c>
      <c r="AO314">
        <f t="shared" si="230"/>
        <v>0</v>
      </c>
      <c r="AP314">
        <f t="shared" si="231"/>
        <v>0</v>
      </c>
      <c r="AQ314">
        <f t="shared" si="232"/>
        <v>0</v>
      </c>
      <c r="AR314">
        <f t="shared" si="233"/>
        <v>0</v>
      </c>
      <c r="AS314">
        <f t="shared" si="234"/>
        <v>0</v>
      </c>
      <c r="AT314">
        <f t="shared" si="235"/>
        <v>0</v>
      </c>
      <c r="AU314">
        <f t="shared" si="236"/>
        <v>0</v>
      </c>
      <c r="AV314">
        <f t="shared" si="237"/>
        <v>0</v>
      </c>
      <c r="AW314">
        <f t="shared" si="192"/>
        <v>0</v>
      </c>
      <c r="AX314">
        <f t="shared" si="238"/>
        <v>0</v>
      </c>
      <c r="AY314">
        <f t="shared" si="239"/>
        <v>0</v>
      </c>
    </row>
    <row r="315" spans="1:51" x14ac:dyDescent="0.35">
      <c r="A315">
        <v>309</v>
      </c>
      <c r="C315">
        <f>MAX(0,Calc!$C$7-SUM(D315:R315))</f>
        <v>750</v>
      </c>
      <c r="D315">
        <f t="shared" si="193"/>
        <v>0</v>
      </c>
      <c r="E315">
        <f t="shared" si="194"/>
        <v>0</v>
      </c>
      <c r="F315">
        <f t="shared" si="195"/>
        <v>0</v>
      </c>
      <c r="G315">
        <f t="shared" si="196"/>
        <v>0</v>
      </c>
      <c r="H315">
        <f t="shared" si="197"/>
        <v>0</v>
      </c>
      <c r="I315">
        <f t="shared" si="198"/>
        <v>0</v>
      </c>
      <c r="J315">
        <f t="shared" si="199"/>
        <v>0</v>
      </c>
      <c r="K315">
        <f t="shared" si="200"/>
        <v>0</v>
      </c>
      <c r="L315">
        <f t="shared" si="201"/>
        <v>0</v>
      </c>
      <c r="M315">
        <f t="shared" si="202"/>
        <v>0</v>
      </c>
      <c r="N315">
        <f t="shared" si="203"/>
        <v>0</v>
      </c>
      <c r="O315">
        <f t="shared" si="204"/>
        <v>0</v>
      </c>
      <c r="P315">
        <f t="shared" si="205"/>
        <v>0</v>
      </c>
      <c r="Q315">
        <f t="shared" si="206"/>
        <v>0</v>
      </c>
      <c r="R315">
        <f t="shared" si="207"/>
        <v>0</v>
      </c>
      <c r="S315">
        <f t="shared" si="208"/>
        <v>0</v>
      </c>
      <c r="T315">
        <f t="shared" si="209"/>
        <v>0</v>
      </c>
      <c r="U315">
        <f t="shared" si="210"/>
        <v>0</v>
      </c>
      <c r="V315">
        <f t="shared" si="211"/>
        <v>0</v>
      </c>
      <c r="W315">
        <f t="shared" si="212"/>
        <v>0</v>
      </c>
      <c r="X315">
        <f t="shared" si="213"/>
        <v>0</v>
      </c>
      <c r="Y315">
        <f t="shared" si="214"/>
        <v>0</v>
      </c>
      <c r="Z315">
        <f t="shared" si="215"/>
        <v>0</v>
      </c>
      <c r="AA315">
        <f t="shared" si="216"/>
        <v>0</v>
      </c>
      <c r="AB315">
        <f t="shared" si="217"/>
        <v>0</v>
      </c>
      <c r="AC315">
        <f t="shared" si="218"/>
        <v>0</v>
      </c>
      <c r="AD315">
        <f t="shared" si="219"/>
        <v>0</v>
      </c>
      <c r="AE315">
        <f t="shared" si="220"/>
        <v>0</v>
      </c>
      <c r="AF315">
        <f t="shared" si="221"/>
        <v>0</v>
      </c>
      <c r="AG315">
        <f t="shared" si="222"/>
        <v>0</v>
      </c>
      <c r="AH315">
        <f t="shared" si="223"/>
        <v>0</v>
      </c>
      <c r="AI315">
        <f t="shared" si="224"/>
        <v>0</v>
      </c>
      <c r="AJ315">
        <f t="shared" si="225"/>
        <v>0</v>
      </c>
      <c r="AK315">
        <f t="shared" si="226"/>
        <v>0</v>
      </c>
      <c r="AL315">
        <f t="shared" si="227"/>
        <v>0</v>
      </c>
      <c r="AM315">
        <f t="shared" si="228"/>
        <v>0</v>
      </c>
      <c r="AN315">
        <f t="shared" si="229"/>
        <v>0</v>
      </c>
      <c r="AO315">
        <f t="shared" si="230"/>
        <v>0</v>
      </c>
      <c r="AP315">
        <f t="shared" si="231"/>
        <v>0</v>
      </c>
      <c r="AQ315">
        <f t="shared" si="232"/>
        <v>0</v>
      </c>
      <c r="AR315">
        <f t="shared" si="233"/>
        <v>0</v>
      </c>
      <c r="AS315">
        <f t="shared" si="234"/>
        <v>0</v>
      </c>
      <c r="AT315">
        <f t="shared" si="235"/>
        <v>0</v>
      </c>
      <c r="AU315">
        <f t="shared" si="236"/>
        <v>0</v>
      </c>
      <c r="AV315">
        <f t="shared" si="237"/>
        <v>0</v>
      </c>
      <c r="AW315">
        <f t="shared" si="192"/>
        <v>0</v>
      </c>
      <c r="AX315">
        <f t="shared" si="238"/>
        <v>0</v>
      </c>
      <c r="AY315">
        <f t="shared" si="239"/>
        <v>0</v>
      </c>
    </row>
    <row r="316" spans="1:51" x14ac:dyDescent="0.35">
      <c r="A316">
        <v>310</v>
      </c>
      <c r="C316">
        <f>MAX(0,Calc!$C$7-SUM(D316:R316))</f>
        <v>750</v>
      </c>
      <c r="D316">
        <f t="shared" si="193"/>
        <v>0</v>
      </c>
      <c r="E316">
        <f t="shared" si="194"/>
        <v>0</v>
      </c>
      <c r="F316">
        <f t="shared" si="195"/>
        <v>0</v>
      </c>
      <c r="G316">
        <f t="shared" si="196"/>
        <v>0</v>
      </c>
      <c r="H316">
        <f t="shared" si="197"/>
        <v>0</v>
      </c>
      <c r="I316">
        <f t="shared" si="198"/>
        <v>0</v>
      </c>
      <c r="J316">
        <f t="shared" si="199"/>
        <v>0</v>
      </c>
      <c r="K316">
        <f t="shared" si="200"/>
        <v>0</v>
      </c>
      <c r="L316">
        <f t="shared" si="201"/>
        <v>0</v>
      </c>
      <c r="M316">
        <f t="shared" si="202"/>
        <v>0</v>
      </c>
      <c r="N316">
        <f t="shared" si="203"/>
        <v>0</v>
      </c>
      <c r="O316">
        <f t="shared" si="204"/>
        <v>0</v>
      </c>
      <c r="P316">
        <f t="shared" si="205"/>
        <v>0</v>
      </c>
      <c r="Q316">
        <f t="shared" si="206"/>
        <v>0</v>
      </c>
      <c r="R316">
        <f t="shared" si="207"/>
        <v>0</v>
      </c>
      <c r="S316">
        <f t="shared" si="208"/>
        <v>0</v>
      </c>
      <c r="T316">
        <f t="shared" si="209"/>
        <v>0</v>
      </c>
      <c r="U316">
        <f t="shared" si="210"/>
        <v>0</v>
      </c>
      <c r="V316">
        <f t="shared" si="211"/>
        <v>0</v>
      </c>
      <c r="W316">
        <f t="shared" si="212"/>
        <v>0</v>
      </c>
      <c r="X316">
        <f t="shared" si="213"/>
        <v>0</v>
      </c>
      <c r="Y316">
        <f t="shared" si="214"/>
        <v>0</v>
      </c>
      <c r="Z316">
        <f t="shared" si="215"/>
        <v>0</v>
      </c>
      <c r="AA316">
        <f t="shared" si="216"/>
        <v>0</v>
      </c>
      <c r="AB316">
        <f t="shared" si="217"/>
        <v>0</v>
      </c>
      <c r="AC316">
        <f t="shared" si="218"/>
        <v>0</v>
      </c>
      <c r="AD316">
        <f t="shared" si="219"/>
        <v>0</v>
      </c>
      <c r="AE316">
        <f t="shared" si="220"/>
        <v>0</v>
      </c>
      <c r="AF316">
        <f t="shared" si="221"/>
        <v>0</v>
      </c>
      <c r="AG316">
        <f t="shared" si="222"/>
        <v>0</v>
      </c>
      <c r="AH316">
        <f t="shared" si="223"/>
        <v>0</v>
      </c>
      <c r="AI316">
        <f t="shared" si="224"/>
        <v>0</v>
      </c>
      <c r="AJ316">
        <f t="shared" si="225"/>
        <v>0</v>
      </c>
      <c r="AK316">
        <f t="shared" si="226"/>
        <v>0</v>
      </c>
      <c r="AL316">
        <f t="shared" si="227"/>
        <v>0</v>
      </c>
      <c r="AM316">
        <f t="shared" si="228"/>
        <v>0</v>
      </c>
      <c r="AN316">
        <f t="shared" si="229"/>
        <v>0</v>
      </c>
      <c r="AO316">
        <f t="shared" si="230"/>
        <v>0</v>
      </c>
      <c r="AP316">
        <f t="shared" si="231"/>
        <v>0</v>
      </c>
      <c r="AQ316">
        <f t="shared" si="232"/>
        <v>0</v>
      </c>
      <c r="AR316">
        <f t="shared" si="233"/>
        <v>0</v>
      </c>
      <c r="AS316">
        <f t="shared" si="234"/>
        <v>0</v>
      </c>
      <c r="AT316">
        <f t="shared" si="235"/>
        <v>0</v>
      </c>
      <c r="AU316">
        <f t="shared" si="236"/>
        <v>0</v>
      </c>
      <c r="AV316">
        <f t="shared" si="237"/>
        <v>0</v>
      </c>
      <c r="AW316">
        <f t="shared" si="192"/>
        <v>0</v>
      </c>
      <c r="AX316">
        <f t="shared" si="238"/>
        <v>0</v>
      </c>
      <c r="AY316">
        <f t="shared" si="239"/>
        <v>0</v>
      </c>
    </row>
    <row r="317" spans="1:51" x14ac:dyDescent="0.35">
      <c r="A317">
        <v>311</v>
      </c>
      <c r="C317">
        <f>MAX(0,Calc!$C$7-SUM(D317:R317))</f>
        <v>750</v>
      </c>
      <c r="D317">
        <f t="shared" si="193"/>
        <v>0</v>
      </c>
      <c r="E317">
        <f t="shared" si="194"/>
        <v>0</v>
      </c>
      <c r="F317">
        <f t="shared" si="195"/>
        <v>0</v>
      </c>
      <c r="G317">
        <f t="shared" si="196"/>
        <v>0</v>
      </c>
      <c r="H317">
        <f t="shared" si="197"/>
        <v>0</v>
      </c>
      <c r="I317">
        <f t="shared" si="198"/>
        <v>0</v>
      </c>
      <c r="J317">
        <f t="shared" si="199"/>
        <v>0</v>
      </c>
      <c r="K317">
        <f t="shared" si="200"/>
        <v>0</v>
      </c>
      <c r="L317">
        <f t="shared" si="201"/>
        <v>0</v>
      </c>
      <c r="M317">
        <f t="shared" si="202"/>
        <v>0</v>
      </c>
      <c r="N317">
        <f t="shared" si="203"/>
        <v>0</v>
      </c>
      <c r="O317">
        <f t="shared" si="204"/>
        <v>0</v>
      </c>
      <c r="P317">
        <f t="shared" si="205"/>
        <v>0</v>
      </c>
      <c r="Q317">
        <f t="shared" si="206"/>
        <v>0</v>
      </c>
      <c r="R317">
        <f t="shared" si="207"/>
        <v>0</v>
      </c>
      <c r="S317">
        <f t="shared" si="208"/>
        <v>0</v>
      </c>
      <c r="T317">
        <f t="shared" si="209"/>
        <v>0</v>
      </c>
      <c r="U317">
        <f t="shared" si="210"/>
        <v>0</v>
      </c>
      <c r="V317">
        <f t="shared" si="211"/>
        <v>0</v>
      </c>
      <c r="W317">
        <f t="shared" si="212"/>
        <v>0</v>
      </c>
      <c r="X317">
        <f t="shared" si="213"/>
        <v>0</v>
      </c>
      <c r="Y317">
        <f t="shared" si="214"/>
        <v>0</v>
      </c>
      <c r="Z317">
        <f t="shared" si="215"/>
        <v>0</v>
      </c>
      <c r="AA317">
        <f t="shared" si="216"/>
        <v>0</v>
      </c>
      <c r="AB317">
        <f t="shared" si="217"/>
        <v>0</v>
      </c>
      <c r="AC317">
        <f t="shared" si="218"/>
        <v>0</v>
      </c>
      <c r="AD317">
        <f t="shared" si="219"/>
        <v>0</v>
      </c>
      <c r="AE317">
        <f t="shared" si="220"/>
        <v>0</v>
      </c>
      <c r="AF317">
        <f t="shared" si="221"/>
        <v>0</v>
      </c>
      <c r="AG317">
        <f t="shared" si="222"/>
        <v>0</v>
      </c>
      <c r="AH317">
        <f t="shared" si="223"/>
        <v>0</v>
      </c>
      <c r="AI317">
        <f t="shared" si="224"/>
        <v>0</v>
      </c>
      <c r="AJ317">
        <f t="shared" si="225"/>
        <v>0</v>
      </c>
      <c r="AK317">
        <f t="shared" si="226"/>
        <v>0</v>
      </c>
      <c r="AL317">
        <f t="shared" si="227"/>
        <v>0</v>
      </c>
      <c r="AM317">
        <f t="shared" si="228"/>
        <v>0</v>
      </c>
      <c r="AN317">
        <f t="shared" si="229"/>
        <v>0</v>
      </c>
      <c r="AO317">
        <f t="shared" si="230"/>
        <v>0</v>
      </c>
      <c r="AP317">
        <f t="shared" si="231"/>
        <v>0</v>
      </c>
      <c r="AQ317">
        <f t="shared" si="232"/>
        <v>0</v>
      </c>
      <c r="AR317">
        <f t="shared" si="233"/>
        <v>0</v>
      </c>
      <c r="AS317">
        <f t="shared" si="234"/>
        <v>0</v>
      </c>
      <c r="AT317">
        <f t="shared" si="235"/>
        <v>0</v>
      </c>
      <c r="AU317">
        <f t="shared" si="236"/>
        <v>0</v>
      </c>
      <c r="AV317">
        <f t="shared" si="237"/>
        <v>0</v>
      </c>
      <c r="AW317">
        <f t="shared" si="192"/>
        <v>0</v>
      </c>
      <c r="AX317">
        <f t="shared" si="238"/>
        <v>0</v>
      </c>
      <c r="AY317">
        <f t="shared" si="239"/>
        <v>0</v>
      </c>
    </row>
    <row r="318" spans="1:51" x14ac:dyDescent="0.35">
      <c r="A318">
        <v>312</v>
      </c>
      <c r="C318">
        <f>MAX(0,Calc!$C$7-SUM(D318:R318))</f>
        <v>750</v>
      </c>
      <c r="D318">
        <f t="shared" si="193"/>
        <v>0</v>
      </c>
      <c r="E318">
        <f t="shared" si="194"/>
        <v>0</v>
      </c>
      <c r="F318">
        <f t="shared" si="195"/>
        <v>0</v>
      </c>
      <c r="G318">
        <f t="shared" si="196"/>
        <v>0</v>
      </c>
      <c r="H318">
        <f t="shared" si="197"/>
        <v>0</v>
      </c>
      <c r="I318">
        <f t="shared" si="198"/>
        <v>0</v>
      </c>
      <c r="J318">
        <f t="shared" si="199"/>
        <v>0</v>
      </c>
      <c r="K318">
        <f t="shared" si="200"/>
        <v>0</v>
      </c>
      <c r="L318">
        <f t="shared" si="201"/>
        <v>0</v>
      </c>
      <c r="M318">
        <f t="shared" si="202"/>
        <v>0</v>
      </c>
      <c r="N318">
        <f t="shared" si="203"/>
        <v>0</v>
      </c>
      <c r="O318">
        <f t="shared" si="204"/>
        <v>0</v>
      </c>
      <c r="P318">
        <f t="shared" si="205"/>
        <v>0</v>
      </c>
      <c r="Q318">
        <f t="shared" si="206"/>
        <v>0</v>
      </c>
      <c r="R318">
        <f t="shared" si="207"/>
        <v>0</v>
      </c>
      <c r="S318">
        <f t="shared" si="208"/>
        <v>0</v>
      </c>
      <c r="T318">
        <f t="shared" si="209"/>
        <v>0</v>
      </c>
      <c r="U318">
        <f t="shared" si="210"/>
        <v>0</v>
      </c>
      <c r="V318">
        <f t="shared" si="211"/>
        <v>0</v>
      </c>
      <c r="W318">
        <f t="shared" si="212"/>
        <v>0</v>
      </c>
      <c r="X318">
        <f t="shared" si="213"/>
        <v>0</v>
      </c>
      <c r="Y318">
        <f t="shared" si="214"/>
        <v>0</v>
      </c>
      <c r="Z318">
        <f t="shared" si="215"/>
        <v>0</v>
      </c>
      <c r="AA318">
        <f t="shared" si="216"/>
        <v>0</v>
      </c>
      <c r="AB318">
        <f t="shared" si="217"/>
        <v>0</v>
      </c>
      <c r="AC318">
        <f t="shared" si="218"/>
        <v>0</v>
      </c>
      <c r="AD318">
        <f t="shared" si="219"/>
        <v>0</v>
      </c>
      <c r="AE318">
        <f t="shared" si="220"/>
        <v>0</v>
      </c>
      <c r="AF318">
        <f t="shared" si="221"/>
        <v>0</v>
      </c>
      <c r="AG318">
        <f t="shared" si="222"/>
        <v>0</v>
      </c>
      <c r="AH318">
        <f t="shared" si="223"/>
        <v>0</v>
      </c>
      <c r="AI318">
        <f t="shared" si="224"/>
        <v>0</v>
      </c>
      <c r="AJ318">
        <f t="shared" si="225"/>
        <v>0</v>
      </c>
      <c r="AK318">
        <f t="shared" si="226"/>
        <v>0</v>
      </c>
      <c r="AL318">
        <f t="shared" si="227"/>
        <v>0</v>
      </c>
      <c r="AM318">
        <f t="shared" si="228"/>
        <v>0</v>
      </c>
      <c r="AN318">
        <f t="shared" si="229"/>
        <v>0</v>
      </c>
      <c r="AO318">
        <f t="shared" si="230"/>
        <v>0</v>
      </c>
      <c r="AP318">
        <f t="shared" si="231"/>
        <v>0</v>
      </c>
      <c r="AQ318">
        <f t="shared" si="232"/>
        <v>0</v>
      </c>
      <c r="AR318">
        <f t="shared" si="233"/>
        <v>0</v>
      </c>
      <c r="AS318">
        <f t="shared" si="234"/>
        <v>0</v>
      </c>
      <c r="AT318">
        <f t="shared" si="235"/>
        <v>0</v>
      </c>
      <c r="AU318">
        <f t="shared" si="236"/>
        <v>0</v>
      </c>
      <c r="AV318">
        <f t="shared" si="237"/>
        <v>0</v>
      </c>
      <c r="AW318">
        <f t="shared" si="192"/>
        <v>0</v>
      </c>
      <c r="AX318">
        <f t="shared" si="238"/>
        <v>0</v>
      </c>
      <c r="AY318">
        <f t="shared" si="239"/>
        <v>0</v>
      </c>
    </row>
    <row r="319" spans="1:51" x14ac:dyDescent="0.35">
      <c r="A319">
        <v>313</v>
      </c>
      <c r="C319">
        <f>MAX(0,Calc!$C$7-SUM(D319:R319))</f>
        <v>750</v>
      </c>
      <c r="D319">
        <f t="shared" si="193"/>
        <v>0</v>
      </c>
      <c r="E319">
        <f t="shared" si="194"/>
        <v>0</v>
      </c>
      <c r="F319">
        <f t="shared" si="195"/>
        <v>0</v>
      </c>
      <c r="G319">
        <f t="shared" si="196"/>
        <v>0</v>
      </c>
      <c r="H319">
        <f t="shared" si="197"/>
        <v>0</v>
      </c>
      <c r="I319">
        <f t="shared" si="198"/>
        <v>0</v>
      </c>
      <c r="J319">
        <f t="shared" si="199"/>
        <v>0</v>
      </c>
      <c r="K319">
        <f t="shared" si="200"/>
        <v>0</v>
      </c>
      <c r="L319">
        <f t="shared" si="201"/>
        <v>0</v>
      </c>
      <c r="M319">
        <f t="shared" si="202"/>
        <v>0</v>
      </c>
      <c r="N319">
        <f t="shared" si="203"/>
        <v>0</v>
      </c>
      <c r="O319">
        <f t="shared" si="204"/>
        <v>0</v>
      </c>
      <c r="P319">
        <f t="shared" si="205"/>
        <v>0</v>
      </c>
      <c r="Q319">
        <f t="shared" si="206"/>
        <v>0</v>
      </c>
      <c r="R319">
        <f t="shared" si="207"/>
        <v>0</v>
      </c>
      <c r="S319">
        <f t="shared" si="208"/>
        <v>0</v>
      </c>
      <c r="T319">
        <f t="shared" si="209"/>
        <v>0</v>
      </c>
      <c r="U319">
        <f t="shared" si="210"/>
        <v>0</v>
      </c>
      <c r="V319">
        <f t="shared" si="211"/>
        <v>0</v>
      </c>
      <c r="W319">
        <f t="shared" si="212"/>
        <v>0</v>
      </c>
      <c r="X319">
        <f t="shared" si="213"/>
        <v>0</v>
      </c>
      <c r="Y319">
        <f t="shared" si="214"/>
        <v>0</v>
      </c>
      <c r="Z319">
        <f t="shared" si="215"/>
        <v>0</v>
      </c>
      <c r="AA319">
        <f t="shared" si="216"/>
        <v>0</v>
      </c>
      <c r="AB319">
        <f t="shared" si="217"/>
        <v>0</v>
      </c>
      <c r="AC319">
        <f t="shared" si="218"/>
        <v>0</v>
      </c>
      <c r="AD319">
        <f t="shared" si="219"/>
        <v>0</v>
      </c>
      <c r="AE319">
        <f t="shared" si="220"/>
        <v>0</v>
      </c>
      <c r="AF319">
        <f t="shared" si="221"/>
        <v>0</v>
      </c>
      <c r="AG319">
        <f t="shared" si="222"/>
        <v>0</v>
      </c>
      <c r="AH319">
        <f t="shared" si="223"/>
        <v>0</v>
      </c>
      <c r="AI319">
        <f t="shared" si="224"/>
        <v>0</v>
      </c>
      <c r="AJ319">
        <f t="shared" si="225"/>
        <v>0</v>
      </c>
      <c r="AK319">
        <f t="shared" si="226"/>
        <v>0</v>
      </c>
      <c r="AL319">
        <f t="shared" si="227"/>
        <v>0</v>
      </c>
      <c r="AM319">
        <f t="shared" si="228"/>
        <v>0</v>
      </c>
      <c r="AN319">
        <f t="shared" si="229"/>
        <v>0</v>
      </c>
      <c r="AO319">
        <f t="shared" si="230"/>
        <v>0</v>
      </c>
      <c r="AP319">
        <f t="shared" si="231"/>
        <v>0</v>
      </c>
      <c r="AQ319">
        <f t="shared" si="232"/>
        <v>0</v>
      </c>
      <c r="AR319">
        <f t="shared" si="233"/>
        <v>0</v>
      </c>
      <c r="AS319">
        <f t="shared" si="234"/>
        <v>0</v>
      </c>
      <c r="AT319">
        <f t="shared" si="235"/>
        <v>0</v>
      </c>
      <c r="AU319">
        <f t="shared" si="236"/>
        <v>0</v>
      </c>
      <c r="AV319">
        <f t="shared" si="237"/>
        <v>0</v>
      </c>
      <c r="AW319">
        <f t="shared" si="192"/>
        <v>0</v>
      </c>
      <c r="AX319">
        <f t="shared" si="238"/>
        <v>0</v>
      </c>
      <c r="AY319">
        <f t="shared" si="239"/>
        <v>0</v>
      </c>
    </row>
    <row r="320" spans="1:51" x14ac:dyDescent="0.35">
      <c r="A320">
        <v>314</v>
      </c>
      <c r="C320">
        <f>MAX(0,Calc!$C$7-SUM(D320:R320))</f>
        <v>750</v>
      </c>
      <c r="D320">
        <f t="shared" si="193"/>
        <v>0</v>
      </c>
      <c r="E320">
        <f t="shared" si="194"/>
        <v>0</v>
      </c>
      <c r="F320">
        <f t="shared" si="195"/>
        <v>0</v>
      </c>
      <c r="G320">
        <f t="shared" si="196"/>
        <v>0</v>
      </c>
      <c r="H320">
        <f t="shared" si="197"/>
        <v>0</v>
      </c>
      <c r="I320">
        <f t="shared" si="198"/>
        <v>0</v>
      </c>
      <c r="J320">
        <f t="shared" si="199"/>
        <v>0</v>
      </c>
      <c r="K320">
        <f t="shared" si="200"/>
        <v>0</v>
      </c>
      <c r="L320">
        <f t="shared" si="201"/>
        <v>0</v>
      </c>
      <c r="M320">
        <f t="shared" si="202"/>
        <v>0</v>
      </c>
      <c r="N320">
        <f t="shared" si="203"/>
        <v>0</v>
      </c>
      <c r="O320">
        <f t="shared" si="204"/>
        <v>0</v>
      </c>
      <c r="P320">
        <f t="shared" si="205"/>
        <v>0</v>
      </c>
      <c r="Q320">
        <f t="shared" si="206"/>
        <v>0</v>
      </c>
      <c r="R320">
        <f t="shared" si="207"/>
        <v>0</v>
      </c>
      <c r="S320">
        <f t="shared" si="208"/>
        <v>0</v>
      </c>
      <c r="T320">
        <f t="shared" si="209"/>
        <v>0</v>
      </c>
      <c r="U320">
        <f t="shared" si="210"/>
        <v>0</v>
      </c>
      <c r="V320">
        <f t="shared" si="211"/>
        <v>0</v>
      </c>
      <c r="W320">
        <f t="shared" si="212"/>
        <v>0</v>
      </c>
      <c r="X320">
        <f t="shared" si="213"/>
        <v>0</v>
      </c>
      <c r="Y320">
        <f t="shared" si="214"/>
        <v>0</v>
      </c>
      <c r="Z320">
        <f t="shared" si="215"/>
        <v>0</v>
      </c>
      <c r="AA320">
        <f t="shared" si="216"/>
        <v>0</v>
      </c>
      <c r="AB320">
        <f t="shared" si="217"/>
        <v>0</v>
      </c>
      <c r="AC320">
        <f t="shared" si="218"/>
        <v>0</v>
      </c>
      <c r="AD320">
        <f t="shared" si="219"/>
        <v>0</v>
      </c>
      <c r="AE320">
        <f t="shared" si="220"/>
        <v>0</v>
      </c>
      <c r="AF320">
        <f t="shared" si="221"/>
        <v>0</v>
      </c>
      <c r="AG320">
        <f t="shared" si="222"/>
        <v>0</v>
      </c>
      <c r="AH320">
        <f t="shared" si="223"/>
        <v>0</v>
      </c>
      <c r="AI320">
        <f t="shared" si="224"/>
        <v>0</v>
      </c>
      <c r="AJ320">
        <f t="shared" si="225"/>
        <v>0</v>
      </c>
      <c r="AK320">
        <f t="shared" si="226"/>
        <v>0</v>
      </c>
      <c r="AL320">
        <f t="shared" si="227"/>
        <v>0</v>
      </c>
      <c r="AM320">
        <f t="shared" si="228"/>
        <v>0</v>
      </c>
      <c r="AN320">
        <f t="shared" si="229"/>
        <v>0</v>
      </c>
      <c r="AO320">
        <f t="shared" si="230"/>
        <v>0</v>
      </c>
      <c r="AP320">
        <f t="shared" si="231"/>
        <v>0</v>
      </c>
      <c r="AQ320">
        <f t="shared" si="232"/>
        <v>0</v>
      </c>
      <c r="AR320">
        <f t="shared" si="233"/>
        <v>0</v>
      </c>
      <c r="AS320">
        <f t="shared" si="234"/>
        <v>0</v>
      </c>
      <c r="AT320">
        <f t="shared" si="235"/>
        <v>0</v>
      </c>
      <c r="AU320">
        <f t="shared" si="236"/>
        <v>0</v>
      </c>
      <c r="AV320">
        <f t="shared" si="237"/>
        <v>0</v>
      </c>
      <c r="AW320">
        <f t="shared" si="192"/>
        <v>0</v>
      </c>
      <c r="AX320">
        <f t="shared" si="238"/>
        <v>0</v>
      </c>
      <c r="AY320">
        <f t="shared" si="239"/>
        <v>0</v>
      </c>
    </row>
    <row r="321" spans="1:51" x14ac:dyDescent="0.35">
      <c r="A321">
        <v>315</v>
      </c>
      <c r="C321">
        <f>MAX(0,Calc!$C$7-SUM(D321:R321))</f>
        <v>750</v>
      </c>
      <c r="D321">
        <f t="shared" si="193"/>
        <v>0</v>
      </c>
      <c r="E321">
        <f t="shared" si="194"/>
        <v>0</v>
      </c>
      <c r="F321">
        <f t="shared" si="195"/>
        <v>0</v>
      </c>
      <c r="G321">
        <f t="shared" si="196"/>
        <v>0</v>
      </c>
      <c r="H321">
        <f t="shared" si="197"/>
        <v>0</v>
      </c>
      <c r="I321">
        <f t="shared" si="198"/>
        <v>0</v>
      </c>
      <c r="J321">
        <f t="shared" si="199"/>
        <v>0</v>
      </c>
      <c r="K321">
        <f t="shared" si="200"/>
        <v>0</v>
      </c>
      <c r="L321">
        <f t="shared" si="201"/>
        <v>0</v>
      </c>
      <c r="M321">
        <f t="shared" si="202"/>
        <v>0</v>
      </c>
      <c r="N321">
        <f t="shared" si="203"/>
        <v>0</v>
      </c>
      <c r="O321">
        <f t="shared" si="204"/>
        <v>0</v>
      </c>
      <c r="P321">
        <f t="shared" si="205"/>
        <v>0</v>
      </c>
      <c r="Q321">
        <f t="shared" si="206"/>
        <v>0</v>
      </c>
      <c r="R321">
        <f t="shared" si="207"/>
        <v>0</v>
      </c>
      <c r="S321">
        <f t="shared" si="208"/>
        <v>0</v>
      </c>
      <c r="T321">
        <f t="shared" si="209"/>
        <v>0</v>
      </c>
      <c r="U321">
        <f t="shared" si="210"/>
        <v>0</v>
      </c>
      <c r="V321">
        <f t="shared" si="211"/>
        <v>0</v>
      </c>
      <c r="W321">
        <f t="shared" si="212"/>
        <v>0</v>
      </c>
      <c r="X321">
        <f t="shared" si="213"/>
        <v>0</v>
      </c>
      <c r="Y321">
        <f t="shared" si="214"/>
        <v>0</v>
      </c>
      <c r="Z321">
        <f t="shared" si="215"/>
        <v>0</v>
      </c>
      <c r="AA321">
        <f t="shared" si="216"/>
        <v>0</v>
      </c>
      <c r="AB321">
        <f t="shared" si="217"/>
        <v>0</v>
      </c>
      <c r="AC321">
        <f t="shared" si="218"/>
        <v>0</v>
      </c>
      <c r="AD321">
        <f t="shared" si="219"/>
        <v>0</v>
      </c>
      <c r="AE321">
        <f t="shared" si="220"/>
        <v>0</v>
      </c>
      <c r="AF321">
        <f t="shared" si="221"/>
        <v>0</v>
      </c>
      <c r="AG321">
        <f t="shared" si="222"/>
        <v>0</v>
      </c>
      <c r="AH321">
        <f t="shared" si="223"/>
        <v>0</v>
      </c>
      <c r="AI321">
        <f t="shared" si="224"/>
        <v>0</v>
      </c>
      <c r="AJ321">
        <f t="shared" si="225"/>
        <v>0</v>
      </c>
      <c r="AK321">
        <f t="shared" si="226"/>
        <v>0</v>
      </c>
      <c r="AL321">
        <f t="shared" si="227"/>
        <v>0</v>
      </c>
      <c r="AM321">
        <f t="shared" si="228"/>
        <v>0</v>
      </c>
      <c r="AN321">
        <f t="shared" si="229"/>
        <v>0</v>
      </c>
      <c r="AO321">
        <f t="shared" si="230"/>
        <v>0</v>
      </c>
      <c r="AP321">
        <f t="shared" si="231"/>
        <v>0</v>
      </c>
      <c r="AQ321">
        <f t="shared" si="232"/>
        <v>0</v>
      </c>
      <c r="AR321">
        <f t="shared" si="233"/>
        <v>0</v>
      </c>
      <c r="AS321">
        <f t="shared" si="234"/>
        <v>0</v>
      </c>
      <c r="AT321">
        <f t="shared" si="235"/>
        <v>0</v>
      </c>
      <c r="AU321">
        <f t="shared" si="236"/>
        <v>0</v>
      </c>
      <c r="AV321">
        <f t="shared" si="237"/>
        <v>0</v>
      </c>
      <c r="AW321">
        <f t="shared" si="192"/>
        <v>0</v>
      </c>
      <c r="AX321">
        <f t="shared" si="238"/>
        <v>0</v>
      </c>
      <c r="AY321">
        <f t="shared" si="239"/>
        <v>0</v>
      </c>
    </row>
    <row r="322" spans="1:51" x14ac:dyDescent="0.35">
      <c r="A322">
        <v>316</v>
      </c>
      <c r="C322">
        <f>MAX(0,Calc!$C$7-SUM(D322:R322))</f>
        <v>750</v>
      </c>
      <c r="D322">
        <f t="shared" si="193"/>
        <v>0</v>
      </c>
      <c r="E322">
        <f t="shared" si="194"/>
        <v>0</v>
      </c>
      <c r="F322">
        <f t="shared" si="195"/>
        <v>0</v>
      </c>
      <c r="G322">
        <f t="shared" si="196"/>
        <v>0</v>
      </c>
      <c r="H322">
        <f t="shared" si="197"/>
        <v>0</v>
      </c>
      <c r="I322">
        <f t="shared" si="198"/>
        <v>0</v>
      </c>
      <c r="J322">
        <f t="shared" si="199"/>
        <v>0</v>
      </c>
      <c r="K322">
        <f t="shared" si="200"/>
        <v>0</v>
      </c>
      <c r="L322">
        <f t="shared" si="201"/>
        <v>0</v>
      </c>
      <c r="M322">
        <f t="shared" si="202"/>
        <v>0</v>
      </c>
      <c r="N322">
        <f t="shared" si="203"/>
        <v>0</v>
      </c>
      <c r="O322">
        <f t="shared" si="204"/>
        <v>0</v>
      </c>
      <c r="P322">
        <f t="shared" si="205"/>
        <v>0</v>
      </c>
      <c r="Q322">
        <f t="shared" si="206"/>
        <v>0</v>
      </c>
      <c r="R322">
        <f t="shared" si="207"/>
        <v>0</v>
      </c>
      <c r="S322">
        <f t="shared" si="208"/>
        <v>0</v>
      </c>
      <c r="T322">
        <f t="shared" si="209"/>
        <v>0</v>
      </c>
      <c r="U322">
        <f t="shared" si="210"/>
        <v>0</v>
      </c>
      <c r="V322">
        <f t="shared" si="211"/>
        <v>0</v>
      </c>
      <c r="W322">
        <f t="shared" si="212"/>
        <v>0</v>
      </c>
      <c r="X322">
        <f t="shared" si="213"/>
        <v>0</v>
      </c>
      <c r="Y322">
        <f t="shared" si="214"/>
        <v>0</v>
      </c>
      <c r="Z322">
        <f t="shared" si="215"/>
        <v>0</v>
      </c>
      <c r="AA322">
        <f t="shared" si="216"/>
        <v>0</v>
      </c>
      <c r="AB322">
        <f t="shared" si="217"/>
        <v>0</v>
      </c>
      <c r="AC322">
        <f t="shared" si="218"/>
        <v>0</v>
      </c>
      <c r="AD322">
        <f t="shared" si="219"/>
        <v>0</v>
      </c>
      <c r="AE322">
        <f t="shared" si="220"/>
        <v>0</v>
      </c>
      <c r="AF322">
        <f t="shared" si="221"/>
        <v>0</v>
      </c>
      <c r="AG322">
        <f t="shared" si="222"/>
        <v>0</v>
      </c>
      <c r="AH322">
        <f t="shared" si="223"/>
        <v>0</v>
      </c>
      <c r="AI322">
        <f t="shared" si="224"/>
        <v>0</v>
      </c>
      <c r="AJ322">
        <f t="shared" si="225"/>
        <v>0</v>
      </c>
      <c r="AK322">
        <f t="shared" si="226"/>
        <v>0</v>
      </c>
      <c r="AL322">
        <f t="shared" si="227"/>
        <v>0</v>
      </c>
      <c r="AM322">
        <f t="shared" si="228"/>
        <v>0</v>
      </c>
      <c r="AN322">
        <f t="shared" si="229"/>
        <v>0</v>
      </c>
      <c r="AO322">
        <f t="shared" si="230"/>
        <v>0</v>
      </c>
      <c r="AP322">
        <f t="shared" si="231"/>
        <v>0</v>
      </c>
      <c r="AQ322">
        <f t="shared" si="232"/>
        <v>0</v>
      </c>
      <c r="AR322">
        <f t="shared" si="233"/>
        <v>0</v>
      </c>
      <c r="AS322">
        <f t="shared" si="234"/>
        <v>0</v>
      </c>
      <c r="AT322">
        <f t="shared" si="235"/>
        <v>0</v>
      </c>
      <c r="AU322">
        <f t="shared" si="236"/>
        <v>0</v>
      </c>
      <c r="AV322">
        <f t="shared" si="237"/>
        <v>0</v>
      </c>
      <c r="AW322">
        <f t="shared" si="192"/>
        <v>0</v>
      </c>
      <c r="AX322">
        <f t="shared" si="238"/>
        <v>0</v>
      </c>
      <c r="AY322">
        <f t="shared" si="239"/>
        <v>0</v>
      </c>
    </row>
    <row r="323" spans="1:51" x14ac:dyDescent="0.35">
      <c r="A323">
        <v>317</v>
      </c>
      <c r="C323">
        <f>MAX(0,Calc!$C$7-SUM(D323:R323))</f>
        <v>750</v>
      </c>
      <c r="D323">
        <f t="shared" si="193"/>
        <v>0</v>
      </c>
      <c r="E323">
        <f t="shared" si="194"/>
        <v>0</v>
      </c>
      <c r="F323">
        <f t="shared" si="195"/>
        <v>0</v>
      </c>
      <c r="G323">
        <f t="shared" si="196"/>
        <v>0</v>
      </c>
      <c r="H323">
        <f t="shared" si="197"/>
        <v>0</v>
      </c>
      <c r="I323">
        <f t="shared" si="198"/>
        <v>0</v>
      </c>
      <c r="J323">
        <f t="shared" si="199"/>
        <v>0</v>
      </c>
      <c r="K323">
        <f t="shared" si="200"/>
        <v>0</v>
      </c>
      <c r="L323">
        <f t="shared" si="201"/>
        <v>0</v>
      </c>
      <c r="M323">
        <f t="shared" si="202"/>
        <v>0</v>
      </c>
      <c r="N323">
        <f t="shared" si="203"/>
        <v>0</v>
      </c>
      <c r="O323">
        <f t="shared" si="204"/>
        <v>0</v>
      </c>
      <c r="P323">
        <f t="shared" si="205"/>
        <v>0</v>
      </c>
      <c r="Q323">
        <f t="shared" si="206"/>
        <v>0</v>
      </c>
      <c r="R323">
        <f t="shared" si="207"/>
        <v>0</v>
      </c>
      <c r="S323">
        <f t="shared" si="208"/>
        <v>0</v>
      </c>
      <c r="T323">
        <f t="shared" si="209"/>
        <v>0</v>
      </c>
      <c r="U323">
        <f t="shared" si="210"/>
        <v>0</v>
      </c>
      <c r="V323">
        <f t="shared" si="211"/>
        <v>0</v>
      </c>
      <c r="W323">
        <f t="shared" si="212"/>
        <v>0</v>
      </c>
      <c r="X323">
        <f t="shared" si="213"/>
        <v>0</v>
      </c>
      <c r="Y323">
        <f t="shared" si="214"/>
        <v>0</v>
      </c>
      <c r="Z323">
        <f t="shared" si="215"/>
        <v>0</v>
      </c>
      <c r="AA323">
        <f t="shared" si="216"/>
        <v>0</v>
      </c>
      <c r="AB323">
        <f t="shared" si="217"/>
        <v>0</v>
      </c>
      <c r="AC323">
        <f t="shared" si="218"/>
        <v>0</v>
      </c>
      <c r="AD323">
        <f t="shared" si="219"/>
        <v>0</v>
      </c>
      <c r="AE323">
        <f t="shared" si="220"/>
        <v>0</v>
      </c>
      <c r="AF323">
        <f t="shared" si="221"/>
        <v>0</v>
      </c>
      <c r="AG323">
        <f t="shared" si="222"/>
        <v>0</v>
      </c>
      <c r="AH323">
        <f t="shared" si="223"/>
        <v>0</v>
      </c>
      <c r="AI323">
        <f t="shared" si="224"/>
        <v>0</v>
      </c>
      <c r="AJ323">
        <f t="shared" si="225"/>
        <v>0</v>
      </c>
      <c r="AK323">
        <f t="shared" si="226"/>
        <v>0</v>
      </c>
      <c r="AL323">
        <f t="shared" si="227"/>
        <v>0</v>
      </c>
      <c r="AM323">
        <f t="shared" si="228"/>
        <v>0</v>
      </c>
      <c r="AN323">
        <f t="shared" si="229"/>
        <v>0</v>
      </c>
      <c r="AO323">
        <f t="shared" si="230"/>
        <v>0</v>
      </c>
      <c r="AP323">
        <f t="shared" si="231"/>
        <v>0</v>
      </c>
      <c r="AQ323">
        <f t="shared" si="232"/>
        <v>0</v>
      </c>
      <c r="AR323">
        <f t="shared" si="233"/>
        <v>0</v>
      </c>
      <c r="AS323">
        <f t="shared" si="234"/>
        <v>0</v>
      </c>
      <c r="AT323">
        <f t="shared" si="235"/>
        <v>0</v>
      </c>
      <c r="AU323">
        <f t="shared" si="236"/>
        <v>0</v>
      </c>
      <c r="AV323">
        <f t="shared" si="237"/>
        <v>0</v>
      </c>
      <c r="AW323">
        <f t="shared" si="192"/>
        <v>0</v>
      </c>
      <c r="AX323">
        <f t="shared" si="238"/>
        <v>0</v>
      </c>
      <c r="AY323">
        <f t="shared" si="239"/>
        <v>0</v>
      </c>
    </row>
    <row r="324" spans="1:51" x14ac:dyDescent="0.35">
      <c r="A324">
        <v>318</v>
      </c>
      <c r="C324">
        <f>MAX(0,Calc!$C$7-SUM(D324:R324))</f>
        <v>750</v>
      </c>
      <c r="D324">
        <f t="shared" si="193"/>
        <v>0</v>
      </c>
      <c r="E324">
        <f t="shared" si="194"/>
        <v>0</v>
      </c>
      <c r="F324">
        <f t="shared" si="195"/>
        <v>0</v>
      </c>
      <c r="G324">
        <f t="shared" si="196"/>
        <v>0</v>
      </c>
      <c r="H324">
        <f t="shared" si="197"/>
        <v>0</v>
      </c>
      <c r="I324">
        <f t="shared" si="198"/>
        <v>0</v>
      </c>
      <c r="J324">
        <f t="shared" si="199"/>
        <v>0</v>
      </c>
      <c r="K324">
        <f t="shared" si="200"/>
        <v>0</v>
      </c>
      <c r="L324">
        <f t="shared" si="201"/>
        <v>0</v>
      </c>
      <c r="M324">
        <f t="shared" si="202"/>
        <v>0</v>
      </c>
      <c r="N324">
        <f t="shared" si="203"/>
        <v>0</v>
      </c>
      <c r="O324">
        <f t="shared" si="204"/>
        <v>0</v>
      </c>
      <c r="P324">
        <f t="shared" si="205"/>
        <v>0</v>
      </c>
      <c r="Q324">
        <f t="shared" si="206"/>
        <v>0</v>
      </c>
      <c r="R324">
        <f t="shared" si="207"/>
        <v>0</v>
      </c>
      <c r="S324">
        <f t="shared" si="208"/>
        <v>0</v>
      </c>
      <c r="T324">
        <f t="shared" si="209"/>
        <v>0</v>
      </c>
      <c r="U324">
        <f t="shared" si="210"/>
        <v>0</v>
      </c>
      <c r="V324">
        <f t="shared" si="211"/>
        <v>0</v>
      </c>
      <c r="W324">
        <f t="shared" si="212"/>
        <v>0</v>
      </c>
      <c r="X324">
        <f t="shared" si="213"/>
        <v>0</v>
      </c>
      <c r="Y324">
        <f t="shared" si="214"/>
        <v>0</v>
      </c>
      <c r="Z324">
        <f t="shared" si="215"/>
        <v>0</v>
      </c>
      <c r="AA324">
        <f t="shared" si="216"/>
        <v>0</v>
      </c>
      <c r="AB324">
        <f t="shared" si="217"/>
        <v>0</v>
      </c>
      <c r="AC324">
        <f t="shared" si="218"/>
        <v>0</v>
      </c>
      <c r="AD324">
        <f t="shared" si="219"/>
        <v>0</v>
      </c>
      <c r="AE324">
        <f t="shared" si="220"/>
        <v>0</v>
      </c>
      <c r="AF324">
        <f t="shared" si="221"/>
        <v>0</v>
      </c>
      <c r="AG324">
        <f t="shared" si="222"/>
        <v>0</v>
      </c>
      <c r="AH324">
        <f t="shared" si="223"/>
        <v>0</v>
      </c>
      <c r="AI324">
        <f t="shared" si="224"/>
        <v>0</v>
      </c>
      <c r="AJ324">
        <f t="shared" si="225"/>
        <v>0</v>
      </c>
      <c r="AK324">
        <f t="shared" si="226"/>
        <v>0</v>
      </c>
      <c r="AL324">
        <f t="shared" si="227"/>
        <v>0</v>
      </c>
      <c r="AM324">
        <f t="shared" si="228"/>
        <v>0</v>
      </c>
      <c r="AN324">
        <f t="shared" si="229"/>
        <v>0</v>
      </c>
      <c r="AO324">
        <f t="shared" si="230"/>
        <v>0</v>
      </c>
      <c r="AP324">
        <f t="shared" si="231"/>
        <v>0</v>
      </c>
      <c r="AQ324">
        <f t="shared" si="232"/>
        <v>0</v>
      </c>
      <c r="AR324">
        <f t="shared" si="233"/>
        <v>0</v>
      </c>
      <c r="AS324">
        <f t="shared" si="234"/>
        <v>0</v>
      </c>
      <c r="AT324">
        <f t="shared" si="235"/>
        <v>0</v>
      </c>
      <c r="AU324">
        <f t="shared" si="236"/>
        <v>0</v>
      </c>
      <c r="AV324">
        <f t="shared" si="237"/>
        <v>0</v>
      </c>
      <c r="AW324">
        <f t="shared" si="192"/>
        <v>0</v>
      </c>
      <c r="AX324">
        <f t="shared" si="238"/>
        <v>0</v>
      </c>
      <c r="AY324">
        <f t="shared" si="239"/>
        <v>0</v>
      </c>
    </row>
    <row r="325" spans="1:51" x14ac:dyDescent="0.35">
      <c r="A325">
        <v>319</v>
      </c>
      <c r="C325">
        <f>MAX(0,Calc!$C$7-SUM(D325:R325))</f>
        <v>750</v>
      </c>
      <c r="D325">
        <f t="shared" si="193"/>
        <v>0</v>
      </c>
      <c r="E325">
        <f t="shared" si="194"/>
        <v>0</v>
      </c>
      <c r="F325">
        <f t="shared" si="195"/>
        <v>0</v>
      </c>
      <c r="G325">
        <f t="shared" si="196"/>
        <v>0</v>
      </c>
      <c r="H325">
        <f t="shared" si="197"/>
        <v>0</v>
      </c>
      <c r="I325">
        <f t="shared" si="198"/>
        <v>0</v>
      </c>
      <c r="J325">
        <f t="shared" si="199"/>
        <v>0</v>
      </c>
      <c r="K325">
        <f t="shared" si="200"/>
        <v>0</v>
      </c>
      <c r="L325">
        <f t="shared" si="201"/>
        <v>0</v>
      </c>
      <c r="M325">
        <f t="shared" si="202"/>
        <v>0</v>
      </c>
      <c r="N325">
        <f t="shared" si="203"/>
        <v>0</v>
      </c>
      <c r="O325">
        <f t="shared" si="204"/>
        <v>0</v>
      </c>
      <c r="P325">
        <f t="shared" si="205"/>
        <v>0</v>
      </c>
      <c r="Q325">
        <f t="shared" si="206"/>
        <v>0</v>
      </c>
      <c r="R325">
        <f t="shared" si="207"/>
        <v>0</v>
      </c>
      <c r="S325">
        <f t="shared" si="208"/>
        <v>0</v>
      </c>
      <c r="T325">
        <f t="shared" si="209"/>
        <v>0</v>
      </c>
      <c r="U325">
        <f t="shared" si="210"/>
        <v>0</v>
      </c>
      <c r="V325">
        <f t="shared" si="211"/>
        <v>0</v>
      </c>
      <c r="W325">
        <f t="shared" si="212"/>
        <v>0</v>
      </c>
      <c r="X325">
        <f t="shared" si="213"/>
        <v>0</v>
      </c>
      <c r="Y325">
        <f t="shared" si="214"/>
        <v>0</v>
      </c>
      <c r="Z325">
        <f t="shared" si="215"/>
        <v>0</v>
      </c>
      <c r="AA325">
        <f t="shared" si="216"/>
        <v>0</v>
      </c>
      <c r="AB325">
        <f t="shared" si="217"/>
        <v>0</v>
      </c>
      <c r="AC325">
        <f t="shared" si="218"/>
        <v>0</v>
      </c>
      <c r="AD325">
        <f t="shared" si="219"/>
        <v>0</v>
      </c>
      <c r="AE325">
        <f t="shared" si="220"/>
        <v>0</v>
      </c>
      <c r="AF325">
        <f t="shared" si="221"/>
        <v>0</v>
      </c>
      <c r="AG325">
        <f t="shared" si="222"/>
        <v>0</v>
      </c>
      <c r="AH325">
        <f t="shared" si="223"/>
        <v>0</v>
      </c>
      <c r="AI325">
        <f t="shared" si="224"/>
        <v>0</v>
      </c>
      <c r="AJ325">
        <f t="shared" si="225"/>
        <v>0</v>
      </c>
      <c r="AK325">
        <f t="shared" si="226"/>
        <v>0</v>
      </c>
      <c r="AL325">
        <f t="shared" si="227"/>
        <v>0</v>
      </c>
      <c r="AM325">
        <f t="shared" si="228"/>
        <v>0</v>
      </c>
      <c r="AN325">
        <f t="shared" si="229"/>
        <v>0</v>
      </c>
      <c r="AO325">
        <f t="shared" si="230"/>
        <v>0</v>
      </c>
      <c r="AP325">
        <f t="shared" si="231"/>
        <v>0</v>
      </c>
      <c r="AQ325">
        <f t="shared" si="232"/>
        <v>0</v>
      </c>
      <c r="AR325">
        <f t="shared" si="233"/>
        <v>0</v>
      </c>
      <c r="AS325">
        <f t="shared" si="234"/>
        <v>0</v>
      </c>
      <c r="AT325">
        <f t="shared" si="235"/>
        <v>0</v>
      </c>
      <c r="AU325">
        <f t="shared" si="236"/>
        <v>0</v>
      </c>
      <c r="AV325">
        <f t="shared" si="237"/>
        <v>0</v>
      </c>
      <c r="AW325">
        <f t="shared" si="192"/>
        <v>0</v>
      </c>
      <c r="AX325">
        <f t="shared" si="238"/>
        <v>0</v>
      </c>
      <c r="AY325">
        <f t="shared" si="239"/>
        <v>0</v>
      </c>
    </row>
    <row r="326" spans="1:51" x14ac:dyDescent="0.35">
      <c r="A326">
        <v>320</v>
      </c>
      <c r="C326">
        <f>MAX(0,Calc!$C$7-SUM(D326:R326))</f>
        <v>750</v>
      </c>
      <c r="D326">
        <f t="shared" si="193"/>
        <v>0</v>
      </c>
      <c r="E326">
        <f t="shared" si="194"/>
        <v>0</v>
      </c>
      <c r="F326">
        <f t="shared" si="195"/>
        <v>0</v>
      </c>
      <c r="G326">
        <f t="shared" si="196"/>
        <v>0</v>
      </c>
      <c r="H326">
        <f t="shared" si="197"/>
        <v>0</v>
      </c>
      <c r="I326">
        <f t="shared" si="198"/>
        <v>0</v>
      </c>
      <c r="J326">
        <f t="shared" si="199"/>
        <v>0</v>
      </c>
      <c r="K326">
        <f t="shared" si="200"/>
        <v>0</v>
      </c>
      <c r="L326">
        <f t="shared" si="201"/>
        <v>0</v>
      </c>
      <c r="M326">
        <f t="shared" si="202"/>
        <v>0</v>
      </c>
      <c r="N326">
        <f t="shared" si="203"/>
        <v>0</v>
      </c>
      <c r="O326">
        <f t="shared" si="204"/>
        <v>0</v>
      </c>
      <c r="P326">
        <f t="shared" si="205"/>
        <v>0</v>
      </c>
      <c r="Q326">
        <f t="shared" si="206"/>
        <v>0</v>
      </c>
      <c r="R326">
        <f t="shared" si="207"/>
        <v>0</v>
      </c>
      <c r="S326">
        <f t="shared" si="208"/>
        <v>0</v>
      </c>
      <c r="T326">
        <f t="shared" si="209"/>
        <v>0</v>
      </c>
      <c r="U326">
        <f t="shared" si="210"/>
        <v>0</v>
      </c>
      <c r="V326">
        <f t="shared" si="211"/>
        <v>0</v>
      </c>
      <c r="W326">
        <f t="shared" si="212"/>
        <v>0</v>
      </c>
      <c r="X326">
        <f t="shared" si="213"/>
        <v>0</v>
      </c>
      <c r="Y326">
        <f t="shared" si="214"/>
        <v>0</v>
      </c>
      <c r="Z326">
        <f t="shared" si="215"/>
        <v>0</v>
      </c>
      <c r="AA326">
        <f t="shared" si="216"/>
        <v>0</v>
      </c>
      <c r="AB326">
        <f t="shared" si="217"/>
        <v>0</v>
      </c>
      <c r="AC326">
        <f t="shared" si="218"/>
        <v>0</v>
      </c>
      <c r="AD326">
        <f t="shared" si="219"/>
        <v>0</v>
      </c>
      <c r="AE326">
        <f t="shared" si="220"/>
        <v>0</v>
      </c>
      <c r="AF326">
        <f t="shared" si="221"/>
        <v>0</v>
      </c>
      <c r="AG326">
        <f t="shared" si="222"/>
        <v>0</v>
      </c>
      <c r="AH326">
        <f t="shared" si="223"/>
        <v>0</v>
      </c>
      <c r="AI326">
        <f t="shared" si="224"/>
        <v>0</v>
      </c>
      <c r="AJ326">
        <f t="shared" si="225"/>
        <v>0</v>
      </c>
      <c r="AK326">
        <f t="shared" si="226"/>
        <v>0</v>
      </c>
      <c r="AL326">
        <f t="shared" si="227"/>
        <v>0</v>
      </c>
      <c r="AM326">
        <f t="shared" si="228"/>
        <v>0</v>
      </c>
      <c r="AN326">
        <f t="shared" si="229"/>
        <v>0</v>
      </c>
      <c r="AO326">
        <f t="shared" si="230"/>
        <v>0</v>
      </c>
      <c r="AP326">
        <f t="shared" si="231"/>
        <v>0</v>
      </c>
      <c r="AQ326">
        <f t="shared" si="232"/>
        <v>0</v>
      </c>
      <c r="AR326">
        <f t="shared" si="233"/>
        <v>0</v>
      </c>
      <c r="AS326">
        <f t="shared" si="234"/>
        <v>0</v>
      </c>
      <c r="AT326">
        <f t="shared" si="235"/>
        <v>0</v>
      </c>
      <c r="AU326">
        <f t="shared" si="236"/>
        <v>0</v>
      </c>
      <c r="AV326">
        <f t="shared" si="237"/>
        <v>0</v>
      </c>
      <c r="AW326">
        <f t="shared" ref="AW326:AW389" si="240">SUM(AH326:AV326)</f>
        <v>0</v>
      </c>
      <c r="AX326">
        <f t="shared" si="238"/>
        <v>0</v>
      </c>
      <c r="AY326">
        <f t="shared" si="239"/>
        <v>0</v>
      </c>
    </row>
    <row r="327" spans="1:51" x14ac:dyDescent="0.35">
      <c r="A327">
        <v>321</v>
      </c>
      <c r="C327">
        <f>MAX(0,Calc!$C$7-SUM(D327:R327))</f>
        <v>750</v>
      </c>
      <c r="D327">
        <f t="shared" ref="D327:D366" si="241">IF(AH326&lt;0.005,0,MIN((AH326+ROUND(AH326*AH$3,2)),AH$4))</f>
        <v>0</v>
      </c>
      <c r="E327">
        <f t="shared" ref="E327:E366" si="242">IF(AI326&lt;0.005,0,MIN((AI326+ROUND(AI326*AI$3,2)),AI$4))</f>
        <v>0</v>
      </c>
      <c r="F327">
        <f t="shared" ref="F327:F366" si="243">IF(AJ326&lt;0.005,0,MIN((AJ326+ROUND(AJ326*AJ$3,2)),AJ$4))</f>
        <v>0</v>
      </c>
      <c r="G327">
        <f t="shared" ref="G327:G366" si="244">IF(AK326&lt;0.005,0,MIN((AK326+ROUND(AK326*AK$3,2)),AK$4))</f>
        <v>0</v>
      </c>
      <c r="H327">
        <f t="shared" ref="H327:H366" si="245">IF(AL326&lt;0.005,0,MIN((AL326+ROUND(AL326*AL$3,2)),AL$4))</f>
        <v>0</v>
      </c>
      <c r="I327">
        <f t="shared" ref="I327:I366" si="246">IF(AM326&lt;0.005,0,MIN((AM326+ROUND(AM326*AM$3,2)),AM$4))</f>
        <v>0</v>
      </c>
      <c r="J327">
        <f t="shared" ref="J327:J366" si="247">IF(AN326&lt;0.005,0,MIN((AN326+ROUND(AN326*AN$3,2)),AN$4))</f>
        <v>0</v>
      </c>
      <c r="K327">
        <f t="shared" ref="K327:K366" si="248">IF(AO326&lt;0.005,0,MIN((AO326+ROUND(AO326*AO$3,2)),AO$4))</f>
        <v>0</v>
      </c>
      <c r="L327">
        <f t="shared" ref="L327:L366" si="249">IF(AP326&lt;0.005,0,MIN((AP326+ROUND(AP326*AP$3,2)),AP$4))</f>
        <v>0</v>
      </c>
      <c r="M327">
        <f t="shared" ref="M327:M366" si="250">IF(AQ326&lt;0.005,0,MIN((AQ326+ROUND(AQ326*AQ$3,2)),AQ$4))</f>
        <v>0</v>
      </c>
      <c r="N327">
        <f t="shared" ref="N327:N366" si="251">IF(AR326&lt;0.005,0,MIN((AR326+ROUND(AR326*AR$3,2)),AR$4))</f>
        <v>0</v>
      </c>
      <c r="O327">
        <f t="shared" ref="O327:O366" si="252">IF(AS326&lt;0.005,0,MIN((AS326+ROUND(AS326*AS$3,2)),AS$4))</f>
        <v>0</v>
      </c>
      <c r="P327">
        <f t="shared" ref="P327:P366" si="253">IF(AT326&lt;0.005,0,MIN((AT326+ROUND(AT326*AT$3,2)),AT$4))</f>
        <v>0</v>
      </c>
      <c r="Q327">
        <f t="shared" ref="Q327:Q366" si="254">IF(AU326&lt;0.005,0,MIN((AU326+ROUND(AU326*AU$3,2)),AU$4))</f>
        <v>0</v>
      </c>
      <c r="R327">
        <f t="shared" ref="R327:R366" si="255">IF(AV326&lt;0.005,0,MIN((AV326+ROUND(AV326*AV$3,2)),AV$4))</f>
        <v>0</v>
      </c>
      <c r="S327">
        <f t="shared" ref="S327:S366" si="256">IF(AH326&lt;0.005,0,MIN((AH326+ROUND(AH326*AH$3,2))-D327,MAX(0,$C327)))</f>
        <v>0</v>
      </c>
      <c r="T327">
        <f t="shared" ref="T327:T390" si="257">IF(AI326&lt;0.005,0,MIN((AI326+ROUND(AI326*AI$3,2))-E327,MAX(0,$C327-SUM(S327:S327))))</f>
        <v>0</v>
      </c>
      <c r="U327">
        <f t="shared" ref="U327:U390" si="258">IF(AJ326&lt;0.005,0,MIN((AJ326+ROUND(AJ326*AJ$3,2))-F327,MAX(0,$C327-SUM(S327:T327))))</f>
        <v>0</v>
      </c>
      <c r="V327">
        <f t="shared" ref="V327:V390" si="259">IF(AK326&lt;0.005,0,MIN((AK326+ROUND(AK326*AK$3,2))-G327,MAX(0,$C327-SUM(S327:U327))))</f>
        <v>0</v>
      </c>
      <c r="W327">
        <f t="shared" ref="W327:W390" si="260">IF(AL326&lt;0.005,0,MIN((AL326+ROUND(AL326*AL$3,2))-H327,MAX(0,$C327-SUM(S327:V327))))</f>
        <v>0</v>
      </c>
      <c r="X327">
        <f t="shared" ref="X327:X390" si="261">IF(AM326&lt;0.005,0,MIN((AM326+ROUND(AM326*AM$3,2))-I327,MAX(0,$C327-SUM(S327:W327))))</f>
        <v>0</v>
      </c>
      <c r="Y327">
        <f t="shared" ref="Y327:Y390" si="262">IF(AN326&lt;0.005,0,MIN((AN326+ROUND(AN326*AN$3,2))-J327,MAX(0,$C327-SUM(S327:X327))))</f>
        <v>0</v>
      </c>
      <c r="Z327">
        <f t="shared" ref="Z327:Z390" si="263">IF(AO326&lt;0.005,0,MIN((AO326+ROUND(AO326*AO$3,2))-K327,MAX(0,$C327-SUM(S327:Y327))))</f>
        <v>0</v>
      </c>
      <c r="AA327">
        <f t="shared" ref="AA327:AA390" si="264">IF(AP326&lt;0.005,0,MIN((AP326+ROUND(AP326*AP$3,2))-L327,MAX(0,$C327-SUM(S327:Z327))))</f>
        <v>0</v>
      </c>
      <c r="AB327">
        <f t="shared" ref="AB327:AB390" si="265">IF(AQ326&lt;0.005,0,MIN((AQ326+ROUND(AQ326*AQ$3,2))-M327,MAX(0,$C327-SUM(S327:AA327))))</f>
        <v>0</v>
      </c>
      <c r="AC327">
        <f t="shared" ref="AC327:AC390" si="266">IF(AR326&lt;0.005,0,MIN((AR326+ROUND(AR326*AR$3,2))-N327,MAX(0,$C327-SUM(S327:AB327))))</f>
        <v>0</v>
      </c>
      <c r="AD327">
        <f t="shared" ref="AD327:AD390" si="267">IF(AS326&lt;0.005,0,MIN((AS326+ROUND(AS326*AS$3,2))-O327,MAX(0,$C327-SUM(S327:AC327))))</f>
        <v>0</v>
      </c>
      <c r="AE327">
        <f t="shared" ref="AE327:AE390" si="268">IF(AT326&lt;0.005,0,MIN((AT326+ROUND(AT326*AT$3,2))-P327,MAX(0,$C327-SUM(S327:AD327))))</f>
        <v>0</v>
      </c>
      <c r="AF327">
        <f t="shared" ref="AF327:AF390" si="269">IF(AU326&lt;0.005,0,MIN((AU326+ROUND(AU326*AU$3,2))-Q327,MAX(0,$C327-SUM(S327:AE327))))</f>
        <v>0</v>
      </c>
      <c r="AG327">
        <f t="shared" ref="AG327:AG390" si="270">IF(AV326&lt;0.005,0,MIN((AV326+ROUND(AV326*AV$3,2))-R327,MAX(0,$C327-SUM(S327:AF327))))</f>
        <v>0</v>
      </c>
      <c r="AH327">
        <f t="shared" ref="AH327:AH366" si="271">IF(AH326&lt;0.005,0,ROUND((AH326+ROUND(AH326*AH$3,2))-D327-S327,2))</f>
        <v>0</v>
      </c>
      <c r="AI327">
        <f t="shared" ref="AI327:AI366" si="272">IF(AI326&lt;0.005,0,ROUND((AI326+ROUND(AI326*AI$3,2))-E327-T327,2))</f>
        <v>0</v>
      </c>
      <c r="AJ327">
        <f t="shared" ref="AJ327:AJ366" si="273">IF(AJ326&lt;0.005,0,ROUND((AJ326+ROUND(AJ326*AJ$3,2))-F327-U327,2))</f>
        <v>0</v>
      </c>
      <c r="AK327">
        <f t="shared" ref="AK327:AK366" si="274">IF(AK326&lt;0.005,0,ROUND((AK326+ROUND(AK326*AK$3,2))-G327-V327,2))</f>
        <v>0</v>
      </c>
      <c r="AL327">
        <f t="shared" ref="AL327:AL366" si="275">IF(AL326&lt;0.005,0,ROUND((AL326+ROUND(AL326*AL$3,2))-H327-W327,2))</f>
        <v>0</v>
      </c>
      <c r="AM327">
        <f t="shared" ref="AM327:AM366" si="276">IF(AM326&lt;0.005,0,ROUND((AM326+ROUND(AM326*AM$3,2))-I327-X327,2))</f>
        <v>0</v>
      </c>
      <c r="AN327">
        <f t="shared" ref="AN327:AN366" si="277">IF(AN326&lt;0.005,0,ROUND((AN326+ROUND(AN326*AN$3,2))-J327-Y327,2))</f>
        <v>0</v>
      </c>
      <c r="AO327">
        <f t="shared" ref="AO327:AO366" si="278">IF(AO326&lt;0.005,0,ROUND((AO326+ROUND(AO326*AO$3,2))-K327-Z327,2))</f>
        <v>0</v>
      </c>
      <c r="AP327">
        <f t="shared" ref="AP327:AP366" si="279">IF(AP326&lt;0.005,0,ROUND((AP326+ROUND(AP326*AP$3,2))-L327-AA327,2))</f>
        <v>0</v>
      </c>
      <c r="AQ327">
        <f t="shared" ref="AQ327:AQ366" si="280">IF(AQ326&lt;0.005,0,ROUND((AQ326+ROUND(AQ326*AQ$3,2))-M327-AB327,2))</f>
        <v>0</v>
      </c>
      <c r="AR327">
        <f t="shared" ref="AR327:AR366" si="281">IF(AR326&lt;0.005,0,ROUND((AR326+ROUND(AR326*AR$3,2))-N327-AC327,2))</f>
        <v>0</v>
      </c>
      <c r="AS327">
        <f t="shared" ref="AS327:AS366" si="282">IF(AS326&lt;0.005,0,ROUND((AS326+ROUND(AS326*AS$3,2))-O327-AD327,2))</f>
        <v>0</v>
      </c>
      <c r="AT327">
        <f t="shared" ref="AT327:AT366" si="283">IF(AT326&lt;0.005,0,ROUND((AT326+ROUND(AT326*AT$3,2))-P327-AE327,2))</f>
        <v>0</v>
      </c>
      <c r="AU327">
        <f t="shared" ref="AU327:AU366" si="284">IF(AU326&lt;0.005,0,ROUND((AU326+ROUND(AU326*AU$3,2))-Q327-AF327,2))</f>
        <v>0</v>
      </c>
      <c r="AV327">
        <f t="shared" ref="AV327:AV366" si="285">IF(AV326&lt;0.005,0,ROUND((AV326+ROUND(AV326*AV$3,2))-R327-AG327,2))</f>
        <v>0</v>
      </c>
      <c r="AW327">
        <f t="shared" si="240"/>
        <v>0</v>
      </c>
      <c r="AX327">
        <f t="shared" ref="AX327:AX366" si="286">SUMPRODUCT(ROUND(AH326:AV326*AH$3:AV$3,2))</f>
        <v>0</v>
      </c>
      <c r="AY327">
        <f t="shared" ref="AY327:AY366" si="287">SUM(D327:AG327)</f>
        <v>0</v>
      </c>
    </row>
    <row r="328" spans="1:51" x14ac:dyDescent="0.35">
      <c r="A328">
        <v>322</v>
      </c>
      <c r="C328">
        <f>MAX(0,Calc!$C$7-SUM(D328:R328))</f>
        <v>750</v>
      </c>
      <c r="D328">
        <f t="shared" si="241"/>
        <v>0</v>
      </c>
      <c r="E328">
        <f t="shared" si="242"/>
        <v>0</v>
      </c>
      <c r="F328">
        <f t="shared" si="243"/>
        <v>0</v>
      </c>
      <c r="G328">
        <f t="shared" si="244"/>
        <v>0</v>
      </c>
      <c r="H328">
        <f t="shared" si="245"/>
        <v>0</v>
      </c>
      <c r="I328">
        <f t="shared" si="246"/>
        <v>0</v>
      </c>
      <c r="J328">
        <f t="shared" si="247"/>
        <v>0</v>
      </c>
      <c r="K328">
        <f t="shared" si="248"/>
        <v>0</v>
      </c>
      <c r="L328">
        <f t="shared" si="249"/>
        <v>0</v>
      </c>
      <c r="M328">
        <f t="shared" si="250"/>
        <v>0</v>
      </c>
      <c r="N328">
        <f t="shared" si="251"/>
        <v>0</v>
      </c>
      <c r="O328">
        <f t="shared" si="252"/>
        <v>0</v>
      </c>
      <c r="P328">
        <f t="shared" si="253"/>
        <v>0</v>
      </c>
      <c r="Q328">
        <f t="shared" si="254"/>
        <v>0</v>
      </c>
      <c r="R328">
        <f t="shared" si="255"/>
        <v>0</v>
      </c>
      <c r="S328">
        <f t="shared" si="256"/>
        <v>0</v>
      </c>
      <c r="T328">
        <f t="shared" si="257"/>
        <v>0</v>
      </c>
      <c r="U328">
        <f t="shared" si="258"/>
        <v>0</v>
      </c>
      <c r="V328">
        <f t="shared" si="259"/>
        <v>0</v>
      </c>
      <c r="W328">
        <f t="shared" si="260"/>
        <v>0</v>
      </c>
      <c r="X328">
        <f t="shared" si="261"/>
        <v>0</v>
      </c>
      <c r="Y328">
        <f t="shared" si="262"/>
        <v>0</v>
      </c>
      <c r="Z328">
        <f t="shared" si="263"/>
        <v>0</v>
      </c>
      <c r="AA328">
        <f t="shared" si="264"/>
        <v>0</v>
      </c>
      <c r="AB328">
        <f t="shared" si="265"/>
        <v>0</v>
      </c>
      <c r="AC328">
        <f t="shared" si="266"/>
        <v>0</v>
      </c>
      <c r="AD328">
        <f t="shared" si="267"/>
        <v>0</v>
      </c>
      <c r="AE328">
        <f t="shared" si="268"/>
        <v>0</v>
      </c>
      <c r="AF328">
        <f t="shared" si="269"/>
        <v>0</v>
      </c>
      <c r="AG328">
        <f t="shared" si="270"/>
        <v>0</v>
      </c>
      <c r="AH328">
        <f t="shared" si="271"/>
        <v>0</v>
      </c>
      <c r="AI328">
        <f t="shared" si="272"/>
        <v>0</v>
      </c>
      <c r="AJ328">
        <f t="shared" si="273"/>
        <v>0</v>
      </c>
      <c r="AK328">
        <f t="shared" si="274"/>
        <v>0</v>
      </c>
      <c r="AL328">
        <f t="shared" si="275"/>
        <v>0</v>
      </c>
      <c r="AM328">
        <f t="shared" si="276"/>
        <v>0</v>
      </c>
      <c r="AN328">
        <f t="shared" si="277"/>
        <v>0</v>
      </c>
      <c r="AO328">
        <f t="shared" si="278"/>
        <v>0</v>
      </c>
      <c r="AP328">
        <f t="shared" si="279"/>
        <v>0</v>
      </c>
      <c r="AQ328">
        <f t="shared" si="280"/>
        <v>0</v>
      </c>
      <c r="AR328">
        <f t="shared" si="281"/>
        <v>0</v>
      </c>
      <c r="AS328">
        <f t="shared" si="282"/>
        <v>0</v>
      </c>
      <c r="AT328">
        <f t="shared" si="283"/>
        <v>0</v>
      </c>
      <c r="AU328">
        <f t="shared" si="284"/>
        <v>0</v>
      </c>
      <c r="AV328">
        <f t="shared" si="285"/>
        <v>0</v>
      </c>
      <c r="AW328">
        <f t="shared" si="240"/>
        <v>0</v>
      </c>
      <c r="AX328">
        <f t="shared" si="286"/>
        <v>0</v>
      </c>
      <c r="AY328">
        <f t="shared" si="287"/>
        <v>0</v>
      </c>
    </row>
    <row r="329" spans="1:51" x14ac:dyDescent="0.35">
      <c r="A329">
        <v>323</v>
      </c>
      <c r="C329">
        <f>MAX(0,Calc!$C$7-SUM(D329:R329))</f>
        <v>750</v>
      </c>
      <c r="D329">
        <f t="shared" si="241"/>
        <v>0</v>
      </c>
      <c r="E329">
        <f t="shared" si="242"/>
        <v>0</v>
      </c>
      <c r="F329">
        <f t="shared" si="243"/>
        <v>0</v>
      </c>
      <c r="G329">
        <f t="shared" si="244"/>
        <v>0</v>
      </c>
      <c r="H329">
        <f t="shared" si="245"/>
        <v>0</v>
      </c>
      <c r="I329">
        <f t="shared" si="246"/>
        <v>0</v>
      </c>
      <c r="J329">
        <f t="shared" si="247"/>
        <v>0</v>
      </c>
      <c r="K329">
        <f t="shared" si="248"/>
        <v>0</v>
      </c>
      <c r="L329">
        <f t="shared" si="249"/>
        <v>0</v>
      </c>
      <c r="M329">
        <f t="shared" si="250"/>
        <v>0</v>
      </c>
      <c r="N329">
        <f t="shared" si="251"/>
        <v>0</v>
      </c>
      <c r="O329">
        <f t="shared" si="252"/>
        <v>0</v>
      </c>
      <c r="P329">
        <f t="shared" si="253"/>
        <v>0</v>
      </c>
      <c r="Q329">
        <f t="shared" si="254"/>
        <v>0</v>
      </c>
      <c r="R329">
        <f t="shared" si="255"/>
        <v>0</v>
      </c>
      <c r="S329">
        <f t="shared" si="256"/>
        <v>0</v>
      </c>
      <c r="T329">
        <f t="shared" si="257"/>
        <v>0</v>
      </c>
      <c r="U329">
        <f t="shared" si="258"/>
        <v>0</v>
      </c>
      <c r="V329">
        <f t="shared" si="259"/>
        <v>0</v>
      </c>
      <c r="W329">
        <f t="shared" si="260"/>
        <v>0</v>
      </c>
      <c r="X329">
        <f t="shared" si="261"/>
        <v>0</v>
      </c>
      <c r="Y329">
        <f t="shared" si="262"/>
        <v>0</v>
      </c>
      <c r="Z329">
        <f t="shared" si="263"/>
        <v>0</v>
      </c>
      <c r="AA329">
        <f t="shared" si="264"/>
        <v>0</v>
      </c>
      <c r="AB329">
        <f t="shared" si="265"/>
        <v>0</v>
      </c>
      <c r="AC329">
        <f t="shared" si="266"/>
        <v>0</v>
      </c>
      <c r="AD329">
        <f t="shared" si="267"/>
        <v>0</v>
      </c>
      <c r="AE329">
        <f t="shared" si="268"/>
        <v>0</v>
      </c>
      <c r="AF329">
        <f t="shared" si="269"/>
        <v>0</v>
      </c>
      <c r="AG329">
        <f t="shared" si="270"/>
        <v>0</v>
      </c>
      <c r="AH329">
        <f t="shared" si="271"/>
        <v>0</v>
      </c>
      <c r="AI329">
        <f t="shared" si="272"/>
        <v>0</v>
      </c>
      <c r="AJ329">
        <f t="shared" si="273"/>
        <v>0</v>
      </c>
      <c r="AK329">
        <f t="shared" si="274"/>
        <v>0</v>
      </c>
      <c r="AL329">
        <f t="shared" si="275"/>
        <v>0</v>
      </c>
      <c r="AM329">
        <f t="shared" si="276"/>
        <v>0</v>
      </c>
      <c r="AN329">
        <f t="shared" si="277"/>
        <v>0</v>
      </c>
      <c r="AO329">
        <f t="shared" si="278"/>
        <v>0</v>
      </c>
      <c r="AP329">
        <f t="shared" si="279"/>
        <v>0</v>
      </c>
      <c r="AQ329">
        <f t="shared" si="280"/>
        <v>0</v>
      </c>
      <c r="AR329">
        <f t="shared" si="281"/>
        <v>0</v>
      </c>
      <c r="AS329">
        <f t="shared" si="282"/>
        <v>0</v>
      </c>
      <c r="AT329">
        <f t="shared" si="283"/>
        <v>0</v>
      </c>
      <c r="AU329">
        <f t="shared" si="284"/>
        <v>0</v>
      </c>
      <c r="AV329">
        <f t="shared" si="285"/>
        <v>0</v>
      </c>
      <c r="AW329">
        <f t="shared" si="240"/>
        <v>0</v>
      </c>
      <c r="AX329">
        <f t="shared" si="286"/>
        <v>0</v>
      </c>
      <c r="AY329">
        <f t="shared" si="287"/>
        <v>0</v>
      </c>
    </row>
    <row r="330" spans="1:51" x14ac:dyDescent="0.35">
      <c r="A330">
        <v>324</v>
      </c>
      <c r="C330">
        <f>MAX(0,Calc!$C$7-SUM(D330:R330))</f>
        <v>750</v>
      </c>
      <c r="D330">
        <f t="shared" si="241"/>
        <v>0</v>
      </c>
      <c r="E330">
        <f t="shared" si="242"/>
        <v>0</v>
      </c>
      <c r="F330">
        <f t="shared" si="243"/>
        <v>0</v>
      </c>
      <c r="G330">
        <f t="shared" si="244"/>
        <v>0</v>
      </c>
      <c r="H330">
        <f t="shared" si="245"/>
        <v>0</v>
      </c>
      <c r="I330">
        <f t="shared" si="246"/>
        <v>0</v>
      </c>
      <c r="J330">
        <f t="shared" si="247"/>
        <v>0</v>
      </c>
      <c r="K330">
        <f t="shared" si="248"/>
        <v>0</v>
      </c>
      <c r="L330">
        <f t="shared" si="249"/>
        <v>0</v>
      </c>
      <c r="M330">
        <f t="shared" si="250"/>
        <v>0</v>
      </c>
      <c r="N330">
        <f t="shared" si="251"/>
        <v>0</v>
      </c>
      <c r="O330">
        <f t="shared" si="252"/>
        <v>0</v>
      </c>
      <c r="P330">
        <f t="shared" si="253"/>
        <v>0</v>
      </c>
      <c r="Q330">
        <f t="shared" si="254"/>
        <v>0</v>
      </c>
      <c r="R330">
        <f t="shared" si="255"/>
        <v>0</v>
      </c>
      <c r="S330">
        <f t="shared" si="256"/>
        <v>0</v>
      </c>
      <c r="T330">
        <f t="shared" si="257"/>
        <v>0</v>
      </c>
      <c r="U330">
        <f t="shared" si="258"/>
        <v>0</v>
      </c>
      <c r="V330">
        <f t="shared" si="259"/>
        <v>0</v>
      </c>
      <c r="W330">
        <f t="shared" si="260"/>
        <v>0</v>
      </c>
      <c r="X330">
        <f t="shared" si="261"/>
        <v>0</v>
      </c>
      <c r="Y330">
        <f t="shared" si="262"/>
        <v>0</v>
      </c>
      <c r="Z330">
        <f t="shared" si="263"/>
        <v>0</v>
      </c>
      <c r="AA330">
        <f t="shared" si="264"/>
        <v>0</v>
      </c>
      <c r="AB330">
        <f t="shared" si="265"/>
        <v>0</v>
      </c>
      <c r="AC330">
        <f t="shared" si="266"/>
        <v>0</v>
      </c>
      <c r="AD330">
        <f t="shared" si="267"/>
        <v>0</v>
      </c>
      <c r="AE330">
        <f t="shared" si="268"/>
        <v>0</v>
      </c>
      <c r="AF330">
        <f t="shared" si="269"/>
        <v>0</v>
      </c>
      <c r="AG330">
        <f t="shared" si="270"/>
        <v>0</v>
      </c>
      <c r="AH330">
        <f t="shared" si="271"/>
        <v>0</v>
      </c>
      <c r="AI330">
        <f t="shared" si="272"/>
        <v>0</v>
      </c>
      <c r="AJ330">
        <f t="shared" si="273"/>
        <v>0</v>
      </c>
      <c r="AK330">
        <f t="shared" si="274"/>
        <v>0</v>
      </c>
      <c r="AL330">
        <f t="shared" si="275"/>
        <v>0</v>
      </c>
      <c r="AM330">
        <f t="shared" si="276"/>
        <v>0</v>
      </c>
      <c r="AN330">
        <f t="shared" si="277"/>
        <v>0</v>
      </c>
      <c r="AO330">
        <f t="shared" si="278"/>
        <v>0</v>
      </c>
      <c r="AP330">
        <f t="shared" si="279"/>
        <v>0</v>
      </c>
      <c r="AQ330">
        <f t="shared" si="280"/>
        <v>0</v>
      </c>
      <c r="AR330">
        <f t="shared" si="281"/>
        <v>0</v>
      </c>
      <c r="AS330">
        <f t="shared" si="282"/>
        <v>0</v>
      </c>
      <c r="AT330">
        <f t="shared" si="283"/>
        <v>0</v>
      </c>
      <c r="AU330">
        <f t="shared" si="284"/>
        <v>0</v>
      </c>
      <c r="AV330">
        <f t="shared" si="285"/>
        <v>0</v>
      </c>
      <c r="AW330">
        <f t="shared" si="240"/>
        <v>0</v>
      </c>
      <c r="AX330">
        <f t="shared" si="286"/>
        <v>0</v>
      </c>
      <c r="AY330">
        <f t="shared" si="287"/>
        <v>0</v>
      </c>
    </row>
    <row r="331" spans="1:51" x14ac:dyDescent="0.35">
      <c r="A331">
        <v>325</v>
      </c>
      <c r="C331">
        <f>MAX(0,Calc!$C$7-SUM(D331:R331))</f>
        <v>750</v>
      </c>
      <c r="D331">
        <f t="shared" si="241"/>
        <v>0</v>
      </c>
      <c r="E331">
        <f t="shared" si="242"/>
        <v>0</v>
      </c>
      <c r="F331">
        <f t="shared" si="243"/>
        <v>0</v>
      </c>
      <c r="G331">
        <f t="shared" si="244"/>
        <v>0</v>
      </c>
      <c r="H331">
        <f t="shared" si="245"/>
        <v>0</v>
      </c>
      <c r="I331">
        <f t="shared" si="246"/>
        <v>0</v>
      </c>
      <c r="J331">
        <f t="shared" si="247"/>
        <v>0</v>
      </c>
      <c r="K331">
        <f t="shared" si="248"/>
        <v>0</v>
      </c>
      <c r="L331">
        <f t="shared" si="249"/>
        <v>0</v>
      </c>
      <c r="M331">
        <f t="shared" si="250"/>
        <v>0</v>
      </c>
      <c r="N331">
        <f t="shared" si="251"/>
        <v>0</v>
      </c>
      <c r="O331">
        <f t="shared" si="252"/>
        <v>0</v>
      </c>
      <c r="P331">
        <f t="shared" si="253"/>
        <v>0</v>
      </c>
      <c r="Q331">
        <f t="shared" si="254"/>
        <v>0</v>
      </c>
      <c r="R331">
        <f t="shared" si="255"/>
        <v>0</v>
      </c>
      <c r="S331">
        <f t="shared" si="256"/>
        <v>0</v>
      </c>
      <c r="T331">
        <f t="shared" si="257"/>
        <v>0</v>
      </c>
      <c r="U331">
        <f t="shared" si="258"/>
        <v>0</v>
      </c>
      <c r="V331">
        <f t="shared" si="259"/>
        <v>0</v>
      </c>
      <c r="W331">
        <f t="shared" si="260"/>
        <v>0</v>
      </c>
      <c r="X331">
        <f t="shared" si="261"/>
        <v>0</v>
      </c>
      <c r="Y331">
        <f t="shared" si="262"/>
        <v>0</v>
      </c>
      <c r="Z331">
        <f t="shared" si="263"/>
        <v>0</v>
      </c>
      <c r="AA331">
        <f t="shared" si="264"/>
        <v>0</v>
      </c>
      <c r="AB331">
        <f t="shared" si="265"/>
        <v>0</v>
      </c>
      <c r="AC331">
        <f t="shared" si="266"/>
        <v>0</v>
      </c>
      <c r="AD331">
        <f t="shared" si="267"/>
        <v>0</v>
      </c>
      <c r="AE331">
        <f t="shared" si="268"/>
        <v>0</v>
      </c>
      <c r="AF331">
        <f t="shared" si="269"/>
        <v>0</v>
      </c>
      <c r="AG331">
        <f t="shared" si="270"/>
        <v>0</v>
      </c>
      <c r="AH331">
        <f t="shared" si="271"/>
        <v>0</v>
      </c>
      <c r="AI331">
        <f t="shared" si="272"/>
        <v>0</v>
      </c>
      <c r="AJ331">
        <f t="shared" si="273"/>
        <v>0</v>
      </c>
      <c r="AK331">
        <f t="shared" si="274"/>
        <v>0</v>
      </c>
      <c r="AL331">
        <f t="shared" si="275"/>
        <v>0</v>
      </c>
      <c r="AM331">
        <f t="shared" si="276"/>
        <v>0</v>
      </c>
      <c r="AN331">
        <f t="shared" si="277"/>
        <v>0</v>
      </c>
      <c r="AO331">
        <f t="shared" si="278"/>
        <v>0</v>
      </c>
      <c r="AP331">
        <f t="shared" si="279"/>
        <v>0</v>
      </c>
      <c r="AQ331">
        <f t="shared" si="280"/>
        <v>0</v>
      </c>
      <c r="AR331">
        <f t="shared" si="281"/>
        <v>0</v>
      </c>
      <c r="AS331">
        <f t="shared" si="282"/>
        <v>0</v>
      </c>
      <c r="AT331">
        <f t="shared" si="283"/>
        <v>0</v>
      </c>
      <c r="AU331">
        <f t="shared" si="284"/>
        <v>0</v>
      </c>
      <c r="AV331">
        <f t="shared" si="285"/>
        <v>0</v>
      </c>
      <c r="AW331">
        <f t="shared" si="240"/>
        <v>0</v>
      </c>
      <c r="AX331">
        <f t="shared" si="286"/>
        <v>0</v>
      </c>
      <c r="AY331">
        <f t="shared" si="287"/>
        <v>0</v>
      </c>
    </row>
    <row r="332" spans="1:51" x14ac:dyDescent="0.35">
      <c r="A332">
        <v>326</v>
      </c>
      <c r="C332">
        <f>MAX(0,Calc!$C$7-SUM(D332:R332))</f>
        <v>750</v>
      </c>
      <c r="D332">
        <f t="shared" si="241"/>
        <v>0</v>
      </c>
      <c r="E332">
        <f t="shared" si="242"/>
        <v>0</v>
      </c>
      <c r="F332">
        <f t="shared" si="243"/>
        <v>0</v>
      </c>
      <c r="G332">
        <f t="shared" si="244"/>
        <v>0</v>
      </c>
      <c r="H332">
        <f t="shared" si="245"/>
        <v>0</v>
      </c>
      <c r="I332">
        <f t="shared" si="246"/>
        <v>0</v>
      </c>
      <c r="J332">
        <f t="shared" si="247"/>
        <v>0</v>
      </c>
      <c r="K332">
        <f t="shared" si="248"/>
        <v>0</v>
      </c>
      <c r="L332">
        <f t="shared" si="249"/>
        <v>0</v>
      </c>
      <c r="M332">
        <f t="shared" si="250"/>
        <v>0</v>
      </c>
      <c r="N332">
        <f t="shared" si="251"/>
        <v>0</v>
      </c>
      <c r="O332">
        <f t="shared" si="252"/>
        <v>0</v>
      </c>
      <c r="P332">
        <f t="shared" si="253"/>
        <v>0</v>
      </c>
      <c r="Q332">
        <f t="shared" si="254"/>
        <v>0</v>
      </c>
      <c r="R332">
        <f t="shared" si="255"/>
        <v>0</v>
      </c>
      <c r="S332">
        <f t="shared" si="256"/>
        <v>0</v>
      </c>
      <c r="T332">
        <f t="shared" si="257"/>
        <v>0</v>
      </c>
      <c r="U332">
        <f t="shared" si="258"/>
        <v>0</v>
      </c>
      <c r="V332">
        <f t="shared" si="259"/>
        <v>0</v>
      </c>
      <c r="W332">
        <f t="shared" si="260"/>
        <v>0</v>
      </c>
      <c r="X332">
        <f t="shared" si="261"/>
        <v>0</v>
      </c>
      <c r="Y332">
        <f t="shared" si="262"/>
        <v>0</v>
      </c>
      <c r="Z332">
        <f t="shared" si="263"/>
        <v>0</v>
      </c>
      <c r="AA332">
        <f t="shared" si="264"/>
        <v>0</v>
      </c>
      <c r="AB332">
        <f t="shared" si="265"/>
        <v>0</v>
      </c>
      <c r="AC332">
        <f t="shared" si="266"/>
        <v>0</v>
      </c>
      <c r="AD332">
        <f t="shared" si="267"/>
        <v>0</v>
      </c>
      <c r="AE332">
        <f t="shared" si="268"/>
        <v>0</v>
      </c>
      <c r="AF332">
        <f t="shared" si="269"/>
        <v>0</v>
      </c>
      <c r="AG332">
        <f t="shared" si="270"/>
        <v>0</v>
      </c>
      <c r="AH332">
        <f t="shared" si="271"/>
        <v>0</v>
      </c>
      <c r="AI332">
        <f t="shared" si="272"/>
        <v>0</v>
      </c>
      <c r="AJ332">
        <f t="shared" si="273"/>
        <v>0</v>
      </c>
      <c r="AK332">
        <f t="shared" si="274"/>
        <v>0</v>
      </c>
      <c r="AL332">
        <f t="shared" si="275"/>
        <v>0</v>
      </c>
      <c r="AM332">
        <f t="shared" si="276"/>
        <v>0</v>
      </c>
      <c r="AN332">
        <f t="shared" si="277"/>
        <v>0</v>
      </c>
      <c r="AO332">
        <f t="shared" si="278"/>
        <v>0</v>
      </c>
      <c r="AP332">
        <f t="shared" si="279"/>
        <v>0</v>
      </c>
      <c r="AQ332">
        <f t="shared" si="280"/>
        <v>0</v>
      </c>
      <c r="AR332">
        <f t="shared" si="281"/>
        <v>0</v>
      </c>
      <c r="AS332">
        <f t="shared" si="282"/>
        <v>0</v>
      </c>
      <c r="AT332">
        <f t="shared" si="283"/>
        <v>0</v>
      </c>
      <c r="AU332">
        <f t="shared" si="284"/>
        <v>0</v>
      </c>
      <c r="AV332">
        <f t="shared" si="285"/>
        <v>0</v>
      </c>
      <c r="AW332">
        <f t="shared" si="240"/>
        <v>0</v>
      </c>
      <c r="AX332">
        <f t="shared" si="286"/>
        <v>0</v>
      </c>
      <c r="AY332">
        <f t="shared" si="287"/>
        <v>0</v>
      </c>
    </row>
    <row r="333" spans="1:51" x14ac:dyDescent="0.35">
      <c r="A333">
        <v>327</v>
      </c>
      <c r="C333">
        <f>MAX(0,Calc!$C$7-SUM(D333:R333))</f>
        <v>750</v>
      </c>
      <c r="D333">
        <f t="shared" si="241"/>
        <v>0</v>
      </c>
      <c r="E333">
        <f t="shared" si="242"/>
        <v>0</v>
      </c>
      <c r="F333">
        <f t="shared" si="243"/>
        <v>0</v>
      </c>
      <c r="G333">
        <f t="shared" si="244"/>
        <v>0</v>
      </c>
      <c r="H333">
        <f t="shared" si="245"/>
        <v>0</v>
      </c>
      <c r="I333">
        <f t="shared" si="246"/>
        <v>0</v>
      </c>
      <c r="J333">
        <f t="shared" si="247"/>
        <v>0</v>
      </c>
      <c r="K333">
        <f t="shared" si="248"/>
        <v>0</v>
      </c>
      <c r="L333">
        <f t="shared" si="249"/>
        <v>0</v>
      </c>
      <c r="M333">
        <f t="shared" si="250"/>
        <v>0</v>
      </c>
      <c r="N333">
        <f t="shared" si="251"/>
        <v>0</v>
      </c>
      <c r="O333">
        <f t="shared" si="252"/>
        <v>0</v>
      </c>
      <c r="P333">
        <f t="shared" si="253"/>
        <v>0</v>
      </c>
      <c r="Q333">
        <f t="shared" si="254"/>
        <v>0</v>
      </c>
      <c r="R333">
        <f t="shared" si="255"/>
        <v>0</v>
      </c>
      <c r="S333">
        <f t="shared" si="256"/>
        <v>0</v>
      </c>
      <c r="T333">
        <f t="shared" si="257"/>
        <v>0</v>
      </c>
      <c r="U333">
        <f t="shared" si="258"/>
        <v>0</v>
      </c>
      <c r="V333">
        <f t="shared" si="259"/>
        <v>0</v>
      </c>
      <c r="W333">
        <f t="shared" si="260"/>
        <v>0</v>
      </c>
      <c r="X333">
        <f t="shared" si="261"/>
        <v>0</v>
      </c>
      <c r="Y333">
        <f t="shared" si="262"/>
        <v>0</v>
      </c>
      <c r="Z333">
        <f t="shared" si="263"/>
        <v>0</v>
      </c>
      <c r="AA333">
        <f t="shared" si="264"/>
        <v>0</v>
      </c>
      <c r="AB333">
        <f t="shared" si="265"/>
        <v>0</v>
      </c>
      <c r="AC333">
        <f t="shared" si="266"/>
        <v>0</v>
      </c>
      <c r="AD333">
        <f t="shared" si="267"/>
        <v>0</v>
      </c>
      <c r="AE333">
        <f t="shared" si="268"/>
        <v>0</v>
      </c>
      <c r="AF333">
        <f t="shared" si="269"/>
        <v>0</v>
      </c>
      <c r="AG333">
        <f t="shared" si="270"/>
        <v>0</v>
      </c>
      <c r="AH333">
        <f t="shared" si="271"/>
        <v>0</v>
      </c>
      <c r="AI333">
        <f t="shared" si="272"/>
        <v>0</v>
      </c>
      <c r="AJ333">
        <f t="shared" si="273"/>
        <v>0</v>
      </c>
      <c r="AK333">
        <f t="shared" si="274"/>
        <v>0</v>
      </c>
      <c r="AL333">
        <f t="shared" si="275"/>
        <v>0</v>
      </c>
      <c r="AM333">
        <f t="shared" si="276"/>
        <v>0</v>
      </c>
      <c r="AN333">
        <f t="shared" si="277"/>
        <v>0</v>
      </c>
      <c r="AO333">
        <f t="shared" si="278"/>
        <v>0</v>
      </c>
      <c r="AP333">
        <f t="shared" si="279"/>
        <v>0</v>
      </c>
      <c r="AQ333">
        <f t="shared" si="280"/>
        <v>0</v>
      </c>
      <c r="AR333">
        <f t="shared" si="281"/>
        <v>0</v>
      </c>
      <c r="AS333">
        <f t="shared" si="282"/>
        <v>0</v>
      </c>
      <c r="AT333">
        <f t="shared" si="283"/>
        <v>0</v>
      </c>
      <c r="AU333">
        <f t="shared" si="284"/>
        <v>0</v>
      </c>
      <c r="AV333">
        <f t="shared" si="285"/>
        <v>0</v>
      </c>
      <c r="AW333">
        <f t="shared" si="240"/>
        <v>0</v>
      </c>
      <c r="AX333">
        <f t="shared" si="286"/>
        <v>0</v>
      </c>
      <c r="AY333">
        <f t="shared" si="287"/>
        <v>0</v>
      </c>
    </row>
    <row r="334" spans="1:51" x14ac:dyDescent="0.35">
      <c r="A334">
        <v>328</v>
      </c>
      <c r="C334">
        <f>MAX(0,Calc!$C$7-SUM(D334:R334))</f>
        <v>750</v>
      </c>
      <c r="D334">
        <f t="shared" si="241"/>
        <v>0</v>
      </c>
      <c r="E334">
        <f t="shared" si="242"/>
        <v>0</v>
      </c>
      <c r="F334">
        <f t="shared" si="243"/>
        <v>0</v>
      </c>
      <c r="G334">
        <f t="shared" si="244"/>
        <v>0</v>
      </c>
      <c r="H334">
        <f t="shared" si="245"/>
        <v>0</v>
      </c>
      <c r="I334">
        <f t="shared" si="246"/>
        <v>0</v>
      </c>
      <c r="J334">
        <f t="shared" si="247"/>
        <v>0</v>
      </c>
      <c r="K334">
        <f t="shared" si="248"/>
        <v>0</v>
      </c>
      <c r="L334">
        <f t="shared" si="249"/>
        <v>0</v>
      </c>
      <c r="M334">
        <f t="shared" si="250"/>
        <v>0</v>
      </c>
      <c r="N334">
        <f t="shared" si="251"/>
        <v>0</v>
      </c>
      <c r="O334">
        <f t="shared" si="252"/>
        <v>0</v>
      </c>
      <c r="P334">
        <f t="shared" si="253"/>
        <v>0</v>
      </c>
      <c r="Q334">
        <f t="shared" si="254"/>
        <v>0</v>
      </c>
      <c r="R334">
        <f t="shared" si="255"/>
        <v>0</v>
      </c>
      <c r="S334">
        <f t="shared" si="256"/>
        <v>0</v>
      </c>
      <c r="T334">
        <f t="shared" si="257"/>
        <v>0</v>
      </c>
      <c r="U334">
        <f t="shared" si="258"/>
        <v>0</v>
      </c>
      <c r="V334">
        <f t="shared" si="259"/>
        <v>0</v>
      </c>
      <c r="W334">
        <f t="shared" si="260"/>
        <v>0</v>
      </c>
      <c r="X334">
        <f t="shared" si="261"/>
        <v>0</v>
      </c>
      <c r="Y334">
        <f t="shared" si="262"/>
        <v>0</v>
      </c>
      <c r="Z334">
        <f t="shared" si="263"/>
        <v>0</v>
      </c>
      <c r="AA334">
        <f t="shared" si="264"/>
        <v>0</v>
      </c>
      <c r="AB334">
        <f t="shared" si="265"/>
        <v>0</v>
      </c>
      <c r="AC334">
        <f t="shared" si="266"/>
        <v>0</v>
      </c>
      <c r="AD334">
        <f t="shared" si="267"/>
        <v>0</v>
      </c>
      <c r="AE334">
        <f t="shared" si="268"/>
        <v>0</v>
      </c>
      <c r="AF334">
        <f t="shared" si="269"/>
        <v>0</v>
      </c>
      <c r="AG334">
        <f t="shared" si="270"/>
        <v>0</v>
      </c>
      <c r="AH334">
        <f t="shared" si="271"/>
        <v>0</v>
      </c>
      <c r="AI334">
        <f t="shared" si="272"/>
        <v>0</v>
      </c>
      <c r="AJ334">
        <f t="shared" si="273"/>
        <v>0</v>
      </c>
      <c r="AK334">
        <f t="shared" si="274"/>
        <v>0</v>
      </c>
      <c r="AL334">
        <f t="shared" si="275"/>
        <v>0</v>
      </c>
      <c r="AM334">
        <f t="shared" si="276"/>
        <v>0</v>
      </c>
      <c r="AN334">
        <f t="shared" si="277"/>
        <v>0</v>
      </c>
      <c r="AO334">
        <f t="shared" si="278"/>
        <v>0</v>
      </c>
      <c r="AP334">
        <f t="shared" si="279"/>
        <v>0</v>
      </c>
      <c r="AQ334">
        <f t="shared" si="280"/>
        <v>0</v>
      </c>
      <c r="AR334">
        <f t="shared" si="281"/>
        <v>0</v>
      </c>
      <c r="AS334">
        <f t="shared" si="282"/>
        <v>0</v>
      </c>
      <c r="AT334">
        <f t="shared" si="283"/>
        <v>0</v>
      </c>
      <c r="AU334">
        <f t="shared" si="284"/>
        <v>0</v>
      </c>
      <c r="AV334">
        <f t="shared" si="285"/>
        <v>0</v>
      </c>
      <c r="AW334">
        <f t="shared" si="240"/>
        <v>0</v>
      </c>
      <c r="AX334">
        <f t="shared" si="286"/>
        <v>0</v>
      </c>
      <c r="AY334">
        <f t="shared" si="287"/>
        <v>0</v>
      </c>
    </row>
    <row r="335" spans="1:51" x14ac:dyDescent="0.35">
      <c r="A335">
        <v>329</v>
      </c>
      <c r="C335">
        <f>MAX(0,Calc!$C$7-SUM(D335:R335))</f>
        <v>750</v>
      </c>
      <c r="D335">
        <f t="shared" si="241"/>
        <v>0</v>
      </c>
      <c r="E335">
        <f t="shared" si="242"/>
        <v>0</v>
      </c>
      <c r="F335">
        <f t="shared" si="243"/>
        <v>0</v>
      </c>
      <c r="G335">
        <f t="shared" si="244"/>
        <v>0</v>
      </c>
      <c r="H335">
        <f t="shared" si="245"/>
        <v>0</v>
      </c>
      <c r="I335">
        <f t="shared" si="246"/>
        <v>0</v>
      </c>
      <c r="J335">
        <f t="shared" si="247"/>
        <v>0</v>
      </c>
      <c r="K335">
        <f t="shared" si="248"/>
        <v>0</v>
      </c>
      <c r="L335">
        <f t="shared" si="249"/>
        <v>0</v>
      </c>
      <c r="M335">
        <f t="shared" si="250"/>
        <v>0</v>
      </c>
      <c r="N335">
        <f t="shared" si="251"/>
        <v>0</v>
      </c>
      <c r="O335">
        <f t="shared" si="252"/>
        <v>0</v>
      </c>
      <c r="P335">
        <f t="shared" si="253"/>
        <v>0</v>
      </c>
      <c r="Q335">
        <f t="shared" si="254"/>
        <v>0</v>
      </c>
      <c r="R335">
        <f t="shared" si="255"/>
        <v>0</v>
      </c>
      <c r="S335">
        <f t="shared" si="256"/>
        <v>0</v>
      </c>
      <c r="T335">
        <f t="shared" si="257"/>
        <v>0</v>
      </c>
      <c r="U335">
        <f t="shared" si="258"/>
        <v>0</v>
      </c>
      <c r="V335">
        <f t="shared" si="259"/>
        <v>0</v>
      </c>
      <c r="W335">
        <f t="shared" si="260"/>
        <v>0</v>
      </c>
      <c r="X335">
        <f t="shared" si="261"/>
        <v>0</v>
      </c>
      <c r="Y335">
        <f t="shared" si="262"/>
        <v>0</v>
      </c>
      <c r="Z335">
        <f t="shared" si="263"/>
        <v>0</v>
      </c>
      <c r="AA335">
        <f t="shared" si="264"/>
        <v>0</v>
      </c>
      <c r="AB335">
        <f t="shared" si="265"/>
        <v>0</v>
      </c>
      <c r="AC335">
        <f t="shared" si="266"/>
        <v>0</v>
      </c>
      <c r="AD335">
        <f t="shared" si="267"/>
        <v>0</v>
      </c>
      <c r="AE335">
        <f t="shared" si="268"/>
        <v>0</v>
      </c>
      <c r="AF335">
        <f t="shared" si="269"/>
        <v>0</v>
      </c>
      <c r="AG335">
        <f t="shared" si="270"/>
        <v>0</v>
      </c>
      <c r="AH335">
        <f t="shared" si="271"/>
        <v>0</v>
      </c>
      <c r="AI335">
        <f t="shared" si="272"/>
        <v>0</v>
      </c>
      <c r="AJ335">
        <f t="shared" si="273"/>
        <v>0</v>
      </c>
      <c r="AK335">
        <f t="shared" si="274"/>
        <v>0</v>
      </c>
      <c r="AL335">
        <f t="shared" si="275"/>
        <v>0</v>
      </c>
      <c r="AM335">
        <f t="shared" si="276"/>
        <v>0</v>
      </c>
      <c r="AN335">
        <f t="shared" si="277"/>
        <v>0</v>
      </c>
      <c r="AO335">
        <f t="shared" si="278"/>
        <v>0</v>
      </c>
      <c r="AP335">
        <f t="shared" si="279"/>
        <v>0</v>
      </c>
      <c r="AQ335">
        <f t="shared" si="280"/>
        <v>0</v>
      </c>
      <c r="AR335">
        <f t="shared" si="281"/>
        <v>0</v>
      </c>
      <c r="AS335">
        <f t="shared" si="282"/>
        <v>0</v>
      </c>
      <c r="AT335">
        <f t="shared" si="283"/>
        <v>0</v>
      </c>
      <c r="AU335">
        <f t="shared" si="284"/>
        <v>0</v>
      </c>
      <c r="AV335">
        <f t="shared" si="285"/>
        <v>0</v>
      </c>
      <c r="AW335">
        <f t="shared" si="240"/>
        <v>0</v>
      </c>
      <c r="AX335">
        <f t="shared" si="286"/>
        <v>0</v>
      </c>
      <c r="AY335">
        <f t="shared" si="287"/>
        <v>0</v>
      </c>
    </row>
    <row r="336" spans="1:51" x14ac:dyDescent="0.35">
      <c r="A336">
        <v>330</v>
      </c>
      <c r="C336">
        <f>MAX(0,Calc!$C$7-SUM(D336:R336))</f>
        <v>750</v>
      </c>
      <c r="D336">
        <f t="shared" si="241"/>
        <v>0</v>
      </c>
      <c r="E336">
        <f t="shared" si="242"/>
        <v>0</v>
      </c>
      <c r="F336">
        <f t="shared" si="243"/>
        <v>0</v>
      </c>
      <c r="G336">
        <f t="shared" si="244"/>
        <v>0</v>
      </c>
      <c r="H336">
        <f t="shared" si="245"/>
        <v>0</v>
      </c>
      <c r="I336">
        <f t="shared" si="246"/>
        <v>0</v>
      </c>
      <c r="J336">
        <f t="shared" si="247"/>
        <v>0</v>
      </c>
      <c r="K336">
        <f t="shared" si="248"/>
        <v>0</v>
      </c>
      <c r="L336">
        <f t="shared" si="249"/>
        <v>0</v>
      </c>
      <c r="M336">
        <f t="shared" si="250"/>
        <v>0</v>
      </c>
      <c r="N336">
        <f t="shared" si="251"/>
        <v>0</v>
      </c>
      <c r="O336">
        <f t="shared" si="252"/>
        <v>0</v>
      </c>
      <c r="P336">
        <f t="shared" si="253"/>
        <v>0</v>
      </c>
      <c r="Q336">
        <f t="shared" si="254"/>
        <v>0</v>
      </c>
      <c r="R336">
        <f t="shared" si="255"/>
        <v>0</v>
      </c>
      <c r="S336">
        <f t="shared" si="256"/>
        <v>0</v>
      </c>
      <c r="T336">
        <f t="shared" si="257"/>
        <v>0</v>
      </c>
      <c r="U336">
        <f t="shared" si="258"/>
        <v>0</v>
      </c>
      <c r="V336">
        <f t="shared" si="259"/>
        <v>0</v>
      </c>
      <c r="W336">
        <f t="shared" si="260"/>
        <v>0</v>
      </c>
      <c r="X336">
        <f t="shared" si="261"/>
        <v>0</v>
      </c>
      <c r="Y336">
        <f t="shared" si="262"/>
        <v>0</v>
      </c>
      <c r="Z336">
        <f t="shared" si="263"/>
        <v>0</v>
      </c>
      <c r="AA336">
        <f t="shared" si="264"/>
        <v>0</v>
      </c>
      <c r="AB336">
        <f t="shared" si="265"/>
        <v>0</v>
      </c>
      <c r="AC336">
        <f t="shared" si="266"/>
        <v>0</v>
      </c>
      <c r="AD336">
        <f t="shared" si="267"/>
        <v>0</v>
      </c>
      <c r="AE336">
        <f t="shared" si="268"/>
        <v>0</v>
      </c>
      <c r="AF336">
        <f t="shared" si="269"/>
        <v>0</v>
      </c>
      <c r="AG336">
        <f t="shared" si="270"/>
        <v>0</v>
      </c>
      <c r="AH336">
        <f t="shared" si="271"/>
        <v>0</v>
      </c>
      <c r="AI336">
        <f t="shared" si="272"/>
        <v>0</v>
      </c>
      <c r="AJ336">
        <f t="shared" si="273"/>
        <v>0</v>
      </c>
      <c r="AK336">
        <f t="shared" si="274"/>
        <v>0</v>
      </c>
      <c r="AL336">
        <f t="shared" si="275"/>
        <v>0</v>
      </c>
      <c r="AM336">
        <f t="shared" si="276"/>
        <v>0</v>
      </c>
      <c r="AN336">
        <f t="shared" si="277"/>
        <v>0</v>
      </c>
      <c r="AO336">
        <f t="shared" si="278"/>
        <v>0</v>
      </c>
      <c r="AP336">
        <f t="shared" si="279"/>
        <v>0</v>
      </c>
      <c r="AQ336">
        <f t="shared" si="280"/>
        <v>0</v>
      </c>
      <c r="AR336">
        <f t="shared" si="281"/>
        <v>0</v>
      </c>
      <c r="AS336">
        <f t="shared" si="282"/>
        <v>0</v>
      </c>
      <c r="AT336">
        <f t="shared" si="283"/>
        <v>0</v>
      </c>
      <c r="AU336">
        <f t="shared" si="284"/>
        <v>0</v>
      </c>
      <c r="AV336">
        <f t="shared" si="285"/>
        <v>0</v>
      </c>
      <c r="AW336">
        <f t="shared" si="240"/>
        <v>0</v>
      </c>
      <c r="AX336">
        <f t="shared" si="286"/>
        <v>0</v>
      </c>
      <c r="AY336">
        <f t="shared" si="287"/>
        <v>0</v>
      </c>
    </row>
    <row r="337" spans="1:51" x14ac:dyDescent="0.35">
      <c r="A337">
        <v>331</v>
      </c>
      <c r="C337">
        <f>MAX(0,Calc!$C$7-SUM(D337:R337))</f>
        <v>750</v>
      </c>
      <c r="D337">
        <f t="shared" si="241"/>
        <v>0</v>
      </c>
      <c r="E337">
        <f t="shared" si="242"/>
        <v>0</v>
      </c>
      <c r="F337">
        <f t="shared" si="243"/>
        <v>0</v>
      </c>
      <c r="G337">
        <f t="shared" si="244"/>
        <v>0</v>
      </c>
      <c r="H337">
        <f t="shared" si="245"/>
        <v>0</v>
      </c>
      <c r="I337">
        <f t="shared" si="246"/>
        <v>0</v>
      </c>
      <c r="J337">
        <f t="shared" si="247"/>
        <v>0</v>
      </c>
      <c r="K337">
        <f t="shared" si="248"/>
        <v>0</v>
      </c>
      <c r="L337">
        <f t="shared" si="249"/>
        <v>0</v>
      </c>
      <c r="M337">
        <f t="shared" si="250"/>
        <v>0</v>
      </c>
      <c r="N337">
        <f t="shared" si="251"/>
        <v>0</v>
      </c>
      <c r="O337">
        <f t="shared" si="252"/>
        <v>0</v>
      </c>
      <c r="P337">
        <f t="shared" si="253"/>
        <v>0</v>
      </c>
      <c r="Q337">
        <f t="shared" si="254"/>
        <v>0</v>
      </c>
      <c r="R337">
        <f t="shared" si="255"/>
        <v>0</v>
      </c>
      <c r="S337">
        <f t="shared" si="256"/>
        <v>0</v>
      </c>
      <c r="T337">
        <f t="shared" si="257"/>
        <v>0</v>
      </c>
      <c r="U337">
        <f t="shared" si="258"/>
        <v>0</v>
      </c>
      <c r="V337">
        <f t="shared" si="259"/>
        <v>0</v>
      </c>
      <c r="W337">
        <f t="shared" si="260"/>
        <v>0</v>
      </c>
      <c r="X337">
        <f t="shared" si="261"/>
        <v>0</v>
      </c>
      <c r="Y337">
        <f t="shared" si="262"/>
        <v>0</v>
      </c>
      <c r="Z337">
        <f t="shared" si="263"/>
        <v>0</v>
      </c>
      <c r="AA337">
        <f t="shared" si="264"/>
        <v>0</v>
      </c>
      <c r="AB337">
        <f t="shared" si="265"/>
        <v>0</v>
      </c>
      <c r="AC337">
        <f t="shared" si="266"/>
        <v>0</v>
      </c>
      <c r="AD337">
        <f t="shared" si="267"/>
        <v>0</v>
      </c>
      <c r="AE337">
        <f t="shared" si="268"/>
        <v>0</v>
      </c>
      <c r="AF337">
        <f t="shared" si="269"/>
        <v>0</v>
      </c>
      <c r="AG337">
        <f t="shared" si="270"/>
        <v>0</v>
      </c>
      <c r="AH337">
        <f t="shared" si="271"/>
        <v>0</v>
      </c>
      <c r="AI337">
        <f t="shared" si="272"/>
        <v>0</v>
      </c>
      <c r="AJ337">
        <f t="shared" si="273"/>
        <v>0</v>
      </c>
      <c r="AK337">
        <f t="shared" si="274"/>
        <v>0</v>
      </c>
      <c r="AL337">
        <f t="shared" si="275"/>
        <v>0</v>
      </c>
      <c r="AM337">
        <f t="shared" si="276"/>
        <v>0</v>
      </c>
      <c r="AN337">
        <f t="shared" si="277"/>
        <v>0</v>
      </c>
      <c r="AO337">
        <f t="shared" si="278"/>
        <v>0</v>
      </c>
      <c r="AP337">
        <f t="shared" si="279"/>
        <v>0</v>
      </c>
      <c r="AQ337">
        <f t="shared" si="280"/>
        <v>0</v>
      </c>
      <c r="AR337">
        <f t="shared" si="281"/>
        <v>0</v>
      </c>
      <c r="AS337">
        <f t="shared" si="282"/>
        <v>0</v>
      </c>
      <c r="AT337">
        <f t="shared" si="283"/>
        <v>0</v>
      </c>
      <c r="AU337">
        <f t="shared" si="284"/>
        <v>0</v>
      </c>
      <c r="AV337">
        <f t="shared" si="285"/>
        <v>0</v>
      </c>
      <c r="AW337">
        <f t="shared" si="240"/>
        <v>0</v>
      </c>
      <c r="AX337">
        <f t="shared" si="286"/>
        <v>0</v>
      </c>
      <c r="AY337">
        <f t="shared" si="287"/>
        <v>0</v>
      </c>
    </row>
    <row r="338" spans="1:51" x14ac:dyDescent="0.35">
      <c r="A338">
        <v>332</v>
      </c>
      <c r="C338">
        <f>MAX(0,Calc!$C$7-SUM(D338:R338))</f>
        <v>750</v>
      </c>
      <c r="D338">
        <f t="shared" si="241"/>
        <v>0</v>
      </c>
      <c r="E338">
        <f t="shared" si="242"/>
        <v>0</v>
      </c>
      <c r="F338">
        <f t="shared" si="243"/>
        <v>0</v>
      </c>
      <c r="G338">
        <f t="shared" si="244"/>
        <v>0</v>
      </c>
      <c r="H338">
        <f t="shared" si="245"/>
        <v>0</v>
      </c>
      <c r="I338">
        <f t="shared" si="246"/>
        <v>0</v>
      </c>
      <c r="J338">
        <f t="shared" si="247"/>
        <v>0</v>
      </c>
      <c r="K338">
        <f t="shared" si="248"/>
        <v>0</v>
      </c>
      <c r="L338">
        <f t="shared" si="249"/>
        <v>0</v>
      </c>
      <c r="M338">
        <f t="shared" si="250"/>
        <v>0</v>
      </c>
      <c r="N338">
        <f t="shared" si="251"/>
        <v>0</v>
      </c>
      <c r="O338">
        <f t="shared" si="252"/>
        <v>0</v>
      </c>
      <c r="P338">
        <f t="shared" si="253"/>
        <v>0</v>
      </c>
      <c r="Q338">
        <f t="shared" si="254"/>
        <v>0</v>
      </c>
      <c r="R338">
        <f t="shared" si="255"/>
        <v>0</v>
      </c>
      <c r="S338">
        <f t="shared" si="256"/>
        <v>0</v>
      </c>
      <c r="T338">
        <f t="shared" si="257"/>
        <v>0</v>
      </c>
      <c r="U338">
        <f t="shared" si="258"/>
        <v>0</v>
      </c>
      <c r="V338">
        <f t="shared" si="259"/>
        <v>0</v>
      </c>
      <c r="W338">
        <f t="shared" si="260"/>
        <v>0</v>
      </c>
      <c r="X338">
        <f t="shared" si="261"/>
        <v>0</v>
      </c>
      <c r="Y338">
        <f t="shared" si="262"/>
        <v>0</v>
      </c>
      <c r="Z338">
        <f t="shared" si="263"/>
        <v>0</v>
      </c>
      <c r="AA338">
        <f t="shared" si="264"/>
        <v>0</v>
      </c>
      <c r="AB338">
        <f t="shared" si="265"/>
        <v>0</v>
      </c>
      <c r="AC338">
        <f t="shared" si="266"/>
        <v>0</v>
      </c>
      <c r="AD338">
        <f t="shared" si="267"/>
        <v>0</v>
      </c>
      <c r="AE338">
        <f t="shared" si="268"/>
        <v>0</v>
      </c>
      <c r="AF338">
        <f t="shared" si="269"/>
        <v>0</v>
      </c>
      <c r="AG338">
        <f t="shared" si="270"/>
        <v>0</v>
      </c>
      <c r="AH338">
        <f t="shared" si="271"/>
        <v>0</v>
      </c>
      <c r="AI338">
        <f t="shared" si="272"/>
        <v>0</v>
      </c>
      <c r="AJ338">
        <f t="shared" si="273"/>
        <v>0</v>
      </c>
      <c r="AK338">
        <f t="shared" si="274"/>
        <v>0</v>
      </c>
      <c r="AL338">
        <f t="shared" si="275"/>
        <v>0</v>
      </c>
      <c r="AM338">
        <f t="shared" si="276"/>
        <v>0</v>
      </c>
      <c r="AN338">
        <f t="shared" si="277"/>
        <v>0</v>
      </c>
      <c r="AO338">
        <f t="shared" si="278"/>
        <v>0</v>
      </c>
      <c r="AP338">
        <f t="shared" si="279"/>
        <v>0</v>
      </c>
      <c r="AQ338">
        <f t="shared" si="280"/>
        <v>0</v>
      </c>
      <c r="AR338">
        <f t="shared" si="281"/>
        <v>0</v>
      </c>
      <c r="AS338">
        <f t="shared" si="282"/>
        <v>0</v>
      </c>
      <c r="AT338">
        <f t="shared" si="283"/>
        <v>0</v>
      </c>
      <c r="AU338">
        <f t="shared" si="284"/>
        <v>0</v>
      </c>
      <c r="AV338">
        <f t="shared" si="285"/>
        <v>0</v>
      </c>
      <c r="AW338">
        <f t="shared" si="240"/>
        <v>0</v>
      </c>
      <c r="AX338">
        <f t="shared" si="286"/>
        <v>0</v>
      </c>
      <c r="AY338">
        <f t="shared" si="287"/>
        <v>0</v>
      </c>
    </row>
    <row r="339" spans="1:51" x14ac:dyDescent="0.35">
      <c r="A339">
        <v>333</v>
      </c>
      <c r="C339">
        <f>MAX(0,Calc!$C$7-SUM(D339:R339))</f>
        <v>750</v>
      </c>
      <c r="D339">
        <f t="shared" si="241"/>
        <v>0</v>
      </c>
      <c r="E339">
        <f t="shared" si="242"/>
        <v>0</v>
      </c>
      <c r="F339">
        <f t="shared" si="243"/>
        <v>0</v>
      </c>
      <c r="G339">
        <f t="shared" si="244"/>
        <v>0</v>
      </c>
      <c r="H339">
        <f t="shared" si="245"/>
        <v>0</v>
      </c>
      <c r="I339">
        <f t="shared" si="246"/>
        <v>0</v>
      </c>
      <c r="J339">
        <f t="shared" si="247"/>
        <v>0</v>
      </c>
      <c r="K339">
        <f t="shared" si="248"/>
        <v>0</v>
      </c>
      <c r="L339">
        <f t="shared" si="249"/>
        <v>0</v>
      </c>
      <c r="M339">
        <f t="shared" si="250"/>
        <v>0</v>
      </c>
      <c r="N339">
        <f t="shared" si="251"/>
        <v>0</v>
      </c>
      <c r="O339">
        <f t="shared" si="252"/>
        <v>0</v>
      </c>
      <c r="P339">
        <f t="shared" si="253"/>
        <v>0</v>
      </c>
      <c r="Q339">
        <f t="shared" si="254"/>
        <v>0</v>
      </c>
      <c r="R339">
        <f t="shared" si="255"/>
        <v>0</v>
      </c>
      <c r="S339">
        <f t="shared" si="256"/>
        <v>0</v>
      </c>
      <c r="T339">
        <f t="shared" si="257"/>
        <v>0</v>
      </c>
      <c r="U339">
        <f t="shared" si="258"/>
        <v>0</v>
      </c>
      <c r="V339">
        <f t="shared" si="259"/>
        <v>0</v>
      </c>
      <c r="W339">
        <f t="shared" si="260"/>
        <v>0</v>
      </c>
      <c r="X339">
        <f t="shared" si="261"/>
        <v>0</v>
      </c>
      <c r="Y339">
        <f t="shared" si="262"/>
        <v>0</v>
      </c>
      <c r="Z339">
        <f t="shared" si="263"/>
        <v>0</v>
      </c>
      <c r="AA339">
        <f t="shared" si="264"/>
        <v>0</v>
      </c>
      <c r="AB339">
        <f t="shared" si="265"/>
        <v>0</v>
      </c>
      <c r="AC339">
        <f t="shared" si="266"/>
        <v>0</v>
      </c>
      <c r="AD339">
        <f t="shared" si="267"/>
        <v>0</v>
      </c>
      <c r="AE339">
        <f t="shared" si="268"/>
        <v>0</v>
      </c>
      <c r="AF339">
        <f t="shared" si="269"/>
        <v>0</v>
      </c>
      <c r="AG339">
        <f t="shared" si="270"/>
        <v>0</v>
      </c>
      <c r="AH339">
        <f t="shared" si="271"/>
        <v>0</v>
      </c>
      <c r="AI339">
        <f t="shared" si="272"/>
        <v>0</v>
      </c>
      <c r="AJ339">
        <f t="shared" si="273"/>
        <v>0</v>
      </c>
      <c r="AK339">
        <f t="shared" si="274"/>
        <v>0</v>
      </c>
      <c r="AL339">
        <f t="shared" si="275"/>
        <v>0</v>
      </c>
      <c r="AM339">
        <f t="shared" si="276"/>
        <v>0</v>
      </c>
      <c r="AN339">
        <f t="shared" si="277"/>
        <v>0</v>
      </c>
      <c r="AO339">
        <f t="shared" si="278"/>
        <v>0</v>
      </c>
      <c r="AP339">
        <f t="shared" si="279"/>
        <v>0</v>
      </c>
      <c r="AQ339">
        <f t="shared" si="280"/>
        <v>0</v>
      </c>
      <c r="AR339">
        <f t="shared" si="281"/>
        <v>0</v>
      </c>
      <c r="AS339">
        <f t="shared" si="282"/>
        <v>0</v>
      </c>
      <c r="AT339">
        <f t="shared" si="283"/>
        <v>0</v>
      </c>
      <c r="AU339">
        <f t="shared" si="284"/>
        <v>0</v>
      </c>
      <c r="AV339">
        <f t="shared" si="285"/>
        <v>0</v>
      </c>
      <c r="AW339">
        <f t="shared" si="240"/>
        <v>0</v>
      </c>
      <c r="AX339">
        <f t="shared" si="286"/>
        <v>0</v>
      </c>
      <c r="AY339">
        <f t="shared" si="287"/>
        <v>0</v>
      </c>
    </row>
    <row r="340" spans="1:51" x14ac:dyDescent="0.35">
      <c r="A340">
        <v>334</v>
      </c>
      <c r="C340">
        <f>MAX(0,Calc!$C$7-SUM(D340:R340))</f>
        <v>750</v>
      </c>
      <c r="D340">
        <f t="shared" si="241"/>
        <v>0</v>
      </c>
      <c r="E340">
        <f t="shared" si="242"/>
        <v>0</v>
      </c>
      <c r="F340">
        <f t="shared" si="243"/>
        <v>0</v>
      </c>
      <c r="G340">
        <f t="shared" si="244"/>
        <v>0</v>
      </c>
      <c r="H340">
        <f t="shared" si="245"/>
        <v>0</v>
      </c>
      <c r="I340">
        <f t="shared" si="246"/>
        <v>0</v>
      </c>
      <c r="J340">
        <f t="shared" si="247"/>
        <v>0</v>
      </c>
      <c r="K340">
        <f t="shared" si="248"/>
        <v>0</v>
      </c>
      <c r="L340">
        <f t="shared" si="249"/>
        <v>0</v>
      </c>
      <c r="M340">
        <f t="shared" si="250"/>
        <v>0</v>
      </c>
      <c r="N340">
        <f t="shared" si="251"/>
        <v>0</v>
      </c>
      <c r="O340">
        <f t="shared" si="252"/>
        <v>0</v>
      </c>
      <c r="P340">
        <f t="shared" si="253"/>
        <v>0</v>
      </c>
      <c r="Q340">
        <f t="shared" si="254"/>
        <v>0</v>
      </c>
      <c r="R340">
        <f t="shared" si="255"/>
        <v>0</v>
      </c>
      <c r="S340">
        <f t="shared" si="256"/>
        <v>0</v>
      </c>
      <c r="T340">
        <f t="shared" si="257"/>
        <v>0</v>
      </c>
      <c r="U340">
        <f t="shared" si="258"/>
        <v>0</v>
      </c>
      <c r="V340">
        <f t="shared" si="259"/>
        <v>0</v>
      </c>
      <c r="W340">
        <f t="shared" si="260"/>
        <v>0</v>
      </c>
      <c r="X340">
        <f t="shared" si="261"/>
        <v>0</v>
      </c>
      <c r="Y340">
        <f t="shared" si="262"/>
        <v>0</v>
      </c>
      <c r="Z340">
        <f t="shared" si="263"/>
        <v>0</v>
      </c>
      <c r="AA340">
        <f t="shared" si="264"/>
        <v>0</v>
      </c>
      <c r="AB340">
        <f t="shared" si="265"/>
        <v>0</v>
      </c>
      <c r="AC340">
        <f t="shared" si="266"/>
        <v>0</v>
      </c>
      <c r="AD340">
        <f t="shared" si="267"/>
        <v>0</v>
      </c>
      <c r="AE340">
        <f t="shared" si="268"/>
        <v>0</v>
      </c>
      <c r="AF340">
        <f t="shared" si="269"/>
        <v>0</v>
      </c>
      <c r="AG340">
        <f t="shared" si="270"/>
        <v>0</v>
      </c>
      <c r="AH340">
        <f t="shared" si="271"/>
        <v>0</v>
      </c>
      <c r="AI340">
        <f t="shared" si="272"/>
        <v>0</v>
      </c>
      <c r="AJ340">
        <f t="shared" si="273"/>
        <v>0</v>
      </c>
      <c r="AK340">
        <f t="shared" si="274"/>
        <v>0</v>
      </c>
      <c r="AL340">
        <f t="shared" si="275"/>
        <v>0</v>
      </c>
      <c r="AM340">
        <f t="shared" si="276"/>
        <v>0</v>
      </c>
      <c r="AN340">
        <f t="shared" si="277"/>
        <v>0</v>
      </c>
      <c r="AO340">
        <f t="shared" si="278"/>
        <v>0</v>
      </c>
      <c r="AP340">
        <f t="shared" si="279"/>
        <v>0</v>
      </c>
      <c r="AQ340">
        <f t="shared" si="280"/>
        <v>0</v>
      </c>
      <c r="AR340">
        <f t="shared" si="281"/>
        <v>0</v>
      </c>
      <c r="AS340">
        <f t="shared" si="282"/>
        <v>0</v>
      </c>
      <c r="AT340">
        <f t="shared" si="283"/>
        <v>0</v>
      </c>
      <c r="AU340">
        <f t="shared" si="284"/>
        <v>0</v>
      </c>
      <c r="AV340">
        <f t="shared" si="285"/>
        <v>0</v>
      </c>
      <c r="AW340">
        <f t="shared" si="240"/>
        <v>0</v>
      </c>
      <c r="AX340">
        <f t="shared" si="286"/>
        <v>0</v>
      </c>
      <c r="AY340">
        <f t="shared" si="287"/>
        <v>0</v>
      </c>
    </row>
    <row r="341" spans="1:51" x14ac:dyDescent="0.35">
      <c r="A341">
        <v>335</v>
      </c>
      <c r="C341">
        <f>MAX(0,Calc!$C$7-SUM(D341:R341))</f>
        <v>750</v>
      </c>
      <c r="D341">
        <f t="shared" si="241"/>
        <v>0</v>
      </c>
      <c r="E341">
        <f t="shared" si="242"/>
        <v>0</v>
      </c>
      <c r="F341">
        <f t="shared" si="243"/>
        <v>0</v>
      </c>
      <c r="G341">
        <f t="shared" si="244"/>
        <v>0</v>
      </c>
      <c r="H341">
        <f t="shared" si="245"/>
        <v>0</v>
      </c>
      <c r="I341">
        <f t="shared" si="246"/>
        <v>0</v>
      </c>
      <c r="J341">
        <f t="shared" si="247"/>
        <v>0</v>
      </c>
      <c r="K341">
        <f t="shared" si="248"/>
        <v>0</v>
      </c>
      <c r="L341">
        <f t="shared" si="249"/>
        <v>0</v>
      </c>
      <c r="M341">
        <f t="shared" si="250"/>
        <v>0</v>
      </c>
      <c r="N341">
        <f t="shared" si="251"/>
        <v>0</v>
      </c>
      <c r="O341">
        <f t="shared" si="252"/>
        <v>0</v>
      </c>
      <c r="P341">
        <f t="shared" si="253"/>
        <v>0</v>
      </c>
      <c r="Q341">
        <f t="shared" si="254"/>
        <v>0</v>
      </c>
      <c r="R341">
        <f t="shared" si="255"/>
        <v>0</v>
      </c>
      <c r="S341">
        <f t="shared" si="256"/>
        <v>0</v>
      </c>
      <c r="T341">
        <f t="shared" si="257"/>
        <v>0</v>
      </c>
      <c r="U341">
        <f t="shared" si="258"/>
        <v>0</v>
      </c>
      <c r="V341">
        <f t="shared" si="259"/>
        <v>0</v>
      </c>
      <c r="W341">
        <f t="shared" si="260"/>
        <v>0</v>
      </c>
      <c r="X341">
        <f t="shared" si="261"/>
        <v>0</v>
      </c>
      <c r="Y341">
        <f t="shared" si="262"/>
        <v>0</v>
      </c>
      <c r="Z341">
        <f t="shared" si="263"/>
        <v>0</v>
      </c>
      <c r="AA341">
        <f t="shared" si="264"/>
        <v>0</v>
      </c>
      <c r="AB341">
        <f t="shared" si="265"/>
        <v>0</v>
      </c>
      <c r="AC341">
        <f t="shared" si="266"/>
        <v>0</v>
      </c>
      <c r="AD341">
        <f t="shared" si="267"/>
        <v>0</v>
      </c>
      <c r="AE341">
        <f t="shared" si="268"/>
        <v>0</v>
      </c>
      <c r="AF341">
        <f t="shared" si="269"/>
        <v>0</v>
      </c>
      <c r="AG341">
        <f t="shared" si="270"/>
        <v>0</v>
      </c>
      <c r="AH341">
        <f t="shared" si="271"/>
        <v>0</v>
      </c>
      <c r="AI341">
        <f t="shared" si="272"/>
        <v>0</v>
      </c>
      <c r="AJ341">
        <f t="shared" si="273"/>
        <v>0</v>
      </c>
      <c r="AK341">
        <f t="shared" si="274"/>
        <v>0</v>
      </c>
      <c r="AL341">
        <f t="shared" si="275"/>
        <v>0</v>
      </c>
      <c r="AM341">
        <f t="shared" si="276"/>
        <v>0</v>
      </c>
      <c r="AN341">
        <f t="shared" si="277"/>
        <v>0</v>
      </c>
      <c r="AO341">
        <f t="shared" si="278"/>
        <v>0</v>
      </c>
      <c r="AP341">
        <f t="shared" si="279"/>
        <v>0</v>
      </c>
      <c r="AQ341">
        <f t="shared" si="280"/>
        <v>0</v>
      </c>
      <c r="AR341">
        <f t="shared" si="281"/>
        <v>0</v>
      </c>
      <c r="AS341">
        <f t="shared" si="282"/>
        <v>0</v>
      </c>
      <c r="AT341">
        <f t="shared" si="283"/>
        <v>0</v>
      </c>
      <c r="AU341">
        <f t="shared" si="284"/>
        <v>0</v>
      </c>
      <c r="AV341">
        <f t="shared" si="285"/>
        <v>0</v>
      </c>
      <c r="AW341">
        <f t="shared" si="240"/>
        <v>0</v>
      </c>
      <c r="AX341">
        <f t="shared" si="286"/>
        <v>0</v>
      </c>
      <c r="AY341">
        <f t="shared" si="287"/>
        <v>0</v>
      </c>
    </row>
    <row r="342" spans="1:51" x14ac:dyDescent="0.35">
      <c r="A342">
        <v>336</v>
      </c>
      <c r="C342">
        <f>MAX(0,Calc!$C$7-SUM(D342:R342))</f>
        <v>750</v>
      </c>
      <c r="D342">
        <f t="shared" si="241"/>
        <v>0</v>
      </c>
      <c r="E342">
        <f t="shared" si="242"/>
        <v>0</v>
      </c>
      <c r="F342">
        <f t="shared" si="243"/>
        <v>0</v>
      </c>
      <c r="G342">
        <f t="shared" si="244"/>
        <v>0</v>
      </c>
      <c r="H342">
        <f t="shared" si="245"/>
        <v>0</v>
      </c>
      <c r="I342">
        <f t="shared" si="246"/>
        <v>0</v>
      </c>
      <c r="J342">
        <f t="shared" si="247"/>
        <v>0</v>
      </c>
      <c r="K342">
        <f t="shared" si="248"/>
        <v>0</v>
      </c>
      <c r="L342">
        <f t="shared" si="249"/>
        <v>0</v>
      </c>
      <c r="M342">
        <f t="shared" si="250"/>
        <v>0</v>
      </c>
      <c r="N342">
        <f t="shared" si="251"/>
        <v>0</v>
      </c>
      <c r="O342">
        <f t="shared" si="252"/>
        <v>0</v>
      </c>
      <c r="P342">
        <f t="shared" si="253"/>
        <v>0</v>
      </c>
      <c r="Q342">
        <f t="shared" si="254"/>
        <v>0</v>
      </c>
      <c r="R342">
        <f t="shared" si="255"/>
        <v>0</v>
      </c>
      <c r="S342">
        <f t="shared" si="256"/>
        <v>0</v>
      </c>
      <c r="T342">
        <f t="shared" si="257"/>
        <v>0</v>
      </c>
      <c r="U342">
        <f t="shared" si="258"/>
        <v>0</v>
      </c>
      <c r="V342">
        <f t="shared" si="259"/>
        <v>0</v>
      </c>
      <c r="W342">
        <f t="shared" si="260"/>
        <v>0</v>
      </c>
      <c r="X342">
        <f t="shared" si="261"/>
        <v>0</v>
      </c>
      <c r="Y342">
        <f t="shared" si="262"/>
        <v>0</v>
      </c>
      <c r="Z342">
        <f t="shared" si="263"/>
        <v>0</v>
      </c>
      <c r="AA342">
        <f t="shared" si="264"/>
        <v>0</v>
      </c>
      <c r="AB342">
        <f t="shared" si="265"/>
        <v>0</v>
      </c>
      <c r="AC342">
        <f t="shared" si="266"/>
        <v>0</v>
      </c>
      <c r="AD342">
        <f t="shared" si="267"/>
        <v>0</v>
      </c>
      <c r="AE342">
        <f t="shared" si="268"/>
        <v>0</v>
      </c>
      <c r="AF342">
        <f t="shared" si="269"/>
        <v>0</v>
      </c>
      <c r="AG342">
        <f t="shared" si="270"/>
        <v>0</v>
      </c>
      <c r="AH342">
        <f t="shared" si="271"/>
        <v>0</v>
      </c>
      <c r="AI342">
        <f t="shared" si="272"/>
        <v>0</v>
      </c>
      <c r="AJ342">
        <f t="shared" si="273"/>
        <v>0</v>
      </c>
      <c r="AK342">
        <f t="shared" si="274"/>
        <v>0</v>
      </c>
      <c r="AL342">
        <f t="shared" si="275"/>
        <v>0</v>
      </c>
      <c r="AM342">
        <f t="shared" si="276"/>
        <v>0</v>
      </c>
      <c r="AN342">
        <f t="shared" si="277"/>
        <v>0</v>
      </c>
      <c r="AO342">
        <f t="shared" si="278"/>
        <v>0</v>
      </c>
      <c r="AP342">
        <f t="shared" si="279"/>
        <v>0</v>
      </c>
      <c r="AQ342">
        <f t="shared" si="280"/>
        <v>0</v>
      </c>
      <c r="AR342">
        <f t="shared" si="281"/>
        <v>0</v>
      </c>
      <c r="AS342">
        <f t="shared" si="282"/>
        <v>0</v>
      </c>
      <c r="AT342">
        <f t="shared" si="283"/>
        <v>0</v>
      </c>
      <c r="AU342">
        <f t="shared" si="284"/>
        <v>0</v>
      </c>
      <c r="AV342">
        <f t="shared" si="285"/>
        <v>0</v>
      </c>
      <c r="AW342">
        <f t="shared" si="240"/>
        <v>0</v>
      </c>
      <c r="AX342">
        <f t="shared" si="286"/>
        <v>0</v>
      </c>
      <c r="AY342">
        <f t="shared" si="287"/>
        <v>0</v>
      </c>
    </row>
    <row r="343" spans="1:51" x14ac:dyDescent="0.35">
      <c r="A343">
        <v>337</v>
      </c>
      <c r="C343">
        <f>MAX(0,Calc!$C$7-SUM(D343:R343))</f>
        <v>750</v>
      </c>
      <c r="D343">
        <f t="shared" si="241"/>
        <v>0</v>
      </c>
      <c r="E343">
        <f t="shared" si="242"/>
        <v>0</v>
      </c>
      <c r="F343">
        <f t="shared" si="243"/>
        <v>0</v>
      </c>
      <c r="G343">
        <f t="shared" si="244"/>
        <v>0</v>
      </c>
      <c r="H343">
        <f t="shared" si="245"/>
        <v>0</v>
      </c>
      <c r="I343">
        <f t="shared" si="246"/>
        <v>0</v>
      </c>
      <c r="J343">
        <f t="shared" si="247"/>
        <v>0</v>
      </c>
      <c r="K343">
        <f t="shared" si="248"/>
        <v>0</v>
      </c>
      <c r="L343">
        <f t="shared" si="249"/>
        <v>0</v>
      </c>
      <c r="M343">
        <f t="shared" si="250"/>
        <v>0</v>
      </c>
      <c r="N343">
        <f t="shared" si="251"/>
        <v>0</v>
      </c>
      <c r="O343">
        <f t="shared" si="252"/>
        <v>0</v>
      </c>
      <c r="P343">
        <f t="shared" si="253"/>
        <v>0</v>
      </c>
      <c r="Q343">
        <f t="shared" si="254"/>
        <v>0</v>
      </c>
      <c r="R343">
        <f t="shared" si="255"/>
        <v>0</v>
      </c>
      <c r="S343">
        <f t="shared" si="256"/>
        <v>0</v>
      </c>
      <c r="T343">
        <f t="shared" si="257"/>
        <v>0</v>
      </c>
      <c r="U343">
        <f t="shared" si="258"/>
        <v>0</v>
      </c>
      <c r="V343">
        <f t="shared" si="259"/>
        <v>0</v>
      </c>
      <c r="W343">
        <f t="shared" si="260"/>
        <v>0</v>
      </c>
      <c r="X343">
        <f t="shared" si="261"/>
        <v>0</v>
      </c>
      <c r="Y343">
        <f t="shared" si="262"/>
        <v>0</v>
      </c>
      <c r="Z343">
        <f t="shared" si="263"/>
        <v>0</v>
      </c>
      <c r="AA343">
        <f t="shared" si="264"/>
        <v>0</v>
      </c>
      <c r="AB343">
        <f t="shared" si="265"/>
        <v>0</v>
      </c>
      <c r="AC343">
        <f t="shared" si="266"/>
        <v>0</v>
      </c>
      <c r="AD343">
        <f t="shared" si="267"/>
        <v>0</v>
      </c>
      <c r="AE343">
        <f t="shared" si="268"/>
        <v>0</v>
      </c>
      <c r="AF343">
        <f t="shared" si="269"/>
        <v>0</v>
      </c>
      <c r="AG343">
        <f t="shared" si="270"/>
        <v>0</v>
      </c>
      <c r="AH343">
        <f t="shared" si="271"/>
        <v>0</v>
      </c>
      <c r="AI343">
        <f t="shared" si="272"/>
        <v>0</v>
      </c>
      <c r="AJ343">
        <f t="shared" si="273"/>
        <v>0</v>
      </c>
      <c r="AK343">
        <f t="shared" si="274"/>
        <v>0</v>
      </c>
      <c r="AL343">
        <f t="shared" si="275"/>
        <v>0</v>
      </c>
      <c r="AM343">
        <f t="shared" si="276"/>
        <v>0</v>
      </c>
      <c r="AN343">
        <f t="shared" si="277"/>
        <v>0</v>
      </c>
      <c r="AO343">
        <f t="shared" si="278"/>
        <v>0</v>
      </c>
      <c r="AP343">
        <f t="shared" si="279"/>
        <v>0</v>
      </c>
      <c r="AQ343">
        <f t="shared" si="280"/>
        <v>0</v>
      </c>
      <c r="AR343">
        <f t="shared" si="281"/>
        <v>0</v>
      </c>
      <c r="AS343">
        <f t="shared" si="282"/>
        <v>0</v>
      </c>
      <c r="AT343">
        <f t="shared" si="283"/>
        <v>0</v>
      </c>
      <c r="AU343">
        <f t="shared" si="284"/>
        <v>0</v>
      </c>
      <c r="AV343">
        <f t="shared" si="285"/>
        <v>0</v>
      </c>
      <c r="AW343">
        <f t="shared" si="240"/>
        <v>0</v>
      </c>
      <c r="AX343">
        <f t="shared" si="286"/>
        <v>0</v>
      </c>
      <c r="AY343">
        <f t="shared" si="287"/>
        <v>0</v>
      </c>
    </row>
    <row r="344" spans="1:51" x14ac:dyDescent="0.35">
      <c r="A344">
        <v>338</v>
      </c>
      <c r="C344">
        <f>MAX(0,Calc!$C$7-SUM(D344:R344))</f>
        <v>750</v>
      </c>
      <c r="D344">
        <f t="shared" si="241"/>
        <v>0</v>
      </c>
      <c r="E344">
        <f t="shared" si="242"/>
        <v>0</v>
      </c>
      <c r="F344">
        <f t="shared" si="243"/>
        <v>0</v>
      </c>
      <c r="G344">
        <f t="shared" si="244"/>
        <v>0</v>
      </c>
      <c r="H344">
        <f t="shared" si="245"/>
        <v>0</v>
      </c>
      <c r="I344">
        <f t="shared" si="246"/>
        <v>0</v>
      </c>
      <c r="J344">
        <f t="shared" si="247"/>
        <v>0</v>
      </c>
      <c r="K344">
        <f t="shared" si="248"/>
        <v>0</v>
      </c>
      <c r="L344">
        <f t="shared" si="249"/>
        <v>0</v>
      </c>
      <c r="M344">
        <f t="shared" si="250"/>
        <v>0</v>
      </c>
      <c r="N344">
        <f t="shared" si="251"/>
        <v>0</v>
      </c>
      <c r="O344">
        <f t="shared" si="252"/>
        <v>0</v>
      </c>
      <c r="P344">
        <f t="shared" si="253"/>
        <v>0</v>
      </c>
      <c r="Q344">
        <f t="shared" si="254"/>
        <v>0</v>
      </c>
      <c r="R344">
        <f t="shared" si="255"/>
        <v>0</v>
      </c>
      <c r="S344">
        <f t="shared" si="256"/>
        <v>0</v>
      </c>
      <c r="T344">
        <f t="shared" si="257"/>
        <v>0</v>
      </c>
      <c r="U344">
        <f t="shared" si="258"/>
        <v>0</v>
      </c>
      <c r="V344">
        <f t="shared" si="259"/>
        <v>0</v>
      </c>
      <c r="W344">
        <f t="shared" si="260"/>
        <v>0</v>
      </c>
      <c r="X344">
        <f t="shared" si="261"/>
        <v>0</v>
      </c>
      <c r="Y344">
        <f t="shared" si="262"/>
        <v>0</v>
      </c>
      <c r="Z344">
        <f t="shared" si="263"/>
        <v>0</v>
      </c>
      <c r="AA344">
        <f t="shared" si="264"/>
        <v>0</v>
      </c>
      <c r="AB344">
        <f t="shared" si="265"/>
        <v>0</v>
      </c>
      <c r="AC344">
        <f t="shared" si="266"/>
        <v>0</v>
      </c>
      <c r="AD344">
        <f t="shared" si="267"/>
        <v>0</v>
      </c>
      <c r="AE344">
        <f t="shared" si="268"/>
        <v>0</v>
      </c>
      <c r="AF344">
        <f t="shared" si="269"/>
        <v>0</v>
      </c>
      <c r="AG344">
        <f t="shared" si="270"/>
        <v>0</v>
      </c>
      <c r="AH344">
        <f t="shared" si="271"/>
        <v>0</v>
      </c>
      <c r="AI344">
        <f t="shared" si="272"/>
        <v>0</v>
      </c>
      <c r="AJ344">
        <f t="shared" si="273"/>
        <v>0</v>
      </c>
      <c r="AK344">
        <f t="shared" si="274"/>
        <v>0</v>
      </c>
      <c r="AL344">
        <f t="shared" si="275"/>
        <v>0</v>
      </c>
      <c r="AM344">
        <f t="shared" si="276"/>
        <v>0</v>
      </c>
      <c r="AN344">
        <f t="shared" si="277"/>
        <v>0</v>
      </c>
      <c r="AO344">
        <f t="shared" si="278"/>
        <v>0</v>
      </c>
      <c r="AP344">
        <f t="shared" si="279"/>
        <v>0</v>
      </c>
      <c r="AQ344">
        <f t="shared" si="280"/>
        <v>0</v>
      </c>
      <c r="AR344">
        <f t="shared" si="281"/>
        <v>0</v>
      </c>
      <c r="AS344">
        <f t="shared" si="282"/>
        <v>0</v>
      </c>
      <c r="AT344">
        <f t="shared" si="283"/>
        <v>0</v>
      </c>
      <c r="AU344">
        <f t="shared" si="284"/>
        <v>0</v>
      </c>
      <c r="AV344">
        <f t="shared" si="285"/>
        <v>0</v>
      </c>
      <c r="AW344">
        <f t="shared" si="240"/>
        <v>0</v>
      </c>
      <c r="AX344">
        <f t="shared" si="286"/>
        <v>0</v>
      </c>
      <c r="AY344">
        <f t="shared" si="287"/>
        <v>0</v>
      </c>
    </row>
    <row r="345" spans="1:51" x14ac:dyDescent="0.35">
      <c r="A345">
        <v>339</v>
      </c>
      <c r="C345">
        <f>MAX(0,Calc!$C$7-SUM(D345:R345))</f>
        <v>750</v>
      </c>
      <c r="D345">
        <f t="shared" si="241"/>
        <v>0</v>
      </c>
      <c r="E345">
        <f t="shared" si="242"/>
        <v>0</v>
      </c>
      <c r="F345">
        <f t="shared" si="243"/>
        <v>0</v>
      </c>
      <c r="G345">
        <f t="shared" si="244"/>
        <v>0</v>
      </c>
      <c r="H345">
        <f t="shared" si="245"/>
        <v>0</v>
      </c>
      <c r="I345">
        <f t="shared" si="246"/>
        <v>0</v>
      </c>
      <c r="J345">
        <f t="shared" si="247"/>
        <v>0</v>
      </c>
      <c r="K345">
        <f t="shared" si="248"/>
        <v>0</v>
      </c>
      <c r="L345">
        <f t="shared" si="249"/>
        <v>0</v>
      </c>
      <c r="M345">
        <f t="shared" si="250"/>
        <v>0</v>
      </c>
      <c r="N345">
        <f t="shared" si="251"/>
        <v>0</v>
      </c>
      <c r="O345">
        <f t="shared" si="252"/>
        <v>0</v>
      </c>
      <c r="P345">
        <f t="shared" si="253"/>
        <v>0</v>
      </c>
      <c r="Q345">
        <f t="shared" si="254"/>
        <v>0</v>
      </c>
      <c r="R345">
        <f t="shared" si="255"/>
        <v>0</v>
      </c>
      <c r="S345">
        <f t="shared" si="256"/>
        <v>0</v>
      </c>
      <c r="T345">
        <f t="shared" si="257"/>
        <v>0</v>
      </c>
      <c r="U345">
        <f t="shared" si="258"/>
        <v>0</v>
      </c>
      <c r="V345">
        <f t="shared" si="259"/>
        <v>0</v>
      </c>
      <c r="W345">
        <f t="shared" si="260"/>
        <v>0</v>
      </c>
      <c r="X345">
        <f t="shared" si="261"/>
        <v>0</v>
      </c>
      <c r="Y345">
        <f t="shared" si="262"/>
        <v>0</v>
      </c>
      <c r="Z345">
        <f t="shared" si="263"/>
        <v>0</v>
      </c>
      <c r="AA345">
        <f t="shared" si="264"/>
        <v>0</v>
      </c>
      <c r="AB345">
        <f t="shared" si="265"/>
        <v>0</v>
      </c>
      <c r="AC345">
        <f t="shared" si="266"/>
        <v>0</v>
      </c>
      <c r="AD345">
        <f t="shared" si="267"/>
        <v>0</v>
      </c>
      <c r="AE345">
        <f t="shared" si="268"/>
        <v>0</v>
      </c>
      <c r="AF345">
        <f t="shared" si="269"/>
        <v>0</v>
      </c>
      <c r="AG345">
        <f t="shared" si="270"/>
        <v>0</v>
      </c>
      <c r="AH345">
        <f t="shared" si="271"/>
        <v>0</v>
      </c>
      <c r="AI345">
        <f t="shared" si="272"/>
        <v>0</v>
      </c>
      <c r="AJ345">
        <f t="shared" si="273"/>
        <v>0</v>
      </c>
      <c r="AK345">
        <f t="shared" si="274"/>
        <v>0</v>
      </c>
      <c r="AL345">
        <f t="shared" si="275"/>
        <v>0</v>
      </c>
      <c r="AM345">
        <f t="shared" si="276"/>
        <v>0</v>
      </c>
      <c r="AN345">
        <f t="shared" si="277"/>
        <v>0</v>
      </c>
      <c r="AO345">
        <f t="shared" si="278"/>
        <v>0</v>
      </c>
      <c r="AP345">
        <f t="shared" si="279"/>
        <v>0</v>
      </c>
      <c r="AQ345">
        <f t="shared" si="280"/>
        <v>0</v>
      </c>
      <c r="AR345">
        <f t="shared" si="281"/>
        <v>0</v>
      </c>
      <c r="AS345">
        <f t="shared" si="282"/>
        <v>0</v>
      </c>
      <c r="AT345">
        <f t="shared" si="283"/>
        <v>0</v>
      </c>
      <c r="AU345">
        <f t="shared" si="284"/>
        <v>0</v>
      </c>
      <c r="AV345">
        <f t="shared" si="285"/>
        <v>0</v>
      </c>
      <c r="AW345">
        <f t="shared" si="240"/>
        <v>0</v>
      </c>
      <c r="AX345">
        <f t="shared" si="286"/>
        <v>0</v>
      </c>
      <c r="AY345">
        <f t="shared" si="287"/>
        <v>0</v>
      </c>
    </row>
    <row r="346" spans="1:51" x14ac:dyDescent="0.35">
      <c r="A346">
        <v>340</v>
      </c>
      <c r="C346">
        <f>MAX(0,Calc!$C$7-SUM(D346:R346))</f>
        <v>750</v>
      </c>
      <c r="D346">
        <f t="shared" si="241"/>
        <v>0</v>
      </c>
      <c r="E346">
        <f t="shared" si="242"/>
        <v>0</v>
      </c>
      <c r="F346">
        <f t="shared" si="243"/>
        <v>0</v>
      </c>
      <c r="G346">
        <f t="shared" si="244"/>
        <v>0</v>
      </c>
      <c r="H346">
        <f t="shared" si="245"/>
        <v>0</v>
      </c>
      <c r="I346">
        <f t="shared" si="246"/>
        <v>0</v>
      </c>
      <c r="J346">
        <f t="shared" si="247"/>
        <v>0</v>
      </c>
      <c r="K346">
        <f t="shared" si="248"/>
        <v>0</v>
      </c>
      <c r="L346">
        <f t="shared" si="249"/>
        <v>0</v>
      </c>
      <c r="M346">
        <f t="shared" si="250"/>
        <v>0</v>
      </c>
      <c r="N346">
        <f t="shared" si="251"/>
        <v>0</v>
      </c>
      <c r="O346">
        <f t="shared" si="252"/>
        <v>0</v>
      </c>
      <c r="P346">
        <f t="shared" si="253"/>
        <v>0</v>
      </c>
      <c r="Q346">
        <f t="shared" si="254"/>
        <v>0</v>
      </c>
      <c r="R346">
        <f t="shared" si="255"/>
        <v>0</v>
      </c>
      <c r="S346">
        <f t="shared" si="256"/>
        <v>0</v>
      </c>
      <c r="T346">
        <f t="shared" si="257"/>
        <v>0</v>
      </c>
      <c r="U346">
        <f t="shared" si="258"/>
        <v>0</v>
      </c>
      <c r="V346">
        <f t="shared" si="259"/>
        <v>0</v>
      </c>
      <c r="W346">
        <f t="shared" si="260"/>
        <v>0</v>
      </c>
      <c r="X346">
        <f t="shared" si="261"/>
        <v>0</v>
      </c>
      <c r="Y346">
        <f t="shared" si="262"/>
        <v>0</v>
      </c>
      <c r="Z346">
        <f t="shared" si="263"/>
        <v>0</v>
      </c>
      <c r="AA346">
        <f t="shared" si="264"/>
        <v>0</v>
      </c>
      <c r="AB346">
        <f t="shared" si="265"/>
        <v>0</v>
      </c>
      <c r="AC346">
        <f t="shared" si="266"/>
        <v>0</v>
      </c>
      <c r="AD346">
        <f t="shared" si="267"/>
        <v>0</v>
      </c>
      <c r="AE346">
        <f t="shared" si="268"/>
        <v>0</v>
      </c>
      <c r="AF346">
        <f t="shared" si="269"/>
        <v>0</v>
      </c>
      <c r="AG346">
        <f t="shared" si="270"/>
        <v>0</v>
      </c>
      <c r="AH346">
        <f t="shared" si="271"/>
        <v>0</v>
      </c>
      <c r="AI346">
        <f t="shared" si="272"/>
        <v>0</v>
      </c>
      <c r="AJ346">
        <f t="shared" si="273"/>
        <v>0</v>
      </c>
      <c r="AK346">
        <f t="shared" si="274"/>
        <v>0</v>
      </c>
      <c r="AL346">
        <f t="shared" si="275"/>
        <v>0</v>
      </c>
      <c r="AM346">
        <f t="shared" si="276"/>
        <v>0</v>
      </c>
      <c r="AN346">
        <f t="shared" si="277"/>
        <v>0</v>
      </c>
      <c r="AO346">
        <f t="shared" si="278"/>
        <v>0</v>
      </c>
      <c r="AP346">
        <f t="shared" si="279"/>
        <v>0</v>
      </c>
      <c r="AQ346">
        <f t="shared" si="280"/>
        <v>0</v>
      </c>
      <c r="AR346">
        <f t="shared" si="281"/>
        <v>0</v>
      </c>
      <c r="AS346">
        <f t="shared" si="282"/>
        <v>0</v>
      </c>
      <c r="AT346">
        <f t="shared" si="283"/>
        <v>0</v>
      </c>
      <c r="AU346">
        <f t="shared" si="284"/>
        <v>0</v>
      </c>
      <c r="AV346">
        <f t="shared" si="285"/>
        <v>0</v>
      </c>
      <c r="AW346">
        <f t="shared" si="240"/>
        <v>0</v>
      </c>
      <c r="AX346">
        <f t="shared" si="286"/>
        <v>0</v>
      </c>
      <c r="AY346">
        <f t="shared" si="287"/>
        <v>0</v>
      </c>
    </row>
    <row r="347" spans="1:51" x14ac:dyDescent="0.35">
      <c r="A347">
        <v>341</v>
      </c>
      <c r="C347">
        <f>MAX(0,Calc!$C$7-SUM(D347:R347))</f>
        <v>750</v>
      </c>
      <c r="D347">
        <f t="shared" si="241"/>
        <v>0</v>
      </c>
      <c r="E347">
        <f t="shared" si="242"/>
        <v>0</v>
      </c>
      <c r="F347">
        <f t="shared" si="243"/>
        <v>0</v>
      </c>
      <c r="G347">
        <f t="shared" si="244"/>
        <v>0</v>
      </c>
      <c r="H347">
        <f t="shared" si="245"/>
        <v>0</v>
      </c>
      <c r="I347">
        <f t="shared" si="246"/>
        <v>0</v>
      </c>
      <c r="J347">
        <f t="shared" si="247"/>
        <v>0</v>
      </c>
      <c r="K347">
        <f t="shared" si="248"/>
        <v>0</v>
      </c>
      <c r="L347">
        <f t="shared" si="249"/>
        <v>0</v>
      </c>
      <c r="M347">
        <f t="shared" si="250"/>
        <v>0</v>
      </c>
      <c r="N347">
        <f t="shared" si="251"/>
        <v>0</v>
      </c>
      <c r="O347">
        <f t="shared" si="252"/>
        <v>0</v>
      </c>
      <c r="P347">
        <f t="shared" si="253"/>
        <v>0</v>
      </c>
      <c r="Q347">
        <f t="shared" si="254"/>
        <v>0</v>
      </c>
      <c r="R347">
        <f t="shared" si="255"/>
        <v>0</v>
      </c>
      <c r="S347">
        <f t="shared" si="256"/>
        <v>0</v>
      </c>
      <c r="T347">
        <f t="shared" si="257"/>
        <v>0</v>
      </c>
      <c r="U347">
        <f t="shared" si="258"/>
        <v>0</v>
      </c>
      <c r="V347">
        <f t="shared" si="259"/>
        <v>0</v>
      </c>
      <c r="W347">
        <f t="shared" si="260"/>
        <v>0</v>
      </c>
      <c r="X347">
        <f t="shared" si="261"/>
        <v>0</v>
      </c>
      <c r="Y347">
        <f t="shared" si="262"/>
        <v>0</v>
      </c>
      <c r="Z347">
        <f t="shared" si="263"/>
        <v>0</v>
      </c>
      <c r="AA347">
        <f t="shared" si="264"/>
        <v>0</v>
      </c>
      <c r="AB347">
        <f t="shared" si="265"/>
        <v>0</v>
      </c>
      <c r="AC347">
        <f t="shared" si="266"/>
        <v>0</v>
      </c>
      <c r="AD347">
        <f t="shared" si="267"/>
        <v>0</v>
      </c>
      <c r="AE347">
        <f t="shared" si="268"/>
        <v>0</v>
      </c>
      <c r="AF347">
        <f t="shared" si="269"/>
        <v>0</v>
      </c>
      <c r="AG347">
        <f t="shared" si="270"/>
        <v>0</v>
      </c>
      <c r="AH347">
        <f t="shared" si="271"/>
        <v>0</v>
      </c>
      <c r="AI347">
        <f t="shared" si="272"/>
        <v>0</v>
      </c>
      <c r="AJ347">
        <f t="shared" si="273"/>
        <v>0</v>
      </c>
      <c r="AK347">
        <f t="shared" si="274"/>
        <v>0</v>
      </c>
      <c r="AL347">
        <f t="shared" si="275"/>
        <v>0</v>
      </c>
      <c r="AM347">
        <f t="shared" si="276"/>
        <v>0</v>
      </c>
      <c r="AN347">
        <f t="shared" si="277"/>
        <v>0</v>
      </c>
      <c r="AO347">
        <f t="shared" si="278"/>
        <v>0</v>
      </c>
      <c r="AP347">
        <f t="shared" si="279"/>
        <v>0</v>
      </c>
      <c r="AQ347">
        <f t="shared" si="280"/>
        <v>0</v>
      </c>
      <c r="AR347">
        <f t="shared" si="281"/>
        <v>0</v>
      </c>
      <c r="AS347">
        <f t="shared" si="282"/>
        <v>0</v>
      </c>
      <c r="AT347">
        <f t="shared" si="283"/>
        <v>0</v>
      </c>
      <c r="AU347">
        <f t="shared" si="284"/>
        <v>0</v>
      </c>
      <c r="AV347">
        <f t="shared" si="285"/>
        <v>0</v>
      </c>
      <c r="AW347">
        <f t="shared" si="240"/>
        <v>0</v>
      </c>
      <c r="AX347">
        <f t="shared" si="286"/>
        <v>0</v>
      </c>
      <c r="AY347">
        <f t="shared" si="287"/>
        <v>0</v>
      </c>
    </row>
    <row r="348" spans="1:51" x14ac:dyDescent="0.35">
      <c r="A348">
        <v>342</v>
      </c>
      <c r="C348">
        <f>MAX(0,Calc!$C$7-SUM(D348:R348))</f>
        <v>750</v>
      </c>
      <c r="D348">
        <f t="shared" si="241"/>
        <v>0</v>
      </c>
      <c r="E348">
        <f t="shared" si="242"/>
        <v>0</v>
      </c>
      <c r="F348">
        <f t="shared" si="243"/>
        <v>0</v>
      </c>
      <c r="G348">
        <f t="shared" si="244"/>
        <v>0</v>
      </c>
      <c r="H348">
        <f t="shared" si="245"/>
        <v>0</v>
      </c>
      <c r="I348">
        <f t="shared" si="246"/>
        <v>0</v>
      </c>
      <c r="J348">
        <f t="shared" si="247"/>
        <v>0</v>
      </c>
      <c r="K348">
        <f t="shared" si="248"/>
        <v>0</v>
      </c>
      <c r="L348">
        <f t="shared" si="249"/>
        <v>0</v>
      </c>
      <c r="M348">
        <f t="shared" si="250"/>
        <v>0</v>
      </c>
      <c r="N348">
        <f t="shared" si="251"/>
        <v>0</v>
      </c>
      <c r="O348">
        <f t="shared" si="252"/>
        <v>0</v>
      </c>
      <c r="P348">
        <f t="shared" si="253"/>
        <v>0</v>
      </c>
      <c r="Q348">
        <f t="shared" si="254"/>
        <v>0</v>
      </c>
      <c r="R348">
        <f t="shared" si="255"/>
        <v>0</v>
      </c>
      <c r="S348">
        <f t="shared" si="256"/>
        <v>0</v>
      </c>
      <c r="T348">
        <f t="shared" si="257"/>
        <v>0</v>
      </c>
      <c r="U348">
        <f t="shared" si="258"/>
        <v>0</v>
      </c>
      <c r="V348">
        <f t="shared" si="259"/>
        <v>0</v>
      </c>
      <c r="W348">
        <f t="shared" si="260"/>
        <v>0</v>
      </c>
      <c r="X348">
        <f t="shared" si="261"/>
        <v>0</v>
      </c>
      <c r="Y348">
        <f t="shared" si="262"/>
        <v>0</v>
      </c>
      <c r="Z348">
        <f t="shared" si="263"/>
        <v>0</v>
      </c>
      <c r="AA348">
        <f t="shared" si="264"/>
        <v>0</v>
      </c>
      <c r="AB348">
        <f t="shared" si="265"/>
        <v>0</v>
      </c>
      <c r="AC348">
        <f t="shared" si="266"/>
        <v>0</v>
      </c>
      <c r="AD348">
        <f t="shared" si="267"/>
        <v>0</v>
      </c>
      <c r="AE348">
        <f t="shared" si="268"/>
        <v>0</v>
      </c>
      <c r="AF348">
        <f t="shared" si="269"/>
        <v>0</v>
      </c>
      <c r="AG348">
        <f t="shared" si="270"/>
        <v>0</v>
      </c>
      <c r="AH348">
        <f t="shared" si="271"/>
        <v>0</v>
      </c>
      <c r="AI348">
        <f t="shared" si="272"/>
        <v>0</v>
      </c>
      <c r="AJ348">
        <f t="shared" si="273"/>
        <v>0</v>
      </c>
      <c r="AK348">
        <f t="shared" si="274"/>
        <v>0</v>
      </c>
      <c r="AL348">
        <f t="shared" si="275"/>
        <v>0</v>
      </c>
      <c r="AM348">
        <f t="shared" si="276"/>
        <v>0</v>
      </c>
      <c r="AN348">
        <f t="shared" si="277"/>
        <v>0</v>
      </c>
      <c r="AO348">
        <f t="shared" si="278"/>
        <v>0</v>
      </c>
      <c r="AP348">
        <f t="shared" si="279"/>
        <v>0</v>
      </c>
      <c r="AQ348">
        <f t="shared" si="280"/>
        <v>0</v>
      </c>
      <c r="AR348">
        <f t="shared" si="281"/>
        <v>0</v>
      </c>
      <c r="AS348">
        <f t="shared" si="282"/>
        <v>0</v>
      </c>
      <c r="AT348">
        <f t="shared" si="283"/>
        <v>0</v>
      </c>
      <c r="AU348">
        <f t="shared" si="284"/>
        <v>0</v>
      </c>
      <c r="AV348">
        <f t="shared" si="285"/>
        <v>0</v>
      </c>
      <c r="AW348">
        <f t="shared" si="240"/>
        <v>0</v>
      </c>
      <c r="AX348">
        <f t="shared" si="286"/>
        <v>0</v>
      </c>
      <c r="AY348">
        <f t="shared" si="287"/>
        <v>0</v>
      </c>
    </row>
    <row r="349" spans="1:51" x14ac:dyDescent="0.35">
      <c r="A349">
        <v>343</v>
      </c>
      <c r="C349">
        <f>MAX(0,Calc!$C$7-SUM(D349:R349))</f>
        <v>750</v>
      </c>
      <c r="D349">
        <f t="shared" si="241"/>
        <v>0</v>
      </c>
      <c r="E349">
        <f t="shared" si="242"/>
        <v>0</v>
      </c>
      <c r="F349">
        <f t="shared" si="243"/>
        <v>0</v>
      </c>
      <c r="G349">
        <f t="shared" si="244"/>
        <v>0</v>
      </c>
      <c r="H349">
        <f t="shared" si="245"/>
        <v>0</v>
      </c>
      <c r="I349">
        <f t="shared" si="246"/>
        <v>0</v>
      </c>
      <c r="J349">
        <f t="shared" si="247"/>
        <v>0</v>
      </c>
      <c r="K349">
        <f t="shared" si="248"/>
        <v>0</v>
      </c>
      <c r="L349">
        <f t="shared" si="249"/>
        <v>0</v>
      </c>
      <c r="M349">
        <f t="shared" si="250"/>
        <v>0</v>
      </c>
      <c r="N349">
        <f t="shared" si="251"/>
        <v>0</v>
      </c>
      <c r="O349">
        <f t="shared" si="252"/>
        <v>0</v>
      </c>
      <c r="P349">
        <f t="shared" si="253"/>
        <v>0</v>
      </c>
      <c r="Q349">
        <f t="shared" si="254"/>
        <v>0</v>
      </c>
      <c r="R349">
        <f t="shared" si="255"/>
        <v>0</v>
      </c>
      <c r="S349">
        <f t="shared" si="256"/>
        <v>0</v>
      </c>
      <c r="T349">
        <f t="shared" si="257"/>
        <v>0</v>
      </c>
      <c r="U349">
        <f t="shared" si="258"/>
        <v>0</v>
      </c>
      <c r="V349">
        <f t="shared" si="259"/>
        <v>0</v>
      </c>
      <c r="W349">
        <f t="shared" si="260"/>
        <v>0</v>
      </c>
      <c r="X349">
        <f t="shared" si="261"/>
        <v>0</v>
      </c>
      <c r="Y349">
        <f t="shared" si="262"/>
        <v>0</v>
      </c>
      <c r="Z349">
        <f t="shared" si="263"/>
        <v>0</v>
      </c>
      <c r="AA349">
        <f t="shared" si="264"/>
        <v>0</v>
      </c>
      <c r="AB349">
        <f t="shared" si="265"/>
        <v>0</v>
      </c>
      <c r="AC349">
        <f t="shared" si="266"/>
        <v>0</v>
      </c>
      <c r="AD349">
        <f t="shared" si="267"/>
        <v>0</v>
      </c>
      <c r="AE349">
        <f t="shared" si="268"/>
        <v>0</v>
      </c>
      <c r="AF349">
        <f t="shared" si="269"/>
        <v>0</v>
      </c>
      <c r="AG349">
        <f t="shared" si="270"/>
        <v>0</v>
      </c>
      <c r="AH349">
        <f t="shared" si="271"/>
        <v>0</v>
      </c>
      <c r="AI349">
        <f t="shared" si="272"/>
        <v>0</v>
      </c>
      <c r="AJ349">
        <f t="shared" si="273"/>
        <v>0</v>
      </c>
      <c r="AK349">
        <f t="shared" si="274"/>
        <v>0</v>
      </c>
      <c r="AL349">
        <f t="shared" si="275"/>
        <v>0</v>
      </c>
      <c r="AM349">
        <f t="shared" si="276"/>
        <v>0</v>
      </c>
      <c r="AN349">
        <f t="shared" si="277"/>
        <v>0</v>
      </c>
      <c r="AO349">
        <f t="shared" si="278"/>
        <v>0</v>
      </c>
      <c r="AP349">
        <f t="shared" si="279"/>
        <v>0</v>
      </c>
      <c r="AQ349">
        <f t="shared" si="280"/>
        <v>0</v>
      </c>
      <c r="AR349">
        <f t="shared" si="281"/>
        <v>0</v>
      </c>
      <c r="AS349">
        <f t="shared" si="282"/>
        <v>0</v>
      </c>
      <c r="AT349">
        <f t="shared" si="283"/>
        <v>0</v>
      </c>
      <c r="AU349">
        <f t="shared" si="284"/>
        <v>0</v>
      </c>
      <c r="AV349">
        <f t="shared" si="285"/>
        <v>0</v>
      </c>
      <c r="AW349">
        <f t="shared" si="240"/>
        <v>0</v>
      </c>
      <c r="AX349">
        <f t="shared" si="286"/>
        <v>0</v>
      </c>
      <c r="AY349">
        <f t="shared" si="287"/>
        <v>0</v>
      </c>
    </row>
    <row r="350" spans="1:51" x14ac:dyDescent="0.35">
      <c r="A350">
        <v>344</v>
      </c>
      <c r="C350">
        <f>MAX(0,Calc!$C$7-SUM(D350:R350))</f>
        <v>750</v>
      </c>
      <c r="D350">
        <f t="shared" si="241"/>
        <v>0</v>
      </c>
      <c r="E350">
        <f t="shared" si="242"/>
        <v>0</v>
      </c>
      <c r="F350">
        <f t="shared" si="243"/>
        <v>0</v>
      </c>
      <c r="G350">
        <f t="shared" si="244"/>
        <v>0</v>
      </c>
      <c r="H350">
        <f t="shared" si="245"/>
        <v>0</v>
      </c>
      <c r="I350">
        <f t="shared" si="246"/>
        <v>0</v>
      </c>
      <c r="J350">
        <f t="shared" si="247"/>
        <v>0</v>
      </c>
      <c r="K350">
        <f t="shared" si="248"/>
        <v>0</v>
      </c>
      <c r="L350">
        <f t="shared" si="249"/>
        <v>0</v>
      </c>
      <c r="M350">
        <f t="shared" si="250"/>
        <v>0</v>
      </c>
      <c r="N350">
        <f t="shared" si="251"/>
        <v>0</v>
      </c>
      <c r="O350">
        <f t="shared" si="252"/>
        <v>0</v>
      </c>
      <c r="P350">
        <f t="shared" si="253"/>
        <v>0</v>
      </c>
      <c r="Q350">
        <f t="shared" si="254"/>
        <v>0</v>
      </c>
      <c r="R350">
        <f t="shared" si="255"/>
        <v>0</v>
      </c>
      <c r="S350">
        <f t="shared" si="256"/>
        <v>0</v>
      </c>
      <c r="T350">
        <f t="shared" si="257"/>
        <v>0</v>
      </c>
      <c r="U350">
        <f t="shared" si="258"/>
        <v>0</v>
      </c>
      <c r="V350">
        <f t="shared" si="259"/>
        <v>0</v>
      </c>
      <c r="W350">
        <f t="shared" si="260"/>
        <v>0</v>
      </c>
      <c r="X350">
        <f t="shared" si="261"/>
        <v>0</v>
      </c>
      <c r="Y350">
        <f t="shared" si="262"/>
        <v>0</v>
      </c>
      <c r="Z350">
        <f t="shared" si="263"/>
        <v>0</v>
      </c>
      <c r="AA350">
        <f t="shared" si="264"/>
        <v>0</v>
      </c>
      <c r="AB350">
        <f t="shared" si="265"/>
        <v>0</v>
      </c>
      <c r="AC350">
        <f t="shared" si="266"/>
        <v>0</v>
      </c>
      <c r="AD350">
        <f t="shared" si="267"/>
        <v>0</v>
      </c>
      <c r="AE350">
        <f t="shared" si="268"/>
        <v>0</v>
      </c>
      <c r="AF350">
        <f t="shared" si="269"/>
        <v>0</v>
      </c>
      <c r="AG350">
        <f t="shared" si="270"/>
        <v>0</v>
      </c>
      <c r="AH350">
        <f t="shared" si="271"/>
        <v>0</v>
      </c>
      <c r="AI350">
        <f t="shared" si="272"/>
        <v>0</v>
      </c>
      <c r="AJ350">
        <f t="shared" si="273"/>
        <v>0</v>
      </c>
      <c r="AK350">
        <f t="shared" si="274"/>
        <v>0</v>
      </c>
      <c r="AL350">
        <f t="shared" si="275"/>
        <v>0</v>
      </c>
      <c r="AM350">
        <f t="shared" si="276"/>
        <v>0</v>
      </c>
      <c r="AN350">
        <f t="shared" si="277"/>
        <v>0</v>
      </c>
      <c r="AO350">
        <f t="shared" si="278"/>
        <v>0</v>
      </c>
      <c r="AP350">
        <f t="shared" si="279"/>
        <v>0</v>
      </c>
      <c r="AQ350">
        <f t="shared" si="280"/>
        <v>0</v>
      </c>
      <c r="AR350">
        <f t="shared" si="281"/>
        <v>0</v>
      </c>
      <c r="AS350">
        <f t="shared" si="282"/>
        <v>0</v>
      </c>
      <c r="AT350">
        <f t="shared" si="283"/>
        <v>0</v>
      </c>
      <c r="AU350">
        <f t="shared" si="284"/>
        <v>0</v>
      </c>
      <c r="AV350">
        <f t="shared" si="285"/>
        <v>0</v>
      </c>
      <c r="AW350">
        <f t="shared" si="240"/>
        <v>0</v>
      </c>
      <c r="AX350">
        <f t="shared" si="286"/>
        <v>0</v>
      </c>
      <c r="AY350">
        <f t="shared" si="287"/>
        <v>0</v>
      </c>
    </row>
    <row r="351" spans="1:51" x14ac:dyDescent="0.35">
      <c r="A351">
        <v>345</v>
      </c>
      <c r="C351">
        <f>MAX(0,Calc!$C$7-SUM(D351:R351))</f>
        <v>750</v>
      </c>
      <c r="D351">
        <f t="shared" si="241"/>
        <v>0</v>
      </c>
      <c r="E351">
        <f t="shared" si="242"/>
        <v>0</v>
      </c>
      <c r="F351">
        <f t="shared" si="243"/>
        <v>0</v>
      </c>
      <c r="G351">
        <f t="shared" si="244"/>
        <v>0</v>
      </c>
      <c r="H351">
        <f t="shared" si="245"/>
        <v>0</v>
      </c>
      <c r="I351">
        <f t="shared" si="246"/>
        <v>0</v>
      </c>
      <c r="J351">
        <f t="shared" si="247"/>
        <v>0</v>
      </c>
      <c r="K351">
        <f t="shared" si="248"/>
        <v>0</v>
      </c>
      <c r="L351">
        <f t="shared" si="249"/>
        <v>0</v>
      </c>
      <c r="M351">
        <f t="shared" si="250"/>
        <v>0</v>
      </c>
      <c r="N351">
        <f t="shared" si="251"/>
        <v>0</v>
      </c>
      <c r="O351">
        <f t="shared" si="252"/>
        <v>0</v>
      </c>
      <c r="P351">
        <f t="shared" si="253"/>
        <v>0</v>
      </c>
      <c r="Q351">
        <f t="shared" si="254"/>
        <v>0</v>
      </c>
      <c r="R351">
        <f t="shared" si="255"/>
        <v>0</v>
      </c>
      <c r="S351">
        <f t="shared" si="256"/>
        <v>0</v>
      </c>
      <c r="T351">
        <f t="shared" si="257"/>
        <v>0</v>
      </c>
      <c r="U351">
        <f t="shared" si="258"/>
        <v>0</v>
      </c>
      <c r="V351">
        <f t="shared" si="259"/>
        <v>0</v>
      </c>
      <c r="W351">
        <f t="shared" si="260"/>
        <v>0</v>
      </c>
      <c r="X351">
        <f t="shared" si="261"/>
        <v>0</v>
      </c>
      <c r="Y351">
        <f t="shared" si="262"/>
        <v>0</v>
      </c>
      <c r="Z351">
        <f t="shared" si="263"/>
        <v>0</v>
      </c>
      <c r="AA351">
        <f t="shared" si="264"/>
        <v>0</v>
      </c>
      <c r="AB351">
        <f t="shared" si="265"/>
        <v>0</v>
      </c>
      <c r="AC351">
        <f t="shared" si="266"/>
        <v>0</v>
      </c>
      <c r="AD351">
        <f t="shared" si="267"/>
        <v>0</v>
      </c>
      <c r="AE351">
        <f t="shared" si="268"/>
        <v>0</v>
      </c>
      <c r="AF351">
        <f t="shared" si="269"/>
        <v>0</v>
      </c>
      <c r="AG351">
        <f t="shared" si="270"/>
        <v>0</v>
      </c>
      <c r="AH351">
        <f t="shared" si="271"/>
        <v>0</v>
      </c>
      <c r="AI351">
        <f t="shared" si="272"/>
        <v>0</v>
      </c>
      <c r="AJ351">
        <f t="shared" si="273"/>
        <v>0</v>
      </c>
      <c r="AK351">
        <f t="shared" si="274"/>
        <v>0</v>
      </c>
      <c r="AL351">
        <f t="shared" si="275"/>
        <v>0</v>
      </c>
      <c r="AM351">
        <f t="shared" si="276"/>
        <v>0</v>
      </c>
      <c r="AN351">
        <f t="shared" si="277"/>
        <v>0</v>
      </c>
      <c r="AO351">
        <f t="shared" si="278"/>
        <v>0</v>
      </c>
      <c r="AP351">
        <f t="shared" si="279"/>
        <v>0</v>
      </c>
      <c r="AQ351">
        <f t="shared" si="280"/>
        <v>0</v>
      </c>
      <c r="AR351">
        <f t="shared" si="281"/>
        <v>0</v>
      </c>
      <c r="AS351">
        <f t="shared" si="282"/>
        <v>0</v>
      </c>
      <c r="AT351">
        <f t="shared" si="283"/>
        <v>0</v>
      </c>
      <c r="AU351">
        <f t="shared" si="284"/>
        <v>0</v>
      </c>
      <c r="AV351">
        <f t="shared" si="285"/>
        <v>0</v>
      </c>
      <c r="AW351">
        <f t="shared" si="240"/>
        <v>0</v>
      </c>
      <c r="AX351">
        <f t="shared" si="286"/>
        <v>0</v>
      </c>
      <c r="AY351">
        <f t="shared" si="287"/>
        <v>0</v>
      </c>
    </row>
    <row r="352" spans="1:51" x14ac:dyDescent="0.35">
      <c r="A352">
        <v>346</v>
      </c>
      <c r="C352">
        <f>MAX(0,Calc!$C$7-SUM(D352:R352))</f>
        <v>750</v>
      </c>
      <c r="D352">
        <f t="shared" si="241"/>
        <v>0</v>
      </c>
      <c r="E352">
        <f t="shared" si="242"/>
        <v>0</v>
      </c>
      <c r="F352">
        <f t="shared" si="243"/>
        <v>0</v>
      </c>
      <c r="G352">
        <f t="shared" si="244"/>
        <v>0</v>
      </c>
      <c r="H352">
        <f t="shared" si="245"/>
        <v>0</v>
      </c>
      <c r="I352">
        <f t="shared" si="246"/>
        <v>0</v>
      </c>
      <c r="J352">
        <f t="shared" si="247"/>
        <v>0</v>
      </c>
      <c r="K352">
        <f t="shared" si="248"/>
        <v>0</v>
      </c>
      <c r="L352">
        <f t="shared" si="249"/>
        <v>0</v>
      </c>
      <c r="M352">
        <f t="shared" si="250"/>
        <v>0</v>
      </c>
      <c r="N352">
        <f t="shared" si="251"/>
        <v>0</v>
      </c>
      <c r="O352">
        <f t="shared" si="252"/>
        <v>0</v>
      </c>
      <c r="P352">
        <f t="shared" si="253"/>
        <v>0</v>
      </c>
      <c r="Q352">
        <f t="shared" si="254"/>
        <v>0</v>
      </c>
      <c r="R352">
        <f t="shared" si="255"/>
        <v>0</v>
      </c>
      <c r="S352">
        <f t="shared" si="256"/>
        <v>0</v>
      </c>
      <c r="T352">
        <f t="shared" si="257"/>
        <v>0</v>
      </c>
      <c r="U352">
        <f t="shared" si="258"/>
        <v>0</v>
      </c>
      <c r="V352">
        <f t="shared" si="259"/>
        <v>0</v>
      </c>
      <c r="W352">
        <f t="shared" si="260"/>
        <v>0</v>
      </c>
      <c r="X352">
        <f t="shared" si="261"/>
        <v>0</v>
      </c>
      <c r="Y352">
        <f t="shared" si="262"/>
        <v>0</v>
      </c>
      <c r="Z352">
        <f t="shared" si="263"/>
        <v>0</v>
      </c>
      <c r="AA352">
        <f t="shared" si="264"/>
        <v>0</v>
      </c>
      <c r="AB352">
        <f t="shared" si="265"/>
        <v>0</v>
      </c>
      <c r="AC352">
        <f t="shared" si="266"/>
        <v>0</v>
      </c>
      <c r="AD352">
        <f t="shared" si="267"/>
        <v>0</v>
      </c>
      <c r="AE352">
        <f t="shared" si="268"/>
        <v>0</v>
      </c>
      <c r="AF352">
        <f t="shared" si="269"/>
        <v>0</v>
      </c>
      <c r="AG352">
        <f t="shared" si="270"/>
        <v>0</v>
      </c>
      <c r="AH352">
        <f t="shared" si="271"/>
        <v>0</v>
      </c>
      <c r="AI352">
        <f t="shared" si="272"/>
        <v>0</v>
      </c>
      <c r="AJ352">
        <f t="shared" si="273"/>
        <v>0</v>
      </c>
      <c r="AK352">
        <f t="shared" si="274"/>
        <v>0</v>
      </c>
      <c r="AL352">
        <f t="shared" si="275"/>
        <v>0</v>
      </c>
      <c r="AM352">
        <f t="shared" si="276"/>
        <v>0</v>
      </c>
      <c r="AN352">
        <f t="shared" si="277"/>
        <v>0</v>
      </c>
      <c r="AO352">
        <f t="shared" si="278"/>
        <v>0</v>
      </c>
      <c r="AP352">
        <f t="shared" si="279"/>
        <v>0</v>
      </c>
      <c r="AQ352">
        <f t="shared" si="280"/>
        <v>0</v>
      </c>
      <c r="AR352">
        <f t="shared" si="281"/>
        <v>0</v>
      </c>
      <c r="AS352">
        <f t="shared" si="282"/>
        <v>0</v>
      </c>
      <c r="AT352">
        <f t="shared" si="283"/>
        <v>0</v>
      </c>
      <c r="AU352">
        <f t="shared" si="284"/>
        <v>0</v>
      </c>
      <c r="AV352">
        <f t="shared" si="285"/>
        <v>0</v>
      </c>
      <c r="AW352">
        <f t="shared" si="240"/>
        <v>0</v>
      </c>
      <c r="AX352">
        <f t="shared" si="286"/>
        <v>0</v>
      </c>
      <c r="AY352">
        <f t="shared" si="287"/>
        <v>0</v>
      </c>
    </row>
    <row r="353" spans="1:51" x14ac:dyDescent="0.35">
      <c r="A353">
        <v>347</v>
      </c>
      <c r="C353">
        <f>MAX(0,Calc!$C$7-SUM(D353:R353))</f>
        <v>750</v>
      </c>
      <c r="D353">
        <f t="shared" si="241"/>
        <v>0</v>
      </c>
      <c r="E353">
        <f t="shared" si="242"/>
        <v>0</v>
      </c>
      <c r="F353">
        <f t="shared" si="243"/>
        <v>0</v>
      </c>
      <c r="G353">
        <f t="shared" si="244"/>
        <v>0</v>
      </c>
      <c r="H353">
        <f t="shared" si="245"/>
        <v>0</v>
      </c>
      <c r="I353">
        <f t="shared" si="246"/>
        <v>0</v>
      </c>
      <c r="J353">
        <f t="shared" si="247"/>
        <v>0</v>
      </c>
      <c r="K353">
        <f t="shared" si="248"/>
        <v>0</v>
      </c>
      <c r="L353">
        <f t="shared" si="249"/>
        <v>0</v>
      </c>
      <c r="M353">
        <f t="shared" si="250"/>
        <v>0</v>
      </c>
      <c r="N353">
        <f t="shared" si="251"/>
        <v>0</v>
      </c>
      <c r="O353">
        <f t="shared" si="252"/>
        <v>0</v>
      </c>
      <c r="P353">
        <f t="shared" si="253"/>
        <v>0</v>
      </c>
      <c r="Q353">
        <f t="shared" si="254"/>
        <v>0</v>
      </c>
      <c r="R353">
        <f t="shared" si="255"/>
        <v>0</v>
      </c>
      <c r="S353">
        <f t="shared" si="256"/>
        <v>0</v>
      </c>
      <c r="T353">
        <f t="shared" si="257"/>
        <v>0</v>
      </c>
      <c r="U353">
        <f t="shared" si="258"/>
        <v>0</v>
      </c>
      <c r="V353">
        <f t="shared" si="259"/>
        <v>0</v>
      </c>
      <c r="W353">
        <f t="shared" si="260"/>
        <v>0</v>
      </c>
      <c r="X353">
        <f t="shared" si="261"/>
        <v>0</v>
      </c>
      <c r="Y353">
        <f t="shared" si="262"/>
        <v>0</v>
      </c>
      <c r="Z353">
        <f t="shared" si="263"/>
        <v>0</v>
      </c>
      <c r="AA353">
        <f t="shared" si="264"/>
        <v>0</v>
      </c>
      <c r="AB353">
        <f t="shared" si="265"/>
        <v>0</v>
      </c>
      <c r="AC353">
        <f t="shared" si="266"/>
        <v>0</v>
      </c>
      <c r="AD353">
        <f t="shared" si="267"/>
        <v>0</v>
      </c>
      <c r="AE353">
        <f t="shared" si="268"/>
        <v>0</v>
      </c>
      <c r="AF353">
        <f t="shared" si="269"/>
        <v>0</v>
      </c>
      <c r="AG353">
        <f t="shared" si="270"/>
        <v>0</v>
      </c>
      <c r="AH353">
        <f t="shared" si="271"/>
        <v>0</v>
      </c>
      <c r="AI353">
        <f t="shared" si="272"/>
        <v>0</v>
      </c>
      <c r="AJ353">
        <f t="shared" si="273"/>
        <v>0</v>
      </c>
      <c r="AK353">
        <f t="shared" si="274"/>
        <v>0</v>
      </c>
      <c r="AL353">
        <f t="shared" si="275"/>
        <v>0</v>
      </c>
      <c r="AM353">
        <f t="shared" si="276"/>
        <v>0</v>
      </c>
      <c r="AN353">
        <f t="shared" si="277"/>
        <v>0</v>
      </c>
      <c r="AO353">
        <f t="shared" si="278"/>
        <v>0</v>
      </c>
      <c r="AP353">
        <f t="shared" si="279"/>
        <v>0</v>
      </c>
      <c r="AQ353">
        <f t="shared" si="280"/>
        <v>0</v>
      </c>
      <c r="AR353">
        <f t="shared" si="281"/>
        <v>0</v>
      </c>
      <c r="AS353">
        <f t="shared" si="282"/>
        <v>0</v>
      </c>
      <c r="AT353">
        <f t="shared" si="283"/>
        <v>0</v>
      </c>
      <c r="AU353">
        <f t="shared" si="284"/>
        <v>0</v>
      </c>
      <c r="AV353">
        <f t="shared" si="285"/>
        <v>0</v>
      </c>
      <c r="AW353">
        <f t="shared" si="240"/>
        <v>0</v>
      </c>
      <c r="AX353">
        <f t="shared" si="286"/>
        <v>0</v>
      </c>
      <c r="AY353">
        <f t="shared" si="287"/>
        <v>0</v>
      </c>
    </row>
    <row r="354" spans="1:51" x14ac:dyDescent="0.35">
      <c r="A354">
        <v>348</v>
      </c>
      <c r="C354">
        <f>MAX(0,Calc!$C$7-SUM(D354:R354))</f>
        <v>750</v>
      </c>
      <c r="D354">
        <f t="shared" si="241"/>
        <v>0</v>
      </c>
      <c r="E354">
        <f t="shared" si="242"/>
        <v>0</v>
      </c>
      <c r="F354">
        <f t="shared" si="243"/>
        <v>0</v>
      </c>
      <c r="G354">
        <f t="shared" si="244"/>
        <v>0</v>
      </c>
      <c r="H354">
        <f t="shared" si="245"/>
        <v>0</v>
      </c>
      <c r="I354">
        <f t="shared" si="246"/>
        <v>0</v>
      </c>
      <c r="J354">
        <f t="shared" si="247"/>
        <v>0</v>
      </c>
      <c r="K354">
        <f t="shared" si="248"/>
        <v>0</v>
      </c>
      <c r="L354">
        <f t="shared" si="249"/>
        <v>0</v>
      </c>
      <c r="M354">
        <f t="shared" si="250"/>
        <v>0</v>
      </c>
      <c r="N354">
        <f t="shared" si="251"/>
        <v>0</v>
      </c>
      <c r="O354">
        <f t="shared" si="252"/>
        <v>0</v>
      </c>
      <c r="P354">
        <f t="shared" si="253"/>
        <v>0</v>
      </c>
      <c r="Q354">
        <f t="shared" si="254"/>
        <v>0</v>
      </c>
      <c r="R354">
        <f t="shared" si="255"/>
        <v>0</v>
      </c>
      <c r="S354">
        <f t="shared" si="256"/>
        <v>0</v>
      </c>
      <c r="T354">
        <f t="shared" si="257"/>
        <v>0</v>
      </c>
      <c r="U354">
        <f t="shared" si="258"/>
        <v>0</v>
      </c>
      <c r="V354">
        <f t="shared" si="259"/>
        <v>0</v>
      </c>
      <c r="W354">
        <f t="shared" si="260"/>
        <v>0</v>
      </c>
      <c r="X354">
        <f t="shared" si="261"/>
        <v>0</v>
      </c>
      <c r="Y354">
        <f t="shared" si="262"/>
        <v>0</v>
      </c>
      <c r="Z354">
        <f t="shared" si="263"/>
        <v>0</v>
      </c>
      <c r="AA354">
        <f t="shared" si="264"/>
        <v>0</v>
      </c>
      <c r="AB354">
        <f t="shared" si="265"/>
        <v>0</v>
      </c>
      <c r="AC354">
        <f t="shared" si="266"/>
        <v>0</v>
      </c>
      <c r="AD354">
        <f t="shared" si="267"/>
        <v>0</v>
      </c>
      <c r="AE354">
        <f t="shared" si="268"/>
        <v>0</v>
      </c>
      <c r="AF354">
        <f t="shared" si="269"/>
        <v>0</v>
      </c>
      <c r="AG354">
        <f t="shared" si="270"/>
        <v>0</v>
      </c>
      <c r="AH354">
        <f t="shared" si="271"/>
        <v>0</v>
      </c>
      <c r="AI354">
        <f t="shared" si="272"/>
        <v>0</v>
      </c>
      <c r="AJ354">
        <f t="shared" si="273"/>
        <v>0</v>
      </c>
      <c r="AK354">
        <f t="shared" si="274"/>
        <v>0</v>
      </c>
      <c r="AL354">
        <f t="shared" si="275"/>
        <v>0</v>
      </c>
      <c r="AM354">
        <f t="shared" si="276"/>
        <v>0</v>
      </c>
      <c r="AN354">
        <f t="shared" si="277"/>
        <v>0</v>
      </c>
      <c r="AO354">
        <f t="shared" si="278"/>
        <v>0</v>
      </c>
      <c r="AP354">
        <f t="shared" si="279"/>
        <v>0</v>
      </c>
      <c r="AQ354">
        <f t="shared" si="280"/>
        <v>0</v>
      </c>
      <c r="AR354">
        <f t="shared" si="281"/>
        <v>0</v>
      </c>
      <c r="AS354">
        <f t="shared" si="282"/>
        <v>0</v>
      </c>
      <c r="AT354">
        <f t="shared" si="283"/>
        <v>0</v>
      </c>
      <c r="AU354">
        <f t="shared" si="284"/>
        <v>0</v>
      </c>
      <c r="AV354">
        <f t="shared" si="285"/>
        <v>0</v>
      </c>
      <c r="AW354">
        <f t="shared" si="240"/>
        <v>0</v>
      </c>
      <c r="AX354">
        <f t="shared" si="286"/>
        <v>0</v>
      </c>
      <c r="AY354">
        <f t="shared" si="287"/>
        <v>0</v>
      </c>
    </row>
    <row r="355" spans="1:51" x14ac:dyDescent="0.35">
      <c r="A355">
        <v>349</v>
      </c>
      <c r="C355">
        <f>MAX(0,Calc!$C$7-SUM(D355:R355))</f>
        <v>750</v>
      </c>
      <c r="D355">
        <f t="shared" si="241"/>
        <v>0</v>
      </c>
      <c r="E355">
        <f t="shared" si="242"/>
        <v>0</v>
      </c>
      <c r="F355">
        <f t="shared" si="243"/>
        <v>0</v>
      </c>
      <c r="G355">
        <f t="shared" si="244"/>
        <v>0</v>
      </c>
      <c r="H355">
        <f t="shared" si="245"/>
        <v>0</v>
      </c>
      <c r="I355">
        <f t="shared" si="246"/>
        <v>0</v>
      </c>
      <c r="J355">
        <f t="shared" si="247"/>
        <v>0</v>
      </c>
      <c r="K355">
        <f t="shared" si="248"/>
        <v>0</v>
      </c>
      <c r="L355">
        <f t="shared" si="249"/>
        <v>0</v>
      </c>
      <c r="M355">
        <f t="shared" si="250"/>
        <v>0</v>
      </c>
      <c r="N355">
        <f t="shared" si="251"/>
        <v>0</v>
      </c>
      <c r="O355">
        <f t="shared" si="252"/>
        <v>0</v>
      </c>
      <c r="P355">
        <f t="shared" si="253"/>
        <v>0</v>
      </c>
      <c r="Q355">
        <f t="shared" si="254"/>
        <v>0</v>
      </c>
      <c r="R355">
        <f t="shared" si="255"/>
        <v>0</v>
      </c>
      <c r="S355">
        <f t="shared" si="256"/>
        <v>0</v>
      </c>
      <c r="T355">
        <f t="shared" si="257"/>
        <v>0</v>
      </c>
      <c r="U355">
        <f t="shared" si="258"/>
        <v>0</v>
      </c>
      <c r="V355">
        <f t="shared" si="259"/>
        <v>0</v>
      </c>
      <c r="W355">
        <f t="shared" si="260"/>
        <v>0</v>
      </c>
      <c r="X355">
        <f t="shared" si="261"/>
        <v>0</v>
      </c>
      <c r="Y355">
        <f t="shared" si="262"/>
        <v>0</v>
      </c>
      <c r="Z355">
        <f t="shared" si="263"/>
        <v>0</v>
      </c>
      <c r="AA355">
        <f t="shared" si="264"/>
        <v>0</v>
      </c>
      <c r="AB355">
        <f t="shared" si="265"/>
        <v>0</v>
      </c>
      <c r="AC355">
        <f t="shared" si="266"/>
        <v>0</v>
      </c>
      <c r="AD355">
        <f t="shared" si="267"/>
        <v>0</v>
      </c>
      <c r="AE355">
        <f t="shared" si="268"/>
        <v>0</v>
      </c>
      <c r="AF355">
        <f t="shared" si="269"/>
        <v>0</v>
      </c>
      <c r="AG355">
        <f t="shared" si="270"/>
        <v>0</v>
      </c>
      <c r="AH355">
        <f t="shared" si="271"/>
        <v>0</v>
      </c>
      <c r="AI355">
        <f t="shared" si="272"/>
        <v>0</v>
      </c>
      <c r="AJ355">
        <f t="shared" si="273"/>
        <v>0</v>
      </c>
      <c r="AK355">
        <f t="shared" si="274"/>
        <v>0</v>
      </c>
      <c r="AL355">
        <f t="shared" si="275"/>
        <v>0</v>
      </c>
      <c r="AM355">
        <f t="shared" si="276"/>
        <v>0</v>
      </c>
      <c r="AN355">
        <f t="shared" si="277"/>
        <v>0</v>
      </c>
      <c r="AO355">
        <f t="shared" si="278"/>
        <v>0</v>
      </c>
      <c r="AP355">
        <f t="shared" si="279"/>
        <v>0</v>
      </c>
      <c r="AQ355">
        <f t="shared" si="280"/>
        <v>0</v>
      </c>
      <c r="AR355">
        <f t="shared" si="281"/>
        <v>0</v>
      </c>
      <c r="AS355">
        <f t="shared" si="282"/>
        <v>0</v>
      </c>
      <c r="AT355">
        <f t="shared" si="283"/>
        <v>0</v>
      </c>
      <c r="AU355">
        <f t="shared" si="284"/>
        <v>0</v>
      </c>
      <c r="AV355">
        <f t="shared" si="285"/>
        <v>0</v>
      </c>
      <c r="AW355">
        <f t="shared" si="240"/>
        <v>0</v>
      </c>
      <c r="AX355">
        <f t="shared" si="286"/>
        <v>0</v>
      </c>
      <c r="AY355">
        <f t="shared" si="287"/>
        <v>0</v>
      </c>
    </row>
    <row r="356" spans="1:51" x14ac:dyDescent="0.35">
      <c r="A356">
        <v>350</v>
      </c>
      <c r="C356">
        <f>MAX(0,Calc!$C$7-SUM(D356:R356))</f>
        <v>750</v>
      </c>
      <c r="D356">
        <f t="shared" si="241"/>
        <v>0</v>
      </c>
      <c r="E356">
        <f t="shared" si="242"/>
        <v>0</v>
      </c>
      <c r="F356">
        <f t="shared" si="243"/>
        <v>0</v>
      </c>
      <c r="G356">
        <f t="shared" si="244"/>
        <v>0</v>
      </c>
      <c r="H356">
        <f t="shared" si="245"/>
        <v>0</v>
      </c>
      <c r="I356">
        <f t="shared" si="246"/>
        <v>0</v>
      </c>
      <c r="J356">
        <f t="shared" si="247"/>
        <v>0</v>
      </c>
      <c r="K356">
        <f t="shared" si="248"/>
        <v>0</v>
      </c>
      <c r="L356">
        <f t="shared" si="249"/>
        <v>0</v>
      </c>
      <c r="M356">
        <f t="shared" si="250"/>
        <v>0</v>
      </c>
      <c r="N356">
        <f t="shared" si="251"/>
        <v>0</v>
      </c>
      <c r="O356">
        <f t="shared" si="252"/>
        <v>0</v>
      </c>
      <c r="P356">
        <f t="shared" si="253"/>
        <v>0</v>
      </c>
      <c r="Q356">
        <f t="shared" si="254"/>
        <v>0</v>
      </c>
      <c r="R356">
        <f t="shared" si="255"/>
        <v>0</v>
      </c>
      <c r="S356">
        <f t="shared" si="256"/>
        <v>0</v>
      </c>
      <c r="T356">
        <f t="shared" si="257"/>
        <v>0</v>
      </c>
      <c r="U356">
        <f t="shared" si="258"/>
        <v>0</v>
      </c>
      <c r="V356">
        <f t="shared" si="259"/>
        <v>0</v>
      </c>
      <c r="W356">
        <f t="shared" si="260"/>
        <v>0</v>
      </c>
      <c r="X356">
        <f t="shared" si="261"/>
        <v>0</v>
      </c>
      <c r="Y356">
        <f t="shared" si="262"/>
        <v>0</v>
      </c>
      <c r="Z356">
        <f t="shared" si="263"/>
        <v>0</v>
      </c>
      <c r="AA356">
        <f t="shared" si="264"/>
        <v>0</v>
      </c>
      <c r="AB356">
        <f t="shared" si="265"/>
        <v>0</v>
      </c>
      <c r="AC356">
        <f t="shared" si="266"/>
        <v>0</v>
      </c>
      <c r="AD356">
        <f t="shared" si="267"/>
        <v>0</v>
      </c>
      <c r="AE356">
        <f t="shared" si="268"/>
        <v>0</v>
      </c>
      <c r="AF356">
        <f t="shared" si="269"/>
        <v>0</v>
      </c>
      <c r="AG356">
        <f t="shared" si="270"/>
        <v>0</v>
      </c>
      <c r="AH356">
        <f t="shared" si="271"/>
        <v>0</v>
      </c>
      <c r="AI356">
        <f t="shared" si="272"/>
        <v>0</v>
      </c>
      <c r="AJ356">
        <f t="shared" si="273"/>
        <v>0</v>
      </c>
      <c r="AK356">
        <f t="shared" si="274"/>
        <v>0</v>
      </c>
      <c r="AL356">
        <f t="shared" si="275"/>
        <v>0</v>
      </c>
      <c r="AM356">
        <f t="shared" si="276"/>
        <v>0</v>
      </c>
      <c r="AN356">
        <f t="shared" si="277"/>
        <v>0</v>
      </c>
      <c r="AO356">
        <f t="shared" si="278"/>
        <v>0</v>
      </c>
      <c r="AP356">
        <f t="shared" si="279"/>
        <v>0</v>
      </c>
      <c r="AQ356">
        <f t="shared" si="280"/>
        <v>0</v>
      </c>
      <c r="AR356">
        <f t="shared" si="281"/>
        <v>0</v>
      </c>
      <c r="AS356">
        <f t="shared" si="282"/>
        <v>0</v>
      </c>
      <c r="AT356">
        <f t="shared" si="283"/>
        <v>0</v>
      </c>
      <c r="AU356">
        <f t="shared" si="284"/>
        <v>0</v>
      </c>
      <c r="AV356">
        <f t="shared" si="285"/>
        <v>0</v>
      </c>
      <c r="AW356">
        <f t="shared" si="240"/>
        <v>0</v>
      </c>
      <c r="AX356">
        <f t="shared" si="286"/>
        <v>0</v>
      </c>
      <c r="AY356">
        <f t="shared" si="287"/>
        <v>0</v>
      </c>
    </row>
    <row r="357" spans="1:51" x14ac:dyDescent="0.35">
      <c r="A357">
        <v>351</v>
      </c>
      <c r="C357">
        <f>MAX(0,Calc!$C$7-SUM(D357:R357))</f>
        <v>750</v>
      </c>
      <c r="D357">
        <f t="shared" si="241"/>
        <v>0</v>
      </c>
      <c r="E357">
        <f t="shared" si="242"/>
        <v>0</v>
      </c>
      <c r="F357">
        <f t="shared" si="243"/>
        <v>0</v>
      </c>
      <c r="G357">
        <f t="shared" si="244"/>
        <v>0</v>
      </c>
      <c r="H357">
        <f t="shared" si="245"/>
        <v>0</v>
      </c>
      <c r="I357">
        <f t="shared" si="246"/>
        <v>0</v>
      </c>
      <c r="J357">
        <f t="shared" si="247"/>
        <v>0</v>
      </c>
      <c r="K357">
        <f t="shared" si="248"/>
        <v>0</v>
      </c>
      <c r="L357">
        <f t="shared" si="249"/>
        <v>0</v>
      </c>
      <c r="M357">
        <f t="shared" si="250"/>
        <v>0</v>
      </c>
      <c r="N357">
        <f t="shared" si="251"/>
        <v>0</v>
      </c>
      <c r="O357">
        <f t="shared" si="252"/>
        <v>0</v>
      </c>
      <c r="P357">
        <f t="shared" si="253"/>
        <v>0</v>
      </c>
      <c r="Q357">
        <f t="shared" si="254"/>
        <v>0</v>
      </c>
      <c r="R357">
        <f t="shared" si="255"/>
        <v>0</v>
      </c>
      <c r="S357">
        <f t="shared" si="256"/>
        <v>0</v>
      </c>
      <c r="T357">
        <f t="shared" si="257"/>
        <v>0</v>
      </c>
      <c r="U357">
        <f t="shared" si="258"/>
        <v>0</v>
      </c>
      <c r="V357">
        <f t="shared" si="259"/>
        <v>0</v>
      </c>
      <c r="W357">
        <f t="shared" si="260"/>
        <v>0</v>
      </c>
      <c r="X357">
        <f t="shared" si="261"/>
        <v>0</v>
      </c>
      <c r="Y357">
        <f t="shared" si="262"/>
        <v>0</v>
      </c>
      <c r="Z357">
        <f t="shared" si="263"/>
        <v>0</v>
      </c>
      <c r="AA357">
        <f t="shared" si="264"/>
        <v>0</v>
      </c>
      <c r="AB357">
        <f t="shared" si="265"/>
        <v>0</v>
      </c>
      <c r="AC357">
        <f t="shared" si="266"/>
        <v>0</v>
      </c>
      <c r="AD357">
        <f t="shared" si="267"/>
        <v>0</v>
      </c>
      <c r="AE357">
        <f t="shared" si="268"/>
        <v>0</v>
      </c>
      <c r="AF357">
        <f t="shared" si="269"/>
        <v>0</v>
      </c>
      <c r="AG357">
        <f t="shared" si="270"/>
        <v>0</v>
      </c>
      <c r="AH357">
        <f t="shared" si="271"/>
        <v>0</v>
      </c>
      <c r="AI357">
        <f t="shared" si="272"/>
        <v>0</v>
      </c>
      <c r="AJ357">
        <f t="shared" si="273"/>
        <v>0</v>
      </c>
      <c r="AK357">
        <f t="shared" si="274"/>
        <v>0</v>
      </c>
      <c r="AL357">
        <f t="shared" si="275"/>
        <v>0</v>
      </c>
      <c r="AM357">
        <f t="shared" si="276"/>
        <v>0</v>
      </c>
      <c r="AN357">
        <f t="shared" si="277"/>
        <v>0</v>
      </c>
      <c r="AO357">
        <f t="shared" si="278"/>
        <v>0</v>
      </c>
      <c r="AP357">
        <f t="shared" si="279"/>
        <v>0</v>
      </c>
      <c r="AQ357">
        <f t="shared" si="280"/>
        <v>0</v>
      </c>
      <c r="AR357">
        <f t="shared" si="281"/>
        <v>0</v>
      </c>
      <c r="AS357">
        <f t="shared" si="282"/>
        <v>0</v>
      </c>
      <c r="AT357">
        <f t="shared" si="283"/>
        <v>0</v>
      </c>
      <c r="AU357">
        <f t="shared" si="284"/>
        <v>0</v>
      </c>
      <c r="AV357">
        <f t="shared" si="285"/>
        <v>0</v>
      </c>
      <c r="AW357">
        <f t="shared" si="240"/>
        <v>0</v>
      </c>
      <c r="AX357">
        <f t="shared" si="286"/>
        <v>0</v>
      </c>
      <c r="AY357">
        <f t="shared" si="287"/>
        <v>0</v>
      </c>
    </row>
    <row r="358" spans="1:51" x14ac:dyDescent="0.35">
      <c r="A358">
        <v>352</v>
      </c>
      <c r="C358">
        <f>MAX(0,Calc!$C$7-SUM(D358:R358))</f>
        <v>750</v>
      </c>
      <c r="D358">
        <f t="shared" si="241"/>
        <v>0</v>
      </c>
      <c r="E358">
        <f t="shared" si="242"/>
        <v>0</v>
      </c>
      <c r="F358">
        <f t="shared" si="243"/>
        <v>0</v>
      </c>
      <c r="G358">
        <f t="shared" si="244"/>
        <v>0</v>
      </c>
      <c r="H358">
        <f t="shared" si="245"/>
        <v>0</v>
      </c>
      <c r="I358">
        <f t="shared" si="246"/>
        <v>0</v>
      </c>
      <c r="J358">
        <f t="shared" si="247"/>
        <v>0</v>
      </c>
      <c r="K358">
        <f t="shared" si="248"/>
        <v>0</v>
      </c>
      <c r="L358">
        <f t="shared" si="249"/>
        <v>0</v>
      </c>
      <c r="M358">
        <f t="shared" si="250"/>
        <v>0</v>
      </c>
      <c r="N358">
        <f t="shared" si="251"/>
        <v>0</v>
      </c>
      <c r="O358">
        <f t="shared" si="252"/>
        <v>0</v>
      </c>
      <c r="P358">
        <f t="shared" si="253"/>
        <v>0</v>
      </c>
      <c r="Q358">
        <f t="shared" si="254"/>
        <v>0</v>
      </c>
      <c r="R358">
        <f t="shared" si="255"/>
        <v>0</v>
      </c>
      <c r="S358">
        <f t="shared" si="256"/>
        <v>0</v>
      </c>
      <c r="T358">
        <f t="shared" si="257"/>
        <v>0</v>
      </c>
      <c r="U358">
        <f t="shared" si="258"/>
        <v>0</v>
      </c>
      <c r="V358">
        <f t="shared" si="259"/>
        <v>0</v>
      </c>
      <c r="W358">
        <f t="shared" si="260"/>
        <v>0</v>
      </c>
      <c r="X358">
        <f t="shared" si="261"/>
        <v>0</v>
      </c>
      <c r="Y358">
        <f t="shared" si="262"/>
        <v>0</v>
      </c>
      <c r="Z358">
        <f t="shared" si="263"/>
        <v>0</v>
      </c>
      <c r="AA358">
        <f t="shared" si="264"/>
        <v>0</v>
      </c>
      <c r="AB358">
        <f t="shared" si="265"/>
        <v>0</v>
      </c>
      <c r="AC358">
        <f t="shared" si="266"/>
        <v>0</v>
      </c>
      <c r="AD358">
        <f t="shared" si="267"/>
        <v>0</v>
      </c>
      <c r="AE358">
        <f t="shared" si="268"/>
        <v>0</v>
      </c>
      <c r="AF358">
        <f t="shared" si="269"/>
        <v>0</v>
      </c>
      <c r="AG358">
        <f t="shared" si="270"/>
        <v>0</v>
      </c>
      <c r="AH358">
        <f t="shared" si="271"/>
        <v>0</v>
      </c>
      <c r="AI358">
        <f t="shared" si="272"/>
        <v>0</v>
      </c>
      <c r="AJ358">
        <f t="shared" si="273"/>
        <v>0</v>
      </c>
      <c r="AK358">
        <f t="shared" si="274"/>
        <v>0</v>
      </c>
      <c r="AL358">
        <f t="shared" si="275"/>
        <v>0</v>
      </c>
      <c r="AM358">
        <f t="shared" si="276"/>
        <v>0</v>
      </c>
      <c r="AN358">
        <f t="shared" si="277"/>
        <v>0</v>
      </c>
      <c r="AO358">
        <f t="shared" si="278"/>
        <v>0</v>
      </c>
      <c r="AP358">
        <f t="shared" si="279"/>
        <v>0</v>
      </c>
      <c r="AQ358">
        <f t="shared" si="280"/>
        <v>0</v>
      </c>
      <c r="AR358">
        <f t="shared" si="281"/>
        <v>0</v>
      </c>
      <c r="AS358">
        <f t="shared" si="282"/>
        <v>0</v>
      </c>
      <c r="AT358">
        <f t="shared" si="283"/>
        <v>0</v>
      </c>
      <c r="AU358">
        <f t="shared" si="284"/>
        <v>0</v>
      </c>
      <c r="AV358">
        <f t="shared" si="285"/>
        <v>0</v>
      </c>
      <c r="AW358">
        <f t="shared" si="240"/>
        <v>0</v>
      </c>
      <c r="AX358">
        <f t="shared" si="286"/>
        <v>0</v>
      </c>
      <c r="AY358">
        <f t="shared" si="287"/>
        <v>0</v>
      </c>
    </row>
    <row r="359" spans="1:51" x14ac:dyDescent="0.35">
      <c r="A359">
        <v>353</v>
      </c>
      <c r="C359">
        <f>MAX(0,Calc!$C$7-SUM(D359:R359))</f>
        <v>750</v>
      </c>
      <c r="D359">
        <f t="shared" si="241"/>
        <v>0</v>
      </c>
      <c r="E359">
        <f t="shared" si="242"/>
        <v>0</v>
      </c>
      <c r="F359">
        <f t="shared" si="243"/>
        <v>0</v>
      </c>
      <c r="G359">
        <f t="shared" si="244"/>
        <v>0</v>
      </c>
      <c r="H359">
        <f t="shared" si="245"/>
        <v>0</v>
      </c>
      <c r="I359">
        <f t="shared" si="246"/>
        <v>0</v>
      </c>
      <c r="J359">
        <f t="shared" si="247"/>
        <v>0</v>
      </c>
      <c r="K359">
        <f t="shared" si="248"/>
        <v>0</v>
      </c>
      <c r="L359">
        <f t="shared" si="249"/>
        <v>0</v>
      </c>
      <c r="M359">
        <f t="shared" si="250"/>
        <v>0</v>
      </c>
      <c r="N359">
        <f t="shared" si="251"/>
        <v>0</v>
      </c>
      <c r="O359">
        <f t="shared" si="252"/>
        <v>0</v>
      </c>
      <c r="P359">
        <f t="shared" si="253"/>
        <v>0</v>
      </c>
      <c r="Q359">
        <f t="shared" si="254"/>
        <v>0</v>
      </c>
      <c r="R359">
        <f t="shared" si="255"/>
        <v>0</v>
      </c>
      <c r="S359">
        <f t="shared" si="256"/>
        <v>0</v>
      </c>
      <c r="T359">
        <f t="shared" si="257"/>
        <v>0</v>
      </c>
      <c r="U359">
        <f t="shared" si="258"/>
        <v>0</v>
      </c>
      <c r="V359">
        <f t="shared" si="259"/>
        <v>0</v>
      </c>
      <c r="W359">
        <f t="shared" si="260"/>
        <v>0</v>
      </c>
      <c r="X359">
        <f t="shared" si="261"/>
        <v>0</v>
      </c>
      <c r="Y359">
        <f t="shared" si="262"/>
        <v>0</v>
      </c>
      <c r="Z359">
        <f t="shared" si="263"/>
        <v>0</v>
      </c>
      <c r="AA359">
        <f t="shared" si="264"/>
        <v>0</v>
      </c>
      <c r="AB359">
        <f t="shared" si="265"/>
        <v>0</v>
      </c>
      <c r="AC359">
        <f t="shared" si="266"/>
        <v>0</v>
      </c>
      <c r="AD359">
        <f t="shared" si="267"/>
        <v>0</v>
      </c>
      <c r="AE359">
        <f t="shared" si="268"/>
        <v>0</v>
      </c>
      <c r="AF359">
        <f t="shared" si="269"/>
        <v>0</v>
      </c>
      <c r="AG359">
        <f t="shared" si="270"/>
        <v>0</v>
      </c>
      <c r="AH359">
        <f t="shared" si="271"/>
        <v>0</v>
      </c>
      <c r="AI359">
        <f t="shared" si="272"/>
        <v>0</v>
      </c>
      <c r="AJ359">
        <f t="shared" si="273"/>
        <v>0</v>
      </c>
      <c r="AK359">
        <f t="shared" si="274"/>
        <v>0</v>
      </c>
      <c r="AL359">
        <f t="shared" si="275"/>
        <v>0</v>
      </c>
      <c r="AM359">
        <f t="shared" si="276"/>
        <v>0</v>
      </c>
      <c r="AN359">
        <f t="shared" si="277"/>
        <v>0</v>
      </c>
      <c r="AO359">
        <f t="shared" si="278"/>
        <v>0</v>
      </c>
      <c r="AP359">
        <f t="shared" si="279"/>
        <v>0</v>
      </c>
      <c r="AQ359">
        <f t="shared" si="280"/>
        <v>0</v>
      </c>
      <c r="AR359">
        <f t="shared" si="281"/>
        <v>0</v>
      </c>
      <c r="AS359">
        <f t="shared" si="282"/>
        <v>0</v>
      </c>
      <c r="AT359">
        <f t="shared" si="283"/>
        <v>0</v>
      </c>
      <c r="AU359">
        <f t="shared" si="284"/>
        <v>0</v>
      </c>
      <c r="AV359">
        <f t="shared" si="285"/>
        <v>0</v>
      </c>
      <c r="AW359">
        <f t="shared" si="240"/>
        <v>0</v>
      </c>
      <c r="AX359">
        <f t="shared" si="286"/>
        <v>0</v>
      </c>
      <c r="AY359">
        <f t="shared" si="287"/>
        <v>0</v>
      </c>
    </row>
    <row r="360" spans="1:51" x14ac:dyDescent="0.35">
      <c r="A360">
        <v>354</v>
      </c>
      <c r="C360">
        <f>MAX(0,Calc!$C$7-SUM(D360:R360))</f>
        <v>750</v>
      </c>
      <c r="D360">
        <f t="shared" si="241"/>
        <v>0</v>
      </c>
      <c r="E360">
        <f t="shared" si="242"/>
        <v>0</v>
      </c>
      <c r="F360">
        <f t="shared" si="243"/>
        <v>0</v>
      </c>
      <c r="G360">
        <f t="shared" si="244"/>
        <v>0</v>
      </c>
      <c r="H360">
        <f t="shared" si="245"/>
        <v>0</v>
      </c>
      <c r="I360">
        <f t="shared" si="246"/>
        <v>0</v>
      </c>
      <c r="J360">
        <f t="shared" si="247"/>
        <v>0</v>
      </c>
      <c r="K360">
        <f t="shared" si="248"/>
        <v>0</v>
      </c>
      <c r="L360">
        <f t="shared" si="249"/>
        <v>0</v>
      </c>
      <c r="M360">
        <f t="shared" si="250"/>
        <v>0</v>
      </c>
      <c r="N360">
        <f t="shared" si="251"/>
        <v>0</v>
      </c>
      <c r="O360">
        <f t="shared" si="252"/>
        <v>0</v>
      </c>
      <c r="P360">
        <f t="shared" si="253"/>
        <v>0</v>
      </c>
      <c r="Q360">
        <f t="shared" si="254"/>
        <v>0</v>
      </c>
      <c r="R360">
        <f t="shared" si="255"/>
        <v>0</v>
      </c>
      <c r="S360">
        <f t="shared" si="256"/>
        <v>0</v>
      </c>
      <c r="T360">
        <f t="shared" si="257"/>
        <v>0</v>
      </c>
      <c r="U360">
        <f t="shared" si="258"/>
        <v>0</v>
      </c>
      <c r="V360">
        <f t="shared" si="259"/>
        <v>0</v>
      </c>
      <c r="W360">
        <f t="shared" si="260"/>
        <v>0</v>
      </c>
      <c r="X360">
        <f t="shared" si="261"/>
        <v>0</v>
      </c>
      <c r="Y360">
        <f t="shared" si="262"/>
        <v>0</v>
      </c>
      <c r="Z360">
        <f t="shared" si="263"/>
        <v>0</v>
      </c>
      <c r="AA360">
        <f t="shared" si="264"/>
        <v>0</v>
      </c>
      <c r="AB360">
        <f t="shared" si="265"/>
        <v>0</v>
      </c>
      <c r="AC360">
        <f t="shared" si="266"/>
        <v>0</v>
      </c>
      <c r="AD360">
        <f t="shared" si="267"/>
        <v>0</v>
      </c>
      <c r="AE360">
        <f t="shared" si="268"/>
        <v>0</v>
      </c>
      <c r="AF360">
        <f t="shared" si="269"/>
        <v>0</v>
      </c>
      <c r="AG360">
        <f t="shared" si="270"/>
        <v>0</v>
      </c>
      <c r="AH360">
        <f t="shared" si="271"/>
        <v>0</v>
      </c>
      <c r="AI360">
        <f t="shared" si="272"/>
        <v>0</v>
      </c>
      <c r="AJ360">
        <f t="shared" si="273"/>
        <v>0</v>
      </c>
      <c r="AK360">
        <f t="shared" si="274"/>
        <v>0</v>
      </c>
      <c r="AL360">
        <f t="shared" si="275"/>
        <v>0</v>
      </c>
      <c r="AM360">
        <f t="shared" si="276"/>
        <v>0</v>
      </c>
      <c r="AN360">
        <f t="shared" si="277"/>
        <v>0</v>
      </c>
      <c r="AO360">
        <f t="shared" si="278"/>
        <v>0</v>
      </c>
      <c r="AP360">
        <f t="shared" si="279"/>
        <v>0</v>
      </c>
      <c r="AQ360">
        <f t="shared" si="280"/>
        <v>0</v>
      </c>
      <c r="AR360">
        <f t="shared" si="281"/>
        <v>0</v>
      </c>
      <c r="AS360">
        <f t="shared" si="282"/>
        <v>0</v>
      </c>
      <c r="AT360">
        <f t="shared" si="283"/>
        <v>0</v>
      </c>
      <c r="AU360">
        <f t="shared" si="284"/>
        <v>0</v>
      </c>
      <c r="AV360">
        <f t="shared" si="285"/>
        <v>0</v>
      </c>
      <c r="AW360">
        <f t="shared" si="240"/>
        <v>0</v>
      </c>
      <c r="AX360">
        <f t="shared" si="286"/>
        <v>0</v>
      </c>
      <c r="AY360">
        <f t="shared" si="287"/>
        <v>0</v>
      </c>
    </row>
    <row r="361" spans="1:51" x14ac:dyDescent="0.35">
      <c r="A361">
        <v>355</v>
      </c>
      <c r="C361">
        <f>MAX(0,Calc!$C$7-SUM(D361:R361))</f>
        <v>750</v>
      </c>
      <c r="D361">
        <f t="shared" si="241"/>
        <v>0</v>
      </c>
      <c r="E361">
        <f t="shared" si="242"/>
        <v>0</v>
      </c>
      <c r="F361">
        <f t="shared" si="243"/>
        <v>0</v>
      </c>
      <c r="G361">
        <f t="shared" si="244"/>
        <v>0</v>
      </c>
      <c r="H361">
        <f t="shared" si="245"/>
        <v>0</v>
      </c>
      <c r="I361">
        <f t="shared" si="246"/>
        <v>0</v>
      </c>
      <c r="J361">
        <f t="shared" si="247"/>
        <v>0</v>
      </c>
      <c r="K361">
        <f t="shared" si="248"/>
        <v>0</v>
      </c>
      <c r="L361">
        <f t="shared" si="249"/>
        <v>0</v>
      </c>
      <c r="M361">
        <f t="shared" si="250"/>
        <v>0</v>
      </c>
      <c r="N361">
        <f t="shared" si="251"/>
        <v>0</v>
      </c>
      <c r="O361">
        <f t="shared" si="252"/>
        <v>0</v>
      </c>
      <c r="P361">
        <f t="shared" si="253"/>
        <v>0</v>
      </c>
      <c r="Q361">
        <f t="shared" si="254"/>
        <v>0</v>
      </c>
      <c r="R361">
        <f t="shared" si="255"/>
        <v>0</v>
      </c>
      <c r="S361">
        <f t="shared" si="256"/>
        <v>0</v>
      </c>
      <c r="T361">
        <f t="shared" si="257"/>
        <v>0</v>
      </c>
      <c r="U361">
        <f t="shared" si="258"/>
        <v>0</v>
      </c>
      <c r="V361">
        <f t="shared" si="259"/>
        <v>0</v>
      </c>
      <c r="W361">
        <f t="shared" si="260"/>
        <v>0</v>
      </c>
      <c r="X361">
        <f t="shared" si="261"/>
        <v>0</v>
      </c>
      <c r="Y361">
        <f t="shared" si="262"/>
        <v>0</v>
      </c>
      <c r="Z361">
        <f t="shared" si="263"/>
        <v>0</v>
      </c>
      <c r="AA361">
        <f t="shared" si="264"/>
        <v>0</v>
      </c>
      <c r="AB361">
        <f t="shared" si="265"/>
        <v>0</v>
      </c>
      <c r="AC361">
        <f t="shared" si="266"/>
        <v>0</v>
      </c>
      <c r="AD361">
        <f t="shared" si="267"/>
        <v>0</v>
      </c>
      <c r="AE361">
        <f t="shared" si="268"/>
        <v>0</v>
      </c>
      <c r="AF361">
        <f t="shared" si="269"/>
        <v>0</v>
      </c>
      <c r="AG361">
        <f t="shared" si="270"/>
        <v>0</v>
      </c>
      <c r="AH361">
        <f t="shared" si="271"/>
        <v>0</v>
      </c>
      <c r="AI361">
        <f t="shared" si="272"/>
        <v>0</v>
      </c>
      <c r="AJ361">
        <f t="shared" si="273"/>
        <v>0</v>
      </c>
      <c r="AK361">
        <f t="shared" si="274"/>
        <v>0</v>
      </c>
      <c r="AL361">
        <f t="shared" si="275"/>
        <v>0</v>
      </c>
      <c r="AM361">
        <f t="shared" si="276"/>
        <v>0</v>
      </c>
      <c r="AN361">
        <f t="shared" si="277"/>
        <v>0</v>
      </c>
      <c r="AO361">
        <f t="shared" si="278"/>
        <v>0</v>
      </c>
      <c r="AP361">
        <f t="shared" si="279"/>
        <v>0</v>
      </c>
      <c r="AQ361">
        <f t="shared" si="280"/>
        <v>0</v>
      </c>
      <c r="AR361">
        <f t="shared" si="281"/>
        <v>0</v>
      </c>
      <c r="AS361">
        <f t="shared" si="282"/>
        <v>0</v>
      </c>
      <c r="AT361">
        <f t="shared" si="283"/>
        <v>0</v>
      </c>
      <c r="AU361">
        <f t="shared" si="284"/>
        <v>0</v>
      </c>
      <c r="AV361">
        <f t="shared" si="285"/>
        <v>0</v>
      </c>
      <c r="AW361">
        <f t="shared" si="240"/>
        <v>0</v>
      </c>
      <c r="AX361">
        <f t="shared" si="286"/>
        <v>0</v>
      </c>
      <c r="AY361">
        <f t="shared" si="287"/>
        <v>0</v>
      </c>
    </row>
    <row r="362" spans="1:51" x14ac:dyDescent="0.35">
      <c r="A362">
        <v>356</v>
      </c>
      <c r="C362">
        <f>MAX(0,Calc!$C$7-SUM(D362:R362))</f>
        <v>750</v>
      </c>
      <c r="D362">
        <f t="shared" si="241"/>
        <v>0</v>
      </c>
      <c r="E362">
        <f t="shared" si="242"/>
        <v>0</v>
      </c>
      <c r="F362">
        <f t="shared" si="243"/>
        <v>0</v>
      </c>
      <c r="G362">
        <f t="shared" si="244"/>
        <v>0</v>
      </c>
      <c r="H362">
        <f t="shared" si="245"/>
        <v>0</v>
      </c>
      <c r="I362">
        <f t="shared" si="246"/>
        <v>0</v>
      </c>
      <c r="J362">
        <f t="shared" si="247"/>
        <v>0</v>
      </c>
      <c r="K362">
        <f t="shared" si="248"/>
        <v>0</v>
      </c>
      <c r="L362">
        <f t="shared" si="249"/>
        <v>0</v>
      </c>
      <c r="M362">
        <f t="shared" si="250"/>
        <v>0</v>
      </c>
      <c r="N362">
        <f t="shared" si="251"/>
        <v>0</v>
      </c>
      <c r="O362">
        <f t="shared" si="252"/>
        <v>0</v>
      </c>
      <c r="P362">
        <f t="shared" si="253"/>
        <v>0</v>
      </c>
      <c r="Q362">
        <f t="shared" si="254"/>
        <v>0</v>
      </c>
      <c r="R362">
        <f t="shared" si="255"/>
        <v>0</v>
      </c>
      <c r="S362">
        <f t="shared" si="256"/>
        <v>0</v>
      </c>
      <c r="T362">
        <f t="shared" si="257"/>
        <v>0</v>
      </c>
      <c r="U362">
        <f t="shared" si="258"/>
        <v>0</v>
      </c>
      <c r="V362">
        <f t="shared" si="259"/>
        <v>0</v>
      </c>
      <c r="W362">
        <f t="shared" si="260"/>
        <v>0</v>
      </c>
      <c r="X362">
        <f t="shared" si="261"/>
        <v>0</v>
      </c>
      <c r="Y362">
        <f t="shared" si="262"/>
        <v>0</v>
      </c>
      <c r="Z362">
        <f t="shared" si="263"/>
        <v>0</v>
      </c>
      <c r="AA362">
        <f t="shared" si="264"/>
        <v>0</v>
      </c>
      <c r="AB362">
        <f t="shared" si="265"/>
        <v>0</v>
      </c>
      <c r="AC362">
        <f t="shared" si="266"/>
        <v>0</v>
      </c>
      <c r="AD362">
        <f t="shared" si="267"/>
        <v>0</v>
      </c>
      <c r="AE362">
        <f t="shared" si="268"/>
        <v>0</v>
      </c>
      <c r="AF362">
        <f t="shared" si="269"/>
        <v>0</v>
      </c>
      <c r="AG362">
        <f t="shared" si="270"/>
        <v>0</v>
      </c>
      <c r="AH362">
        <f t="shared" si="271"/>
        <v>0</v>
      </c>
      <c r="AI362">
        <f t="shared" si="272"/>
        <v>0</v>
      </c>
      <c r="AJ362">
        <f t="shared" si="273"/>
        <v>0</v>
      </c>
      <c r="AK362">
        <f t="shared" si="274"/>
        <v>0</v>
      </c>
      <c r="AL362">
        <f t="shared" si="275"/>
        <v>0</v>
      </c>
      <c r="AM362">
        <f t="shared" si="276"/>
        <v>0</v>
      </c>
      <c r="AN362">
        <f t="shared" si="277"/>
        <v>0</v>
      </c>
      <c r="AO362">
        <f t="shared" si="278"/>
        <v>0</v>
      </c>
      <c r="AP362">
        <f t="shared" si="279"/>
        <v>0</v>
      </c>
      <c r="AQ362">
        <f t="shared" si="280"/>
        <v>0</v>
      </c>
      <c r="AR362">
        <f t="shared" si="281"/>
        <v>0</v>
      </c>
      <c r="AS362">
        <f t="shared" si="282"/>
        <v>0</v>
      </c>
      <c r="AT362">
        <f t="shared" si="283"/>
        <v>0</v>
      </c>
      <c r="AU362">
        <f t="shared" si="284"/>
        <v>0</v>
      </c>
      <c r="AV362">
        <f t="shared" si="285"/>
        <v>0</v>
      </c>
      <c r="AW362">
        <f t="shared" si="240"/>
        <v>0</v>
      </c>
      <c r="AX362">
        <f t="shared" si="286"/>
        <v>0</v>
      </c>
      <c r="AY362">
        <f t="shared" si="287"/>
        <v>0</v>
      </c>
    </row>
    <row r="363" spans="1:51" x14ac:dyDescent="0.35">
      <c r="A363">
        <v>357</v>
      </c>
      <c r="C363">
        <f>MAX(0,Calc!$C$7-SUM(D363:R363))</f>
        <v>750</v>
      </c>
      <c r="D363">
        <f t="shared" si="241"/>
        <v>0</v>
      </c>
      <c r="E363">
        <f t="shared" si="242"/>
        <v>0</v>
      </c>
      <c r="F363">
        <f t="shared" si="243"/>
        <v>0</v>
      </c>
      <c r="G363">
        <f t="shared" si="244"/>
        <v>0</v>
      </c>
      <c r="H363">
        <f t="shared" si="245"/>
        <v>0</v>
      </c>
      <c r="I363">
        <f t="shared" si="246"/>
        <v>0</v>
      </c>
      <c r="J363">
        <f t="shared" si="247"/>
        <v>0</v>
      </c>
      <c r="K363">
        <f t="shared" si="248"/>
        <v>0</v>
      </c>
      <c r="L363">
        <f t="shared" si="249"/>
        <v>0</v>
      </c>
      <c r="M363">
        <f t="shared" si="250"/>
        <v>0</v>
      </c>
      <c r="N363">
        <f t="shared" si="251"/>
        <v>0</v>
      </c>
      <c r="O363">
        <f t="shared" si="252"/>
        <v>0</v>
      </c>
      <c r="P363">
        <f t="shared" si="253"/>
        <v>0</v>
      </c>
      <c r="Q363">
        <f t="shared" si="254"/>
        <v>0</v>
      </c>
      <c r="R363">
        <f t="shared" si="255"/>
        <v>0</v>
      </c>
      <c r="S363">
        <f t="shared" si="256"/>
        <v>0</v>
      </c>
      <c r="T363">
        <f t="shared" si="257"/>
        <v>0</v>
      </c>
      <c r="U363">
        <f t="shared" si="258"/>
        <v>0</v>
      </c>
      <c r="V363">
        <f t="shared" si="259"/>
        <v>0</v>
      </c>
      <c r="W363">
        <f t="shared" si="260"/>
        <v>0</v>
      </c>
      <c r="X363">
        <f t="shared" si="261"/>
        <v>0</v>
      </c>
      <c r="Y363">
        <f t="shared" si="262"/>
        <v>0</v>
      </c>
      <c r="Z363">
        <f t="shared" si="263"/>
        <v>0</v>
      </c>
      <c r="AA363">
        <f t="shared" si="264"/>
        <v>0</v>
      </c>
      <c r="AB363">
        <f t="shared" si="265"/>
        <v>0</v>
      </c>
      <c r="AC363">
        <f t="shared" si="266"/>
        <v>0</v>
      </c>
      <c r="AD363">
        <f t="shared" si="267"/>
        <v>0</v>
      </c>
      <c r="AE363">
        <f t="shared" si="268"/>
        <v>0</v>
      </c>
      <c r="AF363">
        <f t="shared" si="269"/>
        <v>0</v>
      </c>
      <c r="AG363">
        <f t="shared" si="270"/>
        <v>0</v>
      </c>
      <c r="AH363">
        <f t="shared" si="271"/>
        <v>0</v>
      </c>
      <c r="AI363">
        <f t="shared" si="272"/>
        <v>0</v>
      </c>
      <c r="AJ363">
        <f t="shared" si="273"/>
        <v>0</v>
      </c>
      <c r="AK363">
        <f t="shared" si="274"/>
        <v>0</v>
      </c>
      <c r="AL363">
        <f t="shared" si="275"/>
        <v>0</v>
      </c>
      <c r="AM363">
        <f t="shared" si="276"/>
        <v>0</v>
      </c>
      <c r="AN363">
        <f t="shared" si="277"/>
        <v>0</v>
      </c>
      <c r="AO363">
        <f t="shared" si="278"/>
        <v>0</v>
      </c>
      <c r="AP363">
        <f t="shared" si="279"/>
        <v>0</v>
      </c>
      <c r="AQ363">
        <f t="shared" si="280"/>
        <v>0</v>
      </c>
      <c r="AR363">
        <f t="shared" si="281"/>
        <v>0</v>
      </c>
      <c r="AS363">
        <f t="shared" si="282"/>
        <v>0</v>
      </c>
      <c r="AT363">
        <f t="shared" si="283"/>
        <v>0</v>
      </c>
      <c r="AU363">
        <f t="shared" si="284"/>
        <v>0</v>
      </c>
      <c r="AV363">
        <f t="shared" si="285"/>
        <v>0</v>
      </c>
      <c r="AW363">
        <f t="shared" si="240"/>
        <v>0</v>
      </c>
      <c r="AX363">
        <f t="shared" si="286"/>
        <v>0</v>
      </c>
      <c r="AY363">
        <f t="shared" si="287"/>
        <v>0</v>
      </c>
    </row>
    <row r="364" spans="1:51" x14ac:dyDescent="0.35">
      <c r="A364">
        <v>358</v>
      </c>
      <c r="C364">
        <f>MAX(0,Calc!$C$7-SUM(D364:R364))</f>
        <v>750</v>
      </c>
      <c r="D364">
        <f t="shared" si="241"/>
        <v>0</v>
      </c>
      <c r="E364">
        <f t="shared" si="242"/>
        <v>0</v>
      </c>
      <c r="F364">
        <f t="shared" si="243"/>
        <v>0</v>
      </c>
      <c r="G364">
        <f t="shared" si="244"/>
        <v>0</v>
      </c>
      <c r="H364">
        <f t="shared" si="245"/>
        <v>0</v>
      </c>
      <c r="I364">
        <f t="shared" si="246"/>
        <v>0</v>
      </c>
      <c r="J364">
        <f t="shared" si="247"/>
        <v>0</v>
      </c>
      <c r="K364">
        <f t="shared" si="248"/>
        <v>0</v>
      </c>
      <c r="L364">
        <f t="shared" si="249"/>
        <v>0</v>
      </c>
      <c r="M364">
        <f t="shared" si="250"/>
        <v>0</v>
      </c>
      <c r="N364">
        <f t="shared" si="251"/>
        <v>0</v>
      </c>
      <c r="O364">
        <f t="shared" si="252"/>
        <v>0</v>
      </c>
      <c r="P364">
        <f t="shared" si="253"/>
        <v>0</v>
      </c>
      <c r="Q364">
        <f t="shared" si="254"/>
        <v>0</v>
      </c>
      <c r="R364">
        <f t="shared" si="255"/>
        <v>0</v>
      </c>
      <c r="S364">
        <f t="shared" si="256"/>
        <v>0</v>
      </c>
      <c r="T364">
        <f t="shared" si="257"/>
        <v>0</v>
      </c>
      <c r="U364">
        <f t="shared" si="258"/>
        <v>0</v>
      </c>
      <c r="V364">
        <f t="shared" si="259"/>
        <v>0</v>
      </c>
      <c r="W364">
        <f t="shared" si="260"/>
        <v>0</v>
      </c>
      <c r="X364">
        <f t="shared" si="261"/>
        <v>0</v>
      </c>
      <c r="Y364">
        <f t="shared" si="262"/>
        <v>0</v>
      </c>
      <c r="Z364">
        <f t="shared" si="263"/>
        <v>0</v>
      </c>
      <c r="AA364">
        <f t="shared" si="264"/>
        <v>0</v>
      </c>
      <c r="AB364">
        <f t="shared" si="265"/>
        <v>0</v>
      </c>
      <c r="AC364">
        <f t="shared" si="266"/>
        <v>0</v>
      </c>
      <c r="AD364">
        <f t="shared" si="267"/>
        <v>0</v>
      </c>
      <c r="AE364">
        <f t="shared" si="268"/>
        <v>0</v>
      </c>
      <c r="AF364">
        <f t="shared" si="269"/>
        <v>0</v>
      </c>
      <c r="AG364">
        <f t="shared" si="270"/>
        <v>0</v>
      </c>
      <c r="AH364">
        <f t="shared" si="271"/>
        <v>0</v>
      </c>
      <c r="AI364">
        <f t="shared" si="272"/>
        <v>0</v>
      </c>
      <c r="AJ364">
        <f t="shared" si="273"/>
        <v>0</v>
      </c>
      <c r="AK364">
        <f t="shared" si="274"/>
        <v>0</v>
      </c>
      <c r="AL364">
        <f t="shared" si="275"/>
        <v>0</v>
      </c>
      <c r="AM364">
        <f t="shared" si="276"/>
        <v>0</v>
      </c>
      <c r="AN364">
        <f t="shared" si="277"/>
        <v>0</v>
      </c>
      <c r="AO364">
        <f t="shared" si="278"/>
        <v>0</v>
      </c>
      <c r="AP364">
        <f t="shared" si="279"/>
        <v>0</v>
      </c>
      <c r="AQ364">
        <f t="shared" si="280"/>
        <v>0</v>
      </c>
      <c r="AR364">
        <f t="shared" si="281"/>
        <v>0</v>
      </c>
      <c r="AS364">
        <f t="shared" si="282"/>
        <v>0</v>
      </c>
      <c r="AT364">
        <f t="shared" si="283"/>
        <v>0</v>
      </c>
      <c r="AU364">
        <f t="shared" si="284"/>
        <v>0</v>
      </c>
      <c r="AV364">
        <f t="shared" si="285"/>
        <v>0</v>
      </c>
      <c r="AW364">
        <f t="shared" si="240"/>
        <v>0</v>
      </c>
      <c r="AX364">
        <f t="shared" si="286"/>
        <v>0</v>
      </c>
      <c r="AY364">
        <f t="shared" si="287"/>
        <v>0</v>
      </c>
    </row>
    <row r="365" spans="1:51" x14ac:dyDescent="0.35">
      <c r="A365">
        <v>359</v>
      </c>
      <c r="C365">
        <f>MAX(0,Calc!$C$7-SUM(D365:R365))</f>
        <v>750</v>
      </c>
      <c r="D365">
        <f t="shared" si="241"/>
        <v>0</v>
      </c>
      <c r="E365">
        <f t="shared" si="242"/>
        <v>0</v>
      </c>
      <c r="F365">
        <f t="shared" si="243"/>
        <v>0</v>
      </c>
      <c r="G365">
        <f t="shared" si="244"/>
        <v>0</v>
      </c>
      <c r="H365">
        <f t="shared" si="245"/>
        <v>0</v>
      </c>
      <c r="I365">
        <f t="shared" si="246"/>
        <v>0</v>
      </c>
      <c r="J365">
        <f t="shared" si="247"/>
        <v>0</v>
      </c>
      <c r="K365">
        <f t="shared" si="248"/>
        <v>0</v>
      </c>
      <c r="L365">
        <f t="shared" si="249"/>
        <v>0</v>
      </c>
      <c r="M365">
        <f t="shared" si="250"/>
        <v>0</v>
      </c>
      <c r="N365">
        <f t="shared" si="251"/>
        <v>0</v>
      </c>
      <c r="O365">
        <f t="shared" si="252"/>
        <v>0</v>
      </c>
      <c r="P365">
        <f t="shared" si="253"/>
        <v>0</v>
      </c>
      <c r="Q365">
        <f t="shared" si="254"/>
        <v>0</v>
      </c>
      <c r="R365">
        <f t="shared" si="255"/>
        <v>0</v>
      </c>
      <c r="S365">
        <f t="shared" si="256"/>
        <v>0</v>
      </c>
      <c r="T365">
        <f t="shared" si="257"/>
        <v>0</v>
      </c>
      <c r="U365">
        <f t="shared" si="258"/>
        <v>0</v>
      </c>
      <c r="V365">
        <f t="shared" si="259"/>
        <v>0</v>
      </c>
      <c r="W365">
        <f t="shared" si="260"/>
        <v>0</v>
      </c>
      <c r="X365">
        <f t="shared" si="261"/>
        <v>0</v>
      </c>
      <c r="Y365">
        <f t="shared" si="262"/>
        <v>0</v>
      </c>
      <c r="Z365">
        <f t="shared" si="263"/>
        <v>0</v>
      </c>
      <c r="AA365">
        <f t="shared" si="264"/>
        <v>0</v>
      </c>
      <c r="AB365">
        <f t="shared" si="265"/>
        <v>0</v>
      </c>
      <c r="AC365">
        <f t="shared" si="266"/>
        <v>0</v>
      </c>
      <c r="AD365">
        <f t="shared" si="267"/>
        <v>0</v>
      </c>
      <c r="AE365">
        <f t="shared" si="268"/>
        <v>0</v>
      </c>
      <c r="AF365">
        <f t="shared" si="269"/>
        <v>0</v>
      </c>
      <c r="AG365">
        <f t="shared" si="270"/>
        <v>0</v>
      </c>
      <c r="AH365">
        <f t="shared" si="271"/>
        <v>0</v>
      </c>
      <c r="AI365">
        <f t="shared" si="272"/>
        <v>0</v>
      </c>
      <c r="AJ365">
        <f t="shared" si="273"/>
        <v>0</v>
      </c>
      <c r="AK365">
        <f t="shared" si="274"/>
        <v>0</v>
      </c>
      <c r="AL365">
        <f t="shared" si="275"/>
        <v>0</v>
      </c>
      <c r="AM365">
        <f t="shared" si="276"/>
        <v>0</v>
      </c>
      <c r="AN365">
        <f t="shared" si="277"/>
        <v>0</v>
      </c>
      <c r="AO365">
        <f t="shared" si="278"/>
        <v>0</v>
      </c>
      <c r="AP365">
        <f t="shared" si="279"/>
        <v>0</v>
      </c>
      <c r="AQ365">
        <f t="shared" si="280"/>
        <v>0</v>
      </c>
      <c r="AR365">
        <f t="shared" si="281"/>
        <v>0</v>
      </c>
      <c r="AS365">
        <f t="shared" si="282"/>
        <v>0</v>
      </c>
      <c r="AT365">
        <f t="shared" si="283"/>
        <v>0</v>
      </c>
      <c r="AU365">
        <f t="shared" si="284"/>
        <v>0</v>
      </c>
      <c r="AV365">
        <f t="shared" si="285"/>
        <v>0</v>
      </c>
      <c r="AW365">
        <f t="shared" si="240"/>
        <v>0</v>
      </c>
      <c r="AX365">
        <f t="shared" si="286"/>
        <v>0</v>
      </c>
      <c r="AY365">
        <f t="shared" si="287"/>
        <v>0</v>
      </c>
    </row>
    <row r="366" spans="1:51" x14ac:dyDescent="0.35">
      <c r="A366">
        <v>360</v>
      </c>
      <c r="C366">
        <f>MAX(0,Calc!$C$7-SUM(D366:R366))</f>
        <v>750</v>
      </c>
      <c r="D366">
        <f t="shared" si="241"/>
        <v>0</v>
      </c>
      <c r="E366">
        <f t="shared" si="242"/>
        <v>0</v>
      </c>
      <c r="F366">
        <f t="shared" si="243"/>
        <v>0</v>
      </c>
      <c r="G366">
        <f t="shared" si="244"/>
        <v>0</v>
      </c>
      <c r="H366">
        <f t="shared" si="245"/>
        <v>0</v>
      </c>
      <c r="I366">
        <f t="shared" si="246"/>
        <v>0</v>
      </c>
      <c r="J366">
        <f t="shared" si="247"/>
        <v>0</v>
      </c>
      <c r="K366">
        <f t="shared" si="248"/>
        <v>0</v>
      </c>
      <c r="L366">
        <f t="shared" si="249"/>
        <v>0</v>
      </c>
      <c r="M366">
        <f t="shared" si="250"/>
        <v>0</v>
      </c>
      <c r="N366">
        <f t="shared" si="251"/>
        <v>0</v>
      </c>
      <c r="O366">
        <f t="shared" si="252"/>
        <v>0</v>
      </c>
      <c r="P366">
        <f t="shared" si="253"/>
        <v>0</v>
      </c>
      <c r="Q366">
        <f t="shared" si="254"/>
        <v>0</v>
      </c>
      <c r="R366">
        <f t="shared" si="255"/>
        <v>0</v>
      </c>
      <c r="S366">
        <f t="shared" si="256"/>
        <v>0</v>
      </c>
      <c r="T366">
        <f t="shared" si="257"/>
        <v>0</v>
      </c>
      <c r="U366">
        <f t="shared" si="258"/>
        <v>0</v>
      </c>
      <c r="V366">
        <f t="shared" si="259"/>
        <v>0</v>
      </c>
      <c r="W366">
        <f t="shared" si="260"/>
        <v>0</v>
      </c>
      <c r="X366">
        <f t="shared" si="261"/>
        <v>0</v>
      </c>
      <c r="Y366">
        <f t="shared" si="262"/>
        <v>0</v>
      </c>
      <c r="Z366">
        <f t="shared" si="263"/>
        <v>0</v>
      </c>
      <c r="AA366">
        <f t="shared" si="264"/>
        <v>0</v>
      </c>
      <c r="AB366">
        <f t="shared" si="265"/>
        <v>0</v>
      </c>
      <c r="AC366">
        <f t="shared" si="266"/>
        <v>0</v>
      </c>
      <c r="AD366">
        <f t="shared" si="267"/>
        <v>0</v>
      </c>
      <c r="AE366">
        <f t="shared" si="268"/>
        <v>0</v>
      </c>
      <c r="AF366">
        <f t="shared" si="269"/>
        <v>0</v>
      </c>
      <c r="AG366">
        <f t="shared" si="270"/>
        <v>0</v>
      </c>
      <c r="AH366">
        <f t="shared" si="271"/>
        <v>0</v>
      </c>
      <c r="AI366">
        <f t="shared" si="272"/>
        <v>0</v>
      </c>
      <c r="AJ366">
        <f t="shared" si="273"/>
        <v>0</v>
      </c>
      <c r="AK366">
        <f t="shared" si="274"/>
        <v>0</v>
      </c>
      <c r="AL366">
        <f t="shared" si="275"/>
        <v>0</v>
      </c>
      <c r="AM366">
        <f t="shared" si="276"/>
        <v>0</v>
      </c>
      <c r="AN366">
        <f t="shared" si="277"/>
        <v>0</v>
      </c>
      <c r="AO366">
        <f t="shared" si="278"/>
        <v>0</v>
      </c>
      <c r="AP366">
        <f t="shared" si="279"/>
        <v>0</v>
      </c>
      <c r="AQ366">
        <f t="shared" si="280"/>
        <v>0</v>
      </c>
      <c r="AR366">
        <f t="shared" si="281"/>
        <v>0</v>
      </c>
      <c r="AS366">
        <f t="shared" si="282"/>
        <v>0</v>
      </c>
      <c r="AT366">
        <f t="shared" si="283"/>
        <v>0</v>
      </c>
      <c r="AU366">
        <f t="shared" si="284"/>
        <v>0</v>
      </c>
      <c r="AV366">
        <f t="shared" si="285"/>
        <v>0</v>
      </c>
      <c r="AW366">
        <f t="shared" si="240"/>
        <v>0</v>
      </c>
      <c r="AX366">
        <f t="shared" si="286"/>
        <v>0</v>
      </c>
      <c r="AY366">
        <f t="shared" si="287"/>
        <v>0</v>
      </c>
    </row>
    <row r="368" spans="1:51" x14ac:dyDescent="0.35">
      <c r="A368" t="s">
        <v>201</v>
      </c>
      <c r="AH368">
        <f t="shared" ref="AH368:AV368" si="288">SUM(D7:D366)+SUM(S7:S366)</f>
        <v>1294.96</v>
      </c>
      <c r="AI368">
        <f t="shared" si="288"/>
        <v>6110.34</v>
      </c>
      <c r="AJ368">
        <f t="shared" si="288"/>
        <v>12675.32</v>
      </c>
      <c r="AK368">
        <f t="shared" si="288"/>
        <v>650</v>
      </c>
      <c r="AL368">
        <f t="shared" si="288"/>
        <v>0</v>
      </c>
      <c r="AM368">
        <f t="shared" si="288"/>
        <v>0</v>
      </c>
      <c r="AN368">
        <f t="shared" si="288"/>
        <v>0</v>
      </c>
      <c r="AO368">
        <f t="shared" si="288"/>
        <v>0</v>
      </c>
      <c r="AP368">
        <f t="shared" si="288"/>
        <v>0</v>
      </c>
      <c r="AQ368">
        <f t="shared" si="288"/>
        <v>0</v>
      </c>
      <c r="AR368">
        <f t="shared" si="288"/>
        <v>0</v>
      </c>
      <c r="AS368">
        <f t="shared" si="288"/>
        <v>0</v>
      </c>
      <c r="AT368">
        <f t="shared" si="288"/>
        <v>0</v>
      </c>
      <c r="AU368">
        <f t="shared" si="288"/>
        <v>0</v>
      </c>
      <c r="AV368">
        <f t="shared" si="288"/>
        <v>0</v>
      </c>
    </row>
    <row r="369" spans="1:48" x14ac:dyDescent="0.35">
      <c r="A369" t="s">
        <v>202</v>
      </c>
      <c r="AH369">
        <f t="shared" ref="AH369:AV369" si="289">IF(AH2=0,0,IF(AH366&gt;0.005,999,COUNTIF(AH7:AH366,"&gt;0.005")+1))</f>
        <v>6</v>
      </c>
      <c r="AI369">
        <f t="shared" si="289"/>
        <v>19</v>
      </c>
      <c r="AJ369">
        <f t="shared" si="289"/>
        <v>28</v>
      </c>
      <c r="AK369">
        <f t="shared" si="289"/>
        <v>13</v>
      </c>
      <c r="AL369">
        <f t="shared" si="289"/>
        <v>0</v>
      </c>
      <c r="AM369">
        <f t="shared" si="289"/>
        <v>0</v>
      </c>
      <c r="AN369">
        <f t="shared" si="289"/>
        <v>0</v>
      </c>
      <c r="AO369">
        <f t="shared" si="289"/>
        <v>0</v>
      </c>
      <c r="AP369">
        <f t="shared" si="289"/>
        <v>0</v>
      </c>
      <c r="AQ369">
        <f t="shared" si="289"/>
        <v>0</v>
      </c>
      <c r="AR369">
        <f t="shared" si="289"/>
        <v>0</v>
      </c>
      <c r="AS369">
        <f t="shared" si="289"/>
        <v>0</v>
      </c>
      <c r="AT369">
        <f t="shared" si="289"/>
        <v>0</v>
      </c>
      <c r="AU369">
        <f t="shared" si="289"/>
        <v>0</v>
      </c>
      <c r="AV369">
        <f t="shared" si="289"/>
        <v>0</v>
      </c>
    </row>
    <row r="370" spans="1:48" x14ac:dyDescent="0.35">
      <c r="A370" t="s">
        <v>61</v>
      </c>
      <c r="AH370">
        <f t="shared" ref="AH370:AV370" si="290">IF(AH2=0,0,ROUND(AH368-AH6+AH366,2))</f>
        <v>94.96</v>
      </c>
      <c r="AI370">
        <f t="shared" si="290"/>
        <v>1260.3399999999999</v>
      </c>
      <c r="AJ370">
        <f t="shared" si="290"/>
        <v>1275.32</v>
      </c>
      <c r="AK370">
        <f t="shared" si="290"/>
        <v>0</v>
      </c>
      <c r="AL370">
        <f t="shared" si="290"/>
        <v>0</v>
      </c>
      <c r="AM370">
        <f t="shared" si="290"/>
        <v>0</v>
      </c>
      <c r="AN370">
        <f t="shared" si="290"/>
        <v>0</v>
      </c>
      <c r="AO370">
        <f t="shared" si="290"/>
        <v>0</v>
      </c>
      <c r="AP370">
        <f t="shared" si="290"/>
        <v>0</v>
      </c>
      <c r="AQ370">
        <f t="shared" si="290"/>
        <v>0</v>
      </c>
      <c r="AR370">
        <f t="shared" si="290"/>
        <v>0</v>
      </c>
      <c r="AS370">
        <f t="shared" si="290"/>
        <v>0</v>
      </c>
      <c r="AT370">
        <f t="shared" si="290"/>
        <v>0</v>
      </c>
      <c r="AU370">
        <f t="shared" si="290"/>
        <v>0</v>
      </c>
      <c r="AV370">
        <f t="shared" si="290"/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8A3B4F"/>
  </sheetPr>
  <dimension ref="A1:AY370"/>
  <sheetViews>
    <sheetView workbookViewId="0"/>
  </sheetViews>
  <sheetFormatPr defaultRowHeight="14.5" x14ac:dyDescent="0.35"/>
  <sheetData>
    <row r="1" spans="1:51" x14ac:dyDescent="0.35">
      <c r="A1" t="s">
        <v>205</v>
      </c>
    </row>
    <row r="2" spans="1:51" x14ac:dyDescent="0.35">
      <c r="A2" t="s">
        <v>151</v>
      </c>
      <c r="AH2">
        <f>IFERROR(MATCH(1,Calc!$K$10:$K$24,0),0)</f>
        <v>1</v>
      </c>
      <c r="AI2">
        <f>IFERROR(MATCH(2,Calc!$K$10:$K$24,0),0)</f>
        <v>2</v>
      </c>
      <c r="AJ2">
        <f>IFERROR(MATCH(3,Calc!$K$10:$K$24,0),0)</f>
        <v>3</v>
      </c>
      <c r="AK2">
        <f>IFERROR(MATCH(4,Calc!$K$10:$K$24,0),0)</f>
        <v>4</v>
      </c>
      <c r="AL2">
        <f>IFERROR(MATCH(5,Calc!$K$10:$K$24,0),0)</f>
        <v>0</v>
      </c>
      <c r="AM2">
        <f>IFERROR(MATCH(6,Calc!$K$10:$K$24,0),0)</f>
        <v>0</v>
      </c>
      <c r="AN2">
        <f>IFERROR(MATCH(7,Calc!$K$10:$K$24,0),0)</f>
        <v>0</v>
      </c>
      <c r="AO2">
        <f>IFERROR(MATCH(8,Calc!$K$10:$K$24,0),0)</f>
        <v>0</v>
      </c>
      <c r="AP2">
        <f>IFERROR(MATCH(9,Calc!$K$10:$K$24,0),0)</f>
        <v>0</v>
      </c>
      <c r="AQ2">
        <f>IFERROR(MATCH(10,Calc!$K$10:$K$24,0),0)</f>
        <v>0</v>
      </c>
      <c r="AR2">
        <f>IFERROR(MATCH(11,Calc!$K$10:$K$24,0),0)</f>
        <v>0</v>
      </c>
      <c r="AS2">
        <f>IFERROR(MATCH(12,Calc!$K$10:$K$24,0),0)</f>
        <v>0</v>
      </c>
      <c r="AT2">
        <f>IFERROR(MATCH(13,Calc!$K$10:$K$24,0),0)</f>
        <v>0</v>
      </c>
      <c r="AU2">
        <f>IFERROR(MATCH(14,Calc!$K$10:$K$24,0),0)</f>
        <v>0</v>
      </c>
      <c r="AV2">
        <f>IFERROR(MATCH(15,Calc!$K$10:$K$24,0),0)</f>
        <v>0</v>
      </c>
    </row>
    <row r="3" spans="1:51" x14ac:dyDescent="0.35">
      <c r="A3" t="s">
        <v>152</v>
      </c>
      <c r="AH3">
        <f>IF(AH2=0,0,INDEX(Calc!$E$10:$E$24,AH2)/1200)</f>
        <v>2.0825E-2</v>
      </c>
      <c r="AI3">
        <f>IF(AI2=0,0,INDEX(Calc!$E$10:$E$24,AI2)/1200)</f>
        <v>2.4158333333333334E-2</v>
      </c>
      <c r="AJ3">
        <f>IF(AJ2=0,0,INDEX(Calc!$E$10:$E$24,AJ2)/1200)</f>
        <v>6.2500000000000003E-3</v>
      </c>
      <c r="AK3">
        <f>IF(AK2=0,0,INDEX(Calc!$E$10:$E$24,AK2)/1200)</f>
        <v>0</v>
      </c>
      <c r="AL3">
        <f>IF(AL2=0,0,INDEX(Calc!$E$10:$E$24,AL2)/1200)</f>
        <v>0</v>
      </c>
      <c r="AM3">
        <f>IF(AM2=0,0,INDEX(Calc!$E$10:$E$24,AM2)/1200)</f>
        <v>0</v>
      </c>
      <c r="AN3">
        <f>IF(AN2=0,0,INDEX(Calc!$E$10:$E$24,AN2)/1200)</f>
        <v>0</v>
      </c>
      <c r="AO3">
        <f>IF(AO2=0,0,INDEX(Calc!$E$10:$E$24,AO2)/1200)</f>
        <v>0</v>
      </c>
      <c r="AP3">
        <f>IF(AP2=0,0,INDEX(Calc!$E$10:$E$24,AP2)/1200)</f>
        <v>0</v>
      </c>
      <c r="AQ3">
        <f>IF(AQ2=0,0,INDEX(Calc!$E$10:$E$24,AQ2)/1200)</f>
        <v>0</v>
      </c>
      <c r="AR3">
        <f>IF(AR2=0,0,INDEX(Calc!$E$10:$E$24,AR2)/1200)</f>
        <v>0</v>
      </c>
      <c r="AS3">
        <f>IF(AS2=0,0,INDEX(Calc!$E$10:$E$24,AS2)/1200)</f>
        <v>0</v>
      </c>
      <c r="AT3">
        <f>IF(AT2=0,0,INDEX(Calc!$E$10:$E$24,AT2)/1200)</f>
        <v>0</v>
      </c>
      <c r="AU3">
        <f>IF(AU2=0,0,INDEX(Calc!$E$10:$E$24,AU2)/1200)</f>
        <v>0</v>
      </c>
      <c r="AV3">
        <f>IF(AV2=0,0,INDEX(Calc!$E$10:$E$24,AV2)/1200)</f>
        <v>0</v>
      </c>
    </row>
    <row r="4" spans="1:51" x14ac:dyDescent="0.35">
      <c r="A4" t="s">
        <v>153</v>
      </c>
      <c r="AH4">
        <f>IF(AH2=0,0,INDEX(Calc!$F$10:$F$24,AH2))</f>
        <v>145</v>
      </c>
      <c r="AI4">
        <f>IF(AI2=0,0,INDEX(Calc!$F$10:$F$24,AI2))</f>
        <v>40</v>
      </c>
      <c r="AJ4">
        <f>IF(AJ2=0,0,INDEX(Calc!$F$10:$F$24,AJ2))</f>
        <v>315</v>
      </c>
      <c r="AK4">
        <f>IF(AK2=0,0,INDEX(Calc!$F$10:$F$24,AK2))</f>
        <v>50</v>
      </c>
      <c r="AL4">
        <f>IF(AL2=0,0,INDEX(Calc!$F$10:$F$24,AL2))</f>
        <v>0</v>
      </c>
      <c r="AM4">
        <f>IF(AM2=0,0,INDEX(Calc!$F$10:$F$24,AM2))</f>
        <v>0</v>
      </c>
      <c r="AN4">
        <f>IF(AN2=0,0,INDEX(Calc!$F$10:$F$24,AN2))</f>
        <v>0</v>
      </c>
      <c r="AO4">
        <f>IF(AO2=0,0,INDEX(Calc!$F$10:$F$24,AO2))</f>
        <v>0</v>
      </c>
      <c r="AP4">
        <f>IF(AP2=0,0,INDEX(Calc!$F$10:$F$24,AP2))</f>
        <v>0</v>
      </c>
      <c r="AQ4">
        <f>IF(AQ2=0,0,INDEX(Calc!$F$10:$F$24,AQ2))</f>
        <v>0</v>
      </c>
      <c r="AR4">
        <f>IF(AR2=0,0,INDEX(Calc!$F$10:$F$24,AR2))</f>
        <v>0</v>
      </c>
      <c r="AS4">
        <f>IF(AS2=0,0,INDEX(Calc!$F$10:$F$24,AS2))</f>
        <v>0</v>
      </c>
      <c r="AT4">
        <f>IF(AT2=0,0,INDEX(Calc!$F$10:$F$24,AT2))</f>
        <v>0</v>
      </c>
      <c r="AU4">
        <f>IF(AU2=0,0,INDEX(Calc!$F$10:$F$24,AU2))</f>
        <v>0</v>
      </c>
      <c r="AV4">
        <f>IF(AV2=0,0,INDEX(Calc!$F$10:$F$24,AV2))</f>
        <v>0</v>
      </c>
    </row>
    <row r="5" spans="1:51" x14ac:dyDescent="0.35">
      <c r="A5" t="s">
        <v>112</v>
      </c>
      <c r="C5" t="s">
        <v>154</v>
      </c>
      <c r="D5" t="s">
        <v>155</v>
      </c>
      <c r="E5" t="s">
        <v>156</v>
      </c>
      <c r="F5" t="s">
        <v>157</v>
      </c>
      <c r="G5" t="s">
        <v>158</v>
      </c>
      <c r="H5" t="s">
        <v>159</v>
      </c>
      <c r="I5" t="s">
        <v>160</v>
      </c>
      <c r="J5" t="s">
        <v>161</v>
      </c>
      <c r="K5" t="s">
        <v>162</v>
      </c>
      <c r="L5" t="s">
        <v>163</v>
      </c>
      <c r="M5" t="s">
        <v>164</v>
      </c>
      <c r="N5" t="s">
        <v>165</v>
      </c>
      <c r="O5" t="s">
        <v>166</v>
      </c>
      <c r="P5" t="s">
        <v>167</v>
      </c>
      <c r="Q5" t="s">
        <v>168</v>
      </c>
      <c r="R5" t="s">
        <v>169</v>
      </c>
      <c r="S5" t="s">
        <v>170</v>
      </c>
      <c r="T5" t="s">
        <v>171</v>
      </c>
      <c r="U5" t="s">
        <v>172</v>
      </c>
      <c r="V5" t="s">
        <v>173</v>
      </c>
      <c r="W5" t="s">
        <v>174</v>
      </c>
      <c r="X5" t="s">
        <v>175</v>
      </c>
      <c r="Y5" t="s">
        <v>176</v>
      </c>
      <c r="Z5" t="s">
        <v>177</v>
      </c>
      <c r="AA5" t="s">
        <v>178</v>
      </c>
      <c r="AB5" t="s">
        <v>179</v>
      </c>
      <c r="AC5" t="s">
        <v>180</v>
      </c>
      <c r="AD5" t="s">
        <v>181</v>
      </c>
      <c r="AE5" t="s">
        <v>182</v>
      </c>
      <c r="AF5" t="s">
        <v>183</v>
      </c>
      <c r="AG5" t="s">
        <v>184</v>
      </c>
      <c r="AH5" t="s">
        <v>185</v>
      </c>
      <c r="AI5" t="s">
        <v>186</v>
      </c>
      <c r="AJ5" t="s">
        <v>187</v>
      </c>
      <c r="AK5" t="s">
        <v>188</v>
      </c>
      <c r="AL5" t="s">
        <v>189</v>
      </c>
      <c r="AM5" t="s">
        <v>190</v>
      </c>
      <c r="AN5" t="s">
        <v>191</v>
      </c>
      <c r="AO5" t="s">
        <v>192</v>
      </c>
      <c r="AP5" t="s">
        <v>193</v>
      </c>
      <c r="AQ5" t="s">
        <v>194</v>
      </c>
      <c r="AR5" t="s">
        <v>195</v>
      </c>
      <c r="AS5" t="s">
        <v>196</v>
      </c>
      <c r="AT5" t="s">
        <v>197</v>
      </c>
      <c r="AU5" t="s">
        <v>198</v>
      </c>
      <c r="AV5" t="s">
        <v>199</v>
      </c>
      <c r="AW5" t="s">
        <v>200</v>
      </c>
      <c r="AX5" t="s">
        <v>61</v>
      </c>
      <c r="AY5" t="s">
        <v>114</v>
      </c>
    </row>
    <row r="6" spans="1:51" x14ac:dyDescent="0.35">
      <c r="A6">
        <v>0</v>
      </c>
      <c r="AH6">
        <f>IF(AH2=0,0,INDEX(Calc!$D$10:$D$24,AH2))</f>
        <v>4850</v>
      </c>
      <c r="AI6">
        <f>IF(AI2=0,0,INDEX(Calc!$D$10:$D$24,AI2))</f>
        <v>1200</v>
      </c>
      <c r="AJ6">
        <f>IF(AJ2=0,0,INDEX(Calc!$D$10:$D$24,AJ2))</f>
        <v>11400</v>
      </c>
      <c r="AK6">
        <f>IF(AK2=0,0,INDEX(Calc!$D$10:$D$24,AK2))</f>
        <v>650</v>
      </c>
      <c r="AL6">
        <f>IF(AL2=0,0,INDEX(Calc!$D$10:$D$24,AL2))</f>
        <v>0</v>
      </c>
      <c r="AM6">
        <f>IF(AM2=0,0,INDEX(Calc!$D$10:$D$24,AM2))</f>
        <v>0</v>
      </c>
      <c r="AN6">
        <f>IF(AN2=0,0,INDEX(Calc!$D$10:$D$24,AN2))</f>
        <v>0</v>
      </c>
      <c r="AO6">
        <f>IF(AO2=0,0,INDEX(Calc!$D$10:$D$24,AO2))</f>
        <v>0</v>
      </c>
      <c r="AP6">
        <f>IF(AP2=0,0,INDEX(Calc!$D$10:$D$24,AP2))</f>
        <v>0</v>
      </c>
      <c r="AQ6">
        <f>IF(AQ2=0,0,INDEX(Calc!$D$10:$D$24,AQ2))</f>
        <v>0</v>
      </c>
      <c r="AR6">
        <f>IF(AR2=0,0,INDEX(Calc!$D$10:$D$24,AR2))</f>
        <v>0</v>
      </c>
      <c r="AS6">
        <f>IF(AS2=0,0,INDEX(Calc!$D$10:$D$24,AS2))</f>
        <v>0</v>
      </c>
      <c r="AT6">
        <f>IF(AT2=0,0,INDEX(Calc!$D$10:$D$24,AT2))</f>
        <v>0</v>
      </c>
      <c r="AU6">
        <f>IF(AU2=0,0,INDEX(Calc!$D$10:$D$24,AU2))</f>
        <v>0</v>
      </c>
      <c r="AV6">
        <f>IF(AV2=0,0,INDEX(Calc!$D$10:$D$24,AV2))</f>
        <v>0</v>
      </c>
      <c r="AW6">
        <f t="shared" ref="AW6:AW69" si="0">SUM(AH6:AV6)</f>
        <v>18100</v>
      </c>
    </row>
    <row r="7" spans="1:51" x14ac:dyDescent="0.35">
      <c r="A7">
        <v>1</v>
      </c>
      <c r="C7">
        <f>MAX(0,Calc!$C$7-SUM(D7:R7))</f>
        <v>200</v>
      </c>
      <c r="D7">
        <f t="shared" ref="D7:D70" si="1">IF(AH6&lt;0.005,0,MIN((AH6+ROUND(AH6*AH$3,2)),AH$4))</f>
        <v>145</v>
      </c>
      <c r="E7">
        <f t="shared" ref="E7:E70" si="2">IF(AI6&lt;0.005,0,MIN((AI6+ROUND(AI6*AI$3,2)),AI$4))</f>
        <v>40</v>
      </c>
      <c r="F7">
        <f t="shared" ref="F7:F70" si="3">IF(AJ6&lt;0.005,0,MIN((AJ6+ROUND(AJ6*AJ$3,2)),AJ$4))</f>
        <v>315</v>
      </c>
      <c r="G7">
        <f t="shared" ref="G7:G70" si="4">IF(AK6&lt;0.005,0,MIN((AK6+ROUND(AK6*AK$3,2)),AK$4))</f>
        <v>50</v>
      </c>
      <c r="H7">
        <f t="shared" ref="H7:H70" si="5">IF(AL6&lt;0.005,0,MIN((AL6+ROUND(AL6*AL$3,2)),AL$4))</f>
        <v>0</v>
      </c>
      <c r="I7">
        <f t="shared" ref="I7:I70" si="6">IF(AM6&lt;0.005,0,MIN((AM6+ROUND(AM6*AM$3,2)),AM$4))</f>
        <v>0</v>
      </c>
      <c r="J7">
        <f t="shared" ref="J7:J70" si="7">IF(AN6&lt;0.005,0,MIN((AN6+ROUND(AN6*AN$3,2)),AN$4))</f>
        <v>0</v>
      </c>
      <c r="K7">
        <f t="shared" ref="K7:K70" si="8">IF(AO6&lt;0.005,0,MIN((AO6+ROUND(AO6*AO$3,2)),AO$4))</f>
        <v>0</v>
      </c>
      <c r="L7">
        <f t="shared" ref="L7:L70" si="9">IF(AP6&lt;0.005,0,MIN((AP6+ROUND(AP6*AP$3,2)),AP$4))</f>
        <v>0</v>
      </c>
      <c r="M7">
        <f t="shared" ref="M7:M70" si="10">IF(AQ6&lt;0.005,0,MIN((AQ6+ROUND(AQ6*AQ$3,2)),AQ$4))</f>
        <v>0</v>
      </c>
      <c r="N7">
        <f t="shared" ref="N7:N70" si="11">IF(AR6&lt;0.005,0,MIN((AR6+ROUND(AR6*AR$3,2)),AR$4))</f>
        <v>0</v>
      </c>
      <c r="O7">
        <f t="shared" ref="O7:O70" si="12">IF(AS6&lt;0.005,0,MIN((AS6+ROUND(AS6*AS$3,2)),AS$4))</f>
        <v>0</v>
      </c>
      <c r="P7">
        <f t="shared" ref="P7:P70" si="13">IF(AT6&lt;0.005,0,MIN((AT6+ROUND(AT6*AT$3,2)),AT$4))</f>
        <v>0</v>
      </c>
      <c r="Q7">
        <f t="shared" ref="Q7:Q70" si="14">IF(AU6&lt;0.005,0,MIN((AU6+ROUND(AU6*AU$3,2)),AU$4))</f>
        <v>0</v>
      </c>
      <c r="R7">
        <f t="shared" ref="R7:R70" si="15">IF(AV6&lt;0.005,0,MIN((AV6+ROUND(AV6*AV$3,2)),AV$4))</f>
        <v>0</v>
      </c>
      <c r="S7">
        <f t="shared" ref="S7:S70" si="16">IF(AH6&lt;0.005,0,MIN((AH6+ROUND(AH6*AH$3,2))-D7,MAX(0,$C7)))</f>
        <v>200</v>
      </c>
      <c r="T7">
        <f t="shared" ref="T7:T70" si="17">IF(AI6&lt;0.005,0,MIN((AI6+ROUND(AI6*AI$3,2))-E7,MAX(0,$C7-SUM(S7:S7))))</f>
        <v>0</v>
      </c>
      <c r="U7">
        <f t="shared" ref="U7:U70" si="18">IF(AJ6&lt;0.005,0,MIN((AJ6+ROUND(AJ6*AJ$3,2))-F7,MAX(0,$C7-SUM(S7:T7))))</f>
        <v>0</v>
      </c>
      <c r="V7">
        <f t="shared" ref="V7:V70" si="19">IF(AK6&lt;0.005,0,MIN((AK6+ROUND(AK6*AK$3,2))-G7,MAX(0,$C7-SUM(S7:U7))))</f>
        <v>0</v>
      </c>
      <c r="W7">
        <f t="shared" ref="W7:W70" si="20">IF(AL6&lt;0.005,0,MIN((AL6+ROUND(AL6*AL$3,2))-H7,MAX(0,$C7-SUM(S7:V7))))</f>
        <v>0</v>
      </c>
      <c r="X7">
        <f t="shared" ref="X7:X70" si="21">IF(AM6&lt;0.005,0,MIN((AM6+ROUND(AM6*AM$3,2))-I7,MAX(0,$C7-SUM(S7:W7))))</f>
        <v>0</v>
      </c>
      <c r="Y7">
        <f t="shared" ref="Y7:Y70" si="22">IF(AN6&lt;0.005,0,MIN((AN6+ROUND(AN6*AN$3,2))-J7,MAX(0,$C7-SUM(S7:X7))))</f>
        <v>0</v>
      </c>
      <c r="Z7">
        <f t="shared" ref="Z7:Z70" si="23">IF(AO6&lt;0.005,0,MIN((AO6+ROUND(AO6*AO$3,2))-K7,MAX(0,$C7-SUM(S7:Y7))))</f>
        <v>0</v>
      </c>
      <c r="AA7">
        <f t="shared" ref="AA7:AA70" si="24">IF(AP6&lt;0.005,0,MIN((AP6+ROUND(AP6*AP$3,2))-L7,MAX(0,$C7-SUM(S7:Z7))))</f>
        <v>0</v>
      </c>
      <c r="AB7">
        <f t="shared" ref="AB7:AB70" si="25">IF(AQ6&lt;0.005,0,MIN((AQ6+ROUND(AQ6*AQ$3,2))-M7,MAX(0,$C7-SUM(S7:AA7))))</f>
        <v>0</v>
      </c>
      <c r="AC7">
        <f t="shared" ref="AC7:AC70" si="26">IF(AR6&lt;0.005,0,MIN((AR6+ROUND(AR6*AR$3,2))-N7,MAX(0,$C7-SUM(S7:AB7))))</f>
        <v>0</v>
      </c>
      <c r="AD7">
        <f t="shared" ref="AD7:AD70" si="27">IF(AS6&lt;0.005,0,MIN((AS6+ROUND(AS6*AS$3,2))-O7,MAX(0,$C7-SUM(S7:AC7))))</f>
        <v>0</v>
      </c>
      <c r="AE7">
        <f t="shared" ref="AE7:AE70" si="28">IF(AT6&lt;0.005,0,MIN((AT6+ROUND(AT6*AT$3,2))-P7,MAX(0,$C7-SUM(S7:AD7))))</f>
        <v>0</v>
      </c>
      <c r="AF7">
        <f t="shared" ref="AF7:AF70" si="29">IF(AU6&lt;0.005,0,MIN((AU6+ROUND(AU6*AU$3,2))-Q7,MAX(0,$C7-SUM(S7:AE7))))</f>
        <v>0</v>
      </c>
      <c r="AG7">
        <f t="shared" ref="AG7:AG70" si="30">IF(AV6&lt;0.005,0,MIN((AV6+ROUND(AV6*AV$3,2))-R7,MAX(0,$C7-SUM(S7:AF7))))</f>
        <v>0</v>
      </c>
      <c r="AH7">
        <f t="shared" ref="AH7:AH70" si="31">IF(AH6&lt;0.005,0,ROUND((AH6+ROUND(AH6*AH$3,2))-D7-S7,2))</f>
        <v>4606</v>
      </c>
      <c r="AI7">
        <f t="shared" ref="AI7:AI70" si="32">IF(AI6&lt;0.005,0,ROUND((AI6+ROUND(AI6*AI$3,2))-E7-T7,2))</f>
        <v>1188.99</v>
      </c>
      <c r="AJ7">
        <f t="shared" ref="AJ7:AJ70" si="33">IF(AJ6&lt;0.005,0,ROUND((AJ6+ROUND(AJ6*AJ$3,2))-F7-U7,2))</f>
        <v>11156.25</v>
      </c>
      <c r="AK7">
        <f t="shared" ref="AK7:AK70" si="34">IF(AK6&lt;0.005,0,ROUND((AK6+ROUND(AK6*AK$3,2))-G7-V7,2))</f>
        <v>600</v>
      </c>
      <c r="AL7">
        <f t="shared" ref="AL7:AL70" si="35">IF(AL6&lt;0.005,0,ROUND((AL6+ROUND(AL6*AL$3,2))-H7-W7,2))</f>
        <v>0</v>
      </c>
      <c r="AM7">
        <f t="shared" ref="AM7:AM70" si="36">IF(AM6&lt;0.005,0,ROUND((AM6+ROUND(AM6*AM$3,2))-I7-X7,2))</f>
        <v>0</v>
      </c>
      <c r="AN7">
        <f t="shared" ref="AN7:AN70" si="37">IF(AN6&lt;0.005,0,ROUND((AN6+ROUND(AN6*AN$3,2))-J7-Y7,2))</f>
        <v>0</v>
      </c>
      <c r="AO7">
        <f t="shared" ref="AO7:AO70" si="38">IF(AO6&lt;0.005,0,ROUND((AO6+ROUND(AO6*AO$3,2))-K7-Z7,2))</f>
        <v>0</v>
      </c>
      <c r="AP7">
        <f t="shared" ref="AP7:AP70" si="39">IF(AP6&lt;0.005,0,ROUND((AP6+ROUND(AP6*AP$3,2))-L7-AA7,2))</f>
        <v>0</v>
      </c>
      <c r="AQ7">
        <f t="shared" ref="AQ7:AQ70" si="40">IF(AQ6&lt;0.005,0,ROUND((AQ6+ROUND(AQ6*AQ$3,2))-M7-AB7,2))</f>
        <v>0</v>
      </c>
      <c r="AR7">
        <f t="shared" ref="AR7:AR70" si="41">IF(AR6&lt;0.005,0,ROUND((AR6+ROUND(AR6*AR$3,2))-N7-AC7,2))</f>
        <v>0</v>
      </c>
      <c r="AS7">
        <f t="shared" ref="AS7:AS70" si="42">IF(AS6&lt;0.005,0,ROUND((AS6+ROUND(AS6*AS$3,2))-O7-AD7,2))</f>
        <v>0</v>
      </c>
      <c r="AT7">
        <f t="shared" ref="AT7:AT70" si="43">IF(AT6&lt;0.005,0,ROUND((AT6+ROUND(AT6*AT$3,2))-P7-AE7,2))</f>
        <v>0</v>
      </c>
      <c r="AU7">
        <f t="shared" ref="AU7:AU70" si="44">IF(AU6&lt;0.005,0,ROUND((AU6+ROUND(AU6*AU$3,2))-Q7-AF7,2))</f>
        <v>0</v>
      </c>
      <c r="AV7">
        <f t="shared" ref="AV7:AV70" si="45">IF(AV6&lt;0.005,0,ROUND((AV6+ROUND(AV6*AV$3,2))-R7-AG7,2))</f>
        <v>0</v>
      </c>
      <c r="AW7">
        <f t="shared" si="0"/>
        <v>17551.239999999998</v>
      </c>
      <c r="AX7">
        <f t="shared" ref="AX7:AX70" si="46">SUMPRODUCT(ROUND(AH6:AV6*AH$3:AV$3,2))</f>
        <v>201.24</v>
      </c>
      <c r="AY7">
        <f t="shared" ref="AY7:AY70" si="47">SUM(D7:AG7)</f>
        <v>750</v>
      </c>
    </row>
    <row r="8" spans="1:51" x14ac:dyDescent="0.35">
      <c r="A8">
        <v>2</v>
      </c>
      <c r="C8">
        <f>MAX(0,Calc!$C$7-SUM(D8:R8))</f>
        <v>200</v>
      </c>
      <c r="D8">
        <f t="shared" si="1"/>
        <v>145</v>
      </c>
      <c r="E8">
        <f t="shared" si="2"/>
        <v>40</v>
      </c>
      <c r="F8">
        <f t="shared" si="3"/>
        <v>315</v>
      </c>
      <c r="G8">
        <f t="shared" si="4"/>
        <v>50</v>
      </c>
      <c r="H8">
        <f t="shared" si="5"/>
        <v>0</v>
      </c>
      <c r="I8">
        <f t="shared" si="6"/>
        <v>0</v>
      </c>
      <c r="J8">
        <f t="shared" si="7"/>
        <v>0</v>
      </c>
      <c r="K8">
        <f t="shared" si="8"/>
        <v>0</v>
      </c>
      <c r="L8">
        <f t="shared" si="9"/>
        <v>0</v>
      </c>
      <c r="M8">
        <f t="shared" si="10"/>
        <v>0</v>
      </c>
      <c r="N8">
        <f t="shared" si="11"/>
        <v>0</v>
      </c>
      <c r="O8">
        <f t="shared" si="12"/>
        <v>0</v>
      </c>
      <c r="P8">
        <f t="shared" si="13"/>
        <v>0</v>
      </c>
      <c r="Q8">
        <f t="shared" si="14"/>
        <v>0</v>
      </c>
      <c r="R8">
        <f t="shared" si="15"/>
        <v>0</v>
      </c>
      <c r="S8">
        <f t="shared" si="16"/>
        <v>200</v>
      </c>
      <c r="T8">
        <f t="shared" si="17"/>
        <v>0</v>
      </c>
      <c r="U8">
        <f t="shared" si="18"/>
        <v>0</v>
      </c>
      <c r="V8">
        <f t="shared" si="19"/>
        <v>0</v>
      </c>
      <c r="W8">
        <f t="shared" si="20"/>
        <v>0</v>
      </c>
      <c r="X8">
        <f t="shared" si="21"/>
        <v>0</v>
      </c>
      <c r="Y8">
        <f t="shared" si="22"/>
        <v>0</v>
      </c>
      <c r="Z8">
        <f t="shared" si="23"/>
        <v>0</v>
      </c>
      <c r="AA8">
        <f t="shared" si="24"/>
        <v>0</v>
      </c>
      <c r="AB8">
        <f t="shared" si="25"/>
        <v>0</v>
      </c>
      <c r="AC8">
        <f t="shared" si="26"/>
        <v>0</v>
      </c>
      <c r="AD8">
        <f t="shared" si="27"/>
        <v>0</v>
      </c>
      <c r="AE8">
        <f t="shared" si="28"/>
        <v>0</v>
      </c>
      <c r="AF8">
        <f t="shared" si="29"/>
        <v>0</v>
      </c>
      <c r="AG8">
        <f t="shared" si="30"/>
        <v>0</v>
      </c>
      <c r="AH8">
        <f t="shared" si="31"/>
        <v>4356.92</v>
      </c>
      <c r="AI8">
        <f t="shared" si="32"/>
        <v>1177.71</v>
      </c>
      <c r="AJ8">
        <f t="shared" si="33"/>
        <v>10910.98</v>
      </c>
      <c r="AK8">
        <f t="shared" si="34"/>
        <v>550</v>
      </c>
      <c r="AL8">
        <f t="shared" si="35"/>
        <v>0</v>
      </c>
      <c r="AM8">
        <f t="shared" si="36"/>
        <v>0</v>
      </c>
      <c r="AN8">
        <f t="shared" si="37"/>
        <v>0</v>
      </c>
      <c r="AO8">
        <f t="shared" si="38"/>
        <v>0</v>
      </c>
      <c r="AP8">
        <f t="shared" si="39"/>
        <v>0</v>
      </c>
      <c r="AQ8">
        <f t="shared" si="40"/>
        <v>0</v>
      </c>
      <c r="AR8">
        <f t="shared" si="41"/>
        <v>0</v>
      </c>
      <c r="AS8">
        <f t="shared" si="42"/>
        <v>0</v>
      </c>
      <c r="AT8">
        <f t="shared" si="43"/>
        <v>0</v>
      </c>
      <c r="AU8">
        <f t="shared" si="44"/>
        <v>0</v>
      </c>
      <c r="AV8">
        <f t="shared" si="45"/>
        <v>0</v>
      </c>
      <c r="AW8">
        <f t="shared" si="0"/>
        <v>16995.61</v>
      </c>
      <c r="AX8">
        <f t="shared" si="46"/>
        <v>194.37</v>
      </c>
      <c r="AY8">
        <f t="shared" si="47"/>
        <v>750</v>
      </c>
    </row>
    <row r="9" spans="1:51" x14ac:dyDescent="0.35">
      <c r="A9">
        <v>3</v>
      </c>
      <c r="C9">
        <f>MAX(0,Calc!$C$7-SUM(D9:R9))</f>
        <v>200</v>
      </c>
      <c r="D9">
        <f t="shared" si="1"/>
        <v>145</v>
      </c>
      <c r="E9">
        <f t="shared" si="2"/>
        <v>40</v>
      </c>
      <c r="F9">
        <f t="shared" si="3"/>
        <v>315</v>
      </c>
      <c r="G9">
        <f t="shared" si="4"/>
        <v>50</v>
      </c>
      <c r="H9">
        <f t="shared" si="5"/>
        <v>0</v>
      </c>
      <c r="I9">
        <f t="shared" si="6"/>
        <v>0</v>
      </c>
      <c r="J9">
        <f t="shared" si="7"/>
        <v>0</v>
      </c>
      <c r="K9">
        <f t="shared" si="8"/>
        <v>0</v>
      </c>
      <c r="L9">
        <f t="shared" si="9"/>
        <v>0</v>
      </c>
      <c r="M9">
        <f t="shared" si="10"/>
        <v>0</v>
      </c>
      <c r="N9">
        <f t="shared" si="11"/>
        <v>0</v>
      </c>
      <c r="O9">
        <f t="shared" si="12"/>
        <v>0</v>
      </c>
      <c r="P9">
        <f t="shared" si="13"/>
        <v>0</v>
      </c>
      <c r="Q9">
        <f t="shared" si="14"/>
        <v>0</v>
      </c>
      <c r="R9">
        <f t="shared" si="15"/>
        <v>0</v>
      </c>
      <c r="S9">
        <f t="shared" si="16"/>
        <v>200</v>
      </c>
      <c r="T9">
        <f t="shared" si="17"/>
        <v>0</v>
      </c>
      <c r="U9">
        <f t="shared" si="18"/>
        <v>0</v>
      </c>
      <c r="V9">
        <f t="shared" si="19"/>
        <v>0</v>
      </c>
      <c r="W9">
        <f t="shared" si="20"/>
        <v>0</v>
      </c>
      <c r="X9">
        <f t="shared" si="21"/>
        <v>0</v>
      </c>
      <c r="Y9">
        <f t="shared" si="22"/>
        <v>0</v>
      </c>
      <c r="Z9">
        <f t="shared" si="23"/>
        <v>0</v>
      </c>
      <c r="AA9">
        <f t="shared" si="24"/>
        <v>0</v>
      </c>
      <c r="AB9">
        <f t="shared" si="25"/>
        <v>0</v>
      </c>
      <c r="AC9">
        <f t="shared" si="26"/>
        <v>0</v>
      </c>
      <c r="AD9">
        <f t="shared" si="27"/>
        <v>0</v>
      </c>
      <c r="AE9">
        <f t="shared" si="28"/>
        <v>0</v>
      </c>
      <c r="AF9">
        <f t="shared" si="29"/>
        <v>0</v>
      </c>
      <c r="AG9">
        <f t="shared" si="30"/>
        <v>0</v>
      </c>
      <c r="AH9">
        <f t="shared" si="31"/>
        <v>4102.6499999999996</v>
      </c>
      <c r="AI9">
        <f t="shared" si="32"/>
        <v>1166.1600000000001</v>
      </c>
      <c r="AJ9">
        <f t="shared" si="33"/>
        <v>10664.17</v>
      </c>
      <c r="AK9">
        <f t="shared" si="34"/>
        <v>500</v>
      </c>
      <c r="AL9">
        <f t="shared" si="35"/>
        <v>0</v>
      </c>
      <c r="AM9">
        <f t="shared" si="36"/>
        <v>0</v>
      </c>
      <c r="AN9">
        <f t="shared" si="37"/>
        <v>0</v>
      </c>
      <c r="AO9">
        <f t="shared" si="38"/>
        <v>0</v>
      </c>
      <c r="AP9">
        <f t="shared" si="39"/>
        <v>0</v>
      </c>
      <c r="AQ9">
        <f t="shared" si="40"/>
        <v>0</v>
      </c>
      <c r="AR9">
        <f t="shared" si="41"/>
        <v>0</v>
      </c>
      <c r="AS9">
        <f t="shared" si="42"/>
        <v>0</v>
      </c>
      <c r="AT9">
        <f t="shared" si="43"/>
        <v>0</v>
      </c>
      <c r="AU9">
        <f t="shared" si="44"/>
        <v>0</v>
      </c>
      <c r="AV9">
        <f t="shared" si="45"/>
        <v>0</v>
      </c>
      <c r="AW9">
        <f t="shared" si="0"/>
        <v>16432.98</v>
      </c>
      <c r="AX9">
        <f t="shared" si="46"/>
        <v>187.37</v>
      </c>
      <c r="AY9">
        <f t="shared" si="47"/>
        <v>750</v>
      </c>
    </row>
    <row r="10" spans="1:51" x14ac:dyDescent="0.35">
      <c r="A10">
        <v>4</v>
      </c>
      <c r="C10">
        <f>MAX(0,Calc!$C$7-SUM(D10:R10))</f>
        <v>200</v>
      </c>
      <c r="D10">
        <f t="shared" si="1"/>
        <v>145</v>
      </c>
      <c r="E10">
        <f t="shared" si="2"/>
        <v>40</v>
      </c>
      <c r="F10">
        <f t="shared" si="3"/>
        <v>315</v>
      </c>
      <c r="G10">
        <f t="shared" si="4"/>
        <v>50</v>
      </c>
      <c r="H10">
        <f t="shared" si="5"/>
        <v>0</v>
      </c>
      <c r="I10">
        <f t="shared" si="6"/>
        <v>0</v>
      </c>
      <c r="J10">
        <f t="shared" si="7"/>
        <v>0</v>
      </c>
      <c r="K10">
        <f t="shared" si="8"/>
        <v>0</v>
      </c>
      <c r="L10">
        <f t="shared" si="9"/>
        <v>0</v>
      </c>
      <c r="M10">
        <f t="shared" si="10"/>
        <v>0</v>
      </c>
      <c r="N10">
        <f t="shared" si="11"/>
        <v>0</v>
      </c>
      <c r="O10">
        <f t="shared" si="12"/>
        <v>0</v>
      </c>
      <c r="P10">
        <f t="shared" si="13"/>
        <v>0</v>
      </c>
      <c r="Q10">
        <f t="shared" si="14"/>
        <v>0</v>
      </c>
      <c r="R10">
        <f t="shared" si="15"/>
        <v>0</v>
      </c>
      <c r="S10">
        <f t="shared" si="16"/>
        <v>200</v>
      </c>
      <c r="T10">
        <f t="shared" si="17"/>
        <v>0</v>
      </c>
      <c r="U10">
        <f t="shared" si="18"/>
        <v>0</v>
      </c>
      <c r="V10">
        <f t="shared" si="19"/>
        <v>0</v>
      </c>
      <c r="W10">
        <f t="shared" si="20"/>
        <v>0</v>
      </c>
      <c r="X10">
        <f t="shared" si="21"/>
        <v>0</v>
      </c>
      <c r="Y10">
        <f t="shared" si="22"/>
        <v>0</v>
      </c>
      <c r="Z10">
        <f t="shared" si="23"/>
        <v>0</v>
      </c>
      <c r="AA10">
        <f t="shared" si="24"/>
        <v>0</v>
      </c>
      <c r="AB10">
        <f t="shared" si="25"/>
        <v>0</v>
      </c>
      <c r="AC10">
        <f t="shared" si="26"/>
        <v>0</v>
      </c>
      <c r="AD10">
        <f t="shared" si="27"/>
        <v>0</v>
      </c>
      <c r="AE10">
        <f t="shared" si="28"/>
        <v>0</v>
      </c>
      <c r="AF10">
        <f t="shared" si="29"/>
        <v>0</v>
      </c>
      <c r="AG10">
        <f t="shared" si="30"/>
        <v>0</v>
      </c>
      <c r="AH10">
        <f t="shared" si="31"/>
        <v>3843.09</v>
      </c>
      <c r="AI10">
        <f t="shared" si="32"/>
        <v>1154.33</v>
      </c>
      <c r="AJ10">
        <f t="shared" si="33"/>
        <v>10415.82</v>
      </c>
      <c r="AK10">
        <f t="shared" si="34"/>
        <v>450</v>
      </c>
      <c r="AL10">
        <f t="shared" si="35"/>
        <v>0</v>
      </c>
      <c r="AM10">
        <f t="shared" si="36"/>
        <v>0</v>
      </c>
      <c r="AN10">
        <f t="shared" si="37"/>
        <v>0</v>
      </c>
      <c r="AO10">
        <f t="shared" si="38"/>
        <v>0</v>
      </c>
      <c r="AP10">
        <f t="shared" si="39"/>
        <v>0</v>
      </c>
      <c r="AQ10">
        <f t="shared" si="40"/>
        <v>0</v>
      </c>
      <c r="AR10">
        <f t="shared" si="41"/>
        <v>0</v>
      </c>
      <c r="AS10">
        <f t="shared" si="42"/>
        <v>0</v>
      </c>
      <c r="AT10">
        <f t="shared" si="43"/>
        <v>0</v>
      </c>
      <c r="AU10">
        <f t="shared" si="44"/>
        <v>0</v>
      </c>
      <c r="AV10">
        <f t="shared" si="45"/>
        <v>0</v>
      </c>
      <c r="AW10">
        <f t="shared" si="0"/>
        <v>15863.24</v>
      </c>
      <c r="AX10">
        <f t="shared" si="46"/>
        <v>180.26</v>
      </c>
      <c r="AY10">
        <f t="shared" si="47"/>
        <v>750</v>
      </c>
    </row>
    <row r="11" spans="1:51" x14ac:dyDescent="0.35">
      <c r="A11">
        <v>5</v>
      </c>
      <c r="C11">
        <f>MAX(0,Calc!$C$7-SUM(D11:R11))</f>
        <v>200</v>
      </c>
      <c r="D11">
        <f t="shared" si="1"/>
        <v>145</v>
      </c>
      <c r="E11">
        <f t="shared" si="2"/>
        <v>40</v>
      </c>
      <c r="F11">
        <f t="shared" si="3"/>
        <v>315</v>
      </c>
      <c r="G11">
        <f t="shared" si="4"/>
        <v>50</v>
      </c>
      <c r="H11">
        <f t="shared" si="5"/>
        <v>0</v>
      </c>
      <c r="I11">
        <f t="shared" si="6"/>
        <v>0</v>
      </c>
      <c r="J11">
        <f t="shared" si="7"/>
        <v>0</v>
      </c>
      <c r="K11">
        <f t="shared" si="8"/>
        <v>0</v>
      </c>
      <c r="L11">
        <f t="shared" si="9"/>
        <v>0</v>
      </c>
      <c r="M11">
        <f t="shared" si="10"/>
        <v>0</v>
      </c>
      <c r="N11">
        <f t="shared" si="11"/>
        <v>0</v>
      </c>
      <c r="O11">
        <f t="shared" si="12"/>
        <v>0</v>
      </c>
      <c r="P11">
        <f t="shared" si="13"/>
        <v>0</v>
      </c>
      <c r="Q11">
        <f t="shared" si="14"/>
        <v>0</v>
      </c>
      <c r="R11">
        <f t="shared" si="15"/>
        <v>0</v>
      </c>
      <c r="S11">
        <f t="shared" si="16"/>
        <v>200</v>
      </c>
      <c r="T11">
        <f t="shared" si="17"/>
        <v>0</v>
      </c>
      <c r="U11">
        <f t="shared" si="18"/>
        <v>0</v>
      </c>
      <c r="V11">
        <f t="shared" si="19"/>
        <v>0</v>
      </c>
      <c r="W11">
        <f t="shared" si="20"/>
        <v>0</v>
      </c>
      <c r="X11">
        <f t="shared" si="21"/>
        <v>0</v>
      </c>
      <c r="Y11">
        <f t="shared" si="22"/>
        <v>0</v>
      </c>
      <c r="Z11">
        <f t="shared" si="23"/>
        <v>0</v>
      </c>
      <c r="AA11">
        <f t="shared" si="24"/>
        <v>0</v>
      </c>
      <c r="AB11">
        <f t="shared" si="25"/>
        <v>0</v>
      </c>
      <c r="AC11">
        <f t="shared" si="26"/>
        <v>0</v>
      </c>
      <c r="AD11">
        <f t="shared" si="27"/>
        <v>0</v>
      </c>
      <c r="AE11">
        <f t="shared" si="28"/>
        <v>0</v>
      </c>
      <c r="AF11">
        <f t="shared" si="29"/>
        <v>0</v>
      </c>
      <c r="AG11">
        <f t="shared" si="30"/>
        <v>0</v>
      </c>
      <c r="AH11">
        <f t="shared" si="31"/>
        <v>3578.12</v>
      </c>
      <c r="AI11">
        <f t="shared" si="32"/>
        <v>1142.22</v>
      </c>
      <c r="AJ11">
        <f t="shared" si="33"/>
        <v>10165.92</v>
      </c>
      <c r="AK11">
        <f t="shared" si="34"/>
        <v>400</v>
      </c>
      <c r="AL11">
        <f t="shared" si="35"/>
        <v>0</v>
      </c>
      <c r="AM11">
        <f t="shared" si="36"/>
        <v>0</v>
      </c>
      <c r="AN11">
        <f t="shared" si="37"/>
        <v>0</v>
      </c>
      <c r="AO11">
        <f t="shared" si="38"/>
        <v>0</v>
      </c>
      <c r="AP11">
        <f t="shared" si="39"/>
        <v>0</v>
      </c>
      <c r="AQ11">
        <f t="shared" si="40"/>
        <v>0</v>
      </c>
      <c r="AR11">
        <f t="shared" si="41"/>
        <v>0</v>
      </c>
      <c r="AS11">
        <f t="shared" si="42"/>
        <v>0</v>
      </c>
      <c r="AT11">
        <f t="shared" si="43"/>
        <v>0</v>
      </c>
      <c r="AU11">
        <f t="shared" si="44"/>
        <v>0</v>
      </c>
      <c r="AV11">
        <f t="shared" si="45"/>
        <v>0</v>
      </c>
      <c r="AW11">
        <f t="shared" si="0"/>
        <v>15286.26</v>
      </c>
      <c r="AX11">
        <f t="shared" si="46"/>
        <v>173.01999999999998</v>
      </c>
      <c r="AY11">
        <f t="shared" si="47"/>
        <v>750</v>
      </c>
    </row>
    <row r="12" spans="1:51" x14ac:dyDescent="0.35">
      <c r="A12">
        <v>6</v>
      </c>
      <c r="C12">
        <f>MAX(0,Calc!$C$7-SUM(D12:R12))</f>
        <v>200</v>
      </c>
      <c r="D12">
        <f t="shared" si="1"/>
        <v>145</v>
      </c>
      <c r="E12">
        <f t="shared" si="2"/>
        <v>40</v>
      </c>
      <c r="F12">
        <f t="shared" si="3"/>
        <v>315</v>
      </c>
      <c r="G12">
        <f t="shared" si="4"/>
        <v>50</v>
      </c>
      <c r="H12">
        <f t="shared" si="5"/>
        <v>0</v>
      </c>
      <c r="I12">
        <f t="shared" si="6"/>
        <v>0</v>
      </c>
      <c r="J12">
        <f t="shared" si="7"/>
        <v>0</v>
      </c>
      <c r="K12">
        <f t="shared" si="8"/>
        <v>0</v>
      </c>
      <c r="L12">
        <f t="shared" si="9"/>
        <v>0</v>
      </c>
      <c r="M12">
        <f t="shared" si="10"/>
        <v>0</v>
      </c>
      <c r="N12">
        <f t="shared" si="11"/>
        <v>0</v>
      </c>
      <c r="O12">
        <f t="shared" si="12"/>
        <v>0</v>
      </c>
      <c r="P12">
        <f t="shared" si="13"/>
        <v>0</v>
      </c>
      <c r="Q12">
        <f t="shared" si="14"/>
        <v>0</v>
      </c>
      <c r="R12">
        <f t="shared" si="15"/>
        <v>0</v>
      </c>
      <c r="S12">
        <f t="shared" si="16"/>
        <v>200</v>
      </c>
      <c r="T12">
        <f t="shared" si="17"/>
        <v>0</v>
      </c>
      <c r="U12">
        <f t="shared" si="18"/>
        <v>0</v>
      </c>
      <c r="V12">
        <f t="shared" si="19"/>
        <v>0</v>
      </c>
      <c r="W12">
        <f t="shared" si="20"/>
        <v>0</v>
      </c>
      <c r="X12">
        <f t="shared" si="21"/>
        <v>0</v>
      </c>
      <c r="Y12">
        <f t="shared" si="22"/>
        <v>0</v>
      </c>
      <c r="Z12">
        <f t="shared" si="23"/>
        <v>0</v>
      </c>
      <c r="AA12">
        <f t="shared" si="24"/>
        <v>0</v>
      </c>
      <c r="AB12">
        <f t="shared" si="25"/>
        <v>0</v>
      </c>
      <c r="AC12">
        <f t="shared" si="26"/>
        <v>0</v>
      </c>
      <c r="AD12">
        <f t="shared" si="27"/>
        <v>0</v>
      </c>
      <c r="AE12">
        <f t="shared" si="28"/>
        <v>0</v>
      </c>
      <c r="AF12">
        <f t="shared" si="29"/>
        <v>0</v>
      </c>
      <c r="AG12">
        <f t="shared" si="30"/>
        <v>0</v>
      </c>
      <c r="AH12">
        <f t="shared" si="31"/>
        <v>3307.63</v>
      </c>
      <c r="AI12">
        <f t="shared" si="32"/>
        <v>1129.81</v>
      </c>
      <c r="AJ12">
        <f t="shared" si="33"/>
        <v>9914.4599999999991</v>
      </c>
      <c r="AK12">
        <f t="shared" si="34"/>
        <v>350</v>
      </c>
      <c r="AL12">
        <f t="shared" si="35"/>
        <v>0</v>
      </c>
      <c r="AM12">
        <f t="shared" si="36"/>
        <v>0</v>
      </c>
      <c r="AN12">
        <f t="shared" si="37"/>
        <v>0</v>
      </c>
      <c r="AO12">
        <f t="shared" si="38"/>
        <v>0</v>
      </c>
      <c r="AP12">
        <f t="shared" si="39"/>
        <v>0</v>
      </c>
      <c r="AQ12">
        <f t="shared" si="40"/>
        <v>0</v>
      </c>
      <c r="AR12">
        <f t="shared" si="41"/>
        <v>0</v>
      </c>
      <c r="AS12">
        <f t="shared" si="42"/>
        <v>0</v>
      </c>
      <c r="AT12">
        <f t="shared" si="43"/>
        <v>0</v>
      </c>
      <c r="AU12">
        <f t="shared" si="44"/>
        <v>0</v>
      </c>
      <c r="AV12">
        <f t="shared" si="45"/>
        <v>0</v>
      </c>
      <c r="AW12">
        <f t="shared" si="0"/>
        <v>14701.9</v>
      </c>
      <c r="AX12">
        <f t="shared" si="46"/>
        <v>165.64000000000001</v>
      </c>
      <c r="AY12">
        <f t="shared" si="47"/>
        <v>750</v>
      </c>
    </row>
    <row r="13" spans="1:51" x14ac:dyDescent="0.35">
      <c r="A13">
        <v>7</v>
      </c>
      <c r="C13">
        <f>MAX(0,Calc!$C$7-SUM(D13:R13))</f>
        <v>200</v>
      </c>
      <c r="D13">
        <f t="shared" si="1"/>
        <v>145</v>
      </c>
      <c r="E13">
        <f t="shared" si="2"/>
        <v>40</v>
      </c>
      <c r="F13">
        <f t="shared" si="3"/>
        <v>315</v>
      </c>
      <c r="G13">
        <f t="shared" si="4"/>
        <v>50</v>
      </c>
      <c r="H13">
        <f t="shared" si="5"/>
        <v>0</v>
      </c>
      <c r="I13">
        <f t="shared" si="6"/>
        <v>0</v>
      </c>
      <c r="J13">
        <f t="shared" si="7"/>
        <v>0</v>
      </c>
      <c r="K13">
        <f t="shared" si="8"/>
        <v>0</v>
      </c>
      <c r="L13">
        <f t="shared" si="9"/>
        <v>0</v>
      </c>
      <c r="M13">
        <f t="shared" si="10"/>
        <v>0</v>
      </c>
      <c r="N13">
        <f t="shared" si="11"/>
        <v>0</v>
      </c>
      <c r="O13">
        <f t="shared" si="12"/>
        <v>0</v>
      </c>
      <c r="P13">
        <f t="shared" si="13"/>
        <v>0</v>
      </c>
      <c r="Q13">
        <f t="shared" si="14"/>
        <v>0</v>
      </c>
      <c r="R13">
        <f t="shared" si="15"/>
        <v>0</v>
      </c>
      <c r="S13">
        <f t="shared" si="16"/>
        <v>200</v>
      </c>
      <c r="T13">
        <f t="shared" si="17"/>
        <v>0</v>
      </c>
      <c r="U13">
        <f t="shared" si="18"/>
        <v>0</v>
      </c>
      <c r="V13">
        <f t="shared" si="19"/>
        <v>0</v>
      </c>
      <c r="W13">
        <f t="shared" si="20"/>
        <v>0</v>
      </c>
      <c r="X13">
        <f t="shared" si="21"/>
        <v>0</v>
      </c>
      <c r="Y13">
        <f t="shared" si="22"/>
        <v>0</v>
      </c>
      <c r="Z13">
        <f t="shared" si="23"/>
        <v>0</v>
      </c>
      <c r="AA13">
        <f t="shared" si="24"/>
        <v>0</v>
      </c>
      <c r="AB13">
        <f t="shared" si="25"/>
        <v>0</v>
      </c>
      <c r="AC13">
        <f t="shared" si="26"/>
        <v>0</v>
      </c>
      <c r="AD13">
        <f t="shared" si="27"/>
        <v>0</v>
      </c>
      <c r="AE13">
        <f t="shared" si="28"/>
        <v>0</v>
      </c>
      <c r="AF13">
        <f t="shared" si="29"/>
        <v>0</v>
      </c>
      <c r="AG13">
        <f t="shared" si="30"/>
        <v>0</v>
      </c>
      <c r="AH13">
        <f t="shared" si="31"/>
        <v>3031.51</v>
      </c>
      <c r="AI13">
        <f t="shared" si="32"/>
        <v>1117.0999999999999</v>
      </c>
      <c r="AJ13">
        <f t="shared" si="33"/>
        <v>9661.43</v>
      </c>
      <c r="AK13">
        <f t="shared" si="34"/>
        <v>300</v>
      </c>
      <c r="AL13">
        <f t="shared" si="35"/>
        <v>0</v>
      </c>
      <c r="AM13">
        <f t="shared" si="36"/>
        <v>0</v>
      </c>
      <c r="AN13">
        <f t="shared" si="37"/>
        <v>0</v>
      </c>
      <c r="AO13">
        <f t="shared" si="38"/>
        <v>0</v>
      </c>
      <c r="AP13">
        <f t="shared" si="39"/>
        <v>0</v>
      </c>
      <c r="AQ13">
        <f t="shared" si="40"/>
        <v>0</v>
      </c>
      <c r="AR13">
        <f t="shared" si="41"/>
        <v>0</v>
      </c>
      <c r="AS13">
        <f t="shared" si="42"/>
        <v>0</v>
      </c>
      <c r="AT13">
        <f t="shared" si="43"/>
        <v>0</v>
      </c>
      <c r="AU13">
        <f t="shared" si="44"/>
        <v>0</v>
      </c>
      <c r="AV13">
        <f t="shared" si="45"/>
        <v>0</v>
      </c>
      <c r="AW13">
        <f t="shared" si="0"/>
        <v>14110.04</v>
      </c>
      <c r="AX13">
        <f t="shared" si="46"/>
        <v>158.13999999999999</v>
      </c>
      <c r="AY13">
        <f t="shared" si="47"/>
        <v>750</v>
      </c>
    </row>
    <row r="14" spans="1:51" x14ac:dyDescent="0.35">
      <c r="A14">
        <v>8</v>
      </c>
      <c r="C14">
        <f>MAX(0,Calc!$C$7-SUM(D14:R14))</f>
        <v>200</v>
      </c>
      <c r="D14">
        <f t="shared" si="1"/>
        <v>145</v>
      </c>
      <c r="E14">
        <f t="shared" si="2"/>
        <v>40</v>
      </c>
      <c r="F14">
        <f t="shared" si="3"/>
        <v>315</v>
      </c>
      <c r="G14">
        <f t="shared" si="4"/>
        <v>50</v>
      </c>
      <c r="H14">
        <f t="shared" si="5"/>
        <v>0</v>
      </c>
      <c r="I14">
        <f t="shared" si="6"/>
        <v>0</v>
      </c>
      <c r="J14">
        <f t="shared" si="7"/>
        <v>0</v>
      </c>
      <c r="K14">
        <f t="shared" si="8"/>
        <v>0</v>
      </c>
      <c r="L14">
        <f t="shared" si="9"/>
        <v>0</v>
      </c>
      <c r="M14">
        <f t="shared" si="10"/>
        <v>0</v>
      </c>
      <c r="N14">
        <f t="shared" si="11"/>
        <v>0</v>
      </c>
      <c r="O14">
        <f t="shared" si="12"/>
        <v>0</v>
      </c>
      <c r="P14">
        <f t="shared" si="13"/>
        <v>0</v>
      </c>
      <c r="Q14">
        <f t="shared" si="14"/>
        <v>0</v>
      </c>
      <c r="R14">
        <f t="shared" si="15"/>
        <v>0</v>
      </c>
      <c r="S14">
        <f t="shared" si="16"/>
        <v>200</v>
      </c>
      <c r="T14">
        <f t="shared" si="17"/>
        <v>0</v>
      </c>
      <c r="U14">
        <f t="shared" si="18"/>
        <v>0</v>
      </c>
      <c r="V14">
        <f t="shared" si="19"/>
        <v>0</v>
      </c>
      <c r="W14">
        <f t="shared" si="20"/>
        <v>0</v>
      </c>
      <c r="X14">
        <f t="shared" si="21"/>
        <v>0</v>
      </c>
      <c r="Y14">
        <f t="shared" si="22"/>
        <v>0</v>
      </c>
      <c r="Z14">
        <f t="shared" si="23"/>
        <v>0</v>
      </c>
      <c r="AA14">
        <f t="shared" si="24"/>
        <v>0</v>
      </c>
      <c r="AB14">
        <f t="shared" si="25"/>
        <v>0</v>
      </c>
      <c r="AC14">
        <f t="shared" si="26"/>
        <v>0</v>
      </c>
      <c r="AD14">
        <f t="shared" si="27"/>
        <v>0</v>
      </c>
      <c r="AE14">
        <f t="shared" si="28"/>
        <v>0</v>
      </c>
      <c r="AF14">
        <f t="shared" si="29"/>
        <v>0</v>
      </c>
      <c r="AG14">
        <f t="shared" si="30"/>
        <v>0</v>
      </c>
      <c r="AH14">
        <f t="shared" si="31"/>
        <v>2749.64</v>
      </c>
      <c r="AI14">
        <f t="shared" si="32"/>
        <v>1104.0899999999999</v>
      </c>
      <c r="AJ14">
        <f t="shared" si="33"/>
        <v>9406.81</v>
      </c>
      <c r="AK14">
        <f t="shared" si="34"/>
        <v>250</v>
      </c>
      <c r="AL14">
        <f t="shared" si="35"/>
        <v>0</v>
      </c>
      <c r="AM14">
        <f t="shared" si="36"/>
        <v>0</v>
      </c>
      <c r="AN14">
        <f t="shared" si="37"/>
        <v>0</v>
      </c>
      <c r="AO14">
        <f t="shared" si="38"/>
        <v>0</v>
      </c>
      <c r="AP14">
        <f t="shared" si="39"/>
        <v>0</v>
      </c>
      <c r="AQ14">
        <f t="shared" si="40"/>
        <v>0</v>
      </c>
      <c r="AR14">
        <f t="shared" si="41"/>
        <v>0</v>
      </c>
      <c r="AS14">
        <f t="shared" si="42"/>
        <v>0</v>
      </c>
      <c r="AT14">
        <f t="shared" si="43"/>
        <v>0</v>
      </c>
      <c r="AU14">
        <f t="shared" si="44"/>
        <v>0</v>
      </c>
      <c r="AV14">
        <f t="shared" si="45"/>
        <v>0</v>
      </c>
      <c r="AW14">
        <f t="shared" si="0"/>
        <v>13510.539999999999</v>
      </c>
      <c r="AX14">
        <f t="shared" si="46"/>
        <v>150.5</v>
      </c>
      <c r="AY14">
        <f t="shared" si="47"/>
        <v>750</v>
      </c>
    </row>
    <row r="15" spans="1:51" x14ac:dyDescent="0.35">
      <c r="A15">
        <v>9</v>
      </c>
      <c r="C15">
        <f>MAX(0,Calc!$C$7-SUM(D15:R15))</f>
        <v>200</v>
      </c>
      <c r="D15">
        <f t="shared" si="1"/>
        <v>145</v>
      </c>
      <c r="E15">
        <f t="shared" si="2"/>
        <v>40</v>
      </c>
      <c r="F15">
        <f t="shared" si="3"/>
        <v>315</v>
      </c>
      <c r="G15">
        <f t="shared" si="4"/>
        <v>50</v>
      </c>
      <c r="H15">
        <f t="shared" si="5"/>
        <v>0</v>
      </c>
      <c r="I15">
        <f t="shared" si="6"/>
        <v>0</v>
      </c>
      <c r="J15">
        <f t="shared" si="7"/>
        <v>0</v>
      </c>
      <c r="K15">
        <f t="shared" si="8"/>
        <v>0</v>
      </c>
      <c r="L15">
        <f t="shared" si="9"/>
        <v>0</v>
      </c>
      <c r="M15">
        <f t="shared" si="10"/>
        <v>0</v>
      </c>
      <c r="N15">
        <f t="shared" si="11"/>
        <v>0</v>
      </c>
      <c r="O15">
        <f t="shared" si="12"/>
        <v>0</v>
      </c>
      <c r="P15">
        <f t="shared" si="13"/>
        <v>0</v>
      </c>
      <c r="Q15">
        <f t="shared" si="14"/>
        <v>0</v>
      </c>
      <c r="R15">
        <f t="shared" si="15"/>
        <v>0</v>
      </c>
      <c r="S15">
        <f t="shared" si="16"/>
        <v>200</v>
      </c>
      <c r="T15">
        <f t="shared" si="17"/>
        <v>0</v>
      </c>
      <c r="U15">
        <f t="shared" si="18"/>
        <v>0</v>
      </c>
      <c r="V15">
        <f t="shared" si="19"/>
        <v>0</v>
      </c>
      <c r="W15">
        <f t="shared" si="20"/>
        <v>0</v>
      </c>
      <c r="X15">
        <f t="shared" si="21"/>
        <v>0</v>
      </c>
      <c r="Y15">
        <f t="shared" si="22"/>
        <v>0</v>
      </c>
      <c r="Z15">
        <f t="shared" si="23"/>
        <v>0</v>
      </c>
      <c r="AA15">
        <f t="shared" si="24"/>
        <v>0</v>
      </c>
      <c r="AB15">
        <f t="shared" si="25"/>
        <v>0</v>
      </c>
      <c r="AC15">
        <f t="shared" si="26"/>
        <v>0</v>
      </c>
      <c r="AD15">
        <f t="shared" si="27"/>
        <v>0</v>
      </c>
      <c r="AE15">
        <f t="shared" si="28"/>
        <v>0</v>
      </c>
      <c r="AF15">
        <f t="shared" si="29"/>
        <v>0</v>
      </c>
      <c r="AG15">
        <f t="shared" si="30"/>
        <v>0</v>
      </c>
      <c r="AH15">
        <f t="shared" si="31"/>
        <v>2461.9</v>
      </c>
      <c r="AI15">
        <f t="shared" si="32"/>
        <v>1090.76</v>
      </c>
      <c r="AJ15">
        <f t="shared" si="33"/>
        <v>9150.6</v>
      </c>
      <c r="AK15">
        <f t="shared" si="34"/>
        <v>200</v>
      </c>
      <c r="AL15">
        <f t="shared" si="35"/>
        <v>0</v>
      </c>
      <c r="AM15">
        <f t="shared" si="36"/>
        <v>0</v>
      </c>
      <c r="AN15">
        <f t="shared" si="37"/>
        <v>0</v>
      </c>
      <c r="AO15">
        <f t="shared" si="38"/>
        <v>0</v>
      </c>
      <c r="AP15">
        <f t="shared" si="39"/>
        <v>0</v>
      </c>
      <c r="AQ15">
        <f t="shared" si="40"/>
        <v>0</v>
      </c>
      <c r="AR15">
        <f t="shared" si="41"/>
        <v>0</v>
      </c>
      <c r="AS15">
        <f t="shared" si="42"/>
        <v>0</v>
      </c>
      <c r="AT15">
        <f t="shared" si="43"/>
        <v>0</v>
      </c>
      <c r="AU15">
        <f t="shared" si="44"/>
        <v>0</v>
      </c>
      <c r="AV15">
        <f t="shared" si="45"/>
        <v>0</v>
      </c>
      <c r="AW15">
        <f t="shared" si="0"/>
        <v>12903.26</v>
      </c>
      <c r="AX15">
        <f t="shared" si="46"/>
        <v>142.72</v>
      </c>
      <c r="AY15">
        <f t="shared" si="47"/>
        <v>750</v>
      </c>
    </row>
    <row r="16" spans="1:51" x14ac:dyDescent="0.35">
      <c r="A16">
        <v>10</v>
      </c>
      <c r="C16">
        <f>MAX(0,Calc!$C$7-SUM(D16:R16))</f>
        <v>200</v>
      </c>
      <c r="D16">
        <f t="shared" si="1"/>
        <v>145</v>
      </c>
      <c r="E16">
        <f t="shared" si="2"/>
        <v>40</v>
      </c>
      <c r="F16">
        <f t="shared" si="3"/>
        <v>315</v>
      </c>
      <c r="G16">
        <f t="shared" si="4"/>
        <v>50</v>
      </c>
      <c r="H16">
        <f t="shared" si="5"/>
        <v>0</v>
      </c>
      <c r="I16">
        <f t="shared" si="6"/>
        <v>0</v>
      </c>
      <c r="J16">
        <f t="shared" si="7"/>
        <v>0</v>
      </c>
      <c r="K16">
        <f t="shared" si="8"/>
        <v>0</v>
      </c>
      <c r="L16">
        <f t="shared" si="9"/>
        <v>0</v>
      </c>
      <c r="M16">
        <f t="shared" si="10"/>
        <v>0</v>
      </c>
      <c r="N16">
        <f t="shared" si="11"/>
        <v>0</v>
      </c>
      <c r="O16">
        <f t="shared" si="12"/>
        <v>0</v>
      </c>
      <c r="P16">
        <f t="shared" si="13"/>
        <v>0</v>
      </c>
      <c r="Q16">
        <f t="shared" si="14"/>
        <v>0</v>
      </c>
      <c r="R16">
        <f t="shared" si="15"/>
        <v>0</v>
      </c>
      <c r="S16">
        <f t="shared" si="16"/>
        <v>200</v>
      </c>
      <c r="T16">
        <f t="shared" si="17"/>
        <v>0</v>
      </c>
      <c r="U16">
        <f t="shared" si="18"/>
        <v>0</v>
      </c>
      <c r="V16">
        <f t="shared" si="19"/>
        <v>0</v>
      </c>
      <c r="W16">
        <f t="shared" si="20"/>
        <v>0</v>
      </c>
      <c r="X16">
        <f t="shared" si="21"/>
        <v>0</v>
      </c>
      <c r="Y16">
        <f t="shared" si="22"/>
        <v>0</v>
      </c>
      <c r="Z16">
        <f t="shared" si="23"/>
        <v>0</v>
      </c>
      <c r="AA16">
        <f t="shared" si="24"/>
        <v>0</v>
      </c>
      <c r="AB16">
        <f t="shared" si="25"/>
        <v>0</v>
      </c>
      <c r="AC16">
        <f t="shared" si="26"/>
        <v>0</v>
      </c>
      <c r="AD16">
        <f t="shared" si="27"/>
        <v>0</v>
      </c>
      <c r="AE16">
        <f t="shared" si="28"/>
        <v>0</v>
      </c>
      <c r="AF16">
        <f t="shared" si="29"/>
        <v>0</v>
      </c>
      <c r="AG16">
        <f t="shared" si="30"/>
        <v>0</v>
      </c>
      <c r="AH16">
        <f t="shared" si="31"/>
        <v>2168.17</v>
      </c>
      <c r="AI16">
        <f t="shared" si="32"/>
        <v>1077.1099999999999</v>
      </c>
      <c r="AJ16">
        <f t="shared" si="33"/>
        <v>8892.7900000000009</v>
      </c>
      <c r="AK16">
        <f t="shared" si="34"/>
        <v>150</v>
      </c>
      <c r="AL16">
        <f t="shared" si="35"/>
        <v>0</v>
      </c>
      <c r="AM16">
        <f t="shared" si="36"/>
        <v>0</v>
      </c>
      <c r="AN16">
        <f t="shared" si="37"/>
        <v>0</v>
      </c>
      <c r="AO16">
        <f t="shared" si="38"/>
        <v>0</v>
      </c>
      <c r="AP16">
        <f t="shared" si="39"/>
        <v>0</v>
      </c>
      <c r="AQ16">
        <f t="shared" si="40"/>
        <v>0</v>
      </c>
      <c r="AR16">
        <f t="shared" si="41"/>
        <v>0</v>
      </c>
      <c r="AS16">
        <f t="shared" si="42"/>
        <v>0</v>
      </c>
      <c r="AT16">
        <f t="shared" si="43"/>
        <v>0</v>
      </c>
      <c r="AU16">
        <f t="shared" si="44"/>
        <v>0</v>
      </c>
      <c r="AV16">
        <f t="shared" si="45"/>
        <v>0</v>
      </c>
      <c r="AW16">
        <f t="shared" si="0"/>
        <v>12288.07</v>
      </c>
      <c r="AX16">
        <f t="shared" si="46"/>
        <v>134.81</v>
      </c>
      <c r="AY16">
        <f t="shared" si="47"/>
        <v>750</v>
      </c>
    </row>
    <row r="17" spans="1:51" x14ac:dyDescent="0.35">
      <c r="A17">
        <v>11</v>
      </c>
      <c r="C17">
        <f>MAX(0,Calc!$C$7-SUM(D17:R17))</f>
        <v>200</v>
      </c>
      <c r="D17">
        <f t="shared" si="1"/>
        <v>145</v>
      </c>
      <c r="E17">
        <f t="shared" si="2"/>
        <v>40</v>
      </c>
      <c r="F17">
        <f t="shared" si="3"/>
        <v>315</v>
      </c>
      <c r="G17">
        <f t="shared" si="4"/>
        <v>50</v>
      </c>
      <c r="H17">
        <f t="shared" si="5"/>
        <v>0</v>
      </c>
      <c r="I17">
        <f t="shared" si="6"/>
        <v>0</v>
      </c>
      <c r="J17">
        <f t="shared" si="7"/>
        <v>0</v>
      </c>
      <c r="K17">
        <f t="shared" si="8"/>
        <v>0</v>
      </c>
      <c r="L17">
        <f t="shared" si="9"/>
        <v>0</v>
      </c>
      <c r="M17">
        <f t="shared" si="10"/>
        <v>0</v>
      </c>
      <c r="N17">
        <f t="shared" si="11"/>
        <v>0</v>
      </c>
      <c r="O17">
        <f t="shared" si="12"/>
        <v>0</v>
      </c>
      <c r="P17">
        <f t="shared" si="13"/>
        <v>0</v>
      </c>
      <c r="Q17">
        <f t="shared" si="14"/>
        <v>0</v>
      </c>
      <c r="R17">
        <f t="shared" si="15"/>
        <v>0</v>
      </c>
      <c r="S17">
        <f t="shared" si="16"/>
        <v>200</v>
      </c>
      <c r="T17">
        <f t="shared" si="17"/>
        <v>0</v>
      </c>
      <c r="U17">
        <f t="shared" si="18"/>
        <v>0</v>
      </c>
      <c r="V17">
        <f t="shared" si="19"/>
        <v>0</v>
      </c>
      <c r="W17">
        <f t="shared" si="20"/>
        <v>0</v>
      </c>
      <c r="X17">
        <f t="shared" si="21"/>
        <v>0</v>
      </c>
      <c r="Y17">
        <f t="shared" si="22"/>
        <v>0</v>
      </c>
      <c r="Z17">
        <f t="shared" si="23"/>
        <v>0</v>
      </c>
      <c r="AA17">
        <f t="shared" si="24"/>
        <v>0</v>
      </c>
      <c r="AB17">
        <f t="shared" si="25"/>
        <v>0</v>
      </c>
      <c r="AC17">
        <f t="shared" si="26"/>
        <v>0</v>
      </c>
      <c r="AD17">
        <f t="shared" si="27"/>
        <v>0</v>
      </c>
      <c r="AE17">
        <f t="shared" si="28"/>
        <v>0</v>
      </c>
      <c r="AF17">
        <f t="shared" si="29"/>
        <v>0</v>
      </c>
      <c r="AG17">
        <f t="shared" si="30"/>
        <v>0</v>
      </c>
      <c r="AH17">
        <f t="shared" si="31"/>
        <v>1868.32</v>
      </c>
      <c r="AI17">
        <f t="shared" si="32"/>
        <v>1063.1300000000001</v>
      </c>
      <c r="AJ17">
        <f t="shared" si="33"/>
        <v>8633.3700000000008</v>
      </c>
      <c r="AK17">
        <f t="shared" si="34"/>
        <v>100</v>
      </c>
      <c r="AL17">
        <f t="shared" si="35"/>
        <v>0</v>
      </c>
      <c r="AM17">
        <f t="shared" si="36"/>
        <v>0</v>
      </c>
      <c r="AN17">
        <f t="shared" si="37"/>
        <v>0</v>
      </c>
      <c r="AO17">
        <f t="shared" si="38"/>
        <v>0</v>
      </c>
      <c r="AP17">
        <f t="shared" si="39"/>
        <v>0</v>
      </c>
      <c r="AQ17">
        <f t="shared" si="40"/>
        <v>0</v>
      </c>
      <c r="AR17">
        <f t="shared" si="41"/>
        <v>0</v>
      </c>
      <c r="AS17">
        <f t="shared" si="42"/>
        <v>0</v>
      </c>
      <c r="AT17">
        <f t="shared" si="43"/>
        <v>0</v>
      </c>
      <c r="AU17">
        <f t="shared" si="44"/>
        <v>0</v>
      </c>
      <c r="AV17">
        <f t="shared" si="45"/>
        <v>0</v>
      </c>
      <c r="AW17">
        <f t="shared" si="0"/>
        <v>11664.82</v>
      </c>
      <c r="AX17">
        <f t="shared" si="46"/>
        <v>126.75</v>
      </c>
      <c r="AY17">
        <f t="shared" si="47"/>
        <v>750</v>
      </c>
    </row>
    <row r="18" spans="1:51" x14ac:dyDescent="0.35">
      <c r="A18">
        <v>12</v>
      </c>
      <c r="C18">
        <f>MAX(0,Calc!$C$7-SUM(D18:R18))</f>
        <v>200</v>
      </c>
      <c r="D18">
        <f t="shared" si="1"/>
        <v>145</v>
      </c>
      <c r="E18">
        <f t="shared" si="2"/>
        <v>40</v>
      </c>
      <c r="F18">
        <f t="shared" si="3"/>
        <v>315</v>
      </c>
      <c r="G18">
        <f t="shared" si="4"/>
        <v>50</v>
      </c>
      <c r="H18">
        <f t="shared" si="5"/>
        <v>0</v>
      </c>
      <c r="I18">
        <f t="shared" si="6"/>
        <v>0</v>
      </c>
      <c r="J18">
        <f t="shared" si="7"/>
        <v>0</v>
      </c>
      <c r="K18">
        <f t="shared" si="8"/>
        <v>0</v>
      </c>
      <c r="L18">
        <f t="shared" si="9"/>
        <v>0</v>
      </c>
      <c r="M18">
        <f t="shared" si="10"/>
        <v>0</v>
      </c>
      <c r="N18">
        <f t="shared" si="11"/>
        <v>0</v>
      </c>
      <c r="O18">
        <f t="shared" si="12"/>
        <v>0</v>
      </c>
      <c r="P18">
        <f t="shared" si="13"/>
        <v>0</v>
      </c>
      <c r="Q18">
        <f t="shared" si="14"/>
        <v>0</v>
      </c>
      <c r="R18">
        <f t="shared" si="15"/>
        <v>0</v>
      </c>
      <c r="S18">
        <f t="shared" si="16"/>
        <v>200</v>
      </c>
      <c r="T18">
        <f t="shared" si="17"/>
        <v>0</v>
      </c>
      <c r="U18">
        <f t="shared" si="18"/>
        <v>0</v>
      </c>
      <c r="V18">
        <f t="shared" si="19"/>
        <v>0</v>
      </c>
      <c r="W18">
        <f t="shared" si="20"/>
        <v>0</v>
      </c>
      <c r="X18">
        <f t="shared" si="21"/>
        <v>0</v>
      </c>
      <c r="Y18">
        <f t="shared" si="22"/>
        <v>0</v>
      </c>
      <c r="Z18">
        <f t="shared" si="23"/>
        <v>0</v>
      </c>
      <c r="AA18">
        <f t="shared" si="24"/>
        <v>0</v>
      </c>
      <c r="AB18">
        <f t="shared" si="25"/>
        <v>0</v>
      </c>
      <c r="AC18">
        <f t="shared" si="26"/>
        <v>0</v>
      </c>
      <c r="AD18">
        <f t="shared" si="27"/>
        <v>0</v>
      </c>
      <c r="AE18">
        <f t="shared" si="28"/>
        <v>0</v>
      </c>
      <c r="AF18">
        <f t="shared" si="29"/>
        <v>0</v>
      </c>
      <c r="AG18">
        <f t="shared" si="30"/>
        <v>0</v>
      </c>
      <c r="AH18">
        <f t="shared" si="31"/>
        <v>1562.23</v>
      </c>
      <c r="AI18">
        <f t="shared" si="32"/>
        <v>1048.81</v>
      </c>
      <c r="AJ18">
        <f t="shared" si="33"/>
        <v>8372.33</v>
      </c>
      <c r="AK18">
        <f t="shared" si="34"/>
        <v>50</v>
      </c>
      <c r="AL18">
        <f t="shared" si="35"/>
        <v>0</v>
      </c>
      <c r="AM18">
        <f t="shared" si="36"/>
        <v>0</v>
      </c>
      <c r="AN18">
        <f t="shared" si="37"/>
        <v>0</v>
      </c>
      <c r="AO18">
        <f t="shared" si="38"/>
        <v>0</v>
      </c>
      <c r="AP18">
        <f t="shared" si="39"/>
        <v>0</v>
      </c>
      <c r="AQ18">
        <f t="shared" si="40"/>
        <v>0</v>
      </c>
      <c r="AR18">
        <f t="shared" si="41"/>
        <v>0</v>
      </c>
      <c r="AS18">
        <f t="shared" si="42"/>
        <v>0</v>
      </c>
      <c r="AT18">
        <f t="shared" si="43"/>
        <v>0</v>
      </c>
      <c r="AU18">
        <f t="shared" si="44"/>
        <v>0</v>
      </c>
      <c r="AV18">
        <f t="shared" si="45"/>
        <v>0</v>
      </c>
      <c r="AW18">
        <f t="shared" si="0"/>
        <v>11033.369999999999</v>
      </c>
      <c r="AX18">
        <f t="shared" si="46"/>
        <v>118.55000000000001</v>
      </c>
      <c r="AY18">
        <f t="shared" si="47"/>
        <v>750</v>
      </c>
    </row>
    <row r="19" spans="1:51" x14ac:dyDescent="0.35">
      <c r="A19">
        <v>13</v>
      </c>
      <c r="C19">
        <f>MAX(0,Calc!$C$7-SUM(D19:R19))</f>
        <v>200</v>
      </c>
      <c r="D19">
        <f t="shared" si="1"/>
        <v>145</v>
      </c>
      <c r="E19">
        <f t="shared" si="2"/>
        <v>40</v>
      </c>
      <c r="F19">
        <f t="shared" si="3"/>
        <v>315</v>
      </c>
      <c r="G19">
        <f t="shared" si="4"/>
        <v>50</v>
      </c>
      <c r="H19">
        <f t="shared" si="5"/>
        <v>0</v>
      </c>
      <c r="I19">
        <f t="shared" si="6"/>
        <v>0</v>
      </c>
      <c r="J19">
        <f t="shared" si="7"/>
        <v>0</v>
      </c>
      <c r="K19">
        <f t="shared" si="8"/>
        <v>0</v>
      </c>
      <c r="L19">
        <f t="shared" si="9"/>
        <v>0</v>
      </c>
      <c r="M19">
        <f t="shared" si="10"/>
        <v>0</v>
      </c>
      <c r="N19">
        <f t="shared" si="11"/>
        <v>0</v>
      </c>
      <c r="O19">
        <f t="shared" si="12"/>
        <v>0</v>
      </c>
      <c r="P19">
        <f t="shared" si="13"/>
        <v>0</v>
      </c>
      <c r="Q19">
        <f t="shared" si="14"/>
        <v>0</v>
      </c>
      <c r="R19">
        <f t="shared" si="15"/>
        <v>0</v>
      </c>
      <c r="S19">
        <f t="shared" si="16"/>
        <v>200</v>
      </c>
      <c r="T19">
        <f t="shared" si="17"/>
        <v>0</v>
      </c>
      <c r="U19">
        <f t="shared" si="18"/>
        <v>0</v>
      </c>
      <c r="V19">
        <f t="shared" si="19"/>
        <v>0</v>
      </c>
      <c r="W19">
        <f t="shared" si="20"/>
        <v>0</v>
      </c>
      <c r="X19">
        <f t="shared" si="21"/>
        <v>0</v>
      </c>
      <c r="Y19">
        <f t="shared" si="22"/>
        <v>0</v>
      </c>
      <c r="Z19">
        <f t="shared" si="23"/>
        <v>0</v>
      </c>
      <c r="AA19">
        <f t="shared" si="24"/>
        <v>0</v>
      </c>
      <c r="AB19">
        <f t="shared" si="25"/>
        <v>0</v>
      </c>
      <c r="AC19">
        <f t="shared" si="26"/>
        <v>0</v>
      </c>
      <c r="AD19">
        <f t="shared" si="27"/>
        <v>0</v>
      </c>
      <c r="AE19">
        <f t="shared" si="28"/>
        <v>0</v>
      </c>
      <c r="AF19">
        <f t="shared" si="29"/>
        <v>0</v>
      </c>
      <c r="AG19">
        <f t="shared" si="30"/>
        <v>0</v>
      </c>
      <c r="AH19">
        <f t="shared" si="31"/>
        <v>1249.76</v>
      </c>
      <c r="AI19">
        <f t="shared" si="32"/>
        <v>1034.1500000000001</v>
      </c>
      <c r="AJ19">
        <f t="shared" si="33"/>
        <v>8109.66</v>
      </c>
      <c r="AK19">
        <f t="shared" si="34"/>
        <v>0</v>
      </c>
      <c r="AL19">
        <f t="shared" si="35"/>
        <v>0</v>
      </c>
      <c r="AM19">
        <f t="shared" si="36"/>
        <v>0</v>
      </c>
      <c r="AN19">
        <f t="shared" si="37"/>
        <v>0</v>
      </c>
      <c r="AO19">
        <f t="shared" si="38"/>
        <v>0</v>
      </c>
      <c r="AP19">
        <f t="shared" si="39"/>
        <v>0</v>
      </c>
      <c r="AQ19">
        <f t="shared" si="40"/>
        <v>0</v>
      </c>
      <c r="AR19">
        <f t="shared" si="41"/>
        <v>0</v>
      </c>
      <c r="AS19">
        <f t="shared" si="42"/>
        <v>0</v>
      </c>
      <c r="AT19">
        <f t="shared" si="43"/>
        <v>0</v>
      </c>
      <c r="AU19">
        <f t="shared" si="44"/>
        <v>0</v>
      </c>
      <c r="AV19">
        <f t="shared" si="45"/>
        <v>0</v>
      </c>
      <c r="AW19">
        <f t="shared" si="0"/>
        <v>10393.57</v>
      </c>
      <c r="AX19">
        <f t="shared" si="46"/>
        <v>110.2</v>
      </c>
      <c r="AY19">
        <f t="shared" si="47"/>
        <v>750</v>
      </c>
    </row>
    <row r="20" spans="1:51" x14ac:dyDescent="0.35">
      <c r="A20">
        <v>14</v>
      </c>
      <c r="C20">
        <f>MAX(0,Calc!$C$7-SUM(D20:R20))</f>
        <v>250</v>
      </c>
      <c r="D20">
        <f t="shared" si="1"/>
        <v>145</v>
      </c>
      <c r="E20">
        <f t="shared" si="2"/>
        <v>40</v>
      </c>
      <c r="F20">
        <f t="shared" si="3"/>
        <v>315</v>
      </c>
      <c r="G20">
        <f t="shared" si="4"/>
        <v>0</v>
      </c>
      <c r="H20">
        <f t="shared" si="5"/>
        <v>0</v>
      </c>
      <c r="I20">
        <f t="shared" si="6"/>
        <v>0</v>
      </c>
      <c r="J20">
        <f t="shared" si="7"/>
        <v>0</v>
      </c>
      <c r="K20">
        <f t="shared" si="8"/>
        <v>0</v>
      </c>
      <c r="L20">
        <f t="shared" si="9"/>
        <v>0</v>
      </c>
      <c r="M20">
        <f t="shared" si="10"/>
        <v>0</v>
      </c>
      <c r="N20">
        <f t="shared" si="11"/>
        <v>0</v>
      </c>
      <c r="O20">
        <f t="shared" si="12"/>
        <v>0</v>
      </c>
      <c r="P20">
        <f t="shared" si="13"/>
        <v>0</v>
      </c>
      <c r="Q20">
        <f t="shared" si="14"/>
        <v>0</v>
      </c>
      <c r="R20">
        <f t="shared" si="15"/>
        <v>0</v>
      </c>
      <c r="S20">
        <f t="shared" si="16"/>
        <v>250</v>
      </c>
      <c r="T20">
        <f t="shared" si="17"/>
        <v>0</v>
      </c>
      <c r="U20">
        <f t="shared" si="18"/>
        <v>0</v>
      </c>
      <c r="V20">
        <f t="shared" si="19"/>
        <v>0</v>
      </c>
      <c r="W20">
        <f t="shared" si="20"/>
        <v>0</v>
      </c>
      <c r="X20">
        <f t="shared" si="21"/>
        <v>0</v>
      </c>
      <c r="Y20">
        <f t="shared" si="22"/>
        <v>0</v>
      </c>
      <c r="Z20">
        <f t="shared" si="23"/>
        <v>0</v>
      </c>
      <c r="AA20">
        <f t="shared" si="24"/>
        <v>0</v>
      </c>
      <c r="AB20">
        <f t="shared" si="25"/>
        <v>0</v>
      </c>
      <c r="AC20">
        <f t="shared" si="26"/>
        <v>0</v>
      </c>
      <c r="AD20">
        <f t="shared" si="27"/>
        <v>0</v>
      </c>
      <c r="AE20">
        <f t="shared" si="28"/>
        <v>0</v>
      </c>
      <c r="AF20">
        <f t="shared" si="29"/>
        <v>0</v>
      </c>
      <c r="AG20">
        <f t="shared" si="30"/>
        <v>0</v>
      </c>
      <c r="AH20">
        <f t="shared" si="31"/>
        <v>880.79</v>
      </c>
      <c r="AI20">
        <f t="shared" si="32"/>
        <v>1019.13</v>
      </c>
      <c r="AJ20">
        <f t="shared" si="33"/>
        <v>7845.35</v>
      </c>
      <c r="AK20">
        <f t="shared" si="34"/>
        <v>0</v>
      </c>
      <c r="AL20">
        <f t="shared" si="35"/>
        <v>0</v>
      </c>
      <c r="AM20">
        <f t="shared" si="36"/>
        <v>0</v>
      </c>
      <c r="AN20">
        <f t="shared" si="37"/>
        <v>0</v>
      </c>
      <c r="AO20">
        <f t="shared" si="38"/>
        <v>0</v>
      </c>
      <c r="AP20">
        <f t="shared" si="39"/>
        <v>0</v>
      </c>
      <c r="AQ20">
        <f t="shared" si="40"/>
        <v>0</v>
      </c>
      <c r="AR20">
        <f t="shared" si="41"/>
        <v>0</v>
      </c>
      <c r="AS20">
        <f t="shared" si="42"/>
        <v>0</v>
      </c>
      <c r="AT20">
        <f t="shared" si="43"/>
        <v>0</v>
      </c>
      <c r="AU20">
        <f t="shared" si="44"/>
        <v>0</v>
      </c>
      <c r="AV20">
        <f t="shared" si="45"/>
        <v>0</v>
      </c>
      <c r="AW20">
        <f t="shared" si="0"/>
        <v>9745.27</v>
      </c>
      <c r="AX20">
        <f t="shared" si="46"/>
        <v>101.7</v>
      </c>
      <c r="AY20">
        <f t="shared" si="47"/>
        <v>750</v>
      </c>
    </row>
    <row r="21" spans="1:51" x14ac:dyDescent="0.35">
      <c r="A21">
        <v>15</v>
      </c>
      <c r="C21">
        <f>MAX(0,Calc!$C$7-SUM(D21:R21))</f>
        <v>250</v>
      </c>
      <c r="D21">
        <f t="shared" si="1"/>
        <v>145</v>
      </c>
      <c r="E21">
        <f t="shared" si="2"/>
        <v>40</v>
      </c>
      <c r="F21">
        <f t="shared" si="3"/>
        <v>315</v>
      </c>
      <c r="G21">
        <f t="shared" si="4"/>
        <v>0</v>
      </c>
      <c r="H21">
        <f t="shared" si="5"/>
        <v>0</v>
      </c>
      <c r="I21">
        <f t="shared" si="6"/>
        <v>0</v>
      </c>
      <c r="J21">
        <f t="shared" si="7"/>
        <v>0</v>
      </c>
      <c r="K21">
        <f t="shared" si="8"/>
        <v>0</v>
      </c>
      <c r="L21">
        <f t="shared" si="9"/>
        <v>0</v>
      </c>
      <c r="M21">
        <f t="shared" si="10"/>
        <v>0</v>
      </c>
      <c r="N21">
        <f t="shared" si="11"/>
        <v>0</v>
      </c>
      <c r="O21">
        <f t="shared" si="12"/>
        <v>0</v>
      </c>
      <c r="P21">
        <f t="shared" si="13"/>
        <v>0</v>
      </c>
      <c r="Q21">
        <f t="shared" si="14"/>
        <v>0</v>
      </c>
      <c r="R21">
        <f t="shared" si="15"/>
        <v>0</v>
      </c>
      <c r="S21">
        <f t="shared" si="16"/>
        <v>250</v>
      </c>
      <c r="T21">
        <f t="shared" si="17"/>
        <v>0</v>
      </c>
      <c r="U21">
        <f t="shared" si="18"/>
        <v>0</v>
      </c>
      <c r="V21">
        <f t="shared" si="19"/>
        <v>0</v>
      </c>
      <c r="W21">
        <f t="shared" si="20"/>
        <v>0</v>
      </c>
      <c r="X21">
        <f t="shared" si="21"/>
        <v>0</v>
      </c>
      <c r="Y21">
        <f t="shared" si="22"/>
        <v>0</v>
      </c>
      <c r="Z21">
        <f t="shared" si="23"/>
        <v>0</v>
      </c>
      <c r="AA21">
        <f t="shared" si="24"/>
        <v>0</v>
      </c>
      <c r="AB21">
        <f t="shared" si="25"/>
        <v>0</v>
      </c>
      <c r="AC21">
        <f t="shared" si="26"/>
        <v>0</v>
      </c>
      <c r="AD21">
        <f t="shared" si="27"/>
        <v>0</v>
      </c>
      <c r="AE21">
        <f t="shared" si="28"/>
        <v>0</v>
      </c>
      <c r="AF21">
        <f t="shared" si="29"/>
        <v>0</v>
      </c>
      <c r="AG21">
        <f t="shared" si="30"/>
        <v>0</v>
      </c>
      <c r="AH21">
        <f t="shared" si="31"/>
        <v>504.13</v>
      </c>
      <c r="AI21">
        <f t="shared" si="32"/>
        <v>1003.75</v>
      </c>
      <c r="AJ21">
        <f t="shared" si="33"/>
        <v>7579.38</v>
      </c>
      <c r="AK21">
        <f t="shared" si="34"/>
        <v>0</v>
      </c>
      <c r="AL21">
        <f t="shared" si="35"/>
        <v>0</v>
      </c>
      <c r="AM21">
        <f t="shared" si="36"/>
        <v>0</v>
      </c>
      <c r="AN21">
        <f t="shared" si="37"/>
        <v>0</v>
      </c>
      <c r="AO21">
        <f t="shared" si="38"/>
        <v>0</v>
      </c>
      <c r="AP21">
        <f t="shared" si="39"/>
        <v>0</v>
      </c>
      <c r="AQ21">
        <f t="shared" si="40"/>
        <v>0</v>
      </c>
      <c r="AR21">
        <f t="shared" si="41"/>
        <v>0</v>
      </c>
      <c r="AS21">
        <f t="shared" si="42"/>
        <v>0</v>
      </c>
      <c r="AT21">
        <f t="shared" si="43"/>
        <v>0</v>
      </c>
      <c r="AU21">
        <f t="shared" si="44"/>
        <v>0</v>
      </c>
      <c r="AV21">
        <f t="shared" si="45"/>
        <v>0</v>
      </c>
      <c r="AW21">
        <f t="shared" si="0"/>
        <v>9087.26</v>
      </c>
      <c r="AX21">
        <f t="shared" si="46"/>
        <v>91.990000000000009</v>
      </c>
      <c r="AY21">
        <f t="shared" si="47"/>
        <v>750</v>
      </c>
    </row>
    <row r="22" spans="1:51" x14ac:dyDescent="0.35">
      <c r="A22">
        <v>16</v>
      </c>
      <c r="C22">
        <f>MAX(0,Calc!$C$7-SUM(D22:R22))</f>
        <v>250</v>
      </c>
      <c r="D22">
        <f t="shared" si="1"/>
        <v>145</v>
      </c>
      <c r="E22">
        <f t="shared" si="2"/>
        <v>40</v>
      </c>
      <c r="F22">
        <f t="shared" si="3"/>
        <v>315</v>
      </c>
      <c r="G22">
        <f t="shared" si="4"/>
        <v>0</v>
      </c>
      <c r="H22">
        <f t="shared" si="5"/>
        <v>0</v>
      </c>
      <c r="I22">
        <f t="shared" si="6"/>
        <v>0</v>
      </c>
      <c r="J22">
        <f t="shared" si="7"/>
        <v>0</v>
      </c>
      <c r="K22">
        <f t="shared" si="8"/>
        <v>0</v>
      </c>
      <c r="L22">
        <f t="shared" si="9"/>
        <v>0</v>
      </c>
      <c r="M22">
        <f t="shared" si="10"/>
        <v>0</v>
      </c>
      <c r="N22">
        <f t="shared" si="11"/>
        <v>0</v>
      </c>
      <c r="O22">
        <f t="shared" si="12"/>
        <v>0</v>
      </c>
      <c r="P22">
        <f t="shared" si="13"/>
        <v>0</v>
      </c>
      <c r="Q22">
        <f t="shared" si="14"/>
        <v>0</v>
      </c>
      <c r="R22">
        <f t="shared" si="15"/>
        <v>0</v>
      </c>
      <c r="S22">
        <f t="shared" si="16"/>
        <v>250</v>
      </c>
      <c r="T22">
        <f t="shared" si="17"/>
        <v>0</v>
      </c>
      <c r="U22">
        <f t="shared" si="18"/>
        <v>0</v>
      </c>
      <c r="V22">
        <f t="shared" si="19"/>
        <v>0</v>
      </c>
      <c r="W22">
        <f t="shared" si="20"/>
        <v>0</v>
      </c>
      <c r="X22">
        <f t="shared" si="21"/>
        <v>0</v>
      </c>
      <c r="Y22">
        <f t="shared" si="22"/>
        <v>0</v>
      </c>
      <c r="Z22">
        <f t="shared" si="23"/>
        <v>0</v>
      </c>
      <c r="AA22">
        <f t="shared" si="24"/>
        <v>0</v>
      </c>
      <c r="AB22">
        <f t="shared" si="25"/>
        <v>0</v>
      </c>
      <c r="AC22">
        <f t="shared" si="26"/>
        <v>0</v>
      </c>
      <c r="AD22">
        <f t="shared" si="27"/>
        <v>0</v>
      </c>
      <c r="AE22">
        <f t="shared" si="28"/>
        <v>0</v>
      </c>
      <c r="AF22">
        <f t="shared" si="29"/>
        <v>0</v>
      </c>
      <c r="AG22">
        <f t="shared" si="30"/>
        <v>0</v>
      </c>
      <c r="AH22">
        <f t="shared" si="31"/>
        <v>119.63</v>
      </c>
      <c r="AI22">
        <f t="shared" si="32"/>
        <v>988</v>
      </c>
      <c r="AJ22">
        <f t="shared" si="33"/>
        <v>7311.75</v>
      </c>
      <c r="AK22">
        <f t="shared" si="34"/>
        <v>0</v>
      </c>
      <c r="AL22">
        <f t="shared" si="35"/>
        <v>0</v>
      </c>
      <c r="AM22">
        <f t="shared" si="36"/>
        <v>0</v>
      </c>
      <c r="AN22">
        <f t="shared" si="37"/>
        <v>0</v>
      </c>
      <c r="AO22">
        <f t="shared" si="38"/>
        <v>0</v>
      </c>
      <c r="AP22">
        <f t="shared" si="39"/>
        <v>0</v>
      </c>
      <c r="AQ22">
        <f t="shared" si="40"/>
        <v>0</v>
      </c>
      <c r="AR22">
        <f t="shared" si="41"/>
        <v>0</v>
      </c>
      <c r="AS22">
        <f t="shared" si="42"/>
        <v>0</v>
      </c>
      <c r="AT22">
        <f t="shared" si="43"/>
        <v>0</v>
      </c>
      <c r="AU22">
        <f t="shared" si="44"/>
        <v>0</v>
      </c>
      <c r="AV22">
        <f t="shared" si="45"/>
        <v>0</v>
      </c>
      <c r="AW22">
        <f t="shared" si="0"/>
        <v>8419.380000000001</v>
      </c>
      <c r="AX22">
        <f t="shared" si="46"/>
        <v>82.12</v>
      </c>
      <c r="AY22">
        <f t="shared" si="47"/>
        <v>750</v>
      </c>
    </row>
    <row r="23" spans="1:51" x14ac:dyDescent="0.35">
      <c r="A23">
        <v>17</v>
      </c>
      <c r="C23">
        <f>MAX(0,Calc!$C$7-SUM(D23:R23))</f>
        <v>272.88</v>
      </c>
      <c r="D23">
        <f t="shared" si="1"/>
        <v>122.11999999999999</v>
      </c>
      <c r="E23">
        <f t="shared" si="2"/>
        <v>40</v>
      </c>
      <c r="F23">
        <f t="shared" si="3"/>
        <v>315</v>
      </c>
      <c r="G23">
        <f t="shared" si="4"/>
        <v>0</v>
      </c>
      <c r="H23">
        <f t="shared" si="5"/>
        <v>0</v>
      </c>
      <c r="I23">
        <f t="shared" si="6"/>
        <v>0</v>
      </c>
      <c r="J23">
        <f t="shared" si="7"/>
        <v>0</v>
      </c>
      <c r="K23">
        <f t="shared" si="8"/>
        <v>0</v>
      </c>
      <c r="L23">
        <f t="shared" si="9"/>
        <v>0</v>
      </c>
      <c r="M23">
        <f t="shared" si="10"/>
        <v>0</v>
      </c>
      <c r="N23">
        <f t="shared" si="11"/>
        <v>0</v>
      </c>
      <c r="O23">
        <f t="shared" si="12"/>
        <v>0</v>
      </c>
      <c r="P23">
        <f t="shared" si="13"/>
        <v>0</v>
      </c>
      <c r="Q23">
        <f t="shared" si="14"/>
        <v>0</v>
      </c>
      <c r="R23">
        <f t="shared" si="15"/>
        <v>0</v>
      </c>
      <c r="S23">
        <f t="shared" si="16"/>
        <v>0</v>
      </c>
      <c r="T23">
        <f t="shared" si="17"/>
        <v>272.88</v>
      </c>
      <c r="U23">
        <f t="shared" si="18"/>
        <v>0</v>
      </c>
      <c r="V23">
        <f t="shared" si="19"/>
        <v>0</v>
      </c>
      <c r="W23">
        <f t="shared" si="20"/>
        <v>0</v>
      </c>
      <c r="X23">
        <f t="shared" si="21"/>
        <v>0</v>
      </c>
      <c r="Y23">
        <f t="shared" si="22"/>
        <v>0</v>
      </c>
      <c r="Z23">
        <f t="shared" si="23"/>
        <v>0</v>
      </c>
      <c r="AA23">
        <f t="shared" si="24"/>
        <v>0</v>
      </c>
      <c r="AB23">
        <f t="shared" si="25"/>
        <v>0</v>
      </c>
      <c r="AC23">
        <f t="shared" si="26"/>
        <v>0</v>
      </c>
      <c r="AD23">
        <f t="shared" si="27"/>
        <v>0</v>
      </c>
      <c r="AE23">
        <f t="shared" si="28"/>
        <v>0</v>
      </c>
      <c r="AF23">
        <f t="shared" si="29"/>
        <v>0</v>
      </c>
      <c r="AG23">
        <f t="shared" si="30"/>
        <v>0</v>
      </c>
      <c r="AH23">
        <f t="shared" si="31"/>
        <v>0</v>
      </c>
      <c r="AI23">
        <f t="shared" si="32"/>
        <v>698.99</v>
      </c>
      <c r="AJ23">
        <f t="shared" si="33"/>
        <v>7042.45</v>
      </c>
      <c r="AK23">
        <f t="shared" si="34"/>
        <v>0</v>
      </c>
      <c r="AL23">
        <f t="shared" si="35"/>
        <v>0</v>
      </c>
      <c r="AM23">
        <f t="shared" si="36"/>
        <v>0</v>
      </c>
      <c r="AN23">
        <f t="shared" si="37"/>
        <v>0</v>
      </c>
      <c r="AO23">
        <f t="shared" si="38"/>
        <v>0</v>
      </c>
      <c r="AP23">
        <f t="shared" si="39"/>
        <v>0</v>
      </c>
      <c r="AQ23">
        <f t="shared" si="40"/>
        <v>0</v>
      </c>
      <c r="AR23">
        <f t="shared" si="41"/>
        <v>0</v>
      </c>
      <c r="AS23">
        <f t="shared" si="42"/>
        <v>0</v>
      </c>
      <c r="AT23">
        <f t="shared" si="43"/>
        <v>0</v>
      </c>
      <c r="AU23">
        <f t="shared" si="44"/>
        <v>0</v>
      </c>
      <c r="AV23">
        <f t="shared" si="45"/>
        <v>0</v>
      </c>
      <c r="AW23">
        <f t="shared" si="0"/>
        <v>7741.44</v>
      </c>
      <c r="AX23">
        <f t="shared" si="46"/>
        <v>72.06</v>
      </c>
      <c r="AY23">
        <f t="shared" si="47"/>
        <v>750</v>
      </c>
    </row>
    <row r="24" spans="1:51" x14ac:dyDescent="0.35">
      <c r="A24">
        <v>18</v>
      </c>
      <c r="C24">
        <f>MAX(0,Calc!$C$7-SUM(D24:R24))</f>
        <v>395</v>
      </c>
      <c r="D24">
        <f t="shared" si="1"/>
        <v>0</v>
      </c>
      <c r="E24">
        <f t="shared" si="2"/>
        <v>40</v>
      </c>
      <c r="F24">
        <f t="shared" si="3"/>
        <v>315</v>
      </c>
      <c r="G24">
        <f t="shared" si="4"/>
        <v>0</v>
      </c>
      <c r="H24">
        <f t="shared" si="5"/>
        <v>0</v>
      </c>
      <c r="I24">
        <f t="shared" si="6"/>
        <v>0</v>
      </c>
      <c r="J24">
        <f t="shared" si="7"/>
        <v>0</v>
      </c>
      <c r="K24">
        <f t="shared" si="8"/>
        <v>0</v>
      </c>
      <c r="L24">
        <f t="shared" si="9"/>
        <v>0</v>
      </c>
      <c r="M24">
        <f t="shared" si="10"/>
        <v>0</v>
      </c>
      <c r="N24">
        <f t="shared" si="11"/>
        <v>0</v>
      </c>
      <c r="O24">
        <f t="shared" si="12"/>
        <v>0</v>
      </c>
      <c r="P24">
        <f t="shared" si="13"/>
        <v>0</v>
      </c>
      <c r="Q24">
        <f t="shared" si="14"/>
        <v>0</v>
      </c>
      <c r="R24">
        <f t="shared" si="15"/>
        <v>0</v>
      </c>
      <c r="S24">
        <f t="shared" si="16"/>
        <v>0</v>
      </c>
      <c r="T24">
        <f t="shared" si="17"/>
        <v>395</v>
      </c>
      <c r="U24">
        <f t="shared" si="18"/>
        <v>0</v>
      </c>
      <c r="V24">
        <f t="shared" si="19"/>
        <v>0</v>
      </c>
      <c r="W24">
        <f t="shared" si="20"/>
        <v>0</v>
      </c>
      <c r="X24">
        <f t="shared" si="21"/>
        <v>0</v>
      </c>
      <c r="Y24">
        <f t="shared" si="22"/>
        <v>0</v>
      </c>
      <c r="Z24">
        <f t="shared" si="23"/>
        <v>0</v>
      </c>
      <c r="AA24">
        <f t="shared" si="24"/>
        <v>0</v>
      </c>
      <c r="AB24">
        <f t="shared" si="25"/>
        <v>0</v>
      </c>
      <c r="AC24">
        <f t="shared" si="26"/>
        <v>0</v>
      </c>
      <c r="AD24">
        <f t="shared" si="27"/>
        <v>0</v>
      </c>
      <c r="AE24">
        <f t="shared" si="28"/>
        <v>0</v>
      </c>
      <c r="AF24">
        <f t="shared" si="29"/>
        <v>0</v>
      </c>
      <c r="AG24">
        <f t="shared" si="30"/>
        <v>0</v>
      </c>
      <c r="AH24">
        <f t="shared" si="31"/>
        <v>0</v>
      </c>
      <c r="AI24">
        <f t="shared" si="32"/>
        <v>280.88</v>
      </c>
      <c r="AJ24">
        <f t="shared" si="33"/>
        <v>6771.47</v>
      </c>
      <c r="AK24">
        <f t="shared" si="34"/>
        <v>0</v>
      </c>
      <c r="AL24">
        <f t="shared" si="35"/>
        <v>0</v>
      </c>
      <c r="AM24">
        <f t="shared" si="36"/>
        <v>0</v>
      </c>
      <c r="AN24">
        <f t="shared" si="37"/>
        <v>0</v>
      </c>
      <c r="AO24">
        <f t="shared" si="38"/>
        <v>0</v>
      </c>
      <c r="AP24">
        <f t="shared" si="39"/>
        <v>0</v>
      </c>
      <c r="AQ24">
        <f t="shared" si="40"/>
        <v>0</v>
      </c>
      <c r="AR24">
        <f t="shared" si="41"/>
        <v>0</v>
      </c>
      <c r="AS24">
        <f t="shared" si="42"/>
        <v>0</v>
      </c>
      <c r="AT24">
        <f t="shared" si="43"/>
        <v>0</v>
      </c>
      <c r="AU24">
        <f t="shared" si="44"/>
        <v>0</v>
      </c>
      <c r="AV24">
        <f t="shared" si="45"/>
        <v>0</v>
      </c>
      <c r="AW24">
        <f t="shared" si="0"/>
        <v>7052.35</v>
      </c>
      <c r="AX24">
        <f t="shared" si="46"/>
        <v>60.910000000000004</v>
      </c>
      <c r="AY24">
        <f t="shared" si="47"/>
        <v>750</v>
      </c>
    </row>
    <row r="25" spans="1:51" x14ac:dyDescent="0.35">
      <c r="A25">
        <v>19</v>
      </c>
      <c r="C25">
        <f>MAX(0,Calc!$C$7-SUM(D25:R25))</f>
        <v>395</v>
      </c>
      <c r="D25">
        <f t="shared" si="1"/>
        <v>0</v>
      </c>
      <c r="E25">
        <f t="shared" si="2"/>
        <v>40</v>
      </c>
      <c r="F25">
        <f t="shared" si="3"/>
        <v>315</v>
      </c>
      <c r="G25">
        <f t="shared" si="4"/>
        <v>0</v>
      </c>
      <c r="H25">
        <f t="shared" si="5"/>
        <v>0</v>
      </c>
      <c r="I25">
        <f t="shared" si="6"/>
        <v>0</v>
      </c>
      <c r="J25">
        <f t="shared" si="7"/>
        <v>0</v>
      </c>
      <c r="K25">
        <f t="shared" si="8"/>
        <v>0</v>
      </c>
      <c r="L25">
        <f t="shared" si="9"/>
        <v>0</v>
      </c>
      <c r="M25">
        <f t="shared" si="10"/>
        <v>0</v>
      </c>
      <c r="N25">
        <f t="shared" si="11"/>
        <v>0</v>
      </c>
      <c r="O25">
        <f t="shared" si="12"/>
        <v>0</v>
      </c>
      <c r="P25">
        <f t="shared" si="13"/>
        <v>0</v>
      </c>
      <c r="Q25">
        <f t="shared" si="14"/>
        <v>0</v>
      </c>
      <c r="R25">
        <f t="shared" si="15"/>
        <v>0</v>
      </c>
      <c r="S25">
        <f t="shared" si="16"/>
        <v>0</v>
      </c>
      <c r="T25">
        <f t="shared" si="17"/>
        <v>247.67000000000002</v>
      </c>
      <c r="U25">
        <f t="shared" si="18"/>
        <v>147.32999999999998</v>
      </c>
      <c r="V25">
        <f t="shared" si="19"/>
        <v>0</v>
      </c>
      <c r="W25">
        <f t="shared" si="20"/>
        <v>0</v>
      </c>
      <c r="X25">
        <f t="shared" si="21"/>
        <v>0</v>
      </c>
      <c r="Y25">
        <f t="shared" si="22"/>
        <v>0</v>
      </c>
      <c r="Z25">
        <f t="shared" si="23"/>
        <v>0</v>
      </c>
      <c r="AA25">
        <f t="shared" si="24"/>
        <v>0</v>
      </c>
      <c r="AB25">
        <f t="shared" si="25"/>
        <v>0</v>
      </c>
      <c r="AC25">
        <f t="shared" si="26"/>
        <v>0</v>
      </c>
      <c r="AD25">
        <f t="shared" si="27"/>
        <v>0</v>
      </c>
      <c r="AE25">
        <f t="shared" si="28"/>
        <v>0</v>
      </c>
      <c r="AF25">
        <f t="shared" si="29"/>
        <v>0</v>
      </c>
      <c r="AG25">
        <f t="shared" si="30"/>
        <v>0</v>
      </c>
      <c r="AH25">
        <f t="shared" si="31"/>
        <v>0</v>
      </c>
      <c r="AI25">
        <f t="shared" si="32"/>
        <v>0</v>
      </c>
      <c r="AJ25">
        <f t="shared" si="33"/>
        <v>6351.46</v>
      </c>
      <c r="AK25">
        <f t="shared" si="34"/>
        <v>0</v>
      </c>
      <c r="AL25">
        <f t="shared" si="35"/>
        <v>0</v>
      </c>
      <c r="AM25">
        <f t="shared" si="36"/>
        <v>0</v>
      </c>
      <c r="AN25">
        <f t="shared" si="37"/>
        <v>0</v>
      </c>
      <c r="AO25">
        <f t="shared" si="38"/>
        <v>0</v>
      </c>
      <c r="AP25">
        <f t="shared" si="39"/>
        <v>0</v>
      </c>
      <c r="AQ25">
        <f t="shared" si="40"/>
        <v>0</v>
      </c>
      <c r="AR25">
        <f t="shared" si="41"/>
        <v>0</v>
      </c>
      <c r="AS25">
        <f t="shared" si="42"/>
        <v>0</v>
      </c>
      <c r="AT25">
        <f t="shared" si="43"/>
        <v>0</v>
      </c>
      <c r="AU25">
        <f t="shared" si="44"/>
        <v>0</v>
      </c>
      <c r="AV25">
        <f t="shared" si="45"/>
        <v>0</v>
      </c>
      <c r="AW25">
        <f t="shared" si="0"/>
        <v>6351.46</v>
      </c>
      <c r="AX25">
        <f t="shared" si="46"/>
        <v>49.11</v>
      </c>
      <c r="AY25">
        <f t="shared" si="47"/>
        <v>750</v>
      </c>
    </row>
    <row r="26" spans="1:51" x14ac:dyDescent="0.35">
      <c r="A26">
        <v>20</v>
      </c>
      <c r="C26">
        <f>MAX(0,Calc!$C$7-SUM(D26:R26))</f>
        <v>435</v>
      </c>
      <c r="D26">
        <f t="shared" si="1"/>
        <v>0</v>
      </c>
      <c r="E26">
        <f t="shared" si="2"/>
        <v>0</v>
      </c>
      <c r="F26">
        <f t="shared" si="3"/>
        <v>315</v>
      </c>
      <c r="G26">
        <f t="shared" si="4"/>
        <v>0</v>
      </c>
      <c r="H26">
        <f t="shared" si="5"/>
        <v>0</v>
      </c>
      <c r="I26">
        <f t="shared" si="6"/>
        <v>0</v>
      </c>
      <c r="J26">
        <f t="shared" si="7"/>
        <v>0</v>
      </c>
      <c r="K26">
        <f t="shared" si="8"/>
        <v>0</v>
      </c>
      <c r="L26">
        <f t="shared" si="9"/>
        <v>0</v>
      </c>
      <c r="M26">
        <f t="shared" si="10"/>
        <v>0</v>
      </c>
      <c r="N26">
        <f t="shared" si="11"/>
        <v>0</v>
      </c>
      <c r="O26">
        <f t="shared" si="12"/>
        <v>0</v>
      </c>
      <c r="P26">
        <f t="shared" si="13"/>
        <v>0</v>
      </c>
      <c r="Q26">
        <f t="shared" si="14"/>
        <v>0</v>
      </c>
      <c r="R26">
        <f t="shared" si="15"/>
        <v>0</v>
      </c>
      <c r="S26">
        <f t="shared" si="16"/>
        <v>0</v>
      </c>
      <c r="T26">
        <f t="shared" si="17"/>
        <v>0</v>
      </c>
      <c r="U26">
        <f t="shared" si="18"/>
        <v>435</v>
      </c>
      <c r="V26">
        <f t="shared" si="19"/>
        <v>0</v>
      </c>
      <c r="W26">
        <f t="shared" si="20"/>
        <v>0</v>
      </c>
      <c r="X26">
        <f t="shared" si="21"/>
        <v>0</v>
      </c>
      <c r="Y26">
        <f t="shared" si="22"/>
        <v>0</v>
      </c>
      <c r="Z26">
        <f t="shared" si="23"/>
        <v>0</v>
      </c>
      <c r="AA26">
        <f t="shared" si="24"/>
        <v>0</v>
      </c>
      <c r="AB26">
        <f t="shared" si="25"/>
        <v>0</v>
      </c>
      <c r="AC26">
        <f t="shared" si="26"/>
        <v>0</v>
      </c>
      <c r="AD26">
        <f t="shared" si="27"/>
        <v>0</v>
      </c>
      <c r="AE26">
        <f t="shared" si="28"/>
        <v>0</v>
      </c>
      <c r="AF26">
        <f t="shared" si="29"/>
        <v>0</v>
      </c>
      <c r="AG26">
        <f t="shared" si="30"/>
        <v>0</v>
      </c>
      <c r="AH26">
        <f t="shared" si="31"/>
        <v>0</v>
      </c>
      <c r="AI26">
        <f t="shared" si="32"/>
        <v>0</v>
      </c>
      <c r="AJ26">
        <f t="shared" si="33"/>
        <v>5641.16</v>
      </c>
      <c r="AK26">
        <f t="shared" si="34"/>
        <v>0</v>
      </c>
      <c r="AL26">
        <f t="shared" si="35"/>
        <v>0</v>
      </c>
      <c r="AM26">
        <f t="shared" si="36"/>
        <v>0</v>
      </c>
      <c r="AN26">
        <f t="shared" si="37"/>
        <v>0</v>
      </c>
      <c r="AO26">
        <f t="shared" si="38"/>
        <v>0</v>
      </c>
      <c r="AP26">
        <f t="shared" si="39"/>
        <v>0</v>
      </c>
      <c r="AQ26">
        <f t="shared" si="40"/>
        <v>0</v>
      </c>
      <c r="AR26">
        <f t="shared" si="41"/>
        <v>0</v>
      </c>
      <c r="AS26">
        <f t="shared" si="42"/>
        <v>0</v>
      </c>
      <c r="AT26">
        <f t="shared" si="43"/>
        <v>0</v>
      </c>
      <c r="AU26">
        <f t="shared" si="44"/>
        <v>0</v>
      </c>
      <c r="AV26">
        <f t="shared" si="45"/>
        <v>0</v>
      </c>
      <c r="AW26">
        <f t="shared" si="0"/>
        <v>5641.16</v>
      </c>
      <c r="AX26">
        <f t="shared" si="46"/>
        <v>39.700000000000003</v>
      </c>
      <c r="AY26">
        <f t="shared" si="47"/>
        <v>750</v>
      </c>
    </row>
    <row r="27" spans="1:51" x14ac:dyDescent="0.35">
      <c r="A27">
        <v>21</v>
      </c>
      <c r="C27">
        <f>MAX(0,Calc!$C$7-SUM(D27:R27))</f>
        <v>435</v>
      </c>
      <c r="D27">
        <f t="shared" si="1"/>
        <v>0</v>
      </c>
      <c r="E27">
        <f t="shared" si="2"/>
        <v>0</v>
      </c>
      <c r="F27">
        <f t="shared" si="3"/>
        <v>315</v>
      </c>
      <c r="G27">
        <f t="shared" si="4"/>
        <v>0</v>
      </c>
      <c r="H27">
        <f t="shared" si="5"/>
        <v>0</v>
      </c>
      <c r="I27">
        <f t="shared" si="6"/>
        <v>0</v>
      </c>
      <c r="J27">
        <f t="shared" si="7"/>
        <v>0</v>
      </c>
      <c r="K27">
        <f t="shared" si="8"/>
        <v>0</v>
      </c>
      <c r="L27">
        <f t="shared" si="9"/>
        <v>0</v>
      </c>
      <c r="M27">
        <f t="shared" si="10"/>
        <v>0</v>
      </c>
      <c r="N27">
        <f t="shared" si="11"/>
        <v>0</v>
      </c>
      <c r="O27">
        <f t="shared" si="12"/>
        <v>0</v>
      </c>
      <c r="P27">
        <f t="shared" si="13"/>
        <v>0</v>
      </c>
      <c r="Q27">
        <f t="shared" si="14"/>
        <v>0</v>
      </c>
      <c r="R27">
        <f t="shared" si="15"/>
        <v>0</v>
      </c>
      <c r="S27">
        <f t="shared" si="16"/>
        <v>0</v>
      </c>
      <c r="T27">
        <f t="shared" si="17"/>
        <v>0</v>
      </c>
      <c r="U27">
        <f t="shared" si="18"/>
        <v>435</v>
      </c>
      <c r="V27">
        <f t="shared" si="19"/>
        <v>0</v>
      </c>
      <c r="W27">
        <f t="shared" si="20"/>
        <v>0</v>
      </c>
      <c r="X27">
        <f t="shared" si="21"/>
        <v>0</v>
      </c>
      <c r="Y27">
        <f t="shared" si="22"/>
        <v>0</v>
      </c>
      <c r="Z27">
        <f t="shared" si="23"/>
        <v>0</v>
      </c>
      <c r="AA27">
        <f t="shared" si="24"/>
        <v>0</v>
      </c>
      <c r="AB27">
        <f t="shared" si="25"/>
        <v>0</v>
      </c>
      <c r="AC27">
        <f t="shared" si="26"/>
        <v>0</v>
      </c>
      <c r="AD27">
        <f t="shared" si="27"/>
        <v>0</v>
      </c>
      <c r="AE27">
        <f t="shared" si="28"/>
        <v>0</v>
      </c>
      <c r="AF27">
        <f t="shared" si="29"/>
        <v>0</v>
      </c>
      <c r="AG27">
        <f t="shared" si="30"/>
        <v>0</v>
      </c>
      <c r="AH27">
        <f t="shared" si="31"/>
        <v>0</v>
      </c>
      <c r="AI27">
        <f t="shared" si="32"/>
        <v>0</v>
      </c>
      <c r="AJ27">
        <f t="shared" si="33"/>
        <v>4926.42</v>
      </c>
      <c r="AK27">
        <f t="shared" si="34"/>
        <v>0</v>
      </c>
      <c r="AL27">
        <f t="shared" si="35"/>
        <v>0</v>
      </c>
      <c r="AM27">
        <f t="shared" si="36"/>
        <v>0</v>
      </c>
      <c r="AN27">
        <f t="shared" si="37"/>
        <v>0</v>
      </c>
      <c r="AO27">
        <f t="shared" si="38"/>
        <v>0</v>
      </c>
      <c r="AP27">
        <f t="shared" si="39"/>
        <v>0</v>
      </c>
      <c r="AQ27">
        <f t="shared" si="40"/>
        <v>0</v>
      </c>
      <c r="AR27">
        <f t="shared" si="41"/>
        <v>0</v>
      </c>
      <c r="AS27">
        <f t="shared" si="42"/>
        <v>0</v>
      </c>
      <c r="AT27">
        <f t="shared" si="43"/>
        <v>0</v>
      </c>
      <c r="AU27">
        <f t="shared" si="44"/>
        <v>0</v>
      </c>
      <c r="AV27">
        <f t="shared" si="45"/>
        <v>0</v>
      </c>
      <c r="AW27">
        <f t="shared" si="0"/>
        <v>4926.42</v>
      </c>
      <c r="AX27">
        <f t="shared" si="46"/>
        <v>35.26</v>
      </c>
      <c r="AY27">
        <f t="shared" si="47"/>
        <v>750</v>
      </c>
    </row>
    <row r="28" spans="1:51" x14ac:dyDescent="0.35">
      <c r="A28">
        <v>22</v>
      </c>
      <c r="C28">
        <f>MAX(0,Calc!$C$7-SUM(D28:R28))</f>
        <v>435</v>
      </c>
      <c r="D28">
        <f t="shared" si="1"/>
        <v>0</v>
      </c>
      <c r="E28">
        <f t="shared" si="2"/>
        <v>0</v>
      </c>
      <c r="F28">
        <f t="shared" si="3"/>
        <v>315</v>
      </c>
      <c r="G28">
        <f t="shared" si="4"/>
        <v>0</v>
      </c>
      <c r="H28">
        <f t="shared" si="5"/>
        <v>0</v>
      </c>
      <c r="I28">
        <f t="shared" si="6"/>
        <v>0</v>
      </c>
      <c r="J28">
        <f t="shared" si="7"/>
        <v>0</v>
      </c>
      <c r="K28">
        <f t="shared" si="8"/>
        <v>0</v>
      </c>
      <c r="L28">
        <f t="shared" si="9"/>
        <v>0</v>
      </c>
      <c r="M28">
        <f t="shared" si="10"/>
        <v>0</v>
      </c>
      <c r="N28">
        <f t="shared" si="11"/>
        <v>0</v>
      </c>
      <c r="O28">
        <f t="shared" si="12"/>
        <v>0</v>
      </c>
      <c r="P28">
        <f t="shared" si="13"/>
        <v>0</v>
      </c>
      <c r="Q28">
        <f t="shared" si="14"/>
        <v>0</v>
      </c>
      <c r="R28">
        <f t="shared" si="15"/>
        <v>0</v>
      </c>
      <c r="S28">
        <f t="shared" si="16"/>
        <v>0</v>
      </c>
      <c r="T28">
        <f t="shared" si="17"/>
        <v>0</v>
      </c>
      <c r="U28">
        <f t="shared" si="18"/>
        <v>435</v>
      </c>
      <c r="V28">
        <f t="shared" si="19"/>
        <v>0</v>
      </c>
      <c r="W28">
        <f t="shared" si="20"/>
        <v>0</v>
      </c>
      <c r="X28">
        <f t="shared" si="21"/>
        <v>0</v>
      </c>
      <c r="Y28">
        <f t="shared" si="22"/>
        <v>0</v>
      </c>
      <c r="Z28">
        <f t="shared" si="23"/>
        <v>0</v>
      </c>
      <c r="AA28">
        <f t="shared" si="24"/>
        <v>0</v>
      </c>
      <c r="AB28">
        <f t="shared" si="25"/>
        <v>0</v>
      </c>
      <c r="AC28">
        <f t="shared" si="26"/>
        <v>0</v>
      </c>
      <c r="AD28">
        <f t="shared" si="27"/>
        <v>0</v>
      </c>
      <c r="AE28">
        <f t="shared" si="28"/>
        <v>0</v>
      </c>
      <c r="AF28">
        <f t="shared" si="29"/>
        <v>0</v>
      </c>
      <c r="AG28">
        <f t="shared" si="30"/>
        <v>0</v>
      </c>
      <c r="AH28">
        <f t="shared" si="31"/>
        <v>0</v>
      </c>
      <c r="AI28">
        <f t="shared" si="32"/>
        <v>0</v>
      </c>
      <c r="AJ28">
        <f t="shared" si="33"/>
        <v>4207.21</v>
      </c>
      <c r="AK28">
        <f t="shared" si="34"/>
        <v>0</v>
      </c>
      <c r="AL28">
        <f t="shared" si="35"/>
        <v>0</v>
      </c>
      <c r="AM28">
        <f t="shared" si="36"/>
        <v>0</v>
      </c>
      <c r="AN28">
        <f t="shared" si="37"/>
        <v>0</v>
      </c>
      <c r="AO28">
        <f t="shared" si="38"/>
        <v>0</v>
      </c>
      <c r="AP28">
        <f t="shared" si="39"/>
        <v>0</v>
      </c>
      <c r="AQ28">
        <f t="shared" si="40"/>
        <v>0</v>
      </c>
      <c r="AR28">
        <f t="shared" si="41"/>
        <v>0</v>
      </c>
      <c r="AS28">
        <f t="shared" si="42"/>
        <v>0</v>
      </c>
      <c r="AT28">
        <f t="shared" si="43"/>
        <v>0</v>
      </c>
      <c r="AU28">
        <f t="shared" si="44"/>
        <v>0</v>
      </c>
      <c r="AV28">
        <f t="shared" si="45"/>
        <v>0</v>
      </c>
      <c r="AW28">
        <f t="shared" si="0"/>
        <v>4207.21</v>
      </c>
      <c r="AX28">
        <f t="shared" si="46"/>
        <v>30.79</v>
      </c>
      <c r="AY28">
        <f t="shared" si="47"/>
        <v>750</v>
      </c>
    </row>
    <row r="29" spans="1:51" x14ac:dyDescent="0.35">
      <c r="A29">
        <v>23</v>
      </c>
      <c r="C29">
        <f>MAX(0,Calc!$C$7-SUM(D29:R29))</f>
        <v>435</v>
      </c>
      <c r="D29">
        <f t="shared" si="1"/>
        <v>0</v>
      </c>
      <c r="E29">
        <f t="shared" si="2"/>
        <v>0</v>
      </c>
      <c r="F29">
        <f t="shared" si="3"/>
        <v>315</v>
      </c>
      <c r="G29">
        <f t="shared" si="4"/>
        <v>0</v>
      </c>
      <c r="H29">
        <f t="shared" si="5"/>
        <v>0</v>
      </c>
      <c r="I29">
        <f t="shared" si="6"/>
        <v>0</v>
      </c>
      <c r="J29">
        <f t="shared" si="7"/>
        <v>0</v>
      </c>
      <c r="K29">
        <f t="shared" si="8"/>
        <v>0</v>
      </c>
      <c r="L29">
        <f t="shared" si="9"/>
        <v>0</v>
      </c>
      <c r="M29">
        <f t="shared" si="10"/>
        <v>0</v>
      </c>
      <c r="N29">
        <f t="shared" si="11"/>
        <v>0</v>
      </c>
      <c r="O29">
        <f t="shared" si="12"/>
        <v>0</v>
      </c>
      <c r="P29">
        <f t="shared" si="13"/>
        <v>0</v>
      </c>
      <c r="Q29">
        <f t="shared" si="14"/>
        <v>0</v>
      </c>
      <c r="R29">
        <f t="shared" si="15"/>
        <v>0</v>
      </c>
      <c r="S29">
        <f t="shared" si="16"/>
        <v>0</v>
      </c>
      <c r="T29">
        <f t="shared" si="17"/>
        <v>0</v>
      </c>
      <c r="U29">
        <f t="shared" si="18"/>
        <v>435</v>
      </c>
      <c r="V29">
        <f t="shared" si="19"/>
        <v>0</v>
      </c>
      <c r="W29">
        <f t="shared" si="20"/>
        <v>0</v>
      </c>
      <c r="X29">
        <f t="shared" si="21"/>
        <v>0</v>
      </c>
      <c r="Y29">
        <f t="shared" si="22"/>
        <v>0</v>
      </c>
      <c r="Z29">
        <f t="shared" si="23"/>
        <v>0</v>
      </c>
      <c r="AA29">
        <f t="shared" si="24"/>
        <v>0</v>
      </c>
      <c r="AB29">
        <f t="shared" si="25"/>
        <v>0</v>
      </c>
      <c r="AC29">
        <f t="shared" si="26"/>
        <v>0</v>
      </c>
      <c r="AD29">
        <f t="shared" si="27"/>
        <v>0</v>
      </c>
      <c r="AE29">
        <f t="shared" si="28"/>
        <v>0</v>
      </c>
      <c r="AF29">
        <f t="shared" si="29"/>
        <v>0</v>
      </c>
      <c r="AG29">
        <f t="shared" si="30"/>
        <v>0</v>
      </c>
      <c r="AH29">
        <f t="shared" si="31"/>
        <v>0</v>
      </c>
      <c r="AI29">
        <f t="shared" si="32"/>
        <v>0</v>
      </c>
      <c r="AJ29">
        <f t="shared" si="33"/>
        <v>3483.51</v>
      </c>
      <c r="AK29">
        <f t="shared" si="34"/>
        <v>0</v>
      </c>
      <c r="AL29">
        <f t="shared" si="35"/>
        <v>0</v>
      </c>
      <c r="AM29">
        <f t="shared" si="36"/>
        <v>0</v>
      </c>
      <c r="AN29">
        <f t="shared" si="37"/>
        <v>0</v>
      </c>
      <c r="AO29">
        <f t="shared" si="38"/>
        <v>0</v>
      </c>
      <c r="AP29">
        <f t="shared" si="39"/>
        <v>0</v>
      </c>
      <c r="AQ29">
        <f t="shared" si="40"/>
        <v>0</v>
      </c>
      <c r="AR29">
        <f t="shared" si="41"/>
        <v>0</v>
      </c>
      <c r="AS29">
        <f t="shared" si="42"/>
        <v>0</v>
      </c>
      <c r="AT29">
        <f t="shared" si="43"/>
        <v>0</v>
      </c>
      <c r="AU29">
        <f t="shared" si="44"/>
        <v>0</v>
      </c>
      <c r="AV29">
        <f t="shared" si="45"/>
        <v>0</v>
      </c>
      <c r="AW29">
        <f t="shared" si="0"/>
        <v>3483.51</v>
      </c>
      <c r="AX29">
        <f t="shared" si="46"/>
        <v>26.3</v>
      </c>
      <c r="AY29">
        <f t="shared" si="47"/>
        <v>750</v>
      </c>
    </row>
    <row r="30" spans="1:51" x14ac:dyDescent="0.35">
      <c r="A30">
        <v>24</v>
      </c>
      <c r="C30">
        <f>MAX(0,Calc!$C$7-SUM(D30:R30))</f>
        <v>435</v>
      </c>
      <c r="D30">
        <f t="shared" si="1"/>
        <v>0</v>
      </c>
      <c r="E30">
        <f t="shared" si="2"/>
        <v>0</v>
      </c>
      <c r="F30">
        <f t="shared" si="3"/>
        <v>315</v>
      </c>
      <c r="G30">
        <f t="shared" si="4"/>
        <v>0</v>
      </c>
      <c r="H30">
        <f t="shared" si="5"/>
        <v>0</v>
      </c>
      <c r="I30">
        <f t="shared" si="6"/>
        <v>0</v>
      </c>
      <c r="J30">
        <f t="shared" si="7"/>
        <v>0</v>
      </c>
      <c r="K30">
        <f t="shared" si="8"/>
        <v>0</v>
      </c>
      <c r="L30">
        <f t="shared" si="9"/>
        <v>0</v>
      </c>
      <c r="M30">
        <f t="shared" si="10"/>
        <v>0</v>
      </c>
      <c r="N30">
        <f t="shared" si="11"/>
        <v>0</v>
      </c>
      <c r="O30">
        <f t="shared" si="12"/>
        <v>0</v>
      </c>
      <c r="P30">
        <f t="shared" si="13"/>
        <v>0</v>
      </c>
      <c r="Q30">
        <f t="shared" si="14"/>
        <v>0</v>
      </c>
      <c r="R30">
        <f t="shared" si="15"/>
        <v>0</v>
      </c>
      <c r="S30">
        <f t="shared" si="16"/>
        <v>0</v>
      </c>
      <c r="T30">
        <f t="shared" si="17"/>
        <v>0</v>
      </c>
      <c r="U30">
        <f t="shared" si="18"/>
        <v>435</v>
      </c>
      <c r="V30">
        <f t="shared" si="19"/>
        <v>0</v>
      </c>
      <c r="W30">
        <f t="shared" si="20"/>
        <v>0</v>
      </c>
      <c r="X30">
        <f t="shared" si="21"/>
        <v>0</v>
      </c>
      <c r="Y30">
        <f t="shared" si="22"/>
        <v>0</v>
      </c>
      <c r="Z30">
        <f t="shared" si="23"/>
        <v>0</v>
      </c>
      <c r="AA30">
        <f t="shared" si="24"/>
        <v>0</v>
      </c>
      <c r="AB30">
        <f t="shared" si="25"/>
        <v>0</v>
      </c>
      <c r="AC30">
        <f t="shared" si="26"/>
        <v>0</v>
      </c>
      <c r="AD30">
        <f t="shared" si="27"/>
        <v>0</v>
      </c>
      <c r="AE30">
        <f t="shared" si="28"/>
        <v>0</v>
      </c>
      <c r="AF30">
        <f t="shared" si="29"/>
        <v>0</v>
      </c>
      <c r="AG30">
        <f t="shared" si="30"/>
        <v>0</v>
      </c>
      <c r="AH30">
        <f t="shared" si="31"/>
        <v>0</v>
      </c>
      <c r="AI30">
        <f t="shared" si="32"/>
        <v>0</v>
      </c>
      <c r="AJ30">
        <f t="shared" si="33"/>
        <v>2755.28</v>
      </c>
      <c r="AK30">
        <f t="shared" si="34"/>
        <v>0</v>
      </c>
      <c r="AL30">
        <f t="shared" si="35"/>
        <v>0</v>
      </c>
      <c r="AM30">
        <f t="shared" si="36"/>
        <v>0</v>
      </c>
      <c r="AN30">
        <f t="shared" si="37"/>
        <v>0</v>
      </c>
      <c r="AO30">
        <f t="shared" si="38"/>
        <v>0</v>
      </c>
      <c r="AP30">
        <f t="shared" si="39"/>
        <v>0</v>
      </c>
      <c r="AQ30">
        <f t="shared" si="40"/>
        <v>0</v>
      </c>
      <c r="AR30">
        <f t="shared" si="41"/>
        <v>0</v>
      </c>
      <c r="AS30">
        <f t="shared" si="42"/>
        <v>0</v>
      </c>
      <c r="AT30">
        <f t="shared" si="43"/>
        <v>0</v>
      </c>
      <c r="AU30">
        <f t="shared" si="44"/>
        <v>0</v>
      </c>
      <c r="AV30">
        <f t="shared" si="45"/>
        <v>0</v>
      </c>
      <c r="AW30">
        <f t="shared" si="0"/>
        <v>2755.28</v>
      </c>
      <c r="AX30">
        <f t="shared" si="46"/>
        <v>21.77</v>
      </c>
      <c r="AY30">
        <f t="shared" si="47"/>
        <v>750</v>
      </c>
    </row>
    <row r="31" spans="1:51" x14ac:dyDescent="0.35">
      <c r="A31">
        <v>25</v>
      </c>
      <c r="C31">
        <f>MAX(0,Calc!$C$7-SUM(D31:R31))</f>
        <v>435</v>
      </c>
      <c r="D31">
        <f t="shared" si="1"/>
        <v>0</v>
      </c>
      <c r="E31">
        <f t="shared" si="2"/>
        <v>0</v>
      </c>
      <c r="F31">
        <f t="shared" si="3"/>
        <v>315</v>
      </c>
      <c r="G31">
        <f t="shared" si="4"/>
        <v>0</v>
      </c>
      <c r="H31">
        <f t="shared" si="5"/>
        <v>0</v>
      </c>
      <c r="I31">
        <f t="shared" si="6"/>
        <v>0</v>
      </c>
      <c r="J31">
        <f t="shared" si="7"/>
        <v>0</v>
      </c>
      <c r="K31">
        <f t="shared" si="8"/>
        <v>0</v>
      </c>
      <c r="L31">
        <f t="shared" si="9"/>
        <v>0</v>
      </c>
      <c r="M31">
        <f t="shared" si="10"/>
        <v>0</v>
      </c>
      <c r="N31">
        <f t="shared" si="11"/>
        <v>0</v>
      </c>
      <c r="O31">
        <f t="shared" si="12"/>
        <v>0</v>
      </c>
      <c r="P31">
        <f t="shared" si="13"/>
        <v>0</v>
      </c>
      <c r="Q31">
        <f t="shared" si="14"/>
        <v>0</v>
      </c>
      <c r="R31">
        <f t="shared" si="15"/>
        <v>0</v>
      </c>
      <c r="S31">
        <f t="shared" si="16"/>
        <v>0</v>
      </c>
      <c r="T31">
        <f t="shared" si="17"/>
        <v>0</v>
      </c>
      <c r="U31">
        <f t="shared" si="18"/>
        <v>435</v>
      </c>
      <c r="V31">
        <f t="shared" si="19"/>
        <v>0</v>
      </c>
      <c r="W31">
        <f t="shared" si="20"/>
        <v>0</v>
      </c>
      <c r="X31">
        <f t="shared" si="21"/>
        <v>0</v>
      </c>
      <c r="Y31">
        <f t="shared" si="22"/>
        <v>0</v>
      </c>
      <c r="Z31">
        <f t="shared" si="23"/>
        <v>0</v>
      </c>
      <c r="AA31">
        <f t="shared" si="24"/>
        <v>0</v>
      </c>
      <c r="AB31">
        <f t="shared" si="25"/>
        <v>0</v>
      </c>
      <c r="AC31">
        <f t="shared" si="26"/>
        <v>0</v>
      </c>
      <c r="AD31">
        <f t="shared" si="27"/>
        <v>0</v>
      </c>
      <c r="AE31">
        <f t="shared" si="28"/>
        <v>0</v>
      </c>
      <c r="AF31">
        <f t="shared" si="29"/>
        <v>0</v>
      </c>
      <c r="AG31">
        <f t="shared" si="30"/>
        <v>0</v>
      </c>
      <c r="AH31">
        <f t="shared" si="31"/>
        <v>0</v>
      </c>
      <c r="AI31">
        <f t="shared" si="32"/>
        <v>0</v>
      </c>
      <c r="AJ31">
        <f t="shared" si="33"/>
        <v>2022.5</v>
      </c>
      <c r="AK31">
        <f t="shared" si="34"/>
        <v>0</v>
      </c>
      <c r="AL31">
        <f t="shared" si="35"/>
        <v>0</v>
      </c>
      <c r="AM31">
        <f t="shared" si="36"/>
        <v>0</v>
      </c>
      <c r="AN31">
        <f t="shared" si="37"/>
        <v>0</v>
      </c>
      <c r="AO31">
        <f t="shared" si="38"/>
        <v>0</v>
      </c>
      <c r="AP31">
        <f t="shared" si="39"/>
        <v>0</v>
      </c>
      <c r="AQ31">
        <f t="shared" si="40"/>
        <v>0</v>
      </c>
      <c r="AR31">
        <f t="shared" si="41"/>
        <v>0</v>
      </c>
      <c r="AS31">
        <f t="shared" si="42"/>
        <v>0</v>
      </c>
      <c r="AT31">
        <f t="shared" si="43"/>
        <v>0</v>
      </c>
      <c r="AU31">
        <f t="shared" si="44"/>
        <v>0</v>
      </c>
      <c r="AV31">
        <f t="shared" si="45"/>
        <v>0</v>
      </c>
      <c r="AW31">
        <f t="shared" si="0"/>
        <v>2022.5</v>
      </c>
      <c r="AX31">
        <f t="shared" si="46"/>
        <v>17.22</v>
      </c>
      <c r="AY31">
        <f t="shared" si="47"/>
        <v>750</v>
      </c>
    </row>
    <row r="32" spans="1:51" x14ac:dyDescent="0.35">
      <c r="A32">
        <v>26</v>
      </c>
      <c r="C32">
        <f>MAX(0,Calc!$C$7-SUM(D32:R32))</f>
        <v>435</v>
      </c>
      <c r="D32">
        <f t="shared" si="1"/>
        <v>0</v>
      </c>
      <c r="E32">
        <f t="shared" si="2"/>
        <v>0</v>
      </c>
      <c r="F32">
        <f t="shared" si="3"/>
        <v>315</v>
      </c>
      <c r="G32">
        <f t="shared" si="4"/>
        <v>0</v>
      </c>
      <c r="H32">
        <f t="shared" si="5"/>
        <v>0</v>
      </c>
      <c r="I32">
        <f t="shared" si="6"/>
        <v>0</v>
      </c>
      <c r="J32">
        <f t="shared" si="7"/>
        <v>0</v>
      </c>
      <c r="K32">
        <f t="shared" si="8"/>
        <v>0</v>
      </c>
      <c r="L32">
        <f t="shared" si="9"/>
        <v>0</v>
      </c>
      <c r="M32">
        <f t="shared" si="10"/>
        <v>0</v>
      </c>
      <c r="N32">
        <f t="shared" si="11"/>
        <v>0</v>
      </c>
      <c r="O32">
        <f t="shared" si="12"/>
        <v>0</v>
      </c>
      <c r="P32">
        <f t="shared" si="13"/>
        <v>0</v>
      </c>
      <c r="Q32">
        <f t="shared" si="14"/>
        <v>0</v>
      </c>
      <c r="R32">
        <f t="shared" si="15"/>
        <v>0</v>
      </c>
      <c r="S32">
        <f t="shared" si="16"/>
        <v>0</v>
      </c>
      <c r="T32">
        <f t="shared" si="17"/>
        <v>0</v>
      </c>
      <c r="U32">
        <f t="shared" si="18"/>
        <v>435</v>
      </c>
      <c r="V32">
        <f t="shared" si="19"/>
        <v>0</v>
      </c>
      <c r="W32">
        <f t="shared" si="20"/>
        <v>0</v>
      </c>
      <c r="X32">
        <f t="shared" si="21"/>
        <v>0</v>
      </c>
      <c r="Y32">
        <f t="shared" si="22"/>
        <v>0</v>
      </c>
      <c r="Z32">
        <f t="shared" si="23"/>
        <v>0</v>
      </c>
      <c r="AA32">
        <f t="shared" si="24"/>
        <v>0</v>
      </c>
      <c r="AB32">
        <f t="shared" si="25"/>
        <v>0</v>
      </c>
      <c r="AC32">
        <f t="shared" si="26"/>
        <v>0</v>
      </c>
      <c r="AD32">
        <f t="shared" si="27"/>
        <v>0</v>
      </c>
      <c r="AE32">
        <f t="shared" si="28"/>
        <v>0</v>
      </c>
      <c r="AF32">
        <f t="shared" si="29"/>
        <v>0</v>
      </c>
      <c r="AG32">
        <f t="shared" si="30"/>
        <v>0</v>
      </c>
      <c r="AH32">
        <f t="shared" si="31"/>
        <v>0</v>
      </c>
      <c r="AI32">
        <f t="shared" si="32"/>
        <v>0</v>
      </c>
      <c r="AJ32">
        <f t="shared" si="33"/>
        <v>1285.1400000000001</v>
      </c>
      <c r="AK32">
        <f t="shared" si="34"/>
        <v>0</v>
      </c>
      <c r="AL32">
        <f t="shared" si="35"/>
        <v>0</v>
      </c>
      <c r="AM32">
        <f t="shared" si="36"/>
        <v>0</v>
      </c>
      <c r="AN32">
        <f t="shared" si="37"/>
        <v>0</v>
      </c>
      <c r="AO32">
        <f t="shared" si="38"/>
        <v>0</v>
      </c>
      <c r="AP32">
        <f t="shared" si="39"/>
        <v>0</v>
      </c>
      <c r="AQ32">
        <f t="shared" si="40"/>
        <v>0</v>
      </c>
      <c r="AR32">
        <f t="shared" si="41"/>
        <v>0</v>
      </c>
      <c r="AS32">
        <f t="shared" si="42"/>
        <v>0</v>
      </c>
      <c r="AT32">
        <f t="shared" si="43"/>
        <v>0</v>
      </c>
      <c r="AU32">
        <f t="shared" si="44"/>
        <v>0</v>
      </c>
      <c r="AV32">
        <f t="shared" si="45"/>
        <v>0</v>
      </c>
      <c r="AW32">
        <f t="shared" si="0"/>
        <v>1285.1400000000001</v>
      </c>
      <c r="AX32">
        <f t="shared" si="46"/>
        <v>12.64</v>
      </c>
      <c r="AY32">
        <f t="shared" si="47"/>
        <v>750</v>
      </c>
    </row>
    <row r="33" spans="1:51" x14ac:dyDescent="0.35">
      <c r="A33">
        <v>27</v>
      </c>
      <c r="C33">
        <f>MAX(0,Calc!$C$7-SUM(D33:R33))</f>
        <v>435</v>
      </c>
      <c r="D33">
        <f t="shared" si="1"/>
        <v>0</v>
      </c>
      <c r="E33">
        <f t="shared" si="2"/>
        <v>0</v>
      </c>
      <c r="F33">
        <f t="shared" si="3"/>
        <v>315</v>
      </c>
      <c r="G33">
        <f t="shared" si="4"/>
        <v>0</v>
      </c>
      <c r="H33">
        <f t="shared" si="5"/>
        <v>0</v>
      </c>
      <c r="I33">
        <f t="shared" si="6"/>
        <v>0</v>
      </c>
      <c r="J33">
        <f t="shared" si="7"/>
        <v>0</v>
      </c>
      <c r="K33">
        <f t="shared" si="8"/>
        <v>0</v>
      </c>
      <c r="L33">
        <f t="shared" si="9"/>
        <v>0</v>
      </c>
      <c r="M33">
        <f t="shared" si="10"/>
        <v>0</v>
      </c>
      <c r="N33">
        <f t="shared" si="11"/>
        <v>0</v>
      </c>
      <c r="O33">
        <f t="shared" si="12"/>
        <v>0</v>
      </c>
      <c r="P33">
        <f t="shared" si="13"/>
        <v>0</v>
      </c>
      <c r="Q33">
        <f t="shared" si="14"/>
        <v>0</v>
      </c>
      <c r="R33">
        <f t="shared" si="15"/>
        <v>0</v>
      </c>
      <c r="S33">
        <f t="shared" si="16"/>
        <v>0</v>
      </c>
      <c r="T33">
        <f t="shared" si="17"/>
        <v>0</v>
      </c>
      <c r="U33">
        <f t="shared" si="18"/>
        <v>435</v>
      </c>
      <c r="V33">
        <f t="shared" si="19"/>
        <v>0</v>
      </c>
      <c r="W33">
        <f t="shared" si="20"/>
        <v>0</v>
      </c>
      <c r="X33">
        <f t="shared" si="21"/>
        <v>0</v>
      </c>
      <c r="Y33">
        <f t="shared" si="22"/>
        <v>0</v>
      </c>
      <c r="Z33">
        <f t="shared" si="23"/>
        <v>0</v>
      </c>
      <c r="AA33">
        <f t="shared" si="24"/>
        <v>0</v>
      </c>
      <c r="AB33">
        <f t="shared" si="25"/>
        <v>0</v>
      </c>
      <c r="AC33">
        <f t="shared" si="26"/>
        <v>0</v>
      </c>
      <c r="AD33">
        <f t="shared" si="27"/>
        <v>0</v>
      </c>
      <c r="AE33">
        <f t="shared" si="28"/>
        <v>0</v>
      </c>
      <c r="AF33">
        <f t="shared" si="29"/>
        <v>0</v>
      </c>
      <c r="AG33">
        <f t="shared" si="30"/>
        <v>0</v>
      </c>
      <c r="AH33">
        <f t="shared" si="31"/>
        <v>0</v>
      </c>
      <c r="AI33">
        <f t="shared" si="32"/>
        <v>0</v>
      </c>
      <c r="AJ33">
        <f t="shared" si="33"/>
        <v>543.16999999999996</v>
      </c>
      <c r="AK33">
        <f t="shared" si="34"/>
        <v>0</v>
      </c>
      <c r="AL33">
        <f t="shared" si="35"/>
        <v>0</v>
      </c>
      <c r="AM33">
        <f t="shared" si="36"/>
        <v>0</v>
      </c>
      <c r="AN33">
        <f t="shared" si="37"/>
        <v>0</v>
      </c>
      <c r="AO33">
        <f t="shared" si="38"/>
        <v>0</v>
      </c>
      <c r="AP33">
        <f t="shared" si="39"/>
        <v>0</v>
      </c>
      <c r="AQ33">
        <f t="shared" si="40"/>
        <v>0</v>
      </c>
      <c r="AR33">
        <f t="shared" si="41"/>
        <v>0</v>
      </c>
      <c r="AS33">
        <f t="shared" si="42"/>
        <v>0</v>
      </c>
      <c r="AT33">
        <f t="shared" si="43"/>
        <v>0</v>
      </c>
      <c r="AU33">
        <f t="shared" si="44"/>
        <v>0</v>
      </c>
      <c r="AV33">
        <f t="shared" si="45"/>
        <v>0</v>
      </c>
      <c r="AW33">
        <f t="shared" si="0"/>
        <v>543.16999999999996</v>
      </c>
      <c r="AX33">
        <f t="shared" si="46"/>
        <v>8.0299999999999994</v>
      </c>
      <c r="AY33">
        <f t="shared" si="47"/>
        <v>750</v>
      </c>
    </row>
    <row r="34" spans="1:51" x14ac:dyDescent="0.35">
      <c r="A34">
        <v>28</v>
      </c>
      <c r="C34">
        <f>MAX(0,Calc!$C$7-SUM(D34:R34))</f>
        <v>435</v>
      </c>
      <c r="D34">
        <f t="shared" si="1"/>
        <v>0</v>
      </c>
      <c r="E34">
        <f t="shared" si="2"/>
        <v>0</v>
      </c>
      <c r="F34">
        <f t="shared" si="3"/>
        <v>315</v>
      </c>
      <c r="G34">
        <f t="shared" si="4"/>
        <v>0</v>
      </c>
      <c r="H34">
        <f t="shared" si="5"/>
        <v>0</v>
      </c>
      <c r="I34">
        <f t="shared" si="6"/>
        <v>0</v>
      </c>
      <c r="J34">
        <f t="shared" si="7"/>
        <v>0</v>
      </c>
      <c r="K34">
        <f t="shared" si="8"/>
        <v>0</v>
      </c>
      <c r="L34">
        <f t="shared" si="9"/>
        <v>0</v>
      </c>
      <c r="M34">
        <f t="shared" si="10"/>
        <v>0</v>
      </c>
      <c r="N34">
        <f t="shared" si="11"/>
        <v>0</v>
      </c>
      <c r="O34">
        <f t="shared" si="12"/>
        <v>0</v>
      </c>
      <c r="P34">
        <f t="shared" si="13"/>
        <v>0</v>
      </c>
      <c r="Q34">
        <f t="shared" si="14"/>
        <v>0</v>
      </c>
      <c r="R34">
        <f t="shared" si="15"/>
        <v>0</v>
      </c>
      <c r="S34">
        <f t="shared" si="16"/>
        <v>0</v>
      </c>
      <c r="T34">
        <f t="shared" si="17"/>
        <v>0</v>
      </c>
      <c r="U34">
        <f t="shared" si="18"/>
        <v>231.55999999999995</v>
      </c>
      <c r="V34">
        <f t="shared" si="19"/>
        <v>0</v>
      </c>
      <c r="W34">
        <f t="shared" si="20"/>
        <v>0</v>
      </c>
      <c r="X34">
        <f t="shared" si="21"/>
        <v>0</v>
      </c>
      <c r="Y34">
        <f t="shared" si="22"/>
        <v>0</v>
      </c>
      <c r="Z34">
        <f t="shared" si="23"/>
        <v>0</v>
      </c>
      <c r="AA34">
        <f t="shared" si="24"/>
        <v>0</v>
      </c>
      <c r="AB34">
        <f t="shared" si="25"/>
        <v>0</v>
      </c>
      <c r="AC34">
        <f t="shared" si="26"/>
        <v>0</v>
      </c>
      <c r="AD34">
        <f t="shared" si="27"/>
        <v>0</v>
      </c>
      <c r="AE34">
        <f t="shared" si="28"/>
        <v>0</v>
      </c>
      <c r="AF34">
        <f t="shared" si="29"/>
        <v>0</v>
      </c>
      <c r="AG34">
        <f t="shared" si="30"/>
        <v>0</v>
      </c>
      <c r="AH34">
        <f t="shared" si="31"/>
        <v>0</v>
      </c>
      <c r="AI34">
        <f t="shared" si="32"/>
        <v>0</v>
      </c>
      <c r="AJ34">
        <f t="shared" si="33"/>
        <v>0</v>
      </c>
      <c r="AK34">
        <f t="shared" si="34"/>
        <v>0</v>
      </c>
      <c r="AL34">
        <f t="shared" si="35"/>
        <v>0</v>
      </c>
      <c r="AM34">
        <f t="shared" si="36"/>
        <v>0</v>
      </c>
      <c r="AN34">
        <f t="shared" si="37"/>
        <v>0</v>
      </c>
      <c r="AO34">
        <f t="shared" si="38"/>
        <v>0</v>
      </c>
      <c r="AP34">
        <f t="shared" si="39"/>
        <v>0</v>
      </c>
      <c r="AQ34">
        <f t="shared" si="40"/>
        <v>0</v>
      </c>
      <c r="AR34">
        <f t="shared" si="41"/>
        <v>0</v>
      </c>
      <c r="AS34">
        <f t="shared" si="42"/>
        <v>0</v>
      </c>
      <c r="AT34">
        <f t="shared" si="43"/>
        <v>0</v>
      </c>
      <c r="AU34">
        <f t="shared" si="44"/>
        <v>0</v>
      </c>
      <c r="AV34">
        <f t="shared" si="45"/>
        <v>0</v>
      </c>
      <c r="AW34">
        <f t="shared" si="0"/>
        <v>0</v>
      </c>
      <c r="AX34">
        <f t="shared" si="46"/>
        <v>3.39</v>
      </c>
      <c r="AY34">
        <f t="shared" si="47"/>
        <v>546.55999999999995</v>
      </c>
    </row>
    <row r="35" spans="1:51" x14ac:dyDescent="0.35">
      <c r="A35">
        <v>29</v>
      </c>
      <c r="C35">
        <f>MAX(0,Calc!$C$7-SUM(D35:R35))</f>
        <v>750</v>
      </c>
      <c r="D35">
        <f t="shared" si="1"/>
        <v>0</v>
      </c>
      <c r="E35">
        <f t="shared" si="2"/>
        <v>0</v>
      </c>
      <c r="F35">
        <f t="shared" si="3"/>
        <v>0</v>
      </c>
      <c r="G35">
        <f t="shared" si="4"/>
        <v>0</v>
      </c>
      <c r="H35">
        <f t="shared" si="5"/>
        <v>0</v>
      </c>
      <c r="I35">
        <f t="shared" si="6"/>
        <v>0</v>
      </c>
      <c r="J35">
        <f t="shared" si="7"/>
        <v>0</v>
      </c>
      <c r="K35">
        <f t="shared" si="8"/>
        <v>0</v>
      </c>
      <c r="L35">
        <f t="shared" si="9"/>
        <v>0</v>
      </c>
      <c r="M35">
        <f t="shared" si="10"/>
        <v>0</v>
      </c>
      <c r="N35">
        <f t="shared" si="11"/>
        <v>0</v>
      </c>
      <c r="O35">
        <f t="shared" si="12"/>
        <v>0</v>
      </c>
      <c r="P35">
        <f t="shared" si="13"/>
        <v>0</v>
      </c>
      <c r="Q35">
        <f t="shared" si="14"/>
        <v>0</v>
      </c>
      <c r="R35">
        <f t="shared" si="15"/>
        <v>0</v>
      </c>
      <c r="S35">
        <f t="shared" si="16"/>
        <v>0</v>
      </c>
      <c r="T35">
        <f t="shared" si="17"/>
        <v>0</v>
      </c>
      <c r="U35">
        <f t="shared" si="18"/>
        <v>0</v>
      </c>
      <c r="V35">
        <f t="shared" si="19"/>
        <v>0</v>
      </c>
      <c r="W35">
        <f t="shared" si="20"/>
        <v>0</v>
      </c>
      <c r="X35">
        <f t="shared" si="21"/>
        <v>0</v>
      </c>
      <c r="Y35">
        <f t="shared" si="22"/>
        <v>0</v>
      </c>
      <c r="Z35">
        <f t="shared" si="23"/>
        <v>0</v>
      </c>
      <c r="AA35">
        <f t="shared" si="24"/>
        <v>0</v>
      </c>
      <c r="AB35">
        <f t="shared" si="25"/>
        <v>0</v>
      </c>
      <c r="AC35">
        <f t="shared" si="26"/>
        <v>0</v>
      </c>
      <c r="AD35">
        <f t="shared" si="27"/>
        <v>0</v>
      </c>
      <c r="AE35">
        <f t="shared" si="28"/>
        <v>0</v>
      </c>
      <c r="AF35">
        <f t="shared" si="29"/>
        <v>0</v>
      </c>
      <c r="AG35">
        <f t="shared" si="30"/>
        <v>0</v>
      </c>
      <c r="AH35">
        <f t="shared" si="31"/>
        <v>0</v>
      </c>
      <c r="AI35">
        <f t="shared" si="32"/>
        <v>0</v>
      </c>
      <c r="AJ35">
        <f t="shared" si="33"/>
        <v>0</v>
      </c>
      <c r="AK35">
        <f t="shared" si="34"/>
        <v>0</v>
      </c>
      <c r="AL35">
        <f t="shared" si="35"/>
        <v>0</v>
      </c>
      <c r="AM35">
        <f t="shared" si="36"/>
        <v>0</v>
      </c>
      <c r="AN35">
        <f t="shared" si="37"/>
        <v>0</v>
      </c>
      <c r="AO35">
        <f t="shared" si="38"/>
        <v>0</v>
      </c>
      <c r="AP35">
        <f t="shared" si="39"/>
        <v>0</v>
      </c>
      <c r="AQ35">
        <f t="shared" si="40"/>
        <v>0</v>
      </c>
      <c r="AR35">
        <f t="shared" si="41"/>
        <v>0</v>
      </c>
      <c r="AS35">
        <f t="shared" si="42"/>
        <v>0</v>
      </c>
      <c r="AT35">
        <f t="shared" si="43"/>
        <v>0</v>
      </c>
      <c r="AU35">
        <f t="shared" si="44"/>
        <v>0</v>
      </c>
      <c r="AV35">
        <f t="shared" si="45"/>
        <v>0</v>
      </c>
      <c r="AW35">
        <f t="shared" si="0"/>
        <v>0</v>
      </c>
      <c r="AX35">
        <f t="shared" si="46"/>
        <v>0</v>
      </c>
      <c r="AY35">
        <f t="shared" si="47"/>
        <v>0</v>
      </c>
    </row>
    <row r="36" spans="1:51" x14ac:dyDescent="0.35">
      <c r="A36">
        <v>30</v>
      </c>
      <c r="C36">
        <f>MAX(0,Calc!$C$7-SUM(D36:R36))</f>
        <v>750</v>
      </c>
      <c r="D36">
        <f t="shared" si="1"/>
        <v>0</v>
      </c>
      <c r="E36">
        <f t="shared" si="2"/>
        <v>0</v>
      </c>
      <c r="F36">
        <f t="shared" si="3"/>
        <v>0</v>
      </c>
      <c r="G36">
        <f t="shared" si="4"/>
        <v>0</v>
      </c>
      <c r="H36">
        <f t="shared" si="5"/>
        <v>0</v>
      </c>
      <c r="I36">
        <f t="shared" si="6"/>
        <v>0</v>
      </c>
      <c r="J36">
        <f t="shared" si="7"/>
        <v>0</v>
      </c>
      <c r="K36">
        <f t="shared" si="8"/>
        <v>0</v>
      </c>
      <c r="L36">
        <f t="shared" si="9"/>
        <v>0</v>
      </c>
      <c r="M36">
        <f t="shared" si="10"/>
        <v>0</v>
      </c>
      <c r="N36">
        <f t="shared" si="11"/>
        <v>0</v>
      </c>
      <c r="O36">
        <f t="shared" si="12"/>
        <v>0</v>
      </c>
      <c r="P36">
        <f t="shared" si="13"/>
        <v>0</v>
      </c>
      <c r="Q36">
        <f t="shared" si="14"/>
        <v>0</v>
      </c>
      <c r="R36">
        <f t="shared" si="15"/>
        <v>0</v>
      </c>
      <c r="S36">
        <f t="shared" si="16"/>
        <v>0</v>
      </c>
      <c r="T36">
        <f t="shared" si="17"/>
        <v>0</v>
      </c>
      <c r="U36">
        <f t="shared" si="18"/>
        <v>0</v>
      </c>
      <c r="V36">
        <f t="shared" si="19"/>
        <v>0</v>
      </c>
      <c r="W36">
        <f t="shared" si="20"/>
        <v>0</v>
      </c>
      <c r="X36">
        <f t="shared" si="21"/>
        <v>0</v>
      </c>
      <c r="Y36">
        <f t="shared" si="22"/>
        <v>0</v>
      </c>
      <c r="Z36">
        <f t="shared" si="23"/>
        <v>0</v>
      </c>
      <c r="AA36">
        <f t="shared" si="24"/>
        <v>0</v>
      </c>
      <c r="AB36">
        <f t="shared" si="25"/>
        <v>0</v>
      </c>
      <c r="AC36">
        <f t="shared" si="26"/>
        <v>0</v>
      </c>
      <c r="AD36">
        <f t="shared" si="27"/>
        <v>0</v>
      </c>
      <c r="AE36">
        <f t="shared" si="28"/>
        <v>0</v>
      </c>
      <c r="AF36">
        <f t="shared" si="29"/>
        <v>0</v>
      </c>
      <c r="AG36">
        <f t="shared" si="30"/>
        <v>0</v>
      </c>
      <c r="AH36">
        <f t="shared" si="31"/>
        <v>0</v>
      </c>
      <c r="AI36">
        <f t="shared" si="32"/>
        <v>0</v>
      </c>
      <c r="AJ36">
        <f t="shared" si="33"/>
        <v>0</v>
      </c>
      <c r="AK36">
        <f t="shared" si="34"/>
        <v>0</v>
      </c>
      <c r="AL36">
        <f t="shared" si="35"/>
        <v>0</v>
      </c>
      <c r="AM36">
        <f t="shared" si="36"/>
        <v>0</v>
      </c>
      <c r="AN36">
        <f t="shared" si="37"/>
        <v>0</v>
      </c>
      <c r="AO36">
        <f t="shared" si="38"/>
        <v>0</v>
      </c>
      <c r="AP36">
        <f t="shared" si="39"/>
        <v>0</v>
      </c>
      <c r="AQ36">
        <f t="shared" si="40"/>
        <v>0</v>
      </c>
      <c r="AR36">
        <f t="shared" si="41"/>
        <v>0</v>
      </c>
      <c r="AS36">
        <f t="shared" si="42"/>
        <v>0</v>
      </c>
      <c r="AT36">
        <f t="shared" si="43"/>
        <v>0</v>
      </c>
      <c r="AU36">
        <f t="shared" si="44"/>
        <v>0</v>
      </c>
      <c r="AV36">
        <f t="shared" si="45"/>
        <v>0</v>
      </c>
      <c r="AW36">
        <f t="shared" si="0"/>
        <v>0</v>
      </c>
      <c r="AX36">
        <f t="shared" si="46"/>
        <v>0</v>
      </c>
      <c r="AY36">
        <f t="shared" si="47"/>
        <v>0</v>
      </c>
    </row>
    <row r="37" spans="1:51" x14ac:dyDescent="0.35">
      <c r="A37">
        <v>31</v>
      </c>
      <c r="C37">
        <f>MAX(0,Calc!$C$7-SUM(D37:R37))</f>
        <v>750</v>
      </c>
      <c r="D37">
        <f t="shared" si="1"/>
        <v>0</v>
      </c>
      <c r="E37">
        <f t="shared" si="2"/>
        <v>0</v>
      </c>
      <c r="F37">
        <f t="shared" si="3"/>
        <v>0</v>
      </c>
      <c r="G37">
        <f t="shared" si="4"/>
        <v>0</v>
      </c>
      <c r="H37">
        <f t="shared" si="5"/>
        <v>0</v>
      </c>
      <c r="I37">
        <f t="shared" si="6"/>
        <v>0</v>
      </c>
      <c r="J37">
        <f t="shared" si="7"/>
        <v>0</v>
      </c>
      <c r="K37">
        <f t="shared" si="8"/>
        <v>0</v>
      </c>
      <c r="L37">
        <f t="shared" si="9"/>
        <v>0</v>
      </c>
      <c r="M37">
        <f t="shared" si="10"/>
        <v>0</v>
      </c>
      <c r="N37">
        <f t="shared" si="11"/>
        <v>0</v>
      </c>
      <c r="O37">
        <f t="shared" si="12"/>
        <v>0</v>
      </c>
      <c r="P37">
        <f t="shared" si="13"/>
        <v>0</v>
      </c>
      <c r="Q37">
        <f t="shared" si="14"/>
        <v>0</v>
      </c>
      <c r="R37">
        <f t="shared" si="15"/>
        <v>0</v>
      </c>
      <c r="S37">
        <f t="shared" si="16"/>
        <v>0</v>
      </c>
      <c r="T37">
        <f t="shared" si="17"/>
        <v>0</v>
      </c>
      <c r="U37">
        <f t="shared" si="18"/>
        <v>0</v>
      </c>
      <c r="V37">
        <f t="shared" si="19"/>
        <v>0</v>
      </c>
      <c r="W37">
        <f t="shared" si="20"/>
        <v>0</v>
      </c>
      <c r="X37">
        <f t="shared" si="21"/>
        <v>0</v>
      </c>
      <c r="Y37">
        <f t="shared" si="22"/>
        <v>0</v>
      </c>
      <c r="Z37">
        <f t="shared" si="23"/>
        <v>0</v>
      </c>
      <c r="AA37">
        <f t="shared" si="24"/>
        <v>0</v>
      </c>
      <c r="AB37">
        <f t="shared" si="25"/>
        <v>0</v>
      </c>
      <c r="AC37">
        <f t="shared" si="26"/>
        <v>0</v>
      </c>
      <c r="AD37">
        <f t="shared" si="27"/>
        <v>0</v>
      </c>
      <c r="AE37">
        <f t="shared" si="28"/>
        <v>0</v>
      </c>
      <c r="AF37">
        <f t="shared" si="29"/>
        <v>0</v>
      </c>
      <c r="AG37">
        <f t="shared" si="30"/>
        <v>0</v>
      </c>
      <c r="AH37">
        <f t="shared" si="31"/>
        <v>0</v>
      </c>
      <c r="AI37">
        <f t="shared" si="32"/>
        <v>0</v>
      </c>
      <c r="AJ37">
        <f t="shared" si="33"/>
        <v>0</v>
      </c>
      <c r="AK37">
        <f t="shared" si="34"/>
        <v>0</v>
      </c>
      <c r="AL37">
        <f t="shared" si="35"/>
        <v>0</v>
      </c>
      <c r="AM37">
        <f t="shared" si="36"/>
        <v>0</v>
      </c>
      <c r="AN37">
        <f t="shared" si="37"/>
        <v>0</v>
      </c>
      <c r="AO37">
        <f t="shared" si="38"/>
        <v>0</v>
      </c>
      <c r="AP37">
        <f t="shared" si="39"/>
        <v>0</v>
      </c>
      <c r="AQ37">
        <f t="shared" si="40"/>
        <v>0</v>
      </c>
      <c r="AR37">
        <f t="shared" si="41"/>
        <v>0</v>
      </c>
      <c r="AS37">
        <f t="shared" si="42"/>
        <v>0</v>
      </c>
      <c r="AT37">
        <f t="shared" si="43"/>
        <v>0</v>
      </c>
      <c r="AU37">
        <f t="shared" si="44"/>
        <v>0</v>
      </c>
      <c r="AV37">
        <f t="shared" si="45"/>
        <v>0</v>
      </c>
      <c r="AW37">
        <f t="shared" si="0"/>
        <v>0</v>
      </c>
      <c r="AX37">
        <f t="shared" si="46"/>
        <v>0</v>
      </c>
      <c r="AY37">
        <f t="shared" si="47"/>
        <v>0</v>
      </c>
    </row>
    <row r="38" spans="1:51" x14ac:dyDescent="0.35">
      <c r="A38">
        <v>32</v>
      </c>
      <c r="C38">
        <f>MAX(0,Calc!$C$7-SUM(D38:R38))</f>
        <v>750</v>
      </c>
      <c r="D38">
        <f t="shared" si="1"/>
        <v>0</v>
      </c>
      <c r="E38">
        <f t="shared" si="2"/>
        <v>0</v>
      </c>
      <c r="F38">
        <f t="shared" si="3"/>
        <v>0</v>
      </c>
      <c r="G38">
        <f t="shared" si="4"/>
        <v>0</v>
      </c>
      <c r="H38">
        <f t="shared" si="5"/>
        <v>0</v>
      </c>
      <c r="I38">
        <f t="shared" si="6"/>
        <v>0</v>
      </c>
      <c r="J38">
        <f t="shared" si="7"/>
        <v>0</v>
      </c>
      <c r="K38">
        <f t="shared" si="8"/>
        <v>0</v>
      </c>
      <c r="L38">
        <f t="shared" si="9"/>
        <v>0</v>
      </c>
      <c r="M38">
        <f t="shared" si="10"/>
        <v>0</v>
      </c>
      <c r="N38">
        <f t="shared" si="11"/>
        <v>0</v>
      </c>
      <c r="O38">
        <f t="shared" si="12"/>
        <v>0</v>
      </c>
      <c r="P38">
        <f t="shared" si="13"/>
        <v>0</v>
      </c>
      <c r="Q38">
        <f t="shared" si="14"/>
        <v>0</v>
      </c>
      <c r="R38">
        <f t="shared" si="15"/>
        <v>0</v>
      </c>
      <c r="S38">
        <f t="shared" si="16"/>
        <v>0</v>
      </c>
      <c r="T38">
        <f t="shared" si="17"/>
        <v>0</v>
      </c>
      <c r="U38">
        <f t="shared" si="18"/>
        <v>0</v>
      </c>
      <c r="V38">
        <f t="shared" si="19"/>
        <v>0</v>
      </c>
      <c r="W38">
        <f t="shared" si="20"/>
        <v>0</v>
      </c>
      <c r="X38">
        <f t="shared" si="21"/>
        <v>0</v>
      </c>
      <c r="Y38">
        <f t="shared" si="22"/>
        <v>0</v>
      </c>
      <c r="Z38">
        <f t="shared" si="23"/>
        <v>0</v>
      </c>
      <c r="AA38">
        <f t="shared" si="24"/>
        <v>0</v>
      </c>
      <c r="AB38">
        <f t="shared" si="25"/>
        <v>0</v>
      </c>
      <c r="AC38">
        <f t="shared" si="26"/>
        <v>0</v>
      </c>
      <c r="AD38">
        <f t="shared" si="27"/>
        <v>0</v>
      </c>
      <c r="AE38">
        <f t="shared" si="28"/>
        <v>0</v>
      </c>
      <c r="AF38">
        <f t="shared" si="29"/>
        <v>0</v>
      </c>
      <c r="AG38">
        <f t="shared" si="30"/>
        <v>0</v>
      </c>
      <c r="AH38">
        <f t="shared" si="31"/>
        <v>0</v>
      </c>
      <c r="AI38">
        <f t="shared" si="32"/>
        <v>0</v>
      </c>
      <c r="AJ38">
        <f t="shared" si="33"/>
        <v>0</v>
      </c>
      <c r="AK38">
        <f t="shared" si="34"/>
        <v>0</v>
      </c>
      <c r="AL38">
        <f t="shared" si="35"/>
        <v>0</v>
      </c>
      <c r="AM38">
        <f t="shared" si="36"/>
        <v>0</v>
      </c>
      <c r="AN38">
        <f t="shared" si="37"/>
        <v>0</v>
      </c>
      <c r="AO38">
        <f t="shared" si="38"/>
        <v>0</v>
      </c>
      <c r="AP38">
        <f t="shared" si="39"/>
        <v>0</v>
      </c>
      <c r="AQ38">
        <f t="shared" si="40"/>
        <v>0</v>
      </c>
      <c r="AR38">
        <f t="shared" si="41"/>
        <v>0</v>
      </c>
      <c r="AS38">
        <f t="shared" si="42"/>
        <v>0</v>
      </c>
      <c r="AT38">
        <f t="shared" si="43"/>
        <v>0</v>
      </c>
      <c r="AU38">
        <f t="shared" si="44"/>
        <v>0</v>
      </c>
      <c r="AV38">
        <f t="shared" si="45"/>
        <v>0</v>
      </c>
      <c r="AW38">
        <f t="shared" si="0"/>
        <v>0</v>
      </c>
      <c r="AX38">
        <f t="shared" si="46"/>
        <v>0</v>
      </c>
      <c r="AY38">
        <f t="shared" si="47"/>
        <v>0</v>
      </c>
    </row>
    <row r="39" spans="1:51" x14ac:dyDescent="0.35">
      <c r="A39">
        <v>33</v>
      </c>
      <c r="C39">
        <f>MAX(0,Calc!$C$7-SUM(D39:R39))</f>
        <v>750</v>
      </c>
      <c r="D39">
        <f t="shared" si="1"/>
        <v>0</v>
      </c>
      <c r="E39">
        <f t="shared" si="2"/>
        <v>0</v>
      </c>
      <c r="F39">
        <f t="shared" si="3"/>
        <v>0</v>
      </c>
      <c r="G39">
        <f t="shared" si="4"/>
        <v>0</v>
      </c>
      <c r="H39">
        <f t="shared" si="5"/>
        <v>0</v>
      </c>
      <c r="I39">
        <f t="shared" si="6"/>
        <v>0</v>
      </c>
      <c r="J39">
        <f t="shared" si="7"/>
        <v>0</v>
      </c>
      <c r="K39">
        <f t="shared" si="8"/>
        <v>0</v>
      </c>
      <c r="L39">
        <f t="shared" si="9"/>
        <v>0</v>
      </c>
      <c r="M39">
        <f t="shared" si="10"/>
        <v>0</v>
      </c>
      <c r="N39">
        <f t="shared" si="11"/>
        <v>0</v>
      </c>
      <c r="O39">
        <f t="shared" si="12"/>
        <v>0</v>
      </c>
      <c r="P39">
        <f t="shared" si="13"/>
        <v>0</v>
      </c>
      <c r="Q39">
        <f t="shared" si="14"/>
        <v>0</v>
      </c>
      <c r="R39">
        <f t="shared" si="15"/>
        <v>0</v>
      </c>
      <c r="S39">
        <f t="shared" si="16"/>
        <v>0</v>
      </c>
      <c r="T39">
        <f t="shared" si="17"/>
        <v>0</v>
      </c>
      <c r="U39">
        <f t="shared" si="18"/>
        <v>0</v>
      </c>
      <c r="V39">
        <f t="shared" si="19"/>
        <v>0</v>
      </c>
      <c r="W39">
        <f t="shared" si="20"/>
        <v>0</v>
      </c>
      <c r="X39">
        <f t="shared" si="21"/>
        <v>0</v>
      </c>
      <c r="Y39">
        <f t="shared" si="22"/>
        <v>0</v>
      </c>
      <c r="Z39">
        <f t="shared" si="23"/>
        <v>0</v>
      </c>
      <c r="AA39">
        <f t="shared" si="24"/>
        <v>0</v>
      </c>
      <c r="AB39">
        <f t="shared" si="25"/>
        <v>0</v>
      </c>
      <c r="AC39">
        <f t="shared" si="26"/>
        <v>0</v>
      </c>
      <c r="AD39">
        <f t="shared" si="27"/>
        <v>0</v>
      </c>
      <c r="AE39">
        <f t="shared" si="28"/>
        <v>0</v>
      </c>
      <c r="AF39">
        <f t="shared" si="29"/>
        <v>0</v>
      </c>
      <c r="AG39">
        <f t="shared" si="30"/>
        <v>0</v>
      </c>
      <c r="AH39">
        <f t="shared" si="31"/>
        <v>0</v>
      </c>
      <c r="AI39">
        <f t="shared" si="32"/>
        <v>0</v>
      </c>
      <c r="AJ39">
        <f t="shared" si="33"/>
        <v>0</v>
      </c>
      <c r="AK39">
        <f t="shared" si="34"/>
        <v>0</v>
      </c>
      <c r="AL39">
        <f t="shared" si="35"/>
        <v>0</v>
      </c>
      <c r="AM39">
        <f t="shared" si="36"/>
        <v>0</v>
      </c>
      <c r="AN39">
        <f t="shared" si="37"/>
        <v>0</v>
      </c>
      <c r="AO39">
        <f t="shared" si="38"/>
        <v>0</v>
      </c>
      <c r="AP39">
        <f t="shared" si="39"/>
        <v>0</v>
      </c>
      <c r="AQ39">
        <f t="shared" si="40"/>
        <v>0</v>
      </c>
      <c r="AR39">
        <f t="shared" si="41"/>
        <v>0</v>
      </c>
      <c r="AS39">
        <f t="shared" si="42"/>
        <v>0</v>
      </c>
      <c r="AT39">
        <f t="shared" si="43"/>
        <v>0</v>
      </c>
      <c r="AU39">
        <f t="shared" si="44"/>
        <v>0</v>
      </c>
      <c r="AV39">
        <f t="shared" si="45"/>
        <v>0</v>
      </c>
      <c r="AW39">
        <f t="shared" si="0"/>
        <v>0</v>
      </c>
      <c r="AX39">
        <f t="shared" si="46"/>
        <v>0</v>
      </c>
      <c r="AY39">
        <f t="shared" si="47"/>
        <v>0</v>
      </c>
    </row>
    <row r="40" spans="1:51" x14ac:dyDescent="0.35">
      <c r="A40">
        <v>34</v>
      </c>
      <c r="C40">
        <f>MAX(0,Calc!$C$7-SUM(D40:R40))</f>
        <v>750</v>
      </c>
      <c r="D40">
        <f t="shared" si="1"/>
        <v>0</v>
      </c>
      <c r="E40">
        <f t="shared" si="2"/>
        <v>0</v>
      </c>
      <c r="F40">
        <f t="shared" si="3"/>
        <v>0</v>
      </c>
      <c r="G40">
        <f t="shared" si="4"/>
        <v>0</v>
      </c>
      <c r="H40">
        <f t="shared" si="5"/>
        <v>0</v>
      </c>
      <c r="I40">
        <f t="shared" si="6"/>
        <v>0</v>
      </c>
      <c r="J40">
        <f t="shared" si="7"/>
        <v>0</v>
      </c>
      <c r="K40">
        <f t="shared" si="8"/>
        <v>0</v>
      </c>
      <c r="L40">
        <f t="shared" si="9"/>
        <v>0</v>
      </c>
      <c r="M40">
        <f t="shared" si="10"/>
        <v>0</v>
      </c>
      <c r="N40">
        <f t="shared" si="11"/>
        <v>0</v>
      </c>
      <c r="O40">
        <f t="shared" si="12"/>
        <v>0</v>
      </c>
      <c r="P40">
        <f t="shared" si="13"/>
        <v>0</v>
      </c>
      <c r="Q40">
        <f t="shared" si="14"/>
        <v>0</v>
      </c>
      <c r="R40">
        <f t="shared" si="15"/>
        <v>0</v>
      </c>
      <c r="S40">
        <f t="shared" si="16"/>
        <v>0</v>
      </c>
      <c r="T40">
        <f t="shared" si="17"/>
        <v>0</v>
      </c>
      <c r="U40">
        <f t="shared" si="18"/>
        <v>0</v>
      </c>
      <c r="V40">
        <f t="shared" si="19"/>
        <v>0</v>
      </c>
      <c r="W40">
        <f t="shared" si="20"/>
        <v>0</v>
      </c>
      <c r="X40">
        <f t="shared" si="21"/>
        <v>0</v>
      </c>
      <c r="Y40">
        <f t="shared" si="22"/>
        <v>0</v>
      </c>
      <c r="Z40">
        <f t="shared" si="23"/>
        <v>0</v>
      </c>
      <c r="AA40">
        <f t="shared" si="24"/>
        <v>0</v>
      </c>
      <c r="AB40">
        <f t="shared" si="25"/>
        <v>0</v>
      </c>
      <c r="AC40">
        <f t="shared" si="26"/>
        <v>0</v>
      </c>
      <c r="AD40">
        <f t="shared" si="27"/>
        <v>0</v>
      </c>
      <c r="AE40">
        <f t="shared" si="28"/>
        <v>0</v>
      </c>
      <c r="AF40">
        <f t="shared" si="29"/>
        <v>0</v>
      </c>
      <c r="AG40">
        <f t="shared" si="30"/>
        <v>0</v>
      </c>
      <c r="AH40">
        <f t="shared" si="31"/>
        <v>0</v>
      </c>
      <c r="AI40">
        <f t="shared" si="32"/>
        <v>0</v>
      </c>
      <c r="AJ40">
        <f t="shared" si="33"/>
        <v>0</v>
      </c>
      <c r="AK40">
        <f t="shared" si="34"/>
        <v>0</v>
      </c>
      <c r="AL40">
        <f t="shared" si="35"/>
        <v>0</v>
      </c>
      <c r="AM40">
        <f t="shared" si="36"/>
        <v>0</v>
      </c>
      <c r="AN40">
        <f t="shared" si="37"/>
        <v>0</v>
      </c>
      <c r="AO40">
        <f t="shared" si="38"/>
        <v>0</v>
      </c>
      <c r="AP40">
        <f t="shared" si="39"/>
        <v>0</v>
      </c>
      <c r="AQ40">
        <f t="shared" si="40"/>
        <v>0</v>
      </c>
      <c r="AR40">
        <f t="shared" si="41"/>
        <v>0</v>
      </c>
      <c r="AS40">
        <f t="shared" si="42"/>
        <v>0</v>
      </c>
      <c r="AT40">
        <f t="shared" si="43"/>
        <v>0</v>
      </c>
      <c r="AU40">
        <f t="shared" si="44"/>
        <v>0</v>
      </c>
      <c r="AV40">
        <f t="shared" si="45"/>
        <v>0</v>
      </c>
      <c r="AW40">
        <f t="shared" si="0"/>
        <v>0</v>
      </c>
      <c r="AX40">
        <f t="shared" si="46"/>
        <v>0</v>
      </c>
      <c r="AY40">
        <f t="shared" si="47"/>
        <v>0</v>
      </c>
    </row>
    <row r="41" spans="1:51" x14ac:dyDescent="0.35">
      <c r="A41">
        <v>35</v>
      </c>
      <c r="C41">
        <f>MAX(0,Calc!$C$7-SUM(D41:R41))</f>
        <v>750</v>
      </c>
      <c r="D41">
        <f t="shared" si="1"/>
        <v>0</v>
      </c>
      <c r="E41">
        <f t="shared" si="2"/>
        <v>0</v>
      </c>
      <c r="F41">
        <f t="shared" si="3"/>
        <v>0</v>
      </c>
      <c r="G41">
        <f t="shared" si="4"/>
        <v>0</v>
      </c>
      <c r="H41">
        <f t="shared" si="5"/>
        <v>0</v>
      </c>
      <c r="I41">
        <f t="shared" si="6"/>
        <v>0</v>
      </c>
      <c r="J41">
        <f t="shared" si="7"/>
        <v>0</v>
      </c>
      <c r="K41">
        <f t="shared" si="8"/>
        <v>0</v>
      </c>
      <c r="L41">
        <f t="shared" si="9"/>
        <v>0</v>
      </c>
      <c r="M41">
        <f t="shared" si="10"/>
        <v>0</v>
      </c>
      <c r="N41">
        <f t="shared" si="11"/>
        <v>0</v>
      </c>
      <c r="O41">
        <f t="shared" si="12"/>
        <v>0</v>
      </c>
      <c r="P41">
        <f t="shared" si="13"/>
        <v>0</v>
      </c>
      <c r="Q41">
        <f t="shared" si="14"/>
        <v>0</v>
      </c>
      <c r="R41">
        <f t="shared" si="15"/>
        <v>0</v>
      </c>
      <c r="S41">
        <f t="shared" si="16"/>
        <v>0</v>
      </c>
      <c r="T41">
        <f t="shared" si="17"/>
        <v>0</v>
      </c>
      <c r="U41">
        <f t="shared" si="18"/>
        <v>0</v>
      </c>
      <c r="V41">
        <f t="shared" si="19"/>
        <v>0</v>
      </c>
      <c r="W41">
        <f t="shared" si="20"/>
        <v>0</v>
      </c>
      <c r="X41">
        <f t="shared" si="21"/>
        <v>0</v>
      </c>
      <c r="Y41">
        <f t="shared" si="22"/>
        <v>0</v>
      </c>
      <c r="Z41">
        <f t="shared" si="23"/>
        <v>0</v>
      </c>
      <c r="AA41">
        <f t="shared" si="24"/>
        <v>0</v>
      </c>
      <c r="AB41">
        <f t="shared" si="25"/>
        <v>0</v>
      </c>
      <c r="AC41">
        <f t="shared" si="26"/>
        <v>0</v>
      </c>
      <c r="AD41">
        <f t="shared" si="27"/>
        <v>0</v>
      </c>
      <c r="AE41">
        <f t="shared" si="28"/>
        <v>0</v>
      </c>
      <c r="AF41">
        <f t="shared" si="29"/>
        <v>0</v>
      </c>
      <c r="AG41">
        <f t="shared" si="30"/>
        <v>0</v>
      </c>
      <c r="AH41">
        <f t="shared" si="31"/>
        <v>0</v>
      </c>
      <c r="AI41">
        <f t="shared" si="32"/>
        <v>0</v>
      </c>
      <c r="AJ41">
        <f t="shared" si="33"/>
        <v>0</v>
      </c>
      <c r="AK41">
        <f t="shared" si="34"/>
        <v>0</v>
      </c>
      <c r="AL41">
        <f t="shared" si="35"/>
        <v>0</v>
      </c>
      <c r="AM41">
        <f t="shared" si="36"/>
        <v>0</v>
      </c>
      <c r="AN41">
        <f t="shared" si="37"/>
        <v>0</v>
      </c>
      <c r="AO41">
        <f t="shared" si="38"/>
        <v>0</v>
      </c>
      <c r="AP41">
        <f t="shared" si="39"/>
        <v>0</v>
      </c>
      <c r="AQ41">
        <f t="shared" si="40"/>
        <v>0</v>
      </c>
      <c r="AR41">
        <f t="shared" si="41"/>
        <v>0</v>
      </c>
      <c r="AS41">
        <f t="shared" si="42"/>
        <v>0</v>
      </c>
      <c r="AT41">
        <f t="shared" si="43"/>
        <v>0</v>
      </c>
      <c r="AU41">
        <f t="shared" si="44"/>
        <v>0</v>
      </c>
      <c r="AV41">
        <f t="shared" si="45"/>
        <v>0</v>
      </c>
      <c r="AW41">
        <f t="shared" si="0"/>
        <v>0</v>
      </c>
      <c r="AX41">
        <f t="shared" si="46"/>
        <v>0</v>
      </c>
      <c r="AY41">
        <f t="shared" si="47"/>
        <v>0</v>
      </c>
    </row>
    <row r="42" spans="1:51" x14ac:dyDescent="0.35">
      <c r="A42">
        <v>36</v>
      </c>
      <c r="C42">
        <f>MAX(0,Calc!$C$7-SUM(D42:R42))</f>
        <v>750</v>
      </c>
      <c r="D42">
        <f t="shared" si="1"/>
        <v>0</v>
      </c>
      <c r="E42">
        <f t="shared" si="2"/>
        <v>0</v>
      </c>
      <c r="F42">
        <f t="shared" si="3"/>
        <v>0</v>
      </c>
      <c r="G42">
        <f t="shared" si="4"/>
        <v>0</v>
      </c>
      <c r="H42">
        <f t="shared" si="5"/>
        <v>0</v>
      </c>
      <c r="I42">
        <f t="shared" si="6"/>
        <v>0</v>
      </c>
      <c r="J42">
        <f t="shared" si="7"/>
        <v>0</v>
      </c>
      <c r="K42">
        <f t="shared" si="8"/>
        <v>0</v>
      </c>
      <c r="L42">
        <f t="shared" si="9"/>
        <v>0</v>
      </c>
      <c r="M42">
        <f t="shared" si="10"/>
        <v>0</v>
      </c>
      <c r="N42">
        <f t="shared" si="11"/>
        <v>0</v>
      </c>
      <c r="O42">
        <f t="shared" si="12"/>
        <v>0</v>
      </c>
      <c r="P42">
        <f t="shared" si="13"/>
        <v>0</v>
      </c>
      <c r="Q42">
        <f t="shared" si="14"/>
        <v>0</v>
      </c>
      <c r="R42">
        <f t="shared" si="15"/>
        <v>0</v>
      </c>
      <c r="S42">
        <f t="shared" si="16"/>
        <v>0</v>
      </c>
      <c r="T42">
        <f t="shared" si="17"/>
        <v>0</v>
      </c>
      <c r="U42">
        <f t="shared" si="18"/>
        <v>0</v>
      </c>
      <c r="V42">
        <f t="shared" si="19"/>
        <v>0</v>
      </c>
      <c r="W42">
        <f t="shared" si="20"/>
        <v>0</v>
      </c>
      <c r="X42">
        <f t="shared" si="21"/>
        <v>0</v>
      </c>
      <c r="Y42">
        <f t="shared" si="22"/>
        <v>0</v>
      </c>
      <c r="Z42">
        <f t="shared" si="23"/>
        <v>0</v>
      </c>
      <c r="AA42">
        <f t="shared" si="24"/>
        <v>0</v>
      </c>
      <c r="AB42">
        <f t="shared" si="25"/>
        <v>0</v>
      </c>
      <c r="AC42">
        <f t="shared" si="26"/>
        <v>0</v>
      </c>
      <c r="AD42">
        <f t="shared" si="27"/>
        <v>0</v>
      </c>
      <c r="AE42">
        <f t="shared" si="28"/>
        <v>0</v>
      </c>
      <c r="AF42">
        <f t="shared" si="29"/>
        <v>0</v>
      </c>
      <c r="AG42">
        <f t="shared" si="30"/>
        <v>0</v>
      </c>
      <c r="AH42">
        <f t="shared" si="31"/>
        <v>0</v>
      </c>
      <c r="AI42">
        <f t="shared" si="32"/>
        <v>0</v>
      </c>
      <c r="AJ42">
        <f t="shared" si="33"/>
        <v>0</v>
      </c>
      <c r="AK42">
        <f t="shared" si="34"/>
        <v>0</v>
      </c>
      <c r="AL42">
        <f t="shared" si="35"/>
        <v>0</v>
      </c>
      <c r="AM42">
        <f t="shared" si="36"/>
        <v>0</v>
      </c>
      <c r="AN42">
        <f t="shared" si="37"/>
        <v>0</v>
      </c>
      <c r="AO42">
        <f t="shared" si="38"/>
        <v>0</v>
      </c>
      <c r="AP42">
        <f t="shared" si="39"/>
        <v>0</v>
      </c>
      <c r="AQ42">
        <f t="shared" si="40"/>
        <v>0</v>
      </c>
      <c r="AR42">
        <f t="shared" si="41"/>
        <v>0</v>
      </c>
      <c r="AS42">
        <f t="shared" si="42"/>
        <v>0</v>
      </c>
      <c r="AT42">
        <f t="shared" si="43"/>
        <v>0</v>
      </c>
      <c r="AU42">
        <f t="shared" si="44"/>
        <v>0</v>
      </c>
      <c r="AV42">
        <f t="shared" si="45"/>
        <v>0</v>
      </c>
      <c r="AW42">
        <f t="shared" si="0"/>
        <v>0</v>
      </c>
      <c r="AX42">
        <f t="shared" si="46"/>
        <v>0</v>
      </c>
      <c r="AY42">
        <f t="shared" si="47"/>
        <v>0</v>
      </c>
    </row>
    <row r="43" spans="1:51" x14ac:dyDescent="0.35">
      <c r="A43">
        <v>37</v>
      </c>
      <c r="C43">
        <f>MAX(0,Calc!$C$7-SUM(D43:R43))</f>
        <v>750</v>
      </c>
      <c r="D43">
        <f t="shared" si="1"/>
        <v>0</v>
      </c>
      <c r="E43">
        <f t="shared" si="2"/>
        <v>0</v>
      </c>
      <c r="F43">
        <f t="shared" si="3"/>
        <v>0</v>
      </c>
      <c r="G43">
        <f t="shared" si="4"/>
        <v>0</v>
      </c>
      <c r="H43">
        <f t="shared" si="5"/>
        <v>0</v>
      </c>
      <c r="I43">
        <f t="shared" si="6"/>
        <v>0</v>
      </c>
      <c r="J43">
        <f t="shared" si="7"/>
        <v>0</v>
      </c>
      <c r="K43">
        <f t="shared" si="8"/>
        <v>0</v>
      </c>
      <c r="L43">
        <f t="shared" si="9"/>
        <v>0</v>
      </c>
      <c r="M43">
        <f t="shared" si="10"/>
        <v>0</v>
      </c>
      <c r="N43">
        <f t="shared" si="11"/>
        <v>0</v>
      </c>
      <c r="O43">
        <f t="shared" si="12"/>
        <v>0</v>
      </c>
      <c r="P43">
        <f t="shared" si="13"/>
        <v>0</v>
      </c>
      <c r="Q43">
        <f t="shared" si="14"/>
        <v>0</v>
      </c>
      <c r="R43">
        <f t="shared" si="15"/>
        <v>0</v>
      </c>
      <c r="S43">
        <f t="shared" si="16"/>
        <v>0</v>
      </c>
      <c r="T43">
        <f t="shared" si="17"/>
        <v>0</v>
      </c>
      <c r="U43">
        <f t="shared" si="18"/>
        <v>0</v>
      </c>
      <c r="V43">
        <f t="shared" si="19"/>
        <v>0</v>
      </c>
      <c r="W43">
        <f t="shared" si="20"/>
        <v>0</v>
      </c>
      <c r="X43">
        <f t="shared" si="21"/>
        <v>0</v>
      </c>
      <c r="Y43">
        <f t="shared" si="22"/>
        <v>0</v>
      </c>
      <c r="Z43">
        <f t="shared" si="23"/>
        <v>0</v>
      </c>
      <c r="AA43">
        <f t="shared" si="24"/>
        <v>0</v>
      </c>
      <c r="AB43">
        <f t="shared" si="25"/>
        <v>0</v>
      </c>
      <c r="AC43">
        <f t="shared" si="26"/>
        <v>0</v>
      </c>
      <c r="AD43">
        <f t="shared" si="27"/>
        <v>0</v>
      </c>
      <c r="AE43">
        <f t="shared" si="28"/>
        <v>0</v>
      </c>
      <c r="AF43">
        <f t="shared" si="29"/>
        <v>0</v>
      </c>
      <c r="AG43">
        <f t="shared" si="30"/>
        <v>0</v>
      </c>
      <c r="AH43">
        <f t="shared" si="31"/>
        <v>0</v>
      </c>
      <c r="AI43">
        <f t="shared" si="32"/>
        <v>0</v>
      </c>
      <c r="AJ43">
        <f t="shared" si="33"/>
        <v>0</v>
      </c>
      <c r="AK43">
        <f t="shared" si="34"/>
        <v>0</v>
      </c>
      <c r="AL43">
        <f t="shared" si="35"/>
        <v>0</v>
      </c>
      <c r="AM43">
        <f t="shared" si="36"/>
        <v>0</v>
      </c>
      <c r="AN43">
        <f t="shared" si="37"/>
        <v>0</v>
      </c>
      <c r="AO43">
        <f t="shared" si="38"/>
        <v>0</v>
      </c>
      <c r="AP43">
        <f t="shared" si="39"/>
        <v>0</v>
      </c>
      <c r="AQ43">
        <f t="shared" si="40"/>
        <v>0</v>
      </c>
      <c r="AR43">
        <f t="shared" si="41"/>
        <v>0</v>
      </c>
      <c r="AS43">
        <f t="shared" si="42"/>
        <v>0</v>
      </c>
      <c r="AT43">
        <f t="shared" si="43"/>
        <v>0</v>
      </c>
      <c r="AU43">
        <f t="shared" si="44"/>
        <v>0</v>
      </c>
      <c r="AV43">
        <f t="shared" si="45"/>
        <v>0</v>
      </c>
      <c r="AW43">
        <f t="shared" si="0"/>
        <v>0</v>
      </c>
      <c r="AX43">
        <f t="shared" si="46"/>
        <v>0</v>
      </c>
      <c r="AY43">
        <f t="shared" si="47"/>
        <v>0</v>
      </c>
    </row>
    <row r="44" spans="1:51" x14ac:dyDescent="0.35">
      <c r="A44">
        <v>38</v>
      </c>
      <c r="C44">
        <f>MAX(0,Calc!$C$7-SUM(D44:R44))</f>
        <v>750</v>
      </c>
      <c r="D44">
        <f t="shared" si="1"/>
        <v>0</v>
      </c>
      <c r="E44">
        <f t="shared" si="2"/>
        <v>0</v>
      </c>
      <c r="F44">
        <f t="shared" si="3"/>
        <v>0</v>
      </c>
      <c r="G44">
        <f t="shared" si="4"/>
        <v>0</v>
      </c>
      <c r="H44">
        <f t="shared" si="5"/>
        <v>0</v>
      </c>
      <c r="I44">
        <f t="shared" si="6"/>
        <v>0</v>
      </c>
      <c r="J44">
        <f t="shared" si="7"/>
        <v>0</v>
      </c>
      <c r="K44">
        <f t="shared" si="8"/>
        <v>0</v>
      </c>
      <c r="L44">
        <f t="shared" si="9"/>
        <v>0</v>
      </c>
      <c r="M44">
        <f t="shared" si="10"/>
        <v>0</v>
      </c>
      <c r="N44">
        <f t="shared" si="11"/>
        <v>0</v>
      </c>
      <c r="O44">
        <f t="shared" si="12"/>
        <v>0</v>
      </c>
      <c r="P44">
        <f t="shared" si="13"/>
        <v>0</v>
      </c>
      <c r="Q44">
        <f t="shared" si="14"/>
        <v>0</v>
      </c>
      <c r="R44">
        <f t="shared" si="15"/>
        <v>0</v>
      </c>
      <c r="S44">
        <f t="shared" si="16"/>
        <v>0</v>
      </c>
      <c r="T44">
        <f t="shared" si="17"/>
        <v>0</v>
      </c>
      <c r="U44">
        <f t="shared" si="18"/>
        <v>0</v>
      </c>
      <c r="V44">
        <f t="shared" si="19"/>
        <v>0</v>
      </c>
      <c r="W44">
        <f t="shared" si="20"/>
        <v>0</v>
      </c>
      <c r="X44">
        <f t="shared" si="21"/>
        <v>0</v>
      </c>
      <c r="Y44">
        <f t="shared" si="22"/>
        <v>0</v>
      </c>
      <c r="Z44">
        <f t="shared" si="23"/>
        <v>0</v>
      </c>
      <c r="AA44">
        <f t="shared" si="24"/>
        <v>0</v>
      </c>
      <c r="AB44">
        <f t="shared" si="25"/>
        <v>0</v>
      </c>
      <c r="AC44">
        <f t="shared" si="26"/>
        <v>0</v>
      </c>
      <c r="AD44">
        <f t="shared" si="27"/>
        <v>0</v>
      </c>
      <c r="AE44">
        <f t="shared" si="28"/>
        <v>0</v>
      </c>
      <c r="AF44">
        <f t="shared" si="29"/>
        <v>0</v>
      </c>
      <c r="AG44">
        <f t="shared" si="30"/>
        <v>0</v>
      </c>
      <c r="AH44">
        <f t="shared" si="31"/>
        <v>0</v>
      </c>
      <c r="AI44">
        <f t="shared" si="32"/>
        <v>0</v>
      </c>
      <c r="AJ44">
        <f t="shared" si="33"/>
        <v>0</v>
      </c>
      <c r="AK44">
        <f t="shared" si="34"/>
        <v>0</v>
      </c>
      <c r="AL44">
        <f t="shared" si="35"/>
        <v>0</v>
      </c>
      <c r="AM44">
        <f t="shared" si="36"/>
        <v>0</v>
      </c>
      <c r="AN44">
        <f t="shared" si="37"/>
        <v>0</v>
      </c>
      <c r="AO44">
        <f t="shared" si="38"/>
        <v>0</v>
      </c>
      <c r="AP44">
        <f t="shared" si="39"/>
        <v>0</v>
      </c>
      <c r="AQ44">
        <f t="shared" si="40"/>
        <v>0</v>
      </c>
      <c r="AR44">
        <f t="shared" si="41"/>
        <v>0</v>
      </c>
      <c r="AS44">
        <f t="shared" si="42"/>
        <v>0</v>
      </c>
      <c r="AT44">
        <f t="shared" si="43"/>
        <v>0</v>
      </c>
      <c r="AU44">
        <f t="shared" si="44"/>
        <v>0</v>
      </c>
      <c r="AV44">
        <f t="shared" si="45"/>
        <v>0</v>
      </c>
      <c r="AW44">
        <f t="shared" si="0"/>
        <v>0</v>
      </c>
      <c r="AX44">
        <f t="shared" si="46"/>
        <v>0</v>
      </c>
      <c r="AY44">
        <f t="shared" si="47"/>
        <v>0</v>
      </c>
    </row>
    <row r="45" spans="1:51" x14ac:dyDescent="0.35">
      <c r="A45">
        <v>39</v>
      </c>
      <c r="C45">
        <f>MAX(0,Calc!$C$7-SUM(D45:R45))</f>
        <v>750</v>
      </c>
      <c r="D45">
        <f t="shared" si="1"/>
        <v>0</v>
      </c>
      <c r="E45">
        <f t="shared" si="2"/>
        <v>0</v>
      </c>
      <c r="F45">
        <f t="shared" si="3"/>
        <v>0</v>
      </c>
      <c r="G45">
        <f t="shared" si="4"/>
        <v>0</v>
      </c>
      <c r="H45">
        <f t="shared" si="5"/>
        <v>0</v>
      </c>
      <c r="I45">
        <f t="shared" si="6"/>
        <v>0</v>
      </c>
      <c r="J45">
        <f t="shared" si="7"/>
        <v>0</v>
      </c>
      <c r="K45">
        <f t="shared" si="8"/>
        <v>0</v>
      </c>
      <c r="L45">
        <f t="shared" si="9"/>
        <v>0</v>
      </c>
      <c r="M45">
        <f t="shared" si="10"/>
        <v>0</v>
      </c>
      <c r="N45">
        <f t="shared" si="11"/>
        <v>0</v>
      </c>
      <c r="O45">
        <f t="shared" si="12"/>
        <v>0</v>
      </c>
      <c r="P45">
        <f t="shared" si="13"/>
        <v>0</v>
      </c>
      <c r="Q45">
        <f t="shared" si="14"/>
        <v>0</v>
      </c>
      <c r="R45">
        <f t="shared" si="15"/>
        <v>0</v>
      </c>
      <c r="S45">
        <f t="shared" si="16"/>
        <v>0</v>
      </c>
      <c r="T45">
        <f t="shared" si="17"/>
        <v>0</v>
      </c>
      <c r="U45">
        <f t="shared" si="18"/>
        <v>0</v>
      </c>
      <c r="V45">
        <f t="shared" si="19"/>
        <v>0</v>
      </c>
      <c r="W45">
        <f t="shared" si="20"/>
        <v>0</v>
      </c>
      <c r="X45">
        <f t="shared" si="21"/>
        <v>0</v>
      </c>
      <c r="Y45">
        <f t="shared" si="22"/>
        <v>0</v>
      </c>
      <c r="Z45">
        <f t="shared" si="23"/>
        <v>0</v>
      </c>
      <c r="AA45">
        <f t="shared" si="24"/>
        <v>0</v>
      </c>
      <c r="AB45">
        <f t="shared" si="25"/>
        <v>0</v>
      </c>
      <c r="AC45">
        <f t="shared" si="26"/>
        <v>0</v>
      </c>
      <c r="AD45">
        <f t="shared" si="27"/>
        <v>0</v>
      </c>
      <c r="AE45">
        <f t="shared" si="28"/>
        <v>0</v>
      </c>
      <c r="AF45">
        <f t="shared" si="29"/>
        <v>0</v>
      </c>
      <c r="AG45">
        <f t="shared" si="30"/>
        <v>0</v>
      </c>
      <c r="AH45">
        <f t="shared" si="31"/>
        <v>0</v>
      </c>
      <c r="AI45">
        <f t="shared" si="32"/>
        <v>0</v>
      </c>
      <c r="AJ45">
        <f t="shared" si="33"/>
        <v>0</v>
      </c>
      <c r="AK45">
        <f t="shared" si="34"/>
        <v>0</v>
      </c>
      <c r="AL45">
        <f t="shared" si="35"/>
        <v>0</v>
      </c>
      <c r="AM45">
        <f t="shared" si="36"/>
        <v>0</v>
      </c>
      <c r="AN45">
        <f t="shared" si="37"/>
        <v>0</v>
      </c>
      <c r="AO45">
        <f t="shared" si="38"/>
        <v>0</v>
      </c>
      <c r="AP45">
        <f t="shared" si="39"/>
        <v>0</v>
      </c>
      <c r="AQ45">
        <f t="shared" si="40"/>
        <v>0</v>
      </c>
      <c r="AR45">
        <f t="shared" si="41"/>
        <v>0</v>
      </c>
      <c r="AS45">
        <f t="shared" si="42"/>
        <v>0</v>
      </c>
      <c r="AT45">
        <f t="shared" si="43"/>
        <v>0</v>
      </c>
      <c r="AU45">
        <f t="shared" si="44"/>
        <v>0</v>
      </c>
      <c r="AV45">
        <f t="shared" si="45"/>
        <v>0</v>
      </c>
      <c r="AW45">
        <f t="shared" si="0"/>
        <v>0</v>
      </c>
      <c r="AX45">
        <f t="shared" si="46"/>
        <v>0</v>
      </c>
      <c r="AY45">
        <f t="shared" si="47"/>
        <v>0</v>
      </c>
    </row>
    <row r="46" spans="1:51" x14ac:dyDescent="0.35">
      <c r="A46">
        <v>40</v>
      </c>
      <c r="C46">
        <f>MAX(0,Calc!$C$7-SUM(D46:R46))</f>
        <v>750</v>
      </c>
      <c r="D46">
        <f t="shared" si="1"/>
        <v>0</v>
      </c>
      <c r="E46">
        <f t="shared" si="2"/>
        <v>0</v>
      </c>
      <c r="F46">
        <f t="shared" si="3"/>
        <v>0</v>
      </c>
      <c r="G46">
        <f t="shared" si="4"/>
        <v>0</v>
      </c>
      <c r="H46">
        <f t="shared" si="5"/>
        <v>0</v>
      </c>
      <c r="I46">
        <f t="shared" si="6"/>
        <v>0</v>
      </c>
      <c r="J46">
        <f t="shared" si="7"/>
        <v>0</v>
      </c>
      <c r="K46">
        <f t="shared" si="8"/>
        <v>0</v>
      </c>
      <c r="L46">
        <f t="shared" si="9"/>
        <v>0</v>
      </c>
      <c r="M46">
        <f t="shared" si="10"/>
        <v>0</v>
      </c>
      <c r="N46">
        <f t="shared" si="11"/>
        <v>0</v>
      </c>
      <c r="O46">
        <f t="shared" si="12"/>
        <v>0</v>
      </c>
      <c r="P46">
        <f t="shared" si="13"/>
        <v>0</v>
      </c>
      <c r="Q46">
        <f t="shared" si="14"/>
        <v>0</v>
      </c>
      <c r="R46">
        <f t="shared" si="15"/>
        <v>0</v>
      </c>
      <c r="S46">
        <f t="shared" si="16"/>
        <v>0</v>
      </c>
      <c r="T46">
        <f t="shared" si="17"/>
        <v>0</v>
      </c>
      <c r="U46">
        <f t="shared" si="18"/>
        <v>0</v>
      </c>
      <c r="V46">
        <f t="shared" si="19"/>
        <v>0</v>
      </c>
      <c r="W46">
        <f t="shared" si="20"/>
        <v>0</v>
      </c>
      <c r="X46">
        <f t="shared" si="21"/>
        <v>0</v>
      </c>
      <c r="Y46">
        <f t="shared" si="22"/>
        <v>0</v>
      </c>
      <c r="Z46">
        <f t="shared" si="23"/>
        <v>0</v>
      </c>
      <c r="AA46">
        <f t="shared" si="24"/>
        <v>0</v>
      </c>
      <c r="AB46">
        <f t="shared" si="25"/>
        <v>0</v>
      </c>
      <c r="AC46">
        <f t="shared" si="26"/>
        <v>0</v>
      </c>
      <c r="AD46">
        <f t="shared" si="27"/>
        <v>0</v>
      </c>
      <c r="AE46">
        <f t="shared" si="28"/>
        <v>0</v>
      </c>
      <c r="AF46">
        <f t="shared" si="29"/>
        <v>0</v>
      </c>
      <c r="AG46">
        <f t="shared" si="30"/>
        <v>0</v>
      </c>
      <c r="AH46">
        <f t="shared" si="31"/>
        <v>0</v>
      </c>
      <c r="AI46">
        <f t="shared" si="32"/>
        <v>0</v>
      </c>
      <c r="AJ46">
        <f t="shared" si="33"/>
        <v>0</v>
      </c>
      <c r="AK46">
        <f t="shared" si="34"/>
        <v>0</v>
      </c>
      <c r="AL46">
        <f t="shared" si="35"/>
        <v>0</v>
      </c>
      <c r="AM46">
        <f t="shared" si="36"/>
        <v>0</v>
      </c>
      <c r="AN46">
        <f t="shared" si="37"/>
        <v>0</v>
      </c>
      <c r="AO46">
        <f t="shared" si="38"/>
        <v>0</v>
      </c>
      <c r="AP46">
        <f t="shared" si="39"/>
        <v>0</v>
      </c>
      <c r="AQ46">
        <f t="shared" si="40"/>
        <v>0</v>
      </c>
      <c r="AR46">
        <f t="shared" si="41"/>
        <v>0</v>
      </c>
      <c r="AS46">
        <f t="shared" si="42"/>
        <v>0</v>
      </c>
      <c r="AT46">
        <f t="shared" si="43"/>
        <v>0</v>
      </c>
      <c r="AU46">
        <f t="shared" si="44"/>
        <v>0</v>
      </c>
      <c r="AV46">
        <f t="shared" si="45"/>
        <v>0</v>
      </c>
      <c r="AW46">
        <f t="shared" si="0"/>
        <v>0</v>
      </c>
      <c r="AX46">
        <f t="shared" si="46"/>
        <v>0</v>
      </c>
      <c r="AY46">
        <f t="shared" si="47"/>
        <v>0</v>
      </c>
    </row>
    <row r="47" spans="1:51" x14ac:dyDescent="0.35">
      <c r="A47">
        <v>41</v>
      </c>
      <c r="C47">
        <f>MAX(0,Calc!$C$7-SUM(D47:R47))</f>
        <v>750</v>
      </c>
      <c r="D47">
        <f t="shared" si="1"/>
        <v>0</v>
      </c>
      <c r="E47">
        <f t="shared" si="2"/>
        <v>0</v>
      </c>
      <c r="F47">
        <f t="shared" si="3"/>
        <v>0</v>
      </c>
      <c r="G47">
        <f t="shared" si="4"/>
        <v>0</v>
      </c>
      <c r="H47">
        <f t="shared" si="5"/>
        <v>0</v>
      </c>
      <c r="I47">
        <f t="shared" si="6"/>
        <v>0</v>
      </c>
      <c r="J47">
        <f t="shared" si="7"/>
        <v>0</v>
      </c>
      <c r="K47">
        <f t="shared" si="8"/>
        <v>0</v>
      </c>
      <c r="L47">
        <f t="shared" si="9"/>
        <v>0</v>
      </c>
      <c r="M47">
        <f t="shared" si="10"/>
        <v>0</v>
      </c>
      <c r="N47">
        <f t="shared" si="11"/>
        <v>0</v>
      </c>
      <c r="O47">
        <f t="shared" si="12"/>
        <v>0</v>
      </c>
      <c r="P47">
        <f t="shared" si="13"/>
        <v>0</v>
      </c>
      <c r="Q47">
        <f t="shared" si="14"/>
        <v>0</v>
      </c>
      <c r="R47">
        <f t="shared" si="15"/>
        <v>0</v>
      </c>
      <c r="S47">
        <f t="shared" si="16"/>
        <v>0</v>
      </c>
      <c r="T47">
        <f t="shared" si="17"/>
        <v>0</v>
      </c>
      <c r="U47">
        <f t="shared" si="18"/>
        <v>0</v>
      </c>
      <c r="V47">
        <f t="shared" si="19"/>
        <v>0</v>
      </c>
      <c r="W47">
        <f t="shared" si="20"/>
        <v>0</v>
      </c>
      <c r="X47">
        <f t="shared" si="21"/>
        <v>0</v>
      </c>
      <c r="Y47">
        <f t="shared" si="22"/>
        <v>0</v>
      </c>
      <c r="Z47">
        <f t="shared" si="23"/>
        <v>0</v>
      </c>
      <c r="AA47">
        <f t="shared" si="24"/>
        <v>0</v>
      </c>
      <c r="AB47">
        <f t="shared" si="25"/>
        <v>0</v>
      </c>
      <c r="AC47">
        <f t="shared" si="26"/>
        <v>0</v>
      </c>
      <c r="AD47">
        <f t="shared" si="27"/>
        <v>0</v>
      </c>
      <c r="AE47">
        <f t="shared" si="28"/>
        <v>0</v>
      </c>
      <c r="AF47">
        <f t="shared" si="29"/>
        <v>0</v>
      </c>
      <c r="AG47">
        <f t="shared" si="30"/>
        <v>0</v>
      </c>
      <c r="AH47">
        <f t="shared" si="31"/>
        <v>0</v>
      </c>
      <c r="AI47">
        <f t="shared" si="32"/>
        <v>0</v>
      </c>
      <c r="AJ47">
        <f t="shared" si="33"/>
        <v>0</v>
      </c>
      <c r="AK47">
        <f t="shared" si="34"/>
        <v>0</v>
      </c>
      <c r="AL47">
        <f t="shared" si="35"/>
        <v>0</v>
      </c>
      <c r="AM47">
        <f t="shared" si="36"/>
        <v>0</v>
      </c>
      <c r="AN47">
        <f t="shared" si="37"/>
        <v>0</v>
      </c>
      <c r="AO47">
        <f t="shared" si="38"/>
        <v>0</v>
      </c>
      <c r="AP47">
        <f t="shared" si="39"/>
        <v>0</v>
      </c>
      <c r="AQ47">
        <f t="shared" si="40"/>
        <v>0</v>
      </c>
      <c r="AR47">
        <f t="shared" si="41"/>
        <v>0</v>
      </c>
      <c r="AS47">
        <f t="shared" si="42"/>
        <v>0</v>
      </c>
      <c r="AT47">
        <f t="shared" si="43"/>
        <v>0</v>
      </c>
      <c r="AU47">
        <f t="shared" si="44"/>
        <v>0</v>
      </c>
      <c r="AV47">
        <f t="shared" si="45"/>
        <v>0</v>
      </c>
      <c r="AW47">
        <f t="shared" si="0"/>
        <v>0</v>
      </c>
      <c r="AX47">
        <f t="shared" si="46"/>
        <v>0</v>
      </c>
      <c r="AY47">
        <f t="shared" si="47"/>
        <v>0</v>
      </c>
    </row>
    <row r="48" spans="1:51" x14ac:dyDescent="0.35">
      <c r="A48">
        <v>42</v>
      </c>
      <c r="C48">
        <f>MAX(0,Calc!$C$7-SUM(D48:R48))</f>
        <v>750</v>
      </c>
      <c r="D48">
        <f t="shared" si="1"/>
        <v>0</v>
      </c>
      <c r="E48">
        <f t="shared" si="2"/>
        <v>0</v>
      </c>
      <c r="F48">
        <f t="shared" si="3"/>
        <v>0</v>
      </c>
      <c r="G48">
        <f t="shared" si="4"/>
        <v>0</v>
      </c>
      <c r="H48">
        <f t="shared" si="5"/>
        <v>0</v>
      </c>
      <c r="I48">
        <f t="shared" si="6"/>
        <v>0</v>
      </c>
      <c r="J48">
        <f t="shared" si="7"/>
        <v>0</v>
      </c>
      <c r="K48">
        <f t="shared" si="8"/>
        <v>0</v>
      </c>
      <c r="L48">
        <f t="shared" si="9"/>
        <v>0</v>
      </c>
      <c r="M48">
        <f t="shared" si="10"/>
        <v>0</v>
      </c>
      <c r="N48">
        <f t="shared" si="11"/>
        <v>0</v>
      </c>
      <c r="O48">
        <f t="shared" si="12"/>
        <v>0</v>
      </c>
      <c r="P48">
        <f t="shared" si="13"/>
        <v>0</v>
      </c>
      <c r="Q48">
        <f t="shared" si="14"/>
        <v>0</v>
      </c>
      <c r="R48">
        <f t="shared" si="15"/>
        <v>0</v>
      </c>
      <c r="S48">
        <f t="shared" si="16"/>
        <v>0</v>
      </c>
      <c r="T48">
        <f t="shared" si="17"/>
        <v>0</v>
      </c>
      <c r="U48">
        <f t="shared" si="18"/>
        <v>0</v>
      </c>
      <c r="V48">
        <f t="shared" si="19"/>
        <v>0</v>
      </c>
      <c r="W48">
        <f t="shared" si="20"/>
        <v>0</v>
      </c>
      <c r="X48">
        <f t="shared" si="21"/>
        <v>0</v>
      </c>
      <c r="Y48">
        <f t="shared" si="22"/>
        <v>0</v>
      </c>
      <c r="Z48">
        <f t="shared" si="23"/>
        <v>0</v>
      </c>
      <c r="AA48">
        <f t="shared" si="24"/>
        <v>0</v>
      </c>
      <c r="AB48">
        <f t="shared" si="25"/>
        <v>0</v>
      </c>
      <c r="AC48">
        <f t="shared" si="26"/>
        <v>0</v>
      </c>
      <c r="AD48">
        <f t="shared" si="27"/>
        <v>0</v>
      </c>
      <c r="AE48">
        <f t="shared" si="28"/>
        <v>0</v>
      </c>
      <c r="AF48">
        <f t="shared" si="29"/>
        <v>0</v>
      </c>
      <c r="AG48">
        <f t="shared" si="30"/>
        <v>0</v>
      </c>
      <c r="AH48">
        <f t="shared" si="31"/>
        <v>0</v>
      </c>
      <c r="AI48">
        <f t="shared" si="32"/>
        <v>0</v>
      </c>
      <c r="AJ48">
        <f t="shared" si="33"/>
        <v>0</v>
      </c>
      <c r="AK48">
        <f t="shared" si="34"/>
        <v>0</v>
      </c>
      <c r="AL48">
        <f t="shared" si="35"/>
        <v>0</v>
      </c>
      <c r="AM48">
        <f t="shared" si="36"/>
        <v>0</v>
      </c>
      <c r="AN48">
        <f t="shared" si="37"/>
        <v>0</v>
      </c>
      <c r="AO48">
        <f t="shared" si="38"/>
        <v>0</v>
      </c>
      <c r="AP48">
        <f t="shared" si="39"/>
        <v>0</v>
      </c>
      <c r="AQ48">
        <f t="shared" si="40"/>
        <v>0</v>
      </c>
      <c r="AR48">
        <f t="shared" si="41"/>
        <v>0</v>
      </c>
      <c r="AS48">
        <f t="shared" si="42"/>
        <v>0</v>
      </c>
      <c r="AT48">
        <f t="shared" si="43"/>
        <v>0</v>
      </c>
      <c r="AU48">
        <f t="shared" si="44"/>
        <v>0</v>
      </c>
      <c r="AV48">
        <f t="shared" si="45"/>
        <v>0</v>
      </c>
      <c r="AW48">
        <f t="shared" si="0"/>
        <v>0</v>
      </c>
      <c r="AX48">
        <f t="shared" si="46"/>
        <v>0</v>
      </c>
      <c r="AY48">
        <f t="shared" si="47"/>
        <v>0</v>
      </c>
    </row>
    <row r="49" spans="1:51" x14ac:dyDescent="0.35">
      <c r="A49">
        <v>43</v>
      </c>
      <c r="C49">
        <f>MAX(0,Calc!$C$7-SUM(D49:R49))</f>
        <v>750</v>
      </c>
      <c r="D49">
        <f t="shared" si="1"/>
        <v>0</v>
      </c>
      <c r="E49">
        <f t="shared" si="2"/>
        <v>0</v>
      </c>
      <c r="F49">
        <f t="shared" si="3"/>
        <v>0</v>
      </c>
      <c r="G49">
        <f t="shared" si="4"/>
        <v>0</v>
      </c>
      <c r="H49">
        <f t="shared" si="5"/>
        <v>0</v>
      </c>
      <c r="I49">
        <f t="shared" si="6"/>
        <v>0</v>
      </c>
      <c r="J49">
        <f t="shared" si="7"/>
        <v>0</v>
      </c>
      <c r="K49">
        <f t="shared" si="8"/>
        <v>0</v>
      </c>
      <c r="L49">
        <f t="shared" si="9"/>
        <v>0</v>
      </c>
      <c r="M49">
        <f t="shared" si="10"/>
        <v>0</v>
      </c>
      <c r="N49">
        <f t="shared" si="11"/>
        <v>0</v>
      </c>
      <c r="O49">
        <f t="shared" si="12"/>
        <v>0</v>
      </c>
      <c r="P49">
        <f t="shared" si="13"/>
        <v>0</v>
      </c>
      <c r="Q49">
        <f t="shared" si="14"/>
        <v>0</v>
      </c>
      <c r="R49">
        <f t="shared" si="15"/>
        <v>0</v>
      </c>
      <c r="S49">
        <f t="shared" si="16"/>
        <v>0</v>
      </c>
      <c r="T49">
        <f t="shared" si="17"/>
        <v>0</v>
      </c>
      <c r="U49">
        <f t="shared" si="18"/>
        <v>0</v>
      </c>
      <c r="V49">
        <f t="shared" si="19"/>
        <v>0</v>
      </c>
      <c r="W49">
        <f t="shared" si="20"/>
        <v>0</v>
      </c>
      <c r="X49">
        <f t="shared" si="21"/>
        <v>0</v>
      </c>
      <c r="Y49">
        <f t="shared" si="22"/>
        <v>0</v>
      </c>
      <c r="Z49">
        <f t="shared" si="23"/>
        <v>0</v>
      </c>
      <c r="AA49">
        <f t="shared" si="24"/>
        <v>0</v>
      </c>
      <c r="AB49">
        <f t="shared" si="25"/>
        <v>0</v>
      </c>
      <c r="AC49">
        <f t="shared" si="26"/>
        <v>0</v>
      </c>
      <c r="AD49">
        <f t="shared" si="27"/>
        <v>0</v>
      </c>
      <c r="AE49">
        <f t="shared" si="28"/>
        <v>0</v>
      </c>
      <c r="AF49">
        <f t="shared" si="29"/>
        <v>0</v>
      </c>
      <c r="AG49">
        <f t="shared" si="30"/>
        <v>0</v>
      </c>
      <c r="AH49">
        <f t="shared" si="31"/>
        <v>0</v>
      </c>
      <c r="AI49">
        <f t="shared" si="32"/>
        <v>0</v>
      </c>
      <c r="AJ49">
        <f t="shared" si="33"/>
        <v>0</v>
      </c>
      <c r="AK49">
        <f t="shared" si="34"/>
        <v>0</v>
      </c>
      <c r="AL49">
        <f t="shared" si="35"/>
        <v>0</v>
      </c>
      <c r="AM49">
        <f t="shared" si="36"/>
        <v>0</v>
      </c>
      <c r="AN49">
        <f t="shared" si="37"/>
        <v>0</v>
      </c>
      <c r="AO49">
        <f t="shared" si="38"/>
        <v>0</v>
      </c>
      <c r="AP49">
        <f t="shared" si="39"/>
        <v>0</v>
      </c>
      <c r="AQ49">
        <f t="shared" si="40"/>
        <v>0</v>
      </c>
      <c r="AR49">
        <f t="shared" si="41"/>
        <v>0</v>
      </c>
      <c r="AS49">
        <f t="shared" si="42"/>
        <v>0</v>
      </c>
      <c r="AT49">
        <f t="shared" si="43"/>
        <v>0</v>
      </c>
      <c r="AU49">
        <f t="shared" si="44"/>
        <v>0</v>
      </c>
      <c r="AV49">
        <f t="shared" si="45"/>
        <v>0</v>
      </c>
      <c r="AW49">
        <f t="shared" si="0"/>
        <v>0</v>
      </c>
      <c r="AX49">
        <f t="shared" si="46"/>
        <v>0</v>
      </c>
      <c r="AY49">
        <f t="shared" si="47"/>
        <v>0</v>
      </c>
    </row>
    <row r="50" spans="1:51" x14ac:dyDescent="0.35">
      <c r="A50">
        <v>44</v>
      </c>
      <c r="C50">
        <f>MAX(0,Calc!$C$7-SUM(D50:R50))</f>
        <v>750</v>
      </c>
      <c r="D50">
        <f t="shared" si="1"/>
        <v>0</v>
      </c>
      <c r="E50">
        <f t="shared" si="2"/>
        <v>0</v>
      </c>
      <c r="F50">
        <f t="shared" si="3"/>
        <v>0</v>
      </c>
      <c r="G50">
        <f t="shared" si="4"/>
        <v>0</v>
      </c>
      <c r="H50">
        <f t="shared" si="5"/>
        <v>0</v>
      </c>
      <c r="I50">
        <f t="shared" si="6"/>
        <v>0</v>
      </c>
      <c r="J50">
        <f t="shared" si="7"/>
        <v>0</v>
      </c>
      <c r="K50">
        <f t="shared" si="8"/>
        <v>0</v>
      </c>
      <c r="L50">
        <f t="shared" si="9"/>
        <v>0</v>
      </c>
      <c r="M50">
        <f t="shared" si="10"/>
        <v>0</v>
      </c>
      <c r="N50">
        <f t="shared" si="11"/>
        <v>0</v>
      </c>
      <c r="O50">
        <f t="shared" si="12"/>
        <v>0</v>
      </c>
      <c r="P50">
        <f t="shared" si="13"/>
        <v>0</v>
      </c>
      <c r="Q50">
        <f t="shared" si="14"/>
        <v>0</v>
      </c>
      <c r="R50">
        <f t="shared" si="15"/>
        <v>0</v>
      </c>
      <c r="S50">
        <f t="shared" si="16"/>
        <v>0</v>
      </c>
      <c r="T50">
        <f t="shared" si="17"/>
        <v>0</v>
      </c>
      <c r="U50">
        <f t="shared" si="18"/>
        <v>0</v>
      </c>
      <c r="V50">
        <f t="shared" si="19"/>
        <v>0</v>
      </c>
      <c r="W50">
        <f t="shared" si="20"/>
        <v>0</v>
      </c>
      <c r="X50">
        <f t="shared" si="21"/>
        <v>0</v>
      </c>
      <c r="Y50">
        <f t="shared" si="22"/>
        <v>0</v>
      </c>
      <c r="Z50">
        <f t="shared" si="23"/>
        <v>0</v>
      </c>
      <c r="AA50">
        <f t="shared" si="24"/>
        <v>0</v>
      </c>
      <c r="AB50">
        <f t="shared" si="25"/>
        <v>0</v>
      </c>
      <c r="AC50">
        <f t="shared" si="26"/>
        <v>0</v>
      </c>
      <c r="AD50">
        <f t="shared" si="27"/>
        <v>0</v>
      </c>
      <c r="AE50">
        <f t="shared" si="28"/>
        <v>0</v>
      </c>
      <c r="AF50">
        <f t="shared" si="29"/>
        <v>0</v>
      </c>
      <c r="AG50">
        <f t="shared" si="30"/>
        <v>0</v>
      </c>
      <c r="AH50">
        <f t="shared" si="31"/>
        <v>0</v>
      </c>
      <c r="AI50">
        <f t="shared" si="32"/>
        <v>0</v>
      </c>
      <c r="AJ50">
        <f t="shared" si="33"/>
        <v>0</v>
      </c>
      <c r="AK50">
        <f t="shared" si="34"/>
        <v>0</v>
      </c>
      <c r="AL50">
        <f t="shared" si="35"/>
        <v>0</v>
      </c>
      <c r="AM50">
        <f t="shared" si="36"/>
        <v>0</v>
      </c>
      <c r="AN50">
        <f t="shared" si="37"/>
        <v>0</v>
      </c>
      <c r="AO50">
        <f t="shared" si="38"/>
        <v>0</v>
      </c>
      <c r="AP50">
        <f t="shared" si="39"/>
        <v>0</v>
      </c>
      <c r="AQ50">
        <f t="shared" si="40"/>
        <v>0</v>
      </c>
      <c r="AR50">
        <f t="shared" si="41"/>
        <v>0</v>
      </c>
      <c r="AS50">
        <f t="shared" si="42"/>
        <v>0</v>
      </c>
      <c r="AT50">
        <f t="shared" si="43"/>
        <v>0</v>
      </c>
      <c r="AU50">
        <f t="shared" si="44"/>
        <v>0</v>
      </c>
      <c r="AV50">
        <f t="shared" si="45"/>
        <v>0</v>
      </c>
      <c r="AW50">
        <f t="shared" si="0"/>
        <v>0</v>
      </c>
      <c r="AX50">
        <f t="shared" si="46"/>
        <v>0</v>
      </c>
      <c r="AY50">
        <f t="shared" si="47"/>
        <v>0</v>
      </c>
    </row>
    <row r="51" spans="1:51" x14ac:dyDescent="0.35">
      <c r="A51">
        <v>45</v>
      </c>
      <c r="C51">
        <f>MAX(0,Calc!$C$7-SUM(D51:R51))</f>
        <v>750</v>
      </c>
      <c r="D51">
        <f t="shared" si="1"/>
        <v>0</v>
      </c>
      <c r="E51">
        <f t="shared" si="2"/>
        <v>0</v>
      </c>
      <c r="F51">
        <f t="shared" si="3"/>
        <v>0</v>
      </c>
      <c r="G51">
        <f t="shared" si="4"/>
        <v>0</v>
      </c>
      <c r="H51">
        <f t="shared" si="5"/>
        <v>0</v>
      </c>
      <c r="I51">
        <f t="shared" si="6"/>
        <v>0</v>
      </c>
      <c r="J51">
        <f t="shared" si="7"/>
        <v>0</v>
      </c>
      <c r="K51">
        <f t="shared" si="8"/>
        <v>0</v>
      </c>
      <c r="L51">
        <f t="shared" si="9"/>
        <v>0</v>
      </c>
      <c r="M51">
        <f t="shared" si="10"/>
        <v>0</v>
      </c>
      <c r="N51">
        <f t="shared" si="11"/>
        <v>0</v>
      </c>
      <c r="O51">
        <f t="shared" si="12"/>
        <v>0</v>
      </c>
      <c r="P51">
        <f t="shared" si="13"/>
        <v>0</v>
      </c>
      <c r="Q51">
        <f t="shared" si="14"/>
        <v>0</v>
      </c>
      <c r="R51">
        <f t="shared" si="15"/>
        <v>0</v>
      </c>
      <c r="S51">
        <f t="shared" si="16"/>
        <v>0</v>
      </c>
      <c r="T51">
        <f t="shared" si="17"/>
        <v>0</v>
      </c>
      <c r="U51">
        <f t="shared" si="18"/>
        <v>0</v>
      </c>
      <c r="V51">
        <f t="shared" si="19"/>
        <v>0</v>
      </c>
      <c r="W51">
        <f t="shared" si="20"/>
        <v>0</v>
      </c>
      <c r="X51">
        <f t="shared" si="21"/>
        <v>0</v>
      </c>
      <c r="Y51">
        <f t="shared" si="22"/>
        <v>0</v>
      </c>
      <c r="Z51">
        <f t="shared" si="23"/>
        <v>0</v>
      </c>
      <c r="AA51">
        <f t="shared" si="24"/>
        <v>0</v>
      </c>
      <c r="AB51">
        <f t="shared" si="25"/>
        <v>0</v>
      </c>
      <c r="AC51">
        <f t="shared" si="26"/>
        <v>0</v>
      </c>
      <c r="AD51">
        <f t="shared" si="27"/>
        <v>0</v>
      </c>
      <c r="AE51">
        <f t="shared" si="28"/>
        <v>0</v>
      </c>
      <c r="AF51">
        <f t="shared" si="29"/>
        <v>0</v>
      </c>
      <c r="AG51">
        <f t="shared" si="30"/>
        <v>0</v>
      </c>
      <c r="AH51">
        <f t="shared" si="31"/>
        <v>0</v>
      </c>
      <c r="AI51">
        <f t="shared" si="32"/>
        <v>0</v>
      </c>
      <c r="AJ51">
        <f t="shared" si="33"/>
        <v>0</v>
      </c>
      <c r="AK51">
        <f t="shared" si="34"/>
        <v>0</v>
      </c>
      <c r="AL51">
        <f t="shared" si="35"/>
        <v>0</v>
      </c>
      <c r="AM51">
        <f t="shared" si="36"/>
        <v>0</v>
      </c>
      <c r="AN51">
        <f t="shared" si="37"/>
        <v>0</v>
      </c>
      <c r="AO51">
        <f t="shared" si="38"/>
        <v>0</v>
      </c>
      <c r="AP51">
        <f t="shared" si="39"/>
        <v>0</v>
      </c>
      <c r="AQ51">
        <f t="shared" si="40"/>
        <v>0</v>
      </c>
      <c r="AR51">
        <f t="shared" si="41"/>
        <v>0</v>
      </c>
      <c r="AS51">
        <f t="shared" si="42"/>
        <v>0</v>
      </c>
      <c r="AT51">
        <f t="shared" si="43"/>
        <v>0</v>
      </c>
      <c r="AU51">
        <f t="shared" si="44"/>
        <v>0</v>
      </c>
      <c r="AV51">
        <f t="shared" si="45"/>
        <v>0</v>
      </c>
      <c r="AW51">
        <f t="shared" si="0"/>
        <v>0</v>
      </c>
      <c r="AX51">
        <f t="shared" si="46"/>
        <v>0</v>
      </c>
      <c r="AY51">
        <f t="shared" si="47"/>
        <v>0</v>
      </c>
    </row>
    <row r="52" spans="1:51" x14ac:dyDescent="0.35">
      <c r="A52">
        <v>46</v>
      </c>
      <c r="C52">
        <f>MAX(0,Calc!$C$7-SUM(D52:R52))</f>
        <v>750</v>
      </c>
      <c r="D52">
        <f t="shared" si="1"/>
        <v>0</v>
      </c>
      <c r="E52">
        <f t="shared" si="2"/>
        <v>0</v>
      </c>
      <c r="F52">
        <f t="shared" si="3"/>
        <v>0</v>
      </c>
      <c r="G52">
        <f t="shared" si="4"/>
        <v>0</v>
      </c>
      <c r="H52">
        <f t="shared" si="5"/>
        <v>0</v>
      </c>
      <c r="I52">
        <f t="shared" si="6"/>
        <v>0</v>
      </c>
      <c r="J52">
        <f t="shared" si="7"/>
        <v>0</v>
      </c>
      <c r="K52">
        <f t="shared" si="8"/>
        <v>0</v>
      </c>
      <c r="L52">
        <f t="shared" si="9"/>
        <v>0</v>
      </c>
      <c r="M52">
        <f t="shared" si="10"/>
        <v>0</v>
      </c>
      <c r="N52">
        <f t="shared" si="11"/>
        <v>0</v>
      </c>
      <c r="O52">
        <f t="shared" si="12"/>
        <v>0</v>
      </c>
      <c r="P52">
        <f t="shared" si="13"/>
        <v>0</v>
      </c>
      <c r="Q52">
        <f t="shared" si="14"/>
        <v>0</v>
      </c>
      <c r="R52">
        <f t="shared" si="15"/>
        <v>0</v>
      </c>
      <c r="S52">
        <f t="shared" si="16"/>
        <v>0</v>
      </c>
      <c r="T52">
        <f t="shared" si="17"/>
        <v>0</v>
      </c>
      <c r="U52">
        <f t="shared" si="18"/>
        <v>0</v>
      </c>
      <c r="V52">
        <f t="shared" si="19"/>
        <v>0</v>
      </c>
      <c r="W52">
        <f t="shared" si="20"/>
        <v>0</v>
      </c>
      <c r="X52">
        <f t="shared" si="21"/>
        <v>0</v>
      </c>
      <c r="Y52">
        <f t="shared" si="22"/>
        <v>0</v>
      </c>
      <c r="Z52">
        <f t="shared" si="23"/>
        <v>0</v>
      </c>
      <c r="AA52">
        <f t="shared" si="24"/>
        <v>0</v>
      </c>
      <c r="AB52">
        <f t="shared" si="25"/>
        <v>0</v>
      </c>
      <c r="AC52">
        <f t="shared" si="26"/>
        <v>0</v>
      </c>
      <c r="AD52">
        <f t="shared" si="27"/>
        <v>0</v>
      </c>
      <c r="AE52">
        <f t="shared" si="28"/>
        <v>0</v>
      </c>
      <c r="AF52">
        <f t="shared" si="29"/>
        <v>0</v>
      </c>
      <c r="AG52">
        <f t="shared" si="30"/>
        <v>0</v>
      </c>
      <c r="AH52">
        <f t="shared" si="31"/>
        <v>0</v>
      </c>
      <c r="AI52">
        <f t="shared" si="32"/>
        <v>0</v>
      </c>
      <c r="AJ52">
        <f t="shared" si="33"/>
        <v>0</v>
      </c>
      <c r="AK52">
        <f t="shared" si="34"/>
        <v>0</v>
      </c>
      <c r="AL52">
        <f t="shared" si="35"/>
        <v>0</v>
      </c>
      <c r="AM52">
        <f t="shared" si="36"/>
        <v>0</v>
      </c>
      <c r="AN52">
        <f t="shared" si="37"/>
        <v>0</v>
      </c>
      <c r="AO52">
        <f t="shared" si="38"/>
        <v>0</v>
      </c>
      <c r="AP52">
        <f t="shared" si="39"/>
        <v>0</v>
      </c>
      <c r="AQ52">
        <f t="shared" si="40"/>
        <v>0</v>
      </c>
      <c r="AR52">
        <f t="shared" si="41"/>
        <v>0</v>
      </c>
      <c r="AS52">
        <f t="shared" si="42"/>
        <v>0</v>
      </c>
      <c r="AT52">
        <f t="shared" si="43"/>
        <v>0</v>
      </c>
      <c r="AU52">
        <f t="shared" si="44"/>
        <v>0</v>
      </c>
      <c r="AV52">
        <f t="shared" si="45"/>
        <v>0</v>
      </c>
      <c r="AW52">
        <f t="shared" si="0"/>
        <v>0</v>
      </c>
      <c r="AX52">
        <f t="shared" si="46"/>
        <v>0</v>
      </c>
      <c r="AY52">
        <f t="shared" si="47"/>
        <v>0</v>
      </c>
    </row>
    <row r="53" spans="1:51" x14ac:dyDescent="0.35">
      <c r="A53">
        <v>47</v>
      </c>
      <c r="C53">
        <f>MAX(0,Calc!$C$7-SUM(D53:R53))</f>
        <v>750</v>
      </c>
      <c r="D53">
        <f t="shared" si="1"/>
        <v>0</v>
      </c>
      <c r="E53">
        <f t="shared" si="2"/>
        <v>0</v>
      </c>
      <c r="F53">
        <f t="shared" si="3"/>
        <v>0</v>
      </c>
      <c r="G53">
        <f t="shared" si="4"/>
        <v>0</v>
      </c>
      <c r="H53">
        <f t="shared" si="5"/>
        <v>0</v>
      </c>
      <c r="I53">
        <f t="shared" si="6"/>
        <v>0</v>
      </c>
      <c r="J53">
        <f t="shared" si="7"/>
        <v>0</v>
      </c>
      <c r="K53">
        <f t="shared" si="8"/>
        <v>0</v>
      </c>
      <c r="L53">
        <f t="shared" si="9"/>
        <v>0</v>
      </c>
      <c r="M53">
        <f t="shared" si="10"/>
        <v>0</v>
      </c>
      <c r="N53">
        <f t="shared" si="11"/>
        <v>0</v>
      </c>
      <c r="O53">
        <f t="shared" si="12"/>
        <v>0</v>
      </c>
      <c r="P53">
        <f t="shared" si="13"/>
        <v>0</v>
      </c>
      <c r="Q53">
        <f t="shared" si="14"/>
        <v>0</v>
      </c>
      <c r="R53">
        <f t="shared" si="15"/>
        <v>0</v>
      </c>
      <c r="S53">
        <f t="shared" si="16"/>
        <v>0</v>
      </c>
      <c r="T53">
        <f t="shared" si="17"/>
        <v>0</v>
      </c>
      <c r="U53">
        <f t="shared" si="18"/>
        <v>0</v>
      </c>
      <c r="V53">
        <f t="shared" si="19"/>
        <v>0</v>
      </c>
      <c r="W53">
        <f t="shared" si="20"/>
        <v>0</v>
      </c>
      <c r="X53">
        <f t="shared" si="21"/>
        <v>0</v>
      </c>
      <c r="Y53">
        <f t="shared" si="22"/>
        <v>0</v>
      </c>
      <c r="Z53">
        <f t="shared" si="23"/>
        <v>0</v>
      </c>
      <c r="AA53">
        <f t="shared" si="24"/>
        <v>0</v>
      </c>
      <c r="AB53">
        <f t="shared" si="25"/>
        <v>0</v>
      </c>
      <c r="AC53">
        <f t="shared" si="26"/>
        <v>0</v>
      </c>
      <c r="AD53">
        <f t="shared" si="27"/>
        <v>0</v>
      </c>
      <c r="AE53">
        <f t="shared" si="28"/>
        <v>0</v>
      </c>
      <c r="AF53">
        <f t="shared" si="29"/>
        <v>0</v>
      </c>
      <c r="AG53">
        <f t="shared" si="30"/>
        <v>0</v>
      </c>
      <c r="AH53">
        <f t="shared" si="31"/>
        <v>0</v>
      </c>
      <c r="AI53">
        <f t="shared" si="32"/>
        <v>0</v>
      </c>
      <c r="AJ53">
        <f t="shared" si="33"/>
        <v>0</v>
      </c>
      <c r="AK53">
        <f t="shared" si="34"/>
        <v>0</v>
      </c>
      <c r="AL53">
        <f t="shared" si="35"/>
        <v>0</v>
      </c>
      <c r="AM53">
        <f t="shared" si="36"/>
        <v>0</v>
      </c>
      <c r="AN53">
        <f t="shared" si="37"/>
        <v>0</v>
      </c>
      <c r="AO53">
        <f t="shared" si="38"/>
        <v>0</v>
      </c>
      <c r="AP53">
        <f t="shared" si="39"/>
        <v>0</v>
      </c>
      <c r="AQ53">
        <f t="shared" si="40"/>
        <v>0</v>
      </c>
      <c r="AR53">
        <f t="shared" si="41"/>
        <v>0</v>
      </c>
      <c r="AS53">
        <f t="shared" si="42"/>
        <v>0</v>
      </c>
      <c r="AT53">
        <f t="shared" si="43"/>
        <v>0</v>
      </c>
      <c r="AU53">
        <f t="shared" si="44"/>
        <v>0</v>
      </c>
      <c r="AV53">
        <f t="shared" si="45"/>
        <v>0</v>
      </c>
      <c r="AW53">
        <f t="shared" si="0"/>
        <v>0</v>
      </c>
      <c r="AX53">
        <f t="shared" si="46"/>
        <v>0</v>
      </c>
      <c r="AY53">
        <f t="shared" si="47"/>
        <v>0</v>
      </c>
    </row>
    <row r="54" spans="1:51" x14ac:dyDescent="0.35">
      <c r="A54">
        <v>48</v>
      </c>
      <c r="C54">
        <f>MAX(0,Calc!$C$7-SUM(D54:R54))</f>
        <v>750</v>
      </c>
      <c r="D54">
        <f t="shared" si="1"/>
        <v>0</v>
      </c>
      <c r="E54">
        <f t="shared" si="2"/>
        <v>0</v>
      </c>
      <c r="F54">
        <f t="shared" si="3"/>
        <v>0</v>
      </c>
      <c r="G54">
        <f t="shared" si="4"/>
        <v>0</v>
      </c>
      <c r="H54">
        <f t="shared" si="5"/>
        <v>0</v>
      </c>
      <c r="I54">
        <f t="shared" si="6"/>
        <v>0</v>
      </c>
      <c r="J54">
        <f t="shared" si="7"/>
        <v>0</v>
      </c>
      <c r="K54">
        <f t="shared" si="8"/>
        <v>0</v>
      </c>
      <c r="L54">
        <f t="shared" si="9"/>
        <v>0</v>
      </c>
      <c r="M54">
        <f t="shared" si="10"/>
        <v>0</v>
      </c>
      <c r="N54">
        <f t="shared" si="11"/>
        <v>0</v>
      </c>
      <c r="O54">
        <f t="shared" si="12"/>
        <v>0</v>
      </c>
      <c r="P54">
        <f t="shared" si="13"/>
        <v>0</v>
      </c>
      <c r="Q54">
        <f t="shared" si="14"/>
        <v>0</v>
      </c>
      <c r="R54">
        <f t="shared" si="15"/>
        <v>0</v>
      </c>
      <c r="S54">
        <f t="shared" si="16"/>
        <v>0</v>
      </c>
      <c r="T54">
        <f t="shared" si="17"/>
        <v>0</v>
      </c>
      <c r="U54">
        <f t="shared" si="18"/>
        <v>0</v>
      </c>
      <c r="V54">
        <f t="shared" si="19"/>
        <v>0</v>
      </c>
      <c r="W54">
        <f t="shared" si="20"/>
        <v>0</v>
      </c>
      <c r="X54">
        <f t="shared" si="21"/>
        <v>0</v>
      </c>
      <c r="Y54">
        <f t="shared" si="22"/>
        <v>0</v>
      </c>
      <c r="Z54">
        <f t="shared" si="23"/>
        <v>0</v>
      </c>
      <c r="AA54">
        <f t="shared" si="24"/>
        <v>0</v>
      </c>
      <c r="AB54">
        <f t="shared" si="25"/>
        <v>0</v>
      </c>
      <c r="AC54">
        <f t="shared" si="26"/>
        <v>0</v>
      </c>
      <c r="AD54">
        <f t="shared" si="27"/>
        <v>0</v>
      </c>
      <c r="AE54">
        <f t="shared" si="28"/>
        <v>0</v>
      </c>
      <c r="AF54">
        <f t="shared" si="29"/>
        <v>0</v>
      </c>
      <c r="AG54">
        <f t="shared" si="30"/>
        <v>0</v>
      </c>
      <c r="AH54">
        <f t="shared" si="31"/>
        <v>0</v>
      </c>
      <c r="AI54">
        <f t="shared" si="32"/>
        <v>0</v>
      </c>
      <c r="AJ54">
        <f t="shared" si="33"/>
        <v>0</v>
      </c>
      <c r="AK54">
        <f t="shared" si="34"/>
        <v>0</v>
      </c>
      <c r="AL54">
        <f t="shared" si="35"/>
        <v>0</v>
      </c>
      <c r="AM54">
        <f t="shared" si="36"/>
        <v>0</v>
      </c>
      <c r="AN54">
        <f t="shared" si="37"/>
        <v>0</v>
      </c>
      <c r="AO54">
        <f t="shared" si="38"/>
        <v>0</v>
      </c>
      <c r="AP54">
        <f t="shared" si="39"/>
        <v>0</v>
      </c>
      <c r="AQ54">
        <f t="shared" si="40"/>
        <v>0</v>
      </c>
      <c r="AR54">
        <f t="shared" si="41"/>
        <v>0</v>
      </c>
      <c r="AS54">
        <f t="shared" si="42"/>
        <v>0</v>
      </c>
      <c r="AT54">
        <f t="shared" si="43"/>
        <v>0</v>
      </c>
      <c r="AU54">
        <f t="shared" si="44"/>
        <v>0</v>
      </c>
      <c r="AV54">
        <f t="shared" si="45"/>
        <v>0</v>
      </c>
      <c r="AW54">
        <f t="shared" si="0"/>
        <v>0</v>
      </c>
      <c r="AX54">
        <f t="shared" si="46"/>
        <v>0</v>
      </c>
      <c r="AY54">
        <f t="shared" si="47"/>
        <v>0</v>
      </c>
    </row>
    <row r="55" spans="1:51" x14ac:dyDescent="0.35">
      <c r="A55">
        <v>49</v>
      </c>
      <c r="C55">
        <f>MAX(0,Calc!$C$7-SUM(D55:R55))</f>
        <v>750</v>
      </c>
      <c r="D55">
        <f t="shared" si="1"/>
        <v>0</v>
      </c>
      <c r="E55">
        <f t="shared" si="2"/>
        <v>0</v>
      </c>
      <c r="F55">
        <f t="shared" si="3"/>
        <v>0</v>
      </c>
      <c r="G55">
        <f t="shared" si="4"/>
        <v>0</v>
      </c>
      <c r="H55">
        <f t="shared" si="5"/>
        <v>0</v>
      </c>
      <c r="I55">
        <f t="shared" si="6"/>
        <v>0</v>
      </c>
      <c r="J55">
        <f t="shared" si="7"/>
        <v>0</v>
      </c>
      <c r="K55">
        <f t="shared" si="8"/>
        <v>0</v>
      </c>
      <c r="L55">
        <f t="shared" si="9"/>
        <v>0</v>
      </c>
      <c r="M55">
        <f t="shared" si="10"/>
        <v>0</v>
      </c>
      <c r="N55">
        <f t="shared" si="11"/>
        <v>0</v>
      </c>
      <c r="O55">
        <f t="shared" si="12"/>
        <v>0</v>
      </c>
      <c r="P55">
        <f t="shared" si="13"/>
        <v>0</v>
      </c>
      <c r="Q55">
        <f t="shared" si="14"/>
        <v>0</v>
      </c>
      <c r="R55">
        <f t="shared" si="15"/>
        <v>0</v>
      </c>
      <c r="S55">
        <f t="shared" si="16"/>
        <v>0</v>
      </c>
      <c r="T55">
        <f t="shared" si="17"/>
        <v>0</v>
      </c>
      <c r="U55">
        <f t="shared" si="18"/>
        <v>0</v>
      </c>
      <c r="V55">
        <f t="shared" si="19"/>
        <v>0</v>
      </c>
      <c r="W55">
        <f t="shared" si="20"/>
        <v>0</v>
      </c>
      <c r="X55">
        <f t="shared" si="21"/>
        <v>0</v>
      </c>
      <c r="Y55">
        <f t="shared" si="22"/>
        <v>0</v>
      </c>
      <c r="Z55">
        <f t="shared" si="23"/>
        <v>0</v>
      </c>
      <c r="AA55">
        <f t="shared" si="24"/>
        <v>0</v>
      </c>
      <c r="AB55">
        <f t="shared" si="25"/>
        <v>0</v>
      </c>
      <c r="AC55">
        <f t="shared" si="26"/>
        <v>0</v>
      </c>
      <c r="AD55">
        <f t="shared" si="27"/>
        <v>0</v>
      </c>
      <c r="AE55">
        <f t="shared" si="28"/>
        <v>0</v>
      </c>
      <c r="AF55">
        <f t="shared" si="29"/>
        <v>0</v>
      </c>
      <c r="AG55">
        <f t="shared" si="30"/>
        <v>0</v>
      </c>
      <c r="AH55">
        <f t="shared" si="31"/>
        <v>0</v>
      </c>
      <c r="AI55">
        <f t="shared" si="32"/>
        <v>0</v>
      </c>
      <c r="AJ55">
        <f t="shared" si="33"/>
        <v>0</v>
      </c>
      <c r="AK55">
        <f t="shared" si="34"/>
        <v>0</v>
      </c>
      <c r="AL55">
        <f t="shared" si="35"/>
        <v>0</v>
      </c>
      <c r="AM55">
        <f t="shared" si="36"/>
        <v>0</v>
      </c>
      <c r="AN55">
        <f t="shared" si="37"/>
        <v>0</v>
      </c>
      <c r="AO55">
        <f t="shared" si="38"/>
        <v>0</v>
      </c>
      <c r="AP55">
        <f t="shared" si="39"/>
        <v>0</v>
      </c>
      <c r="AQ55">
        <f t="shared" si="40"/>
        <v>0</v>
      </c>
      <c r="AR55">
        <f t="shared" si="41"/>
        <v>0</v>
      </c>
      <c r="AS55">
        <f t="shared" si="42"/>
        <v>0</v>
      </c>
      <c r="AT55">
        <f t="shared" si="43"/>
        <v>0</v>
      </c>
      <c r="AU55">
        <f t="shared" si="44"/>
        <v>0</v>
      </c>
      <c r="AV55">
        <f t="shared" si="45"/>
        <v>0</v>
      </c>
      <c r="AW55">
        <f t="shared" si="0"/>
        <v>0</v>
      </c>
      <c r="AX55">
        <f t="shared" si="46"/>
        <v>0</v>
      </c>
      <c r="AY55">
        <f t="shared" si="47"/>
        <v>0</v>
      </c>
    </row>
    <row r="56" spans="1:51" x14ac:dyDescent="0.35">
      <c r="A56">
        <v>50</v>
      </c>
      <c r="C56">
        <f>MAX(0,Calc!$C$7-SUM(D56:R56))</f>
        <v>750</v>
      </c>
      <c r="D56">
        <f t="shared" si="1"/>
        <v>0</v>
      </c>
      <c r="E56">
        <f t="shared" si="2"/>
        <v>0</v>
      </c>
      <c r="F56">
        <f t="shared" si="3"/>
        <v>0</v>
      </c>
      <c r="G56">
        <f t="shared" si="4"/>
        <v>0</v>
      </c>
      <c r="H56">
        <f t="shared" si="5"/>
        <v>0</v>
      </c>
      <c r="I56">
        <f t="shared" si="6"/>
        <v>0</v>
      </c>
      <c r="J56">
        <f t="shared" si="7"/>
        <v>0</v>
      </c>
      <c r="K56">
        <f t="shared" si="8"/>
        <v>0</v>
      </c>
      <c r="L56">
        <f t="shared" si="9"/>
        <v>0</v>
      </c>
      <c r="M56">
        <f t="shared" si="10"/>
        <v>0</v>
      </c>
      <c r="N56">
        <f t="shared" si="11"/>
        <v>0</v>
      </c>
      <c r="O56">
        <f t="shared" si="12"/>
        <v>0</v>
      </c>
      <c r="P56">
        <f t="shared" si="13"/>
        <v>0</v>
      </c>
      <c r="Q56">
        <f t="shared" si="14"/>
        <v>0</v>
      </c>
      <c r="R56">
        <f t="shared" si="15"/>
        <v>0</v>
      </c>
      <c r="S56">
        <f t="shared" si="16"/>
        <v>0</v>
      </c>
      <c r="T56">
        <f t="shared" si="17"/>
        <v>0</v>
      </c>
      <c r="U56">
        <f t="shared" si="18"/>
        <v>0</v>
      </c>
      <c r="V56">
        <f t="shared" si="19"/>
        <v>0</v>
      </c>
      <c r="W56">
        <f t="shared" si="20"/>
        <v>0</v>
      </c>
      <c r="X56">
        <f t="shared" si="21"/>
        <v>0</v>
      </c>
      <c r="Y56">
        <f t="shared" si="22"/>
        <v>0</v>
      </c>
      <c r="Z56">
        <f t="shared" si="23"/>
        <v>0</v>
      </c>
      <c r="AA56">
        <f t="shared" si="24"/>
        <v>0</v>
      </c>
      <c r="AB56">
        <f t="shared" si="25"/>
        <v>0</v>
      </c>
      <c r="AC56">
        <f t="shared" si="26"/>
        <v>0</v>
      </c>
      <c r="AD56">
        <f t="shared" si="27"/>
        <v>0</v>
      </c>
      <c r="AE56">
        <f t="shared" si="28"/>
        <v>0</v>
      </c>
      <c r="AF56">
        <f t="shared" si="29"/>
        <v>0</v>
      </c>
      <c r="AG56">
        <f t="shared" si="30"/>
        <v>0</v>
      </c>
      <c r="AH56">
        <f t="shared" si="31"/>
        <v>0</v>
      </c>
      <c r="AI56">
        <f t="shared" si="32"/>
        <v>0</v>
      </c>
      <c r="AJ56">
        <f t="shared" si="33"/>
        <v>0</v>
      </c>
      <c r="AK56">
        <f t="shared" si="34"/>
        <v>0</v>
      </c>
      <c r="AL56">
        <f t="shared" si="35"/>
        <v>0</v>
      </c>
      <c r="AM56">
        <f t="shared" si="36"/>
        <v>0</v>
      </c>
      <c r="AN56">
        <f t="shared" si="37"/>
        <v>0</v>
      </c>
      <c r="AO56">
        <f t="shared" si="38"/>
        <v>0</v>
      </c>
      <c r="AP56">
        <f t="shared" si="39"/>
        <v>0</v>
      </c>
      <c r="AQ56">
        <f t="shared" si="40"/>
        <v>0</v>
      </c>
      <c r="AR56">
        <f t="shared" si="41"/>
        <v>0</v>
      </c>
      <c r="AS56">
        <f t="shared" si="42"/>
        <v>0</v>
      </c>
      <c r="AT56">
        <f t="shared" si="43"/>
        <v>0</v>
      </c>
      <c r="AU56">
        <f t="shared" si="44"/>
        <v>0</v>
      </c>
      <c r="AV56">
        <f t="shared" si="45"/>
        <v>0</v>
      </c>
      <c r="AW56">
        <f t="shared" si="0"/>
        <v>0</v>
      </c>
      <c r="AX56">
        <f t="shared" si="46"/>
        <v>0</v>
      </c>
      <c r="AY56">
        <f t="shared" si="47"/>
        <v>0</v>
      </c>
    </row>
    <row r="57" spans="1:51" x14ac:dyDescent="0.35">
      <c r="A57">
        <v>51</v>
      </c>
      <c r="C57">
        <f>MAX(0,Calc!$C$7-SUM(D57:R57))</f>
        <v>750</v>
      </c>
      <c r="D57">
        <f t="shared" si="1"/>
        <v>0</v>
      </c>
      <c r="E57">
        <f t="shared" si="2"/>
        <v>0</v>
      </c>
      <c r="F57">
        <f t="shared" si="3"/>
        <v>0</v>
      </c>
      <c r="G57">
        <f t="shared" si="4"/>
        <v>0</v>
      </c>
      <c r="H57">
        <f t="shared" si="5"/>
        <v>0</v>
      </c>
      <c r="I57">
        <f t="shared" si="6"/>
        <v>0</v>
      </c>
      <c r="J57">
        <f t="shared" si="7"/>
        <v>0</v>
      </c>
      <c r="K57">
        <f t="shared" si="8"/>
        <v>0</v>
      </c>
      <c r="L57">
        <f t="shared" si="9"/>
        <v>0</v>
      </c>
      <c r="M57">
        <f t="shared" si="10"/>
        <v>0</v>
      </c>
      <c r="N57">
        <f t="shared" si="11"/>
        <v>0</v>
      </c>
      <c r="O57">
        <f t="shared" si="12"/>
        <v>0</v>
      </c>
      <c r="P57">
        <f t="shared" si="13"/>
        <v>0</v>
      </c>
      <c r="Q57">
        <f t="shared" si="14"/>
        <v>0</v>
      </c>
      <c r="R57">
        <f t="shared" si="15"/>
        <v>0</v>
      </c>
      <c r="S57">
        <f t="shared" si="16"/>
        <v>0</v>
      </c>
      <c r="T57">
        <f t="shared" si="17"/>
        <v>0</v>
      </c>
      <c r="U57">
        <f t="shared" si="18"/>
        <v>0</v>
      </c>
      <c r="V57">
        <f t="shared" si="19"/>
        <v>0</v>
      </c>
      <c r="W57">
        <f t="shared" si="20"/>
        <v>0</v>
      </c>
      <c r="X57">
        <f t="shared" si="21"/>
        <v>0</v>
      </c>
      <c r="Y57">
        <f t="shared" si="22"/>
        <v>0</v>
      </c>
      <c r="Z57">
        <f t="shared" si="23"/>
        <v>0</v>
      </c>
      <c r="AA57">
        <f t="shared" si="24"/>
        <v>0</v>
      </c>
      <c r="AB57">
        <f t="shared" si="25"/>
        <v>0</v>
      </c>
      <c r="AC57">
        <f t="shared" si="26"/>
        <v>0</v>
      </c>
      <c r="AD57">
        <f t="shared" si="27"/>
        <v>0</v>
      </c>
      <c r="AE57">
        <f t="shared" si="28"/>
        <v>0</v>
      </c>
      <c r="AF57">
        <f t="shared" si="29"/>
        <v>0</v>
      </c>
      <c r="AG57">
        <f t="shared" si="30"/>
        <v>0</v>
      </c>
      <c r="AH57">
        <f t="shared" si="31"/>
        <v>0</v>
      </c>
      <c r="AI57">
        <f t="shared" si="32"/>
        <v>0</v>
      </c>
      <c r="AJ57">
        <f t="shared" si="33"/>
        <v>0</v>
      </c>
      <c r="AK57">
        <f t="shared" si="34"/>
        <v>0</v>
      </c>
      <c r="AL57">
        <f t="shared" si="35"/>
        <v>0</v>
      </c>
      <c r="AM57">
        <f t="shared" si="36"/>
        <v>0</v>
      </c>
      <c r="AN57">
        <f t="shared" si="37"/>
        <v>0</v>
      </c>
      <c r="AO57">
        <f t="shared" si="38"/>
        <v>0</v>
      </c>
      <c r="AP57">
        <f t="shared" si="39"/>
        <v>0</v>
      </c>
      <c r="AQ57">
        <f t="shared" si="40"/>
        <v>0</v>
      </c>
      <c r="AR57">
        <f t="shared" si="41"/>
        <v>0</v>
      </c>
      <c r="AS57">
        <f t="shared" si="42"/>
        <v>0</v>
      </c>
      <c r="AT57">
        <f t="shared" si="43"/>
        <v>0</v>
      </c>
      <c r="AU57">
        <f t="shared" si="44"/>
        <v>0</v>
      </c>
      <c r="AV57">
        <f t="shared" si="45"/>
        <v>0</v>
      </c>
      <c r="AW57">
        <f t="shared" si="0"/>
        <v>0</v>
      </c>
      <c r="AX57">
        <f t="shared" si="46"/>
        <v>0</v>
      </c>
      <c r="AY57">
        <f t="shared" si="47"/>
        <v>0</v>
      </c>
    </row>
    <row r="58" spans="1:51" x14ac:dyDescent="0.35">
      <c r="A58">
        <v>52</v>
      </c>
      <c r="C58">
        <f>MAX(0,Calc!$C$7-SUM(D58:R58))</f>
        <v>750</v>
      </c>
      <c r="D58">
        <f t="shared" si="1"/>
        <v>0</v>
      </c>
      <c r="E58">
        <f t="shared" si="2"/>
        <v>0</v>
      </c>
      <c r="F58">
        <f t="shared" si="3"/>
        <v>0</v>
      </c>
      <c r="G58">
        <f t="shared" si="4"/>
        <v>0</v>
      </c>
      <c r="H58">
        <f t="shared" si="5"/>
        <v>0</v>
      </c>
      <c r="I58">
        <f t="shared" si="6"/>
        <v>0</v>
      </c>
      <c r="J58">
        <f t="shared" si="7"/>
        <v>0</v>
      </c>
      <c r="K58">
        <f t="shared" si="8"/>
        <v>0</v>
      </c>
      <c r="L58">
        <f t="shared" si="9"/>
        <v>0</v>
      </c>
      <c r="M58">
        <f t="shared" si="10"/>
        <v>0</v>
      </c>
      <c r="N58">
        <f t="shared" si="11"/>
        <v>0</v>
      </c>
      <c r="O58">
        <f t="shared" si="12"/>
        <v>0</v>
      </c>
      <c r="P58">
        <f t="shared" si="13"/>
        <v>0</v>
      </c>
      <c r="Q58">
        <f t="shared" si="14"/>
        <v>0</v>
      </c>
      <c r="R58">
        <f t="shared" si="15"/>
        <v>0</v>
      </c>
      <c r="S58">
        <f t="shared" si="16"/>
        <v>0</v>
      </c>
      <c r="T58">
        <f t="shared" si="17"/>
        <v>0</v>
      </c>
      <c r="U58">
        <f t="shared" si="18"/>
        <v>0</v>
      </c>
      <c r="V58">
        <f t="shared" si="19"/>
        <v>0</v>
      </c>
      <c r="W58">
        <f t="shared" si="20"/>
        <v>0</v>
      </c>
      <c r="X58">
        <f t="shared" si="21"/>
        <v>0</v>
      </c>
      <c r="Y58">
        <f t="shared" si="22"/>
        <v>0</v>
      </c>
      <c r="Z58">
        <f t="shared" si="23"/>
        <v>0</v>
      </c>
      <c r="AA58">
        <f t="shared" si="24"/>
        <v>0</v>
      </c>
      <c r="AB58">
        <f t="shared" si="25"/>
        <v>0</v>
      </c>
      <c r="AC58">
        <f t="shared" si="26"/>
        <v>0</v>
      </c>
      <c r="AD58">
        <f t="shared" si="27"/>
        <v>0</v>
      </c>
      <c r="AE58">
        <f t="shared" si="28"/>
        <v>0</v>
      </c>
      <c r="AF58">
        <f t="shared" si="29"/>
        <v>0</v>
      </c>
      <c r="AG58">
        <f t="shared" si="30"/>
        <v>0</v>
      </c>
      <c r="AH58">
        <f t="shared" si="31"/>
        <v>0</v>
      </c>
      <c r="AI58">
        <f t="shared" si="32"/>
        <v>0</v>
      </c>
      <c r="AJ58">
        <f t="shared" si="33"/>
        <v>0</v>
      </c>
      <c r="AK58">
        <f t="shared" si="34"/>
        <v>0</v>
      </c>
      <c r="AL58">
        <f t="shared" si="35"/>
        <v>0</v>
      </c>
      <c r="AM58">
        <f t="shared" si="36"/>
        <v>0</v>
      </c>
      <c r="AN58">
        <f t="shared" si="37"/>
        <v>0</v>
      </c>
      <c r="AO58">
        <f t="shared" si="38"/>
        <v>0</v>
      </c>
      <c r="AP58">
        <f t="shared" si="39"/>
        <v>0</v>
      </c>
      <c r="AQ58">
        <f t="shared" si="40"/>
        <v>0</v>
      </c>
      <c r="AR58">
        <f t="shared" si="41"/>
        <v>0</v>
      </c>
      <c r="AS58">
        <f t="shared" si="42"/>
        <v>0</v>
      </c>
      <c r="AT58">
        <f t="shared" si="43"/>
        <v>0</v>
      </c>
      <c r="AU58">
        <f t="shared" si="44"/>
        <v>0</v>
      </c>
      <c r="AV58">
        <f t="shared" si="45"/>
        <v>0</v>
      </c>
      <c r="AW58">
        <f t="shared" si="0"/>
        <v>0</v>
      </c>
      <c r="AX58">
        <f t="shared" si="46"/>
        <v>0</v>
      </c>
      <c r="AY58">
        <f t="shared" si="47"/>
        <v>0</v>
      </c>
    </row>
    <row r="59" spans="1:51" x14ac:dyDescent="0.35">
      <c r="A59">
        <v>53</v>
      </c>
      <c r="C59">
        <f>MAX(0,Calc!$C$7-SUM(D59:R59))</f>
        <v>750</v>
      </c>
      <c r="D59">
        <f t="shared" si="1"/>
        <v>0</v>
      </c>
      <c r="E59">
        <f t="shared" si="2"/>
        <v>0</v>
      </c>
      <c r="F59">
        <f t="shared" si="3"/>
        <v>0</v>
      </c>
      <c r="G59">
        <f t="shared" si="4"/>
        <v>0</v>
      </c>
      <c r="H59">
        <f t="shared" si="5"/>
        <v>0</v>
      </c>
      <c r="I59">
        <f t="shared" si="6"/>
        <v>0</v>
      </c>
      <c r="J59">
        <f t="shared" si="7"/>
        <v>0</v>
      </c>
      <c r="K59">
        <f t="shared" si="8"/>
        <v>0</v>
      </c>
      <c r="L59">
        <f t="shared" si="9"/>
        <v>0</v>
      </c>
      <c r="M59">
        <f t="shared" si="10"/>
        <v>0</v>
      </c>
      <c r="N59">
        <f t="shared" si="11"/>
        <v>0</v>
      </c>
      <c r="O59">
        <f t="shared" si="12"/>
        <v>0</v>
      </c>
      <c r="P59">
        <f t="shared" si="13"/>
        <v>0</v>
      </c>
      <c r="Q59">
        <f t="shared" si="14"/>
        <v>0</v>
      </c>
      <c r="R59">
        <f t="shared" si="15"/>
        <v>0</v>
      </c>
      <c r="S59">
        <f t="shared" si="16"/>
        <v>0</v>
      </c>
      <c r="T59">
        <f t="shared" si="17"/>
        <v>0</v>
      </c>
      <c r="U59">
        <f t="shared" si="18"/>
        <v>0</v>
      </c>
      <c r="V59">
        <f t="shared" si="19"/>
        <v>0</v>
      </c>
      <c r="W59">
        <f t="shared" si="20"/>
        <v>0</v>
      </c>
      <c r="X59">
        <f t="shared" si="21"/>
        <v>0</v>
      </c>
      <c r="Y59">
        <f t="shared" si="22"/>
        <v>0</v>
      </c>
      <c r="Z59">
        <f t="shared" si="23"/>
        <v>0</v>
      </c>
      <c r="AA59">
        <f t="shared" si="24"/>
        <v>0</v>
      </c>
      <c r="AB59">
        <f t="shared" si="25"/>
        <v>0</v>
      </c>
      <c r="AC59">
        <f t="shared" si="26"/>
        <v>0</v>
      </c>
      <c r="AD59">
        <f t="shared" si="27"/>
        <v>0</v>
      </c>
      <c r="AE59">
        <f t="shared" si="28"/>
        <v>0</v>
      </c>
      <c r="AF59">
        <f t="shared" si="29"/>
        <v>0</v>
      </c>
      <c r="AG59">
        <f t="shared" si="30"/>
        <v>0</v>
      </c>
      <c r="AH59">
        <f t="shared" si="31"/>
        <v>0</v>
      </c>
      <c r="AI59">
        <f t="shared" si="32"/>
        <v>0</v>
      </c>
      <c r="AJ59">
        <f t="shared" si="33"/>
        <v>0</v>
      </c>
      <c r="AK59">
        <f t="shared" si="34"/>
        <v>0</v>
      </c>
      <c r="AL59">
        <f t="shared" si="35"/>
        <v>0</v>
      </c>
      <c r="AM59">
        <f t="shared" si="36"/>
        <v>0</v>
      </c>
      <c r="AN59">
        <f t="shared" si="37"/>
        <v>0</v>
      </c>
      <c r="AO59">
        <f t="shared" si="38"/>
        <v>0</v>
      </c>
      <c r="AP59">
        <f t="shared" si="39"/>
        <v>0</v>
      </c>
      <c r="AQ59">
        <f t="shared" si="40"/>
        <v>0</v>
      </c>
      <c r="AR59">
        <f t="shared" si="41"/>
        <v>0</v>
      </c>
      <c r="AS59">
        <f t="shared" si="42"/>
        <v>0</v>
      </c>
      <c r="AT59">
        <f t="shared" si="43"/>
        <v>0</v>
      </c>
      <c r="AU59">
        <f t="shared" si="44"/>
        <v>0</v>
      </c>
      <c r="AV59">
        <f t="shared" si="45"/>
        <v>0</v>
      </c>
      <c r="AW59">
        <f t="shared" si="0"/>
        <v>0</v>
      </c>
      <c r="AX59">
        <f t="shared" si="46"/>
        <v>0</v>
      </c>
      <c r="AY59">
        <f t="shared" si="47"/>
        <v>0</v>
      </c>
    </row>
    <row r="60" spans="1:51" x14ac:dyDescent="0.35">
      <c r="A60">
        <v>54</v>
      </c>
      <c r="C60">
        <f>MAX(0,Calc!$C$7-SUM(D60:R60))</f>
        <v>750</v>
      </c>
      <c r="D60">
        <f t="shared" si="1"/>
        <v>0</v>
      </c>
      <c r="E60">
        <f t="shared" si="2"/>
        <v>0</v>
      </c>
      <c r="F60">
        <f t="shared" si="3"/>
        <v>0</v>
      </c>
      <c r="G60">
        <f t="shared" si="4"/>
        <v>0</v>
      </c>
      <c r="H60">
        <f t="shared" si="5"/>
        <v>0</v>
      </c>
      <c r="I60">
        <f t="shared" si="6"/>
        <v>0</v>
      </c>
      <c r="J60">
        <f t="shared" si="7"/>
        <v>0</v>
      </c>
      <c r="K60">
        <f t="shared" si="8"/>
        <v>0</v>
      </c>
      <c r="L60">
        <f t="shared" si="9"/>
        <v>0</v>
      </c>
      <c r="M60">
        <f t="shared" si="10"/>
        <v>0</v>
      </c>
      <c r="N60">
        <f t="shared" si="11"/>
        <v>0</v>
      </c>
      <c r="O60">
        <f t="shared" si="12"/>
        <v>0</v>
      </c>
      <c r="P60">
        <f t="shared" si="13"/>
        <v>0</v>
      </c>
      <c r="Q60">
        <f t="shared" si="14"/>
        <v>0</v>
      </c>
      <c r="R60">
        <f t="shared" si="15"/>
        <v>0</v>
      </c>
      <c r="S60">
        <f t="shared" si="16"/>
        <v>0</v>
      </c>
      <c r="T60">
        <f t="shared" si="17"/>
        <v>0</v>
      </c>
      <c r="U60">
        <f t="shared" si="18"/>
        <v>0</v>
      </c>
      <c r="V60">
        <f t="shared" si="19"/>
        <v>0</v>
      </c>
      <c r="W60">
        <f t="shared" si="20"/>
        <v>0</v>
      </c>
      <c r="X60">
        <f t="shared" si="21"/>
        <v>0</v>
      </c>
      <c r="Y60">
        <f t="shared" si="22"/>
        <v>0</v>
      </c>
      <c r="Z60">
        <f t="shared" si="23"/>
        <v>0</v>
      </c>
      <c r="AA60">
        <f t="shared" si="24"/>
        <v>0</v>
      </c>
      <c r="AB60">
        <f t="shared" si="25"/>
        <v>0</v>
      </c>
      <c r="AC60">
        <f t="shared" si="26"/>
        <v>0</v>
      </c>
      <c r="AD60">
        <f t="shared" si="27"/>
        <v>0</v>
      </c>
      <c r="AE60">
        <f t="shared" si="28"/>
        <v>0</v>
      </c>
      <c r="AF60">
        <f t="shared" si="29"/>
        <v>0</v>
      </c>
      <c r="AG60">
        <f t="shared" si="30"/>
        <v>0</v>
      </c>
      <c r="AH60">
        <f t="shared" si="31"/>
        <v>0</v>
      </c>
      <c r="AI60">
        <f t="shared" si="32"/>
        <v>0</v>
      </c>
      <c r="AJ60">
        <f t="shared" si="33"/>
        <v>0</v>
      </c>
      <c r="AK60">
        <f t="shared" si="34"/>
        <v>0</v>
      </c>
      <c r="AL60">
        <f t="shared" si="35"/>
        <v>0</v>
      </c>
      <c r="AM60">
        <f t="shared" si="36"/>
        <v>0</v>
      </c>
      <c r="AN60">
        <f t="shared" si="37"/>
        <v>0</v>
      </c>
      <c r="AO60">
        <f t="shared" si="38"/>
        <v>0</v>
      </c>
      <c r="AP60">
        <f t="shared" si="39"/>
        <v>0</v>
      </c>
      <c r="AQ60">
        <f t="shared" si="40"/>
        <v>0</v>
      </c>
      <c r="AR60">
        <f t="shared" si="41"/>
        <v>0</v>
      </c>
      <c r="AS60">
        <f t="shared" si="42"/>
        <v>0</v>
      </c>
      <c r="AT60">
        <f t="shared" si="43"/>
        <v>0</v>
      </c>
      <c r="AU60">
        <f t="shared" si="44"/>
        <v>0</v>
      </c>
      <c r="AV60">
        <f t="shared" si="45"/>
        <v>0</v>
      </c>
      <c r="AW60">
        <f t="shared" si="0"/>
        <v>0</v>
      </c>
      <c r="AX60">
        <f t="shared" si="46"/>
        <v>0</v>
      </c>
      <c r="AY60">
        <f t="shared" si="47"/>
        <v>0</v>
      </c>
    </row>
    <row r="61" spans="1:51" x14ac:dyDescent="0.35">
      <c r="A61">
        <v>55</v>
      </c>
      <c r="C61">
        <f>MAX(0,Calc!$C$7-SUM(D61:R61))</f>
        <v>750</v>
      </c>
      <c r="D61">
        <f t="shared" si="1"/>
        <v>0</v>
      </c>
      <c r="E61">
        <f t="shared" si="2"/>
        <v>0</v>
      </c>
      <c r="F61">
        <f t="shared" si="3"/>
        <v>0</v>
      </c>
      <c r="G61">
        <f t="shared" si="4"/>
        <v>0</v>
      </c>
      <c r="H61">
        <f t="shared" si="5"/>
        <v>0</v>
      </c>
      <c r="I61">
        <f t="shared" si="6"/>
        <v>0</v>
      </c>
      <c r="J61">
        <f t="shared" si="7"/>
        <v>0</v>
      </c>
      <c r="K61">
        <f t="shared" si="8"/>
        <v>0</v>
      </c>
      <c r="L61">
        <f t="shared" si="9"/>
        <v>0</v>
      </c>
      <c r="M61">
        <f t="shared" si="10"/>
        <v>0</v>
      </c>
      <c r="N61">
        <f t="shared" si="11"/>
        <v>0</v>
      </c>
      <c r="O61">
        <f t="shared" si="12"/>
        <v>0</v>
      </c>
      <c r="P61">
        <f t="shared" si="13"/>
        <v>0</v>
      </c>
      <c r="Q61">
        <f t="shared" si="14"/>
        <v>0</v>
      </c>
      <c r="R61">
        <f t="shared" si="15"/>
        <v>0</v>
      </c>
      <c r="S61">
        <f t="shared" si="16"/>
        <v>0</v>
      </c>
      <c r="T61">
        <f t="shared" si="17"/>
        <v>0</v>
      </c>
      <c r="U61">
        <f t="shared" si="18"/>
        <v>0</v>
      </c>
      <c r="V61">
        <f t="shared" si="19"/>
        <v>0</v>
      </c>
      <c r="W61">
        <f t="shared" si="20"/>
        <v>0</v>
      </c>
      <c r="X61">
        <f t="shared" si="21"/>
        <v>0</v>
      </c>
      <c r="Y61">
        <f t="shared" si="22"/>
        <v>0</v>
      </c>
      <c r="Z61">
        <f t="shared" si="23"/>
        <v>0</v>
      </c>
      <c r="AA61">
        <f t="shared" si="24"/>
        <v>0</v>
      </c>
      <c r="AB61">
        <f t="shared" si="25"/>
        <v>0</v>
      </c>
      <c r="AC61">
        <f t="shared" si="26"/>
        <v>0</v>
      </c>
      <c r="AD61">
        <f t="shared" si="27"/>
        <v>0</v>
      </c>
      <c r="AE61">
        <f t="shared" si="28"/>
        <v>0</v>
      </c>
      <c r="AF61">
        <f t="shared" si="29"/>
        <v>0</v>
      </c>
      <c r="AG61">
        <f t="shared" si="30"/>
        <v>0</v>
      </c>
      <c r="AH61">
        <f t="shared" si="31"/>
        <v>0</v>
      </c>
      <c r="AI61">
        <f t="shared" si="32"/>
        <v>0</v>
      </c>
      <c r="AJ61">
        <f t="shared" si="33"/>
        <v>0</v>
      </c>
      <c r="AK61">
        <f t="shared" si="34"/>
        <v>0</v>
      </c>
      <c r="AL61">
        <f t="shared" si="35"/>
        <v>0</v>
      </c>
      <c r="AM61">
        <f t="shared" si="36"/>
        <v>0</v>
      </c>
      <c r="AN61">
        <f t="shared" si="37"/>
        <v>0</v>
      </c>
      <c r="AO61">
        <f t="shared" si="38"/>
        <v>0</v>
      </c>
      <c r="AP61">
        <f t="shared" si="39"/>
        <v>0</v>
      </c>
      <c r="AQ61">
        <f t="shared" si="40"/>
        <v>0</v>
      </c>
      <c r="AR61">
        <f t="shared" si="41"/>
        <v>0</v>
      </c>
      <c r="AS61">
        <f t="shared" si="42"/>
        <v>0</v>
      </c>
      <c r="AT61">
        <f t="shared" si="43"/>
        <v>0</v>
      </c>
      <c r="AU61">
        <f t="shared" si="44"/>
        <v>0</v>
      </c>
      <c r="AV61">
        <f t="shared" si="45"/>
        <v>0</v>
      </c>
      <c r="AW61">
        <f t="shared" si="0"/>
        <v>0</v>
      </c>
      <c r="AX61">
        <f t="shared" si="46"/>
        <v>0</v>
      </c>
      <c r="AY61">
        <f t="shared" si="47"/>
        <v>0</v>
      </c>
    </row>
    <row r="62" spans="1:51" x14ac:dyDescent="0.35">
      <c r="A62">
        <v>56</v>
      </c>
      <c r="C62">
        <f>MAX(0,Calc!$C$7-SUM(D62:R62))</f>
        <v>750</v>
      </c>
      <c r="D62">
        <f t="shared" si="1"/>
        <v>0</v>
      </c>
      <c r="E62">
        <f t="shared" si="2"/>
        <v>0</v>
      </c>
      <c r="F62">
        <f t="shared" si="3"/>
        <v>0</v>
      </c>
      <c r="G62">
        <f t="shared" si="4"/>
        <v>0</v>
      </c>
      <c r="H62">
        <f t="shared" si="5"/>
        <v>0</v>
      </c>
      <c r="I62">
        <f t="shared" si="6"/>
        <v>0</v>
      </c>
      <c r="J62">
        <f t="shared" si="7"/>
        <v>0</v>
      </c>
      <c r="K62">
        <f t="shared" si="8"/>
        <v>0</v>
      </c>
      <c r="L62">
        <f t="shared" si="9"/>
        <v>0</v>
      </c>
      <c r="M62">
        <f t="shared" si="10"/>
        <v>0</v>
      </c>
      <c r="N62">
        <f t="shared" si="11"/>
        <v>0</v>
      </c>
      <c r="O62">
        <f t="shared" si="12"/>
        <v>0</v>
      </c>
      <c r="P62">
        <f t="shared" si="13"/>
        <v>0</v>
      </c>
      <c r="Q62">
        <f t="shared" si="14"/>
        <v>0</v>
      </c>
      <c r="R62">
        <f t="shared" si="15"/>
        <v>0</v>
      </c>
      <c r="S62">
        <f t="shared" si="16"/>
        <v>0</v>
      </c>
      <c r="T62">
        <f t="shared" si="17"/>
        <v>0</v>
      </c>
      <c r="U62">
        <f t="shared" si="18"/>
        <v>0</v>
      </c>
      <c r="V62">
        <f t="shared" si="19"/>
        <v>0</v>
      </c>
      <c r="W62">
        <f t="shared" si="20"/>
        <v>0</v>
      </c>
      <c r="X62">
        <f t="shared" si="21"/>
        <v>0</v>
      </c>
      <c r="Y62">
        <f t="shared" si="22"/>
        <v>0</v>
      </c>
      <c r="Z62">
        <f t="shared" si="23"/>
        <v>0</v>
      </c>
      <c r="AA62">
        <f t="shared" si="24"/>
        <v>0</v>
      </c>
      <c r="AB62">
        <f t="shared" si="25"/>
        <v>0</v>
      </c>
      <c r="AC62">
        <f t="shared" si="26"/>
        <v>0</v>
      </c>
      <c r="AD62">
        <f t="shared" si="27"/>
        <v>0</v>
      </c>
      <c r="AE62">
        <f t="shared" si="28"/>
        <v>0</v>
      </c>
      <c r="AF62">
        <f t="shared" si="29"/>
        <v>0</v>
      </c>
      <c r="AG62">
        <f t="shared" si="30"/>
        <v>0</v>
      </c>
      <c r="AH62">
        <f t="shared" si="31"/>
        <v>0</v>
      </c>
      <c r="AI62">
        <f t="shared" si="32"/>
        <v>0</v>
      </c>
      <c r="AJ62">
        <f t="shared" si="33"/>
        <v>0</v>
      </c>
      <c r="AK62">
        <f t="shared" si="34"/>
        <v>0</v>
      </c>
      <c r="AL62">
        <f t="shared" si="35"/>
        <v>0</v>
      </c>
      <c r="AM62">
        <f t="shared" si="36"/>
        <v>0</v>
      </c>
      <c r="AN62">
        <f t="shared" si="37"/>
        <v>0</v>
      </c>
      <c r="AO62">
        <f t="shared" si="38"/>
        <v>0</v>
      </c>
      <c r="AP62">
        <f t="shared" si="39"/>
        <v>0</v>
      </c>
      <c r="AQ62">
        <f t="shared" si="40"/>
        <v>0</v>
      </c>
      <c r="AR62">
        <f t="shared" si="41"/>
        <v>0</v>
      </c>
      <c r="AS62">
        <f t="shared" si="42"/>
        <v>0</v>
      </c>
      <c r="AT62">
        <f t="shared" si="43"/>
        <v>0</v>
      </c>
      <c r="AU62">
        <f t="shared" si="44"/>
        <v>0</v>
      </c>
      <c r="AV62">
        <f t="shared" si="45"/>
        <v>0</v>
      </c>
      <c r="AW62">
        <f t="shared" si="0"/>
        <v>0</v>
      </c>
      <c r="AX62">
        <f t="shared" si="46"/>
        <v>0</v>
      </c>
      <c r="AY62">
        <f t="shared" si="47"/>
        <v>0</v>
      </c>
    </row>
    <row r="63" spans="1:51" x14ac:dyDescent="0.35">
      <c r="A63">
        <v>57</v>
      </c>
      <c r="C63">
        <f>MAX(0,Calc!$C$7-SUM(D63:R63))</f>
        <v>750</v>
      </c>
      <c r="D63">
        <f t="shared" si="1"/>
        <v>0</v>
      </c>
      <c r="E63">
        <f t="shared" si="2"/>
        <v>0</v>
      </c>
      <c r="F63">
        <f t="shared" si="3"/>
        <v>0</v>
      </c>
      <c r="G63">
        <f t="shared" si="4"/>
        <v>0</v>
      </c>
      <c r="H63">
        <f t="shared" si="5"/>
        <v>0</v>
      </c>
      <c r="I63">
        <f t="shared" si="6"/>
        <v>0</v>
      </c>
      <c r="J63">
        <f t="shared" si="7"/>
        <v>0</v>
      </c>
      <c r="K63">
        <f t="shared" si="8"/>
        <v>0</v>
      </c>
      <c r="L63">
        <f t="shared" si="9"/>
        <v>0</v>
      </c>
      <c r="M63">
        <f t="shared" si="10"/>
        <v>0</v>
      </c>
      <c r="N63">
        <f t="shared" si="11"/>
        <v>0</v>
      </c>
      <c r="O63">
        <f t="shared" si="12"/>
        <v>0</v>
      </c>
      <c r="P63">
        <f t="shared" si="13"/>
        <v>0</v>
      </c>
      <c r="Q63">
        <f t="shared" si="14"/>
        <v>0</v>
      </c>
      <c r="R63">
        <f t="shared" si="15"/>
        <v>0</v>
      </c>
      <c r="S63">
        <f t="shared" si="16"/>
        <v>0</v>
      </c>
      <c r="T63">
        <f t="shared" si="17"/>
        <v>0</v>
      </c>
      <c r="U63">
        <f t="shared" si="18"/>
        <v>0</v>
      </c>
      <c r="V63">
        <f t="shared" si="19"/>
        <v>0</v>
      </c>
      <c r="W63">
        <f t="shared" si="20"/>
        <v>0</v>
      </c>
      <c r="X63">
        <f t="shared" si="21"/>
        <v>0</v>
      </c>
      <c r="Y63">
        <f t="shared" si="22"/>
        <v>0</v>
      </c>
      <c r="Z63">
        <f t="shared" si="23"/>
        <v>0</v>
      </c>
      <c r="AA63">
        <f t="shared" si="24"/>
        <v>0</v>
      </c>
      <c r="AB63">
        <f t="shared" si="25"/>
        <v>0</v>
      </c>
      <c r="AC63">
        <f t="shared" si="26"/>
        <v>0</v>
      </c>
      <c r="AD63">
        <f t="shared" si="27"/>
        <v>0</v>
      </c>
      <c r="AE63">
        <f t="shared" si="28"/>
        <v>0</v>
      </c>
      <c r="AF63">
        <f t="shared" si="29"/>
        <v>0</v>
      </c>
      <c r="AG63">
        <f t="shared" si="30"/>
        <v>0</v>
      </c>
      <c r="AH63">
        <f t="shared" si="31"/>
        <v>0</v>
      </c>
      <c r="AI63">
        <f t="shared" si="32"/>
        <v>0</v>
      </c>
      <c r="AJ63">
        <f t="shared" si="33"/>
        <v>0</v>
      </c>
      <c r="AK63">
        <f t="shared" si="34"/>
        <v>0</v>
      </c>
      <c r="AL63">
        <f t="shared" si="35"/>
        <v>0</v>
      </c>
      <c r="AM63">
        <f t="shared" si="36"/>
        <v>0</v>
      </c>
      <c r="AN63">
        <f t="shared" si="37"/>
        <v>0</v>
      </c>
      <c r="AO63">
        <f t="shared" si="38"/>
        <v>0</v>
      </c>
      <c r="AP63">
        <f t="shared" si="39"/>
        <v>0</v>
      </c>
      <c r="AQ63">
        <f t="shared" si="40"/>
        <v>0</v>
      </c>
      <c r="AR63">
        <f t="shared" si="41"/>
        <v>0</v>
      </c>
      <c r="AS63">
        <f t="shared" si="42"/>
        <v>0</v>
      </c>
      <c r="AT63">
        <f t="shared" si="43"/>
        <v>0</v>
      </c>
      <c r="AU63">
        <f t="shared" si="44"/>
        <v>0</v>
      </c>
      <c r="AV63">
        <f t="shared" si="45"/>
        <v>0</v>
      </c>
      <c r="AW63">
        <f t="shared" si="0"/>
        <v>0</v>
      </c>
      <c r="AX63">
        <f t="shared" si="46"/>
        <v>0</v>
      </c>
      <c r="AY63">
        <f t="shared" si="47"/>
        <v>0</v>
      </c>
    </row>
    <row r="64" spans="1:51" x14ac:dyDescent="0.35">
      <c r="A64">
        <v>58</v>
      </c>
      <c r="C64">
        <f>MAX(0,Calc!$C$7-SUM(D64:R64))</f>
        <v>750</v>
      </c>
      <c r="D64">
        <f t="shared" si="1"/>
        <v>0</v>
      </c>
      <c r="E64">
        <f t="shared" si="2"/>
        <v>0</v>
      </c>
      <c r="F64">
        <f t="shared" si="3"/>
        <v>0</v>
      </c>
      <c r="G64">
        <f t="shared" si="4"/>
        <v>0</v>
      </c>
      <c r="H64">
        <f t="shared" si="5"/>
        <v>0</v>
      </c>
      <c r="I64">
        <f t="shared" si="6"/>
        <v>0</v>
      </c>
      <c r="J64">
        <f t="shared" si="7"/>
        <v>0</v>
      </c>
      <c r="K64">
        <f t="shared" si="8"/>
        <v>0</v>
      </c>
      <c r="L64">
        <f t="shared" si="9"/>
        <v>0</v>
      </c>
      <c r="M64">
        <f t="shared" si="10"/>
        <v>0</v>
      </c>
      <c r="N64">
        <f t="shared" si="11"/>
        <v>0</v>
      </c>
      <c r="O64">
        <f t="shared" si="12"/>
        <v>0</v>
      </c>
      <c r="P64">
        <f t="shared" si="13"/>
        <v>0</v>
      </c>
      <c r="Q64">
        <f t="shared" si="14"/>
        <v>0</v>
      </c>
      <c r="R64">
        <f t="shared" si="15"/>
        <v>0</v>
      </c>
      <c r="S64">
        <f t="shared" si="16"/>
        <v>0</v>
      </c>
      <c r="T64">
        <f t="shared" si="17"/>
        <v>0</v>
      </c>
      <c r="U64">
        <f t="shared" si="18"/>
        <v>0</v>
      </c>
      <c r="V64">
        <f t="shared" si="19"/>
        <v>0</v>
      </c>
      <c r="W64">
        <f t="shared" si="20"/>
        <v>0</v>
      </c>
      <c r="X64">
        <f t="shared" si="21"/>
        <v>0</v>
      </c>
      <c r="Y64">
        <f t="shared" si="22"/>
        <v>0</v>
      </c>
      <c r="Z64">
        <f t="shared" si="23"/>
        <v>0</v>
      </c>
      <c r="AA64">
        <f t="shared" si="24"/>
        <v>0</v>
      </c>
      <c r="AB64">
        <f t="shared" si="25"/>
        <v>0</v>
      </c>
      <c r="AC64">
        <f t="shared" si="26"/>
        <v>0</v>
      </c>
      <c r="AD64">
        <f t="shared" si="27"/>
        <v>0</v>
      </c>
      <c r="AE64">
        <f t="shared" si="28"/>
        <v>0</v>
      </c>
      <c r="AF64">
        <f t="shared" si="29"/>
        <v>0</v>
      </c>
      <c r="AG64">
        <f t="shared" si="30"/>
        <v>0</v>
      </c>
      <c r="AH64">
        <f t="shared" si="31"/>
        <v>0</v>
      </c>
      <c r="AI64">
        <f t="shared" si="32"/>
        <v>0</v>
      </c>
      <c r="AJ64">
        <f t="shared" si="33"/>
        <v>0</v>
      </c>
      <c r="AK64">
        <f t="shared" si="34"/>
        <v>0</v>
      </c>
      <c r="AL64">
        <f t="shared" si="35"/>
        <v>0</v>
      </c>
      <c r="AM64">
        <f t="shared" si="36"/>
        <v>0</v>
      </c>
      <c r="AN64">
        <f t="shared" si="37"/>
        <v>0</v>
      </c>
      <c r="AO64">
        <f t="shared" si="38"/>
        <v>0</v>
      </c>
      <c r="AP64">
        <f t="shared" si="39"/>
        <v>0</v>
      </c>
      <c r="AQ64">
        <f t="shared" si="40"/>
        <v>0</v>
      </c>
      <c r="AR64">
        <f t="shared" si="41"/>
        <v>0</v>
      </c>
      <c r="AS64">
        <f t="shared" si="42"/>
        <v>0</v>
      </c>
      <c r="AT64">
        <f t="shared" si="43"/>
        <v>0</v>
      </c>
      <c r="AU64">
        <f t="shared" si="44"/>
        <v>0</v>
      </c>
      <c r="AV64">
        <f t="shared" si="45"/>
        <v>0</v>
      </c>
      <c r="AW64">
        <f t="shared" si="0"/>
        <v>0</v>
      </c>
      <c r="AX64">
        <f t="shared" si="46"/>
        <v>0</v>
      </c>
      <c r="AY64">
        <f t="shared" si="47"/>
        <v>0</v>
      </c>
    </row>
    <row r="65" spans="1:51" x14ac:dyDescent="0.35">
      <c r="A65">
        <v>59</v>
      </c>
      <c r="C65">
        <f>MAX(0,Calc!$C$7-SUM(D65:R65))</f>
        <v>750</v>
      </c>
      <c r="D65">
        <f t="shared" si="1"/>
        <v>0</v>
      </c>
      <c r="E65">
        <f t="shared" si="2"/>
        <v>0</v>
      </c>
      <c r="F65">
        <f t="shared" si="3"/>
        <v>0</v>
      </c>
      <c r="G65">
        <f t="shared" si="4"/>
        <v>0</v>
      </c>
      <c r="H65">
        <f t="shared" si="5"/>
        <v>0</v>
      </c>
      <c r="I65">
        <f t="shared" si="6"/>
        <v>0</v>
      </c>
      <c r="J65">
        <f t="shared" si="7"/>
        <v>0</v>
      </c>
      <c r="K65">
        <f t="shared" si="8"/>
        <v>0</v>
      </c>
      <c r="L65">
        <f t="shared" si="9"/>
        <v>0</v>
      </c>
      <c r="M65">
        <f t="shared" si="10"/>
        <v>0</v>
      </c>
      <c r="N65">
        <f t="shared" si="11"/>
        <v>0</v>
      </c>
      <c r="O65">
        <f t="shared" si="12"/>
        <v>0</v>
      </c>
      <c r="P65">
        <f t="shared" si="13"/>
        <v>0</v>
      </c>
      <c r="Q65">
        <f t="shared" si="14"/>
        <v>0</v>
      </c>
      <c r="R65">
        <f t="shared" si="15"/>
        <v>0</v>
      </c>
      <c r="S65">
        <f t="shared" si="16"/>
        <v>0</v>
      </c>
      <c r="T65">
        <f t="shared" si="17"/>
        <v>0</v>
      </c>
      <c r="U65">
        <f t="shared" si="18"/>
        <v>0</v>
      </c>
      <c r="V65">
        <f t="shared" si="19"/>
        <v>0</v>
      </c>
      <c r="W65">
        <f t="shared" si="20"/>
        <v>0</v>
      </c>
      <c r="X65">
        <f t="shared" si="21"/>
        <v>0</v>
      </c>
      <c r="Y65">
        <f t="shared" si="22"/>
        <v>0</v>
      </c>
      <c r="Z65">
        <f t="shared" si="23"/>
        <v>0</v>
      </c>
      <c r="AA65">
        <f t="shared" si="24"/>
        <v>0</v>
      </c>
      <c r="AB65">
        <f t="shared" si="25"/>
        <v>0</v>
      </c>
      <c r="AC65">
        <f t="shared" si="26"/>
        <v>0</v>
      </c>
      <c r="AD65">
        <f t="shared" si="27"/>
        <v>0</v>
      </c>
      <c r="AE65">
        <f t="shared" si="28"/>
        <v>0</v>
      </c>
      <c r="AF65">
        <f t="shared" si="29"/>
        <v>0</v>
      </c>
      <c r="AG65">
        <f t="shared" si="30"/>
        <v>0</v>
      </c>
      <c r="AH65">
        <f t="shared" si="31"/>
        <v>0</v>
      </c>
      <c r="AI65">
        <f t="shared" si="32"/>
        <v>0</v>
      </c>
      <c r="AJ65">
        <f t="shared" si="33"/>
        <v>0</v>
      </c>
      <c r="AK65">
        <f t="shared" si="34"/>
        <v>0</v>
      </c>
      <c r="AL65">
        <f t="shared" si="35"/>
        <v>0</v>
      </c>
      <c r="AM65">
        <f t="shared" si="36"/>
        <v>0</v>
      </c>
      <c r="AN65">
        <f t="shared" si="37"/>
        <v>0</v>
      </c>
      <c r="AO65">
        <f t="shared" si="38"/>
        <v>0</v>
      </c>
      <c r="AP65">
        <f t="shared" si="39"/>
        <v>0</v>
      </c>
      <c r="AQ65">
        <f t="shared" si="40"/>
        <v>0</v>
      </c>
      <c r="AR65">
        <f t="shared" si="41"/>
        <v>0</v>
      </c>
      <c r="AS65">
        <f t="shared" si="42"/>
        <v>0</v>
      </c>
      <c r="AT65">
        <f t="shared" si="43"/>
        <v>0</v>
      </c>
      <c r="AU65">
        <f t="shared" si="44"/>
        <v>0</v>
      </c>
      <c r="AV65">
        <f t="shared" si="45"/>
        <v>0</v>
      </c>
      <c r="AW65">
        <f t="shared" si="0"/>
        <v>0</v>
      </c>
      <c r="AX65">
        <f t="shared" si="46"/>
        <v>0</v>
      </c>
      <c r="AY65">
        <f t="shared" si="47"/>
        <v>0</v>
      </c>
    </row>
    <row r="66" spans="1:51" x14ac:dyDescent="0.35">
      <c r="A66">
        <v>60</v>
      </c>
      <c r="C66">
        <f>MAX(0,Calc!$C$7-SUM(D66:R66))</f>
        <v>750</v>
      </c>
      <c r="D66">
        <f t="shared" si="1"/>
        <v>0</v>
      </c>
      <c r="E66">
        <f t="shared" si="2"/>
        <v>0</v>
      </c>
      <c r="F66">
        <f t="shared" si="3"/>
        <v>0</v>
      </c>
      <c r="G66">
        <f t="shared" si="4"/>
        <v>0</v>
      </c>
      <c r="H66">
        <f t="shared" si="5"/>
        <v>0</v>
      </c>
      <c r="I66">
        <f t="shared" si="6"/>
        <v>0</v>
      </c>
      <c r="J66">
        <f t="shared" si="7"/>
        <v>0</v>
      </c>
      <c r="K66">
        <f t="shared" si="8"/>
        <v>0</v>
      </c>
      <c r="L66">
        <f t="shared" si="9"/>
        <v>0</v>
      </c>
      <c r="M66">
        <f t="shared" si="10"/>
        <v>0</v>
      </c>
      <c r="N66">
        <f t="shared" si="11"/>
        <v>0</v>
      </c>
      <c r="O66">
        <f t="shared" si="12"/>
        <v>0</v>
      </c>
      <c r="P66">
        <f t="shared" si="13"/>
        <v>0</v>
      </c>
      <c r="Q66">
        <f t="shared" si="14"/>
        <v>0</v>
      </c>
      <c r="R66">
        <f t="shared" si="15"/>
        <v>0</v>
      </c>
      <c r="S66">
        <f t="shared" si="16"/>
        <v>0</v>
      </c>
      <c r="T66">
        <f t="shared" si="17"/>
        <v>0</v>
      </c>
      <c r="U66">
        <f t="shared" si="18"/>
        <v>0</v>
      </c>
      <c r="V66">
        <f t="shared" si="19"/>
        <v>0</v>
      </c>
      <c r="W66">
        <f t="shared" si="20"/>
        <v>0</v>
      </c>
      <c r="X66">
        <f t="shared" si="21"/>
        <v>0</v>
      </c>
      <c r="Y66">
        <f t="shared" si="22"/>
        <v>0</v>
      </c>
      <c r="Z66">
        <f t="shared" si="23"/>
        <v>0</v>
      </c>
      <c r="AA66">
        <f t="shared" si="24"/>
        <v>0</v>
      </c>
      <c r="AB66">
        <f t="shared" si="25"/>
        <v>0</v>
      </c>
      <c r="AC66">
        <f t="shared" si="26"/>
        <v>0</v>
      </c>
      <c r="AD66">
        <f t="shared" si="27"/>
        <v>0</v>
      </c>
      <c r="AE66">
        <f t="shared" si="28"/>
        <v>0</v>
      </c>
      <c r="AF66">
        <f t="shared" si="29"/>
        <v>0</v>
      </c>
      <c r="AG66">
        <f t="shared" si="30"/>
        <v>0</v>
      </c>
      <c r="AH66">
        <f t="shared" si="31"/>
        <v>0</v>
      </c>
      <c r="AI66">
        <f t="shared" si="32"/>
        <v>0</v>
      </c>
      <c r="AJ66">
        <f t="shared" si="33"/>
        <v>0</v>
      </c>
      <c r="AK66">
        <f t="shared" si="34"/>
        <v>0</v>
      </c>
      <c r="AL66">
        <f t="shared" si="35"/>
        <v>0</v>
      </c>
      <c r="AM66">
        <f t="shared" si="36"/>
        <v>0</v>
      </c>
      <c r="AN66">
        <f t="shared" si="37"/>
        <v>0</v>
      </c>
      <c r="AO66">
        <f t="shared" si="38"/>
        <v>0</v>
      </c>
      <c r="AP66">
        <f t="shared" si="39"/>
        <v>0</v>
      </c>
      <c r="AQ66">
        <f t="shared" si="40"/>
        <v>0</v>
      </c>
      <c r="AR66">
        <f t="shared" si="41"/>
        <v>0</v>
      </c>
      <c r="AS66">
        <f t="shared" si="42"/>
        <v>0</v>
      </c>
      <c r="AT66">
        <f t="shared" si="43"/>
        <v>0</v>
      </c>
      <c r="AU66">
        <f t="shared" si="44"/>
        <v>0</v>
      </c>
      <c r="AV66">
        <f t="shared" si="45"/>
        <v>0</v>
      </c>
      <c r="AW66">
        <f t="shared" si="0"/>
        <v>0</v>
      </c>
      <c r="AX66">
        <f t="shared" si="46"/>
        <v>0</v>
      </c>
      <c r="AY66">
        <f t="shared" si="47"/>
        <v>0</v>
      </c>
    </row>
    <row r="67" spans="1:51" x14ac:dyDescent="0.35">
      <c r="A67">
        <v>61</v>
      </c>
      <c r="C67">
        <f>MAX(0,Calc!$C$7-SUM(D67:R67))</f>
        <v>750</v>
      </c>
      <c r="D67">
        <f t="shared" si="1"/>
        <v>0</v>
      </c>
      <c r="E67">
        <f t="shared" si="2"/>
        <v>0</v>
      </c>
      <c r="F67">
        <f t="shared" si="3"/>
        <v>0</v>
      </c>
      <c r="G67">
        <f t="shared" si="4"/>
        <v>0</v>
      </c>
      <c r="H67">
        <f t="shared" si="5"/>
        <v>0</v>
      </c>
      <c r="I67">
        <f t="shared" si="6"/>
        <v>0</v>
      </c>
      <c r="J67">
        <f t="shared" si="7"/>
        <v>0</v>
      </c>
      <c r="K67">
        <f t="shared" si="8"/>
        <v>0</v>
      </c>
      <c r="L67">
        <f t="shared" si="9"/>
        <v>0</v>
      </c>
      <c r="M67">
        <f t="shared" si="10"/>
        <v>0</v>
      </c>
      <c r="N67">
        <f t="shared" si="11"/>
        <v>0</v>
      </c>
      <c r="O67">
        <f t="shared" si="12"/>
        <v>0</v>
      </c>
      <c r="P67">
        <f t="shared" si="13"/>
        <v>0</v>
      </c>
      <c r="Q67">
        <f t="shared" si="14"/>
        <v>0</v>
      </c>
      <c r="R67">
        <f t="shared" si="15"/>
        <v>0</v>
      </c>
      <c r="S67">
        <f t="shared" si="16"/>
        <v>0</v>
      </c>
      <c r="T67">
        <f t="shared" si="17"/>
        <v>0</v>
      </c>
      <c r="U67">
        <f t="shared" si="18"/>
        <v>0</v>
      </c>
      <c r="V67">
        <f t="shared" si="19"/>
        <v>0</v>
      </c>
      <c r="W67">
        <f t="shared" si="20"/>
        <v>0</v>
      </c>
      <c r="X67">
        <f t="shared" si="21"/>
        <v>0</v>
      </c>
      <c r="Y67">
        <f t="shared" si="22"/>
        <v>0</v>
      </c>
      <c r="Z67">
        <f t="shared" si="23"/>
        <v>0</v>
      </c>
      <c r="AA67">
        <f t="shared" si="24"/>
        <v>0</v>
      </c>
      <c r="AB67">
        <f t="shared" si="25"/>
        <v>0</v>
      </c>
      <c r="AC67">
        <f t="shared" si="26"/>
        <v>0</v>
      </c>
      <c r="AD67">
        <f t="shared" si="27"/>
        <v>0</v>
      </c>
      <c r="AE67">
        <f t="shared" si="28"/>
        <v>0</v>
      </c>
      <c r="AF67">
        <f t="shared" si="29"/>
        <v>0</v>
      </c>
      <c r="AG67">
        <f t="shared" si="30"/>
        <v>0</v>
      </c>
      <c r="AH67">
        <f t="shared" si="31"/>
        <v>0</v>
      </c>
      <c r="AI67">
        <f t="shared" si="32"/>
        <v>0</v>
      </c>
      <c r="AJ67">
        <f t="shared" si="33"/>
        <v>0</v>
      </c>
      <c r="AK67">
        <f t="shared" si="34"/>
        <v>0</v>
      </c>
      <c r="AL67">
        <f t="shared" si="35"/>
        <v>0</v>
      </c>
      <c r="AM67">
        <f t="shared" si="36"/>
        <v>0</v>
      </c>
      <c r="AN67">
        <f t="shared" si="37"/>
        <v>0</v>
      </c>
      <c r="AO67">
        <f t="shared" si="38"/>
        <v>0</v>
      </c>
      <c r="AP67">
        <f t="shared" si="39"/>
        <v>0</v>
      </c>
      <c r="AQ67">
        <f t="shared" si="40"/>
        <v>0</v>
      </c>
      <c r="AR67">
        <f t="shared" si="41"/>
        <v>0</v>
      </c>
      <c r="AS67">
        <f t="shared" si="42"/>
        <v>0</v>
      </c>
      <c r="AT67">
        <f t="shared" si="43"/>
        <v>0</v>
      </c>
      <c r="AU67">
        <f t="shared" si="44"/>
        <v>0</v>
      </c>
      <c r="AV67">
        <f t="shared" si="45"/>
        <v>0</v>
      </c>
      <c r="AW67">
        <f t="shared" si="0"/>
        <v>0</v>
      </c>
      <c r="AX67">
        <f t="shared" si="46"/>
        <v>0</v>
      </c>
      <c r="AY67">
        <f t="shared" si="47"/>
        <v>0</v>
      </c>
    </row>
    <row r="68" spans="1:51" x14ac:dyDescent="0.35">
      <c r="A68">
        <v>62</v>
      </c>
      <c r="C68">
        <f>MAX(0,Calc!$C$7-SUM(D68:R68))</f>
        <v>750</v>
      </c>
      <c r="D68">
        <f t="shared" si="1"/>
        <v>0</v>
      </c>
      <c r="E68">
        <f t="shared" si="2"/>
        <v>0</v>
      </c>
      <c r="F68">
        <f t="shared" si="3"/>
        <v>0</v>
      </c>
      <c r="G68">
        <f t="shared" si="4"/>
        <v>0</v>
      </c>
      <c r="H68">
        <f t="shared" si="5"/>
        <v>0</v>
      </c>
      <c r="I68">
        <f t="shared" si="6"/>
        <v>0</v>
      </c>
      <c r="J68">
        <f t="shared" si="7"/>
        <v>0</v>
      </c>
      <c r="K68">
        <f t="shared" si="8"/>
        <v>0</v>
      </c>
      <c r="L68">
        <f t="shared" si="9"/>
        <v>0</v>
      </c>
      <c r="M68">
        <f t="shared" si="10"/>
        <v>0</v>
      </c>
      <c r="N68">
        <f t="shared" si="11"/>
        <v>0</v>
      </c>
      <c r="O68">
        <f t="shared" si="12"/>
        <v>0</v>
      </c>
      <c r="P68">
        <f t="shared" si="13"/>
        <v>0</v>
      </c>
      <c r="Q68">
        <f t="shared" si="14"/>
        <v>0</v>
      </c>
      <c r="R68">
        <f t="shared" si="15"/>
        <v>0</v>
      </c>
      <c r="S68">
        <f t="shared" si="16"/>
        <v>0</v>
      </c>
      <c r="T68">
        <f t="shared" si="17"/>
        <v>0</v>
      </c>
      <c r="U68">
        <f t="shared" si="18"/>
        <v>0</v>
      </c>
      <c r="V68">
        <f t="shared" si="19"/>
        <v>0</v>
      </c>
      <c r="W68">
        <f t="shared" si="20"/>
        <v>0</v>
      </c>
      <c r="X68">
        <f t="shared" si="21"/>
        <v>0</v>
      </c>
      <c r="Y68">
        <f t="shared" si="22"/>
        <v>0</v>
      </c>
      <c r="Z68">
        <f t="shared" si="23"/>
        <v>0</v>
      </c>
      <c r="AA68">
        <f t="shared" si="24"/>
        <v>0</v>
      </c>
      <c r="AB68">
        <f t="shared" si="25"/>
        <v>0</v>
      </c>
      <c r="AC68">
        <f t="shared" si="26"/>
        <v>0</v>
      </c>
      <c r="AD68">
        <f t="shared" si="27"/>
        <v>0</v>
      </c>
      <c r="AE68">
        <f t="shared" si="28"/>
        <v>0</v>
      </c>
      <c r="AF68">
        <f t="shared" si="29"/>
        <v>0</v>
      </c>
      <c r="AG68">
        <f t="shared" si="30"/>
        <v>0</v>
      </c>
      <c r="AH68">
        <f t="shared" si="31"/>
        <v>0</v>
      </c>
      <c r="AI68">
        <f t="shared" si="32"/>
        <v>0</v>
      </c>
      <c r="AJ68">
        <f t="shared" si="33"/>
        <v>0</v>
      </c>
      <c r="AK68">
        <f t="shared" si="34"/>
        <v>0</v>
      </c>
      <c r="AL68">
        <f t="shared" si="35"/>
        <v>0</v>
      </c>
      <c r="AM68">
        <f t="shared" si="36"/>
        <v>0</v>
      </c>
      <c r="AN68">
        <f t="shared" si="37"/>
        <v>0</v>
      </c>
      <c r="AO68">
        <f t="shared" si="38"/>
        <v>0</v>
      </c>
      <c r="AP68">
        <f t="shared" si="39"/>
        <v>0</v>
      </c>
      <c r="AQ68">
        <f t="shared" si="40"/>
        <v>0</v>
      </c>
      <c r="AR68">
        <f t="shared" si="41"/>
        <v>0</v>
      </c>
      <c r="AS68">
        <f t="shared" si="42"/>
        <v>0</v>
      </c>
      <c r="AT68">
        <f t="shared" si="43"/>
        <v>0</v>
      </c>
      <c r="AU68">
        <f t="shared" si="44"/>
        <v>0</v>
      </c>
      <c r="AV68">
        <f t="shared" si="45"/>
        <v>0</v>
      </c>
      <c r="AW68">
        <f t="shared" si="0"/>
        <v>0</v>
      </c>
      <c r="AX68">
        <f t="shared" si="46"/>
        <v>0</v>
      </c>
      <c r="AY68">
        <f t="shared" si="47"/>
        <v>0</v>
      </c>
    </row>
    <row r="69" spans="1:51" x14ac:dyDescent="0.35">
      <c r="A69">
        <v>63</v>
      </c>
      <c r="C69">
        <f>MAX(0,Calc!$C$7-SUM(D69:R69))</f>
        <v>750</v>
      </c>
      <c r="D69">
        <f t="shared" si="1"/>
        <v>0</v>
      </c>
      <c r="E69">
        <f t="shared" si="2"/>
        <v>0</v>
      </c>
      <c r="F69">
        <f t="shared" si="3"/>
        <v>0</v>
      </c>
      <c r="G69">
        <f t="shared" si="4"/>
        <v>0</v>
      </c>
      <c r="H69">
        <f t="shared" si="5"/>
        <v>0</v>
      </c>
      <c r="I69">
        <f t="shared" si="6"/>
        <v>0</v>
      </c>
      <c r="J69">
        <f t="shared" si="7"/>
        <v>0</v>
      </c>
      <c r="K69">
        <f t="shared" si="8"/>
        <v>0</v>
      </c>
      <c r="L69">
        <f t="shared" si="9"/>
        <v>0</v>
      </c>
      <c r="M69">
        <f t="shared" si="10"/>
        <v>0</v>
      </c>
      <c r="N69">
        <f t="shared" si="11"/>
        <v>0</v>
      </c>
      <c r="O69">
        <f t="shared" si="12"/>
        <v>0</v>
      </c>
      <c r="P69">
        <f t="shared" si="13"/>
        <v>0</v>
      </c>
      <c r="Q69">
        <f t="shared" si="14"/>
        <v>0</v>
      </c>
      <c r="R69">
        <f t="shared" si="15"/>
        <v>0</v>
      </c>
      <c r="S69">
        <f t="shared" si="16"/>
        <v>0</v>
      </c>
      <c r="T69">
        <f t="shared" si="17"/>
        <v>0</v>
      </c>
      <c r="U69">
        <f t="shared" si="18"/>
        <v>0</v>
      </c>
      <c r="V69">
        <f t="shared" si="19"/>
        <v>0</v>
      </c>
      <c r="W69">
        <f t="shared" si="20"/>
        <v>0</v>
      </c>
      <c r="X69">
        <f t="shared" si="21"/>
        <v>0</v>
      </c>
      <c r="Y69">
        <f t="shared" si="22"/>
        <v>0</v>
      </c>
      <c r="Z69">
        <f t="shared" si="23"/>
        <v>0</v>
      </c>
      <c r="AA69">
        <f t="shared" si="24"/>
        <v>0</v>
      </c>
      <c r="AB69">
        <f t="shared" si="25"/>
        <v>0</v>
      </c>
      <c r="AC69">
        <f t="shared" si="26"/>
        <v>0</v>
      </c>
      <c r="AD69">
        <f t="shared" si="27"/>
        <v>0</v>
      </c>
      <c r="AE69">
        <f t="shared" si="28"/>
        <v>0</v>
      </c>
      <c r="AF69">
        <f t="shared" si="29"/>
        <v>0</v>
      </c>
      <c r="AG69">
        <f t="shared" si="30"/>
        <v>0</v>
      </c>
      <c r="AH69">
        <f t="shared" si="31"/>
        <v>0</v>
      </c>
      <c r="AI69">
        <f t="shared" si="32"/>
        <v>0</v>
      </c>
      <c r="AJ69">
        <f t="shared" si="33"/>
        <v>0</v>
      </c>
      <c r="AK69">
        <f t="shared" si="34"/>
        <v>0</v>
      </c>
      <c r="AL69">
        <f t="shared" si="35"/>
        <v>0</v>
      </c>
      <c r="AM69">
        <f t="shared" si="36"/>
        <v>0</v>
      </c>
      <c r="AN69">
        <f t="shared" si="37"/>
        <v>0</v>
      </c>
      <c r="AO69">
        <f t="shared" si="38"/>
        <v>0</v>
      </c>
      <c r="AP69">
        <f t="shared" si="39"/>
        <v>0</v>
      </c>
      <c r="AQ69">
        <f t="shared" si="40"/>
        <v>0</v>
      </c>
      <c r="AR69">
        <f t="shared" si="41"/>
        <v>0</v>
      </c>
      <c r="AS69">
        <f t="shared" si="42"/>
        <v>0</v>
      </c>
      <c r="AT69">
        <f t="shared" si="43"/>
        <v>0</v>
      </c>
      <c r="AU69">
        <f t="shared" si="44"/>
        <v>0</v>
      </c>
      <c r="AV69">
        <f t="shared" si="45"/>
        <v>0</v>
      </c>
      <c r="AW69">
        <f t="shared" si="0"/>
        <v>0</v>
      </c>
      <c r="AX69">
        <f t="shared" si="46"/>
        <v>0</v>
      </c>
      <c r="AY69">
        <f t="shared" si="47"/>
        <v>0</v>
      </c>
    </row>
    <row r="70" spans="1:51" x14ac:dyDescent="0.35">
      <c r="A70">
        <v>64</v>
      </c>
      <c r="C70">
        <f>MAX(0,Calc!$C$7-SUM(D70:R70))</f>
        <v>750</v>
      </c>
      <c r="D70">
        <f t="shared" si="1"/>
        <v>0</v>
      </c>
      <c r="E70">
        <f t="shared" si="2"/>
        <v>0</v>
      </c>
      <c r="F70">
        <f t="shared" si="3"/>
        <v>0</v>
      </c>
      <c r="G70">
        <f t="shared" si="4"/>
        <v>0</v>
      </c>
      <c r="H70">
        <f t="shared" si="5"/>
        <v>0</v>
      </c>
      <c r="I70">
        <f t="shared" si="6"/>
        <v>0</v>
      </c>
      <c r="J70">
        <f t="shared" si="7"/>
        <v>0</v>
      </c>
      <c r="K70">
        <f t="shared" si="8"/>
        <v>0</v>
      </c>
      <c r="L70">
        <f t="shared" si="9"/>
        <v>0</v>
      </c>
      <c r="M70">
        <f t="shared" si="10"/>
        <v>0</v>
      </c>
      <c r="N70">
        <f t="shared" si="11"/>
        <v>0</v>
      </c>
      <c r="O70">
        <f t="shared" si="12"/>
        <v>0</v>
      </c>
      <c r="P70">
        <f t="shared" si="13"/>
        <v>0</v>
      </c>
      <c r="Q70">
        <f t="shared" si="14"/>
        <v>0</v>
      </c>
      <c r="R70">
        <f t="shared" si="15"/>
        <v>0</v>
      </c>
      <c r="S70">
        <f t="shared" si="16"/>
        <v>0</v>
      </c>
      <c r="T70">
        <f t="shared" si="17"/>
        <v>0</v>
      </c>
      <c r="U70">
        <f t="shared" si="18"/>
        <v>0</v>
      </c>
      <c r="V70">
        <f t="shared" si="19"/>
        <v>0</v>
      </c>
      <c r="W70">
        <f t="shared" si="20"/>
        <v>0</v>
      </c>
      <c r="X70">
        <f t="shared" si="21"/>
        <v>0</v>
      </c>
      <c r="Y70">
        <f t="shared" si="22"/>
        <v>0</v>
      </c>
      <c r="Z70">
        <f t="shared" si="23"/>
        <v>0</v>
      </c>
      <c r="AA70">
        <f t="shared" si="24"/>
        <v>0</v>
      </c>
      <c r="AB70">
        <f t="shared" si="25"/>
        <v>0</v>
      </c>
      <c r="AC70">
        <f t="shared" si="26"/>
        <v>0</v>
      </c>
      <c r="AD70">
        <f t="shared" si="27"/>
        <v>0</v>
      </c>
      <c r="AE70">
        <f t="shared" si="28"/>
        <v>0</v>
      </c>
      <c r="AF70">
        <f t="shared" si="29"/>
        <v>0</v>
      </c>
      <c r="AG70">
        <f t="shared" si="30"/>
        <v>0</v>
      </c>
      <c r="AH70">
        <f t="shared" si="31"/>
        <v>0</v>
      </c>
      <c r="AI70">
        <f t="shared" si="32"/>
        <v>0</v>
      </c>
      <c r="AJ70">
        <f t="shared" si="33"/>
        <v>0</v>
      </c>
      <c r="AK70">
        <f t="shared" si="34"/>
        <v>0</v>
      </c>
      <c r="AL70">
        <f t="shared" si="35"/>
        <v>0</v>
      </c>
      <c r="AM70">
        <f t="shared" si="36"/>
        <v>0</v>
      </c>
      <c r="AN70">
        <f t="shared" si="37"/>
        <v>0</v>
      </c>
      <c r="AO70">
        <f t="shared" si="38"/>
        <v>0</v>
      </c>
      <c r="AP70">
        <f t="shared" si="39"/>
        <v>0</v>
      </c>
      <c r="AQ70">
        <f t="shared" si="40"/>
        <v>0</v>
      </c>
      <c r="AR70">
        <f t="shared" si="41"/>
        <v>0</v>
      </c>
      <c r="AS70">
        <f t="shared" si="42"/>
        <v>0</v>
      </c>
      <c r="AT70">
        <f t="shared" si="43"/>
        <v>0</v>
      </c>
      <c r="AU70">
        <f t="shared" si="44"/>
        <v>0</v>
      </c>
      <c r="AV70">
        <f t="shared" si="45"/>
        <v>0</v>
      </c>
      <c r="AW70">
        <f t="shared" ref="AW70:AW133" si="48">SUM(AH70:AV70)</f>
        <v>0</v>
      </c>
      <c r="AX70">
        <f t="shared" si="46"/>
        <v>0</v>
      </c>
      <c r="AY70">
        <f t="shared" si="47"/>
        <v>0</v>
      </c>
    </row>
    <row r="71" spans="1:51" x14ac:dyDescent="0.35">
      <c r="A71">
        <v>65</v>
      </c>
      <c r="C71">
        <f>MAX(0,Calc!$C$7-SUM(D71:R71))</f>
        <v>750</v>
      </c>
      <c r="D71">
        <f t="shared" ref="D71:D134" si="49">IF(AH70&lt;0.005,0,MIN((AH70+ROUND(AH70*AH$3,2)),AH$4))</f>
        <v>0</v>
      </c>
      <c r="E71">
        <f t="shared" ref="E71:E134" si="50">IF(AI70&lt;0.005,0,MIN((AI70+ROUND(AI70*AI$3,2)),AI$4))</f>
        <v>0</v>
      </c>
      <c r="F71">
        <f t="shared" ref="F71:F134" si="51">IF(AJ70&lt;0.005,0,MIN((AJ70+ROUND(AJ70*AJ$3,2)),AJ$4))</f>
        <v>0</v>
      </c>
      <c r="G71">
        <f t="shared" ref="G71:G134" si="52">IF(AK70&lt;0.005,0,MIN((AK70+ROUND(AK70*AK$3,2)),AK$4))</f>
        <v>0</v>
      </c>
      <c r="H71">
        <f t="shared" ref="H71:H134" si="53">IF(AL70&lt;0.005,0,MIN((AL70+ROUND(AL70*AL$3,2)),AL$4))</f>
        <v>0</v>
      </c>
      <c r="I71">
        <f t="shared" ref="I71:I134" si="54">IF(AM70&lt;0.005,0,MIN((AM70+ROUND(AM70*AM$3,2)),AM$4))</f>
        <v>0</v>
      </c>
      <c r="J71">
        <f t="shared" ref="J71:J134" si="55">IF(AN70&lt;0.005,0,MIN((AN70+ROUND(AN70*AN$3,2)),AN$4))</f>
        <v>0</v>
      </c>
      <c r="K71">
        <f t="shared" ref="K71:K134" si="56">IF(AO70&lt;0.005,0,MIN((AO70+ROUND(AO70*AO$3,2)),AO$4))</f>
        <v>0</v>
      </c>
      <c r="L71">
        <f t="shared" ref="L71:L134" si="57">IF(AP70&lt;0.005,0,MIN((AP70+ROUND(AP70*AP$3,2)),AP$4))</f>
        <v>0</v>
      </c>
      <c r="M71">
        <f t="shared" ref="M71:M134" si="58">IF(AQ70&lt;0.005,0,MIN((AQ70+ROUND(AQ70*AQ$3,2)),AQ$4))</f>
        <v>0</v>
      </c>
      <c r="N71">
        <f t="shared" ref="N71:N134" si="59">IF(AR70&lt;0.005,0,MIN((AR70+ROUND(AR70*AR$3,2)),AR$4))</f>
        <v>0</v>
      </c>
      <c r="O71">
        <f t="shared" ref="O71:O134" si="60">IF(AS70&lt;0.005,0,MIN((AS70+ROUND(AS70*AS$3,2)),AS$4))</f>
        <v>0</v>
      </c>
      <c r="P71">
        <f t="shared" ref="P71:P134" si="61">IF(AT70&lt;0.005,0,MIN((AT70+ROUND(AT70*AT$3,2)),AT$4))</f>
        <v>0</v>
      </c>
      <c r="Q71">
        <f t="shared" ref="Q71:Q134" si="62">IF(AU70&lt;0.005,0,MIN((AU70+ROUND(AU70*AU$3,2)),AU$4))</f>
        <v>0</v>
      </c>
      <c r="R71">
        <f t="shared" ref="R71:R134" si="63">IF(AV70&lt;0.005,0,MIN((AV70+ROUND(AV70*AV$3,2)),AV$4))</f>
        <v>0</v>
      </c>
      <c r="S71">
        <f t="shared" ref="S71:S134" si="64">IF(AH70&lt;0.005,0,MIN((AH70+ROUND(AH70*AH$3,2))-D71,MAX(0,$C71)))</f>
        <v>0</v>
      </c>
      <c r="T71">
        <f t="shared" ref="T71:T134" si="65">IF(AI70&lt;0.005,0,MIN((AI70+ROUND(AI70*AI$3,2))-E71,MAX(0,$C71-SUM(S71:S71))))</f>
        <v>0</v>
      </c>
      <c r="U71">
        <f t="shared" ref="U71:U134" si="66">IF(AJ70&lt;0.005,0,MIN((AJ70+ROUND(AJ70*AJ$3,2))-F71,MAX(0,$C71-SUM(S71:T71))))</f>
        <v>0</v>
      </c>
      <c r="V71">
        <f t="shared" ref="V71:V134" si="67">IF(AK70&lt;0.005,0,MIN((AK70+ROUND(AK70*AK$3,2))-G71,MAX(0,$C71-SUM(S71:U71))))</f>
        <v>0</v>
      </c>
      <c r="W71">
        <f t="shared" ref="W71:W134" si="68">IF(AL70&lt;0.005,0,MIN((AL70+ROUND(AL70*AL$3,2))-H71,MAX(0,$C71-SUM(S71:V71))))</f>
        <v>0</v>
      </c>
      <c r="X71">
        <f t="shared" ref="X71:X134" si="69">IF(AM70&lt;0.005,0,MIN((AM70+ROUND(AM70*AM$3,2))-I71,MAX(0,$C71-SUM(S71:W71))))</f>
        <v>0</v>
      </c>
      <c r="Y71">
        <f t="shared" ref="Y71:Y134" si="70">IF(AN70&lt;0.005,0,MIN((AN70+ROUND(AN70*AN$3,2))-J71,MAX(0,$C71-SUM(S71:X71))))</f>
        <v>0</v>
      </c>
      <c r="Z71">
        <f t="shared" ref="Z71:Z134" si="71">IF(AO70&lt;0.005,0,MIN((AO70+ROUND(AO70*AO$3,2))-K71,MAX(0,$C71-SUM(S71:Y71))))</f>
        <v>0</v>
      </c>
      <c r="AA71">
        <f t="shared" ref="AA71:AA134" si="72">IF(AP70&lt;0.005,0,MIN((AP70+ROUND(AP70*AP$3,2))-L71,MAX(0,$C71-SUM(S71:Z71))))</f>
        <v>0</v>
      </c>
      <c r="AB71">
        <f t="shared" ref="AB71:AB134" si="73">IF(AQ70&lt;0.005,0,MIN((AQ70+ROUND(AQ70*AQ$3,2))-M71,MAX(0,$C71-SUM(S71:AA71))))</f>
        <v>0</v>
      </c>
      <c r="AC71">
        <f t="shared" ref="AC71:AC134" si="74">IF(AR70&lt;0.005,0,MIN((AR70+ROUND(AR70*AR$3,2))-N71,MAX(0,$C71-SUM(S71:AB71))))</f>
        <v>0</v>
      </c>
      <c r="AD71">
        <f t="shared" ref="AD71:AD134" si="75">IF(AS70&lt;0.005,0,MIN((AS70+ROUND(AS70*AS$3,2))-O71,MAX(0,$C71-SUM(S71:AC71))))</f>
        <v>0</v>
      </c>
      <c r="AE71">
        <f t="shared" ref="AE71:AE134" si="76">IF(AT70&lt;0.005,0,MIN((AT70+ROUND(AT70*AT$3,2))-P71,MAX(0,$C71-SUM(S71:AD71))))</f>
        <v>0</v>
      </c>
      <c r="AF71">
        <f t="shared" ref="AF71:AF134" si="77">IF(AU70&lt;0.005,0,MIN((AU70+ROUND(AU70*AU$3,2))-Q71,MAX(0,$C71-SUM(S71:AE71))))</f>
        <v>0</v>
      </c>
      <c r="AG71">
        <f t="shared" ref="AG71:AG134" si="78">IF(AV70&lt;0.005,0,MIN((AV70+ROUND(AV70*AV$3,2))-R71,MAX(0,$C71-SUM(S71:AF71))))</f>
        <v>0</v>
      </c>
      <c r="AH71">
        <f t="shared" ref="AH71:AH134" si="79">IF(AH70&lt;0.005,0,ROUND((AH70+ROUND(AH70*AH$3,2))-D71-S71,2))</f>
        <v>0</v>
      </c>
      <c r="AI71">
        <f t="shared" ref="AI71:AI134" si="80">IF(AI70&lt;0.005,0,ROUND((AI70+ROUND(AI70*AI$3,2))-E71-T71,2))</f>
        <v>0</v>
      </c>
      <c r="AJ71">
        <f t="shared" ref="AJ71:AJ134" si="81">IF(AJ70&lt;0.005,0,ROUND((AJ70+ROUND(AJ70*AJ$3,2))-F71-U71,2))</f>
        <v>0</v>
      </c>
      <c r="AK71">
        <f t="shared" ref="AK71:AK134" si="82">IF(AK70&lt;0.005,0,ROUND((AK70+ROUND(AK70*AK$3,2))-G71-V71,2))</f>
        <v>0</v>
      </c>
      <c r="AL71">
        <f t="shared" ref="AL71:AL134" si="83">IF(AL70&lt;0.005,0,ROUND((AL70+ROUND(AL70*AL$3,2))-H71-W71,2))</f>
        <v>0</v>
      </c>
      <c r="AM71">
        <f t="shared" ref="AM71:AM134" si="84">IF(AM70&lt;0.005,0,ROUND((AM70+ROUND(AM70*AM$3,2))-I71-X71,2))</f>
        <v>0</v>
      </c>
      <c r="AN71">
        <f t="shared" ref="AN71:AN134" si="85">IF(AN70&lt;0.005,0,ROUND((AN70+ROUND(AN70*AN$3,2))-J71-Y71,2))</f>
        <v>0</v>
      </c>
      <c r="AO71">
        <f t="shared" ref="AO71:AO134" si="86">IF(AO70&lt;0.005,0,ROUND((AO70+ROUND(AO70*AO$3,2))-K71-Z71,2))</f>
        <v>0</v>
      </c>
      <c r="AP71">
        <f t="shared" ref="AP71:AP134" si="87">IF(AP70&lt;0.005,0,ROUND((AP70+ROUND(AP70*AP$3,2))-L71-AA71,2))</f>
        <v>0</v>
      </c>
      <c r="AQ71">
        <f t="shared" ref="AQ71:AQ134" si="88">IF(AQ70&lt;0.005,0,ROUND((AQ70+ROUND(AQ70*AQ$3,2))-M71-AB71,2))</f>
        <v>0</v>
      </c>
      <c r="AR71">
        <f t="shared" ref="AR71:AR134" si="89">IF(AR70&lt;0.005,0,ROUND((AR70+ROUND(AR70*AR$3,2))-N71-AC71,2))</f>
        <v>0</v>
      </c>
      <c r="AS71">
        <f t="shared" ref="AS71:AS134" si="90">IF(AS70&lt;0.005,0,ROUND((AS70+ROUND(AS70*AS$3,2))-O71-AD71,2))</f>
        <v>0</v>
      </c>
      <c r="AT71">
        <f t="shared" ref="AT71:AT134" si="91">IF(AT70&lt;0.005,0,ROUND((AT70+ROUND(AT70*AT$3,2))-P71-AE71,2))</f>
        <v>0</v>
      </c>
      <c r="AU71">
        <f t="shared" ref="AU71:AU134" si="92">IF(AU70&lt;0.005,0,ROUND((AU70+ROUND(AU70*AU$3,2))-Q71-AF71,2))</f>
        <v>0</v>
      </c>
      <c r="AV71">
        <f t="shared" ref="AV71:AV134" si="93">IF(AV70&lt;0.005,0,ROUND((AV70+ROUND(AV70*AV$3,2))-R71-AG71,2))</f>
        <v>0</v>
      </c>
      <c r="AW71">
        <f t="shared" si="48"/>
        <v>0</v>
      </c>
      <c r="AX71">
        <f t="shared" ref="AX71:AX134" si="94">SUMPRODUCT(ROUND(AH70:AV70*AH$3:AV$3,2))</f>
        <v>0</v>
      </c>
      <c r="AY71">
        <f t="shared" ref="AY71:AY134" si="95">SUM(D71:AG71)</f>
        <v>0</v>
      </c>
    </row>
    <row r="72" spans="1:51" x14ac:dyDescent="0.35">
      <c r="A72">
        <v>66</v>
      </c>
      <c r="C72">
        <f>MAX(0,Calc!$C$7-SUM(D72:R72))</f>
        <v>750</v>
      </c>
      <c r="D72">
        <f t="shared" si="49"/>
        <v>0</v>
      </c>
      <c r="E72">
        <f t="shared" si="50"/>
        <v>0</v>
      </c>
      <c r="F72">
        <f t="shared" si="51"/>
        <v>0</v>
      </c>
      <c r="G72">
        <f t="shared" si="52"/>
        <v>0</v>
      </c>
      <c r="H72">
        <f t="shared" si="53"/>
        <v>0</v>
      </c>
      <c r="I72">
        <f t="shared" si="54"/>
        <v>0</v>
      </c>
      <c r="J72">
        <f t="shared" si="55"/>
        <v>0</v>
      </c>
      <c r="K72">
        <f t="shared" si="56"/>
        <v>0</v>
      </c>
      <c r="L72">
        <f t="shared" si="57"/>
        <v>0</v>
      </c>
      <c r="M72">
        <f t="shared" si="58"/>
        <v>0</v>
      </c>
      <c r="N72">
        <f t="shared" si="59"/>
        <v>0</v>
      </c>
      <c r="O72">
        <f t="shared" si="60"/>
        <v>0</v>
      </c>
      <c r="P72">
        <f t="shared" si="61"/>
        <v>0</v>
      </c>
      <c r="Q72">
        <f t="shared" si="62"/>
        <v>0</v>
      </c>
      <c r="R72">
        <f t="shared" si="63"/>
        <v>0</v>
      </c>
      <c r="S72">
        <f t="shared" si="64"/>
        <v>0</v>
      </c>
      <c r="T72">
        <f t="shared" si="65"/>
        <v>0</v>
      </c>
      <c r="U72">
        <f t="shared" si="66"/>
        <v>0</v>
      </c>
      <c r="V72">
        <f t="shared" si="67"/>
        <v>0</v>
      </c>
      <c r="W72">
        <f t="shared" si="68"/>
        <v>0</v>
      </c>
      <c r="X72">
        <f t="shared" si="69"/>
        <v>0</v>
      </c>
      <c r="Y72">
        <f t="shared" si="70"/>
        <v>0</v>
      </c>
      <c r="Z72">
        <f t="shared" si="71"/>
        <v>0</v>
      </c>
      <c r="AA72">
        <f t="shared" si="72"/>
        <v>0</v>
      </c>
      <c r="AB72">
        <f t="shared" si="73"/>
        <v>0</v>
      </c>
      <c r="AC72">
        <f t="shared" si="74"/>
        <v>0</v>
      </c>
      <c r="AD72">
        <f t="shared" si="75"/>
        <v>0</v>
      </c>
      <c r="AE72">
        <f t="shared" si="76"/>
        <v>0</v>
      </c>
      <c r="AF72">
        <f t="shared" si="77"/>
        <v>0</v>
      </c>
      <c r="AG72">
        <f t="shared" si="78"/>
        <v>0</v>
      </c>
      <c r="AH72">
        <f t="shared" si="79"/>
        <v>0</v>
      </c>
      <c r="AI72">
        <f t="shared" si="80"/>
        <v>0</v>
      </c>
      <c r="AJ72">
        <f t="shared" si="81"/>
        <v>0</v>
      </c>
      <c r="AK72">
        <f t="shared" si="82"/>
        <v>0</v>
      </c>
      <c r="AL72">
        <f t="shared" si="83"/>
        <v>0</v>
      </c>
      <c r="AM72">
        <f t="shared" si="84"/>
        <v>0</v>
      </c>
      <c r="AN72">
        <f t="shared" si="85"/>
        <v>0</v>
      </c>
      <c r="AO72">
        <f t="shared" si="86"/>
        <v>0</v>
      </c>
      <c r="AP72">
        <f t="shared" si="87"/>
        <v>0</v>
      </c>
      <c r="AQ72">
        <f t="shared" si="88"/>
        <v>0</v>
      </c>
      <c r="AR72">
        <f t="shared" si="89"/>
        <v>0</v>
      </c>
      <c r="AS72">
        <f t="shared" si="90"/>
        <v>0</v>
      </c>
      <c r="AT72">
        <f t="shared" si="91"/>
        <v>0</v>
      </c>
      <c r="AU72">
        <f t="shared" si="92"/>
        <v>0</v>
      </c>
      <c r="AV72">
        <f t="shared" si="93"/>
        <v>0</v>
      </c>
      <c r="AW72">
        <f t="shared" si="48"/>
        <v>0</v>
      </c>
      <c r="AX72">
        <f t="shared" si="94"/>
        <v>0</v>
      </c>
      <c r="AY72">
        <f t="shared" si="95"/>
        <v>0</v>
      </c>
    </row>
    <row r="73" spans="1:51" x14ac:dyDescent="0.35">
      <c r="A73">
        <v>67</v>
      </c>
      <c r="C73">
        <f>MAX(0,Calc!$C$7-SUM(D73:R73))</f>
        <v>750</v>
      </c>
      <c r="D73">
        <f t="shared" si="49"/>
        <v>0</v>
      </c>
      <c r="E73">
        <f t="shared" si="50"/>
        <v>0</v>
      </c>
      <c r="F73">
        <f t="shared" si="51"/>
        <v>0</v>
      </c>
      <c r="G73">
        <f t="shared" si="52"/>
        <v>0</v>
      </c>
      <c r="H73">
        <f t="shared" si="53"/>
        <v>0</v>
      </c>
      <c r="I73">
        <f t="shared" si="54"/>
        <v>0</v>
      </c>
      <c r="J73">
        <f t="shared" si="55"/>
        <v>0</v>
      </c>
      <c r="K73">
        <f t="shared" si="56"/>
        <v>0</v>
      </c>
      <c r="L73">
        <f t="shared" si="57"/>
        <v>0</v>
      </c>
      <c r="M73">
        <f t="shared" si="58"/>
        <v>0</v>
      </c>
      <c r="N73">
        <f t="shared" si="59"/>
        <v>0</v>
      </c>
      <c r="O73">
        <f t="shared" si="60"/>
        <v>0</v>
      </c>
      <c r="P73">
        <f t="shared" si="61"/>
        <v>0</v>
      </c>
      <c r="Q73">
        <f t="shared" si="62"/>
        <v>0</v>
      </c>
      <c r="R73">
        <f t="shared" si="63"/>
        <v>0</v>
      </c>
      <c r="S73">
        <f t="shared" si="64"/>
        <v>0</v>
      </c>
      <c r="T73">
        <f t="shared" si="65"/>
        <v>0</v>
      </c>
      <c r="U73">
        <f t="shared" si="66"/>
        <v>0</v>
      </c>
      <c r="V73">
        <f t="shared" si="67"/>
        <v>0</v>
      </c>
      <c r="W73">
        <f t="shared" si="68"/>
        <v>0</v>
      </c>
      <c r="X73">
        <f t="shared" si="69"/>
        <v>0</v>
      </c>
      <c r="Y73">
        <f t="shared" si="70"/>
        <v>0</v>
      </c>
      <c r="Z73">
        <f t="shared" si="71"/>
        <v>0</v>
      </c>
      <c r="AA73">
        <f t="shared" si="72"/>
        <v>0</v>
      </c>
      <c r="AB73">
        <f t="shared" si="73"/>
        <v>0</v>
      </c>
      <c r="AC73">
        <f t="shared" si="74"/>
        <v>0</v>
      </c>
      <c r="AD73">
        <f t="shared" si="75"/>
        <v>0</v>
      </c>
      <c r="AE73">
        <f t="shared" si="76"/>
        <v>0</v>
      </c>
      <c r="AF73">
        <f t="shared" si="77"/>
        <v>0</v>
      </c>
      <c r="AG73">
        <f t="shared" si="78"/>
        <v>0</v>
      </c>
      <c r="AH73">
        <f t="shared" si="79"/>
        <v>0</v>
      </c>
      <c r="AI73">
        <f t="shared" si="80"/>
        <v>0</v>
      </c>
      <c r="AJ73">
        <f t="shared" si="81"/>
        <v>0</v>
      </c>
      <c r="AK73">
        <f t="shared" si="82"/>
        <v>0</v>
      </c>
      <c r="AL73">
        <f t="shared" si="83"/>
        <v>0</v>
      </c>
      <c r="AM73">
        <f t="shared" si="84"/>
        <v>0</v>
      </c>
      <c r="AN73">
        <f t="shared" si="85"/>
        <v>0</v>
      </c>
      <c r="AO73">
        <f t="shared" si="86"/>
        <v>0</v>
      </c>
      <c r="AP73">
        <f t="shared" si="87"/>
        <v>0</v>
      </c>
      <c r="AQ73">
        <f t="shared" si="88"/>
        <v>0</v>
      </c>
      <c r="AR73">
        <f t="shared" si="89"/>
        <v>0</v>
      </c>
      <c r="AS73">
        <f t="shared" si="90"/>
        <v>0</v>
      </c>
      <c r="AT73">
        <f t="shared" si="91"/>
        <v>0</v>
      </c>
      <c r="AU73">
        <f t="shared" si="92"/>
        <v>0</v>
      </c>
      <c r="AV73">
        <f t="shared" si="93"/>
        <v>0</v>
      </c>
      <c r="AW73">
        <f t="shared" si="48"/>
        <v>0</v>
      </c>
      <c r="AX73">
        <f t="shared" si="94"/>
        <v>0</v>
      </c>
      <c r="AY73">
        <f t="shared" si="95"/>
        <v>0</v>
      </c>
    </row>
    <row r="74" spans="1:51" x14ac:dyDescent="0.35">
      <c r="A74">
        <v>68</v>
      </c>
      <c r="C74">
        <f>MAX(0,Calc!$C$7-SUM(D74:R74))</f>
        <v>750</v>
      </c>
      <c r="D74">
        <f t="shared" si="49"/>
        <v>0</v>
      </c>
      <c r="E74">
        <f t="shared" si="50"/>
        <v>0</v>
      </c>
      <c r="F74">
        <f t="shared" si="51"/>
        <v>0</v>
      </c>
      <c r="G74">
        <f t="shared" si="52"/>
        <v>0</v>
      </c>
      <c r="H74">
        <f t="shared" si="53"/>
        <v>0</v>
      </c>
      <c r="I74">
        <f t="shared" si="54"/>
        <v>0</v>
      </c>
      <c r="J74">
        <f t="shared" si="55"/>
        <v>0</v>
      </c>
      <c r="K74">
        <f t="shared" si="56"/>
        <v>0</v>
      </c>
      <c r="L74">
        <f t="shared" si="57"/>
        <v>0</v>
      </c>
      <c r="M74">
        <f t="shared" si="58"/>
        <v>0</v>
      </c>
      <c r="N74">
        <f t="shared" si="59"/>
        <v>0</v>
      </c>
      <c r="O74">
        <f t="shared" si="60"/>
        <v>0</v>
      </c>
      <c r="P74">
        <f t="shared" si="61"/>
        <v>0</v>
      </c>
      <c r="Q74">
        <f t="shared" si="62"/>
        <v>0</v>
      </c>
      <c r="R74">
        <f t="shared" si="63"/>
        <v>0</v>
      </c>
      <c r="S74">
        <f t="shared" si="64"/>
        <v>0</v>
      </c>
      <c r="T74">
        <f t="shared" si="65"/>
        <v>0</v>
      </c>
      <c r="U74">
        <f t="shared" si="66"/>
        <v>0</v>
      </c>
      <c r="V74">
        <f t="shared" si="67"/>
        <v>0</v>
      </c>
      <c r="W74">
        <f t="shared" si="68"/>
        <v>0</v>
      </c>
      <c r="X74">
        <f t="shared" si="69"/>
        <v>0</v>
      </c>
      <c r="Y74">
        <f t="shared" si="70"/>
        <v>0</v>
      </c>
      <c r="Z74">
        <f t="shared" si="71"/>
        <v>0</v>
      </c>
      <c r="AA74">
        <f t="shared" si="72"/>
        <v>0</v>
      </c>
      <c r="AB74">
        <f t="shared" si="73"/>
        <v>0</v>
      </c>
      <c r="AC74">
        <f t="shared" si="74"/>
        <v>0</v>
      </c>
      <c r="AD74">
        <f t="shared" si="75"/>
        <v>0</v>
      </c>
      <c r="AE74">
        <f t="shared" si="76"/>
        <v>0</v>
      </c>
      <c r="AF74">
        <f t="shared" si="77"/>
        <v>0</v>
      </c>
      <c r="AG74">
        <f t="shared" si="78"/>
        <v>0</v>
      </c>
      <c r="AH74">
        <f t="shared" si="79"/>
        <v>0</v>
      </c>
      <c r="AI74">
        <f t="shared" si="80"/>
        <v>0</v>
      </c>
      <c r="AJ74">
        <f t="shared" si="81"/>
        <v>0</v>
      </c>
      <c r="AK74">
        <f t="shared" si="82"/>
        <v>0</v>
      </c>
      <c r="AL74">
        <f t="shared" si="83"/>
        <v>0</v>
      </c>
      <c r="AM74">
        <f t="shared" si="84"/>
        <v>0</v>
      </c>
      <c r="AN74">
        <f t="shared" si="85"/>
        <v>0</v>
      </c>
      <c r="AO74">
        <f t="shared" si="86"/>
        <v>0</v>
      </c>
      <c r="AP74">
        <f t="shared" si="87"/>
        <v>0</v>
      </c>
      <c r="AQ74">
        <f t="shared" si="88"/>
        <v>0</v>
      </c>
      <c r="AR74">
        <f t="shared" si="89"/>
        <v>0</v>
      </c>
      <c r="AS74">
        <f t="shared" si="90"/>
        <v>0</v>
      </c>
      <c r="AT74">
        <f t="shared" si="91"/>
        <v>0</v>
      </c>
      <c r="AU74">
        <f t="shared" si="92"/>
        <v>0</v>
      </c>
      <c r="AV74">
        <f t="shared" si="93"/>
        <v>0</v>
      </c>
      <c r="AW74">
        <f t="shared" si="48"/>
        <v>0</v>
      </c>
      <c r="AX74">
        <f t="shared" si="94"/>
        <v>0</v>
      </c>
      <c r="AY74">
        <f t="shared" si="95"/>
        <v>0</v>
      </c>
    </row>
    <row r="75" spans="1:51" x14ac:dyDescent="0.35">
      <c r="A75">
        <v>69</v>
      </c>
      <c r="C75">
        <f>MAX(0,Calc!$C$7-SUM(D75:R75))</f>
        <v>750</v>
      </c>
      <c r="D75">
        <f t="shared" si="49"/>
        <v>0</v>
      </c>
      <c r="E75">
        <f t="shared" si="50"/>
        <v>0</v>
      </c>
      <c r="F75">
        <f t="shared" si="51"/>
        <v>0</v>
      </c>
      <c r="G75">
        <f t="shared" si="52"/>
        <v>0</v>
      </c>
      <c r="H75">
        <f t="shared" si="53"/>
        <v>0</v>
      </c>
      <c r="I75">
        <f t="shared" si="54"/>
        <v>0</v>
      </c>
      <c r="J75">
        <f t="shared" si="55"/>
        <v>0</v>
      </c>
      <c r="K75">
        <f t="shared" si="56"/>
        <v>0</v>
      </c>
      <c r="L75">
        <f t="shared" si="57"/>
        <v>0</v>
      </c>
      <c r="M75">
        <f t="shared" si="58"/>
        <v>0</v>
      </c>
      <c r="N75">
        <f t="shared" si="59"/>
        <v>0</v>
      </c>
      <c r="O75">
        <f t="shared" si="60"/>
        <v>0</v>
      </c>
      <c r="P75">
        <f t="shared" si="61"/>
        <v>0</v>
      </c>
      <c r="Q75">
        <f t="shared" si="62"/>
        <v>0</v>
      </c>
      <c r="R75">
        <f t="shared" si="63"/>
        <v>0</v>
      </c>
      <c r="S75">
        <f t="shared" si="64"/>
        <v>0</v>
      </c>
      <c r="T75">
        <f t="shared" si="65"/>
        <v>0</v>
      </c>
      <c r="U75">
        <f t="shared" si="66"/>
        <v>0</v>
      </c>
      <c r="V75">
        <f t="shared" si="67"/>
        <v>0</v>
      </c>
      <c r="W75">
        <f t="shared" si="68"/>
        <v>0</v>
      </c>
      <c r="X75">
        <f t="shared" si="69"/>
        <v>0</v>
      </c>
      <c r="Y75">
        <f t="shared" si="70"/>
        <v>0</v>
      </c>
      <c r="Z75">
        <f t="shared" si="71"/>
        <v>0</v>
      </c>
      <c r="AA75">
        <f t="shared" si="72"/>
        <v>0</v>
      </c>
      <c r="AB75">
        <f t="shared" si="73"/>
        <v>0</v>
      </c>
      <c r="AC75">
        <f t="shared" si="74"/>
        <v>0</v>
      </c>
      <c r="AD75">
        <f t="shared" si="75"/>
        <v>0</v>
      </c>
      <c r="AE75">
        <f t="shared" si="76"/>
        <v>0</v>
      </c>
      <c r="AF75">
        <f t="shared" si="77"/>
        <v>0</v>
      </c>
      <c r="AG75">
        <f t="shared" si="78"/>
        <v>0</v>
      </c>
      <c r="AH75">
        <f t="shared" si="79"/>
        <v>0</v>
      </c>
      <c r="AI75">
        <f t="shared" si="80"/>
        <v>0</v>
      </c>
      <c r="AJ75">
        <f t="shared" si="81"/>
        <v>0</v>
      </c>
      <c r="AK75">
        <f t="shared" si="82"/>
        <v>0</v>
      </c>
      <c r="AL75">
        <f t="shared" si="83"/>
        <v>0</v>
      </c>
      <c r="AM75">
        <f t="shared" si="84"/>
        <v>0</v>
      </c>
      <c r="AN75">
        <f t="shared" si="85"/>
        <v>0</v>
      </c>
      <c r="AO75">
        <f t="shared" si="86"/>
        <v>0</v>
      </c>
      <c r="AP75">
        <f t="shared" si="87"/>
        <v>0</v>
      </c>
      <c r="AQ75">
        <f t="shared" si="88"/>
        <v>0</v>
      </c>
      <c r="AR75">
        <f t="shared" si="89"/>
        <v>0</v>
      </c>
      <c r="AS75">
        <f t="shared" si="90"/>
        <v>0</v>
      </c>
      <c r="AT75">
        <f t="shared" si="91"/>
        <v>0</v>
      </c>
      <c r="AU75">
        <f t="shared" si="92"/>
        <v>0</v>
      </c>
      <c r="AV75">
        <f t="shared" si="93"/>
        <v>0</v>
      </c>
      <c r="AW75">
        <f t="shared" si="48"/>
        <v>0</v>
      </c>
      <c r="AX75">
        <f t="shared" si="94"/>
        <v>0</v>
      </c>
      <c r="AY75">
        <f t="shared" si="95"/>
        <v>0</v>
      </c>
    </row>
    <row r="76" spans="1:51" x14ac:dyDescent="0.35">
      <c r="A76">
        <v>70</v>
      </c>
      <c r="C76">
        <f>MAX(0,Calc!$C$7-SUM(D76:R76))</f>
        <v>750</v>
      </c>
      <c r="D76">
        <f t="shared" si="49"/>
        <v>0</v>
      </c>
      <c r="E76">
        <f t="shared" si="50"/>
        <v>0</v>
      </c>
      <c r="F76">
        <f t="shared" si="51"/>
        <v>0</v>
      </c>
      <c r="G76">
        <f t="shared" si="52"/>
        <v>0</v>
      </c>
      <c r="H76">
        <f t="shared" si="53"/>
        <v>0</v>
      </c>
      <c r="I76">
        <f t="shared" si="54"/>
        <v>0</v>
      </c>
      <c r="J76">
        <f t="shared" si="55"/>
        <v>0</v>
      </c>
      <c r="K76">
        <f t="shared" si="56"/>
        <v>0</v>
      </c>
      <c r="L76">
        <f t="shared" si="57"/>
        <v>0</v>
      </c>
      <c r="M76">
        <f t="shared" si="58"/>
        <v>0</v>
      </c>
      <c r="N76">
        <f t="shared" si="59"/>
        <v>0</v>
      </c>
      <c r="O76">
        <f t="shared" si="60"/>
        <v>0</v>
      </c>
      <c r="P76">
        <f t="shared" si="61"/>
        <v>0</v>
      </c>
      <c r="Q76">
        <f t="shared" si="62"/>
        <v>0</v>
      </c>
      <c r="R76">
        <f t="shared" si="63"/>
        <v>0</v>
      </c>
      <c r="S76">
        <f t="shared" si="64"/>
        <v>0</v>
      </c>
      <c r="T76">
        <f t="shared" si="65"/>
        <v>0</v>
      </c>
      <c r="U76">
        <f t="shared" si="66"/>
        <v>0</v>
      </c>
      <c r="V76">
        <f t="shared" si="67"/>
        <v>0</v>
      </c>
      <c r="W76">
        <f t="shared" si="68"/>
        <v>0</v>
      </c>
      <c r="X76">
        <f t="shared" si="69"/>
        <v>0</v>
      </c>
      <c r="Y76">
        <f t="shared" si="70"/>
        <v>0</v>
      </c>
      <c r="Z76">
        <f t="shared" si="71"/>
        <v>0</v>
      </c>
      <c r="AA76">
        <f t="shared" si="72"/>
        <v>0</v>
      </c>
      <c r="AB76">
        <f t="shared" si="73"/>
        <v>0</v>
      </c>
      <c r="AC76">
        <f t="shared" si="74"/>
        <v>0</v>
      </c>
      <c r="AD76">
        <f t="shared" si="75"/>
        <v>0</v>
      </c>
      <c r="AE76">
        <f t="shared" si="76"/>
        <v>0</v>
      </c>
      <c r="AF76">
        <f t="shared" si="77"/>
        <v>0</v>
      </c>
      <c r="AG76">
        <f t="shared" si="78"/>
        <v>0</v>
      </c>
      <c r="AH76">
        <f t="shared" si="79"/>
        <v>0</v>
      </c>
      <c r="AI76">
        <f t="shared" si="80"/>
        <v>0</v>
      </c>
      <c r="AJ76">
        <f t="shared" si="81"/>
        <v>0</v>
      </c>
      <c r="AK76">
        <f t="shared" si="82"/>
        <v>0</v>
      </c>
      <c r="AL76">
        <f t="shared" si="83"/>
        <v>0</v>
      </c>
      <c r="AM76">
        <f t="shared" si="84"/>
        <v>0</v>
      </c>
      <c r="AN76">
        <f t="shared" si="85"/>
        <v>0</v>
      </c>
      <c r="AO76">
        <f t="shared" si="86"/>
        <v>0</v>
      </c>
      <c r="AP76">
        <f t="shared" si="87"/>
        <v>0</v>
      </c>
      <c r="AQ76">
        <f t="shared" si="88"/>
        <v>0</v>
      </c>
      <c r="AR76">
        <f t="shared" si="89"/>
        <v>0</v>
      </c>
      <c r="AS76">
        <f t="shared" si="90"/>
        <v>0</v>
      </c>
      <c r="AT76">
        <f t="shared" si="91"/>
        <v>0</v>
      </c>
      <c r="AU76">
        <f t="shared" si="92"/>
        <v>0</v>
      </c>
      <c r="AV76">
        <f t="shared" si="93"/>
        <v>0</v>
      </c>
      <c r="AW76">
        <f t="shared" si="48"/>
        <v>0</v>
      </c>
      <c r="AX76">
        <f t="shared" si="94"/>
        <v>0</v>
      </c>
      <c r="AY76">
        <f t="shared" si="95"/>
        <v>0</v>
      </c>
    </row>
    <row r="77" spans="1:51" x14ac:dyDescent="0.35">
      <c r="A77">
        <v>71</v>
      </c>
      <c r="C77">
        <f>MAX(0,Calc!$C$7-SUM(D77:R77))</f>
        <v>750</v>
      </c>
      <c r="D77">
        <f t="shared" si="49"/>
        <v>0</v>
      </c>
      <c r="E77">
        <f t="shared" si="50"/>
        <v>0</v>
      </c>
      <c r="F77">
        <f t="shared" si="51"/>
        <v>0</v>
      </c>
      <c r="G77">
        <f t="shared" si="52"/>
        <v>0</v>
      </c>
      <c r="H77">
        <f t="shared" si="53"/>
        <v>0</v>
      </c>
      <c r="I77">
        <f t="shared" si="54"/>
        <v>0</v>
      </c>
      <c r="J77">
        <f t="shared" si="55"/>
        <v>0</v>
      </c>
      <c r="K77">
        <f t="shared" si="56"/>
        <v>0</v>
      </c>
      <c r="L77">
        <f t="shared" si="57"/>
        <v>0</v>
      </c>
      <c r="M77">
        <f t="shared" si="58"/>
        <v>0</v>
      </c>
      <c r="N77">
        <f t="shared" si="59"/>
        <v>0</v>
      </c>
      <c r="O77">
        <f t="shared" si="60"/>
        <v>0</v>
      </c>
      <c r="P77">
        <f t="shared" si="61"/>
        <v>0</v>
      </c>
      <c r="Q77">
        <f t="shared" si="62"/>
        <v>0</v>
      </c>
      <c r="R77">
        <f t="shared" si="63"/>
        <v>0</v>
      </c>
      <c r="S77">
        <f t="shared" si="64"/>
        <v>0</v>
      </c>
      <c r="T77">
        <f t="shared" si="65"/>
        <v>0</v>
      </c>
      <c r="U77">
        <f t="shared" si="66"/>
        <v>0</v>
      </c>
      <c r="V77">
        <f t="shared" si="67"/>
        <v>0</v>
      </c>
      <c r="W77">
        <f t="shared" si="68"/>
        <v>0</v>
      </c>
      <c r="X77">
        <f t="shared" si="69"/>
        <v>0</v>
      </c>
      <c r="Y77">
        <f t="shared" si="70"/>
        <v>0</v>
      </c>
      <c r="Z77">
        <f t="shared" si="71"/>
        <v>0</v>
      </c>
      <c r="AA77">
        <f t="shared" si="72"/>
        <v>0</v>
      </c>
      <c r="AB77">
        <f t="shared" si="73"/>
        <v>0</v>
      </c>
      <c r="AC77">
        <f t="shared" si="74"/>
        <v>0</v>
      </c>
      <c r="AD77">
        <f t="shared" si="75"/>
        <v>0</v>
      </c>
      <c r="AE77">
        <f t="shared" si="76"/>
        <v>0</v>
      </c>
      <c r="AF77">
        <f t="shared" si="77"/>
        <v>0</v>
      </c>
      <c r="AG77">
        <f t="shared" si="78"/>
        <v>0</v>
      </c>
      <c r="AH77">
        <f t="shared" si="79"/>
        <v>0</v>
      </c>
      <c r="AI77">
        <f t="shared" si="80"/>
        <v>0</v>
      </c>
      <c r="AJ77">
        <f t="shared" si="81"/>
        <v>0</v>
      </c>
      <c r="AK77">
        <f t="shared" si="82"/>
        <v>0</v>
      </c>
      <c r="AL77">
        <f t="shared" si="83"/>
        <v>0</v>
      </c>
      <c r="AM77">
        <f t="shared" si="84"/>
        <v>0</v>
      </c>
      <c r="AN77">
        <f t="shared" si="85"/>
        <v>0</v>
      </c>
      <c r="AO77">
        <f t="shared" si="86"/>
        <v>0</v>
      </c>
      <c r="AP77">
        <f t="shared" si="87"/>
        <v>0</v>
      </c>
      <c r="AQ77">
        <f t="shared" si="88"/>
        <v>0</v>
      </c>
      <c r="AR77">
        <f t="shared" si="89"/>
        <v>0</v>
      </c>
      <c r="AS77">
        <f t="shared" si="90"/>
        <v>0</v>
      </c>
      <c r="AT77">
        <f t="shared" si="91"/>
        <v>0</v>
      </c>
      <c r="AU77">
        <f t="shared" si="92"/>
        <v>0</v>
      </c>
      <c r="AV77">
        <f t="shared" si="93"/>
        <v>0</v>
      </c>
      <c r="AW77">
        <f t="shared" si="48"/>
        <v>0</v>
      </c>
      <c r="AX77">
        <f t="shared" si="94"/>
        <v>0</v>
      </c>
      <c r="AY77">
        <f t="shared" si="95"/>
        <v>0</v>
      </c>
    </row>
    <row r="78" spans="1:51" x14ac:dyDescent="0.35">
      <c r="A78">
        <v>72</v>
      </c>
      <c r="C78">
        <f>MAX(0,Calc!$C$7-SUM(D78:R78))</f>
        <v>750</v>
      </c>
      <c r="D78">
        <f t="shared" si="49"/>
        <v>0</v>
      </c>
      <c r="E78">
        <f t="shared" si="50"/>
        <v>0</v>
      </c>
      <c r="F78">
        <f t="shared" si="51"/>
        <v>0</v>
      </c>
      <c r="G78">
        <f t="shared" si="52"/>
        <v>0</v>
      </c>
      <c r="H78">
        <f t="shared" si="53"/>
        <v>0</v>
      </c>
      <c r="I78">
        <f t="shared" si="54"/>
        <v>0</v>
      </c>
      <c r="J78">
        <f t="shared" si="55"/>
        <v>0</v>
      </c>
      <c r="K78">
        <f t="shared" si="56"/>
        <v>0</v>
      </c>
      <c r="L78">
        <f t="shared" si="57"/>
        <v>0</v>
      </c>
      <c r="M78">
        <f t="shared" si="58"/>
        <v>0</v>
      </c>
      <c r="N78">
        <f t="shared" si="59"/>
        <v>0</v>
      </c>
      <c r="O78">
        <f t="shared" si="60"/>
        <v>0</v>
      </c>
      <c r="P78">
        <f t="shared" si="61"/>
        <v>0</v>
      </c>
      <c r="Q78">
        <f t="shared" si="62"/>
        <v>0</v>
      </c>
      <c r="R78">
        <f t="shared" si="63"/>
        <v>0</v>
      </c>
      <c r="S78">
        <f t="shared" si="64"/>
        <v>0</v>
      </c>
      <c r="T78">
        <f t="shared" si="65"/>
        <v>0</v>
      </c>
      <c r="U78">
        <f t="shared" si="66"/>
        <v>0</v>
      </c>
      <c r="V78">
        <f t="shared" si="67"/>
        <v>0</v>
      </c>
      <c r="W78">
        <f t="shared" si="68"/>
        <v>0</v>
      </c>
      <c r="X78">
        <f t="shared" si="69"/>
        <v>0</v>
      </c>
      <c r="Y78">
        <f t="shared" si="70"/>
        <v>0</v>
      </c>
      <c r="Z78">
        <f t="shared" si="71"/>
        <v>0</v>
      </c>
      <c r="AA78">
        <f t="shared" si="72"/>
        <v>0</v>
      </c>
      <c r="AB78">
        <f t="shared" si="73"/>
        <v>0</v>
      </c>
      <c r="AC78">
        <f t="shared" si="74"/>
        <v>0</v>
      </c>
      <c r="AD78">
        <f t="shared" si="75"/>
        <v>0</v>
      </c>
      <c r="AE78">
        <f t="shared" si="76"/>
        <v>0</v>
      </c>
      <c r="AF78">
        <f t="shared" si="77"/>
        <v>0</v>
      </c>
      <c r="AG78">
        <f t="shared" si="78"/>
        <v>0</v>
      </c>
      <c r="AH78">
        <f t="shared" si="79"/>
        <v>0</v>
      </c>
      <c r="AI78">
        <f t="shared" si="80"/>
        <v>0</v>
      </c>
      <c r="AJ78">
        <f t="shared" si="81"/>
        <v>0</v>
      </c>
      <c r="AK78">
        <f t="shared" si="82"/>
        <v>0</v>
      </c>
      <c r="AL78">
        <f t="shared" si="83"/>
        <v>0</v>
      </c>
      <c r="AM78">
        <f t="shared" si="84"/>
        <v>0</v>
      </c>
      <c r="AN78">
        <f t="shared" si="85"/>
        <v>0</v>
      </c>
      <c r="AO78">
        <f t="shared" si="86"/>
        <v>0</v>
      </c>
      <c r="AP78">
        <f t="shared" si="87"/>
        <v>0</v>
      </c>
      <c r="AQ78">
        <f t="shared" si="88"/>
        <v>0</v>
      </c>
      <c r="AR78">
        <f t="shared" si="89"/>
        <v>0</v>
      </c>
      <c r="AS78">
        <f t="shared" si="90"/>
        <v>0</v>
      </c>
      <c r="AT78">
        <f t="shared" si="91"/>
        <v>0</v>
      </c>
      <c r="AU78">
        <f t="shared" si="92"/>
        <v>0</v>
      </c>
      <c r="AV78">
        <f t="shared" si="93"/>
        <v>0</v>
      </c>
      <c r="AW78">
        <f t="shared" si="48"/>
        <v>0</v>
      </c>
      <c r="AX78">
        <f t="shared" si="94"/>
        <v>0</v>
      </c>
      <c r="AY78">
        <f t="shared" si="95"/>
        <v>0</v>
      </c>
    </row>
    <row r="79" spans="1:51" x14ac:dyDescent="0.35">
      <c r="A79">
        <v>73</v>
      </c>
      <c r="C79">
        <f>MAX(0,Calc!$C$7-SUM(D79:R79))</f>
        <v>750</v>
      </c>
      <c r="D79">
        <f t="shared" si="49"/>
        <v>0</v>
      </c>
      <c r="E79">
        <f t="shared" si="50"/>
        <v>0</v>
      </c>
      <c r="F79">
        <f t="shared" si="51"/>
        <v>0</v>
      </c>
      <c r="G79">
        <f t="shared" si="52"/>
        <v>0</v>
      </c>
      <c r="H79">
        <f t="shared" si="53"/>
        <v>0</v>
      </c>
      <c r="I79">
        <f t="shared" si="54"/>
        <v>0</v>
      </c>
      <c r="J79">
        <f t="shared" si="55"/>
        <v>0</v>
      </c>
      <c r="K79">
        <f t="shared" si="56"/>
        <v>0</v>
      </c>
      <c r="L79">
        <f t="shared" si="57"/>
        <v>0</v>
      </c>
      <c r="M79">
        <f t="shared" si="58"/>
        <v>0</v>
      </c>
      <c r="N79">
        <f t="shared" si="59"/>
        <v>0</v>
      </c>
      <c r="O79">
        <f t="shared" si="60"/>
        <v>0</v>
      </c>
      <c r="P79">
        <f t="shared" si="61"/>
        <v>0</v>
      </c>
      <c r="Q79">
        <f t="shared" si="62"/>
        <v>0</v>
      </c>
      <c r="R79">
        <f t="shared" si="63"/>
        <v>0</v>
      </c>
      <c r="S79">
        <f t="shared" si="64"/>
        <v>0</v>
      </c>
      <c r="T79">
        <f t="shared" si="65"/>
        <v>0</v>
      </c>
      <c r="U79">
        <f t="shared" si="66"/>
        <v>0</v>
      </c>
      <c r="V79">
        <f t="shared" si="67"/>
        <v>0</v>
      </c>
      <c r="W79">
        <f t="shared" si="68"/>
        <v>0</v>
      </c>
      <c r="X79">
        <f t="shared" si="69"/>
        <v>0</v>
      </c>
      <c r="Y79">
        <f t="shared" si="70"/>
        <v>0</v>
      </c>
      <c r="Z79">
        <f t="shared" si="71"/>
        <v>0</v>
      </c>
      <c r="AA79">
        <f t="shared" si="72"/>
        <v>0</v>
      </c>
      <c r="AB79">
        <f t="shared" si="73"/>
        <v>0</v>
      </c>
      <c r="AC79">
        <f t="shared" si="74"/>
        <v>0</v>
      </c>
      <c r="AD79">
        <f t="shared" si="75"/>
        <v>0</v>
      </c>
      <c r="AE79">
        <f t="shared" si="76"/>
        <v>0</v>
      </c>
      <c r="AF79">
        <f t="shared" si="77"/>
        <v>0</v>
      </c>
      <c r="AG79">
        <f t="shared" si="78"/>
        <v>0</v>
      </c>
      <c r="AH79">
        <f t="shared" si="79"/>
        <v>0</v>
      </c>
      <c r="AI79">
        <f t="shared" si="80"/>
        <v>0</v>
      </c>
      <c r="AJ79">
        <f t="shared" si="81"/>
        <v>0</v>
      </c>
      <c r="AK79">
        <f t="shared" si="82"/>
        <v>0</v>
      </c>
      <c r="AL79">
        <f t="shared" si="83"/>
        <v>0</v>
      </c>
      <c r="AM79">
        <f t="shared" si="84"/>
        <v>0</v>
      </c>
      <c r="AN79">
        <f t="shared" si="85"/>
        <v>0</v>
      </c>
      <c r="AO79">
        <f t="shared" si="86"/>
        <v>0</v>
      </c>
      <c r="AP79">
        <f t="shared" si="87"/>
        <v>0</v>
      </c>
      <c r="AQ79">
        <f t="shared" si="88"/>
        <v>0</v>
      </c>
      <c r="AR79">
        <f t="shared" si="89"/>
        <v>0</v>
      </c>
      <c r="AS79">
        <f t="shared" si="90"/>
        <v>0</v>
      </c>
      <c r="AT79">
        <f t="shared" si="91"/>
        <v>0</v>
      </c>
      <c r="AU79">
        <f t="shared" si="92"/>
        <v>0</v>
      </c>
      <c r="AV79">
        <f t="shared" si="93"/>
        <v>0</v>
      </c>
      <c r="AW79">
        <f t="shared" si="48"/>
        <v>0</v>
      </c>
      <c r="AX79">
        <f t="shared" si="94"/>
        <v>0</v>
      </c>
      <c r="AY79">
        <f t="shared" si="95"/>
        <v>0</v>
      </c>
    </row>
    <row r="80" spans="1:51" x14ac:dyDescent="0.35">
      <c r="A80">
        <v>74</v>
      </c>
      <c r="C80">
        <f>MAX(0,Calc!$C$7-SUM(D80:R80))</f>
        <v>750</v>
      </c>
      <c r="D80">
        <f t="shared" si="49"/>
        <v>0</v>
      </c>
      <c r="E80">
        <f t="shared" si="50"/>
        <v>0</v>
      </c>
      <c r="F80">
        <f t="shared" si="51"/>
        <v>0</v>
      </c>
      <c r="G80">
        <f t="shared" si="52"/>
        <v>0</v>
      </c>
      <c r="H80">
        <f t="shared" si="53"/>
        <v>0</v>
      </c>
      <c r="I80">
        <f t="shared" si="54"/>
        <v>0</v>
      </c>
      <c r="J80">
        <f t="shared" si="55"/>
        <v>0</v>
      </c>
      <c r="K80">
        <f t="shared" si="56"/>
        <v>0</v>
      </c>
      <c r="L80">
        <f t="shared" si="57"/>
        <v>0</v>
      </c>
      <c r="M80">
        <f t="shared" si="58"/>
        <v>0</v>
      </c>
      <c r="N80">
        <f t="shared" si="59"/>
        <v>0</v>
      </c>
      <c r="O80">
        <f t="shared" si="60"/>
        <v>0</v>
      </c>
      <c r="P80">
        <f t="shared" si="61"/>
        <v>0</v>
      </c>
      <c r="Q80">
        <f t="shared" si="62"/>
        <v>0</v>
      </c>
      <c r="R80">
        <f t="shared" si="63"/>
        <v>0</v>
      </c>
      <c r="S80">
        <f t="shared" si="64"/>
        <v>0</v>
      </c>
      <c r="T80">
        <f t="shared" si="65"/>
        <v>0</v>
      </c>
      <c r="U80">
        <f t="shared" si="66"/>
        <v>0</v>
      </c>
      <c r="V80">
        <f t="shared" si="67"/>
        <v>0</v>
      </c>
      <c r="W80">
        <f t="shared" si="68"/>
        <v>0</v>
      </c>
      <c r="X80">
        <f t="shared" si="69"/>
        <v>0</v>
      </c>
      <c r="Y80">
        <f t="shared" si="70"/>
        <v>0</v>
      </c>
      <c r="Z80">
        <f t="shared" si="71"/>
        <v>0</v>
      </c>
      <c r="AA80">
        <f t="shared" si="72"/>
        <v>0</v>
      </c>
      <c r="AB80">
        <f t="shared" si="73"/>
        <v>0</v>
      </c>
      <c r="AC80">
        <f t="shared" si="74"/>
        <v>0</v>
      </c>
      <c r="AD80">
        <f t="shared" si="75"/>
        <v>0</v>
      </c>
      <c r="AE80">
        <f t="shared" si="76"/>
        <v>0</v>
      </c>
      <c r="AF80">
        <f t="shared" si="77"/>
        <v>0</v>
      </c>
      <c r="AG80">
        <f t="shared" si="78"/>
        <v>0</v>
      </c>
      <c r="AH80">
        <f t="shared" si="79"/>
        <v>0</v>
      </c>
      <c r="AI80">
        <f t="shared" si="80"/>
        <v>0</v>
      </c>
      <c r="AJ80">
        <f t="shared" si="81"/>
        <v>0</v>
      </c>
      <c r="AK80">
        <f t="shared" si="82"/>
        <v>0</v>
      </c>
      <c r="AL80">
        <f t="shared" si="83"/>
        <v>0</v>
      </c>
      <c r="AM80">
        <f t="shared" si="84"/>
        <v>0</v>
      </c>
      <c r="AN80">
        <f t="shared" si="85"/>
        <v>0</v>
      </c>
      <c r="AO80">
        <f t="shared" si="86"/>
        <v>0</v>
      </c>
      <c r="AP80">
        <f t="shared" si="87"/>
        <v>0</v>
      </c>
      <c r="AQ80">
        <f t="shared" si="88"/>
        <v>0</v>
      </c>
      <c r="AR80">
        <f t="shared" si="89"/>
        <v>0</v>
      </c>
      <c r="AS80">
        <f t="shared" si="90"/>
        <v>0</v>
      </c>
      <c r="AT80">
        <f t="shared" si="91"/>
        <v>0</v>
      </c>
      <c r="AU80">
        <f t="shared" si="92"/>
        <v>0</v>
      </c>
      <c r="AV80">
        <f t="shared" si="93"/>
        <v>0</v>
      </c>
      <c r="AW80">
        <f t="shared" si="48"/>
        <v>0</v>
      </c>
      <c r="AX80">
        <f t="shared" si="94"/>
        <v>0</v>
      </c>
      <c r="AY80">
        <f t="shared" si="95"/>
        <v>0</v>
      </c>
    </row>
    <row r="81" spans="1:51" x14ac:dyDescent="0.35">
      <c r="A81">
        <v>75</v>
      </c>
      <c r="C81">
        <f>MAX(0,Calc!$C$7-SUM(D81:R81))</f>
        <v>750</v>
      </c>
      <c r="D81">
        <f t="shared" si="49"/>
        <v>0</v>
      </c>
      <c r="E81">
        <f t="shared" si="50"/>
        <v>0</v>
      </c>
      <c r="F81">
        <f t="shared" si="51"/>
        <v>0</v>
      </c>
      <c r="G81">
        <f t="shared" si="52"/>
        <v>0</v>
      </c>
      <c r="H81">
        <f t="shared" si="53"/>
        <v>0</v>
      </c>
      <c r="I81">
        <f t="shared" si="54"/>
        <v>0</v>
      </c>
      <c r="J81">
        <f t="shared" si="55"/>
        <v>0</v>
      </c>
      <c r="K81">
        <f t="shared" si="56"/>
        <v>0</v>
      </c>
      <c r="L81">
        <f t="shared" si="57"/>
        <v>0</v>
      </c>
      <c r="M81">
        <f t="shared" si="58"/>
        <v>0</v>
      </c>
      <c r="N81">
        <f t="shared" si="59"/>
        <v>0</v>
      </c>
      <c r="O81">
        <f t="shared" si="60"/>
        <v>0</v>
      </c>
      <c r="P81">
        <f t="shared" si="61"/>
        <v>0</v>
      </c>
      <c r="Q81">
        <f t="shared" si="62"/>
        <v>0</v>
      </c>
      <c r="R81">
        <f t="shared" si="63"/>
        <v>0</v>
      </c>
      <c r="S81">
        <f t="shared" si="64"/>
        <v>0</v>
      </c>
      <c r="T81">
        <f t="shared" si="65"/>
        <v>0</v>
      </c>
      <c r="U81">
        <f t="shared" si="66"/>
        <v>0</v>
      </c>
      <c r="V81">
        <f t="shared" si="67"/>
        <v>0</v>
      </c>
      <c r="W81">
        <f t="shared" si="68"/>
        <v>0</v>
      </c>
      <c r="X81">
        <f t="shared" si="69"/>
        <v>0</v>
      </c>
      <c r="Y81">
        <f t="shared" si="70"/>
        <v>0</v>
      </c>
      <c r="Z81">
        <f t="shared" si="71"/>
        <v>0</v>
      </c>
      <c r="AA81">
        <f t="shared" si="72"/>
        <v>0</v>
      </c>
      <c r="AB81">
        <f t="shared" si="73"/>
        <v>0</v>
      </c>
      <c r="AC81">
        <f t="shared" si="74"/>
        <v>0</v>
      </c>
      <c r="AD81">
        <f t="shared" si="75"/>
        <v>0</v>
      </c>
      <c r="AE81">
        <f t="shared" si="76"/>
        <v>0</v>
      </c>
      <c r="AF81">
        <f t="shared" si="77"/>
        <v>0</v>
      </c>
      <c r="AG81">
        <f t="shared" si="78"/>
        <v>0</v>
      </c>
      <c r="AH81">
        <f t="shared" si="79"/>
        <v>0</v>
      </c>
      <c r="AI81">
        <f t="shared" si="80"/>
        <v>0</v>
      </c>
      <c r="AJ81">
        <f t="shared" si="81"/>
        <v>0</v>
      </c>
      <c r="AK81">
        <f t="shared" si="82"/>
        <v>0</v>
      </c>
      <c r="AL81">
        <f t="shared" si="83"/>
        <v>0</v>
      </c>
      <c r="AM81">
        <f t="shared" si="84"/>
        <v>0</v>
      </c>
      <c r="AN81">
        <f t="shared" si="85"/>
        <v>0</v>
      </c>
      <c r="AO81">
        <f t="shared" si="86"/>
        <v>0</v>
      </c>
      <c r="AP81">
        <f t="shared" si="87"/>
        <v>0</v>
      </c>
      <c r="AQ81">
        <f t="shared" si="88"/>
        <v>0</v>
      </c>
      <c r="AR81">
        <f t="shared" si="89"/>
        <v>0</v>
      </c>
      <c r="AS81">
        <f t="shared" si="90"/>
        <v>0</v>
      </c>
      <c r="AT81">
        <f t="shared" si="91"/>
        <v>0</v>
      </c>
      <c r="AU81">
        <f t="shared" si="92"/>
        <v>0</v>
      </c>
      <c r="AV81">
        <f t="shared" si="93"/>
        <v>0</v>
      </c>
      <c r="AW81">
        <f t="shared" si="48"/>
        <v>0</v>
      </c>
      <c r="AX81">
        <f t="shared" si="94"/>
        <v>0</v>
      </c>
      <c r="AY81">
        <f t="shared" si="95"/>
        <v>0</v>
      </c>
    </row>
    <row r="82" spans="1:51" x14ac:dyDescent="0.35">
      <c r="A82">
        <v>76</v>
      </c>
      <c r="C82">
        <f>MAX(0,Calc!$C$7-SUM(D82:R82))</f>
        <v>750</v>
      </c>
      <c r="D82">
        <f t="shared" si="49"/>
        <v>0</v>
      </c>
      <c r="E82">
        <f t="shared" si="50"/>
        <v>0</v>
      </c>
      <c r="F82">
        <f t="shared" si="51"/>
        <v>0</v>
      </c>
      <c r="G82">
        <f t="shared" si="52"/>
        <v>0</v>
      </c>
      <c r="H82">
        <f t="shared" si="53"/>
        <v>0</v>
      </c>
      <c r="I82">
        <f t="shared" si="54"/>
        <v>0</v>
      </c>
      <c r="J82">
        <f t="shared" si="55"/>
        <v>0</v>
      </c>
      <c r="K82">
        <f t="shared" si="56"/>
        <v>0</v>
      </c>
      <c r="L82">
        <f t="shared" si="57"/>
        <v>0</v>
      </c>
      <c r="M82">
        <f t="shared" si="58"/>
        <v>0</v>
      </c>
      <c r="N82">
        <f t="shared" si="59"/>
        <v>0</v>
      </c>
      <c r="O82">
        <f t="shared" si="60"/>
        <v>0</v>
      </c>
      <c r="P82">
        <f t="shared" si="61"/>
        <v>0</v>
      </c>
      <c r="Q82">
        <f t="shared" si="62"/>
        <v>0</v>
      </c>
      <c r="R82">
        <f t="shared" si="63"/>
        <v>0</v>
      </c>
      <c r="S82">
        <f t="shared" si="64"/>
        <v>0</v>
      </c>
      <c r="T82">
        <f t="shared" si="65"/>
        <v>0</v>
      </c>
      <c r="U82">
        <f t="shared" si="66"/>
        <v>0</v>
      </c>
      <c r="V82">
        <f t="shared" si="67"/>
        <v>0</v>
      </c>
      <c r="W82">
        <f t="shared" si="68"/>
        <v>0</v>
      </c>
      <c r="X82">
        <f t="shared" si="69"/>
        <v>0</v>
      </c>
      <c r="Y82">
        <f t="shared" si="70"/>
        <v>0</v>
      </c>
      <c r="Z82">
        <f t="shared" si="71"/>
        <v>0</v>
      </c>
      <c r="AA82">
        <f t="shared" si="72"/>
        <v>0</v>
      </c>
      <c r="AB82">
        <f t="shared" si="73"/>
        <v>0</v>
      </c>
      <c r="AC82">
        <f t="shared" si="74"/>
        <v>0</v>
      </c>
      <c r="AD82">
        <f t="shared" si="75"/>
        <v>0</v>
      </c>
      <c r="AE82">
        <f t="shared" si="76"/>
        <v>0</v>
      </c>
      <c r="AF82">
        <f t="shared" si="77"/>
        <v>0</v>
      </c>
      <c r="AG82">
        <f t="shared" si="78"/>
        <v>0</v>
      </c>
      <c r="AH82">
        <f t="shared" si="79"/>
        <v>0</v>
      </c>
      <c r="AI82">
        <f t="shared" si="80"/>
        <v>0</v>
      </c>
      <c r="AJ82">
        <f t="shared" si="81"/>
        <v>0</v>
      </c>
      <c r="AK82">
        <f t="shared" si="82"/>
        <v>0</v>
      </c>
      <c r="AL82">
        <f t="shared" si="83"/>
        <v>0</v>
      </c>
      <c r="AM82">
        <f t="shared" si="84"/>
        <v>0</v>
      </c>
      <c r="AN82">
        <f t="shared" si="85"/>
        <v>0</v>
      </c>
      <c r="AO82">
        <f t="shared" si="86"/>
        <v>0</v>
      </c>
      <c r="AP82">
        <f t="shared" si="87"/>
        <v>0</v>
      </c>
      <c r="AQ82">
        <f t="shared" si="88"/>
        <v>0</v>
      </c>
      <c r="AR82">
        <f t="shared" si="89"/>
        <v>0</v>
      </c>
      <c r="AS82">
        <f t="shared" si="90"/>
        <v>0</v>
      </c>
      <c r="AT82">
        <f t="shared" si="91"/>
        <v>0</v>
      </c>
      <c r="AU82">
        <f t="shared" si="92"/>
        <v>0</v>
      </c>
      <c r="AV82">
        <f t="shared" si="93"/>
        <v>0</v>
      </c>
      <c r="AW82">
        <f t="shared" si="48"/>
        <v>0</v>
      </c>
      <c r="AX82">
        <f t="shared" si="94"/>
        <v>0</v>
      </c>
      <c r="AY82">
        <f t="shared" si="95"/>
        <v>0</v>
      </c>
    </row>
    <row r="83" spans="1:51" x14ac:dyDescent="0.35">
      <c r="A83">
        <v>77</v>
      </c>
      <c r="C83">
        <f>MAX(0,Calc!$C$7-SUM(D83:R83))</f>
        <v>750</v>
      </c>
      <c r="D83">
        <f t="shared" si="49"/>
        <v>0</v>
      </c>
      <c r="E83">
        <f t="shared" si="50"/>
        <v>0</v>
      </c>
      <c r="F83">
        <f t="shared" si="51"/>
        <v>0</v>
      </c>
      <c r="G83">
        <f t="shared" si="52"/>
        <v>0</v>
      </c>
      <c r="H83">
        <f t="shared" si="53"/>
        <v>0</v>
      </c>
      <c r="I83">
        <f t="shared" si="54"/>
        <v>0</v>
      </c>
      <c r="J83">
        <f t="shared" si="55"/>
        <v>0</v>
      </c>
      <c r="K83">
        <f t="shared" si="56"/>
        <v>0</v>
      </c>
      <c r="L83">
        <f t="shared" si="57"/>
        <v>0</v>
      </c>
      <c r="M83">
        <f t="shared" si="58"/>
        <v>0</v>
      </c>
      <c r="N83">
        <f t="shared" si="59"/>
        <v>0</v>
      </c>
      <c r="O83">
        <f t="shared" si="60"/>
        <v>0</v>
      </c>
      <c r="P83">
        <f t="shared" si="61"/>
        <v>0</v>
      </c>
      <c r="Q83">
        <f t="shared" si="62"/>
        <v>0</v>
      </c>
      <c r="R83">
        <f t="shared" si="63"/>
        <v>0</v>
      </c>
      <c r="S83">
        <f t="shared" si="64"/>
        <v>0</v>
      </c>
      <c r="T83">
        <f t="shared" si="65"/>
        <v>0</v>
      </c>
      <c r="U83">
        <f t="shared" si="66"/>
        <v>0</v>
      </c>
      <c r="V83">
        <f t="shared" si="67"/>
        <v>0</v>
      </c>
      <c r="W83">
        <f t="shared" si="68"/>
        <v>0</v>
      </c>
      <c r="X83">
        <f t="shared" si="69"/>
        <v>0</v>
      </c>
      <c r="Y83">
        <f t="shared" si="70"/>
        <v>0</v>
      </c>
      <c r="Z83">
        <f t="shared" si="71"/>
        <v>0</v>
      </c>
      <c r="AA83">
        <f t="shared" si="72"/>
        <v>0</v>
      </c>
      <c r="AB83">
        <f t="shared" si="73"/>
        <v>0</v>
      </c>
      <c r="AC83">
        <f t="shared" si="74"/>
        <v>0</v>
      </c>
      <c r="AD83">
        <f t="shared" si="75"/>
        <v>0</v>
      </c>
      <c r="AE83">
        <f t="shared" si="76"/>
        <v>0</v>
      </c>
      <c r="AF83">
        <f t="shared" si="77"/>
        <v>0</v>
      </c>
      <c r="AG83">
        <f t="shared" si="78"/>
        <v>0</v>
      </c>
      <c r="AH83">
        <f t="shared" si="79"/>
        <v>0</v>
      </c>
      <c r="AI83">
        <f t="shared" si="80"/>
        <v>0</v>
      </c>
      <c r="AJ83">
        <f t="shared" si="81"/>
        <v>0</v>
      </c>
      <c r="AK83">
        <f t="shared" si="82"/>
        <v>0</v>
      </c>
      <c r="AL83">
        <f t="shared" si="83"/>
        <v>0</v>
      </c>
      <c r="AM83">
        <f t="shared" si="84"/>
        <v>0</v>
      </c>
      <c r="AN83">
        <f t="shared" si="85"/>
        <v>0</v>
      </c>
      <c r="AO83">
        <f t="shared" si="86"/>
        <v>0</v>
      </c>
      <c r="AP83">
        <f t="shared" si="87"/>
        <v>0</v>
      </c>
      <c r="AQ83">
        <f t="shared" si="88"/>
        <v>0</v>
      </c>
      <c r="AR83">
        <f t="shared" si="89"/>
        <v>0</v>
      </c>
      <c r="AS83">
        <f t="shared" si="90"/>
        <v>0</v>
      </c>
      <c r="AT83">
        <f t="shared" si="91"/>
        <v>0</v>
      </c>
      <c r="AU83">
        <f t="shared" si="92"/>
        <v>0</v>
      </c>
      <c r="AV83">
        <f t="shared" si="93"/>
        <v>0</v>
      </c>
      <c r="AW83">
        <f t="shared" si="48"/>
        <v>0</v>
      </c>
      <c r="AX83">
        <f t="shared" si="94"/>
        <v>0</v>
      </c>
      <c r="AY83">
        <f t="shared" si="95"/>
        <v>0</v>
      </c>
    </row>
    <row r="84" spans="1:51" x14ac:dyDescent="0.35">
      <c r="A84">
        <v>78</v>
      </c>
      <c r="C84">
        <f>MAX(0,Calc!$C$7-SUM(D84:R84))</f>
        <v>750</v>
      </c>
      <c r="D84">
        <f t="shared" si="49"/>
        <v>0</v>
      </c>
      <c r="E84">
        <f t="shared" si="50"/>
        <v>0</v>
      </c>
      <c r="F84">
        <f t="shared" si="51"/>
        <v>0</v>
      </c>
      <c r="G84">
        <f t="shared" si="52"/>
        <v>0</v>
      </c>
      <c r="H84">
        <f t="shared" si="53"/>
        <v>0</v>
      </c>
      <c r="I84">
        <f t="shared" si="54"/>
        <v>0</v>
      </c>
      <c r="J84">
        <f t="shared" si="55"/>
        <v>0</v>
      </c>
      <c r="K84">
        <f t="shared" si="56"/>
        <v>0</v>
      </c>
      <c r="L84">
        <f t="shared" si="57"/>
        <v>0</v>
      </c>
      <c r="M84">
        <f t="shared" si="58"/>
        <v>0</v>
      </c>
      <c r="N84">
        <f t="shared" si="59"/>
        <v>0</v>
      </c>
      <c r="O84">
        <f t="shared" si="60"/>
        <v>0</v>
      </c>
      <c r="P84">
        <f t="shared" si="61"/>
        <v>0</v>
      </c>
      <c r="Q84">
        <f t="shared" si="62"/>
        <v>0</v>
      </c>
      <c r="R84">
        <f t="shared" si="63"/>
        <v>0</v>
      </c>
      <c r="S84">
        <f t="shared" si="64"/>
        <v>0</v>
      </c>
      <c r="T84">
        <f t="shared" si="65"/>
        <v>0</v>
      </c>
      <c r="U84">
        <f t="shared" si="66"/>
        <v>0</v>
      </c>
      <c r="V84">
        <f t="shared" si="67"/>
        <v>0</v>
      </c>
      <c r="W84">
        <f t="shared" si="68"/>
        <v>0</v>
      </c>
      <c r="X84">
        <f t="shared" si="69"/>
        <v>0</v>
      </c>
      <c r="Y84">
        <f t="shared" si="70"/>
        <v>0</v>
      </c>
      <c r="Z84">
        <f t="shared" si="71"/>
        <v>0</v>
      </c>
      <c r="AA84">
        <f t="shared" si="72"/>
        <v>0</v>
      </c>
      <c r="AB84">
        <f t="shared" si="73"/>
        <v>0</v>
      </c>
      <c r="AC84">
        <f t="shared" si="74"/>
        <v>0</v>
      </c>
      <c r="AD84">
        <f t="shared" si="75"/>
        <v>0</v>
      </c>
      <c r="AE84">
        <f t="shared" si="76"/>
        <v>0</v>
      </c>
      <c r="AF84">
        <f t="shared" si="77"/>
        <v>0</v>
      </c>
      <c r="AG84">
        <f t="shared" si="78"/>
        <v>0</v>
      </c>
      <c r="AH84">
        <f t="shared" si="79"/>
        <v>0</v>
      </c>
      <c r="AI84">
        <f t="shared" si="80"/>
        <v>0</v>
      </c>
      <c r="AJ84">
        <f t="shared" si="81"/>
        <v>0</v>
      </c>
      <c r="AK84">
        <f t="shared" si="82"/>
        <v>0</v>
      </c>
      <c r="AL84">
        <f t="shared" si="83"/>
        <v>0</v>
      </c>
      <c r="AM84">
        <f t="shared" si="84"/>
        <v>0</v>
      </c>
      <c r="AN84">
        <f t="shared" si="85"/>
        <v>0</v>
      </c>
      <c r="AO84">
        <f t="shared" si="86"/>
        <v>0</v>
      </c>
      <c r="AP84">
        <f t="shared" si="87"/>
        <v>0</v>
      </c>
      <c r="AQ84">
        <f t="shared" si="88"/>
        <v>0</v>
      </c>
      <c r="AR84">
        <f t="shared" si="89"/>
        <v>0</v>
      </c>
      <c r="AS84">
        <f t="shared" si="90"/>
        <v>0</v>
      </c>
      <c r="AT84">
        <f t="shared" si="91"/>
        <v>0</v>
      </c>
      <c r="AU84">
        <f t="shared" si="92"/>
        <v>0</v>
      </c>
      <c r="AV84">
        <f t="shared" si="93"/>
        <v>0</v>
      </c>
      <c r="AW84">
        <f t="shared" si="48"/>
        <v>0</v>
      </c>
      <c r="AX84">
        <f t="shared" si="94"/>
        <v>0</v>
      </c>
      <c r="AY84">
        <f t="shared" si="95"/>
        <v>0</v>
      </c>
    </row>
    <row r="85" spans="1:51" x14ac:dyDescent="0.35">
      <c r="A85">
        <v>79</v>
      </c>
      <c r="C85">
        <f>MAX(0,Calc!$C$7-SUM(D85:R85))</f>
        <v>750</v>
      </c>
      <c r="D85">
        <f t="shared" si="49"/>
        <v>0</v>
      </c>
      <c r="E85">
        <f t="shared" si="50"/>
        <v>0</v>
      </c>
      <c r="F85">
        <f t="shared" si="51"/>
        <v>0</v>
      </c>
      <c r="G85">
        <f t="shared" si="52"/>
        <v>0</v>
      </c>
      <c r="H85">
        <f t="shared" si="53"/>
        <v>0</v>
      </c>
      <c r="I85">
        <f t="shared" si="54"/>
        <v>0</v>
      </c>
      <c r="J85">
        <f t="shared" si="55"/>
        <v>0</v>
      </c>
      <c r="K85">
        <f t="shared" si="56"/>
        <v>0</v>
      </c>
      <c r="L85">
        <f t="shared" si="57"/>
        <v>0</v>
      </c>
      <c r="M85">
        <f t="shared" si="58"/>
        <v>0</v>
      </c>
      <c r="N85">
        <f t="shared" si="59"/>
        <v>0</v>
      </c>
      <c r="O85">
        <f t="shared" si="60"/>
        <v>0</v>
      </c>
      <c r="P85">
        <f t="shared" si="61"/>
        <v>0</v>
      </c>
      <c r="Q85">
        <f t="shared" si="62"/>
        <v>0</v>
      </c>
      <c r="R85">
        <f t="shared" si="63"/>
        <v>0</v>
      </c>
      <c r="S85">
        <f t="shared" si="64"/>
        <v>0</v>
      </c>
      <c r="T85">
        <f t="shared" si="65"/>
        <v>0</v>
      </c>
      <c r="U85">
        <f t="shared" si="66"/>
        <v>0</v>
      </c>
      <c r="V85">
        <f t="shared" si="67"/>
        <v>0</v>
      </c>
      <c r="W85">
        <f t="shared" si="68"/>
        <v>0</v>
      </c>
      <c r="X85">
        <f t="shared" si="69"/>
        <v>0</v>
      </c>
      <c r="Y85">
        <f t="shared" si="70"/>
        <v>0</v>
      </c>
      <c r="Z85">
        <f t="shared" si="71"/>
        <v>0</v>
      </c>
      <c r="AA85">
        <f t="shared" si="72"/>
        <v>0</v>
      </c>
      <c r="AB85">
        <f t="shared" si="73"/>
        <v>0</v>
      </c>
      <c r="AC85">
        <f t="shared" si="74"/>
        <v>0</v>
      </c>
      <c r="AD85">
        <f t="shared" si="75"/>
        <v>0</v>
      </c>
      <c r="AE85">
        <f t="shared" si="76"/>
        <v>0</v>
      </c>
      <c r="AF85">
        <f t="shared" si="77"/>
        <v>0</v>
      </c>
      <c r="AG85">
        <f t="shared" si="78"/>
        <v>0</v>
      </c>
      <c r="AH85">
        <f t="shared" si="79"/>
        <v>0</v>
      </c>
      <c r="AI85">
        <f t="shared" si="80"/>
        <v>0</v>
      </c>
      <c r="AJ85">
        <f t="shared" si="81"/>
        <v>0</v>
      </c>
      <c r="AK85">
        <f t="shared" si="82"/>
        <v>0</v>
      </c>
      <c r="AL85">
        <f t="shared" si="83"/>
        <v>0</v>
      </c>
      <c r="AM85">
        <f t="shared" si="84"/>
        <v>0</v>
      </c>
      <c r="AN85">
        <f t="shared" si="85"/>
        <v>0</v>
      </c>
      <c r="AO85">
        <f t="shared" si="86"/>
        <v>0</v>
      </c>
      <c r="AP85">
        <f t="shared" si="87"/>
        <v>0</v>
      </c>
      <c r="AQ85">
        <f t="shared" si="88"/>
        <v>0</v>
      </c>
      <c r="AR85">
        <f t="shared" si="89"/>
        <v>0</v>
      </c>
      <c r="AS85">
        <f t="shared" si="90"/>
        <v>0</v>
      </c>
      <c r="AT85">
        <f t="shared" si="91"/>
        <v>0</v>
      </c>
      <c r="AU85">
        <f t="shared" si="92"/>
        <v>0</v>
      </c>
      <c r="AV85">
        <f t="shared" si="93"/>
        <v>0</v>
      </c>
      <c r="AW85">
        <f t="shared" si="48"/>
        <v>0</v>
      </c>
      <c r="AX85">
        <f t="shared" si="94"/>
        <v>0</v>
      </c>
      <c r="AY85">
        <f t="shared" si="95"/>
        <v>0</v>
      </c>
    </row>
    <row r="86" spans="1:51" x14ac:dyDescent="0.35">
      <c r="A86">
        <v>80</v>
      </c>
      <c r="C86">
        <f>MAX(0,Calc!$C$7-SUM(D86:R86))</f>
        <v>750</v>
      </c>
      <c r="D86">
        <f t="shared" si="49"/>
        <v>0</v>
      </c>
      <c r="E86">
        <f t="shared" si="50"/>
        <v>0</v>
      </c>
      <c r="F86">
        <f t="shared" si="51"/>
        <v>0</v>
      </c>
      <c r="G86">
        <f t="shared" si="52"/>
        <v>0</v>
      </c>
      <c r="H86">
        <f t="shared" si="53"/>
        <v>0</v>
      </c>
      <c r="I86">
        <f t="shared" si="54"/>
        <v>0</v>
      </c>
      <c r="J86">
        <f t="shared" si="55"/>
        <v>0</v>
      </c>
      <c r="K86">
        <f t="shared" si="56"/>
        <v>0</v>
      </c>
      <c r="L86">
        <f t="shared" si="57"/>
        <v>0</v>
      </c>
      <c r="M86">
        <f t="shared" si="58"/>
        <v>0</v>
      </c>
      <c r="N86">
        <f t="shared" si="59"/>
        <v>0</v>
      </c>
      <c r="O86">
        <f t="shared" si="60"/>
        <v>0</v>
      </c>
      <c r="P86">
        <f t="shared" si="61"/>
        <v>0</v>
      </c>
      <c r="Q86">
        <f t="shared" si="62"/>
        <v>0</v>
      </c>
      <c r="R86">
        <f t="shared" si="63"/>
        <v>0</v>
      </c>
      <c r="S86">
        <f t="shared" si="64"/>
        <v>0</v>
      </c>
      <c r="T86">
        <f t="shared" si="65"/>
        <v>0</v>
      </c>
      <c r="U86">
        <f t="shared" si="66"/>
        <v>0</v>
      </c>
      <c r="V86">
        <f t="shared" si="67"/>
        <v>0</v>
      </c>
      <c r="W86">
        <f t="shared" si="68"/>
        <v>0</v>
      </c>
      <c r="X86">
        <f t="shared" si="69"/>
        <v>0</v>
      </c>
      <c r="Y86">
        <f t="shared" si="70"/>
        <v>0</v>
      </c>
      <c r="Z86">
        <f t="shared" si="71"/>
        <v>0</v>
      </c>
      <c r="AA86">
        <f t="shared" si="72"/>
        <v>0</v>
      </c>
      <c r="AB86">
        <f t="shared" si="73"/>
        <v>0</v>
      </c>
      <c r="AC86">
        <f t="shared" si="74"/>
        <v>0</v>
      </c>
      <c r="AD86">
        <f t="shared" si="75"/>
        <v>0</v>
      </c>
      <c r="AE86">
        <f t="shared" si="76"/>
        <v>0</v>
      </c>
      <c r="AF86">
        <f t="shared" si="77"/>
        <v>0</v>
      </c>
      <c r="AG86">
        <f t="shared" si="78"/>
        <v>0</v>
      </c>
      <c r="AH86">
        <f t="shared" si="79"/>
        <v>0</v>
      </c>
      <c r="AI86">
        <f t="shared" si="80"/>
        <v>0</v>
      </c>
      <c r="AJ86">
        <f t="shared" si="81"/>
        <v>0</v>
      </c>
      <c r="AK86">
        <f t="shared" si="82"/>
        <v>0</v>
      </c>
      <c r="AL86">
        <f t="shared" si="83"/>
        <v>0</v>
      </c>
      <c r="AM86">
        <f t="shared" si="84"/>
        <v>0</v>
      </c>
      <c r="AN86">
        <f t="shared" si="85"/>
        <v>0</v>
      </c>
      <c r="AO86">
        <f t="shared" si="86"/>
        <v>0</v>
      </c>
      <c r="AP86">
        <f t="shared" si="87"/>
        <v>0</v>
      </c>
      <c r="AQ86">
        <f t="shared" si="88"/>
        <v>0</v>
      </c>
      <c r="AR86">
        <f t="shared" si="89"/>
        <v>0</v>
      </c>
      <c r="AS86">
        <f t="shared" si="90"/>
        <v>0</v>
      </c>
      <c r="AT86">
        <f t="shared" si="91"/>
        <v>0</v>
      </c>
      <c r="AU86">
        <f t="shared" si="92"/>
        <v>0</v>
      </c>
      <c r="AV86">
        <f t="shared" si="93"/>
        <v>0</v>
      </c>
      <c r="AW86">
        <f t="shared" si="48"/>
        <v>0</v>
      </c>
      <c r="AX86">
        <f t="shared" si="94"/>
        <v>0</v>
      </c>
      <c r="AY86">
        <f t="shared" si="95"/>
        <v>0</v>
      </c>
    </row>
    <row r="87" spans="1:51" x14ac:dyDescent="0.35">
      <c r="A87">
        <v>81</v>
      </c>
      <c r="C87">
        <f>MAX(0,Calc!$C$7-SUM(D87:R87))</f>
        <v>750</v>
      </c>
      <c r="D87">
        <f t="shared" si="49"/>
        <v>0</v>
      </c>
      <c r="E87">
        <f t="shared" si="50"/>
        <v>0</v>
      </c>
      <c r="F87">
        <f t="shared" si="51"/>
        <v>0</v>
      </c>
      <c r="G87">
        <f t="shared" si="52"/>
        <v>0</v>
      </c>
      <c r="H87">
        <f t="shared" si="53"/>
        <v>0</v>
      </c>
      <c r="I87">
        <f t="shared" si="54"/>
        <v>0</v>
      </c>
      <c r="J87">
        <f t="shared" si="55"/>
        <v>0</v>
      </c>
      <c r="K87">
        <f t="shared" si="56"/>
        <v>0</v>
      </c>
      <c r="L87">
        <f t="shared" si="57"/>
        <v>0</v>
      </c>
      <c r="M87">
        <f t="shared" si="58"/>
        <v>0</v>
      </c>
      <c r="N87">
        <f t="shared" si="59"/>
        <v>0</v>
      </c>
      <c r="O87">
        <f t="shared" si="60"/>
        <v>0</v>
      </c>
      <c r="P87">
        <f t="shared" si="61"/>
        <v>0</v>
      </c>
      <c r="Q87">
        <f t="shared" si="62"/>
        <v>0</v>
      </c>
      <c r="R87">
        <f t="shared" si="63"/>
        <v>0</v>
      </c>
      <c r="S87">
        <f t="shared" si="64"/>
        <v>0</v>
      </c>
      <c r="T87">
        <f t="shared" si="65"/>
        <v>0</v>
      </c>
      <c r="U87">
        <f t="shared" si="66"/>
        <v>0</v>
      </c>
      <c r="V87">
        <f t="shared" si="67"/>
        <v>0</v>
      </c>
      <c r="W87">
        <f t="shared" si="68"/>
        <v>0</v>
      </c>
      <c r="X87">
        <f t="shared" si="69"/>
        <v>0</v>
      </c>
      <c r="Y87">
        <f t="shared" si="70"/>
        <v>0</v>
      </c>
      <c r="Z87">
        <f t="shared" si="71"/>
        <v>0</v>
      </c>
      <c r="AA87">
        <f t="shared" si="72"/>
        <v>0</v>
      </c>
      <c r="AB87">
        <f t="shared" si="73"/>
        <v>0</v>
      </c>
      <c r="AC87">
        <f t="shared" si="74"/>
        <v>0</v>
      </c>
      <c r="AD87">
        <f t="shared" si="75"/>
        <v>0</v>
      </c>
      <c r="AE87">
        <f t="shared" si="76"/>
        <v>0</v>
      </c>
      <c r="AF87">
        <f t="shared" si="77"/>
        <v>0</v>
      </c>
      <c r="AG87">
        <f t="shared" si="78"/>
        <v>0</v>
      </c>
      <c r="AH87">
        <f t="shared" si="79"/>
        <v>0</v>
      </c>
      <c r="AI87">
        <f t="shared" si="80"/>
        <v>0</v>
      </c>
      <c r="AJ87">
        <f t="shared" si="81"/>
        <v>0</v>
      </c>
      <c r="AK87">
        <f t="shared" si="82"/>
        <v>0</v>
      </c>
      <c r="AL87">
        <f t="shared" si="83"/>
        <v>0</v>
      </c>
      <c r="AM87">
        <f t="shared" si="84"/>
        <v>0</v>
      </c>
      <c r="AN87">
        <f t="shared" si="85"/>
        <v>0</v>
      </c>
      <c r="AO87">
        <f t="shared" si="86"/>
        <v>0</v>
      </c>
      <c r="AP87">
        <f t="shared" si="87"/>
        <v>0</v>
      </c>
      <c r="AQ87">
        <f t="shared" si="88"/>
        <v>0</v>
      </c>
      <c r="AR87">
        <f t="shared" si="89"/>
        <v>0</v>
      </c>
      <c r="AS87">
        <f t="shared" si="90"/>
        <v>0</v>
      </c>
      <c r="AT87">
        <f t="shared" si="91"/>
        <v>0</v>
      </c>
      <c r="AU87">
        <f t="shared" si="92"/>
        <v>0</v>
      </c>
      <c r="AV87">
        <f t="shared" si="93"/>
        <v>0</v>
      </c>
      <c r="AW87">
        <f t="shared" si="48"/>
        <v>0</v>
      </c>
      <c r="AX87">
        <f t="shared" si="94"/>
        <v>0</v>
      </c>
      <c r="AY87">
        <f t="shared" si="95"/>
        <v>0</v>
      </c>
    </row>
    <row r="88" spans="1:51" x14ac:dyDescent="0.35">
      <c r="A88">
        <v>82</v>
      </c>
      <c r="C88">
        <f>MAX(0,Calc!$C$7-SUM(D88:R88))</f>
        <v>750</v>
      </c>
      <c r="D88">
        <f t="shared" si="49"/>
        <v>0</v>
      </c>
      <c r="E88">
        <f t="shared" si="50"/>
        <v>0</v>
      </c>
      <c r="F88">
        <f t="shared" si="51"/>
        <v>0</v>
      </c>
      <c r="G88">
        <f t="shared" si="52"/>
        <v>0</v>
      </c>
      <c r="H88">
        <f t="shared" si="53"/>
        <v>0</v>
      </c>
      <c r="I88">
        <f t="shared" si="54"/>
        <v>0</v>
      </c>
      <c r="J88">
        <f t="shared" si="55"/>
        <v>0</v>
      </c>
      <c r="K88">
        <f t="shared" si="56"/>
        <v>0</v>
      </c>
      <c r="L88">
        <f t="shared" si="57"/>
        <v>0</v>
      </c>
      <c r="M88">
        <f t="shared" si="58"/>
        <v>0</v>
      </c>
      <c r="N88">
        <f t="shared" si="59"/>
        <v>0</v>
      </c>
      <c r="O88">
        <f t="shared" si="60"/>
        <v>0</v>
      </c>
      <c r="P88">
        <f t="shared" si="61"/>
        <v>0</v>
      </c>
      <c r="Q88">
        <f t="shared" si="62"/>
        <v>0</v>
      </c>
      <c r="R88">
        <f t="shared" si="63"/>
        <v>0</v>
      </c>
      <c r="S88">
        <f t="shared" si="64"/>
        <v>0</v>
      </c>
      <c r="T88">
        <f t="shared" si="65"/>
        <v>0</v>
      </c>
      <c r="U88">
        <f t="shared" si="66"/>
        <v>0</v>
      </c>
      <c r="V88">
        <f t="shared" si="67"/>
        <v>0</v>
      </c>
      <c r="W88">
        <f t="shared" si="68"/>
        <v>0</v>
      </c>
      <c r="X88">
        <f t="shared" si="69"/>
        <v>0</v>
      </c>
      <c r="Y88">
        <f t="shared" si="70"/>
        <v>0</v>
      </c>
      <c r="Z88">
        <f t="shared" si="71"/>
        <v>0</v>
      </c>
      <c r="AA88">
        <f t="shared" si="72"/>
        <v>0</v>
      </c>
      <c r="AB88">
        <f t="shared" si="73"/>
        <v>0</v>
      </c>
      <c r="AC88">
        <f t="shared" si="74"/>
        <v>0</v>
      </c>
      <c r="AD88">
        <f t="shared" si="75"/>
        <v>0</v>
      </c>
      <c r="AE88">
        <f t="shared" si="76"/>
        <v>0</v>
      </c>
      <c r="AF88">
        <f t="shared" si="77"/>
        <v>0</v>
      </c>
      <c r="AG88">
        <f t="shared" si="78"/>
        <v>0</v>
      </c>
      <c r="AH88">
        <f t="shared" si="79"/>
        <v>0</v>
      </c>
      <c r="AI88">
        <f t="shared" si="80"/>
        <v>0</v>
      </c>
      <c r="AJ88">
        <f t="shared" si="81"/>
        <v>0</v>
      </c>
      <c r="AK88">
        <f t="shared" si="82"/>
        <v>0</v>
      </c>
      <c r="AL88">
        <f t="shared" si="83"/>
        <v>0</v>
      </c>
      <c r="AM88">
        <f t="shared" si="84"/>
        <v>0</v>
      </c>
      <c r="AN88">
        <f t="shared" si="85"/>
        <v>0</v>
      </c>
      <c r="AO88">
        <f t="shared" si="86"/>
        <v>0</v>
      </c>
      <c r="AP88">
        <f t="shared" si="87"/>
        <v>0</v>
      </c>
      <c r="AQ88">
        <f t="shared" si="88"/>
        <v>0</v>
      </c>
      <c r="AR88">
        <f t="shared" si="89"/>
        <v>0</v>
      </c>
      <c r="AS88">
        <f t="shared" si="90"/>
        <v>0</v>
      </c>
      <c r="AT88">
        <f t="shared" si="91"/>
        <v>0</v>
      </c>
      <c r="AU88">
        <f t="shared" si="92"/>
        <v>0</v>
      </c>
      <c r="AV88">
        <f t="shared" si="93"/>
        <v>0</v>
      </c>
      <c r="AW88">
        <f t="shared" si="48"/>
        <v>0</v>
      </c>
      <c r="AX88">
        <f t="shared" si="94"/>
        <v>0</v>
      </c>
      <c r="AY88">
        <f t="shared" si="95"/>
        <v>0</v>
      </c>
    </row>
    <row r="89" spans="1:51" x14ac:dyDescent="0.35">
      <c r="A89">
        <v>83</v>
      </c>
      <c r="C89">
        <f>MAX(0,Calc!$C$7-SUM(D89:R89))</f>
        <v>750</v>
      </c>
      <c r="D89">
        <f t="shared" si="49"/>
        <v>0</v>
      </c>
      <c r="E89">
        <f t="shared" si="50"/>
        <v>0</v>
      </c>
      <c r="F89">
        <f t="shared" si="51"/>
        <v>0</v>
      </c>
      <c r="G89">
        <f t="shared" si="52"/>
        <v>0</v>
      </c>
      <c r="H89">
        <f t="shared" si="53"/>
        <v>0</v>
      </c>
      <c r="I89">
        <f t="shared" si="54"/>
        <v>0</v>
      </c>
      <c r="J89">
        <f t="shared" si="55"/>
        <v>0</v>
      </c>
      <c r="K89">
        <f t="shared" si="56"/>
        <v>0</v>
      </c>
      <c r="L89">
        <f t="shared" si="57"/>
        <v>0</v>
      </c>
      <c r="M89">
        <f t="shared" si="58"/>
        <v>0</v>
      </c>
      <c r="N89">
        <f t="shared" si="59"/>
        <v>0</v>
      </c>
      <c r="O89">
        <f t="shared" si="60"/>
        <v>0</v>
      </c>
      <c r="P89">
        <f t="shared" si="61"/>
        <v>0</v>
      </c>
      <c r="Q89">
        <f t="shared" si="62"/>
        <v>0</v>
      </c>
      <c r="R89">
        <f t="shared" si="63"/>
        <v>0</v>
      </c>
      <c r="S89">
        <f t="shared" si="64"/>
        <v>0</v>
      </c>
      <c r="T89">
        <f t="shared" si="65"/>
        <v>0</v>
      </c>
      <c r="U89">
        <f t="shared" si="66"/>
        <v>0</v>
      </c>
      <c r="V89">
        <f t="shared" si="67"/>
        <v>0</v>
      </c>
      <c r="W89">
        <f t="shared" si="68"/>
        <v>0</v>
      </c>
      <c r="X89">
        <f t="shared" si="69"/>
        <v>0</v>
      </c>
      <c r="Y89">
        <f t="shared" si="70"/>
        <v>0</v>
      </c>
      <c r="Z89">
        <f t="shared" si="71"/>
        <v>0</v>
      </c>
      <c r="AA89">
        <f t="shared" si="72"/>
        <v>0</v>
      </c>
      <c r="AB89">
        <f t="shared" si="73"/>
        <v>0</v>
      </c>
      <c r="AC89">
        <f t="shared" si="74"/>
        <v>0</v>
      </c>
      <c r="AD89">
        <f t="shared" si="75"/>
        <v>0</v>
      </c>
      <c r="AE89">
        <f t="shared" si="76"/>
        <v>0</v>
      </c>
      <c r="AF89">
        <f t="shared" si="77"/>
        <v>0</v>
      </c>
      <c r="AG89">
        <f t="shared" si="78"/>
        <v>0</v>
      </c>
      <c r="AH89">
        <f t="shared" si="79"/>
        <v>0</v>
      </c>
      <c r="AI89">
        <f t="shared" si="80"/>
        <v>0</v>
      </c>
      <c r="AJ89">
        <f t="shared" si="81"/>
        <v>0</v>
      </c>
      <c r="AK89">
        <f t="shared" si="82"/>
        <v>0</v>
      </c>
      <c r="AL89">
        <f t="shared" si="83"/>
        <v>0</v>
      </c>
      <c r="AM89">
        <f t="shared" si="84"/>
        <v>0</v>
      </c>
      <c r="AN89">
        <f t="shared" si="85"/>
        <v>0</v>
      </c>
      <c r="AO89">
        <f t="shared" si="86"/>
        <v>0</v>
      </c>
      <c r="AP89">
        <f t="shared" si="87"/>
        <v>0</v>
      </c>
      <c r="AQ89">
        <f t="shared" si="88"/>
        <v>0</v>
      </c>
      <c r="AR89">
        <f t="shared" si="89"/>
        <v>0</v>
      </c>
      <c r="AS89">
        <f t="shared" si="90"/>
        <v>0</v>
      </c>
      <c r="AT89">
        <f t="shared" si="91"/>
        <v>0</v>
      </c>
      <c r="AU89">
        <f t="shared" si="92"/>
        <v>0</v>
      </c>
      <c r="AV89">
        <f t="shared" si="93"/>
        <v>0</v>
      </c>
      <c r="AW89">
        <f t="shared" si="48"/>
        <v>0</v>
      </c>
      <c r="AX89">
        <f t="shared" si="94"/>
        <v>0</v>
      </c>
      <c r="AY89">
        <f t="shared" si="95"/>
        <v>0</v>
      </c>
    </row>
    <row r="90" spans="1:51" x14ac:dyDescent="0.35">
      <c r="A90">
        <v>84</v>
      </c>
      <c r="C90">
        <f>MAX(0,Calc!$C$7-SUM(D90:R90))</f>
        <v>750</v>
      </c>
      <c r="D90">
        <f t="shared" si="49"/>
        <v>0</v>
      </c>
      <c r="E90">
        <f t="shared" si="50"/>
        <v>0</v>
      </c>
      <c r="F90">
        <f t="shared" si="51"/>
        <v>0</v>
      </c>
      <c r="G90">
        <f t="shared" si="52"/>
        <v>0</v>
      </c>
      <c r="H90">
        <f t="shared" si="53"/>
        <v>0</v>
      </c>
      <c r="I90">
        <f t="shared" si="54"/>
        <v>0</v>
      </c>
      <c r="J90">
        <f t="shared" si="55"/>
        <v>0</v>
      </c>
      <c r="K90">
        <f t="shared" si="56"/>
        <v>0</v>
      </c>
      <c r="L90">
        <f t="shared" si="57"/>
        <v>0</v>
      </c>
      <c r="M90">
        <f t="shared" si="58"/>
        <v>0</v>
      </c>
      <c r="N90">
        <f t="shared" si="59"/>
        <v>0</v>
      </c>
      <c r="O90">
        <f t="shared" si="60"/>
        <v>0</v>
      </c>
      <c r="P90">
        <f t="shared" si="61"/>
        <v>0</v>
      </c>
      <c r="Q90">
        <f t="shared" si="62"/>
        <v>0</v>
      </c>
      <c r="R90">
        <f t="shared" si="63"/>
        <v>0</v>
      </c>
      <c r="S90">
        <f t="shared" si="64"/>
        <v>0</v>
      </c>
      <c r="T90">
        <f t="shared" si="65"/>
        <v>0</v>
      </c>
      <c r="U90">
        <f t="shared" si="66"/>
        <v>0</v>
      </c>
      <c r="V90">
        <f t="shared" si="67"/>
        <v>0</v>
      </c>
      <c r="W90">
        <f t="shared" si="68"/>
        <v>0</v>
      </c>
      <c r="X90">
        <f t="shared" si="69"/>
        <v>0</v>
      </c>
      <c r="Y90">
        <f t="shared" si="70"/>
        <v>0</v>
      </c>
      <c r="Z90">
        <f t="shared" si="71"/>
        <v>0</v>
      </c>
      <c r="AA90">
        <f t="shared" si="72"/>
        <v>0</v>
      </c>
      <c r="AB90">
        <f t="shared" si="73"/>
        <v>0</v>
      </c>
      <c r="AC90">
        <f t="shared" si="74"/>
        <v>0</v>
      </c>
      <c r="AD90">
        <f t="shared" si="75"/>
        <v>0</v>
      </c>
      <c r="AE90">
        <f t="shared" si="76"/>
        <v>0</v>
      </c>
      <c r="AF90">
        <f t="shared" si="77"/>
        <v>0</v>
      </c>
      <c r="AG90">
        <f t="shared" si="78"/>
        <v>0</v>
      </c>
      <c r="AH90">
        <f t="shared" si="79"/>
        <v>0</v>
      </c>
      <c r="AI90">
        <f t="shared" si="80"/>
        <v>0</v>
      </c>
      <c r="AJ90">
        <f t="shared" si="81"/>
        <v>0</v>
      </c>
      <c r="AK90">
        <f t="shared" si="82"/>
        <v>0</v>
      </c>
      <c r="AL90">
        <f t="shared" si="83"/>
        <v>0</v>
      </c>
      <c r="AM90">
        <f t="shared" si="84"/>
        <v>0</v>
      </c>
      <c r="AN90">
        <f t="shared" si="85"/>
        <v>0</v>
      </c>
      <c r="AO90">
        <f t="shared" si="86"/>
        <v>0</v>
      </c>
      <c r="AP90">
        <f t="shared" si="87"/>
        <v>0</v>
      </c>
      <c r="AQ90">
        <f t="shared" si="88"/>
        <v>0</v>
      </c>
      <c r="AR90">
        <f t="shared" si="89"/>
        <v>0</v>
      </c>
      <c r="AS90">
        <f t="shared" si="90"/>
        <v>0</v>
      </c>
      <c r="AT90">
        <f t="shared" si="91"/>
        <v>0</v>
      </c>
      <c r="AU90">
        <f t="shared" si="92"/>
        <v>0</v>
      </c>
      <c r="AV90">
        <f t="shared" si="93"/>
        <v>0</v>
      </c>
      <c r="AW90">
        <f t="shared" si="48"/>
        <v>0</v>
      </c>
      <c r="AX90">
        <f t="shared" si="94"/>
        <v>0</v>
      </c>
      <c r="AY90">
        <f t="shared" si="95"/>
        <v>0</v>
      </c>
    </row>
    <row r="91" spans="1:51" x14ac:dyDescent="0.35">
      <c r="A91">
        <v>85</v>
      </c>
      <c r="C91">
        <f>MAX(0,Calc!$C$7-SUM(D91:R91))</f>
        <v>750</v>
      </c>
      <c r="D91">
        <f t="shared" si="49"/>
        <v>0</v>
      </c>
      <c r="E91">
        <f t="shared" si="50"/>
        <v>0</v>
      </c>
      <c r="F91">
        <f t="shared" si="51"/>
        <v>0</v>
      </c>
      <c r="G91">
        <f t="shared" si="52"/>
        <v>0</v>
      </c>
      <c r="H91">
        <f t="shared" si="53"/>
        <v>0</v>
      </c>
      <c r="I91">
        <f t="shared" si="54"/>
        <v>0</v>
      </c>
      <c r="J91">
        <f t="shared" si="55"/>
        <v>0</v>
      </c>
      <c r="K91">
        <f t="shared" si="56"/>
        <v>0</v>
      </c>
      <c r="L91">
        <f t="shared" si="57"/>
        <v>0</v>
      </c>
      <c r="M91">
        <f t="shared" si="58"/>
        <v>0</v>
      </c>
      <c r="N91">
        <f t="shared" si="59"/>
        <v>0</v>
      </c>
      <c r="O91">
        <f t="shared" si="60"/>
        <v>0</v>
      </c>
      <c r="P91">
        <f t="shared" si="61"/>
        <v>0</v>
      </c>
      <c r="Q91">
        <f t="shared" si="62"/>
        <v>0</v>
      </c>
      <c r="R91">
        <f t="shared" si="63"/>
        <v>0</v>
      </c>
      <c r="S91">
        <f t="shared" si="64"/>
        <v>0</v>
      </c>
      <c r="T91">
        <f t="shared" si="65"/>
        <v>0</v>
      </c>
      <c r="U91">
        <f t="shared" si="66"/>
        <v>0</v>
      </c>
      <c r="V91">
        <f t="shared" si="67"/>
        <v>0</v>
      </c>
      <c r="W91">
        <f t="shared" si="68"/>
        <v>0</v>
      </c>
      <c r="X91">
        <f t="shared" si="69"/>
        <v>0</v>
      </c>
      <c r="Y91">
        <f t="shared" si="70"/>
        <v>0</v>
      </c>
      <c r="Z91">
        <f t="shared" si="71"/>
        <v>0</v>
      </c>
      <c r="AA91">
        <f t="shared" si="72"/>
        <v>0</v>
      </c>
      <c r="AB91">
        <f t="shared" si="73"/>
        <v>0</v>
      </c>
      <c r="AC91">
        <f t="shared" si="74"/>
        <v>0</v>
      </c>
      <c r="AD91">
        <f t="shared" si="75"/>
        <v>0</v>
      </c>
      <c r="AE91">
        <f t="shared" si="76"/>
        <v>0</v>
      </c>
      <c r="AF91">
        <f t="shared" si="77"/>
        <v>0</v>
      </c>
      <c r="AG91">
        <f t="shared" si="78"/>
        <v>0</v>
      </c>
      <c r="AH91">
        <f t="shared" si="79"/>
        <v>0</v>
      </c>
      <c r="AI91">
        <f t="shared" si="80"/>
        <v>0</v>
      </c>
      <c r="AJ91">
        <f t="shared" si="81"/>
        <v>0</v>
      </c>
      <c r="AK91">
        <f t="shared" si="82"/>
        <v>0</v>
      </c>
      <c r="AL91">
        <f t="shared" si="83"/>
        <v>0</v>
      </c>
      <c r="AM91">
        <f t="shared" si="84"/>
        <v>0</v>
      </c>
      <c r="AN91">
        <f t="shared" si="85"/>
        <v>0</v>
      </c>
      <c r="AO91">
        <f t="shared" si="86"/>
        <v>0</v>
      </c>
      <c r="AP91">
        <f t="shared" si="87"/>
        <v>0</v>
      </c>
      <c r="AQ91">
        <f t="shared" si="88"/>
        <v>0</v>
      </c>
      <c r="AR91">
        <f t="shared" si="89"/>
        <v>0</v>
      </c>
      <c r="AS91">
        <f t="shared" si="90"/>
        <v>0</v>
      </c>
      <c r="AT91">
        <f t="shared" si="91"/>
        <v>0</v>
      </c>
      <c r="AU91">
        <f t="shared" si="92"/>
        <v>0</v>
      </c>
      <c r="AV91">
        <f t="shared" si="93"/>
        <v>0</v>
      </c>
      <c r="AW91">
        <f t="shared" si="48"/>
        <v>0</v>
      </c>
      <c r="AX91">
        <f t="shared" si="94"/>
        <v>0</v>
      </c>
      <c r="AY91">
        <f t="shared" si="95"/>
        <v>0</v>
      </c>
    </row>
    <row r="92" spans="1:51" x14ac:dyDescent="0.35">
      <c r="A92">
        <v>86</v>
      </c>
      <c r="C92">
        <f>MAX(0,Calc!$C$7-SUM(D92:R92))</f>
        <v>750</v>
      </c>
      <c r="D92">
        <f t="shared" si="49"/>
        <v>0</v>
      </c>
      <c r="E92">
        <f t="shared" si="50"/>
        <v>0</v>
      </c>
      <c r="F92">
        <f t="shared" si="51"/>
        <v>0</v>
      </c>
      <c r="G92">
        <f t="shared" si="52"/>
        <v>0</v>
      </c>
      <c r="H92">
        <f t="shared" si="53"/>
        <v>0</v>
      </c>
      <c r="I92">
        <f t="shared" si="54"/>
        <v>0</v>
      </c>
      <c r="J92">
        <f t="shared" si="55"/>
        <v>0</v>
      </c>
      <c r="K92">
        <f t="shared" si="56"/>
        <v>0</v>
      </c>
      <c r="L92">
        <f t="shared" si="57"/>
        <v>0</v>
      </c>
      <c r="M92">
        <f t="shared" si="58"/>
        <v>0</v>
      </c>
      <c r="N92">
        <f t="shared" si="59"/>
        <v>0</v>
      </c>
      <c r="O92">
        <f t="shared" si="60"/>
        <v>0</v>
      </c>
      <c r="P92">
        <f t="shared" si="61"/>
        <v>0</v>
      </c>
      <c r="Q92">
        <f t="shared" si="62"/>
        <v>0</v>
      </c>
      <c r="R92">
        <f t="shared" si="63"/>
        <v>0</v>
      </c>
      <c r="S92">
        <f t="shared" si="64"/>
        <v>0</v>
      </c>
      <c r="T92">
        <f t="shared" si="65"/>
        <v>0</v>
      </c>
      <c r="U92">
        <f t="shared" si="66"/>
        <v>0</v>
      </c>
      <c r="V92">
        <f t="shared" si="67"/>
        <v>0</v>
      </c>
      <c r="W92">
        <f t="shared" si="68"/>
        <v>0</v>
      </c>
      <c r="X92">
        <f t="shared" si="69"/>
        <v>0</v>
      </c>
      <c r="Y92">
        <f t="shared" si="70"/>
        <v>0</v>
      </c>
      <c r="Z92">
        <f t="shared" si="71"/>
        <v>0</v>
      </c>
      <c r="AA92">
        <f t="shared" si="72"/>
        <v>0</v>
      </c>
      <c r="AB92">
        <f t="shared" si="73"/>
        <v>0</v>
      </c>
      <c r="AC92">
        <f t="shared" si="74"/>
        <v>0</v>
      </c>
      <c r="AD92">
        <f t="shared" si="75"/>
        <v>0</v>
      </c>
      <c r="AE92">
        <f t="shared" si="76"/>
        <v>0</v>
      </c>
      <c r="AF92">
        <f t="shared" si="77"/>
        <v>0</v>
      </c>
      <c r="AG92">
        <f t="shared" si="78"/>
        <v>0</v>
      </c>
      <c r="AH92">
        <f t="shared" si="79"/>
        <v>0</v>
      </c>
      <c r="AI92">
        <f t="shared" si="80"/>
        <v>0</v>
      </c>
      <c r="AJ92">
        <f t="shared" si="81"/>
        <v>0</v>
      </c>
      <c r="AK92">
        <f t="shared" si="82"/>
        <v>0</v>
      </c>
      <c r="AL92">
        <f t="shared" si="83"/>
        <v>0</v>
      </c>
      <c r="AM92">
        <f t="shared" si="84"/>
        <v>0</v>
      </c>
      <c r="AN92">
        <f t="shared" si="85"/>
        <v>0</v>
      </c>
      <c r="AO92">
        <f t="shared" si="86"/>
        <v>0</v>
      </c>
      <c r="AP92">
        <f t="shared" si="87"/>
        <v>0</v>
      </c>
      <c r="AQ92">
        <f t="shared" si="88"/>
        <v>0</v>
      </c>
      <c r="AR92">
        <f t="shared" si="89"/>
        <v>0</v>
      </c>
      <c r="AS92">
        <f t="shared" si="90"/>
        <v>0</v>
      </c>
      <c r="AT92">
        <f t="shared" si="91"/>
        <v>0</v>
      </c>
      <c r="AU92">
        <f t="shared" si="92"/>
        <v>0</v>
      </c>
      <c r="AV92">
        <f t="shared" si="93"/>
        <v>0</v>
      </c>
      <c r="AW92">
        <f t="shared" si="48"/>
        <v>0</v>
      </c>
      <c r="AX92">
        <f t="shared" si="94"/>
        <v>0</v>
      </c>
      <c r="AY92">
        <f t="shared" si="95"/>
        <v>0</v>
      </c>
    </row>
    <row r="93" spans="1:51" x14ac:dyDescent="0.35">
      <c r="A93">
        <v>87</v>
      </c>
      <c r="C93">
        <f>MAX(0,Calc!$C$7-SUM(D93:R93))</f>
        <v>750</v>
      </c>
      <c r="D93">
        <f t="shared" si="49"/>
        <v>0</v>
      </c>
      <c r="E93">
        <f t="shared" si="50"/>
        <v>0</v>
      </c>
      <c r="F93">
        <f t="shared" si="51"/>
        <v>0</v>
      </c>
      <c r="G93">
        <f t="shared" si="52"/>
        <v>0</v>
      </c>
      <c r="H93">
        <f t="shared" si="53"/>
        <v>0</v>
      </c>
      <c r="I93">
        <f t="shared" si="54"/>
        <v>0</v>
      </c>
      <c r="J93">
        <f t="shared" si="55"/>
        <v>0</v>
      </c>
      <c r="K93">
        <f t="shared" si="56"/>
        <v>0</v>
      </c>
      <c r="L93">
        <f t="shared" si="57"/>
        <v>0</v>
      </c>
      <c r="M93">
        <f t="shared" si="58"/>
        <v>0</v>
      </c>
      <c r="N93">
        <f t="shared" si="59"/>
        <v>0</v>
      </c>
      <c r="O93">
        <f t="shared" si="60"/>
        <v>0</v>
      </c>
      <c r="P93">
        <f t="shared" si="61"/>
        <v>0</v>
      </c>
      <c r="Q93">
        <f t="shared" si="62"/>
        <v>0</v>
      </c>
      <c r="R93">
        <f t="shared" si="63"/>
        <v>0</v>
      </c>
      <c r="S93">
        <f t="shared" si="64"/>
        <v>0</v>
      </c>
      <c r="T93">
        <f t="shared" si="65"/>
        <v>0</v>
      </c>
      <c r="U93">
        <f t="shared" si="66"/>
        <v>0</v>
      </c>
      <c r="V93">
        <f t="shared" si="67"/>
        <v>0</v>
      </c>
      <c r="W93">
        <f t="shared" si="68"/>
        <v>0</v>
      </c>
      <c r="X93">
        <f t="shared" si="69"/>
        <v>0</v>
      </c>
      <c r="Y93">
        <f t="shared" si="70"/>
        <v>0</v>
      </c>
      <c r="Z93">
        <f t="shared" si="71"/>
        <v>0</v>
      </c>
      <c r="AA93">
        <f t="shared" si="72"/>
        <v>0</v>
      </c>
      <c r="AB93">
        <f t="shared" si="73"/>
        <v>0</v>
      </c>
      <c r="AC93">
        <f t="shared" si="74"/>
        <v>0</v>
      </c>
      <c r="AD93">
        <f t="shared" si="75"/>
        <v>0</v>
      </c>
      <c r="AE93">
        <f t="shared" si="76"/>
        <v>0</v>
      </c>
      <c r="AF93">
        <f t="shared" si="77"/>
        <v>0</v>
      </c>
      <c r="AG93">
        <f t="shared" si="78"/>
        <v>0</v>
      </c>
      <c r="AH93">
        <f t="shared" si="79"/>
        <v>0</v>
      </c>
      <c r="AI93">
        <f t="shared" si="80"/>
        <v>0</v>
      </c>
      <c r="AJ93">
        <f t="shared" si="81"/>
        <v>0</v>
      </c>
      <c r="AK93">
        <f t="shared" si="82"/>
        <v>0</v>
      </c>
      <c r="AL93">
        <f t="shared" si="83"/>
        <v>0</v>
      </c>
      <c r="AM93">
        <f t="shared" si="84"/>
        <v>0</v>
      </c>
      <c r="AN93">
        <f t="shared" si="85"/>
        <v>0</v>
      </c>
      <c r="AO93">
        <f t="shared" si="86"/>
        <v>0</v>
      </c>
      <c r="AP93">
        <f t="shared" si="87"/>
        <v>0</v>
      </c>
      <c r="AQ93">
        <f t="shared" si="88"/>
        <v>0</v>
      </c>
      <c r="AR93">
        <f t="shared" si="89"/>
        <v>0</v>
      </c>
      <c r="AS93">
        <f t="shared" si="90"/>
        <v>0</v>
      </c>
      <c r="AT93">
        <f t="shared" si="91"/>
        <v>0</v>
      </c>
      <c r="AU93">
        <f t="shared" si="92"/>
        <v>0</v>
      </c>
      <c r="AV93">
        <f t="shared" si="93"/>
        <v>0</v>
      </c>
      <c r="AW93">
        <f t="shared" si="48"/>
        <v>0</v>
      </c>
      <c r="AX93">
        <f t="shared" si="94"/>
        <v>0</v>
      </c>
      <c r="AY93">
        <f t="shared" si="95"/>
        <v>0</v>
      </c>
    </row>
    <row r="94" spans="1:51" x14ac:dyDescent="0.35">
      <c r="A94">
        <v>88</v>
      </c>
      <c r="C94">
        <f>MAX(0,Calc!$C$7-SUM(D94:R94))</f>
        <v>750</v>
      </c>
      <c r="D94">
        <f t="shared" si="49"/>
        <v>0</v>
      </c>
      <c r="E94">
        <f t="shared" si="50"/>
        <v>0</v>
      </c>
      <c r="F94">
        <f t="shared" si="51"/>
        <v>0</v>
      </c>
      <c r="G94">
        <f t="shared" si="52"/>
        <v>0</v>
      </c>
      <c r="H94">
        <f t="shared" si="53"/>
        <v>0</v>
      </c>
      <c r="I94">
        <f t="shared" si="54"/>
        <v>0</v>
      </c>
      <c r="J94">
        <f t="shared" si="55"/>
        <v>0</v>
      </c>
      <c r="K94">
        <f t="shared" si="56"/>
        <v>0</v>
      </c>
      <c r="L94">
        <f t="shared" si="57"/>
        <v>0</v>
      </c>
      <c r="M94">
        <f t="shared" si="58"/>
        <v>0</v>
      </c>
      <c r="N94">
        <f t="shared" si="59"/>
        <v>0</v>
      </c>
      <c r="O94">
        <f t="shared" si="60"/>
        <v>0</v>
      </c>
      <c r="P94">
        <f t="shared" si="61"/>
        <v>0</v>
      </c>
      <c r="Q94">
        <f t="shared" si="62"/>
        <v>0</v>
      </c>
      <c r="R94">
        <f t="shared" si="63"/>
        <v>0</v>
      </c>
      <c r="S94">
        <f t="shared" si="64"/>
        <v>0</v>
      </c>
      <c r="T94">
        <f t="shared" si="65"/>
        <v>0</v>
      </c>
      <c r="U94">
        <f t="shared" si="66"/>
        <v>0</v>
      </c>
      <c r="V94">
        <f t="shared" si="67"/>
        <v>0</v>
      </c>
      <c r="W94">
        <f t="shared" si="68"/>
        <v>0</v>
      </c>
      <c r="X94">
        <f t="shared" si="69"/>
        <v>0</v>
      </c>
      <c r="Y94">
        <f t="shared" si="70"/>
        <v>0</v>
      </c>
      <c r="Z94">
        <f t="shared" si="71"/>
        <v>0</v>
      </c>
      <c r="AA94">
        <f t="shared" si="72"/>
        <v>0</v>
      </c>
      <c r="AB94">
        <f t="shared" si="73"/>
        <v>0</v>
      </c>
      <c r="AC94">
        <f t="shared" si="74"/>
        <v>0</v>
      </c>
      <c r="AD94">
        <f t="shared" si="75"/>
        <v>0</v>
      </c>
      <c r="AE94">
        <f t="shared" si="76"/>
        <v>0</v>
      </c>
      <c r="AF94">
        <f t="shared" si="77"/>
        <v>0</v>
      </c>
      <c r="AG94">
        <f t="shared" si="78"/>
        <v>0</v>
      </c>
      <c r="AH94">
        <f t="shared" si="79"/>
        <v>0</v>
      </c>
      <c r="AI94">
        <f t="shared" si="80"/>
        <v>0</v>
      </c>
      <c r="AJ94">
        <f t="shared" si="81"/>
        <v>0</v>
      </c>
      <c r="AK94">
        <f t="shared" si="82"/>
        <v>0</v>
      </c>
      <c r="AL94">
        <f t="shared" si="83"/>
        <v>0</v>
      </c>
      <c r="AM94">
        <f t="shared" si="84"/>
        <v>0</v>
      </c>
      <c r="AN94">
        <f t="shared" si="85"/>
        <v>0</v>
      </c>
      <c r="AO94">
        <f t="shared" si="86"/>
        <v>0</v>
      </c>
      <c r="AP94">
        <f t="shared" si="87"/>
        <v>0</v>
      </c>
      <c r="AQ94">
        <f t="shared" si="88"/>
        <v>0</v>
      </c>
      <c r="AR94">
        <f t="shared" si="89"/>
        <v>0</v>
      </c>
      <c r="AS94">
        <f t="shared" si="90"/>
        <v>0</v>
      </c>
      <c r="AT94">
        <f t="shared" si="91"/>
        <v>0</v>
      </c>
      <c r="AU94">
        <f t="shared" si="92"/>
        <v>0</v>
      </c>
      <c r="AV94">
        <f t="shared" si="93"/>
        <v>0</v>
      </c>
      <c r="AW94">
        <f t="shared" si="48"/>
        <v>0</v>
      </c>
      <c r="AX94">
        <f t="shared" si="94"/>
        <v>0</v>
      </c>
      <c r="AY94">
        <f t="shared" si="95"/>
        <v>0</v>
      </c>
    </row>
    <row r="95" spans="1:51" x14ac:dyDescent="0.35">
      <c r="A95">
        <v>89</v>
      </c>
      <c r="C95">
        <f>MAX(0,Calc!$C$7-SUM(D95:R95))</f>
        <v>750</v>
      </c>
      <c r="D95">
        <f t="shared" si="49"/>
        <v>0</v>
      </c>
      <c r="E95">
        <f t="shared" si="50"/>
        <v>0</v>
      </c>
      <c r="F95">
        <f t="shared" si="51"/>
        <v>0</v>
      </c>
      <c r="G95">
        <f t="shared" si="52"/>
        <v>0</v>
      </c>
      <c r="H95">
        <f t="shared" si="53"/>
        <v>0</v>
      </c>
      <c r="I95">
        <f t="shared" si="54"/>
        <v>0</v>
      </c>
      <c r="J95">
        <f t="shared" si="55"/>
        <v>0</v>
      </c>
      <c r="K95">
        <f t="shared" si="56"/>
        <v>0</v>
      </c>
      <c r="L95">
        <f t="shared" si="57"/>
        <v>0</v>
      </c>
      <c r="M95">
        <f t="shared" si="58"/>
        <v>0</v>
      </c>
      <c r="N95">
        <f t="shared" si="59"/>
        <v>0</v>
      </c>
      <c r="O95">
        <f t="shared" si="60"/>
        <v>0</v>
      </c>
      <c r="P95">
        <f t="shared" si="61"/>
        <v>0</v>
      </c>
      <c r="Q95">
        <f t="shared" si="62"/>
        <v>0</v>
      </c>
      <c r="R95">
        <f t="shared" si="63"/>
        <v>0</v>
      </c>
      <c r="S95">
        <f t="shared" si="64"/>
        <v>0</v>
      </c>
      <c r="T95">
        <f t="shared" si="65"/>
        <v>0</v>
      </c>
      <c r="U95">
        <f t="shared" si="66"/>
        <v>0</v>
      </c>
      <c r="V95">
        <f t="shared" si="67"/>
        <v>0</v>
      </c>
      <c r="W95">
        <f t="shared" si="68"/>
        <v>0</v>
      </c>
      <c r="X95">
        <f t="shared" si="69"/>
        <v>0</v>
      </c>
      <c r="Y95">
        <f t="shared" si="70"/>
        <v>0</v>
      </c>
      <c r="Z95">
        <f t="shared" si="71"/>
        <v>0</v>
      </c>
      <c r="AA95">
        <f t="shared" si="72"/>
        <v>0</v>
      </c>
      <c r="AB95">
        <f t="shared" si="73"/>
        <v>0</v>
      </c>
      <c r="AC95">
        <f t="shared" si="74"/>
        <v>0</v>
      </c>
      <c r="AD95">
        <f t="shared" si="75"/>
        <v>0</v>
      </c>
      <c r="AE95">
        <f t="shared" si="76"/>
        <v>0</v>
      </c>
      <c r="AF95">
        <f t="shared" si="77"/>
        <v>0</v>
      </c>
      <c r="AG95">
        <f t="shared" si="78"/>
        <v>0</v>
      </c>
      <c r="AH95">
        <f t="shared" si="79"/>
        <v>0</v>
      </c>
      <c r="AI95">
        <f t="shared" si="80"/>
        <v>0</v>
      </c>
      <c r="AJ95">
        <f t="shared" si="81"/>
        <v>0</v>
      </c>
      <c r="AK95">
        <f t="shared" si="82"/>
        <v>0</v>
      </c>
      <c r="AL95">
        <f t="shared" si="83"/>
        <v>0</v>
      </c>
      <c r="AM95">
        <f t="shared" si="84"/>
        <v>0</v>
      </c>
      <c r="AN95">
        <f t="shared" si="85"/>
        <v>0</v>
      </c>
      <c r="AO95">
        <f t="shared" si="86"/>
        <v>0</v>
      </c>
      <c r="AP95">
        <f t="shared" si="87"/>
        <v>0</v>
      </c>
      <c r="AQ95">
        <f t="shared" si="88"/>
        <v>0</v>
      </c>
      <c r="AR95">
        <f t="shared" si="89"/>
        <v>0</v>
      </c>
      <c r="AS95">
        <f t="shared" si="90"/>
        <v>0</v>
      </c>
      <c r="AT95">
        <f t="shared" si="91"/>
        <v>0</v>
      </c>
      <c r="AU95">
        <f t="shared" si="92"/>
        <v>0</v>
      </c>
      <c r="AV95">
        <f t="shared" si="93"/>
        <v>0</v>
      </c>
      <c r="AW95">
        <f t="shared" si="48"/>
        <v>0</v>
      </c>
      <c r="AX95">
        <f t="shared" si="94"/>
        <v>0</v>
      </c>
      <c r="AY95">
        <f t="shared" si="95"/>
        <v>0</v>
      </c>
    </row>
    <row r="96" spans="1:51" x14ac:dyDescent="0.35">
      <c r="A96">
        <v>90</v>
      </c>
      <c r="C96">
        <f>MAX(0,Calc!$C$7-SUM(D96:R96))</f>
        <v>750</v>
      </c>
      <c r="D96">
        <f t="shared" si="49"/>
        <v>0</v>
      </c>
      <c r="E96">
        <f t="shared" si="50"/>
        <v>0</v>
      </c>
      <c r="F96">
        <f t="shared" si="51"/>
        <v>0</v>
      </c>
      <c r="G96">
        <f t="shared" si="52"/>
        <v>0</v>
      </c>
      <c r="H96">
        <f t="shared" si="53"/>
        <v>0</v>
      </c>
      <c r="I96">
        <f t="shared" si="54"/>
        <v>0</v>
      </c>
      <c r="J96">
        <f t="shared" si="55"/>
        <v>0</v>
      </c>
      <c r="K96">
        <f t="shared" si="56"/>
        <v>0</v>
      </c>
      <c r="L96">
        <f t="shared" si="57"/>
        <v>0</v>
      </c>
      <c r="M96">
        <f t="shared" si="58"/>
        <v>0</v>
      </c>
      <c r="N96">
        <f t="shared" si="59"/>
        <v>0</v>
      </c>
      <c r="O96">
        <f t="shared" si="60"/>
        <v>0</v>
      </c>
      <c r="P96">
        <f t="shared" si="61"/>
        <v>0</v>
      </c>
      <c r="Q96">
        <f t="shared" si="62"/>
        <v>0</v>
      </c>
      <c r="R96">
        <f t="shared" si="63"/>
        <v>0</v>
      </c>
      <c r="S96">
        <f t="shared" si="64"/>
        <v>0</v>
      </c>
      <c r="T96">
        <f t="shared" si="65"/>
        <v>0</v>
      </c>
      <c r="U96">
        <f t="shared" si="66"/>
        <v>0</v>
      </c>
      <c r="V96">
        <f t="shared" si="67"/>
        <v>0</v>
      </c>
      <c r="W96">
        <f t="shared" si="68"/>
        <v>0</v>
      </c>
      <c r="X96">
        <f t="shared" si="69"/>
        <v>0</v>
      </c>
      <c r="Y96">
        <f t="shared" si="70"/>
        <v>0</v>
      </c>
      <c r="Z96">
        <f t="shared" si="71"/>
        <v>0</v>
      </c>
      <c r="AA96">
        <f t="shared" si="72"/>
        <v>0</v>
      </c>
      <c r="AB96">
        <f t="shared" si="73"/>
        <v>0</v>
      </c>
      <c r="AC96">
        <f t="shared" si="74"/>
        <v>0</v>
      </c>
      <c r="AD96">
        <f t="shared" si="75"/>
        <v>0</v>
      </c>
      <c r="AE96">
        <f t="shared" si="76"/>
        <v>0</v>
      </c>
      <c r="AF96">
        <f t="shared" si="77"/>
        <v>0</v>
      </c>
      <c r="AG96">
        <f t="shared" si="78"/>
        <v>0</v>
      </c>
      <c r="AH96">
        <f t="shared" si="79"/>
        <v>0</v>
      </c>
      <c r="AI96">
        <f t="shared" si="80"/>
        <v>0</v>
      </c>
      <c r="AJ96">
        <f t="shared" si="81"/>
        <v>0</v>
      </c>
      <c r="AK96">
        <f t="shared" si="82"/>
        <v>0</v>
      </c>
      <c r="AL96">
        <f t="shared" si="83"/>
        <v>0</v>
      </c>
      <c r="AM96">
        <f t="shared" si="84"/>
        <v>0</v>
      </c>
      <c r="AN96">
        <f t="shared" si="85"/>
        <v>0</v>
      </c>
      <c r="AO96">
        <f t="shared" si="86"/>
        <v>0</v>
      </c>
      <c r="AP96">
        <f t="shared" si="87"/>
        <v>0</v>
      </c>
      <c r="AQ96">
        <f t="shared" si="88"/>
        <v>0</v>
      </c>
      <c r="AR96">
        <f t="shared" si="89"/>
        <v>0</v>
      </c>
      <c r="AS96">
        <f t="shared" si="90"/>
        <v>0</v>
      </c>
      <c r="AT96">
        <f t="shared" si="91"/>
        <v>0</v>
      </c>
      <c r="AU96">
        <f t="shared" si="92"/>
        <v>0</v>
      </c>
      <c r="AV96">
        <f t="shared" si="93"/>
        <v>0</v>
      </c>
      <c r="AW96">
        <f t="shared" si="48"/>
        <v>0</v>
      </c>
      <c r="AX96">
        <f t="shared" si="94"/>
        <v>0</v>
      </c>
      <c r="AY96">
        <f t="shared" si="95"/>
        <v>0</v>
      </c>
    </row>
    <row r="97" spans="1:51" x14ac:dyDescent="0.35">
      <c r="A97">
        <v>91</v>
      </c>
      <c r="C97">
        <f>MAX(0,Calc!$C$7-SUM(D97:R97))</f>
        <v>750</v>
      </c>
      <c r="D97">
        <f t="shared" si="49"/>
        <v>0</v>
      </c>
      <c r="E97">
        <f t="shared" si="50"/>
        <v>0</v>
      </c>
      <c r="F97">
        <f t="shared" si="51"/>
        <v>0</v>
      </c>
      <c r="G97">
        <f t="shared" si="52"/>
        <v>0</v>
      </c>
      <c r="H97">
        <f t="shared" si="53"/>
        <v>0</v>
      </c>
      <c r="I97">
        <f t="shared" si="54"/>
        <v>0</v>
      </c>
      <c r="J97">
        <f t="shared" si="55"/>
        <v>0</v>
      </c>
      <c r="K97">
        <f t="shared" si="56"/>
        <v>0</v>
      </c>
      <c r="L97">
        <f t="shared" si="57"/>
        <v>0</v>
      </c>
      <c r="M97">
        <f t="shared" si="58"/>
        <v>0</v>
      </c>
      <c r="N97">
        <f t="shared" si="59"/>
        <v>0</v>
      </c>
      <c r="O97">
        <f t="shared" si="60"/>
        <v>0</v>
      </c>
      <c r="P97">
        <f t="shared" si="61"/>
        <v>0</v>
      </c>
      <c r="Q97">
        <f t="shared" si="62"/>
        <v>0</v>
      </c>
      <c r="R97">
        <f t="shared" si="63"/>
        <v>0</v>
      </c>
      <c r="S97">
        <f t="shared" si="64"/>
        <v>0</v>
      </c>
      <c r="T97">
        <f t="shared" si="65"/>
        <v>0</v>
      </c>
      <c r="U97">
        <f t="shared" si="66"/>
        <v>0</v>
      </c>
      <c r="V97">
        <f t="shared" si="67"/>
        <v>0</v>
      </c>
      <c r="W97">
        <f t="shared" si="68"/>
        <v>0</v>
      </c>
      <c r="X97">
        <f t="shared" si="69"/>
        <v>0</v>
      </c>
      <c r="Y97">
        <f t="shared" si="70"/>
        <v>0</v>
      </c>
      <c r="Z97">
        <f t="shared" si="71"/>
        <v>0</v>
      </c>
      <c r="AA97">
        <f t="shared" si="72"/>
        <v>0</v>
      </c>
      <c r="AB97">
        <f t="shared" si="73"/>
        <v>0</v>
      </c>
      <c r="AC97">
        <f t="shared" si="74"/>
        <v>0</v>
      </c>
      <c r="AD97">
        <f t="shared" si="75"/>
        <v>0</v>
      </c>
      <c r="AE97">
        <f t="shared" si="76"/>
        <v>0</v>
      </c>
      <c r="AF97">
        <f t="shared" si="77"/>
        <v>0</v>
      </c>
      <c r="AG97">
        <f t="shared" si="78"/>
        <v>0</v>
      </c>
      <c r="AH97">
        <f t="shared" si="79"/>
        <v>0</v>
      </c>
      <c r="AI97">
        <f t="shared" si="80"/>
        <v>0</v>
      </c>
      <c r="AJ97">
        <f t="shared" si="81"/>
        <v>0</v>
      </c>
      <c r="AK97">
        <f t="shared" si="82"/>
        <v>0</v>
      </c>
      <c r="AL97">
        <f t="shared" si="83"/>
        <v>0</v>
      </c>
      <c r="AM97">
        <f t="shared" si="84"/>
        <v>0</v>
      </c>
      <c r="AN97">
        <f t="shared" si="85"/>
        <v>0</v>
      </c>
      <c r="AO97">
        <f t="shared" si="86"/>
        <v>0</v>
      </c>
      <c r="AP97">
        <f t="shared" si="87"/>
        <v>0</v>
      </c>
      <c r="AQ97">
        <f t="shared" si="88"/>
        <v>0</v>
      </c>
      <c r="AR97">
        <f t="shared" si="89"/>
        <v>0</v>
      </c>
      <c r="AS97">
        <f t="shared" si="90"/>
        <v>0</v>
      </c>
      <c r="AT97">
        <f t="shared" si="91"/>
        <v>0</v>
      </c>
      <c r="AU97">
        <f t="shared" si="92"/>
        <v>0</v>
      </c>
      <c r="AV97">
        <f t="shared" si="93"/>
        <v>0</v>
      </c>
      <c r="AW97">
        <f t="shared" si="48"/>
        <v>0</v>
      </c>
      <c r="AX97">
        <f t="shared" si="94"/>
        <v>0</v>
      </c>
      <c r="AY97">
        <f t="shared" si="95"/>
        <v>0</v>
      </c>
    </row>
    <row r="98" spans="1:51" x14ac:dyDescent="0.35">
      <c r="A98">
        <v>92</v>
      </c>
      <c r="C98">
        <f>MAX(0,Calc!$C$7-SUM(D98:R98))</f>
        <v>750</v>
      </c>
      <c r="D98">
        <f t="shared" si="49"/>
        <v>0</v>
      </c>
      <c r="E98">
        <f t="shared" si="50"/>
        <v>0</v>
      </c>
      <c r="F98">
        <f t="shared" si="51"/>
        <v>0</v>
      </c>
      <c r="G98">
        <f t="shared" si="52"/>
        <v>0</v>
      </c>
      <c r="H98">
        <f t="shared" si="53"/>
        <v>0</v>
      </c>
      <c r="I98">
        <f t="shared" si="54"/>
        <v>0</v>
      </c>
      <c r="J98">
        <f t="shared" si="55"/>
        <v>0</v>
      </c>
      <c r="K98">
        <f t="shared" si="56"/>
        <v>0</v>
      </c>
      <c r="L98">
        <f t="shared" si="57"/>
        <v>0</v>
      </c>
      <c r="M98">
        <f t="shared" si="58"/>
        <v>0</v>
      </c>
      <c r="N98">
        <f t="shared" si="59"/>
        <v>0</v>
      </c>
      <c r="O98">
        <f t="shared" si="60"/>
        <v>0</v>
      </c>
      <c r="P98">
        <f t="shared" si="61"/>
        <v>0</v>
      </c>
      <c r="Q98">
        <f t="shared" si="62"/>
        <v>0</v>
      </c>
      <c r="R98">
        <f t="shared" si="63"/>
        <v>0</v>
      </c>
      <c r="S98">
        <f t="shared" si="64"/>
        <v>0</v>
      </c>
      <c r="T98">
        <f t="shared" si="65"/>
        <v>0</v>
      </c>
      <c r="U98">
        <f t="shared" si="66"/>
        <v>0</v>
      </c>
      <c r="V98">
        <f t="shared" si="67"/>
        <v>0</v>
      </c>
      <c r="W98">
        <f t="shared" si="68"/>
        <v>0</v>
      </c>
      <c r="X98">
        <f t="shared" si="69"/>
        <v>0</v>
      </c>
      <c r="Y98">
        <f t="shared" si="70"/>
        <v>0</v>
      </c>
      <c r="Z98">
        <f t="shared" si="71"/>
        <v>0</v>
      </c>
      <c r="AA98">
        <f t="shared" si="72"/>
        <v>0</v>
      </c>
      <c r="AB98">
        <f t="shared" si="73"/>
        <v>0</v>
      </c>
      <c r="AC98">
        <f t="shared" si="74"/>
        <v>0</v>
      </c>
      <c r="AD98">
        <f t="shared" si="75"/>
        <v>0</v>
      </c>
      <c r="AE98">
        <f t="shared" si="76"/>
        <v>0</v>
      </c>
      <c r="AF98">
        <f t="shared" si="77"/>
        <v>0</v>
      </c>
      <c r="AG98">
        <f t="shared" si="78"/>
        <v>0</v>
      </c>
      <c r="AH98">
        <f t="shared" si="79"/>
        <v>0</v>
      </c>
      <c r="AI98">
        <f t="shared" si="80"/>
        <v>0</v>
      </c>
      <c r="AJ98">
        <f t="shared" si="81"/>
        <v>0</v>
      </c>
      <c r="AK98">
        <f t="shared" si="82"/>
        <v>0</v>
      </c>
      <c r="AL98">
        <f t="shared" si="83"/>
        <v>0</v>
      </c>
      <c r="AM98">
        <f t="shared" si="84"/>
        <v>0</v>
      </c>
      <c r="AN98">
        <f t="shared" si="85"/>
        <v>0</v>
      </c>
      <c r="AO98">
        <f t="shared" si="86"/>
        <v>0</v>
      </c>
      <c r="AP98">
        <f t="shared" si="87"/>
        <v>0</v>
      </c>
      <c r="AQ98">
        <f t="shared" si="88"/>
        <v>0</v>
      </c>
      <c r="AR98">
        <f t="shared" si="89"/>
        <v>0</v>
      </c>
      <c r="AS98">
        <f t="shared" si="90"/>
        <v>0</v>
      </c>
      <c r="AT98">
        <f t="shared" si="91"/>
        <v>0</v>
      </c>
      <c r="AU98">
        <f t="shared" si="92"/>
        <v>0</v>
      </c>
      <c r="AV98">
        <f t="shared" si="93"/>
        <v>0</v>
      </c>
      <c r="AW98">
        <f t="shared" si="48"/>
        <v>0</v>
      </c>
      <c r="AX98">
        <f t="shared" si="94"/>
        <v>0</v>
      </c>
      <c r="AY98">
        <f t="shared" si="95"/>
        <v>0</v>
      </c>
    </row>
    <row r="99" spans="1:51" x14ac:dyDescent="0.35">
      <c r="A99">
        <v>93</v>
      </c>
      <c r="C99">
        <f>MAX(0,Calc!$C$7-SUM(D99:R99))</f>
        <v>750</v>
      </c>
      <c r="D99">
        <f t="shared" si="49"/>
        <v>0</v>
      </c>
      <c r="E99">
        <f t="shared" si="50"/>
        <v>0</v>
      </c>
      <c r="F99">
        <f t="shared" si="51"/>
        <v>0</v>
      </c>
      <c r="G99">
        <f t="shared" si="52"/>
        <v>0</v>
      </c>
      <c r="H99">
        <f t="shared" si="53"/>
        <v>0</v>
      </c>
      <c r="I99">
        <f t="shared" si="54"/>
        <v>0</v>
      </c>
      <c r="J99">
        <f t="shared" si="55"/>
        <v>0</v>
      </c>
      <c r="K99">
        <f t="shared" si="56"/>
        <v>0</v>
      </c>
      <c r="L99">
        <f t="shared" si="57"/>
        <v>0</v>
      </c>
      <c r="M99">
        <f t="shared" si="58"/>
        <v>0</v>
      </c>
      <c r="N99">
        <f t="shared" si="59"/>
        <v>0</v>
      </c>
      <c r="O99">
        <f t="shared" si="60"/>
        <v>0</v>
      </c>
      <c r="P99">
        <f t="shared" si="61"/>
        <v>0</v>
      </c>
      <c r="Q99">
        <f t="shared" si="62"/>
        <v>0</v>
      </c>
      <c r="R99">
        <f t="shared" si="63"/>
        <v>0</v>
      </c>
      <c r="S99">
        <f t="shared" si="64"/>
        <v>0</v>
      </c>
      <c r="T99">
        <f t="shared" si="65"/>
        <v>0</v>
      </c>
      <c r="U99">
        <f t="shared" si="66"/>
        <v>0</v>
      </c>
      <c r="V99">
        <f t="shared" si="67"/>
        <v>0</v>
      </c>
      <c r="W99">
        <f t="shared" si="68"/>
        <v>0</v>
      </c>
      <c r="X99">
        <f t="shared" si="69"/>
        <v>0</v>
      </c>
      <c r="Y99">
        <f t="shared" si="70"/>
        <v>0</v>
      </c>
      <c r="Z99">
        <f t="shared" si="71"/>
        <v>0</v>
      </c>
      <c r="AA99">
        <f t="shared" si="72"/>
        <v>0</v>
      </c>
      <c r="AB99">
        <f t="shared" si="73"/>
        <v>0</v>
      </c>
      <c r="AC99">
        <f t="shared" si="74"/>
        <v>0</v>
      </c>
      <c r="AD99">
        <f t="shared" si="75"/>
        <v>0</v>
      </c>
      <c r="AE99">
        <f t="shared" si="76"/>
        <v>0</v>
      </c>
      <c r="AF99">
        <f t="shared" si="77"/>
        <v>0</v>
      </c>
      <c r="AG99">
        <f t="shared" si="78"/>
        <v>0</v>
      </c>
      <c r="AH99">
        <f t="shared" si="79"/>
        <v>0</v>
      </c>
      <c r="AI99">
        <f t="shared" si="80"/>
        <v>0</v>
      </c>
      <c r="AJ99">
        <f t="shared" si="81"/>
        <v>0</v>
      </c>
      <c r="AK99">
        <f t="shared" si="82"/>
        <v>0</v>
      </c>
      <c r="AL99">
        <f t="shared" si="83"/>
        <v>0</v>
      </c>
      <c r="AM99">
        <f t="shared" si="84"/>
        <v>0</v>
      </c>
      <c r="AN99">
        <f t="shared" si="85"/>
        <v>0</v>
      </c>
      <c r="AO99">
        <f t="shared" si="86"/>
        <v>0</v>
      </c>
      <c r="AP99">
        <f t="shared" si="87"/>
        <v>0</v>
      </c>
      <c r="AQ99">
        <f t="shared" si="88"/>
        <v>0</v>
      </c>
      <c r="AR99">
        <f t="shared" si="89"/>
        <v>0</v>
      </c>
      <c r="AS99">
        <f t="shared" si="90"/>
        <v>0</v>
      </c>
      <c r="AT99">
        <f t="shared" si="91"/>
        <v>0</v>
      </c>
      <c r="AU99">
        <f t="shared" si="92"/>
        <v>0</v>
      </c>
      <c r="AV99">
        <f t="shared" si="93"/>
        <v>0</v>
      </c>
      <c r="AW99">
        <f t="shared" si="48"/>
        <v>0</v>
      </c>
      <c r="AX99">
        <f t="shared" si="94"/>
        <v>0</v>
      </c>
      <c r="AY99">
        <f t="shared" si="95"/>
        <v>0</v>
      </c>
    </row>
    <row r="100" spans="1:51" x14ac:dyDescent="0.35">
      <c r="A100">
        <v>94</v>
      </c>
      <c r="C100">
        <f>MAX(0,Calc!$C$7-SUM(D100:R100))</f>
        <v>750</v>
      </c>
      <c r="D100">
        <f t="shared" si="49"/>
        <v>0</v>
      </c>
      <c r="E100">
        <f t="shared" si="50"/>
        <v>0</v>
      </c>
      <c r="F100">
        <f t="shared" si="51"/>
        <v>0</v>
      </c>
      <c r="G100">
        <f t="shared" si="52"/>
        <v>0</v>
      </c>
      <c r="H100">
        <f t="shared" si="53"/>
        <v>0</v>
      </c>
      <c r="I100">
        <f t="shared" si="54"/>
        <v>0</v>
      </c>
      <c r="J100">
        <f t="shared" si="55"/>
        <v>0</v>
      </c>
      <c r="K100">
        <f t="shared" si="56"/>
        <v>0</v>
      </c>
      <c r="L100">
        <f t="shared" si="57"/>
        <v>0</v>
      </c>
      <c r="M100">
        <f t="shared" si="58"/>
        <v>0</v>
      </c>
      <c r="N100">
        <f t="shared" si="59"/>
        <v>0</v>
      </c>
      <c r="O100">
        <f t="shared" si="60"/>
        <v>0</v>
      </c>
      <c r="P100">
        <f t="shared" si="61"/>
        <v>0</v>
      </c>
      <c r="Q100">
        <f t="shared" si="62"/>
        <v>0</v>
      </c>
      <c r="R100">
        <f t="shared" si="63"/>
        <v>0</v>
      </c>
      <c r="S100">
        <f t="shared" si="64"/>
        <v>0</v>
      </c>
      <c r="T100">
        <f t="shared" si="65"/>
        <v>0</v>
      </c>
      <c r="U100">
        <f t="shared" si="66"/>
        <v>0</v>
      </c>
      <c r="V100">
        <f t="shared" si="67"/>
        <v>0</v>
      </c>
      <c r="W100">
        <f t="shared" si="68"/>
        <v>0</v>
      </c>
      <c r="X100">
        <f t="shared" si="69"/>
        <v>0</v>
      </c>
      <c r="Y100">
        <f t="shared" si="70"/>
        <v>0</v>
      </c>
      <c r="Z100">
        <f t="shared" si="71"/>
        <v>0</v>
      </c>
      <c r="AA100">
        <f t="shared" si="72"/>
        <v>0</v>
      </c>
      <c r="AB100">
        <f t="shared" si="73"/>
        <v>0</v>
      </c>
      <c r="AC100">
        <f t="shared" si="74"/>
        <v>0</v>
      </c>
      <c r="AD100">
        <f t="shared" si="75"/>
        <v>0</v>
      </c>
      <c r="AE100">
        <f t="shared" si="76"/>
        <v>0</v>
      </c>
      <c r="AF100">
        <f t="shared" si="77"/>
        <v>0</v>
      </c>
      <c r="AG100">
        <f t="shared" si="78"/>
        <v>0</v>
      </c>
      <c r="AH100">
        <f t="shared" si="79"/>
        <v>0</v>
      </c>
      <c r="AI100">
        <f t="shared" si="80"/>
        <v>0</v>
      </c>
      <c r="AJ100">
        <f t="shared" si="81"/>
        <v>0</v>
      </c>
      <c r="AK100">
        <f t="shared" si="82"/>
        <v>0</v>
      </c>
      <c r="AL100">
        <f t="shared" si="83"/>
        <v>0</v>
      </c>
      <c r="AM100">
        <f t="shared" si="84"/>
        <v>0</v>
      </c>
      <c r="AN100">
        <f t="shared" si="85"/>
        <v>0</v>
      </c>
      <c r="AO100">
        <f t="shared" si="86"/>
        <v>0</v>
      </c>
      <c r="AP100">
        <f t="shared" si="87"/>
        <v>0</v>
      </c>
      <c r="AQ100">
        <f t="shared" si="88"/>
        <v>0</v>
      </c>
      <c r="AR100">
        <f t="shared" si="89"/>
        <v>0</v>
      </c>
      <c r="AS100">
        <f t="shared" si="90"/>
        <v>0</v>
      </c>
      <c r="AT100">
        <f t="shared" si="91"/>
        <v>0</v>
      </c>
      <c r="AU100">
        <f t="shared" si="92"/>
        <v>0</v>
      </c>
      <c r="AV100">
        <f t="shared" si="93"/>
        <v>0</v>
      </c>
      <c r="AW100">
        <f t="shared" si="48"/>
        <v>0</v>
      </c>
      <c r="AX100">
        <f t="shared" si="94"/>
        <v>0</v>
      </c>
      <c r="AY100">
        <f t="shared" si="95"/>
        <v>0</v>
      </c>
    </row>
    <row r="101" spans="1:51" x14ac:dyDescent="0.35">
      <c r="A101">
        <v>95</v>
      </c>
      <c r="C101">
        <f>MAX(0,Calc!$C$7-SUM(D101:R101))</f>
        <v>750</v>
      </c>
      <c r="D101">
        <f t="shared" si="49"/>
        <v>0</v>
      </c>
      <c r="E101">
        <f t="shared" si="50"/>
        <v>0</v>
      </c>
      <c r="F101">
        <f t="shared" si="51"/>
        <v>0</v>
      </c>
      <c r="G101">
        <f t="shared" si="52"/>
        <v>0</v>
      </c>
      <c r="H101">
        <f t="shared" si="53"/>
        <v>0</v>
      </c>
      <c r="I101">
        <f t="shared" si="54"/>
        <v>0</v>
      </c>
      <c r="J101">
        <f t="shared" si="55"/>
        <v>0</v>
      </c>
      <c r="K101">
        <f t="shared" si="56"/>
        <v>0</v>
      </c>
      <c r="L101">
        <f t="shared" si="57"/>
        <v>0</v>
      </c>
      <c r="M101">
        <f t="shared" si="58"/>
        <v>0</v>
      </c>
      <c r="N101">
        <f t="shared" si="59"/>
        <v>0</v>
      </c>
      <c r="O101">
        <f t="shared" si="60"/>
        <v>0</v>
      </c>
      <c r="P101">
        <f t="shared" si="61"/>
        <v>0</v>
      </c>
      <c r="Q101">
        <f t="shared" si="62"/>
        <v>0</v>
      </c>
      <c r="R101">
        <f t="shared" si="63"/>
        <v>0</v>
      </c>
      <c r="S101">
        <f t="shared" si="64"/>
        <v>0</v>
      </c>
      <c r="T101">
        <f t="shared" si="65"/>
        <v>0</v>
      </c>
      <c r="U101">
        <f t="shared" si="66"/>
        <v>0</v>
      </c>
      <c r="V101">
        <f t="shared" si="67"/>
        <v>0</v>
      </c>
      <c r="W101">
        <f t="shared" si="68"/>
        <v>0</v>
      </c>
      <c r="X101">
        <f t="shared" si="69"/>
        <v>0</v>
      </c>
      <c r="Y101">
        <f t="shared" si="70"/>
        <v>0</v>
      </c>
      <c r="Z101">
        <f t="shared" si="71"/>
        <v>0</v>
      </c>
      <c r="AA101">
        <f t="shared" si="72"/>
        <v>0</v>
      </c>
      <c r="AB101">
        <f t="shared" si="73"/>
        <v>0</v>
      </c>
      <c r="AC101">
        <f t="shared" si="74"/>
        <v>0</v>
      </c>
      <c r="AD101">
        <f t="shared" si="75"/>
        <v>0</v>
      </c>
      <c r="AE101">
        <f t="shared" si="76"/>
        <v>0</v>
      </c>
      <c r="AF101">
        <f t="shared" si="77"/>
        <v>0</v>
      </c>
      <c r="AG101">
        <f t="shared" si="78"/>
        <v>0</v>
      </c>
      <c r="AH101">
        <f t="shared" si="79"/>
        <v>0</v>
      </c>
      <c r="AI101">
        <f t="shared" si="80"/>
        <v>0</v>
      </c>
      <c r="AJ101">
        <f t="shared" si="81"/>
        <v>0</v>
      </c>
      <c r="AK101">
        <f t="shared" si="82"/>
        <v>0</v>
      </c>
      <c r="AL101">
        <f t="shared" si="83"/>
        <v>0</v>
      </c>
      <c r="AM101">
        <f t="shared" si="84"/>
        <v>0</v>
      </c>
      <c r="AN101">
        <f t="shared" si="85"/>
        <v>0</v>
      </c>
      <c r="AO101">
        <f t="shared" si="86"/>
        <v>0</v>
      </c>
      <c r="AP101">
        <f t="shared" si="87"/>
        <v>0</v>
      </c>
      <c r="AQ101">
        <f t="shared" si="88"/>
        <v>0</v>
      </c>
      <c r="AR101">
        <f t="shared" si="89"/>
        <v>0</v>
      </c>
      <c r="AS101">
        <f t="shared" si="90"/>
        <v>0</v>
      </c>
      <c r="AT101">
        <f t="shared" si="91"/>
        <v>0</v>
      </c>
      <c r="AU101">
        <f t="shared" si="92"/>
        <v>0</v>
      </c>
      <c r="AV101">
        <f t="shared" si="93"/>
        <v>0</v>
      </c>
      <c r="AW101">
        <f t="shared" si="48"/>
        <v>0</v>
      </c>
      <c r="AX101">
        <f t="shared" si="94"/>
        <v>0</v>
      </c>
      <c r="AY101">
        <f t="shared" si="95"/>
        <v>0</v>
      </c>
    </row>
    <row r="102" spans="1:51" x14ac:dyDescent="0.35">
      <c r="A102">
        <v>96</v>
      </c>
      <c r="C102">
        <f>MAX(0,Calc!$C$7-SUM(D102:R102))</f>
        <v>750</v>
      </c>
      <c r="D102">
        <f t="shared" si="49"/>
        <v>0</v>
      </c>
      <c r="E102">
        <f t="shared" si="50"/>
        <v>0</v>
      </c>
      <c r="F102">
        <f t="shared" si="51"/>
        <v>0</v>
      </c>
      <c r="G102">
        <f t="shared" si="52"/>
        <v>0</v>
      </c>
      <c r="H102">
        <f t="shared" si="53"/>
        <v>0</v>
      </c>
      <c r="I102">
        <f t="shared" si="54"/>
        <v>0</v>
      </c>
      <c r="J102">
        <f t="shared" si="55"/>
        <v>0</v>
      </c>
      <c r="K102">
        <f t="shared" si="56"/>
        <v>0</v>
      </c>
      <c r="L102">
        <f t="shared" si="57"/>
        <v>0</v>
      </c>
      <c r="M102">
        <f t="shared" si="58"/>
        <v>0</v>
      </c>
      <c r="N102">
        <f t="shared" si="59"/>
        <v>0</v>
      </c>
      <c r="O102">
        <f t="shared" si="60"/>
        <v>0</v>
      </c>
      <c r="P102">
        <f t="shared" si="61"/>
        <v>0</v>
      </c>
      <c r="Q102">
        <f t="shared" si="62"/>
        <v>0</v>
      </c>
      <c r="R102">
        <f t="shared" si="63"/>
        <v>0</v>
      </c>
      <c r="S102">
        <f t="shared" si="64"/>
        <v>0</v>
      </c>
      <c r="T102">
        <f t="shared" si="65"/>
        <v>0</v>
      </c>
      <c r="U102">
        <f t="shared" si="66"/>
        <v>0</v>
      </c>
      <c r="V102">
        <f t="shared" si="67"/>
        <v>0</v>
      </c>
      <c r="W102">
        <f t="shared" si="68"/>
        <v>0</v>
      </c>
      <c r="X102">
        <f t="shared" si="69"/>
        <v>0</v>
      </c>
      <c r="Y102">
        <f t="shared" si="70"/>
        <v>0</v>
      </c>
      <c r="Z102">
        <f t="shared" si="71"/>
        <v>0</v>
      </c>
      <c r="AA102">
        <f t="shared" si="72"/>
        <v>0</v>
      </c>
      <c r="AB102">
        <f t="shared" si="73"/>
        <v>0</v>
      </c>
      <c r="AC102">
        <f t="shared" si="74"/>
        <v>0</v>
      </c>
      <c r="AD102">
        <f t="shared" si="75"/>
        <v>0</v>
      </c>
      <c r="AE102">
        <f t="shared" si="76"/>
        <v>0</v>
      </c>
      <c r="AF102">
        <f t="shared" si="77"/>
        <v>0</v>
      </c>
      <c r="AG102">
        <f t="shared" si="78"/>
        <v>0</v>
      </c>
      <c r="AH102">
        <f t="shared" si="79"/>
        <v>0</v>
      </c>
      <c r="AI102">
        <f t="shared" si="80"/>
        <v>0</v>
      </c>
      <c r="AJ102">
        <f t="shared" si="81"/>
        <v>0</v>
      </c>
      <c r="AK102">
        <f t="shared" si="82"/>
        <v>0</v>
      </c>
      <c r="AL102">
        <f t="shared" si="83"/>
        <v>0</v>
      </c>
      <c r="AM102">
        <f t="shared" si="84"/>
        <v>0</v>
      </c>
      <c r="AN102">
        <f t="shared" si="85"/>
        <v>0</v>
      </c>
      <c r="AO102">
        <f t="shared" si="86"/>
        <v>0</v>
      </c>
      <c r="AP102">
        <f t="shared" si="87"/>
        <v>0</v>
      </c>
      <c r="AQ102">
        <f t="shared" si="88"/>
        <v>0</v>
      </c>
      <c r="AR102">
        <f t="shared" si="89"/>
        <v>0</v>
      </c>
      <c r="AS102">
        <f t="shared" si="90"/>
        <v>0</v>
      </c>
      <c r="AT102">
        <f t="shared" si="91"/>
        <v>0</v>
      </c>
      <c r="AU102">
        <f t="shared" si="92"/>
        <v>0</v>
      </c>
      <c r="AV102">
        <f t="shared" si="93"/>
        <v>0</v>
      </c>
      <c r="AW102">
        <f t="shared" si="48"/>
        <v>0</v>
      </c>
      <c r="AX102">
        <f t="shared" si="94"/>
        <v>0</v>
      </c>
      <c r="AY102">
        <f t="shared" si="95"/>
        <v>0</v>
      </c>
    </row>
    <row r="103" spans="1:51" x14ac:dyDescent="0.35">
      <c r="A103">
        <v>97</v>
      </c>
      <c r="C103">
        <f>MAX(0,Calc!$C$7-SUM(D103:R103))</f>
        <v>750</v>
      </c>
      <c r="D103">
        <f t="shared" si="49"/>
        <v>0</v>
      </c>
      <c r="E103">
        <f t="shared" si="50"/>
        <v>0</v>
      </c>
      <c r="F103">
        <f t="shared" si="51"/>
        <v>0</v>
      </c>
      <c r="G103">
        <f t="shared" si="52"/>
        <v>0</v>
      </c>
      <c r="H103">
        <f t="shared" si="53"/>
        <v>0</v>
      </c>
      <c r="I103">
        <f t="shared" si="54"/>
        <v>0</v>
      </c>
      <c r="J103">
        <f t="shared" si="55"/>
        <v>0</v>
      </c>
      <c r="K103">
        <f t="shared" si="56"/>
        <v>0</v>
      </c>
      <c r="L103">
        <f t="shared" si="57"/>
        <v>0</v>
      </c>
      <c r="M103">
        <f t="shared" si="58"/>
        <v>0</v>
      </c>
      <c r="N103">
        <f t="shared" si="59"/>
        <v>0</v>
      </c>
      <c r="O103">
        <f t="shared" si="60"/>
        <v>0</v>
      </c>
      <c r="P103">
        <f t="shared" si="61"/>
        <v>0</v>
      </c>
      <c r="Q103">
        <f t="shared" si="62"/>
        <v>0</v>
      </c>
      <c r="R103">
        <f t="shared" si="63"/>
        <v>0</v>
      </c>
      <c r="S103">
        <f t="shared" si="64"/>
        <v>0</v>
      </c>
      <c r="T103">
        <f t="shared" si="65"/>
        <v>0</v>
      </c>
      <c r="U103">
        <f t="shared" si="66"/>
        <v>0</v>
      </c>
      <c r="V103">
        <f t="shared" si="67"/>
        <v>0</v>
      </c>
      <c r="W103">
        <f t="shared" si="68"/>
        <v>0</v>
      </c>
      <c r="X103">
        <f t="shared" si="69"/>
        <v>0</v>
      </c>
      <c r="Y103">
        <f t="shared" si="70"/>
        <v>0</v>
      </c>
      <c r="Z103">
        <f t="shared" si="71"/>
        <v>0</v>
      </c>
      <c r="AA103">
        <f t="shared" si="72"/>
        <v>0</v>
      </c>
      <c r="AB103">
        <f t="shared" si="73"/>
        <v>0</v>
      </c>
      <c r="AC103">
        <f t="shared" si="74"/>
        <v>0</v>
      </c>
      <c r="AD103">
        <f t="shared" si="75"/>
        <v>0</v>
      </c>
      <c r="AE103">
        <f t="shared" si="76"/>
        <v>0</v>
      </c>
      <c r="AF103">
        <f t="shared" si="77"/>
        <v>0</v>
      </c>
      <c r="AG103">
        <f t="shared" si="78"/>
        <v>0</v>
      </c>
      <c r="AH103">
        <f t="shared" si="79"/>
        <v>0</v>
      </c>
      <c r="AI103">
        <f t="shared" si="80"/>
        <v>0</v>
      </c>
      <c r="AJ103">
        <f t="shared" si="81"/>
        <v>0</v>
      </c>
      <c r="AK103">
        <f t="shared" si="82"/>
        <v>0</v>
      </c>
      <c r="AL103">
        <f t="shared" si="83"/>
        <v>0</v>
      </c>
      <c r="AM103">
        <f t="shared" si="84"/>
        <v>0</v>
      </c>
      <c r="AN103">
        <f t="shared" si="85"/>
        <v>0</v>
      </c>
      <c r="AO103">
        <f t="shared" si="86"/>
        <v>0</v>
      </c>
      <c r="AP103">
        <f t="shared" si="87"/>
        <v>0</v>
      </c>
      <c r="AQ103">
        <f t="shared" si="88"/>
        <v>0</v>
      </c>
      <c r="AR103">
        <f t="shared" si="89"/>
        <v>0</v>
      </c>
      <c r="AS103">
        <f t="shared" si="90"/>
        <v>0</v>
      </c>
      <c r="AT103">
        <f t="shared" si="91"/>
        <v>0</v>
      </c>
      <c r="AU103">
        <f t="shared" si="92"/>
        <v>0</v>
      </c>
      <c r="AV103">
        <f t="shared" si="93"/>
        <v>0</v>
      </c>
      <c r="AW103">
        <f t="shared" si="48"/>
        <v>0</v>
      </c>
      <c r="AX103">
        <f t="shared" si="94"/>
        <v>0</v>
      </c>
      <c r="AY103">
        <f t="shared" si="95"/>
        <v>0</v>
      </c>
    </row>
    <row r="104" spans="1:51" x14ac:dyDescent="0.35">
      <c r="A104">
        <v>98</v>
      </c>
      <c r="C104">
        <f>MAX(0,Calc!$C$7-SUM(D104:R104))</f>
        <v>750</v>
      </c>
      <c r="D104">
        <f t="shared" si="49"/>
        <v>0</v>
      </c>
      <c r="E104">
        <f t="shared" si="50"/>
        <v>0</v>
      </c>
      <c r="F104">
        <f t="shared" si="51"/>
        <v>0</v>
      </c>
      <c r="G104">
        <f t="shared" si="52"/>
        <v>0</v>
      </c>
      <c r="H104">
        <f t="shared" si="53"/>
        <v>0</v>
      </c>
      <c r="I104">
        <f t="shared" si="54"/>
        <v>0</v>
      </c>
      <c r="J104">
        <f t="shared" si="55"/>
        <v>0</v>
      </c>
      <c r="K104">
        <f t="shared" si="56"/>
        <v>0</v>
      </c>
      <c r="L104">
        <f t="shared" si="57"/>
        <v>0</v>
      </c>
      <c r="M104">
        <f t="shared" si="58"/>
        <v>0</v>
      </c>
      <c r="N104">
        <f t="shared" si="59"/>
        <v>0</v>
      </c>
      <c r="O104">
        <f t="shared" si="60"/>
        <v>0</v>
      </c>
      <c r="P104">
        <f t="shared" si="61"/>
        <v>0</v>
      </c>
      <c r="Q104">
        <f t="shared" si="62"/>
        <v>0</v>
      </c>
      <c r="R104">
        <f t="shared" si="63"/>
        <v>0</v>
      </c>
      <c r="S104">
        <f t="shared" si="64"/>
        <v>0</v>
      </c>
      <c r="T104">
        <f t="shared" si="65"/>
        <v>0</v>
      </c>
      <c r="U104">
        <f t="shared" si="66"/>
        <v>0</v>
      </c>
      <c r="V104">
        <f t="shared" si="67"/>
        <v>0</v>
      </c>
      <c r="W104">
        <f t="shared" si="68"/>
        <v>0</v>
      </c>
      <c r="X104">
        <f t="shared" si="69"/>
        <v>0</v>
      </c>
      <c r="Y104">
        <f t="shared" si="70"/>
        <v>0</v>
      </c>
      <c r="Z104">
        <f t="shared" si="71"/>
        <v>0</v>
      </c>
      <c r="AA104">
        <f t="shared" si="72"/>
        <v>0</v>
      </c>
      <c r="AB104">
        <f t="shared" si="73"/>
        <v>0</v>
      </c>
      <c r="AC104">
        <f t="shared" si="74"/>
        <v>0</v>
      </c>
      <c r="AD104">
        <f t="shared" si="75"/>
        <v>0</v>
      </c>
      <c r="AE104">
        <f t="shared" si="76"/>
        <v>0</v>
      </c>
      <c r="AF104">
        <f t="shared" si="77"/>
        <v>0</v>
      </c>
      <c r="AG104">
        <f t="shared" si="78"/>
        <v>0</v>
      </c>
      <c r="AH104">
        <f t="shared" si="79"/>
        <v>0</v>
      </c>
      <c r="AI104">
        <f t="shared" si="80"/>
        <v>0</v>
      </c>
      <c r="AJ104">
        <f t="shared" si="81"/>
        <v>0</v>
      </c>
      <c r="AK104">
        <f t="shared" si="82"/>
        <v>0</v>
      </c>
      <c r="AL104">
        <f t="shared" si="83"/>
        <v>0</v>
      </c>
      <c r="AM104">
        <f t="shared" si="84"/>
        <v>0</v>
      </c>
      <c r="AN104">
        <f t="shared" si="85"/>
        <v>0</v>
      </c>
      <c r="AO104">
        <f t="shared" si="86"/>
        <v>0</v>
      </c>
      <c r="AP104">
        <f t="shared" si="87"/>
        <v>0</v>
      </c>
      <c r="AQ104">
        <f t="shared" si="88"/>
        <v>0</v>
      </c>
      <c r="AR104">
        <f t="shared" si="89"/>
        <v>0</v>
      </c>
      <c r="AS104">
        <f t="shared" si="90"/>
        <v>0</v>
      </c>
      <c r="AT104">
        <f t="shared" si="91"/>
        <v>0</v>
      </c>
      <c r="AU104">
        <f t="shared" si="92"/>
        <v>0</v>
      </c>
      <c r="AV104">
        <f t="shared" si="93"/>
        <v>0</v>
      </c>
      <c r="AW104">
        <f t="shared" si="48"/>
        <v>0</v>
      </c>
      <c r="AX104">
        <f t="shared" si="94"/>
        <v>0</v>
      </c>
      <c r="AY104">
        <f t="shared" si="95"/>
        <v>0</v>
      </c>
    </row>
    <row r="105" spans="1:51" x14ac:dyDescent="0.35">
      <c r="A105">
        <v>99</v>
      </c>
      <c r="C105">
        <f>MAX(0,Calc!$C$7-SUM(D105:R105))</f>
        <v>750</v>
      </c>
      <c r="D105">
        <f t="shared" si="49"/>
        <v>0</v>
      </c>
      <c r="E105">
        <f t="shared" si="50"/>
        <v>0</v>
      </c>
      <c r="F105">
        <f t="shared" si="51"/>
        <v>0</v>
      </c>
      <c r="G105">
        <f t="shared" si="52"/>
        <v>0</v>
      </c>
      <c r="H105">
        <f t="shared" si="53"/>
        <v>0</v>
      </c>
      <c r="I105">
        <f t="shared" si="54"/>
        <v>0</v>
      </c>
      <c r="J105">
        <f t="shared" si="55"/>
        <v>0</v>
      </c>
      <c r="K105">
        <f t="shared" si="56"/>
        <v>0</v>
      </c>
      <c r="L105">
        <f t="shared" si="57"/>
        <v>0</v>
      </c>
      <c r="M105">
        <f t="shared" si="58"/>
        <v>0</v>
      </c>
      <c r="N105">
        <f t="shared" si="59"/>
        <v>0</v>
      </c>
      <c r="O105">
        <f t="shared" si="60"/>
        <v>0</v>
      </c>
      <c r="P105">
        <f t="shared" si="61"/>
        <v>0</v>
      </c>
      <c r="Q105">
        <f t="shared" si="62"/>
        <v>0</v>
      </c>
      <c r="R105">
        <f t="shared" si="63"/>
        <v>0</v>
      </c>
      <c r="S105">
        <f t="shared" si="64"/>
        <v>0</v>
      </c>
      <c r="T105">
        <f t="shared" si="65"/>
        <v>0</v>
      </c>
      <c r="U105">
        <f t="shared" si="66"/>
        <v>0</v>
      </c>
      <c r="V105">
        <f t="shared" si="67"/>
        <v>0</v>
      </c>
      <c r="W105">
        <f t="shared" si="68"/>
        <v>0</v>
      </c>
      <c r="X105">
        <f t="shared" si="69"/>
        <v>0</v>
      </c>
      <c r="Y105">
        <f t="shared" si="70"/>
        <v>0</v>
      </c>
      <c r="Z105">
        <f t="shared" si="71"/>
        <v>0</v>
      </c>
      <c r="AA105">
        <f t="shared" si="72"/>
        <v>0</v>
      </c>
      <c r="AB105">
        <f t="shared" si="73"/>
        <v>0</v>
      </c>
      <c r="AC105">
        <f t="shared" si="74"/>
        <v>0</v>
      </c>
      <c r="AD105">
        <f t="shared" si="75"/>
        <v>0</v>
      </c>
      <c r="AE105">
        <f t="shared" si="76"/>
        <v>0</v>
      </c>
      <c r="AF105">
        <f t="shared" si="77"/>
        <v>0</v>
      </c>
      <c r="AG105">
        <f t="shared" si="78"/>
        <v>0</v>
      </c>
      <c r="AH105">
        <f t="shared" si="79"/>
        <v>0</v>
      </c>
      <c r="AI105">
        <f t="shared" si="80"/>
        <v>0</v>
      </c>
      <c r="AJ105">
        <f t="shared" si="81"/>
        <v>0</v>
      </c>
      <c r="AK105">
        <f t="shared" si="82"/>
        <v>0</v>
      </c>
      <c r="AL105">
        <f t="shared" si="83"/>
        <v>0</v>
      </c>
      <c r="AM105">
        <f t="shared" si="84"/>
        <v>0</v>
      </c>
      <c r="AN105">
        <f t="shared" si="85"/>
        <v>0</v>
      </c>
      <c r="AO105">
        <f t="shared" si="86"/>
        <v>0</v>
      </c>
      <c r="AP105">
        <f t="shared" si="87"/>
        <v>0</v>
      </c>
      <c r="AQ105">
        <f t="shared" si="88"/>
        <v>0</v>
      </c>
      <c r="AR105">
        <f t="shared" si="89"/>
        <v>0</v>
      </c>
      <c r="AS105">
        <f t="shared" si="90"/>
        <v>0</v>
      </c>
      <c r="AT105">
        <f t="shared" si="91"/>
        <v>0</v>
      </c>
      <c r="AU105">
        <f t="shared" si="92"/>
        <v>0</v>
      </c>
      <c r="AV105">
        <f t="shared" si="93"/>
        <v>0</v>
      </c>
      <c r="AW105">
        <f t="shared" si="48"/>
        <v>0</v>
      </c>
      <c r="AX105">
        <f t="shared" si="94"/>
        <v>0</v>
      </c>
      <c r="AY105">
        <f t="shared" si="95"/>
        <v>0</v>
      </c>
    </row>
    <row r="106" spans="1:51" x14ac:dyDescent="0.35">
      <c r="A106">
        <v>100</v>
      </c>
      <c r="C106">
        <f>MAX(0,Calc!$C$7-SUM(D106:R106))</f>
        <v>750</v>
      </c>
      <c r="D106">
        <f t="shared" si="49"/>
        <v>0</v>
      </c>
      <c r="E106">
        <f t="shared" si="50"/>
        <v>0</v>
      </c>
      <c r="F106">
        <f t="shared" si="51"/>
        <v>0</v>
      </c>
      <c r="G106">
        <f t="shared" si="52"/>
        <v>0</v>
      </c>
      <c r="H106">
        <f t="shared" si="53"/>
        <v>0</v>
      </c>
      <c r="I106">
        <f t="shared" si="54"/>
        <v>0</v>
      </c>
      <c r="J106">
        <f t="shared" si="55"/>
        <v>0</v>
      </c>
      <c r="K106">
        <f t="shared" si="56"/>
        <v>0</v>
      </c>
      <c r="L106">
        <f t="shared" si="57"/>
        <v>0</v>
      </c>
      <c r="M106">
        <f t="shared" si="58"/>
        <v>0</v>
      </c>
      <c r="N106">
        <f t="shared" si="59"/>
        <v>0</v>
      </c>
      <c r="O106">
        <f t="shared" si="60"/>
        <v>0</v>
      </c>
      <c r="P106">
        <f t="shared" si="61"/>
        <v>0</v>
      </c>
      <c r="Q106">
        <f t="shared" si="62"/>
        <v>0</v>
      </c>
      <c r="R106">
        <f t="shared" si="63"/>
        <v>0</v>
      </c>
      <c r="S106">
        <f t="shared" si="64"/>
        <v>0</v>
      </c>
      <c r="T106">
        <f t="shared" si="65"/>
        <v>0</v>
      </c>
      <c r="U106">
        <f t="shared" si="66"/>
        <v>0</v>
      </c>
      <c r="V106">
        <f t="shared" si="67"/>
        <v>0</v>
      </c>
      <c r="W106">
        <f t="shared" si="68"/>
        <v>0</v>
      </c>
      <c r="X106">
        <f t="shared" si="69"/>
        <v>0</v>
      </c>
      <c r="Y106">
        <f t="shared" si="70"/>
        <v>0</v>
      </c>
      <c r="Z106">
        <f t="shared" si="71"/>
        <v>0</v>
      </c>
      <c r="AA106">
        <f t="shared" si="72"/>
        <v>0</v>
      </c>
      <c r="AB106">
        <f t="shared" si="73"/>
        <v>0</v>
      </c>
      <c r="AC106">
        <f t="shared" si="74"/>
        <v>0</v>
      </c>
      <c r="AD106">
        <f t="shared" si="75"/>
        <v>0</v>
      </c>
      <c r="AE106">
        <f t="shared" si="76"/>
        <v>0</v>
      </c>
      <c r="AF106">
        <f t="shared" si="77"/>
        <v>0</v>
      </c>
      <c r="AG106">
        <f t="shared" si="78"/>
        <v>0</v>
      </c>
      <c r="AH106">
        <f t="shared" si="79"/>
        <v>0</v>
      </c>
      <c r="AI106">
        <f t="shared" si="80"/>
        <v>0</v>
      </c>
      <c r="AJ106">
        <f t="shared" si="81"/>
        <v>0</v>
      </c>
      <c r="AK106">
        <f t="shared" si="82"/>
        <v>0</v>
      </c>
      <c r="AL106">
        <f t="shared" si="83"/>
        <v>0</v>
      </c>
      <c r="AM106">
        <f t="shared" si="84"/>
        <v>0</v>
      </c>
      <c r="AN106">
        <f t="shared" si="85"/>
        <v>0</v>
      </c>
      <c r="AO106">
        <f t="shared" si="86"/>
        <v>0</v>
      </c>
      <c r="AP106">
        <f t="shared" si="87"/>
        <v>0</v>
      </c>
      <c r="AQ106">
        <f t="shared" si="88"/>
        <v>0</v>
      </c>
      <c r="AR106">
        <f t="shared" si="89"/>
        <v>0</v>
      </c>
      <c r="AS106">
        <f t="shared" si="90"/>
        <v>0</v>
      </c>
      <c r="AT106">
        <f t="shared" si="91"/>
        <v>0</v>
      </c>
      <c r="AU106">
        <f t="shared" si="92"/>
        <v>0</v>
      </c>
      <c r="AV106">
        <f t="shared" si="93"/>
        <v>0</v>
      </c>
      <c r="AW106">
        <f t="shared" si="48"/>
        <v>0</v>
      </c>
      <c r="AX106">
        <f t="shared" si="94"/>
        <v>0</v>
      </c>
      <c r="AY106">
        <f t="shared" si="95"/>
        <v>0</v>
      </c>
    </row>
    <row r="107" spans="1:51" x14ac:dyDescent="0.35">
      <c r="A107">
        <v>101</v>
      </c>
      <c r="C107">
        <f>MAX(0,Calc!$C$7-SUM(D107:R107))</f>
        <v>750</v>
      </c>
      <c r="D107">
        <f t="shared" si="49"/>
        <v>0</v>
      </c>
      <c r="E107">
        <f t="shared" si="50"/>
        <v>0</v>
      </c>
      <c r="F107">
        <f t="shared" si="51"/>
        <v>0</v>
      </c>
      <c r="G107">
        <f t="shared" si="52"/>
        <v>0</v>
      </c>
      <c r="H107">
        <f t="shared" si="53"/>
        <v>0</v>
      </c>
      <c r="I107">
        <f t="shared" si="54"/>
        <v>0</v>
      </c>
      <c r="J107">
        <f t="shared" si="55"/>
        <v>0</v>
      </c>
      <c r="K107">
        <f t="shared" si="56"/>
        <v>0</v>
      </c>
      <c r="L107">
        <f t="shared" si="57"/>
        <v>0</v>
      </c>
      <c r="M107">
        <f t="shared" si="58"/>
        <v>0</v>
      </c>
      <c r="N107">
        <f t="shared" si="59"/>
        <v>0</v>
      </c>
      <c r="O107">
        <f t="shared" si="60"/>
        <v>0</v>
      </c>
      <c r="P107">
        <f t="shared" si="61"/>
        <v>0</v>
      </c>
      <c r="Q107">
        <f t="shared" si="62"/>
        <v>0</v>
      </c>
      <c r="R107">
        <f t="shared" si="63"/>
        <v>0</v>
      </c>
      <c r="S107">
        <f t="shared" si="64"/>
        <v>0</v>
      </c>
      <c r="T107">
        <f t="shared" si="65"/>
        <v>0</v>
      </c>
      <c r="U107">
        <f t="shared" si="66"/>
        <v>0</v>
      </c>
      <c r="V107">
        <f t="shared" si="67"/>
        <v>0</v>
      </c>
      <c r="W107">
        <f t="shared" si="68"/>
        <v>0</v>
      </c>
      <c r="X107">
        <f t="shared" si="69"/>
        <v>0</v>
      </c>
      <c r="Y107">
        <f t="shared" si="70"/>
        <v>0</v>
      </c>
      <c r="Z107">
        <f t="shared" si="71"/>
        <v>0</v>
      </c>
      <c r="AA107">
        <f t="shared" si="72"/>
        <v>0</v>
      </c>
      <c r="AB107">
        <f t="shared" si="73"/>
        <v>0</v>
      </c>
      <c r="AC107">
        <f t="shared" si="74"/>
        <v>0</v>
      </c>
      <c r="AD107">
        <f t="shared" si="75"/>
        <v>0</v>
      </c>
      <c r="AE107">
        <f t="shared" si="76"/>
        <v>0</v>
      </c>
      <c r="AF107">
        <f t="shared" si="77"/>
        <v>0</v>
      </c>
      <c r="AG107">
        <f t="shared" si="78"/>
        <v>0</v>
      </c>
      <c r="AH107">
        <f t="shared" si="79"/>
        <v>0</v>
      </c>
      <c r="AI107">
        <f t="shared" si="80"/>
        <v>0</v>
      </c>
      <c r="AJ107">
        <f t="shared" si="81"/>
        <v>0</v>
      </c>
      <c r="AK107">
        <f t="shared" si="82"/>
        <v>0</v>
      </c>
      <c r="AL107">
        <f t="shared" si="83"/>
        <v>0</v>
      </c>
      <c r="AM107">
        <f t="shared" si="84"/>
        <v>0</v>
      </c>
      <c r="AN107">
        <f t="shared" si="85"/>
        <v>0</v>
      </c>
      <c r="AO107">
        <f t="shared" si="86"/>
        <v>0</v>
      </c>
      <c r="AP107">
        <f t="shared" si="87"/>
        <v>0</v>
      </c>
      <c r="AQ107">
        <f t="shared" si="88"/>
        <v>0</v>
      </c>
      <c r="AR107">
        <f t="shared" si="89"/>
        <v>0</v>
      </c>
      <c r="AS107">
        <f t="shared" si="90"/>
        <v>0</v>
      </c>
      <c r="AT107">
        <f t="shared" si="91"/>
        <v>0</v>
      </c>
      <c r="AU107">
        <f t="shared" si="92"/>
        <v>0</v>
      </c>
      <c r="AV107">
        <f t="shared" si="93"/>
        <v>0</v>
      </c>
      <c r="AW107">
        <f t="shared" si="48"/>
        <v>0</v>
      </c>
      <c r="AX107">
        <f t="shared" si="94"/>
        <v>0</v>
      </c>
      <c r="AY107">
        <f t="shared" si="95"/>
        <v>0</v>
      </c>
    </row>
    <row r="108" spans="1:51" x14ac:dyDescent="0.35">
      <c r="A108">
        <v>102</v>
      </c>
      <c r="C108">
        <f>MAX(0,Calc!$C$7-SUM(D108:R108))</f>
        <v>750</v>
      </c>
      <c r="D108">
        <f t="shared" si="49"/>
        <v>0</v>
      </c>
      <c r="E108">
        <f t="shared" si="50"/>
        <v>0</v>
      </c>
      <c r="F108">
        <f t="shared" si="51"/>
        <v>0</v>
      </c>
      <c r="G108">
        <f t="shared" si="52"/>
        <v>0</v>
      </c>
      <c r="H108">
        <f t="shared" si="53"/>
        <v>0</v>
      </c>
      <c r="I108">
        <f t="shared" si="54"/>
        <v>0</v>
      </c>
      <c r="J108">
        <f t="shared" si="55"/>
        <v>0</v>
      </c>
      <c r="K108">
        <f t="shared" si="56"/>
        <v>0</v>
      </c>
      <c r="L108">
        <f t="shared" si="57"/>
        <v>0</v>
      </c>
      <c r="M108">
        <f t="shared" si="58"/>
        <v>0</v>
      </c>
      <c r="N108">
        <f t="shared" si="59"/>
        <v>0</v>
      </c>
      <c r="O108">
        <f t="shared" si="60"/>
        <v>0</v>
      </c>
      <c r="P108">
        <f t="shared" si="61"/>
        <v>0</v>
      </c>
      <c r="Q108">
        <f t="shared" si="62"/>
        <v>0</v>
      </c>
      <c r="R108">
        <f t="shared" si="63"/>
        <v>0</v>
      </c>
      <c r="S108">
        <f t="shared" si="64"/>
        <v>0</v>
      </c>
      <c r="T108">
        <f t="shared" si="65"/>
        <v>0</v>
      </c>
      <c r="U108">
        <f t="shared" si="66"/>
        <v>0</v>
      </c>
      <c r="V108">
        <f t="shared" si="67"/>
        <v>0</v>
      </c>
      <c r="W108">
        <f t="shared" si="68"/>
        <v>0</v>
      </c>
      <c r="X108">
        <f t="shared" si="69"/>
        <v>0</v>
      </c>
      <c r="Y108">
        <f t="shared" si="70"/>
        <v>0</v>
      </c>
      <c r="Z108">
        <f t="shared" si="71"/>
        <v>0</v>
      </c>
      <c r="AA108">
        <f t="shared" si="72"/>
        <v>0</v>
      </c>
      <c r="AB108">
        <f t="shared" si="73"/>
        <v>0</v>
      </c>
      <c r="AC108">
        <f t="shared" si="74"/>
        <v>0</v>
      </c>
      <c r="AD108">
        <f t="shared" si="75"/>
        <v>0</v>
      </c>
      <c r="AE108">
        <f t="shared" si="76"/>
        <v>0</v>
      </c>
      <c r="AF108">
        <f t="shared" si="77"/>
        <v>0</v>
      </c>
      <c r="AG108">
        <f t="shared" si="78"/>
        <v>0</v>
      </c>
      <c r="AH108">
        <f t="shared" si="79"/>
        <v>0</v>
      </c>
      <c r="AI108">
        <f t="shared" si="80"/>
        <v>0</v>
      </c>
      <c r="AJ108">
        <f t="shared" si="81"/>
        <v>0</v>
      </c>
      <c r="AK108">
        <f t="shared" si="82"/>
        <v>0</v>
      </c>
      <c r="AL108">
        <f t="shared" si="83"/>
        <v>0</v>
      </c>
      <c r="AM108">
        <f t="shared" si="84"/>
        <v>0</v>
      </c>
      <c r="AN108">
        <f t="shared" si="85"/>
        <v>0</v>
      </c>
      <c r="AO108">
        <f t="shared" si="86"/>
        <v>0</v>
      </c>
      <c r="AP108">
        <f t="shared" si="87"/>
        <v>0</v>
      </c>
      <c r="AQ108">
        <f t="shared" si="88"/>
        <v>0</v>
      </c>
      <c r="AR108">
        <f t="shared" si="89"/>
        <v>0</v>
      </c>
      <c r="AS108">
        <f t="shared" si="90"/>
        <v>0</v>
      </c>
      <c r="AT108">
        <f t="shared" si="91"/>
        <v>0</v>
      </c>
      <c r="AU108">
        <f t="shared" si="92"/>
        <v>0</v>
      </c>
      <c r="AV108">
        <f t="shared" si="93"/>
        <v>0</v>
      </c>
      <c r="AW108">
        <f t="shared" si="48"/>
        <v>0</v>
      </c>
      <c r="AX108">
        <f t="shared" si="94"/>
        <v>0</v>
      </c>
      <c r="AY108">
        <f t="shared" si="95"/>
        <v>0</v>
      </c>
    </row>
    <row r="109" spans="1:51" x14ac:dyDescent="0.35">
      <c r="A109">
        <v>103</v>
      </c>
      <c r="C109">
        <f>MAX(0,Calc!$C$7-SUM(D109:R109))</f>
        <v>750</v>
      </c>
      <c r="D109">
        <f t="shared" si="49"/>
        <v>0</v>
      </c>
      <c r="E109">
        <f t="shared" si="50"/>
        <v>0</v>
      </c>
      <c r="F109">
        <f t="shared" si="51"/>
        <v>0</v>
      </c>
      <c r="G109">
        <f t="shared" si="52"/>
        <v>0</v>
      </c>
      <c r="H109">
        <f t="shared" si="53"/>
        <v>0</v>
      </c>
      <c r="I109">
        <f t="shared" si="54"/>
        <v>0</v>
      </c>
      <c r="J109">
        <f t="shared" si="55"/>
        <v>0</v>
      </c>
      <c r="K109">
        <f t="shared" si="56"/>
        <v>0</v>
      </c>
      <c r="L109">
        <f t="shared" si="57"/>
        <v>0</v>
      </c>
      <c r="M109">
        <f t="shared" si="58"/>
        <v>0</v>
      </c>
      <c r="N109">
        <f t="shared" si="59"/>
        <v>0</v>
      </c>
      <c r="O109">
        <f t="shared" si="60"/>
        <v>0</v>
      </c>
      <c r="P109">
        <f t="shared" si="61"/>
        <v>0</v>
      </c>
      <c r="Q109">
        <f t="shared" si="62"/>
        <v>0</v>
      </c>
      <c r="R109">
        <f t="shared" si="63"/>
        <v>0</v>
      </c>
      <c r="S109">
        <f t="shared" si="64"/>
        <v>0</v>
      </c>
      <c r="T109">
        <f t="shared" si="65"/>
        <v>0</v>
      </c>
      <c r="U109">
        <f t="shared" si="66"/>
        <v>0</v>
      </c>
      <c r="V109">
        <f t="shared" si="67"/>
        <v>0</v>
      </c>
      <c r="W109">
        <f t="shared" si="68"/>
        <v>0</v>
      </c>
      <c r="X109">
        <f t="shared" si="69"/>
        <v>0</v>
      </c>
      <c r="Y109">
        <f t="shared" si="70"/>
        <v>0</v>
      </c>
      <c r="Z109">
        <f t="shared" si="71"/>
        <v>0</v>
      </c>
      <c r="AA109">
        <f t="shared" si="72"/>
        <v>0</v>
      </c>
      <c r="AB109">
        <f t="shared" si="73"/>
        <v>0</v>
      </c>
      <c r="AC109">
        <f t="shared" si="74"/>
        <v>0</v>
      </c>
      <c r="AD109">
        <f t="shared" si="75"/>
        <v>0</v>
      </c>
      <c r="AE109">
        <f t="shared" si="76"/>
        <v>0</v>
      </c>
      <c r="AF109">
        <f t="shared" si="77"/>
        <v>0</v>
      </c>
      <c r="AG109">
        <f t="shared" si="78"/>
        <v>0</v>
      </c>
      <c r="AH109">
        <f t="shared" si="79"/>
        <v>0</v>
      </c>
      <c r="AI109">
        <f t="shared" si="80"/>
        <v>0</v>
      </c>
      <c r="AJ109">
        <f t="shared" si="81"/>
        <v>0</v>
      </c>
      <c r="AK109">
        <f t="shared" si="82"/>
        <v>0</v>
      </c>
      <c r="AL109">
        <f t="shared" si="83"/>
        <v>0</v>
      </c>
      <c r="AM109">
        <f t="shared" si="84"/>
        <v>0</v>
      </c>
      <c r="AN109">
        <f t="shared" si="85"/>
        <v>0</v>
      </c>
      <c r="AO109">
        <f t="shared" si="86"/>
        <v>0</v>
      </c>
      <c r="AP109">
        <f t="shared" si="87"/>
        <v>0</v>
      </c>
      <c r="AQ109">
        <f t="shared" si="88"/>
        <v>0</v>
      </c>
      <c r="AR109">
        <f t="shared" si="89"/>
        <v>0</v>
      </c>
      <c r="AS109">
        <f t="shared" si="90"/>
        <v>0</v>
      </c>
      <c r="AT109">
        <f t="shared" si="91"/>
        <v>0</v>
      </c>
      <c r="AU109">
        <f t="shared" si="92"/>
        <v>0</v>
      </c>
      <c r="AV109">
        <f t="shared" si="93"/>
        <v>0</v>
      </c>
      <c r="AW109">
        <f t="shared" si="48"/>
        <v>0</v>
      </c>
      <c r="AX109">
        <f t="shared" si="94"/>
        <v>0</v>
      </c>
      <c r="AY109">
        <f t="shared" si="95"/>
        <v>0</v>
      </c>
    </row>
    <row r="110" spans="1:51" x14ac:dyDescent="0.35">
      <c r="A110">
        <v>104</v>
      </c>
      <c r="C110">
        <f>MAX(0,Calc!$C$7-SUM(D110:R110))</f>
        <v>750</v>
      </c>
      <c r="D110">
        <f t="shared" si="49"/>
        <v>0</v>
      </c>
      <c r="E110">
        <f t="shared" si="50"/>
        <v>0</v>
      </c>
      <c r="F110">
        <f t="shared" si="51"/>
        <v>0</v>
      </c>
      <c r="G110">
        <f t="shared" si="52"/>
        <v>0</v>
      </c>
      <c r="H110">
        <f t="shared" si="53"/>
        <v>0</v>
      </c>
      <c r="I110">
        <f t="shared" si="54"/>
        <v>0</v>
      </c>
      <c r="J110">
        <f t="shared" si="55"/>
        <v>0</v>
      </c>
      <c r="K110">
        <f t="shared" si="56"/>
        <v>0</v>
      </c>
      <c r="L110">
        <f t="shared" si="57"/>
        <v>0</v>
      </c>
      <c r="M110">
        <f t="shared" si="58"/>
        <v>0</v>
      </c>
      <c r="N110">
        <f t="shared" si="59"/>
        <v>0</v>
      </c>
      <c r="O110">
        <f t="shared" si="60"/>
        <v>0</v>
      </c>
      <c r="P110">
        <f t="shared" si="61"/>
        <v>0</v>
      </c>
      <c r="Q110">
        <f t="shared" si="62"/>
        <v>0</v>
      </c>
      <c r="R110">
        <f t="shared" si="63"/>
        <v>0</v>
      </c>
      <c r="S110">
        <f t="shared" si="64"/>
        <v>0</v>
      </c>
      <c r="T110">
        <f t="shared" si="65"/>
        <v>0</v>
      </c>
      <c r="U110">
        <f t="shared" si="66"/>
        <v>0</v>
      </c>
      <c r="V110">
        <f t="shared" si="67"/>
        <v>0</v>
      </c>
      <c r="W110">
        <f t="shared" si="68"/>
        <v>0</v>
      </c>
      <c r="X110">
        <f t="shared" si="69"/>
        <v>0</v>
      </c>
      <c r="Y110">
        <f t="shared" si="70"/>
        <v>0</v>
      </c>
      <c r="Z110">
        <f t="shared" si="71"/>
        <v>0</v>
      </c>
      <c r="AA110">
        <f t="shared" si="72"/>
        <v>0</v>
      </c>
      <c r="AB110">
        <f t="shared" si="73"/>
        <v>0</v>
      </c>
      <c r="AC110">
        <f t="shared" si="74"/>
        <v>0</v>
      </c>
      <c r="AD110">
        <f t="shared" si="75"/>
        <v>0</v>
      </c>
      <c r="AE110">
        <f t="shared" si="76"/>
        <v>0</v>
      </c>
      <c r="AF110">
        <f t="shared" si="77"/>
        <v>0</v>
      </c>
      <c r="AG110">
        <f t="shared" si="78"/>
        <v>0</v>
      </c>
      <c r="AH110">
        <f t="shared" si="79"/>
        <v>0</v>
      </c>
      <c r="AI110">
        <f t="shared" si="80"/>
        <v>0</v>
      </c>
      <c r="AJ110">
        <f t="shared" si="81"/>
        <v>0</v>
      </c>
      <c r="AK110">
        <f t="shared" si="82"/>
        <v>0</v>
      </c>
      <c r="AL110">
        <f t="shared" si="83"/>
        <v>0</v>
      </c>
      <c r="AM110">
        <f t="shared" si="84"/>
        <v>0</v>
      </c>
      <c r="AN110">
        <f t="shared" si="85"/>
        <v>0</v>
      </c>
      <c r="AO110">
        <f t="shared" si="86"/>
        <v>0</v>
      </c>
      <c r="AP110">
        <f t="shared" si="87"/>
        <v>0</v>
      </c>
      <c r="AQ110">
        <f t="shared" si="88"/>
        <v>0</v>
      </c>
      <c r="AR110">
        <f t="shared" si="89"/>
        <v>0</v>
      </c>
      <c r="AS110">
        <f t="shared" si="90"/>
        <v>0</v>
      </c>
      <c r="AT110">
        <f t="shared" si="91"/>
        <v>0</v>
      </c>
      <c r="AU110">
        <f t="shared" si="92"/>
        <v>0</v>
      </c>
      <c r="AV110">
        <f t="shared" si="93"/>
        <v>0</v>
      </c>
      <c r="AW110">
        <f t="shared" si="48"/>
        <v>0</v>
      </c>
      <c r="AX110">
        <f t="shared" si="94"/>
        <v>0</v>
      </c>
      <c r="AY110">
        <f t="shared" si="95"/>
        <v>0</v>
      </c>
    </row>
    <row r="111" spans="1:51" x14ac:dyDescent="0.35">
      <c r="A111">
        <v>105</v>
      </c>
      <c r="C111">
        <f>MAX(0,Calc!$C$7-SUM(D111:R111))</f>
        <v>750</v>
      </c>
      <c r="D111">
        <f t="shared" si="49"/>
        <v>0</v>
      </c>
      <c r="E111">
        <f t="shared" si="50"/>
        <v>0</v>
      </c>
      <c r="F111">
        <f t="shared" si="51"/>
        <v>0</v>
      </c>
      <c r="G111">
        <f t="shared" si="52"/>
        <v>0</v>
      </c>
      <c r="H111">
        <f t="shared" si="53"/>
        <v>0</v>
      </c>
      <c r="I111">
        <f t="shared" si="54"/>
        <v>0</v>
      </c>
      <c r="J111">
        <f t="shared" si="55"/>
        <v>0</v>
      </c>
      <c r="K111">
        <f t="shared" si="56"/>
        <v>0</v>
      </c>
      <c r="L111">
        <f t="shared" si="57"/>
        <v>0</v>
      </c>
      <c r="M111">
        <f t="shared" si="58"/>
        <v>0</v>
      </c>
      <c r="N111">
        <f t="shared" si="59"/>
        <v>0</v>
      </c>
      <c r="O111">
        <f t="shared" si="60"/>
        <v>0</v>
      </c>
      <c r="P111">
        <f t="shared" si="61"/>
        <v>0</v>
      </c>
      <c r="Q111">
        <f t="shared" si="62"/>
        <v>0</v>
      </c>
      <c r="R111">
        <f t="shared" si="63"/>
        <v>0</v>
      </c>
      <c r="S111">
        <f t="shared" si="64"/>
        <v>0</v>
      </c>
      <c r="T111">
        <f t="shared" si="65"/>
        <v>0</v>
      </c>
      <c r="U111">
        <f t="shared" si="66"/>
        <v>0</v>
      </c>
      <c r="V111">
        <f t="shared" si="67"/>
        <v>0</v>
      </c>
      <c r="W111">
        <f t="shared" si="68"/>
        <v>0</v>
      </c>
      <c r="X111">
        <f t="shared" si="69"/>
        <v>0</v>
      </c>
      <c r="Y111">
        <f t="shared" si="70"/>
        <v>0</v>
      </c>
      <c r="Z111">
        <f t="shared" si="71"/>
        <v>0</v>
      </c>
      <c r="AA111">
        <f t="shared" si="72"/>
        <v>0</v>
      </c>
      <c r="AB111">
        <f t="shared" si="73"/>
        <v>0</v>
      </c>
      <c r="AC111">
        <f t="shared" si="74"/>
        <v>0</v>
      </c>
      <c r="AD111">
        <f t="shared" si="75"/>
        <v>0</v>
      </c>
      <c r="AE111">
        <f t="shared" si="76"/>
        <v>0</v>
      </c>
      <c r="AF111">
        <f t="shared" si="77"/>
        <v>0</v>
      </c>
      <c r="AG111">
        <f t="shared" si="78"/>
        <v>0</v>
      </c>
      <c r="AH111">
        <f t="shared" si="79"/>
        <v>0</v>
      </c>
      <c r="AI111">
        <f t="shared" si="80"/>
        <v>0</v>
      </c>
      <c r="AJ111">
        <f t="shared" si="81"/>
        <v>0</v>
      </c>
      <c r="AK111">
        <f t="shared" si="82"/>
        <v>0</v>
      </c>
      <c r="AL111">
        <f t="shared" si="83"/>
        <v>0</v>
      </c>
      <c r="AM111">
        <f t="shared" si="84"/>
        <v>0</v>
      </c>
      <c r="AN111">
        <f t="shared" si="85"/>
        <v>0</v>
      </c>
      <c r="AO111">
        <f t="shared" si="86"/>
        <v>0</v>
      </c>
      <c r="AP111">
        <f t="shared" si="87"/>
        <v>0</v>
      </c>
      <c r="AQ111">
        <f t="shared" si="88"/>
        <v>0</v>
      </c>
      <c r="AR111">
        <f t="shared" si="89"/>
        <v>0</v>
      </c>
      <c r="AS111">
        <f t="shared" si="90"/>
        <v>0</v>
      </c>
      <c r="AT111">
        <f t="shared" si="91"/>
        <v>0</v>
      </c>
      <c r="AU111">
        <f t="shared" si="92"/>
        <v>0</v>
      </c>
      <c r="AV111">
        <f t="shared" si="93"/>
        <v>0</v>
      </c>
      <c r="AW111">
        <f t="shared" si="48"/>
        <v>0</v>
      </c>
      <c r="AX111">
        <f t="shared" si="94"/>
        <v>0</v>
      </c>
      <c r="AY111">
        <f t="shared" si="95"/>
        <v>0</v>
      </c>
    </row>
    <row r="112" spans="1:51" x14ac:dyDescent="0.35">
      <c r="A112">
        <v>106</v>
      </c>
      <c r="C112">
        <f>MAX(0,Calc!$C$7-SUM(D112:R112))</f>
        <v>750</v>
      </c>
      <c r="D112">
        <f t="shared" si="49"/>
        <v>0</v>
      </c>
      <c r="E112">
        <f t="shared" si="50"/>
        <v>0</v>
      </c>
      <c r="F112">
        <f t="shared" si="51"/>
        <v>0</v>
      </c>
      <c r="G112">
        <f t="shared" si="52"/>
        <v>0</v>
      </c>
      <c r="H112">
        <f t="shared" si="53"/>
        <v>0</v>
      </c>
      <c r="I112">
        <f t="shared" si="54"/>
        <v>0</v>
      </c>
      <c r="J112">
        <f t="shared" si="55"/>
        <v>0</v>
      </c>
      <c r="K112">
        <f t="shared" si="56"/>
        <v>0</v>
      </c>
      <c r="L112">
        <f t="shared" si="57"/>
        <v>0</v>
      </c>
      <c r="M112">
        <f t="shared" si="58"/>
        <v>0</v>
      </c>
      <c r="N112">
        <f t="shared" si="59"/>
        <v>0</v>
      </c>
      <c r="O112">
        <f t="shared" si="60"/>
        <v>0</v>
      </c>
      <c r="P112">
        <f t="shared" si="61"/>
        <v>0</v>
      </c>
      <c r="Q112">
        <f t="shared" si="62"/>
        <v>0</v>
      </c>
      <c r="R112">
        <f t="shared" si="63"/>
        <v>0</v>
      </c>
      <c r="S112">
        <f t="shared" si="64"/>
        <v>0</v>
      </c>
      <c r="T112">
        <f t="shared" si="65"/>
        <v>0</v>
      </c>
      <c r="U112">
        <f t="shared" si="66"/>
        <v>0</v>
      </c>
      <c r="V112">
        <f t="shared" si="67"/>
        <v>0</v>
      </c>
      <c r="W112">
        <f t="shared" si="68"/>
        <v>0</v>
      </c>
      <c r="X112">
        <f t="shared" si="69"/>
        <v>0</v>
      </c>
      <c r="Y112">
        <f t="shared" si="70"/>
        <v>0</v>
      </c>
      <c r="Z112">
        <f t="shared" si="71"/>
        <v>0</v>
      </c>
      <c r="AA112">
        <f t="shared" si="72"/>
        <v>0</v>
      </c>
      <c r="AB112">
        <f t="shared" si="73"/>
        <v>0</v>
      </c>
      <c r="AC112">
        <f t="shared" si="74"/>
        <v>0</v>
      </c>
      <c r="AD112">
        <f t="shared" si="75"/>
        <v>0</v>
      </c>
      <c r="AE112">
        <f t="shared" si="76"/>
        <v>0</v>
      </c>
      <c r="AF112">
        <f t="shared" si="77"/>
        <v>0</v>
      </c>
      <c r="AG112">
        <f t="shared" si="78"/>
        <v>0</v>
      </c>
      <c r="AH112">
        <f t="shared" si="79"/>
        <v>0</v>
      </c>
      <c r="AI112">
        <f t="shared" si="80"/>
        <v>0</v>
      </c>
      <c r="AJ112">
        <f t="shared" si="81"/>
        <v>0</v>
      </c>
      <c r="AK112">
        <f t="shared" si="82"/>
        <v>0</v>
      </c>
      <c r="AL112">
        <f t="shared" si="83"/>
        <v>0</v>
      </c>
      <c r="AM112">
        <f t="shared" si="84"/>
        <v>0</v>
      </c>
      <c r="AN112">
        <f t="shared" si="85"/>
        <v>0</v>
      </c>
      <c r="AO112">
        <f t="shared" si="86"/>
        <v>0</v>
      </c>
      <c r="AP112">
        <f t="shared" si="87"/>
        <v>0</v>
      </c>
      <c r="AQ112">
        <f t="shared" si="88"/>
        <v>0</v>
      </c>
      <c r="AR112">
        <f t="shared" si="89"/>
        <v>0</v>
      </c>
      <c r="AS112">
        <f t="shared" si="90"/>
        <v>0</v>
      </c>
      <c r="AT112">
        <f t="shared" si="91"/>
        <v>0</v>
      </c>
      <c r="AU112">
        <f t="shared" si="92"/>
        <v>0</v>
      </c>
      <c r="AV112">
        <f t="shared" si="93"/>
        <v>0</v>
      </c>
      <c r="AW112">
        <f t="shared" si="48"/>
        <v>0</v>
      </c>
      <c r="AX112">
        <f t="shared" si="94"/>
        <v>0</v>
      </c>
      <c r="AY112">
        <f t="shared" si="95"/>
        <v>0</v>
      </c>
    </row>
    <row r="113" spans="1:51" x14ac:dyDescent="0.35">
      <c r="A113">
        <v>107</v>
      </c>
      <c r="C113">
        <f>MAX(0,Calc!$C$7-SUM(D113:R113))</f>
        <v>750</v>
      </c>
      <c r="D113">
        <f t="shared" si="49"/>
        <v>0</v>
      </c>
      <c r="E113">
        <f t="shared" si="50"/>
        <v>0</v>
      </c>
      <c r="F113">
        <f t="shared" si="51"/>
        <v>0</v>
      </c>
      <c r="G113">
        <f t="shared" si="52"/>
        <v>0</v>
      </c>
      <c r="H113">
        <f t="shared" si="53"/>
        <v>0</v>
      </c>
      <c r="I113">
        <f t="shared" si="54"/>
        <v>0</v>
      </c>
      <c r="J113">
        <f t="shared" si="55"/>
        <v>0</v>
      </c>
      <c r="K113">
        <f t="shared" si="56"/>
        <v>0</v>
      </c>
      <c r="L113">
        <f t="shared" si="57"/>
        <v>0</v>
      </c>
      <c r="M113">
        <f t="shared" si="58"/>
        <v>0</v>
      </c>
      <c r="N113">
        <f t="shared" si="59"/>
        <v>0</v>
      </c>
      <c r="O113">
        <f t="shared" si="60"/>
        <v>0</v>
      </c>
      <c r="P113">
        <f t="shared" si="61"/>
        <v>0</v>
      </c>
      <c r="Q113">
        <f t="shared" si="62"/>
        <v>0</v>
      </c>
      <c r="R113">
        <f t="shared" si="63"/>
        <v>0</v>
      </c>
      <c r="S113">
        <f t="shared" si="64"/>
        <v>0</v>
      </c>
      <c r="T113">
        <f t="shared" si="65"/>
        <v>0</v>
      </c>
      <c r="U113">
        <f t="shared" si="66"/>
        <v>0</v>
      </c>
      <c r="V113">
        <f t="shared" si="67"/>
        <v>0</v>
      </c>
      <c r="W113">
        <f t="shared" si="68"/>
        <v>0</v>
      </c>
      <c r="X113">
        <f t="shared" si="69"/>
        <v>0</v>
      </c>
      <c r="Y113">
        <f t="shared" si="70"/>
        <v>0</v>
      </c>
      <c r="Z113">
        <f t="shared" si="71"/>
        <v>0</v>
      </c>
      <c r="AA113">
        <f t="shared" si="72"/>
        <v>0</v>
      </c>
      <c r="AB113">
        <f t="shared" si="73"/>
        <v>0</v>
      </c>
      <c r="AC113">
        <f t="shared" si="74"/>
        <v>0</v>
      </c>
      <c r="AD113">
        <f t="shared" si="75"/>
        <v>0</v>
      </c>
      <c r="AE113">
        <f t="shared" si="76"/>
        <v>0</v>
      </c>
      <c r="AF113">
        <f t="shared" si="77"/>
        <v>0</v>
      </c>
      <c r="AG113">
        <f t="shared" si="78"/>
        <v>0</v>
      </c>
      <c r="AH113">
        <f t="shared" si="79"/>
        <v>0</v>
      </c>
      <c r="AI113">
        <f t="shared" si="80"/>
        <v>0</v>
      </c>
      <c r="AJ113">
        <f t="shared" si="81"/>
        <v>0</v>
      </c>
      <c r="AK113">
        <f t="shared" si="82"/>
        <v>0</v>
      </c>
      <c r="AL113">
        <f t="shared" si="83"/>
        <v>0</v>
      </c>
      <c r="AM113">
        <f t="shared" si="84"/>
        <v>0</v>
      </c>
      <c r="AN113">
        <f t="shared" si="85"/>
        <v>0</v>
      </c>
      <c r="AO113">
        <f t="shared" si="86"/>
        <v>0</v>
      </c>
      <c r="AP113">
        <f t="shared" si="87"/>
        <v>0</v>
      </c>
      <c r="AQ113">
        <f t="shared" si="88"/>
        <v>0</v>
      </c>
      <c r="AR113">
        <f t="shared" si="89"/>
        <v>0</v>
      </c>
      <c r="AS113">
        <f t="shared" si="90"/>
        <v>0</v>
      </c>
      <c r="AT113">
        <f t="shared" si="91"/>
        <v>0</v>
      </c>
      <c r="AU113">
        <f t="shared" si="92"/>
        <v>0</v>
      </c>
      <c r="AV113">
        <f t="shared" si="93"/>
        <v>0</v>
      </c>
      <c r="AW113">
        <f t="shared" si="48"/>
        <v>0</v>
      </c>
      <c r="AX113">
        <f t="shared" si="94"/>
        <v>0</v>
      </c>
      <c r="AY113">
        <f t="shared" si="95"/>
        <v>0</v>
      </c>
    </row>
    <row r="114" spans="1:51" x14ac:dyDescent="0.35">
      <c r="A114">
        <v>108</v>
      </c>
      <c r="C114">
        <f>MAX(0,Calc!$C$7-SUM(D114:R114))</f>
        <v>750</v>
      </c>
      <c r="D114">
        <f t="shared" si="49"/>
        <v>0</v>
      </c>
      <c r="E114">
        <f t="shared" si="50"/>
        <v>0</v>
      </c>
      <c r="F114">
        <f t="shared" si="51"/>
        <v>0</v>
      </c>
      <c r="G114">
        <f t="shared" si="52"/>
        <v>0</v>
      </c>
      <c r="H114">
        <f t="shared" si="53"/>
        <v>0</v>
      </c>
      <c r="I114">
        <f t="shared" si="54"/>
        <v>0</v>
      </c>
      <c r="J114">
        <f t="shared" si="55"/>
        <v>0</v>
      </c>
      <c r="K114">
        <f t="shared" si="56"/>
        <v>0</v>
      </c>
      <c r="L114">
        <f t="shared" si="57"/>
        <v>0</v>
      </c>
      <c r="M114">
        <f t="shared" si="58"/>
        <v>0</v>
      </c>
      <c r="N114">
        <f t="shared" si="59"/>
        <v>0</v>
      </c>
      <c r="O114">
        <f t="shared" si="60"/>
        <v>0</v>
      </c>
      <c r="P114">
        <f t="shared" si="61"/>
        <v>0</v>
      </c>
      <c r="Q114">
        <f t="shared" si="62"/>
        <v>0</v>
      </c>
      <c r="R114">
        <f t="shared" si="63"/>
        <v>0</v>
      </c>
      <c r="S114">
        <f t="shared" si="64"/>
        <v>0</v>
      </c>
      <c r="T114">
        <f t="shared" si="65"/>
        <v>0</v>
      </c>
      <c r="U114">
        <f t="shared" si="66"/>
        <v>0</v>
      </c>
      <c r="V114">
        <f t="shared" si="67"/>
        <v>0</v>
      </c>
      <c r="W114">
        <f t="shared" si="68"/>
        <v>0</v>
      </c>
      <c r="X114">
        <f t="shared" si="69"/>
        <v>0</v>
      </c>
      <c r="Y114">
        <f t="shared" si="70"/>
        <v>0</v>
      </c>
      <c r="Z114">
        <f t="shared" si="71"/>
        <v>0</v>
      </c>
      <c r="AA114">
        <f t="shared" si="72"/>
        <v>0</v>
      </c>
      <c r="AB114">
        <f t="shared" si="73"/>
        <v>0</v>
      </c>
      <c r="AC114">
        <f t="shared" si="74"/>
        <v>0</v>
      </c>
      <c r="AD114">
        <f t="shared" si="75"/>
        <v>0</v>
      </c>
      <c r="AE114">
        <f t="shared" si="76"/>
        <v>0</v>
      </c>
      <c r="AF114">
        <f t="shared" si="77"/>
        <v>0</v>
      </c>
      <c r="AG114">
        <f t="shared" si="78"/>
        <v>0</v>
      </c>
      <c r="AH114">
        <f t="shared" si="79"/>
        <v>0</v>
      </c>
      <c r="AI114">
        <f t="shared" si="80"/>
        <v>0</v>
      </c>
      <c r="AJ114">
        <f t="shared" si="81"/>
        <v>0</v>
      </c>
      <c r="AK114">
        <f t="shared" si="82"/>
        <v>0</v>
      </c>
      <c r="AL114">
        <f t="shared" si="83"/>
        <v>0</v>
      </c>
      <c r="AM114">
        <f t="shared" si="84"/>
        <v>0</v>
      </c>
      <c r="AN114">
        <f t="shared" si="85"/>
        <v>0</v>
      </c>
      <c r="AO114">
        <f t="shared" si="86"/>
        <v>0</v>
      </c>
      <c r="AP114">
        <f t="shared" si="87"/>
        <v>0</v>
      </c>
      <c r="AQ114">
        <f t="shared" si="88"/>
        <v>0</v>
      </c>
      <c r="AR114">
        <f t="shared" si="89"/>
        <v>0</v>
      </c>
      <c r="AS114">
        <f t="shared" si="90"/>
        <v>0</v>
      </c>
      <c r="AT114">
        <f t="shared" si="91"/>
        <v>0</v>
      </c>
      <c r="AU114">
        <f t="shared" si="92"/>
        <v>0</v>
      </c>
      <c r="AV114">
        <f t="shared" si="93"/>
        <v>0</v>
      </c>
      <c r="AW114">
        <f t="shared" si="48"/>
        <v>0</v>
      </c>
      <c r="AX114">
        <f t="shared" si="94"/>
        <v>0</v>
      </c>
      <c r="AY114">
        <f t="shared" si="95"/>
        <v>0</v>
      </c>
    </row>
    <row r="115" spans="1:51" x14ac:dyDescent="0.35">
      <c r="A115">
        <v>109</v>
      </c>
      <c r="C115">
        <f>MAX(0,Calc!$C$7-SUM(D115:R115))</f>
        <v>750</v>
      </c>
      <c r="D115">
        <f t="shared" si="49"/>
        <v>0</v>
      </c>
      <c r="E115">
        <f t="shared" si="50"/>
        <v>0</v>
      </c>
      <c r="F115">
        <f t="shared" si="51"/>
        <v>0</v>
      </c>
      <c r="G115">
        <f t="shared" si="52"/>
        <v>0</v>
      </c>
      <c r="H115">
        <f t="shared" si="53"/>
        <v>0</v>
      </c>
      <c r="I115">
        <f t="shared" si="54"/>
        <v>0</v>
      </c>
      <c r="J115">
        <f t="shared" si="55"/>
        <v>0</v>
      </c>
      <c r="K115">
        <f t="shared" si="56"/>
        <v>0</v>
      </c>
      <c r="L115">
        <f t="shared" si="57"/>
        <v>0</v>
      </c>
      <c r="M115">
        <f t="shared" si="58"/>
        <v>0</v>
      </c>
      <c r="N115">
        <f t="shared" si="59"/>
        <v>0</v>
      </c>
      <c r="O115">
        <f t="shared" si="60"/>
        <v>0</v>
      </c>
      <c r="P115">
        <f t="shared" si="61"/>
        <v>0</v>
      </c>
      <c r="Q115">
        <f t="shared" si="62"/>
        <v>0</v>
      </c>
      <c r="R115">
        <f t="shared" si="63"/>
        <v>0</v>
      </c>
      <c r="S115">
        <f t="shared" si="64"/>
        <v>0</v>
      </c>
      <c r="T115">
        <f t="shared" si="65"/>
        <v>0</v>
      </c>
      <c r="U115">
        <f t="shared" si="66"/>
        <v>0</v>
      </c>
      <c r="V115">
        <f t="shared" si="67"/>
        <v>0</v>
      </c>
      <c r="W115">
        <f t="shared" si="68"/>
        <v>0</v>
      </c>
      <c r="X115">
        <f t="shared" si="69"/>
        <v>0</v>
      </c>
      <c r="Y115">
        <f t="shared" si="70"/>
        <v>0</v>
      </c>
      <c r="Z115">
        <f t="shared" si="71"/>
        <v>0</v>
      </c>
      <c r="AA115">
        <f t="shared" si="72"/>
        <v>0</v>
      </c>
      <c r="AB115">
        <f t="shared" si="73"/>
        <v>0</v>
      </c>
      <c r="AC115">
        <f t="shared" si="74"/>
        <v>0</v>
      </c>
      <c r="AD115">
        <f t="shared" si="75"/>
        <v>0</v>
      </c>
      <c r="AE115">
        <f t="shared" si="76"/>
        <v>0</v>
      </c>
      <c r="AF115">
        <f t="shared" si="77"/>
        <v>0</v>
      </c>
      <c r="AG115">
        <f t="shared" si="78"/>
        <v>0</v>
      </c>
      <c r="AH115">
        <f t="shared" si="79"/>
        <v>0</v>
      </c>
      <c r="AI115">
        <f t="shared" si="80"/>
        <v>0</v>
      </c>
      <c r="AJ115">
        <f t="shared" si="81"/>
        <v>0</v>
      </c>
      <c r="AK115">
        <f t="shared" si="82"/>
        <v>0</v>
      </c>
      <c r="AL115">
        <f t="shared" si="83"/>
        <v>0</v>
      </c>
      <c r="AM115">
        <f t="shared" si="84"/>
        <v>0</v>
      </c>
      <c r="AN115">
        <f t="shared" si="85"/>
        <v>0</v>
      </c>
      <c r="AO115">
        <f t="shared" si="86"/>
        <v>0</v>
      </c>
      <c r="AP115">
        <f t="shared" si="87"/>
        <v>0</v>
      </c>
      <c r="AQ115">
        <f t="shared" si="88"/>
        <v>0</v>
      </c>
      <c r="AR115">
        <f t="shared" si="89"/>
        <v>0</v>
      </c>
      <c r="AS115">
        <f t="shared" si="90"/>
        <v>0</v>
      </c>
      <c r="AT115">
        <f t="shared" si="91"/>
        <v>0</v>
      </c>
      <c r="AU115">
        <f t="shared" si="92"/>
        <v>0</v>
      </c>
      <c r="AV115">
        <f t="shared" si="93"/>
        <v>0</v>
      </c>
      <c r="AW115">
        <f t="shared" si="48"/>
        <v>0</v>
      </c>
      <c r="AX115">
        <f t="shared" si="94"/>
        <v>0</v>
      </c>
      <c r="AY115">
        <f t="shared" si="95"/>
        <v>0</v>
      </c>
    </row>
    <row r="116" spans="1:51" x14ac:dyDescent="0.35">
      <c r="A116">
        <v>110</v>
      </c>
      <c r="C116">
        <f>MAX(0,Calc!$C$7-SUM(D116:R116))</f>
        <v>750</v>
      </c>
      <c r="D116">
        <f t="shared" si="49"/>
        <v>0</v>
      </c>
      <c r="E116">
        <f t="shared" si="50"/>
        <v>0</v>
      </c>
      <c r="F116">
        <f t="shared" si="51"/>
        <v>0</v>
      </c>
      <c r="G116">
        <f t="shared" si="52"/>
        <v>0</v>
      </c>
      <c r="H116">
        <f t="shared" si="53"/>
        <v>0</v>
      </c>
      <c r="I116">
        <f t="shared" si="54"/>
        <v>0</v>
      </c>
      <c r="J116">
        <f t="shared" si="55"/>
        <v>0</v>
      </c>
      <c r="K116">
        <f t="shared" si="56"/>
        <v>0</v>
      </c>
      <c r="L116">
        <f t="shared" si="57"/>
        <v>0</v>
      </c>
      <c r="M116">
        <f t="shared" si="58"/>
        <v>0</v>
      </c>
      <c r="N116">
        <f t="shared" si="59"/>
        <v>0</v>
      </c>
      <c r="O116">
        <f t="shared" si="60"/>
        <v>0</v>
      </c>
      <c r="P116">
        <f t="shared" si="61"/>
        <v>0</v>
      </c>
      <c r="Q116">
        <f t="shared" si="62"/>
        <v>0</v>
      </c>
      <c r="R116">
        <f t="shared" si="63"/>
        <v>0</v>
      </c>
      <c r="S116">
        <f t="shared" si="64"/>
        <v>0</v>
      </c>
      <c r="T116">
        <f t="shared" si="65"/>
        <v>0</v>
      </c>
      <c r="U116">
        <f t="shared" si="66"/>
        <v>0</v>
      </c>
      <c r="V116">
        <f t="shared" si="67"/>
        <v>0</v>
      </c>
      <c r="W116">
        <f t="shared" si="68"/>
        <v>0</v>
      </c>
      <c r="X116">
        <f t="shared" si="69"/>
        <v>0</v>
      </c>
      <c r="Y116">
        <f t="shared" si="70"/>
        <v>0</v>
      </c>
      <c r="Z116">
        <f t="shared" si="71"/>
        <v>0</v>
      </c>
      <c r="AA116">
        <f t="shared" si="72"/>
        <v>0</v>
      </c>
      <c r="AB116">
        <f t="shared" si="73"/>
        <v>0</v>
      </c>
      <c r="AC116">
        <f t="shared" si="74"/>
        <v>0</v>
      </c>
      <c r="AD116">
        <f t="shared" si="75"/>
        <v>0</v>
      </c>
      <c r="AE116">
        <f t="shared" si="76"/>
        <v>0</v>
      </c>
      <c r="AF116">
        <f t="shared" si="77"/>
        <v>0</v>
      </c>
      <c r="AG116">
        <f t="shared" si="78"/>
        <v>0</v>
      </c>
      <c r="AH116">
        <f t="shared" si="79"/>
        <v>0</v>
      </c>
      <c r="AI116">
        <f t="shared" si="80"/>
        <v>0</v>
      </c>
      <c r="AJ116">
        <f t="shared" si="81"/>
        <v>0</v>
      </c>
      <c r="AK116">
        <f t="shared" si="82"/>
        <v>0</v>
      </c>
      <c r="AL116">
        <f t="shared" si="83"/>
        <v>0</v>
      </c>
      <c r="AM116">
        <f t="shared" si="84"/>
        <v>0</v>
      </c>
      <c r="AN116">
        <f t="shared" si="85"/>
        <v>0</v>
      </c>
      <c r="AO116">
        <f t="shared" si="86"/>
        <v>0</v>
      </c>
      <c r="AP116">
        <f t="shared" si="87"/>
        <v>0</v>
      </c>
      <c r="AQ116">
        <f t="shared" si="88"/>
        <v>0</v>
      </c>
      <c r="AR116">
        <f t="shared" si="89"/>
        <v>0</v>
      </c>
      <c r="AS116">
        <f t="shared" si="90"/>
        <v>0</v>
      </c>
      <c r="AT116">
        <f t="shared" si="91"/>
        <v>0</v>
      </c>
      <c r="AU116">
        <f t="shared" si="92"/>
        <v>0</v>
      </c>
      <c r="AV116">
        <f t="shared" si="93"/>
        <v>0</v>
      </c>
      <c r="AW116">
        <f t="shared" si="48"/>
        <v>0</v>
      </c>
      <c r="AX116">
        <f t="shared" si="94"/>
        <v>0</v>
      </c>
      <c r="AY116">
        <f t="shared" si="95"/>
        <v>0</v>
      </c>
    </row>
    <row r="117" spans="1:51" x14ac:dyDescent="0.35">
      <c r="A117">
        <v>111</v>
      </c>
      <c r="C117">
        <f>MAX(0,Calc!$C$7-SUM(D117:R117))</f>
        <v>750</v>
      </c>
      <c r="D117">
        <f t="shared" si="49"/>
        <v>0</v>
      </c>
      <c r="E117">
        <f t="shared" si="50"/>
        <v>0</v>
      </c>
      <c r="F117">
        <f t="shared" si="51"/>
        <v>0</v>
      </c>
      <c r="G117">
        <f t="shared" si="52"/>
        <v>0</v>
      </c>
      <c r="H117">
        <f t="shared" si="53"/>
        <v>0</v>
      </c>
      <c r="I117">
        <f t="shared" si="54"/>
        <v>0</v>
      </c>
      <c r="J117">
        <f t="shared" si="55"/>
        <v>0</v>
      </c>
      <c r="K117">
        <f t="shared" si="56"/>
        <v>0</v>
      </c>
      <c r="L117">
        <f t="shared" si="57"/>
        <v>0</v>
      </c>
      <c r="M117">
        <f t="shared" si="58"/>
        <v>0</v>
      </c>
      <c r="N117">
        <f t="shared" si="59"/>
        <v>0</v>
      </c>
      <c r="O117">
        <f t="shared" si="60"/>
        <v>0</v>
      </c>
      <c r="P117">
        <f t="shared" si="61"/>
        <v>0</v>
      </c>
      <c r="Q117">
        <f t="shared" si="62"/>
        <v>0</v>
      </c>
      <c r="R117">
        <f t="shared" si="63"/>
        <v>0</v>
      </c>
      <c r="S117">
        <f t="shared" si="64"/>
        <v>0</v>
      </c>
      <c r="T117">
        <f t="shared" si="65"/>
        <v>0</v>
      </c>
      <c r="U117">
        <f t="shared" si="66"/>
        <v>0</v>
      </c>
      <c r="V117">
        <f t="shared" si="67"/>
        <v>0</v>
      </c>
      <c r="W117">
        <f t="shared" si="68"/>
        <v>0</v>
      </c>
      <c r="X117">
        <f t="shared" si="69"/>
        <v>0</v>
      </c>
      <c r="Y117">
        <f t="shared" si="70"/>
        <v>0</v>
      </c>
      <c r="Z117">
        <f t="shared" si="71"/>
        <v>0</v>
      </c>
      <c r="AA117">
        <f t="shared" si="72"/>
        <v>0</v>
      </c>
      <c r="AB117">
        <f t="shared" si="73"/>
        <v>0</v>
      </c>
      <c r="AC117">
        <f t="shared" si="74"/>
        <v>0</v>
      </c>
      <c r="AD117">
        <f t="shared" si="75"/>
        <v>0</v>
      </c>
      <c r="AE117">
        <f t="shared" si="76"/>
        <v>0</v>
      </c>
      <c r="AF117">
        <f t="shared" si="77"/>
        <v>0</v>
      </c>
      <c r="AG117">
        <f t="shared" si="78"/>
        <v>0</v>
      </c>
      <c r="AH117">
        <f t="shared" si="79"/>
        <v>0</v>
      </c>
      <c r="AI117">
        <f t="shared" si="80"/>
        <v>0</v>
      </c>
      <c r="AJ117">
        <f t="shared" si="81"/>
        <v>0</v>
      </c>
      <c r="AK117">
        <f t="shared" si="82"/>
        <v>0</v>
      </c>
      <c r="AL117">
        <f t="shared" si="83"/>
        <v>0</v>
      </c>
      <c r="AM117">
        <f t="shared" si="84"/>
        <v>0</v>
      </c>
      <c r="AN117">
        <f t="shared" si="85"/>
        <v>0</v>
      </c>
      <c r="AO117">
        <f t="shared" si="86"/>
        <v>0</v>
      </c>
      <c r="AP117">
        <f t="shared" si="87"/>
        <v>0</v>
      </c>
      <c r="AQ117">
        <f t="shared" si="88"/>
        <v>0</v>
      </c>
      <c r="AR117">
        <f t="shared" si="89"/>
        <v>0</v>
      </c>
      <c r="AS117">
        <f t="shared" si="90"/>
        <v>0</v>
      </c>
      <c r="AT117">
        <f t="shared" si="91"/>
        <v>0</v>
      </c>
      <c r="AU117">
        <f t="shared" si="92"/>
        <v>0</v>
      </c>
      <c r="AV117">
        <f t="shared" si="93"/>
        <v>0</v>
      </c>
      <c r="AW117">
        <f t="shared" si="48"/>
        <v>0</v>
      </c>
      <c r="AX117">
        <f t="shared" si="94"/>
        <v>0</v>
      </c>
      <c r="AY117">
        <f t="shared" si="95"/>
        <v>0</v>
      </c>
    </row>
    <row r="118" spans="1:51" x14ac:dyDescent="0.35">
      <c r="A118">
        <v>112</v>
      </c>
      <c r="C118">
        <f>MAX(0,Calc!$C$7-SUM(D118:R118))</f>
        <v>750</v>
      </c>
      <c r="D118">
        <f t="shared" si="49"/>
        <v>0</v>
      </c>
      <c r="E118">
        <f t="shared" si="50"/>
        <v>0</v>
      </c>
      <c r="F118">
        <f t="shared" si="51"/>
        <v>0</v>
      </c>
      <c r="G118">
        <f t="shared" si="52"/>
        <v>0</v>
      </c>
      <c r="H118">
        <f t="shared" si="53"/>
        <v>0</v>
      </c>
      <c r="I118">
        <f t="shared" si="54"/>
        <v>0</v>
      </c>
      <c r="J118">
        <f t="shared" si="55"/>
        <v>0</v>
      </c>
      <c r="K118">
        <f t="shared" si="56"/>
        <v>0</v>
      </c>
      <c r="L118">
        <f t="shared" si="57"/>
        <v>0</v>
      </c>
      <c r="M118">
        <f t="shared" si="58"/>
        <v>0</v>
      </c>
      <c r="N118">
        <f t="shared" si="59"/>
        <v>0</v>
      </c>
      <c r="O118">
        <f t="shared" si="60"/>
        <v>0</v>
      </c>
      <c r="P118">
        <f t="shared" si="61"/>
        <v>0</v>
      </c>
      <c r="Q118">
        <f t="shared" si="62"/>
        <v>0</v>
      </c>
      <c r="R118">
        <f t="shared" si="63"/>
        <v>0</v>
      </c>
      <c r="S118">
        <f t="shared" si="64"/>
        <v>0</v>
      </c>
      <c r="T118">
        <f t="shared" si="65"/>
        <v>0</v>
      </c>
      <c r="U118">
        <f t="shared" si="66"/>
        <v>0</v>
      </c>
      <c r="V118">
        <f t="shared" si="67"/>
        <v>0</v>
      </c>
      <c r="W118">
        <f t="shared" si="68"/>
        <v>0</v>
      </c>
      <c r="X118">
        <f t="shared" si="69"/>
        <v>0</v>
      </c>
      <c r="Y118">
        <f t="shared" si="70"/>
        <v>0</v>
      </c>
      <c r="Z118">
        <f t="shared" si="71"/>
        <v>0</v>
      </c>
      <c r="AA118">
        <f t="shared" si="72"/>
        <v>0</v>
      </c>
      <c r="AB118">
        <f t="shared" si="73"/>
        <v>0</v>
      </c>
      <c r="AC118">
        <f t="shared" si="74"/>
        <v>0</v>
      </c>
      <c r="AD118">
        <f t="shared" si="75"/>
        <v>0</v>
      </c>
      <c r="AE118">
        <f t="shared" si="76"/>
        <v>0</v>
      </c>
      <c r="AF118">
        <f t="shared" si="77"/>
        <v>0</v>
      </c>
      <c r="AG118">
        <f t="shared" si="78"/>
        <v>0</v>
      </c>
      <c r="AH118">
        <f t="shared" si="79"/>
        <v>0</v>
      </c>
      <c r="AI118">
        <f t="shared" si="80"/>
        <v>0</v>
      </c>
      <c r="AJ118">
        <f t="shared" si="81"/>
        <v>0</v>
      </c>
      <c r="AK118">
        <f t="shared" si="82"/>
        <v>0</v>
      </c>
      <c r="AL118">
        <f t="shared" si="83"/>
        <v>0</v>
      </c>
      <c r="AM118">
        <f t="shared" si="84"/>
        <v>0</v>
      </c>
      <c r="AN118">
        <f t="shared" si="85"/>
        <v>0</v>
      </c>
      <c r="AO118">
        <f t="shared" si="86"/>
        <v>0</v>
      </c>
      <c r="AP118">
        <f t="shared" si="87"/>
        <v>0</v>
      </c>
      <c r="AQ118">
        <f t="shared" si="88"/>
        <v>0</v>
      </c>
      <c r="AR118">
        <f t="shared" si="89"/>
        <v>0</v>
      </c>
      <c r="AS118">
        <f t="shared" si="90"/>
        <v>0</v>
      </c>
      <c r="AT118">
        <f t="shared" si="91"/>
        <v>0</v>
      </c>
      <c r="AU118">
        <f t="shared" si="92"/>
        <v>0</v>
      </c>
      <c r="AV118">
        <f t="shared" si="93"/>
        <v>0</v>
      </c>
      <c r="AW118">
        <f t="shared" si="48"/>
        <v>0</v>
      </c>
      <c r="AX118">
        <f t="shared" si="94"/>
        <v>0</v>
      </c>
      <c r="AY118">
        <f t="shared" si="95"/>
        <v>0</v>
      </c>
    </row>
    <row r="119" spans="1:51" x14ac:dyDescent="0.35">
      <c r="A119">
        <v>113</v>
      </c>
      <c r="C119">
        <f>MAX(0,Calc!$C$7-SUM(D119:R119))</f>
        <v>750</v>
      </c>
      <c r="D119">
        <f t="shared" si="49"/>
        <v>0</v>
      </c>
      <c r="E119">
        <f t="shared" si="50"/>
        <v>0</v>
      </c>
      <c r="F119">
        <f t="shared" si="51"/>
        <v>0</v>
      </c>
      <c r="G119">
        <f t="shared" si="52"/>
        <v>0</v>
      </c>
      <c r="H119">
        <f t="shared" si="53"/>
        <v>0</v>
      </c>
      <c r="I119">
        <f t="shared" si="54"/>
        <v>0</v>
      </c>
      <c r="J119">
        <f t="shared" si="55"/>
        <v>0</v>
      </c>
      <c r="K119">
        <f t="shared" si="56"/>
        <v>0</v>
      </c>
      <c r="L119">
        <f t="shared" si="57"/>
        <v>0</v>
      </c>
      <c r="M119">
        <f t="shared" si="58"/>
        <v>0</v>
      </c>
      <c r="N119">
        <f t="shared" si="59"/>
        <v>0</v>
      </c>
      <c r="O119">
        <f t="shared" si="60"/>
        <v>0</v>
      </c>
      <c r="P119">
        <f t="shared" si="61"/>
        <v>0</v>
      </c>
      <c r="Q119">
        <f t="shared" si="62"/>
        <v>0</v>
      </c>
      <c r="R119">
        <f t="shared" si="63"/>
        <v>0</v>
      </c>
      <c r="S119">
        <f t="shared" si="64"/>
        <v>0</v>
      </c>
      <c r="T119">
        <f t="shared" si="65"/>
        <v>0</v>
      </c>
      <c r="U119">
        <f t="shared" si="66"/>
        <v>0</v>
      </c>
      <c r="V119">
        <f t="shared" si="67"/>
        <v>0</v>
      </c>
      <c r="W119">
        <f t="shared" si="68"/>
        <v>0</v>
      </c>
      <c r="X119">
        <f t="shared" si="69"/>
        <v>0</v>
      </c>
      <c r="Y119">
        <f t="shared" si="70"/>
        <v>0</v>
      </c>
      <c r="Z119">
        <f t="shared" si="71"/>
        <v>0</v>
      </c>
      <c r="AA119">
        <f t="shared" si="72"/>
        <v>0</v>
      </c>
      <c r="AB119">
        <f t="shared" si="73"/>
        <v>0</v>
      </c>
      <c r="AC119">
        <f t="shared" si="74"/>
        <v>0</v>
      </c>
      <c r="AD119">
        <f t="shared" si="75"/>
        <v>0</v>
      </c>
      <c r="AE119">
        <f t="shared" si="76"/>
        <v>0</v>
      </c>
      <c r="AF119">
        <f t="shared" si="77"/>
        <v>0</v>
      </c>
      <c r="AG119">
        <f t="shared" si="78"/>
        <v>0</v>
      </c>
      <c r="AH119">
        <f t="shared" si="79"/>
        <v>0</v>
      </c>
      <c r="AI119">
        <f t="shared" si="80"/>
        <v>0</v>
      </c>
      <c r="AJ119">
        <f t="shared" si="81"/>
        <v>0</v>
      </c>
      <c r="AK119">
        <f t="shared" si="82"/>
        <v>0</v>
      </c>
      <c r="AL119">
        <f t="shared" si="83"/>
        <v>0</v>
      </c>
      <c r="AM119">
        <f t="shared" si="84"/>
        <v>0</v>
      </c>
      <c r="AN119">
        <f t="shared" si="85"/>
        <v>0</v>
      </c>
      <c r="AO119">
        <f t="shared" si="86"/>
        <v>0</v>
      </c>
      <c r="AP119">
        <f t="shared" si="87"/>
        <v>0</v>
      </c>
      <c r="AQ119">
        <f t="shared" si="88"/>
        <v>0</v>
      </c>
      <c r="AR119">
        <f t="shared" si="89"/>
        <v>0</v>
      </c>
      <c r="AS119">
        <f t="shared" si="90"/>
        <v>0</v>
      </c>
      <c r="AT119">
        <f t="shared" si="91"/>
        <v>0</v>
      </c>
      <c r="AU119">
        <f t="shared" si="92"/>
        <v>0</v>
      </c>
      <c r="AV119">
        <f t="shared" si="93"/>
        <v>0</v>
      </c>
      <c r="AW119">
        <f t="shared" si="48"/>
        <v>0</v>
      </c>
      <c r="AX119">
        <f t="shared" si="94"/>
        <v>0</v>
      </c>
      <c r="AY119">
        <f t="shared" si="95"/>
        <v>0</v>
      </c>
    </row>
    <row r="120" spans="1:51" x14ac:dyDescent="0.35">
      <c r="A120">
        <v>114</v>
      </c>
      <c r="C120">
        <f>MAX(0,Calc!$C$7-SUM(D120:R120))</f>
        <v>750</v>
      </c>
      <c r="D120">
        <f t="shared" si="49"/>
        <v>0</v>
      </c>
      <c r="E120">
        <f t="shared" si="50"/>
        <v>0</v>
      </c>
      <c r="F120">
        <f t="shared" si="51"/>
        <v>0</v>
      </c>
      <c r="G120">
        <f t="shared" si="52"/>
        <v>0</v>
      </c>
      <c r="H120">
        <f t="shared" si="53"/>
        <v>0</v>
      </c>
      <c r="I120">
        <f t="shared" si="54"/>
        <v>0</v>
      </c>
      <c r="J120">
        <f t="shared" si="55"/>
        <v>0</v>
      </c>
      <c r="K120">
        <f t="shared" si="56"/>
        <v>0</v>
      </c>
      <c r="L120">
        <f t="shared" si="57"/>
        <v>0</v>
      </c>
      <c r="M120">
        <f t="shared" si="58"/>
        <v>0</v>
      </c>
      <c r="N120">
        <f t="shared" si="59"/>
        <v>0</v>
      </c>
      <c r="O120">
        <f t="shared" si="60"/>
        <v>0</v>
      </c>
      <c r="P120">
        <f t="shared" si="61"/>
        <v>0</v>
      </c>
      <c r="Q120">
        <f t="shared" si="62"/>
        <v>0</v>
      </c>
      <c r="R120">
        <f t="shared" si="63"/>
        <v>0</v>
      </c>
      <c r="S120">
        <f t="shared" si="64"/>
        <v>0</v>
      </c>
      <c r="T120">
        <f t="shared" si="65"/>
        <v>0</v>
      </c>
      <c r="U120">
        <f t="shared" si="66"/>
        <v>0</v>
      </c>
      <c r="V120">
        <f t="shared" si="67"/>
        <v>0</v>
      </c>
      <c r="W120">
        <f t="shared" si="68"/>
        <v>0</v>
      </c>
      <c r="X120">
        <f t="shared" si="69"/>
        <v>0</v>
      </c>
      <c r="Y120">
        <f t="shared" si="70"/>
        <v>0</v>
      </c>
      <c r="Z120">
        <f t="shared" si="71"/>
        <v>0</v>
      </c>
      <c r="AA120">
        <f t="shared" si="72"/>
        <v>0</v>
      </c>
      <c r="AB120">
        <f t="shared" si="73"/>
        <v>0</v>
      </c>
      <c r="AC120">
        <f t="shared" si="74"/>
        <v>0</v>
      </c>
      <c r="AD120">
        <f t="shared" si="75"/>
        <v>0</v>
      </c>
      <c r="AE120">
        <f t="shared" si="76"/>
        <v>0</v>
      </c>
      <c r="AF120">
        <f t="shared" si="77"/>
        <v>0</v>
      </c>
      <c r="AG120">
        <f t="shared" si="78"/>
        <v>0</v>
      </c>
      <c r="AH120">
        <f t="shared" si="79"/>
        <v>0</v>
      </c>
      <c r="AI120">
        <f t="shared" si="80"/>
        <v>0</v>
      </c>
      <c r="AJ120">
        <f t="shared" si="81"/>
        <v>0</v>
      </c>
      <c r="AK120">
        <f t="shared" si="82"/>
        <v>0</v>
      </c>
      <c r="AL120">
        <f t="shared" si="83"/>
        <v>0</v>
      </c>
      <c r="AM120">
        <f t="shared" si="84"/>
        <v>0</v>
      </c>
      <c r="AN120">
        <f t="shared" si="85"/>
        <v>0</v>
      </c>
      <c r="AO120">
        <f t="shared" si="86"/>
        <v>0</v>
      </c>
      <c r="AP120">
        <f t="shared" si="87"/>
        <v>0</v>
      </c>
      <c r="AQ120">
        <f t="shared" si="88"/>
        <v>0</v>
      </c>
      <c r="AR120">
        <f t="shared" si="89"/>
        <v>0</v>
      </c>
      <c r="AS120">
        <f t="shared" si="90"/>
        <v>0</v>
      </c>
      <c r="AT120">
        <f t="shared" si="91"/>
        <v>0</v>
      </c>
      <c r="AU120">
        <f t="shared" si="92"/>
        <v>0</v>
      </c>
      <c r="AV120">
        <f t="shared" si="93"/>
        <v>0</v>
      </c>
      <c r="AW120">
        <f t="shared" si="48"/>
        <v>0</v>
      </c>
      <c r="AX120">
        <f t="shared" si="94"/>
        <v>0</v>
      </c>
      <c r="AY120">
        <f t="shared" si="95"/>
        <v>0</v>
      </c>
    </row>
    <row r="121" spans="1:51" x14ac:dyDescent="0.35">
      <c r="A121">
        <v>115</v>
      </c>
      <c r="C121">
        <f>MAX(0,Calc!$C$7-SUM(D121:R121))</f>
        <v>750</v>
      </c>
      <c r="D121">
        <f t="shared" si="49"/>
        <v>0</v>
      </c>
      <c r="E121">
        <f t="shared" si="50"/>
        <v>0</v>
      </c>
      <c r="F121">
        <f t="shared" si="51"/>
        <v>0</v>
      </c>
      <c r="G121">
        <f t="shared" si="52"/>
        <v>0</v>
      </c>
      <c r="H121">
        <f t="shared" si="53"/>
        <v>0</v>
      </c>
      <c r="I121">
        <f t="shared" si="54"/>
        <v>0</v>
      </c>
      <c r="J121">
        <f t="shared" si="55"/>
        <v>0</v>
      </c>
      <c r="K121">
        <f t="shared" si="56"/>
        <v>0</v>
      </c>
      <c r="L121">
        <f t="shared" si="57"/>
        <v>0</v>
      </c>
      <c r="M121">
        <f t="shared" si="58"/>
        <v>0</v>
      </c>
      <c r="N121">
        <f t="shared" si="59"/>
        <v>0</v>
      </c>
      <c r="O121">
        <f t="shared" si="60"/>
        <v>0</v>
      </c>
      <c r="P121">
        <f t="shared" si="61"/>
        <v>0</v>
      </c>
      <c r="Q121">
        <f t="shared" si="62"/>
        <v>0</v>
      </c>
      <c r="R121">
        <f t="shared" si="63"/>
        <v>0</v>
      </c>
      <c r="S121">
        <f t="shared" si="64"/>
        <v>0</v>
      </c>
      <c r="T121">
        <f t="shared" si="65"/>
        <v>0</v>
      </c>
      <c r="U121">
        <f t="shared" si="66"/>
        <v>0</v>
      </c>
      <c r="V121">
        <f t="shared" si="67"/>
        <v>0</v>
      </c>
      <c r="W121">
        <f t="shared" si="68"/>
        <v>0</v>
      </c>
      <c r="X121">
        <f t="shared" si="69"/>
        <v>0</v>
      </c>
      <c r="Y121">
        <f t="shared" si="70"/>
        <v>0</v>
      </c>
      <c r="Z121">
        <f t="shared" si="71"/>
        <v>0</v>
      </c>
      <c r="AA121">
        <f t="shared" si="72"/>
        <v>0</v>
      </c>
      <c r="AB121">
        <f t="shared" si="73"/>
        <v>0</v>
      </c>
      <c r="AC121">
        <f t="shared" si="74"/>
        <v>0</v>
      </c>
      <c r="AD121">
        <f t="shared" si="75"/>
        <v>0</v>
      </c>
      <c r="AE121">
        <f t="shared" si="76"/>
        <v>0</v>
      </c>
      <c r="AF121">
        <f t="shared" si="77"/>
        <v>0</v>
      </c>
      <c r="AG121">
        <f t="shared" si="78"/>
        <v>0</v>
      </c>
      <c r="AH121">
        <f t="shared" si="79"/>
        <v>0</v>
      </c>
      <c r="AI121">
        <f t="shared" si="80"/>
        <v>0</v>
      </c>
      <c r="AJ121">
        <f t="shared" si="81"/>
        <v>0</v>
      </c>
      <c r="AK121">
        <f t="shared" si="82"/>
        <v>0</v>
      </c>
      <c r="AL121">
        <f t="shared" si="83"/>
        <v>0</v>
      </c>
      <c r="AM121">
        <f t="shared" si="84"/>
        <v>0</v>
      </c>
      <c r="AN121">
        <f t="shared" si="85"/>
        <v>0</v>
      </c>
      <c r="AO121">
        <f t="shared" si="86"/>
        <v>0</v>
      </c>
      <c r="AP121">
        <f t="shared" si="87"/>
        <v>0</v>
      </c>
      <c r="AQ121">
        <f t="shared" si="88"/>
        <v>0</v>
      </c>
      <c r="AR121">
        <f t="shared" si="89"/>
        <v>0</v>
      </c>
      <c r="AS121">
        <f t="shared" si="90"/>
        <v>0</v>
      </c>
      <c r="AT121">
        <f t="shared" si="91"/>
        <v>0</v>
      </c>
      <c r="AU121">
        <f t="shared" si="92"/>
        <v>0</v>
      </c>
      <c r="AV121">
        <f t="shared" si="93"/>
        <v>0</v>
      </c>
      <c r="AW121">
        <f t="shared" si="48"/>
        <v>0</v>
      </c>
      <c r="AX121">
        <f t="shared" si="94"/>
        <v>0</v>
      </c>
      <c r="AY121">
        <f t="shared" si="95"/>
        <v>0</v>
      </c>
    </row>
    <row r="122" spans="1:51" x14ac:dyDescent="0.35">
      <c r="A122">
        <v>116</v>
      </c>
      <c r="C122">
        <f>MAX(0,Calc!$C$7-SUM(D122:R122))</f>
        <v>750</v>
      </c>
      <c r="D122">
        <f t="shared" si="49"/>
        <v>0</v>
      </c>
      <c r="E122">
        <f t="shared" si="50"/>
        <v>0</v>
      </c>
      <c r="F122">
        <f t="shared" si="51"/>
        <v>0</v>
      </c>
      <c r="G122">
        <f t="shared" si="52"/>
        <v>0</v>
      </c>
      <c r="H122">
        <f t="shared" si="53"/>
        <v>0</v>
      </c>
      <c r="I122">
        <f t="shared" si="54"/>
        <v>0</v>
      </c>
      <c r="J122">
        <f t="shared" si="55"/>
        <v>0</v>
      </c>
      <c r="K122">
        <f t="shared" si="56"/>
        <v>0</v>
      </c>
      <c r="L122">
        <f t="shared" si="57"/>
        <v>0</v>
      </c>
      <c r="M122">
        <f t="shared" si="58"/>
        <v>0</v>
      </c>
      <c r="N122">
        <f t="shared" si="59"/>
        <v>0</v>
      </c>
      <c r="O122">
        <f t="shared" si="60"/>
        <v>0</v>
      </c>
      <c r="P122">
        <f t="shared" si="61"/>
        <v>0</v>
      </c>
      <c r="Q122">
        <f t="shared" si="62"/>
        <v>0</v>
      </c>
      <c r="R122">
        <f t="shared" si="63"/>
        <v>0</v>
      </c>
      <c r="S122">
        <f t="shared" si="64"/>
        <v>0</v>
      </c>
      <c r="T122">
        <f t="shared" si="65"/>
        <v>0</v>
      </c>
      <c r="U122">
        <f t="shared" si="66"/>
        <v>0</v>
      </c>
      <c r="V122">
        <f t="shared" si="67"/>
        <v>0</v>
      </c>
      <c r="W122">
        <f t="shared" si="68"/>
        <v>0</v>
      </c>
      <c r="X122">
        <f t="shared" si="69"/>
        <v>0</v>
      </c>
      <c r="Y122">
        <f t="shared" si="70"/>
        <v>0</v>
      </c>
      <c r="Z122">
        <f t="shared" si="71"/>
        <v>0</v>
      </c>
      <c r="AA122">
        <f t="shared" si="72"/>
        <v>0</v>
      </c>
      <c r="AB122">
        <f t="shared" si="73"/>
        <v>0</v>
      </c>
      <c r="AC122">
        <f t="shared" si="74"/>
        <v>0</v>
      </c>
      <c r="AD122">
        <f t="shared" si="75"/>
        <v>0</v>
      </c>
      <c r="AE122">
        <f t="shared" si="76"/>
        <v>0</v>
      </c>
      <c r="AF122">
        <f t="shared" si="77"/>
        <v>0</v>
      </c>
      <c r="AG122">
        <f t="shared" si="78"/>
        <v>0</v>
      </c>
      <c r="AH122">
        <f t="shared" si="79"/>
        <v>0</v>
      </c>
      <c r="AI122">
        <f t="shared" si="80"/>
        <v>0</v>
      </c>
      <c r="AJ122">
        <f t="shared" si="81"/>
        <v>0</v>
      </c>
      <c r="AK122">
        <f t="shared" si="82"/>
        <v>0</v>
      </c>
      <c r="AL122">
        <f t="shared" si="83"/>
        <v>0</v>
      </c>
      <c r="AM122">
        <f t="shared" si="84"/>
        <v>0</v>
      </c>
      <c r="AN122">
        <f t="shared" si="85"/>
        <v>0</v>
      </c>
      <c r="AO122">
        <f t="shared" si="86"/>
        <v>0</v>
      </c>
      <c r="AP122">
        <f t="shared" si="87"/>
        <v>0</v>
      </c>
      <c r="AQ122">
        <f t="shared" si="88"/>
        <v>0</v>
      </c>
      <c r="AR122">
        <f t="shared" si="89"/>
        <v>0</v>
      </c>
      <c r="AS122">
        <f t="shared" si="90"/>
        <v>0</v>
      </c>
      <c r="AT122">
        <f t="shared" si="91"/>
        <v>0</v>
      </c>
      <c r="AU122">
        <f t="shared" si="92"/>
        <v>0</v>
      </c>
      <c r="AV122">
        <f t="shared" si="93"/>
        <v>0</v>
      </c>
      <c r="AW122">
        <f t="shared" si="48"/>
        <v>0</v>
      </c>
      <c r="AX122">
        <f t="shared" si="94"/>
        <v>0</v>
      </c>
      <c r="AY122">
        <f t="shared" si="95"/>
        <v>0</v>
      </c>
    </row>
    <row r="123" spans="1:51" x14ac:dyDescent="0.35">
      <c r="A123">
        <v>117</v>
      </c>
      <c r="C123">
        <f>MAX(0,Calc!$C$7-SUM(D123:R123))</f>
        <v>750</v>
      </c>
      <c r="D123">
        <f t="shared" si="49"/>
        <v>0</v>
      </c>
      <c r="E123">
        <f t="shared" si="50"/>
        <v>0</v>
      </c>
      <c r="F123">
        <f t="shared" si="51"/>
        <v>0</v>
      </c>
      <c r="G123">
        <f t="shared" si="52"/>
        <v>0</v>
      </c>
      <c r="H123">
        <f t="shared" si="53"/>
        <v>0</v>
      </c>
      <c r="I123">
        <f t="shared" si="54"/>
        <v>0</v>
      </c>
      <c r="J123">
        <f t="shared" si="55"/>
        <v>0</v>
      </c>
      <c r="K123">
        <f t="shared" si="56"/>
        <v>0</v>
      </c>
      <c r="L123">
        <f t="shared" si="57"/>
        <v>0</v>
      </c>
      <c r="M123">
        <f t="shared" si="58"/>
        <v>0</v>
      </c>
      <c r="N123">
        <f t="shared" si="59"/>
        <v>0</v>
      </c>
      <c r="O123">
        <f t="shared" si="60"/>
        <v>0</v>
      </c>
      <c r="P123">
        <f t="shared" si="61"/>
        <v>0</v>
      </c>
      <c r="Q123">
        <f t="shared" si="62"/>
        <v>0</v>
      </c>
      <c r="R123">
        <f t="shared" si="63"/>
        <v>0</v>
      </c>
      <c r="S123">
        <f t="shared" si="64"/>
        <v>0</v>
      </c>
      <c r="T123">
        <f t="shared" si="65"/>
        <v>0</v>
      </c>
      <c r="U123">
        <f t="shared" si="66"/>
        <v>0</v>
      </c>
      <c r="V123">
        <f t="shared" si="67"/>
        <v>0</v>
      </c>
      <c r="W123">
        <f t="shared" si="68"/>
        <v>0</v>
      </c>
      <c r="X123">
        <f t="shared" si="69"/>
        <v>0</v>
      </c>
      <c r="Y123">
        <f t="shared" si="70"/>
        <v>0</v>
      </c>
      <c r="Z123">
        <f t="shared" si="71"/>
        <v>0</v>
      </c>
      <c r="AA123">
        <f t="shared" si="72"/>
        <v>0</v>
      </c>
      <c r="AB123">
        <f t="shared" si="73"/>
        <v>0</v>
      </c>
      <c r="AC123">
        <f t="shared" si="74"/>
        <v>0</v>
      </c>
      <c r="AD123">
        <f t="shared" si="75"/>
        <v>0</v>
      </c>
      <c r="AE123">
        <f t="shared" si="76"/>
        <v>0</v>
      </c>
      <c r="AF123">
        <f t="shared" si="77"/>
        <v>0</v>
      </c>
      <c r="AG123">
        <f t="shared" si="78"/>
        <v>0</v>
      </c>
      <c r="AH123">
        <f t="shared" si="79"/>
        <v>0</v>
      </c>
      <c r="AI123">
        <f t="shared" si="80"/>
        <v>0</v>
      </c>
      <c r="AJ123">
        <f t="shared" si="81"/>
        <v>0</v>
      </c>
      <c r="AK123">
        <f t="shared" si="82"/>
        <v>0</v>
      </c>
      <c r="AL123">
        <f t="shared" si="83"/>
        <v>0</v>
      </c>
      <c r="AM123">
        <f t="shared" si="84"/>
        <v>0</v>
      </c>
      <c r="AN123">
        <f t="shared" si="85"/>
        <v>0</v>
      </c>
      <c r="AO123">
        <f t="shared" si="86"/>
        <v>0</v>
      </c>
      <c r="AP123">
        <f t="shared" si="87"/>
        <v>0</v>
      </c>
      <c r="AQ123">
        <f t="shared" si="88"/>
        <v>0</v>
      </c>
      <c r="AR123">
        <f t="shared" si="89"/>
        <v>0</v>
      </c>
      <c r="AS123">
        <f t="shared" si="90"/>
        <v>0</v>
      </c>
      <c r="AT123">
        <f t="shared" si="91"/>
        <v>0</v>
      </c>
      <c r="AU123">
        <f t="shared" si="92"/>
        <v>0</v>
      </c>
      <c r="AV123">
        <f t="shared" si="93"/>
        <v>0</v>
      </c>
      <c r="AW123">
        <f t="shared" si="48"/>
        <v>0</v>
      </c>
      <c r="AX123">
        <f t="shared" si="94"/>
        <v>0</v>
      </c>
      <c r="AY123">
        <f t="shared" si="95"/>
        <v>0</v>
      </c>
    </row>
    <row r="124" spans="1:51" x14ac:dyDescent="0.35">
      <c r="A124">
        <v>118</v>
      </c>
      <c r="C124">
        <f>MAX(0,Calc!$C$7-SUM(D124:R124))</f>
        <v>750</v>
      </c>
      <c r="D124">
        <f t="shared" si="49"/>
        <v>0</v>
      </c>
      <c r="E124">
        <f t="shared" si="50"/>
        <v>0</v>
      </c>
      <c r="F124">
        <f t="shared" si="51"/>
        <v>0</v>
      </c>
      <c r="G124">
        <f t="shared" si="52"/>
        <v>0</v>
      </c>
      <c r="H124">
        <f t="shared" si="53"/>
        <v>0</v>
      </c>
      <c r="I124">
        <f t="shared" si="54"/>
        <v>0</v>
      </c>
      <c r="J124">
        <f t="shared" si="55"/>
        <v>0</v>
      </c>
      <c r="K124">
        <f t="shared" si="56"/>
        <v>0</v>
      </c>
      <c r="L124">
        <f t="shared" si="57"/>
        <v>0</v>
      </c>
      <c r="M124">
        <f t="shared" si="58"/>
        <v>0</v>
      </c>
      <c r="N124">
        <f t="shared" si="59"/>
        <v>0</v>
      </c>
      <c r="O124">
        <f t="shared" si="60"/>
        <v>0</v>
      </c>
      <c r="P124">
        <f t="shared" si="61"/>
        <v>0</v>
      </c>
      <c r="Q124">
        <f t="shared" si="62"/>
        <v>0</v>
      </c>
      <c r="R124">
        <f t="shared" si="63"/>
        <v>0</v>
      </c>
      <c r="S124">
        <f t="shared" si="64"/>
        <v>0</v>
      </c>
      <c r="T124">
        <f t="shared" si="65"/>
        <v>0</v>
      </c>
      <c r="U124">
        <f t="shared" si="66"/>
        <v>0</v>
      </c>
      <c r="V124">
        <f t="shared" si="67"/>
        <v>0</v>
      </c>
      <c r="W124">
        <f t="shared" si="68"/>
        <v>0</v>
      </c>
      <c r="X124">
        <f t="shared" si="69"/>
        <v>0</v>
      </c>
      <c r="Y124">
        <f t="shared" si="70"/>
        <v>0</v>
      </c>
      <c r="Z124">
        <f t="shared" si="71"/>
        <v>0</v>
      </c>
      <c r="AA124">
        <f t="shared" si="72"/>
        <v>0</v>
      </c>
      <c r="AB124">
        <f t="shared" si="73"/>
        <v>0</v>
      </c>
      <c r="AC124">
        <f t="shared" si="74"/>
        <v>0</v>
      </c>
      <c r="AD124">
        <f t="shared" si="75"/>
        <v>0</v>
      </c>
      <c r="AE124">
        <f t="shared" si="76"/>
        <v>0</v>
      </c>
      <c r="AF124">
        <f t="shared" si="77"/>
        <v>0</v>
      </c>
      <c r="AG124">
        <f t="shared" si="78"/>
        <v>0</v>
      </c>
      <c r="AH124">
        <f t="shared" si="79"/>
        <v>0</v>
      </c>
      <c r="AI124">
        <f t="shared" si="80"/>
        <v>0</v>
      </c>
      <c r="AJ124">
        <f t="shared" si="81"/>
        <v>0</v>
      </c>
      <c r="AK124">
        <f t="shared" si="82"/>
        <v>0</v>
      </c>
      <c r="AL124">
        <f t="shared" si="83"/>
        <v>0</v>
      </c>
      <c r="AM124">
        <f t="shared" si="84"/>
        <v>0</v>
      </c>
      <c r="AN124">
        <f t="shared" si="85"/>
        <v>0</v>
      </c>
      <c r="AO124">
        <f t="shared" si="86"/>
        <v>0</v>
      </c>
      <c r="AP124">
        <f t="shared" si="87"/>
        <v>0</v>
      </c>
      <c r="AQ124">
        <f t="shared" si="88"/>
        <v>0</v>
      </c>
      <c r="AR124">
        <f t="shared" si="89"/>
        <v>0</v>
      </c>
      <c r="AS124">
        <f t="shared" si="90"/>
        <v>0</v>
      </c>
      <c r="AT124">
        <f t="shared" si="91"/>
        <v>0</v>
      </c>
      <c r="AU124">
        <f t="shared" si="92"/>
        <v>0</v>
      </c>
      <c r="AV124">
        <f t="shared" si="93"/>
        <v>0</v>
      </c>
      <c r="AW124">
        <f t="shared" si="48"/>
        <v>0</v>
      </c>
      <c r="AX124">
        <f t="shared" si="94"/>
        <v>0</v>
      </c>
      <c r="AY124">
        <f t="shared" si="95"/>
        <v>0</v>
      </c>
    </row>
    <row r="125" spans="1:51" x14ac:dyDescent="0.35">
      <c r="A125">
        <v>119</v>
      </c>
      <c r="C125">
        <f>MAX(0,Calc!$C$7-SUM(D125:R125))</f>
        <v>750</v>
      </c>
      <c r="D125">
        <f t="shared" si="49"/>
        <v>0</v>
      </c>
      <c r="E125">
        <f t="shared" si="50"/>
        <v>0</v>
      </c>
      <c r="F125">
        <f t="shared" si="51"/>
        <v>0</v>
      </c>
      <c r="G125">
        <f t="shared" si="52"/>
        <v>0</v>
      </c>
      <c r="H125">
        <f t="shared" si="53"/>
        <v>0</v>
      </c>
      <c r="I125">
        <f t="shared" si="54"/>
        <v>0</v>
      </c>
      <c r="J125">
        <f t="shared" si="55"/>
        <v>0</v>
      </c>
      <c r="K125">
        <f t="shared" si="56"/>
        <v>0</v>
      </c>
      <c r="L125">
        <f t="shared" si="57"/>
        <v>0</v>
      </c>
      <c r="M125">
        <f t="shared" si="58"/>
        <v>0</v>
      </c>
      <c r="N125">
        <f t="shared" si="59"/>
        <v>0</v>
      </c>
      <c r="O125">
        <f t="shared" si="60"/>
        <v>0</v>
      </c>
      <c r="P125">
        <f t="shared" si="61"/>
        <v>0</v>
      </c>
      <c r="Q125">
        <f t="shared" si="62"/>
        <v>0</v>
      </c>
      <c r="R125">
        <f t="shared" si="63"/>
        <v>0</v>
      </c>
      <c r="S125">
        <f t="shared" si="64"/>
        <v>0</v>
      </c>
      <c r="T125">
        <f t="shared" si="65"/>
        <v>0</v>
      </c>
      <c r="U125">
        <f t="shared" si="66"/>
        <v>0</v>
      </c>
      <c r="V125">
        <f t="shared" si="67"/>
        <v>0</v>
      </c>
      <c r="W125">
        <f t="shared" si="68"/>
        <v>0</v>
      </c>
      <c r="X125">
        <f t="shared" si="69"/>
        <v>0</v>
      </c>
      <c r="Y125">
        <f t="shared" si="70"/>
        <v>0</v>
      </c>
      <c r="Z125">
        <f t="shared" si="71"/>
        <v>0</v>
      </c>
      <c r="AA125">
        <f t="shared" si="72"/>
        <v>0</v>
      </c>
      <c r="AB125">
        <f t="shared" si="73"/>
        <v>0</v>
      </c>
      <c r="AC125">
        <f t="shared" si="74"/>
        <v>0</v>
      </c>
      <c r="AD125">
        <f t="shared" si="75"/>
        <v>0</v>
      </c>
      <c r="AE125">
        <f t="shared" si="76"/>
        <v>0</v>
      </c>
      <c r="AF125">
        <f t="shared" si="77"/>
        <v>0</v>
      </c>
      <c r="AG125">
        <f t="shared" si="78"/>
        <v>0</v>
      </c>
      <c r="AH125">
        <f t="shared" si="79"/>
        <v>0</v>
      </c>
      <c r="AI125">
        <f t="shared" si="80"/>
        <v>0</v>
      </c>
      <c r="AJ125">
        <f t="shared" si="81"/>
        <v>0</v>
      </c>
      <c r="AK125">
        <f t="shared" si="82"/>
        <v>0</v>
      </c>
      <c r="AL125">
        <f t="shared" si="83"/>
        <v>0</v>
      </c>
      <c r="AM125">
        <f t="shared" si="84"/>
        <v>0</v>
      </c>
      <c r="AN125">
        <f t="shared" si="85"/>
        <v>0</v>
      </c>
      <c r="AO125">
        <f t="shared" si="86"/>
        <v>0</v>
      </c>
      <c r="AP125">
        <f t="shared" si="87"/>
        <v>0</v>
      </c>
      <c r="AQ125">
        <f t="shared" si="88"/>
        <v>0</v>
      </c>
      <c r="AR125">
        <f t="shared" si="89"/>
        <v>0</v>
      </c>
      <c r="AS125">
        <f t="shared" si="90"/>
        <v>0</v>
      </c>
      <c r="AT125">
        <f t="shared" si="91"/>
        <v>0</v>
      </c>
      <c r="AU125">
        <f t="shared" si="92"/>
        <v>0</v>
      </c>
      <c r="AV125">
        <f t="shared" si="93"/>
        <v>0</v>
      </c>
      <c r="AW125">
        <f t="shared" si="48"/>
        <v>0</v>
      </c>
      <c r="AX125">
        <f t="shared" si="94"/>
        <v>0</v>
      </c>
      <c r="AY125">
        <f t="shared" si="95"/>
        <v>0</v>
      </c>
    </row>
    <row r="126" spans="1:51" x14ac:dyDescent="0.35">
      <c r="A126">
        <v>120</v>
      </c>
      <c r="C126">
        <f>MAX(0,Calc!$C$7-SUM(D126:R126))</f>
        <v>750</v>
      </c>
      <c r="D126">
        <f t="shared" si="49"/>
        <v>0</v>
      </c>
      <c r="E126">
        <f t="shared" si="50"/>
        <v>0</v>
      </c>
      <c r="F126">
        <f t="shared" si="51"/>
        <v>0</v>
      </c>
      <c r="G126">
        <f t="shared" si="52"/>
        <v>0</v>
      </c>
      <c r="H126">
        <f t="shared" si="53"/>
        <v>0</v>
      </c>
      <c r="I126">
        <f t="shared" si="54"/>
        <v>0</v>
      </c>
      <c r="J126">
        <f t="shared" si="55"/>
        <v>0</v>
      </c>
      <c r="K126">
        <f t="shared" si="56"/>
        <v>0</v>
      </c>
      <c r="L126">
        <f t="shared" si="57"/>
        <v>0</v>
      </c>
      <c r="M126">
        <f t="shared" si="58"/>
        <v>0</v>
      </c>
      <c r="N126">
        <f t="shared" si="59"/>
        <v>0</v>
      </c>
      <c r="O126">
        <f t="shared" si="60"/>
        <v>0</v>
      </c>
      <c r="P126">
        <f t="shared" si="61"/>
        <v>0</v>
      </c>
      <c r="Q126">
        <f t="shared" si="62"/>
        <v>0</v>
      </c>
      <c r="R126">
        <f t="shared" si="63"/>
        <v>0</v>
      </c>
      <c r="S126">
        <f t="shared" si="64"/>
        <v>0</v>
      </c>
      <c r="T126">
        <f t="shared" si="65"/>
        <v>0</v>
      </c>
      <c r="U126">
        <f t="shared" si="66"/>
        <v>0</v>
      </c>
      <c r="V126">
        <f t="shared" si="67"/>
        <v>0</v>
      </c>
      <c r="W126">
        <f t="shared" si="68"/>
        <v>0</v>
      </c>
      <c r="X126">
        <f t="shared" si="69"/>
        <v>0</v>
      </c>
      <c r="Y126">
        <f t="shared" si="70"/>
        <v>0</v>
      </c>
      <c r="Z126">
        <f t="shared" si="71"/>
        <v>0</v>
      </c>
      <c r="AA126">
        <f t="shared" si="72"/>
        <v>0</v>
      </c>
      <c r="AB126">
        <f t="shared" si="73"/>
        <v>0</v>
      </c>
      <c r="AC126">
        <f t="shared" si="74"/>
        <v>0</v>
      </c>
      <c r="AD126">
        <f t="shared" si="75"/>
        <v>0</v>
      </c>
      <c r="AE126">
        <f t="shared" si="76"/>
        <v>0</v>
      </c>
      <c r="AF126">
        <f t="shared" si="77"/>
        <v>0</v>
      </c>
      <c r="AG126">
        <f t="shared" si="78"/>
        <v>0</v>
      </c>
      <c r="AH126">
        <f t="shared" si="79"/>
        <v>0</v>
      </c>
      <c r="AI126">
        <f t="shared" si="80"/>
        <v>0</v>
      </c>
      <c r="AJ126">
        <f t="shared" si="81"/>
        <v>0</v>
      </c>
      <c r="AK126">
        <f t="shared" si="82"/>
        <v>0</v>
      </c>
      <c r="AL126">
        <f t="shared" si="83"/>
        <v>0</v>
      </c>
      <c r="AM126">
        <f t="shared" si="84"/>
        <v>0</v>
      </c>
      <c r="AN126">
        <f t="shared" si="85"/>
        <v>0</v>
      </c>
      <c r="AO126">
        <f t="shared" si="86"/>
        <v>0</v>
      </c>
      <c r="AP126">
        <f t="shared" si="87"/>
        <v>0</v>
      </c>
      <c r="AQ126">
        <f t="shared" si="88"/>
        <v>0</v>
      </c>
      <c r="AR126">
        <f t="shared" si="89"/>
        <v>0</v>
      </c>
      <c r="AS126">
        <f t="shared" si="90"/>
        <v>0</v>
      </c>
      <c r="AT126">
        <f t="shared" si="91"/>
        <v>0</v>
      </c>
      <c r="AU126">
        <f t="shared" si="92"/>
        <v>0</v>
      </c>
      <c r="AV126">
        <f t="shared" si="93"/>
        <v>0</v>
      </c>
      <c r="AW126">
        <f t="shared" si="48"/>
        <v>0</v>
      </c>
      <c r="AX126">
        <f t="shared" si="94"/>
        <v>0</v>
      </c>
      <c r="AY126">
        <f t="shared" si="95"/>
        <v>0</v>
      </c>
    </row>
    <row r="127" spans="1:51" x14ac:dyDescent="0.35">
      <c r="A127">
        <v>121</v>
      </c>
      <c r="C127">
        <f>MAX(0,Calc!$C$7-SUM(D127:R127))</f>
        <v>750</v>
      </c>
      <c r="D127">
        <f t="shared" si="49"/>
        <v>0</v>
      </c>
      <c r="E127">
        <f t="shared" si="50"/>
        <v>0</v>
      </c>
      <c r="F127">
        <f t="shared" si="51"/>
        <v>0</v>
      </c>
      <c r="G127">
        <f t="shared" si="52"/>
        <v>0</v>
      </c>
      <c r="H127">
        <f t="shared" si="53"/>
        <v>0</v>
      </c>
      <c r="I127">
        <f t="shared" si="54"/>
        <v>0</v>
      </c>
      <c r="J127">
        <f t="shared" si="55"/>
        <v>0</v>
      </c>
      <c r="K127">
        <f t="shared" si="56"/>
        <v>0</v>
      </c>
      <c r="L127">
        <f t="shared" si="57"/>
        <v>0</v>
      </c>
      <c r="M127">
        <f t="shared" si="58"/>
        <v>0</v>
      </c>
      <c r="N127">
        <f t="shared" si="59"/>
        <v>0</v>
      </c>
      <c r="O127">
        <f t="shared" si="60"/>
        <v>0</v>
      </c>
      <c r="P127">
        <f t="shared" si="61"/>
        <v>0</v>
      </c>
      <c r="Q127">
        <f t="shared" si="62"/>
        <v>0</v>
      </c>
      <c r="R127">
        <f t="shared" si="63"/>
        <v>0</v>
      </c>
      <c r="S127">
        <f t="shared" si="64"/>
        <v>0</v>
      </c>
      <c r="T127">
        <f t="shared" si="65"/>
        <v>0</v>
      </c>
      <c r="U127">
        <f t="shared" si="66"/>
        <v>0</v>
      </c>
      <c r="V127">
        <f t="shared" si="67"/>
        <v>0</v>
      </c>
      <c r="W127">
        <f t="shared" si="68"/>
        <v>0</v>
      </c>
      <c r="X127">
        <f t="shared" si="69"/>
        <v>0</v>
      </c>
      <c r="Y127">
        <f t="shared" si="70"/>
        <v>0</v>
      </c>
      <c r="Z127">
        <f t="shared" si="71"/>
        <v>0</v>
      </c>
      <c r="AA127">
        <f t="shared" si="72"/>
        <v>0</v>
      </c>
      <c r="AB127">
        <f t="shared" si="73"/>
        <v>0</v>
      </c>
      <c r="AC127">
        <f t="shared" si="74"/>
        <v>0</v>
      </c>
      <c r="AD127">
        <f t="shared" si="75"/>
        <v>0</v>
      </c>
      <c r="AE127">
        <f t="shared" si="76"/>
        <v>0</v>
      </c>
      <c r="AF127">
        <f t="shared" si="77"/>
        <v>0</v>
      </c>
      <c r="AG127">
        <f t="shared" si="78"/>
        <v>0</v>
      </c>
      <c r="AH127">
        <f t="shared" si="79"/>
        <v>0</v>
      </c>
      <c r="AI127">
        <f t="shared" si="80"/>
        <v>0</v>
      </c>
      <c r="AJ127">
        <f t="shared" si="81"/>
        <v>0</v>
      </c>
      <c r="AK127">
        <f t="shared" si="82"/>
        <v>0</v>
      </c>
      <c r="AL127">
        <f t="shared" si="83"/>
        <v>0</v>
      </c>
      <c r="AM127">
        <f t="shared" si="84"/>
        <v>0</v>
      </c>
      <c r="AN127">
        <f t="shared" si="85"/>
        <v>0</v>
      </c>
      <c r="AO127">
        <f t="shared" si="86"/>
        <v>0</v>
      </c>
      <c r="AP127">
        <f t="shared" si="87"/>
        <v>0</v>
      </c>
      <c r="AQ127">
        <f t="shared" si="88"/>
        <v>0</v>
      </c>
      <c r="AR127">
        <f t="shared" si="89"/>
        <v>0</v>
      </c>
      <c r="AS127">
        <f t="shared" si="90"/>
        <v>0</v>
      </c>
      <c r="AT127">
        <f t="shared" si="91"/>
        <v>0</v>
      </c>
      <c r="AU127">
        <f t="shared" si="92"/>
        <v>0</v>
      </c>
      <c r="AV127">
        <f t="shared" si="93"/>
        <v>0</v>
      </c>
      <c r="AW127">
        <f t="shared" si="48"/>
        <v>0</v>
      </c>
      <c r="AX127">
        <f t="shared" si="94"/>
        <v>0</v>
      </c>
      <c r="AY127">
        <f t="shared" si="95"/>
        <v>0</v>
      </c>
    </row>
    <row r="128" spans="1:51" x14ac:dyDescent="0.35">
      <c r="A128">
        <v>122</v>
      </c>
      <c r="C128">
        <f>MAX(0,Calc!$C$7-SUM(D128:R128))</f>
        <v>750</v>
      </c>
      <c r="D128">
        <f t="shared" si="49"/>
        <v>0</v>
      </c>
      <c r="E128">
        <f t="shared" si="50"/>
        <v>0</v>
      </c>
      <c r="F128">
        <f t="shared" si="51"/>
        <v>0</v>
      </c>
      <c r="G128">
        <f t="shared" si="52"/>
        <v>0</v>
      </c>
      <c r="H128">
        <f t="shared" si="53"/>
        <v>0</v>
      </c>
      <c r="I128">
        <f t="shared" si="54"/>
        <v>0</v>
      </c>
      <c r="J128">
        <f t="shared" si="55"/>
        <v>0</v>
      </c>
      <c r="K128">
        <f t="shared" si="56"/>
        <v>0</v>
      </c>
      <c r="L128">
        <f t="shared" si="57"/>
        <v>0</v>
      </c>
      <c r="M128">
        <f t="shared" si="58"/>
        <v>0</v>
      </c>
      <c r="N128">
        <f t="shared" si="59"/>
        <v>0</v>
      </c>
      <c r="O128">
        <f t="shared" si="60"/>
        <v>0</v>
      </c>
      <c r="P128">
        <f t="shared" si="61"/>
        <v>0</v>
      </c>
      <c r="Q128">
        <f t="shared" si="62"/>
        <v>0</v>
      </c>
      <c r="R128">
        <f t="shared" si="63"/>
        <v>0</v>
      </c>
      <c r="S128">
        <f t="shared" si="64"/>
        <v>0</v>
      </c>
      <c r="T128">
        <f t="shared" si="65"/>
        <v>0</v>
      </c>
      <c r="U128">
        <f t="shared" si="66"/>
        <v>0</v>
      </c>
      <c r="V128">
        <f t="shared" si="67"/>
        <v>0</v>
      </c>
      <c r="W128">
        <f t="shared" si="68"/>
        <v>0</v>
      </c>
      <c r="X128">
        <f t="shared" si="69"/>
        <v>0</v>
      </c>
      <c r="Y128">
        <f t="shared" si="70"/>
        <v>0</v>
      </c>
      <c r="Z128">
        <f t="shared" si="71"/>
        <v>0</v>
      </c>
      <c r="AA128">
        <f t="shared" si="72"/>
        <v>0</v>
      </c>
      <c r="AB128">
        <f t="shared" si="73"/>
        <v>0</v>
      </c>
      <c r="AC128">
        <f t="shared" si="74"/>
        <v>0</v>
      </c>
      <c r="AD128">
        <f t="shared" si="75"/>
        <v>0</v>
      </c>
      <c r="AE128">
        <f t="shared" si="76"/>
        <v>0</v>
      </c>
      <c r="AF128">
        <f t="shared" si="77"/>
        <v>0</v>
      </c>
      <c r="AG128">
        <f t="shared" si="78"/>
        <v>0</v>
      </c>
      <c r="AH128">
        <f t="shared" si="79"/>
        <v>0</v>
      </c>
      <c r="AI128">
        <f t="shared" si="80"/>
        <v>0</v>
      </c>
      <c r="AJ128">
        <f t="shared" si="81"/>
        <v>0</v>
      </c>
      <c r="AK128">
        <f t="shared" si="82"/>
        <v>0</v>
      </c>
      <c r="AL128">
        <f t="shared" si="83"/>
        <v>0</v>
      </c>
      <c r="AM128">
        <f t="shared" si="84"/>
        <v>0</v>
      </c>
      <c r="AN128">
        <f t="shared" si="85"/>
        <v>0</v>
      </c>
      <c r="AO128">
        <f t="shared" si="86"/>
        <v>0</v>
      </c>
      <c r="AP128">
        <f t="shared" si="87"/>
        <v>0</v>
      </c>
      <c r="AQ128">
        <f t="shared" si="88"/>
        <v>0</v>
      </c>
      <c r="AR128">
        <f t="shared" si="89"/>
        <v>0</v>
      </c>
      <c r="AS128">
        <f t="shared" si="90"/>
        <v>0</v>
      </c>
      <c r="AT128">
        <f t="shared" si="91"/>
        <v>0</v>
      </c>
      <c r="AU128">
        <f t="shared" si="92"/>
        <v>0</v>
      </c>
      <c r="AV128">
        <f t="shared" si="93"/>
        <v>0</v>
      </c>
      <c r="AW128">
        <f t="shared" si="48"/>
        <v>0</v>
      </c>
      <c r="AX128">
        <f t="shared" si="94"/>
        <v>0</v>
      </c>
      <c r="AY128">
        <f t="shared" si="95"/>
        <v>0</v>
      </c>
    </row>
    <row r="129" spans="1:51" x14ac:dyDescent="0.35">
      <c r="A129">
        <v>123</v>
      </c>
      <c r="C129">
        <f>MAX(0,Calc!$C$7-SUM(D129:R129))</f>
        <v>750</v>
      </c>
      <c r="D129">
        <f t="shared" si="49"/>
        <v>0</v>
      </c>
      <c r="E129">
        <f t="shared" si="50"/>
        <v>0</v>
      </c>
      <c r="F129">
        <f t="shared" si="51"/>
        <v>0</v>
      </c>
      <c r="G129">
        <f t="shared" si="52"/>
        <v>0</v>
      </c>
      <c r="H129">
        <f t="shared" si="53"/>
        <v>0</v>
      </c>
      <c r="I129">
        <f t="shared" si="54"/>
        <v>0</v>
      </c>
      <c r="J129">
        <f t="shared" si="55"/>
        <v>0</v>
      </c>
      <c r="K129">
        <f t="shared" si="56"/>
        <v>0</v>
      </c>
      <c r="L129">
        <f t="shared" si="57"/>
        <v>0</v>
      </c>
      <c r="M129">
        <f t="shared" si="58"/>
        <v>0</v>
      </c>
      <c r="N129">
        <f t="shared" si="59"/>
        <v>0</v>
      </c>
      <c r="O129">
        <f t="shared" si="60"/>
        <v>0</v>
      </c>
      <c r="P129">
        <f t="shared" si="61"/>
        <v>0</v>
      </c>
      <c r="Q129">
        <f t="shared" si="62"/>
        <v>0</v>
      </c>
      <c r="R129">
        <f t="shared" si="63"/>
        <v>0</v>
      </c>
      <c r="S129">
        <f t="shared" si="64"/>
        <v>0</v>
      </c>
      <c r="T129">
        <f t="shared" si="65"/>
        <v>0</v>
      </c>
      <c r="U129">
        <f t="shared" si="66"/>
        <v>0</v>
      </c>
      <c r="V129">
        <f t="shared" si="67"/>
        <v>0</v>
      </c>
      <c r="W129">
        <f t="shared" si="68"/>
        <v>0</v>
      </c>
      <c r="X129">
        <f t="shared" si="69"/>
        <v>0</v>
      </c>
      <c r="Y129">
        <f t="shared" si="70"/>
        <v>0</v>
      </c>
      <c r="Z129">
        <f t="shared" si="71"/>
        <v>0</v>
      </c>
      <c r="AA129">
        <f t="shared" si="72"/>
        <v>0</v>
      </c>
      <c r="AB129">
        <f t="shared" si="73"/>
        <v>0</v>
      </c>
      <c r="AC129">
        <f t="shared" si="74"/>
        <v>0</v>
      </c>
      <c r="AD129">
        <f t="shared" si="75"/>
        <v>0</v>
      </c>
      <c r="AE129">
        <f t="shared" si="76"/>
        <v>0</v>
      </c>
      <c r="AF129">
        <f t="shared" si="77"/>
        <v>0</v>
      </c>
      <c r="AG129">
        <f t="shared" si="78"/>
        <v>0</v>
      </c>
      <c r="AH129">
        <f t="shared" si="79"/>
        <v>0</v>
      </c>
      <c r="AI129">
        <f t="shared" si="80"/>
        <v>0</v>
      </c>
      <c r="AJ129">
        <f t="shared" si="81"/>
        <v>0</v>
      </c>
      <c r="AK129">
        <f t="shared" si="82"/>
        <v>0</v>
      </c>
      <c r="AL129">
        <f t="shared" si="83"/>
        <v>0</v>
      </c>
      <c r="AM129">
        <f t="shared" si="84"/>
        <v>0</v>
      </c>
      <c r="AN129">
        <f t="shared" si="85"/>
        <v>0</v>
      </c>
      <c r="AO129">
        <f t="shared" si="86"/>
        <v>0</v>
      </c>
      <c r="AP129">
        <f t="shared" si="87"/>
        <v>0</v>
      </c>
      <c r="AQ129">
        <f t="shared" si="88"/>
        <v>0</v>
      </c>
      <c r="AR129">
        <f t="shared" si="89"/>
        <v>0</v>
      </c>
      <c r="AS129">
        <f t="shared" si="90"/>
        <v>0</v>
      </c>
      <c r="AT129">
        <f t="shared" si="91"/>
        <v>0</v>
      </c>
      <c r="AU129">
        <f t="shared" si="92"/>
        <v>0</v>
      </c>
      <c r="AV129">
        <f t="shared" si="93"/>
        <v>0</v>
      </c>
      <c r="AW129">
        <f t="shared" si="48"/>
        <v>0</v>
      </c>
      <c r="AX129">
        <f t="shared" si="94"/>
        <v>0</v>
      </c>
      <c r="AY129">
        <f t="shared" si="95"/>
        <v>0</v>
      </c>
    </row>
    <row r="130" spans="1:51" x14ac:dyDescent="0.35">
      <c r="A130">
        <v>124</v>
      </c>
      <c r="C130">
        <f>MAX(0,Calc!$C$7-SUM(D130:R130))</f>
        <v>750</v>
      </c>
      <c r="D130">
        <f t="shared" si="49"/>
        <v>0</v>
      </c>
      <c r="E130">
        <f t="shared" si="50"/>
        <v>0</v>
      </c>
      <c r="F130">
        <f t="shared" si="51"/>
        <v>0</v>
      </c>
      <c r="G130">
        <f t="shared" si="52"/>
        <v>0</v>
      </c>
      <c r="H130">
        <f t="shared" si="53"/>
        <v>0</v>
      </c>
      <c r="I130">
        <f t="shared" si="54"/>
        <v>0</v>
      </c>
      <c r="J130">
        <f t="shared" si="55"/>
        <v>0</v>
      </c>
      <c r="K130">
        <f t="shared" si="56"/>
        <v>0</v>
      </c>
      <c r="L130">
        <f t="shared" si="57"/>
        <v>0</v>
      </c>
      <c r="M130">
        <f t="shared" si="58"/>
        <v>0</v>
      </c>
      <c r="N130">
        <f t="shared" si="59"/>
        <v>0</v>
      </c>
      <c r="O130">
        <f t="shared" si="60"/>
        <v>0</v>
      </c>
      <c r="P130">
        <f t="shared" si="61"/>
        <v>0</v>
      </c>
      <c r="Q130">
        <f t="shared" si="62"/>
        <v>0</v>
      </c>
      <c r="R130">
        <f t="shared" si="63"/>
        <v>0</v>
      </c>
      <c r="S130">
        <f t="shared" si="64"/>
        <v>0</v>
      </c>
      <c r="T130">
        <f t="shared" si="65"/>
        <v>0</v>
      </c>
      <c r="U130">
        <f t="shared" si="66"/>
        <v>0</v>
      </c>
      <c r="V130">
        <f t="shared" si="67"/>
        <v>0</v>
      </c>
      <c r="W130">
        <f t="shared" si="68"/>
        <v>0</v>
      </c>
      <c r="X130">
        <f t="shared" si="69"/>
        <v>0</v>
      </c>
      <c r="Y130">
        <f t="shared" si="70"/>
        <v>0</v>
      </c>
      <c r="Z130">
        <f t="shared" si="71"/>
        <v>0</v>
      </c>
      <c r="AA130">
        <f t="shared" si="72"/>
        <v>0</v>
      </c>
      <c r="AB130">
        <f t="shared" si="73"/>
        <v>0</v>
      </c>
      <c r="AC130">
        <f t="shared" si="74"/>
        <v>0</v>
      </c>
      <c r="AD130">
        <f t="shared" si="75"/>
        <v>0</v>
      </c>
      <c r="AE130">
        <f t="shared" si="76"/>
        <v>0</v>
      </c>
      <c r="AF130">
        <f t="shared" si="77"/>
        <v>0</v>
      </c>
      <c r="AG130">
        <f t="shared" si="78"/>
        <v>0</v>
      </c>
      <c r="AH130">
        <f t="shared" si="79"/>
        <v>0</v>
      </c>
      <c r="AI130">
        <f t="shared" si="80"/>
        <v>0</v>
      </c>
      <c r="AJ130">
        <f t="shared" si="81"/>
        <v>0</v>
      </c>
      <c r="AK130">
        <f t="shared" si="82"/>
        <v>0</v>
      </c>
      <c r="AL130">
        <f t="shared" si="83"/>
        <v>0</v>
      </c>
      <c r="AM130">
        <f t="shared" si="84"/>
        <v>0</v>
      </c>
      <c r="AN130">
        <f t="shared" si="85"/>
        <v>0</v>
      </c>
      <c r="AO130">
        <f t="shared" si="86"/>
        <v>0</v>
      </c>
      <c r="AP130">
        <f t="shared" si="87"/>
        <v>0</v>
      </c>
      <c r="AQ130">
        <f t="shared" si="88"/>
        <v>0</v>
      </c>
      <c r="AR130">
        <f t="shared" si="89"/>
        <v>0</v>
      </c>
      <c r="AS130">
        <f t="shared" si="90"/>
        <v>0</v>
      </c>
      <c r="AT130">
        <f t="shared" si="91"/>
        <v>0</v>
      </c>
      <c r="AU130">
        <f t="shared" si="92"/>
        <v>0</v>
      </c>
      <c r="AV130">
        <f t="shared" si="93"/>
        <v>0</v>
      </c>
      <c r="AW130">
        <f t="shared" si="48"/>
        <v>0</v>
      </c>
      <c r="AX130">
        <f t="shared" si="94"/>
        <v>0</v>
      </c>
      <c r="AY130">
        <f t="shared" si="95"/>
        <v>0</v>
      </c>
    </row>
    <row r="131" spans="1:51" x14ac:dyDescent="0.35">
      <c r="A131">
        <v>125</v>
      </c>
      <c r="C131">
        <f>MAX(0,Calc!$C$7-SUM(D131:R131))</f>
        <v>750</v>
      </c>
      <c r="D131">
        <f t="shared" si="49"/>
        <v>0</v>
      </c>
      <c r="E131">
        <f t="shared" si="50"/>
        <v>0</v>
      </c>
      <c r="F131">
        <f t="shared" si="51"/>
        <v>0</v>
      </c>
      <c r="G131">
        <f t="shared" si="52"/>
        <v>0</v>
      </c>
      <c r="H131">
        <f t="shared" si="53"/>
        <v>0</v>
      </c>
      <c r="I131">
        <f t="shared" si="54"/>
        <v>0</v>
      </c>
      <c r="J131">
        <f t="shared" si="55"/>
        <v>0</v>
      </c>
      <c r="K131">
        <f t="shared" si="56"/>
        <v>0</v>
      </c>
      <c r="L131">
        <f t="shared" si="57"/>
        <v>0</v>
      </c>
      <c r="M131">
        <f t="shared" si="58"/>
        <v>0</v>
      </c>
      <c r="N131">
        <f t="shared" si="59"/>
        <v>0</v>
      </c>
      <c r="O131">
        <f t="shared" si="60"/>
        <v>0</v>
      </c>
      <c r="P131">
        <f t="shared" si="61"/>
        <v>0</v>
      </c>
      <c r="Q131">
        <f t="shared" si="62"/>
        <v>0</v>
      </c>
      <c r="R131">
        <f t="shared" si="63"/>
        <v>0</v>
      </c>
      <c r="S131">
        <f t="shared" si="64"/>
        <v>0</v>
      </c>
      <c r="T131">
        <f t="shared" si="65"/>
        <v>0</v>
      </c>
      <c r="U131">
        <f t="shared" si="66"/>
        <v>0</v>
      </c>
      <c r="V131">
        <f t="shared" si="67"/>
        <v>0</v>
      </c>
      <c r="W131">
        <f t="shared" si="68"/>
        <v>0</v>
      </c>
      <c r="X131">
        <f t="shared" si="69"/>
        <v>0</v>
      </c>
      <c r="Y131">
        <f t="shared" si="70"/>
        <v>0</v>
      </c>
      <c r="Z131">
        <f t="shared" si="71"/>
        <v>0</v>
      </c>
      <c r="AA131">
        <f t="shared" si="72"/>
        <v>0</v>
      </c>
      <c r="AB131">
        <f t="shared" si="73"/>
        <v>0</v>
      </c>
      <c r="AC131">
        <f t="shared" si="74"/>
        <v>0</v>
      </c>
      <c r="AD131">
        <f t="shared" si="75"/>
        <v>0</v>
      </c>
      <c r="AE131">
        <f t="shared" si="76"/>
        <v>0</v>
      </c>
      <c r="AF131">
        <f t="shared" si="77"/>
        <v>0</v>
      </c>
      <c r="AG131">
        <f t="shared" si="78"/>
        <v>0</v>
      </c>
      <c r="AH131">
        <f t="shared" si="79"/>
        <v>0</v>
      </c>
      <c r="AI131">
        <f t="shared" si="80"/>
        <v>0</v>
      </c>
      <c r="AJ131">
        <f t="shared" si="81"/>
        <v>0</v>
      </c>
      <c r="AK131">
        <f t="shared" si="82"/>
        <v>0</v>
      </c>
      <c r="AL131">
        <f t="shared" si="83"/>
        <v>0</v>
      </c>
      <c r="AM131">
        <f t="shared" si="84"/>
        <v>0</v>
      </c>
      <c r="AN131">
        <f t="shared" si="85"/>
        <v>0</v>
      </c>
      <c r="AO131">
        <f t="shared" si="86"/>
        <v>0</v>
      </c>
      <c r="AP131">
        <f t="shared" si="87"/>
        <v>0</v>
      </c>
      <c r="AQ131">
        <f t="shared" si="88"/>
        <v>0</v>
      </c>
      <c r="AR131">
        <f t="shared" si="89"/>
        <v>0</v>
      </c>
      <c r="AS131">
        <f t="shared" si="90"/>
        <v>0</v>
      </c>
      <c r="AT131">
        <f t="shared" si="91"/>
        <v>0</v>
      </c>
      <c r="AU131">
        <f t="shared" si="92"/>
        <v>0</v>
      </c>
      <c r="AV131">
        <f t="shared" si="93"/>
        <v>0</v>
      </c>
      <c r="AW131">
        <f t="shared" si="48"/>
        <v>0</v>
      </c>
      <c r="AX131">
        <f t="shared" si="94"/>
        <v>0</v>
      </c>
      <c r="AY131">
        <f t="shared" si="95"/>
        <v>0</v>
      </c>
    </row>
    <row r="132" spans="1:51" x14ac:dyDescent="0.35">
      <c r="A132">
        <v>126</v>
      </c>
      <c r="C132">
        <f>MAX(0,Calc!$C$7-SUM(D132:R132))</f>
        <v>750</v>
      </c>
      <c r="D132">
        <f t="shared" si="49"/>
        <v>0</v>
      </c>
      <c r="E132">
        <f t="shared" si="50"/>
        <v>0</v>
      </c>
      <c r="F132">
        <f t="shared" si="51"/>
        <v>0</v>
      </c>
      <c r="G132">
        <f t="shared" si="52"/>
        <v>0</v>
      </c>
      <c r="H132">
        <f t="shared" si="53"/>
        <v>0</v>
      </c>
      <c r="I132">
        <f t="shared" si="54"/>
        <v>0</v>
      </c>
      <c r="J132">
        <f t="shared" si="55"/>
        <v>0</v>
      </c>
      <c r="K132">
        <f t="shared" si="56"/>
        <v>0</v>
      </c>
      <c r="L132">
        <f t="shared" si="57"/>
        <v>0</v>
      </c>
      <c r="M132">
        <f t="shared" si="58"/>
        <v>0</v>
      </c>
      <c r="N132">
        <f t="shared" si="59"/>
        <v>0</v>
      </c>
      <c r="O132">
        <f t="shared" si="60"/>
        <v>0</v>
      </c>
      <c r="P132">
        <f t="shared" si="61"/>
        <v>0</v>
      </c>
      <c r="Q132">
        <f t="shared" si="62"/>
        <v>0</v>
      </c>
      <c r="R132">
        <f t="shared" si="63"/>
        <v>0</v>
      </c>
      <c r="S132">
        <f t="shared" si="64"/>
        <v>0</v>
      </c>
      <c r="T132">
        <f t="shared" si="65"/>
        <v>0</v>
      </c>
      <c r="U132">
        <f t="shared" si="66"/>
        <v>0</v>
      </c>
      <c r="V132">
        <f t="shared" si="67"/>
        <v>0</v>
      </c>
      <c r="W132">
        <f t="shared" si="68"/>
        <v>0</v>
      </c>
      <c r="X132">
        <f t="shared" si="69"/>
        <v>0</v>
      </c>
      <c r="Y132">
        <f t="shared" si="70"/>
        <v>0</v>
      </c>
      <c r="Z132">
        <f t="shared" si="71"/>
        <v>0</v>
      </c>
      <c r="AA132">
        <f t="shared" si="72"/>
        <v>0</v>
      </c>
      <c r="AB132">
        <f t="shared" si="73"/>
        <v>0</v>
      </c>
      <c r="AC132">
        <f t="shared" si="74"/>
        <v>0</v>
      </c>
      <c r="AD132">
        <f t="shared" si="75"/>
        <v>0</v>
      </c>
      <c r="AE132">
        <f t="shared" si="76"/>
        <v>0</v>
      </c>
      <c r="AF132">
        <f t="shared" si="77"/>
        <v>0</v>
      </c>
      <c r="AG132">
        <f t="shared" si="78"/>
        <v>0</v>
      </c>
      <c r="AH132">
        <f t="shared" si="79"/>
        <v>0</v>
      </c>
      <c r="AI132">
        <f t="shared" si="80"/>
        <v>0</v>
      </c>
      <c r="AJ132">
        <f t="shared" si="81"/>
        <v>0</v>
      </c>
      <c r="AK132">
        <f t="shared" si="82"/>
        <v>0</v>
      </c>
      <c r="AL132">
        <f t="shared" si="83"/>
        <v>0</v>
      </c>
      <c r="AM132">
        <f t="shared" si="84"/>
        <v>0</v>
      </c>
      <c r="AN132">
        <f t="shared" si="85"/>
        <v>0</v>
      </c>
      <c r="AO132">
        <f t="shared" si="86"/>
        <v>0</v>
      </c>
      <c r="AP132">
        <f t="shared" si="87"/>
        <v>0</v>
      </c>
      <c r="AQ132">
        <f t="shared" si="88"/>
        <v>0</v>
      </c>
      <c r="AR132">
        <f t="shared" si="89"/>
        <v>0</v>
      </c>
      <c r="AS132">
        <f t="shared" si="90"/>
        <v>0</v>
      </c>
      <c r="AT132">
        <f t="shared" si="91"/>
        <v>0</v>
      </c>
      <c r="AU132">
        <f t="shared" si="92"/>
        <v>0</v>
      </c>
      <c r="AV132">
        <f t="shared" si="93"/>
        <v>0</v>
      </c>
      <c r="AW132">
        <f t="shared" si="48"/>
        <v>0</v>
      </c>
      <c r="AX132">
        <f t="shared" si="94"/>
        <v>0</v>
      </c>
      <c r="AY132">
        <f t="shared" si="95"/>
        <v>0</v>
      </c>
    </row>
    <row r="133" spans="1:51" x14ac:dyDescent="0.35">
      <c r="A133">
        <v>127</v>
      </c>
      <c r="C133">
        <f>MAX(0,Calc!$C$7-SUM(D133:R133))</f>
        <v>750</v>
      </c>
      <c r="D133">
        <f t="shared" si="49"/>
        <v>0</v>
      </c>
      <c r="E133">
        <f t="shared" si="50"/>
        <v>0</v>
      </c>
      <c r="F133">
        <f t="shared" si="51"/>
        <v>0</v>
      </c>
      <c r="G133">
        <f t="shared" si="52"/>
        <v>0</v>
      </c>
      <c r="H133">
        <f t="shared" si="53"/>
        <v>0</v>
      </c>
      <c r="I133">
        <f t="shared" si="54"/>
        <v>0</v>
      </c>
      <c r="J133">
        <f t="shared" si="55"/>
        <v>0</v>
      </c>
      <c r="K133">
        <f t="shared" si="56"/>
        <v>0</v>
      </c>
      <c r="L133">
        <f t="shared" si="57"/>
        <v>0</v>
      </c>
      <c r="M133">
        <f t="shared" si="58"/>
        <v>0</v>
      </c>
      <c r="N133">
        <f t="shared" si="59"/>
        <v>0</v>
      </c>
      <c r="O133">
        <f t="shared" si="60"/>
        <v>0</v>
      </c>
      <c r="P133">
        <f t="shared" si="61"/>
        <v>0</v>
      </c>
      <c r="Q133">
        <f t="shared" si="62"/>
        <v>0</v>
      </c>
      <c r="R133">
        <f t="shared" si="63"/>
        <v>0</v>
      </c>
      <c r="S133">
        <f t="shared" si="64"/>
        <v>0</v>
      </c>
      <c r="T133">
        <f t="shared" si="65"/>
        <v>0</v>
      </c>
      <c r="U133">
        <f t="shared" si="66"/>
        <v>0</v>
      </c>
      <c r="V133">
        <f t="shared" si="67"/>
        <v>0</v>
      </c>
      <c r="W133">
        <f t="shared" si="68"/>
        <v>0</v>
      </c>
      <c r="X133">
        <f t="shared" si="69"/>
        <v>0</v>
      </c>
      <c r="Y133">
        <f t="shared" si="70"/>
        <v>0</v>
      </c>
      <c r="Z133">
        <f t="shared" si="71"/>
        <v>0</v>
      </c>
      <c r="AA133">
        <f t="shared" si="72"/>
        <v>0</v>
      </c>
      <c r="AB133">
        <f t="shared" si="73"/>
        <v>0</v>
      </c>
      <c r="AC133">
        <f t="shared" si="74"/>
        <v>0</v>
      </c>
      <c r="AD133">
        <f t="shared" si="75"/>
        <v>0</v>
      </c>
      <c r="AE133">
        <f t="shared" si="76"/>
        <v>0</v>
      </c>
      <c r="AF133">
        <f t="shared" si="77"/>
        <v>0</v>
      </c>
      <c r="AG133">
        <f t="shared" si="78"/>
        <v>0</v>
      </c>
      <c r="AH133">
        <f t="shared" si="79"/>
        <v>0</v>
      </c>
      <c r="AI133">
        <f t="shared" si="80"/>
        <v>0</v>
      </c>
      <c r="AJ133">
        <f t="shared" si="81"/>
        <v>0</v>
      </c>
      <c r="AK133">
        <f t="shared" si="82"/>
        <v>0</v>
      </c>
      <c r="AL133">
        <f t="shared" si="83"/>
        <v>0</v>
      </c>
      <c r="AM133">
        <f t="shared" si="84"/>
        <v>0</v>
      </c>
      <c r="AN133">
        <f t="shared" si="85"/>
        <v>0</v>
      </c>
      <c r="AO133">
        <f t="shared" si="86"/>
        <v>0</v>
      </c>
      <c r="AP133">
        <f t="shared" si="87"/>
        <v>0</v>
      </c>
      <c r="AQ133">
        <f t="shared" si="88"/>
        <v>0</v>
      </c>
      <c r="AR133">
        <f t="shared" si="89"/>
        <v>0</v>
      </c>
      <c r="AS133">
        <f t="shared" si="90"/>
        <v>0</v>
      </c>
      <c r="AT133">
        <f t="shared" si="91"/>
        <v>0</v>
      </c>
      <c r="AU133">
        <f t="shared" si="92"/>
        <v>0</v>
      </c>
      <c r="AV133">
        <f t="shared" si="93"/>
        <v>0</v>
      </c>
      <c r="AW133">
        <f t="shared" si="48"/>
        <v>0</v>
      </c>
      <c r="AX133">
        <f t="shared" si="94"/>
        <v>0</v>
      </c>
      <c r="AY133">
        <f t="shared" si="95"/>
        <v>0</v>
      </c>
    </row>
    <row r="134" spans="1:51" x14ac:dyDescent="0.35">
      <c r="A134">
        <v>128</v>
      </c>
      <c r="C134">
        <f>MAX(0,Calc!$C$7-SUM(D134:R134))</f>
        <v>750</v>
      </c>
      <c r="D134">
        <f t="shared" si="49"/>
        <v>0</v>
      </c>
      <c r="E134">
        <f t="shared" si="50"/>
        <v>0</v>
      </c>
      <c r="F134">
        <f t="shared" si="51"/>
        <v>0</v>
      </c>
      <c r="G134">
        <f t="shared" si="52"/>
        <v>0</v>
      </c>
      <c r="H134">
        <f t="shared" si="53"/>
        <v>0</v>
      </c>
      <c r="I134">
        <f t="shared" si="54"/>
        <v>0</v>
      </c>
      <c r="J134">
        <f t="shared" si="55"/>
        <v>0</v>
      </c>
      <c r="K134">
        <f t="shared" si="56"/>
        <v>0</v>
      </c>
      <c r="L134">
        <f t="shared" si="57"/>
        <v>0</v>
      </c>
      <c r="M134">
        <f t="shared" si="58"/>
        <v>0</v>
      </c>
      <c r="N134">
        <f t="shared" si="59"/>
        <v>0</v>
      </c>
      <c r="O134">
        <f t="shared" si="60"/>
        <v>0</v>
      </c>
      <c r="P134">
        <f t="shared" si="61"/>
        <v>0</v>
      </c>
      <c r="Q134">
        <f t="shared" si="62"/>
        <v>0</v>
      </c>
      <c r="R134">
        <f t="shared" si="63"/>
        <v>0</v>
      </c>
      <c r="S134">
        <f t="shared" si="64"/>
        <v>0</v>
      </c>
      <c r="T134">
        <f t="shared" si="65"/>
        <v>0</v>
      </c>
      <c r="U134">
        <f t="shared" si="66"/>
        <v>0</v>
      </c>
      <c r="V134">
        <f t="shared" si="67"/>
        <v>0</v>
      </c>
      <c r="W134">
        <f t="shared" si="68"/>
        <v>0</v>
      </c>
      <c r="X134">
        <f t="shared" si="69"/>
        <v>0</v>
      </c>
      <c r="Y134">
        <f t="shared" si="70"/>
        <v>0</v>
      </c>
      <c r="Z134">
        <f t="shared" si="71"/>
        <v>0</v>
      </c>
      <c r="AA134">
        <f t="shared" si="72"/>
        <v>0</v>
      </c>
      <c r="AB134">
        <f t="shared" si="73"/>
        <v>0</v>
      </c>
      <c r="AC134">
        <f t="shared" si="74"/>
        <v>0</v>
      </c>
      <c r="AD134">
        <f t="shared" si="75"/>
        <v>0</v>
      </c>
      <c r="AE134">
        <f t="shared" si="76"/>
        <v>0</v>
      </c>
      <c r="AF134">
        <f t="shared" si="77"/>
        <v>0</v>
      </c>
      <c r="AG134">
        <f t="shared" si="78"/>
        <v>0</v>
      </c>
      <c r="AH134">
        <f t="shared" si="79"/>
        <v>0</v>
      </c>
      <c r="AI134">
        <f t="shared" si="80"/>
        <v>0</v>
      </c>
      <c r="AJ134">
        <f t="shared" si="81"/>
        <v>0</v>
      </c>
      <c r="AK134">
        <f t="shared" si="82"/>
        <v>0</v>
      </c>
      <c r="AL134">
        <f t="shared" si="83"/>
        <v>0</v>
      </c>
      <c r="AM134">
        <f t="shared" si="84"/>
        <v>0</v>
      </c>
      <c r="AN134">
        <f t="shared" si="85"/>
        <v>0</v>
      </c>
      <c r="AO134">
        <f t="shared" si="86"/>
        <v>0</v>
      </c>
      <c r="AP134">
        <f t="shared" si="87"/>
        <v>0</v>
      </c>
      <c r="AQ134">
        <f t="shared" si="88"/>
        <v>0</v>
      </c>
      <c r="AR134">
        <f t="shared" si="89"/>
        <v>0</v>
      </c>
      <c r="AS134">
        <f t="shared" si="90"/>
        <v>0</v>
      </c>
      <c r="AT134">
        <f t="shared" si="91"/>
        <v>0</v>
      </c>
      <c r="AU134">
        <f t="shared" si="92"/>
        <v>0</v>
      </c>
      <c r="AV134">
        <f t="shared" si="93"/>
        <v>0</v>
      </c>
      <c r="AW134">
        <f t="shared" ref="AW134:AW197" si="96">SUM(AH134:AV134)</f>
        <v>0</v>
      </c>
      <c r="AX134">
        <f t="shared" si="94"/>
        <v>0</v>
      </c>
      <c r="AY134">
        <f t="shared" si="95"/>
        <v>0</v>
      </c>
    </row>
    <row r="135" spans="1:51" x14ac:dyDescent="0.35">
      <c r="A135">
        <v>129</v>
      </c>
      <c r="C135">
        <f>MAX(0,Calc!$C$7-SUM(D135:R135))</f>
        <v>750</v>
      </c>
      <c r="D135">
        <f t="shared" ref="D135:D198" si="97">IF(AH134&lt;0.005,0,MIN((AH134+ROUND(AH134*AH$3,2)),AH$4))</f>
        <v>0</v>
      </c>
      <c r="E135">
        <f t="shared" ref="E135:E198" si="98">IF(AI134&lt;0.005,0,MIN((AI134+ROUND(AI134*AI$3,2)),AI$4))</f>
        <v>0</v>
      </c>
      <c r="F135">
        <f t="shared" ref="F135:F198" si="99">IF(AJ134&lt;0.005,0,MIN((AJ134+ROUND(AJ134*AJ$3,2)),AJ$4))</f>
        <v>0</v>
      </c>
      <c r="G135">
        <f t="shared" ref="G135:G198" si="100">IF(AK134&lt;0.005,0,MIN((AK134+ROUND(AK134*AK$3,2)),AK$4))</f>
        <v>0</v>
      </c>
      <c r="H135">
        <f t="shared" ref="H135:H198" si="101">IF(AL134&lt;0.005,0,MIN((AL134+ROUND(AL134*AL$3,2)),AL$4))</f>
        <v>0</v>
      </c>
      <c r="I135">
        <f t="shared" ref="I135:I198" si="102">IF(AM134&lt;0.005,0,MIN((AM134+ROUND(AM134*AM$3,2)),AM$4))</f>
        <v>0</v>
      </c>
      <c r="J135">
        <f t="shared" ref="J135:J198" si="103">IF(AN134&lt;0.005,0,MIN((AN134+ROUND(AN134*AN$3,2)),AN$4))</f>
        <v>0</v>
      </c>
      <c r="K135">
        <f t="shared" ref="K135:K198" si="104">IF(AO134&lt;0.005,0,MIN((AO134+ROUND(AO134*AO$3,2)),AO$4))</f>
        <v>0</v>
      </c>
      <c r="L135">
        <f t="shared" ref="L135:L198" si="105">IF(AP134&lt;0.005,0,MIN((AP134+ROUND(AP134*AP$3,2)),AP$4))</f>
        <v>0</v>
      </c>
      <c r="M135">
        <f t="shared" ref="M135:M198" si="106">IF(AQ134&lt;0.005,0,MIN((AQ134+ROUND(AQ134*AQ$3,2)),AQ$4))</f>
        <v>0</v>
      </c>
      <c r="N135">
        <f t="shared" ref="N135:N198" si="107">IF(AR134&lt;0.005,0,MIN((AR134+ROUND(AR134*AR$3,2)),AR$4))</f>
        <v>0</v>
      </c>
      <c r="O135">
        <f t="shared" ref="O135:O198" si="108">IF(AS134&lt;0.005,0,MIN((AS134+ROUND(AS134*AS$3,2)),AS$4))</f>
        <v>0</v>
      </c>
      <c r="P135">
        <f t="shared" ref="P135:P198" si="109">IF(AT134&lt;0.005,0,MIN((AT134+ROUND(AT134*AT$3,2)),AT$4))</f>
        <v>0</v>
      </c>
      <c r="Q135">
        <f t="shared" ref="Q135:Q198" si="110">IF(AU134&lt;0.005,0,MIN((AU134+ROUND(AU134*AU$3,2)),AU$4))</f>
        <v>0</v>
      </c>
      <c r="R135">
        <f t="shared" ref="R135:R198" si="111">IF(AV134&lt;0.005,0,MIN((AV134+ROUND(AV134*AV$3,2)),AV$4))</f>
        <v>0</v>
      </c>
      <c r="S135">
        <f t="shared" ref="S135:S198" si="112">IF(AH134&lt;0.005,0,MIN((AH134+ROUND(AH134*AH$3,2))-D135,MAX(0,$C135)))</f>
        <v>0</v>
      </c>
      <c r="T135">
        <f t="shared" ref="T135:T198" si="113">IF(AI134&lt;0.005,0,MIN((AI134+ROUND(AI134*AI$3,2))-E135,MAX(0,$C135-SUM(S135:S135))))</f>
        <v>0</v>
      </c>
      <c r="U135">
        <f t="shared" ref="U135:U198" si="114">IF(AJ134&lt;0.005,0,MIN((AJ134+ROUND(AJ134*AJ$3,2))-F135,MAX(0,$C135-SUM(S135:T135))))</f>
        <v>0</v>
      </c>
      <c r="V135">
        <f t="shared" ref="V135:V198" si="115">IF(AK134&lt;0.005,0,MIN((AK134+ROUND(AK134*AK$3,2))-G135,MAX(0,$C135-SUM(S135:U135))))</f>
        <v>0</v>
      </c>
      <c r="W135">
        <f t="shared" ref="W135:W198" si="116">IF(AL134&lt;0.005,0,MIN((AL134+ROUND(AL134*AL$3,2))-H135,MAX(0,$C135-SUM(S135:V135))))</f>
        <v>0</v>
      </c>
      <c r="X135">
        <f t="shared" ref="X135:X198" si="117">IF(AM134&lt;0.005,0,MIN((AM134+ROUND(AM134*AM$3,2))-I135,MAX(0,$C135-SUM(S135:W135))))</f>
        <v>0</v>
      </c>
      <c r="Y135">
        <f t="shared" ref="Y135:Y198" si="118">IF(AN134&lt;0.005,0,MIN((AN134+ROUND(AN134*AN$3,2))-J135,MAX(0,$C135-SUM(S135:X135))))</f>
        <v>0</v>
      </c>
      <c r="Z135">
        <f t="shared" ref="Z135:Z198" si="119">IF(AO134&lt;0.005,0,MIN((AO134+ROUND(AO134*AO$3,2))-K135,MAX(0,$C135-SUM(S135:Y135))))</f>
        <v>0</v>
      </c>
      <c r="AA135">
        <f t="shared" ref="AA135:AA198" si="120">IF(AP134&lt;0.005,0,MIN((AP134+ROUND(AP134*AP$3,2))-L135,MAX(0,$C135-SUM(S135:Z135))))</f>
        <v>0</v>
      </c>
      <c r="AB135">
        <f t="shared" ref="AB135:AB198" si="121">IF(AQ134&lt;0.005,0,MIN((AQ134+ROUND(AQ134*AQ$3,2))-M135,MAX(0,$C135-SUM(S135:AA135))))</f>
        <v>0</v>
      </c>
      <c r="AC135">
        <f t="shared" ref="AC135:AC198" si="122">IF(AR134&lt;0.005,0,MIN((AR134+ROUND(AR134*AR$3,2))-N135,MAX(0,$C135-SUM(S135:AB135))))</f>
        <v>0</v>
      </c>
      <c r="AD135">
        <f t="shared" ref="AD135:AD198" si="123">IF(AS134&lt;0.005,0,MIN((AS134+ROUND(AS134*AS$3,2))-O135,MAX(0,$C135-SUM(S135:AC135))))</f>
        <v>0</v>
      </c>
      <c r="AE135">
        <f t="shared" ref="AE135:AE198" si="124">IF(AT134&lt;0.005,0,MIN((AT134+ROUND(AT134*AT$3,2))-P135,MAX(0,$C135-SUM(S135:AD135))))</f>
        <v>0</v>
      </c>
      <c r="AF135">
        <f t="shared" ref="AF135:AF198" si="125">IF(AU134&lt;0.005,0,MIN((AU134+ROUND(AU134*AU$3,2))-Q135,MAX(0,$C135-SUM(S135:AE135))))</f>
        <v>0</v>
      </c>
      <c r="AG135">
        <f t="shared" ref="AG135:AG198" si="126">IF(AV134&lt;0.005,0,MIN((AV134+ROUND(AV134*AV$3,2))-R135,MAX(0,$C135-SUM(S135:AF135))))</f>
        <v>0</v>
      </c>
      <c r="AH135">
        <f t="shared" ref="AH135:AH198" si="127">IF(AH134&lt;0.005,0,ROUND((AH134+ROUND(AH134*AH$3,2))-D135-S135,2))</f>
        <v>0</v>
      </c>
      <c r="AI135">
        <f t="shared" ref="AI135:AI198" si="128">IF(AI134&lt;0.005,0,ROUND((AI134+ROUND(AI134*AI$3,2))-E135-T135,2))</f>
        <v>0</v>
      </c>
      <c r="AJ135">
        <f t="shared" ref="AJ135:AJ198" si="129">IF(AJ134&lt;0.005,0,ROUND((AJ134+ROUND(AJ134*AJ$3,2))-F135-U135,2))</f>
        <v>0</v>
      </c>
      <c r="AK135">
        <f t="shared" ref="AK135:AK198" si="130">IF(AK134&lt;0.005,0,ROUND((AK134+ROUND(AK134*AK$3,2))-G135-V135,2))</f>
        <v>0</v>
      </c>
      <c r="AL135">
        <f t="shared" ref="AL135:AL198" si="131">IF(AL134&lt;0.005,0,ROUND((AL134+ROUND(AL134*AL$3,2))-H135-W135,2))</f>
        <v>0</v>
      </c>
      <c r="AM135">
        <f t="shared" ref="AM135:AM198" si="132">IF(AM134&lt;0.005,0,ROUND((AM134+ROUND(AM134*AM$3,2))-I135-X135,2))</f>
        <v>0</v>
      </c>
      <c r="AN135">
        <f t="shared" ref="AN135:AN198" si="133">IF(AN134&lt;0.005,0,ROUND((AN134+ROUND(AN134*AN$3,2))-J135-Y135,2))</f>
        <v>0</v>
      </c>
      <c r="AO135">
        <f t="shared" ref="AO135:AO198" si="134">IF(AO134&lt;0.005,0,ROUND((AO134+ROUND(AO134*AO$3,2))-K135-Z135,2))</f>
        <v>0</v>
      </c>
      <c r="AP135">
        <f t="shared" ref="AP135:AP198" si="135">IF(AP134&lt;0.005,0,ROUND((AP134+ROUND(AP134*AP$3,2))-L135-AA135,2))</f>
        <v>0</v>
      </c>
      <c r="AQ135">
        <f t="shared" ref="AQ135:AQ198" si="136">IF(AQ134&lt;0.005,0,ROUND((AQ134+ROUND(AQ134*AQ$3,2))-M135-AB135,2))</f>
        <v>0</v>
      </c>
      <c r="AR135">
        <f t="shared" ref="AR135:AR198" si="137">IF(AR134&lt;0.005,0,ROUND((AR134+ROUND(AR134*AR$3,2))-N135-AC135,2))</f>
        <v>0</v>
      </c>
      <c r="AS135">
        <f t="shared" ref="AS135:AS198" si="138">IF(AS134&lt;0.005,0,ROUND((AS134+ROUND(AS134*AS$3,2))-O135-AD135,2))</f>
        <v>0</v>
      </c>
      <c r="AT135">
        <f t="shared" ref="AT135:AT198" si="139">IF(AT134&lt;0.005,0,ROUND((AT134+ROUND(AT134*AT$3,2))-P135-AE135,2))</f>
        <v>0</v>
      </c>
      <c r="AU135">
        <f t="shared" ref="AU135:AU198" si="140">IF(AU134&lt;0.005,0,ROUND((AU134+ROUND(AU134*AU$3,2))-Q135-AF135,2))</f>
        <v>0</v>
      </c>
      <c r="AV135">
        <f t="shared" ref="AV135:AV198" si="141">IF(AV134&lt;0.005,0,ROUND((AV134+ROUND(AV134*AV$3,2))-R135-AG135,2))</f>
        <v>0</v>
      </c>
      <c r="AW135">
        <f t="shared" si="96"/>
        <v>0</v>
      </c>
      <c r="AX135">
        <f t="shared" ref="AX135:AX198" si="142">SUMPRODUCT(ROUND(AH134:AV134*AH$3:AV$3,2))</f>
        <v>0</v>
      </c>
      <c r="AY135">
        <f t="shared" ref="AY135:AY198" si="143">SUM(D135:AG135)</f>
        <v>0</v>
      </c>
    </row>
    <row r="136" spans="1:51" x14ac:dyDescent="0.35">
      <c r="A136">
        <v>130</v>
      </c>
      <c r="C136">
        <f>MAX(0,Calc!$C$7-SUM(D136:R136))</f>
        <v>750</v>
      </c>
      <c r="D136">
        <f t="shared" si="97"/>
        <v>0</v>
      </c>
      <c r="E136">
        <f t="shared" si="98"/>
        <v>0</v>
      </c>
      <c r="F136">
        <f t="shared" si="99"/>
        <v>0</v>
      </c>
      <c r="G136">
        <f t="shared" si="100"/>
        <v>0</v>
      </c>
      <c r="H136">
        <f t="shared" si="101"/>
        <v>0</v>
      </c>
      <c r="I136">
        <f t="shared" si="102"/>
        <v>0</v>
      </c>
      <c r="J136">
        <f t="shared" si="103"/>
        <v>0</v>
      </c>
      <c r="K136">
        <f t="shared" si="104"/>
        <v>0</v>
      </c>
      <c r="L136">
        <f t="shared" si="105"/>
        <v>0</v>
      </c>
      <c r="M136">
        <f t="shared" si="106"/>
        <v>0</v>
      </c>
      <c r="N136">
        <f t="shared" si="107"/>
        <v>0</v>
      </c>
      <c r="O136">
        <f t="shared" si="108"/>
        <v>0</v>
      </c>
      <c r="P136">
        <f t="shared" si="109"/>
        <v>0</v>
      </c>
      <c r="Q136">
        <f t="shared" si="110"/>
        <v>0</v>
      </c>
      <c r="R136">
        <f t="shared" si="111"/>
        <v>0</v>
      </c>
      <c r="S136">
        <f t="shared" si="112"/>
        <v>0</v>
      </c>
      <c r="T136">
        <f t="shared" si="113"/>
        <v>0</v>
      </c>
      <c r="U136">
        <f t="shared" si="114"/>
        <v>0</v>
      </c>
      <c r="V136">
        <f t="shared" si="115"/>
        <v>0</v>
      </c>
      <c r="W136">
        <f t="shared" si="116"/>
        <v>0</v>
      </c>
      <c r="X136">
        <f t="shared" si="117"/>
        <v>0</v>
      </c>
      <c r="Y136">
        <f t="shared" si="118"/>
        <v>0</v>
      </c>
      <c r="Z136">
        <f t="shared" si="119"/>
        <v>0</v>
      </c>
      <c r="AA136">
        <f t="shared" si="120"/>
        <v>0</v>
      </c>
      <c r="AB136">
        <f t="shared" si="121"/>
        <v>0</v>
      </c>
      <c r="AC136">
        <f t="shared" si="122"/>
        <v>0</v>
      </c>
      <c r="AD136">
        <f t="shared" si="123"/>
        <v>0</v>
      </c>
      <c r="AE136">
        <f t="shared" si="124"/>
        <v>0</v>
      </c>
      <c r="AF136">
        <f t="shared" si="125"/>
        <v>0</v>
      </c>
      <c r="AG136">
        <f t="shared" si="126"/>
        <v>0</v>
      </c>
      <c r="AH136">
        <f t="shared" si="127"/>
        <v>0</v>
      </c>
      <c r="AI136">
        <f t="shared" si="128"/>
        <v>0</v>
      </c>
      <c r="AJ136">
        <f t="shared" si="129"/>
        <v>0</v>
      </c>
      <c r="AK136">
        <f t="shared" si="130"/>
        <v>0</v>
      </c>
      <c r="AL136">
        <f t="shared" si="131"/>
        <v>0</v>
      </c>
      <c r="AM136">
        <f t="shared" si="132"/>
        <v>0</v>
      </c>
      <c r="AN136">
        <f t="shared" si="133"/>
        <v>0</v>
      </c>
      <c r="AO136">
        <f t="shared" si="134"/>
        <v>0</v>
      </c>
      <c r="AP136">
        <f t="shared" si="135"/>
        <v>0</v>
      </c>
      <c r="AQ136">
        <f t="shared" si="136"/>
        <v>0</v>
      </c>
      <c r="AR136">
        <f t="shared" si="137"/>
        <v>0</v>
      </c>
      <c r="AS136">
        <f t="shared" si="138"/>
        <v>0</v>
      </c>
      <c r="AT136">
        <f t="shared" si="139"/>
        <v>0</v>
      </c>
      <c r="AU136">
        <f t="shared" si="140"/>
        <v>0</v>
      </c>
      <c r="AV136">
        <f t="shared" si="141"/>
        <v>0</v>
      </c>
      <c r="AW136">
        <f t="shared" si="96"/>
        <v>0</v>
      </c>
      <c r="AX136">
        <f t="shared" si="142"/>
        <v>0</v>
      </c>
      <c r="AY136">
        <f t="shared" si="143"/>
        <v>0</v>
      </c>
    </row>
    <row r="137" spans="1:51" x14ac:dyDescent="0.35">
      <c r="A137">
        <v>131</v>
      </c>
      <c r="C137">
        <f>MAX(0,Calc!$C$7-SUM(D137:R137))</f>
        <v>750</v>
      </c>
      <c r="D137">
        <f t="shared" si="97"/>
        <v>0</v>
      </c>
      <c r="E137">
        <f t="shared" si="98"/>
        <v>0</v>
      </c>
      <c r="F137">
        <f t="shared" si="99"/>
        <v>0</v>
      </c>
      <c r="G137">
        <f t="shared" si="100"/>
        <v>0</v>
      </c>
      <c r="H137">
        <f t="shared" si="101"/>
        <v>0</v>
      </c>
      <c r="I137">
        <f t="shared" si="102"/>
        <v>0</v>
      </c>
      <c r="J137">
        <f t="shared" si="103"/>
        <v>0</v>
      </c>
      <c r="K137">
        <f t="shared" si="104"/>
        <v>0</v>
      </c>
      <c r="L137">
        <f t="shared" si="105"/>
        <v>0</v>
      </c>
      <c r="M137">
        <f t="shared" si="106"/>
        <v>0</v>
      </c>
      <c r="N137">
        <f t="shared" si="107"/>
        <v>0</v>
      </c>
      <c r="O137">
        <f t="shared" si="108"/>
        <v>0</v>
      </c>
      <c r="P137">
        <f t="shared" si="109"/>
        <v>0</v>
      </c>
      <c r="Q137">
        <f t="shared" si="110"/>
        <v>0</v>
      </c>
      <c r="R137">
        <f t="shared" si="111"/>
        <v>0</v>
      </c>
      <c r="S137">
        <f t="shared" si="112"/>
        <v>0</v>
      </c>
      <c r="T137">
        <f t="shared" si="113"/>
        <v>0</v>
      </c>
      <c r="U137">
        <f t="shared" si="114"/>
        <v>0</v>
      </c>
      <c r="V137">
        <f t="shared" si="115"/>
        <v>0</v>
      </c>
      <c r="W137">
        <f t="shared" si="116"/>
        <v>0</v>
      </c>
      <c r="X137">
        <f t="shared" si="117"/>
        <v>0</v>
      </c>
      <c r="Y137">
        <f t="shared" si="118"/>
        <v>0</v>
      </c>
      <c r="Z137">
        <f t="shared" si="119"/>
        <v>0</v>
      </c>
      <c r="AA137">
        <f t="shared" si="120"/>
        <v>0</v>
      </c>
      <c r="AB137">
        <f t="shared" si="121"/>
        <v>0</v>
      </c>
      <c r="AC137">
        <f t="shared" si="122"/>
        <v>0</v>
      </c>
      <c r="AD137">
        <f t="shared" si="123"/>
        <v>0</v>
      </c>
      <c r="AE137">
        <f t="shared" si="124"/>
        <v>0</v>
      </c>
      <c r="AF137">
        <f t="shared" si="125"/>
        <v>0</v>
      </c>
      <c r="AG137">
        <f t="shared" si="126"/>
        <v>0</v>
      </c>
      <c r="AH137">
        <f t="shared" si="127"/>
        <v>0</v>
      </c>
      <c r="AI137">
        <f t="shared" si="128"/>
        <v>0</v>
      </c>
      <c r="AJ137">
        <f t="shared" si="129"/>
        <v>0</v>
      </c>
      <c r="AK137">
        <f t="shared" si="130"/>
        <v>0</v>
      </c>
      <c r="AL137">
        <f t="shared" si="131"/>
        <v>0</v>
      </c>
      <c r="AM137">
        <f t="shared" si="132"/>
        <v>0</v>
      </c>
      <c r="AN137">
        <f t="shared" si="133"/>
        <v>0</v>
      </c>
      <c r="AO137">
        <f t="shared" si="134"/>
        <v>0</v>
      </c>
      <c r="AP137">
        <f t="shared" si="135"/>
        <v>0</v>
      </c>
      <c r="AQ137">
        <f t="shared" si="136"/>
        <v>0</v>
      </c>
      <c r="AR137">
        <f t="shared" si="137"/>
        <v>0</v>
      </c>
      <c r="AS137">
        <f t="shared" si="138"/>
        <v>0</v>
      </c>
      <c r="AT137">
        <f t="shared" si="139"/>
        <v>0</v>
      </c>
      <c r="AU137">
        <f t="shared" si="140"/>
        <v>0</v>
      </c>
      <c r="AV137">
        <f t="shared" si="141"/>
        <v>0</v>
      </c>
      <c r="AW137">
        <f t="shared" si="96"/>
        <v>0</v>
      </c>
      <c r="AX137">
        <f t="shared" si="142"/>
        <v>0</v>
      </c>
      <c r="AY137">
        <f t="shared" si="143"/>
        <v>0</v>
      </c>
    </row>
    <row r="138" spans="1:51" x14ac:dyDescent="0.35">
      <c r="A138">
        <v>132</v>
      </c>
      <c r="C138">
        <f>MAX(0,Calc!$C$7-SUM(D138:R138))</f>
        <v>750</v>
      </c>
      <c r="D138">
        <f t="shared" si="97"/>
        <v>0</v>
      </c>
      <c r="E138">
        <f t="shared" si="98"/>
        <v>0</v>
      </c>
      <c r="F138">
        <f t="shared" si="99"/>
        <v>0</v>
      </c>
      <c r="G138">
        <f t="shared" si="100"/>
        <v>0</v>
      </c>
      <c r="H138">
        <f t="shared" si="101"/>
        <v>0</v>
      </c>
      <c r="I138">
        <f t="shared" si="102"/>
        <v>0</v>
      </c>
      <c r="J138">
        <f t="shared" si="103"/>
        <v>0</v>
      </c>
      <c r="K138">
        <f t="shared" si="104"/>
        <v>0</v>
      </c>
      <c r="L138">
        <f t="shared" si="105"/>
        <v>0</v>
      </c>
      <c r="M138">
        <f t="shared" si="106"/>
        <v>0</v>
      </c>
      <c r="N138">
        <f t="shared" si="107"/>
        <v>0</v>
      </c>
      <c r="O138">
        <f t="shared" si="108"/>
        <v>0</v>
      </c>
      <c r="P138">
        <f t="shared" si="109"/>
        <v>0</v>
      </c>
      <c r="Q138">
        <f t="shared" si="110"/>
        <v>0</v>
      </c>
      <c r="R138">
        <f t="shared" si="111"/>
        <v>0</v>
      </c>
      <c r="S138">
        <f t="shared" si="112"/>
        <v>0</v>
      </c>
      <c r="T138">
        <f t="shared" si="113"/>
        <v>0</v>
      </c>
      <c r="U138">
        <f t="shared" si="114"/>
        <v>0</v>
      </c>
      <c r="V138">
        <f t="shared" si="115"/>
        <v>0</v>
      </c>
      <c r="W138">
        <f t="shared" si="116"/>
        <v>0</v>
      </c>
      <c r="X138">
        <f t="shared" si="117"/>
        <v>0</v>
      </c>
      <c r="Y138">
        <f t="shared" si="118"/>
        <v>0</v>
      </c>
      <c r="Z138">
        <f t="shared" si="119"/>
        <v>0</v>
      </c>
      <c r="AA138">
        <f t="shared" si="120"/>
        <v>0</v>
      </c>
      <c r="AB138">
        <f t="shared" si="121"/>
        <v>0</v>
      </c>
      <c r="AC138">
        <f t="shared" si="122"/>
        <v>0</v>
      </c>
      <c r="AD138">
        <f t="shared" si="123"/>
        <v>0</v>
      </c>
      <c r="AE138">
        <f t="shared" si="124"/>
        <v>0</v>
      </c>
      <c r="AF138">
        <f t="shared" si="125"/>
        <v>0</v>
      </c>
      <c r="AG138">
        <f t="shared" si="126"/>
        <v>0</v>
      </c>
      <c r="AH138">
        <f t="shared" si="127"/>
        <v>0</v>
      </c>
      <c r="AI138">
        <f t="shared" si="128"/>
        <v>0</v>
      </c>
      <c r="AJ138">
        <f t="shared" si="129"/>
        <v>0</v>
      </c>
      <c r="AK138">
        <f t="shared" si="130"/>
        <v>0</v>
      </c>
      <c r="AL138">
        <f t="shared" si="131"/>
        <v>0</v>
      </c>
      <c r="AM138">
        <f t="shared" si="132"/>
        <v>0</v>
      </c>
      <c r="AN138">
        <f t="shared" si="133"/>
        <v>0</v>
      </c>
      <c r="AO138">
        <f t="shared" si="134"/>
        <v>0</v>
      </c>
      <c r="AP138">
        <f t="shared" si="135"/>
        <v>0</v>
      </c>
      <c r="AQ138">
        <f t="shared" si="136"/>
        <v>0</v>
      </c>
      <c r="AR138">
        <f t="shared" si="137"/>
        <v>0</v>
      </c>
      <c r="AS138">
        <f t="shared" si="138"/>
        <v>0</v>
      </c>
      <c r="AT138">
        <f t="shared" si="139"/>
        <v>0</v>
      </c>
      <c r="AU138">
        <f t="shared" si="140"/>
        <v>0</v>
      </c>
      <c r="AV138">
        <f t="shared" si="141"/>
        <v>0</v>
      </c>
      <c r="AW138">
        <f t="shared" si="96"/>
        <v>0</v>
      </c>
      <c r="AX138">
        <f t="shared" si="142"/>
        <v>0</v>
      </c>
      <c r="AY138">
        <f t="shared" si="143"/>
        <v>0</v>
      </c>
    </row>
    <row r="139" spans="1:51" x14ac:dyDescent="0.35">
      <c r="A139">
        <v>133</v>
      </c>
      <c r="C139">
        <f>MAX(0,Calc!$C$7-SUM(D139:R139))</f>
        <v>750</v>
      </c>
      <c r="D139">
        <f t="shared" si="97"/>
        <v>0</v>
      </c>
      <c r="E139">
        <f t="shared" si="98"/>
        <v>0</v>
      </c>
      <c r="F139">
        <f t="shared" si="99"/>
        <v>0</v>
      </c>
      <c r="G139">
        <f t="shared" si="100"/>
        <v>0</v>
      </c>
      <c r="H139">
        <f t="shared" si="101"/>
        <v>0</v>
      </c>
      <c r="I139">
        <f t="shared" si="102"/>
        <v>0</v>
      </c>
      <c r="J139">
        <f t="shared" si="103"/>
        <v>0</v>
      </c>
      <c r="K139">
        <f t="shared" si="104"/>
        <v>0</v>
      </c>
      <c r="L139">
        <f t="shared" si="105"/>
        <v>0</v>
      </c>
      <c r="M139">
        <f t="shared" si="106"/>
        <v>0</v>
      </c>
      <c r="N139">
        <f t="shared" si="107"/>
        <v>0</v>
      </c>
      <c r="O139">
        <f t="shared" si="108"/>
        <v>0</v>
      </c>
      <c r="P139">
        <f t="shared" si="109"/>
        <v>0</v>
      </c>
      <c r="Q139">
        <f t="shared" si="110"/>
        <v>0</v>
      </c>
      <c r="R139">
        <f t="shared" si="111"/>
        <v>0</v>
      </c>
      <c r="S139">
        <f t="shared" si="112"/>
        <v>0</v>
      </c>
      <c r="T139">
        <f t="shared" si="113"/>
        <v>0</v>
      </c>
      <c r="U139">
        <f t="shared" si="114"/>
        <v>0</v>
      </c>
      <c r="V139">
        <f t="shared" si="115"/>
        <v>0</v>
      </c>
      <c r="W139">
        <f t="shared" si="116"/>
        <v>0</v>
      </c>
      <c r="X139">
        <f t="shared" si="117"/>
        <v>0</v>
      </c>
      <c r="Y139">
        <f t="shared" si="118"/>
        <v>0</v>
      </c>
      <c r="Z139">
        <f t="shared" si="119"/>
        <v>0</v>
      </c>
      <c r="AA139">
        <f t="shared" si="120"/>
        <v>0</v>
      </c>
      <c r="AB139">
        <f t="shared" si="121"/>
        <v>0</v>
      </c>
      <c r="AC139">
        <f t="shared" si="122"/>
        <v>0</v>
      </c>
      <c r="AD139">
        <f t="shared" si="123"/>
        <v>0</v>
      </c>
      <c r="AE139">
        <f t="shared" si="124"/>
        <v>0</v>
      </c>
      <c r="AF139">
        <f t="shared" si="125"/>
        <v>0</v>
      </c>
      <c r="AG139">
        <f t="shared" si="126"/>
        <v>0</v>
      </c>
      <c r="AH139">
        <f t="shared" si="127"/>
        <v>0</v>
      </c>
      <c r="AI139">
        <f t="shared" si="128"/>
        <v>0</v>
      </c>
      <c r="AJ139">
        <f t="shared" si="129"/>
        <v>0</v>
      </c>
      <c r="AK139">
        <f t="shared" si="130"/>
        <v>0</v>
      </c>
      <c r="AL139">
        <f t="shared" si="131"/>
        <v>0</v>
      </c>
      <c r="AM139">
        <f t="shared" si="132"/>
        <v>0</v>
      </c>
      <c r="AN139">
        <f t="shared" si="133"/>
        <v>0</v>
      </c>
      <c r="AO139">
        <f t="shared" si="134"/>
        <v>0</v>
      </c>
      <c r="AP139">
        <f t="shared" si="135"/>
        <v>0</v>
      </c>
      <c r="AQ139">
        <f t="shared" si="136"/>
        <v>0</v>
      </c>
      <c r="AR139">
        <f t="shared" si="137"/>
        <v>0</v>
      </c>
      <c r="AS139">
        <f t="shared" si="138"/>
        <v>0</v>
      </c>
      <c r="AT139">
        <f t="shared" si="139"/>
        <v>0</v>
      </c>
      <c r="AU139">
        <f t="shared" si="140"/>
        <v>0</v>
      </c>
      <c r="AV139">
        <f t="shared" si="141"/>
        <v>0</v>
      </c>
      <c r="AW139">
        <f t="shared" si="96"/>
        <v>0</v>
      </c>
      <c r="AX139">
        <f t="shared" si="142"/>
        <v>0</v>
      </c>
      <c r="AY139">
        <f t="shared" si="143"/>
        <v>0</v>
      </c>
    </row>
    <row r="140" spans="1:51" x14ac:dyDescent="0.35">
      <c r="A140">
        <v>134</v>
      </c>
      <c r="C140">
        <f>MAX(0,Calc!$C$7-SUM(D140:R140))</f>
        <v>750</v>
      </c>
      <c r="D140">
        <f t="shared" si="97"/>
        <v>0</v>
      </c>
      <c r="E140">
        <f t="shared" si="98"/>
        <v>0</v>
      </c>
      <c r="F140">
        <f t="shared" si="99"/>
        <v>0</v>
      </c>
      <c r="G140">
        <f t="shared" si="100"/>
        <v>0</v>
      </c>
      <c r="H140">
        <f t="shared" si="101"/>
        <v>0</v>
      </c>
      <c r="I140">
        <f t="shared" si="102"/>
        <v>0</v>
      </c>
      <c r="J140">
        <f t="shared" si="103"/>
        <v>0</v>
      </c>
      <c r="K140">
        <f t="shared" si="104"/>
        <v>0</v>
      </c>
      <c r="L140">
        <f t="shared" si="105"/>
        <v>0</v>
      </c>
      <c r="M140">
        <f t="shared" si="106"/>
        <v>0</v>
      </c>
      <c r="N140">
        <f t="shared" si="107"/>
        <v>0</v>
      </c>
      <c r="O140">
        <f t="shared" si="108"/>
        <v>0</v>
      </c>
      <c r="P140">
        <f t="shared" si="109"/>
        <v>0</v>
      </c>
      <c r="Q140">
        <f t="shared" si="110"/>
        <v>0</v>
      </c>
      <c r="R140">
        <f t="shared" si="111"/>
        <v>0</v>
      </c>
      <c r="S140">
        <f t="shared" si="112"/>
        <v>0</v>
      </c>
      <c r="T140">
        <f t="shared" si="113"/>
        <v>0</v>
      </c>
      <c r="U140">
        <f t="shared" si="114"/>
        <v>0</v>
      </c>
      <c r="V140">
        <f t="shared" si="115"/>
        <v>0</v>
      </c>
      <c r="W140">
        <f t="shared" si="116"/>
        <v>0</v>
      </c>
      <c r="X140">
        <f t="shared" si="117"/>
        <v>0</v>
      </c>
      <c r="Y140">
        <f t="shared" si="118"/>
        <v>0</v>
      </c>
      <c r="Z140">
        <f t="shared" si="119"/>
        <v>0</v>
      </c>
      <c r="AA140">
        <f t="shared" si="120"/>
        <v>0</v>
      </c>
      <c r="AB140">
        <f t="shared" si="121"/>
        <v>0</v>
      </c>
      <c r="AC140">
        <f t="shared" si="122"/>
        <v>0</v>
      </c>
      <c r="AD140">
        <f t="shared" si="123"/>
        <v>0</v>
      </c>
      <c r="AE140">
        <f t="shared" si="124"/>
        <v>0</v>
      </c>
      <c r="AF140">
        <f t="shared" si="125"/>
        <v>0</v>
      </c>
      <c r="AG140">
        <f t="shared" si="126"/>
        <v>0</v>
      </c>
      <c r="AH140">
        <f t="shared" si="127"/>
        <v>0</v>
      </c>
      <c r="AI140">
        <f t="shared" si="128"/>
        <v>0</v>
      </c>
      <c r="AJ140">
        <f t="shared" si="129"/>
        <v>0</v>
      </c>
      <c r="AK140">
        <f t="shared" si="130"/>
        <v>0</v>
      </c>
      <c r="AL140">
        <f t="shared" si="131"/>
        <v>0</v>
      </c>
      <c r="AM140">
        <f t="shared" si="132"/>
        <v>0</v>
      </c>
      <c r="AN140">
        <f t="shared" si="133"/>
        <v>0</v>
      </c>
      <c r="AO140">
        <f t="shared" si="134"/>
        <v>0</v>
      </c>
      <c r="AP140">
        <f t="shared" si="135"/>
        <v>0</v>
      </c>
      <c r="AQ140">
        <f t="shared" si="136"/>
        <v>0</v>
      </c>
      <c r="AR140">
        <f t="shared" si="137"/>
        <v>0</v>
      </c>
      <c r="AS140">
        <f t="shared" si="138"/>
        <v>0</v>
      </c>
      <c r="AT140">
        <f t="shared" si="139"/>
        <v>0</v>
      </c>
      <c r="AU140">
        <f t="shared" si="140"/>
        <v>0</v>
      </c>
      <c r="AV140">
        <f t="shared" si="141"/>
        <v>0</v>
      </c>
      <c r="AW140">
        <f t="shared" si="96"/>
        <v>0</v>
      </c>
      <c r="AX140">
        <f t="shared" si="142"/>
        <v>0</v>
      </c>
      <c r="AY140">
        <f t="shared" si="143"/>
        <v>0</v>
      </c>
    </row>
    <row r="141" spans="1:51" x14ac:dyDescent="0.35">
      <c r="A141">
        <v>135</v>
      </c>
      <c r="C141">
        <f>MAX(0,Calc!$C$7-SUM(D141:R141))</f>
        <v>750</v>
      </c>
      <c r="D141">
        <f t="shared" si="97"/>
        <v>0</v>
      </c>
      <c r="E141">
        <f t="shared" si="98"/>
        <v>0</v>
      </c>
      <c r="F141">
        <f t="shared" si="99"/>
        <v>0</v>
      </c>
      <c r="G141">
        <f t="shared" si="100"/>
        <v>0</v>
      </c>
      <c r="H141">
        <f t="shared" si="101"/>
        <v>0</v>
      </c>
      <c r="I141">
        <f t="shared" si="102"/>
        <v>0</v>
      </c>
      <c r="J141">
        <f t="shared" si="103"/>
        <v>0</v>
      </c>
      <c r="K141">
        <f t="shared" si="104"/>
        <v>0</v>
      </c>
      <c r="L141">
        <f t="shared" si="105"/>
        <v>0</v>
      </c>
      <c r="M141">
        <f t="shared" si="106"/>
        <v>0</v>
      </c>
      <c r="N141">
        <f t="shared" si="107"/>
        <v>0</v>
      </c>
      <c r="O141">
        <f t="shared" si="108"/>
        <v>0</v>
      </c>
      <c r="P141">
        <f t="shared" si="109"/>
        <v>0</v>
      </c>
      <c r="Q141">
        <f t="shared" si="110"/>
        <v>0</v>
      </c>
      <c r="R141">
        <f t="shared" si="111"/>
        <v>0</v>
      </c>
      <c r="S141">
        <f t="shared" si="112"/>
        <v>0</v>
      </c>
      <c r="T141">
        <f t="shared" si="113"/>
        <v>0</v>
      </c>
      <c r="U141">
        <f t="shared" si="114"/>
        <v>0</v>
      </c>
      <c r="V141">
        <f t="shared" si="115"/>
        <v>0</v>
      </c>
      <c r="W141">
        <f t="shared" si="116"/>
        <v>0</v>
      </c>
      <c r="X141">
        <f t="shared" si="117"/>
        <v>0</v>
      </c>
      <c r="Y141">
        <f t="shared" si="118"/>
        <v>0</v>
      </c>
      <c r="Z141">
        <f t="shared" si="119"/>
        <v>0</v>
      </c>
      <c r="AA141">
        <f t="shared" si="120"/>
        <v>0</v>
      </c>
      <c r="AB141">
        <f t="shared" si="121"/>
        <v>0</v>
      </c>
      <c r="AC141">
        <f t="shared" si="122"/>
        <v>0</v>
      </c>
      <c r="AD141">
        <f t="shared" si="123"/>
        <v>0</v>
      </c>
      <c r="AE141">
        <f t="shared" si="124"/>
        <v>0</v>
      </c>
      <c r="AF141">
        <f t="shared" si="125"/>
        <v>0</v>
      </c>
      <c r="AG141">
        <f t="shared" si="126"/>
        <v>0</v>
      </c>
      <c r="AH141">
        <f t="shared" si="127"/>
        <v>0</v>
      </c>
      <c r="AI141">
        <f t="shared" si="128"/>
        <v>0</v>
      </c>
      <c r="AJ141">
        <f t="shared" si="129"/>
        <v>0</v>
      </c>
      <c r="AK141">
        <f t="shared" si="130"/>
        <v>0</v>
      </c>
      <c r="AL141">
        <f t="shared" si="131"/>
        <v>0</v>
      </c>
      <c r="AM141">
        <f t="shared" si="132"/>
        <v>0</v>
      </c>
      <c r="AN141">
        <f t="shared" si="133"/>
        <v>0</v>
      </c>
      <c r="AO141">
        <f t="shared" si="134"/>
        <v>0</v>
      </c>
      <c r="AP141">
        <f t="shared" si="135"/>
        <v>0</v>
      </c>
      <c r="AQ141">
        <f t="shared" si="136"/>
        <v>0</v>
      </c>
      <c r="AR141">
        <f t="shared" si="137"/>
        <v>0</v>
      </c>
      <c r="AS141">
        <f t="shared" si="138"/>
        <v>0</v>
      </c>
      <c r="AT141">
        <f t="shared" si="139"/>
        <v>0</v>
      </c>
      <c r="AU141">
        <f t="shared" si="140"/>
        <v>0</v>
      </c>
      <c r="AV141">
        <f t="shared" si="141"/>
        <v>0</v>
      </c>
      <c r="AW141">
        <f t="shared" si="96"/>
        <v>0</v>
      </c>
      <c r="AX141">
        <f t="shared" si="142"/>
        <v>0</v>
      </c>
      <c r="AY141">
        <f t="shared" si="143"/>
        <v>0</v>
      </c>
    </row>
    <row r="142" spans="1:51" x14ac:dyDescent="0.35">
      <c r="A142">
        <v>136</v>
      </c>
      <c r="C142">
        <f>MAX(0,Calc!$C$7-SUM(D142:R142))</f>
        <v>750</v>
      </c>
      <c r="D142">
        <f t="shared" si="97"/>
        <v>0</v>
      </c>
      <c r="E142">
        <f t="shared" si="98"/>
        <v>0</v>
      </c>
      <c r="F142">
        <f t="shared" si="99"/>
        <v>0</v>
      </c>
      <c r="G142">
        <f t="shared" si="100"/>
        <v>0</v>
      </c>
      <c r="H142">
        <f t="shared" si="101"/>
        <v>0</v>
      </c>
      <c r="I142">
        <f t="shared" si="102"/>
        <v>0</v>
      </c>
      <c r="J142">
        <f t="shared" si="103"/>
        <v>0</v>
      </c>
      <c r="K142">
        <f t="shared" si="104"/>
        <v>0</v>
      </c>
      <c r="L142">
        <f t="shared" si="105"/>
        <v>0</v>
      </c>
      <c r="M142">
        <f t="shared" si="106"/>
        <v>0</v>
      </c>
      <c r="N142">
        <f t="shared" si="107"/>
        <v>0</v>
      </c>
      <c r="O142">
        <f t="shared" si="108"/>
        <v>0</v>
      </c>
      <c r="P142">
        <f t="shared" si="109"/>
        <v>0</v>
      </c>
      <c r="Q142">
        <f t="shared" si="110"/>
        <v>0</v>
      </c>
      <c r="R142">
        <f t="shared" si="111"/>
        <v>0</v>
      </c>
      <c r="S142">
        <f t="shared" si="112"/>
        <v>0</v>
      </c>
      <c r="T142">
        <f t="shared" si="113"/>
        <v>0</v>
      </c>
      <c r="U142">
        <f t="shared" si="114"/>
        <v>0</v>
      </c>
      <c r="V142">
        <f t="shared" si="115"/>
        <v>0</v>
      </c>
      <c r="W142">
        <f t="shared" si="116"/>
        <v>0</v>
      </c>
      <c r="X142">
        <f t="shared" si="117"/>
        <v>0</v>
      </c>
      <c r="Y142">
        <f t="shared" si="118"/>
        <v>0</v>
      </c>
      <c r="Z142">
        <f t="shared" si="119"/>
        <v>0</v>
      </c>
      <c r="AA142">
        <f t="shared" si="120"/>
        <v>0</v>
      </c>
      <c r="AB142">
        <f t="shared" si="121"/>
        <v>0</v>
      </c>
      <c r="AC142">
        <f t="shared" si="122"/>
        <v>0</v>
      </c>
      <c r="AD142">
        <f t="shared" si="123"/>
        <v>0</v>
      </c>
      <c r="AE142">
        <f t="shared" si="124"/>
        <v>0</v>
      </c>
      <c r="AF142">
        <f t="shared" si="125"/>
        <v>0</v>
      </c>
      <c r="AG142">
        <f t="shared" si="126"/>
        <v>0</v>
      </c>
      <c r="AH142">
        <f t="shared" si="127"/>
        <v>0</v>
      </c>
      <c r="AI142">
        <f t="shared" si="128"/>
        <v>0</v>
      </c>
      <c r="AJ142">
        <f t="shared" si="129"/>
        <v>0</v>
      </c>
      <c r="AK142">
        <f t="shared" si="130"/>
        <v>0</v>
      </c>
      <c r="AL142">
        <f t="shared" si="131"/>
        <v>0</v>
      </c>
      <c r="AM142">
        <f t="shared" si="132"/>
        <v>0</v>
      </c>
      <c r="AN142">
        <f t="shared" si="133"/>
        <v>0</v>
      </c>
      <c r="AO142">
        <f t="shared" si="134"/>
        <v>0</v>
      </c>
      <c r="AP142">
        <f t="shared" si="135"/>
        <v>0</v>
      </c>
      <c r="AQ142">
        <f t="shared" si="136"/>
        <v>0</v>
      </c>
      <c r="AR142">
        <f t="shared" si="137"/>
        <v>0</v>
      </c>
      <c r="AS142">
        <f t="shared" si="138"/>
        <v>0</v>
      </c>
      <c r="AT142">
        <f t="shared" si="139"/>
        <v>0</v>
      </c>
      <c r="AU142">
        <f t="shared" si="140"/>
        <v>0</v>
      </c>
      <c r="AV142">
        <f t="shared" si="141"/>
        <v>0</v>
      </c>
      <c r="AW142">
        <f t="shared" si="96"/>
        <v>0</v>
      </c>
      <c r="AX142">
        <f t="shared" si="142"/>
        <v>0</v>
      </c>
      <c r="AY142">
        <f t="shared" si="143"/>
        <v>0</v>
      </c>
    </row>
    <row r="143" spans="1:51" x14ac:dyDescent="0.35">
      <c r="A143">
        <v>137</v>
      </c>
      <c r="C143">
        <f>MAX(0,Calc!$C$7-SUM(D143:R143))</f>
        <v>750</v>
      </c>
      <c r="D143">
        <f t="shared" si="97"/>
        <v>0</v>
      </c>
      <c r="E143">
        <f t="shared" si="98"/>
        <v>0</v>
      </c>
      <c r="F143">
        <f t="shared" si="99"/>
        <v>0</v>
      </c>
      <c r="G143">
        <f t="shared" si="100"/>
        <v>0</v>
      </c>
      <c r="H143">
        <f t="shared" si="101"/>
        <v>0</v>
      </c>
      <c r="I143">
        <f t="shared" si="102"/>
        <v>0</v>
      </c>
      <c r="J143">
        <f t="shared" si="103"/>
        <v>0</v>
      </c>
      <c r="K143">
        <f t="shared" si="104"/>
        <v>0</v>
      </c>
      <c r="L143">
        <f t="shared" si="105"/>
        <v>0</v>
      </c>
      <c r="M143">
        <f t="shared" si="106"/>
        <v>0</v>
      </c>
      <c r="N143">
        <f t="shared" si="107"/>
        <v>0</v>
      </c>
      <c r="O143">
        <f t="shared" si="108"/>
        <v>0</v>
      </c>
      <c r="P143">
        <f t="shared" si="109"/>
        <v>0</v>
      </c>
      <c r="Q143">
        <f t="shared" si="110"/>
        <v>0</v>
      </c>
      <c r="R143">
        <f t="shared" si="111"/>
        <v>0</v>
      </c>
      <c r="S143">
        <f t="shared" si="112"/>
        <v>0</v>
      </c>
      <c r="T143">
        <f t="shared" si="113"/>
        <v>0</v>
      </c>
      <c r="U143">
        <f t="shared" si="114"/>
        <v>0</v>
      </c>
      <c r="V143">
        <f t="shared" si="115"/>
        <v>0</v>
      </c>
      <c r="W143">
        <f t="shared" si="116"/>
        <v>0</v>
      </c>
      <c r="X143">
        <f t="shared" si="117"/>
        <v>0</v>
      </c>
      <c r="Y143">
        <f t="shared" si="118"/>
        <v>0</v>
      </c>
      <c r="Z143">
        <f t="shared" si="119"/>
        <v>0</v>
      </c>
      <c r="AA143">
        <f t="shared" si="120"/>
        <v>0</v>
      </c>
      <c r="AB143">
        <f t="shared" si="121"/>
        <v>0</v>
      </c>
      <c r="AC143">
        <f t="shared" si="122"/>
        <v>0</v>
      </c>
      <c r="AD143">
        <f t="shared" si="123"/>
        <v>0</v>
      </c>
      <c r="AE143">
        <f t="shared" si="124"/>
        <v>0</v>
      </c>
      <c r="AF143">
        <f t="shared" si="125"/>
        <v>0</v>
      </c>
      <c r="AG143">
        <f t="shared" si="126"/>
        <v>0</v>
      </c>
      <c r="AH143">
        <f t="shared" si="127"/>
        <v>0</v>
      </c>
      <c r="AI143">
        <f t="shared" si="128"/>
        <v>0</v>
      </c>
      <c r="AJ143">
        <f t="shared" si="129"/>
        <v>0</v>
      </c>
      <c r="AK143">
        <f t="shared" si="130"/>
        <v>0</v>
      </c>
      <c r="AL143">
        <f t="shared" si="131"/>
        <v>0</v>
      </c>
      <c r="AM143">
        <f t="shared" si="132"/>
        <v>0</v>
      </c>
      <c r="AN143">
        <f t="shared" si="133"/>
        <v>0</v>
      </c>
      <c r="AO143">
        <f t="shared" si="134"/>
        <v>0</v>
      </c>
      <c r="AP143">
        <f t="shared" si="135"/>
        <v>0</v>
      </c>
      <c r="AQ143">
        <f t="shared" si="136"/>
        <v>0</v>
      </c>
      <c r="AR143">
        <f t="shared" si="137"/>
        <v>0</v>
      </c>
      <c r="AS143">
        <f t="shared" si="138"/>
        <v>0</v>
      </c>
      <c r="AT143">
        <f t="shared" si="139"/>
        <v>0</v>
      </c>
      <c r="AU143">
        <f t="shared" si="140"/>
        <v>0</v>
      </c>
      <c r="AV143">
        <f t="shared" si="141"/>
        <v>0</v>
      </c>
      <c r="AW143">
        <f t="shared" si="96"/>
        <v>0</v>
      </c>
      <c r="AX143">
        <f t="shared" si="142"/>
        <v>0</v>
      </c>
      <c r="AY143">
        <f t="shared" si="143"/>
        <v>0</v>
      </c>
    </row>
    <row r="144" spans="1:51" x14ac:dyDescent="0.35">
      <c r="A144">
        <v>138</v>
      </c>
      <c r="C144">
        <f>MAX(0,Calc!$C$7-SUM(D144:R144))</f>
        <v>750</v>
      </c>
      <c r="D144">
        <f t="shared" si="97"/>
        <v>0</v>
      </c>
      <c r="E144">
        <f t="shared" si="98"/>
        <v>0</v>
      </c>
      <c r="F144">
        <f t="shared" si="99"/>
        <v>0</v>
      </c>
      <c r="G144">
        <f t="shared" si="100"/>
        <v>0</v>
      </c>
      <c r="H144">
        <f t="shared" si="101"/>
        <v>0</v>
      </c>
      <c r="I144">
        <f t="shared" si="102"/>
        <v>0</v>
      </c>
      <c r="J144">
        <f t="shared" si="103"/>
        <v>0</v>
      </c>
      <c r="K144">
        <f t="shared" si="104"/>
        <v>0</v>
      </c>
      <c r="L144">
        <f t="shared" si="105"/>
        <v>0</v>
      </c>
      <c r="M144">
        <f t="shared" si="106"/>
        <v>0</v>
      </c>
      <c r="N144">
        <f t="shared" si="107"/>
        <v>0</v>
      </c>
      <c r="O144">
        <f t="shared" si="108"/>
        <v>0</v>
      </c>
      <c r="P144">
        <f t="shared" si="109"/>
        <v>0</v>
      </c>
      <c r="Q144">
        <f t="shared" si="110"/>
        <v>0</v>
      </c>
      <c r="R144">
        <f t="shared" si="111"/>
        <v>0</v>
      </c>
      <c r="S144">
        <f t="shared" si="112"/>
        <v>0</v>
      </c>
      <c r="T144">
        <f t="shared" si="113"/>
        <v>0</v>
      </c>
      <c r="U144">
        <f t="shared" si="114"/>
        <v>0</v>
      </c>
      <c r="V144">
        <f t="shared" si="115"/>
        <v>0</v>
      </c>
      <c r="W144">
        <f t="shared" si="116"/>
        <v>0</v>
      </c>
      <c r="X144">
        <f t="shared" si="117"/>
        <v>0</v>
      </c>
      <c r="Y144">
        <f t="shared" si="118"/>
        <v>0</v>
      </c>
      <c r="Z144">
        <f t="shared" si="119"/>
        <v>0</v>
      </c>
      <c r="AA144">
        <f t="shared" si="120"/>
        <v>0</v>
      </c>
      <c r="AB144">
        <f t="shared" si="121"/>
        <v>0</v>
      </c>
      <c r="AC144">
        <f t="shared" si="122"/>
        <v>0</v>
      </c>
      <c r="AD144">
        <f t="shared" si="123"/>
        <v>0</v>
      </c>
      <c r="AE144">
        <f t="shared" si="124"/>
        <v>0</v>
      </c>
      <c r="AF144">
        <f t="shared" si="125"/>
        <v>0</v>
      </c>
      <c r="AG144">
        <f t="shared" si="126"/>
        <v>0</v>
      </c>
      <c r="AH144">
        <f t="shared" si="127"/>
        <v>0</v>
      </c>
      <c r="AI144">
        <f t="shared" si="128"/>
        <v>0</v>
      </c>
      <c r="AJ144">
        <f t="shared" si="129"/>
        <v>0</v>
      </c>
      <c r="AK144">
        <f t="shared" si="130"/>
        <v>0</v>
      </c>
      <c r="AL144">
        <f t="shared" si="131"/>
        <v>0</v>
      </c>
      <c r="AM144">
        <f t="shared" si="132"/>
        <v>0</v>
      </c>
      <c r="AN144">
        <f t="shared" si="133"/>
        <v>0</v>
      </c>
      <c r="AO144">
        <f t="shared" si="134"/>
        <v>0</v>
      </c>
      <c r="AP144">
        <f t="shared" si="135"/>
        <v>0</v>
      </c>
      <c r="AQ144">
        <f t="shared" si="136"/>
        <v>0</v>
      </c>
      <c r="AR144">
        <f t="shared" si="137"/>
        <v>0</v>
      </c>
      <c r="AS144">
        <f t="shared" si="138"/>
        <v>0</v>
      </c>
      <c r="AT144">
        <f t="shared" si="139"/>
        <v>0</v>
      </c>
      <c r="AU144">
        <f t="shared" si="140"/>
        <v>0</v>
      </c>
      <c r="AV144">
        <f t="shared" si="141"/>
        <v>0</v>
      </c>
      <c r="AW144">
        <f t="shared" si="96"/>
        <v>0</v>
      </c>
      <c r="AX144">
        <f t="shared" si="142"/>
        <v>0</v>
      </c>
      <c r="AY144">
        <f t="shared" si="143"/>
        <v>0</v>
      </c>
    </row>
    <row r="145" spans="1:51" x14ac:dyDescent="0.35">
      <c r="A145">
        <v>139</v>
      </c>
      <c r="C145">
        <f>MAX(0,Calc!$C$7-SUM(D145:R145))</f>
        <v>750</v>
      </c>
      <c r="D145">
        <f t="shared" si="97"/>
        <v>0</v>
      </c>
      <c r="E145">
        <f t="shared" si="98"/>
        <v>0</v>
      </c>
      <c r="F145">
        <f t="shared" si="99"/>
        <v>0</v>
      </c>
      <c r="G145">
        <f t="shared" si="100"/>
        <v>0</v>
      </c>
      <c r="H145">
        <f t="shared" si="101"/>
        <v>0</v>
      </c>
      <c r="I145">
        <f t="shared" si="102"/>
        <v>0</v>
      </c>
      <c r="J145">
        <f t="shared" si="103"/>
        <v>0</v>
      </c>
      <c r="K145">
        <f t="shared" si="104"/>
        <v>0</v>
      </c>
      <c r="L145">
        <f t="shared" si="105"/>
        <v>0</v>
      </c>
      <c r="M145">
        <f t="shared" si="106"/>
        <v>0</v>
      </c>
      <c r="N145">
        <f t="shared" si="107"/>
        <v>0</v>
      </c>
      <c r="O145">
        <f t="shared" si="108"/>
        <v>0</v>
      </c>
      <c r="P145">
        <f t="shared" si="109"/>
        <v>0</v>
      </c>
      <c r="Q145">
        <f t="shared" si="110"/>
        <v>0</v>
      </c>
      <c r="R145">
        <f t="shared" si="111"/>
        <v>0</v>
      </c>
      <c r="S145">
        <f t="shared" si="112"/>
        <v>0</v>
      </c>
      <c r="T145">
        <f t="shared" si="113"/>
        <v>0</v>
      </c>
      <c r="U145">
        <f t="shared" si="114"/>
        <v>0</v>
      </c>
      <c r="V145">
        <f t="shared" si="115"/>
        <v>0</v>
      </c>
      <c r="W145">
        <f t="shared" si="116"/>
        <v>0</v>
      </c>
      <c r="X145">
        <f t="shared" si="117"/>
        <v>0</v>
      </c>
      <c r="Y145">
        <f t="shared" si="118"/>
        <v>0</v>
      </c>
      <c r="Z145">
        <f t="shared" si="119"/>
        <v>0</v>
      </c>
      <c r="AA145">
        <f t="shared" si="120"/>
        <v>0</v>
      </c>
      <c r="AB145">
        <f t="shared" si="121"/>
        <v>0</v>
      </c>
      <c r="AC145">
        <f t="shared" si="122"/>
        <v>0</v>
      </c>
      <c r="AD145">
        <f t="shared" si="123"/>
        <v>0</v>
      </c>
      <c r="AE145">
        <f t="shared" si="124"/>
        <v>0</v>
      </c>
      <c r="AF145">
        <f t="shared" si="125"/>
        <v>0</v>
      </c>
      <c r="AG145">
        <f t="shared" si="126"/>
        <v>0</v>
      </c>
      <c r="AH145">
        <f t="shared" si="127"/>
        <v>0</v>
      </c>
      <c r="AI145">
        <f t="shared" si="128"/>
        <v>0</v>
      </c>
      <c r="AJ145">
        <f t="shared" si="129"/>
        <v>0</v>
      </c>
      <c r="AK145">
        <f t="shared" si="130"/>
        <v>0</v>
      </c>
      <c r="AL145">
        <f t="shared" si="131"/>
        <v>0</v>
      </c>
      <c r="AM145">
        <f t="shared" si="132"/>
        <v>0</v>
      </c>
      <c r="AN145">
        <f t="shared" si="133"/>
        <v>0</v>
      </c>
      <c r="AO145">
        <f t="shared" si="134"/>
        <v>0</v>
      </c>
      <c r="AP145">
        <f t="shared" si="135"/>
        <v>0</v>
      </c>
      <c r="AQ145">
        <f t="shared" si="136"/>
        <v>0</v>
      </c>
      <c r="AR145">
        <f t="shared" si="137"/>
        <v>0</v>
      </c>
      <c r="AS145">
        <f t="shared" si="138"/>
        <v>0</v>
      </c>
      <c r="AT145">
        <f t="shared" si="139"/>
        <v>0</v>
      </c>
      <c r="AU145">
        <f t="shared" si="140"/>
        <v>0</v>
      </c>
      <c r="AV145">
        <f t="shared" si="141"/>
        <v>0</v>
      </c>
      <c r="AW145">
        <f t="shared" si="96"/>
        <v>0</v>
      </c>
      <c r="AX145">
        <f t="shared" si="142"/>
        <v>0</v>
      </c>
      <c r="AY145">
        <f t="shared" si="143"/>
        <v>0</v>
      </c>
    </row>
    <row r="146" spans="1:51" x14ac:dyDescent="0.35">
      <c r="A146">
        <v>140</v>
      </c>
      <c r="C146">
        <f>MAX(0,Calc!$C$7-SUM(D146:R146))</f>
        <v>750</v>
      </c>
      <c r="D146">
        <f t="shared" si="97"/>
        <v>0</v>
      </c>
      <c r="E146">
        <f t="shared" si="98"/>
        <v>0</v>
      </c>
      <c r="F146">
        <f t="shared" si="99"/>
        <v>0</v>
      </c>
      <c r="G146">
        <f t="shared" si="100"/>
        <v>0</v>
      </c>
      <c r="H146">
        <f t="shared" si="101"/>
        <v>0</v>
      </c>
      <c r="I146">
        <f t="shared" si="102"/>
        <v>0</v>
      </c>
      <c r="J146">
        <f t="shared" si="103"/>
        <v>0</v>
      </c>
      <c r="K146">
        <f t="shared" si="104"/>
        <v>0</v>
      </c>
      <c r="L146">
        <f t="shared" si="105"/>
        <v>0</v>
      </c>
      <c r="M146">
        <f t="shared" si="106"/>
        <v>0</v>
      </c>
      <c r="N146">
        <f t="shared" si="107"/>
        <v>0</v>
      </c>
      <c r="O146">
        <f t="shared" si="108"/>
        <v>0</v>
      </c>
      <c r="P146">
        <f t="shared" si="109"/>
        <v>0</v>
      </c>
      <c r="Q146">
        <f t="shared" si="110"/>
        <v>0</v>
      </c>
      <c r="R146">
        <f t="shared" si="111"/>
        <v>0</v>
      </c>
      <c r="S146">
        <f t="shared" si="112"/>
        <v>0</v>
      </c>
      <c r="T146">
        <f t="shared" si="113"/>
        <v>0</v>
      </c>
      <c r="U146">
        <f t="shared" si="114"/>
        <v>0</v>
      </c>
      <c r="V146">
        <f t="shared" si="115"/>
        <v>0</v>
      </c>
      <c r="W146">
        <f t="shared" si="116"/>
        <v>0</v>
      </c>
      <c r="X146">
        <f t="shared" si="117"/>
        <v>0</v>
      </c>
      <c r="Y146">
        <f t="shared" si="118"/>
        <v>0</v>
      </c>
      <c r="Z146">
        <f t="shared" si="119"/>
        <v>0</v>
      </c>
      <c r="AA146">
        <f t="shared" si="120"/>
        <v>0</v>
      </c>
      <c r="AB146">
        <f t="shared" si="121"/>
        <v>0</v>
      </c>
      <c r="AC146">
        <f t="shared" si="122"/>
        <v>0</v>
      </c>
      <c r="AD146">
        <f t="shared" si="123"/>
        <v>0</v>
      </c>
      <c r="AE146">
        <f t="shared" si="124"/>
        <v>0</v>
      </c>
      <c r="AF146">
        <f t="shared" si="125"/>
        <v>0</v>
      </c>
      <c r="AG146">
        <f t="shared" si="126"/>
        <v>0</v>
      </c>
      <c r="AH146">
        <f t="shared" si="127"/>
        <v>0</v>
      </c>
      <c r="AI146">
        <f t="shared" si="128"/>
        <v>0</v>
      </c>
      <c r="AJ146">
        <f t="shared" si="129"/>
        <v>0</v>
      </c>
      <c r="AK146">
        <f t="shared" si="130"/>
        <v>0</v>
      </c>
      <c r="AL146">
        <f t="shared" si="131"/>
        <v>0</v>
      </c>
      <c r="AM146">
        <f t="shared" si="132"/>
        <v>0</v>
      </c>
      <c r="AN146">
        <f t="shared" si="133"/>
        <v>0</v>
      </c>
      <c r="AO146">
        <f t="shared" si="134"/>
        <v>0</v>
      </c>
      <c r="AP146">
        <f t="shared" si="135"/>
        <v>0</v>
      </c>
      <c r="AQ146">
        <f t="shared" si="136"/>
        <v>0</v>
      </c>
      <c r="AR146">
        <f t="shared" si="137"/>
        <v>0</v>
      </c>
      <c r="AS146">
        <f t="shared" si="138"/>
        <v>0</v>
      </c>
      <c r="AT146">
        <f t="shared" si="139"/>
        <v>0</v>
      </c>
      <c r="AU146">
        <f t="shared" si="140"/>
        <v>0</v>
      </c>
      <c r="AV146">
        <f t="shared" si="141"/>
        <v>0</v>
      </c>
      <c r="AW146">
        <f t="shared" si="96"/>
        <v>0</v>
      </c>
      <c r="AX146">
        <f t="shared" si="142"/>
        <v>0</v>
      </c>
      <c r="AY146">
        <f t="shared" si="143"/>
        <v>0</v>
      </c>
    </row>
    <row r="147" spans="1:51" x14ac:dyDescent="0.35">
      <c r="A147">
        <v>141</v>
      </c>
      <c r="C147">
        <f>MAX(0,Calc!$C$7-SUM(D147:R147))</f>
        <v>750</v>
      </c>
      <c r="D147">
        <f t="shared" si="97"/>
        <v>0</v>
      </c>
      <c r="E147">
        <f t="shared" si="98"/>
        <v>0</v>
      </c>
      <c r="F147">
        <f t="shared" si="99"/>
        <v>0</v>
      </c>
      <c r="G147">
        <f t="shared" si="100"/>
        <v>0</v>
      </c>
      <c r="H147">
        <f t="shared" si="101"/>
        <v>0</v>
      </c>
      <c r="I147">
        <f t="shared" si="102"/>
        <v>0</v>
      </c>
      <c r="J147">
        <f t="shared" si="103"/>
        <v>0</v>
      </c>
      <c r="K147">
        <f t="shared" si="104"/>
        <v>0</v>
      </c>
      <c r="L147">
        <f t="shared" si="105"/>
        <v>0</v>
      </c>
      <c r="M147">
        <f t="shared" si="106"/>
        <v>0</v>
      </c>
      <c r="N147">
        <f t="shared" si="107"/>
        <v>0</v>
      </c>
      <c r="O147">
        <f t="shared" si="108"/>
        <v>0</v>
      </c>
      <c r="P147">
        <f t="shared" si="109"/>
        <v>0</v>
      </c>
      <c r="Q147">
        <f t="shared" si="110"/>
        <v>0</v>
      </c>
      <c r="R147">
        <f t="shared" si="111"/>
        <v>0</v>
      </c>
      <c r="S147">
        <f t="shared" si="112"/>
        <v>0</v>
      </c>
      <c r="T147">
        <f t="shared" si="113"/>
        <v>0</v>
      </c>
      <c r="U147">
        <f t="shared" si="114"/>
        <v>0</v>
      </c>
      <c r="V147">
        <f t="shared" si="115"/>
        <v>0</v>
      </c>
      <c r="W147">
        <f t="shared" si="116"/>
        <v>0</v>
      </c>
      <c r="X147">
        <f t="shared" si="117"/>
        <v>0</v>
      </c>
      <c r="Y147">
        <f t="shared" si="118"/>
        <v>0</v>
      </c>
      <c r="Z147">
        <f t="shared" si="119"/>
        <v>0</v>
      </c>
      <c r="AA147">
        <f t="shared" si="120"/>
        <v>0</v>
      </c>
      <c r="AB147">
        <f t="shared" si="121"/>
        <v>0</v>
      </c>
      <c r="AC147">
        <f t="shared" si="122"/>
        <v>0</v>
      </c>
      <c r="AD147">
        <f t="shared" si="123"/>
        <v>0</v>
      </c>
      <c r="AE147">
        <f t="shared" si="124"/>
        <v>0</v>
      </c>
      <c r="AF147">
        <f t="shared" si="125"/>
        <v>0</v>
      </c>
      <c r="AG147">
        <f t="shared" si="126"/>
        <v>0</v>
      </c>
      <c r="AH147">
        <f t="shared" si="127"/>
        <v>0</v>
      </c>
      <c r="AI147">
        <f t="shared" si="128"/>
        <v>0</v>
      </c>
      <c r="AJ147">
        <f t="shared" si="129"/>
        <v>0</v>
      </c>
      <c r="AK147">
        <f t="shared" si="130"/>
        <v>0</v>
      </c>
      <c r="AL147">
        <f t="shared" si="131"/>
        <v>0</v>
      </c>
      <c r="AM147">
        <f t="shared" si="132"/>
        <v>0</v>
      </c>
      <c r="AN147">
        <f t="shared" si="133"/>
        <v>0</v>
      </c>
      <c r="AO147">
        <f t="shared" si="134"/>
        <v>0</v>
      </c>
      <c r="AP147">
        <f t="shared" si="135"/>
        <v>0</v>
      </c>
      <c r="AQ147">
        <f t="shared" si="136"/>
        <v>0</v>
      </c>
      <c r="AR147">
        <f t="shared" si="137"/>
        <v>0</v>
      </c>
      <c r="AS147">
        <f t="shared" si="138"/>
        <v>0</v>
      </c>
      <c r="AT147">
        <f t="shared" si="139"/>
        <v>0</v>
      </c>
      <c r="AU147">
        <f t="shared" si="140"/>
        <v>0</v>
      </c>
      <c r="AV147">
        <f t="shared" si="141"/>
        <v>0</v>
      </c>
      <c r="AW147">
        <f t="shared" si="96"/>
        <v>0</v>
      </c>
      <c r="AX147">
        <f t="shared" si="142"/>
        <v>0</v>
      </c>
      <c r="AY147">
        <f t="shared" si="143"/>
        <v>0</v>
      </c>
    </row>
    <row r="148" spans="1:51" x14ac:dyDescent="0.35">
      <c r="A148">
        <v>142</v>
      </c>
      <c r="C148">
        <f>MAX(0,Calc!$C$7-SUM(D148:R148))</f>
        <v>750</v>
      </c>
      <c r="D148">
        <f t="shared" si="97"/>
        <v>0</v>
      </c>
      <c r="E148">
        <f t="shared" si="98"/>
        <v>0</v>
      </c>
      <c r="F148">
        <f t="shared" si="99"/>
        <v>0</v>
      </c>
      <c r="G148">
        <f t="shared" si="100"/>
        <v>0</v>
      </c>
      <c r="H148">
        <f t="shared" si="101"/>
        <v>0</v>
      </c>
      <c r="I148">
        <f t="shared" si="102"/>
        <v>0</v>
      </c>
      <c r="J148">
        <f t="shared" si="103"/>
        <v>0</v>
      </c>
      <c r="K148">
        <f t="shared" si="104"/>
        <v>0</v>
      </c>
      <c r="L148">
        <f t="shared" si="105"/>
        <v>0</v>
      </c>
      <c r="M148">
        <f t="shared" si="106"/>
        <v>0</v>
      </c>
      <c r="N148">
        <f t="shared" si="107"/>
        <v>0</v>
      </c>
      <c r="O148">
        <f t="shared" si="108"/>
        <v>0</v>
      </c>
      <c r="P148">
        <f t="shared" si="109"/>
        <v>0</v>
      </c>
      <c r="Q148">
        <f t="shared" si="110"/>
        <v>0</v>
      </c>
      <c r="R148">
        <f t="shared" si="111"/>
        <v>0</v>
      </c>
      <c r="S148">
        <f t="shared" si="112"/>
        <v>0</v>
      </c>
      <c r="T148">
        <f t="shared" si="113"/>
        <v>0</v>
      </c>
      <c r="U148">
        <f t="shared" si="114"/>
        <v>0</v>
      </c>
      <c r="V148">
        <f t="shared" si="115"/>
        <v>0</v>
      </c>
      <c r="W148">
        <f t="shared" si="116"/>
        <v>0</v>
      </c>
      <c r="X148">
        <f t="shared" si="117"/>
        <v>0</v>
      </c>
      <c r="Y148">
        <f t="shared" si="118"/>
        <v>0</v>
      </c>
      <c r="Z148">
        <f t="shared" si="119"/>
        <v>0</v>
      </c>
      <c r="AA148">
        <f t="shared" si="120"/>
        <v>0</v>
      </c>
      <c r="AB148">
        <f t="shared" si="121"/>
        <v>0</v>
      </c>
      <c r="AC148">
        <f t="shared" si="122"/>
        <v>0</v>
      </c>
      <c r="AD148">
        <f t="shared" si="123"/>
        <v>0</v>
      </c>
      <c r="AE148">
        <f t="shared" si="124"/>
        <v>0</v>
      </c>
      <c r="AF148">
        <f t="shared" si="125"/>
        <v>0</v>
      </c>
      <c r="AG148">
        <f t="shared" si="126"/>
        <v>0</v>
      </c>
      <c r="AH148">
        <f t="shared" si="127"/>
        <v>0</v>
      </c>
      <c r="AI148">
        <f t="shared" si="128"/>
        <v>0</v>
      </c>
      <c r="AJ148">
        <f t="shared" si="129"/>
        <v>0</v>
      </c>
      <c r="AK148">
        <f t="shared" si="130"/>
        <v>0</v>
      </c>
      <c r="AL148">
        <f t="shared" si="131"/>
        <v>0</v>
      </c>
      <c r="AM148">
        <f t="shared" si="132"/>
        <v>0</v>
      </c>
      <c r="AN148">
        <f t="shared" si="133"/>
        <v>0</v>
      </c>
      <c r="AO148">
        <f t="shared" si="134"/>
        <v>0</v>
      </c>
      <c r="AP148">
        <f t="shared" si="135"/>
        <v>0</v>
      </c>
      <c r="AQ148">
        <f t="shared" si="136"/>
        <v>0</v>
      </c>
      <c r="AR148">
        <f t="shared" si="137"/>
        <v>0</v>
      </c>
      <c r="AS148">
        <f t="shared" si="138"/>
        <v>0</v>
      </c>
      <c r="AT148">
        <f t="shared" si="139"/>
        <v>0</v>
      </c>
      <c r="AU148">
        <f t="shared" si="140"/>
        <v>0</v>
      </c>
      <c r="AV148">
        <f t="shared" si="141"/>
        <v>0</v>
      </c>
      <c r="AW148">
        <f t="shared" si="96"/>
        <v>0</v>
      </c>
      <c r="AX148">
        <f t="shared" si="142"/>
        <v>0</v>
      </c>
      <c r="AY148">
        <f t="shared" si="143"/>
        <v>0</v>
      </c>
    </row>
    <row r="149" spans="1:51" x14ac:dyDescent="0.35">
      <c r="A149">
        <v>143</v>
      </c>
      <c r="C149">
        <f>MAX(0,Calc!$C$7-SUM(D149:R149))</f>
        <v>750</v>
      </c>
      <c r="D149">
        <f t="shared" si="97"/>
        <v>0</v>
      </c>
      <c r="E149">
        <f t="shared" si="98"/>
        <v>0</v>
      </c>
      <c r="F149">
        <f t="shared" si="99"/>
        <v>0</v>
      </c>
      <c r="G149">
        <f t="shared" si="100"/>
        <v>0</v>
      </c>
      <c r="H149">
        <f t="shared" si="101"/>
        <v>0</v>
      </c>
      <c r="I149">
        <f t="shared" si="102"/>
        <v>0</v>
      </c>
      <c r="J149">
        <f t="shared" si="103"/>
        <v>0</v>
      </c>
      <c r="K149">
        <f t="shared" si="104"/>
        <v>0</v>
      </c>
      <c r="L149">
        <f t="shared" si="105"/>
        <v>0</v>
      </c>
      <c r="M149">
        <f t="shared" si="106"/>
        <v>0</v>
      </c>
      <c r="N149">
        <f t="shared" si="107"/>
        <v>0</v>
      </c>
      <c r="O149">
        <f t="shared" si="108"/>
        <v>0</v>
      </c>
      <c r="P149">
        <f t="shared" si="109"/>
        <v>0</v>
      </c>
      <c r="Q149">
        <f t="shared" si="110"/>
        <v>0</v>
      </c>
      <c r="R149">
        <f t="shared" si="111"/>
        <v>0</v>
      </c>
      <c r="S149">
        <f t="shared" si="112"/>
        <v>0</v>
      </c>
      <c r="T149">
        <f t="shared" si="113"/>
        <v>0</v>
      </c>
      <c r="U149">
        <f t="shared" si="114"/>
        <v>0</v>
      </c>
      <c r="V149">
        <f t="shared" si="115"/>
        <v>0</v>
      </c>
      <c r="W149">
        <f t="shared" si="116"/>
        <v>0</v>
      </c>
      <c r="X149">
        <f t="shared" si="117"/>
        <v>0</v>
      </c>
      <c r="Y149">
        <f t="shared" si="118"/>
        <v>0</v>
      </c>
      <c r="Z149">
        <f t="shared" si="119"/>
        <v>0</v>
      </c>
      <c r="AA149">
        <f t="shared" si="120"/>
        <v>0</v>
      </c>
      <c r="AB149">
        <f t="shared" si="121"/>
        <v>0</v>
      </c>
      <c r="AC149">
        <f t="shared" si="122"/>
        <v>0</v>
      </c>
      <c r="AD149">
        <f t="shared" si="123"/>
        <v>0</v>
      </c>
      <c r="AE149">
        <f t="shared" si="124"/>
        <v>0</v>
      </c>
      <c r="AF149">
        <f t="shared" si="125"/>
        <v>0</v>
      </c>
      <c r="AG149">
        <f t="shared" si="126"/>
        <v>0</v>
      </c>
      <c r="AH149">
        <f t="shared" si="127"/>
        <v>0</v>
      </c>
      <c r="AI149">
        <f t="shared" si="128"/>
        <v>0</v>
      </c>
      <c r="AJ149">
        <f t="shared" si="129"/>
        <v>0</v>
      </c>
      <c r="AK149">
        <f t="shared" si="130"/>
        <v>0</v>
      </c>
      <c r="AL149">
        <f t="shared" si="131"/>
        <v>0</v>
      </c>
      <c r="AM149">
        <f t="shared" si="132"/>
        <v>0</v>
      </c>
      <c r="AN149">
        <f t="shared" si="133"/>
        <v>0</v>
      </c>
      <c r="AO149">
        <f t="shared" si="134"/>
        <v>0</v>
      </c>
      <c r="AP149">
        <f t="shared" si="135"/>
        <v>0</v>
      </c>
      <c r="AQ149">
        <f t="shared" si="136"/>
        <v>0</v>
      </c>
      <c r="AR149">
        <f t="shared" si="137"/>
        <v>0</v>
      </c>
      <c r="AS149">
        <f t="shared" si="138"/>
        <v>0</v>
      </c>
      <c r="AT149">
        <f t="shared" si="139"/>
        <v>0</v>
      </c>
      <c r="AU149">
        <f t="shared" si="140"/>
        <v>0</v>
      </c>
      <c r="AV149">
        <f t="shared" si="141"/>
        <v>0</v>
      </c>
      <c r="AW149">
        <f t="shared" si="96"/>
        <v>0</v>
      </c>
      <c r="AX149">
        <f t="shared" si="142"/>
        <v>0</v>
      </c>
      <c r="AY149">
        <f t="shared" si="143"/>
        <v>0</v>
      </c>
    </row>
    <row r="150" spans="1:51" x14ac:dyDescent="0.35">
      <c r="A150">
        <v>144</v>
      </c>
      <c r="C150">
        <f>MAX(0,Calc!$C$7-SUM(D150:R150))</f>
        <v>750</v>
      </c>
      <c r="D150">
        <f t="shared" si="97"/>
        <v>0</v>
      </c>
      <c r="E150">
        <f t="shared" si="98"/>
        <v>0</v>
      </c>
      <c r="F150">
        <f t="shared" si="99"/>
        <v>0</v>
      </c>
      <c r="G150">
        <f t="shared" si="100"/>
        <v>0</v>
      </c>
      <c r="H150">
        <f t="shared" si="101"/>
        <v>0</v>
      </c>
      <c r="I150">
        <f t="shared" si="102"/>
        <v>0</v>
      </c>
      <c r="J150">
        <f t="shared" si="103"/>
        <v>0</v>
      </c>
      <c r="K150">
        <f t="shared" si="104"/>
        <v>0</v>
      </c>
      <c r="L150">
        <f t="shared" si="105"/>
        <v>0</v>
      </c>
      <c r="M150">
        <f t="shared" si="106"/>
        <v>0</v>
      </c>
      <c r="N150">
        <f t="shared" si="107"/>
        <v>0</v>
      </c>
      <c r="O150">
        <f t="shared" si="108"/>
        <v>0</v>
      </c>
      <c r="P150">
        <f t="shared" si="109"/>
        <v>0</v>
      </c>
      <c r="Q150">
        <f t="shared" si="110"/>
        <v>0</v>
      </c>
      <c r="R150">
        <f t="shared" si="111"/>
        <v>0</v>
      </c>
      <c r="S150">
        <f t="shared" si="112"/>
        <v>0</v>
      </c>
      <c r="T150">
        <f t="shared" si="113"/>
        <v>0</v>
      </c>
      <c r="U150">
        <f t="shared" si="114"/>
        <v>0</v>
      </c>
      <c r="V150">
        <f t="shared" si="115"/>
        <v>0</v>
      </c>
      <c r="W150">
        <f t="shared" si="116"/>
        <v>0</v>
      </c>
      <c r="X150">
        <f t="shared" si="117"/>
        <v>0</v>
      </c>
      <c r="Y150">
        <f t="shared" si="118"/>
        <v>0</v>
      </c>
      <c r="Z150">
        <f t="shared" si="119"/>
        <v>0</v>
      </c>
      <c r="AA150">
        <f t="shared" si="120"/>
        <v>0</v>
      </c>
      <c r="AB150">
        <f t="shared" si="121"/>
        <v>0</v>
      </c>
      <c r="AC150">
        <f t="shared" si="122"/>
        <v>0</v>
      </c>
      <c r="AD150">
        <f t="shared" si="123"/>
        <v>0</v>
      </c>
      <c r="AE150">
        <f t="shared" si="124"/>
        <v>0</v>
      </c>
      <c r="AF150">
        <f t="shared" si="125"/>
        <v>0</v>
      </c>
      <c r="AG150">
        <f t="shared" si="126"/>
        <v>0</v>
      </c>
      <c r="AH150">
        <f t="shared" si="127"/>
        <v>0</v>
      </c>
      <c r="AI150">
        <f t="shared" si="128"/>
        <v>0</v>
      </c>
      <c r="AJ150">
        <f t="shared" si="129"/>
        <v>0</v>
      </c>
      <c r="AK150">
        <f t="shared" si="130"/>
        <v>0</v>
      </c>
      <c r="AL150">
        <f t="shared" si="131"/>
        <v>0</v>
      </c>
      <c r="AM150">
        <f t="shared" si="132"/>
        <v>0</v>
      </c>
      <c r="AN150">
        <f t="shared" si="133"/>
        <v>0</v>
      </c>
      <c r="AO150">
        <f t="shared" si="134"/>
        <v>0</v>
      </c>
      <c r="AP150">
        <f t="shared" si="135"/>
        <v>0</v>
      </c>
      <c r="AQ150">
        <f t="shared" si="136"/>
        <v>0</v>
      </c>
      <c r="AR150">
        <f t="shared" si="137"/>
        <v>0</v>
      </c>
      <c r="AS150">
        <f t="shared" si="138"/>
        <v>0</v>
      </c>
      <c r="AT150">
        <f t="shared" si="139"/>
        <v>0</v>
      </c>
      <c r="AU150">
        <f t="shared" si="140"/>
        <v>0</v>
      </c>
      <c r="AV150">
        <f t="shared" si="141"/>
        <v>0</v>
      </c>
      <c r="AW150">
        <f t="shared" si="96"/>
        <v>0</v>
      </c>
      <c r="AX150">
        <f t="shared" si="142"/>
        <v>0</v>
      </c>
      <c r="AY150">
        <f t="shared" si="143"/>
        <v>0</v>
      </c>
    </row>
    <row r="151" spans="1:51" x14ac:dyDescent="0.35">
      <c r="A151">
        <v>145</v>
      </c>
      <c r="C151">
        <f>MAX(0,Calc!$C$7-SUM(D151:R151))</f>
        <v>750</v>
      </c>
      <c r="D151">
        <f t="shared" si="97"/>
        <v>0</v>
      </c>
      <c r="E151">
        <f t="shared" si="98"/>
        <v>0</v>
      </c>
      <c r="F151">
        <f t="shared" si="99"/>
        <v>0</v>
      </c>
      <c r="G151">
        <f t="shared" si="100"/>
        <v>0</v>
      </c>
      <c r="H151">
        <f t="shared" si="101"/>
        <v>0</v>
      </c>
      <c r="I151">
        <f t="shared" si="102"/>
        <v>0</v>
      </c>
      <c r="J151">
        <f t="shared" si="103"/>
        <v>0</v>
      </c>
      <c r="K151">
        <f t="shared" si="104"/>
        <v>0</v>
      </c>
      <c r="L151">
        <f t="shared" si="105"/>
        <v>0</v>
      </c>
      <c r="M151">
        <f t="shared" si="106"/>
        <v>0</v>
      </c>
      <c r="N151">
        <f t="shared" si="107"/>
        <v>0</v>
      </c>
      <c r="O151">
        <f t="shared" si="108"/>
        <v>0</v>
      </c>
      <c r="P151">
        <f t="shared" si="109"/>
        <v>0</v>
      </c>
      <c r="Q151">
        <f t="shared" si="110"/>
        <v>0</v>
      </c>
      <c r="R151">
        <f t="shared" si="111"/>
        <v>0</v>
      </c>
      <c r="S151">
        <f t="shared" si="112"/>
        <v>0</v>
      </c>
      <c r="T151">
        <f t="shared" si="113"/>
        <v>0</v>
      </c>
      <c r="U151">
        <f t="shared" si="114"/>
        <v>0</v>
      </c>
      <c r="V151">
        <f t="shared" si="115"/>
        <v>0</v>
      </c>
      <c r="W151">
        <f t="shared" si="116"/>
        <v>0</v>
      </c>
      <c r="X151">
        <f t="shared" si="117"/>
        <v>0</v>
      </c>
      <c r="Y151">
        <f t="shared" si="118"/>
        <v>0</v>
      </c>
      <c r="Z151">
        <f t="shared" si="119"/>
        <v>0</v>
      </c>
      <c r="AA151">
        <f t="shared" si="120"/>
        <v>0</v>
      </c>
      <c r="AB151">
        <f t="shared" si="121"/>
        <v>0</v>
      </c>
      <c r="AC151">
        <f t="shared" si="122"/>
        <v>0</v>
      </c>
      <c r="AD151">
        <f t="shared" si="123"/>
        <v>0</v>
      </c>
      <c r="AE151">
        <f t="shared" si="124"/>
        <v>0</v>
      </c>
      <c r="AF151">
        <f t="shared" si="125"/>
        <v>0</v>
      </c>
      <c r="AG151">
        <f t="shared" si="126"/>
        <v>0</v>
      </c>
      <c r="AH151">
        <f t="shared" si="127"/>
        <v>0</v>
      </c>
      <c r="AI151">
        <f t="shared" si="128"/>
        <v>0</v>
      </c>
      <c r="AJ151">
        <f t="shared" si="129"/>
        <v>0</v>
      </c>
      <c r="AK151">
        <f t="shared" si="130"/>
        <v>0</v>
      </c>
      <c r="AL151">
        <f t="shared" si="131"/>
        <v>0</v>
      </c>
      <c r="AM151">
        <f t="shared" si="132"/>
        <v>0</v>
      </c>
      <c r="AN151">
        <f t="shared" si="133"/>
        <v>0</v>
      </c>
      <c r="AO151">
        <f t="shared" si="134"/>
        <v>0</v>
      </c>
      <c r="AP151">
        <f t="shared" si="135"/>
        <v>0</v>
      </c>
      <c r="AQ151">
        <f t="shared" si="136"/>
        <v>0</v>
      </c>
      <c r="AR151">
        <f t="shared" si="137"/>
        <v>0</v>
      </c>
      <c r="AS151">
        <f t="shared" si="138"/>
        <v>0</v>
      </c>
      <c r="AT151">
        <f t="shared" si="139"/>
        <v>0</v>
      </c>
      <c r="AU151">
        <f t="shared" si="140"/>
        <v>0</v>
      </c>
      <c r="AV151">
        <f t="shared" si="141"/>
        <v>0</v>
      </c>
      <c r="AW151">
        <f t="shared" si="96"/>
        <v>0</v>
      </c>
      <c r="AX151">
        <f t="shared" si="142"/>
        <v>0</v>
      </c>
      <c r="AY151">
        <f t="shared" si="143"/>
        <v>0</v>
      </c>
    </row>
    <row r="152" spans="1:51" x14ac:dyDescent="0.35">
      <c r="A152">
        <v>146</v>
      </c>
      <c r="C152">
        <f>MAX(0,Calc!$C$7-SUM(D152:R152))</f>
        <v>750</v>
      </c>
      <c r="D152">
        <f t="shared" si="97"/>
        <v>0</v>
      </c>
      <c r="E152">
        <f t="shared" si="98"/>
        <v>0</v>
      </c>
      <c r="F152">
        <f t="shared" si="99"/>
        <v>0</v>
      </c>
      <c r="G152">
        <f t="shared" si="100"/>
        <v>0</v>
      </c>
      <c r="H152">
        <f t="shared" si="101"/>
        <v>0</v>
      </c>
      <c r="I152">
        <f t="shared" si="102"/>
        <v>0</v>
      </c>
      <c r="J152">
        <f t="shared" si="103"/>
        <v>0</v>
      </c>
      <c r="K152">
        <f t="shared" si="104"/>
        <v>0</v>
      </c>
      <c r="L152">
        <f t="shared" si="105"/>
        <v>0</v>
      </c>
      <c r="M152">
        <f t="shared" si="106"/>
        <v>0</v>
      </c>
      <c r="N152">
        <f t="shared" si="107"/>
        <v>0</v>
      </c>
      <c r="O152">
        <f t="shared" si="108"/>
        <v>0</v>
      </c>
      <c r="P152">
        <f t="shared" si="109"/>
        <v>0</v>
      </c>
      <c r="Q152">
        <f t="shared" si="110"/>
        <v>0</v>
      </c>
      <c r="R152">
        <f t="shared" si="111"/>
        <v>0</v>
      </c>
      <c r="S152">
        <f t="shared" si="112"/>
        <v>0</v>
      </c>
      <c r="T152">
        <f t="shared" si="113"/>
        <v>0</v>
      </c>
      <c r="U152">
        <f t="shared" si="114"/>
        <v>0</v>
      </c>
      <c r="V152">
        <f t="shared" si="115"/>
        <v>0</v>
      </c>
      <c r="W152">
        <f t="shared" si="116"/>
        <v>0</v>
      </c>
      <c r="X152">
        <f t="shared" si="117"/>
        <v>0</v>
      </c>
      <c r="Y152">
        <f t="shared" si="118"/>
        <v>0</v>
      </c>
      <c r="Z152">
        <f t="shared" si="119"/>
        <v>0</v>
      </c>
      <c r="AA152">
        <f t="shared" si="120"/>
        <v>0</v>
      </c>
      <c r="AB152">
        <f t="shared" si="121"/>
        <v>0</v>
      </c>
      <c r="AC152">
        <f t="shared" si="122"/>
        <v>0</v>
      </c>
      <c r="AD152">
        <f t="shared" si="123"/>
        <v>0</v>
      </c>
      <c r="AE152">
        <f t="shared" si="124"/>
        <v>0</v>
      </c>
      <c r="AF152">
        <f t="shared" si="125"/>
        <v>0</v>
      </c>
      <c r="AG152">
        <f t="shared" si="126"/>
        <v>0</v>
      </c>
      <c r="AH152">
        <f t="shared" si="127"/>
        <v>0</v>
      </c>
      <c r="AI152">
        <f t="shared" si="128"/>
        <v>0</v>
      </c>
      <c r="AJ152">
        <f t="shared" si="129"/>
        <v>0</v>
      </c>
      <c r="AK152">
        <f t="shared" si="130"/>
        <v>0</v>
      </c>
      <c r="AL152">
        <f t="shared" si="131"/>
        <v>0</v>
      </c>
      <c r="AM152">
        <f t="shared" si="132"/>
        <v>0</v>
      </c>
      <c r="AN152">
        <f t="shared" si="133"/>
        <v>0</v>
      </c>
      <c r="AO152">
        <f t="shared" si="134"/>
        <v>0</v>
      </c>
      <c r="AP152">
        <f t="shared" si="135"/>
        <v>0</v>
      </c>
      <c r="AQ152">
        <f t="shared" si="136"/>
        <v>0</v>
      </c>
      <c r="AR152">
        <f t="shared" si="137"/>
        <v>0</v>
      </c>
      <c r="AS152">
        <f t="shared" si="138"/>
        <v>0</v>
      </c>
      <c r="AT152">
        <f t="shared" si="139"/>
        <v>0</v>
      </c>
      <c r="AU152">
        <f t="shared" si="140"/>
        <v>0</v>
      </c>
      <c r="AV152">
        <f t="shared" si="141"/>
        <v>0</v>
      </c>
      <c r="AW152">
        <f t="shared" si="96"/>
        <v>0</v>
      </c>
      <c r="AX152">
        <f t="shared" si="142"/>
        <v>0</v>
      </c>
      <c r="AY152">
        <f t="shared" si="143"/>
        <v>0</v>
      </c>
    </row>
    <row r="153" spans="1:51" x14ac:dyDescent="0.35">
      <c r="A153">
        <v>147</v>
      </c>
      <c r="C153">
        <f>MAX(0,Calc!$C$7-SUM(D153:R153))</f>
        <v>750</v>
      </c>
      <c r="D153">
        <f t="shared" si="97"/>
        <v>0</v>
      </c>
      <c r="E153">
        <f t="shared" si="98"/>
        <v>0</v>
      </c>
      <c r="F153">
        <f t="shared" si="99"/>
        <v>0</v>
      </c>
      <c r="G153">
        <f t="shared" si="100"/>
        <v>0</v>
      </c>
      <c r="H153">
        <f t="shared" si="101"/>
        <v>0</v>
      </c>
      <c r="I153">
        <f t="shared" si="102"/>
        <v>0</v>
      </c>
      <c r="J153">
        <f t="shared" si="103"/>
        <v>0</v>
      </c>
      <c r="K153">
        <f t="shared" si="104"/>
        <v>0</v>
      </c>
      <c r="L153">
        <f t="shared" si="105"/>
        <v>0</v>
      </c>
      <c r="M153">
        <f t="shared" si="106"/>
        <v>0</v>
      </c>
      <c r="N153">
        <f t="shared" si="107"/>
        <v>0</v>
      </c>
      <c r="O153">
        <f t="shared" si="108"/>
        <v>0</v>
      </c>
      <c r="P153">
        <f t="shared" si="109"/>
        <v>0</v>
      </c>
      <c r="Q153">
        <f t="shared" si="110"/>
        <v>0</v>
      </c>
      <c r="R153">
        <f t="shared" si="111"/>
        <v>0</v>
      </c>
      <c r="S153">
        <f t="shared" si="112"/>
        <v>0</v>
      </c>
      <c r="T153">
        <f t="shared" si="113"/>
        <v>0</v>
      </c>
      <c r="U153">
        <f t="shared" si="114"/>
        <v>0</v>
      </c>
      <c r="V153">
        <f t="shared" si="115"/>
        <v>0</v>
      </c>
      <c r="W153">
        <f t="shared" si="116"/>
        <v>0</v>
      </c>
      <c r="X153">
        <f t="shared" si="117"/>
        <v>0</v>
      </c>
      <c r="Y153">
        <f t="shared" si="118"/>
        <v>0</v>
      </c>
      <c r="Z153">
        <f t="shared" si="119"/>
        <v>0</v>
      </c>
      <c r="AA153">
        <f t="shared" si="120"/>
        <v>0</v>
      </c>
      <c r="AB153">
        <f t="shared" si="121"/>
        <v>0</v>
      </c>
      <c r="AC153">
        <f t="shared" si="122"/>
        <v>0</v>
      </c>
      <c r="AD153">
        <f t="shared" si="123"/>
        <v>0</v>
      </c>
      <c r="AE153">
        <f t="shared" si="124"/>
        <v>0</v>
      </c>
      <c r="AF153">
        <f t="shared" si="125"/>
        <v>0</v>
      </c>
      <c r="AG153">
        <f t="shared" si="126"/>
        <v>0</v>
      </c>
      <c r="AH153">
        <f t="shared" si="127"/>
        <v>0</v>
      </c>
      <c r="AI153">
        <f t="shared" si="128"/>
        <v>0</v>
      </c>
      <c r="AJ153">
        <f t="shared" si="129"/>
        <v>0</v>
      </c>
      <c r="AK153">
        <f t="shared" si="130"/>
        <v>0</v>
      </c>
      <c r="AL153">
        <f t="shared" si="131"/>
        <v>0</v>
      </c>
      <c r="AM153">
        <f t="shared" si="132"/>
        <v>0</v>
      </c>
      <c r="AN153">
        <f t="shared" si="133"/>
        <v>0</v>
      </c>
      <c r="AO153">
        <f t="shared" si="134"/>
        <v>0</v>
      </c>
      <c r="AP153">
        <f t="shared" si="135"/>
        <v>0</v>
      </c>
      <c r="AQ153">
        <f t="shared" si="136"/>
        <v>0</v>
      </c>
      <c r="AR153">
        <f t="shared" si="137"/>
        <v>0</v>
      </c>
      <c r="AS153">
        <f t="shared" si="138"/>
        <v>0</v>
      </c>
      <c r="AT153">
        <f t="shared" si="139"/>
        <v>0</v>
      </c>
      <c r="AU153">
        <f t="shared" si="140"/>
        <v>0</v>
      </c>
      <c r="AV153">
        <f t="shared" si="141"/>
        <v>0</v>
      </c>
      <c r="AW153">
        <f t="shared" si="96"/>
        <v>0</v>
      </c>
      <c r="AX153">
        <f t="shared" si="142"/>
        <v>0</v>
      </c>
      <c r="AY153">
        <f t="shared" si="143"/>
        <v>0</v>
      </c>
    </row>
    <row r="154" spans="1:51" x14ac:dyDescent="0.35">
      <c r="A154">
        <v>148</v>
      </c>
      <c r="C154">
        <f>MAX(0,Calc!$C$7-SUM(D154:R154))</f>
        <v>750</v>
      </c>
      <c r="D154">
        <f t="shared" si="97"/>
        <v>0</v>
      </c>
      <c r="E154">
        <f t="shared" si="98"/>
        <v>0</v>
      </c>
      <c r="F154">
        <f t="shared" si="99"/>
        <v>0</v>
      </c>
      <c r="G154">
        <f t="shared" si="100"/>
        <v>0</v>
      </c>
      <c r="H154">
        <f t="shared" si="101"/>
        <v>0</v>
      </c>
      <c r="I154">
        <f t="shared" si="102"/>
        <v>0</v>
      </c>
      <c r="J154">
        <f t="shared" si="103"/>
        <v>0</v>
      </c>
      <c r="K154">
        <f t="shared" si="104"/>
        <v>0</v>
      </c>
      <c r="L154">
        <f t="shared" si="105"/>
        <v>0</v>
      </c>
      <c r="M154">
        <f t="shared" si="106"/>
        <v>0</v>
      </c>
      <c r="N154">
        <f t="shared" si="107"/>
        <v>0</v>
      </c>
      <c r="O154">
        <f t="shared" si="108"/>
        <v>0</v>
      </c>
      <c r="P154">
        <f t="shared" si="109"/>
        <v>0</v>
      </c>
      <c r="Q154">
        <f t="shared" si="110"/>
        <v>0</v>
      </c>
      <c r="R154">
        <f t="shared" si="111"/>
        <v>0</v>
      </c>
      <c r="S154">
        <f t="shared" si="112"/>
        <v>0</v>
      </c>
      <c r="T154">
        <f t="shared" si="113"/>
        <v>0</v>
      </c>
      <c r="U154">
        <f t="shared" si="114"/>
        <v>0</v>
      </c>
      <c r="V154">
        <f t="shared" si="115"/>
        <v>0</v>
      </c>
      <c r="W154">
        <f t="shared" si="116"/>
        <v>0</v>
      </c>
      <c r="X154">
        <f t="shared" si="117"/>
        <v>0</v>
      </c>
      <c r="Y154">
        <f t="shared" si="118"/>
        <v>0</v>
      </c>
      <c r="Z154">
        <f t="shared" si="119"/>
        <v>0</v>
      </c>
      <c r="AA154">
        <f t="shared" si="120"/>
        <v>0</v>
      </c>
      <c r="AB154">
        <f t="shared" si="121"/>
        <v>0</v>
      </c>
      <c r="AC154">
        <f t="shared" si="122"/>
        <v>0</v>
      </c>
      <c r="AD154">
        <f t="shared" si="123"/>
        <v>0</v>
      </c>
      <c r="AE154">
        <f t="shared" si="124"/>
        <v>0</v>
      </c>
      <c r="AF154">
        <f t="shared" si="125"/>
        <v>0</v>
      </c>
      <c r="AG154">
        <f t="shared" si="126"/>
        <v>0</v>
      </c>
      <c r="AH154">
        <f t="shared" si="127"/>
        <v>0</v>
      </c>
      <c r="AI154">
        <f t="shared" si="128"/>
        <v>0</v>
      </c>
      <c r="AJ154">
        <f t="shared" si="129"/>
        <v>0</v>
      </c>
      <c r="AK154">
        <f t="shared" si="130"/>
        <v>0</v>
      </c>
      <c r="AL154">
        <f t="shared" si="131"/>
        <v>0</v>
      </c>
      <c r="AM154">
        <f t="shared" si="132"/>
        <v>0</v>
      </c>
      <c r="AN154">
        <f t="shared" si="133"/>
        <v>0</v>
      </c>
      <c r="AO154">
        <f t="shared" si="134"/>
        <v>0</v>
      </c>
      <c r="AP154">
        <f t="shared" si="135"/>
        <v>0</v>
      </c>
      <c r="AQ154">
        <f t="shared" si="136"/>
        <v>0</v>
      </c>
      <c r="AR154">
        <f t="shared" si="137"/>
        <v>0</v>
      </c>
      <c r="AS154">
        <f t="shared" si="138"/>
        <v>0</v>
      </c>
      <c r="AT154">
        <f t="shared" si="139"/>
        <v>0</v>
      </c>
      <c r="AU154">
        <f t="shared" si="140"/>
        <v>0</v>
      </c>
      <c r="AV154">
        <f t="shared" si="141"/>
        <v>0</v>
      </c>
      <c r="AW154">
        <f t="shared" si="96"/>
        <v>0</v>
      </c>
      <c r="AX154">
        <f t="shared" si="142"/>
        <v>0</v>
      </c>
      <c r="AY154">
        <f t="shared" si="143"/>
        <v>0</v>
      </c>
    </row>
    <row r="155" spans="1:51" x14ac:dyDescent="0.35">
      <c r="A155">
        <v>149</v>
      </c>
      <c r="C155">
        <f>MAX(0,Calc!$C$7-SUM(D155:R155))</f>
        <v>750</v>
      </c>
      <c r="D155">
        <f t="shared" si="97"/>
        <v>0</v>
      </c>
      <c r="E155">
        <f t="shared" si="98"/>
        <v>0</v>
      </c>
      <c r="F155">
        <f t="shared" si="99"/>
        <v>0</v>
      </c>
      <c r="G155">
        <f t="shared" si="100"/>
        <v>0</v>
      </c>
      <c r="H155">
        <f t="shared" si="101"/>
        <v>0</v>
      </c>
      <c r="I155">
        <f t="shared" si="102"/>
        <v>0</v>
      </c>
      <c r="J155">
        <f t="shared" si="103"/>
        <v>0</v>
      </c>
      <c r="K155">
        <f t="shared" si="104"/>
        <v>0</v>
      </c>
      <c r="L155">
        <f t="shared" si="105"/>
        <v>0</v>
      </c>
      <c r="M155">
        <f t="shared" si="106"/>
        <v>0</v>
      </c>
      <c r="N155">
        <f t="shared" si="107"/>
        <v>0</v>
      </c>
      <c r="O155">
        <f t="shared" si="108"/>
        <v>0</v>
      </c>
      <c r="P155">
        <f t="shared" si="109"/>
        <v>0</v>
      </c>
      <c r="Q155">
        <f t="shared" si="110"/>
        <v>0</v>
      </c>
      <c r="R155">
        <f t="shared" si="111"/>
        <v>0</v>
      </c>
      <c r="S155">
        <f t="shared" si="112"/>
        <v>0</v>
      </c>
      <c r="T155">
        <f t="shared" si="113"/>
        <v>0</v>
      </c>
      <c r="U155">
        <f t="shared" si="114"/>
        <v>0</v>
      </c>
      <c r="V155">
        <f t="shared" si="115"/>
        <v>0</v>
      </c>
      <c r="W155">
        <f t="shared" si="116"/>
        <v>0</v>
      </c>
      <c r="X155">
        <f t="shared" si="117"/>
        <v>0</v>
      </c>
      <c r="Y155">
        <f t="shared" si="118"/>
        <v>0</v>
      </c>
      <c r="Z155">
        <f t="shared" si="119"/>
        <v>0</v>
      </c>
      <c r="AA155">
        <f t="shared" si="120"/>
        <v>0</v>
      </c>
      <c r="AB155">
        <f t="shared" si="121"/>
        <v>0</v>
      </c>
      <c r="AC155">
        <f t="shared" si="122"/>
        <v>0</v>
      </c>
      <c r="AD155">
        <f t="shared" si="123"/>
        <v>0</v>
      </c>
      <c r="AE155">
        <f t="shared" si="124"/>
        <v>0</v>
      </c>
      <c r="AF155">
        <f t="shared" si="125"/>
        <v>0</v>
      </c>
      <c r="AG155">
        <f t="shared" si="126"/>
        <v>0</v>
      </c>
      <c r="AH155">
        <f t="shared" si="127"/>
        <v>0</v>
      </c>
      <c r="AI155">
        <f t="shared" si="128"/>
        <v>0</v>
      </c>
      <c r="AJ155">
        <f t="shared" si="129"/>
        <v>0</v>
      </c>
      <c r="AK155">
        <f t="shared" si="130"/>
        <v>0</v>
      </c>
      <c r="AL155">
        <f t="shared" si="131"/>
        <v>0</v>
      </c>
      <c r="AM155">
        <f t="shared" si="132"/>
        <v>0</v>
      </c>
      <c r="AN155">
        <f t="shared" si="133"/>
        <v>0</v>
      </c>
      <c r="AO155">
        <f t="shared" si="134"/>
        <v>0</v>
      </c>
      <c r="AP155">
        <f t="shared" si="135"/>
        <v>0</v>
      </c>
      <c r="AQ155">
        <f t="shared" si="136"/>
        <v>0</v>
      </c>
      <c r="AR155">
        <f t="shared" si="137"/>
        <v>0</v>
      </c>
      <c r="AS155">
        <f t="shared" si="138"/>
        <v>0</v>
      </c>
      <c r="AT155">
        <f t="shared" si="139"/>
        <v>0</v>
      </c>
      <c r="AU155">
        <f t="shared" si="140"/>
        <v>0</v>
      </c>
      <c r="AV155">
        <f t="shared" si="141"/>
        <v>0</v>
      </c>
      <c r="AW155">
        <f t="shared" si="96"/>
        <v>0</v>
      </c>
      <c r="AX155">
        <f t="shared" si="142"/>
        <v>0</v>
      </c>
      <c r="AY155">
        <f t="shared" si="143"/>
        <v>0</v>
      </c>
    </row>
    <row r="156" spans="1:51" x14ac:dyDescent="0.35">
      <c r="A156">
        <v>150</v>
      </c>
      <c r="C156">
        <f>MAX(0,Calc!$C$7-SUM(D156:R156))</f>
        <v>750</v>
      </c>
      <c r="D156">
        <f t="shared" si="97"/>
        <v>0</v>
      </c>
      <c r="E156">
        <f t="shared" si="98"/>
        <v>0</v>
      </c>
      <c r="F156">
        <f t="shared" si="99"/>
        <v>0</v>
      </c>
      <c r="G156">
        <f t="shared" si="100"/>
        <v>0</v>
      </c>
      <c r="H156">
        <f t="shared" si="101"/>
        <v>0</v>
      </c>
      <c r="I156">
        <f t="shared" si="102"/>
        <v>0</v>
      </c>
      <c r="J156">
        <f t="shared" si="103"/>
        <v>0</v>
      </c>
      <c r="K156">
        <f t="shared" si="104"/>
        <v>0</v>
      </c>
      <c r="L156">
        <f t="shared" si="105"/>
        <v>0</v>
      </c>
      <c r="M156">
        <f t="shared" si="106"/>
        <v>0</v>
      </c>
      <c r="N156">
        <f t="shared" si="107"/>
        <v>0</v>
      </c>
      <c r="O156">
        <f t="shared" si="108"/>
        <v>0</v>
      </c>
      <c r="P156">
        <f t="shared" si="109"/>
        <v>0</v>
      </c>
      <c r="Q156">
        <f t="shared" si="110"/>
        <v>0</v>
      </c>
      <c r="R156">
        <f t="shared" si="111"/>
        <v>0</v>
      </c>
      <c r="S156">
        <f t="shared" si="112"/>
        <v>0</v>
      </c>
      <c r="T156">
        <f t="shared" si="113"/>
        <v>0</v>
      </c>
      <c r="U156">
        <f t="shared" si="114"/>
        <v>0</v>
      </c>
      <c r="V156">
        <f t="shared" si="115"/>
        <v>0</v>
      </c>
      <c r="W156">
        <f t="shared" si="116"/>
        <v>0</v>
      </c>
      <c r="X156">
        <f t="shared" si="117"/>
        <v>0</v>
      </c>
      <c r="Y156">
        <f t="shared" si="118"/>
        <v>0</v>
      </c>
      <c r="Z156">
        <f t="shared" si="119"/>
        <v>0</v>
      </c>
      <c r="AA156">
        <f t="shared" si="120"/>
        <v>0</v>
      </c>
      <c r="AB156">
        <f t="shared" si="121"/>
        <v>0</v>
      </c>
      <c r="AC156">
        <f t="shared" si="122"/>
        <v>0</v>
      </c>
      <c r="AD156">
        <f t="shared" si="123"/>
        <v>0</v>
      </c>
      <c r="AE156">
        <f t="shared" si="124"/>
        <v>0</v>
      </c>
      <c r="AF156">
        <f t="shared" si="125"/>
        <v>0</v>
      </c>
      <c r="AG156">
        <f t="shared" si="126"/>
        <v>0</v>
      </c>
      <c r="AH156">
        <f t="shared" si="127"/>
        <v>0</v>
      </c>
      <c r="AI156">
        <f t="shared" si="128"/>
        <v>0</v>
      </c>
      <c r="AJ156">
        <f t="shared" si="129"/>
        <v>0</v>
      </c>
      <c r="AK156">
        <f t="shared" si="130"/>
        <v>0</v>
      </c>
      <c r="AL156">
        <f t="shared" si="131"/>
        <v>0</v>
      </c>
      <c r="AM156">
        <f t="shared" si="132"/>
        <v>0</v>
      </c>
      <c r="AN156">
        <f t="shared" si="133"/>
        <v>0</v>
      </c>
      <c r="AO156">
        <f t="shared" si="134"/>
        <v>0</v>
      </c>
      <c r="AP156">
        <f t="shared" si="135"/>
        <v>0</v>
      </c>
      <c r="AQ156">
        <f t="shared" si="136"/>
        <v>0</v>
      </c>
      <c r="AR156">
        <f t="shared" si="137"/>
        <v>0</v>
      </c>
      <c r="AS156">
        <f t="shared" si="138"/>
        <v>0</v>
      </c>
      <c r="AT156">
        <f t="shared" si="139"/>
        <v>0</v>
      </c>
      <c r="AU156">
        <f t="shared" si="140"/>
        <v>0</v>
      </c>
      <c r="AV156">
        <f t="shared" si="141"/>
        <v>0</v>
      </c>
      <c r="AW156">
        <f t="shared" si="96"/>
        <v>0</v>
      </c>
      <c r="AX156">
        <f t="shared" si="142"/>
        <v>0</v>
      </c>
      <c r="AY156">
        <f t="shared" si="143"/>
        <v>0</v>
      </c>
    </row>
    <row r="157" spans="1:51" x14ac:dyDescent="0.35">
      <c r="A157">
        <v>151</v>
      </c>
      <c r="C157">
        <f>MAX(0,Calc!$C$7-SUM(D157:R157))</f>
        <v>750</v>
      </c>
      <c r="D157">
        <f t="shared" si="97"/>
        <v>0</v>
      </c>
      <c r="E157">
        <f t="shared" si="98"/>
        <v>0</v>
      </c>
      <c r="F157">
        <f t="shared" si="99"/>
        <v>0</v>
      </c>
      <c r="G157">
        <f t="shared" si="100"/>
        <v>0</v>
      </c>
      <c r="H157">
        <f t="shared" si="101"/>
        <v>0</v>
      </c>
      <c r="I157">
        <f t="shared" si="102"/>
        <v>0</v>
      </c>
      <c r="J157">
        <f t="shared" si="103"/>
        <v>0</v>
      </c>
      <c r="K157">
        <f t="shared" si="104"/>
        <v>0</v>
      </c>
      <c r="L157">
        <f t="shared" si="105"/>
        <v>0</v>
      </c>
      <c r="M157">
        <f t="shared" si="106"/>
        <v>0</v>
      </c>
      <c r="N157">
        <f t="shared" si="107"/>
        <v>0</v>
      </c>
      <c r="O157">
        <f t="shared" si="108"/>
        <v>0</v>
      </c>
      <c r="P157">
        <f t="shared" si="109"/>
        <v>0</v>
      </c>
      <c r="Q157">
        <f t="shared" si="110"/>
        <v>0</v>
      </c>
      <c r="R157">
        <f t="shared" si="111"/>
        <v>0</v>
      </c>
      <c r="S157">
        <f t="shared" si="112"/>
        <v>0</v>
      </c>
      <c r="T157">
        <f t="shared" si="113"/>
        <v>0</v>
      </c>
      <c r="U157">
        <f t="shared" si="114"/>
        <v>0</v>
      </c>
      <c r="V157">
        <f t="shared" si="115"/>
        <v>0</v>
      </c>
      <c r="W157">
        <f t="shared" si="116"/>
        <v>0</v>
      </c>
      <c r="X157">
        <f t="shared" si="117"/>
        <v>0</v>
      </c>
      <c r="Y157">
        <f t="shared" si="118"/>
        <v>0</v>
      </c>
      <c r="Z157">
        <f t="shared" si="119"/>
        <v>0</v>
      </c>
      <c r="AA157">
        <f t="shared" si="120"/>
        <v>0</v>
      </c>
      <c r="AB157">
        <f t="shared" si="121"/>
        <v>0</v>
      </c>
      <c r="AC157">
        <f t="shared" si="122"/>
        <v>0</v>
      </c>
      <c r="AD157">
        <f t="shared" si="123"/>
        <v>0</v>
      </c>
      <c r="AE157">
        <f t="shared" si="124"/>
        <v>0</v>
      </c>
      <c r="AF157">
        <f t="shared" si="125"/>
        <v>0</v>
      </c>
      <c r="AG157">
        <f t="shared" si="126"/>
        <v>0</v>
      </c>
      <c r="AH157">
        <f t="shared" si="127"/>
        <v>0</v>
      </c>
      <c r="AI157">
        <f t="shared" si="128"/>
        <v>0</v>
      </c>
      <c r="AJ157">
        <f t="shared" si="129"/>
        <v>0</v>
      </c>
      <c r="AK157">
        <f t="shared" si="130"/>
        <v>0</v>
      </c>
      <c r="AL157">
        <f t="shared" si="131"/>
        <v>0</v>
      </c>
      <c r="AM157">
        <f t="shared" si="132"/>
        <v>0</v>
      </c>
      <c r="AN157">
        <f t="shared" si="133"/>
        <v>0</v>
      </c>
      <c r="AO157">
        <f t="shared" si="134"/>
        <v>0</v>
      </c>
      <c r="AP157">
        <f t="shared" si="135"/>
        <v>0</v>
      </c>
      <c r="AQ157">
        <f t="shared" si="136"/>
        <v>0</v>
      </c>
      <c r="AR157">
        <f t="shared" si="137"/>
        <v>0</v>
      </c>
      <c r="AS157">
        <f t="shared" si="138"/>
        <v>0</v>
      </c>
      <c r="AT157">
        <f t="shared" si="139"/>
        <v>0</v>
      </c>
      <c r="AU157">
        <f t="shared" si="140"/>
        <v>0</v>
      </c>
      <c r="AV157">
        <f t="shared" si="141"/>
        <v>0</v>
      </c>
      <c r="AW157">
        <f t="shared" si="96"/>
        <v>0</v>
      </c>
      <c r="AX157">
        <f t="shared" si="142"/>
        <v>0</v>
      </c>
      <c r="AY157">
        <f t="shared" si="143"/>
        <v>0</v>
      </c>
    </row>
    <row r="158" spans="1:51" x14ac:dyDescent="0.35">
      <c r="A158">
        <v>152</v>
      </c>
      <c r="C158">
        <f>MAX(0,Calc!$C$7-SUM(D158:R158))</f>
        <v>750</v>
      </c>
      <c r="D158">
        <f t="shared" si="97"/>
        <v>0</v>
      </c>
      <c r="E158">
        <f t="shared" si="98"/>
        <v>0</v>
      </c>
      <c r="F158">
        <f t="shared" si="99"/>
        <v>0</v>
      </c>
      <c r="G158">
        <f t="shared" si="100"/>
        <v>0</v>
      </c>
      <c r="H158">
        <f t="shared" si="101"/>
        <v>0</v>
      </c>
      <c r="I158">
        <f t="shared" si="102"/>
        <v>0</v>
      </c>
      <c r="J158">
        <f t="shared" si="103"/>
        <v>0</v>
      </c>
      <c r="K158">
        <f t="shared" si="104"/>
        <v>0</v>
      </c>
      <c r="L158">
        <f t="shared" si="105"/>
        <v>0</v>
      </c>
      <c r="M158">
        <f t="shared" si="106"/>
        <v>0</v>
      </c>
      <c r="N158">
        <f t="shared" si="107"/>
        <v>0</v>
      </c>
      <c r="O158">
        <f t="shared" si="108"/>
        <v>0</v>
      </c>
      <c r="P158">
        <f t="shared" si="109"/>
        <v>0</v>
      </c>
      <c r="Q158">
        <f t="shared" si="110"/>
        <v>0</v>
      </c>
      <c r="R158">
        <f t="shared" si="111"/>
        <v>0</v>
      </c>
      <c r="S158">
        <f t="shared" si="112"/>
        <v>0</v>
      </c>
      <c r="T158">
        <f t="shared" si="113"/>
        <v>0</v>
      </c>
      <c r="U158">
        <f t="shared" si="114"/>
        <v>0</v>
      </c>
      <c r="V158">
        <f t="shared" si="115"/>
        <v>0</v>
      </c>
      <c r="W158">
        <f t="shared" si="116"/>
        <v>0</v>
      </c>
      <c r="X158">
        <f t="shared" si="117"/>
        <v>0</v>
      </c>
      <c r="Y158">
        <f t="shared" si="118"/>
        <v>0</v>
      </c>
      <c r="Z158">
        <f t="shared" si="119"/>
        <v>0</v>
      </c>
      <c r="AA158">
        <f t="shared" si="120"/>
        <v>0</v>
      </c>
      <c r="AB158">
        <f t="shared" si="121"/>
        <v>0</v>
      </c>
      <c r="AC158">
        <f t="shared" si="122"/>
        <v>0</v>
      </c>
      <c r="AD158">
        <f t="shared" si="123"/>
        <v>0</v>
      </c>
      <c r="AE158">
        <f t="shared" si="124"/>
        <v>0</v>
      </c>
      <c r="AF158">
        <f t="shared" si="125"/>
        <v>0</v>
      </c>
      <c r="AG158">
        <f t="shared" si="126"/>
        <v>0</v>
      </c>
      <c r="AH158">
        <f t="shared" si="127"/>
        <v>0</v>
      </c>
      <c r="AI158">
        <f t="shared" si="128"/>
        <v>0</v>
      </c>
      <c r="AJ158">
        <f t="shared" si="129"/>
        <v>0</v>
      </c>
      <c r="AK158">
        <f t="shared" si="130"/>
        <v>0</v>
      </c>
      <c r="AL158">
        <f t="shared" si="131"/>
        <v>0</v>
      </c>
      <c r="AM158">
        <f t="shared" si="132"/>
        <v>0</v>
      </c>
      <c r="AN158">
        <f t="shared" si="133"/>
        <v>0</v>
      </c>
      <c r="AO158">
        <f t="shared" si="134"/>
        <v>0</v>
      </c>
      <c r="AP158">
        <f t="shared" si="135"/>
        <v>0</v>
      </c>
      <c r="AQ158">
        <f t="shared" si="136"/>
        <v>0</v>
      </c>
      <c r="AR158">
        <f t="shared" si="137"/>
        <v>0</v>
      </c>
      <c r="AS158">
        <f t="shared" si="138"/>
        <v>0</v>
      </c>
      <c r="AT158">
        <f t="shared" si="139"/>
        <v>0</v>
      </c>
      <c r="AU158">
        <f t="shared" si="140"/>
        <v>0</v>
      </c>
      <c r="AV158">
        <f t="shared" si="141"/>
        <v>0</v>
      </c>
      <c r="AW158">
        <f t="shared" si="96"/>
        <v>0</v>
      </c>
      <c r="AX158">
        <f t="shared" si="142"/>
        <v>0</v>
      </c>
      <c r="AY158">
        <f t="shared" si="143"/>
        <v>0</v>
      </c>
    </row>
    <row r="159" spans="1:51" x14ac:dyDescent="0.35">
      <c r="A159">
        <v>153</v>
      </c>
      <c r="C159">
        <f>MAX(0,Calc!$C$7-SUM(D159:R159))</f>
        <v>750</v>
      </c>
      <c r="D159">
        <f t="shared" si="97"/>
        <v>0</v>
      </c>
      <c r="E159">
        <f t="shared" si="98"/>
        <v>0</v>
      </c>
      <c r="F159">
        <f t="shared" si="99"/>
        <v>0</v>
      </c>
      <c r="G159">
        <f t="shared" si="100"/>
        <v>0</v>
      </c>
      <c r="H159">
        <f t="shared" si="101"/>
        <v>0</v>
      </c>
      <c r="I159">
        <f t="shared" si="102"/>
        <v>0</v>
      </c>
      <c r="J159">
        <f t="shared" si="103"/>
        <v>0</v>
      </c>
      <c r="K159">
        <f t="shared" si="104"/>
        <v>0</v>
      </c>
      <c r="L159">
        <f t="shared" si="105"/>
        <v>0</v>
      </c>
      <c r="M159">
        <f t="shared" si="106"/>
        <v>0</v>
      </c>
      <c r="N159">
        <f t="shared" si="107"/>
        <v>0</v>
      </c>
      <c r="O159">
        <f t="shared" si="108"/>
        <v>0</v>
      </c>
      <c r="P159">
        <f t="shared" si="109"/>
        <v>0</v>
      </c>
      <c r="Q159">
        <f t="shared" si="110"/>
        <v>0</v>
      </c>
      <c r="R159">
        <f t="shared" si="111"/>
        <v>0</v>
      </c>
      <c r="S159">
        <f t="shared" si="112"/>
        <v>0</v>
      </c>
      <c r="T159">
        <f t="shared" si="113"/>
        <v>0</v>
      </c>
      <c r="U159">
        <f t="shared" si="114"/>
        <v>0</v>
      </c>
      <c r="V159">
        <f t="shared" si="115"/>
        <v>0</v>
      </c>
      <c r="W159">
        <f t="shared" si="116"/>
        <v>0</v>
      </c>
      <c r="X159">
        <f t="shared" si="117"/>
        <v>0</v>
      </c>
      <c r="Y159">
        <f t="shared" si="118"/>
        <v>0</v>
      </c>
      <c r="Z159">
        <f t="shared" si="119"/>
        <v>0</v>
      </c>
      <c r="AA159">
        <f t="shared" si="120"/>
        <v>0</v>
      </c>
      <c r="AB159">
        <f t="shared" si="121"/>
        <v>0</v>
      </c>
      <c r="AC159">
        <f t="shared" si="122"/>
        <v>0</v>
      </c>
      <c r="AD159">
        <f t="shared" si="123"/>
        <v>0</v>
      </c>
      <c r="AE159">
        <f t="shared" si="124"/>
        <v>0</v>
      </c>
      <c r="AF159">
        <f t="shared" si="125"/>
        <v>0</v>
      </c>
      <c r="AG159">
        <f t="shared" si="126"/>
        <v>0</v>
      </c>
      <c r="AH159">
        <f t="shared" si="127"/>
        <v>0</v>
      </c>
      <c r="AI159">
        <f t="shared" si="128"/>
        <v>0</v>
      </c>
      <c r="AJ159">
        <f t="shared" si="129"/>
        <v>0</v>
      </c>
      <c r="AK159">
        <f t="shared" si="130"/>
        <v>0</v>
      </c>
      <c r="AL159">
        <f t="shared" si="131"/>
        <v>0</v>
      </c>
      <c r="AM159">
        <f t="shared" si="132"/>
        <v>0</v>
      </c>
      <c r="AN159">
        <f t="shared" si="133"/>
        <v>0</v>
      </c>
      <c r="AO159">
        <f t="shared" si="134"/>
        <v>0</v>
      </c>
      <c r="AP159">
        <f t="shared" si="135"/>
        <v>0</v>
      </c>
      <c r="AQ159">
        <f t="shared" si="136"/>
        <v>0</v>
      </c>
      <c r="AR159">
        <f t="shared" si="137"/>
        <v>0</v>
      </c>
      <c r="AS159">
        <f t="shared" si="138"/>
        <v>0</v>
      </c>
      <c r="AT159">
        <f t="shared" si="139"/>
        <v>0</v>
      </c>
      <c r="AU159">
        <f t="shared" si="140"/>
        <v>0</v>
      </c>
      <c r="AV159">
        <f t="shared" si="141"/>
        <v>0</v>
      </c>
      <c r="AW159">
        <f t="shared" si="96"/>
        <v>0</v>
      </c>
      <c r="AX159">
        <f t="shared" si="142"/>
        <v>0</v>
      </c>
      <c r="AY159">
        <f t="shared" si="143"/>
        <v>0</v>
      </c>
    </row>
    <row r="160" spans="1:51" x14ac:dyDescent="0.35">
      <c r="A160">
        <v>154</v>
      </c>
      <c r="C160">
        <f>MAX(0,Calc!$C$7-SUM(D160:R160))</f>
        <v>750</v>
      </c>
      <c r="D160">
        <f t="shared" si="97"/>
        <v>0</v>
      </c>
      <c r="E160">
        <f t="shared" si="98"/>
        <v>0</v>
      </c>
      <c r="F160">
        <f t="shared" si="99"/>
        <v>0</v>
      </c>
      <c r="G160">
        <f t="shared" si="100"/>
        <v>0</v>
      </c>
      <c r="H160">
        <f t="shared" si="101"/>
        <v>0</v>
      </c>
      <c r="I160">
        <f t="shared" si="102"/>
        <v>0</v>
      </c>
      <c r="J160">
        <f t="shared" si="103"/>
        <v>0</v>
      </c>
      <c r="K160">
        <f t="shared" si="104"/>
        <v>0</v>
      </c>
      <c r="L160">
        <f t="shared" si="105"/>
        <v>0</v>
      </c>
      <c r="M160">
        <f t="shared" si="106"/>
        <v>0</v>
      </c>
      <c r="N160">
        <f t="shared" si="107"/>
        <v>0</v>
      </c>
      <c r="O160">
        <f t="shared" si="108"/>
        <v>0</v>
      </c>
      <c r="P160">
        <f t="shared" si="109"/>
        <v>0</v>
      </c>
      <c r="Q160">
        <f t="shared" si="110"/>
        <v>0</v>
      </c>
      <c r="R160">
        <f t="shared" si="111"/>
        <v>0</v>
      </c>
      <c r="S160">
        <f t="shared" si="112"/>
        <v>0</v>
      </c>
      <c r="T160">
        <f t="shared" si="113"/>
        <v>0</v>
      </c>
      <c r="U160">
        <f t="shared" si="114"/>
        <v>0</v>
      </c>
      <c r="V160">
        <f t="shared" si="115"/>
        <v>0</v>
      </c>
      <c r="W160">
        <f t="shared" si="116"/>
        <v>0</v>
      </c>
      <c r="X160">
        <f t="shared" si="117"/>
        <v>0</v>
      </c>
      <c r="Y160">
        <f t="shared" si="118"/>
        <v>0</v>
      </c>
      <c r="Z160">
        <f t="shared" si="119"/>
        <v>0</v>
      </c>
      <c r="AA160">
        <f t="shared" si="120"/>
        <v>0</v>
      </c>
      <c r="AB160">
        <f t="shared" si="121"/>
        <v>0</v>
      </c>
      <c r="AC160">
        <f t="shared" si="122"/>
        <v>0</v>
      </c>
      <c r="AD160">
        <f t="shared" si="123"/>
        <v>0</v>
      </c>
      <c r="AE160">
        <f t="shared" si="124"/>
        <v>0</v>
      </c>
      <c r="AF160">
        <f t="shared" si="125"/>
        <v>0</v>
      </c>
      <c r="AG160">
        <f t="shared" si="126"/>
        <v>0</v>
      </c>
      <c r="AH160">
        <f t="shared" si="127"/>
        <v>0</v>
      </c>
      <c r="AI160">
        <f t="shared" si="128"/>
        <v>0</v>
      </c>
      <c r="AJ160">
        <f t="shared" si="129"/>
        <v>0</v>
      </c>
      <c r="AK160">
        <f t="shared" si="130"/>
        <v>0</v>
      </c>
      <c r="AL160">
        <f t="shared" si="131"/>
        <v>0</v>
      </c>
      <c r="AM160">
        <f t="shared" si="132"/>
        <v>0</v>
      </c>
      <c r="AN160">
        <f t="shared" si="133"/>
        <v>0</v>
      </c>
      <c r="AO160">
        <f t="shared" si="134"/>
        <v>0</v>
      </c>
      <c r="AP160">
        <f t="shared" si="135"/>
        <v>0</v>
      </c>
      <c r="AQ160">
        <f t="shared" si="136"/>
        <v>0</v>
      </c>
      <c r="AR160">
        <f t="shared" si="137"/>
        <v>0</v>
      </c>
      <c r="AS160">
        <f t="shared" si="138"/>
        <v>0</v>
      </c>
      <c r="AT160">
        <f t="shared" si="139"/>
        <v>0</v>
      </c>
      <c r="AU160">
        <f t="shared" si="140"/>
        <v>0</v>
      </c>
      <c r="AV160">
        <f t="shared" si="141"/>
        <v>0</v>
      </c>
      <c r="AW160">
        <f t="shared" si="96"/>
        <v>0</v>
      </c>
      <c r="AX160">
        <f t="shared" si="142"/>
        <v>0</v>
      </c>
      <c r="AY160">
        <f t="shared" si="143"/>
        <v>0</v>
      </c>
    </row>
    <row r="161" spans="1:51" x14ac:dyDescent="0.35">
      <c r="A161">
        <v>155</v>
      </c>
      <c r="C161">
        <f>MAX(0,Calc!$C$7-SUM(D161:R161))</f>
        <v>750</v>
      </c>
      <c r="D161">
        <f t="shared" si="97"/>
        <v>0</v>
      </c>
      <c r="E161">
        <f t="shared" si="98"/>
        <v>0</v>
      </c>
      <c r="F161">
        <f t="shared" si="99"/>
        <v>0</v>
      </c>
      <c r="G161">
        <f t="shared" si="100"/>
        <v>0</v>
      </c>
      <c r="H161">
        <f t="shared" si="101"/>
        <v>0</v>
      </c>
      <c r="I161">
        <f t="shared" si="102"/>
        <v>0</v>
      </c>
      <c r="J161">
        <f t="shared" si="103"/>
        <v>0</v>
      </c>
      <c r="K161">
        <f t="shared" si="104"/>
        <v>0</v>
      </c>
      <c r="L161">
        <f t="shared" si="105"/>
        <v>0</v>
      </c>
      <c r="M161">
        <f t="shared" si="106"/>
        <v>0</v>
      </c>
      <c r="N161">
        <f t="shared" si="107"/>
        <v>0</v>
      </c>
      <c r="O161">
        <f t="shared" si="108"/>
        <v>0</v>
      </c>
      <c r="P161">
        <f t="shared" si="109"/>
        <v>0</v>
      </c>
      <c r="Q161">
        <f t="shared" si="110"/>
        <v>0</v>
      </c>
      <c r="R161">
        <f t="shared" si="111"/>
        <v>0</v>
      </c>
      <c r="S161">
        <f t="shared" si="112"/>
        <v>0</v>
      </c>
      <c r="T161">
        <f t="shared" si="113"/>
        <v>0</v>
      </c>
      <c r="U161">
        <f t="shared" si="114"/>
        <v>0</v>
      </c>
      <c r="V161">
        <f t="shared" si="115"/>
        <v>0</v>
      </c>
      <c r="W161">
        <f t="shared" si="116"/>
        <v>0</v>
      </c>
      <c r="X161">
        <f t="shared" si="117"/>
        <v>0</v>
      </c>
      <c r="Y161">
        <f t="shared" si="118"/>
        <v>0</v>
      </c>
      <c r="Z161">
        <f t="shared" si="119"/>
        <v>0</v>
      </c>
      <c r="AA161">
        <f t="shared" si="120"/>
        <v>0</v>
      </c>
      <c r="AB161">
        <f t="shared" si="121"/>
        <v>0</v>
      </c>
      <c r="AC161">
        <f t="shared" si="122"/>
        <v>0</v>
      </c>
      <c r="AD161">
        <f t="shared" si="123"/>
        <v>0</v>
      </c>
      <c r="AE161">
        <f t="shared" si="124"/>
        <v>0</v>
      </c>
      <c r="AF161">
        <f t="shared" si="125"/>
        <v>0</v>
      </c>
      <c r="AG161">
        <f t="shared" si="126"/>
        <v>0</v>
      </c>
      <c r="AH161">
        <f t="shared" si="127"/>
        <v>0</v>
      </c>
      <c r="AI161">
        <f t="shared" si="128"/>
        <v>0</v>
      </c>
      <c r="AJ161">
        <f t="shared" si="129"/>
        <v>0</v>
      </c>
      <c r="AK161">
        <f t="shared" si="130"/>
        <v>0</v>
      </c>
      <c r="AL161">
        <f t="shared" si="131"/>
        <v>0</v>
      </c>
      <c r="AM161">
        <f t="shared" si="132"/>
        <v>0</v>
      </c>
      <c r="AN161">
        <f t="shared" si="133"/>
        <v>0</v>
      </c>
      <c r="AO161">
        <f t="shared" si="134"/>
        <v>0</v>
      </c>
      <c r="AP161">
        <f t="shared" si="135"/>
        <v>0</v>
      </c>
      <c r="AQ161">
        <f t="shared" si="136"/>
        <v>0</v>
      </c>
      <c r="AR161">
        <f t="shared" si="137"/>
        <v>0</v>
      </c>
      <c r="AS161">
        <f t="shared" si="138"/>
        <v>0</v>
      </c>
      <c r="AT161">
        <f t="shared" si="139"/>
        <v>0</v>
      </c>
      <c r="AU161">
        <f t="shared" si="140"/>
        <v>0</v>
      </c>
      <c r="AV161">
        <f t="shared" si="141"/>
        <v>0</v>
      </c>
      <c r="AW161">
        <f t="shared" si="96"/>
        <v>0</v>
      </c>
      <c r="AX161">
        <f t="shared" si="142"/>
        <v>0</v>
      </c>
      <c r="AY161">
        <f t="shared" si="143"/>
        <v>0</v>
      </c>
    </row>
    <row r="162" spans="1:51" x14ac:dyDescent="0.35">
      <c r="A162">
        <v>156</v>
      </c>
      <c r="C162">
        <f>MAX(0,Calc!$C$7-SUM(D162:R162))</f>
        <v>750</v>
      </c>
      <c r="D162">
        <f t="shared" si="97"/>
        <v>0</v>
      </c>
      <c r="E162">
        <f t="shared" si="98"/>
        <v>0</v>
      </c>
      <c r="F162">
        <f t="shared" si="99"/>
        <v>0</v>
      </c>
      <c r="G162">
        <f t="shared" si="100"/>
        <v>0</v>
      </c>
      <c r="H162">
        <f t="shared" si="101"/>
        <v>0</v>
      </c>
      <c r="I162">
        <f t="shared" si="102"/>
        <v>0</v>
      </c>
      <c r="J162">
        <f t="shared" si="103"/>
        <v>0</v>
      </c>
      <c r="K162">
        <f t="shared" si="104"/>
        <v>0</v>
      </c>
      <c r="L162">
        <f t="shared" si="105"/>
        <v>0</v>
      </c>
      <c r="M162">
        <f t="shared" si="106"/>
        <v>0</v>
      </c>
      <c r="N162">
        <f t="shared" si="107"/>
        <v>0</v>
      </c>
      <c r="O162">
        <f t="shared" si="108"/>
        <v>0</v>
      </c>
      <c r="P162">
        <f t="shared" si="109"/>
        <v>0</v>
      </c>
      <c r="Q162">
        <f t="shared" si="110"/>
        <v>0</v>
      </c>
      <c r="R162">
        <f t="shared" si="111"/>
        <v>0</v>
      </c>
      <c r="S162">
        <f t="shared" si="112"/>
        <v>0</v>
      </c>
      <c r="T162">
        <f t="shared" si="113"/>
        <v>0</v>
      </c>
      <c r="U162">
        <f t="shared" si="114"/>
        <v>0</v>
      </c>
      <c r="V162">
        <f t="shared" si="115"/>
        <v>0</v>
      </c>
      <c r="W162">
        <f t="shared" si="116"/>
        <v>0</v>
      </c>
      <c r="X162">
        <f t="shared" si="117"/>
        <v>0</v>
      </c>
      <c r="Y162">
        <f t="shared" si="118"/>
        <v>0</v>
      </c>
      <c r="Z162">
        <f t="shared" si="119"/>
        <v>0</v>
      </c>
      <c r="AA162">
        <f t="shared" si="120"/>
        <v>0</v>
      </c>
      <c r="AB162">
        <f t="shared" si="121"/>
        <v>0</v>
      </c>
      <c r="AC162">
        <f t="shared" si="122"/>
        <v>0</v>
      </c>
      <c r="AD162">
        <f t="shared" si="123"/>
        <v>0</v>
      </c>
      <c r="AE162">
        <f t="shared" si="124"/>
        <v>0</v>
      </c>
      <c r="AF162">
        <f t="shared" si="125"/>
        <v>0</v>
      </c>
      <c r="AG162">
        <f t="shared" si="126"/>
        <v>0</v>
      </c>
      <c r="AH162">
        <f t="shared" si="127"/>
        <v>0</v>
      </c>
      <c r="AI162">
        <f t="shared" si="128"/>
        <v>0</v>
      </c>
      <c r="AJ162">
        <f t="shared" si="129"/>
        <v>0</v>
      </c>
      <c r="AK162">
        <f t="shared" si="130"/>
        <v>0</v>
      </c>
      <c r="AL162">
        <f t="shared" si="131"/>
        <v>0</v>
      </c>
      <c r="AM162">
        <f t="shared" si="132"/>
        <v>0</v>
      </c>
      <c r="AN162">
        <f t="shared" si="133"/>
        <v>0</v>
      </c>
      <c r="AO162">
        <f t="shared" si="134"/>
        <v>0</v>
      </c>
      <c r="AP162">
        <f t="shared" si="135"/>
        <v>0</v>
      </c>
      <c r="AQ162">
        <f t="shared" si="136"/>
        <v>0</v>
      </c>
      <c r="AR162">
        <f t="shared" si="137"/>
        <v>0</v>
      </c>
      <c r="AS162">
        <f t="shared" si="138"/>
        <v>0</v>
      </c>
      <c r="AT162">
        <f t="shared" si="139"/>
        <v>0</v>
      </c>
      <c r="AU162">
        <f t="shared" si="140"/>
        <v>0</v>
      </c>
      <c r="AV162">
        <f t="shared" si="141"/>
        <v>0</v>
      </c>
      <c r="AW162">
        <f t="shared" si="96"/>
        <v>0</v>
      </c>
      <c r="AX162">
        <f t="shared" si="142"/>
        <v>0</v>
      </c>
      <c r="AY162">
        <f t="shared" si="143"/>
        <v>0</v>
      </c>
    </row>
    <row r="163" spans="1:51" x14ac:dyDescent="0.35">
      <c r="A163">
        <v>157</v>
      </c>
      <c r="C163">
        <f>MAX(0,Calc!$C$7-SUM(D163:R163))</f>
        <v>750</v>
      </c>
      <c r="D163">
        <f t="shared" si="97"/>
        <v>0</v>
      </c>
      <c r="E163">
        <f t="shared" si="98"/>
        <v>0</v>
      </c>
      <c r="F163">
        <f t="shared" si="99"/>
        <v>0</v>
      </c>
      <c r="G163">
        <f t="shared" si="100"/>
        <v>0</v>
      </c>
      <c r="H163">
        <f t="shared" si="101"/>
        <v>0</v>
      </c>
      <c r="I163">
        <f t="shared" si="102"/>
        <v>0</v>
      </c>
      <c r="J163">
        <f t="shared" si="103"/>
        <v>0</v>
      </c>
      <c r="K163">
        <f t="shared" si="104"/>
        <v>0</v>
      </c>
      <c r="L163">
        <f t="shared" si="105"/>
        <v>0</v>
      </c>
      <c r="M163">
        <f t="shared" si="106"/>
        <v>0</v>
      </c>
      <c r="N163">
        <f t="shared" si="107"/>
        <v>0</v>
      </c>
      <c r="O163">
        <f t="shared" si="108"/>
        <v>0</v>
      </c>
      <c r="P163">
        <f t="shared" si="109"/>
        <v>0</v>
      </c>
      <c r="Q163">
        <f t="shared" si="110"/>
        <v>0</v>
      </c>
      <c r="R163">
        <f t="shared" si="111"/>
        <v>0</v>
      </c>
      <c r="S163">
        <f t="shared" si="112"/>
        <v>0</v>
      </c>
      <c r="T163">
        <f t="shared" si="113"/>
        <v>0</v>
      </c>
      <c r="U163">
        <f t="shared" si="114"/>
        <v>0</v>
      </c>
      <c r="V163">
        <f t="shared" si="115"/>
        <v>0</v>
      </c>
      <c r="W163">
        <f t="shared" si="116"/>
        <v>0</v>
      </c>
      <c r="X163">
        <f t="shared" si="117"/>
        <v>0</v>
      </c>
      <c r="Y163">
        <f t="shared" si="118"/>
        <v>0</v>
      </c>
      <c r="Z163">
        <f t="shared" si="119"/>
        <v>0</v>
      </c>
      <c r="AA163">
        <f t="shared" si="120"/>
        <v>0</v>
      </c>
      <c r="AB163">
        <f t="shared" si="121"/>
        <v>0</v>
      </c>
      <c r="AC163">
        <f t="shared" si="122"/>
        <v>0</v>
      </c>
      <c r="AD163">
        <f t="shared" si="123"/>
        <v>0</v>
      </c>
      <c r="AE163">
        <f t="shared" si="124"/>
        <v>0</v>
      </c>
      <c r="AF163">
        <f t="shared" si="125"/>
        <v>0</v>
      </c>
      <c r="AG163">
        <f t="shared" si="126"/>
        <v>0</v>
      </c>
      <c r="AH163">
        <f t="shared" si="127"/>
        <v>0</v>
      </c>
      <c r="AI163">
        <f t="shared" si="128"/>
        <v>0</v>
      </c>
      <c r="AJ163">
        <f t="shared" si="129"/>
        <v>0</v>
      </c>
      <c r="AK163">
        <f t="shared" si="130"/>
        <v>0</v>
      </c>
      <c r="AL163">
        <f t="shared" si="131"/>
        <v>0</v>
      </c>
      <c r="AM163">
        <f t="shared" si="132"/>
        <v>0</v>
      </c>
      <c r="AN163">
        <f t="shared" si="133"/>
        <v>0</v>
      </c>
      <c r="AO163">
        <f t="shared" si="134"/>
        <v>0</v>
      </c>
      <c r="AP163">
        <f t="shared" si="135"/>
        <v>0</v>
      </c>
      <c r="AQ163">
        <f t="shared" si="136"/>
        <v>0</v>
      </c>
      <c r="AR163">
        <f t="shared" si="137"/>
        <v>0</v>
      </c>
      <c r="AS163">
        <f t="shared" si="138"/>
        <v>0</v>
      </c>
      <c r="AT163">
        <f t="shared" si="139"/>
        <v>0</v>
      </c>
      <c r="AU163">
        <f t="shared" si="140"/>
        <v>0</v>
      </c>
      <c r="AV163">
        <f t="shared" si="141"/>
        <v>0</v>
      </c>
      <c r="AW163">
        <f t="shared" si="96"/>
        <v>0</v>
      </c>
      <c r="AX163">
        <f t="shared" si="142"/>
        <v>0</v>
      </c>
      <c r="AY163">
        <f t="shared" si="143"/>
        <v>0</v>
      </c>
    </row>
    <row r="164" spans="1:51" x14ac:dyDescent="0.35">
      <c r="A164">
        <v>158</v>
      </c>
      <c r="C164">
        <f>MAX(0,Calc!$C$7-SUM(D164:R164))</f>
        <v>750</v>
      </c>
      <c r="D164">
        <f t="shared" si="97"/>
        <v>0</v>
      </c>
      <c r="E164">
        <f t="shared" si="98"/>
        <v>0</v>
      </c>
      <c r="F164">
        <f t="shared" si="99"/>
        <v>0</v>
      </c>
      <c r="G164">
        <f t="shared" si="100"/>
        <v>0</v>
      </c>
      <c r="H164">
        <f t="shared" si="101"/>
        <v>0</v>
      </c>
      <c r="I164">
        <f t="shared" si="102"/>
        <v>0</v>
      </c>
      <c r="J164">
        <f t="shared" si="103"/>
        <v>0</v>
      </c>
      <c r="K164">
        <f t="shared" si="104"/>
        <v>0</v>
      </c>
      <c r="L164">
        <f t="shared" si="105"/>
        <v>0</v>
      </c>
      <c r="M164">
        <f t="shared" si="106"/>
        <v>0</v>
      </c>
      <c r="N164">
        <f t="shared" si="107"/>
        <v>0</v>
      </c>
      <c r="O164">
        <f t="shared" si="108"/>
        <v>0</v>
      </c>
      <c r="P164">
        <f t="shared" si="109"/>
        <v>0</v>
      </c>
      <c r="Q164">
        <f t="shared" si="110"/>
        <v>0</v>
      </c>
      <c r="R164">
        <f t="shared" si="111"/>
        <v>0</v>
      </c>
      <c r="S164">
        <f t="shared" si="112"/>
        <v>0</v>
      </c>
      <c r="T164">
        <f t="shared" si="113"/>
        <v>0</v>
      </c>
      <c r="U164">
        <f t="shared" si="114"/>
        <v>0</v>
      </c>
      <c r="V164">
        <f t="shared" si="115"/>
        <v>0</v>
      </c>
      <c r="W164">
        <f t="shared" si="116"/>
        <v>0</v>
      </c>
      <c r="X164">
        <f t="shared" si="117"/>
        <v>0</v>
      </c>
      <c r="Y164">
        <f t="shared" si="118"/>
        <v>0</v>
      </c>
      <c r="Z164">
        <f t="shared" si="119"/>
        <v>0</v>
      </c>
      <c r="AA164">
        <f t="shared" si="120"/>
        <v>0</v>
      </c>
      <c r="AB164">
        <f t="shared" si="121"/>
        <v>0</v>
      </c>
      <c r="AC164">
        <f t="shared" si="122"/>
        <v>0</v>
      </c>
      <c r="AD164">
        <f t="shared" si="123"/>
        <v>0</v>
      </c>
      <c r="AE164">
        <f t="shared" si="124"/>
        <v>0</v>
      </c>
      <c r="AF164">
        <f t="shared" si="125"/>
        <v>0</v>
      </c>
      <c r="AG164">
        <f t="shared" si="126"/>
        <v>0</v>
      </c>
      <c r="AH164">
        <f t="shared" si="127"/>
        <v>0</v>
      </c>
      <c r="AI164">
        <f t="shared" si="128"/>
        <v>0</v>
      </c>
      <c r="AJ164">
        <f t="shared" si="129"/>
        <v>0</v>
      </c>
      <c r="AK164">
        <f t="shared" si="130"/>
        <v>0</v>
      </c>
      <c r="AL164">
        <f t="shared" si="131"/>
        <v>0</v>
      </c>
      <c r="AM164">
        <f t="shared" si="132"/>
        <v>0</v>
      </c>
      <c r="AN164">
        <f t="shared" si="133"/>
        <v>0</v>
      </c>
      <c r="AO164">
        <f t="shared" si="134"/>
        <v>0</v>
      </c>
      <c r="AP164">
        <f t="shared" si="135"/>
        <v>0</v>
      </c>
      <c r="AQ164">
        <f t="shared" si="136"/>
        <v>0</v>
      </c>
      <c r="AR164">
        <f t="shared" si="137"/>
        <v>0</v>
      </c>
      <c r="AS164">
        <f t="shared" si="138"/>
        <v>0</v>
      </c>
      <c r="AT164">
        <f t="shared" si="139"/>
        <v>0</v>
      </c>
      <c r="AU164">
        <f t="shared" si="140"/>
        <v>0</v>
      </c>
      <c r="AV164">
        <f t="shared" si="141"/>
        <v>0</v>
      </c>
      <c r="AW164">
        <f t="shared" si="96"/>
        <v>0</v>
      </c>
      <c r="AX164">
        <f t="shared" si="142"/>
        <v>0</v>
      </c>
      <c r="AY164">
        <f t="shared" si="143"/>
        <v>0</v>
      </c>
    </row>
    <row r="165" spans="1:51" x14ac:dyDescent="0.35">
      <c r="A165">
        <v>159</v>
      </c>
      <c r="C165">
        <f>MAX(0,Calc!$C$7-SUM(D165:R165))</f>
        <v>750</v>
      </c>
      <c r="D165">
        <f t="shared" si="97"/>
        <v>0</v>
      </c>
      <c r="E165">
        <f t="shared" si="98"/>
        <v>0</v>
      </c>
      <c r="F165">
        <f t="shared" si="99"/>
        <v>0</v>
      </c>
      <c r="G165">
        <f t="shared" si="100"/>
        <v>0</v>
      </c>
      <c r="H165">
        <f t="shared" si="101"/>
        <v>0</v>
      </c>
      <c r="I165">
        <f t="shared" si="102"/>
        <v>0</v>
      </c>
      <c r="J165">
        <f t="shared" si="103"/>
        <v>0</v>
      </c>
      <c r="K165">
        <f t="shared" si="104"/>
        <v>0</v>
      </c>
      <c r="L165">
        <f t="shared" si="105"/>
        <v>0</v>
      </c>
      <c r="M165">
        <f t="shared" si="106"/>
        <v>0</v>
      </c>
      <c r="N165">
        <f t="shared" si="107"/>
        <v>0</v>
      </c>
      <c r="O165">
        <f t="shared" si="108"/>
        <v>0</v>
      </c>
      <c r="P165">
        <f t="shared" si="109"/>
        <v>0</v>
      </c>
      <c r="Q165">
        <f t="shared" si="110"/>
        <v>0</v>
      </c>
      <c r="R165">
        <f t="shared" si="111"/>
        <v>0</v>
      </c>
      <c r="S165">
        <f t="shared" si="112"/>
        <v>0</v>
      </c>
      <c r="T165">
        <f t="shared" si="113"/>
        <v>0</v>
      </c>
      <c r="U165">
        <f t="shared" si="114"/>
        <v>0</v>
      </c>
      <c r="V165">
        <f t="shared" si="115"/>
        <v>0</v>
      </c>
      <c r="W165">
        <f t="shared" si="116"/>
        <v>0</v>
      </c>
      <c r="X165">
        <f t="shared" si="117"/>
        <v>0</v>
      </c>
      <c r="Y165">
        <f t="shared" si="118"/>
        <v>0</v>
      </c>
      <c r="Z165">
        <f t="shared" si="119"/>
        <v>0</v>
      </c>
      <c r="AA165">
        <f t="shared" si="120"/>
        <v>0</v>
      </c>
      <c r="AB165">
        <f t="shared" si="121"/>
        <v>0</v>
      </c>
      <c r="AC165">
        <f t="shared" si="122"/>
        <v>0</v>
      </c>
      <c r="AD165">
        <f t="shared" si="123"/>
        <v>0</v>
      </c>
      <c r="AE165">
        <f t="shared" si="124"/>
        <v>0</v>
      </c>
      <c r="AF165">
        <f t="shared" si="125"/>
        <v>0</v>
      </c>
      <c r="AG165">
        <f t="shared" si="126"/>
        <v>0</v>
      </c>
      <c r="AH165">
        <f t="shared" si="127"/>
        <v>0</v>
      </c>
      <c r="AI165">
        <f t="shared" si="128"/>
        <v>0</v>
      </c>
      <c r="AJ165">
        <f t="shared" si="129"/>
        <v>0</v>
      </c>
      <c r="AK165">
        <f t="shared" si="130"/>
        <v>0</v>
      </c>
      <c r="AL165">
        <f t="shared" si="131"/>
        <v>0</v>
      </c>
      <c r="AM165">
        <f t="shared" si="132"/>
        <v>0</v>
      </c>
      <c r="AN165">
        <f t="shared" si="133"/>
        <v>0</v>
      </c>
      <c r="AO165">
        <f t="shared" si="134"/>
        <v>0</v>
      </c>
      <c r="AP165">
        <f t="shared" si="135"/>
        <v>0</v>
      </c>
      <c r="AQ165">
        <f t="shared" si="136"/>
        <v>0</v>
      </c>
      <c r="AR165">
        <f t="shared" si="137"/>
        <v>0</v>
      </c>
      <c r="AS165">
        <f t="shared" si="138"/>
        <v>0</v>
      </c>
      <c r="AT165">
        <f t="shared" si="139"/>
        <v>0</v>
      </c>
      <c r="AU165">
        <f t="shared" si="140"/>
        <v>0</v>
      </c>
      <c r="AV165">
        <f t="shared" si="141"/>
        <v>0</v>
      </c>
      <c r="AW165">
        <f t="shared" si="96"/>
        <v>0</v>
      </c>
      <c r="AX165">
        <f t="shared" si="142"/>
        <v>0</v>
      </c>
      <c r="AY165">
        <f t="shared" si="143"/>
        <v>0</v>
      </c>
    </row>
    <row r="166" spans="1:51" x14ac:dyDescent="0.35">
      <c r="A166">
        <v>160</v>
      </c>
      <c r="C166">
        <f>MAX(0,Calc!$C$7-SUM(D166:R166))</f>
        <v>750</v>
      </c>
      <c r="D166">
        <f t="shared" si="97"/>
        <v>0</v>
      </c>
      <c r="E166">
        <f t="shared" si="98"/>
        <v>0</v>
      </c>
      <c r="F166">
        <f t="shared" si="99"/>
        <v>0</v>
      </c>
      <c r="G166">
        <f t="shared" si="100"/>
        <v>0</v>
      </c>
      <c r="H166">
        <f t="shared" si="101"/>
        <v>0</v>
      </c>
      <c r="I166">
        <f t="shared" si="102"/>
        <v>0</v>
      </c>
      <c r="J166">
        <f t="shared" si="103"/>
        <v>0</v>
      </c>
      <c r="K166">
        <f t="shared" si="104"/>
        <v>0</v>
      </c>
      <c r="L166">
        <f t="shared" si="105"/>
        <v>0</v>
      </c>
      <c r="M166">
        <f t="shared" si="106"/>
        <v>0</v>
      </c>
      <c r="N166">
        <f t="shared" si="107"/>
        <v>0</v>
      </c>
      <c r="O166">
        <f t="shared" si="108"/>
        <v>0</v>
      </c>
      <c r="P166">
        <f t="shared" si="109"/>
        <v>0</v>
      </c>
      <c r="Q166">
        <f t="shared" si="110"/>
        <v>0</v>
      </c>
      <c r="R166">
        <f t="shared" si="111"/>
        <v>0</v>
      </c>
      <c r="S166">
        <f t="shared" si="112"/>
        <v>0</v>
      </c>
      <c r="T166">
        <f t="shared" si="113"/>
        <v>0</v>
      </c>
      <c r="U166">
        <f t="shared" si="114"/>
        <v>0</v>
      </c>
      <c r="V166">
        <f t="shared" si="115"/>
        <v>0</v>
      </c>
      <c r="W166">
        <f t="shared" si="116"/>
        <v>0</v>
      </c>
      <c r="X166">
        <f t="shared" si="117"/>
        <v>0</v>
      </c>
      <c r="Y166">
        <f t="shared" si="118"/>
        <v>0</v>
      </c>
      <c r="Z166">
        <f t="shared" si="119"/>
        <v>0</v>
      </c>
      <c r="AA166">
        <f t="shared" si="120"/>
        <v>0</v>
      </c>
      <c r="AB166">
        <f t="shared" si="121"/>
        <v>0</v>
      </c>
      <c r="AC166">
        <f t="shared" si="122"/>
        <v>0</v>
      </c>
      <c r="AD166">
        <f t="shared" si="123"/>
        <v>0</v>
      </c>
      <c r="AE166">
        <f t="shared" si="124"/>
        <v>0</v>
      </c>
      <c r="AF166">
        <f t="shared" si="125"/>
        <v>0</v>
      </c>
      <c r="AG166">
        <f t="shared" si="126"/>
        <v>0</v>
      </c>
      <c r="AH166">
        <f t="shared" si="127"/>
        <v>0</v>
      </c>
      <c r="AI166">
        <f t="shared" si="128"/>
        <v>0</v>
      </c>
      <c r="AJ166">
        <f t="shared" si="129"/>
        <v>0</v>
      </c>
      <c r="AK166">
        <f t="shared" si="130"/>
        <v>0</v>
      </c>
      <c r="AL166">
        <f t="shared" si="131"/>
        <v>0</v>
      </c>
      <c r="AM166">
        <f t="shared" si="132"/>
        <v>0</v>
      </c>
      <c r="AN166">
        <f t="shared" si="133"/>
        <v>0</v>
      </c>
      <c r="AO166">
        <f t="shared" si="134"/>
        <v>0</v>
      </c>
      <c r="AP166">
        <f t="shared" si="135"/>
        <v>0</v>
      </c>
      <c r="AQ166">
        <f t="shared" si="136"/>
        <v>0</v>
      </c>
      <c r="AR166">
        <f t="shared" si="137"/>
        <v>0</v>
      </c>
      <c r="AS166">
        <f t="shared" si="138"/>
        <v>0</v>
      </c>
      <c r="AT166">
        <f t="shared" si="139"/>
        <v>0</v>
      </c>
      <c r="AU166">
        <f t="shared" si="140"/>
        <v>0</v>
      </c>
      <c r="AV166">
        <f t="shared" si="141"/>
        <v>0</v>
      </c>
      <c r="AW166">
        <f t="shared" si="96"/>
        <v>0</v>
      </c>
      <c r="AX166">
        <f t="shared" si="142"/>
        <v>0</v>
      </c>
      <c r="AY166">
        <f t="shared" si="143"/>
        <v>0</v>
      </c>
    </row>
    <row r="167" spans="1:51" x14ac:dyDescent="0.35">
      <c r="A167">
        <v>161</v>
      </c>
      <c r="C167">
        <f>MAX(0,Calc!$C$7-SUM(D167:R167))</f>
        <v>750</v>
      </c>
      <c r="D167">
        <f t="shared" si="97"/>
        <v>0</v>
      </c>
      <c r="E167">
        <f t="shared" si="98"/>
        <v>0</v>
      </c>
      <c r="F167">
        <f t="shared" si="99"/>
        <v>0</v>
      </c>
      <c r="G167">
        <f t="shared" si="100"/>
        <v>0</v>
      </c>
      <c r="H167">
        <f t="shared" si="101"/>
        <v>0</v>
      </c>
      <c r="I167">
        <f t="shared" si="102"/>
        <v>0</v>
      </c>
      <c r="J167">
        <f t="shared" si="103"/>
        <v>0</v>
      </c>
      <c r="K167">
        <f t="shared" si="104"/>
        <v>0</v>
      </c>
      <c r="L167">
        <f t="shared" si="105"/>
        <v>0</v>
      </c>
      <c r="M167">
        <f t="shared" si="106"/>
        <v>0</v>
      </c>
      <c r="N167">
        <f t="shared" si="107"/>
        <v>0</v>
      </c>
      <c r="O167">
        <f t="shared" si="108"/>
        <v>0</v>
      </c>
      <c r="P167">
        <f t="shared" si="109"/>
        <v>0</v>
      </c>
      <c r="Q167">
        <f t="shared" si="110"/>
        <v>0</v>
      </c>
      <c r="R167">
        <f t="shared" si="111"/>
        <v>0</v>
      </c>
      <c r="S167">
        <f t="shared" si="112"/>
        <v>0</v>
      </c>
      <c r="T167">
        <f t="shared" si="113"/>
        <v>0</v>
      </c>
      <c r="U167">
        <f t="shared" si="114"/>
        <v>0</v>
      </c>
      <c r="V167">
        <f t="shared" si="115"/>
        <v>0</v>
      </c>
      <c r="W167">
        <f t="shared" si="116"/>
        <v>0</v>
      </c>
      <c r="X167">
        <f t="shared" si="117"/>
        <v>0</v>
      </c>
      <c r="Y167">
        <f t="shared" si="118"/>
        <v>0</v>
      </c>
      <c r="Z167">
        <f t="shared" si="119"/>
        <v>0</v>
      </c>
      <c r="AA167">
        <f t="shared" si="120"/>
        <v>0</v>
      </c>
      <c r="AB167">
        <f t="shared" si="121"/>
        <v>0</v>
      </c>
      <c r="AC167">
        <f t="shared" si="122"/>
        <v>0</v>
      </c>
      <c r="AD167">
        <f t="shared" si="123"/>
        <v>0</v>
      </c>
      <c r="AE167">
        <f t="shared" si="124"/>
        <v>0</v>
      </c>
      <c r="AF167">
        <f t="shared" si="125"/>
        <v>0</v>
      </c>
      <c r="AG167">
        <f t="shared" si="126"/>
        <v>0</v>
      </c>
      <c r="AH167">
        <f t="shared" si="127"/>
        <v>0</v>
      </c>
      <c r="AI167">
        <f t="shared" si="128"/>
        <v>0</v>
      </c>
      <c r="AJ167">
        <f t="shared" si="129"/>
        <v>0</v>
      </c>
      <c r="AK167">
        <f t="shared" si="130"/>
        <v>0</v>
      </c>
      <c r="AL167">
        <f t="shared" si="131"/>
        <v>0</v>
      </c>
      <c r="AM167">
        <f t="shared" si="132"/>
        <v>0</v>
      </c>
      <c r="AN167">
        <f t="shared" si="133"/>
        <v>0</v>
      </c>
      <c r="AO167">
        <f t="shared" si="134"/>
        <v>0</v>
      </c>
      <c r="AP167">
        <f t="shared" si="135"/>
        <v>0</v>
      </c>
      <c r="AQ167">
        <f t="shared" si="136"/>
        <v>0</v>
      </c>
      <c r="AR167">
        <f t="shared" si="137"/>
        <v>0</v>
      </c>
      <c r="AS167">
        <f t="shared" si="138"/>
        <v>0</v>
      </c>
      <c r="AT167">
        <f t="shared" si="139"/>
        <v>0</v>
      </c>
      <c r="AU167">
        <f t="shared" si="140"/>
        <v>0</v>
      </c>
      <c r="AV167">
        <f t="shared" si="141"/>
        <v>0</v>
      </c>
      <c r="AW167">
        <f t="shared" si="96"/>
        <v>0</v>
      </c>
      <c r="AX167">
        <f t="shared" si="142"/>
        <v>0</v>
      </c>
      <c r="AY167">
        <f t="shared" si="143"/>
        <v>0</v>
      </c>
    </row>
    <row r="168" spans="1:51" x14ac:dyDescent="0.35">
      <c r="A168">
        <v>162</v>
      </c>
      <c r="C168">
        <f>MAX(0,Calc!$C$7-SUM(D168:R168))</f>
        <v>750</v>
      </c>
      <c r="D168">
        <f t="shared" si="97"/>
        <v>0</v>
      </c>
      <c r="E168">
        <f t="shared" si="98"/>
        <v>0</v>
      </c>
      <c r="F168">
        <f t="shared" si="99"/>
        <v>0</v>
      </c>
      <c r="G168">
        <f t="shared" si="100"/>
        <v>0</v>
      </c>
      <c r="H168">
        <f t="shared" si="101"/>
        <v>0</v>
      </c>
      <c r="I168">
        <f t="shared" si="102"/>
        <v>0</v>
      </c>
      <c r="J168">
        <f t="shared" si="103"/>
        <v>0</v>
      </c>
      <c r="K168">
        <f t="shared" si="104"/>
        <v>0</v>
      </c>
      <c r="L168">
        <f t="shared" si="105"/>
        <v>0</v>
      </c>
      <c r="M168">
        <f t="shared" si="106"/>
        <v>0</v>
      </c>
      <c r="N168">
        <f t="shared" si="107"/>
        <v>0</v>
      </c>
      <c r="O168">
        <f t="shared" si="108"/>
        <v>0</v>
      </c>
      <c r="P168">
        <f t="shared" si="109"/>
        <v>0</v>
      </c>
      <c r="Q168">
        <f t="shared" si="110"/>
        <v>0</v>
      </c>
      <c r="R168">
        <f t="shared" si="111"/>
        <v>0</v>
      </c>
      <c r="S168">
        <f t="shared" si="112"/>
        <v>0</v>
      </c>
      <c r="T168">
        <f t="shared" si="113"/>
        <v>0</v>
      </c>
      <c r="U168">
        <f t="shared" si="114"/>
        <v>0</v>
      </c>
      <c r="V168">
        <f t="shared" si="115"/>
        <v>0</v>
      </c>
      <c r="W168">
        <f t="shared" si="116"/>
        <v>0</v>
      </c>
      <c r="X168">
        <f t="shared" si="117"/>
        <v>0</v>
      </c>
      <c r="Y168">
        <f t="shared" si="118"/>
        <v>0</v>
      </c>
      <c r="Z168">
        <f t="shared" si="119"/>
        <v>0</v>
      </c>
      <c r="AA168">
        <f t="shared" si="120"/>
        <v>0</v>
      </c>
      <c r="AB168">
        <f t="shared" si="121"/>
        <v>0</v>
      </c>
      <c r="AC168">
        <f t="shared" si="122"/>
        <v>0</v>
      </c>
      <c r="AD168">
        <f t="shared" si="123"/>
        <v>0</v>
      </c>
      <c r="AE168">
        <f t="shared" si="124"/>
        <v>0</v>
      </c>
      <c r="AF168">
        <f t="shared" si="125"/>
        <v>0</v>
      </c>
      <c r="AG168">
        <f t="shared" si="126"/>
        <v>0</v>
      </c>
      <c r="AH168">
        <f t="shared" si="127"/>
        <v>0</v>
      </c>
      <c r="AI168">
        <f t="shared" si="128"/>
        <v>0</v>
      </c>
      <c r="AJ168">
        <f t="shared" si="129"/>
        <v>0</v>
      </c>
      <c r="AK168">
        <f t="shared" si="130"/>
        <v>0</v>
      </c>
      <c r="AL168">
        <f t="shared" si="131"/>
        <v>0</v>
      </c>
      <c r="AM168">
        <f t="shared" si="132"/>
        <v>0</v>
      </c>
      <c r="AN168">
        <f t="shared" si="133"/>
        <v>0</v>
      </c>
      <c r="AO168">
        <f t="shared" si="134"/>
        <v>0</v>
      </c>
      <c r="AP168">
        <f t="shared" si="135"/>
        <v>0</v>
      </c>
      <c r="AQ168">
        <f t="shared" si="136"/>
        <v>0</v>
      </c>
      <c r="AR168">
        <f t="shared" si="137"/>
        <v>0</v>
      </c>
      <c r="AS168">
        <f t="shared" si="138"/>
        <v>0</v>
      </c>
      <c r="AT168">
        <f t="shared" si="139"/>
        <v>0</v>
      </c>
      <c r="AU168">
        <f t="shared" si="140"/>
        <v>0</v>
      </c>
      <c r="AV168">
        <f t="shared" si="141"/>
        <v>0</v>
      </c>
      <c r="AW168">
        <f t="shared" si="96"/>
        <v>0</v>
      </c>
      <c r="AX168">
        <f t="shared" si="142"/>
        <v>0</v>
      </c>
      <c r="AY168">
        <f t="shared" si="143"/>
        <v>0</v>
      </c>
    </row>
    <row r="169" spans="1:51" x14ac:dyDescent="0.35">
      <c r="A169">
        <v>163</v>
      </c>
      <c r="C169">
        <f>MAX(0,Calc!$C$7-SUM(D169:R169))</f>
        <v>750</v>
      </c>
      <c r="D169">
        <f t="shared" si="97"/>
        <v>0</v>
      </c>
      <c r="E169">
        <f t="shared" si="98"/>
        <v>0</v>
      </c>
      <c r="F169">
        <f t="shared" si="99"/>
        <v>0</v>
      </c>
      <c r="G169">
        <f t="shared" si="100"/>
        <v>0</v>
      </c>
      <c r="H169">
        <f t="shared" si="101"/>
        <v>0</v>
      </c>
      <c r="I169">
        <f t="shared" si="102"/>
        <v>0</v>
      </c>
      <c r="J169">
        <f t="shared" si="103"/>
        <v>0</v>
      </c>
      <c r="K169">
        <f t="shared" si="104"/>
        <v>0</v>
      </c>
      <c r="L169">
        <f t="shared" si="105"/>
        <v>0</v>
      </c>
      <c r="M169">
        <f t="shared" si="106"/>
        <v>0</v>
      </c>
      <c r="N169">
        <f t="shared" si="107"/>
        <v>0</v>
      </c>
      <c r="O169">
        <f t="shared" si="108"/>
        <v>0</v>
      </c>
      <c r="P169">
        <f t="shared" si="109"/>
        <v>0</v>
      </c>
      <c r="Q169">
        <f t="shared" si="110"/>
        <v>0</v>
      </c>
      <c r="R169">
        <f t="shared" si="111"/>
        <v>0</v>
      </c>
      <c r="S169">
        <f t="shared" si="112"/>
        <v>0</v>
      </c>
      <c r="T169">
        <f t="shared" si="113"/>
        <v>0</v>
      </c>
      <c r="U169">
        <f t="shared" si="114"/>
        <v>0</v>
      </c>
      <c r="V169">
        <f t="shared" si="115"/>
        <v>0</v>
      </c>
      <c r="W169">
        <f t="shared" si="116"/>
        <v>0</v>
      </c>
      <c r="X169">
        <f t="shared" si="117"/>
        <v>0</v>
      </c>
      <c r="Y169">
        <f t="shared" si="118"/>
        <v>0</v>
      </c>
      <c r="Z169">
        <f t="shared" si="119"/>
        <v>0</v>
      </c>
      <c r="AA169">
        <f t="shared" si="120"/>
        <v>0</v>
      </c>
      <c r="AB169">
        <f t="shared" si="121"/>
        <v>0</v>
      </c>
      <c r="AC169">
        <f t="shared" si="122"/>
        <v>0</v>
      </c>
      <c r="AD169">
        <f t="shared" si="123"/>
        <v>0</v>
      </c>
      <c r="AE169">
        <f t="shared" si="124"/>
        <v>0</v>
      </c>
      <c r="AF169">
        <f t="shared" si="125"/>
        <v>0</v>
      </c>
      <c r="AG169">
        <f t="shared" si="126"/>
        <v>0</v>
      </c>
      <c r="AH169">
        <f t="shared" si="127"/>
        <v>0</v>
      </c>
      <c r="AI169">
        <f t="shared" si="128"/>
        <v>0</v>
      </c>
      <c r="AJ169">
        <f t="shared" si="129"/>
        <v>0</v>
      </c>
      <c r="AK169">
        <f t="shared" si="130"/>
        <v>0</v>
      </c>
      <c r="AL169">
        <f t="shared" si="131"/>
        <v>0</v>
      </c>
      <c r="AM169">
        <f t="shared" si="132"/>
        <v>0</v>
      </c>
      <c r="AN169">
        <f t="shared" si="133"/>
        <v>0</v>
      </c>
      <c r="AO169">
        <f t="shared" si="134"/>
        <v>0</v>
      </c>
      <c r="AP169">
        <f t="shared" si="135"/>
        <v>0</v>
      </c>
      <c r="AQ169">
        <f t="shared" si="136"/>
        <v>0</v>
      </c>
      <c r="AR169">
        <f t="shared" si="137"/>
        <v>0</v>
      </c>
      <c r="AS169">
        <f t="shared" si="138"/>
        <v>0</v>
      </c>
      <c r="AT169">
        <f t="shared" si="139"/>
        <v>0</v>
      </c>
      <c r="AU169">
        <f t="shared" si="140"/>
        <v>0</v>
      </c>
      <c r="AV169">
        <f t="shared" si="141"/>
        <v>0</v>
      </c>
      <c r="AW169">
        <f t="shared" si="96"/>
        <v>0</v>
      </c>
      <c r="AX169">
        <f t="shared" si="142"/>
        <v>0</v>
      </c>
      <c r="AY169">
        <f t="shared" si="143"/>
        <v>0</v>
      </c>
    </row>
    <row r="170" spans="1:51" x14ac:dyDescent="0.35">
      <c r="A170">
        <v>164</v>
      </c>
      <c r="C170">
        <f>MAX(0,Calc!$C$7-SUM(D170:R170))</f>
        <v>750</v>
      </c>
      <c r="D170">
        <f t="shared" si="97"/>
        <v>0</v>
      </c>
      <c r="E170">
        <f t="shared" si="98"/>
        <v>0</v>
      </c>
      <c r="F170">
        <f t="shared" si="99"/>
        <v>0</v>
      </c>
      <c r="G170">
        <f t="shared" si="100"/>
        <v>0</v>
      </c>
      <c r="H170">
        <f t="shared" si="101"/>
        <v>0</v>
      </c>
      <c r="I170">
        <f t="shared" si="102"/>
        <v>0</v>
      </c>
      <c r="J170">
        <f t="shared" si="103"/>
        <v>0</v>
      </c>
      <c r="K170">
        <f t="shared" si="104"/>
        <v>0</v>
      </c>
      <c r="L170">
        <f t="shared" si="105"/>
        <v>0</v>
      </c>
      <c r="M170">
        <f t="shared" si="106"/>
        <v>0</v>
      </c>
      <c r="N170">
        <f t="shared" si="107"/>
        <v>0</v>
      </c>
      <c r="O170">
        <f t="shared" si="108"/>
        <v>0</v>
      </c>
      <c r="P170">
        <f t="shared" si="109"/>
        <v>0</v>
      </c>
      <c r="Q170">
        <f t="shared" si="110"/>
        <v>0</v>
      </c>
      <c r="R170">
        <f t="shared" si="111"/>
        <v>0</v>
      </c>
      <c r="S170">
        <f t="shared" si="112"/>
        <v>0</v>
      </c>
      <c r="T170">
        <f t="shared" si="113"/>
        <v>0</v>
      </c>
      <c r="U170">
        <f t="shared" si="114"/>
        <v>0</v>
      </c>
      <c r="V170">
        <f t="shared" si="115"/>
        <v>0</v>
      </c>
      <c r="W170">
        <f t="shared" si="116"/>
        <v>0</v>
      </c>
      <c r="X170">
        <f t="shared" si="117"/>
        <v>0</v>
      </c>
      <c r="Y170">
        <f t="shared" si="118"/>
        <v>0</v>
      </c>
      <c r="Z170">
        <f t="shared" si="119"/>
        <v>0</v>
      </c>
      <c r="AA170">
        <f t="shared" si="120"/>
        <v>0</v>
      </c>
      <c r="AB170">
        <f t="shared" si="121"/>
        <v>0</v>
      </c>
      <c r="AC170">
        <f t="shared" si="122"/>
        <v>0</v>
      </c>
      <c r="AD170">
        <f t="shared" si="123"/>
        <v>0</v>
      </c>
      <c r="AE170">
        <f t="shared" si="124"/>
        <v>0</v>
      </c>
      <c r="AF170">
        <f t="shared" si="125"/>
        <v>0</v>
      </c>
      <c r="AG170">
        <f t="shared" si="126"/>
        <v>0</v>
      </c>
      <c r="AH170">
        <f t="shared" si="127"/>
        <v>0</v>
      </c>
      <c r="AI170">
        <f t="shared" si="128"/>
        <v>0</v>
      </c>
      <c r="AJ170">
        <f t="shared" si="129"/>
        <v>0</v>
      </c>
      <c r="AK170">
        <f t="shared" si="130"/>
        <v>0</v>
      </c>
      <c r="AL170">
        <f t="shared" si="131"/>
        <v>0</v>
      </c>
      <c r="AM170">
        <f t="shared" si="132"/>
        <v>0</v>
      </c>
      <c r="AN170">
        <f t="shared" si="133"/>
        <v>0</v>
      </c>
      <c r="AO170">
        <f t="shared" si="134"/>
        <v>0</v>
      </c>
      <c r="AP170">
        <f t="shared" si="135"/>
        <v>0</v>
      </c>
      <c r="AQ170">
        <f t="shared" si="136"/>
        <v>0</v>
      </c>
      <c r="AR170">
        <f t="shared" si="137"/>
        <v>0</v>
      </c>
      <c r="AS170">
        <f t="shared" si="138"/>
        <v>0</v>
      </c>
      <c r="AT170">
        <f t="shared" si="139"/>
        <v>0</v>
      </c>
      <c r="AU170">
        <f t="shared" si="140"/>
        <v>0</v>
      </c>
      <c r="AV170">
        <f t="shared" si="141"/>
        <v>0</v>
      </c>
      <c r="AW170">
        <f t="shared" si="96"/>
        <v>0</v>
      </c>
      <c r="AX170">
        <f t="shared" si="142"/>
        <v>0</v>
      </c>
      <c r="AY170">
        <f t="shared" si="143"/>
        <v>0</v>
      </c>
    </row>
    <row r="171" spans="1:51" x14ac:dyDescent="0.35">
      <c r="A171">
        <v>165</v>
      </c>
      <c r="C171">
        <f>MAX(0,Calc!$C$7-SUM(D171:R171))</f>
        <v>750</v>
      </c>
      <c r="D171">
        <f t="shared" si="97"/>
        <v>0</v>
      </c>
      <c r="E171">
        <f t="shared" si="98"/>
        <v>0</v>
      </c>
      <c r="F171">
        <f t="shared" si="99"/>
        <v>0</v>
      </c>
      <c r="G171">
        <f t="shared" si="100"/>
        <v>0</v>
      </c>
      <c r="H171">
        <f t="shared" si="101"/>
        <v>0</v>
      </c>
      <c r="I171">
        <f t="shared" si="102"/>
        <v>0</v>
      </c>
      <c r="J171">
        <f t="shared" si="103"/>
        <v>0</v>
      </c>
      <c r="K171">
        <f t="shared" si="104"/>
        <v>0</v>
      </c>
      <c r="L171">
        <f t="shared" si="105"/>
        <v>0</v>
      </c>
      <c r="M171">
        <f t="shared" si="106"/>
        <v>0</v>
      </c>
      <c r="N171">
        <f t="shared" si="107"/>
        <v>0</v>
      </c>
      <c r="O171">
        <f t="shared" si="108"/>
        <v>0</v>
      </c>
      <c r="P171">
        <f t="shared" si="109"/>
        <v>0</v>
      </c>
      <c r="Q171">
        <f t="shared" si="110"/>
        <v>0</v>
      </c>
      <c r="R171">
        <f t="shared" si="111"/>
        <v>0</v>
      </c>
      <c r="S171">
        <f t="shared" si="112"/>
        <v>0</v>
      </c>
      <c r="T171">
        <f t="shared" si="113"/>
        <v>0</v>
      </c>
      <c r="U171">
        <f t="shared" si="114"/>
        <v>0</v>
      </c>
      <c r="V171">
        <f t="shared" si="115"/>
        <v>0</v>
      </c>
      <c r="W171">
        <f t="shared" si="116"/>
        <v>0</v>
      </c>
      <c r="X171">
        <f t="shared" si="117"/>
        <v>0</v>
      </c>
      <c r="Y171">
        <f t="shared" si="118"/>
        <v>0</v>
      </c>
      <c r="Z171">
        <f t="shared" si="119"/>
        <v>0</v>
      </c>
      <c r="AA171">
        <f t="shared" si="120"/>
        <v>0</v>
      </c>
      <c r="AB171">
        <f t="shared" si="121"/>
        <v>0</v>
      </c>
      <c r="AC171">
        <f t="shared" si="122"/>
        <v>0</v>
      </c>
      <c r="AD171">
        <f t="shared" si="123"/>
        <v>0</v>
      </c>
      <c r="AE171">
        <f t="shared" si="124"/>
        <v>0</v>
      </c>
      <c r="AF171">
        <f t="shared" si="125"/>
        <v>0</v>
      </c>
      <c r="AG171">
        <f t="shared" si="126"/>
        <v>0</v>
      </c>
      <c r="AH171">
        <f t="shared" si="127"/>
        <v>0</v>
      </c>
      <c r="AI171">
        <f t="shared" si="128"/>
        <v>0</v>
      </c>
      <c r="AJ171">
        <f t="shared" si="129"/>
        <v>0</v>
      </c>
      <c r="AK171">
        <f t="shared" si="130"/>
        <v>0</v>
      </c>
      <c r="AL171">
        <f t="shared" si="131"/>
        <v>0</v>
      </c>
      <c r="AM171">
        <f t="shared" si="132"/>
        <v>0</v>
      </c>
      <c r="AN171">
        <f t="shared" si="133"/>
        <v>0</v>
      </c>
      <c r="AO171">
        <f t="shared" si="134"/>
        <v>0</v>
      </c>
      <c r="AP171">
        <f t="shared" si="135"/>
        <v>0</v>
      </c>
      <c r="AQ171">
        <f t="shared" si="136"/>
        <v>0</v>
      </c>
      <c r="AR171">
        <f t="shared" si="137"/>
        <v>0</v>
      </c>
      <c r="AS171">
        <f t="shared" si="138"/>
        <v>0</v>
      </c>
      <c r="AT171">
        <f t="shared" si="139"/>
        <v>0</v>
      </c>
      <c r="AU171">
        <f t="shared" si="140"/>
        <v>0</v>
      </c>
      <c r="AV171">
        <f t="shared" si="141"/>
        <v>0</v>
      </c>
      <c r="AW171">
        <f t="shared" si="96"/>
        <v>0</v>
      </c>
      <c r="AX171">
        <f t="shared" si="142"/>
        <v>0</v>
      </c>
      <c r="AY171">
        <f t="shared" si="143"/>
        <v>0</v>
      </c>
    </row>
    <row r="172" spans="1:51" x14ac:dyDescent="0.35">
      <c r="A172">
        <v>166</v>
      </c>
      <c r="C172">
        <f>MAX(0,Calc!$C$7-SUM(D172:R172))</f>
        <v>750</v>
      </c>
      <c r="D172">
        <f t="shared" si="97"/>
        <v>0</v>
      </c>
      <c r="E172">
        <f t="shared" si="98"/>
        <v>0</v>
      </c>
      <c r="F172">
        <f t="shared" si="99"/>
        <v>0</v>
      </c>
      <c r="G172">
        <f t="shared" si="100"/>
        <v>0</v>
      </c>
      <c r="H172">
        <f t="shared" si="101"/>
        <v>0</v>
      </c>
      <c r="I172">
        <f t="shared" si="102"/>
        <v>0</v>
      </c>
      <c r="J172">
        <f t="shared" si="103"/>
        <v>0</v>
      </c>
      <c r="K172">
        <f t="shared" si="104"/>
        <v>0</v>
      </c>
      <c r="L172">
        <f t="shared" si="105"/>
        <v>0</v>
      </c>
      <c r="M172">
        <f t="shared" si="106"/>
        <v>0</v>
      </c>
      <c r="N172">
        <f t="shared" si="107"/>
        <v>0</v>
      </c>
      <c r="O172">
        <f t="shared" si="108"/>
        <v>0</v>
      </c>
      <c r="P172">
        <f t="shared" si="109"/>
        <v>0</v>
      </c>
      <c r="Q172">
        <f t="shared" si="110"/>
        <v>0</v>
      </c>
      <c r="R172">
        <f t="shared" si="111"/>
        <v>0</v>
      </c>
      <c r="S172">
        <f t="shared" si="112"/>
        <v>0</v>
      </c>
      <c r="T172">
        <f t="shared" si="113"/>
        <v>0</v>
      </c>
      <c r="U172">
        <f t="shared" si="114"/>
        <v>0</v>
      </c>
      <c r="V172">
        <f t="shared" si="115"/>
        <v>0</v>
      </c>
      <c r="W172">
        <f t="shared" si="116"/>
        <v>0</v>
      </c>
      <c r="X172">
        <f t="shared" si="117"/>
        <v>0</v>
      </c>
      <c r="Y172">
        <f t="shared" si="118"/>
        <v>0</v>
      </c>
      <c r="Z172">
        <f t="shared" si="119"/>
        <v>0</v>
      </c>
      <c r="AA172">
        <f t="shared" si="120"/>
        <v>0</v>
      </c>
      <c r="AB172">
        <f t="shared" si="121"/>
        <v>0</v>
      </c>
      <c r="AC172">
        <f t="shared" si="122"/>
        <v>0</v>
      </c>
      <c r="AD172">
        <f t="shared" si="123"/>
        <v>0</v>
      </c>
      <c r="AE172">
        <f t="shared" si="124"/>
        <v>0</v>
      </c>
      <c r="AF172">
        <f t="shared" si="125"/>
        <v>0</v>
      </c>
      <c r="AG172">
        <f t="shared" si="126"/>
        <v>0</v>
      </c>
      <c r="AH172">
        <f t="shared" si="127"/>
        <v>0</v>
      </c>
      <c r="AI172">
        <f t="shared" si="128"/>
        <v>0</v>
      </c>
      <c r="AJ172">
        <f t="shared" si="129"/>
        <v>0</v>
      </c>
      <c r="AK172">
        <f t="shared" si="130"/>
        <v>0</v>
      </c>
      <c r="AL172">
        <f t="shared" si="131"/>
        <v>0</v>
      </c>
      <c r="AM172">
        <f t="shared" si="132"/>
        <v>0</v>
      </c>
      <c r="AN172">
        <f t="shared" si="133"/>
        <v>0</v>
      </c>
      <c r="AO172">
        <f t="shared" si="134"/>
        <v>0</v>
      </c>
      <c r="AP172">
        <f t="shared" si="135"/>
        <v>0</v>
      </c>
      <c r="AQ172">
        <f t="shared" si="136"/>
        <v>0</v>
      </c>
      <c r="AR172">
        <f t="shared" si="137"/>
        <v>0</v>
      </c>
      <c r="AS172">
        <f t="shared" si="138"/>
        <v>0</v>
      </c>
      <c r="AT172">
        <f t="shared" si="139"/>
        <v>0</v>
      </c>
      <c r="AU172">
        <f t="shared" si="140"/>
        <v>0</v>
      </c>
      <c r="AV172">
        <f t="shared" si="141"/>
        <v>0</v>
      </c>
      <c r="AW172">
        <f t="shared" si="96"/>
        <v>0</v>
      </c>
      <c r="AX172">
        <f t="shared" si="142"/>
        <v>0</v>
      </c>
      <c r="AY172">
        <f t="shared" si="143"/>
        <v>0</v>
      </c>
    </row>
    <row r="173" spans="1:51" x14ac:dyDescent="0.35">
      <c r="A173">
        <v>167</v>
      </c>
      <c r="C173">
        <f>MAX(0,Calc!$C$7-SUM(D173:R173))</f>
        <v>750</v>
      </c>
      <c r="D173">
        <f t="shared" si="97"/>
        <v>0</v>
      </c>
      <c r="E173">
        <f t="shared" si="98"/>
        <v>0</v>
      </c>
      <c r="F173">
        <f t="shared" si="99"/>
        <v>0</v>
      </c>
      <c r="G173">
        <f t="shared" si="100"/>
        <v>0</v>
      </c>
      <c r="H173">
        <f t="shared" si="101"/>
        <v>0</v>
      </c>
      <c r="I173">
        <f t="shared" si="102"/>
        <v>0</v>
      </c>
      <c r="J173">
        <f t="shared" si="103"/>
        <v>0</v>
      </c>
      <c r="K173">
        <f t="shared" si="104"/>
        <v>0</v>
      </c>
      <c r="L173">
        <f t="shared" si="105"/>
        <v>0</v>
      </c>
      <c r="M173">
        <f t="shared" si="106"/>
        <v>0</v>
      </c>
      <c r="N173">
        <f t="shared" si="107"/>
        <v>0</v>
      </c>
      <c r="O173">
        <f t="shared" si="108"/>
        <v>0</v>
      </c>
      <c r="P173">
        <f t="shared" si="109"/>
        <v>0</v>
      </c>
      <c r="Q173">
        <f t="shared" si="110"/>
        <v>0</v>
      </c>
      <c r="R173">
        <f t="shared" si="111"/>
        <v>0</v>
      </c>
      <c r="S173">
        <f t="shared" si="112"/>
        <v>0</v>
      </c>
      <c r="T173">
        <f t="shared" si="113"/>
        <v>0</v>
      </c>
      <c r="U173">
        <f t="shared" si="114"/>
        <v>0</v>
      </c>
      <c r="V173">
        <f t="shared" si="115"/>
        <v>0</v>
      </c>
      <c r="W173">
        <f t="shared" si="116"/>
        <v>0</v>
      </c>
      <c r="X173">
        <f t="shared" si="117"/>
        <v>0</v>
      </c>
      <c r="Y173">
        <f t="shared" si="118"/>
        <v>0</v>
      </c>
      <c r="Z173">
        <f t="shared" si="119"/>
        <v>0</v>
      </c>
      <c r="AA173">
        <f t="shared" si="120"/>
        <v>0</v>
      </c>
      <c r="AB173">
        <f t="shared" si="121"/>
        <v>0</v>
      </c>
      <c r="AC173">
        <f t="shared" si="122"/>
        <v>0</v>
      </c>
      <c r="AD173">
        <f t="shared" si="123"/>
        <v>0</v>
      </c>
      <c r="AE173">
        <f t="shared" si="124"/>
        <v>0</v>
      </c>
      <c r="AF173">
        <f t="shared" si="125"/>
        <v>0</v>
      </c>
      <c r="AG173">
        <f t="shared" si="126"/>
        <v>0</v>
      </c>
      <c r="AH173">
        <f t="shared" si="127"/>
        <v>0</v>
      </c>
      <c r="AI173">
        <f t="shared" si="128"/>
        <v>0</v>
      </c>
      <c r="AJ173">
        <f t="shared" si="129"/>
        <v>0</v>
      </c>
      <c r="AK173">
        <f t="shared" si="130"/>
        <v>0</v>
      </c>
      <c r="AL173">
        <f t="shared" si="131"/>
        <v>0</v>
      </c>
      <c r="AM173">
        <f t="shared" si="132"/>
        <v>0</v>
      </c>
      <c r="AN173">
        <f t="shared" si="133"/>
        <v>0</v>
      </c>
      <c r="AO173">
        <f t="shared" si="134"/>
        <v>0</v>
      </c>
      <c r="AP173">
        <f t="shared" si="135"/>
        <v>0</v>
      </c>
      <c r="AQ173">
        <f t="shared" si="136"/>
        <v>0</v>
      </c>
      <c r="AR173">
        <f t="shared" si="137"/>
        <v>0</v>
      </c>
      <c r="AS173">
        <f t="shared" si="138"/>
        <v>0</v>
      </c>
      <c r="AT173">
        <f t="shared" si="139"/>
        <v>0</v>
      </c>
      <c r="AU173">
        <f t="shared" si="140"/>
        <v>0</v>
      </c>
      <c r="AV173">
        <f t="shared" si="141"/>
        <v>0</v>
      </c>
      <c r="AW173">
        <f t="shared" si="96"/>
        <v>0</v>
      </c>
      <c r="AX173">
        <f t="shared" si="142"/>
        <v>0</v>
      </c>
      <c r="AY173">
        <f t="shared" si="143"/>
        <v>0</v>
      </c>
    </row>
    <row r="174" spans="1:51" x14ac:dyDescent="0.35">
      <c r="A174">
        <v>168</v>
      </c>
      <c r="C174">
        <f>MAX(0,Calc!$C$7-SUM(D174:R174))</f>
        <v>750</v>
      </c>
      <c r="D174">
        <f t="shared" si="97"/>
        <v>0</v>
      </c>
      <c r="E174">
        <f t="shared" si="98"/>
        <v>0</v>
      </c>
      <c r="F174">
        <f t="shared" si="99"/>
        <v>0</v>
      </c>
      <c r="G174">
        <f t="shared" si="100"/>
        <v>0</v>
      </c>
      <c r="H174">
        <f t="shared" si="101"/>
        <v>0</v>
      </c>
      <c r="I174">
        <f t="shared" si="102"/>
        <v>0</v>
      </c>
      <c r="J174">
        <f t="shared" si="103"/>
        <v>0</v>
      </c>
      <c r="K174">
        <f t="shared" si="104"/>
        <v>0</v>
      </c>
      <c r="L174">
        <f t="shared" si="105"/>
        <v>0</v>
      </c>
      <c r="M174">
        <f t="shared" si="106"/>
        <v>0</v>
      </c>
      <c r="N174">
        <f t="shared" si="107"/>
        <v>0</v>
      </c>
      <c r="O174">
        <f t="shared" si="108"/>
        <v>0</v>
      </c>
      <c r="P174">
        <f t="shared" si="109"/>
        <v>0</v>
      </c>
      <c r="Q174">
        <f t="shared" si="110"/>
        <v>0</v>
      </c>
      <c r="R174">
        <f t="shared" si="111"/>
        <v>0</v>
      </c>
      <c r="S174">
        <f t="shared" si="112"/>
        <v>0</v>
      </c>
      <c r="T174">
        <f t="shared" si="113"/>
        <v>0</v>
      </c>
      <c r="U174">
        <f t="shared" si="114"/>
        <v>0</v>
      </c>
      <c r="V174">
        <f t="shared" si="115"/>
        <v>0</v>
      </c>
      <c r="W174">
        <f t="shared" si="116"/>
        <v>0</v>
      </c>
      <c r="X174">
        <f t="shared" si="117"/>
        <v>0</v>
      </c>
      <c r="Y174">
        <f t="shared" si="118"/>
        <v>0</v>
      </c>
      <c r="Z174">
        <f t="shared" si="119"/>
        <v>0</v>
      </c>
      <c r="AA174">
        <f t="shared" si="120"/>
        <v>0</v>
      </c>
      <c r="AB174">
        <f t="shared" si="121"/>
        <v>0</v>
      </c>
      <c r="AC174">
        <f t="shared" si="122"/>
        <v>0</v>
      </c>
      <c r="AD174">
        <f t="shared" si="123"/>
        <v>0</v>
      </c>
      <c r="AE174">
        <f t="shared" si="124"/>
        <v>0</v>
      </c>
      <c r="AF174">
        <f t="shared" si="125"/>
        <v>0</v>
      </c>
      <c r="AG174">
        <f t="shared" si="126"/>
        <v>0</v>
      </c>
      <c r="AH174">
        <f t="shared" si="127"/>
        <v>0</v>
      </c>
      <c r="AI174">
        <f t="shared" si="128"/>
        <v>0</v>
      </c>
      <c r="AJ174">
        <f t="shared" si="129"/>
        <v>0</v>
      </c>
      <c r="AK174">
        <f t="shared" si="130"/>
        <v>0</v>
      </c>
      <c r="AL174">
        <f t="shared" si="131"/>
        <v>0</v>
      </c>
      <c r="AM174">
        <f t="shared" si="132"/>
        <v>0</v>
      </c>
      <c r="AN174">
        <f t="shared" si="133"/>
        <v>0</v>
      </c>
      <c r="AO174">
        <f t="shared" si="134"/>
        <v>0</v>
      </c>
      <c r="AP174">
        <f t="shared" si="135"/>
        <v>0</v>
      </c>
      <c r="AQ174">
        <f t="shared" si="136"/>
        <v>0</v>
      </c>
      <c r="AR174">
        <f t="shared" si="137"/>
        <v>0</v>
      </c>
      <c r="AS174">
        <f t="shared" si="138"/>
        <v>0</v>
      </c>
      <c r="AT174">
        <f t="shared" si="139"/>
        <v>0</v>
      </c>
      <c r="AU174">
        <f t="shared" si="140"/>
        <v>0</v>
      </c>
      <c r="AV174">
        <f t="shared" si="141"/>
        <v>0</v>
      </c>
      <c r="AW174">
        <f t="shared" si="96"/>
        <v>0</v>
      </c>
      <c r="AX174">
        <f t="shared" si="142"/>
        <v>0</v>
      </c>
      <c r="AY174">
        <f t="shared" si="143"/>
        <v>0</v>
      </c>
    </row>
    <row r="175" spans="1:51" x14ac:dyDescent="0.35">
      <c r="A175">
        <v>169</v>
      </c>
      <c r="C175">
        <f>MAX(0,Calc!$C$7-SUM(D175:R175))</f>
        <v>750</v>
      </c>
      <c r="D175">
        <f t="shared" si="97"/>
        <v>0</v>
      </c>
      <c r="E175">
        <f t="shared" si="98"/>
        <v>0</v>
      </c>
      <c r="F175">
        <f t="shared" si="99"/>
        <v>0</v>
      </c>
      <c r="G175">
        <f t="shared" si="100"/>
        <v>0</v>
      </c>
      <c r="H175">
        <f t="shared" si="101"/>
        <v>0</v>
      </c>
      <c r="I175">
        <f t="shared" si="102"/>
        <v>0</v>
      </c>
      <c r="J175">
        <f t="shared" si="103"/>
        <v>0</v>
      </c>
      <c r="K175">
        <f t="shared" si="104"/>
        <v>0</v>
      </c>
      <c r="L175">
        <f t="shared" si="105"/>
        <v>0</v>
      </c>
      <c r="M175">
        <f t="shared" si="106"/>
        <v>0</v>
      </c>
      <c r="N175">
        <f t="shared" si="107"/>
        <v>0</v>
      </c>
      <c r="O175">
        <f t="shared" si="108"/>
        <v>0</v>
      </c>
      <c r="P175">
        <f t="shared" si="109"/>
        <v>0</v>
      </c>
      <c r="Q175">
        <f t="shared" si="110"/>
        <v>0</v>
      </c>
      <c r="R175">
        <f t="shared" si="111"/>
        <v>0</v>
      </c>
      <c r="S175">
        <f t="shared" si="112"/>
        <v>0</v>
      </c>
      <c r="T175">
        <f t="shared" si="113"/>
        <v>0</v>
      </c>
      <c r="U175">
        <f t="shared" si="114"/>
        <v>0</v>
      </c>
      <c r="V175">
        <f t="shared" si="115"/>
        <v>0</v>
      </c>
      <c r="W175">
        <f t="shared" si="116"/>
        <v>0</v>
      </c>
      <c r="X175">
        <f t="shared" si="117"/>
        <v>0</v>
      </c>
      <c r="Y175">
        <f t="shared" si="118"/>
        <v>0</v>
      </c>
      <c r="Z175">
        <f t="shared" si="119"/>
        <v>0</v>
      </c>
      <c r="AA175">
        <f t="shared" si="120"/>
        <v>0</v>
      </c>
      <c r="AB175">
        <f t="shared" si="121"/>
        <v>0</v>
      </c>
      <c r="AC175">
        <f t="shared" si="122"/>
        <v>0</v>
      </c>
      <c r="AD175">
        <f t="shared" si="123"/>
        <v>0</v>
      </c>
      <c r="AE175">
        <f t="shared" si="124"/>
        <v>0</v>
      </c>
      <c r="AF175">
        <f t="shared" si="125"/>
        <v>0</v>
      </c>
      <c r="AG175">
        <f t="shared" si="126"/>
        <v>0</v>
      </c>
      <c r="AH175">
        <f t="shared" si="127"/>
        <v>0</v>
      </c>
      <c r="AI175">
        <f t="shared" si="128"/>
        <v>0</v>
      </c>
      <c r="AJ175">
        <f t="shared" si="129"/>
        <v>0</v>
      </c>
      <c r="AK175">
        <f t="shared" si="130"/>
        <v>0</v>
      </c>
      <c r="AL175">
        <f t="shared" si="131"/>
        <v>0</v>
      </c>
      <c r="AM175">
        <f t="shared" si="132"/>
        <v>0</v>
      </c>
      <c r="AN175">
        <f t="shared" si="133"/>
        <v>0</v>
      </c>
      <c r="AO175">
        <f t="shared" si="134"/>
        <v>0</v>
      </c>
      <c r="AP175">
        <f t="shared" si="135"/>
        <v>0</v>
      </c>
      <c r="AQ175">
        <f t="shared" si="136"/>
        <v>0</v>
      </c>
      <c r="AR175">
        <f t="shared" si="137"/>
        <v>0</v>
      </c>
      <c r="AS175">
        <f t="shared" si="138"/>
        <v>0</v>
      </c>
      <c r="AT175">
        <f t="shared" si="139"/>
        <v>0</v>
      </c>
      <c r="AU175">
        <f t="shared" si="140"/>
        <v>0</v>
      </c>
      <c r="AV175">
        <f t="shared" si="141"/>
        <v>0</v>
      </c>
      <c r="AW175">
        <f t="shared" si="96"/>
        <v>0</v>
      </c>
      <c r="AX175">
        <f t="shared" si="142"/>
        <v>0</v>
      </c>
      <c r="AY175">
        <f t="shared" si="143"/>
        <v>0</v>
      </c>
    </row>
    <row r="176" spans="1:51" x14ac:dyDescent="0.35">
      <c r="A176">
        <v>170</v>
      </c>
      <c r="C176">
        <f>MAX(0,Calc!$C$7-SUM(D176:R176))</f>
        <v>750</v>
      </c>
      <c r="D176">
        <f t="shared" si="97"/>
        <v>0</v>
      </c>
      <c r="E176">
        <f t="shared" si="98"/>
        <v>0</v>
      </c>
      <c r="F176">
        <f t="shared" si="99"/>
        <v>0</v>
      </c>
      <c r="G176">
        <f t="shared" si="100"/>
        <v>0</v>
      </c>
      <c r="H176">
        <f t="shared" si="101"/>
        <v>0</v>
      </c>
      <c r="I176">
        <f t="shared" si="102"/>
        <v>0</v>
      </c>
      <c r="J176">
        <f t="shared" si="103"/>
        <v>0</v>
      </c>
      <c r="K176">
        <f t="shared" si="104"/>
        <v>0</v>
      </c>
      <c r="L176">
        <f t="shared" si="105"/>
        <v>0</v>
      </c>
      <c r="M176">
        <f t="shared" si="106"/>
        <v>0</v>
      </c>
      <c r="N176">
        <f t="shared" si="107"/>
        <v>0</v>
      </c>
      <c r="O176">
        <f t="shared" si="108"/>
        <v>0</v>
      </c>
      <c r="P176">
        <f t="shared" si="109"/>
        <v>0</v>
      </c>
      <c r="Q176">
        <f t="shared" si="110"/>
        <v>0</v>
      </c>
      <c r="R176">
        <f t="shared" si="111"/>
        <v>0</v>
      </c>
      <c r="S176">
        <f t="shared" si="112"/>
        <v>0</v>
      </c>
      <c r="T176">
        <f t="shared" si="113"/>
        <v>0</v>
      </c>
      <c r="U176">
        <f t="shared" si="114"/>
        <v>0</v>
      </c>
      <c r="V176">
        <f t="shared" si="115"/>
        <v>0</v>
      </c>
      <c r="W176">
        <f t="shared" si="116"/>
        <v>0</v>
      </c>
      <c r="X176">
        <f t="shared" si="117"/>
        <v>0</v>
      </c>
      <c r="Y176">
        <f t="shared" si="118"/>
        <v>0</v>
      </c>
      <c r="Z176">
        <f t="shared" si="119"/>
        <v>0</v>
      </c>
      <c r="AA176">
        <f t="shared" si="120"/>
        <v>0</v>
      </c>
      <c r="AB176">
        <f t="shared" si="121"/>
        <v>0</v>
      </c>
      <c r="AC176">
        <f t="shared" si="122"/>
        <v>0</v>
      </c>
      <c r="AD176">
        <f t="shared" si="123"/>
        <v>0</v>
      </c>
      <c r="AE176">
        <f t="shared" si="124"/>
        <v>0</v>
      </c>
      <c r="AF176">
        <f t="shared" si="125"/>
        <v>0</v>
      </c>
      <c r="AG176">
        <f t="shared" si="126"/>
        <v>0</v>
      </c>
      <c r="AH176">
        <f t="shared" si="127"/>
        <v>0</v>
      </c>
      <c r="AI176">
        <f t="shared" si="128"/>
        <v>0</v>
      </c>
      <c r="AJ176">
        <f t="shared" si="129"/>
        <v>0</v>
      </c>
      <c r="AK176">
        <f t="shared" si="130"/>
        <v>0</v>
      </c>
      <c r="AL176">
        <f t="shared" si="131"/>
        <v>0</v>
      </c>
      <c r="AM176">
        <f t="shared" si="132"/>
        <v>0</v>
      </c>
      <c r="AN176">
        <f t="shared" si="133"/>
        <v>0</v>
      </c>
      <c r="AO176">
        <f t="shared" si="134"/>
        <v>0</v>
      </c>
      <c r="AP176">
        <f t="shared" si="135"/>
        <v>0</v>
      </c>
      <c r="AQ176">
        <f t="shared" si="136"/>
        <v>0</v>
      </c>
      <c r="AR176">
        <f t="shared" si="137"/>
        <v>0</v>
      </c>
      <c r="AS176">
        <f t="shared" si="138"/>
        <v>0</v>
      </c>
      <c r="AT176">
        <f t="shared" si="139"/>
        <v>0</v>
      </c>
      <c r="AU176">
        <f t="shared" si="140"/>
        <v>0</v>
      </c>
      <c r="AV176">
        <f t="shared" si="141"/>
        <v>0</v>
      </c>
      <c r="AW176">
        <f t="shared" si="96"/>
        <v>0</v>
      </c>
      <c r="AX176">
        <f t="shared" si="142"/>
        <v>0</v>
      </c>
      <c r="AY176">
        <f t="shared" si="143"/>
        <v>0</v>
      </c>
    </row>
    <row r="177" spans="1:51" x14ac:dyDescent="0.35">
      <c r="A177">
        <v>171</v>
      </c>
      <c r="C177">
        <f>MAX(0,Calc!$C$7-SUM(D177:R177))</f>
        <v>750</v>
      </c>
      <c r="D177">
        <f t="shared" si="97"/>
        <v>0</v>
      </c>
      <c r="E177">
        <f t="shared" si="98"/>
        <v>0</v>
      </c>
      <c r="F177">
        <f t="shared" si="99"/>
        <v>0</v>
      </c>
      <c r="G177">
        <f t="shared" si="100"/>
        <v>0</v>
      </c>
      <c r="H177">
        <f t="shared" si="101"/>
        <v>0</v>
      </c>
      <c r="I177">
        <f t="shared" si="102"/>
        <v>0</v>
      </c>
      <c r="J177">
        <f t="shared" si="103"/>
        <v>0</v>
      </c>
      <c r="K177">
        <f t="shared" si="104"/>
        <v>0</v>
      </c>
      <c r="L177">
        <f t="shared" si="105"/>
        <v>0</v>
      </c>
      <c r="M177">
        <f t="shared" si="106"/>
        <v>0</v>
      </c>
      <c r="N177">
        <f t="shared" si="107"/>
        <v>0</v>
      </c>
      <c r="O177">
        <f t="shared" si="108"/>
        <v>0</v>
      </c>
      <c r="P177">
        <f t="shared" si="109"/>
        <v>0</v>
      </c>
      <c r="Q177">
        <f t="shared" si="110"/>
        <v>0</v>
      </c>
      <c r="R177">
        <f t="shared" si="111"/>
        <v>0</v>
      </c>
      <c r="S177">
        <f t="shared" si="112"/>
        <v>0</v>
      </c>
      <c r="T177">
        <f t="shared" si="113"/>
        <v>0</v>
      </c>
      <c r="U177">
        <f t="shared" si="114"/>
        <v>0</v>
      </c>
      <c r="V177">
        <f t="shared" si="115"/>
        <v>0</v>
      </c>
      <c r="W177">
        <f t="shared" si="116"/>
        <v>0</v>
      </c>
      <c r="X177">
        <f t="shared" si="117"/>
        <v>0</v>
      </c>
      <c r="Y177">
        <f t="shared" si="118"/>
        <v>0</v>
      </c>
      <c r="Z177">
        <f t="shared" si="119"/>
        <v>0</v>
      </c>
      <c r="AA177">
        <f t="shared" si="120"/>
        <v>0</v>
      </c>
      <c r="AB177">
        <f t="shared" si="121"/>
        <v>0</v>
      </c>
      <c r="AC177">
        <f t="shared" si="122"/>
        <v>0</v>
      </c>
      <c r="AD177">
        <f t="shared" si="123"/>
        <v>0</v>
      </c>
      <c r="AE177">
        <f t="shared" si="124"/>
        <v>0</v>
      </c>
      <c r="AF177">
        <f t="shared" si="125"/>
        <v>0</v>
      </c>
      <c r="AG177">
        <f t="shared" si="126"/>
        <v>0</v>
      </c>
      <c r="AH177">
        <f t="shared" si="127"/>
        <v>0</v>
      </c>
      <c r="AI177">
        <f t="shared" si="128"/>
        <v>0</v>
      </c>
      <c r="AJ177">
        <f t="shared" si="129"/>
        <v>0</v>
      </c>
      <c r="AK177">
        <f t="shared" si="130"/>
        <v>0</v>
      </c>
      <c r="AL177">
        <f t="shared" si="131"/>
        <v>0</v>
      </c>
      <c r="AM177">
        <f t="shared" si="132"/>
        <v>0</v>
      </c>
      <c r="AN177">
        <f t="shared" si="133"/>
        <v>0</v>
      </c>
      <c r="AO177">
        <f t="shared" si="134"/>
        <v>0</v>
      </c>
      <c r="AP177">
        <f t="shared" si="135"/>
        <v>0</v>
      </c>
      <c r="AQ177">
        <f t="shared" si="136"/>
        <v>0</v>
      </c>
      <c r="AR177">
        <f t="shared" si="137"/>
        <v>0</v>
      </c>
      <c r="AS177">
        <f t="shared" si="138"/>
        <v>0</v>
      </c>
      <c r="AT177">
        <f t="shared" si="139"/>
        <v>0</v>
      </c>
      <c r="AU177">
        <f t="shared" si="140"/>
        <v>0</v>
      </c>
      <c r="AV177">
        <f t="shared" si="141"/>
        <v>0</v>
      </c>
      <c r="AW177">
        <f t="shared" si="96"/>
        <v>0</v>
      </c>
      <c r="AX177">
        <f t="shared" si="142"/>
        <v>0</v>
      </c>
      <c r="AY177">
        <f t="shared" si="143"/>
        <v>0</v>
      </c>
    </row>
    <row r="178" spans="1:51" x14ac:dyDescent="0.35">
      <c r="A178">
        <v>172</v>
      </c>
      <c r="C178">
        <f>MAX(0,Calc!$C$7-SUM(D178:R178))</f>
        <v>750</v>
      </c>
      <c r="D178">
        <f t="shared" si="97"/>
        <v>0</v>
      </c>
      <c r="E178">
        <f t="shared" si="98"/>
        <v>0</v>
      </c>
      <c r="F178">
        <f t="shared" si="99"/>
        <v>0</v>
      </c>
      <c r="G178">
        <f t="shared" si="100"/>
        <v>0</v>
      </c>
      <c r="H178">
        <f t="shared" si="101"/>
        <v>0</v>
      </c>
      <c r="I178">
        <f t="shared" si="102"/>
        <v>0</v>
      </c>
      <c r="J178">
        <f t="shared" si="103"/>
        <v>0</v>
      </c>
      <c r="K178">
        <f t="shared" si="104"/>
        <v>0</v>
      </c>
      <c r="L178">
        <f t="shared" si="105"/>
        <v>0</v>
      </c>
      <c r="M178">
        <f t="shared" si="106"/>
        <v>0</v>
      </c>
      <c r="N178">
        <f t="shared" si="107"/>
        <v>0</v>
      </c>
      <c r="O178">
        <f t="shared" si="108"/>
        <v>0</v>
      </c>
      <c r="P178">
        <f t="shared" si="109"/>
        <v>0</v>
      </c>
      <c r="Q178">
        <f t="shared" si="110"/>
        <v>0</v>
      </c>
      <c r="R178">
        <f t="shared" si="111"/>
        <v>0</v>
      </c>
      <c r="S178">
        <f t="shared" si="112"/>
        <v>0</v>
      </c>
      <c r="T178">
        <f t="shared" si="113"/>
        <v>0</v>
      </c>
      <c r="U178">
        <f t="shared" si="114"/>
        <v>0</v>
      </c>
      <c r="V178">
        <f t="shared" si="115"/>
        <v>0</v>
      </c>
      <c r="W178">
        <f t="shared" si="116"/>
        <v>0</v>
      </c>
      <c r="X178">
        <f t="shared" si="117"/>
        <v>0</v>
      </c>
      <c r="Y178">
        <f t="shared" si="118"/>
        <v>0</v>
      </c>
      <c r="Z178">
        <f t="shared" si="119"/>
        <v>0</v>
      </c>
      <c r="AA178">
        <f t="shared" si="120"/>
        <v>0</v>
      </c>
      <c r="AB178">
        <f t="shared" si="121"/>
        <v>0</v>
      </c>
      <c r="AC178">
        <f t="shared" si="122"/>
        <v>0</v>
      </c>
      <c r="AD178">
        <f t="shared" si="123"/>
        <v>0</v>
      </c>
      <c r="AE178">
        <f t="shared" si="124"/>
        <v>0</v>
      </c>
      <c r="AF178">
        <f t="shared" si="125"/>
        <v>0</v>
      </c>
      <c r="AG178">
        <f t="shared" si="126"/>
        <v>0</v>
      </c>
      <c r="AH178">
        <f t="shared" si="127"/>
        <v>0</v>
      </c>
      <c r="AI178">
        <f t="shared" si="128"/>
        <v>0</v>
      </c>
      <c r="AJ178">
        <f t="shared" si="129"/>
        <v>0</v>
      </c>
      <c r="AK178">
        <f t="shared" si="130"/>
        <v>0</v>
      </c>
      <c r="AL178">
        <f t="shared" si="131"/>
        <v>0</v>
      </c>
      <c r="AM178">
        <f t="shared" si="132"/>
        <v>0</v>
      </c>
      <c r="AN178">
        <f t="shared" si="133"/>
        <v>0</v>
      </c>
      <c r="AO178">
        <f t="shared" si="134"/>
        <v>0</v>
      </c>
      <c r="AP178">
        <f t="shared" si="135"/>
        <v>0</v>
      </c>
      <c r="AQ178">
        <f t="shared" si="136"/>
        <v>0</v>
      </c>
      <c r="AR178">
        <f t="shared" si="137"/>
        <v>0</v>
      </c>
      <c r="AS178">
        <f t="shared" si="138"/>
        <v>0</v>
      </c>
      <c r="AT178">
        <f t="shared" si="139"/>
        <v>0</v>
      </c>
      <c r="AU178">
        <f t="shared" si="140"/>
        <v>0</v>
      </c>
      <c r="AV178">
        <f t="shared" si="141"/>
        <v>0</v>
      </c>
      <c r="AW178">
        <f t="shared" si="96"/>
        <v>0</v>
      </c>
      <c r="AX178">
        <f t="shared" si="142"/>
        <v>0</v>
      </c>
      <c r="AY178">
        <f t="shared" si="143"/>
        <v>0</v>
      </c>
    </row>
    <row r="179" spans="1:51" x14ac:dyDescent="0.35">
      <c r="A179">
        <v>173</v>
      </c>
      <c r="C179">
        <f>MAX(0,Calc!$C$7-SUM(D179:R179))</f>
        <v>750</v>
      </c>
      <c r="D179">
        <f t="shared" si="97"/>
        <v>0</v>
      </c>
      <c r="E179">
        <f t="shared" si="98"/>
        <v>0</v>
      </c>
      <c r="F179">
        <f t="shared" si="99"/>
        <v>0</v>
      </c>
      <c r="G179">
        <f t="shared" si="100"/>
        <v>0</v>
      </c>
      <c r="H179">
        <f t="shared" si="101"/>
        <v>0</v>
      </c>
      <c r="I179">
        <f t="shared" si="102"/>
        <v>0</v>
      </c>
      <c r="J179">
        <f t="shared" si="103"/>
        <v>0</v>
      </c>
      <c r="K179">
        <f t="shared" si="104"/>
        <v>0</v>
      </c>
      <c r="L179">
        <f t="shared" si="105"/>
        <v>0</v>
      </c>
      <c r="M179">
        <f t="shared" si="106"/>
        <v>0</v>
      </c>
      <c r="N179">
        <f t="shared" si="107"/>
        <v>0</v>
      </c>
      <c r="O179">
        <f t="shared" si="108"/>
        <v>0</v>
      </c>
      <c r="P179">
        <f t="shared" si="109"/>
        <v>0</v>
      </c>
      <c r="Q179">
        <f t="shared" si="110"/>
        <v>0</v>
      </c>
      <c r="R179">
        <f t="shared" si="111"/>
        <v>0</v>
      </c>
      <c r="S179">
        <f t="shared" si="112"/>
        <v>0</v>
      </c>
      <c r="T179">
        <f t="shared" si="113"/>
        <v>0</v>
      </c>
      <c r="U179">
        <f t="shared" si="114"/>
        <v>0</v>
      </c>
      <c r="V179">
        <f t="shared" si="115"/>
        <v>0</v>
      </c>
      <c r="W179">
        <f t="shared" si="116"/>
        <v>0</v>
      </c>
      <c r="X179">
        <f t="shared" si="117"/>
        <v>0</v>
      </c>
      <c r="Y179">
        <f t="shared" si="118"/>
        <v>0</v>
      </c>
      <c r="Z179">
        <f t="shared" si="119"/>
        <v>0</v>
      </c>
      <c r="AA179">
        <f t="shared" si="120"/>
        <v>0</v>
      </c>
      <c r="AB179">
        <f t="shared" si="121"/>
        <v>0</v>
      </c>
      <c r="AC179">
        <f t="shared" si="122"/>
        <v>0</v>
      </c>
      <c r="AD179">
        <f t="shared" si="123"/>
        <v>0</v>
      </c>
      <c r="AE179">
        <f t="shared" si="124"/>
        <v>0</v>
      </c>
      <c r="AF179">
        <f t="shared" si="125"/>
        <v>0</v>
      </c>
      <c r="AG179">
        <f t="shared" si="126"/>
        <v>0</v>
      </c>
      <c r="AH179">
        <f t="shared" si="127"/>
        <v>0</v>
      </c>
      <c r="AI179">
        <f t="shared" si="128"/>
        <v>0</v>
      </c>
      <c r="AJ179">
        <f t="shared" si="129"/>
        <v>0</v>
      </c>
      <c r="AK179">
        <f t="shared" si="130"/>
        <v>0</v>
      </c>
      <c r="AL179">
        <f t="shared" si="131"/>
        <v>0</v>
      </c>
      <c r="AM179">
        <f t="shared" si="132"/>
        <v>0</v>
      </c>
      <c r="AN179">
        <f t="shared" si="133"/>
        <v>0</v>
      </c>
      <c r="AO179">
        <f t="shared" si="134"/>
        <v>0</v>
      </c>
      <c r="AP179">
        <f t="shared" si="135"/>
        <v>0</v>
      </c>
      <c r="AQ179">
        <f t="shared" si="136"/>
        <v>0</v>
      </c>
      <c r="AR179">
        <f t="shared" si="137"/>
        <v>0</v>
      </c>
      <c r="AS179">
        <f t="shared" si="138"/>
        <v>0</v>
      </c>
      <c r="AT179">
        <f t="shared" si="139"/>
        <v>0</v>
      </c>
      <c r="AU179">
        <f t="shared" si="140"/>
        <v>0</v>
      </c>
      <c r="AV179">
        <f t="shared" si="141"/>
        <v>0</v>
      </c>
      <c r="AW179">
        <f t="shared" si="96"/>
        <v>0</v>
      </c>
      <c r="AX179">
        <f t="shared" si="142"/>
        <v>0</v>
      </c>
      <c r="AY179">
        <f t="shared" si="143"/>
        <v>0</v>
      </c>
    </row>
    <row r="180" spans="1:51" x14ac:dyDescent="0.35">
      <c r="A180">
        <v>174</v>
      </c>
      <c r="C180">
        <f>MAX(0,Calc!$C$7-SUM(D180:R180))</f>
        <v>750</v>
      </c>
      <c r="D180">
        <f t="shared" si="97"/>
        <v>0</v>
      </c>
      <c r="E180">
        <f t="shared" si="98"/>
        <v>0</v>
      </c>
      <c r="F180">
        <f t="shared" si="99"/>
        <v>0</v>
      </c>
      <c r="G180">
        <f t="shared" si="100"/>
        <v>0</v>
      </c>
      <c r="H180">
        <f t="shared" si="101"/>
        <v>0</v>
      </c>
      <c r="I180">
        <f t="shared" si="102"/>
        <v>0</v>
      </c>
      <c r="J180">
        <f t="shared" si="103"/>
        <v>0</v>
      </c>
      <c r="K180">
        <f t="shared" si="104"/>
        <v>0</v>
      </c>
      <c r="L180">
        <f t="shared" si="105"/>
        <v>0</v>
      </c>
      <c r="M180">
        <f t="shared" si="106"/>
        <v>0</v>
      </c>
      <c r="N180">
        <f t="shared" si="107"/>
        <v>0</v>
      </c>
      <c r="O180">
        <f t="shared" si="108"/>
        <v>0</v>
      </c>
      <c r="P180">
        <f t="shared" si="109"/>
        <v>0</v>
      </c>
      <c r="Q180">
        <f t="shared" si="110"/>
        <v>0</v>
      </c>
      <c r="R180">
        <f t="shared" si="111"/>
        <v>0</v>
      </c>
      <c r="S180">
        <f t="shared" si="112"/>
        <v>0</v>
      </c>
      <c r="T180">
        <f t="shared" si="113"/>
        <v>0</v>
      </c>
      <c r="U180">
        <f t="shared" si="114"/>
        <v>0</v>
      </c>
      <c r="V180">
        <f t="shared" si="115"/>
        <v>0</v>
      </c>
      <c r="W180">
        <f t="shared" si="116"/>
        <v>0</v>
      </c>
      <c r="X180">
        <f t="shared" si="117"/>
        <v>0</v>
      </c>
      <c r="Y180">
        <f t="shared" si="118"/>
        <v>0</v>
      </c>
      <c r="Z180">
        <f t="shared" si="119"/>
        <v>0</v>
      </c>
      <c r="AA180">
        <f t="shared" si="120"/>
        <v>0</v>
      </c>
      <c r="AB180">
        <f t="shared" si="121"/>
        <v>0</v>
      </c>
      <c r="AC180">
        <f t="shared" si="122"/>
        <v>0</v>
      </c>
      <c r="AD180">
        <f t="shared" si="123"/>
        <v>0</v>
      </c>
      <c r="AE180">
        <f t="shared" si="124"/>
        <v>0</v>
      </c>
      <c r="AF180">
        <f t="shared" si="125"/>
        <v>0</v>
      </c>
      <c r="AG180">
        <f t="shared" si="126"/>
        <v>0</v>
      </c>
      <c r="AH180">
        <f t="shared" si="127"/>
        <v>0</v>
      </c>
      <c r="AI180">
        <f t="shared" si="128"/>
        <v>0</v>
      </c>
      <c r="AJ180">
        <f t="shared" si="129"/>
        <v>0</v>
      </c>
      <c r="AK180">
        <f t="shared" si="130"/>
        <v>0</v>
      </c>
      <c r="AL180">
        <f t="shared" si="131"/>
        <v>0</v>
      </c>
      <c r="AM180">
        <f t="shared" si="132"/>
        <v>0</v>
      </c>
      <c r="AN180">
        <f t="shared" si="133"/>
        <v>0</v>
      </c>
      <c r="AO180">
        <f t="shared" si="134"/>
        <v>0</v>
      </c>
      <c r="AP180">
        <f t="shared" si="135"/>
        <v>0</v>
      </c>
      <c r="AQ180">
        <f t="shared" si="136"/>
        <v>0</v>
      </c>
      <c r="AR180">
        <f t="shared" si="137"/>
        <v>0</v>
      </c>
      <c r="AS180">
        <f t="shared" si="138"/>
        <v>0</v>
      </c>
      <c r="AT180">
        <f t="shared" si="139"/>
        <v>0</v>
      </c>
      <c r="AU180">
        <f t="shared" si="140"/>
        <v>0</v>
      </c>
      <c r="AV180">
        <f t="shared" si="141"/>
        <v>0</v>
      </c>
      <c r="AW180">
        <f t="shared" si="96"/>
        <v>0</v>
      </c>
      <c r="AX180">
        <f t="shared" si="142"/>
        <v>0</v>
      </c>
      <c r="AY180">
        <f t="shared" si="143"/>
        <v>0</v>
      </c>
    </row>
    <row r="181" spans="1:51" x14ac:dyDescent="0.35">
      <c r="A181">
        <v>175</v>
      </c>
      <c r="C181">
        <f>MAX(0,Calc!$C$7-SUM(D181:R181))</f>
        <v>750</v>
      </c>
      <c r="D181">
        <f t="shared" si="97"/>
        <v>0</v>
      </c>
      <c r="E181">
        <f t="shared" si="98"/>
        <v>0</v>
      </c>
      <c r="F181">
        <f t="shared" si="99"/>
        <v>0</v>
      </c>
      <c r="G181">
        <f t="shared" si="100"/>
        <v>0</v>
      </c>
      <c r="H181">
        <f t="shared" si="101"/>
        <v>0</v>
      </c>
      <c r="I181">
        <f t="shared" si="102"/>
        <v>0</v>
      </c>
      <c r="J181">
        <f t="shared" si="103"/>
        <v>0</v>
      </c>
      <c r="K181">
        <f t="shared" si="104"/>
        <v>0</v>
      </c>
      <c r="L181">
        <f t="shared" si="105"/>
        <v>0</v>
      </c>
      <c r="M181">
        <f t="shared" si="106"/>
        <v>0</v>
      </c>
      <c r="N181">
        <f t="shared" si="107"/>
        <v>0</v>
      </c>
      <c r="O181">
        <f t="shared" si="108"/>
        <v>0</v>
      </c>
      <c r="P181">
        <f t="shared" si="109"/>
        <v>0</v>
      </c>
      <c r="Q181">
        <f t="shared" si="110"/>
        <v>0</v>
      </c>
      <c r="R181">
        <f t="shared" si="111"/>
        <v>0</v>
      </c>
      <c r="S181">
        <f t="shared" si="112"/>
        <v>0</v>
      </c>
      <c r="T181">
        <f t="shared" si="113"/>
        <v>0</v>
      </c>
      <c r="U181">
        <f t="shared" si="114"/>
        <v>0</v>
      </c>
      <c r="V181">
        <f t="shared" si="115"/>
        <v>0</v>
      </c>
      <c r="W181">
        <f t="shared" si="116"/>
        <v>0</v>
      </c>
      <c r="X181">
        <f t="shared" si="117"/>
        <v>0</v>
      </c>
      <c r="Y181">
        <f t="shared" si="118"/>
        <v>0</v>
      </c>
      <c r="Z181">
        <f t="shared" si="119"/>
        <v>0</v>
      </c>
      <c r="AA181">
        <f t="shared" si="120"/>
        <v>0</v>
      </c>
      <c r="AB181">
        <f t="shared" si="121"/>
        <v>0</v>
      </c>
      <c r="AC181">
        <f t="shared" si="122"/>
        <v>0</v>
      </c>
      <c r="AD181">
        <f t="shared" si="123"/>
        <v>0</v>
      </c>
      <c r="AE181">
        <f t="shared" si="124"/>
        <v>0</v>
      </c>
      <c r="AF181">
        <f t="shared" si="125"/>
        <v>0</v>
      </c>
      <c r="AG181">
        <f t="shared" si="126"/>
        <v>0</v>
      </c>
      <c r="AH181">
        <f t="shared" si="127"/>
        <v>0</v>
      </c>
      <c r="AI181">
        <f t="shared" si="128"/>
        <v>0</v>
      </c>
      <c r="AJ181">
        <f t="shared" si="129"/>
        <v>0</v>
      </c>
      <c r="AK181">
        <f t="shared" si="130"/>
        <v>0</v>
      </c>
      <c r="AL181">
        <f t="shared" si="131"/>
        <v>0</v>
      </c>
      <c r="AM181">
        <f t="shared" si="132"/>
        <v>0</v>
      </c>
      <c r="AN181">
        <f t="shared" si="133"/>
        <v>0</v>
      </c>
      <c r="AO181">
        <f t="shared" si="134"/>
        <v>0</v>
      </c>
      <c r="AP181">
        <f t="shared" si="135"/>
        <v>0</v>
      </c>
      <c r="AQ181">
        <f t="shared" si="136"/>
        <v>0</v>
      </c>
      <c r="AR181">
        <f t="shared" si="137"/>
        <v>0</v>
      </c>
      <c r="AS181">
        <f t="shared" si="138"/>
        <v>0</v>
      </c>
      <c r="AT181">
        <f t="shared" si="139"/>
        <v>0</v>
      </c>
      <c r="AU181">
        <f t="shared" si="140"/>
        <v>0</v>
      </c>
      <c r="AV181">
        <f t="shared" si="141"/>
        <v>0</v>
      </c>
      <c r="AW181">
        <f t="shared" si="96"/>
        <v>0</v>
      </c>
      <c r="AX181">
        <f t="shared" si="142"/>
        <v>0</v>
      </c>
      <c r="AY181">
        <f t="shared" si="143"/>
        <v>0</v>
      </c>
    </row>
    <row r="182" spans="1:51" x14ac:dyDescent="0.35">
      <c r="A182">
        <v>176</v>
      </c>
      <c r="C182">
        <f>MAX(0,Calc!$C$7-SUM(D182:R182))</f>
        <v>750</v>
      </c>
      <c r="D182">
        <f t="shared" si="97"/>
        <v>0</v>
      </c>
      <c r="E182">
        <f t="shared" si="98"/>
        <v>0</v>
      </c>
      <c r="F182">
        <f t="shared" si="99"/>
        <v>0</v>
      </c>
      <c r="G182">
        <f t="shared" si="100"/>
        <v>0</v>
      </c>
      <c r="H182">
        <f t="shared" si="101"/>
        <v>0</v>
      </c>
      <c r="I182">
        <f t="shared" si="102"/>
        <v>0</v>
      </c>
      <c r="J182">
        <f t="shared" si="103"/>
        <v>0</v>
      </c>
      <c r="K182">
        <f t="shared" si="104"/>
        <v>0</v>
      </c>
      <c r="L182">
        <f t="shared" si="105"/>
        <v>0</v>
      </c>
      <c r="M182">
        <f t="shared" si="106"/>
        <v>0</v>
      </c>
      <c r="N182">
        <f t="shared" si="107"/>
        <v>0</v>
      </c>
      <c r="O182">
        <f t="shared" si="108"/>
        <v>0</v>
      </c>
      <c r="P182">
        <f t="shared" si="109"/>
        <v>0</v>
      </c>
      <c r="Q182">
        <f t="shared" si="110"/>
        <v>0</v>
      </c>
      <c r="R182">
        <f t="shared" si="111"/>
        <v>0</v>
      </c>
      <c r="S182">
        <f t="shared" si="112"/>
        <v>0</v>
      </c>
      <c r="T182">
        <f t="shared" si="113"/>
        <v>0</v>
      </c>
      <c r="U182">
        <f t="shared" si="114"/>
        <v>0</v>
      </c>
      <c r="V182">
        <f t="shared" si="115"/>
        <v>0</v>
      </c>
      <c r="W182">
        <f t="shared" si="116"/>
        <v>0</v>
      </c>
      <c r="X182">
        <f t="shared" si="117"/>
        <v>0</v>
      </c>
      <c r="Y182">
        <f t="shared" si="118"/>
        <v>0</v>
      </c>
      <c r="Z182">
        <f t="shared" si="119"/>
        <v>0</v>
      </c>
      <c r="AA182">
        <f t="shared" si="120"/>
        <v>0</v>
      </c>
      <c r="AB182">
        <f t="shared" si="121"/>
        <v>0</v>
      </c>
      <c r="AC182">
        <f t="shared" si="122"/>
        <v>0</v>
      </c>
      <c r="AD182">
        <f t="shared" si="123"/>
        <v>0</v>
      </c>
      <c r="AE182">
        <f t="shared" si="124"/>
        <v>0</v>
      </c>
      <c r="AF182">
        <f t="shared" si="125"/>
        <v>0</v>
      </c>
      <c r="AG182">
        <f t="shared" si="126"/>
        <v>0</v>
      </c>
      <c r="AH182">
        <f t="shared" si="127"/>
        <v>0</v>
      </c>
      <c r="AI182">
        <f t="shared" si="128"/>
        <v>0</v>
      </c>
      <c r="AJ182">
        <f t="shared" si="129"/>
        <v>0</v>
      </c>
      <c r="AK182">
        <f t="shared" si="130"/>
        <v>0</v>
      </c>
      <c r="AL182">
        <f t="shared" si="131"/>
        <v>0</v>
      </c>
      <c r="AM182">
        <f t="shared" si="132"/>
        <v>0</v>
      </c>
      <c r="AN182">
        <f t="shared" si="133"/>
        <v>0</v>
      </c>
      <c r="AO182">
        <f t="shared" si="134"/>
        <v>0</v>
      </c>
      <c r="AP182">
        <f t="shared" si="135"/>
        <v>0</v>
      </c>
      <c r="AQ182">
        <f t="shared" si="136"/>
        <v>0</v>
      </c>
      <c r="AR182">
        <f t="shared" si="137"/>
        <v>0</v>
      </c>
      <c r="AS182">
        <f t="shared" si="138"/>
        <v>0</v>
      </c>
      <c r="AT182">
        <f t="shared" si="139"/>
        <v>0</v>
      </c>
      <c r="AU182">
        <f t="shared" si="140"/>
        <v>0</v>
      </c>
      <c r="AV182">
        <f t="shared" si="141"/>
        <v>0</v>
      </c>
      <c r="AW182">
        <f t="shared" si="96"/>
        <v>0</v>
      </c>
      <c r="AX182">
        <f t="shared" si="142"/>
        <v>0</v>
      </c>
      <c r="AY182">
        <f t="shared" si="143"/>
        <v>0</v>
      </c>
    </row>
    <row r="183" spans="1:51" x14ac:dyDescent="0.35">
      <c r="A183">
        <v>177</v>
      </c>
      <c r="C183">
        <f>MAX(0,Calc!$C$7-SUM(D183:R183))</f>
        <v>750</v>
      </c>
      <c r="D183">
        <f t="shared" si="97"/>
        <v>0</v>
      </c>
      <c r="E183">
        <f t="shared" si="98"/>
        <v>0</v>
      </c>
      <c r="F183">
        <f t="shared" si="99"/>
        <v>0</v>
      </c>
      <c r="G183">
        <f t="shared" si="100"/>
        <v>0</v>
      </c>
      <c r="H183">
        <f t="shared" si="101"/>
        <v>0</v>
      </c>
      <c r="I183">
        <f t="shared" si="102"/>
        <v>0</v>
      </c>
      <c r="J183">
        <f t="shared" si="103"/>
        <v>0</v>
      </c>
      <c r="K183">
        <f t="shared" si="104"/>
        <v>0</v>
      </c>
      <c r="L183">
        <f t="shared" si="105"/>
        <v>0</v>
      </c>
      <c r="M183">
        <f t="shared" si="106"/>
        <v>0</v>
      </c>
      <c r="N183">
        <f t="shared" si="107"/>
        <v>0</v>
      </c>
      <c r="O183">
        <f t="shared" si="108"/>
        <v>0</v>
      </c>
      <c r="P183">
        <f t="shared" si="109"/>
        <v>0</v>
      </c>
      <c r="Q183">
        <f t="shared" si="110"/>
        <v>0</v>
      </c>
      <c r="R183">
        <f t="shared" si="111"/>
        <v>0</v>
      </c>
      <c r="S183">
        <f t="shared" si="112"/>
        <v>0</v>
      </c>
      <c r="T183">
        <f t="shared" si="113"/>
        <v>0</v>
      </c>
      <c r="U183">
        <f t="shared" si="114"/>
        <v>0</v>
      </c>
      <c r="V183">
        <f t="shared" si="115"/>
        <v>0</v>
      </c>
      <c r="W183">
        <f t="shared" si="116"/>
        <v>0</v>
      </c>
      <c r="X183">
        <f t="shared" si="117"/>
        <v>0</v>
      </c>
      <c r="Y183">
        <f t="shared" si="118"/>
        <v>0</v>
      </c>
      <c r="Z183">
        <f t="shared" si="119"/>
        <v>0</v>
      </c>
      <c r="AA183">
        <f t="shared" si="120"/>
        <v>0</v>
      </c>
      <c r="AB183">
        <f t="shared" si="121"/>
        <v>0</v>
      </c>
      <c r="AC183">
        <f t="shared" si="122"/>
        <v>0</v>
      </c>
      <c r="AD183">
        <f t="shared" si="123"/>
        <v>0</v>
      </c>
      <c r="AE183">
        <f t="shared" si="124"/>
        <v>0</v>
      </c>
      <c r="AF183">
        <f t="shared" si="125"/>
        <v>0</v>
      </c>
      <c r="AG183">
        <f t="shared" si="126"/>
        <v>0</v>
      </c>
      <c r="AH183">
        <f t="shared" si="127"/>
        <v>0</v>
      </c>
      <c r="AI183">
        <f t="shared" si="128"/>
        <v>0</v>
      </c>
      <c r="AJ183">
        <f t="shared" si="129"/>
        <v>0</v>
      </c>
      <c r="AK183">
        <f t="shared" si="130"/>
        <v>0</v>
      </c>
      <c r="AL183">
        <f t="shared" si="131"/>
        <v>0</v>
      </c>
      <c r="AM183">
        <f t="shared" si="132"/>
        <v>0</v>
      </c>
      <c r="AN183">
        <f t="shared" si="133"/>
        <v>0</v>
      </c>
      <c r="AO183">
        <f t="shared" si="134"/>
        <v>0</v>
      </c>
      <c r="AP183">
        <f t="shared" si="135"/>
        <v>0</v>
      </c>
      <c r="AQ183">
        <f t="shared" si="136"/>
        <v>0</v>
      </c>
      <c r="AR183">
        <f t="shared" si="137"/>
        <v>0</v>
      </c>
      <c r="AS183">
        <f t="shared" si="138"/>
        <v>0</v>
      </c>
      <c r="AT183">
        <f t="shared" si="139"/>
        <v>0</v>
      </c>
      <c r="AU183">
        <f t="shared" si="140"/>
        <v>0</v>
      </c>
      <c r="AV183">
        <f t="shared" si="141"/>
        <v>0</v>
      </c>
      <c r="AW183">
        <f t="shared" si="96"/>
        <v>0</v>
      </c>
      <c r="AX183">
        <f t="shared" si="142"/>
        <v>0</v>
      </c>
      <c r="AY183">
        <f t="shared" si="143"/>
        <v>0</v>
      </c>
    </row>
    <row r="184" spans="1:51" x14ac:dyDescent="0.35">
      <c r="A184">
        <v>178</v>
      </c>
      <c r="C184">
        <f>MAX(0,Calc!$C$7-SUM(D184:R184))</f>
        <v>750</v>
      </c>
      <c r="D184">
        <f t="shared" si="97"/>
        <v>0</v>
      </c>
      <c r="E184">
        <f t="shared" si="98"/>
        <v>0</v>
      </c>
      <c r="F184">
        <f t="shared" si="99"/>
        <v>0</v>
      </c>
      <c r="G184">
        <f t="shared" si="100"/>
        <v>0</v>
      </c>
      <c r="H184">
        <f t="shared" si="101"/>
        <v>0</v>
      </c>
      <c r="I184">
        <f t="shared" si="102"/>
        <v>0</v>
      </c>
      <c r="J184">
        <f t="shared" si="103"/>
        <v>0</v>
      </c>
      <c r="K184">
        <f t="shared" si="104"/>
        <v>0</v>
      </c>
      <c r="L184">
        <f t="shared" si="105"/>
        <v>0</v>
      </c>
      <c r="M184">
        <f t="shared" si="106"/>
        <v>0</v>
      </c>
      <c r="N184">
        <f t="shared" si="107"/>
        <v>0</v>
      </c>
      <c r="O184">
        <f t="shared" si="108"/>
        <v>0</v>
      </c>
      <c r="P184">
        <f t="shared" si="109"/>
        <v>0</v>
      </c>
      <c r="Q184">
        <f t="shared" si="110"/>
        <v>0</v>
      </c>
      <c r="R184">
        <f t="shared" si="111"/>
        <v>0</v>
      </c>
      <c r="S184">
        <f t="shared" si="112"/>
        <v>0</v>
      </c>
      <c r="T184">
        <f t="shared" si="113"/>
        <v>0</v>
      </c>
      <c r="U184">
        <f t="shared" si="114"/>
        <v>0</v>
      </c>
      <c r="V184">
        <f t="shared" si="115"/>
        <v>0</v>
      </c>
      <c r="W184">
        <f t="shared" si="116"/>
        <v>0</v>
      </c>
      <c r="X184">
        <f t="shared" si="117"/>
        <v>0</v>
      </c>
      <c r="Y184">
        <f t="shared" si="118"/>
        <v>0</v>
      </c>
      <c r="Z184">
        <f t="shared" si="119"/>
        <v>0</v>
      </c>
      <c r="AA184">
        <f t="shared" si="120"/>
        <v>0</v>
      </c>
      <c r="AB184">
        <f t="shared" si="121"/>
        <v>0</v>
      </c>
      <c r="AC184">
        <f t="shared" si="122"/>
        <v>0</v>
      </c>
      <c r="AD184">
        <f t="shared" si="123"/>
        <v>0</v>
      </c>
      <c r="AE184">
        <f t="shared" si="124"/>
        <v>0</v>
      </c>
      <c r="AF184">
        <f t="shared" si="125"/>
        <v>0</v>
      </c>
      <c r="AG184">
        <f t="shared" si="126"/>
        <v>0</v>
      </c>
      <c r="AH184">
        <f t="shared" si="127"/>
        <v>0</v>
      </c>
      <c r="AI184">
        <f t="shared" si="128"/>
        <v>0</v>
      </c>
      <c r="AJ184">
        <f t="shared" si="129"/>
        <v>0</v>
      </c>
      <c r="AK184">
        <f t="shared" si="130"/>
        <v>0</v>
      </c>
      <c r="AL184">
        <f t="shared" si="131"/>
        <v>0</v>
      </c>
      <c r="AM184">
        <f t="shared" si="132"/>
        <v>0</v>
      </c>
      <c r="AN184">
        <f t="shared" si="133"/>
        <v>0</v>
      </c>
      <c r="AO184">
        <f t="shared" si="134"/>
        <v>0</v>
      </c>
      <c r="AP184">
        <f t="shared" si="135"/>
        <v>0</v>
      </c>
      <c r="AQ184">
        <f t="shared" si="136"/>
        <v>0</v>
      </c>
      <c r="AR184">
        <f t="shared" si="137"/>
        <v>0</v>
      </c>
      <c r="AS184">
        <f t="shared" si="138"/>
        <v>0</v>
      </c>
      <c r="AT184">
        <f t="shared" si="139"/>
        <v>0</v>
      </c>
      <c r="AU184">
        <f t="shared" si="140"/>
        <v>0</v>
      </c>
      <c r="AV184">
        <f t="shared" si="141"/>
        <v>0</v>
      </c>
      <c r="AW184">
        <f t="shared" si="96"/>
        <v>0</v>
      </c>
      <c r="AX184">
        <f t="shared" si="142"/>
        <v>0</v>
      </c>
      <c r="AY184">
        <f t="shared" si="143"/>
        <v>0</v>
      </c>
    </row>
    <row r="185" spans="1:51" x14ac:dyDescent="0.35">
      <c r="A185">
        <v>179</v>
      </c>
      <c r="C185">
        <f>MAX(0,Calc!$C$7-SUM(D185:R185))</f>
        <v>750</v>
      </c>
      <c r="D185">
        <f t="shared" si="97"/>
        <v>0</v>
      </c>
      <c r="E185">
        <f t="shared" si="98"/>
        <v>0</v>
      </c>
      <c r="F185">
        <f t="shared" si="99"/>
        <v>0</v>
      </c>
      <c r="G185">
        <f t="shared" si="100"/>
        <v>0</v>
      </c>
      <c r="H185">
        <f t="shared" si="101"/>
        <v>0</v>
      </c>
      <c r="I185">
        <f t="shared" si="102"/>
        <v>0</v>
      </c>
      <c r="J185">
        <f t="shared" si="103"/>
        <v>0</v>
      </c>
      <c r="K185">
        <f t="shared" si="104"/>
        <v>0</v>
      </c>
      <c r="L185">
        <f t="shared" si="105"/>
        <v>0</v>
      </c>
      <c r="M185">
        <f t="shared" si="106"/>
        <v>0</v>
      </c>
      <c r="N185">
        <f t="shared" si="107"/>
        <v>0</v>
      </c>
      <c r="O185">
        <f t="shared" si="108"/>
        <v>0</v>
      </c>
      <c r="P185">
        <f t="shared" si="109"/>
        <v>0</v>
      </c>
      <c r="Q185">
        <f t="shared" si="110"/>
        <v>0</v>
      </c>
      <c r="R185">
        <f t="shared" si="111"/>
        <v>0</v>
      </c>
      <c r="S185">
        <f t="shared" si="112"/>
        <v>0</v>
      </c>
      <c r="T185">
        <f t="shared" si="113"/>
        <v>0</v>
      </c>
      <c r="U185">
        <f t="shared" si="114"/>
        <v>0</v>
      </c>
      <c r="V185">
        <f t="shared" si="115"/>
        <v>0</v>
      </c>
      <c r="W185">
        <f t="shared" si="116"/>
        <v>0</v>
      </c>
      <c r="X185">
        <f t="shared" si="117"/>
        <v>0</v>
      </c>
      <c r="Y185">
        <f t="shared" si="118"/>
        <v>0</v>
      </c>
      <c r="Z185">
        <f t="shared" si="119"/>
        <v>0</v>
      </c>
      <c r="AA185">
        <f t="shared" si="120"/>
        <v>0</v>
      </c>
      <c r="AB185">
        <f t="shared" si="121"/>
        <v>0</v>
      </c>
      <c r="AC185">
        <f t="shared" si="122"/>
        <v>0</v>
      </c>
      <c r="AD185">
        <f t="shared" si="123"/>
        <v>0</v>
      </c>
      <c r="AE185">
        <f t="shared" si="124"/>
        <v>0</v>
      </c>
      <c r="AF185">
        <f t="shared" si="125"/>
        <v>0</v>
      </c>
      <c r="AG185">
        <f t="shared" si="126"/>
        <v>0</v>
      </c>
      <c r="AH185">
        <f t="shared" si="127"/>
        <v>0</v>
      </c>
      <c r="AI185">
        <f t="shared" si="128"/>
        <v>0</v>
      </c>
      <c r="AJ185">
        <f t="shared" si="129"/>
        <v>0</v>
      </c>
      <c r="AK185">
        <f t="shared" si="130"/>
        <v>0</v>
      </c>
      <c r="AL185">
        <f t="shared" si="131"/>
        <v>0</v>
      </c>
      <c r="AM185">
        <f t="shared" si="132"/>
        <v>0</v>
      </c>
      <c r="AN185">
        <f t="shared" si="133"/>
        <v>0</v>
      </c>
      <c r="AO185">
        <f t="shared" si="134"/>
        <v>0</v>
      </c>
      <c r="AP185">
        <f t="shared" si="135"/>
        <v>0</v>
      </c>
      <c r="AQ185">
        <f t="shared" si="136"/>
        <v>0</v>
      </c>
      <c r="AR185">
        <f t="shared" si="137"/>
        <v>0</v>
      </c>
      <c r="AS185">
        <f t="shared" si="138"/>
        <v>0</v>
      </c>
      <c r="AT185">
        <f t="shared" si="139"/>
        <v>0</v>
      </c>
      <c r="AU185">
        <f t="shared" si="140"/>
        <v>0</v>
      </c>
      <c r="AV185">
        <f t="shared" si="141"/>
        <v>0</v>
      </c>
      <c r="AW185">
        <f t="shared" si="96"/>
        <v>0</v>
      </c>
      <c r="AX185">
        <f t="shared" si="142"/>
        <v>0</v>
      </c>
      <c r="AY185">
        <f t="shared" si="143"/>
        <v>0</v>
      </c>
    </row>
    <row r="186" spans="1:51" x14ac:dyDescent="0.35">
      <c r="A186">
        <v>180</v>
      </c>
      <c r="C186">
        <f>MAX(0,Calc!$C$7-SUM(D186:R186))</f>
        <v>750</v>
      </c>
      <c r="D186">
        <f t="shared" si="97"/>
        <v>0</v>
      </c>
      <c r="E186">
        <f t="shared" si="98"/>
        <v>0</v>
      </c>
      <c r="F186">
        <f t="shared" si="99"/>
        <v>0</v>
      </c>
      <c r="G186">
        <f t="shared" si="100"/>
        <v>0</v>
      </c>
      <c r="H186">
        <f t="shared" si="101"/>
        <v>0</v>
      </c>
      <c r="I186">
        <f t="shared" si="102"/>
        <v>0</v>
      </c>
      <c r="J186">
        <f t="shared" si="103"/>
        <v>0</v>
      </c>
      <c r="K186">
        <f t="shared" si="104"/>
        <v>0</v>
      </c>
      <c r="L186">
        <f t="shared" si="105"/>
        <v>0</v>
      </c>
      <c r="M186">
        <f t="shared" si="106"/>
        <v>0</v>
      </c>
      <c r="N186">
        <f t="shared" si="107"/>
        <v>0</v>
      </c>
      <c r="O186">
        <f t="shared" si="108"/>
        <v>0</v>
      </c>
      <c r="P186">
        <f t="shared" si="109"/>
        <v>0</v>
      </c>
      <c r="Q186">
        <f t="shared" si="110"/>
        <v>0</v>
      </c>
      <c r="R186">
        <f t="shared" si="111"/>
        <v>0</v>
      </c>
      <c r="S186">
        <f t="shared" si="112"/>
        <v>0</v>
      </c>
      <c r="T186">
        <f t="shared" si="113"/>
        <v>0</v>
      </c>
      <c r="U186">
        <f t="shared" si="114"/>
        <v>0</v>
      </c>
      <c r="V186">
        <f t="shared" si="115"/>
        <v>0</v>
      </c>
      <c r="W186">
        <f t="shared" si="116"/>
        <v>0</v>
      </c>
      <c r="X186">
        <f t="shared" si="117"/>
        <v>0</v>
      </c>
      <c r="Y186">
        <f t="shared" si="118"/>
        <v>0</v>
      </c>
      <c r="Z186">
        <f t="shared" si="119"/>
        <v>0</v>
      </c>
      <c r="AA186">
        <f t="shared" si="120"/>
        <v>0</v>
      </c>
      <c r="AB186">
        <f t="shared" si="121"/>
        <v>0</v>
      </c>
      <c r="AC186">
        <f t="shared" si="122"/>
        <v>0</v>
      </c>
      <c r="AD186">
        <f t="shared" si="123"/>
        <v>0</v>
      </c>
      <c r="AE186">
        <f t="shared" si="124"/>
        <v>0</v>
      </c>
      <c r="AF186">
        <f t="shared" si="125"/>
        <v>0</v>
      </c>
      <c r="AG186">
        <f t="shared" si="126"/>
        <v>0</v>
      </c>
      <c r="AH186">
        <f t="shared" si="127"/>
        <v>0</v>
      </c>
      <c r="AI186">
        <f t="shared" si="128"/>
        <v>0</v>
      </c>
      <c r="AJ186">
        <f t="shared" si="129"/>
        <v>0</v>
      </c>
      <c r="AK186">
        <f t="shared" si="130"/>
        <v>0</v>
      </c>
      <c r="AL186">
        <f t="shared" si="131"/>
        <v>0</v>
      </c>
      <c r="AM186">
        <f t="shared" si="132"/>
        <v>0</v>
      </c>
      <c r="AN186">
        <f t="shared" si="133"/>
        <v>0</v>
      </c>
      <c r="AO186">
        <f t="shared" si="134"/>
        <v>0</v>
      </c>
      <c r="AP186">
        <f t="shared" si="135"/>
        <v>0</v>
      </c>
      <c r="AQ186">
        <f t="shared" si="136"/>
        <v>0</v>
      </c>
      <c r="AR186">
        <f t="shared" si="137"/>
        <v>0</v>
      </c>
      <c r="AS186">
        <f t="shared" si="138"/>
        <v>0</v>
      </c>
      <c r="AT186">
        <f t="shared" si="139"/>
        <v>0</v>
      </c>
      <c r="AU186">
        <f t="shared" si="140"/>
        <v>0</v>
      </c>
      <c r="AV186">
        <f t="shared" si="141"/>
        <v>0</v>
      </c>
      <c r="AW186">
        <f t="shared" si="96"/>
        <v>0</v>
      </c>
      <c r="AX186">
        <f t="shared" si="142"/>
        <v>0</v>
      </c>
      <c r="AY186">
        <f t="shared" si="143"/>
        <v>0</v>
      </c>
    </row>
    <row r="187" spans="1:51" x14ac:dyDescent="0.35">
      <c r="A187">
        <v>181</v>
      </c>
      <c r="C187">
        <f>MAX(0,Calc!$C$7-SUM(D187:R187))</f>
        <v>750</v>
      </c>
      <c r="D187">
        <f t="shared" si="97"/>
        <v>0</v>
      </c>
      <c r="E187">
        <f t="shared" si="98"/>
        <v>0</v>
      </c>
      <c r="F187">
        <f t="shared" si="99"/>
        <v>0</v>
      </c>
      <c r="G187">
        <f t="shared" si="100"/>
        <v>0</v>
      </c>
      <c r="H187">
        <f t="shared" si="101"/>
        <v>0</v>
      </c>
      <c r="I187">
        <f t="shared" si="102"/>
        <v>0</v>
      </c>
      <c r="J187">
        <f t="shared" si="103"/>
        <v>0</v>
      </c>
      <c r="K187">
        <f t="shared" si="104"/>
        <v>0</v>
      </c>
      <c r="L187">
        <f t="shared" si="105"/>
        <v>0</v>
      </c>
      <c r="M187">
        <f t="shared" si="106"/>
        <v>0</v>
      </c>
      <c r="N187">
        <f t="shared" si="107"/>
        <v>0</v>
      </c>
      <c r="O187">
        <f t="shared" si="108"/>
        <v>0</v>
      </c>
      <c r="P187">
        <f t="shared" si="109"/>
        <v>0</v>
      </c>
      <c r="Q187">
        <f t="shared" si="110"/>
        <v>0</v>
      </c>
      <c r="R187">
        <f t="shared" si="111"/>
        <v>0</v>
      </c>
      <c r="S187">
        <f t="shared" si="112"/>
        <v>0</v>
      </c>
      <c r="T187">
        <f t="shared" si="113"/>
        <v>0</v>
      </c>
      <c r="U187">
        <f t="shared" si="114"/>
        <v>0</v>
      </c>
      <c r="V187">
        <f t="shared" si="115"/>
        <v>0</v>
      </c>
      <c r="W187">
        <f t="shared" si="116"/>
        <v>0</v>
      </c>
      <c r="X187">
        <f t="shared" si="117"/>
        <v>0</v>
      </c>
      <c r="Y187">
        <f t="shared" si="118"/>
        <v>0</v>
      </c>
      <c r="Z187">
        <f t="shared" si="119"/>
        <v>0</v>
      </c>
      <c r="AA187">
        <f t="shared" si="120"/>
        <v>0</v>
      </c>
      <c r="AB187">
        <f t="shared" si="121"/>
        <v>0</v>
      </c>
      <c r="AC187">
        <f t="shared" si="122"/>
        <v>0</v>
      </c>
      <c r="AD187">
        <f t="shared" si="123"/>
        <v>0</v>
      </c>
      <c r="AE187">
        <f t="shared" si="124"/>
        <v>0</v>
      </c>
      <c r="AF187">
        <f t="shared" si="125"/>
        <v>0</v>
      </c>
      <c r="AG187">
        <f t="shared" si="126"/>
        <v>0</v>
      </c>
      <c r="AH187">
        <f t="shared" si="127"/>
        <v>0</v>
      </c>
      <c r="AI187">
        <f t="shared" si="128"/>
        <v>0</v>
      </c>
      <c r="AJ187">
        <f t="shared" si="129"/>
        <v>0</v>
      </c>
      <c r="AK187">
        <f t="shared" si="130"/>
        <v>0</v>
      </c>
      <c r="AL187">
        <f t="shared" si="131"/>
        <v>0</v>
      </c>
      <c r="AM187">
        <f t="shared" si="132"/>
        <v>0</v>
      </c>
      <c r="AN187">
        <f t="shared" si="133"/>
        <v>0</v>
      </c>
      <c r="AO187">
        <f t="shared" si="134"/>
        <v>0</v>
      </c>
      <c r="AP187">
        <f t="shared" si="135"/>
        <v>0</v>
      </c>
      <c r="AQ187">
        <f t="shared" si="136"/>
        <v>0</v>
      </c>
      <c r="AR187">
        <f t="shared" si="137"/>
        <v>0</v>
      </c>
      <c r="AS187">
        <f t="shared" si="138"/>
        <v>0</v>
      </c>
      <c r="AT187">
        <f t="shared" si="139"/>
        <v>0</v>
      </c>
      <c r="AU187">
        <f t="shared" si="140"/>
        <v>0</v>
      </c>
      <c r="AV187">
        <f t="shared" si="141"/>
        <v>0</v>
      </c>
      <c r="AW187">
        <f t="shared" si="96"/>
        <v>0</v>
      </c>
      <c r="AX187">
        <f t="shared" si="142"/>
        <v>0</v>
      </c>
      <c r="AY187">
        <f t="shared" si="143"/>
        <v>0</v>
      </c>
    </row>
    <row r="188" spans="1:51" x14ac:dyDescent="0.35">
      <c r="A188">
        <v>182</v>
      </c>
      <c r="C188">
        <f>MAX(0,Calc!$C$7-SUM(D188:R188))</f>
        <v>750</v>
      </c>
      <c r="D188">
        <f t="shared" si="97"/>
        <v>0</v>
      </c>
      <c r="E188">
        <f t="shared" si="98"/>
        <v>0</v>
      </c>
      <c r="F188">
        <f t="shared" si="99"/>
        <v>0</v>
      </c>
      <c r="G188">
        <f t="shared" si="100"/>
        <v>0</v>
      </c>
      <c r="H188">
        <f t="shared" si="101"/>
        <v>0</v>
      </c>
      <c r="I188">
        <f t="shared" si="102"/>
        <v>0</v>
      </c>
      <c r="J188">
        <f t="shared" si="103"/>
        <v>0</v>
      </c>
      <c r="K188">
        <f t="shared" si="104"/>
        <v>0</v>
      </c>
      <c r="L188">
        <f t="shared" si="105"/>
        <v>0</v>
      </c>
      <c r="M188">
        <f t="shared" si="106"/>
        <v>0</v>
      </c>
      <c r="N188">
        <f t="shared" si="107"/>
        <v>0</v>
      </c>
      <c r="O188">
        <f t="shared" si="108"/>
        <v>0</v>
      </c>
      <c r="P188">
        <f t="shared" si="109"/>
        <v>0</v>
      </c>
      <c r="Q188">
        <f t="shared" si="110"/>
        <v>0</v>
      </c>
      <c r="R188">
        <f t="shared" si="111"/>
        <v>0</v>
      </c>
      <c r="S188">
        <f t="shared" si="112"/>
        <v>0</v>
      </c>
      <c r="T188">
        <f t="shared" si="113"/>
        <v>0</v>
      </c>
      <c r="U188">
        <f t="shared" si="114"/>
        <v>0</v>
      </c>
      <c r="V188">
        <f t="shared" si="115"/>
        <v>0</v>
      </c>
      <c r="W188">
        <f t="shared" si="116"/>
        <v>0</v>
      </c>
      <c r="X188">
        <f t="shared" si="117"/>
        <v>0</v>
      </c>
      <c r="Y188">
        <f t="shared" si="118"/>
        <v>0</v>
      </c>
      <c r="Z188">
        <f t="shared" si="119"/>
        <v>0</v>
      </c>
      <c r="AA188">
        <f t="shared" si="120"/>
        <v>0</v>
      </c>
      <c r="AB188">
        <f t="shared" si="121"/>
        <v>0</v>
      </c>
      <c r="AC188">
        <f t="shared" si="122"/>
        <v>0</v>
      </c>
      <c r="AD188">
        <f t="shared" si="123"/>
        <v>0</v>
      </c>
      <c r="AE188">
        <f t="shared" si="124"/>
        <v>0</v>
      </c>
      <c r="AF188">
        <f t="shared" si="125"/>
        <v>0</v>
      </c>
      <c r="AG188">
        <f t="shared" si="126"/>
        <v>0</v>
      </c>
      <c r="AH188">
        <f t="shared" si="127"/>
        <v>0</v>
      </c>
      <c r="AI188">
        <f t="shared" si="128"/>
        <v>0</v>
      </c>
      <c r="AJ188">
        <f t="shared" si="129"/>
        <v>0</v>
      </c>
      <c r="AK188">
        <f t="shared" si="130"/>
        <v>0</v>
      </c>
      <c r="AL188">
        <f t="shared" si="131"/>
        <v>0</v>
      </c>
      <c r="AM188">
        <f t="shared" si="132"/>
        <v>0</v>
      </c>
      <c r="AN188">
        <f t="shared" si="133"/>
        <v>0</v>
      </c>
      <c r="AO188">
        <f t="shared" si="134"/>
        <v>0</v>
      </c>
      <c r="AP188">
        <f t="shared" si="135"/>
        <v>0</v>
      </c>
      <c r="AQ188">
        <f t="shared" si="136"/>
        <v>0</v>
      </c>
      <c r="AR188">
        <f t="shared" si="137"/>
        <v>0</v>
      </c>
      <c r="AS188">
        <f t="shared" si="138"/>
        <v>0</v>
      </c>
      <c r="AT188">
        <f t="shared" si="139"/>
        <v>0</v>
      </c>
      <c r="AU188">
        <f t="shared" si="140"/>
        <v>0</v>
      </c>
      <c r="AV188">
        <f t="shared" si="141"/>
        <v>0</v>
      </c>
      <c r="AW188">
        <f t="shared" si="96"/>
        <v>0</v>
      </c>
      <c r="AX188">
        <f t="shared" si="142"/>
        <v>0</v>
      </c>
      <c r="AY188">
        <f t="shared" si="143"/>
        <v>0</v>
      </c>
    </row>
    <row r="189" spans="1:51" x14ac:dyDescent="0.35">
      <c r="A189">
        <v>183</v>
      </c>
      <c r="C189">
        <f>MAX(0,Calc!$C$7-SUM(D189:R189))</f>
        <v>750</v>
      </c>
      <c r="D189">
        <f t="shared" si="97"/>
        <v>0</v>
      </c>
      <c r="E189">
        <f t="shared" si="98"/>
        <v>0</v>
      </c>
      <c r="F189">
        <f t="shared" si="99"/>
        <v>0</v>
      </c>
      <c r="G189">
        <f t="shared" si="100"/>
        <v>0</v>
      </c>
      <c r="H189">
        <f t="shared" si="101"/>
        <v>0</v>
      </c>
      <c r="I189">
        <f t="shared" si="102"/>
        <v>0</v>
      </c>
      <c r="J189">
        <f t="shared" si="103"/>
        <v>0</v>
      </c>
      <c r="K189">
        <f t="shared" si="104"/>
        <v>0</v>
      </c>
      <c r="L189">
        <f t="shared" si="105"/>
        <v>0</v>
      </c>
      <c r="M189">
        <f t="shared" si="106"/>
        <v>0</v>
      </c>
      <c r="N189">
        <f t="shared" si="107"/>
        <v>0</v>
      </c>
      <c r="O189">
        <f t="shared" si="108"/>
        <v>0</v>
      </c>
      <c r="P189">
        <f t="shared" si="109"/>
        <v>0</v>
      </c>
      <c r="Q189">
        <f t="shared" si="110"/>
        <v>0</v>
      </c>
      <c r="R189">
        <f t="shared" si="111"/>
        <v>0</v>
      </c>
      <c r="S189">
        <f t="shared" si="112"/>
        <v>0</v>
      </c>
      <c r="T189">
        <f t="shared" si="113"/>
        <v>0</v>
      </c>
      <c r="U189">
        <f t="shared" si="114"/>
        <v>0</v>
      </c>
      <c r="V189">
        <f t="shared" si="115"/>
        <v>0</v>
      </c>
      <c r="W189">
        <f t="shared" si="116"/>
        <v>0</v>
      </c>
      <c r="X189">
        <f t="shared" si="117"/>
        <v>0</v>
      </c>
      <c r="Y189">
        <f t="shared" si="118"/>
        <v>0</v>
      </c>
      <c r="Z189">
        <f t="shared" si="119"/>
        <v>0</v>
      </c>
      <c r="AA189">
        <f t="shared" si="120"/>
        <v>0</v>
      </c>
      <c r="AB189">
        <f t="shared" si="121"/>
        <v>0</v>
      </c>
      <c r="AC189">
        <f t="shared" si="122"/>
        <v>0</v>
      </c>
      <c r="AD189">
        <f t="shared" si="123"/>
        <v>0</v>
      </c>
      <c r="AE189">
        <f t="shared" si="124"/>
        <v>0</v>
      </c>
      <c r="AF189">
        <f t="shared" si="125"/>
        <v>0</v>
      </c>
      <c r="AG189">
        <f t="shared" si="126"/>
        <v>0</v>
      </c>
      <c r="AH189">
        <f t="shared" si="127"/>
        <v>0</v>
      </c>
      <c r="AI189">
        <f t="shared" si="128"/>
        <v>0</v>
      </c>
      <c r="AJ189">
        <f t="shared" si="129"/>
        <v>0</v>
      </c>
      <c r="AK189">
        <f t="shared" si="130"/>
        <v>0</v>
      </c>
      <c r="AL189">
        <f t="shared" si="131"/>
        <v>0</v>
      </c>
      <c r="AM189">
        <f t="shared" si="132"/>
        <v>0</v>
      </c>
      <c r="AN189">
        <f t="shared" si="133"/>
        <v>0</v>
      </c>
      <c r="AO189">
        <f t="shared" si="134"/>
        <v>0</v>
      </c>
      <c r="AP189">
        <f t="shared" si="135"/>
        <v>0</v>
      </c>
      <c r="AQ189">
        <f t="shared" si="136"/>
        <v>0</v>
      </c>
      <c r="AR189">
        <f t="shared" si="137"/>
        <v>0</v>
      </c>
      <c r="AS189">
        <f t="shared" si="138"/>
        <v>0</v>
      </c>
      <c r="AT189">
        <f t="shared" si="139"/>
        <v>0</v>
      </c>
      <c r="AU189">
        <f t="shared" si="140"/>
        <v>0</v>
      </c>
      <c r="AV189">
        <f t="shared" si="141"/>
        <v>0</v>
      </c>
      <c r="AW189">
        <f t="shared" si="96"/>
        <v>0</v>
      </c>
      <c r="AX189">
        <f t="shared" si="142"/>
        <v>0</v>
      </c>
      <c r="AY189">
        <f t="shared" si="143"/>
        <v>0</v>
      </c>
    </row>
    <row r="190" spans="1:51" x14ac:dyDescent="0.35">
      <c r="A190">
        <v>184</v>
      </c>
      <c r="C190">
        <f>MAX(0,Calc!$C$7-SUM(D190:R190))</f>
        <v>750</v>
      </c>
      <c r="D190">
        <f t="shared" si="97"/>
        <v>0</v>
      </c>
      <c r="E190">
        <f t="shared" si="98"/>
        <v>0</v>
      </c>
      <c r="F190">
        <f t="shared" si="99"/>
        <v>0</v>
      </c>
      <c r="G190">
        <f t="shared" si="100"/>
        <v>0</v>
      </c>
      <c r="H190">
        <f t="shared" si="101"/>
        <v>0</v>
      </c>
      <c r="I190">
        <f t="shared" si="102"/>
        <v>0</v>
      </c>
      <c r="J190">
        <f t="shared" si="103"/>
        <v>0</v>
      </c>
      <c r="K190">
        <f t="shared" si="104"/>
        <v>0</v>
      </c>
      <c r="L190">
        <f t="shared" si="105"/>
        <v>0</v>
      </c>
      <c r="M190">
        <f t="shared" si="106"/>
        <v>0</v>
      </c>
      <c r="N190">
        <f t="shared" si="107"/>
        <v>0</v>
      </c>
      <c r="O190">
        <f t="shared" si="108"/>
        <v>0</v>
      </c>
      <c r="P190">
        <f t="shared" si="109"/>
        <v>0</v>
      </c>
      <c r="Q190">
        <f t="shared" si="110"/>
        <v>0</v>
      </c>
      <c r="R190">
        <f t="shared" si="111"/>
        <v>0</v>
      </c>
      <c r="S190">
        <f t="shared" si="112"/>
        <v>0</v>
      </c>
      <c r="T190">
        <f t="shared" si="113"/>
        <v>0</v>
      </c>
      <c r="U190">
        <f t="shared" si="114"/>
        <v>0</v>
      </c>
      <c r="V190">
        <f t="shared" si="115"/>
        <v>0</v>
      </c>
      <c r="W190">
        <f t="shared" si="116"/>
        <v>0</v>
      </c>
      <c r="X190">
        <f t="shared" si="117"/>
        <v>0</v>
      </c>
      <c r="Y190">
        <f t="shared" si="118"/>
        <v>0</v>
      </c>
      <c r="Z190">
        <f t="shared" si="119"/>
        <v>0</v>
      </c>
      <c r="AA190">
        <f t="shared" si="120"/>
        <v>0</v>
      </c>
      <c r="AB190">
        <f t="shared" si="121"/>
        <v>0</v>
      </c>
      <c r="AC190">
        <f t="shared" si="122"/>
        <v>0</v>
      </c>
      <c r="AD190">
        <f t="shared" si="123"/>
        <v>0</v>
      </c>
      <c r="AE190">
        <f t="shared" si="124"/>
        <v>0</v>
      </c>
      <c r="AF190">
        <f t="shared" si="125"/>
        <v>0</v>
      </c>
      <c r="AG190">
        <f t="shared" si="126"/>
        <v>0</v>
      </c>
      <c r="AH190">
        <f t="shared" si="127"/>
        <v>0</v>
      </c>
      <c r="AI190">
        <f t="shared" si="128"/>
        <v>0</v>
      </c>
      <c r="AJ190">
        <f t="shared" si="129"/>
        <v>0</v>
      </c>
      <c r="AK190">
        <f t="shared" si="130"/>
        <v>0</v>
      </c>
      <c r="AL190">
        <f t="shared" si="131"/>
        <v>0</v>
      </c>
      <c r="AM190">
        <f t="shared" si="132"/>
        <v>0</v>
      </c>
      <c r="AN190">
        <f t="shared" si="133"/>
        <v>0</v>
      </c>
      <c r="AO190">
        <f t="shared" si="134"/>
        <v>0</v>
      </c>
      <c r="AP190">
        <f t="shared" si="135"/>
        <v>0</v>
      </c>
      <c r="AQ190">
        <f t="shared" si="136"/>
        <v>0</v>
      </c>
      <c r="AR190">
        <f t="shared" si="137"/>
        <v>0</v>
      </c>
      <c r="AS190">
        <f t="shared" si="138"/>
        <v>0</v>
      </c>
      <c r="AT190">
        <f t="shared" si="139"/>
        <v>0</v>
      </c>
      <c r="AU190">
        <f t="shared" si="140"/>
        <v>0</v>
      </c>
      <c r="AV190">
        <f t="shared" si="141"/>
        <v>0</v>
      </c>
      <c r="AW190">
        <f t="shared" si="96"/>
        <v>0</v>
      </c>
      <c r="AX190">
        <f t="shared" si="142"/>
        <v>0</v>
      </c>
      <c r="AY190">
        <f t="shared" si="143"/>
        <v>0</v>
      </c>
    </row>
    <row r="191" spans="1:51" x14ac:dyDescent="0.35">
      <c r="A191">
        <v>185</v>
      </c>
      <c r="C191">
        <f>MAX(0,Calc!$C$7-SUM(D191:R191))</f>
        <v>750</v>
      </c>
      <c r="D191">
        <f t="shared" si="97"/>
        <v>0</v>
      </c>
      <c r="E191">
        <f t="shared" si="98"/>
        <v>0</v>
      </c>
      <c r="F191">
        <f t="shared" si="99"/>
        <v>0</v>
      </c>
      <c r="G191">
        <f t="shared" si="100"/>
        <v>0</v>
      </c>
      <c r="H191">
        <f t="shared" si="101"/>
        <v>0</v>
      </c>
      <c r="I191">
        <f t="shared" si="102"/>
        <v>0</v>
      </c>
      <c r="J191">
        <f t="shared" si="103"/>
        <v>0</v>
      </c>
      <c r="K191">
        <f t="shared" si="104"/>
        <v>0</v>
      </c>
      <c r="L191">
        <f t="shared" si="105"/>
        <v>0</v>
      </c>
      <c r="M191">
        <f t="shared" si="106"/>
        <v>0</v>
      </c>
      <c r="N191">
        <f t="shared" si="107"/>
        <v>0</v>
      </c>
      <c r="O191">
        <f t="shared" si="108"/>
        <v>0</v>
      </c>
      <c r="P191">
        <f t="shared" si="109"/>
        <v>0</v>
      </c>
      <c r="Q191">
        <f t="shared" si="110"/>
        <v>0</v>
      </c>
      <c r="R191">
        <f t="shared" si="111"/>
        <v>0</v>
      </c>
      <c r="S191">
        <f t="shared" si="112"/>
        <v>0</v>
      </c>
      <c r="T191">
        <f t="shared" si="113"/>
        <v>0</v>
      </c>
      <c r="U191">
        <f t="shared" si="114"/>
        <v>0</v>
      </c>
      <c r="V191">
        <f t="shared" si="115"/>
        <v>0</v>
      </c>
      <c r="W191">
        <f t="shared" si="116"/>
        <v>0</v>
      </c>
      <c r="X191">
        <f t="shared" si="117"/>
        <v>0</v>
      </c>
      <c r="Y191">
        <f t="shared" si="118"/>
        <v>0</v>
      </c>
      <c r="Z191">
        <f t="shared" si="119"/>
        <v>0</v>
      </c>
      <c r="AA191">
        <f t="shared" si="120"/>
        <v>0</v>
      </c>
      <c r="AB191">
        <f t="shared" si="121"/>
        <v>0</v>
      </c>
      <c r="AC191">
        <f t="shared" si="122"/>
        <v>0</v>
      </c>
      <c r="AD191">
        <f t="shared" si="123"/>
        <v>0</v>
      </c>
      <c r="AE191">
        <f t="shared" si="124"/>
        <v>0</v>
      </c>
      <c r="AF191">
        <f t="shared" si="125"/>
        <v>0</v>
      </c>
      <c r="AG191">
        <f t="shared" si="126"/>
        <v>0</v>
      </c>
      <c r="AH191">
        <f t="shared" si="127"/>
        <v>0</v>
      </c>
      <c r="AI191">
        <f t="shared" si="128"/>
        <v>0</v>
      </c>
      <c r="AJ191">
        <f t="shared" si="129"/>
        <v>0</v>
      </c>
      <c r="AK191">
        <f t="shared" si="130"/>
        <v>0</v>
      </c>
      <c r="AL191">
        <f t="shared" si="131"/>
        <v>0</v>
      </c>
      <c r="AM191">
        <f t="shared" si="132"/>
        <v>0</v>
      </c>
      <c r="AN191">
        <f t="shared" si="133"/>
        <v>0</v>
      </c>
      <c r="AO191">
        <f t="shared" si="134"/>
        <v>0</v>
      </c>
      <c r="AP191">
        <f t="shared" si="135"/>
        <v>0</v>
      </c>
      <c r="AQ191">
        <f t="shared" si="136"/>
        <v>0</v>
      </c>
      <c r="AR191">
        <f t="shared" si="137"/>
        <v>0</v>
      </c>
      <c r="AS191">
        <f t="shared" si="138"/>
        <v>0</v>
      </c>
      <c r="AT191">
        <f t="shared" si="139"/>
        <v>0</v>
      </c>
      <c r="AU191">
        <f t="shared" si="140"/>
        <v>0</v>
      </c>
      <c r="AV191">
        <f t="shared" si="141"/>
        <v>0</v>
      </c>
      <c r="AW191">
        <f t="shared" si="96"/>
        <v>0</v>
      </c>
      <c r="AX191">
        <f t="shared" si="142"/>
        <v>0</v>
      </c>
      <c r="AY191">
        <f t="shared" si="143"/>
        <v>0</v>
      </c>
    </row>
    <row r="192" spans="1:51" x14ac:dyDescent="0.35">
      <c r="A192">
        <v>186</v>
      </c>
      <c r="C192">
        <f>MAX(0,Calc!$C$7-SUM(D192:R192))</f>
        <v>750</v>
      </c>
      <c r="D192">
        <f t="shared" si="97"/>
        <v>0</v>
      </c>
      <c r="E192">
        <f t="shared" si="98"/>
        <v>0</v>
      </c>
      <c r="F192">
        <f t="shared" si="99"/>
        <v>0</v>
      </c>
      <c r="G192">
        <f t="shared" si="100"/>
        <v>0</v>
      </c>
      <c r="H192">
        <f t="shared" si="101"/>
        <v>0</v>
      </c>
      <c r="I192">
        <f t="shared" si="102"/>
        <v>0</v>
      </c>
      <c r="J192">
        <f t="shared" si="103"/>
        <v>0</v>
      </c>
      <c r="K192">
        <f t="shared" si="104"/>
        <v>0</v>
      </c>
      <c r="L192">
        <f t="shared" si="105"/>
        <v>0</v>
      </c>
      <c r="M192">
        <f t="shared" si="106"/>
        <v>0</v>
      </c>
      <c r="N192">
        <f t="shared" si="107"/>
        <v>0</v>
      </c>
      <c r="O192">
        <f t="shared" si="108"/>
        <v>0</v>
      </c>
      <c r="P192">
        <f t="shared" si="109"/>
        <v>0</v>
      </c>
      <c r="Q192">
        <f t="shared" si="110"/>
        <v>0</v>
      </c>
      <c r="R192">
        <f t="shared" si="111"/>
        <v>0</v>
      </c>
      <c r="S192">
        <f t="shared" si="112"/>
        <v>0</v>
      </c>
      <c r="T192">
        <f t="shared" si="113"/>
        <v>0</v>
      </c>
      <c r="U192">
        <f t="shared" si="114"/>
        <v>0</v>
      </c>
      <c r="V192">
        <f t="shared" si="115"/>
        <v>0</v>
      </c>
      <c r="W192">
        <f t="shared" si="116"/>
        <v>0</v>
      </c>
      <c r="X192">
        <f t="shared" si="117"/>
        <v>0</v>
      </c>
      <c r="Y192">
        <f t="shared" si="118"/>
        <v>0</v>
      </c>
      <c r="Z192">
        <f t="shared" si="119"/>
        <v>0</v>
      </c>
      <c r="AA192">
        <f t="shared" si="120"/>
        <v>0</v>
      </c>
      <c r="AB192">
        <f t="shared" si="121"/>
        <v>0</v>
      </c>
      <c r="AC192">
        <f t="shared" si="122"/>
        <v>0</v>
      </c>
      <c r="AD192">
        <f t="shared" si="123"/>
        <v>0</v>
      </c>
      <c r="AE192">
        <f t="shared" si="124"/>
        <v>0</v>
      </c>
      <c r="AF192">
        <f t="shared" si="125"/>
        <v>0</v>
      </c>
      <c r="AG192">
        <f t="shared" si="126"/>
        <v>0</v>
      </c>
      <c r="AH192">
        <f t="shared" si="127"/>
        <v>0</v>
      </c>
      <c r="AI192">
        <f t="shared" si="128"/>
        <v>0</v>
      </c>
      <c r="AJ192">
        <f t="shared" si="129"/>
        <v>0</v>
      </c>
      <c r="AK192">
        <f t="shared" si="130"/>
        <v>0</v>
      </c>
      <c r="AL192">
        <f t="shared" si="131"/>
        <v>0</v>
      </c>
      <c r="AM192">
        <f t="shared" si="132"/>
        <v>0</v>
      </c>
      <c r="AN192">
        <f t="shared" si="133"/>
        <v>0</v>
      </c>
      <c r="AO192">
        <f t="shared" si="134"/>
        <v>0</v>
      </c>
      <c r="AP192">
        <f t="shared" si="135"/>
        <v>0</v>
      </c>
      <c r="AQ192">
        <f t="shared" si="136"/>
        <v>0</v>
      </c>
      <c r="AR192">
        <f t="shared" si="137"/>
        <v>0</v>
      </c>
      <c r="AS192">
        <f t="shared" si="138"/>
        <v>0</v>
      </c>
      <c r="AT192">
        <f t="shared" si="139"/>
        <v>0</v>
      </c>
      <c r="AU192">
        <f t="shared" si="140"/>
        <v>0</v>
      </c>
      <c r="AV192">
        <f t="shared" si="141"/>
        <v>0</v>
      </c>
      <c r="AW192">
        <f t="shared" si="96"/>
        <v>0</v>
      </c>
      <c r="AX192">
        <f t="shared" si="142"/>
        <v>0</v>
      </c>
      <c r="AY192">
        <f t="shared" si="143"/>
        <v>0</v>
      </c>
    </row>
    <row r="193" spans="1:51" x14ac:dyDescent="0.35">
      <c r="A193">
        <v>187</v>
      </c>
      <c r="C193">
        <f>MAX(0,Calc!$C$7-SUM(D193:R193))</f>
        <v>750</v>
      </c>
      <c r="D193">
        <f t="shared" si="97"/>
        <v>0</v>
      </c>
      <c r="E193">
        <f t="shared" si="98"/>
        <v>0</v>
      </c>
      <c r="F193">
        <f t="shared" si="99"/>
        <v>0</v>
      </c>
      <c r="G193">
        <f t="shared" si="100"/>
        <v>0</v>
      </c>
      <c r="H193">
        <f t="shared" si="101"/>
        <v>0</v>
      </c>
      <c r="I193">
        <f t="shared" si="102"/>
        <v>0</v>
      </c>
      <c r="J193">
        <f t="shared" si="103"/>
        <v>0</v>
      </c>
      <c r="K193">
        <f t="shared" si="104"/>
        <v>0</v>
      </c>
      <c r="L193">
        <f t="shared" si="105"/>
        <v>0</v>
      </c>
      <c r="M193">
        <f t="shared" si="106"/>
        <v>0</v>
      </c>
      <c r="N193">
        <f t="shared" si="107"/>
        <v>0</v>
      </c>
      <c r="O193">
        <f t="shared" si="108"/>
        <v>0</v>
      </c>
      <c r="P193">
        <f t="shared" si="109"/>
        <v>0</v>
      </c>
      <c r="Q193">
        <f t="shared" si="110"/>
        <v>0</v>
      </c>
      <c r="R193">
        <f t="shared" si="111"/>
        <v>0</v>
      </c>
      <c r="S193">
        <f t="shared" si="112"/>
        <v>0</v>
      </c>
      <c r="T193">
        <f t="shared" si="113"/>
        <v>0</v>
      </c>
      <c r="U193">
        <f t="shared" si="114"/>
        <v>0</v>
      </c>
      <c r="V193">
        <f t="shared" si="115"/>
        <v>0</v>
      </c>
      <c r="W193">
        <f t="shared" si="116"/>
        <v>0</v>
      </c>
      <c r="X193">
        <f t="shared" si="117"/>
        <v>0</v>
      </c>
      <c r="Y193">
        <f t="shared" si="118"/>
        <v>0</v>
      </c>
      <c r="Z193">
        <f t="shared" si="119"/>
        <v>0</v>
      </c>
      <c r="AA193">
        <f t="shared" si="120"/>
        <v>0</v>
      </c>
      <c r="AB193">
        <f t="shared" si="121"/>
        <v>0</v>
      </c>
      <c r="AC193">
        <f t="shared" si="122"/>
        <v>0</v>
      </c>
      <c r="AD193">
        <f t="shared" si="123"/>
        <v>0</v>
      </c>
      <c r="AE193">
        <f t="shared" si="124"/>
        <v>0</v>
      </c>
      <c r="AF193">
        <f t="shared" si="125"/>
        <v>0</v>
      </c>
      <c r="AG193">
        <f t="shared" si="126"/>
        <v>0</v>
      </c>
      <c r="AH193">
        <f t="shared" si="127"/>
        <v>0</v>
      </c>
      <c r="AI193">
        <f t="shared" si="128"/>
        <v>0</v>
      </c>
      <c r="AJ193">
        <f t="shared" si="129"/>
        <v>0</v>
      </c>
      <c r="AK193">
        <f t="shared" si="130"/>
        <v>0</v>
      </c>
      <c r="AL193">
        <f t="shared" si="131"/>
        <v>0</v>
      </c>
      <c r="AM193">
        <f t="shared" si="132"/>
        <v>0</v>
      </c>
      <c r="AN193">
        <f t="shared" si="133"/>
        <v>0</v>
      </c>
      <c r="AO193">
        <f t="shared" si="134"/>
        <v>0</v>
      </c>
      <c r="AP193">
        <f t="shared" si="135"/>
        <v>0</v>
      </c>
      <c r="AQ193">
        <f t="shared" si="136"/>
        <v>0</v>
      </c>
      <c r="AR193">
        <f t="shared" si="137"/>
        <v>0</v>
      </c>
      <c r="AS193">
        <f t="shared" si="138"/>
        <v>0</v>
      </c>
      <c r="AT193">
        <f t="shared" si="139"/>
        <v>0</v>
      </c>
      <c r="AU193">
        <f t="shared" si="140"/>
        <v>0</v>
      </c>
      <c r="AV193">
        <f t="shared" si="141"/>
        <v>0</v>
      </c>
      <c r="AW193">
        <f t="shared" si="96"/>
        <v>0</v>
      </c>
      <c r="AX193">
        <f t="shared" si="142"/>
        <v>0</v>
      </c>
      <c r="AY193">
        <f t="shared" si="143"/>
        <v>0</v>
      </c>
    </row>
    <row r="194" spans="1:51" x14ac:dyDescent="0.35">
      <c r="A194">
        <v>188</v>
      </c>
      <c r="C194">
        <f>MAX(0,Calc!$C$7-SUM(D194:R194))</f>
        <v>750</v>
      </c>
      <c r="D194">
        <f t="shared" si="97"/>
        <v>0</v>
      </c>
      <c r="E194">
        <f t="shared" si="98"/>
        <v>0</v>
      </c>
      <c r="F194">
        <f t="shared" si="99"/>
        <v>0</v>
      </c>
      <c r="G194">
        <f t="shared" si="100"/>
        <v>0</v>
      </c>
      <c r="H194">
        <f t="shared" si="101"/>
        <v>0</v>
      </c>
      <c r="I194">
        <f t="shared" si="102"/>
        <v>0</v>
      </c>
      <c r="J194">
        <f t="shared" si="103"/>
        <v>0</v>
      </c>
      <c r="K194">
        <f t="shared" si="104"/>
        <v>0</v>
      </c>
      <c r="L194">
        <f t="shared" si="105"/>
        <v>0</v>
      </c>
      <c r="M194">
        <f t="shared" si="106"/>
        <v>0</v>
      </c>
      <c r="N194">
        <f t="shared" si="107"/>
        <v>0</v>
      </c>
      <c r="O194">
        <f t="shared" si="108"/>
        <v>0</v>
      </c>
      <c r="P194">
        <f t="shared" si="109"/>
        <v>0</v>
      </c>
      <c r="Q194">
        <f t="shared" si="110"/>
        <v>0</v>
      </c>
      <c r="R194">
        <f t="shared" si="111"/>
        <v>0</v>
      </c>
      <c r="S194">
        <f t="shared" si="112"/>
        <v>0</v>
      </c>
      <c r="T194">
        <f t="shared" si="113"/>
        <v>0</v>
      </c>
      <c r="U194">
        <f t="shared" si="114"/>
        <v>0</v>
      </c>
      <c r="V194">
        <f t="shared" si="115"/>
        <v>0</v>
      </c>
      <c r="W194">
        <f t="shared" si="116"/>
        <v>0</v>
      </c>
      <c r="X194">
        <f t="shared" si="117"/>
        <v>0</v>
      </c>
      <c r="Y194">
        <f t="shared" si="118"/>
        <v>0</v>
      </c>
      <c r="Z194">
        <f t="shared" si="119"/>
        <v>0</v>
      </c>
      <c r="AA194">
        <f t="shared" si="120"/>
        <v>0</v>
      </c>
      <c r="AB194">
        <f t="shared" si="121"/>
        <v>0</v>
      </c>
      <c r="AC194">
        <f t="shared" si="122"/>
        <v>0</v>
      </c>
      <c r="AD194">
        <f t="shared" si="123"/>
        <v>0</v>
      </c>
      <c r="AE194">
        <f t="shared" si="124"/>
        <v>0</v>
      </c>
      <c r="AF194">
        <f t="shared" si="125"/>
        <v>0</v>
      </c>
      <c r="AG194">
        <f t="shared" si="126"/>
        <v>0</v>
      </c>
      <c r="AH194">
        <f t="shared" si="127"/>
        <v>0</v>
      </c>
      <c r="AI194">
        <f t="shared" si="128"/>
        <v>0</v>
      </c>
      <c r="AJ194">
        <f t="shared" si="129"/>
        <v>0</v>
      </c>
      <c r="AK194">
        <f t="shared" si="130"/>
        <v>0</v>
      </c>
      <c r="AL194">
        <f t="shared" si="131"/>
        <v>0</v>
      </c>
      <c r="AM194">
        <f t="shared" si="132"/>
        <v>0</v>
      </c>
      <c r="AN194">
        <f t="shared" si="133"/>
        <v>0</v>
      </c>
      <c r="AO194">
        <f t="shared" si="134"/>
        <v>0</v>
      </c>
      <c r="AP194">
        <f t="shared" si="135"/>
        <v>0</v>
      </c>
      <c r="AQ194">
        <f t="shared" si="136"/>
        <v>0</v>
      </c>
      <c r="AR194">
        <f t="shared" si="137"/>
        <v>0</v>
      </c>
      <c r="AS194">
        <f t="shared" si="138"/>
        <v>0</v>
      </c>
      <c r="AT194">
        <f t="shared" si="139"/>
        <v>0</v>
      </c>
      <c r="AU194">
        <f t="shared" si="140"/>
        <v>0</v>
      </c>
      <c r="AV194">
        <f t="shared" si="141"/>
        <v>0</v>
      </c>
      <c r="AW194">
        <f t="shared" si="96"/>
        <v>0</v>
      </c>
      <c r="AX194">
        <f t="shared" si="142"/>
        <v>0</v>
      </c>
      <c r="AY194">
        <f t="shared" si="143"/>
        <v>0</v>
      </c>
    </row>
    <row r="195" spans="1:51" x14ac:dyDescent="0.35">
      <c r="A195">
        <v>189</v>
      </c>
      <c r="C195">
        <f>MAX(0,Calc!$C$7-SUM(D195:R195))</f>
        <v>750</v>
      </c>
      <c r="D195">
        <f t="shared" si="97"/>
        <v>0</v>
      </c>
      <c r="E195">
        <f t="shared" si="98"/>
        <v>0</v>
      </c>
      <c r="F195">
        <f t="shared" si="99"/>
        <v>0</v>
      </c>
      <c r="G195">
        <f t="shared" si="100"/>
        <v>0</v>
      </c>
      <c r="H195">
        <f t="shared" si="101"/>
        <v>0</v>
      </c>
      <c r="I195">
        <f t="shared" si="102"/>
        <v>0</v>
      </c>
      <c r="J195">
        <f t="shared" si="103"/>
        <v>0</v>
      </c>
      <c r="K195">
        <f t="shared" si="104"/>
        <v>0</v>
      </c>
      <c r="L195">
        <f t="shared" si="105"/>
        <v>0</v>
      </c>
      <c r="M195">
        <f t="shared" si="106"/>
        <v>0</v>
      </c>
      <c r="N195">
        <f t="shared" si="107"/>
        <v>0</v>
      </c>
      <c r="O195">
        <f t="shared" si="108"/>
        <v>0</v>
      </c>
      <c r="P195">
        <f t="shared" si="109"/>
        <v>0</v>
      </c>
      <c r="Q195">
        <f t="shared" si="110"/>
        <v>0</v>
      </c>
      <c r="R195">
        <f t="shared" si="111"/>
        <v>0</v>
      </c>
      <c r="S195">
        <f t="shared" si="112"/>
        <v>0</v>
      </c>
      <c r="T195">
        <f t="shared" si="113"/>
        <v>0</v>
      </c>
      <c r="U195">
        <f t="shared" si="114"/>
        <v>0</v>
      </c>
      <c r="V195">
        <f t="shared" si="115"/>
        <v>0</v>
      </c>
      <c r="W195">
        <f t="shared" si="116"/>
        <v>0</v>
      </c>
      <c r="X195">
        <f t="shared" si="117"/>
        <v>0</v>
      </c>
      <c r="Y195">
        <f t="shared" si="118"/>
        <v>0</v>
      </c>
      <c r="Z195">
        <f t="shared" si="119"/>
        <v>0</v>
      </c>
      <c r="AA195">
        <f t="shared" si="120"/>
        <v>0</v>
      </c>
      <c r="AB195">
        <f t="shared" si="121"/>
        <v>0</v>
      </c>
      <c r="AC195">
        <f t="shared" si="122"/>
        <v>0</v>
      </c>
      <c r="AD195">
        <f t="shared" si="123"/>
        <v>0</v>
      </c>
      <c r="AE195">
        <f t="shared" si="124"/>
        <v>0</v>
      </c>
      <c r="AF195">
        <f t="shared" si="125"/>
        <v>0</v>
      </c>
      <c r="AG195">
        <f t="shared" si="126"/>
        <v>0</v>
      </c>
      <c r="AH195">
        <f t="shared" si="127"/>
        <v>0</v>
      </c>
      <c r="AI195">
        <f t="shared" si="128"/>
        <v>0</v>
      </c>
      <c r="AJ195">
        <f t="shared" si="129"/>
        <v>0</v>
      </c>
      <c r="AK195">
        <f t="shared" si="130"/>
        <v>0</v>
      </c>
      <c r="AL195">
        <f t="shared" si="131"/>
        <v>0</v>
      </c>
      <c r="AM195">
        <f t="shared" si="132"/>
        <v>0</v>
      </c>
      <c r="AN195">
        <f t="shared" si="133"/>
        <v>0</v>
      </c>
      <c r="AO195">
        <f t="shared" si="134"/>
        <v>0</v>
      </c>
      <c r="AP195">
        <f t="shared" si="135"/>
        <v>0</v>
      </c>
      <c r="AQ195">
        <f t="shared" si="136"/>
        <v>0</v>
      </c>
      <c r="AR195">
        <f t="shared" si="137"/>
        <v>0</v>
      </c>
      <c r="AS195">
        <f t="shared" si="138"/>
        <v>0</v>
      </c>
      <c r="AT195">
        <f t="shared" si="139"/>
        <v>0</v>
      </c>
      <c r="AU195">
        <f t="shared" si="140"/>
        <v>0</v>
      </c>
      <c r="AV195">
        <f t="shared" si="141"/>
        <v>0</v>
      </c>
      <c r="AW195">
        <f t="shared" si="96"/>
        <v>0</v>
      </c>
      <c r="AX195">
        <f t="shared" si="142"/>
        <v>0</v>
      </c>
      <c r="AY195">
        <f t="shared" si="143"/>
        <v>0</v>
      </c>
    </row>
    <row r="196" spans="1:51" x14ac:dyDescent="0.35">
      <c r="A196">
        <v>190</v>
      </c>
      <c r="C196">
        <f>MAX(0,Calc!$C$7-SUM(D196:R196))</f>
        <v>750</v>
      </c>
      <c r="D196">
        <f t="shared" si="97"/>
        <v>0</v>
      </c>
      <c r="E196">
        <f t="shared" si="98"/>
        <v>0</v>
      </c>
      <c r="F196">
        <f t="shared" si="99"/>
        <v>0</v>
      </c>
      <c r="G196">
        <f t="shared" si="100"/>
        <v>0</v>
      </c>
      <c r="H196">
        <f t="shared" si="101"/>
        <v>0</v>
      </c>
      <c r="I196">
        <f t="shared" si="102"/>
        <v>0</v>
      </c>
      <c r="J196">
        <f t="shared" si="103"/>
        <v>0</v>
      </c>
      <c r="K196">
        <f t="shared" si="104"/>
        <v>0</v>
      </c>
      <c r="L196">
        <f t="shared" si="105"/>
        <v>0</v>
      </c>
      <c r="M196">
        <f t="shared" si="106"/>
        <v>0</v>
      </c>
      <c r="N196">
        <f t="shared" si="107"/>
        <v>0</v>
      </c>
      <c r="O196">
        <f t="shared" si="108"/>
        <v>0</v>
      </c>
      <c r="P196">
        <f t="shared" si="109"/>
        <v>0</v>
      </c>
      <c r="Q196">
        <f t="shared" si="110"/>
        <v>0</v>
      </c>
      <c r="R196">
        <f t="shared" si="111"/>
        <v>0</v>
      </c>
      <c r="S196">
        <f t="shared" si="112"/>
        <v>0</v>
      </c>
      <c r="T196">
        <f t="shared" si="113"/>
        <v>0</v>
      </c>
      <c r="U196">
        <f t="shared" si="114"/>
        <v>0</v>
      </c>
      <c r="V196">
        <f t="shared" si="115"/>
        <v>0</v>
      </c>
      <c r="W196">
        <f t="shared" si="116"/>
        <v>0</v>
      </c>
      <c r="X196">
        <f t="shared" si="117"/>
        <v>0</v>
      </c>
      <c r="Y196">
        <f t="shared" si="118"/>
        <v>0</v>
      </c>
      <c r="Z196">
        <f t="shared" si="119"/>
        <v>0</v>
      </c>
      <c r="AA196">
        <f t="shared" si="120"/>
        <v>0</v>
      </c>
      <c r="AB196">
        <f t="shared" si="121"/>
        <v>0</v>
      </c>
      <c r="AC196">
        <f t="shared" si="122"/>
        <v>0</v>
      </c>
      <c r="AD196">
        <f t="shared" si="123"/>
        <v>0</v>
      </c>
      <c r="AE196">
        <f t="shared" si="124"/>
        <v>0</v>
      </c>
      <c r="AF196">
        <f t="shared" si="125"/>
        <v>0</v>
      </c>
      <c r="AG196">
        <f t="shared" si="126"/>
        <v>0</v>
      </c>
      <c r="AH196">
        <f t="shared" si="127"/>
        <v>0</v>
      </c>
      <c r="AI196">
        <f t="shared" si="128"/>
        <v>0</v>
      </c>
      <c r="AJ196">
        <f t="shared" si="129"/>
        <v>0</v>
      </c>
      <c r="AK196">
        <f t="shared" si="130"/>
        <v>0</v>
      </c>
      <c r="AL196">
        <f t="shared" si="131"/>
        <v>0</v>
      </c>
      <c r="AM196">
        <f t="shared" si="132"/>
        <v>0</v>
      </c>
      <c r="AN196">
        <f t="shared" si="133"/>
        <v>0</v>
      </c>
      <c r="AO196">
        <f t="shared" si="134"/>
        <v>0</v>
      </c>
      <c r="AP196">
        <f t="shared" si="135"/>
        <v>0</v>
      </c>
      <c r="AQ196">
        <f t="shared" si="136"/>
        <v>0</v>
      </c>
      <c r="AR196">
        <f t="shared" si="137"/>
        <v>0</v>
      </c>
      <c r="AS196">
        <f t="shared" si="138"/>
        <v>0</v>
      </c>
      <c r="AT196">
        <f t="shared" si="139"/>
        <v>0</v>
      </c>
      <c r="AU196">
        <f t="shared" si="140"/>
        <v>0</v>
      </c>
      <c r="AV196">
        <f t="shared" si="141"/>
        <v>0</v>
      </c>
      <c r="AW196">
        <f t="shared" si="96"/>
        <v>0</v>
      </c>
      <c r="AX196">
        <f t="shared" si="142"/>
        <v>0</v>
      </c>
      <c r="AY196">
        <f t="shared" si="143"/>
        <v>0</v>
      </c>
    </row>
    <row r="197" spans="1:51" x14ac:dyDescent="0.35">
      <c r="A197">
        <v>191</v>
      </c>
      <c r="C197">
        <f>MAX(0,Calc!$C$7-SUM(D197:R197))</f>
        <v>750</v>
      </c>
      <c r="D197">
        <f t="shared" si="97"/>
        <v>0</v>
      </c>
      <c r="E197">
        <f t="shared" si="98"/>
        <v>0</v>
      </c>
      <c r="F197">
        <f t="shared" si="99"/>
        <v>0</v>
      </c>
      <c r="G197">
        <f t="shared" si="100"/>
        <v>0</v>
      </c>
      <c r="H197">
        <f t="shared" si="101"/>
        <v>0</v>
      </c>
      <c r="I197">
        <f t="shared" si="102"/>
        <v>0</v>
      </c>
      <c r="J197">
        <f t="shared" si="103"/>
        <v>0</v>
      </c>
      <c r="K197">
        <f t="shared" si="104"/>
        <v>0</v>
      </c>
      <c r="L197">
        <f t="shared" si="105"/>
        <v>0</v>
      </c>
      <c r="M197">
        <f t="shared" si="106"/>
        <v>0</v>
      </c>
      <c r="N197">
        <f t="shared" si="107"/>
        <v>0</v>
      </c>
      <c r="O197">
        <f t="shared" si="108"/>
        <v>0</v>
      </c>
      <c r="P197">
        <f t="shared" si="109"/>
        <v>0</v>
      </c>
      <c r="Q197">
        <f t="shared" si="110"/>
        <v>0</v>
      </c>
      <c r="R197">
        <f t="shared" si="111"/>
        <v>0</v>
      </c>
      <c r="S197">
        <f t="shared" si="112"/>
        <v>0</v>
      </c>
      <c r="T197">
        <f t="shared" si="113"/>
        <v>0</v>
      </c>
      <c r="U197">
        <f t="shared" si="114"/>
        <v>0</v>
      </c>
      <c r="V197">
        <f t="shared" si="115"/>
        <v>0</v>
      </c>
      <c r="W197">
        <f t="shared" si="116"/>
        <v>0</v>
      </c>
      <c r="X197">
        <f t="shared" si="117"/>
        <v>0</v>
      </c>
      <c r="Y197">
        <f t="shared" si="118"/>
        <v>0</v>
      </c>
      <c r="Z197">
        <f t="shared" si="119"/>
        <v>0</v>
      </c>
      <c r="AA197">
        <f t="shared" si="120"/>
        <v>0</v>
      </c>
      <c r="AB197">
        <f t="shared" si="121"/>
        <v>0</v>
      </c>
      <c r="AC197">
        <f t="shared" si="122"/>
        <v>0</v>
      </c>
      <c r="AD197">
        <f t="shared" si="123"/>
        <v>0</v>
      </c>
      <c r="AE197">
        <f t="shared" si="124"/>
        <v>0</v>
      </c>
      <c r="AF197">
        <f t="shared" si="125"/>
        <v>0</v>
      </c>
      <c r="AG197">
        <f t="shared" si="126"/>
        <v>0</v>
      </c>
      <c r="AH197">
        <f t="shared" si="127"/>
        <v>0</v>
      </c>
      <c r="AI197">
        <f t="shared" si="128"/>
        <v>0</v>
      </c>
      <c r="AJ197">
        <f t="shared" si="129"/>
        <v>0</v>
      </c>
      <c r="AK197">
        <f t="shared" si="130"/>
        <v>0</v>
      </c>
      <c r="AL197">
        <f t="shared" si="131"/>
        <v>0</v>
      </c>
      <c r="AM197">
        <f t="shared" si="132"/>
        <v>0</v>
      </c>
      <c r="AN197">
        <f t="shared" si="133"/>
        <v>0</v>
      </c>
      <c r="AO197">
        <f t="shared" si="134"/>
        <v>0</v>
      </c>
      <c r="AP197">
        <f t="shared" si="135"/>
        <v>0</v>
      </c>
      <c r="AQ197">
        <f t="shared" si="136"/>
        <v>0</v>
      </c>
      <c r="AR197">
        <f t="shared" si="137"/>
        <v>0</v>
      </c>
      <c r="AS197">
        <f t="shared" si="138"/>
        <v>0</v>
      </c>
      <c r="AT197">
        <f t="shared" si="139"/>
        <v>0</v>
      </c>
      <c r="AU197">
        <f t="shared" si="140"/>
        <v>0</v>
      </c>
      <c r="AV197">
        <f t="shared" si="141"/>
        <v>0</v>
      </c>
      <c r="AW197">
        <f t="shared" si="96"/>
        <v>0</v>
      </c>
      <c r="AX197">
        <f t="shared" si="142"/>
        <v>0</v>
      </c>
      <c r="AY197">
        <f t="shared" si="143"/>
        <v>0</v>
      </c>
    </row>
    <row r="198" spans="1:51" x14ac:dyDescent="0.35">
      <c r="A198">
        <v>192</v>
      </c>
      <c r="C198">
        <f>MAX(0,Calc!$C$7-SUM(D198:R198))</f>
        <v>750</v>
      </c>
      <c r="D198">
        <f t="shared" si="97"/>
        <v>0</v>
      </c>
      <c r="E198">
        <f t="shared" si="98"/>
        <v>0</v>
      </c>
      <c r="F198">
        <f t="shared" si="99"/>
        <v>0</v>
      </c>
      <c r="G198">
        <f t="shared" si="100"/>
        <v>0</v>
      </c>
      <c r="H198">
        <f t="shared" si="101"/>
        <v>0</v>
      </c>
      <c r="I198">
        <f t="shared" si="102"/>
        <v>0</v>
      </c>
      <c r="J198">
        <f t="shared" si="103"/>
        <v>0</v>
      </c>
      <c r="K198">
        <f t="shared" si="104"/>
        <v>0</v>
      </c>
      <c r="L198">
        <f t="shared" si="105"/>
        <v>0</v>
      </c>
      <c r="M198">
        <f t="shared" si="106"/>
        <v>0</v>
      </c>
      <c r="N198">
        <f t="shared" si="107"/>
        <v>0</v>
      </c>
      <c r="O198">
        <f t="shared" si="108"/>
        <v>0</v>
      </c>
      <c r="P198">
        <f t="shared" si="109"/>
        <v>0</v>
      </c>
      <c r="Q198">
        <f t="shared" si="110"/>
        <v>0</v>
      </c>
      <c r="R198">
        <f t="shared" si="111"/>
        <v>0</v>
      </c>
      <c r="S198">
        <f t="shared" si="112"/>
        <v>0</v>
      </c>
      <c r="T198">
        <f t="shared" si="113"/>
        <v>0</v>
      </c>
      <c r="U198">
        <f t="shared" si="114"/>
        <v>0</v>
      </c>
      <c r="V198">
        <f t="shared" si="115"/>
        <v>0</v>
      </c>
      <c r="W198">
        <f t="shared" si="116"/>
        <v>0</v>
      </c>
      <c r="X198">
        <f t="shared" si="117"/>
        <v>0</v>
      </c>
      <c r="Y198">
        <f t="shared" si="118"/>
        <v>0</v>
      </c>
      <c r="Z198">
        <f t="shared" si="119"/>
        <v>0</v>
      </c>
      <c r="AA198">
        <f t="shared" si="120"/>
        <v>0</v>
      </c>
      <c r="AB198">
        <f t="shared" si="121"/>
        <v>0</v>
      </c>
      <c r="AC198">
        <f t="shared" si="122"/>
        <v>0</v>
      </c>
      <c r="AD198">
        <f t="shared" si="123"/>
        <v>0</v>
      </c>
      <c r="AE198">
        <f t="shared" si="124"/>
        <v>0</v>
      </c>
      <c r="AF198">
        <f t="shared" si="125"/>
        <v>0</v>
      </c>
      <c r="AG198">
        <f t="shared" si="126"/>
        <v>0</v>
      </c>
      <c r="AH198">
        <f t="shared" si="127"/>
        <v>0</v>
      </c>
      <c r="AI198">
        <f t="shared" si="128"/>
        <v>0</v>
      </c>
      <c r="AJ198">
        <f t="shared" si="129"/>
        <v>0</v>
      </c>
      <c r="AK198">
        <f t="shared" si="130"/>
        <v>0</v>
      </c>
      <c r="AL198">
        <f t="shared" si="131"/>
        <v>0</v>
      </c>
      <c r="AM198">
        <f t="shared" si="132"/>
        <v>0</v>
      </c>
      <c r="AN198">
        <f t="shared" si="133"/>
        <v>0</v>
      </c>
      <c r="AO198">
        <f t="shared" si="134"/>
        <v>0</v>
      </c>
      <c r="AP198">
        <f t="shared" si="135"/>
        <v>0</v>
      </c>
      <c r="AQ198">
        <f t="shared" si="136"/>
        <v>0</v>
      </c>
      <c r="AR198">
        <f t="shared" si="137"/>
        <v>0</v>
      </c>
      <c r="AS198">
        <f t="shared" si="138"/>
        <v>0</v>
      </c>
      <c r="AT198">
        <f t="shared" si="139"/>
        <v>0</v>
      </c>
      <c r="AU198">
        <f t="shared" si="140"/>
        <v>0</v>
      </c>
      <c r="AV198">
        <f t="shared" si="141"/>
        <v>0</v>
      </c>
      <c r="AW198">
        <f t="shared" ref="AW198:AW261" si="144">SUM(AH198:AV198)</f>
        <v>0</v>
      </c>
      <c r="AX198">
        <f t="shared" si="142"/>
        <v>0</v>
      </c>
      <c r="AY198">
        <f t="shared" si="143"/>
        <v>0</v>
      </c>
    </row>
    <row r="199" spans="1:51" x14ac:dyDescent="0.35">
      <c r="A199">
        <v>193</v>
      </c>
      <c r="C199">
        <f>MAX(0,Calc!$C$7-SUM(D199:R199))</f>
        <v>750</v>
      </c>
      <c r="D199">
        <f t="shared" ref="D199:D262" si="145">IF(AH198&lt;0.005,0,MIN((AH198+ROUND(AH198*AH$3,2)),AH$4))</f>
        <v>0</v>
      </c>
      <c r="E199">
        <f t="shared" ref="E199:E262" si="146">IF(AI198&lt;0.005,0,MIN((AI198+ROUND(AI198*AI$3,2)),AI$4))</f>
        <v>0</v>
      </c>
      <c r="F199">
        <f t="shared" ref="F199:F262" si="147">IF(AJ198&lt;0.005,0,MIN((AJ198+ROUND(AJ198*AJ$3,2)),AJ$4))</f>
        <v>0</v>
      </c>
      <c r="G199">
        <f t="shared" ref="G199:G262" si="148">IF(AK198&lt;0.005,0,MIN((AK198+ROUND(AK198*AK$3,2)),AK$4))</f>
        <v>0</v>
      </c>
      <c r="H199">
        <f t="shared" ref="H199:H262" si="149">IF(AL198&lt;0.005,0,MIN((AL198+ROUND(AL198*AL$3,2)),AL$4))</f>
        <v>0</v>
      </c>
      <c r="I199">
        <f t="shared" ref="I199:I262" si="150">IF(AM198&lt;0.005,0,MIN((AM198+ROUND(AM198*AM$3,2)),AM$4))</f>
        <v>0</v>
      </c>
      <c r="J199">
        <f t="shared" ref="J199:J262" si="151">IF(AN198&lt;0.005,0,MIN((AN198+ROUND(AN198*AN$3,2)),AN$4))</f>
        <v>0</v>
      </c>
      <c r="K199">
        <f t="shared" ref="K199:K262" si="152">IF(AO198&lt;0.005,0,MIN((AO198+ROUND(AO198*AO$3,2)),AO$4))</f>
        <v>0</v>
      </c>
      <c r="L199">
        <f t="shared" ref="L199:L262" si="153">IF(AP198&lt;0.005,0,MIN((AP198+ROUND(AP198*AP$3,2)),AP$4))</f>
        <v>0</v>
      </c>
      <c r="M199">
        <f t="shared" ref="M199:M262" si="154">IF(AQ198&lt;0.005,0,MIN((AQ198+ROUND(AQ198*AQ$3,2)),AQ$4))</f>
        <v>0</v>
      </c>
      <c r="N199">
        <f t="shared" ref="N199:N262" si="155">IF(AR198&lt;0.005,0,MIN((AR198+ROUND(AR198*AR$3,2)),AR$4))</f>
        <v>0</v>
      </c>
      <c r="O199">
        <f t="shared" ref="O199:O262" si="156">IF(AS198&lt;0.005,0,MIN((AS198+ROUND(AS198*AS$3,2)),AS$4))</f>
        <v>0</v>
      </c>
      <c r="P199">
        <f t="shared" ref="P199:P262" si="157">IF(AT198&lt;0.005,0,MIN((AT198+ROUND(AT198*AT$3,2)),AT$4))</f>
        <v>0</v>
      </c>
      <c r="Q199">
        <f t="shared" ref="Q199:Q262" si="158">IF(AU198&lt;0.005,0,MIN((AU198+ROUND(AU198*AU$3,2)),AU$4))</f>
        <v>0</v>
      </c>
      <c r="R199">
        <f t="shared" ref="R199:R262" si="159">IF(AV198&lt;0.005,0,MIN((AV198+ROUND(AV198*AV$3,2)),AV$4))</f>
        <v>0</v>
      </c>
      <c r="S199">
        <f t="shared" ref="S199:S262" si="160">IF(AH198&lt;0.005,0,MIN((AH198+ROUND(AH198*AH$3,2))-D199,MAX(0,$C199)))</f>
        <v>0</v>
      </c>
      <c r="T199">
        <f t="shared" ref="T199:T262" si="161">IF(AI198&lt;0.005,0,MIN((AI198+ROUND(AI198*AI$3,2))-E199,MAX(0,$C199-SUM(S199:S199))))</f>
        <v>0</v>
      </c>
      <c r="U199">
        <f t="shared" ref="U199:U262" si="162">IF(AJ198&lt;0.005,0,MIN((AJ198+ROUND(AJ198*AJ$3,2))-F199,MAX(0,$C199-SUM(S199:T199))))</f>
        <v>0</v>
      </c>
      <c r="V199">
        <f t="shared" ref="V199:V262" si="163">IF(AK198&lt;0.005,0,MIN((AK198+ROUND(AK198*AK$3,2))-G199,MAX(0,$C199-SUM(S199:U199))))</f>
        <v>0</v>
      </c>
      <c r="W199">
        <f t="shared" ref="W199:W262" si="164">IF(AL198&lt;0.005,0,MIN((AL198+ROUND(AL198*AL$3,2))-H199,MAX(0,$C199-SUM(S199:V199))))</f>
        <v>0</v>
      </c>
      <c r="X199">
        <f t="shared" ref="X199:X262" si="165">IF(AM198&lt;0.005,0,MIN((AM198+ROUND(AM198*AM$3,2))-I199,MAX(0,$C199-SUM(S199:W199))))</f>
        <v>0</v>
      </c>
      <c r="Y199">
        <f t="shared" ref="Y199:Y262" si="166">IF(AN198&lt;0.005,0,MIN((AN198+ROUND(AN198*AN$3,2))-J199,MAX(0,$C199-SUM(S199:X199))))</f>
        <v>0</v>
      </c>
      <c r="Z199">
        <f t="shared" ref="Z199:Z262" si="167">IF(AO198&lt;0.005,0,MIN((AO198+ROUND(AO198*AO$3,2))-K199,MAX(0,$C199-SUM(S199:Y199))))</f>
        <v>0</v>
      </c>
      <c r="AA199">
        <f t="shared" ref="AA199:AA262" si="168">IF(AP198&lt;0.005,0,MIN((AP198+ROUND(AP198*AP$3,2))-L199,MAX(0,$C199-SUM(S199:Z199))))</f>
        <v>0</v>
      </c>
      <c r="AB199">
        <f t="shared" ref="AB199:AB262" si="169">IF(AQ198&lt;0.005,0,MIN((AQ198+ROUND(AQ198*AQ$3,2))-M199,MAX(0,$C199-SUM(S199:AA199))))</f>
        <v>0</v>
      </c>
      <c r="AC199">
        <f t="shared" ref="AC199:AC262" si="170">IF(AR198&lt;0.005,0,MIN((AR198+ROUND(AR198*AR$3,2))-N199,MAX(0,$C199-SUM(S199:AB199))))</f>
        <v>0</v>
      </c>
      <c r="AD199">
        <f t="shared" ref="AD199:AD262" si="171">IF(AS198&lt;0.005,0,MIN((AS198+ROUND(AS198*AS$3,2))-O199,MAX(0,$C199-SUM(S199:AC199))))</f>
        <v>0</v>
      </c>
      <c r="AE199">
        <f t="shared" ref="AE199:AE262" si="172">IF(AT198&lt;0.005,0,MIN((AT198+ROUND(AT198*AT$3,2))-P199,MAX(0,$C199-SUM(S199:AD199))))</f>
        <v>0</v>
      </c>
      <c r="AF199">
        <f t="shared" ref="AF199:AF262" si="173">IF(AU198&lt;0.005,0,MIN((AU198+ROUND(AU198*AU$3,2))-Q199,MAX(0,$C199-SUM(S199:AE199))))</f>
        <v>0</v>
      </c>
      <c r="AG199">
        <f t="shared" ref="AG199:AG262" si="174">IF(AV198&lt;0.005,0,MIN((AV198+ROUND(AV198*AV$3,2))-R199,MAX(0,$C199-SUM(S199:AF199))))</f>
        <v>0</v>
      </c>
      <c r="AH199">
        <f t="shared" ref="AH199:AH262" si="175">IF(AH198&lt;0.005,0,ROUND((AH198+ROUND(AH198*AH$3,2))-D199-S199,2))</f>
        <v>0</v>
      </c>
      <c r="AI199">
        <f t="shared" ref="AI199:AI262" si="176">IF(AI198&lt;0.005,0,ROUND((AI198+ROUND(AI198*AI$3,2))-E199-T199,2))</f>
        <v>0</v>
      </c>
      <c r="AJ199">
        <f t="shared" ref="AJ199:AJ262" si="177">IF(AJ198&lt;0.005,0,ROUND((AJ198+ROUND(AJ198*AJ$3,2))-F199-U199,2))</f>
        <v>0</v>
      </c>
      <c r="AK199">
        <f t="shared" ref="AK199:AK262" si="178">IF(AK198&lt;0.005,0,ROUND((AK198+ROUND(AK198*AK$3,2))-G199-V199,2))</f>
        <v>0</v>
      </c>
      <c r="AL199">
        <f t="shared" ref="AL199:AL262" si="179">IF(AL198&lt;0.005,0,ROUND((AL198+ROUND(AL198*AL$3,2))-H199-W199,2))</f>
        <v>0</v>
      </c>
      <c r="AM199">
        <f t="shared" ref="AM199:AM262" si="180">IF(AM198&lt;0.005,0,ROUND((AM198+ROUND(AM198*AM$3,2))-I199-X199,2))</f>
        <v>0</v>
      </c>
      <c r="AN199">
        <f t="shared" ref="AN199:AN262" si="181">IF(AN198&lt;0.005,0,ROUND((AN198+ROUND(AN198*AN$3,2))-J199-Y199,2))</f>
        <v>0</v>
      </c>
      <c r="AO199">
        <f t="shared" ref="AO199:AO262" si="182">IF(AO198&lt;0.005,0,ROUND((AO198+ROUND(AO198*AO$3,2))-K199-Z199,2))</f>
        <v>0</v>
      </c>
      <c r="AP199">
        <f t="shared" ref="AP199:AP262" si="183">IF(AP198&lt;0.005,0,ROUND((AP198+ROUND(AP198*AP$3,2))-L199-AA199,2))</f>
        <v>0</v>
      </c>
      <c r="AQ199">
        <f t="shared" ref="AQ199:AQ262" si="184">IF(AQ198&lt;0.005,0,ROUND((AQ198+ROUND(AQ198*AQ$3,2))-M199-AB199,2))</f>
        <v>0</v>
      </c>
      <c r="AR199">
        <f t="shared" ref="AR199:AR262" si="185">IF(AR198&lt;0.005,0,ROUND((AR198+ROUND(AR198*AR$3,2))-N199-AC199,2))</f>
        <v>0</v>
      </c>
      <c r="AS199">
        <f t="shared" ref="AS199:AS262" si="186">IF(AS198&lt;0.005,0,ROUND((AS198+ROUND(AS198*AS$3,2))-O199-AD199,2))</f>
        <v>0</v>
      </c>
      <c r="AT199">
        <f t="shared" ref="AT199:AT262" si="187">IF(AT198&lt;0.005,0,ROUND((AT198+ROUND(AT198*AT$3,2))-P199-AE199,2))</f>
        <v>0</v>
      </c>
      <c r="AU199">
        <f t="shared" ref="AU199:AU262" si="188">IF(AU198&lt;0.005,0,ROUND((AU198+ROUND(AU198*AU$3,2))-Q199-AF199,2))</f>
        <v>0</v>
      </c>
      <c r="AV199">
        <f t="shared" ref="AV199:AV262" si="189">IF(AV198&lt;0.005,0,ROUND((AV198+ROUND(AV198*AV$3,2))-R199-AG199,2))</f>
        <v>0</v>
      </c>
      <c r="AW199">
        <f t="shared" si="144"/>
        <v>0</v>
      </c>
      <c r="AX199">
        <f t="shared" ref="AX199:AX262" si="190">SUMPRODUCT(ROUND(AH198:AV198*AH$3:AV$3,2))</f>
        <v>0</v>
      </c>
      <c r="AY199">
        <f t="shared" ref="AY199:AY262" si="191">SUM(D199:AG199)</f>
        <v>0</v>
      </c>
    </row>
    <row r="200" spans="1:51" x14ac:dyDescent="0.35">
      <c r="A200">
        <v>194</v>
      </c>
      <c r="C200">
        <f>MAX(0,Calc!$C$7-SUM(D200:R200))</f>
        <v>750</v>
      </c>
      <c r="D200">
        <f t="shared" si="145"/>
        <v>0</v>
      </c>
      <c r="E200">
        <f t="shared" si="146"/>
        <v>0</v>
      </c>
      <c r="F200">
        <f t="shared" si="147"/>
        <v>0</v>
      </c>
      <c r="G200">
        <f t="shared" si="148"/>
        <v>0</v>
      </c>
      <c r="H200">
        <f t="shared" si="149"/>
        <v>0</v>
      </c>
      <c r="I200">
        <f t="shared" si="150"/>
        <v>0</v>
      </c>
      <c r="J200">
        <f t="shared" si="151"/>
        <v>0</v>
      </c>
      <c r="K200">
        <f t="shared" si="152"/>
        <v>0</v>
      </c>
      <c r="L200">
        <f t="shared" si="153"/>
        <v>0</v>
      </c>
      <c r="M200">
        <f t="shared" si="154"/>
        <v>0</v>
      </c>
      <c r="N200">
        <f t="shared" si="155"/>
        <v>0</v>
      </c>
      <c r="O200">
        <f t="shared" si="156"/>
        <v>0</v>
      </c>
      <c r="P200">
        <f t="shared" si="157"/>
        <v>0</v>
      </c>
      <c r="Q200">
        <f t="shared" si="158"/>
        <v>0</v>
      </c>
      <c r="R200">
        <f t="shared" si="159"/>
        <v>0</v>
      </c>
      <c r="S200">
        <f t="shared" si="160"/>
        <v>0</v>
      </c>
      <c r="T200">
        <f t="shared" si="161"/>
        <v>0</v>
      </c>
      <c r="U200">
        <f t="shared" si="162"/>
        <v>0</v>
      </c>
      <c r="V200">
        <f t="shared" si="163"/>
        <v>0</v>
      </c>
      <c r="W200">
        <f t="shared" si="164"/>
        <v>0</v>
      </c>
      <c r="X200">
        <f t="shared" si="165"/>
        <v>0</v>
      </c>
      <c r="Y200">
        <f t="shared" si="166"/>
        <v>0</v>
      </c>
      <c r="Z200">
        <f t="shared" si="167"/>
        <v>0</v>
      </c>
      <c r="AA200">
        <f t="shared" si="168"/>
        <v>0</v>
      </c>
      <c r="AB200">
        <f t="shared" si="169"/>
        <v>0</v>
      </c>
      <c r="AC200">
        <f t="shared" si="170"/>
        <v>0</v>
      </c>
      <c r="AD200">
        <f t="shared" si="171"/>
        <v>0</v>
      </c>
      <c r="AE200">
        <f t="shared" si="172"/>
        <v>0</v>
      </c>
      <c r="AF200">
        <f t="shared" si="173"/>
        <v>0</v>
      </c>
      <c r="AG200">
        <f t="shared" si="174"/>
        <v>0</v>
      </c>
      <c r="AH200">
        <f t="shared" si="175"/>
        <v>0</v>
      </c>
      <c r="AI200">
        <f t="shared" si="176"/>
        <v>0</v>
      </c>
      <c r="AJ200">
        <f t="shared" si="177"/>
        <v>0</v>
      </c>
      <c r="AK200">
        <f t="shared" si="178"/>
        <v>0</v>
      </c>
      <c r="AL200">
        <f t="shared" si="179"/>
        <v>0</v>
      </c>
      <c r="AM200">
        <f t="shared" si="180"/>
        <v>0</v>
      </c>
      <c r="AN200">
        <f t="shared" si="181"/>
        <v>0</v>
      </c>
      <c r="AO200">
        <f t="shared" si="182"/>
        <v>0</v>
      </c>
      <c r="AP200">
        <f t="shared" si="183"/>
        <v>0</v>
      </c>
      <c r="AQ200">
        <f t="shared" si="184"/>
        <v>0</v>
      </c>
      <c r="AR200">
        <f t="shared" si="185"/>
        <v>0</v>
      </c>
      <c r="AS200">
        <f t="shared" si="186"/>
        <v>0</v>
      </c>
      <c r="AT200">
        <f t="shared" si="187"/>
        <v>0</v>
      </c>
      <c r="AU200">
        <f t="shared" si="188"/>
        <v>0</v>
      </c>
      <c r="AV200">
        <f t="shared" si="189"/>
        <v>0</v>
      </c>
      <c r="AW200">
        <f t="shared" si="144"/>
        <v>0</v>
      </c>
      <c r="AX200">
        <f t="shared" si="190"/>
        <v>0</v>
      </c>
      <c r="AY200">
        <f t="shared" si="191"/>
        <v>0</v>
      </c>
    </row>
    <row r="201" spans="1:51" x14ac:dyDescent="0.35">
      <c r="A201">
        <v>195</v>
      </c>
      <c r="C201">
        <f>MAX(0,Calc!$C$7-SUM(D201:R201))</f>
        <v>750</v>
      </c>
      <c r="D201">
        <f t="shared" si="145"/>
        <v>0</v>
      </c>
      <c r="E201">
        <f t="shared" si="146"/>
        <v>0</v>
      </c>
      <c r="F201">
        <f t="shared" si="147"/>
        <v>0</v>
      </c>
      <c r="G201">
        <f t="shared" si="148"/>
        <v>0</v>
      </c>
      <c r="H201">
        <f t="shared" si="149"/>
        <v>0</v>
      </c>
      <c r="I201">
        <f t="shared" si="150"/>
        <v>0</v>
      </c>
      <c r="J201">
        <f t="shared" si="151"/>
        <v>0</v>
      </c>
      <c r="K201">
        <f t="shared" si="152"/>
        <v>0</v>
      </c>
      <c r="L201">
        <f t="shared" si="153"/>
        <v>0</v>
      </c>
      <c r="M201">
        <f t="shared" si="154"/>
        <v>0</v>
      </c>
      <c r="N201">
        <f t="shared" si="155"/>
        <v>0</v>
      </c>
      <c r="O201">
        <f t="shared" si="156"/>
        <v>0</v>
      </c>
      <c r="P201">
        <f t="shared" si="157"/>
        <v>0</v>
      </c>
      <c r="Q201">
        <f t="shared" si="158"/>
        <v>0</v>
      </c>
      <c r="R201">
        <f t="shared" si="159"/>
        <v>0</v>
      </c>
      <c r="S201">
        <f t="shared" si="160"/>
        <v>0</v>
      </c>
      <c r="T201">
        <f t="shared" si="161"/>
        <v>0</v>
      </c>
      <c r="U201">
        <f t="shared" si="162"/>
        <v>0</v>
      </c>
      <c r="V201">
        <f t="shared" si="163"/>
        <v>0</v>
      </c>
      <c r="W201">
        <f t="shared" si="164"/>
        <v>0</v>
      </c>
      <c r="X201">
        <f t="shared" si="165"/>
        <v>0</v>
      </c>
      <c r="Y201">
        <f t="shared" si="166"/>
        <v>0</v>
      </c>
      <c r="Z201">
        <f t="shared" si="167"/>
        <v>0</v>
      </c>
      <c r="AA201">
        <f t="shared" si="168"/>
        <v>0</v>
      </c>
      <c r="AB201">
        <f t="shared" si="169"/>
        <v>0</v>
      </c>
      <c r="AC201">
        <f t="shared" si="170"/>
        <v>0</v>
      </c>
      <c r="AD201">
        <f t="shared" si="171"/>
        <v>0</v>
      </c>
      <c r="AE201">
        <f t="shared" si="172"/>
        <v>0</v>
      </c>
      <c r="AF201">
        <f t="shared" si="173"/>
        <v>0</v>
      </c>
      <c r="AG201">
        <f t="shared" si="174"/>
        <v>0</v>
      </c>
      <c r="AH201">
        <f t="shared" si="175"/>
        <v>0</v>
      </c>
      <c r="AI201">
        <f t="shared" si="176"/>
        <v>0</v>
      </c>
      <c r="AJ201">
        <f t="shared" si="177"/>
        <v>0</v>
      </c>
      <c r="AK201">
        <f t="shared" si="178"/>
        <v>0</v>
      </c>
      <c r="AL201">
        <f t="shared" si="179"/>
        <v>0</v>
      </c>
      <c r="AM201">
        <f t="shared" si="180"/>
        <v>0</v>
      </c>
      <c r="AN201">
        <f t="shared" si="181"/>
        <v>0</v>
      </c>
      <c r="AO201">
        <f t="shared" si="182"/>
        <v>0</v>
      </c>
      <c r="AP201">
        <f t="shared" si="183"/>
        <v>0</v>
      </c>
      <c r="AQ201">
        <f t="shared" si="184"/>
        <v>0</v>
      </c>
      <c r="AR201">
        <f t="shared" si="185"/>
        <v>0</v>
      </c>
      <c r="AS201">
        <f t="shared" si="186"/>
        <v>0</v>
      </c>
      <c r="AT201">
        <f t="shared" si="187"/>
        <v>0</v>
      </c>
      <c r="AU201">
        <f t="shared" si="188"/>
        <v>0</v>
      </c>
      <c r="AV201">
        <f t="shared" si="189"/>
        <v>0</v>
      </c>
      <c r="AW201">
        <f t="shared" si="144"/>
        <v>0</v>
      </c>
      <c r="AX201">
        <f t="shared" si="190"/>
        <v>0</v>
      </c>
      <c r="AY201">
        <f t="shared" si="191"/>
        <v>0</v>
      </c>
    </row>
    <row r="202" spans="1:51" x14ac:dyDescent="0.35">
      <c r="A202">
        <v>196</v>
      </c>
      <c r="C202">
        <f>MAX(0,Calc!$C$7-SUM(D202:R202))</f>
        <v>750</v>
      </c>
      <c r="D202">
        <f t="shared" si="145"/>
        <v>0</v>
      </c>
      <c r="E202">
        <f t="shared" si="146"/>
        <v>0</v>
      </c>
      <c r="F202">
        <f t="shared" si="147"/>
        <v>0</v>
      </c>
      <c r="G202">
        <f t="shared" si="148"/>
        <v>0</v>
      </c>
      <c r="H202">
        <f t="shared" si="149"/>
        <v>0</v>
      </c>
      <c r="I202">
        <f t="shared" si="150"/>
        <v>0</v>
      </c>
      <c r="J202">
        <f t="shared" si="151"/>
        <v>0</v>
      </c>
      <c r="K202">
        <f t="shared" si="152"/>
        <v>0</v>
      </c>
      <c r="L202">
        <f t="shared" si="153"/>
        <v>0</v>
      </c>
      <c r="M202">
        <f t="shared" si="154"/>
        <v>0</v>
      </c>
      <c r="N202">
        <f t="shared" si="155"/>
        <v>0</v>
      </c>
      <c r="O202">
        <f t="shared" si="156"/>
        <v>0</v>
      </c>
      <c r="P202">
        <f t="shared" si="157"/>
        <v>0</v>
      </c>
      <c r="Q202">
        <f t="shared" si="158"/>
        <v>0</v>
      </c>
      <c r="R202">
        <f t="shared" si="159"/>
        <v>0</v>
      </c>
      <c r="S202">
        <f t="shared" si="160"/>
        <v>0</v>
      </c>
      <c r="T202">
        <f t="shared" si="161"/>
        <v>0</v>
      </c>
      <c r="U202">
        <f t="shared" si="162"/>
        <v>0</v>
      </c>
      <c r="V202">
        <f t="shared" si="163"/>
        <v>0</v>
      </c>
      <c r="W202">
        <f t="shared" si="164"/>
        <v>0</v>
      </c>
      <c r="X202">
        <f t="shared" si="165"/>
        <v>0</v>
      </c>
      <c r="Y202">
        <f t="shared" si="166"/>
        <v>0</v>
      </c>
      <c r="Z202">
        <f t="shared" si="167"/>
        <v>0</v>
      </c>
      <c r="AA202">
        <f t="shared" si="168"/>
        <v>0</v>
      </c>
      <c r="AB202">
        <f t="shared" si="169"/>
        <v>0</v>
      </c>
      <c r="AC202">
        <f t="shared" si="170"/>
        <v>0</v>
      </c>
      <c r="AD202">
        <f t="shared" si="171"/>
        <v>0</v>
      </c>
      <c r="AE202">
        <f t="shared" si="172"/>
        <v>0</v>
      </c>
      <c r="AF202">
        <f t="shared" si="173"/>
        <v>0</v>
      </c>
      <c r="AG202">
        <f t="shared" si="174"/>
        <v>0</v>
      </c>
      <c r="AH202">
        <f t="shared" si="175"/>
        <v>0</v>
      </c>
      <c r="AI202">
        <f t="shared" si="176"/>
        <v>0</v>
      </c>
      <c r="AJ202">
        <f t="shared" si="177"/>
        <v>0</v>
      </c>
      <c r="AK202">
        <f t="shared" si="178"/>
        <v>0</v>
      </c>
      <c r="AL202">
        <f t="shared" si="179"/>
        <v>0</v>
      </c>
      <c r="AM202">
        <f t="shared" si="180"/>
        <v>0</v>
      </c>
      <c r="AN202">
        <f t="shared" si="181"/>
        <v>0</v>
      </c>
      <c r="AO202">
        <f t="shared" si="182"/>
        <v>0</v>
      </c>
      <c r="AP202">
        <f t="shared" si="183"/>
        <v>0</v>
      </c>
      <c r="AQ202">
        <f t="shared" si="184"/>
        <v>0</v>
      </c>
      <c r="AR202">
        <f t="shared" si="185"/>
        <v>0</v>
      </c>
      <c r="AS202">
        <f t="shared" si="186"/>
        <v>0</v>
      </c>
      <c r="AT202">
        <f t="shared" si="187"/>
        <v>0</v>
      </c>
      <c r="AU202">
        <f t="shared" si="188"/>
        <v>0</v>
      </c>
      <c r="AV202">
        <f t="shared" si="189"/>
        <v>0</v>
      </c>
      <c r="AW202">
        <f t="shared" si="144"/>
        <v>0</v>
      </c>
      <c r="AX202">
        <f t="shared" si="190"/>
        <v>0</v>
      </c>
      <c r="AY202">
        <f t="shared" si="191"/>
        <v>0</v>
      </c>
    </row>
    <row r="203" spans="1:51" x14ac:dyDescent="0.35">
      <c r="A203">
        <v>197</v>
      </c>
      <c r="C203">
        <f>MAX(0,Calc!$C$7-SUM(D203:R203))</f>
        <v>750</v>
      </c>
      <c r="D203">
        <f t="shared" si="145"/>
        <v>0</v>
      </c>
      <c r="E203">
        <f t="shared" si="146"/>
        <v>0</v>
      </c>
      <c r="F203">
        <f t="shared" si="147"/>
        <v>0</v>
      </c>
      <c r="G203">
        <f t="shared" si="148"/>
        <v>0</v>
      </c>
      <c r="H203">
        <f t="shared" si="149"/>
        <v>0</v>
      </c>
      <c r="I203">
        <f t="shared" si="150"/>
        <v>0</v>
      </c>
      <c r="J203">
        <f t="shared" si="151"/>
        <v>0</v>
      </c>
      <c r="K203">
        <f t="shared" si="152"/>
        <v>0</v>
      </c>
      <c r="L203">
        <f t="shared" si="153"/>
        <v>0</v>
      </c>
      <c r="M203">
        <f t="shared" si="154"/>
        <v>0</v>
      </c>
      <c r="N203">
        <f t="shared" si="155"/>
        <v>0</v>
      </c>
      <c r="O203">
        <f t="shared" si="156"/>
        <v>0</v>
      </c>
      <c r="P203">
        <f t="shared" si="157"/>
        <v>0</v>
      </c>
      <c r="Q203">
        <f t="shared" si="158"/>
        <v>0</v>
      </c>
      <c r="R203">
        <f t="shared" si="159"/>
        <v>0</v>
      </c>
      <c r="S203">
        <f t="shared" si="160"/>
        <v>0</v>
      </c>
      <c r="T203">
        <f t="shared" si="161"/>
        <v>0</v>
      </c>
      <c r="U203">
        <f t="shared" si="162"/>
        <v>0</v>
      </c>
      <c r="V203">
        <f t="shared" si="163"/>
        <v>0</v>
      </c>
      <c r="W203">
        <f t="shared" si="164"/>
        <v>0</v>
      </c>
      <c r="X203">
        <f t="shared" si="165"/>
        <v>0</v>
      </c>
      <c r="Y203">
        <f t="shared" si="166"/>
        <v>0</v>
      </c>
      <c r="Z203">
        <f t="shared" si="167"/>
        <v>0</v>
      </c>
      <c r="AA203">
        <f t="shared" si="168"/>
        <v>0</v>
      </c>
      <c r="AB203">
        <f t="shared" si="169"/>
        <v>0</v>
      </c>
      <c r="AC203">
        <f t="shared" si="170"/>
        <v>0</v>
      </c>
      <c r="AD203">
        <f t="shared" si="171"/>
        <v>0</v>
      </c>
      <c r="AE203">
        <f t="shared" si="172"/>
        <v>0</v>
      </c>
      <c r="AF203">
        <f t="shared" si="173"/>
        <v>0</v>
      </c>
      <c r="AG203">
        <f t="shared" si="174"/>
        <v>0</v>
      </c>
      <c r="AH203">
        <f t="shared" si="175"/>
        <v>0</v>
      </c>
      <c r="AI203">
        <f t="shared" si="176"/>
        <v>0</v>
      </c>
      <c r="AJ203">
        <f t="shared" si="177"/>
        <v>0</v>
      </c>
      <c r="AK203">
        <f t="shared" si="178"/>
        <v>0</v>
      </c>
      <c r="AL203">
        <f t="shared" si="179"/>
        <v>0</v>
      </c>
      <c r="AM203">
        <f t="shared" si="180"/>
        <v>0</v>
      </c>
      <c r="AN203">
        <f t="shared" si="181"/>
        <v>0</v>
      </c>
      <c r="AO203">
        <f t="shared" si="182"/>
        <v>0</v>
      </c>
      <c r="AP203">
        <f t="shared" si="183"/>
        <v>0</v>
      </c>
      <c r="AQ203">
        <f t="shared" si="184"/>
        <v>0</v>
      </c>
      <c r="AR203">
        <f t="shared" si="185"/>
        <v>0</v>
      </c>
      <c r="AS203">
        <f t="shared" si="186"/>
        <v>0</v>
      </c>
      <c r="AT203">
        <f t="shared" si="187"/>
        <v>0</v>
      </c>
      <c r="AU203">
        <f t="shared" si="188"/>
        <v>0</v>
      </c>
      <c r="AV203">
        <f t="shared" si="189"/>
        <v>0</v>
      </c>
      <c r="AW203">
        <f t="shared" si="144"/>
        <v>0</v>
      </c>
      <c r="AX203">
        <f t="shared" si="190"/>
        <v>0</v>
      </c>
      <c r="AY203">
        <f t="shared" si="191"/>
        <v>0</v>
      </c>
    </row>
    <row r="204" spans="1:51" x14ac:dyDescent="0.35">
      <c r="A204">
        <v>198</v>
      </c>
      <c r="C204">
        <f>MAX(0,Calc!$C$7-SUM(D204:R204))</f>
        <v>750</v>
      </c>
      <c r="D204">
        <f t="shared" si="145"/>
        <v>0</v>
      </c>
      <c r="E204">
        <f t="shared" si="146"/>
        <v>0</v>
      </c>
      <c r="F204">
        <f t="shared" si="147"/>
        <v>0</v>
      </c>
      <c r="G204">
        <f t="shared" si="148"/>
        <v>0</v>
      </c>
      <c r="H204">
        <f t="shared" si="149"/>
        <v>0</v>
      </c>
      <c r="I204">
        <f t="shared" si="150"/>
        <v>0</v>
      </c>
      <c r="J204">
        <f t="shared" si="151"/>
        <v>0</v>
      </c>
      <c r="K204">
        <f t="shared" si="152"/>
        <v>0</v>
      </c>
      <c r="L204">
        <f t="shared" si="153"/>
        <v>0</v>
      </c>
      <c r="M204">
        <f t="shared" si="154"/>
        <v>0</v>
      </c>
      <c r="N204">
        <f t="shared" si="155"/>
        <v>0</v>
      </c>
      <c r="O204">
        <f t="shared" si="156"/>
        <v>0</v>
      </c>
      <c r="P204">
        <f t="shared" si="157"/>
        <v>0</v>
      </c>
      <c r="Q204">
        <f t="shared" si="158"/>
        <v>0</v>
      </c>
      <c r="R204">
        <f t="shared" si="159"/>
        <v>0</v>
      </c>
      <c r="S204">
        <f t="shared" si="160"/>
        <v>0</v>
      </c>
      <c r="T204">
        <f t="shared" si="161"/>
        <v>0</v>
      </c>
      <c r="U204">
        <f t="shared" si="162"/>
        <v>0</v>
      </c>
      <c r="V204">
        <f t="shared" si="163"/>
        <v>0</v>
      </c>
      <c r="W204">
        <f t="shared" si="164"/>
        <v>0</v>
      </c>
      <c r="X204">
        <f t="shared" si="165"/>
        <v>0</v>
      </c>
      <c r="Y204">
        <f t="shared" si="166"/>
        <v>0</v>
      </c>
      <c r="Z204">
        <f t="shared" si="167"/>
        <v>0</v>
      </c>
      <c r="AA204">
        <f t="shared" si="168"/>
        <v>0</v>
      </c>
      <c r="AB204">
        <f t="shared" si="169"/>
        <v>0</v>
      </c>
      <c r="AC204">
        <f t="shared" si="170"/>
        <v>0</v>
      </c>
      <c r="AD204">
        <f t="shared" si="171"/>
        <v>0</v>
      </c>
      <c r="AE204">
        <f t="shared" si="172"/>
        <v>0</v>
      </c>
      <c r="AF204">
        <f t="shared" si="173"/>
        <v>0</v>
      </c>
      <c r="AG204">
        <f t="shared" si="174"/>
        <v>0</v>
      </c>
      <c r="AH204">
        <f t="shared" si="175"/>
        <v>0</v>
      </c>
      <c r="AI204">
        <f t="shared" si="176"/>
        <v>0</v>
      </c>
      <c r="AJ204">
        <f t="shared" si="177"/>
        <v>0</v>
      </c>
      <c r="AK204">
        <f t="shared" si="178"/>
        <v>0</v>
      </c>
      <c r="AL204">
        <f t="shared" si="179"/>
        <v>0</v>
      </c>
      <c r="AM204">
        <f t="shared" si="180"/>
        <v>0</v>
      </c>
      <c r="AN204">
        <f t="shared" si="181"/>
        <v>0</v>
      </c>
      <c r="AO204">
        <f t="shared" si="182"/>
        <v>0</v>
      </c>
      <c r="AP204">
        <f t="shared" si="183"/>
        <v>0</v>
      </c>
      <c r="AQ204">
        <f t="shared" si="184"/>
        <v>0</v>
      </c>
      <c r="AR204">
        <f t="shared" si="185"/>
        <v>0</v>
      </c>
      <c r="AS204">
        <f t="shared" si="186"/>
        <v>0</v>
      </c>
      <c r="AT204">
        <f t="shared" si="187"/>
        <v>0</v>
      </c>
      <c r="AU204">
        <f t="shared" si="188"/>
        <v>0</v>
      </c>
      <c r="AV204">
        <f t="shared" si="189"/>
        <v>0</v>
      </c>
      <c r="AW204">
        <f t="shared" si="144"/>
        <v>0</v>
      </c>
      <c r="AX204">
        <f t="shared" si="190"/>
        <v>0</v>
      </c>
      <c r="AY204">
        <f t="shared" si="191"/>
        <v>0</v>
      </c>
    </row>
    <row r="205" spans="1:51" x14ac:dyDescent="0.35">
      <c r="A205">
        <v>199</v>
      </c>
      <c r="C205">
        <f>MAX(0,Calc!$C$7-SUM(D205:R205))</f>
        <v>750</v>
      </c>
      <c r="D205">
        <f t="shared" si="145"/>
        <v>0</v>
      </c>
      <c r="E205">
        <f t="shared" si="146"/>
        <v>0</v>
      </c>
      <c r="F205">
        <f t="shared" si="147"/>
        <v>0</v>
      </c>
      <c r="G205">
        <f t="shared" si="148"/>
        <v>0</v>
      </c>
      <c r="H205">
        <f t="shared" si="149"/>
        <v>0</v>
      </c>
      <c r="I205">
        <f t="shared" si="150"/>
        <v>0</v>
      </c>
      <c r="J205">
        <f t="shared" si="151"/>
        <v>0</v>
      </c>
      <c r="K205">
        <f t="shared" si="152"/>
        <v>0</v>
      </c>
      <c r="L205">
        <f t="shared" si="153"/>
        <v>0</v>
      </c>
      <c r="M205">
        <f t="shared" si="154"/>
        <v>0</v>
      </c>
      <c r="N205">
        <f t="shared" si="155"/>
        <v>0</v>
      </c>
      <c r="O205">
        <f t="shared" si="156"/>
        <v>0</v>
      </c>
      <c r="P205">
        <f t="shared" si="157"/>
        <v>0</v>
      </c>
      <c r="Q205">
        <f t="shared" si="158"/>
        <v>0</v>
      </c>
      <c r="R205">
        <f t="shared" si="159"/>
        <v>0</v>
      </c>
      <c r="S205">
        <f t="shared" si="160"/>
        <v>0</v>
      </c>
      <c r="T205">
        <f t="shared" si="161"/>
        <v>0</v>
      </c>
      <c r="U205">
        <f t="shared" si="162"/>
        <v>0</v>
      </c>
      <c r="V205">
        <f t="shared" si="163"/>
        <v>0</v>
      </c>
      <c r="W205">
        <f t="shared" si="164"/>
        <v>0</v>
      </c>
      <c r="X205">
        <f t="shared" si="165"/>
        <v>0</v>
      </c>
      <c r="Y205">
        <f t="shared" si="166"/>
        <v>0</v>
      </c>
      <c r="Z205">
        <f t="shared" si="167"/>
        <v>0</v>
      </c>
      <c r="AA205">
        <f t="shared" si="168"/>
        <v>0</v>
      </c>
      <c r="AB205">
        <f t="shared" si="169"/>
        <v>0</v>
      </c>
      <c r="AC205">
        <f t="shared" si="170"/>
        <v>0</v>
      </c>
      <c r="AD205">
        <f t="shared" si="171"/>
        <v>0</v>
      </c>
      <c r="AE205">
        <f t="shared" si="172"/>
        <v>0</v>
      </c>
      <c r="AF205">
        <f t="shared" si="173"/>
        <v>0</v>
      </c>
      <c r="AG205">
        <f t="shared" si="174"/>
        <v>0</v>
      </c>
      <c r="AH205">
        <f t="shared" si="175"/>
        <v>0</v>
      </c>
      <c r="AI205">
        <f t="shared" si="176"/>
        <v>0</v>
      </c>
      <c r="AJ205">
        <f t="shared" si="177"/>
        <v>0</v>
      </c>
      <c r="AK205">
        <f t="shared" si="178"/>
        <v>0</v>
      </c>
      <c r="AL205">
        <f t="shared" si="179"/>
        <v>0</v>
      </c>
      <c r="AM205">
        <f t="shared" si="180"/>
        <v>0</v>
      </c>
      <c r="AN205">
        <f t="shared" si="181"/>
        <v>0</v>
      </c>
      <c r="AO205">
        <f t="shared" si="182"/>
        <v>0</v>
      </c>
      <c r="AP205">
        <f t="shared" si="183"/>
        <v>0</v>
      </c>
      <c r="AQ205">
        <f t="shared" si="184"/>
        <v>0</v>
      </c>
      <c r="AR205">
        <f t="shared" si="185"/>
        <v>0</v>
      </c>
      <c r="AS205">
        <f t="shared" si="186"/>
        <v>0</v>
      </c>
      <c r="AT205">
        <f t="shared" si="187"/>
        <v>0</v>
      </c>
      <c r="AU205">
        <f t="shared" si="188"/>
        <v>0</v>
      </c>
      <c r="AV205">
        <f t="shared" si="189"/>
        <v>0</v>
      </c>
      <c r="AW205">
        <f t="shared" si="144"/>
        <v>0</v>
      </c>
      <c r="AX205">
        <f t="shared" si="190"/>
        <v>0</v>
      </c>
      <c r="AY205">
        <f t="shared" si="191"/>
        <v>0</v>
      </c>
    </row>
    <row r="206" spans="1:51" x14ac:dyDescent="0.35">
      <c r="A206">
        <v>200</v>
      </c>
      <c r="C206">
        <f>MAX(0,Calc!$C$7-SUM(D206:R206))</f>
        <v>750</v>
      </c>
      <c r="D206">
        <f t="shared" si="145"/>
        <v>0</v>
      </c>
      <c r="E206">
        <f t="shared" si="146"/>
        <v>0</v>
      </c>
      <c r="F206">
        <f t="shared" si="147"/>
        <v>0</v>
      </c>
      <c r="G206">
        <f t="shared" si="148"/>
        <v>0</v>
      </c>
      <c r="H206">
        <f t="shared" si="149"/>
        <v>0</v>
      </c>
      <c r="I206">
        <f t="shared" si="150"/>
        <v>0</v>
      </c>
      <c r="J206">
        <f t="shared" si="151"/>
        <v>0</v>
      </c>
      <c r="K206">
        <f t="shared" si="152"/>
        <v>0</v>
      </c>
      <c r="L206">
        <f t="shared" si="153"/>
        <v>0</v>
      </c>
      <c r="M206">
        <f t="shared" si="154"/>
        <v>0</v>
      </c>
      <c r="N206">
        <f t="shared" si="155"/>
        <v>0</v>
      </c>
      <c r="O206">
        <f t="shared" si="156"/>
        <v>0</v>
      </c>
      <c r="P206">
        <f t="shared" si="157"/>
        <v>0</v>
      </c>
      <c r="Q206">
        <f t="shared" si="158"/>
        <v>0</v>
      </c>
      <c r="R206">
        <f t="shared" si="159"/>
        <v>0</v>
      </c>
      <c r="S206">
        <f t="shared" si="160"/>
        <v>0</v>
      </c>
      <c r="T206">
        <f t="shared" si="161"/>
        <v>0</v>
      </c>
      <c r="U206">
        <f t="shared" si="162"/>
        <v>0</v>
      </c>
      <c r="V206">
        <f t="shared" si="163"/>
        <v>0</v>
      </c>
      <c r="W206">
        <f t="shared" si="164"/>
        <v>0</v>
      </c>
      <c r="X206">
        <f t="shared" si="165"/>
        <v>0</v>
      </c>
      <c r="Y206">
        <f t="shared" si="166"/>
        <v>0</v>
      </c>
      <c r="Z206">
        <f t="shared" si="167"/>
        <v>0</v>
      </c>
      <c r="AA206">
        <f t="shared" si="168"/>
        <v>0</v>
      </c>
      <c r="AB206">
        <f t="shared" si="169"/>
        <v>0</v>
      </c>
      <c r="AC206">
        <f t="shared" si="170"/>
        <v>0</v>
      </c>
      <c r="AD206">
        <f t="shared" si="171"/>
        <v>0</v>
      </c>
      <c r="AE206">
        <f t="shared" si="172"/>
        <v>0</v>
      </c>
      <c r="AF206">
        <f t="shared" si="173"/>
        <v>0</v>
      </c>
      <c r="AG206">
        <f t="shared" si="174"/>
        <v>0</v>
      </c>
      <c r="AH206">
        <f t="shared" si="175"/>
        <v>0</v>
      </c>
      <c r="AI206">
        <f t="shared" si="176"/>
        <v>0</v>
      </c>
      <c r="AJ206">
        <f t="shared" si="177"/>
        <v>0</v>
      </c>
      <c r="AK206">
        <f t="shared" si="178"/>
        <v>0</v>
      </c>
      <c r="AL206">
        <f t="shared" si="179"/>
        <v>0</v>
      </c>
      <c r="AM206">
        <f t="shared" si="180"/>
        <v>0</v>
      </c>
      <c r="AN206">
        <f t="shared" si="181"/>
        <v>0</v>
      </c>
      <c r="AO206">
        <f t="shared" si="182"/>
        <v>0</v>
      </c>
      <c r="AP206">
        <f t="shared" si="183"/>
        <v>0</v>
      </c>
      <c r="AQ206">
        <f t="shared" si="184"/>
        <v>0</v>
      </c>
      <c r="AR206">
        <f t="shared" si="185"/>
        <v>0</v>
      </c>
      <c r="AS206">
        <f t="shared" si="186"/>
        <v>0</v>
      </c>
      <c r="AT206">
        <f t="shared" si="187"/>
        <v>0</v>
      </c>
      <c r="AU206">
        <f t="shared" si="188"/>
        <v>0</v>
      </c>
      <c r="AV206">
        <f t="shared" si="189"/>
        <v>0</v>
      </c>
      <c r="AW206">
        <f t="shared" si="144"/>
        <v>0</v>
      </c>
      <c r="AX206">
        <f t="shared" si="190"/>
        <v>0</v>
      </c>
      <c r="AY206">
        <f t="shared" si="191"/>
        <v>0</v>
      </c>
    </row>
    <row r="207" spans="1:51" x14ac:dyDescent="0.35">
      <c r="A207">
        <v>201</v>
      </c>
      <c r="C207">
        <f>MAX(0,Calc!$C$7-SUM(D207:R207))</f>
        <v>750</v>
      </c>
      <c r="D207">
        <f t="shared" si="145"/>
        <v>0</v>
      </c>
      <c r="E207">
        <f t="shared" si="146"/>
        <v>0</v>
      </c>
      <c r="F207">
        <f t="shared" si="147"/>
        <v>0</v>
      </c>
      <c r="G207">
        <f t="shared" si="148"/>
        <v>0</v>
      </c>
      <c r="H207">
        <f t="shared" si="149"/>
        <v>0</v>
      </c>
      <c r="I207">
        <f t="shared" si="150"/>
        <v>0</v>
      </c>
      <c r="J207">
        <f t="shared" si="151"/>
        <v>0</v>
      </c>
      <c r="K207">
        <f t="shared" si="152"/>
        <v>0</v>
      </c>
      <c r="L207">
        <f t="shared" si="153"/>
        <v>0</v>
      </c>
      <c r="M207">
        <f t="shared" si="154"/>
        <v>0</v>
      </c>
      <c r="N207">
        <f t="shared" si="155"/>
        <v>0</v>
      </c>
      <c r="O207">
        <f t="shared" si="156"/>
        <v>0</v>
      </c>
      <c r="P207">
        <f t="shared" si="157"/>
        <v>0</v>
      </c>
      <c r="Q207">
        <f t="shared" si="158"/>
        <v>0</v>
      </c>
      <c r="R207">
        <f t="shared" si="159"/>
        <v>0</v>
      </c>
      <c r="S207">
        <f t="shared" si="160"/>
        <v>0</v>
      </c>
      <c r="T207">
        <f t="shared" si="161"/>
        <v>0</v>
      </c>
      <c r="U207">
        <f t="shared" si="162"/>
        <v>0</v>
      </c>
      <c r="V207">
        <f t="shared" si="163"/>
        <v>0</v>
      </c>
      <c r="W207">
        <f t="shared" si="164"/>
        <v>0</v>
      </c>
      <c r="X207">
        <f t="shared" si="165"/>
        <v>0</v>
      </c>
      <c r="Y207">
        <f t="shared" si="166"/>
        <v>0</v>
      </c>
      <c r="Z207">
        <f t="shared" si="167"/>
        <v>0</v>
      </c>
      <c r="AA207">
        <f t="shared" si="168"/>
        <v>0</v>
      </c>
      <c r="AB207">
        <f t="shared" si="169"/>
        <v>0</v>
      </c>
      <c r="AC207">
        <f t="shared" si="170"/>
        <v>0</v>
      </c>
      <c r="AD207">
        <f t="shared" si="171"/>
        <v>0</v>
      </c>
      <c r="AE207">
        <f t="shared" si="172"/>
        <v>0</v>
      </c>
      <c r="AF207">
        <f t="shared" si="173"/>
        <v>0</v>
      </c>
      <c r="AG207">
        <f t="shared" si="174"/>
        <v>0</v>
      </c>
      <c r="AH207">
        <f t="shared" si="175"/>
        <v>0</v>
      </c>
      <c r="AI207">
        <f t="shared" si="176"/>
        <v>0</v>
      </c>
      <c r="AJ207">
        <f t="shared" si="177"/>
        <v>0</v>
      </c>
      <c r="AK207">
        <f t="shared" si="178"/>
        <v>0</v>
      </c>
      <c r="AL207">
        <f t="shared" si="179"/>
        <v>0</v>
      </c>
      <c r="AM207">
        <f t="shared" si="180"/>
        <v>0</v>
      </c>
      <c r="AN207">
        <f t="shared" si="181"/>
        <v>0</v>
      </c>
      <c r="AO207">
        <f t="shared" si="182"/>
        <v>0</v>
      </c>
      <c r="AP207">
        <f t="shared" si="183"/>
        <v>0</v>
      </c>
      <c r="AQ207">
        <f t="shared" si="184"/>
        <v>0</v>
      </c>
      <c r="AR207">
        <f t="shared" si="185"/>
        <v>0</v>
      </c>
      <c r="AS207">
        <f t="shared" si="186"/>
        <v>0</v>
      </c>
      <c r="AT207">
        <f t="shared" si="187"/>
        <v>0</v>
      </c>
      <c r="AU207">
        <f t="shared" si="188"/>
        <v>0</v>
      </c>
      <c r="AV207">
        <f t="shared" si="189"/>
        <v>0</v>
      </c>
      <c r="AW207">
        <f t="shared" si="144"/>
        <v>0</v>
      </c>
      <c r="AX207">
        <f t="shared" si="190"/>
        <v>0</v>
      </c>
      <c r="AY207">
        <f t="shared" si="191"/>
        <v>0</v>
      </c>
    </row>
    <row r="208" spans="1:51" x14ac:dyDescent="0.35">
      <c r="A208">
        <v>202</v>
      </c>
      <c r="C208">
        <f>MAX(0,Calc!$C$7-SUM(D208:R208))</f>
        <v>750</v>
      </c>
      <c r="D208">
        <f t="shared" si="145"/>
        <v>0</v>
      </c>
      <c r="E208">
        <f t="shared" si="146"/>
        <v>0</v>
      </c>
      <c r="F208">
        <f t="shared" si="147"/>
        <v>0</v>
      </c>
      <c r="G208">
        <f t="shared" si="148"/>
        <v>0</v>
      </c>
      <c r="H208">
        <f t="shared" si="149"/>
        <v>0</v>
      </c>
      <c r="I208">
        <f t="shared" si="150"/>
        <v>0</v>
      </c>
      <c r="J208">
        <f t="shared" si="151"/>
        <v>0</v>
      </c>
      <c r="K208">
        <f t="shared" si="152"/>
        <v>0</v>
      </c>
      <c r="L208">
        <f t="shared" si="153"/>
        <v>0</v>
      </c>
      <c r="M208">
        <f t="shared" si="154"/>
        <v>0</v>
      </c>
      <c r="N208">
        <f t="shared" si="155"/>
        <v>0</v>
      </c>
      <c r="O208">
        <f t="shared" si="156"/>
        <v>0</v>
      </c>
      <c r="P208">
        <f t="shared" si="157"/>
        <v>0</v>
      </c>
      <c r="Q208">
        <f t="shared" si="158"/>
        <v>0</v>
      </c>
      <c r="R208">
        <f t="shared" si="159"/>
        <v>0</v>
      </c>
      <c r="S208">
        <f t="shared" si="160"/>
        <v>0</v>
      </c>
      <c r="T208">
        <f t="shared" si="161"/>
        <v>0</v>
      </c>
      <c r="U208">
        <f t="shared" si="162"/>
        <v>0</v>
      </c>
      <c r="V208">
        <f t="shared" si="163"/>
        <v>0</v>
      </c>
      <c r="W208">
        <f t="shared" si="164"/>
        <v>0</v>
      </c>
      <c r="X208">
        <f t="shared" si="165"/>
        <v>0</v>
      </c>
      <c r="Y208">
        <f t="shared" si="166"/>
        <v>0</v>
      </c>
      <c r="Z208">
        <f t="shared" si="167"/>
        <v>0</v>
      </c>
      <c r="AA208">
        <f t="shared" si="168"/>
        <v>0</v>
      </c>
      <c r="AB208">
        <f t="shared" si="169"/>
        <v>0</v>
      </c>
      <c r="AC208">
        <f t="shared" si="170"/>
        <v>0</v>
      </c>
      <c r="AD208">
        <f t="shared" si="171"/>
        <v>0</v>
      </c>
      <c r="AE208">
        <f t="shared" si="172"/>
        <v>0</v>
      </c>
      <c r="AF208">
        <f t="shared" si="173"/>
        <v>0</v>
      </c>
      <c r="AG208">
        <f t="shared" si="174"/>
        <v>0</v>
      </c>
      <c r="AH208">
        <f t="shared" si="175"/>
        <v>0</v>
      </c>
      <c r="AI208">
        <f t="shared" si="176"/>
        <v>0</v>
      </c>
      <c r="AJ208">
        <f t="shared" si="177"/>
        <v>0</v>
      </c>
      <c r="AK208">
        <f t="shared" si="178"/>
        <v>0</v>
      </c>
      <c r="AL208">
        <f t="shared" si="179"/>
        <v>0</v>
      </c>
      <c r="AM208">
        <f t="shared" si="180"/>
        <v>0</v>
      </c>
      <c r="AN208">
        <f t="shared" si="181"/>
        <v>0</v>
      </c>
      <c r="AO208">
        <f t="shared" si="182"/>
        <v>0</v>
      </c>
      <c r="AP208">
        <f t="shared" si="183"/>
        <v>0</v>
      </c>
      <c r="AQ208">
        <f t="shared" si="184"/>
        <v>0</v>
      </c>
      <c r="AR208">
        <f t="shared" si="185"/>
        <v>0</v>
      </c>
      <c r="AS208">
        <f t="shared" si="186"/>
        <v>0</v>
      </c>
      <c r="AT208">
        <f t="shared" si="187"/>
        <v>0</v>
      </c>
      <c r="AU208">
        <f t="shared" si="188"/>
        <v>0</v>
      </c>
      <c r="AV208">
        <f t="shared" si="189"/>
        <v>0</v>
      </c>
      <c r="AW208">
        <f t="shared" si="144"/>
        <v>0</v>
      </c>
      <c r="AX208">
        <f t="shared" si="190"/>
        <v>0</v>
      </c>
      <c r="AY208">
        <f t="shared" si="191"/>
        <v>0</v>
      </c>
    </row>
    <row r="209" spans="1:51" x14ac:dyDescent="0.35">
      <c r="A209">
        <v>203</v>
      </c>
      <c r="C209">
        <f>MAX(0,Calc!$C$7-SUM(D209:R209))</f>
        <v>750</v>
      </c>
      <c r="D209">
        <f t="shared" si="145"/>
        <v>0</v>
      </c>
      <c r="E209">
        <f t="shared" si="146"/>
        <v>0</v>
      </c>
      <c r="F209">
        <f t="shared" si="147"/>
        <v>0</v>
      </c>
      <c r="G209">
        <f t="shared" si="148"/>
        <v>0</v>
      </c>
      <c r="H209">
        <f t="shared" si="149"/>
        <v>0</v>
      </c>
      <c r="I209">
        <f t="shared" si="150"/>
        <v>0</v>
      </c>
      <c r="J209">
        <f t="shared" si="151"/>
        <v>0</v>
      </c>
      <c r="K209">
        <f t="shared" si="152"/>
        <v>0</v>
      </c>
      <c r="L209">
        <f t="shared" si="153"/>
        <v>0</v>
      </c>
      <c r="M209">
        <f t="shared" si="154"/>
        <v>0</v>
      </c>
      <c r="N209">
        <f t="shared" si="155"/>
        <v>0</v>
      </c>
      <c r="O209">
        <f t="shared" si="156"/>
        <v>0</v>
      </c>
      <c r="P209">
        <f t="shared" si="157"/>
        <v>0</v>
      </c>
      <c r="Q209">
        <f t="shared" si="158"/>
        <v>0</v>
      </c>
      <c r="R209">
        <f t="shared" si="159"/>
        <v>0</v>
      </c>
      <c r="S209">
        <f t="shared" si="160"/>
        <v>0</v>
      </c>
      <c r="T209">
        <f t="shared" si="161"/>
        <v>0</v>
      </c>
      <c r="U209">
        <f t="shared" si="162"/>
        <v>0</v>
      </c>
      <c r="V209">
        <f t="shared" si="163"/>
        <v>0</v>
      </c>
      <c r="W209">
        <f t="shared" si="164"/>
        <v>0</v>
      </c>
      <c r="X209">
        <f t="shared" si="165"/>
        <v>0</v>
      </c>
      <c r="Y209">
        <f t="shared" si="166"/>
        <v>0</v>
      </c>
      <c r="Z209">
        <f t="shared" si="167"/>
        <v>0</v>
      </c>
      <c r="AA209">
        <f t="shared" si="168"/>
        <v>0</v>
      </c>
      <c r="AB209">
        <f t="shared" si="169"/>
        <v>0</v>
      </c>
      <c r="AC209">
        <f t="shared" si="170"/>
        <v>0</v>
      </c>
      <c r="AD209">
        <f t="shared" si="171"/>
        <v>0</v>
      </c>
      <c r="AE209">
        <f t="shared" si="172"/>
        <v>0</v>
      </c>
      <c r="AF209">
        <f t="shared" si="173"/>
        <v>0</v>
      </c>
      <c r="AG209">
        <f t="shared" si="174"/>
        <v>0</v>
      </c>
      <c r="AH209">
        <f t="shared" si="175"/>
        <v>0</v>
      </c>
      <c r="AI209">
        <f t="shared" si="176"/>
        <v>0</v>
      </c>
      <c r="AJ209">
        <f t="shared" si="177"/>
        <v>0</v>
      </c>
      <c r="AK209">
        <f t="shared" si="178"/>
        <v>0</v>
      </c>
      <c r="AL209">
        <f t="shared" si="179"/>
        <v>0</v>
      </c>
      <c r="AM209">
        <f t="shared" si="180"/>
        <v>0</v>
      </c>
      <c r="AN209">
        <f t="shared" si="181"/>
        <v>0</v>
      </c>
      <c r="AO209">
        <f t="shared" si="182"/>
        <v>0</v>
      </c>
      <c r="AP209">
        <f t="shared" si="183"/>
        <v>0</v>
      </c>
      <c r="AQ209">
        <f t="shared" si="184"/>
        <v>0</v>
      </c>
      <c r="AR209">
        <f t="shared" si="185"/>
        <v>0</v>
      </c>
      <c r="AS209">
        <f t="shared" si="186"/>
        <v>0</v>
      </c>
      <c r="AT209">
        <f t="shared" si="187"/>
        <v>0</v>
      </c>
      <c r="AU209">
        <f t="shared" si="188"/>
        <v>0</v>
      </c>
      <c r="AV209">
        <f t="shared" si="189"/>
        <v>0</v>
      </c>
      <c r="AW209">
        <f t="shared" si="144"/>
        <v>0</v>
      </c>
      <c r="AX209">
        <f t="shared" si="190"/>
        <v>0</v>
      </c>
      <c r="AY209">
        <f t="shared" si="191"/>
        <v>0</v>
      </c>
    </row>
    <row r="210" spans="1:51" x14ac:dyDescent="0.35">
      <c r="A210">
        <v>204</v>
      </c>
      <c r="C210">
        <f>MAX(0,Calc!$C$7-SUM(D210:R210))</f>
        <v>750</v>
      </c>
      <c r="D210">
        <f t="shared" si="145"/>
        <v>0</v>
      </c>
      <c r="E210">
        <f t="shared" si="146"/>
        <v>0</v>
      </c>
      <c r="F210">
        <f t="shared" si="147"/>
        <v>0</v>
      </c>
      <c r="G210">
        <f t="shared" si="148"/>
        <v>0</v>
      </c>
      <c r="H210">
        <f t="shared" si="149"/>
        <v>0</v>
      </c>
      <c r="I210">
        <f t="shared" si="150"/>
        <v>0</v>
      </c>
      <c r="J210">
        <f t="shared" si="151"/>
        <v>0</v>
      </c>
      <c r="K210">
        <f t="shared" si="152"/>
        <v>0</v>
      </c>
      <c r="L210">
        <f t="shared" si="153"/>
        <v>0</v>
      </c>
      <c r="M210">
        <f t="shared" si="154"/>
        <v>0</v>
      </c>
      <c r="N210">
        <f t="shared" si="155"/>
        <v>0</v>
      </c>
      <c r="O210">
        <f t="shared" si="156"/>
        <v>0</v>
      </c>
      <c r="P210">
        <f t="shared" si="157"/>
        <v>0</v>
      </c>
      <c r="Q210">
        <f t="shared" si="158"/>
        <v>0</v>
      </c>
      <c r="R210">
        <f t="shared" si="159"/>
        <v>0</v>
      </c>
      <c r="S210">
        <f t="shared" si="160"/>
        <v>0</v>
      </c>
      <c r="T210">
        <f t="shared" si="161"/>
        <v>0</v>
      </c>
      <c r="U210">
        <f t="shared" si="162"/>
        <v>0</v>
      </c>
      <c r="V210">
        <f t="shared" si="163"/>
        <v>0</v>
      </c>
      <c r="W210">
        <f t="shared" si="164"/>
        <v>0</v>
      </c>
      <c r="X210">
        <f t="shared" si="165"/>
        <v>0</v>
      </c>
      <c r="Y210">
        <f t="shared" si="166"/>
        <v>0</v>
      </c>
      <c r="Z210">
        <f t="shared" si="167"/>
        <v>0</v>
      </c>
      <c r="AA210">
        <f t="shared" si="168"/>
        <v>0</v>
      </c>
      <c r="AB210">
        <f t="shared" si="169"/>
        <v>0</v>
      </c>
      <c r="AC210">
        <f t="shared" si="170"/>
        <v>0</v>
      </c>
      <c r="AD210">
        <f t="shared" si="171"/>
        <v>0</v>
      </c>
      <c r="AE210">
        <f t="shared" si="172"/>
        <v>0</v>
      </c>
      <c r="AF210">
        <f t="shared" si="173"/>
        <v>0</v>
      </c>
      <c r="AG210">
        <f t="shared" si="174"/>
        <v>0</v>
      </c>
      <c r="AH210">
        <f t="shared" si="175"/>
        <v>0</v>
      </c>
      <c r="AI210">
        <f t="shared" si="176"/>
        <v>0</v>
      </c>
      <c r="AJ210">
        <f t="shared" si="177"/>
        <v>0</v>
      </c>
      <c r="AK210">
        <f t="shared" si="178"/>
        <v>0</v>
      </c>
      <c r="AL210">
        <f t="shared" si="179"/>
        <v>0</v>
      </c>
      <c r="AM210">
        <f t="shared" si="180"/>
        <v>0</v>
      </c>
      <c r="AN210">
        <f t="shared" si="181"/>
        <v>0</v>
      </c>
      <c r="AO210">
        <f t="shared" si="182"/>
        <v>0</v>
      </c>
      <c r="AP210">
        <f t="shared" si="183"/>
        <v>0</v>
      </c>
      <c r="AQ210">
        <f t="shared" si="184"/>
        <v>0</v>
      </c>
      <c r="AR210">
        <f t="shared" si="185"/>
        <v>0</v>
      </c>
      <c r="AS210">
        <f t="shared" si="186"/>
        <v>0</v>
      </c>
      <c r="AT210">
        <f t="shared" si="187"/>
        <v>0</v>
      </c>
      <c r="AU210">
        <f t="shared" si="188"/>
        <v>0</v>
      </c>
      <c r="AV210">
        <f t="shared" si="189"/>
        <v>0</v>
      </c>
      <c r="AW210">
        <f t="shared" si="144"/>
        <v>0</v>
      </c>
      <c r="AX210">
        <f t="shared" si="190"/>
        <v>0</v>
      </c>
      <c r="AY210">
        <f t="shared" si="191"/>
        <v>0</v>
      </c>
    </row>
    <row r="211" spans="1:51" x14ac:dyDescent="0.35">
      <c r="A211">
        <v>205</v>
      </c>
      <c r="C211">
        <f>MAX(0,Calc!$C$7-SUM(D211:R211))</f>
        <v>750</v>
      </c>
      <c r="D211">
        <f t="shared" si="145"/>
        <v>0</v>
      </c>
      <c r="E211">
        <f t="shared" si="146"/>
        <v>0</v>
      </c>
      <c r="F211">
        <f t="shared" si="147"/>
        <v>0</v>
      </c>
      <c r="G211">
        <f t="shared" si="148"/>
        <v>0</v>
      </c>
      <c r="H211">
        <f t="shared" si="149"/>
        <v>0</v>
      </c>
      <c r="I211">
        <f t="shared" si="150"/>
        <v>0</v>
      </c>
      <c r="J211">
        <f t="shared" si="151"/>
        <v>0</v>
      </c>
      <c r="K211">
        <f t="shared" si="152"/>
        <v>0</v>
      </c>
      <c r="L211">
        <f t="shared" si="153"/>
        <v>0</v>
      </c>
      <c r="M211">
        <f t="shared" si="154"/>
        <v>0</v>
      </c>
      <c r="N211">
        <f t="shared" si="155"/>
        <v>0</v>
      </c>
      <c r="O211">
        <f t="shared" si="156"/>
        <v>0</v>
      </c>
      <c r="P211">
        <f t="shared" si="157"/>
        <v>0</v>
      </c>
      <c r="Q211">
        <f t="shared" si="158"/>
        <v>0</v>
      </c>
      <c r="R211">
        <f t="shared" si="159"/>
        <v>0</v>
      </c>
      <c r="S211">
        <f t="shared" si="160"/>
        <v>0</v>
      </c>
      <c r="T211">
        <f t="shared" si="161"/>
        <v>0</v>
      </c>
      <c r="U211">
        <f t="shared" si="162"/>
        <v>0</v>
      </c>
      <c r="V211">
        <f t="shared" si="163"/>
        <v>0</v>
      </c>
      <c r="W211">
        <f t="shared" si="164"/>
        <v>0</v>
      </c>
      <c r="X211">
        <f t="shared" si="165"/>
        <v>0</v>
      </c>
      <c r="Y211">
        <f t="shared" si="166"/>
        <v>0</v>
      </c>
      <c r="Z211">
        <f t="shared" si="167"/>
        <v>0</v>
      </c>
      <c r="AA211">
        <f t="shared" si="168"/>
        <v>0</v>
      </c>
      <c r="AB211">
        <f t="shared" si="169"/>
        <v>0</v>
      </c>
      <c r="AC211">
        <f t="shared" si="170"/>
        <v>0</v>
      </c>
      <c r="AD211">
        <f t="shared" si="171"/>
        <v>0</v>
      </c>
      <c r="AE211">
        <f t="shared" si="172"/>
        <v>0</v>
      </c>
      <c r="AF211">
        <f t="shared" si="173"/>
        <v>0</v>
      </c>
      <c r="AG211">
        <f t="shared" si="174"/>
        <v>0</v>
      </c>
      <c r="AH211">
        <f t="shared" si="175"/>
        <v>0</v>
      </c>
      <c r="AI211">
        <f t="shared" si="176"/>
        <v>0</v>
      </c>
      <c r="AJ211">
        <f t="shared" si="177"/>
        <v>0</v>
      </c>
      <c r="AK211">
        <f t="shared" si="178"/>
        <v>0</v>
      </c>
      <c r="AL211">
        <f t="shared" si="179"/>
        <v>0</v>
      </c>
      <c r="AM211">
        <f t="shared" si="180"/>
        <v>0</v>
      </c>
      <c r="AN211">
        <f t="shared" si="181"/>
        <v>0</v>
      </c>
      <c r="AO211">
        <f t="shared" si="182"/>
        <v>0</v>
      </c>
      <c r="AP211">
        <f t="shared" si="183"/>
        <v>0</v>
      </c>
      <c r="AQ211">
        <f t="shared" si="184"/>
        <v>0</v>
      </c>
      <c r="AR211">
        <f t="shared" si="185"/>
        <v>0</v>
      </c>
      <c r="AS211">
        <f t="shared" si="186"/>
        <v>0</v>
      </c>
      <c r="AT211">
        <f t="shared" si="187"/>
        <v>0</v>
      </c>
      <c r="AU211">
        <f t="shared" si="188"/>
        <v>0</v>
      </c>
      <c r="AV211">
        <f t="shared" si="189"/>
        <v>0</v>
      </c>
      <c r="AW211">
        <f t="shared" si="144"/>
        <v>0</v>
      </c>
      <c r="AX211">
        <f t="shared" si="190"/>
        <v>0</v>
      </c>
      <c r="AY211">
        <f t="shared" si="191"/>
        <v>0</v>
      </c>
    </row>
    <row r="212" spans="1:51" x14ac:dyDescent="0.35">
      <c r="A212">
        <v>206</v>
      </c>
      <c r="C212">
        <f>MAX(0,Calc!$C$7-SUM(D212:R212))</f>
        <v>750</v>
      </c>
      <c r="D212">
        <f t="shared" si="145"/>
        <v>0</v>
      </c>
      <c r="E212">
        <f t="shared" si="146"/>
        <v>0</v>
      </c>
      <c r="F212">
        <f t="shared" si="147"/>
        <v>0</v>
      </c>
      <c r="G212">
        <f t="shared" si="148"/>
        <v>0</v>
      </c>
      <c r="H212">
        <f t="shared" si="149"/>
        <v>0</v>
      </c>
      <c r="I212">
        <f t="shared" si="150"/>
        <v>0</v>
      </c>
      <c r="J212">
        <f t="shared" si="151"/>
        <v>0</v>
      </c>
      <c r="K212">
        <f t="shared" si="152"/>
        <v>0</v>
      </c>
      <c r="L212">
        <f t="shared" si="153"/>
        <v>0</v>
      </c>
      <c r="M212">
        <f t="shared" si="154"/>
        <v>0</v>
      </c>
      <c r="N212">
        <f t="shared" si="155"/>
        <v>0</v>
      </c>
      <c r="O212">
        <f t="shared" si="156"/>
        <v>0</v>
      </c>
      <c r="P212">
        <f t="shared" si="157"/>
        <v>0</v>
      </c>
      <c r="Q212">
        <f t="shared" si="158"/>
        <v>0</v>
      </c>
      <c r="R212">
        <f t="shared" si="159"/>
        <v>0</v>
      </c>
      <c r="S212">
        <f t="shared" si="160"/>
        <v>0</v>
      </c>
      <c r="T212">
        <f t="shared" si="161"/>
        <v>0</v>
      </c>
      <c r="U212">
        <f t="shared" si="162"/>
        <v>0</v>
      </c>
      <c r="V212">
        <f t="shared" si="163"/>
        <v>0</v>
      </c>
      <c r="W212">
        <f t="shared" si="164"/>
        <v>0</v>
      </c>
      <c r="X212">
        <f t="shared" si="165"/>
        <v>0</v>
      </c>
      <c r="Y212">
        <f t="shared" si="166"/>
        <v>0</v>
      </c>
      <c r="Z212">
        <f t="shared" si="167"/>
        <v>0</v>
      </c>
      <c r="AA212">
        <f t="shared" si="168"/>
        <v>0</v>
      </c>
      <c r="AB212">
        <f t="shared" si="169"/>
        <v>0</v>
      </c>
      <c r="AC212">
        <f t="shared" si="170"/>
        <v>0</v>
      </c>
      <c r="AD212">
        <f t="shared" si="171"/>
        <v>0</v>
      </c>
      <c r="AE212">
        <f t="shared" si="172"/>
        <v>0</v>
      </c>
      <c r="AF212">
        <f t="shared" si="173"/>
        <v>0</v>
      </c>
      <c r="AG212">
        <f t="shared" si="174"/>
        <v>0</v>
      </c>
      <c r="AH212">
        <f t="shared" si="175"/>
        <v>0</v>
      </c>
      <c r="AI212">
        <f t="shared" si="176"/>
        <v>0</v>
      </c>
      <c r="AJ212">
        <f t="shared" si="177"/>
        <v>0</v>
      </c>
      <c r="AK212">
        <f t="shared" si="178"/>
        <v>0</v>
      </c>
      <c r="AL212">
        <f t="shared" si="179"/>
        <v>0</v>
      </c>
      <c r="AM212">
        <f t="shared" si="180"/>
        <v>0</v>
      </c>
      <c r="AN212">
        <f t="shared" si="181"/>
        <v>0</v>
      </c>
      <c r="AO212">
        <f t="shared" si="182"/>
        <v>0</v>
      </c>
      <c r="AP212">
        <f t="shared" si="183"/>
        <v>0</v>
      </c>
      <c r="AQ212">
        <f t="shared" si="184"/>
        <v>0</v>
      </c>
      <c r="AR212">
        <f t="shared" si="185"/>
        <v>0</v>
      </c>
      <c r="AS212">
        <f t="shared" si="186"/>
        <v>0</v>
      </c>
      <c r="AT212">
        <f t="shared" si="187"/>
        <v>0</v>
      </c>
      <c r="AU212">
        <f t="shared" si="188"/>
        <v>0</v>
      </c>
      <c r="AV212">
        <f t="shared" si="189"/>
        <v>0</v>
      </c>
      <c r="AW212">
        <f t="shared" si="144"/>
        <v>0</v>
      </c>
      <c r="AX212">
        <f t="shared" si="190"/>
        <v>0</v>
      </c>
      <c r="AY212">
        <f t="shared" si="191"/>
        <v>0</v>
      </c>
    </row>
    <row r="213" spans="1:51" x14ac:dyDescent="0.35">
      <c r="A213">
        <v>207</v>
      </c>
      <c r="C213">
        <f>MAX(0,Calc!$C$7-SUM(D213:R213))</f>
        <v>750</v>
      </c>
      <c r="D213">
        <f t="shared" si="145"/>
        <v>0</v>
      </c>
      <c r="E213">
        <f t="shared" si="146"/>
        <v>0</v>
      </c>
      <c r="F213">
        <f t="shared" si="147"/>
        <v>0</v>
      </c>
      <c r="G213">
        <f t="shared" si="148"/>
        <v>0</v>
      </c>
      <c r="H213">
        <f t="shared" si="149"/>
        <v>0</v>
      </c>
      <c r="I213">
        <f t="shared" si="150"/>
        <v>0</v>
      </c>
      <c r="J213">
        <f t="shared" si="151"/>
        <v>0</v>
      </c>
      <c r="K213">
        <f t="shared" si="152"/>
        <v>0</v>
      </c>
      <c r="L213">
        <f t="shared" si="153"/>
        <v>0</v>
      </c>
      <c r="M213">
        <f t="shared" si="154"/>
        <v>0</v>
      </c>
      <c r="N213">
        <f t="shared" si="155"/>
        <v>0</v>
      </c>
      <c r="O213">
        <f t="shared" si="156"/>
        <v>0</v>
      </c>
      <c r="P213">
        <f t="shared" si="157"/>
        <v>0</v>
      </c>
      <c r="Q213">
        <f t="shared" si="158"/>
        <v>0</v>
      </c>
      <c r="R213">
        <f t="shared" si="159"/>
        <v>0</v>
      </c>
      <c r="S213">
        <f t="shared" si="160"/>
        <v>0</v>
      </c>
      <c r="T213">
        <f t="shared" si="161"/>
        <v>0</v>
      </c>
      <c r="U213">
        <f t="shared" si="162"/>
        <v>0</v>
      </c>
      <c r="V213">
        <f t="shared" si="163"/>
        <v>0</v>
      </c>
      <c r="W213">
        <f t="shared" si="164"/>
        <v>0</v>
      </c>
      <c r="X213">
        <f t="shared" si="165"/>
        <v>0</v>
      </c>
      <c r="Y213">
        <f t="shared" si="166"/>
        <v>0</v>
      </c>
      <c r="Z213">
        <f t="shared" si="167"/>
        <v>0</v>
      </c>
      <c r="AA213">
        <f t="shared" si="168"/>
        <v>0</v>
      </c>
      <c r="AB213">
        <f t="shared" si="169"/>
        <v>0</v>
      </c>
      <c r="AC213">
        <f t="shared" si="170"/>
        <v>0</v>
      </c>
      <c r="AD213">
        <f t="shared" si="171"/>
        <v>0</v>
      </c>
      <c r="AE213">
        <f t="shared" si="172"/>
        <v>0</v>
      </c>
      <c r="AF213">
        <f t="shared" si="173"/>
        <v>0</v>
      </c>
      <c r="AG213">
        <f t="shared" si="174"/>
        <v>0</v>
      </c>
      <c r="AH213">
        <f t="shared" si="175"/>
        <v>0</v>
      </c>
      <c r="AI213">
        <f t="shared" si="176"/>
        <v>0</v>
      </c>
      <c r="AJ213">
        <f t="shared" si="177"/>
        <v>0</v>
      </c>
      <c r="AK213">
        <f t="shared" si="178"/>
        <v>0</v>
      </c>
      <c r="AL213">
        <f t="shared" si="179"/>
        <v>0</v>
      </c>
      <c r="AM213">
        <f t="shared" si="180"/>
        <v>0</v>
      </c>
      <c r="AN213">
        <f t="shared" si="181"/>
        <v>0</v>
      </c>
      <c r="AO213">
        <f t="shared" si="182"/>
        <v>0</v>
      </c>
      <c r="AP213">
        <f t="shared" si="183"/>
        <v>0</v>
      </c>
      <c r="AQ213">
        <f t="shared" si="184"/>
        <v>0</v>
      </c>
      <c r="AR213">
        <f t="shared" si="185"/>
        <v>0</v>
      </c>
      <c r="AS213">
        <f t="shared" si="186"/>
        <v>0</v>
      </c>
      <c r="AT213">
        <f t="shared" si="187"/>
        <v>0</v>
      </c>
      <c r="AU213">
        <f t="shared" si="188"/>
        <v>0</v>
      </c>
      <c r="AV213">
        <f t="shared" si="189"/>
        <v>0</v>
      </c>
      <c r="AW213">
        <f t="shared" si="144"/>
        <v>0</v>
      </c>
      <c r="AX213">
        <f t="shared" si="190"/>
        <v>0</v>
      </c>
      <c r="AY213">
        <f t="shared" si="191"/>
        <v>0</v>
      </c>
    </row>
    <row r="214" spans="1:51" x14ac:dyDescent="0.35">
      <c r="A214">
        <v>208</v>
      </c>
      <c r="C214">
        <f>MAX(0,Calc!$C$7-SUM(D214:R214))</f>
        <v>750</v>
      </c>
      <c r="D214">
        <f t="shared" si="145"/>
        <v>0</v>
      </c>
      <c r="E214">
        <f t="shared" si="146"/>
        <v>0</v>
      </c>
      <c r="F214">
        <f t="shared" si="147"/>
        <v>0</v>
      </c>
      <c r="G214">
        <f t="shared" si="148"/>
        <v>0</v>
      </c>
      <c r="H214">
        <f t="shared" si="149"/>
        <v>0</v>
      </c>
      <c r="I214">
        <f t="shared" si="150"/>
        <v>0</v>
      </c>
      <c r="J214">
        <f t="shared" si="151"/>
        <v>0</v>
      </c>
      <c r="K214">
        <f t="shared" si="152"/>
        <v>0</v>
      </c>
      <c r="L214">
        <f t="shared" si="153"/>
        <v>0</v>
      </c>
      <c r="M214">
        <f t="shared" si="154"/>
        <v>0</v>
      </c>
      <c r="N214">
        <f t="shared" si="155"/>
        <v>0</v>
      </c>
      <c r="O214">
        <f t="shared" si="156"/>
        <v>0</v>
      </c>
      <c r="P214">
        <f t="shared" si="157"/>
        <v>0</v>
      </c>
      <c r="Q214">
        <f t="shared" si="158"/>
        <v>0</v>
      </c>
      <c r="R214">
        <f t="shared" si="159"/>
        <v>0</v>
      </c>
      <c r="S214">
        <f t="shared" si="160"/>
        <v>0</v>
      </c>
      <c r="T214">
        <f t="shared" si="161"/>
        <v>0</v>
      </c>
      <c r="U214">
        <f t="shared" si="162"/>
        <v>0</v>
      </c>
      <c r="V214">
        <f t="shared" si="163"/>
        <v>0</v>
      </c>
      <c r="W214">
        <f t="shared" si="164"/>
        <v>0</v>
      </c>
      <c r="X214">
        <f t="shared" si="165"/>
        <v>0</v>
      </c>
      <c r="Y214">
        <f t="shared" si="166"/>
        <v>0</v>
      </c>
      <c r="Z214">
        <f t="shared" si="167"/>
        <v>0</v>
      </c>
      <c r="AA214">
        <f t="shared" si="168"/>
        <v>0</v>
      </c>
      <c r="AB214">
        <f t="shared" si="169"/>
        <v>0</v>
      </c>
      <c r="AC214">
        <f t="shared" si="170"/>
        <v>0</v>
      </c>
      <c r="AD214">
        <f t="shared" si="171"/>
        <v>0</v>
      </c>
      <c r="AE214">
        <f t="shared" si="172"/>
        <v>0</v>
      </c>
      <c r="AF214">
        <f t="shared" si="173"/>
        <v>0</v>
      </c>
      <c r="AG214">
        <f t="shared" si="174"/>
        <v>0</v>
      </c>
      <c r="AH214">
        <f t="shared" si="175"/>
        <v>0</v>
      </c>
      <c r="AI214">
        <f t="shared" si="176"/>
        <v>0</v>
      </c>
      <c r="AJ214">
        <f t="shared" si="177"/>
        <v>0</v>
      </c>
      <c r="AK214">
        <f t="shared" si="178"/>
        <v>0</v>
      </c>
      <c r="AL214">
        <f t="shared" si="179"/>
        <v>0</v>
      </c>
      <c r="AM214">
        <f t="shared" si="180"/>
        <v>0</v>
      </c>
      <c r="AN214">
        <f t="shared" si="181"/>
        <v>0</v>
      </c>
      <c r="AO214">
        <f t="shared" si="182"/>
        <v>0</v>
      </c>
      <c r="AP214">
        <f t="shared" si="183"/>
        <v>0</v>
      </c>
      <c r="AQ214">
        <f t="shared" si="184"/>
        <v>0</v>
      </c>
      <c r="AR214">
        <f t="shared" si="185"/>
        <v>0</v>
      </c>
      <c r="AS214">
        <f t="shared" si="186"/>
        <v>0</v>
      </c>
      <c r="AT214">
        <f t="shared" si="187"/>
        <v>0</v>
      </c>
      <c r="AU214">
        <f t="shared" si="188"/>
        <v>0</v>
      </c>
      <c r="AV214">
        <f t="shared" si="189"/>
        <v>0</v>
      </c>
      <c r="AW214">
        <f t="shared" si="144"/>
        <v>0</v>
      </c>
      <c r="AX214">
        <f t="shared" si="190"/>
        <v>0</v>
      </c>
      <c r="AY214">
        <f t="shared" si="191"/>
        <v>0</v>
      </c>
    </row>
    <row r="215" spans="1:51" x14ac:dyDescent="0.35">
      <c r="A215">
        <v>209</v>
      </c>
      <c r="C215">
        <f>MAX(0,Calc!$C$7-SUM(D215:R215))</f>
        <v>750</v>
      </c>
      <c r="D215">
        <f t="shared" si="145"/>
        <v>0</v>
      </c>
      <c r="E215">
        <f t="shared" si="146"/>
        <v>0</v>
      </c>
      <c r="F215">
        <f t="shared" si="147"/>
        <v>0</v>
      </c>
      <c r="G215">
        <f t="shared" si="148"/>
        <v>0</v>
      </c>
      <c r="H215">
        <f t="shared" si="149"/>
        <v>0</v>
      </c>
      <c r="I215">
        <f t="shared" si="150"/>
        <v>0</v>
      </c>
      <c r="J215">
        <f t="shared" si="151"/>
        <v>0</v>
      </c>
      <c r="K215">
        <f t="shared" si="152"/>
        <v>0</v>
      </c>
      <c r="L215">
        <f t="shared" si="153"/>
        <v>0</v>
      </c>
      <c r="M215">
        <f t="shared" si="154"/>
        <v>0</v>
      </c>
      <c r="N215">
        <f t="shared" si="155"/>
        <v>0</v>
      </c>
      <c r="O215">
        <f t="shared" si="156"/>
        <v>0</v>
      </c>
      <c r="P215">
        <f t="shared" si="157"/>
        <v>0</v>
      </c>
      <c r="Q215">
        <f t="shared" si="158"/>
        <v>0</v>
      </c>
      <c r="R215">
        <f t="shared" si="159"/>
        <v>0</v>
      </c>
      <c r="S215">
        <f t="shared" si="160"/>
        <v>0</v>
      </c>
      <c r="T215">
        <f t="shared" si="161"/>
        <v>0</v>
      </c>
      <c r="U215">
        <f t="shared" si="162"/>
        <v>0</v>
      </c>
      <c r="V215">
        <f t="shared" si="163"/>
        <v>0</v>
      </c>
      <c r="W215">
        <f t="shared" si="164"/>
        <v>0</v>
      </c>
      <c r="X215">
        <f t="shared" si="165"/>
        <v>0</v>
      </c>
      <c r="Y215">
        <f t="shared" si="166"/>
        <v>0</v>
      </c>
      <c r="Z215">
        <f t="shared" si="167"/>
        <v>0</v>
      </c>
      <c r="AA215">
        <f t="shared" si="168"/>
        <v>0</v>
      </c>
      <c r="AB215">
        <f t="shared" si="169"/>
        <v>0</v>
      </c>
      <c r="AC215">
        <f t="shared" si="170"/>
        <v>0</v>
      </c>
      <c r="AD215">
        <f t="shared" si="171"/>
        <v>0</v>
      </c>
      <c r="AE215">
        <f t="shared" si="172"/>
        <v>0</v>
      </c>
      <c r="AF215">
        <f t="shared" si="173"/>
        <v>0</v>
      </c>
      <c r="AG215">
        <f t="shared" si="174"/>
        <v>0</v>
      </c>
      <c r="AH215">
        <f t="shared" si="175"/>
        <v>0</v>
      </c>
      <c r="AI215">
        <f t="shared" si="176"/>
        <v>0</v>
      </c>
      <c r="AJ215">
        <f t="shared" si="177"/>
        <v>0</v>
      </c>
      <c r="AK215">
        <f t="shared" si="178"/>
        <v>0</v>
      </c>
      <c r="AL215">
        <f t="shared" si="179"/>
        <v>0</v>
      </c>
      <c r="AM215">
        <f t="shared" si="180"/>
        <v>0</v>
      </c>
      <c r="AN215">
        <f t="shared" si="181"/>
        <v>0</v>
      </c>
      <c r="AO215">
        <f t="shared" si="182"/>
        <v>0</v>
      </c>
      <c r="AP215">
        <f t="shared" si="183"/>
        <v>0</v>
      </c>
      <c r="AQ215">
        <f t="shared" si="184"/>
        <v>0</v>
      </c>
      <c r="AR215">
        <f t="shared" si="185"/>
        <v>0</v>
      </c>
      <c r="AS215">
        <f t="shared" si="186"/>
        <v>0</v>
      </c>
      <c r="AT215">
        <f t="shared" si="187"/>
        <v>0</v>
      </c>
      <c r="AU215">
        <f t="shared" si="188"/>
        <v>0</v>
      </c>
      <c r="AV215">
        <f t="shared" si="189"/>
        <v>0</v>
      </c>
      <c r="AW215">
        <f t="shared" si="144"/>
        <v>0</v>
      </c>
      <c r="AX215">
        <f t="shared" si="190"/>
        <v>0</v>
      </c>
      <c r="AY215">
        <f t="shared" si="191"/>
        <v>0</v>
      </c>
    </row>
    <row r="216" spans="1:51" x14ac:dyDescent="0.35">
      <c r="A216">
        <v>210</v>
      </c>
      <c r="C216">
        <f>MAX(0,Calc!$C$7-SUM(D216:R216))</f>
        <v>750</v>
      </c>
      <c r="D216">
        <f t="shared" si="145"/>
        <v>0</v>
      </c>
      <c r="E216">
        <f t="shared" si="146"/>
        <v>0</v>
      </c>
      <c r="F216">
        <f t="shared" si="147"/>
        <v>0</v>
      </c>
      <c r="G216">
        <f t="shared" si="148"/>
        <v>0</v>
      </c>
      <c r="H216">
        <f t="shared" si="149"/>
        <v>0</v>
      </c>
      <c r="I216">
        <f t="shared" si="150"/>
        <v>0</v>
      </c>
      <c r="J216">
        <f t="shared" si="151"/>
        <v>0</v>
      </c>
      <c r="K216">
        <f t="shared" si="152"/>
        <v>0</v>
      </c>
      <c r="L216">
        <f t="shared" si="153"/>
        <v>0</v>
      </c>
      <c r="M216">
        <f t="shared" si="154"/>
        <v>0</v>
      </c>
      <c r="N216">
        <f t="shared" si="155"/>
        <v>0</v>
      </c>
      <c r="O216">
        <f t="shared" si="156"/>
        <v>0</v>
      </c>
      <c r="P216">
        <f t="shared" si="157"/>
        <v>0</v>
      </c>
      <c r="Q216">
        <f t="shared" si="158"/>
        <v>0</v>
      </c>
      <c r="R216">
        <f t="shared" si="159"/>
        <v>0</v>
      </c>
      <c r="S216">
        <f t="shared" si="160"/>
        <v>0</v>
      </c>
      <c r="T216">
        <f t="shared" si="161"/>
        <v>0</v>
      </c>
      <c r="U216">
        <f t="shared" si="162"/>
        <v>0</v>
      </c>
      <c r="V216">
        <f t="shared" si="163"/>
        <v>0</v>
      </c>
      <c r="W216">
        <f t="shared" si="164"/>
        <v>0</v>
      </c>
      <c r="X216">
        <f t="shared" si="165"/>
        <v>0</v>
      </c>
      <c r="Y216">
        <f t="shared" si="166"/>
        <v>0</v>
      </c>
      <c r="Z216">
        <f t="shared" si="167"/>
        <v>0</v>
      </c>
      <c r="AA216">
        <f t="shared" si="168"/>
        <v>0</v>
      </c>
      <c r="AB216">
        <f t="shared" si="169"/>
        <v>0</v>
      </c>
      <c r="AC216">
        <f t="shared" si="170"/>
        <v>0</v>
      </c>
      <c r="AD216">
        <f t="shared" si="171"/>
        <v>0</v>
      </c>
      <c r="AE216">
        <f t="shared" si="172"/>
        <v>0</v>
      </c>
      <c r="AF216">
        <f t="shared" si="173"/>
        <v>0</v>
      </c>
      <c r="AG216">
        <f t="shared" si="174"/>
        <v>0</v>
      </c>
      <c r="AH216">
        <f t="shared" si="175"/>
        <v>0</v>
      </c>
      <c r="AI216">
        <f t="shared" si="176"/>
        <v>0</v>
      </c>
      <c r="AJ216">
        <f t="shared" si="177"/>
        <v>0</v>
      </c>
      <c r="AK216">
        <f t="shared" si="178"/>
        <v>0</v>
      </c>
      <c r="AL216">
        <f t="shared" si="179"/>
        <v>0</v>
      </c>
      <c r="AM216">
        <f t="shared" si="180"/>
        <v>0</v>
      </c>
      <c r="AN216">
        <f t="shared" si="181"/>
        <v>0</v>
      </c>
      <c r="AO216">
        <f t="shared" si="182"/>
        <v>0</v>
      </c>
      <c r="AP216">
        <f t="shared" si="183"/>
        <v>0</v>
      </c>
      <c r="AQ216">
        <f t="shared" si="184"/>
        <v>0</v>
      </c>
      <c r="AR216">
        <f t="shared" si="185"/>
        <v>0</v>
      </c>
      <c r="AS216">
        <f t="shared" si="186"/>
        <v>0</v>
      </c>
      <c r="AT216">
        <f t="shared" si="187"/>
        <v>0</v>
      </c>
      <c r="AU216">
        <f t="shared" si="188"/>
        <v>0</v>
      </c>
      <c r="AV216">
        <f t="shared" si="189"/>
        <v>0</v>
      </c>
      <c r="AW216">
        <f t="shared" si="144"/>
        <v>0</v>
      </c>
      <c r="AX216">
        <f t="shared" si="190"/>
        <v>0</v>
      </c>
      <c r="AY216">
        <f t="shared" si="191"/>
        <v>0</v>
      </c>
    </row>
    <row r="217" spans="1:51" x14ac:dyDescent="0.35">
      <c r="A217">
        <v>211</v>
      </c>
      <c r="C217">
        <f>MAX(0,Calc!$C$7-SUM(D217:R217))</f>
        <v>750</v>
      </c>
      <c r="D217">
        <f t="shared" si="145"/>
        <v>0</v>
      </c>
      <c r="E217">
        <f t="shared" si="146"/>
        <v>0</v>
      </c>
      <c r="F217">
        <f t="shared" si="147"/>
        <v>0</v>
      </c>
      <c r="G217">
        <f t="shared" si="148"/>
        <v>0</v>
      </c>
      <c r="H217">
        <f t="shared" si="149"/>
        <v>0</v>
      </c>
      <c r="I217">
        <f t="shared" si="150"/>
        <v>0</v>
      </c>
      <c r="J217">
        <f t="shared" si="151"/>
        <v>0</v>
      </c>
      <c r="K217">
        <f t="shared" si="152"/>
        <v>0</v>
      </c>
      <c r="L217">
        <f t="shared" si="153"/>
        <v>0</v>
      </c>
      <c r="M217">
        <f t="shared" si="154"/>
        <v>0</v>
      </c>
      <c r="N217">
        <f t="shared" si="155"/>
        <v>0</v>
      </c>
      <c r="O217">
        <f t="shared" si="156"/>
        <v>0</v>
      </c>
      <c r="P217">
        <f t="shared" si="157"/>
        <v>0</v>
      </c>
      <c r="Q217">
        <f t="shared" si="158"/>
        <v>0</v>
      </c>
      <c r="R217">
        <f t="shared" si="159"/>
        <v>0</v>
      </c>
      <c r="S217">
        <f t="shared" si="160"/>
        <v>0</v>
      </c>
      <c r="T217">
        <f t="shared" si="161"/>
        <v>0</v>
      </c>
      <c r="U217">
        <f t="shared" si="162"/>
        <v>0</v>
      </c>
      <c r="V217">
        <f t="shared" si="163"/>
        <v>0</v>
      </c>
      <c r="W217">
        <f t="shared" si="164"/>
        <v>0</v>
      </c>
      <c r="X217">
        <f t="shared" si="165"/>
        <v>0</v>
      </c>
      <c r="Y217">
        <f t="shared" si="166"/>
        <v>0</v>
      </c>
      <c r="Z217">
        <f t="shared" si="167"/>
        <v>0</v>
      </c>
      <c r="AA217">
        <f t="shared" si="168"/>
        <v>0</v>
      </c>
      <c r="AB217">
        <f t="shared" si="169"/>
        <v>0</v>
      </c>
      <c r="AC217">
        <f t="shared" si="170"/>
        <v>0</v>
      </c>
      <c r="AD217">
        <f t="shared" si="171"/>
        <v>0</v>
      </c>
      <c r="AE217">
        <f t="shared" si="172"/>
        <v>0</v>
      </c>
      <c r="AF217">
        <f t="shared" si="173"/>
        <v>0</v>
      </c>
      <c r="AG217">
        <f t="shared" si="174"/>
        <v>0</v>
      </c>
      <c r="AH217">
        <f t="shared" si="175"/>
        <v>0</v>
      </c>
      <c r="AI217">
        <f t="shared" si="176"/>
        <v>0</v>
      </c>
      <c r="AJ217">
        <f t="shared" si="177"/>
        <v>0</v>
      </c>
      <c r="AK217">
        <f t="shared" si="178"/>
        <v>0</v>
      </c>
      <c r="AL217">
        <f t="shared" si="179"/>
        <v>0</v>
      </c>
      <c r="AM217">
        <f t="shared" si="180"/>
        <v>0</v>
      </c>
      <c r="AN217">
        <f t="shared" si="181"/>
        <v>0</v>
      </c>
      <c r="AO217">
        <f t="shared" si="182"/>
        <v>0</v>
      </c>
      <c r="AP217">
        <f t="shared" si="183"/>
        <v>0</v>
      </c>
      <c r="AQ217">
        <f t="shared" si="184"/>
        <v>0</v>
      </c>
      <c r="AR217">
        <f t="shared" si="185"/>
        <v>0</v>
      </c>
      <c r="AS217">
        <f t="shared" si="186"/>
        <v>0</v>
      </c>
      <c r="AT217">
        <f t="shared" si="187"/>
        <v>0</v>
      </c>
      <c r="AU217">
        <f t="shared" si="188"/>
        <v>0</v>
      </c>
      <c r="AV217">
        <f t="shared" si="189"/>
        <v>0</v>
      </c>
      <c r="AW217">
        <f t="shared" si="144"/>
        <v>0</v>
      </c>
      <c r="AX217">
        <f t="shared" si="190"/>
        <v>0</v>
      </c>
      <c r="AY217">
        <f t="shared" si="191"/>
        <v>0</v>
      </c>
    </row>
    <row r="218" spans="1:51" x14ac:dyDescent="0.35">
      <c r="A218">
        <v>212</v>
      </c>
      <c r="C218">
        <f>MAX(0,Calc!$C$7-SUM(D218:R218))</f>
        <v>750</v>
      </c>
      <c r="D218">
        <f t="shared" si="145"/>
        <v>0</v>
      </c>
      <c r="E218">
        <f t="shared" si="146"/>
        <v>0</v>
      </c>
      <c r="F218">
        <f t="shared" si="147"/>
        <v>0</v>
      </c>
      <c r="G218">
        <f t="shared" si="148"/>
        <v>0</v>
      </c>
      <c r="H218">
        <f t="shared" si="149"/>
        <v>0</v>
      </c>
      <c r="I218">
        <f t="shared" si="150"/>
        <v>0</v>
      </c>
      <c r="J218">
        <f t="shared" si="151"/>
        <v>0</v>
      </c>
      <c r="K218">
        <f t="shared" si="152"/>
        <v>0</v>
      </c>
      <c r="L218">
        <f t="shared" si="153"/>
        <v>0</v>
      </c>
      <c r="M218">
        <f t="shared" si="154"/>
        <v>0</v>
      </c>
      <c r="N218">
        <f t="shared" si="155"/>
        <v>0</v>
      </c>
      <c r="O218">
        <f t="shared" si="156"/>
        <v>0</v>
      </c>
      <c r="P218">
        <f t="shared" si="157"/>
        <v>0</v>
      </c>
      <c r="Q218">
        <f t="shared" si="158"/>
        <v>0</v>
      </c>
      <c r="R218">
        <f t="shared" si="159"/>
        <v>0</v>
      </c>
      <c r="S218">
        <f t="shared" si="160"/>
        <v>0</v>
      </c>
      <c r="T218">
        <f t="shared" si="161"/>
        <v>0</v>
      </c>
      <c r="U218">
        <f t="shared" si="162"/>
        <v>0</v>
      </c>
      <c r="V218">
        <f t="shared" si="163"/>
        <v>0</v>
      </c>
      <c r="W218">
        <f t="shared" si="164"/>
        <v>0</v>
      </c>
      <c r="X218">
        <f t="shared" si="165"/>
        <v>0</v>
      </c>
      <c r="Y218">
        <f t="shared" si="166"/>
        <v>0</v>
      </c>
      <c r="Z218">
        <f t="shared" si="167"/>
        <v>0</v>
      </c>
      <c r="AA218">
        <f t="shared" si="168"/>
        <v>0</v>
      </c>
      <c r="AB218">
        <f t="shared" si="169"/>
        <v>0</v>
      </c>
      <c r="AC218">
        <f t="shared" si="170"/>
        <v>0</v>
      </c>
      <c r="AD218">
        <f t="shared" si="171"/>
        <v>0</v>
      </c>
      <c r="AE218">
        <f t="shared" si="172"/>
        <v>0</v>
      </c>
      <c r="AF218">
        <f t="shared" si="173"/>
        <v>0</v>
      </c>
      <c r="AG218">
        <f t="shared" si="174"/>
        <v>0</v>
      </c>
      <c r="AH218">
        <f t="shared" si="175"/>
        <v>0</v>
      </c>
      <c r="AI218">
        <f t="shared" si="176"/>
        <v>0</v>
      </c>
      <c r="AJ218">
        <f t="shared" si="177"/>
        <v>0</v>
      </c>
      <c r="AK218">
        <f t="shared" si="178"/>
        <v>0</v>
      </c>
      <c r="AL218">
        <f t="shared" si="179"/>
        <v>0</v>
      </c>
      <c r="AM218">
        <f t="shared" si="180"/>
        <v>0</v>
      </c>
      <c r="AN218">
        <f t="shared" si="181"/>
        <v>0</v>
      </c>
      <c r="AO218">
        <f t="shared" si="182"/>
        <v>0</v>
      </c>
      <c r="AP218">
        <f t="shared" si="183"/>
        <v>0</v>
      </c>
      <c r="AQ218">
        <f t="shared" si="184"/>
        <v>0</v>
      </c>
      <c r="AR218">
        <f t="shared" si="185"/>
        <v>0</v>
      </c>
      <c r="AS218">
        <f t="shared" si="186"/>
        <v>0</v>
      </c>
      <c r="AT218">
        <f t="shared" si="187"/>
        <v>0</v>
      </c>
      <c r="AU218">
        <f t="shared" si="188"/>
        <v>0</v>
      </c>
      <c r="AV218">
        <f t="shared" si="189"/>
        <v>0</v>
      </c>
      <c r="AW218">
        <f t="shared" si="144"/>
        <v>0</v>
      </c>
      <c r="AX218">
        <f t="shared" si="190"/>
        <v>0</v>
      </c>
      <c r="AY218">
        <f t="shared" si="191"/>
        <v>0</v>
      </c>
    </row>
    <row r="219" spans="1:51" x14ac:dyDescent="0.35">
      <c r="A219">
        <v>213</v>
      </c>
      <c r="C219">
        <f>MAX(0,Calc!$C$7-SUM(D219:R219))</f>
        <v>750</v>
      </c>
      <c r="D219">
        <f t="shared" si="145"/>
        <v>0</v>
      </c>
      <c r="E219">
        <f t="shared" si="146"/>
        <v>0</v>
      </c>
      <c r="F219">
        <f t="shared" si="147"/>
        <v>0</v>
      </c>
      <c r="G219">
        <f t="shared" si="148"/>
        <v>0</v>
      </c>
      <c r="H219">
        <f t="shared" si="149"/>
        <v>0</v>
      </c>
      <c r="I219">
        <f t="shared" si="150"/>
        <v>0</v>
      </c>
      <c r="J219">
        <f t="shared" si="151"/>
        <v>0</v>
      </c>
      <c r="K219">
        <f t="shared" si="152"/>
        <v>0</v>
      </c>
      <c r="L219">
        <f t="shared" si="153"/>
        <v>0</v>
      </c>
      <c r="M219">
        <f t="shared" si="154"/>
        <v>0</v>
      </c>
      <c r="N219">
        <f t="shared" si="155"/>
        <v>0</v>
      </c>
      <c r="O219">
        <f t="shared" si="156"/>
        <v>0</v>
      </c>
      <c r="P219">
        <f t="shared" si="157"/>
        <v>0</v>
      </c>
      <c r="Q219">
        <f t="shared" si="158"/>
        <v>0</v>
      </c>
      <c r="R219">
        <f t="shared" si="159"/>
        <v>0</v>
      </c>
      <c r="S219">
        <f t="shared" si="160"/>
        <v>0</v>
      </c>
      <c r="T219">
        <f t="shared" si="161"/>
        <v>0</v>
      </c>
      <c r="U219">
        <f t="shared" si="162"/>
        <v>0</v>
      </c>
      <c r="V219">
        <f t="shared" si="163"/>
        <v>0</v>
      </c>
      <c r="W219">
        <f t="shared" si="164"/>
        <v>0</v>
      </c>
      <c r="X219">
        <f t="shared" si="165"/>
        <v>0</v>
      </c>
      <c r="Y219">
        <f t="shared" si="166"/>
        <v>0</v>
      </c>
      <c r="Z219">
        <f t="shared" si="167"/>
        <v>0</v>
      </c>
      <c r="AA219">
        <f t="shared" si="168"/>
        <v>0</v>
      </c>
      <c r="AB219">
        <f t="shared" si="169"/>
        <v>0</v>
      </c>
      <c r="AC219">
        <f t="shared" si="170"/>
        <v>0</v>
      </c>
      <c r="AD219">
        <f t="shared" si="171"/>
        <v>0</v>
      </c>
      <c r="AE219">
        <f t="shared" si="172"/>
        <v>0</v>
      </c>
      <c r="AF219">
        <f t="shared" si="173"/>
        <v>0</v>
      </c>
      <c r="AG219">
        <f t="shared" si="174"/>
        <v>0</v>
      </c>
      <c r="AH219">
        <f t="shared" si="175"/>
        <v>0</v>
      </c>
      <c r="AI219">
        <f t="shared" si="176"/>
        <v>0</v>
      </c>
      <c r="AJ219">
        <f t="shared" si="177"/>
        <v>0</v>
      </c>
      <c r="AK219">
        <f t="shared" si="178"/>
        <v>0</v>
      </c>
      <c r="AL219">
        <f t="shared" si="179"/>
        <v>0</v>
      </c>
      <c r="AM219">
        <f t="shared" si="180"/>
        <v>0</v>
      </c>
      <c r="AN219">
        <f t="shared" si="181"/>
        <v>0</v>
      </c>
      <c r="AO219">
        <f t="shared" si="182"/>
        <v>0</v>
      </c>
      <c r="AP219">
        <f t="shared" si="183"/>
        <v>0</v>
      </c>
      <c r="AQ219">
        <f t="shared" si="184"/>
        <v>0</v>
      </c>
      <c r="AR219">
        <f t="shared" si="185"/>
        <v>0</v>
      </c>
      <c r="AS219">
        <f t="shared" si="186"/>
        <v>0</v>
      </c>
      <c r="AT219">
        <f t="shared" si="187"/>
        <v>0</v>
      </c>
      <c r="AU219">
        <f t="shared" si="188"/>
        <v>0</v>
      </c>
      <c r="AV219">
        <f t="shared" si="189"/>
        <v>0</v>
      </c>
      <c r="AW219">
        <f t="shared" si="144"/>
        <v>0</v>
      </c>
      <c r="AX219">
        <f t="shared" si="190"/>
        <v>0</v>
      </c>
      <c r="AY219">
        <f t="shared" si="191"/>
        <v>0</v>
      </c>
    </row>
    <row r="220" spans="1:51" x14ac:dyDescent="0.35">
      <c r="A220">
        <v>214</v>
      </c>
      <c r="C220">
        <f>MAX(0,Calc!$C$7-SUM(D220:R220))</f>
        <v>750</v>
      </c>
      <c r="D220">
        <f t="shared" si="145"/>
        <v>0</v>
      </c>
      <c r="E220">
        <f t="shared" si="146"/>
        <v>0</v>
      </c>
      <c r="F220">
        <f t="shared" si="147"/>
        <v>0</v>
      </c>
      <c r="G220">
        <f t="shared" si="148"/>
        <v>0</v>
      </c>
      <c r="H220">
        <f t="shared" si="149"/>
        <v>0</v>
      </c>
      <c r="I220">
        <f t="shared" si="150"/>
        <v>0</v>
      </c>
      <c r="J220">
        <f t="shared" si="151"/>
        <v>0</v>
      </c>
      <c r="K220">
        <f t="shared" si="152"/>
        <v>0</v>
      </c>
      <c r="L220">
        <f t="shared" si="153"/>
        <v>0</v>
      </c>
      <c r="M220">
        <f t="shared" si="154"/>
        <v>0</v>
      </c>
      <c r="N220">
        <f t="shared" si="155"/>
        <v>0</v>
      </c>
      <c r="O220">
        <f t="shared" si="156"/>
        <v>0</v>
      </c>
      <c r="P220">
        <f t="shared" si="157"/>
        <v>0</v>
      </c>
      <c r="Q220">
        <f t="shared" si="158"/>
        <v>0</v>
      </c>
      <c r="R220">
        <f t="shared" si="159"/>
        <v>0</v>
      </c>
      <c r="S220">
        <f t="shared" si="160"/>
        <v>0</v>
      </c>
      <c r="T220">
        <f t="shared" si="161"/>
        <v>0</v>
      </c>
      <c r="U220">
        <f t="shared" si="162"/>
        <v>0</v>
      </c>
      <c r="V220">
        <f t="shared" si="163"/>
        <v>0</v>
      </c>
      <c r="W220">
        <f t="shared" si="164"/>
        <v>0</v>
      </c>
      <c r="X220">
        <f t="shared" si="165"/>
        <v>0</v>
      </c>
      <c r="Y220">
        <f t="shared" si="166"/>
        <v>0</v>
      </c>
      <c r="Z220">
        <f t="shared" si="167"/>
        <v>0</v>
      </c>
      <c r="AA220">
        <f t="shared" si="168"/>
        <v>0</v>
      </c>
      <c r="AB220">
        <f t="shared" si="169"/>
        <v>0</v>
      </c>
      <c r="AC220">
        <f t="shared" si="170"/>
        <v>0</v>
      </c>
      <c r="AD220">
        <f t="shared" si="171"/>
        <v>0</v>
      </c>
      <c r="AE220">
        <f t="shared" si="172"/>
        <v>0</v>
      </c>
      <c r="AF220">
        <f t="shared" si="173"/>
        <v>0</v>
      </c>
      <c r="AG220">
        <f t="shared" si="174"/>
        <v>0</v>
      </c>
      <c r="AH220">
        <f t="shared" si="175"/>
        <v>0</v>
      </c>
      <c r="AI220">
        <f t="shared" si="176"/>
        <v>0</v>
      </c>
      <c r="AJ220">
        <f t="shared" si="177"/>
        <v>0</v>
      </c>
      <c r="AK220">
        <f t="shared" si="178"/>
        <v>0</v>
      </c>
      <c r="AL220">
        <f t="shared" si="179"/>
        <v>0</v>
      </c>
      <c r="AM220">
        <f t="shared" si="180"/>
        <v>0</v>
      </c>
      <c r="AN220">
        <f t="shared" si="181"/>
        <v>0</v>
      </c>
      <c r="AO220">
        <f t="shared" si="182"/>
        <v>0</v>
      </c>
      <c r="AP220">
        <f t="shared" si="183"/>
        <v>0</v>
      </c>
      <c r="AQ220">
        <f t="shared" si="184"/>
        <v>0</v>
      </c>
      <c r="AR220">
        <f t="shared" si="185"/>
        <v>0</v>
      </c>
      <c r="AS220">
        <f t="shared" si="186"/>
        <v>0</v>
      </c>
      <c r="AT220">
        <f t="shared" si="187"/>
        <v>0</v>
      </c>
      <c r="AU220">
        <f t="shared" si="188"/>
        <v>0</v>
      </c>
      <c r="AV220">
        <f t="shared" si="189"/>
        <v>0</v>
      </c>
      <c r="AW220">
        <f t="shared" si="144"/>
        <v>0</v>
      </c>
      <c r="AX220">
        <f t="shared" si="190"/>
        <v>0</v>
      </c>
      <c r="AY220">
        <f t="shared" si="191"/>
        <v>0</v>
      </c>
    </row>
    <row r="221" spans="1:51" x14ac:dyDescent="0.35">
      <c r="A221">
        <v>215</v>
      </c>
      <c r="C221">
        <f>MAX(0,Calc!$C$7-SUM(D221:R221))</f>
        <v>750</v>
      </c>
      <c r="D221">
        <f t="shared" si="145"/>
        <v>0</v>
      </c>
      <c r="E221">
        <f t="shared" si="146"/>
        <v>0</v>
      </c>
      <c r="F221">
        <f t="shared" si="147"/>
        <v>0</v>
      </c>
      <c r="G221">
        <f t="shared" si="148"/>
        <v>0</v>
      </c>
      <c r="H221">
        <f t="shared" si="149"/>
        <v>0</v>
      </c>
      <c r="I221">
        <f t="shared" si="150"/>
        <v>0</v>
      </c>
      <c r="J221">
        <f t="shared" si="151"/>
        <v>0</v>
      </c>
      <c r="K221">
        <f t="shared" si="152"/>
        <v>0</v>
      </c>
      <c r="L221">
        <f t="shared" si="153"/>
        <v>0</v>
      </c>
      <c r="M221">
        <f t="shared" si="154"/>
        <v>0</v>
      </c>
      <c r="N221">
        <f t="shared" si="155"/>
        <v>0</v>
      </c>
      <c r="O221">
        <f t="shared" si="156"/>
        <v>0</v>
      </c>
      <c r="P221">
        <f t="shared" si="157"/>
        <v>0</v>
      </c>
      <c r="Q221">
        <f t="shared" si="158"/>
        <v>0</v>
      </c>
      <c r="R221">
        <f t="shared" si="159"/>
        <v>0</v>
      </c>
      <c r="S221">
        <f t="shared" si="160"/>
        <v>0</v>
      </c>
      <c r="T221">
        <f t="shared" si="161"/>
        <v>0</v>
      </c>
      <c r="U221">
        <f t="shared" si="162"/>
        <v>0</v>
      </c>
      <c r="V221">
        <f t="shared" si="163"/>
        <v>0</v>
      </c>
      <c r="W221">
        <f t="shared" si="164"/>
        <v>0</v>
      </c>
      <c r="X221">
        <f t="shared" si="165"/>
        <v>0</v>
      </c>
      <c r="Y221">
        <f t="shared" si="166"/>
        <v>0</v>
      </c>
      <c r="Z221">
        <f t="shared" si="167"/>
        <v>0</v>
      </c>
      <c r="AA221">
        <f t="shared" si="168"/>
        <v>0</v>
      </c>
      <c r="AB221">
        <f t="shared" si="169"/>
        <v>0</v>
      </c>
      <c r="AC221">
        <f t="shared" si="170"/>
        <v>0</v>
      </c>
      <c r="AD221">
        <f t="shared" si="171"/>
        <v>0</v>
      </c>
      <c r="AE221">
        <f t="shared" si="172"/>
        <v>0</v>
      </c>
      <c r="AF221">
        <f t="shared" si="173"/>
        <v>0</v>
      </c>
      <c r="AG221">
        <f t="shared" si="174"/>
        <v>0</v>
      </c>
      <c r="AH221">
        <f t="shared" si="175"/>
        <v>0</v>
      </c>
      <c r="AI221">
        <f t="shared" si="176"/>
        <v>0</v>
      </c>
      <c r="AJ221">
        <f t="shared" si="177"/>
        <v>0</v>
      </c>
      <c r="AK221">
        <f t="shared" si="178"/>
        <v>0</v>
      </c>
      <c r="AL221">
        <f t="shared" si="179"/>
        <v>0</v>
      </c>
      <c r="AM221">
        <f t="shared" si="180"/>
        <v>0</v>
      </c>
      <c r="AN221">
        <f t="shared" si="181"/>
        <v>0</v>
      </c>
      <c r="AO221">
        <f t="shared" si="182"/>
        <v>0</v>
      </c>
      <c r="AP221">
        <f t="shared" si="183"/>
        <v>0</v>
      </c>
      <c r="AQ221">
        <f t="shared" si="184"/>
        <v>0</v>
      </c>
      <c r="AR221">
        <f t="shared" si="185"/>
        <v>0</v>
      </c>
      <c r="AS221">
        <f t="shared" si="186"/>
        <v>0</v>
      </c>
      <c r="AT221">
        <f t="shared" si="187"/>
        <v>0</v>
      </c>
      <c r="AU221">
        <f t="shared" si="188"/>
        <v>0</v>
      </c>
      <c r="AV221">
        <f t="shared" si="189"/>
        <v>0</v>
      </c>
      <c r="AW221">
        <f t="shared" si="144"/>
        <v>0</v>
      </c>
      <c r="AX221">
        <f t="shared" si="190"/>
        <v>0</v>
      </c>
      <c r="AY221">
        <f t="shared" si="191"/>
        <v>0</v>
      </c>
    </row>
    <row r="222" spans="1:51" x14ac:dyDescent="0.35">
      <c r="A222">
        <v>216</v>
      </c>
      <c r="C222">
        <f>MAX(0,Calc!$C$7-SUM(D222:R222))</f>
        <v>750</v>
      </c>
      <c r="D222">
        <f t="shared" si="145"/>
        <v>0</v>
      </c>
      <c r="E222">
        <f t="shared" si="146"/>
        <v>0</v>
      </c>
      <c r="F222">
        <f t="shared" si="147"/>
        <v>0</v>
      </c>
      <c r="G222">
        <f t="shared" si="148"/>
        <v>0</v>
      </c>
      <c r="H222">
        <f t="shared" si="149"/>
        <v>0</v>
      </c>
      <c r="I222">
        <f t="shared" si="150"/>
        <v>0</v>
      </c>
      <c r="J222">
        <f t="shared" si="151"/>
        <v>0</v>
      </c>
      <c r="K222">
        <f t="shared" si="152"/>
        <v>0</v>
      </c>
      <c r="L222">
        <f t="shared" si="153"/>
        <v>0</v>
      </c>
      <c r="M222">
        <f t="shared" si="154"/>
        <v>0</v>
      </c>
      <c r="N222">
        <f t="shared" si="155"/>
        <v>0</v>
      </c>
      <c r="O222">
        <f t="shared" si="156"/>
        <v>0</v>
      </c>
      <c r="P222">
        <f t="shared" si="157"/>
        <v>0</v>
      </c>
      <c r="Q222">
        <f t="shared" si="158"/>
        <v>0</v>
      </c>
      <c r="R222">
        <f t="shared" si="159"/>
        <v>0</v>
      </c>
      <c r="S222">
        <f t="shared" si="160"/>
        <v>0</v>
      </c>
      <c r="T222">
        <f t="shared" si="161"/>
        <v>0</v>
      </c>
      <c r="U222">
        <f t="shared" si="162"/>
        <v>0</v>
      </c>
      <c r="V222">
        <f t="shared" si="163"/>
        <v>0</v>
      </c>
      <c r="W222">
        <f t="shared" si="164"/>
        <v>0</v>
      </c>
      <c r="X222">
        <f t="shared" si="165"/>
        <v>0</v>
      </c>
      <c r="Y222">
        <f t="shared" si="166"/>
        <v>0</v>
      </c>
      <c r="Z222">
        <f t="shared" si="167"/>
        <v>0</v>
      </c>
      <c r="AA222">
        <f t="shared" si="168"/>
        <v>0</v>
      </c>
      <c r="AB222">
        <f t="shared" si="169"/>
        <v>0</v>
      </c>
      <c r="AC222">
        <f t="shared" si="170"/>
        <v>0</v>
      </c>
      <c r="AD222">
        <f t="shared" si="171"/>
        <v>0</v>
      </c>
      <c r="AE222">
        <f t="shared" si="172"/>
        <v>0</v>
      </c>
      <c r="AF222">
        <f t="shared" si="173"/>
        <v>0</v>
      </c>
      <c r="AG222">
        <f t="shared" si="174"/>
        <v>0</v>
      </c>
      <c r="AH222">
        <f t="shared" si="175"/>
        <v>0</v>
      </c>
      <c r="AI222">
        <f t="shared" si="176"/>
        <v>0</v>
      </c>
      <c r="AJ222">
        <f t="shared" si="177"/>
        <v>0</v>
      </c>
      <c r="AK222">
        <f t="shared" si="178"/>
        <v>0</v>
      </c>
      <c r="AL222">
        <f t="shared" si="179"/>
        <v>0</v>
      </c>
      <c r="AM222">
        <f t="shared" si="180"/>
        <v>0</v>
      </c>
      <c r="AN222">
        <f t="shared" si="181"/>
        <v>0</v>
      </c>
      <c r="AO222">
        <f t="shared" si="182"/>
        <v>0</v>
      </c>
      <c r="AP222">
        <f t="shared" si="183"/>
        <v>0</v>
      </c>
      <c r="AQ222">
        <f t="shared" si="184"/>
        <v>0</v>
      </c>
      <c r="AR222">
        <f t="shared" si="185"/>
        <v>0</v>
      </c>
      <c r="AS222">
        <f t="shared" si="186"/>
        <v>0</v>
      </c>
      <c r="AT222">
        <f t="shared" si="187"/>
        <v>0</v>
      </c>
      <c r="AU222">
        <f t="shared" si="188"/>
        <v>0</v>
      </c>
      <c r="AV222">
        <f t="shared" si="189"/>
        <v>0</v>
      </c>
      <c r="AW222">
        <f t="shared" si="144"/>
        <v>0</v>
      </c>
      <c r="AX222">
        <f t="shared" si="190"/>
        <v>0</v>
      </c>
      <c r="AY222">
        <f t="shared" si="191"/>
        <v>0</v>
      </c>
    </row>
    <row r="223" spans="1:51" x14ac:dyDescent="0.35">
      <c r="A223">
        <v>217</v>
      </c>
      <c r="C223">
        <f>MAX(0,Calc!$C$7-SUM(D223:R223))</f>
        <v>750</v>
      </c>
      <c r="D223">
        <f t="shared" si="145"/>
        <v>0</v>
      </c>
      <c r="E223">
        <f t="shared" si="146"/>
        <v>0</v>
      </c>
      <c r="F223">
        <f t="shared" si="147"/>
        <v>0</v>
      </c>
      <c r="G223">
        <f t="shared" si="148"/>
        <v>0</v>
      </c>
      <c r="H223">
        <f t="shared" si="149"/>
        <v>0</v>
      </c>
      <c r="I223">
        <f t="shared" si="150"/>
        <v>0</v>
      </c>
      <c r="J223">
        <f t="shared" si="151"/>
        <v>0</v>
      </c>
      <c r="K223">
        <f t="shared" si="152"/>
        <v>0</v>
      </c>
      <c r="L223">
        <f t="shared" si="153"/>
        <v>0</v>
      </c>
      <c r="M223">
        <f t="shared" si="154"/>
        <v>0</v>
      </c>
      <c r="N223">
        <f t="shared" si="155"/>
        <v>0</v>
      </c>
      <c r="O223">
        <f t="shared" si="156"/>
        <v>0</v>
      </c>
      <c r="P223">
        <f t="shared" si="157"/>
        <v>0</v>
      </c>
      <c r="Q223">
        <f t="shared" si="158"/>
        <v>0</v>
      </c>
      <c r="R223">
        <f t="shared" si="159"/>
        <v>0</v>
      </c>
      <c r="S223">
        <f t="shared" si="160"/>
        <v>0</v>
      </c>
      <c r="T223">
        <f t="shared" si="161"/>
        <v>0</v>
      </c>
      <c r="U223">
        <f t="shared" si="162"/>
        <v>0</v>
      </c>
      <c r="V223">
        <f t="shared" si="163"/>
        <v>0</v>
      </c>
      <c r="W223">
        <f t="shared" si="164"/>
        <v>0</v>
      </c>
      <c r="X223">
        <f t="shared" si="165"/>
        <v>0</v>
      </c>
      <c r="Y223">
        <f t="shared" si="166"/>
        <v>0</v>
      </c>
      <c r="Z223">
        <f t="shared" si="167"/>
        <v>0</v>
      </c>
      <c r="AA223">
        <f t="shared" si="168"/>
        <v>0</v>
      </c>
      <c r="AB223">
        <f t="shared" si="169"/>
        <v>0</v>
      </c>
      <c r="AC223">
        <f t="shared" si="170"/>
        <v>0</v>
      </c>
      <c r="AD223">
        <f t="shared" si="171"/>
        <v>0</v>
      </c>
      <c r="AE223">
        <f t="shared" si="172"/>
        <v>0</v>
      </c>
      <c r="AF223">
        <f t="shared" si="173"/>
        <v>0</v>
      </c>
      <c r="AG223">
        <f t="shared" si="174"/>
        <v>0</v>
      </c>
      <c r="AH223">
        <f t="shared" si="175"/>
        <v>0</v>
      </c>
      <c r="AI223">
        <f t="shared" si="176"/>
        <v>0</v>
      </c>
      <c r="AJ223">
        <f t="shared" si="177"/>
        <v>0</v>
      </c>
      <c r="AK223">
        <f t="shared" si="178"/>
        <v>0</v>
      </c>
      <c r="AL223">
        <f t="shared" si="179"/>
        <v>0</v>
      </c>
      <c r="AM223">
        <f t="shared" si="180"/>
        <v>0</v>
      </c>
      <c r="AN223">
        <f t="shared" si="181"/>
        <v>0</v>
      </c>
      <c r="AO223">
        <f t="shared" si="182"/>
        <v>0</v>
      </c>
      <c r="AP223">
        <f t="shared" si="183"/>
        <v>0</v>
      </c>
      <c r="AQ223">
        <f t="shared" si="184"/>
        <v>0</v>
      </c>
      <c r="AR223">
        <f t="shared" si="185"/>
        <v>0</v>
      </c>
      <c r="AS223">
        <f t="shared" si="186"/>
        <v>0</v>
      </c>
      <c r="AT223">
        <f t="shared" si="187"/>
        <v>0</v>
      </c>
      <c r="AU223">
        <f t="shared" si="188"/>
        <v>0</v>
      </c>
      <c r="AV223">
        <f t="shared" si="189"/>
        <v>0</v>
      </c>
      <c r="AW223">
        <f t="shared" si="144"/>
        <v>0</v>
      </c>
      <c r="AX223">
        <f t="shared" si="190"/>
        <v>0</v>
      </c>
      <c r="AY223">
        <f t="shared" si="191"/>
        <v>0</v>
      </c>
    </row>
    <row r="224" spans="1:51" x14ac:dyDescent="0.35">
      <c r="A224">
        <v>218</v>
      </c>
      <c r="C224">
        <f>MAX(0,Calc!$C$7-SUM(D224:R224))</f>
        <v>750</v>
      </c>
      <c r="D224">
        <f t="shared" si="145"/>
        <v>0</v>
      </c>
      <c r="E224">
        <f t="shared" si="146"/>
        <v>0</v>
      </c>
      <c r="F224">
        <f t="shared" si="147"/>
        <v>0</v>
      </c>
      <c r="G224">
        <f t="shared" si="148"/>
        <v>0</v>
      </c>
      <c r="H224">
        <f t="shared" si="149"/>
        <v>0</v>
      </c>
      <c r="I224">
        <f t="shared" si="150"/>
        <v>0</v>
      </c>
      <c r="J224">
        <f t="shared" si="151"/>
        <v>0</v>
      </c>
      <c r="K224">
        <f t="shared" si="152"/>
        <v>0</v>
      </c>
      <c r="L224">
        <f t="shared" si="153"/>
        <v>0</v>
      </c>
      <c r="M224">
        <f t="shared" si="154"/>
        <v>0</v>
      </c>
      <c r="N224">
        <f t="shared" si="155"/>
        <v>0</v>
      </c>
      <c r="O224">
        <f t="shared" si="156"/>
        <v>0</v>
      </c>
      <c r="P224">
        <f t="shared" si="157"/>
        <v>0</v>
      </c>
      <c r="Q224">
        <f t="shared" si="158"/>
        <v>0</v>
      </c>
      <c r="R224">
        <f t="shared" si="159"/>
        <v>0</v>
      </c>
      <c r="S224">
        <f t="shared" si="160"/>
        <v>0</v>
      </c>
      <c r="T224">
        <f t="shared" si="161"/>
        <v>0</v>
      </c>
      <c r="U224">
        <f t="shared" si="162"/>
        <v>0</v>
      </c>
      <c r="V224">
        <f t="shared" si="163"/>
        <v>0</v>
      </c>
      <c r="W224">
        <f t="shared" si="164"/>
        <v>0</v>
      </c>
      <c r="X224">
        <f t="shared" si="165"/>
        <v>0</v>
      </c>
      <c r="Y224">
        <f t="shared" si="166"/>
        <v>0</v>
      </c>
      <c r="Z224">
        <f t="shared" si="167"/>
        <v>0</v>
      </c>
      <c r="AA224">
        <f t="shared" si="168"/>
        <v>0</v>
      </c>
      <c r="AB224">
        <f t="shared" si="169"/>
        <v>0</v>
      </c>
      <c r="AC224">
        <f t="shared" si="170"/>
        <v>0</v>
      </c>
      <c r="AD224">
        <f t="shared" si="171"/>
        <v>0</v>
      </c>
      <c r="AE224">
        <f t="shared" si="172"/>
        <v>0</v>
      </c>
      <c r="AF224">
        <f t="shared" si="173"/>
        <v>0</v>
      </c>
      <c r="AG224">
        <f t="shared" si="174"/>
        <v>0</v>
      </c>
      <c r="AH224">
        <f t="shared" si="175"/>
        <v>0</v>
      </c>
      <c r="AI224">
        <f t="shared" si="176"/>
        <v>0</v>
      </c>
      <c r="AJ224">
        <f t="shared" si="177"/>
        <v>0</v>
      </c>
      <c r="AK224">
        <f t="shared" si="178"/>
        <v>0</v>
      </c>
      <c r="AL224">
        <f t="shared" si="179"/>
        <v>0</v>
      </c>
      <c r="AM224">
        <f t="shared" si="180"/>
        <v>0</v>
      </c>
      <c r="AN224">
        <f t="shared" si="181"/>
        <v>0</v>
      </c>
      <c r="AO224">
        <f t="shared" si="182"/>
        <v>0</v>
      </c>
      <c r="AP224">
        <f t="shared" si="183"/>
        <v>0</v>
      </c>
      <c r="AQ224">
        <f t="shared" si="184"/>
        <v>0</v>
      </c>
      <c r="AR224">
        <f t="shared" si="185"/>
        <v>0</v>
      </c>
      <c r="AS224">
        <f t="shared" si="186"/>
        <v>0</v>
      </c>
      <c r="AT224">
        <f t="shared" si="187"/>
        <v>0</v>
      </c>
      <c r="AU224">
        <f t="shared" si="188"/>
        <v>0</v>
      </c>
      <c r="AV224">
        <f t="shared" si="189"/>
        <v>0</v>
      </c>
      <c r="AW224">
        <f t="shared" si="144"/>
        <v>0</v>
      </c>
      <c r="AX224">
        <f t="shared" si="190"/>
        <v>0</v>
      </c>
      <c r="AY224">
        <f t="shared" si="191"/>
        <v>0</v>
      </c>
    </row>
    <row r="225" spans="1:51" x14ac:dyDescent="0.35">
      <c r="A225">
        <v>219</v>
      </c>
      <c r="C225">
        <f>MAX(0,Calc!$C$7-SUM(D225:R225))</f>
        <v>750</v>
      </c>
      <c r="D225">
        <f t="shared" si="145"/>
        <v>0</v>
      </c>
      <c r="E225">
        <f t="shared" si="146"/>
        <v>0</v>
      </c>
      <c r="F225">
        <f t="shared" si="147"/>
        <v>0</v>
      </c>
      <c r="G225">
        <f t="shared" si="148"/>
        <v>0</v>
      </c>
      <c r="H225">
        <f t="shared" si="149"/>
        <v>0</v>
      </c>
      <c r="I225">
        <f t="shared" si="150"/>
        <v>0</v>
      </c>
      <c r="J225">
        <f t="shared" si="151"/>
        <v>0</v>
      </c>
      <c r="K225">
        <f t="shared" si="152"/>
        <v>0</v>
      </c>
      <c r="L225">
        <f t="shared" si="153"/>
        <v>0</v>
      </c>
      <c r="M225">
        <f t="shared" si="154"/>
        <v>0</v>
      </c>
      <c r="N225">
        <f t="shared" si="155"/>
        <v>0</v>
      </c>
      <c r="O225">
        <f t="shared" si="156"/>
        <v>0</v>
      </c>
      <c r="P225">
        <f t="shared" si="157"/>
        <v>0</v>
      </c>
      <c r="Q225">
        <f t="shared" si="158"/>
        <v>0</v>
      </c>
      <c r="R225">
        <f t="shared" si="159"/>
        <v>0</v>
      </c>
      <c r="S225">
        <f t="shared" si="160"/>
        <v>0</v>
      </c>
      <c r="T225">
        <f t="shared" si="161"/>
        <v>0</v>
      </c>
      <c r="U225">
        <f t="shared" si="162"/>
        <v>0</v>
      </c>
      <c r="V225">
        <f t="shared" si="163"/>
        <v>0</v>
      </c>
      <c r="W225">
        <f t="shared" si="164"/>
        <v>0</v>
      </c>
      <c r="X225">
        <f t="shared" si="165"/>
        <v>0</v>
      </c>
      <c r="Y225">
        <f t="shared" si="166"/>
        <v>0</v>
      </c>
      <c r="Z225">
        <f t="shared" si="167"/>
        <v>0</v>
      </c>
      <c r="AA225">
        <f t="shared" si="168"/>
        <v>0</v>
      </c>
      <c r="AB225">
        <f t="shared" si="169"/>
        <v>0</v>
      </c>
      <c r="AC225">
        <f t="shared" si="170"/>
        <v>0</v>
      </c>
      <c r="AD225">
        <f t="shared" si="171"/>
        <v>0</v>
      </c>
      <c r="AE225">
        <f t="shared" si="172"/>
        <v>0</v>
      </c>
      <c r="AF225">
        <f t="shared" si="173"/>
        <v>0</v>
      </c>
      <c r="AG225">
        <f t="shared" si="174"/>
        <v>0</v>
      </c>
      <c r="AH225">
        <f t="shared" si="175"/>
        <v>0</v>
      </c>
      <c r="AI225">
        <f t="shared" si="176"/>
        <v>0</v>
      </c>
      <c r="AJ225">
        <f t="shared" si="177"/>
        <v>0</v>
      </c>
      <c r="AK225">
        <f t="shared" si="178"/>
        <v>0</v>
      </c>
      <c r="AL225">
        <f t="shared" si="179"/>
        <v>0</v>
      </c>
      <c r="AM225">
        <f t="shared" si="180"/>
        <v>0</v>
      </c>
      <c r="AN225">
        <f t="shared" si="181"/>
        <v>0</v>
      </c>
      <c r="AO225">
        <f t="shared" si="182"/>
        <v>0</v>
      </c>
      <c r="AP225">
        <f t="shared" si="183"/>
        <v>0</v>
      </c>
      <c r="AQ225">
        <f t="shared" si="184"/>
        <v>0</v>
      </c>
      <c r="AR225">
        <f t="shared" si="185"/>
        <v>0</v>
      </c>
      <c r="AS225">
        <f t="shared" si="186"/>
        <v>0</v>
      </c>
      <c r="AT225">
        <f t="shared" si="187"/>
        <v>0</v>
      </c>
      <c r="AU225">
        <f t="shared" si="188"/>
        <v>0</v>
      </c>
      <c r="AV225">
        <f t="shared" si="189"/>
        <v>0</v>
      </c>
      <c r="AW225">
        <f t="shared" si="144"/>
        <v>0</v>
      </c>
      <c r="AX225">
        <f t="shared" si="190"/>
        <v>0</v>
      </c>
      <c r="AY225">
        <f t="shared" si="191"/>
        <v>0</v>
      </c>
    </row>
    <row r="226" spans="1:51" x14ac:dyDescent="0.35">
      <c r="A226">
        <v>220</v>
      </c>
      <c r="C226">
        <f>MAX(0,Calc!$C$7-SUM(D226:R226))</f>
        <v>750</v>
      </c>
      <c r="D226">
        <f t="shared" si="145"/>
        <v>0</v>
      </c>
      <c r="E226">
        <f t="shared" si="146"/>
        <v>0</v>
      </c>
      <c r="F226">
        <f t="shared" si="147"/>
        <v>0</v>
      </c>
      <c r="G226">
        <f t="shared" si="148"/>
        <v>0</v>
      </c>
      <c r="H226">
        <f t="shared" si="149"/>
        <v>0</v>
      </c>
      <c r="I226">
        <f t="shared" si="150"/>
        <v>0</v>
      </c>
      <c r="J226">
        <f t="shared" si="151"/>
        <v>0</v>
      </c>
      <c r="K226">
        <f t="shared" si="152"/>
        <v>0</v>
      </c>
      <c r="L226">
        <f t="shared" si="153"/>
        <v>0</v>
      </c>
      <c r="M226">
        <f t="shared" si="154"/>
        <v>0</v>
      </c>
      <c r="N226">
        <f t="shared" si="155"/>
        <v>0</v>
      </c>
      <c r="O226">
        <f t="shared" si="156"/>
        <v>0</v>
      </c>
      <c r="P226">
        <f t="shared" si="157"/>
        <v>0</v>
      </c>
      <c r="Q226">
        <f t="shared" si="158"/>
        <v>0</v>
      </c>
      <c r="R226">
        <f t="shared" si="159"/>
        <v>0</v>
      </c>
      <c r="S226">
        <f t="shared" si="160"/>
        <v>0</v>
      </c>
      <c r="T226">
        <f t="shared" si="161"/>
        <v>0</v>
      </c>
      <c r="U226">
        <f t="shared" si="162"/>
        <v>0</v>
      </c>
      <c r="V226">
        <f t="shared" si="163"/>
        <v>0</v>
      </c>
      <c r="W226">
        <f t="shared" si="164"/>
        <v>0</v>
      </c>
      <c r="X226">
        <f t="shared" si="165"/>
        <v>0</v>
      </c>
      <c r="Y226">
        <f t="shared" si="166"/>
        <v>0</v>
      </c>
      <c r="Z226">
        <f t="shared" si="167"/>
        <v>0</v>
      </c>
      <c r="AA226">
        <f t="shared" si="168"/>
        <v>0</v>
      </c>
      <c r="AB226">
        <f t="shared" si="169"/>
        <v>0</v>
      </c>
      <c r="AC226">
        <f t="shared" si="170"/>
        <v>0</v>
      </c>
      <c r="AD226">
        <f t="shared" si="171"/>
        <v>0</v>
      </c>
      <c r="AE226">
        <f t="shared" si="172"/>
        <v>0</v>
      </c>
      <c r="AF226">
        <f t="shared" si="173"/>
        <v>0</v>
      </c>
      <c r="AG226">
        <f t="shared" si="174"/>
        <v>0</v>
      </c>
      <c r="AH226">
        <f t="shared" si="175"/>
        <v>0</v>
      </c>
      <c r="AI226">
        <f t="shared" si="176"/>
        <v>0</v>
      </c>
      <c r="AJ226">
        <f t="shared" si="177"/>
        <v>0</v>
      </c>
      <c r="AK226">
        <f t="shared" si="178"/>
        <v>0</v>
      </c>
      <c r="AL226">
        <f t="shared" si="179"/>
        <v>0</v>
      </c>
      <c r="AM226">
        <f t="shared" si="180"/>
        <v>0</v>
      </c>
      <c r="AN226">
        <f t="shared" si="181"/>
        <v>0</v>
      </c>
      <c r="AO226">
        <f t="shared" si="182"/>
        <v>0</v>
      </c>
      <c r="AP226">
        <f t="shared" si="183"/>
        <v>0</v>
      </c>
      <c r="AQ226">
        <f t="shared" si="184"/>
        <v>0</v>
      </c>
      <c r="AR226">
        <f t="shared" si="185"/>
        <v>0</v>
      </c>
      <c r="AS226">
        <f t="shared" si="186"/>
        <v>0</v>
      </c>
      <c r="AT226">
        <f t="shared" si="187"/>
        <v>0</v>
      </c>
      <c r="AU226">
        <f t="shared" si="188"/>
        <v>0</v>
      </c>
      <c r="AV226">
        <f t="shared" si="189"/>
        <v>0</v>
      </c>
      <c r="AW226">
        <f t="shared" si="144"/>
        <v>0</v>
      </c>
      <c r="AX226">
        <f t="shared" si="190"/>
        <v>0</v>
      </c>
      <c r="AY226">
        <f t="shared" si="191"/>
        <v>0</v>
      </c>
    </row>
    <row r="227" spans="1:51" x14ac:dyDescent="0.35">
      <c r="A227">
        <v>221</v>
      </c>
      <c r="C227">
        <f>MAX(0,Calc!$C$7-SUM(D227:R227))</f>
        <v>750</v>
      </c>
      <c r="D227">
        <f t="shared" si="145"/>
        <v>0</v>
      </c>
      <c r="E227">
        <f t="shared" si="146"/>
        <v>0</v>
      </c>
      <c r="F227">
        <f t="shared" si="147"/>
        <v>0</v>
      </c>
      <c r="G227">
        <f t="shared" si="148"/>
        <v>0</v>
      </c>
      <c r="H227">
        <f t="shared" si="149"/>
        <v>0</v>
      </c>
      <c r="I227">
        <f t="shared" si="150"/>
        <v>0</v>
      </c>
      <c r="J227">
        <f t="shared" si="151"/>
        <v>0</v>
      </c>
      <c r="K227">
        <f t="shared" si="152"/>
        <v>0</v>
      </c>
      <c r="L227">
        <f t="shared" si="153"/>
        <v>0</v>
      </c>
      <c r="M227">
        <f t="shared" si="154"/>
        <v>0</v>
      </c>
      <c r="N227">
        <f t="shared" si="155"/>
        <v>0</v>
      </c>
      <c r="O227">
        <f t="shared" si="156"/>
        <v>0</v>
      </c>
      <c r="P227">
        <f t="shared" si="157"/>
        <v>0</v>
      </c>
      <c r="Q227">
        <f t="shared" si="158"/>
        <v>0</v>
      </c>
      <c r="R227">
        <f t="shared" si="159"/>
        <v>0</v>
      </c>
      <c r="S227">
        <f t="shared" si="160"/>
        <v>0</v>
      </c>
      <c r="T227">
        <f t="shared" si="161"/>
        <v>0</v>
      </c>
      <c r="U227">
        <f t="shared" si="162"/>
        <v>0</v>
      </c>
      <c r="V227">
        <f t="shared" si="163"/>
        <v>0</v>
      </c>
      <c r="W227">
        <f t="shared" si="164"/>
        <v>0</v>
      </c>
      <c r="X227">
        <f t="shared" si="165"/>
        <v>0</v>
      </c>
      <c r="Y227">
        <f t="shared" si="166"/>
        <v>0</v>
      </c>
      <c r="Z227">
        <f t="shared" si="167"/>
        <v>0</v>
      </c>
      <c r="AA227">
        <f t="shared" si="168"/>
        <v>0</v>
      </c>
      <c r="AB227">
        <f t="shared" si="169"/>
        <v>0</v>
      </c>
      <c r="AC227">
        <f t="shared" si="170"/>
        <v>0</v>
      </c>
      <c r="AD227">
        <f t="shared" si="171"/>
        <v>0</v>
      </c>
      <c r="AE227">
        <f t="shared" si="172"/>
        <v>0</v>
      </c>
      <c r="AF227">
        <f t="shared" si="173"/>
        <v>0</v>
      </c>
      <c r="AG227">
        <f t="shared" si="174"/>
        <v>0</v>
      </c>
      <c r="AH227">
        <f t="shared" si="175"/>
        <v>0</v>
      </c>
      <c r="AI227">
        <f t="shared" si="176"/>
        <v>0</v>
      </c>
      <c r="AJ227">
        <f t="shared" si="177"/>
        <v>0</v>
      </c>
      <c r="AK227">
        <f t="shared" si="178"/>
        <v>0</v>
      </c>
      <c r="AL227">
        <f t="shared" si="179"/>
        <v>0</v>
      </c>
      <c r="AM227">
        <f t="shared" si="180"/>
        <v>0</v>
      </c>
      <c r="AN227">
        <f t="shared" si="181"/>
        <v>0</v>
      </c>
      <c r="AO227">
        <f t="shared" si="182"/>
        <v>0</v>
      </c>
      <c r="AP227">
        <f t="shared" si="183"/>
        <v>0</v>
      </c>
      <c r="AQ227">
        <f t="shared" si="184"/>
        <v>0</v>
      </c>
      <c r="AR227">
        <f t="shared" si="185"/>
        <v>0</v>
      </c>
      <c r="AS227">
        <f t="shared" si="186"/>
        <v>0</v>
      </c>
      <c r="AT227">
        <f t="shared" si="187"/>
        <v>0</v>
      </c>
      <c r="AU227">
        <f t="shared" si="188"/>
        <v>0</v>
      </c>
      <c r="AV227">
        <f t="shared" si="189"/>
        <v>0</v>
      </c>
      <c r="AW227">
        <f t="shared" si="144"/>
        <v>0</v>
      </c>
      <c r="AX227">
        <f t="shared" si="190"/>
        <v>0</v>
      </c>
      <c r="AY227">
        <f t="shared" si="191"/>
        <v>0</v>
      </c>
    </row>
    <row r="228" spans="1:51" x14ac:dyDescent="0.35">
      <c r="A228">
        <v>222</v>
      </c>
      <c r="C228">
        <f>MAX(0,Calc!$C$7-SUM(D228:R228))</f>
        <v>750</v>
      </c>
      <c r="D228">
        <f t="shared" si="145"/>
        <v>0</v>
      </c>
      <c r="E228">
        <f t="shared" si="146"/>
        <v>0</v>
      </c>
      <c r="F228">
        <f t="shared" si="147"/>
        <v>0</v>
      </c>
      <c r="G228">
        <f t="shared" si="148"/>
        <v>0</v>
      </c>
      <c r="H228">
        <f t="shared" si="149"/>
        <v>0</v>
      </c>
      <c r="I228">
        <f t="shared" si="150"/>
        <v>0</v>
      </c>
      <c r="J228">
        <f t="shared" si="151"/>
        <v>0</v>
      </c>
      <c r="K228">
        <f t="shared" si="152"/>
        <v>0</v>
      </c>
      <c r="L228">
        <f t="shared" si="153"/>
        <v>0</v>
      </c>
      <c r="M228">
        <f t="shared" si="154"/>
        <v>0</v>
      </c>
      <c r="N228">
        <f t="shared" si="155"/>
        <v>0</v>
      </c>
      <c r="O228">
        <f t="shared" si="156"/>
        <v>0</v>
      </c>
      <c r="P228">
        <f t="shared" si="157"/>
        <v>0</v>
      </c>
      <c r="Q228">
        <f t="shared" si="158"/>
        <v>0</v>
      </c>
      <c r="R228">
        <f t="shared" si="159"/>
        <v>0</v>
      </c>
      <c r="S228">
        <f t="shared" si="160"/>
        <v>0</v>
      </c>
      <c r="T228">
        <f t="shared" si="161"/>
        <v>0</v>
      </c>
      <c r="U228">
        <f t="shared" si="162"/>
        <v>0</v>
      </c>
      <c r="V228">
        <f t="shared" si="163"/>
        <v>0</v>
      </c>
      <c r="W228">
        <f t="shared" si="164"/>
        <v>0</v>
      </c>
      <c r="X228">
        <f t="shared" si="165"/>
        <v>0</v>
      </c>
      <c r="Y228">
        <f t="shared" si="166"/>
        <v>0</v>
      </c>
      <c r="Z228">
        <f t="shared" si="167"/>
        <v>0</v>
      </c>
      <c r="AA228">
        <f t="shared" si="168"/>
        <v>0</v>
      </c>
      <c r="AB228">
        <f t="shared" si="169"/>
        <v>0</v>
      </c>
      <c r="AC228">
        <f t="shared" si="170"/>
        <v>0</v>
      </c>
      <c r="AD228">
        <f t="shared" si="171"/>
        <v>0</v>
      </c>
      <c r="AE228">
        <f t="shared" si="172"/>
        <v>0</v>
      </c>
      <c r="AF228">
        <f t="shared" si="173"/>
        <v>0</v>
      </c>
      <c r="AG228">
        <f t="shared" si="174"/>
        <v>0</v>
      </c>
      <c r="AH228">
        <f t="shared" si="175"/>
        <v>0</v>
      </c>
      <c r="AI228">
        <f t="shared" si="176"/>
        <v>0</v>
      </c>
      <c r="AJ228">
        <f t="shared" si="177"/>
        <v>0</v>
      </c>
      <c r="AK228">
        <f t="shared" si="178"/>
        <v>0</v>
      </c>
      <c r="AL228">
        <f t="shared" si="179"/>
        <v>0</v>
      </c>
      <c r="AM228">
        <f t="shared" si="180"/>
        <v>0</v>
      </c>
      <c r="AN228">
        <f t="shared" si="181"/>
        <v>0</v>
      </c>
      <c r="AO228">
        <f t="shared" si="182"/>
        <v>0</v>
      </c>
      <c r="AP228">
        <f t="shared" si="183"/>
        <v>0</v>
      </c>
      <c r="AQ228">
        <f t="shared" si="184"/>
        <v>0</v>
      </c>
      <c r="AR228">
        <f t="shared" si="185"/>
        <v>0</v>
      </c>
      <c r="AS228">
        <f t="shared" si="186"/>
        <v>0</v>
      </c>
      <c r="AT228">
        <f t="shared" si="187"/>
        <v>0</v>
      </c>
      <c r="AU228">
        <f t="shared" si="188"/>
        <v>0</v>
      </c>
      <c r="AV228">
        <f t="shared" si="189"/>
        <v>0</v>
      </c>
      <c r="AW228">
        <f t="shared" si="144"/>
        <v>0</v>
      </c>
      <c r="AX228">
        <f t="shared" si="190"/>
        <v>0</v>
      </c>
      <c r="AY228">
        <f t="shared" si="191"/>
        <v>0</v>
      </c>
    </row>
    <row r="229" spans="1:51" x14ac:dyDescent="0.35">
      <c r="A229">
        <v>223</v>
      </c>
      <c r="C229">
        <f>MAX(0,Calc!$C$7-SUM(D229:R229))</f>
        <v>750</v>
      </c>
      <c r="D229">
        <f t="shared" si="145"/>
        <v>0</v>
      </c>
      <c r="E229">
        <f t="shared" si="146"/>
        <v>0</v>
      </c>
      <c r="F229">
        <f t="shared" si="147"/>
        <v>0</v>
      </c>
      <c r="G229">
        <f t="shared" si="148"/>
        <v>0</v>
      </c>
      <c r="H229">
        <f t="shared" si="149"/>
        <v>0</v>
      </c>
      <c r="I229">
        <f t="shared" si="150"/>
        <v>0</v>
      </c>
      <c r="J229">
        <f t="shared" si="151"/>
        <v>0</v>
      </c>
      <c r="K229">
        <f t="shared" si="152"/>
        <v>0</v>
      </c>
      <c r="L229">
        <f t="shared" si="153"/>
        <v>0</v>
      </c>
      <c r="M229">
        <f t="shared" si="154"/>
        <v>0</v>
      </c>
      <c r="N229">
        <f t="shared" si="155"/>
        <v>0</v>
      </c>
      <c r="O229">
        <f t="shared" si="156"/>
        <v>0</v>
      </c>
      <c r="P229">
        <f t="shared" si="157"/>
        <v>0</v>
      </c>
      <c r="Q229">
        <f t="shared" si="158"/>
        <v>0</v>
      </c>
      <c r="R229">
        <f t="shared" si="159"/>
        <v>0</v>
      </c>
      <c r="S229">
        <f t="shared" si="160"/>
        <v>0</v>
      </c>
      <c r="T229">
        <f t="shared" si="161"/>
        <v>0</v>
      </c>
      <c r="U229">
        <f t="shared" si="162"/>
        <v>0</v>
      </c>
      <c r="V229">
        <f t="shared" si="163"/>
        <v>0</v>
      </c>
      <c r="W229">
        <f t="shared" si="164"/>
        <v>0</v>
      </c>
      <c r="X229">
        <f t="shared" si="165"/>
        <v>0</v>
      </c>
      <c r="Y229">
        <f t="shared" si="166"/>
        <v>0</v>
      </c>
      <c r="Z229">
        <f t="shared" si="167"/>
        <v>0</v>
      </c>
      <c r="AA229">
        <f t="shared" si="168"/>
        <v>0</v>
      </c>
      <c r="AB229">
        <f t="shared" si="169"/>
        <v>0</v>
      </c>
      <c r="AC229">
        <f t="shared" si="170"/>
        <v>0</v>
      </c>
      <c r="AD229">
        <f t="shared" si="171"/>
        <v>0</v>
      </c>
      <c r="AE229">
        <f t="shared" si="172"/>
        <v>0</v>
      </c>
      <c r="AF229">
        <f t="shared" si="173"/>
        <v>0</v>
      </c>
      <c r="AG229">
        <f t="shared" si="174"/>
        <v>0</v>
      </c>
      <c r="AH229">
        <f t="shared" si="175"/>
        <v>0</v>
      </c>
      <c r="AI229">
        <f t="shared" si="176"/>
        <v>0</v>
      </c>
      <c r="AJ229">
        <f t="shared" si="177"/>
        <v>0</v>
      </c>
      <c r="AK229">
        <f t="shared" si="178"/>
        <v>0</v>
      </c>
      <c r="AL229">
        <f t="shared" si="179"/>
        <v>0</v>
      </c>
      <c r="AM229">
        <f t="shared" si="180"/>
        <v>0</v>
      </c>
      <c r="AN229">
        <f t="shared" si="181"/>
        <v>0</v>
      </c>
      <c r="AO229">
        <f t="shared" si="182"/>
        <v>0</v>
      </c>
      <c r="AP229">
        <f t="shared" si="183"/>
        <v>0</v>
      </c>
      <c r="AQ229">
        <f t="shared" si="184"/>
        <v>0</v>
      </c>
      <c r="AR229">
        <f t="shared" si="185"/>
        <v>0</v>
      </c>
      <c r="AS229">
        <f t="shared" si="186"/>
        <v>0</v>
      </c>
      <c r="AT229">
        <f t="shared" si="187"/>
        <v>0</v>
      </c>
      <c r="AU229">
        <f t="shared" si="188"/>
        <v>0</v>
      </c>
      <c r="AV229">
        <f t="shared" si="189"/>
        <v>0</v>
      </c>
      <c r="AW229">
        <f t="shared" si="144"/>
        <v>0</v>
      </c>
      <c r="AX229">
        <f t="shared" si="190"/>
        <v>0</v>
      </c>
      <c r="AY229">
        <f t="shared" si="191"/>
        <v>0</v>
      </c>
    </row>
    <row r="230" spans="1:51" x14ac:dyDescent="0.35">
      <c r="A230">
        <v>224</v>
      </c>
      <c r="C230">
        <f>MAX(0,Calc!$C$7-SUM(D230:R230))</f>
        <v>750</v>
      </c>
      <c r="D230">
        <f t="shared" si="145"/>
        <v>0</v>
      </c>
      <c r="E230">
        <f t="shared" si="146"/>
        <v>0</v>
      </c>
      <c r="F230">
        <f t="shared" si="147"/>
        <v>0</v>
      </c>
      <c r="G230">
        <f t="shared" si="148"/>
        <v>0</v>
      </c>
      <c r="H230">
        <f t="shared" si="149"/>
        <v>0</v>
      </c>
      <c r="I230">
        <f t="shared" si="150"/>
        <v>0</v>
      </c>
      <c r="J230">
        <f t="shared" si="151"/>
        <v>0</v>
      </c>
      <c r="K230">
        <f t="shared" si="152"/>
        <v>0</v>
      </c>
      <c r="L230">
        <f t="shared" si="153"/>
        <v>0</v>
      </c>
      <c r="M230">
        <f t="shared" si="154"/>
        <v>0</v>
      </c>
      <c r="N230">
        <f t="shared" si="155"/>
        <v>0</v>
      </c>
      <c r="O230">
        <f t="shared" si="156"/>
        <v>0</v>
      </c>
      <c r="P230">
        <f t="shared" si="157"/>
        <v>0</v>
      </c>
      <c r="Q230">
        <f t="shared" si="158"/>
        <v>0</v>
      </c>
      <c r="R230">
        <f t="shared" si="159"/>
        <v>0</v>
      </c>
      <c r="S230">
        <f t="shared" si="160"/>
        <v>0</v>
      </c>
      <c r="T230">
        <f t="shared" si="161"/>
        <v>0</v>
      </c>
      <c r="U230">
        <f t="shared" si="162"/>
        <v>0</v>
      </c>
      <c r="V230">
        <f t="shared" si="163"/>
        <v>0</v>
      </c>
      <c r="W230">
        <f t="shared" si="164"/>
        <v>0</v>
      </c>
      <c r="X230">
        <f t="shared" si="165"/>
        <v>0</v>
      </c>
      <c r="Y230">
        <f t="shared" si="166"/>
        <v>0</v>
      </c>
      <c r="Z230">
        <f t="shared" si="167"/>
        <v>0</v>
      </c>
      <c r="AA230">
        <f t="shared" si="168"/>
        <v>0</v>
      </c>
      <c r="AB230">
        <f t="shared" si="169"/>
        <v>0</v>
      </c>
      <c r="AC230">
        <f t="shared" si="170"/>
        <v>0</v>
      </c>
      <c r="AD230">
        <f t="shared" si="171"/>
        <v>0</v>
      </c>
      <c r="AE230">
        <f t="shared" si="172"/>
        <v>0</v>
      </c>
      <c r="AF230">
        <f t="shared" si="173"/>
        <v>0</v>
      </c>
      <c r="AG230">
        <f t="shared" si="174"/>
        <v>0</v>
      </c>
      <c r="AH230">
        <f t="shared" si="175"/>
        <v>0</v>
      </c>
      <c r="AI230">
        <f t="shared" si="176"/>
        <v>0</v>
      </c>
      <c r="AJ230">
        <f t="shared" si="177"/>
        <v>0</v>
      </c>
      <c r="AK230">
        <f t="shared" si="178"/>
        <v>0</v>
      </c>
      <c r="AL230">
        <f t="shared" si="179"/>
        <v>0</v>
      </c>
      <c r="AM230">
        <f t="shared" si="180"/>
        <v>0</v>
      </c>
      <c r="AN230">
        <f t="shared" si="181"/>
        <v>0</v>
      </c>
      <c r="AO230">
        <f t="shared" si="182"/>
        <v>0</v>
      </c>
      <c r="AP230">
        <f t="shared" si="183"/>
        <v>0</v>
      </c>
      <c r="AQ230">
        <f t="shared" si="184"/>
        <v>0</v>
      </c>
      <c r="AR230">
        <f t="shared" si="185"/>
        <v>0</v>
      </c>
      <c r="AS230">
        <f t="shared" si="186"/>
        <v>0</v>
      </c>
      <c r="AT230">
        <f t="shared" si="187"/>
        <v>0</v>
      </c>
      <c r="AU230">
        <f t="shared" si="188"/>
        <v>0</v>
      </c>
      <c r="AV230">
        <f t="shared" si="189"/>
        <v>0</v>
      </c>
      <c r="AW230">
        <f t="shared" si="144"/>
        <v>0</v>
      </c>
      <c r="AX230">
        <f t="shared" si="190"/>
        <v>0</v>
      </c>
      <c r="AY230">
        <f t="shared" si="191"/>
        <v>0</v>
      </c>
    </row>
    <row r="231" spans="1:51" x14ac:dyDescent="0.35">
      <c r="A231">
        <v>225</v>
      </c>
      <c r="C231">
        <f>MAX(0,Calc!$C$7-SUM(D231:R231))</f>
        <v>750</v>
      </c>
      <c r="D231">
        <f t="shared" si="145"/>
        <v>0</v>
      </c>
      <c r="E231">
        <f t="shared" si="146"/>
        <v>0</v>
      </c>
      <c r="F231">
        <f t="shared" si="147"/>
        <v>0</v>
      </c>
      <c r="G231">
        <f t="shared" si="148"/>
        <v>0</v>
      </c>
      <c r="H231">
        <f t="shared" si="149"/>
        <v>0</v>
      </c>
      <c r="I231">
        <f t="shared" si="150"/>
        <v>0</v>
      </c>
      <c r="J231">
        <f t="shared" si="151"/>
        <v>0</v>
      </c>
      <c r="K231">
        <f t="shared" si="152"/>
        <v>0</v>
      </c>
      <c r="L231">
        <f t="shared" si="153"/>
        <v>0</v>
      </c>
      <c r="M231">
        <f t="shared" si="154"/>
        <v>0</v>
      </c>
      <c r="N231">
        <f t="shared" si="155"/>
        <v>0</v>
      </c>
      <c r="O231">
        <f t="shared" si="156"/>
        <v>0</v>
      </c>
      <c r="P231">
        <f t="shared" si="157"/>
        <v>0</v>
      </c>
      <c r="Q231">
        <f t="shared" si="158"/>
        <v>0</v>
      </c>
      <c r="R231">
        <f t="shared" si="159"/>
        <v>0</v>
      </c>
      <c r="S231">
        <f t="shared" si="160"/>
        <v>0</v>
      </c>
      <c r="T231">
        <f t="shared" si="161"/>
        <v>0</v>
      </c>
      <c r="U231">
        <f t="shared" si="162"/>
        <v>0</v>
      </c>
      <c r="V231">
        <f t="shared" si="163"/>
        <v>0</v>
      </c>
      <c r="W231">
        <f t="shared" si="164"/>
        <v>0</v>
      </c>
      <c r="X231">
        <f t="shared" si="165"/>
        <v>0</v>
      </c>
      <c r="Y231">
        <f t="shared" si="166"/>
        <v>0</v>
      </c>
      <c r="Z231">
        <f t="shared" si="167"/>
        <v>0</v>
      </c>
      <c r="AA231">
        <f t="shared" si="168"/>
        <v>0</v>
      </c>
      <c r="AB231">
        <f t="shared" si="169"/>
        <v>0</v>
      </c>
      <c r="AC231">
        <f t="shared" si="170"/>
        <v>0</v>
      </c>
      <c r="AD231">
        <f t="shared" si="171"/>
        <v>0</v>
      </c>
      <c r="AE231">
        <f t="shared" si="172"/>
        <v>0</v>
      </c>
      <c r="AF231">
        <f t="shared" si="173"/>
        <v>0</v>
      </c>
      <c r="AG231">
        <f t="shared" si="174"/>
        <v>0</v>
      </c>
      <c r="AH231">
        <f t="shared" si="175"/>
        <v>0</v>
      </c>
      <c r="AI231">
        <f t="shared" si="176"/>
        <v>0</v>
      </c>
      <c r="AJ231">
        <f t="shared" si="177"/>
        <v>0</v>
      </c>
      <c r="AK231">
        <f t="shared" si="178"/>
        <v>0</v>
      </c>
      <c r="AL231">
        <f t="shared" si="179"/>
        <v>0</v>
      </c>
      <c r="AM231">
        <f t="shared" si="180"/>
        <v>0</v>
      </c>
      <c r="AN231">
        <f t="shared" si="181"/>
        <v>0</v>
      </c>
      <c r="AO231">
        <f t="shared" si="182"/>
        <v>0</v>
      </c>
      <c r="AP231">
        <f t="shared" si="183"/>
        <v>0</v>
      </c>
      <c r="AQ231">
        <f t="shared" si="184"/>
        <v>0</v>
      </c>
      <c r="AR231">
        <f t="shared" si="185"/>
        <v>0</v>
      </c>
      <c r="AS231">
        <f t="shared" si="186"/>
        <v>0</v>
      </c>
      <c r="AT231">
        <f t="shared" si="187"/>
        <v>0</v>
      </c>
      <c r="AU231">
        <f t="shared" si="188"/>
        <v>0</v>
      </c>
      <c r="AV231">
        <f t="shared" si="189"/>
        <v>0</v>
      </c>
      <c r="AW231">
        <f t="shared" si="144"/>
        <v>0</v>
      </c>
      <c r="AX231">
        <f t="shared" si="190"/>
        <v>0</v>
      </c>
      <c r="AY231">
        <f t="shared" si="191"/>
        <v>0</v>
      </c>
    </row>
    <row r="232" spans="1:51" x14ac:dyDescent="0.35">
      <c r="A232">
        <v>226</v>
      </c>
      <c r="C232">
        <f>MAX(0,Calc!$C$7-SUM(D232:R232))</f>
        <v>750</v>
      </c>
      <c r="D232">
        <f t="shared" si="145"/>
        <v>0</v>
      </c>
      <c r="E232">
        <f t="shared" si="146"/>
        <v>0</v>
      </c>
      <c r="F232">
        <f t="shared" si="147"/>
        <v>0</v>
      </c>
      <c r="G232">
        <f t="shared" si="148"/>
        <v>0</v>
      </c>
      <c r="H232">
        <f t="shared" si="149"/>
        <v>0</v>
      </c>
      <c r="I232">
        <f t="shared" si="150"/>
        <v>0</v>
      </c>
      <c r="J232">
        <f t="shared" si="151"/>
        <v>0</v>
      </c>
      <c r="K232">
        <f t="shared" si="152"/>
        <v>0</v>
      </c>
      <c r="L232">
        <f t="shared" si="153"/>
        <v>0</v>
      </c>
      <c r="M232">
        <f t="shared" si="154"/>
        <v>0</v>
      </c>
      <c r="N232">
        <f t="shared" si="155"/>
        <v>0</v>
      </c>
      <c r="O232">
        <f t="shared" si="156"/>
        <v>0</v>
      </c>
      <c r="P232">
        <f t="shared" si="157"/>
        <v>0</v>
      </c>
      <c r="Q232">
        <f t="shared" si="158"/>
        <v>0</v>
      </c>
      <c r="R232">
        <f t="shared" si="159"/>
        <v>0</v>
      </c>
      <c r="S232">
        <f t="shared" si="160"/>
        <v>0</v>
      </c>
      <c r="T232">
        <f t="shared" si="161"/>
        <v>0</v>
      </c>
      <c r="U232">
        <f t="shared" si="162"/>
        <v>0</v>
      </c>
      <c r="V232">
        <f t="shared" si="163"/>
        <v>0</v>
      </c>
      <c r="W232">
        <f t="shared" si="164"/>
        <v>0</v>
      </c>
      <c r="X232">
        <f t="shared" si="165"/>
        <v>0</v>
      </c>
      <c r="Y232">
        <f t="shared" si="166"/>
        <v>0</v>
      </c>
      <c r="Z232">
        <f t="shared" si="167"/>
        <v>0</v>
      </c>
      <c r="AA232">
        <f t="shared" si="168"/>
        <v>0</v>
      </c>
      <c r="AB232">
        <f t="shared" si="169"/>
        <v>0</v>
      </c>
      <c r="AC232">
        <f t="shared" si="170"/>
        <v>0</v>
      </c>
      <c r="AD232">
        <f t="shared" si="171"/>
        <v>0</v>
      </c>
      <c r="AE232">
        <f t="shared" si="172"/>
        <v>0</v>
      </c>
      <c r="AF232">
        <f t="shared" si="173"/>
        <v>0</v>
      </c>
      <c r="AG232">
        <f t="shared" si="174"/>
        <v>0</v>
      </c>
      <c r="AH232">
        <f t="shared" si="175"/>
        <v>0</v>
      </c>
      <c r="AI232">
        <f t="shared" si="176"/>
        <v>0</v>
      </c>
      <c r="AJ232">
        <f t="shared" si="177"/>
        <v>0</v>
      </c>
      <c r="AK232">
        <f t="shared" si="178"/>
        <v>0</v>
      </c>
      <c r="AL232">
        <f t="shared" si="179"/>
        <v>0</v>
      </c>
      <c r="AM232">
        <f t="shared" si="180"/>
        <v>0</v>
      </c>
      <c r="AN232">
        <f t="shared" si="181"/>
        <v>0</v>
      </c>
      <c r="AO232">
        <f t="shared" si="182"/>
        <v>0</v>
      </c>
      <c r="AP232">
        <f t="shared" si="183"/>
        <v>0</v>
      </c>
      <c r="AQ232">
        <f t="shared" si="184"/>
        <v>0</v>
      </c>
      <c r="AR232">
        <f t="shared" si="185"/>
        <v>0</v>
      </c>
      <c r="AS232">
        <f t="shared" si="186"/>
        <v>0</v>
      </c>
      <c r="AT232">
        <f t="shared" si="187"/>
        <v>0</v>
      </c>
      <c r="AU232">
        <f t="shared" si="188"/>
        <v>0</v>
      </c>
      <c r="AV232">
        <f t="shared" si="189"/>
        <v>0</v>
      </c>
      <c r="AW232">
        <f t="shared" si="144"/>
        <v>0</v>
      </c>
      <c r="AX232">
        <f t="shared" si="190"/>
        <v>0</v>
      </c>
      <c r="AY232">
        <f t="shared" si="191"/>
        <v>0</v>
      </c>
    </row>
    <row r="233" spans="1:51" x14ac:dyDescent="0.35">
      <c r="A233">
        <v>227</v>
      </c>
      <c r="C233">
        <f>MAX(0,Calc!$C$7-SUM(D233:R233))</f>
        <v>750</v>
      </c>
      <c r="D233">
        <f t="shared" si="145"/>
        <v>0</v>
      </c>
      <c r="E233">
        <f t="shared" si="146"/>
        <v>0</v>
      </c>
      <c r="F233">
        <f t="shared" si="147"/>
        <v>0</v>
      </c>
      <c r="G233">
        <f t="shared" si="148"/>
        <v>0</v>
      </c>
      <c r="H233">
        <f t="shared" si="149"/>
        <v>0</v>
      </c>
      <c r="I233">
        <f t="shared" si="150"/>
        <v>0</v>
      </c>
      <c r="J233">
        <f t="shared" si="151"/>
        <v>0</v>
      </c>
      <c r="K233">
        <f t="shared" si="152"/>
        <v>0</v>
      </c>
      <c r="L233">
        <f t="shared" si="153"/>
        <v>0</v>
      </c>
      <c r="M233">
        <f t="shared" si="154"/>
        <v>0</v>
      </c>
      <c r="N233">
        <f t="shared" si="155"/>
        <v>0</v>
      </c>
      <c r="O233">
        <f t="shared" si="156"/>
        <v>0</v>
      </c>
      <c r="P233">
        <f t="shared" si="157"/>
        <v>0</v>
      </c>
      <c r="Q233">
        <f t="shared" si="158"/>
        <v>0</v>
      </c>
      <c r="R233">
        <f t="shared" si="159"/>
        <v>0</v>
      </c>
      <c r="S233">
        <f t="shared" si="160"/>
        <v>0</v>
      </c>
      <c r="T233">
        <f t="shared" si="161"/>
        <v>0</v>
      </c>
      <c r="U233">
        <f t="shared" si="162"/>
        <v>0</v>
      </c>
      <c r="V233">
        <f t="shared" si="163"/>
        <v>0</v>
      </c>
      <c r="W233">
        <f t="shared" si="164"/>
        <v>0</v>
      </c>
      <c r="X233">
        <f t="shared" si="165"/>
        <v>0</v>
      </c>
      <c r="Y233">
        <f t="shared" si="166"/>
        <v>0</v>
      </c>
      <c r="Z233">
        <f t="shared" si="167"/>
        <v>0</v>
      </c>
      <c r="AA233">
        <f t="shared" si="168"/>
        <v>0</v>
      </c>
      <c r="AB233">
        <f t="shared" si="169"/>
        <v>0</v>
      </c>
      <c r="AC233">
        <f t="shared" si="170"/>
        <v>0</v>
      </c>
      <c r="AD233">
        <f t="shared" si="171"/>
        <v>0</v>
      </c>
      <c r="AE233">
        <f t="shared" si="172"/>
        <v>0</v>
      </c>
      <c r="AF233">
        <f t="shared" si="173"/>
        <v>0</v>
      </c>
      <c r="AG233">
        <f t="shared" si="174"/>
        <v>0</v>
      </c>
      <c r="AH233">
        <f t="shared" si="175"/>
        <v>0</v>
      </c>
      <c r="AI233">
        <f t="shared" si="176"/>
        <v>0</v>
      </c>
      <c r="AJ233">
        <f t="shared" si="177"/>
        <v>0</v>
      </c>
      <c r="AK233">
        <f t="shared" si="178"/>
        <v>0</v>
      </c>
      <c r="AL233">
        <f t="shared" si="179"/>
        <v>0</v>
      </c>
      <c r="AM233">
        <f t="shared" si="180"/>
        <v>0</v>
      </c>
      <c r="AN233">
        <f t="shared" si="181"/>
        <v>0</v>
      </c>
      <c r="AO233">
        <f t="shared" si="182"/>
        <v>0</v>
      </c>
      <c r="AP233">
        <f t="shared" si="183"/>
        <v>0</v>
      </c>
      <c r="AQ233">
        <f t="shared" si="184"/>
        <v>0</v>
      </c>
      <c r="AR233">
        <f t="shared" si="185"/>
        <v>0</v>
      </c>
      <c r="AS233">
        <f t="shared" si="186"/>
        <v>0</v>
      </c>
      <c r="AT233">
        <f t="shared" si="187"/>
        <v>0</v>
      </c>
      <c r="AU233">
        <f t="shared" si="188"/>
        <v>0</v>
      </c>
      <c r="AV233">
        <f t="shared" si="189"/>
        <v>0</v>
      </c>
      <c r="AW233">
        <f t="shared" si="144"/>
        <v>0</v>
      </c>
      <c r="AX233">
        <f t="shared" si="190"/>
        <v>0</v>
      </c>
      <c r="AY233">
        <f t="shared" si="191"/>
        <v>0</v>
      </c>
    </row>
    <row r="234" spans="1:51" x14ac:dyDescent="0.35">
      <c r="A234">
        <v>228</v>
      </c>
      <c r="C234">
        <f>MAX(0,Calc!$C$7-SUM(D234:R234))</f>
        <v>750</v>
      </c>
      <c r="D234">
        <f t="shared" si="145"/>
        <v>0</v>
      </c>
      <c r="E234">
        <f t="shared" si="146"/>
        <v>0</v>
      </c>
      <c r="F234">
        <f t="shared" si="147"/>
        <v>0</v>
      </c>
      <c r="G234">
        <f t="shared" si="148"/>
        <v>0</v>
      </c>
      <c r="H234">
        <f t="shared" si="149"/>
        <v>0</v>
      </c>
      <c r="I234">
        <f t="shared" si="150"/>
        <v>0</v>
      </c>
      <c r="J234">
        <f t="shared" si="151"/>
        <v>0</v>
      </c>
      <c r="K234">
        <f t="shared" si="152"/>
        <v>0</v>
      </c>
      <c r="L234">
        <f t="shared" si="153"/>
        <v>0</v>
      </c>
      <c r="M234">
        <f t="shared" si="154"/>
        <v>0</v>
      </c>
      <c r="N234">
        <f t="shared" si="155"/>
        <v>0</v>
      </c>
      <c r="O234">
        <f t="shared" si="156"/>
        <v>0</v>
      </c>
      <c r="P234">
        <f t="shared" si="157"/>
        <v>0</v>
      </c>
      <c r="Q234">
        <f t="shared" si="158"/>
        <v>0</v>
      </c>
      <c r="R234">
        <f t="shared" si="159"/>
        <v>0</v>
      </c>
      <c r="S234">
        <f t="shared" si="160"/>
        <v>0</v>
      </c>
      <c r="T234">
        <f t="shared" si="161"/>
        <v>0</v>
      </c>
      <c r="U234">
        <f t="shared" si="162"/>
        <v>0</v>
      </c>
      <c r="V234">
        <f t="shared" si="163"/>
        <v>0</v>
      </c>
      <c r="W234">
        <f t="shared" si="164"/>
        <v>0</v>
      </c>
      <c r="X234">
        <f t="shared" si="165"/>
        <v>0</v>
      </c>
      <c r="Y234">
        <f t="shared" si="166"/>
        <v>0</v>
      </c>
      <c r="Z234">
        <f t="shared" si="167"/>
        <v>0</v>
      </c>
      <c r="AA234">
        <f t="shared" si="168"/>
        <v>0</v>
      </c>
      <c r="AB234">
        <f t="shared" si="169"/>
        <v>0</v>
      </c>
      <c r="AC234">
        <f t="shared" si="170"/>
        <v>0</v>
      </c>
      <c r="AD234">
        <f t="shared" si="171"/>
        <v>0</v>
      </c>
      <c r="AE234">
        <f t="shared" si="172"/>
        <v>0</v>
      </c>
      <c r="AF234">
        <f t="shared" si="173"/>
        <v>0</v>
      </c>
      <c r="AG234">
        <f t="shared" si="174"/>
        <v>0</v>
      </c>
      <c r="AH234">
        <f t="shared" si="175"/>
        <v>0</v>
      </c>
      <c r="AI234">
        <f t="shared" si="176"/>
        <v>0</v>
      </c>
      <c r="AJ234">
        <f t="shared" si="177"/>
        <v>0</v>
      </c>
      <c r="AK234">
        <f t="shared" si="178"/>
        <v>0</v>
      </c>
      <c r="AL234">
        <f t="shared" si="179"/>
        <v>0</v>
      </c>
      <c r="AM234">
        <f t="shared" si="180"/>
        <v>0</v>
      </c>
      <c r="AN234">
        <f t="shared" si="181"/>
        <v>0</v>
      </c>
      <c r="AO234">
        <f t="shared" si="182"/>
        <v>0</v>
      </c>
      <c r="AP234">
        <f t="shared" si="183"/>
        <v>0</v>
      </c>
      <c r="AQ234">
        <f t="shared" si="184"/>
        <v>0</v>
      </c>
      <c r="AR234">
        <f t="shared" si="185"/>
        <v>0</v>
      </c>
      <c r="AS234">
        <f t="shared" si="186"/>
        <v>0</v>
      </c>
      <c r="AT234">
        <f t="shared" si="187"/>
        <v>0</v>
      </c>
      <c r="AU234">
        <f t="shared" si="188"/>
        <v>0</v>
      </c>
      <c r="AV234">
        <f t="shared" si="189"/>
        <v>0</v>
      </c>
      <c r="AW234">
        <f t="shared" si="144"/>
        <v>0</v>
      </c>
      <c r="AX234">
        <f t="shared" si="190"/>
        <v>0</v>
      </c>
      <c r="AY234">
        <f t="shared" si="191"/>
        <v>0</v>
      </c>
    </row>
    <row r="235" spans="1:51" x14ac:dyDescent="0.35">
      <c r="A235">
        <v>229</v>
      </c>
      <c r="C235">
        <f>MAX(0,Calc!$C$7-SUM(D235:R235))</f>
        <v>750</v>
      </c>
      <c r="D235">
        <f t="shared" si="145"/>
        <v>0</v>
      </c>
      <c r="E235">
        <f t="shared" si="146"/>
        <v>0</v>
      </c>
      <c r="F235">
        <f t="shared" si="147"/>
        <v>0</v>
      </c>
      <c r="G235">
        <f t="shared" si="148"/>
        <v>0</v>
      </c>
      <c r="H235">
        <f t="shared" si="149"/>
        <v>0</v>
      </c>
      <c r="I235">
        <f t="shared" si="150"/>
        <v>0</v>
      </c>
      <c r="J235">
        <f t="shared" si="151"/>
        <v>0</v>
      </c>
      <c r="K235">
        <f t="shared" si="152"/>
        <v>0</v>
      </c>
      <c r="L235">
        <f t="shared" si="153"/>
        <v>0</v>
      </c>
      <c r="M235">
        <f t="shared" si="154"/>
        <v>0</v>
      </c>
      <c r="N235">
        <f t="shared" si="155"/>
        <v>0</v>
      </c>
      <c r="O235">
        <f t="shared" si="156"/>
        <v>0</v>
      </c>
      <c r="P235">
        <f t="shared" si="157"/>
        <v>0</v>
      </c>
      <c r="Q235">
        <f t="shared" si="158"/>
        <v>0</v>
      </c>
      <c r="R235">
        <f t="shared" si="159"/>
        <v>0</v>
      </c>
      <c r="S235">
        <f t="shared" si="160"/>
        <v>0</v>
      </c>
      <c r="T235">
        <f t="shared" si="161"/>
        <v>0</v>
      </c>
      <c r="U235">
        <f t="shared" si="162"/>
        <v>0</v>
      </c>
      <c r="V235">
        <f t="shared" si="163"/>
        <v>0</v>
      </c>
      <c r="W235">
        <f t="shared" si="164"/>
        <v>0</v>
      </c>
      <c r="X235">
        <f t="shared" si="165"/>
        <v>0</v>
      </c>
      <c r="Y235">
        <f t="shared" si="166"/>
        <v>0</v>
      </c>
      <c r="Z235">
        <f t="shared" si="167"/>
        <v>0</v>
      </c>
      <c r="AA235">
        <f t="shared" si="168"/>
        <v>0</v>
      </c>
      <c r="AB235">
        <f t="shared" si="169"/>
        <v>0</v>
      </c>
      <c r="AC235">
        <f t="shared" si="170"/>
        <v>0</v>
      </c>
      <c r="AD235">
        <f t="shared" si="171"/>
        <v>0</v>
      </c>
      <c r="AE235">
        <f t="shared" si="172"/>
        <v>0</v>
      </c>
      <c r="AF235">
        <f t="shared" si="173"/>
        <v>0</v>
      </c>
      <c r="AG235">
        <f t="shared" si="174"/>
        <v>0</v>
      </c>
      <c r="AH235">
        <f t="shared" si="175"/>
        <v>0</v>
      </c>
      <c r="AI235">
        <f t="shared" si="176"/>
        <v>0</v>
      </c>
      <c r="AJ235">
        <f t="shared" si="177"/>
        <v>0</v>
      </c>
      <c r="AK235">
        <f t="shared" si="178"/>
        <v>0</v>
      </c>
      <c r="AL235">
        <f t="shared" si="179"/>
        <v>0</v>
      </c>
      <c r="AM235">
        <f t="shared" si="180"/>
        <v>0</v>
      </c>
      <c r="AN235">
        <f t="shared" si="181"/>
        <v>0</v>
      </c>
      <c r="AO235">
        <f t="shared" si="182"/>
        <v>0</v>
      </c>
      <c r="AP235">
        <f t="shared" si="183"/>
        <v>0</v>
      </c>
      <c r="AQ235">
        <f t="shared" si="184"/>
        <v>0</v>
      </c>
      <c r="AR235">
        <f t="shared" si="185"/>
        <v>0</v>
      </c>
      <c r="AS235">
        <f t="shared" si="186"/>
        <v>0</v>
      </c>
      <c r="AT235">
        <f t="shared" si="187"/>
        <v>0</v>
      </c>
      <c r="AU235">
        <f t="shared" si="188"/>
        <v>0</v>
      </c>
      <c r="AV235">
        <f t="shared" si="189"/>
        <v>0</v>
      </c>
      <c r="AW235">
        <f t="shared" si="144"/>
        <v>0</v>
      </c>
      <c r="AX235">
        <f t="shared" si="190"/>
        <v>0</v>
      </c>
      <c r="AY235">
        <f t="shared" si="191"/>
        <v>0</v>
      </c>
    </row>
    <row r="236" spans="1:51" x14ac:dyDescent="0.35">
      <c r="A236">
        <v>230</v>
      </c>
      <c r="C236">
        <f>MAX(0,Calc!$C$7-SUM(D236:R236))</f>
        <v>750</v>
      </c>
      <c r="D236">
        <f t="shared" si="145"/>
        <v>0</v>
      </c>
      <c r="E236">
        <f t="shared" si="146"/>
        <v>0</v>
      </c>
      <c r="F236">
        <f t="shared" si="147"/>
        <v>0</v>
      </c>
      <c r="G236">
        <f t="shared" si="148"/>
        <v>0</v>
      </c>
      <c r="H236">
        <f t="shared" si="149"/>
        <v>0</v>
      </c>
      <c r="I236">
        <f t="shared" si="150"/>
        <v>0</v>
      </c>
      <c r="J236">
        <f t="shared" si="151"/>
        <v>0</v>
      </c>
      <c r="K236">
        <f t="shared" si="152"/>
        <v>0</v>
      </c>
      <c r="L236">
        <f t="shared" si="153"/>
        <v>0</v>
      </c>
      <c r="M236">
        <f t="shared" si="154"/>
        <v>0</v>
      </c>
      <c r="N236">
        <f t="shared" si="155"/>
        <v>0</v>
      </c>
      <c r="O236">
        <f t="shared" si="156"/>
        <v>0</v>
      </c>
      <c r="P236">
        <f t="shared" si="157"/>
        <v>0</v>
      </c>
      <c r="Q236">
        <f t="shared" si="158"/>
        <v>0</v>
      </c>
      <c r="R236">
        <f t="shared" si="159"/>
        <v>0</v>
      </c>
      <c r="S236">
        <f t="shared" si="160"/>
        <v>0</v>
      </c>
      <c r="T236">
        <f t="shared" si="161"/>
        <v>0</v>
      </c>
      <c r="U236">
        <f t="shared" si="162"/>
        <v>0</v>
      </c>
      <c r="V236">
        <f t="shared" si="163"/>
        <v>0</v>
      </c>
      <c r="W236">
        <f t="shared" si="164"/>
        <v>0</v>
      </c>
      <c r="X236">
        <f t="shared" si="165"/>
        <v>0</v>
      </c>
      <c r="Y236">
        <f t="shared" si="166"/>
        <v>0</v>
      </c>
      <c r="Z236">
        <f t="shared" si="167"/>
        <v>0</v>
      </c>
      <c r="AA236">
        <f t="shared" si="168"/>
        <v>0</v>
      </c>
      <c r="AB236">
        <f t="shared" si="169"/>
        <v>0</v>
      </c>
      <c r="AC236">
        <f t="shared" si="170"/>
        <v>0</v>
      </c>
      <c r="AD236">
        <f t="shared" si="171"/>
        <v>0</v>
      </c>
      <c r="AE236">
        <f t="shared" si="172"/>
        <v>0</v>
      </c>
      <c r="AF236">
        <f t="shared" si="173"/>
        <v>0</v>
      </c>
      <c r="AG236">
        <f t="shared" si="174"/>
        <v>0</v>
      </c>
      <c r="AH236">
        <f t="shared" si="175"/>
        <v>0</v>
      </c>
      <c r="AI236">
        <f t="shared" si="176"/>
        <v>0</v>
      </c>
      <c r="AJ236">
        <f t="shared" si="177"/>
        <v>0</v>
      </c>
      <c r="AK236">
        <f t="shared" si="178"/>
        <v>0</v>
      </c>
      <c r="AL236">
        <f t="shared" si="179"/>
        <v>0</v>
      </c>
      <c r="AM236">
        <f t="shared" si="180"/>
        <v>0</v>
      </c>
      <c r="AN236">
        <f t="shared" si="181"/>
        <v>0</v>
      </c>
      <c r="AO236">
        <f t="shared" si="182"/>
        <v>0</v>
      </c>
      <c r="AP236">
        <f t="shared" si="183"/>
        <v>0</v>
      </c>
      <c r="AQ236">
        <f t="shared" si="184"/>
        <v>0</v>
      </c>
      <c r="AR236">
        <f t="shared" si="185"/>
        <v>0</v>
      </c>
      <c r="AS236">
        <f t="shared" si="186"/>
        <v>0</v>
      </c>
      <c r="AT236">
        <f t="shared" si="187"/>
        <v>0</v>
      </c>
      <c r="AU236">
        <f t="shared" si="188"/>
        <v>0</v>
      </c>
      <c r="AV236">
        <f t="shared" si="189"/>
        <v>0</v>
      </c>
      <c r="AW236">
        <f t="shared" si="144"/>
        <v>0</v>
      </c>
      <c r="AX236">
        <f t="shared" si="190"/>
        <v>0</v>
      </c>
      <c r="AY236">
        <f t="shared" si="191"/>
        <v>0</v>
      </c>
    </row>
    <row r="237" spans="1:51" x14ac:dyDescent="0.35">
      <c r="A237">
        <v>231</v>
      </c>
      <c r="C237">
        <f>MAX(0,Calc!$C$7-SUM(D237:R237))</f>
        <v>750</v>
      </c>
      <c r="D237">
        <f t="shared" si="145"/>
        <v>0</v>
      </c>
      <c r="E237">
        <f t="shared" si="146"/>
        <v>0</v>
      </c>
      <c r="F237">
        <f t="shared" si="147"/>
        <v>0</v>
      </c>
      <c r="G237">
        <f t="shared" si="148"/>
        <v>0</v>
      </c>
      <c r="H237">
        <f t="shared" si="149"/>
        <v>0</v>
      </c>
      <c r="I237">
        <f t="shared" si="150"/>
        <v>0</v>
      </c>
      <c r="J237">
        <f t="shared" si="151"/>
        <v>0</v>
      </c>
      <c r="K237">
        <f t="shared" si="152"/>
        <v>0</v>
      </c>
      <c r="L237">
        <f t="shared" si="153"/>
        <v>0</v>
      </c>
      <c r="M237">
        <f t="shared" si="154"/>
        <v>0</v>
      </c>
      <c r="N237">
        <f t="shared" si="155"/>
        <v>0</v>
      </c>
      <c r="O237">
        <f t="shared" si="156"/>
        <v>0</v>
      </c>
      <c r="P237">
        <f t="shared" si="157"/>
        <v>0</v>
      </c>
      <c r="Q237">
        <f t="shared" si="158"/>
        <v>0</v>
      </c>
      <c r="R237">
        <f t="shared" si="159"/>
        <v>0</v>
      </c>
      <c r="S237">
        <f t="shared" si="160"/>
        <v>0</v>
      </c>
      <c r="T237">
        <f t="shared" si="161"/>
        <v>0</v>
      </c>
      <c r="U237">
        <f t="shared" si="162"/>
        <v>0</v>
      </c>
      <c r="V237">
        <f t="shared" si="163"/>
        <v>0</v>
      </c>
      <c r="W237">
        <f t="shared" si="164"/>
        <v>0</v>
      </c>
      <c r="X237">
        <f t="shared" si="165"/>
        <v>0</v>
      </c>
      <c r="Y237">
        <f t="shared" si="166"/>
        <v>0</v>
      </c>
      <c r="Z237">
        <f t="shared" si="167"/>
        <v>0</v>
      </c>
      <c r="AA237">
        <f t="shared" si="168"/>
        <v>0</v>
      </c>
      <c r="AB237">
        <f t="shared" si="169"/>
        <v>0</v>
      </c>
      <c r="AC237">
        <f t="shared" si="170"/>
        <v>0</v>
      </c>
      <c r="AD237">
        <f t="shared" si="171"/>
        <v>0</v>
      </c>
      <c r="AE237">
        <f t="shared" si="172"/>
        <v>0</v>
      </c>
      <c r="AF237">
        <f t="shared" si="173"/>
        <v>0</v>
      </c>
      <c r="AG237">
        <f t="shared" si="174"/>
        <v>0</v>
      </c>
      <c r="AH237">
        <f t="shared" si="175"/>
        <v>0</v>
      </c>
      <c r="AI237">
        <f t="shared" si="176"/>
        <v>0</v>
      </c>
      <c r="AJ237">
        <f t="shared" si="177"/>
        <v>0</v>
      </c>
      <c r="AK237">
        <f t="shared" si="178"/>
        <v>0</v>
      </c>
      <c r="AL237">
        <f t="shared" si="179"/>
        <v>0</v>
      </c>
      <c r="AM237">
        <f t="shared" si="180"/>
        <v>0</v>
      </c>
      <c r="AN237">
        <f t="shared" si="181"/>
        <v>0</v>
      </c>
      <c r="AO237">
        <f t="shared" si="182"/>
        <v>0</v>
      </c>
      <c r="AP237">
        <f t="shared" si="183"/>
        <v>0</v>
      </c>
      <c r="AQ237">
        <f t="shared" si="184"/>
        <v>0</v>
      </c>
      <c r="AR237">
        <f t="shared" si="185"/>
        <v>0</v>
      </c>
      <c r="AS237">
        <f t="shared" si="186"/>
        <v>0</v>
      </c>
      <c r="AT237">
        <f t="shared" si="187"/>
        <v>0</v>
      </c>
      <c r="AU237">
        <f t="shared" si="188"/>
        <v>0</v>
      </c>
      <c r="AV237">
        <f t="shared" si="189"/>
        <v>0</v>
      </c>
      <c r="AW237">
        <f t="shared" si="144"/>
        <v>0</v>
      </c>
      <c r="AX237">
        <f t="shared" si="190"/>
        <v>0</v>
      </c>
      <c r="AY237">
        <f t="shared" si="191"/>
        <v>0</v>
      </c>
    </row>
    <row r="238" spans="1:51" x14ac:dyDescent="0.35">
      <c r="A238">
        <v>232</v>
      </c>
      <c r="C238">
        <f>MAX(0,Calc!$C$7-SUM(D238:R238))</f>
        <v>750</v>
      </c>
      <c r="D238">
        <f t="shared" si="145"/>
        <v>0</v>
      </c>
      <c r="E238">
        <f t="shared" si="146"/>
        <v>0</v>
      </c>
      <c r="F238">
        <f t="shared" si="147"/>
        <v>0</v>
      </c>
      <c r="G238">
        <f t="shared" si="148"/>
        <v>0</v>
      </c>
      <c r="H238">
        <f t="shared" si="149"/>
        <v>0</v>
      </c>
      <c r="I238">
        <f t="shared" si="150"/>
        <v>0</v>
      </c>
      <c r="J238">
        <f t="shared" si="151"/>
        <v>0</v>
      </c>
      <c r="K238">
        <f t="shared" si="152"/>
        <v>0</v>
      </c>
      <c r="L238">
        <f t="shared" si="153"/>
        <v>0</v>
      </c>
      <c r="M238">
        <f t="shared" si="154"/>
        <v>0</v>
      </c>
      <c r="N238">
        <f t="shared" si="155"/>
        <v>0</v>
      </c>
      <c r="O238">
        <f t="shared" si="156"/>
        <v>0</v>
      </c>
      <c r="P238">
        <f t="shared" si="157"/>
        <v>0</v>
      </c>
      <c r="Q238">
        <f t="shared" si="158"/>
        <v>0</v>
      </c>
      <c r="R238">
        <f t="shared" si="159"/>
        <v>0</v>
      </c>
      <c r="S238">
        <f t="shared" si="160"/>
        <v>0</v>
      </c>
      <c r="T238">
        <f t="shared" si="161"/>
        <v>0</v>
      </c>
      <c r="U238">
        <f t="shared" si="162"/>
        <v>0</v>
      </c>
      <c r="V238">
        <f t="shared" si="163"/>
        <v>0</v>
      </c>
      <c r="W238">
        <f t="shared" si="164"/>
        <v>0</v>
      </c>
      <c r="X238">
        <f t="shared" si="165"/>
        <v>0</v>
      </c>
      <c r="Y238">
        <f t="shared" si="166"/>
        <v>0</v>
      </c>
      <c r="Z238">
        <f t="shared" si="167"/>
        <v>0</v>
      </c>
      <c r="AA238">
        <f t="shared" si="168"/>
        <v>0</v>
      </c>
      <c r="AB238">
        <f t="shared" si="169"/>
        <v>0</v>
      </c>
      <c r="AC238">
        <f t="shared" si="170"/>
        <v>0</v>
      </c>
      <c r="AD238">
        <f t="shared" si="171"/>
        <v>0</v>
      </c>
      <c r="AE238">
        <f t="shared" si="172"/>
        <v>0</v>
      </c>
      <c r="AF238">
        <f t="shared" si="173"/>
        <v>0</v>
      </c>
      <c r="AG238">
        <f t="shared" si="174"/>
        <v>0</v>
      </c>
      <c r="AH238">
        <f t="shared" si="175"/>
        <v>0</v>
      </c>
      <c r="AI238">
        <f t="shared" si="176"/>
        <v>0</v>
      </c>
      <c r="AJ238">
        <f t="shared" si="177"/>
        <v>0</v>
      </c>
      <c r="AK238">
        <f t="shared" si="178"/>
        <v>0</v>
      </c>
      <c r="AL238">
        <f t="shared" si="179"/>
        <v>0</v>
      </c>
      <c r="AM238">
        <f t="shared" si="180"/>
        <v>0</v>
      </c>
      <c r="AN238">
        <f t="shared" si="181"/>
        <v>0</v>
      </c>
      <c r="AO238">
        <f t="shared" si="182"/>
        <v>0</v>
      </c>
      <c r="AP238">
        <f t="shared" si="183"/>
        <v>0</v>
      </c>
      <c r="AQ238">
        <f t="shared" si="184"/>
        <v>0</v>
      </c>
      <c r="AR238">
        <f t="shared" si="185"/>
        <v>0</v>
      </c>
      <c r="AS238">
        <f t="shared" si="186"/>
        <v>0</v>
      </c>
      <c r="AT238">
        <f t="shared" si="187"/>
        <v>0</v>
      </c>
      <c r="AU238">
        <f t="shared" si="188"/>
        <v>0</v>
      </c>
      <c r="AV238">
        <f t="shared" si="189"/>
        <v>0</v>
      </c>
      <c r="AW238">
        <f t="shared" si="144"/>
        <v>0</v>
      </c>
      <c r="AX238">
        <f t="shared" si="190"/>
        <v>0</v>
      </c>
      <c r="AY238">
        <f t="shared" si="191"/>
        <v>0</v>
      </c>
    </row>
    <row r="239" spans="1:51" x14ac:dyDescent="0.35">
      <c r="A239">
        <v>233</v>
      </c>
      <c r="C239">
        <f>MAX(0,Calc!$C$7-SUM(D239:R239))</f>
        <v>750</v>
      </c>
      <c r="D239">
        <f t="shared" si="145"/>
        <v>0</v>
      </c>
      <c r="E239">
        <f t="shared" si="146"/>
        <v>0</v>
      </c>
      <c r="F239">
        <f t="shared" si="147"/>
        <v>0</v>
      </c>
      <c r="G239">
        <f t="shared" si="148"/>
        <v>0</v>
      </c>
      <c r="H239">
        <f t="shared" si="149"/>
        <v>0</v>
      </c>
      <c r="I239">
        <f t="shared" si="150"/>
        <v>0</v>
      </c>
      <c r="J239">
        <f t="shared" si="151"/>
        <v>0</v>
      </c>
      <c r="K239">
        <f t="shared" si="152"/>
        <v>0</v>
      </c>
      <c r="L239">
        <f t="shared" si="153"/>
        <v>0</v>
      </c>
      <c r="M239">
        <f t="shared" si="154"/>
        <v>0</v>
      </c>
      <c r="N239">
        <f t="shared" si="155"/>
        <v>0</v>
      </c>
      <c r="O239">
        <f t="shared" si="156"/>
        <v>0</v>
      </c>
      <c r="P239">
        <f t="shared" si="157"/>
        <v>0</v>
      </c>
      <c r="Q239">
        <f t="shared" si="158"/>
        <v>0</v>
      </c>
      <c r="R239">
        <f t="shared" si="159"/>
        <v>0</v>
      </c>
      <c r="S239">
        <f t="shared" si="160"/>
        <v>0</v>
      </c>
      <c r="T239">
        <f t="shared" si="161"/>
        <v>0</v>
      </c>
      <c r="U239">
        <f t="shared" si="162"/>
        <v>0</v>
      </c>
      <c r="V239">
        <f t="shared" si="163"/>
        <v>0</v>
      </c>
      <c r="W239">
        <f t="shared" si="164"/>
        <v>0</v>
      </c>
      <c r="X239">
        <f t="shared" si="165"/>
        <v>0</v>
      </c>
      <c r="Y239">
        <f t="shared" si="166"/>
        <v>0</v>
      </c>
      <c r="Z239">
        <f t="shared" si="167"/>
        <v>0</v>
      </c>
      <c r="AA239">
        <f t="shared" si="168"/>
        <v>0</v>
      </c>
      <c r="AB239">
        <f t="shared" si="169"/>
        <v>0</v>
      </c>
      <c r="AC239">
        <f t="shared" si="170"/>
        <v>0</v>
      </c>
      <c r="AD239">
        <f t="shared" si="171"/>
        <v>0</v>
      </c>
      <c r="AE239">
        <f t="shared" si="172"/>
        <v>0</v>
      </c>
      <c r="AF239">
        <f t="shared" si="173"/>
        <v>0</v>
      </c>
      <c r="AG239">
        <f t="shared" si="174"/>
        <v>0</v>
      </c>
      <c r="AH239">
        <f t="shared" si="175"/>
        <v>0</v>
      </c>
      <c r="AI239">
        <f t="shared" si="176"/>
        <v>0</v>
      </c>
      <c r="AJ239">
        <f t="shared" si="177"/>
        <v>0</v>
      </c>
      <c r="AK239">
        <f t="shared" si="178"/>
        <v>0</v>
      </c>
      <c r="AL239">
        <f t="shared" si="179"/>
        <v>0</v>
      </c>
      <c r="AM239">
        <f t="shared" si="180"/>
        <v>0</v>
      </c>
      <c r="AN239">
        <f t="shared" si="181"/>
        <v>0</v>
      </c>
      <c r="AO239">
        <f t="shared" si="182"/>
        <v>0</v>
      </c>
      <c r="AP239">
        <f t="shared" si="183"/>
        <v>0</v>
      </c>
      <c r="AQ239">
        <f t="shared" si="184"/>
        <v>0</v>
      </c>
      <c r="AR239">
        <f t="shared" si="185"/>
        <v>0</v>
      </c>
      <c r="AS239">
        <f t="shared" si="186"/>
        <v>0</v>
      </c>
      <c r="AT239">
        <f t="shared" si="187"/>
        <v>0</v>
      </c>
      <c r="AU239">
        <f t="shared" si="188"/>
        <v>0</v>
      </c>
      <c r="AV239">
        <f t="shared" si="189"/>
        <v>0</v>
      </c>
      <c r="AW239">
        <f t="shared" si="144"/>
        <v>0</v>
      </c>
      <c r="AX239">
        <f t="shared" si="190"/>
        <v>0</v>
      </c>
      <c r="AY239">
        <f t="shared" si="191"/>
        <v>0</v>
      </c>
    </row>
    <row r="240" spans="1:51" x14ac:dyDescent="0.35">
      <c r="A240">
        <v>234</v>
      </c>
      <c r="C240">
        <f>MAX(0,Calc!$C$7-SUM(D240:R240))</f>
        <v>750</v>
      </c>
      <c r="D240">
        <f t="shared" si="145"/>
        <v>0</v>
      </c>
      <c r="E240">
        <f t="shared" si="146"/>
        <v>0</v>
      </c>
      <c r="F240">
        <f t="shared" si="147"/>
        <v>0</v>
      </c>
      <c r="G240">
        <f t="shared" si="148"/>
        <v>0</v>
      </c>
      <c r="H240">
        <f t="shared" si="149"/>
        <v>0</v>
      </c>
      <c r="I240">
        <f t="shared" si="150"/>
        <v>0</v>
      </c>
      <c r="J240">
        <f t="shared" si="151"/>
        <v>0</v>
      </c>
      <c r="K240">
        <f t="shared" si="152"/>
        <v>0</v>
      </c>
      <c r="L240">
        <f t="shared" si="153"/>
        <v>0</v>
      </c>
      <c r="M240">
        <f t="shared" si="154"/>
        <v>0</v>
      </c>
      <c r="N240">
        <f t="shared" si="155"/>
        <v>0</v>
      </c>
      <c r="O240">
        <f t="shared" si="156"/>
        <v>0</v>
      </c>
      <c r="P240">
        <f t="shared" si="157"/>
        <v>0</v>
      </c>
      <c r="Q240">
        <f t="shared" si="158"/>
        <v>0</v>
      </c>
      <c r="R240">
        <f t="shared" si="159"/>
        <v>0</v>
      </c>
      <c r="S240">
        <f t="shared" si="160"/>
        <v>0</v>
      </c>
      <c r="T240">
        <f t="shared" si="161"/>
        <v>0</v>
      </c>
      <c r="U240">
        <f t="shared" si="162"/>
        <v>0</v>
      </c>
      <c r="V240">
        <f t="shared" si="163"/>
        <v>0</v>
      </c>
      <c r="W240">
        <f t="shared" si="164"/>
        <v>0</v>
      </c>
      <c r="X240">
        <f t="shared" si="165"/>
        <v>0</v>
      </c>
      <c r="Y240">
        <f t="shared" si="166"/>
        <v>0</v>
      </c>
      <c r="Z240">
        <f t="shared" si="167"/>
        <v>0</v>
      </c>
      <c r="AA240">
        <f t="shared" si="168"/>
        <v>0</v>
      </c>
      <c r="AB240">
        <f t="shared" si="169"/>
        <v>0</v>
      </c>
      <c r="AC240">
        <f t="shared" si="170"/>
        <v>0</v>
      </c>
      <c r="AD240">
        <f t="shared" si="171"/>
        <v>0</v>
      </c>
      <c r="AE240">
        <f t="shared" si="172"/>
        <v>0</v>
      </c>
      <c r="AF240">
        <f t="shared" si="173"/>
        <v>0</v>
      </c>
      <c r="AG240">
        <f t="shared" si="174"/>
        <v>0</v>
      </c>
      <c r="AH240">
        <f t="shared" si="175"/>
        <v>0</v>
      </c>
      <c r="AI240">
        <f t="shared" si="176"/>
        <v>0</v>
      </c>
      <c r="AJ240">
        <f t="shared" si="177"/>
        <v>0</v>
      </c>
      <c r="AK240">
        <f t="shared" si="178"/>
        <v>0</v>
      </c>
      <c r="AL240">
        <f t="shared" si="179"/>
        <v>0</v>
      </c>
      <c r="AM240">
        <f t="shared" si="180"/>
        <v>0</v>
      </c>
      <c r="AN240">
        <f t="shared" si="181"/>
        <v>0</v>
      </c>
      <c r="AO240">
        <f t="shared" si="182"/>
        <v>0</v>
      </c>
      <c r="AP240">
        <f t="shared" si="183"/>
        <v>0</v>
      </c>
      <c r="AQ240">
        <f t="shared" si="184"/>
        <v>0</v>
      </c>
      <c r="AR240">
        <f t="shared" si="185"/>
        <v>0</v>
      </c>
      <c r="AS240">
        <f t="shared" si="186"/>
        <v>0</v>
      </c>
      <c r="AT240">
        <f t="shared" si="187"/>
        <v>0</v>
      </c>
      <c r="AU240">
        <f t="shared" si="188"/>
        <v>0</v>
      </c>
      <c r="AV240">
        <f t="shared" si="189"/>
        <v>0</v>
      </c>
      <c r="AW240">
        <f t="shared" si="144"/>
        <v>0</v>
      </c>
      <c r="AX240">
        <f t="shared" si="190"/>
        <v>0</v>
      </c>
      <c r="AY240">
        <f t="shared" si="191"/>
        <v>0</v>
      </c>
    </row>
    <row r="241" spans="1:51" x14ac:dyDescent="0.35">
      <c r="A241">
        <v>235</v>
      </c>
      <c r="C241">
        <f>MAX(0,Calc!$C$7-SUM(D241:R241))</f>
        <v>750</v>
      </c>
      <c r="D241">
        <f t="shared" si="145"/>
        <v>0</v>
      </c>
      <c r="E241">
        <f t="shared" si="146"/>
        <v>0</v>
      </c>
      <c r="F241">
        <f t="shared" si="147"/>
        <v>0</v>
      </c>
      <c r="G241">
        <f t="shared" si="148"/>
        <v>0</v>
      </c>
      <c r="H241">
        <f t="shared" si="149"/>
        <v>0</v>
      </c>
      <c r="I241">
        <f t="shared" si="150"/>
        <v>0</v>
      </c>
      <c r="J241">
        <f t="shared" si="151"/>
        <v>0</v>
      </c>
      <c r="K241">
        <f t="shared" si="152"/>
        <v>0</v>
      </c>
      <c r="L241">
        <f t="shared" si="153"/>
        <v>0</v>
      </c>
      <c r="M241">
        <f t="shared" si="154"/>
        <v>0</v>
      </c>
      <c r="N241">
        <f t="shared" si="155"/>
        <v>0</v>
      </c>
      <c r="O241">
        <f t="shared" si="156"/>
        <v>0</v>
      </c>
      <c r="P241">
        <f t="shared" si="157"/>
        <v>0</v>
      </c>
      <c r="Q241">
        <f t="shared" si="158"/>
        <v>0</v>
      </c>
      <c r="R241">
        <f t="shared" si="159"/>
        <v>0</v>
      </c>
      <c r="S241">
        <f t="shared" si="160"/>
        <v>0</v>
      </c>
      <c r="T241">
        <f t="shared" si="161"/>
        <v>0</v>
      </c>
      <c r="U241">
        <f t="shared" si="162"/>
        <v>0</v>
      </c>
      <c r="V241">
        <f t="shared" si="163"/>
        <v>0</v>
      </c>
      <c r="W241">
        <f t="shared" si="164"/>
        <v>0</v>
      </c>
      <c r="X241">
        <f t="shared" si="165"/>
        <v>0</v>
      </c>
      <c r="Y241">
        <f t="shared" si="166"/>
        <v>0</v>
      </c>
      <c r="Z241">
        <f t="shared" si="167"/>
        <v>0</v>
      </c>
      <c r="AA241">
        <f t="shared" si="168"/>
        <v>0</v>
      </c>
      <c r="AB241">
        <f t="shared" si="169"/>
        <v>0</v>
      </c>
      <c r="AC241">
        <f t="shared" si="170"/>
        <v>0</v>
      </c>
      <c r="AD241">
        <f t="shared" si="171"/>
        <v>0</v>
      </c>
      <c r="AE241">
        <f t="shared" si="172"/>
        <v>0</v>
      </c>
      <c r="AF241">
        <f t="shared" si="173"/>
        <v>0</v>
      </c>
      <c r="AG241">
        <f t="shared" si="174"/>
        <v>0</v>
      </c>
      <c r="AH241">
        <f t="shared" si="175"/>
        <v>0</v>
      </c>
      <c r="AI241">
        <f t="shared" si="176"/>
        <v>0</v>
      </c>
      <c r="AJ241">
        <f t="shared" si="177"/>
        <v>0</v>
      </c>
      <c r="AK241">
        <f t="shared" si="178"/>
        <v>0</v>
      </c>
      <c r="AL241">
        <f t="shared" si="179"/>
        <v>0</v>
      </c>
      <c r="AM241">
        <f t="shared" si="180"/>
        <v>0</v>
      </c>
      <c r="AN241">
        <f t="shared" si="181"/>
        <v>0</v>
      </c>
      <c r="AO241">
        <f t="shared" si="182"/>
        <v>0</v>
      </c>
      <c r="AP241">
        <f t="shared" si="183"/>
        <v>0</v>
      </c>
      <c r="AQ241">
        <f t="shared" si="184"/>
        <v>0</v>
      </c>
      <c r="AR241">
        <f t="shared" si="185"/>
        <v>0</v>
      </c>
      <c r="AS241">
        <f t="shared" si="186"/>
        <v>0</v>
      </c>
      <c r="AT241">
        <f t="shared" si="187"/>
        <v>0</v>
      </c>
      <c r="AU241">
        <f t="shared" si="188"/>
        <v>0</v>
      </c>
      <c r="AV241">
        <f t="shared" si="189"/>
        <v>0</v>
      </c>
      <c r="AW241">
        <f t="shared" si="144"/>
        <v>0</v>
      </c>
      <c r="AX241">
        <f t="shared" si="190"/>
        <v>0</v>
      </c>
      <c r="AY241">
        <f t="shared" si="191"/>
        <v>0</v>
      </c>
    </row>
    <row r="242" spans="1:51" x14ac:dyDescent="0.35">
      <c r="A242">
        <v>236</v>
      </c>
      <c r="C242">
        <f>MAX(0,Calc!$C$7-SUM(D242:R242))</f>
        <v>750</v>
      </c>
      <c r="D242">
        <f t="shared" si="145"/>
        <v>0</v>
      </c>
      <c r="E242">
        <f t="shared" si="146"/>
        <v>0</v>
      </c>
      <c r="F242">
        <f t="shared" si="147"/>
        <v>0</v>
      </c>
      <c r="G242">
        <f t="shared" si="148"/>
        <v>0</v>
      </c>
      <c r="H242">
        <f t="shared" si="149"/>
        <v>0</v>
      </c>
      <c r="I242">
        <f t="shared" si="150"/>
        <v>0</v>
      </c>
      <c r="J242">
        <f t="shared" si="151"/>
        <v>0</v>
      </c>
      <c r="K242">
        <f t="shared" si="152"/>
        <v>0</v>
      </c>
      <c r="L242">
        <f t="shared" si="153"/>
        <v>0</v>
      </c>
      <c r="M242">
        <f t="shared" si="154"/>
        <v>0</v>
      </c>
      <c r="N242">
        <f t="shared" si="155"/>
        <v>0</v>
      </c>
      <c r="O242">
        <f t="shared" si="156"/>
        <v>0</v>
      </c>
      <c r="P242">
        <f t="shared" si="157"/>
        <v>0</v>
      </c>
      <c r="Q242">
        <f t="shared" si="158"/>
        <v>0</v>
      </c>
      <c r="R242">
        <f t="shared" si="159"/>
        <v>0</v>
      </c>
      <c r="S242">
        <f t="shared" si="160"/>
        <v>0</v>
      </c>
      <c r="T242">
        <f t="shared" si="161"/>
        <v>0</v>
      </c>
      <c r="U242">
        <f t="shared" si="162"/>
        <v>0</v>
      </c>
      <c r="V242">
        <f t="shared" si="163"/>
        <v>0</v>
      </c>
      <c r="W242">
        <f t="shared" si="164"/>
        <v>0</v>
      </c>
      <c r="X242">
        <f t="shared" si="165"/>
        <v>0</v>
      </c>
      <c r="Y242">
        <f t="shared" si="166"/>
        <v>0</v>
      </c>
      <c r="Z242">
        <f t="shared" si="167"/>
        <v>0</v>
      </c>
      <c r="AA242">
        <f t="shared" si="168"/>
        <v>0</v>
      </c>
      <c r="AB242">
        <f t="shared" si="169"/>
        <v>0</v>
      </c>
      <c r="AC242">
        <f t="shared" si="170"/>
        <v>0</v>
      </c>
      <c r="AD242">
        <f t="shared" si="171"/>
        <v>0</v>
      </c>
      <c r="AE242">
        <f t="shared" si="172"/>
        <v>0</v>
      </c>
      <c r="AF242">
        <f t="shared" si="173"/>
        <v>0</v>
      </c>
      <c r="AG242">
        <f t="shared" si="174"/>
        <v>0</v>
      </c>
      <c r="AH242">
        <f t="shared" si="175"/>
        <v>0</v>
      </c>
      <c r="AI242">
        <f t="shared" si="176"/>
        <v>0</v>
      </c>
      <c r="AJ242">
        <f t="shared" si="177"/>
        <v>0</v>
      </c>
      <c r="AK242">
        <f t="shared" si="178"/>
        <v>0</v>
      </c>
      <c r="AL242">
        <f t="shared" si="179"/>
        <v>0</v>
      </c>
      <c r="AM242">
        <f t="shared" si="180"/>
        <v>0</v>
      </c>
      <c r="AN242">
        <f t="shared" si="181"/>
        <v>0</v>
      </c>
      <c r="AO242">
        <f t="shared" si="182"/>
        <v>0</v>
      </c>
      <c r="AP242">
        <f t="shared" si="183"/>
        <v>0</v>
      </c>
      <c r="AQ242">
        <f t="shared" si="184"/>
        <v>0</v>
      </c>
      <c r="AR242">
        <f t="shared" si="185"/>
        <v>0</v>
      </c>
      <c r="AS242">
        <f t="shared" si="186"/>
        <v>0</v>
      </c>
      <c r="AT242">
        <f t="shared" si="187"/>
        <v>0</v>
      </c>
      <c r="AU242">
        <f t="shared" si="188"/>
        <v>0</v>
      </c>
      <c r="AV242">
        <f t="shared" si="189"/>
        <v>0</v>
      </c>
      <c r="AW242">
        <f t="shared" si="144"/>
        <v>0</v>
      </c>
      <c r="AX242">
        <f t="shared" si="190"/>
        <v>0</v>
      </c>
      <c r="AY242">
        <f t="shared" si="191"/>
        <v>0</v>
      </c>
    </row>
    <row r="243" spans="1:51" x14ac:dyDescent="0.35">
      <c r="A243">
        <v>237</v>
      </c>
      <c r="C243">
        <f>MAX(0,Calc!$C$7-SUM(D243:R243))</f>
        <v>750</v>
      </c>
      <c r="D243">
        <f t="shared" si="145"/>
        <v>0</v>
      </c>
      <c r="E243">
        <f t="shared" si="146"/>
        <v>0</v>
      </c>
      <c r="F243">
        <f t="shared" si="147"/>
        <v>0</v>
      </c>
      <c r="G243">
        <f t="shared" si="148"/>
        <v>0</v>
      </c>
      <c r="H243">
        <f t="shared" si="149"/>
        <v>0</v>
      </c>
      <c r="I243">
        <f t="shared" si="150"/>
        <v>0</v>
      </c>
      <c r="J243">
        <f t="shared" si="151"/>
        <v>0</v>
      </c>
      <c r="K243">
        <f t="shared" si="152"/>
        <v>0</v>
      </c>
      <c r="L243">
        <f t="shared" si="153"/>
        <v>0</v>
      </c>
      <c r="M243">
        <f t="shared" si="154"/>
        <v>0</v>
      </c>
      <c r="N243">
        <f t="shared" si="155"/>
        <v>0</v>
      </c>
      <c r="O243">
        <f t="shared" si="156"/>
        <v>0</v>
      </c>
      <c r="P243">
        <f t="shared" si="157"/>
        <v>0</v>
      </c>
      <c r="Q243">
        <f t="shared" si="158"/>
        <v>0</v>
      </c>
      <c r="R243">
        <f t="shared" si="159"/>
        <v>0</v>
      </c>
      <c r="S243">
        <f t="shared" si="160"/>
        <v>0</v>
      </c>
      <c r="T243">
        <f t="shared" si="161"/>
        <v>0</v>
      </c>
      <c r="U243">
        <f t="shared" si="162"/>
        <v>0</v>
      </c>
      <c r="V243">
        <f t="shared" si="163"/>
        <v>0</v>
      </c>
      <c r="W243">
        <f t="shared" si="164"/>
        <v>0</v>
      </c>
      <c r="X243">
        <f t="shared" si="165"/>
        <v>0</v>
      </c>
      <c r="Y243">
        <f t="shared" si="166"/>
        <v>0</v>
      </c>
      <c r="Z243">
        <f t="shared" si="167"/>
        <v>0</v>
      </c>
      <c r="AA243">
        <f t="shared" si="168"/>
        <v>0</v>
      </c>
      <c r="AB243">
        <f t="shared" si="169"/>
        <v>0</v>
      </c>
      <c r="AC243">
        <f t="shared" si="170"/>
        <v>0</v>
      </c>
      <c r="AD243">
        <f t="shared" si="171"/>
        <v>0</v>
      </c>
      <c r="AE243">
        <f t="shared" si="172"/>
        <v>0</v>
      </c>
      <c r="AF243">
        <f t="shared" si="173"/>
        <v>0</v>
      </c>
      <c r="AG243">
        <f t="shared" si="174"/>
        <v>0</v>
      </c>
      <c r="AH243">
        <f t="shared" si="175"/>
        <v>0</v>
      </c>
      <c r="AI243">
        <f t="shared" si="176"/>
        <v>0</v>
      </c>
      <c r="AJ243">
        <f t="shared" si="177"/>
        <v>0</v>
      </c>
      <c r="AK243">
        <f t="shared" si="178"/>
        <v>0</v>
      </c>
      <c r="AL243">
        <f t="shared" si="179"/>
        <v>0</v>
      </c>
      <c r="AM243">
        <f t="shared" si="180"/>
        <v>0</v>
      </c>
      <c r="AN243">
        <f t="shared" si="181"/>
        <v>0</v>
      </c>
      <c r="AO243">
        <f t="shared" si="182"/>
        <v>0</v>
      </c>
      <c r="AP243">
        <f t="shared" si="183"/>
        <v>0</v>
      </c>
      <c r="AQ243">
        <f t="shared" si="184"/>
        <v>0</v>
      </c>
      <c r="AR243">
        <f t="shared" si="185"/>
        <v>0</v>
      </c>
      <c r="AS243">
        <f t="shared" si="186"/>
        <v>0</v>
      </c>
      <c r="AT243">
        <f t="shared" si="187"/>
        <v>0</v>
      </c>
      <c r="AU243">
        <f t="shared" si="188"/>
        <v>0</v>
      </c>
      <c r="AV243">
        <f t="shared" si="189"/>
        <v>0</v>
      </c>
      <c r="AW243">
        <f t="shared" si="144"/>
        <v>0</v>
      </c>
      <c r="AX243">
        <f t="shared" si="190"/>
        <v>0</v>
      </c>
      <c r="AY243">
        <f t="shared" si="191"/>
        <v>0</v>
      </c>
    </row>
    <row r="244" spans="1:51" x14ac:dyDescent="0.35">
      <c r="A244">
        <v>238</v>
      </c>
      <c r="C244">
        <f>MAX(0,Calc!$C$7-SUM(D244:R244))</f>
        <v>750</v>
      </c>
      <c r="D244">
        <f t="shared" si="145"/>
        <v>0</v>
      </c>
      <c r="E244">
        <f t="shared" si="146"/>
        <v>0</v>
      </c>
      <c r="F244">
        <f t="shared" si="147"/>
        <v>0</v>
      </c>
      <c r="G244">
        <f t="shared" si="148"/>
        <v>0</v>
      </c>
      <c r="H244">
        <f t="shared" si="149"/>
        <v>0</v>
      </c>
      <c r="I244">
        <f t="shared" si="150"/>
        <v>0</v>
      </c>
      <c r="J244">
        <f t="shared" si="151"/>
        <v>0</v>
      </c>
      <c r="K244">
        <f t="shared" si="152"/>
        <v>0</v>
      </c>
      <c r="L244">
        <f t="shared" si="153"/>
        <v>0</v>
      </c>
      <c r="M244">
        <f t="shared" si="154"/>
        <v>0</v>
      </c>
      <c r="N244">
        <f t="shared" si="155"/>
        <v>0</v>
      </c>
      <c r="O244">
        <f t="shared" si="156"/>
        <v>0</v>
      </c>
      <c r="P244">
        <f t="shared" si="157"/>
        <v>0</v>
      </c>
      <c r="Q244">
        <f t="shared" si="158"/>
        <v>0</v>
      </c>
      <c r="R244">
        <f t="shared" si="159"/>
        <v>0</v>
      </c>
      <c r="S244">
        <f t="shared" si="160"/>
        <v>0</v>
      </c>
      <c r="T244">
        <f t="shared" si="161"/>
        <v>0</v>
      </c>
      <c r="U244">
        <f t="shared" si="162"/>
        <v>0</v>
      </c>
      <c r="V244">
        <f t="shared" si="163"/>
        <v>0</v>
      </c>
      <c r="W244">
        <f t="shared" si="164"/>
        <v>0</v>
      </c>
      <c r="X244">
        <f t="shared" si="165"/>
        <v>0</v>
      </c>
      <c r="Y244">
        <f t="shared" si="166"/>
        <v>0</v>
      </c>
      <c r="Z244">
        <f t="shared" si="167"/>
        <v>0</v>
      </c>
      <c r="AA244">
        <f t="shared" si="168"/>
        <v>0</v>
      </c>
      <c r="AB244">
        <f t="shared" si="169"/>
        <v>0</v>
      </c>
      <c r="AC244">
        <f t="shared" si="170"/>
        <v>0</v>
      </c>
      <c r="AD244">
        <f t="shared" si="171"/>
        <v>0</v>
      </c>
      <c r="AE244">
        <f t="shared" si="172"/>
        <v>0</v>
      </c>
      <c r="AF244">
        <f t="shared" si="173"/>
        <v>0</v>
      </c>
      <c r="AG244">
        <f t="shared" si="174"/>
        <v>0</v>
      </c>
      <c r="AH244">
        <f t="shared" si="175"/>
        <v>0</v>
      </c>
      <c r="AI244">
        <f t="shared" si="176"/>
        <v>0</v>
      </c>
      <c r="AJ244">
        <f t="shared" si="177"/>
        <v>0</v>
      </c>
      <c r="AK244">
        <f t="shared" si="178"/>
        <v>0</v>
      </c>
      <c r="AL244">
        <f t="shared" si="179"/>
        <v>0</v>
      </c>
      <c r="AM244">
        <f t="shared" si="180"/>
        <v>0</v>
      </c>
      <c r="AN244">
        <f t="shared" si="181"/>
        <v>0</v>
      </c>
      <c r="AO244">
        <f t="shared" si="182"/>
        <v>0</v>
      </c>
      <c r="AP244">
        <f t="shared" si="183"/>
        <v>0</v>
      </c>
      <c r="AQ244">
        <f t="shared" si="184"/>
        <v>0</v>
      </c>
      <c r="AR244">
        <f t="shared" si="185"/>
        <v>0</v>
      </c>
      <c r="AS244">
        <f t="shared" si="186"/>
        <v>0</v>
      </c>
      <c r="AT244">
        <f t="shared" si="187"/>
        <v>0</v>
      </c>
      <c r="AU244">
        <f t="shared" si="188"/>
        <v>0</v>
      </c>
      <c r="AV244">
        <f t="shared" si="189"/>
        <v>0</v>
      </c>
      <c r="AW244">
        <f t="shared" si="144"/>
        <v>0</v>
      </c>
      <c r="AX244">
        <f t="shared" si="190"/>
        <v>0</v>
      </c>
      <c r="AY244">
        <f t="shared" si="191"/>
        <v>0</v>
      </c>
    </row>
    <row r="245" spans="1:51" x14ac:dyDescent="0.35">
      <c r="A245">
        <v>239</v>
      </c>
      <c r="C245">
        <f>MAX(0,Calc!$C$7-SUM(D245:R245))</f>
        <v>750</v>
      </c>
      <c r="D245">
        <f t="shared" si="145"/>
        <v>0</v>
      </c>
      <c r="E245">
        <f t="shared" si="146"/>
        <v>0</v>
      </c>
      <c r="F245">
        <f t="shared" si="147"/>
        <v>0</v>
      </c>
      <c r="G245">
        <f t="shared" si="148"/>
        <v>0</v>
      </c>
      <c r="H245">
        <f t="shared" si="149"/>
        <v>0</v>
      </c>
      <c r="I245">
        <f t="shared" si="150"/>
        <v>0</v>
      </c>
      <c r="J245">
        <f t="shared" si="151"/>
        <v>0</v>
      </c>
      <c r="K245">
        <f t="shared" si="152"/>
        <v>0</v>
      </c>
      <c r="L245">
        <f t="shared" si="153"/>
        <v>0</v>
      </c>
      <c r="M245">
        <f t="shared" si="154"/>
        <v>0</v>
      </c>
      <c r="N245">
        <f t="shared" si="155"/>
        <v>0</v>
      </c>
      <c r="O245">
        <f t="shared" si="156"/>
        <v>0</v>
      </c>
      <c r="P245">
        <f t="shared" si="157"/>
        <v>0</v>
      </c>
      <c r="Q245">
        <f t="shared" si="158"/>
        <v>0</v>
      </c>
      <c r="R245">
        <f t="shared" si="159"/>
        <v>0</v>
      </c>
      <c r="S245">
        <f t="shared" si="160"/>
        <v>0</v>
      </c>
      <c r="T245">
        <f t="shared" si="161"/>
        <v>0</v>
      </c>
      <c r="U245">
        <f t="shared" si="162"/>
        <v>0</v>
      </c>
      <c r="V245">
        <f t="shared" si="163"/>
        <v>0</v>
      </c>
      <c r="W245">
        <f t="shared" si="164"/>
        <v>0</v>
      </c>
      <c r="X245">
        <f t="shared" si="165"/>
        <v>0</v>
      </c>
      <c r="Y245">
        <f t="shared" si="166"/>
        <v>0</v>
      </c>
      <c r="Z245">
        <f t="shared" si="167"/>
        <v>0</v>
      </c>
      <c r="AA245">
        <f t="shared" si="168"/>
        <v>0</v>
      </c>
      <c r="AB245">
        <f t="shared" si="169"/>
        <v>0</v>
      </c>
      <c r="AC245">
        <f t="shared" si="170"/>
        <v>0</v>
      </c>
      <c r="AD245">
        <f t="shared" si="171"/>
        <v>0</v>
      </c>
      <c r="AE245">
        <f t="shared" si="172"/>
        <v>0</v>
      </c>
      <c r="AF245">
        <f t="shared" si="173"/>
        <v>0</v>
      </c>
      <c r="AG245">
        <f t="shared" si="174"/>
        <v>0</v>
      </c>
      <c r="AH245">
        <f t="shared" si="175"/>
        <v>0</v>
      </c>
      <c r="AI245">
        <f t="shared" si="176"/>
        <v>0</v>
      </c>
      <c r="AJ245">
        <f t="shared" si="177"/>
        <v>0</v>
      </c>
      <c r="AK245">
        <f t="shared" si="178"/>
        <v>0</v>
      </c>
      <c r="AL245">
        <f t="shared" si="179"/>
        <v>0</v>
      </c>
      <c r="AM245">
        <f t="shared" si="180"/>
        <v>0</v>
      </c>
      <c r="AN245">
        <f t="shared" si="181"/>
        <v>0</v>
      </c>
      <c r="AO245">
        <f t="shared" si="182"/>
        <v>0</v>
      </c>
      <c r="AP245">
        <f t="shared" si="183"/>
        <v>0</v>
      </c>
      <c r="AQ245">
        <f t="shared" si="184"/>
        <v>0</v>
      </c>
      <c r="AR245">
        <f t="shared" si="185"/>
        <v>0</v>
      </c>
      <c r="AS245">
        <f t="shared" si="186"/>
        <v>0</v>
      </c>
      <c r="AT245">
        <f t="shared" si="187"/>
        <v>0</v>
      </c>
      <c r="AU245">
        <f t="shared" si="188"/>
        <v>0</v>
      </c>
      <c r="AV245">
        <f t="shared" si="189"/>
        <v>0</v>
      </c>
      <c r="AW245">
        <f t="shared" si="144"/>
        <v>0</v>
      </c>
      <c r="AX245">
        <f t="shared" si="190"/>
        <v>0</v>
      </c>
      <c r="AY245">
        <f t="shared" si="191"/>
        <v>0</v>
      </c>
    </row>
    <row r="246" spans="1:51" x14ac:dyDescent="0.35">
      <c r="A246">
        <v>240</v>
      </c>
      <c r="C246">
        <f>MAX(0,Calc!$C$7-SUM(D246:R246))</f>
        <v>750</v>
      </c>
      <c r="D246">
        <f t="shared" si="145"/>
        <v>0</v>
      </c>
      <c r="E246">
        <f t="shared" si="146"/>
        <v>0</v>
      </c>
      <c r="F246">
        <f t="shared" si="147"/>
        <v>0</v>
      </c>
      <c r="G246">
        <f t="shared" si="148"/>
        <v>0</v>
      </c>
      <c r="H246">
        <f t="shared" si="149"/>
        <v>0</v>
      </c>
      <c r="I246">
        <f t="shared" si="150"/>
        <v>0</v>
      </c>
      <c r="J246">
        <f t="shared" si="151"/>
        <v>0</v>
      </c>
      <c r="K246">
        <f t="shared" si="152"/>
        <v>0</v>
      </c>
      <c r="L246">
        <f t="shared" si="153"/>
        <v>0</v>
      </c>
      <c r="M246">
        <f t="shared" si="154"/>
        <v>0</v>
      </c>
      <c r="N246">
        <f t="shared" si="155"/>
        <v>0</v>
      </c>
      <c r="O246">
        <f t="shared" si="156"/>
        <v>0</v>
      </c>
      <c r="P246">
        <f t="shared" si="157"/>
        <v>0</v>
      </c>
      <c r="Q246">
        <f t="shared" si="158"/>
        <v>0</v>
      </c>
      <c r="R246">
        <f t="shared" si="159"/>
        <v>0</v>
      </c>
      <c r="S246">
        <f t="shared" si="160"/>
        <v>0</v>
      </c>
      <c r="T246">
        <f t="shared" si="161"/>
        <v>0</v>
      </c>
      <c r="U246">
        <f t="shared" si="162"/>
        <v>0</v>
      </c>
      <c r="V246">
        <f t="shared" si="163"/>
        <v>0</v>
      </c>
      <c r="W246">
        <f t="shared" si="164"/>
        <v>0</v>
      </c>
      <c r="X246">
        <f t="shared" si="165"/>
        <v>0</v>
      </c>
      <c r="Y246">
        <f t="shared" si="166"/>
        <v>0</v>
      </c>
      <c r="Z246">
        <f t="shared" si="167"/>
        <v>0</v>
      </c>
      <c r="AA246">
        <f t="shared" si="168"/>
        <v>0</v>
      </c>
      <c r="AB246">
        <f t="shared" si="169"/>
        <v>0</v>
      </c>
      <c r="AC246">
        <f t="shared" si="170"/>
        <v>0</v>
      </c>
      <c r="AD246">
        <f t="shared" si="171"/>
        <v>0</v>
      </c>
      <c r="AE246">
        <f t="shared" si="172"/>
        <v>0</v>
      </c>
      <c r="AF246">
        <f t="shared" si="173"/>
        <v>0</v>
      </c>
      <c r="AG246">
        <f t="shared" si="174"/>
        <v>0</v>
      </c>
      <c r="AH246">
        <f t="shared" si="175"/>
        <v>0</v>
      </c>
      <c r="AI246">
        <f t="shared" si="176"/>
        <v>0</v>
      </c>
      <c r="AJ246">
        <f t="shared" si="177"/>
        <v>0</v>
      </c>
      <c r="AK246">
        <f t="shared" si="178"/>
        <v>0</v>
      </c>
      <c r="AL246">
        <f t="shared" si="179"/>
        <v>0</v>
      </c>
      <c r="AM246">
        <f t="shared" si="180"/>
        <v>0</v>
      </c>
      <c r="AN246">
        <f t="shared" si="181"/>
        <v>0</v>
      </c>
      <c r="AO246">
        <f t="shared" si="182"/>
        <v>0</v>
      </c>
      <c r="AP246">
        <f t="shared" si="183"/>
        <v>0</v>
      </c>
      <c r="AQ246">
        <f t="shared" si="184"/>
        <v>0</v>
      </c>
      <c r="AR246">
        <f t="shared" si="185"/>
        <v>0</v>
      </c>
      <c r="AS246">
        <f t="shared" si="186"/>
        <v>0</v>
      </c>
      <c r="AT246">
        <f t="shared" si="187"/>
        <v>0</v>
      </c>
      <c r="AU246">
        <f t="shared" si="188"/>
        <v>0</v>
      </c>
      <c r="AV246">
        <f t="shared" si="189"/>
        <v>0</v>
      </c>
      <c r="AW246">
        <f t="shared" si="144"/>
        <v>0</v>
      </c>
      <c r="AX246">
        <f t="shared" si="190"/>
        <v>0</v>
      </c>
      <c r="AY246">
        <f t="shared" si="191"/>
        <v>0</v>
      </c>
    </row>
    <row r="247" spans="1:51" x14ac:dyDescent="0.35">
      <c r="A247">
        <v>241</v>
      </c>
      <c r="C247">
        <f>MAX(0,Calc!$C$7-SUM(D247:R247))</f>
        <v>750</v>
      </c>
      <c r="D247">
        <f t="shared" si="145"/>
        <v>0</v>
      </c>
      <c r="E247">
        <f t="shared" si="146"/>
        <v>0</v>
      </c>
      <c r="F247">
        <f t="shared" si="147"/>
        <v>0</v>
      </c>
      <c r="G247">
        <f t="shared" si="148"/>
        <v>0</v>
      </c>
      <c r="H247">
        <f t="shared" si="149"/>
        <v>0</v>
      </c>
      <c r="I247">
        <f t="shared" si="150"/>
        <v>0</v>
      </c>
      <c r="J247">
        <f t="shared" si="151"/>
        <v>0</v>
      </c>
      <c r="K247">
        <f t="shared" si="152"/>
        <v>0</v>
      </c>
      <c r="L247">
        <f t="shared" si="153"/>
        <v>0</v>
      </c>
      <c r="M247">
        <f t="shared" si="154"/>
        <v>0</v>
      </c>
      <c r="N247">
        <f t="shared" si="155"/>
        <v>0</v>
      </c>
      <c r="O247">
        <f t="shared" si="156"/>
        <v>0</v>
      </c>
      <c r="P247">
        <f t="shared" si="157"/>
        <v>0</v>
      </c>
      <c r="Q247">
        <f t="shared" si="158"/>
        <v>0</v>
      </c>
      <c r="R247">
        <f t="shared" si="159"/>
        <v>0</v>
      </c>
      <c r="S247">
        <f t="shared" si="160"/>
        <v>0</v>
      </c>
      <c r="T247">
        <f t="shared" si="161"/>
        <v>0</v>
      </c>
      <c r="U247">
        <f t="shared" si="162"/>
        <v>0</v>
      </c>
      <c r="V247">
        <f t="shared" si="163"/>
        <v>0</v>
      </c>
      <c r="W247">
        <f t="shared" si="164"/>
        <v>0</v>
      </c>
      <c r="X247">
        <f t="shared" si="165"/>
        <v>0</v>
      </c>
      <c r="Y247">
        <f t="shared" si="166"/>
        <v>0</v>
      </c>
      <c r="Z247">
        <f t="shared" si="167"/>
        <v>0</v>
      </c>
      <c r="AA247">
        <f t="shared" si="168"/>
        <v>0</v>
      </c>
      <c r="AB247">
        <f t="shared" si="169"/>
        <v>0</v>
      </c>
      <c r="AC247">
        <f t="shared" si="170"/>
        <v>0</v>
      </c>
      <c r="AD247">
        <f t="shared" si="171"/>
        <v>0</v>
      </c>
      <c r="AE247">
        <f t="shared" si="172"/>
        <v>0</v>
      </c>
      <c r="AF247">
        <f t="shared" si="173"/>
        <v>0</v>
      </c>
      <c r="AG247">
        <f t="shared" si="174"/>
        <v>0</v>
      </c>
      <c r="AH247">
        <f t="shared" si="175"/>
        <v>0</v>
      </c>
      <c r="AI247">
        <f t="shared" si="176"/>
        <v>0</v>
      </c>
      <c r="AJ247">
        <f t="shared" si="177"/>
        <v>0</v>
      </c>
      <c r="AK247">
        <f t="shared" si="178"/>
        <v>0</v>
      </c>
      <c r="AL247">
        <f t="shared" si="179"/>
        <v>0</v>
      </c>
      <c r="AM247">
        <f t="shared" si="180"/>
        <v>0</v>
      </c>
      <c r="AN247">
        <f t="shared" si="181"/>
        <v>0</v>
      </c>
      <c r="AO247">
        <f t="shared" si="182"/>
        <v>0</v>
      </c>
      <c r="AP247">
        <f t="shared" si="183"/>
        <v>0</v>
      </c>
      <c r="AQ247">
        <f t="shared" si="184"/>
        <v>0</v>
      </c>
      <c r="AR247">
        <f t="shared" si="185"/>
        <v>0</v>
      </c>
      <c r="AS247">
        <f t="shared" si="186"/>
        <v>0</v>
      </c>
      <c r="AT247">
        <f t="shared" si="187"/>
        <v>0</v>
      </c>
      <c r="AU247">
        <f t="shared" si="188"/>
        <v>0</v>
      </c>
      <c r="AV247">
        <f t="shared" si="189"/>
        <v>0</v>
      </c>
      <c r="AW247">
        <f t="shared" si="144"/>
        <v>0</v>
      </c>
      <c r="AX247">
        <f t="shared" si="190"/>
        <v>0</v>
      </c>
      <c r="AY247">
        <f t="shared" si="191"/>
        <v>0</v>
      </c>
    </row>
    <row r="248" spans="1:51" x14ac:dyDescent="0.35">
      <c r="A248">
        <v>242</v>
      </c>
      <c r="C248">
        <f>MAX(0,Calc!$C$7-SUM(D248:R248))</f>
        <v>750</v>
      </c>
      <c r="D248">
        <f t="shared" si="145"/>
        <v>0</v>
      </c>
      <c r="E248">
        <f t="shared" si="146"/>
        <v>0</v>
      </c>
      <c r="F248">
        <f t="shared" si="147"/>
        <v>0</v>
      </c>
      <c r="G248">
        <f t="shared" si="148"/>
        <v>0</v>
      </c>
      <c r="H248">
        <f t="shared" si="149"/>
        <v>0</v>
      </c>
      <c r="I248">
        <f t="shared" si="150"/>
        <v>0</v>
      </c>
      <c r="J248">
        <f t="shared" si="151"/>
        <v>0</v>
      </c>
      <c r="K248">
        <f t="shared" si="152"/>
        <v>0</v>
      </c>
      <c r="L248">
        <f t="shared" si="153"/>
        <v>0</v>
      </c>
      <c r="M248">
        <f t="shared" si="154"/>
        <v>0</v>
      </c>
      <c r="N248">
        <f t="shared" si="155"/>
        <v>0</v>
      </c>
      <c r="O248">
        <f t="shared" si="156"/>
        <v>0</v>
      </c>
      <c r="P248">
        <f t="shared" si="157"/>
        <v>0</v>
      </c>
      <c r="Q248">
        <f t="shared" si="158"/>
        <v>0</v>
      </c>
      <c r="R248">
        <f t="shared" si="159"/>
        <v>0</v>
      </c>
      <c r="S248">
        <f t="shared" si="160"/>
        <v>0</v>
      </c>
      <c r="T248">
        <f t="shared" si="161"/>
        <v>0</v>
      </c>
      <c r="U248">
        <f t="shared" si="162"/>
        <v>0</v>
      </c>
      <c r="V248">
        <f t="shared" si="163"/>
        <v>0</v>
      </c>
      <c r="W248">
        <f t="shared" si="164"/>
        <v>0</v>
      </c>
      <c r="X248">
        <f t="shared" si="165"/>
        <v>0</v>
      </c>
      <c r="Y248">
        <f t="shared" si="166"/>
        <v>0</v>
      </c>
      <c r="Z248">
        <f t="shared" si="167"/>
        <v>0</v>
      </c>
      <c r="AA248">
        <f t="shared" si="168"/>
        <v>0</v>
      </c>
      <c r="AB248">
        <f t="shared" si="169"/>
        <v>0</v>
      </c>
      <c r="AC248">
        <f t="shared" si="170"/>
        <v>0</v>
      </c>
      <c r="AD248">
        <f t="shared" si="171"/>
        <v>0</v>
      </c>
      <c r="AE248">
        <f t="shared" si="172"/>
        <v>0</v>
      </c>
      <c r="AF248">
        <f t="shared" si="173"/>
        <v>0</v>
      </c>
      <c r="AG248">
        <f t="shared" si="174"/>
        <v>0</v>
      </c>
      <c r="AH248">
        <f t="shared" si="175"/>
        <v>0</v>
      </c>
      <c r="AI248">
        <f t="shared" si="176"/>
        <v>0</v>
      </c>
      <c r="AJ248">
        <f t="shared" si="177"/>
        <v>0</v>
      </c>
      <c r="AK248">
        <f t="shared" si="178"/>
        <v>0</v>
      </c>
      <c r="AL248">
        <f t="shared" si="179"/>
        <v>0</v>
      </c>
      <c r="AM248">
        <f t="shared" si="180"/>
        <v>0</v>
      </c>
      <c r="AN248">
        <f t="shared" si="181"/>
        <v>0</v>
      </c>
      <c r="AO248">
        <f t="shared" si="182"/>
        <v>0</v>
      </c>
      <c r="AP248">
        <f t="shared" si="183"/>
        <v>0</v>
      </c>
      <c r="AQ248">
        <f t="shared" si="184"/>
        <v>0</v>
      </c>
      <c r="AR248">
        <f t="shared" si="185"/>
        <v>0</v>
      </c>
      <c r="AS248">
        <f t="shared" si="186"/>
        <v>0</v>
      </c>
      <c r="AT248">
        <f t="shared" si="187"/>
        <v>0</v>
      </c>
      <c r="AU248">
        <f t="shared" si="188"/>
        <v>0</v>
      </c>
      <c r="AV248">
        <f t="shared" si="189"/>
        <v>0</v>
      </c>
      <c r="AW248">
        <f t="shared" si="144"/>
        <v>0</v>
      </c>
      <c r="AX248">
        <f t="shared" si="190"/>
        <v>0</v>
      </c>
      <c r="AY248">
        <f t="shared" si="191"/>
        <v>0</v>
      </c>
    </row>
    <row r="249" spans="1:51" x14ac:dyDescent="0.35">
      <c r="A249">
        <v>243</v>
      </c>
      <c r="C249">
        <f>MAX(0,Calc!$C$7-SUM(D249:R249))</f>
        <v>750</v>
      </c>
      <c r="D249">
        <f t="shared" si="145"/>
        <v>0</v>
      </c>
      <c r="E249">
        <f t="shared" si="146"/>
        <v>0</v>
      </c>
      <c r="F249">
        <f t="shared" si="147"/>
        <v>0</v>
      </c>
      <c r="G249">
        <f t="shared" si="148"/>
        <v>0</v>
      </c>
      <c r="H249">
        <f t="shared" si="149"/>
        <v>0</v>
      </c>
      <c r="I249">
        <f t="shared" si="150"/>
        <v>0</v>
      </c>
      <c r="J249">
        <f t="shared" si="151"/>
        <v>0</v>
      </c>
      <c r="K249">
        <f t="shared" si="152"/>
        <v>0</v>
      </c>
      <c r="L249">
        <f t="shared" si="153"/>
        <v>0</v>
      </c>
      <c r="M249">
        <f t="shared" si="154"/>
        <v>0</v>
      </c>
      <c r="N249">
        <f t="shared" si="155"/>
        <v>0</v>
      </c>
      <c r="O249">
        <f t="shared" si="156"/>
        <v>0</v>
      </c>
      <c r="P249">
        <f t="shared" si="157"/>
        <v>0</v>
      </c>
      <c r="Q249">
        <f t="shared" si="158"/>
        <v>0</v>
      </c>
      <c r="R249">
        <f t="shared" si="159"/>
        <v>0</v>
      </c>
      <c r="S249">
        <f t="shared" si="160"/>
        <v>0</v>
      </c>
      <c r="T249">
        <f t="shared" si="161"/>
        <v>0</v>
      </c>
      <c r="U249">
        <f t="shared" si="162"/>
        <v>0</v>
      </c>
      <c r="V249">
        <f t="shared" si="163"/>
        <v>0</v>
      </c>
      <c r="W249">
        <f t="shared" si="164"/>
        <v>0</v>
      </c>
      <c r="X249">
        <f t="shared" si="165"/>
        <v>0</v>
      </c>
      <c r="Y249">
        <f t="shared" si="166"/>
        <v>0</v>
      </c>
      <c r="Z249">
        <f t="shared" si="167"/>
        <v>0</v>
      </c>
      <c r="AA249">
        <f t="shared" si="168"/>
        <v>0</v>
      </c>
      <c r="AB249">
        <f t="shared" si="169"/>
        <v>0</v>
      </c>
      <c r="AC249">
        <f t="shared" si="170"/>
        <v>0</v>
      </c>
      <c r="AD249">
        <f t="shared" si="171"/>
        <v>0</v>
      </c>
      <c r="AE249">
        <f t="shared" si="172"/>
        <v>0</v>
      </c>
      <c r="AF249">
        <f t="shared" si="173"/>
        <v>0</v>
      </c>
      <c r="AG249">
        <f t="shared" si="174"/>
        <v>0</v>
      </c>
      <c r="AH249">
        <f t="shared" si="175"/>
        <v>0</v>
      </c>
      <c r="AI249">
        <f t="shared" si="176"/>
        <v>0</v>
      </c>
      <c r="AJ249">
        <f t="shared" si="177"/>
        <v>0</v>
      </c>
      <c r="AK249">
        <f t="shared" si="178"/>
        <v>0</v>
      </c>
      <c r="AL249">
        <f t="shared" si="179"/>
        <v>0</v>
      </c>
      <c r="AM249">
        <f t="shared" si="180"/>
        <v>0</v>
      </c>
      <c r="AN249">
        <f t="shared" si="181"/>
        <v>0</v>
      </c>
      <c r="AO249">
        <f t="shared" si="182"/>
        <v>0</v>
      </c>
      <c r="AP249">
        <f t="shared" si="183"/>
        <v>0</v>
      </c>
      <c r="AQ249">
        <f t="shared" si="184"/>
        <v>0</v>
      </c>
      <c r="AR249">
        <f t="shared" si="185"/>
        <v>0</v>
      </c>
      <c r="AS249">
        <f t="shared" si="186"/>
        <v>0</v>
      </c>
      <c r="AT249">
        <f t="shared" si="187"/>
        <v>0</v>
      </c>
      <c r="AU249">
        <f t="shared" si="188"/>
        <v>0</v>
      </c>
      <c r="AV249">
        <f t="shared" si="189"/>
        <v>0</v>
      </c>
      <c r="AW249">
        <f t="shared" si="144"/>
        <v>0</v>
      </c>
      <c r="AX249">
        <f t="shared" si="190"/>
        <v>0</v>
      </c>
      <c r="AY249">
        <f t="shared" si="191"/>
        <v>0</v>
      </c>
    </row>
    <row r="250" spans="1:51" x14ac:dyDescent="0.35">
      <c r="A250">
        <v>244</v>
      </c>
      <c r="C250">
        <f>MAX(0,Calc!$C$7-SUM(D250:R250))</f>
        <v>750</v>
      </c>
      <c r="D250">
        <f t="shared" si="145"/>
        <v>0</v>
      </c>
      <c r="E250">
        <f t="shared" si="146"/>
        <v>0</v>
      </c>
      <c r="F250">
        <f t="shared" si="147"/>
        <v>0</v>
      </c>
      <c r="G250">
        <f t="shared" si="148"/>
        <v>0</v>
      </c>
      <c r="H250">
        <f t="shared" si="149"/>
        <v>0</v>
      </c>
      <c r="I250">
        <f t="shared" si="150"/>
        <v>0</v>
      </c>
      <c r="J250">
        <f t="shared" si="151"/>
        <v>0</v>
      </c>
      <c r="K250">
        <f t="shared" si="152"/>
        <v>0</v>
      </c>
      <c r="L250">
        <f t="shared" si="153"/>
        <v>0</v>
      </c>
      <c r="M250">
        <f t="shared" si="154"/>
        <v>0</v>
      </c>
      <c r="N250">
        <f t="shared" si="155"/>
        <v>0</v>
      </c>
      <c r="O250">
        <f t="shared" si="156"/>
        <v>0</v>
      </c>
      <c r="P250">
        <f t="shared" si="157"/>
        <v>0</v>
      </c>
      <c r="Q250">
        <f t="shared" si="158"/>
        <v>0</v>
      </c>
      <c r="R250">
        <f t="shared" si="159"/>
        <v>0</v>
      </c>
      <c r="S250">
        <f t="shared" si="160"/>
        <v>0</v>
      </c>
      <c r="T250">
        <f t="shared" si="161"/>
        <v>0</v>
      </c>
      <c r="U250">
        <f t="shared" si="162"/>
        <v>0</v>
      </c>
      <c r="V250">
        <f t="shared" si="163"/>
        <v>0</v>
      </c>
      <c r="W250">
        <f t="shared" si="164"/>
        <v>0</v>
      </c>
      <c r="X250">
        <f t="shared" si="165"/>
        <v>0</v>
      </c>
      <c r="Y250">
        <f t="shared" si="166"/>
        <v>0</v>
      </c>
      <c r="Z250">
        <f t="shared" si="167"/>
        <v>0</v>
      </c>
      <c r="AA250">
        <f t="shared" si="168"/>
        <v>0</v>
      </c>
      <c r="AB250">
        <f t="shared" si="169"/>
        <v>0</v>
      </c>
      <c r="AC250">
        <f t="shared" si="170"/>
        <v>0</v>
      </c>
      <c r="AD250">
        <f t="shared" si="171"/>
        <v>0</v>
      </c>
      <c r="AE250">
        <f t="shared" si="172"/>
        <v>0</v>
      </c>
      <c r="AF250">
        <f t="shared" si="173"/>
        <v>0</v>
      </c>
      <c r="AG250">
        <f t="shared" si="174"/>
        <v>0</v>
      </c>
      <c r="AH250">
        <f t="shared" si="175"/>
        <v>0</v>
      </c>
      <c r="AI250">
        <f t="shared" si="176"/>
        <v>0</v>
      </c>
      <c r="AJ250">
        <f t="shared" si="177"/>
        <v>0</v>
      </c>
      <c r="AK250">
        <f t="shared" si="178"/>
        <v>0</v>
      </c>
      <c r="AL250">
        <f t="shared" si="179"/>
        <v>0</v>
      </c>
      <c r="AM250">
        <f t="shared" si="180"/>
        <v>0</v>
      </c>
      <c r="AN250">
        <f t="shared" si="181"/>
        <v>0</v>
      </c>
      <c r="AO250">
        <f t="shared" si="182"/>
        <v>0</v>
      </c>
      <c r="AP250">
        <f t="shared" si="183"/>
        <v>0</v>
      </c>
      <c r="AQ250">
        <f t="shared" si="184"/>
        <v>0</v>
      </c>
      <c r="AR250">
        <f t="shared" si="185"/>
        <v>0</v>
      </c>
      <c r="AS250">
        <f t="shared" si="186"/>
        <v>0</v>
      </c>
      <c r="AT250">
        <f t="shared" si="187"/>
        <v>0</v>
      </c>
      <c r="AU250">
        <f t="shared" si="188"/>
        <v>0</v>
      </c>
      <c r="AV250">
        <f t="shared" si="189"/>
        <v>0</v>
      </c>
      <c r="AW250">
        <f t="shared" si="144"/>
        <v>0</v>
      </c>
      <c r="AX250">
        <f t="shared" si="190"/>
        <v>0</v>
      </c>
      <c r="AY250">
        <f t="shared" si="191"/>
        <v>0</v>
      </c>
    </row>
    <row r="251" spans="1:51" x14ac:dyDescent="0.35">
      <c r="A251">
        <v>245</v>
      </c>
      <c r="C251">
        <f>MAX(0,Calc!$C$7-SUM(D251:R251))</f>
        <v>750</v>
      </c>
      <c r="D251">
        <f t="shared" si="145"/>
        <v>0</v>
      </c>
      <c r="E251">
        <f t="shared" si="146"/>
        <v>0</v>
      </c>
      <c r="F251">
        <f t="shared" si="147"/>
        <v>0</v>
      </c>
      <c r="G251">
        <f t="shared" si="148"/>
        <v>0</v>
      </c>
      <c r="H251">
        <f t="shared" si="149"/>
        <v>0</v>
      </c>
      <c r="I251">
        <f t="shared" si="150"/>
        <v>0</v>
      </c>
      <c r="J251">
        <f t="shared" si="151"/>
        <v>0</v>
      </c>
      <c r="K251">
        <f t="shared" si="152"/>
        <v>0</v>
      </c>
      <c r="L251">
        <f t="shared" si="153"/>
        <v>0</v>
      </c>
      <c r="M251">
        <f t="shared" si="154"/>
        <v>0</v>
      </c>
      <c r="N251">
        <f t="shared" si="155"/>
        <v>0</v>
      </c>
      <c r="O251">
        <f t="shared" si="156"/>
        <v>0</v>
      </c>
      <c r="P251">
        <f t="shared" si="157"/>
        <v>0</v>
      </c>
      <c r="Q251">
        <f t="shared" si="158"/>
        <v>0</v>
      </c>
      <c r="R251">
        <f t="shared" si="159"/>
        <v>0</v>
      </c>
      <c r="S251">
        <f t="shared" si="160"/>
        <v>0</v>
      </c>
      <c r="T251">
        <f t="shared" si="161"/>
        <v>0</v>
      </c>
      <c r="U251">
        <f t="shared" si="162"/>
        <v>0</v>
      </c>
      <c r="V251">
        <f t="shared" si="163"/>
        <v>0</v>
      </c>
      <c r="W251">
        <f t="shared" si="164"/>
        <v>0</v>
      </c>
      <c r="X251">
        <f t="shared" si="165"/>
        <v>0</v>
      </c>
      <c r="Y251">
        <f t="shared" si="166"/>
        <v>0</v>
      </c>
      <c r="Z251">
        <f t="shared" si="167"/>
        <v>0</v>
      </c>
      <c r="AA251">
        <f t="shared" si="168"/>
        <v>0</v>
      </c>
      <c r="AB251">
        <f t="shared" si="169"/>
        <v>0</v>
      </c>
      <c r="AC251">
        <f t="shared" si="170"/>
        <v>0</v>
      </c>
      <c r="AD251">
        <f t="shared" si="171"/>
        <v>0</v>
      </c>
      <c r="AE251">
        <f t="shared" si="172"/>
        <v>0</v>
      </c>
      <c r="AF251">
        <f t="shared" si="173"/>
        <v>0</v>
      </c>
      <c r="AG251">
        <f t="shared" si="174"/>
        <v>0</v>
      </c>
      <c r="AH251">
        <f t="shared" si="175"/>
        <v>0</v>
      </c>
      <c r="AI251">
        <f t="shared" si="176"/>
        <v>0</v>
      </c>
      <c r="AJ251">
        <f t="shared" si="177"/>
        <v>0</v>
      </c>
      <c r="AK251">
        <f t="shared" si="178"/>
        <v>0</v>
      </c>
      <c r="AL251">
        <f t="shared" si="179"/>
        <v>0</v>
      </c>
      <c r="AM251">
        <f t="shared" si="180"/>
        <v>0</v>
      </c>
      <c r="AN251">
        <f t="shared" si="181"/>
        <v>0</v>
      </c>
      <c r="AO251">
        <f t="shared" si="182"/>
        <v>0</v>
      </c>
      <c r="AP251">
        <f t="shared" si="183"/>
        <v>0</v>
      </c>
      <c r="AQ251">
        <f t="shared" si="184"/>
        <v>0</v>
      </c>
      <c r="AR251">
        <f t="shared" si="185"/>
        <v>0</v>
      </c>
      <c r="AS251">
        <f t="shared" si="186"/>
        <v>0</v>
      </c>
      <c r="AT251">
        <f t="shared" si="187"/>
        <v>0</v>
      </c>
      <c r="AU251">
        <f t="shared" si="188"/>
        <v>0</v>
      </c>
      <c r="AV251">
        <f t="shared" si="189"/>
        <v>0</v>
      </c>
      <c r="AW251">
        <f t="shared" si="144"/>
        <v>0</v>
      </c>
      <c r="AX251">
        <f t="shared" si="190"/>
        <v>0</v>
      </c>
      <c r="AY251">
        <f t="shared" si="191"/>
        <v>0</v>
      </c>
    </row>
    <row r="252" spans="1:51" x14ac:dyDescent="0.35">
      <c r="A252">
        <v>246</v>
      </c>
      <c r="C252">
        <f>MAX(0,Calc!$C$7-SUM(D252:R252))</f>
        <v>750</v>
      </c>
      <c r="D252">
        <f t="shared" si="145"/>
        <v>0</v>
      </c>
      <c r="E252">
        <f t="shared" si="146"/>
        <v>0</v>
      </c>
      <c r="F252">
        <f t="shared" si="147"/>
        <v>0</v>
      </c>
      <c r="G252">
        <f t="shared" si="148"/>
        <v>0</v>
      </c>
      <c r="H252">
        <f t="shared" si="149"/>
        <v>0</v>
      </c>
      <c r="I252">
        <f t="shared" si="150"/>
        <v>0</v>
      </c>
      <c r="J252">
        <f t="shared" si="151"/>
        <v>0</v>
      </c>
      <c r="K252">
        <f t="shared" si="152"/>
        <v>0</v>
      </c>
      <c r="L252">
        <f t="shared" si="153"/>
        <v>0</v>
      </c>
      <c r="M252">
        <f t="shared" si="154"/>
        <v>0</v>
      </c>
      <c r="N252">
        <f t="shared" si="155"/>
        <v>0</v>
      </c>
      <c r="O252">
        <f t="shared" si="156"/>
        <v>0</v>
      </c>
      <c r="P252">
        <f t="shared" si="157"/>
        <v>0</v>
      </c>
      <c r="Q252">
        <f t="shared" si="158"/>
        <v>0</v>
      </c>
      <c r="R252">
        <f t="shared" si="159"/>
        <v>0</v>
      </c>
      <c r="S252">
        <f t="shared" si="160"/>
        <v>0</v>
      </c>
      <c r="T252">
        <f t="shared" si="161"/>
        <v>0</v>
      </c>
      <c r="U252">
        <f t="shared" si="162"/>
        <v>0</v>
      </c>
      <c r="V252">
        <f t="shared" si="163"/>
        <v>0</v>
      </c>
      <c r="W252">
        <f t="shared" si="164"/>
        <v>0</v>
      </c>
      <c r="X252">
        <f t="shared" si="165"/>
        <v>0</v>
      </c>
      <c r="Y252">
        <f t="shared" si="166"/>
        <v>0</v>
      </c>
      <c r="Z252">
        <f t="shared" si="167"/>
        <v>0</v>
      </c>
      <c r="AA252">
        <f t="shared" si="168"/>
        <v>0</v>
      </c>
      <c r="AB252">
        <f t="shared" si="169"/>
        <v>0</v>
      </c>
      <c r="AC252">
        <f t="shared" si="170"/>
        <v>0</v>
      </c>
      <c r="AD252">
        <f t="shared" si="171"/>
        <v>0</v>
      </c>
      <c r="AE252">
        <f t="shared" si="172"/>
        <v>0</v>
      </c>
      <c r="AF252">
        <f t="shared" si="173"/>
        <v>0</v>
      </c>
      <c r="AG252">
        <f t="shared" si="174"/>
        <v>0</v>
      </c>
      <c r="AH252">
        <f t="shared" si="175"/>
        <v>0</v>
      </c>
      <c r="AI252">
        <f t="shared" si="176"/>
        <v>0</v>
      </c>
      <c r="AJ252">
        <f t="shared" si="177"/>
        <v>0</v>
      </c>
      <c r="AK252">
        <f t="shared" si="178"/>
        <v>0</v>
      </c>
      <c r="AL252">
        <f t="shared" si="179"/>
        <v>0</v>
      </c>
      <c r="AM252">
        <f t="shared" si="180"/>
        <v>0</v>
      </c>
      <c r="AN252">
        <f t="shared" si="181"/>
        <v>0</v>
      </c>
      <c r="AO252">
        <f t="shared" si="182"/>
        <v>0</v>
      </c>
      <c r="AP252">
        <f t="shared" si="183"/>
        <v>0</v>
      </c>
      <c r="AQ252">
        <f t="shared" si="184"/>
        <v>0</v>
      </c>
      <c r="AR252">
        <f t="shared" si="185"/>
        <v>0</v>
      </c>
      <c r="AS252">
        <f t="shared" si="186"/>
        <v>0</v>
      </c>
      <c r="AT252">
        <f t="shared" si="187"/>
        <v>0</v>
      </c>
      <c r="AU252">
        <f t="shared" si="188"/>
        <v>0</v>
      </c>
      <c r="AV252">
        <f t="shared" si="189"/>
        <v>0</v>
      </c>
      <c r="AW252">
        <f t="shared" si="144"/>
        <v>0</v>
      </c>
      <c r="AX252">
        <f t="shared" si="190"/>
        <v>0</v>
      </c>
      <c r="AY252">
        <f t="shared" si="191"/>
        <v>0</v>
      </c>
    </row>
    <row r="253" spans="1:51" x14ac:dyDescent="0.35">
      <c r="A253">
        <v>247</v>
      </c>
      <c r="C253">
        <f>MAX(0,Calc!$C$7-SUM(D253:R253))</f>
        <v>750</v>
      </c>
      <c r="D253">
        <f t="shared" si="145"/>
        <v>0</v>
      </c>
      <c r="E253">
        <f t="shared" si="146"/>
        <v>0</v>
      </c>
      <c r="F253">
        <f t="shared" si="147"/>
        <v>0</v>
      </c>
      <c r="G253">
        <f t="shared" si="148"/>
        <v>0</v>
      </c>
      <c r="H253">
        <f t="shared" si="149"/>
        <v>0</v>
      </c>
      <c r="I253">
        <f t="shared" si="150"/>
        <v>0</v>
      </c>
      <c r="J253">
        <f t="shared" si="151"/>
        <v>0</v>
      </c>
      <c r="K253">
        <f t="shared" si="152"/>
        <v>0</v>
      </c>
      <c r="L253">
        <f t="shared" si="153"/>
        <v>0</v>
      </c>
      <c r="M253">
        <f t="shared" si="154"/>
        <v>0</v>
      </c>
      <c r="N253">
        <f t="shared" si="155"/>
        <v>0</v>
      </c>
      <c r="O253">
        <f t="shared" si="156"/>
        <v>0</v>
      </c>
      <c r="P253">
        <f t="shared" si="157"/>
        <v>0</v>
      </c>
      <c r="Q253">
        <f t="shared" si="158"/>
        <v>0</v>
      </c>
      <c r="R253">
        <f t="shared" si="159"/>
        <v>0</v>
      </c>
      <c r="S253">
        <f t="shared" si="160"/>
        <v>0</v>
      </c>
      <c r="T253">
        <f t="shared" si="161"/>
        <v>0</v>
      </c>
      <c r="U253">
        <f t="shared" si="162"/>
        <v>0</v>
      </c>
      <c r="V253">
        <f t="shared" si="163"/>
        <v>0</v>
      </c>
      <c r="W253">
        <f t="shared" si="164"/>
        <v>0</v>
      </c>
      <c r="X253">
        <f t="shared" si="165"/>
        <v>0</v>
      </c>
      <c r="Y253">
        <f t="shared" si="166"/>
        <v>0</v>
      </c>
      <c r="Z253">
        <f t="shared" si="167"/>
        <v>0</v>
      </c>
      <c r="AA253">
        <f t="shared" si="168"/>
        <v>0</v>
      </c>
      <c r="AB253">
        <f t="shared" si="169"/>
        <v>0</v>
      </c>
      <c r="AC253">
        <f t="shared" si="170"/>
        <v>0</v>
      </c>
      <c r="AD253">
        <f t="shared" si="171"/>
        <v>0</v>
      </c>
      <c r="AE253">
        <f t="shared" si="172"/>
        <v>0</v>
      </c>
      <c r="AF253">
        <f t="shared" si="173"/>
        <v>0</v>
      </c>
      <c r="AG253">
        <f t="shared" si="174"/>
        <v>0</v>
      </c>
      <c r="AH253">
        <f t="shared" si="175"/>
        <v>0</v>
      </c>
      <c r="AI253">
        <f t="shared" si="176"/>
        <v>0</v>
      </c>
      <c r="AJ253">
        <f t="shared" si="177"/>
        <v>0</v>
      </c>
      <c r="AK253">
        <f t="shared" si="178"/>
        <v>0</v>
      </c>
      <c r="AL253">
        <f t="shared" si="179"/>
        <v>0</v>
      </c>
      <c r="AM253">
        <f t="shared" si="180"/>
        <v>0</v>
      </c>
      <c r="AN253">
        <f t="shared" si="181"/>
        <v>0</v>
      </c>
      <c r="AO253">
        <f t="shared" si="182"/>
        <v>0</v>
      </c>
      <c r="AP253">
        <f t="shared" si="183"/>
        <v>0</v>
      </c>
      <c r="AQ253">
        <f t="shared" si="184"/>
        <v>0</v>
      </c>
      <c r="AR253">
        <f t="shared" si="185"/>
        <v>0</v>
      </c>
      <c r="AS253">
        <f t="shared" si="186"/>
        <v>0</v>
      </c>
      <c r="AT253">
        <f t="shared" si="187"/>
        <v>0</v>
      </c>
      <c r="AU253">
        <f t="shared" si="188"/>
        <v>0</v>
      </c>
      <c r="AV253">
        <f t="shared" si="189"/>
        <v>0</v>
      </c>
      <c r="AW253">
        <f t="shared" si="144"/>
        <v>0</v>
      </c>
      <c r="AX253">
        <f t="shared" si="190"/>
        <v>0</v>
      </c>
      <c r="AY253">
        <f t="shared" si="191"/>
        <v>0</v>
      </c>
    </row>
    <row r="254" spans="1:51" x14ac:dyDescent="0.35">
      <c r="A254">
        <v>248</v>
      </c>
      <c r="C254">
        <f>MAX(0,Calc!$C$7-SUM(D254:R254))</f>
        <v>750</v>
      </c>
      <c r="D254">
        <f t="shared" si="145"/>
        <v>0</v>
      </c>
      <c r="E254">
        <f t="shared" si="146"/>
        <v>0</v>
      </c>
      <c r="F254">
        <f t="shared" si="147"/>
        <v>0</v>
      </c>
      <c r="G254">
        <f t="shared" si="148"/>
        <v>0</v>
      </c>
      <c r="H254">
        <f t="shared" si="149"/>
        <v>0</v>
      </c>
      <c r="I254">
        <f t="shared" si="150"/>
        <v>0</v>
      </c>
      <c r="J254">
        <f t="shared" si="151"/>
        <v>0</v>
      </c>
      <c r="K254">
        <f t="shared" si="152"/>
        <v>0</v>
      </c>
      <c r="L254">
        <f t="shared" si="153"/>
        <v>0</v>
      </c>
      <c r="M254">
        <f t="shared" si="154"/>
        <v>0</v>
      </c>
      <c r="N254">
        <f t="shared" si="155"/>
        <v>0</v>
      </c>
      <c r="O254">
        <f t="shared" si="156"/>
        <v>0</v>
      </c>
      <c r="P254">
        <f t="shared" si="157"/>
        <v>0</v>
      </c>
      <c r="Q254">
        <f t="shared" si="158"/>
        <v>0</v>
      </c>
      <c r="R254">
        <f t="shared" si="159"/>
        <v>0</v>
      </c>
      <c r="S254">
        <f t="shared" si="160"/>
        <v>0</v>
      </c>
      <c r="T254">
        <f t="shared" si="161"/>
        <v>0</v>
      </c>
      <c r="U254">
        <f t="shared" si="162"/>
        <v>0</v>
      </c>
      <c r="V254">
        <f t="shared" si="163"/>
        <v>0</v>
      </c>
      <c r="W254">
        <f t="shared" si="164"/>
        <v>0</v>
      </c>
      <c r="X254">
        <f t="shared" si="165"/>
        <v>0</v>
      </c>
      <c r="Y254">
        <f t="shared" si="166"/>
        <v>0</v>
      </c>
      <c r="Z254">
        <f t="shared" si="167"/>
        <v>0</v>
      </c>
      <c r="AA254">
        <f t="shared" si="168"/>
        <v>0</v>
      </c>
      <c r="AB254">
        <f t="shared" si="169"/>
        <v>0</v>
      </c>
      <c r="AC254">
        <f t="shared" si="170"/>
        <v>0</v>
      </c>
      <c r="AD254">
        <f t="shared" si="171"/>
        <v>0</v>
      </c>
      <c r="AE254">
        <f t="shared" si="172"/>
        <v>0</v>
      </c>
      <c r="AF254">
        <f t="shared" si="173"/>
        <v>0</v>
      </c>
      <c r="AG254">
        <f t="shared" si="174"/>
        <v>0</v>
      </c>
      <c r="AH254">
        <f t="shared" si="175"/>
        <v>0</v>
      </c>
      <c r="AI254">
        <f t="shared" si="176"/>
        <v>0</v>
      </c>
      <c r="AJ254">
        <f t="shared" si="177"/>
        <v>0</v>
      </c>
      <c r="AK254">
        <f t="shared" si="178"/>
        <v>0</v>
      </c>
      <c r="AL254">
        <f t="shared" si="179"/>
        <v>0</v>
      </c>
      <c r="AM254">
        <f t="shared" si="180"/>
        <v>0</v>
      </c>
      <c r="AN254">
        <f t="shared" si="181"/>
        <v>0</v>
      </c>
      <c r="AO254">
        <f t="shared" si="182"/>
        <v>0</v>
      </c>
      <c r="AP254">
        <f t="shared" si="183"/>
        <v>0</v>
      </c>
      <c r="AQ254">
        <f t="shared" si="184"/>
        <v>0</v>
      </c>
      <c r="AR254">
        <f t="shared" si="185"/>
        <v>0</v>
      </c>
      <c r="AS254">
        <f t="shared" si="186"/>
        <v>0</v>
      </c>
      <c r="AT254">
        <f t="shared" si="187"/>
        <v>0</v>
      </c>
      <c r="AU254">
        <f t="shared" si="188"/>
        <v>0</v>
      </c>
      <c r="AV254">
        <f t="shared" si="189"/>
        <v>0</v>
      </c>
      <c r="AW254">
        <f t="shared" si="144"/>
        <v>0</v>
      </c>
      <c r="AX254">
        <f t="shared" si="190"/>
        <v>0</v>
      </c>
      <c r="AY254">
        <f t="shared" si="191"/>
        <v>0</v>
      </c>
    </row>
    <row r="255" spans="1:51" x14ac:dyDescent="0.35">
      <c r="A255">
        <v>249</v>
      </c>
      <c r="C255">
        <f>MAX(0,Calc!$C$7-SUM(D255:R255))</f>
        <v>750</v>
      </c>
      <c r="D255">
        <f t="shared" si="145"/>
        <v>0</v>
      </c>
      <c r="E255">
        <f t="shared" si="146"/>
        <v>0</v>
      </c>
      <c r="F255">
        <f t="shared" si="147"/>
        <v>0</v>
      </c>
      <c r="G255">
        <f t="shared" si="148"/>
        <v>0</v>
      </c>
      <c r="H255">
        <f t="shared" si="149"/>
        <v>0</v>
      </c>
      <c r="I255">
        <f t="shared" si="150"/>
        <v>0</v>
      </c>
      <c r="J255">
        <f t="shared" si="151"/>
        <v>0</v>
      </c>
      <c r="K255">
        <f t="shared" si="152"/>
        <v>0</v>
      </c>
      <c r="L255">
        <f t="shared" si="153"/>
        <v>0</v>
      </c>
      <c r="M255">
        <f t="shared" si="154"/>
        <v>0</v>
      </c>
      <c r="N255">
        <f t="shared" si="155"/>
        <v>0</v>
      </c>
      <c r="O255">
        <f t="shared" si="156"/>
        <v>0</v>
      </c>
      <c r="P255">
        <f t="shared" si="157"/>
        <v>0</v>
      </c>
      <c r="Q255">
        <f t="shared" si="158"/>
        <v>0</v>
      </c>
      <c r="R255">
        <f t="shared" si="159"/>
        <v>0</v>
      </c>
      <c r="S255">
        <f t="shared" si="160"/>
        <v>0</v>
      </c>
      <c r="T255">
        <f t="shared" si="161"/>
        <v>0</v>
      </c>
      <c r="U255">
        <f t="shared" si="162"/>
        <v>0</v>
      </c>
      <c r="V255">
        <f t="shared" si="163"/>
        <v>0</v>
      </c>
      <c r="W255">
        <f t="shared" si="164"/>
        <v>0</v>
      </c>
      <c r="X255">
        <f t="shared" si="165"/>
        <v>0</v>
      </c>
      <c r="Y255">
        <f t="shared" si="166"/>
        <v>0</v>
      </c>
      <c r="Z255">
        <f t="shared" si="167"/>
        <v>0</v>
      </c>
      <c r="AA255">
        <f t="shared" si="168"/>
        <v>0</v>
      </c>
      <c r="AB255">
        <f t="shared" si="169"/>
        <v>0</v>
      </c>
      <c r="AC255">
        <f t="shared" si="170"/>
        <v>0</v>
      </c>
      <c r="AD255">
        <f t="shared" si="171"/>
        <v>0</v>
      </c>
      <c r="AE255">
        <f t="shared" si="172"/>
        <v>0</v>
      </c>
      <c r="AF255">
        <f t="shared" si="173"/>
        <v>0</v>
      </c>
      <c r="AG255">
        <f t="shared" si="174"/>
        <v>0</v>
      </c>
      <c r="AH255">
        <f t="shared" si="175"/>
        <v>0</v>
      </c>
      <c r="AI255">
        <f t="shared" si="176"/>
        <v>0</v>
      </c>
      <c r="AJ255">
        <f t="shared" si="177"/>
        <v>0</v>
      </c>
      <c r="AK255">
        <f t="shared" si="178"/>
        <v>0</v>
      </c>
      <c r="AL255">
        <f t="shared" si="179"/>
        <v>0</v>
      </c>
      <c r="AM255">
        <f t="shared" si="180"/>
        <v>0</v>
      </c>
      <c r="AN255">
        <f t="shared" si="181"/>
        <v>0</v>
      </c>
      <c r="AO255">
        <f t="shared" si="182"/>
        <v>0</v>
      </c>
      <c r="AP255">
        <f t="shared" si="183"/>
        <v>0</v>
      </c>
      <c r="AQ255">
        <f t="shared" si="184"/>
        <v>0</v>
      </c>
      <c r="AR255">
        <f t="shared" si="185"/>
        <v>0</v>
      </c>
      <c r="AS255">
        <f t="shared" si="186"/>
        <v>0</v>
      </c>
      <c r="AT255">
        <f t="shared" si="187"/>
        <v>0</v>
      </c>
      <c r="AU255">
        <f t="shared" si="188"/>
        <v>0</v>
      </c>
      <c r="AV255">
        <f t="shared" si="189"/>
        <v>0</v>
      </c>
      <c r="AW255">
        <f t="shared" si="144"/>
        <v>0</v>
      </c>
      <c r="AX255">
        <f t="shared" si="190"/>
        <v>0</v>
      </c>
      <c r="AY255">
        <f t="shared" si="191"/>
        <v>0</v>
      </c>
    </row>
    <row r="256" spans="1:51" x14ac:dyDescent="0.35">
      <c r="A256">
        <v>250</v>
      </c>
      <c r="C256">
        <f>MAX(0,Calc!$C$7-SUM(D256:R256))</f>
        <v>750</v>
      </c>
      <c r="D256">
        <f t="shared" si="145"/>
        <v>0</v>
      </c>
      <c r="E256">
        <f t="shared" si="146"/>
        <v>0</v>
      </c>
      <c r="F256">
        <f t="shared" si="147"/>
        <v>0</v>
      </c>
      <c r="G256">
        <f t="shared" si="148"/>
        <v>0</v>
      </c>
      <c r="H256">
        <f t="shared" si="149"/>
        <v>0</v>
      </c>
      <c r="I256">
        <f t="shared" si="150"/>
        <v>0</v>
      </c>
      <c r="J256">
        <f t="shared" si="151"/>
        <v>0</v>
      </c>
      <c r="K256">
        <f t="shared" si="152"/>
        <v>0</v>
      </c>
      <c r="L256">
        <f t="shared" si="153"/>
        <v>0</v>
      </c>
      <c r="M256">
        <f t="shared" si="154"/>
        <v>0</v>
      </c>
      <c r="N256">
        <f t="shared" si="155"/>
        <v>0</v>
      </c>
      <c r="O256">
        <f t="shared" si="156"/>
        <v>0</v>
      </c>
      <c r="P256">
        <f t="shared" si="157"/>
        <v>0</v>
      </c>
      <c r="Q256">
        <f t="shared" si="158"/>
        <v>0</v>
      </c>
      <c r="R256">
        <f t="shared" si="159"/>
        <v>0</v>
      </c>
      <c r="S256">
        <f t="shared" si="160"/>
        <v>0</v>
      </c>
      <c r="T256">
        <f t="shared" si="161"/>
        <v>0</v>
      </c>
      <c r="U256">
        <f t="shared" si="162"/>
        <v>0</v>
      </c>
      <c r="V256">
        <f t="shared" si="163"/>
        <v>0</v>
      </c>
      <c r="W256">
        <f t="shared" si="164"/>
        <v>0</v>
      </c>
      <c r="X256">
        <f t="shared" si="165"/>
        <v>0</v>
      </c>
      <c r="Y256">
        <f t="shared" si="166"/>
        <v>0</v>
      </c>
      <c r="Z256">
        <f t="shared" si="167"/>
        <v>0</v>
      </c>
      <c r="AA256">
        <f t="shared" si="168"/>
        <v>0</v>
      </c>
      <c r="AB256">
        <f t="shared" si="169"/>
        <v>0</v>
      </c>
      <c r="AC256">
        <f t="shared" si="170"/>
        <v>0</v>
      </c>
      <c r="AD256">
        <f t="shared" si="171"/>
        <v>0</v>
      </c>
      <c r="AE256">
        <f t="shared" si="172"/>
        <v>0</v>
      </c>
      <c r="AF256">
        <f t="shared" si="173"/>
        <v>0</v>
      </c>
      <c r="AG256">
        <f t="shared" si="174"/>
        <v>0</v>
      </c>
      <c r="AH256">
        <f t="shared" si="175"/>
        <v>0</v>
      </c>
      <c r="AI256">
        <f t="shared" si="176"/>
        <v>0</v>
      </c>
      <c r="AJ256">
        <f t="shared" si="177"/>
        <v>0</v>
      </c>
      <c r="AK256">
        <f t="shared" si="178"/>
        <v>0</v>
      </c>
      <c r="AL256">
        <f t="shared" si="179"/>
        <v>0</v>
      </c>
      <c r="AM256">
        <f t="shared" si="180"/>
        <v>0</v>
      </c>
      <c r="AN256">
        <f t="shared" si="181"/>
        <v>0</v>
      </c>
      <c r="AO256">
        <f t="shared" si="182"/>
        <v>0</v>
      </c>
      <c r="AP256">
        <f t="shared" si="183"/>
        <v>0</v>
      </c>
      <c r="AQ256">
        <f t="shared" si="184"/>
        <v>0</v>
      </c>
      <c r="AR256">
        <f t="shared" si="185"/>
        <v>0</v>
      </c>
      <c r="AS256">
        <f t="shared" si="186"/>
        <v>0</v>
      </c>
      <c r="AT256">
        <f t="shared" si="187"/>
        <v>0</v>
      </c>
      <c r="AU256">
        <f t="shared" si="188"/>
        <v>0</v>
      </c>
      <c r="AV256">
        <f t="shared" si="189"/>
        <v>0</v>
      </c>
      <c r="AW256">
        <f t="shared" si="144"/>
        <v>0</v>
      </c>
      <c r="AX256">
        <f t="shared" si="190"/>
        <v>0</v>
      </c>
      <c r="AY256">
        <f t="shared" si="191"/>
        <v>0</v>
      </c>
    </row>
    <row r="257" spans="1:51" x14ac:dyDescent="0.35">
      <c r="A257">
        <v>251</v>
      </c>
      <c r="C257">
        <f>MAX(0,Calc!$C$7-SUM(D257:R257))</f>
        <v>750</v>
      </c>
      <c r="D257">
        <f t="shared" si="145"/>
        <v>0</v>
      </c>
      <c r="E257">
        <f t="shared" si="146"/>
        <v>0</v>
      </c>
      <c r="F257">
        <f t="shared" si="147"/>
        <v>0</v>
      </c>
      <c r="G257">
        <f t="shared" si="148"/>
        <v>0</v>
      </c>
      <c r="H257">
        <f t="shared" si="149"/>
        <v>0</v>
      </c>
      <c r="I257">
        <f t="shared" si="150"/>
        <v>0</v>
      </c>
      <c r="J257">
        <f t="shared" si="151"/>
        <v>0</v>
      </c>
      <c r="K257">
        <f t="shared" si="152"/>
        <v>0</v>
      </c>
      <c r="L257">
        <f t="shared" si="153"/>
        <v>0</v>
      </c>
      <c r="M257">
        <f t="shared" si="154"/>
        <v>0</v>
      </c>
      <c r="N257">
        <f t="shared" si="155"/>
        <v>0</v>
      </c>
      <c r="O257">
        <f t="shared" si="156"/>
        <v>0</v>
      </c>
      <c r="P257">
        <f t="shared" si="157"/>
        <v>0</v>
      </c>
      <c r="Q257">
        <f t="shared" si="158"/>
        <v>0</v>
      </c>
      <c r="R257">
        <f t="shared" si="159"/>
        <v>0</v>
      </c>
      <c r="S257">
        <f t="shared" si="160"/>
        <v>0</v>
      </c>
      <c r="T257">
        <f t="shared" si="161"/>
        <v>0</v>
      </c>
      <c r="U257">
        <f t="shared" si="162"/>
        <v>0</v>
      </c>
      <c r="V257">
        <f t="shared" si="163"/>
        <v>0</v>
      </c>
      <c r="W257">
        <f t="shared" si="164"/>
        <v>0</v>
      </c>
      <c r="X257">
        <f t="shared" si="165"/>
        <v>0</v>
      </c>
      <c r="Y257">
        <f t="shared" si="166"/>
        <v>0</v>
      </c>
      <c r="Z257">
        <f t="shared" si="167"/>
        <v>0</v>
      </c>
      <c r="AA257">
        <f t="shared" si="168"/>
        <v>0</v>
      </c>
      <c r="AB257">
        <f t="shared" si="169"/>
        <v>0</v>
      </c>
      <c r="AC257">
        <f t="shared" si="170"/>
        <v>0</v>
      </c>
      <c r="AD257">
        <f t="shared" si="171"/>
        <v>0</v>
      </c>
      <c r="AE257">
        <f t="shared" si="172"/>
        <v>0</v>
      </c>
      <c r="AF257">
        <f t="shared" si="173"/>
        <v>0</v>
      </c>
      <c r="AG257">
        <f t="shared" si="174"/>
        <v>0</v>
      </c>
      <c r="AH257">
        <f t="shared" si="175"/>
        <v>0</v>
      </c>
      <c r="AI257">
        <f t="shared" si="176"/>
        <v>0</v>
      </c>
      <c r="AJ257">
        <f t="shared" si="177"/>
        <v>0</v>
      </c>
      <c r="AK257">
        <f t="shared" si="178"/>
        <v>0</v>
      </c>
      <c r="AL257">
        <f t="shared" si="179"/>
        <v>0</v>
      </c>
      <c r="AM257">
        <f t="shared" si="180"/>
        <v>0</v>
      </c>
      <c r="AN257">
        <f t="shared" si="181"/>
        <v>0</v>
      </c>
      <c r="AO257">
        <f t="shared" si="182"/>
        <v>0</v>
      </c>
      <c r="AP257">
        <f t="shared" si="183"/>
        <v>0</v>
      </c>
      <c r="AQ257">
        <f t="shared" si="184"/>
        <v>0</v>
      </c>
      <c r="AR257">
        <f t="shared" si="185"/>
        <v>0</v>
      </c>
      <c r="AS257">
        <f t="shared" si="186"/>
        <v>0</v>
      </c>
      <c r="AT257">
        <f t="shared" si="187"/>
        <v>0</v>
      </c>
      <c r="AU257">
        <f t="shared" si="188"/>
        <v>0</v>
      </c>
      <c r="AV257">
        <f t="shared" si="189"/>
        <v>0</v>
      </c>
      <c r="AW257">
        <f t="shared" si="144"/>
        <v>0</v>
      </c>
      <c r="AX257">
        <f t="shared" si="190"/>
        <v>0</v>
      </c>
      <c r="AY257">
        <f t="shared" si="191"/>
        <v>0</v>
      </c>
    </row>
    <row r="258" spans="1:51" x14ac:dyDescent="0.35">
      <c r="A258">
        <v>252</v>
      </c>
      <c r="C258">
        <f>MAX(0,Calc!$C$7-SUM(D258:R258))</f>
        <v>750</v>
      </c>
      <c r="D258">
        <f t="shared" si="145"/>
        <v>0</v>
      </c>
      <c r="E258">
        <f t="shared" si="146"/>
        <v>0</v>
      </c>
      <c r="F258">
        <f t="shared" si="147"/>
        <v>0</v>
      </c>
      <c r="G258">
        <f t="shared" si="148"/>
        <v>0</v>
      </c>
      <c r="H258">
        <f t="shared" si="149"/>
        <v>0</v>
      </c>
      <c r="I258">
        <f t="shared" si="150"/>
        <v>0</v>
      </c>
      <c r="J258">
        <f t="shared" si="151"/>
        <v>0</v>
      </c>
      <c r="K258">
        <f t="shared" si="152"/>
        <v>0</v>
      </c>
      <c r="L258">
        <f t="shared" si="153"/>
        <v>0</v>
      </c>
      <c r="M258">
        <f t="shared" si="154"/>
        <v>0</v>
      </c>
      <c r="N258">
        <f t="shared" si="155"/>
        <v>0</v>
      </c>
      <c r="O258">
        <f t="shared" si="156"/>
        <v>0</v>
      </c>
      <c r="P258">
        <f t="shared" si="157"/>
        <v>0</v>
      </c>
      <c r="Q258">
        <f t="shared" si="158"/>
        <v>0</v>
      </c>
      <c r="R258">
        <f t="shared" si="159"/>
        <v>0</v>
      </c>
      <c r="S258">
        <f t="shared" si="160"/>
        <v>0</v>
      </c>
      <c r="T258">
        <f t="shared" si="161"/>
        <v>0</v>
      </c>
      <c r="U258">
        <f t="shared" si="162"/>
        <v>0</v>
      </c>
      <c r="V258">
        <f t="shared" si="163"/>
        <v>0</v>
      </c>
      <c r="W258">
        <f t="shared" si="164"/>
        <v>0</v>
      </c>
      <c r="X258">
        <f t="shared" si="165"/>
        <v>0</v>
      </c>
      <c r="Y258">
        <f t="shared" si="166"/>
        <v>0</v>
      </c>
      <c r="Z258">
        <f t="shared" si="167"/>
        <v>0</v>
      </c>
      <c r="AA258">
        <f t="shared" si="168"/>
        <v>0</v>
      </c>
      <c r="AB258">
        <f t="shared" si="169"/>
        <v>0</v>
      </c>
      <c r="AC258">
        <f t="shared" si="170"/>
        <v>0</v>
      </c>
      <c r="AD258">
        <f t="shared" si="171"/>
        <v>0</v>
      </c>
      <c r="AE258">
        <f t="shared" si="172"/>
        <v>0</v>
      </c>
      <c r="AF258">
        <f t="shared" si="173"/>
        <v>0</v>
      </c>
      <c r="AG258">
        <f t="shared" si="174"/>
        <v>0</v>
      </c>
      <c r="AH258">
        <f t="shared" si="175"/>
        <v>0</v>
      </c>
      <c r="AI258">
        <f t="shared" si="176"/>
        <v>0</v>
      </c>
      <c r="AJ258">
        <f t="shared" si="177"/>
        <v>0</v>
      </c>
      <c r="AK258">
        <f t="shared" si="178"/>
        <v>0</v>
      </c>
      <c r="AL258">
        <f t="shared" si="179"/>
        <v>0</v>
      </c>
      <c r="AM258">
        <f t="shared" si="180"/>
        <v>0</v>
      </c>
      <c r="AN258">
        <f t="shared" si="181"/>
        <v>0</v>
      </c>
      <c r="AO258">
        <f t="shared" si="182"/>
        <v>0</v>
      </c>
      <c r="AP258">
        <f t="shared" si="183"/>
        <v>0</v>
      </c>
      <c r="AQ258">
        <f t="shared" si="184"/>
        <v>0</v>
      </c>
      <c r="AR258">
        <f t="shared" si="185"/>
        <v>0</v>
      </c>
      <c r="AS258">
        <f t="shared" si="186"/>
        <v>0</v>
      </c>
      <c r="AT258">
        <f t="shared" si="187"/>
        <v>0</v>
      </c>
      <c r="AU258">
        <f t="shared" si="188"/>
        <v>0</v>
      </c>
      <c r="AV258">
        <f t="shared" si="189"/>
        <v>0</v>
      </c>
      <c r="AW258">
        <f t="shared" si="144"/>
        <v>0</v>
      </c>
      <c r="AX258">
        <f t="shared" si="190"/>
        <v>0</v>
      </c>
      <c r="AY258">
        <f t="shared" si="191"/>
        <v>0</v>
      </c>
    </row>
    <row r="259" spans="1:51" x14ac:dyDescent="0.35">
      <c r="A259">
        <v>253</v>
      </c>
      <c r="C259">
        <f>MAX(0,Calc!$C$7-SUM(D259:R259))</f>
        <v>750</v>
      </c>
      <c r="D259">
        <f t="shared" si="145"/>
        <v>0</v>
      </c>
      <c r="E259">
        <f t="shared" si="146"/>
        <v>0</v>
      </c>
      <c r="F259">
        <f t="shared" si="147"/>
        <v>0</v>
      </c>
      <c r="G259">
        <f t="shared" si="148"/>
        <v>0</v>
      </c>
      <c r="H259">
        <f t="shared" si="149"/>
        <v>0</v>
      </c>
      <c r="I259">
        <f t="shared" si="150"/>
        <v>0</v>
      </c>
      <c r="J259">
        <f t="shared" si="151"/>
        <v>0</v>
      </c>
      <c r="K259">
        <f t="shared" si="152"/>
        <v>0</v>
      </c>
      <c r="L259">
        <f t="shared" si="153"/>
        <v>0</v>
      </c>
      <c r="M259">
        <f t="shared" si="154"/>
        <v>0</v>
      </c>
      <c r="N259">
        <f t="shared" si="155"/>
        <v>0</v>
      </c>
      <c r="O259">
        <f t="shared" si="156"/>
        <v>0</v>
      </c>
      <c r="P259">
        <f t="shared" si="157"/>
        <v>0</v>
      </c>
      <c r="Q259">
        <f t="shared" si="158"/>
        <v>0</v>
      </c>
      <c r="R259">
        <f t="shared" si="159"/>
        <v>0</v>
      </c>
      <c r="S259">
        <f t="shared" si="160"/>
        <v>0</v>
      </c>
      <c r="T259">
        <f t="shared" si="161"/>
        <v>0</v>
      </c>
      <c r="U259">
        <f t="shared" si="162"/>
        <v>0</v>
      </c>
      <c r="V259">
        <f t="shared" si="163"/>
        <v>0</v>
      </c>
      <c r="W259">
        <f t="shared" si="164"/>
        <v>0</v>
      </c>
      <c r="X259">
        <f t="shared" si="165"/>
        <v>0</v>
      </c>
      <c r="Y259">
        <f t="shared" si="166"/>
        <v>0</v>
      </c>
      <c r="Z259">
        <f t="shared" si="167"/>
        <v>0</v>
      </c>
      <c r="AA259">
        <f t="shared" si="168"/>
        <v>0</v>
      </c>
      <c r="AB259">
        <f t="shared" si="169"/>
        <v>0</v>
      </c>
      <c r="AC259">
        <f t="shared" si="170"/>
        <v>0</v>
      </c>
      <c r="AD259">
        <f t="shared" si="171"/>
        <v>0</v>
      </c>
      <c r="AE259">
        <f t="shared" si="172"/>
        <v>0</v>
      </c>
      <c r="AF259">
        <f t="shared" si="173"/>
        <v>0</v>
      </c>
      <c r="AG259">
        <f t="shared" si="174"/>
        <v>0</v>
      </c>
      <c r="AH259">
        <f t="shared" si="175"/>
        <v>0</v>
      </c>
      <c r="AI259">
        <f t="shared" si="176"/>
        <v>0</v>
      </c>
      <c r="AJ259">
        <f t="shared" si="177"/>
        <v>0</v>
      </c>
      <c r="AK259">
        <f t="shared" si="178"/>
        <v>0</v>
      </c>
      <c r="AL259">
        <f t="shared" si="179"/>
        <v>0</v>
      </c>
      <c r="AM259">
        <f t="shared" si="180"/>
        <v>0</v>
      </c>
      <c r="AN259">
        <f t="shared" si="181"/>
        <v>0</v>
      </c>
      <c r="AO259">
        <f t="shared" si="182"/>
        <v>0</v>
      </c>
      <c r="AP259">
        <f t="shared" si="183"/>
        <v>0</v>
      </c>
      <c r="AQ259">
        <f t="shared" si="184"/>
        <v>0</v>
      </c>
      <c r="AR259">
        <f t="shared" si="185"/>
        <v>0</v>
      </c>
      <c r="AS259">
        <f t="shared" si="186"/>
        <v>0</v>
      </c>
      <c r="AT259">
        <f t="shared" si="187"/>
        <v>0</v>
      </c>
      <c r="AU259">
        <f t="shared" si="188"/>
        <v>0</v>
      </c>
      <c r="AV259">
        <f t="shared" si="189"/>
        <v>0</v>
      </c>
      <c r="AW259">
        <f t="shared" si="144"/>
        <v>0</v>
      </c>
      <c r="AX259">
        <f t="shared" si="190"/>
        <v>0</v>
      </c>
      <c r="AY259">
        <f t="shared" si="191"/>
        <v>0</v>
      </c>
    </row>
    <row r="260" spans="1:51" x14ac:dyDescent="0.35">
      <c r="A260">
        <v>254</v>
      </c>
      <c r="C260">
        <f>MAX(0,Calc!$C$7-SUM(D260:R260))</f>
        <v>750</v>
      </c>
      <c r="D260">
        <f t="shared" si="145"/>
        <v>0</v>
      </c>
      <c r="E260">
        <f t="shared" si="146"/>
        <v>0</v>
      </c>
      <c r="F260">
        <f t="shared" si="147"/>
        <v>0</v>
      </c>
      <c r="G260">
        <f t="shared" si="148"/>
        <v>0</v>
      </c>
      <c r="H260">
        <f t="shared" si="149"/>
        <v>0</v>
      </c>
      <c r="I260">
        <f t="shared" si="150"/>
        <v>0</v>
      </c>
      <c r="J260">
        <f t="shared" si="151"/>
        <v>0</v>
      </c>
      <c r="K260">
        <f t="shared" si="152"/>
        <v>0</v>
      </c>
      <c r="L260">
        <f t="shared" si="153"/>
        <v>0</v>
      </c>
      <c r="M260">
        <f t="shared" si="154"/>
        <v>0</v>
      </c>
      <c r="N260">
        <f t="shared" si="155"/>
        <v>0</v>
      </c>
      <c r="O260">
        <f t="shared" si="156"/>
        <v>0</v>
      </c>
      <c r="P260">
        <f t="shared" si="157"/>
        <v>0</v>
      </c>
      <c r="Q260">
        <f t="shared" si="158"/>
        <v>0</v>
      </c>
      <c r="R260">
        <f t="shared" si="159"/>
        <v>0</v>
      </c>
      <c r="S260">
        <f t="shared" si="160"/>
        <v>0</v>
      </c>
      <c r="T260">
        <f t="shared" si="161"/>
        <v>0</v>
      </c>
      <c r="U260">
        <f t="shared" si="162"/>
        <v>0</v>
      </c>
      <c r="V260">
        <f t="shared" si="163"/>
        <v>0</v>
      </c>
      <c r="W260">
        <f t="shared" si="164"/>
        <v>0</v>
      </c>
      <c r="X260">
        <f t="shared" si="165"/>
        <v>0</v>
      </c>
      <c r="Y260">
        <f t="shared" si="166"/>
        <v>0</v>
      </c>
      <c r="Z260">
        <f t="shared" si="167"/>
        <v>0</v>
      </c>
      <c r="AA260">
        <f t="shared" si="168"/>
        <v>0</v>
      </c>
      <c r="AB260">
        <f t="shared" si="169"/>
        <v>0</v>
      </c>
      <c r="AC260">
        <f t="shared" si="170"/>
        <v>0</v>
      </c>
      <c r="AD260">
        <f t="shared" si="171"/>
        <v>0</v>
      </c>
      <c r="AE260">
        <f t="shared" si="172"/>
        <v>0</v>
      </c>
      <c r="AF260">
        <f t="shared" si="173"/>
        <v>0</v>
      </c>
      <c r="AG260">
        <f t="shared" si="174"/>
        <v>0</v>
      </c>
      <c r="AH260">
        <f t="shared" si="175"/>
        <v>0</v>
      </c>
      <c r="AI260">
        <f t="shared" si="176"/>
        <v>0</v>
      </c>
      <c r="AJ260">
        <f t="shared" si="177"/>
        <v>0</v>
      </c>
      <c r="AK260">
        <f t="shared" si="178"/>
        <v>0</v>
      </c>
      <c r="AL260">
        <f t="shared" si="179"/>
        <v>0</v>
      </c>
      <c r="AM260">
        <f t="shared" si="180"/>
        <v>0</v>
      </c>
      <c r="AN260">
        <f t="shared" si="181"/>
        <v>0</v>
      </c>
      <c r="AO260">
        <f t="shared" si="182"/>
        <v>0</v>
      </c>
      <c r="AP260">
        <f t="shared" si="183"/>
        <v>0</v>
      </c>
      <c r="AQ260">
        <f t="shared" si="184"/>
        <v>0</v>
      </c>
      <c r="AR260">
        <f t="shared" si="185"/>
        <v>0</v>
      </c>
      <c r="AS260">
        <f t="shared" si="186"/>
        <v>0</v>
      </c>
      <c r="AT260">
        <f t="shared" si="187"/>
        <v>0</v>
      </c>
      <c r="AU260">
        <f t="shared" si="188"/>
        <v>0</v>
      </c>
      <c r="AV260">
        <f t="shared" si="189"/>
        <v>0</v>
      </c>
      <c r="AW260">
        <f t="shared" si="144"/>
        <v>0</v>
      </c>
      <c r="AX260">
        <f t="shared" si="190"/>
        <v>0</v>
      </c>
      <c r="AY260">
        <f t="shared" si="191"/>
        <v>0</v>
      </c>
    </row>
    <row r="261" spans="1:51" x14ac:dyDescent="0.35">
      <c r="A261">
        <v>255</v>
      </c>
      <c r="C261">
        <f>MAX(0,Calc!$C$7-SUM(D261:R261))</f>
        <v>750</v>
      </c>
      <c r="D261">
        <f t="shared" si="145"/>
        <v>0</v>
      </c>
      <c r="E261">
        <f t="shared" si="146"/>
        <v>0</v>
      </c>
      <c r="F261">
        <f t="shared" si="147"/>
        <v>0</v>
      </c>
      <c r="G261">
        <f t="shared" si="148"/>
        <v>0</v>
      </c>
      <c r="H261">
        <f t="shared" si="149"/>
        <v>0</v>
      </c>
      <c r="I261">
        <f t="shared" si="150"/>
        <v>0</v>
      </c>
      <c r="J261">
        <f t="shared" si="151"/>
        <v>0</v>
      </c>
      <c r="K261">
        <f t="shared" si="152"/>
        <v>0</v>
      </c>
      <c r="L261">
        <f t="shared" si="153"/>
        <v>0</v>
      </c>
      <c r="M261">
        <f t="shared" si="154"/>
        <v>0</v>
      </c>
      <c r="N261">
        <f t="shared" si="155"/>
        <v>0</v>
      </c>
      <c r="O261">
        <f t="shared" si="156"/>
        <v>0</v>
      </c>
      <c r="P261">
        <f t="shared" si="157"/>
        <v>0</v>
      </c>
      <c r="Q261">
        <f t="shared" si="158"/>
        <v>0</v>
      </c>
      <c r="R261">
        <f t="shared" si="159"/>
        <v>0</v>
      </c>
      <c r="S261">
        <f t="shared" si="160"/>
        <v>0</v>
      </c>
      <c r="T261">
        <f t="shared" si="161"/>
        <v>0</v>
      </c>
      <c r="U261">
        <f t="shared" si="162"/>
        <v>0</v>
      </c>
      <c r="V261">
        <f t="shared" si="163"/>
        <v>0</v>
      </c>
      <c r="W261">
        <f t="shared" si="164"/>
        <v>0</v>
      </c>
      <c r="X261">
        <f t="shared" si="165"/>
        <v>0</v>
      </c>
      <c r="Y261">
        <f t="shared" si="166"/>
        <v>0</v>
      </c>
      <c r="Z261">
        <f t="shared" si="167"/>
        <v>0</v>
      </c>
      <c r="AA261">
        <f t="shared" si="168"/>
        <v>0</v>
      </c>
      <c r="AB261">
        <f t="shared" si="169"/>
        <v>0</v>
      </c>
      <c r="AC261">
        <f t="shared" si="170"/>
        <v>0</v>
      </c>
      <c r="AD261">
        <f t="shared" si="171"/>
        <v>0</v>
      </c>
      <c r="AE261">
        <f t="shared" si="172"/>
        <v>0</v>
      </c>
      <c r="AF261">
        <f t="shared" si="173"/>
        <v>0</v>
      </c>
      <c r="AG261">
        <f t="shared" si="174"/>
        <v>0</v>
      </c>
      <c r="AH261">
        <f t="shared" si="175"/>
        <v>0</v>
      </c>
      <c r="AI261">
        <f t="shared" si="176"/>
        <v>0</v>
      </c>
      <c r="AJ261">
        <f t="shared" si="177"/>
        <v>0</v>
      </c>
      <c r="AK261">
        <f t="shared" si="178"/>
        <v>0</v>
      </c>
      <c r="AL261">
        <f t="shared" si="179"/>
        <v>0</v>
      </c>
      <c r="AM261">
        <f t="shared" si="180"/>
        <v>0</v>
      </c>
      <c r="AN261">
        <f t="shared" si="181"/>
        <v>0</v>
      </c>
      <c r="AO261">
        <f t="shared" si="182"/>
        <v>0</v>
      </c>
      <c r="AP261">
        <f t="shared" si="183"/>
        <v>0</v>
      </c>
      <c r="AQ261">
        <f t="shared" si="184"/>
        <v>0</v>
      </c>
      <c r="AR261">
        <f t="shared" si="185"/>
        <v>0</v>
      </c>
      <c r="AS261">
        <f t="shared" si="186"/>
        <v>0</v>
      </c>
      <c r="AT261">
        <f t="shared" si="187"/>
        <v>0</v>
      </c>
      <c r="AU261">
        <f t="shared" si="188"/>
        <v>0</v>
      </c>
      <c r="AV261">
        <f t="shared" si="189"/>
        <v>0</v>
      </c>
      <c r="AW261">
        <f t="shared" si="144"/>
        <v>0</v>
      </c>
      <c r="AX261">
        <f t="shared" si="190"/>
        <v>0</v>
      </c>
      <c r="AY261">
        <f t="shared" si="191"/>
        <v>0</v>
      </c>
    </row>
    <row r="262" spans="1:51" x14ac:dyDescent="0.35">
      <c r="A262">
        <v>256</v>
      </c>
      <c r="C262">
        <f>MAX(0,Calc!$C$7-SUM(D262:R262))</f>
        <v>750</v>
      </c>
      <c r="D262">
        <f t="shared" si="145"/>
        <v>0</v>
      </c>
      <c r="E262">
        <f t="shared" si="146"/>
        <v>0</v>
      </c>
      <c r="F262">
        <f t="shared" si="147"/>
        <v>0</v>
      </c>
      <c r="G262">
        <f t="shared" si="148"/>
        <v>0</v>
      </c>
      <c r="H262">
        <f t="shared" si="149"/>
        <v>0</v>
      </c>
      <c r="I262">
        <f t="shared" si="150"/>
        <v>0</v>
      </c>
      <c r="J262">
        <f t="shared" si="151"/>
        <v>0</v>
      </c>
      <c r="K262">
        <f t="shared" si="152"/>
        <v>0</v>
      </c>
      <c r="L262">
        <f t="shared" si="153"/>
        <v>0</v>
      </c>
      <c r="M262">
        <f t="shared" si="154"/>
        <v>0</v>
      </c>
      <c r="N262">
        <f t="shared" si="155"/>
        <v>0</v>
      </c>
      <c r="O262">
        <f t="shared" si="156"/>
        <v>0</v>
      </c>
      <c r="P262">
        <f t="shared" si="157"/>
        <v>0</v>
      </c>
      <c r="Q262">
        <f t="shared" si="158"/>
        <v>0</v>
      </c>
      <c r="R262">
        <f t="shared" si="159"/>
        <v>0</v>
      </c>
      <c r="S262">
        <f t="shared" si="160"/>
        <v>0</v>
      </c>
      <c r="T262">
        <f t="shared" si="161"/>
        <v>0</v>
      </c>
      <c r="U262">
        <f t="shared" si="162"/>
        <v>0</v>
      </c>
      <c r="V262">
        <f t="shared" si="163"/>
        <v>0</v>
      </c>
      <c r="W262">
        <f t="shared" si="164"/>
        <v>0</v>
      </c>
      <c r="X262">
        <f t="shared" si="165"/>
        <v>0</v>
      </c>
      <c r="Y262">
        <f t="shared" si="166"/>
        <v>0</v>
      </c>
      <c r="Z262">
        <f t="shared" si="167"/>
        <v>0</v>
      </c>
      <c r="AA262">
        <f t="shared" si="168"/>
        <v>0</v>
      </c>
      <c r="AB262">
        <f t="shared" si="169"/>
        <v>0</v>
      </c>
      <c r="AC262">
        <f t="shared" si="170"/>
        <v>0</v>
      </c>
      <c r="AD262">
        <f t="shared" si="171"/>
        <v>0</v>
      </c>
      <c r="AE262">
        <f t="shared" si="172"/>
        <v>0</v>
      </c>
      <c r="AF262">
        <f t="shared" si="173"/>
        <v>0</v>
      </c>
      <c r="AG262">
        <f t="shared" si="174"/>
        <v>0</v>
      </c>
      <c r="AH262">
        <f t="shared" si="175"/>
        <v>0</v>
      </c>
      <c r="AI262">
        <f t="shared" si="176"/>
        <v>0</v>
      </c>
      <c r="AJ262">
        <f t="shared" si="177"/>
        <v>0</v>
      </c>
      <c r="AK262">
        <f t="shared" si="178"/>
        <v>0</v>
      </c>
      <c r="AL262">
        <f t="shared" si="179"/>
        <v>0</v>
      </c>
      <c r="AM262">
        <f t="shared" si="180"/>
        <v>0</v>
      </c>
      <c r="AN262">
        <f t="shared" si="181"/>
        <v>0</v>
      </c>
      <c r="AO262">
        <f t="shared" si="182"/>
        <v>0</v>
      </c>
      <c r="AP262">
        <f t="shared" si="183"/>
        <v>0</v>
      </c>
      <c r="AQ262">
        <f t="shared" si="184"/>
        <v>0</v>
      </c>
      <c r="AR262">
        <f t="shared" si="185"/>
        <v>0</v>
      </c>
      <c r="AS262">
        <f t="shared" si="186"/>
        <v>0</v>
      </c>
      <c r="AT262">
        <f t="shared" si="187"/>
        <v>0</v>
      </c>
      <c r="AU262">
        <f t="shared" si="188"/>
        <v>0</v>
      </c>
      <c r="AV262">
        <f t="shared" si="189"/>
        <v>0</v>
      </c>
      <c r="AW262">
        <f t="shared" ref="AW262:AW325" si="192">SUM(AH262:AV262)</f>
        <v>0</v>
      </c>
      <c r="AX262">
        <f t="shared" si="190"/>
        <v>0</v>
      </c>
      <c r="AY262">
        <f t="shared" si="191"/>
        <v>0</v>
      </c>
    </row>
    <row r="263" spans="1:51" x14ac:dyDescent="0.35">
      <c r="A263">
        <v>257</v>
      </c>
      <c r="C263">
        <f>MAX(0,Calc!$C$7-SUM(D263:R263))</f>
        <v>750</v>
      </c>
      <c r="D263">
        <f t="shared" ref="D263:D326" si="193">IF(AH262&lt;0.005,0,MIN((AH262+ROUND(AH262*AH$3,2)),AH$4))</f>
        <v>0</v>
      </c>
      <c r="E263">
        <f t="shared" ref="E263:E326" si="194">IF(AI262&lt;0.005,0,MIN((AI262+ROUND(AI262*AI$3,2)),AI$4))</f>
        <v>0</v>
      </c>
      <c r="F263">
        <f t="shared" ref="F263:F326" si="195">IF(AJ262&lt;0.005,0,MIN((AJ262+ROUND(AJ262*AJ$3,2)),AJ$4))</f>
        <v>0</v>
      </c>
      <c r="G263">
        <f t="shared" ref="G263:G326" si="196">IF(AK262&lt;0.005,0,MIN((AK262+ROUND(AK262*AK$3,2)),AK$4))</f>
        <v>0</v>
      </c>
      <c r="H263">
        <f t="shared" ref="H263:H326" si="197">IF(AL262&lt;0.005,0,MIN((AL262+ROUND(AL262*AL$3,2)),AL$4))</f>
        <v>0</v>
      </c>
      <c r="I263">
        <f t="shared" ref="I263:I326" si="198">IF(AM262&lt;0.005,0,MIN((AM262+ROUND(AM262*AM$3,2)),AM$4))</f>
        <v>0</v>
      </c>
      <c r="J263">
        <f t="shared" ref="J263:J326" si="199">IF(AN262&lt;0.005,0,MIN((AN262+ROUND(AN262*AN$3,2)),AN$4))</f>
        <v>0</v>
      </c>
      <c r="K263">
        <f t="shared" ref="K263:K326" si="200">IF(AO262&lt;0.005,0,MIN((AO262+ROUND(AO262*AO$3,2)),AO$4))</f>
        <v>0</v>
      </c>
      <c r="L263">
        <f t="shared" ref="L263:L326" si="201">IF(AP262&lt;0.005,0,MIN((AP262+ROUND(AP262*AP$3,2)),AP$4))</f>
        <v>0</v>
      </c>
      <c r="M263">
        <f t="shared" ref="M263:M326" si="202">IF(AQ262&lt;0.005,0,MIN((AQ262+ROUND(AQ262*AQ$3,2)),AQ$4))</f>
        <v>0</v>
      </c>
      <c r="N263">
        <f t="shared" ref="N263:N326" si="203">IF(AR262&lt;0.005,0,MIN((AR262+ROUND(AR262*AR$3,2)),AR$4))</f>
        <v>0</v>
      </c>
      <c r="O263">
        <f t="shared" ref="O263:O326" si="204">IF(AS262&lt;0.005,0,MIN((AS262+ROUND(AS262*AS$3,2)),AS$4))</f>
        <v>0</v>
      </c>
      <c r="P263">
        <f t="shared" ref="P263:P326" si="205">IF(AT262&lt;0.005,0,MIN((AT262+ROUND(AT262*AT$3,2)),AT$4))</f>
        <v>0</v>
      </c>
      <c r="Q263">
        <f t="shared" ref="Q263:Q326" si="206">IF(AU262&lt;0.005,0,MIN((AU262+ROUND(AU262*AU$3,2)),AU$4))</f>
        <v>0</v>
      </c>
      <c r="R263">
        <f t="shared" ref="R263:R326" si="207">IF(AV262&lt;0.005,0,MIN((AV262+ROUND(AV262*AV$3,2)),AV$4))</f>
        <v>0</v>
      </c>
      <c r="S263">
        <f t="shared" ref="S263:S326" si="208">IF(AH262&lt;0.005,0,MIN((AH262+ROUND(AH262*AH$3,2))-D263,MAX(0,$C263)))</f>
        <v>0</v>
      </c>
      <c r="T263">
        <f t="shared" ref="T263:T326" si="209">IF(AI262&lt;0.005,0,MIN((AI262+ROUND(AI262*AI$3,2))-E263,MAX(0,$C263-SUM(S263:S263))))</f>
        <v>0</v>
      </c>
      <c r="U263">
        <f t="shared" ref="U263:U326" si="210">IF(AJ262&lt;0.005,0,MIN((AJ262+ROUND(AJ262*AJ$3,2))-F263,MAX(0,$C263-SUM(S263:T263))))</f>
        <v>0</v>
      </c>
      <c r="V263">
        <f t="shared" ref="V263:V326" si="211">IF(AK262&lt;0.005,0,MIN((AK262+ROUND(AK262*AK$3,2))-G263,MAX(0,$C263-SUM(S263:U263))))</f>
        <v>0</v>
      </c>
      <c r="W263">
        <f t="shared" ref="W263:W326" si="212">IF(AL262&lt;0.005,0,MIN((AL262+ROUND(AL262*AL$3,2))-H263,MAX(0,$C263-SUM(S263:V263))))</f>
        <v>0</v>
      </c>
      <c r="X263">
        <f t="shared" ref="X263:X326" si="213">IF(AM262&lt;0.005,0,MIN((AM262+ROUND(AM262*AM$3,2))-I263,MAX(0,$C263-SUM(S263:W263))))</f>
        <v>0</v>
      </c>
      <c r="Y263">
        <f t="shared" ref="Y263:Y326" si="214">IF(AN262&lt;0.005,0,MIN((AN262+ROUND(AN262*AN$3,2))-J263,MAX(0,$C263-SUM(S263:X263))))</f>
        <v>0</v>
      </c>
      <c r="Z263">
        <f t="shared" ref="Z263:Z326" si="215">IF(AO262&lt;0.005,0,MIN((AO262+ROUND(AO262*AO$3,2))-K263,MAX(0,$C263-SUM(S263:Y263))))</f>
        <v>0</v>
      </c>
      <c r="AA263">
        <f t="shared" ref="AA263:AA326" si="216">IF(AP262&lt;0.005,0,MIN((AP262+ROUND(AP262*AP$3,2))-L263,MAX(0,$C263-SUM(S263:Z263))))</f>
        <v>0</v>
      </c>
      <c r="AB263">
        <f t="shared" ref="AB263:AB326" si="217">IF(AQ262&lt;0.005,0,MIN((AQ262+ROUND(AQ262*AQ$3,2))-M263,MAX(0,$C263-SUM(S263:AA263))))</f>
        <v>0</v>
      </c>
      <c r="AC263">
        <f t="shared" ref="AC263:AC326" si="218">IF(AR262&lt;0.005,0,MIN((AR262+ROUND(AR262*AR$3,2))-N263,MAX(0,$C263-SUM(S263:AB263))))</f>
        <v>0</v>
      </c>
      <c r="AD263">
        <f t="shared" ref="AD263:AD326" si="219">IF(AS262&lt;0.005,0,MIN((AS262+ROUND(AS262*AS$3,2))-O263,MAX(0,$C263-SUM(S263:AC263))))</f>
        <v>0</v>
      </c>
      <c r="AE263">
        <f t="shared" ref="AE263:AE326" si="220">IF(AT262&lt;0.005,0,MIN((AT262+ROUND(AT262*AT$3,2))-P263,MAX(0,$C263-SUM(S263:AD263))))</f>
        <v>0</v>
      </c>
      <c r="AF263">
        <f t="shared" ref="AF263:AF326" si="221">IF(AU262&lt;0.005,0,MIN((AU262+ROUND(AU262*AU$3,2))-Q263,MAX(0,$C263-SUM(S263:AE263))))</f>
        <v>0</v>
      </c>
      <c r="AG263">
        <f t="shared" ref="AG263:AG326" si="222">IF(AV262&lt;0.005,0,MIN((AV262+ROUND(AV262*AV$3,2))-R263,MAX(0,$C263-SUM(S263:AF263))))</f>
        <v>0</v>
      </c>
      <c r="AH263">
        <f t="shared" ref="AH263:AH326" si="223">IF(AH262&lt;0.005,0,ROUND((AH262+ROUND(AH262*AH$3,2))-D263-S263,2))</f>
        <v>0</v>
      </c>
      <c r="AI263">
        <f t="shared" ref="AI263:AI326" si="224">IF(AI262&lt;0.005,0,ROUND((AI262+ROUND(AI262*AI$3,2))-E263-T263,2))</f>
        <v>0</v>
      </c>
      <c r="AJ263">
        <f t="shared" ref="AJ263:AJ326" si="225">IF(AJ262&lt;0.005,0,ROUND((AJ262+ROUND(AJ262*AJ$3,2))-F263-U263,2))</f>
        <v>0</v>
      </c>
      <c r="AK263">
        <f t="shared" ref="AK263:AK326" si="226">IF(AK262&lt;0.005,0,ROUND((AK262+ROUND(AK262*AK$3,2))-G263-V263,2))</f>
        <v>0</v>
      </c>
      <c r="AL263">
        <f t="shared" ref="AL263:AL326" si="227">IF(AL262&lt;0.005,0,ROUND((AL262+ROUND(AL262*AL$3,2))-H263-W263,2))</f>
        <v>0</v>
      </c>
      <c r="AM263">
        <f t="shared" ref="AM263:AM326" si="228">IF(AM262&lt;0.005,0,ROUND((AM262+ROUND(AM262*AM$3,2))-I263-X263,2))</f>
        <v>0</v>
      </c>
      <c r="AN263">
        <f t="shared" ref="AN263:AN326" si="229">IF(AN262&lt;0.005,0,ROUND((AN262+ROUND(AN262*AN$3,2))-J263-Y263,2))</f>
        <v>0</v>
      </c>
      <c r="AO263">
        <f t="shared" ref="AO263:AO326" si="230">IF(AO262&lt;0.005,0,ROUND((AO262+ROUND(AO262*AO$3,2))-K263-Z263,2))</f>
        <v>0</v>
      </c>
      <c r="AP263">
        <f t="shared" ref="AP263:AP326" si="231">IF(AP262&lt;0.005,0,ROUND((AP262+ROUND(AP262*AP$3,2))-L263-AA263,2))</f>
        <v>0</v>
      </c>
      <c r="AQ263">
        <f t="shared" ref="AQ263:AQ326" si="232">IF(AQ262&lt;0.005,0,ROUND((AQ262+ROUND(AQ262*AQ$3,2))-M263-AB263,2))</f>
        <v>0</v>
      </c>
      <c r="AR263">
        <f t="shared" ref="AR263:AR326" si="233">IF(AR262&lt;0.005,0,ROUND((AR262+ROUND(AR262*AR$3,2))-N263-AC263,2))</f>
        <v>0</v>
      </c>
      <c r="AS263">
        <f t="shared" ref="AS263:AS326" si="234">IF(AS262&lt;0.005,0,ROUND((AS262+ROUND(AS262*AS$3,2))-O263-AD263,2))</f>
        <v>0</v>
      </c>
      <c r="AT263">
        <f t="shared" ref="AT263:AT326" si="235">IF(AT262&lt;0.005,0,ROUND((AT262+ROUND(AT262*AT$3,2))-P263-AE263,2))</f>
        <v>0</v>
      </c>
      <c r="AU263">
        <f t="shared" ref="AU263:AU326" si="236">IF(AU262&lt;0.005,0,ROUND((AU262+ROUND(AU262*AU$3,2))-Q263-AF263,2))</f>
        <v>0</v>
      </c>
      <c r="AV263">
        <f t="shared" ref="AV263:AV326" si="237">IF(AV262&lt;0.005,0,ROUND((AV262+ROUND(AV262*AV$3,2))-R263-AG263,2))</f>
        <v>0</v>
      </c>
      <c r="AW263">
        <f t="shared" si="192"/>
        <v>0</v>
      </c>
      <c r="AX263">
        <f t="shared" ref="AX263:AX326" si="238">SUMPRODUCT(ROUND(AH262:AV262*AH$3:AV$3,2))</f>
        <v>0</v>
      </c>
      <c r="AY263">
        <f t="shared" ref="AY263:AY326" si="239">SUM(D263:AG263)</f>
        <v>0</v>
      </c>
    </row>
    <row r="264" spans="1:51" x14ac:dyDescent="0.35">
      <c r="A264">
        <v>258</v>
      </c>
      <c r="C264">
        <f>MAX(0,Calc!$C$7-SUM(D264:R264))</f>
        <v>750</v>
      </c>
      <c r="D264">
        <f t="shared" si="193"/>
        <v>0</v>
      </c>
      <c r="E264">
        <f t="shared" si="194"/>
        <v>0</v>
      </c>
      <c r="F264">
        <f t="shared" si="195"/>
        <v>0</v>
      </c>
      <c r="G264">
        <f t="shared" si="196"/>
        <v>0</v>
      </c>
      <c r="H264">
        <f t="shared" si="197"/>
        <v>0</v>
      </c>
      <c r="I264">
        <f t="shared" si="198"/>
        <v>0</v>
      </c>
      <c r="J264">
        <f t="shared" si="199"/>
        <v>0</v>
      </c>
      <c r="K264">
        <f t="shared" si="200"/>
        <v>0</v>
      </c>
      <c r="L264">
        <f t="shared" si="201"/>
        <v>0</v>
      </c>
      <c r="M264">
        <f t="shared" si="202"/>
        <v>0</v>
      </c>
      <c r="N264">
        <f t="shared" si="203"/>
        <v>0</v>
      </c>
      <c r="O264">
        <f t="shared" si="204"/>
        <v>0</v>
      </c>
      <c r="P264">
        <f t="shared" si="205"/>
        <v>0</v>
      </c>
      <c r="Q264">
        <f t="shared" si="206"/>
        <v>0</v>
      </c>
      <c r="R264">
        <f t="shared" si="207"/>
        <v>0</v>
      </c>
      <c r="S264">
        <f t="shared" si="208"/>
        <v>0</v>
      </c>
      <c r="T264">
        <f t="shared" si="209"/>
        <v>0</v>
      </c>
      <c r="U264">
        <f t="shared" si="210"/>
        <v>0</v>
      </c>
      <c r="V264">
        <f t="shared" si="211"/>
        <v>0</v>
      </c>
      <c r="W264">
        <f t="shared" si="212"/>
        <v>0</v>
      </c>
      <c r="X264">
        <f t="shared" si="213"/>
        <v>0</v>
      </c>
      <c r="Y264">
        <f t="shared" si="214"/>
        <v>0</v>
      </c>
      <c r="Z264">
        <f t="shared" si="215"/>
        <v>0</v>
      </c>
      <c r="AA264">
        <f t="shared" si="216"/>
        <v>0</v>
      </c>
      <c r="AB264">
        <f t="shared" si="217"/>
        <v>0</v>
      </c>
      <c r="AC264">
        <f t="shared" si="218"/>
        <v>0</v>
      </c>
      <c r="AD264">
        <f t="shared" si="219"/>
        <v>0</v>
      </c>
      <c r="AE264">
        <f t="shared" si="220"/>
        <v>0</v>
      </c>
      <c r="AF264">
        <f t="shared" si="221"/>
        <v>0</v>
      </c>
      <c r="AG264">
        <f t="shared" si="222"/>
        <v>0</v>
      </c>
      <c r="AH264">
        <f t="shared" si="223"/>
        <v>0</v>
      </c>
      <c r="AI264">
        <f t="shared" si="224"/>
        <v>0</v>
      </c>
      <c r="AJ264">
        <f t="shared" si="225"/>
        <v>0</v>
      </c>
      <c r="AK264">
        <f t="shared" si="226"/>
        <v>0</v>
      </c>
      <c r="AL264">
        <f t="shared" si="227"/>
        <v>0</v>
      </c>
      <c r="AM264">
        <f t="shared" si="228"/>
        <v>0</v>
      </c>
      <c r="AN264">
        <f t="shared" si="229"/>
        <v>0</v>
      </c>
      <c r="AO264">
        <f t="shared" si="230"/>
        <v>0</v>
      </c>
      <c r="AP264">
        <f t="shared" si="231"/>
        <v>0</v>
      </c>
      <c r="AQ264">
        <f t="shared" si="232"/>
        <v>0</v>
      </c>
      <c r="AR264">
        <f t="shared" si="233"/>
        <v>0</v>
      </c>
      <c r="AS264">
        <f t="shared" si="234"/>
        <v>0</v>
      </c>
      <c r="AT264">
        <f t="shared" si="235"/>
        <v>0</v>
      </c>
      <c r="AU264">
        <f t="shared" si="236"/>
        <v>0</v>
      </c>
      <c r="AV264">
        <f t="shared" si="237"/>
        <v>0</v>
      </c>
      <c r="AW264">
        <f t="shared" si="192"/>
        <v>0</v>
      </c>
      <c r="AX264">
        <f t="shared" si="238"/>
        <v>0</v>
      </c>
      <c r="AY264">
        <f t="shared" si="239"/>
        <v>0</v>
      </c>
    </row>
    <row r="265" spans="1:51" x14ac:dyDescent="0.35">
      <c r="A265">
        <v>259</v>
      </c>
      <c r="C265">
        <f>MAX(0,Calc!$C$7-SUM(D265:R265))</f>
        <v>750</v>
      </c>
      <c r="D265">
        <f t="shared" si="193"/>
        <v>0</v>
      </c>
      <c r="E265">
        <f t="shared" si="194"/>
        <v>0</v>
      </c>
      <c r="F265">
        <f t="shared" si="195"/>
        <v>0</v>
      </c>
      <c r="G265">
        <f t="shared" si="196"/>
        <v>0</v>
      </c>
      <c r="H265">
        <f t="shared" si="197"/>
        <v>0</v>
      </c>
      <c r="I265">
        <f t="shared" si="198"/>
        <v>0</v>
      </c>
      <c r="J265">
        <f t="shared" si="199"/>
        <v>0</v>
      </c>
      <c r="K265">
        <f t="shared" si="200"/>
        <v>0</v>
      </c>
      <c r="L265">
        <f t="shared" si="201"/>
        <v>0</v>
      </c>
      <c r="M265">
        <f t="shared" si="202"/>
        <v>0</v>
      </c>
      <c r="N265">
        <f t="shared" si="203"/>
        <v>0</v>
      </c>
      <c r="O265">
        <f t="shared" si="204"/>
        <v>0</v>
      </c>
      <c r="P265">
        <f t="shared" si="205"/>
        <v>0</v>
      </c>
      <c r="Q265">
        <f t="shared" si="206"/>
        <v>0</v>
      </c>
      <c r="R265">
        <f t="shared" si="207"/>
        <v>0</v>
      </c>
      <c r="S265">
        <f t="shared" si="208"/>
        <v>0</v>
      </c>
      <c r="T265">
        <f t="shared" si="209"/>
        <v>0</v>
      </c>
      <c r="U265">
        <f t="shared" si="210"/>
        <v>0</v>
      </c>
      <c r="V265">
        <f t="shared" si="211"/>
        <v>0</v>
      </c>
      <c r="W265">
        <f t="shared" si="212"/>
        <v>0</v>
      </c>
      <c r="X265">
        <f t="shared" si="213"/>
        <v>0</v>
      </c>
      <c r="Y265">
        <f t="shared" si="214"/>
        <v>0</v>
      </c>
      <c r="Z265">
        <f t="shared" si="215"/>
        <v>0</v>
      </c>
      <c r="AA265">
        <f t="shared" si="216"/>
        <v>0</v>
      </c>
      <c r="AB265">
        <f t="shared" si="217"/>
        <v>0</v>
      </c>
      <c r="AC265">
        <f t="shared" si="218"/>
        <v>0</v>
      </c>
      <c r="AD265">
        <f t="shared" si="219"/>
        <v>0</v>
      </c>
      <c r="AE265">
        <f t="shared" si="220"/>
        <v>0</v>
      </c>
      <c r="AF265">
        <f t="shared" si="221"/>
        <v>0</v>
      </c>
      <c r="AG265">
        <f t="shared" si="222"/>
        <v>0</v>
      </c>
      <c r="AH265">
        <f t="shared" si="223"/>
        <v>0</v>
      </c>
      <c r="AI265">
        <f t="shared" si="224"/>
        <v>0</v>
      </c>
      <c r="AJ265">
        <f t="shared" si="225"/>
        <v>0</v>
      </c>
      <c r="AK265">
        <f t="shared" si="226"/>
        <v>0</v>
      </c>
      <c r="AL265">
        <f t="shared" si="227"/>
        <v>0</v>
      </c>
      <c r="AM265">
        <f t="shared" si="228"/>
        <v>0</v>
      </c>
      <c r="AN265">
        <f t="shared" si="229"/>
        <v>0</v>
      </c>
      <c r="AO265">
        <f t="shared" si="230"/>
        <v>0</v>
      </c>
      <c r="AP265">
        <f t="shared" si="231"/>
        <v>0</v>
      </c>
      <c r="AQ265">
        <f t="shared" si="232"/>
        <v>0</v>
      </c>
      <c r="AR265">
        <f t="shared" si="233"/>
        <v>0</v>
      </c>
      <c r="AS265">
        <f t="shared" si="234"/>
        <v>0</v>
      </c>
      <c r="AT265">
        <f t="shared" si="235"/>
        <v>0</v>
      </c>
      <c r="AU265">
        <f t="shared" si="236"/>
        <v>0</v>
      </c>
      <c r="AV265">
        <f t="shared" si="237"/>
        <v>0</v>
      </c>
      <c r="AW265">
        <f t="shared" si="192"/>
        <v>0</v>
      </c>
      <c r="AX265">
        <f t="shared" si="238"/>
        <v>0</v>
      </c>
      <c r="AY265">
        <f t="shared" si="239"/>
        <v>0</v>
      </c>
    </row>
    <row r="266" spans="1:51" x14ac:dyDescent="0.35">
      <c r="A266">
        <v>260</v>
      </c>
      <c r="C266">
        <f>MAX(0,Calc!$C$7-SUM(D266:R266))</f>
        <v>750</v>
      </c>
      <c r="D266">
        <f t="shared" si="193"/>
        <v>0</v>
      </c>
      <c r="E266">
        <f t="shared" si="194"/>
        <v>0</v>
      </c>
      <c r="F266">
        <f t="shared" si="195"/>
        <v>0</v>
      </c>
      <c r="G266">
        <f t="shared" si="196"/>
        <v>0</v>
      </c>
      <c r="H266">
        <f t="shared" si="197"/>
        <v>0</v>
      </c>
      <c r="I266">
        <f t="shared" si="198"/>
        <v>0</v>
      </c>
      <c r="J266">
        <f t="shared" si="199"/>
        <v>0</v>
      </c>
      <c r="K266">
        <f t="shared" si="200"/>
        <v>0</v>
      </c>
      <c r="L266">
        <f t="shared" si="201"/>
        <v>0</v>
      </c>
      <c r="M266">
        <f t="shared" si="202"/>
        <v>0</v>
      </c>
      <c r="N266">
        <f t="shared" si="203"/>
        <v>0</v>
      </c>
      <c r="O266">
        <f t="shared" si="204"/>
        <v>0</v>
      </c>
      <c r="P266">
        <f t="shared" si="205"/>
        <v>0</v>
      </c>
      <c r="Q266">
        <f t="shared" si="206"/>
        <v>0</v>
      </c>
      <c r="R266">
        <f t="shared" si="207"/>
        <v>0</v>
      </c>
      <c r="S266">
        <f t="shared" si="208"/>
        <v>0</v>
      </c>
      <c r="T266">
        <f t="shared" si="209"/>
        <v>0</v>
      </c>
      <c r="U266">
        <f t="shared" si="210"/>
        <v>0</v>
      </c>
      <c r="V266">
        <f t="shared" si="211"/>
        <v>0</v>
      </c>
      <c r="W266">
        <f t="shared" si="212"/>
        <v>0</v>
      </c>
      <c r="X266">
        <f t="shared" si="213"/>
        <v>0</v>
      </c>
      <c r="Y266">
        <f t="shared" si="214"/>
        <v>0</v>
      </c>
      <c r="Z266">
        <f t="shared" si="215"/>
        <v>0</v>
      </c>
      <c r="AA266">
        <f t="shared" si="216"/>
        <v>0</v>
      </c>
      <c r="AB266">
        <f t="shared" si="217"/>
        <v>0</v>
      </c>
      <c r="AC266">
        <f t="shared" si="218"/>
        <v>0</v>
      </c>
      <c r="AD266">
        <f t="shared" si="219"/>
        <v>0</v>
      </c>
      <c r="AE266">
        <f t="shared" si="220"/>
        <v>0</v>
      </c>
      <c r="AF266">
        <f t="shared" si="221"/>
        <v>0</v>
      </c>
      <c r="AG266">
        <f t="shared" si="222"/>
        <v>0</v>
      </c>
      <c r="AH266">
        <f t="shared" si="223"/>
        <v>0</v>
      </c>
      <c r="AI266">
        <f t="shared" si="224"/>
        <v>0</v>
      </c>
      <c r="AJ266">
        <f t="shared" si="225"/>
        <v>0</v>
      </c>
      <c r="AK266">
        <f t="shared" si="226"/>
        <v>0</v>
      </c>
      <c r="AL266">
        <f t="shared" si="227"/>
        <v>0</v>
      </c>
      <c r="AM266">
        <f t="shared" si="228"/>
        <v>0</v>
      </c>
      <c r="AN266">
        <f t="shared" si="229"/>
        <v>0</v>
      </c>
      <c r="AO266">
        <f t="shared" si="230"/>
        <v>0</v>
      </c>
      <c r="AP266">
        <f t="shared" si="231"/>
        <v>0</v>
      </c>
      <c r="AQ266">
        <f t="shared" si="232"/>
        <v>0</v>
      </c>
      <c r="AR266">
        <f t="shared" si="233"/>
        <v>0</v>
      </c>
      <c r="AS266">
        <f t="shared" si="234"/>
        <v>0</v>
      </c>
      <c r="AT266">
        <f t="shared" si="235"/>
        <v>0</v>
      </c>
      <c r="AU266">
        <f t="shared" si="236"/>
        <v>0</v>
      </c>
      <c r="AV266">
        <f t="shared" si="237"/>
        <v>0</v>
      </c>
      <c r="AW266">
        <f t="shared" si="192"/>
        <v>0</v>
      </c>
      <c r="AX266">
        <f t="shared" si="238"/>
        <v>0</v>
      </c>
      <c r="AY266">
        <f t="shared" si="239"/>
        <v>0</v>
      </c>
    </row>
    <row r="267" spans="1:51" x14ac:dyDescent="0.35">
      <c r="A267">
        <v>261</v>
      </c>
      <c r="C267">
        <f>MAX(0,Calc!$C$7-SUM(D267:R267))</f>
        <v>750</v>
      </c>
      <c r="D267">
        <f t="shared" si="193"/>
        <v>0</v>
      </c>
      <c r="E267">
        <f t="shared" si="194"/>
        <v>0</v>
      </c>
      <c r="F267">
        <f t="shared" si="195"/>
        <v>0</v>
      </c>
      <c r="G267">
        <f t="shared" si="196"/>
        <v>0</v>
      </c>
      <c r="H267">
        <f t="shared" si="197"/>
        <v>0</v>
      </c>
      <c r="I267">
        <f t="shared" si="198"/>
        <v>0</v>
      </c>
      <c r="J267">
        <f t="shared" si="199"/>
        <v>0</v>
      </c>
      <c r="K267">
        <f t="shared" si="200"/>
        <v>0</v>
      </c>
      <c r="L267">
        <f t="shared" si="201"/>
        <v>0</v>
      </c>
      <c r="M267">
        <f t="shared" si="202"/>
        <v>0</v>
      </c>
      <c r="N267">
        <f t="shared" si="203"/>
        <v>0</v>
      </c>
      <c r="O267">
        <f t="shared" si="204"/>
        <v>0</v>
      </c>
      <c r="P267">
        <f t="shared" si="205"/>
        <v>0</v>
      </c>
      <c r="Q267">
        <f t="shared" si="206"/>
        <v>0</v>
      </c>
      <c r="R267">
        <f t="shared" si="207"/>
        <v>0</v>
      </c>
      <c r="S267">
        <f t="shared" si="208"/>
        <v>0</v>
      </c>
      <c r="T267">
        <f t="shared" si="209"/>
        <v>0</v>
      </c>
      <c r="U267">
        <f t="shared" si="210"/>
        <v>0</v>
      </c>
      <c r="V267">
        <f t="shared" si="211"/>
        <v>0</v>
      </c>
      <c r="W267">
        <f t="shared" si="212"/>
        <v>0</v>
      </c>
      <c r="X267">
        <f t="shared" si="213"/>
        <v>0</v>
      </c>
      <c r="Y267">
        <f t="shared" si="214"/>
        <v>0</v>
      </c>
      <c r="Z267">
        <f t="shared" si="215"/>
        <v>0</v>
      </c>
      <c r="AA267">
        <f t="shared" si="216"/>
        <v>0</v>
      </c>
      <c r="AB267">
        <f t="shared" si="217"/>
        <v>0</v>
      </c>
      <c r="AC267">
        <f t="shared" si="218"/>
        <v>0</v>
      </c>
      <c r="AD267">
        <f t="shared" si="219"/>
        <v>0</v>
      </c>
      <c r="AE267">
        <f t="shared" si="220"/>
        <v>0</v>
      </c>
      <c r="AF267">
        <f t="shared" si="221"/>
        <v>0</v>
      </c>
      <c r="AG267">
        <f t="shared" si="222"/>
        <v>0</v>
      </c>
      <c r="AH267">
        <f t="shared" si="223"/>
        <v>0</v>
      </c>
      <c r="AI267">
        <f t="shared" si="224"/>
        <v>0</v>
      </c>
      <c r="AJ267">
        <f t="shared" si="225"/>
        <v>0</v>
      </c>
      <c r="AK267">
        <f t="shared" si="226"/>
        <v>0</v>
      </c>
      <c r="AL267">
        <f t="shared" si="227"/>
        <v>0</v>
      </c>
      <c r="AM267">
        <f t="shared" si="228"/>
        <v>0</v>
      </c>
      <c r="AN267">
        <f t="shared" si="229"/>
        <v>0</v>
      </c>
      <c r="AO267">
        <f t="shared" si="230"/>
        <v>0</v>
      </c>
      <c r="AP267">
        <f t="shared" si="231"/>
        <v>0</v>
      </c>
      <c r="AQ267">
        <f t="shared" si="232"/>
        <v>0</v>
      </c>
      <c r="AR267">
        <f t="shared" si="233"/>
        <v>0</v>
      </c>
      <c r="AS267">
        <f t="shared" si="234"/>
        <v>0</v>
      </c>
      <c r="AT267">
        <f t="shared" si="235"/>
        <v>0</v>
      </c>
      <c r="AU267">
        <f t="shared" si="236"/>
        <v>0</v>
      </c>
      <c r="AV267">
        <f t="shared" si="237"/>
        <v>0</v>
      </c>
      <c r="AW267">
        <f t="shared" si="192"/>
        <v>0</v>
      </c>
      <c r="AX267">
        <f t="shared" si="238"/>
        <v>0</v>
      </c>
      <c r="AY267">
        <f t="shared" si="239"/>
        <v>0</v>
      </c>
    </row>
    <row r="268" spans="1:51" x14ac:dyDescent="0.35">
      <c r="A268">
        <v>262</v>
      </c>
      <c r="C268">
        <f>MAX(0,Calc!$C$7-SUM(D268:R268))</f>
        <v>750</v>
      </c>
      <c r="D268">
        <f t="shared" si="193"/>
        <v>0</v>
      </c>
      <c r="E268">
        <f t="shared" si="194"/>
        <v>0</v>
      </c>
      <c r="F268">
        <f t="shared" si="195"/>
        <v>0</v>
      </c>
      <c r="G268">
        <f t="shared" si="196"/>
        <v>0</v>
      </c>
      <c r="H268">
        <f t="shared" si="197"/>
        <v>0</v>
      </c>
      <c r="I268">
        <f t="shared" si="198"/>
        <v>0</v>
      </c>
      <c r="J268">
        <f t="shared" si="199"/>
        <v>0</v>
      </c>
      <c r="K268">
        <f t="shared" si="200"/>
        <v>0</v>
      </c>
      <c r="L268">
        <f t="shared" si="201"/>
        <v>0</v>
      </c>
      <c r="M268">
        <f t="shared" si="202"/>
        <v>0</v>
      </c>
      <c r="N268">
        <f t="shared" si="203"/>
        <v>0</v>
      </c>
      <c r="O268">
        <f t="shared" si="204"/>
        <v>0</v>
      </c>
      <c r="P268">
        <f t="shared" si="205"/>
        <v>0</v>
      </c>
      <c r="Q268">
        <f t="shared" si="206"/>
        <v>0</v>
      </c>
      <c r="R268">
        <f t="shared" si="207"/>
        <v>0</v>
      </c>
      <c r="S268">
        <f t="shared" si="208"/>
        <v>0</v>
      </c>
      <c r="T268">
        <f t="shared" si="209"/>
        <v>0</v>
      </c>
      <c r="U268">
        <f t="shared" si="210"/>
        <v>0</v>
      </c>
      <c r="V268">
        <f t="shared" si="211"/>
        <v>0</v>
      </c>
      <c r="W268">
        <f t="shared" si="212"/>
        <v>0</v>
      </c>
      <c r="X268">
        <f t="shared" si="213"/>
        <v>0</v>
      </c>
      <c r="Y268">
        <f t="shared" si="214"/>
        <v>0</v>
      </c>
      <c r="Z268">
        <f t="shared" si="215"/>
        <v>0</v>
      </c>
      <c r="AA268">
        <f t="shared" si="216"/>
        <v>0</v>
      </c>
      <c r="AB268">
        <f t="shared" si="217"/>
        <v>0</v>
      </c>
      <c r="AC268">
        <f t="shared" si="218"/>
        <v>0</v>
      </c>
      <c r="AD268">
        <f t="shared" si="219"/>
        <v>0</v>
      </c>
      <c r="AE268">
        <f t="shared" si="220"/>
        <v>0</v>
      </c>
      <c r="AF268">
        <f t="shared" si="221"/>
        <v>0</v>
      </c>
      <c r="AG268">
        <f t="shared" si="222"/>
        <v>0</v>
      </c>
      <c r="AH268">
        <f t="shared" si="223"/>
        <v>0</v>
      </c>
      <c r="AI268">
        <f t="shared" si="224"/>
        <v>0</v>
      </c>
      <c r="AJ268">
        <f t="shared" si="225"/>
        <v>0</v>
      </c>
      <c r="AK268">
        <f t="shared" si="226"/>
        <v>0</v>
      </c>
      <c r="AL268">
        <f t="shared" si="227"/>
        <v>0</v>
      </c>
      <c r="AM268">
        <f t="shared" si="228"/>
        <v>0</v>
      </c>
      <c r="AN268">
        <f t="shared" si="229"/>
        <v>0</v>
      </c>
      <c r="AO268">
        <f t="shared" si="230"/>
        <v>0</v>
      </c>
      <c r="AP268">
        <f t="shared" si="231"/>
        <v>0</v>
      </c>
      <c r="AQ268">
        <f t="shared" si="232"/>
        <v>0</v>
      </c>
      <c r="AR268">
        <f t="shared" si="233"/>
        <v>0</v>
      </c>
      <c r="AS268">
        <f t="shared" si="234"/>
        <v>0</v>
      </c>
      <c r="AT268">
        <f t="shared" si="235"/>
        <v>0</v>
      </c>
      <c r="AU268">
        <f t="shared" si="236"/>
        <v>0</v>
      </c>
      <c r="AV268">
        <f t="shared" si="237"/>
        <v>0</v>
      </c>
      <c r="AW268">
        <f t="shared" si="192"/>
        <v>0</v>
      </c>
      <c r="AX268">
        <f t="shared" si="238"/>
        <v>0</v>
      </c>
      <c r="AY268">
        <f t="shared" si="239"/>
        <v>0</v>
      </c>
    </row>
    <row r="269" spans="1:51" x14ac:dyDescent="0.35">
      <c r="A269">
        <v>263</v>
      </c>
      <c r="C269">
        <f>MAX(0,Calc!$C$7-SUM(D269:R269))</f>
        <v>750</v>
      </c>
      <c r="D269">
        <f t="shared" si="193"/>
        <v>0</v>
      </c>
      <c r="E269">
        <f t="shared" si="194"/>
        <v>0</v>
      </c>
      <c r="F269">
        <f t="shared" si="195"/>
        <v>0</v>
      </c>
      <c r="G269">
        <f t="shared" si="196"/>
        <v>0</v>
      </c>
      <c r="H269">
        <f t="shared" si="197"/>
        <v>0</v>
      </c>
      <c r="I269">
        <f t="shared" si="198"/>
        <v>0</v>
      </c>
      <c r="J269">
        <f t="shared" si="199"/>
        <v>0</v>
      </c>
      <c r="K269">
        <f t="shared" si="200"/>
        <v>0</v>
      </c>
      <c r="L269">
        <f t="shared" si="201"/>
        <v>0</v>
      </c>
      <c r="M269">
        <f t="shared" si="202"/>
        <v>0</v>
      </c>
      <c r="N269">
        <f t="shared" si="203"/>
        <v>0</v>
      </c>
      <c r="O269">
        <f t="shared" si="204"/>
        <v>0</v>
      </c>
      <c r="P269">
        <f t="shared" si="205"/>
        <v>0</v>
      </c>
      <c r="Q269">
        <f t="shared" si="206"/>
        <v>0</v>
      </c>
      <c r="R269">
        <f t="shared" si="207"/>
        <v>0</v>
      </c>
      <c r="S269">
        <f t="shared" si="208"/>
        <v>0</v>
      </c>
      <c r="T269">
        <f t="shared" si="209"/>
        <v>0</v>
      </c>
      <c r="U269">
        <f t="shared" si="210"/>
        <v>0</v>
      </c>
      <c r="V269">
        <f t="shared" si="211"/>
        <v>0</v>
      </c>
      <c r="W269">
        <f t="shared" si="212"/>
        <v>0</v>
      </c>
      <c r="X269">
        <f t="shared" si="213"/>
        <v>0</v>
      </c>
      <c r="Y269">
        <f t="shared" si="214"/>
        <v>0</v>
      </c>
      <c r="Z269">
        <f t="shared" si="215"/>
        <v>0</v>
      </c>
      <c r="AA269">
        <f t="shared" si="216"/>
        <v>0</v>
      </c>
      <c r="AB269">
        <f t="shared" si="217"/>
        <v>0</v>
      </c>
      <c r="AC269">
        <f t="shared" si="218"/>
        <v>0</v>
      </c>
      <c r="AD269">
        <f t="shared" si="219"/>
        <v>0</v>
      </c>
      <c r="AE269">
        <f t="shared" si="220"/>
        <v>0</v>
      </c>
      <c r="AF269">
        <f t="shared" si="221"/>
        <v>0</v>
      </c>
      <c r="AG269">
        <f t="shared" si="222"/>
        <v>0</v>
      </c>
      <c r="AH269">
        <f t="shared" si="223"/>
        <v>0</v>
      </c>
      <c r="AI269">
        <f t="shared" si="224"/>
        <v>0</v>
      </c>
      <c r="AJ269">
        <f t="shared" si="225"/>
        <v>0</v>
      </c>
      <c r="AK269">
        <f t="shared" si="226"/>
        <v>0</v>
      </c>
      <c r="AL269">
        <f t="shared" si="227"/>
        <v>0</v>
      </c>
      <c r="AM269">
        <f t="shared" si="228"/>
        <v>0</v>
      </c>
      <c r="AN269">
        <f t="shared" si="229"/>
        <v>0</v>
      </c>
      <c r="AO269">
        <f t="shared" si="230"/>
        <v>0</v>
      </c>
      <c r="AP269">
        <f t="shared" si="231"/>
        <v>0</v>
      </c>
      <c r="AQ269">
        <f t="shared" si="232"/>
        <v>0</v>
      </c>
      <c r="AR269">
        <f t="shared" si="233"/>
        <v>0</v>
      </c>
      <c r="AS269">
        <f t="shared" si="234"/>
        <v>0</v>
      </c>
      <c r="AT269">
        <f t="shared" si="235"/>
        <v>0</v>
      </c>
      <c r="AU269">
        <f t="shared" si="236"/>
        <v>0</v>
      </c>
      <c r="AV269">
        <f t="shared" si="237"/>
        <v>0</v>
      </c>
      <c r="AW269">
        <f t="shared" si="192"/>
        <v>0</v>
      </c>
      <c r="AX269">
        <f t="shared" si="238"/>
        <v>0</v>
      </c>
      <c r="AY269">
        <f t="shared" si="239"/>
        <v>0</v>
      </c>
    </row>
    <row r="270" spans="1:51" x14ac:dyDescent="0.35">
      <c r="A270">
        <v>264</v>
      </c>
      <c r="C270">
        <f>MAX(0,Calc!$C$7-SUM(D270:R270))</f>
        <v>750</v>
      </c>
      <c r="D270">
        <f t="shared" si="193"/>
        <v>0</v>
      </c>
      <c r="E270">
        <f t="shared" si="194"/>
        <v>0</v>
      </c>
      <c r="F270">
        <f t="shared" si="195"/>
        <v>0</v>
      </c>
      <c r="G270">
        <f t="shared" si="196"/>
        <v>0</v>
      </c>
      <c r="H270">
        <f t="shared" si="197"/>
        <v>0</v>
      </c>
      <c r="I270">
        <f t="shared" si="198"/>
        <v>0</v>
      </c>
      <c r="J270">
        <f t="shared" si="199"/>
        <v>0</v>
      </c>
      <c r="K270">
        <f t="shared" si="200"/>
        <v>0</v>
      </c>
      <c r="L270">
        <f t="shared" si="201"/>
        <v>0</v>
      </c>
      <c r="M270">
        <f t="shared" si="202"/>
        <v>0</v>
      </c>
      <c r="N270">
        <f t="shared" si="203"/>
        <v>0</v>
      </c>
      <c r="O270">
        <f t="shared" si="204"/>
        <v>0</v>
      </c>
      <c r="P270">
        <f t="shared" si="205"/>
        <v>0</v>
      </c>
      <c r="Q270">
        <f t="shared" si="206"/>
        <v>0</v>
      </c>
      <c r="R270">
        <f t="shared" si="207"/>
        <v>0</v>
      </c>
      <c r="S270">
        <f t="shared" si="208"/>
        <v>0</v>
      </c>
      <c r="T270">
        <f t="shared" si="209"/>
        <v>0</v>
      </c>
      <c r="U270">
        <f t="shared" si="210"/>
        <v>0</v>
      </c>
      <c r="V270">
        <f t="shared" si="211"/>
        <v>0</v>
      </c>
      <c r="W270">
        <f t="shared" si="212"/>
        <v>0</v>
      </c>
      <c r="X270">
        <f t="shared" si="213"/>
        <v>0</v>
      </c>
      <c r="Y270">
        <f t="shared" si="214"/>
        <v>0</v>
      </c>
      <c r="Z270">
        <f t="shared" si="215"/>
        <v>0</v>
      </c>
      <c r="AA270">
        <f t="shared" si="216"/>
        <v>0</v>
      </c>
      <c r="AB270">
        <f t="shared" si="217"/>
        <v>0</v>
      </c>
      <c r="AC270">
        <f t="shared" si="218"/>
        <v>0</v>
      </c>
      <c r="AD270">
        <f t="shared" si="219"/>
        <v>0</v>
      </c>
      <c r="AE270">
        <f t="shared" si="220"/>
        <v>0</v>
      </c>
      <c r="AF270">
        <f t="shared" si="221"/>
        <v>0</v>
      </c>
      <c r="AG270">
        <f t="shared" si="222"/>
        <v>0</v>
      </c>
      <c r="AH270">
        <f t="shared" si="223"/>
        <v>0</v>
      </c>
      <c r="AI270">
        <f t="shared" si="224"/>
        <v>0</v>
      </c>
      <c r="AJ270">
        <f t="shared" si="225"/>
        <v>0</v>
      </c>
      <c r="AK270">
        <f t="shared" si="226"/>
        <v>0</v>
      </c>
      <c r="AL270">
        <f t="shared" si="227"/>
        <v>0</v>
      </c>
      <c r="AM270">
        <f t="shared" si="228"/>
        <v>0</v>
      </c>
      <c r="AN270">
        <f t="shared" si="229"/>
        <v>0</v>
      </c>
      <c r="AO270">
        <f t="shared" si="230"/>
        <v>0</v>
      </c>
      <c r="AP270">
        <f t="shared" si="231"/>
        <v>0</v>
      </c>
      <c r="AQ270">
        <f t="shared" si="232"/>
        <v>0</v>
      </c>
      <c r="AR270">
        <f t="shared" si="233"/>
        <v>0</v>
      </c>
      <c r="AS270">
        <f t="shared" si="234"/>
        <v>0</v>
      </c>
      <c r="AT270">
        <f t="shared" si="235"/>
        <v>0</v>
      </c>
      <c r="AU270">
        <f t="shared" si="236"/>
        <v>0</v>
      </c>
      <c r="AV270">
        <f t="shared" si="237"/>
        <v>0</v>
      </c>
      <c r="AW270">
        <f t="shared" si="192"/>
        <v>0</v>
      </c>
      <c r="AX270">
        <f t="shared" si="238"/>
        <v>0</v>
      </c>
      <c r="AY270">
        <f t="shared" si="239"/>
        <v>0</v>
      </c>
    </row>
    <row r="271" spans="1:51" x14ac:dyDescent="0.35">
      <c r="A271">
        <v>265</v>
      </c>
      <c r="C271">
        <f>MAX(0,Calc!$C$7-SUM(D271:R271))</f>
        <v>750</v>
      </c>
      <c r="D271">
        <f t="shared" si="193"/>
        <v>0</v>
      </c>
      <c r="E271">
        <f t="shared" si="194"/>
        <v>0</v>
      </c>
      <c r="F271">
        <f t="shared" si="195"/>
        <v>0</v>
      </c>
      <c r="G271">
        <f t="shared" si="196"/>
        <v>0</v>
      </c>
      <c r="H271">
        <f t="shared" si="197"/>
        <v>0</v>
      </c>
      <c r="I271">
        <f t="shared" si="198"/>
        <v>0</v>
      </c>
      <c r="J271">
        <f t="shared" si="199"/>
        <v>0</v>
      </c>
      <c r="K271">
        <f t="shared" si="200"/>
        <v>0</v>
      </c>
      <c r="L271">
        <f t="shared" si="201"/>
        <v>0</v>
      </c>
      <c r="M271">
        <f t="shared" si="202"/>
        <v>0</v>
      </c>
      <c r="N271">
        <f t="shared" si="203"/>
        <v>0</v>
      </c>
      <c r="O271">
        <f t="shared" si="204"/>
        <v>0</v>
      </c>
      <c r="P271">
        <f t="shared" si="205"/>
        <v>0</v>
      </c>
      <c r="Q271">
        <f t="shared" si="206"/>
        <v>0</v>
      </c>
      <c r="R271">
        <f t="shared" si="207"/>
        <v>0</v>
      </c>
      <c r="S271">
        <f t="shared" si="208"/>
        <v>0</v>
      </c>
      <c r="T271">
        <f t="shared" si="209"/>
        <v>0</v>
      </c>
      <c r="U271">
        <f t="shared" si="210"/>
        <v>0</v>
      </c>
      <c r="V271">
        <f t="shared" si="211"/>
        <v>0</v>
      </c>
      <c r="W271">
        <f t="shared" si="212"/>
        <v>0</v>
      </c>
      <c r="X271">
        <f t="shared" si="213"/>
        <v>0</v>
      </c>
      <c r="Y271">
        <f t="shared" si="214"/>
        <v>0</v>
      </c>
      <c r="Z271">
        <f t="shared" si="215"/>
        <v>0</v>
      </c>
      <c r="AA271">
        <f t="shared" si="216"/>
        <v>0</v>
      </c>
      <c r="AB271">
        <f t="shared" si="217"/>
        <v>0</v>
      </c>
      <c r="AC271">
        <f t="shared" si="218"/>
        <v>0</v>
      </c>
      <c r="AD271">
        <f t="shared" si="219"/>
        <v>0</v>
      </c>
      <c r="AE271">
        <f t="shared" si="220"/>
        <v>0</v>
      </c>
      <c r="AF271">
        <f t="shared" si="221"/>
        <v>0</v>
      </c>
      <c r="AG271">
        <f t="shared" si="222"/>
        <v>0</v>
      </c>
      <c r="AH271">
        <f t="shared" si="223"/>
        <v>0</v>
      </c>
      <c r="AI271">
        <f t="shared" si="224"/>
        <v>0</v>
      </c>
      <c r="AJ271">
        <f t="shared" si="225"/>
        <v>0</v>
      </c>
      <c r="AK271">
        <f t="shared" si="226"/>
        <v>0</v>
      </c>
      <c r="AL271">
        <f t="shared" si="227"/>
        <v>0</v>
      </c>
      <c r="AM271">
        <f t="shared" si="228"/>
        <v>0</v>
      </c>
      <c r="AN271">
        <f t="shared" si="229"/>
        <v>0</v>
      </c>
      <c r="AO271">
        <f t="shared" si="230"/>
        <v>0</v>
      </c>
      <c r="AP271">
        <f t="shared" si="231"/>
        <v>0</v>
      </c>
      <c r="AQ271">
        <f t="shared" si="232"/>
        <v>0</v>
      </c>
      <c r="AR271">
        <f t="shared" si="233"/>
        <v>0</v>
      </c>
      <c r="AS271">
        <f t="shared" si="234"/>
        <v>0</v>
      </c>
      <c r="AT271">
        <f t="shared" si="235"/>
        <v>0</v>
      </c>
      <c r="AU271">
        <f t="shared" si="236"/>
        <v>0</v>
      </c>
      <c r="AV271">
        <f t="shared" si="237"/>
        <v>0</v>
      </c>
      <c r="AW271">
        <f t="shared" si="192"/>
        <v>0</v>
      </c>
      <c r="AX271">
        <f t="shared" si="238"/>
        <v>0</v>
      </c>
      <c r="AY271">
        <f t="shared" si="239"/>
        <v>0</v>
      </c>
    </row>
    <row r="272" spans="1:51" x14ac:dyDescent="0.35">
      <c r="A272">
        <v>266</v>
      </c>
      <c r="C272">
        <f>MAX(0,Calc!$C$7-SUM(D272:R272))</f>
        <v>750</v>
      </c>
      <c r="D272">
        <f t="shared" si="193"/>
        <v>0</v>
      </c>
      <c r="E272">
        <f t="shared" si="194"/>
        <v>0</v>
      </c>
      <c r="F272">
        <f t="shared" si="195"/>
        <v>0</v>
      </c>
      <c r="G272">
        <f t="shared" si="196"/>
        <v>0</v>
      </c>
      <c r="H272">
        <f t="shared" si="197"/>
        <v>0</v>
      </c>
      <c r="I272">
        <f t="shared" si="198"/>
        <v>0</v>
      </c>
      <c r="J272">
        <f t="shared" si="199"/>
        <v>0</v>
      </c>
      <c r="K272">
        <f t="shared" si="200"/>
        <v>0</v>
      </c>
      <c r="L272">
        <f t="shared" si="201"/>
        <v>0</v>
      </c>
      <c r="M272">
        <f t="shared" si="202"/>
        <v>0</v>
      </c>
      <c r="N272">
        <f t="shared" si="203"/>
        <v>0</v>
      </c>
      <c r="O272">
        <f t="shared" si="204"/>
        <v>0</v>
      </c>
      <c r="P272">
        <f t="shared" si="205"/>
        <v>0</v>
      </c>
      <c r="Q272">
        <f t="shared" si="206"/>
        <v>0</v>
      </c>
      <c r="R272">
        <f t="shared" si="207"/>
        <v>0</v>
      </c>
      <c r="S272">
        <f t="shared" si="208"/>
        <v>0</v>
      </c>
      <c r="T272">
        <f t="shared" si="209"/>
        <v>0</v>
      </c>
      <c r="U272">
        <f t="shared" si="210"/>
        <v>0</v>
      </c>
      <c r="V272">
        <f t="shared" si="211"/>
        <v>0</v>
      </c>
      <c r="W272">
        <f t="shared" si="212"/>
        <v>0</v>
      </c>
      <c r="X272">
        <f t="shared" si="213"/>
        <v>0</v>
      </c>
      <c r="Y272">
        <f t="shared" si="214"/>
        <v>0</v>
      </c>
      <c r="Z272">
        <f t="shared" si="215"/>
        <v>0</v>
      </c>
      <c r="AA272">
        <f t="shared" si="216"/>
        <v>0</v>
      </c>
      <c r="AB272">
        <f t="shared" si="217"/>
        <v>0</v>
      </c>
      <c r="AC272">
        <f t="shared" si="218"/>
        <v>0</v>
      </c>
      <c r="AD272">
        <f t="shared" si="219"/>
        <v>0</v>
      </c>
      <c r="AE272">
        <f t="shared" si="220"/>
        <v>0</v>
      </c>
      <c r="AF272">
        <f t="shared" si="221"/>
        <v>0</v>
      </c>
      <c r="AG272">
        <f t="shared" si="222"/>
        <v>0</v>
      </c>
      <c r="AH272">
        <f t="shared" si="223"/>
        <v>0</v>
      </c>
      <c r="AI272">
        <f t="shared" si="224"/>
        <v>0</v>
      </c>
      <c r="AJ272">
        <f t="shared" si="225"/>
        <v>0</v>
      </c>
      <c r="AK272">
        <f t="shared" si="226"/>
        <v>0</v>
      </c>
      <c r="AL272">
        <f t="shared" si="227"/>
        <v>0</v>
      </c>
      <c r="AM272">
        <f t="shared" si="228"/>
        <v>0</v>
      </c>
      <c r="AN272">
        <f t="shared" si="229"/>
        <v>0</v>
      </c>
      <c r="AO272">
        <f t="shared" si="230"/>
        <v>0</v>
      </c>
      <c r="AP272">
        <f t="shared" si="231"/>
        <v>0</v>
      </c>
      <c r="AQ272">
        <f t="shared" si="232"/>
        <v>0</v>
      </c>
      <c r="AR272">
        <f t="shared" si="233"/>
        <v>0</v>
      </c>
      <c r="AS272">
        <f t="shared" si="234"/>
        <v>0</v>
      </c>
      <c r="AT272">
        <f t="shared" si="235"/>
        <v>0</v>
      </c>
      <c r="AU272">
        <f t="shared" si="236"/>
        <v>0</v>
      </c>
      <c r="AV272">
        <f t="shared" si="237"/>
        <v>0</v>
      </c>
      <c r="AW272">
        <f t="shared" si="192"/>
        <v>0</v>
      </c>
      <c r="AX272">
        <f t="shared" si="238"/>
        <v>0</v>
      </c>
      <c r="AY272">
        <f t="shared" si="239"/>
        <v>0</v>
      </c>
    </row>
    <row r="273" spans="1:51" x14ac:dyDescent="0.35">
      <c r="A273">
        <v>267</v>
      </c>
      <c r="C273">
        <f>MAX(0,Calc!$C$7-SUM(D273:R273))</f>
        <v>750</v>
      </c>
      <c r="D273">
        <f t="shared" si="193"/>
        <v>0</v>
      </c>
      <c r="E273">
        <f t="shared" si="194"/>
        <v>0</v>
      </c>
      <c r="F273">
        <f t="shared" si="195"/>
        <v>0</v>
      </c>
      <c r="G273">
        <f t="shared" si="196"/>
        <v>0</v>
      </c>
      <c r="H273">
        <f t="shared" si="197"/>
        <v>0</v>
      </c>
      <c r="I273">
        <f t="shared" si="198"/>
        <v>0</v>
      </c>
      <c r="J273">
        <f t="shared" si="199"/>
        <v>0</v>
      </c>
      <c r="K273">
        <f t="shared" si="200"/>
        <v>0</v>
      </c>
      <c r="L273">
        <f t="shared" si="201"/>
        <v>0</v>
      </c>
      <c r="M273">
        <f t="shared" si="202"/>
        <v>0</v>
      </c>
      <c r="N273">
        <f t="shared" si="203"/>
        <v>0</v>
      </c>
      <c r="O273">
        <f t="shared" si="204"/>
        <v>0</v>
      </c>
      <c r="P273">
        <f t="shared" si="205"/>
        <v>0</v>
      </c>
      <c r="Q273">
        <f t="shared" si="206"/>
        <v>0</v>
      </c>
      <c r="R273">
        <f t="shared" si="207"/>
        <v>0</v>
      </c>
      <c r="S273">
        <f t="shared" si="208"/>
        <v>0</v>
      </c>
      <c r="T273">
        <f t="shared" si="209"/>
        <v>0</v>
      </c>
      <c r="U273">
        <f t="shared" si="210"/>
        <v>0</v>
      </c>
      <c r="V273">
        <f t="shared" si="211"/>
        <v>0</v>
      </c>
      <c r="W273">
        <f t="shared" si="212"/>
        <v>0</v>
      </c>
      <c r="X273">
        <f t="shared" si="213"/>
        <v>0</v>
      </c>
      <c r="Y273">
        <f t="shared" si="214"/>
        <v>0</v>
      </c>
      <c r="Z273">
        <f t="shared" si="215"/>
        <v>0</v>
      </c>
      <c r="AA273">
        <f t="shared" si="216"/>
        <v>0</v>
      </c>
      <c r="AB273">
        <f t="shared" si="217"/>
        <v>0</v>
      </c>
      <c r="AC273">
        <f t="shared" si="218"/>
        <v>0</v>
      </c>
      <c r="AD273">
        <f t="shared" si="219"/>
        <v>0</v>
      </c>
      <c r="AE273">
        <f t="shared" si="220"/>
        <v>0</v>
      </c>
      <c r="AF273">
        <f t="shared" si="221"/>
        <v>0</v>
      </c>
      <c r="AG273">
        <f t="shared" si="222"/>
        <v>0</v>
      </c>
      <c r="AH273">
        <f t="shared" si="223"/>
        <v>0</v>
      </c>
      <c r="AI273">
        <f t="shared" si="224"/>
        <v>0</v>
      </c>
      <c r="AJ273">
        <f t="shared" si="225"/>
        <v>0</v>
      </c>
      <c r="AK273">
        <f t="shared" si="226"/>
        <v>0</v>
      </c>
      <c r="AL273">
        <f t="shared" si="227"/>
        <v>0</v>
      </c>
      <c r="AM273">
        <f t="shared" si="228"/>
        <v>0</v>
      </c>
      <c r="AN273">
        <f t="shared" si="229"/>
        <v>0</v>
      </c>
      <c r="AO273">
        <f t="shared" si="230"/>
        <v>0</v>
      </c>
      <c r="AP273">
        <f t="shared" si="231"/>
        <v>0</v>
      </c>
      <c r="AQ273">
        <f t="shared" si="232"/>
        <v>0</v>
      </c>
      <c r="AR273">
        <f t="shared" si="233"/>
        <v>0</v>
      </c>
      <c r="AS273">
        <f t="shared" si="234"/>
        <v>0</v>
      </c>
      <c r="AT273">
        <f t="shared" si="235"/>
        <v>0</v>
      </c>
      <c r="AU273">
        <f t="shared" si="236"/>
        <v>0</v>
      </c>
      <c r="AV273">
        <f t="shared" si="237"/>
        <v>0</v>
      </c>
      <c r="AW273">
        <f t="shared" si="192"/>
        <v>0</v>
      </c>
      <c r="AX273">
        <f t="shared" si="238"/>
        <v>0</v>
      </c>
      <c r="AY273">
        <f t="shared" si="239"/>
        <v>0</v>
      </c>
    </row>
    <row r="274" spans="1:51" x14ac:dyDescent="0.35">
      <c r="A274">
        <v>268</v>
      </c>
      <c r="C274">
        <f>MAX(0,Calc!$C$7-SUM(D274:R274))</f>
        <v>750</v>
      </c>
      <c r="D274">
        <f t="shared" si="193"/>
        <v>0</v>
      </c>
      <c r="E274">
        <f t="shared" si="194"/>
        <v>0</v>
      </c>
      <c r="F274">
        <f t="shared" si="195"/>
        <v>0</v>
      </c>
      <c r="G274">
        <f t="shared" si="196"/>
        <v>0</v>
      </c>
      <c r="H274">
        <f t="shared" si="197"/>
        <v>0</v>
      </c>
      <c r="I274">
        <f t="shared" si="198"/>
        <v>0</v>
      </c>
      <c r="J274">
        <f t="shared" si="199"/>
        <v>0</v>
      </c>
      <c r="K274">
        <f t="shared" si="200"/>
        <v>0</v>
      </c>
      <c r="L274">
        <f t="shared" si="201"/>
        <v>0</v>
      </c>
      <c r="M274">
        <f t="shared" si="202"/>
        <v>0</v>
      </c>
      <c r="N274">
        <f t="shared" si="203"/>
        <v>0</v>
      </c>
      <c r="O274">
        <f t="shared" si="204"/>
        <v>0</v>
      </c>
      <c r="P274">
        <f t="shared" si="205"/>
        <v>0</v>
      </c>
      <c r="Q274">
        <f t="shared" si="206"/>
        <v>0</v>
      </c>
      <c r="R274">
        <f t="shared" si="207"/>
        <v>0</v>
      </c>
      <c r="S274">
        <f t="shared" si="208"/>
        <v>0</v>
      </c>
      <c r="T274">
        <f t="shared" si="209"/>
        <v>0</v>
      </c>
      <c r="U274">
        <f t="shared" si="210"/>
        <v>0</v>
      </c>
      <c r="V274">
        <f t="shared" si="211"/>
        <v>0</v>
      </c>
      <c r="W274">
        <f t="shared" si="212"/>
        <v>0</v>
      </c>
      <c r="X274">
        <f t="shared" si="213"/>
        <v>0</v>
      </c>
      <c r="Y274">
        <f t="shared" si="214"/>
        <v>0</v>
      </c>
      <c r="Z274">
        <f t="shared" si="215"/>
        <v>0</v>
      </c>
      <c r="AA274">
        <f t="shared" si="216"/>
        <v>0</v>
      </c>
      <c r="AB274">
        <f t="shared" si="217"/>
        <v>0</v>
      </c>
      <c r="AC274">
        <f t="shared" si="218"/>
        <v>0</v>
      </c>
      <c r="AD274">
        <f t="shared" si="219"/>
        <v>0</v>
      </c>
      <c r="AE274">
        <f t="shared" si="220"/>
        <v>0</v>
      </c>
      <c r="AF274">
        <f t="shared" si="221"/>
        <v>0</v>
      </c>
      <c r="AG274">
        <f t="shared" si="222"/>
        <v>0</v>
      </c>
      <c r="AH274">
        <f t="shared" si="223"/>
        <v>0</v>
      </c>
      <c r="AI274">
        <f t="shared" si="224"/>
        <v>0</v>
      </c>
      <c r="AJ274">
        <f t="shared" si="225"/>
        <v>0</v>
      </c>
      <c r="AK274">
        <f t="shared" si="226"/>
        <v>0</v>
      </c>
      <c r="AL274">
        <f t="shared" si="227"/>
        <v>0</v>
      </c>
      <c r="AM274">
        <f t="shared" si="228"/>
        <v>0</v>
      </c>
      <c r="AN274">
        <f t="shared" si="229"/>
        <v>0</v>
      </c>
      <c r="AO274">
        <f t="shared" si="230"/>
        <v>0</v>
      </c>
      <c r="AP274">
        <f t="shared" si="231"/>
        <v>0</v>
      </c>
      <c r="AQ274">
        <f t="shared" si="232"/>
        <v>0</v>
      </c>
      <c r="AR274">
        <f t="shared" si="233"/>
        <v>0</v>
      </c>
      <c r="AS274">
        <f t="shared" si="234"/>
        <v>0</v>
      </c>
      <c r="AT274">
        <f t="shared" si="235"/>
        <v>0</v>
      </c>
      <c r="AU274">
        <f t="shared" si="236"/>
        <v>0</v>
      </c>
      <c r="AV274">
        <f t="shared" si="237"/>
        <v>0</v>
      </c>
      <c r="AW274">
        <f t="shared" si="192"/>
        <v>0</v>
      </c>
      <c r="AX274">
        <f t="shared" si="238"/>
        <v>0</v>
      </c>
      <c r="AY274">
        <f t="shared" si="239"/>
        <v>0</v>
      </c>
    </row>
    <row r="275" spans="1:51" x14ac:dyDescent="0.35">
      <c r="A275">
        <v>269</v>
      </c>
      <c r="C275">
        <f>MAX(0,Calc!$C$7-SUM(D275:R275))</f>
        <v>750</v>
      </c>
      <c r="D275">
        <f t="shared" si="193"/>
        <v>0</v>
      </c>
      <c r="E275">
        <f t="shared" si="194"/>
        <v>0</v>
      </c>
      <c r="F275">
        <f t="shared" si="195"/>
        <v>0</v>
      </c>
      <c r="G275">
        <f t="shared" si="196"/>
        <v>0</v>
      </c>
      <c r="H275">
        <f t="shared" si="197"/>
        <v>0</v>
      </c>
      <c r="I275">
        <f t="shared" si="198"/>
        <v>0</v>
      </c>
      <c r="J275">
        <f t="shared" si="199"/>
        <v>0</v>
      </c>
      <c r="K275">
        <f t="shared" si="200"/>
        <v>0</v>
      </c>
      <c r="L275">
        <f t="shared" si="201"/>
        <v>0</v>
      </c>
      <c r="M275">
        <f t="shared" si="202"/>
        <v>0</v>
      </c>
      <c r="N275">
        <f t="shared" si="203"/>
        <v>0</v>
      </c>
      <c r="O275">
        <f t="shared" si="204"/>
        <v>0</v>
      </c>
      <c r="P275">
        <f t="shared" si="205"/>
        <v>0</v>
      </c>
      <c r="Q275">
        <f t="shared" si="206"/>
        <v>0</v>
      </c>
      <c r="R275">
        <f t="shared" si="207"/>
        <v>0</v>
      </c>
      <c r="S275">
        <f t="shared" si="208"/>
        <v>0</v>
      </c>
      <c r="T275">
        <f t="shared" si="209"/>
        <v>0</v>
      </c>
      <c r="U275">
        <f t="shared" si="210"/>
        <v>0</v>
      </c>
      <c r="V275">
        <f t="shared" si="211"/>
        <v>0</v>
      </c>
      <c r="W275">
        <f t="shared" si="212"/>
        <v>0</v>
      </c>
      <c r="X275">
        <f t="shared" si="213"/>
        <v>0</v>
      </c>
      <c r="Y275">
        <f t="shared" si="214"/>
        <v>0</v>
      </c>
      <c r="Z275">
        <f t="shared" si="215"/>
        <v>0</v>
      </c>
      <c r="AA275">
        <f t="shared" si="216"/>
        <v>0</v>
      </c>
      <c r="AB275">
        <f t="shared" si="217"/>
        <v>0</v>
      </c>
      <c r="AC275">
        <f t="shared" si="218"/>
        <v>0</v>
      </c>
      <c r="AD275">
        <f t="shared" si="219"/>
        <v>0</v>
      </c>
      <c r="AE275">
        <f t="shared" si="220"/>
        <v>0</v>
      </c>
      <c r="AF275">
        <f t="shared" si="221"/>
        <v>0</v>
      </c>
      <c r="AG275">
        <f t="shared" si="222"/>
        <v>0</v>
      </c>
      <c r="AH275">
        <f t="shared" si="223"/>
        <v>0</v>
      </c>
      <c r="AI275">
        <f t="shared" si="224"/>
        <v>0</v>
      </c>
      <c r="AJ275">
        <f t="shared" si="225"/>
        <v>0</v>
      </c>
      <c r="AK275">
        <f t="shared" si="226"/>
        <v>0</v>
      </c>
      <c r="AL275">
        <f t="shared" si="227"/>
        <v>0</v>
      </c>
      <c r="AM275">
        <f t="shared" si="228"/>
        <v>0</v>
      </c>
      <c r="AN275">
        <f t="shared" si="229"/>
        <v>0</v>
      </c>
      <c r="AO275">
        <f t="shared" si="230"/>
        <v>0</v>
      </c>
      <c r="AP275">
        <f t="shared" si="231"/>
        <v>0</v>
      </c>
      <c r="AQ275">
        <f t="shared" si="232"/>
        <v>0</v>
      </c>
      <c r="AR275">
        <f t="shared" si="233"/>
        <v>0</v>
      </c>
      <c r="AS275">
        <f t="shared" si="234"/>
        <v>0</v>
      </c>
      <c r="AT275">
        <f t="shared" si="235"/>
        <v>0</v>
      </c>
      <c r="AU275">
        <f t="shared" si="236"/>
        <v>0</v>
      </c>
      <c r="AV275">
        <f t="shared" si="237"/>
        <v>0</v>
      </c>
      <c r="AW275">
        <f t="shared" si="192"/>
        <v>0</v>
      </c>
      <c r="AX275">
        <f t="shared" si="238"/>
        <v>0</v>
      </c>
      <c r="AY275">
        <f t="shared" si="239"/>
        <v>0</v>
      </c>
    </row>
    <row r="276" spans="1:51" x14ac:dyDescent="0.35">
      <c r="A276">
        <v>270</v>
      </c>
      <c r="C276">
        <f>MAX(0,Calc!$C$7-SUM(D276:R276))</f>
        <v>750</v>
      </c>
      <c r="D276">
        <f t="shared" si="193"/>
        <v>0</v>
      </c>
      <c r="E276">
        <f t="shared" si="194"/>
        <v>0</v>
      </c>
      <c r="F276">
        <f t="shared" si="195"/>
        <v>0</v>
      </c>
      <c r="G276">
        <f t="shared" si="196"/>
        <v>0</v>
      </c>
      <c r="H276">
        <f t="shared" si="197"/>
        <v>0</v>
      </c>
      <c r="I276">
        <f t="shared" si="198"/>
        <v>0</v>
      </c>
      <c r="J276">
        <f t="shared" si="199"/>
        <v>0</v>
      </c>
      <c r="K276">
        <f t="shared" si="200"/>
        <v>0</v>
      </c>
      <c r="L276">
        <f t="shared" si="201"/>
        <v>0</v>
      </c>
      <c r="M276">
        <f t="shared" si="202"/>
        <v>0</v>
      </c>
      <c r="N276">
        <f t="shared" si="203"/>
        <v>0</v>
      </c>
      <c r="O276">
        <f t="shared" si="204"/>
        <v>0</v>
      </c>
      <c r="P276">
        <f t="shared" si="205"/>
        <v>0</v>
      </c>
      <c r="Q276">
        <f t="shared" si="206"/>
        <v>0</v>
      </c>
      <c r="R276">
        <f t="shared" si="207"/>
        <v>0</v>
      </c>
      <c r="S276">
        <f t="shared" si="208"/>
        <v>0</v>
      </c>
      <c r="T276">
        <f t="shared" si="209"/>
        <v>0</v>
      </c>
      <c r="U276">
        <f t="shared" si="210"/>
        <v>0</v>
      </c>
      <c r="V276">
        <f t="shared" si="211"/>
        <v>0</v>
      </c>
      <c r="W276">
        <f t="shared" si="212"/>
        <v>0</v>
      </c>
      <c r="X276">
        <f t="shared" si="213"/>
        <v>0</v>
      </c>
      <c r="Y276">
        <f t="shared" si="214"/>
        <v>0</v>
      </c>
      <c r="Z276">
        <f t="shared" si="215"/>
        <v>0</v>
      </c>
      <c r="AA276">
        <f t="shared" si="216"/>
        <v>0</v>
      </c>
      <c r="AB276">
        <f t="shared" si="217"/>
        <v>0</v>
      </c>
      <c r="AC276">
        <f t="shared" si="218"/>
        <v>0</v>
      </c>
      <c r="AD276">
        <f t="shared" si="219"/>
        <v>0</v>
      </c>
      <c r="AE276">
        <f t="shared" si="220"/>
        <v>0</v>
      </c>
      <c r="AF276">
        <f t="shared" si="221"/>
        <v>0</v>
      </c>
      <c r="AG276">
        <f t="shared" si="222"/>
        <v>0</v>
      </c>
      <c r="AH276">
        <f t="shared" si="223"/>
        <v>0</v>
      </c>
      <c r="AI276">
        <f t="shared" si="224"/>
        <v>0</v>
      </c>
      <c r="AJ276">
        <f t="shared" si="225"/>
        <v>0</v>
      </c>
      <c r="AK276">
        <f t="shared" si="226"/>
        <v>0</v>
      </c>
      <c r="AL276">
        <f t="shared" si="227"/>
        <v>0</v>
      </c>
      <c r="AM276">
        <f t="shared" si="228"/>
        <v>0</v>
      </c>
      <c r="AN276">
        <f t="shared" si="229"/>
        <v>0</v>
      </c>
      <c r="AO276">
        <f t="shared" si="230"/>
        <v>0</v>
      </c>
      <c r="AP276">
        <f t="shared" si="231"/>
        <v>0</v>
      </c>
      <c r="AQ276">
        <f t="shared" si="232"/>
        <v>0</v>
      </c>
      <c r="AR276">
        <f t="shared" si="233"/>
        <v>0</v>
      </c>
      <c r="AS276">
        <f t="shared" si="234"/>
        <v>0</v>
      </c>
      <c r="AT276">
        <f t="shared" si="235"/>
        <v>0</v>
      </c>
      <c r="AU276">
        <f t="shared" si="236"/>
        <v>0</v>
      </c>
      <c r="AV276">
        <f t="shared" si="237"/>
        <v>0</v>
      </c>
      <c r="AW276">
        <f t="shared" si="192"/>
        <v>0</v>
      </c>
      <c r="AX276">
        <f t="shared" si="238"/>
        <v>0</v>
      </c>
      <c r="AY276">
        <f t="shared" si="239"/>
        <v>0</v>
      </c>
    </row>
    <row r="277" spans="1:51" x14ac:dyDescent="0.35">
      <c r="A277">
        <v>271</v>
      </c>
      <c r="C277">
        <f>MAX(0,Calc!$C$7-SUM(D277:R277))</f>
        <v>750</v>
      </c>
      <c r="D277">
        <f t="shared" si="193"/>
        <v>0</v>
      </c>
      <c r="E277">
        <f t="shared" si="194"/>
        <v>0</v>
      </c>
      <c r="F277">
        <f t="shared" si="195"/>
        <v>0</v>
      </c>
      <c r="G277">
        <f t="shared" si="196"/>
        <v>0</v>
      </c>
      <c r="H277">
        <f t="shared" si="197"/>
        <v>0</v>
      </c>
      <c r="I277">
        <f t="shared" si="198"/>
        <v>0</v>
      </c>
      <c r="J277">
        <f t="shared" si="199"/>
        <v>0</v>
      </c>
      <c r="K277">
        <f t="shared" si="200"/>
        <v>0</v>
      </c>
      <c r="L277">
        <f t="shared" si="201"/>
        <v>0</v>
      </c>
      <c r="M277">
        <f t="shared" si="202"/>
        <v>0</v>
      </c>
      <c r="N277">
        <f t="shared" si="203"/>
        <v>0</v>
      </c>
      <c r="O277">
        <f t="shared" si="204"/>
        <v>0</v>
      </c>
      <c r="P277">
        <f t="shared" si="205"/>
        <v>0</v>
      </c>
      <c r="Q277">
        <f t="shared" si="206"/>
        <v>0</v>
      </c>
      <c r="R277">
        <f t="shared" si="207"/>
        <v>0</v>
      </c>
      <c r="S277">
        <f t="shared" si="208"/>
        <v>0</v>
      </c>
      <c r="T277">
        <f t="shared" si="209"/>
        <v>0</v>
      </c>
      <c r="U277">
        <f t="shared" si="210"/>
        <v>0</v>
      </c>
      <c r="V277">
        <f t="shared" si="211"/>
        <v>0</v>
      </c>
      <c r="W277">
        <f t="shared" si="212"/>
        <v>0</v>
      </c>
      <c r="X277">
        <f t="shared" si="213"/>
        <v>0</v>
      </c>
      <c r="Y277">
        <f t="shared" si="214"/>
        <v>0</v>
      </c>
      <c r="Z277">
        <f t="shared" si="215"/>
        <v>0</v>
      </c>
      <c r="AA277">
        <f t="shared" si="216"/>
        <v>0</v>
      </c>
      <c r="AB277">
        <f t="shared" si="217"/>
        <v>0</v>
      </c>
      <c r="AC277">
        <f t="shared" si="218"/>
        <v>0</v>
      </c>
      <c r="AD277">
        <f t="shared" si="219"/>
        <v>0</v>
      </c>
      <c r="AE277">
        <f t="shared" si="220"/>
        <v>0</v>
      </c>
      <c r="AF277">
        <f t="shared" si="221"/>
        <v>0</v>
      </c>
      <c r="AG277">
        <f t="shared" si="222"/>
        <v>0</v>
      </c>
      <c r="AH277">
        <f t="shared" si="223"/>
        <v>0</v>
      </c>
      <c r="AI277">
        <f t="shared" si="224"/>
        <v>0</v>
      </c>
      <c r="AJ277">
        <f t="shared" si="225"/>
        <v>0</v>
      </c>
      <c r="AK277">
        <f t="shared" si="226"/>
        <v>0</v>
      </c>
      <c r="AL277">
        <f t="shared" si="227"/>
        <v>0</v>
      </c>
      <c r="AM277">
        <f t="shared" si="228"/>
        <v>0</v>
      </c>
      <c r="AN277">
        <f t="shared" si="229"/>
        <v>0</v>
      </c>
      <c r="AO277">
        <f t="shared" si="230"/>
        <v>0</v>
      </c>
      <c r="AP277">
        <f t="shared" si="231"/>
        <v>0</v>
      </c>
      <c r="AQ277">
        <f t="shared" si="232"/>
        <v>0</v>
      </c>
      <c r="AR277">
        <f t="shared" si="233"/>
        <v>0</v>
      </c>
      <c r="AS277">
        <f t="shared" si="234"/>
        <v>0</v>
      </c>
      <c r="AT277">
        <f t="shared" si="235"/>
        <v>0</v>
      </c>
      <c r="AU277">
        <f t="shared" si="236"/>
        <v>0</v>
      </c>
      <c r="AV277">
        <f t="shared" si="237"/>
        <v>0</v>
      </c>
      <c r="AW277">
        <f t="shared" si="192"/>
        <v>0</v>
      </c>
      <c r="AX277">
        <f t="shared" si="238"/>
        <v>0</v>
      </c>
      <c r="AY277">
        <f t="shared" si="239"/>
        <v>0</v>
      </c>
    </row>
    <row r="278" spans="1:51" x14ac:dyDescent="0.35">
      <c r="A278">
        <v>272</v>
      </c>
      <c r="C278">
        <f>MAX(0,Calc!$C$7-SUM(D278:R278))</f>
        <v>750</v>
      </c>
      <c r="D278">
        <f t="shared" si="193"/>
        <v>0</v>
      </c>
      <c r="E278">
        <f t="shared" si="194"/>
        <v>0</v>
      </c>
      <c r="F278">
        <f t="shared" si="195"/>
        <v>0</v>
      </c>
      <c r="G278">
        <f t="shared" si="196"/>
        <v>0</v>
      </c>
      <c r="H278">
        <f t="shared" si="197"/>
        <v>0</v>
      </c>
      <c r="I278">
        <f t="shared" si="198"/>
        <v>0</v>
      </c>
      <c r="J278">
        <f t="shared" si="199"/>
        <v>0</v>
      </c>
      <c r="K278">
        <f t="shared" si="200"/>
        <v>0</v>
      </c>
      <c r="L278">
        <f t="shared" si="201"/>
        <v>0</v>
      </c>
      <c r="M278">
        <f t="shared" si="202"/>
        <v>0</v>
      </c>
      <c r="N278">
        <f t="shared" si="203"/>
        <v>0</v>
      </c>
      <c r="O278">
        <f t="shared" si="204"/>
        <v>0</v>
      </c>
      <c r="P278">
        <f t="shared" si="205"/>
        <v>0</v>
      </c>
      <c r="Q278">
        <f t="shared" si="206"/>
        <v>0</v>
      </c>
      <c r="R278">
        <f t="shared" si="207"/>
        <v>0</v>
      </c>
      <c r="S278">
        <f t="shared" si="208"/>
        <v>0</v>
      </c>
      <c r="T278">
        <f t="shared" si="209"/>
        <v>0</v>
      </c>
      <c r="U278">
        <f t="shared" si="210"/>
        <v>0</v>
      </c>
      <c r="V278">
        <f t="shared" si="211"/>
        <v>0</v>
      </c>
      <c r="W278">
        <f t="shared" si="212"/>
        <v>0</v>
      </c>
      <c r="X278">
        <f t="shared" si="213"/>
        <v>0</v>
      </c>
      <c r="Y278">
        <f t="shared" si="214"/>
        <v>0</v>
      </c>
      <c r="Z278">
        <f t="shared" si="215"/>
        <v>0</v>
      </c>
      <c r="AA278">
        <f t="shared" si="216"/>
        <v>0</v>
      </c>
      <c r="AB278">
        <f t="shared" si="217"/>
        <v>0</v>
      </c>
      <c r="AC278">
        <f t="shared" si="218"/>
        <v>0</v>
      </c>
      <c r="AD278">
        <f t="shared" si="219"/>
        <v>0</v>
      </c>
      <c r="AE278">
        <f t="shared" si="220"/>
        <v>0</v>
      </c>
      <c r="AF278">
        <f t="shared" si="221"/>
        <v>0</v>
      </c>
      <c r="AG278">
        <f t="shared" si="222"/>
        <v>0</v>
      </c>
      <c r="AH278">
        <f t="shared" si="223"/>
        <v>0</v>
      </c>
      <c r="AI278">
        <f t="shared" si="224"/>
        <v>0</v>
      </c>
      <c r="AJ278">
        <f t="shared" si="225"/>
        <v>0</v>
      </c>
      <c r="AK278">
        <f t="shared" si="226"/>
        <v>0</v>
      </c>
      <c r="AL278">
        <f t="shared" si="227"/>
        <v>0</v>
      </c>
      <c r="AM278">
        <f t="shared" si="228"/>
        <v>0</v>
      </c>
      <c r="AN278">
        <f t="shared" si="229"/>
        <v>0</v>
      </c>
      <c r="AO278">
        <f t="shared" si="230"/>
        <v>0</v>
      </c>
      <c r="AP278">
        <f t="shared" si="231"/>
        <v>0</v>
      </c>
      <c r="AQ278">
        <f t="shared" si="232"/>
        <v>0</v>
      </c>
      <c r="AR278">
        <f t="shared" si="233"/>
        <v>0</v>
      </c>
      <c r="AS278">
        <f t="shared" si="234"/>
        <v>0</v>
      </c>
      <c r="AT278">
        <f t="shared" si="235"/>
        <v>0</v>
      </c>
      <c r="AU278">
        <f t="shared" si="236"/>
        <v>0</v>
      </c>
      <c r="AV278">
        <f t="shared" si="237"/>
        <v>0</v>
      </c>
      <c r="AW278">
        <f t="shared" si="192"/>
        <v>0</v>
      </c>
      <c r="AX278">
        <f t="shared" si="238"/>
        <v>0</v>
      </c>
      <c r="AY278">
        <f t="shared" si="239"/>
        <v>0</v>
      </c>
    </row>
    <row r="279" spans="1:51" x14ac:dyDescent="0.35">
      <c r="A279">
        <v>273</v>
      </c>
      <c r="C279">
        <f>MAX(0,Calc!$C$7-SUM(D279:R279))</f>
        <v>750</v>
      </c>
      <c r="D279">
        <f t="shared" si="193"/>
        <v>0</v>
      </c>
      <c r="E279">
        <f t="shared" si="194"/>
        <v>0</v>
      </c>
      <c r="F279">
        <f t="shared" si="195"/>
        <v>0</v>
      </c>
      <c r="G279">
        <f t="shared" si="196"/>
        <v>0</v>
      </c>
      <c r="H279">
        <f t="shared" si="197"/>
        <v>0</v>
      </c>
      <c r="I279">
        <f t="shared" si="198"/>
        <v>0</v>
      </c>
      <c r="J279">
        <f t="shared" si="199"/>
        <v>0</v>
      </c>
      <c r="K279">
        <f t="shared" si="200"/>
        <v>0</v>
      </c>
      <c r="L279">
        <f t="shared" si="201"/>
        <v>0</v>
      </c>
      <c r="M279">
        <f t="shared" si="202"/>
        <v>0</v>
      </c>
      <c r="N279">
        <f t="shared" si="203"/>
        <v>0</v>
      </c>
      <c r="O279">
        <f t="shared" si="204"/>
        <v>0</v>
      </c>
      <c r="P279">
        <f t="shared" si="205"/>
        <v>0</v>
      </c>
      <c r="Q279">
        <f t="shared" si="206"/>
        <v>0</v>
      </c>
      <c r="R279">
        <f t="shared" si="207"/>
        <v>0</v>
      </c>
      <c r="S279">
        <f t="shared" si="208"/>
        <v>0</v>
      </c>
      <c r="T279">
        <f t="shared" si="209"/>
        <v>0</v>
      </c>
      <c r="U279">
        <f t="shared" si="210"/>
        <v>0</v>
      </c>
      <c r="V279">
        <f t="shared" si="211"/>
        <v>0</v>
      </c>
      <c r="W279">
        <f t="shared" si="212"/>
        <v>0</v>
      </c>
      <c r="X279">
        <f t="shared" si="213"/>
        <v>0</v>
      </c>
      <c r="Y279">
        <f t="shared" si="214"/>
        <v>0</v>
      </c>
      <c r="Z279">
        <f t="shared" si="215"/>
        <v>0</v>
      </c>
      <c r="AA279">
        <f t="shared" si="216"/>
        <v>0</v>
      </c>
      <c r="AB279">
        <f t="shared" si="217"/>
        <v>0</v>
      </c>
      <c r="AC279">
        <f t="shared" si="218"/>
        <v>0</v>
      </c>
      <c r="AD279">
        <f t="shared" si="219"/>
        <v>0</v>
      </c>
      <c r="AE279">
        <f t="shared" si="220"/>
        <v>0</v>
      </c>
      <c r="AF279">
        <f t="shared" si="221"/>
        <v>0</v>
      </c>
      <c r="AG279">
        <f t="shared" si="222"/>
        <v>0</v>
      </c>
      <c r="AH279">
        <f t="shared" si="223"/>
        <v>0</v>
      </c>
      <c r="AI279">
        <f t="shared" si="224"/>
        <v>0</v>
      </c>
      <c r="AJ279">
        <f t="shared" si="225"/>
        <v>0</v>
      </c>
      <c r="AK279">
        <f t="shared" si="226"/>
        <v>0</v>
      </c>
      <c r="AL279">
        <f t="shared" si="227"/>
        <v>0</v>
      </c>
      <c r="AM279">
        <f t="shared" si="228"/>
        <v>0</v>
      </c>
      <c r="AN279">
        <f t="shared" si="229"/>
        <v>0</v>
      </c>
      <c r="AO279">
        <f t="shared" si="230"/>
        <v>0</v>
      </c>
      <c r="AP279">
        <f t="shared" si="231"/>
        <v>0</v>
      </c>
      <c r="AQ279">
        <f t="shared" si="232"/>
        <v>0</v>
      </c>
      <c r="AR279">
        <f t="shared" si="233"/>
        <v>0</v>
      </c>
      <c r="AS279">
        <f t="shared" si="234"/>
        <v>0</v>
      </c>
      <c r="AT279">
        <f t="shared" si="235"/>
        <v>0</v>
      </c>
      <c r="AU279">
        <f t="shared" si="236"/>
        <v>0</v>
      </c>
      <c r="AV279">
        <f t="shared" si="237"/>
        <v>0</v>
      </c>
      <c r="AW279">
        <f t="shared" si="192"/>
        <v>0</v>
      </c>
      <c r="AX279">
        <f t="shared" si="238"/>
        <v>0</v>
      </c>
      <c r="AY279">
        <f t="shared" si="239"/>
        <v>0</v>
      </c>
    </row>
    <row r="280" spans="1:51" x14ac:dyDescent="0.35">
      <c r="A280">
        <v>274</v>
      </c>
      <c r="C280">
        <f>MAX(0,Calc!$C$7-SUM(D280:R280))</f>
        <v>750</v>
      </c>
      <c r="D280">
        <f t="shared" si="193"/>
        <v>0</v>
      </c>
      <c r="E280">
        <f t="shared" si="194"/>
        <v>0</v>
      </c>
      <c r="F280">
        <f t="shared" si="195"/>
        <v>0</v>
      </c>
      <c r="G280">
        <f t="shared" si="196"/>
        <v>0</v>
      </c>
      <c r="H280">
        <f t="shared" si="197"/>
        <v>0</v>
      </c>
      <c r="I280">
        <f t="shared" si="198"/>
        <v>0</v>
      </c>
      <c r="J280">
        <f t="shared" si="199"/>
        <v>0</v>
      </c>
      <c r="K280">
        <f t="shared" si="200"/>
        <v>0</v>
      </c>
      <c r="L280">
        <f t="shared" si="201"/>
        <v>0</v>
      </c>
      <c r="M280">
        <f t="shared" si="202"/>
        <v>0</v>
      </c>
      <c r="N280">
        <f t="shared" si="203"/>
        <v>0</v>
      </c>
      <c r="O280">
        <f t="shared" si="204"/>
        <v>0</v>
      </c>
      <c r="P280">
        <f t="shared" si="205"/>
        <v>0</v>
      </c>
      <c r="Q280">
        <f t="shared" si="206"/>
        <v>0</v>
      </c>
      <c r="R280">
        <f t="shared" si="207"/>
        <v>0</v>
      </c>
      <c r="S280">
        <f t="shared" si="208"/>
        <v>0</v>
      </c>
      <c r="T280">
        <f t="shared" si="209"/>
        <v>0</v>
      </c>
      <c r="U280">
        <f t="shared" si="210"/>
        <v>0</v>
      </c>
      <c r="V280">
        <f t="shared" si="211"/>
        <v>0</v>
      </c>
      <c r="W280">
        <f t="shared" si="212"/>
        <v>0</v>
      </c>
      <c r="X280">
        <f t="shared" si="213"/>
        <v>0</v>
      </c>
      <c r="Y280">
        <f t="shared" si="214"/>
        <v>0</v>
      </c>
      <c r="Z280">
        <f t="shared" si="215"/>
        <v>0</v>
      </c>
      <c r="AA280">
        <f t="shared" si="216"/>
        <v>0</v>
      </c>
      <c r="AB280">
        <f t="shared" si="217"/>
        <v>0</v>
      </c>
      <c r="AC280">
        <f t="shared" si="218"/>
        <v>0</v>
      </c>
      <c r="AD280">
        <f t="shared" si="219"/>
        <v>0</v>
      </c>
      <c r="AE280">
        <f t="shared" si="220"/>
        <v>0</v>
      </c>
      <c r="AF280">
        <f t="shared" si="221"/>
        <v>0</v>
      </c>
      <c r="AG280">
        <f t="shared" si="222"/>
        <v>0</v>
      </c>
      <c r="AH280">
        <f t="shared" si="223"/>
        <v>0</v>
      </c>
      <c r="AI280">
        <f t="shared" si="224"/>
        <v>0</v>
      </c>
      <c r="AJ280">
        <f t="shared" si="225"/>
        <v>0</v>
      </c>
      <c r="AK280">
        <f t="shared" si="226"/>
        <v>0</v>
      </c>
      <c r="AL280">
        <f t="shared" si="227"/>
        <v>0</v>
      </c>
      <c r="AM280">
        <f t="shared" si="228"/>
        <v>0</v>
      </c>
      <c r="AN280">
        <f t="shared" si="229"/>
        <v>0</v>
      </c>
      <c r="AO280">
        <f t="shared" si="230"/>
        <v>0</v>
      </c>
      <c r="AP280">
        <f t="shared" si="231"/>
        <v>0</v>
      </c>
      <c r="AQ280">
        <f t="shared" si="232"/>
        <v>0</v>
      </c>
      <c r="AR280">
        <f t="shared" si="233"/>
        <v>0</v>
      </c>
      <c r="AS280">
        <f t="shared" si="234"/>
        <v>0</v>
      </c>
      <c r="AT280">
        <f t="shared" si="235"/>
        <v>0</v>
      </c>
      <c r="AU280">
        <f t="shared" si="236"/>
        <v>0</v>
      </c>
      <c r="AV280">
        <f t="shared" si="237"/>
        <v>0</v>
      </c>
      <c r="AW280">
        <f t="shared" si="192"/>
        <v>0</v>
      </c>
      <c r="AX280">
        <f t="shared" si="238"/>
        <v>0</v>
      </c>
      <c r="AY280">
        <f t="shared" si="239"/>
        <v>0</v>
      </c>
    </row>
    <row r="281" spans="1:51" x14ac:dyDescent="0.35">
      <c r="A281">
        <v>275</v>
      </c>
      <c r="C281">
        <f>MAX(0,Calc!$C$7-SUM(D281:R281))</f>
        <v>750</v>
      </c>
      <c r="D281">
        <f t="shared" si="193"/>
        <v>0</v>
      </c>
      <c r="E281">
        <f t="shared" si="194"/>
        <v>0</v>
      </c>
      <c r="F281">
        <f t="shared" si="195"/>
        <v>0</v>
      </c>
      <c r="G281">
        <f t="shared" si="196"/>
        <v>0</v>
      </c>
      <c r="H281">
        <f t="shared" si="197"/>
        <v>0</v>
      </c>
      <c r="I281">
        <f t="shared" si="198"/>
        <v>0</v>
      </c>
      <c r="J281">
        <f t="shared" si="199"/>
        <v>0</v>
      </c>
      <c r="K281">
        <f t="shared" si="200"/>
        <v>0</v>
      </c>
      <c r="L281">
        <f t="shared" si="201"/>
        <v>0</v>
      </c>
      <c r="M281">
        <f t="shared" si="202"/>
        <v>0</v>
      </c>
      <c r="N281">
        <f t="shared" si="203"/>
        <v>0</v>
      </c>
      <c r="O281">
        <f t="shared" si="204"/>
        <v>0</v>
      </c>
      <c r="P281">
        <f t="shared" si="205"/>
        <v>0</v>
      </c>
      <c r="Q281">
        <f t="shared" si="206"/>
        <v>0</v>
      </c>
      <c r="R281">
        <f t="shared" si="207"/>
        <v>0</v>
      </c>
      <c r="S281">
        <f t="shared" si="208"/>
        <v>0</v>
      </c>
      <c r="T281">
        <f t="shared" si="209"/>
        <v>0</v>
      </c>
      <c r="U281">
        <f t="shared" si="210"/>
        <v>0</v>
      </c>
      <c r="V281">
        <f t="shared" si="211"/>
        <v>0</v>
      </c>
      <c r="W281">
        <f t="shared" si="212"/>
        <v>0</v>
      </c>
      <c r="X281">
        <f t="shared" si="213"/>
        <v>0</v>
      </c>
      <c r="Y281">
        <f t="shared" si="214"/>
        <v>0</v>
      </c>
      <c r="Z281">
        <f t="shared" si="215"/>
        <v>0</v>
      </c>
      <c r="AA281">
        <f t="shared" si="216"/>
        <v>0</v>
      </c>
      <c r="AB281">
        <f t="shared" si="217"/>
        <v>0</v>
      </c>
      <c r="AC281">
        <f t="shared" si="218"/>
        <v>0</v>
      </c>
      <c r="AD281">
        <f t="shared" si="219"/>
        <v>0</v>
      </c>
      <c r="AE281">
        <f t="shared" si="220"/>
        <v>0</v>
      </c>
      <c r="AF281">
        <f t="shared" si="221"/>
        <v>0</v>
      </c>
      <c r="AG281">
        <f t="shared" si="222"/>
        <v>0</v>
      </c>
      <c r="AH281">
        <f t="shared" si="223"/>
        <v>0</v>
      </c>
      <c r="AI281">
        <f t="shared" si="224"/>
        <v>0</v>
      </c>
      <c r="AJ281">
        <f t="shared" si="225"/>
        <v>0</v>
      </c>
      <c r="AK281">
        <f t="shared" si="226"/>
        <v>0</v>
      </c>
      <c r="AL281">
        <f t="shared" si="227"/>
        <v>0</v>
      </c>
      <c r="AM281">
        <f t="shared" si="228"/>
        <v>0</v>
      </c>
      <c r="AN281">
        <f t="shared" si="229"/>
        <v>0</v>
      </c>
      <c r="AO281">
        <f t="shared" si="230"/>
        <v>0</v>
      </c>
      <c r="AP281">
        <f t="shared" si="231"/>
        <v>0</v>
      </c>
      <c r="AQ281">
        <f t="shared" si="232"/>
        <v>0</v>
      </c>
      <c r="AR281">
        <f t="shared" si="233"/>
        <v>0</v>
      </c>
      <c r="AS281">
        <f t="shared" si="234"/>
        <v>0</v>
      </c>
      <c r="AT281">
        <f t="shared" si="235"/>
        <v>0</v>
      </c>
      <c r="AU281">
        <f t="shared" si="236"/>
        <v>0</v>
      </c>
      <c r="AV281">
        <f t="shared" si="237"/>
        <v>0</v>
      </c>
      <c r="AW281">
        <f t="shared" si="192"/>
        <v>0</v>
      </c>
      <c r="AX281">
        <f t="shared" si="238"/>
        <v>0</v>
      </c>
      <c r="AY281">
        <f t="shared" si="239"/>
        <v>0</v>
      </c>
    </row>
    <row r="282" spans="1:51" x14ac:dyDescent="0.35">
      <c r="A282">
        <v>276</v>
      </c>
      <c r="C282">
        <f>MAX(0,Calc!$C$7-SUM(D282:R282))</f>
        <v>750</v>
      </c>
      <c r="D282">
        <f t="shared" si="193"/>
        <v>0</v>
      </c>
      <c r="E282">
        <f t="shared" si="194"/>
        <v>0</v>
      </c>
      <c r="F282">
        <f t="shared" si="195"/>
        <v>0</v>
      </c>
      <c r="G282">
        <f t="shared" si="196"/>
        <v>0</v>
      </c>
      <c r="H282">
        <f t="shared" si="197"/>
        <v>0</v>
      </c>
      <c r="I282">
        <f t="shared" si="198"/>
        <v>0</v>
      </c>
      <c r="J282">
        <f t="shared" si="199"/>
        <v>0</v>
      </c>
      <c r="K282">
        <f t="shared" si="200"/>
        <v>0</v>
      </c>
      <c r="L282">
        <f t="shared" si="201"/>
        <v>0</v>
      </c>
      <c r="M282">
        <f t="shared" si="202"/>
        <v>0</v>
      </c>
      <c r="N282">
        <f t="shared" si="203"/>
        <v>0</v>
      </c>
      <c r="O282">
        <f t="shared" si="204"/>
        <v>0</v>
      </c>
      <c r="P282">
        <f t="shared" si="205"/>
        <v>0</v>
      </c>
      <c r="Q282">
        <f t="shared" si="206"/>
        <v>0</v>
      </c>
      <c r="R282">
        <f t="shared" si="207"/>
        <v>0</v>
      </c>
      <c r="S282">
        <f t="shared" si="208"/>
        <v>0</v>
      </c>
      <c r="T282">
        <f t="shared" si="209"/>
        <v>0</v>
      </c>
      <c r="U282">
        <f t="shared" si="210"/>
        <v>0</v>
      </c>
      <c r="V282">
        <f t="shared" si="211"/>
        <v>0</v>
      </c>
      <c r="W282">
        <f t="shared" si="212"/>
        <v>0</v>
      </c>
      <c r="X282">
        <f t="shared" si="213"/>
        <v>0</v>
      </c>
      <c r="Y282">
        <f t="shared" si="214"/>
        <v>0</v>
      </c>
      <c r="Z282">
        <f t="shared" si="215"/>
        <v>0</v>
      </c>
      <c r="AA282">
        <f t="shared" si="216"/>
        <v>0</v>
      </c>
      <c r="AB282">
        <f t="shared" si="217"/>
        <v>0</v>
      </c>
      <c r="AC282">
        <f t="shared" si="218"/>
        <v>0</v>
      </c>
      <c r="AD282">
        <f t="shared" si="219"/>
        <v>0</v>
      </c>
      <c r="AE282">
        <f t="shared" si="220"/>
        <v>0</v>
      </c>
      <c r="AF282">
        <f t="shared" si="221"/>
        <v>0</v>
      </c>
      <c r="AG282">
        <f t="shared" si="222"/>
        <v>0</v>
      </c>
      <c r="AH282">
        <f t="shared" si="223"/>
        <v>0</v>
      </c>
      <c r="AI282">
        <f t="shared" si="224"/>
        <v>0</v>
      </c>
      <c r="AJ282">
        <f t="shared" si="225"/>
        <v>0</v>
      </c>
      <c r="AK282">
        <f t="shared" si="226"/>
        <v>0</v>
      </c>
      <c r="AL282">
        <f t="shared" si="227"/>
        <v>0</v>
      </c>
      <c r="AM282">
        <f t="shared" si="228"/>
        <v>0</v>
      </c>
      <c r="AN282">
        <f t="shared" si="229"/>
        <v>0</v>
      </c>
      <c r="AO282">
        <f t="shared" si="230"/>
        <v>0</v>
      </c>
      <c r="AP282">
        <f t="shared" si="231"/>
        <v>0</v>
      </c>
      <c r="AQ282">
        <f t="shared" si="232"/>
        <v>0</v>
      </c>
      <c r="AR282">
        <f t="shared" si="233"/>
        <v>0</v>
      </c>
      <c r="AS282">
        <f t="shared" si="234"/>
        <v>0</v>
      </c>
      <c r="AT282">
        <f t="shared" si="235"/>
        <v>0</v>
      </c>
      <c r="AU282">
        <f t="shared" si="236"/>
        <v>0</v>
      </c>
      <c r="AV282">
        <f t="shared" si="237"/>
        <v>0</v>
      </c>
      <c r="AW282">
        <f t="shared" si="192"/>
        <v>0</v>
      </c>
      <c r="AX282">
        <f t="shared" si="238"/>
        <v>0</v>
      </c>
      <c r="AY282">
        <f t="shared" si="239"/>
        <v>0</v>
      </c>
    </row>
    <row r="283" spans="1:51" x14ac:dyDescent="0.35">
      <c r="A283">
        <v>277</v>
      </c>
      <c r="C283">
        <f>MAX(0,Calc!$C$7-SUM(D283:R283))</f>
        <v>750</v>
      </c>
      <c r="D283">
        <f t="shared" si="193"/>
        <v>0</v>
      </c>
      <c r="E283">
        <f t="shared" si="194"/>
        <v>0</v>
      </c>
      <c r="F283">
        <f t="shared" si="195"/>
        <v>0</v>
      </c>
      <c r="G283">
        <f t="shared" si="196"/>
        <v>0</v>
      </c>
      <c r="H283">
        <f t="shared" si="197"/>
        <v>0</v>
      </c>
      <c r="I283">
        <f t="shared" si="198"/>
        <v>0</v>
      </c>
      <c r="J283">
        <f t="shared" si="199"/>
        <v>0</v>
      </c>
      <c r="K283">
        <f t="shared" si="200"/>
        <v>0</v>
      </c>
      <c r="L283">
        <f t="shared" si="201"/>
        <v>0</v>
      </c>
      <c r="M283">
        <f t="shared" si="202"/>
        <v>0</v>
      </c>
      <c r="N283">
        <f t="shared" si="203"/>
        <v>0</v>
      </c>
      <c r="O283">
        <f t="shared" si="204"/>
        <v>0</v>
      </c>
      <c r="P283">
        <f t="shared" si="205"/>
        <v>0</v>
      </c>
      <c r="Q283">
        <f t="shared" si="206"/>
        <v>0</v>
      </c>
      <c r="R283">
        <f t="shared" si="207"/>
        <v>0</v>
      </c>
      <c r="S283">
        <f t="shared" si="208"/>
        <v>0</v>
      </c>
      <c r="T283">
        <f t="shared" si="209"/>
        <v>0</v>
      </c>
      <c r="U283">
        <f t="shared" si="210"/>
        <v>0</v>
      </c>
      <c r="V283">
        <f t="shared" si="211"/>
        <v>0</v>
      </c>
      <c r="W283">
        <f t="shared" si="212"/>
        <v>0</v>
      </c>
      <c r="X283">
        <f t="shared" si="213"/>
        <v>0</v>
      </c>
      <c r="Y283">
        <f t="shared" si="214"/>
        <v>0</v>
      </c>
      <c r="Z283">
        <f t="shared" si="215"/>
        <v>0</v>
      </c>
      <c r="AA283">
        <f t="shared" si="216"/>
        <v>0</v>
      </c>
      <c r="AB283">
        <f t="shared" si="217"/>
        <v>0</v>
      </c>
      <c r="AC283">
        <f t="shared" si="218"/>
        <v>0</v>
      </c>
      <c r="AD283">
        <f t="shared" si="219"/>
        <v>0</v>
      </c>
      <c r="AE283">
        <f t="shared" si="220"/>
        <v>0</v>
      </c>
      <c r="AF283">
        <f t="shared" si="221"/>
        <v>0</v>
      </c>
      <c r="AG283">
        <f t="shared" si="222"/>
        <v>0</v>
      </c>
      <c r="AH283">
        <f t="shared" si="223"/>
        <v>0</v>
      </c>
      <c r="AI283">
        <f t="shared" si="224"/>
        <v>0</v>
      </c>
      <c r="AJ283">
        <f t="shared" si="225"/>
        <v>0</v>
      </c>
      <c r="AK283">
        <f t="shared" si="226"/>
        <v>0</v>
      </c>
      <c r="AL283">
        <f t="shared" si="227"/>
        <v>0</v>
      </c>
      <c r="AM283">
        <f t="shared" si="228"/>
        <v>0</v>
      </c>
      <c r="AN283">
        <f t="shared" si="229"/>
        <v>0</v>
      </c>
      <c r="AO283">
        <f t="shared" si="230"/>
        <v>0</v>
      </c>
      <c r="AP283">
        <f t="shared" si="231"/>
        <v>0</v>
      </c>
      <c r="AQ283">
        <f t="shared" si="232"/>
        <v>0</v>
      </c>
      <c r="AR283">
        <f t="shared" si="233"/>
        <v>0</v>
      </c>
      <c r="AS283">
        <f t="shared" si="234"/>
        <v>0</v>
      </c>
      <c r="AT283">
        <f t="shared" si="235"/>
        <v>0</v>
      </c>
      <c r="AU283">
        <f t="shared" si="236"/>
        <v>0</v>
      </c>
      <c r="AV283">
        <f t="shared" si="237"/>
        <v>0</v>
      </c>
      <c r="AW283">
        <f t="shared" si="192"/>
        <v>0</v>
      </c>
      <c r="AX283">
        <f t="shared" si="238"/>
        <v>0</v>
      </c>
      <c r="AY283">
        <f t="shared" si="239"/>
        <v>0</v>
      </c>
    </row>
    <row r="284" spans="1:51" x14ac:dyDescent="0.35">
      <c r="A284">
        <v>278</v>
      </c>
      <c r="C284">
        <f>MAX(0,Calc!$C$7-SUM(D284:R284))</f>
        <v>750</v>
      </c>
      <c r="D284">
        <f t="shared" si="193"/>
        <v>0</v>
      </c>
      <c r="E284">
        <f t="shared" si="194"/>
        <v>0</v>
      </c>
      <c r="F284">
        <f t="shared" si="195"/>
        <v>0</v>
      </c>
      <c r="G284">
        <f t="shared" si="196"/>
        <v>0</v>
      </c>
      <c r="H284">
        <f t="shared" si="197"/>
        <v>0</v>
      </c>
      <c r="I284">
        <f t="shared" si="198"/>
        <v>0</v>
      </c>
      <c r="J284">
        <f t="shared" si="199"/>
        <v>0</v>
      </c>
      <c r="K284">
        <f t="shared" si="200"/>
        <v>0</v>
      </c>
      <c r="L284">
        <f t="shared" si="201"/>
        <v>0</v>
      </c>
      <c r="M284">
        <f t="shared" si="202"/>
        <v>0</v>
      </c>
      <c r="N284">
        <f t="shared" si="203"/>
        <v>0</v>
      </c>
      <c r="O284">
        <f t="shared" si="204"/>
        <v>0</v>
      </c>
      <c r="P284">
        <f t="shared" si="205"/>
        <v>0</v>
      </c>
      <c r="Q284">
        <f t="shared" si="206"/>
        <v>0</v>
      </c>
      <c r="R284">
        <f t="shared" si="207"/>
        <v>0</v>
      </c>
      <c r="S284">
        <f t="shared" si="208"/>
        <v>0</v>
      </c>
      <c r="T284">
        <f t="shared" si="209"/>
        <v>0</v>
      </c>
      <c r="U284">
        <f t="shared" si="210"/>
        <v>0</v>
      </c>
      <c r="V284">
        <f t="shared" si="211"/>
        <v>0</v>
      </c>
      <c r="W284">
        <f t="shared" si="212"/>
        <v>0</v>
      </c>
      <c r="X284">
        <f t="shared" si="213"/>
        <v>0</v>
      </c>
      <c r="Y284">
        <f t="shared" si="214"/>
        <v>0</v>
      </c>
      <c r="Z284">
        <f t="shared" si="215"/>
        <v>0</v>
      </c>
      <c r="AA284">
        <f t="shared" si="216"/>
        <v>0</v>
      </c>
      <c r="AB284">
        <f t="shared" si="217"/>
        <v>0</v>
      </c>
      <c r="AC284">
        <f t="shared" si="218"/>
        <v>0</v>
      </c>
      <c r="AD284">
        <f t="shared" si="219"/>
        <v>0</v>
      </c>
      <c r="AE284">
        <f t="shared" si="220"/>
        <v>0</v>
      </c>
      <c r="AF284">
        <f t="shared" si="221"/>
        <v>0</v>
      </c>
      <c r="AG284">
        <f t="shared" si="222"/>
        <v>0</v>
      </c>
      <c r="AH284">
        <f t="shared" si="223"/>
        <v>0</v>
      </c>
      <c r="AI284">
        <f t="shared" si="224"/>
        <v>0</v>
      </c>
      <c r="AJ284">
        <f t="shared" si="225"/>
        <v>0</v>
      </c>
      <c r="AK284">
        <f t="shared" si="226"/>
        <v>0</v>
      </c>
      <c r="AL284">
        <f t="shared" si="227"/>
        <v>0</v>
      </c>
      <c r="AM284">
        <f t="shared" si="228"/>
        <v>0</v>
      </c>
      <c r="AN284">
        <f t="shared" si="229"/>
        <v>0</v>
      </c>
      <c r="AO284">
        <f t="shared" si="230"/>
        <v>0</v>
      </c>
      <c r="AP284">
        <f t="shared" si="231"/>
        <v>0</v>
      </c>
      <c r="AQ284">
        <f t="shared" si="232"/>
        <v>0</v>
      </c>
      <c r="AR284">
        <f t="shared" si="233"/>
        <v>0</v>
      </c>
      <c r="AS284">
        <f t="shared" si="234"/>
        <v>0</v>
      </c>
      <c r="AT284">
        <f t="shared" si="235"/>
        <v>0</v>
      </c>
      <c r="AU284">
        <f t="shared" si="236"/>
        <v>0</v>
      </c>
      <c r="AV284">
        <f t="shared" si="237"/>
        <v>0</v>
      </c>
      <c r="AW284">
        <f t="shared" si="192"/>
        <v>0</v>
      </c>
      <c r="AX284">
        <f t="shared" si="238"/>
        <v>0</v>
      </c>
      <c r="AY284">
        <f t="shared" si="239"/>
        <v>0</v>
      </c>
    </row>
    <row r="285" spans="1:51" x14ac:dyDescent="0.35">
      <c r="A285">
        <v>279</v>
      </c>
      <c r="C285">
        <f>MAX(0,Calc!$C$7-SUM(D285:R285))</f>
        <v>750</v>
      </c>
      <c r="D285">
        <f t="shared" si="193"/>
        <v>0</v>
      </c>
      <c r="E285">
        <f t="shared" si="194"/>
        <v>0</v>
      </c>
      <c r="F285">
        <f t="shared" si="195"/>
        <v>0</v>
      </c>
      <c r="G285">
        <f t="shared" si="196"/>
        <v>0</v>
      </c>
      <c r="H285">
        <f t="shared" si="197"/>
        <v>0</v>
      </c>
      <c r="I285">
        <f t="shared" si="198"/>
        <v>0</v>
      </c>
      <c r="J285">
        <f t="shared" si="199"/>
        <v>0</v>
      </c>
      <c r="K285">
        <f t="shared" si="200"/>
        <v>0</v>
      </c>
      <c r="L285">
        <f t="shared" si="201"/>
        <v>0</v>
      </c>
      <c r="M285">
        <f t="shared" si="202"/>
        <v>0</v>
      </c>
      <c r="N285">
        <f t="shared" si="203"/>
        <v>0</v>
      </c>
      <c r="O285">
        <f t="shared" si="204"/>
        <v>0</v>
      </c>
      <c r="P285">
        <f t="shared" si="205"/>
        <v>0</v>
      </c>
      <c r="Q285">
        <f t="shared" si="206"/>
        <v>0</v>
      </c>
      <c r="R285">
        <f t="shared" si="207"/>
        <v>0</v>
      </c>
      <c r="S285">
        <f t="shared" si="208"/>
        <v>0</v>
      </c>
      <c r="T285">
        <f t="shared" si="209"/>
        <v>0</v>
      </c>
      <c r="U285">
        <f t="shared" si="210"/>
        <v>0</v>
      </c>
      <c r="V285">
        <f t="shared" si="211"/>
        <v>0</v>
      </c>
      <c r="W285">
        <f t="shared" si="212"/>
        <v>0</v>
      </c>
      <c r="X285">
        <f t="shared" si="213"/>
        <v>0</v>
      </c>
      <c r="Y285">
        <f t="shared" si="214"/>
        <v>0</v>
      </c>
      <c r="Z285">
        <f t="shared" si="215"/>
        <v>0</v>
      </c>
      <c r="AA285">
        <f t="shared" si="216"/>
        <v>0</v>
      </c>
      <c r="AB285">
        <f t="shared" si="217"/>
        <v>0</v>
      </c>
      <c r="AC285">
        <f t="shared" si="218"/>
        <v>0</v>
      </c>
      <c r="AD285">
        <f t="shared" si="219"/>
        <v>0</v>
      </c>
      <c r="AE285">
        <f t="shared" si="220"/>
        <v>0</v>
      </c>
      <c r="AF285">
        <f t="shared" si="221"/>
        <v>0</v>
      </c>
      <c r="AG285">
        <f t="shared" si="222"/>
        <v>0</v>
      </c>
      <c r="AH285">
        <f t="shared" si="223"/>
        <v>0</v>
      </c>
      <c r="AI285">
        <f t="shared" si="224"/>
        <v>0</v>
      </c>
      <c r="AJ285">
        <f t="shared" si="225"/>
        <v>0</v>
      </c>
      <c r="AK285">
        <f t="shared" si="226"/>
        <v>0</v>
      </c>
      <c r="AL285">
        <f t="shared" si="227"/>
        <v>0</v>
      </c>
      <c r="AM285">
        <f t="shared" si="228"/>
        <v>0</v>
      </c>
      <c r="AN285">
        <f t="shared" si="229"/>
        <v>0</v>
      </c>
      <c r="AO285">
        <f t="shared" si="230"/>
        <v>0</v>
      </c>
      <c r="AP285">
        <f t="shared" si="231"/>
        <v>0</v>
      </c>
      <c r="AQ285">
        <f t="shared" si="232"/>
        <v>0</v>
      </c>
      <c r="AR285">
        <f t="shared" si="233"/>
        <v>0</v>
      </c>
      <c r="AS285">
        <f t="shared" si="234"/>
        <v>0</v>
      </c>
      <c r="AT285">
        <f t="shared" si="235"/>
        <v>0</v>
      </c>
      <c r="AU285">
        <f t="shared" si="236"/>
        <v>0</v>
      </c>
      <c r="AV285">
        <f t="shared" si="237"/>
        <v>0</v>
      </c>
      <c r="AW285">
        <f t="shared" si="192"/>
        <v>0</v>
      </c>
      <c r="AX285">
        <f t="shared" si="238"/>
        <v>0</v>
      </c>
      <c r="AY285">
        <f t="shared" si="239"/>
        <v>0</v>
      </c>
    </row>
    <row r="286" spans="1:51" x14ac:dyDescent="0.35">
      <c r="A286">
        <v>280</v>
      </c>
      <c r="C286">
        <f>MAX(0,Calc!$C$7-SUM(D286:R286))</f>
        <v>750</v>
      </c>
      <c r="D286">
        <f t="shared" si="193"/>
        <v>0</v>
      </c>
      <c r="E286">
        <f t="shared" si="194"/>
        <v>0</v>
      </c>
      <c r="F286">
        <f t="shared" si="195"/>
        <v>0</v>
      </c>
      <c r="G286">
        <f t="shared" si="196"/>
        <v>0</v>
      </c>
      <c r="H286">
        <f t="shared" si="197"/>
        <v>0</v>
      </c>
      <c r="I286">
        <f t="shared" si="198"/>
        <v>0</v>
      </c>
      <c r="J286">
        <f t="shared" si="199"/>
        <v>0</v>
      </c>
      <c r="K286">
        <f t="shared" si="200"/>
        <v>0</v>
      </c>
      <c r="L286">
        <f t="shared" si="201"/>
        <v>0</v>
      </c>
      <c r="M286">
        <f t="shared" si="202"/>
        <v>0</v>
      </c>
      <c r="N286">
        <f t="shared" si="203"/>
        <v>0</v>
      </c>
      <c r="O286">
        <f t="shared" si="204"/>
        <v>0</v>
      </c>
      <c r="P286">
        <f t="shared" si="205"/>
        <v>0</v>
      </c>
      <c r="Q286">
        <f t="shared" si="206"/>
        <v>0</v>
      </c>
      <c r="R286">
        <f t="shared" si="207"/>
        <v>0</v>
      </c>
      <c r="S286">
        <f t="shared" si="208"/>
        <v>0</v>
      </c>
      <c r="T286">
        <f t="shared" si="209"/>
        <v>0</v>
      </c>
      <c r="U286">
        <f t="shared" si="210"/>
        <v>0</v>
      </c>
      <c r="V286">
        <f t="shared" si="211"/>
        <v>0</v>
      </c>
      <c r="W286">
        <f t="shared" si="212"/>
        <v>0</v>
      </c>
      <c r="X286">
        <f t="shared" si="213"/>
        <v>0</v>
      </c>
      <c r="Y286">
        <f t="shared" si="214"/>
        <v>0</v>
      </c>
      <c r="Z286">
        <f t="shared" si="215"/>
        <v>0</v>
      </c>
      <c r="AA286">
        <f t="shared" si="216"/>
        <v>0</v>
      </c>
      <c r="AB286">
        <f t="shared" si="217"/>
        <v>0</v>
      </c>
      <c r="AC286">
        <f t="shared" si="218"/>
        <v>0</v>
      </c>
      <c r="AD286">
        <f t="shared" si="219"/>
        <v>0</v>
      </c>
      <c r="AE286">
        <f t="shared" si="220"/>
        <v>0</v>
      </c>
      <c r="AF286">
        <f t="shared" si="221"/>
        <v>0</v>
      </c>
      <c r="AG286">
        <f t="shared" si="222"/>
        <v>0</v>
      </c>
      <c r="AH286">
        <f t="shared" si="223"/>
        <v>0</v>
      </c>
      <c r="AI286">
        <f t="shared" si="224"/>
        <v>0</v>
      </c>
      <c r="AJ286">
        <f t="shared" si="225"/>
        <v>0</v>
      </c>
      <c r="AK286">
        <f t="shared" si="226"/>
        <v>0</v>
      </c>
      <c r="AL286">
        <f t="shared" si="227"/>
        <v>0</v>
      </c>
      <c r="AM286">
        <f t="shared" si="228"/>
        <v>0</v>
      </c>
      <c r="AN286">
        <f t="shared" si="229"/>
        <v>0</v>
      </c>
      <c r="AO286">
        <f t="shared" si="230"/>
        <v>0</v>
      </c>
      <c r="AP286">
        <f t="shared" si="231"/>
        <v>0</v>
      </c>
      <c r="AQ286">
        <f t="shared" si="232"/>
        <v>0</v>
      </c>
      <c r="AR286">
        <f t="shared" si="233"/>
        <v>0</v>
      </c>
      <c r="AS286">
        <f t="shared" si="234"/>
        <v>0</v>
      </c>
      <c r="AT286">
        <f t="shared" si="235"/>
        <v>0</v>
      </c>
      <c r="AU286">
        <f t="shared" si="236"/>
        <v>0</v>
      </c>
      <c r="AV286">
        <f t="shared" si="237"/>
        <v>0</v>
      </c>
      <c r="AW286">
        <f t="shared" si="192"/>
        <v>0</v>
      </c>
      <c r="AX286">
        <f t="shared" si="238"/>
        <v>0</v>
      </c>
      <c r="AY286">
        <f t="shared" si="239"/>
        <v>0</v>
      </c>
    </row>
    <row r="287" spans="1:51" x14ac:dyDescent="0.35">
      <c r="A287">
        <v>281</v>
      </c>
      <c r="C287">
        <f>MAX(0,Calc!$C$7-SUM(D287:R287))</f>
        <v>750</v>
      </c>
      <c r="D287">
        <f t="shared" si="193"/>
        <v>0</v>
      </c>
      <c r="E287">
        <f t="shared" si="194"/>
        <v>0</v>
      </c>
      <c r="F287">
        <f t="shared" si="195"/>
        <v>0</v>
      </c>
      <c r="G287">
        <f t="shared" si="196"/>
        <v>0</v>
      </c>
      <c r="H287">
        <f t="shared" si="197"/>
        <v>0</v>
      </c>
      <c r="I287">
        <f t="shared" si="198"/>
        <v>0</v>
      </c>
      <c r="J287">
        <f t="shared" si="199"/>
        <v>0</v>
      </c>
      <c r="K287">
        <f t="shared" si="200"/>
        <v>0</v>
      </c>
      <c r="L287">
        <f t="shared" si="201"/>
        <v>0</v>
      </c>
      <c r="M287">
        <f t="shared" si="202"/>
        <v>0</v>
      </c>
      <c r="N287">
        <f t="shared" si="203"/>
        <v>0</v>
      </c>
      <c r="O287">
        <f t="shared" si="204"/>
        <v>0</v>
      </c>
      <c r="P287">
        <f t="shared" si="205"/>
        <v>0</v>
      </c>
      <c r="Q287">
        <f t="shared" si="206"/>
        <v>0</v>
      </c>
      <c r="R287">
        <f t="shared" si="207"/>
        <v>0</v>
      </c>
      <c r="S287">
        <f t="shared" si="208"/>
        <v>0</v>
      </c>
      <c r="T287">
        <f t="shared" si="209"/>
        <v>0</v>
      </c>
      <c r="U287">
        <f t="shared" si="210"/>
        <v>0</v>
      </c>
      <c r="V287">
        <f t="shared" si="211"/>
        <v>0</v>
      </c>
      <c r="W287">
        <f t="shared" si="212"/>
        <v>0</v>
      </c>
      <c r="X287">
        <f t="shared" si="213"/>
        <v>0</v>
      </c>
      <c r="Y287">
        <f t="shared" si="214"/>
        <v>0</v>
      </c>
      <c r="Z287">
        <f t="shared" si="215"/>
        <v>0</v>
      </c>
      <c r="AA287">
        <f t="shared" si="216"/>
        <v>0</v>
      </c>
      <c r="AB287">
        <f t="shared" si="217"/>
        <v>0</v>
      </c>
      <c r="AC287">
        <f t="shared" si="218"/>
        <v>0</v>
      </c>
      <c r="AD287">
        <f t="shared" si="219"/>
        <v>0</v>
      </c>
      <c r="AE287">
        <f t="shared" si="220"/>
        <v>0</v>
      </c>
      <c r="AF287">
        <f t="shared" si="221"/>
        <v>0</v>
      </c>
      <c r="AG287">
        <f t="shared" si="222"/>
        <v>0</v>
      </c>
      <c r="AH287">
        <f t="shared" si="223"/>
        <v>0</v>
      </c>
      <c r="AI287">
        <f t="shared" si="224"/>
        <v>0</v>
      </c>
      <c r="AJ287">
        <f t="shared" si="225"/>
        <v>0</v>
      </c>
      <c r="AK287">
        <f t="shared" si="226"/>
        <v>0</v>
      </c>
      <c r="AL287">
        <f t="shared" si="227"/>
        <v>0</v>
      </c>
      <c r="AM287">
        <f t="shared" si="228"/>
        <v>0</v>
      </c>
      <c r="AN287">
        <f t="shared" si="229"/>
        <v>0</v>
      </c>
      <c r="AO287">
        <f t="shared" si="230"/>
        <v>0</v>
      </c>
      <c r="AP287">
        <f t="shared" si="231"/>
        <v>0</v>
      </c>
      <c r="AQ287">
        <f t="shared" si="232"/>
        <v>0</v>
      </c>
      <c r="AR287">
        <f t="shared" si="233"/>
        <v>0</v>
      </c>
      <c r="AS287">
        <f t="shared" si="234"/>
        <v>0</v>
      </c>
      <c r="AT287">
        <f t="shared" si="235"/>
        <v>0</v>
      </c>
      <c r="AU287">
        <f t="shared" si="236"/>
        <v>0</v>
      </c>
      <c r="AV287">
        <f t="shared" si="237"/>
        <v>0</v>
      </c>
      <c r="AW287">
        <f t="shared" si="192"/>
        <v>0</v>
      </c>
      <c r="AX287">
        <f t="shared" si="238"/>
        <v>0</v>
      </c>
      <c r="AY287">
        <f t="shared" si="239"/>
        <v>0</v>
      </c>
    </row>
    <row r="288" spans="1:51" x14ac:dyDescent="0.35">
      <c r="A288">
        <v>282</v>
      </c>
      <c r="C288">
        <f>MAX(0,Calc!$C$7-SUM(D288:R288))</f>
        <v>750</v>
      </c>
      <c r="D288">
        <f t="shared" si="193"/>
        <v>0</v>
      </c>
      <c r="E288">
        <f t="shared" si="194"/>
        <v>0</v>
      </c>
      <c r="F288">
        <f t="shared" si="195"/>
        <v>0</v>
      </c>
      <c r="G288">
        <f t="shared" si="196"/>
        <v>0</v>
      </c>
      <c r="H288">
        <f t="shared" si="197"/>
        <v>0</v>
      </c>
      <c r="I288">
        <f t="shared" si="198"/>
        <v>0</v>
      </c>
      <c r="J288">
        <f t="shared" si="199"/>
        <v>0</v>
      </c>
      <c r="K288">
        <f t="shared" si="200"/>
        <v>0</v>
      </c>
      <c r="L288">
        <f t="shared" si="201"/>
        <v>0</v>
      </c>
      <c r="M288">
        <f t="shared" si="202"/>
        <v>0</v>
      </c>
      <c r="N288">
        <f t="shared" si="203"/>
        <v>0</v>
      </c>
      <c r="O288">
        <f t="shared" si="204"/>
        <v>0</v>
      </c>
      <c r="P288">
        <f t="shared" si="205"/>
        <v>0</v>
      </c>
      <c r="Q288">
        <f t="shared" si="206"/>
        <v>0</v>
      </c>
      <c r="R288">
        <f t="shared" si="207"/>
        <v>0</v>
      </c>
      <c r="S288">
        <f t="shared" si="208"/>
        <v>0</v>
      </c>
      <c r="T288">
        <f t="shared" si="209"/>
        <v>0</v>
      </c>
      <c r="U288">
        <f t="shared" si="210"/>
        <v>0</v>
      </c>
      <c r="V288">
        <f t="shared" si="211"/>
        <v>0</v>
      </c>
      <c r="W288">
        <f t="shared" si="212"/>
        <v>0</v>
      </c>
      <c r="X288">
        <f t="shared" si="213"/>
        <v>0</v>
      </c>
      <c r="Y288">
        <f t="shared" si="214"/>
        <v>0</v>
      </c>
      <c r="Z288">
        <f t="shared" si="215"/>
        <v>0</v>
      </c>
      <c r="AA288">
        <f t="shared" si="216"/>
        <v>0</v>
      </c>
      <c r="AB288">
        <f t="shared" si="217"/>
        <v>0</v>
      </c>
      <c r="AC288">
        <f t="shared" si="218"/>
        <v>0</v>
      </c>
      <c r="AD288">
        <f t="shared" si="219"/>
        <v>0</v>
      </c>
      <c r="AE288">
        <f t="shared" si="220"/>
        <v>0</v>
      </c>
      <c r="AF288">
        <f t="shared" si="221"/>
        <v>0</v>
      </c>
      <c r="AG288">
        <f t="shared" si="222"/>
        <v>0</v>
      </c>
      <c r="AH288">
        <f t="shared" si="223"/>
        <v>0</v>
      </c>
      <c r="AI288">
        <f t="shared" si="224"/>
        <v>0</v>
      </c>
      <c r="AJ288">
        <f t="shared" si="225"/>
        <v>0</v>
      </c>
      <c r="AK288">
        <f t="shared" si="226"/>
        <v>0</v>
      </c>
      <c r="AL288">
        <f t="shared" si="227"/>
        <v>0</v>
      </c>
      <c r="AM288">
        <f t="shared" si="228"/>
        <v>0</v>
      </c>
      <c r="AN288">
        <f t="shared" si="229"/>
        <v>0</v>
      </c>
      <c r="AO288">
        <f t="shared" si="230"/>
        <v>0</v>
      </c>
      <c r="AP288">
        <f t="shared" si="231"/>
        <v>0</v>
      </c>
      <c r="AQ288">
        <f t="shared" si="232"/>
        <v>0</v>
      </c>
      <c r="AR288">
        <f t="shared" si="233"/>
        <v>0</v>
      </c>
      <c r="AS288">
        <f t="shared" si="234"/>
        <v>0</v>
      </c>
      <c r="AT288">
        <f t="shared" si="235"/>
        <v>0</v>
      </c>
      <c r="AU288">
        <f t="shared" si="236"/>
        <v>0</v>
      </c>
      <c r="AV288">
        <f t="shared" si="237"/>
        <v>0</v>
      </c>
      <c r="AW288">
        <f t="shared" si="192"/>
        <v>0</v>
      </c>
      <c r="AX288">
        <f t="shared" si="238"/>
        <v>0</v>
      </c>
      <c r="AY288">
        <f t="shared" si="239"/>
        <v>0</v>
      </c>
    </row>
    <row r="289" spans="1:51" x14ac:dyDescent="0.35">
      <c r="A289">
        <v>283</v>
      </c>
      <c r="C289">
        <f>MAX(0,Calc!$C$7-SUM(D289:R289))</f>
        <v>750</v>
      </c>
      <c r="D289">
        <f t="shared" si="193"/>
        <v>0</v>
      </c>
      <c r="E289">
        <f t="shared" si="194"/>
        <v>0</v>
      </c>
      <c r="F289">
        <f t="shared" si="195"/>
        <v>0</v>
      </c>
      <c r="G289">
        <f t="shared" si="196"/>
        <v>0</v>
      </c>
      <c r="H289">
        <f t="shared" si="197"/>
        <v>0</v>
      </c>
      <c r="I289">
        <f t="shared" si="198"/>
        <v>0</v>
      </c>
      <c r="J289">
        <f t="shared" si="199"/>
        <v>0</v>
      </c>
      <c r="K289">
        <f t="shared" si="200"/>
        <v>0</v>
      </c>
      <c r="L289">
        <f t="shared" si="201"/>
        <v>0</v>
      </c>
      <c r="M289">
        <f t="shared" si="202"/>
        <v>0</v>
      </c>
      <c r="N289">
        <f t="shared" si="203"/>
        <v>0</v>
      </c>
      <c r="O289">
        <f t="shared" si="204"/>
        <v>0</v>
      </c>
      <c r="P289">
        <f t="shared" si="205"/>
        <v>0</v>
      </c>
      <c r="Q289">
        <f t="shared" si="206"/>
        <v>0</v>
      </c>
      <c r="R289">
        <f t="shared" si="207"/>
        <v>0</v>
      </c>
      <c r="S289">
        <f t="shared" si="208"/>
        <v>0</v>
      </c>
      <c r="T289">
        <f t="shared" si="209"/>
        <v>0</v>
      </c>
      <c r="U289">
        <f t="shared" si="210"/>
        <v>0</v>
      </c>
      <c r="V289">
        <f t="shared" si="211"/>
        <v>0</v>
      </c>
      <c r="W289">
        <f t="shared" si="212"/>
        <v>0</v>
      </c>
      <c r="X289">
        <f t="shared" si="213"/>
        <v>0</v>
      </c>
      <c r="Y289">
        <f t="shared" si="214"/>
        <v>0</v>
      </c>
      <c r="Z289">
        <f t="shared" si="215"/>
        <v>0</v>
      </c>
      <c r="AA289">
        <f t="shared" si="216"/>
        <v>0</v>
      </c>
      <c r="AB289">
        <f t="shared" si="217"/>
        <v>0</v>
      </c>
      <c r="AC289">
        <f t="shared" si="218"/>
        <v>0</v>
      </c>
      <c r="AD289">
        <f t="shared" si="219"/>
        <v>0</v>
      </c>
      <c r="AE289">
        <f t="shared" si="220"/>
        <v>0</v>
      </c>
      <c r="AF289">
        <f t="shared" si="221"/>
        <v>0</v>
      </c>
      <c r="AG289">
        <f t="shared" si="222"/>
        <v>0</v>
      </c>
      <c r="AH289">
        <f t="shared" si="223"/>
        <v>0</v>
      </c>
      <c r="AI289">
        <f t="shared" si="224"/>
        <v>0</v>
      </c>
      <c r="AJ289">
        <f t="shared" si="225"/>
        <v>0</v>
      </c>
      <c r="AK289">
        <f t="shared" si="226"/>
        <v>0</v>
      </c>
      <c r="AL289">
        <f t="shared" si="227"/>
        <v>0</v>
      </c>
      <c r="AM289">
        <f t="shared" si="228"/>
        <v>0</v>
      </c>
      <c r="AN289">
        <f t="shared" si="229"/>
        <v>0</v>
      </c>
      <c r="AO289">
        <f t="shared" si="230"/>
        <v>0</v>
      </c>
      <c r="AP289">
        <f t="shared" si="231"/>
        <v>0</v>
      </c>
      <c r="AQ289">
        <f t="shared" si="232"/>
        <v>0</v>
      </c>
      <c r="AR289">
        <f t="shared" si="233"/>
        <v>0</v>
      </c>
      <c r="AS289">
        <f t="shared" si="234"/>
        <v>0</v>
      </c>
      <c r="AT289">
        <f t="shared" si="235"/>
        <v>0</v>
      </c>
      <c r="AU289">
        <f t="shared" si="236"/>
        <v>0</v>
      </c>
      <c r="AV289">
        <f t="shared" si="237"/>
        <v>0</v>
      </c>
      <c r="AW289">
        <f t="shared" si="192"/>
        <v>0</v>
      </c>
      <c r="AX289">
        <f t="shared" si="238"/>
        <v>0</v>
      </c>
      <c r="AY289">
        <f t="shared" si="239"/>
        <v>0</v>
      </c>
    </row>
    <row r="290" spans="1:51" x14ac:dyDescent="0.35">
      <c r="A290">
        <v>284</v>
      </c>
      <c r="C290">
        <f>MAX(0,Calc!$C$7-SUM(D290:R290))</f>
        <v>750</v>
      </c>
      <c r="D290">
        <f t="shared" si="193"/>
        <v>0</v>
      </c>
      <c r="E290">
        <f t="shared" si="194"/>
        <v>0</v>
      </c>
      <c r="F290">
        <f t="shared" si="195"/>
        <v>0</v>
      </c>
      <c r="G290">
        <f t="shared" si="196"/>
        <v>0</v>
      </c>
      <c r="H290">
        <f t="shared" si="197"/>
        <v>0</v>
      </c>
      <c r="I290">
        <f t="shared" si="198"/>
        <v>0</v>
      </c>
      <c r="J290">
        <f t="shared" si="199"/>
        <v>0</v>
      </c>
      <c r="K290">
        <f t="shared" si="200"/>
        <v>0</v>
      </c>
      <c r="L290">
        <f t="shared" si="201"/>
        <v>0</v>
      </c>
      <c r="M290">
        <f t="shared" si="202"/>
        <v>0</v>
      </c>
      <c r="N290">
        <f t="shared" si="203"/>
        <v>0</v>
      </c>
      <c r="O290">
        <f t="shared" si="204"/>
        <v>0</v>
      </c>
      <c r="P290">
        <f t="shared" si="205"/>
        <v>0</v>
      </c>
      <c r="Q290">
        <f t="shared" si="206"/>
        <v>0</v>
      </c>
      <c r="R290">
        <f t="shared" si="207"/>
        <v>0</v>
      </c>
      <c r="S290">
        <f t="shared" si="208"/>
        <v>0</v>
      </c>
      <c r="T290">
        <f t="shared" si="209"/>
        <v>0</v>
      </c>
      <c r="U290">
        <f t="shared" si="210"/>
        <v>0</v>
      </c>
      <c r="V290">
        <f t="shared" si="211"/>
        <v>0</v>
      </c>
      <c r="W290">
        <f t="shared" si="212"/>
        <v>0</v>
      </c>
      <c r="X290">
        <f t="shared" si="213"/>
        <v>0</v>
      </c>
      <c r="Y290">
        <f t="shared" si="214"/>
        <v>0</v>
      </c>
      <c r="Z290">
        <f t="shared" si="215"/>
        <v>0</v>
      </c>
      <c r="AA290">
        <f t="shared" si="216"/>
        <v>0</v>
      </c>
      <c r="AB290">
        <f t="shared" si="217"/>
        <v>0</v>
      </c>
      <c r="AC290">
        <f t="shared" si="218"/>
        <v>0</v>
      </c>
      <c r="AD290">
        <f t="shared" si="219"/>
        <v>0</v>
      </c>
      <c r="AE290">
        <f t="shared" si="220"/>
        <v>0</v>
      </c>
      <c r="AF290">
        <f t="shared" si="221"/>
        <v>0</v>
      </c>
      <c r="AG290">
        <f t="shared" si="222"/>
        <v>0</v>
      </c>
      <c r="AH290">
        <f t="shared" si="223"/>
        <v>0</v>
      </c>
      <c r="AI290">
        <f t="shared" si="224"/>
        <v>0</v>
      </c>
      <c r="AJ290">
        <f t="shared" si="225"/>
        <v>0</v>
      </c>
      <c r="AK290">
        <f t="shared" si="226"/>
        <v>0</v>
      </c>
      <c r="AL290">
        <f t="shared" si="227"/>
        <v>0</v>
      </c>
      <c r="AM290">
        <f t="shared" si="228"/>
        <v>0</v>
      </c>
      <c r="AN290">
        <f t="shared" si="229"/>
        <v>0</v>
      </c>
      <c r="AO290">
        <f t="shared" si="230"/>
        <v>0</v>
      </c>
      <c r="AP290">
        <f t="shared" si="231"/>
        <v>0</v>
      </c>
      <c r="AQ290">
        <f t="shared" si="232"/>
        <v>0</v>
      </c>
      <c r="AR290">
        <f t="shared" si="233"/>
        <v>0</v>
      </c>
      <c r="AS290">
        <f t="shared" si="234"/>
        <v>0</v>
      </c>
      <c r="AT290">
        <f t="shared" si="235"/>
        <v>0</v>
      </c>
      <c r="AU290">
        <f t="shared" si="236"/>
        <v>0</v>
      </c>
      <c r="AV290">
        <f t="shared" si="237"/>
        <v>0</v>
      </c>
      <c r="AW290">
        <f t="shared" si="192"/>
        <v>0</v>
      </c>
      <c r="AX290">
        <f t="shared" si="238"/>
        <v>0</v>
      </c>
      <c r="AY290">
        <f t="shared" si="239"/>
        <v>0</v>
      </c>
    </row>
    <row r="291" spans="1:51" x14ac:dyDescent="0.35">
      <c r="A291">
        <v>285</v>
      </c>
      <c r="C291">
        <f>MAX(0,Calc!$C$7-SUM(D291:R291))</f>
        <v>750</v>
      </c>
      <c r="D291">
        <f t="shared" si="193"/>
        <v>0</v>
      </c>
      <c r="E291">
        <f t="shared" si="194"/>
        <v>0</v>
      </c>
      <c r="F291">
        <f t="shared" si="195"/>
        <v>0</v>
      </c>
      <c r="G291">
        <f t="shared" si="196"/>
        <v>0</v>
      </c>
      <c r="H291">
        <f t="shared" si="197"/>
        <v>0</v>
      </c>
      <c r="I291">
        <f t="shared" si="198"/>
        <v>0</v>
      </c>
      <c r="J291">
        <f t="shared" si="199"/>
        <v>0</v>
      </c>
      <c r="K291">
        <f t="shared" si="200"/>
        <v>0</v>
      </c>
      <c r="L291">
        <f t="shared" si="201"/>
        <v>0</v>
      </c>
      <c r="M291">
        <f t="shared" si="202"/>
        <v>0</v>
      </c>
      <c r="N291">
        <f t="shared" si="203"/>
        <v>0</v>
      </c>
      <c r="O291">
        <f t="shared" si="204"/>
        <v>0</v>
      </c>
      <c r="P291">
        <f t="shared" si="205"/>
        <v>0</v>
      </c>
      <c r="Q291">
        <f t="shared" si="206"/>
        <v>0</v>
      </c>
      <c r="R291">
        <f t="shared" si="207"/>
        <v>0</v>
      </c>
      <c r="S291">
        <f t="shared" si="208"/>
        <v>0</v>
      </c>
      <c r="T291">
        <f t="shared" si="209"/>
        <v>0</v>
      </c>
      <c r="U291">
        <f t="shared" si="210"/>
        <v>0</v>
      </c>
      <c r="V291">
        <f t="shared" si="211"/>
        <v>0</v>
      </c>
      <c r="W291">
        <f t="shared" si="212"/>
        <v>0</v>
      </c>
      <c r="X291">
        <f t="shared" si="213"/>
        <v>0</v>
      </c>
      <c r="Y291">
        <f t="shared" si="214"/>
        <v>0</v>
      </c>
      <c r="Z291">
        <f t="shared" si="215"/>
        <v>0</v>
      </c>
      <c r="AA291">
        <f t="shared" si="216"/>
        <v>0</v>
      </c>
      <c r="AB291">
        <f t="shared" si="217"/>
        <v>0</v>
      </c>
      <c r="AC291">
        <f t="shared" si="218"/>
        <v>0</v>
      </c>
      <c r="AD291">
        <f t="shared" si="219"/>
        <v>0</v>
      </c>
      <c r="AE291">
        <f t="shared" si="220"/>
        <v>0</v>
      </c>
      <c r="AF291">
        <f t="shared" si="221"/>
        <v>0</v>
      </c>
      <c r="AG291">
        <f t="shared" si="222"/>
        <v>0</v>
      </c>
      <c r="AH291">
        <f t="shared" si="223"/>
        <v>0</v>
      </c>
      <c r="AI291">
        <f t="shared" si="224"/>
        <v>0</v>
      </c>
      <c r="AJ291">
        <f t="shared" si="225"/>
        <v>0</v>
      </c>
      <c r="AK291">
        <f t="shared" si="226"/>
        <v>0</v>
      </c>
      <c r="AL291">
        <f t="shared" si="227"/>
        <v>0</v>
      </c>
      <c r="AM291">
        <f t="shared" si="228"/>
        <v>0</v>
      </c>
      <c r="AN291">
        <f t="shared" si="229"/>
        <v>0</v>
      </c>
      <c r="AO291">
        <f t="shared" si="230"/>
        <v>0</v>
      </c>
      <c r="AP291">
        <f t="shared" si="231"/>
        <v>0</v>
      </c>
      <c r="AQ291">
        <f t="shared" si="232"/>
        <v>0</v>
      </c>
      <c r="AR291">
        <f t="shared" si="233"/>
        <v>0</v>
      </c>
      <c r="AS291">
        <f t="shared" si="234"/>
        <v>0</v>
      </c>
      <c r="AT291">
        <f t="shared" si="235"/>
        <v>0</v>
      </c>
      <c r="AU291">
        <f t="shared" si="236"/>
        <v>0</v>
      </c>
      <c r="AV291">
        <f t="shared" si="237"/>
        <v>0</v>
      </c>
      <c r="AW291">
        <f t="shared" si="192"/>
        <v>0</v>
      </c>
      <c r="AX291">
        <f t="shared" si="238"/>
        <v>0</v>
      </c>
      <c r="AY291">
        <f t="shared" si="239"/>
        <v>0</v>
      </c>
    </row>
    <row r="292" spans="1:51" x14ac:dyDescent="0.35">
      <c r="A292">
        <v>286</v>
      </c>
      <c r="C292">
        <f>MAX(0,Calc!$C$7-SUM(D292:R292))</f>
        <v>750</v>
      </c>
      <c r="D292">
        <f t="shared" si="193"/>
        <v>0</v>
      </c>
      <c r="E292">
        <f t="shared" si="194"/>
        <v>0</v>
      </c>
      <c r="F292">
        <f t="shared" si="195"/>
        <v>0</v>
      </c>
      <c r="G292">
        <f t="shared" si="196"/>
        <v>0</v>
      </c>
      <c r="H292">
        <f t="shared" si="197"/>
        <v>0</v>
      </c>
      <c r="I292">
        <f t="shared" si="198"/>
        <v>0</v>
      </c>
      <c r="J292">
        <f t="shared" si="199"/>
        <v>0</v>
      </c>
      <c r="K292">
        <f t="shared" si="200"/>
        <v>0</v>
      </c>
      <c r="L292">
        <f t="shared" si="201"/>
        <v>0</v>
      </c>
      <c r="M292">
        <f t="shared" si="202"/>
        <v>0</v>
      </c>
      <c r="N292">
        <f t="shared" si="203"/>
        <v>0</v>
      </c>
      <c r="O292">
        <f t="shared" si="204"/>
        <v>0</v>
      </c>
      <c r="P292">
        <f t="shared" si="205"/>
        <v>0</v>
      </c>
      <c r="Q292">
        <f t="shared" si="206"/>
        <v>0</v>
      </c>
      <c r="R292">
        <f t="shared" si="207"/>
        <v>0</v>
      </c>
      <c r="S292">
        <f t="shared" si="208"/>
        <v>0</v>
      </c>
      <c r="T292">
        <f t="shared" si="209"/>
        <v>0</v>
      </c>
      <c r="U292">
        <f t="shared" si="210"/>
        <v>0</v>
      </c>
      <c r="V292">
        <f t="shared" si="211"/>
        <v>0</v>
      </c>
      <c r="W292">
        <f t="shared" si="212"/>
        <v>0</v>
      </c>
      <c r="X292">
        <f t="shared" si="213"/>
        <v>0</v>
      </c>
      <c r="Y292">
        <f t="shared" si="214"/>
        <v>0</v>
      </c>
      <c r="Z292">
        <f t="shared" si="215"/>
        <v>0</v>
      </c>
      <c r="AA292">
        <f t="shared" si="216"/>
        <v>0</v>
      </c>
      <c r="AB292">
        <f t="shared" si="217"/>
        <v>0</v>
      </c>
      <c r="AC292">
        <f t="shared" si="218"/>
        <v>0</v>
      </c>
      <c r="AD292">
        <f t="shared" si="219"/>
        <v>0</v>
      </c>
      <c r="AE292">
        <f t="shared" si="220"/>
        <v>0</v>
      </c>
      <c r="AF292">
        <f t="shared" si="221"/>
        <v>0</v>
      </c>
      <c r="AG292">
        <f t="shared" si="222"/>
        <v>0</v>
      </c>
      <c r="AH292">
        <f t="shared" si="223"/>
        <v>0</v>
      </c>
      <c r="AI292">
        <f t="shared" si="224"/>
        <v>0</v>
      </c>
      <c r="AJ292">
        <f t="shared" si="225"/>
        <v>0</v>
      </c>
      <c r="AK292">
        <f t="shared" si="226"/>
        <v>0</v>
      </c>
      <c r="AL292">
        <f t="shared" si="227"/>
        <v>0</v>
      </c>
      <c r="AM292">
        <f t="shared" si="228"/>
        <v>0</v>
      </c>
      <c r="AN292">
        <f t="shared" si="229"/>
        <v>0</v>
      </c>
      <c r="AO292">
        <f t="shared" si="230"/>
        <v>0</v>
      </c>
      <c r="AP292">
        <f t="shared" si="231"/>
        <v>0</v>
      </c>
      <c r="AQ292">
        <f t="shared" si="232"/>
        <v>0</v>
      </c>
      <c r="AR292">
        <f t="shared" si="233"/>
        <v>0</v>
      </c>
      <c r="AS292">
        <f t="shared" si="234"/>
        <v>0</v>
      </c>
      <c r="AT292">
        <f t="shared" si="235"/>
        <v>0</v>
      </c>
      <c r="AU292">
        <f t="shared" si="236"/>
        <v>0</v>
      </c>
      <c r="AV292">
        <f t="shared" si="237"/>
        <v>0</v>
      </c>
      <c r="AW292">
        <f t="shared" si="192"/>
        <v>0</v>
      </c>
      <c r="AX292">
        <f t="shared" si="238"/>
        <v>0</v>
      </c>
      <c r="AY292">
        <f t="shared" si="239"/>
        <v>0</v>
      </c>
    </row>
    <row r="293" spans="1:51" x14ac:dyDescent="0.35">
      <c r="A293">
        <v>287</v>
      </c>
      <c r="C293">
        <f>MAX(0,Calc!$C$7-SUM(D293:R293))</f>
        <v>750</v>
      </c>
      <c r="D293">
        <f t="shared" si="193"/>
        <v>0</v>
      </c>
      <c r="E293">
        <f t="shared" si="194"/>
        <v>0</v>
      </c>
      <c r="F293">
        <f t="shared" si="195"/>
        <v>0</v>
      </c>
      <c r="G293">
        <f t="shared" si="196"/>
        <v>0</v>
      </c>
      <c r="H293">
        <f t="shared" si="197"/>
        <v>0</v>
      </c>
      <c r="I293">
        <f t="shared" si="198"/>
        <v>0</v>
      </c>
      <c r="J293">
        <f t="shared" si="199"/>
        <v>0</v>
      </c>
      <c r="K293">
        <f t="shared" si="200"/>
        <v>0</v>
      </c>
      <c r="L293">
        <f t="shared" si="201"/>
        <v>0</v>
      </c>
      <c r="M293">
        <f t="shared" si="202"/>
        <v>0</v>
      </c>
      <c r="N293">
        <f t="shared" si="203"/>
        <v>0</v>
      </c>
      <c r="O293">
        <f t="shared" si="204"/>
        <v>0</v>
      </c>
      <c r="P293">
        <f t="shared" si="205"/>
        <v>0</v>
      </c>
      <c r="Q293">
        <f t="shared" si="206"/>
        <v>0</v>
      </c>
      <c r="R293">
        <f t="shared" si="207"/>
        <v>0</v>
      </c>
      <c r="S293">
        <f t="shared" si="208"/>
        <v>0</v>
      </c>
      <c r="T293">
        <f t="shared" si="209"/>
        <v>0</v>
      </c>
      <c r="U293">
        <f t="shared" si="210"/>
        <v>0</v>
      </c>
      <c r="V293">
        <f t="shared" si="211"/>
        <v>0</v>
      </c>
      <c r="W293">
        <f t="shared" si="212"/>
        <v>0</v>
      </c>
      <c r="X293">
        <f t="shared" si="213"/>
        <v>0</v>
      </c>
      <c r="Y293">
        <f t="shared" si="214"/>
        <v>0</v>
      </c>
      <c r="Z293">
        <f t="shared" si="215"/>
        <v>0</v>
      </c>
      <c r="AA293">
        <f t="shared" si="216"/>
        <v>0</v>
      </c>
      <c r="AB293">
        <f t="shared" si="217"/>
        <v>0</v>
      </c>
      <c r="AC293">
        <f t="shared" si="218"/>
        <v>0</v>
      </c>
      <c r="AD293">
        <f t="shared" si="219"/>
        <v>0</v>
      </c>
      <c r="AE293">
        <f t="shared" si="220"/>
        <v>0</v>
      </c>
      <c r="AF293">
        <f t="shared" si="221"/>
        <v>0</v>
      </c>
      <c r="AG293">
        <f t="shared" si="222"/>
        <v>0</v>
      </c>
      <c r="AH293">
        <f t="shared" si="223"/>
        <v>0</v>
      </c>
      <c r="AI293">
        <f t="shared" si="224"/>
        <v>0</v>
      </c>
      <c r="AJ293">
        <f t="shared" si="225"/>
        <v>0</v>
      </c>
      <c r="AK293">
        <f t="shared" si="226"/>
        <v>0</v>
      </c>
      <c r="AL293">
        <f t="shared" si="227"/>
        <v>0</v>
      </c>
      <c r="AM293">
        <f t="shared" si="228"/>
        <v>0</v>
      </c>
      <c r="AN293">
        <f t="shared" si="229"/>
        <v>0</v>
      </c>
      <c r="AO293">
        <f t="shared" si="230"/>
        <v>0</v>
      </c>
      <c r="AP293">
        <f t="shared" si="231"/>
        <v>0</v>
      </c>
      <c r="AQ293">
        <f t="shared" si="232"/>
        <v>0</v>
      </c>
      <c r="AR293">
        <f t="shared" si="233"/>
        <v>0</v>
      </c>
      <c r="AS293">
        <f t="shared" si="234"/>
        <v>0</v>
      </c>
      <c r="AT293">
        <f t="shared" si="235"/>
        <v>0</v>
      </c>
      <c r="AU293">
        <f t="shared" si="236"/>
        <v>0</v>
      </c>
      <c r="AV293">
        <f t="shared" si="237"/>
        <v>0</v>
      </c>
      <c r="AW293">
        <f t="shared" si="192"/>
        <v>0</v>
      </c>
      <c r="AX293">
        <f t="shared" si="238"/>
        <v>0</v>
      </c>
      <c r="AY293">
        <f t="shared" si="239"/>
        <v>0</v>
      </c>
    </row>
    <row r="294" spans="1:51" x14ac:dyDescent="0.35">
      <c r="A294">
        <v>288</v>
      </c>
      <c r="C294">
        <f>MAX(0,Calc!$C$7-SUM(D294:R294))</f>
        <v>750</v>
      </c>
      <c r="D294">
        <f t="shared" si="193"/>
        <v>0</v>
      </c>
      <c r="E294">
        <f t="shared" si="194"/>
        <v>0</v>
      </c>
      <c r="F294">
        <f t="shared" si="195"/>
        <v>0</v>
      </c>
      <c r="G294">
        <f t="shared" si="196"/>
        <v>0</v>
      </c>
      <c r="H294">
        <f t="shared" si="197"/>
        <v>0</v>
      </c>
      <c r="I294">
        <f t="shared" si="198"/>
        <v>0</v>
      </c>
      <c r="J294">
        <f t="shared" si="199"/>
        <v>0</v>
      </c>
      <c r="K294">
        <f t="shared" si="200"/>
        <v>0</v>
      </c>
      <c r="L294">
        <f t="shared" si="201"/>
        <v>0</v>
      </c>
      <c r="M294">
        <f t="shared" si="202"/>
        <v>0</v>
      </c>
      <c r="N294">
        <f t="shared" si="203"/>
        <v>0</v>
      </c>
      <c r="O294">
        <f t="shared" si="204"/>
        <v>0</v>
      </c>
      <c r="P294">
        <f t="shared" si="205"/>
        <v>0</v>
      </c>
      <c r="Q294">
        <f t="shared" si="206"/>
        <v>0</v>
      </c>
      <c r="R294">
        <f t="shared" si="207"/>
        <v>0</v>
      </c>
      <c r="S294">
        <f t="shared" si="208"/>
        <v>0</v>
      </c>
      <c r="T294">
        <f t="shared" si="209"/>
        <v>0</v>
      </c>
      <c r="U294">
        <f t="shared" si="210"/>
        <v>0</v>
      </c>
      <c r="V294">
        <f t="shared" si="211"/>
        <v>0</v>
      </c>
      <c r="W294">
        <f t="shared" si="212"/>
        <v>0</v>
      </c>
      <c r="X294">
        <f t="shared" si="213"/>
        <v>0</v>
      </c>
      <c r="Y294">
        <f t="shared" si="214"/>
        <v>0</v>
      </c>
      <c r="Z294">
        <f t="shared" si="215"/>
        <v>0</v>
      </c>
      <c r="AA294">
        <f t="shared" si="216"/>
        <v>0</v>
      </c>
      <c r="AB294">
        <f t="shared" si="217"/>
        <v>0</v>
      </c>
      <c r="AC294">
        <f t="shared" si="218"/>
        <v>0</v>
      </c>
      <c r="AD294">
        <f t="shared" si="219"/>
        <v>0</v>
      </c>
      <c r="AE294">
        <f t="shared" si="220"/>
        <v>0</v>
      </c>
      <c r="AF294">
        <f t="shared" si="221"/>
        <v>0</v>
      </c>
      <c r="AG294">
        <f t="shared" si="222"/>
        <v>0</v>
      </c>
      <c r="AH294">
        <f t="shared" si="223"/>
        <v>0</v>
      </c>
      <c r="AI294">
        <f t="shared" si="224"/>
        <v>0</v>
      </c>
      <c r="AJ294">
        <f t="shared" si="225"/>
        <v>0</v>
      </c>
      <c r="AK294">
        <f t="shared" si="226"/>
        <v>0</v>
      </c>
      <c r="AL294">
        <f t="shared" si="227"/>
        <v>0</v>
      </c>
      <c r="AM294">
        <f t="shared" si="228"/>
        <v>0</v>
      </c>
      <c r="AN294">
        <f t="shared" si="229"/>
        <v>0</v>
      </c>
      <c r="AO294">
        <f t="shared" si="230"/>
        <v>0</v>
      </c>
      <c r="AP294">
        <f t="shared" si="231"/>
        <v>0</v>
      </c>
      <c r="AQ294">
        <f t="shared" si="232"/>
        <v>0</v>
      </c>
      <c r="AR294">
        <f t="shared" si="233"/>
        <v>0</v>
      </c>
      <c r="AS294">
        <f t="shared" si="234"/>
        <v>0</v>
      </c>
      <c r="AT294">
        <f t="shared" si="235"/>
        <v>0</v>
      </c>
      <c r="AU294">
        <f t="shared" si="236"/>
        <v>0</v>
      </c>
      <c r="AV294">
        <f t="shared" si="237"/>
        <v>0</v>
      </c>
      <c r="AW294">
        <f t="shared" si="192"/>
        <v>0</v>
      </c>
      <c r="AX294">
        <f t="shared" si="238"/>
        <v>0</v>
      </c>
      <c r="AY294">
        <f t="shared" si="239"/>
        <v>0</v>
      </c>
    </row>
    <row r="295" spans="1:51" x14ac:dyDescent="0.35">
      <c r="A295">
        <v>289</v>
      </c>
      <c r="C295">
        <f>MAX(0,Calc!$C$7-SUM(D295:R295))</f>
        <v>750</v>
      </c>
      <c r="D295">
        <f t="shared" si="193"/>
        <v>0</v>
      </c>
      <c r="E295">
        <f t="shared" si="194"/>
        <v>0</v>
      </c>
      <c r="F295">
        <f t="shared" si="195"/>
        <v>0</v>
      </c>
      <c r="G295">
        <f t="shared" si="196"/>
        <v>0</v>
      </c>
      <c r="H295">
        <f t="shared" si="197"/>
        <v>0</v>
      </c>
      <c r="I295">
        <f t="shared" si="198"/>
        <v>0</v>
      </c>
      <c r="J295">
        <f t="shared" si="199"/>
        <v>0</v>
      </c>
      <c r="K295">
        <f t="shared" si="200"/>
        <v>0</v>
      </c>
      <c r="L295">
        <f t="shared" si="201"/>
        <v>0</v>
      </c>
      <c r="M295">
        <f t="shared" si="202"/>
        <v>0</v>
      </c>
      <c r="N295">
        <f t="shared" si="203"/>
        <v>0</v>
      </c>
      <c r="O295">
        <f t="shared" si="204"/>
        <v>0</v>
      </c>
      <c r="P295">
        <f t="shared" si="205"/>
        <v>0</v>
      </c>
      <c r="Q295">
        <f t="shared" si="206"/>
        <v>0</v>
      </c>
      <c r="R295">
        <f t="shared" si="207"/>
        <v>0</v>
      </c>
      <c r="S295">
        <f t="shared" si="208"/>
        <v>0</v>
      </c>
      <c r="T295">
        <f t="shared" si="209"/>
        <v>0</v>
      </c>
      <c r="U295">
        <f t="shared" si="210"/>
        <v>0</v>
      </c>
      <c r="V295">
        <f t="shared" si="211"/>
        <v>0</v>
      </c>
      <c r="W295">
        <f t="shared" si="212"/>
        <v>0</v>
      </c>
      <c r="X295">
        <f t="shared" si="213"/>
        <v>0</v>
      </c>
      <c r="Y295">
        <f t="shared" si="214"/>
        <v>0</v>
      </c>
      <c r="Z295">
        <f t="shared" si="215"/>
        <v>0</v>
      </c>
      <c r="AA295">
        <f t="shared" si="216"/>
        <v>0</v>
      </c>
      <c r="AB295">
        <f t="shared" si="217"/>
        <v>0</v>
      </c>
      <c r="AC295">
        <f t="shared" si="218"/>
        <v>0</v>
      </c>
      <c r="AD295">
        <f t="shared" si="219"/>
        <v>0</v>
      </c>
      <c r="AE295">
        <f t="shared" si="220"/>
        <v>0</v>
      </c>
      <c r="AF295">
        <f t="shared" si="221"/>
        <v>0</v>
      </c>
      <c r="AG295">
        <f t="shared" si="222"/>
        <v>0</v>
      </c>
      <c r="AH295">
        <f t="shared" si="223"/>
        <v>0</v>
      </c>
      <c r="AI295">
        <f t="shared" si="224"/>
        <v>0</v>
      </c>
      <c r="AJ295">
        <f t="shared" si="225"/>
        <v>0</v>
      </c>
      <c r="AK295">
        <f t="shared" si="226"/>
        <v>0</v>
      </c>
      <c r="AL295">
        <f t="shared" si="227"/>
        <v>0</v>
      </c>
      <c r="AM295">
        <f t="shared" si="228"/>
        <v>0</v>
      </c>
      <c r="AN295">
        <f t="shared" si="229"/>
        <v>0</v>
      </c>
      <c r="AO295">
        <f t="shared" si="230"/>
        <v>0</v>
      </c>
      <c r="AP295">
        <f t="shared" si="231"/>
        <v>0</v>
      </c>
      <c r="AQ295">
        <f t="shared" si="232"/>
        <v>0</v>
      </c>
      <c r="AR295">
        <f t="shared" si="233"/>
        <v>0</v>
      </c>
      <c r="AS295">
        <f t="shared" si="234"/>
        <v>0</v>
      </c>
      <c r="AT295">
        <f t="shared" si="235"/>
        <v>0</v>
      </c>
      <c r="AU295">
        <f t="shared" si="236"/>
        <v>0</v>
      </c>
      <c r="AV295">
        <f t="shared" si="237"/>
        <v>0</v>
      </c>
      <c r="AW295">
        <f t="shared" si="192"/>
        <v>0</v>
      </c>
      <c r="AX295">
        <f t="shared" si="238"/>
        <v>0</v>
      </c>
      <c r="AY295">
        <f t="shared" si="239"/>
        <v>0</v>
      </c>
    </row>
    <row r="296" spans="1:51" x14ac:dyDescent="0.35">
      <c r="A296">
        <v>290</v>
      </c>
      <c r="C296">
        <f>MAX(0,Calc!$C$7-SUM(D296:R296))</f>
        <v>750</v>
      </c>
      <c r="D296">
        <f t="shared" si="193"/>
        <v>0</v>
      </c>
      <c r="E296">
        <f t="shared" si="194"/>
        <v>0</v>
      </c>
      <c r="F296">
        <f t="shared" si="195"/>
        <v>0</v>
      </c>
      <c r="G296">
        <f t="shared" si="196"/>
        <v>0</v>
      </c>
      <c r="H296">
        <f t="shared" si="197"/>
        <v>0</v>
      </c>
      <c r="I296">
        <f t="shared" si="198"/>
        <v>0</v>
      </c>
      <c r="J296">
        <f t="shared" si="199"/>
        <v>0</v>
      </c>
      <c r="K296">
        <f t="shared" si="200"/>
        <v>0</v>
      </c>
      <c r="L296">
        <f t="shared" si="201"/>
        <v>0</v>
      </c>
      <c r="M296">
        <f t="shared" si="202"/>
        <v>0</v>
      </c>
      <c r="N296">
        <f t="shared" si="203"/>
        <v>0</v>
      </c>
      <c r="O296">
        <f t="shared" si="204"/>
        <v>0</v>
      </c>
      <c r="P296">
        <f t="shared" si="205"/>
        <v>0</v>
      </c>
      <c r="Q296">
        <f t="shared" si="206"/>
        <v>0</v>
      </c>
      <c r="R296">
        <f t="shared" si="207"/>
        <v>0</v>
      </c>
      <c r="S296">
        <f t="shared" si="208"/>
        <v>0</v>
      </c>
      <c r="T296">
        <f t="shared" si="209"/>
        <v>0</v>
      </c>
      <c r="U296">
        <f t="shared" si="210"/>
        <v>0</v>
      </c>
      <c r="V296">
        <f t="shared" si="211"/>
        <v>0</v>
      </c>
      <c r="W296">
        <f t="shared" si="212"/>
        <v>0</v>
      </c>
      <c r="X296">
        <f t="shared" si="213"/>
        <v>0</v>
      </c>
      <c r="Y296">
        <f t="shared" si="214"/>
        <v>0</v>
      </c>
      <c r="Z296">
        <f t="shared" si="215"/>
        <v>0</v>
      </c>
      <c r="AA296">
        <f t="shared" si="216"/>
        <v>0</v>
      </c>
      <c r="AB296">
        <f t="shared" si="217"/>
        <v>0</v>
      </c>
      <c r="AC296">
        <f t="shared" si="218"/>
        <v>0</v>
      </c>
      <c r="AD296">
        <f t="shared" si="219"/>
        <v>0</v>
      </c>
      <c r="AE296">
        <f t="shared" si="220"/>
        <v>0</v>
      </c>
      <c r="AF296">
        <f t="shared" si="221"/>
        <v>0</v>
      </c>
      <c r="AG296">
        <f t="shared" si="222"/>
        <v>0</v>
      </c>
      <c r="AH296">
        <f t="shared" si="223"/>
        <v>0</v>
      </c>
      <c r="AI296">
        <f t="shared" si="224"/>
        <v>0</v>
      </c>
      <c r="AJ296">
        <f t="shared" si="225"/>
        <v>0</v>
      </c>
      <c r="AK296">
        <f t="shared" si="226"/>
        <v>0</v>
      </c>
      <c r="AL296">
        <f t="shared" si="227"/>
        <v>0</v>
      </c>
      <c r="AM296">
        <f t="shared" si="228"/>
        <v>0</v>
      </c>
      <c r="AN296">
        <f t="shared" si="229"/>
        <v>0</v>
      </c>
      <c r="AO296">
        <f t="shared" si="230"/>
        <v>0</v>
      </c>
      <c r="AP296">
        <f t="shared" si="231"/>
        <v>0</v>
      </c>
      <c r="AQ296">
        <f t="shared" si="232"/>
        <v>0</v>
      </c>
      <c r="AR296">
        <f t="shared" si="233"/>
        <v>0</v>
      </c>
      <c r="AS296">
        <f t="shared" si="234"/>
        <v>0</v>
      </c>
      <c r="AT296">
        <f t="shared" si="235"/>
        <v>0</v>
      </c>
      <c r="AU296">
        <f t="shared" si="236"/>
        <v>0</v>
      </c>
      <c r="AV296">
        <f t="shared" si="237"/>
        <v>0</v>
      </c>
      <c r="AW296">
        <f t="shared" si="192"/>
        <v>0</v>
      </c>
      <c r="AX296">
        <f t="shared" si="238"/>
        <v>0</v>
      </c>
      <c r="AY296">
        <f t="shared" si="239"/>
        <v>0</v>
      </c>
    </row>
    <row r="297" spans="1:51" x14ac:dyDescent="0.35">
      <c r="A297">
        <v>291</v>
      </c>
      <c r="C297">
        <f>MAX(0,Calc!$C$7-SUM(D297:R297))</f>
        <v>750</v>
      </c>
      <c r="D297">
        <f t="shared" si="193"/>
        <v>0</v>
      </c>
      <c r="E297">
        <f t="shared" si="194"/>
        <v>0</v>
      </c>
      <c r="F297">
        <f t="shared" si="195"/>
        <v>0</v>
      </c>
      <c r="G297">
        <f t="shared" si="196"/>
        <v>0</v>
      </c>
      <c r="H297">
        <f t="shared" si="197"/>
        <v>0</v>
      </c>
      <c r="I297">
        <f t="shared" si="198"/>
        <v>0</v>
      </c>
      <c r="J297">
        <f t="shared" si="199"/>
        <v>0</v>
      </c>
      <c r="K297">
        <f t="shared" si="200"/>
        <v>0</v>
      </c>
      <c r="L297">
        <f t="shared" si="201"/>
        <v>0</v>
      </c>
      <c r="M297">
        <f t="shared" si="202"/>
        <v>0</v>
      </c>
      <c r="N297">
        <f t="shared" si="203"/>
        <v>0</v>
      </c>
      <c r="O297">
        <f t="shared" si="204"/>
        <v>0</v>
      </c>
      <c r="P297">
        <f t="shared" si="205"/>
        <v>0</v>
      </c>
      <c r="Q297">
        <f t="shared" si="206"/>
        <v>0</v>
      </c>
      <c r="R297">
        <f t="shared" si="207"/>
        <v>0</v>
      </c>
      <c r="S297">
        <f t="shared" si="208"/>
        <v>0</v>
      </c>
      <c r="T297">
        <f t="shared" si="209"/>
        <v>0</v>
      </c>
      <c r="U297">
        <f t="shared" si="210"/>
        <v>0</v>
      </c>
      <c r="V297">
        <f t="shared" si="211"/>
        <v>0</v>
      </c>
      <c r="W297">
        <f t="shared" si="212"/>
        <v>0</v>
      </c>
      <c r="X297">
        <f t="shared" si="213"/>
        <v>0</v>
      </c>
      <c r="Y297">
        <f t="shared" si="214"/>
        <v>0</v>
      </c>
      <c r="Z297">
        <f t="shared" si="215"/>
        <v>0</v>
      </c>
      <c r="AA297">
        <f t="shared" si="216"/>
        <v>0</v>
      </c>
      <c r="AB297">
        <f t="shared" si="217"/>
        <v>0</v>
      </c>
      <c r="AC297">
        <f t="shared" si="218"/>
        <v>0</v>
      </c>
      <c r="AD297">
        <f t="shared" si="219"/>
        <v>0</v>
      </c>
      <c r="AE297">
        <f t="shared" si="220"/>
        <v>0</v>
      </c>
      <c r="AF297">
        <f t="shared" si="221"/>
        <v>0</v>
      </c>
      <c r="AG297">
        <f t="shared" si="222"/>
        <v>0</v>
      </c>
      <c r="AH297">
        <f t="shared" si="223"/>
        <v>0</v>
      </c>
      <c r="AI297">
        <f t="shared" si="224"/>
        <v>0</v>
      </c>
      <c r="AJ297">
        <f t="shared" si="225"/>
        <v>0</v>
      </c>
      <c r="AK297">
        <f t="shared" si="226"/>
        <v>0</v>
      </c>
      <c r="AL297">
        <f t="shared" si="227"/>
        <v>0</v>
      </c>
      <c r="AM297">
        <f t="shared" si="228"/>
        <v>0</v>
      </c>
      <c r="AN297">
        <f t="shared" si="229"/>
        <v>0</v>
      </c>
      <c r="AO297">
        <f t="shared" si="230"/>
        <v>0</v>
      </c>
      <c r="AP297">
        <f t="shared" si="231"/>
        <v>0</v>
      </c>
      <c r="AQ297">
        <f t="shared" si="232"/>
        <v>0</v>
      </c>
      <c r="AR297">
        <f t="shared" si="233"/>
        <v>0</v>
      </c>
      <c r="AS297">
        <f t="shared" si="234"/>
        <v>0</v>
      </c>
      <c r="AT297">
        <f t="shared" si="235"/>
        <v>0</v>
      </c>
      <c r="AU297">
        <f t="shared" si="236"/>
        <v>0</v>
      </c>
      <c r="AV297">
        <f t="shared" si="237"/>
        <v>0</v>
      </c>
      <c r="AW297">
        <f t="shared" si="192"/>
        <v>0</v>
      </c>
      <c r="AX297">
        <f t="shared" si="238"/>
        <v>0</v>
      </c>
      <c r="AY297">
        <f t="shared" si="239"/>
        <v>0</v>
      </c>
    </row>
    <row r="298" spans="1:51" x14ac:dyDescent="0.35">
      <c r="A298">
        <v>292</v>
      </c>
      <c r="C298">
        <f>MAX(0,Calc!$C$7-SUM(D298:R298))</f>
        <v>750</v>
      </c>
      <c r="D298">
        <f t="shared" si="193"/>
        <v>0</v>
      </c>
      <c r="E298">
        <f t="shared" si="194"/>
        <v>0</v>
      </c>
      <c r="F298">
        <f t="shared" si="195"/>
        <v>0</v>
      </c>
      <c r="G298">
        <f t="shared" si="196"/>
        <v>0</v>
      </c>
      <c r="H298">
        <f t="shared" si="197"/>
        <v>0</v>
      </c>
      <c r="I298">
        <f t="shared" si="198"/>
        <v>0</v>
      </c>
      <c r="J298">
        <f t="shared" si="199"/>
        <v>0</v>
      </c>
      <c r="K298">
        <f t="shared" si="200"/>
        <v>0</v>
      </c>
      <c r="L298">
        <f t="shared" si="201"/>
        <v>0</v>
      </c>
      <c r="M298">
        <f t="shared" si="202"/>
        <v>0</v>
      </c>
      <c r="N298">
        <f t="shared" si="203"/>
        <v>0</v>
      </c>
      <c r="O298">
        <f t="shared" si="204"/>
        <v>0</v>
      </c>
      <c r="P298">
        <f t="shared" si="205"/>
        <v>0</v>
      </c>
      <c r="Q298">
        <f t="shared" si="206"/>
        <v>0</v>
      </c>
      <c r="R298">
        <f t="shared" si="207"/>
        <v>0</v>
      </c>
      <c r="S298">
        <f t="shared" si="208"/>
        <v>0</v>
      </c>
      <c r="T298">
        <f t="shared" si="209"/>
        <v>0</v>
      </c>
      <c r="U298">
        <f t="shared" si="210"/>
        <v>0</v>
      </c>
      <c r="V298">
        <f t="shared" si="211"/>
        <v>0</v>
      </c>
      <c r="W298">
        <f t="shared" si="212"/>
        <v>0</v>
      </c>
      <c r="X298">
        <f t="shared" si="213"/>
        <v>0</v>
      </c>
      <c r="Y298">
        <f t="shared" si="214"/>
        <v>0</v>
      </c>
      <c r="Z298">
        <f t="shared" si="215"/>
        <v>0</v>
      </c>
      <c r="AA298">
        <f t="shared" si="216"/>
        <v>0</v>
      </c>
      <c r="AB298">
        <f t="shared" si="217"/>
        <v>0</v>
      </c>
      <c r="AC298">
        <f t="shared" si="218"/>
        <v>0</v>
      </c>
      <c r="AD298">
        <f t="shared" si="219"/>
        <v>0</v>
      </c>
      <c r="AE298">
        <f t="shared" si="220"/>
        <v>0</v>
      </c>
      <c r="AF298">
        <f t="shared" si="221"/>
        <v>0</v>
      </c>
      <c r="AG298">
        <f t="shared" si="222"/>
        <v>0</v>
      </c>
      <c r="AH298">
        <f t="shared" si="223"/>
        <v>0</v>
      </c>
      <c r="AI298">
        <f t="shared" si="224"/>
        <v>0</v>
      </c>
      <c r="AJ298">
        <f t="shared" si="225"/>
        <v>0</v>
      </c>
      <c r="AK298">
        <f t="shared" si="226"/>
        <v>0</v>
      </c>
      <c r="AL298">
        <f t="shared" si="227"/>
        <v>0</v>
      </c>
      <c r="AM298">
        <f t="shared" si="228"/>
        <v>0</v>
      </c>
      <c r="AN298">
        <f t="shared" si="229"/>
        <v>0</v>
      </c>
      <c r="AO298">
        <f t="shared" si="230"/>
        <v>0</v>
      </c>
      <c r="AP298">
        <f t="shared" si="231"/>
        <v>0</v>
      </c>
      <c r="AQ298">
        <f t="shared" si="232"/>
        <v>0</v>
      </c>
      <c r="AR298">
        <f t="shared" si="233"/>
        <v>0</v>
      </c>
      <c r="AS298">
        <f t="shared" si="234"/>
        <v>0</v>
      </c>
      <c r="AT298">
        <f t="shared" si="235"/>
        <v>0</v>
      </c>
      <c r="AU298">
        <f t="shared" si="236"/>
        <v>0</v>
      </c>
      <c r="AV298">
        <f t="shared" si="237"/>
        <v>0</v>
      </c>
      <c r="AW298">
        <f t="shared" si="192"/>
        <v>0</v>
      </c>
      <c r="AX298">
        <f t="shared" si="238"/>
        <v>0</v>
      </c>
      <c r="AY298">
        <f t="shared" si="239"/>
        <v>0</v>
      </c>
    </row>
    <row r="299" spans="1:51" x14ac:dyDescent="0.35">
      <c r="A299">
        <v>293</v>
      </c>
      <c r="C299">
        <f>MAX(0,Calc!$C$7-SUM(D299:R299))</f>
        <v>750</v>
      </c>
      <c r="D299">
        <f t="shared" si="193"/>
        <v>0</v>
      </c>
      <c r="E299">
        <f t="shared" si="194"/>
        <v>0</v>
      </c>
      <c r="F299">
        <f t="shared" si="195"/>
        <v>0</v>
      </c>
      <c r="G299">
        <f t="shared" si="196"/>
        <v>0</v>
      </c>
      <c r="H299">
        <f t="shared" si="197"/>
        <v>0</v>
      </c>
      <c r="I299">
        <f t="shared" si="198"/>
        <v>0</v>
      </c>
      <c r="J299">
        <f t="shared" si="199"/>
        <v>0</v>
      </c>
      <c r="K299">
        <f t="shared" si="200"/>
        <v>0</v>
      </c>
      <c r="L299">
        <f t="shared" si="201"/>
        <v>0</v>
      </c>
      <c r="M299">
        <f t="shared" si="202"/>
        <v>0</v>
      </c>
      <c r="N299">
        <f t="shared" si="203"/>
        <v>0</v>
      </c>
      <c r="O299">
        <f t="shared" si="204"/>
        <v>0</v>
      </c>
      <c r="P299">
        <f t="shared" si="205"/>
        <v>0</v>
      </c>
      <c r="Q299">
        <f t="shared" si="206"/>
        <v>0</v>
      </c>
      <c r="R299">
        <f t="shared" si="207"/>
        <v>0</v>
      </c>
      <c r="S299">
        <f t="shared" si="208"/>
        <v>0</v>
      </c>
      <c r="T299">
        <f t="shared" si="209"/>
        <v>0</v>
      </c>
      <c r="U299">
        <f t="shared" si="210"/>
        <v>0</v>
      </c>
      <c r="V299">
        <f t="shared" si="211"/>
        <v>0</v>
      </c>
      <c r="W299">
        <f t="shared" si="212"/>
        <v>0</v>
      </c>
      <c r="X299">
        <f t="shared" si="213"/>
        <v>0</v>
      </c>
      <c r="Y299">
        <f t="shared" si="214"/>
        <v>0</v>
      </c>
      <c r="Z299">
        <f t="shared" si="215"/>
        <v>0</v>
      </c>
      <c r="AA299">
        <f t="shared" si="216"/>
        <v>0</v>
      </c>
      <c r="AB299">
        <f t="shared" si="217"/>
        <v>0</v>
      </c>
      <c r="AC299">
        <f t="shared" si="218"/>
        <v>0</v>
      </c>
      <c r="AD299">
        <f t="shared" si="219"/>
        <v>0</v>
      </c>
      <c r="AE299">
        <f t="shared" si="220"/>
        <v>0</v>
      </c>
      <c r="AF299">
        <f t="shared" si="221"/>
        <v>0</v>
      </c>
      <c r="AG299">
        <f t="shared" si="222"/>
        <v>0</v>
      </c>
      <c r="AH299">
        <f t="shared" si="223"/>
        <v>0</v>
      </c>
      <c r="AI299">
        <f t="shared" si="224"/>
        <v>0</v>
      </c>
      <c r="AJ299">
        <f t="shared" si="225"/>
        <v>0</v>
      </c>
      <c r="AK299">
        <f t="shared" si="226"/>
        <v>0</v>
      </c>
      <c r="AL299">
        <f t="shared" si="227"/>
        <v>0</v>
      </c>
      <c r="AM299">
        <f t="shared" si="228"/>
        <v>0</v>
      </c>
      <c r="AN299">
        <f t="shared" si="229"/>
        <v>0</v>
      </c>
      <c r="AO299">
        <f t="shared" si="230"/>
        <v>0</v>
      </c>
      <c r="AP299">
        <f t="shared" si="231"/>
        <v>0</v>
      </c>
      <c r="AQ299">
        <f t="shared" si="232"/>
        <v>0</v>
      </c>
      <c r="AR299">
        <f t="shared" si="233"/>
        <v>0</v>
      </c>
      <c r="AS299">
        <f t="shared" si="234"/>
        <v>0</v>
      </c>
      <c r="AT299">
        <f t="shared" si="235"/>
        <v>0</v>
      </c>
      <c r="AU299">
        <f t="shared" si="236"/>
        <v>0</v>
      </c>
      <c r="AV299">
        <f t="shared" si="237"/>
        <v>0</v>
      </c>
      <c r="AW299">
        <f t="shared" si="192"/>
        <v>0</v>
      </c>
      <c r="AX299">
        <f t="shared" si="238"/>
        <v>0</v>
      </c>
      <c r="AY299">
        <f t="shared" si="239"/>
        <v>0</v>
      </c>
    </row>
    <row r="300" spans="1:51" x14ac:dyDescent="0.35">
      <c r="A300">
        <v>294</v>
      </c>
      <c r="C300">
        <f>MAX(0,Calc!$C$7-SUM(D300:R300))</f>
        <v>750</v>
      </c>
      <c r="D300">
        <f t="shared" si="193"/>
        <v>0</v>
      </c>
      <c r="E300">
        <f t="shared" si="194"/>
        <v>0</v>
      </c>
      <c r="F300">
        <f t="shared" si="195"/>
        <v>0</v>
      </c>
      <c r="G300">
        <f t="shared" si="196"/>
        <v>0</v>
      </c>
      <c r="H300">
        <f t="shared" si="197"/>
        <v>0</v>
      </c>
      <c r="I300">
        <f t="shared" si="198"/>
        <v>0</v>
      </c>
      <c r="J300">
        <f t="shared" si="199"/>
        <v>0</v>
      </c>
      <c r="K300">
        <f t="shared" si="200"/>
        <v>0</v>
      </c>
      <c r="L300">
        <f t="shared" si="201"/>
        <v>0</v>
      </c>
      <c r="M300">
        <f t="shared" si="202"/>
        <v>0</v>
      </c>
      <c r="N300">
        <f t="shared" si="203"/>
        <v>0</v>
      </c>
      <c r="O300">
        <f t="shared" si="204"/>
        <v>0</v>
      </c>
      <c r="P300">
        <f t="shared" si="205"/>
        <v>0</v>
      </c>
      <c r="Q300">
        <f t="shared" si="206"/>
        <v>0</v>
      </c>
      <c r="R300">
        <f t="shared" si="207"/>
        <v>0</v>
      </c>
      <c r="S300">
        <f t="shared" si="208"/>
        <v>0</v>
      </c>
      <c r="T300">
        <f t="shared" si="209"/>
        <v>0</v>
      </c>
      <c r="U300">
        <f t="shared" si="210"/>
        <v>0</v>
      </c>
      <c r="V300">
        <f t="shared" si="211"/>
        <v>0</v>
      </c>
      <c r="W300">
        <f t="shared" si="212"/>
        <v>0</v>
      </c>
      <c r="X300">
        <f t="shared" si="213"/>
        <v>0</v>
      </c>
      <c r="Y300">
        <f t="shared" si="214"/>
        <v>0</v>
      </c>
      <c r="Z300">
        <f t="shared" si="215"/>
        <v>0</v>
      </c>
      <c r="AA300">
        <f t="shared" si="216"/>
        <v>0</v>
      </c>
      <c r="AB300">
        <f t="shared" si="217"/>
        <v>0</v>
      </c>
      <c r="AC300">
        <f t="shared" si="218"/>
        <v>0</v>
      </c>
      <c r="AD300">
        <f t="shared" si="219"/>
        <v>0</v>
      </c>
      <c r="AE300">
        <f t="shared" si="220"/>
        <v>0</v>
      </c>
      <c r="AF300">
        <f t="shared" si="221"/>
        <v>0</v>
      </c>
      <c r="AG300">
        <f t="shared" si="222"/>
        <v>0</v>
      </c>
      <c r="AH300">
        <f t="shared" si="223"/>
        <v>0</v>
      </c>
      <c r="AI300">
        <f t="shared" si="224"/>
        <v>0</v>
      </c>
      <c r="AJ300">
        <f t="shared" si="225"/>
        <v>0</v>
      </c>
      <c r="AK300">
        <f t="shared" si="226"/>
        <v>0</v>
      </c>
      <c r="AL300">
        <f t="shared" si="227"/>
        <v>0</v>
      </c>
      <c r="AM300">
        <f t="shared" si="228"/>
        <v>0</v>
      </c>
      <c r="AN300">
        <f t="shared" si="229"/>
        <v>0</v>
      </c>
      <c r="AO300">
        <f t="shared" si="230"/>
        <v>0</v>
      </c>
      <c r="AP300">
        <f t="shared" si="231"/>
        <v>0</v>
      </c>
      <c r="AQ300">
        <f t="shared" si="232"/>
        <v>0</v>
      </c>
      <c r="AR300">
        <f t="shared" si="233"/>
        <v>0</v>
      </c>
      <c r="AS300">
        <f t="shared" si="234"/>
        <v>0</v>
      </c>
      <c r="AT300">
        <f t="shared" si="235"/>
        <v>0</v>
      </c>
      <c r="AU300">
        <f t="shared" si="236"/>
        <v>0</v>
      </c>
      <c r="AV300">
        <f t="shared" si="237"/>
        <v>0</v>
      </c>
      <c r="AW300">
        <f t="shared" si="192"/>
        <v>0</v>
      </c>
      <c r="AX300">
        <f t="shared" si="238"/>
        <v>0</v>
      </c>
      <c r="AY300">
        <f t="shared" si="239"/>
        <v>0</v>
      </c>
    </row>
    <row r="301" spans="1:51" x14ac:dyDescent="0.35">
      <c r="A301">
        <v>295</v>
      </c>
      <c r="C301">
        <f>MAX(0,Calc!$C$7-SUM(D301:R301))</f>
        <v>750</v>
      </c>
      <c r="D301">
        <f t="shared" si="193"/>
        <v>0</v>
      </c>
      <c r="E301">
        <f t="shared" si="194"/>
        <v>0</v>
      </c>
      <c r="F301">
        <f t="shared" si="195"/>
        <v>0</v>
      </c>
      <c r="G301">
        <f t="shared" si="196"/>
        <v>0</v>
      </c>
      <c r="H301">
        <f t="shared" si="197"/>
        <v>0</v>
      </c>
      <c r="I301">
        <f t="shared" si="198"/>
        <v>0</v>
      </c>
      <c r="J301">
        <f t="shared" si="199"/>
        <v>0</v>
      </c>
      <c r="K301">
        <f t="shared" si="200"/>
        <v>0</v>
      </c>
      <c r="L301">
        <f t="shared" si="201"/>
        <v>0</v>
      </c>
      <c r="M301">
        <f t="shared" si="202"/>
        <v>0</v>
      </c>
      <c r="N301">
        <f t="shared" si="203"/>
        <v>0</v>
      </c>
      <c r="O301">
        <f t="shared" si="204"/>
        <v>0</v>
      </c>
      <c r="P301">
        <f t="shared" si="205"/>
        <v>0</v>
      </c>
      <c r="Q301">
        <f t="shared" si="206"/>
        <v>0</v>
      </c>
      <c r="R301">
        <f t="shared" si="207"/>
        <v>0</v>
      </c>
      <c r="S301">
        <f t="shared" si="208"/>
        <v>0</v>
      </c>
      <c r="T301">
        <f t="shared" si="209"/>
        <v>0</v>
      </c>
      <c r="U301">
        <f t="shared" si="210"/>
        <v>0</v>
      </c>
      <c r="V301">
        <f t="shared" si="211"/>
        <v>0</v>
      </c>
      <c r="W301">
        <f t="shared" si="212"/>
        <v>0</v>
      </c>
      <c r="X301">
        <f t="shared" si="213"/>
        <v>0</v>
      </c>
      <c r="Y301">
        <f t="shared" si="214"/>
        <v>0</v>
      </c>
      <c r="Z301">
        <f t="shared" si="215"/>
        <v>0</v>
      </c>
      <c r="AA301">
        <f t="shared" si="216"/>
        <v>0</v>
      </c>
      <c r="AB301">
        <f t="shared" si="217"/>
        <v>0</v>
      </c>
      <c r="AC301">
        <f t="shared" si="218"/>
        <v>0</v>
      </c>
      <c r="AD301">
        <f t="shared" si="219"/>
        <v>0</v>
      </c>
      <c r="AE301">
        <f t="shared" si="220"/>
        <v>0</v>
      </c>
      <c r="AF301">
        <f t="shared" si="221"/>
        <v>0</v>
      </c>
      <c r="AG301">
        <f t="shared" si="222"/>
        <v>0</v>
      </c>
      <c r="AH301">
        <f t="shared" si="223"/>
        <v>0</v>
      </c>
      <c r="AI301">
        <f t="shared" si="224"/>
        <v>0</v>
      </c>
      <c r="AJ301">
        <f t="shared" si="225"/>
        <v>0</v>
      </c>
      <c r="AK301">
        <f t="shared" si="226"/>
        <v>0</v>
      </c>
      <c r="AL301">
        <f t="shared" si="227"/>
        <v>0</v>
      </c>
      <c r="AM301">
        <f t="shared" si="228"/>
        <v>0</v>
      </c>
      <c r="AN301">
        <f t="shared" si="229"/>
        <v>0</v>
      </c>
      <c r="AO301">
        <f t="shared" si="230"/>
        <v>0</v>
      </c>
      <c r="AP301">
        <f t="shared" si="231"/>
        <v>0</v>
      </c>
      <c r="AQ301">
        <f t="shared" si="232"/>
        <v>0</v>
      </c>
      <c r="AR301">
        <f t="shared" si="233"/>
        <v>0</v>
      </c>
      <c r="AS301">
        <f t="shared" si="234"/>
        <v>0</v>
      </c>
      <c r="AT301">
        <f t="shared" si="235"/>
        <v>0</v>
      </c>
      <c r="AU301">
        <f t="shared" si="236"/>
        <v>0</v>
      </c>
      <c r="AV301">
        <f t="shared" si="237"/>
        <v>0</v>
      </c>
      <c r="AW301">
        <f t="shared" si="192"/>
        <v>0</v>
      </c>
      <c r="AX301">
        <f t="shared" si="238"/>
        <v>0</v>
      </c>
      <c r="AY301">
        <f t="shared" si="239"/>
        <v>0</v>
      </c>
    </row>
    <row r="302" spans="1:51" x14ac:dyDescent="0.35">
      <c r="A302">
        <v>296</v>
      </c>
      <c r="C302">
        <f>MAX(0,Calc!$C$7-SUM(D302:R302))</f>
        <v>750</v>
      </c>
      <c r="D302">
        <f t="shared" si="193"/>
        <v>0</v>
      </c>
      <c r="E302">
        <f t="shared" si="194"/>
        <v>0</v>
      </c>
      <c r="F302">
        <f t="shared" si="195"/>
        <v>0</v>
      </c>
      <c r="G302">
        <f t="shared" si="196"/>
        <v>0</v>
      </c>
      <c r="H302">
        <f t="shared" si="197"/>
        <v>0</v>
      </c>
      <c r="I302">
        <f t="shared" si="198"/>
        <v>0</v>
      </c>
      <c r="J302">
        <f t="shared" si="199"/>
        <v>0</v>
      </c>
      <c r="K302">
        <f t="shared" si="200"/>
        <v>0</v>
      </c>
      <c r="L302">
        <f t="shared" si="201"/>
        <v>0</v>
      </c>
      <c r="M302">
        <f t="shared" si="202"/>
        <v>0</v>
      </c>
      <c r="N302">
        <f t="shared" si="203"/>
        <v>0</v>
      </c>
      <c r="O302">
        <f t="shared" si="204"/>
        <v>0</v>
      </c>
      <c r="P302">
        <f t="shared" si="205"/>
        <v>0</v>
      </c>
      <c r="Q302">
        <f t="shared" si="206"/>
        <v>0</v>
      </c>
      <c r="R302">
        <f t="shared" si="207"/>
        <v>0</v>
      </c>
      <c r="S302">
        <f t="shared" si="208"/>
        <v>0</v>
      </c>
      <c r="T302">
        <f t="shared" si="209"/>
        <v>0</v>
      </c>
      <c r="U302">
        <f t="shared" si="210"/>
        <v>0</v>
      </c>
      <c r="V302">
        <f t="shared" si="211"/>
        <v>0</v>
      </c>
      <c r="W302">
        <f t="shared" si="212"/>
        <v>0</v>
      </c>
      <c r="X302">
        <f t="shared" si="213"/>
        <v>0</v>
      </c>
      <c r="Y302">
        <f t="shared" si="214"/>
        <v>0</v>
      </c>
      <c r="Z302">
        <f t="shared" si="215"/>
        <v>0</v>
      </c>
      <c r="AA302">
        <f t="shared" si="216"/>
        <v>0</v>
      </c>
      <c r="AB302">
        <f t="shared" si="217"/>
        <v>0</v>
      </c>
      <c r="AC302">
        <f t="shared" si="218"/>
        <v>0</v>
      </c>
      <c r="AD302">
        <f t="shared" si="219"/>
        <v>0</v>
      </c>
      <c r="AE302">
        <f t="shared" si="220"/>
        <v>0</v>
      </c>
      <c r="AF302">
        <f t="shared" si="221"/>
        <v>0</v>
      </c>
      <c r="AG302">
        <f t="shared" si="222"/>
        <v>0</v>
      </c>
      <c r="AH302">
        <f t="shared" si="223"/>
        <v>0</v>
      </c>
      <c r="AI302">
        <f t="shared" si="224"/>
        <v>0</v>
      </c>
      <c r="AJ302">
        <f t="shared" si="225"/>
        <v>0</v>
      </c>
      <c r="AK302">
        <f t="shared" si="226"/>
        <v>0</v>
      </c>
      <c r="AL302">
        <f t="shared" si="227"/>
        <v>0</v>
      </c>
      <c r="AM302">
        <f t="shared" si="228"/>
        <v>0</v>
      </c>
      <c r="AN302">
        <f t="shared" si="229"/>
        <v>0</v>
      </c>
      <c r="AO302">
        <f t="shared" si="230"/>
        <v>0</v>
      </c>
      <c r="AP302">
        <f t="shared" si="231"/>
        <v>0</v>
      </c>
      <c r="AQ302">
        <f t="shared" si="232"/>
        <v>0</v>
      </c>
      <c r="AR302">
        <f t="shared" si="233"/>
        <v>0</v>
      </c>
      <c r="AS302">
        <f t="shared" si="234"/>
        <v>0</v>
      </c>
      <c r="AT302">
        <f t="shared" si="235"/>
        <v>0</v>
      </c>
      <c r="AU302">
        <f t="shared" si="236"/>
        <v>0</v>
      </c>
      <c r="AV302">
        <f t="shared" si="237"/>
        <v>0</v>
      </c>
      <c r="AW302">
        <f t="shared" si="192"/>
        <v>0</v>
      </c>
      <c r="AX302">
        <f t="shared" si="238"/>
        <v>0</v>
      </c>
      <c r="AY302">
        <f t="shared" si="239"/>
        <v>0</v>
      </c>
    </row>
    <row r="303" spans="1:51" x14ac:dyDescent="0.35">
      <c r="A303">
        <v>297</v>
      </c>
      <c r="C303">
        <f>MAX(0,Calc!$C$7-SUM(D303:R303))</f>
        <v>750</v>
      </c>
      <c r="D303">
        <f t="shared" si="193"/>
        <v>0</v>
      </c>
      <c r="E303">
        <f t="shared" si="194"/>
        <v>0</v>
      </c>
      <c r="F303">
        <f t="shared" si="195"/>
        <v>0</v>
      </c>
      <c r="G303">
        <f t="shared" si="196"/>
        <v>0</v>
      </c>
      <c r="H303">
        <f t="shared" si="197"/>
        <v>0</v>
      </c>
      <c r="I303">
        <f t="shared" si="198"/>
        <v>0</v>
      </c>
      <c r="J303">
        <f t="shared" si="199"/>
        <v>0</v>
      </c>
      <c r="K303">
        <f t="shared" si="200"/>
        <v>0</v>
      </c>
      <c r="L303">
        <f t="shared" si="201"/>
        <v>0</v>
      </c>
      <c r="M303">
        <f t="shared" si="202"/>
        <v>0</v>
      </c>
      <c r="N303">
        <f t="shared" si="203"/>
        <v>0</v>
      </c>
      <c r="O303">
        <f t="shared" si="204"/>
        <v>0</v>
      </c>
      <c r="P303">
        <f t="shared" si="205"/>
        <v>0</v>
      </c>
      <c r="Q303">
        <f t="shared" si="206"/>
        <v>0</v>
      </c>
      <c r="R303">
        <f t="shared" si="207"/>
        <v>0</v>
      </c>
      <c r="S303">
        <f t="shared" si="208"/>
        <v>0</v>
      </c>
      <c r="T303">
        <f t="shared" si="209"/>
        <v>0</v>
      </c>
      <c r="U303">
        <f t="shared" si="210"/>
        <v>0</v>
      </c>
      <c r="V303">
        <f t="shared" si="211"/>
        <v>0</v>
      </c>
      <c r="W303">
        <f t="shared" si="212"/>
        <v>0</v>
      </c>
      <c r="X303">
        <f t="shared" si="213"/>
        <v>0</v>
      </c>
      <c r="Y303">
        <f t="shared" si="214"/>
        <v>0</v>
      </c>
      <c r="Z303">
        <f t="shared" si="215"/>
        <v>0</v>
      </c>
      <c r="AA303">
        <f t="shared" si="216"/>
        <v>0</v>
      </c>
      <c r="AB303">
        <f t="shared" si="217"/>
        <v>0</v>
      </c>
      <c r="AC303">
        <f t="shared" si="218"/>
        <v>0</v>
      </c>
      <c r="AD303">
        <f t="shared" si="219"/>
        <v>0</v>
      </c>
      <c r="AE303">
        <f t="shared" si="220"/>
        <v>0</v>
      </c>
      <c r="AF303">
        <f t="shared" si="221"/>
        <v>0</v>
      </c>
      <c r="AG303">
        <f t="shared" si="222"/>
        <v>0</v>
      </c>
      <c r="AH303">
        <f t="shared" si="223"/>
        <v>0</v>
      </c>
      <c r="AI303">
        <f t="shared" si="224"/>
        <v>0</v>
      </c>
      <c r="AJ303">
        <f t="shared" si="225"/>
        <v>0</v>
      </c>
      <c r="AK303">
        <f t="shared" si="226"/>
        <v>0</v>
      </c>
      <c r="AL303">
        <f t="shared" si="227"/>
        <v>0</v>
      </c>
      <c r="AM303">
        <f t="shared" si="228"/>
        <v>0</v>
      </c>
      <c r="AN303">
        <f t="shared" si="229"/>
        <v>0</v>
      </c>
      <c r="AO303">
        <f t="shared" si="230"/>
        <v>0</v>
      </c>
      <c r="AP303">
        <f t="shared" si="231"/>
        <v>0</v>
      </c>
      <c r="AQ303">
        <f t="shared" si="232"/>
        <v>0</v>
      </c>
      <c r="AR303">
        <f t="shared" si="233"/>
        <v>0</v>
      </c>
      <c r="AS303">
        <f t="shared" si="234"/>
        <v>0</v>
      </c>
      <c r="AT303">
        <f t="shared" si="235"/>
        <v>0</v>
      </c>
      <c r="AU303">
        <f t="shared" si="236"/>
        <v>0</v>
      </c>
      <c r="AV303">
        <f t="shared" si="237"/>
        <v>0</v>
      </c>
      <c r="AW303">
        <f t="shared" si="192"/>
        <v>0</v>
      </c>
      <c r="AX303">
        <f t="shared" si="238"/>
        <v>0</v>
      </c>
      <c r="AY303">
        <f t="shared" si="239"/>
        <v>0</v>
      </c>
    </row>
    <row r="304" spans="1:51" x14ac:dyDescent="0.35">
      <c r="A304">
        <v>298</v>
      </c>
      <c r="C304">
        <f>MAX(0,Calc!$C$7-SUM(D304:R304))</f>
        <v>750</v>
      </c>
      <c r="D304">
        <f t="shared" si="193"/>
        <v>0</v>
      </c>
      <c r="E304">
        <f t="shared" si="194"/>
        <v>0</v>
      </c>
      <c r="F304">
        <f t="shared" si="195"/>
        <v>0</v>
      </c>
      <c r="G304">
        <f t="shared" si="196"/>
        <v>0</v>
      </c>
      <c r="H304">
        <f t="shared" si="197"/>
        <v>0</v>
      </c>
      <c r="I304">
        <f t="shared" si="198"/>
        <v>0</v>
      </c>
      <c r="J304">
        <f t="shared" si="199"/>
        <v>0</v>
      </c>
      <c r="K304">
        <f t="shared" si="200"/>
        <v>0</v>
      </c>
      <c r="L304">
        <f t="shared" si="201"/>
        <v>0</v>
      </c>
      <c r="M304">
        <f t="shared" si="202"/>
        <v>0</v>
      </c>
      <c r="N304">
        <f t="shared" si="203"/>
        <v>0</v>
      </c>
      <c r="O304">
        <f t="shared" si="204"/>
        <v>0</v>
      </c>
      <c r="P304">
        <f t="shared" si="205"/>
        <v>0</v>
      </c>
      <c r="Q304">
        <f t="shared" si="206"/>
        <v>0</v>
      </c>
      <c r="R304">
        <f t="shared" si="207"/>
        <v>0</v>
      </c>
      <c r="S304">
        <f t="shared" si="208"/>
        <v>0</v>
      </c>
      <c r="T304">
        <f t="shared" si="209"/>
        <v>0</v>
      </c>
      <c r="U304">
        <f t="shared" si="210"/>
        <v>0</v>
      </c>
      <c r="V304">
        <f t="shared" si="211"/>
        <v>0</v>
      </c>
      <c r="W304">
        <f t="shared" si="212"/>
        <v>0</v>
      </c>
      <c r="X304">
        <f t="shared" si="213"/>
        <v>0</v>
      </c>
      <c r="Y304">
        <f t="shared" si="214"/>
        <v>0</v>
      </c>
      <c r="Z304">
        <f t="shared" si="215"/>
        <v>0</v>
      </c>
      <c r="AA304">
        <f t="shared" si="216"/>
        <v>0</v>
      </c>
      <c r="AB304">
        <f t="shared" si="217"/>
        <v>0</v>
      </c>
      <c r="AC304">
        <f t="shared" si="218"/>
        <v>0</v>
      </c>
      <c r="AD304">
        <f t="shared" si="219"/>
        <v>0</v>
      </c>
      <c r="AE304">
        <f t="shared" si="220"/>
        <v>0</v>
      </c>
      <c r="AF304">
        <f t="shared" si="221"/>
        <v>0</v>
      </c>
      <c r="AG304">
        <f t="shared" si="222"/>
        <v>0</v>
      </c>
      <c r="AH304">
        <f t="shared" si="223"/>
        <v>0</v>
      </c>
      <c r="AI304">
        <f t="shared" si="224"/>
        <v>0</v>
      </c>
      <c r="AJ304">
        <f t="shared" si="225"/>
        <v>0</v>
      </c>
      <c r="AK304">
        <f t="shared" si="226"/>
        <v>0</v>
      </c>
      <c r="AL304">
        <f t="shared" si="227"/>
        <v>0</v>
      </c>
      <c r="AM304">
        <f t="shared" si="228"/>
        <v>0</v>
      </c>
      <c r="AN304">
        <f t="shared" si="229"/>
        <v>0</v>
      </c>
      <c r="AO304">
        <f t="shared" si="230"/>
        <v>0</v>
      </c>
      <c r="AP304">
        <f t="shared" si="231"/>
        <v>0</v>
      </c>
      <c r="AQ304">
        <f t="shared" si="232"/>
        <v>0</v>
      </c>
      <c r="AR304">
        <f t="shared" si="233"/>
        <v>0</v>
      </c>
      <c r="AS304">
        <f t="shared" si="234"/>
        <v>0</v>
      </c>
      <c r="AT304">
        <f t="shared" si="235"/>
        <v>0</v>
      </c>
      <c r="AU304">
        <f t="shared" si="236"/>
        <v>0</v>
      </c>
      <c r="AV304">
        <f t="shared" si="237"/>
        <v>0</v>
      </c>
      <c r="AW304">
        <f t="shared" si="192"/>
        <v>0</v>
      </c>
      <c r="AX304">
        <f t="shared" si="238"/>
        <v>0</v>
      </c>
      <c r="AY304">
        <f t="shared" si="239"/>
        <v>0</v>
      </c>
    </row>
    <row r="305" spans="1:51" x14ac:dyDescent="0.35">
      <c r="A305">
        <v>299</v>
      </c>
      <c r="C305">
        <f>MAX(0,Calc!$C$7-SUM(D305:R305))</f>
        <v>750</v>
      </c>
      <c r="D305">
        <f t="shared" si="193"/>
        <v>0</v>
      </c>
      <c r="E305">
        <f t="shared" si="194"/>
        <v>0</v>
      </c>
      <c r="F305">
        <f t="shared" si="195"/>
        <v>0</v>
      </c>
      <c r="G305">
        <f t="shared" si="196"/>
        <v>0</v>
      </c>
      <c r="H305">
        <f t="shared" si="197"/>
        <v>0</v>
      </c>
      <c r="I305">
        <f t="shared" si="198"/>
        <v>0</v>
      </c>
      <c r="J305">
        <f t="shared" si="199"/>
        <v>0</v>
      </c>
      <c r="K305">
        <f t="shared" si="200"/>
        <v>0</v>
      </c>
      <c r="L305">
        <f t="shared" si="201"/>
        <v>0</v>
      </c>
      <c r="M305">
        <f t="shared" si="202"/>
        <v>0</v>
      </c>
      <c r="N305">
        <f t="shared" si="203"/>
        <v>0</v>
      </c>
      <c r="O305">
        <f t="shared" si="204"/>
        <v>0</v>
      </c>
      <c r="P305">
        <f t="shared" si="205"/>
        <v>0</v>
      </c>
      <c r="Q305">
        <f t="shared" si="206"/>
        <v>0</v>
      </c>
      <c r="R305">
        <f t="shared" si="207"/>
        <v>0</v>
      </c>
      <c r="S305">
        <f t="shared" si="208"/>
        <v>0</v>
      </c>
      <c r="T305">
        <f t="shared" si="209"/>
        <v>0</v>
      </c>
      <c r="U305">
        <f t="shared" si="210"/>
        <v>0</v>
      </c>
      <c r="V305">
        <f t="shared" si="211"/>
        <v>0</v>
      </c>
      <c r="W305">
        <f t="shared" si="212"/>
        <v>0</v>
      </c>
      <c r="X305">
        <f t="shared" si="213"/>
        <v>0</v>
      </c>
      <c r="Y305">
        <f t="shared" si="214"/>
        <v>0</v>
      </c>
      <c r="Z305">
        <f t="shared" si="215"/>
        <v>0</v>
      </c>
      <c r="AA305">
        <f t="shared" si="216"/>
        <v>0</v>
      </c>
      <c r="AB305">
        <f t="shared" si="217"/>
        <v>0</v>
      </c>
      <c r="AC305">
        <f t="shared" si="218"/>
        <v>0</v>
      </c>
      <c r="AD305">
        <f t="shared" si="219"/>
        <v>0</v>
      </c>
      <c r="AE305">
        <f t="shared" si="220"/>
        <v>0</v>
      </c>
      <c r="AF305">
        <f t="shared" si="221"/>
        <v>0</v>
      </c>
      <c r="AG305">
        <f t="shared" si="222"/>
        <v>0</v>
      </c>
      <c r="AH305">
        <f t="shared" si="223"/>
        <v>0</v>
      </c>
      <c r="AI305">
        <f t="shared" si="224"/>
        <v>0</v>
      </c>
      <c r="AJ305">
        <f t="shared" si="225"/>
        <v>0</v>
      </c>
      <c r="AK305">
        <f t="shared" si="226"/>
        <v>0</v>
      </c>
      <c r="AL305">
        <f t="shared" si="227"/>
        <v>0</v>
      </c>
      <c r="AM305">
        <f t="shared" si="228"/>
        <v>0</v>
      </c>
      <c r="AN305">
        <f t="shared" si="229"/>
        <v>0</v>
      </c>
      <c r="AO305">
        <f t="shared" si="230"/>
        <v>0</v>
      </c>
      <c r="AP305">
        <f t="shared" si="231"/>
        <v>0</v>
      </c>
      <c r="AQ305">
        <f t="shared" si="232"/>
        <v>0</v>
      </c>
      <c r="AR305">
        <f t="shared" si="233"/>
        <v>0</v>
      </c>
      <c r="AS305">
        <f t="shared" si="234"/>
        <v>0</v>
      </c>
      <c r="AT305">
        <f t="shared" si="235"/>
        <v>0</v>
      </c>
      <c r="AU305">
        <f t="shared" si="236"/>
        <v>0</v>
      </c>
      <c r="AV305">
        <f t="shared" si="237"/>
        <v>0</v>
      </c>
      <c r="AW305">
        <f t="shared" si="192"/>
        <v>0</v>
      </c>
      <c r="AX305">
        <f t="shared" si="238"/>
        <v>0</v>
      </c>
      <c r="AY305">
        <f t="shared" si="239"/>
        <v>0</v>
      </c>
    </row>
    <row r="306" spans="1:51" x14ac:dyDescent="0.35">
      <c r="A306">
        <v>300</v>
      </c>
      <c r="C306">
        <f>MAX(0,Calc!$C$7-SUM(D306:R306))</f>
        <v>750</v>
      </c>
      <c r="D306">
        <f t="shared" si="193"/>
        <v>0</v>
      </c>
      <c r="E306">
        <f t="shared" si="194"/>
        <v>0</v>
      </c>
      <c r="F306">
        <f t="shared" si="195"/>
        <v>0</v>
      </c>
      <c r="G306">
        <f t="shared" si="196"/>
        <v>0</v>
      </c>
      <c r="H306">
        <f t="shared" si="197"/>
        <v>0</v>
      </c>
      <c r="I306">
        <f t="shared" si="198"/>
        <v>0</v>
      </c>
      <c r="J306">
        <f t="shared" si="199"/>
        <v>0</v>
      </c>
      <c r="K306">
        <f t="shared" si="200"/>
        <v>0</v>
      </c>
      <c r="L306">
        <f t="shared" si="201"/>
        <v>0</v>
      </c>
      <c r="M306">
        <f t="shared" si="202"/>
        <v>0</v>
      </c>
      <c r="N306">
        <f t="shared" si="203"/>
        <v>0</v>
      </c>
      <c r="O306">
        <f t="shared" si="204"/>
        <v>0</v>
      </c>
      <c r="P306">
        <f t="shared" si="205"/>
        <v>0</v>
      </c>
      <c r="Q306">
        <f t="shared" si="206"/>
        <v>0</v>
      </c>
      <c r="R306">
        <f t="shared" si="207"/>
        <v>0</v>
      </c>
      <c r="S306">
        <f t="shared" si="208"/>
        <v>0</v>
      </c>
      <c r="T306">
        <f t="shared" si="209"/>
        <v>0</v>
      </c>
      <c r="U306">
        <f t="shared" si="210"/>
        <v>0</v>
      </c>
      <c r="V306">
        <f t="shared" si="211"/>
        <v>0</v>
      </c>
      <c r="W306">
        <f t="shared" si="212"/>
        <v>0</v>
      </c>
      <c r="X306">
        <f t="shared" si="213"/>
        <v>0</v>
      </c>
      <c r="Y306">
        <f t="shared" si="214"/>
        <v>0</v>
      </c>
      <c r="Z306">
        <f t="shared" si="215"/>
        <v>0</v>
      </c>
      <c r="AA306">
        <f t="shared" si="216"/>
        <v>0</v>
      </c>
      <c r="AB306">
        <f t="shared" si="217"/>
        <v>0</v>
      </c>
      <c r="AC306">
        <f t="shared" si="218"/>
        <v>0</v>
      </c>
      <c r="AD306">
        <f t="shared" si="219"/>
        <v>0</v>
      </c>
      <c r="AE306">
        <f t="shared" si="220"/>
        <v>0</v>
      </c>
      <c r="AF306">
        <f t="shared" si="221"/>
        <v>0</v>
      </c>
      <c r="AG306">
        <f t="shared" si="222"/>
        <v>0</v>
      </c>
      <c r="AH306">
        <f t="shared" si="223"/>
        <v>0</v>
      </c>
      <c r="AI306">
        <f t="shared" si="224"/>
        <v>0</v>
      </c>
      <c r="AJ306">
        <f t="shared" si="225"/>
        <v>0</v>
      </c>
      <c r="AK306">
        <f t="shared" si="226"/>
        <v>0</v>
      </c>
      <c r="AL306">
        <f t="shared" si="227"/>
        <v>0</v>
      </c>
      <c r="AM306">
        <f t="shared" si="228"/>
        <v>0</v>
      </c>
      <c r="AN306">
        <f t="shared" si="229"/>
        <v>0</v>
      </c>
      <c r="AO306">
        <f t="shared" si="230"/>
        <v>0</v>
      </c>
      <c r="AP306">
        <f t="shared" si="231"/>
        <v>0</v>
      </c>
      <c r="AQ306">
        <f t="shared" si="232"/>
        <v>0</v>
      </c>
      <c r="AR306">
        <f t="shared" si="233"/>
        <v>0</v>
      </c>
      <c r="AS306">
        <f t="shared" si="234"/>
        <v>0</v>
      </c>
      <c r="AT306">
        <f t="shared" si="235"/>
        <v>0</v>
      </c>
      <c r="AU306">
        <f t="shared" si="236"/>
        <v>0</v>
      </c>
      <c r="AV306">
        <f t="shared" si="237"/>
        <v>0</v>
      </c>
      <c r="AW306">
        <f t="shared" si="192"/>
        <v>0</v>
      </c>
      <c r="AX306">
        <f t="shared" si="238"/>
        <v>0</v>
      </c>
      <c r="AY306">
        <f t="shared" si="239"/>
        <v>0</v>
      </c>
    </row>
    <row r="307" spans="1:51" x14ac:dyDescent="0.35">
      <c r="A307">
        <v>301</v>
      </c>
      <c r="C307">
        <f>MAX(0,Calc!$C$7-SUM(D307:R307))</f>
        <v>750</v>
      </c>
      <c r="D307">
        <f t="shared" si="193"/>
        <v>0</v>
      </c>
      <c r="E307">
        <f t="shared" si="194"/>
        <v>0</v>
      </c>
      <c r="F307">
        <f t="shared" si="195"/>
        <v>0</v>
      </c>
      <c r="G307">
        <f t="shared" si="196"/>
        <v>0</v>
      </c>
      <c r="H307">
        <f t="shared" si="197"/>
        <v>0</v>
      </c>
      <c r="I307">
        <f t="shared" si="198"/>
        <v>0</v>
      </c>
      <c r="J307">
        <f t="shared" si="199"/>
        <v>0</v>
      </c>
      <c r="K307">
        <f t="shared" si="200"/>
        <v>0</v>
      </c>
      <c r="L307">
        <f t="shared" si="201"/>
        <v>0</v>
      </c>
      <c r="M307">
        <f t="shared" si="202"/>
        <v>0</v>
      </c>
      <c r="N307">
        <f t="shared" si="203"/>
        <v>0</v>
      </c>
      <c r="O307">
        <f t="shared" si="204"/>
        <v>0</v>
      </c>
      <c r="P307">
        <f t="shared" si="205"/>
        <v>0</v>
      </c>
      <c r="Q307">
        <f t="shared" si="206"/>
        <v>0</v>
      </c>
      <c r="R307">
        <f t="shared" si="207"/>
        <v>0</v>
      </c>
      <c r="S307">
        <f t="shared" si="208"/>
        <v>0</v>
      </c>
      <c r="T307">
        <f t="shared" si="209"/>
        <v>0</v>
      </c>
      <c r="U307">
        <f t="shared" si="210"/>
        <v>0</v>
      </c>
      <c r="V307">
        <f t="shared" si="211"/>
        <v>0</v>
      </c>
      <c r="W307">
        <f t="shared" si="212"/>
        <v>0</v>
      </c>
      <c r="X307">
        <f t="shared" si="213"/>
        <v>0</v>
      </c>
      <c r="Y307">
        <f t="shared" si="214"/>
        <v>0</v>
      </c>
      <c r="Z307">
        <f t="shared" si="215"/>
        <v>0</v>
      </c>
      <c r="AA307">
        <f t="shared" si="216"/>
        <v>0</v>
      </c>
      <c r="AB307">
        <f t="shared" si="217"/>
        <v>0</v>
      </c>
      <c r="AC307">
        <f t="shared" si="218"/>
        <v>0</v>
      </c>
      <c r="AD307">
        <f t="shared" si="219"/>
        <v>0</v>
      </c>
      <c r="AE307">
        <f t="shared" si="220"/>
        <v>0</v>
      </c>
      <c r="AF307">
        <f t="shared" si="221"/>
        <v>0</v>
      </c>
      <c r="AG307">
        <f t="shared" si="222"/>
        <v>0</v>
      </c>
      <c r="AH307">
        <f t="shared" si="223"/>
        <v>0</v>
      </c>
      <c r="AI307">
        <f t="shared" si="224"/>
        <v>0</v>
      </c>
      <c r="AJ307">
        <f t="shared" si="225"/>
        <v>0</v>
      </c>
      <c r="AK307">
        <f t="shared" si="226"/>
        <v>0</v>
      </c>
      <c r="AL307">
        <f t="shared" si="227"/>
        <v>0</v>
      </c>
      <c r="AM307">
        <f t="shared" si="228"/>
        <v>0</v>
      </c>
      <c r="AN307">
        <f t="shared" si="229"/>
        <v>0</v>
      </c>
      <c r="AO307">
        <f t="shared" si="230"/>
        <v>0</v>
      </c>
      <c r="AP307">
        <f t="shared" si="231"/>
        <v>0</v>
      </c>
      <c r="AQ307">
        <f t="shared" si="232"/>
        <v>0</v>
      </c>
      <c r="AR307">
        <f t="shared" si="233"/>
        <v>0</v>
      </c>
      <c r="AS307">
        <f t="shared" si="234"/>
        <v>0</v>
      </c>
      <c r="AT307">
        <f t="shared" si="235"/>
        <v>0</v>
      </c>
      <c r="AU307">
        <f t="shared" si="236"/>
        <v>0</v>
      </c>
      <c r="AV307">
        <f t="shared" si="237"/>
        <v>0</v>
      </c>
      <c r="AW307">
        <f t="shared" si="192"/>
        <v>0</v>
      </c>
      <c r="AX307">
        <f t="shared" si="238"/>
        <v>0</v>
      </c>
      <c r="AY307">
        <f t="shared" si="239"/>
        <v>0</v>
      </c>
    </row>
    <row r="308" spans="1:51" x14ac:dyDescent="0.35">
      <c r="A308">
        <v>302</v>
      </c>
      <c r="C308">
        <f>MAX(0,Calc!$C$7-SUM(D308:R308))</f>
        <v>750</v>
      </c>
      <c r="D308">
        <f t="shared" si="193"/>
        <v>0</v>
      </c>
      <c r="E308">
        <f t="shared" si="194"/>
        <v>0</v>
      </c>
      <c r="F308">
        <f t="shared" si="195"/>
        <v>0</v>
      </c>
      <c r="G308">
        <f t="shared" si="196"/>
        <v>0</v>
      </c>
      <c r="H308">
        <f t="shared" si="197"/>
        <v>0</v>
      </c>
      <c r="I308">
        <f t="shared" si="198"/>
        <v>0</v>
      </c>
      <c r="J308">
        <f t="shared" si="199"/>
        <v>0</v>
      </c>
      <c r="K308">
        <f t="shared" si="200"/>
        <v>0</v>
      </c>
      <c r="L308">
        <f t="shared" si="201"/>
        <v>0</v>
      </c>
      <c r="M308">
        <f t="shared" si="202"/>
        <v>0</v>
      </c>
      <c r="N308">
        <f t="shared" si="203"/>
        <v>0</v>
      </c>
      <c r="O308">
        <f t="shared" si="204"/>
        <v>0</v>
      </c>
      <c r="P308">
        <f t="shared" si="205"/>
        <v>0</v>
      </c>
      <c r="Q308">
        <f t="shared" si="206"/>
        <v>0</v>
      </c>
      <c r="R308">
        <f t="shared" si="207"/>
        <v>0</v>
      </c>
      <c r="S308">
        <f t="shared" si="208"/>
        <v>0</v>
      </c>
      <c r="T308">
        <f t="shared" si="209"/>
        <v>0</v>
      </c>
      <c r="U308">
        <f t="shared" si="210"/>
        <v>0</v>
      </c>
      <c r="V308">
        <f t="shared" si="211"/>
        <v>0</v>
      </c>
      <c r="W308">
        <f t="shared" si="212"/>
        <v>0</v>
      </c>
      <c r="X308">
        <f t="shared" si="213"/>
        <v>0</v>
      </c>
      <c r="Y308">
        <f t="shared" si="214"/>
        <v>0</v>
      </c>
      <c r="Z308">
        <f t="shared" si="215"/>
        <v>0</v>
      </c>
      <c r="AA308">
        <f t="shared" si="216"/>
        <v>0</v>
      </c>
      <c r="AB308">
        <f t="shared" si="217"/>
        <v>0</v>
      </c>
      <c r="AC308">
        <f t="shared" si="218"/>
        <v>0</v>
      </c>
      <c r="AD308">
        <f t="shared" si="219"/>
        <v>0</v>
      </c>
      <c r="AE308">
        <f t="shared" si="220"/>
        <v>0</v>
      </c>
      <c r="AF308">
        <f t="shared" si="221"/>
        <v>0</v>
      </c>
      <c r="AG308">
        <f t="shared" si="222"/>
        <v>0</v>
      </c>
      <c r="AH308">
        <f t="shared" si="223"/>
        <v>0</v>
      </c>
      <c r="AI308">
        <f t="shared" si="224"/>
        <v>0</v>
      </c>
      <c r="AJ308">
        <f t="shared" si="225"/>
        <v>0</v>
      </c>
      <c r="AK308">
        <f t="shared" si="226"/>
        <v>0</v>
      </c>
      <c r="AL308">
        <f t="shared" si="227"/>
        <v>0</v>
      </c>
      <c r="AM308">
        <f t="shared" si="228"/>
        <v>0</v>
      </c>
      <c r="AN308">
        <f t="shared" si="229"/>
        <v>0</v>
      </c>
      <c r="AO308">
        <f t="shared" si="230"/>
        <v>0</v>
      </c>
      <c r="AP308">
        <f t="shared" si="231"/>
        <v>0</v>
      </c>
      <c r="AQ308">
        <f t="shared" si="232"/>
        <v>0</v>
      </c>
      <c r="AR308">
        <f t="shared" si="233"/>
        <v>0</v>
      </c>
      <c r="AS308">
        <f t="shared" si="234"/>
        <v>0</v>
      </c>
      <c r="AT308">
        <f t="shared" si="235"/>
        <v>0</v>
      </c>
      <c r="AU308">
        <f t="shared" si="236"/>
        <v>0</v>
      </c>
      <c r="AV308">
        <f t="shared" si="237"/>
        <v>0</v>
      </c>
      <c r="AW308">
        <f t="shared" si="192"/>
        <v>0</v>
      </c>
      <c r="AX308">
        <f t="shared" si="238"/>
        <v>0</v>
      </c>
      <c r="AY308">
        <f t="shared" si="239"/>
        <v>0</v>
      </c>
    </row>
    <row r="309" spans="1:51" x14ac:dyDescent="0.35">
      <c r="A309">
        <v>303</v>
      </c>
      <c r="C309">
        <f>MAX(0,Calc!$C$7-SUM(D309:R309))</f>
        <v>750</v>
      </c>
      <c r="D309">
        <f t="shared" si="193"/>
        <v>0</v>
      </c>
      <c r="E309">
        <f t="shared" si="194"/>
        <v>0</v>
      </c>
      <c r="F309">
        <f t="shared" si="195"/>
        <v>0</v>
      </c>
      <c r="G309">
        <f t="shared" si="196"/>
        <v>0</v>
      </c>
      <c r="H309">
        <f t="shared" si="197"/>
        <v>0</v>
      </c>
      <c r="I309">
        <f t="shared" si="198"/>
        <v>0</v>
      </c>
      <c r="J309">
        <f t="shared" si="199"/>
        <v>0</v>
      </c>
      <c r="K309">
        <f t="shared" si="200"/>
        <v>0</v>
      </c>
      <c r="L309">
        <f t="shared" si="201"/>
        <v>0</v>
      </c>
      <c r="M309">
        <f t="shared" si="202"/>
        <v>0</v>
      </c>
      <c r="N309">
        <f t="shared" si="203"/>
        <v>0</v>
      </c>
      <c r="O309">
        <f t="shared" si="204"/>
        <v>0</v>
      </c>
      <c r="P309">
        <f t="shared" si="205"/>
        <v>0</v>
      </c>
      <c r="Q309">
        <f t="shared" si="206"/>
        <v>0</v>
      </c>
      <c r="R309">
        <f t="shared" si="207"/>
        <v>0</v>
      </c>
      <c r="S309">
        <f t="shared" si="208"/>
        <v>0</v>
      </c>
      <c r="T309">
        <f t="shared" si="209"/>
        <v>0</v>
      </c>
      <c r="U309">
        <f t="shared" si="210"/>
        <v>0</v>
      </c>
      <c r="V309">
        <f t="shared" si="211"/>
        <v>0</v>
      </c>
      <c r="W309">
        <f t="shared" si="212"/>
        <v>0</v>
      </c>
      <c r="X309">
        <f t="shared" si="213"/>
        <v>0</v>
      </c>
      <c r="Y309">
        <f t="shared" si="214"/>
        <v>0</v>
      </c>
      <c r="Z309">
        <f t="shared" si="215"/>
        <v>0</v>
      </c>
      <c r="AA309">
        <f t="shared" si="216"/>
        <v>0</v>
      </c>
      <c r="AB309">
        <f t="shared" si="217"/>
        <v>0</v>
      </c>
      <c r="AC309">
        <f t="shared" si="218"/>
        <v>0</v>
      </c>
      <c r="AD309">
        <f t="shared" si="219"/>
        <v>0</v>
      </c>
      <c r="AE309">
        <f t="shared" si="220"/>
        <v>0</v>
      </c>
      <c r="AF309">
        <f t="shared" si="221"/>
        <v>0</v>
      </c>
      <c r="AG309">
        <f t="shared" si="222"/>
        <v>0</v>
      </c>
      <c r="AH309">
        <f t="shared" si="223"/>
        <v>0</v>
      </c>
      <c r="AI309">
        <f t="shared" si="224"/>
        <v>0</v>
      </c>
      <c r="AJ309">
        <f t="shared" si="225"/>
        <v>0</v>
      </c>
      <c r="AK309">
        <f t="shared" si="226"/>
        <v>0</v>
      </c>
      <c r="AL309">
        <f t="shared" si="227"/>
        <v>0</v>
      </c>
      <c r="AM309">
        <f t="shared" si="228"/>
        <v>0</v>
      </c>
      <c r="AN309">
        <f t="shared" si="229"/>
        <v>0</v>
      </c>
      <c r="AO309">
        <f t="shared" si="230"/>
        <v>0</v>
      </c>
      <c r="AP309">
        <f t="shared" si="231"/>
        <v>0</v>
      </c>
      <c r="AQ309">
        <f t="shared" si="232"/>
        <v>0</v>
      </c>
      <c r="AR309">
        <f t="shared" si="233"/>
        <v>0</v>
      </c>
      <c r="AS309">
        <f t="shared" si="234"/>
        <v>0</v>
      </c>
      <c r="AT309">
        <f t="shared" si="235"/>
        <v>0</v>
      </c>
      <c r="AU309">
        <f t="shared" si="236"/>
        <v>0</v>
      </c>
      <c r="AV309">
        <f t="shared" si="237"/>
        <v>0</v>
      </c>
      <c r="AW309">
        <f t="shared" si="192"/>
        <v>0</v>
      </c>
      <c r="AX309">
        <f t="shared" si="238"/>
        <v>0</v>
      </c>
      <c r="AY309">
        <f t="shared" si="239"/>
        <v>0</v>
      </c>
    </row>
    <row r="310" spans="1:51" x14ac:dyDescent="0.35">
      <c r="A310">
        <v>304</v>
      </c>
      <c r="C310">
        <f>MAX(0,Calc!$C$7-SUM(D310:R310))</f>
        <v>750</v>
      </c>
      <c r="D310">
        <f t="shared" si="193"/>
        <v>0</v>
      </c>
      <c r="E310">
        <f t="shared" si="194"/>
        <v>0</v>
      </c>
      <c r="F310">
        <f t="shared" si="195"/>
        <v>0</v>
      </c>
      <c r="G310">
        <f t="shared" si="196"/>
        <v>0</v>
      </c>
      <c r="H310">
        <f t="shared" si="197"/>
        <v>0</v>
      </c>
      <c r="I310">
        <f t="shared" si="198"/>
        <v>0</v>
      </c>
      <c r="J310">
        <f t="shared" si="199"/>
        <v>0</v>
      </c>
      <c r="K310">
        <f t="shared" si="200"/>
        <v>0</v>
      </c>
      <c r="L310">
        <f t="shared" si="201"/>
        <v>0</v>
      </c>
      <c r="M310">
        <f t="shared" si="202"/>
        <v>0</v>
      </c>
      <c r="N310">
        <f t="shared" si="203"/>
        <v>0</v>
      </c>
      <c r="O310">
        <f t="shared" si="204"/>
        <v>0</v>
      </c>
      <c r="P310">
        <f t="shared" si="205"/>
        <v>0</v>
      </c>
      <c r="Q310">
        <f t="shared" si="206"/>
        <v>0</v>
      </c>
      <c r="R310">
        <f t="shared" si="207"/>
        <v>0</v>
      </c>
      <c r="S310">
        <f t="shared" si="208"/>
        <v>0</v>
      </c>
      <c r="T310">
        <f t="shared" si="209"/>
        <v>0</v>
      </c>
      <c r="U310">
        <f t="shared" si="210"/>
        <v>0</v>
      </c>
      <c r="V310">
        <f t="shared" si="211"/>
        <v>0</v>
      </c>
      <c r="W310">
        <f t="shared" si="212"/>
        <v>0</v>
      </c>
      <c r="X310">
        <f t="shared" si="213"/>
        <v>0</v>
      </c>
      <c r="Y310">
        <f t="shared" si="214"/>
        <v>0</v>
      </c>
      <c r="Z310">
        <f t="shared" si="215"/>
        <v>0</v>
      </c>
      <c r="AA310">
        <f t="shared" si="216"/>
        <v>0</v>
      </c>
      <c r="AB310">
        <f t="shared" si="217"/>
        <v>0</v>
      </c>
      <c r="AC310">
        <f t="shared" si="218"/>
        <v>0</v>
      </c>
      <c r="AD310">
        <f t="shared" si="219"/>
        <v>0</v>
      </c>
      <c r="AE310">
        <f t="shared" si="220"/>
        <v>0</v>
      </c>
      <c r="AF310">
        <f t="shared" si="221"/>
        <v>0</v>
      </c>
      <c r="AG310">
        <f t="shared" si="222"/>
        <v>0</v>
      </c>
      <c r="AH310">
        <f t="shared" si="223"/>
        <v>0</v>
      </c>
      <c r="AI310">
        <f t="shared" si="224"/>
        <v>0</v>
      </c>
      <c r="AJ310">
        <f t="shared" si="225"/>
        <v>0</v>
      </c>
      <c r="AK310">
        <f t="shared" si="226"/>
        <v>0</v>
      </c>
      <c r="AL310">
        <f t="shared" si="227"/>
        <v>0</v>
      </c>
      <c r="AM310">
        <f t="shared" si="228"/>
        <v>0</v>
      </c>
      <c r="AN310">
        <f t="shared" si="229"/>
        <v>0</v>
      </c>
      <c r="AO310">
        <f t="shared" si="230"/>
        <v>0</v>
      </c>
      <c r="AP310">
        <f t="shared" si="231"/>
        <v>0</v>
      </c>
      <c r="AQ310">
        <f t="shared" si="232"/>
        <v>0</v>
      </c>
      <c r="AR310">
        <f t="shared" si="233"/>
        <v>0</v>
      </c>
      <c r="AS310">
        <f t="shared" si="234"/>
        <v>0</v>
      </c>
      <c r="AT310">
        <f t="shared" si="235"/>
        <v>0</v>
      </c>
      <c r="AU310">
        <f t="shared" si="236"/>
        <v>0</v>
      </c>
      <c r="AV310">
        <f t="shared" si="237"/>
        <v>0</v>
      </c>
      <c r="AW310">
        <f t="shared" si="192"/>
        <v>0</v>
      </c>
      <c r="AX310">
        <f t="shared" si="238"/>
        <v>0</v>
      </c>
      <c r="AY310">
        <f t="shared" si="239"/>
        <v>0</v>
      </c>
    </row>
    <row r="311" spans="1:51" x14ac:dyDescent="0.35">
      <c r="A311">
        <v>305</v>
      </c>
      <c r="C311">
        <f>MAX(0,Calc!$C$7-SUM(D311:R311))</f>
        <v>750</v>
      </c>
      <c r="D311">
        <f t="shared" si="193"/>
        <v>0</v>
      </c>
      <c r="E311">
        <f t="shared" si="194"/>
        <v>0</v>
      </c>
      <c r="F311">
        <f t="shared" si="195"/>
        <v>0</v>
      </c>
      <c r="G311">
        <f t="shared" si="196"/>
        <v>0</v>
      </c>
      <c r="H311">
        <f t="shared" si="197"/>
        <v>0</v>
      </c>
      <c r="I311">
        <f t="shared" si="198"/>
        <v>0</v>
      </c>
      <c r="J311">
        <f t="shared" si="199"/>
        <v>0</v>
      </c>
      <c r="K311">
        <f t="shared" si="200"/>
        <v>0</v>
      </c>
      <c r="L311">
        <f t="shared" si="201"/>
        <v>0</v>
      </c>
      <c r="M311">
        <f t="shared" si="202"/>
        <v>0</v>
      </c>
      <c r="N311">
        <f t="shared" si="203"/>
        <v>0</v>
      </c>
      <c r="O311">
        <f t="shared" si="204"/>
        <v>0</v>
      </c>
      <c r="P311">
        <f t="shared" si="205"/>
        <v>0</v>
      </c>
      <c r="Q311">
        <f t="shared" si="206"/>
        <v>0</v>
      </c>
      <c r="R311">
        <f t="shared" si="207"/>
        <v>0</v>
      </c>
      <c r="S311">
        <f t="shared" si="208"/>
        <v>0</v>
      </c>
      <c r="T311">
        <f t="shared" si="209"/>
        <v>0</v>
      </c>
      <c r="U311">
        <f t="shared" si="210"/>
        <v>0</v>
      </c>
      <c r="V311">
        <f t="shared" si="211"/>
        <v>0</v>
      </c>
      <c r="W311">
        <f t="shared" si="212"/>
        <v>0</v>
      </c>
      <c r="X311">
        <f t="shared" si="213"/>
        <v>0</v>
      </c>
      <c r="Y311">
        <f t="shared" si="214"/>
        <v>0</v>
      </c>
      <c r="Z311">
        <f t="shared" si="215"/>
        <v>0</v>
      </c>
      <c r="AA311">
        <f t="shared" si="216"/>
        <v>0</v>
      </c>
      <c r="AB311">
        <f t="shared" si="217"/>
        <v>0</v>
      </c>
      <c r="AC311">
        <f t="shared" si="218"/>
        <v>0</v>
      </c>
      <c r="AD311">
        <f t="shared" si="219"/>
        <v>0</v>
      </c>
      <c r="AE311">
        <f t="shared" si="220"/>
        <v>0</v>
      </c>
      <c r="AF311">
        <f t="shared" si="221"/>
        <v>0</v>
      </c>
      <c r="AG311">
        <f t="shared" si="222"/>
        <v>0</v>
      </c>
      <c r="AH311">
        <f t="shared" si="223"/>
        <v>0</v>
      </c>
      <c r="AI311">
        <f t="shared" si="224"/>
        <v>0</v>
      </c>
      <c r="AJ311">
        <f t="shared" si="225"/>
        <v>0</v>
      </c>
      <c r="AK311">
        <f t="shared" si="226"/>
        <v>0</v>
      </c>
      <c r="AL311">
        <f t="shared" si="227"/>
        <v>0</v>
      </c>
      <c r="AM311">
        <f t="shared" si="228"/>
        <v>0</v>
      </c>
      <c r="AN311">
        <f t="shared" si="229"/>
        <v>0</v>
      </c>
      <c r="AO311">
        <f t="shared" si="230"/>
        <v>0</v>
      </c>
      <c r="AP311">
        <f t="shared" si="231"/>
        <v>0</v>
      </c>
      <c r="AQ311">
        <f t="shared" si="232"/>
        <v>0</v>
      </c>
      <c r="AR311">
        <f t="shared" si="233"/>
        <v>0</v>
      </c>
      <c r="AS311">
        <f t="shared" si="234"/>
        <v>0</v>
      </c>
      <c r="AT311">
        <f t="shared" si="235"/>
        <v>0</v>
      </c>
      <c r="AU311">
        <f t="shared" si="236"/>
        <v>0</v>
      </c>
      <c r="AV311">
        <f t="shared" si="237"/>
        <v>0</v>
      </c>
      <c r="AW311">
        <f t="shared" si="192"/>
        <v>0</v>
      </c>
      <c r="AX311">
        <f t="shared" si="238"/>
        <v>0</v>
      </c>
      <c r="AY311">
        <f t="shared" si="239"/>
        <v>0</v>
      </c>
    </row>
    <row r="312" spans="1:51" x14ac:dyDescent="0.35">
      <c r="A312">
        <v>306</v>
      </c>
      <c r="C312">
        <f>MAX(0,Calc!$C$7-SUM(D312:R312))</f>
        <v>750</v>
      </c>
      <c r="D312">
        <f t="shared" si="193"/>
        <v>0</v>
      </c>
      <c r="E312">
        <f t="shared" si="194"/>
        <v>0</v>
      </c>
      <c r="F312">
        <f t="shared" si="195"/>
        <v>0</v>
      </c>
      <c r="G312">
        <f t="shared" si="196"/>
        <v>0</v>
      </c>
      <c r="H312">
        <f t="shared" si="197"/>
        <v>0</v>
      </c>
      <c r="I312">
        <f t="shared" si="198"/>
        <v>0</v>
      </c>
      <c r="J312">
        <f t="shared" si="199"/>
        <v>0</v>
      </c>
      <c r="K312">
        <f t="shared" si="200"/>
        <v>0</v>
      </c>
      <c r="L312">
        <f t="shared" si="201"/>
        <v>0</v>
      </c>
      <c r="M312">
        <f t="shared" si="202"/>
        <v>0</v>
      </c>
      <c r="N312">
        <f t="shared" si="203"/>
        <v>0</v>
      </c>
      <c r="O312">
        <f t="shared" si="204"/>
        <v>0</v>
      </c>
      <c r="P312">
        <f t="shared" si="205"/>
        <v>0</v>
      </c>
      <c r="Q312">
        <f t="shared" si="206"/>
        <v>0</v>
      </c>
      <c r="R312">
        <f t="shared" si="207"/>
        <v>0</v>
      </c>
      <c r="S312">
        <f t="shared" si="208"/>
        <v>0</v>
      </c>
      <c r="T312">
        <f t="shared" si="209"/>
        <v>0</v>
      </c>
      <c r="U312">
        <f t="shared" si="210"/>
        <v>0</v>
      </c>
      <c r="V312">
        <f t="shared" si="211"/>
        <v>0</v>
      </c>
      <c r="W312">
        <f t="shared" si="212"/>
        <v>0</v>
      </c>
      <c r="X312">
        <f t="shared" si="213"/>
        <v>0</v>
      </c>
      <c r="Y312">
        <f t="shared" si="214"/>
        <v>0</v>
      </c>
      <c r="Z312">
        <f t="shared" si="215"/>
        <v>0</v>
      </c>
      <c r="AA312">
        <f t="shared" si="216"/>
        <v>0</v>
      </c>
      <c r="AB312">
        <f t="shared" si="217"/>
        <v>0</v>
      </c>
      <c r="AC312">
        <f t="shared" si="218"/>
        <v>0</v>
      </c>
      <c r="AD312">
        <f t="shared" si="219"/>
        <v>0</v>
      </c>
      <c r="AE312">
        <f t="shared" si="220"/>
        <v>0</v>
      </c>
      <c r="AF312">
        <f t="shared" si="221"/>
        <v>0</v>
      </c>
      <c r="AG312">
        <f t="shared" si="222"/>
        <v>0</v>
      </c>
      <c r="AH312">
        <f t="shared" si="223"/>
        <v>0</v>
      </c>
      <c r="AI312">
        <f t="shared" si="224"/>
        <v>0</v>
      </c>
      <c r="AJ312">
        <f t="shared" si="225"/>
        <v>0</v>
      </c>
      <c r="AK312">
        <f t="shared" si="226"/>
        <v>0</v>
      </c>
      <c r="AL312">
        <f t="shared" si="227"/>
        <v>0</v>
      </c>
      <c r="AM312">
        <f t="shared" si="228"/>
        <v>0</v>
      </c>
      <c r="AN312">
        <f t="shared" si="229"/>
        <v>0</v>
      </c>
      <c r="AO312">
        <f t="shared" si="230"/>
        <v>0</v>
      </c>
      <c r="AP312">
        <f t="shared" si="231"/>
        <v>0</v>
      </c>
      <c r="AQ312">
        <f t="shared" si="232"/>
        <v>0</v>
      </c>
      <c r="AR312">
        <f t="shared" si="233"/>
        <v>0</v>
      </c>
      <c r="AS312">
        <f t="shared" si="234"/>
        <v>0</v>
      </c>
      <c r="AT312">
        <f t="shared" si="235"/>
        <v>0</v>
      </c>
      <c r="AU312">
        <f t="shared" si="236"/>
        <v>0</v>
      </c>
      <c r="AV312">
        <f t="shared" si="237"/>
        <v>0</v>
      </c>
      <c r="AW312">
        <f t="shared" si="192"/>
        <v>0</v>
      </c>
      <c r="AX312">
        <f t="shared" si="238"/>
        <v>0</v>
      </c>
      <c r="AY312">
        <f t="shared" si="239"/>
        <v>0</v>
      </c>
    </row>
    <row r="313" spans="1:51" x14ac:dyDescent="0.35">
      <c r="A313">
        <v>307</v>
      </c>
      <c r="C313">
        <f>MAX(0,Calc!$C$7-SUM(D313:R313))</f>
        <v>750</v>
      </c>
      <c r="D313">
        <f t="shared" si="193"/>
        <v>0</v>
      </c>
      <c r="E313">
        <f t="shared" si="194"/>
        <v>0</v>
      </c>
      <c r="F313">
        <f t="shared" si="195"/>
        <v>0</v>
      </c>
      <c r="G313">
        <f t="shared" si="196"/>
        <v>0</v>
      </c>
      <c r="H313">
        <f t="shared" si="197"/>
        <v>0</v>
      </c>
      <c r="I313">
        <f t="shared" si="198"/>
        <v>0</v>
      </c>
      <c r="J313">
        <f t="shared" si="199"/>
        <v>0</v>
      </c>
      <c r="K313">
        <f t="shared" si="200"/>
        <v>0</v>
      </c>
      <c r="L313">
        <f t="shared" si="201"/>
        <v>0</v>
      </c>
      <c r="M313">
        <f t="shared" si="202"/>
        <v>0</v>
      </c>
      <c r="N313">
        <f t="shared" si="203"/>
        <v>0</v>
      </c>
      <c r="O313">
        <f t="shared" si="204"/>
        <v>0</v>
      </c>
      <c r="P313">
        <f t="shared" si="205"/>
        <v>0</v>
      </c>
      <c r="Q313">
        <f t="shared" si="206"/>
        <v>0</v>
      </c>
      <c r="R313">
        <f t="shared" si="207"/>
        <v>0</v>
      </c>
      <c r="S313">
        <f t="shared" si="208"/>
        <v>0</v>
      </c>
      <c r="T313">
        <f t="shared" si="209"/>
        <v>0</v>
      </c>
      <c r="U313">
        <f t="shared" si="210"/>
        <v>0</v>
      </c>
      <c r="V313">
        <f t="shared" si="211"/>
        <v>0</v>
      </c>
      <c r="W313">
        <f t="shared" si="212"/>
        <v>0</v>
      </c>
      <c r="X313">
        <f t="shared" si="213"/>
        <v>0</v>
      </c>
      <c r="Y313">
        <f t="shared" si="214"/>
        <v>0</v>
      </c>
      <c r="Z313">
        <f t="shared" si="215"/>
        <v>0</v>
      </c>
      <c r="AA313">
        <f t="shared" si="216"/>
        <v>0</v>
      </c>
      <c r="AB313">
        <f t="shared" si="217"/>
        <v>0</v>
      </c>
      <c r="AC313">
        <f t="shared" si="218"/>
        <v>0</v>
      </c>
      <c r="AD313">
        <f t="shared" si="219"/>
        <v>0</v>
      </c>
      <c r="AE313">
        <f t="shared" si="220"/>
        <v>0</v>
      </c>
      <c r="AF313">
        <f t="shared" si="221"/>
        <v>0</v>
      </c>
      <c r="AG313">
        <f t="shared" si="222"/>
        <v>0</v>
      </c>
      <c r="AH313">
        <f t="shared" si="223"/>
        <v>0</v>
      </c>
      <c r="AI313">
        <f t="shared" si="224"/>
        <v>0</v>
      </c>
      <c r="AJ313">
        <f t="shared" si="225"/>
        <v>0</v>
      </c>
      <c r="AK313">
        <f t="shared" si="226"/>
        <v>0</v>
      </c>
      <c r="AL313">
        <f t="shared" si="227"/>
        <v>0</v>
      </c>
      <c r="AM313">
        <f t="shared" si="228"/>
        <v>0</v>
      </c>
      <c r="AN313">
        <f t="shared" si="229"/>
        <v>0</v>
      </c>
      <c r="AO313">
        <f t="shared" si="230"/>
        <v>0</v>
      </c>
      <c r="AP313">
        <f t="shared" si="231"/>
        <v>0</v>
      </c>
      <c r="AQ313">
        <f t="shared" si="232"/>
        <v>0</v>
      </c>
      <c r="AR313">
        <f t="shared" si="233"/>
        <v>0</v>
      </c>
      <c r="AS313">
        <f t="shared" si="234"/>
        <v>0</v>
      </c>
      <c r="AT313">
        <f t="shared" si="235"/>
        <v>0</v>
      </c>
      <c r="AU313">
        <f t="shared" si="236"/>
        <v>0</v>
      </c>
      <c r="AV313">
        <f t="shared" si="237"/>
        <v>0</v>
      </c>
      <c r="AW313">
        <f t="shared" si="192"/>
        <v>0</v>
      </c>
      <c r="AX313">
        <f t="shared" si="238"/>
        <v>0</v>
      </c>
      <c r="AY313">
        <f t="shared" si="239"/>
        <v>0</v>
      </c>
    </row>
    <row r="314" spans="1:51" x14ac:dyDescent="0.35">
      <c r="A314">
        <v>308</v>
      </c>
      <c r="C314">
        <f>MAX(0,Calc!$C$7-SUM(D314:R314))</f>
        <v>750</v>
      </c>
      <c r="D314">
        <f t="shared" si="193"/>
        <v>0</v>
      </c>
      <c r="E314">
        <f t="shared" si="194"/>
        <v>0</v>
      </c>
      <c r="F314">
        <f t="shared" si="195"/>
        <v>0</v>
      </c>
      <c r="G314">
        <f t="shared" si="196"/>
        <v>0</v>
      </c>
      <c r="H314">
        <f t="shared" si="197"/>
        <v>0</v>
      </c>
      <c r="I314">
        <f t="shared" si="198"/>
        <v>0</v>
      </c>
      <c r="J314">
        <f t="shared" si="199"/>
        <v>0</v>
      </c>
      <c r="K314">
        <f t="shared" si="200"/>
        <v>0</v>
      </c>
      <c r="L314">
        <f t="shared" si="201"/>
        <v>0</v>
      </c>
      <c r="M314">
        <f t="shared" si="202"/>
        <v>0</v>
      </c>
      <c r="N314">
        <f t="shared" si="203"/>
        <v>0</v>
      </c>
      <c r="O314">
        <f t="shared" si="204"/>
        <v>0</v>
      </c>
      <c r="P314">
        <f t="shared" si="205"/>
        <v>0</v>
      </c>
      <c r="Q314">
        <f t="shared" si="206"/>
        <v>0</v>
      </c>
      <c r="R314">
        <f t="shared" si="207"/>
        <v>0</v>
      </c>
      <c r="S314">
        <f t="shared" si="208"/>
        <v>0</v>
      </c>
      <c r="T314">
        <f t="shared" si="209"/>
        <v>0</v>
      </c>
      <c r="U314">
        <f t="shared" si="210"/>
        <v>0</v>
      </c>
      <c r="V314">
        <f t="shared" si="211"/>
        <v>0</v>
      </c>
      <c r="W314">
        <f t="shared" si="212"/>
        <v>0</v>
      </c>
      <c r="X314">
        <f t="shared" si="213"/>
        <v>0</v>
      </c>
      <c r="Y314">
        <f t="shared" si="214"/>
        <v>0</v>
      </c>
      <c r="Z314">
        <f t="shared" si="215"/>
        <v>0</v>
      </c>
      <c r="AA314">
        <f t="shared" si="216"/>
        <v>0</v>
      </c>
      <c r="AB314">
        <f t="shared" si="217"/>
        <v>0</v>
      </c>
      <c r="AC314">
        <f t="shared" si="218"/>
        <v>0</v>
      </c>
      <c r="AD314">
        <f t="shared" si="219"/>
        <v>0</v>
      </c>
      <c r="AE314">
        <f t="shared" si="220"/>
        <v>0</v>
      </c>
      <c r="AF314">
        <f t="shared" si="221"/>
        <v>0</v>
      </c>
      <c r="AG314">
        <f t="shared" si="222"/>
        <v>0</v>
      </c>
      <c r="AH314">
        <f t="shared" si="223"/>
        <v>0</v>
      </c>
      <c r="AI314">
        <f t="shared" si="224"/>
        <v>0</v>
      </c>
      <c r="AJ314">
        <f t="shared" si="225"/>
        <v>0</v>
      </c>
      <c r="AK314">
        <f t="shared" si="226"/>
        <v>0</v>
      </c>
      <c r="AL314">
        <f t="shared" si="227"/>
        <v>0</v>
      </c>
      <c r="AM314">
        <f t="shared" si="228"/>
        <v>0</v>
      </c>
      <c r="AN314">
        <f t="shared" si="229"/>
        <v>0</v>
      </c>
      <c r="AO314">
        <f t="shared" si="230"/>
        <v>0</v>
      </c>
      <c r="AP314">
        <f t="shared" si="231"/>
        <v>0</v>
      </c>
      <c r="AQ314">
        <f t="shared" si="232"/>
        <v>0</v>
      </c>
      <c r="AR314">
        <f t="shared" si="233"/>
        <v>0</v>
      </c>
      <c r="AS314">
        <f t="shared" si="234"/>
        <v>0</v>
      </c>
      <c r="AT314">
        <f t="shared" si="235"/>
        <v>0</v>
      </c>
      <c r="AU314">
        <f t="shared" si="236"/>
        <v>0</v>
      </c>
      <c r="AV314">
        <f t="shared" si="237"/>
        <v>0</v>
      </c>
      <c r="AW314">
        <f t="shared" si="192"/>
        <v>0</v>
      </c>
      <c r="AX314">
        <f t="shared" si="238"/>
        <v>0</v>
      </c>
      <c r="AY314">
        <f t="shared" si="239"/>
        <v>0</v>
      </c>
    </row>
    <row r="315" spans="1:51" x14ac:dyDescent="0.35">
      <c r="A315">
        <v>309</v>
      </c>
      <c r="C315">
        <f>MAX(0,Calc!$C$7-SUM(D315:R315))</f>
        <v>750</v>
      </c>
      <c r="D315">
        <f t="shared" si="193"/>
        <v>0</v>
      </c>
      <c r="E315">
        <f t="shared" si="194"/>
        <v>0</v>
      </c>
      <c r="F315">
        <f t="shared" si="195"/>
        <v>0</v>
      </c>
      <c r="G315">
        <f t="shared" si="196"/>
        <v>0</v>
      </c>
      <c r="H315">
        <f t="shared" si="197"/>
        <v>0</v>
      </c>
      <c r="I315">
        <f t="shared" si="198"/>
        <v>0</v>
      </c>
      <c r="J315">
        <f t="shared" si="199"/>
        <v>0</v>
      </c>
      <c r="K315">
        <f t="shared" si="200"/>
        <v>0</v>
      </c>
      <c r="L315">
        <f t="shared" si="201"/>
        <v>0</v>
      </c>
      <c r="M315">
        <f t="shared" si="202"/>
        <v>0</v>
      </c>
      <c r="N315">
        <f t="shared" si="203"/>
        <v>0</v>
      </c>
      <c r="O315">
        <f t="shared" si="204"/>
        <v>0</v>
      </c>
      <c r="P315">
        <f t="shared" si="205"/>
        <v>0</v>
      </c>
      <c r="Q315">
        <f t="shared" si="206"/>
        <v>0</v>
      </c>
      <c r="R315">
        <f t="shared" si="207"/>
        <v>0</v>
      </c>
      <c r="S315">
        <f t="shared" si="208"/>
        <v>0</v>
      </c>
      <c r="T315">
        <f t="shared" si="209"/>
        <v>0</v>
      </c>
      <c r="U315">
        <f t="shared" si="210"/>
        <v>0</v>
      </c>
      <c r="V315">
        <f t="shared" si="211"/>
        <v>0</v>
      </c>
      <c r="W315">
        <f t="shared" si="212"/>
        <v>0</v>
      </c>
      <c r="X315">
        <f t="shared" si="213"/>
        <v>0</v>
      </c>
      <c r="Y315">
        <f t="shared" si="214"/>
        <v>0</v>
      </c>
      <c r="Z315">
        <f t="shared" si="215"/>
        <v>0</v>
      </c>
      <c r="AA315">
        <f t="shared" si="216"/>
        <v>0</v>
      </c>
      <c r="AB315">
        <f t="shared" si="217"/>
        <v>0</v>
      </c>
      <c r="AC315">
        <f t="shared" si="218"/>
        <v>0</v>
      </c>
      <c r="AD315">
        <f t="shared" si="219"/>
        <v>0</v>
      </c>
      <c r="AE315">
        <f t="shared" si="220"/>
        <v>0</v>
      </c>
      <c r="AF315">
        <f t="shared" si="221"/>
        <v>0</v>
      </c>
      <c r="AG315">
        <f t="shared" si="222"/>
        <v>0</v>
      </c>
      <c r="AH315">
        <f t="shared" si="223"/>
        <v>0</v>
      </c>
      <c r="AI315">
        <f t="shared" si="224"/>
        <v>0</v>
      </c>
      <c r="AJ315">
        <f t="shared" si="225"/>
        <v>0</v>
      </c>
      <c r="AK315">
        <f t="shared" si="226"/>
        <v>0</v>
      </c>
      <c r="AL315">
        <f t="shared" si="227"/>
        <v>0</v>
      </c>
      <c r="AM315">
        <f t="shared" si="228"/>
        <v>0</v>
      </c>
      <c r="AN315">
        <f t="shared" si="229"/>
        <v>0</v>
      </c>
      <c r="AO315">
        <f t="shared" si="230"/>
        <v>0</v>
      </c>
      <c r="AP315">
        <f t="shared" si="231"/>
        <v>0</v>
      </c>
      <c r="AQ315">
        <f t="shared" si="232"/>
        <v>0</v>
      </c>
      <c r="AR315">
        <f t="shared" si="233"/>
        <v>0</v>
      </c>
      <c r="AS315">
        <f t="shared" si="234"/>
        <v>0</v>
      </c>
      <c r="AT315">
        <f t="shared" si="235"/>
        <v>0</v>
      </c>
      <c r="AU315">
        <f t="shared" si="236"/>
        <v>0</v>
      </c>
      <c r="AV315">
        <f t="shared" si="237"/>
        <v>0</v>
      </c>
      <c r="AW315">
        <f t="shared" si="192"/>
        <v>0</v>
      </c>
      <c r="AX315">
        <f t="shared" si="238"/>
        <v>0</v>
      </c>
      <c r="AY315">
        <f t="shared" si="239"/>
        <v>0</v>
      </c>
    </row>
    <row r="316" spans="1:51" x14ac:dyDescent="0.35">
      <c r="A316">
        <v>310</v>
      </c>
      <c r="C316">
        <f>MAX(0,Calc!$C$7-SUM(D316:R316))</f>
        <v>750</v>
      </c>
      <c r="D316">
        <f t="shared" si="193"/>
        <v>0</v>
      </c>
      <c r="E316">
        <f t="shared" si="194"/>
        <v>0</v>
      </c>
      <c r="F316">
        <f t="shared" si="195"/>
        <v>0</v>
      </c>
      <c r="G316">
        <f t="shared" si="196"/>
        <v>0</v>
      </c>
      <c r="H316">
        <f t="shared" si="197"/>
        <v>0</v>
      </c>
      <c r="I316">
        <f t="shared" si="198"/>
        <v>0</v>
      </c>
      <c r="J316">
        <f t="shared" si="199"/>
        <v>0</v>
      </c>
      <c r="K316">
        <f t="shared" si="200"/>
        <v>0</v>
      </c>
      <c r="L316">
        <f t="shared" si="201"/>
        <v>0</v>
      </c>
      <c r="M316">
        <f t="shared" si="202"/>
        <v>0</v>
      </c>
      <c r="N316">
        <f t="shared" si="203"/>
        <v>0</v>
      </c>
      <c r="O316">
        <f t="shared" si="204"/>
        <v>0</v>
      </c>
      <c r="P316">
        <f t="shared" si="205"/>
        <v>0</v>
      </c>
      <c r="Q316">
        <f t="shared" si="206"/>
        <v>0</v>
      </c>
      <c r="R316">
        <f t="shared" si="207"/>
        <v>0</v>
      </c>
      <c r="S316">
        <f t="shared" si="208"/>
        <v>0</v>
      </c>
      <c r="T316">
        <f t="shared" si="209"/>
        <v>0</v>
      </c>
      <c r="U316">
        <f t="shared" si="210"/>
        <v>0</v>
      </c>
      <c r="V316">
        <f t="shared" si="211"/>
        <v>0</v>
      </c>
      <c r="W316">
        <f t="shared" si="212"/>
        <v>0</v>
      </c>
      <c r="X316">
        <f t="shared" si="213"/>
        <v>0</v>
      </c>
      <c r="Y316">
        <f t="shared" si="214"/>
        <v>0</v>
      </c>
      <c r="Z316">
        <f t="shared" si="215"/>
        <v>0</v>
      </c>
      <c r="AA316">
        <f t="shared" si="216"/>
        <v>0</v>
      </c>
      <c r="AB316">
        <f t="shared" si="217"/>
        <v>0</v>
      </c>
      <c r="AC316">
        <f t="shared" si="218"/>
        <v>0</v>
      </c>
      <c r="AD316">
        <f t="shared" si="219"/>
        <v>0</v>
      </c>
      <c r="AE316">
        <f t="shared" si="220"/>
        <v>0</v>
      </c>
      <c r="AF316">
        <f t="shared" si="221"/>
        <v>0</v>
      </c>
      <c r="AG316">
        <f t="shared" si="222"/>
        <v>0</v>
      </c>
      <c r="AH316">
        <f t="shared" si="223"/>
        <v>0</v>
      </c>
      <c r="AI316">
        <f t="shared" si="224"/>
        <v>0</v>
      </c>
      <c r="AJ316">
        <f t="shared" si="225"/>
        <v>0</v>
      </c>
      <c r="AK316">
        <f t="shared" si="226"/>
        <v>0</v>
      </c>
      <c r="AL316">
        <f t="shared" si="227"/>
        <v>0</v>
      </c>
      <c r="AM316">
        <f t="shared" si="228"/>
        <v>0</v>
      </c>
      <c r="AN316">
        <f t="shared" si="229"/>
        <v>0</v>
      </c>
      <c r="AO316">
        <f t="shared" si="230"/>
        <v>0</v>
      </c>
      <c r="AP316">
        <f t="shared" si="231"/>
        <v>0</v>
      </c>
      <c r="AQ316">
        <f t="shared" si="232"/>
        <v>0</v>
      </c>
      <c r="AR316">
        <f t="shared" si="233"/>
        <v>0</v>
      </c>
      <c r="AS316">
        <f t="shared" si="234"/>
        <v>0</v>
      </c>
      <c r="AT316">
        <f t="shared" si="235"/>
        <v>0</v>
      </c>
      <c r="AU316">
        <f t="shared" si="236"/>
        <v>0</v>
      </c>
      <c r="AV316">
        <f t="shared" si="237"/>
        <v>0</v>
      </c>
      <c r="AW316">
        <f t="shared" si="192"/>
        <v>0</v>
      </c>
      <c r="AX316">
        <f t="shared" si="238"/>
        <v>0</v>
      </c>
      <c r="AY316">
        <f t="shared" si="239"/>
        <v>0</v>
      </c>
    </row>
    <row r="317" spans="1:51" x14ac:dyDescent="0.35">
      <c r="A317">
        <v>311</v>
      </c>
      <c r="C317">
        <f>MAX(0,Calc!$C$7-SUM(D317:R317))</f>
        <v>750</v>
      </c>
      <c r="D317">
        <f t="shared" si="193"/>
        <v>0</v>
      </c>
      <c r="E317">
        <f t="shared" si="194"/>
        <v>0</v>
      </c>
      <c r="F317">
        <f t="shared" si="195"/>
        <v>0</v>
      </c>
      <c r="G317">
        <f t="shared" si="196"/>
        <v>0</v>
      </c>
      <c r="H317">
        <f t="shared" si="197"/>
        <v>0</v>
      </c>
      <c r="I317">
        <f t="shared" si="198"/>
        <v>0</v>
      </c>
      <c r="J317">
        <f t="shared" si="199"/>
        <v>0</v>
      </c>
      <c r="K317">
        <f t="shared" si="200"/>
        <v>0</v>
      </c>
      <c r="L317">
        <f t="shared" si="201"/>
        <v>0</v>
      </c>
      <c r="M317">
        <f t="shared" si="202"/>
        <v>0</v>
      </c>
      <c r="N317">
        <f t="shared" si="203"/>
        <v>0</v>
      </c>
      <c r="O317">
        <f t="shared" si="204"/>
        <v>0</v>
      </c>
      <c r="P317">
        <f t="shared" si="205"/>
        <v>0</v>
      </c>
      <c r="Q317">
        <f t="shared" si="206"/>
        <v>0</v>
      </c>
      <c r="R317">
        <f t="shared" si="207"/>
        <v>0</v>
      </c>
      <c r="S317">
        <f t="shared" si="208"/>
        <v>0</v>
      </c>
      <c r="T317">
        <f t="shared" si="209"/>
        <v>0</v>
      </c>
      <c r="U317">
        <f t="shared" si="210"/>
        <v>0</v>
      </c>
      <c r="V317">
        <f t="shared" si="211"/>
        <v>0</v>
      </c>
      <c r="W317">
        <f t="shared" si="212"/>
        <v>0</v>
      </c>
      <c r="X317">
        <f t="shared" si="213"/>
        <v>0</v>
      </c>
      <c r="Y317">
        <f t="shared" si="214"/>
        <v>0</v>
      </c>
      <c r="Z317">
        <f t="shared" si="215"/>
        <v>0</v>
      </c>
      <c r="AA317">
        <f t="shared" si="216"/>
        <v>0</v>
      </c>
      <c r="AB317">
        <f t="shared" si="217"/>
        <v>0</v>
      </c>
      <c r="AC317">
        <f t="shared" si="218"/>
        <v>0</v>
      </c>
      <c r="AD317">
        <f t="shared" si="219"/>
        <v>0</v>
      </c>
      <c r="AE317">
        <f t="shared" si="220"/>
        <v>0</v>
      </c>
      <c r="AF317">
        <f t="shared" si="221"/>
        <v>0</v>
      </c>
      <c r="AG317">
        <f t="shared" si="222"/>
        <v>0</v>
      </c>
      <c r="AH317">
        <f t="shared" si="223"/>
        <v>0</v>
      </c>
      <c r="AI317">
        <f t="shared" si="224"/>
        <v>0</v>
      </c>
      <c r="AJ317">
        <f t="shared" si="225"/>
        <v>0</v>
      </c>
      <c r="AK317">
        <f t="shared" si="226"/>
        <v>0</v>
      </c>
      <c r="AL317">
        <f t="shared" si="227"/>
        <v>0</v>
      </c>
      <c r="AM317">
        <f t="shared" si="228"/>
        <v>0</v>
      </c>
      <c r="AN317">
        <f t="shared" si="229"/>
        <v>0</v>
      </c>
      <c r="AO317">
        <f t="shared" si="230"/>
        <v>0</v>
      </c>
      <c r="AP317">
        <f t="shared" si="231"/>
        <v>0</v>
      </c>
      <c r="AQ317">
        <f t="shared" si="232"/>
        <v>0</v>
      </c>
      <c r="AR317">
        <f t="shared" si="233"/>
        <v>0</v>
      </c>
      <c r="AS317">
        <f t="shared" si="234"/>
        <v>0</v>
      </c>
      <c r="AT317">
        <f t="shared" si="235"/>
        <v>0</v>
      </c>
      <c r="AU317">
        <f t="shared" si="236"/>
        <v>0</v>
      </c>
      <c r="AV317">
        <f t="shared" si="237"/>
        <v>0</v>
      </c>
      <c r="AW317">
        <f t="shared" si="192"/>
        <v>0</v>
      </c>
      <c r="AX317">
        <f t="shared" si="238"/>
        <v>0</v>
      </c>
      <c r="AY317">
        <f t="shared" si="239"/>
        <v>0</v>
      </c>
    </row>
    <row r="318" spans="1:51" x14ac:dyDescent="0.35">
      <c r="A318">
        <v>312</v>
      </c>
      <c r="C318">
        <f>MAX(0,Calc!$C$7-SUM(D318:R318))</f>
        <v>750</v>
      </c>
      <c r="D318">
        <f t="shared" si="193"/>
        <v>0</v>
      </c>
      <c r="E318">
        <f t="shared" si="194"/>
        <v>0</v>
      </c>
      <c r="F318">
        <f t="shared" si="195"/>
        <v>0</v>
      </c>
      <c r="G318">
        <f t="shared" si="196"/>
        <v>0</v>
      </c>
      <c r="H318">
        <f t="shared" si="197"/>
        <v>0</v>
      </c>
      <c r="I318">
        <f t="shared" si="198"/>
        <v>0</v>
      </c>
      <c r="J318">
        <f t="shared" si="199"/>
        <v>0</v>
      </c>
      <c r="K318">
        <f t="shared" si="200"/>
        <v>0</v>
      </c>
      <c r="L318">
        <f t="shared" si="201"/>
        <v>0</v>
      </c>
      <c r="M318">
        <f t="shared" si="202"/>
        <v>0</v>
      </c>
      <c r="N318">
        <f t="shared" si="203"/>
        <v>0</v>
      </c>
      <c r="O318">
        <f t="shared" si="204"/>
        <v>0</v>
      </c>
      <c r="P318">
        <f t="shared" si="205"/>
        <v>0</v>
      </c>
      <c r="Q318">
        <f t="shared" si="206"/>
        <v>0</v>
      </c>
      <c r="R318">
        <f t="shared" si="207"/>
        <v>0</v>
      </c>
      <c r="S318">
        <f t="shared" si="208"/>
        <v>0</v>
      </c>
      <c r="T318">
        <f t="shared" si="209"/>
        <v>0</v>
      </c>
      <c r="U318">
        <f t="shared" si="210"/>
        <v>0</v>
      </c>
      <c r="V318">
        <f t="shared" si="211"/>
        <v>0</v>
      </c>
      <c r="W318">
        <f t="shared" si="212"/>
        <v>0</v>
      </c>
      <c r="X318">
        <f t="shared" si="213"/>
        <v>0</v>
      </c>
      <c r="Y318">
        <f t="shared" si="214"/>
        <v>0</v>
      </c>
      <c r="Z318">
        <f t="shared" si="215"/>
        <v>0</v>
      </c>
      <c r="AA318">
        <f t="shared" si="216"/>
        <v>0</v>
      </c>
      <c r="AB318">
        <f t="shared" si="217"/>
        <v>0</v>
      </c>
      <c r="AC318">
        <f t="shared" si="218"/>
        <v>0</v>
      </c>
      <c r="AD318">
        <f t="shared" si="219"/>
        <v>0</v>
      </c>
      <c r="AE318">
        <f t="shared" si="220"/>
        <v>0</v>
      </c>
      <c r="AF318">
        <f t="shared" si="221"/>
        <v>0</v>
      </c>
      <c r="AG318">
        <f t="shared" si="222"/>
        <v>0</v>
      </c>
      <c r="AH318">
        <f t="shared" si="223"/>
        <v>0</v>
      </c>
      <c r="AI318">
        <f t="shared" si="224"/>
        <v>0</v>
      </c>
      <c r="AJ318">
        <f t="shared" si="225"/>
        <v>0</v>
      </c>
      <c r="AK318">
        <f t="shared" si="226"/>
        <v>0</v>
      </c>
      <c r="AL318">
        <f t="shared" si="227"/>
        <v>0</v>
      </c>
      <c r="AM318">
        <f t="shared" si="228"/>
        <v>0</v>
      </c>
      <c r="AN318">
        <f t="shared" si="229"/>
        <v>0</v>
      </c>
      <c r="AO318">
        <f t="shared" si="230"/>
        <v>0</v>
      </c>
      <c r="AP318">
        <f t="shared" si="231"/>
        <v>0</v>
      </c>
      <c r="AQ318">
        <f t="shared" si="232"/>
        <v>0</v>
      </c>
      <c r="AR318">
        <f t="shared" si="233"/>
        <v>0</v>
      </c>
      <c r="AS318">
        <f t="shared" si="234"/>
        <v>0</v>
      </c>
      <c r="AT318">
        <f t="shared" si="235"/>
        <v>0</v>
      </c>
      <c r="AU318">
        <f t="shared" si="236"/>
        <v>0</v>
      </c>
      <c r="AV318">
        <f t="shared" si="237"/>
        <v>0</v>
      </c>
      <c r="AW318">
        <f t="shared" si="192"/>
        <v>0</v>
      </c>
      <c r="AX318">
        <f t="shared" si="238"/>
        <v>0</v>
      </c>
      <c r="AY318">
        <f t="shared" si="239"/>
        <v>0</v>
      </c>
    </row>
    <row r="319" spans="1:51" x14ac:dyDescent="0.35">
      <c r="A319">
        <v>313</v>
      </c>
      <c r="C319">
        <f>MAX(0,Calc!$C$7-SUM(D319:R319))</f>
        <v>750</v>
      </c>
      <c r="D319">
        <f t="shared" si="193"/>
        <v>0</v>
      </c>
      <c r="E319">
        <f t="shared" si="194"/>
        <v>0</v>
      </c>
      <c r="F319">
        <f t="shared" si="195"/>
        <v>0</v>
      </c>
      <c r="G319">
        <f t="shared" si="196"/>
        <v>0</v>
      </c>
      <c r="H319">
        <f t="shared" si="197"/>
        <v>0</v>
      </c>
      <c r="I319">
        <f t="shared" si="198"/>
        <v>0</v>
      </c>
      <c r="J319">
        <f t="shared" si="199"/>
        <v>0</v>
      </c>
      <c r="K319">
        <f t="shared" si="200"/>
        <v>0</v>
      </c>
      <c r="L319">
        <f t="shared" si="201"/>
        <v>0</v>
      </c>
      <c r="M319">
        <f t="shared" si="202"/>
        <v>0</v>
      </c>
      <c r="N319">
        <f t="shared" si="203"/>
        <v>0</v>
      </c>
      <c r="O319">
        <f t="shared" si="204"/>
        <v>0</v>
      </c>
      <c r="P319">
        <f t="shared" si="205"/>
        <v>0</v>
      </c>
      <c r="Q319">
        <f t="shared" si="206"/>
        <v>0</v>
      </c>
      <c r="R319">
        <f t="shared" si="207"/>
        <v>0</v>
      </c>
      <c r="S319">
        <f t="shared" si="208"/>
        <v>0</v>
      </c>
      <c r="T319">
        <f t="shared" si="209"/>
        <v>0</v>
      </c>
      <c r="U319">
        <f t="shared" si="210"/>
        <v>0</v>
      </c>
      <c r="V319">
        <f t="shared" si="211"/>
        <v>0</v>
      </c>
      <c r="W319">
        <f t="shared" si="212"/>
        <v>0</v>
      </c>
      <c r="X319">
        <f t="shared" si="213"/>
        <v>0</v>
      </c>
      <c r="Y319">
        <f t="shared" si="214"/>
        <v>0</v>
      </c>
      <c r="Z319">
        <f t="shared" si="215"/>
        <v>0</v>
      </c>
      <c r="AA319">
        <f t="shared" si="216"/>
        <v>0</v>
      </c>
      <c r="AB319">
        <f t="shared" si="217"/>
        <v>0</v>
      </c>
      <c r="AC319">
        <f t="shared" si="218"/>
        <v>0</v>
      </c>
      <c r="AD319">
        <f t="shared" si="219"/>
        <v>0</v>
      </c>
      <c r="AE319">
        <f t="shared" si="220"/>
        <v>0</v>
      </c>
      <c r="AF319">
        <f t="shared" si="221"/>
        <v>0</v>
      </c>
      <c r="AG319">
        <f t="shared" si="222"/>
        <v>0</v>
      </c>
      <c r="AH319">
        <f t="shared" si="223"/>
        <v>0</v>
      </c>
      <c r="AI319">
        <f t="shared" si="224"/>
        <v>0</v>
      </c>
      <c r="AJ319">
        <f t="shared" si="225"/>
        <v>0</v>
      </c>
      <c r="AK319">
        <f t="shared" si="226"/>
        <v>0</v>
      </c>
      <c r="AL319">
        <f t="shared" si="227"/>
        <v>0</v>
      </c>
      <c r="AM319">
        <f t="shared" si="228"/>
        <v>0</v>
      </c>
      <c r="AN319">
        <f t="shared" si="229"/>
        <v>0</v>
      </c>
      <c r="AO319">
        <f t="shared" si="230"/>
        <v>0</v>
      </c>
      <c r="AP319">
        <f t="shared" si="231"/>
        <v>0</v>
      </c>
      <c r="AQ319">
        <f t="shared" si="232"/>
        <v>0</v>
      </c>
      <c r="AR319">
        <f t="shared" si="233"/>
        <v>0</v>
      </c>
      <c r="AS319">
        <f t="shared" si="234"/>
        <v>0</v>
      </c>
      <c r="AT319">
        <f t="shared" si="235"/>
        <v>0</v>
      </c>
      <c r="AU319">
        <f t="shared" si="236"/>
        <v>0</v>
      </c>
      <c r="AV319">
        <f t="shared" si="237"/>
        <v>0</v>
      </c>
      <c r="AW319">
        <f t="shared" si="192"/>
        <v>0</v>
      </c>
      <c r="AX319">
        <f t="shared" si="238"/>
        <v>0</v>
      </c>
      <c r="AY319">
        <f t="shared" si="239"/>
        <v>0</v>
      </c>
    </row>
    <row r="320" spans="1:51" x14ac:dyDescent="0.35">
      <c r="A320">
        <v>314</v>
      </c>
      <c r="C320">
        <f>MAX(0,Calc!$C$7-SUM(D320:R320))</f>
        <v>750</v>
      </c>
      <c r="D320">
        <f t="shared" si="193"/>
        <v>0</v>
      </c>
      <c r="E320">
        <f t="shared" si="194"/>
        <v>0</v>
      </c>
      <c r="F320">
        <f t="shared" si="195"/>
        <v>0</v>
      </c>
      <c r="G320">
        <f t="shared" si="196"/>
        <v>0</v>
      </c>
      <c r="H320">
        <f t="shared" si="197"/>
        <v>0</v>
      </c>
      <c r="I320">
        <f t="shared" si="198"/>
        <v>0</v>
      </c>
      <c r="J320">
        <f t="shared" si="199"/>
        <v>0</v>
      </c>
      <c r="K320">
        <f t="shared" si="200"/>
        <v>0</v>
      </c>
      <c r="L320">
        <f t="shared" si="201"/>
        <v>0</v>
      </c>
      <c r="M320">
        <f t="shared" si="202"/>
        <v>0</v>
      </c>
      <c r="N320">
        <f t="shared" si="203"/>
        <v>0</v>
      </c>
      <c r="O320">
        <f t="shared" si="204"/>
        <v>0</v>
      </c>
      <c r="P320">
        <f t="shared" si="205"/>
        <v>0</v>
      </c>
      <c r="Q320">
        <f t="shared" si="206"/>
        <v>0</v>
      </c>
      <c r="R320">
        <f t="shared" si="207"/>
        <v>0</v>
      </c>
      <c r="S320">
        <f t="shared" si="208"/>
        <v>0</v>
      </c>
      <c r="T320">
        <f t="shared" si="209"/>
        <v>0</v>
      </c>
      <c r="U320">
        <f t="shared" si="210"/>
        <v>0</v>
      </c>
      <c r="V320">
        <f t="shared" si="211"/>
        <v>0</v>
      </c>
      <c r="W320">
        <f t="shared" si="212"/>
        <v>0</v>
      </c>
      <c r="X320">
        <f t="shared" si="213"/>
        <v>0</v>
      </c>
      <c r="Y320">
        <f t="shared" si="214"/>
        <v>0</v>
      </c>
      <c r="Z320">
        <f t="shared" si="215"/>
        <v>0</v>
      </c>
      <c r="AA320">
        <f t="shared" si="216"/>
        <v>0</v>
      </c>
      <c r="AB320">
        <f t="shared" si="217"/>
        <v>0</v>
      </c>
      <c r="AC320">
        <f t="shared" si="218"/>
        <v>0</v>
      </c>
      <c r="AD320">
        <f t="shared" si="219"/>
        <v>0</v>
      </c>
      <c r="AE320">
        <f t="shared" si="220"/>
        <v>0</v>
      </c>
      <c r="AF320">
        <f t="shared" si="221"/>
        <v>0</v>
      </c>
      <c r="AG320">
        <f t="shared" si="222"/>
        <v>0</v>
      </c>
      <c r="AH320">
        <f t="shared" si="223"/>
        <v>0</v>
      </c>
      <c r="AI320">
        <f t="shared" si="224"/>
        <v>0</v>
      </c>
      <c r="AJ320">
        <f t="shared" si="225"/>
        <v>0</v>
      </c>
      <c r="AK320">
        <f t="shared" si="226"/>
        <v>0</v>
      </c>
      <c r="AL320">
        <f t="shared" si="227"/>
        <v>0</v>
      </c>
      <c r="AM320">
        <f t="shared" si="228"/>
        <v>0</v>
      </c>
      <c r="AN320">
        <f t="shared" si="229"/>
        <v>0</v>
      </c>
      <c r="AO320">
        <f t="shared" si="230"/>
        <v>0</v>
      </c>
      <c r="AP320">
        <f t="shared" si="231"/>
        <v>0</v>
      </c>
      <c r="AQ320">
        <f t="shared" si="232"/>
        <v>0</v>
      </c>
      <c r="AR320">
        <f t="shared" si="233"/>
        <v>0</v>
      </c>
      <c r="AS320">
        <f t="shared" si="234"/>
        <v>0</v>
      </c>
      <c r="AT320">
        <f t="shared" si="235"/>
        <v>0</v>
      </c>
      <c r="AU320">
        <f t="shared" si="236"/>
        <v>0</v>
      </c>
      <c r="AV320">
        <f t="shared" si="237"/>
        <v>0</v>
      </c>
      <c r="AW320">
        <f t="shared" si="192"/>
        <v>0</v>
      </c>
      <c r="AX320">
        <f t="shared" si="238"/>
        <v>0</v>
      </c>
      <c r="AY320">
        <f t="shared" si="239"/>
        <v>0</v>
      </c>
    </row>
    <row r="321" spans="1:51" x14ac:dyDescent="0.35">
      <c r="A321">
        <v>315</v>
      </c>
      <c r="C321">
        <f>MAX(0,Calc!$C$7-SUM(D321:R321))</f>
        <v>750</v>
      </c>
      <c r="D321">
        <f t="shared" si="193"/>
        <v>0</v>
      </c>
      <c r="E321">
        <f t="shared" si="194"/>
        <v>0</v>
      </c>
      <c r="F321">
        <f t="shared" si="195"/>
        <v>0</v>
      </c>
      <c r="G321">
        <f t="shared" si="196"/>
        <v>0</v>
      </c>
      <c r="H321">
        <f t="shared" si="197"/>
        <v>0</v>
      </c>
      <c r="I321">
        <f t="shared" si="198"/>
        <v>0</v>
      </c>
      <c r="J321">
        <f t="shared" si="199"/>
        <v>0</v>
      </c>
      <c r="K321">
        <f t="shared" si="200"/>
        <v>0</v>
      </c>
      <c r="L321">
        <f t="shared" si="201"/>
        <v>0</v>
      </c>
      <c r="M321">
        <f t="shared" si="202"/>
        <v>0</v>
      </c>
      <c r="N321">
        <f t="shared" si="203"/>
        <v>0</v>
      </c>
      <c r="O321">
        <f t="shared" si="204"/>
        <v>0</v>
      </c>
      <c r="P321">
        <f t="shared" si="205"/>
        <v>0</v>
      </c>
      <c r="Q321">
        <f t="shared" si="206"/>
        <v>0</v>
      </c>
      <c r="R321">
        <f t="shared" si="207"/>
        <v>0</v>
      </c>
      <c r="S321">
        <f t="shared" si="208"/>
        <v>0</v>
      </c>
      <c r="T321">
        <f t="shared" si="209"/>
        <v>0</v>
      </c>
      <c r="U321">
        <f t="shared" si="210"/>
        <v>0</v>
      </c>
      <c r="V321">
        <f t="shared" si="211"/>
        <v>0</v>
      </c>
      <c r="W321">
        <f t="shared" si="212"/>
        <v>0</v>
      </c>
      <c r="X321">
        <f t="shared" si="213"/>
        <v>0</v>
      </c>
      <c r="Y321">
        <f t="shared" si="214"/>
        <v>0</v>
      </c>
      <c r="Z321">
        <f t="shared" si="215"/>
        <v>0</v>
      </c>
      <c r="AA321">
        <f t="shared" si="216"/>
        <v>0</v>
      </c>
      <c r="AB321">
        <f t="shared" si="217"/>
        <v>0</v>
      </c>
      <c r="AC321">
        <f t="shared" si="218"/>
        <v>0</v>
      </c>
      <c r="AD321">
        <f t="shared" si="219"/>
        <v>0</v>
      </c>
      <c r="AE321">
        <f t="shared" si="220"/>
        <v>0</v>
      </c>
      <c r="AF321">
        <f t="shared" si="221"/>
        <v>0</v>
      </c>
      <c r="AG321">
        <f t="shared" si="222"/>
        <v>0</v>
      </c>
      <c r="AH321">
        <f t="shared" si="223"/>
        <v>0</v>
      </c>
      <c r="AI321">
        <f t="shared" si="224"/>
        <v>0</v>
      </c>
      <c r="AJ321">
        <f t="shared" si="225"/>
        <v>0</v>
      </c>
      <c r="AK321">
        <f t="shared" si="226"/>
        <v>0</v>
      </c>
      <c r="AL321">
        <f t="shared" si="227"/>
        <v>0</v>
      </c>
      <c r="AM321">
        <f t="shared" si="228"/>
        <v>0</v>
      </c>
      <c r="AN321">
        <f t="shared" si="229"/>
        <v>0</v>
      </c>
      <c r="AO321">
        <f t="shared" si="230"/>
        <v>0</v>
      </c>
      <c r="AP321">
        <f t="shared" si="231"/>
        <v>0</v>
      </c>
      <c r="AQ321">
        <f t="shared" si="232"/>
        <v>0</v>
      </c>
      <c r="AR321">
        <f t="shared" si="233"/>
        <v>0</v>
      </c>
      <c r="AS321">
        <f t="shared" si="234"/>
        <v>0</v>
      </c>
      <c r="AT321">
        <f t="shared" si="235"/>
        <v>0</v>
      </c>
      <c r="AU321">
        <f t="shared" si="236"/>
        <v>0</v>
      </c>
      <c r="AV321">
        <f t="shared" si="237"/>
        <v>0</v>
      </c>
      <c r="AW321">
        <f t="shared" si="192"/>
        <v>0</v>
      </c>
      <c r="AX321">
        <f t="shared" si="238"/>
        <v>0</v>
      </c>
      <c r="AY321">
        <f t="shared" si="239"/>
        <v>0</v>
      </c>
    </row>
    <row r="322" spans="1:51" x14ac:dyDescent="0.35">
      <c r="A322">
        <v>316</v>
      </c>
      <c r="C322">
        <f>MAX(0,Calc!$C$7-SUM(D322:R322))</f>
        <v>750</v>
      </c>
      <c r="D322">
        <f t="shared" si="193"/>
        <v>0</v>
      </c>
      <c r="E322">
        <f t="shared" si="194"/>
        <v>0</v>
      </c>
      <c r="F322">
        <f t="shared" si="195"/>
        <v>0</v>
      </c>
      <c r="G322">
        <f t="shared" si="196"/>
        <v>0</v>
      </c>
      <c r="H322">
        <f t="shared" si="197"/>
        <v>0</v>
      </c>
      <c r="I322">
        <f t="shared" si="198"/>
        <v>0</v>
      </c>
      <c r="J322">
        <f t="shared" si="199"/>
        <v>0</v>
      </c>
      <c r="K322">
        <f t="shared" si="200"/>
        <v>0</v>
      </c>
      <c r="L322">
        <f t="shared" si="201"/>
        <v>0</v>
      </c>
      <c r="M322">
        <f t="shared" si="202"/>
        <v>0</v>
      </c>
      <c r="N322">
        <f t="shared" si="203"/>
        <v>0</v>
      </c>
      <c r="O322">
        <f t="shared" si="204"/>
        <v>0</v>
      </c>
      <c r="P322">
        <f t="shared" si="205"/>
        <v>0</v>
      </c>
      <c r="Q322">
        <f t="shared" si="206"/>
        <v>0</v>
      </c>
      <c r="R322">
        <f t="shared" si="207"/>
        <v>0</v>
      </c>
      <c r="S322">
        <f t="shared" si="208"/>
        <v>0</v>
      </c>
      <c r="T322">
        <f t="shared" si="209"/>
        <v>0</v>
      </c>
      <c r="U322">
        <f t="shared" si="210"/>
        <v>0</v>
      </c>
      <c r="V322">
        <f t="shared" si="211"/>
        <v>0</v>
      </c>
      <c r="W322">
        <f t="shared" si="212"/>
        <v>0</v>
      </c>
      <c r="X322">
        <f t="shared" si="213"/>
        <v>0</v>
      </c>
      <c r="Y322">
        <f t="shared" si="214"/>
        <v>0</v>
      </c>
      <c r="Z322">
        <f t="shared" si="215"/>
        <v>0</v>
      </c>
      <c r="AA322">
        <f t="shared" si="216"/>
        <v>0</v>
      </c>
      <c r="AB322">
        <f t="shared" si="217"/>
        <v>0</v>
      </c>
      <c r="AC322">
        <f t="shared" si="218"/>
        <v>0</v>
      </c>
      <c r="AD322">
        <f t="shared" si="219"/>
        <v>0</v>
      </c>
      <c r="AE322">
        <f t="shared" si="220"/>
        <v>0</v>
      </c>
      <c r="AF322">
        <f t="shared" si="221"/>
        <v>0</v>
      </c>
      <c r="AG322">
        <f t="shared" si="222"/>
        <v>0</v>
      </c>
      <c r="AH322">
        <f t="shared" si="223"/>
        <v>0</v>
      </c>
      <c r="AI322">
        <f t="shared" si="224"/>
        <v>0</v>
      </c>
      <c r="AJ322">
        <f t="shared" si="225"/>
        <v>0</v>
      </c>
      <c r="AK322">
        <f t="shared" si="226"/>
        <v>0</v>
      </c>
      <c r="AL322">
        <f t="shared" si="227"/>
        <v>0</v>
      </c>
      <c r="AM322">
        <f t="shared" si="228"/>
        <v>0</v>
      </c>
      <c r="AN322">
        <f t="shared" si="229"/>
        <v>0</v>
      </c>
      <c r="AO322">
        <f t="shared" si="230"/>
        <v>0</v>
      </c>
      <c r="AP322">
        <f t="shared" si="231"/>
        <v>0</v>
      </c>
      <c r="AQ322">
        <f t="shared" si="232"/>
        <v>0</v>
      </c>
      <c r="AR322">
        <f t="shared" si="233"/>
        <v>0</v>
      </c>
      <c r="AS322">
        <f t="shared" si="234"/>
        <v>0</v>
      </c>
      <c r="AT322">
        <f t="shared" si="235"/>
        <v>0</v>
      </c>
      <c r="AU322">
        <f t="shared" si="236"/>
        <v>0</v>
      </c>
      <c r="AV322">
        <f t="shared" si="237"/>
        <v>0</v>
      </c>
      <c r="AW322">
        <f t="shared" si="192"/>
        <v>0</v>
      </c>
      <c r="AX322">
        <f t="shared" si="238"/>
        <v>0</v>
      </c>
      <c r="AY322">
        <f t="shared" si="239"/>
        <v>0</v>
      </c>
    </row>
    <row r="323" spans="1:51" x14ac:dyDescent="0.35">
      <c r="A323">
        <v>317</v>
      </c>
      <c r="C323">
        <f>MAX(0,Calc!$C$7-SUM(D323:R323))</f>
        <v>750</v>
      </c>
      <c r="D323">
        <f t="shared" si="193"/>
        <v>0</v>
      </c>
      <c r="E323">
        <f t="shared" si="194"/>
        <v>0</v>
      </c>
      <c r="F323">
        <f t="shared" si="195"/>
        <v>0</v>
      </c>
      <c r="G323">
        <f t="shared" si="196"/>
        <v>0</v>
      </c>
      <c r="H323">
        <f t="shared" si="197"/>
        <v>0</v>
      </c>
      <c r="I323">
        <f t="shared" si="198"/>
        <v>0</v>
      </c>
      <c r="J323">
        <f t="shared" si="199"/>
        <v>0</v>
      </c>
      <c r="K323">
        <f t="shared" si="200"/>
        <v>0</v>
      </c>
      <c r="L323">
        <f t="shared" si="201"/>
        <v>0</v>
      </c>
      <c r="M323">
        <f t="shared" si="202"/>
        <v>0</v>
      </c>
      <c r="N323">
        <f t="shared" si="203"/>
        <v>0</v>
      </c>
      <c r="O323">
        <f t="shared" si="204"/>
        <v>0</v>
      </c>
      <c r="P323">
        <f t="shared" si="205"/>
        <v>0</v>
      </c>
      <c r="Q323">
        <f t="shared" si="206"/>
        <v>0</v>
      </c>
      <c r="R323">
        <f t="shared" si="207"/>
        <v>0</v>
      </c>
      <c r="S323">
        <f t="shared" si="208"/>
        <v>0</v>
      </c>
      <c r="T323">
        <f t="shared" si="209"/>
        <v>0</v>
      </c>
      <c r="U323">
        <f t="shared" si="210"/>
        <v>0</v>
      </c>
      <c r="V323">
        <f t="shared" si="211"/>
        <v>0</v>
      </c>
      <c r="W323">
        <f t="shared" si="212"/>
        <v>0</v>
      </c>
      <c r="X323">
        <f t="shared" si="213"/>
        <v>0</v>
      </c>
      <c r="Y323">
        <f t="shared" si="214"/>
        <v>0</v>
      </c>
      <c r="Z323">
        <f t="shared" si="215"/>
        <v>0</v>
      </c>
      <c r="AA323">
        <f t="shared" si="216"/>
        <v>0</v>
      </c>
      <c r="AB323">
        <f t="shared" si="217"/>
        <v>0</v>
      </c>
      <c r="AC323">
        <f t="shared" si="218"/>
        <v>0</v>
      </c>
      <c r="AD323">
        <f t="shared" si="219"/>
        <v>0</v>
      </c>
      <c r="AE323">
        <f t="shared" si="220"/>
        <v>0</v>
      </c>
      <c r="AF323">
        <f t="shared" si="221"/>
        <v>0</v>
      </c>
      <c r="AG323">
        <f t="shared" si="222"/>
        <v>0</v>
      </c>
      <c r="AH323">
        <f t="shared" si="223"/>
        <v>0</v>
      </c>
      <c r="AI323">
        <f t="shared" si="224"/>
        <v>0</v>
      </c>
      <c r="AJ323">
        <f t="shared" si="225"/>
        <v>0</v>
      </c>
      <c r="AK323">
        <f t="shared" si="226"/>
        <v>0</v>
      </c>
      <c r="AL323">
        <f t="shared" si="227"/>
        <v>0</v>
      </c>
      <c r="AM323">
        <f t="shared" si="228"/>
        <v>0</v>
      </c>
      <c r="AN323">
        <f t="shared" si="229"/>
        <v>0</v>
      </c>
      <c r="AO323">
        <f t="shared" si="230"/>
        <v>0</v>
      </c>
      <c r="AP323">
        <f t="shared" si="231"/>
        <v>0</v>
      </c>
      <c r="AQ323">
        <f t="shared" si="232"/>
        <v>0</v>
      </c>
      <c r="AR323">
        <f t="shared" si="233"/>
        <v>0</v>
      </c>
      <c r="AS323">
        <f t="shared" si="234"/>
        <v>0</v>
      </c>
      <c r="AT323">
        <f t="shared" si="235"/>
        <v>0</v>
      </c>
      <c r="AU323">
        <f t="shared" si="236"/>
        <v>0</v>
      </c>
      <c r="AV323">
        <f t="shared" si="237"/>
        <v>0</v>
      </c>
      <c r="AW323">
        <f t="shared" si="192"/>
        <v>0</v>
      </c>
      <c r="AX323">
        <f t="shared" si="238"/>
        <v>0</v>
      </c>
      <c r="AY323">
        <f t="shared" si="239"/>
        <v>0</v>
      </c>
    </row>
    <row r="324" spans="1:51" x14ac:dyDescent="0.35">
      <c r="A324">
        <v>318</v>
      </c>
      <c r="C324">
        <f>MAX(0,Calc!$C$7-SUM(D324:R324))</f>
        <v>750</v>
      </c>
      <c r="D324">
        <f t="shared" si="193"/>
        <v>0</v>
      </c>
      <c r="E324">
        <f t="shared" si="194"/>
        <v>0</v>
      </c>
      <c r="F324">
        <f t="shared" si="195"/>
        <v>0</v>
      </c>
      <c r="G324">
        <f t="shared" si="196"/>
        <v>0</v>
      </c>
      <c r="H324">
        <f t="shared" si="197"/>
        <v>0</v>
      </c>
      <c r="I324">
        <f t="shared" si="198"/>
        <v>0</v>
      </c>
      <c r="J324">
        <f t="shared" si="199"/>
        <v>0</v>
      </c>
      <c r="K324">
        <f t="shared" si="200"/>
        <v>0</v>
      </c>
      <c r="L324">
        <f t="shared" si="201"/>
        <v>0</v>
      </c>
      <c r="M324">
        <f t="shared" si="202"/>
        <v>0</v>
      </c>
      <c r="N324">
        <f t="shared" si="203"/>
        <v>0</v>
      </c>
      <c r="O324">
        <f t="shared" si="204"/>
        <v>0</v>
      </c>
      <c r="P324">
        <f t="shared" si="205"/>
        <v>0</v>
      </c>
      <c r="Q324">
        <f t="shared" si="206"/>
        <v>0</v>
      </c>
      <c r="R324">
        <f t="shared" si="207"/>
        <v>0</v>
      </c>
      <c r="S324">
        <f t="shared" si="208"/>
        <v>0</v>
      </c>
      <c r="T324">
        <f t="shared" si="209"/>
        <v>0</v>
      </c>
      <c r="U324">
        <f t="shared" si="210"/>
        <v>0</v>
      </c>
      <c r="V324">
        <f t="shared" si="211"/>
        <v>0</v>
      </c>
      <c r="W324">
        <f t="shared" si="212"/>
        <v>0</v>
      </c>
      <c r="X324">
        <f t="shared" si="213"/>
        <v>0</v>
      </c>
      <c r="Y324">
        <f t="shared" si="214"/>
        <v>0</v>
      </c>
      <c r="Z324">
        <f t="shared" si="215"/>
        <v>0</v>
      </c>
      <c r="AA324">
        <f t="shared" si="216"/>
        <v>0</v>
      </c>
      <c r="AB324">
        <f t="shared" si="217"/>
        <v>0</v>
      </c>
      <c r="AC324">
        <f t="shared" si="218"/>
        <v>0</v>
      </c>
      <c r="AD324">
        <f t="shared" si="219"/>
        <v>0</v>
      </c>
      <c r="AE324">
        <f t="shared" si="220"/>
        <v>0</v>
      </c>
      <c r="AF324">
        <f t="shared" si="221"/>
        <v>0</v>
      </c>
      <c r="AG324">
        <f t="shared" si="222"/>
        <v>0</v>
      </c>
      <c r="AH324">
        <f t="shared" si="223"/>
        <v>0</v>
      </c>
      <c r="AI324">
        <f t="shared" si="224"/>
        <v>0</v>
      </c>
      <c r="AJ324">
        <f t="shared" si="225"/>
        <v>0</v>
      </c>
      <c r="AK324">
        <f t="shared" si="226"/>
        <v>0</v>
      </c>
      <c r="AL324">
        <f t="shared" si="227"/>
        <v>0</v>
      </c>
      <c r="AM324">
        <f t="shared" si="228"/>
        <v>0</v>
      </c>
      <c r="AN324">
        <f t="shared" si="229"/>
        <v>0</v>
      </c>
      <c r="AO324">
        <f t="shared" si="230"/>
        <v>0</v>
      </c>
      <c r="AP324">
        <f t="shared" si="231"/>
        <v>0</v>
      </c>
      <c r="AQ324">
        <f t="shared" si="232"/>
        <v>0</v>
      </c>
      <c r="AR324">
        <f t="shared" si="233"/>
        <v>0</v>
      </c>
      <c r="AS324">
        <f t="shared" si="234"/>
        <v>0</v>
      </c>
      <c r="AT324">
        <f t="shared" si="235"/>
        <v>0</v>
      </c>
      <c r="AU324">
        <f t="shared" si="236"/>
        <v>0</v>
      </c>
      <c r="AV324">
        <f t="shared" si="237"/>
        <v>0</v>
      </c>
      <c r="AW324">
        <f t="shared" si="192"/>
        <v>0</v>
      </c>
      <c r="AX324">
        <f t="shared" si="238"/>
        <v>0</v>
      </c>
      <c r="AY324">
        <f t="shared" si="239"/>
        <v>0</v>
      </c>
    </row>
    <row r="325" spans="1:51" x14ac:dyDescent="0.35">
      <c r="A325">
        <v>319</v>
      </c>
      <c r="C325">
        <f>MAX(0,Calc!$C$7-SUM(D325:R325))</f>
        <v>750</v>
      </c>
      <c r="D325">
        <f t="shared" si="193"/>
        <v>0</v>
      </c>
      <c r="E325">
        <f t="shared" si="194"/>
        <v>0</v>
      </c>
      <c r="F325">
        <f t="shared" si="195"/>
        <v>0</v>
      </c>
      <c r="G325">
        <f t="shared" si="196"/>
        <v>0</v>
      </c>
      <c r="H325">
        <f t="shared" si="197"/>
        <v>0</v>
      </c>
      <c r="I325">
        <f t="shared" si="198"/>
        <v>0</v>
      </c>
      <c r="J325">
        <f t="shared" si="199"/>
        <v>0</v>
      </c>
      <c r="K325">
        <f t="shared" si="200"/>
        <v>0</v>
      </c>
      <c r="L325">
        <f t="shared" si="201"/>
        <v>0</v>
      </c>
      <c r="M325">
        <f t="shared" si="202"/>
        <v>0</v>
      </c>
      <c r="N325">
        <f t="shared" si="203"/>
        <v>0</v>
      </c>
      <c r="O325">
        <f t="shared" si="204"/>
        <v>0</v>
      </c>
      <c r="P325">
        <f t="shared" si="205"/>
        <v>0</v>
      </c>
      <c r="Q325">
        <f t="shared" si="206"/>
        <v>0</v>
      </c>
      <c r="R325">
        <f t="shared" si="207"/>
        <v>0</v>
      </c>
      <c r="S325">
        <f t="shared" si="208"/>
        <v>0</v>
      </c>
      <c r="T325">
        <f t="shared" si="209"/>
        <v>0</v>
      </c>
      <c r="U325">
        <f t="shared" si="210"/>
        <v>0</v>
      </c>
      <c r="V325">
        <f t="shared" si="211"/>
        <v>0</v>
      </c>
      <c r="W325">
        <f t="shared" si="212"/>
        <v>0</v>
      </c>
      <c r="X325">
        <f t="shared" si="213"/>
        <v>0</v>
      </c>
      <c r="Y325">
        <f t="shared" si="214"/>
        <v>0</v>
      </c>
      <c r="Z325">
        <f t="shared" si="215"/>
        <v>0</v>
      </c>
      <c r="AA325">
        <f t="shared" si="216"/>
        <v>0</v>
      </c>
      <c r="AB325">
        <f t="shared" si="217"/>
        <v>0</v>
      </c>
      <c r="AC325">
        <f t="shared" si="218"/>
        <v>0</v>
      </c>
      <c r="AD325">
        <f t="shared" si="219"/>
        <v>0</v>
      </c>
      <c r="AE325">
        <f t="shared" si="220"/>
        <v>0</v>
      </c>
      <c r="AF325">
        <f t="shared" si="221"/>
        <v>0</v>
      </c>
      <c r="AG325">
        <f t="shared" si="222"/>
        <v>0</v>
      </c>
      <c r="AH325">
        <f t="shared" si="223"/>
        <v>0</v>
      </c>
      <c r="AI325">
        <f t="shared" si="224"/>
        <v>0</v>
      </c>
      <c r="AJ325">
        <f t="shared" si="225"/>
        <v>0</v>
      </c>
      <c r="AK325">
        <f t="shared" si="226"/>
        <v>0</v>
      </c>
      <c r="AL325">
        <f t="shared" si="227"/>
        <v>0</v>
      </c>
      <c r="AM325">
        <f t="shared" si="228"/>
        <v>0</v>
      </c>
      <c r="AN325">
        <f t="shared" si="229"/>
        <v>0</v>
      </c>
      <c r="AO325">
        <f t="shared" si="230"/>
        <v>0</v>
      </c>
      <c r="AP325">
        <f t="shared" si="231"/>
        <v>0</v>
      </c>
      <c r="AQ325">
        <f t="shared" si="232"/>
        <v>0</v>
      </c>
      <c r="AR325">
        <f t="shared" si="233"/>
        <v>0</v>
      </c>
      <c r="AS325">
        <f t="shared" si="234"/>
        <v>0</v>
      </c>
      <c r="AT325">
        <f t="shared" si="235"/>
        <v>0</v>
      </c>
      <c r="AU325">
        <f t="shared" si="236"/>
        <v>0</v>
      </c>
      <c r="AV325">
        <f t="shared" si="237"/>
        <v>0</v>
      </c>
      <c r="AW325">
        <f t="shared" si="192"/>
        <v>0</v>
      </c>
      <c r="AX325">
        <f t="shared" si="238"/>
        <v>0</v>
      </c>
      <c r="AY325">
        <f t="shared" si="239"/>
        <v>0</v>
      </c>
    </row>
    <row r="326" spans="1:51" x14ac:dyDescent="0.35">
      <c r="A326">
        <v>320</v>
      </c>
      <c r="C326">
        <f>MAX(0,Calc!$C$7-SUM(D326:R326))</f>
        <v>750</v>
      </c>
      <c r="D326">
        <f t="shared" si="193"/>
        <v>0</v>
      </c>
      <c r="E326">
        <f t="shared" si="194"/>
        <v>0</v>
      </c>
      <c r="F326">
        <f t="shared" si="195"/>
        <v>0</v>
      </c>
      <c r="G326">
        <f t="shared" si="196"/>
        <v>0</v>
      </c>
      <c r="H326">
        <f t="shared" si="197"/>
        <v>0</v>
      </c>
      <c r="I326">
        <f t="shared" si="198"/>
        <v>0</v>
      </c>
      <c r="J326">
        <f t="shared" si="199"/>
        <v>0</v>
      </c>
      <c r="K326">
        <f t="shared" si="200"/>
        <v>0</v>
      </c>
      <c r="L326">
        <f t="shared" si="201"/>
        <v>0</v>
      </c>
      <c r="M326">
        <f t="shared" si="202"/>
        <v>0</v>
      </c>
      <c r="N326">
        <f t="shared" si="203"/>
        <v>0</v>
      </c>
      <c r="O326">
        <f t="shared" si="204"/>
        <v>0</v>
      </c>
      <c r="P326">
        <f t="shared" si="205"/>
        <v>0</v>
      </c>
      <c r="Q326">
        <f t="shared" si="206"/>
        <v>0</v>
      </c>
      <c r="R326">
        <f t="shared" si="207"/>
        <v>0</v>
      </c>
      <c r="S326">
        <f t="shared" si="208"/>
        <v>0</v>
      </c>
      <c r="T326">
        <f t="shared" si="209"/>
        <v>0</v>
      </c>
      <c r="U326">
        <f t="shared" si="210"/>
        <v>0</v>
      </c>
      <c r="V326">
        <f t="shared" si="211"/>
        <v>0</v>
      </c>
      <c r="W326">
        <f t="shared" si="212"/>
        <v>0</v>
      </c>
      <c r="X326">
        <f t="shared" si="213"/>
        <v>0</v>
      </c>
      <c r="Y326">
        <f t="shared" si="214"/>
        <v>0</v>
      </c>
      <c r="Z326">
        <f t="shared" si="215"/>
        <v>0</v>
      </c>
      <c r="AA326">
        <f t="shared" si="216"/>
        <v>0</v>
      </c>
      <c r="AB326">
        <f t="shared" si="217"/>
        <v>0</v>
      </c>
      <c r="AC326">
        <f t="shared" si="218"/>
        <v>0</v>
      </c>
      <c r="AD326">
        <f t="shared" si="219"/>
        <v>0</v>
      </c>
      <c r="AE326">
        <f t="shared" si="220"/>
        <v>0</v>
      </c>
      <c r="AF326">
        <f t="shared" si="221"/>
        <v>0</v>
      </c>
      <c r="AG326">
        <f t="shared" si="222"/>
        <v>0</v>
      </c>
      <c r="AH326">
        <f t="shared" si="223"/>
        <v>0</v>
      </c>
      <c r="AI326">
        <f t="shared" si="224"/>
        <v>0</v>
      </c>
      <c r="AJ326">
        <f t="shared" si="225"/>
        <v>0</v>
      </c>
      <c r="AK326">
        <f t="shared" si="226"/>
        <v>0</v>
      </c>
      <c r="AL326">
        <f t="shared" si="227"/>
        <v>0</v>
      </c>
      <c r="AM326">
        <f t="shared" si="228"/>
        <v>0</v>
      </c>
      <c r="AN326">
        <f t="shared" si="229"/>
        <v>0</v>
      </c>
      <c r="AO326">
        <f t="shared" si="230"/>
        <v>0</v>
      </c>
      <c r="AP326">
        <f t="shared" si="231"/>
        <v>0</v>
      </c>
      <c r="AQ326">
        <f t="shared" si="232"/>
        <v>0</v>
      </c>
      <c r="AR326">
        <f t="shared" si="233"/>
        <v>0</v>
      </c>
      <c r="AS326">
        <f t="shared" si="234"/>
        <v>0</v>
      </c>
      <c r="AT326">
        <f t="shared" si="235"/>
        <v>0</v>
      </c>
      <c r="AU326">
        <f t="shared" si="236"/>
        <v>0</v>
      </c>
      <c r="AV326">
        <f t="shared" si="237"/>
        <v>0</v>
      </c>
      <c r="AW326">
        <f t="shared" ref="AW326:AW389" si="240">SUM(AH326:AV326)</f>
        <v>0</v>
      </c>
      <c r="AX326">
        <f t="shared" si="238"/>
        <v>0</v>
      </c>
      <c r="AY326">
        <f t="shared" si="239"/>
        <v>0</v>
      </c>
    </row>
    <row r="327" spans="1:51" x14ac:dyDescent="0.35">
      <c r="A327">
        <v>321</v>
      </c>
      <c r="C327">
        <f>MAX(0,Calc!$C$7-SUM(D327:R327))</f>
        <v>750</v>
      </c>
      <c r="D327">
        <f t="shared" ref="D327:D366" si="241">IF(AH326&lt;0.005,0,MIN((AH326+ROUND(AH326*AH$3,2)),AH$4))</f>
        <v>0</v>
      </c>
      <c r="E327">
        <f t="shared" ref="E327:E366" si="242">IF(AI326&lt;0.005,0,MIN((AI326+ROUND(AI326*AI$3,2)),AI$4))</f>
        <v>0</v>
      </c>
      <c r="F327">
        <f t="shared" ref="F327:F366" si="243">IF(AJ326&lt;0.005,0,MIN((AJ326+ROUND(AJ326*AJ$3,2)),AJ$4))</f>
        <v>0</v>
      </c>
      <c r="G327">
        <f t="shared" ref="G327:G366" si="244">IF(AK326&lt;0.005,0,MIN((AK326+ROUND(AK326*AK$3,2)),AK$4))</f>
        <v>0</v>
      </c>
      <c r="H327">
        <f t="shared" ref="H327:H366" si="245">IF(AL326&lt;0.005,0,MIN((AL326+ROUND(AL326*AL$3,2)),AL$4))</f>
        <v>0</v>
      </c>
      <c r="I327">
        <f t="shared" ref="I327:I366" si="246">IF(AM326&lt;0.005,0,MIN((AM326+ROUND(AM326*AM$3,2)),AM$4))</f>
        <v>0</v>
      </c>
      <c r="J327">
        <f t="shared" ref="J327:J366" si="247">IF(AN326&lt;0.005,0,MIN((AN326+ROUND(AN326*AN$3,2)),AN$4))</f>
        <v>0</v>
      </c>
      <c r="K327">
        <f t="shared" ref="K327:K366" si="248">IF(AO326&lt;0.005,0,MIN((AO326+ROUND(AO326*AO$3,2)),AO$4))</f>
        <v>0</v>
      </c>
      <c r="L327">
        <f t="shared" ref="L327:L366" si="249">IF(AP326&lt;0.005,0,MIN((AP326+ROUND(AP326*AP$3,2)),AP$4))</f>
        <v>0</v>
      </c>
      <c r="M327">
        <f t="shared" ref="M327:M366" si="250">IF(AQ326&lt;0.005,0,MIN((AQ326+ROUND(AQ326*AQ$3,2)),AQ$4))</f>
        <v>0</v>
      </c>
      <c r="N327">
        <f t="shared" ref="N327:N366" si="251">IF(AR326&lt;0.005,0,MIN((AR326+ROUND(AR326*AR$3,2)),AR$4))</f>
        <v>0</v>
      </c>
      <c r="O327">
        <f t="shared" ref="O327:O366" si="252">IF(AS326&lt;0.005,0,MIN((AS326+ROUND(AS326*AS$3,2)),AS$4))</f>
        <v>0</v>
      </c>
      <c r="P327">
        <f t="shared" ref="P327:P366" si="253">IF(AT326&lt;0.005,0,MIN((AT326+ROUND(AT326*AT$3,2)),AT$4))</f>
        <v>0</v>
      </c>
      <c r="Q327">
        <f t="shared" ref="Q327:Q366" si="254">IF(AU326&lt;0.005,0,MIN((AU326+ROUND(AU326*AU$3,2)),AU$4))</f>
        <v>0</v>
      </c>
      <c r="R327">
        <f t="shared" ref="R327:R366" si="255">IF(AV326&lt;0.005,0,MIN((AV326+ROUND(AV326*AV$3,2)),AV$4))</f>
        <v>0</v>
      </c>
      <c r="S327">
        <f t="shared" ref="S327:S366" si="256">IF(AH326&lt;0.005,0,MIN((AH326+ROUND(AH326*AH$3,2))-D327,MAX(0,$C327)))</f>
        <v>0</v>
      </c>
      <c r="T327">
        <f t="shared" ref="T327:T390" si="257">IF(AI326&lt;0.005,0,MIN((AI326+ROUND(AI326*AI$3,2))-E327,MAX(0,$C327-SUM(S327:S327))))</f>
        <v>0</v>
      </c>
      <c r="U327">
        <f t="shared" ref="U327:U390" si="258">IF(AJ326&lt;0.005,0,MIN((AJ326+ROUND(AJ326*AJ$3,2))-F327,MAX(0,$C327-SUM(S327:T327))))</f>
        <v>0</v>
      </c>
      <c r="V327">
        <f t="shared" ref="V327:V390" si="259">IF(AK326&lt;0.005,0,MIN((AK326+ROUND(AK326*AK$3,2))-G327,MAX(0,$C327-SUM(S327:U327))))</f>
        <v>0</v>
      </c>
      <c r="W327">
        <f t="shared" ref="W327:W390" si="260">IF(AL326&lt;0.005,0,MIN((AL326+ROUND(AL326*AL$3,2))-H327,MAX(0,$C327-SUM(S327:V327))))</f>
        <v>0</v>
      </c>
      <c r="X327">
        <f t="shared" ref="X327:X390" si="261">IF(AM326&lt;0.005,0,MIN((AM326+ROUND(AM326*AM$3,2))-I327,MAX(0,$C327-SUM(S327:W327))))</f>
        <v>0</v>
      </c>
      <c r="Y327">
        <f t="shared" ref="Y327:Y390" si="262">IF(AN326&lt;0.005,0,MIN((AN326+ROUND(AN326*AN$3,2))-J327,MAX(0,$C327-SUM(S327:X327))))</f>
        <v>0</v>
      </c>
      <c r="Z327">
        <f t="shared" ref="Z327:Z390" si="263">IF(AO326&lt;0.005,0,MIN((AO326+ROUND(AO326*AO$3,2))-K327,MAX(0,$C327-SUM(S327:Y327))))</f>
        <v>0</v>
      </c>
      <c r="AA327">
        <f t="shared" ref="AA327:AA390" si="264">IF(AP326&lt;0.005,0,MIN((AP326+ROUND(AP326*AP$3,2))-L327,MAX(0,$C327-SUM(S327:Z327))))</f>
        <v>0</v>
      </c>
      <c r="AB327">
        <f t="shared" ref="AB327:AB390" si="265">IF(AQ326&lt;0.005,0,MIN((AQ326+ROUND(AQ326*AQ$3,2))-M327,MAX(0,$C327-SUM(S327:AA327))))</f>
        <v>0</v>
      </c>
      <c r="AC327">
        <f t="shared" ref="AC327:AC390" si="266">IF(AR326&lt;0.005,0,MIN((AR326+ROUND(AR326*AR$3,2))-N327,MAX(0,$C327-SUM(S327:AB327))))</f>
        <v>0</v>
      </c>
      <c r="AD327">
        <f t="shared" ref="AD327:AD390" si="267">IF(AS326&lt;0.005,0,MIN((AS326+ROUND(AS326*AS$3,2))-O327,MAX(0,$C327-SUM(S327:AC327))))</f>
        <v>0</v>
      </c>
      <c r="AE327">
        <f t="shared" ref="AE327:AE390" si="268">IF(AT326&lt;0.005,0,MIN((AT326+ROUND(AT326*AT$3,2))-P327,MAX(0,$C327-SUM(S327:AD327))))</f>
        <v>0</v>
      </c>
      <c r="AF327">
        <f t="shared" ref="AF327:AF390" si="269">IF(AU326&lt;0.005,0,MIN((AU326+ROUND(AU326*AU$3,2))-Q327,MAX(0,$C327-SUM(S327:AE327))))</f>
        <v>0</v>
      </c>
      <c r="AG327">
        <f t="shared" ref="AG327:AG390" si="270">IF(AV326&lt;0.005,0,MIN((AV326+ROUND(AV326*AV$3,2))-R327,MAX(0,$C327-SUM(S327:AF327))))</f>
        <v>0</v>
      </c>
      <c r="AH327">
        <f t="shared" ref="AH327:AH366" si="271">IF(AH326&lt;0.005,0,ROUND((AH326+ROUND(AH326*AH$3,2))-D327-S327,2))</f>
        <v>0</v>
      </c>
      <c r="AI327">
        <f t="shared" ref="AI327:AI366" si="272">IF(AI326&lt;0.005,0,ROUND((AI326+ROUND(AI326*AI$3,2))-E327-T327,2))</f>
        <v>0</v>
      </c>
      <c r="AJ327">
        <f t="shared" ref="AJ327:AJ366" si="273">IF(AJ326&lt;0.005,0,ROUND((AJ326+ROUND(AJ326*AJ$3,2))-F327-U327,2))</f>
        <v>0</v>
      </c>
      <c r="AK327">
        <f t="shared" ref="AK327:AK366" si="274">IF(AK326&lt;0.005,0,ROUND((AK326+ROUND(AK326*AK$3,2))-G327-V327,2))</f>
        <v>0</v>
      </c>
      <c r="AL327">
        <f t="shared" ref="AL327:AL366" si="275">IF(AL326&lt;0.005,0,ROUND((AL326+ROUND(AL326*AL$3,2))-H327-W327,2))</f>
        <v>0</v>
      </c>
      <c r="AM327">
        <f t="shared" ref="AM327:AM366" si="276">IF(AM326&lt;0.005,0,ROUND((AM326+ROUND(AM326*AM$3,2))-I327-X327,2))</f>
        <v>0</v>
      </c>
      <c r="AN327">
        <f t="shared" ref="AN327:AN366" si="277">IF(AN326&lt;0.005,0,ROUND((AN326+ROUND(AN326*AN$3,2))-J327-Y327,2))</f>
        <v>0</v>
      </c>
      <c r="AO327">
        <f t="shared" ref="AO327:AO366" si="278">IF(AO326&lt;0.005,0,ROUND((AO326+ROUND(AO326*AO$3,2))-K327-Z327,2))</f>
        <v>0</v>
      </c>
      <c r="AP327">
        <f t="shared" ref="AP327:AP366" si="279">IF(AP326&lt;0.005,0,ROUND((AP326+ROUND(AP326*AP$3,2))-L327-AA327,2))</f>
        <v>0</v>
      </c>
      <c r="AQ327">
        <f t="shared" ref="AQ327:AQ366" si="280">IF(AQ326&lt;0.005,0,ROUND((AQ326+ROUND(AQ326*AQ$3,2))-M327-AB327,2))</f>
        <v>0</v>
      </c>
      <c r="AR327">
        <f t="shared" ref="AR327:AR366" si="281">IF(AR326&lt;0.005,0,ROUND((AR326+ROUND(AR326*AR$3,2))-N327-AC327,2))</f>
        <v>0</v>
      </c>
      <c r="AS327">
        <f t="shared" ref="AS327:AS366" si="282">IF(AS326&lt;0.005,0,ROUND((AS326+ROUND(AS326*AS$3,2))-O327-AD327,2))</f>
        <v>0</v>
      </c>
      <c r="AT327">
        <f t="shared" ref="AT327:AT366" si="283">IF(AT326&lt;0.005,0,ROUND((AT326+ROUND(AT326*AT$3,2))-P327-AE327,2))</f>
        <v>0</v>
      </c>
      <c r="AU327">
        <f t="shared" ref="AU327:AU366" si="284">IF(AU326&lt;0.005,0,ROUND((AU326+ROUND(AU326*AU$3,2))-Q327-AF327,2))</f>
        <v>0</v>
      </c>
      <c r="AV327">
        <f t="shared" ref="AV327:AV366" si="285">IF(AV326&lt;0.005,0,ROUND((AV326+ROUND(AV326*AV$3,2))-R327-AG327,2))</f>
        <v>0</v>
      </c>
      <c r="AW327">
        <f t="shared" si="240"/>
        <v>0</v>
      </c>
      <c r="AX327">
        <f t="shared" ref="AX327:AX366" si="286">SUMPRODUCT(ROUND(AH326:AV326*AH$3:AV$3,2))</f>
        <v>0</v>
      </c>
      <c r="AY327">
        <f t="shared" ref="AY327:AY366" si="287">SUM(D327:AG327)</f>
        <v>0</v>
      </c>
    </row>
    <row r="328" spans="1:51" x14ac:dyDescent="0.35">
      <c r="A328">
        <v>322</v>
      </c>
      <c r="C328">
        <f>MAX(0,Calc!$C$7-SUM(D328:R328))</f>
        <v>750</v>
      </c>
      <c r="D328">
        <f t="shared" si="241"/>
        <v>0</v>
      </c>
      <c r="E328">
        <f t="shared" si="242"/>
        <v>0</v>
      </c>
      <c r="F328">
        <f t="shared" si="243"/>
        <v>0</v>
      </c>
      <c r="G328">
        <f t="shared" si="244"/>
        <v>0</v>
      </c>
      <c r="H328">
        <f t="shared" si="245"/>
        <v>0</v>
      </c>
      <c r="I328">
        <f t="shared" si="246"/>
        <v>0</v>
      </c>
      <c r="J328">
        <f t="shared" si="247"/>
        <v>0</v>
      </c>
      <c r="K328">
        <f t="shared" si="248"/>
        <v>0</v>
      </c>
      <c r="L328">
        <f t="shared" si="249"/>
        <v>0</v>
      </c>
      <c r="M328">
        <f t="shared" si="250"/>
        <v>0</v>
      </c>
      <c r="N328">
        <f t="shared" si="251"/>
        <v>0</v>
      </c>
      <c r="O328">
        <f t="shared" si="252"/>
        <v>0</v>
      </c>
      <c r="P328">
        <f t="shared" si="253"/>
        <v>0</v>
      </c>
      <c r="Q328">
        <f t="shared" si="254"/>
        <v>0</v>
      </c>
      <c r="R328">
        <f t="shared" si="255"/>
        <v>0</v>
      </c>
      <c r="S328">
        <f t="shared" si="256"/>
        <v>0</v>
      </c>
      <c r="T328">
        <f t="shared" si="257"/>
        <v>0</v>
      </c>
      <c r="U328">
        <f t="shared" si="258"/>
        <v>0</v>
      </c>
      <c r="V328">
        <f t="shared" si="259"/>
        <v>0</v>
      </c>
      <c r="W328">
        <f t="shared" si="260"/>
        <v>0</v>
      </c>
      <c r="X328">
        <f t="shared" si="261"/>
        <v>0</v>
      </c>
      <c r="Y328">
        <f t="shared" si="262"/>
        <v>0</v>
      </c>
      <c r="Z328">
        <f t="shared" si="263"/>
        <v>0</v>
      </c>
      <c r="AA328">
        <f t="shared" si="264"/>
        <v>0</v>
      </c>
      <c r="AB328">
        <f t="shared" si="265"/>
        <v>0</v>
      </c>
      <c r="AC328">
        <f t="shared" si="266"/>
        <v>0</v>
      </c>
      <c r="AD328">
        <f t="shared" si="267"/>
        <v>0</v>
      </c>
      <c r="AE328">
        <f t="shared" si="268"/>
        <v>0</v>
      </c>
      <c r="AF328">
        <f t="shared" si="269"/>
        <v>0</v>
      </c>
      <c r="AG328">
        <f t="shared" si="270"/>
        <v>0</v>
      </c>
      <c r="AH328">
        <f t="shared" si="271"/>
        <v>0</v>
      </c>
      <c r="AI328">
        <f t="shared" si="272"/>
        <v>0</v>
      </c>
      <c r="AJ328">
        <f t="shared" si="273"/>
        <v>0</v>
      </c>
      <c r="AK328">
        <f t="shared" si="274"/>
        <v>0</v>
      </c>
      <c r="AL328">
        <f t="shared" si="275"/>
        <v>0</v>
      </c>
      <c r="AM328">
        <f t="shared" si="276"/>
        <v>0</v>
      </c>
      <c r="AN328">
        <f t="shared" si="277"/>
        <v>0</v>
      </c>
      <c r="AO328">
        <f t="shared" si="278"/>
        <v>0</v>
      </c>
      <c r="AP328">
        <f t="shared" si="279"/>
        <v>0</v>
      </c>
      <c r="AQ328">
        <f t="shared" si="280"/>
        <v>0</v>
      </c>
      <c r="AR328">
        <f t="shared" si="281"/>
        <v>0</v>
      </c>
      <c r="AS328">
        <f t="shared" si="282"/>
        <v>0</v>
      </c>
      <c r="AT328">
        <f t="shared" si="283"/>
        <v>0</v>
      </c>
      <c r="AU328">
        <f t="shared" si="284"/>
        <v>0</v>
      </c>
      <c r="AV328">
        <f t="shared" si="285"/>
        <v>0</v>
      </c>
      <c r="AW328">
        <f t="shared" si="240"/>
        <v>0</v>
      </c>
      <c r="AX328">
        <f t="shared" si="286"/>
        <v>0</v>
      </c>
      <c r="AY328">
        <f t="shared" si="287"/>
        <v>0</v>
      </c>
    </row>
    <row r="329" spans="1:51" x14ac:dyDescent="0.35">
      <c r="A329">
        <v>323</v>
      </c>
      <c r="C329">
        <f>MAX(0,Calc!$C$7-SUM(D329:R329))</f>
        <v>750</v>
      </c>
      <c r="D329">
        <f t="shared" si="241"/>
        <v>0</v>
      </c>
      <c r="E329">
        <f t="shared" si="242"/>
        <v>0</v>
      </c>
      <c r="F329">
        <f t="shared" si="243"/>
        <v>0</v>
      </c>
      <c r="G329">
        <f t="shared" si="244"/>
        <v>0</v>
      </c>
      <c r="H329">
        <f t="shared" si="245"/>
        <v>0</v>
      </c>
      <c r="I329">
        <f t="shared" si="246"/>
        <v>0</v>
      </c>
      <c r="J329">
        <f t="shared" si="247"/>
        <v>0</v>
      </c>
      <c r="K329">
        <f t="shared" si="248"/>
        <v>0</v>
      </c>
      <c r="L329">
        <f t="shared" si="249"/>
        <v>0</v>
      </c>
      <c r="M329">
        <f t="shared" si="250"/>
        <v>0</v>
      </c>
      <c r="N329">
        <f t="shared" si="251"/>
        <v>0</v>
      </c>
      <c r="O329">
        <f t="shared" si="252"/>
        <v>0</v>
      </c>
      <c r="P329">
        <f t="shared" si="253"/>
        <v>0</v>
      </c>
      <c r="Q329">
        <f t="shared" si="254"/>
        <v>0</v>
      </c>
      <c r="R329">
        <f t="shared" si="255"/>
        <v>0</v>
      </c>
      <c r="S329">
        <f t="shared" si="256"/>
        <v>0</v>
      </c>
      <c r="T329">
        <f t="shared" si="257"/>
        <v>0</v>
      </c>
      <c r="U329">
        <f t="shared" si="258"/>
        <v>0</v>
      </c>
      <c r="V329">
        <f t="shared" si="259"/>
        <v>0</v>
      </c>
      <c r="W329">
        <f t="shared" si="260"/>
        <v>0</v>
      </c>
      <c r="X329">
        <f t="shared" si="261"/>
        <v>0</v>
      </c>
      <c r="Y329">
        <f t="shared" si="262"/>
        <v>0</v>
      </c>
      <c r="Z329">
        <f t="shared" si="263"/>
        <v>0</v>
      </c>
      <c r="AA329">
        <f t="shared" si="264"/>
        <v>0</v>
      </c>
      <c r="AB329">
        <f t="shared" si="265"/>
        <v>0</v>
      </c>
      <c r="AC329">
        <f t="shared" si="266"/>
        <v>0</v>
      </c>
      <c r="AD329">
        <f t="shared" si="267"/>
        <v>0</v>
      </c>
      <c r="AE329">
        <f t="shared" si="268"/>
        <v>0</v>
      </c>
      <c r="AF329">
        <f t="shared" si="269"/>
        <v>0</v>
      </c>
      <c r="AG329">
        <f t="shared" si="270"/>
        <v>0</v>
      </c>
      <c r="AH329">
        <f t="shared" si="271"/>
        <v>0</v>
      </c>
      <c r="AI329">
        <f t="shared" si="272"/>
        <v>0</v>
      </c>
      <c r="AJ329">
        <f t="shared" si="273"/>
        <v>0</v>
      </c>
      <c r="AK329">
        <f t="shared" si="274"/>
        <v>0</v>
      </c>
      <c r="AL329">
        <f t="shared" si="275"/>
        <v>0</v>
      </c>
      <c r="AM329">
        <f t="shared" si="276"/>
        <v>0</v>
      </c>
      <c r="AN329">
        <f t="shared" si="277"/>
        <v>0</v>
      </c>
      <c r="AO329">
        <f t="shared" si="278"/>
        <v>0</v>
      </c>
      <c r="AP329">
        <f t="shared" si="279"/>
        <v>0</v>
      </c>
      <c r="AQ329">
        <f t="shared" si="280"/>
        <v>0</v>
      </c>
      <c r="AR329">
        <f t="shared" si="281"/>
        <v>0</v>
      </c>
      <c r="AS329">
        <f t="shared" si="282"/>
        <v>0</v>
      </c>
      <c r="AT329">
        <f t="shared" si="283"/>
        <v>0</v>
      </c>
      <c r="AU329">
        <f t="shared" si="284"/>
        <v>0</v>
      </c>
      <c r="AV329">
        <f t="shared" si="285"/>
        <v>0</v>
      </c>
      <c r="AW329">
        <f t="shared" si="240"/>
        <v>0</v>
      </c>
      <c r="AX329">
        <f t="shared" si="286"/>
        <v>0</v>
      </c>
      <c r="AY329">
        <f t="shared" si="287"/>
        <v>0</v>
      </c>
    </row>
    <row r="330" spans="1:51" x14ac:dyDescent="0.35">
      <c r="A330">
        <v>324</v>
      </c>
      <c r="C330">
        <f>MAX(0,Calc!$C$7-SUM(D330:R330))</f>
        <v>750</v>
      </c>
      <c r="D330">
        <f t="shared" si="241"/>
        <v>0</v>
      </c>
      <c r="E330">
        <f t="shared" si="242"/>
        <v>0</v>
      </c>
      <c r="F330">
        <f t="shared" si="243"/>
        <v>0</v>
      </c>
      <c r="G330">
        <f t="shared" si="244"/>
        <v>0</v>
      </c>
      <c r="H330">
        <f t="shared" si="245"/>
        <v>0</v>
      </c>
      <c r="I330">
        <f t="shared" si="246"/>
        <v>0</v>
      </c>
      <c r="J330">
        <f t="shared" si="247"/>
        <v>0</v>
      </c>
      <c r="K330">
        <f t="shared" si="248"/>
        <v>0</v>
      </c>
      <c r="L330">
        <f t="shared" si="249"/>
        <v>0</v>
      </c>
      <c r="M330">
        <f t="shared" si="250"/>
        <v>0</v>
      </c>
      <c r="N330">
        <f t="shared" si="251"/>
        <v>0</v>
      </c>
      <c r="O330">
        <f t="shared" si="252"/>
        <v>0</v>
      </c>
      <c r="P330">
        <f t="shared" si="253"/>
        <v>0</v>
      </c>
      <c r="Q330">
        <f t="shared" si="254"/>
        <v>0</v>
      </c>
      <c r="R330">
        <f t="shared" si="255"/>
        <v>0</v>
      </c>
      <c r="S330">
        <f t="shared" si="256"/>
        <v>0</v>
      </c>
      <c r="T330">
        <f t="shared" si="257"/>
        <v>0</v>
      </c>
      <c r="U330">
        <f t="shared" si="258"/>
        <v>0</v>
      </c>
      <c r="V330">
        <f t="shared" si="259"/>
        <v>0</v>
      </c>
      <c r="W330">
        <f t="shared" si="260"/>
        <v>0</v>
      </c>
      <c r="X330">
        <f t="shared" si="261"/>
        <v>0</v>
      </c>
      <c r="Y330">
        <f t="shared" si="262"/>
        <v>0</v>
      </c>
      <c r="Z330">
        <f t="shared" si="263"/>
        <v>0</v>
      </c>
      <c r="AA330">
        <f t="shared" si="264"/>
        <v>0</v>
      </c>
      <c r="AB330">
        <f t="shared" si="265"/>
        <v>0</v>
      </c>
      <c r="AC330">
        <f t="shared" si="266"/>
        <v>0</v>
      </c>
      <c r="AD330">
        <f t="shared" si="267"/>
        <v>0</v>
      </c>
      <c r="AE330">
        <f t="shared" si="268"/>
        <v>0</v>
      </c>
      <c r="AF330">
        <f t="shared" si="269"/>
        <v>0</v>
      </c>
      <c r="AG330">
        <f t="shared" si="270"/>
        <v>0</v>
      </c>
      <c r="AH330">
        <f t="shared" si="271"/>
        <v>0</v>
      </c>
      <c r="AI330">
        <f t="shared" si="272"/>
        <v>0</v>
      </c>
      <c r="AJ330">
        <f t="shared" si="273"/>
        <v>0</v>
      </c>
      <c r="AK330">
        <f t="shared" si="274"/>
        <v>0</v>
      </c>
      <c r="AL330">
        <f t="shared" si="275"/>
        <v>0</v>
      </c>
      <c r="AM330">
        <f t="shared" si="276"/>
        <v>0</v>
      </c>
      <c r="AN330">
        <f t="shared" si="277"/>
        <v>0</v>
      </c>
      <c r="AO330">
        <f t="shared" si="278"/>
        <v>0</v>
      </c>
      <c r="AP330">
        <f t="shared" si="279"/>
        <v>0</v>
      </c>
      <c r="AQ330">
        <f t="shared" si="280"/>
        <v>0</v>
      </c>
      <c r="AR330">
        <f t="shared" si="281"/>
        <v>0</v>
      </c>
      <c r="AS330">
        <f t="shared" si="282"/>
        <v>0</v>
      </c>
      <c r="AT330">
        <f t="shared" si="283"/>
        <v>0</v>
      </c>
      <c r="AU330">
        <f t="shared" si="284"/>
        <v>0</v>
      </c>
      <c r="AV330">
        <f t="shared" si="285"/>
        <v>0</v>
      </c>
      <c r="AW330">
        <f t="shared" si="240"/>
        <v>0</v>
      </c>
      <c r="AX330">
        <f t="shared" si="286"/>
        <v>0</v>
      </c>
      <c r="AY330">
        <f t="shared" si="287"/>
        <v>0</v>
      </c>
    </row>
    <row r="331" spans="1:51" x14ac:dyDescent="0.35">
      <c r="A331">
        <v>325</v>
      </c>
      <c r="C331">
        <f>MAX(0,Calc!$C$7-SUM(D331:R331))</f>
        <v>750</v>
      </c>
      <c r="D331">
        <f t="shared" si="241"/>
        <v>0</v>
      </c>
      <c r="E331">
        <f t="shared" si="242"/>
        <v>0</v>
      </c>
      <c r="F331">
        <f t="shared" si="243"/>
        <v>0</v>
      </c>
      <c r="G331">
        <f t="shared" si="244"/>
        <v>0</v>
      </c>
      <c r="H331">
        <f t="shared" si="245"/>
        <v>0</v>
      </c>
      <c r="I331">
        <f t="shared" si="246"/>
        <v>0</v>
      </c>
      <c r="J331">
        <f t="shared" si="247"/>
        <v>0</v>
      </c>
      <c r="K331">
        <f t="shared" si="248"/>
        <v>0</v>
      </c>
      <c r="L331">
        <f t="shared" si="249"/>
        <v>0</v>
      </c>
      <c r="M331">
        <f t="shared" si="250"/>
        <v>0</v>
      </c>
      <c r="N331">
        <f t="shared" si="251"/>
        <v>0</v>
      </c>
      <c r="O331">
        <f t="shared" si="252"/>
        <v>0</v>
      </c>
      <c r="P331">
        <f t="shared" si="253"/>
        <v>0</v>
      </c>
      <c r="Q331">
        <f t="shared" si="254"/>
        <v>0</v>
      </c>
      <c r="R331">
        <f t="shared" si="255"/>
        <v>0</v>
      </c>
      <c r="S331">
        <f t="shared" si="256"/>
        <v>0</v>
      </c>
      <c r="T331">
        <f t="shared" si="257"/>
        <v>0</v>
      </c>
      <c r="U331">
        <f t="shared" si="258"/>
        <v>0</v>
      </c>
      <c r="V331">
        <f t="shared" si="259"/>
        <v>0</v>
      </c>
      <c r="W331">
        <f t="shared" si="260"/>
        <v>0</v>
      </c>
      <c r="X331">
        <f t="shared" si="261"/>
        <v>0</v>
      </c>
      <c r="Y331">
        <f t="shared" si="262"/>
        <v>0</v>
      </c>
      <c r="Z331">
        <f t="shared" si="263"/>
        <v>0</v>
      </c>
      <c r="AA331">
        <f t="shared" si="264"/>
        <v>0</v>
      </c>
      <c r="AB331">
        <f t="shared" si="265"/>
        <v>0</v>
      </c>
      <c r="AC331">
        <f t="shared" si="266"/>
        <v>0</v>
      </c>
      <c r="AD331">
        <f t="shared" si="267"/>
        <v>0</v>
      </c>
      <c r="AE331">
        <f t="shared" si="268"/>
        <v>0</v>
      </c>
      <c r="AF331">
        <f t="shared" si="269"/>
        <v>0</v>
      </c>
      <c r="AG331">
        <f t="shared" si="270"/>
        <v>0</v>
      </c>
      <c r="AH331">
        <f t="shared" si="271"/>
        <v>0</v>
      </c>
      <c r="AI331">
        <f t="shared" si="272"/>
        <v>0</v>
      </c>
      <c r="AJ331">
        <f t="shared" si="273"/>
        <v>0</v>
      </c>
      <c r="AK331">
        <f t="shared" si="274"/>
        <v>0</v>
      </c>
      <c r="AL331">
        <f t="shared" si="275"/>
        <v>0</v>
      </c>
      <c r="AM331">
        <f t="shared" si="276"/>
        <v>0</v>
      </c>
      <c r="AN331">
        <f t="shared" si="277"/>
        <v>0</v>
      </c>
      <c r="AO331">
        <f t="shared" si="278"/>
        <v>0</v>
      </c>
      <c r="AP331">
        <f t="shared" si="279"/>
        <v>0</v>
      </c>
      <c r="AQ331">
        <f t="shared" si="280"/>
        <v>0</v>
      </c>
      <c r="AR331">
        <f t="shared" si="281"/>
        <v>0</v>
      </c>
      <c r="AS331">
        <f t="shared" si="282"/>
        <v>0</v>
      </c>
      <c r="AT331">
        <f t="shared" si="283"/>
        <v>0</v>
      </c>
      <c r="AU331">
        <f t="shared" si="284"/>
        <v>0</v>
      </c>
      <c r="AV331">
        <f t="shared" si="285"/>
        <v>0</v>
      </c>
      <c r="AW331">
        <f t="shared" si="240"/>
        <v>0</v>
      </c>
      <c r="AX331">
        <f t="shared" si="286"/>
        <v>0</v>
      </c>
      <c r="AY331">
        <f t="shared" si="287"/>
        <v>0</v>
      </c>
    </row>
    <row r="332" spans="1:51" x14ac:dyDescent="0.35">
      <c r="A332">
        <v>326</v>
      </c>
      <c r="C332">
        <f>MAX(0,Calc!$C$7-SUM(D332:R332))</f>
        <v>750</v>
      </c>
      <c r="D332">
        <f t="shared" si="241"/>
        <v>0</v>
      </c>
      <c r="E332">
        <f t="shared" si="242"/>
        <v>0</v>
      </c>
      <c r="F332">
        <f t="shared" si="243"/>
        <v>0</v>
      </c>
      <c r="G332">
        <f t="shared" si="244"/>
        <v>0</v>
      </c>
      <c r="H332">
        <f t="shared" si="245"/>
        <v>0</v>
      </c>
      <c r="I332">
        <f t="shared" si="246"/>
        <v>0</v>
      </c>
      <c r="J332">
        <f t="shared" si="247"/>
        <v>0</v>
      </c>
      <c r="K332">
        <f t="shared" si="248"/>
        <v>0</v>
      </c>
      <c r="L332">
        <f t="shared" si="249"/>
        <v>0</v>
      </c>
      <c r="M332">
        <f t="shared" si="250"/>
        <v>0</v>
      </c>
      <c r="N332">
        <f t="shared" si="251"/>
        <v>0</v>
      </c>
      <c r="O332">
        <f t="shared" si="252"/>
        <v>0</v>
      </c>
      <c r="P332">
        <f t="shared" si="253"/>
        <v>0</v>
      </c>
      <c r="Q332">
        <f t="shared" si="254"/>
        <v>0</v>
      </c>
      <c r="R332">
        <f t="shared" si="255"/>
        <v>0</v>
      </c>
      <c r="S332">
        <f t="shared" si="256"/>
        <v>0</v>
      </c>
      <c r="T332">
        <f t="shared" si="257"/>
        <v>0</v>
      </c>
      <c r="U332">
        <f t="shared" si="258"/>
        <v>0</v>
      </c>
      <c r="V332">
        <f t="shared" si="259"/>
        <v>0</v>
      </c>
      <c r="W332">
        <f t="shared" si="260"/>
        <v>0</v>
      </c>
      <c r="X332">
        <f t="shared" si="261"/>
        <v>0</v>
      </c>
      <c r="Y332">
        <f t="shared" si="262"/>
        <v>0</v>
      </c>
      <c r="Z332">
        <f t="shared" si="263"/>
        <v>0</v>
      </c>
      <c r="AA332">
        <f t="shared" si="264"/>
        <v>0</v>
      </c>
      <c r="AB332">
        <f t="shared" si="265"/>
        <v>0</v>
      </c>
      <c r="AC332">
        <f t="shared" si="266"/>
        <v>0</v>
      </c>
      <c r="AD332">
        <f t="shared" si="267"/>
        <v>0</v>
      </c>
      <c r="AE332">
        <f t="shared" si="268"/>
        <v>0</v>
      </c>
      <c r="AF332">
        <f t="shared" si="269"/>
        <v>0</v>
      </c>
      <c r="AG332">
        <f t="shared" si="270"/>
        <v>0</v>
      </c>
      <c r="AH332">
        <f t="shared" si="271"/>
        <v>0</v>
      </c>
      <c r="AI332">
        <f t="shared" si="272"/>
        <v>0</v>
      </c>
      <c r="AJ332">
        <f t="shared" si="273"/>
        <v>0</v>
      </c>
      <c r="AK332">
        <f t="shared" si="274"/>
        <v>0</v>
      </c>
      <c r="AL332">
        <f t="shared" si="275"/>
        <v>0</v>
      </c>
      <c r="AM332">
        <f t="shared" si="276"/>
        <v>0</v>
      </c>
      <c r="AN332">
        <f t="shared" si="277"/>
        <v>0</v>
      </c>
      <c r="AO332">
        <f t="shared" si="278"/>
        <v>0</v>
      </c>
      <c r="AP332">
        <f t="shared" si="279"/>
        <v>0</v>
      </c>
      <c r="AQ332">
        <f t="shared" si="280"/>
        <v>0</v>
      </c>
      <c r="AR332">
        <f t="shared" si="281"/>
        <v>0</v>
      </c>
      <c r="AS332">
        <f t="shared" si="282"/>
        <v>0</v>
      </c>
      <c r="AT332">
        <f t="shared" si="283"/>
        <v>0</v>
      </c>
      <c r="AU332">
        <f t="shared" si="284"/>
        <v>0</v>
      </c>
      <c r="AV332">
        <f t="shared" si="285"/>
        <v>0</v>
      </c>
      <c r="AW332">
        <f t="shared" si="240"/>
        <v>0</v>
      </c>
      <c r="AX332">
        <f t="shared" si="286"/>
        <v>0</v>
      </c>
      <c r="AY332">
        <f t="shared" si="287"/>
        <v>0</v>
      </c>
    </row>
    <row r="333" spans="1:51" x14ac:dyDescent="0.35">
      <c r="A333">
        <v>327</v>
      </c>
      <c r="C333">
        <f>MAX(0,Calc!$C$7-SUM(D333:R333))</f>
        <v>750</v>
      </c>
      <c r="D333">
        <f t="shared" si="241"/>
        <v>0</v>
      </c>
      <c r="E333">
        <f t="shared" si="242"/>
        <v>0</v>
      </c>
      <c r="F333">
        <f t="shared" si="243"/>
        <v>0</v>
      </c>
      <c r="G333">
        <f t="shared" si="244"/>
        <v>0</v>
      </c>
      <c r="H333">
        <f t="shared" si="245"/>
        <v>0</v>
      </c>
      <c r="I333">
        <f t="shared" si="246"/>
        <v>0</v>
      </c>
      <c r="J333">
        <f t="shared" si="247"/>
        <v>0</v>
      </c>
      <c r="K333">
        <f t="shared" si="248"/>
        <v>0</v>
      </c>
      <c r="L333">
        <f t="shared" si="249"/>
        <v>0</v>
      </c>
      <c r="M333">
        <f t="shared" si="250"/>
        <v>0</v>
      </c>
      <c r="N333">
        <f t="shared" si="251"/>
        <v>0</v>
      </c>
      <c r="O333">
        <f t="shared" si="252"/>
        <v>0</v>
      </c>
      <c r="P333">
        <f t="shared" si="253"/>
        <v>0</v>
      </c>
      <c r="Q333">
        <f t="shared" si="254"/>
        <v>0</v>
      </c>
      <c r="R333">
        <f t="shared" si="255"/>
        <v>0</v>
      </c>
      <c r="S333">
        <f t="shared" si="256"/>
        <v>0</v>
      </c>
      <c r="T333">
        <f t="shared" si="257"/>
        <v>0</v>
      </c>
      <c r="U333">
        <f t="shared" si="258"/>
        <v>0</v>
      </c>
      <c r="V333">
        <f t="shared" si="259"/>
        <v>0</v>
      </c>
      <c r="W333">
        <f t="shared" si="260"/>
        <v>0</v>
      </c>
      <c r="X333">
        <f t="shared" si="261"/>
        <v>0</v>
      </c>
      <c r="Y333">
        <f t="shared" si="262"/>
        <v>0</v>
      </c>
      <c r="Z333">
        <f t="shared" si="263"/>
        <v>0</v>
      </c>
      <c r="AA333">
        <f t="shared" si="264"/>
        <v>0</v>
      </c>
      <c r="AB333">
        <f t="shared" si="265"/>
        <v>0</v>
      </c>
      <c r="AC333">
        <f t="shared" si="266"/>
        <v>0</v>
      </c>
      <c r="AD333">
        <f t="shared" si="267"/>
        <v>0</v>
      </c>
      <c r="AE333">
        <f t="shared" si="268"/>
        <v>0</v>
      </c>
      <c r="AF333">
        <f t="shared" si="269"/>
        <v>0</v>
      </c>
      <c r="AG333">
        <f t="shared" si="270"/>
        <v>0</v>
      </c>
      <c r="AH333">
        <f t="shared" si="271"/>
        <v>0</v>
      </c>
      <c r="AI333">
        <f t="shared" si="272"/>
        <v>0</v>
      </c>
      <c r="AJ333">
        <f t="shared" si="273"/>
        <v>0</v>
      </c>
      <c r="AK333">
        <f t="shared" si="274"/>
        <v>0</v>
      </c>
      <c r="AL333">
        <f t="shared" si="275"/>
        <v>0</v>
      </c>
      <c r="AM333">
        <f t="shared" si="276"/>
        <v>0</v>
      </c>
      <c r="AN333">
        <f t="shared" si="277"/>
        <v>0</v>
      </c>
      <c r="AO333">
        <f t="shared" si="278"/>
        <v>0</v>
      </c>
      <c r="AP333">
        <f t="shared" si="279"/>
        <v>0</v>
      </c>
      <c r="AQ333">
        <f t="shared" si="280"/>
        <v>0</v>
      </c>
      <c r="AR333">
        <f t="shared" si="281"/>
        <v>0</v>
      </c>
      <c r="AS333">
        <f t="shared" si="282"/>
        <v>0</v>
      </c>
      <c r="AT333">
        <f t="shared" si="283"/>
        <v>0</v>
      </c>
      <c r="AU333">
        <f t="shared" si="284"/>
        <v>0</v>
      </c>
      <c r="AV333">
        <f t="shared" si="285"/>
        <v>0</v>
      </c>
      <c r="AW333">
        <f t="shared" si="240"/>
        <v>0</v>
      </c>
      <c r="AX333">
        <f t="shared" si="286"/>
        <v>0</v>
      </c>
      <c r="AY333">
        <f t="shared" si="287"/>
        <v>0</v>
      </c>
    </row>
    <row r="334" spans="1:51" x14ac:dyDescent="0.35">
      <c r="A334">
        <v>328</v>
      </c>
      <c r="C334">
        <f>MAX(0,Calc!$C$7-SUM(D334:R334))</f>
        <v>750</v>
      </c>
      <c r="D334">
        <f t="shared" si="241"/>
        <v>0</v>
      </c>
      <c r="E334">
        <f t="shared" si="242"/>
        <v>0</v>
      </c>
      <c r="F334">
        <f t="shared" si="243"/>
        <v>0</v>
      </c>
      <c r="G334">
        <f t="shared" si="244"/>
        <v>0</v>
      </c>
      <c r="H334">
        <f t="shared" si="245"/>
        <v>0</v>
      </c>
      <c r="I334">
        <f t="shared" si="246"/>
        <v>0</v>
      </c>
      <c r="J334">
        <f t="shared" si="247"/>
        <v>0</v>
      </c>
      <c r="K334">
        <f t="shared" si="248"/>
        <v>0</v>
      </c>
      <c r="L334">
        <f t="shared" si="249"/>
        <v>0</v>
      </c>
      <c r="M334">
        <f t="shared" si="250"/>
        <v>0</v>
      </c>
      <c r="N334">
        <f t="shared" si="251"/>
        <v>0</v>
      </c>
      <c r="O334">
        <f t="shared" si="252"/>
        <v>0</v>
      </c>
      <c r="P334">
        <f t="shared" si="253"/>
        <v>0</v>
      </c>
      <c r="Q334">
        <f t="shared" si="254"/>
        <v>0</v>
      </c>
      <c r="R334">
        <f t="shared" si="255"/>
        <v>0</v>
      </c>
      <c r="S334">
        <f t="shared" si="256"/>
        <v>0</v>
      </c>
      <c r="T334">
        <f t="shared" si="257"/>
        <v>0</v>
      </c>
      <c r="U334">
        <f t="shared" si="258"/>
        <v>0</v>
      </c>
      <c r="V334">
        <f t="shared" si="259"/>
        <v>0</v>
      </c>
      <c r="W334">
        <f t="shared" si="260"/>
        <v>0</v>
      </c>
      <c r="X334">
        <f t="shared" si="261"/>
        <v>0</v>
      </c>
      <c r="Y334">
        <f t="shared" si="262"/>
        <v>0</v>
      </c>
      <c r="Z334">
        <f t="shared" si="263"/>
        <v>0</v>
      </c>
      <c r="AA334">
        <f t="shared" si="264"/>
        <v>0</v>
      </c>
      <c r="AB334">
        <f t="shared" si="265"/>
        <v>0</v>
      </c>
      <c r="AC334">
        <f t="shared" si="266"/>
        <v>0</v>
      </c>
      <c r="AD334">
        <f t="shared" si="267"/>
        <v>0</v>
      </c>
      <c r="AE334">
        <f t="shared" si="268"/>
        <v>0</v>
      </c>
      <c r="AF334">
        <f t="shared" si="269"/>
        <v>0</v>
      </c>
      <c r="AG334">
        <f t="shared" si="270"/>
        <v>0</v>
      </c>
      <c r="AH334">
        <f t="shared" si="271"/>
        <v>0</v>
      </c>
      <c r="AI334">
        <f t="shared" si="272"/>
        <v>0</v>
      </c>
      <c r="AJ334">
        <f t="shared" si="273"/>
        <v>0</v>
      </c>
      <c r="AK334">
        <f t="shared" si="274"/>
        <v>0</v>
      </c>
      <c r="AL334">
        <f t="shared" si="275"/>
        <v>0</v>
      </c>
      <c r="AM334">
        <f t="shared" si="276"/>
        <v>0</v>
      </c>
      <c r="AN334">
        <f t="shared" si="277"/>
        <v>0</v>
      </c>
      <c r="AO334">
        <f t="shared" si="278"/>
        <v>0</v>
      </c>
      <c r="AP334">
        <f t="shared" si="279"/>
        <v>0</v>
      </c>
      <c r="AQ334">
        <f t="shared" si="280"/>
        <v>0</v>
      </c>
      <c r="AR334">
        <f t="shared" si="281"/>
        <v>0</v>
      </c>
      <c r="AS334">
        <f t="shared" si="282"/>
        <v>0</v>
      </c>
      <c r="AT334">
        <f t="shared" si="283"/>
        <v>0</v>
      </c>
      <c r="AU334">
        <f t="shared" si="284"/>
        <v>0</v>
      </c>
      <c r="AV334">
        <f t="shared" si="285"/>
        <v>0</v>
      </c>
      <c r="AW334">
        <f t="shared" si="240"/>
        <v>0</v>
      </c>
      <c r="AX334">
        <f t="shared" si="286"/>
        <v>0</v>
      </c>
      <c r="AY334">
        <f t="shared" si="287"/>
        <v>0</v>
      </c>
    </row>
    <row r="335" spans="1:51" x14ac:dyDescent="0.35">
      <c r="A335">
        <v>329</v>
      </c>
      <c r="C335">
        <f>MAX(0,Calc!$C$7-SUM(D335:R335))</f>
        <v>750</v>
      </c>
      <c r="D335">
        <f t="shared" si="241"/>
        <v>0</v>
      </c>
      <c r="E335">
        <f t="shared" si="242"/>
        <v>0</v>
      </c>
      <c r="F335">
        <f t="shared" si="243"/>
        <v>0</v>
      </c>
      <c r="G335">
        <f t="shared" si="244"/>
        <v>0</v>
      </c>
      <c r="H335">
        <f t="shared" si="245"/>
        <v>0</v>
      </c>
      <c r="I335">
        <f t="shared" si="246"/>
        <v>0</v>
      </c>
      <c r="J335">
        <f t="shared" si="247"/>
        <v>0</v>
      </c>
      <c r="K335">
        <f t="shared" si="248"/>
        <v>0</v>
      </c>
      <c r="L335">
        <f t="shared" si="249"/>
        <v>0</v>
      </c>
      <c r="M335">
        <f t="shared" si="250"/>
        <v>0</v>
      </c>
      <c r="N335">
        <f t="shared" si="251"/>
        <v>0</v>
      </c>
      <c r="O335">
        <f t="shared" si="252"/>
        <v>0</v>
      </c>
      <c r="P335">
        <f t="shared" si="253"/>
        <v>0</v>
      </c>
      <c r="Q335">
        <f t="shared" si="254"/>
        <v>0</v>
      </c>
      <c r="R335">
        <f t="shared" si="255"/>
        <v>0</v>
      </c>
      <c r="S335">
        <f t="shared" si="256"/>
        <v>0</v>
      </c>
      <c r="T335">
        <f t="shared" si="257"/>
        <v>0</v>
      </c>
      <c r="U335">
        <f t="shared" si="258"/>
        <v>0</v>
      </c>
      <c r="V335">
        <f t="shared" si="259"/>
        <v>0</v>
      </c>
      <c r="W335">
        <f t="shared" si="260"/>
        <v>0</v>
      </c>
      <c r="X335">
        <f t="shared" si="261"/>
        <v>0</v>
      </c>
      <c r="Y335">
        <f t="shared" si="262"/>
        <v>0</v>
      </c>
      <c r="Z335">
        <f t="shared" si="263"/>
        <v>0</v>
      </c>
      <c r="AA335">
        <f t="shared" si="264"/>
        <v>0</v>
      </c>
      <c r="AB335">
        <f t="shared" si="265"/>
        <v>0</v>
      </c>
      <c r="AC335">
        <f t="shared" si="266"/>
        <v>0</v>
      </c>
      <c r="AD335">
        <f t="shared" si="267"/>
        <v>0</v>
      </c>
      <c r="AE335">
        <f t="shared" si="268"/>
        <v>0</v>
      </c>
      <c r="AF335">
        <f t="shared" si="269"/>
        <v>0</v>
      </c>
      <c r="AG335">
        <f t="shared" si="270"/>
        <v>0</v>
      </c>
      <c r="AH335">
        <f t="shared" si="271"/>
        <v>0</v>
      </c>
      <c r="AI335">
        <f t="shared" si="272"/>
        <v>0</v>
      </c>
      <c r="AJ335">
        <f t="shared" si="273"/>
        <v>0</v>
      </c>
      <c r="AK335">
        <f t="shared" si="274"/>
        <v>0</v>
      </c>
      <c r="AL335">
        <f t="shared" si="275"/>
        <v>0</v>
      </c>
      <c r="AM335">
        <f t="shared" si="276"/>
        <v>0</v>
      </c>
      <c r="AN335">
        <f t="shared" si="277"/>
        <v>0</v>
      </c>
      <c r="AO335">
        <f t="shared" si="278"/>
        <v>0</v>
      </c>
      <c r="AP335">
        <f t="shared" si="279"/>
        <v>0</v>
      </c>
      <c r="AQ335">
        <f t="shared" si="280"/>
        <v>0</v>
      </c>
      <c r="AR335">
        <f t="shared" si="281"/>
        <v>0</v>
      </c>
      <c r="AS335">
        <f t="shared" si="282"/>
        <v>0</v>
      </c>
      <c r="AT335">
        <f t="shared" si="283"/>
        <v>0</v>
      </c>
      <c r="AU335">
        <f t="shared" si="284"/>
        <v>0</v>
      </c>
      <c r="AV335">
        <f t="shared" si="285"/>
        <v>0</v>
      </c>
      <c r="AW335">
        <f t="shared" si="240"/>
        <v>0</v>
      </c>
      <c r="AX335">
        <f t="shared" si="286"/>
        <v>0</v>
      </c>
      <c r="AY335">
        <f t="shared" si="287"/>
        <v>0</v>
      </c>
    </row>
    <row r="336" spans="1:51" x14ac:dyDescent="0.35">
      <c r="A336">
        <v>330</v>
      </c>
      <c r="C336">
        <f>MAX(0,Calc!$C$7-SUM(D336:R336))</f>
        <v>750</v>
      </c>
      <c r="D336">
        <f t="shared" si="241"/>
        <v>0</v>
      </c>
      <c r="E336">
        <f t="shared" si="242"/>
        <v>0</v>
      </c>
      <c r="F336">
        <f t="shared" si="243"/>
        <v>0</v>
      </c>
      <c r="G336">
        <f t="shared" si="244"/>
        <v>0</v>
      </c>
      <c r="H336">
        <f t="shared" si="245"/>
        <v>0</v>
      </c>
      <c r="I336">
        <f t="shared" si="246"/>
        <v>0</v>
      </c>
      <c r="J336">
        <f t="shared" si="247"/>
        <v>0</v>
      </c>
      <c r="K336">
        <f t="shared" si="248"/>
        <v>0</v>
      </c>
      <c r="L336">
        <f t="shared" si="249"/>
        <v>0</v>
      </c>
      <c r="M336">
        <f t="shared" si="250"/>
        <v>0</v>
      </c>
      <c r="N336">
        <f t="shared" si="251"/>
        <v>0</v>
      </c>
      <c r="O336">
        <f t="shared" si="252"/>
        <v>0</v>
      </c>
      <c r="P336">
        <f t="shared" si="253"/>
        <v>0</v>
      </c>
      <c r="Q336">
        <f t="shared" si="254"/>
        <v>0</v>
      </c>
      <c r="R336">
        <f t="shared" si="255"/>
        <v>0</v>
      </c>
      <c r="S336">
        <f t="shared" si="256"/>
        <v>0</v>
      </c>
      <c r="T336">
        <f t="shared" si="257"/>
        <v>0</v>
      </c>
      <c r="U336">
        <f t="shared" si="258"/>
        <v>0</v>
      </c>
      <c r="V336">
        <f t="shared" si="259"/>
        <v>0</v>
      </c>
      <c r="W336">
        <f t="shared" si="260"/>
        <v>0</v>
      </c>
      <c r="X336">
        <f t="shared" si="261"/>
        <v>0</v>
      </c>
      <c r="Y336">
        <f t="shared" si="262"/>
        <v>0</v>
      </c>
      <c r="Z336">
        <f t="shared" si="263"/>
        <v>0</v>
      </c>
      <c r="AA336">
        <f t="shared" si="264"/>
        <v>0</v>
      </c>
      <c r="AB336">
        <f t="shared" si="265"/>
        <v>0</v>
      </c>
      <c r="AC336">
        <f t="shared" si="266"/>
        <v>0</v>
      </c>
      <c r="AD336">
        <f t="shared" si="267"/>
        <v>0</v>
      </c>
      <c r="AE336">
        <f t="shared" si="268"/>
        <v>0</v>
      </c>
      <c r="AF336">
        <f t="shared" si="269"/>
        <v>0</v>
      </c>
      <c r="AG336">
        <f t="shared" si="270"/>
        <v>0</v>
      </c>
      <c r="AH336">
        <f t="shared" si="271"/>
        <v>0</v>
      </c>
      <c r="AI336">
        <f t="shared" si="272"/>
        <v>0</v>
      </c>
      <c r="AJ336">
        <f t="shared" si="273"/>
        <v>0</v>
      </c>
      <c r="AK336">
        <f t="shared" si="274"/>
        <v>0</v>
      </c>
      <c r="AL336">
        <f t="shared" si="275"/>
        <v>0</v>
      </c>
      <c r="AM336">
        <f t="shared" si="276"/>
        <v>0</v>
      </c>
      <c r="AN336">
        <f t="shared" si="277"/>
        <v>0</v>
      </c>
      <c r="AO336">
        <f t="shared" si="278"/>
        <v>0</v>
      </c>
      <c r="AP336">
        <f t="shared" si="279"/>
        <v>0</v>
      </c>
      <c r="AQ336">
        <f t="shared" si="280"/>
        <v>0</v>
      </c>
      <c r="AR336">
        <f t="shared" si="281"/>
        <v>0</v>
      </c>
      <c r="AS336">
        <f t="shared" si="282"/>
        <v>0</v>
      </c>
      <c r="AT336">
        <f t="shared" si="283"/>
        <v>0</v>
      </c>
      <c r="AU336">
        <f t="shared" si="284"/>
        <v>0</v>
      </c>
      <c r="AV336">
        <f t="shared" si="285"/>
        <v>0</v>
      </c>
      <c r="AW336">
        <f t="shared" si="240"/>
        <v>0</v>
      </c>
      <c r="AX336">
        <f t="shared" si="286"/>
        <v>0</v>
      </c>
      <c r="AY336">
        <f t="shared" si="287"/>
        <v>0</v>
      </c>
    </row>
    <row r="337" spans="1:51" x14ac:dyDescent="0.35">
      <c r="A337">
        <v>331</v>
      </c>
      <c r="C337">
        <f>MAX(0,Calc!$C$7-SUM(D337:R337))</f>
        <v>750</v>
      </c>
      <c r="D337">
        <f t="shared" si="241"/>
        <v>0</v>
      </c>
      <c r="E337">
        <f t="shared" si="242"/>
        <v>0</v>
      </c>
      <c r="F337">
        <f t="shared" si="243"/>
        <v>0</v>
      </c>
      <c r="G337">
        <f t="shared" si="244"/>
        <v>0</v>
      </c>
      <c r="H337">
        <f t="shared" si="245"/>
        <v>0</v>
      </c>
      <c r="I337">
        <f t="shared" si="246"/>
        <v>0</v>
      </c>
      <c r="J337">
        <f t="shared" si="247"/>
        <v>0</v>
      </c>
      <c r="K337">
        <f t="shared" si="248"/>
        <v>0</v>
      </c>
      <c r="L337">
        <f t="shared" si="249"/>
        <v>0</v>
      </c>
      <c r="M337">
        <f t="shared" si="250"/>
        <v>0</v>
      </c>
      <c r="N337">
        <f t="shared" si="251"/>
        <v>0</v>
      </c>
      <c r="O337">
        <f t="shared" si="252"/>
        <v>0</v>
      </c>
      <c r="P337">
        <f t="shared" si="253"/>
        <v>0</v>
      </c>
      <c r="Q337">
        <f t="shared" si="254"/>
        <v>0</v>
      </c>
      <c r="R337">
        <f t="shared" si="255"/>
        <v>0</v>
      </c>
      <c r="S337">
        <f t="shared" si="256"/>
        <v>0</v>
      </c>
      <c r="T337">
        <f t="shared" si="257"/>
        <v>0</v>
      </c>
      <c r="U337">
        <f t="shared" si="258"/>
        <v>0</v>
      </c>
      <c r="V337">
        <f t="shared" si="259"/>
        <v>0</v>
      </c>
      <c r="W337">
        <f t="shared" si="260"/>
        <v>0</v>
      </c>
      <c r="X337">
        <f t="shared" si="261"/>
        <v>0</v>
      </c>
      <c r="Y337">
        <f t="shared" si="262"/>
        <v>0</v>
      </c>
      <c r="Z337">
        <f t="shared" si="263"/>
        <v>0</v>
      </c>
      <c r="AA337">
        <f t="shared" si="264"/>
        <v>0</v>
      </c>
      <c r="AB337">
        <f t="shared" si="265"/>
        <v>0</v>
      </c>
      <c r="AC337">
        <f t="shared" si="266"/>
        <v>0</v>
      </c>
      <c r="AD337">
        <f t="shared" si="267"/>
        <v>0</v>
      </c>
      <c r="AE337">
        <f t="shared" si="268"/>
        <v>0</v>
      </c>
      <c r="AF337">
        <f t="shared" si="269"/>
        <v>0</v>
      </c>
      <c r="AG337">
        <f t="shared" si="270"/>
        <v>0</v>
      </c>
      <c r="AH337">
        <f t="shared" si="271"/>
        <v>0</v>
      </c>
      <c r="AI337">
        <f t="shared" si="272"/>
        <v>0</v>
      </c>
      <c r="AJ337">
        <f t="shared" si="273"/>
        <v>0</v>
      </c>
      <c r="AK337">
        <f t="shared" si="274"/>
        <v>0</v>
      </c>
      <c r="AL337">
        <f t="shared" si="275"/>
        <v>0</v>
      </c>
      <c r="AM337">
        <f t="shared" si="276"/>
        <v>0</v>
      </c>
      <c r="AN337">
        <f t="shared" si="277"/>
        <v>0</v>
      </c>
      <c r="AO337">
        <f t="shared" si="278"/>
        <v>0</v>
      </c>
      <c r="AP337">
        <f t="shared" si="279"/>
        <v>0</v>
      </c>
      <c r="AQ337">
        <f t="shared" si="280"/>
        <v>0</v>
      </c>
      <c r="AR337">
        <f t="shared" si="281"/>
        <v>0</v>
      </c>
      <c r="AS337">
        <f t="shared" si="282"/>
        <v>0</v>
      </c>
      <c r="AT337">
        <f t="shared" si="283"/>
        <v>0</v>
      </c>
      <c r="AU337">
        <f t="shared" si="284"/>
        <v>0</v>
      </c>
      <c r="AV337">
        <f t="shared" si="285"/>
        <v>0</v>
      </c>
      <c r="AW337">
        <f t="shared" si="240"/>
        <v>0</v>
      </c>
      <c r="AX337">
        <f t="shared" si="286"/>
        <v>0</v>
      </c>
      <c r="AY337">
        <f t="shared" si="287"/>
        <v>0</v>
      </c>
    </row>
    <row r="338" spans="1:51" x14ac:dyDescent="0.35">
      <c r="A338">
        <v>332</v>
      </c>
      <c r="C338">
        <f>MAX(0,Calc!$C$7-SUM(D338:R338))</f>
        <v>750</v>
      </c>
      <c r="D338">
        <f t="shared" si="241"/>
        <v>0</v>
      </c>
      <c r="E338">
        <f t="shared" si="242"/>
        <v>0</v>
      </c>
      <c r="F338">
        <f t="shared" si="243"/>
        <v>0</v>
      </c>
      <c r="G338">
        <f t="shared" si="244"/>
        <v>0</v>
      </c>
      <c r="H338">
        <f t="shared" si="245"/>
        <v>0</v>
      </c>
      <c r="I338">
        <f t="shared" si="246"/>
        <v>0</v>
      </c>
      <c r="J338">
        <f t="shared" si="247"/>
        <v>0</v>
      </c>
      <c r="K338">
        <f t="shared" si="248"/>
        <v>0</v>
      </c>
      <c r="L338">
        <f t="shared" si="249"/>
        <v>0</v>
      </c>
      <c r="M338">
        <f t="shared" si="250"/>
        <v>0</v>
      </c>
      <c r="N338">
        <f t="shared" si="251"/>
        <v>0</v>
      </c>
      <c r="O338">
        <f t="shared" si="252"/>
        <v>0</v>
      </c>
      <c r="P338">
        <f t="shared" si="253"/>
        <v>0</v>
      </c>
      <c r="Q338">
        <f t="shared" si="254"/>
        <v>0</v>
      </c>
      <c r="R338">
        <f t="shared" si="255"/>
        <v>0</v>
      </c>
      <c r="S338">
        <f t="shared" si="256"/>
        <v>0</v>
      </c>
      <c r="T338">
        <f t="shared" si="257"/>
        <v>0</v>
      </c>
      <c r="U338">
        <f t="shared" si="258"/>
        <v>0</v>
      </c>
      <c r="V338">
        <f t="shared" si="259"/>
        <v>0</v>
      </c>
      <c r="W338">
        <f t="shared" si="260"/>
        <v>0</v>
      </c>
      <c r="X338">
        <f t="shared" si="261"/>
        <v>0</v>
      </c>
      <c r="Y338">
        <f t="shared" si="262"/>
        <v>0</v>
      </c>
      <c r="Z338">
        <f t="shared" si="263"/>
        <v>0</v>
      </c>
      <c r="AA338">
        <f t="shared" si="264"/>
        <v>0</v>
      </c>
      <c r="AB338">
        <f t="shared" si="265"/>
        <v>0</v>
      </c>
      <c r="AC338">
        <f t="shared" si="266"/>
        <v>0</v>
      </c>
      <c r="AD338">
        <f t="shared" si="267"/>
        <v>0</v>
      </c>
      <c r="AE338">
        <f t="shared" si="268"/>
        <v>0</v>
      </c>
      <c r="AF338">
        <f t="shared" si="269"/>
        <v>0</v>
      </c>
      <c r="AG338">
        <f t="shared" si="270"/>
        <v>0</v>
      </c>
      <c r="AH338">
        <f t="shared" si="271"/>
        <v>0</v>
      </c>
      <c r="AI338">
        <f t="shared" si="272"/>
        <v>0</v>
      </c>
      <c r="AJ338">
        <f t="shared" si="273"/>
        <v>0</v>
      </c>
      <c r="AK338">
        <f t="shared" si="274"/>
        <v>0</v>
      </c>
      <c r="AL338">
        <f t="shared" si="275"/>
        <v>0</v>
      </c>
      <c r="AM338">
        <f t="shared" si="276"/>
        <v>0</v>
      </c>
      <c r="AN338">
        <f t="shared" si="277"/>
        <v>0</v>
      </c>
      <c r="AO338">
        <f t="shared" si="278"/>
        <v>0</v>
      </c>
      <c r="AP338">
        <f t="shared" si="279"/>
        <v>0</v>
      </c>
      <c r="AQ338">
        <f t="shared" si="280"/>
        <v>0</v>
      </c>
      <c r="AR338">
        <f t="shared" si="281"/>
        <v>0</v>
      </c>
      <c r="AS338">
        <f t="shared" si="282"/>
        <v>0</v>
      </c>
      <c r="AT338">
        <f t="shared" si="283"/>
        <v>0</v>
      </c>
      <c r="AU338">
        <f t="shared" si="284"/>
        <v>0</v>
      </c>
      <c r="AV338">
        <f t="shared" si="285"/>
        <v>0</v>
      </c>
      <c r="AW338">
        <f t="shared" si="240"/>
        <v>0</v>
      </c>
      <c r="AX338">
        <f t="shared" si="286"/>
        <v>0</v>
      </c>
      <c r="AY338">
        <f t="shared" si="287"/>
        <v>0</v>
      </c>
    </row>
    <row r="339" spans="1:51" x14ac:dyDescent="0.35">
      <c r="A339">
        <v>333</v>
      </c>
      <c r="C339">
        <f>MAX(0,Calc!$C$7-SUM(D339:R339))</f>
        <v>750</v>
      </c>
      <c r="D339">
        <f t="shared" si="241"/>
        <v>0</v>
      </c>
      <c r="E339">
        <f t="shared" si="242"/>
        <v>0</v>
      </c>
      <c r="F339">
        <f t="shared" si="243"/>
        <v>0</v>
      </c>
      <c r="G339">
        <f t="shared" si="244"/>
        <v>0</v>
      </c>
      <c r="H339">
        <f t="shared" si="245"/>
        <v>0</v>
      </c>
      <c r="I339">
        <f t="shared" si="246"/>
        <v>0</v>
      </c>
      <c r="J339">
        <f t="shared" si="247"/>
        <v>0</v>
      </c>
      <c r="K339">
        <f t="shared" si="248"/>
        <v>0</v>
      </c>
      <c r="L339">
        <f t="shared" si="249"/>
        <v>0</v>
      </c>
      <c r="M339">
        <f t="shared" si="250"/>
        <v>0</v>
      </c>
      <c r="N339">
        <f t="shared" si="251"/>
        <v>0</v>
      </c>
      <c r="O339">
        <f t="shared" si="252"/>
        <v>0</v>
      </c>
      <c r="P339">
        <f t="shared" si="253"/>
        <v>0</v>
      </c>
      <c r="Q339">
        <f t="shared" si="254"/>
        <v>0</v>
      </c>
      <c r="R339">
        <f t="shared" si="255"/>
        <v>0</v>
      </c>
      <c r="S339">
        <f t="shared" si="256"/>
        <v>0</v>
      </c>
      <c r="T339">
        <f t="shared" si="257"/>
        <v>0</v>
      </c>
      <c r="U339">
        <f t="shared" si="258"/>
        <v>0</v>
      </c>
      <c r="V339">
        <f t="shared" si="259"/>
        <v>0</v>
      </c>
      <c r="W339">
        <f t="shared" si="260"/>
        <v>0</v>
      </c>
      <c r="X339">
        <f t="shared" si="261"/>
        <v>0</v>
      </c>
      <c r="Y339">
        <f t="shared" si="262"/>
        <v>0</v>
      </c>
      <c r="Z339">
        <f t="shared" si="263"/>
        <v>0</v>
      </c>
      <c r="AA339">
        <f t="shared" si="264"/>
        <v>0</v>
      </c>
      <c r="AB339">
        <f t="shared" si="265"/>
        <v>0</v>
      </c>
      <c r="AC339">
        <f t="shared" si="266"/>
        <v>0</v>
      </c>
      <c r="AD339">
        <f t="shared" si="267"/>
        <v>0</v>
      </c>
      <c r="AE339">
        <f t="shared" si="268"/>
        <v>0</v>
      </c>
      <c r="AF339">
        <f t="shared" si="269"/>
        <v>0</v>
      </c>
      <c r="AG339">
        <f t="shared" si="270"/>
        <v>0</v>
      </c>
      <c r="AH339">
        <f t="shared" si="271"/>
        <v>0</v>
      </c>
      <c r="AI339">
        <f t="shared" si="272"/>
        <v>0</v>
      </c>
      <c r="AJ339">
        <f t="shared" si="273"/>
        <v>0</v>
      </c>
      <c r="AK339">
        <f t="shared" si="274"/>
        <v>0</v>
      </c>
      <c r="AL339">
        <f t="shared" si="275"/>
        <v>0</v>
      </c>
      <c r="AM339">
        <f t="shared" si="276"/>
        <v>0</v>
      </c>
      <c r="AN339">
        <f t="shared" si="277"/>
        <v>0</v>
      </c>
      <c r="AO339">
        <f t="shared" si="278"/>
        <v>0</v>
      </c>
      <c r="AP339">
        <f t="shared" si="279"/>
        <v>0</v>
      </c>
      <c r="AQ339">
        <f t="shared" si="280"/>
        <v>0</v>
      </c>
      <c r="AR339">
        <f t="shared" si="281"/>
        <v>0</v>
      </c>
      <c r="AS339">
        <f t="shared" si="282"/>
        <v>0</v>
      </c>
      <c r="AT339">
        <f t="shared" si="283"/>
        <v>0</v>
      </c>
      <c r="AU339">
        <f t="shared" si="284"/>
        <v>0</v>
      </c>
      <c r="AV339">
        <f t="shared" si="285"/>
        <v>0</v>
      </c>
      <c r="AW339">
        <f t="shared" si="240"/>
        <v>0</v>
      </c>
      <c r="AX339">
        <f t="shared" si="286"/>
        <v>0</v>
      </c>
      <c r="AY339">
        <f t="shared" si="287"/>
        <v>0</v>
      </c>
    </row>
    <row r="340" spans="1:51" x14ac:dyDescent="0.35">
      <c r="A340">
        <v>334</v>
      </c>
      <c r="C340">
        <f>MAX(0,Calc!$C$7-SUM(D340:R340))</f>
        <v>750</v>
      </c>
      <c r="D340">
        <f t="shared" si="241"/>
        <v>0</v>
      </c>
      <c r="E340">
        <f t="shared" si="242"/>
        <v>0</v>
      </c>
      <c r="F340">
        <f t="shared" si="243"/>
        <v>0</v>
      </c>
      <c r="G340">
        <f t="shared" si="244"/>
        <v>0</v>
      </c>
      <c r="H340">
        <f t="shared" si="245"/>
        <v>0</v>
      </c>
      <c r="I340">
        <f t="shared" si="246"/>
        <v>0</v>
      </c>
      <c r="J340">
        <f t="shared" si="247"/>
        <v>0</v>
      </c>
      <c r="K340">
        <f t="shared" si="248"/>
        <v>0</v>
      </c>
      <c r="L340">
        <f t="shared" si="249"/>
        <v>0</v>
      </c>
      <c r="M340">
        <f t="shared" si="250"/>
        <v>0</v>
      </c>
      <c r="N340">
        <f t="shared" si="251"/>
        <v>0</v>
      </c>
      <c r="O340">
        <f t="shared" si="252"/>
        <v>0</v>
      </c>
      <c r="P340">
        <f t="shared" si="253"/>
        <v>0</v>
      </c>
      <c r="Q340">
        <f t="shared" si="254"/>
        <v>0</v>
      </c>
      <c r="R340">
        <f t="shared" si="255"/>
        <v>0</v>
      </c>
      <c r="S340">
        <f t="shared" si="256"/>
        <v>0</v>
      </c>
      <c r="T340">
        <f t="shared" si="257"/>
        <v>0</v>
      </c>
      <c r="U340">
        <f t="shared" si="258"/>
        <v>0</v>
      </c>
      <c r="V340">
        <f t="shared" si="259"/>
        <v>0</v>
      </c>
      <c r="W340">
        <f t="shared" si="260"/>
        <v>0</v>
      </c>
      <c r="X340">
        <f t="shared" si="261"/>
        <v>0</v>
      </c>
      <c r="Y340">
        <f t="shared" si="262"/>
        <v>0</v>
      </c>
      <c r="Z340">
        <f t="shared" si="263"/>
        <v>0</v>
      </c>
      <c r="AA340">
        <f t="shared" si="264"/>
        <v>0</v>
      </c>
      <c r="AB340">
        <f t="shared" si="265"/>
        <v>0</v>
      </c>
      <c r="AC340">
        <f t="shared" si="266"/>
        <v>0</v>
      </c>
      <c r="AD340">
        <f t="shared" si="267"/>
        <v>0</v>
      </c>
      <c r="AE340">
        <f t="shared" si="268"/>
        <v>0</v>
      </c>
      <c r="AF340">
        <f t="shared" si="269"/>
        <v>0</v>
      </c>
      <c r="AG340">
        <f t="shared" si="270"/>
        <v>0</v>
      </c>
      <c r="AH340">
        <f t="shared" si="271"/>
        <v>0</v>
      </c>
      <c r="AI340">
        <f t="shared" si="272"/>
        <v>0</v>
      </c>
      <c r="AJ340">
        <f t="shared" si="273"/>
        <v>0</v>
      </c>
      <c r="AK340">
        <f t="shared" si="274"/>
        <v>0</v>
      </c>
      <c r="AL340">
        <f t="shared" si="275"/>
        <v>0</v>
      </c>
      <c r="AM340">
        <f t="shared" si="276"/>
        <v>0</v>
      </c>
      <c r="AN340">
        <f t="shared" si="277"/>
        <v>0</v>
      </c>
      <c r="AO340">
        <f t="shared" si="278"/>
        <v>0</v>
      </c>
      <c r="AP340">
        <f t="shared" si="279"/>
        <v>0</v>
      </c>
      <c r="AQ340">
        <f t="shared" si="280"/>
        <v>0</v>
      </c>
      <c r="AR340">
        <f t="shared" si="281"/>
        <v>0</v>
      </c>
      <c r="AS340">
        <f t="shared" si="282"/>
        <v>0</v>
      </c>
      <c r="AT340">
        <f t="shared" si="283"/>
        <v>0</v>
      </c>
      <c r="AU340">
        <f t="shared" si="284"/>
        <v>0</v>
      </c>
      <c r="AV340">
        <f t="shared" si="285"/>
        <v>0</v>
      </c>
      <c r="AW340">
        <f t="shared" si="240"/>
        <v>0</v>
      </c>
      <c r="AX340">
        <f t="shared" si="286"/>
        <v>0</v>
      </c>
      <c r="AY340">
        <f t="shared" si="287"/>
        <v>0</v>
      </c>
    </row>
    <row r="341" spans="1:51" x14ac:dyDescent="0.35">
      <c r="A341">
        <v>335</v>
      </c>
      <c r="C341">
        <f>MAX(0,Calc!$C$7-SUM(D341:R341))</f>
        <v>750</v>
      </c>
      <c r="D341">
        <f t="shared" si="241"/>
        <v>0</v>
      </c>
      <c r="E341">
        <f t="shared" si="242"/>
        <v>0</v>
      </c>
      <c r="F341">
        <f t="shared" si="243"/>
        <v>0</v>
      </c>
      <c r="G341">
        <f t="shared" si="244"/>
        <v>0</v>
      </c>
      <c r="H341">
        <f t="shared" si="245"/>
        <v>0</v>
      </c>
      <c r="I341">
        <f t="shared" si="246"/>
        <v>0</v>
      </c>
      <c r="J341">
        <f t="shared" si="247"/>
        <v>0</v>
      </c>
      <c r="K341">
        <f t="shared" si="248"/>
        <v>0</v>
      </c>
      <c r="L341">
        <f t="shared" si="249"/>
        <v>0</v>
      </c>
      <c r="M341">
        <f t="shared" si="250"/>
        <v>0</v>
      </c>
      <c r="N341">
        <f t="shared" si="251"/>
        <v>0</v>
      </c>
      <c r="O341">
        <f t="shared" si="252"/>
        <v>0</v>
      </c>
      <c r="P341">
        <f t="shared" si="253"/>
        <v>0</v>
      </c>
      <c r="Q341">
        <f t="shared" si="254"/>
        <v>0</v>
      </c>
      <c r="R341">
        <f t="shared" si="255"/>
        <v>0</v>
      </c>
      <c r="S341">
        <f t="shared" si="256"/>
        <v>0</v>
      </c>
      <c r="T341">
        <f t="shared" si="257"/>
        <v>0</v>
      </c>
      <c r="U341">
        <f t="shared" si="258"/>
        <v>0</v>
      </c>
      <c r="V341">
        <f t="shared" si="259"/>
        <v>0</v>
      </c>
      <c r="W341">
        <f t="shared" si="260"/>
        <v>0</v>
      </c>
      <c r="X341">
        <f t="shared" si="261"/>
        <v>0</v>
      </c>
      <c r="Y341">
        <f t="shared" si="262"/>
        <v>0</v>
      </c>
      <c r="Z341">
        <f t="shared" si="263"/>
        <v>0</v>
      </c>
      <c r="AA341">
        <f t="shared" si="264"/>
        <v>0</v>
      </c>
      <c r="AB341">
        <f t="shared" si="265"/>
        <v>0</v>
      </c>
      <c r="AC341">
        <f t="shared" si="266"/>
        <v>0</v>
      </c>
      <c r="AD341">
        <f t="shared" si="267"/>
        <v>0</v>
      </c>
      <c r="AE341">
        <f t="shared" si="268"/>
        <v>0</v>
      </c>
      <c r="AF341">
        <f t="shared" si="269"/>
        <v>0</v>
      </c>
      <c r="AG341">
        <f t="shared" si="270"/>
        <v>0</v>
      </c>
      <c r="AH341">
        <f t="shared" si="271"/>
        <v>0</v>
      </c>
      <c r="AI341">
        <f t="shared" si="272"/>
        <v>0</v>
      </c>
      <c r="AJ341">
        <f t="shared" si="273"/>
        <v>0</v>
      </c>
      <c r="AK341">
        <f t="shared" si="274"/>
        <v>0</v>
      </c>
      <c r="AL341">
        <f t="shared" si="275"/>
        <v>0</v>
      </c>
      <c r="AM341">
        <f t="shared" si="276"/>
        <v>0</v>
      </c>
      <c r="AN341">
        <f t="shared" si="277"/>
        <v>0</v>
      </c>
      <c r="AO341">
        <f t="shared" si="278"/>
        <v>0</v>
      </c>
      <c r="AP341">
        <f t="shared" si="279"/>
        <v>0</v>
      </c>
      <c r="AQ341">
        <f t="shared" si="280"/>
        <v>0</v>
      </c>
      <c r="AR341">
        <f t="shared" si="281"/>
        <v>0</v>
      </c>
      <c r="AS341">
        <f t="shared" si="282"/>
        <v>0</v>
      </c>
      <c r="AT341">
        <f t="shared" si="283"/>
        <v>0</v>
      </c>
      <c r="AU341">
        <f t="shared" si="284"/>
        <v>0</v>
      </c>
      <c r="AV341">
        <f t="shared" si="285"/>
        <v>0</v>
      </c>
      <c r="AW341">
        <f t="shared" si="240"/>
        <v>0</v>
      </c>
      <c r="AX341">
        <f t="shared" si="286"/>
        <v>0</v>
      </c>
      <c r="AY341">
        <f t="shared" si="287"/>
        <v>0</v>
      </c>
    </row>
    <row r="342" spans="1:51" x14ac:dyDescent="0.35">
      <c r="A342">
        <v>336</v>
      </c>
      <c r="C342">
        <f>MAX(0,Calc!$C$7-SUM(D342:R342))</f>
        <v>750</v>
      </c>
      <c r="D342">
        <f t="shared" si="241"/>
        <v>0</v>
      </c>
      <c r="E342">
        <f t="shared" si="242"/>
        <v>0</v>
      </c>
      <c r="F342">
        <f t="shared" si="243"/>
        <v>0</v>
      </c>
      <c r="G342">
        <f t="shared" si="244"/>
        <v>0</v>
      </c>
      <c r="H342">
        <f t="shared" si="245"/>
        <v>0</v>
      </c>
      <c r="I342">
        <f t="shared" si="246"/>
        <v>0</v>
      </c>
      <c r="J342">
        <f t="shared" si="247"/>
        <v>0</v>
      </c>
      <c r="K342">
        <f t="shared" si="248"/>
        <v>0</v>
      </c>
      <c r="L342">
        <f t="shared" si="249"/>
        <v>0</v>
      </c>
      <c r="M342">
        <f t="shared" si="250"/>
        <v>0</v>
      </c>
      <c r="N342">
        <f t="shared" si="251"/>
        <v>0</v>
      </c>
      <c r="O342">
        <f t="shared" si="252"/>
        <v>0</v>
      </c>
      <c r="P342">
        <f t="shared" si="253"/>
        <v>0</v>
      </c>
      <c r="Q342">
        <f t="shared" si="254"/>
        <v>0</v>
      </c>
      <c r="R342">
        <f t="shared" si="255"/>
        <v>0</v>
      </c>
      <c r="S342">
        <f t="shared" si="256"/>
        <v>0</v>
      </c>
      <c r="T342">
        <f t="shared" si="257"/>
        <v>0</v>
      </c>
      <c r="U342">
        <f t="shared" si="258"/>
        <v>0</v>
      </c>
      <c r="V342">
        <f t="shared" si="259"/>
        <v>0</v>
      </c>
      <c r="W342">
        <f t="shared" si="260"/>
        <v>0</v>
      </c>
      <c r="X342">
        <f t="shared" si="261"/>
        <v>0</v>
      </c>
      <c r="Y342">
        <f t="shared" si="262"/>
        <v>0</v>
      </c>
      <c r="Z342">
        <f t="shared" si="263"/>
        <v>0</v>
      </c>
      <c r="AA342">
        <f t="shared" si="264"/>
        <v>0</v>
      </c>
      <c r="AB342">
        <f t="shared" si="265"/>
        <v>0</v>
      </c>
      <c r="AC342">
        <f t="shared" si="266"/>
        <v>0</v>
      </c>
      <c r="AD342">
        <f t="shared" si="267"/>
        <v>0</v>
      </c>
      <c r="AE342">
        <f t="shared" si="268"/>
        <v>0</v>
      </c>
      <c r="AF342">
        <f t="shared" si="269"/>
        <v>0</v>
      </c>
      <c r="AG342">
        <f t="shared" si="270"/>
        <v>0</v>
      </c>
      <c r="AH342">
        <f t="shared" si="271"/>
        <v>0</v>
      </c>
      <c r="AI342">
        <f t="shared" si="272"/>
        <v>0</v>
      </c>
      <c r="AJ342">
        <f t="shared" si="273"/>
        <v>0</v>
      </c>
      <c r="AK342">
        <f t="shared" si="274"/>
        <v>0</v>
      </c>
      <c r="AL342">
        <f t="shared" si="275"/>
        <v>0</v>
      </c>
      <c r="AM342">
        <f t="shared" si="276"/>
        <v>0</v>
      </c>
      <c r="AN342">
        <f t="shared" si="277"/>
        <v>0</v>
      </c>
      <c r="AO342">
        <f t="shared" si="278"/>
        <v>0</v>
      </c>
      <c r="AP342">
        <f t="shared" si="279"/>
        <v>0</v>
      </c>
      <c r="AQ342">
        <f t="shared" si="280"/>
        <v>0</v>
      </c>
      <c r="AR342">
        <f t="shared" si="281"/>
        <v>0</v>
      </c>
      <c r="AS342">
        <f t="shared" si="282"/>
        <v>0</v>
      </c>
      <c r="AT342">
        <f t="shared" si="283"/>
        <v>0</v>
      </c>
      <c r="AU342">
        <f t="shared" si="284"/>
        <v>0</v>
      </c>
      <c r="AV342">
        <f t="shared" si="285"/>
        <v>0</v>
      </c>
      <c r="AW342">
        <f t="shared" si="240"/>
        <v>0</v>
      </c>
      <c r="AX342">
        <f t="shared" si="286"/>
        <v>0</v>
      </c>
      <c r="AY342">
        <f t="shared" si="287"/>
        <v>0</v>
      </c>
    </row>
    <row r="343" spans="1:51" x14ac:dyDescent="0.35">
      <c r="A343">
        <v>337</v>
      </c>
      <c r="C343">
        <f>MAX(0,Calc!$C$7-SUM(D343:R343))</f>
        <v>750</v>
      </c>
      <c r="D343">
        <f t="shared" si="241"/>
        <v>0</v>
      </c>
      <c r="E343">
        <f t="shared" si="242"/>
        <v>0</v>
      </c>
      <c r="F343">
        <f t="shared" si="243"/>
        <v>0</v>
      </c>
      <c r="G343">
        <f t="shared" si="244"/>
        <v>0</v>
      </c>
      <c r="H343">
        <f t="shared" si="245"/>
        <v>0</v>
      </c>
      <c r="I343">
        <f t="shared" si="246"/>
        <v>0</v>
      </c>
      <c r="J343">
        <f t="shared" si="247"/>
        <v>0</v>
      </c>
      <c r="K343">
        <f t="shared" si="248"/>
        <v>0</v>
      </c>
      <c r="L343">
        <f t="shared" si="249"/>
        <v>0</v>
      </c>
      <c r="M343">
        <f t="shared" si="250"/>
        <v>0</v>
      </c>
      <c r="N343">
        <f t="shared" si="251"/>
        <v>0</v>
      </c>
      <c r="O343">
        <f t="shared" si="252"/>
        <v>0</v>
      </c>
      <c r="P343">
        <f t="shared" si="253"/>
        <v>0</v>
      </c>
      <c r="Q343">
        <f t="shared" si="254"/>
        <v>0</v>
      </c>
      <c r="R343">
        <f t="shared" si="255"/>
        <v>0</v>
      </c>
      <c r="S343">
        <f t="shared" si="256"/>
        <v>0</v>
      </c>
      <c r="T343">
        <f t="shared" si="257"/>
        <v>0</v>
      </c>
      <c r="U343">
        <f t="shared" si="258"/>
        <v>0</v>
      </c>
      <c r="V343">
        <f t="shared" si="259"/>
        <v>0</v>
      </c>
      <c r="W343">
        <f t="shared" si="260"/>
        <v>0</v>
      </c>
      <c r="X343">
        <f t="shared" si="261"/>
        <v>0</v>
      </c>
      <c r="Y343">
        <f t="shared" si="262"/>
        <v>0</v>
      </c>
      <c r="Z343">
        <f t="shared" si="263"/>
        <v>0</v>
      </c>
      <c r="AA343">
        <f t="shared" si="264"/>
        <v>0</v>
      </c>
      <c r="AB343">
        <f t="shared" si="265"/>
        <v>0</v>
      </c>
      <c r="AC343">
        <f t="shared" si="266"/>
        <v>0</v>
      </c>
      <c r="AD343">
        <f t="shared" si="267"/>
        <v>0</v>
      </c>
      <c r="AE343">
        <f t="shared" si="268"/>
        <v>0</v>
      </c>
      <c r="AF343">
        <f t="shared" si="269"/>
        <v>0</v>
      </c>
      <c r="AG343">
        <f t="shared" si="270"/>
        <v>0</v>
      </c>
      <c r="AH343">
        <f t="shared" si="271"/>
        <v>0</v>
      </c>
      <c r="AI343">
        <f t="shared" si="272"/>
        <v>0</v>
      </c>
      <c r="AJ343">
        <f t="shared" si="273"/>
        <v>0</v>
      </c>
      <c r="AK343">
        <f t="shared" si="274"/>
        <v>0</v>
      </c>
      <c r="AL343">
        <f t="shared" si="275"/>
        <v>0</v>
      </c>
      <c r="AM343">
        <f t="shared" si="276"/>
        <v>0</v>
      </c>
      <c r="AN343">
        <f t="shared" si="277"/>
        <v>0</v>
      </c>
      <c r="AO343">
        <f t="shared" si="278"/>
        <v>0</v>
      </c>
      <c r="AP343">
        <f t="shared" si="279"/>
        <v>0</v>
      </c>
      <c r="AQ343">
        <f t="shared" si="280"/>
        <v>0</v>
      </c>
      <c r="AR343">
        <f t="shared" si="281"/>
        <v>0</v>
      </c>
      <c r="AS343">
        <f t="shared" si="282"/>
        <v>0</v>
      </c>
      <c r="AT343">
        <f t="shared" si="283"/>
        <v>0</v>
      </c>
      <c r="AU343">
        <f t="shared" si="284"/>
        <v>0</v>
      </c>
      <c r="AV343">
        <f t="shared" si="285"/>
        <v>0</v>
      </c>
      <c r="AW343">
        <f t="shared" si="240"/>
        <v>0</v>
      </c>
      <c r="AX343">
        <f t="shared" si="286"/>
        <v>0</v>
      </c>
      <c r="AY343">
        <f t="shared" si="287"/>
        <v>0</v>
      </c>
    </row>
    <row r="344" spans="1:51" x14ac:dyDescent="0.35">
      <c r="A344">
        <v>338</v>
      </c>
      <c r="C344">
        <f>MAX(0,Calc!$C$7-SUM(D344:R344))</f>
        <v>750</v>
      </c>
      <c r="D344">
        <f t="shared" si="241"/>
        <v>0</v>
      </c>
      <c r="E344">
        <f t="shared" si="242"/>
        <v>0</v>
      </c>
      <c r="F344">
        <f t="shared" si="243"/>
        <v>0</v>
      </c>
      <c r="G344">
        <f t="shared" si="244"/>
        <v>0</v>
      </c>
      <c r="H344">
        <f t="shared" si="245"/>
        <v>0</v>
      </c>
      <c r="I344">
        <f t="shared" si="246"/>
        <v>0</v>
      </c>
      <c r="J344">
        <f t="shared" si="247"/>
        <v>0</v>
      </c>
      <c r="K344">
        <f t="shared" si="248"/>
        <v>0</v>
      </c>
      <c r="L344">
        <f t="shared" si="249"/>
        <v>0</v>
      </c>
      <c r="M344">
        <f t="shared" si="250"/>
        <v>0</v>
      </c>
      <c r="N344">
        <f t="shared" si="251"/>
        <v>0</v>
      </c>
      <c r="O344">
        <f t="shared" si="252"/>
        <v>0</v>
      </c>
      <c r="P344">
        <f t="shared" si="253"/>
        <v>0</v>
      </c>
      <c r="Q344">
        <f t="shared" si="254"/>
        <v>0</v>
      </c>
      <c r="R344">
        <f t="shared" si="255"/>
        <v>0</v>
      </c>
      <c r="S344">
        <f t="shared" si="256"/>
        <v>0</v>
      </c>
      <c r="T344">
        <f t="shared" si="257"/>
        <v>0</v>
      </c>
      <c r="U344">
        <f t="shared" si="258"/>
        <v>0</v>
      </c>
      <c r="V344">
        <f t="shared" si="259"/>
        <v>0</v>
      </c>
      <c r="W344">
        <f t="shared" si="260"/>
        <v>0</v>
      </c>
      <c r="X344">
        <f t="shared" si="261"/>
        <v>0</v>
      </c>
      <c r="Y344">
        <f t="shared" si="262"/>
        <v>0</v>
      </c>
      <c r="Z344">
        <f t="shared" si="263"/>
        <v>0</v>
      </c>
      <c r="AA344">
        <f t="shared" si="264"/>
        <v>0</v>
      </c>
      <c r="AB344">
        <f t="shared" si="265"/>
        <v>0</v>
      </c>
      <c r="AC344">
        <f t="shared" si="266"/>
        <v>0</v>
      </c>
      <c r="AD344">
        <f t="shared" si="267"/>
        <v>0</v>
      </c>
      <c r="AE344">
        <f t="shared" si="268"/>
        <v>0</v>
      </c>
      <c r="AF344">
        <f t="shared" si="269"/>
        <v>0</v>
      </c>
      <c r="AG344">
        <f t="shared" si="270"/>
        <v>0</v>
      </c>
      <c r="AH344">
        <f t="shared" si="271"/>
        <v>0</v>
      </c>
      <c r="AI344">
        <f t="shared" si="272"/>
        <v>0</v>
      </c>
      <c r="AJ344">
        <f t="shared" si="273"/>
        <v>0</v>
      </c>
      <c r="AK344">
        <f t="shared" si="274"/>
        <v>0</v>
      </c>
      <c r="AL344">
        <f t="shared" si="275"/>
        <v>0</v>
      </c>
      <c r="AM344">
        <f t="shared" si="276"/>
        <v>0</v>
      </c>
      <c r="AN344">
        <f t="shared" si="277"/>
        <v>0</v>
      </c>
      <c r="AO344">
        <f t="shared" si="278"/>
        <v>0</v>
      </c>
      <c r="AP344">
        <f t="shared" si="279"/>
        <v>0</v>
      </c>
      <c r="AQ344">
        <f t="shared" si="280"/>
        <v>0</v>
      </c>
      <c r="AR344">
        <f t="shared" si="281"/>
        <v>0</v>
      </c>
      <c r="AS344">
        <f t="shared" si="282"/>
        <v>0</v>
      </c>
      <c r="AT344">
        <f t="shared" si="283"/>
        <v>0</v>
      </c>
      <c r="AU344">
        <f t="shared" si="284"/>
        <v>0</v>
      </c>
      <c r="AV344">
        <f t="shared" si="285"/>
        <v>0</v>
      </c>
      <c r="AW344">
        <f t="shared" si="240"/>
        <v>0</v>
      </c>
      <c r="AX344">
        <f t="shared" si="286"/>
        <v>0</v>
      </c>
      <c r="AY344">
        <f t="shared" si="287"/>
        <v>0</v>
      </c>
    </row>
    <row r="345" spans="1:51" x14ac:dyDescent="0.35">
      <c r="A345">
        <v>339</v>
      </c>
      <c r="C345">
        <f>MAX(0,Calc!$C$7-SUM(D345:R345))</f>
        <v>750</v>
      </c>
      <c r="D345">
        <f t="shared" si="241"/>
        <v>0</v>
      </c>
      <c r="E345">
        <f t="shared" si="242"/>
        <v>0</v>
      </c>
      <c r="F345">
        <f t="shared" si="243"/>
        <v>0</v>
      </c>
      <c r="G345">
        <f t="shared" si="244"/>
        <v>0</v>
      </c>
      <c r="H345">
        <f t="shared" si="245"/>
        <v>0</v>
      </c>
      <c r="I345">
        <f t="shared" si="246"/>
        <v>0</v>
      </c>
      <c r="J345">
        <f t="shared" si="247"/>
        <v>0</v>
      </c>
      <c r="K345">
        <f t="shared" si="248"/>
        <v>0</v>
      </c>
      <c r="L345">
        <f t="shared" si="249"/>
        <v>0</v>
      </c>
      <c r="M345">
        <f t="shared" si="250"/>
        <v>0</v>
      </c>
      <c r="N345">
        <f t="shared" si="251"/>
        <v>0</v>
      </c>
      <c r="O345">
        <f t="shared" si="252"/>
        <v>0</v>
      </c>
      <c r="P345">
        <f t="shared" si="253"/>
        <v>0</v>
      </c>
      <c r="Q345">
        <f t="shared" si="254"/>
        <v>0</v>
      </c>
      <c r="R345">
        <f t="shared" si="255"/>
        <v>0</v>
      </c>
      <c r="S345">
        <f t="shared" si="256"/>
        <v>0</v>
      </c>
      <c r="T345">
        <f t="shared" si="257"/>
        <v>0</v>
      </c>
      <c r="U345">
        <f t="shared" si="258"/>
        <v>0</v>
      </c>
      <c r="V345">
        <f t="shared" si="259"/>
        <v>0</v>
      </c>
      <c r="W345">
        <f t="shared" si="260"/>
        <v>0</v>
      </c>
      <c r="X345">
        <f t="shared" si="261"/>
        <v>0</v>
      </c>
      <c r="Y345">
        <f t="shared" si="262"/>
        <v>0</v>
      </c>
      <c r="Z345">
        <f t="shared" si="263"/>
        <v>0</v>
      </c>
      <c r="AA345">
        <f t="shared" si="264"/>
        <v>0</v>
      </c>
      <c r="AB345">
        <f t="shared" si="265"/>
        <v>0</v>
      </c>
      <c r="AC345">
        <f t="shared" si="266"/>
        <v>0</v>
      </c>
      <c r="AD345">
        <f t="shared" si="267"/>
        <v>0</v>
      </c>
      <c r="AE345">
        <f t="shared" si="268"/>
        <v>0</v>
      </c>
      <c r="AF345">
        <f t="shared" si="269"/>
        <v>0</v>
      </c>
      <c r="AG345">
        <f t="shared" si="270"/>
        <v>0</v>
      </c>
      <c r="AH345">
        <f t="shared" si="271"/>
        <v>0</v>
      </c>
      <c r="AI345">
        <f t="shared" si="272"/>
        <v>0</v>
      </c>
      <c r="AJ345">
        <f t="shared" si="273"/>
        <v>0</v>
      </c>
      <c r="AK345">
        <f t="shared" si="274"/>
        <v>0</v>
      </c>
      <c r="AL345">
        <f t="shared" si="275"/>
        <v>0</v>
      </c>
      <c r="AM345">
        <f t="shared" si="276"/>
        <v>0</v>
      </c>
      <c r="AN345">
        <f t="shared" si="277"/>
        <v>0</v>
      </c>
      <c r="AO345">
        <f t="shared" si="278"/>
        <v>0</v>
      </c>
      <c r="AP345">
        <f t="shared" si="279"/>
        <v>0</v>
      </c>
      <c r="AQ345">
        <f t="shared" si="280"/>
        <v>0</v>
      </c>
      <c r="AR345">
        <f t="shared" si="281"/>
        <v>0</v>
      </c>
      <c r="AS345">
        <f t="shared" si="282"/>
        <v>0</v>
      </c>
      <c r="AT345">
        <f t="shared" si="283"/>
        <v>0</v>
      </c>
      <c r="AU345">
        <f t="shared" si="284"/>
        <v>0</v>
      </c>
      <c r="AV345">
        <f t="shared" si="285"/>
        <v>0</v>
      </c>
      <c r="AW345">
        <f t="shared" si="240"/>
        <v>0</v>
      </c>
      <c r="AX345">
        <f t="shared" si="286"/>
        <v>0</v>
      </c>
      <c r="AY345">
        <f t="shared" si="287"/>
        <v>0</v>
      </c>
    </row>
    <row r="346" spans="1:51" x14ac:dyDescent="0.35">
      <c r="A346">
        <v>340</v>
      </c>
      <c r="C346">
        <f>MAX(0,Calc!$C$7-SUM(D346:R346))</f>
        <v>750</v>
      </c>
      <c r="D346">
        <f t="shared" si="241"/>
        <v>0</v>
      </c>
      <c r="E346">
        <f t="shared" si="242"/>
        <v>0</v>
      </c>
      <c r="F346">
        <f t="shared" si="243"/>
        <v>0</v>
      </c>
      <c r="G346">
        <f t="shared" si="244"/>
        <v>0</v>
      </c>
      <c r="H346">
        <f t="shared" si="245"/>
        <v>0</v>
      </c>
      <c r="I346">
        <f t="shared" si="246"/>
        <v>0</v>
      </c>
      <c r="J346">
        <f t="shared" si="247"/>
        <v>0</v>
      </c>
      <c r="K346">
        <f t="shared" si="248"/>
        <v>0</v>
      </c>
      <c r="L346">
        <f t="shared" si="249"/>
        <v>0</v>
      </c>
      <c r="M346">
        <f t="shared" si="250"/>
        <v>0</v>
      </c>
      <c r="N346">
        <f t="shared" si="251"/>
        <v>0</v>
      </c>
      <c r="O346">
        <f t="shared" si="252"/>
        <v>0</v>
      </c>
      <c r="P346">
        <f t="shared" si="253"/>
        <v>0</v>
      </c>
      <c r="Q346">
        <f t="shared" si="254"/>
        <v>0</v>
      </c>
      <c r="R346">
        <f t="shared" si="255"/>
        <v>0</v>
      </c>
      <c r="S346">
        <f t="shared" si="256"/>
        <v>0</v>
      </c>
      <c r="T346">
        <f t="shared" si="257"/>
        <v>0</v>
      </c>
      <c r="U346">
        <f t="shared" si="258"/>
        <v>0</v>
      </c>
      <c r="V346">
        <f t="shared" si="259"/>
        <v>0</v>
      </c>
      <c r="W346">
        <f t="shared" si="260"/>
        <v>0</v>
      </c>
      <c r="X346">
        <f t="shared" si="261"/>
        <v>0</v>
      </c>
      <c r="Y346">
        <f t="shared" si="262"/>
        <v>0</v>
      </c>
      <c r="Z346">
        <f t="shared" si="263"/>
        <v>0</v>
      </c>
      <c r="AA346">
        <f t="shared" si="264"/>
        <v>0</v>
      </c>
      <c r="AB346">
        <f t="shared" si="265"/>
        <v>0</v>
      </c>
      <c r="AC346">
        <f t="shared" si="266"/>
        <v>0</v>
      </c>
      <c r="AD346">
        <f t="shared" si="267"/>
        <v>0</v>
      </c>
      <c r="AE346">
        <f t="shared" si="268"/>
        <v>0</v>
      </c>
      <c r="AF346">
        <f t="shared" si="269"/>
        <v>0</v>
      </c>
      <c r="AG346">
        <f t="shared" si="270"/>
        <v>0</v>
      </c>
      <c r="AH346">
        <f t="shared" si="271"/>
        <v>0</v>
      </c>
      <c r="AI346">
        <f t="shared" si="272"/>
        <v>0</v>
      </c>
      <c r="AJ346">
        <f t="shared" si="273"/>
        <v>0</v>
      </c>
      <c r="AK346">
        <f t="shared" si="274"/>
        <v>0</v>
      </c>
      <c r="AL346">
        <f t="shared" si="275"/>
        <v>0</v>
      </c>
      <c r="AM346">
        <f t="shared" si="276"/>
        <v>0</v>
      </c>
      <c r="AN346">
        <f t="shared" si="277"/>
        <v>0</v>
      </c>
      <c r="AO346">
        <f t="shared" si="278"/>
        <v>0</v>
      </c>
      <c r="AP346">
        <f t="shared" si="279"/>
        <v>0</v>
      </c>
      <c r="AQ346">
        <f t="shared" si="280"/>
        <v>0</v>
      </c>
      <c r="AR346">
        <f t="shared" si="281"/>
        <v>0</v>
      </c>
      <c r="AS346">
        <f t="shared" si="282"/>
        <v>0</v>
      </c>
      <c r="AT346">
        <f t="shared" si="283"/>
        <v>0</v>
      </c>
      <c r="AU346">
        <f t="shared" si="284"/>
        <v>0</v>
      </c>
      <c r="AV346">
        <f t="shared" si="285"/>
        <v>0</v>
      </c>
      <c r="AW346">
        <f t="shared" si="240"/>
        <v>0</v>
      </c>
      <c r="AX346">
        <f t="shared" si="286"/>
        <v>0</v>
      </c>
      <c r="AY346">
        <f t="shared" si="287"/>
        <v>0</v>
      </c>
    </row>
    <row r="347" spans="1:51" x14ac:dyDescent="0.35">
      <c r="A347">
        <v>341</v>
      </c>
      <c r="C347">
        <f>MAX(0,Calc!$C$7-SUM(D347:R347))</f>
        <v>750</v>
      </c>
      <c r="D347">
        <f t="shared" si="241"/>
        <v>0</v>
      </c>
      <c r="E347">
        <f t="shared" si="242"/>
        <v>0</v>
      </c>
      <c r="F347">
        <f t="shared" si="243"/>
        <v>0</v>
      </c>
      <c r="G347">
        <f t="shared" si="244"/>
        <v>0</v>
      </c>
      <c r="H347">
        <f t="shared" si="245"/>
        <v>0</v>
      </c>
      <c r="I347">
        <f t="shared" si="246"/>
        <v>0</v>
      </c>
      <c r="J347">
        <f t="shared" si="247"/>
        <v>0</v>
      </c>
      <c r="K347">
        <f t="shared" si="248"/>
        <v>0</v>
      </c>
      <c r="L347">
        <f t="shared" si="249"/>
        <v>0</v>
      </c>
      <c r="M347">
        <f t="shared" si="250"/>
        <v>0</v>
      </c>
      <c r="N347">
        <f t="shared" si="251"/>
        <v>0</v>
      </c>
      <c r="O347">
        <f t="shared" si="252"/>
        <v>0</v>
      </c>
      <c r="P347">
        <f t="shared" si="253"/>
        <v>0</v>
      </c>
      <c r="Q347">
        <f t="shared" si="254"/>
        <v>0</v>
      </c>
      <c r="R347">
        <f t="shared" si="255"/>
        <v>0</v>
      </c>
      <c r="S347">
        <f t="shared" si="256"/>
        <v>0</v>
      </c>
      <c r="T347">
        <f t="shared" si="257"/>
        <v>0</v>
      </c>
      <c r="U347">
        <f t="shared" si="258"/>
        <v>0</v>
      </c>
      <c r="V347">
        <f t="shared" si="259"/>
        <v>0</v>
      </c>
      <c r="W347">
        <f t="shared" si="260"/>
        <v>0</v>
      </c>
      <c r="X347">
        <f t="shared" si="261"/>
        <v>0</v>
      </c>
      <c r="Y347">
        <f t="shared" si="262"/>
        <v>0</v>
      </c>
      <c r="Z347">
        <f t="shared" si="263"/>
        <v>0</v>
      </c>
      <c r="AA347">
        <f t="shared" si="264"/>
        <v>0</v>
      </c>
      <c r="AB347">
        <f t="shared" si="265"/>
        <v>0</v>
      </c>
      <c r="AC347">
        <f t="shared" si="266"/>
        <v>0</v>
      </c>
      <c r="AD347">
        <f t="shared" si="267"/>
        <v>0</v>
      </c>
      <c r="AE347">
        <f t="shared" si="268"/>
        <v>0</v>
      </c>
      <c r="AF347">
        <f t="shared" si="269"/>
        <v>0</v>
      </c>
      <c r="AG347">
        <f t="shared" si="270"/>
        <v>0</v>
      </c>
      <c r="AH347">
        <f t="shared" si="271"/>
        <v>0</v>
      </c>
      <c r="AI347">
        <f t="shared" si="272"/>
        <v>0</v>
      </c>
      <c r="AJ347">
        <f t="shared" si="273"/>
        <v>0</v>
      </c>
      <c r="AK347">
        <f t="shared" si="274"/>
        <v>0</v>
      </c>
      <c r="AL347">
        <f t="shared" si="275"/>
        <v>0</v>
      </c>
      <c r="AM347">
        <f t="shared" si="276"/>
        <v>0</v>
      </c>
      <c r="AN347">
        <f t="shared" si="277"/>
        <v>0</v>
      </c>
      <c r="AO347">
        <f t="shared" si="278"/>
        <v>0</v>
      </c>
      <c r="AP347">
        <f t="shared" si="279"/>
        <v>0</v>
      </c>
      <c r="AQ347">
        <f t="shared" si="280"/>
        <v>0</v>
      </c>
      <c r="AR347">
        <f t="shared" si="281"/>
        <v>0</v>
      </c>
      <c r="AS347">
        <f t="shared" si="282"/>
        <v>0</v>
      </c>
      <c r="AT347">
        <f t="shared" si="283"/>
        <v>0</v>
      </c>
      <c r="AU347">
        <f t="shared" si="284"/>
        <v>0</v>
      </c>
      <c r="AV347">
        <f t="shared" si="285"/>
        <v>0</v>
      </c>
      <c r="AW347">
        <f t="shared" si="240"/>
        <v>0</v>
      </c>
      <c r="AX347">
        <f t="shared" si="286"/>
        <v>0</v>
      </c>
      <c r="AY347">
        <f t="shared" si="287"/>
        <v>0</v>
      </c>
    </row>
    <row r="348" spans="1:51" x14ac:dyDescent="0.35">
      <c r="A348">
        <v>342</v>
      </c>
      <c r="C348">
        <f>MAX(0,Calc!$C$7-SUM(D348:R348))</f>
        <v>750</v>
      </c>
      <c r="D348">
        <f t="shared" si="241"/>
        <v>0</v>
      </c>
      <c r="E348">
        <f t="shared" si="242"/>
        <v>0</v>
      </c>
      <c r="F348">
        <f t="shared" si="243"/>
        <v>0</v>
      </c>
      <c r="G348">
        <f t="shared" si="244"/>
        <v>0</v>
      </c>
      <c r="H348">
        <f t="shared" si="245"/>
        <v>0</v>
      </c>
      <c r="I348">
        <f t="shared" si="246"/>
        <v>0</v>
      </c>
      <c r="J348">
        <f t="shared" si="247"/>
        <v>0</v>
      </c>
      <c r="K348">
        <f t="shared" si="248"/>
        <v>0</v>
      </c>
      <c r="L348">
        <f t="shared" si="249"/>
        <v>0</v>
      </c>
      <c r="M348">
        <f t="shared" si="250"/>
        <v>0</v>
      </c>
      <c r="N348">
        <f t="shared" si="251"/>
        <v>0</v>
      </c>
      <c r="O348">
        <f t="shared" si="252"/>
        <v>0</v>
      </c>
      <c r="P348">
        <f t="shared" si="253"/>
        <v>0</v>
      </c>
      <c r="Q348">
        <f t="shared" si="254"/>
        <v>0</v>
      </c>
      <c r="R348">
        <f t="shared" si="255"/>
        <v>0</v>
      </c>
      <c r="S348">
        <f t="shared" si="256"/>
        <v>0</v>
      </c>
      <c r="T348">
        <f t="shared" si="257"/>
        <v>0</v>
      </c>
      <c r="U348">
        <f t="shared" si="258"/>
        <v>0</v>
      </c>
      <c r="V348">
        <f t="shared" si="259"/>
        <v>0</v>
      </c>
      <c r="W348">
        <f t="shared" si="260"/>
        <v>0</v>
      </c>
      <c r="X348">
        <f t="shared" si="261"/>
        <v>0</v>
      </c>
      <c r="Y348">
        <f t="shared" si="262"/>
        <v>0</v>
      </c>
      <c r="Z348">
        <f t="shared" si="263"/>
        <v>0</v>
      </c>
      <c r="AA348">
        <f t="shared" si="264"/>
        <v>0</v>
      </c>
      <c r="AB348">
        <f t="shared" si="265"/>
        <v>0</v>
      </c>
      <c r="AC348">
        <f t="shared" si="266"/>
        <v>0</v>
      </c>
      <c r="AD348">
        <f t="shared" si="267"/>
        <v>0</v>
      </c>
      <c r="AE348">
        <f t="shared" si="268"/>
        <v>0</v>
      </c>
      <c r="AF348">
        <f t="shared" si="269"/>
        <v>0</v>
      </c>
      <c r="AG348">
        <f t="shared" si="270"/>
        <v>0</v>
      </c>
      <c r="AH348">
        <f t="shared" si="271"/>
        <v>0</v>
      </c>
      <c r="AI348">
        <f t="shared" si="272"/>
        <v>0</v>
      </c>
      <c r="AJ348">
        <f t="shared" si="273"/>
        <v>0</v>
      </c>
      <c r="AK348">
        <f t="shared" si="274"/>
        <v>0</v>
      </c>
      <c r="AL348">
        <f t="shared" si="275"/>
        <v>0</v>
      </c>
      <c r="AM348">
        <f t="shared" si="276"/>
        <v>0</v>
      </c>
      <c r="AN348">
        <f t="shared" si="277"/>
        <v>0</v>
      </c>
      <c r="AO348">
        <f t="shared" si="278"/>
        <v>0</v>
      </c>
      <c r="AP348">
        <f t="shared" si="279"/>
        <v>0</v>
      </c>
      <c r="AQ348">
        <f t="shared" si="280"/>
        <v>0</v>
      </c>
      <c r="AR348">
        <f t="shared" si="281"/>
        <v>0</v>
      </c>
      <c r="AS348">
        <f t="shared" si="282"/>
        <v>0</v>
      </c>
      <c r="AT348">
        <f t="shared" si="283"/>
        <v>0</v>
      </c>
      <c r="AU348">
        <f t="shared" si="284"/>
        <v>0</v>
      </c>
      <c r="AV348">
        <f t="shared" si="285"/>
        <v>0</v>
      </c>
      <c r="AW348">
        <f t="shared" si="240"/>
        <v>0</v>
      </c>
      <c r="AX348">
        <f t="shared" si="286"/>
        <v>0</v>
      </c>
      <c r="AY348">
        <f t="shared" si="287"/>
        <v>0</v>
      </c>
    </row>
    <row r="349" spans="1:51" x14ac:dyDescent="0.35">
      <c r="A349">
        <v>343</v>
      </c>
      <c r="C349">
        <f>MAX(0,Calc!$C$7-SUM(D349:R349))</f>
        <v>750</v>
      </c>
      <c r="D349">
        <f t="shared" si="241"/>
        <v>0</v>
      </c>
      <c r="E349">
        <f t="shared" si="242"/>
        <v>0</v>
      </c>
      <c r="F349">
        <f t="shared" si="243"/>
        <v>0</v>
      </c>
      <c r="G349">
        <f t="shared" si="244"/>
        <v>0</v>
      </c>
      <c r="H349">
        <f t="shared" si="245"/>
        <v>0</v>
      </c>
      <c r="I349">
        <f t="shared" si="246"/>
        <v>0</v>
      </c>
      <c r="J349">
        <f t="shared" si="247"/>
        <v>0</v>
      </c>
      <c r="K349">
        <f t="shared" si="248"/>
        <v>0</v>
      </c>
      <c r="L349">
        <f t="shared" si="249"/>
        <v>0</v>
      </c>
      <c r="M349">
        <f t="shared" si="250"/>
        <v>0</v>
      </c>
      <c r="N349">
        <f t="shared" si="251"/>
        <v>0</v>
      </c>
      <c r="O349">
        <f t="shared" si="252"/>
        <v>0</v>
      </c>
      <c r="P349">
        <f t="shared" si="253"/>
        <v>0</v>
      </c>
      <c r="Q349">
        <f t="shared" si="254"/>
        <v>0</v>
      </c>
      <c r="R349">
        <f t="shared" si="255"/>
        <v>0</v>
      </c>
      <c r="S349">
        <f t="shared" si="256"/>
        <v>0</v>
      </c>
      <c r="T349">
        <f t="shared" si="257"/>
        <v>0</v>
      </c>
      <c r="U349">
        <f t="shared" si="258"/>
        <v>0</v>
      </c>
      <c r="V349">
        <f t="shared" si="259"/>
        <v>0</v>
      </c>
      <c r="W349">
        <f t="shared" si="260"/>
        <v>0</v>
      </c>
      <c r="X349">
        <f t="shared" si="261"/>
        <v>0</v>
      </c>
      <c r="Y349">
        <f t="shared" si="262"/>
        <v>0</v>
      </c>
      <c r="Z349">
        <f t="shared" si="263"/>
        <v>0</v>
      </c>
      <c r="AA349">
        <f t="shared" si="264"/>
        <v>0</v>
      </c>
      <c r="AB349">
        <f t="shared" si="265"/>
        <v>0</v>
      </c>
      <c r="AC349">
        <f t="shared" si="266"/>
        <v>0</v>
      </c>
      <c r="AD349">
        <f t="shared" si="267"/>
        <v>0</v>
      </c>
      <c r="AE349">
        <f t="shared" si="268"/>
        <v>0</v>
      </c>
      <c r="AF349">
        <f t="shared" si="269"/>
        <v>0</v>
      </c>
      <c r="AG349">
        <f t="shared" si="270"/>
        <v>0</v>
      </c>
      <c r="AH349">
        <f t="shared" si="271"/>
        <v>0</v>
      </c>
      <c r="AI349">
        <f t="shared" si="272"/>
        <v>0</v>
      </c>
      <c r="AJ349">
        <f t="shared" si="273"/>
        <v>0</v>
      </c>
      <c r="AK349">
        <f t="shared" si="274"/>
        <v>0</v>
      </c>
      <c r="AL349">
        <f t="shared" si="275"/>
        <v>0</v>
      </c>
      <c r="AM349">
        <f t="shared" si="276"/>
        <v>0</v>
      </c>
      <c r="AN349">
        <f t="shared" si="277"/>
        <v>0</v>
      </c>
      <c r="AO349">
        <f t="shared" si="278"/>
        <v>0</v>
      </c>
      <c r="AP349">
        <f t="shared" si="279"/>
        <v>0</v>
      </c>
      <c r="AQ349">
        <f t="shared" si="280"/>
        <v>0</v>
      </c>
      <c r="AR349">
        <f t="shared" si="281"/>
        <v>0</v>
      </c>
      <c r="AS349">
        <f t="shared" si="282"/>
        <v>0</v>
      </c>
      <c r="AT349">
        <f t="shared" si="283"/>
        <v>0</v>
      </c>
      <c r="AU349">
        <f t="shared" si="284"/>
        <v>0</v>
      </c>
      <c r="AV349">
        <f t="shared" si="285"/>
        <v>0</v>
      </c>
      <c r="AW349">
        <f t="shared" si="240"/>
        <v>0</v>
      </c>
      <c r="AX349">
        <f t="shared" si="286"/>
        <v>0</v>
      </c>
      <c r="AY349">
        <f t="shared" si="287"/>
        <v>0</v>
      </c>
    </row>
    <row r="350" spans="1:51" x14ac:dyDescent="0.35">
      <c r="A350">
        <v>344</v>
      </c>
      <c r="C350">
        <f>MAX(0,Calc!$C$7-SUM(D350:R350))</f>
        <v>750</v>
      </c>
      <c r="D350">
        <f t="shared" si="241"/>
        <v>0</v>
      </c>
      <c r="E350">
        <f t="shared" si="242"/>
        <v>0</v>
      </c>
      <c r="F350">
        <f t="shared" si="243"/>
        <v>0</v>
      </c>
      <c r="G350">
        <f t="shared" si="244"/>
        <v>0</v>
      </c>
      <c r="H350">
        <f t="shared" si="245"/>
        <v>0</v>
      </c>
      <c r="I350">
        <f t="shared" si="246"/>
        <v>0</v>
      </c>
      <c r="J350">
        <f t="shared" si="247"/>
        <v>0</v>
      </c>
      <c r="K350">
        <f t="shared" si="248"/>
        <v>0</v>
      </c>
      <c r="L350">
        <f t="shared" si="249"/>
        <v>0</v>
      </c>
      <c r="M350">
        <f t="shared" si="250"/>
        <v>0</v>
      </c>
      <c r="N350">
        <f t="shared" si="251"/>
        <v>0</v>
      </c>
      <c r="O350">
        <f t="shared" si="252"/>
        <v>0</v>
      </c>
      <c r="P350">
        <f t="shared" si="253"/>
        <v>0</v>
      </c>
      <c r="Q350">
        <f t="shared" si="254"/>
        <v>0</v>
      </c>
      <c r="R350">
        <f t="shared" si="255"/>
        <v>0</v>
      </c>
      <c r="S350">
        <f t="shared" si="256"/>
        <v>0</v>
      </c>
      <c r="T350">
        <f t="shared" si="257"/>
        <v>0</v>
      </c>
      <c r="U350">
        <f t="shared" si="258"/>
        <v>0</v>
      </c>
      <c r="V350">
        <f t="shared" si="259"/>
        <v>0</v>
      </c>
      <c r="W350">
        <f t="shared" si="260"/>
        <v>0</v>
      </c>
      <c r="X350">
        <f t="shared" si="261"/>
        <v>0</v>
      </c>
      <c r="Y350">
        <f t="shared" si="262"/>
        <v>0</v>
      </c>
      <c r="Z350">
        <f t="shared" si="263"/>
        <v>0</v>
      </c>
      <c r="AA350">
        <f t="shared" si="264"/>
        <v>0</v>
      </c>
      <c r="AB350">
        <f t="shared" si="265"/>
        <v>0</v>
      </c>
      <c r="AC350">
        <f t="shared" si="266"/>
        <v>0</v>
      </c>
      <c r="AD350">
        <f t="shared" si="267"/>
        <v>0</v>
      </c>
      <c r="AE350">
        <f t="shared" si="268"/>
        <v>0</v>
      </c>
      <c r="AF350">
        <f t="shared" si="269"/>
        <v>0</v>
      </c>
      <c r="AG350">
        <f t="shared" si="270"/>
        <v>0</v>
      </c>
      <c r="AH350">
        <f t="shared" si="271"/>
        <v>0</v>
      </c>
      <c r="AI350">
        <f t="shared" si="272"/>
        <v>0</v>
      </c>
      <c r="AJ350">
        <f t="shared" si="273"/>
        <v>0</v>
      </c>
      <c r="AK350">
        <f t="shared" si="274"/>
        <v>0</v>
      </c>
      <c r="AL350">
        <f t="shared" si="275"/>
        <v>0</v>
      </c>
      <c r="AM350">
        <f t="shared" si="276"/>
        <v>0</v>
      </c>
      <c r="AN350">
        <f t="shared" si="277"/>
        <v>0</v>
      </c>
      <c r="AO350">
        <f t="shared" si="278"/>
        <v>0</v>
      </c>
      <c r="AP350">
        <f t="shared" si="279"/>
        <v>0</v>
      </c>
      <c r="AQ350">
        <f t="shared" si="280"/>
        <v>0</v>
      </c>
      <c r="AR350">
        <f t="shared" si="281"/>
        <v>0</v>
      </c>
      <c r="AS350">
        <f t="shared" si="282"/>
        <v>0</v>
      </c>
      <c r="AT350">
        <f t="shared" si="283"/>
        <v>0</v>
      </c>
      <c r="AU350">
        <f t="shared" si="284"/>
        <v>0</v>
      </c>
      <c r="AV350">
        <f t="shared" si="285"/>
        <v>0</v>
      </c>
      <c r="AW350">
        <f t="shared" si="240"/>
        <v>0</v>
      </c>
      <c r="AX350">
        <f t="shared" si="286"/>
        <v>0</v>
      </c>
      <c r="AY350">
        <f t="shared" si="287"/>
        <v>0</v>
      </c>
    </row>
    <row r="351" spans="1:51" x14ac:dyDescent="0.35">
      <c r="A351">
        <v>345</v>
      </c>
      <c r="C351">
        <f>MAX(0,Calc!$C$7-SUM(D351:R351))</f>
        <v>750</v>
      </c>
      <c r="D351">
        <f t="shared" si="241"/>
        <v>0</v>
      </c>
      <c r="E351">
        <f t="shared" si="242"/>
        <v>0</v>
      </c>
      <c r="F351">
        <f t="shared" si="243"/>
        <v>0</v>
      </c>
      <c r="G351">
        <f t="shared" si="244"/>
        <v>0</v>
      </c>
      <c r="H351">
        <f t="shared" si="245"/>
        <v>0</v>
      </c>
      <c r="I351">
        <f t="shared" si="246"/>
        <v>0</v>
      </c>
      <c r="J351">
        <f t="shared" si="247"/>
        <v>0</v>
      </c>
      <c r="K351">
        <f t="shared" si="248"/>
        <v>0</v>
      </c>
      <c r="L351">
        <f t="shared" si="249"/>
        <v>0</v>
      </c>
      <c r="M351">
        <f t="shared" si="250"/>
        <v>0</v>
      </c>
      <c r="N351">
        <f t="shared" si="251"/>
        <v>0</v>
      </c>
      <c r="O351">
        <f t="shared" si="252"/>
        <v>0</v>
      </c>
      <c r="P351">
        <f t="shared" si="253"/>
        <v>0</v>
      </c>
      <c r="Q351">
        <f t="shared" si="254"/>
        <v>0</v>
      </c>
      <c r="R351">
        <f t="shared" si="255"/>
        <v>0</v>
      </c>
      <c r="S351">
        <f t="shared" si="256"/>
        <v>0</v>
      </c>
      <c r="T351">
        <f t="shared" si="257"/>
        <v>0</v>
      </c>
      <c r="U351">
        <f t="shared" si="258"/>
        <v>0</v>
      </c>
      <c r="V351">
        <f t="shared" si="259"/>
        <v>0</v>
      </c>
      <c r="W351">
        <f t="shared" si="260"/>
        <v>0</v>
      </c>
      <c r="X351">
        <f t="shared" si="261"/>
        <v>0</v>
      </c>
      <c r="Y351">
        <f t="shared" si="262"/>
        <v>0</v>
      </c>
      <c r="Z351">
        <f t="shared" si="263"/>
        <v>0</v>
      </c>
      <c r="AA351">
        <f t="shared" si="264"/>
        <v>0</v>
      </c>
      <c r="AB351">
        <f t="shared" si="265"/>
        <v>0</v>
      </c>
      <c r="AC351">
        <f t="shared" si="266"/>
        <v>0</v>
      </c>
      <c r="AD351">
        <f t="shared" si="267"/>
        <v>0</v>
      </c>
      <c r="AE351">
        <f t="shared" si="268"/>
        <v>0</v>
      </c>
      <c r="AF351">
        <f t="shared" si="269"/>
        <v>0</v>
      </c>
      <c r="AG351">
        <f t="shared" si="270"/>
        <v>0</v>
      </c>
      <c r="AH351">
        <f t="shared" si="271"/>
        <v>0</v>
      </c>
      <c r="AI351">
        <f t="shared" si="272"/>
        <v>0</v>
      </c>
      <c r="AJ351">
        <f t="shared" si="273"/>
        <v>0</v>
      </c>
      <c r="AK351">
        <f t="shared" si="274"/>
        <v>0</v>
      </c>
      <c r="AL351">
        <f t="shared" si="275"/>
        <v>0</v>
      </c>
      <c r="AM351">
        <f t="shared" si="276"/>
        <v>0</v>
      </c>
      <c r="AN351">
        <f t="shared" si="277"/>
        <v>0</v>
      </c>
      <c r="AO351">
        <f t="shared" si="278"/>
        <v>0</v>
      </c>
      <c r="AP351">
        <f t="shared" si="279"/>
        <v>0</v>
      </c>
      <c r="AQ351">
        <f t="shared" si="280"/>
        <v>0</v>
      </c>
      <c r="AR351">
        <f t="shared" si="281"/>
        <v>0</v>
      </c>
      <c r="AS351">
        <f t="shared" si="282"/>
        <v>0</v>
      </c>
      <c r="AT351">
        <f t="shared" si="283"/>
        <v>0</v>
      </c>
      <c r="AU351">
        <f t="shared" si="284"/>
        <v>0</v>
      </c>
      <c r="AV351">
        <f t="shared" si="285"/>
        <v>0</v>
      </c>
      <c r="AW351">
        <f t="shared" si="240"/>
        <v>0</v>
      </c>
      <c r="AX351">
        <f t="shared" si="286"/>
        <v>0</v>
      </c>
      <c r="AY351">
        <f t="shared" si="287"/>
        <v>0</v>
      </c>
    </row>
    <row r="352" spans="1:51" x14ac:dyDescent="0.35">
      <c r="A352">
        <v>346</v>
      </c>
      <c r="C352">
        <f>MAX(0,Calc!$C$7-SUM(D352:R352))</f>
        <v>750</v>
      </c>
      <c r="D352">
        <f t="shared" si="241"/>
        <v>0</v>
      </c>
      <c r="E352">
        <f t="shared" si="242"/>
        <v>0</v>
      </c>
      <c r="F352">
        <f t="shared" si="243"/>
        <v>0</v>
      </c>
      <c r="G352">
        <f t="shared" si="244"/>
        <v>0</v>
      </c>
      <c r="H352">
        <f t="shared" si="245"/>
        <v>0</v>
      </c>
      <c r="I352">
        <f t="shared" si="246"/>
        <v>0</v>
      </c>
      <c r="J352">
        <f t="shared" si="247"/>
        <v>0</v>
      </c>
      <c r="K352">
        <f t="shared" si="248"/>
        <v>0</v>
      </c>
      <c r="L352">
        <f t="shared" si="249"/>
        <v>0</v>
      </c>
      <c r="M352">
        <f t="shared" si="250"/>
        <v>0</v>
      </c>
      <c r="N352">
        <f t="shared" si="251"/>
        <v>0</v>
      </c>
      <c r="O352">
        <f t="shared" si="252"/>
        <v>0</v>
      </c>
      <c r="P352">
        <f t="shared" si="253"/>
        <v>0</v>
      </c>
      <c r="Q352">
        <f t="shared" si="254"/>
        <v>0</v>
      </c>
      <c r="R352">
        <f t="shared" si="255"/>
        <v>0</v>
      </c>
      <c r="S352">
        <f t="shared" si="256"/>
        <v>0</v>
      </c>
      <c r="T352">
        <f t="shared" si="257"/>
        <v>0</v>
      </c>
      <c r="U352">
        <f t="shared" si="258"/>
        <v>0</v>
      </c>
      <c r="V352">
        <f t="shared" si="259"/>
        <v>0</v>
      </c>
      <c r="W352">
        <f t="shared" si="260"/>
        <v>0</v>
      </c>
      <c r="X352">
        <f t="shared" si="261"/>
        <v>0</v>
      </c>
      <c r="Y352">
        <f t="shared" si="262"/>
        <v>0</v>
      </c>
      <c r="Z352">
        <f t="shared" si="263"/>
        <v>0</v>
      </c>
      <c r="AA352">
        <f t="shared" si="264"/>
        <v>0</v>
      </c>
      <c r="AB352">
        <f t="shared" si="265"/>
        <v>0</v>
      </c>
      <c r="AC352">
        <f t="shared" si="266"/>
        <v>0</v>
      </c>
      <c r="AD352">
        <f t="shared" si="267"/>
        <v>0</v>
      </c>
      <c r="AE352">
        <f t="shared" si="268"/>
        <v>0</v>
      </c>
      <c r="AF352">
        <f t="shared" si="269"/>
        <v>0</v>
      </c>
      <c r="AG352">
        <f t="shared" si="270"/>
        <v>0</v>
      </c>
      <c r="AH352">
        <f t="shared" si="271"/>
        <v>0</v>
      </c>
      <c r="AI352">
        <f t="shared" si="272"/>
        <v>0</v>
      </c>
      <c r="AJ352">
        <f t="shared" si="273"/>
        <v>0</v>
      </c>
      <c r="AK352">
        <f t="shared" si="274"/>
        <v>0</v>
      </c>
      <c r="AL352">
        <f t="shared" si="275"/>
        <v>0</v>
      </c>
      <c r="AM352">
        <f t="shared" si="276"/>
        <v>0</v>
      </c>
      <c r="AN352">
        <f t="shared" si="277"/>
        <v>0</v>
      </c>
      <c r="AO352">
        <f t="shared" si="278"/>
        <v>0</v>
      </c>
      <c r="AP352">
        <f t="shared" si="279"/>
        <v>0</v>
      </c>
      <c r="AQ352">
        <f t="shared" si="280"/>
        <v>0</v>
      </c>
      <c r="AR352">
        <f t="shared" si="281"/>
        <v>0</v>
      </c>
      <c r="AS352">
        <f t="shared" si="282"/>
        <v>0</v>
      </c>
      <c r="AT352">
        <f t="shared" si="283"/>
        <v>0</v>
      </c>
      <c r="AU352">
        <f t="shared" si="284"/>
        <v>0</v>
      </c>
      <c r="AV352">
        <f t="shared" si="285"/>
        <v>0</v>
      </c>
      <c r="AW352">
        <f t="shared" si="240"/>
        <v>0</v>
      </c>
      <c r="AX352">
        <f t="shared" si="286"/>
        <v>0</v>
      </c>
      <c r="AY352">
        <f t="shared" si="287"/>
        <v>0</v>
      </c>
    </row>
    <row r="353" spans="1:51" x14ac:dyDescent="0.35">
      <c r="A353">
        <v>347</v>
      </c>
      <c r="C353">
        <f>MAX(0,Calc!$C$7-SUM(D353:R353))</f>
        <v>750</v>
      </c>
      <c r="D353">
        <f t="shared" si="241"/>
        <v>0</v>
      </c>
      <c r="E353">
        <f t="shared" si="242"/>
        <v>0</v>
      </c>
      <c r="F353">
        <f t="shared" si="243"/>
        <v>0</v>
      </c>
      <c r="G353">
        <f t="shared" si="244"/>
        <v>0</v>
      </c>
      <c r="H353">
        <f t="shared" si="245"/>
        <v>0</v>
      </c>
      <c r="I353">
        <f t="shared" si="246"/>
        <v>0</v>
      </c>
      <c r="J353">
        <f t="shared" si="247"/>
        <v>0</v>
      </c>
      <c r="K353">
        <f t="shared" si="248"/>
        <v>0</v>
      </c>
      <c r="L353">
        <f t="shared" si="249"/>
        <v>0</v>
      </c>
      <c r="M353">
        <f t="shared" si="250"/>
        <v>0</v>
      </c>
      <c r="N353">
        <f t="shared" si="251"/>
        <v>0</v>
      </c>
      <c r="O353">
        <f t="shared" si="252"/>
        <v>0</v>
      </c>
      <c r="P353">
        <f t="shared" si="253"/>
        <v>0</v>
      </c>
      <c r="Q353">
        <f t="shared" si="254"/>
        <v>0</v>
      </c>
      <c r="R353">
        <f t="shared" si="255"/>
        <v>0</v>
      </c>
      <c r="S353">
        <f t="shared" si="256"/>
        <v>0</v>
      </c>
      <c r="T353">
        <f t="shared" si="257"/>
        <v>0</v>
      </c>
      <c r="U353">
        <f t="shared" si="258"/>
        <v>0</v>
      </c>
      <c r="V353">
        <f t="shared" si="259"/>
        <v>0</v>
      </c>
      <c r="W353">
        <f t="shared" si="260"/>
        <v>0</v>
      </c>
      <c r="X353">
        <f t="shared" si="261"/>
        <v>0</v>
      </c>
      <c r="Y353">
        <f t="shared" si="262"/>
        <v>0</v>
      </c>
      <c r="Z353">
        <f t="shared" si="263"/>
        <v>0</v>
      </c>
      <c r="AA353">
        <f t="shared" si="264"/>
        <v>0</v>
      </c>
      <c r="AB353">
        <f t="shared" si="265"/>
        <v>0</v>
      </c>
      <c r="AC353">
        <f t="shared" si="266"/>
        <v>0</v>
      </c>
      <c r="AD353">
        <f t="shared" si="267"/>
        <v>0</v>
      </c>
      <c r="AE353">
        <f t="shared" si="268"/>
        <v>0</v>
      </c>
      <c r="AF353">
        <f t="shared" si="269"/>
        <v>0</v>
      </c>
      <c r="AG353">
        <f t="shared" si="270"/>
        <v>0</v>
      </c>
      <c r="AH353">
        <f t="shared" si="271"/>
        <v>0</v>
      </c>
      <c r="AI353">
        <f t="shared" si="272"/>
        <v>0</v>
      </c>
      <c r="AJ353">
        <f t="shared" si="273"/>
        <v>0</v>
      </c>
      <c r="AK353">
        <f t="shared" si="274"/>
        <v>0</v>
      </c>
      <c r="AL353">
        <f t="shared" si="275"/>
        <v>0</v>
      </c>
      <c r="AM353">
        <f t="shared" si="276"/>
        <v>0</v>
      </c>
      <c r="AN353">
        <f t="shared" si="277"/>
        <v>0</v>
      </c>
      <c r="AO353">
        <f t="shared" si="278"/>
        <v>0</v>
      </c>
      <c r="AP353">
        <f t="shared" si="279"/>
        <v>0</v>
      </c>
      <c r="AQ353">
        <f t="shared" si="280"/>
        <v>0</v>
      </c>
      <c r="AR353">
        <f t="shared" si="281"/>
        <v>0</v>
      </c>
      <c r="AS353">
        <f t="shared" si="282"/>
        <v>0</v>
      </c>
      <c r="AT353">
        <f t="shared" si="283"/>
        <v>0</v>
      </c>
      <c r="AU353">
        <f t="shared" si="284"/>
        <v>0</v>
      </c>
      <c r="AV353">
        <f t="shared" si="285"/>
        <v>0</v>
      </c>
      <c r="AW353">
        <f t="shared" si="240"/>
        <v>0</v>
      </c>
      <c r="AX353">
        <f t="shared" si="286"/>
        <v>0</v>
      </c>
      <c r="AY353">
        <f t="shared" si="287"/>
        <v>0</v>
      </c>
    </row>
    <row r="354" spans="1:51" x14ac:dyDescent="0.35">
      <c r="A354">
        <v>348</v>
      </c>
      <c r="C354">
        <f>MAX(0,Calc!$C$7-SUM(D354:R354))</f>
        <v>750</v>
      </c>
      <c r="D354">
        <f t="shared" si="241"/>
        <v>0</v>
      </c>
      <c r="E354">
        <f t="shared" si="242"/>
        <v>0</v>
      </c>
      <c r="F354">
        <f t="shared" si="243"/>
        <v>0</v>
      </c>
      <c r="G354">
        <f t="shared" si="244"/>
        <v>0</v>
      </c>
      <c r="H354">
        <f t="shared" si="245"/>
        <v>0</v>
      </c>
      <c r="I354">
        <f t="shared" si="246"/>
        <v>0</v>
      </c>
      <c r="J354">
        <f t="shared" si="247"/>
        <v>0</v>
      </c>
      <c r="K354">
        <f t="shared" si="248"/>
        <v>0</v>
      </c>
      <c r="L354">
        <f t="shared" si="249"/>
        <v>0</v>
      </c>
      <c r="M354">
        <f t="shared" si="250"/>
        <v>0</v>
      </c>
      <c r="N354">
        <f t="shared" si="251"/>
        <v>0</v>
      </c>
      <c r="O354">
        <f t="shared" si="252"/>
        <v>0</v>
      </c>
      <c r="P354">
        <f t="shared" si="253"/>
        <v>0</v>
      </c>
      <c r="Q354">
        <f t="shared" si="254"/>
        <v>0</v>
      </c>
      <c r="R354">
        <f t="shared" si="255"/>
        <v>0</v>
      </c>
      <c r="S354">
        <f t="shared" si="256"/>
        <v>0</v>
      </c>
      <c r="T354">
        <f t="shared" si="257"/>
        <v>0</v>
      </c>
      <c r="U354">
        <f t="shared" si="258"/>
        <v>0</v>
      </c>
      <c r="V354">
        <f t="shared" si="259"/>
        <v>0</v>
      </c>
      <c r="W354">
        <f t="shared" si="260"/>
        <v>0</v>
      </c>
      <c r="X354">
        <f t="shared" si="261"/>
        <v>0</v>
      </c>
      <c r="Y354">
        <f t="shared" si="262"/>
        <v>0</v>
      </c>
      <c r="Z354">
        <f t="shared" si="263"/>
        <v>0</v>
      </c>
      <c r="AA354">
        <f t="shared" si="264"/>
        <v>0</v>
      </c>
      <c r="AB354">
        <f t="shared" si="265"/>
        <v>0</v>
      </c>
      <c r="AC354">
        <f t="shared" si="266"/>
        <v>0</v>
      </c>
      <c r="AD354">
        <f t="shared" si="267"/>
        <v>0</v>
      </c>
      <c r="AE354">
        <f t="shared" si="268"/>
        <v>0</v>
      </c>
      <c r="AF354">
        <f t="shared" si="269"/>
        <v>0</v>
      </c>
      <c r="AG354">
        <f t="shared" si="270"/>
        <v>0</v>
      </c>
      <c r="AH354">
        <f t="shared" si="271"/>
        <v>0</v>
      </c>
      <c r="AI354">
        <f t="shared" si="272"/>
        <v>0</v>
      </c>
      <c r="AJ354">
        <f t="shared" si="273"/>
        <v>0</v>
      </c>
      <c r="AK354">
        <f t="shared" si="274"/>
        <v>0</v>
      </c>
      <c r="AL354">
        <f t="shared" si="275"/>
        <v>0</v>
      </c>
      <c r="AM354">
        <f t="shared" si="276"/>
        <v>0</v>
      </c>
      <c r="AN354">
        <f t="shared" si="277"/>
        <v>0</v>
      </c>
      <c r="AO354">
        <f t="shared" si="278"/>
        <v>0</v>
      </c>
      <c r="AP354">
        <f t="shared" si="279"/>
        <v>0</v>
      </c>
      <c r="AQ354">
        <f t="shared" si="280"/>
        <v>0</v>
      </c>
      <c r="AR354">
        <f t="shared" si="281"/>
        <v>0</v>
      </c>
      <c r="AS354">
        <f t="shared" si="282"/>
        <v>0</v>
      </c>
      <c r="AT354">
        <f t="shared" si="283"/>
        <v>0</v>
      </c>
      <c r="AU354">
        <f t="shared" si="284"/>
        <v>0</v>
      </c>
      <c r="AV354">
        <f t="shared" si="285"/>
        <v>0</v>
      </c>
      <c r="AW354">
        <f t="shared" si="240"/>
        <v>0</v>
      </c>
      <c r="AX354">
        <f t="shared" si="286"/>
        <v>0</v>
      </c>
      <c r="AY354">
        <f t="shared" si="287"/>
        <v>0</v>
      </c>
    </row>
    <row r="355" spans="1:51" x14ac:dyDescent="0.35">
      <c r="A355">
        <v>349</v>
      </c>
      <c r="C355">
        <f>MAX(0,Calc!$C$7-SUM(D355:R355))</f>
        <v>750</v>
      </c>
      <c r="D355">
        <f t="shared" si="241"/>
        <v>0</v>
      </c>
      <c r="E355">
        <f t="shared" si="242"/>
        <v>0</v>
      </c>
      <c r="F355">
        <f t="shared" si="243"/>
        <v>0</v>
      </c>
      <c r="G355">
        <f t="shared" si="244"/>
        <v>0</v>
      </c>
      <c r="H355">
        <f t="shared" si="245"/>
        <v>0</v>
      </c>
      <c r="I355">
        <f t="shared" si="246"/>
        <v>0</v>
      </c>
      <c r="J355">
        <f t="shared" si="247"/>
        <v>0</v>
      </c>
      <c r="K355">
        <f t="shared" si="248"/>
        <v>0</v>
      </c>
      <c r="L355">
        <f t="shared" si="249"/>
        <v>0</v>
      </c>
      <c r="M355">
        <f t="shared" si="250"/>
        <v>0</v>
      </c>
      <c r="N355">
        <f t="shared" si="251"/>
        <v>0</v>
      </c>
      <c r="O355">
        <f t="shared" si="252"/>
        <v>0</v>
      </c>
      <c r="P355">
        <f t="shared" si="253"/>
        <v>0</v>
      </c>
      <c r="Q355">
        <f t="shared" si="254"/>
        <v>0</v>
      </c>
      <c r="R355">
        <f t="shared" si="255"/>
        <v>0</v>
      </c>
      <c r="S355">
        <f t="shared" si="256"/>
        <v>0</v>
      </c>
      <c r="T355">
        <f t="shared" si="257"/>
        <v>0</v>
      </c>
      <c r="U355">
        <f t="shared" si="258"/>
        <v>0</v>
      </c>
      <c r="V355">
        <f t="shared" si="259"/>
        <v>0</v>
      </c>
      <c r="W355">
        <f t="shared" si="260"/>
        <v>0</v>
      </c>
      <c r="X355">
        <f t="shared" si="261"/>
        <v>0</v>
      </c>
      <c r="Y355">
        <f t="shared" si="262"/>
        <v>0</v>
      </c>
      <c r="Z355">
        <f t="shared" si="263"/>
        <v>0</v>
      </c>
      <c r="AA355">
        <f t="shared" si="264"/>
        <v>0</v>
      </c>
      <c r="AB355">
        <f t="shared" si="265"/>
        <v>0</v>
      </c>
      <c r="AC355">
        <f t="shared" si="266"/>
        <v>0</v>
      </c>
      <c r="AD355">
        <f t="shared" si="267"/>
        <v>0</v>
      </c>
      <c r="AE355">
        <f t="shared" si="268"/>
        <v>0</v>
      </c>
      <c r="AF355">
        <f t="shared" si="269"/>
        <v>0</v>
      </c>
      <c r="AG355">
        <f t="shared" si="270"/>
        <v>0</v>
      </c>
      <c r="AH355">
        <f t="shared" si="271"/>
        <v>0</v>
      </c>
      <c r="AI355">
        <f t="shared" si="272"/>
        <v>0</v>
      </c>
      <c r="AJ355">
        <f t="shared" si="273"/>
        <v>0</v>
      </c>
      <c r="AK355">
        <f t="shared" si="274"/>
        <v>0</v>
      </c>
      <c r="AL355">
        <f t="shared" si="275"/>
        <v>0</v>
      </c>
      <c r="AM355">
        <f t="shared" si="276"/>
        <v>0</v>
      </c>
      <c r="AN355">
        <f t="shared" si="277"/>
        <v>0</v>
      </c>
      <c r="AO355">
        <f t="shared" si="278"/>
        <v>0</v>
      </c>
      <c r="AP355">
        <f t="shared" si="279"/>
        <v>0</v>
      </c>
      <c r="AQ355">
        <f t="shared" si="280"/>
        <v>0</v>
      </c>
      <c r="AR355">
        <f t="shared" si="281"/>
        <v>0</v>
      </c>
      <c r="AS355">
        <f t="shared" si="282"/>
        <v>0</v>
      </c>
      <c r="AT355">
        <f t="shared" si="283"/>
        <v>0</v>
      </c>
      <c r="AU355">
        <f t="shared" si="284"/>
        <v>0</v>
      </c>
      <c r="AV355">
        <f t="shared" si="285"/>
        <v>0</v>
      </c>
      <c r="AW355">
        <f t="shared" si="240"/>
        <v>0</v>
      </c>
      <c r="AX355">
        <f t="shared" si="286"/>
        <v>0</v>
      </c>
      <c r="AY355">
        <f t="shared" si="287"/>
        <v>0</v>
      </c>
    </row>
    <row r="356" spans="1:51" x14ac:dyDescent="0.35">
      <c r="A356">
        <v>350</v>
      </c>
      <c r="C356">
        <f>MAX(0,Calc!$C$7-SUM(D356:R356))</f>
        <v>750</v>
      </c>
      <c r="D356">
        <f t="shared" si="241"/>
        <v>0</v>
      </c>
      <c r="E356">
        <f t="shared" si="242"/>
        <v>0</v>
      </c>
      <c r="F356">
        <f t="shared" si="243"/>
        <v>0</v>
      </c>
      <c r="G356">
        <f t="shared" si="244"/>
        <v>0</v>
      </c>
      <c r="H356">
        <f t="shared" si="245"/>
        <v>0</v>
      </c>
      <c r="I356">
        <f t="shared" si="246"/>
        <v>0</v>
      </c>
      <c r="J356">
        <f t="shared" si="247"/>
        <v>0</v>
      </c>
      <c r="K356">
        <f t="shared" si="248"/>
        <v>0</v>
      </c>
      <c r="L356">
        <f t="shared" si="249"/>
        <v>0</v>
      </c>
      <c r="M356">
        <f t="shared" si="250"/>
        <v>0</v>
      </c>
      <c r="N356">
        <f t="shared" si="251"/>
        <v>0</v>
      </c>
      <c r="O356">
        <f t="shared" si="252"/>
        <v>0</v>
      </c>
      <c r="P356">
        <f t="shared" si="253"/>
        <v>0</v>
      </c>
      <c r="Q356">
        <f t="shared" si="254"/>
        <v>0</v>
      </c>
      <c r="R356">
        <f t="shared" si="255"/>
        <v>0</v>
      </c>
      <c r="S356">
        <f t="shared" si="256"/>
        <v>0</v>
      </c>
      <c r="T356">
        <f t="shared" si="257"/>
        <v>0</v>
      </c>
      <c r="U356">
        <f t="shared" si="258"/>
        <v>0</v>
      </c>
      <c r="V356">
        <f t="shared" si="259"/>
        <v>0</v>
      </c>
      <c r="W356">
        <f t="shared" si="260"/>
        <v>0</v>
      </c>
      <c r="X356">
        <f t="shared" si="261"/>
        <v>0</v>
      </c>
      <c r="Y356">
        <f t="shared" si="262"/>
        <v>0</v>
      </c>
      <c r="Z356">
        <f t="shared" si="263"/>
        <v>0</v>
      </c>
      <c r="AA356">
        <f t="shared" si="264"/>
        <v>0</v>
      </c>
      <c r="AB356">
        <f t="shared" si="265"/>
        <v>0</v>
      </c>
      <c r="AC356">
        <f t="shared" si="266"/>
        <v>0</v>
      </c>
      <c r="AD356">
        <f t="shared" si="267"/>
        <v>0</v>
      </c>
      <c r="AE356">
        <f t="shared" si="268"/>
        <v>0</v>
      </c>
      <c r="AF356">
        <f t="shared" si="269"/>
        <v>0</v>
      </c>
      <c r="AG356">
        <f t="shared" si="270"/>
        <v>0</v>
      </c>
      <c r="AH356">
        <f t="shared" si="271"/>
        <v>0</v>
      </c>
      <c r="AI356">
        <f t="shared" si="272"/>
        <v>0</v>
      </c>
      <c r="AJ356">
        <f t="shared" si="273"/>
        <v>0</v>
      </c>
      <c r="AK356">
        <f t="shared" si="274"/>
        <v>0</v>
      </c>
      <c r="AL356">
        <f t="shared" si="275"/>
        <v>0</v>
      </c>
      <c r="AM356">
        <f t="shared" si="276"/>
        <v>0</v>
      </c>
      <c r="AN356">
        <f t="shared" si="277"/>
        <v>0</v>
      </c>
      <c r="AO356">
        <f t="shared" si="278"/>
        <v>0</v>
      </c>
      <c r="AP356">
        <f t="shared" si="279"/>
        <v>0</v>
      </c>
      <c r="AQ356">
        <f t="shared" si="280"/>
        <v>0</v>
      </c>
      <c r="AR356">
        <f t="shared" si="281"/>
        <v>0</v>
      </c>
      <c r="AS356">
        <f t="shared" si="282"/>
        <v>0</v>
      </c>
      <c r="AT356">
        <f t="shared" si="283"/>
        <v>0</v>
      </c>
      <c r="AU356">
        <f t="shared" si="284"/>
        <v>0</v>
      </c>
      <c r="AV356">
        <f t="shared" si="285"/>
        <v>0</v>
      </c>
      <c r="AW356">
        <f t="shared" si="240"/>
        <v>0</v>
      </c>
      <c r="AX356">
        <f t="shared" si="286"/>
        <v>0</v>
      </c>
      <c r="AY356">
        <f t="shared" si="287"/>
        <v>0</v>
      </c>
    </row>
    <row r="357" spans="1:51" x14ac:dyDescent="0.35">
      <c r="A357">
        <v>351</v>
      </c>
      <c r="C357">
        <f>MAX(0,Calc!$C$7-SUM(D357:R357))</f>
        <v>750</v>
      </c>
      <c r="D357">
        <f t="shared" si="241"/>
        <v>0</v>
      </c>
      <c r="E357">
        <f t="shared" si="242"/>
        <v>0</v>
      </c>
      <c r="F357">
        <f t="shared" si="243"/>
        <v>0</v>
      </c>
      <c r="G357">
        <f t="shared" si="244"/>
        <v>0</v>
      </c>
      <c r="H357">
        <f t="shared" si="245"/>
        <v>0</v>
      </c>
      <c r="I357">
        <f t="shared" si="246"/>
        <v>0</v>
      </c>
      <c r="J357">
        <f t="shared" si="247"/>
        <v>0</v>
      </c>
      <c r="K357">
        <f t="shared" si="248"/>
        <v>0</v>
      </c>
      <c r="L357">
        <f t="shared" si="249"/>
        <v>0</v>
      </c>
      <c r="M357">
        <f t="shared" si="250"/>
        <v>0</v>
      </c>
      <c r="N357">
        <f t="shared" si="251"/>
        <v>0</v>
      </c>
      <c r="O357">
        <f t="shared" si="252"/>
        <v>0</v>
      </c>
      <c r="P357">
        <f t="shared" si="253"/>
        <v>0</v>
      </c>
      <c r="Q357">
        <f t="shared" si="254"/>
        <v>0</v>
      </c>
      <c r="R357">
        <f t="shared" si="255"/>
        <v>0</v>
      </c>
      <c r="S357">
        <f t="shared" si="256"/>
        <v>0</v>
      </c>
      <c r="T357">
        <f t="shared" si="257"/>
        <v>0</v>
      </c>
      <c r="U357">
        <f t="shared" si="258"/>
        <v>0</v>
      </c>
      <c r="V357">
        <f t="shared" si="259"/>
        <v>0</v>
      </c>
      <c r="W357">
        <f t="shared" si="260"/>
        <v>0</v>
      </c>
      <c r="X357">
        <f t="shared" si="261"/>
        <v>0</v>
      </c>
      <c r="Y357">
        <f t="shared" si="262"/>
        <v>0</v>
      </c>
      <c r="Z357">
        <f t="shared" si="263"/>
        <v>0</v>
      </c>
      <c r="AA357">
        <f t="shared" si="264"/>
        <v>0</v>
      </c>
      <c r="AB357">
        <f t="shared" si="265"/>
        <v>0</v>
      </c>
      <c r="AC357">
        <f t="shared" si="266"/>
        <v>0</v>
      </c>
      <c r="AD357">
        <f t="shared" si="267"/>
        <v>0</v>
      </c>
      <c r="AE357">
        <f t="shared" si="268"/>
        <v>0</v>
      </c>
      <c r="AF357">
        <f t="shared" si="269"/>
        <v>0</v>
      </c>
      <c r="AG357">
        <f t="shared" si="270"/>
        <v>0</v>
      </c>
      <c r="AH357">
        <f t="shared" si="271"/>
        <v>0</v>
      </c>
      <c r="AI357">
        <f t="shared" si="272"/>
        <v>0</v>
      </c>
      <c r="AJ357">
        <f t="shared" si="273"/>
        <v>0</v>
      </c>
      <c r="AK357">
        <f t="shared" si="274"/>
        <v>0</v>
      </c>
      <c r="AL357">
        <f t="shared" si="275"/>
        <v>0</v>
      </c>
      <c r="AM357">
        <f t="shared" si="276"/>
        <v>0</v>
      </c>
      <c r="AN357">
        <f t="shared" si="277"/>
        <v>0</v>
      </c>
      <c r="AO357">
        <f t="shared" si="278"/>
        <v>0</v>
      </c>
      <c r="AP357">
        <f t="shared" si="279"/>
        <v>0</v>
      </c>
      <c r="AQ357">
        <f t="shared" si="280"/>
        <v>0</v>
      </c>
      <c r="AR357">
        <f t="shared" si="281"/>
        <v>0</v>
      </c>
      <c r="AS357">
        <f t="shared" si="282"/>
        <v>0</v>
      </c>
      <c r="AT357">
        <f t="shared" si="283"/>
        <v>0</v>
      </c>
      <c r="AU357">
        <f t="shared" si="284"/>
        <v>0</v>
      </c>
      <c r="AV357">
        <f t="shared" si="285"/>
        <v>0</v>
      </c>
      <c r="AW357">
        <f t="shared" si="240"/>
        <v>0</v>
      </c>
      <c r="AX357">
        <f t="shared" si="286"/>
        <v>0</v>
      </c>
      <c r="AY357">
        <f t="shared" si="287"/>
        <v>0</v>
      </c>
    </row>
    <row r="358" spans="1:51" x14ac:dyDescent="0.35">
      <c r="A358">
        <v>352</v>
      </c>
      <c r="C358">
        <f>MAX(0,Calc!$C$7-SUM(D358:R358))</f>
        <v>750</v>
      </c>
      <c r="D358">
        <f t="shared" si="241"/>
        <v>0</v>
      </c>
      <c r="E358">
        <f t="shared" si="242"/>
        <v>0</v>
      </c>
      <c r="F358">
        <f t="shared" si="243"/>
        <v>0</v>
      </c>
      <c r="G358">
        <f t="shared" si="244"/>
        <v>0</v>
      </c>
      <c r="H358">
        <f t="shared" si="245"/>
        <v>0</v>
      </c>
      <c r="I358">
        <f t="shared" si="246"/>
        <v>0</v>
      </c>
      <c r="J358">
        <f t="shared" si="247"/>
        <v>0</v>
      </c>
      <c r="K358">
        <f t="shared" si="248"/>
        <v>0</v>
      </c>
      <c r="L358">
        <f t="shared" si="249"/>
        <v>0</v>
      </c>
      <c r="M358">
        <f t="shared" si="250"/>
        <v>0</v>
      </c>
      <c r="N358">
        <f t="shared" si="251"/>
        <v>0</v>
      </c>
      <c r="O358">
        <f t="shared" si="252"/>
        <v>0</v>
      </c>
      <c r="P358">
        <f t="shared" si="253"/>
        <v>0</v>
      </c>
      <c r="Q358">
        <f t="shared" si="254"/>
        <v>0</v>
      </c>
      <c r="R358">
        <f t="shared" si="255"/>
        <v>0</v>
      </c>
      <c r="S358">
        <f t="shared" si="256"/>
        <v>0</v>
      </c>
      <c r="T358">
        <f t="shared" si="257"/>
        <v>0</v>
      </c>
      <c r="U358">
        <f t="shared" si="258"/>
        <v>0</v>
      </c>
      <c r="V358">
        <f t="shared" si="259"/>
        <v>0</v>
      </c>
      <c r="W358">
        <f t="shared" si="260"/>
        <v>0</v>
      </c>
      <c r="X358">
        <f t="shared" si="261"/>
        <v>0</v>
      </c>
      <c r="Y358">
        <f t="shared" si="262"/>
        <v>0</v>
      </c>
      <c r="Z358">
        <f t="shared" si="263"/>
        <v>0</v>
      </c>
      <c r="AA358">
        <f t="shared" si="264"/>
        <v>0</v>
      </c>
      <c r="AB358">
        <f t="shared" si="265"/>
        <v>0</v>
      </c>
      <c r="AC358">
        <f t="shared" si="266"/>
        <v>0</v>
      </c>
      <c r="AD358">
        <f t="shared" si="267"/>
        <v>0</v>
      </c>
      <c r="AE358">
        <f t="shared" si="268"/>
        <v>0</v>
      </c>
      <c r="AF358">
        <f t="shared" si="269"/>
        <v>0</v>
      </c>
      <c r="AG358">
        <f t="shared" si="270"/>
        <v>0</v>
      </c>
      <c r="AH358">
        <f t="shared" si="271"/>
        <v>0</v>
      </c>
      <c r="AI358">
        <f t="shared" si="272"/>
        <v>0</v>
      </c>
      <c r="AJ358">
        <f t="shared" si="273"/>
        <v>0</v>
      </c>
      <c r="AK358">
        <f t="shared" si="274"/>
        <v>0</v>
      </c>
      <c r="AL358">
        <f t="shared" si="275"/>
        <v>0</v>
      </c>
      <c r="AM358">
        <f t="shared" si="276"/>
        <v>0</v>
      </c>
      <c r="AN358">
        <f t="shared" si="277"/>
        <v>0</v>
      </c>
      <c r="AO358">
        <f t="shared" si="278"/>
        <v>0</v>
      </c>
      <c r="AP358">
        <f t="shared" si="279"/>
        <v>0</v>
      </c>
      <c r="AQ358">
        <f t="shared" si="280"/>
        <v>0</v>
      </c>
      <c r="AR358">
        <f t="shared" si="281"/>
        <v>0</v>
      </c>
      <c r="AS358">
        <f t="shared" si="282"/>
        <v>0</v>
      </c>
      <c r="AT358">
        <f t="shared" si="283"/>
        <v>0</v>
      </c>
      <c r="AU358">
        <f t="shared" si="284"/>
        <v>0</v>
      </c>
      <c r="AV358">
        <f t="shared" si="285"/>
        <v>0</v>
      </c>
      <c r="AW358">
        <f t="shared" si="240"/>
        <v>0</v>
      </c>
      <c r="AX358">
        <f t="shared" si="286"/>
        <v>0</v>
      </c>
      <c r="AY358">
        <f t="shared" si="287"/>
        <v>0</v>
      </c>
    </row>
    <row r="359" spans="1:51" x14ac:dyDescent="0.35">
      <c r="A359">
        <v>353</v>
      </c>
      <c r="C359">
        <f>MAX(0,Calc!$C$7-SUM(D359:R359))</f>
        <v>750</v>
      </c>
      <c r="D359">
        <f t="shared" si="241"/>
        <v>0</v>
      </c>
      <c r="E359">
        <f t="shared" si="242"/>
        <v>0</v>
      </c>
      <c r="F359">
        <f t="shared" si="243"/>
        <v>0</v>
      </c>
      <c r="G359">
        <f t="shared" si="244"/>
        <v>0</v>
      </c>
      <c r="H359">
        <f t="shared" si="245"/>
        <v>0</v>
      </c>
      <c r="I359">
        <f t="shared" si="246"/>
        <v>0</v>
      </c>
      <c r="J359">
        <f t="shared" si="247"/>
        <v>0</v>
      </c>
      <c r="K359">
        <f t="shared" si="248"/>
        <v>0</v>
      </c>
      <c r="L359">
        <f t="shared" si="249"/>
        <v>0</v>
      </c>
      <c r="M359">
        <f t="shared" si="250"/>
        <v>0</v>
      </c>
      <c r="N359">
        <f t="shared" si="251"/>
        <v>0</v>
      </c>
      <c r="O359">
        <f t="shared" si="252"/>
        <v>0</v>
      </c>
      <c r="P359">
        <f t="shared" si="253"/>
        <v>0</v>
      </c>
      <c r="Q359">
        <f t="shared" si="254"/>
        <v>0</v>
      </c>
      <c r="R359">
        <f t="shared" si="255"/>
        <v>0</v>
      </c>
      <c r="S359">
        <f t="shared" si="256"/>
        <v>0</v>
      </c>
      <c r="T359">
        <f t="shared" si="257"/>
        <v>0</v>
      </c>
      <c r="U359">
        <f t="shared" si="258"/>
        <v>0</v>
      </c>
      <c r="V359">
        <f t="shared" si="259"/>
        <v>0</v>
      </c>
      <c r="W359">
        <f t="shared" si="260"/>
        <v>0</v>
      </c>
      <c r="X359">
        <f t="shared" si="261"/>
        <v>0</v>
      </c>
      <c r="Y359">
        <f t="shared" si="262"/>
        <v>0</v>
      </c>
      <c r="Z359">
        <f t="shared" si="263"/>
        <v>0</v>
      </c>
      <c r="AA359">
        <f t="shared" si="264"/>
        <v>0</v>
      </c>
      <c r="AB359">
        <f t="shared" si="265"/>
        <v>0</v>
      </c>
      <c r="AC359">
        <f t="shared" si="266"/>
        <v>0</v>
      </c>
      <c r="AD359">
        <f t="shared" si="267"/>
        <v>0</v>
      </c>
      <c r="AE359">
        <f t="shared" si="268"/>
        <v>0</v>
      </c>
      <c r="AF359">
        <f t="shared" si="269"/>
        <v>0</v>
      </c>
      <c r="AG359">
        <f t="shared" si="270"/>
        <v>0</v>
      </c>
      <c r="AH359">
        <f t="shared" si="271"/>
        <v>0</v>
      </c>
      <c r="AI359">
        <f t="shared" si="272"/>
        <v>0</v>
      </c>
      <c r="AJ359">
        <f t="shared" si="273"/>
        <v>0</v>
      </c>
      <c r="AK359">
        <f t="shared" si="274"/>
        <v>0</v>
      </c>
      <c r="AL359">
        <f t="shared" si="275"/>
        <v>0</v>
      </c>
      <c r="AM359">
        <f t="shared" si="276"/>
        <v>0</v>
      </c>
      <c r="AN359">
        <f t="shared" si="277"/>
        <v>0</v>
      </c>
      <c r="AO359">
        <f t="shared" si="278"/>
        <v>0</v>
      </c>
      <c r="AP359">
        <f t="shared" si="279"/>
        <v>0</v>
      </c>
      <c r="AQ359">
        <f t="shared" si="280"/>
        <v>0</v>
      </c>
      <c r="AR359">
        <f t="shared" si="281"/>
        <v>0</v>
      </c>
      <c r="AS359">
        <f t="shared" si="282"/>
        <v>0</v>
      </c>
      <c r="AT359">
        <f t="shared" si="283"/>
        <v>0</v>
      </c>
      <c r="AU359">
        <f t="shared" si="284"/>
        <v>0</v>
      </c>
      <c r="AV359">
        <f t="shared" si="285"/>
        <v>0</v>
      </c>
      <c r="AW359">
        <f t="shared" si="240"/>
        <v>0</v>
      </c>
      <c r="AX359">
        <f t="shared" si="286"/>
        <v>0</v>
      </c>
      <c r="AY359">
        <f t="shared" si="287"/>
        <v>0</v>
      </c>
    </row>
    <row r="360" spans="1:51" x14ac:dyDescent="0.35">
      <c r="A360">
        <v>354</v>
      </c>
      <c r="C360">
        <f>MAX(0,Calc!$C$7-SUM(D360:R360))</f>
        <v>750</v>
      </c>
      <c r="D360">
        <f t="shared" si="241"/>
        <v>0</v>
      </c>
      <c r="E360">
        <f t="shared" si="242"/>
        <v>0</v>
      </c>
      <c r="F360">
        <f t="shared" si="243"/>
        <v>0</v>
      </c>
      <c r="G360">
        <f t="shared" si="244"/>
        <v>0</v>
      </c>
      <c r="H360">
        <f t="shared" si="245"/>
        <v>0</v>
      </c>
      <c r="I360">
        <f t="shared" si="246"/>
        <v>0</v>
      </c>
      <c r="J360">
        <f t="shared" si="247"/>
        <v>0</v>
      </c>
      <c r="K360">
        <f t="shared" si="248"/>
        <v>0</v>
      </c>
      <c r="L360">
        <f t="shared" si="249"/>
        <v>0</v>
      </c>
      <c r="M360">
        <f t="shared" si="250"/>
        <v>0</v>
      </c>
      <c r="N360">
        <f t="shared" si="251"/>
        <v>0</v>
      </c>
      <c r="O360">
        <f t="shared" si="252"/>
        <v>0</v>
      </c>
      <c r="P360">
        <f t="shared" si="253"/>
        <v>0</v>
      </c>
      <c r="Q360">
        <f t="shared" si="254"/>
        <v>0</v>
      </c>
      <c r="R360">
        <f t="shared" si="255"/>
        <v>0</v>
      </c>
      <c r="S360">
        <f t="shared" si="256"/>
        <v>0</v>
      </c>
      <c r="T360">
        <f t="shared" si="257"/>
        <v>0</v>
      </c>
      <c r="U360">
        <f t="shared" si="258"/>
        <v>0</v>
      </c>
      <c r="V360">
        <f t="shared" si="259"/>
        <v>0</v>
      </c>
      <c r="W360">
        <f t="shared" si="260"/>
        <v>0</v>
      </c>
      <c r="X360">
        <f t="shared" si="261"/>
        <v>0</v>
      </c>
      <c r="Y360">
        <f t="shared" si="262"/>
        <v>0</v>
      </c>
      <c r="Z360">
        <f t="shared" si="263"/>
        <v>0</v>
      </c>
      <c r="AA360">
        <f t="shared" si="264"/>
        <v>0</v>
      </c>
      <c r="AB360">
        <f t="shared" si="265"/>
        <v>0</v>
      </c>
      <c r="AC360">
        <f t="shared" si="266"/>
        <v>0</v>
      </c>
      <c r="AD360">
        <f t="shared" si="267"/>
        <v>0</v>
      </c>
      <c r="AE360">
        <f t="shared" si="268"/>
        <v>0</v>
      </c>
      <c r="AF360">
        <f t="shared" si="269"/>
        <v>0</v>
      </c>
      <c r="AG360">
        <f t="shared" si="270"/>
        <v>0</v>
      </c>
      <c r="AH360">
        <f t="shared" si="271"/>
        <v>0</v>
      </c>
      <c r="AI360">
        <f t="shared" si="272"/>
        <v>0</v>
      </c>
      <c r="AJ360">
        <f t="shared" si="273"/>
        <v>0</v>
      </c>
      <c r="AK360">
        <f t="shared" si="274"/>
        <v>0</v>
      </c>
      <c r="AL360">
        <f t="shared" si="275"/>
        <v>0</v>
      </c>
      <c r="AM360">
        <f t="shared" si="276"/>
        <v>0</v>
      </c>
      <c r="AN360">
        <f t="shared" si="277"/>
        <v>0</v>
      </c>
      <c r="AO360">
        <f t="shared" si="278"/>
        <v>0</v>
      </c>
      <c r="AP360">
        <f t="shared" si="279"/>
        <v>0</v>
      </c>
      <c r="AQ360">
        <f t="shared" si="280"/>
        <v>0</v>
      </c>
      <c r="AR360">
        <f t="shared" si="281"/>
        <v>0</v>
      </c>
      <c r="AS360">
        <f t="shared" si="282"/>
        <v>0</v>
      </c>
      <c r="AT360">
        <f t="shared" si="283"/>
        <v>0</v>
      </c>
      <c r="AU360">
        <f t="shared" si="284"/>
        <v>0</v>
      </c>
      <c r="AV360">
        <f t="shared" si="285"/>
        <v>0</v>
      </c>
      <c r="AW360">
        <f t="shared" si="240"/>
        <v>0</v>
      </c>
      <c r="AX360">
        <f t="shared" si="286"/>
        <v>0</v>
      </c>
      <c r="AY360">
        <f t="shared" si="287"/>
        <v>0</v>
      </c>
    </row>
    <row r="361" spans="1:51" x14ac:dyDescent="0.35">
      <c r="A361">
        <v>355</v>
      </c>
      <c r="C361">
        <f>MAX(0,Calc!$C$7-SUM(D361:R361))</f>
        <v>750</v>
      </c>
      <c r="D361">
        <f t="shared" si="241"/>
        <v>0</v>
      </c>
      <c r="E361">
        <f t="shared" si="242"/>
        <v>0</v>
      </c>
      <c r="F361">
        <f t="shared" si="243"/>
        <v>0</v>
      </c>
      <c r="G361">
        <f t="shared" si="244"/>
        <v>0</v>
      </c>
      <c r="H361">
        <f t="shared" si="245"/>
        <v>0</v>
      </c>
      <c r="I361">
        <f t="shared" si="246"/>
        <v>0</v>
      </c>
      <c r="J361">
        <f t="shared" si="247"/>
        <v>0</v>
      </c>
      <c r="K361">
        <f t="shared" si="248"/>
        <v>0</v>
      </c>
      <c r="L361">
        <f t="shared" si="249"/>
        <v>0</v>
      </c>
      <c r="M361">
        <f t="shared" si="250"/>
        <v>0</v>
      </c>
      <c r="N361">
        <f t="shared" si="251"/>
        <v>0</v>
      </c>
      <c r="O361">
        <f t="shared" si="252"/>
        <v>0</v>
      </c>
      <c r="P361">
        <f t="shared" si="253"/>
        <v>0</v>
      </c>
      <c r="Q361">
        <f t="shared" si="254"/>
        <v>0</v>
      </c>
      <c r="R361">
        <f t="shared" si="255"/>
        <v>0</v>
      </c>
      <c r="S361">
        <f t="shared" si="256"/>
        <v>0</v>
      </c>
      <c r="T361">
        <f t="shared" si="257"/>
        <v>0</v>
      </c>
      <c r="U361">
        <f t="shared" si="258"/>
        <v>0</v>
      </c>
      <c r="V361">
        <f t="shared" si="259"/>
        <v>0</v>
      </c>
      <c r="W361">
        <f t="shared" si="260"/>
        <v>0</v>
      </c>
      <c r="X361">
        <f t="shared" si="261"/>
        <v>0</v>
      </c>
      <c r="Y361">
        <f t="shared" si="262"/>
        <v>0</v>
      </c>
      <c r="Z361">
        <f t="shared" si="263"/>
        <v>0</v>
      </c>
      <c r="AA361">
        <f t="shared" si="264"/>
        <v>0</v>
      </c>
      <c r="AB361">
        <f t="shared" si="265"/>
        <v>0</v>
      </c>
      <c r="AC361">
        <f t="shared" si="266"/>
        <v>0</v>
      </c>
      <c r="AD361">
        <f t="shared" si="267"/>
        <v>0</v>
      </c>
      <c r="AE361">
        <f t="shared" si="268"/>
        <v>0</v>
      </c>
      <c r="AF361">
        <f t="shared" si="269"/>
        <v>0</v>
      </c>
      <c r="AG361">
        <f t="shared" si="270"/>
        <v>0</v>
      </c>
      <c r="AH361">
        <f t="shared" si="271"/>
        <v>0</v>
      </c>
      <c r="AI361">
        <f t="shared" si="272"/>
        <v>0</v>
      </c>
      <c r="AJ361">
        <f t="shared" si="273"/>
        <v>0</v>
      </c>
      <c r="AK361">
        <f t="shared" si="274"/>
        <v>0</v>
      </c>
      <c r="AL361">
        <f t="shared" si="275"/>
        <v>0</v>
      </c>
      <c r="AM361">
        <f t="shared" si="276"/>
        <v>0</v>
      </c>
      <c r="AN361">
        <f t="shared" si="277"/>
        <v>0</v>
      </c>
      <c r="AO361">
        <f t="shared" si="278"/>
        <v>0</v>
      </c>
      <c r="AP361">
        <f t="shared" si="279"/>
        <v>0</v>
      </c>
      <c r="AQ361">
        <f t="shared" si="280"/>
        <v>0</v>
      </c>
      <c r="AR361">
        <f t="shared" si="281"/>
        <v>0</v>
      </c>
      <c r="AS361">
        <f t="shared" si="282"/>
        <v>0</v>
      </c>
      <c r="AT361">
        <f t="shared" si="283"/>
        <v>0</v>
      </c>
      <c r="AU361">
        <f t="shared" si="284"/>
        <v>0</v>
      </c>
      <c r="AV361">
        <f t="shared" si="285"/>
        <v>0</v>
      </c>
      <c r="AW361">
        <f t="shared" si="240"/>
        <v>0</v>
      </c>
      <c r="AX361">
        <f t="shared" si="286"/>
        <v>0</v>
      </c>
      <c r="AY361">
        <f t="shared" si="287"/>
        <v>0</v>
      </c>
    </row>
    <row r="362" spans="1:51" x14ac:dyDescent="0.35">
      <c r="A362">
        <v>356</v>
      </c>
      <c r="C362">
        <f>MAX(0,Calc!$C$7-SUM(D362:R362))</f>
        <v>750</v>
      </c>
      <c r="D362">
        <f t="shared" si="241"/>
        <v>0</v>
      </c>
      <c r="E362">
        <f t="shared" si="242"/>
        <v>0</v>
      </c>
      <c r="F362">
        <f t="shared" si="243"/>
        <v>0</v>
      </c>
      <c r="G362">
        <f t="shared" si="244"/>
        <v>0</v>
      </c>
      <c r="H362">
        <f t="shared" si="245"/>
        <v>0</v>
      </c>
      <c r="I362">
        <f t="shared" si="246"/>
        <v>0</v>
      </c>
      <c r="J362">
        <f t="shared" si="247"/>
        <v>0</v>
      </c>
      <c r="K362">
        <f t="shared" si="248"/>
        <v>0</v>
      </c>
      <c r="L362">
        <f t="shared" si="249"/>
        <v>0</v>
      </c>
      <c r="M362">
        <f t="shared" si="250"/>
        <v>0</v>
      </c>
      <c r="N362">
        <f t="shared" si="251"/>
        <v>0</v>
      </c>
      <c r="O362">
        <f t="shared" si="252"/>
        <v>0</v>
      </c>
      <c r="P362">
        <f t="shared" si="253"/>
        <v>0</v>
      </c>
      <c r="Q362">
        <f t="shared" si="254"/>
        <v>0</v>
      </c>
      <c r="R362">
        <f t="shared" si="255"/>
        <v>0</v>
      </c>
      <c r="S362">
        <f t="shared" si="256"/>
        <v>0</v>
      </c>
      <c r="T362">
        <f t="shared" si="257"/>
        <v>0</v>
      </c>
      <c r="U362">
        <f t="shared" si="258"/>
        <v>0</v>
      </c>
      <c r="V362">
        <f t="shared" si="259"/>
        <v>0</v>
      </c>
      <c r="W362">
        <f t="shared" si="260"/>
        <v>0</v>
      </c>
      <c r="X362">
        <f t="shared" si="261"/>
        <v>0</v>
      </c>
      <c r="Y362">
        <f t="shared" si="262"/>
        <v>0</v>
      </c>
      <c r="Z362">
        <f t="shared" si="263"/>
        <v>0</v>
      </c>
      <c r="AA362">
        <f t="shared" si="264"/>
        <v>0</v>
      </c>
      <c r="AB362">
        <f t="shared" si="265"/>
        <v>0</v>
      </c>
      <c r="AC362">
        <f t="shared" si="266"/>
        <v>0</v>
      </c>
      <c r="AD362">
        <f t="shared" si="267"/>
        <v>0</v>
      </c>
      <c r="AE362">
        <f t="shared" si="268"/>
        <v>0</v>
      </c>
      <c r="AF362">
        <f t="shared" si="269"/>
        <v>0</v>
      </c>
      <c r="AG362">
        <f t="shared" si="270"/>
        <v>0</v>
      </c>
      <c r="AH362">
        <f t="shared" si="271"/>
        <v>0</v>
      </c>
      <c r="AI362">
        <f t="shared" si="272"/>
        <v>0</v>
      </c>
      <c r="AJ362">
        <f t="shared" si="273"/>
        <v>0</v>
      </c>
      <c r="AK362">
        <f t="shared" si="274"/>
        <v>0</v>
      </c>
      <c r="AL362">
        <f t="shared" si="275"/>
        <v>0</v>
      </c>
      <c r="AM362">
        <f t="shared" si="276"/>
        <v>0</v>
      </c>
      <c r="AN362">
        <f t="shared" si="277"/>
        <v>0</v>
      </c>
      <c r="AO362">
        <f t="shared" si="278"/>
        <v>0</v>
      </c>
      <c r="AP362">
        <f t="shared" si="279"/>
        <v>0</v>
      </c>
      <c r="AQ362">
        <f t="shared" si="280"/>
        <v>0</v>
      </c>
      <c r="AR362">
        <f t="shared" si="281"/>
        <v>0</v>
      </c>
      <c r="AS362">
        <f t="shared" si="282"/>
        <v>0</v>
      </c>
      <c r="AT362">
        <f t="shared" si="283"/>
        <v>0</v>
      </c>
      <c r="AU362">
        <f t="shared" si="284"/>
        <v>0</v>
      </c>
      <c r="AV362">
        <f t="shared" si="285"/>
        <v>0</v>
      </c>
      <c r="AW362">
        <f t="shared" si="240"/>
        <v>0</v>
      </c>
      <c r="AX362">
        <f t="shared" si="286"/>
        <v>0</v>
      </c>
      <c r="AY362">
        <f t="shared" si="287"/>
        <v>0</v>
      </c>
    </row>
    <row r="363" spans="1:51" x14ac:dyDescent="0.35">
      <c r="A363">
        <v>357</v>
      </c>
      <c r="C363">
        <f>MAX(0,Calc!$C$7-SUM(D363:R363))</f>
        <v>750</v>
      </c>
      <c r="D363">
        <f t="shared" si="241"/>
        <v>0</v>
      </c>
      <c r="E363">
        <f t="shared" si="242"/>
        <v>0</v>
      </c>
      <c r="F363">
        <f t="shared" si="243"/>
        <v>0</v>
      </c>
      <c r="G363">
        <f t="shared" si="244"/>
        <v>0</v>
      </c>
      <c r="H363">
        <f t="shared" si="245"/>
        <v>0</v>
      </c>
      <c r="I363">
        <f t="shared" si="246"/>
        <v>0</v>
      </c>
      <c r="J363">
        <f t="shared" si="247"/>
        <v>0</v>
      </c>
      <c r="K363">
        <f t="shared" si="248"/>
        <v>0</v>
      </c>
      <c r="L363">
        <f t="shared" si="249"/>
        <v>0</v>
      </c>
      <c r="M363">
        <f t="shared" si="250"/>
        <v>0</v>
      </c>
      <c r="N363">
        <f t="shared" si="251"/>
        <v>0</v>
      </c>
      <c r="O363">
        <f t="shared" si="252"/>
        <v>0</v>
      </c>
      <c r="P363">
        <f t="shared" si="253"/>
        <v>0</v>
      </c>
      <c r="Q363">
        <f t="shared" si="254"/>
        <v>0</v>
      </c>
      <c r="R363">
        <f t="shared" si="255"/>
        <v>0</v>
      </c>
      <c r="S363">
        <f t="shared" si="256"/>
        <v>0</v>
      </c>
      <c r="T363">
        <f t="shared" si="257"/>
        <v>0</v>
      </c>
      <c r="U363">
        <f t="shared" si="258"/>
        <v>0</v>
      </c>
      <c r="V363">
        <f t="shared" si="259"/>
        <v>0</v>
      </c>
      <c r="W363">
        <f t="shared" si="260"/>
        <v>0</v>
      </c>
      <c r="X363">
        <f t="shared" si="261"/>
        <v>0</v>
      </c>
      <c r="Y363">
        <f t="shared" si="262"/>
        <v>0</v>
      </c>
      <c r="Z363">
        <f t="shared" si="263"/>
        <v>0</v>
      </c>
      <c r="AA363">
        <f t="shared" si="264"/>
        <v>0</v>
      </c>
      <c r="AB363">
        <f t="shared" si="265"/>
        <v>0</v>
      </c>
      <c r="AC363">
        <f t="shared" si="266"/>
        <v>0</v>
      </c>
      <c r="AD363">
        <f t="shared" si="267"/>
        <v>0</v>
      </c>
      <c r="AE363">
        <f t="shared" si="268"/>
        <v>0</v>
      </c>
      <c r="AF363">
        <f t="shared" si="269"/>
        <v>0</v>
      </c>
      <c r="AG363">
        <f t="shared" si="270"/>
        <v>0</v>
      </c>
      <c r="AH363">
        <f t="shared" si="271"/>
        <v>0</v>
      </c>
      <c r="AI363">
        <f t="shared" si="272"/>
        <v>0</v>
      </c>
      <c r="AJ363">
        <f t="shared" si="273"/>
        <v>0</v>
      </c>
      <c r="AK363">
        <f t="shared" si="274"/>
        <v>0</v>
      </c>
      <c r="AL363">
        <f t="shared" si="275"/>
        <v>0</v>
      </c>
      <c r="AM363">
        <f t="shared" si="276"/>
        <v>0</v>
      </c>
      <c r="AN363">
        <f t="shared" si="277"/>
        <v>0</v>
      </c>
      <c r="AO363">
        <f t="shared" si="278"/>
        <v>0</v>
      </c>
      <c r="AP363">
        <f t="shared" si="279"/>
        <v>0</v>
      </c>
      <c r="AQ363">
        <f t="shared" si="280"/>
        <v>0</v>
      </c>
      <c r="AR363">
        <f t="shared" si="281"/>
        <v>0</v>
      </c>
      <c r="AS363">
        <f t="shared" si="282"/>
        <v>0</v>
      </c>
      <c r="AT363">
        <f t="shared" si="283"/>
        <v>0</v>
      </c>
      <c r="AU363">
        <f t="shared" si="284"/>
        <v>0</v>
      </c>
      <c r="AV363">
        <f t="shared" si="285"/>
        <v>0</v>
      </c>
      <c r="AW363">
        <f t="shared" si="240"/>
        <v>0</v>
      </c>
      <c r="AX363">
        <f t="shared" si="286"/>
        <v>0</v>
      </c>
      <c r="AY363">
        <f t="shared" si="287"/>
        <v>0</v>
      </c>
    </row>
    <row r="364" spans="1:51" x14ac:dyDescent="0.35">
      <c r="A364">
        <v>358</v>
      </c>
      <c r="C364">
        <f>MAX(0,Calc!$C$7-SUM(D364:R364))</f>
        <v>750</v>
      </c>
      <c r="D364">
        <f t="shared" si="241"/>
        <v>0</v>
      </c>
      <c r="E364">
        <f t="shared" si="242"/>
        <v>0</v>
      </c>
      <c r="F364">
        <f t="shared" si="243"/>
        <v>0</v>
      </c>
      <c r="G364">
        <f t="shared" si="244"/>
        <v>0</v>
      </c>
      <c r="H364">
        <f t="shared" si="245"/>
        <v>0</v>
      </c>
      <c r="I364">
        <f t="shared" si="246"/>
        <v>0</v>
      </c>
      <c r="J364">
        <f t="shared" si="247"/>
        <v>0</v>
      </c>
      <c r="K364">
        <f t="shared" si="248"/>
        <v>0</v>
      </c>
      <c r="L364">
        <f t="shared" si="249"/>
        <v>0</v>
      </c>
      <c r="M364">
        <f t="shared" si="250"/>
        <v>0</v>
      </c>
      <c r="N364">
        <f t="shared" si="251"/>
        <v>0</v>
      </c>
      <c r="O364">
        <f t="shared" si="252"/>
        <v>0</v>
      </c>
      <c r="P364">
        <f t="shared" si="253"/>
        <v>0</v>
      </c>
      <c r="Q364">
        <f t="shared" si="254"/>
        <v>0</v>
      </c>
      <c r="R364">
        <f t="shared" si="255"/>
        <v>0</v>
      </c>
      <c r="S364">
        <f t="shared" si="256"/>
        <v>0</v>
      </c>
      <c r="T364">
        <f t="shared" si="257"/>
        <v>0</v>
      </c>
      <c r="U364">
        <f t="shared" si="258"/>
        <v>0</v>
      </c>
      <c r="V364">
        <f t="shared" si="259"/>
        <v>0</v>
      </c>
      <c r="W364">
        <f t="shared" si="260"/>
        <v>0</v>
      </c>
      <c r="X364">
        <f t="shared" si="261"/>
        <v>0</v>
      </c>
      <c r="Y364">
        <f t="shared" si="262"/>
        <v>0</v>
      </c>
      <c r="Z364">
        <f t="shared" si="263"/>
        <v>0</v>
      </c>
      <c r="AA364">
        <f t="shared" si="264"/>
        <v>0</v>
      </c>
      <c r="AB364">
        <f t="shared" si="265"/>
        <v>0</v>
      </c>
      <c r="AC364">
        <f t="shared" si="266"/>
        <v>0</v>
      </c>
      <c r="AD364">
        <f t="shared" si="267"/>
        <v>0</v>
      </c>
      <c r="AE364">
        <f t="shared" si="268"/>
        <v>0</v>
      </c>
      <c r="AF364">
        <f t="shared" si="269"/>
        <v>0</v>
      </c>
      <c r="AG364">
        <f t="shared" si="270"/>
        <v>0</v>
      </c>
      <c r="AH364">
        <f t="shared" si="271"/>
        <v>0</v>
      </c>
      <c r="AI364">
        <f t="shared" si="272"/>
        <v>0</v>
      </c>
      <c r="AJ364">
        <f t="shared" si="273"/>
        <v>0</v>
      </c>
      <c r="AK364">
        <f t="shared" si="274"/>
        <v>0</v>
      </c>
      <c r="AL364">
        <f t="shared" si="275"/>
        <v>0</v>
      </c>
      <c r="AM364">
        <f t="shared" si="276"/>
        <v>0</v>
      </c>
      <c r="AN364">
        <f t="shared" si="277"/>
        <v>0</v>
      </c>
      <c r="AO364">
        <f t="shared" si="278"/>
        <v>0</v>
      </c>
      <c r="AP364">
        <f t="shared" si="279"/>
        <v>0</v>
      </c>
      <c r="AQ364">
        <f t="shared" si="280"/>
        <v>0</v>
      </c>
      <c r="AR364">
        <f t="shared" si="281"/>
        <v>0</v>
      </c>
      <c r="AS364">
        <f t="shared" si="282"/>
        <v>0</v>
      </c>
      <c r="AT364">
        <f t="shared" si="283"/>
        <v>0</v>
      </c>
      <c r="AU364">
        <f t="shared" si="284"/>
        <v>0</v>
      </c>
      <c r="AV364">
        <f t="shared" si="285"/>
        <v>0</v>
      </c>
      <c r="AW364">
        <f t="shared" si="240"/>
        <v>0</v>
      </c>
      <c r="AX364">
        <f t="shared" si="286"/>
        <v>0</v>
      </c>
      <c r="AY364">
        <f t="shared" si="287"/>
        <v>0</v>
      </c>
    </row>
    <row r="365" spans="1:51" x14ac:dyDescent="0.35">
      <c r="A365">
        <v>359</v>
      </c>
      <c r="C365">
        <f>MAX(0,Calc!$C$7-SUM(D365:R365))</f>
        <v>750</v>
      </c>
      <c r="D365">
        <f t="shared" si="241"/>
        <v>0</v>
      </c>
      <c r="E365">
        <f t="shared" si="242"/>
        <v>0</v>
      </c>
      <c r="F365">
        <f t="shared" si="243"/>
        <v>0</v>
      </c>
      <c r="G365">
        <f t="shared" si="244"/>
        <v>0</v>
      </c>
      <c r="H365">
        <f t="shared" si="245"/>
        <v>0</v>
      </c>
      <c r="I365">
        <f t="shared" si="246"/>
        <v>0</v>
      </c>
      <c r="J365">
        <f t="shared" si="247"/>
        <v>0</v>
      </c>
      <c r="K365">
        <f t="shared" si="248"/>
        <v>0</v>
      </c>
      <c r="L365">
        <f t="shared" si="249"/>
        <v>0</v>
      </c>
      <c r="M365">
        <f t="shared" si="250"/>
        <v>0</v>
      </c>
      <c r="N365">
        <f t="shared" si="251"/>
        <v>0</v>
      </c>
      <c r="O365">
        <f t="shared" si="252"/>
        <v>0</v>
      </c>
      <c r="P365">
        <f t="shared" si="253"/>
        <v>0</v>
      </c>
      <c r="Q365">
        <f t="shared" si="254"/>
        <v>0</v>
      </c>
      <c r="R365">
        <f t="shared" si="255"/>
        <v>0</v>
      </c>
      <c r="S365">
        <f t="shared" si="256"/>
        <v>0</v>
      </c>
      <c r="T365">
        <f t="shared" si="257"/>
        <v>0</v>
      </c>
      <c r="U365">
        <f t="shared" si="258"/>
        <v>0</v>
      </c>
      <c r="V365">
        <f t="shared" si="259"/>
        <v>0</v>
      </c>
      <c r="W365">
        <f t="shared" si="260"/>
        <v>0</v>
      </c>
      <c r="X365">
        <f t="shared" si="261"/>
        <v>0</v>
      </c>
      <c r="Y365">
        <f t="shared" si="262"/>
        <v>0</v>
      </c>
      <c r="Z365">
        <f t="shared" si="263"/>
        <v>0</v>
      </c>
      <c r="AA365">
        <f t="shared" si="264"/>
        <v>0</v>
      </c>
      <c r="AB365">
        <f t="shared" si="265"/>
        <v>0</v>
      </c>
      <c r="AC365">
        <f t="shared" si="266"/>
        <v>0</v>
      </c>
      <c r="AD365">
        <f t="shared" si="267"/>
        <v>0</v>
      </c>
      <c r="AE365">
        <f t="shared" si="268"/>
        <v>0</v>
      </c>
      <c r="AF365">
        <f t="shared" si="269"/>
        <v>0</v>
      </c>
      <c r="AG365">
        <f t="shared" si="270"/>
        <v>0</v>
      </c>
      <c r="AH365">
        <f t="shared" si="271"/>
        <v>0</v>
      </c>
      <c r="AI365">
        <f t="shared" si="272"/>
        <v>0</v>
      </c>
      <c r="AJ365">
        <f t="shared" si="273"/>
        <v>0</v>
      </c>
      <c r="AK365">
        <f t="shared" si="274"/>
        <v>0</v>
      </c>
      <c r="AL365">
        <f t="shared" si="275"/>
        <v>0</v>
      </c>
      <c r="AM365">
        <f t="shared" si="276"/>
        <v>0</v>
      </c>
      <c r="AN365">
        <f t="shared" si="277"/>
        <v>0</v>
      </c>
      <c r="AO365">
        <f t="shared" si="278"/>
        <v>0</v>
      </c>
      <c r="AP365">
        <f t="shared" si="279"/>
        <v>0</v>
      </c>
      <c r="AQ365">
        <f t="shared" si="280"/>
        <v>0</v>
      </c>
      <c r="AR365">
        <f t="shared" si="281"/>
        <v>0</v>
      </c>
      <c r="AS365">
        <f t="shared" si="282"/>
        <v>0</v>
      </c>
      <c r="AT365">
        <f t="shared" si="283"/>
        <v>0</v>
      </c>
      <c r="AU365">
        <f t="shared" si="284"/>
        <v>0</v>
      </c>
      <c r="AV365">
        <f t="shared" si="285"/>
        <v>0</v>
      </c>
      <c r="AW365">
        <f t="shared" si="240"/>
        <v>0</v>
      </c>
      <c r="AX365">
        <f t="shared" si="286"/>
        <v>0</v>
      </c>
      <c r="AY365">
        <f t="shared" si="287"/>
        <v>0</v>
      </c>
    </row>
    <row r="366" spans="1:51" x14ac:dyDescent="0.35">
      <c r="A366">
        <v>360</v>
      </c>
      <c r="C366">
        <f>MAX(0,Calc!$C$7-SUM(D366:R366))</f>
        <v>750</v>
      </c>
      <c r="D366">
        <f t="shared" si="241"/>
        <v>0</v>
      </c>
      <c r="E366">
        <f t="shared" si="242"/>
        <v>0</v>
      </c>
      <c r="F366">
        <f t="shared" si="243"/>
        <v>0</v>
      </c>
      <c r="G366">
        <f t="shared" si="244"/>
        <v>0</v>
      </c>
      <c r="H366">
        <f t="shared" si="245"/>
        <v>0</v>
      </c>
      <c r="I366">
        <f t="shared" si="246"/>
        <v>0</v>
      </c>
      <c r="J366">
        <f t="shared" si="247"/>
        <v>0</v>
      </c>
      <c r="K366">
        <f t="shared" si="248"/>
        <v>0</v>
      </c>
      <c r="L366">
        <f t="shared" si="249"/>
        <v>0</v>
      </c>
      <c r="M366">
        <f t="shared" si="250"/>
        <v>0</v>
      </c>
      <c r="N366">
        <f t="shared" si="251"/>
        <v>0</v>
      </c>
      <c r="O366">
        <f t="shared" si="252"/>
        <v>0</v>
      </c>
      <c r="P366">
        <f t="shared" si="253"/>
        <v>0</v>
      </c>
      <c r="Q366">
        <f t="shared" si="254"/>
        <v>0</v>
      </c>
      <c r="R366">
        <f t="shared" si="255"/>
        <v>0</v>
      </c>
      <c r="S366">
        <f t="shared" si="256"/>
        <v>0</v>
      </c>
      <c r="T366">
        <f t="shared" si="257"/>
        <v>0</v>
      </c>
      <c r="U366">
        <f t="shared" si="258"/>
        <v>0</v>
      </c>
      <c r="V366">
        <f t="shared" si="259"/>
        <v>0</v>
      </c>
      <c r="W366">
        <f t="shared" si="260"/>
        <v>0</v>
      </c>
      <c r="X366">
        <f t="shared" si="261"/>
        <v>0</v>
      </c>
      <c r="Y366">
        <f t="shared" si="262"/>
        <v>0</v>
      </c>
      <c r="Z366">
        <f t="shared" si="263"/>
        <v>0</v>
      </c>
      <c r="AA366">
        <f t="shared" si="264"/>
        <v>0</v>
      </c>
      <c r="AB366">
        <f t="shared" si="265"/>
        <v>0</v>
      </c>
      <c r="AC366">
        <f t="shared" si="266"/>
        <v>0</v>
      </c>
      <c r="AD366">
        <f t="shared" si="267"/>
        <v>0</v>
      </c>
      <c r="AE366">
        <f t="shared" si="268"/>
        <v>0</v>
      </c>
      <c r="AF366">
        <f t="shared" si="269"/>
        <v>0</v>
      </c>
      <c r="AG366">
        <f t="shared" si="270"/>
        <v>0</v>
      </c>
      <c r="AH366">
        <f t="shared" si="271"/>
        <v>0</v>
      </c>
      <c r="AI366">
        <f t="shared" si="272"/>
        <v>0</v>
      </c>
      <c r="AJ366">
        <f t="shared" si="273"/>
        <v>0</v>
      </c>
      <c r="AK366">
        <f t="shared" si="274"/>
        <v>0</v>
      </c>
      <c r="AL366">
        <f t="shared" si="275"/>
        <v>0</v>
      </c>
      <c r="AM366">
        <f t="shared" si="276"/>
        <v>0</v>
      </c>
      <c r="AN366">
        <f t="shared" si="277"/>
        <v>0</v>
      </c>
      <c r="AO366">
        <f t="shared" si="278"/>
        <v>0</v>
      </c>
      <c r="AP366">
        <f t="shared" si="279"/>
        <v>0</v>
      </c>
      <c r="AQ366">
        <f t="shared" si="280"/>
        <v>0</v>
      </c>
      <c r="AR366">
        <f t="shared" si="281"/>
        <v>0</v>
      </c>
      <c r="AS366">
        <f t="shared" si="282"/>
        <v>0</v>
      </c>
      <c r="AT366">
        <f t="shared" si="283"/>
        <v>0</v>
      </c>
      <c r="AU366">
        <f t="shared" si="284"/>
        <v>0</v>
      </c>
      <c r="AV366">
        <f t="shared" si="285"/>
        <v>0</v>
      </c>
      <c r="AW366">
        <f t="shared" si="240"/>
        <v>0</v>
      </c>
      <c r="AX366">
        <f t="shared" si="286"/>
        <v>0</v>
      </c>
      <c r="AY366">
        <f t="shared" si="287"/>
        <v>0</v>
      </c>
    </row>
    <row r="368" spans="1:51" x14ac:dyDescent="0.35">
      <c r="A368" t="s">
        <v>201</v>
      </c>
      <c r="AH368">
        <f t="shared" ref="AH368:AV368" si="288">SUM(D7:D366)+SUM(S7:S366)</f>
        <v>5792.12</v>
      </c>
      <c r="AI368">
        <f t="shared" si="288"/>
        <v>1675.55</v>
      </c>
      <c r="AJ368">
        <f t="shared" si="288"/>
        <v>12678.89</v>
      </c>
      <c r="AK368">
        <f t="shared" si="288"/>
        <v>650</v>
      </c>
      <c r="AL368">
        <f t="shared" si="288"/>
        <v>0</v>
      </c>
      <c r="AM368">
        <f t="shared" si="288"/>
        <v>0</v>
      </c>
      <c r="AN368">
        <f t="shared" si="288"/>
        <v>0</v>
      </c>
      <c r="AO368">
        <f t="shared" si="288"/>
        <v>0</v>
      </c>
      <c r="AP368">
        <f t="shared" si="288"/>
        <v>0</v>
      </c>
      <c r="AQ368">
        <f t="shared" si="288"/>
        <v>0</v>
      </c>
      <c r="AR368">
        <f t="shared" si="288"/>
        <v>0</v>
      </c>
      <c r="AS368">
        <f t="shared" si="288"/>
        <v>0</v>
      </c>
      <c r="AT368">
        <f t="shared" si="288"/>
        <v>0</v>
      </c>
      <c r="AU368">
        <f t="shared" si="288"/>
        <v>0</v>
      </c>
      <c r="AV368">
        <f t="shared" si="288"/>
        <v>0</v>
      </c>
    </row>
    <row r="369" spans="1:48" x14ac:dyDescent="0.35">
      <c r="A369" t="s">
        <v>202</v>
      </c>
      <c r="AH369">
        <f t="shared" ref="AH369:AV369" si="289">IF(AH2=0,0,IF(AH366&gt;0.005,999,COUNTIF(AH7:AH366,"&gt;0.005")+1))</f>
        <v>17</v>
      </c>
      <c r="AI369">
        <f t="shared" si="289"/>
        <v>19</v>
      </c>
      <c r="AJ369">
        <f t="shared" si="289"/>
        <v>28</v>
      </c>
      <c r="AK369">
        <f t="shared" si="289"/>
        <v>13</v>
      </c>
      <c r="AL369">
        <f t="shared" si="289"/>
        <v>0</v>
      </c>
      <c r="AM369">
        <f t="shared" si="289"/>
        <v>0</v>
      </c>
      <c r="AN369">
        <f t="shared" si="289"/>
        <v>0</v>
      </c>
      <c r="AO369">
        <f t="shared" si="289"/>
        <v>0</v>
      </c>
      <c r="AP369">
        <f t="shared" si="289"/>
        <v>0</v>
      </c>
      <c r="AQ369">
        <f t="shared" si="289"/>
        <v>0</v>
      </c>
      <c r="AR369">
        <f t="shared" si="289"/>
        <v>0</v>
      </c>
      <c r="AS369">
        <f t="shared" si="289"/>
        <v>0</v>
      </c>
      <c r="AT369">
        <f t="shared" si="289"/>
        <v>0</v>
      </c>
      <c r="AU369">
        <f t="shared" si="289"/>
        <v>0</v>
      </c>
      <c r="AV369">
        <f t="shared" si="289"/>
        <v>0</v>
      </c>
    </row>
    <row r="370" spans="1:48" x14ac:dyDescent="0.35">
      <c r="A370" t="s">
        <v>61</v>
      </c>
      <c r="AH370">
        <f t="shared" ref="AH370:AV370" si="290">IF(AH2=0,0,ROUND(AH368-AH6+AH366,2))</f>
        <v>942.12</v>
      </c>
      <c r="AI370">
        <f t="shared" si="290"/>
        <v>475.55</v>
      </c>
      <c r="AJ370">
        <f t="shared" si="290"/>
        <v>1278.8900000000001</v>
      </c>
      <c r="AK370">
        <f t="shared" si="290"/>
        <v>0</v>
      </c>
      <c r="AL370">
        <f t="shared" si="290"/>
        <v>0</v>
      </c>
      <c r="AM370">
        <f t="shared" si="290"/>
        <v>0</v>
      </c>
      <c r="AN370">
        <f t="shared" si="290"/>
        <v>0</v>
      </c>
      <c r="AO370">
        <f t="shared" si="290"/>
        <v>0</v>
      </c>
      <c r="AP370">
        <f t="shared" si="290"/>
        <v>0</v>
      </c>
      <c r="AQ370">
        <f t="shared" si="290"/>
        <v>0</v>
      </c>
      <c r="AR370">
        <f t="shared" si="290"/>
        <v>0</v>
      </c>
      <c r="AS370">
        <f t="shared" si="290"/>
        <v>0</v>
      </c>
      <c r="AT370">
        <f t="shared" si="290"/>
        <v>0</v>
      </c>
      <c r="AU370">
        <f t="shared" si="290"/>
        <v>0</v>
      </c>
      <c r="AV370">
        <f t="shared" si="290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Start Here</vt:lpstr>
      <vt:lpstr>Dashboard</vt:lpstr>
      <vt:lpstr>Debts</vt:lpstr>
      <vt:lpstr>Payoff Schedule</vt:lpstr>
      <vt:lpstr>Lists</vt:lpstr>
      <vt:lpstr>Calc</vt:lpstr>
      <vt:lpstr>Minimums Engine</vt:lpstr>
      <vt:lpstr>Snowball Engine</vt:lpstr>
      <vt:lpstr>Avalanche Engine</vt:lpstr>
      <vt:lpstr>My Order Engine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Edward Murphy</cp:lastModifiedBy>
  <dcterms:created xsi:type="dcterms:W3CDTF">2026-10-25T13:32:07Z</dcterms:created>
  <dcterms:modified xsi:type="dcterms:W3CDTF">2026-10-25T13:32:51Z</dcterms:modified>
</cp:coreProperties>
</file>